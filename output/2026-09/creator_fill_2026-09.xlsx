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vmlDrawing1.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eaderboard" sheetId="2" state="visible" r:id="rId4"/>
    <sheet name="Instagram" sheetId="3" state="visible" r:id="rId5"/>
    <sheet name="TikTok" sheetId="4" state="visible" r:id="rId6"/>
    <sheet name="YouTube" sheetId="5" state="visible" r:id="rId7"/>
    <sheet name="Channels" sheetId="6" state="visible" r:id="rId8"/>
    <sheet name="Creators" sheetId="7" state="visible" r:id="rId9"/>
    <sheet name="Metric Definitions" sheetId="8" state="visible" r:id="rId10"/>
    <sheet name="Vendor QA" sheetId="9" state="visible" r:id="rId11"/>
    <sheet name="Vendor History" sheetId="10" state="visible" r:id="rId12"/>
    <sheet name="Creator History" sheetId="11" state="visible" r:id="rId13"/>
    <sheet name="Waterfall" sheetId="12" state="visible" r:id="rId14"/>
    <sheet name="Gaps" sheetId="13" state="visible" r:id="rId15"/>
    <sheet name="Decision Log" sheetId="14" state="visible" r:id="rId16"/>
    <sheet name="Blocked — review" sheetId="15" state="visible" r:id="rId17"/>
    <sheet name="Warnings" sheetId="16" state="visible" r:id="rId18"/>
    <sheet name="Reason codes" sheetId="17" state="visible" r:id="rId19"/>
    <sheet name="Review Audit" sheetId="18" state="visible" r:id="rId20"/>
  </sheets>
  <definedNames>
    <definedName function="false" hidden="true" localSheetId="14" name="_xlnm._FilterDatabase" vbProcedure="false">'Blocked — review'!$A$4:$V$29</definedName>
    <definedName function="false" hidden="true" localSheetId="5" name="_xlnm._FilterDatabase" vbProcedure="false">Channels!$A$4:$Q$1888</definedName>
    <definedName function="false" hidden="true" localSheetId="10" name="_xlnm._FilterDatabase" vbProcedure="false">'Creator History'!$A$4:$H$7746</definedName>
    <definedName function="false" hidden="true" localSheetId="6" name="_xlnm._FilterDatabase" vbProcedure="false">Creators!$A$4:$L$804</definedName>
    <definedName function="false" hidden="true" localSheetId="12" name="_xlnm._FilterDatabase" vbProcedure="false">Gaps!$A$4:$E$743</definedName>
    <definedName function="false" hidden="true" localSheetId="2" name="_xlnm._FilterDatabase" vbProcedure="false">Instagram!$A$4:$S$363</definedName>
    <definedName function="false" hidden="true" localSheetId="1" name="_xlnm._FilterDatabase" vbProcedure="false">Leaderboard!$A$4:$O$281</definedName>
    <definedName function="false" hidden="true" localSheetId="3" name="_xlnm._FilterDatabase" vbProcedure="false">TikTok!$A$4:$S$337</definedName>
    <definedName function="false" hidden="true" localSheetId="15" name="_xlnm._FilterDatabase" vbProcedure="false">Warnings!$A$4:$I$816</definedName>
    <definedName function="false" hidden="true" localSheetId="4" name="_xlnm._FilterDatabase" vbProcedure="false">YouTube!$A$4:$S$491</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Source: config.yaml → qa.weights</t>
        </r>
      </text>
    </comment>
  </commentList>
</comments>
</file>

<file path=xl/sharedStrings.xml><?xml version="1.0" encoding="utf-8"?>
<sst xmlns="http://schemas.openxmlformats.org/spreadsheetml/2006/main" count="79873" uniqueCount="5489">
  <si>
    <t xml:space="preserve">Creator vendor fill — 2026-09</t>
  </si>
  <si>
    <t xml:space="preserve">Monthly run · freshness measured at 2026-09-30</t>
  </si>
  <si>
    <t xml:space="preserve">Creators requested</t>
  </si>
  <si>
    <t xml:space="preserve">Channels requested</t>
  </si>
  <si>
    <t xml:space="preserve">Creators complete (on leaderboard)</t>
  </si>
  <si>
    <t xml:space="preserve">Share of creators complete</t>
  </si>
  <si>
    <t xml:space="preserve">Requested channels complete</t>
  </si>
  <si>
    <t xml:space="preserve">Share of channels complete</t>
  </si>
  <si>
    <t xml:space="preserve">Missing items (see Gaps)</t>
  </si>
  <si>
    <t xml:space="preserve">Tier order used</t>
  </si>
  <si>
    <t xml:space="preserve">T1 vendor_a → T2 vendor_b → T3 vendor_c</t>
  </si>
  <si>
    <t xml:space="preserve">Files this month (recognised automatically)</t>
  </si>
  <si>
    <t xml:space="preserve">File</t>
  </si>
  <si>
    <t xml:space="preserve">Recognised as</t>
  </si>
  <si>
    <t xml:space="preserve">Match</t>
  </si>
  <si>
    <t xml:space="preserve">Notes</t>
  </si>
  <si>
    <t xml:space="preserve">drop_1.xlsx</t>
  </si>
  <si>
    <t xml:space="preserve">vendor_c</t>
  </si>
  <si>
    <t xml:space="preserve">drop_2.xlsx</t>
  </si>
  <si>
    <t xml:space="preserve">vendor_a</t>
  </si>
  <si>
    <t xml:space="preserve">drop_3.xlsx</t>
  </si>
  <si>
    <t xml:space="preserve">vendor_b</t>
  </si>
  <si>
    <t xml:space="preserve">learned: views_90d is now 'video_plays_90d'; learned: comments_90d is now 'comments_total'</t>
  </si>
  <si>
    <t xml:space="preserve">request.xlsx</t>
  </si>
  <si>
    <t xml:space="preserve">request list</t>
  </si>
  <si>
    <t xml:space="preserve">Primary role of complete creators</t>
  </si>
  <si>
    <t xml:space="preserve">Pillar</t>
  </si>
  <si>
    <t xml:space="preserve">Creators</t>
  </si>
  <si>
    <t xml:space="preserve">Who it finds</t>
  </si>
  <si>
    <t xml:space="preserve">The Pulse</t>
  </si>
  <si>
    <t xml:space="preserve">Attention: Creators who drive awareness and visibility</t>
  </si>
  <si>
    <t xml:space="preserve">The Lens</t>
  </si>
  <si>
    <t xml:space="preserve">Affiliation: Creators who establish credibility and in-the-know appeal</t>
  </si>
  <si>
    <t xml:space="preserve">The Hub</t>
  </si>
  <si>
    <t xml:space="preserve">Action: Creators who influence community participation and behavior</t>
  </si>
  <si>
    <t xml:space="preserve">Creators by number of channels requested</t>
  </si>
  <si>
    <t xml:space="preserve">Complete</t>
  </si>
  <si>
    <t xml:space="preserve">Share complete</t>
  </si>
  <si>
    <t xml:space="preserve">3 of 3</t>
  </si>
  <si>
    <t xml:space="preserve">2 of 3</t>
  </si>
  <si>
    <t xml:space="preserve">1 of 3</t>
  </si>
  <si>
    <t xml:space="preserve">Requested channels</t>
  </si>
  <si>
    <t xml:space="preserve">Channel</t>
  </si>
  <si>
    <t xml:space="preserve">Requested</t>
  </si>
  <si>
    <t xml:space="preserve">Complete after last tier</t>
  </si>
  <si>
    <t xml:space="preserve">instagram</t>
  </si>
  <si>
    <t xml:space="preserve">tiktok</t>
  </si>
  <si>
    <t xml:space="preserve">youtube</t>
  </si>
  <si>
    <t xml:space="preserve">Colour key</t>
  </si>
  <si>
    <t xml:space="preserve">Tier 1 value</t>
  </si>
  <si>
    <t xml:space="preserve">Tier 2 value</t>
  </si>
  <si>
    <t xml:space="preserve">Tier 3 value</t>
  </si>
  <si>
    <t xml:space="preserve">Still missing</t>
  </si>
  <si>
    <t xml:space="preserve">Creator Leaderboard — The Pulse · The Lens · The Hub</t>
  </si>
  <si>
    <t xml:space="preserve">Scores are 0–100 percentiles: each channel is compared with requested channels on the same platform (growth also within follower-size band), then averaged over the creator's requested channels. Blank Hub score = likes hidden on every channel.</t>
  </si>
  <si>
    <t xml:space="preserve">Creator</t>
  </si>
  <si>
    <t xml:space="preserve">Creator ID</t>
  </si>
  <si>
    <t xml:space="preserve">Country</t>
  </si>
  <si>
    <t xml:space="preserve">Category</t>
  </si>
  <si>
    <t xml:space="preserve">Channels</t>
  </si>
  <si>
    <t xml:space="preserve">Total followers</t>
  </si>
  <si>
    <t xml:space="preserve">The Pulse score</t>
  </si>
  <si>
    <t xml:space="preserve">The Pulse rank</t>
  </si>
  <si>
    <t xml:space="preserve">The Lens score</t>
  </si>
  <si>
    <t xml:space="preserve">The Lens rank</t>
  </si>
  <si>
    <t xml:space="preserve">The Hub score</t>
  </si>
  <si>
    <t xml:space="preserve">The Hub rank</t>
  </si>
  <si>
    <t xml:space="preserve">Primary role</t>
  </si>
  <si>
    <t xml:space="preserve">Confidence</t>
  </si>
  <si>
    <t xml:space="preserve">Sources</t>
  </si>
  <si>
    <t xml:space="preserve">Creator 85</t>
  </si>
  <si>
    <t xml:space="preserve">CR00085</t>
  </si>
  <si>
    <t xml:space="preserve">FR</t>
  </si>
  <si>
    <t xml:space="preserve">beauty</t>
  </si>
  <si>
    <t xml:space="preserve">High</t>
  </si>
  <si>
    <t xml:space="preserve">Creator 699</t>
  </si>
  <si>
    <t xml:space="preserve">CR00699</t>
  </si>
  <si>
    <t xml:space="preserve">CA</t>
  </si>
  <si>
    <t xml:space="preserve">Medium</t>
  </si>
  <si>
    <t xml:space="preserve">Creator 1332</t>
  </si>
  <si>
    <t xml:space="preserve">CR01332</t>
  </si>
  <si>
    <t xml:space="preserve">JP</t>
  </si>
  <si>
    <t xml:space="preserve">food</t>
  </si>
  <si>
    <t xml:space="preserve">Low</t>
  </si>
  <si>
    <t xml:space="preserve">vendor_b, vendor_c</t>
  </si>
  <si>
    <t xml:space="preserve">Creator 114</t>
  </si>
  <si>
    <t xml:space="preserve">CR00114</t>
  </si>
  <si>
    <t xml:space="preserve">GB</t>
  </si>
  <si>
    <t xml:space="preserve">Creator 770</t>
  </si>
  <si>
    <t xml:space="preserve">CR00770</t>
  </si>
  <si>
    <t xml:space="preserve">Creator 1479</t>
  </si>
  <si>
    <t xml:space="preserve">CR01479</t>
  </si>
  <si>
    <t xml:space="preserve">BR</t>
  </si>
  <si>
    <t xml:space="preserve">tech</t>
  </si>
  <si>
    <t xml:space="preserve">Creator 711</t>
  </si>
  <si>
    <t xml:space="preserve">CR00711</t>
  </si>
  <si>
    <t xml:space="preserve">fitness</t>
  </si>
  <si>
    <t xml:space="preserve">Creator 1397</t>
  </si>
  <si>
    <t xml:space="preserve">CR01397</t>
  </si>
  <si>
    <t xml:space="preserve">finance</t>
  </si>
  <si>
    <t xml:space="preserve">Creator 706</t>
  </si>
  <si>
    <t xml:space="preserve">CR00706</t>
  </si>
  <si>
    <t xml:space="preserve">US</t>
  </si>
  <si>
    <t xml:space="preserve">Creator 311</t>
  </si>
  <si>
    <t xml:space="preserve">CR00311</t>
  </si>
  <si>
    <t xml:space="preserve">MX</t>
  </si>
  <si>
    <t xml:space="preserve">Creator 480</t>
  </si>
  <si>
    <t xml:space="preserve">CR00480</t>
  </si>
  <si>
    <t xml:space="preserve">gaming</t>
  </si>
  <si>
    <t xml:space="preserve">Creator 246</t>
  </si>
  <si>
    <t xml:space="preserve">CR00246</t>
  </si>
  <si>
    <t xml:space="preserve">comedy</t>
  </si>
  <si>
    <t xml:space="preserve">Creator 1327</t>
  </si>
  <si>
    <t xml:space="preserve">CR01327</t>
  </si>
  <si>
    <t xml:space="preserve">IN</t>
  </si>
  <si>
    <t xml:space="preserve">music</t>
  </si>
  <si>
    <t xml:space="preserve">Creator 1133</t>
  </si>
  <si>
    <t xml:space="preserve">CR01133</t>
  </si>
  <si>
    <t xml:space="preserve">education</t>
  </si>
  <si>
    <t xml:space="preserve">Creator 497</t>
  </si>
  <si>
    <t xml:space="preserve">CR00497</t>
  </si>
  <si>
    <t xml:space="preserve">Creator 1161</t>
  </si>
  <si>
    <t xml:space="preserve">CR01161</t>
  </si>
  <si>
    <t xml:space="preserve">Creator 379</t>
  </si>
  <si>
    <t xml:space="preserve">CR00379</t>
  </si>
  <si>
    <t xml:space="preserve">instagram, tiktok</t>
  </si>
  <si>
    <t xml:space="preserve">vendor_a, vendor_b</t>
  </si>
  <si>
    <t xml:space="preserve">Creator 1373</t>
  </si>
  <si>
    <t xml:space="preserve">CR01373</t>
  </si>
  <si>
    <t xml:space="preserve">instagram, tiktok, youtube</t>
  </si>
  <si>
    <t xml:space="preserve">vendor_a, vendor_b, vendor_c</t>
  </si>
  <si>
    <t xml:space="preserve">Creator 1394</t>
  </si>
  <si>
    <t xml:space="preserve">CR01394</t>
  </si>
  <si>
    <t xml:space="preserve">KR</t>
  </si>
  <si>
    <t xml:space="preserve">Creator 219</t>
  </si>
  <si>
    <t xml:space="preserve">CR00219</t>
  </si>
  <si>
    <t xml:space="preserve">Creator 1132</t>
  </si>
  <si>
    <t xml:space="preserve">CR01132</t>
  </si>
  <si>
    <t xml:space="preserve">DE</t>
  </si>
  <si>
    <t xml:space="preserve">Creator 1325</t>
  </si>
  <si>
    <t xml:space="preserve">CR01325</t>
  </si>
  <si>
    <t xml:space="preserve">Creator 71</t>
  </si>
  <si>
    <t xml:space="preserve">CR00071</t>
  </si>
  <si>
    <t xml:space="preserve">Creator 435</t>
  </si>
  <si>
    <t xml:space="preserve">CR00435</t>
  </si>
  <si>
    <t xml:space="preserve">Creator 260</t>
  </si>
  <si>
    <t xml:space="preserve">CR00260</t>
  </si>
  <si>
    <t xml:space="preserve">Creator 238</t>
  </si>
  <si>
    <t xml:space="preserve">CR00238</t>
  </si>
  <si>
    <t xml:space="preserve">Creator 193</t>
  </si>
  <si>
    <t xml:space="preserve">CR00193</t>
  </si>
  <si>
    <t xml:space="preserve">Creator 668</t>
  </si>
  <si>
    <t xml:space="preserve">CR00668</t>
  </si>
  <si>
    <t xml:space="preserve">Creator 318</t>
  </si>
  <si>
    <t xml:space="preserve">CR00318</t>
  </si>
  <si>
    <t xml:space="preserve">Creator 448</t>
  </si>
  <si>
    <t xml:space="preserve">CR00448</t>
  </si>
  <si>
    <t xml:space="preserve">instagram, youtube</t>
  </si>
  <si>
    <t xml:space="preserve">Creator 1486</t>
  </si>
  <si>
    <t xml:space="preserve">CR01486</t>
  </si>
  <si>
    <t xml:space="preserve">Creator 682</t>
  </si>
  <si>
    <t xml:space="preserve">CR00682</t>
  </si>
  <si>
    <t xml:space="preserve">Creator 1006</t>
  </si>
  <si>
    <t xml:space="preserve">CR01006</t>
  </si>
  <si>
    <t xml:space="preserve">Creator 594</t>
  </si>
  <si>
    <t xml:space="preserve">CR00594</t>
  </si>
  <si>
    <t xml:space="preserve">Creator 1029</t>
  </si>
  <si>
    <t xml:space="preserve">CR01029</t>
  </si>
  <si>
    <t xml:space="preserve">Creator 405</t>
  </si>
  <si>
    <t xml:space="preserve">CR00405</t>
  </si>
  <si>
    <t xml:space="preserve">travel</t>
  </si>
  <si>
    <t xml:space="preserve">Creator 20</t>
  </si>
  <si>
    <t xml:space="preserve">CR00020</t>
  </si>
  <si>
    <t xml:space="preserve">Creator 305</t>
  </si>
  <si>
    <t xml:space="preserve">CR00305</t>
  </si>
  <si>
    <t xml:space="preserve">tiktok, youtube</t>
  </si>
  <si>
    <t xml:space="preserve">Creator 589</t>
  </si>
  <si>
    <t xml:space="preserve">CR00589</t>
  </si>
  <si>
    <t xml:space="preserve">Creator 1199</t>
  </si>
  <si>
    <t xml:space="preserve">CR01199</t>
  </si>
  <si>
    <t xml:space="preserve">Creator 150</t>
  </si>
  <si>
    <t xml:space="preserve">CR00150</t>
  </si>
  <si>
    <t xml:space="preserve">Creator 1341</t>
  </si>
  <si>
    <t xml:space="preserve">CR01341</t>
  </si>
  <si>
    <t xml:space="preserve">Creator 1298</t>
  </si>
  <si>
    <t xml:space="preserve">CR01298</t>
  </si>
  <si>
    <t xml:space="preserve">Creator 1103</t>
  </si>
  <si>
    <t xml:space="preserve">CR01103</t>
  </si>
  <si>
    <t xml:space="preserve">Creator 1127</t>
  </si>
  <si>
    <t xml:space="preserve">CR01127</t>
  </si>
  <si>
    <t xml:space="preserve">Creator 518</t>
  </si>
  <si>
    <t xml:space="preserve">CR00518</t>
  </si>
  <si>
    <t xml:space="preserve">Creator 624</t>
  </si>
  <si>
    <t xml:space="preserve">CR00624</t>
  </si>
  <si>
    <t xml:space="preserve">Creator 1274</t>
  </si>
  <si>
    <t xml:space="preserve">CR01274</t>
  </si>
  <si>
    <t xml:space="preserve">Creator 1276</t>
  </si>
  <si>
    <t xml:space="preserve">CR01276</t>
  </si>
  <si>
    <t xml:space="preserve">Creator 688</t>
  </si>
  <si>
    <t xml:space="preserve">CR00688</t>
  </si>
  <si>
    <t xml:space="preserve">Creator 1290</t>
  </si>
  <si>
    <t xml:space="preserve">CR01290</t>
  </si>
  <si>
    <t xml:space="preserve">Creator 143</t>
  </si>
  <si>
    <t xml:space="preserve">CR00143</t>
  </si>
  <si>
    <t xml:space="preserve">vendor_a, vendor_c</t>
  </si>
  <si>
    <t xml:space="preserve">Creator 34</t>
  </si>
  <si>
    <t xml:space="preserve">CR00034</t>
  </si>
  <si>
    <t xml:space="preserve">Creator 373</t>
  </si>
  <si>
    <t xml:space="preserve">CR00373</t>
  </si>
  <si>
    <t xml:space="preserve">Creator 96</t>
  </si>
  <si>
    <t xml:space="preserve">CR00096</t>
  </si>
  <si>
    <t xml:space="preserve">Creator 592</t>
  </si>
  <si>
    <t xml:space="preserve">CR00592</t>
  </si>
  <si>
    <t xml:space="preserve">Creator 50</t>
  </si>
  <si>
    <t xml:space="preserve">CR00050</t>
  </si>
  <si>
    <t xml:space="preserve">Creator 1398</t>
  </si>
  <si>
    <t xml:space="preserve">CR01398</t>
  </si>
  <si>
    <t xml:space="preserve">Creator 676</t>
  </si>
  <si>
    <t xml:space="preserve">CR00676</t>
  </si>
  <si>
    <t xml:space="preserve">Creator 1184</t>
  </si>
  <si>
    <t xml:space="preserve">CR01184</t>
  </si>
  <si>
    <t xml:space="preserve">Creator 830</t>
  </si>
  <si>
    <t xml:space="preserve">CR00830</t>
  </si>
  <si>
    <t xml:space="preserve">Creator 752</t>
  </si>
  <si>
    <t xml:space="preserve">CR00752</t>
  </si>
  <si>
    <t xml:space="preserve">Creator 1345</t>
  </si>
  <si>
    <t xml:space="preserve">CR01345</t>
  </si>
  <si>
    <t xml:space="preserve">Creator 488</t>
  </si>
  <si>
    <t xml:space="preserve">CR00488</t>
  </si>
  <si>
    <t xml:space="preserve">Creator 371</t>
  </si>
  <si>
    <t xml:space="preserve">CR00371</t>
  </si>
  <si>
    <t xml:space="preserve">Creator 1318</t>
  </si>
  <si>
    <t xml:space="preserve">CR01318</t>
  </si>
  <si>
    <t xml:space="preserve">Creator 943</t>
  </si>
  <si>
    <t xml:space="preserve">CR00943</t>
  </si>
  <si>
    <t xml:space="preserve">Creator 992</t>
  </si>
  <si>
    <t xml:space="preserve">CR00992</t>
  </si>
  <si>
    <t xml:space="preserve">Creator 336</t>
  </si>
  <si>
    <t xml:space="preserve">CR00336</t>
  </si>
  <si>
    <t xml:space="preserve">Creator 791</t>
  </si>
  <si>
    <t xml:space="preserve">CR00791</t>
  </si>
  <si>
    <t xml:space="preserve">Creator 939</t>
  </si>
  <si>
    <t xml:space="preserve">CR00939</t>
  </si>
  <si>
    <t xml:space="preserve">Creator 1129</t>
  </si>
  <si>
    <t xml:space="preserve">CR01129</t>
  </si>
  <si>
    <t xml:space="preserve">Creator 681</t>
  </si>
  <si>
    <t xml:space="preserve">CR00681</t>
  </si>
  <si>
    <t xml:space="preserve">Creator 324</t>
  </si>
  <si>
    <t xml:space="preserve">CR00324</t>
  </si>
  <si>
    <t xml:space="preserve">Creator 194</t>
  </si>
  <si>
    <t xml:space="preserve">CR00194</t>
  </si>
  <si>
    <t xml:space="preserve">Creator 515</t>
  </si>
  <si>
    <t xml:space="preserve">CR00515</t>
  </si>
  <si>
    <t xml:space="preserve">Creator 1361</t>
  </si>
  <si>
    <t xml:space="preserve">CR01361</t>
  </si>
  <si>
    <t xml:space="preserve">Creator 1280</t>
  </si>
  <si>
    <t xml:space="preserve">CR01280</t>
  </si>
  <si>
    <t xml:space="preserve">Creator 566</t>
  </si>
  <si>
    <t xml:space="preserve">CR00566</t>
  </si>
  <si>
    <t xml:space="preserve">Creator 354</t>
  </si>
  <si>
    <t xml:space="preserve">CR00354</t>
  </si>
  <si>
    <t xml:space="preserve">Creator 212</t>
  </si>
  <si>
    <t xml:space="preserve">CR00212</t>
  </si>
  <si>
    <t xml:space="preserve">Creator 837</t>
  </si>
  <si>
    <t xml:space="preserve">CR00837</t>
  </si>
  <si>
    <t xml:space="preserve">Creator 541</t>
  </si>
  <si>
    <t xml:space="preserve">CR00541</t>
  </si>
  <si>
    <t xml:space="preserve">Creator 1064</t>
  </si>
  <si>
    <t xml:space="preserve">CR01064</t>
  </si>
  <si>
    <t xml:space="preserve">Creator 834</t>
  </si>
  <si>
    <t xml:space="preserve">CR00834</t>
  </si>
  <si>
    <t xml:space="preserve">Creator 259</t>
  </si>
  <si>
    <t xml:space="preserve">CR00259</t>
  </si>
  <si>
    <t xml:space="preserve">Creator 926</t>
  </si>
  <si>
    <t xml:space="preserve">CR00926</t>
  </si>
  <si>
    <t xml:space="preserve">Creator 1191</t>
  </si>
  <si>
    <t xml:space="preserve">CR01191</t>
  </si>
  <si>
    <t xml:space="preserve">Creator 1225</t>
  </si>
  <si>
    <t xml:space="preserve">CR01225</t>
  </si>
  <si>
    <t xml:space="preserve">Creator 107</t>
  </si>
  <si>
    <t xml:space="preserve">CR00107</t>
  </si>
  <si>
    <t xml:space="preserve">Creator 216</t>
  </si>
  <si>
    <t xml:space="preserve">CR00216</t>
  </si>
  <si>
    <t xml:space="preserve">Creator 806</t>
  </si>
  <si>
    <t xml:space="preserve">CR00806</t>
  </si>
  <si>
    <t xml:space="preserve">Creator 1077</t>
  </si>
  <si>
    <t xml:space="preserve">CR01077</t>
  </si>
  <si>
    <t xml:space="preserve">Creator 321</t>
  </si>
  <si>
    <t xml:space="preserve">CR00321</t>
  </si>
  <si>
    <t xml:space="preserve">Creator 923</t>
  </si>
  <si>
    <t xml:space="preserve">CR00923</t>
  </si>
  <si>
    <t xml:space="preserve">Creator 931</t>
  </si>
  <si>
    <t xml:space="preserve">CR00931</t>
  </si>
  <si>
    <t xml:space="preserve">Creator 969</t>
  </si>
  <si>
    <t xml:space="preserve">CR00969</t>
  </si>
  <si>
    <t xml:space="preserve">Creator 889</t>
  </si>
  <si>
    <t xml:space="preserve">CR00889</t>
  </si>
  <si>
    <t xml:space="preserve">Creator 525</t>
  </si>
  <si>
    <t xml:space="preserve">CR00525</t>
  </si>
  <si>
    <t xml:space="preserve">Creator 491</t>
  </si>
  <si>
    <t xml:space="preserve">CR00491</t>
  </si>
  <si>
    <t xml:space="preserve">Creator 1160</t>
  </si>
  <si>
    <t xml:space="preserve">CR01160</t>
  </si>
  <si>
    <t xml:space="preserve">Creator 847</t>
  </si>
  <si>
    <t xml:space="preserve">CR00847</t>
  </si>
  <si>
    <t xml:space="preserve">Creator 1136</t>
  </si>
  <si>
    <t xml:space="preserve">CR01136</t>
  </si>
  <si>
    <t xml:space="preserve">Creator 328</t>
  </si>
  <si>
    <t xml:space="preserve">CR00328</t>
  </si>
  <si>
    <t xml:space="preserve">Creator 1181</t>
  </si>
  <si>
    <t xml:space="preserve">CR01181</t>
  </si>
  <si>
    <t xml:space="preserve">Creator 458</t>
  </si>
  <si>
    <t xml:space="preserve">CR00458</t>
  </si>
  <si>
    <t xml:space="preserve">Creator 1084</t>
  </si>
  <si>
    <t xml:space="preserve">CR01084</t>
  </si>
  <si>
    <t xml:space="preserve">Creator 727</t>
  </si>
  <si>
    <t xml:space="preserve">CR00727</t>
  </si>
  <si>
    <t xml:space="preserve">Creator 786</t>
  </si>
  <si>
    <t xml:space="preserve">CR00786</t>
  </si>
  <si>
    <t xml:space="preserve">Creator 1011</t>
  </si>
  <si>
    <t xml:space="preserve">CR01011</t>
  </si>
  <si>
    <t xml:space="preserve">Creator 116</t>
  </si>
  <si>
    <t xml:space="preserve">CR00116</t>
  </si>
  <si>
    <t xml:space="preserve">Creator 788</t>
  </si>
  <si>
    <t xml:space="preserve">CR00788</t>
  </si>
  <si>
    <t xml:space="preserve">Creator 827</t>
  </si>
  <si>
    <t xml:space="preserve">CR00827</t>
  </si>
  <si>
    <t xml:space="preserve">Creator 158</t>
  </si>
  <si>
    <t xml:space="preserve">CR00158</t>
  </si>
  <si>
    <t xml:space="preserve">Creator 1291</t>
  </si>
  <si>
    <t xml:space="preserve">CR01291</t>
  </si>
  <si>
    <t xml:space="preserve">Creator 271</t>
  </si>
  <si>
    <t xml:space="preserve">CR00271</t>
  </si>
  <si>
    <t xml:space="preserve">Creator 1106</t>
  </si>
  <si>
    <t xml:space="preserve">CR01106</t>
  </si>
  <si>
    <t xml:space="preserve">Creator 425</t>
  </si>
  <si>
    <t xml:space="preserve">CR00425</t>
  </si>
  <si>
    <t xml:space="preserve">Creator 1427</t>
  </si>
  <si>
    <t xml:space="preserve">CR01427</t>
  </si>
  <si>
    <t xml:space="preserve">Creator 1304</t>
  </si>
  <si>
    <t xml:space="preserve">CR01304</t>
  </si>
  <si>
    <t xml:space="preserve">Creator 734</t>
  </si>
  <si>
    <t xml:space="preserve">CR00734</t>
  </si>
  <si>
    <t xml:space="preserve">Creator 1287</t>
  </si>
  <si>
    <t xml:space="preserve">CR01287</t>
  </si>
  <si>
    <t xml:space="preserve">Creator 481</t>
  </si>
  <si>
    <t xml:space="preserve">CR00481</t>
  </si>
  <si>
    <t xml:space="preserve">Creator 345</t>
  </si>
  <si>
    <t xml:space="preserve">CR00345</t>
  </si>
  <si>
    <t xml:space="preserve">Creator 248</t>
  </si>
  <si>
    <t xml:space="preserve">CR00248</t>
  </si>
  <si>
    <t xml:space="preserve">Creator 535</t>
  </si>
  <si>
    <t xml:space="preserve">CR00535</t>
  </si>
  <si>
    <t xml:space="preserve">Creator 764</t>
  </si>
  <si>
    <t xml:space="preserve">CR00764</t>
  </si>
  <si>
    <t xml:space="preserve">Creator 293</t>
  </si>
  <si>
    <t xml:space="preserve">CR00293</t>
  </si>
  <si>
    <t xml:space="preserve">Creator 136</t>
  </si>
  <si>
    <t xml:space="preserve">CR00136</t>
  </si>
  <si>
    <t xml:space="preserve">Creator 760</t>
  </si>
  <si>
    <t xml:space="preserve">CR00760</t>
  </si>
  <si>
    <t xml:space="preserve">Creator 680</t>
  </si>
  <si>
    <t xml:space="preserve">CR00680</t>
  </si>
  <si>
    <t xml:space="preserve">Creator 39</t>
  </si>
  <si>
    <t xml:space="preserve">CR00039</t>
  </si>
  <si>
    <t xml:space="preserve">Creator 1101</t>
  </si>
  <si>
    <t xml:space="preserve">CR01101</t>
  </si>
  <si>
    <t xml:space="preserve">Creator 267</t>
  </si>
  <si>
    <t xml:space="preserve">CR00267</t>
  </si>
  <si>
    <t xml:space="preserve">Creator 1240</t>
  </si>
  <si>
    <t xml:space="preserve">CR01240</t>
  </si>
  <si>
    <t xml:space="preserve">Creator 579</t>
  </si>
  <si>
    <t xml:space="preserve">CR00579</t>
  </si>
  <si>
    <t xml:space="preserve">Creator 1376</t>
  </si>
  <si>
    <t xml:space="preserve">CR01376</t>
  </si>
  <si>
    <t xml:space="preserve">Creator 1253</t>
  </si>
  <si>
    <t xml:space="preserve">CR01253</t>
  </si>
  <si>
    <t xml:space="preserve">Creator 509</t>
  </si>
  <si>
    <t xml:space="preserve">CR00509</t>
  </si>
  <si>
    <t xml:space="preserve">Creator 638</t>
  </si>
  <si>
    <t xml:space="preserve">CR00638</t>
  </si>
  <si>
    <t xml:space="preserve">Creator 856</t>
  </si>
  <si>
    <t xml:space="preserve">CR00856</t>
  </si>
  <si>
    <t xml:space="preserve">Creator 268</t>
  </si>
  <si>
    <t xml:space="preserve">CR00268</t>
  </si>
  <si>
    <t xml:space="preserve">Creator 741</t>
  </si>
  <si>
    <t xml:space="preserve">CR00741</t>
  </si>
  <si>
    <t xml:space="preserve">Creator 416</t>
  </si>
  <si>
    <t xml:space="preserve">CR00416</t>
  </si>
  <si>
    <t xml:space="preserve">Creator 192</t>
  </si>
  <si>
    <t xml:space="preserve">CR00192</t>
  </si>
  <si>
    <t xml:space="preserve">Creator 342</t>
  </si>
  <si>
    <t xml:space="preserve">CR00342</t>
  </si>
  <si>
    <t xml:space="preserve">Creator 33</t>
  </si>
  <si>
    <t xml:space="preserve">CR00033</t>
  </si>
  <si>
    <t xml:space="preserve">Creator 605</t>
  </si>
  <si>
    <t xml:space="preserve">CR00605</t>
  </si>
  <si>
    <t xml:space="preserve">Creator 244</t>
  </si>
  <si>
    <t xml:space="preserve">CR00244</t>
  </si>
  <si>
    <t xml:space="preserve">Creator 457</t>
  </si>
  <si>
    <t xml:space="preserve">CR00457</t>
  </si>
  <si>
    <t xml:space="preserve">Creator 1207</t>
  </si>
  <si>
    <t xml:space="preserve">CR01207</t>
  </si>
  <si>
    <t xml:space="preserve">Creator 839</t>
  </si>
  <si>
    <t xml:space="preserve">CR00839</t>
  </si>
  <si>
    <t xml:space="preserve">Creator 172</t>
  </si>
  <si>
    <t xml:space="preserve">CR00172</t>
  </si>
  <si>
    <t xml:space="preserve">Creator 1143</t>
  </si>
  <si>
    <t xml:space="preserve">CR01143</t>
  </si>
  <si>
    <t xml:space="preserve">Creator 1030</t>
  </si>
  <si>
    <t xml:space="preserve">CR01030</t>
  </si>
  <si>
    <t xml:space="preserve">Creator 126</t>
  </si>
  <si>
    <t xml:space="preserve">CR00126</t>
  </si>
  <si>
    <t xml:space="preserve">Creator 1003</t>
  </si>
  <si>
    <t xml:space="preserve">CR01003</t>
  </si>
  <si>
    <t xml:space="preserve">Creator 298</t>
  </si>
  <si>
    <t xml:space="preserve">CR00298</t>
  </si>
  <si>
    <t xml:space="preserve">Creator 1495</t>
  </si>
  <si>
    <t xml:space="preserve">CR01495</t>
  </si>
  <si>
    <t xml:space="preserve">Creator 449</t>
  </si>
  <si>
    <t xml:space="preserve">CR00449</t>
  </si>
  <si>
    <t xml:space="preserve">Creator 1248</t>
  </si>
  <si>
    <t xml:space="preserve">CR01248</t>
  </si>
  <si>
    <t xml:space="preserve">Creator 970</t>
  </si>
  <si>
    <t xml:space="preserve">CR00970</t>
  </si>
  <si>
    <t xml:space="preserve">Creator 161</t>
  </si>
  <si>
    <t xml:space="preserve">CR00161</t>
  </si>
  <si>
    <t xml:space="preserve">Creator 433</t>
  </si>
  <si>
    <t xml:space="preserve">CR00433</t>
  </si>
  <si>
    <t xml:space="preserve">Creator 27</t>
  </si>
  <si>
    <t xml:space="preserve">CR00027</t>
  </si>
  <si>
    <t xml:space="preserve">Creator 733</t>
  </si>
  <si>
    <t xml:space="preserve">CR00733</t>
  </si>
  <si>
    <t xml:space="preserve">Creator 942</t>
  </si>
  <si>
    <t xml:space="preserve">CR00942</t>
  </si>
  <si>
    <t xml:space="preserve">Creator 865</t>
  </si>
  <si>
    <t xml:space="preserve">CR00865</t>
  </si>
  <si>
    <t xml:space="preserve">Creator 1337</t>
  </si>
  <si>
    <t xml:space="preserve">CR01337</t>
  </si>
  <si>
    <t xml:space="preserve">Creator 857</t>
  </si>
  <si>
    <t xml:space="preserve">CR00857</t>
  </si>
  <si>
    <t xml:space="preserve">Creator 759</t>
  </si>
  <si>
    <t xml:space="preserve">CR00759</t>
  </si>
  <si>
    <t xml:space="preserve">Creator 1478</t>
  </si>
  <si>
    <t xml:space="preserve">CR01478</t>
  </si>
  <si>
    <t xml:space="preserve">Creator 1223</t>
  </si>
  <si>
    <t xml:space="preserve">CR01223</t>
  </si>
  <si>
    <t xml:space="preserve">Creator 533</t>
  </si>
  <si>
    <t xml:space="preserve">CR00533</t>
  </si>
  <si>
    <t xml:space="preserve">Creator 860</t>
  </si>
  <si>
    <t xml:space="preserve">CR00860</t>
  </si>
  <si>
    <t xml:space="preserve">Creator 523</t>
  </si>
  <si>
    <t xml:space="preserve">CR00523</t>
  </si>
  <si>
    <t xml:space="preserve">Creator 829</t>
  </si>
  <si>
    <t xml:space="preserve">CR00829</t>
  </si>
  <si>
    <t xml:space="preserve">Creator 991</t>
  </si>
  <si>
    <t xml:space="preserve">CR00991</t>
  </si>
  <si>
    <t xml:space="preserve">Creator 1362</t>
  </si>
  <si>
    <t xml:space="preserve">CR01362</t>
  </si>
  <si>
    <t xml:space="preserve">Creator 1175</t>
  </si>
  <si>
    <t xml:space="preserve">CR01175</t>
  </si>
  <si>
    <t xml:space="preserve">Creator 1195</t>
  </si>
  <si>
    <t xml:space="preserve">CR01195</t>
  </si>
  <si>
    <t xml:space="preserve">Creator 795</t>
  </si>
  <si>
    <t xml:space="preserve">CR00795</t>
  </si>
  <si>
    <t xml:space="preserve">Creator 1419</t>
  </si>
  <si>
    <t xml:space="preserve">CR01419</t>
  </si>
  <si>
    <t xml:space="preserve">Creator 292</t>
  </si>
  <si>
    <t xml:space="preserve">CR00292</t>
  </si>
  <si>
    <t xml:space="preserve">Creator 551</t>
  </si>
  <si>
    <t xml:space="preserve">CR00551</t>
  </si>
  <si>
    <t xml:space="preserve">Creator 956</t>
  </si>
  <si>
    <t xml:space="preserve">CR00956</t>
  </si>
  <si>
    <t xml:space="preserve">Creator 967</t>
  </si>
  <si>
    <t xml:space="preserve">CR00967</t>
  </si>
  <si>
    <t xml:space="preserve">Creator 634</t>
  </si>
  <si>
    <t xml:space="preserve">CR00634</t>
  </si>
  <si>
    <t xml:space="preserve">Creator 424</t>
  </si>
  <si>
    <t xml:space="preserve">CR00424</t>
  </si>
  <si>
    <t xml:space="preserve">Creator 446</t>
  </si>
  <si>
    <t xml:space="preserve">CR00446</t>
  </si>
  <si>
    <t xml:space="preserve">Creator 527</t>
  </si>
  <si>
    <t xml:space="preserve">CR00527</t>
  </si>
  <si>
    <t xml:space="preserve">Creator 873</t>
  </si>
  <si>
    <t xml:space="preserve">CR00873</t>
  </si>
  <si>
    <t xml:space="preserve">Creator 966</t>
  </si>
  <si>
    <t xml:space="preserve">CR00966</t>
  </si>
  <si>
    <t xml:space="preserve">Creator 655</t>
  </si>
  <si>
    <t xml:space="preserve">CR00655</t>
  </si>
  <si>
    <t xml:space="preserve">Creator 707</t>
  </si>
  <si>
    <t xml:space="preserve">CR00707</t>
  </si>
  <si>
    <t xml:space="preserve">Creator 1399</t>
  </si>
  <si>
    <t xml:space="preserve">CR01399</t>
  </si>
  <si>
    <t xml:space="preserve">Creator 805</t>
  </si>
  <si>
    <t xml:space="preserve">CR00805</t>
  </si>
  <si>
    <t xml:space="preserve">Creator 1165</t>
  </si>
  <si>
    <t xml:space="preserve">CR01165</t>
  </si>
  <si>
    <t xml:space="preserve">Creator 610</t>
  </si>
  <si>
    <t xml:space="preserve">CR00610</t>
  </si>
  <si>
    <t xml:space="preserve">Creator 313</t>
  </si>
  <si>
    <t xml:space="preserve">CR00313</t>
  </si>
  <si>
    <t xml:space="preserve">Creator 348</t>
  </si>
  <si>
    <t xml:space="preserve">CR00348</t>
  </si>
  <si>
    <t xml:space="preserve">Creator 1477</t>
  </si>
  <si>
    <t xml:space="preserve">CR01477</t>
  </si>
  <si>
    <t xml:space="preserve">Creator 1230</t>
  </si>
  <si>
    <t xml:space="preserve">CR01230</t>
  </si>
  <si>
    <t xml:space="preserve">Creator 673</t>
  </si>
  <si>
    <t xml:space="preserve">CR00673</t>
  </si>
  <si>
    <t xml:space="preserve">Creator 971</t>
  </si>
  <si>
    <t xml:space="preserve">CR00971</t>
  </si>
  <si>
    <t xml:space="preserve">Creator 272</t>
  </si>
  <si>
    <t xml:space="preserve">CR00272</t>
  </si>
  <si>
    <t xml:space="preserve">Creator 1323</t>
  </si>
  <si>
    <t xml:space="preserve">CR01323</t>
  </si>
  <si>
    <t xml:space="preserve">Creator 1013</t>
  </si>
  <si>
    <t xml:space="preserve">CR01013</t>
  </si>
  <si>
    <t xml:space="preserve">Creator 325</t>
  </si>
  <si>
    <t xml:space="preserve">CR00325</t>
  </si>
  <si>
    <t xml:space="preserve">Creator 630</t>
  </si>
  <si>
    <t xml:space="preserve">CR00630</t>
  </si>
  <si>
    <t xml:space="preserve">Creator 1045</t>
  </si>
  <si>
    <t xml:space="preserve">CR01045</t>
  </si>
  <si>
    <t xml:space="preserve">Creator 962</t>
  </si>
  <si>
    <t xml:space="preserve">CR00962</t>
  </si>
  <si>
    <t xml:space="preserve">Creator 276</t>
  </si>
  <si>
    <t xml:space="preserve">CR00276</t>
  </si>
  <si>
    <t xml:space="preserve">Creator 92</t>
  </si>
  <si>
    <t xml:space="preserve">CR00092</t>
  </si>
  <si>
    <t xml:space="preserve">Creator 31</t>
  </si>
  <si>
    <t xml:space="preserve">CR00031</t>
  </si>
  <si>
    <t xml:space="preserve">Creator 836</t>
  </si>
  <si>
    <t xml:space="preserve">CR00836</t>
  </si>
  <si>
    <t xml:space="preserve">Creator 199</t>
  </si>
  <si>
    <t xml:space="preserve">CR00199</t>
  </si>
  <si>
    <t xml:space="preserve">Creator 1111</t>
  </si>
  <si>
    <t xml:space="preserve">CR01111</t>
  </si>
  <si>
    <t xml:space="preserve">Creator 878</t>
  </si>
  <si>
    <t xml:space="preserve">CR00878</t>
  </si>
  <si>
    <t xml:space="preserve">Creator 623</t>
  </si>
  <si>
    <t xml:space="preserve">CR00623</t>
  </si>
  <si>
    <t xml:space="preserve">Creator 87</t>
  </si>
  <si>
    <t xml:space="preserve">CR00087</t>
  </si>
  <si>
    <t xml:space="preserve">Creator 288</t>
  </si>
  <si>
    <t xml:space="preserve">CR00288</t>
  </si>
  <si>
    <t xml:space="preserve">Creator 1105</t>
  </si>
  <si>
    <t xml:space="preserve">CR01105</t>
  </si>
  <si>
    <t xml:space="preserve">Creator 983</t>
  </si>
  <si>
    <t xml:space="preserve">CR00983</t>
  </si>
  <si>
    <t xml:space="preserve">Creator 583</t>
  </si>
  <si>
    <t xml:space="preserve">CR00583</t>
  </si>
  <si>
    <t xml:space="preserve">Creator 725</t>
  </si>
  <si>
    <t xml:space="preserve">CR00725</t>
  </si>
  <si>
    <t xml:space="preserve">Creator 1174</t>
  </si>
  <si>
    <t xml:space="preserve">CR01174</t>
  </si>
  <si>
    <t xml:space="preserve">Creator 409</t>
  </si>
  <si>
    <t xml:space="preserve">CR00409</t>
  </si>
  <si>
    <t xml:space="preserve">Creator 400</t>
  </si>
  <si>
    <t xml:space="preserve">CR00400</t>
  </si>
  <si>
    <t xml:space="preserve">Creator 1178</t>
  </si>
  <si>
    <t xml:space="preserve">CR01178</t>
  </si>
  <si>
    <t xml:space="preserve">Creator 250</t>
  </si>
  <si>
    <t xml:space="preserve">CR00250</t>
  </si>
  <si>
    <t xml:space="preserve">Creator 54</t>
  </si>
  <si>
    <t xml:space="preserve">CR00054</t>
  </si>
  <si>
    <t xml:space="preserve">Creator 339</t>
  </si>
  <si>
    <t xml:space="preserve">CR00339</t>
  </si>
  <si>
    <t xml:space="preserve">Creator 739</t>
  </si>
  <si>
    <t xml:space="preserve">CR00739</t>
  </si>
  <si>
    <t xml:space="preserve">Creator 1483</t>
  </si>
  <si>
    <t xml:space="preserve">CR01483</t>
  </si>
  <si>
    <t xml:space="preserve">Creator 722</t>
  </si>
  <si>
    <t xml:space="preserve">CR00722</t>
  </si>
  <si>
    <t xml:space="preserve">Creator 1481</t>
  </si>
  <si>
    <t xml:space="preserve">CR01481</t>
  </si>
  <si>
    <t xml:space="preserve">Creator 422</t>
  </si>
  <si>
    <t xml:space="preserve">CR00422</t>
  </si>
  <si>
    <t xml:space="preserve">Creator 176</t>
  </si>
  <si>
    <t xml:space="preserve">CR00176</t>
  </si>
  <si>
    <t xml:space="preserve">Creator 544</t>
  </si>
  <si>
    <t xml:space="preserve">CR00544</t>
  </si>
  <si>
    <t xml:space="preserve">Creator 819</t>
  </si>
  <si>
    <t xml:space="preserve">CR00819</t>
  </si>
  <si>
    <t xml:space="preserve">Creator 162</t>
  </si>
  <si>
    <t xml:space="preserve">CR00162</t>
  </si>
  <si>
    <t xml:space="preserve">Creator 229</t>
  </si>
  <si>
    <t xml:space="preserve">CR00229</t>
  </si>
  <si>
    <t xml:space="preserve">Creator 152</t>
  </si>
  <si>
    <t xml:space="preserve">CR00152</t>
  </si>
  <si>
    <t xml:space="preserve">Creator 1146</t>
  </si>
  <si>
    <t xml:space="preserve">CR01146</t>
  </si>
  <si>
    <t xml:space="preserve">Creator 346</t>
  </si>
  <si>
    <t xml:space="preserve">CR00346</t>
  </si>
  <si>
    <t xml:space="preserve">Creator 844</t>
  </si>
  <si>
    <t xml:space="preserve">CR00844</t>
  </si>
  <si>
    <t xml:space="preserve">Creator 1014</t>
  </si>
  <si>
    <t xml:space="preserve">CR01014</t>
  </si>
  <si>
    <t xml:space="preserve">Creator 279</t>
  </si>
  <si>
    <t xml:space="preserve">CR00279</t>
  </si>
  <si>
    <t xml:space="preserve">Creator 427</t>
  </si>
  <si>
    <t xml:space="preserve">CR00427</t>
  </si>
  <si>
    <t xml:space="preserve">Creator 94</t>
  </si>
  <si>
    <t xml:space="preserve">CR00094</t>
  </si>
  <si>
    <t xml:space="preserve">Creator 139</t>
  </si>
  <si>
    <t xml:space="preserve">CR00139</t>
  </si>
  <si>
    <t xml:space="preserve">Creator 1211</t>
  </si>
  <si>
    <t xml:space="preserve">CR01211</t>
  </si>
  <si>
    <t xml:space="preserve">Creator 253</t>
  </si>
  <si>
    <t xml:space="preserve">CR00253</t>
  </si>
  <si>
    <t xml:space="preserve">Creator 206</t>
  </si>
  <si>
    <t xml:space="preserve">CR00206</t>
  </si>
  <si>
    <t xml:space="preserve">Creator 445</t>
  </si>
  <si>
    <t xml:space="preserve">CR00445</t>
  </si>
  <si>
    <t xml:space="preserve">Creator 1109</t>
  </si>
  <si>
    <t xml:space="preserve">CR01109</t>
  </si>
  <si>
    <t xml:space="preserve">Creator 1112</t>
  </si>
  <si>
    <t xml:space="preserve">CR01112</t>
  </si>
  <si>
    <t xml:space="preserve">Creator 56</t>
  </si>
  <si>
    <t xml:space="preserve">CR00056</t>
  </si>
  <si>
    <t xml:space="preserve">Creator 350</t>
  </si>
  <si>
    <t xml:space="preserve">CR00350</t>
  </si>
  <si>
    <t xml:space="preserve">Creator 697</t>
  </si>
  <si>
    <t xml:space="preserve">CR00697</t>
  </si>
  <si>
    <t xml:space="preserve">Creator 718</t>
  </si>
  <si>
    <t xml:space="preserve">CR00718</t>
  </si>
  <si>
    <t xml:space="preserve">Creator 53</t>
  </si>
  <si>
    <t xml:space="preserve">CR00053</t>
  </si>
  <si>
    <t xml:space="preserve">Creator 631</t>
  </si>
  <si>
    <t xml:space="preserve">CR00631</t>
  </si>
  <si>
    <t xml:space="preserve">Creator 1297</t>
  </si>
  <si>
    <t xml:space="preserve">CR01297</t>
  </si>
  <si>
    <t xml:space="preserve">Creator 138</t>
  </si>
  <si>
    <t xml:space="preserve">CR00138</t>
  </si>
  <si>
    <t xml:space="preserve">Creator 1053</t>
  </si>
  <si>
    <t xml:space="preserve">CR01053</t>
  </si>
  <si>
    <t xml:space="preserve">Creator 37</t>
  </si>
  <si>
    <t xml:space="preserve">CR00037</t>
  </si>
  <si>
    <t xml:space="preserve">Creator 226</t>
  </si>
  <si>
    <t xml:space="preserve">CR00226</t>
  </si>
  <si>
    <t xml:space="preserve">Creator 1246</t>
  </si>
  <si>
    <t xml:space="preserve">CR01246</t>
  </si>
  <si>
    <t xml:space="preserve">Creator 490</t>
  </si>
  <si>
    <t xml:space="preserve">CR00490</t>
  </si>
  <si>
    <t xml:space="preserve">Creator 284</t>
  </si>
  <si>
    <t xml:space="preserve">CR00284</t>
  </si>
  <si>
    <t xml:space="preserve">Creator 704</t>
  </si>
  <si>
    <t xml:space="preserve">CR00704</t>
  </si>
  <si>
    <t xml:space="preserve">Creator 217</t>
  </si>
  <si>
    <t xml:space="preserve">CR00217</t>
  </si>
  <si>
    <t xml:space="preserve">Creator 245</t>
  </si>
  <si>
    <t xml:space="preserve">CR00245</t>
  </si>
  <si>
    <t xml:space="preserve">Creator 1050</t>
  </si>
  <si>
    <t xml:space="preserve">CR01050</t>
  </si>
  <si>
    <t xml:space="preserve">Creator 198</t>
  </si>
  <si>
    <t xml:space="preserve">CR00198</t>
  </si>
  <si>
    <t xml:space="preserve">Instagram leaderboard — one row per complete Instagram channel</t>
  </si>
  <si>
    <t xml:space="preserve">Ranks every requested channel on this platform that is filled, even if the creator's other channels aren't yet. Scores are 0–100 percentiles within the platform (The Lens also within size band).</t>
  </si>
  <si>
    <t xml:space="preserve">Handle</t>
  </si>
  <si>
    <t xml:space="preserve">Followers</t>
  </si>
  <si>
    <t xml:space="preserve">Size band</t>
  </si>
  <si>
    <t xml:space="preserve">90d Reach Rate</t>
  </si>
  <si>
    <t xml:space="preserve">90d Growth Rate</t>
  </si>
  <si>
    <t xml:space="preserve">90d Meaningful Engagement Rate</t>
  </si>
  <si>
    <t xml:space="preserve">All requested channels filled</t>
  </si>
  <si>
    <t xml:space="preserve">Creator 401</t>
  </si>
  <si>
    <t xml:space="preserve">CR00401</t>
  </si>
  <si>
    <t xml:space="preserve">@creator401_instagram</t>
  </si>
  <si>
    <t xml:space="preserve">micro</t>
  </si>
  <si>
    <t xml:space="preserve">No</t>
  </si>
  <si>
    <t xml:space="preserve">@creator143_instagram</t>
  </si>
  <si>
    <t xml:space="preserve">mid</t>
  </si>
  <si>
    <t xml:space="preserve">Yes</t>
  </si>
  <si>
    <t xml:space="preserve">Creator 357</t>
  </si>
  <si>
    <t xml:space="preserve">CR00357</t>
  </si>
  <si>
    <t xml:space="preserve">@creator357_instagram</t>
  </si>
  <si>
    <t xml:space="preserve">Creator 588</t>
  </si>
  <si>
    <t xml:space="preserve">CR00588</t>
  </si>
  <si>
    <t xml:space="preserve">@creator588_instagram</t>
  </si>
  <si>
    <t xml:space="preserve">nano</t>
  </si>
  <si>
    <t xml:space="preserve">@creator1332_instagram</t>
  </si>
  <si>
    <t xml:space="preserve">n/a – likes hidden</t>
  </si>
  <si>
    <t xml:space="preserve">@creator114_instagram</t>
  </si>
  <si>
    <t xml:space="preserve">Creator 1102</t>
  </si>
  <si>
    <t xml:space="preserve">CR01102</t>
  </si>
  <si>
    <t xml:space="preserve">https://www.instagram.com/creator1102_instagram/</t>
  </si>
  <si>
    <t xml:space="preserve">@creator682_instagram</t>
  </si>
  <si>
    <t xml:space="preserve">@creator298_instagram</t>
  </si>
  <si>
    <t xml:space="preserve">@creator1106_instagram</t>
  </si>
  <si>
    <t xml:space="preserve">Creator 431</t>
  </si>
  <si>
    <t xml:space="preserve">CR00431</t>
  </si>
  <si>
    <t xml:space="preserve">@creator431_instagram</t>
  </si>
  <si>
    <t xml:space="preserve">@creator1397_instagram</t>
  </si>
  <si>
    <t xml:space="preserve">@creator706_instagram</t>
  </si>
  <si>
    <t xml:space="preserve">Creator 1462</t>
  </si>
  <si>
    <t xml:space="preserve">CR01462</t>
  </si>
  <si>
    <t xml:space="preserve">@creator1462_instagram</t>
  </si>
  <si>
    <t xml:space="preserve">Creator 489</t>
  </si>
  <si>
    <t xml:space="preserve">CR00489</t>
  </si>
  <si>
    <t xml:space="preserve">https://www.instagram.com/creator489_instagram/</t>
  </si>
  <si>
    <t xml:space="preserve">Creator 1492</t>
  </si>
  <si>
    <t xml:space="preserve">CR01492</t>
  </si>
  <si>
    <t xml:space="preserve">@creator1492_instagram</t>
  </si>
  <si>
    <t xml:space="preserve">Creator 38</t>
  </si>
  <si>
    <t xml:space="preserve">CR00038</t>
  </si>
  <si>
    <t xml:space="preserve">@creator38_instagram</t>
  </si>
  <si>
    <t xml:space="preserve">https://www.instagram.com/creator764_instagram/</t>
  </si>
  <si>
    <t xml:space="preserve">Creator 882</t>
  </si>
  <si>
    <t xml:space="preserve">CR00882</t>
  </si>
  <si>
    <t xml:space="preserve">@creator882_instagram</t>
  </si>
  <si>
    <t xml:space="preserve">Creator 189</t>
  </si>
  <si>
    <t xml:space="preserve">CR00189</t>
  </si>
  <si>
    <t xml:space="preserve">@creator189_instagram</t>
  </si>
  <si>
    <t xml:space="preserve">@creator727_instagram</t>
  </si>
  <si>
    <t xml:space="preserve">Creator 620</t>
  </si>
  <si>
    <t xml:space="preserve">CR00620</t>
  </si>
  <si>
    <t xml:space="preserve">@creator620_instagram</t>
  </si>
  <si>
    <t xml:space="preserve">Creator 327</t>
  </si>
  <si>
    <t xml:space="preserve">CR00327</t>
  </si>
  <si>
    <t xml:space="preserve">@creator327_instagram</t>
  </si>
  <si>
    <t xml:space="preserve">@creator379_instagram</t>
  </si>
  <si>
    <t xml:space="preserve">https://www.instagram.com/creator1132_instagram/</t>
  </si>
  <si>
    <t xml:space="preserve">https://www.instagram.com/creator1298_instagram/</t>
  </si>
  <si>
    <t xml:space="preserve">@creator212_instagram</t>
  </si>
  <si>
    <t xml:space="preserve">Creator 505</t>
  </si>
  <si>
    <t xml:space="preserve">CR00505</t>
  </si>
  <si>
    <t xml:space="preserve">@creator505_instagram</t>
  </si>
  <si>
    <t xml:space="preserve">@creator1376_instagram</t>
  </si>
  <si>
    <t xml:space="preserve">Creator 377</t>
  </si>
  <si>
    <t xml:space="preserve">CR00377</t>
  </si>
  <si>
    <t xml:space="preserve">@creator377_instagram</t>
  </si>
  <si>
    <t xml:space="preserve">Creator 979</t>
  </si>
  <si>
    <t xml:space="preserve">CR00979</t>
  </si>
  <si>
    <t xml:space="preserve">https://www.instagram.com/creator979_instagram/</t>
  </si>
  <si>
    <t xml:space="preserve">@creator373_instagram</t>
  </si>
  <si>
    <t xml:space="preserve">Creator 576</t>
  </si>
  <si>
    <t xml:space="preserve">CR00576</t>
  </si>
  <si>
    <t xml:space="preserve">@creator576_instagram</t>
  </si>
  <si>
    <t xml:space="preserve">Creator 998</t>
  </si>
  <si>
    <t xml:space="preserve">CR00998</t>
  </si>
  <si>
    <t xml:space="preserve">@creator998_instagram</t>
  </si>
  <si>
    <t xml:space="preserve">Creator 368</t>
  </si>
  <si>
    <t xml:space="preserve">CR00368</t>
  </si>
  <si>
    <t xml:space="preserve">@creator368_instagram</t>
  </si>
  <si>
    <t xml:space="preserve">Creator 1309</t>
  </si>
  <si>
    <t xml:space="preserve">CR01309</t>
  </si>
  <si>
    <t xml:space="preserve">@creator1309_instagram</t>
  </si>
  <si>
    <t xml:space="preserve">@creator34_instagram</t>
  </si>
  <si>
    <t xml:space="preserve">Creator 1229</t>
  </si>
  <si>
    <t xml:space="preserve">CR01229</t>
  </si>
  <si>
    <t xml:space="preserve">@creator1229_instagram</t>
  </si>
  <si>
    <t xml:space="preserve">@creator246_instagram</t>
  </si>
  <si>
    <t xml:space="preserve">@creator681_instagram</t>
  </si>
  <si>
    <t xml:space="preserve">macro</t>
  </si>
  <si>
    <t xml:space="preserve">@creator741_instagram</t>
  </si>
  <si>
    <t xml:space="preserve">Creator 41</t>
  </si>
  <si>
    <t xml:space="preserve">CR00041</t>
  </si>
  <si>
    <t xml:space="preserve">https://www.instagram.com/creator41_instagram/</t>
  </si>
  <si>
    <t xml:space="preserve">Creator 831</t>
  </si>
  <si>
    <t xml:space="preserve">CR00831</t>
  </si>
  <si>
    <t xml:space="preserve">@creator831_instagram</t>
  </si>
  <si>
    <t xml:space="preserve">Creator 277</t>
  </si>
  <si>
    <t xml:space="preserve">CR00277</t>
  </si>
  <si>
    <t xml:space="preserve">@creator277_instagram</t>
  </si>
  <si>
    <t xml:space="preserve">@creator1077_instagram</t>
  </si>
  <si>
    <t xml:space="preserve">@creator676_instagram</t>
  </si>
  <si>
    <t xml:space="preserve">https://www.instagram.com/creator1133_instagram/</t>
  </si>
  <si>
    <t xml:space="preserve">@creator497_instagram</t>
  </si>
  <si>
    <t xml:space="preserve">Creator 1436</t>
  </si>
  <si>
    <t xml:space="preserve">CR01436</t>
  </si>
  <si>
    <t xml:space="preserve">https://www.instagram.com/creator1436_instagram/</t>
  </si>
  <si>
    <t xml:space="preserve">Creator 366</t>
  </si>
  <si>
    <t xml:space="preserve">CR00366</t>
  </si>
  <si>
    <t xml:space="preserve">@creator366_instagram</t>
  </si>
  <si>
    <t xml:space="preserve">Creator 9</t>
  </si>
  <si>
    <t xml:space="preserve">CR00009</t>
  </si>
  <si>
    <t xml:space="preserve">@creator9_instagram</t>
  </si>
  <si>
    <t xml:space="preserve">Creator 186</t>
  </si>
  <si>
    <t xml:space="preserve">CR00186</t>
  </si>
  <si>
    <t xml:space="preserve">@creator186_instagram</t>
  </si>
  <si>
    <t xml:space="preserve">Creator 1217</t>
  </si>
  <si>
    <t xml:space="preserve">CR01217</t>
  </si>
  <si>
    <t xml:space="preserve">@creator1217_instagram</t>
  </si>
  <si>
    <t xml:space="preserve">@creator1373_instagram</t>
  </si>
  <si>
    <t xml:space="preserve">Creator 285</t>
  </si>
  <si>
    <t xml:space="preserve">CR00285</t>
  </si>
  <si>
    <t xml:space="preserve">@creator285_instagram</t>
  </si>
  <si>
    <t xml:space="preserve">Creator 1235</t>
  </si>
  <si>
    <t xml:space="preserve">CR01235</t>
  </si>
  <si>
    <t xml:space="preserve">@creator1235_instagram</t>
  </si>
  <si>
    <t xml:space="preserve">@creator1394_instagram</t>
  </si>
  <si>
    <t xml:space="preserve">@creator795_instagram</t>
  </si>
  <si>
    <t xml:space="preserve">Creator 724</t>
  </si>
  <si>
    <t xml:space="preserve">CR00724</t>
  </si>
  <si>
    <t xml:space="preserve">@creator724_instagram</t>
  </si>
  <si>
    <t xml:space="preserve">@creator1064_instagram</t>
  </si>
  <si>
    <t xml:space="preserve">Creator 269</t>
  </si>
  <si>
    <t xml:space="preserve">CR00269</t>
  </si>
  <si>
    <t xml:space="preserve">https://www.instagram.com/creator269_instagram/</t>
  </si>
  <si>
    <t xml:space="preserve">Creator 403</t>
  </si>
  <si>
    <t xml:space="preserve">CR00403</t>
  </si>
  <si>
    <t xml:space="preserve">@creator403_instagram</t>
  </si>
  <si>
    <t xml:space="preserve">Creator 1061</t>
  </si>
  <si>
    <t xml:space="preserve">CR01061</t>
  </si>
  <si>
    <t xml:space="preserve">@creator1061_instagram</t>
  </si>
  <si>
    <t xml:space="preserve">Creator 591</t>
  </si>
  <si>
    <t xml:space="preserve">CR00591</t>
  </si>
  <si>
    <t xml:space="preserve">@creator591_instagram</t>
  </si>
  <si>
    <t xml:space="preserve">Creator 1395</t>
  </si>
  <si>
    <t xml:space="preserve">CR01395</t>
  </si>
  <si>
    <t xml:space="preserve">https://www.instagram.com/creator1395_instagram/</t>
  </si>
  <si>
    <t xml:space="preserve">@creator448_instagram</t>
  </si>
  <si>
    <t xml:space="preserve">Creator 897</t>
  </si>
  <si>
    <t xml:space="preserve">CR00897</t>
  </si>
  <si>
    <t xml:space="preserve">@creator897_instagram</t>
  </si>
  <si>
    <t xml:space="preserve">@creator791_instagram</t>
  </si>
  <si>
    <t xml:space="preserve">@creator1290_instagram</t>
  </si>
  <si>
    <t xml:space="preserve">@creator435_instagram</t>
  </si>
  <si>
    <t xml:space="preserve">Creator 1448</t>
  </si>
  <si>
    <t xml:space="preserve">CR01448</t>
  </si>
  <si>
    <t xml:space="preserve">@creator1448_instagram</t>
  </si>
  <si>
    <t xml:space="preserve">Creator 674</t>
  </si>
  <si>
    <t xml:space="preserve">CR00674</t>
  </si>
  <si>
    <t xml:space="preserve">@creator674_instagram</t>
  </si>
  <si>
    <t xml:space="preserve">@creator1199_instagram</t>
  </si>
  <si>
    <t xml:space="preserve">@creator259_instagram</t>
  </si>
  <si>
    <t xml:space="preserve">@creator324_instagram</t>
  </si>
  <si>
    <t xml:space="preserve">Creator 1121</t>
  </si>
  <si>
    <t xml:space="preserve">CR01121</t>
  </si>
  <si>
    <t xml:space="preserve">@creator1121_instagram</t>
  </si>
  <si>
    <t xml:space="preserve">Creator 670</t>
  </si>
  <si>
    <t xml:space="preserve">CR00670</t>
  </si>
  <si>
    <t xml:space="preserve">@creator670_instagram</t>
  </si>
  <si>
    <t xml:space="preserve">https://www.instagram.com/creator1276_instagram/</t>
  </si>
  <si>
    <t xml:space="preserve">Creator 360</t>
  </si>
  <si>
    <t xml:space="preserve">CR00360</t>
  </si>
  <si>
    <t xml:space="preserve">@creator360_instagram</t>
  </si>
  <si>
    <t xml:space="preserve">Creator 1469</t>
  </si>
  <si>
    <t xml:space="preserve">CR01469</t>
  </si>
  <si>
    <t xml:space="preserve">@creator1469_instagram</t>
  </si>
  <si>
    <t xml:space="preserve">@creator39_instagram</t>
  </si>
  <si>
    <t xml:space="preserve">Creator 257</t>
  </si>
  <si>
    <t xml:space="preserve">CR00257</t>
  </si>
  <si>
    <t xml:space="preserve">@creator257_instagram</t>
  </si>
  <si>
    <t xml:space="preserve">@creator292_instagram</t>
  </si>
  <si>
    <t xml:space="preserve">@creator594_instagram</t>
  </si>
  <si>
    <t xml:space="preserve">Creator 393</t>
  </si>
  <si>
    <t xml:space="preserve">CR00393</t>
  </si>
  <si>
    <t xml:space="preserve">@creator393_instagram</t>
  </si>
  <si>
    <t xml:space="preserve">@creator1029_instagram</t>
  </si>
  <si>
    <t xml:space="preserve">Creator 1085</t>
  </si>
  <si>
    <t xml:space="preserve">CR01085</t>
  </si>
  <si>
    <t xml:space="preserve">@creator1085_instagram</t>
  </si>
  <si>
    <t xml:space="preserve">@creator1240_instagram</t>
  </si>
  <si>
    <t xml:space="preserve">@creator1325_instagram</t>
  </si>
  <si>
    <t xml:space="preserve">Creator 340</t>
  </si>
  <si>
    <t xml:space="preserve">CR00340</t>
  </si>
  <si>
    <t xml:space="preserve">@creator340_instagram</t>
  </si>
  <si>
    <t xml:space="preserve">Creator 613</t>
  </si>
  <si>
    <t xml:space="preserve">CR00613</t>
  </si>
  <si>
    <t xml:space="preserve">https://www.instagram.com/creator613_instagram/</t>
  </si>
  <si>
    <t xml:space="preserve">Creator 927</t>
  </si>
  <si>
    <t xml:space="preserve">CR00927</t>
  </si>
  <si>
    <t xml:space="preserve">@creator927_instagram</t>
  </si>
  <si>
    <t xml:space="preserve">@creator150_instagram</t>
  </si>
  <si>
    <t xml:space="preserve">Creator 684</t>
  </si>
  <si>
    <t xml:space="preserve">CR00684</t>
  </si>
  <si>
    <t xml:space="preserve">@creator684_instagram</t>
  </si>
  <si>
    <t xml:space="preserve">https://www.instagram.com/creator605_instagram/</t>
  </si>
  <si>
    <t xml:space="preserve">@creator31_instagram</t>
  </si>
  <si>
    <t xml:space="preserve">Creator 766</t>
  </si>
  <si>
    <t xml:space="preserve">CR00766</t>
  </si>
  <si>
    <t xml:space="preserve">@creator766_instagram</t>
  </si>
  <si>
    <t xml:space="preserve">Creator 25</t>
  </si>
  <si>
    <t xml:space="preserve">CR00025</t>
  </si>
  <si>
    <t xml:space="preserve">@creator25_instagram</t>
  </si>
  <si>
    <t xml:space="preserve">Creator 696</t>
  </si>
  <si>
    <t xml:space="preserve">CR00696</t>
  </si>
  <si>
    <t xml:space="preserve">@creator696_instagram</t>
  </si>
  <si>
    <t xml:space="preserve">@creator458_instagram</t>
  </si>
  <si>
    <t xml:space="preserve">Creator 465</t>
  </si>
  <si>
    <t xml:space="preserve">CR00465</t>
  </si>
  <si>
    <t xml:space="preserve">@creator465_instagram</t>
  </si>
  <si>
    <t xml:space="preserve">Creator 1144</t>
  </si>
  <si>
    <t xml:space="preserve">CR01144</t>
  </si>
  <si>
    <t xml:space="preserve">@creator1144_instagram</t>
  </si>
  <si>
    <t xml:space="preserve">@creator1101_instagram</t>
  </si>
  <si>
    <t xml:space="preserve">@creator1495_instagram</t>
  </si>
  <si>
    <t xml:space="preserve">Creator 102</t>
  </si>
  <si>
    <t xml:space="preserve">CR00102</t>
  </si>
  <si>
    <t xml:space="preserve">@creator102_instagram</t>
  </si>
  <si>
    <t xml:space="preserve">Creator 231</t>
  </si>
  <si>
    <t xml:space="preserve">CR00231</t>
  </si>
  <si>
    <t xml:space="preserve">@creator231_instagram</t>
  </si>
  <si>
    <t xml:space="preserve">@creator992_instagram</t>
  </si>
  <si>
    <t xml:space="preserve">@creator33_instagram</t>
  </si>
  <si>
    <t xml:space="preserve">https://www.instagram.com/creator260_instagram/</t>
  </si>
  <si>
    <t xml:space="preserve">Creator 286</t>
  </si>
  <si>
    <t xml:space="preserve">CR00286</t>
  </si>
  <si>
    <t xml:space="preserve">@creator286_instagram</t>
  </si>
  <si>
    <t xml:space="preserve">Creator 622</t>
  </si>
  <si>
    <t xml:space="preserve">CR00622</t>
  </si>
  <si>
    <t xml:space="preserve">@creator622_instagram</t>
  </si>
  <si>
    <t xml:space="preserve">@creator533_instagram</t>
  </si>
  <si>
    <t xml:space="preserve">@creator1143_instagram</t>
  </si>
  <si>
    <t xml:space="preserve">@creator293_instagram</t>
  </si>
  <si>
    <t xml:space="preserve">Creator 935</t>
  </si>
  <si>
    <t xml:space="preserve">CR00935</t>
  </si>
  <si>
    <t xml:space="preserve">@creator935_instagram</t>
  </si>
  <si>
    <t xml:space="preserve">Creator 881</t>
  </si>
  <si>
    <t xml:space="preserve">CR00881</t>
  </si>
  <si>
    <t xml:space="preserve">@creator881_instagram</t>
  </si>
  <si>
    <t xml:space="preserve">Creator 443</t>
  </si>
  <si>
    <t xml:space="preserve">CR00443</t>
  </si>
  <si>
    <t xml:space="preserve">@creator443_instagram</t>
  </si>
  <si>
    <t xml:space="preserve">Creator 395</t>
  </si>
  <si>
    <t xml:space="preserve">CR00395</t>
  </si>
  <si>
    <t xml:space="preserve">@creator395_instagram</t>
  </si>
  <si>
    <t xml:space="preserve">Creator 550</t>
  </si>
  <si>
    <t xml:space="preserve">CR00550</t>
  </si>
  <si>
    <t xml:space="preserve">@creator550_instagram</t>
  </si>
  <si>
    <t xml:space="preserve">https://www.instagram.com/creator371_instagram/</t>
  </si>
  <si>
    <t xml:space="preserve">@creator1280_instagram</t>
  </si>
  <si>
    <t xml:space="preserve">@creator688_instagram</t>
  </si>
  <si>
    <t xml:space="preserve">Creator 13</t>
  </si>
  <si>
    <t xml:space="preserve">CR00013</t>
  </si>
  <si>
    <t xml:space="preserve">@creator13_instagram</t>
  </si>
  <si>
    <t xml:space="preserve">@creator336_instagram</t>
  </si>
  <si>
    <t xml:space="preserve">https://www.instagram.com/creator488_instagram/</t>
  </si>
  <si>
    <t xml:space="preserve">Creator 799</t>
  </si>
  <si>
    <t xml:space="preserve">CR00799</t>
  </si>
  <si>
    <t xml:space="preserve">@creator799_instagram</t>
  </si>
  <si>
    <t xml:space="preserve">Creator 1190</t>
  </si>
  <si>
    <t xml:space="preserve">CR01190</t>
  </si>
  <si>
    <t xml:space="preserve">@creator1190_instagram</t>
  </si>
  <si>
    <t xml:space="preserve">Creator 29</t>
  </si>
  <si>
    <t xml:space="preserve">CR00029</t>
  </si>
  <si>
    <t xml:space="preserve">@creator29_instagram</t>
  </si>
  <si>
    <t xml:space="preserve">Creator 291</t>
  </si>
  <si>
    <t xml:space="preserve">CR00291</t>
  </si>
  <si>
    <t xml:space="preserve">@creator291_instagram</t>
  </si>
  <si>
    <t xml:space="preserve">Creator 396</t>
  </si>
  <si>
    <t xml:space="preserve">CR00396</t>
  </si>
  <si>
    <t xml:space="preserve">@creator396_instagram</t>
  </si>
  <si>
    <t xml:space="preserve">https://www.instagram.com/creator1175_instagram/</t>
  </si>
  <si>
    <t xml:space="preserve">Creator 352</t>
  </si>
  <si>
    <t xml:space="preserve">CR00352</t>
  </si>
  <si>
    <t xml:space="preserve">@creator352_instagram</t>
  </si>
  <si>
    <t xml:space="preserve">Creator 247</t>
  </si>
  <si>
    <t xml:space="preserve">CR00247</t>
  </si>
  <si>
    <t xml:space="preserve">@creator247_instagram</t>
  </si>
  <si>
    <t xml:space="preserve">@creator96_instagram</t>
  </si>
  <si>
    <t xml:space="preserve">Creator 880</t>
  </si>
  <si>
    <t xml:space="preserve">CR00880</t>
  </si>
  <si>
    <t xml:space="preserve">@creator880_instagram</t>
  </si>
  <si>
    <t xml:space="preserve">@creator926_instagram</t>
  </si>
  <si>
    <t xml:space="preserve">Creator 130</t>
  </si>
  <si>
    <t xml:space="preserve">CR00130</t>
  </si>
  <si>
    <t xml:space="preserve">@creator130_instagram</t>
  </si>
  <si>
    <t xml:space="preserve">@creator1341_instagram</t>
  </si>
  <si>
    <t xml:space="preserve">@creator1003_instagram</t>
  </si>
  <si>
    <t xml:space="preserve">Creator 754</t>
  </si>
  <si>
    <t xml:space="preserve">CR00754</t>
  </si>
  <si>
    <t xml:space="preserve">@creator754_instagram</t>
  </si>
  <si>
    <t xml:space="preserve">https://www.instagram.com/creator1291_instagram/</t>
  </si>
  <si>
    <t xml:space="preserve">Creator 709</t>
  </si>
  <si>
    <t xml:space="preserve">CR00709</t>
  </si>
  <si>
    <t xml:space="preserve">@creator709_instagram</t>
  </si>
  <si>
    <t xml:space="preserve">Creator 529</t>
  </si>
  <si>
    <t xml:space="preserve">CR00529</t>
  </si>
  <si>
    <t xml:space="preserve">@creator529_instagram</t>
  </si>
  <si>
    <t xml:space="preserve">@creator1181_instagram</t>
  </si>
  <si>
    <t xml:space="preserve">Creator 1402</t>
  </si>
  <si>
    <t xml:space="preserve">CR01402</t>
  </si>
  <si>
    <t xml:space="preserve">@creator1402_instagram</t>
  </si>
  <si>
    <t xml:space="preserve">@creator509_instagram</t>
  </si>
  <si>
    <t xml:space="preserve">Creator 887</t>
  </si>
  <si>
    <t xml:space="preserve">CR00887</t>
  </si>
  <si>
    <t xml:space="preserve">@creator887_instagram</t>
  </si>
  <si>
    <t xml:space="preserve">Creator 584</t>
  </si>
  <si>
    <t xml:space="preserve">CR00584</t>
  </si>
  <si>
    <t xml:space="preserve">@creator584_instagram</t>
  </si>
  <si>
    <t xml:space="preserve">@creator1481_instagram</t>
  </si>
  <si>
    <t xml:space="preserve">@creator1274_instagram</t>
  </si>
  <si>
    <t xml:space="preserve">Creator 574</t>
  </si>
  <si>
    <t xml:space="preserve">CR00574</t>
  </si>
  <si>
    <t xml:space="preserve">@creator574_instagram</t>
  </si>
  <si>
    <t xml:space="preserve">Creator 1008</t>
  </si>
  <si>
    <t xml:space="preserve">CR01008</t>
  </si>
  <si>
    <t xml:space="preserve">@creator1008_instagram</t>
  </si>
  <si>
    <t xml:space="preserve">@creator158_instagram</t>
  </si>
  <si>
    <t xml:space="preserve">@creator786_instagram</t>
  </si>
  <si>
    <t xml:space="preserve">Creator 261</t>
  </si>
  <si>
    <t xml:space="preserve">CR00261</t>
  </si>
  <si>
    <t xml:space="preserve">@creator261_instagram</t>
  </si>
  <si>
    <t xml:space="preserve">@creator491_instagram</t>
  </si>
  <si>
    <t xml:space="preserve">@creator116_instagram</t>
  </si>
  <si>
    <t xml:space="preserve">@creator923_instagram</t>
  </si>
  <si>
    <t xml:space="preserve">@creator1304_instagram</t>
  </si>
  <si>
    <t xml:space="preserve">Creator 928</t>
  </si>
  <si>
    <t xml:space="preserve">CR00928</t>
  </si>
  <si>
    <t xml:space="preserve">https://www.instagram.com/creator928_instagram/</t>
  </si>
  <si>
    <t xml:space="preserve">Creator 1065</t>
  </si>
  <si>
    <t xml:space="preserve">CR01065</t>
  </si>
  <si>
    <t xml:space="preserve">@creator1065_instagram</t>
  </si>
  <si>
    <t xml:space="preserve">@creator345_instagram</t>
  </si>
  <si>
    <t xml:space="preserve">@creator192_instagram</t>
  </si>
  <si>
    <t xml:space="preserve">@creator271_instagram</t>
  </si>
  <si>
    <t xml:space="preserve">Creator 1218</t>
  </si>
  <si>
    <t xml:space="preserve">CR01218</t>
  </si>
  <si>
    <t xml:space="preserve">@creator1218_instagram</t>
  </si>
  <si>
    <t xml:space="preserve">Creator 287</t>
  </si>
  <si>
    <t xml:space="preserve">CR00287</t>
  </si>
  <si>
    <t xml:space="preserve">@creator287_instagram</t>
  </si>
  <si>
    <t xml:space="preserve">Creator 1249</t>
  </si>
  <si>
    <t xml:space="preserve">CR01249</t>
  </si>
  <si>
    <t xml:space="preserve">@creator1249_instagram</t>
  </si>
  <si>
    <t xml:space="preserve">@creator481_instagram</t>
  </si>
  <si>
    <t xml:space="preserve">@creator248_instagram</t>
  </si>
  <si>
    <t xml:space="preserve">Creator 745</t>
  </si>
  <si>
    <t xml:space="preserve">CR00745</t>
  </si>
  <si>
    <t xml:space="preserve">@creator745_instagram</t>
  </si>
  <si>
    <t xml:space="preserve">Creator 399</t>
  </si>
  <si>
    <t xml:space="preserve">CR00399</t>
  </si>
  <si>
    <t xml:space="preserve">@creator399_instagram</t>
  </si>
  <si>
    <t xml:space="preserve">Creator 859</t>
  </si>
  <si>
    <t xml:space="preserve">CR00859</t>
  </si>
  <si>
    <t xml:space="preserve">@creator859_instagram</t>
  </si>
  <si>
    <t xml:space="preserve">Creator 460</t>
  </si>
  <si>
    <t xml:space="preserve">CR00460</t>
  </si>
  <si>
    <t xml:space="preserve">@creator460_instagram</t>
  </si>
  <si>
    <t xml:space="preserve">@creator199_instagram</t>
  </si>
  <si>
    <t xml:space="preserve">Creator 1056</t>
  </si>
  <si>
    <t xml:space="preserve">CR01056</t>
  </si>
  <si>
    <t xml:space="preserve">@creator1056_instagram</t>
  </si>
  <si>
    <t xml:space="preserve">@creator354_instagram</t>
  </si>
  <si>
    <t xml:space="preserve">Creator 1023</t>
  </si>
  <si>
    <t xml:space="preserve">CR01023</t>
  </si>
  <si>
    <t xml:space="preserve">@creator1023_instagram</t>
  </si>
  <si>
    <t xml:space="preserve">@creator1427_instagram</t>
  </si>
  <si>
    <t xml:space="preserve">@creator1013_instagram</t>
  </si>
  <si>
    <t xml:space="preserve">https://www.instagram.com/creator1011_instagram/</t>
  </si>
  <si>
    <t xml:space="preserve">Creator 876</t>
  </si>
  <si>
    <t xml:space="preserve">CR00876</t>
  </si>
  <si>
    <t xml:space="preserve">@creator876_instagram</t>
  </si>
  <si>
    <t xml:space="preserve">Creator 103</t>
  </si>
  <si>
    <t xml:space="preserve">CR00103</t>
  </si>
  <si>
    <t xml:space="preserve">@creator103_instagram</t>
  </si>
  <si>
    <t xml:space="preserve">@creator1483_instagram</t>
  </si>
  <si>
    <t xml:space="preserve">@creator457_instagram</t>
  </si>
  <si>
    <t xml:space="preserve">@creator1103_instagram</t>
  </si>
  <si>
    <t xml:space="preserve">@creator525_instagram</t>
  </si>
  <si>
    <t xml:space="preserve">https://www.instagram.com/creator161_instagram/</t>
  </si>
  <si>
    <t xml:space="preserve">Creator 477</t>
  </si>
  <si>
    <t xml:space="preserve">CR00477</t>
  </si>
  <si>
    <t xml:space="preserve">@creator477_instagram</t>
  </si>
  <si>
    <t xml:space="preserve">Creator 701</t>
  </si>
  <si>
    <t xml:space="preserve">CR00701</t>
  </si>
  <si>
    <t xml:space="preserve">@creator701_instagram</t>
  </si>
  <si>
    <t xml:space="preserve">@creator342_instagram</t>
  </si>
  <si>
    <t xml:space="preserve">@creator830_instagram</t>
  </si>
  <si>
    <t xml:space="preserve">@creator579_instagram</t>
  </si>
  <si>
    <t xml:space="preserve">Creator 363</t>
  </si>
  <si>
    <t xml:space="preserve">CR00363</t>
  </si>
  <si>
    <t xml:space="preserve">https://www.instagram.com/creator363_instagram/</t>
  </si>
  <si>
    <t xml:space="preserve">@creator1207_instagram</t>
  </si>
  <si>
    <t xml:space="preserve">Creator 891</t>
  </si>
  <si>
    <t xml:space="preserve">CR00891</t>
  </si>
  <si>
    <t xml:space="preserve">@creator891_instagram</t>
  </si>
  <si>
    <t xml:space="preserve">https://www.instagram.com/creator839_instagram/</t>
  </si>
  <si>
    <t xml:space="preserve">@creator1248_instagram</t>
  </si>
  <si>
    <t xml:space="preserve">Creator 202</t>
  </si>
  <si>
    <t xml:space="preserve">CR00202</t>
  </si>
  <si>
    <t xml:space="preserve">@creator202_instagram</t>
  </si>
  <si>
    <t xml:space="preserve">@creator50_instagram</t>
  </si>
  <si>
    <t xml:space="preserve">Creator 569</t>
  </si>
  <si>
    <t xml:space="preserve">CR00569</t>
  </si>
  <si>
    <t xml:space="preserve">@creator569_instagram</t>
  </si>
  <si>
    <t xml:space="preserve">Creator 40</t>
  </si>
  <si>
    <t xml:space="preserve">CR00040</t>
  </si>
  <si>
    <t xml:space="preserve">@creator40_instagram</t>
  </si>
  <si>
    <t xml:space="preserve">Creator 1458</t>
  </si>
  <si>
    <t xml:space="preserve">CR01458</t>
  </si>
  <si>
    <t xml:space="preserve">@creator1458_instagram</t>
  </si>
  <si>
    <t xml:space="preserve">Creator 899</t>
  </si>
  <si>
    <t xml:space="preserve">CR00899</t>
  </si>
  <si>
    <t xml:space="preserve">@creator899_instagram</t>
  </si>
  <si>
    <t xml:space="preserve">@creator1129_instagram</t>
  </si>
  <si>
    <t xml:space="preserve">@creator970_instagram</t>
  </si>
  <si>
    <t xml:space="preserve">@creator1477_instagram</t>
  </si>
  <si>
    <t xml:space="preserve">@creator527_instagram</t>
  </si>
  <si>
    <t xml:space="preserve">Creator 108</t>
  </si>
  <si>
    <t xml:space="preserve">CR00108</t>
  </si>
  <si>
    <t xml:space="preserve">@creator108_instagram</t>
  </si>
  <si>
    <t xml:space="preserve">@creator1136_instagram</t>
  </si>
  <si>
    <t xml:space="preserve">Creator 1284</t>
  </si>
  <si>
    <t xml:space="preserve">CR01284</t>
  </si>
  <si>
    <t xml:space="preserve">@creator1284_instagram</t>
  </si>
  <si>
    <t xml:space="preserve">Creator 1296</t>
  </si>
  <si>
    <t xml:space="preserve">CR01296</t>
  </si>
  <si>
    <t xml:space="preserve">@creator1296_instagram</t>
  </si>
  <si>
    <t xml:space="preserve">@creator759_instagram</t>
  </si>
  <si>
    <t xml:space="preserve">Creator 1243</t>
  </si>
  <si>
    <t xml:space="preserve">CR01243</t>
  </si>
  <si>
    <t xml:space="preserve">@creator1243_instagram</t>
  </si>
  <si>
    <t xml:space="preserve">@creator1478_instagram</t>
  </si>
  <si>
    <t xml:space="preserve">@creator860_instagram</t>
  </si>
  <si>
    <t xml:space="preserve">Creator 1039</t>
  </si>
  <si>
    <t xml:space="preserve">CR01039</t>
  </si>
  <si>
    <t xml:space="preserve">@creator1039_instagram</t>
  </si>
  <si>
    <t xml:space="preserve">Creator 1093</t>
  </si>
  <si>
    <t xml:space="preserve">CR01093</t>
  </si>
  <si>
    <t xml:space="preserve">@creator1093_instagram</t>
  </si>
  <si>
    <t xml:space="preserve">Creator 208</t>
  </si>
  <si>
    <t xml:space="preserve">CR00208</t>
  </si>
  <si>
    <t xml:space="preserve">@creator208_instagram</t>
  </si>
  <si>
    <t xml:space="preserve">@creator857_instagram</t>
  </si>
  <si>
    <t xml:space="preserve">Creator 70</t>
  </si>
  <si>
    <t xml:space="preserve">CR00070</t>
  </si>
  <si>
    <t xml:space="preserve">@creator70_instagram</t>
  </si>
  <si>
    <t xml:space="preserve">Creator 848</t>
  </si>
  <si>
    <t xml:space="preserve">CR00848</t>
  </si>
  <si>
    <t xml:space="preserve">@creator848_instagram</t>
  </si>
  <si>
    <t xml:space="preserve">Creator 771</t>
  </si>
  <si>
    <t xml:space="preserve">CR00771</t>
  </si>
  <si>
    <t xml:space="preserve">@creator771_instagram</t>
  </si>
  <si>
    <t xml:space="preserve">Creator 557</t>
  </si>
  <si>
    <t xml:space="preserve">CR00557</t>
  </si>
  <si>
    <t xml:space="preserve">@creator557_instagram</t>
  </si>
  <si>
    <t xml:space="preserve">Creator 875</t>
  </si>
  <si>
    <t xml:space="preserve">CR00875</t>
  </si>
  <si>
    <t xml:space="preserve">@creator875_instagram</t>
  </si>
  <si>
    <t xml:space="preserve">Creator 322</t>
  </si>
  <si>
    <t xml:space="preserve">CR00322</t>
  </si>
  <si>
    <t xml:space="preserve">@creator322_instagram</t>
  </si>
  <si>
    <t xml:space="preserve">@creator673_instagram</t>
  </si>
  <si>
    <t xml:space="preserve">Creator 832</t>
  </si>
  <si>
    <t xml:space="preserve">CR00832</t>
  </si>
  <si>
    <t xml:space="preserve">@creator832_instagram</t>
  </si>
  <si>
    <t xml:space="preserve">https://www.instagram.com/creator966_instagram/</t>
  </si>
  <si>
    <t xml:space="preserve">@creator610_instagram</t>
  </si>
  <si>
    <t xml:space="preserve">Creator 1383</t>
  </si>
  <si>
    <t xml:space="preserve">CR01383</t>
  </si>
  <si>
    <t xml:space="preserve">@creator1383_instagram</t>
  </si>
  <si>
    <t xml:space="preserve">Creator 914</t>
  </si>
  <si>
    <t xml:space="preserve">CR00914</t>
  </si>
  <si>
    <t xml:space="preserve">@creator914_instagram</t>
  </si>
  <si>
    <t xml:space="preserve">@creator194_instagram</t>
  </si>
  <si>
    <t xml:space="preserve">@creator1146_instagram</t>
  </si>
  <si>
    <t xml:space="preserve">https://www.instagram.com/creator328_instagram/</t>
  </si>
  <si>
    <t xml:space="preserve">@creator967_instagram</t>
  </si>
  <si>
    <t xml:space="preserve">@creator889_instagram</t>
  </si>
  <si>
    <t xml:space="preserve">Creator 511</t>
  </si>
  <si>
    <t xml:space="preserve">CR00511</t>
  </si>
  <si>
    <t xml:space="preserve">@creator511_instagram</t>
  </si>
  <si>
    <t xml:space="preserve">@creator1230_instagram</t>
  </si>
  <si>
    <t xml:space="preserve">Creator 12</t>
  </si>
  <si>
    <t xml:space="preserve">CR00012</t>
  </si>
  <si>
    <t xml:space="preserve">@creator12_instagram</t>
  </si>
  <si>
    <t xml:space="preserve">@creator272_instagram</t>
  </si>
  <si>
    <t xml:space="preserve">@creator583_instagram</t>
  </si>
  <si>
    <t xml:space="preserve">Creator 148</t>
  </si>
  <si>
    <t xml:space="preserve">CR00148</t>
  </si>
  <si>
    <t xml:space="preserve">@creator148_instagram</t>
  </si>
  <si>
    <t xml:space="preserve">Creator 430</t>
  </si>
  <si>
    <t xml:space="preserve">CR00430</t>
  </si>
  <si>
    <t xml:space="preserve">@creator430_instagram</t>
  </si>
  <si>
    <t xml:space="preserve">@creator446_instagram</t>
  </si>
  <si>
    <t xml:space="preserve">@creator1195_instagram</t>
  </si>
  <si>
    <t xml:space="preserve">@creator873_instagram</t>
  </si>
  <si>
    <t xml:space="preserve">Creator 1119</t>
  </si>
  <si>
    <t xml:space="preserve">CR01119</t>
  </si>
  <si>
    <t xml:space="preserve">@creator1119_instagram</t>
  </si>
  <si>
    <t xml:space="preserve">Creator 369</t>
  </si>
  <si>
    <t xml:space="preserve">CR00369</t>
  </si>
  <si>
    <t xml:space="preserve">@creator369_instagram</t>
  </si>
  <si>
    <t xml:space="preserve">@creator752_instagram</t>
  </si>
  <si>
    <t xml:space="preserve">Creator 300</t>
  </si>
  <si>
    <t xml:space="preserve">CR00300</t>
  </si>
  <si>
    <t xml:space="preserve">@creator300_instagram</t>
  </si>
  <si>
    <t xml:space="preserve">Creator 1037</t>
  </si>
  <si>
    <t xml:space="preserve">CR01037</t>
  </si>
  <si>
    <t xml:space="preserve">@creator1037_instagram</t>
  </si>
  <si>
    <t xml:space="preserve">Creator 1088</t>
  </si>
  <si>
    <t xml:space="preserve">CR01088</t>
  </si>
  <si>
    <t xml:space="preserve">@creator1088_instagram</t>
  </si>
  <si>
    <t xml:space="preserve">@creator449_instagram</t>
  </si>
  <si>
    <t xml:space="preserve">Creator 781</t>
  </si>
  <si>
    <t xml:space="preserve">CR00781</t>
  </si>
  <si>
    <t xml:space="preserve">@creator781_instagram</t>
  </si>
  <si>
    <t xml:space="preserve">@creator1160_instagram</t>
  </si>
  <si>
    <t xml:space="preserve">Creator 233</t>
  </si>
  <si>
    <t xml:space="preserve">CR00233</t>
  </si>
  <si>
    <t xml:space="preserve">@creator233_instagram</t>
  </si>
  <si>
    <t xml:space="preserve">@creator541_instagram</t>
  </si>
  <si>
    <t xml:space="preserve">@creator126_instagram</t>
  </si>
  <si>
    <t xml:space="preserve">@creator346_instagram</t>
  </si>
  <si>
    <t xml:space="preserve">Creator 822</t>
  </si>
  <si>
    <t xml:space="preserve">CR00822</t>
  </si>
  <si>
    <t xml:space="preserve">@creator822_instagram</t>
  </si>
  <si>
    <t xml:space="preserve">Creator 755</t>
  </si>
  <si>
    <t xml:space="preserve">CR00755</t>
  </si>
  <si>
    <t xml:space="preserve">@creator755_instagram</t>
  </si>
  <si>
    <t xml:space="preserve">Creator 746</t>
  </si>
  <si>
    <t xml:space="preserve">CR00746</t>
  </si>
  <si>
    <t xml:space="preserve">@creator746_instagram</t>
  </si>
  <si>
    <t xml:space="preserve">Creator 2</t>
  </si>
  <si>
    <t xml:space="preserve">CR00002</t>
  </si>
  <si>
    <t xml:space="preserve">@creator2_instagram</t>
  </si>
  <si>
    <t xml:space="preserve">@creator865_instagram</t>
  </si>
  <si>
    <t xml:space="preserve">@creator707_instagram</t>
  </si>
  <si>
    <t xml:space="preserve">@creator722_instagram</t>
  </si>
  <si>
    <t xml:space="preserve">@creator847_instagram</t>
  </si>
  <si>
    <t xml:space="preserve">@creator760_instagram</t>
  </si>
  <si>
    <t xml:space="preserve">@creator136_instagram</t>
  </si>
  <si>
    <t xml:space="preserve">@creator983_instagram</t>
  </si>
  <si>
    <t xml:space="preserve">@creator566_instagram</t>
  </si>
  <si>
    <t xml:space="preserve">Creator 151</t>
  </si>
  <si>
    <t xml:space="preserve">CR00151</t>
  </si>
  <si>
    <t xml:space="preserve">https://www.instagram.com/creator151_instagram/</t>
  </si>
  <si>
    <t xml:space="preserve">Creator 1447</t>
  </si>
  <si>
    <t xml:space="preserve">CR01447</t>
  </si>
  <si>
    <t xml:space="preserve">@creator1447_instagram</t>
  </si>
  <si>
    <t xml:space="preserve">Creator 1145</t>
  </si>
  <si>
    <t xml:space="preserve">CR01145</t>
  </si>
  <si>
    <t xml:space="preserve">@creator1145_instagram</t>
  </si>
  <si>
    <t xml:space="preserve">@creator268_instagram</t>
  </si>
  <si>
    <t xml:space="preserve">@creator734_instagram</t>
  </si>
  <si>
    <t xml:space="preserve">@creator176_instagram</t>
  </si>
  <si>
    <t xml:space="preserve">https://www.instagram.com/creator535_instagram/</t>
  </si>
  <si>
    <t xml:space="preserve">Creator 289</t>
  </si>
  <si>
    <t xml:space="preserve">CR00289</t>
  </si>
  <si>
    <t xml:space="preserve">@creator289_instagram</t>
  </si>
  <si>
    <t xml:space="preserve">@creator544_instagram</t>
  </si>
  <si>
    <t xml:space="preserve">Creator 687</t>
  </si>
  <si>
    <t xml:space="preserve">CR00687</t>
  </si>
  <si>
    <t xml:space="preserve">@creator687_instagram</t>
  </si>
  <si>
    <t xml:space="preserve">Creator 90</t>
  </si>
  <si>
    <t xml:space="preserve">CR00090</t>
  </si>
  <si>
    <t xml:space="preserve">@creator90_instagram</t>
  </si>
  <si>
    <t xml:space="preserve">Creator 504</t>
  </si>
  <si>
    <t xml:space="preserve">CR00504</t>
  </si>
  <si>
    <t xml:space="preserve">@creator504_instagram</t>
  </si>
  <si>
    <t xml:space="preserve">Creator 155</t>
  </si>
  <si>
    <t xml:space="preserve">CR00155</t>
  </si>
  <si>
    <t xml:space="preserve">@creator155_instagram</t>
  </si>
  <si>
    <t xml:space="preserve">Creator 386</t>
  </si>
  <si>
    <t xml:space="preserve">CR00386</t>
  </si>
  <si>
    <t xml:space="preserve">@creator386_instagram</t>
  </si>
  <si>
    <t xml:space="preserve">https://www.instagram.com/creator725_instagram/</t>
  </si>
  <si>
    <t xml:space="preserve">Creator 1485</t>
  </si>
  <si>
    <t xml:space="preserve">CR01485</t>
  </si>
  <si>
    <t xml:space="preserve">@creator1485_instagram</t>
  </si>
  <si>
    <t xml:space="preserve">@creator1419_instagram</t>
  </si>
  <si>
    <t xml:space="preserve">@creator1014_instagram</t>
  </si>
  <si>
    <t xml:space="preserve">@creator152_instagram</t>
  </si>
  <si>
    <t xml:space="preserve">@creator427_instagram</t>
  </si>
  <si>
    <t xml:space="preserve">@creator409_instagram</t>
  </si>
  <si>
    <t xml:space="preserve">Creator 296</t>
  </si>
  <si>
    <t xml:space="preserve">CR00296</t>
  </si>
  <si>
    <t xml:space="preserve">https://www.instagram.com/creator296_instagram/</t>
  </si>
  <si>
    <t xml:space="preserve">@creator276_instagram</t>
  </si>
  <si>
    <t xml:space="preserve">Creator 1092</t>
  </si>
  <si>
    <t xml:space="preserve">CR01092</t>
  </si>
  <si>
    <t xml:space="preserve">@creator1092_instagram</t>
  </si>
  <si>
    <t xml:space="preserve">@creator739_instagram</t>
  </si>
  <si>
    <t xml:space="preserve">@creator139_instagram</t>
  </si>
  <si>
    <t xml:space="preserve">Creator 517</t>
  </si>
  <si>
    <t xml:space="preserve">CR00517</t>
  </si>
  <si>
    <t xml:space="preserve">@creator517_instagram</t>
  </si>
  <si>
    <t xml:space="preserve">Creator 235</t>
  </si>
  <si>
    <t xml:space="preserve">CR00235</t>
  </si>
  <si>
    <t xml:space="preserve">@creator235_instagram</t>
  </si>
  <si>
    <t xml:space="preserve">@creator834_instagram</t>
  </si>
  <si>
    <t xml:space="preserve">https://www.instagram.com/creator253_instagram/</t>
  </si>
  <si>
    <t xml:space="preserve">@creator942_instagram</t>
  </si>
  <si>
    <t xml:space="preserve">@creator523_instagram</t>
  </si>
  <si>
    <t xml:space="preserve">Creator 508</t>
  </si>
  <si>
    <t xml:space="preserve">CR00508</t>
  </si>
  <si>
    <t xml:space="preserve">@creator508_instagram</t>
  </si>
  <si>
    <t xml:space="preserve">CR00785</t>
  </si>
  <si>
    <t xml:space="preserve">https://www.instagram.com/creator785_instagram/</t>
  </si>
  <si>
    <t xml:space="preserve">@creator445_instagram</t>
  </si>
  <si>
    <t xml:space="preserve">@creator655_instagram</t>
  </si>
  <si>
    <t xml:space="preserve">Creator 1254</t>
  </si>
  <si>
    <t xml:space="preserve">CR01254</t>
  </si>
  <si>
    <t xml:space="preserve">@creator1254_instagram</t>
  </si>
  <si>
    <t xml:space="preserve">@creator1045_instagram</t>
  </si>
  <si>
    <t xml:space="preserve">@creator1191_instagram</t>
  </si>
  <si>
    <t xml:space="preserve">Creator 184</t>
  </si>
  <si>
    <t xml:space="preserve">CR00184</t>
  </si>
  <si>
    <t xml:space="preserve">@creator184_instagram</t>
  </si>
  <si>
    <t xml:space="preserve">https://www.instagram.com/creator991_instagram/</t>
  </si>
  <si>
    <t xml:space="preserve">https://www.instagram.com/creator856_instagram/</t>
  </si>
  <si>
    <t xml:space="preserve">@creator1211_instagram</t>
  </si>
  <si>
    <t xml:space="preserve">@creator138_instagram</t>
  </si>
  <si>
    <t xml:space="preserve">@creator1253_instagram</t>
  </si>
  <si>
    <t xml:space="preserve">Creator 15</t>
  </si>
  <si>
    <t xml:space="preserve">CR00015</t>
  </si>
  <si>
    <t xml:space="preserve">@creator15_instagram</t>
  </si>
  <si>
    <t xml:space="preserve">@creator416_instagram</t>
  </si>
  <si>
    <t xml:space="preserve">@creator1287_instagram</t>
  </si>
  <si>
    <t xml:space="preserve">@creator325_instagram</t>
  </si>
  <si>
    <t xml:space="preserve">@creator56_instagram</t>
  </si>
  <si>
    <t xml:space="preserve">Creator 618</t>
  </si>
  <si>
    <t xml:space="preserve">CR00618</t>
  </si>
  <si>
    <t xml:space="preserve">@creator618_instagram</t>
  </si>
  <si>
    <t xml:space="preserve">Creator 809</t>
  </si>
  <si>
    <t xml:space="preserve">CR00809</t>
  </si>
  <si>
    <t xml:space="preserve">https://www.instagram.com/creator809_instagram/</t>
  </si>
  <si>
    <t xml:space="preserve">@creator844_instagram</t>
  </si>
  <si>
    <t xml:space="preserve">CR00141</t>
  </si>
  <si>
    <t xml:space="preserve">https://www.instagram.com/creator141_instagram/</t>
  </si>
  <si>
    <t xml:space="preserve">Creator 1449</t>
  </si>
  <si>
    <t xml:space="preserve">CR01449</t>
  </si>
  <si>
    <t xml:space="preserve">@creator1449_instagram</t>
  </si>
  <si>
    <t xml:space="preserve">@creator1165_instagram</t>
  </si>
  <si>
    <t xml:space="preserve">Creator 1147</t>
  </si>
  <si>
    <t xml:space="preserve">CR01147</t>
  </si>
  <si>
    <t xml:space="preserve">@creator1147_instagram</t>
  </si>
  <si>
    <t xml:space="preserve">@creator424_instagram</t>
  </si>
  <si>
    <t xml:space="preserve">Creator 1489</t>
  </si>
  <si>
    <t xml:space="preserve">CR01489</t>
  </si>
  <si>
    <t xml:space="preserve">@creator1489_instagram</t>
  </si>
  <si>
    <t xml:space="preserve">Creator 1138</t>
  </si>
  <si>
    <t xml:space="preserve">CR01138</t>
  </si>
  <si>
    <t xml:space="preserve">@creator1138_instagram</t>
  </si>
  <si>
    <t xml:space="preserve">Creator 485</t>
  </si>
  <si>
    <t xml:space="preserve">CR00485</t>
  </si>
  <si>
    <t xml:space="preserve">https://www.instagram.com/creator485_instagram/</t>
  </si>
  <si>
    <t xml:space="preserve">@creator422_instagram</t>
  </si>
  <si>
    <t xml:space="preserve">@creator1184_instagram</t>
  </si>
  <si>
    <t xml:space="preserve">https://www.instagram.com/creator697_instagram/</t>
  </si>
  <si>
    <t xml:space="preserve">Creator 419</t>
  </si>
  <si>
    <t xml:space="preserve">CR00419</t>
  </si>
  <si>
    <t xml:space="preserve">@creator419_instagram</t>
  </si>
  <si>
    <t xml:space="preserve">@creator878_instagram</t>
  </si>
  <si>
    <t xml:space="preserve">@creator962_instagram</t>
  </si>
  <si>
    <t xml:space="preserve">Creator 1213</t>
  </si>
  <si>
    <t xml:space="preserve">CR01213</t>
  </si>
  <si>
    <t xml:space="preserve">@creator1213_instagram</t>
  </si>
  <si>
    <t xml:space="preserve">Creator 110</t>
  </si>
  <si>
    <t xml:space="preserve">CR00110</t>
  </si>
  <si>
    <t xml:space="preserve">@creator110_instagram</t>
  </si>
  <si>
    <t xml:space="preserve">@creator1223_instagram</t>
  </si>
  <si>
    <t xml:space="preserve">@creator400_instagram</t>
  </si>
  <si>
    <t xml:space="preserve">@creator172_instagram</t>
  </si>
  <si>
    <t xml:space="preserve">https://www.instagram.com/creator279_instagram/</t>
  </si>
  <si>
    <t xml:space="preserve">@creator819_instagram</t>
  </si>
  <si>
    <t xml:space="preserve">https://www.instagram.com/creator217_instagram/</t>
  </si>
  <si>
    <t xml:space="preserve">Creator 901</t>
  </si>
  <si>
    <t xml:space="preserve">CR00901</t>
  </si>
  <si>
    <t xml:space="preserve">@creator901_instagram</t>
  </si>
  <si>
    <t xml:space="preserve">@creator733_instagram</t>
  </si>
  <si>
    <t xml:space="preserve">Creator 823</t>
  </si>
  <si>
    <t xml:space="preserve">CR00823</t>
  </si>
  <si>
    <t xml:space="preserve">@creator823_instagram</t>
  </si>
  <si>
    <t xml:space="preserve">Creator 1472</t>
  </si>
  <si>
    <t xml:space="preserve">CR01472</t>
  </si>
  <si>
    <t xml:space="preserve">@creator1472_instagram</t>
  </si>
  <si>
    <t xml:space="preserve">CR00959</t>
  </si>
  <si>
    <t xml:space="preserve">@creator959_instagram</t>
  </si>
  <si>
    <t xml:space="preserve">@creator245_instagram</t>
  </si>
  <si>
    <t xml:space="preserve">@creator1362_instagram</t>
  </si>
  <si>
    <t xml:space="preserve">@creator1105_instagram</t>
  </si>
  <si>
    <t xml:space="preserve">Creator 761</t>
  </si>
  <si>
    <t xml:space="preserve">CR00761</t>
  </si>
  <si>
    <t xml:space="preserve">@creator761_instagram</t>
  </si>
  <si>
    <t xml:space="preserve">@creator956_instagram</t>
  </si>
  <si>
    <t xml:space="preserve">@creator1399_instagram</t>
  </si>
  <si>
    <t xml:space="preserve">Creator 1415</t>
  </si>
  <si>
    <t xml:space="preserve">CR01415</t>
  </si>
  <si>
    <t xml:space="preserve">@creator1415_instagram</t>
  </si>
  <si>
    <t xml:space="preserve">@creator551_instagram</t>
  </si>
  <si>
    <t xml:space="preserve">TikTok leaderboard — one row per complete TikTok channel</t>
  </si>
  <si>
    <t xml:space="preserve">@creator34_tiktok</t>
  </si>
  <si>
    <t xml:space="preserve">https://www.tiktok.com/@creator1472_tiktok</t>
  </si>
  <si>
    <t xml:space="preserve">@creator368_tiktok</t>
  </si>
  <si>
    <t xml:space="preserve">@creator834_tiktok</t>
  </si>
  <si>
    <t xml:space="preserve">@creator1064_tiktok</t>
  </si>
  <si>
    <t xml:space="preserve">@creator699_tiktok</t>
  </si>
  <si>
    <t xml:space="preserve">Creator 1356</t>
  </si>
  <si>
    <t xml:space="preserve">CR01356</t>
  </si>
  <si>
    <t xml:space="preserve">@creator1356_tiktok</t>
  </si>
  <si>
    <t xml:space="preserve">Creator 627</t>
  </si>
  <si>
    <t xml:space="preserve">CR00627</t>
  </si>
  <si>
    <t xml:space="preserve">@creator627_tiktok</t>
  </si>
  <si>
    <t xml:space="preserve">@creator1479_tiktok</t>
  </si>
  <si>
    <t xml:space="preserve">Creator 1215</t>
  </si>
  <si>
    <t xml:space="preserve">CR01215</t>
  </si>
  <si>
    <t xml:space="preserve">@creator1215_tiktok</t>
  </si>
  <si>
    <t xml:space="preserve">Creator 604</t>
  </si>
  <si>
    <t xml:space="preserve">CR00604</t>
  </si>
  <si>
    <t xml:space="preserve">@creator604_tiktok</t>
  </si>
  <si>
    <t xml:space="preserve">Creator 811</t>
  </si>
  <si>
    <t xml:space="preserve">CR00811</t>
  </si>
  <si>
    <t xml:space="preserve">@creator811_tiktok</t>
  </si>
  <si>
    <t xml:space="preserve">@creator233_tiktok</t>
  </si>
  <si>
    <t xml:space="preserve">@creator791_tiktok</t>
  </si>
  <si>
    <t xml:space="preserve">Creator 1031</t>
  </si>
  <si>
    <t xml:space="preserve">CR01031</t>
  </si>
  <si>
    <t xml:space="preserve">https://www.tiktok.com/@creator1031_tiktok</t>
  </si>
  <si>
    <t xml:space="preserve">@creator1184_tiktok</t>
  </si>
  <si>
    <t xml:space="preserve">Creator 810</t>
  </si>
  <si>
    <t xml:space="preserve">CR00810</t>
  </si>
  <si>
    <t xml:space="preserve">@creator810_tiktok</t>
  </si>
  <si>
    <t xml:space="preserve">@creator541_tiktok</t>
  </si>
  <si>
    <t xml:space="preserve">@creator1427_tiktok</t>
  </si>
  <si>
    <t xml:space="preserve">@creator889_tiktok</t>
  </si>
  <si>
    <t xml:space="preserve">Creator 645</t>
  </si>
  <si>
    <t xml:space="preserve">CR00645</t>
  </si>
  <si>
    <t xml:space="preserve">@creator645_tiktok</t>
  </si>
  <si>
    <t xml:space="preserve">@creator589_tiktok</t>
  </si>
  <si>
    <t xml:space="preserve">Creator 177</t>
  </si>
  <si>
    <t xml:space="preserve">CR00177</t>
  </si>
  <si>
    <t xml:space="preserve">@creator177_tiktok</t>
  </si>
  <si>
    <t xml:space="preserve">Creator 1204</t>
  </si>
  <si>
    <t xml:space="preserve">CR01204</t>
  </si>
  <si>
    <t xml:space="preserve">@creator1204_tiktok</t>
  </si>
  <si>
    <t xml:space="preserve">@creator1325_tiktok</t>
  </si>
  <si>
    <t xml:space="preserve">Creator 934</t>
  </si>
  <si>
    <t xml:space="preserve">CR00934</t>
  </si>
  <si>
    <t xml:space="preserve">@creator934_tiktok</t>
  </si>
  <si>
    <t xml:space="preserve">Creator 84</t>
  </si>
  <si>
    <t xml:space="preserve">CR00084</t>
  </si>
  <si>
    <t xml:space="preserve">@creator84_tiktok</t>
  </si>
  <si>
    <t xml:space="preserve">@creator1056_tiktok</t>
  </si>
  <si>
    <t xml:space="preserve">@creator923_tiktok</t>
  </si>
  <si>
    <t xml:space="preserve">@creator354_tiktok</t>
  </si>
  <si>
    <t xml:space="preserve">@creator1160_tiktok</t>
  </si>
  <si>
    <t xml:space="preserve">Creator 596</t>
  </si>
  <si>
    <t xml:space="preserve">CR00596</t>
  </si>
  <si>
    <t xml:space="preserve">@creator596_tiktok</t>
  </si>
  <si>
    <t xml:space="preserve">Creator 1432</t>
  </si>
  <si>
    <t xml:space="preserve">CR01432</t>
  </si>
  <si>
    <t xml:space="preserve">@creator1432_tiktok</t>
  </si>
  <si>
    <t xml:space="preserve">Creator 1355</t>
  </si>
  <si>
    <t xml:space="preserve">CR01355</t>
  </si>
  <si>
    <t xml:space="preserve">@creator1355_tiktok</t>
  </si>
  <si>
    <t xml:space="preserve">Creator 1300</t>
  </si>
  <si>
    <t xml:space="preserve">CR01300</t>
  </si>
  <si>
    <t xml:space="preserve">@creator1300_tiktok</t>
  </si>
  <si>
    <t xml:space="preserve">https://www.tiktok.com/@creator1144_tiktok</t>
  </si>
  <si>
    <t xml:space="preserve">@creator566_tiktok</t>
  </si>
  <si>
    <t xml:space="preserve">@creator1181_tiktok</t>
  </si>
  <si>
    <t xml:space="preserve">Creator 1442</t>
  </si>
  <si>
    <t xml:space="preserve">CR01442</t>
  </si>
  <si>
    <t xml:space="preserve">@creator1442_tiktok</t>
  </si>
  <si>
    <t xml:space="preserve">Creator 473</t>
  </si>
  <si>
    <t xml:space="preserve">CR00473</t>
  </si>
  <si>
    <t xml:space="preserve">@creator473_tiktok</t>
  </si>
  <si>
    <t xml:space="preserve">Creator 111</t>
  </si>
  <si>
    <t xml:space="preserve">CR00111</t>
  </si>
  <si>
    <t xml:space="preserve">https://www.tiktok.com/@creator111_tiktok</t>
  </si>
  <si>
    <t xml:space="preserve">@creator143_tiktok</t>
  </si>
  <si>
    <t xml:space="preserve">Creator 919</t>
  </si>
  <si>
    <t xml:space="preserve">CR00919</t>
  </si>
  <si>
    <t xml:space="preserve">@creator919_tiktok</t>
  </si>
  <si>
    <t xml:space="preserve">@creator1030_tiktok</t>
  </si>
  <si>
    <t xml:space="preserve">@creator847_tiktok</t>
  </si>
  <si>
    <t xml:space="preserve">@creator155_tiktok</t>
  </si>
  <si>
    <t xml:space="preserve">@creator1199_tiktok</t>
  </si>
  <si>
    <t xml:space="preserve">@creator1223_tiktok</t>
  </si>
  <si>
    <t xml:space="preserve">Creator 407</t>
  </si>
  <si>
    <t xml:space="preserve">CR00407</t>
  </si>
  <si>
    <t xml:space="preserve">@creator407_tiktok</t>
  </si>
  <si>
    <t xml:space="preserve">Creator 542</t>
  </si>
  <si>
    <t xml:space="preserve">CR00542</t>
  </si>
  <si>
    <t xml:space="preserve">@creator542_tiktok</t>
  </si>
  <si>
    <t xml:space="preserve">@creator956_tiktok</t>
  </si>
  <si>
    <t xml:space="preserve">@creator1129_tiktok</t>
  </si>
  <si>
    <t xml:space="preserve">Creator 813</t>
  </si>
  <si>
    <t xml:space="preserve">CR00813</t>
  </si>
  <si>
    <t xml:space="preserve">@creator813_tiktok</t>
  </si>
  <si>
    <t xml:space="preserve">@creator260_tiktok</t>
  </si>
  <si>
    <t xml:space="preserve">@creator488_tiktok</t>
  </si>
  <si>
    <t xml:space="preserve">Creator 295</t>
  </si>
  <si>
    <t xml:space="preserve">CR00295</t>
  </si>
  <si>
    <t xml:space="preserve">@creator295_tiktok</t>
  </si>
  <si>
    <t xml:space="preserve">Creator 200</t>
  </si>
  <si>
    <t xml:space="preserve">CR00200</t>
  </si>
  <si>
    <t xml:space="preserve">@creator200_tiktok</t>
  </si>
  <si>
    <t xml:space="preserve">Creator 36</t>
  </si>
  <si>
    <t xml:space="preserve">CR00036</t>
  </si>
  <si>
    <t xml:space="preserve">@creator36_tiktok</t>
  </si>
  <si>
    <t xml:space="preserve">Creator 570</t>
  </si>
  <si>
    <t xml:space="preserve">CR00570</t>
  </si>
  <si>
    <t xml:space="preserve">@creator570_tiktok</t>
  </si>
  <si>
    <t xml:space="preserve">Creator 1017</t>
  </si>
  <si>
    <t xml:space="preserve">CR01017</t>
  </si>
  <si>
    <t xml:space="preserve">@creator1017_tiktok</t>
  </si>
  <si>
    <t xml:space="preserve">@creator857_tiktok</t>
  </si>
  <si>
    <t xml:space="preserve">@creator1469_tiktok</t>
  </si>
  <si>
    <t xml:space="preserve">Creator 1371</t>
  </si>
  <si>
    <t xml:space="preserve">CR01371</t>
  </si>
  <si>
    <t xml:space="preserve">@creator1371_tiktok</t>
  </si>
  <si>
    <t xml:space="preserve">@creator1287_tiktok</t>
  </si>
  <si>
    <t xml:space="preserve">@creator305_tiktok</t>
  </si>
  <si>
    <t xml:space="preserve">Creator 32</t>
  </si>
  <si>
    <t xml:space="preserve">CR00032</t>
  </si>
  <si>
    <t xml:space="preserve">@creator32_tiktok</t>
  </si>
  <si>
    <t xml:space="preserve">Creator 828</t>
  </si>
  <si>
    <t xml:space="preserve">CR00828</t>
  </si>
  <si>
    <t xml:space="preserve">@creator828_tiktok</t>
  </si>
  <si>
    <t xml:space="preserve">@creator477_tiktok</t>
  </si>
  <si>
    <t xml:space="preserve">Creator 726</t>
  </si>
  <si>
    <t xml:space="preserve">CR00726</t>
  </si>
  <si>
    <t xml:space="preserve">@creator726_tiktok</t>
  </si>
  <si>
    <t xml:space="preserve">@creator1253_tiktok</t>
  </si>
  <si>
    <t xml:space="preserve">Creator 1059</t>
  </si>
  <si>
    <t xml:space="preserve">CR01059</t>
  </si>
  <si>
    <t xml:space="preserve">@creator1059_tiktok</t>
  </si>
  <si>
    <t xml:space="preserve">Creator 1201</t>
  </si>
  <si>
    <t xml:space="preserve">CR01201</t>
  </si>
  <si>
    <t xml:space="preserve">https://www.tiktok.com/@creator1201_tiktok</t>
  </si>
  <si>
    <t xml:space="preserve">@creator1362_tiktok</t>
  </si>
  <si>
    <t xml:space="preserve">@creator379_tiktok</t>
  </si>
  <si>
    <t xml:space="preserve">Creator 381</t>
  </si>
  <si>
    <t xml:space="preserve">CR00381</t>
  </si>
  <si>
    <t xml:space="preserve">@creator381_tiktok</t>
  </si>
  <si>
    <t xml:space="preserve">@creator881_tiktok</t>
  </si>
  <si>
    <t xml:space="preserve">@creator1248_tiktok</t>
  </si>
  <si>
    <t xml:space="preserve">Creator 390</t>
  </si>
  <si>
    <t xml:space="preserve">CR00390</t>
  </si>
  <si>
    <t xml:space="preserve">@creator390_tiktok</t>
  </si>
  <si>
    <t xml:space="preserve">Creator 990</t>
  </si>
  <si>
    <t xml:space="preserve">CR00990</t>
  </si>
  <si>
    <t xml:space="preserve">@creator990_tiktok</t>
  </si>
  <si>
    <t xml:space="preserve">@creator172_tiktok</t>
  </si>
  <si>
    <t xml:space="preserve">@creator1103_tiktok</t>
  </si>
  <si>
    <t xml:space="preserve">@creator752_tiktok</t>
  </si>
  <si>
    <t xml:space="preserve">@creator1006_tiktok</t>
  </si>
  <si>
    <t xml:space="preserve">Creator 323</t>
  </si>
  <si>
    <t xml:space="preserve">CR00323</t>
  </si>
  <si>
    <t xml:space="preserve">@creator323_tiktok</t>
  </si>
  <si>
    <t xml:space="preserve">Creator 1303</t>
  </si>
  <si>
    <t xml:space="preserve">CR01303</t>
  </si>
  <si>
    <t xml:space="preserve">@creator1303_tiktok</t>
  </si>
  <si>
    <t xml:space="preserve">@creator873_tiktok</t>
  </si>
  <si>
    <t xml:space="preserve">@creator405_tiktok</t>
  </si>
  <si>
    <t xml:space="preserve">Creator 146</t>
  </si>
  <si>
    <t xml:space="preserve">CR00146</t>
  </si>
  <si>
    <t xml:space="preserve">@creator146_tiktok</t>
  </si>
  <si>
    <t xml:space="preserve">Creator 1046</t>
  </si>
  <si>
    <t xml:space="preserve">CR01046</t>
  </si>
  <si>
    <t xml:space="preserve">@creator1046_tiktok</t>
  </si>
  <si>
    <t xml:space="preserve">Creator 1016</t>
  </si>
  <si>
    <t xml:space="preserve">CR01016</t>
  </si>
  <si>
    <t xml:space="preserve">@creator1016_tiktok</t>
  </si>
  <si>
    <t xml:space="preserve">@creator1373_tiktok</t>
  </si>
  <si>
    <t xml:space="preserve">https://www.tiktok.com/@creator489_tiktok</t>
  </si>
  <si>
    <t xml:space="preserve">Creator 729</t>
  </si>
  <si>
    <t xml:space="preserve">CR00729</t>
  </si>
  <si>
    <t xml:space="preserve">https://www.tiktok.com/@creator729_tiktok</t>
  </si>
  <si>
    <t xml:space="preserve">Creator 23</t>
  </si>
  <si>
    <t xml:space="preserve">CR00023</t>
  </si>
  <si>
    <t xml:space="preserve">@creator23_tiktok</t>
  </si>
  <si>
    <t xml:space="preserve">@creator624_tiktok</t>
  </si>
  <si>
    <t xml:space="preserve">Creator 1388</t>
  </si>
  <si>
    <t xml:space="preserve">CR01388</t>
  </si>
  <si>
    <t xml:space="preserve">@creator1388_tiktok</t>
  </si>
  <si>
    <t xml:space="preserve">@creator1132_tiktok</t>
  </si>
  <si>
    <t xml:space="preserve">@creator1191_tiktok</t>
  </si>
  <si>
    <t xml:space="preserve">https://www.tiktok.com/@creator212_tiktok</t>
  </si>
  <si>
    <t xml:space="preserve">@creator192_tiktok</t>
  </si>
  <si>
    <t xml:space="preserve">https://www.tiktok.com/@creator433_tiktok</t>
  </si>
  <si>
    <t xml:space="preserve">@creator1077_tiktok</t>
  </si>
  <si>
    <t xml:space="preserve">Creator 975</t>
  </si>
  <si>
    <t xml:space="preserve">CR00975</t>
  </si>
  <si>
    <t xml:space="preserve">@creator975_tiktok</t>
  </si>
  <si>
    <t xml:space="preserve">@creator592_tiktok</t>
  </si>
  <si>
    <t xml:space="preserve">Creator 1239</t>
  </si>
  <si>
    <t xml:space="preserve">CR01239</t>
  </si>
  <si>
    <t xml:space="preserve">@creator1239_tiktok</t>
  </si>
  <si>
    <t xml:space="preserve">@creator1398_tiktok</t>
  </si>
  <si>
    <t xml:space="preserve">Creator 83</t>
  </si>
  <si>
    <t xml:space="preserve">CR00083</t>
  </si>
  <si>
    <t xml:space="preserve">@creator83_tiktok</t>
  </si>
  <si>
    <t xml:space="preserve">Creator 4</t>
  </si>
  <si>
    <t xml:space="preserve">CR00004</t>
  </si>
  <si>
    <t xml:space="preserve">@creator4_tiktok</t>
  </si>
  <si>
    <t xml:space="preserve">Creator 153</t>
  </si>
  <si>
    <t xml:space="preserve">CR00153</t>
  </si>
  <si>
    <t xml:space="preserve">@creator153_tiktok</t>
  </si>
  <si>
    <t xml:space="preserve">Creator 1200</t>
  </si>
  <si>
    <t xml:space="preserve">CR01200</t>
  </si>
  <si>
    <t xml:space="preserve">@creator1200_tiktok</t>
  </si>
  <si>
    <t xml:space="preserve">@creator1345_tiktok</t>
  </si>
  <si>
    <t xml:space="preserve">@creator696_tiktok</t>
  </si>
  <si>
    <t xml:space="preserve">@creator786_tiktok</t>
  </si>
  <si>
    <t xml:space="preserve">@creator1318_tiktok</t>
  </si>
  <si>
    <t xml:space="preserve">@creator136_tiktok</t>
  </si>
  <si>
    <t xml:space="preserve">@creator1127_tiktok</t>
  </si>
  <si>
    <t xml:space="preserve">https://www.tiktok.com/@creator688_tiktok</t>
  </si>
  <si>
    <t xml:space="preserve">@creator962_tiktok</t>
  </si>
  <si>
    <t xml:space="preserve">Creator 1051</t>
  </si>
  <si>
    <t xml:space="preserve">CR01051</t>
  </si>
  <si>
    <t xml:space="preserve">@creator1051_tiktok</t>
  </si>
  <si>
    <t xml:space="preserve">@creator939_tiktok</t>
  </si>
  <si>
    <t xml:space="preserve">@creator830_tiktok</t>
  </si>
  <si>
    <t xml:space="preserve">https://www.tiktok.com/@creator1291_tiktok</t>
  </si>
  <si>
    <t xml:space="preserve">Creator 1324</t>
  </si>
  <si>
    <t xml:space="preserve">CR01324</t>
  </si>
  <si>
    <t xml:space="preserve">@creator1324_tiktok</t>
  </si>
  <si>
    <t xml:space="preserve">Creator 82</t>
  </si>
  <si>
    <t xml:space="preserve">CR00082</t>
  </si>
  <si>
    <t xml:space="preserve">@creator82_tiktok</t>
  </si>
  <si>
    <t xml:space="preserve">@creator1276_tiktok</t>
  </si>
  <si>
    <t xml:space="preserve">Creator 438</t>
  </si>
  <si>
    <t xml:space="preserve">CR00438</t>
  </si>
  <si>
    <t xml:space="preserve">@creator438_tiktok</t>
  </si>
  <si>
    <t xml:space="preserve">@creator681_tiktok</t>
  </si>
  <si>
    <t xml:space="preserve">@creator837_tiktok</t>
  </si>
  <si>
    <t xml:space="preserve">Creator 1482</t>
  </si>
  <si>
    <t xml:space="preserve">CR01482</t>
  </si>
  <si>
    <t xml:space="preserve">@creator1482_tiktok</t>
  </si>
  <si>
    <t xml:space="preserve">@creator992_tiktok</t>
  </si>
  <si>
    <t xml:space="preserve">@creator446_tiktok</t>
  </si>
  <si>
    <t xml:space="preserve">@creator107_tiktok</t>
  </si>
  <si>
    <t xml:space="preserve">@creator733_tiktok</t>
  </si>
  <si>
    <t xml:space="preserve">@creator416_tiktok</t>
  </si>
  <si>
    <t xml:space="preserve">https://www.tiktok.com/@creator1274_tiktok</t>
  </si>
  <si>
    <t xml:space="preserve">Creator 530</t>
  </si>
  <si>
    <t xml:space="preserve">CR00530</t>
  </si>
  <si>
    <t xml:space="preserve">@creator530_tiktok</t>
  </si>
  <si>
    <t xml:space="preserve">Creator 1156</t>
  </si>
  <si>
    <t xml:space="preserve">CR01156</t>
  </si>
  <si>
    <t xml:space="preserve">@creator1156_tiktok</t>
  </si>
  <si>
    <t xml:space="preserve">https://www.tiktok.com/@creator1136_tiktok</t>
  </si>
  <si>
    <t xml:space="preserve">@creator1361_tiktok</t>
  </si>
  <si>
    <t xml:space="preserve">@creator277_tiktok</t>
  </si>
  <si>
    <t xml:space="preserve">Creator 1236</t>
  </si>
  <si>
    <t xml:space="preserve">CR01236</t>
  </si>
  <si>
    <t xml:space="preserve">@creator1236_tiktok</t>
  </si>
  <si>
    <t xml:space="preserve">Creator 358</t>
  </si>
  <si>
    <t xml:space="preserve">CR00358</t>
  </si>
  <si>
    <t xml:space="preserve">@creator358_tiktok</t>
  </si>
  <si>
    <t xml:space="preserve">https://www.tiktok.com/@creator1175_tiktok</t>
  </si>
  <si>
    <t xml:space="preserve">@creator194_tiktok</t>
  </si>
  <si>
    <t xml:space="preserve">@creator525_tiktok</t>
  </si>
  <si>
    <t xml:space="preserve">@creator1213_tiktok</t>
  </si>
  <si>
    <t xml:space="preserve">https://www.tiktok.com/@creator1290_tiktok</t>
  </si>
  <si>
    <t xml:space="preserve">https://www.tiktok.com/@creator1003_tiktok</t>
  </si>
  <si>
    <t xml:space="preserve">@creator291_tiktok</t>
  </si>
  <si>
    <t xml:space="preserve">@creator942_tiktok</t>
  </si>
  <si>
    <t xml:space="preserve">Creator 625</t>
  </si>
  <si>
    <t xml:space="preserve">CR00625</t>
  </si>
  <si>
    <t xml:space="preserve">@creator625_tiktok</t>
  </si>
  <si>
    <t xml:space="preserve">@creator321_tiktok</t>
  </si>
  <si>
    <t xml:space="preserve">@creator839_tiktok</t>
  </si>
  <si>
    <t xml:space="preserve">@creator325_tiktok</t>
  </si>
  <si>
    <t xml:space="preserve">Creator 1034</t>
  </si>
  <si>
    <t xml:space="preserve">CR01034</t>
  </si>
  <si>
    <t xml:space="preserve">@creator1034_tiktok</t>
  </si>
  <si>
    <t xml:space="preserve">Creator 789</t>
  </si>
  <si>
    <t xml:space="preserve">CR00789</t>
  </si>
  <si>
    <t xml:space="preserve">@creator789_tiktok</t>
  </si>
  <si>
    <t xml:space="preserve">Creator 391</t>
  </si>
  <si>
    <t xml:space="preserve">CR00391</t>
  </si>
  <si>
    <t xml:space="preserve">@creator391_tiktok</t>
  </si>
  <si>
    <t xml:space="preserve">Creator 374</t>
  </si>
  <si>
    <t xml:space="preserve">CR00374</t>
  </si>
  <si>
    <t xml:space="preserve">@creator374_tiktok</t>
  </si>
  <si>
    <t xml:space="preserve">Creator 221</t>
  </si>
  <si>
    <t xml:space="preserve">CR00221</t>
  </si>
  <si>
    <t xml:space="preserve">@creator221_tiktok</t>
  </si>
  <si>
    <t xml:space="preserve">Creator 616</t>
  </si>
  <si>
    <t xml:space="preserve">CR00616</t>
  </si>
  <si>
    <t xml:space="preserve">@creator616_tiktok</t>
  </si>
  <si>
    <t xml:space="preserve">Creator 302</t>
  </si>
  <si>
    <t xml:space="preserve">CR00302</t>
  </si>
  <si>
    <t xml:space="preserve">https://www.tiktok.com/@creator302_tiktok</t>
  </si>
  <si>
    <t xml:space="preserve">@creator680_tiktok</t>
  </si>
  <si>
    <t xml:space="preserve">Creator 995</t>
  </si>
  <si>
    <t xml:space="preserve">CR00995</t>
  </si>
  <si>
    <t xml:space="preserve">@creator995_tiktok</t>
  </si>
  <si>
    <t xml:space="preserve">@creator110_tiktok</t>
  </si>
  <si>
    <t xml:space="preserve">@creator345_tiktok</t>
  </si>
  <si>
    <t xml:space="preserve">@creator527_tiktok</t>
  </si>
  <si>
    <t xml:space="preserve">Creator 1350</t>
  </si>
  <si>
    <t xml:space="preserve">CR01350</t>
  </si>
  <si>
    <t xml:space="preserve">@creator1350_tiktok</t>
  </si>
  <si>
    <t xml:space="preserve">Creator 179</t>
  </si>
  <si>
    <t xml:space="preserve">CR00179</t>
  </si>
  <si>
    <t xml:space="preserve">@creator179_tiktok</t>
  </si>
  <si>
    <t xml:space="preserve">@creator400_tiktok</t>
  </si>
  <si>
    <t xml:space="preserve">@creator638_tiktok</t>
  </si>
  <si>
    <t xml:space="preserve">@creator1235_tiktok</t>
  </si>
  <si>
    <t xml:space="preserve">Creator 874</t>
  </si>
  <si>
    <t xml:space="preserve">CR00874</t>
  </si>
  <si>
    <t xml:space="preserve">@creator874_tiktok</t>
  </si>
  <si>
    <t xml:space="preserve">@creator550_tiktok</t>
  </si>
  <si>
    <t xml:space="preserve">Creator 641</t>
  </si>
  <si>
    <t xml:space="preserve">CR00641</t>
  </si>
  <si>
    <t xml:space="preserve">@creator641_tiktok</t>
  </si>
  <si>
    <t xml:space="preserve">@creator535_tiktok</t>
  </si>
  <si>
    <t xml:space="preserve">@creator339_tiktok</t>
  </si>
  <si>
    <t xml:space="preserve">Creator 702</t>
  </si>
  <si>
    <t xml:space="preserve">CR00702</t>
  </si>
  <si>
    <t xml:space="preserve">@creator702_tiktok</t>
  </si>
  <si>
    <t xml:space="preserve">@creator279_tiktok</t>
  </si>
  <si>
    <t xml:space="preserve">@creator491_tiktok</t>
  </si>
  <si>
    <t xml:space="preserve">@creator443_tiktok</t>
  </si>
  <si>
    <t xml:space="preserve">@creator231_tiktok</t>
  </si>
  <si>
    <t xml:space="preserve">@creator759_tiktok</t>
  </si>
  <si>
    <t xml:space="preserve">Creator 461</t>
  </si>
  <si>
    <t xml:space="preserve">CR00461</t>
  </si>
  <si>
    <t xml:space="preserve">@creator461_tiktok</t>
  </si>
  <si>
    <t xml:space="preserve">Creator 86</t>
  </si>
  <si>
    <t xml:space="preserve">CR00086</t>
  </si>
  <si>
    <t xml:space="preserve">@creator86_tiktok</t>
  </si>
  <si>
    <t xml:space="preserve">@creator457_tiktok</t>
  </si>
  <si>
    <t xml:space="preserve">@creator727_tiktok</t>
  </si>
  <si>
    <t xml:space="preserve">Creator 1461</t>
  </si>
  <si>
    <t xml:space="preserve">CR01461</t>
  </si>
  <si>
    <t xml:space="preserve">@creator1461_tiktok</t>
  </si>
  <si>
    <t xml:space="preserve">@creator409_tiktok</t>
  </si>
  <si>
    <t xml:space="preserve">https://www.tiktok.com/@creator328_tiktok</t>
  </si>
  <si>
    <t xml:space="preserve">@creator485_tiktok</t>
  </si>
  <si>
    <t xml:space="preserve">@creator259_tiktok</t>
  </si>
  <si>
    <t xml:space="preserve">@creator551_tiktok</t>
  </si>
  <si>
    <t xml:space="preserve">Creator 750</t>
  </si>
  <si>
    <t xml:space="preserve">CR00750</t>
  </si>
  <si>
    <t xml:space="preserve">@creator750_tiktok</t>
  </si>
  <si>
    <t xml:space="preserve">Creator 846</t>
  </si>
  <si>
    <t xml:space="preserve">CR00846</t>
  </si>
  <si>
    <t xml:space="preserve">https://www.tiktok.com/@creator846_tiktok</t>
  </si>
  <si>
    <t xml:space="preserve">@creator983_tiktok</t>
  </si>
  <si>
    <t xml:space="preserve">Creator 1222</t>
  </si>
  <si>
    <t xml:space="preserve">CR01222</t>
  </si>
  <si>
    <t xml:space="preserve">@creator1222_tiktok</t>
  </si>
  <si>
    <t xml:space="preserve">@creator271_tiktok</t>
  </si>
  <si>
    <t xml:space="preserve">@creator523_tiktok</t>
  </si>
  <si>
    <t xml:space="preserve">@creator829_tiktok</t>
  </si>
  <si>
    <t xml:space="preserve">@creator878_tiktok</t>
  </si>
  <si>
    <t xml:space="preserve">@creator865_tiktok</t>
  </si>
  <si>
    <t xml:space="preserve">Creator 519</t>
  </si>
  <si>
    <t xml:space="preserve">CR00519</t>
  </si>
  <si>
    <t xml:space="preserve">@creator519_tiktok</t>
  </si>
  <si>
    <t xml:space="preserve">Creator 692</t>
  </si>
  <si>
    <t xml:space="preserve">CR00692</t>
  </si>
  <si>
    <t xml:space="preserve">@creator692_tiktok</t>
  </si>
  <si>
    <t xml:space="preserve">@creator1280_tiktok</t>
  </si>
  <si>
    <t xml:space="preserve">https://www.tiktok.com/@creator161_tiktok</t>
  </si>
  <si>
    <t xml:space="preserve">@creator1337_tiktok</t>
  </si>
  <si>
    <t xml:space="preserve">@creator1211_tiktok</t>
  </si>
  <si>
    <t xml:space="preserve">@creator634_tiktok</t>
  </si>
  <si>
    <t xml:space="preserve">https://www.tiktok.com/@creator574_tiktok</t>
  </si>
  <si>
    <t xml:space="preserve">Creator 686</t>
  </si>
  <si>
    <t xml:space="preserve">CR00686</t>
  </si>
  <si>
    <t xml:space="preserve">@creator686_tiktok</t>
  </si>
  <si>
    <t xml:space="preserve">@creator1298_tiktok</t>
  </si>
  <si>
    <t xml:space="preserve">Creator 330</t>
  </si>
  <si>
    <t xml:space="preserve">CR00330</t>
  </si>
  <si>
    <t xml:space="preserve">@creator330_tiktok</t>
  </si>
  <si>
    <t xml:space="preserve">@creator298_tiktok</t>
  </si>
  <si>
    <t xml:space="preserve">@creator805_tiktok</t>
  </si>
  <si>
    <t xml:space="preserve">https://www.tiktok.com/@creator313_tiktok</t>
  </si>
  <si>
    <t xml:space="preserve">Creator 1343</t>
  </si>
  <si>
    <t xml:space="preserve">CR01343</t>
  </si>
  <si>
    <t xml:space="preserve">@creator1343_tiktok</t>
  </si>
  <si>
    <t xml:space="preserve">Creator 48</t>
  </si>
  <si>
    <t xml:space="preserve">CR00048</t>
  </si>
  <si>
    <t xml:space="preserve">@creator48_tiktok</t>
  </si>
  <si>
    <t xml:space="preserve">Creator 180</t>
  </si>
  <si>
    <t xml:space="preserve">CR00180</t>
  </si>
  <si>
    <t xml:space="preserve">@creator180_tiktok</t>
  </si>
  <si>
    <t xml:space="preserve">Creator 808</t>
  </si>
  <si>
    <t xml:space="preserve">CR00808</t>
  </si>
  <si>
    <t xml:space="preserve">@creator808_tiktok</t>
  </si>
  <si>
    <t xml:space="preserve">Creator 601</t>
  </si>
  <si>
    <t xml:space="preserve">CR00601</t>
  </si>
  <si>
    <t xml:space="preserve">@creator601_tiktok</t>
  </si>
  <si>
    <t xml:space="preserve">https://www.tiktok.com/@creator1323_tiktok</t>
  </si>
  <si>
    <t xml:space="preserve">Creator 117</t>
  </si>
  <si>
    <t xml:space="preserve">CR00117</t>
  </si>
  <si>
    <t xml:space="preserve">@creator117_tiktok</t>
  </si>
  <si>
    <t xml:space="preserve">@creator1174_tiktok</t>
  </si>
  <si>
    <t xml:space="preserve">@creator1304_tiktok</t>
  </si>
  <si>
    <t xml:space="preserve">@creator969_tiktok</t>
  </si>
  <si>
    <t xml:space="preserve">@creator1495_tiktok</t>
  </si>
  <si>
    <t xml:space="preserve">Creator 1055</t>
  </si>
  <si>
    <t xml:space="preserve">CR01055</t>
  </si>
  <si>
    <t xml:space="preserve">@creator1055_tiktok</t>
  </si>
  <si>
    <t xml:space="preserve">https://www.tiktok.com/@creator268_tiktok</t>
  </si>
  <si>
    <t xml:space="preserve">@creator875_tiktok</t>
  </si>
  <si>
    <t xml:space="preserve">@creator422_tiktok</t>
  </si>
  <si>
    <t xml:space="preserve">Creator 5</t>
  </si>
  <si>
    <t xml:space="preserve">CR00005</t>
  </si>
  <si>
    <t xml:space="preserve">@creator5_tiktok</t>
  </si>
  <si>
    <t xml:space="preserve">Creator 63</t>
  </si>
  <si>
    <t xml:space="preserve">CR00063</t>
  </si>
  <si>
    <t xml:space="preserve">@creator63_tiktok</t>
  </si>
  <si>
    <t xml:space="preserve">Creator 463</t>
  </si>
  <si>
    <t xml:space="preserve">CR00463</t>
  </si>
  <si>
    <t xml:space="preserve">@creator463_tiktok</t>
  </si>
  <si>
    <t xml:space="preserve">Creator 394</t>
  </si>
  <si>
    <t xml:space="preserve">CR00394</t>
  </si>
  <si>
    <t xml:space="preserve">@creator394_tiktok</t>
  </si>
  <si>
    <t xml:space="preserve">@creator1101_tiktok</t>
  </si>
  <si>
    <t xml:space="preserve">Creator 283</t>
  </si>
  <si>
    <t xml:space="preserve">CR00283</t>
  </si>
  <si>
    <t xml:space="preserve">@creator283_tiktok</t>
  </si>
  <si>
    <t xml:space="preserve">@creator707_tiktok</t>
  </si>
  <si>
    <t xml:space="preserve">@creator152_tiktok</t>
  </si>
  <si>
    <t xml:space="preserve">@creator1011_tiktok</t>
  </si>
  <si>
    <t xml:space="preserve">@creator202_tiktok</t>
  </si>
  <si>
    <t xml:space="preserve">@creator92_tiktok</t>
  </si>
  <si>
    <t xml:space="preserve">Creator 351</t>
  </si>
  <si>
    <t xml:space="preserve">CR00351</t>
  </si>
  <si>
    <t xml:space="preserve">@creator351_tiktok</t>
  </si>
  <si>
    <t xml:space="preserve">@creator739_tiktok</t>
  </si>
  <si>
    <t xml:space="preserve">@creator1178_tiktok</t>
  </si>
  <si>
    <t xml:space="preserve">@creator395_tiktok</t>
  </si>
  <si>
    <t xml:space="preserve">Creator 955</t>
  </si>
  <si>
    <t xml:space="preserve">CR00955</t>
  </si>
  <si>
    <t xml:space="preserve">@creator955_tiktok</t>
  </si>
  <si>
    <t xml:space="preserve">@creator250_tiktok</t>
  </si>
  <si>
    <t xml:space="preserve">@creator54_tiktok</t>
  </si>
  <si>
    <t xml:space="preserve">@creator673_tiktok</t>
  </si>
  <si>
    <t xml:space="preserve">@creator610_tiktok</t>
  </si>
  <si>
    <t xml:space="preserve">@creator424_tiktok</t>
  </si>
  <si>
    <t xml:space="preserve">@creator465_tiktok</t>
  </si>
  <si>
    <t xml:space="preserve">@creator39_tiktok</t>
  </si>
  <si>
    <t xml:space="preserve">@creator373_tiktok</t>
  </si>
  <si>
    <t xml:space="preserve">Creator 546</t>
  </si>
  <si>
    <t xml:space="preserve">CR00546</t>
  </si>
  <si>
    <t xml:space="preserve">@creator546_tiktok</t>
  </si>
  <si>
    <t xml:space="preserve">@creator369_tiktok</t>
  </si>
  <si>
    <t xml:space="preserve">Creator 1412</t>
  </si>
  <si>
    <t xml:space="preserve">CR01412</t>
  </si>
  <si>
    <t xml:space="preserve">@creator1412_tiktok</t>
  </si>
  <si>
    <t xml:space="preserve">@creator244_tiktok</t>
  </si>
  <si>
    <t xml:space="preserve">@creator676_tiktok</t>
  </si>
  <si>
    <t xml:space="preserve">@creator162_tiktok</t>
  </si>
  <si>
    <t xml:space="preserve">Creator 243</t>
  </si>
  <si>
    <t xml:space="preserve">CR00243</t>
  </si>
  <si>
    <t xml:space="preserve">@creator243_tiktok</t>
  </si>
  <si>
    <t xml:space="preserve">https://www.tiktok.com/@creator788_tiktok</t>
  </si>
  <si>
    <t xml:space="preserve">@creator31_tiktok</t>
  </si>
  <si>
    <t xml:space="preserve">Creator 757</t>
  </si>
  <si>
    <t xml:space="preserve">CR00757</t>
  </si>
  <si>
    <t xml:space="preserve">@creator757_tiktok</t>
  </si>
  <si>
    <t xml:space="preserve">Creator 864</t>
  </si>
  <si>
    <t xml:space="preserve">CR00864</t>
  </si>
  <si>
    <t xml:space="preserve">@creator864_tiktok</t>
  </si>
  <si>
    <t xml:space="preserve">Creator 587</t>
  </si>
  <si>
    <t xml:space="preserve">CR00587</t>
  </si>
  <si>
    <t xml:space="preserve">https://www.tiktok.com/@creator587_tiktok</t>
  </si>
  <si>
    <t xml:space="preserve">Creator 559</t>
  </si>
  <si>
    <t xml:space="preserve">CR00559</t>
  </si>
  <si>
    <t xml:space="preserve">@creator559_tiktok</t>
  </si>
  <si>
    <t xml:space="preserve">@creator583_tiktok</t>
  </si>
  <si>
    <t xml:space="preserve">@creator1477_tiktok</t>
  </si>
  <si>
    <t xml:space="preserve">@creator697_tiktok</t>
  </si>
  <si>
    <t xml:space="preserve">@creator882_tiktok</t>
  </si>
  <si>
    <t xml:space="preserve">Creator 1406</t>
  </si>
  <si>
    <t xml:space="preserve">CR01406</t>
  </si>
  <si>
    <t xml:space="preserve">@creator1406_tiktok</t>
  </si>
  <si>
    <t xml:space="preserve">Creator 230</t>
  </si>
  <si>
    <t xml:space="preserve">CR00230</t>
  </si>
  <si>
    <t xml:space="preserve">@creator230_tiktok</t>
  </si>
  <si>
    <t xml:space="preserve">@creator1240_tiktok</t>
  </si>
  <si>
    <t xml:space="preserve">https://www.tiktok.com/@creator248_tiktok</t>
  </si>
  <si>
    <t xml:space="preserve">Creator 1292</t>
  </si>
  <si>
    <t xml:space="preserve">CR01292</t>
  </si>
  <si>
    <t xml:space="preserve">@creator1292_tiktok</t>
  </si>
  <si>
    <t xml:space="preserve">@creator458_tiktok</t>
  </si>
  <si>
    <t xml:space="preserve">@creator795_tiktok</t>
  </si>
  <si>
    <t xml:space="preserve">@creator605_tiktok</t>
  </si>
  <si>
    <t xml:space="preserve">@creator991_tiktok</t>
  </si>
  <si>
    <t xml:space="preserve">Creator 227</t>
  </si>
  <si>
    <t xml:space="preserve">CR00227</t>
  </si>
  <si>
    <t xml:space="preserve">@creator227_tiktok</t>
  </si>
  <si>
    <t xml:space="preserve">https://www.tiktok.com/@creator449_tiktok</t>
  </si>
  <si>
    <t xml:space="preserve">Creator 174</t>
  </si>
  <si>
    <t xml:space="preserve">CR00174</t>
  </si>
  <si>
    <t xml:space="preserve">@creator174_tiktok</t>
  </si>
  <si>
    <t xml:space="preserve">Creator 495</t>
  </si>
  <si>
    <t xml:space="preserve">CR00495</t>
  </si>
  <si>
    <t xml:space="preserve">https://www.tiktok.com/@creator495_tiktok</t>
  </si>
  <si>
    <t xml:space="preserve">@creator206_tiktok</t>
  </si>
  <si>
    <t xml:space="preserve">@creator1013_tiktok</t>
  </si>
  <si>
    <t xml:space="preserve">@creator1109_tiktok</t>
  </si>
  <si>
    <t xml:space="preserve">Creator 1438</t>
  </si>
  <si>
    <t xml:space="preserve">CR01438</t>
  </si>
  <si>
    <t xml:space="preserve">@creator1438_tiktok</t>
  </si>
  <si>
    <t xml:space="preserve">@creator754_tiktok</t>
  </si>
  <si>
    <t xml:space="preserve">@creator293_tiktok</t>
  </si>
  <si>
    <t xml:space="preserve">@creator158_tiktok</t>
  </si>
  <si>
    <t xml:space="preserve">@creator533_tiktok</t>
  </si>
  <si>
    <t xml:space="preserve">Creator 215</t>
  </si>
  <si>
    <t xml:space="preserve">CR00215</t>
  </si>
  <si>
    <t xml:space="preserve">@creator215_tiktok</t>
  </si>
  <si>
    <t xml:space="preserve">Creator 1393</t>
  </si>
  <si>
    <t xml:space="preserve">CR01393</t>
  </si>
  <si>
    <t xml:space="preserve">@creator1393_tiktok</t>
  </si>
  <si>
    <t xml:space="preserve">@creator138_tiktok</t>
  </si>
  <si>
    <t xml:space="preserve">@creator1419_tiktok</t>
  </si>
  <si>
    <t xml:space="preserve">Creator 1255</t>
  </si>
  <si>
    <t xml:space="preserve">CR01255</t>
  </si>
  <si>
    <t xml:space="preserve">@creator1255_tiktok</t>
  </si>
  <si>
    <t xml:space="preserve">@creator1481_tiktok</t>
  </si>
  <si>
    <t xml:space="preserve">@creator631_tiktok</t>
  </si>
  <si>
    <t xml:space="preserve">Creator 62</t>
  </si>
  <si>
    <t xml:space="preserve">CR00062</t>
  </si>
  <si>
    <t xml:space="preserve">@creator62_tiktok</t>
  </si>
  <si>
    <t xml:space="preserve">@creator1111_tiktok</t>
  </si>
  <si>
    <t xml:space="preserve">@creator764_tiktok</t>
  </si>
  <si>
    <t xml:space="preserve">@creator1297_tiktok</t>
  </si>
  <si>
    <t xml:space="preserve">@creator1217_tiktok</t>
  </si>
  <si>
    <t xml:space="preserve">@creator352_tiktok</t>
  </si>
  <si>
    <t xml:space="preserve">@creator235_tiktok</t>
  </si>
  <si>
    <t xml:space="preserve">@creator37_tiktok</t>
  </si>
  <si>
    <t xml:space="preserve">https://www.tiktok.com/@creator346_tiktok</t>
  </si>
  <si>
    <t xml:space="preserve">@creator12_tiktok</t>
  </si>
  <si>
    <t xml:space="preserve">@creator1105_tiktok</t>
  </si>
  <si>
    <t xml:space="preserve">@creator490_tiktok</t>
  </si>
  <si>
    <t xml:space="preserve">@creator1146_tiktok</t>
  </si>
  <si>
    <t xml:space="preserve">@creator1138_tiktok</t>
  </si>
  <si>
    <t xml:space="preserve">Creator 1387</t>
  </si>
  <si>
    <t xml:space="preserve">CR01387</t>
  </si>
  <si>
    <t xml:space="preserve">@creator1387_tiktok</t>
  </si>
  <si>
    <t xml:space="preserve">Creator 1270</t>
  </si>
  <si>
    <t xml:space="preserve">CR01270</t>
  </si>
  <si>
    <t xml:space="preserve">@creator1270_tiktok</t>
  </si>
  <si>
    <t xml:space="preserve">Creator 953</t>
  </si>
  <si>
    <t xml:space="preserve">CR00953</t>
  </si>
  <si>
    <t xml:space="preserve">@creator953_tiktok</t>
  </si>
  <si>
    <t xml:space="preserve">Creator 669</t>
  </si>
  <si>
    <t xml:space="preserve">CR00669</t>
  </si>
  <si>
    <t xml:space="preserve">@creator669_tiktok</t>
  </si>
  <si>
    <t xml:space="preserve">Creator 1148</t>
  </si>
  <si>
    <t xml:space="preserve">CR01148</t>
  </si>
  <si>
    <t xml:space="preserve">@creator1148_tiktok</t>
  </si>
  <si>
    <t xml:space="preserve">@creator1119_tiktok</t>
  </si>
  <si>
    <t xml:space="preserve">@creator725_tiktok</t>
  </si>
  <si>
    <t xml:space="preserve">@creator1376_tiktok</t>
  </si>
  <si>
    <t xml:space="preserve">@creator1045_tiktok</t>
  </si>
  <si>
    <t xml:space="preserve">@creator70_tiktok</t>
  </si>
  <si>
    <t xml:space="preserve">Creator 657</t>
  </si>
  <si>
    <t xml:space="preserve">CR00657</t>
  </si>
  <si>
    <t xml:space="preserve">@creator657_tiktok</t>
  </si>
  <si>
    <t xml:space="preserve">@creator722_tiktok</t>
  </si>
  <si>
    <t xml:space="preserve">Creator 128</t>
  </si>
  <si>
    <t xml:space="preserve">CR00128</t>
  </si>
  <si>
    <t xml:space="preserve">https://www.tiktok.com/@creator128_tiktok</t>
  </si>
  <si>
    <t xml:space="preserve">Creator 728</t>
  </si>
  <si>
    <t xml:space="preserve">CR00728</t>
  </si>
  <si>
    <t xml:space="preserve">@creator728_tiktok</t>
  </si>
  <si>
    <t xml:space="preserve">https://www.tiktok.com/@creator1050_tiktok</t>
  </si>
  <si>
    <t xml:space="preserve">@creator509_tiktok</t>
  </si>
  <si>
    <t xml:space="preserve">Creator 1321</t>
  </si>
  <si>
    <t xml:space="preserve">CR01321</t>
  </si>
  <si>
    <t xml:space="preserve">https://www.tiktok.com/@creator1321_tiktok</t>
  </si>
  <si>
    <t xml:space="preserve">https://www.tiktok.com/@creator971_tiktok</t>
  </si>
  <si>
    <t xml:space="preserve">Creator 1374</t>
  </si>
  <si>
    <t xml:space="preserve">CR01374</t>
  </si>
  <si>
    <t xml:space="preserve">@creator1374_tiktok</t>
  </si>
  <si>
    <t xml:space="preserve">Creator 1266</t>
  </si>
  <si>
    <t xml:space="preserve">CR01266</t>
  </si>
  <si>
    <t xml:space="preserve">@creator1266_tiktok</t>
  </si>
  <si>
    <t xml:space="preserve">YouTube leaderboard — one row per complete YouTube channel</t>
  </si>
  <si>
    <t xml:space="preserve">Creator 1463</t>
  </si>
  <si>
    <t xml:space="preserve">CR01463</t>
  </si>
  <si>
    <t xml:space="preserve">@creator1463_youtube</t>
  </si>
  <si>
    <t xml:space="preserve">@creator85_youtube</t>
  </si>
  <si>
    <t xml:space="preserve">@creator1184_youtube</t>
  </si>
  <si>
    <t xml:space="preserve">@creator15_youtube</t>
  </si>
  <si>
    <t xml:space="preserve">Creator 1025</t>
  </si>
  <si>
    <t xml:space="preserve">CR01025</t>
  </si>
  <si>
    <t xml:space="preserve">@creator1025_youtube</t>
  </si>
  <si>
    <t xml:space="preserve">@creator82_youtube</t>
  </si>
  <si>
    <t xml:space="preserve">@creator1039_youtube</t>
  </si>
  <si>
    <t xml:space="preserve">@creator194_youtube</t>
  </si>
  <si>
    <t xml:space="preserve">@creator770_youtube</t>
  </si>
  <si>
    <t xml:space="preserve">Creator 1091</t>
  </si>
  <si>
    <t xml:space="preserve">CR01091</t>
  </si>
  <si>
    <t xml:space="preserve">@creator1091_youtube</t>
  </si>
  <si>
    <t xml:space="preserve">@creator390_youtube</t>
  </si>
  <si>
    <t xml:space="preserve">@creator1191_youtube</t>
  </si>
  <si>
    <t xml:space="preserve">Creator 160</t>
  </si>
  <si>
    <t xml:space="preserve">CR00160</t>
  </si>
  <si>
    <t xml:space="preserve">@creator160_youtube</t>
  </si>
  <si>
    <t xml:space="preserve">@creator1274_youtube</t>
  </si>
  <si>
    <t xml:space="preserve">@creator711_youtube</t>
  </si>
  <si>
    <t xml:space="preserve">@creator1373_youtube</t>
  </si>
  <si>
    <t xml:space="preserve">@creator789_youtube</t>
  </si>
  <si>
    <t xml:space="preserve">Creator 1329</t>
  </si>
  <si>
    <t xml:space="preserve">CR01329</t>
  </si>
  <si>
    <t xml:space="preserve">@creator1329_youtube</t>
  </si>
  <si>
    <t xml:space="preserve">@creator576_youtube</t>
  </si>
  <si>
    <t xml:space="preserve">@creator1447_youtube</t>
  </si>
  <si>
    <t xml:space="preserve">Creator 224</t>
  </si>
  <si>
    <t xml:space="preserve">CR00224</t>
  </si>
  <si>
    <t xml:space="preserve">@creator224_youtube</t>
  </si>
  <si>
    <t xml:space="preserve">@creator158_youtube</t>
  </si>
  <si>
    <t xml:space="preserve">@creator322_youtube</t>
  </si>
  <si>
    <t xml:space="preserve">Creator 3</t>
  </si>
  <si>
    <t xml:space="preserve">CR00003</t>
  </si>
  <si>
    <t xml:space="preserve">@creator3_youtube</t>
  </si>
  <si>
    <t xml:space="preserve">@creator243_youtube</t>
  </si>
  <si>
    <t xml:space="preserve">@creator373_youtube</t>
  </si>
  <si>
    <t xml:space="preserve">@creator1402_youtube</t>
  </si>
  <si>
    <t xml:space="preserve">@creator752_youtube</t>
  </si>
  <si>
    <t xml:space="preserve">Creator 751</t>
  </si>
  <si>
    <t xml:space="preserve">CR00751</t>
  </si>
  <si>
    <t xml:space="preserve">@creator751_youtube</t>
  </si>
  <si>
    <t xml:space="preserve">@creator381_youtube</t>
  </si>
  <si>
    <t xml:space="preserve">@creator1489_youtube</t>
  </si>
  <si>
    <t xml:space="preserve">@creator36_youtube</t>
  </si>
  <si>
    <t xml:space="preserve">@creator357_youtube</t>
  </si>
  <si>
    <t xml:space="preserve">@creator676_youtube</t>
  </si>
  <si>
    <t xml:space="preserve">@creator1103_youtube</t>
  </si>
  <si>
    <t xml:space="preserve">@creator50_youtube</t>
  </si>
  <si>
    <t xml:space="preserve">@creator311_youtube</t>
  </si>
  <si>
    <t xml:space="preserve">@creator811_youtube</t>
  </si>
  <si>
    <t xml:space="preserve">Creator 662</t>
  </si>
  <si>
    <t xml:space="preserve">CR00662</t>
  </si>
  <si>
    <t xml:space="preserve">@creator662_youtube</t>
  </si>
  <si>
    <t xml:space="preserve">@creator480_youtube</t>
  </si>
  <si>
    <t xml:space="preserve">Creator 1314</t>
  </si>
  <si>
    <t xml:space="preserve">CR01314</t>
  </si>
  <si>
    <t xml:space="preserve">@creator1314_youtube</t>
  </si>
  <si>
    <t xml:space="preserve">@creator328_youtube</t>
  </si>
  <si>
    <t xml:space="preserve">@creator403_youtube</t>
  </si>
  <si>
    <t xml:space="preserve">@creator830_youtube</t>
  </si>
  <si>
    <t xml:space="preserve">@creator995_youtube</t>
  </si>
  <si>
    <t xml:space="preserve">@creator511_youtube</t>
  </si>
  <si>
    <t xml:space="preserve">@creator616_youtube</t>
  </si>
  <si>
    <t xml:space="preserve">@creator809_youtube</t>
  </si>
  <si>
    <t xml:space="preserve">@creator822_youtube</t>
  </si>
  <si>
    <t xml:space="preserve">Creator 1342</t>
  </si>
  <si>
    <t xml:space="preserve">CR01342</t>
  </si>
  <si>
    <t xml:space="preserve">@creator1342_youtube</t>
  </si>
  <si>
    <t xml:space="preserve">@creator991_youtube</t>
  </si>
  <si>
    <t xml:space="preserve">@creator1298_youtube</t>
  </si>
  <si>
    <t xml:space="preserve">@creator1011_youtube</t>
  </si>
  <si>
    <t xml:space="preserve">Creator 1312</t>
  </si>
  <si>
    <t xml:space="preserve">CR01312</t>
  </si>
  <si>
    <t xml:space="preserve">@creator1312_youtube</t>
  </si>
  <si>
    <t xml:space="preserve">@creator788_youtube</t>
  </si>
  <si>
    <t xml:space="preserve">Creator 779</t>
  </si>
  <si>
    <t xml:space="preserve">CR00779</t>
  </si>
  <si>
    <t xml:space="preserve">@creator779_youtube</t>
  </si>
  <si>
    <t xml:space="preserve">@creator1327_youtube</t>
  </si>
  <si>
    <t xml:space="preserve">@creator268_youtube</t>
  </si>
  <si>
    <t xml:space="preserve">Creator 444</t>
  </si>
  <si>
    <t xml:space="preserve">CR00444</t>
  </si>
  <si>
    <t xml:space="preserve">@creator444_youtube</t>
  </si>
  <si>
    <t xml:space="preserve">@creator9_youtube</t>
  </si>
  <si>
    <t xml:space="preserve">@creator891_youtube</t>
  </si>
  <si>
    <t xml:space="preserve">Creator 1454</t>
  </si>
  <si>
    <t xml:space="preserve">CR01454</t>
  </si>
  <si>
    <t xml:space="preserve">@creator1454_youtube</t>
  </si>
  <si>
    <t xml:space="preserve">@creator102_youtube</t>
  </si>
  <si>
    <t xml:space="preserve">Creator 1352</t>
  </si>
  <si>
    <t xml:space="preserve">CR01352</t>
  </si>
  <si>
    <t xml:space="preserve">@creator1352_youtube</t>
  </si>
  <si>
    <t xml:space="preserve">@creator260_youtube</t>
  </si>
  <si>
    <t xml:space="preserve">@creator1161_youtube</t>
  </si>
  <si>
    <t xml:space="preserve">@creator1341_youtube</t>
  </si>
  <si>
    <t xml:space="preserve">@creator153_youtube</t>
  </si>
  <si>
    <t xml:space="preserve">@creator557_youtube</t>
  </si>
  <si>
    <t xml:space="preserve">@creator1008_youtube</t>
  </si>
  <si>
    <t xml:space="preserve">Creator 249</t>
  </si>
  <si>
    <t xml:space="preserve">CR00249</t>
  </si>
  <si>
    <t xml:space="preserve">@creator249_youtube</t>
  </si>
  <si>
    <t xml:space="preserve">@creator509_youtube</t>
  </si>
  <si>
    <t xml:space="preserve">@creator248_youtube</t>
  </si>
  <si>
    <t xml:space="preserve">@creator535_youtube</t>
  </si>
  <si>
    <t xml:space="preserve">@creator969_youtube</t>
  </si>
  <si>
    <t xml:space="preserve">Creator 297</t>
  </si>
  <si>
    <t xml:space="preserve">CR00297</t>
  </si>
  <si>
    <t xml:space="preserve">@creator297_youtube</t>
  </si>
  <si>
    <t xml:space="preserve">@creator219_youtube</t>
  </si>
  <si>
    <t xml:space="preserve">@creator449_youtube</t>
  </si>
  <si>
    <t xml:space="preserve">@creator674_youtube</t>
  </si>
  <si>
    <t xml:space="preserve">Creator 406</t>
  </si>
  <si>
    <t xml:space="preserve">CR00406</t>
  </si>
  <si>
    <t xml:space="preserve">@creator406_youtube</t>
  </si>
  <si>
    <t xml:space="preserve">@creator1419_youtube</t>
  </si>
  <si>
    <t xml:space="preserve">@creator296_youtube</t>
  </si>
  <si>
    <t xml:space="preserve">@creator1280_youtube</t>
  </si>
  <si>
    <t xml:space="preserve">@creator530_youtube</t>
  </si>
  <si>
    <t xml:space="preserve">@creator856_youtube</t>
  </si>
  <si>
    <t xml:space="preserve">@creator1296_youtube</t>
  </si>
  <si>
    <t xml:space="preserve">@creator686_youtube</t>
  </si>
  <si>
    <t xml:space="preserve">@creator1492_youtube</t>
  </si>
  <si>
    <t xml:space="preserve">@creator71_youtube</t>
  </si>
  <si>
    <t xml:space="preserve">@creator1266_youtube</t>
  </si>
  <si>
    <t xml:space="preserve">@creator734_youtube</t>
  </si>
  <si>
    <t xml:space="preserve">Creator 689</t>
  </si>
  <si>
    <t xml:space="preserve">CR00689</t>
  </si>
  <si>
    <t xml:space="preserve">@creator689_youtube</t>
  </si>
  <si>
    <t xml:space="preserve">@creator1254_youtube</t>
  </si>
  <si>
    <t xml:space="preserve">@creator601_youtube</t>
  </si>
  <si>
    <t xml:space="preserve">@creator688_youtube</t>
  </si>
  <si>
    <t xml:space="preserve">Creator 694</t>
  </si>
  <si>
    <t xml:space="preserve">CR00694</t>
  </si>
  <si>
    <t xml:space="preserve">@creator694_youtube</t>
  </si>
  <si>
    <t xml:space="preserve">@creator238_youtube</t>
  </si>
  <si>
    <t xml:space="preserve">@creator193_youtube</t>
  </si>
  <si>
    <t xml:space="preserve">@creator1105_youtube</t>
  </si>
  <si>
    <t xml:space="preserve">@creator458_youtube</t>
  </si>
  <si>
    <t xml:space="preserve">@creator424_youtube</t>
  </si>
  <si>
    <t xml:space="preserve">@creator1127_youtube</t>
  </si>
  <si>
    <t xml:space="preserve">@creator1121_youtube</t>
  </si>
  <si>
    <t xml:space="preserve">@creator668_youtube</t>
  </si>
  <si>
    <t xml:space="preserve">Creator 100</t>
  </si>
  <si>
    <t xml:space="preserve">CR00100</t>
  </si>
  <si>
    <t xml:space="preserve">@creator100_youtube</t>
  </si>
  <si>
    <t xml:space="preserve">@creator90_youtube</t>
  </si>
  <si>
    <t xml:space="preserve">@creator1045_youtube</t>
  </si>
  <si>
    <t xml:space="preserve">@creator1031_youtube</t>
  </si>
  <si>
    <t xml:space="preserve">@creator318_youtube</t>
  </si>
  <si>
    <t xml:space="preserve">@creator1325_youtube</t>
  </si>
  <si>
    <t xml:space="preserve">@creator96_youtube</t>
  </si>
  <si>
    <t xml:space="preserve">@creator1485_youtube</t>
  </si>
  <si>
    <t xml:space="preserve">@creator508_youtube</t>
  </si>
  <si>
    <t xml:space="preserve">@creator1486_youtube</t>
  </si>
  <si>
    <t xml:space="preserve">@creator760_youtube</t>
  </si>
  <si>
    <t xml:space="preserve">@creator374_youtube</t>
  </si>
  <si>
    <t xml:space="preserve">Creator 609</t>
  </si>
  <si>
    <t xml:space="preserve">CR00609</t>
  </si>
  <si>
    <t xml:space="preserve">@creator609_youtube</t>
  </si>
  <si>
    <t xml:space="preserve">Creator 851</t>
  </si>
  <si>
    <t xml:space="preserve">CR00851</t>
  </si>
  <si>
    <t xml:space="preserve">@creator851_youtube</t>
  </si>
  <si>
    <t xml:space="preserve">Creator 1073</t>
  </si>
  <si>
    <t xml:space="preserve">CR01073</t>
  </si>
  <si>
    <t xml:space="preserve">@creator1073_youtube</t>
  </si>
  <si>
    <t xml:space="preserve">@creator230_youtube</t>
  </si>
  <si>
    <t xml:space="preserve">@creator20_youtube</t>
  </si>
  <si>
    <t xml:space="preserve">@creator625_youtube</t>
  </si>
  <si>
    <t xml:space="preserve">Creator 916</t>
  </si>
  <si>
    <t xml:space="preserve">CR00916</t>
  </si>
  <si>
    <t xml:space="preserve">@creator916_youtube</t>
  </si>
  <si>
    <t xml:space="preserve">@creator1201_youtube</t>
  </si>
  <si>
    <t xml:space="preserve">@creator1290_youtube</t>
  </si>
  <si>
    <t xml:space="preserve">@creator874_youtube</t>
  </si>
  <si>
    <t xml:space="preserve">@creator128_youtube</t>
  </si>
  <si>
    <t xml:space="preserve">@creator551_youtube</t>
  </si>
  <si>
    <t xml:space="preserve">@creator293_youtube</t>
  </si>
  <si>
    <t xml:space="preserve">@creator566_youtube</t>
  </si>
  <si>
    <t xml:space="preserve">@creator1393_youtube</t>
  </si>
  <si>
    <t xml:space="preserve">@creator1399_youtube</t>
  </si>
  <si>
    <t xml:space="preserve">@creator627_youtube</t>
  </si>
  <si>
    <t xml:space="preserve">@creator83_youtube</t>
  </si>
  <si>
    <t xml:space="preserve">@creator518_youtube</t>
  </si>
  <si>
    <t xml:space="preserve">@creator684_youtube</t>
  </si>
  <si>
    <t xml:space="preserve">@creator448_youtube</t>
  </si>
  <si>
    <t xml:space="preserve">@creator955_youtube</t>
  </si>
  <si>
    <t xml:space="preserve">@creator1304_youtube</t>
  </si>
  <si>
    <t xml:space="preserve">@creator177_youtube</t>
  </si>
  <si>
    <t xml:space="preserve">Creator 621</t>
  </si>
  <si>
    <t xml:space="preserve">CR00621</t>
  </si>
  <si>
    <t xml:space="preserve">@creator621_youtube</t>
  </si>
  <si>
    <t xml:space="preserve">@creator1136_youtube</t>
  </si>
  <si>
    <t xml:space="preserve">@creator438_youtube</t>
  </si>
  <si>
    <t xml:space="preserve">@creator330_youtube</t>
  </si>
  <si>
    <t xml:space="preserve">Creator 553</t>
  </si>
  <si>
    <t xml:space="preserve">CR00553</t>
  </si>
  <si>
    <t xml:space="preserve">@creator553_youtube</t>
  </si>
  <si>
    <t xml:space="preserve">@creator416_youtube</t>
  </si>
  <si>
    <t xml:space="preserve">@creator491_youtube</t>
  </si>
  <si>
    <t xml:space="preserve">@creator244_youtube</t>
  </si>
  <si>
    <t xml:space="preserve">Creator 68</t>
  </si>
  <si>
    <t xml:space="preserve">CR00068</t>
  </si>
  <si>
    <t xml:space="preserve">@creator68_youtube</t>
  </si>
  <si>
    <t xml:space="preserve">Creator 1035</t>
  </si>
  <si>
    <t xml:space="preserve">CR01035</t>
  </si>
  <si>
    <t xml:space="preserve">@creator1035_youtube</t>
  </si>
  <si>
    <t xml:space="preserve">@creator1236_youtube</t>
  </si>
  <si>
    <t xml:space="preserve">Creator 1228</t>
  </si>
  <si>
    <t xml:space="preserve">CR01228</t>
  </si>
  <si>
    <t xml:space="preserve">@creator1228_youtube</t>
  </si>
  <si>
    <t xml:space="preserve">@creator1361_youtube</t>
  </si>
  <si>
    <t xml:space="preserve">@creator271_youtube</t>
  </si>
  <si>
    <t xml:space="preserve">@creator2_youtube</t>
  </si>
  <si>
    <t xml:space="preserve">@creator525_youtube</t>
  </si>
  <si>
    <t xml:space="preserve">@creator834_youtube</t>
  </si>
  <si>
    <t xml:space="preserve">@creator305_youtube</t>
  </si>
  <si>
    <t xml:space="preserve">@creator180_youtube</t>
  </si>
  <si>
    <t xml:space="preserve">Creator 1384</t>
  </si>
  <si>
    <t xml:space="preserve">CR01384</t>
  </si>
  <si>
    <t xml:space="preserve">@creator1384_youtube</t>
  </si>
  <si>
    <t xml:space="preserve">@creator781_youtube</t>
  </si>
  <si>
    <t xml:space="preserve">@creator971_youtube</t>
  </si>
  <si>
    <t xml:space="preserve">@creator928_youtube</t>
  </si>
  <si>
    <t xml:space="preserve">@creator340_youtube</t>
  </si>
  <si>
    <t xml:space="preserve">@creator62_youtube</t>
  </si>
  <si>
    <t xml:space="preserve">@creator943_youtube</t>
  </si>
  <si>
    <t xml:space="preserve">@creator1432_youtube</t>
  </si>
  <si>
    <t xml:space="preserve">Creator 281</t>
  </si>
  <si>
    <t xml:space="preserve">CR00281</t>
  </si>
  <si>
    <t xml:space="preserve">@creator281_youtube</t>
  </si>
  <si>
    <t xml:space="preserve">Creator 46</t>
  </si>
  <si>
    <t xml:space="preserve">CR00046</t>
  </si>
  <si>
    <t xml:space="preserve">@creator46_youtube</t>
  </si>
  <si>
    <t xml:space="preserve">@creator289_youtube</t>
  </si>
  <si>
    <t xml:space="preserve">@creator1037_youtube</t>
  </si>
  <si>
    <t xml:space="preserve">@creator523_youtube</t>
  </si>
  <si>
    <t xml:space="preserve">Creator 1470</t>
  </si>
  <si>
    <t xml:space="preserve">CR01470</t>
  </si>
  <si>
    <t xml:space="preserve">@creator1470_youtube</t>
  </si>
  <si>
    <t xml:space="preserve">@creator1458_youtube</t>
  </si>
  <si>
    <t xml:space="preserve">@creator733_youtube</t>
  </si>
  <si>
    <t xml:space="preserve">@creator321_youtube</t>
  </si>
  <si>
    <t xml:space="preserve">Creator 648</t>
  </si>
  <si>
    <t xml:space="preserve">CR00648</t>
  </si>
  <si>
    <t xml:space="preserve">@creator648_youtube</t>
  </si>
  <si>
    <t xml:space="preserve">@creator1383_youtube</t>
  </si>
  <si>
    <t xml:space="preserve">Creator 663</t>
  </si>
  <si>
    <t xml:space="preserve">CR00663</t>
  </si>
  <si>
    <t xml:space="preserve">@creator663_youtube</t>
  </si>
  <si>
    <t xml:space="preserve">@creator515_youtube</t>
  </si>
  <si>
    <t xml:space="preserve">@creator1287_youtube</t>
  </si>
  <si>
    <t xml:space="preserve">@creator1145_youtube</t>
  </si>
  <si>
    <t xml:space="preserve">@creator126_youtube</t>
  </si>
  <si>
    <t xml:space="preserve">Creator 731</t>
  </si>
  <si>
    <t xml:space="preserve">CR00731</t>
  </si>
  <si>
    <t xml:space="preserve">@creator731_youtube</t>
  </si>
  <si>
    <t xml:space="preserve">@creator1165_youtube</t>
  </si>
  <si>
    <t xml:space="preserve">Creator 1047</t>
  </si>
  <si>
    <t xml:space="preserve">CR01047</t>
  </si>
  <si>
    <t xml:space="preserve">@creator1047_youtube</t>
  </si>
  <si>
    <t xml:space="preserve">@creator569_youtube</t>
  </si>
  <si>
    <t xml:space="preserve">@creator136_youtube</t>
  </si>
  <si>
    <t xml:space="preserve">@creator914_youtube</t>
  </si>
  <si>
    <t xml:space="preserve">@creator859_youtube</t>
  </si>
  <si>
    <t xml:space="preserve">@creator495_youtube</t>
  </si>
  <si>
    <t xml:space="preserve">@creator1225_youtube</t>
  </si>
  <si>
    <t xml:space="preserve">Creator 1283</t>
  </si>
  <si>
    <t xml:space="preserve">CR01283</t>
  </si>
  <si>
    <t xml:space="preserve">@creator1283_youtube</t>
  </si>
  <si>
    <t xml:space="preserve">@creator725_youtube</t>
  </si>
  <si>
    <t xml:space="preserve">@creator216_youtube</t>
  </si>
  <si>
    <t xml:space="preserve">@creator865_youtube</t>
  </si>
  <si>
    <t xml:space="preserve">Creator 552</t>
  </si>
  <si>
    <t xml:space="preserve">CR00552</t>
  </si>
  <si>
    <t xml:space="preserve">@creator552_youtube</t>
  </si>
  <si>
    <t xml:space="preserve">Creator 356</t>
  </si>
  <si>
    <t xml:space="preserve">CR00356</t>
  </si>
  <si>
    <t xml:space="preserve">@creator356_youtube</t>
  </si>
  <si>
    <t xml:space="preserve">@creator806_youtube</t>
  </si>
  <si>
    <t xml:space="preserve">Creator 437</t>
  </si>
  <si>
    <t xml:space="preserve">CR00437</t>
  </si>
  <si>
    <t xml:space="preserve">@creator437_youtube</t>
  </si>
  <si>
    <t xml:space="preserve">@creator295_youtube</t>
  </si>
  <si>
    <t xml:space="preserve">@creator393_youtube</t>
  </si>
  <si>
    <t xml:space="preserve">@creator931_youtube</t>
  </si>
  <si>
    <t xml:space="preserve">@creator655_youtube</t>
  </si>
  <si>
    <t xml:space="preserve">@creator32_youtube</t>
  </si>
  <si>
    <t xml:space="preserve">@creator117_youtube</t>
  </si>
  <si>
    <t xml:space="preserve">@creator622_youtube</t>
  </si>
  <si>
    <t xml:space="preserve">Creator 1334</t>
  </si>
  <si>
    <t xml:space="preserve">CR01334</t>
  </si>
  <si>
    <t xml:space="preserve">@creator1334_youtube</t>
  </si>
  <si>
    <t xml:space="preserve">Creator 30</t>
  </si>
  <si>
    <t xml:space="preserve">CR00030</t>
  </si>
  <si>
    <t xml:space="preserve">@creator30_youtube</t>
  </si>
  <si>
    <t xml:space="preserve">@creator847_youtube</t>
  </si>
  <si>
    <t xml:space="preserve">@creator1355_youtube</t>
  </si>
  <si>
    <t xml:space="preserve">Creator 1116</t>
  </si>
  <si>
    <t xml:space="preserve">CR01116</t>
  </si>
  <si>
    <t xml:space="preserve">@creator1116_youtube</t>
  </si>
  <si>
    <t xml:space="preserve">Creator 512</t>
  </si>
  <si>
    <t xml:space="preserve">CR00512</t>
  </si>
  <si>
    <t xml:space="preserve">@creator512_youtube</t>
  </si>
  <si>
    <t xml:space="preserve">@creator1084_youtube</t>
  </si>
  <si>
    <t xml:space="preserve">@creator942_youtube</t>
  </si>
  <si>
    <t xml:space="preserve">@creator172_youtube</t>
  </si>
  <si>
    <t xml:space="preserve">Creator 254</t>
  </si>
  <si>
    <t xml:space="preserve">CR00254</t>
  </si>
  <si>
    <t xml:space="preserve">@creator254_youtube</t>
  </si>
  <si>
    <t xml:space="preserve">@creator1240_youtube</t>
  </si>
  <si>
    <t xml:space="preserve">@creator707_youtube</t>
  </si>
  <si>
    <t xml:space="preserve">@creator827_youtube</t>
  </si>
  <si>
    <t xml:space="preserve">Creator 1168</t>
  </si>
  <si>
    <t xml:space="preserve">CR01168</t>
  </si>
  <si>
    <t xml:space="preserve">@creator1168_youtube</t>
  </si>
  <si>
    <t xml:space="preserve">@creator1448_youtube</t>
  </si>
  <si>
    <t xml:space="preserve">@creator1199_youtube</t>
  </si>
  <si>
    <t xml:space="preserve">@creator682_youtube</t>
  </si>
  <si>
    <t xml:space="preserve">@creator589_youtube</t>
  </si>
  <si>
    <t xml:space="preserve">Creator 131</t>
  </si>
  <si>
    <t xml:space="preserve">CR00131</t>
  </si>
  <si>
    <t xml:space="preserve">@creator131_youtube</t>
  </si>
  <si>
    <t xml:space="preserve">@creator823_youtube</t>
  </si>
  <si>
    <t xml:space="preserve">Creator 383</t>
  </si>
  <si>
    <t xml:space="preserve">CR00383</t>
  </si>
  <si>
    <t xml:space="preserve">@creator383_youtube</t>
  </si>
  <si>
    <t xml:space="preserve">@creator425_youtube</t>
  </si>
  <si>
    <t xml:space="preserve">@creator808_youtube</t>
  </si>
  <si>
    <t xml:space="preserve">@creator184_youtube</t>
  </si>
  <si>
    <t xml:space="preserve">@creator1253_youtube</t>
  </si>
  <si>
    <t xml:space="preserve">@creator1111_youtube</t>
  </si>
  <si>
    <t xml:space="preserve">@creator1300_youtube</t>
  </si>
  <si>
    <t xml:space="preserve">@creator407_youtube</t>
  </si>
  <si>
    <t xml:space="preserve">@creator584_youtube</t>
  </si>
  <si>
    <t xml:space="preserve">Creator 1189</t>
  </si>
  <si>
    <t xml:space="preserve">CR01189</t>
  </si>
  <si>
    <t xml:space="preserve">@creator1189_youtube</t>
  </si>
  <si>
    <t xml:space="preserve">@creator1065_youtube</t>
  </si>
  <si>
    <t xml:space="preserve">@creator887_youtube</t>
  </si>
  <si>
    <t xml:space="preserve">@creator1156_youtube</t>
  </si>
  <si>
    <t xml:space="preserve">@creator579_youtube</t>
  </si>
  <si>
    <t xml:space="preserve">@creator1160_youtube</t>
  </si>
  <si>
    <t xml:space="preserve">@creator1046_youtube</t>
  </si>
  <si>
    <t xml:space="preserve">@creator267_youtube</t>
  </si>
  <si>
    <t xml:space="preserve">@creator764_youtube</t>
  </si>
  <si>
    <t xml:space="preserve">https://youtube.com/@creator324_youtube</t>
  </si>
  <si>
    <t xml:space="preserve">@creator488_youtube</t>
  </si>
  <si>
    <t xml:space="preserve">Creator 902</t>
  </si>
  <si>
    <t xml:space="preserve">CR00902</t>
  </si>
  <si>
    <t xml:space="preserve">@creator902_youtube</t>
  </si>
  <si>
    <t xml:space="preserve">@creator605_youtube</t>
  </si>
  <si>
    <t xml:space="preserve">@creator1406_youtube</t>
  </si>
  <si>
    <t xml:space="preserve">Creator 952</t>
  </si>
  <si>
    <t xml:space="preserve">CR00952</t>
  </si>
  <si>
    <t xml:space="preserve">@creator952_youtube</t>
  </si>
  <si>
    <t xml:space="preserve">@creator300_youtube</t>
  </si>
  <si>
    <t xml:space="preserve">@creator1412_youtube</t>
  </si>
  <si>
    <t xml:space="preserve">Creator 1455</t>
  </si>
  <si>
    <t xml:space="preserve">CR01455</t>
  </si>
  <si>
    <t xml:space="preserve">@creator1455_youtube</t>
  </si>
  <si>
    <t xml:space="preserve">@creator351_youtube</t>
  </si>
  <si>
    <t xml:space="preserve">Creator 1096</t>
  </si>
  <si>
    <t xml:space="preserve">CR01096</t>
  </si>
  <si>
    <t xml:space="preserve">@creator1096_youtube</t>
  </si>
  <si>
    <t xml:space="preserve">Creator 911</t>
  </si>
  <si>
    <t xml:space="preserve">CR00911</t>
  </si>
  <si>
    <t xml:space="preserve">@creator911_youtube</t>
  </si>
  <si>
    <t xml:space="preserve">@creator1195_youtube</t>
  </si>
  <si>
    <t xml:space="preserve">Creator 494</t>
  </si>
  <si>
    <t xml:space="preserve">CR00494</t>
  </si>
  <si>
    <t xml:space="preserve">@creator494_youtube</t>
  </si>
  <si>
    <t xml:space="preserve">Creator 65</t>
  </si>
  <si>
    <t xml:space="preserve">CR00065</t>
  </si>
  <si>
    <t xml:space="preserve">@creator65_youtube</t>
  </si>
  <si>
    <t xml:space="preserve">@creator878_youtube</t>
  </si>
  <si>
    <t xml:space="preserve">@creator722_youtube</t>
  </si>
  <si>
    <t xml:space="preserve">Creator 99</t>
  </si>
  <si>
    <t xml:space="preserve">CR00099</t>
  </si>
  <si>
    <t xml:space="preserve">@creator99_youtube</t>
  </si>
  <si>
    <t xml:space="preserve">@creator1337_youtube</t>
  </si>
  <si>
    <t xml:space="preserve">@creator354_youtube</t>
  </si>
  <si>
    <t xml:space="preserve">Creator 1078</t>
  </si>
  <si>
    <t xml:space="preserve">CR01078</t>
  </si>
  <si>
    <t xml:space="preserve">@creator1078_youtube</t>
  </si>
  <si>
    <t xml:space="preserve">@creator799_youtube</t>
  </si>
  <si>
    <t xml:space="preserve">Creator 721</t>
  </si>
  <si>
    <t xml:space="preserve">CR00721</t>
  </si>
  <si>
    <t xml:space="preserve">@creator721_youtube</t>
  </si>
  <si>
    <t xml:space="preserve">@creator990_youtube</t>
  </si>
  <si>
    <t xml:space="preserve">@creator276_youtube</t>
  </si>
  <si>
    <t xml:space="preserve">@creator786_youtube</t>
  </si>
  <si>
    <t xml:space="preserve">@creator48_youtube</t>
  </si>
  <si>
    <t xml:space="preserve">Creator 417</t>
  </si>
  <si>
    <t xml:space="preserve">CR00417</t>
  </si>
  <si>
    <t xml:space="preserve">@creator417_youtube</t>
  </si>
  <si>
    <t xml:space="preserve">@creator610_youtube</t>
  </si>
  <si>
    <t xml:space="preserve">@creator261_youtube</t>
  </si>
  <si>
    <t xml:space="preserve">@creator876_youtube</t>
  </si>
  <si>
    <t xml:space="preserve">@creator766_youtube</t>
  </si>
  <si>
    <t xml:space="preserve">@creator692_youtube</t>
  </si>
  <si>
    <t xml:space="preserve">@creator889_youtube</t>
  </si>
  <si>
    <t xml:space="preserve">Creator 843</t>
  </si>
  <si>
    <t xml:space="preserve">CR00843</t>
  </si>
  <si>
    <t xml:space="preserve">@creator843_youtube</t>
  </si>
  <si>
    <t xml:space="preserve">@creator27_youtube</t>
  </si>
  <si>
    <t xml:space="preserve">@creator1147_youtube</t>
  </si>
  <si>
    <t xml:space="preserve">@creator681_youtube</t>
  </si>
  <si>
    <t xml:space="preserve">Creator 858</t>
  </si>
  <si>
    <t xml:space="preserve">CR00858</t>
  </si>
  <si>
    <t xml:space="preserve">@creator858_youtube</t>
  </si>
  <si>
    <t xml:space="preserve">Creator 826</t>
  </si>
  <si>
    <t xml:space="preserve">CR00826</t>
  </si>
  <si>
    <t xml:space="preserve">@creator826_youtube</t>
  </si>
  <si>
    <t xml:space="preserve">@creator1291_youtube</t>
  </si>
  <si>
    <t xml:space="preserve">@creator828_youtube</t>
  </si>
  <si>
    <t xml:space="preserve">https://youtube.com/@creator726_youtube</t>
  </si>
  <si>
    <t xml:space="preserve">@creator819_youtube</t>
  </si>
  <si>
    <t xml:space="preserve">@creator1477_youtube</t>
  </si>
  <si>
    <t xml:space="preserve">@creator967_youtube</t>
  </si>
  <si>
    <t xml:space="preserve">Creator 987</t>
  </si>
  <si>
    <t xml:space="preserve">CR00987</t>
  </si>
  <si>
    <t xml:space="preserve">@creator987_youtube</t>
  </si>
  <si>
    <t xml:space="preserve">@creator673_youtube</t>
  </si>
  <si>
    <t xml:space="preserve">Creator 181</t>
  </si>
  <si>
    <t xml:space="preserve">CR00181</t>
  </si>
  <si>
    <t xml:space="preserve">@creator181_youtube</t>
  </si>
  <si>
    <t xml:space="preserve">@creator461_youtube</t>
  </si>
  <si>
    <t xml:space="preserve">Creator 1049</t>
  </si>
  <si>
    <t xml:space="preserve">CR01049</t>
  </si>
  <si>
    <t xml:space="preserve">@creator1049_youtube</t>
  </si>
  <si>
    <t xml:space="preserve">@creator1362_youtube</t>
  </si>
  <si>
    <t xml:space="preserve">@creator839_youtube</t>
  </si>
  <si>
    <t xml:space="preserve">@creator832_youtube</t>
  </si>
  <si>
    <t xml:space="preserve">@creator1200_youtube</t>
  </si>
  <si>
    <t xml:space="preserve">@creator759_youtube</t>
  </si>
  <si>
    <t xml:space="preserve">@creator848_youtube</t>
  </si>
  <si>
    <t xml:space="preserve">Creator 522</t>
  </si>
  <si>
    <t xml:space="preserve">CR00522</t>
  </si>
  <si>
    <t xml:space="preserve">@creator522_youtube</t>
  </si>
  <si>
    <t xml:space="preserve">@creator1303_youtube</t>
  </si>
  <si>
    <t xml:space="preserve">@creator302_youtube</t>
  </si>
  <si>
    <t xml:space="preserve">@creator257_youtube</t>
  </si>
  <si>
    <t xml:space="preserve">@creator1449_youtube</t>
  </si>
  <si>
    <t xml:space="preserve">@creator1462_youtube</t>
  </si>
  <si>
    <t xml:space="preserve">Creator 1233</t>
  </si>
  <si>
    <t xml:space="preserve">CR01233</t>
  </si>
  <si>
    <t xml:space="preserve">@creator1233_youtube</t>
  </si>
  <si>
    <t xml:space="preserve">@creator92_youtube</t>
  </si>
  <si>
    <t xml:space="preserve">@creator422_youtube</t>
  </si>
  <si>
    <t xml:space="preserve">Creator 1409</t>
  </si>
  <si>
    <t xml:space="preserve">CR01409</t>
  </si>
  <si>
    <t xml:space="preserve">@creator1409_youtube</t>
  </si>
  <si>
    <t xml:space="preserve">@creator4_youtube</t>
  </si>
  <si>
    <t xml:space="preserve">Creator 895</t>
  </si>
  <si>
    <t xml:space="preserve">CR00895</t>
  </si>
  <si>
    <t xml:space="preserve">@creator895_youtube</t>
  </si>
  <si>
    <t xml:space="preserve">@creator25_youtube</t>
  </si>
  <si>
    <t xml:space="preserve">@creator348_youtube</t>
  </si>
  <si>
    <t xml:space="preserve">Creator 1307</t>
  </si>
  <si>
    <t xml:space="preserve">CR01307</t>
  </si>
  <si>
    <t xml:space="preserve">@creator1307_youtube</t>
  </si>
  <si>
    <t xml:space="preserve">@creator1093_youtube</t>
  </si>
  <si>
    <t xml:space="preserve">@creator583_youtube</t>
  </si>
  <si>
    <t xml:space="preserve">Creator 571</t>
  </si>
  <si>
    <t xml:space="preserve">CR00571</t>
  </si>
  <si>
    <t xml:space="preserve">@creator571_youtube</t>
  </si>
  <si>
    <t xml:space="preserve">@creator1387_youtube</t>
  </si>
  <si>
    <t xml:space="preserve">Creator 47</t>
  </si>
  <si>
    <t xml:space="preserve">CR00047</t>
  </si>
  <si>
    <t xml:space="preserve">@creator47_youtube</t>
  </si>
  <si>
    <t xml:space="preserve">Creator 510</t>
  </si>
  <si>
    <t xml:space="preserve">CR00510</t>
  </si>
  <si>
    <t xml:space="preserve">@creator510_youtube</t>
  </si>
  <si>
    <t xml:space="preserve">Creator 223</t>
  </si>
  <si>
    <t xml:space="preserve">CR00223</t>
  </si>
  <si>
    <t xml:space="preserve">@creator223_youtube</t>
  </si>
  <si>
    <t xml:space="preserve">@creator1059_youtube</t>
  </si>
  <si>
    <t xml:space="preserve">Creator 1081</t>
  </si>
  <si>
    <t xml:space="preserve">CR01081</t>
  </si>
  <si>
    <t xml:space="preserve">@creator1081_youtube</t>
  </si>
  <si>
    <t xml:space="preserve">@creator504_youtube</t>
  </si>
  <si>
    <t xml:space="preserve">@creator630_youtube</t>
  </si>
  <si>
    <t xml:space="preserve">@creator701_youtube</t>
  </si>
  <si>
    <t xml:space="preserve">@creator739_youtube</t>
  </si>
  <si>
    <t xml:space="preserve">@creator613_youtube</t>
  </si>
  <si>
    <t xml:space="preserve">Creator 1224</t>
  </si>
  <si>
    <t xml:space="preserve">CR01224</t>
  </si>
  <si>
    <t xml:space="preserve">@creator1224_youtube</t>
  </si>
  <si>
    <t xml:space="preserve">@creator836_youtube</t>
  </si>
  <si>
    <t xml:space="preserve">@creator151_youtube</t>
  </si>
  <si>
    <t xml:space="preserve">@creator63_youtube</t>
  </si>
  <si>
    <t xml:space="preserve">@creator623_youtube</t>
  </si>
  <si>
    <t xml:space="preserve">@creator87_youtube</t>
  </si>
  <si>
    <t xml:space="preserve">@creator1223_youtube</t>
  </si>
  <si>
    <t xml:space="preserve">@creator288_youtube</t>
  </si>
  <si>
    <t xml:space="preserve">@creator844_youtube</t>
  </si>
  <si>
    <t xml:space="preserve">@creator923_youtube</t>
  </si>
  <si>
    <t xml:space="preserve">@creator327_youtube</t>
  </si>
  <si>
    <t xml:space="preserve">@creator727_youtube</t>
  </si>
  <si>
    <t xml:space="preserve">Creator 97</t>
  </si>
  <si>
    <t xml:space="preserve">CR00097</t>
  </si>
  <si>
    <t xml:space="preserve">@creator97_youtube</t>
  </si>
  <si>
    <t xml:space="preserve">Creator 1424</t>
  </si>
  <si>
    <t xml:space="preserve">CR01424</t>
  </si>
  <si>
    <t xml:space="preserve">@creator1424_youtube</t>
  </si>
  <si>
    <t xml:space="preserve">@creator1270_youtube</t>
  </si>
  <si>
    <t xml:space="preserve">@creator399_youtube</t>
  </si>
  <si>
    <t xml:space="preserve">@creator1495_youtube</t>
  </si>
  <si>
    <t xml:space="preserve">Creator 977</t>
  </si>
  <si>
    <t xml:space="preserve">CR00977</t>
  </si>
  <si>
    <t xml:space="preserve">@creator977_youtube</t>
  </si>
  <si>
    <t xml:space="preserve">Creator 730</t>
  </si>
  <si>
    <t xml:space="preserve">CR00730</t>
  </si>
  <si>
    <t xml:space="preserve">@creator730_youtube</t>
  </si>
  <si>
    <t xml:space="preserve">@creator529_youtube</t>
  </si>
  <si>
    <t xml:space="preserve">@creator1461_youtube</t>
  </si>
  <si>
    <t xml:space="preserve">@creator956_youtube</t>
  </si>
  <si>
    <t xml:space="preserve">Creator 1208</t>
  </si>
  <si>
    <t xml:space="preserve">CR01208</t>
  </si>
  <si>
    <t xml:space="preserve">@creator1208_youtube</t>
  </si>
  <si>
    <t xml:space="preserve">@creator346_youtube</t>
  </si>
  <si>
    <t xml:space="preserve">Creator 1187</t>
  </si>
  <si>
    <t xml:space="preserve">CR01187</t>
  </si>
  <si>
    <t xml:space="preserve">@creator1187_youtube</t>
  </si>
  <si>
    <t xml:space="preserve">@creator813_youtube</t>
  </si>
  <si>
    <t xml:space="preserve">Creator 1134</t>
  </si>
  <si>
    <t xml:space="preserve">CR01134</t>
  </si>
  <si>
    <t xml:space="preserve">@creator1134_youtube</t>
  </si>
  <si>
    <t xml:space="preserve">@creator1055_youtube</t>
  </si>
  <si>
    <t xml:space="preserve">@creator366_youtube</t>
  </si>
  <si>
    <t xml:space="preserve">@creator962_youtube</t>
  </si>
  <si>
    <t xml:space="preserve">Creator 439</t>
  </si>
  <si>
    <t xml:space="preserve">CR00439</t>
  </si>
  <si>
    <t xml:space="preserve">@creator439_youtube</t>
  </si>
  <si>
    <t xml:space="preserve">Creator 1349</t>
  </si>
  <si>
    <t xml:space="preserve">CR01349</t>
  </si>
  <si>
    <t xml:space="preserve">@creator1349_youtube</t>
  </si>
  <si>
    <t xml:space="preserve">Creator 855</t>
  </si>
  <si>
    <t xml:space="preserve">CR00855</t>
  </si>
  <si>
    <t xml:space="preserve">@creator855_youtube</t>
  </si>
  <si>
    <t xml:space="preserve">Creator 1437</t>
  </si>
  <si>
    <t xml:space="preserve">CR01437</t>
  </si>
  <si>
    <t xml:space="preserve">@creator1437_youtube</t>
  </si>
  <si>
    <t xml:space="preserve">Creator 1295</t>
  </si>
  <si>
    <t xml:space="preserve">CR01295</t>
  </si>
  <si>
    <t xml:space="preserve">@creator1295_youtube</t>
  </si>
  <si>
    <t xml:space="preserve">Creator 883</t>
  </si>
  <si>
    <t xml:space="preserve">CR00883</t>
  </si>
  <si>
    <t xml:space="preserve">@creator883_youtube</t>
  </si>
  <si>
    <t xml:space="preserve">@creator212_youtube</t>
  </si>
  <si>
    <t xml:space="preserve">Creator 1365</t>
  </si>
  <si>
    <t xml:space="preserve">CR01365</t>
  </si>
  <si>
    <t xml:space="preserve">@creator1365_youtube</t>
  </si>
  <si>
    <t xml:space="preserve">@creator864_youtube</t>
  </si>
  <si>
    <t xml:space="preserve">@creator33_youtube</t>
  </si>
  <si>
    <t xml:space="preserve">@creator1174_youtube</t>
  </si>
  <si>
    <t xml:space="preserve">@creator757_youtube</t>
  </si>
  <si>
    <t xml:space="preserve">@creator1143_youtube</t>
  </si>
  <si>
    <t xml:space="preserve">@creator143_youtube</t>
  </si>
  <si>
    <t xml:space="preserve">@creator1436_youtube</t>
  </si>
  <si>
    <t xml:space="preserve">Creator 735</t>
  </si>
  <si>
    <t xml:space="preserve">CR00735</t>
  </si>
  <si>
    <t xml:space="preserve">@creator735_youtube</t>
  </si>
  <si>
    <t xml:space="preserve">@creator229_youtube</t>
  </si>
  <si>
    <t xml:space="preserve">@creator409_youtube</t>
  </si>
  <si>
    <t xml:space="preserve">Creator 753</t>
  </si>
  <si>
    <t xml:space="preserve">CR00753</t>
  </si>
  <si>
    <t xml:space="preserve">@creator753_youtube</t>
  </si>
  <si>
    <t xml:space="preserve">@creator430_youtube</t>
  </si>
  <si>
    <t xml:space="preserve">@creator1181_youtube</t>
  </si>
  <si>
    <t xml:space="preserve">@creator1077_youtube</t>
  </si>
  <si>
    <t xml:space="preserve">@creator983_youtube</t>
  </si>
  <si>
    <t xml:space="preserve">@creator570_youtube</t>
  </si>
  <si>
    <t xml:space="preserve">@creator34_youtube</t>
  </si>
  <si>
    <t xml:space="preserve">@creator1003_youtube</t>
  </si>
  <si>
    <t xml:space="preserve">@creator897_youtube</t>
  </si>
  <si>
    <t xml:space="preserve">@creator729_youtube</t>
  </si>
  <si>
    <t xml:space="preserve">@creator446_youtube</t>
  </si>
  <si>
    <t xml:space="preserve">@creator1023_youtube</t>
  </si>
  <si>
    <t xml:space="preserve">@creator473_youtube</t>
  </si>
  <si>
    <t xml:space="preserve">@creator527_youtube</t>
  </si>
  <si>
    <t xml:space="preserve">@creator460_youtube</t>
  </si>
  <si>
    <t xml:space="preserve">@creator1215_youtube</t>
  </si>
  <si>
    <t xml:space="preserve">@creator94_youtube</t>
  </si>
  <si>
    <t xml:space="preserve">@creator56_youtube</t>
  </si>
  <si>
    <t xml:space="preserve">Creator 73</t>
  </si>
  <si>
    <t xml:space="preserve">CR00073</t>
  </si>
  <si>
    <t xml:space="preserve">@creator73_youtube</t>
  </si>
  <si>
    <t xml:space="preserve">@creator192_youtube</t>
  </si>
  <si>
    <t xml:space="preserve">Creator 1000</t>
  </si>
  <si>
    <t xml:space="preserve">CR01000</t>
  </si>
  <si>
    <t xml:space="preserve">@creator1000_youtube</t>
  </si>
  <si>
    <t xml:space="preserve">@creator152_youtube</t>
  </si>
  <si>
    <t xml:space="preserve">@creator587_youtube</t>
  </si>
  <si>
    <t xml:space="preserve">Creator 412</t>
  </si>
  <si>
    <t xml:space="preserve">CR00412</t>
  </si>
  <si>
    <t xml:space="preserve">@creator412_youtube</t>
  </si>
  <si>
    <t xml:space="preserve">Creator 228</t>
  </si>
  <si>
    <t xml:space="preserve">CR00228</t>
  </si>
  <si>
    <t xml:space="preserve">@creator228_youtube</t>
  </si>
  <si>
    <t xml:space="preserve">@creator227_youtube</t>
  </si>
  <si>
    <t xml:space="preserve">@creator433_youtube</t>
  </si>
  <si>
    <t xml:space="preserve">@creator791_youtube</t>
  </si>
  <si>
    <t xml:space="preserve">@creator795_youtube</t>
  </si>
  <si>
    <t xml:space="preserve">Creator 540</t>
  </si>
  <si>
    <t xml:space="preserve">CR00540</t>
  </si>
  <si>
    <t xml:space="preserve">@creator540_youtube</t>
  </si>
  <si>
    <t xml:space="preserve">@creator709_youtube</t>
  </si>
  <si>
    <t xml:space="preserve">@creator1051_youtube</t>
  </si>
  <si>
    <t xml:space="preserve">@creator1112_youtube</t>
  </si>
  <si>
    <t xml:space="preserve">Creator 994</t>
  </si>
  <si>
    <t xml:space="preserve">CR00994</t>
  </si>
  <si>
    <t xml:space="preserve">@creator994_youtube</t>
  </si>
  <si>
    <t xml:space="preserve">@creator702_youtube</t>
  </si>
  <si>
    <t xml:space="preserve">Creator 380</t>
  </si>
  <si>
    <t xml:space="preserve">CR00380</t>
  </si>
  <si>
    <t xml:space="preserve">@creator380_youtube</t>
  </si>
  <si>
    <t xml:space="preserve">@creator350_youtube</t>
  </si>
  <si>
    <t xml:space="preserve">@creator1427_youtube</t>
  </si>
  <si>
    <t xml:space="preserve">Creator 1241</t>
  </si>
  <si>
    <t xml:space="preserve">CR01241</t>
  </si>
  <si>
    <t xml:space="preserve">@creator1241_youtube</t>
  </si>
  <si>
    <t xml:space="preserve">@creator935_youtube</t>
  </si>
  <si>
    <t xml:space="preserve">@creator919_youtube</t>
  </si>
  <si>
    <t xml:space="preserve">Creator 317</t>
  </si>
  <si>
    <t xml:space="preserve">CR00317</t>
  </si>
  <si>
    <t xml:space="preserve">@creator317_youtube</t>
  </si>
  <si>
    <t xml:space="preserve">Creator 703</t>
  </si>
  <si>
    <t xml:space="preserve">CR00703</t>
  </si>
  <si>
    <t xml:space="preserve">@creator703_youtube</t>
  </si>
  <si>
    <t xml:space="preserve">Creator 1179</t>
  </si>
  <si>
    <t xml:space="preserve">CR01179</t>
  </si>
  <si>
    <t xml:space="preserve">@creator1179_youtube</t>
  </si>
  <si>
    <t xml:space="preserve">@creator588_youtube</t>
  </si>
  <si>
    <t xml:space="preserve">Creator 835</t>
  </si>
  <si>
    <t xml:space="preserve">CR00835</t>
  </si>
  <si>
    <t xml:space="preserve">@creator835_youtube</t>
  </si>
  <si>
    <t xml:space="preserve">@creator5_youtube</t>
  </si>
  <si>
    <t xml:space="preserve">Creator 1172</t>
  </si>
  <si>
    <t xml:space="preserve">CR01172</t>
  </si>
  <si>
    <t xml:space="preserve">@creator1172_youtube</t>
  </si>
  <si>
    <t xml:space="preserve">@creator199_youtube</t>
  </si>
  <si>
    <t xml:space="preserve">Creator 501</t>
  </si>
  <si>
    <t xml:space="preserve">CR00501</t>
  </si>
  <si>
    <t xml:space="preserve">@creator501_youtube</t>
  </si>
  <si>
    <t xml:space="preserve">https://youtube.com/@creator979_youtube</t>
  </si>
  <si>
    <t xml:space="preserve">@creator718_youtube</t>
  </si>
  <si>
    <t xml:space="preserve">https://youtube.com/@creator53_youtube</t>
  </si>
  <si>
    <t xml:space="preserve">@creator697_youtube</t>
  </si>
  <si>
    <t xml:space="preserve">@creator618_youtube</t>
  </si>
  <si>
    <t xml:space="preserve">@creator1106_youtube</t>
  </si>
  <si>
    <t xml:space="preserve">@creator1092_youtube</t>
  </si>
  <si>
    <t xml:space="preserve">Creator 1354</t>
  </si>
  <si>
    <t xml:space="preserve">CR01354</t>
  </si>
  <si>
    <t xml:space="preserve">@creator1354_youtube</t>
  </si>
  <si>
    <t xml:space="preserve">@creator279_youtube</t>
  </si>
  <si>
    <t xml:space="preserve">@creator29_youtube</t>
  </si>
  <si>
    <t xml:space="preserve">Creator 1054</t>
  </si>
  <si>
    <t xml:space="preserve">CR01054</t>
  </si>
  <si>
    <t xml:space="preserve">@creator1054_youtube</t>
  </si>
  <si>
    <t xml:space="preserve">@creator215_youtube</t>
  </si>
  <si>
    <t xml:space="preserve">@creator771_youtube</t>
  </si>
  <si>
    <t xml:space="preserve">@creator1053_youtube</t>
  </si>
  <si>
    <t xml:space="preserve">@creator755_youtube</t>
  </si>
  <si>
    <t xml:space="preserve">@creator179_youtube</t>
  </si>
  <si>
    <t xml:space="preserve">@creator287_youtube</t>
  </si>
  <si>
    <t xml:space="preserve">@creator226_youtube</t>
  </si>
  <si>
    <t xml:space="preserve">@creator1248_youtube</t>
  </si>
  <si>
    <t xml:space="preserve">@creator1246_youtube</t>
  </si>
  <si>
    <t xml:space="preserve">@creator1481_youtube</t>
  </si>
  <si>
    <t xml:space="preserve">@creator284_youtube</t>
  </si>
  <si>
    <t xml:space="preserve">@creator741_youtube</t>
  </si>
  <si>
    <t xml:space="preserve">@creator286_youtube</t>
  </si>
  <si>
    <t xml:space="preserve">@creator1016_youtube</t>
  </si>
  <si>
    <t xml:space="preserve">@creator1350_youtube</t>
  </si>
  <si>
    <t xml:space="preserve">@creator339_youtube</t>
  </si>
  <si>
    <t xml:space="preserve">@creator927_youtube</t>
  </si>
  <si>
    <t xml:space="preserve">@creator463_youtube</t>
  </si>
  <si>
    <t xml:space="preserve">@creator873_youtube</t>
  </si>
  <si>
    <t xml:space="preserve">@creator208_youtube</t>
  </si>
  <si>
    <t xml:space="preserve">@creator1190_youtube</t>
  </si>
  <si>
    <t xml:space="preserve">@creator704_youtube</t>
  </si>
  <si>
    <t xml:space="preserve">Creator 266</t>
  </si>
  <si>
    <t xml:space="preserve">CR00266</t>
  </si>
  <si>
    <t xml:space="preserve">@creator266_youtube</t>
  </si>
  <si>
    <t xml:space="preserve">Creator 985</t>
  </si>
  <si>
    <t xml:space="preserve">CR00985</t>
  </si>
  <si>
    <t xml:space="preserve">@creator985_youtube</t>
  </si>
  <si>
    <t xml:space="preserve">@creator724_youtube</t>
  </si>
  <si>
    <t xml:space="preserve">@creator505_youtube</t>
  </si>
  <si>
    <t xml:space="preserve">@creator1030_youtube</t>
  </si>
  <si>
    <t xml:space="preserve">@creator377_youtube</t>
  </si>
  <si>
    <t xml:space="preserve">@creator857_youtube</t>
  </si>
  <si>
    <t xml:space="preserve">Creator 0</t>
  </si>
  <si>
    <t xml:space="preserve">CR00000</t>
  </si>
  <si>
    <t xml:space="preserve">@creator0_youtube</t>
  </si>
  <si>
    <t xml:space="preserve">Creator 538</t>
  </si>
  <si>
    <t xml:space="preserve">CR00538</t>
  </si>
  <si>
    <t xml:space="preserve">@creator538_youtube</t>
  </si>
  <si>
    <t xml:space="preserve">@creator745_youtube</t>
  </si>
  <si>
    <t xml:space="preserve">@creator1483_youtube</t>
  </si>
  <si>
    <t xml:space="preserve">@creator292_youtube</t>
  </si>
  <si>
    <t xml:space="preserve">Creator 615</t>
  </si>
  <si>
    <t xml:space="preserve">CR00615</t>
  </si>
  <si>
    <t xml:space="preserve">@creator615_youtube</t>
  </si>
  <si>
    <t xml:space="preserve">Creator 748</t>
  </si>
  <si>
    <t xml:space="preserve">CR00748</t>
  </si>
  <si>
    <t xml:space="preserve">@creator748_youtube</t>
  </si>
  <si>
    <t xml:space="preserve">@creator298_youtube</t>
  </si>
  <si>
    <t xml:space="preserve">@creator1064_youtube</t>
  </si>
  <si>
    <t xml:space="preserve">@creator138_youtube</t>
  </si>
  <si>
    <t xml:space="preserve">@creator1175_youtube</t>
  </si>
  <si>
    <t xml:space="preserve">@creator1374_youtube</t>
  </si>
  <si>
    <t xml:space="preserve">@creator396_youtube</t>
  </si>
  <si>
    <t xml:space="preserve">@creator31_youtube</t>
  </si>
  <si>
    <t xml:space="preserve">@creator1211_youtube</t>
  </si>
  <si>
    <t xml:space="preserve">@creator198_youtube</t>
  </si>
  <si>
    <t xml:space="preserve">@creator1148_youtube</t>
  </si>
  <si>
    <t xml:space="preserve">Creator 526</t>
  </si>
  <si>
    <t xml:space="preserve">CR00526</t>
  </si>
  <si>
    <t xml:space="preserve">@creator526_youtube</t>
  </si>
  <si>
    <t xml:space="preserve">Channel metrics (one row per requested creator + channel)</t>
  </si>
  <si>
    <t xml:space="preserve">Value colour = tier that supplied it. Each metric is computed from a single vendor record. Percentile = rank among requested channels in the peer group shown.</t>
  </si>
  <si>
    <t xml:space="preserve">The Pulse percentile</t>
  </si>
  <si>
    <t xml:space="preserve">The Lens percentile</t>
  </si>
  <si>
    <t xml:space="preserve">The Lens peer group</t>
  </si>
  <si>
    <t xml:space="preserve">The Hub percentile</t>
  </si>
  <si>
    <t xml:space="preserve">follower_count source</t>
  </si>
  <si>
    <t xml:space="preserve">reach_rate source</t>
  </si>
  <si>
    <t xml:space="preserve">growth_rate source</t>
  </si>
  <si>
    <t xml:space="preserve">meaningful_eng_rate source</t>
  </si>
  <si>
    <t xml:space="preserve">youtube · micro</t>
  </si>
  <si>
    <t xml:space="preserve">instagram · mid</t>
  </si>
  <si>
    <t xml:space="preserve">@creator2_tiktok</t>
  </si>
  <si>
    <t xml:space="preserve">tiktok · micro</t>
  </si>
  <si>
    <t xml:space="preserve">youtube · mid</t>
  </si>
  <si>
    <t xml:space="preserve">@creator3_tiktok</t>
  </si>
  <si>
    <t xml:space="preserve">@creator4_instagram</t>
  </si>
  <si>
    <t xml:space="preserve">instagram · micro</t>
  </si>
  <si>
    <t xml:space="preserve">tiktok · mid</t>
  </si>
  <si>
    <t xml:space="preserve">youtube · nano</t>
  </si>
  <si>
    <t xml:space="preserve">CR00007</t>
  </si>
  <si>
    <t xml:space="preserve">https://www.tiktok.com/@creator9_tiktok</t>
  </si>
  <si>
    <t xml:space="preserve">CR00011</t>
  </si>
  <si>
    <t xml:space="preserve">@creator13_tiktok</t>
  </si>
  <si>
    <t xml:space="preserve">n/a (likes hidden, vendor_b)</t>
  </si>
  <si>
    <t xml:space="preserve">instagram · macro</t>
  </si>
  <si>
    <t xml:space="preserve">instagram · nano</t>
  </si>
  <si>
    <t xml:space="preserve">@creator32_instagram</t>
  </si>
  <si>
    <t xml:space="preserve">n/a (likes hidden, vendor_a)</t>
  </si>
  <si>
    <t xml:space="preserve">@creator36_instagram</t>
  </si>
  <si>
    <t xml:space="preserve">@creator40_youtube</t>
  </si>
  <si>
    <t xml:space="preserve">@creator47_instagram</t>
  </si>
  <si>
    <t xml:space="preserve">@creator48_instagram</t>
  </si>
  <si>
    <t xml:space="preserve">tiktok · nano</t>
  </si>
  <si>
    <t xml:space="preserve">@creator62_instagram</t>
  </si>
  <si>
    <t xml:space="preserve">@creator65_instagram</t>
  </si>
  <si>
    <t xml:space="preserve">@creator65_tiktok</t>
  </si>
  <si>
    <t xml:space="preserve">@creator68_instagram</t>
  </si>
  <si>
    <t xml:space="preserve">https://www.tiktok.com/@creator73_tiktok</t>
  </si>
  <si>
    <t xml:space="preserve">CR00076</t>
  </si>
  <si>
    <t xml:space="preserve">@creator76_youtube</t>
  </si>
  <si>
    <t xml:space="preserve">CR00079</t>
  </si>
  <si>
    <t xml:space="preserve">@creator79_instagram</t>
  </si>
  <si>
    <t xml:space="preserve">@creator82_instagram</t>
  </si>
  <si>
    <t xml:space="preserve">@creator83_instagram</t>
  </si>
  <si>
    <t xml:space="preserve">@creator84_instagram</t>
  </si>
  <si>
    <t xml:space="preserve">@creator84_youtube</t>
  </si>
  <si>
    <t xml:space="preserve">@creator86_instagram</t>
  </si>
  <si>
    <t xml:space="preserve">@creator86_youtube</t>
  </si>
  <si>
    <t xml:space="preserve">CR00089</t>
  </si>
  <si>
    <t xml:space="preserve">@creator89_instagram</t>
  </si>
  <si>
    <t xml:space="preserve">youtube · macro</t>
  </si>
  <si>
    <t xml:space="preserve">@creator97_instagram</t>
  </si>
  <si>
    <t xml:space="preserve">@creator97_tiktok</t>
  </si>
  <si>
    <t xml:space="preserve">@creator100_tiktok</t>
  </si>
  <si>
    <t xml:space="preserve">https://www.tiktok.com/@creator102_tiktok</t>
  </si>
  <si>
    <t xml:space="preserve">@creator103_tiktok</t>
  </si>
  <si>
    <t xml:space="preserve">@creator111_youtube</t>
  </si>
  <si>
    <t xml:space="preserve">CR00112</t>
  </si>
  <si>
    <t xml:space="preserve">https://www.tiktok.com/@creator112_tiktok</t>
  </si>
  <si>
    <t xml:space="preserve">CR00127</t>
  </si>
  <si>
    <t xml:space="preserve">@creator127_tiktok</t>
  </si>
  <si>
    <t xml:space="preserve">@creator128_instagram</t>
  </si>
  <si>
    <t xml:space="preserve">@creator130_tiktok</t>
  </si>
  <si>
    <t xml:space="preserve">tiktok · macro</t>
  </si>
  <si>
    <t xml:space="preserve">@creator130_youtube</t>
  </si>
  <si>
    <t xml:space="preserve">@creator131_instagram</t>
  </si>
  <si>
    <t xml:space="preserve">@creator131_tiktok</t>
  </si>
  <si>
    <t xml:space="preserve">CR00140</t>
  </si>
  <si>
    <t xml:space="preserve">@creator140_youtube</t>
  </si>
  <si>
    <t xml:space="preserve">@creator146_instagram</t>
  </si>
  <si>
    <t xml:space="preserve">CR00149</t>
  </si>
  <si>
    <t xml:space="preserve">@creator149_instagram</t>
  </si>
  <si>
    <t xml:space="preserve">https://www.instagram.com/creator153_instagram/</t>
  </si>
  <si>
    <t xml:space="preserve">@creator160_instagram</t>
  </si>
  <si>
    <t xml:space="preserve">@creator160_tiktok</t>
  </si>
  <si>
    <t xml:space="preserve">@creator174_instagram</t>
  </si>
  <si>
    <t xml:space="preserve">CR00175</t>
  </si>
  <si>
    <t xml:space="preserve">https://www.instagram.com/creator175_instagram/</t>
  </si>
  <si>
    <t xml:space="preserve">@creator175_tiktok</t>
  </si>
  <si>
    <t xml:space="preserve">@creator177_instagram</t>
  </si>
  <si>
    <t xml:space="preserve">CR00178</t>
  </si>
  <si>
    <t xml:space="preserve">@creator179_instagram</t>
  </si>
  <si>
    <t xml:space="preserve">CR00182</t>
  </si>
  <si>
    <t xml:space="preserve">https://www.tiktok.com/@creator182_tiktok</t>
  </si>
  <si>
    <t xml:space="preserve">CR00183</t>
  </si>
  <si>
    <t xml:space="preserve">@creator183_instagram</t>
  </si>
  <si>
    <t xml:space="preserve">@creator183_youtube</t>
  </si>
  <si>
    <t xml:space="preserve">CR00185</t>
  </si>
  <si>
    <t xml:space="preserve">@creator185_tiktok</t>
  </si>
  <si>
    <t xml:space="preserve">@creator186_tiktok</t>
  </si>
  <si>
    <t xml:space="preserve">@creator200_youtube</t>
  </si>
  <si>
    <t xml:space="preserve">https://www.tiktok.com/@creator208_tiktok</t>
  </si>
  <si>
    <t xml:space="preserve">CR00213</t>
  </si>
  <si>
    <t xml:space="preserve">@creator213_instagram</t>
  </si>
  <si>
    <t xml:space="preserve">@creator223_instagram</t>
  </si>
  <si>
    <t xml:space="preserve">@creator227_instagram</t>
  </si>
  <si>
    <t xml:space="preserve">@creator228_tiktok</t>
  </si>
  <si>
    <t xml:space="preserve">@creator231_youtube</t>
  </si>
  <si>
    <t xml:space="preserve">CR00234</t>
  </si>
  <si>
    <t xml:space="preserve">@creator234_youtube</t>
  </si>
  <si>
    <t xml:space="preserve">@creator235_youtube</t>
  </si>
  <si>
    <t xml:space="preserve">@creator243_instagram</t>
  </si>
  <si>
    <t xml:space="preserve">@creator247_tiktok</t>
  </si>
  <si>
    <t xml:space="preserve">CR00251</t>
  </si>
  <si>
    <t xml:space="preserve">CR00252</t>
  </si>
  <si>
    <t xml:space="preserve">@creator252_instagram</t>
  </si>
  <si>
    <t xml:space="preserve">@creator254_tiktok</t>
  </si>
  <si>
    <t xml:space="preserve">@creator281_tiktok</t>
  </si>
  <si>
    <t xml:space="preserve">CR00282</t>
  </si>
  <si>
    <t xml:space="preserve">@creator282_instagram</t>
  </si>
  <si>
    <t xml:space="preserve">@creator282_tiktok</t>
  </si>
  <si>
    <t xml:space="preserve">https://www.instagram.com/creator283_instagram/</t>
  </si>
  <si>
    <t xml:space="preserve">@creator283_youtube</t>
  </si>
  <si>
    <t xml:space="preserve">@creator285_tiktok</t>
  </si>
  <si>
    <t xml:space="preserve">@creator285_youtube</t>
  </si>
  <si>
    <t xml:space="preserve">@creator289_tiktok</t>
  </si>
  <si>
    <t xml:space="preserve">@creator297_tiktok</t>
  </si>
  <si>
    <t xml:space="preserve">@creator300_tiktok</t>
  </si>
  <si>
    <t xml:space="preserve">@creator322_tiktok</t>
  </si>
  <si>
    <t xml:space="preserve">@creator323_instagram</t>
  </si>
  <si>
    <t xml:space="preserve">@creator327_tiktok</t>
  </si>
  <si>
    <t xml:space="preserve">@creator330_instagram</t>
  </si>
  <si>
    <t xml:space="preserve">CR00338</t>
  </si>
  <si>
    <t xml:space="preserve">CR00343</t>
  </si>
  <si>
    <t xml:space="preserve">CR00347</t>
  </si>
  <si>
    <t xml:space="preserve">@creator347_instagram</t>
  </si>
  <si>
    <t xml:space="preserve">@creator347_youtube</t>
  </si>
  <si>
    <t xml:space="preserve">@creator352_youtube</t>
  </si>
  <si>
    <t xml:space="preserve">https://www.tiktok.com/@creator356_tiktok</t>
  </si>
  <si>
    <t xml:space="preserve">CR00359</t>
  </si>
  <si>
    <t xml:space="preserve">@creator359_tiktok</t>
  </si>
  <si>
    <t xml:space="preserve">@creator360_tiktok</t>
  </si>
  <si>
    <t xml:space="preserve">@creator363_tiktok</t>
  </si>
  <si>
    <t xml:space="preserve">@creator366_tiktok</t>
  </si>
  <si>
    <t xml:space="preserve">@creator374_instagram</t>
  </si>
  <si>
    <t xml:space="preserve">@creator377_tiktok</t>
  </si>
  <si>
    <t xml:space="preserve">@creator380_tiktok</t>
  </si>
  <si>
    <t xml:space="preserve">CR00382</t>
  </si>
  <si>
    <t xml:space="preserve">@creator382_tiktok</t>
  </si>
  <si>
    <t xml:space="preserve">@creator386_tiktok</t>
  </si>
  <si>
    <t xml:space="preserve">@creator390_instagram</t>
  </si>
  <si>
    <t xml:space="preserve">@creator391_youtube</t>
  </si>
  <si>
    <t xml:space="preserve">@creator399_tiktok</t>
  </si>
  <si>
    <t xml:space="preserve">@creator401_youtube</t>
  </si>
  <si>
    <t xml:space="preserve">@creator403_tiktok</t>
  </si>
  <si>
    <t xml:space="preserve">CR00404</t>
  </si>
  <si>
    <t xml:space="preserve">@creator404_instagram</t>
  </si>
  <si>
    <t xml:space="preserve">@creator404_tiktok</t>
  </si>
  <si>
    <t xml:space="preserve">@creator406_instagram</t>
  </si>
  <si>
    <t xml:space="preserve">@creator407_instagram</t>
  </si>
  <si>
    <t xml:space="preserve">@creator419_tiktok</t>
  </si>
  <si>
    <t xml:space="preserve">@creator431_tiktok</t>
  </si>
  <si>
    <t xml:space="preserve">CR00432</t>
  </si>
  <si>
    <t xml:space="preserve">@creator432_instagram</t>
  </si>
  <si>
    <t xml:space="preserve">@creator432_youtube</t>
  </si>
  <si>
    <t xml:space="preserve">https://www.tiktok.com/@creator437_tiktok</t>
  </si>
  <si>
    <t xml:space="preserve">@creator438_instagram</t>
  </si>
  <si>
    <t xml:space="preserve">CR00441</t>
  </si>
  <si>
    <t xml:space="preserve">@creator441_youtube</t>
  </si>
  <si>
    <t xml:space="preserve">@creator443_youtube</t>
  </si>
  <si>
    <t xml:space="preserve">CR00452</t>
  </si>
  <si>
    <t xml:space="preserve">@creator461_instagram</t>
  </si>
  <si>
    <t xml:space="preserve">@creator465_youtube</t>
  </si>
  <si>
    <t xml:space="preserve">CR00469</t>
  </si>
  <si>
    <t xml:space="preserve">@creator469_tiktok</t>
  </si>
  <si>
    <t xml:space="preserve">CR00471</t>
  </si>
  <si>
    <t xml:space="preserve">@creator473_instagram</t>
  </si>
  <si>
    <t xml:space="preserve">CR00475</t>
  </si>
  <si>
    <t xml:space="preserve">CR00476</t>
  </si>
  <si>
    <t xml:space="preserve">@creator476_instagram</t>
  </si>
  <si>
    <t xml:space="preserve">@creator476_tiktok</t>
  </si>
  <si>
    <t xml:space="preserve">CR00483</t>
  </si>
  <si>
    <t xml:space="preserve">@creator494_tiktok</t>
  </si>
  <si>
    <t xml:space="preserve">CR00500</t>
  </si>
  <si>
    <t xml:space="preserve">@creator500_tiktok</t>
  </si>
  <si>
    <t xml:space="preserve">@creator501_instagram</t>
  </si>
  <si>
    <t xml:space="preserve">CR00502</t>
  </si>
  <si>
    <t xml:space="preserve">@creator502_tiktok</t>
  </si>
  <si>
    <t xml:space="preserve">n/a (likes hidden, vendor_c)</t>
  </si>
  <si>
    <t xml:space="preserve">@creator504_tiktok</t>
  </si>
  <si>
    <t xml:space="preserve">@creator508_tiktok</t>
  </si>
  <si>
    <t xml:space="preserve">@creator510_tiktok</t>
  </si>
  <si>
    <t xml:space="preserve">https://www.tiktok.com/@creator511_tiktok</t>
  </si>
  <si>
    <t xml:space="preserve">@creator517_tiktok</t>
  </si>
  <si>
    <t xml:space="preserve">CR00520</t>
  </si>
  <si>
    <t xml:space="preserve">https://www.tiktok.com/@creator526_tiktok</t>
  </si>
  <si>
    <t xml:space="preserve">CR00528</t>
  </si>
  <si>
    <t xml:space="preserve">@creator530_instagram</t>
  </si>
  <si>
    <t xml:space="preserve">@creator538_tiktok</t>
  </si>
  <si>
    <t xml:space="preserve">CR00539</t>
  </si>
  <si>
    <t xml:space="preserve">https://www.instagram.com/creator542_instagram/</t>
  </si>
  <si>
    <t xml:space="preserve">@creator546_instagram</t>
  </si>
  <si>
    <t xml:space="preserve">@creator546_youtube</t>
  </si>
  <si>
    <t xml:space="preserve">@creator552_tiktok</t>
  </si>
  <si>
    <t xml:space="preserve">@creator553_tiktok</t>
  </si>
  <si>
    <t xml:space="preserve">CR00563</t>
  </si>
  <si>
    <t xml:space="preserve">CR00568</t>
  </si>
  <si>
    <t xml:space="preserve">@creator569_tiktok</t>
  </si>
  <si>
    <t xml:space="preserve">@creator571_tiktok</t>
  </si>
  <si>
    <t xml:space="preserve">CR00573</t>
  </si>
  <si>
    <t xml:space="preserve">@creator573_tiktok</t>
  </si>
  <si>
    <t xml:space="preserve">@creator576_tiktok</t>
  </si>
  <si>
    <t xml:space="preserve">CR00581</t>
  </si>
  <si>
    <t xml:space="preserve">@creator581_youtube</t>
  </si>
  <si>
    <t xml:space="preserve">@creator584_tiktok</t>
  </si>
  <si>
    <t xml:space="preserve">@creator587_instagram</t>
  </si>
  <si>
    <t xml:space="preserve">CR00593</t>
  </si>
  <si>
    <t xml:space="preserve">@creator593_instagram</t>
  </si>
  <si>
    <t xml:space="preserve">@creator593_tiktok</t>
  </si>
  <si>
    <t xml:space="preserve">CR00595</t>
  </si>
  <si>
    <t xml:space="preserve">https://www.instagram.com/creator596_instagram/</t>
  </si>
  <si>
    <t xml:space="preserve">https://youtube.com/@creator596_youtube</t>
  </si>
  <si>
    <t xml:space="preserve">CR00598</t>
  </si>
  <si>
    <t xml:space="preserve">https://www.tiktok.com/@creator598_tiktok</t>
  </si>
  <si>
    <t xml:space="preserve">CR00602</t>
  </si>
  <si>
    <t xml:space="preserve">@creator602_tiktok</t>
  </si>
  <si>
    <t xml:space="preserve">@creator604_instagram</t>
  </si>
  <si>
    <t xml:space="preserve">@creator609_instagram</t>
  </si>
  <si>
    <t xml:space="preserve">@creator609_tiktok</t>
  </si>
  <si>
    <t xml:space="preserve">@creator613_tiktok</t>
  </si>
  <si>
    <t xml:space="preserve">@creator615_instagram</t>
  </si>
  <si>
    <t xml:space="preserve">@creator615_tiktok</t>
  </si>
  <si>
    <t xml:space="preserve">@creator616_instagram</t>
  </si>
  <si>
    <t xml:space="preserve">@creator618_tiktok</t>
  </si>
  <si>
    <t xml:space="preserve">@creator620_tiktok</t>
  </si>
  <si>
    <t xml:space="preserve">@creator620_youtube</t>
  </si>
  <si>
    <t xml:space="preserve">@creator621_instagram</t>
  </si>
  <si>
    <t xml:space="preserve">@creator621_tiktok</t>
  </si>
  <si>
    <t xml:space="preserve">@creator622_tiktok</t>
  </si>
  <si>
    <t xml:space="preserve">@creator625_instagram</t>
  </si>
  <si>
    <t xml:space="preserve">CR00628</t>
  </si>
  <si>
    <t xml:space="preserve">@creator628_instagram</t>
  </si>
  <si>
    <t xml:space="preserve">CR00635</t>
  </si>
  <si>
    <t xml:space="preserve">@creator635_instagram</t>
  </si>
  <si>
    <t xml:space="preserve">CR00639</t>
  </si>
  <si>
    <t xml:space="preserve">@creator639_youtube</t>
  </si>
  <si>
    <t xml:space="preserve">@creator641_instagram</t>
  </si>
  <si>
    <t xml:space="preserve">@creator645_instagram</t>
  </si>
  <si>
    <t xml:space="preserve">@creator648_tiktok</t>
  </si>
  <si>
    <t xml:space="preserve">CR00661</t>
  </si>
  <si>
    <t xml:space="preserve">@creator661_tiktok</t>
  </si>
  <si>
    <t xml:space="preserve">@creator669_instagram</t>
  </si>
  <si>
    <t xml:space="preserve">@creator670_youtube</t>
  </si>
  <si>
    <t xml:space="preserve">@creator684_tiktok</t>
  </si>
  <si>
    <t xml:space="preserve">CR00685</t>
  </si>
  <si>
    <t xml:space="preserve">@creator687_tiktok</t>
  </si>
  <si>
    <t xml:space="preserve">@creator689_instagram</t>
  </si>
  <si>
    <t xml:space="preserve">https://www.tiktok.com/@creator689_tiktok</t>
  </si>
  <si>
    <t xml:space="preserve">CR00691</t>
  </si>
  <si>
    <t xml:space="preserve">@creator692_instagram</t>
  </si>
  <si>
    <t xml:space="preserve">@creator694_instagram</t>
  </si>
  <si>
    <t xml:space="preserve">@creator694_tiktok</t>
  </si>
  <si>
    <t xml:space="preserve">CR00698</t>
  </si>
  <si>
    <t xml:space="preserve">@creator698_tiktok</t>
  </si>
  <si>
    <t xml:space="preserve">@creator701_tiktok</t>
  </si>
  <si>
    <t xml:space="preserve">@creator702_instagram</t>
  </si>
  <si>
    <t xml:space="preserve">@creator703_tiktok</t>
  </si>
  <si>
    <t xml:space="preserve">@creator709_tiktok</t>
  </si>
  <si>
    <t xml:space="preserve">@creator721_instagram</t>
  </si>
  <si>
    <t xml:space="preserve">@creator721_tiktok</t>
  </si>
  <si>
    <t xml:space="preserve">@creator724_tiktok</t>
  </si>
  <si>
    <t xml:space="preserve">@creator726_instagram</t>
  </si>
  <si>
    <t xml:space="preserve">@creator728_instagram</t>
  </si>
  <si>
    <t xml:space="preserve">@creator730_instagram</t>
  </si>
  <si>
    <t xml:space="preserve">https://www.tiktok.com/@creator730_tiktok</t>
  </si>
  <si>
    <t xml:space="preserve">@creator731_tiktok</t>
  </si>
  <si>
    <t xml:space="preserve">CR00732</t>
  </si>
  <si>
    <t xml:space="preserve">@creator735_instagram</t>
  </si>
  <si>
    <t xml:space="preserve">CR00747</t>
  </si>
  <si>
    <t xml:space="preserve">@creator747_tiktok</t>
  </si>
  <si>
    <t xml:space="preserve">@creator748_tiktok</t>
  </si>
  <si>
    <t xml:space="preserve">@creator751_instagram</t>
  </si>
  <si>
    <t xml:space="preserve">@creator753_tiktok</t>
  </si>
  <si>
    <t xml:space="preserve">@creator754_youtube</t>
  </si>
  <si>
    <t xml:space="preserve">@creator755_tiktok</t>
  </si>
  <si>
    <t xml:space="preserve">@creator757_instagram</t>
  </si>
  <si>
    <t xml:space="preserve">CR00772</t>
  </si>
  <si>
    <t xml:space="preserve">@creator779_instagram</t>
  </si>
  <si>
    <t xml:space="preserve">@creator779_tiktok</t>
  </si>
  <si>
    <t xml:space="preserve">@creator781_tiktok</t>
  </si>
  <si>
    <t xml:space="preserve">EXCLUDED: Q00023 (no consistent source)</t>
  </si>
  <si>
    <t xml:space="preserve">@creator799_tiktok</t>
  </si>
  <si>
    <t xml:space="preserve">https://www.instagram.com/creator808_instagram/</t>
  </si>
  <si>
    <t xml:space="preserve">@creator810_youtube</t>
  </si>
  <si>
    <t xml:space="preserve">@creator811_instagram</t>
  </si>
  <si>
    <t xml:space="preserve">@creator813_instagram</t>
  </si>
  <si>
    <t xml:space="preserve">CR00817</t>
  </si>
  <si>
    <t xml:space="preserve">@creator817_tiktok</t>
  </si>
  <si>
    <t xml:space="preserve">CR00824</t>
  </si>
  <si>
    <t xml:space="preserve">@creator831_tiktok</t>
  </si>
  <si>
    <t xml:space="preserve">@creator832_tiktok</t>
  </si>
  <si>
    <t xml:space="preserve">@creator835_instagram</t>
  </si>
  <si>
    <t xml:space="preserve">@creator835_tiktok</t>
  </si>
  <si>
    <t xml:space="preserve">@creator843_instagram</t>
  </si>
  <si>
    <t xml:space="preserve">@creator843_tiktok</t>
  </si>
  <si>
    <t xml:space="preserve">@creator846_instagram</t>
  </si>
  <si>
    <t xml:space="preserve">@creator855_instagram</t>
  </si>
  <si>
    <t xml:space="preserve">@creator858_instagram</t>
  </si>
  <si>
    <t xml:space="preserve">@creator858_tiktok</t>
  </si>
  <si>
    <t xml:space="preserve">@creator859_tiktok</t>
  </si>
  <si>
    <t xml:space="preserve">CR00869</t>
  </si>
  <si>
    <t xml:space="preserve">CR00872</t>
  </si>
  <si>
    <t xml:space="preserve">@creator872_instagram</t>
  </si>
  <si>
    <t xml:space="preserve">@creator874_instagram</t>
  </si>
  <si>
    <t xml:space="preserve">@creator880_tiktok</t>
  </si>
  <si>
    <t xml:space="preserve">@creator880_youtube</t>
  </si>
  <si>
    <t xml:space="preserve">@creator882_youtube</t>
  </si>
  <si>
    <t xml:space="preserve">@creator887_tiktok</t>
  </si>
  <si>
    <t xml:space="preserve">@creator891_tiktok</t>
  </si>
  <si>
    <t xml:space="preserve">CR00894</t>
  </si>
  <si>
    <t xml:space="preserve">@creator897_tiktok</t>
  </si>
  <si>
    <t xml:space="preserve">@creator899_youtube</t>
  </si>
  <si>
    <t xml:space="preserve">@creator901_tiktok</t>
  </si>
  <si>
    <t xml:space="preserve">CR00909</t>
  </si>
  <si>
    <t xml:space="preserve">@creator909_instagram</t>
  </si>
  <si>
    <t xml:space="preserve">@creator914_tiktok</t>
  </si>
  <si>
    <t xml:space="preserve">CR00915</t>
  </si>
  <si>
    <t xml:space="preserve">@creator915_instagram</t>
  </si>
  <si>
    <t xml:space="preserve">CR00924</t>
  </si>
  <si>
    <t xml:space="preserve">@creator924_instagram</t>
  </si>
  <si>
    <t xml:space="preserve">@creator924_tiktok</t>
  </si>
  <si>
    <t xml:space="preserve">https://www.tiktok.com/@creator928_tiktok</t>
  </si>
  <si>
    <t xml:space="preserve">@creator935_tiktok</t>
  </si>
  <si>
    <t xml:space="preserve">CR00940</t>
  </si>
  <si>
    <t xml:space="preserve">CR00949</t>
  </si>
  <si>
    <t xml:space="preserve">@creator975_instagram</t>
  </si>
  <si>
    <t xml:space="preserve">https://www.instagram.com/creator977_instagram/</t>
  </si>
  <si>
    <t xml:space="preserve">https://www.tiktok.com/@creator977_tiktok</t>
  </si>
  <si>
    <t xml:space="preserve">CR00978</t>
  </si>
  <si>
    <t xml:space="preserve">@creator978_tiktok</t>
  </si>
  <si>
    <t xml:space="preserve">CR00986</t>
  </si>
  <si>
    <t xml:space="preserve">@creator986_youtube</t>
  </si>
  <si>
    <t xml:space="preserve">@creator987_instagram</t>
  </si>
  <si>
    <t xml:space="preserve">@creator990_instagram</t>
  </si>
  <si>
    <t xml:space="preserve">@creator995_instagram</t>
  </si>
  <si>
    <t xml:space="preserve">@creator998_tiktok</t>
  </si>
  <si>
    <t xml:space="preserve">CR00999</t>
  </si>
  <si>
    <t xml:space="preserve">@creator999_instagram</t>
  </si>
  <si>
    <t xml:space="preserve">CR01004</t>
  </si>
  <si>
    <t xml:space="preserve">@creator1004_instagram</t>
  </si>
  <si>
    <t xml:space="preserve">https://www.tiktok.com/@creator1004_tiktok</t>
  </si>
  <si>
    <t xml:space="preserve">@creator1004_youtube</t>
  </si>
  <si>
    <t xml:space="preserve">CR01005</t>
  </si>
  <si>
    <t xml:space="preserve">@creator1005_tiktok</t>
  </si>
  <si>
    <t xml:space="preserve">@creator1008_tiktok</t>
  </si>
  <si>
    <t xml:space="preserve">CR01009</t>
  </si>
  <si>
    <t xml:space="preserve">@creator1009_instagram</t>
  </si>
  <si>
    <t xml:space="preserve">@creator1017_instagram</t>
  </si>
  <si>
    <t xml:space="preserve">@creator1017_youtube</t>
  </si>
  <si>
    <t xml:space="preserve">EXCLUDED: Q00026 (no consistent source)</t>
  </si>
  <si>
    <t xml:space="preserve">@creator1025_instagram</t>
  </si>
  <si>
    <t xml:space="preserve">@creator1034_instagram</t>
  </si>
  <si>
    <t xml:space="preserve">@creator1035_instagram</t>
  </si>
  <si>
    <t xml:space="preserve">@creator1035_tiktok</t>
  </si>
  <si>
    <t xml:space="preserve">@creator1037_tiktok</t>
  </si>
  <si>
    <t xml:space="preserve">@creator1046_instagram</t>
  </si>
  <si>
    <t xml:space="preserve">@creator1054_tiktok</t>
  </si>
  <si>
    <t xml:space="preserve">@creator1055_instagram</t>
  </si>
  <si>
    <t xml:space="preserve">CR01057</t>
  </si>
  <si>
    <t xml:space="preserve">@creator1057_tiktok</t>
  </si>
  <si>
    <t xml:space="preserve">@creator1061_tiktok</t>
  </si>
  <si>
    <t xml:space="preserve">@creator1061_youtube</t>
  </si>
  <si>
    <t xml:space="preserve">@creator1065_tiktok</t>
  </si>
  <si>
    <t xml:space="preserve">@creator1073_instagram</t>
  </si>
  <si>
    <t xml:space="preserve">CR01079</t>
  </si>
  <si>
    <t xml:space="preserve">@creator1079_tiktok</t>
  </si>
  <si>
    <t xml:space="preserve">@creator1085_tiktok</t>
  </si>
  <si>
    <t xml:space="preserve">@creator1085_youtube</t>
  </si>
  <si>
    <t xml:space="preserve">https://www.tiktok.com/@creator906_tiktok</t>
  </si>
  <si>
    <t xml:space="preserve">@creator1093_tiktok</t>
  </si>
  <si>
    <t xml:space="preserve">CR01100</t>
  </si>
  <si>
    <t xml:space="preserve">@creator1100_tiktok</t>
  </si>
  <si>
    <t xml:space="preserve">CR01108</t>
  </si>
  <si>
    <t xml:space="preserve">CR01110</t>
  </si>
  <si>
    <t xml:space="preserve">https://www.instagram.com/creator1110_instagram/</t>
  </si>
  <si>
    <t xml:space="preserve">@creator1116_instagram</t>
  </si>
  <si>
    <t xml:space="preserve">CR01118</t>
  </si>
  <si>
    <t xml:space="preserve">@creator1119_youtube</t>
  </si>
  <si>
    <t xml:space="preserve">@creator1121_tiktok</t>
  </si>
  <si>
    <t xml:space="preserve">CR01130</t>
  </si>
  <si>
    <t xml:space="preserve">@creator1138_youtube</t>
  </si>
  <si>
    <t xml:space="preserve">CR01139</t>
  </si>
  <si>
    <t xml:space="preserve">https://www.instagram.com/creator1139_instagram/</t>
  </si>
  <si>
    <t xml:space="preserve">CR01140</t>
  </si>
  <si>
    <t xml:space="preserve">@creator1144_youtube</t>
  </si>
  <si>
    <t xml:space="preserve">@creator1145_tiktok</t>
  </si>
  <si>
    <t xml:space="preserve">https://www.tiktok.com/@creator1147_tiktok</t>
  </si>
  <si>
    <t xml:space="preserve">CR01152</t>
  </si>
  <si>
    <t xml:space="preserve">@creator1152_tiktok</t>
  </si>
  <si>
    <t xml:space="preserve">@creator1156_instagram</t>
  </si>
  <si>
    <t xml:space="preserve">CR01185</t>
  </si>
  <si>
    <t xml:space="preserve">@creator1187_tiktok</t>
  </si>
  <si>
    <t xml:space="preserve">@creator1189_instagram</t>
  </si>
  <si>
    <t xml:space="preserve">@creator1190_tiktok</t>
  </si>
  <si>
    <t xml:space="preserve">@creator1204_instagram</t>
  </si>
  <si>
    <t xml:space="preserve">CR01205</t>
  </si>
  <si>
    <t xml:space="preserve">@creator1205_instagram</t>
  </si>
  <si>
    <t xml:space="preserve">@creator1208_tiktok</t>
  </si>
  <si>
    <t xml:space="preserve">@creator1215_instagram</t>
  </si>
  <si>
    <t xml:space="preserve">@creator1217_youtube</t>
  </si>
  <si>
    <t xml:space="preserve">https://www.instagram.com/creator1222_instagram/</t>
  </si>
  <si>
    <t xml:space="preserve">@creator1222_youtube</t>
  </si>
  <si>
    <t xml:space="preserve">@creator1224_instagram</t>
  </si>
  <si>
    <t xml:space="preserve">@creator1224_tiktok</t>
  </si>
  <si>
    <t xml:space="preserve">CR01227</t>
  </si>
  <si>
    <t xml:space="preserve">https://www.instagram.com/creator1227_instagram/</t>
  </si>
  <si>
    <t xml:space="preserve">@creator1229_tiktok</t>
  </si>
  <si>
    <t xml:space="preserve">CR01231</t>
  </si>
  <si>
    <t xml:space="preserve">@creator1231_youtube</t>
  </si>
  <si>
    <t xml:space="preserve">https://www.instagram.com/creator1236_instagram/</t>
  </si>
  <si>
    <t xml:space="preserve">@creator1239_youtube</t>
  </si>
  <si>
    <t xml:space="preserve">@creator1241_tiktok</t>
  </si>
  <si>
    <t xml:space="preserve">@creator1243_tiktok</t>
  </si>
  <si>
    <t xml:space="preserve">@creator1243_youtube</t>
  </si>
  <si>
    <t xml:space="preserve">@creator1249_youtube</t>
  </si>
  <si>
    <t xml:space="preserve">@creator1254_tiktok</t>
  </si>
  <si>
    <t xml:space="preserve">https://www.instagram.com/creator1255_instagram/</t>
  </si>
  <si>
    <t xml:space="preserve">CR01257</t>
  </si>
  <si>
    <t xml:space="preserve">@creator1257_tiktok</t>
  </si>
  <si>
    <t xml:space="preserve">CR01263</t>
  </si>
  <si>
    <t xml:space="preserve">CR01268</t>
  </si>
  <si>
    <t xml:space="preserve">@creator1268_tiktok</t>
  </si>
  <si>
    <t xml:space="preserve">CR01269</t>
  </si>
  <si>
    <t xml:space="preserve">@creator1283_tiktok</t>
  </si>
  <si>
    <t xml:space="preserve">@creator1284_tiktok</t>
  </si>
  <si>
    <t xml:space="preserve">@creator1284_youtube</t>
  </si>
  <si>
    <t xml:space="preserve">CR01285</t>
  </si>
  <si>
    <t xml:space="preserve">@creator1285_youtube</t>
  </si>
  <si>
    <t xml:space="preserve">@creator1292_youtube</t>
  </si>
  <si>
    <t xml:space="preserve">https://www.tiktok.com/@creator1295_tiktok</t>
  </si>
  <si>
    <t xml:space="preserve">@creator1300_instagram</t>
  </si>
  <si>
    <t xml:space="preserve">CR01305</t>
  </si>
  <si>
    <t xml:space="preserve">@creator1305_youtube</t>
  </si>
  <si>
    <t xml:space="preserve">@creator1307_instagram</t>
  </si>
  <si>
    <t xml:space="preserve">@creator1309_tiktok</t>
  </si>
  <si>
    <t xml:space="preserve">@creator1312_tiktok</t>
  </si>
  <si>
    <t xml:space="preserve">CR01313</t>
  </si>
  <si>
    <t xml:space="preserve">@creator1314_tiktok</t>
  </si>
  <si>
    <t xml:space="preserve">@creator1334_instagram</t>
  </si>
  <si>
    <t xml:space="preserve">https://www.tiktok.com/@creator1342_tiktok</t>
  </si>
  <si>
    <t xml:space="preserve">CR01348</t>
  </si>
  <si>
    <t xml:space="preserve">@creator1349_instagram</t>
  </si>
  <si>
    <t xml:space="preserve">@creator1349_tiktok</t>
  </si>
  <si>
    <t xml:space="preserve">@creator1354_tiktok</t>
  </si>
  <si>
    <t xml:space="preserve">@creator1356_instagram</t>
  </si>
  <si>
    <t xml:space="preserve">CR01364</t>
  </si>
  <si>
    <t xml:space="preserve">@creator1365_tiktok</t>
  </si>
  <si>
    <t xml:space="preserve">CR01367</t>
  </si>
  <si>
    <t xml:space="preserve">@creator1367_tiktok</t>
  </si>
  <si>
    <t xml:space="preserve">@creator1367_youtube</t>
  </si>
  <si>
    <t xml:space="preserve">@creator1374_instagram</t>
  </si>
  <si>
    <t xml:space="preserve">CR01381</t>
  </si>
  <si>
    <t xml:space="preserve">@creator1381_instagram</t>
  </si>
  <si>
    <t xml:space="preserve">@creator1381_tiktok</t>
  </si>
  <si>
    <t xml:space="preserve">@creator1384_tiktok</t>
  </si>
  <si>
    <t xml:space="preserve">https://www.instagram.com/creator1387_instagram/</t>
  </si>
  <si>
    <t xml:space="preserve">@creator1388_instagram</t>
  </si>
  <si>
    <t xml:space="preserve">@creator1395_tiktok</t>
  </si>
  <si>
    <t xml:space="preserve">@creator1406_instagram</t>
  </si>
  <si>
    <t xml:space="preserve">CR01408</t>
  </si>
  <si>
    <t xml:space="preserve">https://www.instagram.com/creator1412_instagram/</t>
  </si>
  <si>
    <t xml:space="preserve">@creator1415_youtube</t>
  </si>
  <si>
    <t xml:space="preserve">CR01421</t>
  </si>
  <si>
    <t xml:space="preserve">@creator1424_tiktok</t>
  </si>
  <si>
    <t xml:space="preserve">CR01429</t>
  </si>
  <si>
    <t xml:space="preserve">@creator1429_tiktok</t>
  </si>
  <si>
    <t xml:space="preserve">@creator1432_instagram</t>
  </si>
  <si>
    <t xml:space="preserve">EXCLUDED: Q00034 (no consistent source)</t>
  </si>
  <si>
    <t xml:space="preserve">@creator1437_instagram</t>
  </si>
  <si>
    <t xml:space="preserve">@creator1437_tiktok</t>
  </si>
  <si>
    <t xml:space="preserve">@creator1442_instagram</t>
  </si>
  <si>
    <t xml:space="preserve">CR01443</t>
  </si>
  <si>
    <t xml:space="preserve">@creator1443_tiktok</t>
  </si>
  <si>
    <t xml:space="preserve">CR01452</t>
  </si>
  <si>
    <t xml:space="preserve">@creator1452_tiktok</t>
  </si>
  <si>
    <t xml:space="preserve">@creator1454_instagram</t>
  </si>
  <si>
    <t xml:space="preserve">@creator1455_instagram</t>
  </si>
  <si>
    <t xml:space="preserve">@creator1455_tiktok</t>
  </si>
  <si>
    <t xml:space="preserve">@creator1458_tiktok</t>
  </si>
  <si>
    <t xml:space="preserve">https://www.tiktok.com/@creator1462_tiktok</t>
  </si>
  <si>
    <t xml:space="preserve">@creator1463_instagram</t>
  </si>
  <si>
    <t xml:space="preserve">@creator1463_tiktok</t>
  </si>
  <si>
    <t xml:space="preserve">https://youtube.com/@creator1469_youtube</t>
  </si>
  <si>
    <t xml:space="preserve">@creator1470_instagram</t>
  </si>
  <si>
    <t xml:space="preserve">@creator1482_instagram</t>
  </si>
  <si>
    <t xml:space="preserve">CR01484</t>
  </si>
  <si>
    <t xml:space="preserve">@creator1484_instagram</t>
  </si>
  <si>
    <t xml:space="preserve">@creator1484_tiktok</t>
  </si>
  <si>
    <t xml:space="preserve">@creator1485_tiktok</t>
  </si>
  <si>
    <t xml:space="preserve">https://www.tiktok.com/@creator1489_tiktok</t>
  </si>
  <si>
    <t xml:space="preserve">CR01490</t>
  </si>
  <si>
    <t xml:space="preserve">@creator1492_tiktok</t>
  </si>
  <si>
    <t xml:space="preserve">Creator details (one row per requested creator)</t>
  </si>
  <si>
    <t xml:space="preserve">Cell colour = tier that supplied the value: deep orange T1 · light orange T2 · pale orange T3 · grey still missing</t>
  </si>
  <si>
    <t xml:space="preserve">display_name *</t>
  </si>
  <si>
    <t xml:space="preserve">country *</t>
  </si>
  <si>
    <t xml:space="preserve">contact_email</t>
  </si>
  <si>
    <t xml:space="preserve">category</t>
  </si>
  <si>
    <t xml:space="preserve">Channels complete</t>
  </si>
  <si>
    <t xml:space="preserve">Creator complete</t>
  </si>
  <si>
    <t xml:space="preserve">display_name source</t>
  </si>
  <si>
    <t xml:space="preserve">country source</t>
  </si>
  <si>
    <t xml:space="preserve">contact_email source</t>
  </si>
  <si>
    <t xml:space="preserve">category source</t>
  </si>
  <si>
    <t xml:space="preserve">creator0@mail.example</t>
  </si>
  <si>
    <t xml:space="preserve">1/3</t>
  </si>
  <si>
    <t xml:space="preserve">creator2@mail.example</t>
  </si>
  <si>
    <t xml:space="preserve">2/3</t>
  </si>
  <si>
    <t xml:space="preserve">creator3@mail.example</t>
  </si>
  <si>
    <t xml:space="preserve">creator4@mail.example</t>
  </si>
  <si>
    <t xml:space="preserve">creator5@mail.example</t>
  </si>
  <si>
    <t xml:space="preserve">0/2</t>
  </si>
  <si>
    <t xml:space="preserve">creator9@mail.example</t>
  </si>
  <si>
    <t xml:space="preserve">Creator 11</t>
  </si>
  <si>
    <t xml:space="preserve">0/1</t>
  </si>
  <si>
    <t xml:space="preserve">creator12@mail.example</t>
  </si>
  <si>
    <t xml:space="preserve">creator13@mail.example</t>
  </si>
  <si>
    <t xml:space="preserve">1/2</t>
  </si>
  <si>
    <t xml:space="preserve">creator15@mail.example</t>
  </si>
  <si>
    <t xml:space="preserve">creator20@mail.example</t>
  </si>
  <si>
    <t xml:space="preserve">1/1</t>
  </si>
  <si>
    <t xml:space="preserve">creator23@mail.example</t>
  </si>
  <si>
    <t xml:space="preserve">creator25@mail.example</t>
  </si>
  <si>
    <t xml:space="preserve">creator27@mail.example</t>
  </si>
  <si>
    <t xml:space="preserve">creator29@mail.example</t>
  </si>
  <si>
    <t xml:space="preserve">creator30@mail.example</t>
  </si>
  <si>
    <t xml:space="preserve">creator31@mail.example</t>
  </si>
  <si>
    <t xml:space="preserve">3/3</t>
  </si>
  <si>
    <t xml:space="preserve">creator32@mail.example</t>
  </si>
  <si>
    <t xml:space="preserve">creator33@mail.example</t>
  </si>
  <si>
    <t xml:space="preserve">2/2</t>
  </si>
  <si>
    <t xml:space="preserve">creator34@mail.example</t>
  </si>
  <si>
    <t xml:space="preserve">creator36@mail.example</t>
  </si>
  <si>
    <t xml:space="preserve">creator38@mail.example</t>
  </si>
  <si>
    <t xml:space="preserve">creator39@mail.example</t>
  </si>
  <si>
    <t xml:space="preserve">creator40@mail.example</t>
  </si>
  <si>
    <t xml:space="preserve">creator41@mail.example</t>
  </si>
  <si>
    <t xml:space="preserve">creator46@mail.example</t>
  </si>
  <si>
    <t xml:space="preserve">creator47@mail.example</t>
  </si>
  <si>
    <t xml:space="preserve">creator48@mail.example</t>
  </si>
  <si>
    <t xml:space="preserve">creator50@mail.example</t>
  </si>
  <si>
    <t xml:space="preserve">creator53@mail.example</t>
  </si>
  <si>
    <t xml:space="preserve">creator54@mail.example</t>
  </si>
  <si>
    <t xml:space="preserve">creator56@mail.example</t>
  </si>
  <si>
    <t xml:space="preserve">creator62@mail.example</t>
  </si>
  <si>
    <t xml:space="preserve">creator63@mail.example</t>
  </si>
  <si>
    <t xml:space="preserve">creator68@mail.example</t>
  </si>
  <si>
    <t xml:space="preserve">creator70@mail.example</t>
  </si>
  <si>
    <t xml:space="preserve">creator71@mail.example</t>
  </si>
  <si>
    <t xml:space="preserve">creator73@mail.example</t>
  </si>
  <si>
    <t xml:space="preserve">creator 76</t>
  </si>
  <si>
    <t xml:space="preserve">creator76@mail.example</t>
  </si>
  <si>
    <t xml:space="preserve">Creator 79</t>
  </si>
  <si>
    <t xml:space="preserve">creator79@mail.example</t>
  </si>
  <si>
    <t xml:space="preserve">creator82@mail.example</t>
  </si>
  <si>
    <t xml:space="preserve">creator83@mail.example</t>
  </si>
  <si>
    <t xml:space="preserve">creator84@mail.example</t>
  </si>
  <si>
    <t xml:space="preserve">creator85@mail.example</t>
  </si>
  <si>
    <t xml:space="preserve">creator86@mail.example</t>
  </si>
  <si>
    <t xml:space="preserve">creator87@mail.example</t>
  </si>
  <si>
    <t xml:space="preserve">Creator 89</t>
  </si>
  <si>
    <t xml:space="preserve">creator89@mail.example</t>
  </si>
  <si>
    <t xml:space="preserve">creator90@mail.example</t>
  </si>
  <si>
    <t xml:space="preserve">creator92@mail.example</t>
  </si>
  <si>
    <t xml:space="preserve">creator94@mail.example</t>
  </si>
  <si>
    <t xml:space="preserve">creator96@mail.example</t>
  </si>
  <si>
    <t xml:space="preserve">creator97@mail.example</t>
  </si>
  <si>
    <t xml:space="preserve">creator99@mail.example</t>
  </si>
  <si>
    <t xml:space="preserve">creator100@mail.example</t>
  </si>
  <si>
    <t xml:space="preserve">creator102@mail.example</t>
  </si>
  <si>
    <t xml:space="preserve">creator103@mail.example</t>
  </si>
  <si>
    <t xml:space="preserve">creator107@mail.example</t>
  </si>
  <si>
    <t xml:space="preserve">creator108@mail.example</t>
  </si>
  <si>
    <t xml:space="preserve">creator110@mail.example</t>
  </si>
  <si>
    <t xml:space="preserve">Creator 112</t>
  </si>
  <si>
    <t xml:space="preserve">creator112@mail.example</t>
  </si>
  <si>
    <t xml:space="preserve">creator114@mail.example</t>
  </si>
  <si>
    <t xml:space="preserve">creator116@mail.example</t>
  </si>
  <si>
    <t xml:space="preserve">creator117@mail.example</t>
  </si>
  <si>
    <t xml:space="preserve">creator126@mail.example</t>
  </si>
  <si>
    <t xml:space="preserve">Creator 127</t>
  </si>
  <si>
    <t xml:space="preserve">creator127@mail.example</t>
  </si>
  <si>
    <t xml:space="preserve">creator128@mail.example</t>
  </si>
  <si>
    <t xml:space="preserve">creator130@mail.example</t>
  </si>
  <si>
    <t xml:space="preserve">creator131@mail.example</t>
  </si>
  <si>
    <t xml:space="preserve">creator136@mail.example</t>
  </si>
  <si>
    <t xml:space="preserve">creator138@mail.example</t>
  </si>
  <si>
    <t xml:space="preserve">creator139@mail.example</t>
  </si>
  <si>
    <t xml:space="preserve">Creator 140</t>
  </si>
  <si>
    <t xml:space="preserve">creator140@mail.example</t>
  </si>
  <si>
    <t xml:space="preserve">creator141@mail.example</t>
  </si>
  <si>
    <t xml:space="preserve">creator143@mail.example</t>
  </si>
  <si>
    <t xml:space="preserve">creator146@mail.example</t>
  </si>
  <si>
    <t xml:space="preserve">creator148@mail.example</t>
  </si>
  <si>
    <t xml:space="preserve">Creator 149</t>
  </si>
  <si>
    <t xml:space="preserve">creator149@mail.example</t>
  </si>
  <si>
    <t xml:space="preserve">creator150@mail.example</t>
  </si>
  <si>
    <t xml:space="preserve">creator151@mail.example</t>
  </si>
  <si>
    <t xml:space="preserve">creator152@mail.example</t>
  </si>
  <si>
    <t xml:space="preserve">creator153@mail.example</t>
  </si>
  <si>
    <t xml:space="preserve">creator155@mail.example</t>
  </si>
  <si>
    <t xml:space="preserve">creator158@mail.example</t>
  </si>
  <si>
    <t xml:space="preserve">creator160@mail.example</t>
  </si>
  <si>
    <t xml:space="preserve">creator161@mail.example</t>
  </si>
  <si>
    <t xml:space="preserve">creator162@mail.example</t>
  </si>
  <si>
    <t xml:space="preserve">creator172@mail.example</t>
  </si>
  <si>
    <t xml:space="preserve">creator174@mail.example</t>
  </si>
  <si>
    <t xml:space="preserve">Creator 175</t>
  </si>
  <si>
    <t xml:space="preserve">creator175@mail.example</t>
  </si>
  <si>
    <t xml:space="preserve">0/3</t>
  </si>
  <si>
    <t xml:space="preserve">creator177@mail.example</t>
  </si>
  <si>
    <t xml:space="preserve">Creator 178</t>
  </si>
  <si>
    <t xml:space="preserve">creator178@mail.example</t>
  </si>
  <si>
    <t xml:space="preserve">creator179@mail.example</t>
  </si>
  <si>
    <t xml:space="preserve">creator180@mail.example</t>
  </si>
  <si>
    <t xml:space="preserve">creator181@mail.example</t>
  </si>
  <si>
    <t xml:space="preserve">Creator 182</t>
  </si>
  <si>
    <t xml:space="preserve">Creator 183</t>
  </si>
  <si>
    <t xml:space="preserve">creator183@mail.example</t>
  </si>
  <si>
    <t xml:space="preserve">creator184@mail.example</t>
  </si>
  <si>
    <t xml:space="preserve">creator185@mail.example</t>
  </si>
  <si>
    <t xml:space="preserve">creator186@mail.example</t>
  </si>
  <si>
    <t xml:space="preserve">creator192@mail.example</t>
  </si>
  <si>
    <t xml:space="preserve">creator193@mail.example</t>
  </si>
  <si>
    <t xml:space="preserve">creator194@mail.example</t>
  </si>
  <si>
    <t xml:space="preserve">creator198@mail.example</t>
  </si>
  <si>
    <t xml:space="preserve">creator199@mail.example</t>
  </si>
  <si>
    <t xml:space="preserve">creator202@mail.example</t>
  </si>
  <si>
    <t xml:space="preserve">creator206@mail.example</t>
  </si>
  <si>
    <t xml:space="preserve">creator208@mail.example</t>
  </si>
  <si>
    <t xml:space="preserve">creator212@mail.example</t>
  </si>
  <si>
    <t xml:space="preserve">Creator 213</t>
  </si>
  <si>
    <t xml:space="preserve">creator213@mail.example</t>
  </si>
  <si>
    <t xml:space="preserve">creator215@mail.example</t>
  </si>
  <si>
    <t xml:space="preserve">creator216@mail.example</t>
  </si>
  <si>
    <t xml:space="preserve">creator221@mail.example</t>
  </si>
  <si>
    <t xml:space="preserve">creator223@mail.example</t>
  </si>
  <si>
    <t xml:space="preserve">creator224@mail.example</t>
  </si>
  <si>
    <t xml:space="preserve">creator226@mail.example</t>
  </si>
  <si>
    <t xml:space="preserve">creator227@mail.example</t>
  </si>
  <si>
    <t xml:space="preserve">creator228@mail.example</t>
  </si>
  <si>
    <t xml:space="preserve">creator229@mail.example</t>
  </si>
  <si>
    <t xml:space="preserve">creator230@mail.example</t>
  </si>
  <si>
    <t xml:space="preserve">creator231@mail.example</t>
  </si>
  <si>
    <t xml:space="preserve">creator233@mail.example</t>
  </si>
  <si>
    <t xml:space="preserve">Creator 234</t>
  </si>
  <si>
    <t xml:space="preserve">creator234@mail.example</t>
  </si>
  <si>
    <t xml:space="preserve">creator235@mail.example</t>
  </si>
  <si>
    <t xml:space="preserve">creator238@mail.example</t>
  </si>
  <si>
    <t xml:space="preserve">creator243@mail.example</t>
  </si>
  <si>
    <t xml:space="preserve">creator245@mail.example</t>
  </si>
  <si>
    <t xml:space="preserve">creator246@mail.example</t>
  </si>
  <si>
    <t xml:space="preserve">creator247@mail.example</t>
  </si>
  <si>
    <t xml:space="preserve">creator248@mail.example</t>
  </si>
  <si>
    <t xml:space="preserve">creator249@mail.example</t>
  </si>
  <si>
    <t xml:space="preserve">creator250@mail.example</t>
  </si>
  <si>
    <t xml:space="preserve">Creator 252</t>
  </si>
  <si>
    <t xml:space="preserve">creator252@mail.example</t>
  </si>
  <si>
    <t xml:space="preserve">creator253@mail.example</t>
  </si>
  <si>
    <t xml:space="preserve">creator254@mail.example</t>
  </si>
  <si>
    <t xml:space="preserve">creator257@mail.example</t>
  </si>
  <si>
    <t xml:space="preserve">creator259@mail.example</t>
  </si>
  <si>
    <t xml:space="preserve">creator260@mail.example</t>
  </si>
  <si>
    <t xml:space="preserve">creator261@mail.example</t>
  </si>
  <si>
    <t xml:space="preserve">creator266@mail.example</t>
  </si>
  <si>
    <t xml:space="preserve">creator267@mail.example</t>
  </si>
  <si>
    <t xml:space="preserve">creator268@mail.example</t>
  </si>
  <si>
    <t xml:space="preserve">creator271@mail.example</t>
  </si>
  <si>
    <t xml:space="preserve">creator272@mail.example</t>
  </si>
  <si>
    <t xml:space="preserve">creator276@mail.example</t>
  </si>
  <si>
    <t xml:space="preserve">creator277@mail.example</t>
  </si>
  <si>
    <t xml:space="preserve">creator279@mail.example</t>
  </si>
  <si>
    <t xml:space="preserve">creator281@mail.example</t>
  </si>
  <si>
    <t xml:space="preserve">Creator 282</t>
  </si>
  <si>
    <t xml:space="preserve">creator283@mail.example</t>
  </si>
  <si>
    <t xml:space="preserve">creator284@mail.example</t>
  </si>
  <si>
    <t xml:space="preserve">creator285@mail.example</t>
  </si>
  <si>
    <t xml:space="preserve">creator286@mail.example</t>
  </si>
  <si>
    <t xml:space="preserve">creator287@mail.example</t>
  </si>
  <si>
    <t xml:space="preserve">creator288@mail.example</t>
  </si>
  <si>
    <t xml:space="preserve">creator289@mail.example</t>
  </si>
  <si>
    <t xml:space="preserve">creator291@mail.example</t>
  </si>
  <si>
    <t xml:space="preserve">creator292@mail.example</t>
  </si>
  <si>
    <t xml:space="preserve">creator293@mail.example</t>
  </si>
  <si>
    <t xml:space="preserve">creator295@mail.example</t>
  </si>
  <si>
    <t xml:space="preserve">creator296@mail.example</t>
  </si>
  <si>
    <t xml:space="preserve">creator298@mail.example</t>
  </si>
  <si>
    <t xml:space="preserve">creator300@mail.example</t>
  </si>
  <si>
    <t xml:space="preserve">creator302@mail.example</t>
  </si>
  <si>
    <t xml:space="preserve">creator305@mail.example</t>
  </si>
  <si>
    <t xml:space="preserve">creator311@mail.example</t>
  </si>
  <si>
    <t xml:space="preserve">creator313@mail.example</t>
  </si>
  <si>
    <t xml:space="preserve">creator317@mail.example</t>
  </si>
  <si>
    <t xml:space="preserve">creator318@mail.example</t>
  </si>
  <si>
    <t xml:space="preserve">creator321@mail.example</t>
  </si>
  <si>
    <t xml:space="preserve">creator322@mail.example</t>
  </si>
  <si>
    <t xml:space="preserve">creator323@mail.example</t>
  </si>
  <si>
    <t xml:space="preserve">creator324@mail.example</t>
  </si>
  <si>
    <t xml:space="preserve">creator325@mail.example</t>
  </si>
  <si>
    <t xml:space="preserve">creator327@mail.example</t>
  </si>
  <si>
    <t xml:space="preserve">creator328@mail.example</t>
  </si>
  <si>
    <t xml:space="preserve">creator330@mail.example</t>
  </si>
  <si>
    <t xml:space="preserve">creator336@mail.example</t>
  </si>
  <si>
    <t xml:space="preserve">Creator 338</t>
  </si>
  <si>
    <t xml:space="preserve">creator338@mail.example</t>
  </si>
  <si>
    <t xml:space="preserve">creator339@mail.example</t>
  </si>
  <si>
    <t xml:space="preserve">creator340@mail.example</t>
  </si>
  <si>
    <t xml:space="preserve">creator342@mail.example</t>
  </si>
  <si>
    <t xml:space="preserve">Creator 343</t>
  </si>
  <si>
    <t xml:space="preserve">creator343@mail.example</t>
  </si>
  <si>
    <t xml:space="preserve">creator345@mail.example</t>
  </si>
  <si>
    <t xml:space="preserve">creator346@mail.example</t>
  </si>
  <si>
    <t xml:space="preserve">Creator 347</t>
  </si>
  <si>
    <t xml:space="preserve">creator347@mail.example</t>
  </si>
  <si>
    <t xml:space="preserve">creator348@mail.example</t>
  </si>
  <si>
    <t xml:space="preserve">creator350@mail.example</t>
  </si>
  <si>
    <t xml:space="preserve">creator351@mail.example</t>
  </si>
  <si>
    <t xml:space="preserve">creator352@mail.example</t>
  </si>
  <si>
    <t xml:space="preserve">creator354@mail.example</t>
  </si>
  <si>
    <t xml:space="preserve">creator356@mail.example</t>
  </si>
  <si>
    <t xml:space="preserve">creator357@mail.example</t>
  </si>
  <si>
    <t xml:space="preserve">creator358@mail.example</t>
  </si>
  <si>
    <t xml:space="preserve">Creator 359</t>
  </si>
  <si>
    <t xml:space="preserve">creator359@mail.example</t>
  </si>
  <si>
    <t xml:space="preserve">creator360@mail.example</t>
  </si>
  <si>
    <t xml:space="preserve">creator363@mail.example</t>
  </si>
  <si>
    <t xml:space="preserve">creator366@mail.example</t>
  </si>
  <si>
    <t xml:space="preserve">creator368@mail.example</t>
  </si>
  <si>
    <t xml:space="preserve">creator369@mail.example</t>
  </si>
  <si>
    <t xml:space="preserve">creator371@mail.example</t>
  </si>
  <si>
    <t xml:space="preserve">creator373@mail.example</t>
  </si>
  <si>
    <t xml:space="preserve">creator374@mail.example</t>
  </si>
  <si>
    <t xml:space="preserve">creator377@mail.example</t>
  </si>
  <si>
    <t xml:space="preserve">creator379@mail.example</t>
  </si>
  <si>
    <t xml:space="preserve">creator380@mail.example</t>
  </si>
  <si>
    <t xml:space="preserve">creator381@mail.example</t>
  </si>
  <si>
    <t xml:space="preserve">Creator 382</t>
  </si>
  <si>
    <t xml:space="preserve">creator382@mail.example</t>
  </si>
  <si>
    <t xml:space="preserve">creator383@mail.example</t>
  </si>
  <si>
    <t xml:space="preserve">creator386@mail.example</t>
  </si>
  <si>
    <t xml:space="preserve">creator390@mail.example</t>
  </si>
  <si>
    <t xml:space="preserve">creator393@mail.example</t>
  </si>
  <si>
    <t xml:space="preserve">creator394@mail.example</t>
  </si>
  <si>
    <t xml:space="preserve">creator395@mail.example</t>
  </si>
  <si>
    <t xml:space="preserve">creator396@mail.example</t>
  </si>
  <si>
    <t xml:space="preserve">creator399@mail.example</t>
  </si>
  <si>
    <t xml:space="preserve">creator400@mail.example</t>
  </si>
  <si>
    <t xml:space="preserve">creator401@mail.example</t>
  </si>
  <si>
    <t xml:space="preserve">creator403@mail.example</t>
  </si>
  <si>
    <t xml:space="preserve">Creator 404</t>
  </si>
  <si>
    <t xml:space="preserve">creator404@mail.example</t>
  </si>
  <si>
    <t xml:space="preserve">creator405@mail.example</t>
  </si>
  <si>
    <t xml:space="preserve">creator406@mail.example</t>
  </si>
  <si>
    <t xml:space="preserve">creator407@mail.example</t>
  </si>
  <si>
    <t xml:space="preserve">creator409@mail.example</t>
  </si>
  <si>
    <t xml:space="preserve">creator416@mail.example</t>
  </si>
  <si>
    <t xml:space="preserve">creator419@mail.example</t>
  </si>
  <si>
    <t xml:space="preserve">creator422@mail.example</t>
  </si>
  <si>
    <t xml:space="preserve">creator424@mail.example</t>
  </si>
  <si>
    <t xml:space="preserve">creator425@mail.example</t>
  </si>
  <si>
    <t xml:space="preserve">creator427@mail.example</t>
  </si>
  <si>
    <t xml:space="preserve">creator430@mail.example</t>
  </si>
  <si>
    <t xml:space="preserve">creator431@mail.example</t>
  </si>
  <si>
    <t xml:space="preserve">Creator 432</t>
  </si>
  <si>
    <t xml:space="preserve">creator432@mail.example</t>
  </si>
  <si>
    <t xml:space="preserve">creator433@mail.example</t>
  </si>
  <si>
    <t xml:space="preserve">creator435@mail.example</t>
  </si>
  <si>
    <t xml:space="preserve">creator437@mail.example</t>
  </si>
  <si>
    <t xml:space="preserve">creator438@mail.example</t>
  </si>
  <si>
    <t xml:space="preserve">creator439@mail.example</t>
  </si>
  <si>
    <t xml:space="preserve">Creator 441</t>
  </si>
  <si>
    <t xml:space="preserve">creator443@mail.example</t>
  </si>
  <si>
    <t xml:space="preserve">creator444@mail.example</t>
  </si>
  <si>
    <t xml:space="preserve">creator445@mail.example</t>
  </si>
  <si>
    <t xml:space="preserve">creator446@mail.example</t>
  </si>
  <si>
    <t xml:space="preserve">creator448@mail.example</t>
  </si>
  <si>
    <t xml:space="preserve">creator449@mail.example</t>
  </si>
  <si>
    <t xml:space="preserve">creator457@mail.example</t>
  </si>
  <si>
    <t xml:space="preserve">creator458@mail.example</t>
  </si>
  <si>
    <t xml:space="preserve">creator460@mail.example</t>
  </si>
  <si>
    <t xml:space="preserve">creator461@mail.example</t>
  </si>
  <si>
    <t xml:space="preserve">creator463@mail.example</t>
  </si>
  <si>
    <t xml:space="preserve">creator465@mail.example</t>
  </si>
  <si>
    <t xml:space="preserve">Creator 469</t>
  </si>
  <si>
    <t xml:space="preserve">Creator 471</t>
  </si>
  <si>
    <t xml:space="preserve">creator471@mail.example</t>
  </si>
  <si>
    <t xml:space="preserve">creator473@mail.example</t>
  </si>
  <si>
    <t xml:space="preserve">Creator 475</t>
  </si>
  <si>
    <t xml:space="preserve">Creator 476</t>
  </si>
  <si>
    <t xml:space="preserve">creator476@mail.example</t>
  </si>
  <si>
    <t xml:space="preserve">creator477@mail.example</t>
  </si>
  <si>
    <t xml:space="preserve">creator480@mail.example</t>
  </si>
  <si>
    <t xml:space="preserve">creator481@mail.example</t>
  </si>
  <si>
    <t xml:space="preserve">creator485@mail.example</t>
  </si>
  <si>
    <t xml:space="preserve">creator488@mail.example</t>
  </si>
  <si>
    <t xml:space="preserve">creator489@mail.example</t>
  </si>
  <si>
    <t xml:space="preserve">creator490@mail.example</t>
  </si>
  <si>
    <t xml:space="preserve">creator491@mail.example</t>
  </si>
  <si>
    <t xml:space="preserve">creator494@mail.example</t>
  </si>
  <si>
    <t xml:space="preserve">creator495@mail.example</t>
  </si>
  <si>
    <t xml:space="preserve">creator497@mail.example</t>
  </si>
  <si>
    <t xml:space="preserve">creator500@mail.example</t>
  </si>
  <si>
    <t xml:space="preserve">creator501@mail.example</t>
  </si>
  <si>
    <t xml:space="preserve">Creator 502</t>
  </si>
  <si>
    <t xml:space="preserve">creator502@mail.example</t>
  </si>
  <si>
    <t xml:space="preserve">creator504@mail.example</t>
  </si>
  <si>
    <t xml:space="preserve">creator505@mail.example</t>
  </si>
  <si>
    <t xml:space="preserve">creator508@mail.example</t>
  </si>
  <si>
    <t xml:space="preserve">creator509@mail.example</t>
  </si>
  <si>
    <t xml:space="preserve">creator510@mail.example</t>
  </si>
  <si>
    <t xml:space="preserve">creator511@mail.example</t>
  </si>
  <si>
    <t xml:space="preserve">creator512@mail.example</t>
  </si>
  <si>
    <t xml:space="preserve">creator515@mail.example</t>
  </si>
  <si>
    <t xml:space="preserve">creator517@mail.example</t>
  </si>
  <si>
    <t xml:space="preserve">creator518@mail.example</t>
  </si>
  <si>
    <t xml:space="preserve">creator519@mail.example</t>
  </si>
  <si>
    <t xml:space="preserve">creator522@mail.example</t>
  </si>
  <si>
    <t xml:space="preserve">creator523@mail.example</t>
  </si>
  <si>
    <t xml:space="preserve">creator525@mail.example</t>
  </si>
  <si>
    <t xml:space="preserve">creator526@mail.example</t>
  </si>
  <si>
    <t xml:space="preserve">creator527@mail.example</t>
  </si>
  <si>
    <t xml:space="preserve">Creator 528</t>
  </si>
  <si>
    <t xml:space="preserve">creator529@mail.example</t>
  </si>
  <si>
    <t xml:space="preserve">creator530@mail.example</t>
  </si>
  <si>
    <t xml:space="preserve">creator533@mail.example</t>
  </si>
  <si>
    <t xml:space="preserve">creator535@mail.example</t>
  </si>
  <si>
    <t xml:space="preserve">creator538@mail.example</t>
  </si>
  <si>
    <t xml:space="preserve">creator541@mail.example</t>
  </si>
  <si>
    <t xml:space="preserve">creator542@mail.example</t>
  </si>
  <si>
    <t xml:space="preserve">creator544@mail.example</t>
  </si>
  <si>
    <t xml:space="preserve">creator546@mail.example</t>
  </si>
  <si>
    <t xml:space="preserve">creator550@mail.example</t>
  </si>
  <si>
    <t xml:space="preserve">creator551@mail.example</t>
  </si>
  <si>
    <t xml:space="preserve">creator552@mail.example</t>
  </si>
  <si>
    <t xml:space="preserve">creator553@mail.example</t>
  </si>
  <si>
    <t xml:space="preserve">creator557@mail.example</t>
  </si>
  <si>
    <t xml:space="preserve">Creator 563</t>
  </si>
  <si>
    <t xml:space="preserve">creator566@mail.example</t>
  </si>
  <si>
    <t xml:space="preserve">Creator 568</t>
  </si>
  <si>
    <t xml:space="preserve">creator568@mail.example</t>
  </si>
  <si>
    <t xml:space="preserve">creator569@mail.example</t>
  </si>
  <si>
    <t xml:space="preserve">creator570@mail.example</t>
  </si>
  <si>
    <t xml:space="preserve">creator571@mail.example</t>
  </si>
  <si>
    <t xml:space="preserve">Creator 573</t>
  </si>
  <si>
    <t xml:space="preserve">creator574@mail.example</t>
  </si>
  <si>
    <t xml:space="preserve">creator576@mail.example</t>
  </si>
  <si>
    <t xml:space="preserve">creator579@mail.example</t>
  </si>
  <si>
    <t xml:space="preserve">Creator 581</t>
  </si>
  <si>
    <t xml:space="preserve">creator583@mail.example</t>
  </si>
  <si>
    <t xml:space="preserve">creator584@mail.example</t>
  </si>
  <si>
    <t xml:space="preserve">creator587@mail.example</t>
  </si>
  <si>
    <t xml:space="preserve">creator588@mail.example</t>
  </si>
  <si>
    <t xml:space="preserve">creator589@mail.example</t>
  </si>
  <si>
    <t xml:space="preserve">creator591@mail.example</t>
  </si>
  <si>
    <t xml:space="preserve">creator592@mail.example</t>
  </si>
  <si>
    <t xml:space="preserve">Creator 593</t>
  </si>
  <si>
    <t xml:space="preserve">creator593@mail.example</t>
  </si>
  <si>
    <t xml:space="preserve">creator594@mail.example</t>
  </si>
  <si>
    <t xml:space="preserve">Creator 595</t>
  </si>
  <si>
    <t xml:space="preserve">creator595@mail.example</t>
  </si>
  <si>
    <t xml:space="preserve">Creator 598</t>
  </si>
  <si>
    <t xml:space="preserve">creator598@mail.example</t>
  </si>
  <si>
    <t xml:space="preserve">creator601@mail.example</t>
  </si>
  <si>
    <t xml:space="preserve">Creator 602</t>
  </si>
  <si>
    <t xml:space="preserve">creator602@mail.example</t>
  </si>
  <si>
    <t xml:space="preserve">creator604@mail.example</t>
  </si>
  <si>
    <t xml:space="preserve">creator605@mail.example</t>
  </si>
  <si>
    <t xml:space="preserve">creator609@mail.example</t>
  </si>
  <si>
    <t xml:space="preserve">creator610@mail.example</t>
  </si>
  <si>
    <t xml:space="preserve">creator613@mail.example</t>
  </si>
  <si>
    <t xml:space="preserve">creator615@mail.example</t>
  </si>
  <si>
    <t xml:space="preserve">creator616@mail.example</t>
  </si>
  <si>
    <t xml:space="preserve">creator618@mail.example</t>
  </si>
  <si>
    <t xml:space="preserve">creator620@mail.example</t>
  </si>
  <si>
    <t xml:space="preserve">creator621@mail.example</t>
  </si>
  <si>
    <t xml:space="preserve">creator622@mail.example</t>
  </si>
  <si>
    <t xml:space="preserve">creator623@mail.example</t>
  </si>
  <si>
    <t xml:space="preserve">creator624@mail.example</t>
  </si>
  <si>
    <t xml:space="preserve">creator625@mail.example</t>
  </si>
  <si>
    <t xml:space="preserve">creator627@mail.example</t>
  </si>
  <si>
    <t xml:space="preserve">Creator 628</t>
  </si>
  <si>
    <t xml:space="preserve">creator628@mail.example</t>
  </si>
  <si>
    <t xml:space="preserve">creator630@mail.example</t>
  </si>
  <si>
    <t xml:space="preserve">creator631@mail.example</t>
  </si>
  <si>
    <t xml:space="preserve">creator634@mail.example</t>
  </si>
  <si>
    <t xml:space="preserve">Creator 635</t>
  </si>
  <si>
    <t xml:space="preserve">creator635@mail.example</t>
  </si>
  <si>
    <t xml:space="preserve">creator638@mail.example</t>
  </si>
  <si>
    <t xml:space="preserve">Creator 639</t>
  </si>
  <si>
    <t xml:space="preserve">creator639@mail.example</t>
  </si>
  <si>
    <t xml:space="preserve">creator641@mail.example</t>
  </si>
  <si>
    <t xml:space="preserve">creator645@mail.example</t>
  </si>
  <si>
    <t xml:space="preserve">creator648@mail.example</t>
  </si>
  <si>
    <t xml:space="preserve">creator655@mail.example</t>
  </si>
  <si>
    <t xml:space="preserve">Creator 661</t>
  </si>
  <si>
    <t xml:space="preserve">creator661@mail.example</t>
  </si>
  <si>
    <t xml:space="preserve">creator662@mail.example</t>
  </si>
  <si>
    <t xml:space="preserve">creator663@mail.example</t>
  </si>
  <si>
    <t xml:space="preserve">creator668@mail.example</t>
  </si>
  <si>
    <t xml:space="preserve">creator669@mail.example</t>
  </si>
  <si>
    <t xml:space="preserve">creator670@mail.example</t>
  </si>
  <si>
    <t xml:space="preserve">creator673@mail.example</t>
  </si>
  <si>
    <t xml:space="preserve">creator674@mail.example</t>
  </si>
  <si>
    <t xml:space="preserve">creator676@mail.example</t>
  </si>
  <si>
    <t xml:space="preserve">creator681@mail.example</t>
  </si>
  <si>
    <t xml:space="preserve">creator682@mail.example</t>
  </si>
  <si>
    <t xml:space="preserve">creator684@mail.example</t>
  </si>
  <si>
    <t xml:space="preserve">creator686@mail.example</t>
  </si>
  <si>
    <t xml:space="preserve">creator687@mail.example</t>
  </si>
  <si>
    <t xml:space="preserve">creator688@mail.example</t>
  </si>
  <si>
    <t xml:space="preserve">creator689@mail.example</t>
  </si>
  <si>
    <t xml:space="preserve">Creator 691</t>
  </si>
  <si>
    <t xml:space="preserve">creator692@mail.example</t>
  </si>
  <si>
    <t xml:space="preserve">creator694@mail.example</t>
  </si>
  <si>
    <t xml:space="preserve">creator696@mail.example</t>
  </si>
  <si>
    <t xml:space="preserve">creator697@mail.example</t>
  </si>
  <si>
    <t xml:space="preserve">creator 698</t>
  </si>
  <si>
    <t xml:space="preserve">creator698@mail.example</t>
  </si>
  <si>
    <t xml:space="preserve">creator699@mail.example</t>
  </si>
  <si>
    <t xml:space="preserve">creator701@mail.example</t>
  </si>
  <si>
    <t xml:space="preserve">creator702@mail.example</t>
  </si>
  <si>
    <t xml:space="preserve">creator703@mail.example</t>
  </si>
  <si>
    <t xml:space="preserve">creator704@mail.example</t>
  </si>
  <si>
    <t xml:space="preserve">creator706@mail.example</t>
  </si>
  <si>
    <t xml:space="preserve">creator707@mail.example</t>
  </si>
  <si>
    <t xml:space="preserve">creator709@mail.example</t>
  </si>
  <si>
    <t xml:space="preserve">creator711@mail.example</t>
  </si>
  <si>
    <t xml:space="preserve">creator718@mail.example</t>
  </si>
  <si>
    <t xml:space="preserve">creator721@mail.example</t>
  </si>
  <si>
    <t xml:space="preserve">creator722@mail.example</t>
  </si>
  <si>
    <t xml:space="preserve">creator724@mail.example</t>
  </si>
  <si>
    <t xml:space="preserve">creator725@mail.example</t>
  </si>
  <si>
    <t xml:space="preserve">creator726@mail.example</t>
  </si>
  <si>
    <t xml:space="preserve">creator727@mail.example</t>
  </si>
  <si>
    <t xml:space="preserve">creator728@mail.example</t>
  </si>
  <si>
    <t xml:space="preserve">creator729@mail.example</t>
  </si>
  <si>
    <t xml:space="preserve">creator730@mail.example</t>
  </si>
  <si>
    <t xml:space="preserve">creator731@mail.example</t>
  </si>
  <si>
    <t xml:space="preserve">Creator 732</t>
  </si>
  <si>
    <t xml:space="preserve">creator732@mail.example</t>
  </si>
  <si>
    <t xml:space="preserve">creator733@mail.example</t>
  </si>
  <si>
    <t xml:space="preserve">creator734@mail.example</t>
  </si>
  <si>
    <t xml:space="preserve">creator735@mail.example</t>
  </si>
  <si>
    <t xml:space="preserve">creator739@mail.example</t>
  </si>
  <si>
    <t xml:space="preserve">creator741@mail.example</t>
  </si>
  <si>
    <t xml:space="preserve">creator745@mail.example</t>
  </si>
  <si>
    <t xml:space="preserve">creator746@mail.example</t>
  </si>
  <si>
    <t xml:space="preserve">Creator 747</t>
  </si>
  <si>
    <t xml:space="preserve">creator747@mail.example</t>
  </si>
  <si>
    <t xml:space="preserve">creator748@mail.example</t>
  </si>
  <si>
    <t xml:space="preserve">creator750@mail.example</t>
  </si>
  <si>
    <t xml:space="preserve">creator751@mail.example</t>
  </si>
  <si>
    <t xml:space="preserve">creator752@mail.example</t>
  </si>
  <si>
    <t xml:space="preserve">creator753@mail.example</t>
  </si>
  <si>
    <t xml:space="preserve">creator754@mail.example</t>
  </si>
  <si>
    <t xml:space="preserve">creator755@mail.example</t>
  </si>
  <si>
    <t xml:space="preserve">creator757@mail.example</t>
  </si>
  <si>
    <t xml:space="preserve">creator759@mail.example</t>
  </si>
  <si>
    <t xml:space="preserve">creator760@mail.example</t>
  </si>
  <si>
    <t xml:space="preserve">creator761@mail.example</t>
  </si>
  <si>
    <t xml:space="preserve">creator764@mail.example</t>
  </si>
  <si>
    <t xml:space="preserve">creator766@mail.example</t>
  </si>
  <si>
    <t xml:space="preserve">creator770@mail.example</t>
  </si>
  <si>
    <t xml:space="preserve">creator771@mail.example</t>
  </si>
  <si>
    <t xml:space="preserve">creator779@mail.example</t>
  </si>
  <si>
    <t xml:space="preserve">creator781@mail.example</t>
  </si>
  <si>
    <t xml:space="preserve">creator786@mail.example</t>
  </si>
  <si>
    <t xml:space="preserve">creator788@mail.example</t>
  </si>
  <si>
    <t xml:space="preserve">creator789@mail.example</t>
  </si>
  <si>
    <t xml:space="preserve">creator791@mail.example</t>
  </si>
  <si>
    <t xml:space="preserve">creator795@mail.example</t>
  </si>
  <si>
    <t xml:space="preserve">creator799@mail.example</t>
  </si>
  <si>
    <t xml:space="preserve">creator805@mail.example</t>
  </si>
  <si>
    <t xml:space="preserve">creator806@mail.example</t>
  </si>
  <si>
    <t xml:space="preserve">creator808@mail.example</t>
  </si>
  <si>
    <t xml:space="preserve">creator809@mail.example</t>
  </si>
  <si>
    <t xml:space="preserve">creator810@mail.example</t>
  </si>
  <si>
    <t xml:space="preserve">creator811@mail.example</t>
  </si>
  <si>
    <t xml:space="preserve">creator813@mail.example</t>
  </si>
  <si>
    <t xml:space="preserve">Creator 817</t>
  </si>
  <si>
    <t xml:space="preserve">creator817@mail.example</t>
  </si>
  <si>
    <t xml:space="preserve">creator819@mail.example</t>
  </si>
  <si>
    <t xml:space="preserve">creator822@mail.example</t>
  </si>
  <si>
    <t xml:space="preserve">creator823@mail.example</t>
  </si>
  <si>
    <t xml:space="preserve">creator826@mail.example</t>
  </si>
  <si>
    <t xml:space="preserve">creator827@mail.example</t>
  </si>
  <si>
    <t xml:space="preserve">creator828@mail.example</t>
  </si>
  <si>
    <t xml:space="preserve">creator829@mail.example</t>
  </si>
  <si>
    <t xml:space="preserve">creator830@mail.example</t>
  </si>
  <si>
    <t xml:space="preserve">creator831@mail.example</t>
  </si>
  <si>
    <t xml:space="preserve">creator832@mail.example</t>
  </si>
  <si>
    <t xml:space="preserve">creator834@mail.example</t>
  </si>
  <si>
    <t xml:space="preserve">creator835@mail.example</t>
  </si>
  <si>
    <t xml:space="preserve">creator836@mail.example</t>
  </si>
  <si>
    <t xml:space="preserve">creator837@mail.example</t>
  </si>
  <si>
    <t xml:space="preserve">creator839@mail.example</t>
  </si>
  <si>
    <t xml:space="preserve">creator843@mail.example</t>
  </si>
  <si>
    <t xml:space="preserve">creator844@mail.example</t>
  </si>
  <si>
    <t xml:space="preserve">creator846@mail.example</t>
  </si>
  <si>
    <t xml:space="preserve">creator847@mail.example</t>
  </si>
  <si>
    <t xml:space="preserve">creator848@mail.example</t>
  </si>
  <si>
    <t xml:space="preserve">creator851@mail.example</t>
  </si>
  <si>
    <t xml:space="preserve">creator855@mail.example</t>
  </si>
  <si>
    <t xml:space="preserve">creator856@mail.example</t>
  </si>
  <si>
    <t xml:space="preserve">creator857@mail.example</t>
  </si>
  <si>
    <t xml:space="preserve">creator858@mail.example</t>
  </si>
  <si>
    <t xml:space="preserve">creator859@mail.example</t>
  </si>
  <si>
    <t xml:space="preserve">creator860@mail.example</t>
  </si>
  <si>
    <t xml:space="preserve">creator864@mail.example</t>
  </si>
  <si>
    <t xml:space="preserve">creator865@mail.example</t>
  </si>
  <si>
    <t xml:space="preserve">Creator 869</t>
  </si>
  <si>
    <t xml:space="preserve">creator869@mail.example</t>
  </si>
  <si>
    <t xml:space="preserve">Creator 872</t>
  </si>
  <si>
    <t xml:space="preserve">creator872@mail.example</t>
  </si>
  <si>
    <t xml:space="preserve">creator873@mail.example</t>
  </si>
  <si>
    <t xml:space="preserve">creator874@mail.example</t>
  </si>
  <si>
    <t xml:space="preserve">creator875@mail.example</t>
  </si>
  <si>
    <t xml:space="preserve">creator876@mail.example</t>
  </si>
  <si>
    <t xml:space="preserve">creator878@mail.example</t>
  </si>
  <si>
    <t xml:space="preserve">creator880@mail.example</t>
  </si>
  <si>
    <t xml:space="preserve">creator881@mail.example</t>
  </si>
  <si>
    <t xml:space="preserve">creator882@mail.example</t>
  </si>
  <si>
    <t xml:space="preserve">creator883@mail.example</t>
  </si>
  <si>
    <t xml:space="preserve">creator887@mail.example</t>
  </si>
  <si>
    <t xml:space="preserve">creator889@mail.example</t>
  </si>
  <si>
    <t xml:space="preserve">creator891@mail.example</t>
  </si>
  <si>
    <t xml:space="preserve">creator895@mail.example</t>
  </si>
  <si>
    <t xml:space="preserve">creator897@mail.example</t>
  </si>
  <si>
    <t xml:space="preserve">creator899@mail.example</t>
  </si>
  <si>
    <t xml:space="preserve">creator901@mail.example</t>
  </si>
  <si>
    <t xml:space="preserve">creator902@mail.example</t>
  </si>
  <si>
    <t xml:space="preserve">creator 909</t>
  </si>
  <si>
    <t xml:space="preserve">creator911@mail.example</t>
  </si>
  <si>
    <t xml:space="preserve">creator914@mail.example</t>
  </si>
  <si>
    <t xml:space="preserve">Creator 915</t>
  </si>
  <si>
    <t xml:space="preserve">creator915@mail.example</t>
  </si>
  <si>
    <t xml:space="preserve">creator916@mail.example</t>
  </si>
  <si>
    <t xml:space="preserve">creator919@mail.example</t>
  </si>
  <si>
    <t xml:space="preserve">creator923@mail.example</t>
  </si>
  <si>
    <t xml:space="preserve">Creator 924</t>
  </si>
  <si>
    <t xml:space="preserve">creator924@mail.example</t>
  </si>
  <si>
    <t xml:space="preserve">creator926@mail.example</t>
  </si>
  <si>
    <t xml:space="preserve">creator927@mail.example</t>
  </si>
  <si>
    <t xml:space="preserve">creator928@mail.example</t>
  </si>
  <si>
    <t xml:space="preserve">creator931@mail.example</t>
  </si>
  <si>
    <t xml:space="preserve">creator934@mail.example</t>
  </si>
  <si>
    <t xml:space="preserve">creator935@mail.example</t>
  </si>
  <si>
    <t xml:space="preserve">creator939@mail.example</t>
  </si>
  <si>
    <t xml:space="preserve">Creator 940</t>
  </si>
  <si>
    <t xml:space="preserve">creator942@mail.example</t>
  </si>
  <si>
    <t xml:space="preserve">creator943@mail.example</t>
  </si>
  <si>
    <t xml:space="preserve">Creator 949</t>
  </si>
  <si>
    <t xml:space="preserve">creator949@mail.example</t>
  </si>
  <si>
    <t xml:space="preserve">creator953@mail.example</t>
  </si>
  <si>
    <t xml:space="preserve">creator955@mail.example</t>
  </si>
  <si>
    <t xml:space="preserve">creator956@mail.example</t>
  </si>
  <si>
    <t xml:space="preserve">creator959@mail.example</t>
  </si>
  <si>
    <t xml:space="preserve">creator962@mail.example</t>
  </si>
  <si>
    <t xml:space="preserve">creator966@mail.example</t>
  </si>
  <si>
    <t xml:space="preserve">creator967@mail.example</t>
  </si>
  <si>
    <t xml:space="preserve">creator969@mail.example</t>
  </si>
  <si>
    <t xml:space="preserve">creator970@mail.example</t>
  </si>
  <si>
    <t xml:space="preserve">creator971@mail.example</t>
  </si>
  <si>
    <t xml:space="preserve">creator975@mail.example</t>
  </si>
  <si>
    <t xml:space="preserve">creator977@mail.example</t>
  </si>
  <si>
    <t xml:space="preserve">Creator 978</t>
  </si>
  <si>
    <t xml:space="preserve">creator978@mail.example</t>
  </si>
  <si>
    <t xml:space="preserve">creator979@mail.example</t>
  </si>
  <si>
    <t xml:space="preserve">creator983@mail.example</t>
  </si>
  <si>
    <t xml:space="preserve">creator985@mail.example</t>
  </si>
  <si>
    <t xml:space="preserve">Creator 986</t>
  </si>
  <si>
    <t xml:space="preserve">creator987@mail.example</t>
  </si>
  <si>
    <t xml:space="preserve">creator990@mail.example</t>
  </si>
  <si>
    <t xml:space="preserve">creator991@mail.example</t>
  </si>
  <si>
    <t xml:space="preserve">creator992@mail.example</t>
  </si>
  <si>
    <t xml:space="preserve">creator994@mail.example</t>
  </si>
  <si>
    <t xml:space="preserve">creator995@mail.example</t>
  </si>
  <si>
    <t xml:space="preserve">creator998@mail.example</t>
  </si>
  <si>
    <t xml:space="preserve">Creator 999</t>
  </si>
  <si>
    <t xml:space="preserve">creator999@mail.example</t>
  </si>
  <si>
    <t xml:space="preserve">creator1003@mail.example</t>
  </si>
  <si>
    <t xml:space="preserve">Creator 1004</t>
  </si>
  <si>
    <t xml:space="preserve">creator1004@mail.example</t>
  </si>
  <si>
    <t xml:space="preserve">creator 1005</t>
  </si>
  <si>
    <t xml:space="preserve">creator1005@mail.example</t>
  </si>
  <si>
    <t xml:space="preserve">creator1006@mail.example</t>
  </si>
  <si>
    <t xml:space="preserve">creator1008@mail.example</t>
  </si>
  <si>
    <t xml:space="preserve">Creator 1009</t>
  </si>
  <si>
    <t xml:space="preserve">creator1009@mail.example</t>
  </si>
  <si>
    <t xml:space="preserve">creator1011@mail.example</t>
  </si>
  <si>
    <t xml:space="preserve">creator1013@mail.example</t>
  </si>
  <si>
    <t xml:space="preserve">creator1014@mail.example</t>
  </si>
  <si>
    <t xml:space="preserve">creator1016@mail.example</t>
  </si>
  <si>
    <t xml:space="preserve">creator1017@mail.example</t>
  </si>
  <si>
    <t xml:space="preserve">creator1023@mail.example</t>
  </si>
  <si>
    <t xml:space="preserve">creator1025@mail.example</t>
  </si>
  <si>
    <t xml:space="preserve">creator1029@mail.example</t>
  </si>
  <si>
    <t xml:space="preserve">creator1030@mail.example</t>
  </si>
  <si>
    <t xml:space="preserve">creator1031@mail.example</t>
  </si>
  <si>
    <t xml:space="preserve">creator1035@mail.example</t>
  </si>
  <si>
    <t xml:space="preserve">creator1037@mail.example</t>
  </si>
  <si>
    <t xml:space="preserve">creator1039@mail.example</t>
  </si>
  <si>
    <t xml:space="preserve">creator1045@mail.example</t>
  </si>
  <si>
    <t xml:space="preserve">creator1046@mail.example</t>
  </si>
  <si>
    <t xml:space="preserve">creator1047@mail.example</t>
  </si>
  <si>
    <t xml:space="preserve">creator1049@mail.example</t>
  </si>
  <si>
    <t xml:space="preserve">creator1050@mail.example</t>
  </si>
  <si>
    <t xml:space="preserve">creator1051@mail.example</t>
  </si>
  <si>
    <t xml:space="preserve">creator1053@mail.example</t>
  </si>
  <si>
    <t xml:space="preserve">creator1054@mail.example</t>
  </si>
  <si>
    <t xml:space="preserve">creator1055@mail.example</t>
  </si>
  <si>
    <t xml:space="preserve">creator1056@mail.example</t>
  </si>
  <si>
    <t xml:space="preserve">Creator 1057</t>
  </si>
  <si>
    <t xml:space="preserve">creator1057@mail.example</t>
  </si>
  <si>
    <t xml:space="preserve">creator1059@mail.example</t>
  </si>
  <si>
    <t xml:space="preserve">creator1061@mail.example</t>
  </si>
  <si>
    <t xml:space="preserve">creator1064@mail.example</t>
  </si>
  <si>
    <t xml:space="preserve">creator1065@mail.example</t>
  </si>
  <si>
    <t xml:space="preserve">creator1073@mail.example</t>
  </si>
  <si>
    <t xml:space="preserve">creator1077@mail.example</t>
  </si>
  <si>
    <t xml:space="preserve">creator1078@mail.example</t>
  </si>
  <si>
    <t xml:space="preserve">Creator 1079</t>
  </si>
  <si>
    <t xml:space="preserve">creator1079@mail.example</t>
  </si>
  <si>
    <t xml:space="preserve">creator1081@mail.example</t>
  </si>
  <si>
    <t xml:space="preserve">creator1084@mail.example</t>
  </si>
  <si>
    <t xml:space="preserve">creator1085@mail.example</t>
  </si>
  <si>
    <t xml:space="preserve">creator1088@mail.example</t>
  </si>
  <si>
    <t xml:space="preserve">creator1091@mail.example</t>
  </si>
  <si>
    <t xml:space="preserve">creator1092@mail.example</t>
  </si>
  <si>
    <t xml:space="preserve">creator1093@mail.example</t>
  </si>
  <si>
    <t xml:space="preserve">creator1096@mail.example</t>
  </si>
  <si>
    <t xml:space="preserve">Creator 1100</t>
  </si>
  <si>
    <t xml:space="preserve">creator1100@mail.example</t>
  </si>
  <si>
    <t xml:space="preserve">creator1101@mail.example</t>
  </si>
  <si>
    <t xml:space="preserve">creator1102@mail.example</t>
  </si>
  <si>
    <t xml:space="preserve">creator1103@mail.example</t>
  </si>
  <si>
    <t xml:space="preserve">creator1105@mail.example</t>
  </si>
  <si>
    <t xml:space="preserve">creator1106@mail.example</t>
  </si>
  <si>
    <t xml:space="preserve">creator1109@mail.example</t>
  </si>
  <si>
    <t xml:space="preserve">Creator 1110</t>
  </si>
  <si>
    <t xml:space="preserve">creator1110@mail.example</t>
  </si>
  <si>
    <t xml:space="preserve">creator1111@mail.example</t>
  </si>
  <si>
    <t xml:space="preserve">creator1112@mail.example</t>
  </si>
  <si>
    <t xml:space="preserve">creator1116@mail.example</t>
  </si>
  <si>
    <t xml:space="preserve">creator1119@mail.example</t>
  </si>
  <si>
    <t xml:space="preserve">creator1121@mail.example</t>
  </si>
  <si>
    <t xml:space="preserve">creator1127@mail.example</t>
  </si>
  <si>
    <t xml:space="preserve">creator1129@mail.example</t>
  </si>
  <si>
    <t xml:space="preserve">Creator 1130</t>
  </si>
  <si>
    <t xml:space="preserve">creator1130@mail.example</t>
  </si>
  <si>
    <t xml:space="preserve">creator1132@mail.example</t>
  </si>
  <si>
    <t xml:space="preserve">creator1133@mail.example</t>
  </si>
  <si>
    <t xml:space="preserve">creator1134@mail.example</t>
  </si>
  <si>
    <t xml:space="preserve">creator1136@mail.example</t>
  </si>
  <si>
    <t xml:space="preserve">creator1138@mail.example</t>
  </si>
  <si>
    <t xml:space="preserve">Creator 1139</t>
  </si>
  <si>
    <t xml:space="preserve">creator1139@mail.example</t>
  </si>
  <si>
    <t xml:space="preserve">creator1143@mail.example</t>
  </si>
  <si>
    <t xml:space="preserve">creator1144@mail.example</t>
  </si>
  <si>
    <t xml:space="preserve">creator1145@mail.example</t>
  </si>
  <si>
    <t xml:space="preserve">creator1146@mail.example</t>
  </si>
  <si>
    <t xml:space="preserve">creator1147@mail.example</t>
  </si>
  <si>
    <t xml:space="preserve">creator1148@mail.example</t>
  </si>
  <si>
    <t xml:space="preserve">Creator 1152</t>
  </si>
  <si>
    <t xml:space="preserve">creator1152@mail.example</t>
  </si>
  <si>
    <t xml:space="preserve">creator1156@mail.example</t>
  </si>
  <si>
    <t xml:space="preserve">creator1160@mail.example</t>
  </si>
  <si>
    <t xml:space="preserve">creator1161@mail.example</t>
  </si>
  <si>
    <t xml:space="preserve">creator1165@mail.example</t>
  </si>
  <si>
    <t xml:space="preserve">creator1168@mail.example</t>
  </si>
  <si>
    <t xml:space="preserve">creator1174@mail.example</t>
  </si>
  <si>
    <t xml:space="preserve">creator1175@mail.example</t>
  </si>
  <si>
    <t xml:space="preserve">creator1178@mail.example</t>
  </si>
  <si>
    <t xml:space="preserve">creator1179@mail.example</t>
  </si>
  <si>
    <t xml:space="preserve">creator1181@mail.example</t>
  </si>
  <si>
    <t xml:space="preserve">creator1184@mail.example</t>
  </si>
  <si>
    <t xml:space="preserve">creator1187@mail.example</t>
  </si>
  <si>
    <t xml:space="preserve">creator1189@mail.example</t>
  </si>
  <si>
    <t xml:space="preserve">creator1190@mail.example</t>
  </si>
  <si>
    <t xml:space="preserve">creator1191@mail.example</t>
  </si>
  <si>
    <t xml:space="preserve">creator1195@mail.example</t>
  </si>
  <si>
    <t xml:space="preserve">creator1199@mail.example</t>
  </si>
  <si>
    <t xml:space="preserve">creator1200@mail.example</t>
  </si>
  <si>
    <t xml:space="preserve">creator1201@mail.example</t>
  </si>
  <si>
    <t xml:space="preserve">creator1204@mail.example</t>
  </si>
  <si>
    <t xml:space="preserve">Creator 1205</t>
  </si>
  <si>
    <t xml:space="preserve">creator1205@mail.example</t>
  </si>
  <si>
    <t xml:space="preserve">creator1207@mail.example</t>
  </si>
  <si>
    <t xml:space="preserve">creator1208@mail.example</t>
  </si>
  <si>
    <t xml:space="preserve">creator1211@mail.example</t>
  </si>
  <si>
    <t xml:space="preserve">creator1213@mail.example</t>
  </si>
  <si>
    <t xml:space="preserve">creator1215@mail.example</t>
  </si>
  <si>
    <t xml:space="preserve">creator1217@mail.example</t>
  </si>
  <si>
    <t xml:space="preserve">creator1218@mail.example</t>
  </si>
  <si>
    <t xml:space="preserve">creator1222@mail.example</t>
  </si>
  <si>
    <t xml:space="preserve">creator1223@mail.example</t>
  </si>
  <si>
    <t xml:space="preserve">creator1224@mail.example</t>
  </si>
  <si>
    <t xml:space="preserve">creator1225@mail.example</t>
  </si>
  <si>
    <t xml:space="preserve">Creator 1227</t>
  </si>
  <si>
    <t xml:space="preserve">creator1227@mail.example</t>
  </si>
  <si>
    <t xml:space="preserve">creator1229@mail.example</t>
  </si>
  <si>
    <t xml:space="preserve">Creator 1231</t>
  </si>
  <si>
    <t xml:space="preserve">creator1231@mail.example</t>
  </si>
  <si>
    <t xml:space="preserve">creator1233@mail.example</t>
  </si>
  <si>
    <t xml:space="preserve">creator1235@mail.example</t>
  </si>
  <si>
    <t xml:space="preserve">creator1236@mail.example</t>
  </si>
  <si>
    <t xml:space="preserve">creator1239@mail.example</t>
  </si>
  <si>
    <t xml:space="preserve">creator1240@mail.example</t>
  </si>
  <si>
    <t xml:space="preserve">creator1241@mail.example</t>
  </si>
  <si>
    <t xml:space="preserve">creator1243@mail.example</t>
  </si>
  <si>
    <t xml:space="preserve">creator1246@mail.example</t>
  </si>
  <si>
    <t xml:space="preserve">creator1248@mail.example</t>
  </si>
  <si>
    <t xml:space="preserve">creator1249@mail.example</t>
  </si>
  <si>
    <t xml:space="preserve">creator1253@mail.example</t>
  </si>
  <si>
    <t xml:space="preserve">creator1254@mail.example</t>
  </si>
  <si>
    <t xml:space="preserve">creator1255@mail.example</t>
  </si>
  <si>
    <t xml:space="preserve">Creator 1257</t>
  </si>
  <si>
    <t xml:space="preserve">creator1257@mail.example</t>
  </si>
  <si>
    <t xml:space="preserve">creator1266@mail.example</t>
  </si>
  <si>
    <t xml:space="preserve">Creator 1268</t>
  </si>
  <si>
    <t xml:space="preserve">creator1268@mail.example</t>
  </si>
  <si>
    <t xml:space="preserve">Creator 1269</t>
  </si>
  <si>
    <t xml:space="preserve">creator1269@mail.example</t>
  </si>
  <si>
    <t xml:space="preserve">creator1270@mail.example</t>
  </si>
  <si>
    <t xml:space="preserve">creator1274@mail.example</t>
  </si>
  <si>
    <t xml:space="preserve">creator1276@mail.example</t>
  </si>
  <si>
    <t xml:space="preserve">creator1280@mail.example</t>
  </si>
  <si>
    <t xml:space="preserve">creator1283@mail.example</t>
  </si>
  <si>
    <t xml:space="preserve">creator1284@mail.example</t>
  </si>
  <si>
    <t xml:space="preserve">Creator 1285</t>
  </si>
  <si>
    <t xml:space="preserve">creator1287@mail.example</t>
  </si>
  <si>
    <t xml:space="preserve">creator1290@mail.example</t>
  </si>
  <si>
    <t xml:space="preserve">creator1291@mail.example</t>
  </si>
  <si>
    <t xml:space="preserve">creator1292@mail.example</t>
  </si>
  <si>
    <t xml:space="preserve">creator1295@mail.example</t>
  </si>
  <si>
    <t xml:space="preserve">creator1296@mail.example</t>
  </si>
  <si>
    <t xml:space="preserve">creator1297@mail.example</t>
  </si>
  <si>
    <t xml:space="preserve">creator1298@mail.example</t>
  </si>
  <si>
    <t xml:space="preserve">creator1300@mail.example</t>
  </si>
  <si>
    <t xml:space="preserve">creator1303@mail.example</t>
  </si>
  <si>
    <t xml:space="preserve">creator1304@mail.example</t>
  </si>
  <si>
    <t xml:space="preserve">Creator 1305</t>
  </si>
  <si>
    <t xml:space="preserve">creator1307@mail.example</t>
  </si>
  <si>
    <t xml:space="preserve">creator1309@mail.example</t>
  </si>
  <si>
    <t xml:space="preserve">creator1312@mail.example</t>
  </si>
  <si>
    <t xml:space="preserve">creator1314@mail.example</t>
  </si>
  <si>
    <t xml:space="preserve">creator1318@mail.example</t>
  </si>
  <si>
    <t xml:space="preserve">creator1321@mail.example</t>
  </si>
  <si>
    <t xml:space="preserve">creator1323@mail.example</t>
  </si>
  <si>
    <t xml:space="preserve">creator1324@mail.example</t>
  </si>
  <si>
    <t xml:space="preserve">creator1325@mail.example</t>
  </si>
  <si>
    <t xml:space="preserve">creator1327@mail.example</t>
  </si>
  <si>
    <t xml:space="preserve">creator1329@mail.example</t>
  </si>
  <si>
    <t xml:space="preserve">creator1334@mail.example</t>
  </si>
  <si>
    <t xml:space="preserve">creator1337@mail.example</t>
  </si>
  <si>
    <t xml:space="preserve">creator1341@mail.example</t>
  </si>
  <si>
    <t xml:space="preserve">creator1342@mail.example</t>
  </si>
  <si>
    <t xml:space="preserve">creator1343@mail.example</t>
  </si>
  <si>
    <t xml:space="preserve">creator1345@mail.example</t>
  </si>
  <si>
    <t xml:space="preserve">Creator 1348</t>
  </si>
  <si>
    <t xml:space="preserve">creator1348@mail.example</t>
  </si>
  <si>
    <t xml:space="preserve">creator1349@mail.example</t>
  </si>
  <si>
    <t xml:space="preserve">creator1350@mail.example</t>
  </si>
  <si>
    <t xml:space="preserve">creator1352@mail.example</t>
  </si>
  <si>
    <t xml:space="preserve">creator1354@mail.example</t>
  </si>
  <si>
    <t xml:space="preserve">creator1355@mail.example</t>
  </si>
  <si>
    <t xml:space="preserve">creator1356@mail.example</t>
  </si>
  <si>
    <t xml:space="preserve">creator1361@mail.example</t>
  </si>
  <si>
    <t xml:space="preserve">creator1362@mail.example</t>
  </si>
  <si>
    <t xml:space="preserve">creator1365@mail.example</t>
  </si>
  <si>
    <t xml:space="preserve">Creator 1367</t>
  </si>
  <si>
    <t xml:space="preserve">creator1367@mail.example</t>
  </si>
  <si>
    <t xml:space="preserve">creator1371@mail.example</t>
  </si>
  <si>
    <t xml:space="preserve">creator1373@mail.example</t>
  </si>
  <si>
    <t xml:space="preserve">creator1374@mail.example</t>
  </si>
  <si>
    <t xml:space="preserve">creator1376@mail.example</t>
  </si>
  <si>
    <t xml:space="preserve">Creator 1381</t>
  </si>
  <si>
    <t xml:space="preserve">creator1381@mail.example</t>
  </si>
  <si>
    <t xml:space="preserve">creator1383@mail.example</t>
  </si>
  <si>
    <t xml:space="preserve">creator1384@mail.example</t>
  </si>
  <si>
    <t xml:space="preserve">creator1387@mail.example</t>
  </si>
  <si>
    <t xml:space="preserve">creator1388@mail.example</t>
  </si>
  <si>
    <t xml:space="preserve">creator1393@mail.example</t>
  </si>
  <si>
    <t xml:space="preserve">creator1394@mail.example</t>
  </si>
  <si>
    <t xml:space="preserve">creator1395@mail.example</t>
  </si>
  <si>
    <t xml:space="preserve">creator1397@mail.example</t>
  </si>
  <si>
    <t xml:space="preserve">creator1398@mail.example</t>
  </si>
  <si>
    <t xml:space="preserve">creator1399@mail.example</t>
  </si>
  <si>
    <t xml:space="preserve">creator1402@mail.example</t>
  </si>
  <si>
    <t xml:space="preserve">creator1406@mail.example</t>
  </si>
  <si>
    <t xml:space="preserve">creator1412@mail.example</t>
  </si>
  <si>
    <t xml:space="preserve">creator1415@mail.example</t>
  </si>
  <si>
    <t xml:space="preserve">creator1419@mail.example</t>
  </si>
  <si>
    <t xml:space="preserve">creator1424@mail.example</t>
  </si>
  <si>
    <t xml:space="preserve">creator1427@mail.example</t>
  </si>
  <si>
    <t xml:space="preserve">Creator 1429</t>
  </si>
  <si>
    <t xml:space="preserve">creator1429@mail.example</t>
  </si>
  <si>
    <t xml:space="preserve">creator1432@mail.example</t>
  </si>
  <si>
    <t xml:space="preserve">creator1436@mail.example</t>
  </si>
  <si>
    <t xml:space="preserve">creator1437@mail.example</t>
  </si>
  <si>
    <t xml:space="preserve">creator1438@mail.example</t>
  </si>
  <si>
    <t xml:space="preserve">creator1442@mail.example</t>
  </si>
  <si>
    <t xml:space="preserve">Creator 1443</t>
  </si>
  <si>
    <t xml:space="preserve">creator1443@mail.example</t>
  </si>
  <si>
    <t xml:space="preserve">creator1447@mail.example</t>
  </si>
  <si>
    <t xml:space="preserve">creator1448@mail.example</t>
  </si>
  <si>
    <t xml:space="preserve">creator1449@mail.example</t>
  </si>
  <si>
    <t xml:space="preserve">Creator 1452</t>
  </si>
  <si>
    <t xml:space="preserve">creator1452@mail.example</t>
  </si>
  <si>
    <t xml:space="preserve">creator1454@mail.example</t>
  </si>
  <si>
    <t xml:space="preserve">creator1455@mail.example</t>
  </si>
  <si>
    <t xml:space="preserve">creator1458@mail.example</t>
  </si>
  <si>
    <t xml:space="preserve">creator1461@mail.example</t>
  </si>
  <si>
    <t xml:space="preserve">creator1462@mail.example</t>
  </si>
  <si>
    <t xml:space="preserve">creator1463@mail.example</t>
  </si>
  <si>
    <t xml:space="preserve">creator1469@mail.example</t>
  </si>
  <si>
    <t xml:space="preserve">creator1470@mail.example</t>
  </si>
  <si>
    <t xml:space="preserve">creator1472@mail.example</t>
  </si>
  <si>
    <t xml:space="preserve">creator1477@mail.example</t>
  </si>
  <si>
    <t xml:space="preserve">creator1478@mail.example</t>
  </si>
  <si>
    <t xml:space="preserve">creator1479@mail.example</t>
  </si>
  <si>
    <t xml:space="preserve">creator1481@mail.example</t>
  </si>
  <si>
    <t xml:space="preserve">creator1482@mail.example</t>
  </si>
  <si>
    <t xml:space="preserve">creator1483@mail.example</t>
  </si>
  <si>
    <t xml:space="preserve">Creator 1484</t>
  </si>
  <si>
    <t xml:space="preserve">creator1484@mail.example</t>
  </si>
  <si>
    <t xml:space="preserve">creator1485@mail.example</t>
  </si>
  <si>
    <t xml:space="preserve">creator1486@mail.example</t>
  </si>
  <si>
    <t xml:space="preserve">creator1489@mail.example</t>
  </si>
  <si>
    <t xml:space="preserve">creator1492@mail.example</t>
  </si>
  <si>
    <t xml:space="preserve">creator1495@mail.example</t>
  </si>
  <si>
    <t xml:space="preserve">The three metrics and how their caveats are handled</t>
  </si>
  <si>
    <t xml:space="preserve">Theme</t>
  </si>
  <si>
    <t xml:space="preserve">Metric</t>
  </si>
  <si>
    <t xml:space="preserve">Formula</t>
  </si>
  <si>
    <t xml:space="preserve">Compared within</t>
  </si>
  <si>
    <t xml:space="preserve">Plausible range</t>
  </si>
  <si>
    <t xml:space="preserve">Caveat and how it is handled</t>
  </si>
  <si>
    <t xml:space="preserve">Attention</t>
  </si>
  <si>
    <t xml:space="preserve">Creators who drive awareness and visibility</t>
  </si>
  <si>
    <t xml:space="preserve">views_90d / follower_count</t>
  </si>
  <si>
    <t xml:space="preserve">platform</t>
  </si>
  <si>
    <t xml:space="preserve">0 to 100</t>
  </si>
  <si>
    <t xml:space="preserve">Favours accounts that publish video. Each channel is compared only with others on the same platform (TikTok views run far higher than Instagram), so an IG account is judged against IG.</t>
  </si>
  <si>
    <t xml:space="preserve">Affiliation</t>
  </si>
  <si>
    <t xml:space="preserve">Creators who establish credibility and in-the-know appeal</t>
  </si>
  <si>
    <t xml:space="preserve">net_new_followers_90d / (follower_count - net_new_followers_90d)</t>
  </si>
  <si>
    <t xml:space="preserve">platform + size band</t>
  </si>
  <si>
    <t xml:space="preserve">-0.9 to 20</t>
  </si>
  <si>
    <t xml:space="preserve">Favours small accounts gaining traction. Compared within platform AND follower-size band (nano 0+, micro 10,000+, mid 100,000+, macro 1,000,000+); bands with fewer than 8 peers fall back to the whole platform.</t>
  </si>
  <si>
    <t xml:space="preserve">Action</t>
  </si>
  <si>
    <t xml:space="preserve">Creators who influence community participation and behavior</t>
  </si>
  <si>
    <t xml:space="preserve">(comments_90d + shares_90d + saves_90d) / (likes_90d + comments_90d + shares_90d + saves_90d)
youtube: (comments_90d + shares_90d) / (likes_90d + comments_90d + shares_90d)</t>
  </si>
  <si>
    <t xml:space="preserve">0 to 1</t>
  </si>
  <si>
    <t xml:space="preserve">Hidden likes would inflate the rate, so it is not computed for those accounts: marked n/a, not counted as missing, and the creator's Hub score uses their other channels. YouTube doesn't publish saves, so its formula leaves saves out.</t>
  </si>
  <si>
    <t xml:space="preserve">• All inputs are 90-day totals from the vendor record. A metric's inputs always come from the same vendor record; the metric itself is then filled tier by tier.</t>
  </si>
  <si>
    <t xml:space="preserve">• Values outside the plausible range are treated as bad vendor data and rejected (counted in Vendor QA → validity).</t>
  </si>
  <si>
    <t xml:space="preserve">• Percentiles are relative to this run's requested channels, so scores compare creators within a request, not against an external benchmark.</t>
  </si>
  <si>
    <t xml:space="preserve">Vendor QA scorecard — measured on requested channels only</t>
  </si>
  <si>
    <t xml:space="preserve">This month's score = SUMPRODUCT(weights, metrics). Blended = (1 − weight) × this month + weight × 3-month vendor reliability. Tier uses the blended score. Blue cells are inputs from config.yaml; changing them re-ranks this sheet only. Rerun the pipeline to refill the data.</t>
  </si>
  <si>
    <t xml:space="preserve">Weights →</t>
  </si>
  <si>
    <t xml:space="preserve">← must be 100%</t>
  </si>
  <si>
    <t xml:space="preserve">Quality floor →</t>
  </si>
  <si>
    <t xml:space="preserve">History weight →</t>
  </si>
  <si>
    <t xml:space="preserve">3-month reliability = 70% × average QA score + 30% × review accuracy over the last 3 months (QA average alone if no disputes were reviewed)</t>
  </si>
  <si>
    <t xml:space="preserve">Vendor</t>
  </si>
  <si>
    <t xml:space="preserve">Usable coverage</t>
  </si>
  <si>
    <t xml:space="preserve">Completeness</t>
  </si>
  <si>
    <t xml:space="preserve">Freshness</t>
  </si>
  <si>
    <t xml:space="preserve">Validity</t>
  </si>
  <si>
    <t xml:space="preserve">Consistency</t>
  </si>
  <si>
    <t xml:space="preserve">This month's score</t>
  </si>
  <si>
    <t xml:space="preserve">3-month reliability</t>
  </si>
  <si>
    <t xml:space="preserve">Months in window</t>
  </si>
  <si>
    <t xml:space="preserve">Blended score</t>
  </si>
  <si>
    <t xml:space="preserve">Tier</t>
  </si>
  <si>
    <t xml:space="preserve">QA average (3 mo)</t>
  </si>
  <si>
    <t xml:space="preserve">Review accuracy (3 mo)</t>
  </si>
  <si>
    <t xml:space="preserve">Disputes reviewed (3 mo)</t>
  </si>
  <si>
    <t xml:space="preserve">Vendor rows</t>
  </si>
  <si>
    <t xml:space="preserve">Rows not needed</t>
  </si>
  <si>
    <t xml:space="preserve">Duplicate rate</t>
  </si>
  <si>
    <t xml:space="preserve">Implausible values</t>
  </si>
  <si>
    <t xml:space="preserve">Format fixes</t>
  </si>
  <si>
    <t xml:space="preserve">The Pulse computable</t>
  </si>
  <si>
    <t xml:space="preserve">The Lens computable</t>
  </si>
  <si>
    <t xml:space="preserve">The Hub computable</t>
  </si>
  <si>
    <t xml:space="preserve">Fresh coverage by channel (share of requested channels of that type)</t>
  </si>
  <si>
    <t xml:space="preserve">Vendor quality by month (the memory behind the history weight)</t>
  </si>
  <si>
    <t xml:space="preserve">This month's score per vendor in each month processed so far, and the tier it got. Past months feed the blended score at the history weight on the Vendor QA tab.</t>
  </si>
  <si>
    <t xml:space="preserve">Month</t>
  </si>
  <si>
    <t xml:space="preserve">vendor_a score</t>
  </si>
  <si>
    <t xml:space="preserve">vendor_b score</t>
  </si>
  <si>
    <t xml:space="preserve">vendor_c score</t>
  </si>
  <si>
    <t xml:space="preserve">vendor_a tier</t>
  </si>
  <si>
    <t xml:space="preserve">vendor_b tier</t>
  </si>
  <si>
    <t xml:space="preserve">vendor_c tier</t>
  </si>
  <si>
    <t xml:space="preserve">2026-07</t>
  </si>
  <si>
    <t xml:space="preserve">2026-08</t>
  </si>
  <si>
    <t xml:space="preserve">2026-09</t>
  </si>
  <si>
    <t xml:space="preserve">What the pipeline has learned about each vendor's files</t>
  </si>
  <si>
    <t xml:space="preserve">Months seen</t>
  </si>
  <si>
    <t xml:space="preserve">Platform spellings</t>
  </si>
  <si>
    <t xml:space="preserve">File-name words</t>
  </si>
  <si>
    <t xml:space="preserve">Column names learned</t>
  </si>
  <si>
    <t xml:space="preserve">2026-07, 2026-08, 2026-09</t>
  </si>
  <si>
    <t xml:space="preserve">Instagram, TikTok, YouTube</t>
  </si>
  <si>
    <t xml:space="preserve">creator, drop, vendora</t>
  </si>
  <si>
    <t xml:space="preserve">—</t>
  </si>
  <si>
    <t xml:space="preserve">IG, TT, YT</t>
  </si>
  <si>
    <t xml:space="preserve">drop, social, vendorb</t>
  </si>
  <si>
    <t xml:space="preserve">2026-09: views_90d ← 'video_plays_90d'; 2026-09: comments_90d ← 'comments_total'</t>
  </si>
  <si>
    <t xml:space="preserve">INSTAGRAM, Instagram, TIKTOK, Tiktok, YOUTUBE, Youtube, instagram, tiktok, youtube</t>
  </si>
  <si>
    <t xml:space="preserve">book, drop, vendorc</t>
  </si>
  <si>
    <t xml:space="preserve">Creator scores by month (requested creators this month)</t>
  </si>
  <si>
    <t xml:space="preserve">Channel = that channel's 0–100 score; 'all' = the creator's average over requested channels. Blank = not requested or not filled that month.</t>
  </si>
  <si>
    <t xml:space="preserve">all</t>
  </si>
  <si>
    <t xml:space="preserve">Waterfall progression</t>
  </si>
  <si>
    <t xml:space="preserve">Fill rates on the requested scope after each tier (n/a counts as filled)</t>
  </si>
  <si>
    <t xml:space="preserve">Measure</t>
  </si>
  <si>
    <t xml:space="preserve">After T1 (vendor_a)</t>
  </si>
  <si>
    <t xml:space="preserve">After T2 (vendor_b)</t>
  </si>
  <si>
    <t xml:space="preserve">After T3 (vendor_c)</t>
  </si>
  <si>
    <t xml:space="preserve">Cells filled by T1</t>
  </si>
  <si>
    <t xml:space="preserve">Cells filled by T2</t>
  </si>
  <si>
    <t xml:space="preserve">Cells filled by T3</t>
  </si>
  <si>
    <t xml:space="preserve">handle *</t>
  </si>
  <si>
    <t xml:space="preserve">follower_count *</t>
  </si>
  <si>
    <t xml:space="preserve">The Pulse (90d Reach Rate) *</t>
  </si>
  <si>
    <t xml:space="preserve">The Lens (90d Growth Rate) *</t>
  </si>
  <si>
    <t xml:space="preserve">The Hub (90d Meaningful Engagement Rate) *</t>
  </si>
  <si>
    <t xml:space="preserve">Total cells filled</t>
  </si>
  <si>
    <t xml:space="preserve">Requested channels complete, by channel</t>
  </si>
  <si>
    <t xml:space="preserve">instagram (628 requested)</t>
  </si>
  <si>
    <t xml:space="preserve">tiktok (632 requested)</t>
  </si>
  <si>
    <t xml:space="preserve">youtube (624 requested)</t>
  </si>
  <si>
    <t xml:space="preserve">All requested channels complete</t>
  </si>
  <si>
    <t xml:space="preserve">Creators complete (details + every requested channel)</t>
  </si>
  <si>
    <t xml:space="preserve">Target: every required field and metric ≥ 95%</t>
  </si>
  <si>
    <t xml:space="preserve">* required</t>
  </si>
  <si>
    <t xml:space="preserve">Still missing (required items only)</t>
  </si>
  <si>
    <t xml:space="preserve">Reasons name the vendor: stale data, a missing input for a metric, or an implausible value that was rejected.</t>
  </si>
  <si>
    <t xml:space="preserve">Level</t>
  </si>
  <si>
    <t xml:space="preserve">Missing</t>
  </si>
  <si>
    <t xml:space="preserve">Reason</t>
  </si>
  <si>
    <t xml:space="preserve">creator</t>
  </si>
  <si>
    <t xml:space="preserve">display_name, country</t>
  </si>
  <si>
    <t xml:space="preserve">Only stale data (vendor_a)</t>
  </si>
  <si>
    <t xml:space="preserve">country</t>
  </si>
  <si>
    <t xml:space="preserve">Field empty or invalid in fresh data</t>
  </si>
  <si>
    <t xml:space="preserve">display_name</t>
  </si>
  <si>
    <t xml:space="preserve">Only stale data (vendor_a, vendor_b)</t>
  </si>
  <si>
    <t xml:space="preserve">Only stale data (vendor_a, vendor_b, vendor_c)</t>
  </si>
  <si>
    <t xml:space="preserve">Only stale data (vendor_b, vendor_c)</t>
  </si>
  <si>
    <t xml:space="preserve">Only stale data (vendor_b)</t>
  </si>
  <si>
    <t xml:space="preserve">Only stale data (vendor_c)</t>
  </si>
  <si>
    <t xml:space="preserve">No vendor has this creator</t>
  </si>
  <si>
    <t xml:space="preserve">channel</t>
  </si>
  <si>
    <t xml:space="preserve">handle, follower_count, 90d Reach Rate, 90d Growth Rate, 90d Meaningful Engagement Rate</t>
  </si>
  <si>
    <t xml:space="preserve">The Hub: missing saves_90d, shares_90d (vendor_c)</t>
  </si>
  <si>
    <t xml:space="preserve">No vendor has this channel</t>
  </si>
  <si>
    <t xml:space="preserve">The Hub: missing comments_90d, saves_90d (vendor_c); missing shares_90d (vendor_b)</t>
  </si>
  <si>
    <t xml:space="preserve">90d Reach Rate, 90d Meaningful Engagement Rate</t>
  </si>
  <si>
    <t xml:space="preserve">The Pulse: implausible value (vendor_c) | The Hub: missing likes_90d, saves_90d (vendor_c)</t>
  </si>
  <si>
    <t xml:space="preserve">The Lens: imprecise (rounded counts) (vendor_b)</t>
  </si>
  <si>
    <t xml:space="preserve">follower_count, 90d Reach Rate, 90d Growth Rate, 90d Meaningful Engagement Rate</t>
  </si>
  <si>
    <t xml:space="preserve">follower_count empty or invalid | The Pulse: missing follower_count, views_90d (vendor_c) | The Lens: missing follower_count (vendor_c) | The Hub: missing saves_90d (vendor_c)</t>
  </si>
  <si>
    <t xml:space="preserve">handle, 90d Growth Rate, 90d Meaningful Engagement Rate</t>
  </si>
  <si>
    <t xml:space="preserve">handle empty or invalid | The Lens: missing net_new_followers_90d (vendor_c) | The Hub: missing saves_90d (vendor_c)</t>
  </si>
  <si>
    <t xml:space="preserve">Only stale data (vendor_a, vendor_c)</t>
  </si>
  <si>
    <t xml:space="preserve">follower_count empty or invalid | The Pulse: missing follower_count (vendor_b) | The Lens: missing follower_count, net_new_followers_90d (vendor_b) | The Hub: missing saves_90d (vendor_b)</t>
  </si>
  <si>
    <t xml:space="preserve">The Pulse: missing views_90d (vendor_b) | The Hub: missing likes_90d (vendor_b)</t>
  </si>
  <si>
    <t xml:space="preserve">The Pulse: missing views_90d (vendor_a)</t>
  </si>
  <si>
    <t xml:space="preserve">handle, follower_count, 90d Reach Rate, 90d Growth Rate</t>
  </si>
  <si>
    <t xml:space="preserve">handle, follower_count empty or invalid | The Pulse: missing follower_count (vendor_c) | The Lens: missing follower_count (vendor_c)</t>
  </si>
  <si>
    <t xml:space="preserve">follower_count empty or invalid | The Pulse: missing follower_count (vendor_c) | The Lens: missing follower_count (vendor_c) | The Hub: missing likes_90d, saves_90d (vendor_c)</t>
  </si>
  <si>
    <t xml:space="preserve">The Hub: missing saves_90d (vendor_c)</t>
  </si>
  <si>
    <t xml:space="preserve">The Lens: missing net_new_followers_90d (vendor_c); imprecise (rounded counts) (vendor_b)</t>
  </si>
  <si>
    <t xml:space="preserve">The Hub: missing saves_90d (vendor_b)</t>
  </si>
  <si>
    <t xml:space="preserve">The Pulse: implausible value (vendor_c) | The Hub: missing saves_90d (vendor_c)</t>
  </si>
  <si>
    <t xml:space="preserve">The Hub: missing saves_90d (vendor_c); missing likes_90d (vendor_b)</t>
  </si>
  <si>
    <t xml:space="preserve">The Pulse: missing views_90d (vendor_c) | The Hub: missing likes_90d (vendor_c)</t>
  </si>
  <si>
    <t xml:space="preserve">The Hub: missing shares_90d (vendor_a)</t>
  </si>
  <si>
    <t xml:space="preserve">The Hub: missing comments_90d, saves_90d (vendor_c)</t>
  </si>
  <si>
    <t xml:space="preserve">The Hub: missing likes_90d, saves_90d (vendor_b)</t>
  </si>
  <si>
    <t xml:space="preserve">The Hub: missing comments_90d (vendor_a)</t>
  </si>
  <si>
    <t xml:space="preserve">follower_count empty or invalid | The Pulse: missing follower_count (vendor_c) | The Lens: missing follower_count, net_new_followers_90d (vendor_c) | The Hub: missing saves_90d (vendor_c)</t>
  </si>
  <si>
    <t xml:space="preserve">The Pulse: missing views_90d (vendor_a); missing follower_count (vendor_b)</t>
  </si>
  <si>
    <t xml:space="preserve">The Lens: missing net_new_followers_90d (vendor_b)</t>
  </si>
  <si>
    <t xml:space="preserve">follower_count empty or invalid | The Pulse: missing follower_count, views_90d (vendor_c) | The Lens: missing follower_count (vendor_c) | The Hub: missing saves_90d, shares_90d (vendor_c)</t>
  </si>
  <si>
    <t xml:space="preserve">The Hub: missing likes_90d, saves_90d (vendor_c)</t>
  </si>
  <si>
    <t xml:space="preserve">The Hub: missing likes_90d (vendor_b)</t>
  </si>
  <si>
    <t xml:space="preserve">follower_count, 90d Reach Rate, 90d Growth Rate</t>
  </si>
  <si>
    <t xml:space="preserve">follower_count empty or invalid | The Pulse: missing follower_count (vendor_b) | The Lens: missing follower_count, net_new_followers_90d (vendor_b)</t>
  </si>
  <si>
    <t xml:space="preserve">The Hub: missing shares_90d (vendor_c); missing comments_90d (vendor_a)</t>
  </si>
  <si>
    <t xml:space="preserve">The Pulse: missing views_90d (vendor_b)</t>
  </si>
  <si>
    <t xml:space="preserve">The Hub: missing comments_90d, likes_90d (vendor_c); missing likes_90d (vendor_a)</t>
  </si>
  <si>
    <t xml:space="preserve">The Hub: missing saves_90d (vendor_c, vendor_b)</t>
  </si>
  <si>
    <t xml:space="preserve">The Hub: missing shares_90d (vendor_b)</t>
  </si>
  <si>
    <t xml:space="preserve">The Hub: missing likes_90d (vendor_a)</t>
  </si>
  <si>
    <t xml:space="preserve">The Hub: missing comments_90d (vendor_b)</t>
  </si>
  <si>
    <t xml:space="preserve">follower_count empty or invalid | The Pulse: missing follower_count (vendor_c, vendor_b) | The Lens: missing follower_count (vendor_c); missing follower_count, net_new_followers_90d (vendor_b)</t>
  </si>
  <si>
    <t xml:space="preserve">The Lens: missing net_new_followers_90d (vendor_c); imprecise (rounded counts) (vendor_b, vendor_b)</t>
  </si>
  <si>
    <t xml:space="preserve">The Pulse: missing views_90d (vendor_c) | The Hub: missing saves_90d, shares_90d (vendor_c)</t>
  </si>
  <si>
    <t xml:space="preserve">The Hub: missing likes_90d (vendor_c)</t>
  </si>
  <si>
    <t xml:space="preserve">90d Growth Rate, 90d Meaningful Engagement Rate</t>
  </si>
  <si>
    <t xml:space="preserve">The Lens: imprecise (rounded counts) (vendor_b) | The Hub: missing comments_90d (vendor_b)</t>
  </si>
  <si>
    <t xml:space="preserve">handle, 90d Meaningful Engagement Rate</t>
  </si>
  <si>
    <t xml:space="preserve">handle empty or invalid | The Hub: missing saves_90d (vendor_b)</t>
  </si>
  <si>
    <t xml:space="preserve">handle</t>
  </si>
  <si>
    <t xml:space="preserve">handle empty or invalid</t>
  </si>
  <si>
    <t xml:space="preserve">The Lens: missing net_new_followers_90d (vendor_a)</t>
  </si>
  <si>
    <t xml:space="preserve">handle empty or invalid | The Lens: missing net_new_followers_90d (vendor_c) | The Hub: missing likes_90d, saves_90d (vendor_c)</t>
  </si>
  <si>
    <t xml:space="preserve">The Hub: missing saves_90d (vendor_c); missing shares_90d (vendor_b)</t>
  </si>
  <si>
    <t xml:space="preserve">handle, follower_count empty or invalid | The Pulse: missing follower_count (vendor_c) | The Lens: missing follower_count (vendor_c) | The Hub: missing likes_90d, saves_90d (vendor_c)</t>
  </si>
  <si>
    <t xml:space="preserve">handle, 90d Reach Rate</t>
  </si>
  <si>
    <t xml:space="preserve">handle empty or invalid | The Pulse: missing views_90d (vendor_a)</t>
  </si>
  <si>
    <t xml:space="preserve">handle, follower_count empty or invalid | The Pulse: missing follower_count (vendor_c) | The Lens: missing follower_count (vendor_c) | The Hub: missing saves_90d (vendor_c)</t>
  </si>
  <si>
    <t xml:space="preserve">follower_count empty or invalid | The Pulse: missing follower_count (vendor_c) | The Lens: missing follower_count (vendor_c) | The Hub: missing saves_90d, shares_90d (vendor_c)</t>
  </si>
  <si>
    <t xml:space="preserve">The Hub: missing saves_90d, shares_90d (vendor_c); missing likes_90d (vendor_b)</t>
  </si>
  <si>
    <t xml:space="preserve">The Hub: missing comments_90d, likes_90d, saves_90d (vendor_c); missing saves_90d (vendor_b)</t>
  </si>
  <si>
    <t xml:space="preserve">The Hub: missing shares_90d (vendor_c); missing likes_90d (vendor_a)</t>
  </si>
  <si>
    <t xml:space="preserve">The Hub: missing comments_90d, likes_90d, saves_90d (vendor_c)</t>
  </si>
  <si>
    <t xml:space="preserve">The Lens: imprecise (rounded counts) (vendor_b) | The Hub: missing saves_90d (vendor_b)</t>
  </si>
  <si>
    <t xml:space="preserve">90d Reach Rate, 90d Growth Rate, 90d Meaningful Engagement Rate</t>
  </si>
  <si>
    <t xml:space="preserve">The Pulse: implausible value (vendor_c) | The Lens: missing net_new_followers_90d (vendor_c) | The Hub: missing likes_90d, saves_90d (vendor_c)</t>
  </si>
  <si>
    <t xml:space="preserve">The Hub: missing saves_90d (vendor_a)</t>
  </si>
  <si>
    <t xml:space="preserve">The Hub: missing comments_90d, saves_90d (vendor_c); missing saves_90d (vendor_b)</t>
  </si>
  <si>
    <t xml:space="preserve">The Pulse: missing views_90d (vendor_a) | The Hub: missing likes_90d (vendor_a)</t>
  </si>
  <si>
    <t xml:space="preserve">The Hub: missing likes_90d (vendor_c); missing shares_90d (vendor_b)</t>
  </si>
  <si>
    <t xml:space="preserve">The Hub: missing saves_90d (vendor_c); missing comments_90d (vendor_b)</t>
  </si>
  <si>
    <t xml:space="preserve">The Lens: missing net_new_followers_90d (vendor_c) | The Hub: missing saves_90d, shares_90d (vendor_c)</t>
  </si>
  <si>
    <t xml:space="preserve">The Hub: missing comments_90d, saves_90d (vendor_c); missing comments_90d (vendor_b)</t>
  </si>
  <si>
    <t xml:space="preserve">The Pulse: missing views_90d (vendor_c) | The Hub: missing likes_90d, saves_90d (vendor_c)</t>
  </si>
  <si>
    <t xml:space="preserve">handle, follower_count empty or invalid | The Pulse: missing follower_count (vendor_b) | The Lens: missing follower_count, net_new_followers_90d (vendor_b)</t>
  </si>
  <si>
    <t xml:space="preserve">The Hub: missing comments_90d (vendor_c, vendor_a)</t>
  </si>
  <si>
    <t xml:space="preserve">The Lens: missing net_new_followers_90d (vendor_c); imprecise (rounded counts) (vendor_b) | The Hub: missing saves_90d, shares_90d (vendor_c); missing shares_90d (vendor_b)</t>
  </si>
  <si>
    <t xml:space="preserve">handle empty or invalid | The Hub: missing saves_90d (vendor_c)</t>
  </si>
  <si>
    <t xml:space="preserve">The Hub: missing saves_90d, shares_90d (vendor_c); missing shares_90d (vendor_b)</t>
  </si>
  <si>
    <t xml:space="preserve">The Hub: missing likes_90d, saves_90d (vendor_c); missing shares_90d (vendor_b)</t>
  </si>
  <si>
    <t xml:space="preserve">The Pulse: missing views_90d (vendor_b) | The Hub: missing saves_90d (vendor_b)</t>
  </si>
  <si>
    <t xml:space="preserve">The Lens: missing net_new_followers_90d (vendor_b) | The Hub: missing saves_90d (vendor_b)</t>
  </si>
  <si>
    <t xml:space="preserve">follower_count empty or invalid | The Pulse: missing follower_count (vendor_c) | The Lens: missing follower_count (vendor_c) | The Hub: missing saves_90d (vendor_c)</t>
  </si>
  <si>
    <t xml:space="preserve">The Lens: missing net_new_followers_90d (vendor_c) | The Hub: missing saves_90d (vendor_c)</t>
  </si>
  <si>
    <t xml:space="preserve">The Lens: missing follower_count (vendor_c); missing net_new_followers_90d (vendor_b) | The Hub: missing saves_90d (vendor_c); missing shares_90d (vendor_b)</t>
  </si>
  <si>
    <t xml:space="preserve">The Hub: missing likes_90d (vendor_b, vendor_b)</t>
  </si>
  <si>
    <t xml:space="preserve">The Pulse: implausible value (vendor_c) | The Hub: missing saves_90d, shares_90d (vendor_c)</t>
  </si>
  <si>
    <t xml:space="preserve">follower_count empty or invalid | The Pulse: missing follower_count (vendor_a); missing views_90d (vendor_b) | The Lens: missing follower_count (vendor_a) | The Hub: missing saves_90d (vendor_a)</t>
  </si>
  <si>
    <t xml:space="preserve">The Hub: missing comments_90d (vendor_c); missing likes_90d (vendor_a)</t>
  </si>
  <si>
    <t xml:space="preserve">The Lens: imprecise (rounded counts) (vendor_b) | The Hub: missing likes_90d (vendor_b)</t>
  </si>
  <si>
    <t xml:space="preserve">follower_count empty or invalid | The Pulse: missing follower_count (vendor_a) | The Lens: missing follower_count (vendor_a)</t>
  </si>
  <si>
    <t xml:space="preserve">The Hub: missing saves_90d (vendor_c, vendor_b); missing likes_90d (vendor_a)</t>
  </si>
  <si>
    <t xml:space="preserve">handle empty or invalid | The Hub: missing comments_90d, saves_90d (vendor_c)</t>
  </si>
  <si>
    <t xml:space="preserve">The Pulse: missing views_90d (vendor_c)</t>
  </si>
  <si>
    <t xml:space="preserve">handle, follower_count empty or invalid | The Pulse: not computable | The Lens: not computable | The Hub: missing likes_90d, shares_90d (vendor_b)</t>
  </si>
  <si>
    <t xml:space="preserve">The Lens: missing net_new_followers_90d (vendor_c, vendor_c); imprecise (rounded counts) (vendor_b)</t>
  </si>
  <si>
    <t xml:space="preserve">follower_count empty or invalid | The Pulse: missing follower_count, views_90d (vendor_c) | The Lens: missing follower_count (vendor_c) | The Hub: missing likes_90d, saves_90d, shares_90d (vendor_c)</t>
  </si>
  <si>
    <t xml:space="preserve">The Hub: missing saves_90d (vendor_c, vendor_a)</t>
  </si>
  <si>
    <t xml:space="preserve">90d Reach Rate, 90d Growth Rate</t>
  </si>
  <si>
    <t xml:space="preserve">The Pulse: missing views_90d (vendor_b) | The Lens: imprecise (rounded counts) (vendor_b)</t>
  </si>
  <si>
    <t xml:space="preserve">The Pulse: missing views_90d (vendor_c) | The Hub: missing saves_90d (vendor_c)</t>
  </si>
  <si>
    <t xml:space="preserve">Excluded at review: CROSS_VENDOR_DISCREPANCY (Q00023)</t>
  </si>
  <si>
    <t xml:space="preserve">handle, 90d Reach Rate, 90d Meaningful Engagement Rate</t>
  </si>
  <si>
    <t xml:space="preserve">handle empty or invalid | The Pulse: missing views_90d (vendor_c) | The Hub: missing saves_90d (vendor_c)</t>
  </si>
  <si>
    <t xml:space="preserve">The Lens: missing net_new_followers_90d (vendor_b) | The Hub: missing comments_90d (vendor_b)</t>
  </si>
  <si>
    <t xml:space="preserve">The Lens: missing follower_count (vendor_c); missing net_new_followers_90d (vendor_b)</t>
  </si>
  <si>
    <t xml:space="preserve">follower_count empty or invalid | The Pulse: missing follower_count (vendor_b) | The Lens: missing follower_count, net_new_followers_90d (vendor_b) | The Hub: missing likes_90d (vendor_b)</t>
  </si>
  <si>
    <t xml:space="preserve">The Hub: missing likes_90d, saves_90d (vendor_c); missing likes_90d (vendor_b)</t>
  </si>
  <si>
    <t xml:space="preserve">The Lens: missing follower_count (vendor_c, vendor_c); imprecise (rounded counts) (vendor_b)</t>
  </si>
  <si>
    <t xml:space="preserve">handle, 90d Reach Rate, 90d Growth Rate</t>
  </si>
  <si>
    <t xml:space="preserve">handle empty or invalid | The Pulse: missing views_90d (vendor_c) | The Lens: missing net_new_followers_90d (vendor_c)</t>
  </si>
  <si>
    <t xml:space="preserve">The Hub: missing saves_90d (vendor_c); missing comments_90d, likes_90d (vendor_b)</t>
  </si>
  <si>
    <t xml:space="preserve">The Hub: missing likes_90d (vendor_a); missing comments_90d (vendor_b)</t>
  </si>
  <si>
    <t xml:space="preserve">The Lens: missing follower_count (vendor_c); imprecise (rounded counts) (vendor_b)</t>
  </si>
  <si>
    <t xml:space="preserve">follower_count empty or invalid | The Pulse: missing follower_count (vendor_c, vendor_c) | The Lens: missing follower_count, net_new_followers_90d (vendor_c, vendor_c) | The Hub: missing saves_90d (vendor_c, vendor_c)</t>
  </si>
  <si>
    <t xml:space="preserve">The Pulse: missing views_90d (vendor_c) | The Lens: missing net_new_followers_90d (vendor_c) | The Hub: missing saves_90d (vendor_c)</t>
  </si>
  <si>
    <t xml:space="preserve">Excluded at review: CROSS_VENDOR_DISCREPANCY (Q00026)</t>
  </si>
  <si>
    <t xml:space="preserve">handle, follower_count empty or invalid | The Pulse: missing follower_count (vendor_c, vendor_c) | The Lens: missing follower_count (vendor_c, vendor_c) | The Hub: missing saves_90d (vendor_c, vendor_c)</t>
  </si>
  <si>
    <t xml:space="preserve">follower_count empty or invalid | The Pulse: missing follower_count (vendor_c, vendor_c) | The Lens: missing follower_count (vendor_c, vendor_c) | The Hub: missing saves_90d, shares_90d (vendor_c, vendor_c)</t>
  </si>
  <si>
    <t xml:space="preserve">The Pulse: implausible value (vendor_c)</t>
  </si>
  <si>
    <t xml:space="preserve">The Pulse: missing views_90d (vendor_b) | The Hub: missing shares_90d (vendor_b)</t>
  </si>
  <si>
    <t xml:space="preserve">The Pulse: missing views_90d (vendor_b) | The Lens: missing net_new_followers_90d (vendor_b)</t>
  </si>
  <si>
    <t xml:space="preserve">The Pulse: missing views_90d (vendor_b) | The Lens: imprecise (rounded counts) (vendor_b) | The Hub: missing shares_90d (vendor_b)</t>
  </si>
  <si>
    <t xml:space="preserve">handle, follower_count empty or invalid | The Pulse: not computable | The Lens: missing net_new_followers_90d (vendor_c) | The Hub: missing saves_90d (vendor_c)</t>
  </si>
  <si>
    <t xml:space="preserve">The Lens: missing net_new_followers_90d (vendor_c, vendor_b)</t>
  </si>
  <si>
    <t xml:space="preserve">The Pulse: missing views_90d (vendor_c); missing follower_count (vendor_a)</t>
  </si>
  <si>
    <t xml:space="preserve">The Pulse: missing views_90d (vendor_c); missing follower_count (vendor_b)</t>
  </si>
  <si>
    <t xml:space="preserve">The Pulse: missing views_90d (vendor_c) | The Lens: missing net_new_followers_90d (vendor_c)</t>
  </si>
  <si>
    <t xml:space="preserve">follower_count empty or invalid | The Pulse: missing follower_count (vendor_c) | The Lens: missing follower_count (vendor_c)</t>
  </si>
  <si>
    <t xml:space="preserve">handle, 90d Growth Rate</t>
  </si>
  <si>
    <t xml:space="preserve">handle empty or invalid | The Lens: missing net_new_followers_90d (vendor_c)</t>
  </si>
  <si>
    <t xml:space="preserve">The Hub: missing comments_90d, saves_90d (vendor_b)</t>
  </si>
  <si>
    <t xml:space="preserve">The Lens: missing net_new_followers_90d (vendor_c)</t>
  </si>
  <si>
    <t xml:space="preserve">The Hub: missing comments_90d, likes_90d (vendor_c)</t>
  </si>
  <si>
    <t xml:space="preserve">The Hub: missing saves_90d, shares_90d (vendor_c); missing likes_90d (vendor_a)</t>
  </si>
  <si>
    <t xml:space="preserve">The Lens: imprecise (rounded counts) (vendor_b) | The Hub: missing shares_90d (vendor_b)</t>
  </si>
  <si>
    <t xml:space="preserve">follower_count empty or invalid | The Pulse: missing follower_count (vendor_c, vendor_c) | The Lens: missing follower_count, net_new_followers_90d (vendor_c, vendor_c) | The Hub: missing saves_90d, shares_90d (vendor_c, vendor_c)</t>
  </si>
  <si>
    <t xml:space="preserve">The Pulse: implausible value (vendor_c) | The Hub: missing comments_90d (vendor_c)</t>
  </si>
  <si>
    <t xml:space="preserve">Excluded at review: CROSS_VENDOR_DISCREPANCY (Q00034)</t>
  </si>
  <si>
    <t xml:space="preserve">The Hub: missing saves_90d, shares_90d (vendor_c, vendor_b)</t>
  </si>
  <si>
    <t xml:space="preserve">follower_count empty or invalid | The Pulse: missing follower_count (vendor_b) | The Lens: missing follower_count, net_new_followers_90d (vendor_b) | The Hub: missing shares_90d (vendor_b)</t>
  </si>
  <si>
    <t xml:space="preserve">Agent decision log</t>
  </si>
  <si>
    <t xml:space="preserve">Every accept / flag / go / skip / stop decision with the reason behind it</t>
  </si>
  <si>
    <t xml:space="preserve">#</t>
  </si>
  <si>
    <t xml:space="preserve">Step</t>
  </si>
  <si>
    <t xml:space="preserve">Decision</t>
  </si>
  <si>
    <t xml:space="preserve">recognise</t>
  </si>
  <si>
    <t xml:space="preserve">drop_1.xlsx → vendor_c (matched 90%; next best vendor_a 0%)</t>
  </si>
  <si>
    <t xml:space="preserve">drop_2.xlsx → vendor_a (matched 90%; next best vendor_b 0%)</t>
  </si>
  <si>
    <t xml:space="preserve">drop_3.xlsx → vendor_b (matched 80%; next best vendor_a 0%)</t>
  </si>
  <si>
    <t xml:space="preserve">learn</t>
  </si>
  <si>
    <t xml:space="preserve">new column name</t>
  </si>
  <si>
    <t xml:space="preserve">vendor_b now calls views_90d 'video_plays_90d' (was plays_90d); matched by name and value type (85%) and remembered</t>
  </si>
  <si>
    <t xml:space="preserve">vendor_b now calls comments_90d 'comments_total' (was comment_count); matched by name and value type (78%) and remembered</t>
  </si>
  <si>
    <t xml:space="preserve">request</t>
  </si>
  <si>
    <t xml:space="preserve">accept</t>
  </si>
  <si>
    <t xml:space="preserve">800 creators, 1884 channels requested (instagram 628, tiktok 632, youtube 624); 461 need 3 channels, 162 need 2 channels, 177 need 1 channel</t>
  </si>
  <si>
    <t xml:space="preserve">history</t>
  </si>
  <si>
    <t xml:space="preserve">blend</t>
  </si>
  <si>
    <t xml:space="preserve">vendor_c: this month 0.67; 2-month reliability 0.58 (QA average 0.67, review accuracy 39% over 36 reviewed dispute(s); up) → blended 0.65 at 15% reliability weight</t>
  </si>
  <si>
    <t xml:space="preserve">qa</t>
  </si>
  <si>
    <t xml:space="preserve">note</t>
  </si>
  <si>
    <t xml:space="preserve">vendor_c doesn't supply saves_90d; metrics that need it can't come from vendor_c (except where a platform override doesn't use it)</t>
  </si>
  <si>
    <t xml:space="preserve">flag</t>
  </si>
  <si>
    <t xml:space="preserve">vendor_c: 26 metric values outside plausible bounds were rejected</t>
  </si>
  <si>
    <t xml:space="preserve">vendor_a: this month 0.82; 2-month reliability 0.78 (QA average 0.85, review accuracy 60% over 30 reviewed dispute(s); up) → blended 0.82 at 15% reliability weight</t>
  </si>
  <si>
    <t xml:space="preserve">vendor_a: 1 metric values outside plausible bounds were rejected</t>
  </si>
  <si>
    <t xml:space="preserve">vendor_b: this month 0.79; 2-month reliability 0.75 (QA average 0.85, review accuracy 52% over 46 reviewed dispute(s); up) → blended 0.79 at 15% reliability weight</t>
  </si>
  <si>
    <t xml:space="preserve">vendor_b: 138 metric values rejected because rounded counts could move them by more than 5%; a lower tier fills them if it can</t>
  </si>
  <si>
    <t xml:space="preserve">tiering</t>
  </si>
  <si>
    <t xml:space="preserve">tier 1</t>
  </si>
  <si>
    <t xml:space="preserve">score 0.82: fresh coverage 45% of requested channels (strongest on youtube 78%), freshness 86%, metrics computable: The Pulse 96%, The Lens 96%, The Hub 92%</t>
  </si>
  <si>
    <t xml:space="preserve">tier 2</t>
  </si>
  <si>
    <t xml:space="preserve">score 0.79: fresh coverage 52% of requested channels (strongest on instagram 64%), freshness 71%, metrics computable: The Pulse 90%, The Lens 80%, The Hub 77%</t>
  </si>
  <si>
    <t xml:space="preserve">tier 3</t>
  </si>
  <si>
    <t xml:space="preserve">score 0.65: fresh coverage 31% of requested channels (strongest on tiktok 32%), freshness 57%, metrics computable: The Pulse 70%, The Lens 72%, The Hub 20%</t>
  </si>
  <si>
    <t xml:space="preserve">gate tier 1</t>
  </si>
  <si>
    <t xml:space="preserve">use vendor_a</t>
  </si>
  <si>
    <t xml:space="preserve">first tier</t>
  </si>
  <si>
    <t xml:space="preserve">assess after tier 1</t>
  </si>
  <si>
    <t xml:space="preserve">continue</t>
  </si>
  <si>
    <t xml:space="preserve">15.0% of creators complete, 38.6% of requested channels complete</t>
  </si>
  <si>
    <t xml:space="preserve">gate tier 2</t>
  </si>
  <si>
    <t xml:space="preserve">use vendor_b</t>
  </si>
  <si>
    <t xml:space="preserve">7 required item(s) below target (display_name, country, handle, follower_count, reach_rate, growth_rate, meaningful_eng_rate); vendor_b can fill 3200 open cells (52.8%)</t>
  </si>
  <si>
    <t xml:space="preserve">assess after tier 2</t>
  </si>
  <si>
    <t xml:space="preserve">31.4% of creators complete, 60.1% of requested channels complete</t>
  </si>
  <si>
    <t xml:space="preserve">gate tier 3</t>
  </si>
  <si>
    <t xml:space="preserve">use vendor_c</t>
  </si>
  <si>
    <t xml:space="preserve">5 required item(s) below target (handle, follower_count, reach_rate, growth_rate, meaningful_eng_rate); vendor_c can fill 533 open cells (18.8%)</t>
  </si>
  <si>
    <t xml:space="preserve">assess after tier 3</t>
  </si>
  <si>
    <t xml:space="preserve">done</t>
  </si>
  <si>
    <t xml:space="preserve">34.2% of creators complete, 62.4% of requested channels complete</t>
  </si>
  <si>
    <t xml:space="preserve">25 blocked</t>
  </si>
  <si>
    <t xml:space="preserve">CROSS_VENDOR_DISCREPANCY (RED) 14; IDENTITY_MATCH_UNCERTAIN (RED) 11; HISTORICAL_ANOMALY (YELLOW) 5; IDENTITY_CONFLICT_RESOLVED (YELLOW) 7; OUTLIER_SOURCE_EXCLUDED (YELLOW) 6; PRIMARY_SOURCE_MISSING (YELLOW) 793</t>
  </si>
  <si>
    <t xml:space="preserve">review</t>
  </si>
  <si>
    <t xml:space="preserve">25 decision(s) applied</t>
  </si>
  <si>
    <t xml:space="preserve">0 blocked item(s) still open</t>
  </si>
  <si>
    <t xml:space="preserve">Blocked records — human review</t>
  </si>
  <si>
    <t xml:space="preserve">Only these creator-channels / metrics are held back; everything else was processed. Fill the orange Decision column (and Manual value where needed), then run review.py with this file.</t>
  </si>
  <si>
    <t xml:space="preserve">Review ID</t>
  </si>
  <si>
    <t xml:space="preserve">Status</t>
  </si>
  <si>
    <t xml:space="preserve">Field(s) held back</t>
  </si>
  <si>
    <t xml:space="preserve">Reason code</t>
  </si>
  <si>
    <t xml:space="preserve">Severity</t>
  </si>
  <si>
    <t xml:space="preserve">vendor_a value</t>
  </si>
  <si>
    <t xml:space="preserve">vendor_b value</t>
  </si>
  <si>
    <t xml:space="preserve">vendor_c value</t>
  </si>
  <si>
    <t xml:space="preserve">Discrepancy</t>
  </si>
  <si>
    <t xml:space="preserve">Source information</t>
  </si>
  <si>
    <t xml:space="preserve">Explanation</t>
  </si>
  <si>
    <t xml:space="preserve">Recommended action</t>
  </si>
  <si>
    <t xml:space="preserve">Manual value</t>
  </si>
  <si>
    <t xml:space="preserve">Reviewer</t>
  </si>
  <si>
    <t xml:space="preserve">Note</t>
  </si>
  <si>
    <t xml:space="preserve">Final value</t>
  </si>
  <si>
    <t xml:space="preserve">Final source</t>
  </si>
  <si>
    <t xml:space="preserve">Reviewed at</t>
  </si>
  <si>
    <t xml:space="preserve">Q00001</t>
  </si>
  <si>
    <t xml:space="preserve">resolved</t>
  </si>
  <si>
    <t xml:space="preserve">whole channel (identity)</t>
  </si>
  <si>
    <t xml:space="preserve">IDENTITY_MATCH_UNCERTAIN</t>
  </si>
  <si>
    <t xml:space="preserve">RED</t>
  </si>
  <si>
    <t xml:space="preserve">@creator808_instagram</t>
  </si>
  <si>
    <t xml:space="preserve">Tier order T1 vendor_a &gt; T2 vendor_b &gt; T3 vendor_c. Would have used: —</t>
  </si>
  <si>
    <t xml:space="preserve">Vendors report different accounts for this creator-channel (vendor_c: @creator808_instagram; vendor_a: @creator1088_instagram), with no majority. None of their data is used until reviewed.</t>
  </si>
  <si>
    <t xml:space="preserve">Check the accounts on the platform. CONFIRM_MATCH if they're the same creator, SELECT_VENDOR_x to keep only the vendor with the right account, or REJECT_MATCH / EXCLUDE.</t>
  </si>
  <si>
    <t xml:space="preserve">SELECT_VENDOR_A</t>
  </si>
  <si>
    <t xml:space="preserve">Simulated reviewer</t>
  </si>
  <si>
    <t xml:space="preserve">checked against the platform (sample answer key)</t>
  </si>
  <si>
    <t xml:space="preserve">2026-10-01 05:17:59</t>
  </si>
  <si>
    <t xml:space="preserve">Q00002</t>
  </si>
  <si>
    <t xml:space="preserve">@creator785_instagram</t>
  </si>
  <si>
    <t xml:space="preserve">Vendors report different accounts for this creator-channel (vendor_c: @creator1004_instagram; vendor_b: @creator785_instagram), with no majority. None of their data is used until reviewed.</t>
  </si>
  <si>
    <t xml:space="preserve">SELECT_VENDOR_B</t>
  </si>
  <si>
    <t xml:space="preserve">Q00003</t>
  </si>
  <si>
    <t xml:space="preserve">Vendors report different accounts for this creator-channel (vendor_c: @creator212_instagram; vendor_b: @creator345_instagram), with no majority. None of their data is used until reviewed.</t>
  </si>
  <si>
    <t xml:space="preserve">Q00004</t>
  </si>
  <si>
    <t xml:space="preserve">@creator1201_instagram</t>
  </si>
  <si>
    <t xml:space="preserve">@creator405_instagram</t>
  </si>
  <si>
    <t xml:space="preserve">Vendors report different accounts for this creator-channel (vendor_c: @creator405_instagram; vendor_b: @creator1201_instagram), with no majority. None of their data is used until reviewed.</t>
  </si>
  <si>
    <t xml:space="preserve">Q00007</t>
  </si>
  <si>
    <t xml:space="preserve">@creator151_instagram</t>
  </si>
  <si>
    <t xml:space="preserve">@creator686_instagram</t>
  </si>
  <si>
    <t xml:space="preserve">Vendors report different accounts for this creator-channel (vendor_c: @creator686_instagram; vendor_b: @creator151_instagram), with no majority. None of their data is used until reviewed.</t>
  </si>
  <si>
    <t xml:space="preserve">SELECT_VENDOR_C</t>
  </si>
  <si>
    <t xml:space="preserve">Q00009</t>
  </si>
  <si>
    <t xml:space="preserve">@creator452_instagram</t>
  </si>
  <si>
    <t xml:space="preserve">Vendors report different accounts for this creator-channel (vendor_c: @creator452_instagram; vendor_b: @creator622_instagram), with no majority. None of their data is used until reviewed.</t>
  </si>
  <si>
    <t xml:space="preserve">Q00011</t>
  </si>
  <si>
    <t xml:space="preserve">@creator449_tiktok</t>
  </si>
  <si>
    <t xml:space="preserve">@creator954_tiktok</t>
  </si>
  <si>
    <t xml:space="preserve">Vendors report different accounts for this creator-channel (vendor_c: @creator954_tiktok; vendor_b: @creator449_tiktok), with no majority. None of their data is used until reviewed.</t>
  </si>
  <si>
    <t xml:space="preserve">Q00015</t>
  </si>
  <si>
    <t xml:space="preserve">@creator257_tiktok</t>
  </si>
  <si>
    <t xml:space="preserve">@creator821_tiktok</t>
  </si>
  <si>
    <t xml:space="preserve">Vendors report different accounts for this creator-channel (vendor_c: @creator821_tiktok; vendor_b: @creator257_tiktok), with no majority. None of their data is used until reviewed.</t>
  </si>
  <si>
    <t xml:space="preserve">Q00016</t>
  </si>
  <si>
    <t xml:space="preserve">Vendors report different accounts for this creator-channel (vendor_c: @creator1160_youtube; vendor_a: @creator566_youtube), with no majority. None of their data is used until reviewed.</t>
  </si>
  <si>
    <t xml:space="preserve">Q00017</t>
  </si>
  <si>
    <t xml:space="preserve">@creator78_youtube</t>
  </si>
  <si>
    <t xml:space="preserve">Vendors report different accounts for this creator-channel (vendor_a: @creator279_youtube; vendor_b: @creator78_youtube), with no majority. None of their data is used until reviewed.</t>
  </si>
  <si>
    <t xml:space="preserve">Q00018</t>
  </si>
  <si>
    <t xml:space="preserve">Vendors report different accounts for this creator-channel (vendor_a: @creator620_tiktok; vendor_b: @creator359_tiktok), with no majority. None of their data is used until reviewed.</t>
  </si>
  <si>
    <t xml:space="preserve">Q00019</t>
  </si>
  <si>
    <t xml:space="preserve">follower_count, reach_rate, growth_rate</t>
  </si>
  <si>
    <t xml:space="preserve">CROSS_VENDOR_DISCREPANCY</t>
  </si>
  <si>
    <t xml:space="preserve">106,589</t>
  </si>
  <si>
    <t xml:space="preserve">68,852</t>
  </si>
  <si>
    <t xml:space="preserve">35%</t>
  </si>
  <si>
    <t xml:space="preserve">Tier order T1 vendor_a &gt; T2 vendor_b &gt; T3 vendor_c. Would have used: vendor_a</t>
  </si>
  <si>
    <t xml:space="preserve">Vendors disagree by 35% (threshold 25%): vendor_a 106,589; vendor_c 68,852. No credible majority, so the value is held back rather than defaulting to the highest tier; reach_rate, growth_rate (computed from it) held back too.</t>
  </si>
  <si>
    <t xml:space="preserve">Check the creator's profile. SELECT_VENDOR_x for the right value, MANUAL_VALUE to enter the correct figure, or EXCLUDE to leave it out this month.</t>
  </si>
  <si>
    <t xml:space="preserve">Q00022</t>
  </si>
  <si>
    <t xml:space="preserve">176,290</t>
  </si>
  <si>
    <t xml:space="preserve">301,588</t>
  </si>
  <si>
    <t xml:space="preserve">42%</t>
  </si>
  <si>
    <t xml:space="preserve">Tier order T1 vendor_a &gt; T2 vendor_b &gt; T3 vendor_c. Would have used: vendor_b</t>
  </si>
  <si>
    <t xml:space="preserve">Vendors disagree by 42% (threshold 25%): vendor_b 176,290; vendor_c 301,588. No credible majority, so the value is held back rather than defaulting to the highest tier; reach_rate, growth_rate (computed from it) held back too.</t>
  </si>
  <si>
    <t xml:space="preserve">Q00023</t>
  </si>
  <si>
    <t xml:space="preserve">81,530</t>
  </si>
  <si>
    <t xml:space="preserve">136,886</t>
  </si>
  <si>
    <t xml:space="preserve">40%</t>
  </si>
  <si>
    <t xml:space="preserve">Vendors disagree by 40% (threshold 25%): vendor_b 81,530; vendor_c 136,886. No credible majority, so the value is held back rather than defaulting to the highest tier; reach_rate, growth_rate (computed from it) held back too.</t>
  </si>
  <si>
    <t xml:space="preserve">Q00024</t>
  </si>
  <si>
    <t xml:space="preserve">850</t>
  </si>
  <si>
    <t xml:space="preserve">1,300</t>
  </si>
  <si>
    <t xml:space="preserve">Vendors disagree by 35% (threshold 25%): vendor_a 850; vendor_b 1,300. No credible majority, so the value is held back rather than defaulting to the highest tier; reach_rate, growth_rate (computed from it) held back too.</t>
  </si>
  <si>
    <t xml:space="preserve">Q00026</t>
  </si>
  <si>
    <t xml:space="preserve">128,283</t>
  </si>
  <si>
    <t xml:space="preserve">218,400</t>
  </si>
  <si>
    <t xml:space="preserve">41%</t>
  </si>
  <si>
    <t xml:space="preserve">Vendors disagree by 41% (threshold 25%): vendor_a 128,283; vendor_b 218,400. No credible majority, so the value is held back rather than defaulting to the highest tier; reach_rate, growth_rate (computed from it) held back too.</t>
  </si>
  <si>
    <t xml:space="preserve">Q00027</t>
  </si>
  <si>
    <t xml:space="preserve">95,257</t>
  </si>
  <si>
    <t xml:space="preserve">177,088</t>
  </si>
  <si>
    <t xml:space="preserve">46%</t>
  </si>
  <si>
    <t xml:space="preserve">Vendors disagree by 46% (threshold 25%): vendor_a 95,257; vendor_c 177,088. No credible majority, so the value is held back rather than defaulting to the highest tier; reach_rate, growth_rate (computed from it) held back too.</t>
  </si>
  <si>
    <t xml:space="preserve">Q00030</t>
  </si>
  <si>
    <t xml:space="preserve">30,971</t>
  </si>
  <si>
    <t xml:space="preserve">15,910</t>
  </si>
  <si>
    <t xml:space="preserve">49%</t>
  </si>
  <si>
    <t xml:space="preserve">Vendors disagree by 49% (threshold 25%): vendor_a 30,971; vendor_b 15,910. No credible majority, so the value is held back rather than defaulting to the highest tier; reach_rate, growth_rate (computed from it) held back too.</t>
  </si>
  <si>
    <t xml:space="preserve">Q00032</t>
  </si>
  <si>
    <t xml:space="preserve">20,513</t>
  </si>
  <si>
    <t xml:space="preserve">31,589</t>
  </si>
  <si>
    <t xml:space="preserve">Vendors disagree by 35% (threshold 25%): vendor_a 20,513; vendor_c 31,589. No credible majority, so the value is held back rather than defaulting to the highest tier; reach_rate, growth_rate (computed from it) held back too.</t>
  </si>
  <si>
    <t xml:space="preserve">Q00033</t>
  </si>
  <si>
    <t xml:space="preserve">25,880</t>
  </si>
  <si>
    <t xml:space="preserve">65,253</t>
  </si>
  <si>
    <t xml:space="preserve">60%</t>
  </si>
  <si>
    <t xml:space="preserve">Vendors disagree by 60% (threshold 25%): vendor_b 25,880; vendor_c 65,253. No credible majority, so the value is held back rather than defaulting to the highest tier; reach_rate, growth_rate (computed from it) held back too.</t>
  </si>
  <si>
    <t xml:space="preserve">Q00034</t>
  </si>
  <si>
    <t xml:space="preserve">24,521</t>
  </si>
  <si>
    <t xml:space="preserve">39,545</t>
  </si>
  <si>
    <t xml:space="preserve">38%</t>
  </si>
  <si>
    <t xml:space="preserve">Vendors disagree by 38% (threshold 25%): vendor_a 24,521; vendor_c 39,545. No credible majority, so the value is held back rather than defaulting to the highest tier; reach_rate, growth_rate (computed from it) held back too.</t>
  </si>
  <si>
    <t xml:space="preserve">Q00035</t>
  </si>
  <si>
    <t xml:space="preserve">4,460</t>
  </si>
  <si>
    <t xml:space="preserve">7,061</t>
  </si>
  <si>
    <t xml:space="preserve">37%</t>
  </si>
  <si>
    <t xml:space="preserve">Vendors disagree by 37% (threshold 25%): vendor_b 4,460; vendor_c 7,061. No credible majority, so the value is held back rather than defaulting to the highest tier; reach_rate, growth_rate (computed from it) held back too.</t>
  </si>
  <si>
    <t xml:space="preserve">Q00036</t>
  </si>
  <si>
    <t xml:space="preserve">growth_rate</t>
  </si>
  <si>
    <t xml:space="preserve">7.546</t>
  </si>
  <si>
    <t xml:space="preserve">6.894</t>
  </si>
  <si>
    <t xml:space="preserve">65.2 pts</t>
  </si>
  <si>
    <t xml:space="preserve">Vendors disagree by 65.2 pts (threshold 5 pts): vendor_a 7.546; vendor_b 6.894. No credible majority, so the value is held back rather than defaulting to the highest tier.</t>
  </si>
  <si>
    <t xml:space="preserve">Q00037</t>
  </si>
  <si>
    <t xml:space="preserve">6.9</t>
  </si>
  <si>
    <t xml:space="preserve">7.488</t>
  </si>
  <si>
    <t xml:space="preserve">58.9 pts</t>
  </si>
  <si>
    <t xml:space="preserve">Vendors disagree by 58.8 pts (threshold 5 pts): vendor_a 6.900; vendor_c 7.488. No credible majority, so the value is held back rather than defaulting to the highest tier.</t>
  </si>
  <si>
    <t xml:space="preserve">Q00038</t>
  </si>
  <si>
    <t xml:space="preserve">6.958</t>
  </si>
  <si>
    <t xml:space="preserve">7.132</t>
  </si>
  <si>
    <t xml:space="preserve">17.4 pts</t>
  </si>
  <si>
    <t xml:space="preserve">Vendors disagree by 17.4 pts (threshold 5 pts): vendor_a 6.958; vendor_b 7.132. No credible majority, so the value is held back rather than defaulting to the highest tier.</t>
  </si>
  <si>
    <t xml:space="preserve">Warnings — recorded, processed automatically</t>
  </si>
  <si>
    <t xml:space="preserve">No action needed. Kept for visibility and to monitor vendor quality.</t>
  </si>
  <si>
    <t xml:space="preserve">Flag ID</t>
  </si>
  <si>
    <t xml:space="preserve">Field(s)</t>
  </si>
  <si>
    <t xml:space="preserve">Relevant values</t>
  </si>
  <si>
    <t xml:space="preserve">Source selected</t>
  </si>
  <si>
    <t xml:space="preserve">Q00837</t>
  </si>
  <si>
    <t xml:space="preserve">HISTORICAL_ANOMALY</t>
  </si>
  <si>
    <t xml:space="preserve">follower_count</t>
  </si>
  <si>
    <t xml:space="preserve">previous_month: 2026-08; previous: 85,770; current: 678,607; change +691%</t>
  </si>
  <si>
    <t xml:space="preserve">follower_count moved +691% vs 2026-08 (85,770 → 678,607). Kept: big swings can be genuine (viral content, events).</t>
  </si>
  <si>
    <t xml:space="preserve">Q00838</t>
  </si>
  <si>
    <t xml:space="preserve">previous_month: 2026-07; previous: 22,719; current: 194,520; change +756%</t>
  </si>
  <si>
    <t xml:space="preserve">follower_count moved +756% vs 2026-07 (22,719 → 194,520). Kept: big swings can be genuine (viral content, events).</t>
  </si>
  <si>
    <t xml:space="preserve">Q00839</t>
  </si>
  <si>
    <t xml:space="preserve">previous_month: 2026-08; previous: 47,730; current: 8,936; change -81%</t>
  </si>
  <si>
    <t xml:space="preserve">follower_count moved -81% vs 2026-08 (47,730 → 8,936). Kept: big swings can be genuine (viral content, events).</t>
  </si>
  <si>
    <t xml:space="preserve">Q00840</t>
  </si>
  <si>
    <t xml:space="preserve">previous_month: 2026-08; previous: 27,576; current: 218,400; change +692%</t>
  </si>
  <si>
    <t xml:space="preserve">follower_count moved +692% vs 2026-08 (27,576 → 218,400). Kept: big swings can be genuine (viral content, events).</t>
  </si>
  <si>
    <t xml:space="preserve">Q00841</t>
  </si>
  <si>
    <t xml:space="preserve">previous_month: 2026-08; previous: 48,150; current: 163,370; change +239%</t>
  </si>
  <si>
    <t xml:space="preserve">follower_count moved +239% vs 2026-08 (48,150 → 163,370). Kept: big swings can be genuine (viral content, events).</t>
  </si>
  <si>
    <t xml:space="preserve">Q00842</t>
  </si>
  <si>
    <t xml:space="preserve">previous_month: 2026-08; previous: 130,290; current: 1,069,298; change +721%</t>
  </si>
  <si>
    <t xml:space="preserve">follower_count moved +721% vs 2026-08 (130,290 → 1,069,298). Kept: big swings can be genuine (viral content, events).</t>
  </si>
  <si>
    <t xml:space="preserve">Q00010</t>
  </si>
  <si>
    <t xml:space="preserve">IDENTITY_CONFLICT_RESOLVED</t>
  </si>
  <si>
    <t xml:space="preserve">identity</t>
  </si>
  <si>
    <t xml:space="preserve">vendor_c: creator85_youtube; vendor_a: creator85_youtube; vendor_b: creator92_youtube</t>
  </si>
  <si>
    <t xml:space="preserve">vendor_c, vendor_a</t>
  </si>
  <si>
    <t xml:space="preserve">2 vendors agree the account is @creator85_youtube; vendor_b reported @creator92_youtube and was not used for this channel.</t>
  </si>
  <si>
    <t xml:space="preserve">Q00012</t>
  </si>
  <si>
    <t xml:space="preserve">vendor_c: creator912_instagram; vendor_a: creator291_instagram; vendor_b: creator291_instagram</t>
  </si>
  <si>
    <t xml:space="preserve">2 vendors agree the account is @creator291_instagram; vendor_c reported @creator912_instagram and was not used for this channel.</t>
  </si>
  <si>
    <t xml:space="preserve">Q00005</t>
  </si>
  <si>
    <t xml:space="preserve">vendor_c: creator1396_instagram; vendor_a: creator508_instagram; vendor_b: creator508_instagram</t>
  </si>
  <si>
    <t xml:space="preserve">2 vendors agree the account is @creator508_instagram; vendor_c reported @creator1396_instagram and was not used for this channel.</t>
  </si>
  <si>
    <t xml:space="preserve">Q00006</t>
  </si>
  <si>
    <t xml:space="preserve">vendor_c: creator1282_tiktok; vendor_a: creator566_tiktok; vendor_b: creator566_tiktok</t>
  </si>
  <si>
    <t xml:space="preserve">2 vendors agree the account is @creator566_tiktok; vendor_c reported @creator1282_tiktok and was not used for this channel.</t>
  </si>
  <si>
    <t xml:space="preserve">Q00013</t>
  </si>
  <si>
    <t xml:space="preserve">vendor_c: creator928_instagram; vendor_a: creator622_instagram; vendor_b: creator622_instagram</t>
  </si>
  <si>
    <t xml:space="preserve">2 vendors agree the account is @creator622_instagram; vendor_c reported @creator928_instagram and was not used for this channel.</t>
  </si>
  <si>
    <t xml:space="preserve">Q00014</t>
  </si>
  <si>
    <t xml:space="preserve">vendor_c: creator491_instagram; vendor_a: creator745_instagram; vendor_b: creator745_instagram</t>
  </si>
  <si>
    <t xml:space="preserve">2 vendors agree the account is @creator745_instagram; vendor_c reported @creator491_instagram and was not used for this channel.</t>
  </si>
  <si>
    <t xml:space="preserve">Q00008</t>
  </si>
  <si>
    <t xml:space="preserve">vendor_c: creator1223_instagram; vendor_a: creator1191_instagram; vendor_b: creator1191_instagram</t>
  </si>
  <si>
    <t xml:space="preserve">2 vendors agree the account is @creator1191_instagram; vendor_c reported @creator1223_instagram and was not used for this channel.</t>
  </si>
  <si>
    <t xml:space="preserve">Q00020</t>
  </si>
  <si>
    <t xml:space="preserve">OUTLIER_SOURCE_EXCLUDED</t>
  </si>
  <si>
    <t xml:space="preserve">vendor_c: 28,431; vendor_a: 17,798; vendor_b: 29,410</t>
  </si>
  <si>
    <t xml:space="preserve">vendor_c, vendor_b agree within 25%; vendor_a differ (vendor_a 17,798; vendor_b 29,410; vendor_c 28,431). Used vendor_b (highest tier among the agreeing vendors), not Tier 1 vendor_a, because it's the outlier.</t>
  </si>
  <si>
    <t xml:space="preserve">Q00021</t>
  </si>
  <si>
    <t xml:space="preserve">vendor_c: 3,503,388; vendor_a: 1,823,792; vendor_b: 1,893,820</t>
  </si>
  <si>
    <t xml:space="preserve">vendor_a, vendor_b agree within 25%; vendor_c differ (vendor_a 1,823,792; vendor_b 1,893,820; vendor_c 3,503,388). Used vendor_a (highest tier among the agreeing vendors), not the outlier.</t>
  </si>
  <si>
    <t xml:space="preserve">Q00025</t>
  </si>
  <si>
    <t xml:space="preserve">vendor_c: 8,211; vendor_a: 8,195; vendor_b: 4,400</t>
  </si>
  <si>
    <t xml:space="preserve">vendor_c, vendor_a agree within 25%; vendor_b differ (vendor_a 8,195; vendor_b 4,400; vendor_c 8,211). Used vendor_a (highest tier among the agreeing vendors), not the outlier.</t>
  </si>
  <si>
    <t xml:space="preserve">Q00028</t>
  </si>
  <si>
    <t xml:space="preserve">vendor_c: 9,655; vendor_a: 5,776; vendor_b: 9,770</t>
  </si>
  <si>
    <t xml:space="preserve">vendor_c, vendor_b agree within 25%; vendor_a differ (vendor_a 5,776; vendor_b 9,770; vendor_c 9,655). Used vendor_b (highest tier among the agreeing vendors), not Tier 1 vendor_a, because it's the outlier.</t>
  </si>
  <si>
    <t xml:space="preserve">Q00029</t>
  </si>
  <si>
    <t xml:space="preserve">vendor_c: 29,410; vendor_a: 16,905; vendor_b: 16,840</t>
  </si>
  <si>
    <t xml:space="preserve">vendor_a, vendor_b agree within 25%; vendor_c differ (vendor_a 16,905; vendor_b 16,840; vendor_c 29,410). Used vendor_a (highest tier among the agreeing vendors), not the outlier.</t>
  </si>
  <si>
    <t xml:space="preserve">Q00031</t>
  </si>
  <si>
    <t xml:space="preserve">vendor_c: 8,229; vendor_a: 5,232; vendor_b: 8,240</t>
  </si>
  <si>
    <t xml:space="preserve">vendor_c, vendor_b agree within 25%; vendor_a differ (vendor_a 5,232; vendor_b 8,240; vendor_c 8,229). Used vendor_b (highest tier among the agreeing vendors), not Tier 1 vendor_a, because it's the outlier.</t>
  </si>
  <si>
    <t xml:space="preserve">Q00039</t>
  </si>
  <si>
    <t xml:space="preserve">PRIMARY_SOURCE_MISSING</t>
  </si>
  <si>
    <t xml:space="preserve">handle, follower_count, reach_rate, growth_rate, meaningful_eng_rate</t>
  </si>
  <si>
    <t xml:space="preserve">handle: vendor_b; follower_count: vendor_b; reach_rate: vendor_b; growth_rate: vendor_b; meaningful_eng_rate: vendor_b</t>
  </si>
  <si>
    <t xml:space="preserve">vendor_a's record is stale; filled from vendor_b (fallback).</t>
  </si>
  <si>
    <t xml:space="preserve">Q00040</t>
  </si>
  <si>
    <t xml:space="preserve">handle, follower_count, reach_rate, growth_rate</t>
  </si>
  <si>
    <t xml:space="preserve">handle: vendor_c; follower_count: vendor_c; reach_rate: vendor_c; growth_rate: vendor_c</t>
  </si>
  <si>
    <t xml:space="preserve">vendor_a has no record for this channel; filled from vendor_c (fallback).</t>
  </si>
  <si>
    <t xml:space="preserve">Q00041</t>
  </si>
  <si>
    <t xml:space="preserve">handle: vendor_b; follower_count: vendor_b; reach_rate: vendor_b; growth_rate: vendor_b</t>
  </si>
  <si>
    <t xml:space="preserve">vendor_a has no record for this channel; filled from vendor_b (fallback).</t>
  </si>
  <si>
    <t xml:space="preserve">Q00042</t>
  </si>
  <si>
    <t xml:space="preserve">handle, follower_count, growth_rate</t>
  </si>
  <si>
    <t xml:space="preserve">handle: vendor_c; follower_count: vendor_c; growth_rate: vendor_c</t>
  </si>
  <si>
    <t xml:space="preserve">Q00043</t>
  </si>
  <si>
    <t xml:space="preserve">handle, follower_count, reach_rate, meaningful_eng_rate</t>
  </si>
  <si>
    <t xml:space="preserve">handle: vendor_b; follower_count: vendor_b; reach_rate: vendor_b; meaningful_eng_rate: vendor_b</t>
  </si>
  <si>
    <t xml:space="preserve">Q00044</t>
  </si>
  <si>
    <t xml:space="preserve">Q00045</t>
  </si>
  <si>
    <t xml:space="preserve">reach_rate, meaningful_eng_rate</t>
  </si>
  <si>
    <t xml:space="preserve">reach_rate: vendor_b; meaningful_eng_rate: vendor_b</t>
  </si>
  <si>
    <t xml:space="preserve">vendor_a's record lacks a valid value for reach_rate, meaningful_eng_rate; filled from vendor_b (fallback).</t>
  </si>
  <si>
    <t xml:space="preserve">Q00046</t>
  </si>
  <si>
    <t xml:space="preserve">handle: vendor_c</t>
  </si>
  <si>
    <t xml:space="preserve">Q00047</t>
  </si>
  <si>
    <t xml:space="preserve">follower_count, reach_rate</t>
  </si>
  <si>
    <t xml:space="preserve">follower_count: vendor_c; reach_rate: vendor_c</t>
  </si>
  <si>
    <t xml:space="preserve">Q00048</t>
  </si>
  <si>
    <t xml:space="preserve">Q00049</t>
  </si>
  <si>
    <t xml:space="preserve">Q00050</t>
  </si>
  <si>
    <t xml:space="preserve">Q00051</t>
  </si>
  <si>
    <t xml:space="preserve">Q00052</t>
  </si>
  <si>
    <t xml:space="preserve">Q00053</t>
  </si>
  <si>
    <t xml:space="preserve">handle: vendor_b</t>
  </si>
  <si>
    <t xml:space="preserve">Q00054</t>
  </si>
  <si>
    <t xml:space="preserve">Q00055</t>
  </si>
  <si>
    <t xml:space="preserve">handle: vendor_b; follower_count: vendor_b; growth_rate: vendor_b</t>
  </si>
  <si>
    <t xml:space="preserve">Q00056</t>
  </si>
  <si>
    <t xml:space="preserve">Q00057</t>
  </si>
  <si>
    <t xml:space="preserve">Q00058</t>
  </si>
  <si>
    <t xml:space="preserve">handle: vendor_b; follower_count: vendor_b; reach_rate: vendor_b; growth_rate: vendor_c</t>
  </si>
  <si>
    <t xml:space="preserve">vendor_a's record is stale; filled from vendor_b, vendor_c (fallback).</t>
  </si>
  <si>
    <t xml:space="preserve">Q00059</t>
  </si>
  <si>
    <t xml:space="preserve">meaningful_eng_rate</t>
  </si>
  <si>
    <t xml:space="preserve">meaningful_eng_rate: vendor_c</t>
  </si>
  <si>
    <t xml:space="preserve">vendor_a's record is stale; filled from vendor_c (fallback).</t>
  </si>
  <si>
    <t xml:space="preserve">Q00060</t>
  </si>
  <si>
    <t xml:space="preserve">Q00061</t>
  </si>
  <si>
    <t xml:space="preserve">Q00062</t>
  </si>
  <si>
    <t xml:space="preserve">Q00063</t>
  </si>
  <si>
    <t xml:space="preserve">Q00064</t>
  </si>
  <si>
    <t xml:space="preserve">Q00065</t>
  </si>
  <si>
    <t xml:space="preserve">Q00066</t>
  </si>
  <si>
    <t xml:space="preserve">Q00067</t>
  </si>
  <si>
    <t xml:space="preserve">handle: vendor_b; follower_count: vendor_c; reach_rate: vendor_c; growth_rate: vendor_c; meaningful_eng_rate: vendor_b</t>
  </si>
  <si>
    <t xml:space="preserve">vendor_a has no record for this channel; filled from vendor_b, vendor_c (fallback).</t>
  </si>
  <si>
    <t xml:space="preserve">Q00068</t>
  </si>
  <si>
    <t xml:space="preserve">vendor_a's record lacks a valid value for handle; filled from vendor_b (fallback).</t>
  </si>
  <si>
    <t xml:space="preserve">Q00069</t>
  </si>
  <si>
    <t xml:space="preserve">Q00070</t>
  </si>
  <si>
    <t xml:space="preserve">Q00071</t>
  </si>
  <si>
    <t xml:space="preserve">Q00072</t>
  </si>
  <si>
    <t xml:space="preserve">Q00073</t>
  </si>
  <si>
    <t xml:space="preserve">Q00074</t>
  </si>
  <si>
    <t xml:space="preserve">Q00075</t>
  </si>
  <si>
    <t xml:space="preserve">Q00076</t>
  </si>
  <si>
    <t xml:space="preserve">Q00077</t>
  </si>
  <si>
    <t xml:space="preserve">Q00078</t>
  </si>
  <si>
    <t xml:space="preserve">Q00079</t>
  </si>
  <si>
    <t xml:space="preserve">Q00080</t>
  </si>
  <si>
    <t xml:space="preserve">reach_rate</t>
  </si>
  <si>
    <t xml:space="preserve">reach_rate: vendor_b</t>
  </si>
  <si>
    <t xml:space="preserve">vendor_a's record lacks a valid value for reach_rate; filled from vendor_b (fallback).</t>
  </si>
  <si>
    <t xml:space="preserve">Q00081</t>
  </si>
  <si>
    <t xml:space="preserve">Q00082</t>
  </si>
  <si>
    <t xml:space="preserve">meaningful_eng_rate: vendor_b</t>
  </si>
  <si>
    <t xml:space="preserve">vendor_a's record lacks a valid value for meaningful_eng_rate; filled from vendor_b (fallback).</t>
  </si>
  <si>
    <t xml:space="preserve">Q00083</t>
  </si>
  <si>
    <t xml:space="preserve">Q00084</t>
  </si>
  <si>
    <t xml:space="preserve">Q00085</t>
  </si>
  <si>
    <t xml:space="preserve">follower_count, reach_rate, growth_rate, meaningful_eng_rate</t>
  </si>
  <si>
    <t xml:space="preserve">follower_count: vendor_b; reach_rate: vendor_b; growth_rate: vendor_b; meaningful_eng_rate: vendor_b</t>
  </si>
  <si>
    <t xml:space="preserve">vendor_a's record lacks a valid value for follower_count, reach_rate, growth_rate, meaningful_eng_rate; filled from vendor_b (fallback).</t>
  </si>
  <si>
    <t xml:space="preserve">Q00086</t>
  </si>
  <si>
    <t xml:space="preserve">Q00087</t>
  </si>
  <si>
    <t xml:space="preserve">Q00088</t>
  </si>
  <si>
    <t xml:space="preserve">Q00089</t>
  </si>
  <si>
    <t xml:space="preserve">Q00090</t>
  </si>
  <si>
    <t xml:space="preserve">Q00091</t>
  </si>
  <si>
    <t xml:space="preserve">Q00092</t>
  </si>
  <si>
    <t xml:space="preserve">Q00093</t>
  </si>
  <si>
    <t xml:space="preserve">Q00094</t>
  </si>
  <si>
    <t xml:space="preserve">Q00095</t>
  </si>
  <si>
    <t xml:space="preserve">Q00096</t>
  </si>
  <si>
    <t xml:space="preserve">handle: vendor_c; follower_count: vendor_c; reach_rate: vendor_c; growth_rate: vendor_c; meaningful_eng_rate: vendor_c</t>
  </si>
  <si>
    <t xml:space="preserve">Q00097</t>
  </si>
  <si>
    <t xml:space="preserve">Q00098</t>
  </si>
  <si>
    <t xml:space="preserve">handle, meaningful_eng_rate</t>
  </si>
  <si>
    <t xml:space="preserve">handle: vendor_b; meaningful_eng_rate: vendor_b</t>
  </si>
  <si>
    <t xml:space="preserve">Q00099</t>
  </si>
  <si>
    <t xml:space="preserve">Q00100</t>
  </si>
  <si>
    <t xml:space="preserve">Q00101</t>
  </si>
  <si>
    <t xml:space="preserve">Q00102</t>
  </si>
  <si>
    <t xml:space="preserve">Q00103</t>
  </si>
  <si>
    <t xml:space="preserve">Q00104</t>
  </si>
  <si>
    <t xml:space="preserve">Q00105</t>
  </si>
  <si>
    <t xml:space="preserve">Q00106</t>
  </si>
  <si>
    <t xml:space="preserve">Q00107</t>
  </si>
  <si>
    <t xml:space="preserve">Q00108</t>
  </si>
  <si>
    <t xml:space="preserve">Q00109</t>
  </si>
  <si>
    <t xml:space="preserve">Q00110</t>
  </si>
  <si>
    <t xml:space="preserve">Q00111</t>
  </si>
  <si>
    <t xml:space="preserve">Q00112</t>
  </si>
  <si>
    <t xml:space="preserve">growth_rate: vendor_b</t>
  </si>
  <si>
    <t xml:space="preserve">vendor_a's record lacks a valid value for growth_rate; filled from vendor_b (fallback).</t>
  </si>
  <si>
    <t xml:space="preserve">Q00113</t>
  </si>
  <si>
    <t xml:space="preserve">Q00114</t>
  </si>
  <si>
    <t xml:space="preserve">Q00115</t>
  </si>
  <si>
    <t xml:space="preserve">Q00116</t>
  </si>
  <si>
    <t xml:space="preserve">Q00117</t>
  </si>
  <si>
    <t xml:space="preserve">Q00118</t>
  </si>
  <si>
    <t xml:space="preserve">Q00119</t>
  </si>
  <si>
    <t xml:space="preserve">Q00120</t>
  </si>
  <si>
    <t xml:space="preserve">Q00121</t>
  </si>
  <si>
    <t xml:space="preserve">Q00122</t>
  </si>
  <si>
    <t xml:space="preserve">Q00123</t>
  </si>
  <si>
    <t xml:space="preserve">Q00124</t>
  </si>
  <si>
    <t xml:space="preserve">Q00125</t>
  </si>
  <si>
    <t xml:space="preserve">Q00126</t>
  </si>
  <si>
    <t xml:space="preserve">Q00127</t>
  </si>
  <si>
    <t xml:space="preserve">Q00128</t>
  </si>
  <si>
    <t xml:space="preserve">Q00129</t>
  </si>
  <si>
    <t xml:space="preserve">Q00130</t>
  </si>
  <si>
    <t xml:space="preserve">Q00131</t>
  </si>
  <si>
    <t xml:space="preserve">Q00132</t>
  </si>
  <si>
    <t xml:space="preserve">Q00133</t>
  </si>
  <si>
    <t xml:space="preserve">Q00134</t>
  </si>
  <si>
    <t xml:space="preserve">Q00135</t>
  </si>
  <si>
    <t xml:space="preserve">Q00136</t>
  </si>
  <si>
    <t xml:space="preserve">Q00137</t>
  </si>
  <si>
    <t xml:space="preserve">Q00138</t>
  </si>
  <si>
    <t xml:space="preserve">Q00139</t>
  </si>
  <si>
    <t xml:space="preserve">Q00140</t>
  </si>
  <si>
    <t xml:space="preserve">Q00141</t>
  </si>
  <si>
    <t xml:space="preserve">Q00142</t>
  </si>
  <si>
    <t xml:space="preserve">Q00143</t>
  </si>
  <si>
    <t xml:space="preserve">Q00144</t>
  </si>
  <si>
    <t xml:space="preserve">handle, follower_count, reach_rate</t>
  </si>
  <si>
    <t xml:space="preserve">handle: vendor_b; follower_count: vendor_b; reach_rate: vendor_b</t>
  </si>
  <si>
    <t xml:space="preserve">Q00145</t>
  </si>
  <si>
    <t xml:space="preserve">Q00146</t>
  </si>
  <si>
    <t xml:space="preserve">Q00147</t>
  </si>
  <si>
    <t xml:space="preserve">Q00148</t>
  </si>
  <si>
    <t xml:space="preserve">Q00149</t>
  </si>
  <si>
    <t xml:space="preserve">Q00150</t>
  </si>
  <si>
    <t xml:space="preserve">Q00151</t>
  </si>
  <si>
    <t xml:space="preserve">Q00152</t>
  </si>
  <si>
    <t xml:space="preserve">Q00153</t>
  </si>
  <si>
    <t xml:space="preserve">Q00154</t>
  </si>
  <si>
    <t xml:space="preserve">Q00155</t>
  </si>
  <si>
    <t xml:space="preserve">Q00156</t>
  </si>
  <si>
    <t xml:space="preserve">follower_count: vendor_b; reach_rate: vendor_b; growth_rate: vendor_b</t>
  </si>
  <si>
    <t xml:space="preserve">Q00157</t>
  </si>
  <si>
    <t xml:space="preserve">Q00158</t>
  </si>
  <si>
    <t xml:space="preserve">Q00159</t>
  </si>
  <si>
    <t xml:space="preserve">Q00160</t>
  </si>
  <si>
    <t xml:space="preserve">Q00161</t>
  </si>
  <si>
    <t xml:space="preserve">Q00162</t>
  </si>
  <si>
    <t xml:space="preserve">Q00163</t>
  </si>
  <si>
    <t xml:space="preserve">Q00164</t>
  </si>
  <si>
    <t xml:space="preserve">handle: vendor_b; follower_count: vendor_b; reach_rate: vendor_c; growth_rate: vendor_c; meaningful_eng_rate: vendor_b</t>
  </si>
  <si>
    <t xml:space="preserve">Q00165</t>
  </si>
  <si>
    <t xml:space="preserve">Q00166</t>
  </si>
  <si>
    <t xml:space="preserve">Q00167</t>
  </si>
  <si>
    <t xml:space="preserve">follower_count: vendor_c; reach_rate: vendor_c; growth_rate: vendor_c</t>
  </si>
  <si>
    <t xml:space="preserve">vendor_a's record lacks a valid value for follower_count, reach_rate, growth_rate; filled from vendor_c (fallback).</t>
  </si>
  <si>
    <t xml:space="preserve">Q00168</t>
  </si>
  <si>
    <t xml:space="preserve">Q00169</t>
  </si>
  <si>
    <t xml:space="preserve">Q00170</t>
  </si>
  <si>
    <t xml:space="preserve">Q00171</t>
  </si>
  <si>
    <t xml:space="preserve">Q00172</t>
  </si>
  <si>
    <t xml:space="preserve">Q00173</t>
  </si>
  <si>
    <t xml:space="preserve">Q00174</t>
  </si>
  <si>
    <t xml:space="preserve">Q00175</t>
  </si>
  <si>
    <t xml:space="preserve">Q00176</t>
  </si>
  <si>
    <t xml:space="preserve">handle: vendor_b; follower_count: vendor_b; reach_rate: vendor_b; growth_rate: vendor_c; meaningful_eng_rate: vendor_b</t>
  </si>
  <si>
    <t xml:space="preserve">Q00177</t>
  </si>
  <si>
    <t xml:space="preserve">Q00178</t>
  </si>
  <si>
    <t xml:space="preserve">Q00179</t>
  </si>
  <si>
    <t xml:space="preserve">Q00180</t>
  </si>
  <si>
    <t xml:space="preserve">Q00181</t>
  </si>
  <si>
    <t xml:space="preserve">Q00182</t>
  </si>
  <si>
    <t xml:space="preserve">Q00183</t>
  </si>
  <si>
    <t xml:space="preserve">Q00184</t>
  </si>
  <si>
    <t xml:space="preserve">Q00185</t>
  </si>
  <si>
    <t xml:space="preserve">Q00186</t>
  </si>
  <si>
    <t xml:space="preserve">Q00187</t>
  </si>
  <si>
    <t xml:space="preserve">Q00188</t>
  </si>
  <si>
    <t xml:space="preserve">Q00189</t>
  </si>
  <si>
    <t xml:space="preserve">Q00190</t>
  </si>
  <si>
    <t xml:space="preserve">Q00191</t>
  </si>
  <si>
    <t xml:space="preserve">Q00192</t>
  </si>
  <si>
    <t xml:space="preserve">vendor_a's record lacks a valid value for handle, follower_count, reach_rate, growth_rate; filled from vendor_b (fallback).</t>
  </si>
  <si>
    <t xml:space="preserve">Q00193</t>
  </si>
  <si>
    <t xml:space="preserve">Q00194</t>
  </si>
  <si>
    <t xml:space="preserve">growth_rate: vendor_c</t>
  </si>
  <si>
    <t xml:space="preserve">vendor_a's record lacks a valid value for growth_rate; filled from vendor_c (fallback).</t>
  </si>
  <si>
    <t xml:space="preserve">Q00195</t>
  </si>
  <si>
    <t xml:space="preserve">Q00196</t>
  </si>
  <si>
    <t xml:space="preserve">Q00197</t>
  </si>
  <si>
    <t xml:space="preserve">Q00198</t>
  </si>
  <si>
    <t xml:space="preserve">Q00199</t>
  </si>
  <si>
    <t xml:space="preserve">Q00200</t>
  </si>
  <si>
    <t xml:space="preserve">Q00201</t>
  </si>
  <si>
    <t xml:space="preserve">Q00202</t>
  </si>
  <si>
    <t xml:space="preserve">Q00203</t>
  </si>
  <si>
    <t xml:space="preserve">Q00204</t>
  </si>
  <si>
    <t xml:space="preserve">Q00205</t>
  </si>
  <si>
    <t xml:space="preserve">Q00206</t>
  </si>
  <si>
    <t xml:space="preserve">Q00207</t>
  </si>
  <si>
    <t xml:space="preserve">Q00208</t>
  </si>
  <si>
    <t xml:space="preserve">Q00209</t>
  </si>
  <si>
    <t xml:space="preserve">Q00210</t>
  </si>
  <si>
    <t xml:space="preserve">Q00211</t>
  </si>
  <si>
    <t xml:space="preserve">Q00212</t>
  </si>
  <si>
    <t xml:space="preserve">vendor_a's record lacks a valid value for follower_count, reach_rate, growth_rate; filled from vendor_b (fallback).</t>
  </si>
  <si>
    <t xml:space="preserve">Q00213</t>
  </si>
  <si>
    <t xml:space="preserve">Q00214</t>
  </si>
  <si>
    <t xml:space="preserve">Q00215</t>
  </si>
  <si>
    <t xml:space="preserve">Q00216</t>
  </si>
  <si>
    <t xml:space="preserve">Q00217</t>
  </si>
  <si>
    <t xml:space="preserve">Q00218</t>
  </si>
  <si>
    <t xml:space="preserve">Q00219</t>
  </si>
  <si>
    <t xml:space="preserve">Q00220</t>
  </si>
  <si>
    <t xml:space="preserve">Q00221</t>
  </si>
  <si>
    <t xml:space="preserve">Q00222</t>
  </si>
  <si>
    <t xml:space="preserve">Q00223</t>
  </si>
  <si>
    <t xml:space="preserve">Q00224</t>
  </si>
  <si>
    <t xml:space="preserve">Q00225</t>
  </si>
  <si>
    <t xml:space="preserve">Q00226</t>
  </si>
  <si>
    <t xml:space="preserve">Q00227</t>
  </si>
  <si>
    <t xml:space="preserve">Q00228</t>
  </si>
  <si>
    <t xml:space="preserve">Q00229</t>
  </si>
  <si>
    <t xml:space="preserve">Q00230</t>
  </si>
  <si>
    <t xml:space="preserve">Q00231</t>
  </si>
  <si>
    <t xml:space="preserve">Q00232</t>
  </si>
  <si>
    <t xml:space="preserve">Q00233</t>
  </si>
  <si>
    <t xml:space="preserve">Q00234</t>
  </si>
  <si>
    <t xml:space="preserve">Q00235</t>
  </si>
  <si>
    <t xml:space="preserve">Q00236</t>
  </si>
  <si>
    <t xml:space="preserve">Q00237</t>
  </si>
  <si>
    <t xml:space="preserve">Q00238</t>
  </si>
  <si>
    <t xml:space="preserve">Q00239</t>
  </si>
  <si>
    <t xml:space="preserve">Q00240</t>
  </si>
  <si>
    <t xml:space="preserve">Q00241</t>
  </si>
  <si>
    <t xml:space="preserve">Q00242</t>
  </si>
  <si>
    <t xml:space="preserve">Q00243</t>
  </si>
  <si>
    <t xml:space="preserve">handle, follower_count</t>
  </si>
  <si>
    <t xml:space="preserve">handle: vendor_c; follower_count: vendor_c</t>
  </si>
  <si>
    <t xml:space="preserve">Q00244</t>
  </si>
  <si>
    <t xml:space="preserve">Q00245</t>
  </si>
  <si>
    <t xml:space="preserve">Q00246</t>
  </si>
  <si>
    <t xml:space="preserve">Q00247</t>
  </si>
  <si>
    <t xml:space="preserve">Q00248</t>
  </si>
  <si>
    <t xml:space="preserve">Q00249</t>
  </si>
  <si>
    <t xml:space="preserve">Q00250</t>
  </si>
  <si>
    <t xml:space="preserve">Q00251</t>
  </si>
  <si>
    <t xml:space="preserve">Q00252</t>
  </si>
  <si>
    <t xml:space="preserve">Q00253</t>
  </si>
  <si>
    <t xml:space="preserve">Q00254</t>
  </si>
  <si>
    <t xml:space="preserve">Q00255</t>
  </si>
  <si>
    <t xml:space="preserve">Q00256</t>
  </si>
  <si>
    <t xml:space="preserve">Q00257</t>
  </si>
  <si>
    <t xml:space="preserve">Q00258</t>
  </si>
  <si>
    <t xml:space="preserve">Q00259</t>
  </si>
  <si>
    <t xml:space="preserve">Q00260</t>
  </si>
  <si>
    <t xml:space="preserve">Q00261</t>
  </si>
  <si>
    <t xml:space="preserve">Q00262</t>
  </si>
  <si>
    <t xml:space="preserve">Q00263</t>
  </si>
  <si>
    <t xml:space="preserve">handle: vendor_c; follower_count: vendor_c; reach_rate: vendor_c</t>
  </si>
  <si>
    <t xml:space="preserve">Q00264</t>
  </si>
  <si>
    <t xml:space="preserve">Q00265</t>
  </si>
  <si>
    <t xml:space="preserve">Q00266</t>
  </si>
  <si>
    <t xml:space="preserve">vendor_a's record lacks a valid value for meaningful_eng_rate; filled from vendor_c (fallback).</t>
  </si>
  <si>
    <t xml:space="preserve">Q00267</t>
  </si>
  <si>
    <t xml:space="preserve">Q00268</t>
  </si>
  <si>
    <t xml:space="preserve">Q00269</t>
  </si>
  <si>
    <t xml:space="preserve">Q00270</t>
  </si>
  <si>
    <t xml:space="preserve">Q00271</t>
  </si>
  <si>
    <t xml:space="preserve">Q00272</t>
  </si>
  <si>
    <t xml:space="preserve">Q00273</t>
  </si>
  <si>
    <t xml:space="preserve">Q00274</t>
  </si>
  <si>
    <t xml:space="preserve">Q00275</t>
  </si>
  <si>
    <t xml:space="preserve">Q00276</t>
  </si>
  <si>
    <t xml:space="preserve">Q00277</t>
  </si>
  <si>
    <t xml:space="preserve">Q00278</t>
  </si>
  <si>
    <t xml:space="preserve">Q00279</t>
  </si>
  <si>
    <t xml:space="preserve">Q00280</t>
  </si>
  <si>
    <t xml:space="preserve">Q00281</t>
  </si>
  <si>
    <t xml:space="preserve">Q00282</t>
  </si>
  <si>
    <t xml:space="preserve">Q00283</t>
  </si>
  <si>
    <t xml:space="preserve">vendor_a's record lacks a valid value for handle; filled from vendor_c (fallback).</t>
  </si>
  <si>
    <t xml:space="preserve">Q00284</t>
  </si>
  <si>
    <t xml:space="preserve">Q00285</t>
  </si>
  <si>
    <t xml:space="preserve">Q00286</t>
  </si>
  <si>
    <t xml:space="preserve">Q00287</t>
  </si>
  <si>
    <t xml:space="preserve">Q00288</t>
  </si>
  <si>
    <t xml:space="preserve">Q00289</t>
  </si>
  <si>
    <t xml:space="preserve">handle, follower_count, growth_rate, meaningful_eng_rate</t>
  </si>
  <si>
    <t xml:space="preserve">handle: vendor_b; follower_count: vendor_b; growth_rate: vendor_b; meaningful_eng_rate: vendor_b</t>
  </si>
  <si>
    <t xml:space="preserve">Q00290</t>
  </si>
  <si>
    <t xml:space="preserve">Q00291</t>
  </si>
  <si>
    <t xml:space="preserve">Q00292</t>
  </si>
  <si>
    <t xml:space="preserve">Q00293</t>
  </si>
  <si>
    <t xml:space="preserve">Q00294</t>
  </si>
  <si>
    <t xml:space="preserve">Q00295</t>
  </si>
  <si>
    <t xml:space="preserve">Q00296</t>
  </si>
  <si>
    <t xml:space="preserve">Q00297</t>
  </si>
  <si>
    <t xml:space="preserve">Q00298</t>
  </si>
  <si>
    <t xml:space="preserve">Q00299</t>
  </si>
  <si>
    <t xml:space="preserve">Q00300</t>
  </si>
  <si>
    <t xml:space="preserve">Q00301</t>
  </si>
  <si>
    <t xml:space="preserve">Q00302</t>
  </si>
  <si>
    <t xml:space="preserve">Q00303</t>
  </si>
  <si>
    <t xml:space="preserve">Q00304</t>
  </si>
  <si>
    <t xml:space="preserve">Q00305</t>
  </si>
  <si>
    <t xml:space="preserve">follower_count: vendor_c; reach_rate: vendor_c; growth_rate: vendor_c; meaningful_eng_rate: vendor_c</t>
  </si>
  <si>
    <t xml:space="preserve">Q00306</t>
  </si>
  <si>
    <t xml:space="preserve">Q00307</t>
  </si>
  <si>
    <t xml:space="preserve">Q00308</t>
  </si>
  <si>
    <t xml:space="preserve">Q00309</t>
  </si>
  <si>
    <t xml:space="preserve">Q00310</t>
  </si>
  <si>
    <t xml:space="preserve">Q00311</t>
  </si>
  <si>
    <t xml:space="preserve">Q00312</t>
  </si>
  <si>
    <t xml:space="preserve">Q00313</t>
  </si>
  <si>
    <t xml:space="preserve">Q00314</t>
  </si>
  <si>
    <t xml:space="preserve">Q00315</t>
  </si>
  <si>
    <t xml:space="preserve">Q00316</t>
  </si>
  <si>
    <t xml:space="preserve">Q00317</t>
  </si>
  <si>
    <t xml:space="preserve">Q00318</t>
  </si>
  <si>
    <t xml:space="preserve">Q00319</t>
  </si>
  <si>
    <t xml:space="preserve">Q00320</t>
  </si>
  <si>
    <t xml:space="preserve">Q00321</t>
  </si>
  <si>
    <t xml:space="preserve">Q00322</t>
  </si>
  <si>
    <t xml:space="preserve">Q00323</t>
  </si>
  <si>
    <t xml:space="preserve">Q00324</t>
  </si>
  <si>
    <t xml:space="preserve">Q00325</t>
  </si>
  <si>
    <t xml:space="preserve">Q00326</t>
  </si>
  <si>
    <t xml:space="preserve">Q00327</t>
  </si>
  <si>
    <t xml:space="preserve">Q00328</t>
  </si>
  <si>
    <t xml:space="preserve">Q00329</t>
  </si>
  <si>
    <t xml:space="preserve">Q00330</t>
  </si>
  <si>
    <t xml:space="preserve">Q00331</t>
  </si>
  <si>
    <t xml:space="preserve">Q00332</t>
  </si>
  <si>
    <t xml:space="preserve">Q00333</t>
  </si>
  <si>
    <t xml:space="preserve">Q00334</t>
  </si>
  <si>
    <t xml:space="preserve">Q00335</t>
  </si>
  <si>
    <t xml:space="preserve">Q00336</t>
  </si>
  <si>
    <t xml:space="preserve">Q00337</t>
  </si>
  <si>
    <t xml:space="preserve">Q00338</t>
  </si>
  <si>
    <t xml:space="preserve">Q00339</t>
  </si>
  <si>
    <t xml:space="preserve">Q00340</t>
  </si>
  <si>
    <t xml:space="preserve">Q00341</t>
  </si>
  <si>
    <t xml:space="preserve">Q00342</t>
  </si>
  <si>
    <t xml:space="preserve">Q00343</t>
  </si>
  <si>
    <t xml:space="preserve">Q00344</t>
  </si>
  <si>
    <t xml:space="preserve">Q00345</t>
  </si>
  <si>
    <t xml:space="preserve">Q00346</t>
  </si>
  <si>
    <t xml:space="preserve">Q00347</t>
  </si>
  <si>
    <t xml:space="preserve">Q00348</t>
  </si>
  <si>
    <t xml:space="preserve">Q00349</t>
  </si>
  <si>
    <t xml:space="preserve">Q00350</t>
  </si>
  <si>
    <t xml:space="preserve">Q00351</t>
  </si>
  <si>
    <t xml:space="preserve">Q00352</t>
  </si>
  <si>
    <t xml:space="preserve">Q00353</t>
  </si>
  <si>
    <t xml:space="preserve">Q00354</t>
  </si>
  <si>
    <t xml:space="preserve">Q00355</t>
  </si>
  <si>
    <t xml:space="preserve">Q00356</t>
  </si>
  <si>
    <t xml:space="preserve">Q00357</t>
  </si>
  <si>
    <t xml:space="preserve">Q00358</t>
  </si>
  <si>
    <t xml:space="preserve">Q00359</t>
  </si>
  <si>
    <t xml:space="preserve">Q00360</t>
  </si>
  <si>
    <t xml:space="preserve">Q00361</t>
  </si>
  <si>
    <t xml:space="preserve">Q00362</t>
  </si>
  <si>
    <t xml:space="preserve">Q00363</t>
  </si>
  <si>
    <t xml:space="preserve">Q00364</t>
  </si>
  <si>
    <t xml:space="preserve">Q00365</t>
  </si>
  <si>
    <t xml:space="preserve">Q00366</t>
  </si>
  <si>
    <t xml:space="preserve">Q00367</t>
  </si>
  <si>
    <t xml:space="preserve">Q00368</t>
  </si>
  <si>
    <t xml:space="preserve">Q00369</t>
  </si>
  <si>
    <t xml:space="preserve">Q00370</t>
  </si>
  <si>
    <t xml:space="preserve">Q00371</t>
  </si>
  <si>
    <t xml:space="preserve">Q00372</t>
  </si>
  <si>
    <t xml:space="preserve">Q00373</t>
  </si>
  <si>
    <t xml:space="preserve">Q00374</t>
  </si>
  <si>
    <t xml:space="preserve">Q00375</t>
  </si>
  <si>
    <t xml:space="preserve">Q00376</t>
  </si>
  <si>
    <t xml:space="preserve">Q00377</t>
  </si>
  <si>
    <t xml:space="preserve">Q00378</t>
  </si>
  <si>
    <t xml:space="preserve">Q00379</t>
  </si>
  <si>
    <t xml:space="preserve">Q00380</t>
  </si>
  <si>
    <t xml:space="preserve">Q00381</t>
  </si>
  <si>
    <t xml:space="preserve">handle: vendor_c; follower_count: vendor_b; reach_rate: vendor_b; growth_rate: vendor_b</t>
  </si>
  <si>
    <t xml:space="preserve">Q00382</t>
  </si>
  <si>
    <t xml:space="preserve">handle: vendor_c; follower_count: vendor_b; reach_rate: vendor_b; growth_rate: vendor_b; meaningful_eng_rate: vendor_b</t>
  </si>
  <si>
    <t xml:space="preserve">Q00383</t>
  </si>
  <si>
    <t xml:space="preserve">Q00384</t>
  </si>
  <si>
    <t xml:space="preserve">Q00385</t>
  </si>
  <si>
    <t xml:space="preserve">Q00386</t>
  </si>
  <si>
    <t xml:space="preserve">Q00387</t>
  </si>
  <si>
    <t xml:space="preserve">Q00388</t>
  </si>
  <si>
    <t xml:space="preserve">Q00389</t>
  </si>
  <si>
    <t xml:space="preserve">Q00390</t>
  </si>
  <si>
    <t xml:space="preserve">Q00391</t>
  </si>
  <si>
    <t xml:space="preserve">Q00392</t>
  </si>
  <si>
    <t xml:space="preserve">Q00393</t>
  </si>
  <si>
    <t xml:space="preserve">Q00394</t>
  </si>
  <si>
    <t xml:space="preserve">Q00395</t>
  </si>
  <si>
    <t xml:space="preserve">Q00396</t>
  </si>
  <si>
    <t xml:space="preserve">Q00397</t>
  </si>
  <si>
    <t xml:space="preserve">Q00398</t>
  </si>
  <si>
    <t xml:space="preserve">Q00399</t>
  </si>
  <si>
    <t xml:space="preserve">Q00400</t>
  </si>
  <si>
    <t xml:space="preserve">Q00401</t>
  </si>
  <si>
    <t xml:space="preserve">Q00402</t>
  </si>
  <si>
    <t xml:space="preserve">Q00403</t>
  </si>
  <si>
    <t xml:space="preserve">Q00404</t>
  </si>
  <si>
    <t xml:space="preserve">handle: vendor_c; follower_count: vendor_c; growth_rate: vendor_c; meaningful_eng_rate: vendor_c</t>
  </si>
  <si>
    <t xml:space="preserve">Q00405</t>
  </si>
  <si>
    <t xml:space="preserve">Q00406</t>
  </si>
  <si>
    <t xml:space="preserve">Q00407</t>
  </si>
  <si>
    <t xml:space="preserve">Q00408</t>
  </si>
  <si>
    <t xml:space="preserve">Q00409</t>
  </si>
  <si>
    <t xml:space="preserve">Q00410</t>
  </si>
  <si>
    <t xml:space="preserve">Q00411</t>
  </si>
  <si>
    <t xml:space="preserve">Q00412</t>
  </si>
  <si>
    <t xml:space="preserve">Q00413</t>
  </si>
  <si>
    <t xml:space="preserve">Q00414</t>
  </si>
  <si>
    <t xml:space="preserve">Q00415</t>
  </si>
  <si>
    <t xml:space="preserve">Q00416</t>
  </si>
  <si>
    <t xml:space="preserve">Q00417</t>
  </si>
  <si>
    <t xml:space="preserve">Q00418</t>
  </si>
  <si>
    <t xml:space="preserve">Q00419</t>
  </si>
  <si>
    <t xml:space="preserve">Q00420</t>
  </si>
  <si>
    <t xml:space="preserve">Q00421</t>
  </si>
  <si>
    <t xml:space="preserve">Q00422</t>
  </si>
  <si>
    <t xml:space="preserve">Q00423</t>
  </si>
  <si>
    <t xml:space="preserve">Q00424</t>
  </si>
  <si>
    <t xml:space="preserve">Q00425</t>
  </si>
  <si>
    <t xml:space="preserve">Q00426</t>
  </si>
  <si>
    <t xml:space="preserve">Q00427</t>
  </si>
  <si>
    <t xml:space="preserve">Q00428</t>
  </si>
  <si>
    <t xml:space="preserve">Q00429</t>
  </si>
  <si>
    <t xml:space="preserve">Q00430</t>
  </si>
  <si>
    <t xml:space="preserve">Q00431</t>
  </si>
  <si>
    <t xml:space="preserve">Q00432</t>
  </si>
  <si>
    <t xml:space="preserve">Q00433</t>
  </si>
  <si>
    <t xml:space="preserve">Q00434</t>
  </si>
  <si>
    <t xml:space="preserve">Q00435</t>
  </si>
  <si>
    <t xml:space="preserve">Q00436</t>
  </si>
  <si>
    <t xml:space="preserve">Q00437</t>
  </si>
  <si>
    <t xml:space="preserve">Q00438</t>
  </si>
  <si>
    <t xml:space="preserve">Q00439</t>
  </si>
  <si>
    <t xml:space="preserve">Q00440</t>
  </si>
  <si>
    <t xml:space="preserve">Q00441</t>
  </si>
  <si>
    <t xml:space="preserve">Q00442</t>
  </si>
  <si>
    <t xml:space="preserve">Q00443</t>
  </si>
  <si>
    <t xml:space="preserve">Q00444</t>
  </si>
  <si>
    <t xml:space="preserve">Q00445</t>
  </si>
  <si>
    <t xml:space="preserve">Q00446</t>
  </si>
  <si>
    <t xml:space="preserve">handle: vendor_b; follower_count: vendor_b; reach_rate: vendor_b; growth_rate: vendor_b; meaningful_eng_rate: vendor_c</t>
  </si>
  <si>
    <t xml:space="preserve">Q00447</t>
  </si>
  <si>
    <t xml:space="preserve">Q00448</t>
  </si>
  <si>
    <t xml:space="preserve">Q00449</t>
  </si>
  <si>
    <t xml:space="preserve">Q00450</t>
  </si>
  <si>
    <t xml:space="preserve">Q00451</t>
  </si>
  <si>
    <t xml:space="preserve">Q00452</t>
  </si>
  <si>
    <t xml:space="preserve">Q00453</t>
  </si>
  <si>
    <t xml:space="preserve">Q00454</t>
  </si>
  <si>
    <t xml:space="preserve">Q00455</t>
  </si>
  <si>
    <t xml:space="preserve">Q00456</t>
  </si>
  <si>
    <t xml:space="preserve">Q00457</t>
  </si>
  <si>
    <t xml:space="preserve">Q00458</t>
  </si>
  <si>
    <t xml:space="preserve">Q00459</t>
  </si>
  <si>
    <t xml:space="preserve">handle, follower_count, meaningful_eng_rate</t>
  </si>
  <si>
    <t xml:space="preserve">handle: vendor_b; follower_count: vendor_b; meaningful_eng_rate: vendor_b</t>
  </si>
  <si>
    <t xml:space="preserve">Q00460</t>
  </si>
  <si>
    <t xml:space="preserve">Q00461</t>
  </si>
  <si>
    <t xml:space="preserve">Q00462</t>
  </si>
  <si>
    <t xml:space="preserve">Q00463</t>
  </si>
  <si>
    <t xml:space="preserve">Q00464</t>
  </si>
  <si>
    <t xml:space="preserve">Q00465</t>
  </si>
  <si>
    <t xml:space="preserve">Q00466</t>
  </si>
  <si>
    <t xml:space="preserve">Q00467</t>
  </si>
  <si>
    <t xml:space="preserve">Q00468</t>
  </si>
  <si>
    <t xml:space="preserve">Q00469</t>
  </si>
  <si>
    <t xml:space="preserve">Q00470</t>
  </si>
  <si>
    <t xml:space="preserve">Q00471</t>
  </si>
  <si>
    <t xml:space="preserve">Q00472</t>
  </si>
  <si>
    <t xml:space="preserve">Q00473</t>
  </si>
  <si>
    <t xml:space="preserve">Q00474</t>
  </si>
  <si>
    <t xml:space="preserve">Q00475</t>
  </si>
  <si>
    <t xml:space="preserve">Q00476</t>
  </si>
  <si>
    <t xml:space="preserve">Q00477</t>
  </si>
  <si>
    <t xml:space="preserve">Q00478</t>
  </si>
  <si>
    <t xml:space="preserve">Q00479</t>
  </si>
  <si>
    <t xml:space="preserve">Q00480</t>
  </si>
  <si>
    <t xml:space="preserve">Q00481</t>
  </si>
  <si>
    <t xml:space="preserve">Q00482</t>
  </si>
  <si>
    <t xml:space="preserve">Q00483</t>
  </si>
  <si>
    <t xml:space="preserve">Q00484</t>
  </si>
  <si>
    <t xml:space="preserve">Q00485</t>
  </si>
  <si>
    <t xml:space="preserve">Q00486</t>
  </si>
  <si>
    <t xml:space="preserve">follower_count, growth_rate</t>
  </si>
  <si>
    <t xml:space="preserve">follower_count: vendor_c; growth_rate: vendor_c</t>
  </si>
  <si>
    <t xml:space="preserve">Q00487</t>
  </si>
  <si>
    <t xml:space="preserve">Q00488</t>
  </si>
  <si>
    <t xml:space="preserve">Q00489</t>
  </si>
  <si>
    <t xml:space="preserve">Q00490</t>
  </si>
  <si>
    <t xml:space="preserve">Q00491</t>
  </si>
  <si>
    <t xml:space="preserve">Q00492</t>
  </si>
  <si>
    <t xml:space="preserve">Q00493</t>
  </si>
  <si>
    <t xml:space="preserve">Q00494</t>
  </si>
  <si>
    <t xml:space="preserve">Q00495</t>
  </si>
  <si>
    <t xml:space="preserve">Q00496</t>
  </si>
  <si>
    <t xml:space="preserve">Q00497</t>
  </si>
  <si>
    <t xml:space="preserve">Q00498</t>
  </si>
  <si>
    <t xml:space="preserve">Q00499</t>
  </si>
  <si>
    <t xml:space="preserve">Q00500</t>
  </si>
  <si>
    <t xml:space="preserve">Q00501</t>
  </si>
  <si>
    <t xml:space="preserve">Q00502</t>
  </si>
  <si>
    <t xml:space="preserve">Q00503</t>
  </si>
  <si>
    <t xml:space="preserve">Q00504</t>
  </si>
  <si>
    <t xml:space="preserve">Q00505</t>
  </si>
  <si>
    <t xml:space="preserve">Q00506</t>
  </si>
  <si>
    <t xml:space="preserve">Q00507</t>
  </si>
  <si>
    <t xml:space="preserve">reach_rate: vendor_c</t>
  </si>
  <si>
    <t xml:space="preserve">vendor_a's record lacks a valid value for reach_rate; filled from vendor_c (fallback).</t>
  </si>
  <si>
    <t xml:space="preserve">Q00508</t>
  </si>
  <si>
    <t xml:space="preserve">Q00509</t>
  </si>
  <si>
    <t xml:space="preserve">Q00510</t>
  </si>
  <si>
    <t xml:space="preserve">Q00511</t>
  </si>
  <si>
    <t xml:space="preserve">Q00512</t>
  </si>
  <si>
    <t xml:space="preserve">Q00513</t>
  </si>
  <si>
    <t xml:space="preserve">Q00514</t>
  </si>
  <si>
    <t xml:space="preserve">Q00515</t>
  </si>
  <si>
    <t xml:space="preserve">Q00516</t>
  </si>
  <si>
    <t xml:space="preserve">Q00517</t>
  </si>
  <si>
    <t xml:space="preserve">Q00518</t>
  </si>
  <si>
    <t xml:space="preserve">Q00519</t>
  </si>
  <si>
    <t xml:space="preserve">Q00520</t>
  </si>
  <si>
    <t xml:space="preserve">Q00521</t>
  </si>
  <si>
    <t xml:space="preserve">Q00522</t>
  </si>
  <si>
    <t xml:space="preserve">Q00523</t>
  </si>
  <si>
    <t xml:space="preserve">Q00524</t>
  </si>
  <si>
    <t xml:space="preserve">Q00525</t>
  </si>
  <si>
    <t xml:space="preserve">Q00526</t>
  </si>
  <si>
    <t xml:space="preserve">Q00527</t>
  </si>
  <si>
    <t xml:space="preserve">Q00528</t>
  </si>
  <si>
    <t xml:space="preserve">Q00529</t>
  </si>
  <si>
    <t xml:space="preserve">Q00530</t>
  </si>
  <si>
    <t xml:space="preserve">Q00531</t>
  </si>
  <si>
    <t xml:space="preserve">Q00532</t>
  </si>
  <si>
    <t xml:space="preserve">Q00533</t>
  </si>
  <si>
    <t xml:space="preserve">Q00534</t>
  </si>
  <si>
    <t xml:space="preserve">Q00535</t>
  </si>
  <si>
    <t xml:space="preserve">Q00536</t>
  </si>
  <si>
    <t xml:space="preserve">Q00537</t>
  </si>
  <si>
    <t xml:space="preserve">Q00538</t>
  </si>
  <si>
    <t xml:space="preserve">Q00539</t>
  </si>
  <si>
    <t xml:space="preserve">Q00540</t>
  </si>
  <si>
    <t xml:space="preserve">Q00541</t>
  </si>
  <si>
    <t xml:space="preserve">Q00542</t>
  </si>
  <si>
    <t xml:space="preserve">Q00543</t>
  </si>
  <si>
    <t xml:space="preserve">Q00544</t>
  </si>
  <si>
    <t xml:space="preserve">Q00545</t>
  </si>
  <si>
    <t xml:space="preserve">Q00546</t>
  </si>
  <si>
    <t xml:space="preserve">follower_count, meaningful_eng_rate</t>
  </si>
  <si>
    <t xml:space="preserve">follower_count: vendor_c; meaningful_eng_rate: vendor_c</t>
  </si>
  <si>
    <t xml:space="preserve">Q00547</t>
  </si>
  <si>
    <t xml:space="preserve">Q00548</t>
  </si>
  <si>
    <t xml:space="preserve">Q00549</t>
  </si>
  <si>
    <t xml:space="preserve">Q00550</t>
  </si>
  <si>
    <t xml:space="preserve">Q00551</t>
  </si>
  <si>
    <t xml:space="preserve">Q00552</t>
  </si>
  <si>
    <t xml:space="preserve">Q00553</t>
  </si>
  <si>
    <t xml:space="preserve">Q00554</t>
  </si>
  <si>
    <t xml:space="preserve">Q00555</t>
  </si>
  <si>
    <t xml:space="preserve">Q00556</t>
  </si>
  <si>
    <t xml:space="preserve">Q00557</t>
  </si>
  <si>
    <t xml:space="preserve">Q00558</t>
  </si>
  <si>
    <t xml:space="preserve">Q00559</t>
  </si>
  <si>
    <t xml:space="preserve">Q00560</t>
  </si>
  <si>
    <t xml:space="preserve">Q00561</t>
  </si>
  <si>
    <t xml:space="preserve">Q00562</t>
  </si>
  <si>
    <t xml:space="preserve">Q00563</t>
  </si>
  <si>
    <t xml:space="preserve">Q00564</t>
  </si>
  <si>
    <t xml:space="preserve">Q00565</t>
  </si>
  <si>
    <t xml:space="preserve">Q00566</t>
  </si>
  <si>
    <t xml:space="preserve">Q00567</t>
  </si>
  <si>
    <t xml:space="preserve">Q00568</t>
  </si>
  <si>
    <t xml:space="preserve">Q00569</t>
  </si>
  <si>
    <t xml:space="preserve">Q00570</t>
  </si>
  <si>
    <t xml:space="preserve">Q00571</t>
  </si>
  <si>
    <t xml:space="preserve">Q00572</t>
  </si>
  <si>
    <t xml:space="preserve">Q00573</t>
  </si>
  <si>
    <t xml:space="preserve">Q00574</t>
  </si>
  <si>
    <t xml:space="preserve">Q00575</t>
  </si>
  <si>
    <t xml:space="preserve">Q00576</t>
  </si>
  <si>
    <t xml:space="preserve">Q00577</t>
  </si>
  <si>
    <t xml:space="preserve">Q00578</t>
  </si>
  <si>
    <t xml:space="preserve">Q00579</t>
  </si>
  <si>
    <t xml:space="preserve">Q00580</t>
  </si>
  <si>
    <t xml:space="preserve">Q00581</t>
  </si>
  <si>
    <t xml:space="preserve">Q00582</t>
  </si>
  <si>
    <t xml:space="preserve">Q00583</t>
  </si>
  <si>
    <t xml:space="preserve">Q00584</t>
  </si>
  <si>
    <t xml:space="preserve">Q00585</t>
  </si>
  <si>
    <t xml:space="preserve">Q00586</t>
  </si>
  <si>
    <t xml:space="preserve">Q00587</t>
  </si>
  <si>
    <t xml:space="preserve">Q00588</t>
  </si>
  <si>
    <t xml:space="preserve">Q00589</t>
  </si>
  <si>
    <t xml:space="preserve">Q00590</t>
  </si>
  <si>
    <t xml:space="preserve">Q00591</t>
  </si>
  <si>
    <t xml:space="preserve">Q00592</t>
  </si>
  <si>
    <t xml:space="preserve">Q00593</t>
  </si>
  <si>
    <t xml:space="preserve">Q00594</t>
  </si>
  <si>
    <t xml:space="preserve">Q00595</t>
  </si>
  <si>
    <t xml:space="preserve">Q00596</t>
  </si>
  <si>
    <t xml:space="preserve">Q00597</t>
  </si>
  <si>
    <t xml:space="preserve">Q00598</t>
  </si>
  <si>
    <t xml:space="preserve">Q00599</t>
  </si>
  <si>
    <t xml:space="preserve">Q00600</t>
  </si>
  <si>
    <t xml:space="preserve">Q00601</t>
  </si>
  <si>
    <t xml:space="preserve">Q00602</t>
  </si>
  <si>
    <t xml:space="preserve">Q00603</t>
  </si>
  <si>
    <t xml:space="preserve">Q00604</t>
  </si>
  <si>
    <t xml:space="preserve">Q00605</t>
  </si>
  <si>
    <t xml:space="preserve">Q00606</t>
  </si>
  <si>
    <t xml:space="preserve">Q00607</t>
  </si>
  <si>
    <t xml:space="preserve">Q00608</t>
  </si>
  <si>
    <t xml:space="preserve">Q00609</t>
  </si>
  <si>
    <t xml:space="preserve">Q00610</t>
  </si>
  <si>
    <t xml:space="preserve">Q00611</t>
  </si>
  <si>
    <t xml:space="preserve">Q00612</t>
  </si>
  <si>
    <t xml:space="preserve">Q00613</t>
  </si>
  <si>
    <t xml:space="preserve">Q00614</t>
  </si>
  <si>
    <t xml:space="preserve">Q00615</t>
  </si>
  <si>
    <t xml:space="preserve">Q00616</t>
  </si>
  <si>
    <t xml:space="preserve">Q00617</t>
  </si>
  <si>
    <t xml:space="preserve">Q00618</t>
  </si>
  <si>
    <t xml:space="preserve">follower_count: vendor_b; reach_rate: vendor_b; growth_rate: vendor_c</t>
  </si>
  <si>
    <t xml:space="preserve">vendor_a's record lacks a valid value for ; filled from vendor_b, vendor_c (fallback).</t>
  </si>
  <si>
    <t xml:space="preserve">Q00619</t>
  </si>
  <si>
    <t xml:space="preserve">Q00620</t>
  </si>
  <si>
    <t xml:space="preserve">Q00621</t>
  </si>
  <si>
    <t xml:space="preserve">Q00622</t>
  </si>
  <si>
    <t xml:space="preserve">Q00623</t>
  </si>
  <si>
    <t xml:space="preserve">Q00624</t>
  </si>
  <si>
    <t xml:space="preserve">Q00625</t>
  </si>
  <si>
    <t xml:space="preserve">Q00626</t>
  </si>
  <si>
    <t xml:space="preserve">Q00627</t>
  </si>
  <si>
    <t xml:space="preserve">Q00628</t>
  </si>
  <si>
    <t xml:space="preserve">Q00629</t>
  </si>
  <si>
    <t xml:space="preserve">Q00630</t>
  </si>
  <si>
    <t xml:space="preserve">Q00631</t>
  </si>
  <si>
    <t xml:space="preserve">Q00632</t>
  </si>
  <si>
    <t xml:space="preserve">Q00633</t>
  </si>
  <si>
    <t xml:space="preserve">Q00634</t>
  </si>
  <si>
    <t xml:space="preserve">Q00635</t>
  </si>
  <si>
    <t xml:space="preserve">Q00636</t>
  </si>
  <si>
    <t xml:space="preserve">Q00637</t>
  </si>
  <si>
    <t xml:space="preserve">Q00638</t>
  </si>
  <si>
    <t xml:space="preserve">Q00639</t>
  </si>
  <si>
    <t xml:space="preserve">Q00640</t>
  </si>
  <si>
    <t xml:space="preserve">Q00641</t>
  </si>
  <si>
    <t xml:space="preserve">Q00642</t>
  </si>
  <si>
    <t xml:space="preserve">Q00643</t>
  </si>
  <si>
    <t xml:space="preserve">Q00644</t>
  </si>
  <si>
    <t xml:space="preserve">Q00645</t>
  </si>
  <si>
    <t xml:space="preserve">Q00646</t>
  </si>
  <si>
    <t xml:space="preserve">Q00647</t>
  </si>
  <si>
    <t xml:space="preserve">Q00648</t>
  </si>
  <si>
    <t xml:space="preserve">Q00649</t>
  </si>
  <si>
    <t xml:space="preserve">Q00650</t>
  </si>
  <si>
    <t xml:space="preserve">Q00651</t>
  </si>
  <si>
    <t xml:space="preserve">Q00652</t>
  </si>
  <si>
    <t xml:space="preserve">Q00653</t>
  </si>
  <si>
    <t xml:space="preserve">Q00654</t>
  </si>
  <si>
    <t xml:space="preserve">Q00655</t>
  </si>
  <si>
    <t xml:space="preserve">Q00656</t>
  </si>
  <si>
    <t xml:space="preserve">Q00657</t>
  </si>
  <si>
    <t xml:space="preserve">Q00658</t>
  </si>
  <si>
    <t xml:space="preserve">Q00659</t>
  </si>
  <si>
    <t xml:space="preserve">Q00660</t>
  </si>
  <si>
    <t xml:space="preserve">Q00661</t>
  </si>
  <si>
    <t xml:space="preserve">Q00662</t>
  </si>
  <si>
    <t xml:space="preserve">Q00663</t>
  </si>
  <si>
    <t xml:space="preserve">Q00664</t>
  </si>
  <si>
    <t xml:space="preserve">Q00665</t>
  </si>
  <si>
    <t xml:space="preserve">Q00666</t>
  </si>
  <si>
    <t xml:space="preserve">Q00667</t>
  </si>
  <si>
    <t xml:space="preserve">Q00668</t>
  </si>
  <si>
    <t xml:space="preserve">Q00669</t>
  </si>
  <si>
    <t xml:space="preserve">Q00670</t>
  </si>
  <si>
    <t xml:space="preserve">Q00671</t>
  </si>
  <si>
    <t xml:space="preserve">handle: vendor_b; follower_count: vendor_b</t>
  </si>
  <si>
    <t xml:space="preserve">Q00672</t>
  </si>
  <si>
    <t xml:space="preserve">Q00673</t>
  </si>
  <si>
    <t xml:space="preserve">Q00674</t>
  </si>
  <si>
    <t xml:space="preserve">Q00675</t>
  </si>
  <si>
    <t xml:space="preserve">Q00676</t>
  </si>
  <si>
    <t xml:space="preserve">Q00677</t>
  </si>
  <si>
    <t xml:space="preserve">Q00678</t>
  </si>
  <si>
    <t xml:space="preserve">Q00679</t>
  </si>
  <si>
    <t xml:space="preserve">Q00680</t>
  </si>
  <si>
    <t xml:space="preserve">Q00681</t>
  </si>
  <si>
    <t xml:space="preserve">Q00682</t>
  </si>
  <si>
    <t xml:space="preserve">Q00683</t>
  </si>
  <si>
    <t xml:space="preserve">Q00684</t>
  </si>
  <si>
    <t xml:space="preserve">Q00685</t>
  </si>
  <si>
    <t xml:space="preserve">Q00686</t>
  </si>
  <si>
    <t xml:space="preserve">vendor_a's record lacks a valid value for follower_count, growth_rate; filled from vendor_c (fallback).</t>
  </si>
  <si>
    <t xml:space="preserve">Q00687</t>
  </si>
  <si>
    <t xml:space="preserve">handle: vendor_b; follower_count: vendor_c; growth_rate: vendor_c</t>
  </si>
  <si>
    <t xml:space="preserve">Q00688</t>
  </si>
  <si>
    <t xml:space="preserve">Q00689</t>
  </si>
  <si>
    <t xml:space="preserve">handle: vendor_c; follower_count: vendor_c; meaningful_eng_rate: vendor_c</t>
  </si>
  <si>
    <t xml:space="preserve">Q00690</t>
  </si>
  <si>
    <t xml:space="preserve">Q00691</t>
  </si>
  <si>
    <t xml:space="preserve">Q00692</t>
  </si>
  <si>
    <t xml:space="preserve">Q00693</t>
  </si>
  <si>
    <t xml:space="preserve">Q00694</t>
  </si>
  <si>
    <t xml:space="preserve">Q00695</t>
  </si>
  <si>
    <t xml:space="preserve">Q00696</t>
  </si>
  <si>
    <t xml:space="preserve">Q00697</t>
  </si>
  <si>
    <t xml:space="preserve">Q00698</t>
  </si>
  <si>
    <t xml:space="preserve">Q00699</t>
  </si>
  <si>
    <t xml:space="preserve">Q00700</t>
  </si>
  <si>
    <t xml:space="preserve">Q00701</t>
  </si>
  <si>
    <t xml:space="preserve">Q00702</t>
  </si>
  <si>
    <t xml:space="preserve">Q00703</t>
  </si>
  <si>
    <t xml:space="preserve">Q00704</t>
  </si>
  <si>
    <t xml:space="preserve">Q00705</t>
  </si>
  <si>
    <t xml:space="preserve">Q00706</t>
  </si>
  <si>
    <t xml:space="preserve">Q00707</t>
  </si>
  <si>
    <t xml:space="preserve">Q00708</t>
  </si>
  <si>
    <t xml:space="preserve">Q00709</t>
  </si>
  <si>
    <t xml:space="preserve">Q00710</t>
  </si>
  <si>
    <t xml:space="preserve">Q00711</t>
  </si>
  <si>
    <t xml:space="preserve">Q00712</t>
  </si>
  <si>
    <t xml:space="preserve">Q00713</t>
  </si>
  <si>
    <t xml:space="preserve">Q00714</t>
  </si>
  <si>
    <t xml:space="preserve">Q00715</t>
  </si>
  <si>
    <t xml:space="preserve">Q00716</t>
  </si>
  <si>
    <t xml:space="preserve">Q00717</t>
  </si>
  <si>
    <t xml:space="preserve">Q00718</t>
  </si>
  <si>
    <t xml:space="preserve">Q00719</t>
  </si>
  <si>
    <t xml:space="preserve">Q00720</t>
  </si>
  <si>
    <t xml:space="preserve">Q00721</t>
  </si>
  <si>
    <t xml:space="preserve">Q00722</t>
  </si>
  <si>
    <t xml:space="preserve">handle: vendor_c; follower_count: vendor_c; reach_rate: vendor_c; meaningful_eng_rate: vendor_c</t>
  </si>
  <si>
    <t xml:space="preserve">Q00723</t>
  </si>
  <si>
    <t xml:space="preserve">Q00724</t>
  </si>
  <si>
    <t xml:space="preserve">Q00725</t>
  </si>
  <si>
    <t xml:space="preserve">Q00726</t>
  </si>
  <si>
    <t xml:space="preserve">Q00727</t>
  </si>
  <si>
    <t xml:space="preserve">Q00728</t>
  </si>
  <si>
    <t xml:space="preserve">Q00729</t>
  </si>
  <si>
    <t xml:space="preserve">Q00730</t>
  </si>
  <si>
    <t xml:space="preserve">Q00731</t>
  </si>
  <si>
    <t xml:space="preserve">vendor_a's record lacks a valid value for ; filled from vendor_b (fallback).</t>
  </si>
  <si>
    <t xml:space="preserve">Q00732</t>
  </si>
  <si>
    <t xml:space="preserve">Q00733</t>
  </si>
  <si>
    <t xml:space="preserve">Q00734</t>
  </si>
  <si>
    <t xml:space="preserve">Q00735</t>
  </si>
  <si>
    <t xml:space="preserve">Q00736</t>
  </si>
  <si>
    <t xml:space="preserve">Q00737</t>
  </si>
  <si>
    <t xml:space="preserve">Q00738</t>
  </si>
  <si>
    <t xml:space="preserve">Q00739</t>
  </si>
  <si>
    <t xml:space="preserve">Q00740</t>
  </si>
  <si>
    <t xml:space="preserve">Q00741</t>
  </si>
  <si>
    <t xml:space="preserve">Q00742</t>
  </si>
  <si>
    <t xml:space="preserve">Q00743</t>
  </si>
  <si>
    <t xml:space="preserve">Q00744</t>
  </si>
  <si>
    <t xml:space="preserve">Q00745</t>
  </si>
  <si>
    <t xml:space="preserve">Q00746</t>
  </si>
  <si>
    <t xml:space="preserve">handle: vendor_b; follower_count: vendor_b; reach_rate: vendor_c; growth_rate: vendor_b; meaningful_eng_rate: vendor_b</t>
  </si>
  <si>
    <t xml:space="preserve">Q00747</t>
  </si>
  <si>
    <t xml:space="preserve">Q00748</t>
  </si>
  <si>
    <t xml:space="preserve">Q00749</t>
  </si>
  <si>
    <t xml:space="preserve">Q00750</t>
  </si>
  <si>
    <t xml:space="preserve">Q00751</t>
  </si>
  <si>
    <t xml:space="preserve">Q00752</t>
  </si>
  <si>
    <t xml:space="preserve">Q00753</t>
  </si>
  <si>
    <t xml:space="preserve">Q00754</t>
  </si>
  <si>
    <t xml:space="preserve">Q00755</t>
  </si>
  <si>
    <t xml:space="preserve">Q00756</t>
  </si>
  <si>
    <t xml:space="preserve">Q00757</t>
  </si>
  <si>
    <t xml:space="preserve">Q00758</t>
  </si>
  <si>
    <t xml:space="preserve">Q00759</t>
  </si>
  <si>
    <t xml:space="preserve">Q00760</t>
  </si>
  <si>
    <t xml:space="preserve">Q00761</t>
  </si>
  <si>
    <t xml:space="preserve">Q00762</t>
  </si>
  <si>
    <t xml:space="preserve">Q00763</t>
  </si>
  <si>
    <t xml:space="preserve">Q00764</t>
  </si>
  <si>
    <t xml:space="preserve">Q00765</t>
  </si>
  <si>
    <t xml:space="preserve">Q00766</t>
  </si>
  <si>
    <t xml:space="preserve">Q00767</t>
  </si>
  <si>
    <t xml:space="preserve">Q00768</t>
  </si>
  <si>
    <t xml:space="preserve">Q00769</t>
  </si>
  <si>
    <t xml:space="preserve">Q00770</t>
  </si>
  <si>
    <t xml:space="preserve">Q00771</t>
  </si>
  <si>
    <t xml:space="preserve">Q00772</t>
  </si>
  <si>
    <t xml:space="preserve">Q00773</t>
  </si>
  <si>
    <t xml:space="preserve">Q00774</t>
  </si>
  <si>
    <t xml:space="preserve">Q00775</t>
  </si>
  <si>
    <t xml:space="preserve">Q00776</t>
  </si>
  <si>
    <t xml:space="preserve">Q00777</t>
  </si>
  <si>
    <t xml:space="preserve">Q00778</t>
  </si>
  <si>
    <t xml:space="preserve">Q00779</t>
  </si>
  <si>
    <t xml:space="preserve">Q00780</t>
  </si>
  <si>
    <t xml:space="preserve">Q00781</t>
  </si>
  <si>
    <t xml:space="preserve">Q00782</t>
  </si>
  <si>
    <t xml:space="preserve">Q00783</t>
  </si>
  <si>
    <t xml:space="preserve">Q00784</t>
  </si>
  <si>
    <t xml:space="preserve">Q00785</t>
  </si>
  <si>
    <t xml:space="preserve">Q00786</t>
  </si>
  <si>
    <t xml:space="preserve">Q00787</t>
  </si>
  <si>
    <t xml:space="preserve">Q00788</t>
  </si>
  <si>
    <t xml:space="preserve">Q00789</t>
  </si>
  <si>
    <t xml:space="preserve">Q00790</t>
  </si>
  <si>
    <t xml:space="preserve">Q00791</t>
  </si>
  <si>
    <t xml:space="preserve">Q00792</t>
  </si>
  <si>
    <t xml:space="preserve">Q00793</t>
  </si>
  <si>
    <t xml:space="preserve">Q00794</t>
  </si>
  <si>
    <t xml:space="preserve">Q00795</t>
  </si>
  <si>
    <t xml:space="preserve">Q00796</t>
  </si>
  <si>
    <t xml:space="preserve">Q00797</t>
  </si>
  <si>
    <t xml:space="preserve">Q00798</t>
  </si>
  <si>
    <t xml:space="preserve">Q00799</t>
  </si>
  <si>
    <t xml:space="preserve">Q00800</t>
  </si>
  <si>
    <t xml:space="preserve">Q00801</t>
  </si>
  <si>
    <t xml:space="preserve">Q00802</t>
  </si>
  <si>
    <t xml:space="preserve">Q00803</t>
  </si>
  <si>
    <t xml:space="preserve">Q00804</t>
  </si>
  <si>
    <t xml:space="preserve">Q00805</t>
  </si>
  <si>
    <t xml:space="preserve">Q00806</t>
  </si>
  <si>
    <t xml:space="preserve">Q00807</t>
  </si>
  <si>
    <t xml:space="preserve">Q00808</t>
  </si>
  <si>
    <t xml:space="preserve">Q00809</t>
  </si>
  <si>
    <t xml:space="preserve">Q00810</t>
  </si>
  <si>
    <t xml:space="preserve">Q00811</t>
  </si>
  <si>
    <t xml:space="preserve">Q00812</t>
  </si>
  <si>
    <t xml:space="preserve">Q00813</t>
  </si>
  <si>
    <t xml:space="preserve">Q00814</t>
  </si>
  <si>
    <t xml:space="preserve">Q00815</t>
  </si>
  <si>
    <t xml:space="preserve">Q00816</t>
  </si>
  <si>
    <t xml:space="preserve">Q00817</t>
  </si>
  <si>
    <t xml:space="preserve">Q00818</t>
  </si>
  <si>
    <t xml:space="preserve">Q00819</t>
  </si>
  <si>
    <t xml:space="preserve">Q00820</t>
  </si>
  <si>
    <t xml:space="preserve">Q00821</t>
  </si>
  <si>
    <t xml:space="preserve">Q00822</t>
  </si>
  <si>
    <t xml:space="preserve">Q00823</t>
  </si>
  <si>
    <t xml:space="preserve">Q00824</t>
  </si>
  <si>
    <t xml:space="preserve">Q00825</t>
  </si>
  <si>
    <t xml:space="preserve">Q00826</t>
  </si>
  <si>
    <t xml:space="preserve">Q00827</t>
  </si>
  <si>
    <t xml:space="preserve">Q00828</t>
  </si>
  <si>
    <t xml:space="preserve">Q00829</t>
  </si>
  <si>
    <t xml:space="preserve">Q00830</t>
  </si>
  <si>
    <t xml:space="preserve">Q00831</t>
  </si>
  <si>
    <t xml:space="preserve">Reason codes and severities</t>
  </si>
  <si>
    <t xml:space="preserve">Severities and thresholds are set in config.yaml → qa_rules.</t>
  </si>
  <si>
    <t xml:space="preserve">Count this month</t>
  </si>
  <si>
    <t xml:space="preserve">What it means</t>
  </si>
  <si>
    <t xml:space="preserve">What to do</t>
  </si>
  <si>
    <t xml:space="preserve">Vendors report different accounts for the same creator-channel and no majority agrees.</t>
  </si>
  <si>
    <t xml:space="preserve">YELLOW</t>
  </si>
  <si>
    <t xml:space="preserve">Vendors disagreed on the account, but a majority agreed; the odd one out was dropped.</t>
  </si>
  <si>
    <t xml:space="preserve">No action needed. Spot-check if the dropped vendor often disagrees.</t>
  </si>
  <si>
    <t xml:space="preserve">Vendors' values differ beyond the threshold with no credible majority; value held back.</t>
  </si>
  <si>
    <t xml:space="preserve">One vendor's value was an outlier against two that agree; the agreeing value was used.</t>
  </si>
  <si>
    <t xml:space="preserve">No action needed. Watch for repeat outliers from the same vendor.</t>
  </si>
  <si>
    <t xml:space="preserve">Tier 1 couldn't supply the field (no record, stale, invalid or excluded); a lower tier did.</t>
  </si>
  <si>
    <t xml:space="preserve">No action needed. Tracked to monitor vendor coverage.</t>
  </si>
  <si>
    <t xml:space="preserve">Unusually large change vs the previous month; kept, since it can be genuine.</t>
  </si>
  <si>
    <t xml:space="preserve">No action needed. Worth a look if the creator is being shortlisted.</t>
  </si>
  <si>
    <t xml:space="preserve">Review audit trail (this month)</t>
  </si>
  <si>
    <t xml:space="preserve">Every human decision with the original values and what was accepted.</t>
  </si>
  <si>
    <t xml:space="preserve">Reviewed at (UTC)</t>
  </si>
  <si>
    <t xml:space="preserve">Original values</t>
  </si>
  <si>
    <t xml:space="preserve">{"vendor_c": "creator808_instagram", "vendor_a": "creator1088_instagram"}</t>
  </si>
  <si>
    <t xml:space="preserve">{"vendor_c": "creator1004_instagram", "vendor_b": "creator785_instagram"}</t>
  </si>
  <si>
    <t xml:space="preserve">{"vendor_c": "creator212_instagram", "vendor_b": "creator345_instagram"}</t>
  </si>
  <si>
    <t xml:space="preserve">{"vendor_c": "creator405_instagram", "vendor_b": "creator1201_instagram"}</t>
  </si>
  <si>
    <t xml:space="preserve">{"vendor_c": "creator686_instagram", "vendor_b": "creator151_instagram"}</t>
  </si>
  <si>
    <t xml:space="preserve">{"vendor_c": "creator452_instagram", "vendor_b": "creator622_instagram"}</t>
  </si>
  <si>
    <t xml:space="preserve">{"vendor_c": "creator954_tiktok", "vendor_b": "creator449_tiktok"}</t>
  </si>
  <si>
    <t xml:space="preserve">{"vendor_c": "creator821_tiktok", "vendor_b": "creator257_tiktok"}</t>
  </si>
  <si>
    <t xml:space="preserve">{"vendor_c": "creator1160_youtube", "vendor_a": "creator566_youtube"}</t>
  </si>
  <si>
    <t xml:space="preserve">{"vendor_a": "creator279_youtube", "vendor_b": "creator78_youtube"}</t>
  </si>
  <si>
    <t xml:space="preserve">{"vendor_a": "creator620_tiktok", "vendor_b": "creator359_tiktok"}</t>
  </si>
  <si>
    <t xml:space="preserve">{"vendor_c": 68852.0, "vendor_a": 106589.0}</t>
  </si>
  <si>
    <t xml:space="preserve">106589.0</t>
  </si>
  <si>
    <t xml:space="preserve">{"vendor_c": 301588.0, "vendor_b": 176290.0}</t>
  </si>
  <si>
    <t xml:space="preserve">301588.0</t>
  </si>
  <si>
    <t xml:space="preserve">{"vendor_c": 136886.0, "vendor_b": 81530.0}</t>
  </si>
  <si>
    <t xml:space="preserve">136886.0</t>
  </si>
  <si>
    <t xml:space="preserve">{"vendor_a": 850.0, "vendor_b": 1300.0}</t>
  </si>
  <si>
    <t xml:space="preserve">850.0</t>
  </si>
  <si>
    <t xml:space="preserve">{"vendor_a": 128283.0, "vendor_b": 218400.0}</t>
  </si>
  <si>
    <t xml:space="preserve">218400.0</t>
  </si>
  <si>
    <t xml:space="preserve">{"vendor_c": 177088.0, "vendor_a": 95257.0}</t>
  </si>
  <si>
    <t xml:space="preserve">95257.0</t>
  </si>
  <si>
    <t xml:space="preserve">{"vendor_a": 30971.0, "vendor_b": 15910.0}</t>
  </si>
  <si>
    <t xml:space="preserve">30971.0</t>
  </si>
  <si>
    <t xml:space="preserve">{"vendor_c": 31589.0, "vendor_a": 20513.0}</t>
  </si>
  <si>
    <t xml:space="preserve">20513.0</t>
  </si>
  <si>
    <t xml:space="preserve">{"vendor_c": 65253.0, "vendor_b": 25880.0}</t>
  </si>
  <si>
    <t xml:space="preserve">25880.0</t>
  </si>
  <si>
    <t xml:space="preserve">{"vendor_c": 39545.0, "vendor_a": 24521.0}</t>
  </si>
  <si>
    <t xml:space="preserve">39545.0</t>
  </si>
  <si>
    <t xml:space="preserve">{"vendor_c": 7061.0, "vendor_b": 4460.0}</t>
  </si>
  <si>
    <t xml:space="preserve">7061.0</t>
  </si>
  <si>
    <t xml:space="preserve">{"vendor_a": 7.545934237535733, "vendor_b": 6.89369535204786}</t>
  </si>
  <si>
    <t xml:space="preserve">6.89369535204786</t>
  </si>
  <si>
    <t xml:space="preserve">{"vendor_c": 7.488407968970381, "vendor_a": 6.899930958859603}</t>
  </si>
  <si>
    <t xml:space="preserve">6.899930958859603</t>
  </si>
  <si>
    <t xml:space="preserve">{"vendor_a": 6.9582179750528415, "vendor_b": 7.132046685483256}</t>
  </si>
  <si>
    <t xml:space="preserve">6.9582179750528415</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</si>
</sst>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0"/>
    <numFmt numFmtId="169" formatCode="0.00\x"/>
    <numFmt numFmtId="170" formatCode="\+0.0%;\-0.0%;0.0%"/>
    <numFmt numFmtId="171" formatCode="0.00"/>
    <numFmt numFmtId="172"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0A0A0A"/>
      <name val="Arial"/>
      <family val="0"/>
      <charset val="1"/>
    </font>
    <font>
      <sz val="11"/>
      <color theme="1"/>
      <name val="Arial"/>
      <family val="0"/>
      <charset val="1"/>
    </font>
    <font>
      <i val="true"/>
      <sz val="11"/>
      <color rgb="FF595959"/>
      <name val="Arial"/>
      <family val="0"/>
      <charset val="1"/>
    </font>
    <font>
      <b val="true"/>
      <sz val="11"/>
      <name val="Arial"/>
      <family val="0"/>
      <charset val="1"/>
    </font>
    <font>
      <b val="true"/>
      <sz val="11"/>
      <color rgb="FFFFFFFF"/>
      <name val="Arial"/>
      <family val="0"/>
      <charset val="1"/>
    </font>
    <font>
      <b val="true"/>
      <sz val="11"/>
      <color rgb="FFC2410C"/>
      <name val="Arial"/>
      <family val="0"/>
      <charset val="1"/>
    </font>
    <font>
      <b val="true"/>
      <sz val="11"/>
      <color rgb="FF0A0A0A"/>
      <name val="Arial"/>
      <family val="0"/>
      <charset val="1"/>
    </font>
    <font>
      <i val="true"/>
      <sz val="11"/>
      <color rgb="FF8C8C8C"/>
      <name val="Arial"/>
      <family val="0"/>
      <charset val="1"/>
    </font>
    <font>
      <sz val="11"/>
      <color rgb="FF0000FF"/>
      <name val="Arial"/>
      <family val="0"/>
      <charset val="1"/>
    </font>
    <font>
      <sz val="10"/>
      <name val="Arial"/>
      <family val="2"/>
    </font>
    <font>
      <sz val="11"/>
      <name val="Arial"/>
      <family val="0"/>
      <charset val="1"/>
    </font>
    <font>
      <b val="true"/>
      <sz val="14"/>
      <name val="Arial"/>
      <family val="0"/>
      <charset val="1"/>
    </font>
  </fonts>
  <fills count="8">
    <fill>
      <patternFill patternType="none"/>
    </fill>
    <fill>
      <patternFill patternType="gray125"/>
    </fill>
    <fill>
      <patternFill patternType="solid">
        <fgColor rgb="FF0A0A0A"/>
        <bgColor rgb="FF000000"/>
      </patternFill>
    </fill>
    <fill>
      <patternFill patternType="solid">
        <fgColor rgb="FFEA580C"/>
        <bgColor rgb="FFC2410C"/>
      </patternFill>
    </fill>
    <fill>
      <patternFill patternType="solid">
        <fgColor rgb="FFFDBA74"/>
        <bgColor rgb="FFFED7AA"/>
      </patternFill>
    </fill>
    <fill>
      <patternFill patternType="solid">
        <fgColor rgb="FFFED7AA"/>
        <bgColor rgb="FFD9D9D9"/>
      </patternFill>
    </fill>
    <fill>
      <patternFill patternType="solid">
        <fgColor rgb="FFFFF1E6"/>
        <bgColor rgb="FFF2F2F2"/>
      </patternFill>
    </fill>
    <fill>
      <patternFill patternType="solid">
        <fgColor rgb="FFF2F2F2"/>
        <bgColor rgb="FFFFF1E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9" fontId="5" fillId="7"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70" fontId="5" fillId="7"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9" fontId="5" fillId="4" borderId="0" xfId="0" applyFont="true" applyBorder="false" applyAlignment="false" applyProtection="false">
      <alignment horizontal="general" vertical="bottom" textRotation="0" wrapText="false" indent="0" shrinkToFit="false"/>
      <protection locked="true" hidden="false"/>
    </xf>
    <xf numFmtId="170"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9" fontId="5" fillId="5" borderId="0" xfId="0" applyFont="true" applyBorder="false" applyAlignment="false" applyProtection="false">
      <alignment horizontal="general" vertical="bottom" textRotation="0" wrapText="false" indent="0" shrinkToFit="false"/>
      <protection locked="true" hidden="false"/>
    </xf>
    <xf numFmtId="170" fontId="5" fillId="5"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9" fontId="5" fillId="6" borderId="0" xfId="0" applyFont="true" applyBorder="false" applyAlignment="false" applyProtection="false">
      <alignment horizontal="general" vertical="bottom" textRotation="0" wrapText="false" indent="0" shrinkToFit="false"/>
      <protection locked="true" hidden="false"/>
    </xf>
    <xf numFmtId="170" fontId="5" fillId="6"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4" fillId="3" borderId="0" xfId="0" applyFont="true" applyBorder="false" applyAlignment="true" applyProtection="false">
      <alignment horizontal="general"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4">
    <dxf>
      <fill>
        <patternFill patternType="solid">
          <fgColor rgb="FF0A0A0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580C"/>
          <bgColor rgb="FF000000"/>
        </patternFill>
      </fill>
    </dxf>
    <dxf>
      <fill>
        <patternFill patternType="solid">
          <fgColor rgb="FFFA7417"/>
          <bgColor rgb="FF000000"/>
        </patternFill>
      </fill>
    </dxf>
    <dxf>
      <fill>
        <patternFill patternType="solid">
          <fgColor rgb="FFFA751A"/>
          <bgColor rgb="FF000000"/>
        </patternFill>
      </fill>
    </dxf>
    <dxf>
      <fill>
        <patternFill patternType="solid">
          <fgColor rgb="FFFA761A"/>
          <bgColor rgb="FF000000"/>
        </patternFill>
      </fill>
    </dxf>
    <dxf>
      <fill>
        <patternFill patternType="solid">
          <fgColor rgb="FFFA761B"/>
          <bgColor rgb="FF000000"/>
        </patternFill>
      </fill>
    </dxf>
    <dxf>
      <fill>
        <patternFill patternType="solid">
          <fgColor rgb="FFFA781D"/>
          <bgColor rgb="FF000000"/>
        </patternFill>
      </fill>
    </dxf>
    <dxf>
      <fill>
        <patternFill patternType="solid">
          <fgColor rgb="FFFA781E"/>
          <bgColor rgb="FF000000"/>
        </patternFill>
      </fill>
    </dxf>
    <dxf>
      <fill>
        <patternFill patternType="solid">
          <fgColor rgb="FFFA7E28"/>
          <bgColor rgb="FF000000"/>
        </patternFill>
      </fill>
    </dxf>
    <dxf>
      <fill>
        <patternFill patternType="solid">
          <fgColor rgb="FFFA7F29"/>
          <bgColor rgb="FF000000"/>
        </patternFill>
      </fill>
    </dxf>
    <dxf>
      <fill>
        <patternFill patternType="solid">
          <fgColor rgb="FFFA822E"/>
          <bgColor rgb="FF000000"/>
        </patternFill>
      </fill>
    </dxf>
    <dxf>
      <fill>
        <patternFill patternType="solid">
          <fgColor rgb="FFFA8331"/>
          <bgColor rgb="FF000000"/>
        </patternFill>
      </fill>
    </dxf>
    <dxf>
      <fill>
        <patternFill patternType="solid">
          <fgColor rgb="FFFA8533"/>
          <bgColor rgb="FF000000"/>
        </patternFill>
      </fill>
    </dxf>
    <dxf>
      <fill>
        <patternFill patternType="solid">
          <fgColor rgb="FFFA8534"/>
          <bgColor rgb="FF000000"/>
        </patternFill>
      </fill>
    </dxf>
    <dxf>
      <fill>
        <patternFill patternType="solid">
          <fgColor rgb="FFFA8635"/>
          <bgColor rgb="FF000000"/>
        </patternFill>
      </fill>
    </dxf>
    <dxf>
      <fill>
        <patternFill patternType="solid">
          <fgColor rgb="FFFA8736"/>
          <bgColor rgb="FF000000"/>
        </patternFill>
      </fill>
    </dxf>
    <dxf>
      <fill>
        <patternFill patternType="solid">
          <fgColor rgb="FFFA8839"/>
          <bgColor rgb="FF000000"/>
        </patternFill>
      </fill>
    </dxf>
    <dxf>
      <fill>
        <patternFill patternType="solid">
          <fgColor rgb="FFFA893A"/>
          <bgColor rgb="FF000000"/>
        </patternFill>
      </fill>
    </dxf>
    <dxf>
      <fill>
        <patternFill patternType="solid">
          <fgColor rgb="FFFB8C40"/>
          <bgColor rgb="FF000000"/>
        </patternFill>
      </fill>
    </dxf>
    <dxf>
      <fill>
        <patternFill patternType="solid">
          <fgColor rgb="FFFB8D41"/>
          <bgColor rgb="FF000000"/>
        </patternFill>
      </fill>
    </dxf>
    <dxf>
      <fill>
        <patternFill patternType="solid">
          <fgColor rgb="FFFB8F43"/>
          <bgColor rgb="FF000000"/>
        </patternFill>
      </fill>
    </dxf>
    <dxf>
      <fill>
        <patternFill patternType="solid">
          <fgColor rgb="FFFB8F45"/>
          <bgColor rgb="FF000000"/>
        </patternFill>
      </fill>
    </dxf>
    <dxf>
      <fill>
        <patternFill patternType="solid">
          <fgColor rgb="FFFB9046"/>
          <bgColor rgb="FF000000"/>
        </patternFill>
      </fill>
    </dxf>
    <dxf>
      <fill>
        <patternFill patternType="solid">
          <fgColor rgb="FFFB9148"/>
          <bgColor rgb="FF000000"/>
        </patternFill>
      </fill>
    </dxf>
    <dxf>
      <fill>
        <patternFill patternType="solid">
          <fgColor rgb="FFFB934A"/>
          <bgColor rgb="FF000000"/>
        </patternFill>
      </fill>
    </dxf>
    <dxf>
      <fill>
        <patternFill patternType="solid">
          <fgColor rgb="FFFB934C"/>
          <bgColor rgb="FF000000"/>
        </patternFill>
      </fill>
    </dxf>
    <dxf>
      <fill>
        <patternFill patternType="solid">
          <fgColor rgb="FFFB944D"/>
          <bgColor rgb="FF000000"/>
        </patternFill>
      </fill>
    </dxf>
    <dxf>
      <fill>
        <patternFill patternType="solid">
          <fgColor rgb="FFFB954D"/>
          <bgColor rgb="FF000000"/>
        </patternFill>
      </fill>
    </dxf>
    <dxf>
      <fill>
        <patternFill patternType="solid">
          <fgColor rgb="FFFB954E"/>
          <bgColor rgb="FF000000"/>
        </patternFill>
      </fill>
    </dxf>
    <dxf>
      <fill>
        <patternFill patternType="solid">
          <fgColor rgb="FFFB954F"/>
          <bgColor rgb="FF000000"/>
        </patternFill>
      </fill>
    </dxf>
    <dxf>
      <fill>
        <patternFill patternType="solid">
          <fgColor rgb="FFFB9650"/>
          <bgColor rgb="FF000000"/>
        </patternFill>
      </fill>
    </dxf>
    <dxf>
      <fill>
        <patternFill patternType="solid">
          <fgColor rgb="FFFB9651"/>
          <bgColor rgb="FF000000"/>
        </patternFill>
      </fill>
    </dxf>
    <dxf>
      <fill>
        <patternFill patternType="solid">
          <fgColor rgb="FFFB9752"/>
          <bgColor rgb="FF000000"/>
        </patternFill>
      </fill>
    </dxf>
    <dxf>
      <fill>
        <patternFill patternType="solid">
          <fgColor rgb="FFFB9853"/>
          <bgColor rgb="FF000000"/>
        </patternFill>
      </fill>
    </dxf>
    <dxf>
      <fill>
        <patternFill patternType="solid">
          <fgColor rgb="FFFB9854"/>
          <bgColor rgb="FF000000"/>
        </patternFill>
      </fill>
    </dxf>
    <dxf>
      <fill>
        <patternFill patternType="solid">
          <fgColor rgb="FFFB9956"/>
          <bgColor rgb="FF000000"/>
        </patternFill>
      </fill>
    </dxf>
    <dxf>
      <fill>
        <patternFill patternType="solid">
          <fgColor rgb="FFFB9A56"/>
          <bgColor rgb="FF000000"/>
        </patternFill>
      </fill>
    </dxf>
    <dxf>
      <fill>
        <patternFill patternType="solid">
          <fgColor rgb="FFFB9A57"/>
          <bgColor rgb="FF000000"/>
        </patternFill>
      </fill>
    </dxf>
    <dxf>
      <fill>
        <patternFill patternType="solid">
          <fgColor rgb="FFFB9B58"/>
          <bgColor rgb="FF000000"/>
        </patternFill>
      </fill>
    </dxf>
    <dxf>
      <fill>
        <patternFill patternType="solid">
          <fgColor rgb="FFFB9B59"/>
          <bgColor rgb="FF000000"/>
        </patternFill>
      </fill>
    </dxf>
    <dxf>
      <fill>
        <patternFill patternType="solid">
          <fgColor rgb="FFFB9D5B"/>
          <bgColor rgb="FF000000"/>
        </patternFill>
      </fill>
    </dxf>
    <dxf>
      <fill>
        <patternFill patternType="solid">
          <fgColor rgb="FFFB9E5D"/>
          <bgColor rgb="FF000000"/>
        </patternFill>
      </fill>
    </dxf>
    <dxf>
      <fill>
        <patternFill patternType="solid">
          <fgColor rgb="FFFB9F5E"/>
          <bgColor rgb="FF000000"/>
        </patternFill>
      </fill>
    </dxf>
    <dxf>
      <fill>
        <patternFill patternType="solid">
          <fgColor rgb="FFFB9F5F"/>
          <bgColor rgb="FF000000"/>
        </patternFill>
      </fill>
    </dxf>
    <dxf>
      <fill>
        <patternFill patternType="solid">
          <fgColor rgb="FFFBA061"/>
          <bgColor rgb="FF000000"/>
        </patternFill>
      </fill>
    </dxf>
    <dxf>
      <fill>
        <patternFill patternType="solid">
          <fgColor rgb="FFFBA162"/>
          <bgColor rgb="FF000000"/>
        </patternFill>
      </fill>
    </dxf>
    <dxf>
      <fill>
        <patternFill patternType="solid">
          <fgColor rgb="FFFBA163"/>
          <bgColor rgb="FF000000"/>
        </patternFill>
      </fill>
    </dxf>
    <dxf>
      <fill>
        <patternFill patternType="solid">
          <fgColor rgb="FFFBA264"/>
          <bgColor rgb="FF000000"/>
        </patternFill>
      </fill>
    </dxf>
    <dxf>
      <fill>
        <patternFill patternType="solid">
          <fgColor rgb="FFFCA264"/>
          <bgColor rgb="FF000000"/>
        </patternFill>
      </fill>
    </dxf>
    <dxf>
      <fill>
        <patternFill patternType="solid">
          <fgColor rgb="FFFCA365"/>
          <bgColor rgb="FF000000"/>
        </patternFill>
      </fill>
    </dxf>
    <dxf>
      <fill>
        <patternFill patternType="solid">
          <fgColor rgb="FFFCA466"/>
          <bgColor rgb="FF000000"/>
        </patternFill>
      </fill>
    </dxf>
    <dxf>
      <fill>
        <patternFill patternType="solid">
          <fgColor rgb="FFFCA467"/>
          <bgColor rgb="FF000000"/>
        </patternFill>
      </fill>
    </dxf>
    <dxf>
      <fill>
        <patternFill patternType="solid">
          <fgColor rgb="FFFCA468"/>
          <bgColor rgb="FF000000"/>
        </patternFill>
      </fill>
    </dxf>
    <dxf>
      <fill>
        <patternFill patternType="solid">
          <fgColor rgb="FFFCA569"/>
          <bgColor rgb="FF000000"/>
        </patternFill>
      </fill>
    </dxf>
    <dxf>
      <fill>
        <patternFill patternType="solid">
          <fgColor rgb="FFFCA66B"/>
          <bgColor rgb="FF000000"/>
        </patternFill>
      </fill>
    </dxf>
    <dxf>
      <fill>
        <patternFill patternType="solid">
          <fgColor rgb="FFFCA76C"/>
          <bgColor rgb="FF000000"/>
        </patternFill>
      </fill>
    </dxf>
    <dxf>
      <fill>
        <patternFill patternType="solid">
          <fgColor rgb="FFFCA76D"/>
          <bgColor rgb="FF000000"/>
        </patternFill>
      </fill>
    </dxf>
    <dxf>
      <fill>
        <patternFill patternType="solid">
          <fgColor rgb="FFFCA86E"/>
          <bgColor rgb="FF000000"/>
        </patternFill>
      </fill>
    </dxf>
    <dxf>
      <fill>
        <patternFill patternType="solid">
          <fgColor rgb="FFFCA970"/>
          <bgColor rgb="FF000000"/>
        </patternFill>
      </fill>
    </dxf>
    <dxf>
      <fill>
        <patternFill patternType="solid">
          <fgColor rgb="FFFCAA70"/>
          <bgColor rgb="FF000000"/>
        </patternFill>
      </fill>
    </dxf>
    <dxf>
      <fill>
        <patternFill patternType="solid">
          <fgColor rgb="FFFCAA71"/>
          <bgColor rgb="FF000000"/>
        </patternFill>
      </fill>
    </dxf>
    <dxf>
      <fill>
        <patternFill patternType="solid">
          <fgColor rgb="FFFCAB72"/>
          <bgColor rgb="FF000000"/>
        </patternFill>
      </fill>
    </dxf>
    <dxf>
      <fill>
        <patternFill patternType="solid">
          <fgColor rgb="FFFCAC74"/>
          <bgColor rgb="FF000000"/>
        </patternFill>
      </fill>
    </dxf>
    <dxf>
      <fill>
        <patternFill patternType="solid">
          <fgColor rgb="FFFCAC75"/>
          <bgColor rgb="FF000000"/>
        </patternFill>
      </fill>
    </dxf>
    <dxf>
      <fill>
        <patternFill patternType="solid">
          <fgColor rgb="FFFCAD76"/>
          <bgColor rgb="FF000000"/>
        </patternFill>
      </fill>
    </dxf>
    <dxf>
      <fill>
        <patternFill patternType="solid">
          <fgColor rgb="FFFCAE78"/>
          <bgColor rgb="FF000000"/>
        </patternFill>
      </fill>
    </dxf>
    <dxf>
      <fill>
        <patternFill patternType="solid">
          <fgColor rgb="FFFCAF79"/>
          <bgColor rgb="FF000000"/>
        </patternFill>
      </fill>
    </dxf>
    <dxf>
      <fill>
        <patternFill patternType="solid">
          <fgColor rgb="FFFCAF7A"/>
          <bgColor rgb="FF000000"/>
        </patternFill>
      </fill>
    </dxf>
    <dxf>
      <fill>
        <patternFill patternType="solid">
          <fgColor rgb="FFFCB07B"/>
          <bgColor rgb="FF000000"/>
        </patternFill>
      </fill>
    </dxf>
    <dxf>
      <fill>
        <patternFill patternType="solid">
          <fgColor rgb="FFFCB17C"/>
          <bgColor rgb="FF000000"/>
        </patternFill>
      </fill>
    </dxf>
    <dxf>
      <fill>
        <patternFill patternType="solid">
          <fgColor rgb="FFFCB17D"/>
          <bgColor rgb="FF000000"/>
        </patternFill>
      </fill>
    </dxf>
    <dxf>
      <fill>
        <patternFill patternType="solid">
          <fgColor rgb="FFFCB27E"/>
          <bgColor rgb="FF000000"/>
        </patternFill>
      </fill>
    </dxf>
    <dxf>
      <fill>
        <patternFill patternType="solid">
          <fgColor rgb="FFFCB380"/>
          <bgColor rgb="FF000000"/>
        </patternFill>
      </fill>
    </dxf>
    <dxf>
      <fill>
        <patternFill patternType="solid">
          <fgColor rgb="FFFCB381"/>
          <bgColor rgb="FF000000"/>
        </patternFill>
      </fill>
    </dxf>
    <dxf>
      <fill>
        <patternFill patternType="solid">
          <fgColor rgb="FFFCB482"/>
          <bgColor rgb="FF000000"/>
        </patternFill>
      </fill>
    </dxf>
    <dxf>
      <fill>
        <patternFill patternType="solid">
          <fgColor rgb="FFFCB583"/>
          <bgColor rgb="FF000000"/>
        </patternFill>
      </fill>
    </dxf>
    <dxf>
      <fill>
        <patternFill patternType="solid">
          <fgColor rgb="FFFCB584"/>
          <bgColor rgb="FF000000"/>
        </patternFill>
      </fill>
    </dxf>
    <dxf>
      <fill>
        <patternFill patternType="solid">
          <fgColor rgb="FFFCB684"/>
          <bgColor rgb="FF000000"/>
        </patternFill>
      </fill>
    </dxf>
    <dxf>
      <fill>
        <patternFill patternType="solid">
          <fgColor rgb="FFFCB685"/>
          <bgColor rgb="FF000000"/>
        </patternFill>
      </fill>
    </dxf>
    <dxf>
      <fill>
        <patternFill patternType="solid">
          <fgColor rgb="FFFCB686"/>
          <bgColor rgb="FF000000"/>
        </patternFill>
      </fill>
    </dxf>
    <dxf>
      <fill>
        <patternFill patternType="solid">
          <fgColor rgb="FFFCB786"/>
          <bgColor rgb="FF000000"/>
        </patternFill>
      </fill>
    </dxf>
    <dxf>
      <fill>
        <patternFill patternType="solid">
          <fgColor rgb="FFFCB787"/>
          <bgColor rgb="FF000000"/>
        </patternFill>
      </fill>
    </dxf>
    <dxf>
      <fill>
        <patternFill patternType="solid">
          <fgColor rgb="FFFCB888"/>
          <bgColor rgb="FF000000"/>
        </patternFill>
      </fill>
    </dxf>
    <dxf>
      <fill>
        <patternFill patternType="solid">
          <fgColor rgb="FFFCB889"/>
          <bgColor rgb="FF000000"/>
        </patternFill>
      </fill>
    </dxf>
    <dxf>
      <fill>
        <patternFill patternType="solid">
          <fgColor rgb="FFFCB98B"/>
          <bgColor rgb="FF000000"/>
        </patternFill>
      </fill>
    </dxf>
    <dxf>
      <fill>
        <patternFill patternType="solid">
          <fgColor rgb="FFFDBB8D"/>
          <bgColor rgb="FF000000"/>
        </patternFill>
      </fill>
    </dxf>
    <dxf>
      <fill>
        <patternFill patternType="solid">
          <fgColor rgb="FFFDBB8E"/>
          <bgColor rgb="FF000000"/>
        </patternFill>
      </fill>
    </dxf>
    <dxf>
      <fill>
        <patternFill patternType="solid">
          <fgColor rgb="FFFDBC8F"/>
          <bgColor rgb="FF000000"/>
        </patternFill>
      </fill>
    </dxf>
    <dxf>
      <fill>
        <patternFill patternType="solid">
          <fgColor rgb="FFFDBD90"/>
          <bgColor rgb="FF000000"/>
        </patternFill>
      </fill>
    </dxf>
    <dxf>
      <fill>
        <patternFill patternType="solid">
          <fgColor rgb="FFFDBD91"/>
          <bgColor rgb="FF000000"/>
        </patternFill>
      </fill>
    </dxf>
    <dxf>
      <fill>
        <patternFill patternType="solid">
          <fgColor rgb="FFFDBD92"/>
          <bgColor rgb="FF000000"/>
        </patternFill>
      </fill>
    </dxf>
    <dxf>
      <fill>
        <patternFill patternType="solid">
          <fgColor rgb="FFFDBE92"/>
          <bgColor rgb="FF000000"/>
        </patternFill>
      </fill>
    </dxf>
    <dxf>
      <fill>
        <patternFill patternType="solid">
          <fgColor rgb="FFFDBE93"/>
          <bgColor rgb="FF000000"/>
        </patternFill>
      </fill>
    </dxf>
    <dxf>
      <fill>
        <patternFill patternType="solid">
          <fgColor rgb="FFFDBF94"/>
          <bgColor rgb="FF000000"/>
        </patternFill>
      </fill>
    </dxf>
    <dxf>
      <fill>
        <patternFill patternType="solid">
          <fgColor rgb="FFFDC095"/>
          <bgColor rgb="FF000000"/>
        </patternFill>
      </fill>
    </dxf>
    <dxf>
      <fill>
        <patternFill patternType="solid">
          <fgColor rgb="FFFDC198"/>
          <bgColor rgb="FF000000"/>
        </patternFill>
      </fill>
    </dxf>
    <dxf>
      <fill>
        <patternFill patternType="solid">
          <fgColor rgb="FFFDC299"/>
          <bgColor rgb="FF000000"/>
        </patternFill>
      </fill>
    </dxf>
    <dxf>
      <fill>
        <patternFill patternType="solid">
          <fgColor rgb="FFFDC29A"/>
          <bgColor rgb="FF000000"/>
        </patternFill>
      </fill>
    </dxf>
    <dxf>
      <fill>
        <patternFill patternType="solid">
          <fgColor rgb="FFFDC39B"/>
          <bgColor rgb="FF000000"/>
        </patternFill>
      </fill>
    </dxf>
    <dxf>
      <fill>
        <patternFill patternType="solid">
          <fgColor rgb="FFFDC39C"/>
          <bgColor rgb="FF000000"/>
        </patternFill>
      </fill>
    </dxf>
    <dxf>
      <fill>
        <patternFill patternType="solid">
          <fgColor rgb="FFFDC49C"/>
          <bgColor rgb="FF000000"/>
        </patternFill>
      </fill>
    </dxf>
    <dxf>
      <fill>
        <patternFill patternType="solid">
          <fgColor rgb="FFFDC49D"/>
          <bgColor rgb="FF000000"/>
        </patternFill>
      </fill>
    </dxf>
    <dxf>
      <fill>
        <patternFill patternType="solid">
          <fgColor rgb="FFFDC59E"/>
          <bgColor rgb="FF000000"/>
        </patternFill>
      </fill>
    </dxf>
    <dxf>
      <fill>
        <patternFill patternType="solid">
          <fgColor rgb="FFFDC59F"/>
          <bgColor rgb="FF000000"/>
        </patternFill>
      </fill>
    </dxf>
    <dxf>
      <fill>
        <patternFill patternType="solid">
          <fgColor rgb="FFFDC69F"/>
          <bgColor rgb="FF000000"/>
        </patternFill>
      </fill>
    </dxf>
    <dxf>
      <fill>
        <patternFill patternType="solid">
          <fgColor rgb="FFFDC6A0"/>
          <bgColor rgb="FF000000"/>
        </patternFill>
      </fill>
    </dxf>
    <dxf>
      <fill>
        <patternFill patternType="solid">
          <fgColor rgb="FFFDC7A1"/>
          <bgColor rgb="FF000000"/>
        </patternFill>
      </fill>
    </dxf>
    <dxf>
      <fill>
        <patternFill patternType="solid">
          <fgColor rgb="FFFDC7A2"/>
          <bgColor rgb="FF000000"/>
        </patternFill>
      </fill>
    </dxf>
    <dxf>
      <fill>
        <patternFill patternType="solid">
          <fgColor rgb="FFFDC8A4"/>
          <bgColor rgb="FF000000"/>
        </patternFill>
      </fill>
    </dxf>
    <dxf>
      <fill>
        <patternFill patternType="solid">
          <fgColor rgb="FFFDC9A5"/>
          <bgColor rgb="FF000000"/>
        </patternFill>
      </fill>
    </dxf>
    <dxf>
      <fill>
        <patternFill patternType="solid">
          <fgColor rgb="FFFDCAA6"/>
          <bgColor rgb="FF000000"/>
        </patternFill>
      </fill>
    </dxf>
    <dxf>
      <fill>
        <patternFill patternType="solid">
          <fgColor rgb="FFFDCAA7"/>
          <bgColor rgb="FF000000"/>
        </patternFill>
      </fill>
    </dxf>
    <dxf>
      <fill>
        <patternFill patternType="solid">
          <fgColor rgb="FFFDCBA8"/>
          <bgColor rgb="FF000000"/>
        </patternFill>
      </fill>
    </dxf>
    <dxf>
      <fill>
        <patternFill patternType="solid">
          <fgColor rgb="FFFDCBA9"/>
          <bgColor rgb="FF000000"/>
        </patternFill>
      </fill>
    </dxf>
    <dxf>
      <fill>
        <patternFill patternType="solid">
          <fgColor rgb="FFFDCCAA"/>
          <bgColor rgb="FF000000"/>
        </patternFill>
      </fill>
    </dxf>
    <dxf>
      <fill>
        <patternFill patternType="solid">
          <fgColor rgb="FFFDCDAB"/>
          <bgColor rgb="FF000000"/>
        </patternFill>
      </fill>
    </dxf>
    <dxf>
      <fill>
        <patternFill patternType="solid">
          <fgColor rgb="FFFDCDAC"/>
          <bgColor rgb="FF000000"/>
        </patternFill>
      </fill>
    </dxf>
    <dxf>
      <fill>
        <patternFill patternType="solid">
          <fgColor rgb="FFFDCEAD"/>
          <bgColor rgb="FF000000"/>
        </patternFill>
      </fill>
    </dxf>
    <dxf>
      <fill>
        <patternFill patternType="solid">
          <fgColor rgb="FFFDCEAE"/>
          <bgColor rgb="FF000000"/>
        </patternFill>
      </fill>
    </dxf>
    <dxf>
      <fill>
        <patternFill patternType="solid">
          <fgColor rgb="FFFDCFAF"/>
          <bgColor rgb="FF000000"/>
        </patternFill>
      </fill>
    </dxf>
    <dxf>
      <fill>
        <patternFill patternType="solid">
          <fgColor rgb="FFFDD0B0"/>
          <bgColor rgb="FF000000"/>
        </patternFill>
      </fill>
    </dxf>
    <dxf>
      <fill>
        <patternFill patternType="solid">
          <fgColor rgb="FFFDD1B2"/>
          <bgColor rgb="FF000000"/>
        </patternFill>
      </fill>
    </dxf>
    <dxf>
      <fill>
        <patternFill patternType="solid">
          <fgColor rgb="FFFED1B2"/>
          <bgColor rgb="FF000000"/>
        </patternFill>
      </fill>
    </dxf>
    <dxf>
      <fill>
        <patternFill patternType="solid">
          <fgColor rgb="FFFED1B3"/>
          <bgColor rgb="FF000000"/>
        </patternFill>
      </fill>
    </dxf>
    <dxf>
      <fill>
        <patternFill patternType="solid">
          <fgColor rgb="FFFED2B4"/>
          <bgColor rgb="FF000000"/>
        </patternFill>
      </fill>
    </dxf>
    <dxf>
      <fill>
        <patternFill patternType="solid">
          <fgColor rgb="FFFED3B5"/>
          <bgColor rgb="FF000000"/>
        </patternFill>
      </fill>
    </dxf>
    <dxf>
      <fill>
        <patternFill patternType="solid">
          <fgColor rgb="FFFED3B6"/>
          <bgColor rgb="FF000000"/>
        </patternFill>
      </fill>
    </dxf>
    <dxf>
      <fill>
        <patternFill patternType="solid">
          <fgColor rgb="FFFED4B6"/>
          <bgColor rgb="FF000000"/>
        </patternFill>
      </fill>
    </dxf>
    <dxf>
      <fill>
        <patternFill patternType="solid">
          <fgColor rgb="FFFED4B7"/>
          <bgColor rgb="FF000000"/>
        </patternFill>
      </fill>
    </dxf>
    <dxf>
      <fill>
        <patternFill patternType="solid">
          <fgColor rgb="FFFED5B9"/>
          <bgColor rgb="FF000000"/>
        </patternFill>
      </fill>
    </dxf>
    <dxf>
      <fill>
        <patternFill patternType="solid">
          <fgColor rgb="FFFED5BA"/>
          <bgColor rgb="FF000000"/>
        </patternFill>
      </fill>
    </dxf>
    <dxf>
      <fill>
        <patternFill patternType="solid">
          <fgColor rgb="FFFED6BB"/>
          <bgColor rgb="FF000000"/>
        </patternFill>
      </fill>
    </dxf>
    <dxf>
      <fill>
        <patternFill patternType="solid">
          <fgColor rgb="FFFED7BC"/>
          <bgColor rgb="FF000000"/>
        </patternFill>
      </fill>
    </dxf>
    <dxf>
      <fill>
        <patternFill patternType="solid">
          <fgColor rgb="FFFED9BF"/>
          <bgColor rgb="FF000000"/>
        </patternFill>
      </fill>
    </dxf>
    <dxf>
      <fill>
        <patternFill patternType="solid">
          <fgColor rgb="FFFEDAC1"/>
          <bgColor rgb="FF000000"/>
        </patternFill>
      </fill>
    </dxf>
    <dxf>
      <fill>
        <patternFill patternType="solid">
          <fgColor rgb="FFFEDAC2"/>
          <bgColor rgb="FF000000"/>
        </patternFill>
      </fill>
    </dxf>
    <dxf>
      <fill>
        <patternFill patternType="solid">
          <fgColor rgb="FFFEDBC2"/>
          <bgColor rgb="FF000000"/>
        </patternFill>
      </fill>
    </dxf>
    <dxf>
      <fill>
        <patternFill patternType="solid">
          <fgColor rgb="FFFEDBC3"/>
          <bgColor rgb="FF000000"/>
        </patternFill>
      </fill>
    </dxf>
    <dxf>
      <fill>
        <patternFill patternType="solid">
          <fgColor rgb="FFFEDCC4"/>
          <bgColor rgb="FF000000"/>
        </patternFill>
      </fill>
    </dxf>
    <dxf>
      <fill>
        <patternFill patternType="solid">
          <fgColor rgb="FFFEDDC7"/>
          <bgColor rgb="FF000000"/>
        </patternFill>
      </fill>
    </dxf>
    <dxf>
      <fill>
        <patternFill patternType="solid">
          <fgColor rgb="FFFEDEC8"/>
          <bgColor rgb="FF000000"/>
        </patternFill>
      </fill>
    </dxf>
    <dxf>
      <fill>
        <patternFill patternType="solid">
          <fgColor rgb="FFFEDFCA"/>
          <bgColor rgb="FF000000"/>
        </patternFill>
      </fill>
    </dxf>
    <dxf>
      <fill>
        <patternFill patternType="solid">
          <fgColor rgb="FFFEE0CB"/>
          <bgColor rgb="FF000000"/>
        </patternFill>
      </fill>
    </dxf>
    <dxf>
      <fill>
        <patternFill patternType="solid">
          <fgColor rgb="FFFEE1CC"/>
          <bgColor rgb="FF000000"/>
        </patternFill>
      </fill>
    </dxf>
    <dxf>
      <fill>
        <patternFill patternType="solid">
          <fgColor rgb="FFFEE1CD"/>
          <bgColor rgb="FF000000"/>
        </patternFill>
      </fill>
    </dxf>
    <dxf>
      <fill>
        <patternFill patternType="solid">
          <fgColor rgb="FFFEE2CE"/>
          <bgColor rgb="FF000000"/>
        </patternFill>
      </fill>
    </dxf>
    <dxf>
      <fill>
        <patternFill patternType="solid">
          <fgColor rgb="FFFEE2CF"/>
          <bgColor rgb="FF000000"/>
        </patternFill>
      </fill>
    </dxf>
    <dxf>
      <fill>
        <patternFill patternType="solid">
          <fgColor rgb="FFFEE3D0"/>
          <bgColor rgb="FF000000"/>
        </patternFill>
      </fill>
    </dxf>
    <dxf>
      <fill>
        <patternFill patternType="solid">
          <fgColor rgb="FFFEE4D2"/>
          <bgColor rgb="FF000000"/>
        </patternFill>
      </fill>
    </dxf>
    <dxf>
      <fill>
        <patternFill patternType="solid">
          <fgColor rgb="FFFEE5D4"/>
          <bgColor rgb="FF000000"/>
        </patternFill>
      </fill>
    </dxf>
    <dxf>
      <fill>
        <patternFill patternType="solid">
          <fgColor rgb="FFFEE6D6"/>
          <bgColor rgb="FF000000"/>
        </patternFill>
      </fill>
    </dxf>
    <dxf>
      <fill>
        <patternFill patternType="solid">
          <fgColor rgb="FFFEE7D7"/>
          <bgColor rgb="FF000000"/>
        </patternFill>
      </fill>
    </dxf>
    <dxf>
      <fill>
        <patternFill patternType="solid">
          <fgColor rgb="FFFEE8D9"/>
          <bgColor rgb="FF000000"/>
        </patternFill>
      </fill>
    </dxf>
    <dxf>
      <fill>
        <patternFill patternType="solid">
          <fgColor rgb="FFFFE8D9"/>
          <bgColor rgb="FF000000"/>
        </patternFill>
      </fill>
    </dxf>
    <dxf>
      <fill>
        <patternFill patternType="solid">
          <fgColor rgb="FFFFE9DA"/>
          <bgColor rgb="FF000000"/>
        </patternFill>
      </fill>
    </dxf>
    <dxf>
      <fill>
        <patternFill patternType="solid">
          <fgColor rgb="FFFFEADC"/>
          <bgColor rgb="FF000000"/>
        </patternFill>
      </fill>
    </dxf>
    <dxf>
      <fill>
        <patternFill patternType="solid">
          <fgColor rgb="FFFFEDE0"/>
          <bgColor rgb="FF000000"/>
        </patternFill>
      </fill>
    </dxf>
    <dxf>
      <fill>
        <patternFill patternType="solid">
          <fgColor rgb="FFFFEEE3"/>
          <bgColor rgb="FF000000"/>
        </patternFill>
      </fill>
    </dxf>
    <dxf>
      <fill>
        <patternFill patternType="solid">
          <fgColor rgb="FFFFEFE4"/>
          <bgColor rgb="FF000000"/>
        </patternFill>
      </fill>
    </dxf>
    <dxf>
      <fill>
        <patternFill patternType="solid">
          <fgColor rgb="FFFFF1E8"/>
          <bgColor rgb="FF000000"/>
        </patternFill>
      </fill>
    </dxf>
    <dxf>
      <fill>
        <patternFill patternType="solid">
          <fgColor rgb="FFFFF2E9"/>
          <bgColor rgb="FF000000"/>
        </patternFill>
      </fill>
    </dxf>
    <dxf>
      <fill>
        <patternFill patternType="solid">
          <fgColor rgb="FFFFF3EB"/>
          <bgColor rgb="FF000000"/>
        </patternFill>
      </fill>
    </dxf>
    <dxf>
      <fill>
        <patternFill patternType="solid">
          <fgColor rgb="FFFFF4EC"/>
          <bgColor rgb="FF000000"/>
        </patternFill>
      </fill>
    </dxf>
    <dxf>
      <fill>
        <patternFill patternType="solid">
          <fgColor rgb="FFFFF5ED"/>
          <bgColor rgb="FF000000"/>
        </patternFill>
      </fill>
    </dxf>
    <dxf>
      <fill>
        <patternFill patternType="solid">
          <fgColor rgb="FFFFF8F4"/>
          <bgColor rgb="FF000000"/>
        </patternFill>
      </fill>
    </dxf>
    <dxf>
      <fill>
        <patternFill patternType="solid">
          <fgColor rgb="FFFFF9F5"/>
          <bgColor rgb="FF000000"/>
        </patternFill>
      </fill>
    </dxf>
    <dxf>
      <fill>
        <patternFill patternType="solid">
          <fgColor rgb="FFFFFBF8"/>
          <bgColor rgb="FF000000"/>
        </patternFill>
      </fill>
    </dxf>
    <dxf>
      <fill>
        <patternFill patternType="solid">
          <fgColor rgb="FFFFFBF9"/>
          <bgColor rgb="FF000000"/>
        </patternFill>
      </fill>
    </dxf>
    <dxf>
      <fill>
        <patternFill patternType="solid">
          <fgColor rgb="FFFFFFFE"/>
          <bgColor rgb="FF000000"/>
        </patternFill>
      </fill>
    </dxf>
    <dxf>
      <fill>
        <patternFill patternType="solid">
          <fgColor rgb="FFFA7418"/>
          <bgColor rgb="FF000000"/>
        </patternFill>
      </fill>
    </dxf>
    <dxf>
      <fill>
        <patternFill patternType="solid">
          <fgColor rgb="FFFA771D"/>
          <bgColor rgb="FF000000"/>
        </patternFill>
      </fill>
    </dxf>
    <dxf>
      <fill>
        <patternFill patternType="solid">
          <fgColor rgb="FFFA791F"/>
          <bgColor rgb="FF000000"/>
        </patternFill>
      </fill>
    </dxf>
    <dxf>
      <fill>
        <patternFill patternType="solid">
          <fgColor rgb="FFFA7B23"/>
          <bgColor rgb="FF000000"/>
        </patternFill>
      </fill>
    </dxf>
    <dxf>
      <fill>
        <patternFill patternType="solid">
          <fgColor rgb="FFFA7C25"/>
          <bgColor rgb="FF000000"/>
        </patternFill>
      </fill>
    </dxf>
    <dxf>
      <fill>
        <patternFill patternType="solid">
          <fgColor rgb="FFFA7D26"/>
          <bgColor rgb="FF000000"/>
        </patternFill>
      </fill>
    </dxf>
    <dxf>
      <fill>
        <patternFill patternType="solid">
          <fgColor rgb="FFFA7E27"/>
          <bgColor rgb="FF000000"/>
        </patternFill>
      </fill>
    </dxf>
    <dxf>
      <fill>
        <patternFill patternType="solid">
          <fgColor rgb="FFFA8432"/>
          <bgColor rgb="FF000000"/>
        </patternFill>
      </fill>
    </dxf>
    <dxf>
      <fill>
        <patternFill patternType="solid">
          <fgColor rgb="FFFA8737"/>
          <bgColor rgb="FF000000"/>
        </patternFill>
      </fill>
    </dxf>
    <dxf>
      <fill>
        <patternFill patternType="solid">
          <fgColor rgb="FFFA8B3D"/>
          <bgColor rgb="FF000000"/>
        </patternFill>
      </fill>
    </dxf>
    <dxf>
      <fill>
        <patternFill patternType="solid">
          <fgColor rgb="FFFB8F44"/>
          <bgColor rgb="FF000000"/>
        </patternFill>
      </fill>
    </dxf>
    <dxf>
      <fill>
        <patternFill patternType="solid">
          <fgColor rgb="FFFB9147"/>
          <bgColor rgb="FF000000"/>
        </patternFill>
      </fill>
    </dxf>
    <dxf>
      <fill>
        <patternFill patternType="solid">
          <fgColor rgb="FFFB9249"/>
          <bgColor rgb="FF000000"/>
        </patternFill>
      </fill>
    </dxf>
    <dxf>
      <fill>
        <patternFill patternType="solid">
          <fgColor rgb="FFFB944C"/>
          <bgColor rgb="FF000000"/>
        </patternFill>
      </fill>
    </dxf>
    <dxf>
      <fill>
        <patternFill patternType="solid">
          <fgColor rgb="FFFB9751"/>
          <bgColor rgb="FF000000"/>
        </patternFill>
      </fill>
    </dxf>
    <dxf>
      <fill>
        <patternFill patternType="solid">
          <fgColor rgb="FFFB9954"/>
          <bgColor rgb="FF000000"/>
        </patternFill>
      </fill>
    </dxf>
    <dxf>
      <fill>
        <patternFill patternType="solid">
          <fgColor rgb="FFFB9955"/>
          <bgColor rgb="FF000000"/>
        </patternFill>
      </fill>
    </dxf>
    <dxf>
      <fill>
        <patternFill patternType="solid">
          <fgColor rgb="FFFB9C59"/>
          <bgColor rgb="FF000000"/>
        </patternFill>
      </fill>
    </dxf>
    <dxf>
      <fill>
        <patternFill patternType="solid">
          <fgColor rgb="FFFB9C5A"/>
          <bgColor rgb="FF000000"/>
        </patternFill>
      </fill>
    </dxf>
    <dxf>
      <fill>
        <patternFill patternType="solid">
          <fgColor rgb="FFFB9C5B"/>
          <bgColor rgb="FF000000"/>
        </patternFill>
      </fill>
    </dxf>
    <dxf>
      <fill>
        <patternFill patternType="solid">
          <fgColor rgb="FFFB9E5E"/>
          <bgColor rgb="FF000000"/>
        </patternFill>
      </fill>
    </dxf>
    <dxf>
      <fill>
        <patternFill patternType="solid">
          <fgColor rgb="FFFB9F60"/>
          <bgColor rgb="FF000000"/>
        </patternFill>
      </fill>
    </dxf>
    <dxf>
      <fill>
        <patternFill patternType="solid">
          <fgColor rgb="FFFBA060"/>
          <bgColor rgb="FF000000"/>
        </patternFill>
      </fill>
    </dxf>
    <dxf>
      <fill>
        <patternFill patternType="solid">
          <fgColor rgb="FFFCA366"/>
          <bgColor rgb="FF000000"/>
        </patternFill>
      </fill>
    </dxf>
    <dxf>
      <fill>
        <patternFill patternType="solid">
          <fgColor rgb="FFFCA568"/>
          <bgColor rgb="FF000000"/>
        </patternFill>
      </fill>
    </dxf>
    <dxf>
      <fill>
        <patternFill patternType="solid">
          <fgColor rgb="FFFCA96F"/>
          <bgColor rgb="FF000000"/>
        </patternFill>
      </fill>
    </dxf>
    <dxf>
      <fill>
        <patternFill patternType="solid">
          <fgColor rgb="FFFCAA72"/>
          <bgColor rgb="FF000000"/>
        </patternFill>
      </fill>
    </dxf>
    <dxf>
      <fill>
        <patternFill patternType="solid">
          <fgColor rgb="FFFCAB74"/>
          <bgColor rgb="FF000000"/>
        </patternFill>
      </fill>
    </dxf>
    <dxf>
      <fill>
        <patternFill patternType="solid">
          <fgColor rgb="FFFCB07A"/>
          <bgColor rgb="FF000000"/>
        </patternFill>
      </fill>
    </dxf>
    <dxf>
      <fill>
        <patternFill patternType="solid">
          <fgColor rgb="FFFCB27F"/>
          <bgColor rgb="FF000000"/>
        </patternFill>
      </fill>
    </dxf>
    <dxf>
      <fill>
        <patternFill patternType="solid">
          <fgColor rgb="FFFCB481"/>
          <bgColor rgb="FF000000"/>
        </patternFill>
      </fill>
    </dxf>
    <dxf>
      <fill>
        <patternFill patternType="solid">
          <fgColor rgb="FFFCB989"/>
          <bgColor rgb="FF000000"/>
        </patternFill>
      </fill>
    </dxf>
    <dxf>
      <fill>
        <patternFill patternType="solid">
          <fgColor rgb="FFFCB98A"/>
          <bgColor rgb="FF000000"/>
        </patternFill>
      </fill>
    </dxf>
    <dxf>
      <fill>
        <patternFill patternType="solid">
          <fgColor rgb="FFFDBA8C"/>
          <bgColor rgb="FF000000"/>
        </patternFill>
      </fill>
    </dxf>
    <dxf>
      <fill>
        <patternFill patternType="solid">
          <fgColor rgb="FFFDBF93"/>
          <bgColor rgb="FF000000"/>
        </patternFill>
      </fill>
    </dxf>
    <dxf>
      <fill>
        <patternFill patternType="solid">
          <fgColor rgb="FFFDC097"/>
          <bgColor rgb="FF000000"/>
        </patternFill>
      </fill>
    </dxf>
    <dxf>
      <fill>
        <patternFill patternType="solid">
          <fgColor rgb="FFFDC197"/>
          <bgColor rgb="FF000000"/>
        </patternFill>
      </fill>
    </dxf>
    <dxf>
      <fill>
        <patternFill patternType="solid">
          <fgColor rgb="FFFDC59D"/>
          <bgColor rgb="FF000000"/>
        </patternFill>
      </fill>
    </dxf>
    <dxf>
      <fill>
        <patternFill patternType="solid">
          <fgColor rgb="FFFDC8A3"/>
          <bgColor rgb="FF000000"/>
        </patternFill>
      </fill>
    </dxf>
    <dxf>
      <fill>
        <patternFill patternType="solid">
          <fgColor rgb="FFFDCCA9"/>
          <bgColor rgb="FF000000"/>
        </patternFill>
      </fill>
    </dxf>
    <dxf>
      <fill>
        <patternFill patternType="solid">
          <fgColor rgb="FFFDCFAE"/>
          <bgColor rgb="FF000000"/>
        </patternFill>
      </fill>
    </dxf>
    <dxf>
      <fill>
        <patternFill patternType="solid">
          <fgColor rgb="FFFDD0B1"/>
          <bgColor rgb="FF000000"/>
        </patternFill>
      </fill>
    </dxf>
    <dxf>
      <fill>
        <patternFill patternType="solid">
          <fgColor rgb="FFFED6BA"/>
          <bgColor rgb="FF000000"/>
        </patternFill>
      </fill>
    </dxf>
    <dxf>
      <fill>
        <patternFill patternType="solid">
          <fgColor rgb="FFFED8BE"/>
          <bgColor rgb="FF000000"/>
        </patternFill>
      </fill>
    </dxf>
    <dxf>
      <fill>
        <patternFill patternType="solid">
          <fgColor rgb="FFFED9C0"/>
          <bgColor rgb="FF000000"/>
        </patternFill>
      </fill>
    </dxf>
    <dxf>
      <fill>
        <patternFill patternType="solid">
          <fgColor rgb="FFFEDAC0"/>
          <bgColor rgb="FF000000"/>
        </patternFill>
      </fill>
    </dxf>
    <dxf>
      <fill>
        <patternFill patternType="solid">
          <fgColor rgb="FFFEDDC6"/>
          <bgColor rgb="FF000000"/>
        </patternFill>
      </fill>
    </dxf>
    <dxf>
      <fill>
        <patternFill patternType="solid">
          <fgColor rgb="FFFEDEC7"/>
          <bgColor rgb="FF000000"/>
        </patternFill>
      </fill>
    </dxf>
    <dxf>
      <fill>
        <patternFill patternType="solid">
          <fgColor rgb="FFFEDFC9"/>
          <bgColor rgb="FF000000"/>
        </patternFill>
      </fill>
    </dxf>
    <dxf>
      <fill>
        <patternFill patternType="solid">
          <fgColor rgb="FFFEE0CC"/>
          <bgColor rgb="FF000000"/>
        </patternFill>
      </fill>
    </dxf>
    <dxf>
      <fill>
        <patternFill patternType="solid">
          <fgColor rgb="FFFEE3D1"/>
          <bgColor rgb="FF000000"/>
        </patternFill>
      </fill>
    </dxf>
    <dxf>
      <fill>
        <patternFill patternType="solid">
          <fgColor rgb="FFFEE4D1"/>
          <bgColor rgb="FF000000"/>
        </patternFill>
      </fill>
    </dxf>
    <dxf>
      <fill>
        <patternFill patternType="solid">
          <fgColor rgb="FFFEE5D3"/>
          <bgColor rgb="FF000000"/>
        </patternFill>
      </fill>
    </dxf>
    <dxf>
      <fill>
        <patternFill patternType="solid">
          <fgColor rgb="FFFEE6D4"/>
          <bgColor rgb="FF000000"/>
        </patternFill>
      </fill>
    </dxf>
    <dxf>
      <fill>
        <patternFill patternType="solid">
          <fgColor rgb="FFFFE9DB"/>
          <bgColor rgb="FF000000"/>
        </patternFill>
      </fill>
    </dxf>
    <dxf>
      <fill>
        <patternFill patternType="solid">
          <fgColor rgb="FFFFEBDD"/>
          <bgColor rgb="FF000000"/>
        </patternFill>
      </fill>
    </dxf>
    <dxf>
      <fill>
        <patternFill patternType="solid">
          <fgColor rgb="FFFFECDF"/>
          <bgColor rgb="FF000000"/>
        </patternFill>
      </fill>
    </dxf>
    <dxf>
      <fill>
        <patternFill patternType="solid">
          <fgColor rgb="FFFFEEE2"/>
          <bgColor rgb="FF000000"/>
        </patternFill>
      </fill>
    </dxf>
    <dxf>
      <fill>
        <patternFill patternType="solid">
          <fgColor rgb="FFFFF0E5"/>
          <bgColor rgb="FF000000"/>
        </patternFill>
      </fill>
    </dxf>
    <dxf>
      <fill>
        <patternFill patternType="solid">
          <fgColor rgb="FFFFF0E6"/>
          <bgColor rgb="FF000000"/>
        </patternFill>
      </fill>
    </dxf>
    <dxf>
      <fill>
        <patternFill patternType="solid">
          <fgColor rgb="FFFFF1E7"/>
          <bgColor rgb="FF000000"/>
        </patternFill>
      </fill>
    </dxf>
    <dxf>
      <fill>
        <patternFill patternType="solid">
          <fgColor rgb="FFFFF2EA"/>
          <bgColor rgb="FF000000"/>
        </patternFill>
      </fill>
    </dxf>
    <dxf>
      <fill>
        <patternFill patternType="solid">
          <fgColor rgb="FFFFF6EF"/>
          <bgColor rgb="FF000000"/>
        </patternFill>
      </fill>
    </dxf>
    <dxf>
      <fill>
        <patternFill patternType="solid">
          <fgColor rgb="FFFFF6F0"/>
          <bgColor rgb="FF000000"/>
        </patternFill>
      </fill>
    </dxf>
    <dxf>
      <fill>
        <patternFill patternType="solid">
          <fgColor rgb="FFFFF7F1"/>
          <bgColor rgb="FF000000"/>
        </patternFill>
      </fill>
    </dxf>
    <dxf>
      <fill>
        <patternFill patternType="solid">
          <fgColor rgb="FFFFF7F2"/>
          <bgColor rgb="FF000000"/>
        </patternFill>
      </fill>
    </dxf>
    <dxf>
      <fill>
        <patternFill patternType="solid">
          <fgColor rgb="FFFFF9F4"/>
          <bgColor rgb="FF000000"/>
        </patternFill>
      </fill>
    </dxf>
    <dxf>
      <fill>
        <patternFill patternType="solid">
          <fgColor rgb="FFFFFCF9"/>
          <bgColor rgb="FF000000"/>
        </patternFill>
      </fill>
    </dxf>
    <dxf>
      <fill>
        <patternFill patternType="solid">
          <fgColor rgb="FFFA7518"/>
          <bgColor rgb="FF000000"/>
        </patternFill>
      </fill>
    </dxf>
    <dxf>
      <fill>
        <patternFill patternType="solid">
          <fgColor rgb="FFFA7519"/>
          <bgColor rgb="FF000000"/>
        </patternFill>
      </fill>
    </dxf>
    <dxf>
      <fill>
        <patternFill patternType="solid">
          <fgColor rgb="FFFA7920"/>
          <bgColor rgb="FF000000"/>
        </patternFill>
      </fill>
    </dxf>
    <dxf>
      <fill>
        <patternFill patternType="solid">
          <fgColor rgb="FFFA7A22"/>
          <bgColor rgb="FF000000"/>
        </patternFill>
      </fill>
    </dxf>
    <dxf>
      <fill>
        <patternFill patternType="solid">
          <fgColor rgb="FFFA7F2A"/>
          <bgColor rgb="FF000000"/>
        </patternFill>
      </fill>
    </dxf>
    <dxf>
      <fill>
        <patternFill patternType="solid">
          <fgColor rgb="FFFA802B"/>
          <bgColor rgb="FF000000"/>
        </patternFill>
      </fill>
    </dxf>
    <dxf>
      <fill>
        <patternFill patternType="solid">
          <fgColor rgb="FFFA812D"/>
          <bgColor rgb="FF000000"/>
        </patternFill>
      </fill>
    </dxf>
    <dxf>
      <fill>
        <patternFill patternType="solid">
          <fgColor rgb="FFFA812E"/>
          <bgColor rgb="FF000000"/>
        </patternFill>
      </fill>
    </dxf>
    <dxf>
      <fill>
        <patternFill patternType="solid">
          <fgColor rgb="FFFA822F"/>
          <bgColor rgb="FF000000"/>
        </patternFill>
      </fill>
    </dxf>
    <dxf>
      <fill>
        <patternFill patternType="solid">
          <fgColor rgb="FFFA8330"/>
          <bgColor rgb="FF000000"/>
        </patternFill>
      </fill>
    </dxf>
    <dxf>
      <fill>
        <patternFill patternType="solid">
          <fgColor rgb="FFFA8838"/>
          <bgColor rgb="FF000000"/>
        </patternFill>
      </fill>
    </dxf>
    <dxf>
      <fill>
        <patternFill patternType="solid">
          <fgColor rgb="FFFA8A3B"/>
          <bgColor rgb="FF000000"/>
        </patternFill>
      </fill>
    </dxf>
    <dxf>
      <fill>
        <patternFill patternType="solid">
          <fgColor rgb="FFFB8B3E"/>
          <bgColor rgb="FF000000"/>
        </patternFill>
      </fill>
    </dxf>
    <dxf>
      <fill>
        <patternFill patternType="solid">
          <fgColor rgb="FFFB8C3F"/>
          <bgColor rgb="FF000000"/>
        </patternFill>
      </fill>
    </dxf>
    <dxf>
      <fill>
        <patternFill patternType="solid">
          <fgColor rgb="FFFB8E42"/>
          <bgColor rgb="FF000000"/>
        </patternFill>
      </fill>
    </dxf>
    <dxf>
      <fill>
        <patternFill patternType="solid">
          <fgColor rgb="FFFB924A"/>
          <bgColor rgb="FF000000"/>
        </patternFill>
      </fill>
    </dxf>
    <dxf>
      <fill>
        <patternFill patternType="solid">
          <fgColor rgb="FFFB964F"/>
          <bgColor rgb="FF000000"/>
        </patternFill>
      </fill>
    </dxf>
    <dxf>
      <fill>
        <patternFill patternType="solid">
          <fgColor rgb="FFFCA86D"/>
          <bgColor rgb="FF000000"/>
        </patternFill>
      </fill>
    </dxf>
    <dxf>
      <fill>
        <patternFill patternType="solid">
          <fgColor rgb="FFFCAB73"/>
          <bgColor rgb="FF000000"/>
        </patternFill>
      </fill>
    </dxf>
    <dxf>
      <fill>
        <patternFill patternType="solid">
          <fgColor rgb="FFFCAE77"/>
          <bgColor rgb="FF000000"/>
        </patternFill>
      </fill>
    </dxf>
    <dxf>
      <fill>
        <patternFill patternType="solid">
          <fgColor rgb="FFFCB07C"/>
          <bgColor rgb="FF000000"/>
        </patternFill>
      </fill>
    </dxf>
    <dxf>
      <fill>
        <patternFill patternType="solid">
          <fgColor rgb="FFFCB788"/>
          <bgColor rgb="FF000000"/>
        </patternFill>
      </fill>
    </dxf>
    <dxf>
      <fill>
        <patternFill patternType="solid">
          <fgColor rgb="FFFDBA8B"/>
          <bgColor rgb="FF000000"/>
        </patternFill>
      </fill>
    </dxf>
    <dxf>
      <fill>
        <patternFill patternType="solid">
          <fgColor rgb="FFFDBC90"/>
          <bgColor rgb="FF000000"/>
        </patternFill>
      </fill>
    </dxf>
    <dxf>
      <fill>
        <patternFill patternType="solid">
          <fgColor rgb="FFFDBF95"/>
          <bgColor rgb="FF000000"/>
        </patternFill>
      </fill>
    </dxf>
    <dxf>
      <fill>
        <patternFill patternType="solid">
          <fgColor rgb="FFFDC096"/>
          <bgColor rgb="FF000000"/>
        </patternFill>
      </fill>
    </dxf>
    <dxf>
      <fill>
        <patternFill patternType="solid">
          <fgColor rgb="FFFDCFB0"/>
          <bgColor rgb="FF000000"/>
        </patternFill>
      </fill>
    </dxf>
    <dxf>
      <fill>
        <patternFill patternType="solid">
          <fgColor rgb="FFFED2B3"/>
          <bgColor rgb="FF000000"/>
        </patternFill>
      </fill>
    </dxf>
    <dxf>
      <fill>
        <patternFill patternType="solid">
          <fgColor rgb="FFFED7BB"/>
          <bgColor rgb="FF000000"/>
        </patternFill>
      </fill>
    </dxf>
    <dxf>
      <fill>
        <patternFill patternType="solid">
          <fgColor rgb="FFFED7BD"/>
          <bgColor rgb="FF000000"/>
        </patternFill>
      </fill>
    </dxf>
    <dxf>
      <fill>
        <patternFill patternType="solid">
          <fgColor rgb="FFFEDCC5"/>
          <bgColor rgb="FF000000"/>
        </patternFill>
      </fill>
    </dxf>
    <dxf>
      <fill>
        <patternFill patternType="solid">
          <fgColor rgb="FFFEE0CA"/>
          <bgColor rgb="FF000000"/>
        </patternFill>
      </fill>
    </dxf>
    <dxf>
      <fill>
        <patternFill patternType="solid">
          <fgColor rgb="FFFEE6D5"/>
          <bgColor rgb="FF000000"/>
        </patternFill>
      </fill>
    </dxf>
    <dxf>
      <fill>
        <patternFill patternType="solid">
          <fgColor rgb="FFFEE7D6"/>
          <bgColor rgb="FF000000"/>
        </patternFill>
      </fill>
    </dxf>
    <dxf>
      <fill>
        <patternFill patternType="solid">
          <fgColor rgb="FFFFEBDE"/>
          <bgColor rgb="FF000000"/>
        </patternFill>
      </fill>
    </dxf>
    <dxf>
      <fill>
        <patternFill patternType="solid">
          <fgColor rgb="FFFFECDE"/>
          <bgColor rgb="FF000000"/>
        </patternFill>
      </fill>
    </dxf>
    <dxf>
      <fill>
        <patternFill patternType="solid">
          <fgColor rgb="FFFFECE0"/>
          <bgColor rgb="FF000000"/>
        </patternFill>
      </fill>
    </dxf>
    <dxf>
      <fill>
        <patternFill patternType="solid">
          <fgColor rgb="FFFFEDE1"/>
          <bgColor rgb="FF000000"/>
        </patternFill>
      </fill>
    </dxf>
    <dxf>
      <fill>
        <patternFill patternType="solid">
          <fgColor rgb="FFFFF3EA"/>
          <bgColor rgb="FF000000"/>
        </patternFill>
      </fill>
    </dxf>
    <dxf>
      <fill>
        <patternFill patternType="solid">
          <fgColor rgb="FFFFF4ED"/>
          <bgColor rgb="FF000000"/>
        </patternFill>
      </fill>
    </dxf>
    <dxf>
      <fill>
        <patternFill patternType="solid">
          <fgColor rgb="FFFFF5EE"/>
          <bgColor rgb="FF000000"/>
        </patternFill>
      </fill>
    </dxf>
    <dxf>
      <fill>
        <patternFill patternType="solid">
          <fgColor rgb="FFFFFAF6"/>
          <bgColor rgb="FF000000"/>
        </patternFill>
      </fill>
    </dxf>
    <dxf>
      <fill>
        <patternFill patternType="solid">
          <fgColor rgb="FFFDBA74"/>
          <bgColor rgb="FF000000"/>
        </patternFill>
      </fill>
    </dxf>
    <dxf>
      <fill>
        <patternFill patternType="solid">
          <fgColor rgb="FFFED7AA"/>
          <bgColor rgb="FF000000"/>
        </patternFill>
      </fill>
    </dxf>
    <dxf>
      <fill>
        <patternFill patternType="solid">
          <fgColor rgb="FFFFF1E6"/>
          <bgColor rgb="FF000000"/>
        </patternFill>
      </fill>
    </dxf>
    <dxf>
      <fill>
        <patternFill patternType="solid">
          <fgColor rgb="FFF97316"/>
          <bgColor rgb="FF000000"/>
        </patternFill>
      </fill>
    </dxf>
    <dxf>
      <fill>
        <patternFill patternType="solid">
          <fgColor rgb="FFFA771C"/>
          <bgColor rgb="FF000000"/>
        </patternFill>
      </fill>
    </dxf>
    <dxf>
      <fill>
        <patternFill patternType="solid">
          <fgColor rgb="FFFA7A21"/>
          <bgColor rgb="FF000000"/>
        </patternFill>
      </fill>
    </dxf>
    <dxf>
      <fill>
        <patternFill patternType="solid">
          <fgColor rgb="FFFA7B22"/>
          <bgColor rgb="FF000000"/>
        </patternFill>
      </fill>
    </dxf>
    <dxf>
      <fill>
        <patternFill patternType="solid">
          <fgColor rgb="FFFA7B24"/>
          <bgColor rgb="FF000000"/>
        </patternFill>
      </fill>
    </dxf>
    <dxf>
      <fill>
        <patternFill patternType="solid">
          <fgColor rgb="FFFA7C24"/>
          <bgColor rgb="FF000000"/>
        </patternFill>
      </fill>
    </dxf>
    <dxf>
      <fill>
        <patternFill patternType="solid">
          <fgColor rgb="FFFA7D27"/>
          <bgColor rgb="FF000000"/>
        </patternFill>
      </fill>
    </dxf>
    <dxf>
      <fill>
        <patternFill patternType="solid">
          <fgColor rgb="FFFA802C"/>
          <bgColor rgb="FF000000"/>
        </patternFill>
      </fill>
    </dxf>
    <dxf>
      <fill>
        <patternFill patternType="solid">
          <fgColor rgb="FFFA812C"/>
          <bgColor rgb="FF000000"/>
        </patternFill>
      </fill>
    </dxf>
    <dxf>
      <fill>
        <patternFill patternType="solid">
          <fgColor rgb="FFFA8431"/>
          <bgColor rgb="FF000000"/>
        </patternFill>
      </fill>
    </dxf>
    <dxf>
      <fill>
        <patternFill patternType="solid">
          <fgColor rgb="FFFA8636"/>
          <bgColor rgb="FF000000"/>
        </patternFill>
      </fill>
    </dxf>
    <dxf>
      <fill>
        <patternFill patternType="solid">
          <fgColor rgb="FFFA893B"/>
          <bgColor rgb="FF000000"/>
        </patternFill>
      </fill>
    </dxf>
    <dxf>
      <fill>
        <patternFill patternType="solid">
          <fgColor rgb="FFFA8A3C"/>
          <bgColor rgb="FF000000"/>
        </patternFill>
      </fill>
    </dxf>
    <dxf>
      <fill>
        <patternFill patternType="solid">
          <fgColor rgb="FFFB8B3D"/>
          <bgColor rgb="FF000000"/>
        </patternFill>
      </fill>
    </dxf>
    <dxf>
      <fill>
        <patternFill patternType="solid">
          <fgColor rgb="FFFB8D40"/>
          <bgColor rgb="FF000000"/>
        </patternFill>
      </fill>
    </dxf>
    <dxf>
      <fill>
        <patternFill patternType="solid">
          <fgColor rgb="FFFB8E43"/>
          <bgColor rgb="FF000000"/>
        </patternFill>
      </fill>
    </dxf>
    <dxf>
      <fill>
        <patternFill patternType="solid">
          <fgColor rgb="FFFB9045"/>
          <bgColor rgb="FF000000"/>
        </patternFill>
      </fill>
    </dxf>
    <dxf>
      <fill>
        <patternFill patternType="solid">
          <fgColor rgb="FFFB9047"/>
          <bgColor rgb="FF000000"/>
        </patternFill>
      </fill>
    </dxf>
    <dxf>
      <fill>
        <patternFill patternType="solid">
          <fgColor rgb="FFFB9D5C"/>
          <bgColor rgb="FF000000"/>
        </patternFill>
      </fill>
    </dxf>
    <dxf>
      <fill>
        <patternFill patternType="solid">
          <fgColor rgb="FFFBA263"/>
          <bgColor rgb="FF000000"/>
        </patternFill>
      </fill>
    </dxf>
    <dxf>
      <fill>
        <patternFill patternType="solid">
          <fgColor rgb="FFFCA56A"/>
          <bgColor rgb="FF000000"/>
        </patternFill>
      </fill>
    </dxf>
    <dxf>
      <fill>
        <patternFill patternType="solid">
          <fgColor rgb="FFFCA66A"/>
          <bgColor rgb="FF000000"/>
        </patternFill>
      </fill>
    </dxf>
    <dxf>
      <fill>
        <patternFill patternType="solid">
          <fgColor rgb="FFFCA86F"/>
          <bgColor rgb="FF000000"/>
        </patternFill>
      </fill>
    </dxf>
    <dxf>
      <fill>
        <patternFill patternType="solid">
          <fgColor rgb="FFFCAE79"/>
          <bgColor rgb="FF000000"/>
        </patternFill>
      </fill>
    </dxf>
    <dxf>
      <fill>
        <patternFill patternType="solid">
          <fgColor rgb="FFFDBC8E"/>
          <bgColor rgb="FF000000"/>
        </patternFill>
      </fill>
    </dxf>
    <dxf>
      <fill>
        <patternFill patternType="solid">
          <fgColor rgb="FFFDC39A"/>
          <bgColor rgb="FF000000"/>
        </patternFill>
      </fill>
    </dxf>
    <dxf>
      <fill>
        <patternFill patternType="solid">
          <fgColor rgb="FFFDCBA7"/>
          <bgColor rgb="FF000000"/>
        </patternFill>
      </fill>
    </dxf>
    <dxf>
      <fill>
        <patternFill patternType="solid">
          <fgColor rgb="FFFDCEAC"/>
          <bgColor rgb="FF000000"/>
        </patternFill>
      </fill>
    </dxf>
    <dxf>
      <fill>
        <patternFill patternType="solid">
          <fgColor rgb="FFFDD1B1"/>
          <bgColor rgb="FF000000"/>
        </patternFill>
      </fill>
    </dxf>
    <dxf>
      <fill>
        <patternFill patternType="solid">
          <fgColor rgb="FFFED4B8"/>
          <bgColor rgb="FF000000"/>
        </patternFill>
      </fill>
    </dxf>
    <dxf>
      <fill>
        <patternFill patternType="solid">
          <fgColor rgb="FFFED5B8"/>
          <bgColor rgb="FF000000"/>
        </patternFill>
      </fill>
    </dxf>
    <dxf>
      <fill>
        <patternFill patternType="solid">
          <fgColor rgb="FFFED8BD"/>
          <bgColor rgb="FF000000"/>
        </patternFill>
      </fill>
    </dxf>
    <dxf>
      <fill>
        <patternFill patternType="solid">
          <fgColor rgb="FFFEE8D8"/>
          <bgColor rgb="FF000000"/>
        </patternFill>
      </fill>
    </dxf>
    <dxf>
      <fill>
        <patternFill patternType="solid">
          <fgColor rgb="FFFFEADB"/>
          <bgColor rgb="FF000000"/>
        </patternFill>
      </fill>
    </dxf>
    <dxf>
      <fill>
        <patternFill patternType="solid">
          <fgColor rgb="FFFFEADD"/>
          <bgColor rgb="FF000000"/>
        </patternFill>
      </fill>
    </dxf>
    <dxf>
      <fill>
        <patternFill patternType="solid">
          <fgColor rgb="FFFFF8F3"/>
          <bgColor rgb="FF000000"/>
        </patternFill>
      </fill>
    </dxf>
    <dxf>
      <fill>
        <patternFill patternType="solid">
          <fgColor rgb="FFFFFAF7"/>
          <bgColor rgb="FF000000"/>
        </patternFill>
      </fill>
    </dxf>
    <dxf>
      <fill>
        <patternFill patternType="solid">
          <fgColor rgb="FFFFFCFA"/>
          <bgColor rgb="FF000000"/>
        </patternFill>
      </fill>
    </dxf>
    <dxf>
      <fill>
        <patternFill patternType="solid">
          <fgColor rgb="FFFFFDFC"/>
          <bgColor rgb="FF000000"/>
        </patternFill>
      </fill>
    </dxf>
    <dxf>
      <fill>
        <patternFill patternType="solid">
          <fgColor rgb="FFFFFEFC"/>
          <bgColor rgb="FF000000"/>
        </patternFill>
      </fill>
    </dxf>
    <dxf>
      <fill>
        <patternFill patternType="solid">
          <fgColor rgb="FFFFFEFD"/>
          <bgColor rgb="FF000000"/>
        </patternFill>
      </fill>
    </dxf>
    <dxf>
      <fill>
        <patternFill patternType="solid">
          <fgColor rgb="FFFB8D42"/>
          <bgColor rgb="FF000000"/>
        </patternFill>
      </fill>
    </dxf>
    <dxf>
      <fill>
        <patternFill patternType="solid">
          <fgColor rgb="FFFB934B"/>
          <bgColor rgb="FF000000"/>
        </patternFill>
      </fill>
    </dxf>
    <dxf>
      <fill>
        <patternFill patternType="solid">
          <fgColor rgb="FFFCAD77"/>
          <bgColor rgb="FF000000"/>
        </patternFill>
      </fill>
    </dxf>
    <dxf>
      <fill>
        <patternFill patternType="solid">
          <fgColor rgb="FFFCB483"/>
          <bgColor rgb="FF000000"/>
        </patternFill>
      </fill>
    </dxf>
    <dxf>
      <fill>
        <patternFill patternType="solid">
          <fgColor rgb="FFFDBA8D"/>
          <bgColor rgb="FF000000"/>
        </patternFill>
      </fill>
    </dxf>
    <dxf>
      <fill>
        <patternFill patternType="solid">
          <fgColor rgb="FFFDC9A4"/>
          <bgColor rgb="FF000000"/>
        </patternFill>
      </fill>
    </dxf>
    <dxf>
      <fill>
        <patternFill patternType="solid">
          <fgColor rgb="FFFFF2E8"/>
          <bgColor rgb="FF000000"/>
        </patternFill>
      </fill>
    </dxf>
    <dxf>
      <fill>
        <patternFill patternType="solid">
          <fgColor rgb="FFFFF5EF"/>
          <bgColor rgb="FF000000"/>
        </patternFill>
      </fill>
    </dxf>
    <dxf>
      <fill>
        <patternFill patternType="solid">
          <fgColor rgb="FFFFF8F2"/>
          <bgColor rgb="FF000000"/>
        </patternFill>
      </fill>
    </dxf>
    <dxf>
      <fill>
        <patternFill patternType="solid">
          <fgColor rgb="FFFFFDFB"/>
          <bgColor rgb="FF000000"/>
        </patternFill>
      </fill>
    </dxf>
    <dxf>
      <fill>
        <patternFill patternType="solid">
          <fgColor rgb="FF8C8C8C"/>
          <bgColor rgb="FF000000"/>
        </patternFill>
      </fill>
    </dxf>
    <dxf>
      <fill>
        <patternFill patternType="solid">
          <fgColor rgb="FFFEDDC5"/>
          <bgColor rgb="FF000000"/>
        </patternFill>
      </fill>
    </dxf>
    <dxf>
      <fill>
        <patternFill patternType="solid">
          <fgColor rgb="FFFEE4D3"/>
          <bgColor rgb="FF000000"/>
        </patternFill>
      </fill>
    </dxf>
    <dxf>
      <fill>
        <patternFill patternType="solid">
          <fgColor rgb="FFC2410C"/>
          <bgColor rgb="FF000000"/>
        </patternFill>
      </fill>
    </dxf>
    <dxf>
      <fill>
        <patternFill patternType="solid">
          <fgColor rgb="FFFA7E29"/>
          <bgColor rgb="FF000000"/>
        </patternFill>
      </fill>
    </dxf>
    <dxf>
      <fill>
        <patternFill patternType="solid">
          <fgColor rgb="FFFA8433"/>
          <bgColor rgb="FF000000"/>
        </patternFill>
      </fill>
    </dxf>
    <dxf>
      <fill>
        <patternFill patternType="solid">
          <fgColor rgb="FFFA8738"/>
          <bgColor rgb="FF000000"/>
        </patternFill>
      </fill>
    </dxf>
    <dxf>
      <fill>
        <patternFill patternType="solid">
          <fgColor rgb="FFFFEFE3"/>
          <bgColor rgb="FF000000"/>
        </patternFill>
      </fill>
    </dxf>
    <dxf>
      <fill>
        <patternFill patternType="solid">
          <fgColor rgb="FFFFFEFE"/>
          <bgColor rgb="FF000000"/>
        </patternFill>
      </fill>
    </dxf>
    <dxf>
      <fill>
        <patternFill patternType="solid">
          <fgColor rgb="FFFDC9A6"/>
          <bgColor rgb="FF000000"/>
        </patternFill>
      </fill>
    </dxf>
    <dxf>
      <fill>
        <patternFill patternType="solid">
          <fgColor rgb="FFFEE3CF"/>
          <bgColor rgb="FF000000"/>
        </patternFill>
      </fill>
    </dxf>
    <dxf>
      <fill>
        <patternFill patternType="solid">
          <fgColor rgb="FFFEDEC9"/>
          <bgColor rgb="FF000000"/>
        </patternFill>
      </fill>
    </dxf>
    <dxf>
      <fill>
        <patternFill patternType="solid">
          <fgColor rgb="FFFCA265"/>
          <bgColor rgb="FF000000"/>
        </patternFill>
      </fill>
    </dxf>
    <dxf>
      <fill>
        <patternFill patternType="solid">
          <fgColor rgb="FFFA781F"/>
          <bgColor rgb="FF000000"/>
        </patternFill>
      </fill>
    </dxf>
    <dxf>
      <fill>
        <patternFill patternType="solid">
          <fgColor rgb="FFFFFBF7"/>
          <bgColor rgb="FF000000"/>
        </patternFill>
      </fill>
    </dxf>
    <dxf>
      <fill>
        <patternFill patternType="solid">
          <fgColor rgb="FFFA8A3D"/>
          <bgColor rgb="FF000000"/>
        </patternFill>
      </fill>
    </dxf>
    <dxf>
      <fill>
        <patternFill patternType="solid">
          <fgColor rgb="FFFFE9D9"/>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E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DBA74"/>
      <rgbColor rgb="FFCC99FF"/>
      <rgbColor rgb="FFFED7AA"/>
      <rgbColor rgb="FF3366FF"/>
      <rgbColor rgb="FF33CCCC"/>
      <rgbColor rgb="FF99CC00"/>
      <rgbColor rgb="FFFFCC00"/>
      <rgbColor rgb="FFFF9900"/>
      <rgbColor rgb="FFEA580C"/>
      <rgbColor rgb="FF595959"/>
      <rgbColor rgb="FF8C8C8C"/>
      <rgbColor rgb="FF003366"/>
      <rgbColor rgb="FF339966"/>
      <rgbColor rgb="FF0A0A0A"/>
      <rgbColor rgb="FF333300"/>
      <rgbColor rgb="FFC241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50"/>
    <col collapsed="false" customWidth="true" hidden="false" outlineLevel="0" max="4" min="4" style="0" width="60"/>
  </cols>
  <sheetData>
    <row r="1" customFormat="false" ht="17.35" hidden="false" customHeight="false" outlineLevel="0" collapsed="false">
      <c r="A1" s="1" t="s">
        <v>0</v>
      </c>
      <c r="B1" s="2"/>
      <c r="C1" s="2"/>
      <c r="D1" s="2"/>
    </row>
    <row r="2" customFormat="false" ht="15" hidden="false" customHeight="false" outlineLevel="0" collapsed="false">
      <c r="A2" s="3" t="s">
        <v>1</v>
      </c>
      <c r="B2" s="2"/>
      <c r="C2" s="2"/>
      <c r="D2" s="2"/>
    </row>
    <row r="3" customFormat="false" ht="15" hidden="false" customHeight="false" outlineLevel="0" collapsed="false">
      <c r="A3" s="2"/>
      <c r="B3" s="2"/>
      <c r="C3" s="2"/>
      <c r="D3" s="2"/>
    </row>
    <row r="4" customFormat="false" ht="15" hidden="false" customHeight="false" outlineLevel="0" collapsed="false">
      <c r="A4" s="4" t="s">
        <v>2</v>
      </c>
      <c r="B4" s="5" t="n">
        <f aca="false">COUNTA(Creators!A5:A804)</f>
        <v>800</v>
      </c>
      <c r="C4" s="2"/>
      <c r="D4" s="2"/>
    </row>
    <row r="5" customFormat="false" ht="15" hidden="false" customHeight="false" outlineLevel="0" collapsed="false">
      <c r="A5" s="4" t="s">
        <v>3</v>
      </c>
      <c r="B5" s="5" t="n">
        <f aca="false">COUNTA(Channels!A5:A1888)</f>
        <v>1884</v>
      </c>
      <c r="C5" s="2"/>
      <c r="D5" s="2"/>
    </row>
    <row r="6" customFormat="false" ht="15" hidden="false" customHeight="false" outlineLevel="0" collapsed="false">
      <c r="A6" s="4" t="s">
        <v>4</v>
      </c>
      <c r="B6" s="5" t="n">
        <f aca="false">COUNTIF(Creators!H5:H804,"Yes")</f>
        <v>277</v>
      </c>
      <c r="C6" s="2"/>
      <c r="D6" s="2"/>
    </row>
    <row r="7" customFormat="false" ht="15" hidden="false" customHeight="false" outlineLevel="0" collapsed="false">
      <c r="A7" s="4" t="s">
        <v>5</v>
      </c>
      <c r="B7" s="6" t="n">
        <f aca="false">IFERROR(B6/B4,0)</f>
        <v>0.34625</v>
      </c>
      <c r="C7" s="2"/>
      <c r="D7" s="2"/>
    </row>
    <row r="8" customFormat="false" ht="15" hidden="false" customHeight="false" outlineLevel="0" collapsed="false">
      <c r="A8" s="4" t="s">
        <v>6</v>
      </c>
      <c r="B8" s="5" t="n">
        <f aca="false">COUNTIF(Channels!M5:M1888,"Yes")</f>
        <v>1179</v>
      </c>
      <c r="C8" s="2"/>
      <c r="D8" s="2"/>
    </row>
    <row r="9" customFormat="false" ht="15" hidden="false" customHeight="false" outlineLevel="0" collapsed="false">
      <c r="A9" s="4" t="s">
        <v>7</v>
      </c>
      <c r="B9" s="6" t="n">
        <f aca="false">IFERROR(B8/B5,0)</f>
        <v>0.625796178343949</v>
      </c>
      <c r="C9" s="2"/>
      <c r="D9" s="2"/>
    </row>
    <row r="10" customFormat="false" ht="15" hidden="false" customHeight="false" outlineLevel="0" collapsed="false">
      <c r="A10" s="4" t="s">
        <v>8</v>
      </c>
      <c r="B10" s="5" t="n">
        <f aca="false">COUNTA(Gaps!A5:A743)</f>
        <v>739</v>
      </c>
      <c r="C10" s="2"/>
      <c r="D10" s="2"/>
    </row>
    <row r="11" customFormat="false" ht="15" hidden="false" customHeight="false" outlineLevel="0" collapsed="false">
      <c r="A11" s="4" t="s">
        <v>9</v>
      </c>
      <c r="B11" s="7" t="s">
        <v>10</v>
      </c>
      <c r="C11" s="2"/>
      <c r="D11" s="2"/>
    </row>
    <row r="12" customFormat="false" ht="15" hidden="false" customHeight="false" outlineLevel="0" collapsed="false">
      <c r="A12" s="2"/>
      <c r="B12" s="2"/>
      <c r="C12" s="2"/>
      <c r="D12" s="2"/>
    </row>
    <row r="13" customFormat="false" ht="15" hidden="false" customHeight="false" outlineLevel="0" collapsed="false">
      <c r="A13" s="2"/>
      <c r="B13" s="2"/>
      <c r="C13" s="2"/>
      <c r="D13" s="2"/>
    </row>
    <row r="14" customFormat="false" ht="15" hidden="false" customHeight="false" outlineLevel="0" collapsed="false">
      <c r="A14" s="4" t="s">
        <v>11</v>
      </c>
      <c r="B14" s="2"/>
      <c r="C14" s="2"/>
      <c r="D14" s="2"/>
    </row>
    <row r="15" customFormat="false" ht="31.5" hidden="false" customHeight="true" outlineLevel="0" collapsed="false">
      <c r="A15" s="8" t="s">
        <v>12</v>
      </c>
      <c r="B15" s="8" t="s">
        <v>13</v>
      </c>
      <c r="C15" s="8" t="s">
        <v>14</v>
      </c>
      <c r="D15" s="8" t="s">
        <v>15</v>
      </c>
    </row>
    <row r="16" customFormat="false" ht="15" hidden="false" customHeight="false" outlineLevel="0" collapsed="false">
      <c r="A16" s="2" t="s">
        <v>16</v>
      </c>
      <c r="B16" s="2" t="s">
        <v>17</v>
      </c>
      <c r="C16" s="9" t="n">
        <v>0.9</v>
      </c>
      <c r="D16" s="2"/>
    </row>
    <row r="17" customFormat="false" ht="15" hidden="false" customHeight="false" outlineLevel="0" collapsed="false">
      <c r="A17" s="2" t="s">
        <v>18</v>
      </c>
      <c r="B17" s="2" t="s">
        <v>19</v>
      </c>
      <c r="C17" s="9" t="n">
        <v>0.9</v>
      </c>
      <c r="D17" s="2"/>
    </row>
    <row r="18" customFormat="false" ht="15" hidden="false" customHeight="false" outlineLevel="0" collapsed="false">
      <c r="A18" s="2" t="s">
        <v>20</v>
      </c>
      <c r="B18" s="2" t="s">
        <v>21</v>
      </c>
      <c r="C18" s="9" t="n">
        <v>0.8</v>
      </c>
      <c r="D18" s="2" t="s">
        <v>22</v>
      </c>
    </row>
    <row r="19" customFormat="false" ht="15" hidden="false" customHeight="false" outlineLevel="0" collapsed="false">
      <c r="A19" s="2" t="s">
        <v>23</v>
      </c>
      <c r="B19" s="2" t="s">
        <v>24</v>
      </c>
      <c r="C19" s="9" t="n">
        <v>1</v>
      </c>
      <c r="D19" s="2"/>
    </row>
    <row r="20" customFormat="false" ht="15" hidden="false" customHeight="false" outlineLevel="0" collapsed="false">
      <c r="A20" s="2"/>
      <c r="B20" s="2"/>
      <c r="C20" s="2"/>
      <c r="D20" s="2"/>
    </row>
    <row r="21" customFormat="false" ht="15" hidden="false" customHeight="false" outlineLevel="0" collapsed="false">
      <c r="A21" s="4" t="s">
        <v>25</v>
      </c>
      <c r="B21" s="2"/>
      <c r="C21" s="2"/>
      <c r="D21" s="2"/>
    </row>
    <row r="22" customFormat="false" ht="31.5" hidden="false" customHeight="true" outlineLevel="0" collapsed="false">
      <c r="A22" s="10" t="s">
        <v>26</v>
      </c>
      <c r="B22" s="10" t="s">
        <v>27</v>
      </c>
      <c r="C22" s="10" t="s">
        <v>28</v>
      </c>
      <c r="D22" s="2"/>
    </row>
    <row r="23" customFormat="false" ht="15" hidden="false" customHeight="false" outlineLevel="0" collapsed="false">
      <c r="A23" s="2" t="s">
        <v>29</v>
      </c>
      <c r="B23" s="2" t="n">
        <f aca="false">COUNTIF(Leaderboard!M5:M491,A23)</f>
        <v>90</v>
      </c>
      <c r="C23" s="2" t="s">
        <v>30</v>
      </c>
      <c r="D23" s="2"/>
    </row>
    <row r="24" customFormat="false" ht="15" hidden="false" customHeight="false" outlineLevel="0" collapsed="false">
      <c r="A24" s="2" t="s">
        <v>31</v>
      </c>
      <c r="B24" s="2" t="n">
        <f aca="false">COUNTIF(Leaderboard!M5:M491,A24)</f>
        <v>94</v>
      </c>
      <c r="C24" s="2" t="s">
        <v>32</v>
      </c>
      <c r="D24" s="2"/>
    </row>
    <row r="25" customFormat="false" ht="15" hidden="false" customHeight="false" outlineLevel="0" collapsed="false">
      <c r="A25" s="2" t="s">
        <v>33</v>
      </c>
      <c r="B25" s="2" t="n">
        <f aca="false">COUNTIF(Leaderboard!M5:M491,A25)</f>
        <v>93</v>
      </c>
      <c r="C25" s="2" t="s">
        <v>34</v>
      </c>
      <c r="D25" s="2"/>
    </row>
    <row r="26" customFormat="false" ht="15" hidden="false" customHeight="false" outlineLevel="0" collapsed="false">
      <c r="A26" s="2"/>
      <c r="B26" s="2"/>
      <c r="C26" s="2"/>
      <c r="D26" s="2"/>
    </row>
    <row r="27" customFormat="false" ht="15" hidden="false" customHeight="false" outlineLevel="0" collapsed="false">
      <c r="A27" s="4" t="s">
        <v>35</v>
      </c>
      <c r="B27" s="2"/>
      <c r="C27" s="2"/>
      <c r="D27" s="2"/>
    </row>
    <row r="28" customFormat="false" ht="31.5" hidden="false" customHeight="true" outlineLevel="0" collapsed="false">
      <c r="A28" s="8" t="s">
        <v>3</v>
      </c>
      <c r="B28" s="8" t="s">
        <v>27</v>
      </c>
      <c r="C28" s="8" t="s">
        <v>36</v>
      </c>
      <c r="D28" s="8" t="s">
        <v>37</v>
      </c>
    </row>
    <row r="29" customFormat="false" ht="15" hidden="false" customHeight="false" outlineLevel="0" collapsed="false">
      <c r="A29" s="2" t="s">
        <v>38</v>
      </c>
      <c r="B29" s="11" t="n">
        <f aca="false">COUNTIF(Creators!$G$5:$G$804,"*/3")</f>
        <v>461</v>
      </c>
      <c r="C29" s="11" t="n">
        <f aca="false">COUNTIFS(Creators!$G$5:$G$804,"*/3",Creators!$H$5:$H$804,"Yes")</f>
        <v>107</v>
      </c>
      <c r="D29" s="12" t="n">
        <f aca="false">IFERROR(C29/B29,0)</f>
        <v>0.232104121475054</v>
      </c>
    </row>
    <row r="30" customFormat="false" ht="15" hidden="false" customHeight="false" outlineLevel="0" collapsed="false">
      <c r="A30" s="2" t="s">
        <v>39</v>
      </c>
      <c r="B30" s="11" t="n">
        <f aca="false">COUNTIF(Creators!$G$5:$G$804,"*/2")</f>
        <v>162</v>
      </c>
      <c r="C30" s="11" t="n">
        <f aca="false">COUNTIFS(Creators!$G$5:$G$804,"*/2",Creators!$H$5:$H$804,"Yes")</f>
        <v>61</v>
      </c>
      <c r="D30" s="12" t="n">
        <f aca="false">IFERROR(C30/B30,0)</f>
        <v>0.376543209876543</v>
      </c>
    </row>
    <row r="31" customFormat="false" ht="15" hidden="false" customHeight="false" outlineLevel="0" collapsed="false">
      <c r="A31" s="2" t="s">
        <v>40</v>
      </c>
      <c r="B31" s="11" t="n">
        <f aca="false">COUNTIF(Creators!$G$5:$G$804,"*/1")</f>
        <v>177</v>
      </c>
      <c r="C31" s="11" t="n">
        <f aca="false">COUNTIFS(Creators!$G$5:$G$804,"*/1",Creators!$H$5:$H$804,"Yes")</f>
        <v>109</v>
      </c>
      <c r="D31" s="12" t="n">
        <f aca="false">IFERROR(C31/B31,0)</f>
        <v>0.615819209039548</v>
      </c>
    </row>
    <row r="32" customFormat="false" ht="15" hidden="false" customHeight="false" outlineLevel="0" collapsed="false">
      <c r="A32" s="2"/>
      <c r="B32" s="2"/>
      <c r="C32" s="2"/>
      <c r="D32" s="2"/>
    </row>
    <row r="33" customFormat="false" ht="15" hidden="false" customHeight="false" outlineLevel="0" collapsed="false">
      <c r="A33" s="4" t="s">
        <v>41</v>
      </c>
      <c r="B33" s="2"/>
      <c r="C33" s="2"/>
      <c r="D33" s="2"/>
    </row>
    <row r="34" customFormat="false" ht="31.5" hidden="false" customHeight="true" outlineLevel="0" collapsed="false">
      <c r="A34" s="8" t="s">
        <v>42</v>
      </c>
      <c r="B34" s="8" t="s">
        <v>43</v>
      </c>
      <c r="C34" s="8" t="s">
        <v>44</v>
      </c>
      <c r="D34" s="2"/>
    </row>
    <row r="35" customFormat="false" ht="15" hidden="false" customHeight="false" outlineLevel="0" collapsed="false">
      <c r="A35" s="2" t="s">
        <v>45</v>
      </c>
      <c r="B35" s="2" t="n">
        <v>628</v>
      </c>
      <c r="C35" s="12" t="n">
        <v>0.5717</v>
      </c>
      <c r="D35" s="2"/>
    </row>
    <row r="36" customFormat="false" ht="15" hidden="false" customHeight="false" outlineLevel="0" collapsed="false">
      <c r="A36" s="2" t="s">
        <v>46</v>
      </c>
      <c r="B36" s="2" t="n">
        <v>632</v>
      </c>
      <c r="C36" s="12" t="n">
        <v>0.5269</v>
      </c>
      <c r="D36" s="2"/>
    </row>
    <row r="37" customFormat="false" ht="15" hidden="false" customHeight="false" outlineLevel="0" collapsed="false">
      <c r="A37" s="2" t="s">
        <v>47</v>
      </c>
      <c r="B37" s="2" t="n">
        <v>624</v>
      </c>
      <c r="C37" s="12" t="n">
        <v>0.7804</v>
      </c>
      <c r="D37" s="2"/>
    </row>
    <row r="38" customFormat="false" ht="15" hidden="false" customHeight="false" outlineLevel="0" collapsed="false">
      <c r="A38" s="2"/>
      <c r="B38" s="2"/>
      <c r="C38" s="2"/>
      <c r="D38" s="2"/>
    </row>
    <row r="39" customFormat="false" ht="15" hidden="false" customHeight="false" outlineLevel="0" collapsed="false">
      <c r="A39" s="4" t="s">
        <v>48</v>
      </c>
      <c r="B39" s="2"/>
      <c r="C39" s="2"/>
      <c r="D39" s="2"/>
    </row>
    <row r="40" customFormat="false" ht="15" hidden="false" customHeight="false" outlineLevel="0" collapsed="false">
      <c r="A40" s="13" t="s">
        <v>49</v>
      </c>
      <c r="B40" s="2"/>
      <c r="C40" s="2"/>
      <c r="D40" s="2"/>
    </row>
    <row r="41" customFormat="false" ht="15" hidden="false" customHeight="false" outlineLevel="0" collapsed="false">
      <c r="A41" s="14" t="s">
        <v>50</v>
      </c>
      <c r="B41" s="2"/>
      <c r="C41" s="2"/>
      <c r="D41" s="2"/>
    </row>
    <row r="42" customFormat="false" ht="15" hidden="false" customHeight="false" outlineLevel="0" collapsed="false">
      <c r="A42" s="15" t="s">
        <v>51</v>
      </c>
      <c r="B42" s="2"/>
      <c r="C42" s="2"/>
      <c r="D42" s="2"/>
    </row>
    <row r="43" customFormat="false" ht="15" hidden="false" customHeight="false" outlineLevel="0" collapsed="false">
      <c r="A43" s="16" t="s">
        <v>52</v>
      </c>
      <c r="B43" s="2"/>
      <c r="C43" s="2"/>
      <c r="D4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14"/>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3" min="13" style="0" width="13"/>
    <col collapsed="false" customWidth="true" hidden="false" outlineLevel="0" max="14" min="14" style="0" width="11"/>
    <col collapsed="false" customWidth="true" hidden="false" outlineLevel="0" max="15" min="15" style="0" width="22"/>
  </cols>
  <sheetData>
    <row r="1" customFormat="false" ht="17.35" hidden="false" customHeight="false" outlineLevel="0" collapsed="false">
      <c r="A1" s="1" t="s">
        <v>53</v>
      </c>
      <c r="B1" s="2"/>
      <c r="C1" s="2"/>
      <c r="D1" s="2"/>
      <c r="E1" s="2"/>
      <c r="F1" s="2"/>
      <c r="G1" s="2"/>
      <c r="H1" s="2"/>
      <c r="I1" s="2"/>
      <c r="J1" s="2"/>
      <c r="K1" s="2"/>
      <c r="L1" s="2"/>
      <c r="M1" s="2"/>
      <c r="N1" s="2"/>
      <c r="O1" s="2"/>
    </row>
    <row r="2" customFormat="false" ht="15" hidden="false" customHeight="false" outlineLevel="0" collapsed="false">
      <c r="A2" s="3" t="s">
        <v>54</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31.5" hidden="false" customHeight="true" outlineLevel="0" collapsed="false">
      <c r="A4" s="8" t="s">
        <v>55</v>
      </c>
      <c r="B4" s="8" t="s">
        <v>56</v>
      </c>
      <c r="C4" s="8" t="s">
        <v>57</v>
      </c>
      <c r="D4" s="8" t="s">
        <v>58</v>
      </c>
      <c r="E4" s="8" t="s">
        <v>59</v>
      </c>
      <c r="F4" s="8" t="s">
        <v>60</v>
      </c>
      <c r="G4" s="10" t="s">
        <v>61</v>
      </c>
      <c r="H4" s="10" t="s">
        <v>62</v>
      </c>
      <c r="I4" s="10" t="s">
        <v>63</v>
      </c>
      <c r="J4" s="10" t="s">
        <v>64</v>
      </c>
      <c r="K4" s="10" t="s">
        <v>65</v>
      </c>
      <c r="L4" s="10" t="s">
        <v>66</v>
      </c>
      <c r="M4" s="8" t="s">
        <v>67</v>
      </c>
      <c r="N4" s="8" t="s">
        <v>68</v>
      </c>
      <c r="O4" s="8" t="s">
        <v>69</v>
      </c>
    </row>
    <row r="5" customFormat="false" ht="15" hidden="false" customHeight="false" outlineLevel="0" collapsed="false">
      <c r="A5" s="17" t="s">
        <v>70</v>
      </c>
      <c r="B5" s="17" t="s">
        <v>71</v>
      </c>
      <c r="C5" s="17" t="s">
        <v>72</v>
      </c>
      <c r="D5" s="17" t="s">
        <v>73</v>
      </c>
      <c r="E5" s="17" t="s">
        <v>47</v>
      </c>
      <c r="F5" s="18" t="n">
        <v>6568</v>
      </c>
      <c r="G5" s="19" t="n">
        <v>99.8</v>
      </c>
      <c r="H5" s="17" t="n">
        <f aca="false">IF(G5="","",RANK(G5,$G$5:$G$281))</f>
        <v>1</v>
      </c>
      <c r="I5" s="19" t="n">
        <v>70.7</v>
      </c>
      <c r="J5" s="17" t="n">
        <f aca="false">IF(I5="","",RANK(I5,$I$5:$I$281))</f>
        <v>54</v>
      </c>
      <c r="K5" s="19" t="n">
        <v>53</v>
      </c>
      <c r="L5" s="17" t="n">
        <f aca="false">IF(K5="","",RANK(K5,$K$5:$K$281))</f>
        <v>117</v>
      </c>
      <c r="M5" s="17" t="str">
        <f aca="false">IF(AND(N(G5)&gt;=N(I5),N(G5)&gt;=N(K5)),"The Pulse",IF(N(I5)&gt;=N(K5),"The Lens","The Hub"))</f>
        <v>The Pulse</v>
      </c>
      <c r="N5" s="20" t="s">
        <v>74</v>
      </c>
      <c r="O5" s="17" t="s">
        <v>19</v>
      </c>
    </row>
    <row r="6" customFormat="false" ht="15" hidden="false" customHeight="false" outlineLevel="0" collapsed="false">
      <c r="A6" s="17" t="s">
        <v>75</v>
      </c>
      <c r="B6" s="17" t="s">
        <v>76</v>
      </c>
      <c r="C6" s="17" t="s">
        <v>77</v>
      </c>
      <c r="D6" s="17" t="s">
        <v>73</v>
      </c>
      <c r="E6" s="17" t="s">
        <v>46</v>
      </c>
      <c r="F6" s="18" t="n">
        <v>29820</v>
      </c>
      <c r="G6" s="19" t="n">
        <v>98.7</v>
      </c>
      <c r="H6" s="17" t="n">
        <f aca="false">IF(G6="","",RANK(G6,$G$5:$G$281))</f>
        <v>2</v>
      </c>
      <c r="I6" s="19" t="n">
        <v>14.9</v>
      </c>
      <c r="J6" s="17" t="n">
        <f aca="false">IF(I6="","",RANK(I6,$I$5:$I$281))</f>
        <v>254</v>
      </c>
      <c r="K6" s="19" t="n">
        <v>87.6</v>
      </c>
      <c r="L6" s="17" t="n">
        <f aca="false">IF(K6="","",RANK(K6,$K$5:$K$281))</f>
        <v>22</v>
      </c>
      <c r="M6" s="17" t="str">
        <f aca="false">IF(AND(N(G6)&gt;=N(I6),N(G6)&gt;=N(K6)),"The Pulse",IF(N(I6)&gt;=N(K6),"The Lens","The Hub"))</f>
        <v>The Pulse</v>
      </c>
      <c r="N6" s="21" t="s">
        <v>78</v>
      </c>
      <c r="O6" s="17" t="s">
        <v>21</v>
      </c>
    </row>
    <row r="7" customFormat="false" ht="15" hidden="false" customHeight="false" outlineLevel="0" collapsed="false">
      <c r="A7" s="17" t="s">
        <v>79</v>
      </c>
      <c r="B7" s="17" t="s">
        <v>80</v>
      </c>
      <c r="C7" s="17" t="s">
        <v>81</v>
      </c>
      <c r="D7" s="17" t="s">
        <v>82</v>
      </c>
      <c r="E7" s="17" t="s">
        <v>45</v>
      </c>
      <c r="F7" s="18" t="n">
        <v>2370</v>
      </c>
      <c r="G7" s="19" t="n">
        <v>98.7</v>
      </c>
      <c r="H7" s="17" t="n">
        <f aca="false">IF(G7="","",RANK(G7,$G$5:$G$281))</f>
        <v>2</v>
      </c>
      <c r="I7" s="19" t="n">
        <v>9.3</v>
      </c>
      <c r="J7" s="17" t="n">
        <f aca="false">IF(I7="","",RANK(I7,$I$5:$I$281))</f>
        <v>266</v>
      </c>
      <c r="K7" s="19"/>
      <c r="L7" s="17" t="str">
        <f aca="false">IF(K7="","",RANK(K7,$K$5:$K$281))</f>
        <v/>
      </c>
      <c r="M7" s="17" t="str">
        <f aca="false">IF(AND(N(G7)&gt;=N(I7),N(G7)&gt;=N(K7)),"The Pulse",IF(N(I7)&gt;=N(K7),"The Lens","The Hub"))</f>
        <v>The Pulse</v>
      </c>
      <c r="N7" s="22" t="s">
        <v>83</v>
      </c>
      <c r="O7" s="17" t="s">
        <v>84</v>
      </c>
    </row>
    <row r="8" customFormat="false" ht="15" hidden="false" customHeight="false" outlineLevel="0" collapsed="false">
      <c r="A8" s="17" t="s">
        <v>85</v>
      </c>
      <c r="B8" s="17" t="s">
        <v>86</v>
      </c>
      <c r="C8" s="17" t="s">
        <v>87</v>
      </c>
      <c r="D8" s="17" t="s">
        <v>82</v>
      </c>
      <c r="E8" s="17" t="s">
        <v>45</v>
      </c>
      <c r="F8" s="18" t="n">
        <v>89664</v>
      </c>
      <c r="G8" s="19" t="n">
        <v>98.5</v>
      </c>
      <c r="H8" s="17" t="n">
        <f aca="false">IF(G8="","",RANK(G8,$G$5:$G$281))</f>
        <v>4</v>
      </c>
      <c r="I8" s="19" t="n">
        <v>49.2</v>
      </c>
      <c r="J8" s="17" t="n">
        <f aca="false">IF(I8="","",RANK(I8,$I$5:$I$281))</f>
        <v>143</v>
      </c>
      <c r="K8" s="19" t="n">
        <v>8</v>
      </c>
      <c r="L8" s="17" t="n">
        <f aca="false">IF(K8="","",RANK(K8,$K$5:$K$281))</f>
        <v>265</v>
      </c>
      <c r="M8" s="17" t="str">
        <f aca="false">IF(AND(N(G8)&gt;=N(I8),N(G8)&gt;=N(K8)),"The Pulse",IF(N(I8)&gt;=N(K8),"The Lens","The Hub"))</f>
        <v>The Pulse</v>
      </c>
      <c r="N8" s="22" t="s">
        <v>83</v>
      </c>
      <c r="O8" s="17" t="s">
        <v>84</v>
      </c>
    </row>
    <row r="9" customFormat="false" ht="15" hidden="false" customHeight="false" outlineLevel="0" collapsed="false">
      <c r="A9" s="17" t="s">
        <v>88</v>
      </c>
      <c r="B9" s="17" t="s">
        <v>89</v>
      </c>
      <c r="C9" s="17" t="s">
        <v>77</v>
      </c>
      <c r="D9" s="17" t="s">
        <v>82</v>
      </c>
      <c r="E9" s="17" t="s">
        <v>47</v>
      </c>
      <c r="F9" s="18" t="n">
        <v>373531</v>
      </c>
      <c r="G9" s="19" t="n">
        <v>98.3</v>
      </c>
      <c r="H9" s="17" t="n">
        <f aca="false">IF(G9="","",RANK(G9,$G$5:$G$281))</f>
        <v>5</v>
      </c>
      <c r="I9" s="19" t="n">
        <v>12</v>
      </c>
      <c r="J9" s="17" t="n">
        <f aca="false">IF(I9="","",RANK(I9,$I$5:$I$281))</f>
        <v>259</v>
      </c>
      <c r="K9" s="19" t="n">
        <v>29.5</v>
      </c>
      <c r="L9" s="17" t="n">
        <f aca="false">IF(K9="","",RANK(K9,$K$5:$K$281))</f>
        <v>220</v>
      </c>
      <c r="M9" s="17" t="str">
        <f aca="false">IF(AND(N(G9)&gt;=N(I9),N(G9)&gt;=N(K9)),"The Pulse",IF(N(I9)&gt;=N(K9),"The Lens","The Hub"))</f>
        <v>The Pulse</v>
      </c>
      <c r="N9" s="20" t="s">
        <v>74</v>
      </c>
      <c r="O9" s="17" t="s">
        <v>19</v>
      </c>
    </row>
    <row r="10" customFormat="false" ht="15" hidden="false" customHeight="false" outlineLevel="0" collapsed="false">
      <c r="A10" s="17" t="s">
        <v>90</v>
      </c>
      <c r="B10" s="17" t="s">
        <v>91</v>
      </c>
      <c r="C10" s="17" t="s">
        <v>92</v>
      </c>
      <c r="D10" s="17" t="s">
        <v>93</v>
      </c>
      <c r="E10" s="17" t="s">
        <v>46</v>
      </c>
      <c r="F10" s="18" t="n">
        <v>31260</v>
      </c>
      <c r="G10" s="19" t="n">
        <v>98.1</v>
      </c>
      <c r="H10" s="17" t="n">
        <f aca="false">IF(G10="","",RANK(G10,$G$5:$G$281))</f>
        <v>6</v>
      </c>
      <c r="I10" s="19" t="n">
        <v>46.9</v>
      </c>
      <c r="J10" s="17" t="n">
        <f aca="false">IF(I10="","",RANK(I10,$I$5:$I$281))</f>
        <v>155</v>
      </c>
      <c r="K10" s="19" t="n">
        <v>78</v>
      </c>
      <c r="L10" s="17" t="n">
        <f aca="false">IF(K10="","",RANK(K10,$K$5:$K$281))</f>
        <v>43</v>
      </c>
      <c r="M10" s="17" t="str">
        <f aca="false">IF(AND(N(G10)&gt;=N(I10),N(G10)&gt;=N(K10)),"The Pulse",IF(N(I10)&gt;=N(K10),"The Lens","The Hub"))</f>
        <v>The Pulse</v>
      </c>
      <c r="N10" s="21" t="s">
        <v>78</v>
      </c>
      <c r="O10" s="17" t="s">
        <v>21</v>
      </c>
    </row>
    <row r="11" customFormat="false" ht="15" hidden="false" customHeight="false" outlineLevel="0" collapsed="false">
      <c r="A11" s="17" t="s">
        <v>94</v>
      </c>
      <c r="B11" s="17" t="s">
        <v>95</v>
      </c>
      <c r="C11" s="17" t="s">
        <v>92</v>
      </c>
      <c r="D11" s="17" t="s">
        <v>96</v>
      </c>
      <c r="E11" s="17" t="s">
        <v>47</v>
      </c>
      <c r="F11" s="18" t="n">
        <v>32201</v>
      </c>
      <c r="G11" s="19" t="n">
        <v>97.1</v>
      </c>
      <c r="H11" s="17" t="n">
        <f aca="false">IF(G11="","",RANK(G11,$G$5:$G$281))</f>
        <v>7</v>
      </c>
      <c r="I11" s="19" t="n">
        <v>73.8</v>
      </c>
      <c r="J11" s="17" t="n">
        <f aca="false">IF(I11="","",RANK(I11,$I$5:$I$281))</f>
        <v>42</v>
      </c>
      <c r="K11" s="19" t="n">
        <v>93.9</v>
      </c>
      <c r="L11" s="17" t="n">
        <f aca="false">IF(K11="","",RANK(K11,$K$5:$K$281))</f>
        <v>8</v>
      </c>
      <c r="M11" s="17" t="str">
        <f aca="false">IF(AND(N(G11)&gt;=N(I11),N(G11)&gt;=N(K11)),"The Pulse",IF(N(I11)&gt;=N(K11),"The Lens","The Hub"))</f>
        <v>The Pulse</v>
      </c>
      <c r="N11" s="20" t="s">
        <v>74</v>
      </c>
      <c r="O11" s="17" t="s">
        <v>19</v>
      </c>
    </row>
    <row r="12" customFormat="false" ht="15" hidden="false" customHeight="false" outlineLevel="0" collapsed="false">
      <c r="A12" s="17" t="s">
        <v>97</v>
      </c>
      <c r="B12" s="17" t="s">
        <v>98</v>
      </c>
      <c r="C12" s="17" t="s">
        <v>77</v>
      </c>
      <c r="D12" s="17" t="s">
        <v>99</v>
      </c>
      <c r="E12" s="17" t="s">
        <v>45</v>
      </c>
      <c r="F12" s="18" t="n">
        <v>6147</v>
      </c>
      <c r="G12" s="19" t="n">
        <v>97</v>
      </c>
      <c r="H12" s="17" t="n">
        <f aca="false">IF(G12="","",RANK(G12,$G$5:$G$281))</f>
        <v>8</v>
      </c>
      <c r="I12" s="19" t="n">
        <v>11.1</v>
      </c>
      <c r="J12" s="17" t="n">
        <f aca="false">IF(I12="","",RANK(I12,$I$5:$I$281))</f>
        <v>261</v>
      </c>
      <c r="K12" s="19" t="n">
        <v>93.6</v>
      </c>
      <c r="L12" s="17" t="n">
        <f aca="false">IF(K12="","",RANK(K12,$K$5:$K$281))</f>
        <v>9</v>
      </c>
      <c r="M12" s="17" t="str">
        <f aca="false">IF(AND(N(G12)&gt;=N(I12),N(G12)&gt;=N(K12)),"The Pulse",IF(N(I12)&gt;=N(K12),"The Lens","The Hub"))</f>
        <v>The Pulse</v>
      </c>
      <c r="N12" s="20" t="s">
        <v>74</v>
      </c>
      <c r="O12" s="17" t="s">
        <v>19</v>
      </c>
    </row>
    <row r="13" customFormat="false" ht="15" hidden="false" customHeight="false" outlineLevel="0" collapsed="false">
      <c r="A13" s="17" t="s">
        <v>100</v>
      </c>
      <c r="B13" s="17" t="s">
        <v>101</v>
      </c>
      <c r="C13" s="17" t="s">
        <v>102</v>
      </c>
      <c r="D13" s="17" t="s">
        <v>99</v>
      </c>
      <c r="E13" s="17" t="s">
        <v>45</v>
      </c>
      <c r="F13" s="18" t="n">
        <v>60689</v>
      </c>
      <c r="G13" s="19" t="n">
        <v>96.6</v>
      </c>
      <c r="H13" s="17" t="n">
        <f aca="false">IF(G13="","",RANK(G13,$G$5:$G$281))</f>
        <v>9</v>
      </c>
      <c r="I13" s="19" t="n">
        <v>75.4</v>
      </c>
      <c r="J13" s="17" t="n">
        <f aca="false">IF(I13="","",RANK(I13,$I$5:$I$281))</f>
        <v>38</v>
      </c>
      <c r="K13" s="19" t="n">
        <v>58.3</v>
      </c>
      <c r="L13" s="17" t="n">
        <f aca="false">IF(K13="","",RANK(K13,$K$5:$K$281))</f>
        <v>100</v>
      </c>
      <c r="M13" s="17" t="str">
        <f aca="false">IF(AND(N(G13)&gt;=N(I13),N(G13)&gt;=N(K13)),"The Pulse",IF(N(I13)&gt;=N(K13),"The Lens","The Hub"))</f>
        <v>The Pulse</v>
      </c>
      <c r="N13" s="20" t="s">
        <v>74</v>
      </c>
      <c r="O13" s="17" t="s">
        <v>19</v>
      </c>
    </row>
    <row r="14" customFormat="false" ht="15" hidden="false" customHeight="false" outlineLevel="0" collapsed="false">
      <c r="A14" s="17" t="s">
        <v>103</v>
      </c>
      <c r="B14" s="17" t="s">
        <v>104</v>
      </c>
      <c r="C14" s="17" t="s">
        <v>105</v>
      </c>
      <c r="D14" s="17" t="s">
        <v>99</v>
      </c>
      <c r="E14" s="17" t="s">
        <v>47</v>
      </c>
      <c r="F14" s="18" t="n">
        <v>616713</v>
      </c>
      <c r="G14" s="19" t="n">
        <v>92.6</v>
      </c>
      <c r="H14" s="17" t="n">
        <f aca="false">IF(G14="","",RANK(G14,$G$5:$G$281))</f>
        <v>10</v>
      </c>
      <c r="I14" s="19" t="n">
        <v>76.5</v>
      </c>
      <c r="J14" s="17" t="n">
        <f aca="false">IF(I14="","",RANK(I14,$I$5:$I$281))</f>
        <v>33</v>
      </c>
      <c r="K14" s="19" t="n">
        <v>35.6</v>
      </c>
      <c r="L14" s="17" t="n">
        <f aca="false">IF(K14="","",RANK(K14,$K$5:$K$281))</f>
        <v>198</v>
      </c>
      <c r="M14" s="17" t="str">
        <f aca="false">IF(AND(N(G14)&gt;=N(I14),N(G14)&gt;=N(K14)),"The Pulse",IF(N(I14)&gt;=N(K14),"The Lens","The Hub"))</f>
        <v>The Pulse</v>
      </c>
      <c r="N14" s="20" t="s">
        <v>74</v>
      </c>
      <c r="O14" s="17" t="s">
        <v>19</v>
      </c>
    </row>
    <row r="15" customFormat="false" ht="15" hidden="false" customHeight="false" outlineLevel="0" collapsed="false">
      <c r="A15" s="17" t="s">
        <v>106</v>
      </c>
      <c r="B15" s="17" t="s">
        <v>107</v>
      </c>
      <c r="C15" s="17" t="s">
        <v>77</v>
      </c>
      <c r="D15" s="17" t="s">
        <v>108</v>
      </c>
      <c r="E15" s="17" t="s">
        <v>47</v>
      </c>
      <c r="F15" s="18" t="n">
        <v>722384</v>
      </c>
      <c r="G15" s="19" t="n">
        <v>92</v>
      </c>
      <c r="H15" s="17" t="n">
        <f aca="false">IF(G15="","",RANK(G15,$G$5:$G$281))</f>
        <v>11</v>
      </c>
      <c r="I15" s="19" t="n">
        <v>73.5</v>
      </c>
      <c r="J15" s="17" t="n">
        <f aca="false">IF(I15="","",RANK(I15,$I$5:$I$281))</f>
        <v>44</v>
      </c>
      <c r="K15" s="19" t="n">
        <v>64.4</v>
      </c>
      <c r="L15" s="17" t="n">
        <f aca="false">IF(K15="","",RANK(K15,$K$5:$K$281))</f>
        <v>78</v>
      </c>
      <c r="M15" s="17" t="str">
        <f aca="false">IF(AND(N(G15)&gt;=N(I15),N(G15)&gt;=N(K15)),"The Pulse",IF(N(I15)&gt;=N(K15),"The Lens","The Hub"))</f>
        <v>The Pulse</v>
      </c>
      <c r="N15" s="20" t="s">
        <v>74</v>
      </c>
      <c r="O15" s="17" t="s">
        <v>19</v>
      </c>
    </row>
    <row r="16" customFormat="false" ht="15" hidden="false" customHeight="false" outlineLevel="0" collapsed="false">
      <c r="A16" s="17" t="s">
        <v>109</v>
      </c>
      <c r="B16" s="17" t="s">
        <v>110</v>
      </c>
      <c r="C16" s="17" t="s">
        <v>102</v>
      </c>
      <c r="D16" s="17" t="s">
        <v>111</v>
      </c>
      <c r="E16" s="17" t="s">
        <v>45</v>
      </c>
      <c r="F16" s="18" t="n">
        <v>136546</v>
      </c>
      <c r="G16" s="19" t="n">
        <v>89.7</v>
      </c>
      <c r="H16" s="17" t="n">
        <f aca="false">IF(G16="","",RANK(G16,$G$5:$G$281))</f>
        <v>12</v>
      </c>
      <c r="I16" s="19" t="n">
        <v>9.4</v>
      </c>
      <c r="J16" s="17" t="n">
        <f aca="false">IF(I16="","",RANK(I16,$I$5:$I$281))</f>
        <v>265</v>
      </c>
      <c r="K16" s="19" t="n">
        <v>6.9</v>
      </c>
      <c r="L16" s="17" t="n">
        <f aca="false">IF(K16="","",RANK(K16,$K$5:$K$281))</f>
        <v>268</v>
      </c>
      <c r="M16" s="17" t="str">
        <f aca="false">IF(AND(N(G16)&gt;=N(I16),N(G16)&gt;=N(K16)),"The Pulse",IF(N(I16)&gt;=N(K16),"The Lens","The Hub"))</f>
        <v>The Pulse</v>
      </c>
      <c r="N16" s="20" t="s">
        <v>74</v>
      </c>
      <c r="O16" s="17" t="s">
        <v>19</v>
      </c>
    </row>
    <row r="17" customFormat="false" ht="15" hidden="false" customHeight="false" outlineLevel="0" collapsed="false">
      <c r="A17" s="17" t="s">
        <v>112</v>
      </c>
      <c r="B17" s="17" t="s">
        <v>113</v>
      </c>
      <c r="C17" s="17" t="s">
        <v>114</v>
      </c>
      <c r="D17" s="17" t="s">
        <v>115</v>
      </c>
      <c r="E17" s="17" t="s">
        <v>47</v>
      </c>
      <c r="F17" s="18" t="n">
        <v>52423</v>
      </c>
      <c r="G17" s="19" t="n">
        <v>88.8</v>
      </c>
      <c r="H17" s="17" t="n">
        <f aca="false">IF(G17="","",RANK(G17,$G$5:$G$281))</f>
        <v>13</v>
      </c>
      <c r="I17" s="19" t="n">
        <v>48.2</v>
      </c>
      <c r="J17" s="17" t="n">
        <f aca="false">IF(I17="","",RANK(I17,$I$5:$I$281))</f>
        <v>148</v>
      </c>
      <c r="K17" s="19" t="n">
        <v>87.4</v>
      </c>
      <c r="L17" s="17" t="n">
        <f aca="false">IF(K17="","",RANK(K17,$K$5:$K$281))</f>
        <v>24</v>
      </c>
      <c r="M17" s="17" t="str">
        <f aca="false">IF(AND(N(G17)&gt;=N(I17),N(G17)&gt;=N(K17)),"The Pulse",IF(N(I17)&gt;=N(K17),"The Lens","The Hub"))</f>
        <v>The Pulse</v>
      </c>
      <c r="N17" s="20" t="s">
        <v>74</v>
      </c>
      <c r="O17" s="17" t="s">
        <v>19</v>
      </c>
    </row>
    <row r="18" customFormat="false" ht="15" hidden="false" customHeight="false" outlineLevel="0" collapsed="false">
      <c r="A18" s="17" t="s">
        <v>116</v>
      </c>
      <c r="B18" s="17" t="s">
        <v>117</v>
      </c>
      <c r="C18" s="17" t="s">
        <v>77</v>
      </c>
      <c r="D18" s="17" t="s">
        <v>118</v>
      </c>
      <c r="E18" s="17" t="s">
        <v>45</v>
      </c>
      <c r="F18" s="18" t="n">
        <v>655120</v>
      </c>
      <c r="G18" s="19" t="n">
        <v>87.6</v>
      </c>
      <c r="H18" s="17" t="n">
        <f aca="false">IF(G18="","",RANK(G18,$G$5:$G$281))</f>
        <v>14</v>
      </c>
      <c r="I18" s="19" t="n">
        <v>12.3</v>
      </c>
      <c r="J18" s="17" t="n">
        <f aca="false">IF(I18="","",RANK(I18,$I$5:$I$281))</f>
        <v>258</v>
      </c>
      <c r="K18" s="19" t="n">
        <v>95</v>
      </c>
      <c r="L18" s="17" t="n">
        <f aca="false">IF(K18="","",RANK(K18,$K$5:$K$281))</f>
        <v>7</v>
      </c>
      <c r="M18" s="17" t="str">
        <f aca="false">IF(AND(N(G18)&gt;=N(I18),N(G18)&gt;=N(K18)),"The Pulse",IF(N(I18)&gt;=N(K18),"The Lens","The Hub"))</f>
        <v>The Hub</v>
      </c>
      <c r="N18" s="21" t="s">
        <v>78</v>
      </c>
      <c r="O18" s="17" t="s">
        <v>21</v>
      </c>
    </row>
    <row r="19" customFormat="false" ht="15" hidden="false" customHeight="false" outlineLevel="0" collapsed="false">
      <c r="A19" s="17" t="s">
        <v>119</v>
      </c>
      <c r="B19" s="17" t="s">
        <v>120</v>
      </c>
      <c r="C19" s="17" t="s">
        <v>105</v>
      </c>
      <c r="D19" s="17" t="s">
        <v>108</v>
      </c>
      <c r="E19" s="17" t="s">
        <v>45</v>
      </c>
      <c r="F19" s="18" t="n">
        <v>19938</v>
      </c>
      <c r="G19" s="19" t="n">
        <v>87.4</v>
      </c>
      <c r="H19" s="17" t="n">
        <f aca="false">IF(G19="","",RANK(G19,$G$5:$G$281))</f>
        <v>15</v>
      </c>
      <c r="I19" s="19" t="n">
        <v>41.7</v>
      </c>
      <c r="J19" s="17" t="n">
        <f aca="false">IF(I19="","",RANK(I19,$I$5:$I$281))</f>
        <v>176</v>
      </c>
      <c r="K19" s="19" t="n">
        <v>3.9</v>
      </c>
      <c r="L19" s="17" t="n">
        <f aca="false">IF(K19="","",RANK(K19,$K$5:$K$281))</f>
        <v>271</v>
      </c>
      <c r="M19" s="17" t="str">
        <f aca="false">IF(AND(N(G19)&gt;=N(I19),N(G19)&gt;=N(K19)),"The Pulse",IF(N(I19)&gt;=N(K19),"The Lens","The Hub"))</f>
        <v>The Pulse</v>
      </c>
      <c r="N19" s="20" t="s">
        <v>74</v>
      </c>
      <c r="O19" s="17" t="s">
        <v>19</v>
      </c>
    </row>
    <row r="20" customFormat="false" ht="15" hidden="false" customHeight="false" outlineLevel="0" collapsed="false">
      <c r="A20" s="17" t="s">
        <v>121</v>
      </c>
      <c r="B20" s="17" t="s">
        <v>122</v>
      </c>
      <c r="C20" s="17" t="s">
        <v>72</v>
      </c>
      <c r="D20" s="17" t="s">
        <v>99</v>
      </c>
      <c r="E20" s="17" t="s">
        <v>47</v>
      </c>
      <c r="F20" s="18" t="n">
        <v>34113</v>
      </c>
      <c r="G20" s="19" t="n">
        <v>86.9</v>
      </c>
      <c r="H20" s="17" t="n">
        <f aca="false">IF(G20="","",RANK(G20,$G$5:$G$281))</f>
        <v>16</v>
      </c>
      <c r="I20" s="19" t="n">
        <v>72.7</v>
      </c>
      <c r="J20" s="17" t="n">
        <f aca="false">IF(I20="","",RANK(I20,$I$5:$I$281))</f>
        <v>48</v>
      </c>
      <c r="K20" s="19" t="n">
        <v>83</v>
      </c>
      <c r="L20" s="17" t="n">
        <f aca="false">IF(K20="","",RANK(K20,$K$5:$K$281))</f>
        <v>33</v>
      </c>
      <c r="M20" s="17" t="str">
        <f aca="false">IF(AND(N(G20)&gt;=N(I20),N(G20)&gt;=N(K20)),"The Pulse",IF(N(I20)&gt;=N(K20),"The Lens","The Hub"))</f>
        <v>The Pulse</v>
      </c>
      <c r="N20" s="20" t="s">
        <v>74</v>
      </c>
      <c r="O20" s="17" t="s">
        <v>19</v>
      </c>
    </row>
    <row r="21" customFormat="false" ht="15" hidden="false" customHeight="false" outlineLevel="0" collapsed="false">
      <c r="A21" s="17" t="s">
        <v>123</v>
      </c>
      <c r="B21" s="17" t="s">
        <v>124</v>
      </c>
      <c r="C21" s="17" t="s">
        <v>92</v>
      </c>
      <c r="D21" s="17" t="s">
        <v>99</v>
      </c>
      <c r="E21" s="17" t="s">
        <v>125</v>
      </c>
      <c r="F21" s="18" t="n">
        <v>258868</v>
      </c>
      <c r="G21" s="19" t="n">
        <v>86.4</v>
      </c>
      <c r="H21" s="17" t="n">
        <f aca="false">IF(G21="","",RANK(G21,$G$5:$G$281))</f>
        <v>17</v>
      </c>
      <c r="I21" s="19" t="n">
        <v>69</v>
      </c>
      <c r="J21" s="17" t="n">
        <f aca="false">IF(I21="","",RANK(I21,$I$5:$I$281))</f>
        <v>59</v>
      </c>
      <c r="K21" s="19" t="n">
        <v>60.8</v>
      </c>
      <c r="L21" s="17" t="n">
        <f aca="false">IF(K21="","",RANK(K21,$K$5:$K$281))</f>
        <v>91</v>
      </c>
      <c r="M21" s="17" t="str">
        <f aca="false">IF(AND(N(G21)&gt;=N(I21),N(G21)&gt;=N(K21)),"The Pulse",IF(N(I21)&gt;=N(K21),"The Lens","The Hub"))</f>
        <v>The Pulse</v>
      </c>
      <c r="N21" s="21" t="s">
        <v>78</v>
      </c>
      <c r="O21" s="17" t="s">
        <v>126</v>
      </c>
    </row>
    <row r="22" customFormat="false" ht="15" hidden="false" customHeight="false" outlineLevel="0" collapsed="false">
      <c r="A22" s="17" t="s">
        <v>127</v>
      </c>
      <c r="B22" s="17" t="s">
        <v>128</v>
      </c>
      <c r="C22" s="17" t="s">
        <v>92</v>
      </c>
      <c r="D22" s="17" t="s">
        <v>111</v>
      </c>
      <c r="E22" s="17" t="s">
        <v>129</v>
      </c>
      <c r="F22" s="18" t="n">
        <v>164314</v>
      </c>
      <c r="G22" s="19" t="n">
        <v>85.2</v>
      </c>
      <c r="H22" s="17" t="n">
        <f aca="false">IF(G22="","",RANK(G22,$G$5:$G$281))</f>
        <v>18</v>
      </c>
      <c r="I22" s="19" t="n">
        <v>39.6</v>
      </c>
      <c r="J22" s="17" t="n">
        <f aca="false">IF(I22="","",RANK(I22,$I$5:$I$281))</f>
        <v>186</v>
      </c>
      <c r="K22" s="19" t="n">
        <v>40.4</v>
      </c>
      <c r="L22" s="17" t="n">
        <f aca="false">IF(K22="","",RANK(K22,$K$5:$K$281))</f>
        <v>189</v>
      </c>
      <c r="M22" s="17" t="str">
        <f aca="false">IF(AND(N(G22)&gt;=N(I22),N(G22)&gt;=N(K22)),"The Pulse",IF(N(I22)&gt;=N(K22),"The Lens","The Hub"))</f>
        <v>The Pulse</v>
      </c>
      <c r="N22" s="22" t="s">
        <v>83</v>
      </c>
      <c r="O22" s="17" t="s">
        <v>130</v>
      </c>
    </row>
    <row r="23" customFormat="false" ht="15" hidden="false" customHeight="false" outlineLevel="0" collapsed="false">
      <c r="A23" s="17" t="s">
        <v>131</v>
      </c>
      <c r="B23" s="17" t="s">
        <v>132</v>
      </c>
      <c r="C23" s="17" t="s">
        <v>133</v>
      </c>
      <c r="D23" s="17" t="s">
        <v>93</v>
      </c>
      <c r="E23" s="17" t="s">
        <v>45</v>
      </c>
      <c r="F23" s="18" t="n">
        <v>38360</v>
      </c>
      <c r="G23" s="19" t="n">
        <v>85</v>
      </c>
      <c r="H23" s="17" t="n">
        <f aca="false">IF(G23="","",RANK(G23,$G$5:$G$281))</f>
        <v>19</v>
      </c>
      <c r="I23" s="19" t="n">
        <v>54.4</v>
      </c>
      <c r="J23" s="17" t="n">
        <f aca="false">IF(I23="","",RANK(I23,$I$5:$I$281))</f>
        <v>108</v>
      </c>
      <c r="K23" s="19" t="n">
        <v>47.2</v>
      </c>
      <c r="L23" s="17" t="n">
        <f aca="false">IF(K23="","",RANK(K23,$K$5:$K$281))</f>
        <v>149</v>
      </c>
      <c r="M23" s="17" t="str">
        <f aca="false">IF(AND(N(G23)&gt;=N(I23),N(G23)&gt;=N(K23)),"The Pulse",IF(N(I23)&gt;=N(K23),"The Lens","The Hub"))</f>
        <v>The Pulse</v>
      </c>
      <c r="N23" s="21" t="s">
        <v>78</v>
      </c>
      <c r="O23" s="17" t="s">
        <v>21</v>
      </c>
    </row>
    <row r="24" customFormat="false" ht="15" hidden="false" customHeight="false" outlineLevel="0" collapsed="false">
      <c r="A24" s="17" t="s">
        <v>134</v>
      </c>
      <c r="B24" s="17" t="s">
        <v>135</v>
      </c>
      <c r="C24" s="17" t="s">
        <v>77</v>
      </c>
      <c r="D24" s="17" t="s">
        <v>108</v>
      </c>
      <c r="E24" s="17" t="s">
        <v>47</v>
      </c>
      <c r="F24" s="18" t="n">
        <v>26410</v>
      </c>
      <c r="G24" s="19" t="n">
        <v>84.8</v>
      </c>
      <c r="H24" s="17" t="n">
        <f aca="false">IF(G24="","",RANK(G24,$G$5:$G$281))</f>
        <v>20</v>
      </c>
      <c r="I24" s="19" t="n">
        <v>27.3</v>
      </c>
      <c r="J24" s="17" t="n">
        <f aca="false">IF(I24="","",RANK(I24,$I$5:$I$281))</f>
        <v>222</v>
      </c>
      <c r="K24" s="19" t="n">
        <v>22.5</v>
      </c>
      <c r="L24" s="17" t="n">
        <f aca="false">IF(K24="","",RANK(K24,$K$5:$K$281))</f>
        <v>237</v>
      </c>
      <c r="M24" s="17" t="str">
        <f aca="false">IF(AND(N(G24)&gt;=N(I24),N(G24)&gt;=N(K24)),"The Pulse",IF(N(I24)&gt;=N(K24),"The Lens","The Hub"))</f>
        <v>The Pulse</v>
      </c>
      <c r="N24" s="21" t="s">
        <v>78</v>
      </c>
      <c r="O24" s="17" t="s">
        <v>21</v>
      </c>
    </row>
    <row r="25" customFormat="false" ht="15" hidden="false" customHeight="false" outlineLevel="0" collapsed="false">
      <c r="A25" s="17" t="s">
        <v>136</v>
      </c>
      <c r="B25" s="17" t="s">
        <v>137</v>
      </c>
      <c r="C25" s="17" t="s">
        <v>138</v>
      </c>
      <c r="D25" s="17" t="s">
        <v>118</v>
      </c>
      <c r="E25" s="17" t="s">
        <v>125</v>
      </c>
      <c r="F25" s="18" t="n">
        <v>112668</v>
      </c>
      <c r="G25" s="19" t="n">
        <v>82.4</v>
      </c>
      <c r="H25" s="17" t="n">
        <f aca="false">IF(G25="","",RANK(G25,$G$5:$G$281))</f>
        <v>21</v>
      </c>
      <c r="I25" s="19" t="n">
        <v>18.8</v>
      </c>
      <c r="J25" s="17" t="n">
        <f aca="false">IF(I25="","",RANK(I25,$I$5:$I$281))</f>
        <v>245</v>
      </c>
      <c r="K25" s="19" t="n">
        <v>22</v>
      </c>
      <c r="L25" s="17" t="n">
        <f aca="false">IF(K25="","",RANK(K25,$K$5:$K$281))</f>
        <v>238</v>
      </c>
      <c r="M25" s="17" t="str">
        <f aca="false">IF(AND(N(G25)&gt;=N(I25),N(G25)&gt;=N(K25)),"The Pulse",IF(N(I25)&gt;=N(K25),"The Lens","The Hub"))</f>
        <v>The Pulse</v>
      </c>
      <c r="N25" s="21" t="s">
        <v>78</v>
      </c>
      <c r="O25" s="17" t="s">
        <v>126</v>
      </c>
    </row>
    <row r="26" customFormat="false" ht="15" hidden="false" customHeight="false" outlineLevel="0" collapsed="false">
      <c r="A26" s="17" t="s">
        <v>139</v>
      </c>
      <c r="B26" s="17" t="s">
        <v>140</v>
      </c>
      <c r="C26" s="17" t="s">
        <v>72</v>
      </c>
      <c r="D26" s="17" t="s">
        <v>99</v>
      </c>
      <c r="E26" s="17" t="s">
        <v>129</v>
      </c>
      <c r="F26" s="18" t="n">
        <v>192652</v>
      </c>
      <c r="G26" s="19" t="n">
        <v>81.9</v>
      </c>
      <c r="H26" s="17" t="n">
        <f aca="false">IF(G26="","",RANK(G26,$G$5:$G$281))</f>
        <v>22</v>
      </c>
      <c r="I26" s="19" t="n">
        <v>44.8</v>
      </c>
      <c r="J26" s="17" t="n">
        <f aca="false">IF(I26="","",RANK(I26,$I$5:$I$281))</f>
        <v>163</v>
      </c>
      <c r="K26" s="19" t="n">
        <v>70.9</v>
      </c>
      <c r="L26" s="17" t="n">
        <f aca="false">IF(K26="","",RANK(K26,$K$5:$K$281))</f>
        <v>58</v>
      </c>
      <c r="M26" s="17" t="str">
        <f aca="false">IF(AND(N(G26)&gt;=N(I26),N(G26)&gt;=N(K26)),"The Pulse",IF(N(I26)&gt;=N(K26),"The Lens","The Hub"))</f>
        <v>The Pulse</v>
      </c>
      <c r="N26" s="20" t="s">
        <v>74</v>
      </c>
      <c r="O26" s="17" t="s">
        <v>19</v>
      </c>
    </row>
    <row r="27" customFormat="false" ht="15" hidden="false" customHeight="false" outlineLevel="0" collapsed="false">
      <c r="A27" s="17" t="s">
        <v>141</v>
      </c>
      <c r="B27" s="17" t="s">
        <v>142</v>
      </c>
      <c r="C27" s="17" t="s">
        <v>105</v>
      </c>
      <c r="D27" s="17" t="s">
        <v>82</v>
      </c>
      <c r="E27" s="17" t="s">
        <v>47</v>
      </c>
      <c r="F27" s="18" t="n">
        <v>274515</v>
      </c>
      <c r="G27" s="19" t="n">
        <v>81.7</v>
      </c>
      <c r="H27" s="17" t="n">
        <f aca="false">IF(G27="","",RANK(G27,$G$5:$G$281))</f>
        <v>23</v>
      </c>
      <c r="I27" s="19" t="n">
        <v>48.2</v>
      </c>
      <c r="J27" s="17" t="n">
        <f aca="false">IF(I27="","",RANK(I27,$I$5:$I$281))</f>
        <v>148</v>
      </c>
      <c r="K27" s="19" t="n">
        <v>13</v>
      </c>
      <c r="L27" s="17" t="n">
        <f aca="false">IF(K27="","",RANK(K27,$K$5:$K$281))</f>
        <v>257</v>
      </c>
      <c r="M27" s="17" t="str">
        <f aca="false">IF(AND(N(G27)&gt;=N(I27),N(G27)&gt;=N(K27)),"The Pulse",IF(N(I27)&gt;=N(K27),"The Lens","The Hub"))</f>
        <v>The Pulse</v>
      </c>
      <c r="N27" s="20" t="s">
        <v>74</v>
      </c>
      <c r="O27" s="17" t="s">
        <v>19</v>
      </c>
    </row>
    <row r="28" customFormat="false" ht="15" hidden="false" customHeight="false" outlineLevel="0" collapsed="false">
      <c r="A28" s="17" t="s">
        <v>143</v>
      </c>
      <c r="B28" s="17" t="s">
        <v>144</v>
      </c>
      <c r="C28" s="17" t="s">
        <v>114</v>
      </c>
      <c r="D28" s="17" t="s">
        <v>96</v>
      </c>
      <c r="E28" s="17" t="s">
        <v>45</v>
      </c>
      <c r="F28" s="18" t="n">
        <v>12770</v>
      </c>
      <c r="G28" s="19" t="n">
        <v>81.6</v>
      </c>
      <c r="H28" s="17" t="n">
        <f aca="false">IF(G28="","",RANK(G28,$G$5:$G$281))</f>
        <v>24</v>
      </c>
      <c r="I28" s="19" t="n">
        <v>39.3</v>
      </c>
      <c r="J28" s="17" t="n">
        <f aca="false">IF(I28="","",RANK(I28,$I$5:$I$281))</f>
        <v>188</v>
      </c>
      <c r="K28" s="19" t="n">
        <v>85.4</v>
      </c>
      <c r="L28" s="17" t="n">
        <f aca="false">IF(K28="","",RANK(K28,$K$5:$K$281))</f>
        <v>30</v>
      </c>
      <c r="M28" s="17" t="str">
        <f aca="false">IF(AND(N(G28)&gt;=N(I28),N(G28)&gt;=N(K28)),"The Pulse",IF(N(I28)&gt;=N(K28),"The Lens","The Hub"))</f>
        <v>The Hub</v>
      </c>
      <c r="N28" s="21" t="s">
        <v>78</v>
      </c>
      <c r="O28" s="17" t="s">
        <v>21</v>
      </c>
    </row>
    <row r="29" customFormat="false" ht="15" hidden="false" customHeight="false" outlineLevel="0" collapsed="false">
      <c r="A29" s="17" t="s">
        <v>145</v>
      </c>
      <c r="B29" s="17" t="s">
        <v>146</v>
      </c>
      <c r="C29" s="17" t="s">
        <v>81</v>
      </c>
      <c r="D29" s="17" t="s">
        <v>115</v>
      </c>
      <c r="E29" s="17" t="s">
        <v>129</v>
      </c>
      <c r="F29" s="18" t="n">
        <v>69130</v>
      </c>
      <c r="G29" s="19" t="n">
        <v>80.7</v>
      </c>
      <c r="H29" s="17" t="n">
        <f aca="false">IF(G29="","",RANK(G29,$G$5:$G$281))</f>
        <v>25</v>
      </c>
      <c r="I29" s="19" t="n">
        <v>40</v>
      </c>
      <c r="J29" s="17" t="n">
        <f aca="false">IF(I29="","",RANK(I29,$I$5:$I$281))</f>
        <v>184</v>
      </c>
      <c r="K29" s="19" t="n">
        <v>29</v>
      </c>
      <c r="L29" s="17" t="n">
        <f aca="false">IF(K29="","",RANK(K29,$K$5:$K$281))</f>
        <v>223</v>
      </c>
      <c r="M29" s="17" t="str">
        <f aca="false">IF(AND(N(G29)&gt;=N(I29),N(G29)&gt;=N(K29)),"The Pulse",IF(N(I29)&gt;=N(K29),"The Lens","The Hub"))</f>
        <v>The Pulse</v>
      </c>
      <c r="N29" s="22" t="s">
        <v>83</v>
      </c>
      <c r="O29" s="17" t="s">
        <v>84</v>
      </c>
    </row>
    <row r="30" customFormat="false" ht="15" hidden="false" customHeight="false" outlineLevel="0" collapsed="false">
      <c r="A30" s="17" t="s">
        <v>147</v>
      </c>
      <c r="B30" s="17" t="s">
        <v>148</v>
      </c>
      <c r="C30" s="17" t="s">
        <v>92</v>
      </c>
      <c r="D30" s="17" t="s">
        <v>99</v>
      </c>
      <c r="E30" s="17" t="s">
        <v>47</v>
      </c>
      <c r="F30" s="18" t="n">
        <v>44940</v>
      </c>
      <c r="G30" s="19" t="n">
        <v>80</v>
      </c>
      <c r="H30" s="17" t="n">
        <f aca="false">IF(G30="","",RANK(G30,$G$5:$G$281))</f>
        <v>26</v>
      </c>
      <c r="I30" s="19" t="n">
        <v>69.5</v>
      </c>
      <c r="J30" s="17" t="n">
        <f aca="false">IF(I30="","",RANK(I30,$I$5:$I$281))</f>
        <v>58</v>
      </c>
      <c r="K30" s="19" t="n">
        <v>42.3</v>
      </c>
      <c r="L30" s="17" t="n">
        <f aca="false">IF(K30="","",RANK(K30,$K$5:$K$281))</f>
        <v>181</v>
      </c>
      <c r="M30" s="17" t="str">
        <f aca="false">IF(AND(N(G30)&gt;=N(I30),N(G30)&gt;=N(K30)),"The Pulse",IF(N(I30)&gt;=N(K30),"The Lens","The Hub"))</f>
        <v>The Pulse</v>
      </c>
      <c r="N30" s="20" t="s">
        <v>74</v>
      </c>
      <c r="O30" s="17" t="s">
        <v>19</v>
      </c>
    </row>
    <row r="31" customFormat="false" ht="15" hidden="false" customHeight="false" outlineLevel="0" collapsed="false">
      <c r="A31" s="17" t="s">
        <v>149</v>
      </c>
      <c r="B31" s="17" t="s">
        <v>150</v>
      </c>
      <c r="C31" s="17" t="s">
        <v>72</v>
      </c>
      <c r="D31" s="17" t="s">
        <v>99</v>
      </c>
      <c r="E31" s="17" t="s">
        <v>47</v>
      </c>
      <c r="F31" s="18" t="n">
        <v>34292</v>
      </c>
      <c r="G31" s="19" t="n">
        <v>79.8</v>
      </c>
      <c r="H31" s="17" t="n">
        <f aca="false">IF(G31="","",RANK(G31,$G$5:$G$281))</f>
        <v>27</v>
      </c>
      <c r="I31" s="19" t="n">
        <v>19.5</v>
      </c>
      <c r="J31" s="17" t="n">
        <f aca="false">IF(I31="","",RANK(I31,$I$5:$I$281))</f>
        <v>242</v>
      </c>
      <c r="K31" s="19" t="n">
        <v>89.3</v>
      </c>
      <c r="L31" s="17" t="n">
        <f aca="false">IF(K31="","",RANK(K31,$K$5:$K$281))</f>
        <v>19</v>
      </c>
      <c r="M31" s="17" t="str">
        <f aca="false">IF(AND(N(G31)&gt;=N(I31),N(G31)&gt;=N(K31)),"The Pulse",IF(N(I31)&gt;=N(K31),"The Lens","The Hub"))</f>
        <v>The Hub</v>
      </c>
      <c r="N31" s="20" t="s">
        <v>74</v>
      </c>
      <c r="O31" s="17" t="s">
        <v>19</v>
      </c>
    </row>
    <row r="32" customFormat="false" ht="15" hidden="false" customHeight="false" outlineLevel="0" collapsed="false">
      <c r="A32" s="17" t="s">
        <v>151</v>
      </c>
      <c r="B32" s="17" t="s">
        <v>152</v>
      </c>
      <c r="C32" s="17" t="s">
        <v>87</v>
      </c>
      <c r="D32" s="17" t="s">
        <v>108</v>
      </c>
      <c r="E32" s="17" t="s">
        <v>47</v>
      </c>
      <c r="F32" s="18" t="n">
        <v>130530</v>
      </c>
      <c r="G32" s="19" t="n">
        <v>78.7</v>
      </c>
      <c r="H32" s="17" t="n">
        <f aca="false">IF(G32="","",RANK(G32,$G$5:$G$281))</f>
        <v>28</v>
      </c>
      <c r="I32" s="19" t="n">
        <v>47</v>
      </c>
      <c r="J32" s="17" t="n">
        <f aca="false">IF(I32="","",RANK(I32,$I$5:$I$281))</f>
        <v>154</v>
      </c>
      <c r="K32" s="19" t="n">
        <v>97</v>
      </c>
      <c r="L32" s="17" t="n">
        <f aca="false">IF(K32="","",RANK(K32,$K$5:$K$281))</f>
        <v>3</v>
      </c>
      <c r="M32" s="17" t="str">
        <f aca="false">IF(AND(N(G32)&gt;=N(I32),N(G32)&gt;=N(K32)),"The Pulse",IF(N(I32)&gt;=N(K32),"The Lens","The Hub"))</f>
        <v>The Hub</v>
      </c>
      <c r="N32" s="20" t="s">
        <v>74</v>
      </c>
      <c r="O32" s="17" t="s">
        <v>19</v>
      </c>
    </row>
    <row r="33" customFormat="false" ht="15" hidden="false" customHeight="false" outlineLevel="0" collapsed="false">
      <c r="A33" s="17" t="s">
        <v>153</v>
      </c>
      <c r="B33" s="17" t="s">
        <v>154</v>
      </c>
      <c r="C33" s="17" t="s">
        <v>77</v>
      </c>
      <c r="D33" s="17" t="s">
        <v>73</v>
      </c>
      <c r="E33" s="17" t="s">
        <v>47</v>
      </c>
      <c r="F33" s="18" t="n">
        <v>16359</v>
      </c>
      <c r="G33" s="19" t="n">
        <v>77.8</v>
      </c>
      <c r="H33" s="17" t="n">
        <f aca="false">IF(G33="","",RANK(G33,$G$5:$G$281))</f>
        <v>29</v>
      </c>
      <c r="I33" s="19" t="n">
        <v>97.2</v>
      </c>
      <c r="J33" s="17" t="n">
        <f aca="false">IF(I33="","",RANK(I33,$I$5:$I$281))</f>
        <v>2</v>
      </c>
      <c r="K33" s="19" t="n">
        <v>61</v>
      </c>
      <c r="L33" s="17" t="n">
        <f aca="false">IF(K33="","",RANK(K33,$K$5:$K$281))</f>
        <v>89</v>
      </c>
      <c r="M33" s="17" t="str">
        <f aca="false">IF(AND(N(G33)&gt;=N(I33),N(G33)&gt;=N(K33)),"The Pulse",IF(N(I33)&gt;=N(K33),"The Lens","The Hub"))</f>
        <v>The Lens</v>
      </c>
      <c r="N33" s="20" t="s">
        <v>74</v>
      </c>
      <c r="O33" s="17" t="s">
        <v>19</v>
      </c>
    </row>
    <row r="34" customFormat="false" ht="15" hidden="false" customHeight="false" outlineLevel="0" collapsed="false">
      <c r="A34" s="17" t="s">
        <v>155</v>
      </c>
      <c r="B34" s="17" t="s">
        <v>156</v>
      </c>
      <c r="C34" s="17" t="s">
        <v>138</v>
      </c>
      <c r="D34" s="17" t="s">
        <v>108</v>
      </c>
      <c r="E34" s="17" t="s">
        <v>157</v>
      </c>
      <c r="F34" s="18" t="n">
        <v>72827</v>
      </c>
      <c r="G34" s="19" t="n">
        <v>77.2</v>
      </c>
      <c r="H34" s="17" t="n">
        <f aca="false">IF(G34="","",RANK(G34,$G$5:$G$281))</f>
        <v>30</v>
      </c>
      <c r="I34" s="19" t="n">
        <v>12.8</v>
      </c>
      <c r="J34" s="17" t="n">
        <f aca="false">IF(I34="","",RANK(I34,$I$5:$I$281))</f>
        <v>256</v>
      </c>
      <c r="K34" s="19" t="n">
        <v>98.8</v>
      </c>
      <c r="L34" s="17" t="n">
        <f aca="false">IF(K34="","",RANK(K34,$K$5:$K$281))</f>
        <v>2</v>
      </c>
      <c r="M34" s="17" t="str">
        <f aca="false">IF(AND(N(G34)&gt;=N(I34),N(G34)&gt;=N(K34)),"The Pulse",IF(N(I34)&gt;=N(K34),"The Lens","The Hub"))</f>
        <v>The Hub</v>
      </c>
      <c r="N34" s="20" t="s">
        <v>74</v>
      </c>
      <c r="O34" s="17" t="s">
        <v>19</v>
      </c>
    </row>
    <row r="35" customFormat="false" ht="15" hidden="false" customHeight="false" outlineLevel="0" collapsed="false">
      <c r="A35" s="17" t="s">
        <v>158</v>
      </c>
      <c r="B35" s="17" t="s">
        <v>159</v>
      </c>
      <c r="C35" s="17" t="s">
        <v>133</v>
      </c>
      <c r="D35" s="17" t="s">
        <v>108</v>
      </c>
      <c r="E35" s="17" t="s">
        <v>47</v>
      </c>
      <c r="F35" s="18" t="n">
        <v>5082</v>
      </c>
      <c r="G35" s="19" t="n">
        <v>76.6</v>
      </c>
      <c r="H35" s="17" t="n">
        <f aca="false">IF(G35="","",RANK(G35,$G$5:$G$281))</f>
        <v>31</v>
      </c>
      <c r="I35" s="19" t="n">
        <v>56</v>
      </c>
      <c r="J35" s="17" t="n">
        <f aca="false">IF(I35="","",RANK(I35,$I$5:$I$281))</f>
        <v>101</v>
      </c>
      <c r="K35" s="19" t="n">
        <v>11</v>
      </c>
      <c r="L35" s="17" t="n">
        <f aca="false">IF(K35="","",RANK(K35,$K$5:$K$281))</f>
        <v>261</v>
      </c>
      <c r="M35" s="17" t="str">
        <f aca="false">IF(AND(N(G35)&gt;=N(I35),N(G35)&gt;=N(K35)),"The Pulse",IF(N(I35)&gt;=N(K35),"The Lens","The Hub"))</f>
        <v>The Pulse</v>
      </c>
      <c r="N35" s="20" t="s">
        <v>74</v>
      </c>
      <c r="O35" s="17" t="s">
        <v>19</v>
      </c>
    </row>
    <row r="36" customFormat="false" ht="15" hidden="false" customHeight="false" outlineLevel="0" collapsed="false">
      <c r="A36" s="17" t="s">
        <v>160</v>
      </c>
      <c r="B36" s="17" t="s">
        <v>161</v>
      </c>
      <c r="C36" s="17" t="s">
        <v>77</v>
      </c>
      <c r="D36" s="17" t="s">
        <v>99</v>
      </c>
      <c r="E36" s="17" t="s">
        <v>157</v>
      </c>
      <c r="F36" s="18" t="n">
        <v>150389</v>
      </c>
      <c r="G36" s="19" t="n">
        <v>76.4</v>
      </c>
      <c r="H36" s="17" t="n">
        <f aca="false">IF(G36="","",RANK(G36,$G$5:$G$281))</f>
        <v>32</v>
      </c>
      <c r="I36" s="19" t="n">
        <v>53.4</v>
      </c>
      <c r="J36" s="17" t="n">
        <f aca="false">IF(I36="","",RANK(I36,$I$5:$I$281))</f>
        <v>116</v>
      </c>
      <c r="K36" s="19" t="n">
        <v>14.6</v>
      </c>
      <c r="L36" s="17" t="n">
        <f aca="false">IF(K36="","",RANK(K36,$K$5:$K$281))</f>
        <v>251</v>
      </c>
      <c r="M36" s="17" t="str">
        <f aca="false">IF(AND(N(G36)&gt;=N(I36),N(G36)&gt;=N(K36)),"The Pulse",IF(N(I36)&gt;=N(K36),"The Lens","The Hub"))</f>
        <v>The Pulse</v>
      </c>
      <c r="N36" s="20" t="s">
        <v>74</v>
      </c>
      <c r="O36" s="17" t="s">
        <v>19</v>
      </c>
    </row>
    <row r="37" customFormat="false" ht="15" hidden="false" customHeight="false" outlineLevel="0" collapsed="false">
      <c r="A37" s="17" t="s">
        <v>162</v>
      </c>
      <c r="B37" s="17" t="s">
        <v>163</v>
      </c>
      <c r="C37" s="17" t="s">
        <v>102</v>
      </c>
      <c r="D37" s="17" t="s">
        <v>93</v>
      </c>
      <c r="E37" s="17" t="s">
        <v>46</v>
      </c>
      <c r="F37" s="18" t="n">
        <v>376911</v>
      </c>
      <c r="G37" s="19" t="n">
        <v>76.3</v>
      </c>
      <c r="H37" s="17" t="n">
        <f aca="false">IF(G37="","",RANK(G37,$G$5:$G$281))</f>
        <v>33</v>
      </c>
      <c r="I37" s="19" t="n">
        <v>99.3</v>
      </c>
      <c r="J37" s="17" t="n">
        <f aca="false">IF(I37="","",RANK(I37,$I$5:$I$281))</f>
        <v>1</v>
      </c>
      <c r="K37" s="19" t="n">
        <v>3.1</v>
      </c>
      <c r="L37" s="17" t="n">
        <f aca="false">IF(K37="","",RANK(K37,$K$5:$K$281))</f>
        <v>273</v>
      </c>
      <c r="M37" s="17" t="str">
        <f aca="false">IF(AND(N(G37)&gt;=N(I37),N(G37)&gt;=N(K37)),"The Pulse",IF(N(I37)&gt;=N(K37),"The Lens","The Hub"))</f>
        <v>The Lens</v>
      </c>
      <c r="N37" s="20" t="s">
        <v>74</v>
      </c>
      <c r="O37" s="17" t="s">
        <v>19</v>
      </c>
    </row>
    <row r="38" customFormat="false" ht="15" hidden="false" customHeight="false" outlineLevel="0" collapsed="false">
      <c r="A38" s="17" t="s">
        <v>164</v>
      </c>
      <c r="B38" s="17" t="s">
        <v>165</v>
      </c>
      <c r="C38" s="17" t="s">
        <v>102</v>
      </c>
      <c r="D38" s="17" t="s">
        <v>99</v>
      </c>
      <c r="E38" s="17" t="s">
        <v>45</v>
      </c>
      <c r="F38" s="18" t="n">
        <v>137090</v>
      </c>
      <c r="G38" s="19" t="n">
        <v>75.9</v>
      </c>
      <c r="H38" s="17" t="n">
        <f aca="false">IF(G38="","",RANK(G38,$G$5:$G$281))</f>
        <v>34</v>
      </c>
      <c r="I38" s="19" t="n">
        <v>23.2</v>
      </c>
      <c r="J38" s="17" t="n">
        <f aca="false">IF(I38="","",RANK(I38,$I$5:$I$281))</f>
        <v>234</v>
      </c>
      <c r="K38" s="19" t="n">
        <v>49.2</v>
      </c>
      <c r="L38" s="17" t="n">
        <f aca="false">IF(K38="","",RANK(K38,$K$5:$K$281))</f>
        <v>138</v>
      </c>
      <c r="M38" s="17" t="str">
        <f aca="false">IF(AND(N(G38)&gt;=N(I38),N(G38)&gt;=N(K38)),"The Pulse",IF(N(I38)&gt;=N(K38),"The Lens","The Hub"))</f>
        <v>The Pulse</v>
      </c>
      <c r="N38" s="20" t="s">
        <v>74</v>
      </c>
      <c r="O38" s="17" t="s">
        <v>19</v>
      </c>
    </row>
    <row r="39" customFormat="false" ht="15" hidden="false" customHeight="false" outlineLevel="0" collapsed="false">
      <c r="A39" s="17" t="s">
        <v>166</v>
      </c>
      <c r="B39" s="17" t="s">
        <v>167</v>
      </c>
      <c r="C39" s="17" t="s">
        <v>105</v>
      </c>
      <c r="D39" s="17" t="s">
        <v>93</v>
      </c>
      <c r="E39" s="17" t="s">
        <v>45</v>
      </c>
      <c r="F39" s="18" t="n">
        <v>8967</v>
      </c>
      <c r="G39" s="19" t="n">
        <v>75.4</v>
      </c>
      <c r="H39" s="17" t="n">
        <f aca="false">IF(G39="","",RANK(G39,$G$5:$G$281))</f>
        <v>35</v>
      </c>
      <c r="I39" s="19" t="n">
        <v>66.7</v>
      </c>
      <c r="J39" s="17" t="n">
        <f aca="false">IF(I39="","",RANK(I39,$I$5:$I$281))</f>
        <v>65</v>
      </c>
      <c r="K39" s="19" t="n">
        <v>92.8</v>
      </c>
      <c r="L39" s="17" t="n">
        <f aca="false">IF(K39="","",RANK(K39,$K$5:$K$281))</f>
        <v>12</v>
      </c>
      <c r="M39" s="17" t="str">
        <f aca="false">IF(AND(N(G39)&gt;=N(I39),N(G39)&gt;=N(K39)),"The Pulse",IF(N(I39)&gt;=N(K39),"The Lens","The Hub"))</f>
        <v>The Hub</v>
      </c>
      <c r="N39" s="20" t="s">
        <v>74</v>
      </c>
      <c r="O39" s="17" t="s">
        <v>19</v>
      </c>
    </row>
    <row r="40" customFormat="false" ht="15" hidden="false" customHeight="false" outlineLevel="0" collapsed="false">
      <c r="A40" s="17" t="s">
        <v>168</v>
      </c>
      <c r="B40" s="17" t="s">
        <v>169</v>
      </c>
      <c r="C40" s="17" t="s">
        <v>92</v>
      </c>
      <c r="D40" s="17" t="s">
        <v>170</v>
      </c>
      <c r="E40" s="17" t="s">
        <v>46</v>
      </c>
      <c r="F40" s="18" t="n">
        <v>36350</v>
      </c>
      <c r="G40" s="19" t="n">
        <v>75.1</v>
      </c>
      <c r="H40" s="17" t="n">
        <f aca="false">IF(G40="","",RANK(G40,$G$5:$G$281))</f>
        <v>36</v>
      </c>
      <c r="I40" s="19" t="n">
        <v>5.8</v>
      </c>
      <c r="J40" s="17" t="n">
        <f aca="false">IF(I40="","",RANK(I40,$I$5:$I$281))</f>
        <v>273</v>
      </c>
      <c r="K40" s="19" t="n">
        <v>14.2</v>
      </c>
      <c r="L40" s="17" t="n">
        <f aca="false">IF(K40="","",RANK(K40,$K$5:$K$281))</f>
        <v>253</v>
      </c>
      <c r="M40" s="17" t="str">
        <f aca="false">IF(AND(N(G40)&gt;=N(I40),N(G40)&gt;=N(K40)),"The Pulse",IF(N(I40)&gt;=N(K40),"The Lens","The Hub"))</f>
        <v>The Pulse</v>
      </c>
      <c r="N40" s="21" t="s">
        <v>78</v>
      </c>
      <c r="O40" s="17" t="s">
        <v>21</v>
      </c>
    </row>
    <row r="41" customFormat="false" ht="15" hidden="false" customHeight="false" outlineLevel="0" collapsed="false">
      <c r="A41" s="17" t="s">
        <v>171</v>
      </c>
      <c r="B41" s="17" t="s">
        <v>172</v>
      </c>
      <c r="C41" s="17" t="s">
        <v>72</v>
      </c>
      <c r="D41" s="17" t="s">
        <v>73</v>
      </c>
      <c r="E41" s="17" t="s">
        <v>47</v>
      </c>
      <c r="F41" s="18" t="n">
        <v>5190</v>
      </c>
      <c r="G41" s="19" t="n">
        <v>75.1</v>
      </c>
      <c r="H41" s="17" t="n">
        <f aca="false">IF(G41="","",RANK(G41,$G$5:$G$281))</f>
        <v>36</v>
      </c>
      <c r="I41" s="19" t="n">
        <v>20</v>
      </c>
      <c r="J41" s="17" t="n">
        <f aca="false">IF(I41="","",RANK(I41,$I$5:$I$281))</f>
        <v>240</v>
      </c>
      <c r="K41" s="19" t="n">
        <v>13.7</v>
      </c>
      <c r="L41" s="17" t="n">
        <f aca="false">IF(K41="","",RANK(K41,$K$5:$K$281))</f>
        <v>255</v>
      </c>
      <c r="M41" s="17" t="str">
        <f aca="false">IF(AND(N(G41)&gt;=N(I41),N(G41)&gt;=N(K41)),"The Pulse",IF(N(I41)&gt;=N(K41),"The Lens","The Hub"))</f>
        <v>The Pulse</v>
      </c>
      <c r="N41" s="20" t="s">
        <v>74</v>
      </c>
      <c r="O41" s="17" t="s">
        <v>19</v>
      </c>
    </row>
    <row r="42" customFormat="false" ht="15" hidden="false" customHeight="false" outlineLevel="0" collapsed="false">
      <c r="A42" s="17" t="s">
        <v>173</v>
      </c>
      <c r="B42" s="17" t="s">
        <v>174</v>
      </c>
      <c r="C42" s="17" t="s">
        <v>92</v>
      </c>
      <c r="D42" s="17" t="s">
        <v>82</v>
      </c>
      <c r="E42" s="17" t="s">
        <v>175</v>
      </c>
      <c r="F42" s="18" t="n">
        <v>68519</v>
      </c>
      <c r="G42" s="19" t="n">
        <v>75</v>
      </c>
      <c r="H42" s="17" t="n">
        <f aca="false">IF(G42="","",RANK(G42,$G$5:$G$281))</f>
        <v>38</v>
      </c>
      <c r="I42" s="19" t="n">
        <v>16</v>
      </c>
      <c r="J42" s="17" t="n">
        <f aca="false">IF(I42="","",RANK(I42,$I$5:$I$281))</f>
        <v>247</v>
      </c>
      <c r="K42" s="19" t="n">
        <v>37.5</v>
      </c>
      <c r="L42" s="17" t="n">
        <f aca="false">IF(K42="","",RANK(K42,$K$5:$K$281))</f>
        <v>192</v>
      </c>
      <c r="M42" s="17" t="str">
        <f aca="false">IF(AND(N(G42)&gt;=N(I42),N(G42)&gt;=N(K42)),"The Pulse",IF(N(I42)&gt;=N(K42),"The Lens","The Hub"))</f>
        <v>The Pulse</v>
      </c>
      <c r="N42" s="20" t="s">
        <v>74</v>
      </c>
      <c r="O42" s="17" t="s">
        <v>19</v>
      </c>
    </row>
    <row r="43" customFormat="false" ht="15" hidden="false" customHeight="false" outlineLevel="0" collapsed="false">
      <c r="A43" s="17" t="s">
        <v>176</v>
      </c>
      <c r="B43" s="17" t="s">
        <v>177</v>
      </c>
      <c r="C43" s="17" t="s">
        <v>105</v>
      </c>
      <c r="D43" s="17" t="s">
        <v>170</v>
      </c>
      <c r="E43" s="17" t="s">
        <v>175</v>
      </c>
      <c r="F43" s="18" t="n">
        <v>119250</v>
      </c>
      <c r="G43" s="19" t="n">
        <v>74.4</v>
      </c>
      <c r="H43" s="17" t="n">
        <f aca="false">IF(G43="","",RANK(G43,$G$5:$G$281))</f>
        <v>39</v>
      </c>
      <c r="I43" s="19" t="n">
        <v>53.5</v>
      </c>
      <c r="J43" s="17" t="n">
        <f aca="false">IF(I43="","",RANK(I43,$I$5:$I$281))</f>
        <v>114</v>
      </c>
      <c r="K43" s="19" t="n">
        <v>54</v>
      </c>
      <c r="L43" s="17" t="n">
        <f aca="false">IF(K43="","",RANK(K43,$K$5:$K$281))</f>
        <v>113</v>
      </c>
      <c r="M43" s="17" t="str">
        <f aca="false">IF(AND(N(G43)&gt;=N(I43),N(G43)&gt;=N(K43)),"The Pulse",IF(N(I43)&gt;=N(K43),"The Lens","The Hub"))</f>
        <v>The Pulse</v>
      </c>
      <c r="N43" s="20" t="s">
        <v>74</v>
      </c>
      <c r="O43" s="17" t="s">
        <v>19</v>
      </c>
    </row>
    <row r="44" customFormat="false" ht="15" hidden="false" customHeight="false" outlineLevel="0" collapsed="false">
      <c r="A44" s="17" t="s">
        <v>178</v>
      </c>
      <c r="B44" s="17" t="s">
        <v>179</v>
      </c>
      <c r="C44" s="17" t="s">
        <v>87</v>
      </c>
      <c r="D44" s="17" t="s">
        <v>96</v>
      </c>
      <c r="E44" s="17" t="s">
        <v>129</v>
      </c>
      <c r="F44" s="18" t="n">
        <v>256264</v>
      </c>
      <c r="G44" s="19" t="n">
        <v>74.1</v>
      </c>
      <c r="H44" s="17" t="n">
        <f aca="false">IF(G44="","",RANK(G44,$G$5:$G$281))</f>
        <v>40</v>
      </c>
      <c r="I44" s="19" t="n">
        <v>29.3</v>
      </c>
      <c r="J44" s="17" t="n">
        <f aca="false">IF(I44="","",RANK(I44,$I$5:$I$281))</f>
        <v>215</v>
      </c>
      <c r="K44" s="19" t="n">
        <v>51.8</v>
      </c>
      <c r="L44" s="17" t="n">
        <f aca="false">IF(K44="","",RANK(K44,$K$5:$K$281))</f>
        <v>122</v>
      </c>
      <c r="M44" s="17" t="str">
        <f aca="false">IF(AND(N(G44)&gt;=N(I44),N(G44)&gt;=N(K44)),"The Pulse",IF(N(I44)&gt;=N(K44),"The Lens","The Hub"))</f>
        <v>The Pulse</v>
      </c>
      <c r="N44" s="21" t="s">
        <v>78</v>
      </c>
      <c r="O44" s="17" t="s">
        <v>126</v>
      </c>
    </row>
    <row r="45" customFormat="false" ht="15" hidden="false" customHeight="false" outlineLevel="0" collapsed="false">
      <c r="A45" s="17" t="s">
        <v>180</v>
      </c>
      <c r="B45" s="17" t="s">
        <v>181</v>
      </c>
      <c r="C45" s="17" t="s">
        <v>102</v>
      </c>
      <c r="D45" s="17" t="s">
        <v>93</v>
      </c>
      <c r="E45" s="17" t="s">
        <v>45</v>
      </c>
      <c r="F45" s="18" t="n">
        <v>312722</v>
      </c>
      <c r="G45" s="19" t="n">
        <v>73.9</v>
      </c>
      <c r="H45" s="17" t="n">
        <f aca="false">IF(G45="","",RANK(G45,$G$5:$G$281))</f>
        <v>41</v>
      </c>
      <c r="I45" s="19" t="n">
        <v>63</v>
      </c>
      <c r="J45" s="17" t="n">
        <f aca="false">IF(I45="","",RANK(I45,$I$5:$I$281))</f>
        <v>82</v>
      </c>
      <c r="K45" s="19" t="n">
        <v>93.4</v>
      </c>
      <c r="L45" s="17" t="n">
        <f aca="false">IF(K45="","",RANK(K45,$K$5:$K$281))</f>
        <v>10</v>
      </c>
      <c r="M45" s="17" t="str">
        <f aca="false">IF(AND(N(G45)&gt;=N(I45),N(G45)&gt;=N(K45)),"The Pulse",IF(N(I45)&gt;=N(K45),"The Lens","The Hub"))</f>
        <v>The Hub</v>
      </c>
      <c r="N45" s="20" t="s">
        <v>74</v>
      </c>
      <c r="O45" s="17" t="s">
        <v>19</v>
      </c>
    </row>
    <row r="46" customFormat="false" ht="15" hidden="false" customHeight="false" outlineLevel="0" collapsed="false">
      <c r="A46" s="17" t="s">
        <v>182</v>
      </c>
      <c r="B46" s="17" t="s">
        <v>183</v>
      </c>
      <c r="C46" s="17" t="s">
        <v>114</v>
      </c>
      <c r="D46" s="17" t="s">
        <v>115</v>
      </c>
      <c r="E46" s="17" t="s">
        <v>157</v>
      </c>
      <c r="F46" s="18" t="n">
        <v>7252760</v>
      </c>
      <c r="G46" s="19" t="n">
        <v>73.8</v>
      </c>
      <c r="H46" s="17" t="n">
        <f aca="false">IF(G46="","",RANK(G46,$G$5:$G$281))</f>
        <v>42</v>
      </c>
      <c r="I46" s="19" t="n">
        <v>57.1</v>
      </c>
      <c r="J46" s="17" t="n">
        <f aca="false">IF(I46="","",RANK(I46,$I$5:$I$281))</f>
        <v>97</v>
      </c>
      <c r="K46" s="19" t="n">
        <v>28.6</v>
      </c>
      <c r="L46" s="17" t="n">
        <f aca="false">IF(K46="","",RANK(K46,$K$5:$K$281))</f>
        <v>224</v>
      </c>
      <c r="M46" s="17" t="str">
        <f aca="false">IF(AND(N(G46)&gt;=N(I46),N(G46)&gt;=N(K46)),"The Pulse",IF(N(I46)&gt;=N(K46),"The Lens","The Hub"))</f>
        <v>The Pulse</v>
      </c>
      <c r="N46" s="20" t="s">
        <v>74</v>
      </c>
      <c r="O46" s="17" t="s">
        <v>19</v>
      </c>
    </row>
    <row r="47" customFormat="false" ht="15" hidden="false" customHeight="false" outlineLevel="0" collapsed="false">
      <c r="A47" s="17" t="s">
        <v>184</v>
      </c>
      <c r="B47" s="17" t="s">
        <v>185</v>
      </c>
      <c r="C47" s="17" t="s">
        <v>138</v>
      </c>
      <c r="D47" s="17" t="s">
        <v>108</v>
      </c>
      <c r="E47" s="17" t="s">
        <v>129</v>
      </c>
      <c r="F47" s="18" t="n">
        <v>41104</v>
      </c>
      <c r="G47" s="19" t="n">
        <v>73.6</v>
      </c>
      <c r="H47" s="17" t="n">
        <f aca="false">IF(G47="","",RANK(G47,$G$5:$G$281))</f>
        <v>43</v>
      </c>
      <c r="I47" s="19" t="n">
        <v>44.9</v>
      </c>
      <c r="J47" s="17" t="n">
        <f aca="false">IF(I47="","",RANK(I47,$I$5:$I$281))</f>
        <v>161</v>
      </c>
      <c r="K47" s="19" t="n">
        <v>50.2</v>
      </c>
      <c r="L47" s="17" t="n">
        <f aca="false">IF(K47="","",RANK(K47,$K$5:$K$281))</f>
        <v>133</v>
      </c>
      <c r="M47" s="17" t="str">
        <f aca="false">IF(AND(N(G47)&gt;=N(I47),N(G47)&gt;=N(K47)),"The Pulse",IF(N(I47)&gt;=N(K47),"The Lens","The Hub"))</f>
        <v>The Pulse</v>
      </c>
      <c r="N47" s="21" t="s">
        <v>78</v>
      </c>
      <c r="O47" s="17" t="s">
        <v>126</v>
      </c>
    </row>
    <row r="48" customFormat="false" ht="15" hidden="false" customHeight="false" outlineLevel="0" collapsed="false">
      <c r="A48" s="17" t="s">
        <v>186</v>
      </c>
      <c r="B48" s="17" t="s">
        <v>187</v>
      </c>
      <c r="C48" s="17" t="s">
        <v>133</v>
      </c>
      <c r="D48" s="17" t="s">
        <v>170</v>
      </c>
      <c r="E48" s="17" t="s">
        <v>129</v>
      </c>
      <c r="F48" s="18" t="n">
        <v>691248</v>
      </c>
      <c r="G48" s="19" t="n">
        <v>72.9</v>
      </c>
      <c r="H48" s="17" t="n">
        <f aca="false">IF(G48="","",RANK(G48,$G$5:$G$281))</f>
        <v>44</v>
      </c>
      <c r="I48" s="19" t="n">
        <v>32.3</v>
      </c>
      <c r="J48" s="17" t="n">
        <f aca="false">IF(I48="","",RANK(I48,$I$5:$I$281))</f>
        <v>209</v>
      </c>
      <c r="K48" s="19" t="n">
        <v>55</v>
      </c>
      <c r="L48" s="17" t="n">
        <f aca="false">IF(K48="","",RANK(K48,$K$5:$K$281))</f>
        <v>109</v>
      </c>
      <c r="M48" s="17" t="str">
        <f aca="false">IF(AND(N(G48)&gt;=N(I48),N(G48)&gt;=N(K48)),"The Pulse",IF(N(I48)&gt;=N(K48),"The Lens","The Hub"))</f>
        <v>The Pulse</v>
      </c>
      <c r="N48" s="21" t="s">
        <v>78</v>
      </c>
      <c r="O48" s="17" t="s">
        <v>126</v>
      </c>
    </row>
    <row r="49" customFormat="false" ht="15" hidden="false" customHeight="false" outlineLevel="0" collapsed="false">
      <c r="A49" s="17" t="s">
        <v>188</v>
      </c>
      <c r="B49" s="17" t="s">
        <v>189</v>
      </c>
      <c r="C49" s="17" t="s">
        <v>133</v>
      </c>
      <c r="D49" s="17" t="s">
        <v>93</v>
      </c>
      <c r="E49" s="17" t="s">
        <v>175</v>
      </c>
      <c r="F49" s="18" t="n">
        <v>78981</v>
      </c>
      <c r="G49" s="19" t="n">
        <v>72.6</v>
      </c>
      <c r="H49" s="17" t="n">
        <f aca="false">IF(G49="","",RANK(G49,$G$5:$G$281))</f>
        <v>45</v>
      </c>
      <c r="I49" s="19" t="n">
        <v>42.2</v>
      </c>
      <c r="J49" s="17" t="n">
        <f aca="false">IF(I49="","",RANK(I49,$I$5:$I$281))</f>
        <v>171</v>
      </c>
      <c r="K49" s="19" t="n">
        <v>62.6</v>
      </c>
      <c r="L49" s="17" t="n">
        <f aca="false">IF(K49="","",RANK(K49,$K$5:$K$281))</f>
        <v>83</v>
      </c>
      <c r="M49" s="17" t="str">
        <f aca="false">IF(AND(N(G49)&gt;=N(I49),N(G49)&gt;=N(K49)),"The Pulse",IF(N(I49)&gt;=N(K49),"The Lens","The Hub"))</f>
        <v>The Pulse</v>
      </c>
      <c r="N49" s="21" t="s">
        <v>78</v>
      </c>
      <c r="O49" s="17" t="s">
        <v>126</v>
      </c>
    </row>
    <row r="50" customFormat="false" ht="15" hidden="false" customHeight="false" outlineLevel="0" collapsed="false">
      <c r="A50" s="17" t="s">
        <v>190</v>
      </c>
      <c r="B50" s="17" t="s">
        <v>191</v>
      </c>
      <c r="C50" s="17" t="s">
        <v>102</v>
      </c>
      <c r="D50" s="17" t="s">
        <v>96</v>
      </c>
      <c r="E50" s="17" t="s">
        <v>47</v>
      </c>
      <c r="F50" s="18" t="n">
        <v>631718</v>
      </c>
      <c r="G50" s="19" t="n">
        <v>72.4</v>
      </c>
      <c r="H50" s="17" t="n">
        <f aca="false">IF(G50="","",RANK(G50,$G$5:$G$281))</f>
        <v>46</v>
      </c>
      <c r="I50" s="19" t="n">
        <v>4.8</v>
      </c>
      <c r="J50" s="17" t="n">
        <f aca="false">IF(I50="","",RANK(I50,$I$5:$I$281))</f>
        <v>274</v>
      </c>
      <c r="K50" s="19" t="n">
        <v>52.8</v>
      </c>
      <c r="L50" s="17" t="n">
        <f aca="false">IF(K50="","",RANK(K50,$K$5:$K$281))</f>
        <v>118</v>
      </c>
      <c r="M50" s="17" t="str">
        <f aca="false">IF(AND(N(G50)&gt;=N(I50),N(G50)&gt;=N(K50)),"The Pulse",IF(N(I50)&gt;=N(K50),"The Lens","The Hub"))</f>
        <v>The Pulse</v>
      </c>
      <c r="N50" s="20" t="s">
        <v>74</v>
      </c>
      <c r="O50" s="17" t="s">
        <v>19</v>
      </c>
    </row>
    <row r="51" customFormat="false" ht="15" hidden="false" customHeight="false" outlineLevel="0" collapsed="false">
      <c r="A51" s="17" t="s">
        <v>192</v>
      </c>
      <c r="B51" s="17" t="s">
        <v>193</v>
      </c>
      <c r="C51" s="17" t="s">
        <v>92</v>
      </c>
      <c r="D51" s="17" t="s">
        <v>73</v>
      </c>
      <c r="E51" s="17" t="s">
        <v>46</v>
      </c>
      <c r="F51" s="18" t="n">
        <v>13030</v>
      </c>
      <c r="G51" s="19" t="n">
        <v>71.9</v>
      </c>
      <c r="H51" s="17" t="n">
        <f aca="false">IF(G51="","",RANK(G51,$G$5:$G$281))</f>
        <v>47</v>
      </c>
      <c r="I51" s="19" t="n">
        <v>33.6</v>
      </c>
      <c r="J51" s="17" t="n">
        <f aca="false">IF(I51="","",RANK(I51,$I$5:$I$281))</f>
        <v>206</v>
      </c>
      <c r="K51" s="19" t="n">
        <v>13.7</v>
      </c>
      <c r="L51" s="17" t="n">
        <f aca="false">IF(K51="","",RANK(K51,$K$5:$K$281))</f>
        <v>255</v>
      </c>
      <c r="M51" s="17" t="str">
        <f aca="false">IF(AND(N(G51)&gt;=N(I51),N(G51)&gt;=N(K51)),"The Pulse",IF(N(I51)&gt;=N(K51),"The Lens","The Hub"))</f>
        <v>The Pulse</v>
      </c>
      <c r="N51" s="21" t="s">
        <v>78</v>
      </c>
      <c r="O51" s="17" t="s">
        <v>21</v>
      </c>
    </row>
    <row r="52" customFormat="false" ht="15" hidden="false" customHeight="false" outlineLevel="0" collapsed="false">
      <c r="A52" s="17" t="s">
        <v>194</v>
      </c>
      <c r="B52" s="17" t="s">
        <v>195</v>
      </c>
      <c r="C52" s="17" t="s">
        <v>105</v>
      </c>
      <c r="D52" s="17" t="s">
        <v>111</v>
      </c>
      <c r="E52" s="17" t="s">
        <v>129</v>
      </c>
      <c r="F52" s="18" t="n">
        <v>53522</v>
      </c>
      <c r="G52" s="19" t="n">
        <v>71.5</v>
      </c>
      <c r="H52" s="17" t="n">
        <f aca="false">IF(G52="","",RANK(G52,$G$5:$G$281))</f>
        <v>48</v>
      </c>
      <c r="I52" s="19" t="n">
        <v>55.1</v>
      </c>
      <c r="J52" s="17" t="n">
        <f aca="false">IF(I52="","",RANK(I52,$I$5:$I$281))</f>
        <v>106</v>
      </c>
      <c r="K52" s="19" t="n">
        <v>51.2</v>
      </c>
      <c r="L52" s="17" t="n">
        <f aca="false">IF(K52="","",RANK(K52,$K$5:$K$281))</f>
        <v>129</v>
      </c>
      <c r="M52" s="17" t="str">
        <f aca="false">IF(AND(N(G52)&gt;=N(I52),N(G52)&gt;=N(K52)),"The Pulse",IF(N(I52)&gt;=N(K52),"The Lens","The Hub"))</f>
        <v>The Pulse</v>
      </c>
      <c r="N52" s="21" t="s">
        <v>78</v>
      </c>
      <c r="O52" s="17" t="s">
        <v>126</v>
      </c>
    </row>
    <row r="53" customFormat="false" ht="15" hidden="false" customHeight="false" outlineLevel="0" collapsed="false">
      <c r="A53" s="17" t="s">
        <v>196</v>
      </c>
      <c r="B53" s="17" t="s">
        <v>197</v>
      </c>
      <c r="C53" s="17" t="s">
        <v>102</v>
      </c>
      <c r="D53" s="17" t="s">
        <v>118</v>
      </c>
      <c r="E53" s="17" t="s">
        <v>125</v>
      </c>
      <c r="F53" s="18" t="n">
        <v>65673</v>
      </c>
      <c r="G53" s="19" t="n">
        <v>70.7</v>
      </c>
      <c r="H53" s="17" t="n">
        <f aca="false">IF(G53="","",RANK(G53,$G$5:$G$281))</f>
        <v>49</v>
      </c>
      <c r="I53" s="19" t="n">
        <v>67.7</v>
      </c>
      <c r="J53" s="17" t="n">
        <f aca="false">IF(I53="","",RANK(I53,$I$5:$I$281))</f>
        <v>63</v>
      </c>
      <c r="K53" s="19" t="n">
        <v>29.2</v>
      </c>
      <c r="L53" s="17" t="n">
        <f aca="false">IF(K53="","",RANK(K53,$K$5:$K$281))</f>
        <v>222</v>
      </c>
      <c r="M53" s="17" t="str">
        <f aca="false">IF(AND(N(G53)&gt;=N(I53),N(G53)&gt;=N(K53)),"The Pulse",IF(N(I53)&gt;=N(K53),"The Lens","The Hub"))</f>
        <v>The Pulse</v>
      </c>
      <c r="N53" s="21" t="s">
        <v>78</v>
      </c>
      <c r="O53" s="17" t="s">
        <v>126</v>
      </c>
    </row>
    <row r="54" customFormat="false" ht="15" hidden="false" customHeight="false" outlineLevel="0" collapsed="false">
      <c r="A54" s="17" t="s">
        <v>198</v>
      </c>
      <c r="B54" s="17" t="s">
        <v>199</v>
      </c>
      <c r="C54" s="17" t="s">
        <v>92</v>
      </c>
      <c r="D54" s="17" t="s">
        <v>82</v>
      </c>
      <c r="E54" s="17" t="s">
        <v>129</v>
      </c>
      <c r="F54" s="18" t="n">
        <v>560372</v>
      </c>
      <c r="G54" s="19" t="n">
        <v>70.7</v>
      </c>
      <c r="H54" s="17" t="n">
        <f aca="false">IF(G54="","",RANK(G54,$G$5:$G$281))</f>
        <v>49</v>
      </c>
      <c r="I54" s="19" t="n">
        <v>51.7</v>
      </c>
      <c r="J54" s="17" t="n">
        <f aca="false">IF(I54="","",RANK(I54,$I$5:$I$281))</f>
        <v>130</v>
      </c>
      <c r="K54" s="19" t="n">
        <v>33</v>
      </c>
      <c r="L54" s="17" t="n">
        <f aca="false">IF(K54="","",RANK(K54,$K$5:$K$281))</f>
        <v>207</v>
      </c>
      <c r="M54" s="17" t="str">
        <f aca="false">IF(AND(N(G54)&gt;=N(I54),N(G54)&gt;=N(K54)),"The Pulse",IF(N(I54)&gt;=N(K54),"The Lens","The Hub"))</f>
        <v>The Pulse</v>
      </c>
      <c r="N54" s="21" t="s">
        <v>78</v>
      </c>
      <c r="O54" s="17" t="s">
        <v>126</v>
      </c>
    </row>
    <row r="55" customFormat="false" ht="15" hidden="false" customHeight="false" outlineLevel="0" collapsed="false">
      <c r="A55" s="17" t="s">
        <v>200</v>
      </c>
      <c r="B55" s="17" t="s">
        <v>201</v>
      </c>
      <c r="C55" s="17" t="s">
        <v>87</v>
      </c>
      <c r="D55" s="17" t="s">
        <v>73</v>
      </c>
      <c r="E55" s="17" t="s">
        <v>129</v>
      </c>
      <c r="F55" s="18" t="n">
        <v>173448</v>
      </c>
      <c r="G55" s="19" t="n">
        <v>70.6</v>
      </c>
      <c r="H55" s="17" t="n">
        <f aca="false">IF(G55="","",RANK(G55,$G$5:$G$281))</f>
        <v>51</v>
      </c>
      <c r="I55" s="19" t="n">
        <v>54.2</v>
      </c>
      <c r="J55" s="17" t="n">
        <f aca="false">IF(I55="","",RANK(I55,$I$5:$I$281))</f>
        <v>111</v>
      </c>
      <c r="K55" s="19" t="n">
        <v>46.8</v>
      </c>
      <c r="L55" s="17" t="n">
        <f aca="false">IF(K55="","",RANK(K55,$K$5:$K$281))</f>
        <v>150</v>
      </c>
      <c r="M55" s="17" t="str">
        <f aca="false">IF(AND(N(G55)&gt;=N(I55),N(G55)&gt;=N(K55)),"The Pulse",IF(N(I55)&gt;=N(K55),"The Lens","The Hub"))</f>
        <v>The Pulse</v>
      </c>
      <c r="N55" s="21" t="s">
        <v>78</v>
      </c>
      <c r="O55" s="17" t="s">
        <v>126</v>
      </c>
    </row>
    <row r="56" customFormat="false" ht="15" hidden="false" customHeight="false" outlineLevel="0" collapsed="false">
      <c r="A56" s="17" t="s">
        <v>202</v>
      </c>
      <c r="B56" s="17" t="s">
        <v>203</v>
      </c>
      <c r="C56" s="17" t="s">
        <v>92</v>
      </c>
      <c r="D56" s="17" t="s">
        <v>96</v>
      </c>
      <c r="E56" s="17" t="s">
        <v>129</v>
      </c>
      <c r="F56" s="18" t="n">
        <v>320837</v>
      </c>
      <c r="G56" s="19" t="n">
        <v>70.5</v>
      </c>
      <c r="H56" s="17" t="n">
        <f aca="false">IF(G56="","",RANK(G56,$G$5:$G$281))</f>
        <v>52</v>
      </c>
      <c r="I56" s="19" t="n">
        <v>57.5</v>
      </c>
      <c r="J56" s="17" t="n">
        <f aca="false">IF(I56="","",RANK(I56,$I$5:$I$281))</f>
        <v>96</v>
      </c>
      <c r="K56" s="19" t="n">
        <v>43.2</v>
      </c>
      <c r="L56" s="17" t="n">
        <f aca="false">IF(K56="","",RANK(K56,$K$5:$K$281))</f>
        <v>170</v>
      </c>
      <c r="M56" s="17" t="str">
        <f aca="false">IF(AND(N(G56)&gt;=N(I56),N(G56)&gt;=N(K56)),"The Pulse",IF(N(I56)&gt;=N(K56),"The Lens","The Hub"))</f>
        <v>The Pulse</v>
      </c>
      <c r="N56" s="22" t="s">
        <v>83</v>
      </c>
      <c r="O56" s="17" t="s">
        <v>204</v>
      </c>
    </row>
    <row r="57" customFormat="false" ht="15" hidden="false" customHeight="false" outlineLevel="0" collapsed="false">
      <c r="A57" s="17" t="s">
        <v>205</v>
      </c>
      <c r="B57" s="17" t="s">
        <v>206</v>
      </c>
      <c r="C57" s="17" t="s">
        <v>77</v>
      </c>
      <c r="D57" s="17" t="s">
        <v>108</v>
      </c>
      <c r="E57" s="17" t="s">
        <v>129</v>
      </c>
      <c r="F57" s="18" t="n">
        <v>197387</v>
      </c>
      <c r="G57" s="19" t="n">
        <v>70.5</v>
      </c>
      <c r="H57" s="17" t="n">
        <f aca="false">IF(G57="","",RANK(G57,$G$5:$G$281))</f>
        <v>52</v>
      </c>
      <c r="I57" s="19" t="n">
        <v>53.8</v>
      </c>
      <c r="J57" s="17" t="n">
        <f aca="false">IF(I57="","",RANK(I57,$I$5:$I$281))</f>
        <v>112</v>
      </c>
      <c r="K57" s="19" t="n">
        <v>33.7</v>
      </c>
      <c r="L57" s="17" t="n">
        <f aca="false">IF(K57="","",RANK(K57,$K$5:$K$281))</f>
        <v>205</v>
      </c>
      <c r="M57" s="17" t="str">
        <f aca="false">IF(AND(N(G57)&gt;=N(I57),N(G57)&gt;=N(K57)),"The Pulse",IF(N(I57)&gt;=N(K57),"The Lens","The Hub"))</f>
        <v>The Pulse</v>
      </c>
      <c r="N57" s="21" t="s">
        <v>78</v>
      </c>
      <c r="O57" s="17" t="s">
        <v>126</v>
      </c>
    </row>
    <row r="58" customFormat="false" ht="15" hidden="false" customHeight="false" outlineLevel="0" collapsed="false">
      <c r="A58" s="17" t="s">
        <v>207</v>
      </c>
      <c r="B58" s="17" t="s">
        <v>208</v>
      </c>
      <c r="C58" s="17" t="s">
        <v>81</v>
      </c>
      <c r="D58" s="17" t="s">
        <v>111</v>
      </c>
      <c r="E58" s="17" t="s">
        <v>129</v>
      </c>
      <c r="F58" s="18" t="n">
        <v>172753</v>
      </c>
      <c r="G58" s="19" t="n">
        <v>70.4</v>
      </c>
      <c r="H58" s="17" t="n">
        <f aca="false">IF(G58="","",RANK(G58,$G$5:$G$281))</f>
        <v>54</v>
      </c>
      <c r="I58" s="19" t="n">
        <v>44.2</v>
      </c>
      <c r="J58" s="17" t="n">
        <f aca="false">IF(I58="","",RANK(I58,$I$5:$I$281))</f>
        <v>165</v>
      </c>
      <c r="K58" s="19" t="n">
        <v>62.7</v>
      </c>
      <c r="L58" s="17" t="n">
        <f aca="false">IF(K58="","",RANK(K58,$K$5:$K$281))</f>
        <v>82</v>
      </c>
      <c r="M58" s="17" t="str">
        <f aca="false">IF(AND(N(G58)&gt;=N(I58),N(G58)&gt;=N(K58)),"The Pulse",IF(N(I58)&gt;=N(K58),"The Lens","The Hub"))</f>
        <v>The Pulse</v>
      </c>
      <c r="N58" s="21" t="s">
        <v>78</v>
      </c>
      <c r="O58" s="17" t="s">
        <v>126</v>
      </c>
    </row>
    <row r="59" customFormat="false" ht="15" hidden="false" customHeight="false" outlineLevel="0" collapsed="false">
      <c r="A59" s="17" t="s">
        <v>209</v>
      </c>
      <c r="B59" s="17" t="s">
        <v>210</v>
      </c>
      <c r="C59" s="17" t="s">
        <v>81</v>
      </c>
      <c r="D59" s="17" t="s">
        <v>82</v>
      </c>
      <c r="E59" s="17" t="s">
        <v>157</v>
      </c>
      <c r="F59" s="18" t="n">
        <v>132681</v>
      </c>
      <c r="G59" s="19" t="n">
        <v>69.8</v>
      </c>
      <c r="H59" s="17" t="n">
        <f aca="false">IF(G59="","",RANK(G59,$G$5:$G$281))</f>
        <v>55</v>
      </c>
      <c r="I59" s="19" t="n">
        <v>67.4</v>
      </c>
      <c r="J59" s="17" t="n">
        <f aca="false">IF(I59="","",RANK(I59,$I$5:$I$281))</f>
        <v>64</v>
      </c>
      <c r="K59" s="19" t="n">
        <v>63.1</v>
      </c>
      <c r="L59" s="17" t="n">
        <f aca="false">IF(K59="","",RANK(K59,$K$5:$K$281))</f>
        <v>81</v>
      </c>
      <c r="M59" s="17" t="str">
        <f aca="false">IF(AND(N(G59)&gt;=N(I59),N(G59)&gt;=N(K59)),"The Pulse",IF(N(I59)&gt;=N(K59),"The Lens","The Hub"))</f>
        <v>The Pulse</v>
      </c>
      <c r="N59" s="20" t="s">
        <v>74</v>
      </c>
      <c r="O59" s="17" t="s">
        <v>19</v>
      </c>
    </row>
    <row r="60" customFormat="false" ht="15" hidden="false" customHeight="false" outlineLevel="0" collapsed="false">
      <c r="A60" s="17" t="s">
        <v>211</v>
      </c>
      <c r="B60" s="17" t="s">
        <v>212</v>
      </c>
      <c r="C60" s="17" t="s">
        <v>105</v>
      </c>
      <c r="D60" s="17" t="s">
        <v>115</v>
      </c>
      <c r="E60" s="17" t="s">
        <v>46</v>
      </c>
      <c r="F60" s="18" t="n">
        <v>85521</v>
      </c>
      <c r="G60" s="19" t="n">
        <v>69.1</v>
      </c>
      <c r="H60" s="17" t="n">
        <f aca="false">IF(G60="","",RANK(G60,$G$5:$G$281))</f>
        <v>56</v>
      </c>
      <c r="I60" s="19" t="n">
        <v>93.8</v>
      </c>
      <c r="J60" s="17" t="n">
        <f aca="false">IF(I60="","",RANK(I60,$I$5:$I$281))</f>
        <v>6</v>
      </c>
      <c r="K60" s="19" t="n">
        <v>3.9</v>
      </c>
      <c r="L60" s="17" t="n">
        <f aca="false">IF(K60="","",RANK(K60,$K$5:$K$281))</f>
        <v>271</v>
      </c>
      <c r="M60" s="17" t="str">
        <f aca="false">IF(AND(N(G60)&gt;=N(I60),N(G60)&gt;=N(K60)),"The Pulse",IF(N(I60)&gt;=N(K60),"The Lens","The Hub"))</f>
        <v>The Lens</v>
      </c>
      <c r="N60" s="20" t="s">
        <v>74</v>
      </c>
      <c r="O60" s="17" t="s">
        <v>19</v>
      </c>
    </row>
    <row r="61" customFormat="false" ht="15" hidden="false" customHeight="false" outlineLevel="0" collapsed="false">
      <c r="A61" s="17" t="s">
        <v>213</v>
      </c>
      <c r="B61" s="17" t="s">
        <v>214</v>
      </c>
      <c r="C61" s="17" t="s">
        <v>105</v>
      </c>
      <c r="D61" s="17" t="s">
        <v>93</v>
      </c>
      <c r="E61" s="17" t="s">
        <v>157</v>
      </c>
      <c r="F61" s="18" t="n">
        <v>359401</v>
      </c>
      <c r="G61" s="19" t="n">
        <v>69</v>
      </c>
      <c r="H61" s="17" t="n">
        <f aca="false">IF(G61="","",RANK(G61,$G$5:$G$281))</f>
        <v>57</v>
      </c>
      <c r="I61" s="19" t="n">
        <v>59.4</v>
      </c>
      <c r="J61" s="17" t="n">
        <f aca="false">IF(I61="","",RANK(I61,$I$5:$I$281))</f>
        <v>90</v>
      </c>
      <c r="K61" s="19" t="n">
        <v>81.3</v>
      </c>
      <c r="L61" s="17" t="n">
        <f aca="false">IF(K61="","",RANK(K61,$K$5:$K$281))</f>
        <v>37</v>
      </c>
      <c r="M61" s="17" t="str">
        <f aca="false">IF(AND(N(G61)&gt;=N(I61),N(G61)&gt;=N(K61)),"The Pulse",IF(N(I61)&gt;=N(K61),"The Lens","The Hub"))</f>
        <v>The Hub</v>
      </c>
      <c r="N61" s="21" t="s">
        <v>78</v>
      </c>
      <c r="O61" s="17" t="s">
        <v>126</v>
      </c>
    </row>
    <row r="62" customFormat="false" ht="15" hidden="false" customHeight="false" outlineLevel="0" collapsed="false">
      <c r="A62" s="17" t="s">
        <v>215</v>
      </c>
      <c r="B62" s="17" t="s">
        <v>216</v>
      </c>
      <c r="C62" s="17" t="s">
        <v>102</v>
      </c>
      <c r="D62" s="17" t="s">
        <v>170</v>
      </c>
      <c r="E62" s="17" t="s">
        <v>46</v>
      </c>
      <c r="F62" s="18" t="n">
        <v>25880</v>
      </c>
      <c r="G62" s="19" t="n">
        <v>68.7</v>
      </c>
      <c r="H62" s="17" t="n">
        <f aca="false">IF(G62="","",RANK(G62,$G$5:$G$281))</f>
        <v>58</v>
      </c>
      <c r="I62" s="19" t="n">
        <v>96.3</v>
      </c>
      <c r="J62" s="17" t="n">
        <f aca="false">IF(I62="","",RANK(I62,$I$5:$I$281))</f>
        <v>3</v>
      </c>
      <c r="K62" s="19" t="n">
        <v>55.4</v>
      </c>
      <c r="L62" s="17" t="n">
        <f aca="false">IF(K62="","",RANK(K62,$K$5:$K$281))</f>
        <v>106</v>
      </c>
      <c r="M62" s="17" t="str">
        <f aca="false">IF(AND(N(G62)&gt;=N(I62),N(G62)&gt;=N(K62)),"The Pulse",IF(N(I62)&gt;=N(K62),"The Lens","The Hub"))</f>
        <v>The Lens</v>
      </c>
      <c r="N62" s="21" t="s">
        <v>78</v>
      </c>
      <c r="O62" s="17" t="s">
        <v>21</v>
      </c>
    </row>
    <row r="63" customFormat="false" ht="15" hidden="false" customHeight="false" outlineLevel="0" collapsed="false">
      <c r="A63" s="17" t="s">
        <v>217</v>
      </c>
      <c r="B63" s="17" t="s">
        <v>218</v>
      </c>
      <c r="C63" s="17" t="s">
        <v>133</v>
      </c>
      <c r="D63" s="17" t="s">
        <v>82</v>
      </c>
      <c r="E63" s="17" t="s">
        <v>129</v>
      </c>
      <c r="F63" s="18" t="n">
        <v>990545</v>
      </c>
      <c r="G63" s="19" t="n">
        <v>68.1</v>
      </c>
      <c r="H63" s="17" t="n">
        <f aca="false">IF(G63="","",RANK(G63,$G$5:$G$281))</f>
        <v>59</v>
      </c>
      <c r="I63" s="19" t="n">
        <v>80</v>
      </c>
      <c r="J63" s="17" t="n">
        <f aca="false">IF(I63="","",RANK(I63,$I$5:$I$281))</f>
        <v>26</v>
      </c>
      <c r="K63" s="19" t="n">
        <v>36.9</v>
      </c>
      <c r="L63" s="17" t="n">
        <f aca="false">IF(K63="","",RANK(K63,$K$5:$K$281))</f>
        <v>194</v>
      </c>
      <c r="M63" s="17" t="str">
        <f aca="false">IF(AND(N(G63)&gt;=N(I63),N(G63)&gt;=N(K63)),"The Pulse",IF(N(I63)&gt;=N(K63),"The Lens","The Hub"))</f>
        <v>The Lens</v>
      </c>
      <c r="N63" s="22" t="s">
        <v>83</v>
      </c>
      <c r="O63" s="17" t="s">
        <v>130</v>
      </c>
    </row>
    <row r="64" customFormat="false" ht="15" hidden="false" customHeight="false" outlineLevel="0" collapsed="false">
      <c r="A64" s="17" t="s">
        <v>219</v>
      </c>
      <c r="B64" s="17" t="s">
        <v>220</v>
      </c>
      <c r="C64" s="17" t="s">
        <v>77</v>
      </c>
      <c r="D64" s="17" t="s">
        <v>108</v>
      </c>
      <c r="E64" s="17" t="s">
        <v>129</v>
      </c>
      <c r="F64" s="18" t="n">
        <v>401943</v>
      </c>
      <c r="G64" s="19" t="n">
        <v>68</v>
      </c>
      <c r="H64" s="17" t="n">
        <f aca="false">IF(G64="","",RANK(G64,$G$5:$G$281))</f>
        <v>60</v>
      </c>
      <c r="I64" s="19" t="n">
        <v>37</v>
      </c>
      <c r="J64" s="17" t="n">
        <f aca="false">IF(I64="","",RANK(I64,$I$5:$I$281))</f>
        <v>194</v>
      </c>
      <c r="K64" s="19" t="n">
        <v>35.6</v>
      </c>
      <c r="L64" s="17" t="n">
        <f aca="false">IF(K64="","",RANK(K64,$K$5:$K$281))</f>
        <v>198</v>
      </c>
      <c r="M64" s="17" t="str">
        <f aca="false">IF(AND(N(G64)&gt;=N(I64),N(G64)&gt;=N(K64)),"The Pulse",IF(N(I64)&gt;=N(K64),"The Lens","The Hub"))</f>
        <v>The Pulse</v>
      </c>
      <c r="N64" s="21" t="s">
        <v>78</v>
      </c>
      <c r="O64" s="17" t="s">
        <v>126</v>
      </c>
    </row>
    <row r="65" customFormat="false" ht="15" hidden="false" customHeight="false" outlineLevel="0" collapsed="false">
      <c r="A65" s="17" t="s">
        <v>221</v>
      </c>
      <c r="B65" s="17" t="s">
        <v>222</v>
      </c>
      <c r="C65" s="17" t="s">
        <v>87</v>
      </c>
      <c r="D65" s="17" t="s">
        <v>96</v>
      </c>
      <c r="E65" s="17" t="s">
        <v>129</v>
      </c>
      <c r="F65" s="18" t="n">
        <v>270650</v>
      </c>
      <c r="G65" s="19" t="n">
        <v>67.9</v>
      </c>
      <c r="H65" s="17" t="n">
        <f aca="false">IF(G65="","",RANK(G65,$G$5:$G$281))</f>
        <v>61</v>
      </c>
      <c r="I65" s="19" t="n">
        <v>46.4</v>
      </c>
      <c r="J65" s="17" t="n">
        <f aca="false">IF(I65="","",RANK(I65,$I$5:$I$281))</f>
        <v>156</v>
      </c>
      <c r="K65" s="19" t="n">
        <v>40.6</v>
      </c>
      <c r="L65" s="17" t="n">
        <f aca="false">IF(K65="","",RANK(K65,$K$5:$K$281))</f>
        <v>188</v>
      </c>
      <c r="M65" s="17" t="str">
        <f aca="false">IF(AND(N(G65)&gt;=N(I65),N(G65)&gt;=N(K65)),"The Pulse",IF(N(I65)&gt;=N(K65),"The Lens","The Hub"))</f>
        <v>The Pulse</v>
      </c>
      <c r="N65" s="21" t="s">
        <v>78</v>
      </c>
      <c r="O65" s="17" t="s">
        <v>126</v>
      </c>
    </row>
    <row r="66" customFormat="false" ht="15" hidden="false" customHeight="false" outlineLevel="0" collapsed="false">
      <c r="A66" s="17" t="s">
        <v>223</v>
      </c>
      <c r="B66" s="17" t="s">
        <v>224</v>
      </c>
      <c r="C66" s="17" t="s">
        <v>105</v>
      </c>
      <c r="D66" s="17" t="s">
        <v>108</v>
      </c>
      <c r="E66" s="17" t="s">
        <v>129</v>
      </c>
      <c r="F66" s="18" t="n">
        <v>249310</v>
      </c>
      <c r="G66" s="19" t="n">
        <v>67.5</v>
      </c>
      <c r="H66" s="17" t="n">
        <f aca="false">IF(G66="","",RANK(G66,$G$5:$G$281))</f>
        <v>62</v>
      </c>
      <c r="I66" s="19" t="n">
        <v>34.1</v>
      </c>
      <c r="J66" s="17" t="n">
        <f aca="false">IF(I66="","",RANK(I66,$I$5:$I$281))</f>
        <v>204</v>
      </c>
      <c r="K66" s="19" t="n">
        <v>65</v>
      </c>
      <c r="L66" s="17" t="n">
        <f aca="false">IF(K66="","",RANK(K66,$K$5:$K$281))</f>
        <v>76</v>
      </c>
      <c r="M66" s="17" t="str">
        <f aca="false">IF(AND(N(G66)&gt;=N(I66),N(G66)&gt;=N(K66)),"The Pulse",IF(N(I66)&gt;=N(K66),"The Lens","The Hub"))</f>
        <v>The Pulse</v>
      </c>
      <c r="N66" s="21" t="s">
        <v>78</v>
      </c>
      <c r="O66" s="17" t="s">
        <v>21</v>
      </c>
    </row>
    <row r="67" customFormat="false" ht="15" hidden="false" customHeight="false" outlineLevel="0" collapsed="false">
      <c r="A67" s="17" t="s">
        <v>225</v>
      </c>
      <c r="B67" s="17" t="s">
        <v>226</v>
      </c>
      <c r="C67" s="17" t="s">
        <v>77</v>
      </c>
      <c r="D67" s="17" t="s">
        <v>170</v>
      </c>
      <c r="E67" s="17" t="s">
        <v>46</v>
      </c>
      <c r="F67" s="18" t="n">
        <v>5120</v>
      </c>
      <c r="G67" s="19" t="n">
        <v>67.2</v>
      </c>
      <c r="H67" s="17" t="n">
        <f aca="false">IF(G67="","",RANK(G67,$G$5:$G$281))</f>
        <v>63</v>
      </c>
      <c r="I67" s="19" t="n">
        <v>22.9</v>
      </c>
      <c r="J67" s="17" t="n">
        <f aca="false">IF(I67="","",RANK(I67,$I$5:$I$281))</f>
        <v>235</v>
      </c>
      <c r="K67" s="19" t="n">
        <v>99.2</v>
      </c>
      <c r="L67" s="17" t="n">
        <f aca="false">IF(K67="","",RANK(K67,$K$5:$K$281))</f>
        <v>1</v>
      </c>
      <c r="M67" s="17" t="str">
        <f aca="false">IF(AND(N(G67)&gt;=N(I67),N(G67)&gt;=N(K67)),"The Pulse",IF(N(I67)&gt;=N(K67),"The Lens","The Hub"))</f>
        <v>The Hub</v>
      </c>
      <c r="N67" s="22" t="s">
        <v>83</v>
      </c>
      <c r="O67" s="17" t="s">
        <v>84</v>
      </c>
    </row>
    <row r="68" customFormat="false" ht="15" hidden="false" customHeight="false" outlineLevel="0" collapsed="false">
      <c r="A68" s="17" t="s">
        <v>227</v>
      </c>
      <c r="B68" s="17" t="s">
        <v>228</v>
      </c>
      <c r="C68" s="17" t="s">
        <v>105</v>
      </c>
      <c r="D68" s="17" t="s">
        <v>99</v>
      </c>
      <c r="E68" s="17" t="s">
        <v>129</v>
      </c>
      <c r="F68" s="18" t="n">
        <v>156992</v>
      </c>
      <c r="G68" s="19" t="n">
        <v>66.8</v>
      </c>
      <c r="H68" s="17" t="n">
        <f aca="false">IF(G68="","",RANK(G68,$G$5:$G$281))</f>
        <v>64</v>
      </c>
      <c r="I68" s="19" t="n">
        <v>54.6</v>
      </c>
      <c r="J68" s="17" t="n">
        <f aca="false">IF(I68="","",RANK(I68,$I$5:$I$281))</f>
        <v>107</v>
      </c>
      <c r="K68" s="19" t="n">
        <v>30.2</v>
      </c>
      <c r="L68" s="17" t="n">
        <f aca="false">IF(K68="","",RANK(K68,$K$5:$K$281))</f>
        <v>217</v>
      </c>
      <c r="M68" s="17" t="str">
        <f aca="false">IF(AND(N(G68)&gt;=N(I68),N(G68)&gt;=N(K68)),"The Pulse",IF(N(I68)&gt;=N(K68),"The Lens","The Hub"))</f>
        <v>The Pulse</v>
      </c>
      <c r="N68" s="21" t="s">
        <v>78</v>
      </c>
      <c r="O68" s="17" t="s">
        <v>126</v>
      </c>
    </row>
    <row r="69" customFormat="false" ht="15" hidden="false" customHeight="false" outlineLevel="0" collapsed="false">
      <c r="A69" s="17" t="s">
        <v>229</v>
      </c>
      <c r="B69" s="17" t="s">
        <v>230</v>
      </c>
      <c r="C69" s="17" t="s">
        <v>105</v>
      </c>
      <c r="D69" s="17" t="s">
        <v>118</v>
      </c>
      <c r="E69" s="17" t="s">
        <v>45</v>
      </c>
      <c r="F69" s="18" t="n">
        <v>1019970</v>
      </c>
      <c r="G69" s="19" t="n">
        <v>66.7</v>
      </c>
      <c r="H69" s="17" t="n">
        <f aca="false">IF(G69="","",RANK(G69,$G$5:$G$281))</f>
        <v>65</v>
      </c>
      <c r="I69" s="19" t="n">
        <v>87.5</v>
      </c>
      <c r="J69" s="17" t="n">
        <f aca="false">IF(I69="","",RANK(I69,$I$5:$I$281))</f>
        <v>15</v>
      </c>
      <c r="K69" s="19" t="n">
        <v>85.6</v>
      </c>
      <c r="L69" s="17" t="n">
        <f aca="false">IF(K69="","",RANK(K69,$K$5:$K$281))</f>
        <v>29</v>
      </c>
      <c r="M69" s="17" t="str">
        <f aca="false">IF(AND(N(G69)&gt;=N(I69),N(G69)&gt;=N(K69)),"The Pulse",IF(N(I69)&gt;=N(K69),"The Lens","The Hub"))</f>
        <v>The Lens</v>
      </c>
      <c r="N69" s="21" t="s">
        <v>78</v>
      </c>
      <c r="O69" s="17" t="s">
        <v>21</v>
      </c>
    </row>
    <row r="70" customFormat="false" ht="15" hidden="false" customHeight="false" outlineLevel="0" collapsed="false">
      <c r="A70" s="17" t="s">
        <v>231</v>
      </c>
      <c r="B70" s="17" t="s">
        <v>232</v>
      </c>
      <c r="C70" s="17" t="s">
        <v>102</v>
      </c>
      <c r="D70" s="17" t="s">
        <v>115</v>
      </c>
      <c r="E70" s="17" t="s">
        <v>46</v>
      </c>
      <c r="F70" s="18" t="n">
        <v>53857</v>
      </c>
      <c r="G70" s="19" t="n">
        <v>66.6</v>
      </c>
      <c r="H70" s="17" t="n">
        <f aca="false">IF(G70="","",RANK(G70,$G$5:$G$281))</f>
        <v>66</v>
      </c>
      <c r="I70" s="19" t="n">
        <v>87.6</v>
      </c>
      <c r="J70" s="17" t="n">
        <f aca="false">IF(I70="","",RANK(I70,$I$5:$I$281))</f>
        <v>14</v>
      </c>
      <c r="K70" s="19" t="n">
        <v>16.1</v>
      </c>
      <c r="L70" s="17" t="n">
        <f aca="false">IF(K70="","",RANK(K70,$K$5:$K$281))</f>
        <v>249</v>
      </c>
      <c r="M70" s="17" t="str">
        <f aca="false">IF(AND(N(G70)&gt;=N(I70),N(G70)&gt;=N(K70)),"The Pulse",IF(N(I70)&gt;=N(K70),"The Lens","The Hub"))</f>
        <v>The Lens</v>
      </c>
      <c r="N70" s="20" t="s">
        <v>74</v>
      </c>
      <c r="O70" s="17" t="s">
        <v>19</v>
      </c>
    </row>
    <row r="71" customFormat="false" ht="15" hidden="false" customHeight="false" outlineLevel="0" collapsed="false">
      <c r="A71" s="17" t="s">
        <v>233</v>
      </c>
      <c r="B71" s="17" t="s">
        <v>234</v>
      </c>
      <c r="C71" s="17" t="s">
        <v>92</v>
      </c>
      <c r="D71" s="17" t="s">
        <v>99</v>
      </c>
      <c r="E71" s="17" t="s">
        <v>47</v>
      </c>
      <c r="F71" s="18" t="n">
        <v>24643</v>
      </c>
      <c r="G71" s="19" t="n">
        <v>66.3</v>
      </c>
      <c r="H71" s="17" t="n">
        <f aca="false">IF(G71="","",RANK(G71,$G$5:$G$281))</f>
        <v>67</v>
      </c>
      <c r="I71" s="19" t="n">
        <v>29.8</v>
      </c>
      <c r="J71" s="17" t="n">
        <f aca="false">IF(I71="","",RANK(I71,$I$5:$I$281))</f>
        <v>214</v>
      </c>
      <c r="K71" s="19" t="n">
        <v>84.6</v>
      </c>
      <c r="L71" s="17" t="n">
        <f aca="false">IF(K71="","",RANK(K71,$K$5:$K$281))</f>
        <v>31</v>
      </c>
      <c r="M71" s="17" t="str">
        <f aca="false">IF(AND(N(G71)&gt;=N(I71),N(G71)&gt;=N(K71)),"The Pulse",IF(N(I71)&gt;=N(K71),"The Lens","The Hub"))</f>
        <v>The Hub</v>
      </c>
      <c r="N71" s="20" t="s">
        <v>74</v>
      </c>
      <c r="O71" s="17" t="s">
        <v>19</v>
      </c>
    </row>
    <row r="72" customFormat="false" ht="15" hidden="false" customHeight="false" outlineLevel="0" collapsed="false">
      <c r="A72" s="17" t="s">
        <v>235</v>
      </c>
      <c r="B72" s="17" t="s">
        <v>236</v>
      </c>
      <c r="C72" s="17" t="s">
        <v>133</v>
      </c>
      <c r="D72" s="17" t="s">
        <v>170</v>
      </c>
      <c r="E72" s="17" t="s">
        <v>125</v>
      </c>
      <c r="F72" s="18" t="n">
        <v>73297</v>
      </c>
      <c r="G72" s="19" t="n">
        <v>65.7</v>
      </c>
      <c r="H72" s="17" t="n">
        <f aca="false">IF(G72="","",RANK(G72,$G$5:$G$281))</f>
        <v>68</v>
      </c>
      <c r="I72" s="19" t="n">
        <v>62</v>
      </c>
      <c r="J72" s="17" t="n">
        <f aca="false">IF(I72="","",RANK(I72,$I$5:$I$281))</f>
        <v>83</v>
      </c>
      <c r="K72" s="19" t="n">
        <v>58.5</v>
      </c>
      <c r="L72" s="17" t="n">
        <f aca="false">IF(K72="","",RANK(K72,$K$5:$K$281))</f>
        <v>99</v>
      </c>
      <c r="M72" s="17" t="str">
        <f aca="false">IF(AND(N(G72)&gt;=N(I72),N(G72)&gt;=N(K72)),"The Pulse",IF(N(I72)&gt;=N(K72),"The Lens","The Hub"))</f>
        <v>The Pulse</v>
      </c>
      <c r="N72" s="20" t="s">
        <v>74</v>
      </c>
      <c r="O72" s="17" t="s">
        <v>19</v>
      </c>
    </row>
    <row r="73" customFormat="false" ht="15" hidden="false" customHeight="false" outlineLevel="0" collapsed="false">
      <c r="A73" s="17" t="s">
        <v>237</v>
      </c>
      <c r="B73" s="17" t="s">
        <v>238</v>
      </c>
      <c r="C73" s="17" t="s">
        <v>77</v>
      </c>
      <c r="D73" s="17" t="s">
        <v>96</v>
      </c>
      <c r="E73" s="17" t="s">
        <v>45</v>
      </c>
      <c r="F73" s="18" t="n">
        <v>44080</v>
      </c>
      <c r="G73" s="19" t="n">
        <v>65.4</v>
      </c>
      <c r="H73" s="17" t="n">
        <f aca="false">IF(G73="","",RANK(G73,$G$5:$G$281))</f>
        <v>69</v>
      </c>
      <c r="I73" s="19" t="n">
        <v>7.1</v>
      </c>
      <c r="J73" s="17" t="n">
        <f aca="false">IF(I73="","",RANK(I73,$I$5:$I$281))</f>
        <v>268</v>
      </c>
      <c r="K73" s="19" t="n">
        <v>65.2</v>
      </c>
      <c r="L73" s="17" t="n">
        <f aca="false">IF(K73="","",RANK(K73,$K$5:$K$281))</f>
        <v>75</v>
      </c>
      <c r="M73" s="17" t="str">
        <f aca="false">IF(AND(N(G73)&gt;=N(I73),N(G73)&gt;=N(K73)),"The Pulse",IF(N(I73)&gt;=N(K73),"The Lens","The Hub"))</f>
        <v>The Pulse</v>
      </c>
      <c r="N73" s="20" t="s">
        <v>74</v>
      </c>
      <c r="O73" s="17" t="s">
        <v>19</v>
      </c>
    </row>
    <row r="74" customFormat="false" ht="15" hidden="false" customHeight="false" outlineLevel="0" collapsed="false">
      <c r="A74" s="17" t="s">
        <v>239</v>
      </c>
      <c r="B74" s="17" t="s">
        <v>240</v>
      </c>
      <c r="C74" s="17" t="s">
        <v>92</v>
      </c>
      <c r="D74" s="17" t="s">
        <v>99</v>
      </c>
      <c r="E74" s="17" t="s">
        <v>129</v>
      </c>
      <c r="F74" s="18" t="n">
        <v>48850</v>
      </c>
      <c r="G74" s="19" t="n">
        <v>65.3</v>
      </c>
      <c r="H74" s="17" t="n">
        <f aca="false">IF(G74="","",RANK(G74,$G$5:$G$281))</f>
        <v>70</v>
      </c>
      <c r="I74" s="19" t="n">
        <v>38.1</v>
      </c>
      <c r="J74" s="17" t="n">
        <f aca="false">IF(I74="","",RANK(I74,$I$5:$I$281))</f>
        <v>191</v>
      </c>
      <c r="K74" s="19" t="n">
        <v>75.7</v>
      </c>
      <c r="L74" s="17" t="n">
        <f aca="false">IF(K74="","",RANK(K74,$K$5:$K$281))</f>
        <v>49</v>
      </c>
      <c r="M74" s="17" t="str">
        <f aca="false">IF(AND(N(G74)&gt;=N(I74),N(G74)&gt;=N(K74)),"The Pulse",IF(N(I74)&gt;=N(K74),"The Lens","The Hub"))</f>
        <v>The Hub</v>
      </c>
      <c r="N74" s="21" t="s">
        <v>78</v>
      </c>
      <c r="O74" s="17" t="s">
        <v>126</v>
      </c>
    </row>
    <row r="75" customFormat="false" ht="15" hidden="false" customHeight="false" outlineLevel="0" collapsed="false">
      <c r="A75" s="17" t="s">
        <v>241</v>
      </c>
      <c r="B75" s="17" t="s">
        <v>242</v>
      </c>
      <c r="C75" s="17" t="s">
        <v>87</v>
      </c>
      <c r="D75" s="17" t="s">
        <v>93</v>
      </c>
      <c r="E75" s="17" t="s">
        <v>46</v>
      </c>
      <c r="F75" s="18" t="n">
        <v>500717</v>
      </c>
      <c r="G75" s="19" t="n">
        <v>65.1</v>
      </c>
      <c r="H75" s="17" t="n">
        <f aca="false">IF(G75="","",RANK(G75,$G$5:$G$281))</f>
        <v>71</v>
      </c>
      <c r="I75" s="19" t="n">
        <v>15.9</v>
      </c>
      <c r="J75" s="17" t="n">
        <f aca="false">IF(I75="","",RANK(I75,$I$5:$I$281))</f>
        <v>250</v>
      </c>
      <c r="K75" s="19" t="n">
        <v>50.5</v>
      </c>
      <c r="L75" s="17" t="n">
        <f aca="false">IF(K75="","",RANK(K75,$K$5:$K$281))</f>
        <v>132</v>
      </c>
      <c r="M75" s="17" t="str">
        <f aca="false">IF(AND(N(G75)&gt;=N(I75),N(G75)&gt;=N(K75)),"The Pulse",IF(N(I75)&gt;=N(K75),"The Lens","The Hub"))</f>
        <v>The Pulse</v>
      </c>
      <c r="N75" s="20" t="s">
        <v>74</v>
      </c>
      <c r="O75" s="17" t="s">
        <v>19</v>
      </c>
    </row>
    <row r="76" customFormat="false" ht="15" hidden="false" customHeight="false" outlineLevel="0" collapsed="false">
      <c r="A76" s="17" t="s">
        <v>243</v>
      </c>
      <c r="B76" s="17" t="s">
        <v>244</v>
      </c>
      <c r="C76" s="17" t="s">
        <v>102</v>
      </c>
      <c r="D76" s="17" t="s">
        <v>99</v>
      </c>
      <c r="E76" s="17" t="s">
        <v>125</v>
      </c>
      <c r="F76" s="18" t="n">
        <v>90560</v>
      </c>
      <c r="G76" s="19" t="n">
        <v>65</v>
      </c>
      <c r="H76" s="17" t="n">
        <f aca="false">IF(G76="","",RANK(G76,$G$5:$G$281))</f>
        <v>72</v>
      </c>
      <c r="I76" s="19" t="n">
        <v>78.4</v>
      </c>
      <c r="J76" s="17" t="n">
        <f aca="false">IF(I76="","",RANK(I76,$I$5:$I$281))</f>
        <v>30</v>
      </c>
      <c r="K76" s="19" t="n">
        <v>9.1</v>
      </c>
      <c r="L76" s="17" t="n">
        <f aca="false">IF(K76="","",RANK(K76,$K$5:$K$281))</f>
        <v>264</v>
      </c>
      <c r="M76" s="17" t="str">
        <f aca="false">IF(AND(N(G76)&gt;=N(I76),N(G76)&gt;=N(K76)),"The Pulse",IF(N(I76)&gt;=N(K76),"The Lens","The Hub"))</f>
        <v>The Lens</v>
      </c>
      <c r="N76" s="21" t="s">
        <v>78</v>
      </c>
      <c r="O76" s="17" t="s">
        <v>21</v>
      </c>
    </row>
    <row r="77" customFormat="false" ht="15" hidden="false" customHeight="false" outlineLevel="0" collapsed="false">
      <c r="A77" s="17" t="s">
        <v>245</v>
      </c>
      <c r="B77" s="17" t="s">
        <v>246</v>
      </c>
      <c r="C77" s="17" t="s">
        <v>138</v>
      </c>
      <c r="D77" s="17" t="s">
        <v>118</v>
      </c>
      <c r="E77" s="17" t="s">
        <v>129</v>
      </c>
      <c r="F77" s="18" t="n">
        <v>2827225</v>
      </c>
      <c r="G77" s="19" t="n">
        <v>65</v>
      </c>
      <c r="H77" s="17" t="n">
        <f aca="false">IF(G77="","",RANK(G77,$G$5:$G$281))</f>
        <v>72</v>
      </c>
      <c r="I77" s="19" t="n">
        <v>29</v>
      </c>
      <c r="J77" s="17" t="n">
        <f aca="false">IF(I77="","",RANK(I77,$I$5:$I$281))</f>
        <v>216</v>
      </c>
      <c r="K77" s="19" t="n">
        <v>59.6</v>
      </c>
      <c r="L77" s="17" t="n">
        <f aca="false">IF(K77="","",RANK(K77,$K$5:$K$281))</f>
        <v>96</v>
      </c>
      <c r="M77" s="17" t="str">
        <f aca="false">IF(AND(N(G77)&gt;=N(I77),N(G77)&gt;=N(K77)),"The Pulse",IF(N(I77)&gt;=N(K77),"The Lens","The Hub"))</f>
        <v>The Pulse</v>
      </c>
      <c r="N77" s="21" t="s">
        <v>78</v>
      </c>
      <c r="O77" s="17" t="s">
        <v>126</v>
      </c>
    </row>
    <row r="78" customFormat="false" ht="15" hidden="false" customHeight="false" outlineLevel="0" collapsed="false">
      <c r="A78" s="17" t="s">
        <v>247</v>
      </c>
      <c r="B78" s="17" t="s">
        <v>248</v>
      </c>
      <c r="C78" s="17" t="s">
        <v>72</v>
      </c>
      <c r="D78" s="17" t="s">
        <v>99</v>
      </c>
      <c r="E78" s="17" t="s">
        <v>157</v>
      </c>
      <c r="F78" s="18" t="n">
        <v>37558</v>
      </c>
      <c r="G78" s="19" t="n">
        <v>64.8</v>
      </c>
      <c r="H78" s="17" t="n">
        <f aca="false">IF(G78="","",RANK(G78,$G$5:$G$281))</f>
        <v>74</v>
      </c>
      <c r="I78" s="19" t="n">
        <v>27.2</v>
      </c>
      <c r="J78" s="17" t="n">
        <f aca="false">IF(I78="","",RANK(I78,$I$5:$I$281))</f>
        <v>223</v>
      </c>
      <c r="K78" s="19" t="n">
        <v>44.2</v>
      </c>
      <c r="L78" s="17" t="n">
        <f aca="false">IF(K78="","",RANK(K78,$K$5:$K$281))</f>
        <v>166</v>
      </c>
      <c r="M78" s="17" t="str">
        <f aca="false">IF(AND(N(G78)&gt;=N(I78),N(G78)&gt;=N(K78)),"The Pulse",IF(N(I78)&gt;=N(K78),"The Lens","The Hub"))</f>
        <v>The Pulse</v>
      </c>
      <c r="N78" s="21" t="s">
        <v>78</v>
      </c>
      <c r="O78" s="17" t="s">
        <v>126</v>
      </c>
    </row>
    <row r="79" customFormat="false" ht="15" hidden="false" customHeight="false" outlineLevel="0" collapsed="false">
      <c r="A79" s="17" t="s">
        <v>249</v>
      </c>
      <c r="B79" s="17" t="s">
        <v>250</v>
      </c>
      <c r="C79" s="17" t="s">
        <v>77</v>
      </c>
      <c r="D79" s="17" t="s">
        <v>115</v>
      </c>
      <c r="E79" s="17" t="s">
        <v>129</v>
      </c>
      <c r="F79" s="18" t="n">
        <v>173528</v>
      </c>
      <c r="G79" s="19" t="n">
        <v>63.8</v>
      </c>
      <c r="H79" s="17" t="n">
        <f aca="false">IF(G79="","",RANK(G79,$G$5:$G$281))</f>
        <v>75</v>
      </c>
      <c r="I79" s="19" t="n">
        <v>50.7</v>
      </c>
      <c r="J79" s="17" t="n">
        <f aca="false">IF(I79="","",RANK(I79,$I$5:$I$281))</f>
        <v>133</v>
      </c>
      <c r="K79" s="19" t="n">
        <v>60.1</v>
      </c>
      <c r="L79" s="17" t="n">
        <f aca="false">IF(K79="","",RANK(K79,$K$5:$K$281))</f>
        <v>95</v>
      </c>
      <c r="M79" s="17" t="str">
        <f aca="false">IF(AND(N(G79)&gt;=N(I79),N(G79)&gt;=N(K79)),"The Pulse",IF(N(I79)&gt;=N(K79),"The Lens","The Hub"))</f>
        <v>The Pulse</v>
      </c>
      <c r="N79" s="20" t="s">
        <v>74</v>
      </c>
      <c r="O79" s="17" t="s">
        <v>19</v>
      </c>
    </row>
    <row r="80" customFormat="false" ht="15" hidden="false" customHeight="false" outlineLevel="0" collapsed="false">
      <c r="A80" s="17" t="s">
        <v>251</v>
      </c>
      <c r="B80" s="17" t="s">
        <v>252</v>
      </c>
      <c r="C80" s="17" t="s">
        <v>77</v>
      </c>
      <c r="D80" s="17" t="s">
        <v>73</v>
      </c>
      <c r="E80" s="17" t="s">
        <v>47</v>
      </c>
      <c r="F80" s="18" t="n">
        <v>66815</v>
      </c>
      <c r="G80" s="19" t="n">
        <v>63.7</v>
      </c>
      <c r="H80" s="17" t="n">
        <f aca="false">IF(G80="","",RANK(G80,$G$5:$G$281))</f>
        <v>76</v>
      </c>
      <c r="I80" s="19" t="n">
        <v>86.2</v>
      </c>
      <c r="J80" s="17" t="n">
        <f aca="false">IF(I80="","",RANK(I80,$I$5:$I$281))</f>
        <v>18</v>
      </c>
      <c r="K80" s="19" t="n">
        <v>96.4</v>
      </c>
      <c r="L80" s="17" t="n">
        <f aca="false">IF(K80="","",RANK(K80,$K$5:$K$281))</f>
        <v>4</v>
      </c>
      <c r="M80" s="17" t="str">
        <f aca="false">IF(AND(N(G80)&gt;=N(I80),N(G80)&gt;=N(K80)),"The Pulse",IF(N(I80)&gt;=N(K80),"The Lens","The Hub"))</f>
        <v>The Hub</v>
      </c>
      <c r="N80" s="20" t="s">
        <v>74</v>
      </c>
      <c r="O80" s="17" t="s">
        <v>19</v>
      </c>
    </row>
    <row r="81" customFormat="false" ht="15" hidden="false" customHeight="false" outlineLevel="0" collapsed="false">
      <c r="A81" s="17" t="s">
        <v>253</v>
      </c>
      <c r="B81" s="17" t="s">
        <v>254</v>
      </c>
      <c r="C81" s="17" t="s">
        <v>102</v>
      </c>
      <c r="D81" s="17" t="s">
        <v>82</v>
      </c>
      <c r="E81" s="17" t="s">
        <v>175</v>
      </c>
      <c r="F81" s="18" t="n">
        <v>212333</v>
      </c>
      <c r="G81" s="19" t="n">
        <v>63.4</v>
      </c>
      <c r="H81" s="17" t="n">
        <f aca="false">IF(G81="","",RANK(G81,$G$5:$G$281))</f>
        <v>77</v>
      </c>
      <c r="I81" s="19" t="n">
        <v>50.2</v>
      </c>
      <c r="J81" s="17" t="n">
        <f aca="false">IF(I81="","",RANK(I81,$I$5:$I$281))</f>
        <v>137</v>
      </c>
      <c r="K81" s="19" t="n">
        <v>87.1</v>
      </c>
      <c r="L81" s="17" t="n">
        <f aca="false">IF(K81="","",RANK(K81,$K$5:$K$281))</f>
        <v>25</v>
      </c>
      <c r="M81" s="17" t="str">
        <f aca="false">IF(AND(N(G81)&gt;=N(I81),N(G81)&gt;=N(K81)),"The Pulse",IF(N(I81)&gt;=N(K81),"The Lens","The Hub"))</f>
        <v>The Hub</v>
      </c>
      <c r="N81" s="21" t="s">
        <v>78</v>
      </c>
      <c r="O81" s="17" t="s">
        <v>126</v>
      </c>
    </row>
    <row r="82" customFormat="false" ht="15" hidden="false" customHeight="false" outlineLevel="0" collapsed="false">
      <c r="A82" s="17" t="s">
        <v>255</v>
      </c>
      <c r="B82" s="17" t="s">
        <v>256</v>
      </c>
      <c r="C82" s="17" t="s">
        <v>138</v>
      </c>
      <c r="D82" s="17" t="s">
        <v>108</v>
      </c>
      <c r="E82" s="17" t="s">
        <v>129</v>
      </c>
      <c r="F82" s="18" t="n">
        <v>254384</v>
      </c>
      <c r="G82" s="19" t="n">
        <v>63.1</v>
      </c>
      <c r="H82" s="17" t="n">
        <f aca="false">IF(G82="","",RANK(G82,$G$5:$G$281))</f>
        <v>78</v>
      </c>
      <c r="I82" s="19" t="n">
        <v>53.5</v>
      </c>
      <c r="J82" s="17" t="n">
        <f aca="false">IF(I82="","",RANK(I82,$I$5:$I$281))</f>
        <v>114</v>
      </c>
      <c r="K82" s="19" t="n">
        <v>24</v>
      </c>
      <c r="L82" s="17" t="n">
        <f aca="false">IF(K82="","",RANK(K82,$K$5:$K$281))</f>
        <v>231</v>
      </c>
      <c r="M82" s="17" t="str">
        <f aca="false">IF(AND(N(G82)&gt;=N(I82),N(G82)&gt;=N(K82)),"The Pulse",IF(N(I82)&gt;=N(K82),"The Lens","The Hub"))</f>
        <v>The Pulse</v>
      </c>
      <c r="N82" s="20" t="s">
        <v>74</v>
      </c>
      <c r="O82" s="17" t="s">
        <v>19</v>
      </c>
    </row>
    <row r="83" customFormat="false" ht="15" hidden="false" customHeight="false" outlineLevel="0" collapsed="false">
      <c r="A83" s="17" t="s">
        <v>257</v>
      </c>
      <c r="B83" s="17" t="s">
        <v>258</v>
      </c>
      <c r="C83" s="17" t="s">
        <v>72</v>
      </c>
      <c r="D83" s="17" t="s">
        <v>170</v>
      </c>
      <c r="E83" s="17" t="s">
        <v>129</v>
      </c>
      <c r="F83" s="18" t="n">
        <v>874499</v>
      </c>
      <c r="G83" s="19" t="n">
        <v>63</v>
      </c>
      <c r="H83" s="17" t="n">
        <f aca="false">IF(G83="","",RANK(G83,$G$5:$G$281))</f>
        <v>79</v>
      </c>
      <c r="I83" s="19" t="n">
        <v>65.5</v>
      </c>
      <c r="J83" s="17" t="n">
        <f aca="false">IF(I83="","",RANK(I83,$I$5:$I$281))</f>
        <v>69</v>
      </c>
      <c r="K83" s="19" t="n">
        <v>68.8</v>
      </c>
      <c r="L83" s="17" t="n">
        <f aca="false">IF(K83="","",RANK(K83,$K$5:$K$281))</f>
        <v>65</v>
      </c>
      <c r="M83" s="17" t="str">
        <f aca="false">IF(AND(N(G83)&gt;=N(I83),N(G83)&gt;=N(K83)),"The Pulse",IF(N(I83)&gt;=N(K83),"The Lens","The Hub"))</f>
        <v>The Hub</v>
      </c>
      <c r="N83" s="21" t="s">
        <v>78</v>
      </c>
      <c r="O83" s="17" t="s">
        <v>126</v>
      </c>
    </row>
    <row r="84" customFormat="false" ht="15" hidden="false" customHeight="false" outlineLevel="0" collapsed="false">
      <c r="A84" s="17" t="s">
        <v>259</v>
      </c>
      <c r="B84" s="17" t="s">
        <v>260</v>
      </c>
      <c r="C84" s="17" t="s">
        <v>114</v>
      </c>
      <c r="D84" s="17" t="s">
        <v>118</v>
      </c>
      <c r="E84" s="17" t="s">
        <v>129</v>
      </c>
      <c r="F84" s="18" t="n">
        <v>471743</v>
      </c>
      <c r="G84" s="19" t="n">
        <v>62.9</v>
      </c>
      <c r="H84" s="17" t="n">
        <f aca="false">IF(G84="","",RANK(G84,$G$5:$G$281))</f>
        <v>80</v>
      </c>
      <c r="I84" s="19" t="n">
        <v>7</v>
      </c>
      <c r="J84" s="17" t="n">
        <f aca="false">IF(I84="","",RANK(I84,$I$5:$I$281))</f>
        <v>269</v>
      </c>
      <c r="K84" s="19" t="n">
        <v>42.7</v>
      </c>
      <c r="L84" s="17" t="n">
        <f aca="false">IF(K84="","",RANK(K84,$K$5:$K$281))</f>
        <v>177</v>
      </c>
      <c r="M84" s="17" t="str">
        <f aca="false">IF(AND(N(G84)&gt;=N(I84),N(G84)&gt;=N(K84)),"The Pulse",IF(N(I84)&gt;=N(K84),"The Lens","The Hub"))</f>
        <v>The Pulse</v>
      </c>
      <c r="N84" s="22" t="s">
        <v>83</v>
      </c>
      <c r="O84" s="17" t="s">
        <v>130</v>
      </c>
    </row>
    <row r="85" customFormat="false" ht="15" hidden="false" customHeight="false" outlineLevel="0" collapsed="false">
      <c r="A85" s="17" t="s">
        <v>261</v>
      </c>
      <c r="B85" s="17" t="s">
        <v>262</v>
      </c>
      <c r="C85" s="17" t="s">
        <v>81</v>
      </c>
      <c r="D85" s="17" t="s">
        <v>82</v>
      </c>
      <c r="E85" s="17" t="s">
        <v>129</v>
      </c>
      <c r="F85" s="18" t="n">
        <v>367457</v>
      </c>
      <c r="G85" s="19" t="n">
        <v>62.9</v>
      </c>
      <c r="H85" s="17" t="n">
        <f aca="false">IF(G85="","",RANK(G85,$G$5:$G$281))</f>
        <v>80</v>
      </c>
      <c r="I85" s="19" t="n">
        <v>52.3</v>
      </c>
      <c r="J85" s="17" t="n">
        <f aca="false">IF(I85="","",RANK(I85,$I$5:$I$281))</f>
        <v>121</v>
      </c>
      <c r="K85" s="19" t="n">
        <v>45</v>
      </c>
      <c r="L85" s="17" t="n">
        <f aca="false">IF(K85="","",RANK(K85,$K$5:$K$281))</f>
        <v>160</v>
      </c>
      <c r="M85" s="17" t="str">
        <f aca="false">IF(AND(N(G85)&gt;=N(I85),N(G85)&gt;=N(K85)),"The Pulse",IF(N(I85)&gt;=N(K85),"The Lens","The Hub"))</f>
        <v>The Pulse</v>
      </c>
      <c r="N85" s="21" t="s">
        <v>78</v>
      </c>
      <c r="O85" s="17" t="s">
        <v>126</v>
      </c>
    </row>
    <row r="86" customFormat="false" ht="15" hidden="false" customHeight="false" outlineLevel="0" collapsed="false">
      <c r="A86" s="17" t="s">
        <v>263</v>
      </c>
      <c r="B86" s="17" t="s">
        <v>264</v>
      </c>
      <c r="C86" s="17" t="s">
        <v>92</v>
      </c>
      <c r="D86" s="17" t="s">
        <v>115</v>
      </c>
      <c r="E86" s="17" t="s">
        <v>46</v>
      </c>
      <c r="F86" s="18" t="n">
        <v>332430</v>
      </c>
      <c r="G86" s="19" t="n">
        <v>62.6</v>
      </c>
      <c r="H86" s="17" t="n">
        <f aca="false">IF(G86="","",RANK(G86,$G$5:$G$281))</f>
        <v>82</v>
      </c>
      <c r="I86" s="19" t="n">
        <v>19.2</v>
      </c>
      <c r="J86" s="17" t="n">
        <f aca="false">IF(I86="","",RANK(I86,$I$5:$I$281))</f>
        <v>243</v>
      </c>
      <c r="K86" s="19" t="n">
        <v>70.5</v>
      </c>
      <c r="L86" s="17" t="n">
        <f aca="false">IF(K86="","",RANK(K86,$K$5:$K$281))</f>
        <v>59</v>
      </c>
      <c r="M86" s="17" t="str">
        <f aca="false">IF(AND(N(G86)&gt;=N(I86),N(G86)&gt;=N(K86)),"The Pulse",IF(N(I86)&gt;=N(K86),"The Lens","The Hub"))</f>
        <v>The Hub</v>
      </c>
      <c r="N86" s="20" t="s">
        <v>74</v>
      </c>
      <c r="O86" s="17" t="s">
        <v>19</v>
      </c>
    </row>
    <row r="87" customFormat="false" ht="15" hidden="false" customHeight="false" outlineLevel="0" collapsed="false">
      <c r="A87" s="17" t="s">
        <v>265</v>
      </c>
      <c r="B87" s="17" t="s">
        <v>266</v>
      </c>
      <c r="C87" s="17" t="s">
        <v>138</v>
      </c>
      <c r="D87" s="17" t="s">
        <v>73</v>
      </c>
      <c r="E87" s="17" t="s">
        <v>125</v>
      </c>
      <c r="F87" s="18" t="n">
        <v>46718</v>
      </c>
      <c r="G87" s="19" t="n">
        <v>62.6</v>
      </c>
      <c r="H87" s="17" t="n">
        <f aca="false">IF(G87="","",RANK(G87,$G$5:$G$281))</f>
        <v>82</v>
      </c>
      <c r="I87" s="19" t="n">
        <v>82.2</v>
      </c>
      <c r="J87" s="17" t="n">
        <f aca="false">IF(I87="","",RANK(I87,$I$5:$I$281))</f>
        <v>21</v>
      </c>
      <c r="K87" s="19" t="n">
        <v>68.7</v>
      </c>
      <c r="L87" s="17" t="n">
        <f aca="false">IF(K87="","",RANK(K87,$K$5:$K$281))</f>
        <v>66</v>
      </c>
      <c r="M87" s="17" t="str">
        <f aca="false">IF(AND(N(G87)&gt;=N(I87),N(G87)&gt;=N(K87)),"The Pulse",IF(N(I87)&gt;=N(K87),"The Lens","The Hub"))</f>
        <v>The Lens</v>
      </c>
      <c r="N87" s="20" t="s">
        <v>74</v>
      </c>
      <c r="O87" s="17" t="s">
        <v>19</v>
      </c>
    </row>
    <row r="88" customFormat="false" ht="15" hidden="false" customHeight="false" outlineLevel="0" collapsed="false">
      <c r="A88" s="17" t="s">
        <v>267</v>
      </c>
      <c r="B88" s="17" t="s">
        <v>268</v>
      </c>
      <c r="C88" s="17" t="s">
        <v>114</v>
      </c>
      <c r="D88" s="17" t="s">
        <v>82</v>
      </c>
      <c r="E88" s="17" t="s">
        <v>129</v>
      </c>
      <c r="F88" s="18" t="n">
        <v>37405</v>
      </c>
      <c r="G88" s="19" t="n">
        <v>61.7</v>
      </c>
      <c r="H88" s="17" t="n">
        <f aca="false">IF(G88="","",RANK(G88,$G$5:$G$281))</f>
        <v>84</v>
      </c>
      <c r="I88" s="19" t="n">
        <v>72.9</v>
      </c>
      <c r="J88" s="17" t="n">
        <f aca="false">IF(I88="","",RANK(I88,$I$5:$I$281))</f>
        <v>47</v>
      </c>
      <c r="K88" s="19" t="n">
        <v>44.7</v>
      </c>
      <c r="L88" s="17" t="n">
        <f aca="false">IF(K88="","",RANK(K88,$K$5:$K$281))</f>
        <v>162</v>
      </c>
      <c r="M88" s="17" t="str">
        <f aca="false">IF(AND(N(G88)&gt;=N(I88),N(G88)&gt;=N(K88)),"The Pulse",IF(N(I88)&gt;=N(K88),"The Lens","The Hub"))</f>
        <v>The Lens</v>
      </c>
      <c r="N88" s="22" t="s">
        <v>83</v>
      </c>
      <c r="O88" s="17" t="s">
        <v>130</v>
      </c>
    </row>
    <row r="89" customFormat="false" ht="15" hidden="false" customHeight="false" outlineLevel="0" collapsed="false">
      <c r="A89" s="17" t="s">
        <v>269</v>
      </c>
      <c r="B89" s="17" t="s">
        <v>270</v>
      </c>
      <c r="C89" s="17" t="s">
        <v>81</v>
      </c>
      <c r="D89" s="17" t="s">
        <v>93</v>
      </c>
      <c r="E89" s="17" t="s">
        <v>129</v>
      </c>
      <c r="F89" s="18" t="n">
        <v>1796672</v>
      </c>
      <c r="G89" s="19" t="n">
        <v>61.7</v>
      </c>
      <c r="H89" s="17" t="n">
        <f aca="false">IF(G89="","",RANK(G89,$G$5:$G$281))</f>
        <v>84</v>
      </c>
      <c r="I89" s="19" t="n">
        <v>39.9</v>
      </c>
      <c r="J89" s="17" t="n">
        <f aca="false">IF(I89="","",RANK(I89,$I$5:$I$281))</f>
        <v>185</v>
      </c>
      <c r="K89" s="19" t="n">
        <v>51.5</v>
      </c>
      <c r="L89" s="17" t="n">
        <f aca="false">IF(K89="","",RANK(K89,$K$5:$K$281))</f>
        <v>126</v>
      </c>
      <c r="M89" s="17" t="str">
        <f aca="false">IF(AND(N(G89)&gt;=N(I89),N(G89)&gt;=N(K89)),"The Pulse",IF(N(I89)&gt;=N(K89),"The Lens","The Hub"))</f>
        <v>The Pulse</v>
      </c>
      <c r="N89" s="21" t="s">
        <v>78</v>
      </c>
      <c r="O89" s="17" t="s">
        <v>126</v>
      </c>
    </row>
    <row r="90" customFormat="false" ht="15" hidden="false" customHeight="false" outlineLevel="0" collapsed="false">
      <c r="A90" s="17" t="s">
        <v>271</v>
      </c>
      <c r="B90" s="17" t="s">
        <v>272</v>
      </c>
      <c r="C90" s="17" t="s">
        <v>92</v>
      </c>
      <c r="D90" s="17" t="s">
        <v>93</v>
      </c>
      <c r="E90" s="17" t="s">
        <v>125</v>
      </c>
      <c r="F90" s="18" t="n">
        <v>95146</v>
      </c>
      <c r="G90" s="19" t="n">
        <v>61.4</v>
      </c>
      <c r="H90" s="17" t="n">
        <f aca="false">IF(G90="","",RANK(G90,$G$5:$G$281))</f>
        <v>86</v>
      </c>
      <c r="I90" s="19" t="n">
        <v>43.6</v>
      </c>
      <c r="J90" s="17" t="n">
        <f aca="false">IF(I90="","",RANK(I90,$I$5:$I$281))</f>
        <v>167</v>
      </c>
      <c r="K90" s="19" t="n">
        <v>20.5</v>
      </c>
      <c r="L90" s="17" t="n">
        <f aca="false">IF(K90="","",RANK(K90,$K$5:$K$281))</f>
        <v>240</v>
      </c>
      <c r="M90" s="17" t="str">
        <f aca="false">IF(AND(N(G90)&gt;=N(I90),N(G90)&gt;=N(K90)),"The Pulse",IF(N(I90)&gt;=N(K90),"The Lens","The Hub"))</f>
        <v>The Pulse</v>
      </c>
      <c r="N90" s="20" t="s">
        <v>74</v>
      </c>
      <c r="O90" s="17" t="s">
        <v>19</v>
      </c>
    </row>
    <row r="91" customFormat="false" ht="15" hidden="false" customHeight="false" outlineLevel="0" collapsed="false">
      <c r="A91" s="17" t="s">
        <v>273</v>
      </c>
      <c r="B91" s="17" t="s">
        <v>274</v>
      </c>
      <c r="C91" s="17" t="s">
        <v>72</v>
      </c>
      <c r="D91" s="17" t="s">
        <v>93</v>
      </c>
      <c r="E91" s="17" t="s">
        <v>45</v>
      </c>
      <c r="F91" s="18" t="n">
        <v>45580</v>
      </c>
      <c r="G91" s="19" t="n">
        <v>61.3</v>
      </c>
      <c r="H91" s="17" t="n">
        <f aca="false">IF(G91="","",RANK(G91,$G$5:$G$281))</f>
        <v>87</v>
      </c>
      <c r="I91" s="19" t="n">
        <v>8.3</v>
      </c>
      <c r="J91" s="17" t="n">
        <f aca="false">IF(I91="","",RANK(I91,$I$5:$I$281))</f>
        <v>267</v>
      </c>
      <c r="K91" s="19" t="n">
        <v>9.7</v>
      </c>
      <c r="L91" s="17" t="n">
        <f aca="false">IF(K91="","",RANK(K91,$K$5:$K$281))</f>
        <v>262</v>
      </c>
      <c r="M91" s="17" t="str">
        <f aca="false">IF(AND(N(G91)&gt;=N(I91),N(G91)&gt;=N(K91)),"The Pulse",IF(N(I91)&gt;=N(K91),"The Lens","The Hub"))</f>
        <v>The Pulse</v>
      </c>
      <c r="N91" s="22" t="s">
        <v>83</v>
      </c>
      <c r="O91" s="17" t="s">
        <v>84</v>
      </c>
    </row>
    <row r="92" customFormat="false" ht="15" hidden="false" customHeight="false" outlineLevel="0" collapsed="false">
      <c r="A92" s="17" t="s">
        <v>275</v>
      </c>
      <c r="B92" s="17" t="s">
        <v>276</v>
      </c>
      <c r="C92" s="17" t="s">
        <v>77</v>
      </c>
      <c r="D92" s="17" t="s">
        <v>82</v>
      </c>
      <c r="E92" s="17" t="s">
        <v>129</v>
      </c>
      <c r="F92" s="18" t="n">
        <v>425457</v>
      </c>
      <c r="G92" s="19" t="n">
        <v>61.2</v>
      </c>
      <c r="H92" s="17" t="n">
        <f aca="false">IF(G92="","",RANK(G92,$G$5:$G$281))</f>
        <v>88</v>
      </c>
      <c r="I92" s="19" t="n">
        <v>71.2</v>
      </c>
      <c r="J92" s="17" t="n">
        <f aca="false">IF(I92="","",RANK(I92,$I$5:$I$281))</f>
        <v>52</v>
      </c>
      <c r="K92" s="19" t="n">
        <v>45.8</v>
      </c>
      <c r="L92" s="17" t="n">
        <f aca="false">IF(K92="","",RANK(K92,$K$5:$K$281))</f>
        <v>156</v>
      </c>
      <c r="M92" s="17" t="str">
        <f aca="false">IF(AND(N(G92)&gt;=N(I92),N(G92)&gt;=N(K92)),"The Pulse",IF(N(I92)&gt;=N(K92),"The Lens","The Hub"))</f>
        <v>The Lens</v>
      </c>
      <c r="N92" s="21" t="s">
        <v>78</v>
      </c>
      <c r="O92" s="17" t="s">
        <v>126</v>
      </c>
    </row>
    <row r="93" customFormat="false" ht="15" hidden="false" customHeight="false" outlineLevel="0" collapsed="false">
      <c r="A93" s="17" t="s">
        <v>277</v>
      </c>
      <c r="B93" s="17" t="s">
        <v>278</v>
      </c>
      <c r="C93" s="17" t="s">
        <v>105</v>
      </c>
      <c r="D93" s="17" t="s">
        <v>93</v>
      </c>
      <c r="E93" s="17" t="s">
        <v>47</v>
      </c>
      <c r="F93" s="18" t="n">
        <v>33263</v>
      </c>
      <c r="G93" s="19" t="n">
        <v>61.2</v>
      </c>
      <c r="H93" s="17" t="n">
        <f aca="false">IF(G93="","",RANK(G93,$G$5:$G$281))</f>
        <v>88</v>
      </c>
      <c r="I93" s="19" t="n">
        <v>16</v>
      </c>
      <c r="J93" s="17" t="n">
        <f aca="false">IF(I93="","",RANK(I93,$I$5:$I$281))</f>
        <v>247</v>
      </c>
      <c r="K93" s="19" t="n">
        <v>69</v>
      </c>
      <c r="L93" s="17" t="n">
        <f aca="false">IF(K93="","",RANK(K93,$K$5:$K$281))</f>
        <v>64</v>
      </c>
      <c r="M93" s="17" t="str">
        <f aca="false">IF(AND(N(G93)&gt;=N(I93),N(G93)&gt;=N(K93)),"The Pulse",IF(N(I93)&gt;=N(K93),"The Lens","The Hub"))</f>
        <v>The Hub</v>
      </c>
      <c r="N93" s="20" t="s">
        <v>74</v>
      </c>
      <c r="O93" s="17" t="s">
        <v>19</v>
      </c>
    </row>
    <row r="94" customFormat="false" ht="15" hidden="false" customHeight="false" outlineLevel="0" collapsed="false">
      <c r="A94" s="17" t="s">
        <v>279</v>
      </c>
      <c r="B94" s="17" t="s">
        <v>280</v>
      </c>
      <c r="C94" s="17" t="s">
        <v>72</v>
      </c>
      <c r="D94" s="17" t="s">
        <v>73</v>
      </c>
      <c r="E94" s="17" t="s">
        <v>46</v>
      </c>
      <c r="F94" s="18" t="n">
        <v>12190</v>
      </c>
      <c r="G94" s="19" t="n">
        <v>60.7</v>
      </c>
      <c r="H94" s="17" t="n">
        <f aca="false">IF(G94="","",RANK(G94,$G$5:$G$281))</f>
        <v>90</v>
      </c>
      <c r="I94" s="19" t="n">
        <v>42.7</v>
      </c>
      <c r="J94" s="17" t="n">
        <f aca="false">IF(I94="","",RANK(I94,$I$5:$I$281))</f>
        <v>169</v>
      </c>
      <c r="K94" s="19" t="n">
        <v>48.7</v>
      </c>
      <c r="L94" s="17" t="n">
        <f aca="false">IF(K94="","",RANK(K94,$K$5:$K$281))</f>
        <v>142</v>
      </c>
      <c r="M94" s="17" t="str">
        <f aca="false">IF(AND(N(G94)&gt;=N(I94),N(G94)&gt;=N(K94)),"The Pulse",IF(N(I94)&gt;=N(K94),"The Lens","The Hub"))</f>
        <v>The Pulse</v>
      </c>
      <c r="N94" s="21" t="s">
        <v>78</v>
      </c>
      <c r="O94" s="17" t="s">
        <v>21</v>
      </c>
    </row>
    <row r="95" customFormat="false" ht="15" hidden="false" customHeight="false" outlineLevel="0" collapsed="false">
      <c r="A95" s="17" t="s">
        <v>281</v>
      </c>
      <c r="B95" s="17" t="s">
        <v>282</v>
      </c>
      <c r="C95" s="17" t="s">
        <v>92</v>
      </c>
      <c r="D95" s="17" t="s">
        <v>115</v>
      </c>
      <c r="E95" s="17" t="s">
        <v>47</v>
      </c>
      <c r="F95" s="18" t="n">
        <v>58203</v>
      </c>
      <c r="G95" s="19" t="n">
        <v>60.6</v>
      </c>
      <c r="H95" s="17" t="n">
        <f aca="false">IF(G95="","",RANK(G95,$G$5:$G$281))</f>
        <v>91</v>
      </c>
      <c r="I95" s="19" t="n">
        <v>70.6</v>
      </c>
      <c r="J95" s="17" t="n">
        <f aca="false">IF(I95="","",RANK(I95,$I$5:$I$281))</f>
        <v>55</v>
      </c>
      <c r="K95" s="19" t="n">
        <v>90.5</v>
      </c>
      <c r="L95" s="17" t="n">
        <f aca="false">IF(K95="","",RANK(K95,$K$5:$K$281))</f>
        <v>17</v>
      </c>
      <c r="M95" s="17" t="str">
        <f aca="false">IF(AND(N(G95)&gt;=N(I95),N(G95)&gt;=N(K95)),"The Pulse",IF(N(I95)&gt;=N(K95),"The Lens","The Hub"))</f>
        <v>The Hub</v>
      </c>
      <c r="N95" s="20" t="s">
        <v>74</v>
      </c>
      <c r="O95" s="17" t="s">
        <v>19</v>
      </c>
    </row>
    <row r="96" customFormat="false" ht="15" hidden="false" customHeight="false" outlineLevel="0" collapsed="false">
      <c r="A96" s="17" t="s">
        <v>283</v>
      </c>
      <c r="B96" s="17" t="s">
        <v>284</v>
      </c>
      <c r="C96" s="17" t="s">
        <v>81</v>
      </c>
      <c r="D96" s="17" t="s">
        <v>111</v>
      </c>
      <c r="E96" s="17" t="s">
        <v>47</v>
      </c>
      <c r="F96" s="18" t="n">
        <v>63906</v>
      </c>
      <c r="G96" s="19" t="n">
        <v>59.9</v>
      </c>
      <c r="H96" s="17" t="n">
        <f aca="false">IF(G96="","",RANK(G96,$G$5:$G$281))</f>
        <v>92</v>
      </c>
      <c r="I96" s="19" t="n">
        <v>6.4</v>
      </c>
      <c r="J96" s="17" t="n">
        <f aca="false">IF(I96="","",RANK(I96,$I$5:$I$281))</f>
        <v>271</v>
      </c>
      <c r="K96" s="19" t="n">
        <v>16.2</v>
      </c>
      <c r="L96" s="17" t="n">
        <f aca="false">IF(K96="","",RANK(K96,$K$5:$K$281))</f>
        <v>247</v>
      </c>
      <c r="M96" s="17" t="str">
        <f aca="false">IF(AND(N(G96)&gt;=N(I96),N(G96)&gt;=N(K96)),"The Pulse",IF(N(I96)&gt;=N(K96),"The Lens","The Hub"))</f>
        <v>The Pulse</v>
      </c>
      <c r="N96" s="20" t="s">
        <v>74</v>
      </c>
      <c r="O96" s="17" t="s">
        <v>19</v>
      </c>
    </row>
    <row r="97" customFormat="false" ht="15" hidden="false" customHeight="false" outlineLevel="0" collapsed="false">
      <c r="A97" s="17" t="s">
        <v>285</v>
      </c>
      <c r="B97" s="17" t="s">
        <v>286</v>
      </c>
      <c r="C97" s="17" t="s">
        <v>114</v>
      </c>
      <c r="D97" s="17" t="s">
        <v>170</v>
      </c>
      <c r="E97" s="17" t="s">
        <v>129</v>
      </c>
      <c r="F97" s="18" t="n">
        <v>336813</v>
      </c>
      <c r="G97" s="19" t="n">
        <v>59.9</v>
      </c>
      <c r="H97" s="17" t="n">
        <f aca="false">IF(G97="","",RANK(G97,$G$5:$G$281))</f>
        <v>92</v>
      </c>
      <c r="I97" s="19" t="n">
        <v>55.7</v>
      </c>
      <c r="J97" s="17" t="n">
        <f aca="false">IF(I97="","",RANK(I97,$I$5:$I$281))</f>
        <v>103</v>
      </c>
      <c r="K97" s="19" t="n">
        <v>42.7</v>
      </c>
      <c r="L97" s="17" t="n">
        <f aca="false">IF(K97="","",RANK(K97,$K$5:$K$281))</f>
        <v>177</v>
      </c>
      <c r="M97" s="17" t="str">
        <f aca="false">IF(AND(N(G97)&gt;=N(I97),N(G97)&gt;=N(K97)),"The Pulse",IF(N(I97)&gt;=N(K97),"The Lens","The Hub"))</f>
        <v>The Pulse</v>
      </c>
      <c r="N97" s="21" t="s">
        <v>78</v>
      </c>
      <c r="O97" s="17" t="s">
        <v>126</v>
      </c>
    </row>
    <row r="98" customFormat="false" ht="15" hidden="false" customHeight="false" outlineLevel="0" collapsed="false">
      <c r="A98" s="17" t="s">
        <v>287</v>
      </c>
      <c r="B98" s="17" t="s">
        <v>288</v>
      </c>
      <c r="C98" s="17" t="s">
        <v>81</v>
      </c>
      <c r="D98" s="17" t="s">
        <v>96</v>
      </c>
      <c r="E98" s="17" t="s">
        <v>175</v>
      </c>
      <c r="F98" s="18" t="n">
        <v>33919</v>
      </c>
      <c r="G98" s="19" t="n">
        <v>59.4</v>
      </c>
      <c r="H98" s="17" t="n">
        <f aca="false">IF(G98="","",RANK(G98,$G$5:$G$281))</f>
        <v>94</v>
      </c>
      <c r="I98" s="19" t="n">
        <v>39.4</v>
      </c>
      <c r="J98" s="17" t="n">
        <f aca="false">IF(I98="","",RANK(I98,$I$5:$I$281))</f>
        <v>187</v>
      </c>
      <c r="K98" s="19" t="n">
        <v>34.3</v>
      </c>
      <c r="L98" s="17" t="n">
        <f aca="false">IF(K98="","",RANK(K98,$K$5:$K$281))</f>
        <v>202</v>
      </c>
      <c r="M98" s="17" t="str">
        <f aca="false">IF(AND(N(G98)&gt;=N(I98),N(G98)&gt;=N(K98)),"The Pulse",IF(N(I98)&gt;=N(K98),"The Lens","The Hub"))</f>
        <v>The Pulse</v>
      </c>
      <c r="N98" s="20" t="s">
        <v>74</v>
      </c>
      <c r="O98" s="17" t="s">
        <v>19</v>
      </c>
    </row>
    <row r="99" customFormat="false" ht="15" hidden="false" customHeight="false" outlineLevel="0" collapsed="false">
      <c r="A99" s="17" t="s">
        <v>289</v>
      </c>
      <c r="B99" s="17" t="s">
        <v>290</v>
      </c>
      <c r="C99" s="17" t="s">
        <v>102</v>
      </c>
      <c r="D99" s="17" t="s">
        <v>108</v>
      </c>
      <c r="E99" s="17" t="s">
        <v>129</v>
      </c>
      <c r="F99" s="18" t="n">
        <v>143765</v>
      </c>
      <c r="G99" s="19" t="n">
        <v>59.3</v>
      </c>
      <c r="H99" s="17" t="n">
        <f aca="false">IF(G99="","",RANK(G99,$G$5:$G$281))</f>
        <v>95</v>
      </c>
      <c r="I99" s="19" t="n">
        <v>65.8</v>
      </c>
      <c r="J99" s="17" t="n">
        <f aca="false">IF(I99="","",RANK(I99,$I$5:$I$281))</f>
        <v>68</v>
      </c>
      <c r="K99" s="19" t="n">
        <v>25</v>
      </c>
      <c r="L99" s="17" t="n">
        <f aca="false">IF(K99="","",RANK(K99,$K$5:$K$281))</f>
        <v>229</v>
      </c>
      <c r="M99" s="17" t="str">
        <f aca="false">IF(AND(N(G99)&gt;=N(I99),N(G99)&gt;=N(K99)),"The Pulse",IF(N(I99)&gt;=N(K99),"The Lens","The Hub"))</f>
        <v>The Lens</v>
      </c>
      <c r="N99" s="22" t="s">
        <v>83</v>
      </c>
      <c r="O99" s="17" t="s">
        <v>130</v>
      </c>
    </row>
    <row r="100" customFormat="false" ht="15" hidden="false" customHeight="false" outlineLevel="0" collapsed="false">
      <c r="A100" s="17" t="s">
        <v>291</v>
      </c>
      <c r="B100" s="17" t="s">
        <v>292</v>
      </c>
      <c r="C100" s="17" t="s">
        <v>77</v>
      </c>
      <c r="D100" s="17" t="s">
        <v>111</v>
      </c>
      <c r="E100" s="17" t="s">
        <v>47</v>
      </c>
      <c r="F100" s="18" t="n">
        <v>8273</v>
      </c>
      <c r="G100" s="19" t="n">
        <v>59.1</v>
      </c>
      <c r="H100" s="17" t="n">
        <f aca="false">IF(G100="","",RANK(G100,$G$5:$G$281))</f>
        <v>96</v>
      </c>
      <c r="I100" s="19" t="n">
        <v>50.7</v>
      </c>
      <c r="J100" s="17" t="n">
        <f aca="false">IF(I100="","",RANK(I100,$I$5:$I$281))</f>
        <v>133</v>
      </c>
      <c r="K100" s="19" t="n">
        <v>19.8</v>
      </c>
      <c r="L100" s="17" t="n">
        <f aca="false">IF(K100="","",RANK(K100,$K$5:$K$281))</f>
        <v>242</v>
      </c>
      <c r="M100" s="17" t="str">
        <f aca="false">IF(AND(N(G100)&gt;=N(I100),N(G100)&gt;=N(K100)),"The Pulse",IF(N(I100)&gt;=N(K100),"The Lens","The Hub"))</f>
        <v>The Pulse</v>
      </c>
      <c r="N100" s="20" t="s">
        <v>74</v>
      </c>
      <c r="O100" s="17" t="s">
        <v>19</v>
      </c>
    </row>
    <row r="101" customFormat="false" ht="15" hidden="false" customHeight="false" outlineLevel="0" collapsed="false">
      <c r="A101" s="17" t="s">
        <v>293</v>
      </c>
      <c r="B101" s="17" t="s">
        <v>294</v>
      </c>
      <c r="C101" s="17" t="s">
        <v>102</v>
      </c>
      <c r="D101" s="17" t="s">
        <v>170</v>
      </c>
      <c r="E101" s="17" t="s">
        <v>175</v>
      </c>
      <c r="F101" s="18" t="n">
        <v>1312542</v>
      </c>
      <c r="G101" s="19" t="n">
        <v>59</v>
      </c>
      <c r="H101" s="17" t="n">
        <f aca="false">IF(G101="","",RANK(G101,$G$5:$G$281))</f>
        <v>97</v>
      </c>
      <c r="I101" s="19" t="n">
        <v>63.4</v>
      </c>
      <c r="J101" s="17" t="n">
        <f aca="false">IF(I101="","",RANK(I101,$I$5:$I$281))</f>
        <v>80</v>
      </c>
      <c r="K101" s="19" t="n">
        <v>95.8</v>
      </c>
      <c r="L101" s="17" t="n">
        <f aca="false">IF(K101="","",RANK(K101,$K$5:$K$281))</f>
        <v>6</v>
      </c>
      <c r="M101" s="17" t="str">
        <f aca="false">IF(AND(N(G101)&gt;=N(I101),N(G101)&gt;=N(K101)),"The Pulse",IF(N(I101)&gt;=N(K101),"The Lens","The Hub"))</f>
        <v>The Hub</v>
      </c>
      <c r="N101" s="21" t="s">
        <v>78</v>
      </c>
      <c r="O101" s="17" t="s">
        <v>126</v>
      </c>
    </row>
    <row r="102" customFormat="false" ht="15" hidden="false" customHeight="false" outlineLevel="0" collapsed="false">
      <c r="A102" s="17" t="s">
        <v>295</v>
      </c>
      <c r="B102" s="17" t="s">
        <v>296</v>
      </c>
      <c r="C102" s="17" t="s">
        <v>114</v>
      </c>
      <c r="D102" s="17" t="s">
        <v>108</v>
      </c>
      <c r="E102" s="17" t="s">
        <v>129</v>
      </c>
      <c r="F102" s="18" t="n">
        <v>118557</v>
      </c>
      <c r="G102" s="19" t="n">
        <v>58</v>
      </c>
      <c r="H102" s="17" t="n">
        <f aca="false">IF(G102="","",RANK(G102,$G$5:$G$281))</f>
        <v>98</v>
      </c>
      <c r="I102" s="19" t="n">
        <v>36</v>
      </c>
      <c r="J102" s="17" t="n">
        <f aca="false">IF(I102="","",RANK(I102,$I$5:$I$281))</f>
        <v>199</v>
      </c>
      <c r="K102" s="19" t="n">
        <v>54</v>
      </c>
      <c r="L102" s="17" t="n">
        <f aca="false">IF(K102="","",RANK(K102,$K$5:$K$281))</f>
        <v>113</v>
      </c>
      <c r="M102" s="17" t="str">
        <f aca="false">IF(AND(N(G102)&gt;=N(I102),N(G102)&gt;=N(K102)),"The Pulse",IF(N(I102)&gt;=N(K102),"The Lens","The Hub"))</f>
        <v>The Pulse</v>
      </c>
      <c r="N102" s="20" t="s">
        <v>74</v>
      </c>
      <c r="O102" s="17" t="s">
        <v>19</v>
      </c>
    </row>
    <row r="103" customFormat="false" ht="15" hidden="false" customHeight="false" outlineLevel="0" collapsed="false">
      <c r="A103" s="17" t="s">
        <v>297</v>
      </c>
      <c r="B103" s="17" t="s">
        <v>298</v>
      </c>
      <c r="C103" s="17" t="s">
        <v>102</v>
      </c>
      <c r="D103" s="17" t="s">
        <v>96</v>
      </c>
      <c r="E103" s="17" t="s">
        <v>129</v>
      </c>
      <c r="F103" s="18" t="n">
        <v>204335</v>
      </c>
      <c r="G103" s="19" t="n">
        <v>57.6</v>
      </c>
      <c r="H103" s="17" t="n">
        <f aca="false">IF(G103="","",RANK(G103,$G$5:$G$281))</f>
        <v>99</v>
      </c>
      <c r="I103" s="19" t="n">
        <v>32.1</v>
      </c>
      <c r="J103" s="17" t="n">
        <f aca="false">IF(I103="","",RANK(I103,$I$5:$I$281))</f>
        <v>210</v>
      </c>
      <c r="K103" s="19" t="n">
        <v>78</v>
      </c>
      <c r="L103" s="17" t="n">
        <f aca="false">IF(K103="","",RANK(K103,$K$5:$K$281))</f>
        <v>43</v>
      </c>
      <c r="M103" s="17" t="str">
        <f aca="false">IF(AND(N(G103)&gt;=N(I103),N(G103)&gt;=N(K103)),"The Pulse",IF(N(I103)&gt;=N(K103),"The Lens","The Hub"))</f>
        <v>The Hub</v>
      </c>
      <c r="N103" s="21" t="s">
        <v>78</v>
      </c>
      <c r="O103" s="17" t="s">
        <v>126</v>
      </c>
    </row>
    <row r="104" customFormat="false" ht="15" hidden="false" customHeight="false" outlineLevel="0" collapsed="false">
      <c r="A104" s="17" t="s">
        <v>299</v>
      </c>
      <c r="B104" s="17" t="s">
        <v>300</v>
      </c>
      <c r="C104" s="17" t="s">
        <v>138</v>
      </c>
      <c r="D104" s="17" t="s">
        <v>73</v>
      </c>
      <c r="E104" s="17" t="s">
        <v>129</v>
      </c>
      <c r="F104" s="18" t="n">
        <v>80528</v>
      </c>
      <c r="G104" s="19" t="n">
        <v>57.5</v>
      </c>
      <c r="H104" s="17" t="n">
        <f aca="false">IF(G104="","",RANK(G104,$G$5:$G$281))</f>
        <v>100</v>
      </c>
      <c r="I104" s="19" t="n">
        <v>41.1</v>
      </c>
      <c r="J104" s="17" t="n">
        <f aca="false">IF(I104="","",RANK(I104,$I$5:$I$281))</f>
        <v>181</v>
      </c>
      <c r="K104" s="19" t="n">
        <v>48.6</v>
      </c>
      <c r="L104" s="17" t="n">
        <f aca="false">IF(K104="","",RANK(K104,$K$5:$K$281))</f>
        <v>143</v>
      </c>
      <c r="M104" s="17" t="str">
        <f aca="false">IF(AND(N(G104)&gt;=N(I104),N(G104)&gt;=N(K104)),"The Pulse",IF(N(I104)&gt;=N(K104),"The Lens","The Hub"))</f>
        <v>The Pulse</v>
      </c>
      <c r="N104" s="20" t="s">
        <v>74</v>
      </c>
      <c r="O104" s="17" t="s">
        <v>19</v>
      </c>
    </row>
    <row r="105" customFormat="false" ht="15" hidden="false" customHeight="false" outlineLevel="0" collapsed="false">
      <c r="A105" s="17" t="s">
        <v>301</v>
      </c>
      <c r="B105" s="17" t="s">
        <v>302</v>
      </c>
      <c r="C105" s="17" t="s">
        <v>138</v>
      </c>
      <c r="D105" s="17" t="s">
        <v>170</v>
      </c>
      <c r="E105" s="17" t="s">
        <v>129</v>
      </c>
      <c r="F105" s="18" t="n">
        <v>659431</v>
      </c>
      <c r="G105" s="19" t="n">
        <v>57.4</v>
      </c>
      <c r="H105" s="17" t="n">
        <f aca="false">IF(G105="","",RANK(G105,$G$5:$G$281))</f>
        <v>101</v>
      </c>
      <c r="I105" s="19" t="n">
        <v>24.5</v>
      </c>
      <c r="J105" s="17" t="n">
        <f aca="false">IF(I105="","",RANK(I105,$I$5:$I$281))</f>
        <v>230</v>
      </c>
      <c r="K105" s="19" t="n">
        <v>54.2</v>
      </c>
      <c r="L105" s="17" t="n">
        <f aca="false">IF(K105="","",RANK(K105,$K$5:$K$281))</f>
        <v>111</v>
      </c>
      <c r="M105" s="17" t="str">
        <f aca="false">IF(AND(N(G105)&gt;=N(I105),N(G105)&gt;=N(K105)),"The Pulse",IF(N(I105)&gt;=N(K105),"The Lens","The Hub"))</f>
        <v>The Pulse</v>
      </c>
      <c r="N105" s="22" t="s">
        <v>83</v>
      </c>
      <c r="O105" s="17" t="s">
        <v>130</v>
      </c>
    </row>
    <row r="106" customFormat="false" ht="15" hidden="false" customHeight="false" outlineLevel="0" collapsed="false">
      <c r="A106" s="17" t="s">
        <v>303</v>
      </c>
      <c r="B106" s="17" t="s">
        <v>304</v>
      </c>
      <c r="C106" s="17" t="s">
        <v>77</v>
      </c>
      <c r="D106" s="17" t="s">
        <v>82</v>
      </c>
      <c r="E106" s="17" t="s">
        <v>129</v>
      </c>
      <c r="F106" s="18" t="n">
        <v>295240</v>
      </c>
      <c r="G106" s="19" t="n">
        <v>57.4</v>
      </c>
      <c r="H106" s="17" t="n">
        <f aca="false">IF(G106="","",RANK(G106,$G$5:$G$281))</f>
        <v>101</v>
      </c>
      <c r="I106" s="19" t="n">
        <v>50.5</v>
      </c>
      <c r="J106" s="17" t="n">
        <f aca="false">IF(I106="","",RANK(I106,$I$5:$I$281))</f>
        <v>136</v>
      </c>
      <c r="K106" s="19" t="n">
        <v>51</v>
      </c>
      <c r="L106" s="17" t="n">
        <f aca="false">IF(K106="","",RANK(K106,$K$5:$K$281))</f>
        <v>130</v>
      </c>
      <c r="M106" s="17" t="str">
        <f aca="false">IF(AND(N(G106)&gt;=N(I106),N(G106)&gt;=N(K106)),"The Pulse",IF(N(I106)&gt;=N(K106),"The Lens","The Hub"))</f>
        <v>The Pulse</v>
      </c>
      <c r="N106" s="21" t="s">
        <v>78</v>
      </c>
      <c r="O106" s="17" t="s">
        <v>126</v>
      </c>
    </row>
    <row r="107" customFormat="false" ht="15" hidden="false" customHeight="false" outlineLevel="0" collapsed="false">
      <c r="A107" s="17" t="s">
        <v>305</v>
      </c>
      <c r="B107" s="17" t="s">
        <v>306</v>
      </c>
      <c r="C107" s="17" t="s">
        <v>87</v>
      </c>
      <c r="D107" s="17" t="s">
        <v>93</v>
      </c>
      <c r="E107" s="17" t="s">
        <v>129</v>
      </c>
      <c r="F107" s="18" t="n">
        <v>855090</v>
      </c>
      <c r="G107" s="19" t="n">
        <v>57.3</v>
      </c>
      <c r="H107" s="17" t="n">
        <f aca="false">IF(G107="","",RANK(G107,$G$5:$G$281))</f>
        <v>103</v>
      </c>
      <c r="I107" s="19" t="n">
        <v>36.5</v>
      </c>
      <c r="J107" s="17" t="n">
        <f aca="false">IF(I107="","",RANK(I107,$I$5:$I$281))</f>
        <v>196</v>
      </c>
      <c r="K107" s="19" t="n">
        <v>74.3</v>
      </c>
      <c r="L107" s="17" t="n">
        <f aca="false">IF(K107="","",RANK(K107,$K$5:$K$281))</f>
        <v>52</v>
      </c>
      <c r="M107" s="17" t="str">
        <f aca="false">IF(AND(N(G107)&gt;=N(I107),N(G107)&gt;=N(K107)),"The Pulse",IF(N(I107)&gt;=N(K107),"The Lens","The Hub"))</f>
        <v>The Hub</v>
      </c>
      <c r="N107" s="21" t="s">
        <v>78</v>
      </c>
      <c r="O107" s="17" t="s">
        <v>126</v>
      </c>
    </row>
    <row r="108" customFormat="false" ht="15" hidden="false" customHeight="false" outlineLevel="0" collapsed="false">
      <c r="A108" s="17" t="s">
        <v>307</v>
      </c>
      <c r="B108" s="17" t="s">
        <v>308</v>
      </c>
      <c r="C108" s="17" t="s">
        <v>77</v>
      </c>
      <c r="D108" s="17" t="s">
        <v>73</v>
      </c>
      <c r="E108" s="17" t="s">
        <v>129</v>
      </c>
      <c r="F108" s="18" t="n">
        <v>253035</v>
      </c>
      <c r="G108" s="19" t="n">
        <v>57</v>
      </c>
      <c r="H108" s="17" t="n">
        <f aca="false">IF(G108="","",RANK(G108,$G$5:$G$281))</f>
        <v>104</v>
      </c>
      <c r="I108" s="19" t="n">
        <v>38.1</v>
      </c>
      <c r="J108" s="17" t="n">
        <f aca="false">IF(I108="","",RANK(I108,$I$5:$I$281))</f>
        <v>191</v>
      </c>
      <c r="K108" s="19" t="n">
        <v>48.9</v>
      </c>
      <c r="L108" s="17" t="n">
        <f aca="false">IF(K108="","",RANK(K108,$K$5:$K$281))</f>
        <v>140</v>
      </c>
      <c r="M108" s="17" t="str">
        <f aca="false">IF(AND(N(G108)&gt;=N(I108),N(G108)&gt;=N(K108)),"The Pulse",IF(N(I108)&gt;=N(K108),"The Lens","The Hub"))</f>
        <v>The Pulse</v>
      </c>
      <c r="N108" s="21" t="s">
        <v>78</v>
      </c>
      <c r="O108" s="17" t="s">
        <v>126</v>
      </c>
    </row>
    <row r="109" customFormat="false" ht="15" hidden="false" customHeight="false" outlineLevel="0" collapsed="false">
      <c r="A109" s="17" t="s">
        <v>309</v>
      </c>
      <c r="B109" s="17" t="s">
        <v>310</v>
      </c>
      <c r="C109" s="17" t="s">
        <v>102</v>
      </c>
      <c r="D109" s="17" t="s">
        <v>115</v>
      </c>
      <c r="E109" s="17" t="s">
        <v>129</v>
      </c>
      <c r="F109" s="18" t="n">
        <v>201378</v>
      </c>
      <c r="G109" s="19" t="n">
        <v>56.9</v>
      </c>
      <c r="H109" s="17" t="n">
        <f aca="false">IF(G109="","",RANK(G109,$G$5:$G$281))</f>
        <v>105</v>
      </c>
      <c r="I109" s="19" t="n">
        <v>60.8</v>
      </c>
      <c r="J109" s="17" t="n">
        <f aca="false">IF(I109="","",RANK(I109,$I$5:$I$281))</f>
        <v>86</v>
      </c>
      <c r="K109" s="19" t="n">
        <v>67.8</v>
      </c>
      <c r="L109" s="17" t="n">
        <f aca="false">IF(K109="","",RANK(K109,$K$5:$K$281))</f>
        <v>69</v>
      </c>
      <c r="M109" s="17" t="str">
        <f aca="false">IF(AND(N(G109)&gt;=N(I109),N(G109)&gt;=N(K109)),"The Pulse",IF(N(I109)&gt;=N(K109),"The Lens","The Hub"))</f>
        <v>The Hub</v>
      </c>
      <c r="N109" s="21" t="s">
        <v>78</v>
      </c>
      <c r="O109" s="17" t="s">
        <v>126</v>
      </c>
    </row>
    <row r="110" customFormat="false" ht="15" hidden="false" customHeight="false" outlineLevel="0" collapsed="false">
      <c r="A110" s="17" t="s">
        <v>311</v>
      </c>
      <c r="B110" s="17" t="s">
        <v>312</v>
      </c>
      <c r="C110" s="17" t="s">
        <v>114</v>
      </c>
      <c r="D110" s="17" t="s">
        <v>99</v>
      </c>
      <c r="E110" s="17" t="s">
        <v>129</v>
      </c>
      <c r="F110" s="18" t="n">
        <v>310393</v>
      </c>
      <c r="G110" s="19" t="n">
        <v>56.8</v>
      </c>
      <c r="H110" s="17" t="n">
        <f aca="false">IF(G110="","",RANK(G110,$G$5:$G$281))</f>
        <v>106</v>
      </c>
      <c r="I110" s="19" t="n">
        <v>48.7</v>
      </c>
      <c r="J110" s="17" t="n">
        <f aca="false">IF(I110="","",RANK(I110,$I$5:$I$281))</f>
        <v>146</v>
      </c>
      <c r="K110" s="19" t="n">
        <v>82.9</v>
      </c>
      <c r="L110" s="17" t="n">
        <f aca="false">IF(K110="","",RANK(K110,$K$5:$K$281))</f>
        <v>34</v>
      </c>
      <c r="M110" s="17" t="str">
        <f aca="false">IF(AND(N(G110)&gt;=N(I110),N(G110)&gt;=N(K110)),"The Pulse",IF(N(I110)&gt;=N(K110),"The Lens","The Hub"))</f>
        <v>The Hub</v>
      </c>
      <c r="N110" s="20" t="s">
        <v>74</v>
      </c>
      <c r="O110" s="17" t="s">
        <v>19</v>
      </c>
    </row>
    <row r="111" customFormat="false" ht="15" hidden="false" customHeight="false" outlineLevel="0" collapsed="false">
      <c r="A111" s="17" t="s">
        <v>313</v>
      </c>
      <c r="B111" s="17" t="s">
        <v>314</v>
      </c>
      <c r="C111" s="17" t="s">
        <v>92</v>
      </c>
      <c r="D111" s="17" t="s">
        <v>93</v>
      </c>
      <c r="E111" s="17" t="s">
        <v>47</v>
      </c>
      <c r="F111" s="18" t="n">
        <v>205851</v>
      </c>
      <c r="G111" s="19" t="n">
        <v>56.7</v>
      </c>
      <c r="H111" s="17" t="n">
        <f aca="false">IF(G111="","",RANK(G111,$G$5:$G$281))</f>
        <v>107</v>
      </c>
      <c r="I111" s="19" t="n">
        <v>42.2</v>
      </c>
      <c r="J111" s="17" t="n">
        <f aca="false">IF(I111="","",RANK(I111,$I$5:$I$281))</f>
        <v>171</v>
      </c>
      <c r="K111" s="19" t="n">
        <v>65.3</v>
      </c>
      <c r="L111" s="17" t="n">
        <f aca="false">IF(K111="","",RANK(K111,$K$5:$K$281))</f>
        <v>74</v>
      </c>
      <c r="M111" s="17" t="str">
        <f aca="false">IF(AND(N(G111)&gt;=N(I111),N(G111)&gt;=N(K111)),"The Pulse",IF(N(I111)&gt;=N(K111),"The Lens","The Hub"))</f>
        <v>The Hub</v>
      </c>
      <c r="N111" s="21" t="s">
        <v>78</v>
      </c>
      <c r="O111" s="17" t="s">
        <v>126</v>
      </c>
    </row>
    <row r="112" customFormat="false" ht="15" hidden="false" customHeight="false" outlineLevel="0" collapsed="false">
      <c r="A112" s="17" t="s">
        <v>315</v>
      </c>
      <c r="B112" s="17" t="s">
        <v>316</v>
      </c>
      <c r="C112" s="17" t="s">
        <v>102</v>
      </c>
      <c r="D112" s="17" t="s">
        <v>118</v>
      </c>
      <c r="E112" s="17" t="s">
        <v>129</v>
      </c>
      <c r="F112" s="18" t="n">
        <v>200306</v>
      </c>
      <c r="G112" s="19" t="n">
        <v>56.3</v>
      </c>
      <c r="H112" s="17" t="n">
        <f aca="false">IF(G112="","",RANK(G112,$G$5:$G$281))</f>
        <v>108</v>
      </c>
      <c r="I112" s="19" t="n">
        <v>70.5</v>
      </c>
      <c r="J112" s="17" t="n">
        <f aca="false">IF(I112="","",RANK(I112,$I$5:$I$281))</f>
        <v>56</v>
      </c>
      <c r="K112" s="19" t="n">
        <v>47.5</v>
      </c>
      <c r="L112" s="17" t="n">
        <f aca="false">IF(K112="","",RANK(K112,$K$5:$K$281))</f>
        <v>148</v>
      </c>
      <c r="M112" s="17" t="str">
        <f aca="false">IF(AND(N(G112)&gt;=N(I112),N(G112)&gt;=N(K112)),"The Pulse",IF(N(I112)&gt;=N(K112),"The Lens","The Hub"))</f>
        <v>The Lens</v>
      </c>
      <c r="N112" s="21" t="s">
        <v>78</v>
      </c>
      <c r="O112" s="17" t="s">
        <v>126</v>
      </c>
    </row>
    <row r="113" customFormat="false" ht="15" hidden="false" customHeight="false" outlineLevel="0" collapsed="false">
      <c r="A113" s="17" t="s">
        <v>317</v>
      </c>
      <c r="B113" s="17" t="s">
        <v>318</v>
      </c>
      <c r="C113" s="17" t="s">
        <v>77</v>
      </c>
      <c r="D113" s="17" t="s">
        <v>115</v>
      </c>
      <c r="E113" s="17" t="s">
        <v>129</v>
      </c>
      <c r="F113" s="18" t="n">
        <v>147615</v>
      </c>
      <c r="G113" s="19" t="n">
        <v>56.2</v>
      </c>
      <c r="H113" s="17" t="n">
        <f aca="false">IF(G113="","",RANK(G113,$G$5:$G$281))</f>
        <v>109</v>
      </c>
      <c r="I113" s="19" t="n">
        <v>53</v>
      </c>
      <c r="J113" s="17" t="n">
        <f aca="false">IF(I113="","",RANK(I113,$I$5:$I$281))</f>
        <v>118</v>
      </c>
      <c r="K113" s="19" t="n">
        <v>45.6</v>
      </c>
      <c r="L113" s="17" t="n">
        <f aca="false">IF(K113="","",RANK(K113,$K$5:$K$281))</f>
        <v>157</v>
      </c>
      <c r="M113" s="17" t="str">
        <f aca="false">IF(AND(N(G113)&gt;=N(I113),N(G113)&gt;=N(K113)),"The Pulse",IF(N(I113)&gt;=N(K113),"The Lens","The Hub"))</f>
        <v>The Pulse</v>
      </c>
      <c r="N113" s="21" t="s">
        <v>78</v>
      </c>
      <c r="O113" s="17" t="s">
        <v>126</v>
      </c>
    </row>
    <row r="114" customFormat="false" ht="15" hidden="false" customHeight="false" outlineLevel="0" collapsed="false">
      <c r="A114" s="17" t="s">
        <v>319</v>
      </c>
      <c r="B114" s="17" t="s">
        <v>320</v>
      </c>
      <c r="C114" s="17" t="s">
        <v>72</v>
      </c>
      <c r="D114" s="17" t="s">
        <v>99</v>
      </c>
      <c r="E114" s="17" t="s">
        <v>129</v>
      </c>
      <c r="F114" s="18" t="n">
        <v>36440</v>
      </c>
      <c r="G114" s="19" t="n">
        <v>56</v>
      </c>
      <c r="H114" s="17" t="n">
        <f aca="false">IF(G114="","",RANK(G114,$G$5:$G$281))</f>
        <v>110</v>
      </c>
      <c r="I114" s="19" t="n">
        <v>82.2</v>
      </c>
      <c r="J114" s="17" t="n">
        <f aca="false">IF(I114="","",RANK(I114,$I$5:$I$281))</f>
        <v>21</v>
      </c>
      <c r="K114" s="19" t="n">
        <v>51.4</v>
      </c>
      <c r="L114" s="17" t="n">
        <f aca="false">IF(K114="","",RANK(K114,$K$5:$K$281))</f>
        <v>127</v>
      </c>
      <c r="M114" s="17" t="str">
        <f aca="false">IF(AND(N(G114)&gt;=N(I114),N(G114)&gt;=N(K114)),"The Pulse",IF(N(I114)&gt;=N(K114),"The Lens","The Hub"))</f>
        <v>The Lens</v>
      </c>
      <c r="N114" s="21" t="s">
        <v>78</v>
      </c>
      <c r="O114" s="17" t="s">
        <v>126</v>
      </c>
    </row>
    <row r="115" customFormat="false" ht="15" hidden="false" customHeight="false" outlineLevel="0" collapsed="false">
      <c r="A115" s="17" t="s">
        <v>321</v>
      </c>
      <c r="B115" s="17" t="s">
        <v>322</v>
      </c>
      <c r="C115" s="17" t="s">
        <v>102</v>
      </c>
      <c r="D115" s="17" t="s">
        <v>93</v>
      </c>
      <c r="E115" s="17" t="s">
        <v>45</v>
      </c>
      <c r="F115" s="18" t="n">
        <v>4759</v>
      </c>
      <c r="G115" s="19" t="n">
        <v>56</v>
      </c>
      <c r="H115" s="17" t="n">
        <f aca="false">IF(G115="","",RANK(G115,$G$5:$G$281))</f>
        <v>110</v>
      </c>
      <c r="I115" s="19" t="n">
        <v>27.8</v>
      </c>
      <c r="J115" s="17" t="n">
        <f aca="false">IF(I115="","",RANK(I115,$I$5:$I$281))</f>
        <v>221</v>
      </c>
      <c r="K115" s="19" t="n">
        <v>77.1</v>
      </c>
      <c r="L115" s="17" t="n">
        <f aca="false">IF(K115="","",RANK(K115,$K$5:$K$281))</f>
        <v>48</v>
      </c>
      <c r="M115" s="17" t="str">
        <f aca="false">IF(AND(N(G115)&gt;=N(I115),N(G115)&gt;=N(K115)),"The Pulse",IF(N(I115)&gt;=N(K115),"The Lens","The Hub"))</f>
        <v>The Hub</v>
      </c>
      <c r="N115" s="20" t="s">
        <v>74</v>
      </c>
      <c r="O115" s="17" t="s">
        <v>19</v>
      </c>
    </row>
    <row r="116" customFormat="false" ht="15" hidden="false" customHeight="false" outlineLevel="0" collapsed="false">
      <c r="A116" s="17" t="s">
        <v>323</v>
      </c>
      <c r="B116" s="17" t="s">
        <v>324</v>
      </c>
      <c r="C116" s="17" t="s">
        <v>105</v>
      </c>
      <c r="D116" s="17" t="s">
        <v>96</v>
      </c>
      <c r="E116" s="17" t="s">
        <v>175</v>
      </c>
      <c r="F116" s="18" t="n">
        <v>765364</v>
      </c>
      <c r="G116" s="19" t="n">
        <v>55.9</v>
      </c>
      <c r="H116" s="17" t="n">
        <f aca="false">IF(G116="","",RANK(G116,$G$5:$G$281))</f>
        <v>112</v>
      </c>
      <c r="I116" s="19" t="n">
        <v>11</v>
      </c>
      <c r="J116" s="17" t="n">
        <f aca="false">IF(I116="","",RANK(I116,$I$5:$I$281))</f>
        <v>262</v>
      </c>
      <c r="K116" s="19" t="n">
        <v>56.5</v>
      </c>
      <c r="L116" s="17" t="n">
        <f aca="false">IF(K116="","",RANK(K116,$K$5:$K$281))</f>
        <v>102</v>
      </c>
      <c r="M116" s="17" t="str">
        <f aca="false">IF(AND(N(G116)&gt;=N(I116),N(G116)&gt;=N(K116)),"The Pulse",IF(N(I116)&gt;=N(K116),"The Lens","The Hub"))</f>
        <v>The Hub</v>
      </c>
      <c r="N116" s="21" t="s">
        <v>78</v>
      </c>
      <c r="O116" s="17" t="s">
        <v>126</v>
      </c>
    </row>
    <row r="117" customFormat="false" ht="15" hidden="false" customHeight="false" outlineLevel="0" collapsed="false">
      <c r="A117" s="17" t="s">
        <v>325</v>
      </c>
      <c r="B117" s="17" t="s">
        <v>326</v>
      </c>
      <c r="C117" s="17" t="s">
        <v>133</v>
      </c>
      <c r="D117" s="17" t="s">
        <v>111</v>
      </c>
      <c r="E117" s="17" t="s">
        <v>47</v>
      </c>
      <c r="F117" s="18" t="n">
        <v>937637</v>
      </c>
      <c r="G117" s="19" t="n">
        <v>55.5</v>
      </c>
      <c r="H117" s="17" t="n">
        <f aca="false">IF(G117="","",RANK(G117,$G$5:$G$281))</f>
        <v>113</v>
      </c>
      <c r="I117" s="19" t="n">
        <v>65.1</v>
      </c>
      <c r="J117" s="17" t="n">
        <f aca="false">IF(I117="","",RANK(I117,$I$5:$I$281))</f>
        <v>71</v>
      </c>
      <c r="K117" s="19" t="n">
        <v>23.8</v>
      </c>
      <c r="L117" s="17" t="n">
        <f aca="false">IF(K117="","",RANK(K117,$K$5:$K$281))</f>
        <v>232</v>
      </c>
      <c r="M117" s="17" t="str">
        <f aca="false">IF(AND(N(G117)&gt;=N(I117),N(G117)&gt;=N(K117)),"The Pulse",IF(N(I117)&gt;=N(K117),"The Lens","The Hub"))</f>
        <v>The Lens</v>
      </c>
      <c r="N117" s="20" t="s">
        <v>74</v>
      </c>
      <c r="O117" s="17" t="s">
        <v>19</v>
      </c>
    </row>
    <row r="118" customFormat="false" ht="15" hidden="false" customHeight="false" outlineLevel="0" collapsed="false">
      <c r="A118" s="17" t="s">
        <v>327</v>
      </c>
      <c r="B118" s="17" t="s">
        <v>328</v>
      </c>
      <c r="C118" s="17" t="s">
        <v>77</v>
      </c>
      <c r="D118" s="17" t="s">
        <v>170</v>
      </c>
      <c r="E118" s="17" t="s">
        <v>129</v>
      </c>
      <c r="F118" s="18" t="n">
        <v>281425</v>
      </c>
      <c r="G118" s="19" t="n">
        <v>55.5</v>
      </c>
      <c r="H118" s="17" t="n">
        <f aca="false">IF(G118="","",RANK(G118,$G$5:$G$281))</f>
        <v>113</v>
      </c>
      <c r="I118" s="19" t="n">
        <v>24.5</v>
      </c>
      <c r="J118" s="17" t="n">
        <f aca="false">IF(I118="","",RANK(I118,$I$5:$I$281))</f>
        <v>230</v>
      </c>
      <c r="K118" s="19" t="n">
        <v>45</v>
      </c>
      <c r="L118" s="17" t="n">
        <f aca="false">IF(K118="","",RANK(K118,$K$5:$K$281))</f>
        <v>160</v>
      </c>
      <c r="M118" s="17" t="str">
        <f aca="false">IF(AND(N(G118)&gt;=N(I118),N(G118)&gt;=N(K118)),"The Pulse",IF(N(I118)&gt;=N(K118),"The Lens","The Hub"))</f>
        <v>The Pulse</v>
      </c>
      <c r="N118" s="21" t="s">
        <v>78</v>
      </c>
      <c r="O118" s="17" t="s">
        <v>126</v>
      </c>
    </row>
    <row r="119" customFormat="false" ht="15" hidden="false" customHeight="false" outlineLevel="0" collapsed="false">
      <c r="A119" s="17" t="s">
        <v>329</v>
      </c>
      <c r="B119" s="17" t="s">
        <v>330</v>
      </c>
      <c r="C119" s="17" t="s">
        <v>92</v>
      </c>
      <c r="D119" s="17" t="s">
        <v>99</v>
      </c>
      <c r="E119" s="17" t="s">
        <v>129</v>
      </c>
      <c r="F119" s="18" t="n">
        <v>610073</v>
      </c>
      <c r="G119" s="19" t="n">
        <v>55.4</v>
      </c>
      <c r="H119" s="17" t="n">
        <f aca="false">IF(G119="","",RANK(G119,$G$5:$G$281))</f>
        <v>115</v>
      </c>
      <c r="I119" s="19" t="n">
        <v>50</v>
      </c>
      <c r="J119" s="17" t="n">
        <f aca="false">IF(I119="","",RANK(I119,$I$5:$I$281))</f>
        <v>140</v>
      </c>
      <c r="K119" s="19" t="n">
        <v>43.9</v>
      </c>
      <c r="L119" s="17" t="n">
        <f aca="false">IF(K119="","",RANK(K119,$K$5:$K$281))</f>
        <v>169</v>
      </c>
      <c r="M119" s="17" t="str">
        <f aca="false">IF(AND(N(G119)&gt;=N(I119),N(G119)&gt;=N(K119)),"The Pulse",IF(N(I119)&gt;=N(K119),"The Lens","The Hub"))</f>
        <v>The Pulse</v>
      </c>
      <c r="N119" s="21" t="s">
        <v>78</v>
      </c>
      <c r="O119" s="17" t="s">
        <v>126</v>
      </c>
    </row>
    <row r="120" customFormat="false" ht="15" hidden="false" customHeight="false" outlineLevel="0" collapsed="false">
      <c r="A120" s="17" t="s">
        <v>331</v>
      </c>
      <c r="B120" s="17" t="s">
        <v>332</v>
      </c>
      <c r="C120" s="17" t="s">
        <v>87</v>
      </c>
      <c r="D120" s="17" t="s">
        <v>82</v>
      </c>
      <c r="E120" s="17" t="s">
        <v>129</v>
      </c>
      <c r="F120" s="18" t="n">
        <v>257115</v>
      </c>
      <c r="G120" s="19" t="n">
        <v>54.7</v>
      </c>
      <c r="H120" s="17" t="n">
        <f aca="false">IF(G120="","",RANK(G120,$G$5:$G$281))</f>
        <v>116</v>
      </c>
      <c r="I120" s="19" t="n">
        <v>64.9</v>
      </c>
      <c r="J120" s="17" t="n">
        <f aca="false">IF(I120="","",RANK(I120,$I$5:$I$281))</f>
        <v>73</v>
      </c>
      <c r="K120" s="19" t="n">
        <v>61</v>
      </c>
      <c r="L120" s="17" t="n">
        <f aca="false">IF(K120="","",RANK(K120,$K$5:$K$281))</f>
        <v>89</v>
      </c>
      <c r="M120" s="17" t="str">
        <f aca="false">IF(AND(N(G120)&gt;=N(I120),N(G120)&gt;=N(K120)),"The Pulse",IF(N(I120)&gt;=N(K120),"The Lens","The Hub"))</f>
        <v>The Lens</v>
      </c>
      <c r="N120" s="21" t="s">
        <v>78</v>
      </c>
      <c r="O120" s="17" t="s">
        <v>126</v>
      </c>
    </row>
    <row r="121" customFormat="false" ht="15" hidden="false" customHeight="false" outlineLevel="0" collapsed="false">
      <c r="A121" s="17" t="s">
        <v>333</v>
      </c>
      <c r="B121" s="17" t="s">
        <v>334</v>
      </c>
      <c r="C121" s="17" t="s">
        <v>87</v>
      </c>
      <c r="D121" s="17" t="s">
        <v>82</v>
      </c>
      <c r="E121" s="17" t="s">
        <v>157</v>
      </c>
      <c r="F121" s="18" t="n">
        <v>70497</v>
      </c>
      <c r="G121" s="19" t="n">
        <v>54.4</v>
      </c>
      <c r="H121" s="17" t="n">
        <f aca="false">IF(G121="","",RANK(G121,$G$5:$G$281))</f>
        <v>117</v>
      </c>
      <c r="I121" s="19" t="n">
        <v>24.2</v>
      </c>
      <c r="J121" s="17" t="n">
        <f aca="false">IF(I121="","",RANK(I121,$I$5:$I$281))</f>
        <v>232</v>
      </c>
      <c r="K121" s="19" t="n">
        <v>55.1</v>
      </c>
      <c r="L121" s="17" t="n">
        <f aca="false">IF(K121="","",RANK(K121,$K$5:$K$281))</f>
        <v>108</v>
      </c>
      <c r="M121" s="17" t="str">
        <f aca="false">IF(AND(N(G121)&gt;=N(I121),N(G121)&gt;=N(K121)),"The Pulse",IF(N(I121)&gt;=N(K121),"The Lens","The Hub"))</f>
        <v>The Hub</v>
      </c>
      <c r="N121" s="20" t="s">
        <v>74</v>
      </c>
      <c r="O121" s="17" t="s">
        <v>19</v>
      </c>
    </row>
    <row r="122" customFormat="false" ht="15" hidden="false" customHeight="false" outlineLevel="0" collapsed="false">
      <c r="A122" s="17" t="s">
        <v>335</v>
      </c>
      <c r="B122" s="17" t="s">
        <v>336</v>
      </c>
      <c r="C122" s="17" t="s">
        <v>105</v>
      </c>
      <c r="D122" s="17" t="s">
        <v>93</v>
      </c>
      <c r="E122" s="17" t="s">
        <v>47</v>
      </c>
      <c r="F122" s="18" t="n">
        <v>16031</v>
      </c>
      <c r="G122" s="19" t="n">
        <v>53.8</v>
      </c>
      <c r="H122" s="17" t="n">
        <f aca="false">IF(G122="","",RANK(G122,$G$5:$G$281))</f>
        <v>118</v>
      </c>
      <c r="I122" s="19" t="n">
        <v>85.1</v>
      </c>
      <c r="J122" s="17" t="n">
        <f aca="false">IF(I122="","",RANK(I122,$I$5:$I$281))</f>
        <v>19</v>
      </c>
      <c r="K122" s="19" t="n">
        <v>91.6</v>
      </c>
      <c r="L122" s="17" t="n">
        <f aca="false">IF(K122="","",RANK(K122,$K$5:$K$281))</f>
        <v>15</v>
      </c>
      <c r="M122" s="17" t="str">
        <f aca="false">IF(AND(N(G122)&gt;=N(I122),N(G122)&gt;=N(K122)),"The Pulse",IF(N(I122)&gt;=N(K122),"The Lens","The Hub"))</f>
        <v>The Hub</v>
      </c>
      <c r="N122" s="20" t="s">
        <v>74</v>
      </c>
      <c r="O122" s="17" t="s">
        <v>19</v>
      </c>
    </row>
    <row r="123" customFormat="false" ht="15" hidden="false" customHeight="false" outlineLevel="0" collapsed="false">
      <c r="A123" s="17" t="s">
        <v>337</v>
      </c>
      <c r="B123" s="17" t="s">
        <v>338</v>
      </c>
      <c r="C123" s="17" t="s">
        <v>92</v>
      </c>
      <c r="D123" s="17" t="s">
        <v>111</v>
      </c>
      <c r="E123" s="17" t="s">
        <v>129</v>
      </c>
      <c r="F123" s="18" t="n">
        <v>370723</v>
      </c>
      <c r="G123" s="19" t="n">
        <v>53.7</v>
      </c>
      <c r="H123" s="17" t="n">
        <f aca="false">IF(G123="","",RANK(G123,$G$5:$G$281))</f>
        <v>119</v>
      </c>
      <c r="I123" s="19" t="n">
        <v>52.3</v>
      </c>
      <c r="J123" s="17" t="n">
        <f aca="false">IF(I123="","",RANK(I123,$I$5:$I$281))</f>
        <v>121</v>
      </c>
      <c r="K123" s="19" t="n">
        <v>66.2</v>
      </c>
      <c r="L123" s="17" t="n">
        <f aca="false">IF(K123="","",RANK(K123,$K$5:$K$281))</f>
        <v>73</v>
      </c>
      <c r="M123" s="17" t="str">
        <f aca="false">IF(AND(N(G123)&gt;=N(I123),N(G123)&gt;=N(K123)),"The Pulse",IF(N(I123)&gt;=N(K123),"The Lens","The Hub"))</f>
        <v>The Hub</v>
      </c>
      <c r="N123" s="21" t="s">
        <v>78</v>
      </c>
      <c r="O123" s="17" t="s">
        <v>126</v>
      </c>
    </row>
    <row r="124" customFormat="false" ht="15" hidden="false" customHeight="false" outlineLevel="0" collapsed="false">
      <c r="A124" s="17" t="s">
        <v>339</v>
      </c>
      <c r="B124" s="17" t="s">
        <v>340</v>
      </c>
      <c r="C124" s="17" t="s">
        <v>114</v>
      </c>
      <c r="D124" s="17" t="s">
        <v>118</v>
      </c>
      <c r="E124" s="17" t="s">
        <v>129</v>
      </c>
      <c r="F124" s="18" t="n">
        <v>91977</v>
      </c>
      <c r="G124" s="19" t="n">
        <v>53.4</v>
      </c>
      <c r="H124" s="17" t="n">
        <f aca="false">IF(G124="","",RANK(G124,$G$5:$G$281))</f>
        <v>120</v>
      </c>
      <c r="I124" s="19" t="n">
        <v>40.1</v>
      </c>
      <c r="J124" s="17" t="n">
        <f aca="false">IF(I124="","",RANK(I124,$I$5:$I$281))</f>
        <v>183</v>
      </c>
      <c r="K124" s="19" t="n">
        <v>87.6</v>
      </c>
      <c r="L124" s="17" t="n">
        <f aca="false">IF(K124="","",RANK(K124,$K$5:$K$281))</f>
        <v>22</v>
      </c>
      <c r="M124" s="17" t="str">
        <f aca="false">IF(AND(N(G124)&gt;=N(I124),N(G124)&gt;=N(K124)),"The Pulse",IF(N(I124)&gt;=N(K124),"The Lens","The Hub"))</f>
        <v>The Hub</v>
      </c>
      <c r="N124" s="21" t="s">
        <v>78</v>
      </c>
      <c r="O124" s="17" t="s">
        <v>126</v>
      </c>
    </row>
    <row r="125" customFormat="false" ht="15" hidden="false" customHeight="false" outlineLevel="0" collapsed="false">
      <c r="A125" s="17" t="s">
        <v>341</v>
      </c>
      <c r="B125" s="17" t="s">
        <v>342</v>
      </c>
      <c r="C125" s="17" t="s">
        <v>138</v>
      </c>
      <c r="D125" s="17" t="s">
        <v>93</v>
      </c>
      <c r="E125" s="17" t="s">
        <v>157</v>
      </c>
      <c r="F125" s="18" t="n">
        <v>117505</v>
      </c>
      <c r="G125" s="19" t="n">
        <v>53</v>
      </c>
      <c r="H125" s="17" t="n">
        <f aca="false">IF(G125="","",RANK(G125,$G$5:$G$281))</f>
        <v>121</v>
      </c>
      <c r="I125" s="19" t="n">
        <v>28.8</v>
      </c>
      <c r="J125" s="17" t="n">
        <f aca="false">IF(I125="","",RANK(I125,$I$5:$I$281))</f>
        <v>218</v>
      </c>
      <c r="K125" s="19" t="n">
        <v>93.4</v>
      </c>
      <c r="L125" s="17" t="n">
        <f aca="false">IF(K125="","",RANK(K125,$K$5:$K$281))</f>
        <v>10</v>
      </c>
      <c r="M125" s="17" t="str">
        <f aca="false">IF(AND(N(G125)&gt;=N(I125),N(G125)&gt;=N(K125)),"The Pulse",IF(N(I125)&gt;=N(K125),"The Lens","The Hub"))</f>
        <v>The Hub</v>
      </c>
      <c r="N125" s="20" t="s">
        <v>74</v>
      </c>
      <c r="O125" s="17" t="s">
        <v>19</v>
      </c>
    </row>
    <row r="126" customFormat="false" ht="15" hidden="false" customHeight="false" outlineLevel="0" collapsed="false">
      <c r="A126" s="17" t="s">
        <v>343</v>
      </c>
      <c r="B126" s="17" t="s">
        <v>344</v>
      </c>
      <c r="C126" s="17" t="s">
        <v>102</v>
      </c>
      <c r="D126" s="17" t="s">
        <v>96</v>
      </c>
      <c r="E126" s="17" t="s">
        <v>129</v>
      </c>
      <c r="F126" s="18" t="n">
        <v>128695</v>
      </c>
      <c r="G126" s="19" t="n">
        <v>52.8</v>
      </c>
      <c r="H126" s="17" t="n">
        <f aca="false">IF(G126="","",RANK(G126,$G$5:$G$281))</f>
        <v>122</v>
      </c>
      <c r="I126" s="19" t="n">
        <v>54.3</v>
      </c>
      <c r="J126" s="17" t="n">
        <f aca="false">IF(I126="","",RANK(I126,$I$5:$I$281))</f>
        <v>109</v>
      </c>
      <c r="K126" s="19" t="n">
        <v>47.6</v>
      </c>
      <c r="L126" s="17" t="n">
        <f aca="false">IF(K126="","",RANK(K126,$K$5:$K$281))</f>
        <v>147</v>
      </c>
      <c r="M126" s="17" t="str">
        <f aca="false">IF(AND(N(G126)&gt;=N(I126),N(G126)&gt;=N(K126)),"The Pulse",IF(N(I126)&gt;=N(K126),"The Lens","The Hub"))</f>
        <v>The Lens</v>
      </c>
      <c r="N126" s="20" t="s">
        <v>74</v>
      </c>
      <c r="O126" s="17" t="s">
        <v>19</v>
      </c>
    </row>
    <row r="127" customFormat="false" ht="15" hidden="false" customHeight="false" outlineLevel="0" collapsed="false">
      <c r="A127" s="17" t="s">
        <v>345</v>
      </c>
      <c r="B127" s="17" t="s">
        <v>346</v>
      </c>
      <c r="C127" s="17" t="s">
        <v>92</v>
      </c>
      <c r="D127" s="17"/>
      <c r="E127" s="17" t="s">
        <v>45</v>
      </c>
      <c r="F127" s="18" t="n">
        <v>1246830</v>
      </c>
      <c r="G127" s="19" t="n">
        <v>52.8</v>
      </c>
      <c r="H127" s="17" t="n">
        <f aca="false">IF(G127="","",RANK(G127,$G$5:$G$281))</f>
        <v>122</v>
      </c>
      <c r="I127" s="19" t="n">
        <v>31.2</v>
      </c>
      <c r="J127" s="17" t="n">
        <f aca="false">IF(I127="","",RANK(I127,$I$5:$I$281))</f>
        <v>212</v>
      </c>
      <c r="K127" s="19" t="n">
        <v>13.8</v>
      </c>
      <c r="L127" s="17" t="n">
        <f aca="false">IF(K127="","",RANK(K127,$K$5:$K$281))</f>
        <v>254</v>
      </c>
      <c r="M127" s="17" t="str">
        <f aca="false">IF(AND(N(G127)&gt;=N(I127),N(G127)&gt;=N(K127)),"The Pulse",IF(N(I127)&gt;=N(K127),"The Lens","The Hub"))</f>
        <v>The Pulse</v>
      </c>
      <c r="N127" s="21" t="s">
        <v>78</v>
      </c>
      <c r="O127" s="17" t="s">
        <v>21</v>
      </c>
    </row>
    <row r="128" customFormat="false" ht="15" hidden="false" customHeight="false" outlineLevel="0" collapsed="false">
      <c r="A128" s="17" t="s">
        <v>347</v>
      </c>
      <c r="B128" s="17" t="s">
        <v>348</v>
      </c>
      <c r="C128" s="17" t="s">
        <v>105</v>
      </c>
      <c r="D128" s="17" t="s">
        <v>99</v>
      </c>
      <c r="E128" s="17" t="s">
        <v>125</v>
      </c>
      <c r="F128" s="18" t="n">
        <v>56350</v>
      </c>
      <c r="G128" s="19" t="n">
        <v>52.5</v>
      </c>
      <c r="H128" s="17" t="n">
        <f aca="false">IF(G128="","",RANK(G128,$G$5:$G$281))</f>
        <v>124</v>
      </c>
      <c r="I128" s="19" t="n">
        <v>62</v>
      </c>
      <c r="J128" s="17" t="n">
        <f aca="false">IF(I128="","",RANK(I128,$I$5:$I$281))</f>
        <v>83</v>
      </c>
      <c r="K128" s="19" t="n">
        <v>34.2</v>
      </c>
      <c r="L128" s="17" t="n">
        <f aca="false">IF(K128="","",RANK(K128,$K$5:$K$281))</f>
        <v>203</v>
      </c>
      <c r="M128" s="17" t="str">
        <f aca="false">IF(AND(N(G128)&gt;=N(I128),N(G128)&gt;=N(K128)),"The Pulse",IF(N(I128)&gt;=N(K128),"The Lens","The Hub"))</f>
        <v>The Lens</v>
      </c>
      <c r="N128" s="21" t="s">
        <v>78</v>
      </c>
      <c r="O128" s="17" t="s">
        <v>21</v>
      </c>
    </row>
    <row r="129" customFormat="false" ht="15" hidden="false" customHeight="false" outlineLevel="0" collapsed="false">
      <c r="A129" s="17" t="s">
        <v>349</v>
      </c>
      <c r="B129" s="17" t="s">
        <v>350</v>
      </c>
      <c r="C129" s="17" t="s">
        <v>81</v>
      </c>
      <c r="D129" s="17" t="s">
        <v>115</v>
      </c>
      <c r="E129" s="17" t="s">
        <v>129</v>
      </c>
      <c r="F129" s="18" t="n">
        <v>312516</v>
      </c>
      <c r="G129" s="19" t="n">
        <v>52.4</v>
      </c>
      <c r="H129" s="17" t="n">
        <f aca="false">IF(G129="","",RANK(G129,$G$5:$G$281))</f>
        <v>125</v>
      </c>
      <c r="I129" s="19" t="n">
        <v>66.2</v>
      </c>
      <c r="J129" s="17" t="n">
        <f aca="false">IF(I129="","",RANK(I129,$I$5:$I$281))</f>
        <v>67</v>
      </c>
      <c r="K129" s="19" t="n">
        <v>55</v>
      </c>
      <c r="L129" s="17" t="n">
        <f aca="false">IF(K129="","",RANK(K129,$K$5:$K$281))</f>
        <v>109</v>
      </c>
      <c r="M129" s="17" t="str">
        <f aca="false">IF(AND(N(G129)&gt;=N(I129),N(G129)&gt;=N(K129)),"The Pulse",IF(N(I129)&gt;=N(K129),"The Lens","The Hub"))</f>
        <v>The Lens</v>
      </c>
      <c r="N129" s="22" t="s">
        <v>83</v>
      </c>
      <c r="O129" s="17" t="s">
        <v>130</v>
      </c>
    </row>
    <row r="130" customFormat="false" ht="15" hidden="false" customHeight="false" outlineLevel="0" collapsed="false">
      <c r="A130" s="17" t="s">
        <v>351</v>
      </c>
      <c r="B130" s="17" t="s">
        <v>352</v>
      </c>
      <c r="C130" s="17" t="s">
        <v>77</v>
      </c>
      <c r="D130" s="17" t="s">
        <v>108</v>
      </c>
      <c r="E130" s="17" t="s">
        <v>129</v>
      </c>
      <c r="F130" s="18" t="n">
        <v>1192660</v>
      </c>
      <c r="G130" s="19" t="n">
        <v>52.2</v>
      </c>
      <c r="H130" s="17" t="n">
        <f aca="false">IF(G130="","",RANK(G130,$G$5:$G$281))</f>
        <v>126</v>
      </c>
      <c r="I130" s="19" t="n">
        <v>68.4</v>
      </c>
      <c r="J130" s="17" t="n">
        <f aca="false">IF(I130="","",RANK(I130,$I$5:$I$281))</f>
        <v>61</v>
      </c>
      <c r="K130" s="19" t="n">
        <v>35.9</v>
      </c>
      <c r="L130" s="17" t="n">
        <f aca="false">IF(K130="","",RANK(K130,$K$5:$K$281))</f>
        <v>196</v>
      </c>
      <c r="M130" s="17" t="str">
        <f aca="false">IF(AND(N(G130)&gt;=N(I130),N(G130)&gt;=N(K130)),"The Pulse",IF(N(I130)&gt;=N(K130),"The Lens","The Hub"))</f>
        <v>The Lens</v>
      </c>
      <c r="N130" s="21" t="s">
        <v>78</v>
      </c>
      <c r="O130" s="17" t="s">
        <v>126</v>
      </c>
    </row>
    <row r="131" customFormat="false" ht="15" hidden="false" customHeight="false" outlineLevel="0" collapsed="false">
      <c r="A131" s="17" t="s">
        <v>353</v>
      </c>
      <c r="B131" s="17" t="s">
        <v>354</v>
      </c>
      <c r="C131" s="17" t="s">
        <v>114</v>
      </c>
      <c r="D131" s="17" t="s">
        <v>115</v>
      </c>
      <c r="E131" s="17" t="s">
        <v>129</v>
      </c>
      <c r="F131" s="18" t="n">
        <v>497740</v>
      </c>
      <c r="G131" s="19" t="n">
        <v>52.2</v>
      </c>
      <c r="H131" s="17" t="n">
        <f aca="false">IF(G131="","",RANK(G131,$G$5:$G$281))</f>
        <v>126</v>
      </c>
      <c r="I131" s="19" t="n">
        <v>26.8</v>
      </c>
      <c r="J131" s="17" t="n">
        <f aca="false">IF(I131="","",RANK(I131,$I$5:$I$281))</f>
        <v>225</v>
      </c>
      <c r="K131" s="19" t="n">
        <v>46.4</v>
      </c>
      <c r="L131" s="17" t="n">
        <f aca="false">IF(K131="","",RANK(K131,$K$5:$K$281))</f>
        <v>151</v>
      </c>
      <c r="M131" s="17" t="str">
        <f aca="false">IF(AND(N(G131)&gt;=N(I131),N(G131)&gt;=N(K131)),"The Pulse",IF(N(I131)&gt;=N(K131),"The Lens","The Hub"))</f>
        <v>The Pulse</v>
      </c>
      <c r="N131" s="22" t="s">
        <v>83</v>
      </c>
      <c r="O131" s="17" t="s">
        <v>84</v>
      </c>
    </row>
    <row r="132" customFormat="false" ht="15" hidden="false" customHeight="false" outlineLevel="0" collapsed="false">
      <c r="A132" s="17" t="s">
        <v>355</v>
      </c>
      <c r="B132" s="17" t="s">
        <v>356</v>
      </c>
      <c r="C132" s="17" t="s">
        <v>81</v>
      </c>
      <c r="D132" s="17" t="s">
        <v>118</v>
      </c>
      <c r="E132" s="17" t="s">
        <v>129</v>
      </c>
      <c r="F132" s="18" t="n">
        <v>834303</v>
      </c>
      <c r="G132" s="19" t="n">
        <v>52.1</v>
      </c>
      <c r="H132" s="17" t="n">
        <f aca="false">IF(G132="","",RANK(G132,$G$5:$G$281))</f>
        <v>128</v>
      </c>
      <c r="I132" s="19" t="n">
        <v>49.1</v>
      </c>
      <c r="J132" s="17" t="n">
        <f aca="false">IF(I132="","",RANK(I132,$I$5:$I$281))</f>
        <v>144</v>
      </c>
      <c r="K132" s="19" t="n">
        <v>49.2</v>
      </c>
      <c r="L132" s="17" t="n">
        <f aca="false">IF(K132="","",RANK(K132,$K$5:$K$281))</f>
        <v>138</v>
      </c>
      <c r="M132" s="17" t="str">
        <f aca="false">IF(AND(N(G132)&gt;=N(I132),N(G132)&gt;=N(K132)),"The Pulse",IF(N(I132)&gt;=N(K132),"The Lens","The Hub"))</f>
        <v>The Pulse</v>
      </c>
      <c r="N132" s="20" t="s">
        <v>74</v>
      </c>
      <c r="O132" s="17" t="s">
        <v>19</v>
      </c>
    </row>
    <row r="133" customFormat="false" ht="15" hidden="false" customHeight="false" outlineLevel="0" collapsed="false">
      <c r="A133" s="17" t="s">
        <v>357</v>
      </c>
      <c r="B133" s="17" t="s">
        <v>358</v>
      </c>
      <c r="C133" s="17" t="s">
        <v>72</v>
      </c>
      <c r="D133" s="17" t="s">
        <v>170</v>
      </c>
      <c r="E133" s="17" t="s">
        <v>129</v>
      </c>
      <c r="F133" s="18" t="n">
        <v>375211</v>
      </c>
      <c r="G133" s="19" t="n">
        <v>51.6</v>
      </c>
      <c r="H133" s="17" t="n">
        <f aca="false">IF(G133="","",RANK(G133,$G$5:$G$281))</f>
        <v>129</v>
      </c>
      <c r="I133" s="19" t="n">
        <v>43.6</v>
      </c>
      <c r="J133" s="17" t="n">
        <f aca="false">IF(I133="","",RANK(I133,$I$5:$I$281))</f>
        <v>167</v>
      </c>
      <c r="K133" s="19" t="n">
        <v>91.4</v>
      </c>
      <c r="L133" s="17" t="n">
        <f aca="false">IF(K133="","",RANK(K133,$K$5:$K$281))</f>
        <v>16</v>
      </c>
      <c r="M133" s="17" t="str">
        <f aca="false">IF(AND(N(G133)&gt;=N(I133),N(G133)&gt;=N(K133)),"The Pulse",IF(N(I133)&gt;=N(K133),"The Lens","The Hub"))</f>
        <v>The Hub</v>
      </c>
      <c r="N133" s="21" t="s">
        <v>78</v>
      </c>
      <c r="O133" s="17" t="s">
        <v>126</v>
      </c>
    </row>
    <row r="134" customFormat="false" ht="15" hidden="false" customHeight="false" outlineLevel="0" collapsed="false">
      <c r="A134" s="17" t="s">
        <v>359</v>
      </c>
      <c r="B134" s="17" t="s">
        <v>360</v>
      </c>
      <c r="C134" s="17" t="s">
        <v>114</v>
      </c>
      <c r="D134" s="17" t="s">
        <v>170</v>
      </c>
      <c r="E134" s="17" t="s">
        <v>157</v>
      </c>
      <c r="F134" s="18" t="n">
        <v>391336</v>
      </c>
      <c r="G134" s="19" t="n">
        <v>51.6</v>
      </c>
      <c r="H134" s="17" t="n">
        <f aca="false">IF(G134="","",RANK(G134,$G$5:$G$281))</f>
        <v>129</v>
      </c>
      <c r="I134" s="19" t="n">
        <v>40.6</v>
      </c>
      <c r="J134" s="17" t="n">
        <f aca="false">IF(I134="","",RANK(I134,$I$5:$I$281))</f>
        <v>182</v>
      </c>
      <c r="K134" s="19" t="n">
        <v>11.8</v>
      </c>
      <c r="L134" s="17" t="n">
        <f aca="false">IF(K134="","",RANK(K134,$K$5:$K$281))</f>
        <v>258</v>
      </c>
      <c r="M134" s="17" t="str">
        <f aca="false">IF(AND(N(G134)&gt;=N(I134),N(G134)&gt;=N(K134)),"The Pulse",IF(N(I134)&gt;=N(K134),"The Lens","The Hub"))</f>
        <v>The Pulse</v>
      </c>
      <c r="N134" s="20" t="s">
        <v>74</v>
      </c>
      <c r="O134" s="17" t="s">
        <v>19</v>
      </c>
    </row>
    <row r="135" customFormat="false" ht="15" hidden="false" customHeight="false" outlineLevel="0" collapsed="false">
      <c r="A135" s="17" t="s">
        <v>361</v>
      </c>
      <c r="B135" s="17" t="s">
        <v>362</v>
      </c>
      <c r="C135" s="17" t="s">
        <v>114</v>
      </c>
      <c r="D135" s="17" t="s">
        <v>73</v>
      </c>
      <c r="E135" s="17" t="s">
        <v>46</v>
      </c>
      <c r="F135" s="18" t="n">
        <v>77740</v>
      </c>
      <c r="G135" s="19" t="n">
        <v>51.4</v>
      </c>
      <c r="H135" s="17" t="n">
        <f aca="false">IF(G135="","",RANK(G135,$G$5:$G$281))</f>
        <v>131</v>
      </c>
      <c r="I135" s="19" t="n">
        <v>75.5</v>
      </c>
      <c r="J135" s="17" t="n">
        <f aca="false">IF(I135="","",RANK(I135,$I$5:$I$281))</f>
        <v>36</v>
      </c>
      <c r="K135" s="19" t="n">
        <v>22</v>
      </c>
      <c r="L135" s="17" t="n">
        <f aca="false">IF(K135="","",RANK(K135,$K$5:$K$281))</f>
        <v>238</v>
      </c>
      <c r="M135" s="17" t="str">
        <f aca="false">IF(AND(N(G135)&gt;=N(I135),N(G135)&gt;=N(K135)),"The Pulse",IF(N(I135)&gt;=N(K135),"The Lens","The Hub"))</f>
        <v>The Lens</v>
      </c>
      <c r="N135" s="21" t="s">
        <v>78</v>
      </c>
      <c r="O135" s="17" t="s">
        <v>21</v>
      </c>
    </row>
    <row r="136" customFormat="false" ht="15" hidden="false" customHeight="false" outlineLevel="0" collapsed="false">
      <c r="A136" s="17" t="s">
        <v>363</v>
      </c>
      <c r="B136" s="17" t="s">
        <v>364</v>
      </c>
      <c r="C136" s="17" t="s">
        <v>87</v>
      </c>
      <c r="D136" s="17" t="s">
        <v>73</v>
      </c>
      <c r="E136" s="17" t="s">
        <v>125</v>
      </c>
      <c r="F136" s="18" t="n">
        <v>254716</v>
      </c>
      <c r="G136" s="19" t="n">
        <v>51</v>
      </c>
      <c r="H136" s="17" t="n">
        <f aca="false">IF(G136="","",RANK(G136,$G$5:$G$281))</f>
        <v>132</v>
      </c>
      <c r="I136" s="19" t="n">
        <v>64.4</v>
      </c>
      <c r="J136" s="17" t="n">
        <f aca="false">IF(I136="","",RANK(I136,$I$5:$I$281))</f>
        <v>78</v>
      </c>
      <c r="K136" s="19" t="n">
        <v>17.6</v>
      </c>
      <c r="L136" s="17" t="n">
        <f aca="false">IF(K136="","",RANK(K136,$K$5:$K$281))</f>
        <v>246</v>
      </c>
      <c r="M136" s="17" t="str">
        <f aca="false">IF(AND(N(G136)&gt;=N(I136),N(G136)&gt;=N(K136)),"The Pulse",IF(N(I136)&gt;=N(K136),"The Lens","The Hub"))</f>
        <v>The Lens</v>
      </c>
      <c r="N136" s="20" t="s">
        <v>74</v>
      </c>
      <c r="O136" s="17" t="s">
        <v>19</v>
      </c>
    </row>
    <row r="137" customFormat="false" ht="15" hidden="false" customHeight="false" outlineLevel="0" collapsed="false">
      <c r="A137" s="17" t="s">
        <v>365</v>
      </c>
      <c r="B137" s="17" t="s">
        <v>366</v>
      </c>
      <c r="C137" s="17" t="s">
        <v>102</v>
      </c>
      <c r="D137" s="17" t="s">
        <v>96</v>
      </c>
      <c r="E137" s="17" t="s">
        <v>125</v>
      </c>
      <c r="F137" s="18" t="n">
        <v>3808969</v>
      </c>
      <c r="G137" s="19" t="n">
        <v>50.8</v>
      </c>
      <c r="H137" s="17" t="n">
        <f aca="false">IF(G137="","",RANK(G137,$G$5:$G$281))</f>
        <v>133</v>
      </c>
      <c r="I137" s="19" t="n">
        <v>80.1</v>
      </c>
      <c r="J137" s="17" t="n">
        <f aca="false">IF(I137="","",RANK(I137,$I$5:$I$281))</f>
        <v>25</v>
      </c>
      <c r="K137" s="19" t="n">
        <v>61.2</v>
      </c>
      <c r="L137" s="17" t="n">
        <f aca="false">IF(K137="","",RANK(K137,$K$5:$K$281))</f>
        <v>88</v>
      </c>
      <c r="M137" s="17" t="str">
        <f aca="false">IF(AND(N(G137)&gt;=N(I137),N(G137)&gt;=N(K137)),"The Pulse",IF(N(I137)&gt;=N(K137),"The Lens","The Hub"))</f>
        <v>The Lens</v>
      </c>
      <c r="N137" s="21" t="s">
        <v>78</v>
      </c>
      <c r="O137" s="17" t="s">
        <v>126</v>
      </c>
    </row>
    <row r="138" customFormat="false" ht="15" hidden="false" customHeight="false" outlineLevel="0" collapsed="false">
      <c r="A138" s="17" t="s">
        <v>367</v>
      </c>
      <c r="B138" s="17" t="s">
        <v>368</v>
      </c>
      <c r="C138" s="17" t="s">
        <v>102</v>
      </c>
      <c r="D138" s="17" t="s">
        <v>170</v>
      </c>
      <c r="E138" s="17" t="s">
        <v>47</v>
      </c>
      <c r="F138" s="18" t="n">
        <v>2781166</v>
      </c>
      <c r="G138" s="19" t="n">
        <v>50.8</v>
      </c>
      <c r="H138" s="17" t="n">
        <f aca="false">IF(G138="","",RANK(G138,$G$5:$G$281))</f>
        <v>133</v>
      </c>
      <c r="I138" s="19" t="n">
        <v>10</v>
      </c>
      <c r="J138" s="17" t="n">
        <f aca="false">IF(I138="","",RANK(I138,$I$5:$I$281))</f>
        <v>264</v>
      </c>
      <c r="K138" s="19" t="n">
        <v>25.5</v>
      </c>
      <c r="L138" s="17" t="n">
        <f aca="false">IF(K138="","",RANK(K138,$K$5:$K$281))</f>
        <v>228</v>
      </c>
      <c r="M138" s="17" t="str">
        <f aca="false">IF(AND(N(G138)&gt;=N(I138),N(G138)&gt;=N(K138)),"The Pulse",IF(N(I138)&gt;=N(K138),"The Lens","The Hub"))</f>
        <v>The Pulse</v>
      </c>
      <c r="N138" s="20" t="s">
        <v>74</v>
      </c>
      <c r="O138" s="17" t="s">
        <v>19</v>
      </c>
    </row>
    <row r="139" customFormat="false" ht="15" hidden="false" customHeight="false" outlineLevel="0" collapsed="false">
      <c r="A139" s="17" t="s">
        <v>369</v>
      </c>
      <c r="B139" s="17" t="s">
        <v>370</v>
      </c>
      <c r="C139" s="17" t="s">
        <v>81</v>
      </c>
      <c r="D139" s="17" t="s">
        <v>108</v>
      </c>
      <c r="E139" s="17" t="s">
        <v>129</v>
      </c>
      <c r="F139" s="18" t="n">
        <v>102287</v>
      </c>
      <c r="G139" s="19" t="n">
        <v>50.1</v>
      </c>
      <c r="H139" s="17" t="n">
        <f aca="false">IF(G139="","",RANK(G139,$G$5:$G$281))</f>
        <v>135</v>
      </c>
      <c r="I139" s="19" t="n">
        <v>56.1</v>
      </c>
      <c r="J139" s="17" t="n">
        <f aca="false">IF(I139="","",RANK(I139,$I$5:$I$281))</f>
        <v>100</v>
      </c>
      <c r="K139" s="19" t="n">
        <v>53.4</v>
      </c>
      <c r="L139" s="17" t="n">
        <f aca="false">IF(K139="","",RANK(K139,$K$5:$K$281))</f>
        <v>115</v>
      </c>
      <c r="M139" s="17" t="str">
        <f aca="false">IF(AND(N(G139)&gt;=N(I139),N(G139)&gt;=N(K139)),"The Pulse",IF(N(I139)&gt;=N(K139),"The Lens","The Hub"))</f>
        <v>The Lens</v>
      </c>
      <c r="N139" s="21" t="s">
        <v>78</v>
      </c>
      <c r="O139" s="17" t="s">
        <v>126</v>
      </c>
    </row>
    <row r="140" customFormat="false" ht="15" hidden="false" customHeight="false" outlineLevel="0" collapsed="false">
      <c r="A140" s="17" t="s">
        <v>371</v>
      </c>
      <c r="B140" s="17" t="s">
        <v>372</v>
      </c>
      <c r="C140" s="17" t="s">
        <v>72</v>
      </c>
      <c r="D140" s="17" t="s">
        <v>115</v>
      </c>
      <c r="E140" s="17" t="s">
        <v>157</v>
      </c>
      <c r="F140" s="18" t="n">
        <v>18972</v>
      </c>
      <c r="G140" s="19" t="n">
        <v>49.2</v>
      </c>
      <c r="H140" s="17" t="n">
        <f aca="false">IF(G140="","",RANK(G140,$G$5:$G$281))</f>
        <v>136</v>
      </c>
      <c r="I140" s="19" t="n">
        <v>55.6</v>
      </c>
      <c r="J140" s="17" t="n">
        <f aca="false">IF(I140="","",RANK(I140,$I$5:$I$281))</f>
        <v>104</v>
      </c>
      <c r="K140" s="19" t="n">
        <v>48.8</v>
      </c>
      <c r="L140" s="17" t="n">
        <f aca="false">IF(K140="","",RANK(K140,$K$5:$K$281))</f>
        <v>141</v>
      </c>
      <c r="M140" s="17" t="str">
        <f aca="false">IF(AND(N(G140)&gt;=N(I140),N(G140)&gt;=N(K140)),"The Pulse",IF(N(I140)&gt;=N(K140),"The Lens","The Hub"))</f>
        <v>The Lens</v>
      </c>
      <c r="N140" s="20" t="s">
        <v>74</v>
      </c>
      <c r="O140" s="17" t="s">
        <v>19</v>
      </c>
    </row>
    <row r="141" customFormat="false" ht="15" hidden="false" customHeight="false" outlineLevel="0" collapsed="false">
      <c r="A141" s="17" t="s">
        <v>373</v>
      </c>
      <c r="B141" s="17" t="s">
        <v>374</v>
      </c>
      <c r="C141" s="17" t="s">
        <v>102</v>
      </c>
      <c r="D141" s="17" t="s">
        <v>118</v>
      </c>
      <c r="E141" s="17" t="s">
        <v>125</v>
      </c>
      <c r="F141" s="18" t="n">
        <v>89110</v>
      </c>
      <c r="G141" s="19" t="n">
        <v>49.1</v>
      </c>
      <c r="H141" s="17" t="n">
        <f aca="false">IF(G141="","",RANK(G141,$G$5:$G$281))</f>
        <v>137</v>
      </c>
      <c r="I141" s="19" t="n">
        <v>80.3</v>
      </c>
      <c r="J141" s="17" t="n">
        <f aca="false">IF(I141="","",RANK(I141,$I$5:$I$281))</f>
        <v>24</v>
      </c>
      <c r="K141" s="19" t="n">
        <v>81.3</v>
      </c>
      <c r="L141" s="17" t="n">
        <f aca="false">IF(K141="","",RANK(K141,$K$5:$K$281))</f>
        <v>37</v>
      </c>
      <c r="M141" s="17" t="str">
        <f aca="false">IF(AND(N(G141)&gt;=N(I141),N(G141)&gt;=N(K141)),"The Pulse",IF(N(I141)&gt;=N(K141),"The Lens","The Hub"))</f>
        <v>The Hub</v>
      </c>
      <c r="N141" s="20" t="s">
        <v>74</v>
      </c>
      <c r="O141" s="17" t="s">
        <v>19</v>
      </c>
    </row>
    <row r="142" customFormat="false" ht="15" hidden="false" customHeight="false" outlineLevel="0" collapsed="false">
      <c r="A142" s="17" t="s">
        <v>375</v>
      </c>
      <c r="B142" s="17" t="s">
        <v>376</v>
      </c>
      <c r="C142" s="17" t="s">
        <v>77</v>
      </c>
      <c r="D142" s="17" t="s">
        <v>118</v>
      </c>
      <c r="E142" s="17" t="s">
        <v>129</v>
      </c>
      <c r="F142" s="18" t="n">
        <v>465947</v>
      </c>
      <c r="G142" s="19" t="n">
        <v>49.1</v>
      </c>
      <c r="H142" s="17" t="n">
        <f aca="false">IF(G142="","",RANK(G142,$G$5:$G$281))</f>
        <v>137</v>
      </c>
      <c r="I142" s="19" t="n">
        <v>34.2</v>
      </c>
      <c r="J142" s="17" t="n">
        <f aca="false">IF(I142="","",RANK(I142,$I$5:$I$281))</f>
        <v>202</v>
      </c>
      <c r="K142" s="19" t="n">
        <v>77.7</v>
      </c>
      <c r="L142" s="17" t="n">
        <f aca="false">IF(K142="","",RANK(K142,$K$5:$K$281))</f>
        <v>45</v>
      </c>
      <c r="M142" s="17" t="str">
        <f aca="false">IF(AND(N(G142)&gt;=N(I142),N(G142)&gt;=N(K142)),"The Pulse",IF(N(I142)&gt;=N(K142),"The Lens","The Hub"))</f>
        <v>The Hub</v>
      </c>
      <c r="N142" s="20" t="s">
        <v>74</v>
      </c>
      <c r="O142" s="17" t="s">
        <v>19</v>
      </c>
    </row>
    <row r="143" customFormat="false" ht="15" hidden="false" customHeight="false" outlineLevel="0" collapsed="false">
      <c r="A143" s="17" t="s">
        <v>377</v>
      </c>
      <c r="B143" s="17" t="s">
        <v>378</v>
      </c>
      <c r="C143" s="17" t="s">
        <v>105</v>
      </c>
      <c r="D143" s="17" t="s">
        <v>96</v>
      </c>
      <c r="E143" s="17" t="s">
        <v>129</v>
      </c>
      <c r="F143" s="18" t="n">
        <v>343433</v>
      </c>
      <c r="G143" s="19" t="n">
        <v>48.9</v>
      </c>
      <c r="H143" s="17" t="n">
        <f aca="false">IF(G143="","",RANK(G143,$G$5:$G$281))</f>
        <v>139</v>
      </c>
      <c r="I143" s="19" t="n">
        <v>50.1</v>
      </c>
      <c r="J143" s="17" t="n">
        <f aca="false">IF(I143="","",RANK(I143,$I$5:$I$281))</f>
        <v>139</v>
      </c>
      <c r="K143" s="19" t="n">
        <v>47.7</v>
      </c>
      <c r="L143" s="17" t="n">
        <f aca="false">IF(K143="","",RANK(K143,$K$5:$K$281))</f>
        <v>146</v>
      </c>
      <c r="M143" s="17" t="str">
        <f aca="false">IF(AND(N(G143)&gt;=N(I143),N(G143)&gt;=N(K143)),"The Pulse",IF(N(I143)&gt;=N(K143),"The Lens","The Hub"))</f>
        <v>The Lens</v>
      </c>
      <c r="N143" s="21" t="s">
        <v>78</v>
      </c>
      <c r="O143" s="17" t="s">
        <v>126</v>
      </c>
    </row>
    <row r="144" customFormat="false" ht="15" hidden="false" customHeight="false" outlineLevel="0" collapsed="false">
      <c r="A144" s="17" t="s">
        <v>379</v>
      </c>
      <c r="B144" s="17" t="s">
        <v>380</v>
      </c>
      <c r="C144" s="17" t="s">
        <v>77</v>
      </c>
      <c r="D144" s="17" t="s">
        <v>82</v>
      </c>
      <c r="E144" s="17" t="s">
        <v>46</v>
      </c>
      <c r="F144" s="18" t="n">
        <v>16063</v>
      </c>
      <c r="G144" s="19" t="n">
        <v>48.8</v>
      </c>
      <c r="H144" s="17" t="n">
        <f aca="false">IF(G144="","",RANK(G144,$G$5:$G$281))</f>
        <v>140</v>
      </c>
      <c r="I144" s="19" t="n">
        <v>10.4</v>
      </c>
      <c r="J144" s="17" t="n">
        <f aca="false">IF(I144="","",RANK(I144,$I$5:$I$281))</f>
        <v>263</v>
      </c>
      <c r="K144" s="19" t="n">
        <v>29.3</v>
      </c>
      <c r="L144" s="17" t="n">
        <f aca="false">IF(K144="","",RANK(K144,$K$5:$K$281))</f>
        <v>221</v>
      </c>
      <c r="M144" s="17" t="str">
        <f aca="false">IF(AND(N(G144)&gt;=N(I144),N(G144)&gt;=N(K144)),"The Pulse",IF(N(I144)&gt;=N(K144),"The Lens","The Hub"))</f>
        <v>The Pulse</v>
      </c>
      <c r="N144" s="20" t="s">
        <v>74</v>
      </c>
      <c r="O144" s="17" t="s">
        <v>19</v>
      </c>
    </row>
    <row r="145" customFormat="false" ht="15" hidden="false" customHeight="false" outlineLevel="0" collapsed="false">
      <c r="A145" s="17" t="s">
        <v>381</v>
      </c>
      <c r="B145" s="17" t="s">
        <v>382</v>
      </c>
      <c r="C145" s="17" t="s">
        <v>87</v>
      </c>
      <c r="D145" s="17" t="s">
        <v>96</v>
      </c>
      <c r="E145" s="17" t="s">
        <v>157</v>
      </c>
      <c r="F145" s="18" t="n">
        <v>356100</v>
      </c>
      <c r="G145" s="19" t="n">
        <v>48.6</v>
      </c>
      <c r="H145" s="17" t="n">
        <f aca="false">IF(G145="","",RANK(G145,$G$5:$G$281))</f>
        <v>141</v>
      </c>
      <c r="I145" s="19" t="n">
        <v>51.8</v>
      </c>
      <c r="J145" s="17" t="n">
        <f aca="false">IF(I145="","",RANK(I145,$I$5:$I$281))</f>
        <v>127</v>
      </c>
      <c r="K145" s="19" t="n">
        <v>41.8</v>
      </c>
      <c r="L145" s="17" t="n">
        <f aca="false">IF(K145="","",RANK(K145,$K$5:$K$281))</f>
        <v>183</v>
      </c>
      <c r="M145" s="17" t="str">
        <f aca="false">IF(AND(N(G145)&gt;=N(I145),N(G145)&gt;=N(K145)),"The Pulse",IF(N(I145)&gt;=N(K145),"The Lens","The Hub"))</f>
        <v>The Lens</v>
      </c>
      <c r="N145" s="21" t="s">
        <v>78</v>
      </c>
      <c r="O145" s="17" t="s">
        <v>126</v>
      </c>
    </row>
    <row r="146" customFormat="false" ht="15" hidden="false" customHeight="false" outlineLevel="0" collapsed="false">
      <c r="A146" s="17" t="s">
        <v>383</v>
      </c>
      <c r="B146" s="17" t="s">
        <v>384</v>
      </c>
      <c r="C146" s="17" t="s">
        <v>81</v>
      </c>
      <c r="D146" s="17" t="s">
        <v>99</v>
      </c>
      <c r="E146" s="17" t="s">
        <v>129</v>
      </c>
      <c r="F146" s="18" t="n">
        <v>1698852</v>
      </c>
      <c r="G146" s="19" t="n">
        <v>48.4</v>
      </c>
      <c r="H146" s="17" t="n">
        <f aca="false">IF(G146="","",RANK(G146,$G$5:$G$281))</f>
        <v>142</v>
      </c>
      <c r="I146" s="19" t="n">
        <v>57.6</v>
      </c>
      <c r="J146" s="17" t="n">
        <f aca="false">IF(I146="","",RANK(I146,$I$5:$I$281))</f>
        <v>94</v>
      </c>
      <c r="K146" s="19" t="n">
        <v>37</v>
      </c>
      <c r="L146" s="17" t="n">
        <f aca="false">IF(K146="","",RANK(K146,$K$5:$K$281))</f>
        <v>193</v>
      </c>
      <c r="M146" s="17" t="str">
        <f aca="false">IF(AND(N(G146)&gt;=N(I146),N(G146)&gt;=N(K146)),"The Pulse",IF(N(I146)&gt;=N(K146),"The Lens","The Hub"))</f>
        <v>The Lens</v>
      </c>
      <c r="N146" s="21" t="s">
        <v>78</v>
      </c>
      <c r="O146" s="17" t="s">
        <v>126</v>
      </c>
    </row>
    <row r="147" customFormat="false" ht="15" hidden="false" customHeight="false" outlineLevel="0" collapsed="false">
      <c r="A147" s="17" t="s">
        <v>385</v>
      </c>
      <c r="B147" s="17" t="s">
        <v>386</v>
      </c>
      <c r="C147" s="17" t="s">
        <v>105</v>
      </c>
      <c r="D147" s="17" t="s">
        <v>170</v>
      </c>
      <c r="E147" s="17" t="s">
        <v>157</v>
      </c>
      <c r="F147" s="18" t="n">
        <v>337952</v>
      </c>
      <c r="G147" s="19" t="n">
        <v>48.2</v>
      </c>
      <c r="H147" s="17" t="n">
        <f aca="false">IF(G147="","",RANK(G147,$G$5:$G$281))</f>
        <v>143</v>
      </c>
      <c r="I147" s="19" t="n">
        <v>53.8</v>
      </c>
      <c r="J147" s="17" t="n">
        <f aca="false">IF(I147="","",RANK(I147,$I$5:$I$281))</f>
        <v>112</v>
      </c>
      <c r="K147" s="19" t="n">
        <v>30.2</v>
      </c>
      <c r="L147" s="17" t="n">
        <f aca="false">IF(K147="","",RANK(K147,$K$5:$K$281))</f>
        <v>217</v>
      </c>
      <c r="M147" s="17" t="str">
        <f aca="false">IF(AND(N(G147)&gt;=N(I147),N(G147)&gt;=N(K147)),"The Pulse",IF(N(I147)&gt;=N(K147),"The Lens","The Hub"))</f>
        <v>The Lens</v>
      </c>
      <c r="N147" s="20" t="s">
        <v>74</v>
      </c>
      <c r="O147" s="17" t="s">
        <v>19</v>
      </c>
    </row>
    <row r="148" customFormat="false" ht="15" hidden="false" customHeight="false" outlineLevel="0" collapsed="false">
      <c r="A148" s="17" t="s">
        <v>387</v>
      </c>
      <c r="B148" s="17" t="s">
        <v>388</v>
      </c>
      <c r="C148" s="17" t="s">
        <v>138</v>
      </c>
      <c r="D148" s="17" t="s">
        <v>111</v>
      </c>
      <c r="E148" s="17" t="s">
        <v>129</v>
      </c>
      <c r="F148" s="18" t="n">
        <v>141664</v>
      </c>
      <c r="G148" s="19" t="n">
        <v>47.8</v>
      </c>
      <c r="H148" s="17" t="n">
        <f aca="false">IF(G148="","",RANK(G148,$G$5:$G$281))</f>
        <v>144</v>
      </c>
      <c r="I148" s="19" t="n">
        <v>38.9</v>
      </c>
      <c r="J148" s="17" t="n">
        <f aca="false">IF(I148="","",RANK(I148,$I$5:$I$281))</f>
        <v>190</v>
      </c>
      <c r="K148" s="19" t="n">
        <v>55.8</v>
      </c>
      <c r="L148" s="17" t="n">
        <f aca="false">IF(K148="","",RANK(K148,$K$5:$K$281))</f>
        <v>105</v>
      </c>
      <c r="M148" s="17" t="str">
        <f aca="false">IF(AND(N(G148)&gt;=N(I148),N(G148)&gt;=N(K148)),"The Pulse",IF(N(I148)&gt;=N(K148),"The Lens","The Hub"))</f>
        <v>The Hub</v>
      </c>
      <c r="N148" s="21" t="s">
        <v>78</v>
      </c>
      <c r="O148" s="17" t="s">
        <v>126</v>
      </c>
    </row>
    <row r="149" customFormat="false" ht="15" hidden="false" customHeight="false" outlineLevel="0" collapsed="false">
      <c r="A149" s="17" t="s">
        <v>389</v>
      </c>
      <c r="B149" s="17" t="s">
        <v>390</v>
      </c>
      <c r="C149" s="17" t="s">
        <v>133</v>
      </c>
      <c r="D149" s="17" t="s">
        <v>93</v>
      </c>
      <c r="E149" s="17" t="s">
        <v>129</v>
      </c>
      <c r="F149" s="18" t="n">
        <v>113278</v>
      </c>
      <c r="G149" s="19" t="n">
        <v>47.7</v>
      </c>
      <c r="H149" s="17" t="n">
        <f aca="false">IF(G149="","",RANK(G149,$G$5:$G$281))</f>
        <v>145</v>
      </c>
      <c r="I149" s="19" t="n">
        <v>57.1</v>
      </c>
      <c r="J149" s="17" t="n">
        <f aca="false">IF(I149="","",RANK(I149,$I$5:$I$281))</f>
        <v>97</v>
      </c>
      <c r="K149" s="19" t="n">
        <v>57.7</v>
      </c>
      <c r="L149" s="17" t="n">
        <f aca="false">IF(K149="","",RANK(K149,$K$5:$K$281))</f>
        <v>101</v>
      </c>
      <c r="M149" s="17" t="str">
        <f aca="false">IF(AND(N(G149)&gt;=N(I149),N(G149)&gt;=N(K149)),"The Pulse",IF(N(I149)&gt;=N(K149),"The Lens","The Hub"))</f>
        <v>The Hub</v>
      </c>
      <c r="N149" s="21" t="s">
        <v>78</v>
      </c>
      <c r="O149" s="17" t="s">
        <v>126</v>
      </c>
    </row>
    <row r="150" customFormat="false" ht="15" hidden="false" customHeight="false" outlineLevel="0" collapsed="false">
      <c r="A150" s="17" t="s">
        <v>391</v>
      </c>
      <c r="B150" s="17" t="s">
        <v>392</v>
      </c>
      <c r="C150" s="17" t="s">
        <v>105</v>
      </c>
      <c r="D150" s="17" t="s">
        <v>111</v>
      </c>
      <c r="E150" s="17" t="s">
        <v>45</v>
      </c>
      <c r="F150" s="18" t="n">
        <v>64830</v>
      </c>
      <c r="G150" s="19" t="n">
        <v>47.6</v>
      </c>
      <c r="H150" s="17" t="n">
        <f aca="false">IF(G150="","",RANK(G150,$G$5:$G$281))</f>
        <v>146</v>
      </c>
      <c r="I150" s="19" t="n">
        <v>29</v>
      </c>
      <c r="J150" s="17" t="n">
        <f aca="false">IF(I150="","",RANK(I150,$I$5:$I$281))</f>
        <v>216</v>
      </c>
      <c r="K150" s="19" t="n">
        <v>96.4</v>
      </c>
      <c r="L150" s="17" t="n">
        <f aca="false">IF(K150="","",RANK(K150,$K$5:$K$281))</f>
        <v>4</v>
      </c>
      <c r="M150" s="17" t="str">
        <f aca="false">IF(AND(N(G150)&gt;=N(I150),N(G150)&gt;=N(K150)),"The Pulse",IF(N(I150)&gt;=N(K150),"The Lens","The Hub"))</f>
        <v>The Hub</v>
      </c>
      <c r="N150" s="21" t="s">
        <v>78</v>
      </c>
      <c r="O150" s="17" t="s">
        <v>126</v>
      </c>
    </row>
    <row r="151" customFormat="false" ht="15" hidden="false" customHeight="false" outlineLevel="0" collapsed="false">
      <c r="A151" s="17" t="s">
        <v>393</v>
      </c>
      <c r="B151" s="17" t="s">
        <v>394</v>
      </c>
      <c r="C151" s="17" t="s">
        <v>105</v>
      </c>
      <c r="D151" s="17" t="s">
        <v>73</v>
      </c>
      <c r="E151" s="17" t="s">
        <v>157</v>
      </c>
      <c r="F151" s="18" t="n">
        <v>66549</v>
      </c>
      <c r="G151" s="19" t="n">
        <v>47.2</v>
      </c>
      <c r="H151" s="17" t="n">
        <f aca="false">IF(G151="","",RANK(G151,$G$5:$G$281))</f>
        <v>147</v>
      </c>
      <c r="I151" s="19" t="n">
        <v>24.7</v>
      </c>
      <c r="J151" s="17" t="n">
        <f aca="false">IF(I151="","",RANK(I151,$I$5:$I$281))</f>
        <v>229</v>
      </c>
      <c r="K151" s="19" t="n">
        <v>84.2</v>
      </c>
      <c r="L151" s="17" t="n">
        <f aca="false">IF(K151="","",RANK(K151,$K$5:$K$281))</f>
        <v>32</v>
      </c>
      <c r="M151" s="17" t="str">
        <f aca="false">IF(AND(N(G151)&gt;=N(I151),N(G151)&gt;=N(K151)),"The Pulse",IF(N(I151)&gt;=N(K151),"The Lens","The Hub"))</f>
        <v>The Hub</v>
      </c>
      <c r="N151" s="20" t="s">
        <v>74</v>
      </c>
      <c r="O151" s="17" t="s">
        <v>19</v>
      </c>
    </row>
    <row r="152" customFormat="false" ht="15" hidden="false" customHeight="false" outlineLevel="0" collapsed="false">
      <c r="A152" s="17" t="s">
        <v>395</v>
      </c>
      <c r="B152" s="17" t="s">
        <v>396</v>
      </c>
      <c r="C152" s="17" t="s">
        <v>105</v>
      </c>
      <c r="D152" s="17" t="s">
        <v>73</v>
      </c>
      <c r="E152" s="17" t="s">
        <v>129</v>
      </c>
      <c r="F152" s="18" t="n">
        <v>175692</v>
      </c>
      <c r="G152" s="19" t="n">
        <v>47.1</v>
      </c>
      <c r="H152" s="17" t="n">
        <f aca="false">IF(G152="","",RANK(G152,$G$5:$G$281))</f>
        <v>148</v>
      </c>
      <c r="I152" s="19" t="n">
        <v>49.5</v>
      </c>
      <c r="J152" s="17" t="n">
        <f aca="false">IF(I152="","",RANK(I152,$I$5:$I$281))</f>
        <v>142</v>
      </c>
      <c r="K152" s="19" t="n">
        <v>46.1</v>
      </c>
      <c r="L152" s="17" t="n">
        <f aca="false">IF(K152="","",RANK(K152,$K$5:$K$281))</f>
        <v>153</v>
      </c>
      <c r="M152" s="17" t="str">
        <f aca="false">IF(AND(N(G152)&gt;=N(I152),N(G152)&gt;=N(K152)),"The Pulse",IF(N(I152)&gt;=N(K152),"The Lens","The Hub"))</f>
        <v>The Lens</v>
      </c>
      <c r="N152" s="21" t="s">
        <v>78</v>
      </c>
      <c r="O152" s="17" t="s">
        <v>126</v>
      </c>
    </row>
    <row r="153" customFormat="false" ht="15" hidden="false" customHeight="false" outlineLevel="0" collapsed="false">
      <c r="A153" s="17" t="s">
        <v>397</v>
      </c>
      <c r="B153" s="17" t="s">
        <v>398</v>
      </c>
      <c r="C153" s="17" t="s">
        <v>138</v>
      </c>
      <c r="D153" s="17" t="s">
        <v>108</v>
      </c>
      <c r="E153" s="17" t="s">
        <v>175</v>
      </c>
      <c r="F153" s="18" t="n">
        <v>204812</v>
      </c>
      <c r="G153" s="19" t="n">
        <v>46.8</v>
      </c>
      <c r="H153" s="17" t="n">
        <f aca="false">IF(G153="","",RANK(G153,$G$5:$G$281))</f>
        <v>149</v>
      </c>
      <c r="I153" s="19" t="n">
        <v>47.4</v>
      </c>
      <c r="J153" s="17" t="n">
        <f aca="false">IF(I153="","",RANK(I153,$I$5:$I$281))</f>
        <v>153</v>
      </c>
      <c r="K153" s="19" t="n">
        <v>30.3</v>
      </c>
      <c r="L153" s="17" t="n">
        <f aca="false">IF(K153="","",RANK(K153,$K$5:$K$281))</f>
        <v>215</v>
      </c>
      <c r="M153" s="17" t="str">
        <f aca="false">IF(AND(N(G153)&gt;=N(I153),N(G153)&gt;=N(K153)),"The Pulse",IF(N(I153)&gt;=N(K153),"The Lens","The Hub"))</f>
        <v>The Lens</v>
      </c>
      <c r="N153" s="21" t="s">
        <v>78</v>
      </c>
      <c r="O153" s="17" t="s">
        <v>126</v>
      </c>
    </row>
    <row r="154" customFormat="false" ht="15" hidden="false" customHeight="false" outlineLevel="0" collapsed="false">
      <c r="A154" s="17" t="s">
        <v>399</v>
      </c>
      <c r="B154" s="17" t="s">
        <v>400</v>
      </c>
      <c r="C154" s="17" t="s">
        <v>87</v>
      </c>
      <c r="D154" s="17" t="s">
        <v>115</v>
      </c>
      <c r="E154" s="17" t="s">
        <v>125</v>
      </c>
      <c r="F154" s="18" t="n">
        <v>40040</v>
      </c>
      <c r="G154" s="19" t="n">
        <v>46.7</v>
      </c>
      <c r="H154" s="17" t="n">
        <f aca="false">IF(G154="","",RANK(G154,$G$5:$G$281))</f>
        <v>150</v>
      </c>
      <c r="I154" s="19" t="n">
        <v>51.4</v>
      </c>
      <c r="J154" s="17" t="n">
        <f aca="false">IF(I154="","",RANK(I154,$I$5:$I$281))</f>
        <v>131</v>
      </c>
      <c r="K154" s="19" t="n">
        <v>88.9</v>
      </c>
      <c r="L154" s="17" t="n">
        <f aca="false">IF(K154="","",RANK(K154,$K$5:$K$281))</f>
        <v>20</v>
      </c>
      <c r="M154" s="17" t="str">
        <f aca="false">IF(AND(N(G154)&gt;=N(I154),N(G154)&gt;=N(K154)),"The Pulse",IF(N(I154)&gt;=N(K154),"The Lens","The Hub"))</f>
        <v>The Hub</v>
      </c>
      <c r="N154" s="21" t="s">
        <v>78</v>
      </c>
      <c r="O154" s="17" t="s">
        <v>126</v>
      </c>
    </row>
    <row r="155" customFormat="false" ht="15" hidden="false" customHeight="false" outlineLevel="0" collapsed="false">
      <c r="A155" s="17" t="s">
        <v>401</v>
      </c>
      <c r="B155" s="17" t="s">
        <v>402</v>
      </c>
      <c r="C155" s="17" t="s">
        <v>138</v>
      </c>
      <c r="D155" s="17" t="s">
        <v>170</v>
      </c>
      <c r="E155" s="17" t="s">
        <v>45</v>
      </c>
      <c r="F155" s="18" t="n">
        <v>125520</v>
      </c>
      <c r="G155" s="19" t="n">
        <v>46.6</v>
      </c>
      <c r="H155" s="17" t="n">
        <f aca="false">IF(G155="","",RANK(G155,$G$5:$G$281))</f>
        <v>151</v>
      </c>
      <c r="I155" s="19" t="n">
        <v>21</v>
      </c>
      <c r="J155" s="17" t="n">
        <f aca="false">IF(I155="","",RANK(I155,$I$5:$I$281))</f>
        <v>238</v>
      </c>
      <c r="K155" s="19" t="n">
        <v>92.3</v>
      </c>
      <c r="L155" s="17" t="n">
        <f aca="false">IF(K155="","",RANK(K155,$K$5:$K$281))</f>
        <v>13</v>
      </c>
      <c r="M155" s="17" t="str">
        <f aca="false">IF(AND(N(G155)&gt;=N(I155),N(G155)&gt;=N(K155)),"The Pulse",IF(N(I155)&gt;=N(K155),"The Lens","The Hub"))</f>
        <v>The Hub</v>
      </c>
      <c r="N155" s="21" t="s">
        <v>78</v>
      </c>
      <c r="O155" s="17" t="s">
        <v>21</v>
      </c>
    </row>
    <row r="156" customFormat="false" ht="15" hidden="false" customHeight="false" outlineLevel="0" collapsed="false">
      <c r="A156" s="17" t="s">
        <v>403</v>
      </c>
      <c r="B156" s="17" t="s">
        <v>404</v>
      </c>
      <c r="C156" s="17" t="s">
        <v>77</v>
      </c>
      <c r="D156" s="17" t="s">
        <v>115</v>
      </c>
      <c r="E156" s="17" t="s">
        <v>129</v>
      </c>
      <c r="F156" s="18" t="n">
        <v>31319</v>
      </c>
      <c r="G156" s="19" t="n">
        <v>46.6</v>
      </c>
      <c r="H156" s="17" t="n">
        <f aca="false">IF(G156="","",RANK(G156,$G$5:$G$281))</f>
        <v>151</v>
      </c>
      <c r="I156" s="19" t="n">
        <v>36.8</v>
      </c>
      <c r="J156" s="17" t="n">
        <f aca="false">IF(I156="","",RANK(I156,$I$5:$I$281))</f>
        <v>195</v>
      </c>
      <c r="K156" s="19" t="n">
        <v>51.9</v>
      </c>
      <c r="L156" s="17" t="n">
        <f aca="false">IF(K156="","",RANK(K156,$K$5:$K$281))</f>
        <v>121</v>
      </c>
      <c r="M156" s="17" t="str">
        <f aca="false">IF(AND(N(G156)&gt;=N(I156),N(G156)&gt;=N(K156)),"The Pulse",IF(N(I156)&gt;=N(K156),"The Lens","The Hub"))</f>
        <v>The Hub</v>
      </c>
      <c r="N156" s="21" t="s">
        <v>78</v>
      </c>
      <c r="O156" s="17" t="s">
        <v>126</v>
      </c>
    </row>
    <row r="157" customFormat="false" ht="15" hidden="false" customHeight="false" outlineLevel="0" collapsed="false">
      <c r="A157" s="17" t="s">
        <v>405</v>
      </c>
      <c r="B157" s="17" t="s">
        <v>406</v>
      </c>
      <c r="C157" s="17" t="s">
        <v>92</v>
      </c>
      <c r="D157" s="17" t="s">
        <v>93</v>
      </c>
      <c r="E157" s="17" t="s">
        <v>129</v>
      </c>
      <c r="F157" s="18" t="n">
        <v>142720</v>
      </c>
      <c r="G157" s="19" t="n">
        <v>46.2</v>
      </c>
      <c r="H157" s="17" t="n">
        <f aca="false">IF(G157="","",RANK(G157,$G$5:$G$281))</f>
        <v>153</v>
      </c>
      <c r="I157" s="19" t="n">
        <v>55.4</v>
      </c>
      <c r="J157" s="17" t="n">
        <f aca="false">IF(I157="","",RANK(I157,$I$5:$I$281))</f>
        <v>105</v>
      </c>
      <c r="K157" s="19" t="n">
        <v>39.4</v>
      </c>
      <c r="L157" s="17" t="n">
        <f aca="false">IF(K157="","",RANK(K157,$K$5:$K$281))</f>
        <v>191</v>
      </c>
      <c r="M157" s="17" t="str">
        <f aca="false">IF(AND(N(G157)&gt;=N(I157),N(G157)&gt;=N(K157)),"The Pulse",IF(N(I157)&gt;=N(K157),"The Lens","The Hub"))</f>
        <v>The Lens</v>
      </c>
      <c r="N157" s="21" t="s">
        <v>78</v>
      </c>
      <c r="O157" s="17" t="s">
        <v>126</v>
      </c>
    </row>
    <row r="158" customFormat="false" ht="15" hidden="false" customHeight="false" outlineLevel="0" collapsed="false">
      <c r="A158" s="17" t="s">
        <v>407</v>
      </c>
      <c r="B158" s="17" t="s">
        <v>408</v>
      </c>
      <c r="C158" s="17" t="s">
        <v>72</v>
      </c>
      <c r="D158" s="17" t="s">
        <v>170</v>
      </c>
      <c r="E158" s="17" t="s">
        <v>157</v>
      </c>
      <c r="F158" s="18" t="n">
        <v>59647</v>
      </c>
      <c r="G158" s="19" t="n">
        <v>46.1</v>
      </c>
      <c r="H158" s="17" t="n">
        <f aca="false">IF(G158="","",RANK(G158,$G$5:$G$281))</f>
        <v>154</v>
      </c>
      <c r="I158" s="19" t="n">
        <v>51.8</v>
      </c>
      <c r="J158" s="17" t="n">
        <f aca="false">IF(I158="","",RANK(I158,$I$5:$I$281))</f>
        <v>127</v>
      </c>
      <c r="K158" s="19" t="n">
        <v>32.6</v>
      </c>
      <c r="L158" s="17" t="n">
        <f aca="false">IF(K158="","",RANK(K158,$K$5:$K$281))</f>
        <v>211</v>
      </c>
      <c r="M158" s="17" t="str">
        <f aca="false">IF(AND(N(G158)&gt;=N(I158),N(G158)&gt;=N(K158)),"The Pulse",IF(N(I158)&gt;=N(K158),"The Lens","The Hub"))</f>
        <v>The Lens</v>
      </c>
      <c r="N158" s="20" t="s">
        <v>74</v>
      </c>
      <c r="O158" s="17" t="s">
        <v>19</v>
      </c>
    </row>
    <row r="159" customFormat="false" ht="15" hidden="false" customHeight="false" outlineLevel="0" collapsed="false">
      <c r="A159" s="17" t="s">
        <v>409</v>
      </c>
      <c r="B159" s="17" t="s">
        <v>410</v>
      </c>
      <c r="C159" s="17" t="s">
        <v>92</v>
      </c>
      <c r="D159" s="17" t="s">
        <v>73</v>
      </c>
      <c r="E159" s="17" t="s">
        <v>175</v>
      </c>
      <c r="F159" s="18" t="n">
        <v>65710</v>
      </c>
      <c r="G159" s="19" t="n">
        <v>46.1</v>
      </c>
      <c r="H159" s="17" t="n">
        <f aca="false">IF(G159="","",RANK(G159,$G$5:$G$281))</f>
        <v>154</v>
      </c>
      <c r="I159" s="19" t="n">
        <v>73.1</v>
      </c>
      <c r="J159" s="17" t="n">
        <f aca="false">IF(I159="","",RANK(I159,$I$5:$I$281))</f>
        <v>46</v>
      </c>
      <c r="K159" s="19" t="n">
        <v>43.2</v>
      </c>
      <c r="L159" s="17" t="n">
        <f aca="false">IF(K159="","",RANK(K159,$K$5:$K$281))</f>
        <v>170</v>
      </c>
      <c r="M159" s="17" t="str">
        <f aca="false">IF(AND(N(G159)&gt;=N(I159),N(G159)&gt;=N(K159)),"The Pulse",IF(N(I159)&gt;=N(K159),"The Lens","The Hub"))</f>
        <v>The Lens</v>
      </c>
      <c r="N159" s="21" t="s">
        <v>78</v>
      </c>
      <c r="O159" s="17" t="s">
        <v>21</v>
      </c>
    </row>
    <row r="160" customFormat="false" ht="15" hidden="false" customHeight="false" outlineLevel="0" collapsed="false">
      <c r="A160" s="17" t="s">
        <v>411</v>
      </c>
      <c r="B160" s="17" t="s">
        <v>412</v>
      </c>
      <c r="C160" s="17" t="s">
        <v>81</v>
      </c>
      <c r="D160" s="17" t="s">
        <v>99</v>
      </c>
      <c r="E160" s="17" t="s">
        <v>157</v>
      </c>
      <c r="F160" s="18" t="n">
        <v>123382</v>
      </c>
      <c r="G160" s="19" t="n">
        <v>46</v>
      </c>
      <c r="H160" s="17" t="n">
        <f aca="false">IF(G160="","",RANK(G160,$G$5:$G$281))</f>
        <v>156</v>
      </c>
      <c r="I160" s="19" t="n">
        <v>46</v>
      </c>
      <c r="J160" s="17" t="n">
        <f aca="false">IF(I160="","",RANK(I160,$I$5:$I$281))</f>
        <v>158</v>
      </c>
      <c r="K160" s="19" t="n">
        <v>44</v>
      </c>
      <c r="L160" s="17" t="n">
        <f aca="false">IF(K160="","",RANK(K160,$K$5:$K$281))</f>
        <v>168</v>
      </c>
      <c r="M160" s="17" t="str">
        <f aca="false">IF(AND(N(G160)&gt;=N(I160),N(G160)&gt;=N(K160)),"The Pulse",IF(N(I160)&gt;=N(K160),"The Lens","The Hub"))</f>
        <v>The Pulse</v>
      </c>
      <c r="N160" s="22" t="s">
        <v>83</v>
      </c>
      <c r="O160" s="17" t="s">
        <v>84</v>
      </c>
    </row>
    <row r="161" customFormat="false" ht="15" hidden="false" customHeight="false" outlineLevel="0" collapsed="false">
      <c r="A161" s="17" t="s">
        <v>413</v>
      </c>
      <c r="B161" s="17" t="s">
        <v>414</v>
      </c>
      <c r="C161" s="17" t="s">
        <v>102</v>
      </c>
      <c r="D161" s="17" t="s">
        <v>108</v>
      </c>
      <c r="E161" s="17" t="s">
        <v>129</v>
      </c>
      <c r="F161" s="18" t="n">
        <v>87510</v>
      </c>
      <c r="G161" s="19" t="n">
        <v>45.7</v>
      </c>
      <c r="H161" s="17" t="n">
        <f aca="false">IF(G161="","",RANK(G161,$G$5:$G$281))</f>
        <v>157</v>
      </c>
      <c r="I161" s="19" t="n">
        <v>78.9</v>
      </c>
      <c r="J161" s="17" t="n">
        <f aca="false">IF(I161="","",RANK(I161,$I$5:$I$281))</f>
        <v>29</v>
      </c>
      <c r="K161" s="19" t="n">
        <v>40.8</v>
      </c>
      <c r="L161" s="17" t="n">
        <f aca="false">IF(K161="","",RANK(K161,$K$5:$K$281))</f>
        <v>187</v>
      </c>
      <c r="M161" s="17" t="str">
        <f aca="false">IF(AND(N(G161)&gt;=N(I161),N(G161)&gt;=N(K161)),"The Pulse",IF(N(I161)&gt;=N(K161),"The Lens","The Hub"))</f>
        <v>The Lens</v>
      </c>
      <c r="N161" s="21" t="s">
        <v>78</v>
      </c>
      <c r="O161" s="17" t="s">
        <v>126</v>
      </c>
    </row>
    <row r="162" customFormat="false" ht="15" hidden="false" customHeight="false" outlineLevel="0" collapsed="false">
      <c r="A162" s="17" t="s">
        <v>415</v>
      </c>
      <c r="B162" s="17" t="s">
        <v>416</v>
      </c>
      <c r="C162" s="17" t="s">
        <v>77</v>
      </c>
      <c r="D162" s="17" t="s">
        <v>93</v>
      </c>
      <c r="E162" s="17" t="s">
        <v>129</v>
      </c>
      <c r="F162" s="18" t="n">
        <v>269187</v>
      </c>
      <c r="G162" s="19" t="n">
        <v>45.5</v>
      </c>
      <c r="H162" s="17" t="n">
        <f aca="false">IF(G162="","",RANK(G162,$G$5:$G$281))</f>
        <v>158</v>
      </c>
      <c r="I162" s="19" t="n">
        <v>54.3</v>
      </c>
      <c r="J162" s="17" t="n">
        <f aca="false">IF(I162="","",RANK(I162,$I$5:$I$281))</f>
        <v>109</v>
      </c>
      <c r="K162" s="19" t="n">
        <v>51</v>
      </c>
      <c r="L162" s="17" t="n">
        <f aca="false">IF(K162="","",RANK(K162,$K$5:$K$281))</f>
        <v>130</v>
      </c>
      <c r="M162" s="17" t="str">
        <f aca="false">IF(AND(N(G162)&gt;=N(I162),N(G162)&gt;=N(K162)),"The Pulse",IF(N(I162)&gt;=N(K162),"The Lens","The Hub"))</f>
        <v>The Lens</v>
      </c>
      <c r="N162" s="20" t="s">
        <v>74</v>
      </c>
      <c r="O162" s="17" t="s">
        <v>19</v>
      </c>
    </row>
    <row r="163" customFormat="false" ht="15" hidden="false" customHeight="false" outlineLevel="0" collapsed="false">
      <c r="A163" s="17" t="s">
        <v>417</v>
      </c>
      <c r="B163" s="17" t="s">
        <v>418</v>
      </c>
      <c r="C163" s="17" t="s">
        <v>72</v>
      </c>
      <c r="D163" s="17" t="s">
        <v>170</v>
      </c>
      <c r="E163" s="17" t="s">
        <v>129</v>
      </c>
      <c r="F163" s="18" t="n">
        <v>312262</v>
      </c>
      <c r="G163" s="19" t="n">
        <v>44.4</v>
      </c>
      <c r="H163" s="17" t="n">
        <f aca="false">IF(G163="","",RANK(G163,$G$5:$G$281))</f>
        <v>159</v>
      </c>
      <c r="I163" s="19" t="n">
        <v>41.2</v>
      </c>
      <c r="J163" s="17" t="n">
        <f aca="false">IF(I163="","",RANK(I163,$I$5:$I$281))</f>
        <v>180</v>
      </c>
      <c r="K163" s="19" t="n">
        <v>27.6</v>
      </c>
      <c r="L163" s="17" t="n">
        <f aca="false">IF(K163="","",RANK(K163,$K$5:$K$281))</f>
        <v>225</v>
      </c>
      <c r="M163" s="17" t="str">
        <f aca="false">IF(AND(N(G163)&gt;=N(I163),N(G163)&gt;=N(K163)),"The Pulse",IF(N(I163)&gt;=N(K163),"The Lens","The Hub"))</f>
        <v>The Pulse</v>
      </c>
      <c r="N163" s="21" t="s">
        <v>78</v>
      </c>
      <c r="O163" s="17" t="s">
        <v>126</v>
      </c>
    </row>
    <row r="164" customFormat="false" ht="15" hidden="false" customHeight="false" outlineLevel="0" collapsed="false">
      <c r="A164" s="17" t="s">
        <v>419</v>
      </c>
      <c r="B164" s="17" t="s">
        <v>420</v>
      </c>
      <c r="C164" s="17" t="s">
        <v>87</v>
      </c>
      <c r="D164" s="17" t="s">
        <v>108</v>
      </c>
      <c r="E164" s="17" t="s">
        <v>129</v>
      </c>
      <c r="F164" s="18" t="n">
        <v>712460</v>
      </c>
      <c r="G164" s="19" t="n">
        <v>44.1</v>
      </c>
      <c r="H164" s="17" t="n">
        <f aca="false">IF(G164="","",RANK(G164,$G$5:$G$281))</f>
        <v>160</v>
      </c>
      <c r="I164" s="19" t="n">
        <v>59.7</v>
      </c>
      <c r="J164" s="17" t="n">
        <f aca="false">IF(I164="","",RANK(I164,$I$5:$I$281))</f>
        <v>89</v>
      </c>
      <c r="K164" s="19" t="n">
        <v>49.8</v>
      </c>
      <c r="L164" s="17" t="n">
        <f aca="false">IF(K164="","",RANK(K164,$K$5:$K$281))</f>
        <v>136</v>
      </c>
      <c r="M164" s="17" t="str">
        <f aca="false">IF(AND(N(G164)&gt;=N(I164),N(G164)&gt;=N(K164)),"The Pulse",IF(N(I164)&gt;=N(K164),"The Lens","The Hub"))</f>
        <v>The Lens</v>
      </c>
      <c r="N164" s="21" t="s">
        <v>78</v>
      </c>
      <c r="O164" s="17" t="s">
        <v>126</v>
      </c>
    </row>
    <row r="165" customFormat="false" ht="15" hidden="false" customHeight="false" outlineLevel="0" collapsed="false">
      <c r="A165" s="17" t="s">
        <v>421</v>
      </c>
      <c r="B165" s="17" t="s">
        <v>422</v>
      </c>
      <c r="C165" s="17" t="s">
        <v>72</v>
      </c>
      <c r="D165" s="17" t="s">
        <v>99</v>
      </c>
      <c r="E165" s="17" t="s">
        <v>129</v>
      </c>
      <c r="F165" s="18" t="n">
        <v>213027</v>
      </c>
      <c r="G165" s="19" t="n">
        <v>44</v>
      </c>
      <c r="H165" s="17" t="n">
        <f aca="false">IF(G165="","",RANK(G165,$G$5:$G$281))</f>
        <v>161</v>
      </c>
      <c r="I165" s="19" t="n">
        <v>52.2</v>
      </c>
      <c r="J165" s="17" t="n">
        <f aca="false">IF(I165="","",RANK(I165,$I$5:$I$281))</f>
        <v>123</v>
      </c>
      <c r="K165" s="19" t="n">
        <v>26.7</v>
      </c>
      <c r="L165" s="17" t="n">
        <f aca="false">IF(K165="","",RANK(K165,$K$5:$K$281))</f>
        <v>227</v>
      </c>
      <c r="M165" s="17" t="str">
        <f aca="false">IF(AND(N(G165)&gt;=N(I165),N(G165)&gt;=N(K165)),"The Pulse",IF(N(I165)&gt;=N(K165),"The Lens","The Hub"))</f>
        <v>The Lens</v>
      </c>
      <c r="N165" s="21" t="s">
        <v>78</v>
      </c>
      <c r="O165" s="17" t="s">
        <v>126</v>
      </c>
    </row>
    <row r="166" customFormat="false" ht="15" hidden="false" customHeight="false" outlineLevel="0" collapsed="false">
      <c r="A166" s="17" t="s">
        <v>423</v>
      </c>
      <c r="B166" s="17" t="s">
        <v>424</v>
      </c>
      <c r="C166" s="17" t="s">
        <v>81</v>
      </c>
      <c r="D166" s="17" t="s">
        <v>170</v>
      </c>
      <c r="E166" s="17" t="s">
        <v>45</v>
      </c>
      <c r="F166" s="18" t="n">
        <v>65971</v>
      </c>
      <c r="G166" s="19" t="n">
        <v>44</v>
      </c>
      <c r="H166" s="17" t="n">
        <f aca="false">IF(G166="","",RANK(G166,$G$5:$G$281))</f>
        <v>161</v>
      </c>
      <c r="I166" s="19" t="n">
        <v>42.1</v>
      </c>
      <c r="J166" s="17" t="n">
        <f aca="false">IF(I166="","",RANK(I166,$I$5:$I$281))</f>
        <v>174</v>
      </c>
      <c r="K166" s="19" t="n">
        <v>86.2</v>
      </c>
      <c r="L166" s="17" t="n">
        <f aca="false">IF(K166="","",RANK(K166,$K$5:$K$281))</f>
        <v>28</v>
      </c>
      <c r="M166" s="17" t="str">
        <f aca="false">IF(AND(N(G166)&gt;=N(I166),N(G166)&gt;=N(K166)),"The Pulse",IF(N(I166)&gt;=N(K166),"The Lens","The Hub"))</f>
        <v>The Hub</v>
      </c>
      <c r="N166" s="20" t="s">
        <v>74</v>
      </c>
      <c r="O166" s="17" t="s">
        <v>19</v>
      </c>
    </row>
    <row r="167" customFormat="false" ht="15" hidden="false" customHeight="false" outlineLevel="0" collapsed="false">
      <c r="A167" s="17" t="s">
        <v>425</v>
      </c>
      <c r="B167" s="17" t="s">
        <v>426</v>
      </c>
      <c r="C167" s="17" t="s">
        <v>102</v>
      </c>
      <c r="D167" s="17" t="s">
        <v>170</v>
      </c>
      <c r="E167" s="17" t="s">
        <v>125</v>
      </c>
      <c r="F167" s="18" t="n">
        <v>41770</v>
      </c>
      <c r="G167" s="19" t="n">
        <v>43.7</v>
      </c>
      <c r="H167" s="17" t="n">
        <f aca="false">IF(G167="","",RANK(G167,$G$5:$G$281))</f>
        <v>163</v>
      </c>
      <c r="I167" s="19" t="n">
        <v>65.1</v>
      </c>
      <c r="J167" s="17" t="n">
        <f aca="false">IF(I167="","",RANK(I167,$I$5:$I$281))</f>
        <v>71</v>
      </c>
      <c r="K167" s="19" t="n">
        <v>45.5</v>
      </c>
      <c r="L167" s="17" t="n">
        <f aca="false">IF(K167="","",RANK(K167,$K$5:$K$281))</f>
        <v>158</v>
      </c>
      <c r="M167" s="17" t="str">
        <f aca="false">IF(AND(N(G167)&gt;=N(I167),N(G167)&gt;=N(K167)),"The Pulse",IF(N(I167)&gt;=N(K167),"The Lens","The Hub"))</f>
        <v>The Lens</v>
      </c>
      <c r="N167" s="21" t="s">
        <v>78</v>
      </c>
      <c r="O167" s="17" t="s">
        <v>21</v>
      </c>
    </row>
    <row r="168" customFormat="false" ht="15" hidden="false" customHeight="false" outlineLevel="0" collapsed="false">
      <c r="A168" s="17" t="s">
        <v>427</v>
      </c>
      <c r="B168" s="17" t="s">
        <v>428</v>
      </c>
      <c r="C168" s="17" t="s">
        <v>87</v>
      </c>
      <c r="D168" s="17" t="s">
        <v>170</v>
      </c>
      <c r="E168" s="17" t="s">
        <v>175</v>
      </c>
      <c r="F168" s="18" t="n">
        <v>250377</v>
      </c>
      <c r="G168" s="19" t="n">
        <v>43.6</v>
      </c>
      <c r="H168" s="17" t="n">
        <f aca="false">IF(G168="","",RANK(G168,$G$5:$G$281))</f>
        <v>164</v>
      </c>
      <c r="I168" s="19" t="n">
        <v>51.8</v>
      </c>
      <c r="J168" s="17" t="n">
        <f aca="false">IF(I168="","",RANK(I168,$I$5:$I$281))</f>
        <v>127</v>
      </c>
      <c r="K168" s="19" t="n">
        <v>18.8</v>
      </c>
      <c r="L168" s="17" t="n">
        <f aca="false">IF(K168="","",RANK(K168,$K$5:$K$281))</f>
        <v>243</v>
      </c>
      <c r="M168" s="17" t="str">
        <f aca="false">IF(AND(N(G168)&gt;=N(I168),N(G168)&gt;=N(K168)),"The Pulse",IF(N(I168)&gt;=N(K168),"The Lens","The Hub"))</f>
        <v>The Lens</v>
      </c>
      <c r="N168" s="21" t="s">
        <v>78</v>
      </c>
      <c r="O168" s="17" t="s">
        <v>126</v>
      </c>
    </row>
    <row r="169" customFormat="false" ht="15" hidden="false" customHeight="false" outlineLevel="0" collapsed="false">
      <c r="A169" s="17" t="s">
        <v>429</v>
      </c>
      <c r="B169" s="17" t="s">
        <v>430</v>
      </c>
      <c r="C169" s="17" t="s">
        <v>133</v>
      </c>
      <c r="D169" s="17" t="s">
        <v>73</v>
      </c>
      <c r="E169" s="17" t="s">
        <v>47</v>
      </c>
      <c r="F169" s="18" t="n">
        <v>12946</v>
      </c>
      <c r="G169" s="19" t="n">
        <v>43</v>
      </c>
      <c r="H169" s="17" t="n">
        <f aca="false">IF(G169="","",RANK(G169,$G$5:$G$281))</f>
        <v>165</v>
      </c>
      <c r="I169" s="19" t="n">
        <v>19.9</v>
      </c>
      <c r="J169" s="17" t="n">
        <f aca="false">IF(I169="","",RANK(I169,$I$5:$I$281))</f>
        <v>241</v>
      </c>
      <c r="K169" s="19" t="n">
        <v>11.4</v>
      </c>
      <c r="L169" s="17" t="n">
        <f aca="false">IF(K169="","",RANK(K169,$K$5:$K$281))</f>
        <v>260</v>
      </c>
      <c r="M169" s="17" t="str">
        <f aca="false">IF(AND(N(G169)&gt;=N(I169),N(G169)&gt;=N(K169)),"The Pulse",IF(N(I169)&gt;=N(K169),"The Lens","The Hub"))</f>
        <v>The Pulse</v>
      </c>
      <c r="N169" s="20" t="s">
        <v>74</v>
      </c>
      <c r="O169" s="17" t="s">
        <v>19</v>
      </c>
    </row>
    <row r="170" customFormat="false" ht="15" hidden="false" customHeight="false" outlineLevel="0" collapsed="false">
      <c r="A170" s="17" t="s">
        <v>431</v>
      </c>
      <c r="B170" s="17" t="s">
        <v>432</v>
      </c>
      <c r="C170" s="17" t="s">
        <v>105</v>
      </c>
      <c r="D170" s="17" t="s">
        <v>82</v>
      </c>
      <c r="E170" s="17" t="s">
        <v>129</v>
      </c>
      <c r="F170" s="18" t="n">
        <v>160410</v>
      </c>
      <c r="G170" s="19" t="n">
        <v>43</v>
      </c>
      <c r="H170" s="17" t="n">
        <f aca="false">IF(G170="","",RANK(G170,$G$5:$G$281))</f>
        <v>165</v>
      </c>
      <c r="I170" s="19" t="n">
        <v>39.3</v>
      </c>
      <c r="J170" s="17" t="n">
        <f aca="false">IF(I170="","",RANK(I170,$I$5:$I$281))</f>
        <v>188</v>
      </c>
      <c r="K170" s="19" t="n">
        <v>48.6</v>
      </c>
      <c r="L170" s="17" t="n">
        <f aca="false">IF(K170="","",RANK(K170,$K$5:$K$281))</f>
        <v>143</v>
      </c>
      <c r="M170" s="17" t="str">
        <f aca="false">IF(AND(N(G170)&gt;=N(I170),N(G170)&gt;=N(K170)),"The Pulse",IF(N(I170)&gt;=N(K170),"The Lens","The Hub"))</f>
        <v>The Hub</v>
      </c>
      <c r="N170" s="22" t="s">
        <v>83</v>
      </c>
      <c r="O170" s="17" t="s">
        <v>130</v>
      </c>
    </row>
    <row r="171" customFormat="false" ht="15" hidden="false" customHeight="false" outlineLevel="0" collapsed="false">
      <c r="A171" s="17" t="s">
        <v>433</v>
      </c>
      <c r="B171" s="17" t="s">
        <v>434</v>
      </c>
      <c r="C171" s="17" t="s">
        <v>138</v>
      </c>
      <c r="D171" s="17" t="s">
        <v>118</v>
      </c>
      <c r="E171" s="17" t="s">
        <v>129</v>
      </c>
      <c r="F171" s="18" t="n">
        <v>304166</v>
      </c>
      <c r="G171" s="19" t="n">
        <v>42.9</v>
      </c>
      <c r="H171" s="17" t="n">
        <f aca="false">IF(G171="","",RANK(G171,$G$5:$G$281))</f>
        <v>167</v>
      </c>
      <c r="I171" s="19" t="n">
        <v>42.3</v>
      </c>
      <c r="J171" s="17" t="n">
        <f aca="false">IF(I171="","",RANK(I171,$I$5:$I$281))</f>
        <v>170</v>
      </c>
      <c r="K171" s="19" t="n">
        <v>44.6</v>
      </c>
      <c r="L171" s="17" t="n">
        <f aca="false">IF(K171="","",RANK(K171,$K$5:$K$281))</f>
        <v>163</v>
      </c>
      <c r="M171" s="17" t="str">
        <f aca="false">IF(AND(N(G171)&gt;=N(I171),N(G171)&gt;=N(K171)),"The Pulse",IF(N(I171)&gt;=N(K171),"The Lens","The Hub"))</f>
        <v>The Hub</v>
      </c>
      <c r="N171" s="20" t="s">
        <v>74</v>
      </c>
      <c r="O171" s="17" t="s">
        <v>19</v>
      </c>
    </row>
    <row r="172" customFormat="false" ht="15" hidden="false" customHeight="false" outlineLevel="0" collapsed="false">
      <c r="A172" s="17" t="s">
        <v>435</v>
      </c>
      <c r="B172" s="17" t="s">
        <v>436</v>
      </c>
      <c r="C172" s="17" t="s">
        <v>92</v>
      </c>
      <c r="D172" s="17" t="s">
        <v>73</v>
      </c>
      <c r="E172" s="17" t="s">
        <v>129</v>
      </c>
      <c r="F172" s="18" t="n">
        <v>1360867</v>
      </c>
      <c r="G172" s="19" t="n">
        <v>42.8</v>
      </c>
      <c r="H172" s="17" t="n">
        <f aca="false">IF(G172="","",RANK(G172,$G$5:$G$281))</f>
        <v>168</v>
      </c>
      <c r="I172" s="19" t="n">
        <v>41.6</v>
      </c>
      <c r="J172" s="17" t="n">
        <f aca="false">IF(I172="","",RANK(I172,$I$5:$I$281))</f>
        <v>178</v>
      </c>
      <c r="K172" s="19" t="n">
        <v>32.6</v>
      </c>
      <c r="L172" s="17" t="n">
        <f aca="false">IF(K172="","",RANK(K172,$K$5:$K$281))</f>
        <v>211</v>
      </c>
      <c r="M172" s="17" t="str">
        <f aca="false">IF(AND(N(G172)&gt;=N(I172),N(G172)&gt;=N(K172)),"The Pulse",IF(N(I172)&gt;=N(K172),"The Lens","The Hub"))</f>
        <v>The Pulse</v>
      </c>
      <c r="N172" s="20" t="s">
        <v>74</v>
      </c>
      <c r="O172" s="17" t="s">
        <v>19</v>
      </c>
    </row>
    <row r="173" customFormat="false" ht="15" hidden="false" customHeight="false" outlineLevel="0" collapsed="false">
      <c r="A173" s="17" t="s">
        <v>437</v>
      </c>
      <c r="B173" s="17" t="s">
        <v>438</v>
      </c>
      <c r="C173" s="17" t="s">
        <v>114</v>
      </c>
      <c r="D173" s="17" t="s">
        <v>115</v>
      </c>
      <c r="E173" s="17" t="s">
        <v>175</v>
      </c>
      <c r="F173" s="18" t="n">
        <v>72338</v>
      </c>
      <c r="G173" s="19" t="n">
        <v>42.8</v>
      </c>
      <c r="H173" s="17" t="n">
        <f aca="false">IF(G173="","",RANK(G173,$G$5:$G$281))</f>
        <v>168</v>
      </c>
      <c r="I173" s="19" t="n">
        <v>61</v>
      </c>
      <c r="J173" s="17" t="n">
        <f aca="false">IF(I173="","",RANK(I173,$I$5:$I$281))</f>
        <v>85</v>
      </c>
      <c r="K173" s="19" t="n">
        <v>82.6</v>
      </c>
      <c r="L173" s="17" t="n">
        <f aca="false">IF(K173="","",RANK(K173,$K$5:$K$281))</f>
        <v>35</v>
      </c>
      <c r="M173" s="17" t="str">
        <f aca="false">IF(AND(N(G173)&gt;=N(I173),N(G173)&gt;=N(K173)),"The Pulse",IF(N(I173)&gt;=N(K173),"The Lens","The Hub"))</f>
        <v>The Hub</v>
      </c>
      <c r="N173" s="22" t="s">
        <v>83</v>
      </c>
      <c r="O173" s="17" t="s">
        <v>130</v>
      </c>
    </row>
    <row r="174" customFormat="false" ht="15" hidden="false" customHeight="false" outlineLevel="0" collapsed="false">
      <c r="A174" s="17" t="s">
        <v>439</v>
      </c>
      <c r="B174" s="17" t="s">
        <v>440</v>
      </c>
      <c r="C174" s="17" t="s">
        <v>87</v>
      </c>
      <c r="D174" s="17" t="s">
        <v>82</v>
      </c>
      <c r="E174" s="17" t="s">
        <v>129</v>
      </c>
      <c r="F174" s="18" t="n">
        <v>72477</v>
      </c>
      <c r="G174" s="19" t="n">
        <v>42.4</v>
      </c>
      <c r="H174" s="17" t="n">
        <f aca="false">IF(G174="","",RANK(G174,$G$5:$G$281))</f>
        <v>170</v>
      </c>
      <c r="I174" s="19" t="n">
        <v>52.2</v>
      </c>
      <c r="J174" s="17" t="n">
        <f aca="false">IF(I174="","",RANK(I174,$I$5:$I$281))</f>
        <v>123</v>
      </c>
      <c r="K174" s="19" t="n">
        <v>49.9</v>
      </c>
      <c r="L174" s="17" t="n">
        <f aca="false">IF(K174="","",RANK(K174,$K$5:$K$281))</f>
        <v>135</v>
      </c>
      <c r="M174" s="17" t="str">
        <f aca="false">IF(AND(N(G174)&gt;=N(I174),N(G174)&gt;=N(K174)),"The Pulse",IF(N(I174)&gt;=N(K174),"The Lens","The Hub"))</f>
        <v>The Lens</v>
      </c>
      <c r="N174" s="21" t="s">
        <v>78</v>
      </c>
      <c r="O174" s="17" t="s">
        <v>126</v>
      </c>
    </row>
    <row r="175" customFormat="false" ht="15" hidden="false" customHeight="false" outlineLevel="0" collapsed="false">
      <c r="A175" s="17" t="s">
        <v>441</v>
      </c>
      <c r="B175" s="17" t="s">
        <v>442</v>
      </c>
      <c r="C175" s="17" t="s">
        <v>114</v>
      </c>
      <c r="D175" s="17" t="s">
        <v>99</v>
      </c>
      <c r="E175" s="17" t="s">
        <v>129</v>
      </c>
      <c r="F175" s="18" t="n">
        <v>117109</v>
      </c>
      <c r="G175" s="19" t="n">
        <v>41.8</v>
      </c>
      <c r="H175" s="17" t="n">
        <f aca="false">IF(G175="","",RANK(G175,$G$5:$G$281))</f>
        <v>171</v>
      </c>
      <c r="I175" s="19" t="n">
        <v>63.4</v>
      </c>
      <c r="J175" s="17" t="n">
        <f aca="false">IF(I175="","",RANK(I175,$I$5:$I$281))</f>
        <v>80</v>
      </c>
      <c r="K175" s="19" t="n">
        <v>41.8</v>
      </c>
      <c r="L175" s="17" t="n">
        <f aca="false">IF(K175="","",RANK(K175,$K$5:$K$281))</f>
        <v>183</v>
      </c>
      <c r="M175" s="17" t="str">
        <f aca="false">IF(AND(N(G175)&gt;=N(I175),N(G175)&gt;=N(K175)),"The Pulse",IF(N(I175)&gt;=N(K175),"The Lens","The Hub"))</f>
        <v>The Lens</v>
      </c>
      <c r="N175" s="21" t="s">
        <v>78</v>
      </c>
      <c r="O175" s="17" t="s">
        <v>126</v>
      </c>
    </row>
    <row r="176" customFormat="false" ht="15" hidden="false" customHeight="false" outlineLevel="0" collapsed="false">
      <c r="A176" s="17" t="s">
        <v>443</v>
      </c>
      <c r="B176" s="17" t="s">
        <v>444</v>
      </c>
      <c r="C176" s="17" t="s">
        <v>114</v>
      </c>
      <c r="D176" s="17" t="s">
        <v>111</v>
      </c>
      <c r="E176" s="17" t="s">
        <v>45</v>
      </c>
      <c r="F176" s="18" t="n">
        <v>2925</v>
      </c>
      <c r="G176" s="19" t="n">
        <v>41.5</v>
      </c>
      <c r="H176" s="17" t="n">
        <f aca="false">IF(G176="","",RANK(G176,$G$5:$G$281))</f>
        <v>172</v>
      </c>
      <c r="I176" s="19" t="n">
        <v>22.2</v>
      </c>
      <c r="J176" s="17" t="n">
        <f aca="false">IF(I176="","",RANK(I176,$I$5:$I$281))</f>
        <v>236</v>
      </c>
      <c r="K176" s="19"/>
      <c r="L176" s="17" t="str">
        <f aca="false">IF(K176="","",RANK(K176,$K$5:$K$281))</f>
        <v/>
      </c>
      <c r="M176" s="17" t="str">
        <f aca="false">IF(AND(N(G176)&gt;=N(I176),N(G176)&gt;=N(K176)),"The Pulse",IF(N(I176)&gt;=N(K176),"The Lens","The Hub"))</f>
        <v>The Pulse</v>
      </c>
      <c r="N176" s="20" t="s">
        <v>74</v>
      </c>
      <c r="O176" s="17" t="s">
        <v>19</v>
      </c>
    </row>
    <row r="177" customFormat="false" ht="15" hidden="false" customHeight="false" outlineLevel="0" collapsed="false">
      <c r="A177" s="17" t="s">
        <v>445</v>
      </c>
      <c r="B177" s="17" t="s">
        <v>446</v>
      </c>
      <c r="C177" s="17" t="s">
        <v>102</v>
      </c>
      <c r="D177" s="17" t="s">
        <v>96</v>
      </c>
      <c r="E177" s="17" t="s">
        <v>129</v>
      </c>
      <c r="F177" s="18" t="n">
        <v>464374</v>
      </c>
      <c r="G177" s="19" t="n">
        <v>41.4</v>
      </c>
      <c r="H177" s="17" t="n">
        <f aca="false">IF(G177="","",RANK(G177,$G$5:$G$281))</f>
        <v>173</v>
      </c>
      <c r="I177" s="19" t="n">
        <v>74.5</v>
      </c>
      <c r="J177" s="17" t="n">
        <f aca="false">IF(I177="","",RANK(I177,$I$5:$I$281))</f>
        <v>40</v>
      </c>
      <c r="K177" s="19" t="n">
        <v>71.2</v>
      </c>
      <c r="L177" s="17" t="n">
        <f aca="false">IF(K177="","",RANK(K177,$K$5:$K$281))</f>
        <v>57</v>
      </c>
      <c r="M177" s="17" t="str">
        <f aca="false">IF(AND(N(G177)&gt;=N(I177),N(G177)&gt;=N(K177)),"The Pulse",IF(N(I177)&gt;=N(K177),"The Lens","The Hub"))</f>
        <v>The Lens</v>
      </c>
      <c r="N177" s="21" t="s">
        <v>78</v>
      </c>
      <c r="O177" s="17" t="s">
        <v>126</v>
      </c>
    </row>
    <row r="178" customFormat="false" ht="15" hidden="false" customHeight="false" outlineLevel="0" collapsed="false">
      <c r="A178" s="17" t="s">
        <v>447</v>
      </c>
      <c r="B178" s="17" t="s">
        <v>448</v>
      </c>
      <c r="C178" s="17" t="s">
        <v>102</v>
      </c>
      <c r="D178" s="17" t="s">
        <v>118</v>
      </c>
      <c r="E178" s="17" t="s">
        <v>125</v>
      </c>
      <c r="F178" s="18" t="n">
        <v>374089</v>
      </c>
      <c r="G178" s="19" t="n">
        <v>41.3</v>
      </c>
      <c r="H178" s="17" t="n">
        <f aca="false">IF(G178="","",RANK(G178,$G$5:$G$281))</f>
        <v>174</v>
      </c>
      <c r="I178" s="19" t="n">
        <v>64.4</v>
      </c>
      <c r="J178" s="17" t="n">
        <f aca="false">IF(I178="","",RANK(I178,$I$5:$I$281))</f>
        <v>78</v>
      </c>
      <c r="K178" s="19" t="n">
        <v>22.8</v>
      </c>
      <c r="L178" s="17" t="n">
        <f aca="false">IF(K178="","",RANK(K178,$K$5:$K$281))</f>
        <v>236</v>
      </c>
      <c r="M178" s="17" t="str">
        <f aca="false">IF(AND(N(G178)&gt;=N(I178),N(G178)&gt;=N(K178)),"The Pulse",IF(N(I178)&gt;=N(K178),"The Lens","The Hub"))</f>
        <v>The Lens</v>
      </c>
      <c r="N178" s="22" t="s">
        <v>83</v>
      </c>
      <c r="O178" s="17" t="s">
        <v>204</v>
      </c>
    </row>
    <row r="179" customFormat="false" ht="15" hidden="false" customHeight="false" outlineLevel="0" collapsed="false">
      <c r="A179" s="17" t="s">
        <v>449</v>
      </c>
      <c r="B179" s="17" t="s">
        <v>450</v>
      </c>
      <c r="C179" s="17" t="s">
        <v>105</v>
      </c>
      <c r="D179" s="17" t="s">
        <v>82</v>
      </c>
      <c r="E179" s="17" t="s">
        <v>45</v>
      </c>
      <c r="F179" s="18" t="n">
        <v>277430</v>
      </c>
      <c r="G179" s="19" t="n">
        <v>41.2</v>
      </c>
      <c r="H179" s="17" t="n">
        <f aca="false">IF(G179="","",RANK(G179,$G$5:$G$281))</f>
        <v>175</v>
      </c>
      <c r="I179" s="19" t="n">
        <v>76.1</v>
      </c>
      <c r="J179" s="17" t="n">
        <f aca="false">IF(I179="","",RANK(I179,$I$5:$I$281))</f>
        <v>34</v>
      </c>
      <c r="K179" s="19" t="n">
        <v>56.4</v>
      </c>
      <c r="L179" s="17" t="n">
        <f aca="false">IF(K179="","",RANK(K179,$K$5:$K$281))</f>
        <v>104</v>
      </c>
      <c r="M179" s="17" t="str">
        <f aca="false">IF(AND(N(G179)&gt;=N(I179),N(G179)&gt;=N(K179)),"The Pulse",IF(N(I179)&gt;=N(K179),"The Lens","The Hub"))</f>
        <v>The Lens</v>
      </c>
      <c r="N179" s="20" t="s">
        <v>74</v>
      </c>
      <c r="O179" s="17" t="s">
        <v>19</v>
      </c>
    </row>
    <row r="180" customFormat="false" ht="15" hidden="false" customHeight="false" outlineLevel="0" collapsed="false">
      <c r="A180" s="17" t="s">
        <v>451</v>
      </c>
      <c r="B180" s="17" t="s">
        <v>452</v>
      </c>
      <c r="C180" s="17" t="s">
        <v>72</v>
      </c>
      <c r="D180" s="17" t="s">
        <v>82</v>
      </c>
      <c r="E180" s="17" t="s">
        <v>129</v>
      </c>
      <c r="F180" s="18" t="n">
        <v>429777</v>
      </c>
      <c r="G180" s="19" t="n">
        <v>41.2</v>
      </c>
      <c r="H180" s="17" t="n">
        <f aca="false">IF(G180="","",RANK(G180,$G$5:$G$281))</f>
        <v>175</v>
      </c>
      <c r="I180" s="19" t="n">
        <v>30.4</v>
      </c>
      <c r="J180" s="17" t="n">
        <f aca="false">IF(I180="","",RANK(I180,$I$5:$I$281))</f>
        <v>213</v>
      </c>
      <c r="K180" s="19" t="n">
        <v>43</v>
      </c>
      <c r="L180" s="17" t="n">
        <f aca="false">IF(K180="","",RANK(K180,$K$5:$K$281))</f>
        <v>175</v>
      </c>
      <c r="M180" s="17" t="str">
        <f aca="false">IF(AND(N(G180)&gt;=N(I180),N(G180)&gt;=N(K180)),"The Pulse",IF(N(I180)&gt;=N(K180),"The Lens","The Hub"))</f>
        <v>The Hub</v>
      </c>
      <c r="N180" s="21" t="s">
        <v>78</v>
      </c>
      <c r="O180" s="17" t="s">
        <v>126</v>
      </c>
    </row>
    <row r="181" customFormat="false" ht="15" hidden="false" customHeight="false" outlineLevel="0" collapsed="false">
      <c r="A181" s="17" t="s">
        <v>453</v>
      </c>
      <c r="B181" s="17" t="s">
        <v>454</v>
      </c>
      <c r="C181" s="17" t="s">
        <v>102</v>
      </c>
      <c r="D181" s="17" t="s">
        <v>111</v>
      </c>
      <c r="E181" s="17" t="s">
        <v>46</v>
      </c>
      <c r="F181" s="18" t="n">
        <v>311023</v>
      </c>
      <c r="G181" s="19" t="n">
        <v>41</v>
      </c>
      <c r="H181" s="17" t="n">
        <f aca="false">IF(G181="","",RANK(G181,$G$5:$G$281))</f>
        <v>177</v>
      </c>
      <c r="I181" s="19" t="n">
        <v>18.5</v>
      </c>
      <c r="J181" s="17" t="n">
        <f aca="false">IF(I181="","",RANK(I181,$I$5:$I$281))</f>
        <v>246</v>
      </c>
      <c r="K181" s="19" t="n">
        <v>44.6</v>
      </c>
      <c r="L181" s="17" t="n">
        <f aca="false">IF(K181="","",RANK(K181,$K$5:$K$281))</f>
        <v>163</v>
      </c>
      <c r="M181" s="17" t="str">
        <f aca="false">IF(AND(N(G181)&gt;=N(I181),N(G181)&gt;=N(K181)),"The Pulse",IF(N(I181)&gt;=N(K181),"The Lens","The Hub"))</f>
        <v>The Hub</v>
      </c>
      <c r="N181" s="20" t="s">
        <v>74</v>
      </c>
      <c r="O181" s="17" t="s">
        <v>19</v>
      </c>
    </row>
    <row r="182" customFormat="false" ht="15" hidden="false" customHeight="false" outlineLevel="0" collapsed="false">
      <c r="A182" s="17" t="s">
        <v>455</v>
      </c>
      <c r="B182" s="17" t="s">
        <v>456</v>
      </c>
      <c r="C182" s="17" t="s">
        <v>87</v>
      </c>
      <c r="D182" s="17" t="s">
        <v>73</v>
      </c>
      <c r="E182" s="17" t="s">
        <v>129</v>
      </c>
      <c r="F182" s="18" t="n">
        <v>1058337</v>
      </c>
      <c r="G182" s="19" t="n">
        <v>40.8</v>
      </c>
      <c r="H182" s="17" t="n">
        <f aca="false">IF(G182="","",RANK(G182,$G$5:$G$281))</f>
        <v>178</v>
      </c>
      <c r="I182" s="19" t="n">
        <v>44.9</v>
      </c>
      <c r="J182" s="17" t="n">
        <f aca="false">IF(I182="","",RANK(I182,$I$5:$I$281))</f>
        <v>161</v>
      </c>
      <c r="K182" s="19" t="n">
        <v>63.2</v>
      </c>
      <c r="L182" s="17" t="n">
        <f aca="false">IF(K182="","",RANK(K182,$K$5:$K$281))</f>
        <v>80</v>
      </c>
      <c r="M182" s="17" t="str">
        <f aca="false">IF(AND(N(G182)&gt;=N(I182),N(G182)&gt;=N(K182)),"The Pulse",IF(N(I182)&gt;=N(K182),"The Lens","The Hub"))</f>
        <v>The Hub</v>
      </c>
      <c r="N182" s="21" t="s">
        <v>78</v>
      </c>
      <c r="O182" s="17" t="s">
        <v>126</v>
      </c>
    </row>
    <row r="183" customFormat="false" ht="15" hidden="false" customHeight="false" outlineLevel="0" collapsed="false">
      <c r="A183" s="17" t="s">
        <v>457</v>
      </c>
      <c r="B183" s="17" t="s">
        <v>458</v>
      </c>
      <c r="C183" s="17" t="s">
        <v>92</v>
      </c>
      <c r="D183" s="17" t="s">
        <v>115</v>
      </c>
      <c r="E183" s="17" t="s">
        <v>129</v>
      </c>
      <c r="F183" s="18" t="n">
        <v>303144</v>
      </c>
      <c r="G183" s="19" t="n">
        <v>40.7</v>
      </c>
      <c r="H183" s="17" t="n">
        <f aca="false">IF(G183="","",RANK(G183,$G$5:$G$281))</f>
        <v>179</v>
      </c>
      <c r="I183" s="19" t="n">
        <v>74.4</v>
      </c>
      <c r="J183" s="17" t="n">
        <f aca="false">IF(I183="","",RANK(I183,$I$5:$I$281))</f>
        <v>41</v>
      </c>
      <c r="K183" s="19" t="n">
        <v>74.9</v>
      </c>
      <c r="L183" s="17" t="n">
        <f aca="false">IF(K183="","",RANK(K183,$K$5:$K$281))</f>
        <v>51</v>
      </c>
      <c r="M183" s="17" t="str">
        <f aca="false">IF(AND(N(G183)&gt;=N(I183),N(G183)&gt;=N(K183)),"The Pulse",IF(N(I183)&gt;=N(K183),"The Lens","The Hub"))</f>
        <v>The Hub</v>
      </c>
      <c r="N183" s="21" t="s">
        <v>78</v>
      </c>
      <c r="O183" s="17" t="s">
        <v>126</v>
      </c>
    </row>
    <row r="184" customFormat="false" ht="15" hidden="false" customHeight="false" outlineLevel="0" collapsed="false">
      <c r="A184" s="17" t="s">
        <v>459</v>
      </c>
      <c r="B184" s="17" t="s">
        <v>460</v>
      </c>
      <c r="C184" s="17" t="s">
        <v>72</v>
      </c>
      <c r="D184" s="17" t="s">
        <v>111</v>
      </c>
      <c r="E184" s="17" t="s">
        <v>129</v>
      </c>
      <c r="F184" s="18" t="n">
        <v>216239</v>
      </c>
      <c r="G184" s="19" t="n">
        <v>40.6</v>
      </c>
      <c r="H184" s="17" t="n">
        <f aca="false">IF(G184="","",RANK(G184,$G$5:$G$281))</f>
        <v>180</v>
      </c>
      <c r="I184" s="19" t="n">
        <v>45</v>
      </c>
      <c r="J184" s="17" t="n">
        <f aca="false">IF(I184="","",RANK(I184,$I$5:$I$281))</f>
        <v>160</v>
      </c>
      <c r="K184" s="19" t="n">
        <v>34.8</v>
      </c>
      <c r="L184" s="17" t="n">
        <f aca="false">IF(K184="","",RANK(K184,$K$5:$K$281))</f>
        <v>201</v>
      </c>
      <c r="M184" s="17" t="str">
        <f aca="false">IF(AND(N(G184)&gt;=N(I184),N(G184)&gt;=N(K184)),"The Pulse",IF(N(I184)&gt;=N(K184),"The Lens","The Hub"))</f>
        <v>The Lens</v>
      </c>
      <c r="N184" s="21" t="s">
        <v>78</v>
      </c>
      <c r="O184" s="17" t="s">
        <v>126</v>
      </c>
    </row>
    <row r="185" customFormat="false" ht="15" hidden="false" customHeight="false" outlineLevel="0" collapsed="false">
      <c r="A185" s="17" t="s">
        <v>461</v>
      </c>
      <c r="B185" s="17" t="s">
        <v>462</v>
      </c>
      <c r="C185" s="17" t="s">
        <v>77</v>
      </c>
      <c r="D185" s="17" t="s">
        <v>111</v>
      </c>
      <c r="E185" s="17" t="s">
        <v>157</v>
      </c>
      <c r="F185" s="18" t="n">
        <v>53252</v>
      </c>
      <c r="G185" s="19" t="n">
        <v>40.4</v>
      </c>
      <c r="H185" s="17" t="n">
        <f aca="false">IF(G185="","",RANK(G185,$G$5:$G$281))</f>
        <v>181</v>
      </c>
      <c r="I185" s="19" t="n">
        <v>71.6</v>
      </c>
      <c r="J185" s="17" t="n">
        <f aca="false">IF(I185="","",RANK(I185,$I$5:$I$281))</f>
        <v>50</v>
      </c>
      <c r="K185" s="19" t="n">
        <v>41.4</v>
      </c>
      <c r="L185" s="17" t="n">
        <f aca="false">IF(K185="","",RANK(K185,$K$5:$K$281))</f>
        <v>185</v>
      </c>
      <c r="M185" s="17" t="str">
        <f aca="false">IF(AND(N(G185)&gt;=N(I185),N(G185)&gt;=N(K185)),"The Pulse",IF(N(I185)&gt;=N(K185),"The Lens","The Hub"))</f>
        <v>The Lens</v>
      </c>
      <c r="N185" s="20" t="s">
        <v>74</v>
      </c>
      <c r="O185" s="17" t="s">
        <v>19</v>
      </c>
    </row>
    <row r="186" customFormat="false" ht="15" hidden="false" customHeight="false" outlineLevel="0" collapsed="false">
      <c r="A186" s="17" t="s">
        <v>463</v>
      </c>
      <c r="B186" s="17" t="s">
        <v>464</v>
      </c>
      <c r="C186" s="17" t="s">
        <v>92</v>
      </c>
      <c r="D186" s="17" t="s">
        <v>93</v>
      </c>
      <c r="E186" s="17" t="s">
        <v>129</v>
      </c>
      <c r="F186" s="18" t="n">
        <v>488610</v>
      </c>
      <c r="G186" s="19" t="n">
        <v>40</v>
      </c>
      <c r="H186" s="17" t="n">
        <f aca="false">IF(G186="","",RANK(G186,$G$5:$G$281))</f>
        <v>182</v>
      </c>
      <c r="I186" s="19" t="n">
        <v>56.8</v>
      </c>
      <c r="J186" s="17" t="n">
        <f aca="false">IF(I186="","",RANK(I186,$I$5:$I$281))</f>
        <v>99</v>
      </c>
      <c r="K186" s="19" t="n">
        <v>64.5</v>
      </c>
      <c r="L186" s="17" t="n">
        <f aca="false">IF(K186="","",RANK(K186,$K$5:$K$281))</f>
        <v>77</v>
      </c>
      <c r="M186" s="17" t="str">
        <f aca="false">IF(AND(N(G186)&gt;=N(I186),N(G186)&gt;=N(K186)),"The Pulse",IF(N(I186)&gt;=N(K186),"The Lens","The Hub"))</f>
        <v>The Hub</v>
      </c>
      <c r="N186" s="21" t="s">
        <v>78</v>
      </c>
      <c r="O186" s="17" t="s">
        <v>126</v>
      </c>
    </row>
    <row r="187" customFormat="false" ht="15" hidden="false" customHeight="false" outlineLevel="0" collapsed="false">
      <c r="A187" s="17" t="s">
        <v>465</v>
      </c>
      <c r="B187" s="17" t="s">
        <v>466</v>
      </c>
      <c r="C187" s="17" t="s">
        <v>77</v>
      </c>
      <c r="D187" s="17" t="s">
        <v>96</v>
      </c>
      <c r="E187" s="17" t="s">
        <v>129</v>
      </c>
      <c r="F187" s="18" t="n">
        <v>261848</v>
      </c>
      <c r="G187" s="19" t="n">
        <v>39.4</v>
      </c>
      <c r="H187" s="17" t="n">
        <f aca="false">IF(G187="","",RANK(G187,$G$5:$G$281))</f>
        <v>183</v>
      </c>
      <c r="I187" s="19" t="n">
        <v>34.9</v>
      </c>
      <c r="J187" s="17" t="n">
        <f aca="false">IF(I187="","",RANK(I187,$I$5:$I$281))</f>
        <v>201</v>
      </c>
      <c r="K187" s="19" t="n">
        <v>60.2</v>
      </c>
      <c r="L187" s="17" t="n">
        <f aca="false">IF(K187="","",RANK(K187,$K$5:$K$281))</f>
        <v>93</v>
      </c>
      <c r="M187" s="17" t="str">
        <f aca="false">IF(AND(N(G187)&gt;=N(I187),N(G187)&gt;=N(K187)),"The Pulse",IF(N(I187)&gt;=N(K187),"The Lens","The Hub"))</f>
        <v>The Hub</v>
      </c>
      <c r="N187" s="21" t="s">
        <v>78</v>
      </c>
      <c r="O187" s="17" t="s">
        <v>126</v>
      </c>
    </row>
    <row r="188" customFormat="false" ht="15" hidden="false" customHeight="false" outlineLevel="0" collapsed="false">
      <c r="A188" s="17" t="s">
        <v>467</v>
      </c>
      <c r="B188" s="17" t="s">
        <v>468</v>
      </c>
      <c r="C188" s="17" t="s">
        <v>133</v>
      </c>
      <c r="D188" s="17" t="s">
        <v>96</v>
      </c>
      <c r="E188" s="17" t="s">
        <v>157</v>
      </c>
      <c r="F188" s="18" t="n">
        <v>106050</v>
      </c>
      <c r="G188" s="19" t="n">
        <v>39.4</v>
      </c>
      <c r="H188" s="17" t="n">
        <f aca="false">IF(G188="","",RANK(G188,$G$5:$G$281))</f>
        <v>183</v>
      </c>
      <c r="I188" s="19" t="n">
        <v>68.6</v>
      </c>
      <c r="J188" s="17" t="n">
        <f aca="false">IF(I188="","",RANK(I188,$I$5:$I$281))</f>
        <v>60</v>
      </c>
      <c r="K188" s="19" t="n">
        <v>7.8</v>
      </c>
      <c r="L188" s="17" t="n">
        <f aca="false">IF(K188="","",RANK(K188,$K$5:$K$281))</f>
        <v>266</v>
      </c>
      <c r="M188" s="17" t="str">
        <f aca="false">IF(AND(N(G188)&gt;=N(I188),N(G188)&gt;=N(K188)),"The Pulse",IF(N(I188)&gt;=N(K188),"The Lens","The Hub"))</f>
        <v>The Lens</v>
      </c>
      <c r="N188" s="21" t="s">
        <v>78</v>
      </c>
      <c r="O188" s="17" t="s">
        <v>126</v>
      </c>
    </row>
    <row r="189" customFormat="false" ht="15" hidden="false" customHeight="false" outlineLevel="0" collapsed="false">
      <c r="A189" s="17" t="s">
        <v>469</v>
      </c>
      <c r="B189" s="17" t="s">
        <v>470</v>
      </c>
      <c r="C189" s="17" t="s">
        <v>102</v>
      </c>
      <c r="D189" s="17" t="s">
        <v>170</v>
      </c>
      <c r="E189" s="17" t="s">
        <v>129</v>
      </c>
      <c r="F189" s="18" t="n">
        <v>568687</v>
      </c>
      <c r="G189" s="19" t="n">
        <v>39</v>
      </c>
      <c r="H189" s="17" t="n">
        <f aca="false">IF(G189="","",RANK(G189,$G$5:$G$281))</f>
        <v>185</v>
      </c>
      <c r="I189" s="19" t="n">
        <v>52</v>
      </c>
      <c r="J189" s="17" t="n">
        <f aca="false">IF(I189="","",RANK(I189,$I$5:$I$281))</f>
        <v>125</v>
      </c>
      <c r="K189" s="19" t="n">
        <v>32.2</v>
      </c>
      <c r="L189" s="17" t="n">
        <f aca="false">IF(K189="","",RANK(K189,$K$5:$K$281))</f>
        <v>214</v>
      </c>
      <c r="M189" s="17" t="str">
        <f aca="false">IF(AND(N(G189)&gt;=N(I189),N(G189)&gt;=N(K189)),"The Pulse",IF(N(I189)&gt;=N(K189),"The Lens","The Hub"))</f>
        <v>The Lens</v>
      </c>
      <c r="N189" s="20" t="s">
        <v>74</v>
      </c>
      <c r="O189" s="17" t="s">
        <v>19</v>
      </c>
    </row>
    <row r="190" customFormat="false" ht="15" hidden="false" customHeight="false" outlineLevel="0" collapsed="false">
      <c r="A190" s="17" t="s">
        <v>471</v>
      </c>
      <c r="B190" s="17" t="s">
        <v>472</v>
      </c>
      <c r="C190" s="17" t="s">
        <v>87</v>
      </c>
      <c r="D190" s="17" t="s">
        <v>99</v>
      </c>
      <c r="E190" s="17" t="s">
        <v>129</v>
      </c>
      <c r="F190" s="18" t="n">
        <v>688760</v>
      </c>
      <c r="G190" s="19" t="n">
        <v>38.7</v>
      </c>
      <c r="H190" s="17" t="n">
        <f aca="false">IF(G190="","",RANK(G190,$G$5:$G$281))</f>
        <v>186</v>
      </c>
      <c r="I190" s="19" t="n">
        <v>78.2</v>
      </c>
      <c r="J190" s="17" t="n">
        <f aca="false">IF(I190="","",RANK(I190,$I$5:$I$281))</f>
        <v>31</v>
      </c>
      <c r="K190" s="19" t="n">
        <v>61.6</v>
      </c>
      <c r="L190" s="17" t="n">
        <f aca="false">IF(K190="","",RANK(K190,$K$5:$K$281))</f>
        <v>86</v>
      </c>
      <c r="M190" s="17" t="str">
        <f aca="false">IF(AND(N(G190)&gt;=N(I190),N(G190)&gt;=N(K190)),"The Pulse",IF(N(I190)&gt;=N(K190),"The Lens","The Hub"))</f>
        <v>The Lens</v>
      </c>
      <c r="N190" s="21" t="s">
        <v>78</v>
      </c>
      <c r="O190" s="17" t="s">
        <v>126</v>
      </c>
    </row>
    <row r="191" customFormat="false" ht="15" hidden="false" customHeight="false" outlineLevel="0" collapsed="false">
      <c r="A191" s="17" t="s">
        <v>473</v>
      </c>
      <c r="B191" s="17" t="s">
        <v>474</v>
      </c>
      <c r="C191" s="17" t="s">
        <v>72</v>
      </c>
      <c r="D191" s="17" t="s">
        <v>115</v>
      </c>
      <c r="E191" s="17" t="s">
        <v>157</v>
      </c>
      <c r="F191" s="18" t="n">
        <v>32216</v>
      </c>
      <c r="G191" s="19" t="n">
        <v>38.4</v>
      </c>
      <c r="H191" s="17" t="n">
        <f aca="false">IF(G191="","",RANK(G191,$G$5:$G$281))</f>
        <v>187</v>
      </c>
      <c r="I191" s="19" t="n">
        <v>92.4</v>
      </c>
      <c r="J191" s="17" t="n">
        <f aca="false">IF(I191="","",RANK(I191,$I$5:$I$281))</f>
        <v>10</v>
      </c>
      <c r="K191" s="19" t="n">
        <v>52.4</v>
      </c>
      <c r="L191" s="17" t="n">
        <f aca="false">IF(K191="","",RANK(K191,$K$5:$K$281))</f>
        <v>119</v>
      </c>
      <c r="M191" s="17" t="str">
        <f aca="false">IF(AND(N(G191)&gt;=N(I191),N(G191)&gt;=N(K191)),"The Pulse",IF(N(I191)&gt;=N(K191),"The Lens","The Hub"))</f>
        <v>The Lens</v>
      </c>
      <c r="N191" s="20" t="s">
        <v>74</v>
      </c>
      <c r="O191" s="17" t="s">
        <v>19</v>
      </c>
    </row>
    <row r="192" customFormat="false" ht="15" hidden="false" customHeight="false" outlineLevel="0" collapsed="false">
      <c r="A192" s="17" t="s">
        <v>475</v>
      </c>
      <c r="B192" s="17" t="s">
        <v>476</v>
      </c>
      <c r="C192" s="17" t="s">
        <v>133</v>
      </c>
      <c r="D192" s="17" t="s">
        <v>170</v>
      </c>
      <c r="E192" s="17" t="s">
        <v>46</v>
      </c>
      <c r="F192" s="18" t="n">
        <v>85280</v>
      </c>
      <c r="G192" s="19" t="n">
        <v>38.3</v>
      </c>
      <c r="H192" s="17" t="n">
        <f aca="false">IF(G192="","",RANK(G192,$G$5:$G$281))</f>
        <v>188</v>
      </c>
      <c r="I192" s="19" t="n">
        <v>51</v>
      </c>
      <c r="J192" s="17" t="n">
        <f aca="false">IF(I192="","",RANK(I192,$I$5:$I$281))</f>
        <v>132</v>
      </c>
      <c r="K192" s="19" t="n">
        <v>66.8</v>
      </c>
      <c r="L192" s="17" t="n">
        <f aca="false">IF(K192="","",RANK(K192,$K$5:$K$281))</f>
        <v>72</v>
      </c>
      <c r="M192" s="17" t="str">
        <f aca="false">IF(AND(N(G192)&gt;=N(I192),N(G192)&gt;=N(K192)),"The Pulse",IF(N(I192)&gt;=N(K192),"The Lens","The Hub"))</f>
        <v>The Hub</v>
      </c>
      <c r="N192" s="21" t="s">
        <v>78</v>
      </c>
      <c r="O192" s="17" t="s">
        <v>21</v>
      </c>
    </row>
    <row r="193" customFormat="false" ht="15" hidden="false" customHeight="false" outlineLevel="0" collapsed="false">
      <c r="A193" s="17" t="s">
        <v>477</v>
      </c>
      <c r="B193" s="17" t="s">
        <v>478</v>
      </c>
      <c r="C193" s="17" t="s">
        <v>138</v>
      </c>
      <c r="D193" s="17" t="s">
        <v>111</v>
      </c>
      <c r="E193" s="17" t="s">
        <v>129</v>
      </c>
      <c r="F193" s="18" t="n">
        <v>99800</v>
      </c>
      <c r="G193" s="19" t="n">
        <v>38.2</v>
      </c>
      <c r="H193" s="17" t="n">
        <f aca="false">IF(G193="","",RANK(G193,$G$5:$G$281))</f>
        <v>189</v>
      </c>
      <c r="I193" s="19" t="n">
        <v>59.4</v>
      </c>
      <c r="J193" s="17" t="n">
        <f aca="false">IF(I193="","",RANK(I193,$I$5:$I$281))</f>
        <v>90</v>
      </c>
      <c r="K193" s="19" t="n">
        <v>59.3</v>
      </c>
      <c r="L193" s="17" t="n">
        <f aca="false">IF(K193="","",RANK(K193,$K$5:$K$281))</f>
        <v>97</v>
      </c>
      <c r="M193" s="17" t="str">
        <f aca="false">IF(AND(N(G193)&gt;=N(I193),N(G193)&gt;=N(K193)),"The Pulse",IF(N(I193)&gt;=N(K193),"The Lens","The Hub"))</f>
        <v>The Lens</v>
      </c>
      <c r="N193" s="20" t="s">
        <v>74</v>
      </c>
      <c r="O193" s="17" t="s">
        <v>19</v>
      </c>
    </row>
    <row r="194" customFormat="false" ht="15" hidden="false" customHeight="false" outlineLevel="0" collapsed="false">
      <c r="A194" s="17" t="s">
        <v>479</v>
      </c>
      <c r="B194" s="17" t="s">
        <v>480</v>
      </c>
      <c r="C194" s="17" t="s">
        <v>133</v>
      </c>
      <c r="D194" s="17" t="s">
        <v>93</v>
      </c>
      <c r="E194" s="17" t="s">
        <v>129</v>
      </c>
      <c r="F194" s="18" t="n">
        <v>90555</v>
      </c>
      <c r="G194" s="19" t="n">
        <v>38.2</v>
      </c>
      <c r="H194" s="17" t="n">
        <f aca="false">IF(G194="","",RANK(G194,$G$5:$G$281))</f>
        <v>189</v>
      </c>
      <c r="I194" s="19" t="n">
        <v>60.7</v>
      </c>
      <c r="J194" s="17" t="n">
        <f aca="false">IF(I194="","",RANK(I194,$I$5:$I$281))</f>
        <v>87</v>
      </c>
      <c r="K194" s="19" t="n">
        <v>58.9</v>
      </c>
      <c r="L194" s="17" t="n">
        <f aca="false">IF(K194="","",RANK(K194,$K$5:$K$281))</f>
        <v>98</v>
      </c>
      <c r="M194" s="17" t="str">
        <f aca="false">IF(AND(N(G194)&gt;=N(I194),N(G194)&gt;=N(K194)),"The Pulse",IF(N(I194)&gt;=N(K194),"The Lens","The Hub"))</f>
        <v>The Lens</v>
      </c>
      <c r="N194" s="21" t="s">
        <v>78</v>
      </c>
      <c r="O194" s="17" t="s">
        <v>126</v>
      </c>
    </row>
    <row r="195" customFormat="false" ht="15" hidden="false" customHeight="false" outlineLevel="0" collapsed="false">
      <c r="A195" s="17" t="s">
        <v>481</v>
      </c>
      <c r="B195" s="17" t="s">
        <v>482</v>
      </c>
      <c r="C195" s="17" t="s">
        <v>72</v>
      </c>
      <c r="D195" s="17" t="s">
        <v>170</v>
      </c>
      <c r="E195" s="17" t="s">
        <v>129</v>
      </c>
      <c r="F195" s="18" t="n">
        <v>361432</v>
      </c>
      <c r="G195" s="19" t="n">
        <v>37.9</v>
      </c>
      <c r="H195" s="17" t="n">
        <f aca="false">IF(G195="","",RANK(G195,$G$5:$G$281))</f>
        <v>191</v>
      </c>
      <c r="I195" s="19" t="n">
        <v>49</v>
      </c>
      <c r="J195" s="17" t="n">
        <f aca="false">IF(I195="","",RANK(I195,$I$5:$I$281))</f>
        <v>145</v>
      </c>
      <c r="K195" s="19" t="n">
        <v>69.2</v>
      </c>
      <c r="L195" s="17" t="n">
        <f aca="false">IF(K195="","",RANK(K195,$K$5:$K$281))</f>
        <v>62</v>
      </c>
      <c r="M195" s="17" t="str">
        <f aca="false">IF(AND(N(G195)&gt;=N(I195),N(G195)&gt;=N(K195)),"The Pulse",IF(N(I195)&gt;=N(K195),"The Lens","The Hub"))</f>
        <v>The Hub</v>
      </c>
      <c r="N195" s="21" t="s">
        <v>78</v>
      </c>
      <c r="O195" s="17" t="s">
        <v>126</v>
      </c>
    </row>
    <row r="196" customFormat="false" ht="15" hidden="false" customHeight="false" outlineLevel="0" collapsed="false">
      <c r="A196" s="17" t="s">
        <v>483</v>
      </c>
      <c r="B196" s="17" t="s">
        <v>484</v>
      </c>
      <c r="C196" s="17" t="s">
        <v>138</v>
      </c>
      <c r="D196" s="17" t="s">
        <v>118</v>
      </c>
      <c r="E196" s="17" t="s">
        <v>129</v>
      </c>
      <c r="F196" s="18" t="n">
        <v>556060</v>
      </c>
      <c r="G196" s="19" t="n">
        <v>37.9</v>
      </c>
      <c r="H196" s="17" t="n">
        <f aca="false">IF(G196="","",RANK(G196,$G$5:$G$281))</f>
        <v>191</v>
      </c>
      <c r="I196" s="19" t="n">
        <v>66.7</v>
      </c>
      <c r="J196" s="17" t="n">
        <f aca="false">IF(I196="","",RANK(I196,$I$5:$I$281))</f>
        <v>65</v>
      </c>
      <c r="K196" s="19" t="n">
        <v>69.9</v>
      </c>
      <c r="L196" s="17" t="n">
        <f aca="false">IF(K196="","",RANK(K196,$K$5:$K$281))</f>
        <v>60</v>
      </c>
      <c r="M196" s="17" t="str">
        <f aca="false">IF(AND(N(G196)&gt;=N(I196),N(G196)&gt;=N(K196)),"The Pulse",IF(N(I196)&gt;=N(K196),"The Lens","The Hub"))</f>
        <v>The Hub</v>
      </c>
      <c r="N196" s="20" t="s">
        <v>74</v>
      </c>
      <c r="O196" s="17" t="s">
        <v>19</v>
      </c>
    </row>
    <row r="197" customFormat="false" ht="15" hidden="false" customHeight="false" outlineLevel="0" collapsed="false">
      <c r="A197" s="17" t="s">
        <v>485</v>
      </c>
      <c r="B197" s="17" t="s">
        <v>486</v>
      </c>
      <c r="C197" s="17" t="s">
        <v>114</v>
      </c>
      <c r="D197" s="17" t="s">
        <v>108</v>
      </c>
      <c r="E197" s="17" t="s">
        <v>45</v>
      </c>
      <c r="F197" s="18" t="n">
        <v>322720</v>
      </c>
      <c r="G197" s="19" t="n">
        <v>37.6</v>
      </c>
      <c r="H197" s="17" t="n">
        <f aca="false">IF(G197="","",RANK(G197,$G$5:$G$281))</f>
        <v>193</v>
      </c>
      <c r="I197" s="19" t="n">
        <v>79.7</v>
      </c>
      <c r="J197" s="17" t="n">
        <f aca="false">IF(I197="","",RANK(I197,$I$5:$I$281))</f>
        <v>27</v>
      </c>
      <c r="K197" s="19" t="n">
        <v>7.7</v>
      </c>
      <c r="L197" s="17" t="n">
        <f aca="false">IF(K197="","",RANK(K197,$K$5:$K$281))</f>
        <v>267</v>
      </c>
      <c r="M197" s="17" t="str">
        <f aca="false">IF(AND(N(G197)&gt;=N(I197),N(G197)&gt;=N(K197)),"The Pulse",IF(N(I197)&gt;=N(K197),"The Lens","The Hub"))</f>
        <v>The Lens</v>
      </c>
      <c r="N197" s="21" t="s">
        <v>78</v>
      </c>
      <c r="O197" s="17" t="s">
        <v>21</v>
      </c>
    </row>
    <row r="198" customFormat="false" ht="15" hidden="false" customHeight="false" outlineLevel="0" collapsed="false">
      <c r="A198" s="17" t="s">
        <v>487</v>
      </c>
      <c r="B198" s="17" t="s">
        <v>488</v>
      </c>
      <c r="C198" s="17" t="s">
        <v>114</v>
      </c>
      <c r="D198" s="17" t="s">
        <v>170</v>
      </c>
      <c r="E198" s="17" t="s">
        <v>157</v>
      </c>
      <c r="F198" s="18" t="n">
        <v>168375</v>
      </c>
      <c r="G198" s="19" t="n">
        <v>37.4</v>
      </c>
      <c r="H198" s="17" t="n">
        <f aca="false">IF(G198="","",RANK(G198,$G$5:$G$281))</f>
        <v>194</v>
      </c>
      <c r="I198" s="19" t="n">
        <v>11.2</v>
      </c>
      <c r="J198" s="17" t="n">
        <f aca="false">IF(I198="","",RANK(I198,$I$5:$I$281))</f>
        <v>260</v>
      </c>
      <c r="K198" s="19" t="n">
        <v>51.4</v>
      </c>
      <c r="L198" s="17" t="n">
        <f aca="false">IF(K198="","",RANK(K198,$K$5:$K$281))</f>
        <v>127</v>
      </c>
      <c r="M198" s="17" t="str">
        <f aca="false">IF(AND(N(G198)&gt;=N(I198),N(G198)&gt;=N(K198)),"The Pulse",IF(N(I198)&gt;=N(K198),"The Lens","The Hub"))</f>
        <v>The Hub</v>
      </c>
      <c r="N198" s="20" t="s">
        <v>74</v>
      </c>
      <c r="O198" s="17" t="s">
        <v>19</v>
      </c>
    </row>
    <row r="199" customFormat="false" ht="15" hidden="false" customHeight="false" outlineLevel="0" collapsed="false">
      <c r="A199" s="17" t="s">
        <v>489</v>
      </c>
      <c r="B199" s="17" t="s">
        <v>490</v>
      </c>
      <c r="C199" s="17" t="s">
        <v>138</v>
      </c>
      <c r="D199" s="17" t="s">
        <v>82</v>
      </c>
      <c r="E199" s="17" t="s">
        <v>129</v>
      </c>
      <c r="F199" s="18" t="n">
        <v>471465</v>
      </c>
      <c r="G199" s="19" t="n">
        <v>37.4</v>
      </c>
      <c r="H199" s="17" t="n">
        <f aca="false">IF(G199="","",RANK(G199,$G$5:$G$281))</f>
        <v>194</v>
      </c>
      <c r="I199" s="19" t="n">
        <v>16</v>
      </c>
      <c r="J199" s="17" t="n">
        <f aca="false">IF(I199="","",RANK(I199,$I$5:$I$281))</f>
        <v>247</v>
      </c>
      <c r="K199" s="19" t="n">
        <v>32.7</v>
      </c>
      <c r="L199" s="17" t="n">
        <f aca="false">IF(K199="","",RANK(K199,$K$5:$K$281))</f>
        <v>210</v>
      </c>
      <c r="M199" s="17" t="str">
        <f aca="false">IF(AND(N(G199)&gt;=N(I199),N(G199)&gt;=N(K199)),"The Pulse",IF(N(I199)&gt;=N(K199),"The Lens","The Hub"))</f>
        <v>The Pulse</v>
      </c>
      <c r="N199" s="20" t="s">
        <v>74</v>
      </c>
      <c r="O199" s="17" t="s">
        <v>19</v>
      </c>
    </row>
    <row r="200" customFormat="false" ht="15" hidden="false" customHeight="false" outlineLevel="0" collapsed="false">
      <c r="A200" s="17" t="s">
        <v>491</v>
      </c>
      <c r="B200" s="17" t="s">
        <v>492</v>
      </c>
      <c r="C200" s="17" t="s">
        <v>92</v>
      </c>
      <c r="D200" s="17" t="s">
        <v>111</v>
      </c>
      <c r="E200" s="17" t="s">
        <v>157</v>
      </c>
      <c r="F200" s="18" t="n">
        <v>128333</v>
      </c>
      <c r="G200" s="19" t="n">
        <v>37.2</v>
      </c>
      <c r="H200" s="17" t="n">
        <f aca="false">IF(G200="","",RANK(G200,$G$5:$G$281))</f>
        <v>196</v>
      </c>
      <c r="I200" s="19" t="n">
        <v>42.1</v>
      </c>
      <c r="J200" s="17" t="n">
        <f aca="false">IF(I200="","",RANK(I200,$I$5:$I$281))</f>
        <v>174</v>
      </c>
      <c r="K200" s="19" t="n">
        <v>68.2</v>
      </c>
      <c r="L200" s="17" t="n">
        <f aca="false">IF(K200="","",RANK(K200,$K$5:$K$281))</f>
        <v>68</v>
      </c>
      <c r="M200" s="17" t="str">
        <f aca="false">IF(AND(N(G200)&gt;=N(I200),N(G200)&gt;=N(K200)),"The Pulse",IF(N(I200)&gt;=N(K200),"The Lens","The Hub"))</f>
        <v>The Hub</v>
      </c>
      <c r="N200" s="21" t="s">
        <v>78</v>
      </c>
      <c r="O200" s="17" t="s">
        <v>126</v>
      </c>
    </row>
    <row r="201" customFormat="false" ht="15" hidden="false" customHeight="false" outlineLevel="0" collapsed="false">
      <c r="A201" s="17" t="s">
        <v>493</v>
      </c>
      <c r="B201" s="17" t="s">
        <v>494</v>
      </c>
      <c r="C201" s="17" t="s">
        <v>102</v>
      </c>
      <c r="D201" s="17" t="s">
        <v>82</v>
      </c>
      <c r="E201" s="17" t="s">
        <v>46</v>
      </c>
      <c r="F201" s="18" t="n">
        <v>30485</v>
      </c>
      <c r="G201" s="19" t="n">
        <v>36.6</v>
      </c>
      <c r="H201" s="17" t="n">
        <f aca="false">IF(G201="","",RANK(G201,$G$5:$G$281))</f>
        <v>197</v>
      </c>
      <c r="I201" s="19" t="n">
        <v>86.7</v>
      </c>
      <c r="J201" s="17" t="n">
        <f aca="false">IF(I201="","",RANK(I201,$I$5:$I$281))</f>
        <v>17</v>
      </c>
      <c r="K201" s="19" t="n">
        <v>36.3</v>
      </c>
      <c r="L201" s="17" t="n">
        <f aca="false">IF(K201="","",RANK(K201,$K$5:$K$281))</f>
        <v>195</v>
      </c>
      <c r="M201" s="17" t="str">
        <f aca="false">IF(AND(N(G201)&gt;=N(I201),N(G201)&gt;=N(K201)),"The Pulse",IF(N(I201)&gt;=N(K201),"The Lens","The Hub"))</f>
        <v>The Lens</v>
      </c>
      <c r="N201" s="20" t="s">
        <v>74</v>
      </c>
      <c r="O201" s="17" t="s">
        <v>19</v>
      </c>
    </row>
    <row r="202" customFormat="false" ht="15" hidden="false" customHeight="false" outlineLevel="0" collapsed="false">
      <c r="A202" s="17" t="s">
        <v>495</v>
      </c>
      <c r="B202" s="17" t="s">
        <v>496</v>
      </c>
      <c r="C202" s="17" t="s">
        <v>92</v>
      </c>
      <c r="D202" s="17" t="s">
        <v>115</v>
      </c>
      <c r="E202" s="17" t="s">
        <v>157</v>
      </c>
      <c r="F202" s="18" t="n">
        <v>37089</v>
      </c>
      <c r="G202" s="19" t="n">
        <v>36.2</v>
      </c>
      <c r="H202" s="17" t="n">
        <f aca="false">IF(G202="","",RANK(G202,$G$5:$G$281))</f>
        <v>198</v>
      </c>
      <c r="I202" s="19" t="n">
        <v>74.8</v>
      </c>
      <c r="J202" s="17" t="n">
        <f aca="false">IF(I202="","",RANK(I202,$I$5:$I$281))</f>
        <v>39</v>
      </c>
      <c r="K202" s="19" t="n">
        <v>61.8</v>
      </c>
      <c r="L202" s="17" t="n">
        <f aca="false">IF(K202="","",RANK(K202,$K$5:$K$281))</f>
        <v>85</v>
      </c>
      <c r="M202" s="17" t="str">
        <f aca="false">IF(AND(N(G202)&gt;=N(I202),N(G202)&gt;=N(K202)),"The Pulse",IF(N(I202)&gt;=N(K202),"The Lens","The Hub"))</f>
        <v>The Lens</v>
      </c>
      <c r="N202" s="20" t="s">
        <v>74</v>
      </c>
      <c r="O202" s="17" t="s">
        <v>19</v>
      </c>
    </row>
    <row r="203" customFormat="false" ht="15" hidden="false" customHeight="false" outlineLevel="0" collapsed="false">
      <c r="A203" s="17" t="s">
        <v>497</v>
      </c>
      <c r="B203" s="17" t="s">
        <v>498</v>
      </c>
      <c r="C203" s="17" t="s">
        <v>81</v>
      </c>
      <c r="D203" s="17" t="s">
        <v>82</v>
      </c>
      <c r="E203" s="17" t="s">
        <v>129</v>
      </c>
      <c r="F203" s="18" t="n">
        <v>998425</v>
      </c>
      <c r="G203" s="19" t="n">
        <v>36</v>
      </c>
      <c r="H203" s="17" t="n">
        <f aca="false">IF(G203="","",RANK(G203,$G$5:$G$281))</f>
        <v>199</v>
      </c>
      <c r="I203" s="19" t="n">
        <v>48.6</v>
      </c>
      <c r="J203" s="17" t="n">
        <f aca="false">IF(I203="","",RANK(I203,$I$5:$I$281))</f>
        <v>147</v>
      </c>
      <c r="K203" s="19" t="n">
        <v>52.1</v>
      </c>
      <c r="L203" s="17" t="n">
        <f aca="false">IF(K203="","",RANK(K203,$K$5:$K$281))</f>
        <v>120</v>
      </c>
      <c r="M203" s="17" t="str">
        <f aca="false">IF(AND(N(G203)&gt;=N(I203),N(G203)&gt;=N(K203)),"The Pulse",IF(N(I203)&gt;=N(K203),"The Lens","The Hub"))</f>
        <v>The Hub</v>
      </c>
      <c r="N203" s="21" t="s">
        <v>78</v>
      </c>
      <c r="O203" s="17" t="s">
        <v>126</v>
      </c>
    </row>
    <row r="204" customFormat="false" ht="15" hidden="false" customHeight="false" outlineLevel="0" collapsed="false">
      <c r="A204" s="17" t="s">
        <v>499</v>
      </c>
      <c r="B204" s="17" t="s">
        <v>500</v>
      </c>
      <c r="C204" s="17" t="s">
        <v>133</v>
      </c>
      <c r="D204" s="17" t="s">
        <v>170</v>
      </c>
      <c r="E204" s="17" t="s">
        <v>46</v>
      </c>
      <c r="F204" s="18" t="n">
        <v>181060</v>
      </c>
      <c r="G204" s="19" t="n">
        <v>35.9</v>
      </c>
      <c r="H204" s="17" t="n">
        <f aca="false">IF(G204="","",RANK(G204,$G$5:$G$281))</f>
        <v>200</v>
      </c>
      <c r="I204" s="19" t="n">
        <v>94.7</v>
      </c>
      <c r="J204" s="17" t="n">
        <f aca="false">IF(I204="","",RANK(I204,$I$5:$I$281))</f>
        <v>4</v>
      </c>
      <c r="K204" s="19" t="n">
        <v>34.2</v>
      </c>
      <c r="L204" s="17" t="n">
        <f aca="false">IF(K204="","",RANK(K204,$K$5:$K$281))</f>
        <v>203</v>
      </c>
      <c r="M204" s="17" t="str">
        <f aca="false">IF(AND(N(G204)&gt;=N(I204),N(G204)&gt;=N(K204)),"The Pulse",IF(N(I204)&gt;=N(K204),"The Lens","The Hub"))</f>
        <v>The Lens</v>
      </c>
      <c r="N204" s="21" t="s">
        <v>78</v>
      </c>
      <c r="O204" s="17" t="s">
        <v>21</v>
      </c>
    </row>
    <row r="205" customFormat="false" ht="15" hidden="false" customHeight="false" outlineLevel="0" collapsed="false">
      <c r="A205" s="17" t="s">
        <v>501</v>
      </c>
      <c r="B205" s="17" t="s">
        <v>502</v>
      </c>
      <c r="C205" s="17" t="s">
        <v>81</v>
      </c>
      <c r="D205" s="17" t="s">
        <v>93</v>
      </c>
      <c r="E205" s="17" t="s">
        <v>47</v>
      </c>
      <c r="F205" s="18" t="n">
        <v>22720</v>
      </c>
      <c r="G205" s="19" t="n">
        <v>35.4</v>
      </c>
      <c r="H205" s="17" t="n">
        <f aca="false">IF(G205="","",RANK(G205,$G$5:$G$281))</f>
        <v>201</v>
      </c>
      <c r="I205" s="19" t="n">
        <v>93.3</v>
      </c>
      <c r="J205" s="17" t="n">
        <f aca="false">IF(I205="","",RANK(I205,$I$5:$I$281))</f>
        <v>8</v>
      </c>
      <c r="K205" s="19" t="n">
        <v>53.1</v>
      </c>
      <c r="L205" s="17" t="n">
        <f aca="false">IF(K205="","",RANK(K205,$K$5:$K$281))</f>
        <v>116</v>
      </c>
      <c r="M205" s="17" t="str">
        <f aca="false">IF(AND(N(G205)&gt;=N(I205),N(G205)&gt;=N(K205)),"The Pulse",IF(N(I205)&gt;=N(K205),"The Lens","The Hub"))</f>
        <v>The Lens</v>
      </c>
      <c r="N205" s="20" t="s">
        <v>74</v>
      </c>
      <c r="O205" s="17" t="s">
        <v>19</v>
      </c>
    </row>
    <row r="206" customFormat="false" ht="15" hidden="false" customHeight="false" outlineLevel="0" collapsed="false">
      <c r="A206" s="17" t="s">
        <v>503</v>
      </c>
      <c r="B206" s="17" t="s">
        <v>504</v>
      </c>
      <c r="C206" s="17" t="s">
        <v>77</v>
      </c>
      <c r="D206" s="17" t="s">
        <v>118</v>
      </c>
      <c r="E206" s="17" t="s">
        <v>129</v>
      </c>
      <c r="F206" s="18" t="n">
        <v>81390</v>
      </c>
      <c r="G206" s="19" t="n">
        <v>35.3</v>
      </c>
      <c r="H206" s="17" t="n">
        <f aca="false">IF(G206="","",RANK(G206,$G$5:$G$281))</f>
        <v>202</v>
      </c>
      <c r="I206" s="19" t="n">
        <v>36.2</v>
      </c>
      <c r="J206" s="17" t="n">
        <f aca="false">IF(I206="","",RANK(I206,$I$5:$I$281))</f>
        <v>197</v>
      </c>
      <c r="K206" s="19" t="n">
        <v>35.2</v>
      </c>
      <c r="L206" s="17" t="n">
        <f aca="false">IF(K206="","",RANK(K206,$K$5:$K$281))</f>
        <v>200</v>
      </c>
      <c r="M206" s="17" t="str">
        <f aca="false">IF(AND(N(G206)&gt;=N(I206),N(G206)&gt;=N(K206)),"The Pulse",IF(N(I206)&gt;=N(K206),"The Lens","The Hub"))</f>
        <v>The Lens</v>
      </c>
      <c r="N206" s="21" t="s">
        <v>78</v>
      </c>
      <c r="O206" s="17" t="s">
        <v>126</v>
      </c>
    </row>
    <row r="207" customFormat="false" ht="15" hidden="false" customHeight="false" outlineLevel="0" collapsed="false">
      <c r="A207" s="17" t="s">
        <v>505</v>
      </c>
      <c r="B207" s="17" t="s">
        <v>506</v>
      </c>
      <c r="C207" s="17" t="s">
        <v>77</v>
      </c>
      <c r="D207" s="17" t="s">
        <v>115</v>
      </c>
      <c r="E207" s="17" t="s">
        <v>45</v>
      </c>
      <c r="F207" s="18" t="n">
        <v>68000</v>
      </c>
      <c r="G207" s="19" t="n">
        <v>35.3</v>
      </c>
      <c r="H207" s="17" t="n">
        <f aca="false">IF(G207="","",RANK(G207,$G$5:$G$281))</f>
        <v>202</v>
      </c>
      <c r="I207" s="19" t="n">
        <v>6</v>
      </c>
      <c r="J207" s="17" t="n">
        <f aca="false">IF(I207="","",RANK(I207,$I$5:$I$281))</f>
        <v>272</v>
      </c>
      <c r="K207" s="19" t="n">
        <v>69.1</v>
      </c>
      <c r="L207" s="17" t="n">
        <f aca="false">IF(K207="","",RANK(K207,$K$5:$K$281))</f>
        <v>63</v>
      </c>
      <c r="M207" s="17" t="str">
        <f aca="false">IF(AND(N(G207)&gt;=N(I207),N(G207)&gt;=N(K207)),"The Pulse",IF(N(I207)&gt;=N(K207),"The Lens","The Hub"))</f>
        <v>The Hub</v>
      </c>
      <c r="N207" s="21" t="s">
        <v>78</v>
      </c>
      <c r="O207" s="17" t="s">
        <v>21</v>
      </c>
    </row>
    <row r="208" customFormat="false" ht="15" hidden="false" customHeight="false" outlineLevel="0" collapsed="false">
      <c r="A208" s="17" t="s">
        <v>507</v>
      </c>
      <c r="B208" s="17" t="s">
        <v>508</v>
      </c>
      <c r="C208" s="17" t="s">
        <v>92</v>
      </c>
      <c r="D208" s="17" t="s">
        <v>118</v>
      </c>
      <c r="E208" s="17" t="s">
        <v>129</v>
      </c>
      <c r="F208" s="18" t="n">
        <v>519882</v>
      </c>
      <c r="G208" s="19" t="n">
        <v>35</v>
      </c>
      <c r="H208" s="17" t="n">
        <f aca="false">IF(G208="","",RANK(G208,$G$5:$G$281))</f>
        <v>204</v>
      </c>
      <c r="I208" s="19" t="n">
        <v>25.7</v>
      </c>
      <c r="J208" s="17" t="n">
        <f aca="false">IF(I208="","",RANK(I208,$I$5:$I$281))</f>
        <v>228</v>
      </c>
      <c r="K208" s="19" t="n">
        <v>72.8</v>
      </c>
      <c r="L208" s="17" t="n">
        <f aca="false">IF(K208="","",RANK(K208,$K$5:$K$281))</f>
        <v>54</v>
      </c>
      <c r="M208" s="17" t="str">
        <f aca="false">IF(AND(N(G208)&gt;=N(I208),N(G208)&gt;=N(K208)),"The Pulse",IF(N(I208)&gt;=N(K208),"The Lens","The Hub"))</f>
        <v>The Hub</v>
      </c>
      <c r="N208" s="21" t="s">
        <v>78</v>
      </c>
      <c r="O208" s="17" t="s">
        <v>126</v>
      </c>
    </row>
    <row r="209" customFormat="false" ht="15" hidden="false" customHeight="false" outlineLevel="0" collapsed="false">
      <c r="A209" s="17" t="s">
        <v>509</v>
      </c>
      <c r="B209" s="17" t="s">
        <v>510</v>
      </c>
      <c r="C209" s="17" t="s">
        <v>92</v>
      </c>
      <c r="D209" s="17" t="s">
        <v>115</v>
      </c>
      <c r="E209" s="17" t="s">
        <v>175</v>
      </c>
      <c r="F209" s="18" t="n">
        <v>255731</v>
      </c>
      <c r="G209" s="19" t="n">
        <v>34.5</v>
      </c>
      <c r="H209" s="17" t="n">
        <f aca="false">IF(G209="","",RANK(G209,$G$5:$G$281))</f>
        <v>205</v>
      </c>
      <c r="I209" s="19" t="n">
        <v>60</v>
      </c>
      <c r="J209" s="17" t="n">
        <f aca="false">IF(I209="","",RANK(I209,$I$5:$I$281))</f>
        <v>88</v>
      </c>
      <c r="K209" s="19" t="n">
        <v>86.8</v>
      </c>
      <c r="L209" s="17" t="n">
        <f aca="false">IF(K209="","",RANK(K209,$K$5:$K$281))</f>
        <v>27</v>
      </c>
      <c r="M209" s="17" t="str">
        <f aca="false">IF(AND(N(G209)&gt;=N(I209),N(G209)&gt;=N(K209)),"The Pulse",IF(N(I209)&gt;=N(K209),"The Lens","The Hub"))</f>
        <v>The Hub</v>
      </c>
      <c r="N209" s="21" t="s">
        <v>78</v>
      </c>
      <c r="O209" s="17" t="s">
        <v>126</v>
      </c>
    </row>
    <row r="210" customFormat="false" ht="15" hidden="false" customHeight="false" outlineLevel="0" collapsed="false">
      <c r="A210" s="17" t="s">
        <v>511</v>
      </c>
      <c r="B210" s="17" t="s">
        <v>512</v>
      </c>
      <c r="C210" s="17" t="s">
        <v>72</v>
      </c>
      <c r="D210" s="17" t="s">
        <v>93</v>
      </c>
      <c r="E210" s="17" t="s">
        <v>45</v>
      </c>
      <c r="F210" s="18" t="n">
        <v>88908</v>
      </c>
      <c r="G210" s="19" t="n">
        <v>34.2</v>
      </c>
      <c r="H210" s="17" t="n">
        <f aca="false">IF(G210="","",RANK(G210,$G$5:$G$281))</f>
        <v>206</v>
      </c>
      <c r="I210" s="19" t="n">
        <v>33.3</v>
      </c>
      <c r="J210" s="17" t="n">
        <f aca="false">IF(I210="","",RANK(I210,$I$5:$I$281))</f>
        <v>208</v>
      </c>
      <c r="K210" s="19"/>
      <c r="L210" s="17" t="str">
        <f aca="false">IF(K210="","",RANK(K210,$K$5:$K$281))</f>
        <v/>
      </c>
      <c r="M210" s="17" t="str">
        <f aca="false">IF(AND(N(G210)&gt;=N(I210),N(G210)&gt;=N(K210)),"The Pulse",IF(N(I210)&gt;=N(K210),"The Lens","The Hub"))</f>
        <v>The Pulse</v>
      </c>
      <c r="N210" s="20" t="s">
        <v>74</v>
      </c>
      <c r="O210" s="17" t="s">
        <v>19</v>
      </c>
    </row>
    <row r="211" customFormat="false" ht="15" hidden="false" customHeight="false" outlineLevel="0" collapsed="false">
      <c r="A211" s="17" t="s">
        <v>513</v>
      </c>
      <c r="B211" s="17" t="s">
        <v>514</v>
      </c>
      <c r="C211" s="17" t="s">
        <v>114</v>
      </c>
      <c r="D211" s="17" t="s">
        <v>82</v>
      </c>
      <c r="E211" s="17" t="s">
        <v>46</v>
      </c>
      <c r="F211" s="18" t="n">
        <v>221760</v>
      </c>
      <c r="G211" s="19" t="n">
        <v>34</v>
      </c>
      <c r="H211" s="17" t="n">
        <f aca="false">IF(G211="","",RANK(G211,$G$5:$G$281))</f>
        <v>207</v>
      </c>
      <c r="I211" s="19" t="n">
        <v>15.2</v>
      </c>
      <c r="J211" s="17" t="n">
        <f aca="false">IF(I211="","",RANK(I211,$I$5:$I$281))</f>
        <v>252</v>
      </c>
      <c r="K211" s="19" t="n">
        <v>42.2</v>
      </c>
      <c r="L211" s="17" t="n">
        <f aca="false">IF(K211="","",RANK(K211,$K$5:$K$281))</f>
        <v>182</v>
      </c>
      <c r="M211" s="17" t="str">
        <f aca="false">IF(AND(N(G211)&gt;=N(I211),N(G211)&gt;=N(K211)),"The Pulse",IF(N(I211)&gt;=N(K211),"The Lens","The Hub"))</f>
        <v>The Hub</v>
      </c>
      <c r="N211" s="21" t="s">
        <v>78</v>
      </c>
      <c r="O211" s="17" t="s">
        <v>21</v>
      </c>
    </row>
    <row r="212" customFormat="false" ht="15" hidden="false" customHeight="false" outlineLevel="0" collapsed="false">
      <c r="A212" s="17" t="s">
        <v>515</v>
      </c>
      <c r="B212" s="17" t="s">
        <v>516</v>
      </c>
      <c r="C212" s="17" t="s">
        <v>72</v>
      </c>
      <c r="D212" s="17" t="s">
        <v>93</v>
      </c>
      <c r="E212" s="17" t="s">
        <v>125</v>
      </c>
      <c r="F212" s="18" t="n">
        <v>41031</v>
      </c>
      <c r="G212" s="19" t="n">
        <v>33.4</v>
      </c>
      <c r="H212" s="17" t="n">
        <f aca="false">IF(G212="","",RANK(G212,$G$5:$G$281))</f>
        <v>208</v>
      </c>
      <c r="I212" s="19" t="n">
        <v>64.6</v>
      </c>
      <c r="J212" s="17" t="n">
        <f aca="false">IF(I212="","",RANK(I212,$I$5:$I$281))</f>
        <v>76</v>
      </c>
      <c r="K212" s="19" t="n">
        <v>43.2</v>
      </c>
      <c r="L212" s="17" t="n">
        <f aca="false">IF(K212="","",RANK(K212,$K$5:$K$281))</f>
        <v>170</v>
      </c>
      <c r="M212" s="17" t="str">
        <f aca="false">IF(AND(N(G212)&gt;=N(I212),N(G212)&gt;=N(K212)),"The Pulse",IF(N(I212)&gt;=N(K212),"The Lens","The Hub"))</f>
        <v>The Lens</v>
      </c>
      <c r="N212" s="20" t="s">
        <v>74</v>
      </c>
      <c r="O212" s="17" t="s">
        <v>19</v>
      </c>
    </row>
    <row r="213" customFormat="false" ht="15" hidden="false" customHeight="false" outlineLevel="0" collapsed="false">
      <c r="A213" s="17" t="s">
        <v>517</v>
      </c>
      <c r="B213" s="17" t="s">
        <v>518</v>
      </c>
      <c r="C213" s="17" t="s">
        <v>105</v>
      </c>
      <c r="D213" s="17" t="s">
        <v>108</v>
      </c>
      <c r="E213" s="17" t="s">
        <v>125</v>
      </c>
      <c r="F213" s="18" t="n">
        <v>95458</v>
      </c>
      <c r="G213" s="19" t="n">
        <v>33.4</v>
      </c>
      <c r="H213" s="17" t="n">
        <f aca="false">IF(G213="","",RANK(G213,$G$5:$G$281))</f>
        <v>208</v>
      </c>
      <c r="I213" s="19" t="n">
        <v>15.8</v>
      </c>
      <c r="J213" s="17" t="n">
        <f aca="false">IF(I213="","",RANK(I213,$I$5:$I$281))</f>
        <v>251</v>
      </c>
      <c r="K213" s="19" t="n">
        <v>44.1</v>
      </c>
      <c r="L213" s="17" t="n">
        <f aca="false">IF(K213="","",RANK(K213,$K$5:$K$281))</f>
        <v>167</v>
      </c>
      <c r="M213" s="17" t="str">
        <f aca="false">IF(AND(N(G213)&gt;=N(I213),N(G213)&gt;=N(K213)),"The Pulse",IF(N(I213)&gt;=N(K213),"The Lens","The Hub"))</f>
        <v>The Hub</v>
      </c>
      <c r="N213" s="22" t="s">
        <v>83</v>
      </c>
      <c r="O213" s="17" t="s">
        <v>130</v>
      </c>
    </row>
    <row r="214" customFormat="false" ht="15" hidden="false" customHeight="false" outlineLevel="0" collapsed="false">
      <c r="A214" s="17" t="s">
        <v>519</v>
      </c>
      <c r="B214" s="17" t="s">
        <v>520</v>
      </c>
      <c r="C214" s="17" t="s">
        <v>87</v>
      </c>
      <c r="D214" s="17" t="s">
        <v>99</v>
      </c>
      <c r="E214" s="17" t="s">
        <v>47</v>
      </c>
      <c r="F214" s="18" t="n">
        <v>545995</v>
      </c>
      <c r="G214" s="19" t="n">
        <v>33.1</v>
      </c>
      <c r="H214" s="17" t="n">
        <f aca="false">IF(G214="","",RANK(G214,$G$5:$G$281))</f>
        <v>210</v>
      </c>
      <c r="I214" s="19" t="n">
        <v>27.1</v>
      </c>
      <c r="J214" s="17" t="n">
        <f aca="false">IF(I214="","",RANK(I214,$I$5:$I$281))</f>
        <v>224</v>
      </c>
      <c r="K214" s="19" t="n">
        <v>9.5</v>
      </c>
      <c r="L214" s="17" t="n">
        <f aca="false">IF(K214="","",RANK(K214,$K$5:$K$281))</f>
        <v>263</v>
      </c>
      <c r="M214" s="17" t="str">
        <f aca="false">IF(AND(N(G214)&gt;=N(I214),N(G214)&gt;=N(K214)),"The Pulse",IF(N(I214)&gt;=N(K214),"The Lens","The Hub"))</f>
        <v>The Pulse</v>
      </c>
      <c r="N214" s="20" t="s">
        <v>74</v>
      </c>
      <c r="O214" s="17" t="s">
        <v>19</v>
      </c>
    </row>
    <row r="215" customFormat="false" ht="15" hidden="false" customHeight="false" outlineLevel="0" collapsed="false">
      <c r="A215" s="17" t="s">
        <v>521</v>
      </c>
      <c r="B215" s="17" t="s">
        <v>522</v>
      </c>
      <c r="C215" s="17" t="s">
        <v>114</v>
      </c>
      <c r="D215" s="17" t="s">
        <v>73</v>
      </c>
      <c r="E215" s="17" t="s">
        <v>129</v>
      </c>
      <c r="F215" s="18" t="n">
        <v>76634</v>
      </c>
      <c r="G215" s="19" t="n">
        <v>33.1</v>
      </c>
      <c r="H215" s="17" t="n">
        <f aca="false">IF(G215="","",RANK(G215,$G$5:$G$281))</f>
        <v>210</v>
      </c>
      <c r="I215" s="19" t="n">
        <v>34.2</v>
      </c>
      <c r="J215" s="17" t="n">
        <f aca="false">IF(I215="","",RANK(I215,$I$5:$I$281))</f>
        <v>202</v>
      </c>
      <c r="K215" s="19" t="n">
        <v>55.3</v>
      </c>
      <c r="L215" s="17" t="n">
        <f aca="false">IF(K215="","",RANK(K215,$K$5:$K$281))</f>
        <v>107</v>
      </c>
      <c r="M215" s="17" t="str">
        <f aca="false">IF(AND(N(G215)&gt;=N(I215),N(G215)&gt;=N(K215)),"The Pulse",IF(N(I215)&gt;=N(K215),"The Lens","The Hub"))</f>
        <v>The Hub</v>
      </c>
      <c r="N215" s="20" t="s">
        <v>74</v>
      </c>
      <c r="O215" s="17" t="s">
        <v>19</v>
      </c>
    </row>
    <row r="216" customFormat="false" ht="15" hidden="false" customHeight="false" outlineLevel="0" collapsed="false">
      <c r="A216" s="17" t="s">
        <v>523</v>
      </c>
      <c r="B216" s="17" t="s">
        <v>524</v>
      </c>
      <c r="C216" s="17" t="s">
        <v>105</v>
      </c>
      <c r="D216" s="17" t="s">
        <v>115</v>
      </c>
      <c r="E216" s="17" t="s">
        <v>129</v>
      </c>
      <c r="F216" s="18" t="n">
        <v>94949</v>
      </c>
      <c r="G216" s="19" t="n">
        <v>32.9</v>
      </c>
      <c r="H216" s="17" t="n">
        <f aca="false">IF(G216="","",RANK(G216,$G$5:$G$281))</f>
        <v>212</v>
      </c>
      <c r="I216" s="19" t="n">
        <v>34.1</v>
      </c>
      <c r="J216" s="17" t="n">
        <f aca="false">IF(I216="","",RANK(I216,$I$5:$I$281))</f>
        <v>204</v>
      </c>
      <c r="K216" s="19" t="n">
        <v>41.4</v>
      </c>
      <c r="L216" s="17" t="n">
        <f aca="false">IF(K216="","",RANK(K216,$K$5:$K$281))</f>
        <v>185</v>
      </c>
      <c r="M216" s="17" t="str">
        <f aca="false">IF(AND(N(G216)&gt;=N(I216),N(G216)&gt;=N(K216)),"The Pulse",IF(N(I216)&gt;=N(K216),"The Lens","The Hub"))</f>
        <v>The Hub</v>
      </c>
      <c r="N216" s="21" t="s">
        <v>78</v>
      </c>
      <c r="O216" s="17" t="s">
        <v>126</v>
      </c>
    </row>
    <row r="217" customFormat="false" ht="15" hidden="false" customHeight="false" outlineLevel="0" collapsed="false">
      <c r="A217" s="17" t="s">
        <v>525</v>
      </c>
      <c r="B217" s="17" t="s">
        <v>526</v>
      </c>
      <c r="C217" s="17" t="s">
        <v>72</v>
      </c>
      <c r="D217" s="17" t="s">
        <v>115</v>
      </c>
      <c r="E217" s="17" t="s">
        <v>157</v>
      </c>
      <c r="F217" s="18" t="n">
        <v>76310</v>
      </c>
      <c r="G217" s="19" t="n">
        <v>32.4</v>
      </c>
      <c r="H217" s="17" t="n">
        <f aca="false">IF(G217="","",RANK(G217,$G$5:$G$281))</f>
        <v>213</v>
      </c>
      <c r="I217" s="19" t="n">
        <v>35.2</v>
      </c>
      <c r="J217" s="17" t="n">
        <f aca="false">IF(I217="","",RANK(I217,$I$5:$I$281))</f>
        <v>200</v>
      </c>
      <c r="K217" s="19" t="n">
        <v>51.8</v>
      </c>
      <c r="L217" s="17" t="n">
        <f aca="false">IF(K217="","",RANK(K217,$K$5:$K$281))</f>
        <v>122</v>
      </c>
      <c r="M217" s="17" t="str">
        <f aca="false">IF(AND(N(G217)&gt;=N(I217),N(G217)&gt;=N(K217)),"The Pulse",IF(N(I217)&gt;=N(K217),"The Lens","The Hub"))</f>
        <v>The Hub</v>
      </c>
      <c r="N217" s="21" t="s">
        <v>78</v>
      </c>
      <c r="O217" s="17" t="s">
        <v>126</v>
      </c>
    </row>
    <row r="218" customFormat="false" ht="15" hidden="false" customHeight="false" outlineLevel="0" collapsed="false">
      <c r="A218" s="17" t="s">
        <v>527</v>
      </c>
      <c r="B218" s="17" t="s">
        <v>528</v>
      </c>
      <c r="C218" s="17" t="s">
        <v>138</v>
      </c>
      <c r="D218" s="17" t="s">
        <v>93</v>
      </c>
      <c r="E218" s="17" t="s">
        <v>175</v>
      </c>
      <c r="F218" s="18" t="n">
        <v>4141926</v>
      </c>
      <c r="G218" s="19" t="n">
        <v>32.3</v>
      </c>
      <c r="H218" s="17" t="n">
        <f aca="false">IF(G218="","",RANK(G218,$G$5:$G$281))</f>
        <v>214</v>
      </c>
      <c r="I218" s="19" t="n">
        <v>52.6</v>
      </c>
      <c r="J218" s="17" t="n">
        <f aca="false">IF(I218="","",RANK(I218,$I$5:$I$281))</f>
        <v>120</v>
      </c>
      <c r="K218" s="19" t="n">
        <v>60.2</v>
      </c>
      <c r="L218" s="17" t="n">
        <f aca="false">IF(K218="","",RANK(K218,$K$5:$K$281))</f>
        <v>93</v>
      </c>
      <c r="M218" s="17" t="str">
        <f aca="false">IF(AND(N(G218)&gt;=N(I218),N(G218)&gt;=N(K218)),"The Pulse",IF(N(I218)&gt;=N(K218),"The Lens","The Hub"))</f>
        <v>The Hub</v>
      </c>
      <c r="N218" s="20" t="s">
        <v>74</v>
      </c>
      <c r="O218" s="17" t="s">
        <v>19</v>
      </c>
    </row>
    <row r="219" customFormat="false" ht="15" hidden="false" customHeight="false" outlineLevel="0" collapsed="false">
      <c r="A219" s="17" t="s">
        <v>529</v>
      </c>
      <c r="B219" s="17" t="s">
        <v>530</v>
      </c>
      <c r="C219" s="17" t="s">
        <v>92</v>
      </c>
      <c r="D219" s="17" t="s">
        <v>82</v>
      </c>
      <c r="E219" s="17" t="s">
        <v>129</v>
      </c>
      <c r="F219" s="18" t="n">
        <v>66073</v>
      </c>
      <c r="G219" s="19" t="n">
        <v>32.2</v>
      </c>
      <c r="H219" s="17" t="n">
        <f aca="false">IF(G219="","",RANK(G219,$G$5:$G$281))</f>
        <v>215</v>
      </c>
      <c r="I219" s="19" t="n">
        <v>38</v>
      </c>
      <c r="J219" s="17" t="n">
        <f aca="false">IF(I219="","",RANK(I219,$I$5:$I$281))</f>
        <v>193</v>
      </c>
      <c r="K219" s="19" t="n">
        <v>73</v>
      </c>
      <c r="L219" s="17" t="n">
        <f aca="false">IF(K219="","",RANK(K219,$K$5:$K$281))</f>
        <v>53</v>
      </c>
      <c r="M219" s="17" t="str">
        <f aca="false">IF(AND(N(G219)&gt;=N(I219),N(G219)&gt;=N(K219)),"The Pulse",IF(N(I219)&gt;=N(K219),"The Lens","The Hub"))</f>
        <v>The Hub</v>
      </c>
      <c r="N219" s="21" t="s">
        <v>78</v>
      </c>
      <c r="O219" s="17" t="s">
        <v>126</v>
      </c>
    </row>
    <row r="220" customFormat="false" ht="15" hidden="false" customHeight="false" outlineLevel="0" collapsed="false">
      <c r="A220" s="17" t="s">
        <v>531</v>
      </c>
      <c r="B220" s="17" t="s">
        <v>532</v>
      </c>
      <c r="C220" s="17" t="s">
        <v>87</v>
      </c>
      <c r="D220" s="17" t="s">
        <v>170</v>
      </c>
      <c r="E220" s="17" t="s">
        <v>47</v>
      </c>
      <c r="F220" s="18" t="n">
        <v>39841</v>
      </c>
      <c r="G220" s="19" t="n">
        <v>32.1</v>
      </c>
      <c r="H220" s="17" t="n">
        <f aca="false">IF(G220="","",RANK(G220,$G$5:$G$281))</f>
        <v>216</v>
      </c>
      <c r="I220" s="19" t="n">
        <v>75.9</v>
      </c>
      <c r="J220" s="17" t="n">
        <f aca="false">IF(I220="","",RANK(I220,$I$5:$I$281))</f>
        <v>35</v>
      </c>
      <c r="K220" s="19" t="n">
        <v>75</v>
      </c>
      <c r="L220" s="17" t="n">
        <f aca="false">IF(K220="","",RANK(K220,$K$5:$K$281))</f>
        <v>50</v>
      </c>
      <c r="M220" s="17" t="str">
        <f aca="false">IF(AND(N(G220)&gt;=N(I220),N(G220)&gt;=N(K220)),"The Pulse",IF(N(I220)&gt;=N(K220),"The Lens","The Hub"))</f>
        <v>The Lens</v>
      </c>
      <c r="N220" s="20" t="s">
        <v>74</v>
      </c>
      <c r="O220" s="17" t="s">
        <v>19</v>
      </c>
    </row>
    <row r="221" customFormat="false" ht="15" hidden="false" customHeight="false" outlineLevel="0" collapsed="false">
      <c r="A221" s="17" t="s">
        <v>533</v>
      </c>
      <c r="B221" s="17" t="s">
        <v>534</v>
      </c>
      <c r="C221" s="17" t="s">
        <v>81</v>
      </c>
      <c r="D221" s="17" t="s">
        <v>99</v>
      </c>
      <c r="E221" s="17" t="s">
        <v>157</v>
      </c>
      <c r="F221" s="18" t="n">
        <v>773486</v>
      </c>
      <c r="G221" s="19" t="n">
        <v>32</v>
      </c>
      <c r="H221" s="17" t="n">
        <f aca="false">IF(G221="","",RANK(G221,$G$5:$G$281))</f>
        <v>217</v>
      </c>
      <c r="I221" s="19" t="n">
        <v>36.2</v>
      </c>
      <c r="J221" s="17" t="n">
        <f aca="false">IF(I221="","",RANK(I221,$I$5:$I$281))</f>
        <v>197</v>
      </c>
      <c r="K221" s="19" t="n">
        <v>32.4</v>
      </c>
      <c r="L221" s="17" t="n">
        <f aca="false">IF(K221="","",RANK(K221,$K$5:$K$281))</f>
        <v>213</v>
      </c>
      <c r="M221" s="17" t="str">
        <f aca="false">IF(AND(N(G221)&gt;=N(I221),N(G221)&gt;=N(K221)),"The Pulse",IF(N(I221)&gt;=N(K221),"The Lens","The Hub"))</f>
        <v>The Lens</v>
      </c>
      <c r="N221" s="20" t="s">
        <v>74</v>
      </c>
      <c r="O221" s="17" t="s">
        <v>19</v>
      </c>
    </row>
    <row r="222" customFormat="false" ht="15" hidden="false" customHeight="false" outlineLevel="0" collapsed="false">
      <c r="A222" s="17" t="s">
        <v>535</v>
      </c>
      <c r="B222" s="17" t="s">
        <v>536</v>
      </c>
      <c r="C222" s="17" t="s">
        <v>133</v>
      </c>
      <c r="D222" s="17" t="s">
        <v>73</v>
      </c>
      <c r="E222" s="17" t="s">
        <v>175</v>
      </c>
      <c r="F222" s="18" t="n">
        <v>293051</v>
      </c>
      <c r="G222" s="19" t="n">
        <v>31.8</v>
      </c>
      <c r="H222" s="17" t="n">
        <f aca="false">IF(G222="","",RANK(G222,$G$5:$G$281))</f>
        <v>218</v>
      </c>
      <c r="I222" s="19" t="n">
        <v>58.8</v>
      </c>
      <c r="J222" s="17" t="n">
        <f aca="false">IF(I222="","",RANK(I222,$I$5:$I$281))</f>
        <v>92</v>
      </c>
      <c r="K222" s="19" t="n">
        <v>45.2</v>
      </c>
      <c r="L222" s="17" t="n">
        <f aca="false">IF(K222="","",RANK(K222,$K$5:$K$281))</f>
        <v>159</v>
      </c>
      <c r="M222" s="17" t="str">
        <f aca="false">IF(AND(N(G222)&gt;=N(I222),N(G222)&gt;=N(K222)),"The Pulse",IF(N(I222)&gt;=N(K222),"The Lens","The Hub"))</f>
        <v>The Lens</v>
      </c>
      <c r="N222" s="20" t="s">
        <v>74</v>
      </c>
      <c r="O222" s="17" t="s">
        <v>19</v>
      </c>
    </row>
    <row r="223" customFormat="false" ht="15" hidden="false" customHeight="false" outlineLevel="0" collapsed="false">
      <c r="A223" s="17" t="s">
        <v>537</v>
      </c>
      <c r="B223" s="17" t="s">
        <v>538</v>
      </c>
      <c r="C223" s="17" t="s">
        <v>105</v>
      </c>
      <c r="D223" s="17" t="s">
        <v>96</v>
      </c>
      <c r="E223" s="17" t="s">
        <v>129</v>
      </c>
      <c r="F223" s="18" t="n">
        <v>45721</v>
      </c>
      <c r="G223" s="19" t="n">
        <v>31.8</v>
      </c>
      <c r="H223" s="17" t="n">
        <f aca="false">IF(G223="","",RANK(G223,$G$5:$G$281))</f>
        <v>218</v>
      </c>
      <c r="I223" s="19" t="n">
        <v>20.8</v>
      </c>
      <c r="J223" s="17" t="n">
        <f aca="false">IF(I223="","",RANK(I223,$I$5:$I$281))</f>
        <v>239</v>
      </c>
      <c r="K223" s="19" t="n">
        <v>23.3</v>
      </c>
      <c r="L223" s="17" t="n">
        <f aca="false">IF(K223="","",RANK(K223,$K$5:$K$281))</f>
        <v>233</v>
      </c>
      <c r="M223" s="17" t="str">
        <f aca="false">IF(AND(N(G223)&gt;=N(I223),N(G223)&gt;=N(K223)),"The Pulse",IF(N(I223)&gt;=N(K223),"The Lens","The Hub"))</f>
        <v>The Pulse</v>
      </c>
      <c r="N223" s="21" t="s">
        <v>78</v>
      </c>
      <c r="O223" s="17" t="s">
        <v>126</v>
      </c>
    </row>
    <row r="224" customFormat="false" ht="15" hidden="false" customHeight="false" outlineLevel="0" collapsed="false">
      <c r="A224" s="17" t="s">
        <v>539</v>
      </c>
      <c r="B224" s="17" t="s">
        <v>540</v>
      </c>
      <c r="C224" s="17" t="s">
        <v>114</v>
      </c>
      <c r="D224" s="17" t="s">
        <v>111</v>
      </c>
      <c r="E224" s="17" t="s">
        <v>47</v>
      </c>
      <c r="F224" s="18" t="n">
        <v>355955</v>
      </c>
      <c r="G224" s="19" t="n">
        <v>31.6</v>
      </c>
      <c r="H224" s="17" t="n">
        <f aca="false">IF(G224="","",RANK(G224,$G$5:$G$281))</f>
        <v>220</v>
      </c>
      <c r="I224" s="19" t="n">
        <v>50.6</v>
      </c>
      <c r="J224" s="17" t="n">
        <f aca="false">IF(I224="","",RANK(I224,$I$5:$I$281))</f>
        <v>135</v>
      </c>
      <c r="K224" s="19" t="n">
        <v>87.8</v>
      </c>
      <c r="L224" s="17" t="n">
        <f aca="false">IF(K224="","",RANK(K224,$K$5:$K$281))</f>
        <v>21</v>
      </c>
      <c r="M224" s="17" t="str">
        <f aca="false">IF(AND(N(G224)&gt;=N(I224),N(G224)&gt;=N(K224)),"The Pulse",IF(N(I224)&gt;=N(K224),"The Lens","The Hub"))</f>
        <v>The Hub</v>
      </c>
      <c r="N224" s="20" t="s">
        <v>74</v>
      </c>
      <c r="O224" s="17" t="s">
        <v>19</v>
      </c>
    </row>
    <row r="225" customFormat="false" ht="15" hidden="false" customHeight="false" outlineLevel="0" collapsed="false">
      <c r="A225" s="17" t="s">
        <v>541</v>
      </c>
      <c r="B225" s="17" t="s">
        <v>542</v>
      </c>
      <c r="C225" s="17" t="s">
        <v>87</v>
      </c>
      <c r="D225" s="17" t="s">
        <v>96</v>
      </c>
      <c r="E225" s="17" t="s">
        <v>47</v>
      </c>
      <c r="F225" s="18" t="n">
        <v>16492</v>
      </c>
      <c r="G225" s="19" t="n">
        <v>31.4</v>
      </c>
      <c r="H225" s="17" t="n">
        <f aca="false">IF(G225="","",RANK(G225,$G$5:$G$281))</f>
        <v>221</v>
      </c>
      <c r="I225" s="19" t="n">
        <v>64.5</v>
      </c>
      <c r="J225" s="17" t="n">
        <f aca="false">IF(I225="","",RANK(I225,$I$5:$I$281))</f>
        <v>77</v>
      </c>
      <c r="K225" s="19" t="n">
        <v>81.7</v>
      </c>
      <c r="L225" s="17" t="n">
        <f aca="false">IF(K225="","",RANK(K225,$K$5:$K$281))</f>
        <v>36</v>
      </c>
      <c r="M225" s="17" t="str">
        <f aca="false">IF(AND(N(G225)&gt;=N(I225),N(G225)&gt;=N(K225)),"The Pulse",IF(N(I225)&gt;=N(K225),"The Lens","The Hub"))</f>
        <v>The Hub</v>
      </c>
      <c r="N225" s="20" t="s">
        <v>74</v>
      </c>
      <c r="O225" s="17" t="s">
        <v>19</v>
      </c>
    </row>
    <row r="226" customFormat="false" ht="15" hidden="false" customHeight="false" outlineLevel="0" collapsed="false">
      <c r="A226" s="17" t="s">
        <v>543</v>
      </c>
      <c r="B226" s="17" t="s">
        <v>544</v>
      </c>
      <c r="C226" s="17" t="s">
        <v>133</v>
      </c>
      <c r="D226" s="17" t="s">
        <v>115</v>
      </c>
      <c r="E226" s="17" t="s">
        <v>47</v>
      </c>
      <c r="F226" s="18" t="n">
        <v>42721</v>
      </c>
      <c r="G226" s="19" t="n">
        <v>31</v>
      </c>
      <c r="H226" s="17" t="n">
        <f aca="false">IF(G226="","",RANK(G226,$G$5:$G$281))</f>
        <v>222</v>
      </c>
      <c r="I226" s="19" t="n">
        <v>73.4</v>
      </c>
      <c r="J226" s="17" t="n">
        <f aca="false">IF(I226="","",RANK(I226,$I$5:$I$281))</f>
        <v>45</v>
      </c>
      <c r="K226" s="19" t="n">
        <v>43.2</v>
      </c>
      <c r="L226" s="17" t="n">
        <f aca="false">IF(K226="","",RANK(K226,$K$5:$K$281))</f>
        <v>170</v>
      </c>
      <c r="M226" s="17" t="str">
        <f aca="false">IF(AND(N(G226)&gt;=N(I226),N(G226)&gt;=N(K226)),"The Pulse",IF(N(I226)&gt;=N(K226),"The Lens","The Hub"))</f>
        <v>The Lens</v>
      </c>
      <c r="N226" s="20" t="s">
        <v>74</v>
      </c>
      <c r="O226" s="17" t="s">
        <v>19</v>
      </c>
    </row>
    <row r="227" customFormat="false" ht="15" hidden="false" customHeight="false" outlineLevel="0" collapsed="false">
      <c r="A227" s="17" t="s">
        <v>545</v>
      </c>
      <c r="B227" s="17" t="s">
        <v>546</v>
      </c>
      <c r="C227" s="17" t="s">
        <v>92</v>
      </c>
      <c r="D227" s="17" t="s">
        <v>96</v>
      </c>
      <c r="E227" s="17" t="s">
        <v>129</v>
      </c>
      <c r="F227" s="18" t="n">
        <v>254837</v>
      </c>
      <c r="G227" s="19" t="n">
        <v>30.2</v>
      </c>
      <c r="H227" s="17" t="n">
        <f aca="false">IF(G227="","",RANK(G227,$G$5:$G$281))</f>
        <v>223</v>
      </c>
      <c r="I227" s="19" t="n">
        <v>73.6</v>
      </c>
      <c r="J227" s="17" t="n">
        <f aca="false">IF(I227="","",RANK(I227,$I$5:$I$281))</f>
        <v>43</v>
      </c>
      <c r="K227" s="19" t="n">
        <v>50</v>
      </c>
      <c r="L227" s="17" t="n">
        <f aca="false">IF(K227="","",RANK(K227,$K$5:$K$281))</f>
        <v>134</v>
      </c>
      <c r="M227" s="17" t="str">
        <f aca="false">IF(AND(N(G227)&gt;=N(I227),N(G227)&gt;=N(K227)),"The Pulse",IF(N(I227)&gt;=N(K227),"The Lens","The Hub"))</f>
        <v>The Lens</v>
      </c>
      <c r="N227" s="21" t="s">
        <v>78</v>
      </c>
      <c r="O227" s="17" t="s">
        <v>126</v>
      </c>
    </row>
    <row r="228" customFormat="false" ht="15" hidden="false" customHeight="false" outlineLevel="0" collapsed="false">
      <c r="A228" s="17" t="s">
        <v>547</v>
      </c>
      <c r="B228" s="17" t="s">
        <v>548</v>
      </c>
      <c r="C228" s="17" t="s">
        <v>102</v>
      </c>
      <c r="D228" s="17" t="s">
        <v>170</v>
      </c>
      <c r="E228" s="17" t="s">
        <v>129</v>
      </c>
      <c r="F228" s="18" t="n">
        <v>471255</v>
      </c>
      <c r="G228" s="19" t="n">
        <v>30.1</v>
      </c>
      <c r="H228" s="17" t="n">
        <f aca="false">IF(G228="","",RANK(G228,$G$5:$G$281))</f>
        <v>224</v>
      </c>
      <c r="I228" s="19" t="n">
        <v>53.3</v>
      </c>
      <c r="J228" s="17" t="n">
        <f aca="false">IF(I228="","",RANK(I228,$I$5:$I$281))</f>
        <v>117</v>
      </c>
      <c r="K228" s="19" t="n">
        <v>39.5</v>
      </c>
      <c r="L228" s="17" t="n">
        <f aca="false">IF(K228="","",RANK(K228,$K$5:$K$281))</f>
        <v>190</v>
      </c>
      <c r="M228" s="17" t="str">
        <f aca="false">IF(AND(N(G228)&gt;=N(I228),N(G228)&gt;=N(K228)),"The Pulse",IF(N(I228)&gt;=N(K228),"The Lens","The Hub"))</f>
        <v>The Lens</v>
      </c>
      <c r="N228" s="21" t="s">
        <v>78</v>
      </c>
      <c r="O228" s="17" t="s">
        <v>126</v>
      </c>
    </row>
    <row r="229" customFormat="false" ht="15" hidden="false" customHeight="false" outlineLevel="0" collapsed="false">
      <c r="A229" s="17" t="s">
        <v>549</v>
      </c>
      <c r="B229" s="17" t="s">
        <v>550</v>
      </c>
      <c r="C229" s="17" t="s">
        <v>114</v>
      </c>
      <c r="D229" s="17" t="s">
        <v>115</v>
      </c>
      <c r="E229" s="17" t="s">
        <v>129</v>
      </c>
      <c r="F229" s="18" t="n">
        <v>468367</v>
      </c>
      <c r="G229" s="19" t="n">
        <v>30</v>
      </c>
      <c r="H229" s="17" t="n">
        <f aca="false">IF(G229="","",RANK(G229,$G$5:$G$281))</f>
        <v>225</v>
      </c>
      <c r="I229" s="19" t="n">
        <v>46.4</v>
      </c>
      <c r="J229" s="17" t="n">
        <f aca="false">IF(I229="","",RANK(I229,$I$5:$I$281))</f>
        <v>156</v>
      </c>
      <c r="K229" s="19" t="n">
        <v>80.6</v>
      </c>
      <c r="L229" s="17" t="n">
        <f aca="false">IF(K229="","",RANK(K229,$K$5:$K$281))</f>
        <v>39</v>
      </c>
      <c r="M229" s="17" t="str">
        <f aca="false">IF(AND(N(G229)&gt;=N(I229),N(G229)&gt;=N(K229)),"The Pulse",IF(N(I229)&gt;=N(K229),"The Lens","The Hub"))</f>
        <v>The Hub</v>
      </c>
      <c r="N229" s="21" t="s">
        <v>78</v>
      </c>
      <c r="O229" s="17" t="s">
        <v>126</v>
      </c>
    </row>
    <row r="230" customFormat="false" ht="15" hidden="false" customHeight="false" outlineLevel="0" collapsed="false">
      <c r="A230" s="17" t="s">
        <v>551</v>
      </c>
      <c r="B230" s="17" t="s">
        <v>552</v>
      </c>
      <c r="C230" s="17" t="s">
        <v>114</v>
      </c>
      <c r="D230" s="17" t="s">
        <v>93</v>
      </c>
      <c r="E230" s="17" t="s">
        <v>129</v>
      </c>
      <c r="F230" s="18" t="n">
        <v>361230</v>
      </c>
      <c r="G230" s="19" t="n">
        <v>29.6</v>
      </c>
      <c r="H230" s="17" t="n">
        <f aca="false">IF(G230="","",RANK(G230,$G$5:$G$281))</f>
        <v>226</v>
      </c>
      <c r="I230" s="19" t="n">
        <v>28.1</v>
      </c>
      <c r="J230" s="17" t="n">
        <f aca="false">IF(I230="","",RANK(I230,$I$5:$I$281))</f>
        <v>219</v>
      </c>
      <c r="K230" s="19" t="n">
        <v>60.6</v>
      </c>
      <c r="L230" s="17" t="n">
        <f aca="false">IF(K230="","",RANK(K230,$K$5:$K$281))</f>
        <v>92</v>
      </c>
      <c r="M230" s="17" t="str">
        <f aca="false">IF(AND(N(G230)&gt;=N(I230),N(G230)&gt;=N(K230)),"The Pulse",IF(N(I230)&gt;=N(K230),"The Lens","The Hub"))</f>
        <v>The Hub</v>
      </c>
      <c r="N230" s="21" t="s">
        <v>78</v>
      </c>
      <c r="O230" s="17" t="s">
        <v>126</v>
      </c>
    </row>
    <row r="231" customFormat="false" ht="15" hidden="false" customHeight="false" outlineLevel="0" collapsed="false">
      <c r="A231" s="17" t="s">
        <v>553</v>
      </c>
      <c r="B231" s="17" t="s">
        <v>554</v>
      </c>
      <c r="C231" s="17" t="s">
        <v>87</v>
      </c>
      <c r="D231" s="17" t="s">
        <v>93</v>
      </c>
      <c r="E231" s="17" t="s">
        <v>175</v>
      </c>
      <c r="F231" s="18" t="n">
        <v>124203</v>
      </c>
      <c r="G231" s="19" t="n">
        <v>29</v>
      </c>
      <c r="H231" s="17" t="n">
        <f aca="false">IF(G231="","",RANK(G231,$G$5:$G$281))</f>
        <v>227</v>
      </c>
      <c r="I231" s="19" t="n">
        <v>71.4</v>
      </c>
      <c r="J231" s="17" t="n">
        <f aca="false">IF(I231="","",RANK(I231,$I$5:$I$281))</f>
        <v>51</v>
      </c>
      <c r="K231" s="19" t="n">
        <v>16</v>
      </c>
      <c r="L231" s="17" t="n">
        <f aca="false">IF(K231="","",RANK(K231,$K$5:$K$281))</f>
        <v>250</v>
      </c>
      <c r="M231" s="17" t="str">
        <f aca="false">IF(AND(N(G231)&gt;=N(I231),N(G231)&gt;=N(K231)),"The Pulse",IF(N(I231)&gt;=N(K231),"The Lens","The Hub"))</f>
        <v>The Lens</v>
      </c>
      <c r="N231" s="21" t="s">
        <v>78</v>
      </c>
      <c r="O231" s="17" t="s">
        <v>126</v>
      </c>
    </row>
    <row r="232" customFormat="false" ht="15" hidden="false" customHeight="false" outlineLevel="0" collapsed="false">
      <c r="A232" s="17" t="s">
        <v>555</v>
      </c>
      <c r="B232" s="17" t="s">
        <v>556</v>
      </c>
      <c r="C232" s="17" t="s">
        <v>72</v>
      </c>
      <c r="D232" s="17" t="s">
        <v>111</v>
      </c>
      <c r="E232" s="17" t="s">
        <v>129</v>
      </c>
      <c r="F232" s="18" t="n">
        <v>211689</v>
      </c>
      <c r="G232" s="19" t="n">
        <v>28.8</v>
      </c>
      <c r="H232" s="17" t="n">
        <f aca="false">IF(G232="","",RANK(G232,$G$5:$G$281))</f>
        <v>228</v>
      </c>
      <c r="I232" s="19" t="n">
        <v>41.4</v>
      </c>
      <c r="J232" s="17" t="n">
        <f aca="false">IF(I232="","",RANK(I232,$I$5:$I$281))</f>
        <v>179</v>
      </c>
      <c r="K232" s="19" t="n">
        <v>42.4</v>
      </c>
      <c r="L232" s="17" t="n">
        <f aca="false">IF(K232="","",RANK(K232,$K$5:$K$281))</f>
        <v>180</v>
      </c>
      <c r="M232" s="17" t="str">
        <f aca="false">IF(AND(N(G232)&gt;=N(I232),N(G232)&gt;=N(K232)),"The Pulse",IF(N(I232)&gt;=N(K232),"The Lens","The Hub"))</f>
        <v>The Hub</v>
      </c>
      <c r="N232" s="21" t="s">
        <v>78</v>
      </c>
      <c r="O232" s="17" t="s">
        <v>126</v>
      </c>
    </row>
    <row r="233" customFormat="false" ht="15" hidden="false" customHeight="false" outlineLevel="0" collapsed="false">
      <c r="A233" s="17" t="s">
        <v>557</v>
      </c>
      <c r="B233" s="17" t="s">
        <v>558</v>
      </c>
      <c r="C233" s="17" t="s">
        <v>92</v>
      </c>
      <c r="D233" s="17" t="s">
        <v>82</v>
      </c>
      <c r="E233" s="17" t="s">
        <v>125</v>
      </c>
      <c r="F233" s="18" t="n">
        <v>14663</v>
      </c>
      <c r="G233" s="19" t="n">
        <v>27.6</v>
      </c>
      <c r="H233" s="17" t="n">
        <f aca="false">IF(G233="","",RANK(G233,$G$5:$G$281))</f>
        <v>229</v>
      </c>
      <c r="I233" s="19" t="n">
        <v>50.2</v>
      </c>
      <c r="J233" s="17" t="n">
        <f aca="false">IF(I233="","",RANK(I233,$I$5:$I$281))</f>
        <v>137</v>
      </c>
      <c r="K233" s="19" t="n">
        <v>16.2</v>
      </c>
      <c r="L233" s="17" t="n">
        <f aca="false">IF(K233="","",RANK(K233,$K$5:$K$281))</f>
        <v>247</v>
      </c>
      <c r="M233" s="17" t="str">
        <f aca="false">IF(AND(N(G233)&gt;=N(I233),N(G233)&gt;=N(K233)),"The Pulse",IF(N(I233)&gt;=N(K233),"The Lens","The Hub"))</f>
        <v>The Lens</v>
      </c>
      <c r="N233" s="21" t="s">
        <v>78</v>
      </c>
      <c r="O233" s="17" t="s">
        <v>126</v>
      </c>
    </row>
    <row r="234" customFormat="false" ht="15" hidden="false" customHeight="false" outlineLevel="0" collapsed="false">
      <c r="A234" s="17" t="s">
        <v>559</v>
      </c>
      <c r="B234" s="17" t="s">
        <v>560</v>
      </c>
      <c r="C234" s="17" t="s">
        <v>81</v>
      </c>
      <c r="D234" s="17" t="s">
        <v>111</v>
      </c>
      <c r="E234" s="17" t="s">
        <v>46</v>
      </c>
      <c r="F234" s="18" t="n">
        <v>16905</v>
      </c>
      <c r="G234" s="19" t="n">
        <v>27.5</v>
      </c>
      <c r="H234" s="17" t="n">
        <f aca="false">IF(G234="","",RANK(G234,$G$5:$G$281))</f>
        <v>230</v>
      </c>
      <c r="I234" s="19" t="n">
        <v>26.1</v>
      </c>
      <c r="J234" s="17" t="n">
        <f aca="false">IF(I234="","",RANK(I234,$I$5:$I$281))</f>
        <v>226</v>
      </c>
      <c r="K234" s="19" t="n">
        <v>72.8</v>
      </c>
      <c r="L234" s="17" t="n">
        <f aca="false">IF(K234="","",RANK(K234,$K$5:$K$281))</f>
        <v>54</v>
      </c>
      <c r="M234" s="17" t="str">
        <f aca="false">IF(AND(N(G234)&gt;=N(I234),N(G234)&gt;=N(K234)),"The Pulse",IF(N(I234)&gt;=N(K234),"The Lens","The Hub"))</f>
        <v>The Hub</v>
      </c>
      <c r="N234" s="20" t="s">
        <v>74</v>
      </c>
      <c r="O234" s="17" t="s">
        <v>19</v>
      </c>
    </row>
    <row r="235" customFormat="false" ht="15" hidden="false" customHeight="false" outlineLevel="0" collapsed="false">
      <c r="A235" s="17" t="s">
        <v>561</v>
      </c>
      <c r="B235" s="17" t="s">
        <v>562</v>
      </c>
      <c r="C235" s="17" t="s">
        <v>92</v>
      </c>
      <c r="D235" s="17" t="s">
        <v>82</v>
      </c>
      <c r="E235" s="17" t="s">
        <v>46</v>
      </c>
      <c r="F235" s="18" t="n">
        <v>3645</v>
      </c>
      <c r="G235" s="19" t="n">
        <v>26.8</v>
      </c>
      <c r="H235" s="17" t="n">
        <f aca="false">IF(G235="","",RANK(G235,$G$5:$G$281))</f>
        <v>231</v>
      </c>
      <c r="I235" s="19" t="n">
        <v>41.7</v>
      </c>
      <c r="J235" s="17" t="n">
        <f aca="false">IF(I235="","",RANK(I235,$I$5:$I$281))</f>
        <v>176</v>
      </c>
      <c r="K235" s="19" t="n">
        <v>27.2</v>
      </c>
      <c r="L235" s="17" t="n">
        <f aca="false">IF(K235="","",RANK(K235,$K$5:$K$281))</f>
        <v>226</v>
      </c>
      <c r="M235" s="17" t="str">
        <f aca="false">IF(AND(N(G235)&gt;=N(I235),N(G235)&gt;=N(K235)),"The Pulse",IF(N(I235)&gt;=N(K235),"The Lens","The Hub"))</f>
        <v>The Lens</v>
      </c>
      <c r="N235" s="20" t="s">
        <v>74</v>
      </c>
      <c r="O235" s="17" t="s">
        <v>19</v>
      </c>
    </row>
    <row r="236" customFormat="false" ht="15" hidden="false" customHeight="false" outlineLevel="0" collapsed="false">
      <c r="A236" s="17" t="s">
        <v>563</v>
      </c>
      <c r="B236" s="17" t="s">
        <v>564</v>
      </c>
      <c r="C236" s="17" t="s">
        <v>133</v>
      </c>
      <c r="D236" s="17" t="s">
        <v>170</v>
      </c>
      <c r="E236" s="17" t="s">
        <v>46</v>
      </c>
      <c r="F236" s="18" t="n">
        <v>9470</v>
      </c>
      <c r="G236" s="19" t="n">
        <v>26.6</v>
      </c>
      <c r="H236" s="17" t="n">
        <f aca="false">IF(G236="","",RANK(G236,$G$5:$G$281))</f>
        <v>232</v>
      </c>
      <c r="I236" s="19" t="n">
        <v>79.2</v>
      </c>
      <c r="J236" s="17" t="n">
        <f aca="false">IF(I236="","",RANK(I236,$I$5:$I$281))</f>
        <v>28</v>
      </c>
      <c r="K236" s="19" t="n">
        <v>92</v>
      </c>
      <c r="L236" s="17" t="n">
        <f aca="false">IF(K236="","",RANK(K236,$K$5:$K$281))</f>
        <v>14</v>
      </c>
      <c r="M236" s="17" t="str">
        <f aca="false">IF(AND(N(G236)&gt;=N(I236),N(G236)&gt;=N(K236)),"The Pulse",IF(N(I236)&gt;=N(K236),"The Lens","The Hub"))</f>
        <v>The Hub</v>
      </c>
      <c r="N236" s="21" t="s">
        <v>78</v>
      </c>
      <c r="O236" s="17" t="s">
        <v>21</v>
      </c>
    </row>
    <row r="237" customFormat="false" ht="15" hidden="false" customHeight="false" outlineLevel="0" collapsed="false">
      <c r="A237" s="17" t="s">
        <v>565</v>
      </c>
      <c r="B237" s="17" t="s">
        <v>566</v>
      </c>
      <c r="C237" s="17" t="s">
        <v>81</v>
      </c>
      <c r="D237" s="17" t="s">
        <v>96</v>
      </c>
      <c r="E237" s="17" t="s">
        <v>175</v>
      </c>
      <c r="F237" s="18" t="n">
        <v>371244</v>
      </c>
      <c r="G237" s="19" t="n">
        <v>26.6</v>
      </c>
      <c r="H237" s="17" t="n">
        <f aca="false">IF(G237="","",RANK(G237,$G$5:$G$281))</f>
        <v>232</v>
      </c>
      <c r="I237" s="19" t="n">
        <v>42.2</v>
      </c>
      <c r="J237" s="17" t="n">
        <f aca="false">IF(I237="","",RANK(I237,$I$5:$I$281))</f>
        <v>171</v>
      </c>
      <c r="K237" s="19" t="n">
        <v>32.8</v>
      </c>
      <c r="L237" s="17" t="n">
        <f aca="false">IF(K237="","",RANK(K237,$K$5:$K$281))</f>
        <v>208</v>
      </c>
      <c r="M237" s="17" t="str">
        <f aca="false">IF(AND(N(G237)&gt;=N(I237),N(G237)&gt;=N(K237)),"The Pulse",IF(N(I237)&gt;=N(K237),"The Lens","The Hub"))</f>
        <v>The Lens</v>
      </c>
      <c r="N237" s="20" t="s">
        <v>74</v>
      </c>
      <c r="O237" s="17" t="s">
        <v>19</v>
      </c>
    </row>
    <row r="238" customFormat="false" ht="15" hidden="false" customHeight="false" outlineLevel="0" collapsed="false">
      <c r="A238" s="17" t="s">
        <v>567</v>
      </c>
      <c r="B238" s="17" t="s">
        <v>568</v>
      </c>
      <c r="C238" s="17" t="s">
        <v>72</v>
      </c>
      <c r="D238" s="17" t="s">
        <v>118</v>
      </c>
      <c r="E238" s="17" t="s">
        <v>129</v>
      </c>
      <c r="F238" s="18" t="n">
        <v>1892326</v>
      </c>
      <c r="G238" s="19" t="n">
        <v>26.5</v>
      </c>
      <c r="H238" s="17" t="n">
        <f aca="false">IF(G238="","",RANK(G238,$G$5:$G$281))</f>
        <v>234</v>
      </c>
      <c r="I238" s="19" t="n">
        <v>75.5</v>
      </c>
      <c r="J238" s="17" t="n">
        <f aca="false">IF(I238="","",RANK(I238,$I$5:$I$281))</f>
        <v>36</v>
      </c>
      <c r="K238" s="19" t="n">
        <v>43.1</v>
      </c>
      <c r="L238" s="17" t="n">
        <f aca="false">IF(K238="","",RANK(K238,$K$5:$K$281))</f>
        <v>174</v>
      </c>
      <c r="M238" s="17" t="str">
        <f aca="false">IF(AND(N(G238)&gt;=N(I238),N(G238)&gt;=N(K238)),"The Pulse",IF(N(I238)&gt;=N(K238),"The Lens","The Hub"))</f>
        <v>The Lens</v>
      </c>
      <c r="N238" s="21" t="s">
        <v>78</v>
      </c>
      <c r="O238" s="17" t="s">
        <v>126</v>
      </c>
    </row>
    <row r="239" customFormat="false" ht="15" hidden="false" customHeight="false" outlineLevel="0" collapsed="false">
      <c r="A239" s="17" t="s">
        <v>569</v>
      </c>
      <c r="B239" s="17" t="s">
        <v>570</v>
      </c>
      <c r="C239" s="17" t="s">
        <v>92</v>
      </c>
      <c r="D239" s="17" t="s">
        <v>108</v>
      </c>
      <c r="E239" s="17" t="s">
        <v>157</v>
      </c>
      <c r="F239" s="18" t="n">
        <v>577825</v>
      </c>
      <c r="G239" s="19" t="n">
        <v>26.2</v>
      </c>
      <c r="H239" s="17" t="n">
        <f aca="false">IF(G239="","",RANK(G239,$G$5:$G$281))</f>
        <v>235</v>
      </c>
      <c r="I239" s="19" t="n">
        <v>57.6</v>
      </c>
      <c r="J239" s="17" t="n">
        <f aca="false">IF(I239="","",RANK(I239,$I$5:$I$281))</f>
        <v>94</v>
      </c>
      <c r="K239" s="19" t="n">
        <v>44.4</v>
      </c>
      <c r="L239" s="17" t="n">
        <f aca="false">IF(K239="","",RANK(K239,$K$5:$K$281))</f>
        <v>165</v>
      </c>
      <c r="M239" s="17" t="str">
        <f aca="false">IF(AND(N(G239)&gt;=N(I239),N(G239)&gt;=N(K239)),"The Pulse",IF(N(I239)&gt;=N(K239),"The Lens","The Hub"))</f>
        <v>The Lens</v>
      </c>
      <c r="N239" s="20" t="s">
        <v>74</v>
      </c>
      <c r="O239" s="17" t="s">
        <v>19</v>
      </c>
    </row>
    <row r="240" customFormat="false" ht="15" hidden="false" customHeight="false" outlineLevel="0" collapsed="false">
      <c r="A240" s="17" t="s">
        <v>571</v>
      </c>
      <c r="B240" s="17" t="s">
        <v>572</v>
      </c>
      <c r="C240" s="17" t="s">
        <v>72</v>
      </c>
      <c r="D240" s="17" t="s">
        <v>111</v>
      </c>
      <c r="E240" s="17" t="s">
        <v>129</v>
      </c>
      <c r="F240" s="18" t="n">
        <v>411279</v>
      </c>
      <c r="G240" s="19" t="n">
        <v>25.9</v>
      </c>
      <c r="H240" s="17" t="n">
        <f aca="false">IF(G240="","",RANK(G240,$G$5:$G$281))</f>
        <v>236</v>
      </c>
      <c r="I240" s="19" t="n">
        <v>57.7</v>
      </c>
      <c r="J240" s="17" t="n">
        <f aca="false">IF(I240="","",RANK(I240,$I$5:$I$281))</f>
        <v>93</v>
      </c>
      <c r="K240" s="19" t="n">
        <v>33.7</v>
      </c>
      <c r="L240" s="17" t="n">
        <f aca="false">IF(K240="","",RANK(K240,$K$5:$K$281))</f>
        <v>205</v>
      </c>
      <c r="M240" s="17" t="str">
        <f aca="false">IF(AND(N(G240)&gt;=N(I240),N(G240)&gt;=N(K240)),"The Pulse",IF(N(I240)&gt;=N(K240),"The Lens","The Hub"))</f>
        <v>The Lens</v>
      </c>
      <c r="N240" s="20" t="s">
        <v>74</v>
      </c>
      <c r="O240" s="17" t="s">
        <v>19</v>
      </c>
    </row>
    <row r="241" customFormat="false" ht="15" hidden="false" customHeight="false" outlineLevel="0" collapsed="false">
      <c r="A241" s="17" t="s">
        <v>573</v>
      </c>
      <c r="B241" s="17" t="s">
        <v>574</v>
      </c>
      <c r="C241" s="17" t="s">
        <v>77</v>
      </c>
      <c r="D241" s="17" t="s">
        <v>99</v>
      </c>
      <c r="E241" s="17" t="s">
        <v>129</v>
      </c>
      <c r="F241" s="18" t="n">
        <v>357302</v>
      </c>
      <c r="G241" s="19" t="n">
        <v>25.9</v>
      </c>
      <c r="H241" s="17" t="n">
        <f aca="false">IF(G241="","",RANK(G241,$G$5:$G$281))</f>
        <v>236</v>
      </c>
      <c r="I241" s="19" t="n">
        <v>52</v>
      </c>
      <c r="J241" s="17" t="n">
        <f aca="false">IF(I241="","",RANK(I241,$I$5:$I$281))</f>
        <v>125</v>
      </c>
      <c r="K241" s="19" t="n">
        <v>67.5</v>
      </c>
      <c r="L241" s="17" t="n">
        <f aca="false">IF(K241="","",RANK(K241,$K$5:$K$281))</f>
        <v>70</v>
      </c>
      <c r="M241" s="17" t="str">
        <f aca="false">IF(AND(N(G241)&gt;=N(I241),N(G241)&gt;=N(K241)),"The Pulse",IF(N(I241)&gt;=N(K241),"The Lens","The Hub"))</f>
        <v>The Hub</v>
      </c>
      <c r="N241" s="21" t="s">
        <v>78</v>
      </c>
      <c r="O241" s="17" t="s">
        <v>126</v>
      </c>
    </row>
    <row r="242" customFormat="false" ht="15" hidden="false" customHeight="false" outlineLevel="0" collapsed="false">
      <c r="A242" s="17" t="s">
        <v>575</v>
      </c>
      <c r="B242" s="17" t="s">
        <v>576</v>
      </c>
      <c r="C242" s="17" t="s">
        <v>102</v>
      </c>
      <c r="D242" s="17" t="s">
        <v>115</v>
      </c>
      <c r="E242" s="17" t="s">
        <v>129</v>
      </c>
      <c r="F242" s="18" t="n">
        <v>133869</v>
      </c>
      <c r="G242" s="19" t="n">
        <v>25.4</v>
      </c>
      <c r="H242" s="17" t="n">
        <f aca="false">IF(G242="","",RANK(G242,$G$5:$G$281))</f>
        <v>238</v>
      </c>
      <c r="I242" s="19" t="n">
        <v>55.9</v>
      </c>
      <c r="J242" s="17" t="n">
        <f aca="false">IF(I242="","",RANK(I242,$I$5:$I$281))</f>
        <v>102</v>
      </c>
      <c r="K242" s="19" t="n">
        <v>20</v>
      </c>
      <c r="L242" s="17" t="n">
        <f aca="false">IF(K242="","",RANK(K242,$K$5:$K$281))</f>
        <v>241</v>
      </c>
      <c r="M242" s="17" t="str">
        <f aca="false">IF(AND(N(G242)&gt;=N(I242),N(G242)&gt;=N(K242)),"The Pulse",IF(N(I242)&gt;=N(K242),"The Lens","The Hub"))</f>
        <v>The Lens</v>
      </c>
      <c r="N242" s="20" t="s">
        <v>74</v>
      </c>
      <c r="O242" s="17" t="s">
        <v>19</v>
      </c>
    </row>
    <row r="243" customFormat="false" ht="15" hidden="false" customHeight="false" outlineLevel="0" collapsed="false">
      <c r="A243" s="17" t="s">
        <v>577</v>
      </c>
      <c r="B243" s="17" t="s">
        <v>578</v>
      </c>
      <c r="C243" s="17" t="s">
        <v>77</v>
      </c>
      <c r="D243" s="17" t="s">
        <v>73</v>
      </c>
      <c r="E243" s="17" t="s">
        <v>45</v>
      </c>
      <c r="F243" s="18" t="n">
        <v>50330</v>
      </c>
      <c r="G243" s="19" t="n">
        <v>24.4</v>
      </c>
      <c r="H243" s="17" t="n">
        <f aca="false">IF(G243="","",RANK(G243,$G$5:$G$281))</f>
        <v>239</v>
      </c>
      <c r="I243" s="19" t="n">
        <v>46</v>
      </c>
      <c r="J243" s="17" t="n">
        <f aca="false">IF(I243="","",RANK(I243,$I$5:$I$281))</f>
        <v>158</v>
      </c>
      <c r="K243" s="19" t="n">
        <v>67.4</v>
      </c>
      <c r="L243" s="17" t="n">
        <f aca="false">IF(K243="","",RANK(K243,$K$5:$K$281))</f>
        <v>71</v>
      </c>
      <c r="M243" s="17" t="str">
        <f aca="false">IF(AND(N(G243)&gt;=N(I243),N(G243)&gt;=N(K243)),"The Pulse",IF(N(I243)&gt;=N(K243),"The Lens","The Hub"))</f>
        <v>The Hub</v>
      </c>
      <c r="N243" s="21" t="s">
        <v>78</v>
      </c>
      <c r="O243" s="17" t="s">
        <v>21</v>
      </c>
    </row>
    <row r="244" customFormat="false" ht="15" hidden="false" customHeight="false" outlineLevel="0" collapsed="false">
      <c r="A244" s="17" t="s">
        <v>579</v>
      </c>
      <c r="B244" s="17" t="s">
        <v>580</v>
      </c>
      <c r="C244" s="17" t="s">
        <v>138</v>
      </c>
      <c r="D244" s="17" t="s">
        <v>93</v>
      </c>
      <c r="E244" s="17" t="s">
        <v>45</v>
      </c>
      <c r="F244" s="18" t="n">
        <v>156604</v>
      </c>
      <c r="G244" s="19" t="n">
        <v>23.7</v>
      </c>
      <c r="H244" s="17" t="n">
        <f aca="false">IF(G244="","",RANK(G244,$G$5:$G$281))</f>
        <v>240</v>
      </c>
      <c r="I244" s="19" t="n">
        <v>92.8</v>
      </c>
      <c r="J244" s="17" t="n">
        <f aca="false">IF(I244="","",RANK(I244,$I$5:$I$281))</f>
        <v>9</v>
      </c>
      <c r="K244" s="19" t="n">
        <v>51.7</v>
      </c>
      <c r="L244" s="17" t="n">
        <f aca="false">IF(K244="","",RANK(K244,$K$5:$K$281))</f>
        <v>124</v>
      </c>
      <c r="M244" s="17" t="str">
        <f aca="false">IF(AND(N(G244)&gt;=N(I244),N(G244)&gt;=N(K244)),"The Pulse",IF(N(I244)&gt;=N(K244),"The Lens","The Hub"))</f>
        <v>The Lens</v>
      </c>
      <c r="N244" s="20" t="s">
        <v>74</v>
      </c>
      <c r="O244" s="17" t="s">
        <v>19</v>
      </c>
    </row>
    <row r="245" customFormat="false" ht="15" hidden="false" customHeight="false" outlineLevel="0" collapsed="false">
      <c r="A245" s="17" t="s">
        <v>581</v>
      </c>
      <c r="B245" s="17" t="s">
        <v>582</v>
      </c>
      <c r="C245" s="17" t="s">
        <v>81</v>
      </c>
      <c r="D245" s="17" t="s">
        <v>93</v>
      </c>
      <c r="E245" s="17" t="s">
        <v>157</v>
      </c>
      <c r="F245" s="18" t="n">
        <v>135979</v>
      </c>
      <c r="G245" s="19" t="n">
        <v>23.1</v>
      </c>
      <c r="H245" s="17" t="n">
        <f aca="false">IF(G245="","",RANK(G245,$G$5:$G$281))</f>
        <v>241</v>
      </c>
      <c r="I245" s="19" t="n">
        <v>82.2</v>
      </c>
      <c r="J245" s="17" t="n">
        <f aca="false">IF(I245="","",RANK(I245,$I$5:$I$281))</f>
        <v>21</v>
      </c>
      <c r="K245" s="19" t="n">
        <v>49.8</v>
      </c>
      <c r="L245" s="17" t="n">
        <f aca="false">IF(K245="","",RANK(K245,$K$5:$K$281))</f>
        <v>136</v>
      </c>
      <c r="M245" s="17" t="str">
        <f aca="false">IF(AND(N(G245)&gt;=N(I245),N(G245)&gt;=N(K245)),"The Pulse",IF(N(I245)&gt;=N(K245),"The Lens","The Hub"))</f>
        <v>The Lens</v>
      </c>
      <c r="N245" s="20" t="s">
        <v>74</v>
      </c>
      <c r="O245" s="17" t="s">
        <v>19</v>
      </c>
    </row>
    <row r="246" customFormat="false" ht="15" hidden="false" customHeight="false" outlineLevel="0" collapsed="false">
      <c r="A246" s="17" t="s">
        <v>583</v>
      </c>
      <c r="B246" s="17" t="s">
        <v>584</v>
      </c>
      <c r="C246" s="17" t="s">
        <v>81</v>
      </c>
      <c r="D246" s="17" t="s">
        <v>82</v>
      </c>
      <c r="E246" s="17" t="s">
        <v>46</v>
      </c>
      <c r="F246" s="18" t="n">
        <v>168708</v>
      </c>
      <c r="G246" s="19" t="n">
        <v>23</v>
      </c>
      <c r="H246" s="17" t="n">
        <f aca="false">IF(G246="","",RANK(G246,$G$5:$G$281))</f>
        <v>242</v>
      </c>
      <c r="I246" s="19" t="n">
        <v>49.7</v>
      </c>
      <c r="J246" s="17" t="n">
        <f aca="false">IF(I246="","",RANK(I246,$I$5:$I$281))</f>
        <v>141</v>
      </c>
      <c r="K246" s="19" t="n">
        <v>72.3</v>
      </c>
      <c r="L246" s="17" t="n">
        <f aca="false">IF(K246="","",RANK(K246,$K$5:$K$281))</f>
        <v>56</v>
      </c>
      <c r="M246" s="17" t="str">
        <f aca="false">IF(AND(N(G246)&gt;=N(I246),N(G246)&gt;=N(K246)),"The Pulse",IF(N(I246)&gt;=N(K246),"The Lens","The Hub"))</f>
        <v>The Hub</v>
      </c>
      <c r="N246" s="20" t="s">
        <v>74</v>
      </c>
      <c r="O246" s="17" t="s">
        <v>19</v>
      </c>
    </row>
    <row r="247" customFormat="false" ht="15" hidden="false" customHeight="false" outlineLevel="0" collapsed="false">
      <c r="A247" s="17" t="s">
        <v>585</v>
      </c>
      <c r="B247" s="17" t="s">
        <v>586</v>
      </c>
      <c r="C247" s="17" t="s">
        <v>138</v>
      </c>
      <c r="D247" s="17" t="s">
        <v>108</v>
      </c>
      <c r="E247" s="17" t="s">
        <v>47</v>
      </c>
      <c r="F247" s="18" t="n">
        <v>15610</v>
      </c>
      <c r="G247" s="19" t="n">
        <v>23</v>
      </c>
      <c r="H247" s="17" t="n">
        <f aca="false">IF(G247="","",RANK(G247,$G$5:$G$281))</f>
        <v>242</v>
      </c>
      <c r="I247" s="19" t="n">
        <v>47.5</v>
      </c>
      <c r="J247" s="17" t="n">
        <f aca="false">IF(I247="","",RANK(I247,$I$5:$I$281))</f>
        <v>152</v>
      </c>
      <c r="K247" s="19" t="n">
        <v>54.1</v>
      </c>
      <c r="L247" s="17" t="n">
        <f aca="false">IF(K247="","",RANK(K247,$K$5:$K$281))</f>
        <v>112</v>
      </c>
      <c r="M247" s="17" t="str">
        <f aca="false">IF(AND(N(G247)&gt;=N(I247),N(G247)&gt;=N(K247)),"The Pulse",IF(N(I247)&gt;=N(K247),"The Lens","The Hub"))</f>
        <v>The Hub</v>
      </c>
      <c r="N247" s="20" t="s">
        <v>74</v>
      </c>
      <c r="O247" s="17" t="s">
        <v>19</v>
      </c>
    </row>
    <row r="248" customFormat="false" ht="15" hidden="false" customHeight="false" outlineLevel="0" collapsed="false">
      <c r="A248" s="17" t="s">
        <v>587</v>
      </c>
      <c r="B248" s="17" t="s">
        <v>588</v>
      </c>
      <c r="C248" s="17" t="s">
        <v>72</v>
      </c>
      <c r="D248" s="17" t="s">
        <v>96</v>
      </c>
      <c r="E248" s="17" t="s">
        <v>129</v>
      </c>
      <c r="F248" s="18" t="n">
        <v>83344</v>
      </c>
      <c r="G248" s="19" t="n">
        <v>22.7</v>
      </c>
      <c r="H248" s="17" t="n">
        <f aca="false">IF(G248="","",RANK(G248,$G$5:$G$281))</f>
        <v>244</v>
      </c>
      <c r="I248" s="19" t="n">
        <v>89.9</v>
      </c>
      <c r="J248" s="17" t="n">
        <f aca="false">IF(I248="","",RANK(I248,$I$5:$I$281))</f>
        <v>12</v>
      </c>
      <c r="K248" s="19" t="n">
        <v>18.1</v>
      </c>
      <c r="L248" s="17" t="n">
        <f aca="false">IF(K248="","",RANK(K248,$K$5:$K$281))</f>
        <v>244</v>
      </c>
      <c r="M248" s="17" t="str">
        <f aca="false">IF(AND(N(G248)&gt;=N(I248),N(G248)&gt;=N(K248)),"The Pulse",IF(N(I248)&gt;=N(K248),"The Lens","The Hub"))</f>
        <v>The Lens</v>
      </c>
      <c r="N248" s="21" t="s">
        <v>78</v>
      </c>
      <c r="O248" s="17" t="s">
        <v>126</v>
      </c>
    </row>
    <row r="249" customFormat="false" ht="15" hidden="false" customHeight="false" outlineLevel="0" collapsed="false">
      <c r="A249" s="17" t="s">
        <v>589</v>
      </c>
      <c r="B249" s="17" t="s">
        <v>590</v>
      </c>
      <c r="C249" s="17" t="s">
        <v>105</v>
      </c>
      <c r="D249" s="17" t="s">
        <v>115</v>
      </c>
      <c r="E249" s="17" t="s">
        <v>125</v>
      </c>
      <c r="F249" s="18" t="n">
        <v>398756</v>
      </c>
      <c r="G249" s="19" t="n">
        <v>22</v>
      </c>
      <c r="H249" s="17" t="n">
        <f aca="false">IF(G249="","",RANK(G249,$G$5:$G$281))</f>
        <v>245</v>
      </c>
      <c r="I249" s="19" t="n">
        <v>44.8</v>
      </c>
      <c r="J249" s="17" t="n">
        <f aca="false">IF(I249="","",RANK(I249,$I$5:$I$281))</f>
        <v>163</v>
      </c>
      <c r="K249" s="19" t="n">
        <v>35.8</v>
      </c>
      <c r="L249" s="17" t="n">
        <f aca="false">IF(K249="","",RANK(K249,$K$5:$K$281))</f>
        <v>197</v>
      </c>
      <c r="M249" s="17" t="str">
        <f aca="false">IF(AND(N(G249)&gt;=N(I249),N(G249)&gt;=N(K249)),"The Pulse",IF(N(I249)&gt;=N(K249),"The Lens","The Hub"))</f>
        <v>The Lens</v>
      </c>
      <c r="N249" s="20" t="s">
        <v>74</v>
      </c>
      <c r="O249" s="17" t="s">
        <v>19</v>
      </c>
    </row>
    <row r="250" customFormat="false" ht="15" hidden="false" customHeight="false" outlineLevel="0" collapsed="false">
      <c r="A250" s="17" t="s">
        <v>591</v>
      </c>
      <c r="B250" s="17" t="s">
        <v>592</v>
      </c>
      <c r="C250" s="17" t="s">
        <v>105</v>
      </c>
      <c r="D250" s="17" t="s">
        <v>73</v>
      </c>
      <c r="E250" s="17" t="s">
        <v>129</v>
      </c>
      <c r="F250" s="18" t="n">
        <v>442140</v>
      </c>
      <c r="G250" s="19" t="n">
        <v>21.8</v>
      </c>
      <c r="H250" s="17" t="n">
        <f aca="false">IF(G250="","",RANK(G250,$G$5:$G$281))</f>
        <v>246</v>
      </c>
      <c r="I250" s="19" t="n">
        <v>48.1</v>
      </c>
      <c r="J250" s="17" t="n">
        <f aca="false">IF(I250="","",RANK(I250,$I$5:$I$281))</f>
        <v>151</v>
      </c>
      <c r="K250" s="19" t="n">
        <v>68.3</v>
      </c>
      <c r="L250" s="17" t="n">
        <f aca="false">IF(K250="","",RANK(K250,$K$5:$K$281))</f>
        <v>67</v>
      </c>
      <c r="M250" s="17" t="str">
        <f aca="false">IF(AND(N(G250)&gt;=N(I250),N(G250)&gt;=N(K250)),"The Pulse",IF(N(I250)&gt;=N(K250),"The Lens","The Hub"))</f>
        <v>The Hub</v>
      </c>
      <c r="N250" s="22" t="s">
        <v>83</v>
      </c>
      <c r="O250" s="17" t="s">
        <v>130</v>
      </c>
    </row>
    <row r="251" customFormat="false" ht="15" hidden="false" customHeight="false" outlineLevel="0" collapsed="false">
      <c r="A251" s="17" t="s">
        <v>593</v>
      </c>
      <c r="B251" s="17" t="s">
        <v>594</v>
      </c>
      <c r="C251" s="17" t="s">
        <v>105</v>
      </c>
      <c r="D251" s="17" t="s">
        <v>96</v>
      </c>
      <c r="E251" s="17" t="s">
        <v>157</v>
      </c>
      <c r="F251" s="18" t="n">
        <v>396384</v>
      </c>
      <c r="G251" s="19" t="n">
        <v>21.4</v>
      </c>
      <c r="H251" s="17" t="n">
        <f aca="false">IF(G251="","",RANK(G251,$G$5:$G$281))</f>
        <v>247</v>
      </c>
      <c r="I251" s="19" t="n">
        <v>65.4</v>
      </c>
      <c r="J251" s="17" t="n">
        <f aca="false">IF(I251="","",RANK(I251,$I$5:$I$281))</f>
        <v>70</v>
      </c>
      <c r="K251" s="19" t="n">
        <v>69.5</v>
      </c>
      <c r="L251" s="17" t="n">
        <f aca="false">IF(K251="","",RANK(K251,$K$5:$K$281))</f>
        <v>61</v>
      </c>
      <c r="M251" s="17" t="str">
        <f aca="false">IF(AND(N(G251)&gt;=N(I251),N(G251)&gt;=N(K251)),"The Pulse",IF(N(I251)&gt;=N(K251),"The Lens","The Hub"))</f>
        <v>The Hub</v>
      </c>
      <c r="N251" s="21" t="s">
        <v>78</v>
      </c>
      <c r="O251" s="17" t="s">
        <v>126</v>
      </c>
    </row>
    <row r="252" customFormat="false" ht="15" hidden="false" customHeight="false" outlineLevel="0" collapsed="false">
      <c r="A252" s="17" t="s">
        <v>595</v>
      </c>
      <c r="B252" s="17" t="s">
        <v>596</v>
      </c>
      <c r="C252" s="17" t="s">
        <v>81</v>
      </c>
      <c r="D252" s="17" t="s">
        <v>73</v>
      </c>
      <c r="E252" s="17" t="s">
        <v>45</v>
      </c>
      <c r="F252" s="18" t="n">
        <v>76930</v>
      </c>
      <c r="G252" s="19" t="n">
        <v>21.2</v>
      </c>
      <c r="H252" s="17" t="n">
        <f aca="false">IF(G252="","",RANK(G252,$G$5:$G$281))</f>
        <v>248</v>
      </c>
      <c r="I252" s="19" t="n">
        <v>64.7</v>
      </c>
      <c r="J252" s="17" t="n">
        <f aca="false">IF(I252="","",RANK(I252,$I$5:$I$281))</f>
        <v>75</v>
      </c>
      <c r="K252" s="19" t="n">
        <v>61.9</v>
      </c>
      <c r="L252" s="17" t="n">
        <f aca="false">IF(K252="","",RANK(K252,$K$5:$K$281))</f>
        <v>84</v>
      </c>
      <c r="M252" s="17" t="str">
        <f aca="false">IF(AND(N(G252)&gt;=N(I252),N(G252)&gt;=N(K252)),"The Pulse",IF(N(I252)&gt;=N(K252),"The Lens","The Hub"))</f>
        <v>The Lens</v>
      </c>
      <c r="N252" s="21" t="s">
        <v>78</v>
      </c>
      <c r="O252" s="17" t="s">
        <v>21</v>
      </c>
    </row>
    <row r="253" customFormat="false" ht="15" hidden="false" customHeight="false" outlineLevel="0" collapsed="false">
      <c r="A253" s="17" t="s">
        <v>597</v>
      </c>
      <c r="B253" s="17" t="s">
        <v>598</v>
      </c>
      <c r="C253" s="17" t="s">
        <v>72</v>
      </c>
      <c r="D253" s="17" t="s">
        <v>96</v>
      </c>
      <c r="E253" s="17" t="s">
        <v>129</v>
      </c>
      <c r="F253" s="18" t="n">
        <v>417368</v>
      </c>
      <c r="G253" s="19" t="n">
        <v>20.8</v>
      </c>
      <c r="H253" s="17" t="n">
        <f aca="false">IF(G253="","",RANK(G253,$G$5:$G$281))</f>
        <v>249</v>
      </c>
      <c r="I253" s="19" t="n">
        <v>64.8</v>
      </c>
      <c r="J253" s="17" t="n">
        <f aca="false">IF(I253="","",RANK(I253,$I$5:$I$281))</f>
        <v>74</v>
      </c>
      <c r="K253" s="19" t="n">
        <v>30.3</v>
      </c>
      <c r="L253" s="17" t="n">
        <f aca="false">IF(K253="","",RANK(K253,$K$5:$K$281))</f>
        <v>215</v>
      </c>
      <c r="M253" s="17" t="str">
        <f aca="false">IF(AND(N(G253)&gt;=N(I253),N(G253)&gt;=N(K253)),"The Pulse",IF(N(I253)&gt;=N(K253),"The Lens","The Hub"))</f>
        <v>The Lens</v>
      </c>
      <c r="N253" s="21" t="s">
        <v>78</v>
      </c>
      <c r="O253" s="17" t="s">
        <v>126</v>
      </c>
    </row>
    <row r="254" customFormat="false" ht="15" hidden="false" customHeight="false" outlineLevel="0" collapsed="false">
      <c r="A254" s="17" t="s">
        <v>599</v>
      </c>
      <c r="B254" s="17" t="s">
        <v>600</v>
      </c>
      <c r="C254" s="17" t="s">
        <v>114</v>
      </c>
      <c r="D254" s="17" t="s">
        <v>170</v>
      </c>
      <c r="E254" s="17" t="s">
        <v>45</v>
      </c>
      <c r="F254" s="18" t="n">
        <v>52320</v>
      </c>
      <c r="G254" s="19" t="n">
        <v>20.3</v>
      </c>
      <c r="H254" s="17" t="n">
        <f aca="false">IF(G254="","",RANK(G254,$G$5:$G$281))</f>
        <v>250</v>
      </c>
      <c r="I254" s="19" t="n">
        <v>15.1</v>
      </c>
      <c r="J254" s="17" t="n">
        <f aca="false">IF(I254="","",RANK(I254,$I$5:$I$281))</f>
        <v>253</v>
      </c>
      <c r="K254" s="19" t="n">
        <v>63.5</v>
      </c>
      <c r="L254" s="17" t="n">
        <f aca="false">IF(K254="","",RANK(K254,$K$5:$K$281))</f>
        <v>79</v>
      </c>
      <c r="M254" s="17" t="str">
        <f aca="false">IF(AND(N(G254)&gt;=N(I254),N(G254)&gt;=N(K254)),"The Pulse",IF(N(I254)&gt;=N(K254),"The Lens","The Hub"))</f>
        <v>The Hub</v>
      </c>
      <c r="N254" s="21" t="s">
        <v>78</v>
      </c>
      <c r="O254" s="17" t="s">
        <v>21</v>
      </c>
    </row>
    <row r="255" customFormat="false" ht="15" hidden="false" customHeight="false" outlineLevel="0" collapsed="false">
      <c r="A255" s="17" t="s">
        <v>601</v>
      </c>
      <c r="B255" s="17" t="s">
        <v>602</v>
      </c>
      <c r="C255" s="17" t="s">
        <v>81</v>
      </c>
      <c r="D255" s="17" t="s">
        <v>96</v>
      </c>
      <c r="E255" s="17" t="s">
        <v>47</v>
      </c>
      <c r="F255" s="18" t="n">
        <v>37493</v>
      </c>
      <c r="G255" s="19" t="n">
        <v>19.4</v>
      </c>
      <c r="H255" s="17" t="n">
        <f aca="false">IF(G255="","",RANK(G255,$G$5:$G$281))</f>
        <v>251</v>
      </c>
      <c r="I255" s="19" t="n">
        <v>68.4</v>
      </c>
      <c r="J255" s="17" t="n">
        <f aca="false">IF(I255="","",RANK(I255,$I$5:$I$281))</f>
        <v>61</v>
      </c>
      <c r="K255" s="19" t="n">
        <v>87</v>
      </c>
      <c r="L255" s="17" t="n">
        <f aca="false">IF(K255="","",RANK(K255,$K$5:$K$281))</f>
        <v>26</v>
      </c>
      <c r="M255" s="17" t="str">
        <f aca="false">IF(AND(N(G255)&gt;=N(I255),N(G255)&gt;=N(K255)),"The Pulse",IF(N(I255)&gt;=N(K255),"The Lens","The Hub"))</f>
        <v>The Hub</v>
      </c>
      <c r="N255" s="20" t="s">
        <v>74</v>
      </c>
      <c r="O255" s="17" t="s">
        <v>19</v>
      </c>
    </row>
    <row r="256" customFormat="false" ht="15" hidden="false" customHeight="false" outlineLevel="0" collapsed="false">
      <c r="A256" s="17" t="s">
        <v>603</v>
      </c>
      <c r="B256" s="17" t="s">
        <v>604</v>
      </c>
      <c r="C256" s="17" t="s">
        <v>87</v>
      </c>
      <c r="D256" s="17" t="s">
        <v>118</v>
      </c>
      <c r="E256" s="17" t="s">
        <v>45</v>
      </c>
      <c r="F256" s="18" t="n">
        <v>109674</v>
      </c>
      <c r="G256" s="19" t="n">
        <v>18.8</v>
      </c>
      <c r="H256" s="17" t="n">
        <f aca="false">IF(G256="","",RANK(G256,$G$5:$G$281))</f>
        <v>252</v>
      </c>
      <c r="I256" s="19" t="n">
        <v>72.5</v>
      </c>
      <c r="J256" s="17" t="n">
        <f aca="false">IF(I256="","",RANK(I256,$I$5:$I$281))</f>
        <v>49</v>
      </c>
      <c r="K256" s="19" t="n">
        <v>42.5</v>
      </c>
      <c r="L256" s="17" t="n">
        <f aca="false">IF(K256="","",RANK(K256,$K$5:$K$281))</f>
        <v>179</v>
      </c>
      <c r="M256" s="17" t="str">
        <f aca="false">IF(AND(N(G256)&gt;=N(I256),N(G256)&gt;=N(K256)),"The Pulse",IF(N(I256)&gt;=N(K256),"The Lens","The Hub"))</f>
        <v>The Lens</v>
      </c>
      <c r="N256" s="20" t="s">
        <v>74</v>
      </c>
      <c r="O256" s="17" t="s">
        <v>19</v>
      </c>
    </row>
    <row r="257" customFormat="false" ht="15" hidden="false" customHeight="false" outlineLevel="0" collapsed="false">
      <c r="A257" s="17" t="s">
        <v>605</v>
      </c>
      <c r="B257" s="17" t="s">
        <v>606</v>
      </c>
      <c r="C257" s="17" t="s">
        <v>87</v>
      </c>
      <c r="D257" s="17" t="s">
        <v>170</v>
      </c>
      <c r="E257" s="17" t="s">
        <v>129</v>
      </c>
      <c r="F257" s="18" t="n">
        <v>40936</v>
      </c>
      <c r="G257" s="19" t="n">
        <v>17.9</v>
      </c>
      <c r="H257" s="17" t="n">
        <f aca="false">IF(G257="","",RANK(G257,$G$5:$G$281))</f>
        <v>253</v>
      </c>
      <c r="I257" s="19" t="n">
        <v>21.4</v>
      </c>
      <c r="J257" s="17" t="n">
        <f aca="false">IF(I257="","",RANK(I257,$I$5:$I$281))</f>
        <v>237</v>
      </c>
      <c r="K257" s="19" t="n">
        <v>77.2</v>
      </c>
      <c r="L257" s="17" t="n">
        <f aca="false">IF(K257="","",RANK(K257,$K$5:$K$281))</f>
        <v>47</v>
      </c>
      <c r="M257" s="17" t="str">
        <f aca="false">IF(AND(N(G257)&gt;=N(I257),N(G257)&gt;=N(K257)),"The Pulse",IF(N(I257)&gt;=N(K257),"The Lens","The Hub"))</f>
        <v>The Hub</v>
      </c>
      <c r="N257" s="21" t="s">
        <v>78</v>
      </c>
      <c r="O257" s="17" t="s">
        <v>126</v>
      </c>
    </row>
    <row r="258" customFormat="false" ht="15" hidden="false" customHeight="false" outlineLevel="0" collapsed="false">
      <c r="A258" s="17" t="s">
        <v>607</v>
      </c>
      <c r="B258" s="17" t="s">
        <v>608</v>
      </c>
      <c r="C258" s="17" t="s">
        <v>81</v>
      </c>
      <c r="D258" s="17" t="s">
        <v>111</v>
      </c>
      <c r="E258" s="17" t="s">
        <v>45</v>
      </c>
      <c r="F258" s="18" t="n">
        <v>233610</v>
      </c>
      <c r="G258" s="19" t="n">
        <v>17.5</v>
      </c>
      <c r="H258" s="17" t="n">
        <f aca="false">IF(G258="","",RANK(G258,$G$5:$G$281))</f>
        <v>254</v>
      </c>
      <c r="I258" s="19" t="n">
        <v>26.1</v>
      </c>
      <c r="J258" s="17" t="n">
        <f aca="false">IF(I258="","",RANK(I258,$I$5:$I$281))</f>
        <v>226</v>
      </c>
      <c r="K258" s="19" t="n">
        <v>90.1</v>
      </c>
      <c r="L258" s="17" t="n">
        <f aca="false">IF(K258="","",RANK(K258,$K$5:$K$281))</f>
        <v>18</v>
      </c>
      <c r="M258" s="17" t="str">
        <f aca="false">IF(AND(N(G258)&gt;=N(I258),N(G258)&gt;=N(K258)),"The Pulse",IF(N(I258)&gt;=N(K258),"The Lens","The Hub"))</f>
        <v>The Hub</v>
      </c>
      <c r="N258" s="21" t="s">
        <v>78</v>
      </c>
      <c r="O258" s="17" t="s">
        <v>21</v>
      </c>
    </row>
    <row r="259" customFormat="false" ht="15" hidden="false" customHeight="false" outlineLevel="0" collapsed="false">
      <c r="A259" s="17" t="s">
        <v>609</v>
      </c>
      <c r="B259" s="17" t="s">
        <v>610</v>
      </c>
      <c r="C259" s="17" t="s">
        <v>114</v>
      </c>
      <c r="D259" s="17" t="s">
        <v>118</v>
      </c>
      <c r="E259" s="17" t="s">
        <v>46</v>
      </c>
      <c r="F259" s="18" t="n">
        <v>7080</v>
      </c>
      <c r="G259" s="19" t="n">
        <v>16.7</v>
      </c>
      <c r="H259" s="17" t="n">
        <f aca="false">IF(G259="","",RANK(G259,$G$5:$G$281))</f>
        <v>255</v>
      </c>
      <c r="I259" s="19" t="n">
        <v>70.8</v>
      </c>
      <c r="J259" s="17" t="n">
        <f aca="false">IF(I259="","",RANK(I259,$I$5:$I$281))</f>
        <v>53</v>
      </c>
      <c r="K259" s="19" t="n">
        <v>79.5</v>
      </c>
      <c r="L259" s="17" t="n">
        <f aca="false">IF(K259="","",RANK(K259,$K$5:$K$281))</f>
        <v>40</v>
      </c>
      <c r="M259" s="17" t="str">
        <f aca="false">IF(AND(N(G259)&gt;=N(I259),N(G259)&gt;=N(K259)),"The Pulse",IF(N(I259)&gt;=N(K259),"The Lens","The Hub"))</f>
        <v>The Hub</v>
      </c>
      <c r="N259" s="21" t="s">
        <v>78</v>
      </c>
      <c r="O259" s="17" t="s">
        <v>21</v>
      </c>
    </row>
    <row r="260" customFormat="false" ht="15" hidden="false" customHeight="false" outlineLevel="0" collapsed="false">
      <c r="A260" s="17" t="s">
        <v>611</v>
      </c>
      <c r="B260" s="17" t="s">
        <v>612</v>
      </c>
      <c r="C260" s="17" t="s">
        <v>105</v>
      </c>
      <c r="D260" s="17" t="s">
        <v>115</v>
      </c>
      <c r="E260" s="17" t="s">
        <v>45</v>
      </c>
      <c r="F260" s="18" t="n">
        <v>216160</v>
      </c>
      <c r="G260" s="19" t="n">
        <v>16.5</v>
      </c>
      <c r="H260" s="17" t="n">
        <f aca="false">IF(G260="","",RANK(G260,$G$5:$G$281))</f>
        <v>256</v>
      </c>
      <c r="I260" s="19" t="n">
        <v>92</v>
      </c>
      <c r="J260" s="17" t="n">
        <f aca="false">IF(I260="","",RANK(I260,$I$5:$I$281))</f>
        <v>11</v>
      </c>
      <c r="K260" s="19" t="n">
        <v>29.6</v>
      </c>
      <c r="L260" s="17" t="n">
        <f aca="false">IF(K260="","",RANK(K260,$K$5:$K$281))</f>
        <v>219</v>
      </c>
      <c r="M260" s="17" t="str">
        <f aca="false">IF(AND(N(G260)&gt;=N(I260),N(G260)&gt;=N(K260)),"The Pulse",IF(N(I260)&gt;=N(K260),"The Lens","The Hub"))</f>
        <v>The Lens</v>
      </c>
      <c r="N260" s="21" t="s">
        <v>78</v>
      </c>
      <c r="O260" s="17" t="s">
        <v>21</v>
      </c>
    </row>
    <row r="261" customFormat="false" ht="15" hidden="false" customHeight="false" outlineLevel="0" collapsed="false">
      <c r="A261" s="17" t="s">
        <v>613</v>
      </c>
      <c r="B261" s="17" t="s">
        <v>614</v>
      </c>
      <c r="C261" s="17" t="s">
        <v>77</v>
      </c>
      <c r="D261" s="17" t="s">
        <v>93</v>
      </c>
      <c r="E261" s="17" t="s">
        <v>46</v>
      </c>
      <c r="F261" s="18" t="n">
        <v>375815</v>
      </c>
      <c r="G261" s="19" t="n">
        <v>16.3</v>
      </c>
      <c r="H261" s="17" t="n">
        <f aca="false">IF(G261="","",RANK(G261,$G$5:$G$281))</f>
        <v>257</v>
      </c>
      <c r="I261" s="19" t="n">
        <v>0.7</v>
      </c>
      <c r="J261" s="17" t="n">
        <f aca="false">IF(I261="","",RANK(I261,$I$5:$I$281))</f>
        <v>277</v>
      </c>
      <c r="K261" s="19" t="n">
        <v>78.8</v>
      </c>
      <c r="L261" s="17" t="n">
        <f aca="false">IF(K261="","",RANK(K261,$K$5:$K$281))</f>
        <v>41</v>
      </c>
      <c r="M261" s="17" t="str">
        <f aca="false">IF(AND(N(G261)&gt;=N(I261),N(G261)&gt;=N(K261)),"The Pulse",IF(N(I261)&gt;=N(K261),"The Lens","The Hub"))</f>
        <v>The Hub</v>
      </c>
      <c r="N261" s="20" t="s">
        <v>74</v>
      </c>
      <c r="O261" s="17" t="s">
        <v>19</v>
      </c>
    </row>
    <row r="262" customFormat="false" ht="15" hidden="false" customHeight="false" outlineLevel="0" collapsed="false">
      <c r="A262" s="17" t="s">
        <v>615</v>
      </c>
      <c r="B262" s="17" t="s">
        <v>616</v>
      </c>
      <c r="C262" s="17" t="s">
        <v>114</v>
      </c>
      <c r="D262" s="17" t="s">
        <v>118</v>
      </c>
      <c r="E262" s="17" t="s">
        <v>47</v>
      </c>
      <c r="F262" s="18" t="n">
        <v>84170</v>
      </c>
      <c r="G262" s="19" t="n">
        <v>16</v>
      </c>
      <c r="H262" s="17" t="n">
        <f aca="false">IF(G262="","",RANK(G262,$G$5:$G$281))</f>
        <v>258</v>
      </c>
      <c r="I262" s="19" t="n">
        <v>28</v>
      </c>
      <c r="J262" s="17" t="n">
        <f aca="false">IF(I262="","",RANK(I262,$I$5:$I$281))</f>
        <v>220</v>
      </c>
      <c r="K262" s="19" t="n">
        <v>17.9</v>
      </c>
      <c r="L262" s="17" t="n">
        <f aca="false">IF(K262="","",RANK(K262,$K$5:$K$281))</f>
        <v>245</v>
      </c>
      <c r="M262" s="17" t="str">
        <f aca="false">IF(AND(N(G262)&gt;=N(I262),N(G262)&gt;=N(K262)),"The Pulse",IF(N(I262)&gt;=N(K262),"The Lens","The Hub"))</f>
        <v>The Lens</v>
      </c>
      <c r="N262" s="20" t="s">
        <v>74</v>
      </c>
      <c r="O262" s="17" t="s">
        <v>19</v>
      </c>
    </row>
    <row r="263" customFormat="false" ht="15" hidden="false" customHeight="false" outlineLevel="0" collapsed="false">
      <c r="A263" s="17" t="s">
        <v>617</v>
      </c>
      <c r="B263" s="17" t="s">
        <v>618</v>
      </c>
      <c r="C263" s="17" t="s">
        <v>81</v>
      </c>
      <c r="D263" s="17" t="s">
        <v>111</v>
      </c>
      <c r="E263" s="17" t="s">
        <v>157</v>
      </c>
      <c r="F263" s="18" t="n">
        <v>62765</v>
      </c>
      <c r="G263" s="19" t="n">
        <v>15.9</v>
      </c>
      <c r="H263" s="17" t="n">
        <f aca="false">IF(G263="","",RANK(G263,$G$5:$G$281))</f>
        <v>259</v>
      </c>
      <c r="I263" s="19" t="n">
        <v>48.2</v>
      </c>
      <c r="J263" s="17" t="n">
        <f aca="false">IF(I263="","",RANK(I263,$I$5:$I$281))</f>
        <v>148</v>
      </c>
      <c r="K263" s="19" t="n">
        <v>23</v>
      </c>
      <c r="L263" s="17" t="n">
        <f aca="false">IF(K263="","",RANK(K263,$K$5:$K$281))</f>
        <v>234</v>
      </c>
      <c r="M263" s="17" t="str">
        <f aca="false">IF(AND(N(G263)&gt;=N(I263),N(G263)&gt;=N(K263)),"The Pulse",IF(N(I263)&gt;=N(K263),"The Lens","The Hub"))</f>
        <v>The Lens</v>
      </c>
      <c r="N263" s="20" t="s">
        <v>74</v>
      </c>
      <c r="O263" s="17" t="s">
        <v>19</v>
      </c>
    </row>
    <row r="264" customFormat="false" ht="15" hidden="false" customHeight="false" outlineLevel="0" collapsed="false">
      <c r="A264" s="17" t="s">
        <v>619</v>
      </c>
      <c r="B264" s="17" t="s">
        <v>620</v>
      </c>
      <c r="C264" s="17" t="s">
        <v>105</v>
      </c>
      <c r="D264" s="17" t="s">
        <v>118</v>
      </c>
      <c r="E264" s="17" t="s">
        <v>47</v>
      </c>
      <c r="F264" s="18" t="n">
        <v>38165</v>
      </c>
      <c r="G264" s="19" t="n">
        <v>15.2</v>
      </c>
      <c r="H264" s="17" t="n">
        <f aca="false">IF(G264="","",RANK(G264,$G$5:$G$281))</f>
        <v>260</v>
      </c>
      <c r="I264" s="19" t="n">
        <v>2.8</v>
      </c>
      <c r="J264" s="17" t="n">
        <f aca="false">IF(I264="","",RANK(I264,$I$5:$I$281))</f>
        <v>276</v>
      </c>
      <c r="K264" s="19" t="n">
        <v>77.7</v>
      </c>
      <c r="L264" s="17" t="n">
        <f aca="false">IF(K264="","",RANK(K264,$K$5:$K$281))</f>
        <v>45</v>
      </c>
      <c r="M264" s="17" t="str">
        <f aca="false">IF(AND(N(G264)&gt;=N(I264),N(G264)&gt;=N(K264)),"The Pulse",IF(N(I264)&gt;=N(K264),"The Lens","The Hub"))</f>
        <v>The Hub</v>
      </c>
      <c r="N264" s="20" t="s">
        <v>74</v>
      </c>
      <c r="O264" s="17" t="s">
        <v>19</v>
      </c>
    </row>
    <row r="265" customFormat="false" ht="15" hidden="false" customHeight="false" outlineLevel="0" collapsed="false">
      <c r="A265" s="17" t="s">
        <v>621</v>
      </c>
      <c r="B265" s="17" t="s">
        <v>622</v>
      </c>
      <c r="C265" s="17" t="s">
        <v>72</v>
      </c>
      <c r="D265" s="17" t="s">
        <v>118</v>
      </c>
      <c r="E265" s="17" t="s">
        <v>129</v>
      </c>
      <c r="F265" s="18" t="n">
        <v>403360</v>
      </c>
      <c r="G265" s="19" t="n">
        <v>13.4</v>
      </c>
      <c r="H265" s="17" t="n">
        <f aca="false">IF(G265="","",RANK(G265,$G$5:$G$281))</f>
        <v>261</v>
      </c>
      <c r="I265" s="19" t="n">
        <v>43.9</v>
      </c>
      <c r="J265" s="17" t="n">
        <f aca="false">IF(I265="","",RANK(I265,$I$5:$I$281))</f>
        <v>166</v>
      </c>
      <c r="K265" s="19" t="n">
        <v>51.7</v>
      </c>
      <c r="L265" s="17" t="n">
        <f aca="false">IF(K265="","",RANK(K265,$K$5:$K$281))</f>
        <v>124</v>
      </c>
      <c r="M265" s="17" t="str">
        <f aca="false">IF(AND(N(G265)&gt;=N(I265),N(G265)&gt;=N(K265)),"The Pulse",IF(N(I265)&gt;=N(K265),"The Lens","The Hub"))</f>
        <v>The Hub</v>
      </c>
      <c r="N265" s="21" t="s">
        <v>78</v>
      </c>
      <c r="O265" s="17" t="s">
        <v>126</v>
      </c>
    </row>
    <row r="266" customFormat="false" ht="15" hidden="false" customHeight="false" outlineLevel="0" collapsed="false">
      <c r="A266" s="17" t="s">
        <v>623</v>
      </c>
      <c r="B266" s="17" t="s">
        <v>624</v>
      </c>
      <c r="C266" s="17" t="s">
        <v>72</v>
      </c>
      <c r="D266" s="17" t="s">
        <v>108</v>
      </c>
      <c r="E266" s="17" t="s">
        <v>47</v>
      </c>
      <c r="F266" s="18" t="n">
        <v>124351</v>
      </c>
      <c r="G266" s="19" t="n">
        <v>12.2</v>
      </c>
      <c r="H266" s="17" t="n">
        <f aca="false">IF(G266="","",RANK(G266,$G$5:$G$281))</f>
        <v>262</v>
      </c>
      <c r="I266" s="19" t="n">
        <v>31.9</v>
      </c>
      <c r="J266" s="17" t="n">
        <f aca="false">IF(I266="","",RANK(I266,$I$5:$I$281))</f>
        <v>211</v>
      </c>
      <c r="K266" s="19" t="n">
        <v>61.5</v>
      </c>
      <c r="L266" s="17" t="n">
        <f aca="false">IF(K266="","",RANK(K266,$K$5:$K$281))</f>
        <v>87</v>
      </c>
      <c r="M266" s="17" t="str">
        <f aca="false">IF(AND(N(G266)&gt;=N(I266),N(G266)&gt;=N(K266)),"The Pulse",IF(N(I266)&gt;=N(K266),"The Lens","The Hub"))</f>
        <v>The Hub</v>
      </c>
      <c r="N266" s="20" t="s">
        <v>74</v>
      </c>
      <c r="O266" s="17" t="s">
        <v>19</v>
      </c>
    </row>
    <row r="267" customFormat="false" ht="15" hidden="false" customHeight="false" outlineLevel="0" collapsed="false">
      <c r="A267" s="17" t="s">
        <v>625</v>
      </c>
      <c r="B267" s="17" t="s">
        <v>626</v>
      </c>
      <c r="C267" s="17" t="s">
        <v>102</v>
      </c>
      <c r="D267" s="17" t="s">
        <v>170</v>
      </c>
      <c r="E267" s="17" t="s">
        <v>47</v>
      </c>
      <c r="F267" s="18" t="n">
        <v>960330</v>
      </c>
      <c r="G267" s="19" t="n">
        <v>12</v>
      </c>
      <c r="H267" s="17" t="n">
        <f aca="false">IF(G267="","",RANK(G267,$G$5:$G$281))</f>
        <v>263</v>
      </c>
      <c r="I267" s="19" t="n">
        <v>24.1</v>
      </c>
      <c r="J267" s="17" t="n">
        <f aca="false">IF(I267="","",RANK(I267,$I$5:$I$281))</f>
        <v>233</v>
      </c>
      <c r="K267" s="19" t="n">
        <v>78.1</v>
      </c>
      <c r="L267" s="17" t="n">
        <f aca="false">IF(K267="","",RANK(K267,$K$5:$K$281))</f>
        <v>42</v>
      </c>
      <c r="M267" s="17" t="str">
        <f aca="false">IF(AND(N(G267)&gt;=N(I267),N(G267)&gt;=N(K267)),"The Pulse",IF(N(I267)&gt;=N(K267),"The Lens","The Hub"))</f>
        <v>The Hub</v>
      </c>
      <c r="N267" s="21" t="s">
        <v>78</v>
      </c>
      <c r="O267" s="17" t="s">
        <v>21</v>
      </c>
    </row>
    <row r="268" customFormat="false" ht="15" hidden="false" customHeight="false" outlineLevel="0" collapsed="false">
      <c r="A268" s="17" t="s">
        <v>627</v>
      </c>
      <c r="B268" s="17" t="s">
        <v>628</v>
      </c>
      <c r="C268" s="17" t="s">
        <v>81</v>
      </c>
      <c r="D268" s="17" t="s">
        <v>111</v>
      </c>
      <c r="E268" s="17" t="s">
        <v>46</v>
      </c>
      <c r="F268" s="18" t="n">
        <v>3480</v>
      </c>
      <c r="G268" s="19" t="n">
        <v>11.6</v>
      </c>
      <c r="H268" s="17" t="n">
        <f aca="false">IF(G268="","",RANK(G268,$G$5:$G$281))</f>
        <v>264</v>
      </c>
      <c r="I268" s="19" t="n">
        <v>77.1</v>
      </c>
      <c r="J268" s="17" t="n">
        <f aca="false">IF(I268="","",RANK(I268,$I$5:$I$281))</f>
        <v>32</v>
      </c>
      <c r="K268" s="19" t="n">
        <v>4.7</v>
      </c>
      <c r="L268" s="17" t="n">
        <f aca="false">IF(K268="","",RANK(K268,$K$5:$K$281))</f>
        <v>270</v>
      </c>
      <c r="M268" s="17" t="str">
        <f aca="false">IF(AND(N(G268)&gt;=N(I268),N(G268)&gt;=N(K268)),"The Pulse",IF(N(I268)&gt;=N(K268),"The Lens","The Hub"))</f>
        <v>The Lens</v>
      </c>
      <c r="N268" s="21" t="s">
        <v>78</v>
      </c>
      <c r="O268" s="17" t="s">
        <v>21</v>
      </c>
    </row>
    <row r="269" customFormat="false" ht="15" hidden="false" customHeight="false" outlineLevel="0" collapsed="false">
      <c r="A269" s="17" t="s">
        <v>629</v>
      </c>
      <c r="B269" s="17" t="s">
        <v>630</v>
      </c>
      <c r="C269" s="17" t="s">
        <v>87</v>
      </c>
      <c r="D269" s="17" t="s">
        <v>115</v>
      </c>
      <c r="E269" s="17" t="s">
        <v>46</v>
      </c>
      <c r="F269" s="18" t="n">
        <v>278658</v>
      </c>
      <c r="G269" s="19" t="n">
        <v>10.1</v>
      </c>
      <c r="H269" s="17" t="n">
        <f aca="false">IF(G269="","",RANK(G269,$G$5:$G$281))</f>
        <v>265</v>
      </c>
      <c r="I269" s="19" t="n">
        <v>83.4</v>
      </c>
      <c r="J269" s="17" t="n">
        <f aca="false">IF(I269="","",RANK(I269,$I$5:$I$281))</f>
        <v>20</v>
      </c>
      <c r="K269" s="19" t="n">
        <v>11.7</v>
      </c>
      <c r="L269" s="17" t="n">
        <f aca="false">IF(K269="","",RANK(K269,$K$5:$K$281))</f>
        <v>259</v>
      </c>
      <c r="M269" s="17" t="str">
        <f aca="false">IF(AND(N(G269)&gt;=N(I269),N(G269)&gt;=N(K269)),"The Pulse",IF(N(I269)&gt;=N(K269),"The Lens","The Hub"))</f>
        <v>The Lens</v>
      </c>
      <c r="N269" s="20" t="s">
        <v>74</v>
      </c>
      <c r="O269" s="17" t="s">
        <v>19</v>
      </c>
    </row>
    <row r="270" customFormat="false" ht="15" hidden="false" customHeight="false" outlineLevel="0" collapsed="false">
      <c r="A270" s="17" t="s">
        <v>631</v>
      </c>
      <c r="B270" s="17" t="s">
        <v>632</v>
      </c>
      <c r="C270" s="17" t="s">
        <v>77</v>
      </c>
      <c r="D270" s="17" t="s">
        <v>118</v>
      </c>
      <c r="E270" s="17" t="s">
        <v>129</v>
      </c>
      <c r="F270" s="18" t="n">
        <v>94868</v>
      </c>
      <c r="G270" s="19" t="n">
        <v>9.6</v>
      </c>
      <c r="H270" s="17" t="n">
        <f aca="false">IF(G270="","",RANK(G270,$G$5:$G$281))</f>
        <v>266</v>
      </c>
      <c r="I270" s="19" t="n">
        <v>33.6</v>
      </c>
      <c r="J270" s="17" t="n">
        <f aca="false">IF(I270="","",RANK(I270,$I$5:$I$281))</f>
        <v>206</v>
      </c>
      <c r="K270" s="19" t="n">
        <v>46.1</v>
      </c>
      <c r="L270" s="17" t="n">
        <f aca="false">IF(K270="","",RANK(K270,$K$5:$K$281))</f>
        <v>153</v>
      </c>
      <c r="M270" s="17" t="str">
        <f aca="false">IF(AND(N(G270)&gt;=N(I270),N(G270)&gt;=N(K270)),"The Pulse",IF(N(I270)&gt;=N(K270),"The Lens","The Hub"))</f>
        <v>The Hub</v>
      </c>
      <c r="N270" s="20" t="s">
        <v>74</v>
      </c>
      <c r="O270" s="17" t="s">
        <v>19</v>
      </c>
    </row>
    <row r="271" customFormat="false" ht="15" hidden="false" customHeight="false" outlineLevel="0" collapsed="false">
      <c r="A271" s="17" t="s">
        <v>633</v>
      </c>
      <c r="B271" s="17" t="s">
        <v>634</v>
      </c>
      <c r="C271" s="17" t="s">
        <v>77</v>
      </c>
      <c r="D271" s="17" t="s">
        <v>82</v>
      </c>
      <c r="E271" s="17" t="s">
        <v>47</v>
      </c>
      <c r="F271" s="18" t="n">
        <v>8371</v>
      </c>
      <c r="G271" s="19" t="n">
        <v>9.5</v>
      </c>
      <c r="H271" s="17" t="n">
        <f aca="false">IF(G271="","",RANK(G271,$G$5:$G$281))</f>
        <v>267</v>
      </c>
      <c r="I271" s="19" t="n">
        <v>88</v>
      </c>
      <c r="J271" s="17" t="n">
        <f aca="false">IF(I271="","",RANK(I271,$I$5:$I$281))</f>
        <v>13</v>
      </c>
      <c r="K271" s="19" t="n">
        <v>48</v>
      </c>
      <c r="L271" s="17" t="n">
        <f aca="false">IF(K271="","",RANK(K271,$K$5:$K$281))</f>
        <v>145</v>
      </c>
      <c r="M271" s="17" t="str">
        <f aca="false">IF(AND(N(G271)&gt;=N(I271),N(G271)&gt;=N(K271)),"The Pulse",IF(N(I271)&gt;=N(K271),"The Lens","The Hub"))</f>
        <v>The Lens</v>
      </c>
      <c r="N271" s="20" t="s">
        <v>74</v>
      </c>
      <c r="O271" s="17" t="s">
        <v>19</v>
      </c>
    </row>
    <row r="272" customFormat="false" ht="15" hidden="false" customHeight="false" outlineLevel="0" collapsed="false">
      <c r="A272" s="17" t="s">
        <v>635</v>
      </c>
      <c r="B272" s="17" t="s">
        <v>636</v>
      </c>
      <c r="C272" s="17" t="s">
        <v>77</v>
      </c>
      <c r="D272" s="17" t="s">
        <v>93</v>
      </c>
      <c r="E272" s="17" t="s">
        <v>46</v>
      </c>
      <c r="F272" s="18" t="n">
        <v>219410</v>
      </c>
      <c r="G272" s="19" t="n">
        <v>8.9</v>
      </c>
      <c r="H272" s="17" t="n">
        <f aca="false">IF(G272="","",RANK(G272,$G$5:$G$281))</f>
        <v>268</v>
      </c>
      <c r="I272" s="19" t="n">
        <v>86.8</v>
      </c>
      <c r="J272" s="17" t="n">
        <f aca="false">IF(I272="","",RANK(I272,$I$5:$I$281))</f>
        <v>16</v>
      </c>
      <c r="K272" s="19" t="n">
        <v>46.4</v>
      </c>
      <c r="L272" s="17" t="n">
        <f aca="false">IF(K272="","",RANK(K272,$K$5:$K$281))</f>
        <v>151</v>
      </c>
      <c r="M272" s="17" t="str">
        <f aca="false">IF(AND(N(G272)&gt;=N(I272),N(G272)&gt;=N(K272)),"The Pulse",IF(N(I272)&gt;=N(K272),"The Lens","The Hub"))</f>
        <v>The Lens</v>
      </c>
      <c r="N272" s="21" t="s">
        <v>78</v>
      </c>
      <c r="O272" s="17" t="s">
        <v>21</v>
      </c>
    </row>
    <row r="273" customFormat="false" ht="15" hidden="false" customHeight="false" outlineLevel="0" collapsed="false">
      <c r="A273" s="17" t="s">
        <v>637</v>
      </c>
      <c r="B273" s="17" t="s">
        <v>638</v>
      </c>
      <c r="C273" s="17" t="s">
        <v>105</v>
      </c>
      <c r="D273" s="17" t="s">
        <v>115</v>
      </c>
      <c r="E273" s="17" t="s">
        <v>47</v>
      </c>
      <c r="F273" s="18" t="n">
        <v>41246</v>
      </c>
      <c r="G273" s="19" t="n">
        <v>8.7</v>
      </c>
      <c r="H273" s="17" t="n">
        <f aca="false">IF(G273="","",RANK(G273,$G$5:$G$281))</f>
        <v>269</v>
      </c>
      <c r="I273" s="19" t="n">
        <v>4.3</v>
      </c>
      <c r="J273" s="17" t="n">
        <f aca="false">IF(I273="","",RANK(I273,$I$5:$I$281))</f>
        <v>275</v>
      </c>
      <c r="K273" s="19" t="n">
        <v>32.8</v>
      </c>
      <c r="L273" s="17" t="n">
        <f aca="false">IF(K273="","",RANK(K273,$K$5:$K$281))</f>
        <v>208</v>
      </c>
      <c r="M273" s="17" t="str">
        <f aca="false">IF(AND(N(G273)&gt;=N(I273),N(G273)&gt;=N(K273)),"The Pulse",IF(N(I273)&gt;=N(K273),"The Lens","The Hub"))</f>
        <v>The Hub</v>
      </c>
      <c r="N273" s="20" t="s">
        <v>74</v>
      </c>
      <c r="O273" s="17" t="s">
        <v>19</v>
      </c>
    </row>
    <row r="274" customFormat="false" ht="15" hidden="false" customHeight="false" outlineLevel="0" collapsed="false">
      <c r="A274" s="17" t="s">
        <v>639</v>
      </c>
      <c r="B274" s="17" t="s">
        <v>640</v>
      </c>
      <c r="C274" s="17" t="s">
        <v>92</v>
      </c>
      <c r="D274" s="17" t="s">
        <v>115</v>
      </c>
      <c r="E274" s="17" t="s">
        <v>47</v>
      </c>
      <c r="F274" s="18" t="n">
        <v>618897</v>
      </c>
      <c r="G274" s="19" t="n">
        <v>8.2</v>
      </c>
      <c r="H274" s="17" t="n">
        <f aca="false">IF(G274="","",RANK(G274,$G$5:$G$281))</f>
        <v>270</v>
      </c>
      <c r="I274" s="19" t="n">
        <v>94.6</v>
      </c>
      <c r="J274" s="17" t="n">
        <f aca="false">IF(I274="","",RANK(I274,$I$5:$I$281))</f>
        <v>5</v>
      </c>
      <c r="K274" s="19" t="n">
        <v>24.2</v>
      </c>
      <c r="L274" s="17" t="n">
        <f aca="false">IF(K274="","",RANK(K274,$K$5:$K$281))</f>
        <v>230</v>
      </c>
      <c r="M274" s="17" t="str">
        <f aca="false">IF(AND(N(G274)&gt;=N(I274),N(G274)&gt;=N(K274)),"The Pulse",IF(N(I274)&gt;=N(K274),"The Lens","The Hub"))</f>
        <v>The Lens</v>
      </c>
      <c r="N274" s="20" t="s">
        <v>74</v>
      </c>
      <c r="O274" s="17" t="s">
        <v>19</v>
      </c>
    </row>
    <row r="275" customFormat="false" ht="15" hidden="false" customHeight="false" outlineLevel="0" collapsed="false">
      <c r="A275" s="17" t="s">
        <v>641</v>
      </c>
      <c r="B275" s="17" t="s">
        <v>642</v>
      </c>
      <c r="C275" s="17" t="s">
        <v>114</v>
      </c>
      <c r="D275" s="17" t="s">
        <v>108</v>
      </c>
      <c r="E275" s="17" t="s">
        <v>46</v>
      </c>
      <c r="F275" s="18" t="n">
        <v>74440</v>
      </c>
      <c r="G275" s="19" t="n">
        <v>7.8</v>
      </c>
      <c r="H275" s="17" t="n">
        <f aca="false">IF(G275="","",RANK(G275,$G$5:$G$281))</f>
        <v>271</v>
      </c>
      <c r="I275" s="19" t="n">
        <v>70.5</v>
      </c>
      <c r="J275" s="17" t="n">
        <f aca="false">IF(I275="","",RANK(I275,$I$5:$I$281))</f>
        <v>56</v>
      </c>
      <c r="K275" s="19" t="n">
        <v>46.1</v>
      </c>
      <c r="L275" s="17" t="n">
        <f aca="false">IF(K275="","",RANK(K275,$K$5:$K$281))</f>
        <v>153</v>
      </c>
      <c r="M275" s="17" t="str">
        <f aca="false">IF(AND(N(G275)&gt;=N(I275),N(G275)&gt;=N(K275)),"The Pulse",IF(N(I275)&gt;=N(K275),"The Lens","The Hub"))</f>
        <v>The Lens</v>
      </c>
      <c r="N275" s="20" t="s">
        <v>74</v>
      </c>
      <c r="O275" s="17" t="s">
        <v>19</v>
      </c>
    </row>
    <row r="276" customFormat="false" ht="15" hidden="false" customHeight="false" outlineLevel="0" collapsed="false">
      <c r="A276" s="17" t="s">
        <v>643</v>
      </c>
      <c r="B276" s="17" t="s">
        <v>644</v>
      </c>
      <c r="C276" s="17" t="s">
        <v>77</v>
      </c>
      <c r="D276" s="17" t="s">
        <v>111</v>
      </c>
      <c r="E276" s="17" t="s">
        <v>47</v>
      </c>
      <c r="F276" s="18" t="n">
        <v>105162</v>
      </c>
      <c r="G276" s="19" t="n">
        <v>7.8</v>
      </c>
      <c r="H276" s="17" t="n">
        <f aca="false">IF(G276="","",RANK(G276,$G$5:$G$281))</f>
        <v>271</v>
      </c>
      <c r="I276" s="19" t="n">
        <v>93.4</v>
      </c>
      <c r="J276" s="17" t="n">
        <f aca="false">IF(I276="","",RANK(I276,$I$5:$I$281))</f>
        <v>7</v>
      </c>
      <c r="K276" s="19" t="n">
        <v>43</v>
      </c>
      <c r="L276" s="17" t="n">
        <f aca="false">IF(K276="","",RANK(K276,$K$5:$K$281))</f>
        <v>175</v>
      </c>
      <c r="M276" s="17" t="str">
        <f aca="false">IF(AND(N(G276)&gt;=N(I276),N(G276)&gt;=N(K276)),"The Pulse",IF(N(I276)&gt;=N(K276),"The Lens","The Hub"))</f>
        <v>The Lens</v>
      </c>
      <c r="N276" s="20" t="s">
        <v>74</v>
      </c>
      <c r="O276" s="17" t="s">
        <v>19</v>
      </c>
    </row>
    <row r="277" customFormat="false" ht="15" hidden="false" customHeight="false" outlineLevel="0" collapsed="false">
      <c r="A277" s="17" t="s">
        <v>645</v>
      </c>
      <c r="B277" s="17" t="s">
        <v>646</v>
      </c>
      <c r="C277" s="17" t="s">
        <v>87</v>
      </c>
      <c r="D277" s="17" t="s">
        <v>93</v>
      </c>
      <c r="E277" s="17" t="s">
        <v>47</v>
      </c>
      <c r="F277" s="18" t="n">
        <v>24710</v>
      </c>
      <c r="G277" s="19" t="n">
        <v>5.1</v>
      </c>
      <c r="H277" s="17" t="n">
        <f aca="false">IF(G277="","",RANK(G277,$G$5:$G$281))</f>
        <v>273</v>
      </c>
      <c r="I277" s="19" t="n">
        <v>52.8</v>
      </c>
      <c r="J277" s="17" t="n">
        <f aca="false">IF(I277="","",RANK(I277,$I$5:$I$281))</f>
        <v>119</v>
      </c>
      <c r="K277" s="19" t="n">
        <v>23</v>
      </c>
      <c r="L277" s="17" t="n">
        <f aca="false">IF(K277="","",RANK(K277,$K$5:$K$281))</f>
        <v>234</v>
      </c>
      <c r="M277" s="17" t="str">
        <f aca="false">IF(AND(N(G277)&gt;=N(I277),N(G277)&gt;=N(K277)),"The Pulse",IF(N(I277)&gt;=N(K277),"The Lens","The Hub"))</f>
        <v>The Lens</v>
      </c>
      <c r="N277" s="20" t="s">
        <v>74</v>
      </c>
      <c r="O277" s="17" t="s">
        <v>19</v>
      </c>
    </row>
    <row r="278" customFormat="false" ht="15" hidden="false" customHeight="false" outlineLevel="0" collapsed="false">
      <c r="A278" s="17" t="s">
        <v>647</v>
      </c>
      <c r="B278" s="17" t="s">
        <v>648</v>
      </c>
      <c r="C278" s="17" t="s">
        <v>105</v>
      </c>
      <c r="D278" s="17" t="s">
        <v>118</v>
      </c>
      <c r="E278" s="17" t="s">
        <v>45</v>
      </c>
      <c r="F278" s="18" t="n">
        <v>36980</v>
      </c>
      <c r="G278" s="19" t="n">
        <v>4.7</v>
      </c>
      <c r="H278" s="17" t="n">
        <f aca="false">IF(G278="","",RANK(G278,$G$5:$G$281))</f>
        <v>274</v>
      </c>
      <c r="I278" s="19" t="n">
        <v>19</v>
      </c>
      <c r="J278" s="17" t="n">
        <f aca="false">IF(I278="","",RANK(I278,$I$5:$I$281))</f>
        <v>244</v>
      </c>
      <c r="K278" s="19"/>
      <c r="L278" s="17" t="str">
        <f aca="false">IF(K278="","",RANK(K278,$K$5:$K$281))</f>
        <v/>
      </c>
      <c r="M278" s="17" t="str">
        <f aca="false">IF(AND(N(G278)&gt;=N(I278),N(G278)&gt;=N(K278)),"The Pulse",IF(N(I278)&gt;=N(K278),"The Lens","The Hub"))</f>
        <v>The Lens</v>
      </c>
      <c r="N278" s="21" t="s">
        <v>78</v>
      </c>
      <c r="O278" s="17" t="s">
        <v>21</v>
      </c>
    </row>
    <row r="279" customFormat="false" ht="15" hidden="false" customHeight="false" outlineLevel="0" collapsed="false">
      <c r="A279" s="17" t="s">
        <v>649</v>
      </c>
      <c r="B279" s="17" t="s">
        <v>650</v>
      </c>
      <c r="C279" s="17" t="s">
        <v>102</v>
      </c>
      <c r="D279" s="17" t="s">
        <v>170</v>
      </c>
      <c r="E279" s="17" t="s">
        <v>45</v>
      </c>
      <c r="F279" s="18" t="n">
        <v>54780</v>
      </c>
      <c r="G279" s="19" t="n">
        <v>3.2</v>
      </c>
      <c r="H279" s="17" t="n">
        <f aca="false">IF(G279="","",RANK(G279,$G$5:$G$281))</f>
        <v>275</v>
      </c>
      <c r="I279" s="19" t="n">
        <v>6.7</v>
      </c>
      <c r="J279" s="17" t="n">
        <f aca="false">IF(I279="","",RANK(I279,$I$5:$I$281))</f>
        <v>270</v>
      </c>
      <c r="K279" s="19" t="n">
        <v>14.4</v>
      </c>
      <c r="L279" s="17" t="n">
        <f aca="false">IF(K279="","",RANK(K279,$K$5:$K$281))</f>
        <v>252</v>
      </c>
      <c r="M279" s="17" t="str">
        <f aca="false">IF(AND(N(G279)&gt;=N(I279),N(G279)&gt;=N(K279)),"The Pulse",IF(N(I279)&gt;=N(K279),"The Lens","The Hub"))</f>
        <v>The Hub</v>
      </c>
      <c r="N279" s="22" t="s">
        <v>83</v>
      </c>
      <c r="O279" s="17" t="s">
        <v>84</v>
      </c>
    </row>
    <row r="280" customFormat="false" ht="15" hidden="false" customHeight="false" outlineLevel="0" collapsed="false">
      <c r="A280" s="17" t="s">
        <v>651</v>
      </c>
      <c r="B280" s="17" t="s">
        <v>652</v>
      </c>
      <c r="C280" s="17" t="s">
        <v>72</v>
      </c>
      <c r="D280" s="17" t="s">
        <v>99</v>
      </c>
      <c r="E280" s="17" t="s">
        <v>46</v>
      </c>
      <c r="F280" s="18" t="n">
        <v>544920</v>
      </c>
      <c r="G280" s="19" t="n">
        <v>3</v>
      </c>
      <c r="H280" s="17" t="n">
        <f aca="false">IF(G280="","",RANK(G280,$G$5:$G$281))</f>
        <v>276</v>
      </c>
      <c r="I280" s="19" t="n">
        <v>12.6</v>
      </c>
      <c r="J280" s="17" t="n">
        <f aca="false">IF(I280="","",RANK(I280,$I$5:$I$281))</f>
        <v>257</v>
      </c>
      <c r="K280" s="19" t="n">
        <v>56.5</v>
      </c>
      <c r="L280" s="17" t="n">
        <f aca="false">IF(K280="","",RANK(K280,$K$5:$K$281))</f>
        <v>102</v>
      </c>
      <c r="M280" s="17" t="str">
        <f aca="false">IF(AND(N(G280)&gt;=N(I280),N(G280)&gt;=N(K280)),"The Pulse",IF(N(I280)&gt;=N(K280),"The Lens","The Hub"))</f>
        <v>The Hub</v>
      </c>
      <c r="N280" s="21" t="s">
        <v>78</v>
      </c>
      <c r="O280" s="17" t="s">
        <v>21</v>
      </c>
    </row>
    <row r="281" customFormat="false" ht="15" hidden="false" customHeight="false" outlineLevel="0" collapsed="false">
      <c r="A281" s="17" t="s">
        <v>653</v>
      </c>
      <c r="B281" s="17" t="s">
        <v>654</v>
      </c>
      <c r="C281" s="17" t="s">
        <v>138</v>
      </c>
      <c r="D281" s="17" t="s">
        <v>99</v>
      </c>
      <c r="E281" s="17" t="s">
        <v>47</v>
      </c>
      <c r="F281" s="18" t="n">
        <v>389089</v>
      </c>
      <c r="G281" s="19" t="n">
        <v>0.6</v>
      </c>
      <c r="H281" s="17" t="n">
        <f aca="false">IF(G281="","",RANK(G281,$G$5:$G$281))</f>
        <v>277</v>
      </c>
      <c r="I281" s="19" t="n">
        <v>13.9</v>
      </c>
      <c r="J281" s="17" t="n">
        <f aca="false">IF(I281="","",RANK(I281,$I$5:$I$281))</f>
        <v>255</v>
      </c>
      <c r="K281" s="19" t="n">
        <v>6.1</v>
      </c>
      <c r="L281" s="17" t="n">
        <f aca="false">IF(K281="","",RANK(K281,$K$5:$K$281))</f>
        <v>269</v>
      </c>
      <c r="M281" s="17" t="str">
        <f aca="false">IF(AND(N(G281)&gt;=N(I281),N(G281)&gt;=N(K281)),"The Pulse",IF(N(I281)&gt;=N(K281),"The Lens","The Hub"))</f>
        <v>The Lens</v>
      </c>
      <c r="N281" s="20" t="s">
        <v>74</v>
      </c>
      <c r="O281" s="17" t="s">
        <v>19</v>
      </c>
    </row>
  </sheetData>
  <autoFilter ref="A4:O281"/>
  <conditionalFormatting sqref="G5:G281">
    <cfRule type="colorScale" priority="2">
      <colorScale>
        <cfvo type="num" val="0"/>
        <cfvo type="num" val="100"/>
        <color rgb="FFFFFFFF"/>
        <color rgb="FFF97316"/>
      </colorScale>
    </cfRule>
  </conditionalFormatting>
  <conditionalFormatting sqref="I5:I281">
    <cfRule type="colorScale" priority="3">
      <colorScale>
        <cfvo type="num" val="0"/>
        <cfvo type="num" val="100"/>
        <color rgb="FFFFFFFF"/>
        <color rgb="FFF97316"/>
      </colorScale>
    </cfRule>
  </conditionalFormatting>
  <conditionalFormatting sqref="K5:K281">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655</v>
      </c>
      <c r="B1" s="2"/>
      <c r="C1" s="2"/>
      <c r="D1" s="2"/>
      <c r="E1" s="2"/>
      <c r="F1" s="2"/>
      <c r="G1" s="2"/>
      <c r="H1" s="2"/>
      <c r="I1" s="2"/>
      <c r="J1" s="2"/>
      <c r="K1" s="2"/>
      <c r="L1" s="2"/>
      <c r="M1" s="2"/>
      <c r="N1" s="2"/>
      <c r="O1" s="2"/>
      <c r="P1" s="2"/>
      <c r="Q1" s="2"/>
      <c r="R1" s="2"/>
      <c r="S1" s="2"/>
    </row>
    <row r="2" customFormat="false" ht="15" hidden="false" customHeight="false" outlineLevel="0" collapsed="false">
      <c r="A2" s="3" t="s">
        <v>656</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657</v>
      </c>
      <c r="D4" s="8" t="s">
        <v>57</v>
      </c>
      <c r="E4" s="8" t="s">
        <v>658</v>
      </c>
      <c r="F4" s="8" t="s">
        <v>659</v>
      </c>
      <c r="G4" s="10" t="s">
        <v>660</v>
      </c>
      <c r="H4" s="10" t="s">
        <v>61</v>
      </c>
      <c r="I4" s="10" t="s">
        <v>62</v>
      </c>
      <c r="J4" s="10" t="s">
        <v>661</v>
      </c>
      <c r="K4" s="10" t="s">
        <v>63</v>
      </c>
      <c r="L4" s="10" t="s">
        <v>64</v>
      </c>
      <c r="M4" s="10" t="s">
        <v>662</v>
      </c>
      <c r="N4" s="10" t="s">
        <v>65</v>
      </c>
      <c r="O4" s="10" t="s">
        <v>66</v>
      </c>
      <c r="P4" s="8" t="s">
        <v>67</v>
      </c>
      <c r="Q4" s="8" t="s">
        <v>68</v>
      </c>
      <c r="R4" s="8" t="s">
        <v>663</v>
      </c>
      <c r="S4" s="8" t="s">
        <v>69</v>
      </c>
    </row>
    <row r="5" customFormat="false" ht="15" hidden="false" customHeight="false" outlineLevel="0" collapsed="false">
      <c r="A5" s="17" t="s">
        <v>664</v>
      </c>
      <c r="B5" s="17" t="s">
        <v>665</v>
      </c>
      <c r="C5" s="17" t="s">
        <v>666</v>
      </c>
      <c r="D5" s="17" t="s">
        <v>87</v>
      </c>
      <c r="E5" s="18" t="n">
        <v>35764</v>
      </c>
      <c r="F5" s="17" t="s">
        <v>667</v>
      </c>
      <c r="G5" s="23" t="n">
        <v>10.6433844089028</v>
      </c>
      <c r="H5" s="19" t="n">
        <v>100</v>
      </c>
      <c r="I5" s="17" t="n">
        <f aca="false">IF(H5="","",RANK(H5,$H$5:$H$363))</f>
        <v>1</v>
      </c>
      <c r="J5" s="24" t="n">
        <v>0.0604595997034841</v>
      </c>
      <c r="K5" s="19" t="n">
        <v>32.1</v>
      </c>
      <c r="L5" s="17" t="n">
        <f aca="false">IF(K5="","",RANK(K5,$K$5:$K$363))</f>
        <v>242</v>
      </c>
      <c r="M5" s="25" t="n">
        <v>0.16833103764922</v>
      </c>
      <c r="N5" s="19" t="n">
        <v>60.8</v>
      </c>
      <c r="O5" s="17" t="n">
        <f aca="false">IF(N5="","",RANK(N5,$N$5:$N$363))</f>
        <v>127</v>
      </c>
      <c r="P5" s="17" t="str">
        <f aca="false">IF(AND(N(H5)&gt;=N(K5),N(H5)&gt;=N(N5)),"The Pulse",IF(N(K5)&gt;=N(N5),"The Lens","The Hub"))</f>
        <v>The Pulse</v>
      </c>
      <c r="Q5" s="20" t="s">
        <v>74</v>
      </c>
      <c r="R5" s="26" t="s">
        <v>668</v>
      </c>
      <c r="S5" s="17" t="s">
        <v>19</v>
      </c>
    </row>
    <row r="6" customFormat="false" ht="15" hidden="false" customHeight="false" outlineLevel="0" collapsed="false">
      <c r="A6" s="17" t="s">
        <v>202</v>
      </c>
      <c r="B6" s="17" t="s">
        <v>203</v>
      </c>
      <c r="C6" s="17" t="s">
        <v>669</v>
      </c>
      <c r="D6" s="17" t="s">
        <v>92</v>
      </c>
      <c r="E6" s="18" t="n">
        <v>231600</v>
      </c>
      <c r="F6" s="17" t="s">
        <v>670</v>
      </c>
      <c r="G6" s="23" t="n">
        <v>4.58225388601036</v>
      </c>
      <c r="H6" s="19" t="n">
        <v>99.4</v>
      </c>
      <c r="I6" s="17" t="n">
        <f aca="false">IF(H6="","",RANK(H6,$H$5:$H$363))</f>
        <v>2</v>
      </c>
      <c r="J6" s="24" t="n">
        <v>0.216041668854422</v>
      </c>
      <c r="K6" s="19" t="n">
        <v>96.4</v>
      </c>
      <c r="L6" s="17" t="n">
        <f aca="false">IF(K6="","",RANK(K6,$K$5:$K$363))</f>
        <v>14</v>
      </c>
      <c r="M6" s="25" t="n">
        <v>0.0375543208008129</v>
      </c>
      <c r="N6" s="19" t="n">
        <v>8.6</v>
      </c>
      <c r="O6" s="17" t="n">
        <f aca="false">IF(N6="","",RANK(N6,$N$5:$N$363))</f>
        <v>294</v>
      </c>
      <c r="P6" s="17" t="str">
        <f aca="false">IF(AND(N(H6)&gt;=N(K6),N(H6)&gt;=N(N6)),"The Pulse",IF(N(K6)&gt;=N(N6),"The Lens","The Hub"))</f>
        <v>The Pulse</v>
      </c>
      <c r="Q6" s="20" t="s">
        <v>74</v>
      </c>
      <c r="R6" s="27" t="s">
        <v>671</v>
      </c>
      <c r="S6" s="17" t="s">
        <v>19</v>
      </c>
    </row>
    <row r="7" customFormat="false" ht="15" hidden="false" customHeight="false" outlineLevel="0" collapsed="false">
      <c r="A7" s="17" t="s">
        <v>672</v>
      </c>
      <c r="B7" s="17" t="s">
        <v>673</v>
      </c>
      <c r="C7" s="17" t="s">
        <v>674</v>
      </c>
      <c r="D7" s="17" t="s">
        <v>105</v>
      </c>
      <c r="E7" s="18" t="n">
        <v>20920</v>
      </c>
      <c r="F7" s="17" t="s">
        <v>667</v>
      </c>
      <c r="G7" s="23" t="n">
        <v>3.63360420650096</v>
      </c>
      <c r="H7" s="19" t="n">
        <v>99.1</v>
      </c>
      <c r="I7" s="17" t="n">
        <f aca="false">IF(H7="","",RANK(H7,$H$5:$H$363))</f>
        <v>3</v>
      </c>
      <c r="J7" s="24" t="n">
        <v>0.151348376444689</v>
      </c>
      <c r="K7" s="19" t="n">
        <v>77.8</v>
      </c>
      <c r="L7" s="17" t="n">
        <f aca="false">IF(K7="","",RANK(K7,$K$5:$K$363))</f>
        <v>82</v>
      </c>
      <c r="M7" s="25" t="n">
        <v>0.0326057298772169</v>
      </c>
      <c r="N7" s="19" t="n">
        <v>6.4</v>
      </c>
      <c r="O7" s="17" t="n">
        <f aca="false">IF(N7="","",RANK(N7,$N$5:$N$363))</f>
        <v>301</v>
      </c>
      <c r="P7" s="17" t="str">
        <f aca="false">IF(AND(N(H7)&gt;=N(K7),N(H7)&gt;=N(N7)),"The Pulse",IF(N(K7)&gt;=N(N7),"The Lens","The Hub"))</f>
        <v>The Pulse</v>
      </c>
      <c r="Q7" s="20" t="s">
        <v>74</v>
      </c>
      <c r="R7" s="26" t="s">
        <v>668</v>
      </c>
      <c r="S7" s="17" t="s">
        <v>19</v>
      </c>
    </row>
    <row r="8" customFormat="false" ht="15" hidden="false" customHeight="false" outlineLevel="0" collapsed="false">
      <c r="A8" s="17" t="s">
        <v>675</v>
      </c>
      <c r="B8" s="17" t="s">
        <v>676</v>
      </c>
      <c r="C8" s="17" t="s">
        <v>677</v>
      </c>
      <c r="D8" s="17" t="s">
        <v>72</v>
      </c>
      <c r="E8" s="18" t="n">
        <v>8081</v>
      </c>
      <c r="F8" s="17" t="s">
        <v>678</v>
      </c>
      <c r="G8" s="23" t="n">
        <v>3.34772924143052</v>
      </c>
      <c r="H8" s="19" t="n">
        <v>98.9</v>
      </c>
      <c r="I8" s="17" t="n">
        <f aca="false">IF(H8="","",RANK(H8,$H$5:$H$363))</f>
        <v>4</v>
      </c>
      <c r="J8" s="24" t="n">
        <v>0.0570307390451275</v>
      </c>
      <c r="K8" s="19" t="n">
        <v>31.5</v>
      </c>
      <c r="L8" s="17" t="n">
        <f aca="false">IF(K8="","",RANK(K8,$K$5:$K$363))</f>
        <v>245</v>
      </c>
      <c r="M8" s="25" t="n">
        <v>0.0599475458973398</v>
      </c>
      <c r="N8" s="19" t="n">
        <v>17.4</v>
      </c>
      <c r="O8" s="17" t="n">
        <f aca="false">IF(N8="","",RANK(N8,$N$5:$N$363))</f>
        <v>268</v>
      </c>
      <c r="P8" s="17" t="str">
        <f aca="false">IF(AND(N(H8)&gt;=N(K8),N(H8)&gt;=N(N8)),"The Pulse",IF(N(K8)&gt;=N(N8),"The Lens","The Hub"))</f>
        <v>The Pulse</v>
      </c>
      <c r="Q8" s="20" t="s">
        <v>74</v>
      </c>
      <c r="R8" s="26" t="s">
        <v>668</v>
      </c>
      <c r="S8" s="17" t="s">
        <v>19</v>
      </c>
    </row>
    <row r="9" customFormat="false" ht="15" hidden="false" customHeight="false" outlineLevel="0" collapsed="false">
      <c r="A9" s="17" t="s">
        <v>79</v>
      </c>
      <c r="B9" s="17" t="s">
        <v>80</v>
      </c>
      <c r="C9" s="17" t="s">
        <v>679</v>
      </c>
      <c r="D9" s="17" t="s">
        <v>81</v>
      </c>
      <c r="E9" s="18" t="n">
        <v>2370</v>
      </c>
      <c r="F9" s="17" t="s">
        <v>678</v>
      </c>
      <c r="G9" s="23" t="n">
        <v>3.28691983122363</v>
      </c>
      <c r="H9" s="19" t="n">
        <v>98.7</v>
      </c>
      <c r="I9" s="17" t="n">
        <f aca="false">IF(H9="","",RANK(H9,$H$5:$H$363))</f>
        <v>5</v>
      </c>
      <c r="J9" s="24" t="n">
        <v>-0.00525464834276475</v>
      </c>
      <c r="K9" s="19" t="n">
        <v>9.3</v>
      </c>
      <c r="L9" s="17" t="n">
        <f aca="false">IF(K9="","",RANK(K9,$K$5:$K$363))</f>
        <v>326</v>
      </c>
      <c r="M9" s="28" t="s">
        <v>680</v>
      </c>
      <c r="N9" s="19"/>
      <c r="O9" s="17" t="str">
        <f aca="false">IF(N9="","",RANK(N9,$N$5:$N$363))</f>
        <v/>
      </c>
      <c r="P9" s="17" t="str">
        <f aca="false">IF(AND(N(H9)&gt;=N(K9),N(H9)&gt;=N(N9)),"The Pulse",IF(N(K9)&gt;=N(N9),"The Lens","The Hub"))</f>
        <v>The Pulse</v>
      </c>
      <c r="Q9" s="22" t="s">
        <v>83</v>
      </c>
      <c r="R9" s="27" t="s">
        <v>671</v>
      </c>
      <c r="S9" s="17" t="s">
        <v>84</v>
      </c>
    </row>
    <row r="10" customFormat="false" ht="15" hidden="false" customHeight="false" outlineLevel="0" collapsed="false">
      <c r="A10" s="17" t="s">
        <v>85</v>
      </c>
      <c r="B10" s="17" t="s">
        <v>86</v>
      </c>
      <c r="C10" s="17" t="s">
        <v>681</v>
      </c>
      <c r="D10" s="17" t="s">
        <v>87</v>
      </c>
      <c r="E10" s="18" t="n">
        <v>89664</v>
      </c>
      <c r="F10" s="17" t="s">
        <v>667</v>
      </c>
      <c r="G10" s="23" t="n">
        <v>3.06909127408994</v>
      </c>
      <c r="H10" s="19" t="n">
        <v>98.5</v>
      </c>
      <c r="I10" s="17" t="n">
        <f aca="false">IF(H10="","",RANK(H10,$H$5:$H$363))</f>
        <v>6</v>
      </c>
      <c r="J10" s="24" t="n">
        <v>0.0850739405087494</v>
      </c>
      <c r="K10" s="19" t="n">
        <v>49.2</v>
      </c>
      <c r="L10" s="17" t="n">
        <f aca="false">IF(K10="","",RANK(K10,$K$5:$K$363))</f>
        <v>181</v>
      </c>
      <c r="M10" s="25" t="n">
        <v>0.0363281461801225</v>
      </c>
      <c r="N10" s="19" t="n">
        <v>8</v>
      </c>
      <c r="O10" s="17" t="n">
        <f aca="false">IF(N10="","",RANK(N10,$N$5:$N$363))</f>
        <v>296</v>
      </c>
      <c r="P10" s="17" t="str">
        <f aca="false">IF(AND(N(H10)&gt;=N(K10),N(H10)&gt;=N(N10)),"The Pulse",IF(N(K10)&gt;=N(N10),"The Lens","The Hub"))</f>
        <v>The Pulse</v>
      </c>
      <c r="Q10" s="22" t="s">
        <v>83</v>
      </c>
      <c r="R10" s="27" t="s">
        <v>671</v>
      </c>
      <c r="S10" s="17" t="s">
        <v>84</v>
      </c>
    </row>
    <row r="11" customFormat="false" ht="15" hidden="false" customHeight="false" outlineLevel="0" collapsed="false">
      <c r="A11" s="17" t="s">
        <v>682</v>
      </c>
      <c r="B11" s="17" t="s">
        <v>683</v>
      </c>
      <c r="C11" s="17" t="s">
        <v>684</v>
      </c>
      <c r="D11" s="17" t="s">
        <v>92</v>
      </c>
      <c r="E11" s="18" t="n">
        <v>9870</v>
      </c>
      <c r="F11" s="17" t="s">
        <v>678</v>
      </c>
      <c r="G11" s="23" t="n">
        <v>2.92046605876393</v>
      </c>
      <c r="H11" s="19" t="n">
        <v>98.3</v>
      </c>
      <c r="I11" s="17" t="n">
        <f aca="false">IF(H11="","",RANK(H11,$H$5:$H$363))</f>
        <v>7</v>
      </c>
      <c r="J11" s="24" t="n">
        <v>0.0751633986928105</v>
      </c>
      <c r="K11" s="19" t="n">
        <v>44.4</v>
      </c>
      <c r="L11" s="17" t="n">
        <f aca="false">IF(K11="","",RANK(K11,$K$5:$K$363))</f>
        <v>198</v>
      </c>
      <c r="M11" s="25" t="n">
        <v>0.344</v>
      </c>
      <c r="N11" s="19" t="n">
        <v>95.6</v>
      </c>
      <c r="O11" s="17" t="n">
        <f aca="false">IF(N11="","",RANK(N11,$N$5:$N$363))</f>
        <v>15</v>
      </c>
      <c r="P11" s="17" t="str">
        <f aca="false">IF(AND(N(H11)&gt;=N(K11),N(H11)&gt;=N(N11)),"The Pulse",IF(N(K11)&gt;=N(N11),"The Lens","The Hub"))</f>
        <v>The Pulse</v>
      </c>
      <c r="Q11" s="21" t="s">
        <v>78</v>
      </c>
      <c r="R11" s="26" t="s">
        <v>668</v>
      </c>
      <c r="S11" s="17" t="s">
        <v>21</v>
      </c>
    </row>
    <row r="12" customFormat="false" ht="15" hidden="false" customHeight="false" outlineLevel="0" collapsed="false">
      <c r="A12" s="17" t="s">
        <v>160</v>
      </c>
      <c r="B12" s="17" t="s">
        <v>161</v>
      </c>
      <c r="C12" s="17" t="s">
        <v>685</v>
      </c>
      <c r="D12" s="17" t="s">
        <v>77</v>
      </c>
      <c r="E12" s="18" t="n">
        <v>120643</v>
      </c>
      <c r="F12" s="17" t="s">
        <v>670</v>
      </c>
      <c r="G12" s="23" t="n">
        <v>2.90517477184752</v>
      </c>
      <c r="H12" s="19" t="n">
        <v>98.1</v>
      </c>
      <c r="I12" s="17" t="n">
        <f aca="false">IF(H12="","",RANK(H12,$H$5:$H$363))</f>
        <v>8</v>
      </c>
      <c r="J12" s="24" t="n">
        <v>0.155484680439426</v>
      </c>
      <c r="K12" s="19" t="n">
        <v>81.9</v>
      </c>
      <c r="L12" s="17" t="n">
        <f aca="false">IF(K12="","",RANK(K12,$K$5:$K$363))</f>
        <v>67</v>
      </c>
      <c r="M12" s="25" t="n">
        <v>0.0778244527968163</v>
      </c>
      <c r="N12" s="19" t="n">
        <v>24.9</v>
      </c>
      <c r="O12" s="17" t="n">
        <f aca="false">IF(N12="","",RANK(N12,$N$5:$N$363))</f>
        <v>245</v>
      </c>
      <c r="P12" s="17" t="str">
        <f aca="false">IF(AND(N(H12)&gt;=N(K12),N(H12)&gt;=N(N12)),"The Pulse",IF(N(K12)&gt;=N(N12),"The Lens","The Hub"))</f>
        <v>The Pulse</v>
      </c>
      <c r="Q12" s="20" t="s">
        <v>74</v>
      </c>
      <c r="R12" s="27" t="s">
        <v>671</v>
      </c>
      <c r="S12" s="17" t="s">
        <v>19</v>
      </c>
    </row>
    <row r="13" customFormat="false" ht="15" hidden="false" customHeight="false" outlineLevel="0" collapsed="false">
      <c r="A13" s="17" t="s">
        <v>415</v>
      </c>
      <c r="B13" s="17" t="s">
        <v>416</v>
      </c>
      <c r="C13" s="17" t="s">
        <v>686</v>
      </c>
      <c r="D13" s="17" t="s">
        <v>77</v>
      </c>
      <c r="E13" s="18" t="n">
        <v>26167</v>
      </c>
      <c r="F13" s="17" t="s">
        <v>667</v>
      </c>
      <c r="G13" s="23" t="n">
        <v>2.7627546145909</v>
      </c>
      <c r="H13" s="19" t="n">
        <v>97.6</v>
      </c>
      <c r="I13" s="17" t="n">
        <f aca="false">IF(H13="","",RANK(H13,$H$5:$H$363))</f>
        <v>9</v>
      </c>
      <c r="J13" s="24" t="n">
        <v>0.143662587412587</v>
      </c>
      <c r="K13" s="19" t="n">
        <v>75</v>
      </c>
      <c r="L13" s="17" t="n">
        <f aca="false">IF(K13="","",RANK(K13,$K$5:$K$363))</f>
        <v>94</v>
      </c>
      <c r="M13" s="25" t="n">
        <v>0.211996336996337</v>
      </c>
      <c r="N13" s="19" t="n">
        <v>74.6</v>
      </c>
      <c r="O13" s="17" t="n">
        <f aca="false">IF(N13="","",RANK(N13,$N$5:$N$363))</f>
        <v>81</v>
      </c>
      <c r="P13" s="17" t="str">
        <f aca="false">IF(AND(N(H13)&gt;=N(K13),N(H13)&gt;=N(N13)),"The Pulse",IF(N(K13)&gt;=N(N13),"The Lens","The Hub"))</f>
        <v>The Pulse</v>
      </c>
      <c r="Q13" s="20" t="s">
        <v>74</v>
      </c>
      <c r="R13" s="27" t="s">
        <v>671</v>
      </c>
      <c r="S13" s="17" t="s">
        <v>19</v>
      </c>
    </row>
    <row r="14" customFormat="false" ht="15" hidden="false" customHeight="false" outlineLevel="0" collapsed="false">
      <c r="A14" s="17" t="s">
        <v>333</v>
      </c>
      <c r="B14" s="17" t="s">
        <v>334</v>
      </c>
      <c r="C14" s="17" t="s">
        <v>687</v>
      </c>
      <c r="D14" s="17" t="s">
        <v>87</v>
      </c>
      <c r="E14" s="18" t="n">
        <v>41042</v>
      </c>
      <c r="F14" s="17" t="s">
        <v>667</v>
      </c>
      <c r="G14" s="23" t="n">
        <v>2.70720237805175</v>
      </c>
      <c r="H14" s="19" t="n">
        <v>97.4</v>
      </c>
      <c r="I14" s="17" t="n">
        <f aca="false">IF(H14="","",RANK(H14,$H$5:$H$363))</f>
        <v>10</v>
      </c>
      <c r="J14" s="24" t="n">
        <v>0.0357341139655782</v>
      </c>
      <c r="K14" s="19" t="n">
        <v>20.6</v>
      </c>
      <c r="L14" s="17" t="n">
        <f aca="false">IF(K14="","",RANK(K14,$K$5:$K$363))</f>
        <v>285</v>
      </c>
      <c r="M14" s="25" t="n">
        <v>0.305342315525615</v>
      </c>
      <c r="N14" s="19" t="n">
        <v>91.7</v>
      </c>
      <c r="O14" s="17" t="n">
        <f aca="false">IF(N14="","",RANK(N14,$N$5:$N$363))</f>
        <v>28</v>
      </c>
      <c r="P14" s="17" t="str">
        <f aca="false">IF(AND(N(H14)&gt;=N(K14),N(H14)&gt;=N(N14)),"The Pulse",IF(N(K14)&gt;=N(N14),"The Lens","The Hub"))</f>
        <v>The Pulse</v>
      </c>
      <c r="Q14" s="20" t="s">
        <v>74</v>
      </c>
      <c r="R14" s="27" t="s">
        <v>671</v>
      </c>
      <c r="S14" s="17" t="s">
        <v>19</v>
      </c>
    </row>
    <row r="15" customFormat="false" ht="15" hidden="false" customHeight="false" outlineLevel="0" collapsed="false">
      <c r="A15" s="17" t="s">
        <v>688</v>
      </c>
      <c r="B15" s="17" t="s">
        <v>689</v>
      </c>
      <c r="C15" s="17" t="s">
        <v>690</v>
      </c>
      <c r="D15" s="17" t="s">
        <v>92</v>
      </c>
      <c r="E15" s="18" t="n">
        <v>15831</v>
      </c>
      <c r="F15" s="17" t="s">
        <v>667</v>
      </c>
      <c r="G15" s="23" t="n">
        <v>2.69919777651443</v>
      </c>
      <c r="H15" s="19" t="n">
        <v>97.2</v>
      </c>
      <c r="I15" s="17" t="n">
        <f aca="false">IF(H15="","",RANK(H15,$H$5:$H$363))</f>
        <v>11</v>
      </c>
      <c r="J15" s="24" t="n">
        <v>0.0911910669975186</v>
      </c>
      <c r="K15" s="19" t="n">
        <v>51.2</v>
      </c>
      <c r="L15" s="17" t="n">
        <f aca="false">IF(K15="","",RANK(K15,$K$5:$K$363))</f>
        <v>173</v>
      </c>
      <c r="M15" s="25" t="n">
        <v>0.229166666666667</v>
      </c>
      <c r="N15" s="19" t="n">
        <v>77.9</v>
      </c>
      <c r="O15" s="17" t="n">
        <f aca="false">IF(N15="","",RANK(N15,$N$5:$N$363))</f>
        <v>70</v>
      </c>
      <c r="P15" s="17" t="str">
        <f aca="false">IF(AND(N(H15)&gt;=N(K15),N(H15)&gt;=N(N15)),"The Pulse",IF(N(K15)&gt;=N(N15),"The Lens","The Hub"))</f>
        <v>The Pulse</v>
      </c>
      <c r="Q15" s="20" t="s">
        <v>74</v>
      </c>
      <c r="R15" s="26" t="s">
        <v>668</v>
      </c>
      <c r="S15" s="17" t="s">
        <v>19</v>
      </c>
    </row>
    <row r="16" customFormat="false" ht="15" hidden="false" customHeight="false" outlineLevel="0" collapsed="false">
      <c r="A16" s="17" t="s">
        <v>97</v>
      </c>
      <c r="B16" s="17" t="s">
        <v>98</v>
      </c>
      <c r="C16" s="17" t="s">
        <v>691</v>
      </c>
      <c r="D16" s="17" t="s">
        <v>77</v>
      </c>
      <c r="E16" s="18" t="n">
        <v>6147</v>
      </c>
      <c r="F16" s="17" t="s">
        <v>678</v>
      </c>
      <c r="G16" s="23" t="n">
        <v>2.55018708312998</v>
      </c>
      <c r="H16" s="19" t="n">
        <v>97</v>
      </c>
      <c r="I16" s="17" t="n">
        <f aca="false">IF(H16="","",RANK(H16,$H$5:$H$363))</f>
        <v>12</v>
      </c>
      <c r="J16" s="24" t="n">
        <v>0.00539744847890088</v>
      </c>
      <c r="K16" s="19" t="n">
        <v>11.1</v>
      </c>
      <c r="L16" s="17" t="n">
        <f aca="false">IF(K16="","",RANK(K16,$K$5:$K$363))</f>
        <v>317</v>
      </c>
      <c r="M16" s="25" t="n">
        <v>0.328149300155521</v>
      </c>
      <c r="N16" s="19" t="n">
        <v>93.6</v>
      </c>
      <c r="O16" s="17" t="n">
        <f aca="false">IF(N16="","",RANK(N16,$N$5:$N$363))</f>
        <v>21</v>
      </c>
      <c r="P16" s="17" t="str">
        <f aca="false">IF(AND(N(H16)&gt;=N(K16),N(H16)&gt;=N(N16)),"The Pulse",IF(N(K16)&gt;=N(N16),"The Lens","The Hub"))</f>
        <v>The Pulse</v>
      </c>
      <c r="Q16" s="20" t="s">
        <v>74</v>
      </c>
      <c r="R16" s="27" t="s">
        <v>671</v>
      </c>
      <c r="S16" s="17" t="s">
        <v>19</v>
      </c>
    </row>
    <row r="17" customFormat="false" ht="15" hidden="false" customHeight="false" outlineLevel="0" collapsed="false">
      <c r="A17" s="17" t="s">
        <v>100</v>
      </c>
      <c r="B17" s="17" t="s">
        <v>101</v>
      </c>
      <c r="C17" s="17" t="s">
        <v>692</v>
      </c>
      <c r="D17" s="17" t="s">
        <v>102</v>
      </c>
      <c r="E17" s="18" t="n">
        <v>60689</v>
      </c>
      <c r="F17" s="17" t="s">
        <v>667</v>
      </c>
      <c r="G17" s="23" t="n">
        <v>2.46077542882565</v>
      </c>
      <c r="H17" s="19" t="n">
        <v>96.6</v>
      </c>
      <c r="I17" s="17" t="n">
        <f aca="false">IF(H17="","",RANK(H17,$H$5:$H$363))</f>
        <v>13</v>
      </c>
      <c r="J17" s="24" t="n">
        <v>0.144751485428652</v>
      </c>
      <c r="K17" s="19" t="n">
        <v>75.4</v>
      </c>
      <c r="L17" s="17" t="n">
        <f aca="false">IF(K17="","",RANK(K17,$K$5:$K$363))</f>
        <v>92</v>
      </c>
      <c r="M17" s="25" t="n">
        <v>0.156148272603171</v>
      </c>
      <c r="N17" s="19" t="n">
        <v>58.3</v>
      </c>
      <c r="O17" s="17" t="n">
        <f aca="false">IF(N17="","",RANK(N17,$N$5:$N$363))</f>
        <v>135</v>
      </c>
      <c r="P17" s="17" t="str">
        <f aca="false">IF(AND(N(H17)&gt;=N(K17),N(H17)&gt;=N(N17)),"The Pulse",IF(N(K17)&gt;=N(N17),"The Lens","The Hub"))</f>
        <v>The Pulse</v>
      </c>
      <c r="Q17" s="20" t="s">
        <v>74</v>
      </c>
      <c r="R17" s="27" t="s">
        <v>671</v>
      </c>
      <c r="S17" s="17" t="s">
        <v>19</v>
      </c>
    </row>
    <row r="18" customFormat="false" ht="15" hidden="false" customHeight="false" outlineLevel="0" collapsed="false">
      <c r="A18" s="17" t="s">
        <v>693</v>
      </c>
      <c r="B18" s="17" t="s">
        <v>694</v>
      </c>
      <c r="C18" s="17" t="s">
        <v>695</v>
      </c>
      <c r="D18" s="17" t="s">
        <v>102</v>
      </c>
      <c r="E18" s="18" t="n">
        <v>11790</v>
      </c>
      <c r="F18" s="17" t="s">
        <v>667</v>
      </c>
      <c r="G18" s="23" t="n">
        <v>2.43070398642918</v>
      </c>
      <c r="H18" s="19" t="n">
        <v>96.4</v>
      </c>
      <c r="I18" s="17" t="n">
        <f aca="false">IF(H18="","",RANK(H18,$H$5:$H$363))</f>
        <v>14</v>
      </c>
      <c r="J18" s="24" t="n">
        <v>0.0886426592797784</v>
      </c>
      <c r="K18" s="19" t="n">
        <v>50.4</v>
      </c>
      <c r="L18" s="17" t="n">
        <f aca="false">IF(K18="","",RANK(K18,$K$5:$K$363))</f>
        <v>176</v>
      </c>
      <c r="M18" s="25" t="n">
        <v>0.146191646191646</v>
      </c>
      <c r="N18" s="19" t="n">
        <v>54.4</v>
      </c>
      <c r="O18" s="17" t="n">
        <f aca="false">IF(N18="","",RANK(N18,$N$5:$N$363))</f>
        <v>147</v>
      </c>
      <c r="P18" s="17" t="str">
        <f aca="false">IF(AND(N(H18)&gt;=N(K18),N(H18)&gt;=N(N18)),"The Pulse",IF(N(K18)&gt;=N(N18),"The Lens","The Hub"))</f>
        <v>The Pulse</v>
      </c>
      <c r="Q18" s="21" t="s">
        <v>78</v>
      </c>
      <c r="R18" s="26" t="s">
        <v>668</v>
      </c>
      <c r="S18" s="17" t="s">
        <v>21</v>
      </c>
    </row>
    <row r="19" customFormat="false" ht="15" hidden="false" customHeight="false" outlineLevel="0" collapsed="false">
      <c r="A19" s="17" t="s">
        <v>696</v>
      </c>
      <c r="B19" s="17" t="s">
        <v>697</v>
      </c>
      <c r="C19" s="17" t="s">
        <v>698</v>
      </c>
      <c r="D19" s="17" t="s">
        <v>77</v>
      </c>
      <c r="E19" s="18" t="n">
        <v>168620</v>
      </c>
      <c r="F19" s="17" t="s">
        <v>670</v>
      </c>
      <c r="G19" s="23" t="n">
        <v>2.36422132605859</v>
      </c>
      <c r="H19" s="19" t="n">
        <v>95.9</v>
      </c>
      <c r="I19" s="17" t="n">
        <f aca="false">IF(H19="","",RANK(H19,$H$5:$H$363))</f>
        <v>15</v>
      </c>
      <c r="J19" s="24" t="n">
        <v>0.0918862915236677</v>
      </c>
      <c r="K19" s="19" t="n">
        <v>56.5</v>
      </c>
      <c r="L19" s="17" t="n">
        <f aca="false">IF(K19="","",RANK(K19,$K$5:$K$363))</f>
        <v>154</v>
      </c>
      <c r="M19" s="25" t="n">
        <v>0.160862673519381</v>
      </c>
      <c r="N19" s="19" t="n">
        <v>58.6</v>
      </c>
      <c r="O19" s="17" t="n">
        <f aca="false">IF(N19="","",RANK(N19,$N$5:$N$363))</f>
        <v>134</v>
      </c>
      <c r="P19" s="17" t="str">
        <f aca="false">IF(AND(N(H19)&gt;=N(K19),N(H19)&gt;=N(N19)),"The Pulse",IF(N(K19)&gt;=N(N19),"The Lens","The Hub"))</f>
        <v>The Pulse</v>
      </c>
      <c r="Q19" s="21" t="s">
        <v>78</v>
      </c>
      <c r="R19" s="26" t="s">
        <v>668</v>
      </c>
      <c r="S19" s="17" t="s">
        <v>21</v>
      </c>
    </row>
    <row r="20" customFormat="false" ht="15" hidden="false" customHeight="false" outlineLevel="0" collapsed="false">
      <c r="A20" s="17" t="s">
        <v>699</v>
      </c>
      <c r="B20" s="17" t="s">
        <v>700</v>
      </c>
      <c r="C20" s="17" t="s">
        <v>701</v>
      </c>
      <c r="D20" s="17" t="s">
        <v>105</v>
      </c>
      <c r="E20" s="18" t="n">
        <v>343431</v>
      </c>
      <c r="F20" s="17" t="s">
        <v>670</v>
      </c>
      <c r="G20" s="23" t="n">
        <v>2.30648077779816</v>
      </c>
      <c r="H20" s="19" t="n">
        <v>95.7</v>
      </c>
      <c r="I20" s="17" t="n">
        <f aca="false">IF(H20="","",RANK(H20,$H$5:$H$363))</f>
        <v>16</v>
      </c>
      <c r="J20" s="24" t="n">
        <v>0.276486373976004</v>
      </c>
      <c r="K20" s="19" t="n">
        <v>100</v>
      </c>
      <c r="L20" s="17" t="n">
        <f aca="false">IF(K20="","",RANK(K20,$K$5:$K$363))</f>
        <v>1</v>
      </c>
      <c r="M20" s="25" t="n">
        <v>0.252726750861079</v>
      </c>
      <c r="N20" s="19" t="n">
        <v>82.3</v>
      </c>
      <c r="O20" s="17" t="n">
        <f aca="false">IF(N20="","",RANK(N20,$N$5:$N$363))</f>
        <v>57</v>
      </c>
      <c r="P20" s="17" t="str">
        <f aca="false">IF(AND(N(H20)&gt;=N(K20),N(H20)&gt;=N(N20)),"The Pulse",IF(N(K20)&gt;=N(N20),"The Lens","The Hub"))</f>
        <v>The Lens</v>
      </c>
      <c r="Q20" s="20" t="s">
        <v>74</v>
      </c>
      <c r="R20" s="26" t="s">
        <v>668</v>
      </c>
      <c r="S20" s="17" t="s">
        <v>19</v>
      </c>
    </row>
    <row r="21" customFormat="false" ht="15" hidden="false" customHeight="false" outlineLevel="0" collapsed="false">
      <c r="A21" s="17" t="s">
        <v>702</v>
      </c>
      <c r="B21" s="17" t="s">
        <v>703</v>
      </c>
      <c r="C21" s="17" t="s">
        <v>704</v>
      </c>
      <c r="D21" s="17"/>
      <c r="E21" s="18" t="n">
        <v>34968</v>
      </c>
      <c r="F21" s="17" t="s">
        <v>667</v>
      </c>
      <c r="G21" s="23" t="n">
        <v>2.29386867993594</v>
      </c>
      <c r="H21" s="19" t="n">
        <v>95.5</v>
      </c>
      <c r="I21" s="17" t="n">
        <f aca="false">IF(H21="","",RANK(H21,$H$5:$H$363))</f>
        <v>17</v>
      </c>
      <c r="J21" s="24" t="n">
        <v>0.259926497081502</v>
      </c>
      <c r="K21" s="19" t="n">
        <v>98.4</v>
      </c>
      <c r="L21" s="17" t="n">
        <f aca="false">IF(K21="","",RANK(K21,$K$5:$K$363))</f>
        <v>9</v>
      </c>
      <c r="M21" s="25" t="n">
        <v>0.191117092866756</v>
      </c>
      <c r="N21" s="19" t="n">
        <v>67.7</v>
      </c>
      <c r="O21" s="17" t="n">
        <f aca="false">IF(N21="","",RANK(N21,$N$5:$N$363))</f>
        <v>104</v>
      </c>
      <c r="P21" s="17" t="str">
        <f aca="false">IF(AND(N(H21)&gt;=N(K21),N(H21)&gt;=N(N21)),"The Pulse",IF(N(K21)&gt;=N(N21),"The Lens","The Hub"))</f>
        <v>The Lens</v>
      </c>
      <c r="Q21" s="20" t="s">
        <v>74</v>
      </c>
      <c r="R21" s="26" t="s">
        <v>668</v>
      </c>
      <c r="S21" s="17" t="s">
        <v>19</v>
      </c>
    </row>
    <row r="22" customFormat="false" ht="15" hidden="false" customHeight="false" outlineLevel="0" collapsed="false">
      <c r="A22" s="17" t="s">
        <v>353</v>
      </c>
      <c r="B22" s="17" t="s">
        <v>354</v>
      </c>
      <c r="C22" s="17" t="s">
        <v>705</v>
      </c>
      <c r="D22" s="17" t="s">
        <v>114</v>
      </c>
      <c r="E22" s="18" t="n">
        <v>36050</v>
      </c>
      <c r="F22" s="17" t="s">
        <v>667</v>
      </c>
      <c r="G22" s="23" t="n">
        <v>2.28884882108183</v>
      </c>
      <c r="H22" s="19" t="n">
        <v>95.3</v>
      </c>
      <c r="I22" s="17" t="n">
        <f aca="false">IF(H22="","",RANK(H22,$H$5:$H$363))</f>
        <v>18</v>
      </c>
      <c r="J22" s="24" t="n">
        <v>0.0314735336194564</v>
      </c>
      <c r="K22" s="19" t="n">
        <v>17.9</v>
      </c>
      <c r="L22" s="17" t="n">
        <f aca="false">IF(K22="","",RANK(K22,$K$5:$K$363))</f>
        <v>295</v>
      </c>
      <c r="M22" s="28" t="s">
        <v>680</v>
      </c>
      <c r="N22" s="19"/>
      <c r="O22" s="17" t="str">
        <f aca="false">IF(N22="","",RANK(N22,$N$5:$N$363))</f>
        <v/>
      </c>
      <c r="P22" s="17" t="str">
        <f aca="false">IF(AND(N(H22)&gt;=N(K22),N(H22)&gt;=N(N22)),"The Pulse",IF(N(K22)&gt;=N(N22),"The Lens","The Hub"))</f>
        <v>The Pulse</v>
      </c>
      <c r="Q22" s="21" t="s">
        <v>78</v>
      </c>
      <c r="R22" s="27" t="s">
        <v>671</v>
      </c>
      <c r="S22" s="17" t="s">
        <v>21</v>
      </c>
    </row>
    <row r="23" customFormat="false" ht="15" hidden="false" customHeight="false" outlineLevel="0" collapsed="false">
      <c r="A23" s="17" t="s">
        <v>706</v>
      </c>
      <c r="B23" s="17" t="s">
        <v>707</v>
      </c>
      <c r="C23" s="17" t="s">
        <v>708</v>
      </c>
      <c r="D23" s="17" t="s">
        <v>114</v>
      </c>
      <c r="E23" s="18" t="n">
        <v>267523</v>
      </c>
      <c r="F23" s="17" t="s">
        <v>670</v>
      </c>
      <c r="G23" s="23" t="n">
        <v>2.24223337806469</v>
      </c>
      <c r="H23" s="19" t="n">
        <v>95.1</v>
      </c>
      <c r="I23" s="17" t="n">
        <f aca="false">IF(H23="","",RANK(H23,$H$5:$H$363))</f>
        <v>19</v>
      </c>
      <c r="J23" s="24" t="n">
        <v>-0.113263770575484</v>
      </c>
      <c r="K23" s="19" t="n">
        <v>2.9</v>
      </c>
      <c r="L23" s="17" t="n">
        <f aca="false">IF(K23="","",RANK(K23,$K$5:$K$363))</f>
        <v>350</v>
      </c>
      <c r="M23" s="25" t="n">
        <v>0.190797699424856</v>
      </c>
      <c r="N23" s="19" t="n">
        <v>67.1</v>
      </c>
      <c r="O23" s="17" t="n">
        <f aca="false">IF(N23="","",RANK(N23,$N$5:$N$363))</f>
        <v>106</v>
      </c>
      <c r="P23" s="17" t="str">
        <f aca="false">IF(AND(N(H23)&gt;=N(K23),N(H23)&gt;=N(N23)),"The Pulse",IF(N(K23)&gt;=N(N23),"The Lens","The Hub"))</f>
        <v>The Pulse</v>
      </c>
      <c r="Q23" s="20" t="s">
        <v>74</v>
      </c>
      <c r="R23" s="26" t="s">
        <v>668</v>
      </c>
      <c r="S23" s="17" t="s">
        <v>19</v>
      </c>
    </row>
    <row r="24" customFormat="false" ht="15" hidden="false" customHeight="false" outlineLevel="0" collapsed="false">
      <c r="A24" s="17" t="s">
        <v>709</v>
      </c>
      <c r="B24" s="17" t="s">
        <v>710</v>
      </c>
      <c r="C24" s="17" t="s">
        <v>711</v>
      </c>
      <c r="D24" s="17" t="s">
        <v>102</v>
      </c>
      <c r="E24" s="18" t="n">
        <v>43170</v>
      </c>
      <c r="F24" s="17" t="s">
        <v>667</v>
      </c>
      <c r="G24" s="23" t="n">
        <v>2.18709752142692</v>
      </c>
      <c r="H24" s="19" t="n">
        <v>94.9</v>
      </c>
      <c r="I24" s="17" t="n">
        <f aca="false">IF(H24="","",RANK(H24,$H$5:$H$363))</f>
        <v>20</v>
      </c>
      <c r="J24" s="24" t="n">
        <v>0.0359971202303816</v>
      </c>
      <c r="K24" s="19" t="n">
        <v>21</v>
      </c>
      <c r="L24" s="17" t="n">
        <f aca="false">IF(K24="","",RANK(K24,$K$5:$K$363))</f>
        <v>283</v>
      </c>
      <c r="M24" s="25" t="n">
        <v>0.328417564208782</v>
      </c>
      <c r="N24" s="19" t="n">
        <v>93.9</v>
      </c>
      <c r="O24" s="17" t="n">
        <f aca="false">IF(N24="","",RANK(N24,$N$5:$N$363))</f>
        <v>20</v>
      </c>
      <c r="P24" s="17" t="str">
        <f aca="false">IF(AND(N(H24)&gt;=N(K24),N(H24)&gt;=N(N24)),"The Pulse",IF(N(K24)&gt;=N(N24),"The Lens","The Hub"))</f>
        <v>The Pulse</v>
      </c>
      <c r="Q24" s="21" t="s">
        <v>78</v>
      </c>
      <c r="R24" s="26" t="s">
        <v>668</v>
      </c>
      <c r="S24" s="17" t="s">
        <v>21</v>
      </c>
    </row>
    <row r="25" customFormat="false" ht="15" hidden="false" customHeight="false" outlineLevel="0" collapsed="false">
      <c r="A25" s="17" t="s">
        <v>315</v>
      </c>
      <c r="B25" s="17" t="s">
        <v>316</v>
      </c>
      <c r="C25" s="17" t="s">
        <v>712</v>
      </c>
      <c r="D25" s="17" t="s">
        <v>102</v>
      </c>
      <c r="E25" s="18" t="n">
        <v>28870</v>
      </c>
      <c r="F25" s="17" t="s">
        <v>667</v>
      </c>
      <c r="G25" s="23" t="n">
        <v>2.18229996536197</v>
      </c>
      <c r="H25" s="19" t="n">
        <v>94.7</v>
      </c>
      <c r="I25" s="17" t="n">
        <f aca="false">IF(H25="","",RANK(H25,$H$5:$H$363))</f>
        <v>21</v>
      </c>
      <c r="J25" s="24" t="n">
        <v>0.193961952026468</v>
      </c>
      <c r="K25" s="19" t="n">
        <v>90.9</v>
      </c>
      <c r="L25" s="17" t="n">
        <f aca="false">IF(K25="","",RANK(K25,$K$5:$K$363))</f>
        <v>34</v>
      </c>
      <c r="M25" s="25" t="n">
        <v>0.156117199731604</v>
      </c>
      <c r="N25" s="19" t="n">
        <v>58</v>
      </c>
      <c r="O25" s="17" t="n">
        <f aca="false">IF(N25="","",RANK(N25,$N$5:$N$363))</f>
        <v>136</v>
      </c>
      <c r="P25" s="17" t="str">
        <f aca="false">IF(AND(N(H25)&gt;=N(K25),N(H25)&gt;=N(N25)),"The Pulse",IF(N(K25)&gt;=N(N25),"The Lens","The Hub"))</f>
        <v>The Pulse</v>
      </c>
      <c r="Q25" s="21" t="s">
        <v>78</v>
      </c>
      <c r="R25" s="27" t="s">
        <v>671</v>
      </c>
      <c r="S25" s="17" t="s">
        <v>21</v>
      </c>
    </row>
    <row r="26" customFormat="false" ht="15" hidden="false" customHeight="false" outlineLevel="0" collapsed="false">
      <c r="A26" s="17" t="s">
        <v>713</v>
      </c>
      <c r="B26" s="17" t="s">
        <v>714</v>
      </c>
      <c r="C26" s="17" t="s">
        <v>715</v>
      </c>
      <c r="D26" s="17" t="s">
        <v>81</v>
      </c>
      <c r="E26" s="18" t="n">
        <v>870805</v>
      </c>
      <c r="F26" s="17" t="s">
        <v>670</v>
      </c>
      <c r="G26" s="23" t="n">
        <v>2.17885519720259</v>
      </c>
      <c r="H26" s="19" t="n">
        <v>94.4</v>
      </c>
      <c r="I26" s="17" t="n">
        <f aca="false">IF(H26="","",RANK(H26,$H$5:$H$363))</f>
        <v>22</v>
      </c>
      <c r="J26" s="24" t="n">
        <v>0.149160370822474</v>
      </c>
      <c r="K26" s="19" t="n">
        <v>78.3</v>
      </c>
      <c r="L26" s="17" t="n">
        <f aca="false">IF(K26="","",RANK(K26,$K$5:$K$363))</f>
        <v>80</v>
      </c>
      <c r="M26" s="25" t="n">
        <v>0.14895663414484</v>
      </c>
      <c r="N26" s="19" t="n">
        <v>54.7</v>
      </c>
      <c r="O26" s="17" t="n">
        <f aca="false">IF(N26="","",RANK(N26,$N$5:$N$363))</f>
        <v>146</v>
      </c>
      <c r="P26" s="17" t="str">
        <f aca="false">IF(AND(N(H26)&gt;=N(K26),N(H26)&gt;=N(N26)),"The Pulse",IF(N(K26)&gt;=N(N26),"The Lens","The Hub"))</f>
        <v>The Pulse</v>
      </c>
      <c r="Q26" s="20" t="s">
        <v>74</v>
      </c>
      <c r="R26" s="26" t="s">
        <v>668</v>
      </c>
      <c r="S26" s="17" t="s">
        <v>19</v>
      </c>
    </row>
    <row r="27" customFormat="false" ht="15" hidden="false" customHeight="false" outlineLevel="0" collapsed="false">
      <c r="A27" s="17" t="s">
        <v>716</v>
      </c>
      <c r="B27" s="17" t="s">
        <v>717</v>
      </c>
      <c r="C27" s="17" t="s">
        <v>718</v>
      </c>
      <c r="D27" s="17" t="s">
        <v>105</v>
      </c>
      <c r="E27" s="18" t="n">
        <v>28350</v>
      </c>
      <c r="F27" s="17" t="s">
        <v>667</v>
      </c>
      <c r="G27" s="23" t="n">
        <v>2.10126984126984</v>
      </c>
      <c r="H27" s="19" t="n">
        <v>94.2</v>
      </c>
      <c r="I27" s="17" t="n">
        <f aca="false">IF(H27="","",RANK(H27,$H$5:$H$363))</f>
        <v>23</v>
      </c>
      <c r="J27" s="24" t="n">
        <v>0.114956542258229</v>
      </c>
      <c r="K27" s="19" t="n">
        <v>60.7</v>
      </c>
      <c r="L27" s="17" t="n">
        <f aca="false">IF(K27="","",RANK(K27,$K$5:$K$363))</f>
        <v>142</v>
      </c>
      <c r="M27" s="25" t="n">
        <v>0.201818181818182</v>
      </c>
      <c r="N27" s="19" t="n">
        <v>71</v>
      </c>
      <c r="O27" s="17" t="n">
        <f aca="false">IF(N27="","",RANK(N27,$N$5:$N$363))</f>
        <v>94</v>
      </c>
      <c r="P27" s="17" t="str">
        <f aca="false">IF(AND(N(H27)&gt;=N(K27),N(H27)&gt;=N(N27)),"The Pulse",IF(N(K27)&gt;=N(N27),"The Lens","The Hub"))</f>
        <v>The Pulse</v>
      </c>
      <c r="Q27" s="21" t="s">
        <v>78</v>
      </c>
      <c r="R27" s="26" t="s">
        <v>668</v>
      </c>
      <c r="S27" s="17" t="s">
        <v>126</v>
      </c>
    </row>
    <row r="28" customFormat="false" ht="15" hidden="false" customHeight="false" outlineLevel="0" collapsed="false">
      <c r="A28" s="17" t="s">
        <v>123</v>
      </c>
      <c r="B28" s="17" t="s">
        <v>124</v>
      </c>
      <c r="C28" s="17" t="s">
        <v>719</v>
      </c>
      <c r="D28" s="17" t="s">
        <v>92</v>
      </c>
      <c r="E28" s="18" t="n">
        <v>139958</v>
      </c>
      <c r="F28" s="17" t="s">
        <v>670</v>
      </c>
      <c r="G28" s="23" t="n">
        <v>2.03941182354706</v>
      </c>
      <c r="H28" s="19" t="n">
        <v>93.8</v>
      </c>
      <c r="I28" s="17" t="n">
        <f aca="false">IF(H28="","",RANK(H28,$H$5:$H$363))</f>
        <v>24</v>
      </c>
      <c r="J28" s="24" t="n">
        <v>0.0614136205065979</v>
      </c>
      <c r="K28" s="19" t="n">
        <v>40.6</v>
      </c>
      <c r="L28" s="17" t="n">
        <f aca="false">IF(K28="","",RANK(K28,$K$5:$K$363))</f>
        <v>214</v>
      </c>
      <c r="M28" s="25" t="n">
        <v>0.081447963800905</v>
      </c>
      <c r="N28" s="19" t="n">
        <v>27.1</v>
      </c>
      <c r="O28" s="17" t="n">
        <f aca="false">IF(N28="","",RANK(N28,$N$5:$N$363))</f>
        <v>237</v>
      </c>
      <c r="P28" s="17" t="str">
        <f aca="false">IF(AND(N(H28)&gt;=N(K28),N(H28)&gt;=N(N28)),"The Pulse",IF(N(K28)&gt;=N(N28),"The Lens","The Hub"))</f>
        <v>The Pulse</v>
      </c>
      <c r="Q28" s="20" t="s">
        <v>74</v>
      </c>
      <c r="R28" s="27" t="s">
        <v>671</v>
      </c>
      <c r="S28" s="17" t="s">
        <v>19</v>
      </c>
    </row>
    <row r="29" customFormat="false" ht="15" hidden="false" customHeight="false" outlineLevel="0" collapsed="false">
      <c r="A29" s="17" t="s">
        <v>136</v>
      </c>
      <c r="B29" s="17" t="s">
        <v>137</v>
      </c>
      <c r="C29" s="17" t="s">
        <v>720</v>
      </c>
      <c r="D29" s="17" t="s">
        <v>138</v>
      </c>
      <c r="E29" s="18" t="n">
        <v>51930</v>
      </c>
      <c r="F29" s="17" t="s">
        <v>667</v>
      </c>
      <c r="G29" s="23" t="n">
        <v>1.9946081263239</v>
      </c>
      <c r="H29" s="19" t="n">
        <v>93.6</v>
      </c>
      <c r="I29" s="17" t="n">
        <f aca="false">IF(H29="","",RANK(H29,$H$5:$H$363))</f>
        <v>25</v>
      </c>
      <c r="J29" s="24" t="n">
        <v>0.0689584191025113</v>
      </c>
      <c r="K29" s="19" t="n">
        <v>36.9</v>
      </c>
      <c r="L29" s="17" t="n">
        <f aca="false">IF(K29="","",RANK(K29,$K$5:$K$363))</f>
        <v>229</v>
      </c>
      <c r="M29" s="25" t="n">
        <v>0.0479233226837061</v>
      </c>
      <c r="N29" s="19" t="n">
        <v>12.4</v>
      </c>
      <c r="O29" s="17" t="n">
        <f aca="false">IF(N29="","",RANK(N29,$N$5:$N$363))</f>
        <v>283</v>
      </c>
      <c r="P29" s="17" t="str">
        <f aca="false">IF(AND(N(H29)&gt;=N(K29),N(H29)&gt;=N(N29)),"The Pulse",IF(N(K29)&gt;=N(N29),"The Lens","The Hub"))</f>
        <v>The Pulse</v>
      </c>
      <c r="Q29" s="21" t="s">
        <v>78</v>
      </c>
      <c r="R29" s="27" t="s">
        <v>671</v>
      </c>
      <c r="S29" s="17" t="s">
        <v>21</v>
      </c>
    </row>
    <row r="30" customFormat="false" ht="15" hidden="false" customHeight="false" outlineLevel="0" collapsed="false">
      <c r="A30" s="17" t="s">
        <v>184</v>
      </c>
      <c r="B30" s="17" t="s">
        <v>185</v>
      </c>
      <c r="C30" s="17" t="s">
        <v>721</v>
      </c>
      <c r="D30" s="17" t="s">
        <v>138</v>
      </c>
      <c r="E30" s="18" t="n">
        <v>23570</v>
      </c>
      <c r="F30" s="17" t="s">
        <v>667</v>
      </c>
      <c r="G30" s="23" t="n">
        <v>1.95714891811625</v>
      </c>
      <c r="H30" s="19" t="n">
        <v>93.4</v>
      </c>
      <c r="I30" s="17" t="n">
        <f aca="false">IF(H30="","",RANK(H30,$H$5:$H$363))</f>
        <v>26</v>
      </c>
      <c r="J30" s="24" t="n">
        <v>0.128291048348492</v>
      </c>
      <c r="K30" s="19" t="n">
        <v>65.9</v>
      </c>
      <c r="L30" s="17" t="n">
        <f aca="false">IF(K30="","",RANK(K30,$K$5:$K$363))</f>
        <v>126</v>
      </c>
      <c r="M30" s="25" t="n">
        <v>0.166788055353241</v>
      </c>
      <c r="N30" s="19" t="n">
        <v>59.9</v>
      </c>
      <c r="O30" s="17" t="n">
        <f aca="false">IF(N30="","",RANK(N30,$N$5:$N$363))</f>
        <v>129</v>
      </c>
      <c r="P30" s="17" t="str">
        <f aca="false">IF(AND(N(H30)&gt;=N(K30),N(H30)&gt;=N(N30)),"The Pulse",IF(N(K30)&gt;=N(N30),"The Lens","The Hub"))</f>
        <v>The Pulse</v>
      </c>
      <c r="Q30" s="21" t="s">
        <v>78</v>
      </c>
      <c r="R30" s="27" t="s">
        <v>671</v>
      </c>
      <c r="S30" s="17" t="s">
        <v>21</v>
      </c>
    </row>
    <row r="31" customFormat="false" ht="15" hidden="false" customHeight="false" outlineLevel="0" collapsed="false">
      <c r="A31" s="17" t="s">
        <v>261</v>
      </c>
      <c r="B31" s="17" t="s">
        <v>262</v>
      </c>
      <c r="C31" s="17" t="s">
        <v>722</v>
      </c>
      <c r="D31" s="17" t="s">
        <v>81</v>
      </c>
      <c r="E31" s="18" t="n">
        <v>190880</v>
      </c>
      <c r="F31" s="17" t="s">
        <v>670</v>
      </c>
      <c r="G31" s="23" t="n">
        <v>1.95652242246438</v>
      </c>
      <c r="H31" s="19" t="n">
        <v>93.2</v>
      </c>
      <c r="I31" s="17" t="n">
        <f aca="false">IF(H31="","",RANK(H31,$H$5:$H$363))</f>
        <v>27</v>
      </c>
      <c r="J31" s="24" t="n">
        <v>0.160435284819746</v>
      </c>
      <c r="K31" s="19" t="n">
        <v>85.5</v>
      </c>
      <c r="L31" s="17" t="n">
        <f aca="false">IF(K31="","",RANK(K31,$K$5:$K$363))</f>
        <v>56</v>
      </c>
      <c r="M31" s="25" t="n">
        <v>0.077491055796605</v>
      </c>
      <c r="N31" s="19" t="n">
        <v>24.6</v>
      </c>
      <c r="O31" s="17" t="n">
        <f aca="false">IF(N31="","",RANK(N31,$N$5:$N$363))</f>
        <v>246</v>
      </c>
      <c r="P31" s="17" t="str">
        <f aca="false">IF(AND(N(H31)&gt;=N(K31),N(H31)&gt;=N(N31)),"The Pulse",IF(N(K31)&gt;=N(N31),"The Lens","The Hub"))</f>
        <v>The Pulse</v>
      </c>
      <c r="Q31" s="21" t="s">
        <v>78</v>
      </c>
      <c r="R31" s="27" t="s">
        <v>671</v>
      </c>
      <c r="S31" s="17" t="s">
        <v>21</v>
      </c>
    </row>
    <row r="32" customFormat="false" ht="15" hidden="false" customHeight="false" outlineLevel="0" collapsed="false">
      <c r="A32" s="17" t="s">
        <v>723</v>
      </c>
      <c r="B32" s="17" t="s">
        <v>724</v>
      </c>
      <c r="C32" s="17" t="s">
        <v>725</v>
      </c>
      <c r="D32" s="17" t="s">
        <v>72</v>
      </c>
      <c r="E32" s="18" t="n">
        <v>63010</v>
      </c>
      <c r="F32" s="17" t="s">
        <v>667</v>
      </c>
      <c r="G32" s="23" t="n">
        <v>1.94856372004444</v>
      </c>
      <c r="H32" s="19" t="n">
        <v>92.9</v>
      </c>
      <c r="I32" s="17" t="n">
        <f aca="false">IF(H32="","",RANK(H32,$H$5:$H$363))</f>
        <v>28</v>
      </c>
      <c r="J32" s="24" t="n">
        <v>0.0366897005593945</v>
      </c>
      <c r="K32" s="19" t="n">
        <v>21.8</v>
      </c>
      <c r="L32" s="17" t="n">
        <f aca="false">IF(K32="","",RANK(K32,$K$5:$K$363))</f>
        <v>280</v>
      </c>
      <c r="M32" s="28" t="s">
        <v>680</v>
      </c>
      <c r="N32" s="19"/>
      <c r="O32" s="17" t="str">
        <f aca="false">IF(N32="","",RANK(N32,$N$5:$N$363))</f>
        <v/>
      </c>
      <c r="P32" s="17" t="str">
        <f aca="false">IF(AND(N(H32)&gt;=N(K32),N(H32)&gt;=N(N32)),"The Pulse",IF(N(K32)&gt;=N(N32),"The Lens","The Hub"))</f>
        <v>The Pulse</v>
      </c>
      <c r="Q32" s="21" t="s">
        <v>78</v>
      </c>
      <c r="R32" s="26" t="s">
        <v>668</v>
      </c>
      <c r="S32" s="17" t="s">
        <v>21</v>
      </c>
    </row>
    <row r="33" customFormat="false" ht="15" hidden="false" customHeight="false" outlineLevel="0" collapsed="false">
      <c r="A33" s="17" t="s">
        <v>373</v>
      </c>
      <c r="B33" s="17" t="s">
        <v>374</v>
      </c>
      <c r="C33" s="17" t="s">
        <v>726</v>
      </c>
      <c r="D33" s="17" t="s">
        <v>102</v>
      </c>
      <c r="E33" s="18" t="n">
        <v>23669</v>
      </c>
      <c r="F33" s="17" t="s">
        <v>667</v>
      </c>
      <c r="G33" s="23" t="n">
        <v>1.94009041362119</v>
      </c>
      <c r="H33" s="19" t="n">
        <v>92.7</v>
      </c>
      <c r="I33" s="17" t="n">
        <f aca="false">IF(H33="","",RANK(H33,$H$5:$H$363))</f>
        <v>29</v>
      </c>
      <c r="J33" s="24" t="n">
        <v>0.195585189675203</v>
      </c>
      <c r="K33" s="19" t="n">
        <v>91.7</v>
      </c>
      <c r="L33" s="17" t="n">
        <f aca="false">IF(K33="","",RANK(K33,$K$5:$K$363))</f>
        <v>32</v>
      </c>
      <c r="M33" s="25" t="n">
        <v>0.250913520097442</v>
      </c>
      <c r="N33" s="19" t="n">
        <v>81.5</v>
      </c>
      <c r="O33" s="17" t="n">
        <f aca="false">IF(N33="","",RANK(N33,$N$5:$N$363))</f>
        <v>60</v>
      </c>
      <c r="P33" s="17" t="str">
        <f aca="false">IF(AND(N(H33)&gt;=N(K33),N(H33)&gt;=N(N33)),"The Pulse",IF(N(K33)&gt;=N(N33),"The Lens","The Hub"))</f>
        <v>The Pulse</v>
      </c>
      <c r="Q33" s="20" t="s">
        <v>74</v>
      </c>
      <c r="R33" s="27" t="s">
        <v>671</v>
      </c>
      <c r="S33" s="17" t="s">
        <v>19</v>
      </c>
    </row>
    <row r="34" customFormat="false" ht="15" hidden="false" customHeight="false" outlineLevel="0" collapsed="false">
      <c r="A34" s="17" t="s">
        <v>727</v>
      </c>
      <c r="B34" s="17" t="s">
        <v>728</v>
      </c>
      <c r="C34" s="17" t="s">
        <v>729</v>
      </c>
      <c r="D34" s="17" t="s">
        <v>114</v>
      </c>
      <c r="E34" s="18" t="n">
        <v>28070</v>
      </c>
      <c r="F34" s="17" t="s">
        <v>667</v>
      </c>
      <c r="G34" s="23" t="n">
        <v>1.93942101501072</v>
      </c>
      <c r="H34" s="19" t="n">
        <v>92.5</v>
      </c>
      <c r="I34" s="17" t="n">
        <f aca="false">IF(H34="","",RANK(H34,$H$5:$H$363))</f>
        <v>30</v>
      </c>
      <c r="J34" s="24" t="n">
        <v>0.180453341183397</v>
      </c>
      <c r="K34" s="19" t="n">
        <v>86.5</v>
      </c>
      <c r="L34" s="17" t="n">
        <f aca="false">IF(K34="","",RANK(K34,$K$5:$K$363))</f>
        <v>52</v>
      </c>
      <c r="M34" s="25" t="n">
        <v>0.103843311160384</v>
      </c>
      <c r="N34" s="19" t="n">
        <v>36.7</v>
      </c>
      <c r="O34" s="17" t="n">
        <f aca="false">IF(N34="","",RANK(N34,$N$5:$N$363))</f>
        <v>208</v>
      </c>
      <c r="P34" s="17" t="str">
        <f aca="false">IF(AND(N(H34)&gt;=N(K34),N(H34)&gt;=N(N34)),"The Pulse",IF(N(K34)&gt;=N(N34),"The Lens","The Hub"))</f>
        <v>The Pulse</v>
      </c>
      <c r="Q34" s="21" t="s">
        <v>78</v>
      </c>
      <c r="R34" s="26" t="s">
        <v>668</v>
      </c>
      <c r="S34" s="17" t="s">
        <v>126</v>
      </c>
    </row>
    <row r="35" customFormat="false" ht="15" hidden="false" customHeight="false" outlineLevel="0" collapsed="false">
      <c r="A35" s="17" t="s">
        <v>730</v>
      </c>
      <c r="B35" s="17" t="s">
        <v>731</v>
      </c>
      <c r="C35" s="17" t="s">
        <v>732</v>
      </c>
      <c r="D35" s="17" t="s">
        <v>102</v>
      </c>
      <c r="E35" s="18" t="n">
        <v>13130</v>
      </c>
      <c r="F35" s="17" t="s">
        <v>667</v>
      </c>
      <c r="G35" s="23" t="n">
        <v>1.92901751713633</v>
      </c>
      <c r="H35" s="19" t="n">
        <v>92.3</v>
      </c>
      <c r="I35" s="17" t="n">
        <f aca="false">IF(H35="","",RANK(H35,$H$5:$H$363))</f>
        <v>31</v>
      </c>
      <c r="J35" s="24" t="n">
        <v>0.0771123872026251</v>
      </c>
      <c r="K35" s="19" t="n">
        <v>43.7</v>
      </c>
      <c r="L35" s="17" t="n">
        <f aca="false">IF(K35="","",RANK(K35,$K$5:$K$363))</f>
        <v>202</v>
      </c>
      <c r="M35" s="25" t="n">
        <v>0.155656108597285</v>
      </c>
      <c r="N35" s="19" t="n">
        <v>57.7</v>
      </c>
      <c r="O35" s="17" t="n">
        <f aca="false">IF(N35="","",RANK(N35,$N$5:$N$363))</f>
        <v>137</v>
      </c>
      <c r="P35" s="17" t="str">
        <f aca="false">IF(AND(N(H35)&gt;=N(K35),N(H35)&gt;=N(N35)),"The Pulse",IF(N(K35)&gt;=N(N35),"The Lens","The Hub"))</f>
        <v>The Pulse</v>
      </c>
      <c r="Q35" s="21" t="s">
        <v>78</v>
      </c>
      <c r="R35" s="26" t="s">
        <v>668</v>
      </c>
      <c r="S35" s="17" t="s">
        <v>21</v>
      </c>
    </row>
    <row r="36" customFormat="false" ht="15" hidden="false" customHeight="false" outlineLevel="0" collapsed="false">
      <c r="A36" s="17" t="s">
        <v>207</v>
      </c>
      <c r="B36" s="17" t="s">
        <v>208</v>
      </c>
      <c r="C36" s="17" t="s">
        <v>733</v>
      </c>
      <c r="D36" s="17" t="s">
        <v>81</v>
      </c>
      <c r="E36" s="18" t="n">
        <v>20500</v>
      </c>
      <c r="F36" s="17" t="s">
        <v>667</v>
      </c>
      <c r="G36" s="23" t="n">
        <v>1.80658536585366</v>
      </c>
      <c r="H36" s="19" t="n">
        <v>91.2</v>
      </c>
      <c r="I36" s="17" t="n">
        <f aca="false">IF(H36="","",RANK(H36,$H$5:$H$363))</f>
        <v>32</v>
      </c>
      <c r="J36" s="24" t="n">
        <v>0.103336921420883</v>
      </c>
      <c r="K36" s="19" t="n">
        <v>56.3</v>
      </c>
      <c r="L36" s="17" t="n">
        <f aca="false">IF(K36="","",RANK(K36,$K$5:$K$363))</f>
        <v>155</v>
      </c>
      <c r="M36" s="25" t="n">
        <v>0.164085188770571</v>
      </c>
      <c r="N36" s="19" t="n">
        <v>59.1</v>
      </c>
      <c r="O36" s="17" t="n">
        <f aca="false">IF(N36="","",RANK(N36,$N$5:$N$363))</f>
        <v>132</v>
      </c>
      <c r="P36" s="17" t="str">
        <f aca="false">IF(AND(N(H36)&gt;=N(K36),N(H36)&gt;=N(N36)),"The Pulse",IF(N(K36)&gt;=N(N36),"The Lens","The Hub"))</f>
        <v>The Pulse</v>
      </c>
      <c r="Q36" s="21" t="s">
        <v>78</v>
      </c>
      <c r="R36" s="27" t="s">
        <v>671</v>
      </c>
      <c r="S36" s="17" t="s">
        <v>21</v>
      </c>
    </row>
    <row r="37" customFormat="false" ht="15" hidden="false" customHeight="false" outlineLevel="0" collapsed="false">
      <c r="A37" s="17" t="s">
        <v>734</v>
      </c>
      <c r="B37" s="17" t="s">
        <v>735</v>
      </c>
      <c r="C37" s="17" t="s">
        <v>736</v>
      </c>
      <c r="D37" s="17" t="s">
        <v>105</v>
      </c>
      <c r="E37" s="18" t="n">
        <v>539540</v>
      </c>
      <c r="F37" s="17" t="s">
        <v>670</v>
      </c>
      <c r="G37" s="23" t="n">
        <v>1.79995366423249</v>
      </c>
      <c r="H37" s="19" t="n">
        <v>91</v>
      </c>
      <c r="I37" s="17" t="n">
        <f aca="false">IF(H37="","",RANK(H37,$H$5:$H$363))</f>
        <v>33</v>
      </c>
      <c r="J37" s="24" t="n">
        <v>0.0419048354704156</v>
      </c>
      <c r="K37" s="19" t="n">
        <v>27.5</v>
      </c>
      <c r="L37" s="17" t="n">
        <f aca="false">IF(K37="","",RANK(K37,$K$5:$K$363))</f>
        <v>260</v>
      </c>
      <c r="M37" s="25" t="n">
        <v>0.133056163384391</v>
      </c>
      <c r="N37" s="19" t="n">
        <v>49.7</v>
      </c>
      <c r="O37" s="17" t="n">
        <f aca="false">IF(N37="","",RANK(N37,$N$5:$N$363))</f>
        <v>162</v>
      </c>
      <c r="P37" s="17" t="str">
        <f aca="false">IF(AND(N(H37)&gt;=N(K37),N(H37)&gt;=N(N37)),"The Pulse",IF(N(K37)&gt;=N(N37),"The Lens","The Hub"))</f>
        <v>The Pulse</v>
      </c>
      <c r="Q37" s="21" t="s">
        <v>78</v>
      </c>
      <c r="R37" s="26" t="s">
        <v>668</v>
      </c>
      <c r="S37" s="17" t="s">
        <v>126</v>
      </c>
    </row>
    <row r="38" customFormat="false" ht="15" hidden="false" customHeight="false" outlineLevel="0" collapsed="false">
      <c r="A38" s="17" t="s">
        <v>737</v>
      </c>
      <c r="B38" s="17" t="s">
        <v>738</v>
      </c>
      <c r="C38" s="17" t="s">
        <v>739</v>
      </c>
      <c r="D38" s="17" t="s">
        <v>102</v>
      </c>
      <c r="E38" s="18" t="n">
        <v>9513</v>
      </c>
      <c r="F38" s="17" t="s">
        <v>678</v>
      </c>
      <c r="G38" s="23" t="n">
        <v>1.78492589088616</v>
      </c>
      <c r="H38" s="19" t="n">
        <v>90.8</v>
      </c>
      <c r="I38" s="17" t="n">
        <f aca="false">IF(H38="","",RANK(H38,$H$5:$H$363))</f>
        <v>34</v>
      </c>
      <c r="J38" s="24" t="n">
        <v>0.145178764897075</v>
      </c>
      <c r="K38" s="19" t="n">
        <v>72.2</v>
      </c>
      <c r="L38" s="17" t="n">
        <f aca="false">IF(K38="","",RANK(K38,$K$5:$K$363))</f>
        <v>105</v>
      </c>
      <c r="M38" s="25" t="n">
        <v>0.0716049382716049</v>
      </c>
      <c r="N38" s="19" t="n">
        <v>22.4</v>
      </c>
      <c r="O38" s="17" t="n">
        <f aca="false">IF(N38="","",RANK(N38,$N$5:$N$363))</f>
        <v>254</v>
      </c>
      <c r="P38" s="17" t="str">
        <f aca="false">IF(AND(N(H38)&gt;=N(K38),N(H38)&gt;=N(N38)),"The Pulse",IF(N(K38)&gt;=N(N38),"The Lens","The Hub"))</f>
        <v>The Pulse</v>
      </c>
      <c r="Q38" s="20" t="s">
        <v>74</v>
      </c>
      <c r="R38" s="26" t="s">
        <v>668</v>
      </c>
      <c r="S38" s="17" t="s">
        <v>19</v>
      </c>
    </row>
    <row r="39" customFormat="false" ht="15" hidden="false" customHeight="false" outlineLevel="0" collapsed="false">
      <c r="A39" s="17" t="s">
        <v>740</v>
      </c>
      <c r="B39" s="17" t="s">
        <v>741</v>
      </c>
      <c r="C39" s="17" t="s">
        <v>742</v>
      </c>
      <c r="D39" s="17" t="s">
        <v>92</v>
      </c>
      <c r="E39" s="18" t="n">
        <v>19790</v>
      </c>
      <c r="F39" s="17" t="s">
        <v>667</v>
      </c>
      <c r="G39" s="23" t="n">
        <v>1.78271854471956</v>
      </c>
      <c r="H39" s="19" t="n">
        <v>90.6</v>
      </c>
      <c r="I39" s="17" t="n">
        <f aca="false">IF(H39="","",RANK(H39,$H$5:$H$363))</f>
        <v>35</v>
      </c>
      <c r="J39" s="24" t="n">
        <v>0.218596059113301</v>
      </c>
      <c r="K39" s="19" t="n">
        <v>95.2</v>
      </c>
      <c r="L39" s="17" t="n">
        <f aca="false">IF(K39="","",RANK(K39,$K$5:$K$363))</f>
        <v>18</v>
      </c>
      <c r="M39" s="25" t="n">
        <v>0.135537190082645</v>
      </c>
      <c r="N39" s="19" t="n">
        <v>51.4</v>
      </c>
      <c r="O39" s="17" t="n">
        <f aca="false">IF(N39="","",RANK(N39,$N$5:$N$363))</f>
        <v>156</v>
      </c>
      <c r="P39" s="17" t="str">
        <f aca="false">IF(AND(N(H39)&gt;=N(K39),N(H39)&gt;=N(N39)),"The Pulse",IF(N(K39)&gt;=N(N39),"The Lens","The Hub"))</f>
        <v>The Lens</v>
      </c>
      <c r="Q39" s="21" t="s">
        <v>78</v>
      </c>
      <c r="R39" s="26" t="s">
        <v>668</v>
      </c>
      <c r="S39" s="17" t="s">
        <v>21</v>
      </c>
    </row>
    <row r="40" customFormat="false" ht="15" hidden="false" customHeight="false" outlineLevel="0" collapsed="false">
      <c r="A40" s="17" t="s">
        <v>743</v>
      </c>
      <c r="B40" s="17" t="s">
        <v>744</v>
      </c>
      <c r="C40" s="17" t="s">
        <v>745</v>
      </c>
      <c r="D40" s="17" t="s">
        <v>81</v>
      </c>
      <c r="E40" s="18" t="n">
        <v>62685</v>
      </c>
      <c r="F40" s="17" t="s">
        <v>667</v>
      </c>
      <c r="G40" s="23" t="n">
        <v>1.76319693706628</v>
      </c>
      <c r="H40" s="19" t="n">
        <v>90.4</v>
      </c>
      <c r="I40" s="17" t="n">
        <f aca="false">IF(H40="","",RANK(H40,$H$5:$H$363))</f>
        <v>36</v>
      </c>
      <c r="J40" s="24" t="n">
        <v>0.138071895424837</v>
      </c>
      <c r="K40" s="19" t="n">
        <v>72.6</v>
      </c>
      <c r="L40" s="17" t="n">
        <f aca="false">IF(K40="","",RANK(K40,$K$5:$K$363))</f>
        <v>103</v>
      </c>
      <c r="M40" s="25" t="n">
        <v>0.361371841155235</v>
      </c>
      <c r="N40" s="19" t="n">
        <v>97.5</v>
      </c>
      <c r="O40" s="17" t="n">
        <f aca="false">IF(N40="","",RANK(N40,$N$5:$N$363))</f>
        <v>9</v>
      </c>
      <c r="P40" s="17" t="str">
        <f aca="false">IF(AND(N(H40)&gt;=N(K40),N(H40)&gt;=N(N40)),"The Pulse",IF(N(K40)&gt;=N(N40),"The Lens","The Hub"))</f>
        <v>The Hub</v>
      </c>
      <c r="Q40" s="20" t="s">
        <v>74</v>
      </c>
      <c r="R40" s="26" t="s">
        <v>668</v>
      </c>
      <c r="S40" s="17" t="s">
        <v>19</v>
      </c>
    </row>
    <row r="41" customFormat="false" ht="15" hidden="false" customHeight="false" outlineLevel="0" collapsed="false">
      <c r="A41" s="17" t="s">
        <v>205</v>
      </c>
      <c r="B41" s="17" t="s">
        <v>206</v>
      </c>
      <c r="C41" s="17" t="s">
        <v>746</v>
      </c>
      <c r="D41" s="17" t="s">
        <v>77</v>
      </c>
      <c r="E41" s="18" t="n">
        <v>53714</v>
      </c>
      <c r="F41" s="17" t="s">
        <v>667</v>
      </c>
      <c r="G41" s="23" t="n">
        <v>1.73234166139182</v>
      </c>
      <c r="H41" s="19" t="n">
        <v>90.2</v>
      </c>
      <c r="I41" s="17" t="n">
        <f aca="false">IF(H41="","",RANK(H41,$H$5:$H$363))</f>
        <v>37</v>
      </c>
      <c r="J41" s="24" t="n">
        <v>0.137093018332698</v>
      </c>
      <c r="K41" s="19" t="n">
        <v>71.8</v>
      </c>
      <c r="L41" s="17" t="n">
        <f aca="false">IF(K41="","",RANK(K41,$K$5:$K$363))</f>
        <v>106</v>
      </c>
      <c r="M41" s="25" t="n">
        <v>0.246636771300448</v>
      </c>
      <c r="N41" s="19" t="n">
        <v>80.7</v>
      </c>
      <c r="O41" s="17" t="n">
        <f aca="false">IF(N41="","",RANK(N41,$N$5:$N$363))</f>
        <v>63</v>
      </c>
      <c r="P41" s="17" t="str">
        <f aca="false">IF(AND(N(H41)&gt;=N(K41),N(H41)&gt;=N(N41)),"The Pulse",IF(N(K41)&gt;=N(N41),"The Lens","The Hub"))</f>
        <v>The Pulse</v>
      </c>
      <c r="Q41" s="20" t="s">
        <v>74</v>
      </c>
      <c r="R41" s="27" t="s">
        <v>671</v>
      </c>
      <c r="S41" s="17" t="s">
        <v>19</v>
      </c>
    </row>
    <row r="42" customFormat="false" ht="15" hidden="false" customHeight="false" outlineLevel="0" collapsed="false">
      <c r="A42" s="17" t="s">
        <v>747</v>
      </c>
      <c r="B42" s="17" t="s">
        <v>748</v>
      </c>
      <c r="C42" s="17" t="s">
        <v>749</v>
      </c>
      <c r="D42" s="17" t="s">
        <v>87</v>
      </c>
      <c r="E42" s="18" t="n">
        <v>26790</v>
      </c>
      <c r="F42" s="17" t="s">
        <v>667</v>
      </c>
      <c r="G42" s="23" t="n">
        <v>1.71799178798059</v>
      </c>
      <c r="H42" s="19" t="n">
        <v>90</v>
      </c>
      <c r="I42" s="17" t="n">
        <f aca="false">IF(H42="","",RANK(H42,$H$5:$H$363))</f>
        <v>38</v>
      </c>
      <c r="J42" s="24" t="n">
        <v>0.211449760332821</v>
      </c>
      <c r="K42" s="19" t="n">
        <v>93.7</v>
      </c>
      <c r="L42" s="17" t="n">
        <f aca="false">IF(K42="","",RANK(K42,$K$5:$K$363))</f>
        <v>23</v>
      </c>
      <c r="M42" s="25" t="n">
        <v>0.0808448652585579</v>
      </c>
      <c r="N42" s="19" t="n">
        <v>26.5</v>
      </c>
      <c r="O42" s="17" t="n">
        <f aca="false">IF(N42="","",RANK(N42,$N$5:$N$363))</f>
        <v>239</v>
      </c>
      <c r="P42" s="17" t="str">
        <f aca="false">IF(AND(N(H42)&gt;=N(K42),N(H42)&gt;=N(N42)),"The Pulse",IF(N(K42)&gt;=N(N42),"The Lens","The Hub"))</f>
        <v>The Lens</v>
      </c>
      <c r="Q42" s="20" t="s">
        <v>74</v>
      </c>
      <c r="R42" s="26" t="s">
        <v>668</v>
      </c>
      <c r="S42" s="17" t="s">
        <v>19</v>
      </c>
    </row>
    <row r="43" customFormat="false" ht="15" hidden="false" customHeight="false" outlineLevel="0" collapsed="false">
      <c r="A43" s="17" t="s">
        <v>109</v>
      </c>
      <c r="B43" s="17" t="s">
        <v>110</v>
      </c>
      <c r="C43" s="17" t="s">
        <v>750</v>
      </c>
      <c r="D43" s="17" t="s">
        <v>102</v>
      </c>
      <c r="E43" s="18" t="n">
        <v>136546</v>
      </c>
      <c r="F43" s="17" t="s">
        <v>670</v>
      </c>
      <c r="G43" s="23" t="n">
        <v>1.71295387634936</v>
      </c>
      <c r="H43" s="19" t="n">
        <v>89.7</v>
      </c>
      <c r="I43" s="17" t="n">
        <f aca="false">IF(H43="","",RANK(H43,$H$5:$H$363))</f>
        <v>39</v>
      </c>
      <c r="J43" s="24" t="n">
        <v>-0.0198898913987525</v>
      </c>
      <c r="K43" s="19" t="n">
        <v>9.4</v>
      </c>
      <c r="L43" s="17" t="n">
        <f aca="false">IF(K43="","",RANK(K43,$K$5:$K$363))</f>
        <v>325</v>
      </c>
      <c r="M43" s="25" t="n">
        <v>0.0341456435690782</v>
      </c>
      <c r="N43" s="19" t="n">
        <v>6.9</v>
      </c>
      <c r="O43" s="17" t="n">
        <f aca="false">IF(N43="","",RANK(N43,$N$5:$N$363))</f>
        <v>299</v>
      </c>
      <c r="P43" s="17" t="str">
        <f aca="false">IF(AND(N(H43)&gt;=N(K43),N(H43)&gt;=N(N43)),"The Pulse",IF(N(K43)&gt;=N(N43),"The Lens","The Hub"))</f>
        <v>The Pulse</v>
      </c>
      <c r="Q43" s="20" t="s">
        <v>74</v>
      </c>
      <c r="R43" s="27" t="s">
        <v>671</v>
      </c>
      <c r="S43" s="17" t="s">
        <v>19</v>
      </c>
    </row>
    <row r="44" customFormat="false" ht="15" hidden="false" customHeight="false" outlineLevel="0" collapsed="false">
      <c r="A44" s="17" t="s">
        <v>245</v>
      </c>
      <c r="B44" s="17" t="s">
        <v>246</v>
      </c>
      <c r="C44" s="17" t="s">
        <v>751</v>
      </c>
      <c r="D44" s="17" t="s">
        <v>138</v>
      </c>
      <c r="E44" s="18" t="n">
        <v>2505441</v>
      </c>
      <c r="F44" s="17" t="s">
        <v>752</v>
      </c>
      <c r="G44" s="23" t="n">
        <v>1.6993878522783</v>
      </c>
      <c r="H44" s="19" t="n">
        <v>89.5</v>
      </c>
      <c r="I44" s="17" t="n">
        <f aca="false">IF(H44="","",RANK(H44,$H$5:$H$363))</f>
        <v>40</v>
      </c>
      <c r="J44" s="24" t="n">
        <v>0.0377242674148564</v>
      </c>
      <c r="K44" s="19" t="n">
        <v>12.5</v>
      </c>
      <c r="L44" s="17" t="n">
        <f aca="false">IF(K44="","",RANK(K44,$K$5:$K$363))</f>
        <v>313</v>
      </c>
      <c r="M44" s="25" t="n">
        <v>0.123154701718908</v>
      </c>
      <c r="N44" s="19" t="n">
        <v>45</v>
      </c>
      <c r="O44" s="17" t="n">
        <f aca="false">IF(N44="","",RANK(N44,$N$5:$N$363))</f>
        <v>179</v>
      </c>
      <c r="P44" s="17" t="str">
        <f aca="false">IF(AND(N(H44)&gt;=N(K44),N(H44)&gt;=N(N44)),"The Pulse",IF(N(K44)&gt;=N(N44),"The Lens","The Hub"))</f>
        <v>The Pulse</v>
      </c>
      <c r="Q44" s="20" t="s">
        <v>74</v>
      </c>
      <c r="R44" s="27" t="s">
        <v>671</v>
      </c>
      <c r="S44" s="17" t="s">
        <v>19</v>
      </c>
    </row>
    <row r="45" customFormat="false" ht="15" hidden="false" customHeight="false" outlineLevel="0" collapsed="false">
      <c r="A45" s="17" t="s">
        <v>385</v>
      </c>
      <c r="B45" s="17" t="s">
        <v>386</v>
      </c>
      <c r="C45" s="17" t="s">
        <v>753</v>
      </c>
      <c r="D45" s="17" t="s">
        <v>105</v>
      </c>
      <c r="E45" s="18" t="n">
        <v>25812</v>
      </c>
      <c r="F45" s="17" t="s">
        <v>667</v>
      </c>
      <c r="G45" s="23" t="n">
        <v>1.68843948551062</v>
      </c>
      <c r="H45" s="19" t="n">
        <v>89.3</v>
      </c>
      <c r="I45" s="17" t="n">
        <f aca="false">IF(H45="","",RANK(H45,$H$5:$H$363))</f>
        <v>41</v>
      </c>
      <c r="J45" s="24" t="n">
        <v>0.249128919860627</v>
      </c>
      <c r="K45" s="19" t="n">
        <v>98</v>
      </c>
      <c r="L45" s="17" t="n">
        <f aca="false">IF(K45="","",RANK(K45,$K$5:$K$363))</f>
        <v>10</v>
      </c>
      <c r="M45" s="25" t="n">
        <v>0.0589887640449438</v>
      </c>
      <c r="N45" s="19" t="n">
        <v>16.6</v>
      </c>
      <c r="O45" s="17" t="n">
        <f aca="false">IF(N45="","",RANK(N45,$N$5:$N$363))</f>
        <v>271</v>
      </c>
      <c r="P45" s="17" t="str">
        <f aca="false">IF(AND(N(H45)&gt;=N(K45),N(H45)&gt;=N(N45)),"The Pulse",IF(N(K45)&gt;=N(N45),"The Lens","The Hub"))</f>
        <v>The Lens</v>
      </c>
      <c r="Q45" s="20" t="s">
        <v>74</v>
      </c>
      <c r="R45" s="27" t="s">
        <v>671</v>
      </c>
      <c r="S45" s="17" t="s">
        <v>19</v>
      </c>
    </row>
    <row r="46" customFormat="false" ht="15" hidden="false" customHeight="false" outlineLevel="0" collapsed="false">
      <c r="A46" s="17" t="s">
        <v>754</v>
      </c>
      <c r="B46" s="17" t="s">
        <v>755</v>
      </c>
      <c r="C46" s="17" t="s">
        <v>756</v>
      </c>
      <c r="D46" s="17" t="s">
        <v>114</v>
      </c>
      <c r="E46" s="18" t="n">
        <v>20550</v>
      </c>
      <c r="F46" s="17" t="s">
        <v>667</v>
      </c>
      <c r="G46" s="23" t="n">
        <v>1.6545498783455</v>
      </c>
      <c r="H46" s="19" t="n">
        <v>89.1</v>
      </c>
      <c r="I46" s="17" t="n">
        <f aca="false">IF(H46="","",RANK(H46,$H$5:$H$363))</f>
        <v>42</v>
      </c>
      <c r="J46" s="24" t="n">
        <v>0.103317484908382</v>
      </c>
      <c r="K46" s="19" t="n">
        <v>56</v>
      </c>
      <c r="L46" s="17" t="n">
        <f aca="false">IF(K46="","",RANK(K46,$K$5:$K$363))</f>
        <v>157</v>
      </c>
      <c r="M46" s="28" t="s">
        <v>680</v>
      </c>
      <c r="N46" s="19"/>
      <c r="O46" s="17" t="str">
        <f aca="false">IF(N46="","",RANK(N46,$N$5:$N$363))</f>
        <v/>
      </c>
      <c r="P46" s="17" t="str">
        <f aca="false">IF(AND(N(H46)&gt;=N(K46),N(H46)&gt;=N(N46)),"The Pulse",IF(N(K46)&gt;=N(N46),"The Lens","The Hub"))</f>
        <v>The Pulse</v>
      </c>
      <c r="Q46" s="22" t="s">
        <v>83</v>
      </c>
      <c r="R46" s="26" t="s">
        <v>668</v>
      </c>
      <c r="S46" s="17" t="s">
        <v>84</v>
      </c>
    </row>
    <row r="47" customFormat="false" ht="15" hidden="false" customHeight="false" outlineLevel="0" collapsed="false">
      <c r="A47" s="17" t="s">
        <v>757</v>
      </c>
      <c r="B47" s="17" t="s">
        <v>758</v>
      </c>
      <c r="C47" s="17" t="s">
        <v>759</v>
      </c>
      <c r="D47" s="17" t="s">
        <v>72</v>
      </c>
      <c r="E47" s="18" t="n">
        <v>65660</v>
      </c>
      <c r="F47" s="17" t="s">
        <v>667</v>
      </c>
      <c r="G47" s="23" t="n">
        <v>1.54401462077368</v>
      </c>
      <c r="H47" s="19" t="n">
        <v>88.7</v>
      </c>
      <c r="I47" s="17" t="n">
        <f aca="false">IF(H47="","",RANK(H47,$H$5:$H$363))</f>
        <v>43</v>
      </c>
      <c r="J47" s="24" t="n">
        <v>0.15031534688157</v>
      </c>
      <c r="K47" s="19" t="n">
        <v>77.4</v>
      </c>
      <c r="L47" s="17" t="n">
        <f aca="false">IF(K47="","",RANK(K47,$K$5:$K$363))</f>
        <v>85</v>
      </c>
      <c r="M47" s="25" t="n">
        <v>0.141657488986784</v>
      </c>
      <c r="N47" s="19" t="n">
        <v>52.8</v>
      </c>
      <c r="O47" s="17" t="n">
        <f aca="false">IF(N47="","",RANK(N47,$N$5:$N$363))</f>
        <v>152</v>
      </c>
      <c r="P47" s="17" t="str">
        <f aca="false">IF(AND(N(H47)&gt;=N(K47),N(H47)&gt;=N(N47)),"The Pulse",IF(N(K47)&gt;=N(N47),"The Lens","The Hub"))</f>
        <v>The Pulse</v>
      </c>
      <c r="Q47" s="21" t="s">
        <v>78</v>
      </c>
      <c r="R47" s="26" t="s">
        <v>668</v>
      </c>
      <c r="S47" s="17" t="s">
        <v>21</v>
      </c>
    </row>
    <row r="48" customFormat="false" ht="15" hidden="false" customHeight="false" outlineLevel="0" collapsed="false">
      <c r="A48" s="17" t="s">
        <v>760</v>
      </c>
      <c r="B48" s="17" t="s">
        <v>761</v>
      </c>
      <c r="C48" s="17" t="s">
        <v>762</v>
      </c>
      <c r="D48" s="17" t="s">
        <v>138</v>
      </c>
      <c r="E48" s="18" t="n">
        <v>89770</v>
      </c>
      <c r="F48" s="17" t="s">
        <v>667</v>
      </c>
      <c r="G48" s="23" t="n">
        <v>1.52947532583268</v>
      </c>
      <c r="H48" s="19" t="n">
        <v>88.5</v>
      </c>
      <c r="I48" s="17" t="n">
        <f aca="false">IF(H48="","",RANK(H48,$H$5:$H$363))</f>
        <v>44</v>
      </c>
      <c r="J48" s="24" t="n">
        <v>0.0526500938086304</v>
      </c>
      <c r="K48" s="19" t="n">
        <v>29.8</v>
      </c>
      <c r="L48" s="17" t="n">
        <f aca="false">IF(K48="","",RANK(K48,$K$5:$K$363))</f>
        <v>251</v>
      </c>
      <c r="M48" s="28" t="s">
        <v>680</v>
      </c>
      <c r="N48" s="19"/>
      <c r="O48" s="17" t="str">
        <f aca="false">IF(N48="","",RANK(N48,$N$5:$N$363))</f>
        <v/>
      </c>
      <c r="P48" s="17" t="str">
        <f aca="false">IF(AND(N(H48)&gt;=N(K48),N(H48)&gt;=N(N48)),"The Pulse",IF(N(K48)&gt;=N(N48),"The Lens","The Hub"))</f>
        <v>The Pulse</v>
      </c>
      <c r="Q48" s="21" t="s">
        <v>78</v>
      </c>
      <c r="R48" s="26" t="s">
        <v>668</v>
      </c>
      <c r="S48" s="17" t="s">
        <v>21</v>
      </c>
    </row>
    <row r="49" customFormat="false" ht="15" hidden="false" customHeight="false" outlineLevel="0" collapsed="false">
      <c r="A49" s="17" t="s">
        <v>285</v>
      </c>
      <c r="B49" s="17" t="s">
        <v>286</v>
      </c>
      <c r="C49" s="17" t="s">
        <v>763</v>
      </c>
      <c r="D49" s="17" t="s">
        <v>114</v>
      </c>
      <c r="E49" s="18" t="n">
        <v>10633</v>
      </c>
      <c r="F49" s="17" t="s">
        <v>667</v>
      </c>
      <c r="G49" s="23" t="n">
        <v>1.47390200319759</v>
      </c>
      <c r="H49" s="19" t="n">
        <v>88</v>
      </c>
      <c r="I49" s="17" t="n">
        <f aca="false">IF(H49="","",RANK(H49,$H$5:$H$363))</f>
        <v>45</v>
      </c>
      <c r="J49" s="24" t="n">
        <v>0.14345628562211</v>
      </c>
      <c r="K49" s="19" t="n">
        <v>74.6</v>
      </c>
      <c r="L49" s="17" t="n">
        <f aca="false">IF(K49="","",RANK(K49,$K$5:$K$363))</f>
        <v>96</v>
      </c>
      <c r="M49" s="25" t="n">
        <v>0.152284263959391</v>
      </c>
      <c r="N49" s="19" t="n">
        <v>55.8</v>
      </c>
      <c r="O49" s="17" t="n">
        <f aca="false">IF(N49="","",RANK(N49,$N$5:$N$363))</f>
        <v>142</v>
      </c>
      <c r="P49" s="17" t="str">
        <f aca="false">IF(AND(N(H49)&gt;=N(K49),N(H49)&gt;=N(N49)),"The Pulse",IF(N(K49)&gt;=N(N49),"The Lens","The Hub"))</f>
        <v>The Pulse</v>
      </c>
      <c r="Q49" s="20" t="s">
        <v>74</v>
      </c>
      <c r="R49" s="27" t="s">
        <v>671</v>
      </c>
      <c r="S49" s="17" t="s">
        <v>19</v>
      </c>
    </row>
    <row r="50" customFormat="false" ht="15" hidden="false" customHeight="false" outlineLevel="0" collapsed="false">
      <c r="A50" s="17" t="s">
        <v>217</v>
      </c>
      <c r="B50" s="17" t="s">
        <v>218</v>
      </c>
      <c r="C50" s="17" t="s">
        <v>764</v>
      </c>
      <c r="D50" s="17" t="s">
        <v>133</v>
      </c>
      <c r="E50" s="18" t="n">
        <v>221280</v>
      </c>
      <c r="F50" s="17" t="s">
        <v>670</v>
      </c>
      <c r="G50" s="23" t="n">
        <v>1.47062093275488</v>
      </c>
      <c r="H50" s="19" t="n">
        <v>87.8</v>
      </c>
      <c r="I50" s="17" t="n">
        <f aca="false">IF(H50="","",RANK(H50,$H$5:$H$363))</f>
        <v>46</v>
      </c>
      <c r="J50" s="24" t="n">
        <v>0.175464411497538</v>
      </c>
      <c r="K50" s="19" t="n">
        <v>89.1</v>
      </c>
      <c r="L50" s="17" t="n">
        <f aca="false">IF(K50="","",RANK(K50,$K$5:$K$363))</f>
        <v>42</v>
      </c>
      <c r="M50" s="25" t="n">
        <v>0.0997395763417188</v>
      </c>
      <c r="N50" s="19" t="n">
        <v>34.5</v>
      </c>
      <c r="O50" s="17" t="n">
        <f aca="false">IF(N50="","",RANK(N50,$N$5:$N$363))</f>
        <v>215</v>
      </c>
      <c r="P50" s="17" t="str">
        <f aca="false">IF(AND(N(H50)&gt;=N(K50),N(H50)&gt;=N(N50)),"The Pulse",IF(N(K50)&gt;=N(N50),"The Lens","The Hub"))</f>
        <v>The Lens</v>
      </c>
      <c r="Q50" s="20" t="s">
        <v>74</v>
      </c>
      <c r="R50" s="27" t="s">
        <v>671</v>
      </c>
      <c r="S50" s="17" t="s">
        <v>19</v>
      </c>
    </row>
    <row r="51" customFormat="false" ht="15" hidden="false" customHeight="false" outlineLevel="0" collapsed="false">
      <c r="A51" s="17" t="s">
        <v>116</v>
      </c>
      <c r="B51" s="17" t="s">
        <v>117</v>
      </c>
      <c r="C51" s="17" t="s">
        <v>765</v>
      </c>
      <c r="D51" s="17" t="s">
        <v>77</v>
      </c>
      <c r="E51" s="18" t="n">
        <v>655120</v>
      </c>
      <c r="F51" s="17" t="s">
        <v>670</v>
      </c>
      <c r="G51" s="23" t="n">
        <v>1.46177341555746</v>
      </c>
      <c r="H51" s="19" t="n">
        <v>87.6</v>
      </c>
      <c r="I51" s="17" t="n">
        <f aca="false">IF(H51="","",RANK(H51,$H$5:$H$363))</f>
        <v>47</v>
      </c>
      <c r="J51" s="24" t="n">
        <v>-0.00261859813653249</v>
      </c>
      <c r="K51" s="19" t="n">
        <v>12.3</v>
      </c>
      <c r="L51" s="17" t="n">
        <f aca="false">IF(K51="","",RANK(K51,$K$5:$K$363))</f>
        <v>314</v>
      </c>
      <c r="M51" s="25" t="n">
        <v>0.343132116823098</v>
      </c>
      <c r="N51" s="19" t="n">
        <v>95</v>
      </c>
      <c r="O51" s="17" t="n">
        <f aca="false">IF(N51="","",RANK(N51,$N$5:$N$363))</f>
        <v>16</v>
      </c>
      <c r="P51" s="17" t="str">
        <f aca="false">IF(AND(N(H51)&gt;=N(K51),N(H51)&gt;=N(N51)),"The Pulse",IF(N(K51)&gt;=N(N51),"The Lens","The Hub"))</f>
        <v>The Hub</v>
      </c>
      <c r="Q51" s="21" t="s">
        <v>78</v>
      </c>
      <c r="R51" s="27" t="s">
        <v>671</v>
      </c>
      <c r="S51" s="17" t="s">
        <v>21</v>
      </c>
    </row>
    <row r="52" customFormat="false" ht="15" hidden="false" customHeight="false" outlineLevel="0" collapsed="false">
      <c r="A52" s="17" t="s">
        <v>119</v>
      </c>
      <c r="B52" s="17" t="s">
        <v>120</v>
      </c>
      <c r="C52" s="17" t="s">
        <v>766</v>
      </c>
      <c r="D52" s="17" t="s">
        <v>105</v>
      </c>
      <c r="E52" s="18" t="n">
        <v>19938</v>
      </c>
      <c r="F52" s="17" t="s">
        <v>667</v>
      </c>
      <c r="G52" s="23" t="n">
        <v>1.41719329922761</v>
      </c>
      <c r="H52" s="19" t="n">
        <v>87.4</v>
      </c>
      <c r="I52" s="17" t="n">
        <f aca="false">IF(H52="","",RANK(H52,$H$5:$H$363))</f>
        <v>48</v>
      </c>
      <c r="J52" s="24" t="n">
        <v>0.0743614613643712</v>
      </c>
      <c r="K52" s="19" t="n">
        <v>41.7</v>
      </c>
      <c r="L52" s="17" t="n">
        <f aca="false">IF(K52="","",RANK(K52,$K$5:$K$363))</f>
        <v>210</v>
      </c>
      <c r="M52" s="25" t="n">
        <v>0.0146871008939975</v>
      </c>
      <c r="N52" s="19" t="n">
        <v>3.9</v>
      </c>
      <c r="O52" s="17" t="n">
        <f aca="false">IF(N52="","",RANK(N52,$N$5:$N$363))</f>
        <v>310</v>
      </c>
      <c r="P52" s="17" t="str">
        <f aca="false">IF(AND(N(H52)&gt;=N(K52),N(H52)&gt;=N(N52)),"The Pulse",IF(N(K52)&gt;=N(N52),"The Lens","The Hub"))</f>
        <v>The Pulse</v>
      </c>
      <c r="Q52" s="20" t="s">
        <v>74</v>
      </c>
      <c r="R52" s="27" t="s">
        <v>671</v>
      </c>
      <c r="S52" s="17" t="s">
        <v>19</v>
      </c>
    </row>
    <row r="53" customFormat="false" ht="15" hidden="false" customHeight="false" outlineLevel="0" collapsed="false">
      <c r="A53" s="17" t="s">
        <v>767</v>
      </c>
      <c r="B53" s="17" t="s">
        <v>768</v>
      </c>
      <c r="C53" s="17" t="s">
        <v>769</v>
      </c>
      <c r="D53" s="17" t="s">
        <v>72</v>
      </c>
      <c r="E53" s="18" t="n">
        <v>126640</v>
      </c>
      <c r="F53" s="17" t="s">
        <v>670</v>
      </c>
      <c r="G53" s="23" t="n">
        <v>1.40388502842704</v>
      </c>
      <c r="H53" s="19" t="n">
        <v>87.2</v>
      </c>
      <c r="I53" s="17" t="n">
        <f aca="false">IF(H53="","",RANK(H53,$H$5:$H$363))</f>
        <v>49</v>
      </c>
      <c r="J53" s="24" t="n">
        <v>0.0912537699267557</v>
      </c>
      <c r="K53" s="19" t="n">
        <v>55.8</v>
      </c>
      <c r="L53" s="17" t="n">
        <f aca="false">IF(K53="","",RANK(K53,$K$5:$K$363))</f>
        <v>158</v>
      </c>
      <c r="M53" s="25" t="n">
        <v>0.211840968020743</v>
      </c>
      <c r="N53" s="19" t="n">
        <v>74.3</v>
      </c>
      <c r="O53" s="17" t="n">
        <f aca="false">IF(N53="","",RANK(N53,$N$5:$N$363))</f>
        <v>82</v>
      </c>
      <c r="P53" s="17" t="str">
        <f aca="false">IF(AND(N(H53)&gt;=N(K53),N(H53)&gt;=N(N53)),"The Pulse",IF(N(K53)&gt;=N(N53),"The Lens","The Hub"))</f>
        <v>The Pulse</v>
      </c>
      <c r="Q53" s="21" t="s">
        <v>78</v>
      </c>
      <c r="R53" s="26" t="s">
        <v>668</v>
      </c>
      <c r="S53" s="17" t="s">
        <v>21</v>
      </c>
    </row>
    <row r="54" customFormat="false" ht="15" hidden="false" customHeight="false" outlineLevel="0" collapsed="false">
      <c r="A54" s="17" t="s">
        <v>770</v>
      </c>
      <c r="B54" s="17" t="s">
        <v>771</v>
      </c>
      <c r="C54" s="17" t="s">
        <v>772</v>
      </c>
      <c r="D54" s="17" t="s">
        <v>133</v>
      </c>
      <c r="E54" s="18" t="n">
        <v>137240</v>
      </c>
      <c r="F54" s="17" t="s">
        <v>670</v>
      </c>
      <c r="G54" s="23" t="n">
        <v>1.38947828621393</v>
      </c>
      <c r="H54" s="19" t="n">
        <v>87</v>
      </c>
      <c r="I54" s="17" t="n">
        <f aca="false">IF(H54="","",RANK(H54,$H$5:$H$363))</f>
        <v>50</v>
      </c>
      <c r="J54" s="24" t="n">
        <v>0.0193864666121964</v>
      </c>
      <c r="K54" s="19" t="n">
        <v>20.3</v>
      </c>
      <c r="L54" s="17" t="n">
        <f aca="false">IF(K54="","",RANK(K54,$K$5:$K$363))</f>
        <v>287</v>
      </c>
      <c r="M54" s="25" t="n">
        <v>0.192674184806364</v>
      </c>
      <c r="N54" s="19" t="n">
        <v>68.2</v>
      </c>
      <c r="O54" s="17" t="n">
        <f aca="false">IF(N54="","",RANK(N54,$N$5:$N$363))</f>
        <v>103</v>
      </c>
      <c r="P54" s="17" t="str">
        <f aca="false">IF(AND(N(H54)&gt;=N(K54),N(H54)&gt;=N(N54)),"The Pulse",IF(N(K54)&gt;=N(N54),"The Lens","The Hub"))</f>
        <v>The Pulse</v>
      </c>
      <c r="Q54" s="21" t="s">
        <v>78</v>
      </c>
      <c r="R54" s="26" t="s">
        <v>668</v>
      </c>
      <c r="S54" s="17" t="s">
        <v>21</v>
      </c>
    </row>
    <row r="55" customFormat="false" ht="15" hidden="false" customHeight="false" outlineLevel="0" collapsed="false">
      <c r="A55" s="17" t="s">
        <v>773</v>
      </c>
      <c r="B55" s="17" t="s">
        <v>774</v>
      </c>
      <c r="C55" s="17" t="s">
        <v>775</v>
      </c>
      <c r="D55" s="17" t="s">
        <v>102</v>
      </c>
      <c r="E55" s="18" t="n">
        <v>106589</v>
      </c>
      <c r="F55" s="17" t="s">
        <v>670</v>
      </c>
      <c r="G55" s="23" t="n">
        <v>1.3576729306026</v>
      </c>
      <c r="H55" s="19" t="n">
        <v>86.5</v>
      </c>
      <c r="I55" s="17" t="n">
        <f aca="false">IF(H55="","",RANK(H55,$H$5:$H$363))</f>
        <v>51</v>
      </c>
      <c r="J55" s="24" t="n">
        <v>0.0633910310769691</v>
      </c>
      <c r="K55" s="19" t="n">
        <v>42</v>
      </c>
      <c r="L55" s="17" t="n">
        <f aca="false">IF(K55="","",RANK(K55,$K$5:$K$363))</f>
        <v>209</v>
      </c>
      <c r="M55" s="25" t="n">
        <v>0.155217691776089</v>
      </c>
      <c r="N55" s="19" t="n">
        <v>57.2</v>
      </c>
      <c r="O55" s="17" t="n">
        <f aca="false">IF(N55="","",RANK(N55,$N$5:$N$363))</f>
        <v>138</v>
      </c>
      <c r="P55" s="17" t="str">
        <f aca="false">IF(AND(N(H55)&gt;=N(K55),N(H55)&gt;=N(N55)),"The Pulse",IF(N(K55)&gt;=N(N55),"The Lens","The Hub"))</f>
        <v>The Pulse</v>
      </c>
      <c r="Q55" s="20" t="s">
        <v>74</v>
      </c>
      <c r="R55" s="26" t="s">
        <v>668</v>
      </c>
      <c r="S55" s="17" t="s">
        <v>19</v>
      </c>
    </row>
    <row r="56" customFormat="false" ht="15" hidden="false" customHeight="false" outlineLevel="0" collapsed="false">
      <c r="A56" s="17" t="s">
        <v>776</v>
      </c>
      <c r="B56" s="17" t="s">
        <v>777</v>
      </c>
      <c r="C56" s="17" t="s">
        <v>778</v>
      </c>
      <c r="D56" s="17" t="s">
        <v>87</v>
      </c>
      <c r="E56" s="18" t="n">
        <v>12850</v>
      </c>
      <c r="F56" s="17" t="s">
        <v>667</v>
      </c>
      <c r="G56" s="23" t="n">
        <v>1.33937743190662</v>
      </c>
      <c r="H56" s="19" t="n">
        <v>86.3</v>
      </c>
      <c r="I56" s="17" t="n">
        <f aca="false">IF(H56="","",RANK(H56,$H$5:$H$363))</f>
        <v>52</v>
      </c>
      <c r="J56" s="24" t="n">
        <v>0.055008210180624</v>
      </c>
      <c r="K56" s="19" t="n">
        <v>30.6</v>
      </c>
      <c r="L56" s="17" t="n">
        <f aca="false">IF(K56="","",RANK(K56,$K$5:$K$363))</f>
        <v>249</v>
      </c>
      <c r="M56" s="28" t="s">
        <v>680</v>
      </c>
      <c r="N56" s="19"/>
      <c r="O56" s="17" t="str">
        <f aca="false">IF(N56="","",RANK(N56,$N$5:$N$363))</f>
        <v/>
      </c>
      <c r="P56" s="17" t="str">
        <f aca="false">IF(AND(N(H56)&gt;=N(K56),N(H56)&gt;=N(N56)),"The Pulse",IF(N(K56)&gt;=N(N56),"The Lens","The Hub"))</f>
        <v>The Pulse</v>
      </c>
      <c r="Q56" s="21" t="s">
        <v>78</v>
      </c>
      <c r="R56" s="26" t="s">
        <v>668</v>
      </c>
      <c r="S56" s="17" t="s">
        <v>21</v>
      </c>
    </row>
    <row r="57" customFormat="false" ht="15" hidden="false" customHeight="false" outlineLevel="0" collapsed="false">
      <c r="A57" s="17" t="s">
        <v>779</v>
      </c>
      <c r="B57" s="17" t="s">
        <v>780</v>
      </c>
      <c r="C57" s="17" t="s">
        <v>781</v>
      </c>
      <c r="D57" s="17" t="s">
        <v>133</v>
      </c>
      <c r="E57" s="18" t="n">
        <v>44770</v>
      </c>
      <c r="F57" s="17" t="s">
        <v>667</v>
      </c>
      <c r="G57" s="23" t="n">
        <v>1.33533616260889</v>
      </c>
      <c r="H57" s="19" t="n">
        <v>85.9</v>
      </c>
      <c r="I57" s="17" t="n">
        <f aca="false">IF(H57="","",RANK(H57,$H$5:$H$363))</f>
        <v>53</v>
      </c>
      <c r="J57" s="24" t="n">
        <v>0.130527006893765</v>
      </c>
      <c r="K57" s="19" t="n">
        <v>67.9</v>
      </c>
      <c r="L57" s="17" t="n">
        <f aca="false">IF(K57="","",RANK(K57,$K$5:$K$363))</f>
        <v>122</v>
      </c>
      <c r="M57" s="25" t="n">
        <v>0.0703738611372919</v>
      </c>
      <c r="N57" s="19" t="n">
        <v>21.3</v>
      </c>
      <c r="O57" s="17" t="n">
        <f aca="false">IF(N57="","",RANK(N57,$N$5:$N$363))</f>
        <v>257</v>
      </c>
      <c r="P57" s="17" t="str">
        <f aca="false">IF(AND(N(H57)&gt;=N(K57),N(H57)&gt;=N(N57)),"The Pulse",IF(N(K57)&gt;=N(N57),"The Lens","The Hub"))</f>
        <v>The Pulse</v>
      </c>
      <c r="Q57" s="20" t="s">
        <v>74</v>
      </c>
      <c r="R57" s="26" t="s">
        <v>668</v>
      </c>
      <c r="S57" s="17" t="s">
        <v>19</v>
      </c>
    </row>
    <row r="58" customFormat="false" ht="15" hidden="false" customHeight="false" outlineLevel="0" collapsed="false">
      <c r="A58" s="17" t="s">
        <v>127</v>
      </c>
      <c r="B58" s="17" t="s">
        <v>128</v>
      </c>
      <c r="C58" s="17" t="s">
        <v>782</v>
      </c>
      <c r="D58" s="17" t="s">
        <v>92</v>
      </c>
      <c r="E58" s="18" t="n">
        <v>19040</v>
      </c>
      <c r="F58" s="17" t="s">
        <v>667</v>
      </c>
      <c r="G58" s="23" t="n">
        <v>1.32384453781513</v>
      </c>
      <c r="H58" s="19" t="n">
        <v>85.7</v>
      </c>
      <c r="I58" s="17" t="n">
        <f aca="false">IF(H58="","",RANK(H58,$H$5:$H$363))</f>
        <v>54</v>
      </c>
      <c r="J58" s="24" t="n">
        <v>-0.0961375412152614</v>
      </c>
      <c r="K58" s="19" t="n">
        <v>1.2</v>
      </c>
      <c r="L58" s="17" t="n">
        <f aca="false">IF(K58="","",RANK(K58,$K$5:$K$363))</f>
        <v>358</v>
      </c>
      <c r="M58" s="25" t="n">
        <v>0.339015151515152</v>
      </c>
      <c r="N58" s="19" t="n">
        <v>94.5</v>
      </c>
      <c r="O58" s="17" t="n">
        <f aca="false">IF(N58="","",RANK(N58,$N$5:$N$363))</f>
        <v>18</v>
      </c>
      <c r="P58" s="17" t="str">
        <f aca="false">IF(AND(N(H58)&gt;=N(K58),N(H58)&gt;=N(N58)),"The Pulse",IF(N(K58)&gt;=N(N58),"The Lens","The Hub"))</f>
        <v>The Hub</v>
      </c>
      <c r="Q58" s="22" t="s">
        <v>83</v>
      </c>
      <c r="R58" s="27" t="s">
        <v>671</v>
      </c>
      <c r="S58" s="17" t="s">
        <v>84</v>
      </c>
    </row>
    <row r="59" customFormat="false" ht="15" hidden="false" customHeight="false" outlineLevel="0" collapsed="false">
      <c r="A59" s="17" t="s">
        <v>783</v>
      </c>
      <c r="B59" s="17" t="s">
        <v>784</v>
      </c>
      <c r="C59" s="17" t="s">
        <v>785</v>
      </c>
      <c r="D59" s="17" t="s">
        <v>77</v>
      </c>
      <c r="E59" s="18" t="n">
        <v>113990</v>
      </c>
      <c r="F59" s="17" t="s">
        <v>670</v>
      </c>
      <c r="G59" s="23" t="n">
        <v>1.32350206158435</v>
      </c>
      <c r="H59" s="19" t="n">
        <v>85.5</v>
      </c>
      <c r="I59" s="17" t="n">
        <f aca="false">IF(H59="","",RANK(H59,$H$5:$H$363))</f>
        <v>55</v>
      </c>
      <c r="J59" s="24" t="n">
        <v>-0.0177932876653311</v>
      </c>
      <c r="K59" s="19" t="n">
        <v>10.1</v>
      </c>
      <c r="L59" s="17" t="n">
        <f aca="false">IF(K59="","",RANK(K59,$K$5:$K$363))</f>
        <v>322</v>
      </c>
      <c r="M59" s="28" t="s">
        <v>680</v>
      </c>
      <c r="N59" s="19"/>
      <c r="O59" s="17" t="str">
        <f aca="false">IF(N59="","",RANK(N59,$N$5:$N$363))</f>
        <v/>
      </c>
      <c r="P59" s="17" t="str">
        <f aca="false">IF(AND(N(H59)&gt;=N(K59),N(H59)&gt;=N(N59)),"The Pulse",IF(N(K59)&gt;=N(N59),"The Lens","The Hub"))</f>
        <v>The Pulse</v>
      </c>
      <c r="Q59" s="20" t="s">
        <v>74</v>
      </c>
      <c r="R59" s="26" t="s">
        <v>668</v>
      </c>
      <c r="S59" s="17" t="s">
        <v>19</v>
      </c>
    </row>
    <row r="60" customFormat="false" ht="15" hidden="false" customHeight="false" outlineLevel="0" collapsed="false">
      <c r="A60" s="17" t="s">
        <v>786</v>
      </c>
      <c r="B60" s="17" t="s">
        <v>787</v>
      </c>
      <c r="C60" s="17" t="s">
        <v>788</v>
      </c>
      <c r="D60" s="17" t="s">
        <v>102</v>
      </c>
      <c r="E60" s="18" t="n">
        <v>79680</v>
      </c>
      <c r="F60" s="17" t="s">
        <v>667</v>
      </c>
      <c r="G60" s="23" t="n">
        <v>1.31784638554217</v>
      </c>
      <c r="H60" s="19" t="n">
        <v>85.3</v>
      </c>
      <c r="I60" s="17" t="n">
        <f aca="false">IF(H60="","",RANK(H60,$H$5:$H$363))</f>
        <v>56</v>
      </c>
      <c r="J60" s="24" t="n">
        <v>0.129091682017855</v>
      </c>
      <c r="K60" s="19" t="n">
        <v>66.3</v>
      </c>
      <c r="L60" s="17" t="n">
        <f aca="false">IF(K60="","",RANK(K60,$K$5:$K$363))</f>
        <v>125</v>
      </c>
      <c r="M60" s="25" t="n">
        <v>0.216647301151368</v>
      </c>
      <c r="N60" s="19" t="n">
        <v>75.4</v>
      </c>
      <c r="O60" s="17" t="n">
        <f aca="false">IF(N60="","",RANK(N60,$N$5:$N$363))</f>
        <v>78</v>
      </c>
      <c r="P60" s="17" t="str">
        <f aca="false">IF(AND(N(H60)&gt;=N(K60),N(H60)&gt;=N(N60)),"The Pulse",IF(N(K60)&gt;=N(N60),"The Lens","The Hub"))</f>
        <v>The Pulse</v>
      </c>
      <c r="Q60" s="21" t="s">
        <v>78</v>
      </c>
      <c r="R60" s="26" t="s">
        <v>668</v>
      </c>
      <c r="S60" s="17" t="s">
        <v>21</v>
      </c>
    </row>
    <row r="61" customFormat="false" ht="15" hidden="false" customHeight="false" outlineLevel="0" collapsed="false">
      <c r="A61" s="17" t="s">
        <v>131</v>
      </c>
      <c r="B61" s="17" t="s">
        <v>132</v>
      </c>
      <c r="C61" s="17" t="s">
        <v>789</v>
      </c>
      <c r="D61" s="17" t="s">
        <v>133</v>
      </c>
      <c r="E61" s="18" t="n">
        <v>38360</v>
      </c>
      <c r="F61" s="17" t="s">
        <v>667</v>
      </c>
      <c r="G61" s="23" t="n">
        <v>1.28915537017727</v>
      </c>
      <c r="H61" s="19" t="n">
        <v>85</v>
      </c>
      <c r="I61" s="17" t="n">
        <f aca="false">IF(H61="","",RANK(H61,$H$5:$H$363))</f>
        <v>57</v>
      </c>
      <c r="J61" s="24" t="n">
        <v>0.101033295063146</v>
      </c>
      <c r="K61" s="19" t="n">
        <v>54.4</v>
      </c>
      <c r="L61" s="17" t="n">
        <f aca="false">IF(K61="","",RANK(K61,$K$5:$K$363))</f>
        <v>163</v>
      </c>
      <c r="M61" s="25" t="n">
        <v>0.127107652399481</v>
      </c>
      <c r="N61" s="19" t="n">
        <v>47.2</v>
      </c>
      <c r="O61" s="17" t="n">
        <f aca="false">IF(N61="","",RANK(N61,$N$5:$N$363))</f>
        <v>171</v>
      </c>
      <c r="P61" s="17" t="str">
        <f aca="false">IF(AND(N(H61)&gt;=N(K61),N(H61)&gt;=N(N61)),"The Pulse",IF(N(K61)&gt;=N(N61),"The Lens","The Hub"))</f>
        <v>The Pulse</v>
      </c>
      <c r="Q61" s="21" t="s">
        <v>78</v>
      </c>
      <c r="R61" s="27" t="s">
        <v>671</v>
      </c>
      <c r="S61" s="17" t="s">
        <v>21</v>
      </c>
    </row>
    <row r="62" customFormat="false" ht="15" hidden="false" customHeight="false" outlineLevel="0" collapsed="false">
      <c r="A62" s="17" t="s">
        <v>463</v>
      </c>
      <c r="B62" s="17" t="s">
        <v>464</v>
      </c>
      <c r="C62" s="17" t="s">
        <v>790</v>
      </c>
      <c r="D62" s="17" t="s">
        <v>92</v>
      </c>
      <c r="E62" s="18" t="n">
        <v>80518</v>
      </c>
      <c r="F62" s="17" t="s">
        <v>667</v>
      </c>
      <c r="G62" s="23" t="n">
        <v>1.28654462356243</v>
      </c>
      <c r="H62" s="19" t="n">
        <v>84.8</v>
      </c>
      <c r="I62" s="17" t="n">
        <f aca="false">IF(H62="","",RANK(H62,$H$5:$H$363))</f>
        <v>58</v>
      </c>
      <c r="J62" s="24" t="n">
        <v>0.0675240304938681</v>
      </c>
      <c r="K62" s="19" t="n">
        <v>34.9</v>
      </c>
      <c r="L62" s="17" t="n">
        <f aca="false">IF(K62="","",RANK(K62,$K$5:$K$363))</f>
        <v>234</v>
      </c>
      <c r="M62" s="25" t="n">
        <v>0.207082995404163</v>
      </c>
      <c r="N62" s="19" t="n">
        <v>73.2</v>
      </c>
      <c r="O62" s="17" t="n">
        <f aca="false">IF(N62="","",RANK(N62,$N$5:$N$363))</f>
        <v>86</v>
      </c>
      <c r="P62" s="17" t="str">
        <f aca="false">IF(AND(N(H62)&gt;=N(K62),N(H62)&gt;=N(N62)),"The Pulse",IF(N(K62)&gt;=N(N62),"The Lens","The Hub"))</f>
        <v>The Pulse</v>
      </c>
      <c r="Q62" s="20" t="s">
        <v>74</v>
      </c>
      <c r="R62" s="27" t="s">
        <v>671</v>
      </c>
      <c r="S62" s="17" t="s">
        <v>19</v>
      </c>
    </row>
    <row r="63" customFormat="false" ht="15" hidden="false" customHeight="false" outlineLevel="0" collapsed="false">
      <c r="A63" s="17" t="s">
        <v>791</v>
      </c>
      <c r="B63" s="17" t="s">
        <v>792</v>
      </c>
      <c r="C63" s="17" t="s">
        <v>793</v>
      </c>
      <c r="D63" s="17" t="s">
        <v>102</v>
      </c>
      <c r="E63" s="18" t="n">
        <v>71800</v>
      </c>
      <c r="F63" s="17" t="s">
        <v>667</v>
      </c>
      <c r="G63" s="23" t="n">
        <v>1.28186629526462</v>
      </c>
      <c r="H63" s="19" t="n">
        <v>84.4</v>
      </c>
      <c r="I63" s="17" t="n">
        <f aca="false">IF(H63="","",RANK(H63,$H$5:$H$363))</f>
        <v>59</v>
      </c>
      <c r="J63" s="24" t="n">
        <v>0.0724421209858103</v>
      </c>
      <c r="K63" s="19" t="n">
        <v>40.5</v>
      </c>
      <c r="L63" s="17" t="n">
        <f aca="false">IF(K63="","",RANK(K63,$K$5:$K$363))</f>
        <v>215</v>
      </c>
      <c r="M63" s="28" t="s">
        <v>680</v>
      </c>
      <c r="N63" s="19"/>
      <c r="O63" s="17" t="str">
        <f aca="false">IF(N63="","",RANK(N63,$N$5:$N$363))</f>
        <v/>
      </c>
      <c r="P63" s="17" t="str">
        <f aca="false">IF(AND(N(H63)&gt;=N(K63),N(H63)&gt;=N(N63)),"The Pulse",IF(N(K63)&gt;=N(N63),"The Lens","The Hub"))</f>
        <v>The Pulse</v>
      </c>
      <c r="Q63" s="21" t="s">
        <v>78</v>
      </c>
      <c r="R63" s="26" t="s">
        <v>668</v>
      </c>
      <c r="S63" s="17" t="s">
        <v>21</v>
      </c>
    </row>
    <row r="64" customFormat="false" ht="15" hidden="false" customHeight="false" outlineLevel="0" collapsed="false">
      <c r="A64" s="17" t="s">
        <v>267</v>
      </c>
      <c r="B64" s="17" t="s">
        <v>268</v>
      </c>
      <c r="C64" s="17" t="s">
        <v>794</v>
      </c>
      <c r="D64" s="17" t="s">
        <v>114</v>
      </c>
      <c r="E64" s="18" t="n">
        <v>4560</v>
      </c>
      <c r="F64" s="17" t="s">
        <v>678</v>
      </c>
      <c r="G64" s="23" t="n">
        <v>1.27828947368421</v>
      </c>
      <c r="H64" s="19" t="n">
        <v>84.2</v>
      </c>
      <c r="I64" s="17" t="n">
        <f aca="false">IF(H64="","",RANK(H64,$H$5:$H$363))</f>
        <v>60</v>
      </c>
      <c r="J64" s="24" t="n">
        <v>0.0593942262186465</v>
      </c>
      <c r="K64" s="19" t="n">
        <v>33.3</v>
      </c>
      <c r="L64" s="17" t="n">
        <f aca="false">IF(K64="","",RANK(K64,$K$5:$K$363))</f>
        <v>238</v>
      </c>
      <c r="M64" s="28" t="s">
        <v>680</v>
      </c>
      <c r="N64" s="19"/>
      <c r="O64" s="17" t="str">
        <f aca="false">IF(N64="","",RANK(N64,$N$5:$N$363))</f>
        <v/>
      </c>
      <c r="P64" s="17" t="str">
        <f aca="false">IF(AND(N(H64)&gt;=N(K64),N(H64)&gt;=N(N64)),"The Pulse",IF(N(K64)&gt;=N(N64),"The Lens","The Hub"))</f>
        <v>The Pulse</v>
      </c>
      <c r="Q64" s="22" t="s">
        <v>83</v>
      </c>
      <c r="R64" s="27" t="s">
        <v>671</v>
      </c>
      <c r="S64" s="17" t="s">
        <v>84</v>
      </c>
    </row>
    <row r="65" customFormat="false" ht="15" hidden="false" customHeight="false" outlineLevel="0" collapsed="false">
      <c r="A65" s="17" t="s">
        <v>795</v>
      </c>
      <c r="B65" s="17" t="s">
        <v>796</v>
      </c>
      <c r="C65" s="17" t="s">
        <v>797</v>
      </c>
      <c r="D65" s="17" t="s">
        <v>138</v>
      </c>
      <c r="E65" s="18" t="n">
        <v>17320</v>
      </c>
      <c r="F65" s="17" t="s">
        <v>667</v>
      </c>
      <c r="G65" s="23" t="n">
        <v>1.23521939953811</v>
      </c>
      <c r="H65" s="19" t="n">
        <v>83.8</v>
      </c>
      <c r="I65" s="17" t="n">
        <f aca="false">IF(H65="","",RANK(H65,$H$5:$H$363))</f>
        <v>61</v>
      </c>
      <c r="J65" s="24" t="n">
        <v>0.0858934169278997</v>
      </c>
      <c r="K65" s="19" t="n">
        <v>49.6</v>
      </c>
      <c r="L65" s="17" t="n">
        <f aca="false">IF(K65="","",RANK(K65,$K$5:$K$363))</f>
        <v>179</v>
      </c>
      <c r="M65" s="25" t="n">
        <v>0.195774647887324</v>
      </c>
      <c r="N65" s="19" t="n">
        <v>69.3</v>
      </c>
      <c r="O65" s="17" t="n">
        <f aca="false">IF(N65="","",RANK(N65,$N$5:$N$363))</f>
        <v>99</v>
      </c>
      <c r="P65" s="17" t="str">
        <f aca="false">IF(AND(N(H65)&gt;=N(K65),N(H65)&gt;=N(N65)),"The Pulse",IF(N(K65)&gt;=N(N65),"The Lens","The Hub"))</f>
        <v>The Pulse</v>
      </c>
      <c r="Q65" s="21" t="s">
        <v>78</v>
      </c>
      <c r="R65" s="26" t="s">
        <v>668</v>
      </c>
      <c r="S65" s="17" t="s">
        <v>21</v>
      </c>
    </row>
    <row r="66" customFormat="false" ht="15" hidden="false" customHeight="false" outlineLevel="0" collapsed="false">
      <c r="A66" s="17" t="s">
        <v>798</v>
      </c>
      <c r="B66" s="17" t="s">
        <v>799</v>
      </c>
      <c r="C66" s="17" t="s">
        <v>800</v>
      </c>
      <c r="D66" s="17" t="s">
        <v>81</v>
      </c>
      <c r="E66" s="18" t="n">
        <v>536210</v>
      </c>
      <c r="F66" s="17" t="s">
        <v>670</v>
      </c>
      <c r="G66" s="23" t="n">
        <v>1.2208892038567</v>
      </c>
      <c r="H66" s="19" t="n">
        <v>83.5</v>
      </c>
      <c r="I66" s="17" t="n">
        <f aca="false">IF(H66="","",RANK(H66,$H$5:$H$363))</f>
        <v>62</v>
      </c>
      <c r="J66" s="24" t="n">
        <v>0.113489963825749</v>
      </c>
      <c r="K66" s="19" t="n">
        <v>63.8</v>
      </c>
      <c r="L66" s="17" t="n">
        <f aca="false">IF(K66="","",RANK(K66,$K$5:$K$363))</f>
        <v>132</v>
      </c>
      <c r="M66" s="28" t="s">
        <v>680</v>
      </c>
      <c r="N66" s="19"/>
      <c r="O66" s="17" t="str">
        <f aca="false">IF(N66="","",RANK(N66,$N$5:$N$363))</f>
        <v/>
      </c>
      <c r="P66" s="17" t="str">
        <f aca="false">IF(AND(N(H66)&gt;=N(K66),N(H66)&gt;=N(N66)),"The Pulse",IF(N(K66)&gt;=N(N66),"The Lens","The Hub"))</f>
        <v>The Pulse</v>
      </c>
      <c r="Q66" s="20" t="s">
        <v>74</v>
      </c>
      <c r="R66" s="26" t="s">
        <v>668</v>
      </c>
      <c r="S66" s="17" t="s">
        <v>19</v>
      </c>
    </row>
    <row r="67" customFormat="false" ht="15" hidden="false" customHeight="false" outlineLevel="0" collapsed="false">
      <c r="A67" s="17" t="s">
        <v>801</v>
      </c>
      <c r="B67" s="17" t="s">
        <v>802</v>
      </c>
      <c r="C67" s="17" t="s">
        <v>803</v>
      </c>
      <c r="D67" s="17" t="s">
        <v>87</v>
      </c>
      <c r="E67" s="18" t="n">
        <v>24453</v>
      </c>
      <c r="F67" s="17" t="s">
        <v>667</v>
      </c>
      <c r="G67" s="23" t="n">
        <v>1.2157608473398</v>
      </c>
      <c r="H67" s="19" t="n">
        <v>83.3</v>
      </c>
      <c r="I67" s="17" t="n">
        <f aca="false">IF(H67="","",RANK(H67,$H$5:$H$363))</f>
        <v>63</v>
      </c>
      <c r="J67" s="24" t="n">
        <v>0.0395357734982783</v>
      </c>
      <c r="K67" s="19" t="n">
        <v>23.8</v>
      </c>
      <c r="L67" s="17" t="n">
        <f aca="false">IF(K67="","",RANK(K67,$K$5:$K$363))</f>
        <v>273</v>
      </c>
      <c r="M67" s="28" t="s">
        <v>680</v>
      </c>
      <c r="N67" s="19"/>
      <c r="O67" s="17" t="str">
        <f aca="false">IF(N67="","",RANK(N67,$N$5:$N$363))</f>
        <v/>
      </c>
      <c r="P67" s="17" t="str">
        <f aca="false">IF(AND(N(H67)&gt;=N(K67),N(H67)&gt;=N(N67)),"The Pulse",IF(N(K67)&gt;=N(N67),"The Lens","The Hub"))</f>
        <v>The Pulse</v>
      </c>
      <c r="Q67" s="20" t="s">
        <v>74</v>
      </c>
      <c r="R67" s="26" t="s">
        <v>668</v>
      </c>
      <c r="S67" s="17" t="s">
        <v>19</v>
      </c>
    </row>
    <row r="68" customFormat="false" ht="15" hidden="false" customHeight="false" outlineLevel="0" collapsed="false">
      <c r="A68" s="17" t="s">
        <v>804</v>
      </c>
      <c r="B68" s="17" t="s">
        <v>805</v>
      </c>
      <c r="C68" s="17" t="s">
        <v>806</v>
      </c>
      <c r="D68" s="17" t="s">
        <v>105</v>
      </c>
      <c r="E68" s="18" t="n">
        <v>79114</v>
      </c>
      <c r="F68" s="17" t="s">
        <v>667</v>
      </c>
      <c r="G68" s="23" t="n">
        <v>1.21505675354552</v>
      </c>
      <c r="H68" s="19" t="n">
        <v>83.1</v>
      </c>
      <c r="I68" s="17" t="n">
        <f aca="false">IF(H68="","",RANK(H68,$H$5:$H$363))</f>
        <v>64</v>
      </c>
      <c r="J68" s="24" t="n">
        <v>0.0439406734930856</v>
      </c>
      <c r="K68" s="19" t="n">
        <v>25.8</v>
      </c>
      <c r="L68" s="17" t="n">
        <f aca="false">IF(K68="","",RANK(K68,$K$5:$K$363))</f>
        <v>266</v>
      </c>
      <c r="M68" s="25" t="n">
        <v>0.249720795175341</v>
      </c>
      <c r="N68" s="19" t="n">
        <v>80.9</v>
      </c>
      <c r="O68" s="17" t="n">
        <f aca="false">IF(N68="","",RANK(N68,$N$5:$N$363))</f>
        <v>62</v>
      </c>
      <c r="P68" s="17" t="str">
        <f aca="false">IF(AND(N(H68)&gt;=N(K68),N(H68)&gt;=N(N68)),"The Pulse",IF(N(K68)&gt;=N(N68),"The Lens","The Hub"))</f>
        <v>The Pulse</v>
      </c>
      <c r="Q68" s="20" t="s">
        <v>74</v>
      </c>
      <c r="R68" s="26" t="s">
        <v>668</v>
      </c>
      <c r="S68" s="17" t="s">
        <v>19</v>
      </c>
    </row>
    <row r="69" customFormat="false" ht="15" hidden="false" customHeight="false" outlineLevel="0" collapsed="false">
      <c r="A69" s="17" t="s">
        <v>807</v>
      </c>
      <c r="B69" s="17" t="s">
        <v>808</v>
      </c>
      <c r="C69" s="17" t="s">
        <v>809</v>
      </c>
      <c r="D69" s="17" t="s">
        <v>81</v>
      </c>
      <c r="E69" s="18" t="n">
        <v>277550</v>
      </c>
      <c r="F69" s="17" t="s">
        <v>670</v>
      </c>
      <c r="G69" s="23" t="n">
        <v>1.19875337776977</v>
      </c>
      <c r="H69" s="19" t="n">
        <v>82.7</v>
      </c>
      <c r="I69" s="17" t="n">
        <f aca="false">IF(H69="","",RANK(H69,$H$5:$H$363))</f>
        <v>65</v>
      </c>
      <c r="J69" s="24" t="n">
        <v>0.165099487868357</v>
      </c>
      <c r="K69" s="19" t="n">
        <v>87</v>
      </c>
      <c r="L69" s="17" t="n">
        <f aca="false">IF(K69="","",RANK(K69,$K$5:$K$363))</f>
        <v>50</v>
      </c>
      <c r="M69" s="25" t="n">
        <v>0.134255620185505</v>
      </c>
      <c r="N69" s="19" t="n">
        <v>50.8</v>
      </c>
      <c r="O69" s="17" t="n">
        <f aca="false">IF(N69="","",RANK(N69,$N$5:$N$363))</f>
        <v>158</v>
      </c>
      <c r="P69" s="17" t="str">
        <f aca="false">IF(AND(N(H69)&gt;=N(K69),N(H69)&gt;=N(N69)),"The Pulse",IF(N(K69)&gt;=N(N69),"The Lens","The Hub"))</f>
        <v>The Lens</v>
      </c>
      <c r="Q69" s="21" t="s">
        <v>78</v>
      </c>
      <c r="R69" s="26" t="s">
        <v>668</v>
      </c>
      <c r="S69" s="17" t="s">
        <v>21</v>
      </c>
    </row>
    <row r="70" customFormat="false" ht="15" hidden="false" customHeight="false" outlineLevel="0" collapsed="false">
      <c r="A70" s="17" t="s">
        <v>155</v>
      </c>
      <c r="B70" s="17" t="s">
        <v>156</v>
      </c>
      <c r="C70" s="17" t="s">
        <v>810</v>
      </c>
      <c r="D70" s="17" t="s">
        <v>138</v>
      </c>
      <c r="E70" s="18" t="n">
        <v>8804</v>
      </c>
      <c r="F70" s="17" t="s">
        <v>678</v>
      </c>
      <c r="G70" s="23" t="n">
        <v>1.19445706497047</v>
      </c>
      <c r="H70" s="19" t="n">
        <v>82.5</v>
      </c>
      <c r="I70" s="17" t="n">
        <f aca="false">IF(H70="","",RANK(H70,$H$5:$H$363))</f>
        <v>66</v>
      </c>
      <c r="J70" s="24" t="n">
        <v>-0.0228634850166482</v>
      </c>
      <c r="K70" s="19" t="n">
        <v>7.4</v>
      </c>
      <c r="L70" s="17" t="n">
        <f aca="false">IF(K70="","",RANK(K70,$K$5:$K$363))</f>
        <v>333</v>
      </c>
      <c r="M70" s="25" t="n">
        <v>0.364035087719298</v>
      </c>
      <c r="N70" s="19" t="n">
        <v>98.1</v>
      </c>
      <c r="O70" s="17" t="n">
        <f aca="false">IF(N70="","",RANK(N70,$N$5:$N$363))</f>
        <v>8</v>
      </c>
      <c r="P70" s="17" t="str">
        <f aca="false">IF(AND(N(H70)&gt;=N(K70),N(H70)&gt;=N(N70)),"The Pulse",IF(N(K70)&gt;=N(N70),"The Lens","The Hub"))</f>
        <v>The Hub</v>
      </c>
      <c r="Q70" s="20" t="s">
        <v>74</v>
      </c>
      <c r="R70" s="27" t="s">
        <v>671</v>
      </c>
      <c r="S70" s="17" t="s">
        <v>19</v>
      </c>
    </row>
    <row r="71" customFormat="false" ht="15" hidden="false" customHeight="false" outlineLevel="0" collapsed="false">
      <c r="A71" s="17" t="s">
        <v>811</v>
      </c>
      <c r="B71" s="17" t="s">
        <v>812</v>
      </c>
      <c r="C71" s="17" t="s">
        <v>813</v>
      </c>
      <c r="D71" s="17" t="s">
        <v>72</v>
      </c>
      <c r="E71" s="18" t="n">
        <v>6026</v>
      </c>
      <c r="F71" s="17" t="s">
        <v>678</v>
      </c>
      <c r="G71" s="23" t="n">
        <v>1.19332890806505</v>
      </c>
      <c r="H71" s="19" t="n">
        <v>82.3</v>
      </c>
      <c r="I71" s="17" t="n">
        <f aca="false">IF(H71="","",RANK(H71,$H$5:$H$363))</f>
        <v>67</v>
      </c>
      <c r="J71" s="24" t="n">
        <v>0.182960345504515</v>
      </c>
      <c r="K71" s="19" t="n">
        <v>90.7</v>
      </c>
      <c r="L71" s="17" t="n">
        <f aca="false">IF(K71="","",RANK(K71,$K$5:$K$363))</f>
        <v>35</v>
      </c>
      <c r="M71" s="25" t="n">
        <v>0.115479115479116</v>
      </c>
      <c r="N71" s="19" t="n">
        <v>41.4</v>
      </c>
      <c r="O71" s="17" t="n">
        <f aca="false">IF(N71="","",RANK(N71,$N$5:$N$363))</f>
        <v>192</v>
      </c>
      <c r="P71" s="17" t="str">
        <f aca="false">IF(AND(N(H71)&gt;=N(K71),N(H71)&gt;=N(N71)),"The Pulse",IF(N(K71)&gt;=N(N71),"The Lens","The Hub"))</f>
        <v>The Lens</v>
      </c>
      <c r="Q71" s="20" t="s">
        <v>74</v>
      </c>
      <c r="R71" s="26" t="s">
        <v>668</v>
      </c>
      <c r="S71" s="17" t="s">
        <v>19</v>
      </c>
    </row>
    <row r="72" customFormat="false" ht="15" hidden="false" customHeight="false" outlineLevel="0" collapsed="false">
      <c r="A72" s="17" t="s">
        <v>239</v>
      </c>
      <c r="B72" s="17" t="s">
        <v>240</v>
      </c>
      <c r="C72" s="17" t="s">
        <v>814</v>
      </c>
      <c r="D72" s="17" t="s">
        <v>92</v>
      </c>
      <c r="E72" s="18" t="n">
        <v>20080</v>
      </c>
      <c r="F72" s="17" t="s">
        <v>667</v>
      </c>
      <c r="G72" s="23" t="n">
        <v>1.19198207171315</v>
      </c>
      <c r="H72" s="19" t="n">
        <v>82.1</v>
      </c>
      <c r="I72" s="17" t="n">
        <f aca="false">IF(H72="","",RANK(H72,$H$5:$H$363))</f>
        <v>68</v>
      </c>
      <c r="J72" s="24" t="n">
        <v>0.0505938366556794</v>
      </c>
      <c r="K72" s="19" t="n">
        <v>28.6</v>
      </c>
      <c r="L72" s="17" t="n">
        <f aca="false">IF(K72="","",RANK(K72,$K$5:$K$363))</f>
        <v>256</v>
      </c>
      <c r="M72" s="25" t="n">
        <v>0.179505300353357</v>
      </c>
      <c r="N72" s="19" t="n">
        <v>63.8</v>
      </c>
      <c r="O72" s="17" t="n">
        <f aca="false">IF(N72="","",RANK(N72,$N$5:$N$363))</f>
        <v>117</v>
      </c>
      <c r="P72" s="17" t="str">
        <f aca="false">IF(AND(N(H72)&gt;=N(K72),N(H72)&gt;=N(N72)),"The Pulse",IF(N(K72)&gt;=N(N72),"The Lens","The Hub"))</f>
        <v>The Pulse</v>
      </c>
      <c r="Q72" s="20" t="s">
        <v>74</v>
      </c>
      <c r="R72" s="27" t="s">
        <v>671</v>
      </c>
      <c r="S72" s="17" t="s">
        <v>19</v>
      </c>
    </row>
    <row r="73" customFormat="false" ht="15" hidden="false" customHeight="false" outlineLevel="0" collapsed="false">
      <c r="A73" s="17" t="s">
        <v>200</v>
      </c>
      <c r="B73" s="17" t="s">
        <v>201</v>
      </c>
      <c r="C73" s="17" t="s">
        <v>815</v>
      </c>
      <c r="D73" s="17" t="s">
        <v>87</v>
      </c>
      <c r="E73" s="18" t="n">
        <v>38554</v>
      </c>
      <c r="F73" s="17" t="s">
        <v>667</v>
      </c>
      <c r="G73" s="23" t="n">
        <v>1.19108263733984</v>
      </c>
      <c r="H73" s="19" t="n">
        <v>81.8</v>
      </c>
      <c r="I73" s="17" t="n">
        <f aca="false">IF(H73="","",RANK(H73,$H$5:$H$363))</f>
        <v>69</v>
      </c>
      <c r="J73" s="24" t="n">
        <v>0.233017781757708</v>
      </c>
      <c r="K73" s="19" t="n">
        <v>96</v>
      </c>
      <c r="L73" s="17" t="n">
        <f aca="false">IF(K73="","",RANK(K73,$K$5:$K$363))</f>
        <v>17</v>
      </c>
      <c r="M73" s="25" t="n">
        <v>0.0934065934065934</v>
      </c>
      <c r="N73" s="19" t="n">
        <v>32.6</v>
      </c>
      <c r="O73" s="17" t="n">
        <f aca="false">IF(N73="","",RANK(N73,$N$5:$N$363))</f>
        <v>220</v>
      </c>
      <c r="P73" s="17" t="str">
        <f aca="false">IF(AND(N(H73)&gt;=N(K73),N(H73)&gt;=N(N73)),"The Pulse",IF(N(K73)&gt;=N(N73),"The Lens","The Hub"))</f>
        <v>The Lens</v>
      </c>
      <c r="Q73" s="20" t="s">
        <v>74</v>
      </c>
      <c r="R73" s="27" t="s">
        <v>671</v>
      </c>
      <c r="S73" s="17" t="s">
        <v>19</v>
      </c>
    </row>
    <row r="74" customFormat="false" ht="15" hidden="false" customHeight="false" outlineLevel="0" collapsed="false">
      <c r="A74" s="17" t="s">
        <v>143</v>
      </c>
      <c r="B74" s="17" t="s">
        <v>144</v>
      </c>
      <c r="C74" s="17" t="s">
        <v>816</v>
      </c>
      <c r="D74" s="17" t="s">
        <v>114</v>
      </c>
      <c r="E74" s="18" t="n">
        <v>12770</v>
      </c>
      <c r="F74" s="17" t="s">
        <v>667</v>
      </c>
      <c r="G74" s="23" t="n">
        <v>1.18707909162099</v>
      </c>
      <c r="H74" s="19" t="n">
        <v>81.6</v>
      </c>
      <c r="I74" s="17" t="n">
        <f aca="false">IF(H74="","",RANK(H74,$H$5:$H$363))</f>
        <v>70</v>
      </c>
      <c r="J74" s="24" t="n">
        <v>0.0704107292539816</v>
      </c>
      <c r="K74" s="19" t="n">
        <v>39.3</v>
      </c>
      <c r="L74" s="17" t="n">
        <f aca="false">IF(K74="","",RANK(K74,$K$5:$K$363))</f>
        <v>219</v>
      </c>
      <c r="M74" s="25" t="n">
        <v>0.270866141732284</v>
      </c>
      <c r="N74" s="19" t="n">
        <v>85.4</v>
      </c>
      <c r="O74" s="17" t="n">
        <f aca="false">IF(N74="","",RANK(N74,$N$5:$N$363))</f>
        <v>47</v>
      </c>
      <c r="P74" s="17" t="str">
        <f aca="false">IF(AND(N(H74)&gt;=N(K74),N(H74)&gt;=N(N74)),"The Pulse",IF(N(K74)&gt;=N(N74),"The Lens","The Hub"))</f>
        <v>The Hub</v>
      </c>
      <c r="Q74" s="21" t="s">
        <v>78</v>
      </c>
      <c r="R74" s="27" t="s">
        <v>671</v>
      </c>
      <c r="S74" s="17" t="s">
        <v>21</v>
      </c>
    </row>
    <row r="75" customFormat="false" ht="15" hidden="false" customHeight="false" outlineLevel="0" collapsed="false">
      <c r="A75" s="17" t="s">
        <v>817</v>
      </c>
      <c r="B75" s="17" t="s">
        <v>818</v>
      </c>
      <c r="C75" s="17" t="s">
        <v>819</v>
      </c>
      <c r="D75" s="17" t="s">
        <v>102</v>
      </c>
      <c r="E75" s="18" t="n">
        <v>95770</v>
      </c>
      <c r="F75" s="17" t="s">
        <v>667</v>
      </c>
      <c r="G75" s="23" t="n">
        <v>1.1640806097943</v>
      </c>
      <c r="H75" s="19" t="n">
        <v>81</v>
      </c>
      <c r="I75" s="17" t="n">
        <f aca="false">IF(H75="","",RANK(H75,$H$5:$H$363))</f>
        <v>71</v>
      </c>
      <c r="J75" s="24" t="n">
        <v>0.1236653760413</v>
      </c>
      <c r="K75" s="19" t="n">
        <v>63.1</v>
      </c>
      <c r="L75" s="17" t="n">
        <f aca="false">IF(K75="","",RANK(K75,$K$5:$K$363))</f>
        <v>134</v>
      </c>
      <c r="M75" s="25" t="n">
        <v>0.0791800643086817</v>
      </c>
      <c r="N75" s="19" t="n">
        <v>25.4</v>
      </c>
      <c r="O75" s="17" t="n">
        <f aca="false">IF(N75="","",RANK(N75,$N$5:$N$363))</f>
        <v>243</v>
      </c>
      <c r="P75" s="17" t="str">
        <f aca="false">IF(AND(N(H75)&gt;=N(K75),N(H75)&gt;=N(N75)),"The Pulse",IF(N(K75)&gt;=N(N75),"The Lens","The Hub"))</f>
        <v>The Pulse</v>
      </c>
      <c r="Q75" s="21" t="s">
        <v>78</v>
      </c>
      <c r="R75" s="26" t="s">
        <v>668</v>
      </c>
      <c r="S75" s="17" t="s">
        <v>21</v>
      </c>
    </row>
    <row r="76" customFormat="false" ht="15" hidden="false" customHeight="false" outlineLevel="0" collapsed="false">
      <c r="A76" s="17" t="s">
        <v>820</v>
      </c>
      <c r="B76" s="17" t="s">
        <v>821</v>
      </c>
      <c r="C76" s="17" t="s">
        <v>822</v>
      </c>
      <c r="D76" s="17" t="s">
        <v>92</v>
      </c>
      <c r="E76" s="18" t="n">
        <v>106301</v>
      </c>
      <c r="F76" s="17" t="s">
        <v>670</v>
      </c>
      <c r="G76" s="23" t="n">
        <v>1.13648977902372</v>
      </c>
      <c r="H76" s="19" t="n">
        <v>80.6</v>
      </c>
      <c r="I76" s="17" t="n">
        <f aca="false">IF(H76="","",RANK(H76,$H$5:$H$363))</f>
        <v>72</v>
      </c>
      <c r="J76" s="24" t="n">
        <v>-0.00548242536510521</v>
      </c>
      <c r="K76" s="19" t="n">
        <v>11.6</v>
      </c>
      <c r="L76" s="17" t="n">
        <f aca="false">IF(K76="","",RANK(K76,$K$5:$K$363))</f>
        <v>316</v>
      </c>
      <c r="M76" s="25" t="n">
        <v>0.20254045589003</v>
      </c>
      <c r="N76" s="19" t="n">
        <v>71.8</v>
      </c>
      <c r="O76" s="17" t="n">
        <f aca="false">IF(N76="","",RANK(N76,$N$5:$N$363))</f>
        <v>91</v>
      </c>
      <c r="P76" s="17" t="str">
        <f aca="false">IF(AND(N(H76)&gt;=N(K76),N(H76)&gt;=N(N76)),"The Pulse",IF(N(K76)&gt;=N(N76),"The Lens","The Hub"))</f>
        <v>The Pulse</v>
      </c>
      <c r="Q76" s="20" t="s">
        <v>74</v>
      </c>
      <c r="R76" s="26" t="s">
        <v>668</v>
      </c>
      <c r="S76" s="17" t="s">
        <v>19</v>
      </c>
    </row>
    <row r="77" customFormat="false" ht="15" hidden="false" customHeight="false" outlineLevel="0" collapsed="false">
      <c r="A77" s="17" t="s">
        <v>178</v>
      </c>
      <c r="B77" s="17" t="s">
        <v>179</v>
      </c>
      <c r="C77" s="17" t="s">
        <v>823</v>
      </c>
      <c r="D77" s="17" t="s">
        <v>87</v>
      </c>
      <c r="E77" s="18" t="n">
        <v>30971</v>
      </c>
      <c r="F77" s="17" t="s">
        <v>667</v>
      </c>
      <c r="G77" s="23" t="n">
        <v>1.11969261567273</v>
      </c>
      <c r="H77" s="19" t="n">
        <v>80.3</v>
      </c>
      <c r="I77" s="17" t="n">
        <f aca="false">IF(H77="","",RANK(H77,$H$5:$H$363))</f>
        <v>73</v>
      </c>
      <c r="J77" s="24" t="n">
        <v>0.000452240204154149</v>
      </c>
      <c r="K77" s="19" t="n">
        <v>9.5</v>
      </c>
      <c r="L77" s="17" t="n">
        <f aca="false">IF(K77="","",RANK(K77,$K$5:$K$363))</f>
        <v>324</v>
      </c>
      <c r="M77" s="25" t="n">
        <v>0.114649681528662</v>
      </c>
      <c r="N77" s="19" t="n">
        <v>41.2</v>
      </c>
      <c r="O77" s="17" t="n">
        <f aca="false">IF(N77="","",RANK(N77,$N$5:$N$363))</f>
        <v>193</v>
      </c>
      <c r="P77" s="17" t="str">
        <f aca="false">IF(AND(N(H77)&gt;=N(K77),N(H77)&gt;=N(N77)),"The Pulse",IF(N(K77)&gt;=N(N77),"The Lens","The Hub"))</f>
        <v>The Pulse</v>
      </c>
      <c r="Q77" s="20" t="s">
        <v>74</v>
      </c>
      <c r="R77" s="27" t="s">
        <v>671</v>
      </c>
      <c r="S77" s="17" t="s">
        <v>19</v>
      </c>
    </row>
    <row r="78" customFormat="false" ht="15" hidden="false" customHeight="false" outlineLevel="0" collapsed="false">
      <c r="A78" s="17" t="s">
        <v>271</v>
      </c>
      <c r="B78" s="17" t="s">
        <v>272</v>
      </c>
      <c r="C78" s="17" t="s">
        <v>824</v>
      </c>
      <c r="D78" s="17" t="s">
        <v>92</v>
      </c>
      <c r="E78" s="18" t="n">
        <v>91873</v>
      </c>
      <c r="F78" s="17" t="s">
        <v>667</v>
      </c>
      <c r="G78" s="23" t="n">
        <v>1.10016000348307</v>
      </c>
      <c r="H78" s="19" t="n">
        <v>79.9</v>
      </c>
      <c r="I78" s="17" t="n">
        <f aca="false">IF(H78="","",RANK(H78,$H$5:$H$363))</f>
        <v>74</v>
      </c>
      <c r="J78" s="24" t="n">
        <v>0.0419865942316635</v>
      </c>
      <c r="K78" s="19" t="n">
        <v>24.6</v>
      </c>
      <c r="L78" s="17" t="n">
        <f aca="false">IF(K78="","",RANK(K78,$K$5:$K$363))</f>
        <v>270</v>
      </c>
      <c r="M78" s="28" t="s">
        <v>680</v>
      </c>
      <c r="N78" s="19"/>
      <c r="O78" s="17" t="str">
        <f aca="false">IF(N78="","",RANK(N78,$N$5:$N$363))</f>
        <v/>
      </c>
      <c r="P78" s="17" t="str">
        <f aca="false">IF(AND(N(H78)&gt;=N(K78),N(H78)&gt;=N(N78)),"The Pulse",IF(N(K78)&gt;=N(N78),"The Lens","The Hub"))</f>
        <v>The Pulse</v>
      </c>
      <c r="Q78" s="20" t="s">
        <v>74</v>
      </c>
      <c r="R78" s="27" t="s">
        <v>671</v>
      </c>
      <c r="S78" s="17" t="s">
        <v>19</v>
      </c>
    </row>
    <row r="79" customFormat="false" ht="15" hidden="false" customHeight="false" outlineLevel="0" collapsed="false">
      <c r="A79" s="17" t="s">
        <v>247</v>
      </c>
      <c r="B79" s="17" t="s">
        <v>248</v>
      </c>
      <c r="C79" s="17" t="s">
        <v>825</v>
      </c>
      <c r="D79" s="17" t="s">
        <v>72</v>
      </c>
      <c r="E79" s="18" t="n">
        <v>4928</v>
      </c>
      <c r="F79" s="17" t="s">
        <v>678</v>
      </c>
      <c r="G79" s="23" t="n">
        <v>1.08319805194805</v>
      </c>
      <c r="H79" s="19" t="n">
        <v>79.3</v>
      </c>
      <c r="I79" s="17" t="n">
        <f aca="false">IF(H79="","",RANK(H79,$H$5:$H$363))</f>
        <v>75</v>
      </c>
      <c r="J79" s="24" t="n">
        <v>0.0757476533507968</v>
      </c>
      <c r="K79" s="19" t="n">
        <v>46.3</v>
      </c>
      <c r="L79" s="17" t="n">
        <f aca="false">IF(K79="","",RANK(K79,$K$5:$K$363))</f>
        <v>192</v>
      </c>
      <c r="M79" s="25" t="n">
        <v>0.107843137254902</v>
      </c>
      <c r="N79" s="19" t="n">
        <v>39</v>
      </c>
      <c r="O79" s="17" t="n">
        <f aca="false">IF(N79="","",RANK(N79,$N$5:$N$363))</f>
        <v>201</v>
      </c>
      <c r="P79" s="17" t="str">
        <f aca="false">IF(AND(N(H79)&gt;=N(K79),N(H79)&gt;=N(N79)),"The Pulse",IF(N(K79)&gt;=N(N79),"The Lens","The Hub"))</f>
        <v>The Pulse</v>
      </c>
      <c r="Q79" s="21" t="s">
        <v>78</v>
      </c>
      <c r="R79" s="27" t="s">
        <v>671</v>
      </c>
      <c r="S79" s="17" t="s">
        <v>126</v>
      </c>
    </row>
    <row r="80" customFormat="false" ht="15" hidden="false" customHeight="false" outlineLevel="0" collapsed="false">
      <c r="A80" s="17" t="s">
        <v>826</v>
      </c>
      <c r="B80" s="17" t="s">
        <v>827</v>
      </c>
      <c r="C80" s="17" t="s">
        <v>828</v>
      </c>
      <c r="D80" s="17" t="s">
        <v>138</v>
      </c>
      <c r="E80" s="18" t="n">
        <v>126015</v>
      </c>
      <c r="F80" s="17" t="s">
        <v>670</v>
      </c>
      <c r="G80" s="23" t="n">
        <v>1.08271140294683</v>
      </c>
      <c r="H80" s="19" t="n">
        <v>79.1</v>
      </c>
      <c r="I80" s="17" t="n">
        <f aca="false">IF(H80="","",RANK(H80,$H$5:$H$363))</f>
        <v>76</v>
      </c>
      <c r="J80" s="24" t="n">
        <v>0.057252644914465</v>
      </c>
      <c r="K80" s="19" t="n">
        <v>37.7</v>
      </c>
      <c r="L80" s="17" t="n">
        <f aca="false">IF(K80="","",RANK(K80,$K$5:$K$363))</f>
        <v>225</v>
      </c>
      <c r="M80" s="25" t="n">
        <v>0.163641743933715</v>
      </c>
      <c r="N80" s="19" t="n">
        <v>58.8</v>
      </c>
      <c r="O80" s="17" t="n">
        <f aca="false">IF(N80="","",RANK(N80,$N$5:$N$363))</f>
        <v>133</v>
      </c>
      <c r="P80" s="17" t="str">
        <f aca="false">IF(AND(N(H80)&gt;=N(K80),N(H80)&gt;=N(N80)),"The Pulse",IF(N(K80)&gt;=N(N80),"The Lens","The Hub"))</f>
        <v>The Pulse</v>
      </c>
      <c r="Q80" s="21" t="s">
        <v>78</v>
      </c>
      <c r="R80" s="26" t="s">
        <v>668</v>
      </c>
      <c r="S80" s="17" t="s">
        <v>126</v>
      </c>
    </row>
    <row r="81" customFormat="false" ht="15" hidden="false" customHeight="false" outlineLevel="0" collapsed="false">
      <c r="A81" s="17" t="s">
        <v>829</v>
      </c>
      <c r="B81" s="17" t="s">
        <v>830</v>
      </c>
      <c r="C81" s="17" t="s">
        <v>831</v>
      </c>
      <c r="D81" s="17" t="s">
        <v>81</v>
      </c>
      <c r="E81" s="18" t="n">
        <v>5145</v>
      </c>
      <c r="F81" s="17" t="s">
        <v>678</v>
      </c>
      <c r="G81" s="23" t="n">
        <v>1.06433430515063</v>
      </c>
      <c r="H81" s="19" t="n">
        <v>78.6</v>
      </c>
      <c r="I81" s="17" t="n">
        <f aca="false">IF(H81="","",RANK(H81,$H$5:$H$363))</f>
        <v>77</v>
      </c>
      <c r="J81" s="24" t="n">
        <v>0.0408658709285859</v>
      </c>
      <c r="K81" s="19" t="n">
        <v>20.4</v>
      </c>
      <c r="L81" s="17" t="n">
        <f aca="false">IF(K81="","",RANK(K81,$K$5:$K$363))</f>
        <v>286</v>
      </c>
      <c r="M81" s="25" t="n">
        <v>0.0884353741496599</v>
      </c>
      <c r="N81" s="19" t="n">
        <v>29.8</v>
      </c>
      <c r="O81" s="17" t="n">
        <f aca="false">IF(N81="","",RANK(N81,$N$5:$N$363))</f>
        <v>228</v>
      </c>
      <c r="P81" s="17" t="str">
        <f aca="false">IF(AND(N(H81)&gt;=N(K81),N(H81)&gt;=N(N81)),"The Pulse",IF(N(K81)&gt;=N(N81),"The Lens","The Hub"))</f>
        <v>The Pulse</v>
      </c>
      <c r="Q81" s="20" t="s">
        <v>74</v>
      </c>
      <c r="R81" s="26" t="s">
        <v>668</v>
      </c>
      <c r="S81" s="17" t="s">
        <v>19</v>
      </c>
    </row>
    <row r="82" customFormat="false" ht="15" hidden="false" customHeight="false" outlineLevel="0" collapsed="false">
      <c r="A82" s="17" t="s">
        <v>196</v>
      </c>
      <c r="B82" s="17" t="s">
        <v>197</v>
      </c>
      <c r="C82" s="17" t="s">
        <v>832</v>
      </c>
      <c r="D82" s="17" t="s">
        <v>102</v>
      </c>
      <c r="E82" s="18" t="n">
        <v>49850</v>
      </c>
      <c r="F82" s="17" t="s">
        <v>667</v>
      </c>
      <c r="G82" s="23" t="n">
        <v>1.0545035105316</v>
      </c>
      <c r="H82" s="19" t="n">
        <v>78</v>
      </c>
      <c r="I82" s="17" t="n">
        <f aca="false">IF(H82="","",RANK(H82,$H$5:$H$363))</f>
        <v>78</v>
      </c>
      <c r="J82" s="24" t="n">
        <v>0.11049231454667</v>
      </c>
      <c r="K82" s="19" t="n">
        <v>59.5</v>
      </c>
      <c r="L82" s="17" t="n">
        <f aca="false">IF(K82="","",RANK(K82,$K$5:$K$363))</f>
        <v>145</v>
      </c>
      <c r="M82" s="25" t="n">
        <v>0.0671011344436399</v>
      </c>
      <c r="N82" s="19" t="n">
        <v>19.3</v>
      </c>
      <c r="O82" s="17" t="n">
        <f aca="false">IF(N82="","",RANK(N82,$N$5:$N$363))</f>
        <v>262</v>
      </c>
      <c r="P82" s="17" t="str">
        <f aca="false">IF(AND(N(H82)&gt;=N(K82),N(H82)&gt;=N(N82)),"The Pulse",IF(N(K82)&gt;=N(N82),"The Lens","The Hub"))</f>
        <v>The Pulse</v>
      </c>
      <c r="Q82" s="21" t="s">
        <v>78</v>
      </c>
      <c r="R82" s="27" t="s">
        <v>671</v>
      </c>
      <c r="S82" s="17" t="s">
        <v>21</v>
      </c>
    </row>
    <row r="83" customFormat="false" ht="15" hidden="false" customHeight="false" outlineLevel="0" collapsed="false">
      <c r="A83" s="17" t="s">
        <v>833</v>
      </c>
      <c r="B83" s="17" t="s">
        <v>834</v>
      </c>
      <c r="C83" s="17" t="s">
        <v>835</v>
      </c>
      <c r="D83" s="17" t="s">
        <v>102</v>
      </c>
      <c r="E83" s="18" t="n">
        <v>542650</v>
      </c>
      <c r="F83" s="17" t="s">
        <v>670</v>
      </c>
      <c r="G83" s="23" t="n">
        <v>1.04859670137289</v>
      </c>
      <c r="H83" s="19" t="n">
        <v>77.8</v>
      </c>
      <c r="I83" s="17" t="n">
        <f aca="false">IF(H83="","",RANK(H83,$H$5:$H$363))</f>
        <v>79</v>
      </c>
      <c r="J83" s="24" t="n">
        <v>0.036758946141648</v>
      </c>
      <c r="K83" s="19" t="n">
        <v>25.4</v>
      </c>
      <c r="L83" s="17" t="n">
        <f aca="false">IF(K83="","",RANK(K83,$K$5:$K$363))</f>
        <v>267</v>
      </c>
      <c r="M83" s="25" t="n">
        <v>0.19863875286401</v>
      </c>
      <c r="N83" s="19" t="n">
        <v>70.4</v>
      </c>
      <c r="O83" s="17" t="n">
        <f aca="false">IF(N83="","",RANK(N83,$N$5:$N$363))</f>
        <v>95</v>
      </c>
      <c r="P83" s="17" t="str">
        <f aca="false">IF(AND(N(H83)&gt;=N(K83),N(H83)&gt;=N(N83)),"The Pulse",IF(N(K83)&gt;=N(N83),"The Lens","The Hub"))</f>
        <v>The Pulse</v>
      </c>
      <c r="Q83" s="21" t="s">
        <v>78</v>
      </c>
      <c r="R83" s="26" t="s">
        <v>668</v>
      </c>
      <c r="S83" s="17" t="s">
        <v>21</v>
      </c>
    </row>
    <row r="84" customFormat="false" ht="15" hidden="false" customHeight="false" outlineLevel="0" collapsed="false">
      <c r="A84" s="17" t="s">
        <v>836</v>
      </c>
      <c r="B84" s="17" t="s">
        <v>837</v>
      </c>
      <c r="C84" s="17" t="s">
        <v>838</v>
      </c>
      <c r="D84" s="17" t="s">
        <v>72</v>
      </c>
      <c r="E84" s="18" t="n">
        <v>15810</v>
      </c>
      <c r="F84" s="17" t="s">
        <v>667</v>
      </c>
      <c r="G84" s="23" t="n">
        <v>1.0382036685642</v>
      </c>
      <c r="H84" s="19" t="n">
        <v>77.1</v>
      </c>
      <c r="I84" s="17" t="n">
        <f aca="false">IF(H84="","",RANK(H84,$H$5:$H$363))</f>
        <v>80</v>
      </c>
      <c r="J84" s="24" t="n">
        <v>0.0873452544704264</v>
      </c>
      <c r="K84" s="19" t="n">
        <v>50</v>
      </c>
      <c r="L84" s="17" t="n">
        <f aca="false">IF(K84="","",RANK(K84,$K$5:$K$363))</f>
        <v>177</v>
      </c>
      <c r="M84" s="25" t="n">
        <v>0.174079754601227</v>
      </c>
      <c r="N84" s="19" t="n">
        <v>62.2</v>
      </c>
      <c r="O84" s="17" t="n">
        <f aca="false">IF(N84="","",RANK(N84,$N$5:$N$363))</f>
        <v>122</v>
      </c>
      <c r="P84" s="17" t="str">
        <f aca="false">IF(AND(N(H84)&gt;=N(K84),N(H84)&gt;=N(N84)),"The Pulse",IF(N(K84)&gt;=N(N84),"The Lens","The Hub"))</f>
        <v>The Pulse</v>
      </c>
      <c r="Q84" s="21" t="s">
        <v>78</v>
      </c>
      <c r="R84" s="26" t="s">
        <v>668</v>
      </c>
      <c r="S84" s="17" t="s">
        <v>21</v>
      </c>
    </row>
    <row r="85" customFormat="false" ht="15" hidden="false" customHeight="false" outlineLevel="0" collapsed="false">
      <c r="A85" s="17" t="s">
        <v>363</v>
      </c>
      <c r="B85" s="17" t="s">
        <v>364</v>
      </c>
      <c r="C85" s="17" t="s">
        <v>839</v>
      </c>
      <c r="D85" s="17" t="s">
        <v>87</v>
      </c>
      <c r="E85" s="18" t="n">
        <v>240428</v>
      </c>
      <c r="F85" s="17" t="s">
        <v>670</v>
      </c>
      <c r="G85" s="23" t="n">
        <v>1.03547007836026</v>
      </c>
      <c r="H85" s="19" t="n">
        <v>76.5</v>
      </c>
      <c r="I85" s="17" t="n">
        <f aca="false">IF(H85="","",RANK(H85,$H$5:$H$363))</f>
        <v>81</v>
      </c>
      <c r="J85" s="24" t="n">
        <v>0.0542405879206167</v>
      </c>
      <c r="K85" s="19" t="n">
        <v>34.1</v>
      </c>
      <c r="L85" s="17" t="n">
        <f aca="false">IF(K85="","",RANK(K85,$K$5:$K$363))</f>
        <v>236</v>
      </c>
      <c r="M85" s="28" t="s">
        <v>680</v>
      </c>
      <c r="N85" s="19"/>
      <c r="O85" s="17" t="str">
        <f aca="false">IF(N85="","",RANK(N85,$N$5:$N$363))</f>
        <v/>
      </c>
      <c r="P85" s="17" t="str">
        <f aca="false">IF(AND(N(H85)&gt;=N(K85),N(H85)&gt;=N(N85)),"The Pulse",IF(N(K85)&gt;=N(N85),"The Lens","The Hub"))</f>
        <v>The Pulse</v>
      </c>
      <c r="Q85" s="20" t="s">
        <v>74</v>
      </c>
      <c r="R85" s="27" t="s">
        <v>671</v>
      </c>
      <c r="S85" s="17" t="s">
        <v>19</v>
      </c>
    </row>
    <row r="86" customFormat="false" ht="15" hidden="false" customHeight="false" outlineLevel="0" collapsed="false">
      <c r="A86" s="17" t="s">
        <v>840</v>
      </c>
      <c r="B86" s="17" t="s">
        <v>841</v>
      </c>
      <c r="C86" s="17" t="s">
        <v>842</v>
      </c>
      <c r="D86" s="17" t="s">
        <v>92</v>
      </c>
      <c r="E86" s="18" t="n">
        <v>14450</v>
      </c>
      <c r="F86" s="17" t="s">
        <v>667</v>
      </c>
      <c r="G86" s="23" t="n">
        <v>1.03474048442907</v>
      </c>
      <c r="H86" s="19" t="n">
        <v>76.3</v>
      </c>
      <c r="I86" s="17" t="n">
        <f aca="false">IF(H86="","",RANK(H86,$H$5:$H$363))</f>
        <v>82</v>
      </c>
      <c r="J86" s="24" t="n">
        <v>0.164383561643836</v>
      </c>
      <c r="K86" s="19" t="n">
        <v>83.3</v>
      </c>
      <c r="L86" s="17" t="n">
        <f aca="false">IF(K86="","",RANK(K86,$K$5:$K$363))</f>
        <v>62</v>
      </c>
      <c r="M86" s="25" t="n">
        <v>0.10521582733813</v>
      </c>
      <c r="N86" s="19" t="n">
        <v>37.6</v>
      </c>
      <c r="O86" s="17" t="n">
        <f aca="false">IF(N86="","",RANK(N86,$N$5:$N$363))</f>
        <v>205</v>
      </c>
      <c r="P86" s="17" t="str">
        <f aca="false">IF(AND(N(H86)&gt;=N(K86),N(H86)&gt;=N(N86)),"The Pulse",IF(N(K86)&gt;=N(N86),"The Lens","The Hub"))</f>
        <v>The Lens</v>
      </c>
      <c r="Q86" s="21" t="s">
        <v>78</v>
      </c>
      <c r="R86" s="26" t="s">
        <v>668</v>
      </c>
      <c r="S86" s="17" t="s">
        <v>21</v>
      </c>
    </row>
    <row r="87" customFormat="false" ht="15" hidden="false" customHeight="false" outlineLevel="0" collapsed="false">
      <c r="A87" s="17" t="s">
        <v>467</v>
      </c>
      <c r="B87" s="17" t="s">
        <v>468</v>
      </c>
      <c r="C87" s="17" t="s">
        <v>843</v>
      </c>
      <c r="D87" s="17" t="s">
        <v>133</v>
      </c>
      <c r="E87" s="18" t="n">
        <v>104670</v>
      </c>
      <c r="F87" s="17" t="s">
        <v>670</v>
      </c>
      <c r="G87" s="23" t="n">
        <v>1.02879526129741</v>
      </c>
      <c r="H87" s="19" t="n">
        <v>76.1</v>
      </c>
      <c r="I87" s="17" t="n">
        <f aca="false">IF(H87="","",RANK(H87,$H$5:$H$363))</f>
        <v>83</v>
      </c>
      <c r="J87" s="24" t="n">
        <v>0.140071887593944</v>
      </c>
      <c r="K87" s="19" t="n">
        <v>74.6</v>
      </c>
      <c r="L87" s="17" t="n">
        <f aca="false">IF(K87="","",RANK(K87,$K$5:$K$363))</f>
        <v>96</v>
      </c>
      <c r="M87" s="25" t="n">
        <v>0.054215072981829</v>
      </c>
      <c r="N87" s="19" t="n">
        <v>14.9</v>
      </c>
      <c r="O87" s="17" t="n">
        <f aca="false">IF(N87="","",RANK(N87,$N$5:$N$363))</f>
        <v>275</v>
      </c>
      <c r="P87" s="17" t="str">
        <f aca="false">IF(AND(N(H87)&gt;=N(K87),N(H87)&gt;=N(N87)),"The Pulse",IF(N(K87)&gt;=N(N87),"The Lens","The Hub"))</f>
        <v>The Pulse</v>
      </c>
      <c r="Q87" s="21" t="s">
        <v>78</v>
      </c>
      <c r="R87" s="27" t="s">
        <v>671</v>
      </c>
      <c r="S87" s="17" t="s">
        <v>126</v>
      </c>
    </row>
    <row r="88" customFormat="false" ht="15" hidden="false" customHeight="false" outlineLevel="0" collapsed="false">
      <c r="A88" s="17" t="s">
        <v>164</v>
      </c>
      <c r="B88" s="17" t="s">
        <v>165</v>
      </c>
      <c r="C88" s="17" t="s">
        <v>844</v>
      </c>
      <c r="D88" s="17" t="s">
        <v>102</v>
      </c>
      <c r="E88" s="18" t="n">
        <v>137090</v>
      </c>
      <c r="F88" s="17" t="s">
        <v>670</v>
      </c>
      <c r="G88" s="23" t="n">
        <v>1.01592384564884</v>
      </c>
      <c r="H88" s="19" t="n">
        <v>75.9</v>
      </c>
      <c r="I88" s="17" t="n">
        <f aca="false">IF(H88="","",RANK(H88,$H$5:$H$363))</f>
        <v>84</v>
      </c>
      <c r="J88" s="24" t="n">
        <v>0.0270067797879912</v>
      </c>
      <c r="K88" s="19" t="n">
        <v>23.2</v>
      </c>
      <c r="L88" s="17" t="n">
        <f aca="false">IF(K88="","",RANK(K88,$K$5:$K$363))</f>
        <v>274</v>
      </c>
      <c r="M88" s="25" t="n">
        <v>0.132355338223309</v>
      </c>
      <c r="N88" s="19" t="n">
        <v>49.2</v>
      </c>
      <c r="O88" s="17" t="n">
        <f aca="false">IF(N88="","",RANK(N88,$N$5:$N$363))</f>
        <v>164</v>
      </c>
      <c r="P88" s="17" t="str">
        <f aca="false">IF(AND(N(H88)&gt;=N(K88),N(H88)&gt;=N(N88)),"The Pulse",IF(N(K88)&gt;=N(N88),"The Lens","The Hub"))</f>
        <v>The Pulse</v>
      </c>
      <c r="Q88" s="20" t="s">
        <v>74</v>
      </c>
      <c r="R88" s="27" t="s">
        <v>671</v>
      </c>
      <c r="S88" s="17" t="s">
        <v>19</v>
      </c>
    </row>
    <row r="89" customFormat="false" ht="15" hidden="false" customHeight="false" outlineLevel="0" collapsed="false">
      <c r="A89" s="17" t="s">
        <v>845</v>
      </c>
      <c r="B89" s="17" t="s">
        <v>846</v>
      </c>
      <c r="C89" s="17" t="s">
        <v>847</v>
      </c>
      <c r="D89" s="17" t="s">
        <v>87</v>
      </c>
      <c r="E89" s="18" t="n">
        <v>28360</v>
      </c>
      <c r="F89" s="17" t="s">
        <v>667</v>
      </c>
      <c r="G89" s="23" t="n">
        <v>1.01502115655853</v>
      </c>
      <c r="H89" s="19" t="n">
        <v>75.6</v>
      </c>
      <c r="I89" s="17" t="n">
        <f aca="false">IF(H89="","",RANK(H89,$H$5:$H$363))</f>
        <v>85</v>
      </c>
      <c r="J89" s="24" t="n">
        <v>0.0384474551446357</v>
      </c>
      <c r="K89" s="19" t="n">
        <v>23</v>
      </c>
      <c r="L89" s="17" t="n">
        <f aca="false">IF(K89="","",RANK(K89,$K$5:$K$363))</f>
        <v>275</v>
      </c>
      <c r="M89" s="25" t="n">
        <v>0.155192532088681</v>
      </c>
      <c r="N89" s="19" t="n">
        <v>56.9</v>
      </c>
      <c r="O89" s="17" t="n">
        <f aca="false">IF(N89="","",RANK(N89,$N$5:$N$363))</f>
        <v>139</v>
      </c>
      <c r="P89" s="17" t="str">
        <f aca="false">IF(AND(N(H89)&gt;=N(K89),N(H89)&gt;=N(N89)),"The Pulse",IF(N(K89)&gt;=N(N89),"The Lens","The Hub"))</f>
        <v>The Pulse</v>
      </c>
      <c r="Q89" s="21" t="s">
        <v>78</v>
      </c>
      <c r="R89" s="26" t="s">
        <v>668</v>
      </c>
      <c r="S89" s="17" t="s">
        <v>21</v>
      </c>
    </row>
    <row r="90" customFormat="false" ht="15" hidden="false" customHeight="false" outlineLevel="0" collapsed="false">
      <c r="A90" s="17" t="s">
        <v>166</v>
      </c>
      <c r="B90" s="17" t="s">
        <v>167</v>
      </c>
      <c r="C90" s="17" t="s">
        <v>848</v>
      </c>
      <c r="D90" s="17" t="s">
        <v>105</v>
      </c>
      <c r="E90" s="18" t="n">
        <v>8967</v>
      </c>
      <c r="F90" s="17" t="s">
        <v>678</v>
      </c>
      <c r="G90" s="23" t="n">
        <v>0.999107839857254</v>
      </c>
      <c r="H90" s="19" t="n">
        <v>75.4</v>
      </c>
      <c r="I90" s="17" t="n">
        <f aca="false">IF(H90="","",RANK(H90,$H$5:$H$363))</f>
        <v>86</v>
      </c>
      <c r="J90" s="24" t="n">
        <v>0.108816619265488</v>
      </c>
      <c r="K90" s="19" t="n">
        <v>66.7</v>
      </c>
      <c r="L90" s="17" t="n">
        <f aca="false">IF(K90="","",RANK(K90,$K$5:$K$363))</f>
        <v>123</v>
      </c>
      <c r="M90" s="25" t="n">
        <v>0.308943089430894</v>
      </c>
      <c r="N90" s="19" t="n">
        <v>92.8</v>
      </c>
      <c r="O90" s="17" t="n">
        <f aca="false">IF(N90="","",RANK(N90,$N$5:$N$363))</f>
        <v>24</v>
      </c>
      <c r="P90" s="17" t="str">
        <f aca="false">IF(AND(N(H90)&gt;=N(K90),N(H90)&gt;=N(N90)),"The Pulse",IF(N(K90)&gt;=N(N90),"The Lens","The Hub"))</f>
        <v>The Hub</v>
      </c>
      <c r="Q90" s="20" t="s">
        <v>74</v>
      </c>
      <c r="R90" s="27" t="s">
        <v>671</v>
      </c>
      <c r="S90" s="17" t="s">
        <v>19</v>
      </c>
    </row>
    <row r="91" customFormat="false" ht="15" hidden="false" customHeight="false" outlineLevel="0" collapsed="false">
      <c r="A91" s="17" t="s">
        <v>849</v>
      </c>
      <c r="B91" s="17" t="s">
        <v>850</v>
      </c>
      <c r="C91" s="17" t="s">
        <v>851</v>
      </c>
      <c r="D91" s="17" t="s">
        <v>105</v>
      </c>
      <c r="E91" s="18" t="n">
        <v>13235</v>
      </c>
      <c r="F91" s="17" t="s">
        <v>667</v>
      </c>
      <c r="G91" s="23" t="n">
        <v>0.997279939554212</v>
      </c>
      <c r="H91" s="19" t="n">
        <v>75.2</v>
      </c>
      <c r="I91" s="17" t="n">
        <f aca="false">IF(H91="","",RANK(H91,$H$5:$H$363))</f>
        <v>87</v>
      </c>
      <c r="J91" s="24" t="n">
        <v>0.010151121966112</v>
      </c>
      <c r="K91" s="19" t="n">
        <v>11.1</v>
      </c>
      <c r="L91" s="17" t="n">
        <f aca="false">IF(K91="","",RANK(K91,$K$5:$K$363))</f>
        <v>317</v>
      </c>
      <c r="M91" s="25" t="n">
        <v>0.0425531914893617</v>
      </c>
      <c r="N91" s="19" t="n">
        <v>10.8</v>
      </c>
      <c r="O91" s="17" t="n">
        <f aca="false">IF(N91="","",RANK(N91,$N$5:$N$363))</f>
        <v>289</v>
      </c>
      <c r="P91" s="17" t="str">
        <f aca="false">IF(AND(N(H91)&gt;=N(K91),N(H91)&gt;=N(N91)),"The Pulse",IF(N(K91)&gt;=N(N91),"The Lens","The Hub"))</f>
        <v>The Pulse</v>
      </c>
      <c r="Q91" s="20" t="s">
        <v>74</v>
      </c>
      <c r="R91" s="26" t="s">
        <v>668</v>
      </c>
      <c r="S91" s="17" t="s">
        <v>19</v>
      </c>
    </row>
    <row r="92" customFormat="false" ht="15" hidden="false" customHeight="false" outlineLevel="0" collapsed="false">
      <c r="A92" s="17" t="s">
        <v>369</v>
      </c>
      <c r="B92" s="17" t="s">
        <v>370</v>
      </c>
      <c r="C92" s="17" t="s">
        <v>852</v>
      </c>
      <c r="D92" s="17" t="s">
        <v>81</v>
      </c>
      <c r="E92" s="18" t="n">
        <v>51999</v>
      </c>
      <c r="F92" s="17" t="s">
        <v>667</v>
      </c>
      <c r="G92" s="23" t="n">
        <v>0.990595972999481</v>
      </c>
      <c r="H92" s="19" t="n">
        <v>75</v>
      </c>
      <c r="I92" s="17" t="n">
        <f aca="false">IF(H92="","",RANK(H92,$H$5:$H$363))</f>
        <v>88</v>
      </c>
      <c r="J92" s="24" t="n">
        <v>0.191680990030939</v>
      </c>
      <c r="K92" s="19" t="n">
        <v>90.1</v>
      </c>
      <c r="L92" s="17" t="n">
        <f aca="false">IF(K92="","",RANK(K92,$K$5:$K$363))</f>
        <v>38</v>
      </c>
      <c r="M92" s="25" t="n">
        <v>0.167428110722924</v>
      </c>
      <c r="N92" s="19" t="n">
        <v>60.5</v>
      </c>
      <c r="O92" s="17" t="n">
        <f aca="false">IF(N92="","",RANK(N92,$N$5:$N$363))</f>
        <v>128</v>
      </c>
      <c r="P92" s="17" t="str">
        <f aca="false">IF(AND(N(H92)&gt;=N(K92),N(H92)&gt;=N(N92)),"The Pulse",IF(N(K92)&gt;=N(N92),"The Lens","The Hub"))</f>
        <v>The Lens</v>
      </c>
      <c r="Q92" s="20" t="s">
        <v>74</v>
      </c>
      <c r="R92" s="27" t="s">
        <v>671</v>
      </c>
      <c r="S92" s="17" t="s">
        <v>19</v>
      </c>
    </row>
    <row r="93" customFormat="false" ht="15" hidden="false" customHeight="false" outlineLevel="0" collapsed="false">
      <c r="A93" s="17" t="s">
        <v>139</v>
      </c>
      <c r="B93" s="17" t="s">
        <v>140</v>
      </c>
      <c r="C93" s="17" t="s">
        <v>853</v>
      </c>
      <c r="D93" s="17" t="s">
        <v>72</v>
      </c>
      <c r="E93" s="18" t="n">
        <v>111343</v>
      </c>
      <c r="F93" s="17" t="s">
        <v>670</v>
      </c>
      <c r="G93" s="23" t="n">
        <v>0.986779590993596</v>
      </c>
      <c r="H93" s="19" t="n">
        <v>74.8</v>
      </c>
      <c r="I93" s="17" t="n">
        <f aca="false">IF(H93="","",RANK(H93,$H$5:$H$363))</f>
        <v>89</v>
      </c>
      <c r="J93" s="24" t="n">
        <v>0.0316223478180302</v>
      </c>
      <c r="K93" s="19" t="n">
        <v>23.9</v>
      </c>
      <c r="L93" s="17" t="n">
        <f aca="false">IF(K93="","",RANK(K93,$K$5:$K$363))</f>
        <v>272</v>
      </c>
      <c r="M93" s="25" t="n">
        <v>0.289338300514458</v>
      </c>
      <c r="N93" s="19" t="n">
        <v>89</v>
      </c>
      <c r="O93" s="17" t="n">
        <f aca="false">IF(N93="","",RANK(N93,$N$5:$N$363))</f>
        <v>37</v>
      </c>
      <c r="P93" s="17" t="str">
        <f aca="false">IF(AND(N(H93)&gt;=N(K93),N(H93)&gt;=N(N93)),"The Pulse",IF(N(K93)&gt;=N(N93),"The Lens","The Hub"))</f>
        <v>The Hub</v>
      </c>
      <c r="Q93" s="20" t="s">
        <v>74</v>
      </c>
      <c r="R93" s="27" t="s">
        <v>671</v>
      </c>
      <c r="S93" s="17" t="s">
        <v>19</v>
      </c>
    </row>
    <row r="94" customFormat="false" ht="15" hidden="false" customHeight="false" outlineLevel="0" collapsed="false">
      <c r="A94" s="17" t="s">
        <v>854</v>
      </c>
      <c r="B94" s="17" t="s">
        <v>855</v>
      </c>
      <c r="C94" s="17" t="s">
        <v>856</v>
      </c>
      <c r="D94" s="17" t="s">
        <v>133</v>
      </c>
      <c r="E94" s="18" t="n">
        <v>122120</v>
      </c>
      <c r="F94" s="17" t="s">
        <v>670</v>
      </c>
      <c r="G94" s="23" t="n">
        <v>0.966680314444808</v>
      </c>
      <c r="H94" s="19" t="n">
        <v>74.6</v>
      </c>
      <c r="I94" s="17" t="n">
        <f aca="false">IF(H94="","",RANK(H94,$H$5:$H$363))</f>
        <v>90</v>
      </c>
      <c r="J94" s="24" t="n">
        <v>0.130112900240607</v>
      </c>
      <c r="K94" s="19" t="n">
        <v>69.6</v>
      </c>
      <c r="L94" s="17" t="n">
        <f aca="false">IF(K94="","",RANK(K94,$K$5:$K$363))</f>
        <v>114</v>
      </c>
      <c r="M94" s="25" t="n">
        <v>0.268305041803902</v>
      </c>
      <c r="N94" s="19" t="n">
        <v>84.8</v>
      </c>
      <c r="O94" s="17" t="n">
        <f aca="false">IF(N94="","",RANK(N94,$N$5:$N$363))</f>
        <v>49</v>
      </c>
      <c r="P94" s="17" t="str">
        <f aca="false">IF(AND(N(H94)&gt;=N(K94),N(H94)&gt;=N(N94)),"The Pulse",IF(N(K94)&gt;=N(N94),"The Lens","The Hub"))</f>
        <v>The Hub</v>
      </c>
      <c r="Q94" s="21" t="s">
        <v>78</v>
      </c>
      <c r="R94" s="26" t="s">
        <v>668</v>
      </c>
      <c r="S94" s="17" t="s">
        <v>21</v>
      </c>
    </row>
    <row r="95" customFormat="false" ht="15" hidden="false" customHeight="false" outlineLevel="0" collapsed="false">
      <c r="A95" s="17" t="s">
        <v>857</v>
      </c>
      <c r="B95" s="17" t="s">
        <v>858</v>
      </c>
      <c r="C95" s="17" t="s">
        <v>859</v>
      </c>
      <c r="D95" s="17" t="s">
        <v>81</v>
      </c>
      <c r="E95" s="18" t="n">
        <v>17530</v>
      </c>
      <c r="F95" s="17" t="s">
        <v>667</v>
      </c>
      <c r="G95" s="23" t="n">
        <v>0.965601825442099</v>
      </c>
      <c r="H95" s="19" t="n">
        <v>74.4</v>
      </c>
      <c r="I95" s="17" t="n">
        <f aca="false">IF(H95="","",RANK(H95,$H$5:$H$363))</f>
        <v>91</v>
      </c>
      <c r="J95" s="24" t="n">
        <v>0.0269478617457528</v>
      </c>
      <c r="K95" s="19" t="n">
        <v>15.9</v>
      </c>
      <c r="L95" s="17" t="n">
        <f aca="false">IF(K95="","",RANK(K95,$K$5:$K$363))</f>
        <v>303</v>
      </c>
      <c r="M95" s="25" t="n">
        <v>0.0754214729370009</v>
      </c>
      <c r="N95" s="19" t="n">
        <v>23.8</v>
      </c>
      <c r="O95" s="17" t="n">
        <f aca="false">IF(N95="","",RANK(N95,$N$5:$N$363))</f>
        <v>249</v>
      </c>
      <c r="P95" s="17" t="str">
        <f aca="false">IF(AND(N(H95)&gt;=N(K95),N(H95)&gt;=N(N95)),"The Pulse",IF(N(K95)&gt;=N(N95),"The Lens","The Hub"))</f>
        <v>The Pulse</v>
      </c>
      <c r="Q95" s="21" t="s">
        <v>78</v>
      </c>
      <c r="R95" s="26" t="s">
        <v>668</v>
      </c>
      <c r="S95" s="17" t="s">
        <v>21</v>
      </c>
    </row>
    <row r="96" customFormat="false" ht="15" hidden="false" customHeight="false" outlineLevel="0" collapsed="false">
      <c r="A96" s="17" t="s">
        <v>860</v>
      </c>
      <c r="B96" s="17" t="s">
        <v>861</v>
      </c>
      <c r="C96" s="17" t="s">
        <v>862</v>
      </c>
      <c r="D96" s="17" t="s">
        <v>102</v>
      </c>
      <c r="E96" s="18" t="n">
        <v>4102</v>
      </c>
      <c r="F96" s="17" t="s">
        <v>678</v>
      </c>
      <c r="G96" s="23" t="n">
        <v>0.955631399317406</v>
      </c>
      <c r="H96" s="19" t="n">
        <v>74.1</v>
      </c>
      <c r="I96" s="17" t="n">
        <f aca="false">IF(H96="","",RANK(H96,$H$5:$H$363))</f>
        <v>92</v>
      </c>
      <c r="J96" s="24" t="n">
        <v>-0.0339142722562412</v>
      </c>
      <c r="K96" s="19" t="n">
        <v>3.7</v>
      </c>
      <c r="L96" s="17" t="n">
        <f aca="false">IF(K96="","",RANK(K96,$K$5:$K$363))</f>
        <v>347</v>
      </c>
      <c r="M96" s="25" t="n">
        <v>0.205</v>
      </c>
      <c r="N96" s="19" t="n">
        <v>72.7</v>
      </c>
      <c r="O96" s="17" t="n">
        <f aca="false">IF(N96="","",RANK(N96,$N$5:$N$363))</f>
        <v>88</v>
      </c>
      <c r="P96" s="17" t="str">
        <f aca="false">IF(AND(N(H96)&gt;=N(K96),N(H96)&gt;=N(N96)),"The Pulse",IF(N(K96)&gt;=N(N96),"The Lens","The Hub"))</f>
        <v>The Pulse</v>
      </c>
      <c r="Q96" s="20" t="s">
        <v>74</v>
      </c>
      <c r="R96" s="26" t="s">
        <v>668</v>
      </c>
      <c r="S96" s="17" t="s">
        <v>19</v>
      </c>
    </row>
    <row r="97" customFormat="false" ht="15" hidden="false" customHeight="false" outlineLevel="0" collapsed="false">
      <c r="A97" s="17" t="s">
        <v>180</v>
      </c>
      <c r="B97" s="17" t="s">
        <v>181</v>
      </c>
      <c r="C97" s="17" t="s">
        <v>863</v>
      </c>
      <c r="D97" s="17" t="s">
        <v>102</v>
      </c>
      <c r="E97" s="18" t="n">
        <v>312722</v>
      </c>
      <c r="F97" s="17" t="s">
        <v>670</v>
      </c>
      <c r="G97" s="23" t="n">
        <v>0.951611974853064</v>
      </c>
      <c r="H97" s="19" t="n">
        <v>73.9</v>
      </c>
      <c r="I97" s="17" t="n">
        <f aca="false">IF(H97="","",RANK(H97,$H$5:$H$363))</f>
        <v>93</v>
      </c>
      <c r="J97" s="24" t="n">
        <v>0.111868817953623</v>
      </c>
      <c r="K97" s="19" t="n">
        <v>63</v>
      </c>
      <c r="L97" s="17" t="n">
        <f aca="false">IF(K97="","",RANK(K97,$K$5:$K$363))</f>
        <v>135</v>
      </c>
      <c r="M97" s="25" t="n">
        <v>0.31243747915972</v>
      </c>
      <c r="N97" s="19" t="n">
        <v>93.4</v>
      </c>
      <c r="O97" s="17" t="n">
        <f aca="false">IF(N97="","",RANK(N97,$N$5:$N$363))</f>
        <v>22</v>
      </c>
      <c r="P97" s="17" t="str">
        <f aca="false">IF(AND(N(H97)&gt;=N(K97),N(H97)&gt;=N(N97)),"The Pulse",IF(N(K97)&gt;=N(N97),"The Lens","The Hub"))</f>
        <v>The Hub</v>
      </c>
      <c r="Q97" s="20" t="s">
        <v>74</v>
      </c>
      <c r="R97" s="27" t="s">
        <v>671</v>
      </c>
      <c r="S97" s="17" t="s">
        <v>19</v>
      </c>
    </row>
    <row r="98" customFormat="false" ht="15" hidden="false" customHeight="false" outlineLevel="0" collapsed="false">
      <c r="A98" s="17" t="s">
        <v>864</v>
      </c>
      <c r="B98" s="17" t="s">
        <v>865</v>
      </c>
      <c r="C98" s="17" t="s">
        <v>866</v>
      </c>
      <c r="D98" s="17" t="s">
        <v>105</v>
      </c>
      <c r="E98" s="18" t="n">
        <v>106595</v>
      </c>
      <c r="F98" s="17" t="s">
        <v>670</v>
      </c>
      <c r="G98" s="23" t="n">
        <v>0.94835592663821</v>
      </c>
      <c r="H98" s="19" t="n">
        <v>73.7</v>
      </c>
      <c r="I98" s="17" t="n">
        <f aca="false">IF(H98="","",RANK(H98,$H$5:$H$363))</f>
        <v>94</v>
      </c>
      <c r="J98" s="24" t="n">
        <v>0.0639710139141197</v>
      </c>
      <c r="K98" s="19" t="n">
        <v>42.8</v>
      </c>
      <c r="L98" s="17" t="n">
        <f aca="false">IF(K98="","",RANK(K98,$K$5:$K$363))</f>
        <v>206</v>
      </c>
      <c r="M98" s="25" t="n">
        <v>0.101538461538462</v>
      </c>
      <c r="N98" s="19" t="n">
        <v>35.1</v>
      </c>
      <c r="O98" s="17" t="n">
        <f aca="false">IF(N98="","",RANK(N98,$N$5:$N$363))</f>
        <v>214</v>
      </c>
      <c r="P98" s="17" t="str">
        <f aca="false">IF(AND(N(H98)&gt;=N(K98),N(H98)&gt;=N(N98)),"The Pulse",IF(N(K98)&gt;=N(N98),"The Lens","The Hub"))</f>
        <v>The Pulse</v>
      </c>
      <c r="Q98" s="20" t="s">
        <v>74</v>
      </c>
      <c r="R98" s="26" t="s">
        <v>668</v>
      </c>
      <c r="S98" s="17" t="s">
        <v>19</v>
      </c>
    </row>
    <row r="99" customFormat="false" ht="15" hidden="false" customHeight="false" outlineLevel="0" collapsed="false">
      <c r="A99" s="17" t="s">
        <v>395</v>
      </c>
      <c r="B99" s="17" t="s">
        <v>396</v>
      </c>
      <c r="C99" s="17" t="s">
        <v>867</v>
      </c>
      <c r="D99" s="17" t="s">
        <v>105</v>
      </c>
      <c r="E99" s="18" t="n">
        <v>40920</v>
      </c>
      <c r="F99" s="17" t="s">
        <v>667</v>
      </c>
      <c r="G99" s="23" t="n">
        <v>0.94574780058651</v>
      </c>
      <c r="H99" s="19" t="n">
        <v>73.5</v>
      </c>
      <c r="I99" s="17" t="n">
        <f aca="false">IF(H99="","",RANK(H99,$H$5:$H$363))</f>
        <v>95</v>
      </c>
      <c r="J99" s="24" t="n">
        <v>0.109544468546638</v>
      </c>
      <c r="K99" s="19" t="n">
        <v>59.1</v>
      </c>
      <c r="L99" s="17" t="n">
        <f aca="false">IF(K99="","",RANK(K99,$K$5:$K$363))</f>
        <v>146</v>
      </c>
      <c r="M99" s="25" t="n">
        <v>0.182247721903476</v>
      </c>
      <c r="N99" s="19" t="n">
        <v>64.9</v>
      </c>
      <c r="O99" s="17" t="n">
        <f aca="false">IF(N99="","",RANK(N99,$N$5:$N$363))</f>
        <v>113</v>
      </c>
      <c r="P99" s="17" t="str">
        <f aca="false">IF(AND(N(H99)&gt;=N(K99),N(H99)&gt;=N(N99)),"The Pulse",IF(N(K99)&gt;=N(N99),"The Lens","The Hub"))</f>
        <v>The Pulse</v>
      </c>
      <c r="Q99" s="21" t="s">
        <v>78</v>
      </c>
      <c r="R99" s="27" t="s">
        <v>671</v>
      </c>
      <c r="S99" s="17" t="s">
        <v>21</v>
      </c>
    </row>
    <row r="100" customFormat="false" ht="15" hidden="false" customHeight="false" outlineLevel="0" collapsed="false">
      <c r="A100" s="17" t="s">
        <v>529</v>
      </c>
      <c r="B100" s="17" t="s">
        <v>530</v>
      </c>
      <c r="C100" s="17" t="s">
        <v>868</v>
      </c>
      <c r="D100" s="17" t="s">
        <v>92</v>
      </c>
      <c r="E100" s="18" t="n">
        <v>9640</v>
      </c>
      <c r="F100" s="17" t="s">
        <v>678</v>
      </c>
      <c r="G100" s="23" t="n">
        <v>0.944917012448133</v>
      </c>
      <c r="H100" s="19" t="n">
        <v>73.3</v>
      </c>
      <c r="I100" s="17" t="n">
        <f aca="false">IF(H100="","",RANK(H100,$H$5:$H$363))</f>
        <v>96</v>
      </c>
      <c r="J100" s="24" t="n">
        <v>0.0843644544431946</v>
      </c>
      <c r="K100" s="19" t="n">
        <v>53.7</v>
      </c>
      <c r="L100" s="17" t="n">
        <f aca="false">IF(K100="","",RANK(K100,$K$5:$K$363))</f>
        <v>164</v>
      </c>
      <c r="M100" s="25" t="n">
        <v>0.208133971291866</v>
      </c>
      <c r="N100" s="19" t="n">
        <v>73.5</v>
      </c>
      <c r="O100" s="17" t="n">
        <f aca="false">IF(N100="","",RANK(N100,$N$5:$N$363))</f>
        <v>85</v>
      </c>
      <c r="P100" s="17" t="str">
        <f aca="false">IF(AND(N(H100)&gt;=N(K100),N(H100)&gt;=N(N100)),"The Pulse",IF(N(K100)&gt;=N(N100),"The Lens","The Hub"))</f>
        <v>The Hub</v>
      </c>
      <c r="Q100" s="21" t="s">
        <v>78</v>
      </c>
      <c r="R100" s="27" t="s">
        <v>671</v>
      </c>
      <c r="S100" s="17" t="s">
        <v>21</v>
      </c>
    </row>
    <row r="101" customFormat="false" ht="15" hidden="false" customHeight="false" outlineLevel="0" collapsed="false">
      <c r="A101" s="17" t="s">
        <v>869</v>
      </c>
      <c r="B101" s="17" t="s">
        <v>870</v>
      </c>
      <c r="C101" s="17" t="s">
        <v>871</v>
      </c>
      <c r="D101" s="17" t="s">
        <v>105</v>
      </c>
      <c r="E101" s="18" t="n">
        <v>106100</v>
      </c>
      <c r="F101" s="17" t="s">
        <v>670</v>
      </c>
      <c r="G101" s="23" t="n">
        <v>0.938642789820924</v>
      </c>
      <c r="H101" s="19" t="n">
        <v>73.1</v>
      </c>
      <c r="I101" s="17" t="n">
        <f aca="false">IF(H101="","",RANK(H101,$H$5:$H$363))</f>
        <v>97</v>
      </c>
      <c r="J101" s="24" t="n">
        <v>0.0887634684453566</v>
      </c>
      <c r="K101" s="19" t="n">
        <v>53.6</v>
      </c>
      <c r="L101" s="17" t="n">
        <f aca="false">IF(K101="","",RANK(K101,$K$5:$K$363))</f>
        <v>165</v>
      </c>
      <c r="M101" s="28" t="s">
        <v>680</v>
      </c>
      <c r="N101" s="19"/>
      <c r="O101" s="17" t="str">
        <f aca="false">IF(N101="","",RANK(N101,$N$5:$N$363))</f>
        <v/>
      </c>
      <c r="P101" s="17" t="str">
        <f aca="false">IF(AND(N(H101)&gt;=N(K101),N(H101)&gt;=N(N101)),"The Pulse",IF(N(K101)&gt;=N(N101),"The Lens","The Hub"))</f>
        <v>The Pulse</v>
      </c>
      <c r="Q101" s="21" t="s">
        <v>78</v>
      </c>
      <c r="R101" s="26" t="s">
        <v>668</v>
      </c>
      <c r="S101" s="17" t="s">
        <v>21</v>
      </c>
    </row>
    <row r="102" customFormat="false" ht="15" hidden="false" customHeight="false" outlineLevel="0" collapsed="false">
      <c r="A102" s="17" t="s">
        <v>872</v>
      </c>
      <c r="B102" s="17" t="s">
        <v>873</v>
      </c>
      <c r="C102" s="17" t="s">
        <v>874</v>
      </c>
      <c r="D102" s="17" t="s">
        <v>133</v>
      </c>
      <c r="E102" s="18" t="n">
        <v>47620</v>
      </c>
      <c r="F102" s="17" t="s">
        <v>667</v>
      </c>
      <c r="G102" s="23" t="n">
        <v>0.937316253674927</v>
      </c>
      <c r="H102" s="19" t="n">
        <v>72.9</v>
      </c>
      <c r="I102" s="17" t="n">
        <f aca="false">IF(H102="","",RANK(H102,$H$5:$H$363))</f>
        <v>98</v>
      </c>
      <c r="J102" s="24" t="n">
        <v>0.107441860465116</v>
      </c>
      <c r="K102" s="19" t="n">
        <v>58.3</v>
      </c>
      <c r="L102" s="17" t="n">
        <f aca="false">IF(K102="","",RANK(K102,$K$5:$K$363))</f>
        <v>149</v>
      </c>
      <c r="M102" s="28" t="s">
        <v>680</v>
      </c>
      <c r="N102" s="19"/>
      <c r="O102" s="17" t="str">
        <f aca="false">IF(N102="","",RANK(N102,$N$5:$N$363))</f>
        <v/>
      </c>
      <c r="P102" s="17" t="str">
        <f aca="false">IF(AND(N(H102)&gt;=N(K102),N(H102)&gt;=N(N102)),"The Pulse",IF(N(K102)&gt;=N(N102),"The Lens","The Hub"))</f>
        <v>The Pulse</v>
      </c>
      <c r="Q102" s="21" t="s">
        <v>78</v>
      </c>
      <c r="R102" s="26" t="s">
        <v>668</v>
      </c>
      <c r="S102" s="17" t="s">
        <v>21</v>
      </c>
    </row>
    <row r="103" customFormat="false" ht="15" hidden="false" customHeight="false" outlineLevel="0" collapsed="false">
      <c r="A103" s="17" t="s">
        <v>875</v>
      </c>
      <c r="B103" s="17" t="s">
        <v>876</v>
      </c>
      <c r="C103" s="17" t="s">
        <v>877</v>
      </c>
      <c r="D103" s="17" t="s">
        <v>81</v>
      </c>
      <c r="E103" s="18" t="n">
        <v>38700</v>
      </c>
      <c r="F103" s="17" t="s">
        <v>667</v>
      </c>
      <c r="G103" s="23" t="n">
        <v>0.930697674418605</v>
      </c>
      <c r="H103" s="19" t="n">
        <v>72.6</v>
      </c>
      <c r="I103" s="17" t="n">
        <f aca="false">IF(H103="","",RANK(H103,$H$5:$H$363))</f>
        <v>99</v>
      </c>
      <c r="J103" s="24" t="n">
        <v>0.162511264644037</v>
      </c>
      <c r="K103" s="19" t="n">
        <v>82.5</v>
      </c>
      <c r="L103" s="17" t="n">
        <f aca="false">IF(K103="","",RANK(K103,$K$5:$K$363))</f>
        <v>65</v>
      </c>
      <c r="M103" s="25" t="n">
        <v>0.309906858594412</v>
      </c>
      <c r="N103" s="19" t="n">
        <v>93.1</v>
      </c>
      <c r="O103" s="17" t="n">
        <f aca="false">IF(N103="","",RANK(N103,$N$5:$N$363))</f>
        <v>23</v>
      </c>
      <c r="P103" s="17" t="str">
        <f aca="false">IF(AND(N(H103)&gt;=N(K103),N(H103)&gt;=N(N103)),"The Pulse",IF(N(K103)&gt;=N(N103),"The Lens","The Hub"))</f>
        <v>The Hub</v>
      </c>
      <c r="Q103" s="21" t="s">
        <v>78</v>
      </c>
      <c r="R103" s="26" t="s">
        <v>668</v>
      </c>
      <c r="S103" s="17" t="s">
        <v>21</v>
      </c>
    </row>
    <row r="104" customFormat="false" ht="15" hidden="false" customHeight="false" outlineLevel="0" collapsed="false">
      <c r="A104" s="17" t="s">
        <v>311</v>
      </c>
      <c r="B104" s="17" t="s">
        <v>312</v>
      </c>
      <c r="C104" s="17" t="s">
        <v>878</v>
      </c>
      <c r="D104" s="17" t="s">
        <v>114</v>
      </c>
      <c r="E104" s="18" t="n">
        <v>53573</v>
      </c>
      <c r="F104" s="17" t="s">
        <v>667</v>
      </c>
      <c r="G104" s="23" t="n">
        <v>0.928490097623803</v>
      </c>
      <c r="H104" s="19" t="n">
        <v>72.4</v>
      </c>
      <c r="I104" s="17" t="n">
        <f aca="false">IF(H104="","",RANK(H104,$H$5:$H$363))</f>
        <v>100</v>
      </c>
      <c r="J104" s="24" t="n">
        <v>0.14864922813036</v>
      </c>
      <c r="K104" s="19" t="n">
        <v>76.6</v>
      </c>
      <c r="L104" s="17" t="n">
        <f aca="false">IF(K104="","",RANK(K104,$K$5:$K$363))</f>
        <v>87</v>
      </c>
      <c r="M104" s="25" t="n">
        <v>0.204234972677596</v>
      </c>
      <c r="N104" s="19" t="n">
        <v>72.4</v>
      </c>
      <c r="O104" s="17" t="n">
        <f aca="false">IF(N104="","",RANK(N104,$N$5:$N$363))</f>
        <v>89</v>
      </c>
      <c r="P104" s="17" t="str">
        <f aca="false">IF(AND(N(H104)&gt;=N(K104),N(H104)&gt;=N(N104)),"The Pulse",IF(N(K104)&gt;=N(N104),"The Lens","The Hub"))</f>
        <v>The Lens</v>
      </c>
      <c r="Q104" s="20" t="s">
        <v>74</v>
      </c>
      <c r="R104" s="27" t="s">
        <v>671</v>
      </c>
      <c r="S104" s="17" t="s">
        <v>19</v>
      </c>
    </row>
    <row r="105" customFormat="false" ht="15" hidden="false" customHeight="false" outlineLevel="0" collapsed="false">
      <c r="A105" s="17" t="s">
        <v>879</v>
      </c>
      <c r="B105" s="17" t="s">
        <v>880</v>
      </c>
      <c r="C105" s="17" t="s">
        <v>881</v>
      </c>
      <c r="D105" s="17" t="s">
        <v>81</v>
      </c>
      <c r="E105" s="18" t="n">
        <v>169730</v>
      </c>
      <c r="F105" s="17" t="s">
        <v>670</v>
      </c>
      <c r="G105" s="23" t="n">
        <v>0.913380074235551</v>
      </c>
      <c r="H105" s="19" t="n">
        <v>72</v>
      </c>
      <c r="I105" s="17" t="n">
        <f aca="false">IF(H105="","",RANK(H105,$H$5:$H$363))</f>
        <v>101</v>
      </c>
      <c r="J105" s="24" t="n">
        <v>0.0571784490812831</v>
      </c>
      <c r="K105" s="19" t="n">
        <v>37</v>
      </c>
      <c r="L105" s="17" t="n">
        <f aca="false">IF(K105="","",RANK(K105,$K$5:$K$363))</f>
        <v>227</v>
      </c>
      <c r="M105" s="25" t="n">
        <v>0.0979697624190065</v>
      </c>
      <c r="N105" s="19" t="n">
        <v>34</v>
      </c>
      <c r="O105" s="17" t="n">
        <f aca="false">IF(N105="","",RANK(N105,$N$5:$N$363))</f>
        <v>216</v>
      </c>
      <c r="P105" s="17" t="str">
        <f aca="false">IF(AND(N(H105)&gt;=N(K105),N(H105)&gt;=N(N105)),"The Pulse",IF(N(K105)&gt;=N(N105),"The Lens","The Hub"))</f>
        <v>The Pulse</v>
      </c>
      <c r="Q105" s="21" t="s">
        <v>78</v>
      </c>
      <c r="R105" s="26" t="s">
        <v>668</v>
      </c>
      <c r="S105" s="17" t="s">
        <v>21</v>
      </c>
    </row>
    <row r="106" customFormat="false" ht="15" hidden="false" customHeight="false" outlineLevel="0" collapsed="false">
      <c r="A106" s="17" t="s">
        <v>882</v>
      </c>
      <c r="B106" s="17" t="s">
        <v>883</v>
      </c>
      <c r="C106" s="17" t="s">
        <v>884</v>
      </c>
      <c r="D106" s="17" t="s">
        <v>87</v>
      </c>
      <c r="E106" s="18" t="n">
        <v>76469</v>
      </c>
      <c r="F106" s="17" t="s">
        <v>667</v>
      </c>
      <c r="G106" s="23" t="n">
        <v>0.904784945533484</v>
      </c>
      <c r="H106" s="19" t="n">
        <v>71.6</v>
      </c>
      <c r="I106" s="17" t="n">
        <f aca="false">IF(H106="","",RANK(H106,$H$5:$H$363))</f>
        <v>102</v>
      </c>
      <c r="J106" s="24" t="n">
        <v>0.169072007338328</v>
      </c>
      <c r="K106" s="19" t="n">
        <v>84.5</v>
      </c>
      <c r="L106" s="17" t="n">
        <f aca="false">IF(K106="","",RANK(K106,$K$5:$K$363))</f>
        <v>59</v>
      </c>
      <c r="M106" s="28" t="s">
        <v>680</v>
      </c>
      <c r="N106" s="19"/>
      <c r="O106" s="17" t="str">
        <f aca="false">IF(N106="","",RANK(N106,$N$5:$N$363))</f>
        <v/>
      </c>
      <c r="P106" s="17" t="str">
        <f aca="false">IF(AND(N(H106)&gt;=N(K106),N(H106)&gt;=N(N106)),"The Pulse",IF(N(K106)&gt;=N(N106),"The Lens","The Hub"))</f>
        <v>The Lens</v>
      </c>
      <c r="Q106" s="22" t="s">
        <v>83</v>
      </c>
      <c r="R106" s="26" t="s">
        <v>668</v>
      </c>
      <c r="S106" s="17" t="s">
        <v>17</v>
      </c>
    </row>
    <row r="107" customFormat="false" ht="15" hidden="false" customHeight="false" outlineLevel="0" collapsed="false">
      <c r="A107" s="17" t="s">
        <v>365</v>
      </c>
      <c r="B107" s="17" t="s">
        <v>366</v>
      </c>
      <c r="C107" s="17" t="s">
        <v>885</v>
      </c>
      <c r="D107" s="17" t="s">
        <v>102</v>
      </c>
      <c r="E107" s="18" t="n">
        <v>3693110</v>
      </c>
      <c r="F107" s="17" t="s">
        <v>752</v>
      </c>
      <c r="G107" s="23" t="n">
        <v>0.90436948804666</v>
      </c>
      <c r="H107" s="19" t="n">
        <v>71.4</v>
      </c>
      <c r="I107" s="17" t="n">
        <f aca="false">IF(H107="","",RANK(H107,$H$5:$H$363))</f>
        <v>103</v>
      </c>
      <c r="J107" s="24" t="n">
        <v>0.132730741390521</v>
      </c>
      <c r="K107" s="19" t="n">
        <v>68.8</v>
      </c>
      <c r="L107" s="17" t="n">
        <f aca="false">IF(K107="","",RANK(K107,$K$5:$K$363))</f>
        <v>117</v>
      </c>
      <c r="M107" s="25" t="n">
        <v>0.0729792482948774</v>
      </c>
      <c r="N107" s="19" t="n">
        <v>22.9</v>
      </c>
      <c r="O107" s="17" t="n">
        <f aca="false">IF(N107="","",RANK(N107,$N$5:$N$363))</f>
        <v>252</v>
      </c>
      <c r="P107" s="17" t="str">
        <f aca="false">IF(AND(N(H107)&gt;=N(K107),N(H107)&gt;=N(N107)),"The Pulse",IF(N(K107)&gt;=N(N107),"The Lens","The Hub"))</f>
        <v>The Pulse</v>
      </c>
      <c r="Q107" s="21" t="s">
        <v>78</v>
      </c>
      <c r="R107" s="27" t="s">
        <v>671</v>
      </c>
      <c r="S107" s="17" t="s">
        <v>21</v>
      </c>
    </row>
    <row r="108" customFormat="false" ht="15" hidden="false" customHeight="false" outlineLevel="0" collapsed="false">
      <c r="A108" s="17" t="s">
        <v>417</v>
      </c>
      <c r="B108" s="17" t="s">
        <v>418</v>
      </c>
      <c r="C108" s="17" t="s">
        <v>886</v>
      </c>
      <c r="D108" s="17" t="s">
        <v>72</v>
      </c>
      <c r="E108" s="18" t="n">
        <v>84880</v>
      </c>
      <c r="F108" s="17" t="s">
        <v>667</v>
      </c>
      <c r="G108" s="23" t="n">
        <v>0.903828934967012</v>
      </c>
      <c r="H108" s="19" t="n">
        <v>71.2</v>
      </c>
      <c r="I108" s="17" t="n">
        <f aca="false">IF(H108="","",RANK(H108,$H$5:$H$363))</f>
        <v>104</v>
      </c>
      <c r="J108" s="24" t="n">
        <v>0.0821009688934217</v>
      </c>
      <c r="K108" s="19" t="n">
        <v>46.8</v>
      </c>
      <c r="L108" s="17" t="n">
        <f aca="false">IF(K108="","",RANK(K108,$K$5:$K$363))</f>
        <v>189</v>
      </c>
      <c r="M108" s="25" t="n">
        <v>0.0814581458145815</v>
      </c>
      <c r="N108" s="19" t="n">
        <v>27.3</v>
      </c>
      <c r="O108" s="17" t="n">
        <f aca="false">IF(N108="","",RANK(N108,$N$5:$N$363))</f>
        <v>236</v>
      </c>
      <c r="P108" s="17" t="str">
        <f aca="false">IF(AND(N(H108)&gt;=N(K108),N(H108)&gt;=N(N108)),"The Pulse",IF(N(K108)&gt;=N(N108),"The Lens","The Hub"))</f>
        <v>The Pulse</v>
      </c>
      <c r="Q108" s="21" t="s">
        <v>78</v>
      </c>
      <c r="R108" s="27" t="s">
        <v>671</v>
      </c>
      <c r="S108" s="17" t="s">
        <v>21</v>
      </c>
    </row>
    <row r="109" customFormat="false" ht="15" hidden="false" customHeight="false" outlineLevel="0" collapsed="false">
      <c r="A109" s="17" t="s">
        <v>887</v>
      </c>
      <c r="B109" s="17" t="s">
        <v>888</v>
      </c>
      <c r="C109" s="17" t="s">
        <v>889</v>
      </c>
      <c r="D109" s="17" t="s">
        <v>102</v>
      </c>
      <c r="E109" s="18" t="n">
        <v>122270</v>
      </c>
      <c r="F109" s="17" t="s">
        <v>670</v>
      </c>
      <c r="G109" s="23" t="n">
        <v>0.901701153185573</v>
      </c>
      <c r="H109" s="19" t="n">
        <v>70.9</v>
      </c>
      <c r="I109" s="17" t="n">
        <f aca="false">IF(H109="","",RANK(H109,$H$5:$H$363))</f>
        <v>105</v>
      </c>
      <c r="J109" s="24" t="n">
        <v>0.014604597128869</v>
      </c>
      <c r="K109" s="19" t="n">
        <v>17.4</v>
      </c>
      <c r="L109" s="17" t="n">
        <f aca="false">IF(K109="","",RANK(K109,$K$5:$K$363))</f>
        <v>297</v>
      </c>
      <c r="M109" s="25" t="n">
        <v>0.279530247166462</v>
      </c>
      <c r="N109" s="19" t="n">
        <v>87.3</v>
      </c>
      <c r="O109" s="17" t="n">
        <f aca="false">IF(N109="","",RANK(N109,$N$5:$N$363))</f>
        <v>42</v>
      </c>
      <c r="P109" s="17" t="str">
        <f aca="false">IF(AND(N(H109)&gt;=N(K109),N(H109)&gt;=N(N109)),"The Pulse",IF(N(K109)&gt;=N(N109),"The Lens","The Hub"))</f>
        <v>The Hub</v>
      </c>
      <c r="Q109" s="21" t="s">
        <v>78</v>
      </c>
      <c r="R109" s="26" t="s">
        <v>668</v>
      </c>
      <c r="S109" s="17" t="s">
        <v>21</v>
      </c>
    </row>
    <row r="110" customFormat="false" ht="15" hidden="false" customHeight="false" outlineLevel="0" collapsed="false">
      <c r="A110" s="17" t="s">
        <v>890</v>
      </c>
      <c r="B110" s="17" t="s">
        <v>891</v>
      </c>
      <c r="C110" s="17" t="s">
        <v>892</v>
      </c>
      <c r="D110" s="17" t="s">
        <v>105</v>
      </c>
      <c r="E110" s="18" t="n">
        <v>207530</v>
      </c>
      <c r="F110" s="17" t="s">
        <v>670</v>
      </c>
      <c r="G110" s="23" t="n">
        <v>0.901334746783598</v>
      </c>
      <c r="H110" s="19" t="n">
        <v>70.7</v>
      </c>
      <c r="I110" s="17" t="n">
        <f aca="false">IF(H110="","",RANK(H110,$H$5:$H$363))</f>
        <v>106</v>
      </c>
      <c r="J110" s="24" t="n">
        <v>0.136341236379565</v>
      </c>
      <c r="K110" s="19" t="n">
        <v>71.7</v>
      </c>
      <c r="L110" s="17" t="n">
        <f aca="false">IF(K110="","",RANK(K110,$K$5:$K$363))</f>
        <v>107</v>
      </c>
      <c r="M110" s="25" t="n">
        <v>0.241673436230707</v>
      </c>
      <c r="N110" s="19" t="n">
        <v>80.1</v>
      </c>
      <c r="O110" s="17" t="n">
        <f aca="false">IF(N110="","",RANK(N110,$N$5:$N$363))</f>
        <v>65</v>
      </c>
      <c r="P110" s="17" t="str">
        <f aca="false">IF(AND(N(H110)&gt;=N(K110),N(H110)&gt;=N(N110)),"The Pulse",IF(N(K110)&gt;=N(N110),"The Lens","The Hub"))</f>
        <v>The Hub</v>
      </c>
      <c r="Q110" s="21" t="s">
        <v>78</v>
      </c>
      <c r="R110" s="26" t="s">
        <v>668</v>
      </c>
      <c r="S110" s="17" t="s">
        <v>21</v>
      </c>
    </row>
    <row r="111" customFormat="false" ht="15" hidden="false" customHeight="false" outlineLevel="0" collapsed="false">
      <c r="A111" s="17" t="s">
        <v>235</v>
      </c>
      <c r="B111" s="17" t="s">
        <v>236</v>
      </c>
      <c r="C111" s="17" t="s">
        <v>893</v>
      </c>
      <c r="D111" s="17" t="s">
        <v>133</v>
      </c>
      <c r="E111" s="18" t="n">
        <v>65444</v>
      </c>
      <c r="F111" s="17" t="s">
        <v>667</v>
      </c>
      <c r="G111" s="23" t="n">
        <v>0.893007762361714</v>
      </c>
      <c r="H111" s="19" t="n">
        <v>70.3</v>
      </c>
      <c r="I111" s="17" t="n">
        <f aca="false">IF(H111="","",RANK(H111,$H$5:$H$363))</f>
        <v>107</v>
      </c>
      <c r="J111" s="24" t="n">
        <v>0.133131330620726</v>
      </c>
      <c r="K111" s="19" t="n">
        <v>69.8</v>
      </c>
      <c r="L111" s="17" t="n">
        <f aca="false">IF(K111="","",RANK(K111,$K$5:$K$363))</f>
        <v>113</v>
      </c>
      <c r="M111" s="25" t="n">
        <v>0.251197445449707</v>
      </c>
      <c r="N111" s="19" t="n">
        <v>81.8</v>
      </c>
      <c r="O111" s="17" t="n">
        <f aca="false">IF(N111="","",RANK(N111,$N$5:$N$363))</f>
        <v>59</v>
      </c>
      <c r="P111" s="17" t="str">
        <f aca="false">IF(AND(N(H111)&gt;=N(K111),N(H111)&gt;=N(N111)),"The Pulse",IF(N(K111)&gt;=N(N111),"The Lens","The Hub"))</f>
        <v>The Hub</v>
      </c>
      <c r="Q111" s="20" t="s">
        <v>74</v>
      </c>
      <c r="R111" s="27" t="s">
        <v>671</v>
      </c>
      <c r="S111" s="17" t="s">
        <v>19</v>
      </c>
    </row>
    <row r="112" customFormat="false" ht="15" hidden="false" customHeight="false" outlineLevel="0" collapsed="false">
      <c r="A112" s="17" t="s">
        <v>393</v>
      </c>
      <c r="B112" s="17" t="s">
        <v>394</v>
      </c>
      <c r="C112" s="17" t="s">
        <v>894</v>
      </c>
      <c r="D112" s="17" t="s">
        <v>105</v>
      </c>
      <c r="E112" s="18" t="n">
        <v>57396</v>
      </c>
      <c r="F112" s="17" t="s">
        <v>667</v>
      </c>
      <c r="G112" s="23" t="n">
        <v>0.889086347480661</v>
      </c>
      <c r="H112" s="19" t="n">
        <v>69.9</v>
      </c>
      <c r="I112" s="17" t="n">
        <f aca="false">IF(H112="","",RANK(H112,$H$5:$H$363))</f>
        <v>108</v>
      </c>
      <c r="J112" s="24" t="n">
        <v>0.0707010409282543</v>
      </c>
      <c r="K112" s="19" t="n">
        <v>40.1</v>
      </c>
      <c r="L112" s="17" t="n">
        <f aca="false">IF(K112="","",RANK(K112,$K$5:$K$363))</f>
        <v>216</v>
      </c>
      <c r="M112" s="28" t="s">
        <v>680</v>
      </c>
      <c r="N112" s="19"/>
      <c r="O112" s="17" t="str">
        <f aca="false">IF(N112="","",RANK(N112,$N$5:$N$363))</f>
        <v/>
      </c>
      <c r="P112" s="17" t="str">
        <f aca="false">IF(AND(N(H112)&gt;=N(K112),N(H112)&gt;=N(N112)),"The Pulse",IF(N(K112)&gt;=N(N112),"The Lens","The Hub"))</f>
        <v>The Pulse</v>
      </c>
      <c r="Q112" s="20" t="s">
        <v>74</v>
      </c>
      <c r="R112" s="27" t="s">
        <v>671</v>
      </c>
      <c r="S112" s="17" t="s">
        <v>19</v>
      </c>
    </row>
    <row r="113" customFormat="false" ht="15" hidden="false" customHeight="false" outlineLevel="0" collapsed="false">
      <c r="A113" s="17" t="s">
        <v>145</v>
      </c>
      <c r="B113" s="17" t="s">
        <v>146</v>
      </c>
      <c r="C113" s="17" t="s">
        <v>895</v>
      </c>
      <c r="D113" s="17" t="s">
        <v>81</v>
      </c>
      <c r="E113" s="18" t="n">
        <v>20520</v>
      </c>
      <c r="F113" s="17" t="s">
        <v>667</v>
      </c>
      <c r="G113" s="23" t="n">
        <v>0.887329434697856</v>
      </c>
      <c r="H113" s="19" t="n">
        <v>69.7</v>
      </c>
      <c r="I113" s="17" t="n">
        <f aca="false">IF(H113="","",RANK(H113,$H$5:$H$363))</f>
        <v>109</v>
      </c>
      <c r="J113" s="24" t="n">
        <v>0.0834213305174234</v>
      </c>
      <c r="K113" s="19" t="n">
        <v>47.2</v>
      </c>
      <c r="L113" s="17" t="n">
        <f aca="false">IF(K113="","",RANK(K113,$K$5:$K$363))</f>
        <v>187</v>
      </c>
      <c r="M113" s="25" t="n">
        <v>0.130788485607009</v>
      </c>
      <c r="N113" s="19" t="n">
        <v>48.1</v>
      </c>
      <c r="O113" s="17" t="n">
        <f aca="false">IF(N113="","",RANK(N113,$N$5:$N$363))</f>
        <v>168</v>
      </c>
      <c r="P113" s="17" t="str">
        <f aca="false">IF(AND(N(H113)&gt;=N(K113),N(H113)&gt;=N(N113)),"The Pulse",IF(N(K113)&gt;=N(N113),"The Lens","The Hub"))</f>
        <v>The Pulse</v>
      </c>
      <c r="Q113" s="21" t="s">
        <v>78</v>
      </c>
      <c r="R113" s="27" t="s">
        <v>671</v>
      </c>
      <c r="S113" s="17" t="s">
        <v>21</v>
      </c>
    </row>
    <row r="114" customFormat="false" ht="15" hidden="false" customHeight="false" outlineLevel="0" collapsed="false">
      <c r="A114" s="17" t="s">
        <v>896</v>
      </c>
      <c r="B114" s="17" t="s">
        <v>897</v>
      </c>
      <c r="C114" s="17" t="s">
        <v>898</v>
      </c>
      <c r="D114" s="17" t="s">
        <v>102</v>
      </c>
      <c r="E114" s="18" t="n">
        <v>11939</v>
      </c>
      <c r="F114" s="17" t="s">
        <v>667</v>
      </c>
      <c r="G114" s="23" t="n">
        <v>0.885501298266186</v>
      </c>
      <c r="H114" s="19" t="n">
        <v>69.4</v>
      </c>
      <c r="I114" s="17" t="n">
        <f aca="false">IF(H114="","",RANK(H114,$H$5:$H$363))</f>
        <v>110</v>
      </c>
      <c r="J114" s="24" t="n">
        <v>0.0767496392496393</v>
      </c>
      <c r="K114" s="19" t="n">
        <v>43.3</v>
      </c>
      <c r="L114" s="17" t="n">
        <f aca="false">IF(K114="","",RANK(K114,$K$5:$K$363))</f>
        <v>204</v>
      </c>
      <c r="M114" s="25" t="n">
        <v>0.131493506493507</v>
      </c>
      <c r="N114" s="19" t="n">
        <v>48.3</v>
      </c>
      <c r="O114" s="17" t="n">
        <f aca="false">IF(N114="","",RANK(N114,$N$5:$N$363))</f>
        <v>167</v>
      </c>
      <c r="P114" s="17" t="str">
        <f aca="false">IF(AND(N(H114)&gt;=N(K114),N(H114)&gt;=N(N114)),"The Pulse",IF(N(K114)&gt;=N(N114),"The Lens","The Hub"))</f>
        <v>The Pulse</v>
      </c>
      <c r="Q114" s="20" t="s">
        <v>74</v>
      </c>
      <c r="R114" s="26" t="s">
        <v>668</v>
      </c>
      <c r="S114" s="17" t="s">
        <v>19</v>
      </c>
    </row>
    <row r="115" customFormat="false" ht="15" hidden="false" customHeight="false" outlineLevel="0" collapsed="false">
      <c r="A115" s="17" t="s">
        <v>899</v>
      </c>
      <c r="B115" s="17" t="s">
        <v>900</v>
      </c>
      <c r="C115" s="17" t="s">
        <v>901</v>
      </c>
      <c r="D115" s="17" t="s">
        <v>87</v>
      </c>
      <c r="E115" s="18" t="n">
        <v>190946</v>
      </c>
      <c r="F115" s="17" t="s">
        <v>670</v>
      </c>
      <c r="G115" s="23" t="n">
        <v>0.866841934368879</v>
      </c>
      <c r="H115" s="19" t="n">
        <v>68.8</v>
      </c>
      <c r="I115" s="17" t="n">
        <f aca="false">IF(H115="","",RANK(H115,$H$5:$H$363))</f>
        <v>111</v>
      </c>
      <c r="J115" s="24" t="n">
        <v>0.0452370786393843</v>
      </c>
      <c r="K115" s="19" t="n">
        <v>29.7</v>
      </c>
      <c r="L115" s="17" t="n">
        <f aca="false">IF(K115="","",RANK(K115,$K$5:$K$363))</f>
        <v>252</v>
      </c>
      <c r="M115" s="25" t="n">
        <v>0.127891156462585</v>
      </c>
      <c r="N115" s="19" t="n">
        <v>47.5</v>
      </c>
      <c r="O115" s="17" t="n">
        <f aca="false">IF(N115="","",RANK(N115,$N$5:$N$363))</f>
        <v>170</v>
      </c>
      <c r="P115" s="17" t="str">
        <f aca="false">IF(AND(N(H115)&gt;=N(K115),N(H115)&gt;=N(N115)),"The Pulse",IF(N(K115)&gt;=N(N115),"The Lens","The Hub"))</f>
        <v>The Pulse</v>
      </c>
      <c r="Q115" s="20" t="s">
        <v>74</v>
      </c>
      <c r="R115" s="26" t="s">
        <v>668</v>
      </c>
      <c r="S115" s="17" t="s">
        <v>19</v>
      </c>
    </row>
    <row r="116" customFormat="false" ht="15" hidden="false" customHeight="false" outlineLevel="0" collapsed="false">
      <c r="A116" s="17" t="s">
        <v>447</v>
      </c>
      <c r="B116" s="17" t="s">
        <v>448</v>
      </c>
      <c r="C116" s="17" t="s">
        <v>902</v>
      </c>
      <c r="D116" s="17" t="s">
        <v>102</v>
      </c>
      <c r="E116" s="18" t="n">
        <v>225775</v>
      </c>
      <c r="F116" s="17" t="s">
        <v>670</v>
      </c>
      <c r="G116" s="23" t="n">
        <v>0.865494408149707</v>
      </c>
      <c r="H116" s="19" t="n">
        <v>68.6</v>
      </c>
      <c r="I116" s="17" t="n">
        <f aca="false">IF(H116="","",RANK(H116,$H$5:$H$363))</f>
        <v>112</v>
      </c>
      <c r="J116" s="24" t="n">
        <v>0.118744766142579</v>
      </c>
      <c r="K116" s="19" t="n">
        <v>65.9</v>
      </c>
      <c r="L116" s="17" t="n">
        <f aca="false">IF(K116="","",RANK(K116,$K$5:$K$363))</f>
        <v>126</v>
      </c>
      <c r="M116" s="28" t="s">
        <v>680</v>
      </c>
      <c r="N116" s="19"/>
      <c r="O116" s="17" t="str">
        <f aca="false">IF(N116="","",RANK(N116,$N$5:$N$363))</f>
        <v/>
      </c>
      <c r="P116" s="17" t="str">
        <f aca="false">IF(AND(N(H116)&gt;=N(K116),N(H116)&gt;=N(N116)),"The Pulse",IF(N(K116)&gt;=N(N116),"The Lens","The Hub"))</f>
        <v>The Pulse</v>
      </c>
      <c r="Q116" s="22" t="s">
        <v>83</v>
      </c>
      <c r="R116" s="27" t="s">
        <v>671</v>
      </c>
      <c r="S116" s="17" t="s">
        <v>17</v>
      </c>
    </row>
    <row r="117" customFormat="false" ht="15" hidden="false" customHeight="false" outlineLevel="0" collapsed="false">
      <c r="A117" s="17" t="s">
        <v>407</v>
      </c>
      <c r="B117" s="17" t="s">
        <v>408</v>
      </c>
      <c r="C117" s="17" t="s">
        <v>903</v>
      </c>
      <c r="D117" s="17" t="s">
        <v>72</v>
      </c>
      <c r="E117" s="18" t="n">
        <v>2449</v>
      </c>
      <c r="F117" s="17" t="s">
        <v>678</v>
      </c>
      <c r="G117" s="23" t="n">
        <v>0.864026133115557</v>
      </c>
      <c r="H117" s="19" t="n">
        <v>68.4</v>
      </c>
      <c r="I117" s="17" t="n">
        <f aca="false">IF(H117="","",RANK(H117,$H$5:$H$363))</f>
        <v>113</v>
      </c>
      <c r="J117" s="24" t="n">
        <v>0.160113690194221</v>
      </c>
      <c r="K117" s="19" t="n">
        <v>79.6</v>
      </c>
      <c r="L117" s="17" t="n">
        <f aca="false">IF(K117="","",RANK(K117,$K$5:$K$363))</f>
        <v>77</v>
      </c>
      <c r="M117" s="25" t="n">
        <v>0.0848484848484849</v>
      </c>
      <c r="N117" s="19" t="n">
        <v>29</v>
      </c>
      <c r="O117" s="17" t="n">
        <f aca="false">IF(N117="","",RANK(N117,$N$5:$N$363))</f>
        <v>231</v>
      </c>
      <c r="P117" s="17" t="str">
        <f aca="false">IF(AND(N(H117)&gt;=N(K117),N(H117)&gt;=N(N117)),"The Pulse",IF(N(K117)&gt;=N(N117),"The Lens","The Hub"))</f>
        <v>The Lens</v>
      </c>
      <c r="Q117" s="20" t="s">
        <v>74</v>
      </c>
      <c r="R117" s="27" t="s">
        <v>671</v>
      </c>
      <c r="S117" s="17" t="s">
        <v>19</v>
      </c>
    </row>
    <row r="118" customFormat="false" ht="15" hidden="false" customHeight="false" outlineLevel="0" collapsed="false">
      <c r="A118" s="17" t="s">
        <v>355</v>
      </c>
      <c r="B118" s="17" t="s">
        <v>356</v>
      </c>
      <c r="C118" s="17" t="s">
        <v>904</v>
      </c>
      <c r="D118" s="17" t="s">
        <v>81</v>
      </c>
      <c r="E118" s="18" t="n">
        <v>243057</v>
      </c>
      <c r="F118" s="17" t="s">
        <v>670</v>
      </c>
      <c r="G118" s="23" t="n">
        <v>0.863328355077204</v>
      </c>
      <c r="H118" s="19" t="n">
        <v>68.2</v>
      </c>
      <c r="I118" s="17" t="n">
        <f aca="false">IF(H118="","",RANK(H118,$H$5:$H$363))</f>
        <v>114</v>
      </c>
      <c r="J118" s="24" t="n">
        <v>-0.0230592377629686</v>
      </c>
      <c r="K118" s="19" t="n">
        <v>8.7</v>
      </c>
      <c r="L118" s="17" t="n">
        <f aca="false">IF(K118="","",RANK(K118,$K$5:$K$363))</f>
        <v>328</v>
      </c>
      <c r="M118" s="25" t="n">
        <v>0.257562375800397</v>
      </c>
      <c r="N118" s="19" t="n">
        <v>84</v>
      </c>
      <c r="O118" s="17" t="n">
        <f aca="false">IF(N118="","",RANK(N118,$N$5:$N$363))</f>
        <v>51</v>
      </c>
      <c r="P118" s="17" t="str">
        <f aca="false">IF(AND(N(H118)&gt;=N(K118),N(H118)&gt;=N(N118)),"The Pulse",IF(N(K118)&gt;=N(N118),"The Lens","The Hub"))</f>
        <v>The Hub</v>
      </c>
      <c r="Q118" s="20" t="s">
        <v>74</v>
      </c>
      <c r="R118" s="27" t="s">
        <v>671</v>
      </c>
      <c r="S118" s="17" t="s">
        <v>19</v>
      </c>
    </row>
    <row r="119" customFormat="false" ht="15" hidden="false" customHeight="false" outlineLevel="0" collapsed="false">
      <c r="A119" s="17" t="s">
        <v>905</v>
      </c>
      <c r="B119" s="17" t="s">
        <v>906</v>
      </c>
      <c r="C119" s="17" t="s">
        <v>907</v>
      </c>
      <c r="D119" s="17" t="s">
        <v>77</v>
      </c>
      <c r="E119" s="18" t="n">
        <v>146480</v>
      </c>
      <c r="F119" s="17" t="s">
        <v>670</v>
      </c>
      <c r="G119" s="23" t="n">
        <v>0.860588476242491</v>
      </c>
      <c r="H119" s="19" t="n">
        <v>67.9</v>
      </c>
      <c r="I119" s="17" t="n">
        <f aca="false">IF(H119="","",RANK(H119,$H$5:$H$363))</f>
        <v>115</v>
      </c>
      <c r="J119" s="24" t="n">
        <v>0.0568542568542569</v>
      </c>
      <c r="K119" s="19" t="n">
        <v>36.2</v>
      </c>
      <c r="L119" s="17" t="n">
        <f aca="false">IF(K119="","",RANK(K119,$K$5:$K$363))</f>
        <v>230</v>
      </c>
      <c r="M119" s="25" t="n">
        <v>0.0675822190097579</v>
      </c>
      <c r="N119" s="19" t="n">
        <v>19.6</v>
      </c>
      <c r="O119" s="17" t="n">
        <f aca="false">IF(N119="","",RANK(N119,$N$5:$N$363))</f>
        <v>261</v>
      </c>
      <c r="P119" s="17" t="str">
        <f aca="false">IF(AND(N(H119)&gt;=N(K119),N(H119)&gt;=N(N119)),"The Pulse",IF(N(K119)&gt;=N(N119),"The Lens","The Hub"))</f>
        <v>The Pulse</v>
      </c>
      <c r="Q119" s="21" t="s">
        <v>78</v>
      </c>
      <c r="R119" s="26" t="s">
        <v>668</v>
      </c>
      <c r="S119" s="17" t="s">
        <v>21</v>
      </c>
    </row>
    <row r="120" customFormat="false" ht="15" hidden="false" customHeight="false" outlineLevel="0" collapsed="false">
      <c r="A120" s="17" t="s">
        <v>908</v>
      </c>
      <c r="B120" s="17" t="s">
        <v>909</v>
      </c>
      <c r="C120" s="17" t="s">
        <v>910</v>
      </c>
      <c r="D120" s="17" t="s">
        <v>72</v>
      </c>
      <c r="E120" s="18" t="n">
        <v>37230</v>
      </c>
      <c r="F120" s="17" t="s">
        <v>667</v>
      </c>
      <c r="G120" s="23" t="n">
        <v>0.857453666398066</v>
      </c>
      <c r="H120" s="19" t="n">
        <v>67.7</v>
      </c>
      <c r="I120" s="17" t="n">
        <f aca="false">IF(H120="","",RANK(H120,$H$5:$H$363))</f>
        <v>116</v>
      </c>
      <c r="J120" s="24" t="n">
        <v>-0.148639378001372</v>
      </c>
      <c r="K120" s="19" t="n">
        <v>0.4</v>
      </c>
      <c r="L120" s="17" t="n">
        <f aca="false">IF(K120="","",RANK(K120,$K$5:$K$363))</f>
        <v>359</v>
      </c>
      <c r="M120" s="25" t="n">
        <v>0.0796156485929993</v>
      </c>
      <c r="N120" s="19" t="n">
        <v>26</v>
      </c>
      <c r="O120" s="17" t="n">
        <f aca="false">IF(N120="","",RANK(N120,$N$5:$N$363))</f>
        <v>241</v>
      </c>
      <c r="P120" s="17" t="str">
        <f aca="false">IF(AND(N(H120)&gt;=N(K120),N(H120)&gt;=N(N120)),"The Pulse",IF(N(K120)&gt;=N(N120),"The Lens","The Hub"))</f>
        <v>The Pulse</v>
      </c>
      <c r="Q120" s="21" t="s">
        <v>78</v>
      </c>
      <c r="R120" s="26" t="s">
        <v>668</v>
      </c>
      <c r="S120" s="17" t="s">
        <v>21</v>
      </c>
    </row>
    <row r="121" customFormat="false" ht="15" hidden="false" customHeight="false" outlineLevel="0" collapsed="false">
      <c r="A121" s="17" t="s">
        <v>911</v>
      </c>
      <c r="B121" s="17" t="s">
        <v>912</v>
      </c>
      <c r="C121" s="17" t="s">
        <v>913</v>
      </c>
      <c r="D121" s="17" t="s">
        <v>77</v>
      </c>
      <c r="E121" s="18" t="n">
        <v>14610</v>
      </c>
      <c r="F121" s="17" t="s">
        <v>667</v>
      </c>
      <c r="G121" s="23" t="n">
        <v>0.853045859000684</v>
      </c>
      <c r="H121" s="19" t="n">
        <v>67.5</v>
      </c>
      <c r="I121" s="17" t="n">
        <f aca="false">IF(H121="","",RANK(H121,$H$5:$H$363))</f>
        <v>117</v>
      </c>
      <c r="J121" s="24" t="n">
        <v>0.0886736214605067</v>
      </c>
      <c r="K121" s="19" t="n">
        <v>50.8</v>
      </c>
      <c r="L121" s="17" t="n">
        <f aca="false">IF(K121="","",RANK(K121,$K$5:$K$363))</f>
        <v>174</v>
      </c>
      <c r="M121" s="28" t="s">
        <v>680</v>
      </c>
      <c r="N121" s="19"/>
      <c r="O121" s="17" t="str">
        <f aca="false">IF(N121="","",RANK(N121,$N$5:$N$363))</f>
        <v/>
      </c>
      <c r="P121" s="17" t="str">
        <f aca="false">IF(AND(N(H121)&gt;=N(K121),N(H121)&gt;=N(N121)),"The Pulse",IF(N(K121)&gt;=N(N121),"The Lens","The Hub"))</f>
        <v>The Pulse</v>
      </c>
      <c r="Q121" s="21" t="s">
        <v>78</v>
      </c>
      <c r="R121" s="26" t="s">
        <v>668</v>
      </c>
      <c r="S121" s="17" t="s">
        <v>21</v>
      </c>
    </row>
    <row r="122" customFormat="false" ht="15" hidden="false" customHeight="false" outlineLevel="0" collapsed="false">
      <c r="A122" s="17" t="s">
        <v>914</v>
      </c>
      <c r="B122" s="17" t="s">
        <v>915</v>
      </c>
      <c r="C122" s="17" t="s">
        <v>916</v>
      </c>
      <c r="D122" s="17" t="s">
        <v>138</v>
      </c>
      <c r="E122" s="18" t="n">
        <v>58510</v>
      </c>
      <c r="F122" s="17" t="s">
        <v>667</v>
      </c>
      <c r="G122" s="23" t="n">
        <v>0.847479063407964</v>
      </c>
      <c r="H122" s="19" t="n">
        <v>67.1</v>
      </c>
      <c r="I122" s="17" t="n">
        <f aca="false">IF(H122="","",RANK(H122,$H$5:$H$363))</f>
        <v>118</v>
      </c>
      <c r="J122" s="24" t="n">
        <v>0.107491221225127</v>
      </c>
      <c r="K122" s="19" t="n">
        <v>58.7</v>
      </c>
      <c r="L122" s="17" t="n">
        <f aca="false">IF(K122="","",RANK(K122,$K$5:$K$363))</f>
        <v>147</v>
      </c>
      <c r="M122" s="25" t="n">
        <v>0.120181405895692</v>
      </c>
      <c r="N122" s="19" t="n">
        <v>42</v>
      </c>
      <c r="O122" s="17" t="n">
        <f aca="false">IF(N122="","",RANK(N122,$N$5:$N$363))</f>
        <v>190</v>
      </c>
      <c r="P122" s="17" t="str">
        <f aca="false">IF(AND(N(H122)&gt;=N(K122),N(H122)&gt;=N(N122)),"The Pulse",IF(N(K122)&gt;=N(N122),"The Lens","The Hub"))</f>
        <v>The Pulse</v>
      </c>
      <c r="Q122" s="21" t="s">
        <v>78</v>
      </c>
      <c r="R122" s="26" t="s">
        <v>668</v>
      </c>
      <c r="S122" s="17" t="s">
        <v>126</v>
      </c>
    </row>
    <row r="123" customFormat="false" ht="15" hidden="false" customHeight="false" outlineLevel="0" collapsed="false">
      <c r="A123" s="17" t="s">
        <v>917</v>
      </c>
      <c r="B123" s="17" t="s">
        <v>918</v>
      </c>
      <c r="C123" s="17" t="s">
        <v>919</v>
      </c>
      <c r="D123" s="17" t="s">
        <v>77</v>
      </c>
      <c r="E123" s="18" t="n">
        <v>43420</v>
      </c>
      <c r="F123" s="17" t="s">
        <v>667</v>
      </c>
      <c r="G123" s="23" t="n">
        <v>0.839797328420083</v>
      </c>
      <c r="H123" s="19" t="n">
        <v>66.9</v>
      </c>
      <c r="I123" s="17" t="n">
        <f aca="false">IF(H123="","",RANK(H123,$H$5:$H$363))</f>
        <v>119</v>
      </c>
      <c r="J123" s="24" t="n">
        <v>0.010002326122354</v>
      </c>
      <c r="K123" s="19" t="n">
        <v>10.7</v>
      </c>
      <c r="L123" s="17" t="n">
        <f aca="false">IF(K123="","",RANK(K123,$K$5:$K$363))</f>
        <v>320</v>
      </c>
      <c r="M123" s="25" t="n">
        <v>0.0765907305577376</v>
      </c>
      <c r="N123" s="19" t="n">
        <v>24.3</v>
      </c>
      <c r="O123" s="17" t="n">
        <f aca="false">IF(N123="","",RANK(N123,$N$5:$N$363))</f>
        <v>247</v>
      </c>
      <c r="P123" s="17" t="str">
        <f aca="false">IF(AND(N(H123)&gt;=N(K123),N(H123)&gt;=N(N123)),"The Pulse",IF(N(K123)&gt;=N(N123),"The Lens","The Hub"))</f>
        <v>The Pulse</v>
      </c>
      <c r="Q123" s="21" t="s">
        <v>78</v>
      </c>
      <c r="R123" s="26" t="s">
        <v>668</v>
      </c>
      <c r="S123" s="17" t="s">
        <v>21</v>
      </c>
    </row>
    <row r="124" customFormat="false" ht="15" hidden="false" customHeight="false" outlineLevel="0" collapsed="false">
      <c r="A124" s="17" t="s">
        <v>229</v>
      </c>
      <c r="B124" s="17" t="s">
        <v>230</v>
      </c>
      <c r="C124" s="17" t="s">
        <v>920</v>
      </c>
      <c r="D124" s="17" t="s">
        <v>105</v>
      </c>
      <c r="E124" s="18" t="n">
        <v>1019970</v>
      </c>
      <c r="F124" s="17" t="s">
        <v>752</v>
      </c>
      <c r="G124" s="23" t="n">
        <v>0.837861897898958</v>
      </c>
      <c r="H124" s="19" t="n">
        <v>66.7</v>
      </c>
      <c r="I124" s="17" t="n">
        <f aca="false">IF(H124="","",RANK(H124,$H$5:$H$363))</f>
        <v>120</v>
      </c>
      <c r="J124" s="24" t="n">
        <v>0.168778933858917</v>
      </c>
      <c r="K124" s="19" t="n">
        <v>87.5</v>
      </c>
      <c r="L124" s="17" t="n">
        <f aca="false">IF(K124="","",RANK(K124,$K$5:$K$363))</f>
        <v>49</v>
      </c>
      <c r="M124" s="25" t="n">
        <v>0.271021021021021</v>
      </c>
      <c r="N124" s="19" t="n">
        <v>85.6</v>
      </c>
      <c r="O124" s="17" t="n">
        <f aca="false">IF(N124="","",RANK(N124,$N$5:$N$363))</f>
        <v>46</v>
      </c>
      <c r="P124" s="17" t="str">
        <f aca="false">IF(AND(N(H124)&gt;=N(K124),N(H124)&gt;=N(N124)),"The Pulse",IF(N(K124)&gt;=N(N124),"The Lens","The Hub"))</f>
        <v>The Lens</v>
      </c>
      <c r="Q124" s="21" t="s">
        <v>78</v>
      </c>
      <c r="R124" s="27" t="s">
        <v>671</v>
      </c>
      <c r="S124" s="17" t="s">
        <v>21</v>
      </c>
    </row>
    <row r="125" customFormat="false" ht="15" hidden="false" customHeight="false" outlineLevel="0" collapsed="false">
      <c r="A125" s="17" t="s">
        <v>255</v>
      </c>
      <c r="B125" s="17" t="s">
        <v>256</v>
      </c>
      <c r="C125" s="17" t="s">
        <v>921</v>
      </c>
      <c r="D125" s="17" t="s">
        <v>138</v>
      </c>
      <c r="E125" s="18" t="n">
        <v>35425</v>
      </c>
      <c r="F125" s="17" t="s">
        <v>667</v>
      </c>
      <c r="G125" s="23" t="n">
        <v>0.831841919548342</v>
      </c>
      <c r="H125" s="19" t="n">
        <v>66.2</v>
      </c>
      <c r="I125" s="17" t="n">
        <f aca="false">IF(H125="","",RANK(H125,$H$5:$H$363))</f>
        <v>121</v>
      </c>
      <c r="J125" s="24" t="n">
        <v>0.206450294588428</v>
      </c>
      <c r="K125" s="19" t="n">
        <v>93.3</v>
      </c>
      <c r="L125" s="17" t="n">
        <f aca="false">IF(K125="","",RANK(K125,$K$5:$K$363))</f>
        <v>25</v>
      </c>
      <c r="M125" s="25" t="n">
        <v>0.109785202863962</v>
      </c>
      <c r="N125" s="19" t="n">
        <v>40.1</v>
      </c>
      <c r="O125" s="17" t="n">
        <f aca="false">IF(N125="","",RANK(N125,$N$5:$N$363))</f>
        <v>197</v>
      </c>
      <c r="P125" s="17" t="str">
        <f aca="false">IF(AND(N(H125)&gt;=N(K125),N(H125)&gt;=N(N125)),"The Pulse",IF(N(K125)&gt;=N(N125),"The Lens","The Hub"))</f>
        <v>The Lens</v>
      </c>
      <c r="Q125" s="20" t="s">
        <v>74</v>
      </c>
      <c r="R125" s="27" t="s">
        <v>671</v>
      </c>
      <c r="S125" s="17" t="s">
        <v>19</v>
      </c>
    </row>
    <row r="126" customFormat="false" ht="15" hidden="false" customHeight="false" outlineLevel="0" collapsed="false">
      <c r="A126" s="17" t="s">
        <v>198</v>
      </c>
      <c r="B126" s="17" t="s">
        <v>199</v>
      </c>
      <c r="C126" s="17" t="s">
        <v>922</v>
      </c>
      <c r="D126" s="17" t="s">
        <v>92</v>
      </c>
      <c r="E126" s="18" t="n">
        <v>19502</v>
      </c>
      <c r="F126" s="17" t="s">
        <v>667</v>
      </c>
      <c r="G126" s="23" t="n">
        <v>0.825351246026049</v>
      </c>
      <c r="H126" s="19" t="n">
        <v>66</v>
      </c>
      <c r="I126" s="17" t="n">
        <f aca="false">IF(H126="","",RANK(H126,$H$5:$H$363))</f>
        <v>122</v>
      </c>
      <c r="J126" s="24" t="n">
        <v>0.0422745978301534</v>
      </c>
      <c r="K126" s="19" t="n">
        <v>25</v>
      </c>
      <c r="L126" s="17" t="n">
        <f aca="false">IF(K126="","",RANK(K126,$K$5:$K$363))</f>
        <v>268</v>
      </c>
      <c r="M126" s="28" t="s">
        <v>680</v>
      </c>
      <c r="N126" s="19"/>
      <c r="O126" s="17" t="str">
        <f aca="false">IF(N126="","",RANK(N126,$N$5:$N$363))</f>
        <v/>
      </c>
      <c r="P126" s="17" t="str">
        <f aca="false">IF(AND(N(H126)&gt;=N(K126),N(H126)&gt;=N(N126)),"The Pulse",IF(N(K126)&gt;=N(N126),"The Lens","The Hub"))</f>
        <v>The Pulse</v>
      </c>
      <c r="Q126" s="20" t="s">
        <v>74</v>
      </c>
      <c r="R126" s="27" t="s">
        <v>671</v>
      </c>
      <c r="S126" s="17" t="s">
        <v>19</v>
      </c>
    </row>
    <row r="127" customFormat="false" ht="15" hidden="false" customHeight="false" outlineLevel="0" collapsed="false">
      <c r="A127" s="17" t="s">
        <v>923</v>
      </c>
      <c r="B127" s="17" t="s">
        <v>924</v>
      </c>
      <c r="C127" s="17" t="s">
        <v>925</v>
      </c>
      <c r="D127" s="17" t="s">
        <v>87</v>
      </c>
      <c r="E127" s="18" t="n">
        <v>192280</v>
      </c>
      <c r="F127" s="17" t="s">
        <v>670</v>
      </c>
      <c r="G127" s="23" t="n">
        <v>0.823905456852792</v>
      </c>
      <c r="H127" s="19" t="n">
        <v>65.6</v>
      </c>
      <c r="I127" s="17" t="n">
        <f aca="false">IF(H127="","",RANK(H127,$H$5:$H$363))</f>
        <v>123</v>
      </c>
      <c r="J127" s="24" t="n">
        <v>0.149766195869261</v>
      </c>
      <c r="K127" s="19" t="n">
        <v>79</v>
      </c>
      <c r="L127" s="17" t="n">
        <f aca="false">IF(K127="","",RANK(K127,$K$5:$K$363))</f>
        <v>78</v>
      </c>
      <c r="M127" s="25" t="n">
        <v>0.435510338037414</v>
      </c>
      <c r="N127" s="19" t="n">
        <v>99.4</v>
      </c>
      <c r="O127" s="17" t="n">
        <f aca="false">IF(N127="","",RANK(N127,$N$5:$N$363))</f>
        <v>3</v>
      </c>
      <c r="P127" s="17" t="str">
        <f aca="false">IF(AND(N(H127)&gt;=N(K127),N(H127)&gt;=N(N127)),"The Pulse",IF(N(K127)&gt;=N(N127),"The Lens","The Hub"))</f>
        <v>The Hub</v>
      </c>
      <c r="Q127" s="21" t="s">
        <v>78</v>
      </c>
      <c r="R127" s="26" t="s">
        <v>668</v>
      </c>
      <c r="S127" s="17" t="s">
        <v>126</v>
      </c>
    </row>
    <row r="128" customFormat="false" ht="15" hidden="false" customHeight="false" outlineLevel="0" collapsed="false">
      <c r="A128" s="17" t="s">
        <v>237</v>
      </c>
      <c r="B128" s="17" t="s">
        <v>238</v>
      </c>
      <c r="C128" s="17" t="s">
        <v>926</v>
      </c>
      <c r="D128" s="17" t="s">
        <v>77</v>
      </c>
      <c r="E128" s="18" t="n">
        <v>44080</v>
      </c>
      <c r="F128" s="17" t="s">
        <v>667</v>
      </c>
      <c r="G128" s="23" t="n">
        <v>0.823139745916515</v>
      </c>
      <c r="H128" s="19" t="n">
        <v>65.4</v>
      </c>
      <c r="I128" s="17" t="n">
        <f aca="false">IF(H128="","",RANK(H128,$H$5:$H$363))</f>
        <v>124</v>
      </c>
      <c r="J128" s="24" t="n">
        <v>-0.0151921358355675</v>
      </c>
      <c r="K128" s="19" t="n">
        <v>7.1</v>
      </c>
      <c r="L128" s="17" t="n">
        <f aca="false">IF(K128="","",RANK(K128,$K$5:$K$363))</f>
        <v>335</v>
      </c>
      <c r="M128" s="25" t="n">
        <v>0.182385575589459</v>
      </c>
      <c r="N128" s="19" t="n">
        <v>65.2</v>
      </c>
      <c r="O128" s="17" t="n">
        <f aca="false">IF(N128="","",RANK(N128,$N$5:$N$363))</f>
        <v>112</v>
      </c>
      <c r="P128" s="17" t="str">
        <f aca="false">IF(AND(N(H128)&gt;=N(K128),N(H128)&gt;=N(N128)),"The Pulse",IF(N(K128)&gt;=N(N128),"The Lens","The Hub"))</f>
        <v>The Pulse</v>
      </c>
      <c r="Q128" s="20" t="s">
        <v>74</v>
      </c>
      <c r="R128" s="27" t="s">
        <v>671</v>
      </c>
      <c r="S128" s="17" t="s">
        <v>19</v>
      </c>
    </row>
    <row r="129" customFormat="false" ht="15" hidden="false" customHeight="false" outlineLevel="0" collapsed="false">
      <c r="A129" s="17" t="s">
        <v>227</v>
      </c>
      <c r="B129" s="17" t="s">
        <v>228</v>
      </c>
      <c r="C129" s="17" t="s">
        <v>927</v>
      </c>
      <c r="D129" s="17" t="s">
        <v>105</v>
      </c>
      <c r="E129" s="18" t="n">
        <v>79720</v>
      </c>
      <c r="F129" s="17" t="s">
        <v>667</v>
      </c>
      <c r="G129" s="23" t="n">
        <v>0.811703462117411</v>
      </c>
      <c r="H129" s="19" t="n">
        <v>65.2</v>
      </c>
      <c r="I129" s="17" t="n">
        <f aca="false">IF(H129="","",RANK(H129,$H$5:$H$363))</f>
        <v>125</v>
      </c>
      <c r="J129" s="24" t="n">
        <v>0.238850038850039</v>
      </c>
      <c r="K129" s="19" t="n">
        <v>96.8</v>
      </c>
      <c r="L129" s="17" t="n">
        <f aca="false">IF(K129="","",RANK(K129,$K$5:$K$363))</f>
        <v>13</v>
      </c>
      <c r="M129" s="25" t="n">
        <v>0.0743264168473212</v>
      </c>
      <c r="N129" s="19" t="n">
        <v>23.2</v>
      </c>
      <c r="O129" s="17" t="n">
        <f aca="false">IF(N129="","",RANK(N129,$N$5:$N$363))</f>
        <v>251</v>
      </c>
      <c r="P129" s="17" t="str">
        <f aca="false">IF(AND(N(H129)&gt;=N(K129),N(H129)&gt;=N(N129)),"The Pulse",IF(N(K129)&gt;=N(N129),"The Lens","The Hub"))</f>
        <v>The Lens</v>
      </c>
      <c r="Q129" s="21" t="s">
        <v>78</v>
      </c>
      <c r="R129" s="27" t="s">
        <v>671</v>
      </c>
      <c r="S129" s="17" t="s">
        <v>21</v>
      </c>
    </row>
    <row r="130" customFormat="false" ht="15" hidden="false" customHeight="false" outlineLevel="0" collapsed="false">
      <c r="A130" s="17" t="s">
        <v>928</v>
      </c>
      <c r="B130" s="17" t="s">
        <v>929</v>
      </c>
      <c r="C130" s="17" t="s">
        <v>930</v>
      </c>
      <c r="D130" s="17" t="s">
        <v>72</v>
      </c>
      <c r="E130" s="18" t="n">
        <v>289008</v>
      </c>
      <c r="F130" s="17" t="s">
        <v>670</v>
      </c>
      <c r="G130" s="23" t="n">
        <v>0.810050240823783</v>
      </c>
      <c r="H130" s="19" t="n">
        <v>65</v>
      </c>
      <c r="I130" s="17" t="n">
        <f aca="false">IF(H130="","",RANK(H130,$H$5:$H$363))</f>
        <v>126</v>
      </c>
      <c r="J130" s="24" t="n">
        <v>0.1548494341794</v>
      </c>
      <c r="K130" s="19" t="n">
        <v>80.4</v>
      </c>
      <c r="L130" s="17" t="n">
        <f aca="false">IF(K130="","",RANK(K130,$K$5:$K$363))</f>
        <v>74</v>
      </c>
      <c r="M130" s="25" t="n">
        <v>0.112168558196346</v>
      </c>
      <c r="N130" s="19" t="n">
        <v>40.6</v>
      </c>
      <c r="O130" s="17" t="n">
        <f aca="false">IF(N130="","",RANK(N130,$N$5:$N$363))</f>
        <v>195</v>
      </c>
      <c r="P130" s="17" t="str">
        <f aca="false">IF(AND(N(H130)&gt;=N(K130),N(H130)&gt;=N(N130)),"The Pulse",IF(N(K130)&gt;=N(N130),"The Lens","The Hub"))</f>
        <v>The Lens</v>
      </c>
      <c r="Q130" s="20" t="s">
        <v>74</v>
      </c>
      <c r="R130" s="26" t="s">
        <v>668</v>
      </c>
      <c r="S130" s="17" t="s">
        <v>19</v>
      </c>
    </row>
    <row r="131" customFormat="false" ht="15" hidden="false" customHeight="false" outlineLevel="0" collapsed="false">
      <c r="A131" s="17" t="s">
        <v>931</v>
      </c>
      <c r="B131" s="17" t="s">
        <v>932</v>
      </c>
      <c r="C131" s="17" t="s">
        <v>933</v>
      </c>
      <c r="D131" s="17" t="s">
        <v>105</v>
      </c>
      <c r="E131" s="18" t="n">
        <v>4258</v>
      </c>
      <c r="F131" s="17" t="s">
        <v>678</v>
      </c>
      <c r="G131" s="23" t="n">
        <v>0.796618130577736</v>
      </c>
      <c r="H131" s="19" t="n">
        <v>64.5</v>
      </c>
      <c r="I131" s="17" t="n">
        <f aca="false">IF(H131="","",RANK(H131,$H$5:$H$363))</f>
        <v>127</v>
      </c>
      <c r="J131" s="24" t="n">
        <v>0.0102016607354686</v>
      </c>
      <c r="K131" s="19" t="n">
        <v>13</v>
      </c>
      <c r="L131" s="17" t="n">
        <f aca="false">IF(K131="","",RANK(K131,$K$5:$K$363))</f>
        <v>311</v>
      </c>
      <c r="M131" s="25" t="n">
        <v>0.132231404958678</v>
      </c>
      <c r="N131" s="19" t="n">
        <v>48.6</v>
      </c>
      <c r="O131" s="17" t="n">
        <f aca="false">IF(N131="","",RANK(N131,$N$5:$N$363))</f>
        <v>166</v>
      </c>
      <c r="P131" s="17" t="str">
        <f aca="false">IF(AND(N(H131)&gt;=N(K131),N(H131)&gt;=N(N131)),"The Pulse",IF(N(K131)&gt;=N(N131),"The Lens","The Hub"))</f>
        <v>The Pulse</v>
      </c>
      <c r="Q131" s="20" t="s">
        <v>74</v>
      </c>
      <c r="R131" s="26" t="s">
        <v>668</v>
      </c>
      <c r="S131" s="17" t="s">
        <v>19</v>
      </c>
    </row>
    <row r="132" customFormat="false" ht="15" hidden="false" customHeight="false" outlineLevel="0" collapsed="false">
      <c r="A132" s="17" t="s">
        <v>934</v>
      </c>
      <c r="B132" s="17" t="s">
        <v>935</v>
      </c>
      <c r="C132" s="17" t="s">
        <v>936</v>
      </c>
      <c r="D132" s="17" t="s">
        <v>72</v>
      </c>
      <c r="E132" s="18" t="n">
        <v>2419860</v>
      </c>
      <c r="F132" s="17" t="s">
        <v>752</v>
      </c>
      <c r="G132" s="23" t="n">
        <v>0.790845338160059</v>
      </c>
      <c r="H132" s="19" t="n">
        <v>64.3</v>
      </c>
      <c r="I132" s="17" t="n">
        <f aca="false">IF(H132="","",RANK(H132,$H$5:$H$363))</f>
        <v>128</v>
      </c>
      <c r="J132" s="24" t="n">
        <v>0.14922233039679</v>
      </c>
      <c r="K132" s="19" t="n">
        <v>81.2</v>
      </c>
      <c r="L132" s="17" t="n">
        <f aca="false">IF(K132="","",RANK(K132,$K$5:$K$363))</f>
        <v>70</v>
      </c>
      <c r="M132" s="25" t="n">
        <v>0.133404549453312</v>
      </c>
      <c r="N132" s="19" t="n">
        <v>50</v>
      </c>
      <c r="O132" s="17" t="n">
        <f aca="false">IF(N132="","",RANK(N132,$N$5:$N$363))</f>
        <v>161</v>
      </c>
      <c r="P132" s="17" t="str">
        <f aca="false">IF(AND(N(H132)&gt;=N(K132),N(H132)&gt;=N(N132)),"The Pulse",IF(N(K132)&gt;=N(N132),"The Lens","The Hub"))</f>
        <v>The Lens</v>
      </c>
      <c r="Q132" s="21" t="s">
        <v>78</v>
      </c>
      <c r="R132" s="26" t="s">
        <v>668</v>
      </c>
      <c r="S132" s="17" t="s">
        <v>21</v>
      </c>
    </row>
    <row r="133" customFormat="false" ht="15" hidden="false" customHeight="false" outlineLevel="0" collapsed="false">
      <c r="A133" s="17" t="s">
        <v>937</v>
      </c>
      <c r="B133" s="17" t="s">
        <v>938</v>
      </c>
      <c r="C133" s="17" t="s">
        <v>939</v>
      </c>
      <c r="D133" s="17" t="s">
        <v>133</v>
      </c>
      <c r="E133" s="18" t="n">
        <v>49973</v>
      </c>
      <c r="F133" s="17" t="s">
        <v>667</v>
      </c>
      <c r="G133" s="23" t="n">
        <v>0.790807035799332</v>
      </c>
      <c r="H133" s="19" t="n">
        <v>64.1</v>
      </c>
      <c r="I133" s="17" t="n">
        <f aca="false">IF(H133="","",RANK(H133,$H$5:$H$363))</f>
        <v>129</v>
      </c>
      <c r="J133" s="24" t="n">
        <v>0.0272787073962916</v>
      </c>
      <c r="K133" s="19" t="n">
        <v>16.3</v>
      </c>
      <c r="L133" s="17" t="n">
        <f aca="false">IF(K133="","",RANK(K133,$K$5:$K$363))</f>
        <v>302</v>
      </c>
      <c r="M133" s="25" t="n">
        <v>0.090962441314554</v>
      </c>
      <c r="N133" s="19" t="n">
        <v>31.2</v>
      </c>
      <c r="O133" s="17" t="n">
        <f aca="false">IF(N133="","",RANK(N133,$N$5:$N$363))</f>
        <v>225</v>
      </c>
      <c r="P133" s="17" t="str">
        <f aca="false">IF(AND(N(H133)&gt;=N(K133),N(H133)&gt;=N(N133)),"The Pulse",IF(N(K133)&gt;=N(N133),"The Lens","The Hub"))</f>
        <v>The Pulse</v>
      </c>
      <c r="Q133" s="20" t="s">
        <v>74</v>
      </c>
      <c r="R133" s="26" t="s">
        <v>668</v>
      </c>
      <c r="S133" s="17" t="s">
        <v>19</v>
      </c>
    </row>
    <row r="134" customFormat="false" ht="15" hidden="false" customHeight="false" outlineLevel="0" collapsed="false">
      <c r="A134" s="17" t="s">
        <v>940</v>
      </c>
      <c r="B134" s="17" t="s">
        <v>941</v>
      </c>
      <c r="C134" s="17" t="s">
        <v>942</v>
      </c>
      <c r="D134" s="17" t="s">
        <v>77</v>
      </c>
      <c r="E134" s="18" t="n">
        <v>44800</v>
      </c>
      <c r="F134" s="17" t="s">
        <v>667</v>
      </c>
      <c r="G134" s="23" t="n">
        <v>0.77625</v>
      </c>
      <c r="H134" s="19" t="n">
        <v>63.7</v>
      </c>
      <c r="I134" s="17" t="n">
        <f aca="false">IF(H134="","",RANK(H134,$H$5:$H$363))</f>
        <v>130</v>
      </c>
      <c r="J134" s="24" t="n">
        <v>-0.0621729118693741</v>
      </c>
      <c r="K134" s="19" t="n">
        <v>2</v>
      </c>
      <c r="L134" s="17" t="n">
        <f aca="false">IF(K134="","",RANK(K134,$K$5:$K$363))</f>
        <v>354</v>
      </c>
      <c r="M134" s="25" t="n">
        <v>0.353932584269663</v>
      </c>
      <c r="N134" s="19" t="n">
        <v>96.7</v>
      </c>
      <c r="O134" s="17" t="n">
        <f aca="false">IF(N134="","",RANK(N134,$N$5:$N$363))</f>
        <v>12</v>
      </c>
      <c r="P134" s="17" t="str">
        <f aca="false">IF(AND(N(H134)&gt;=N(K134),N(H134)&gt;=N(N134)),"The Pulse",IF(N(K134)&gt;=N(N134),"The Lens","The Hub"))</f>
        <v>The Hub</v>
      </c>
      <c r="Q134" s="21" t="s">
        <v>78</v>
      </c>
      <c r="R134" s="26" t="s">
        <v>668</v>
      </c>
      <c r="S134" s="17" t="s">
        <v>21</v>
      </c>
    </row>
    <row r="135" customFormat="false" ht="15" hidden="false" customHeight="false" outlineLevel="0" collapsed="false">
      <c r="A135" s="17" t="s">
        <v>459</v>
      </c>
      <c r="B135" s="17" t="s">
        <v>460</v>
      </c>
      <c r="C135" s="17" t="s">
        <v>943</v>
      </c>
      <c r="D135" s="17" t="s">
        <v>72</v>
      </c>
      <c r="E135" s="18" t="n">
        <v>17970</v>
      </c>
      <c r="F135" s="17" t="s">
        <v>667</v>
      </c>
      <c r="G135" s="23" t="n">
        <v>0.775570395102949</v>
      </c>
      <c r="H135" s="19" t="n">
        <v>63.5</v>
      </c>
      <c r="I135" s="17" t="n">
        <f aca="false">IF(H135="","",RANK(H135,$H$5:$H$363))</f>
        <v>131</v>
      </c>
      <c r="J135" s="24" t="n">
        <v>0.0297994269340974</v>
      </c>
      <c r="K135" s="19" t="n">
        <v>17.5</v>
      </c>
      <c r="L135" s="17" t="n">
        <f aca="false">IF(K135="","",RANK(K135,$K$5:$K$363))</f>
        <v>296</v>
      </c>
      <c r="M135" s="25" t="n">
        <v>0.0372057706909643</v>
      </c>
      <c r="N135" s="19" t="n">
        <v>8.3</v>
      </c>
      <c r="O135" s="17" t="n">
        <f aca="false">IF(N135="","",RANK(N135,$N$5:$N$363))</f>
        <v>295</v>
      </c>
      <c r="P135" s="17" t="str">
        <f aca="false">IF(AND(N(H135)&gt;=N(K135),N(H135)&gt;=N(N135)),"The Pulse",IF(N(K135)&gt;=N(N135),"The Lens","The Hub"))</f>
        <v>The Pulse</v>
      </c>
      <c r="Q135" s="21" t="s">
        <v>78</v>
      </c>
      <c r="R135" s="27" t="s">
        <v>671</v>
      </c>
      <c r="S135" s="17" t="s">
        <v>21</v>
      </c>
    </row>
    <row r="136" customFormat="false" ht="15" hidden="false" customHeight="false" outlineLevel="0" collapsed="false">
      <c r="A136" s="17" t="s">
        <v>944</v>
      </c>
      <c r="B136" s="17" t="s">
        <v>945</v>
      </c>
      <c r="C136" s="17" t="s">
        <v>946</v>
      </c>
      <c r="D136" s="17" t="s">
        <v>92</v>
      </c>
      <c r="E136" s="18" t="n">
        <v>58894</v>
      </c>
      <c r="F136" s="17" t="s">
        <v>667</v>
      </c>
      <c r="G136" s="23" t="n">
        <v>0.775410058749618</v>
      </c>
      <c r="H136" s="19" t="n">
        <v>63.2</v>
      </c>
      <c r="I136" s="17" t="n">
        <f aca="false">IF(H136="","",RANK(H136,$H$5:$H$363))</f>
        <v>132</v>
      </c>
      <c r="J136" s="24" t="n">
        <v>0.0737087746804981</v>
      </c>
      <c r="K136" s="19" t="n">
        <v>40.9</v>
      </c>
      <c r="L136" s="17" t="n">
        <f aca="false">IF(K136="","",RANK(K136,$K$5:$K$363))</f>
        <v>212</v>
      </c>
      <c r="M136" s="25" t="n">
        <v>0.00652271704903284</v>
      </c>
      <c r="N136" s="19" t="n">
        <v>1.9</v>
      </c>
      <c r="O136" s="17" t="n">
        <f aca="false">IF(N136="","",RANK(N136,$N$5:$N$363))</f>
        <v>316</v>
      </c>
      <c r="P136" s="17" t="str">
        <f aca="false">IF(AND(N(H136)&gt;=N(K136),N(H136)&gt;=N(N136)),"The Pulse",IF(N(K136)&gt;=N(N136),"The Lens","The Hub"))</f>
        <v>The Pulse</v>
      </c>
      <c r="Q136" s="20" t="s">
        <v>74</v>
      </c>
      <c r="R136" s="26" t="s">
        <v>668</v>
      </c>
      <c r="S136" s="17" t="s">
        <v>19</v>
      </c>
    </row>
    <row r="137" customFormat="false" ht="15" hidden="false" customHeight="false" outlineLevel="0" collapsed="false">
      <c r="A137" s="17" t="s">
        <v>947</v>
      </c>
      <c r="B137" s="17" t="s">
        <v>948</v>
      </c>
      <c r="C137" s="17" t="s">
        <v>949</v>
      </c>
      <c r="D137" s="17" t="s">
        <v>114</v>
      </c>
      <c r="E137" s="18" t="n">
        <v>121139</v>
      </c>
      <c r="F137" s="17" t="s">
        <v>670</v>
      </c>
      <c r="G137" s="23" t="n">
        <v>0.76545951345149</v>
      </c>
      <c r="H137" s="19" t="n">
        <v>62.8</v>
      </c>
      <c r="I137" s="17" t="n">
        <f aca="false">IF(H137="","",RANK(H137,$H$5:$H$363))</f>
        <v>133</v>
      </c>
      <c r="J137" s="24" t="n">
        <v>0.143252170630427</v>
      </c>
      <c r="K137" s="19" t="n">
        <v>75.4</v>
      </c>
      <c r="L137" s="17" t="n">
        <f aca="false">IF(K137="","",RANK(K137,$K$5:$K$363))</f>
        <v>92</v>
      </c>
      <c r="M137" s="25" t="n">
        <v>0.174085850556439</v>
      </c>
      <c r="N137" s="19" t="n">
        <v>62.4</v>
      </c>
      <c r="O137" s="17" t="n">
        <f aca="false">IF(N137="","",RANK(N137,$N$5:$N$363))</f>
        <v>121</v>
      </c>
      <c r="P137" s="17" t="str">
        <f aca="false">IF(AND(N(H137)&gt;=N(K137),N(H137)&gt;=N(N137)),"The Pulse",IF(N(K137)&gt;=N(N137),"The Lens","The Hub"))</f>
        <v>The Lens</v>
      </c>
      <c r="Q137" s="21" t="s">
        <v>78</v>
      </c>
      <c r="R137" s="26" t="s">
        <v>668</v>
      </c>
      <c r="S137" s="17" t="s">
        <v>126</v>
      </c>
    </row>
    <row r="138" customFormat="false" ht="15" hidden="false" customHeight="false" outlineLevel="0" collapsed="false">
      <c r="A138" s="17" t="s">
        <v>209</v>
      </c>
      <c r="B138" s="17" t="s">
        <v>210</v>
      </c>
      <c r="C138" s="17" t="s">
        <v>950</v>
      </c>
      <c r="D138" s="17" t="s">
        <v>81</v>
      </c>
      <c r="E138" s="18" t="n">
        <v>123740</v>
      </c>
      <c r="F138" s="17" t="s">
        <v>670</v>
      </c>
      <c r="G138" s="23" t="n">
        <v>0.757677388071763</v>
      </c>
      <c r="H138" s="19" t="n">
        <v>62.2</v>
      </c>
      <c r="I138" s="17" t="n">
        <f aca="false">IF(H138="","",RANK(H138,$H$5:$H$363))</f>
        <v>134</v>
      </c>
      <c r="J138" s="24" t="n">
        <v>0.0648606318253401</v>
      </c>
      <c r="K138" s="19" t="n">
        <v>44.2</v>
      </c>
      <c r="L138" s="17" t="n">
        <f aca="false">IF(K138="","",RANK(K138,$K$5:$K$363))</f>
        <v>200</v>
      </c>
      <c r="M138" s="25" t="n">
        <v>0.261742272179848</v>
      </c>
      <c r="N138" s="19" t="n">
        <v>84.3</v>
      </c>
      <c r="O138" s="17" t="n">
        <f aca="false">IF(N138="","",RANK(N138,$N$5:$N$363))</f>
        <v>50</v>
      </c>
      <c r="P138" s="17" t="str">
        <f aca="false">IF(AND(N(H138)&gt;=N(K138),N(H138)&gt;=N(N138)),"The Pulse",IF(N(K138)&gt;=N(N138),"The Lens","The Hub"))</f>
        <v>The Hub</v>
      </c>
      <c r="Q138" s="20" t="s">
        <v>74</v>
      </c>
      <c r="R138" s="27" t="s">
        <v>671</v>
      </c>
      <c r="S138" s="17" t="s">
        <v>19</v>
      </c>
    </row>
    <row r="139" customFormat="false" ht="15" hidden="false" customHeight="false" outlineLevel="0" collapsed="false">
      <c r="A139" s="17" t="s">
        <v>951</v>
      </c>
      <c r="B139" s="17" t="s">
        <v>952</v>
      </c>
      <c r="C139" s="17" t="s">
        <v>953</v>
      </c>
      <c r="D139" s="17" t="s">
        <v>102</v>
      </c>
      <c r="E139" s="18" t="n">
        <v>43590</v>
      </c>
      <c r="F139" s="17" t="s">
        <v>667</v>
      </c>
      <c r="G139" s="23" t="n">
        <v>0.756549667354898</v>
      </c>
      <c r="H139" s="19" t="n">
        <v>62</v>
      </c>
      <c r="I139" s="17" t="n">
        <f aca="false">IF(H139="","",RANK(H139,$H$5:$H$363))</f>
        <v>135</v>
      </c>
      <c r="J139" s="24" t="n">
        <v>0.132501948558067</v>
      </c>
      <c r="K139" s="19" t="n">
        <v>69</v>
      </c>
      <c r="L139" s="17" t="n">
        <f aca="false">IF(K139="","",RANK(K139,$K$5:$K$363))</f>
        <v>116</v>
      </c>
      <c r="M139" s="25" t="n">
        <v>0.121492128678987</v>
      </c>
      <c r="N139" s="19" t="n">
        <v>43.9</v>
      </c>
      <c r="O139" s="17" t="n">
        <f aca="false">IF(N139="","",RANK(N139,$N$5:$N$363))</f>
        <v>183</v>
      </c>
      <c r="P139" s="17" t="str">
        <f aca="false">IF(AND(N(H139)&gt;=N(K139),N(H139)&gt;=N(N139)),"The Pulse",IF(N(K139)&gt;=N(N139),"The Lens","The Hub"))</f>
        <v>The Lens</v>
      </c>
      <c r="Q139" s="21" t="s">
        <v>78</v>
      </c>
      <c r="R139" s="26" t="s">
        <v>668</v>
      </c>
      <c r="S139" s="17" t="s">
        <v>21</v>
      </c>
    </row>
    <row r="140" customFormat="false" ht="15" hidden="false" customHeight="false" outlineLevel="0" collapsed="false">
      <c r="A140" s="17" t="s">
        <v>273</v>
      </c>
      <c r="B140" s="17" t="s">
        <v>274</v>
      </c>
      <c r="C140" s="17" t="s">
        <v>954</v>
      </c>
      <c r="D140" s="17" t="s">
        <v>72</v>
      </c>
      <c r="E140" s="18" t="n">
        <v>45580</v>
      </c>
      <c r="F140" s="17" t="s">
        <v>667</v>
      </c>
      <c r="G140" s="23" t="n">
        <v>0.75010969723563</v>
      </c>
      <c r="H140" s="19" t="n">
        <v>61.3</v>
      </c>
      <c r="I140" s="17" t="n">
        <f aca="false">IF(H140="","",RANK(H140,$H$5:$H$363))</f>
        <v>136</v>
      </c>
      <c r="J140" s="24" t="n">
        <v>-0.00508307582068162</v>
      </c>
      <c r="K140" s="19" t="n">
        <v>8.3</v>
      </c>
      <c r="L140" s="17" t="n">
        <f aca="false">IF(K140="","",RANK(K140,$K$5:$K$363))</f>
        <v>330</v>
      </c>
      <c r="M140" s="25" t="n">
        <v>0.0395417590539542</v>
      </c>
      <c r="N140" s="19" t="n">
        <v>9.7</v>
      </c>
      <c r="O140" s="17" t="n">
        <f aca="false">IF(N140="","",RANK(N140,$N$5:$N$363))</f>
        <v>291</v>
      </c>
      <c r="P140" s="17" t="str">
        <f aca="false">IF(AND(N(H140)&gt;=N(K140),N(H140)&gt;=N(N140)),"The Pulse",IF(N(K140)&gt;=N(N140),"The Lens","The Hub"))</f>
        <v>The Pulse</v>
      </c>
      <c r="Q140" s="22" t="s">
        <v>83</v>
      </c>
      <c r="R140" s="27" t="s">
        <v>671</v>
      </c>
      <c r="S140" s="17" t="s">
        <v>84</v>
      </c>
    </row>
    <row r="141" customFormat="false" ht="15" hidden="false" customHeight="false" outlineLevel="0" collapsed="false">
      <c r="A141" s="17" t="s">
        <v>955</v>
      </c>
      <c r="B141" s="17" t="s">
        <v>956</v>
      </c>
      <c r="C141" s="17" t="s">
        <v>957</v>
      </c>
      <c r="D141" s="17" t="s">
        <v>77</v>
      </c>
      <c r="E141" s="18" t="n">
        <v>96627</v>
      </c>
      <c r="F141" s="17" t="s">
        <v>667</v>
      </c>
      <c r="G141" s="23" t="n">
        <v>0.744398563548491</v>
      </c>
      <c r="H141" s="19" t="n">
        <v>61.1</v>
      </c>
      <c r="I141" s="17" t="n">
        <f aca="false">IF(H141="","",RANK(H141,$H$5:$H$363))</f>
        <v>137</v>
      </c>
      <c r="J141" s="24" t="n">
        <v>0.079100777271509</v>
      </c>
      <c r="K141" s="19" t="n">
        <v>45.6</v>
      </c>
      <c r="L141" s="17" t="n">
        <f aca="false">IF(K141="","",RANK(K141,$K$5:$K$363))</f>
        <v>195</v>
      </c>
      <c r="M141" s="25" t="n">
        <v>0.183927886459532</v>
      </c>
      <c r="N141" s="19" t="n">
        <v>66</v>
      </c>
      <c r="O141" s="17" t="n">
        <f aca="false">IF(N141="","",RANK(N141,$N$5:$N$363))</f>
        <v>109</v>
      </c>
      <c r="P141" s="17" t="str">
        <f aca="false">IF(AND(N(H141)&gt;=N(K141),N(H141)&gt;=N(N141)),"The Pulse",IF(N(K141)&gt;=N(N141),"The Lens","The Hub"))</f>
        <v>The Hub</v>
      </c>
      <c r="Q141" s="20" t="s">
        <v>74</v>
      </c>
      <c r="R141" s="26" t="s">
        <v>668</v>
      </c>
      <c r="S141" s="17" t="s">
        <v>19</v>
      </c>
    </row>
    <row r="142" customFormat="false" ht="15" hidden="false" customHeight="false" outlineLevel="0" collapsed="false">
      <c r="A142" s="17" t="s">
        <v>182</v>
      </c>
      <c r="B142" s="17" t="s">
        <v>183</v>
      </c>
      <c r="C142" s="17" t="s">
        <v>958</v>
      </c>
      <c r="D142" s="17" t="s">
        <v>114</v>
      </c>
      <c r="E142" s="18" t="n">
        <v>7239674</v>
      </c>
      <c r="F142" s="17" t="s">
        <v>752</v>
      </c>
      <c r="G142" s="23" t="n">
        <v>0.735670418308891</v>
      </c>
      <c r="H142" s="19" t="n">
        <v>60.9</v>
      </c>
      <c r="I142" s="17" t="n">
        <f aca="false">IF(H142="","",RANK(H142,$H$5:$H$363))</f>
        <v>138</v>
      </c>
      <c r="J142" s="24" t="n">
        <v>0.0612323455903371</v>
      </c>
      <c r="K142" s="19" t="n">
        <v>18.8</v>
      </c>
      <c r="L142" s="17" t="n">
        <f aca="false">IF(K142="","",RANK(K142,$K$5:$K$363))</f>
        <v>291</v>
      </c>
      <c r="M142" s="25" t="n">
        <v>0.0603880902304689</v>
      </c>
      <c r="N142" s="19" t="n">
        <v>18</v>
      </c>
      <c r="O142" s="17" t="n">
        <f aca="false">IF(N142="","",RANK(N142,$N$5:$N$363))</f>
        <v>266</v>
      </c>
      <c r="P142" s="17" t="str">
        <f aca="false">IF(AND(N(H142)&gt;=N(K142),N(H142)&gt;=N(N142)),"The Pulse",IF(N(K142)&gt;=N(N142),"The Lens","The Hub"))</f>
        <v>The Pulse</v>
      </c>
      <c r="Q142" s="20" t="s">
        <v>74</v>
      </c>
      <c r="R142" s="27" t="s">
        <v>671</v>
      </c>
      <c r="S142" s="17" t="s">
        <v>19</v>
      </c>
    </row>
    <row r="143" customFormat="false" ht="15" hidden="false" customHeight="false" outlineLevel="0" collapsed="false">
      <c r="A143" s="17" t="s">
        <v>413</v>
      </c>
      <c r="B143" s="17" t="s">
        <v>414</v>
      </c>
      <c r="C143" s="17" t="s">
        <v>959</v>
      </c>
      <c r="D143" s="17" t="s">
        <v>102</v>
      </c>
      <c r="E143" s="18" t="n">
        <v>10880</v>
      </c>
      <c r="F143" s="17" t="s">
        <v>667</v>
      </c>
      <c r="G143" s="23" t="n">
        <v>0.728768382352941</v>
      </c>
      <c r="H143" s="19" t="n">
        <v>60.7</v>
      </c>
      <c r="I143" s="17" t="n">
        <f aca="false">IF(H143="","",RANK(H143,$H$5:$H$363))</f>
        <v>139</v>
      </c>
      <c r="J143" s="24" t="n">
        <v>0.153764581124072</v>
      </c>
      <c r="K143" s="19" t="n">
        <v>78.6</v>
      </c>
      <c r="L143" s="17" t="n">
        <f aca="false">IF(K143="","",RANK(K143,$K$5:$K$363))</f>
        <v>79</v>
      </c>
      <c r="M143" s="25" t="n">
        <v>0.037593984962406</v>
      </c>
      <c r="N143" s="19" t="n">
        <v>8.8</v>
      </c>
      <c r="O143" s="17" t="n">
        <f aca="false">IF(N143="","",RANK(N143,$N$5:$N$363))</f>
        <v>293</v>
      </c>
      <c r="P143" s="17" t="str">
        <f aca="false">IF(AND(N(H143)&gt;=N(K143),N(H143)&gt;=N(N143)),"The Pulse",IF(N(K143)&gt;=N(N143),"The Lens","The Hub"))</f>
        <v>The Lens</v>
      </c>
      <c r="Q143" s="21" t="s">
        <v>78</v>
      </c>
      <c r="R143" s="27" t="s">
        <v>671</v>
      </c>
      <c r="S143" s="17" t="s">
        <v>21</v>
      </c>
    </row>
    <row r="144" customFormat="false" ht="15" hidden="false" customHeight="false" outlineLevel="0" collapsed="false">
      <c r="A144" s="17" t="s">
        <v>960</v>
      </c>
      <c r="B144" s="17" t="s">
        <v>961</v>
      </c>
      <c r="C144" s="17" t="s">
        <v>962</v>
      </c>
      <c r="D144" s="17" t="s">
        <v>77</v>
      </c>
      <c r="E144" s="18" t="n">
        <v>16430</v>
      </c>
      <c r="F144" s="17" t="s">
        <v>667</v>
      </c>
      <c r="G144" s="23" t="n">
        <v>0.724528301886792</v>
      </c>
      <c r="H144" s="19" t="n">
        <v>60.3</v>
      </c>
      <c r="I144" s="17" t="n">
        <f aca="false">IF(H144="","",RANK(H144,$H$5:$H$363))</f>
        <v>140</v>
      </c>
      <c r="J144" s="24" t="n">
        <v>0.194040697674419</v>
      </c>
      <c r="K144" s="19" t="n">
        <v>91.3</v>
      </c>
      <c r="L144" s="17" t="n">
        <f aca="false">IF(K144="","",RANK(K144,$K$5:$K$363))</f>
        <v>33</v>
      </c>
      <c r="M144" s="28" t="s">
        <v>680</v>
      </c>
      <c r="N144" s="19"/>
      <c r="O144" s="17" t="str">
        <f aca="false">IF(N144="","",RANK(N144,$N$5:$N$363))</f>
        <v/>
      </c>
      <c r="P144" s="17" t="str">
        <f aca="false">IF(AND(N(H144)&gt;=N(K144),N(H144)&gt;=N(N144)),"The Pulse",IF(N(K144)&gt;=N(N144),"The Lens","The Hub"))</f>
        <v>The Lens</v>
      </c>
      <c r="Q144" s="21" t="s">
        <v>78</v>
      </c>
      <c r="R144" s="26" t="s">
        <v>668</v>
      </c>
      <c r="S144" s="17" t="s">
        <v>21</v>
      </c>
    </row>
    <row r="145" customFormat="false" ht="15" hidden="false" customHeight="false" outlineLevel="0" collapsed="false">
      <c r="A145" s="17" t="s">
        <v>329</v>
      </c>
      <c r="B145" s="17" t="s">
        <v>330</v>
      </c>
      <c r="C145" s="17" t="s">
        <v>963</v>
      </c>
      <c r="D145" s="17" t="s">
        <v>92</v>
      </c>
      <c r="E145" s="18" t="n">
        <v>24200</v>
      </c>
      <c r="F145" s="17" t="s">
        <v>667</v>
      </c>
      <c r="G145" s="23" t="n">
        <v>0.720247933884298</v>
      </c>
      <c r="H145" s="19" t="n">
        <v>59.8</v>
      </c>
      <c r="I145" s="17" t="n">
        <f aca="false">IF(H145="","",RANK(H145,$H$5:$H$363))</f>
        <v>141</v>
      </c>
      <c r="J145" s="24" t="n">
        <v>-0.0861027190332326</v>
      </c>
      <c r="K145" s="19" t="n">
        <v>1.6</v>
      </c>
      <c r="L145" s="17" t="n">
        <f aca="false">IF(K145="","",RANK(K145,$K$5:$K$363))</f>
        <v>356</v>
      </c>
      <c r="M145" s="25" t="n">
        <v>0.19674039580908</v>
      </c>
      <c r="N145" s="19" t="n">
        <v>69.6</v>
      </c>
      <c r="O145" s="17" t="n">
        <f aca="false">IF(N145="","",RANK(N145,$N$5:$N$363))</f>
        <v>98</v>
      </c>
      <c r="P145" s="17" t="str">
        <f aca="false">IF(AND(N(H145)&gt;=N(K145),N(H145)&gt;=N(N145)),"The Pulse",IF(N(K145)&gt;=N(N145),"The Lens","The Hub"))</f>
        <v>The Hub</v>
      </c>
      <c r="Q145" s="21" t="s">
        <v>78</v>
      </c>
      <c r="R145" s="27" t="s">
        <v>671</v>
      </c>
      <c r="S145" s="17" t="s">
        <v>21</v>
      </c>
    </row>
    <row r="146" customFormat="false" ht="15" hidden="false" customHeight="false" outlineLevel="0" collapsed="false">
      <c r="A146" s="17" t="s">
        <v>964</v>
      </c>
      <c r="B146" s="17" t="s">
        <v>965</v>
      </c>
      <c r="C146" s="17" t="s">
        <v>966</v>
      </c>
      <c r="D146" s="17" t="s">
        <v>72</v>
      </c>
      <c r="E146" s="18" t="n">
        <v>4635</v>
      </c>
      <c r="F146" s="17" t="s">
        <v>678</v>
      </c>
      <c r="G146" s="23" t="n">
        <v>0.710895361380798</v>
      </c>
      <c r="H146" s="19" t="n">
        <v>59.4</v>
      </c>
      <c r="I146" s="17" t="n">
        <f aca="false">IF(H146="","",RANK(H146,$H$5:$H$363))</f>
        <v>142</v>
      </c>
      <c r="J146" s="24" t="n">
        <v>0.0716763005780347</v>
      </c>
      <c r="K146" s="19" t="n">
        <v>42.6</v>
      </c>
      <c r="L146" s="17" t="n">
        <f aca="false">IF(K146="","",RANK(K146,$K$5:$K$363))</f>
        <v>207</v>
      </c>
      <c r="M146" s="25" t="n">
        <v>0.0246913580246914</v>
      </c>
      <c r="N146" s="19" t="n">
        <v>5.5</v>
      </c>
      <c r="O146" s="17" t="n">
        <f aca="false">IF(N146="","",RANK(N146,$N$5:$N$363))</f>
        <v>304</v>
      </c>
      <c r="P146" s="17" t="str">
        <f aca="false">IF(AND(N(H146)&gt;=N(K146),N(H146)&gt;=N(N146)),"The Pulse",IF(N(K146)&gt;=N(N146),"The Lens","The Hub"))</f>
        <v>The Pulse</v>
      </c>
      <c r="Q146" s="20" t="s">
        <v>74</v>
      </c>
      <c r="R146" s="26" t="s">
        <v>668</v>
      </c>
      <c r="S146" s="17" t="s">
        <v>19</v>
      </c>
    </row>
    <row r="147" customFormat="false" ht="15" hidden="false" customHeight="false" outlineLevel="0" collapsed="false">
      <c r="A147" s="17" t="s">
        <v>967</v>
      </c>
      <c r="B147" s="17" t="s">
        <v>968</v>
      </c>
      <c r="C147" s="17" t="s">
        <v>969</v>
      </c>
      <c r="D147" s="17" t="s">
        <v>114</v>
      </c>
      <c r="E147" s="18" t="n">
        <v>131571</v>
      </c>
      <c r="F147" s="17" t="s">
        <v>670</v>
      </c>
      <c r="G147" s="23" t="n">
        <v>0.709943680598308</v>
      </c>
      <c r="H147" s="19" t="n">
        <v>59.2</v>
      </c>
      <c r="I147" s="17" t="n">
        <f aca="false">IF(H147="","",RANK(H147,$H$5:$H$363))</f>
        <v>143</v>
      </c>
      <c r="J147" s="24" t="n">
        <v>0.0787337662337662</v>
      </c>
      <c r="K147" s="19" t="n">
        <v>50.7</v>
      </c>
      <c r="L147" s="17" t="n">
        <f aca="false">IF(K147="","",RANK(K147,$K$5:$K$363))</f>
        <v>175</v>
      </c>
      <c r="M147" s="25" t="n">
        <v>0.164102564102564</v>
      </c>
      <c r="N147" s="19" t="n">
        <v>59.4</v>
      </c>
      <c r="O147" s="17" t="n">
        <f aca="false">IF(N147="","",RANK(N147,$N$5:$N$363))</f>
        <v>131</v>
      </c>
      <c r="P147" s="17" t="str">
        <f aca="false">IF(AND(N(H147)&gt;=N(K147),N(H147)&gt;=N(N147)),"The Pulse",IF(N(K147)&gt;=N(N147),"The Lens","The Hub"))</f>
        <v>The Hub</v>
      </c>
      <c r="Q147" s="21" t="s">
        <v>78</v>
      </c>
      <c r="R147" s="26" t="s">
        <v>668</v>
      </c>
      <c r="S147" s="17" t="s">
        <v>126</v>
      </c>
    </row>
    <row r="148" customFormat="false" ht="15" hidden="false" customHeight="false" outlineLevel="0" collapsed="false">
      <c r="A148" s="17" t="s">
        <v>309</v>
      </c>
      <c r="B148" s="17" t="s">
        <v>310</v>
      </c>
      <c r="C148" s="17" t="s">
        <v>970</v>
      </c>
      <c r="D148" s="17" t="s">
        <v>102</v>
      </c>
      <c r="E148" s="18" t="n">
        <v>26230</v>
      </c>
      <c r="F148" s="17" t="s">
        <v>667</v>
      </c>
      <c r="G148" s="23" t="n">
        <v>0.706481128478841</v>
      </c>
      <c r="H148" s="19" t="n">
        <v>59</v>
      </c>
      <c r="I148" s="17" t="n">
        <f aca="false">IF(H148="","",RANK(H148,$H$5:$H$363))</f>
        <v>144</v>
      </c>
      <c r="J148" s="24" t="n">
        <v>0.187415119963785</v>
      </c>
      <c r="K148" s="19" t="n">
        <v>89.3</v>
      </c>
      <c r="L148" s="17" t="n">
        <f aca="false">IF(K148="","",RANK(K148,$K$5:$K$363))</f>
        <v>41</v>
      </c>
      <c r="M148" s="25" t="n">
        <v>0.0910834132310642</v>
      </c>
      <c r="N148" s="19" t="n">
        <v>31.8</v>
      </c>
      <c r="O148" s="17" t="n">
        <f aca="false">IF(N148="","",RANK(N148,$N$5:$N$363))</f>
        <v>223</v>
      </c>
      <c r="P148" s="17" t="str">
        <f aca="false">IF(AND(N(H148)&gt;=N(K148),N(H148)&gt;=N(N148)),"The Pulse",IF(N(K148)&gt;=N(N148),"The Lens","The Hub"))</f>
        <v>The Lens</v>
      </c>
      <c r="Q148" s="21" t="s">
        <v>78</v>
      </c>
      <c r="R148" s="27" t="s">
        <v>671</v>
      </c>
      <c r="S148" s="17" t="s">
        <v>21</v>
      </c>
    </row>
    <row r="149" customFormat="false" ht="15" hidden="false" customHeight="false" outlineLevel="0" collapsed="false">
      <c r="A149" s="17" t="s">
        <v>971</v>
      </c>
      <c r="B149" s="17" t="s">
        <v>972</v>
      </c>
      <c r="C149" s="17" t="s">
        <v>973</v>
      </c>
      <c r="D149" s="17" t="s">
        <v>87</v>
      </c>
      <c r="E149" s="18" t="n">
        <v>88097</v>
      </c>
      <c r="F149" s="17" t="s">
        <v>667</v>
      </c>
      <c r="G149" s="23" t="n">
        <v>0.704371317979046</v>
      </c>
      <c r="H149" s="19" t="n">
        <v>58.8</v>
      </c>
      <c r="I149" s="17" t="n">
        <f aca="false">IF(H149="","",RANK(H149,$H$5:$H$363))</f>
        <v>145</v>
      </c>
      <c r="J149" s="24" t="n">
        <v>0.0321851200937317</v>
      </c>
      <c r="K149" s="19" t="n">
        <v>18.7</v>
      </c>
      <c r="L149" s="17" t="n">
        <f aca="false">IF(K149="","",RANK(K149,$K$5:$K$363))</f>
        <v>292</v>
      </c>
      <c r="M149" s="25" t="n">
        <v>0.0843904157857646</v>
      </c>
      <c r="N149" s="19" t="n">
        <v>28.7</v>
      </c>
      <c r="O149" s="17" t="n">
        <f aca="false">IF(N149="","",RANK(N149,$N$5:$N$363))</f>
        <v>232</v>
      </c>
      <c r="P149" s="17" t="str">
        <f aca="false">IF(AND(N(H149)&gt;=N(K149),N(H149)&gt;=N(N149)),"The Pulse",IF(N(K149)&gt;=N(N149),"The Lens","The Hub"))</f>
        <v>The Pulse</v>
      </c>
      <c r="Q149" s="20" t="s">
        <v>74</v>
      </c>
      <c r="R149" s="26" t="s">
        <v>668</v>
      </c>
      <c r="S149" s="17" t="s">
        <v>19</v>
      </c>
    </row>
    <row r="150" customFormat="false" ht="15" hidden="false" customHeight="false" outlineLevel="0" collapsed="false">
      <c r="A150" s="17" t="s">
        <v>377</v>
      </c>
      <c r="B150" s="17" t="s">
        <v>378</v>
      </c>
      <c r="C150" s="17" t="s">
        <v>974</v>
      </c>
      <c r="D150" s="17" t="s">
        <v>105</v>
      </c>
      <c r="E150" s="18" t="n">
        <v>280789</v>
      </c>
      <c r="F150" s="17" t="s">
        <v>670</v>
      </c>
      <c r="G150" s="23" t="n">
        <v>0.702374380762779</v>
      </c>
      <c r="H150" s="19" t="n">
        <v>58.3</v>
      </c>
      <c r="I150" s="17" t="n">
        <f aca="false">IF(H150="","",RANK(H150,$H$5:$H$363))</f>
        <v>146</v>
      </c>
      <c r="J150" s="24" t="n">
        <v>0.0710719149212113</v>
      </c>
      <c r="K150" s="19" t="n">
        <v>47.1</v>
      </c>
      <c r="L150" s="17" t="n">
        <f aca="false">IF(K150="","",RANK(K150,$K$5:$K$363))</f>
        <v>188</v>
      </c>
      <c r="M150" s="25" t="n">
        <v>0.03447754423106</v>
      </c>
      <c r="N150" s="19" t="n">
        <v>7.2</v>
      </c>
      <c r="O150" s="17" t="n">
        <f aca="false">IF(N150="","",RANK(N150,$N$5:$N$363))</f>
        <v>298</v>
      </c>
      <c r="P150" s="17" t="str">
        <f aca="false">IF(AND(N(H150)&gt;=N(K150),N(H150)&gt;=N(N150)),"The Pulse",IF(N(K150)&gt;=N(N150),"The Lens","The Hub"))</f>
        <v>The Pulse</v>
      </c>
      <c r="Q150" s="20" t="s">
        <v>74</v>
      </c>
      <c r="R150" s="27" t="s">
        <v>671</v>
      </c>
      <c r="S150" s="17" t="s">
        <v>19</v>
      </c>
    </row>
    <row r="151" customFormat="false" ht="15" hidden="false" customHeight="false" outlineLevel="0" collapsed="false">
      <c r="A151" s="17" t="s">
        <v>975</v>
      </c>
      <c r="B151" s="17" t="s">
        <v>976</v>
      </c>
      <c r="C151" s="17" t="s">
        <v>977</v>
      </c>
      <c r="D151" s="17" t="s">
        <v>72</v>
      </c>
      <c r="E151" s="18" t="n">
        <v>12933</v>
      </c>
      <c r="F151" s="17" t="s">
        <v>667</v>
      </c>
      <c r="G151" s="23" t="n">
        <v>0.698832444135158</v>
      </c>
      <c r="H151" s="19" t="n">
        <v>58.1</v>
      </c>
      <c r="I151" s="17" t="n">
        <f aca="false">IF(H151="","",RANK(H151,$H$5:$H$363))</f>
        <v>147</v>
      </c>
      <c r="J151" s="24" t="n">
        <v>0.154525977504017</v>
      </c>
      <c r="K151" s="19" t="n">
        <v>79.8</v>
      </c>
      <c r="L151" s="17" t="n">
        <f aca="false">IF(K151="","",RANK(K151,$K$5:$K$363))</f>
        <v>75</v>
      </c>
      <c r="M151" s="25" t="n">
        <v>0.0835117773019272</v>
      </c>
      <c r="N151" s="19" t="n">
        <v>28.2</v>
      </c>
      <c r="O151" s="17" t="n">
        <f aca="false">IF(N151="","",RANK(N151,$N$5:$N$363))</f>
        <v>234</v>
      </c>
      <c r="P151" s="17" t="str">
        <f aca="false">IF(AND(N(H151)&gt;=N(K151),N(H151)&gt;=N(N151)),"The Pulse",IF(N(K151)&gt;=N(N151),"The Lens","The Hub"))</f>
        <v>The Lens</v>
      </c>
      <c r="Q151" s="20" t="s">
        <v>74</v>
      </c>
      <c r="R151" s="26" t="s">
        <v>668</v>
      </c>
      <c r="S151" s="17" t="s">
        <v>19</v>
      </c>
    </row>
    <row r="152" customFormat="false" ht="15" hidden="false" customHeight="false" outlineLevel="0" collapsed="false">
      <c r="A152" s="17" t="s">
        <v>978</v>
      </c>
      <c r="B152" s="17" t="s">
        <v>979</v>
      </c>
      <c r="C152" s="17" t="s">
        <v>980</v>
      </c>
      <c r="D152" s="17" t="s">
        <v>133</v>
      </c>
      <c r="E152" s="18" t="n">
        <v>242652</v>
      </c>
      <c r="F152" s="17" t="s">
        <v>670</v>
      </c>
      <c r="G152" s="23" t="n">
        <v>0.694809851144849</v>
      </c>
      <c r="H152" s="19" t="n">
        <v>57.9</v>
      </c>
      <c r="I152" s="17" t="n">
        <f aca="false">IF(H152="","",RANK(H152,$H$5:$H$363))</f>
        <v>148</v>
      </c>
      <c r="J152" s="24" t="n">
        <v>0.0743849954837681</v>
      </c>
      <c r="K152" s="19" t="n">
        <v>49.3</v>
      </c>
      <c r="L152" s="17" t="n">
        <f aca="false">IF(K152="","",RANK(K152,$K$5:$K$363))</f>
        <v>180</v>
      </c>
      <c r="M152" s="25" t="n">
        <v>0.231652253769037</v>
      </c>
      <c r="N152" s="19" t="n">
        <v>78.5</v>
      </c>
      <c r="O152" s="17" t="n">
        <f aca="false">IF(N152="","",RANK(N152,$N$5:$N$363))</f>
        <v>69</v>
      </c>
      <c r="P152" s="17" t="str">
        <f aca="false">IF(AND(N(H152)&gt;=N(K152),N(H152)&gt;=N(N152)),"The Pulse",IF(N(K152)&gt;=N(N152),"The Lens","The Hub"))</f>
        <v>The Hub</v>
      </c>
      <c r="Q152" s="20" t="s">
        <v>74</v>
      </c>
      <c r="R152" s="26" t="s">
        <v>668</v>
      </c>
      <c r="S152" s="17" t="s">
        <v>19</v>
      </c>
    </row>
    <row r="153" customFormat="false" ht="15" hidden="false" customHeight="false" outlineLevel="0" collapsed="false">
      <c r="A153" s="17" t="s">
        <v>573</v>
      </c>
      <c r="B153" s="17" t="s">
        <v>574</v>
      </c>
      <c r="C153" s="17" t="s">
        <v>981</v>
      </c>
      <c r="D153" s="17" t="s">
        <v>77</v>
      </c>
      <c r="E153" s="18" t="n">
        <v>75300</v>
      </c>
      <c r="F153" s="17" t="s">
        <v>667</v>
      </c>
      <c r="G153" s="23" t="n">
        <v>0.690863213811421</v>
      </c>
      <c r="H153" s="19" t="n">
        <v>57.7</v>
      </c>
      <c r="I153" s="17" t="n">
        <f aca="false">IF(H153="","",RANK(H153,$H$5:$H$363))</f>
        <v>149</v>
      </c>
      <c r="J153" s="24" t="n">
        <v>0.0604140261934939</v>
      </c>
      <c r="K153" s="19" t="n">
        <v>31.7</v>
      </c>
      <c r="L153" s="17" t="n">
        <f aca="false">IF(K153="","",RANK(K153,$K$5:$K$363))</f>
        <v>244</v>
      </c>
      <c r="M153" s="25" t="n">
        <v>0.181473044798785</v>
      </c>
      <c r="N153" s="19" t="n">
        <v>64.6</v>
      </c>
      <c r="O153" s="17" t="n">
        <f aca="false">IF(N153="","",RANK(N153,$N$5:$N$363))</f>
        <v>114</v>
      </c>
      <c r="P153" s="17" t="str">
        <f aca="false">IF(AND(N(H153)&gt;=N(K153),N(H153)&gt;=N(N153)),"The Pulse",IF(N(K153)&gt;=N(N153),"The Lens","The Hub"))</f>
        <v>The Hub</v>
      </c>
      <c r="Q153" s="21" t="s">
        <v>78</v>
      </c>
      <c r="R153" s="27" t="s">
        <v>671</v>
      </c>
      <c r="S153" s="17" t="s">
        <v>21</v>
      </c>
    </row>
    <row r="154" customFormat="false" ht="15" hidden="false" customHeight="false" outlineLevel="0" collapsed="false">
      <c r="A154" s="17" t="s">
        <v>194</v>
      </c>
      <c r="B154" s="17" t="s">
        <v>195</v>
      </c>
      <c r="C154" s="17" t="s">
        <v>982</v>
      </c>
      <c r="D154" s="17" t="s">
        <v>105</v>
      </c>
      <c r="E154" s="18" t="n">
        <v>26030</v>
      </c>
      <c r="F154" s="17" t="s">
        <v>667</v>
      </c>
      <c r="G154" s="23" t="n">
        <v>0.689204763734153</v>
      </c>
      <c r="H154" s="19" t="n">
        <v>57.5</v>
      </c>
      <c r="I154" s="17" t="n">
        <f aca="false">IF(H154="","",RANK(H154,$H$5:$H$363))</f>
        <v>150</v>
      </c>
      <c r="J154" s="24" t="n">
        <v>0.131247283789657</v>
      </c>
      <c r="K154" s="19" t="n">
        <v>68.3</v>
      </c>
      <c r="L154" s="17" t="n">
        <f aca="false">IF(K154="","",RANK(K154,$K$5:$K$363))</f>
        <v>120</v>
      </c>
      <c r="M154" s="25" t="n">
        <v>0.251295336787565</v>
      </c>
      <c r="N154" s="19" t="n">
        <v>82</v>
      </c>
      <c r="O154" s="17" t="n">
        <f aca="false">IF(N154="","",RANK(N154,$N$5:$N$363))</f>
        <v>58</v>
      </c>
      <c r="P154" s="17" t="str">
        <f aca="false">IF(AND(N(H154)&gt;=N(K154),N(H154)&gt;=N(N154)),"The Pulse",IF(N(K154)&gt;=N(N154),"The Lens","The Hub"))</f>
        <v>The Hub</v>
      </c>
      <c r="Q154" s="21" t="s">
        <v>78</v>
      </c>
      <c r="R154" s="27" t="s">
        <v>671</v>
      </c>
      <c r="S154" s="17" t="s">
        <v>21</v>
      </c>
    </row>
    <row r="155" customFormat="false" ht="15" hidden="false" customHeight="false" outlineLevel="0" collapsed="false">
      <c r="A155" s="17" t="s">
        <v>983</v>
      </c>
      <c r="B155" s="17" t="s">
        <v>984</v>
      </c>
      <c r="C155" s="17" t="s">
        <v>985</v>
      </c>
      <c r="D155" s="17" t="s">
        <v>87</v>
      </c>
      <c r="E155" s="18" t="n">
        <v>7236</v>
      </c>
      <c r="F155" s="17" t="s">
        <v>678</v>
      </c>
      <c r="G155" s="23" t="n">
        <v>0.683526810392482</v>
      </c>
      <c r="H155" s="19" t="n">
        <v>57.3</v>
      </c>
      <c r="I155" s="17" t="n">
        <f aca="false">IF(H155="","",RANK(H155,$H$5:$H$363))</f>
        <v>151</v>
      </c>
      <c r="J155" s="24" t="n">
        <v>0.0920615756112285</v>
      </c>
      <c r="K155" s="19" t="n">
        <v>61.1</v>
      </c>
      <c r="L155" s="17" t="n">
        <f aca="false">IF(K155="","",RANK(K155,$K$5:$K$363))</f>
        <v>141</v>
      </c>
      <c r="M155" s="25" t="n">
        <v>0.0480349344978166</v>
      </c>
      <c r="N155" s="19" t="n">
        <v>12.7</v>
      </c>
      <c r="O155" s="17" t="n">
        <f aca="false">IF(N155="","",RANK(N155,$N$5:$N$363))</f>
        <v>282</v>
      </c>
      <c r="P155" s="17" t="str">
        <f aca="false">IF(AND(N(H155)&gt;=N(K155),N(H155)&gt;=N(N155)),"The Pulse",IF(N(K155)&gt;=N(N155),"The Lens","The Hub"))</f>
        <v>The Lens</v>
      </c>
      <c r="Q155" s="20" t="s">
        <v>74</v>
      </c>
      <c r="R155" s="26" t="s">
        <v>668</v>
      </c>
      <c r="S155" s="17" t="s">
        <v>19</v>
      </c>
    </row>
    <row r="156" customFormat="false" ht="15" hidden="false" customHeight="false" outlineLevel="0" collapsed="false">
      <c r="A156" s="17" t="s">
        <v>986</v>
      </c>
      <c r="B156" s="17" t="s">
        <v>987</v>
      </c>
      <c r="C156" s="17" t="s">
        <v>988</v>
      </c>
      <c r="D156" s="17" t="s">
        <v>87</v>
      </c>
      <c r="E156" s="18" t="n">
        <v>62190</v>
      </c>
      <c r="F156" s="17" t="s">
        <v>667</v>
      </c>
      <c r="G156" s="23" t="n">
        <v>0.680977649139733</v>
      </c>
      <c r="H156" s="19" t="n">
        <v>57.1</v>
      </c>
      <c r="I156" s="17" t="n">
        <f aca="false">IF(H156="","",RANK(H156,$H$5:$H$363))</f>
        <v>152</v>
      </c>
      <c r="J156" s="24" t="n">
        <v>0.0344311377245509</v>
      </c>
      <c r="K156" s="19" t="n">
        <v>19.8</v>
      </c>
      <c r="L156" s="17" t="n">
        <f aca="false">IF(K156="","",RANK(K156,$K$5:$K$363))</f>
        <v>289</v>
      </c>
      <c r="M156" s="25" t="n">
        <v>0.0433622414943296</v>
      </c>
      <c r="N156" s="19" t="n">
        <v>11</v>
      </c>
      <c r="O156" s="17" t="n">
        <f aca="false">IF(N156="","",RANK(N156,$N$5:$N$363))</f>
        <v>288</v>
      </c>
      <c r="P156" s="17" t="str">
        <f aca="false">IF(AND(N(H156)&gt;=N(K156),N(H156)&gt;=N(N156)),"The Pulse",IF(N(K156)&gt;=N(N156),"The Lens","The Hub"))</f>
        <v>The Pulse</v>
      </c>
      <c r="Q156" s="21" t="s">
        <v>78</v>
      </c>
      <c r="R156" s="26" t="s">
        <v>668</v>
      </c>
      <c r="S156" s="17" t="s">
        <v>21</v>
      </c>
    </row>
    <row r="157" customFormat="false" ht="15" hidden="false" customHeight="false" outlineLevel="0" collapsed="false">
      <c r="A157" s="17" t="s">
        <v>327</v>
      </c>
      <c r="B157" s="17" t="s">
        <v>328</v>
      </c>
      <c r="C157" s="17" t="s">
        <v>989</v>
      </c>
      <c r="D157" s="17" t="s">
        <v>77</v>
      </c>
      <c r="E157" s="18" t="n">
        <v>31023</v>
      </c>
      <c r="F157" s="17" t="s">
        <v>667</v>
      </c>
      <c r="G157" s="23" t="n">
        <v>0.672694452502982</v>
      </c>
      <c r="H157" s="19" t="n">
        <v>56.8</v>
      </c>
      <c r="I157" s="17" t="n">
        <f aca="false">IF(H157="","",RANK(H157,$H$5:$H$363))</f>
        <v>153</v>
      </c>
      <c r="J157" s="24" t="n">
        <v>0.0215014817253869</v>
      </c>
      <c r="K157" s="19" t="n">
        <v>13.9</v>
      </c>
      <c r="L157" s="17" t="n">
        <f aca="false">IF(K157="","",RANK(K157,$K$5:$K$363))</f>
        <v>308</v>
      </c>
      <c r="M157" s="25" t="n">
        <v>0.269315673289183</v>
      </c>
      <c r="N157" s="19" t="n">
        <v>85.1</v>
      </c>
      <c r="O157" s="17" t="n">
        <f aca="false">IF(N157="","",RANK(N157,$N$5:$N$363))</f>
        <v>48</v>
      </c>
      <c r="P157" s="17" t="str">
        <f aca="false">IF(AND(N(H157)&gt;=N(K157),N(H157)&gt;=N(N157)),"The Pulse",IF(N(K157)&gt;=N(N157),"The Lens","The Hub"))</f>
        <v>The Hub</v>
      </c>
      <c r="Q157" s="20" t="s">
        <v>74</v>
      </c>
      <c r="R157" s="27" t="s">
        <v>671</v>
      </c>
      <c r="S157" s="17" t="s">
        <v>19</v>
      </c>
    </row>
    <row r="158" customFormat="false" ht="15" hidden="false" customHeight="false" outlineLevel="0" collapsed="false">
      <c r="A158" s="17" t="s">
        <v>317</v>
      </c>
      <c r="B158" s="17" t="s">
        <v>318</v>
      </c>
      <c r="C158" s="17" t="s">
        <v>990</v>
      </c>
      <c r="D158" s="17" t="s">
        <v>77</v>
      </c>
      <c r="E158" s="18" t="n">
        <v>55200</v>
      </c>
      <c r="F158" s="17" t="s">
        <v>667</v>
      </c>
      <c r="G158" s="23" t="n">
        <v>0.672083333333333</v>
      </c>
      <c r="H158" s="19" t="n">
        <v>56.6</v>
      </c>
      <c r="I158" s="17" t="n">
        <f aca="false">IF(H158="","",RANK(H158,$H$5:$H$363))</f>
        <v>154</v>
      </c>
      <c r="J158" s="24" t="n">
        <v>0.289719626168224</v>
      </c>
      <c r="K158" s="19" t="n">
        <v>99.2</v>
      </c>
      <c r="L158" s="17" t="n">
        <f aca="false">IF(K158="","",RANK(K158,$K$5:$K$363))</f>
        <v>6</v>
      </c>
      <c r="M158" s="25" t="n">
        <v>0.254752851711027</v>
      </c>
      <c r="N158" s="19" t="n">
        <v>83.4</v>
      </c>
      <c r="O158" s="17" t="n">
        <f aca="false">IF(N158="","",RANK(N158,$N$5:$N$363))</f>
        <v>53</v>
      </c>
      <c r="P158" s="17" t="str">
        <f aca="false">IF(AND(N(H158)&gt;=N(K158),N(H158)&gt;=N(N158)),"The Pulse",IF(N(K158)&gt;=N(N158),"The Lens","The Hub"))</f>
        <v>The Lens</v>
      </c>
      <c r="Q158" s="21" t="s">
        <v>78</v>
      </c>
      <c r="R158" s="27" t="s">
        <v>671</v>
      </c>
      <c r="S158" s="17" t="s">
        <v>21</v>
      </c>
    </row>
    <row r="159" customFormat="false" ht="15" hidden="false" customHeight="false" outlineLevel="0" collapsed="false">
      <c r="A159" s="17" t="s">
        <v>991</v>
      </c>
      <c r="B159" s="17" t="s">
        <v>992</v>
      </c>
      <c r="C159" s="17" t="s">
        <v>993</v>
      </c>
      <c r="D159" s="17" t="s">
        <v>92</v>
      </c>
      <c r="E159" s="18" t="n">
        <v>111030</v>
      </c>
      <c r="F159" s="17" t="s">
        <v>670</v>
      </c>
      <c r="G159" s="23" t="n">
        <v>0.671323065838062</v>
      </c>
      <c r="H159" s="19" t="n">
        <v>56.4</v>
      </c>
      <c r="I159" s="17" t="n">
        <f aca="false">IF(H159="","",RANK(H159,$H$5:$H$363))</f>
        <v>155</v>
      </c>
      <c r="J159" s="24" t="n">
        <v>0.187613648518558</v>
      </c>
      <c r="K159" s="19" t="n">
        <v>90.6</v>
      </c>
      <c r="L159" s="17" t="n">
        <f aca="false">IF(K159="","",RANK(K159,$K$5:$K$363))</f>
        <v>36</v>
      </c>
      <c r="M159" s="25" t="n">
        <v>0.0120879120879121</v>
      </c>
      <c r="N159" s="19" t="n">
        <v>3.3</v>
      </c>
      <c r="O159" s="17" t="n">
        <f aca="false">IF(N159="","",RANK(N159,$N$5:$N$363))</f>
        <v>312</v>
      </c>
      <c r="P159" s="17" t="str">
        <f aca="false">IF(AND(N(H159)&gt;=N(K159),N(H159)&gt;=N(N159)),"The Pulse",IF(N(K159)&gt;=N(N159),"The Lens","The Hub"))</f>
        <v>The Lens</v>
      </c>
      <c r="Q159" s="21" t="s">
        <v>78</v>
      </c>
      <c r="R159" s="26" t="s">
        <v>668</v>
      </c>
      <c r="S159" s="17" t="s">
        <v>21</v>
      </c>
    </row>
    <row r="160" customFormat="false" ht="15" hidden="false" customHeight="false" outlineLevel="0" collapsed="false">
      <c r="A160" s="17" t="s">
        <v>299</v>
      </c>
      <c r="B160" s="17" t="s">
        <v>300</v>
      </c>
      <c r="C160" s="17" t="s">
        <v>994</v>
      </c>
      <c r="D160" s="17" t="s">
        <v>138</v>
      </c>
      <c r="E160" s="18" t="n">
        <v>2254</v>
      </c>
      <c r="F160" s="17" t="s">
        <v>678</v>
      </c>
      <c r="G160" s="23" t="n">
        <v>0.670807453416149</v>
      </c>
      <c r="H160" s="19" t="n">
        <v>56.2</v>
      </c>
      <c r="I160" s="17" t="n">
        <f aca="false">IF(H160="","",RANK(H160,$H$5:$H$363))</f>
        <v>156</v>
      </c>
      <c r="J160" s="24" t="n">
        <v>0.0687529634898056</v>
      </c>
      <c r="K160" s="19" t="n">
        <v>37</v>
      </c>
      <c r="L160" s="17" t="n">
        <f aca="false">IF(K160="","",RANK(K160,$K$5:$K$363))</f>
        <v>227</v>
      </c>
      <c r="M160" s="28" t="s">
        <v>680</v>
      </c>
      <c r="N160" s="19"/>
      <c r="O160" s="17" t="str">
        <f aca="false">IF(N160="","",RANK(N160,$N$5:$N$363))</f>
        <v/>
      </c>
      <c r="P160" s="17" t="str">
        <f aca="false">IF(AND(N(H160)&gt;=N(K160),N(H160)&gt;=N(N160)),"The Pulse",IF(N(K160)&gt;=N(N160),"The Lens","The Hub"))</f>
        <v>The Pulse</v>
      </c>
      <c r="Q160" s="20" t="s">
        <v>74</v>
      </c>
      <c r="R160" s="27" t="s">
        <v>671</v>
      </c>
      <c r="S160" s="17" t="s">
        <v>19</v>
      </c>
    </row>
    <row r="161" customFormat="false" ht="15" hidden="false" customHeight="false" outlineLevel="0" collapsed="false">
      <c r="A161" s="17" t="s">
        <v>321</v>
      </c>
      <c r="B161" s="17" t="s">
        <v>322</v>
      </c>
      <c r="C161" s="17" t="s">
        <v>995</v>
      </c>
      <c r="D161" s="17" t="s">
        <v>102</v>
      </c>
      <c r="E161" s="18" t="n">
        <v>4759</v>
      </c>
      <c r="F161" s="17" t="s">
        <v>678</v>
      </c>
      <c r="G161" s="23" t="n">
        <v>0.670519016600126</v>
      </c>
      <c r="H161" s="19" t="n">
        <v>56</v>
      </c>
      <c r="I161" s="17" t="n">
        <f aca="false">IF(H161="","",RANK(H161,$H$5:$H$363))</f>
        <v>157</v>
      </c>
      <c r="J161" s="24" t="n">
        <v>0.0480070469059679</v>
      </c>
      <c r="K161" s="19" t="n">
        <v>27.8</v>
      </c>
      <c r="L161" s="17" t="n">
        <f aca="false">IF(K161="","",RANK(K161,$K$5:$K$363))</f>
        <v>258</v>
      </c>
      <c r="M161" s="25" t="n">
        <v>0.225225225225225</v>
      </c>
      <c r="N161" s="19" t="n">
        <v>77.1</v>
      </c>
      <c r="O161" s="17" t="n">
        <f aca="false">IF(N161="","",RANK(N161,$N$5:$N$363))</f>
        <v>73</v>
      </c>
      <c r="P161" s="17" t="str">
        <f aca="false">IF(AND(N(H161)&gt;=N(K161),N(H161)&gt;=N(N161)),"The Pulse",IF(N(K161)&gt;=N(N161),"The Lens","The Hub"))</f>
        <v>The Hub</v>
      </c>
      <c r="Q161" s="20" t="s">
        <v>74</v>
      </c>
      <c r="R161" s="27" t="s">
        <v>671</v>
      </c>
      <c r="S161" s="17" t="s">
        <v>19</v>
      </c>
    </row>
    <row r="162" customFormat="false" ht="15" hidden="false" customHeight="false" outlineLevel="0" collapsed="false">
      <c r="A162" s="17" t="s">
        <v>289</v>
      </c>
      <c r="B162" s="17" t="s">
        <v>290</v>
      </c>
      <c r="C162" s="17" t="s">
        <v>996</v>
      </c>
      <c r="D162" s="17" t="s">
        <v>102</v>
      </c>
      <c r="E162" s="18" t="n">
        <v>92640</v>
      </c>
      <c r="F162" s="17" t="s">
        <v>667</v>
      </c>
      <c r="G162" s="23" t="n">
        <v>0.664302677029361</v>
      </c>
      <c r="H162" s="19" t="n">
        <v>55.8</v>
      </c>
      <c r="I162" s="17" t="n">
        <f aca="false">IF(H162="","",RANK(H162,$H$5:$H$363))</f>
        <v>158</v>
      </c>
      <c r="J162" s="24" t="n">
        <v>0.145683898095474</v>
      </c>
      <c r="K162" s="19" t="n">
        <v>75.8</v>
      </c>
      <c r="L162" s="17" t="n">
        <f aca="false">IF(K162="","",RANK(K162,$K$5:$K$363))</f>
        <v>91</v>
      </c>
      <c r="M162" s="28" t="s">
        <v>680</v>
      </c>
      <c r="N162" s="19"/>
      <c r="O162" s="17" t="str">
        <f aca="false">IF(N162="","",RANK(N162,$N$5:$N$363))</f>
        <v/>
      </c>
      <c r="P162" s="17" t="str">
        <f aca="false">IF(AND(N(H162)&gt;=N(K162),N(H162)&gt;=N(N162)),"The Pulse",IF(N(K162)&gt;=N(N162),"The Lens","The Hub"))</f>
        <v>The Lens</v>
      </c>
      <c r="Q162" s="21" t="s">
        <v>78</v>
      </c>
      <c r="R162" s="27" t="s">
        <v>671</v>
      </c>
      <c r="S162" s="17" t="s">
        <v>21</v>
      </c>
    </row>
    <row r="163" customFormat="false" ht="15" hidden="false" customHeight="false" outlineLevel="0" collapsed="false">
      <c r="A163" s="17" t="s">
        <v>339</v>
      </c>
      <c r="B163" s="17" t="s">
        <v>340</v>
      </c>
      <c r="C163" s="17" t="s">
        <v>997</v>
      </c>
      <c r="D163" s="17" t="s">
        <v>114</v>
      </c>
      <c r="E163" s="18" t="n">
        <v>73750</v>
      </c>
      <c r="F163" s="17" t="s">
        <v>667</v>
      </c>
      <c r="G163" s="23" t="n">
        <v>0.662020338983051</v>
      </c>
      <c r="H163" s="19" t="n">
        <v>55.6</v>
      </c>
      <c r="I163" s="17" t="n">
        <f aca="false">IF(H163="","",RANK(H163,$H$5:$H$363))</f>
        <v>159</v>
      </c>
      <c r="J163" s="24" t="n">
        <v>0.19220821209182</v>
      </c>
      <c r="K163" s="19" t="n">
        <v>90.5</v>
      </c>
      <c r="L163" s="17" t="n">
        <f aca="false">IF(K163="","",RANK(K163,$K$5:$K$363))</f>
        <v>37</v>
      </c>
      <c r="M163" s="25" t="n">
        <v>0.283319362950545</v>
      </c>
      <c r="N163" s="19" t="n">
        <v>87.8</v>
      </c>
      <c r="O163" s="17" t="n">
        <f aca="false">IF(N163="","",RANK(N163,$N$5:$N$363))</f>
        <v>40</v>
      </c>
      <c r="P163" s="17" t="str">
        <f aca="false">IF(AND(N(H163)&gt;=N(K163),N(H163)&gt;=N(N163)),"The Pulse",IF(N(K163)&gt;=N(N163),"The Lens","The Hub"))</f>
        <v>The Lens</v>
      </c>
      <c r="Q163" s="21" t="s">
        <v>78</v>
      </c>
      <c r="R163" s="27" t="s">
        <v>671</v>
      </c>
      <c r="S163" s="17" t="s">
        <v>21</v>
      </c>
    </row>
    <row r="164" customFormat="false" ht="15" hidden="false" customHeight="false" outlineLevel="0" collapsed="false">
      <c r="A164" s="17" t="s">
        <v>998</v>
      </c>
      <c r="B164" s="17" t="s">
        <v>999</v>
      </c>
      <c r="C164" s="17" t="s">
        <v>1000</v>
      </c>
      <c r="D164" s="17" t="s">
        <v>92</v>
      </c>
      <c r="E164" s="18" t="n">
        <v>316090</v>
      </c>
      <c r="F164" s="17" t="s">
        <v>670</v>
      </c>
      <c r="G164" s="23" t="n">
        <v>0.655189977538043</v>
      </c>
      <c r="H164" s="19" t="n">
        <v>54.9</v>
      </c>
      <c r="I164" s="17" t="n">
        <f aca="false">IF(H164="","",RANK(H164,$H$5:$H$363))</f>
        <v>160</v>
      </c>
      <c r="J164" s="24" t="n">
        <v>0.102819063568488</v>
      </c>
      <c r="K164" s="19" t="n">
        <v>60.1</v>
      </c>
      <c r="L164" s="17" t="n">
        <f aca="false">IF(K164="","",RANK(K164,$K$5:$K$363))</f>
        <v>144</v>
      </c>
      <c r="M164" s="25" t="n">
        <v>0.0762073548958795</v>
      </c>
      <c r="N164" s="19" t="n">
        <v>24</v>
      </c>
      <c r="O164" s="17" t="n">
        <f aca="false">IF(N164="","",RANK(N164,$N$5:$N$363))</f>
        <v>248</v>
      </c>
      <c r="P164" s="17" t="str">
        <f aca="false">IF(AND(N(H164)&gt;=N(K164),N(H164)&gt;=N(N164)),"The Pulse",IF(N(K164)&gt;=N(N164),"The Lens","The Hub"))</f>
        <v>The Lens</v>
      </c>
      <c r="Q164" s="21" t="s">
        <v>78</v>
      </c>
      <c r="R164" s="26" t="s">
        <v>668</v>
      </c>
      <c r="S164" s="17" t="s">
        <v>21</v>
      </c>
    </row>
    <row r="165" customFormat="false" ht="15" hidden="false" customHeight="false" outlineLevel="0" collapsed="false">
      <c r="A165" s="17" t="s">
        <v>1001</v>
      </c>
      <c r="B165" s="17" t="s">
        <v>1002</v>
      </c>
      <c r="C165" s="17" t="s">
        <v>1003</v>
      </c>
      <c r="D165" s="17" t="s">
        <v>133</v>
      </c>
      <c r="E165" s="18" t="n">
        <v>206248</v>
      </c>
      <c r="F165" s="17" t="s">
        <v>670</v>
      </c>
      <c r="G165" s="23" t="n">
        <v>0.654319072184943</v>
      </c>
      <c r="H165" s="19" t="n">
        <v>54.7</v>
      </c>
      <c r="I165" s="17" t="n">
        <f aca="false">IF(H165="","",RANK(H165,$H$5:$H$363))</f>
        <v>161</v>
      </c>
      <c r="J165" s="24" t="n">
        <v>0.244159181531371</v>
      </c>
      <c r="K165" s="19" t="n">
        <v>99.3</v>
      </c>
      <c r="L165" s="17" t="n">
        <f aca="false">IF(K165="","",RANK(K165,$K$5:$K$363))</f>
        <v>5</v>
      </c>
      <c r="M165" s="25" t="n">
        <v>0.224671358385341</v>
      </c>
      <c r="N165" s="19" t="n">
        <v>76.8</v>
      </c>
      <c r="O165" s="17" t="n">
        <f aca="false">IF(N165="","",RANK(N165,$N$5:$N$363))</f>
        <v>74</v>
      </c>
      <c r="P165" s="17" t="str">
        <f aca="false">IF(AND(N(H165)&gt;=N(K165),N(H165)&gt;=N(N165)),"The Pulse",IF(N(K165)&gt;=N(N165),"The Lens","The Hub"))</f>
        <v>The Lens</v>
      </c>
      <c r="Q165" s="20" t="s">
        <v>74</v>
      </c>
      <c r="R165" s="26" t="s">
        <v>668</v>
      </c>
      <c r="S165" s="17" t="s">
        <v>19</v>
      </c>
    </row>
    <row r="166" customFormat="false" ht="15" hidden="false" customHeight="false" outlineLevel="0" collapsed="false">
      <c r="A166" s="17" t="s">
        <v>347</v>
      </c>
      <c r="B166" s="17" t="s">
        <v>348</v>
      </c>
      <c r="C166" s="17" t="s">
        <v>1004</v>
      </c>
      <c r="D166" s="17" t="s">
        <v>105</v>
      </c>
      <c r="E166" s="18" t="n">
        <v>23710</v>
      </c>
      <c r="F166" s="17" t="s">
        <v>667</v>
      </c>
      <c r="G166" s="23" t="n">
        <v>0.652256431885281</v>
      </c>
      <c r="H166" s="19" t="n">
        <v>54.5</v>
      </c>
      <c r="I166" s="17" t="n">
        <f aca="false">IF(H166="","",RANK(H166,$H$5:$H$363))</f>
        <v>162</v>
      </c>
      <c r="J166" s="24" t="n">
        <v>0.300603400987383</v>
      </c>
      <c r="K166" s="19" t="n">
        <v>100</v>
      </c>
      <c r="L166" s="17" t="n">
        <f aca="false">IF(K166="","",RANK(K166,$K$5:$K$363))</f>
        <v>1</v>
      </c>
      <c r="M166" s="25" t="n">
        <v>0.111111111111111</v>
      </c>
      <c r="N166" s="19" t="n">
        <v>40.3</v>
      </c>
      <c r="O166" s="17" t="n">
        <f aca="false">IF(N166="","",RANK(N166,$N$5:$N$363))</f>
        <v>196</v>
      </c>
      <c r="P166" s="17" t="str">
        <f aca="false">IF(AND(N(H166)&gt;=N(K166),N(H166)&gt;=N(N166)),"The Pulse",IF(N(K166)&gt;=N(N166),"The Lens","The Hub"))</f>
        <v>The Lens</v>
      </c>
      <c r="Q166" s="21" t="s">
        <v>78</v>
      </c>
      <c r="R166" s="27" t="s">
        <v>671</v>
      </c>
      <c r="S166" s="17" t="s">
        <v>21</v>
      </c>
    </row>
    <row r="167" customFormat="false" ht="15" hidden="false" customHeight="false" outlineLevel="0" collapsed="false">
      <c r="A167" s="17" t="s">
        <v>389</v>
      </c>
      <c r="B167" s="17" t="s">
        <v>390</v>
      </c>
      <c r="C167" s="17" t="s">
        <v>1005</v>
      </c>
      <c r="D167" s="17" t="s">
        <v>133</v>
      </c>
      <c r="E167" s="18" t="n">
        <v>83088</v>
      </c>
      <c r="F167" s="17" t="s">
        <v>667</v>
      </c>
      <c r="G167" s="23" t="n">
        <v>0.651634411708069</v>
      </c>
      <c r="H167" s="19" t="n">
        <v>54.3</v>
      </c>
      <c r="I167" s="17" t="n">
        <f aca="false">IF(H167="","",RANK(H167,$H$5:$H$363))</f>
        <v>163</v>
      </c>
      <c r="J167" s="24" t="n">
        <v>0.00415740114086822</v>
      </c>
      <c r="K167" s="19" t="n">
        <v>9.9</v>
      </c>
      <c r="L167" s="17" t="n">
        <f aca="false">IF(K167="","",RANK(K167,$K$5:$K$363))</f>
        <v>323</v>
      </c>
      <c r="M167" s="25" t="n">
        <v>0.0955183340878225</v>
      </c>
      <c r="N167" s="19" t="n">
        <v>33.4</v>
      </c>
      <c r="O167" s="17" t="n">
        <f aca="false">IF(N167="","",RANK(N167,$N$5:$N$363))</f>
        <v>217</v>
      </c>
      <c r="P167" s="17" t="str">
        <f aca="false">IF(AND(N(H167)&gt;=N(K167),N(H167)&gt;=N(N167)),"The Pulse",IF(N(K167)&gt;=N(N167),"The Lens","The Hub"))</f>
        <v>The Pulse</v>
      </c>
      <c r="Q167" s="20" t="s">
        <v>74</v>
      </c>
      <c r="R167" s="27" t="s">
        <v>671</v>
      </c>
      <c r="S167" s="17" t="s">
        <v>19</v>
      </c>
    </row>
    <row r="168" customFormat="false" ht="15" hidden="false" customHeight="false" outlineLevel="0" collapsed="false">
      <c r="A168" s="17" t="s">
        <v>331</v>
      </c>
      <c r="B168" s="17" t="s">
        <v>332</v>
      </c>
      <c r="C168" s="17" t="s">
        <v>1006</v>
      </c>
      <c r="D168" s="17" t="s">
        <v>87</v>
      </c>
      <c r="E168" s="18" t="n">
        <v>234802</v>
      </c>
      <c r="F168" s="17" t="s">
        <v>670</v>
      </c>
      <c r="G168" s="23" t="n">
        <v>0.649151199734244</v>
      </c>
      <c r="H168" s="19" t="n">
        <v>53.8</v>
      </c>
      <c r="I168" s="17" t="n">
        <f aca="false">IF(H168="","",RANK(H168,$H$5:$H$363))</f>
        <v>164</v>
      </c>
      <c r="J168" s="24" t="n">
        <v>0.0430545066856204</v>
      </c>
      <c r="K168" s="19" t="n">
        <v>28.3</v>
      </c>
      <c r="L168" s="17" t="n">
        <f aca="false">IF(K168="","",RANK(K168,$K$5:$K$363))</f>
        <v>257</v>
      </c>
      <c r="M168" s="25" t="n">
        <v>0.222092032381764</v>
      </c>
      <c r="N168" s="19" t="n">
        <v>75.7</v>
      </c>
      <c r="O168" s="17" t="n">
        <f aca="false">IF(N168="","",RANK(N168,$N$5:$N$363))</f>
        <v>77</v>
      </c>
      <c r="P168" s="17" t="str">
        <f aca="false">IF(AND(N(H168)&gt;=N(K168),N(H168)&gt;=N(N168)),"The Pulse",IF(N(K168)&gt;=N(N168),"The Lens","The Hub"))</f>
        <v>The Hub</v>
      </c>
      <c r="Q168" s="20" t="s">
        <v>74</v>
      </c>
      <c r="R168" s="27" t="s">
        <v>671</v>
      </c>
      <c r="S168" s="17" t="s">
        <v>19</v>
      </c>
    </row>
    <row r="169" customFormat="false" ht="15" hidden="false" customHeight="false" outlineLevel="0" collapsed="false">
      <c r="A169" s="17" t="s">
        <v>1007</v>
      </c>
      <c r="B169" s="17" t="s">
        <v>1008</v>
      </c>
      <c r="C169" s="17" t="s">
        <v>1009</v>
      </c>
      <c r="D169" s="17" t="s">
        <v>92</v>
      </c>
      <c r="E169" s="18" t="n">
        <v>2644</v>
      </c>
      <c r="F169" s="17" t="s">
        <v>678</v>
      </c>
      <c r="G169" s="23" t="n">
        <v>0.648638426626324</v>
      </c>
      <c r="H169" s="19" t="n">
        <v>53.4</v>
      </c>
      <c r="I169" s="17" t="n">
        <f aca="false">IF(H169="","",RANK(H169,$H$5:$H$363))</f>
        <v>165</v>
      </c>
      <c r="J169" s="24" t="n">
        <v>-0.0261510128913444</v>
      </c>
      <c r="K169" s="19" t="n">
        <v>5.6</v>
      </c>
      <c r="L169" s="17" t="n">
        <f aca="false">IF(K169="","",RANK(K169,$K$5:$K$363))</f>
        <v>341</v>
      </c>
      <c r="M169" s="25" t="n">
        <v>0.171052631578947</v>
      </c>
      <c r="N169" s="19" t="n">
        <v>61.3</v>
      </c>
      <c r="O169" s="17" t="n">
        <f aca="false">IF(N169="","",RANK(N169,$N$5:$N$363))</f>
        <v>125</v>
      </c>
      <c r="P169" s="17" t="str">
        <f aca="false">IF(AND(N(H169)&gt;=N(K169),N(H169)&gt;=N(N169)),"The Pulse",IF(N(K169)&gt;=N(N169),"The Lens","The Hub"))</f>
        <v>The Hub</v>
      </c>
      <c r="Q169" s="20" t="s">
        <v>74</v>
      </c>
      <c r="R169" s="26" t="s">
        <v>668</v>
      </c>
      <c r="S169" s="17" t="s">
        <v>19</v>
      </c>
    </row>
    <row r="170" customFormat="false" ht="15" hidden="false" customHeight="false" outlineLevel="0" collapsed="false">
      <c r="A170" s="17" t="s">
        <v>1010</v>
      </c>
      <c r="B170" s="17" t="s">
        <v>1011</v>
      </c>
      <c r="C170" s="17" t="s">
        <v>1012</v>
      </c>
      <c r="D170" s="17" t="s">
        <v>77</v>
      </c>
      <c r="E170" s="18" t="n">
        <v>60980</v>
      </c>
      <c r="F170" s="17" t="s">
        <v>667</v>
      </c>
      <c r="G170" s="23" t="n">
        <v>0.640226303706133</v>
      </c>
      <c r="H170" s="19" t="n">
        <v>53.2</v>
      </c>
      <c r="I170" s="17" t="n">
        <f aca="false">IF(H170="","",RANK(H170,$H$5:$H$363))</f>
        <v>166</v>
      </c>
      <c r="J170" s="24" t="n">
        <v>0.0517419799931011</v>
      </c>
      <c r="K170" s="19" t="n">
        <v>29.4</v>
      </c>
      <c r="L170" s="17" t="n">
        <f aca="false">IF(K170="","",RANK(K170,$K$5:$K$363))</f>
        <v>253</v>
      </c>
      <c r="M170" s="25" t="n">
        <v>0.0854765506807867</v>
      </c>
      <c r="N170" s="19" t="n">
        <v>29.3</v>
      </c>
      <c r="O170" s="17" t="n">
        <f aca="false">IF(N170="","",RANK(N170,$N$5:$N$363))</f>
        <v>230</v>
      </c>
      <c r="P170" s="17" t="str">
        <f aca="false">IF(AND(N(H170)&gt;=N(K170),N(H170)&gt;=N(N170)),"The Pulse",IF(N(K170)&gt;=N(N170),"The Lens","The Hub"))</f>
        <v>The Pulse</v>
      </c>
      <c r="Q170" s="21" t="s">
        <v>78</v>
      </c>
      <c r="R170" s="26" t="s">
        <v>668</v>
      </c>
      <c r="S170" s="17" t="s">
        <v>21</v>
      </c>
    </row>
    <row r="171" customFormat="false" ht="15" hidden="false" customHeight="false" outlineLevel="0" collapsed="false">
      <c r="A171" s="17" t="s">
        <v>1013</v>
      </c>
      <c r="B171" s="17" t="s">
        <v>1014</v>
      </c>
      <c r="C171" s="17" t="s">
        <v>1015</v>
      </c>
      <c r="D171" s="17" t="s">
        <v>138</v>
      </c>
      <c r="E171" s="18" t="n">
        <v>19320</v>
      </c>
      <c r="F171" s="17" t="s">
        <v>667</v>
      </c>
      <c r="G171" s="23" t="n">
        <v>0.640010351966874</v>
      </c>
      <c r="H171" s="19" t="n">
        <v>53</v>
      </c>
      <c r="I171" s="17" t="n">
        <f aca="false">IF(H171="","",RANK(H171,$H$5:$H$363))</f>
        <v>167</v>
      </c>
      <c r="J171" s="24" t="n">
        <v>0.0216816499206769</v>
      </c>
      <c r="K171" s="19" t="n">
        <v>14.3</v>
      </c>
      <c r="L171" s="17" t="n">
        <f aca="false">IF(K171="","",RANK(K171,$K$5:$K$363))</f>
        <v>307</v>
      </c>
      <c r="M171" s="25" t="n">
        <v>0.142857142857143</v>
      </c>
      <c r="N171" s="19" t="n">
        <v>53.3</v>
      </c>
      <c r="O171" s="17" t="n">
        <f aca="false">IF(N171="","",RANK(N171,$N$5:$N$363))</f>
        <v>150</v>
      </c>
      <c r="P171" s="17" t="str">
        <f aca="false">IF(AND(N(H171)&gt;=N(K171),N(H171)&gt;=N(N171)),"The Pulse",IF(N(K171)&gt;=N(N171),"The Lens","The Hub"))</f>
        <v>The Hub</v>
      </c>
      <c r="Q171" s="21" t="s">
        <v>78</v>
      </c>
      <c r="R171" s="26" t="s">
        <v>668</v>
      </c>
      <c r="S171" s="17" t="s">
        <v>21</v>
      </c>
    </row>
    <row r="172" customFormat="false" ht="15" hidden="false" customHeight="false" outlineLevel="0" collapsed="false">
      <c r="A172" s="17" t="s">
        <v>345</v>
      </c>
      <c r="B172" s="17" t="s">
        <v>346</v>
      </c>
      <c r="C172" s="17" t="s">
        <v>1016</v>
      </c>
      <c r="D172" s="17" t="s">
        <v>92</v>
      </c>
      <c r="E172" s="18" t="n">
        <v>1246830</v>
      </c>
      <c r="F172" s="17" t="s">
        <v>752</v>
      </c>
      <c r="G172" s="23" t="n">
        <v>0.639022962232221</v>
      </c>
      <c r="H172" s="19" t="n">
        <v>52.8</v>
      </c>
      <c r="I172" s="17" t="n">
        <f aca="false">IF(H172="","",RANK(H172,$H$5:$H$363))</f>
        <v>168</v>
      </c>
      <c r="J172" s="24" t="n">
        <v>0.0887538312419773</v>
      </c>
      <c r="K172" s="19" t="n">
        <v>31.2</v>
      </c>
      <c r="L172" s="17" t="n">
        <f aca="false">IF(K172="","",RANK(K172,$K$5:$K$363))</f>
        <v>247</v>
      </c>
      <c r="M172" s="25" t="n">
        <v>0.0516935941043084</v>
      </c>
      <c r="N172" s="19" t="n">
        <v>13.8</v>
      </c>
      <c r="O172" s="17" t="n">
        <f aca="false">IF(N172="","",RANK(N172,$N$5:$N$363))</f>
        <v>279</v>
      </c>
      <c r="P172" s="17" t="str">
        <f aca="false">IF(AND(N(H172)&gt;=N(K172),N(H172)&gt;=N(N172)),"The Pulse",IF(N(K172)&gt;=N(N172),"The Lens","The Hub"))</f>
        <v>The Pulse</v>
      </c>
      <c r="Q172" s="21" t="s">
        <v>78</v>
      </c>
      <c r="R172" s="27" t="s">
        <v>671</v>
      </c>
      <c r="S172" s="17" t="s">
        <v>21</v>
      </c>
    </row>
    <row r="173" customFormat="false" ht="15" hidden="false" customHeight="false" outlineLevel="0" collapsed="false">
      <c r="A173" s="17" t="s">
        <v>349</v>
      </c>
      <c r="B173" s="17" t="s">
        <v>350</v>
      </c>
      <c r="C173" s="17" t="s">
        <v>1017</v>
      </c>
      <c r="D173" s="17" t="s">
        <v>81</v>
      </c>
      <c r="E173" s="18" t="n">
        <v>91121</v>
      </c>
      <c r="F173" s="17" t="s">
        <v>667</v>
      </c>
      <c r="G173" s="23" t="n">
        <v>0.638458752647579</v>
      </c>
      <c r="H173" s="19" t="n">
        <v>52.6</v>
      </c>
      <c r="I173" s="17" t="n">
        <f aca="false">IF(H173="","",RANK(H173,$H$5:$H$363))</f>
        <v>169</v>
      </c>
      <c r="J173" s="24" t="n">
        <v>0.0696459595248157</v>
      </c>
      <c r="K173" s="19" t="n">
        <v>38.1</v>
      </c>
      <c r="L173" s="17" t="n">
        <f aca="false">IF(K173="","",RANK(K173,$K$5:$K$363))</f>
        <v>224</v>
      </c>
      <c r="M173" s="25" t="n">
        <v>0.291235334713596</v>
      </c>
      <c r="N173" s="19" t="n">
        <v>89.5</v>
      </c>
      <c r="O173" s="17" t="n">
        <f aca="false">IF(N173="","",RANK(N173,$N$5:$N$363))</f>
        <v>36</v>
      </c>
      <c r="P173" s="17" t="str">
        <f aca="false">IF(AND(N(H173)&gt;=N(K173),N(H173)&gt;=N(N173)),"The Pulse",IF(N(K173)&gt;=N(N173),"The Lens","The Hub"))</f>
        <v>The Hub</v>
      </c>
      <c r="Q173" s="22" t="s">
        <v>83</v>
      </c>
      <c r="R173" s="27" t="s">
        <v>671</v>
      </c>
      <c r="S173" s="17" t="s">
        <v>204</v>
      </c>
    </row>
    <row r="174" customFormat="false" ht="15" hidden="false" customHeight="false" outlineLevel="0" collapsed="false">
      <c r="A174" s="17" t="s">
        <v>1018</v>
      </c>
      <c r="B174" s="17" t="s">
        <v>1019</v>
      </c>
      <c r="C174" s="17" t="s">
        <v>1020</v>
      </c>
      <c r="D174" s="17" t="s">
        <v>72</v>
      </c>
      <c r="E174" s="18" t="n">
        <v>21852</v>
      </c>
      <c r="F174" s="17" t="s">
        <v>667</v>
      </c>
      <c r="G174" s="23" t="n">
        <v>0.633122826285924</v>
      </c>
      <c r="H174" s="19" t="n">
        <v>52.4</v>
      </c>
      <c r="I174" s="17" t="n">
        <f aca="false">IF(H174="","",RANK(H174,$H$5:$H$363))</f>
        <v>170</v>
      </c>
      <c r="J174" s="24" t="n">
        <v>0.132756207557929</v>
      </c>
      <c r="K174" s="19" t="n">
        <v>69.4</v>
      </c>
      <c r="L174" s="17" t="n">
        <f aca="false">IF(K174="","",RANK(K174,$K$5:$K$363))</f>
        <v>115</v>
      </c>
      <c r="M174" s="25" t="n">
        <v>0.458559256390395</v>
      </c>
      <c r="N174" s="19" t="n">
        <v>99.7</v>
      </c>
      <c r="O174" s="17" t="n">
        <f aca="false">IF(N174="","",RANK(N174,$N$5:$N$363))</f>
        <v>2</v>
      </c>
      <c r="P174" s="17" t="str">
        <f aca="false">IF(AND(N(H174)&gt;=N(K174),N(H174)&gt;=N(N174)),"The Pulse",IF(N(K174)&gt;=N(N174),"The Lens","The Hub"))</f>
        <v>The Hub</v>
      </c>
      <c r="Q174" s="20" t="s">
        <v>74</v>
      </c>
      <c r="R174" s="26" t="s">
        <v>668</v>
      </c>
      <c r="S174" s="17" t="s">
        <v>19</v>
      </c>
    </row>
    <row r="175" customFormat="false" ht="15" hidden="false" customHeight="false" outlineLevel="0" collapsed="false">
      <c r="A175" s="17" t="s">
        <v>1021</v>
      </c>
      <c r="B175" s="17" t="s">
        <v>1022</v>
      </c>
      <c r="C175" s="17" t="s">
        <v>1023</v>
      </c>
      <c r="D175" s="17" t="s">
        <v>81</v>
      </c>
      <c r="E175" s="18" t="n">
        <v>39320</v>
      </c>
      <c r="F175" s="17" t="s">
        <v>667</v>
      </c>
      <c r="G175" s="23" t="n">
        <v>0.630239064089522</v>
      </c>
      <c r="H175" s="19" t="n">
        <v>52.1</v>
      </c>
      <c r="I175" s="17" t="n">
        <f aca="false">IF(H175="","",RANK(H175,$H$5:$H$363))</f>
        <v>171</v>
      </c>
      <c r="J175" s="24" t="n">
        <v>0.0787379972565158</v>
      </c>
      <c r="K175" s="19" t="n">
        <v>44.8</v>
      </c>
      <c r="L175" s="17" t="n">
        <f aca="false">IF(K175="","",RANK(K175,$K$5:$K$363))</f>
        <v>197</v>
      </c>
      <c r="M175" s="25" t="n">
        <v>0.228313671061763</v>
      </c>
      <c r="N175" s="19" t="n">
        <v>77.6</v>
      </c>
      <c r="O175" s="17" t="n">
        <f aca="false">IF(N175="","",RANK(N175,$N$5:$N$363))</f>
        <v>71</v>
      </c>
      <c r="P175" s="17" t="str">
        <f aca="false">IF(AND(N(H175)&gt;=N(K175),N(H175)&gt;=N(N175)),"The Pulse",IF(N(K175)&gt;=N(N175),"The Lens","The Hub"))</f>
        <v>The Hub</v>
      </c>
      <c r="Q175" s="21" t="s">
        <v>78</v>
      </c>
      <c r="R175" s="26" t="s">
        <v>668</v>
      </c>
      <c r="S175" s="17" t="s">
        <v>21</v>
      </c>
    </row>
    <row r="176" customFormat="false" ht="15" hidden="false" customHeight="false" outlineLevel="0" collapsed="false">
      <c r="A176" s="17" t="s">
        <v>1024</v>
      </c>
      <c r="B176" s="17" t="s">
        <v>1025</v>
      </c>
      <c r="C176" s="17" t="s">
        <v>1026</v>
      </c>
      <c r="D176" s="17" t="s">
        <v>114</v>
      </c>
      <c r="E176" s="18" t="n">
        <v>6800</v>
      </c>
      <c r="F176" s="17" t="s">
        <v>678</v>
      </c>
      <c r="G176" s="23" t="n">
        <v>0.624852941176471</v>
      </c>
      <c r="H176" s="19" t="n">
        <v>51.7</v>
      </c>
      <c r="I176" s="17" t="n">
        <f aca="false">IF(H176="","",RANK(H176,$H$5:$H$363))</f>
        <v>172</v>
      </c>
      <c r="J176" s="24" t="n">
        <v>0.168384879725086</v>
      </c>
      <c r="K176" s="19" t="n">
        <v>85.2</v>
      </c>
      <c r="L176" s="17" t="n">
        <f aca="false">IF(K176="","",RANK(K176,$K$5:$K$363))</f>
        <v>58</v>
      </c>
      <c r="M176" s="25" t="n">
        <v>0.254545454545455</v>
      </c>
      <c r="N176" s="19" t="n">
        <v>83.1</v>
      </c>
      <c r="O176" s="17" t="n">
        <f aca="false">IF(N176="","",RANK(N176,$N$5:$N$363))</f>
        <v>54</v>
      </c>
      <c r="P176" s="17" t="str">
        <f aca="false">IF(AND(N(H176)&gt;=N(K176),N(H176)&gt;=N(N176)),"The Pulse",IF(N(K176)&gt;=N(N176),"The Lens","The Hub"))</f>
        <v>The Lens</v>
      </c>
      <c r="Q176" s="21" t="s">
        <v>78</v>
      </c>
      <c r="R176" s="26" t="s">
        <v>668</v>
      </c>
      <c r="S176" s="17" t="s">
        <v>21</v>
      </c>
    </row>
    <row r="177" customFormat="false" ht="15" hidden="false" customHeight="false" outlineLevel="0" collapsed="false">
      <c r="A177" s="17" t="s">
        <v>1027</v>
      </c>
      <c r="B177" s="17" t="s">
        <v>1028</v>
      </c>
      <c r="C177" s="17" t="s">
        <v>1029</v>
      </c>
      <c r="D177" s="17" t="s">
        <v>133</v>
      </c>
      <c r="E177" s="18" t="n">
        <v>115330</v>
      </c>
      <c r="F177" s="17" t="s">
        <v>670</v>
      </c>
      <c r="G177" s="23" t="n">
        <v>0.624781063036504</v>
      </c>
      <c r="H177" s="19" t="n">
        <v>51.5</v>
      </c>
      <c r="I177" s="17" t="n">
        <f aca="false">IF(H177="","",RANK(H177,$H$5:$H$363))</f>
        <v>173</v>
      </c>
      <c r="J177" s="24" t="n">
        <v>0.0416365606936416</v>
      </c>
      <c r="K177" s="19" t="n">
        <v>26.8</v>
      </c>
      <c r="L177" s="17" t="n">
        <f aca="false">IF(K177="","",RANK(K177,$K$5:$K$363))</f>
        <v>262</v>
      </c>
      <c r="M177" s="25" t="n">
        <v>0.208484573502722</v>
      </c>
      <c r="N177" s="19" t="n">
        <v>73.8</v>
      </c>
      <c r="O177" s="17" t="n">
        <f aca="false">IF(N177="","",RANK(N177,$N$5:$N$363))</f>
        <v>84</v>
      </c>
      <c r="P177" s="17" t="str">
        <f aca="false">IF(AND(N(H177)&gt;=N(K177),N(H177)&gt;=N(N177)),"The Pulse",IF(N(K177)&gt;=N(N177),"The Lens","The Hub"))</f>
        <v>The Hub</v>
      </c>
      <c r="Q177" s="21" t="s">
        <v>78</v>
      </c>
      <c r="R177" s="26" t="s">
        <v>668</v>
      </c>
      <c r="S177" s="17" t="s">
        <v>21</v>
      </c>
    </row>
    <row r="178" customFormat="false" ht="15" hidden="false" customHeight="false" outlineLevel="0" collapsed="false">
      <c r="A178" s="17" t="s">
        <v>533</v>
      </c>
      <c r="B178" s="17" t="s">
        <v>534</v>
      </c>
      <c r="C178" s="17" t="s">
        <v>1030</v>
      </c>
      <c r="D178" s="17" t="s">
        <v>81</v>
      </c>
      <c r="E178" s="18" t="n">
        <v>710737</v>
      </c>
      <c r="F178" s="17" t="s">
        <v>670</v>
      </c>
      <c r="G178" s="23" t="n">
        <v>0.624219648055469</v>
      </c>
      <c r="H178" s="19" t="n">
        <v>51.3</v>
      </c>
      <c r="I178" s="17" t="n">
        <f aca="false">IF(H178="","",RANK(H178,$H$5:$H$363))</f>
        <v>174</v>
      </c>
      <c r="J178" s="24" t="n">
        <v>0.00635754912941223</v>
      </c>
      <c r="K178" s="19" t="n">
        <v>13.8</v>
      </c>
      <c r="L178" s="17" t="n">
        <f aca="false">IF(K178="","",RANK(K178,$K$5:$K$363))</f>
        <v>309</v>
      </c>
      <c r="M178" s="25" t="n">
        <v>0.0787169866843228</v>
      </c>
      <c r="N178" s="19" t="n">
        <v>25.1</v>
      </c>
      <c r="O178" s="17" t="n">
        <f aca="false">IF(N178="","",RANK(N178,$N$5:$N$363))</f>
        <v>244</v>
      </c>
      <c r="P178" s="17" t="str">
        <f aca="false">IF(AND(N(H178)&gt;=N(K178),N(H178)&gt;=N(N178)),"The Pulse",IF(N(K178)&gt;=N(N178),"The Lens","The Hub"))</f>
        <v>The Pulse</v>
      </c>
      <c r="Q178" s="20" t="s">
        <v>74</v>
      </c>
      <c r="R178" s="27" t="s">
        <v>671</v>
      </c>
      <c r="S178" s="17" t="s">
        <v>19</v>
      </c>
    </row>
    <row r="179" customFormat="false" ht="15" hidden="false" customHeight="false" outlineLevel="0" collapsed="false">
      <c r="A179" s="17" t="s">
        <v>1031</v>
      </c>
      <c r="B179" s="17" t="s">
        <v>1032</v>
      </c>
      <c r="C179" s="17" t="s">
        <v>1033</v>
      </c>
      <c r="D179" s="17" t="s">
        <v>72</v>
      </c>
      <c r="E179" s="18" t="n">
        <v>858793</v>
      </c>
      <c r="F179" s="17" t="s">
        <v>670</v>
      </c>
      <c r="G179" s="23" t="n">
        <v>0.623019749811654</v>
      </c>
      <c r="H179" s="19" t="n">
        <v>51.1</v>
      </c>
      <c r="I179" s="17" t="n">
        <f aca="false">IF(H179="","",RANK(H179,$H$5:$H$363))</f>
        <v>175</v>
      </c>
      <c r="J179" s="24" t="n">
        <v>-0.0912608805148576</v>
      </c>
      <c r="K179" s="19" t="n">
        <v>3.6</v>
      </c>
      <c r="L179" s="17" t="n">
        <f aca="false">IF(K179="","",RANK(K179,$K$5:$K$363))</f>
        <v>348</v>
      </c>
      <c r="M179" s="25" t="n">
        <v>0.102346178177517</v>
      </c>
      <c r="N179" s="19" t="n">
        <v>35.6</v>
      </c>
      <c r="O179" s="17" t="n">
        <f aca="false">IF(N179="","",RANK(N179,$N$5:$N$363))</f>
        <v>212</v>
      </c>
      <c r="P179" s="17" t="str">
        <f aca="false">IF(AND(N(H179)&gt;=N(K179),N(H179)&gt;=N(N179)),"The Pulse",IF(N(K179)&gt;=N(N179),"The Lens","The Hub"))</f>
        <v>The Pulse</v>
      </c>
      <c r="Q179" s="20" t="s">
        <v>74</v>
      </c>
      <c r="R179" s="26" t="s">
        <v>668</v>
      </c>
      <c r="S179" s="17" t="s">
        <v>19</v>
      </c>
    </row>
    <row r="180" customFormat="false" ht="15" hidden="false" customHeight="false" outlineLevel="0" collapsed="false">
      <c r="A180" s="17" t="s">
        <v>259</v>
      </c>
      <c r="B180" s="17" t="s">
        <v>260</v>
      </c>
      <c r="C180" s="17" t="s">
        <v>1034</v>
      </c>
      <c r="D180" s="17" t="s">
        <v>114</v>
      </c>
      <c r="E180" s="18" t="n">
        <v>51121</v>
      </c>
      <c r="F180" s="17" t="s">
        <v>667</v>
      </c>
      <c r="G180" s="23" t="n">
        <v>0.611588192719235</v>
      </c>
      <c r="H180" s="19" t="n">
        <v>50.9</v>
      </c>
      <c r="I180" s="17" t="n">
        <f aca="false">IF(H180="","",RANK(H180,$H$5:$H$363))</f>
        <v>176</v>
      </c>
      <c r="J180" s="24" t="n">
        <v>-0.0502192330558859</v>
      </c>
      <c r="K180" s="19" t="n">
        <v>4</v>
      </c>
      <c r="L180" s="17" t="n">
        <f aca="false">IF(K180="","",RANK(K180,$K$5:$K$363))</f>
        <v>346</v>
      </c>
      <c r="M180" s="25" t="n">
        <v>0.0618556701030928</v>
      </c>
      <c r="N180" s="19" t="n">
        <v>18.2</v>
      </c>
      <c r="O180" s="17" t="n">
        <f aca="false">IF(N180="","",RANK(N180,$N$5:$N$363))</f>
        <v>265</v>
      </c>
      <c r="P180" s="17" t="str">
        <f aca="false">IF(AND(N(H180)&gt;=N(K180),N(H180)&gt;=N(N180)),"The Pulse",IF(N(K180)&gt;=N(N180),"The Lens","The Hub"))</f>
        <v>The Pulse</v>
      </c>
      <c r="Q180" s="20" t="s">
        <v>74</v>
      </c>
      <c r="R180" s="27" t="s">
        <v>671</v>
      </c>
      <c r="S180" s="17" t="s">
        <v>19</v>
      </c>
    </row>
    <row r="181" customFormat="false" ht="15" hidden="false" customHeight="false" outlineLevel="0" collapsed="false">
      <c r="A181" s="17" t="s">
        <v>1035</v>
      </c>
      <c r="B181" s="17" t="s">
        <v>1036</v>
      </c>
      <c r="C181" s="17" t="s">
        <v>1037</v>
      </c>
      <c r="D181" s="17" t="s">
        <v>138</v>
      </c>
      <c r="E181" s="18" t="n">
        <v>30967</v>
      </c>
      <c r="F181" s="17" t="s">
        <v>667</v>
      </c>
      <c r="G181" s="23" t="n">
        <v>0.610327122420641</v>
      </c>
      <c r="H181" s="19" t="n">
        <v>50.6</v>
      </c>
      <c r="I181" s="17" t="n">
        <f aca="false">IF(H181="","",RANK(H181,$H$5:$H$363))</f>
        <v>177</v>
      </c>
      <c r="J181" s="24" t="n">
        <v>0.160160347669714</v>
      </c>
      <c r="K181" s="19" t="n">
        <v>81.3</v>
      </c>
      <c r="L181" s="17" t="n">
        <f aca="false">IF(K181="","",RANK(K181,$K$5:$K$363))</f>
        <v>69</v>
      </c>
      <c r="M181" s="25" t="n">
        <v>0.0704323570432357</v>
      </c>
      <c r="N181" s="19" t="n">
        <v>21.5</v>
      </c>
      <c r="O181" s="17" t="n">
        <f aca="false">IF(N181="","",RANK(N181,$N$5:$N$363))</f>
        <v>256</v>
      </c>
      <c r="P181" s="17" t="str">
        <f aca="false">IF(AND(N(H181)&gt;=N(K181),N(H181)&gt;=N(N181)),"The Pulse",IF(N(K181)&gt;=N(N181),"The Lens","The Hub"))</f>
        <v>The Lens</v>
      </c>
      <c r="Q181" s="21" t="s">
        <v>78</v>
      </c>
      <c r="R181" s="26" t="s">
        <v>668</v>
      </c>
      <c r="S181" s="17" t="s">
        <v>126</v>
      </c>
    </row>
    <row r="182" customFormat="false" ht="15" hidden="false" customHeight="false" outlineLevel="0" collapsed="false">
      <c r="A182" s="17" t="s">
        <v>337</v>
      </c>
      <c r="B182" s="17" t="s">
        <v>338</v>
      </c>
      <c r="C182" s="17" t="s">
        <v>1038</v>
      </c>
      <c r="D182" s="17" t="s">
        <v>92</v>
      </c>
      <c r="E182" s="18" t="n">
        <v>312627</v>
      </c>
      <c r="F182" s="17" t="s">
        <v>670</v>
      </c>
      <c r="G182" s="23" t="n">
        <v>0.609317173500689</v>
      </c>
      <c r="H182" s="19" t="n">
        <v>50.4</v>
      </c>
      <c r="I182" s="17" t="n">
        <f aca="false">IF(H182="","",RANK(H182,$H$5:$H$363))</f>
        <v>178</v>
      </c>
      <c r="J182" s="24" t="n">
        <v>0.0557122065045977</v>
      </c>
      <c r="K182" s="19" t="n">
        <v>35.5</v>
      </c>
      <c r="L182" s="17" t="n">
        <f aca="false">IF(K182="","",RANK(K182,$K$5:$K$363))</f>
        <v>231</v>
      </c>
      <c r="M182" s="28" t="s">
        <v>680</v>
      </c>
      <c r="N182" s="19"/>
      <c r="O182" s="17" t="str">
        <f aca="false">IF(N182="","",RANK(N182,$N$5:$N$363))</f>
        <v/>
      </c>
      <c r="P182" s="17" t="str">
        <f aca="false">IF(AND(N(H182)&gt;=N(K182),N(H182)&gt;=N(N182)),"The Pulse",IF(N(K182)&gt;=N(N182),"The Lens","The Hub"))</f>
        <v>The Pulse</v>
      </c>
      <c r="Q182" s="20" t="s">
        <v>74</v>
      </c>
      <c r="R182" s="27" t="s">
        <v>671</v>
      </c>
      <c r="S182" s="17" t="s">
        <v>19</v>
      </c>
    </row>
    <row r="183" customFormat="false" ht="15" hidden="false" customHeight="false" outlineLevel="0" collapsed="false">
      <c r="A183" s="17" t="s">
        <v>515</v>
      </c>
      <c r="B183" s="17" t="s">
        <v>516</v>
      </c>
      <c r="C183" s="17" t="s">
        <v>1039</v>
      </c>
      <c r="D183" s="17" t="s">
        <v>72</v>
      </c>
      <c r="E183" s="18" t="n">
        <v>22453</v>
      </c>
      <c r="F183" s="17" t="s">
        <v>667</v>
      </c>
      <c r="G183" s="23" t="n">
        <v>0.609094553066405</v>
      </c>
      <c r="H183" s="19" t="n">
        <v>50.2</v>
      </c>
      <c r="I183" s="17" t="n">
        <f aca="false">IF(H183="","",RANK(H183,$H$5:$H$363))</f>
        <v>179</v>
      </c>
      <c r="J183" s="24" t="n">
        <v>0.0651328273244782</v>
      </c>
      <c r="K183" s="19" t="n">
        <v>33.7</v>
      </c>
      <c r="L183" s="17" t="n">
        <f aca="false">IF(K183="","",RANK(K183,$K$5:$K$363))</f>
        <v>237</v>
      </c>
      <c r="M183" s="25" t="n">
        <v>0.123910939012585</v>
      </c>
      <c r="N183" s="19" t="n">
        <v>45.3</v>
      </c>
      <c r="O183" s="17" t="n">
        <f aca="false">IF(N183="","",RANK(N183,$N$5:$N$363))</f>
        <v>178</v>
      </c>
      <c r="P183" s="17" t="str">
        <f aca="false">IF(AND(N(H183)&gt;=N(K183),N(H183)&gt;=N(N183)),"The Pulse",IF(N(K183)&gt;=N(N183),"The Lens","The Hub"))</f>
        <v>The Pulse</v>
      </c>
      <c r="Q183" s="20" t="s">
        <v>74</v>
      </c>
      <c r="R183" s="27" t="s">
        <v>671</v>
      </c>
      <c r="S183" s="17" t="s">
        <v>19</v>
      </c>
    </row>
    <row r="184" customFormat="false" ht="15" hidden="false" customHeight="false" outlineLevel="0" collapsed="false">
      <c r="A184" s="17" t="s">
        <v>319</v>
      </c>
      <c r="B184" s="17" t="s">
        <v>320</v>
      </c>
      <c r="C184" s="17" t="s">
        <v>1040</v>
      </c>
      <c r="D184" s="17" t="s">
        <v>72</v>
      </c>
      <c r="E184" s="18" t="n">
        <v>6100</v>
      </c>
      <c r="F184" s="17" t="s">
        <v>678</v>
      </c>
      <c r="G184" s="23" t="n">
        <v>0.607049180327869</v>
      </c>
      <c r="H184" s="19" t="n">
        <v>50</v>
      </c>
      <c r="I184" s="17" t="n">
        <f aca="false">IF(H184="","",RANK(H184,$H$5:$H$363))</f>
        <v>180</v>
      </c>
      <c r="J184" s="24" t="n">
        <v>0.161904761904762</v>
      </c>
      <c r="K184" s="19" t="n">
        <v>81.5</v>
      </c>
      <c r="L184" s="17" t="n">
        <f aca="false">IF(K184="","",RANK(K184,$K$5:$K$363))</f>
        <v>68</v>
      </c>
      <c r="M184" s="25" t="n">
        <v>0.125</v>
      </c>
      <c r="N184" s="19" t="n">
        <v>45.9</v>
      </c>
      <c r="O184" s="17" t="n">
        <f aca="false">IF(N184="","",RANK(N184,$N$5:$N$363))</f>
        <v>176</v>
      </c>
      <c r="P184" s="17" t="str">
        <f aca="false">IF(AND(N(H184)&gt;=N(K184),N(H184)&gt;=N(N184)),"The Pulse",IF(N(K184)&gt;=N(N184),"The Lens","The Hub"))</f>
        <v>The Lens</v>
      </c>
      <c r="Q184" s="21" t="s">
        <v>78</v>
      </c>
      <c r="R184" s="27" t="s">
        <v>671</v>
      </c>
      <c r="S184" s="17" t="s">
        <v>21</v>
      </c>
    </row>
    <row r="185" customFormat="false" ht="15" hidden="false" customHeight="false" outlineLevel="0" collapsed="false">
      <c r="A185" s="17" t="s">
        <v>1041</v>
      </c>
      <c r="B185" s="17" t="s">
        <v>1042</v>
      </c>
      <c r="C185" s="17" t="s">
        <v>1043</v>
      </c>
      <c r="D185" s="17" t="s">
        <v>105</v>
      </c>
      <c r="E185" s="18" t="n">
        <v>105650</v>
      </c>
      <c r="F185" s="17" t="s">
        <v>670</v>
      </c>
      <c r="G185" s="23" t="n">
        <v>0.601438712730715</v>
      </c>
      <c r="H185" s="19" t="n">
        <v>49.8</v>
      </c>
      <c r="I185" s="17" t="n">
        <f aca="false">IF(H185="","",RANK(H185,$H$5:$H$363))</f>
        <v>181</v>
      </c>
      <c r="J185" s="24" t="n">
        <v>0.0442819017495305</v>
      </c>
      <c r="K185" s="19" t="n">
        <v>29</v>
      </c>
      <c r="L185" s="17" t="n">
        <f aca="false">IF(K185="","",RANK(K185,$K$5:$K$363))</f>
        <v>254</v>
      </c>
      <c r="M185" s="25" t="n">
        <v>0.292110874200426</v>
      </c>
      <c r="N185" s="19" t="n">
        <v>89.8</v>
      </c>
      <c r="O185" s="17" t="n">
        <f aca="false">IF(N185="","",RANK(N185,$N$5:$N$363))</f>
        <v>35</v>
      </c>
      <c r="P185" s="17" t="str">
        <f aca="false">IF(AND(N(H185)&gt;=N(K185),N(H185)&gt;=N(N185)),"The Pulse",IF(N(K185)&gt;=N(N185),"The Lens","The Hub"))</f>
        <v>The Hub</v>
      </c>
      <c r="Q185" s="21" t="s">
        <v>78</v>
      </c>
      <c r="R185" s="26" t="s">
        <v>668</v>
      </c>
      <c r="S185" s="17" t="s">
        <v>21</v>
      </c>
    </row>
    <row r="186" customFormat="false" ht="15" hidden="false" customHeight="false" outlineLevel="0" collapsed="false">
      <c r="A186" s="17" t="s">
        <v>1044</v>
      </c>
      <c r="B186" s="17" t="s">
        <v>1045</v>
      </c>
      <c r="C186" s="17" t="s">
        <v>1046</v>
      </c>
      <c r="D186" s="17" t="s">
        <v>114</v>
      </c>
      <c r="E186" s="18" t="n">
        <v>148843</v>
      </c>
      <c r="F186" s="17" t="s">
        <v>670</v>
      </c>
      <c r="G186" s="23" t="n">
        <v>0.600202898355986</v>
      </c>
      <c r="H186" s="19" t="n">
        <v>49.6</v>
      </c>
      <c r="I186" s="17" t="n">
        <f aca="false">IF(H186="","",RANK(H186,$H$5:$H$363))</f>
        <v>182</v>
      </c>
      <c r="J186" s="24" t="n">
        <v>-0.00903462050599201</v>
      </c>
      <c r="K186" s="19" t="n">
        <v>10.9</v>
      </c>
      <c r="L186" s="17" t="n">
        <f aca="false">IF(K186="","",RANK(K186,$K$5:$K$363))</f>
        <v>319</v>
      </c>
      <c r="M186" s="25" t="n">
        <v>0.141259105098855</v>
      </c>
      <c r="N186" s="19" t="n">
        <v>52.5</v>
      </c>
      <c r="O186" s="17" t="n">
        <f aca="false">IF(N186="","",RANK(N186,$N$5:$N$363))</f>
        <v>153</v>
      </c>
      <c r="P186" s="17" t="str">
        <f aca="false">IF(AND(N(H186)&gt;=N(K186),N(H186)&gt;=N(N186)),"The Pulse",IF(N(K186)&gt;=N(N186),"The Lens","The Hub"))</f>
        <v>The Hub</v>
      </c>
      <c r="Q186" s="20" t="s">
        <v>74</v>
      </c>
      <c r="R186" s="26" t="s">
        <v>668</v>
      </c>
      <c r="S186" s="17" t="s">
        <v>19</v>
      </c>
    </row>
    <row r="187" customFormat="false" ht="15" hidden="false" customHeight="false" outlineLevel="0" collapsed="false">
      <c r="A187" s="17" t="s">
        <v>569</v>
      </c>
      <c r="B187" s="17" t="s">
        <v>570</v>
      </c>
      <c r="C187" s="17" t="s">
        <v>1047</v>
      </c>
      <c r="D187" s="17" t="s">
        <v>92</v>
      </c>
      <c r="E187" s="18" t="n">
        <v>155999</v>
      </c>
      <c r="F187" s="17" t="s">
        <v>670</v>
      </c>
      <c r="G187" s="23" t="n">
        <v>0.597010237245111</v>
      </c>
      <c r="H187" s="19" t="n">
        <v>49.4</v>
      </c>
      <c r="I187" s="17" t="n">
        <f aca="false">IF(H187="","",RANK(H187,$H$5:$H$363))</f>
        <v>183</v>
      </c>
      <c r="J187" s="24" t="n">
        <v>0.161692209165512</v>
      </c>
      <c r="K187" s="19" t="n">
        <v>86.2</v>
      </c>
      <c r="L187" s="17" t="n">
        <f aca="false">IF(K187="","",RANK(K187,$K$5:$K$363))</f>
        <v>53</v>
      </c>
      <c r="M187" s="25" t="n">
        <v>0.0126134100464705</v>
      </c>
      <c r="N187" s="19" t="n">
        <v>3.6</v>
      </c>
      <c r="O187" s="17" t="n">
        <f aca="false">IF(N187="","",RANK(N187,$N$5:$N$363))</f>
        <v>311</v>
      </c>
      <c r="P187" s="17" t="str">
        <f aca="false">IF(AND(N(H187)&gt;=N(K187),N(H187)&gt;=N(N187)),"The Pulse",IF(N(K187)&gt;=N(N187),"The Lens","The Hub"))</f>
        <v>The Lens</v>
      </c>
      <c r="Q187" s="20" t="s">
        <v>74</v>
      </c>
      <c r="R187" s="27" t="s">
        <v>671</v>
      </c>
      <c r="S187" s="17" t="s">
        <v>19</v>
      </c>
    </row>
    <row r="188" customFormat="false" ht="15" hidden="false" customHeight="false" outlineLevel="0" collapsed="false">
      <c r="A188" s="17" t="s">
        <v>399</v>
      </c>
      <c r="B188" s="17" t="s">
        <v>400</v>
      </c>
      <c r="C188" s="17" t="s">
        <v>1048</v>
      </c>
      <c r="D188" s="17" t="s">
        <v>87</v>
      </c>
      <c r="E188" s="18" t="n">
        <v>23080</v>
      </c>
      <c r="F188" s="17" t="s">
        <v>667</v>
      </c>
      <c r="G188" s="23" t="n">
        <v>0.596707105719238</v>
      </c>
      <c r="H188" s="19" t="n">
        <v>49.1</v>
      </c>
      <c r="I188" s="17" t="n">
        <f aca="false">IF(H188="","",RANK(H188,$H$5:$H$363))</f>
        <v>184</v>
      </c>
      <c r="J188" s="24" t="n">
        <v>0.291550083939564</v>
      </c>
      <c r="K188" s="19" t="n">
        <v>99.6</v>
      </c>
      <c r="L188" s="17" t="n">
        <f aca="false">IF(K188="","",RANK(K188,$K$5:$K$363))</f>
        <v>4</v>
      </c>
      <c r="M188" s="28" t="s">
        <v>680</v>
      </c>
      <c r="N188" s="19"/>
      <c r="O188" s="17" t="str">
        <f aca="false">IF(N188="","",RANK(N188,$N$5:$N$363))</f>
        <v/>
      </c>
      <c r="P188" s="17" t="str">
        <f aca="false">IF(AND(N(H188)&gt;=N(K188),N(H188)&gt;=N(N188)),"The Pulse",IF(N(K188)&gt;=N(N188),"The Lens","The Hub"))</f>
        <v>The Lens</v>
      </c>
      <c r="Q188" s="21" t="s">
        <v>78</v>
      </c>
      <c r="R188" s="27" t="s">
        <v>671</v>
      </c>
      <c r="S188" s="17" t="s">
        <v>21</v>
      </c>
    </row>
    <row r="189" customFormat="false" ht="15" hidden="false" customHeight="false" outlineLevel="0" collapsed="false">
      <c r="A189" s="17" t="s">
        <v>186</v>
      </c>
      <c r="B189" s="17" t="s">
        <v>187</v>
      </c>
      <c r="C189" s="17" t="s">
        <v>1049</v>
      </c>
      <c r="D189" s="17" t="s">
        <v>133</v>
      </c>
      <c r="E189" s="18" t="n">
        <v>615382</v>
      </c>
      <c r="F189" s="17" t="s">
        <v>670</v>
      </c>
      <c r="G189" s="23" t="n">
        <v>0.595521155964913</v>
      </c>
      <c r="H189" s="19" t="n">
        <v>48.9</v>
      </c>
      <c r="I189" s="17" t="n">
        <f aca="false">IF(H189="","",RANK(H189,$H$5:$H$363))</f>
        <v>185</v>
      </c>
      <c r="J189" s="24" t="n">
        <v>-0.04861807470544</v>
      </c>
      <c r="K189" s="19" t="n">
        <v>7.2</v>
      </c>
      <c r="L189" s="17" t="n">
        <f aca="false">IF(K189="","",RANK(K189,$K$5:$K$363))</f>
        <v>334</v>
      </c>
      <c r="M189" s="25" t="n">
        <v>0.151137879461579</v>
      </c>
      <c r="N189" s="19" t="n">
        <v>55</v>
      </c>
      <c r="O189" s="17" t="n">
        <f aca="false">IF(N189="","",RANK(N189,$N$5:$N$363))</f>
        <v>145</v>
      </c>
      <c r="P189" s="17" t="str">
        <f aca="false">IF(AND(N(H189)&gt;=N(K189),N(H189)&gt;=N(N189)),"The Pulse",IF(N(K189)&gt;=N(N189),"The Lens","The Hub"))</f>
        <v>The Hub</v>
      </c>
      <c r="Q189" s="21" t="s">
        <v>78</v>
      </c>
      <c r="R189" s="27" t="s">
        <v>671</v>
      </c>
      <c r="S189" s="17" t="s">
        <v>126</v>
      </c>
    </row>
    <row r="190" customFormat="false" ht="15" hidden="false" customHeight="false" outlineLevel="0" collapsed="false">
      <c r="A190" s="17" t="s">
        <v>297</v>
      </c>
      <c r="B190" s="17" t="s">
        <v>298</v>
      </c>
      <c r="C190" s="17" t="s">
        <v>1050</v>
      </c>
      <c r="D190" s="17" t="s">
        <v>102</v>
      </c>
      <c r="E190" s="18" t="n">
        <v>172590</v>
      </c>
      <c r="F190" s="17" t="s">
        <v>670</v>
      </c>
      <c r="G190" s="23" t="n">
        <v>0.592322846051336</v>
      </c>
      <c r="H190" s="19" t="n">
        <v>48.5</v>
      </c>
      <c r="I190" s="17" t="n">
        <f aca="false">IF(H190="","",RANK(H190,$H$5:$H$363))</f>
        <v>186</v>
      </c>
      <c r="J190" s="24" t="n">
        <v>-0.0493527953731754</v>
      </c>
      <c r="K190" s="19" t="n">
        <v>5.8</v>
      </c>
      <c r="L190" s="17" t="n">
        <f aca="false">IF(K190="","",RANK(K190,$K$5:$K$363))</f>
        <v>340</v>
      </c>
      <c r="M190" s="28" t="s">
        <v>680</v>
      </c>
      <c r="N190" s="19"/>
      <c r="O190" s="17" t="str">
        <f aca="false">IF(N190="","",RANK(N190,$N$5:$N$363))</f>
        <v/>
      </c>
      <c r="P190" s="17" t="str">
        <f aca="false">IF(AND(N(H190)&gt;=N(K190),N(H190)&gt;=N(N190)),"The Pulse",IF(N(K190)&gt;=N(N190),"The Lens","The Hub"))</f>
        <v>The Pulse</v>
      </c>
      <c r="Q190" s="21" t="s">
        <v>78</v>
      </c>
      <c r="R190" s="27" t="s">
        <v>671</v>
      </c>
      <c r="S190" s="17" t="s">
        <v>21</v>
      </c>
    </row>
    <row r="191" customFormat="false" ht="15" hidden="false" customHeight="false" outlineLevel="0" collapsed="false">
      <c r="A191" s="17" t="s">
        <v>425</v>
      </c>
      <c r="B191" s="17" t="s">
        <v>426</v>
      </c>
      <c r="C191" s="17" t="s">
        <v>1051</v>
      </c>
      <c r="D191" s="17" t="s">
        <v>102</v>
      </c>
      <c r="E191" s="18" t="n">
        <v>35430</v>
      </c>
      <c r="F191" s="17" t="s">
        <v>667</v>
      </c>
      <c r="G191" s="23" t="n">
        <v>0.591137454134914</v>
      </c>
      <c r="H191" s="19" t="n">
        <v>48.3</v>
      </c>
      <c r="I191" s="17" t="n">
        <f aca="false">IF(H191="","",RANK(H191,$H$5:$H$363))</f>
        <v>187</v>
      </c>
      <c r="J191" s="24" t="n">
        <v>0.0697463768115942</v>
      </c>
      <c r="K191" s="19" t="n">
        <v>38.5</v>
      </c>
      <c r="L191" s="17" t="n">
        <f aca="false">IF(K191="","",RANK(K191,$K$5:$K$363))</f>
        <v>222</v>
      </c>
      <c r="M191" s="25" t="n">
        <v>0.0512956107879429</v>
      </c>
      <c r="N191" s="19" t="n">
        <v>13.5</v>
      </c>
      <c r="O191" s="17" t="n">
        <f aca="false">IF(N191="","",RANK(N191,$N$5:$N$363))</f>
        <v>280</v>
      </c>
      <c r="P191" s="17" t="str">
        <f aca="false">IF(AND(N(H191)&gt;=N(K191),N(H191)&gt;=N(N191)),"The Pulse",IF(N(K191)&gt;=N(N191),"The Lens","The Hub"))</f>
        <v>The Pulse</v>
      </c>
      <c r="Q191" s="21" t="s">
        <v>78</v>
      </c>
      <c r="R191" s="27" t="s">
        <v>671</v>
      </c>
      <c r="S191" s="17" t="s">
        <v>21</v>
      </c>
    </row>
    <row r="192" customFormat="false" ht="15" hidden="false" customHeight="false" outlineLevel="0" collapsed="false">
      <c r="A192" s="17" t="s">
        <v>1052</v>
      </c>
      <c r="B192" s="17" t="s">
        <v>1053</v>
      </c>
      <c r="C192" s="17" t="s">
        <v>1054</v>
      </c>
      <c r="D192" s="17" t="s">
        <v>77</v>
      </c>
      <c r="E192" s="18" t="n">
        <v>154683</v>
      </c>
      <c r="F192" s="17" t="s">
        <v>670</v>
      </c>
      <c r="G192" s="23" t="n">
        <v>0.588151251268724</v>
      </c>
      <c r="H192" s="19" t="n">
        <v>48.1</v>
      </c>
      <c r="I192" s="17" t="n">
        <f aca="false">IF(H192="","",RANK(H192,$H$5:$H$363))</f>
        <v>188</v>
      </c>
      <c r="J192" s="24" t="n">
        <v>0.211992760152632</v>
      </c>
      <c r="K192" s="19" t="n">
        <v>94.9</v>
      </c>
      <c r="L192" s="17" t="n">
        <f aca="false">IF(K192="","",RANK(K192,$K$5:$K$363))</f>
        <v>19</v>
      </c>
      <c r="M192" s="25" t="n">
        <v>0.286175820438701</v>
      </c>
      <c r="N192" s="19" t="n">
        <v>88.1</v>
      </c>
      <c r="O192" s="17" t="n">
        <f aca="false">IF(N192="","",RANK(N192,$N$5:$N$363))</f>
        <v>39</v>
      </c>
      <c r="P192" s="17" t="str">
        <f aca="false">IF(AND(N(H192)&gt;=N(K192),N(H192)&gt;=N(N192)),"The Pulse",IF(N(K192)&gt;=N(N192),"The Lens","The Hub"))</f>
        <v>The Lens</v>
      </c>
      <c r="Q192" s="20" t="s">
        <v>74</v>
      </c>
      <c r="R192" s="26" t="s">
        <v>668</v>
      </c>
      <c r="S192" s="17" t="s">
        <v>19</v>
      </c>
    </row>
    <row r="193" customFormat="false" ht="15" hidden="false" customHeight="false" outlineLevel="0" collapsed="false">
      <c r="A193" s="17" t="s">
        <v>1055</v>
      </c>
      <c r="B193" s="17" t="s">
        <v>1056</v>
      </c>
      <c r="C193" s="17" t="s">
        <v>1057</v>
      </c>
      <c r="D193" s="17" t="s">
        <v>138</v>
      </c>
      <c r="E193" s="18" t="n">
        <v>96910</v>
      </c>
      <c r="F193" s="17" t="s">
        <v>667</v>
      </c>
      <c r="G193" s="23" t="n">
        <v>0.586874419564544</v>
      </c>
      <c r="H193" s="19" t="n">
        <v>47.9</v>
      </c>
      <c r="I193" s="17" t="n">
        <f aca="false">IF(H193="","",RANK(H193,$H$5:$H$363))</f>
        <v>189</v>
      </c>
      <c r="J193" s="24" t="n">
        <v>0.0348104644954618</v>
      </c>
      <c r="K193" s="19" t="n">
        <v>20.2</v>
      </c>
      <c r="L193" s="17" t="n">
        <f aca="false">IF(K193="","",RANK(K193,$K$5:$K$363))</f>
        <v>288</v>
      </c>
      <c r="M193" s="25" t="n">
        <v>0.0208667736757624</v>
      </c>
      <c r="N193" s="19" t="n">
        <v>4.7</v>
      </c>
      <c r="O193" s="17" t="n">
        <f aca="false">IF(N193="","",RANK(N193,$N$5:$N$363))</f>
        <v>307</v>
      </c>
      <c r="P193" s="17" t="str">
        <f aca="false">IF(AND(N(H193)&gt;=N(K193),N(H193)&gt;=N(N193)),"The Pulse",IF(N(K193)&gt;=N(N193),"The Lens","The Hub"))</f>
        <v>The Pulse</v>
      </c>
      <c r="Q193" s="21" t="s">
        <v>78</v>
      </c>
      <c r="R193" s="26" t="s">
        <v>668</v>
      </c>
      <c r="S193" s="17" t="s">
        <v>21</v>
      </c>
    </row>
    <row r="194" customFormat="false" ht="15" hidden="false" customHeight="false" outlineLevel="0" collapsed="false">
      <c r="A194" s="17" t="s">
        <v>391</v>
      </c>
      <c r="B194" s="17" t="s">
        <v>392</v>
      </c>
      <c r="C194" s="17" t="s">
        <v>1058</v>
      </c>
      <c r="D194" s="17" t="s">
        <v>105</v>
      </c>
      <c r="E194" s="18" t="n">
        <v>64830</v>
      </c>
      <c r="F194" s="17" t="s">
        <v>667</v>
      </c>
      <c r="G194" s="23" t="n">
        <v>0.586302637667746</v>
      </c>
      <c r="H194" s="19" t="n">
        <v>47.6</v>
      </c>
      <c r="I194" s="17" t="n">
        <f aca="false">IF(H194="","",RANK(H194,$H$5:$H$363))</f>
        <v>190</v>
      </c>
      <c r="J194" s="24" t="n">
        <v>0.0514109633473889</v>
      </c>
      <c r="K194" s="19" t="n">
        <v>29</v>
      </c>
      <c r="L194" s="17" t="n">
        <f aca="false">IF(K194="","",RANK(K194,$K$5:$K$363))</f>
        <v>254</v>
      </c>
      <c r="M194" s="25" t="n">
        <v>0.353504404442742</v>
      </c>
      <c r="N194" s="19" t="n">
        <v>96.4</v>
      </c>
      <c r="O194" s="17" t="n">
        <f aca="false">IF(N194="","",RANK(N194,$N$5:$N$363))</f>
        <v>13</v>
      </c>
      <c r="P194" s="17" t="str">
        <f aca="false">IF(AND(N(H194)&gt;=N(K194),N(H194)&gt;=N(N194)),"The Pulse",IF(N(K194)&gt;=N(N194),"The Lens","The Hub"))</f>
        <v>The Hub</v>
      </c>
      <c r="Q194" s="21" t="s">
        <v>78</v>
      </c>
      <c r="R194" s="27" t="s">
        <v>671</v>
      </c>
      <c r="S194" s="17" t="s">
        <v>126</v>
      </c>
    </row>
    <row r="195" customFormat="false" ht="15" hidden="false" customHeight="false" outlineLevel="0" collapsed="false">
      <c r="A195" s="17" t="s">
        <v>221</v>
      </c>
      <c r="B195" s="17" t="s">
        <v>222</v>
      </c>
      <c r="C195" s="17" t="s">
        <v>1059</v>
      </c>
      <c r="D195" s="17" t="s">
        <v>87</v>
      </c>
      <c r="E195" s="18" t="n">
        <v>89749</v>
      </c>
      <c r="F195" s="17" t="s">
        <v>667</v>
      </c>
      <c r="G195" s="23" t="n">
        <v>0.585187578691685</v>
      </c>
      <c r="H195" s="19" t="n">
        <v>47.4</v>
      </c>
      <c r="I195" s="17" t="n">
        <f aca="false">IF(H195="","",RANK(H195,$H$5:$H$363))</f>
        <v>191</v>
      </c>
      <c r="J195" s="24" t="n">
        <v>0.0913855582848943</v>
      </c>
      <c r="K195" s="19" t="n">
        <v>51.6</v>
      </c>
      <c r="L195" s="17" t="n">
        <f aca="false">IF(K195="","",RANK(K195,$K$5:$K$363))</f>
        <v>171</v>
      </c>
      <c r="M195" s="25" t="n">
        <v>0.152375077112893</v>
      </c>
      <c r="N195" s="19" t="n">
        <v>56.1</v>
      </c>
      <c r="O195" s="17" t="n">
        <f aca="false">IF(N195="","",RANK(N195,$N$5:$N$363))</f>
        <v>141</v>
      </c>
      <c r="P195" s="17" t="str">
        <f aca="false">IF(AND(N(H195)&gt;=N(K195),N(H195)&gt;=N(N195)),"The Pulse",IF(N(K195)&gt;=N(N195),"The Lens","The Hub"))</f>
        <v>The Hub</v>
      </c>
      <c r="Q195" s="20" t="s">
        <v>74</v>
      </c>
      <c r="R195" s="27" t="s">
        <v>671</v>
      </c>
      <c r="S195" s="17" t="s">
        <v>19</v>
      </c>
    </row>
    <row r="196" customFormat="false" ht="15" hidden="false" customHeight="false" outlineLevel="0" collapsed="false">
      <c r="A196" s="17" t="s">
        <v>371</v>
      </c>
      <c r="B196" s="17" t="s">
        <v>372</v>
      </c>
      <c r="C196" s="17" t="s">
        <v>1060</v>
      </c>
      <c r="D196" s="17" t="s">
        <v>72</v>
      </c>
      <c r="E196" s="18" t="n">
        <v>10484</v>
      </c>
      <c r="F196" s="17" t="s">
        <v>667</v>
      </c>
      <c r="G196" s="23" t="n">
        <v>0.581171308660817</v>
      </c>
      <c r="H196" s="19" t="n">
        <v>47.2</v>
      </c>
      <c r="I196" s="17" t="n">
        <f aca="false">IF(H196="","",RANK(H196,$H$5:$H$363))</f>
        <v>192</v>
      </c>
      <c r="J196" s="24" t="n">
        <v>0.185436454093171</v>
      </c>
      <c r="K196" s="19" t="n">
        <v>88.5</v>
      </c>
      <c r="L196" s="17" t="n">
        <f aca="false">IF(K196="","",RANK(K196,$K$5:$K$363))</f>
        <v>45</v>
      </c>
      <c r="M196" s="25" t="n">
        <v>0.239685658153242</v>
      </c>
      <c r="N196" s="19" t="n">
        <v>79.8</v>
      </c>
      <c r="O196" s="17" t="n">
        <f aca="false">IF(N196="","",RANK(N196,$N$5:$N$363))</f>
        <v>66</v>
      </c>
      <c r="P196" s="17" t="str">
        <f aca="false">IF(AND(N(H196)&gt;=N(K196),N(H196)&gt;=N(N196)),"The Pulse",IF(N(K196)&gt;=N(N196),"The Lens","The Hub"))</f>
        <v>The Lens</v>
      </c>
      <c r="Q196" s="20" t="s">
        <v>74</v>
      </c>
      <c r="R196" s="27" t="s">
        <v>671</v>
      </c>
      <c r="S196" s="17" t="s">
        <v>19</v>
      </c>
    </row>
    <row r="197" customFormat="false" ht="15" hidden="false" customHeight="false" outlineLevel="0" collapsed="false">
      <c r="A197" s="17" t="s">
        <v>1061</v>
      </c>
      <c r="B197" s="17" t="s">
        <v>1062</v>
      </c>
      <c r="C197" s="17" t="s">
        <v>1063</v>
      </c>
      <c r="D197" s="17" t="s">
        <v>138</v>
      </c>
      <c r="E197" s="18" t="n">
        <v>10130</v>
      </c>
      <c r="F197" s="17" t="s">
        <v>667</v>
      </c>
      <c r="G197" s="23" t="n">
        <v>0.577196446199408</v>
      </c>
      <c r="H197" s="19" t="n">
        <v>47</v>
      </c>
      <c r="I197" s="17" t="n">
        <f aca="false">IF(H197="","",RANK(H197,$H$5:$H$363))</f>
        <v>193</v>
      </c>
      <c r="J197" s="24" t="n">
        <v>0.0915948275862069</v>
      </c>
      <c r="K197" s="19" t="n">
        <v>52</v>
      </c>
      <c r="L197" s="17" t="n">
        <f aca="false">IF(K197="","",RANK(K197,$K$5:$K$363))</f>
        <v>170</v>
      </c>
      <c r="M197" s="25" t="n">
        <v>0.0835654596100279</v>
      </c>
      <c r="N197" s="19" t="n">
        <v>28.5</v>
      </c>
      <c r="O197" s="17" t="n">
        <f aca="false">IF(N197="","",RANK(N197,$N$5:$N$363))</f>
        <v>233</v>
      </c>
      <c r="P197" s="17" t="str">
        <f aca="false">IF(AND(N(H197)&gt;=N(K197),N(H197)&gt;=N(N197)),"The Pulse",IF(N(K197)&gt;=N(N197),"The Lens","The Hub"))</f>
        <v>The Lens</v>
      </c>
      <c r="Q197" s="21" t="s">
        <v>78</v>
      </c>
      <c r="R197" s="26" t="s">
        <v>668</v>
      </c>
      <c r="S197" s="17" t="s">
        <v>21</v>
      </c>
    </row>
    <row r="198" customFormat="false" ht="15" hidden="false" customHeight="false" outlineLevel="0" collapsed="false">
      <c r="A198" s="17" t="s">
        <v>401</v>
      </c>
      <c r="B198" s="17" t="s">
        <v>402</v>
      </c>
      <c r="C198" s="17" t="s">
        <v>1064</v>
      </c>
      <c r="D198" s="17" t="s">
        <v>138</v>
      </c>
      <c r="E198" s="18" t="n">
        <v>125520</v>
      </c>
      <c r="F198" s="17" t="s">
        <v>670</v>
      </c>
      <c r="G198" s="23" t="n">
        <v>0.564706819630338</v>
      </c>
      <c r="H198" s="19" t="n">
        <v>46.6</v>
      </c>
      <c r="I198" s="17" t="n">
        <f aca="false">IF(H198="","",RANK(H198,$H$5:$H$363))</f>
        <v>194</v>
      </c>
      <c r="J198" s="24" t="n">
        <v>0.0199073697895507</v>
      </c>
      <c r="K198" s="19" t="n">
        <v>21</v>
      </c>
      <c r="L198" s="17" t="n">
        <f aca="false">IF(K198="","",RANK(K198,$K$5:$K$363))</f>
        <v>283</v>
      </c>
      <c r="M198" s="25" t="n">
        <v>0.308142940831869</v>
      </c>
      <c r="N198" s="19" t="n">
        <v>92.3</v>
      </c>
      <c r="O198" s="17" t="n">
        <f aca="false">IF(N198="","",RANK(N198,$N$5:$N$363))</f>
        <v>26</v>
      </c>
      <c r="P198" s="17" t="str">
        <f aca="false">IF(AND(N(H198)&gt;=N(K198),N(H198)&gt;=N(N198)),"The Pulse",IF(N(K198)&gt;=N(N198),"The Lens","The Hub"))</f>
        <v>The Hub</v>
      </c>
      <c r="Q198" s="21" t="s">
        <v>78</v>
      </c>
      <c r="R198" s="27" t="s">
        <v>671</v>
      </c>
      <c r="S198" s="17" t="s">
        <v>21</v>
      </c>
    </row>
    <row r="199" customFormat="false" ht="15" hidden="false" customHeight="false" outlineLevel="0" collapsed="false">
      <c r="A199" s="17" t="s">
        <v>1065</v>
      </c>
      <c r="B199" s="17" t="s">
        <v>1066</v>
      </c>
      <c r="C199" s="17" t="s">
        <v>1067</v>
      </c>
      <c r="D199" s="17" t="s">
        <v>72</v>
      </c>
      <c r="E199" s="18" t="n">
        <v>129688</v>
      </c>
      <c r="F199" s="17" t="s">
        <v>670</v>
      </c>
      <c r="G199" s="23" t="n">
        <v>0.562203133674665</v>
      </c>
      <c r="H199" s="19" t="n">
        <v>46.4</v>
      </c>
      <c r="I199" s="17" t="n">
        <f aca="false">IF(H199="","",RANK(H199,$H$5:$H$363))</f>
        <v>195</v>
      </c>
      <c r="J199" s="24" t="n">
        <v>0.114761425857638</v>
      </c>
      <c r="K199" s="19" t="n">
        <v>65.2</v>
      </c>
      <c r="L199" s="17" t="n">
        <f aca="false">IF(K199="","",RANK(K199,$K$5:$K$363))</f>
        <v>128</v>
      </c>
      <c r="M199" s="25" t="n">
        <v>0.0602975724353955</v>
      </c>
      <c r="N199" s="19" t="n">
        <v>17.7</v>
      </c>
      <c r="O199" s="17" t="n">
        <f aca="false">IF(N199="","",RANK(N199,$N$5:$N$363))</f>
        <v>267</v>
      </c>
      <c r="P199" s="17" t="str">
        <f aca="false">IF(AND(N(H199)&gt;=N(K199),N(H199)&gt;=N(N199)),"The Pulse",IF(N(K199)&gt;=N(N199),"The Lens","The Hub"))</f>
        <v>The Lens</v>
      </c>
      <c r="Q199" s="20" t="s">
        <v>74</v>
      </c>
      <c r="R199" s="26" t="s">
        <v>668</v>
      </c>
      <c r="S199" s="17" t="s">
        <v>19</v>
      </c>
    </row>
    <row r="200" customFormat="false" ht="15" hidden="false" customHeight="false" outlineLevel="0" collapsed="false">
      <c r="A200" s="17" t="s">
        <v>403</v>
      </c>
      <c r="B200" s="17" t="s">
        <v>404</v>
      </c>
      <c r="C200" s="17" t="s">
        <v>1068</v>
      </c>
      <c r="D200" s="17" t="s">
        <v>77</v>
      </c>
      <c r="E200" s="18" t="n">
        <v>19460</v>
      </c>
      <c r="F200" s="17" t="s">
        <v>667</v>
      </c>
      <c r="G200" s="23" t="n">
        <v>0.561613566289825</v>
      </c>
      <c r="H200" s="19" t="n">
        <v>46.2</v>
      </c>
      <c r="I200" s="17" t="n">
        <f aca="false">IF(H200="","",RANK(H200,$H$5:$H$363))</f>
        <v>196</v>
      </c>
      <c r="J200" s="24" t="n">
        <v>-0.0313588850174216</v>
      </c>
      <c r="K200" s="19" t="n">
        <v>5.6</v>
      </c>
      <c r="L200" s="17" t="n">
        <f aca="false">IF(K200="","",RANK(K200,$K$5:$K$363))</f>
        <v>341</v>
      </c>
      <c r="M200" s="25" t="n">
        <v>0.179966044142615</v>
      </c>
      <c r="N200" s="19" t="n">
        <v>64.4</v>
      </c>
      <c r="O200" s="17" t="n">
        <f aca="false">IF(N200="","",RANK(N200,$N$5:$N$363))</f>
        <v>115</v>
      </c>
      <c r="P200" s="17" t="str">
        <f aca="false">IF(AND(N(H200)&gt;=N(K200),N(H200)&gt;=N(N200)),"The Pulse",IF(N(K200)&gt;=N(N200),"The Lens","The Hub"))</f>
        <v>The Hub</v>
      </c>
      <c r="Q200" s="21" t="s">
        <v>78</v>
      </c>
      <c r="R200" s="27" t="s">
        <v>671</v>
      </c>
      <c r="S200" s="17" t="s">
        <v>21</v>
      </c>
    </row>
    <row r="201" customFormat="false" ht="15" hidden="false" customHeight="false" outlineLevel="0" collapsed="false">
      <c r="A201" s="17" t="s">
        <v>421</v>
      </c>
      <c r="B201" s="17" t="s">
        <v>422</v>
      </c>
      <c r="C201" s="17" t="s">
        <v>1069</v>
      </c>
      <c r="D201" s="17" t="s">
        <v>72</v>
      </c>
      <c r="E201" s="18" t="n">
        <v>39790</v>
      </c>
      <c r="F201" s="17" t="s">
        <v>667</v>
      </c>
      <c r="G201" s="23" t="n">
        <v>0.555968836391053</v>
      </c>
      <c r="H201" s="19" t="n">
        <v>45.7</v>
      </c>
      <c r="I201" s="17" t="n">
        <f aca="false">IF(H201="","",RANK(H201,$H$5:$H$363))</f>
        <v>197</v>
      </c>
      <c r="J201" s="24" t="n">
        <v>0.0451799317047544</v>
      </c>
      <c r="K201" s="19" t="n">
        <v>26.2</v>
      </c>
      <c r="L201" s="17" t="n">
        <f aca="false">IF(K201="","",RANK(K201,$K$5:$K$363))</f>
        <v>264</v>
      </c>
      <c r="M201" s="25" t="n">
        <v>0.202518891687657</v>
      </c>
      <c r="N201" s="19" t="n">
        <v>71.5</v>
      </c>
      <c r="O201" s="17" t="n">
        <f aca="false">IF(N201="","",RANK(N201,$N$5:$N$363))</f>
        <v>92</v>
      </c>
      <c r="P201" s="17" t="str">
        <f aca="false">IF(AND(N(H201)&gt;=N(K201),N(H201)&gt;=N(N201)),"The Pulse",IF(N(K201)&gt;=N(N201),"The Lens","The Hub"))</f>
        <v>The Hub</v>
      </c>
      <c r="Q201" s="21" t="s">
        <v>78</v>
      </c>
      <c r="R201" s="27" t="s">
        <v>671</v>
      </c>
      <c r="S201" s="17" t="s">
        <v>21</v>
      </c>
    </row>
    <row r="202" customFormat="false" ht="15" hidden="false" customHeight="false" outlineLevel="0" collapsed="false">
      <c r="A202" s="17" t="s">
        <v>1070</v>
      </c>
      <c r="B202" s="17" t="s">
        <v>1071</v>
      </c>
      <c r="C202" s="17" t="s">
        <v>1072</v>
      </c>
      <c r="D202" s="17" t="s">
        <v>81</v>
      </c>
      <c r="E202" s="18" t="n">
        <v>41220</v>
      </c>
      <c r="F202" s="17" t="s">
        <v>667</v>
      </c>
      <c r="G202" s="23" t="n">
        <v>0.555919456574478</v>
      </c>
      <c r="H202" s="19" t="n">
        <v>45.5</v>
      </c>
      <c r="I202" s="17" t="n">
        <f aca="false">IF(H202="","",RANK(H202,$H$5:$H$363))</f>
        <v>198</v>
      </c>
      <c r="J202" s="24" t="n">
        <v>-0.0397204426324985</v>
      </c>
      <c r="K202" s="19" t="n">
        <v>4.4</v>
      </c>
      <c r="L202" s="17" t="n">
        <f aca="false">IF(K202="","",RANK(K202,$K$5:$K$363))</f>
        <v>345</v>
      </c>
      <c r="M202" s="25" t="n">
        <v>0.183342972816657</v>
      </c>
      <c r="N202" s="19" t="n">
        <v>65.7</v>
      </c>
      <c r="O202" s="17" t="n">
        <f aca="false">IF(N202="","",RANK(N202,$N$5:$N$363))</f>
        <v>110</v>
      </c>
      <c r="P202" s="17" t="str">
        <f aca="false">IF(AND(N(H202)&gt;=N(K202),N(H202)&gt;=N(N202)),"The Pulse",IF(N(K202)&gt;=N(N202),"The Lens","The Hub"))</f>
        <v>The Hub</v>
      </c>
      <c r="Q202" s="20" t="s">
        <v>74</v>
      </c>
      <c r="R202" s="26" t="s">
        <v>668</v>
      </c>
      <c r="S202" s="17" t="s">
        <v>19</v>
      </c>
    </row>
    <row r="203" customFormat="false" ht="15" hidden="false" customHeight="false" outlineLevel="0" collapsed="false">
      <c r="A203" s="17" t="s">
        <v>213</v>
      </c>
      <c r="B203" s="17" t="s">
        <v>214</v>
      </c>
      <c r="C203" s="17" t="s">
        <v>1073</v>
      </c>
      <c r="D203" s="17" t="s">
        <v>105</v>
      </c>
      <c r="E203" s="18" t="n">
        <v>19801</v>
      </c>
      <c r="F203" s="17" t="s">
        <v>667</v>
      </c>
      <c r="G203" s="23" t="n">
        <v>0.553658906115853</v>
      </c>
      <c r="H203" s="19" t="n">
        <v>45.3</v>
      </c>
      <c r="I203" s="17" t="n">
        <f aca="false">IF(H203="","",RANK(H203,$H$5:$H$363))</f>
        <v>199</v>
      </c>
      <c r="J203" s="24" t="n">
        <v>0.107314618051672</v>
      </c>
      <c r="K203" s="19" t="n">
        <v>57.9</v>
      </c>
      <c r="L203" s="17" t="n">
        <f aca="false">IF(K203="","",RANK(K203,$K$5:$K$363))</f>
        <v>150</v>
      </c>
      <c r="M203" s="25" t="n">
        <v>0.252747252747253</v>
      </c>
      <c r="N203" s="19" t="n">
        <v>82.6</v>
      </c>
      <c r="O203" s="17" t="n">
        <f aca="false">IF(N203="","",RANK(N203,$N$5:$N$363))</f>
        <v>56</v>
      </c>
      <c r="P203" s="17" t="str">
        <f aca="false">IF(AND(N(H203)&gt;=N(K203),N(H203)&gt;=N(N203)),"The Pulse",IF(N(K203)&gt;=N(N203),"The Lens","The Hub"))</f>
        <v>The Hub</v>
      </c>
      <c r="Q203" s="20" t="s">
        <v>74</v>
      </c>
      <c r="R203" s="27" t="s">
        <v>671</v>
      </c>
      <c r="S203" s="17" t="s">
        <v>19</v>
      </c>
    </row>
    <row r="204" customFormat="false" ht="15" hidden="false" customHeight="false" outlineLevel="0" collapsed="false">
      <c r="A204" s="17" t="s">
        <v>1074</v>
      </c>
      <c r="B204" s="17" t="s">
        <v>1075</v>
      </c>
      <c r="C204" s="17" t="s">
        <v>1076</v>
      </c>
      <c r="D204" s="17" t="s">
        <v>72</v>
      </c>
      <c r="E204" s="18" t="n">
        <v>62940</v>
      </c>
      <c r="F204" s="17" t="s">
        <v>667</v>
      </c>
      <c r="G204" s="23" t="n">
        <v>0.551731808071179</v>
      </c>
      <c r="H204" s="19" t="n">
        <v>45.1</v>
      </c>
      <c r="I204" s="17" t="n">
        <f aca="false">IF(H204="","",RANK(H204,$H$5:$H$363))</f>
        <v>200</v>
      </c>
      <c r="J204" s="24" t="n">
        <v>0.00784627702161729</v>
      </c>
      <c r="K204" s="19" t="n">
        <v>10.3</v>
      </c>
      <c r="L204" s="17" t="n">
        <f aca="false">IF(K204="","",RANK(K204,$K$5:$K$363))</f>
        <v>321</v>
      </c>
      <c r="M204" s="25" t="n">
        <v>0.0333485609867519</v>
      </c>
      <c r="N204" s="19" t="n">
        <v>6.6</v>
      </c>
      <c r="O204" s="17" t="n">
        <f aca="false">IF(N204="","",RANK(N204,$N$5:$N$363))</f>
        <v>300</v>
      </c>
      <c r="P204" s="17" t="str">
        <f aca="false">IF(AND(N(H204)&gt;=N(K204),N(H204)&gt;=N(N204)),"The Pulse",IF(N(K204)&gt;=N(N204),"The Lens","The Hub"))</f>
        <v>The Pulse</v>
      </c>
      <c r="Q204" s="21" t="s">
        <v>78</v>
      </c>
      <c r="R204" s="26" t="s">
        <v>668</v>
      </c>
      <c r="S204" s="17" t="s">
        <v>21</v>
      </c>
    </row>
    <row r="205" customFormat="false" ht="15" hidden="false" customHeight="false" outlineLevel="0" collapsed="false">
      <c r="A205" s="17" t="s">
        <v>1077</v>
      </c>
      <c r="B205" s="17" t="s">
        <v>1078</v>
      </c>
      <c r="C205" s="17" t="s">
        <v>1079</v>
      </c>
      <c r="D205" s="17" t="s">
        <v>133</v>
      </c>
      <c r="E205" s="18" t="n">
        <v>6589</v>
      </c>
      <c r="F205" s="17" t="s">
        <v>678</v>
      </c>
      <c r="G205" s="23" t="n">
        <v>0.548641675519806</v>
      </c>
      <c r="H205" s="19" t="n">
        <v>44.9</v>
      </c>
      <c r="I205" s="17" t="n">
        <f aca="false">IF(H205="","",RANK(H205,$H$5:$H$363))</f>
        <v>201</v>
      </c>
      <c r="J205" s="24" t="n">
        <v>0.130576527110501</v>
      </c>
      <c r="K205" s="19" t="n">
        <v>68.5</v>
      </c>
      <c r="L205" s="17" t="n">
        <f aca="false">IF(K205="","",RANK(K205,$K$5:$K$363))</f>
        <v>119</v>
      </c>
      <c r="M205" s="25" t="n">
        <v>0.0793650793650794</v>
      </c>
      <c r="N205" s="19" t="n">
        <v>25.7</v>
      </c>
      <c r="O205" s="17" t="n">
        <f aca="false">IF(N205="","",RANK(N205,$N$5:$N$363))</f>
        <v>242</v>
      </c>
      <c r="P205" s="17" t="str">
        <f aca="false">IF(AND(N(H205)&gt;=N(K205),N(H205)&gt;=N(N205)),"The Pulse",IF(N(K205)&gt;=N(N205),"The Lens","The Hub"))</f>
        <v>The Lens</v>
      </c>
      <c r="Q205" s="20" t="s">
        <v>74</v>
      </c>
      <c r="R205" s="26" t="s">
        <v>668</v>
      </c>
      <c r="S205" s="17" t="s">
        <v>19</v>
      </c>
    </row>
    <row r="206" customFormat="false" ht="15" hidden="false" customHeight="false" outlineLevel="0" collapsed="false">
      <c r="A206" s="17" t="s">
        <v>1080</v>
      </c>
      <c r="B206" s="17" t="s">
        <v>1081</v>
      </c>
      <c r="C206" s="17" t="s">
        <v>1082</v>
      </c>
      <c r="D206" s="17" t="s">
        <v>92</v>
      </c>
      <c r="E206" s="18" t="n">
        <v>55400</v>
      </c>
      <c r="F206" s="17" t="s">
        <v>667</v>
      </c>
      <c r="G206" s="23" t="n">
        <v>0.545667870036101</v>
      </c>
      <c r="H206" s="19" t="n">
        <v>44.7</v>
      </c>
      <c r="I206" s="17" t="n">
        <f aca="false">IF(H206="","",RANK(H206,$H$5:$H$363))</f>
        <v>202</v>
      </c>
      <c r="J206" s="24" t="n">
        <v>0.0845732184808144</v>
      </c>
      <c r="K206" s="19" t="n">
        <v>48.4</v>
      </c>
      <c r="L206" s="17" t="n">
        <f aca="false">IF(K206="","",RANK(K206,$K$5:$K$363))</f>
        <v>183</v>
      </c>
      <c r="M206" s="25" t="n">
        <v>0.0809302325581395</v>
      </c>
      <c r="N206" s="19" t="n">
        <v>26.8</v>
      </c>
      <c r="O206" s="17" t="n">
        <f aca="false">IF(N206="","",RANK(N206,$N$5:$N$363))</f>
        <v>238</v>
      </c>
      <c r="P206" s="17" t="str">
        <f aca="false">IF(AND(N(H206)&gt;=N(K206),N(H206)&gt;=N(N206)),"The Pulse",IF(N(K206)&gt;=N(N206),"The Lens","The Hub"))</f>
        <v>The Lens</v>
      </c>
      <c r="Q206" s="21" t="s">
        <v>78</v>
      </c>
      <c r="R206" s="26" t="s">
        <v>668</v>
      </c>
      <c r="S206" s="17" t="s">
        <v>21</v>
      </c>
    </row>
    <row r="207" customFormat="false" ht="15" hidden="false" customHeight="false" outlineLevel="0" collapsed="false">
      <c r="A207" s="17" t="s">
        <v>1083</v>
      </c>
      <c r="B207" s="17" t="s">
        <v>1084</v>
      </c>
      <c r="C207" s="17" t="s">
        <v>1085</v>
      </c>
      <c r="D207" s="17" t="s">
        <v>72</v>
      </c>
      <c r="E207" s="18" t="n">
        <v>249998</v>
      </c>
      <c r="F207" s="17" t="s">
        <v>670</v>
      </c>
      <c r="G207" s="23" t="n">
        <v>0.535524284194274</v>
      </c>
      <c r="H207" s="19" t="n">
        <v>44.4</v>
      </c>
      <c r="I207" s="17" t="n">
        <f aca="false">IF(H207="","",RANK(H207,$H$5:$H$363))</f>
        <v>203</v>
      </c>
      <c r="J207" s="24" t="n">
        <v>0.0572885828836297</v>
      </c>
      <c r="K207" s="19" t="n">
        <v>38.4</v>
      </c>
      <c r="L207" s="17" t="n">
        <f aca="false">IF(K207="","",RANK(K207,$K$5:$K$363))</f>
        <v>223</v>
      </c>
      <c r="M207" s="25" t="n">
        <v>0.233922996878252</v>
      </c>
      <c r="N207" s="19" t="n">
        <v>79</v>
      </c>
      <c r="O207" s="17" t="n">
        <f aca="false">IF(N207="","",RANK(N207,$N$5:$N$363))</f>
        <v>68</v>
      </c>
      <c r="P207" s="17" t="str">
        <f aca="false">IF(AND(N(H207)&gt;=N(K207),N(H207)&gt;=N(N207)),"The Pulse",IF(N(K207)&gt;=N(N207),"The Lens","The Hub"))</f>
        <v>The Hub</v>
      </c>
      <c r="Q207" s="20" t="s">
        <v>74</v>
      </c>
      <c r="R207" s="26" t="s">
        <v>668</v>
      </c>
      <c r="S207" s="17" t="s">
        <v>19</v>
      </c>
    </row>
    <row r="208" customFormat="false" ht="15" hidden="false" customHeight="false" outlineLevel="0" collapsed="false">
      <c r="A208" s="17" t="s">
        <v>243</v>
      </c>
      <c r="B208" s="17" t="s">
        <v>244</v>
      </c>
      <c r="C208" s="17" t="s">
        <v>1086</v>
      </c>
      <c r="D208" s="17" t="s">
        <v>102</v>
      </c>
      <c r="E208" s="18" t="n">
        <v>16180</v>
      </c>
      <c r="F208" s="17" t="s">
        <v>667</v>
      </c>
      <c r="G208" s="23" t="n">
        <v>0.532632880098888</v>
      </c>
      <c r="H208" s="19" t="n">
        <v>44.2</v>
      </c>
      <c r="I208" s="17" t="n">
        <f aca="false">IF(H208="","",RANK(H208,$H$5:$H$363))</f>
        <v>204</v>
      </c>
      <c r="J208" s="24" t="n">
        <v>0.137034434293746</v>
      </c>
      <c r="K208" s="19" t="n">
        <v>71.4</v>
      </c>
      <c r="L208" s="17" t="n">
        <f aca="false">IF(K208="","",RANK(K208,$K$5:$K$363))</f>
        <v>108</v>
      </c>
      <c r="M208" s="25" t="n">
        <v>0.0534682080924856</v>
      </c>
      <c r="N208" s="19" t="n">
        <v>14.6</v>
      </c>
      <c r="O208" s="17" t="n">
        <f aca="false">IF(N208="","",RANK(N208,$N$5:$N$363))</f>
        <v>276</v>
      </c>
      <c r="P208" s="17" t="str">
        <f aca="false">IF(AND(N(H208)&gt;=N(K208),N(H208)&gt;=N(N208)),"The Pulse",IF(N(K208)&gt;=N(N208),"The Lens","The Hub"))</f>
        <v>The Lens</v>
      </c>
      <c r="Q208" s="21" t="s">
        <v>78</v>
      </c>
      <c r="R208" s="27" t="s">
        <v>671</v>
      </c>
      <c r="S208" s="17" t="s">
        <v>21</v>
      </c>
    </row>
    <row r="209" customFormat="false" ht="15" hidden="false" customHeight="false" outlineLevel="0" collapsed="false">
      <c r="A209" s="17" t="s">
        <v>423</v>
      </c>
      <c r="B209" s="17" t="s">
        <v>424</v>
      </c>
      <c r="C209" s="17" t="s">
        <v>1087</v>
      </c>
      <c r="D209" s="17" t="s">
        <v>81</v>
      </c>
      <c r="E209" s="18" t="n">
        <v>65971</v>
      </c>
      <c r="F209" s="17" t="s">
        <v>667</v>
      </c>
      <c r="G209" s="23" t="n">
        <v>0.522183989934971</v>
      </c>
      <c r="H209" s="19" t="n">
        <v>44</v>
      </c>
      <c r="I209" s="17" t="n">
        <f aca="false">IF(H209="","",RANK(H209,$H$5:$H$363))</f>
        <v>205</v>
      </c>
      <c r="J209" s="24" t="n">
        <v>0.0750415539549588</v>
      </c>
      <c r="K209" s="19" t="n">
        <v>42.1</v>
      </c>
      <c r="L209" s="17" t="n">
        <f aca="false">IF(K209="","",RANK(K209,$K$5:$K$363))</f>
        <v>208</v>
      </c>
      <c r="M209" s="25" t="n">
        <v>0.273593073593074</v>
      </c>
      <c r="N209" s="19" t="n">
        <v>86.2</v>
      </c>
      <c r="O209" s="17" t="n">
        <f aca="false">IF(N209="","",RANK(N209,$N$5:$N$363))</f>
        <v>44</v>
      </c>
      <c r="P209" s="17" t="str">
        <f aca="false">IF(AND(N(H209)&gt;=N(K209),N(H209)&gt;=N(N209)),"The Pulse",IF(N(K209)&gt;=N(N209),"The Lens","The Hub"))</f>
        <v>The Hub</v>
      </c>
      <c r="Q209" s="20" t="s">
        <v>74</v>
      </c>
      <c r="R209" s="27" t="s">
        <v>671</v>
      </c>
      <c r="S209" s="17" t="s">
        <v>19</v>
      </c>
    </row>
    <row r="210" customFormat="false" ht="15" hidden="false" customHeight="false" outlineLevel="0" collapsed="false">
      <c r="A210" s="17" t="s">
        <v>503</v>
      </c>
      <c r="B210" s="17" t="s">
        <v>504</v>
      </c>
      <c r="C210" s="17" t="s">
        <v>1088</v>
      </c>
      <c r="D210" s="17" t="s">
        <v>77</v>
      </c>
      <c r="E210" s="18" t="n">
        <v>13147</v>
      </c>
      <c r="F210" s="17" t="s">
        <v>667</v>
      </c>
      <c r="G210" s="23" t="n">
        <v>0.521411728911539</v>
      </c>
      <c r="H210" s="19" t="n">
        <v>43.8</v>
      </c>
      <c r="I210" s="17" t="n">
        <f aca="false">IF(H210="","",RANK(H210,$H$5:$H$363))</f>
        <v>206</v>
      </c>
      <c r="J210" s="24" t="n">
        <v>0.149414233257563</v>
      </c>
      <c r="K210" s="19" t="n">
        <v>77</v>
      </c>
      <c r="L210" s="17" t="n">
        <f aca="false">IF(K210="","",RANK(K210,$K$5:$K$363))</f>
        <v>86</v>
      </c>
      <c r="M210" s="25" t="n">
        <v>0.203821656050955</v>
      </c>
      <c r="N210" s="19" t="n">
        <v>72.1</v>
      </c>
      <c r="O210" s="17" t="n">
        <f aca="false">IF(N210="","",RANK(N210,$N$5:$N$363))</f>
        <v>90</v>
      </c>
      <c r="P210" s="17" t="str">
        <f aca="false">IF(AND(N(H210)&gt;=N(K210),N(H210)&gt;=N(N210)),"The Pulse",IF(N(K210)&gt;=N(N210),"The Lens","The Hub"))</f>
        <v>The Lens</v>
      </c>
      <c r="Q210" s="20" t="s">
        <v>74</v>
      </c>
      <c r="R210" s="27" t="s">
        <v>671</v>
      </c>
      <c r="S210" s="17" t="s">
        <v>19</v>
      </c>
    </row>
    <row r="211" customFormat="false" ht="15" hidden="false" customHeight="false" outlineLevel="0" collapsed="false">
      <c r="A211" s="17" t="s">
        <v>481</v>
      </c>
      <c r="B211" s="17" t="s">
        <v>482</v>
      </c>
      <c r="C211" s="17" t="s">
        <v>1089</v>
      </c>
      <c r="D211" s="17" t="s">
        <v>72</v>
      </c>
      <c r="E211" s="18" t="n">
        <v>67630</v>
      </c>
      <c r="F211" s="17" t="s">
        <v>667</v>
      </c>
      <c r="G211" s="23" t="n">
        <v>0.518793434866184</v>
      </c>
      <c r="H211" s="19" t="n">
        <v>43.4</v>
      </c>
      <c r="I211" s="17" t="n">
        <f aca="false">IF(H211="","",RANK(H211,$H$5:$H$363))</f>
        <v>207</v>
      </c>
      <c r="J211" s="24" t="n">
        <v>0.0767393727113517</v>
      </c>
      <c r="K211" s="19" t="n">
        <v>42.9</v>
      </c>
      <c r="L211" s="17" t="n">
        <f aca="false">IF(K211="","",RANK(K211,$K$5:$K$363))</f>
        <v>205</v>
      </c>
      <c r="M211" s="25" t="n">
        <v>0.125628140703518</v>
      </c>
      <c r="N211" s="19" t="n">
        <v>46.5</v>
      </c>
      <c r="O211" s="17" t="n">
        <f aca="false">IF(N211="","",RANK(N211,$N$5:$N$363))</f>
        <v>173</v>
      </c>
      <c r="P211" s="17" t="str">
        <f aca="false">IF(AND(N(H211)&gt;=N(K211),N(H211)&gt;=N(N211)),"The Pulse",IF(N(K211)&gt;=N(N211),"The Lens","The Hub"))</f>
        <v>The Hub</v>
      </c>
      <c r="Q211" s="21" t="s">
        <v>78</v>
      </c>
      <c r="R211" s="27" t="s">
        <v>671</v>
      </c>
      <c r="S211" s="17" t="s">
        <v>21</v>
      </c>
    </row>
    <row r="212" customFormat="false" ht="15" hidden="false" customHeight="false" outlineLevel="0" collapsed="false">
      <c r="A212" s="17" t="s">
        <v>1090</v>
      </c>
      <c r="B212" s="17" t="s">
        <v>1091</v>
      </c>
      <c r="C212" s="17" t="s">
        <v>1092</v>
      </c>
      <c r="D212" s="17" t="s">
        <v>138</v>
      </c>
      <c r="E212" s="18" t="n">
        <v>234820</v>
      </c>
      <c r="F212" s="17" t="s">
        <v>670</v>
      </c>
      <c r="G212" s="23" t="n">
        <v>0.517319649092922</v>
      </c>
      <c r="H212" s="19" t="n">
        <v>42.9</v>
      </c>
      <c r="I212" s="17" t="n">
        <f aca="false">IF(H212="","",RANK(H212,$H$5:$H$363))</f>
        <v>208</v>
      </c>
      <c r="J212" s="24" t="n">
        <v>0.0643737138402125</v>
      </c>
      <c r="K212" s="19" t="n">
        <v>43.5</v>
      </c>
      <c r="L212" s="17" t="n">
        <f aca="false">IF(K212="","",RANK(K212,$K$5:$K$363))</f>
        <v>203</v>
      </c>
      <c r="M212" s="25" t="n">
        <v>0.0477785613540198</v>
      </c>
      <c r="N212" s="19" t="n">
        <v>12.2</v>
      </c>
      <c r="O212" s="17" t="n">
        <f aca="false">IF(N212="","",RANK(N212,$N$5:$N$363))</f>
        <v>284</v>
      </c>
      <c r="P212" s="17" t="str">
        <f aca="false">IF(AND(N(H212)&gt;=N(K212),N(H212)&gt;=N(N212)),"The Pulse",IF(N(K212)&gt;=N(N212),"The Lens","The Hub"))</f>
        <v>The Lens</v>
      </c>
      <c r="Q212" s="20" t="s">
        <v>74</v>
      </c>
      <c r="R212" s="26" t="s">
        <v>668</v>
      </c>
      <c r="S212" s="17" t="s">
        <v>19</v>
      </c>
    </row>
    <row r="213" customFormat="false" ht="15" hidden="false" customHeight="false" outlineLevel="0" collapsed="false">
      <c r="A213" s="17" t="s">
        <v>305</v>
      </c>
      <c r="B213" s="17" t="s">
        <v>306</v>
      </c>
      <c r="C213" s="17" t="s">
        <v>1093</v>
      </c>
      <c r="D213" s="17" t="s">
        <v>87</v>
      </c>
      <c r="E213" s="18" t="n">
        <v>131100</v>
      </c>
      <c r="F213" s="17" t="s">
        <v>670</v>
      </c>
      <c r="G213" s="23" t="n">
        <v>0.516376811594203</v>
      </c>
      <c r="H213" s="19" t="n">
        <v>42.7</v>
      </c>
      <c r="I213" s="17" t="n">
        <f aca="false">IF(H213="","",RANK(H213,$H$5:$H$363))</f>
        <v>209</v>
      </c>
      <c r="J213" s="24" t="n">
        <v>0.0490517724253821</v>
      </c>
      <c r="K213" s="19" t="n">
        <v>31.9</v>
      </c>
      <c r="L213" s="17" t="n">
        <f aca="false">IF(K213="","",RANK(K213,$K$5:$K$363))</f>
        <v>243</v>
      </c>
      <c r="M213" s="25" t="n">
        <v>0.216261998870695</v>
      </c>
      <c r="N213" s="19" t="n">
        <v>75.1</v>
      </c>
      <c r="O213" s="17" t="n">
        <f aca="false">IF(N213="","",RANK(N213,$N$5:$N$363))</f>
        <v>79</v>
      </c>
      <c r="P213" s="17" t="str">
        <f aca="false">IF(AND(N(H213)&gt;=N(K213),N(H213)&gt;=N(N213)),"The Pulse",IF(N(K213)&gt;=N(N213),"The Lens","The Hub"))</f>
        <v>The Hub</v>
      </c>
      <c r="Q213" s="21" t="s">
        <v>78</v>
      </c>
      <c r="R213" s="27" t="s">
        <v>671</v>
      </c>
      <c r="S213" s="17" t="s">
        <v>21</v>
      </c>
    </row>
    <row r="214" customFormat="false" ht="15" hidden="false" customHeight="false" outlineLevel="0" collapsed="false">
      <c r="A214" s="17" t="s">
        <v>1094</v>
      </c>
      <c r="B214" s="17" t="s">
        <v>1095</v>
      </c>
      <c r="C214" s="17" t="s">
        <v>1096</v>
      </c>
      <c r="D214" s="17" t="s">
        <v>105</v>
      </c>
      <c r="E214" s="18" t="n">
        <v>25315</v>
      </c>
      <c r="F214" s="17" t="s">
        <v>667</v>
      </c>
      <c r="G214" s="23" t="n">
        <v>0.51111988939364</v>
      </c>
      <c r="H214" s="19" t="n">
        <v>42.5</v>
      </c>
      <c r="I214" s="17" t="n">
        <f aca="false">IF(H214="","",RANK(H214,$H$5:$H$363))</f>
        <v>210</v>
      </c>
      <c r="J214" s="24" t="n">
        <v>-0.00369947656342241</v>
      </c>
      <c r="K214" s="19" t="n">
        <v>8.7</v>
      </c>
      <c r="L214" s="17" t="n">
        <f aca="false">IF(K214="","",RANK(K214,$K$5:$K$363))</f>
        <v>328</v>
      </c>
      <c r="M214" s="25" t="n">
        <v>0.238035264483627</v>
      </c>
      <c r="N214" s="19" t="n">
        <v>79.6</v>
      </c>
      <c r="O214" s="17" t="n">
        <f aca="false">IF(N214="","",RANK(N214,$N$5:$N$363))</f>
        <v>67</v>
      </c>
      <c r="P214" s="17" t="str">
        <f aca="false">IF(AND(N(H214)&gt;=N(K214),N(H214)&gt;=N(N214)),"The Pulse",IF(N(K214)&gt;=N(N214),"The Lens","The Hub"))</f>
        <v>The Hub</v>
      </c>
      <c r="Q214" s="20" t="s">
        <v>74</v>
      </c>
      <c r="R214" s="26" t="s">
        <v>668</v>
      </c>
      <c r="S214" s="17" t="s">
        <v>19</v>
      </c>
    </row>
    <row r="215" customFormat="false" ht="15" hidden="false" customHeight="false" outlineLevel="0" collapsed="false">
      <c r="A215" s="17" t="s">
        <v>1097</v>
      </c>
      <c r="B215" s="17" t="s">
        <v>1098</v>
      </c>
      <c r="C215" s="17" t="s">
        <v>1099</v>
      </c>
      <c r="D215" s="17" t="s">
        <v>92</v>
      </c>
      <c r="E215" s="18" t="n">
        <v>1308790</v>
      </c>
      <c r="F215" s="17" t="s">
        <v>752</v>
      </c>
      <c r="G215" s="23" t="n">
        <v>0.507610846659892</v>
      </c>
      <c r="H215" s="19" t="n">
        <v>42.3</v>
      </c>
      <c r="I215" s="17" t="n">
        <f aca="false">IF(H215="","",RANK(H215,$H$5:$H$363))</f>
        <v>211</v>
      </c>
      <c r="J215" s="24" t="n">
        <v>0.0861598214063421</v>
      </c>
      <c r="K215" s="19" t="n">
        <v>25</v>
      </c>
      <c r="L215" s="17" t="n">
        <f aca="false">IF(K215="","",RANK(K215,$K$5:$K$363))</f>
        <v>268</v>
      </c>
      <c r="M215" s="25" t="n">
        <v>0.120322592974812</v>
      </c>
      <c r="N215" s="19" t="n">
        <v>42.3</v>
      </c>
      <c r="O215" s="17" t="n">
        <f aca="false">IF(N215="","",RANK(N215,$N$5:$N$363))</f>
        <v>189</v>
      </c>
      <c r="P215" s="17" t="str">
        <f aca="false">IF(AND(N(H215)&gt;=N(K215),N(H215)&gt;=N(N215)),"The Pulse",IF(N(K215)&gt;=N(N215),"The Lens","The Hub"))</f>
        <v>The Pulse</v>
      </c>
      <c r="Q215" s="21" t="s">
        <v>78</v>
      </c>
      <c r="R215" s="26" t="s">
        <v>668</v>
      </c>
      <c r="S215" s="17" t="s">
        <v>21</v>
      </c>
    </row>
    <row r="216" customFormat="false" ht="15" hidden="false" customHeight="false" outlineLevel="0" collapsed="false">
      <c r="A216" s="17" t="s">
        <v>441</v>
      </c>
      <c r="B216" s="17" t="s">
        <v>442</v>
      </c>
      <c r="C216" s="17" t="s">
        <v>1100</v>
      </c>
      <c r="D216" s="17" t="s">
        <v>114</v>
      </c>
      <c r="E216" s="18" t="n">
        <v>22020</v>
      </c>
      <c r="F216" s="17" t="s">
        <v>667</v>
      </c>
      <c r="G216" s="23" t="n">
        <v>0.505086285195277</v>
      </c>
      <c r="H216" s="19" t="n">
        <v>42.1</v>
      </c>
      <c r="I216" s="17" t="n">
        <f aca="false">IF(H216="","",RANK(H216,$H$5:$H$363))</f>
        <v>212</v>
      </c>
      <c r="J216" s="24" t="n">
        <v>0.135051546391753</v>
      </c>
      <c r="K216" s="19" t="n">
        <v>70.6</v>
      </c>
      <c r="L216" s="17" t="n">
        <f aca="false">IF(K216="","",RANK(K216,$K$5:$K$363))</f>
        <v>110</v>
      </c>
      <c r="M216" s="28" t="s">
        <v>680</v>
      </c>
      <c r="N216" s="19"/>
      <c r="O216" s="17" t="str">
        <f aca="false">IF(N216="","",RANK(N216,$N$5:$N$363))</f>
        <v/>
      </c>
      <c r="P216" s="17" t="str">
        <f aca="false">IF(AND(N(H216)&gt;=N(K216),N(H216)&gt;=N(N216)),"The Pulse",IF(N(K216)&gt;=N(N216),"The Lens","The Hub"))</f>
        <v>The Lens</v>
      </c>
      <c r="Q216" s="21" t="s">
        <v>78</v>
      </c>
      <c r="R216" s="27" t="s">
        <v>671</v>
      </c>
      <c r="S216" s="17" t="s">
        <v>21</v>
      </c>
    </row>
    <row r="217" customFormat="false" ht="15" hidden="false" customHeight="false" outlineLevel="0" collapsed="false">
      <c r="A217" s="17" t="s">
        <v>1101</v>
      </c>
      <c r="B217" s="17" t="s">
        <v>1102</v>
      </c>
      <c r="C217" s="17" t="s">
        <v>1103</v>
      </c>
      <c r="D217" s="17" t="s">
        <v>72</v>
      </c>
      <c r="E217" s="18" t="n">
        <v>182187</v>
      </c>
      <c r="F217" s="17" t="s">
        <v>670</v>
      </c>
      <c r="G217" s="23" t="n">
        <v>0.505057989867554</v>
      </c>
      <c r="H217" s="19" t="n">
        <v>41.9</v>
      </c>
      <c r="I217" s="17" t="n">
        <f aca="false">IF(H217="","",RANK(H217,$H$5:$H$363))</f>
        <v>213</v>
      </c>
      <c r="J217" s="24" t="n">
        <v>0.236096316550082</v>
      </c>
      <c r="K217" s="19" t="n">
        <v>98.6</v>
      </c>
      <c r="L217" s="17" t="n">
        <f aca="false">IF(K217="","",RANK(K217,$K$5:$K$363))</f>
        <v>8</v>
      </c>
      <c r="M217" s="25" t="n">
        <v>0.282025819265144</v>
      </c>
      <c r="N217" s="19" t="n">
        <v>87.6</v>
      </c>
      <c r="O217" s="17" t="n">
        <f aca="false">IF(N217="","",RANK(N217,$N$5:$N$363))</f>
        <v>41</v>
      </c>
      <c r="P217" s="17" t="str">
        <f aca="false">IF(AND(N(H217)&gt;=N(K217),N(H217)&gt;=N(N217)),"The Pulse",IF(N(K217)&gt;=N(N217),"The Lens","The Hub"))</f>
        <v>The Lens</v>
      </c>
      <c r="Q217" s="20" t="s">
        <v>74</v>
      </c>
      <c r="R217" s="26" t="s">
        <v>668</v>
      </c>
      <c r="S217" s="17" t="s">
        <v>19</v>
      </c>
    </row>
    <row r="218" customFormat="false" ht="15" hidden="false" customHeight="false" outlineLevel="0" collapsed="false">
      <c r="A218" s="17" t="s">
        <v>443</v>
      </c>
      <c r="B218" s="17" t="s">
        <v>444</v>
      </c>
      <c r="C218" s="17" t="s">
        <v>1104</v>
      </c>
      <c r="D218" s="17" t="s">
        <v>114</v>
      </c>
      <c r="E218" s="18" t="n">
        <v>2925</v>
      </c>
      <c r="F218" s="17" t="s">
        <v>678</v>
      </c>
      <c r="G218" s="23" t="n">
        <v>0.501196581196581</v>
      </c>
      <c r="H218" s="19" t="n">
        <v>41.5</v>
      </c>
      <c r="I218" s="17" t="n">
        <f aca="false">IF(H218="","",RANK(H218,$H$5:$H$363))</f>
        <v>214</v>
      </c>
      <c r="J218" s="24" t="n">
        <v>0.0442699036058551</v>
      </c>
      <c r="K218" s="19" t="n">
        <v>22.2</v>
      </c>
      <c r="L218" s="17" t="n">
        <f aca="false">IF(K218="","",RANK(K218,$K$5:$K$363))</f>
        <v>278</v>
      </c>
      <c r="M218" s="28" t="s">
        <v>680</v>
      </c>
      <c r="N218" s="19"/>
      <c r="O218" s="17" t="str">
        <f aca="false">IF(N218="","",RANK(N218,$N$5:$N$363))</f>
        <v/>
      </c>
      <c r="P218" s="17" t="str">
        <f aca="false">IF(AND(N(H218)&gt;=N(K218),N(H218)&gt;=N(N218)),"The Pulse",IF(N(K218)&gt;=N(N218),"The Lens","The Hub"))</f>
        <v>The Pulse</v>
      </c>
      <c r="Q218" s="20" t="s">
        <v>74</v>
      </c>
      <c r="R218" s="27" t="s">
        <v>671</v>
      </c>
      <c r="S218" s="17" t="s">
        <v>19</v>
      </c>
    </row>
    <row r="219" customFormat="false" ht="15" hidden="false" customHeight="false" outlineLevel="0" collapsed="false">
      <c r="A219" s="17" t="s">
        <v>449</v>
      </c>
      <c r="B219" s="17" t="s">
        <v>450</v>
      </c>
      <c r="C219" s="17" t="s">
        <v>1105</v>
      </c>
      <c r="D219" s="17" t="s">
        <v>105</v>
      </c>
      <c r="E219" s="18" t="n">
        <v>277430</v>
      </c>
      <c r="F219" s="17" t="s">
        <v>670</v>
      </c>
      <c r="G219" s="23" t="n">
        <v>0.501124608009228</v>
      </c>
      <c r="H219" s="19" t="n">
        <v>41.2</v>
      </c>
      <c r="I219" s="17" t="n">
        <f aca="false">IF(H219="","",RANK(H219,$H$5:$H$363))</f>
        <v>215</v>
      </c>
      <c r="J219" s="24" t="n">
        <v>0.145250243556084</v>
      </c>
      <c r="K219" s="19" t="n">
        <v>76.1</v>
      </c>
      <c r="L219" s="17" t="n">
        <f aca="false">IF(K219="","",RANK(K219,$K$5:$K$363))</f>
        <v>89</v>
      </c>
      <c r="M219" s="25" t="n">
        <v>0.152571758813331</v>
      </c>
      <c r="N219" s="19" t="n">
        <v>56.4</v>
      </c>
      <c r="O219" s="17" t="n">
        <f aca="false">IF(N219="","",RANK(N219,$N$5:$N$363))</f>
        <v>140</v>
      </c>
      <c r="P219" s="17" t="str">
        <f aca="false">IF(AND(N(H219)&gt;=N(K219),N(H219)&gt;=N(N219)),"The Pulse",IF(N(K219)&gt;=N(N219),"The Lens","The Hub"))</f>
        <v>The Lens</v>
      </c>
      <c r="Q219" s="20" t="s">
        <v>74</v>
      </c>
      <c r="R219" s="27" t="s">
        <v>671</v>
      </c>
      <c r="S219" s="17" t="s">
        <v>19</v>
      </c>
    </row>
    <row r="220" customFormat="false" ht="15" hidden="false" customHeight="false" outlineLevel="0" collapsed="false">
      <c r="A220" s="17" t="s">
        <v>1106</v>
      </c>
      <c r="B220" s="17" t="s">
        <v>1107</v>
      </c>
      <c r="C220" s="17" t="s">
        <v>1108</v>
      </c>
      <c r="D220" s="17" t="s">
        <v>105</v>
      </c>
      <c r="E220" s="18" t="n">
        <v>21930</v>
      </c>
      <c r="F220" s="17" t="s">
        <v>667</v>
      </c>
      <c r="G220" s="23" t="n">
        <v>0.500911992704058</v>
      </c>
      <c r="H220" s="19" t="n">
        <v>41</v>
      </c>
      <c r="I220" s="17" t="n">
        <f aca="false">IF(H220="","",RANK(H220,$H$5:$H$363))</f>
        <v>216</v>
      </c>
      <c r="J220" s="24" t="n">
        <v>0.103673880221439</v>
      </c>
      <c r="K220" s="19" t="n">
        <v>56.7</v>
      </c>
      <c r="L220" s="17" t="n">
        <f aca="false">IF(K220="","",RANK(K220,$K$5:$K$363))</f>
        <v>153</v>
      </c>
      <c r="M220" s="25" t="n">
        <v>0.308673469387755</v>
      </c>
      <c r="N220" s="19" t="n">
        <v>92.5</v>
      </c>
      <c r="O220" s="17" t="n">
        <f aca="false">IF(N220="","",RANK(N220,$N$5:$N$363))</f>
        <v>25</v>
      </c>
      <c r="P220" s="17" t="str">
        <f aca="false">IF(AND(N(H220)&gt;=N(K220),N(H220)&gt;=N(N220)),"The Pulse",IF(N(K220)&gt;=N(N220),"The Lens","The Hub"))</f>
        <v>The Hub</v>
      </c>
      <c r="Q220" s="21" t="s">
        <v>78</v>
      </c>
      <c r="R220" s="26" t="s">
        <v>668</v>
      </c>
      <c r="S220" s="17" t="s">
        <v>21</v>
      </c>
    </row>
    <row r="221" customFormat="false" ht="15" hidden="false" customHeight="false" outlineLevel="0" collapsed="false">
      <c r="A221" s="17" t="s">
        <v>1109</v>
      </c>
      <c r="B221" s="17" t="s">
        <v>1110</v>
      </c>
      <c r="C221" s="17" t="s">
        <v>1111</v>
      </c>
      <c r="D221" s="17" t="s">
        <v>81</v>
      </c>
      <c r="E221" s="18" t="n">
        <v>16940</v>
      </c>
      <c r="F221" s="17" t="s">
        <v>667</v>
      </c>
      <c r="G221" s="23" t="n">
        <v>0.497992916174734</v>
      </c>
      <c r="H221" s="19" t="n">
        <v>40.6</v>
      </c>
      <c r="I221" s="17" t="n">
        <f aca="false">IF(H221="","",RANK(H221,$H$5:$H$363))</f>
        <v>217</v>
      </c>
      <c r="J221" s="24" t="n">
        <v>0.0379901960784314</v>
      </c>
      <c r="K221" s="19" t="n">
        <v>22.2</v>
      </c>
      <c r="L221" s="17" t="n">
        <f aca="false">IF(K221="","",RANK(K221,$K$5:$K$363))</f>
        <v>278</v>
      </c>
      <c r="M221" s="25" t="n">
        <v>0.419475655430712</v>
      </c>
      <c r="N221" s="19" t="n">
        <v>99.2</v>
      </c>
      <c r="O221" s="17" t="n">
        <f aca="false">IF(N221="","",RANK(N221,$N$5:$N$363))</f>
        <v>4</v>
      </c>
      <c r="P221" s="17" t="str">
        <f aca="false">IF(AND(N(H221)&gt;=N(K221),N(H221)&gt;=N(N221)),"The Pulse",IF(N(K221)&gt;=N(N221),"The Lens","The Hub"))</f>
        <v>The Hub</v>
      </c>
      <c r="Q221" s="21" t="s">
        <v>78</v>
      </c>
      <c r="R221" s="26" t="s">
        <v>668</v>
      </c>
      <c r="S221" s="17" t="s">
        <v>21</v>
      </c>
    </row>
    <row r="222" customFormat="false" ht="15" hidden="false" customHeight="false" outlineLevel="0" collapsed="false">
      <c r="A222" s="17" t="s">
        <v>1112</v>
      </c>
      <c r="B222" s="17" t="s">
        <v>1113</v>
      </c>
      <c r="C222" s="17" t="s">
        <v>1114</v>
      </c>
      <c r="D222" s="17" t="s">
        <v>77</v>
      </c>
      <c r="E222" s="18" t="n">
        <v>9380</v>
      </c>
      <c r="F222" s="17" t="s">
        <v>678</v>
      </c>
      <c r="G222" s="23" t="n">
        <v>0.494456289978678</v>
      </c>
      <c r="H222" s="19" t="n">
        <v>40.2</v>
      </c>
      <c r="I222" s="17" t="n">
        <f aca="false">IF(H222="","",RANK(H222,$H$5:$H$363))</f>
        <v>218</v>
      </c>
      <c r="J222" s="24" t="n">
        <v>0.159456118665019</v>
      </c>
      <c r="K222" s="19" t="n">
        <v>77.8</v>
      </c>
      <c r="L222" s="17" t="n">
        <f aca="false">IF(K222="","",RANK(K222,$K$5:$K$363))</f>
        <v>82</v>
      </c>
      <c r="M222" s="25" t="n">
        <v>0.0897959183673469</v>
      </c>
      <c r="N222" s="19" t="n">
        <v>30.4</v>
      </c>
      <c r="O222" s="17" t="n">
        <f aca="false">IF(N222="","",RANK(N222,$N$5:$N$363))</f>
        <v>227</v>
      </c>
      <c r="P222" s="17" t="str">
        <f aca="false">IF(AND(N(H222)&gt;=N(K222),N(H222)&gt;=N(N222)),"The Pulse",IF(N(K222)&gt;=N(N222),"The Lens","The Hub"))</f>
        <v>The Lens</v>
      </c>
      <c r="Q222" s="21" t="s">
        <v>78</v>
      </c>
      <c r="R222" s="26" t="s">
        <v>668</v>
      </c>
      <c r="S222" s="17" t="s">
        <v>21</v>
      </c>
    </row>
    <row r="223" customFormat="false" ht="15" hidden="false" customHeight="false" outlineLevel="0" collapsed="false">
      <c r="A223" s="17" t="s">
        <v>439</v>
      </c>
      <c r="B223" s="17" t="s">
        <v>440</v>
      </c>
      <c r="C223" s="17" t="s">
        <v>1115</v>
      </c>
      <c r="D223" s="17" t="s">
        <v>87</v>
      </c>
      <c r="E223" s="18" t="n">
        <v>25960</v>
      </c>
      <c r="F223" s="17" t="s">
        <v>667</v>
      </c>
      <c r="G223" s="23" t="n">
        <v>0.492411402157165</v>
      </c>
      <c r="H223" s="19" t="n">
        <v>40</v>
      </c>
      <c r="I223" s="17" t="n">
        <f aca="false">IF(H223="","",RANK(H223,$H$5:$H$363))</f>
        <v>219</v>
      </c>
      <c r="J223" s="24" t="n">
        <v>0.198522622345337</v>
      </c>
      <c r="K223" s="19" t="n">
        <v>92.5</v>
      </c>
      <c r="L223" s="17" t="n">
        <f aca="false">IF(K223="","",RANK(K223,$K$5:$K$363))</f>
        <v>29</v>
      </c>
      <c r="M223" s="25" t="n">
        <v>0.178256611165524</v>
      </c>
      <c r="N223" s="19" t="n">
        <v>63.3</v>
      </c>
      <c r="O223" s="17" t="n">
        <f aca="false">IF(N223="","",RANK(N223,$N$5:$N$363))</f>
        <v>119</v>
      </c>
      <c r="P223" s="17" t="str">
        <f aca="false">IF(AND(N(H223)&gt;=N(K223),N(H223)&gt;=N(N223)),"The Pulse",IF(N(K223)&gt;=N(N223),"The Lens","The Hub"))</f>
        <v>The Lens</v>
      </c>
      <c r="Q223" s="21" t="s">
        <v>78</v>
      </c>
      <c r="R223" s="27" t="s">
        <v>671</v>
      </c>
      <c r="S223" s="17" t="s">
        <v>21</v>
      </c>
    </row>
    <row r="224" customFormat="false" ht="15" hidden="false" customHeight="false" outlineLevel="0" collapsed="false">
      <c r="A224" s="17" t="s">
        <v>1116</v>
      </c>
      <c r="B224" s="17" t="s">
        <v>1117</v>
      </c>
      <c r="C224" s="17" t="s">
        <v>1118</v>
      </c>
      <c r="D224" s="17" t="s">
        <v>114</v>
      </c>
      <c r="E224" s="18" t="n">
        <v>33163</v>
      </c>
      <c r="F224" s="17" t="s">
        <v>667</v>
      </c>
      <c r="G224" s="23" t="n">
        <v>0.490486385429545</v>
      </c>
      <c r="H224" s="19" t="n">
        <v>39.7</v>
      </c>
      <c r="I224" s="17" t="n">
        <f aca="false">IF(H224="","",RANK(H224,$H$5:$H$363))</f>
        <v>220</v>
      </c>
      <c r="J224" s="24" t="n">
        <v>0.243596955038062</v>
      </c>
      <c r="K224" s="19" t="n">
        <v>97.2</v>
      </c>
      <c r="L224" s="17" t="n">
        <f aca="false">IF(K224="","",RANK(K224,$K$5:$K$363))</f>
        <v>11</v>
      </c>
      <c r="M224" s="25" t="n">
        <v>0.103861517976032</v>
      </c>
      <c r="N224" s="19" t="n">
        <v>37</v>
      </c>
      <c r="O224" s="17" t="n">
        <f aca="false">IF(N224="","",RANK(N224,$N$5:$N$363))</f>
        <v>207</v>
      </c>
      <c r="P224" s="17" t="str">
        <f aca="false">IF(AND(N(H224)&gt;=N(K224),N(H224)&gt;=N(N224)),"The Pulse",IF(N(K224)&gt;=N(N224),"The Lens","The Hub"))</f>
        <v>The Lens</v>
      </c>
      <c r="Q224" s="20" t="s">
        <v>74</v>
      </c>
      <c r="R224" s="26" t="s">
        <v>668</v>
      </c>
      <c r="S224" s="17" t="s">
        <v>19</v>
      </c>
    </row>
    <row r="225" customFormat="false" ht="15" hidden="false" customHeight="false" outlineLevel="0" collapsed="false">
      <c r="A225" s="17" t="s">
        <v>1119</v>
      </c>
      <c r="B225" s="17" t="s">
        <v>1120</v>
      </c>
      <c r="C225" s="17" t="s">
        <v>1121</v>
      </c>
      <c r="D225" s="17" t="s">
        <v>92</v>
      </c>
      <c r="E225" s="18" t="n">
        <v>7294</v>
      </c>
      <c r="F225" s="17" t="s">
        <v>678</v>
      </c>
      <c r="G225" s="23" t="n">
        <v>0.487112695366054</v>
      </c>
      <c r="H225" s="19" t="n">
        <v>39.5</v>
      </c>
      <c r="I225" s="17" t="n">
        <f aca="false">IF(H225="","",RANK(H225,$H$5:$H$363))</f>
        <v>221</v>
      </c>
      <c r="J225" s="24" t="n">
        <v>0.141649710439818</v>
      </c>
      <c r="K225" s="19" t="n">
        <v>70.4</v>
      </c>
      <c r="L225" s="17" t="n">
        <f aca="false">IF(K225="","",RANK(K225,$K$5:$K$363))</f>
        <v>111</v>
      </c>
      <c r="M225" s="25" t="n">
        <v>0.106837606837607</v>
      </c>
      <c r="N225" s="19" t="n">
        <v>38.4</v>
      </c>
      <c r="O225" s="17" t="n">
        <f aca="false">IF(N225="","",RANK(N225,$N$5:$N$363))</f>
        <v>203</v>
      </c>
      <c r="P225" s="17" t="str">
        <f aca="false">IF(AND(N(H225)&gt;=N(K225),N(H225)&gt;=N(N225)),"The Pulse",IF(N(K225)&gt;=N(N225),"The Lens","The Hub"))</f>
        <v>The Lens</v>
      </c>
      <c r="Q225" s="20" t="s">
        <v>74</v>
      </c>
      <c r="R225" s="26" t="s">
        <v>668</v>
      </c>
      <c r="S225" s="17" t="s">
        <v>19</v>
      </c>
    </row>
    <row r="226" customFormat="false" ht="15" hidden="false" customHeight="false" outlineLevel="0" collapsed="false">
      <c r="A226" s="17" t="s">
        <v>1122</v>
      </c>
      <c r="B226" s="17" t="s">
        <v>1123</v>
      </c>
      <c r="C226" s="17" t="s">
        <v>1124</v>
      </c>
      <c r="D226" s="17" t="s">
        <v>87</v>
      </c>
      <c r="E226" s="18" t="n">
        <v>103240</v>
      </c>
      <c r="F226" s="17" t="s">
        <v>670</v>
      </c>
      <c r="G226" s="23" t="n">
        <v>0.48561604029446</v>
      </c>
      <c r="H226" s="19" t="n">
        <v>39.3</v>
      </c>
      <c r="I226" s="17" t="n">
        <f aca="false">IF(H226="","",RANK(H226,$H$5:$H$363))</f>
        <v>222</v>
      </c>
      <c r="J226" s="24" t="n">
        <v>0.169593293304634</v>
      </c>
      <c r="K226" s="19" t="n">
        <v>87.7</v>
      </c>
      <c r="L226" s="17" t="n">
        <f aca="false">IF(K226="","",RANK(K226,$K$5:$K$363))</f>
        <v>48</v>
      </c>
      <c r="M226" s="25" t="n">
        <v>0.35637309550353</v>
      </c>
      <c r="N226" s="19" t="n">
        <v>97</v>
      </c>
      <c r="O226" s="17" t="n">
        <f aca="false">IF(N226="","",RANK(N226,$N$5:$N$363))</f>
        <v>11</v>
      </c>
      <c r="P226" s="17" t="str">
        <f aca="false">IF(AND(N(H226)&gt;=N(K226),N(H226)&gt;=N(N226)),"The Pulse",IF(N(K226)&gt;=N(N226),"The Lens","The Hub"))</f>
        <v>The Hub</v>
      </c>
      <c r="Q226" s="21" t="s">
        <v>78</v>
      </c>
      <c r="R226" s="26" t="s">
        <v>668</v>
      </c>
      <c r="S226" s="17" t="s">
        <v>21</v>
      </c>
    </row>
    <row r="227" customFormat="false" ht="15" hidden="false" customHeight="false" outlineLevel="0" collapsed="false">
      <c r="A227" s="17" t="s">
        <v>1125</v>
      </c>
      <c r="B227" s="17" t="s">
        <v>1126</v>
      </c>
      <c r="C227" s="17" t="s">
        <v>1127</v>
      </c>
      <c r="D227" s="17" t="s">
        <v>105</v>
      </c>
      <c r="E227" s="18" t="n">
        <v>12600</v>
      </c>
      <c r="F227" s="17" t="s">
        <v>667</v>
      </c>
      <c r="G227" s="23" t="n">
        <v>0.482936507936508</v>
      </c>
      <c r="H227" s="19" t="n">
        <v>38.9</v>
      </c>
      <c r="I227" s="17" t="n">
        <f aca="false">IF(H227="","",RANK(H227,$H$5:$H$363))</f>
        <v>223</v>
      </c>
      <c r="J227" s="24" t="n">
        <v>0.0956521739130435</v>
      </c>
      <c r="K227" s="19" t="n">
        <v>53.2</v>
      </c>
      <c r="L227" s="17" t="n">
        <f aca="false">IF(K227="","",RANK(K227,$K$5:$K$363))</f>
        <v>166</v>
      </c>
      <c r="M227" s="25" t="n">
        <v>0.0113207547169811</v>
      </c>
      <c r="N227" s="19" t="n">
        <v>2.8</v>
      </c>
      <c r="O227" s="17" t="n">
        <f aca="false">IF(N227="","",RANK(N227,$N$5:$N$363))</f>
        <v>314</v>
      </c>
      <c r="P227" s="17" t="str">
        <f aca="false">IF(AND(N(H227)&gt;=N(K227),N(H227)&gt;=N(N227)),"The Pulse",IF(N(K227)&gt;=N(N227),"The Lens","The Hub"))</f>
        <v>The Lens</v>
      </c>
      <c r="Q227" s="21" t="s">
        <v>78</v>
      </c>
      <c r="R227" s="26" t="s">
        <v>668</v>
      </c>
      <c r="S227" s="17" t="s">
        <v>21</v>
      </c>
    </row>
    <row r="228" customFormat="false" ht="15" hidden="false" customHeight="false" outlineLevel="0" collapsed="false">
      <c r="A228" s="17" t="s">
        <v>1128</v>
      </c>
      <c r="B228" s="17" t="s">
        <v>1129</v>
      </c>
      <c r="C228" s="17" t="s">
        <v>1130</v>
      </c>
      <c r="D228" s="17" t="s">
        <v>81</v>
      </c>
      <c r="E228" s="18" t="n">
        <v>293110</v>
      </c>
      <c r="F228" s="17" t="s">
        <v>670</v>
      </c>
      <c r="G228" s="23" t="n">
        <v>0.480403261574153</v>
      </c>
      <c r="H228" s="19" t="n">
        <v>38.7</v>
      </c>
      <c r="I228" s="17" t="n">
        <f aca="false">IF(H228="","",RANK(H228,$H$5:$H$363))</f>
        <v>224</v>
      </c>
      <c r="J228" s="24" t="n">
        <v>0.107245391356905</v>
      </c>
      <c r="K228" s="19" t="n">
        <v>62.3</v>
      </c>
      <c r="L228" s="17" t="n">
        <f aca="false">IF(K228="","",RANK(K228,$K$5:$K$363))</f>
        <v>138</v>
      </c>
      <c r="M228" s="25" t="n">
        <v>0.135322425409047</v>
      </c>
      <c r="N228" s="19" t="n">
        <v>51.1</v>
      </c>
      <c r="O228" s="17" t="n">
        <f aca="false">IF(N228="","",RANK(N228,$N$5:$N$363))</f>
        <v>157</v>
      </c>
      <c r="P228" s="17" t="str">
        <f aca="false">IF(AND(N(H228)&gt;=N(K228),N(H228)&gt;=N(N228)),"The Pulse",IF(N(K228)&gt;=N(N228),"The Lens","The Hub"))</f>
        <v>The Lens</v>
      </c>
      <c r="Q228" s="21" t="s">
        <v>78</v>
      </c>
      <c r="R228" s="26" t="s">
        <v>668</v>
      </c>
      <c r="S228" s="17" t="s">
        <v>21</v>
      </c>
    </row>
    <row r="229" customFormat="false" ht="15" hidden="false" customHeight="false" outlineLevel="0" collapsed="false">
      <c r="A229" s="17" t="s">
        <v>1131</v>
      </c>
      <c r="B229" s="17" t="s">
        <v>1132</v>
      </c>
      <c r="C229" s="17" t="s">
        <v>1133</v>
      </c>
      <c r="D229" s="17" t="s">
        <v>133</v>
      </c>
      <c r="E229" s="18" t="n">
        <v>40418</v>
      </c>
      <c r="F229" s="17" t="s">
        <v>667</v>
      </c>
      <c r="G229" s="23" t="n">
        <v>0.479538819337919</v>
      </c>
      <c r="H229" s="19" t="n">
        <v>38.5</v>
      </c>
      <c r="I229" s="17" t="n">
        <f aca="false">IF(H229="","",RANK(H229,$H$5:$H$363))</f>
        <v>225</v>
      </c>
      <c r="J229" s="24" t="n">
        <v>0.157611341830159</v>
      </c>
      <c r="K229" s="19" t="n">
        <v>81</v>
      </c>
      <c r="L229" s="17" t="n">
        <f aca="false">IF(K229="","",RANK(K229,$K$5:$K$363))</f>
        <v>72</v>
      </c>
      <c r="M229" s="25" t="n">
        <v>0.223456790123457</v>
      </c>
      <c r="N229" s="19" t="n">
        <v>76.2</v>
      </c>
      <c r="O229" s="17" t="n">
        <f aca="false">IF(N229="","",RANK(N229,$N$5:$N$363))</f>
        <v>76</v>
      </c>
      <c r="P229" s="17" t="str">
        <f aca="false">IF(AND(N(H229)&gt;=N(K229),N(H229)&gt;=N(N229)),"The Pulse",IF(N(K229)&gt;=N(N229),"The Lens","The Hub"))</f>
        <v>The Lens</v>
      </c>
      <c r="Q229" s="20" t="s">
        <v>74</v>
      </c>
      <c r="R229" s="26" t="s">
        <v>668</v>
      </c>
      <c r="S229" s="17" t="s">
        <v>19</v>
      </c>
    </row>
    <row r="230" customFormat="false" ht="15" hidden="false" customHeight="false" outlineLevel="0" collapsed="false">
      <c r="A230" s="17" t="s">
        <v>507</v>
      </c>
      <c r="B230" s="17" t="s">
        <v>508</v>
      </c>
      <c r="C230" s="17" t="s">
        <v>1134</v>
      </c>
      <c r="D230" s="17" t="s">
        <v>92</v>
      </c>
      <c r="E230" s="18" t="n">
        <v>7886</v>
      </c>
      <c r="F230" s="17" t="s">
        <v>678</v>
      </c>
      <c r="G230" s="23" t="n">
        <v>0.473750951052498</v>
      </c>
      <c r="H230" s="19" t="n">
        <v>38</v>
      </c>
      <c r="I230" s="17" t="n">
        <f aca="false">IF(H230="","",RANK(H230,$H$5:$H$363))</f>
        <v>226</v>
      </c>
      <c r="J230" s="24" t="n">
        <v>-0.048159324079662</v>
      </c>
      <c r="K230" s="19" t="n">
        <v>1.9</v>
      </c>
      <c r="L230" s="17" t="n">
        <f aca="false">IF(K230="","",RANK(K230,$K$5:$K$363))</f>
        <v>355</v>
      </c>
      <c r="M230" s="25" t="n">
        <v>0.215686274509804</v>
      </c>
      <c r="N230" s="19" t="n">
        <v>74.9</v>
      </c>
      <c r="O230" s="17" t="n">
        <f aca="false">IF(N230="","",RANK(N230,$N$5:$N$363))</f>
        <v>80</v>
      </c>
      <c r="P230" s="17" t="str">
        <f aca="false">IF(AND(N(H230)&gt;=N(K230),N(H230)&gt;=N(N230)),"The Pulse",IF(N(K230)&gt;=N(N230),"The Lens","The Hub"))</f>
        <v>The Hub</v>
      </c>
      <c r="Q230" s="20" t="s">
        <v>74</v>
      </c>
      <c r="R230" s="27" t="s">
        <v>671</v>
      </c>
      <c r="S230" s="17" t="s">
        <v>19</v>
      </c>
    </row>
    <row r="231" customFormat="false" ht="15" hidden="false" customHeight="false" outlineLevel="0" collapsed="false">
      <c r="A231" s="17" t="s">
        <v>1135</v>
      </c>
      <c r="B231" s="17" t="s">
        <v>1136</v>
      </c>
      <c r="C231" s="17" t="s">
        <v>1137</v>
      </c>
      <c r="D231" s="17" t="s">
        <v>105</v>
      </c>
      <c r="E231" s="18" t="n">
        <v>135400</v>
      </c>
      <c r="F231" s="17" t="s">
        <v>670</v>
      </c>
      <c r="G231" s="23" t="n">
        <v>0.473737075332349</v>
      </c>
      <c r="H231" s="19" t="n">
        <v>37.8</v>
      </c>
      <c r="I231" s="17" t="n">
        <f aca="false">IF(H231="","",RANK(H231,$H$5:$H$363))</f>
        <v>227</v>
      </c>
      <c r="J231" s="24" t="n">
        <v>0.124864999584614</v>
      </c>
      <c r="K231" s="19" t="n">
        <v>68.1</v>
      </c>
      <c r="L231" s="17" t="n">
        <f aca="false">IF(K231="","",RANK(K231,$K$5:$K$363))</f>
        <v>121</v>
      </c>
      <c r="M231" s="25" t="n">
        <v>0.225275827482447</v>
      </c>
      <c r="N231" s="19" t="n">
        <v>77.3</v>
      </c>
      <c r="O231" s="17" t="n">
        <f aca="false">IF(N231="","",RANK(N231,$N$5:$N$363))</f>
        <v>72</v>
      </c>
      <c r="P231" s="17" t="str">
        <f aca="false">IF(AND(N(H231)&gt;=N(K231),N(H231)&gt;=N(N231)),"The Pulse",IF(N(K231)&gt;=N(N231),"The Lens","The Hub"))</f>
        <v>The Hub</v>
      </c>
      <c r="Q231" s="21" t="s">
        <v>78</v>
      </c>
      <c r="R231" s="26" t="s">
        <v>668</v>
      </c>
      <c r="S231" s="17" t="s">
        <v>21</v>
      </c>
    </row>
    <row r="232" customFormat="false" ht="15" hidden="false" customHeight="false" outlineLevel="0" collapsed="false">
      <c r="A232" s="17" t="s">
        <v>485</v>
      </c>
      <c r="B232" s="17" t="s">
        <v>486</v>
      </c>
      <c r="C232" s="17" t="s">
        <v>1138</v>
      </c>
      <c r="D232" s="17" t="s">
        <v>114</v>
      </c>
      <c r="E232" s="18" t="n">
        <v>322720</v>
      </c>
      <c r="F232" s="17" t="s">
        <v>670</v>
      </c>
      <c r="G232" s="23" t="n">
        <v>0.473478557263262</v>
      </c>
      <c r="H232" s="19" t="n">
        <v>37.6</v>
      </c>
      <c r="I232" s="17" t="n">
        <f aca="false">IF(H232="","",RANK(H232,$H$5:$H$363))</f>
        <v>228</v>
      </c>
      <c r="J232" s="24" t="n">
        <v>0.1509272467903</v>
      </c>
      <c r="K232" s="19" t="n">
        <v>79.7</v>
      </c>
      <c r="L232" s="17" t="n">
        <f aca="false">IF(K232="","",RANK(K232,$K$5:$K$363))</f>
        <v>76</v>
      </c>
      <c r="M232" s="25" t="n">
        <v>0.0354706684856753</v>
      </c>
      <c r="N232" s="19" t="n">
        <v>7.7</v>
      </c>
      <c r="O232" s="17" t="n">
        <f aca="false">IF(N232="","",RANK(N232,$N$5:$N$363))</f>
        <v>297</v>
      </c>
      <c r="P232" s="17" t="str">
        <f aca="false">IF(AND(N(H232)&gt;=N(K232),N(H232)&gt;=N(N232)),"The Pulse",IF(N(K232)&gt;=N(N232),"The Lens","The Hub"))</f>
        <v>The Lens</v>
      </c>
      <c r="Q232" s="21" t="s">
        <v>78</v>
      </c>
      <c r="R232" s="27" t="s">
        <v>671</v>
      </c>
      <c r="S232" s="17" t="s">
        <v>21</v>
      </c>
    </row>
    <row r="233" customFormat="false" ht="15" hidden="false" customHeight="false" outlineLevel="0" collapsed="false">
      <c r="A233" s="17" t="s">
        <v>497</v>
      </c>
      <c r="B233" s="17" t="s">
        <v>498</v>
      </c>
      <c r="C233" s="17" t="s">
        <v>1139</v>
      </c>
      <c r="D233" s="17" t="s">
        <v>81</v>
      </c>
      <c r="E233" s="18" t="n">
        <v>842150</v>
      </c>
      <c r="F233" s="17" t="s">
        <v>670</v>
      </c>
      <c r="G233" s="23" t="n">
        <v>0.469459122484118</v>
      </c>
      <c r="H233" s="19" t="n">
        <v>37.4</v>
      </c>
      <c r="I233" s="17" t="n">
        <f aca="false">IF(H233="","",RANK(H233,$H$5:$H$363))</f>
        <v>229</v>
      </c>
      <c r="J233" s="24" t="n">
        <v>0.0815930749274357</v>
      </c>
      <c r="K233" s="19" t="n">
        <v>52.2</v>
      </c>
      <c r="L233" s="17" t="n">
        <f aca="false">IF(K233="","",RANK(K233,$K$5:$K$363))</f>
        <v>169</v>
      </c>
      <c r="M233" s="25" t="n">
        <v>0.123064467159194</v>
      </c>
      <c r="N233" s="19" t="n">
        <v>44.5</v>
      </c>
      <c r="O233" s="17" t="n">
        <f aca="false">IF(N233="","",RANK(N233,$N$5:$N$363))</f>
        <v>181</v>
      </c>
      <c r="P233" s="17" t="str">
        <f aca="false">IF(AND(N(H233)&gt;=N(K233),N(H233)&gt;=N(N233)),"The Pulse",IF(N(K233)&gt;=N(N233),"The Lens","The Hub"))</f>
        <v>The Lens</v>
      </c>
      <c r="Q233" s="21" t="s">
        <v>78</v>
      </c>
      <c r="R233" s="27" t="s">
        <v>671</v>
      </c>
      <c r="S233" s="17" t="s">
        <v>21</v>
      </c>
    </row>
    <row r="234" customFormat="false" ht="15" hidden="false" customHeight="false" outlineLevel="0" collapsed="false">
      <c r="A234" s="17" t="s">
        <v>1140</v>
      </c>
      <c r="B234" s="17" t="s">
        <v>1141</v>
      </c>
      <c r="C234" s="17" t="s">
        <v>1142</v>
      </c>
      <c r="D234" s="17" t="s">
        <v>105</v>
      </c>
      <c r="E234" s="18" t="n">
        <v>271960</v>
      </c>
      <c r="F234" s="17" t="s">
        <v>670</v>
      </c>
      <c r="G234" s="23" t="n">
        <v>0.461604647742315</v>
      </c>
      <c r="H234" s="19" t="n">
        <v>37.2</v>
      </c>
      <c r="I234" s="17" t="n">
        <f aca="false">IF(H234="","",RANK(H234,$H$5:$H$363))</f>
        <v>230</v>
      </c>
      <c r="J234" s="24" t="n">
        <v>0.172746873652436</v>
      </c>
      <c r="K234" s="19" t="n">
        <v>88.4</v>
      </c>
      <c r="L234" s="17" t="n">
        <f aca="false">IF(K234="","",RANK(K234,$K$5:$K$363))</f>
        <v>46</v>
      </c>
      <c r="M234" s="25" t="n">
        <v>0.103308575286968</v>
      </c>
      <c r="N234" s="19" t="n">
        <v>36.5</v>
      </c>
      <c r="O234" s="17" t="n">
        <f aca="false">IF(N234="","",RANK(N234,$N$5:$N$363))</f>
        <v>209</v>
      </c>
      <c r="P234" s="17" t="str">
        <f aca="false">IF(AND(N(H234)&gt;=N(K234),N(H234)&gt;=N(N234)),"The Pulse",IF(N(K234)&gt;=N(N234),"The Lens","The Hub"))</f>
        <v>The Lens</v>
      </c>
      <c r="Q234" s="21" t="s">
        <v>78</v>
      </c>
      <c r="R234" s="26" t="s">
        <v>668</v>
      </c>
      <c r="S234" s="17" t="s">
        <v>21</v>
      </c>
    </row>
    <row r="235" customFormat="false" ht="15" hidden="false" customHeight="false" outlineLevel="0" collapsed="false">
      <c r="A235" s="17" t="s">
        <v>1143</v>
      </c>
      <c r="B235" s="17" t="s">
        <v>1144</v>
      </c>
      <c r="C235" s="17" t="s">
        <v>1145</v>
      </c>
      <c r="D235" s="17" t="s">
        <v>114</v>
      </c>
      <c r="E235" s="18" t="n">
        <v>61680</v>
      </c>
      <c r="F235" s="17" t="s">
        <v>667</v>
      </c>
      <c r="G235" s="23" t="n">
        <v>0.459695201037614</v>
      </c>
      <c r="H235" s="19" t="n">
        <v>37</v>
      </c>
      <c r="I235" s="17" t="n">
        <f aca="false">IF(H235="","",RANK(H235,$H$5:$H$363))</f>
        <v>231</v>
      </c>
      <c r="J235" s="24" t="n">
        <v>0.0693481276005548</v>
      </c>
      <c r="K235" s="19" t="n">
        <v>37.3</v>
      </c>
      <c r="L235" s="17" t="n">
        <f aca="false">IF(K235="","",RANK(K235,$K$5:$K$363))</f>
        <v>226</v>
      </c>
      <c r="M235" s="25" t="n">
        <v>0.170309653916211</v>
      </c>
      <c r="N235" s="19" t="n">
        <v>61</v>
      </c>
      <c r="O235" s="17" t="n">
        <f aca="false">IF(N235="","",RANK(N235,$N$5:$N$363))</f>
        <v>126</v>
      </c>
      <c r="P235" s="17" t="str">
        <f aca="false">IF(AND(N(H235)&gt;=N(K235),N(H235)&gt;=N(N235)),"The Pulse",IF(N(K235)&gt;=N(N235),"The Lens","The Hub"))</f>
        <v>The Hub</v>
      </c>
      <c r="Q235" s="21" t="s">
        <v>78</v>
      </c>
      <c r="R235" s="26" t="s">
        <v>668</v>
      </c>
      <c r="S235" s="17" t="s">
        <v>21</v>
      </c>
    </row>
    <row r="236" customFormat="false" ht="15" hidden="false" customHeight="false" outlineLevel="0" collapsed="false">
      <c r="A236" s="17" t="s">
        <v>249</v>
      </c>
      <c r="B236" s="17" t="s">
        <v>250</v>
      </c>
      <c r="C236" s="17" t="s">
        <v>1146</v>
      </c>
      <c r="D236" s="17" t="s">
        <v>77</v>
      </c>
      <c r="E236" s="18" t="n">
        <v>25108</v>
      </c>
      <c r="F236" s="17" t="s">
        <v>667</v>
      </c>
      <c r="G236" s="23" t="n">
        <v>0.459216186076151</v>
      </c>
      <c r="H236" s="19" t="n">
        <v>36.8</v>
      </c>
      <c r="I236" s="17" t="n">
        <f aca="false">IF(H236="","",RANK(H236,$H$5:$H$363))</f>
        <v>232</v>
      </c>
      <c r="J236" s="24" t="n">
        <v>0.0737715434289869</v>
      </c>
      <c r="K236" s="19" t="n">
        <v>41.3</v>
      </c>
      <c r="L236" s="17" t="n">
        <f aca="false">IF(K236="","",RANK(K236,$K$5:$K$363))</f>
        <v>211</v>
      </c>
      <c r="M236" s="25" t="n">
        <v>0.194267515923567</v>
      </c>
      <c r="N236" s="19" t="n">
        <v>68.8</v>
      </c>
      <c r="O236" s="17" t="n">
        <f aca="false">IF(N236="","",RANK(N236,$N$5:$N$363))</f>
        <v>101</v>
      </c>
      <c r="P236" s="17" t="str">
        <f aca="false">IF(AND(N(H236)&gt;=N(K236),N(H236)&gt;=N(N236)),"The Pulse",IF(N(K236)&gt;=N(N236),"The Lens","The Hub"))</f>
        <v>The Hub</v>
      </c>
      <c r="Q236" s="20" t="s">
        <v>74</v>
      </c>
      <c r="R236" s="27" t="s">
        <v>671</v>
      </c>
      <c r="S236" s="17" t="s">
        <v>19</v>
      </c>
    </row>
    <row r="237" customFormat="false" ht="15" hidden="false" customHeight="false" outlineLevel="0" collapsed="false">
      <c r="A237" s="17" t="s">
        <v>589</v>
      </c>
      <c r="B237" s="17" t="s">
        <v>590</v>
      </c>
      <c r="C237" s="17" t="s">
        <v>1147</v>
      </c>
      <c r="D237" s="17" t="s">
        <v>105</v>
      </c>
      <c r="E237" s="18" t="n">
        <v>368806</v>
      </c>
      <c r="F237" s="17" t="s">
        <v>670</v>
      </c>
      <c r="G237" s="23" t="n">
        <v>0.44410611541027</v>
      </c>
      <c r="H237" s="19" t="n">
        <v>36.3</v>
      </c>
      <c r="I237" s="17" t="n">
        <f aca="false">IF(H237="","",RANK(H237,$H$5:$H$363))</f>
        <v>233</v>
      </c>
      <c r="J237" s="24" t="n">
        <v>0.157023911856792</v>
      </c>
      <c r="K237" s="19" t="n">
        <v>82.6</v>
      </c>
      <c r="L237" s="17" t="n">
        <f aca="false">IF(K237="","",RANK(K237,$K$5:$K$363))</f>
        <v>64</v>
      </c>
      <c r="M237" s="25" t="n">
        <v>0.0459433040078201</v>
      </c>
      <c r="N237" s="19" t="n">
        <v>11.9</v>
      </c>
      <c r="O237" s="17" t="n">
        <f aca="false">IF(N237="","",RANK(N237,$N$5:$N$363))</f>
        <v>285</v>
      </c>
      <c r="P237" s="17" t="str">
        <f aca="false">IF(AND(N(H237)&gt;=N(K237),N(H237)&gt;=N(N237)),"The Pulse",IF(N(K237)&gt;=N(N237),"The Lens","The Hub"))</f>
        <v>The Lens</v>
      </c>
      <c r="Q237" s="20" t="s">
        <v>74</v>
      </c>
      <c r="R237" s="27" t="s">
        <v>671</v>
      </c>
      <c r="S237" s="17" t="s">
        <v>19</v>
      </c>
    </row>
    <row r="238" customFormat="false" ht="15" hidden="false" customHeight="false" outlineLevel="0" collapsed="false">
      <c r="A238" s="17" t="s">
        <v>307</v>
      </c>
      <c r="B238" s="17" t="s">
        <v>308</v>
      </c>
      <c r="C238" s="17" t="s">
        <v>1148</v>
      </c>
      <c r="D238" s="17" t="s">
        <v>77</v>
      </c>
      <c r="E238" s="18" t="n">
        <v>119110</v>
      </c>
      <c r="F238" s="17" t="s">
        <v>670</v>
      </c>
      <c r="G238" s="23" t="n">
        <v>0.443976156493997</v>
      </c>
      <c r="H238" s="19" t="n">
        <v>36.1</v>
      </c>
      <c r="I238" s="17" t="n">
        <f aca="false">IF(H238="","",RANK(H238,$H$5:$H$363))</f>
        <v>234</v>
      </c>
      <c r="J238" s="24" t="n">
        <v>0.004893275963891</v>
      </c>
      <c r="K238" s="19" t="n">
        <v>13</v>
      </c>
      <c r="L238" s="17" t="n">
        <f aca="false">IF(K238="","",RANK(K238,$K$5:$K$363))</f>
        <v>311</v>
      </c>
      <c r="M238" s="25" t="n">
        <v>0.0418443496801706</v>
      </c>
      <c r="N238" s="19" t="n">
        <v>10.5</v>
      </c>
      <c r="O238" s="17" t="n">
        <f aca="false">IF(N238="","",RANK(N238,$N$5:$N$363))</f>
        <v>290</v>
      </c>
      <c r="P238" s="17" t="str">
        <f aca="false">IF(AND(N(H238)&gt;=N(K238),N(H238)&gt;=N(N238)),"The Pulse",IF(N(K238)&gt;=N(N238),"The Lens","The Hub"))</f>
        <v>The Pulse</v>
      </c>
      <c r="Q238" s="21" t="s">
        <v>78</v>
      </c>
      <c r="R238" s="27" t="s">
        <v>671</v>
      </c>
      <c r="S238" s="17" t="s">
        <v>21</v>
      </c>
    </row>
    <row r="239" customFormat="false" ht="15" hidden="false" customHeight="false" outlineLevel="0" collapsed="false">
      <c r="A239" s="17" t="s">
        <v>473</v>
      </c>
      <c r="B239" s="17" t="s">
        <v>474</v>
      </c>
      <c r="C239" s="17" t="s">
        <v>1149</v>
      </c>
      <c r="D239" s="17" t="s">
        <v>72</v>
      </c>
      <c r="E239" s="18" t="n">
        <v>18301</v>
      </c>
      <c r="F239" s="17" t="s">
        <v>667</v>
      </c>
      <c r="G239" s="23" t="n">
        <v>0.443199825146167</v>
      </c>
      <c r="H239" s="19" t="n">
        <v>35.9</v>
      </c>
      <c r="I239" s="17" t="n">
        <f aca="false">IF(H239="","",RANK(H239,$H$5:$H$363))</f>
        <v>235</v>
      </c>
      <c r="J239" s="24" t="n">
        <v>0.213996683250415</v>
      </c>
      <c r="K239" s="19" t="n">
        <v>94.8</v>
      </c>
      <c r="L239" s="17" t="n">
        <f aca="false">IF(K239="","",RANK(K239,$K$5:$K$363))</f>
        <v>20</v>
      </c>
      <c r="M239" s="25" t="n">
        <v>0.0489642184557439</v>
      </c>
      <c r="N239" s="19" t="n">
        <v>13</v>
      </c>
      <c r="O239" s="17" t="n">
        <f aca="false">IF(N239="","",RANK(N239,$N$5:$N$363))</f>
        <v>281</v>
      </c>
      <c r="P239" s="17" t="str">
        <f aca="false">IF(AND(N(H239)&gt;=N(K239),N(H239)&gt;=N(N239)),"The Pulse",IF(N(K239)&gt;=N(N239),"The Lens","The Hub"))</f>
        <v>The Lens</v>
      </c>
      <c r="Q239" s="20" t="s">
        <v>74</v>
      </c>
      <c r="R239" s="27" t="s">
        <v>671</v>
      </c>
      <c r="S239" s="17" t="s">
        <v>19</v>
      </c>
    </row>
    <row r="240" customFormat="false" ht="15" hidden="false" customHeight="false" outlineLevel="0" collapsed="false">
      <c r="A240" s="17" t="s">
        <v>295</v>
      </c>
      <c r="B240" s="17" t="s">
        <v>296</v>
      </c>
      <c r="C240" s="17" t="s">
        <v>1150</v>
      </c>
      <c r="D240" s="17" t="s">
        <v>114</v>
      </c>
      <c r="E240" s="18" t="n">
        <v>9393</v>
      </c>
      <c r="F240" s="17" t="s">
        <v>678</v>
      </c>
      <c r="G240" s="23" t="n">
        <v>0.442670073458959</v>
      </c>
      <c r="H240" s="19" t="n">
        <v>35.7</v>
      </c>
      <c r="I240" s="17" t="n">
        <f aca="false">IF(H240="","",RANK(H240,$H$5:$H$363))</f>
        <v>236</v>
      </c>
      <c r="J240" s="24" t="n">
        <v>0.0714041291205658</v>
      </c>
      <c r="K240" s="19" t="n">
        <v>40.7</v>
      </c>
      <c r="L240" s="17" t="n">
        <f aca="false">IF(K240="","",RANK(K240,$K$5:$K$363))</f>
        <v>213</v>
      </c>
      <c r="M240" s="25" t="n">
        <v>0.113636363636364</v>
      </c>
      <c r="N240" s="19" t="n">
        <v>40.9</v>
      </c>
      <c r="O240" s="17" t="n">
        <f aca="false">IF(N240="","",RANK(N240,$N$5:$N$363))</f>
        <v>194</v>
      </c>
      <c r="P240" s="17" t="str">
        <f aca="false">IF(AND(N(H240)&gt;=N(K240),N(H240)&gt;=N(N240)),"The Pulse",IF(N(K240)&gt;=N(N240),"The Lens","The Hub"))</f>
        <v>The Hub</v>
      </c>
      <c r="Q240" s="20" t="s">
        <v>74</v>
      </c>
      <c r="R240" s="27" t="s">
        <v>671</v>
      </c>
      <c r="S240" s="17" t="s">
        <v>19</v>
      </c>
    </row>
    <row r="241" customFormat="false" ht="15" hidden="false" customHeight="false" outlineLevel="0" collapsed="false">
      <c r="A241" s="17" t="s">
        <v>1151</v>
      </c>
      <c r="B241" s="17" t="s">
        <v>1152</v>
      </c>
      <c r="C241" s="17" t="s">
        <v>1153</v>
      </c>
      <c r="D241" s="17" t="s">
        <v>92</v>
      </c>
      <c r="E241" s="18" t="n">
        <v>22369</v>
      </c>
      <c r="F241" s="17" t="s">
        <v>667</v>
      </c>
      <c r="G241" s="23" t="n">
        <v>0.44217443783808</v>
      </c>
      <c r="H241" s="19" t="n">
        <v>35.5</v>
      </c>
      <c r="I241" s="17" t="n">
        <f aca="false">IF(H241="","",RANK(H241,$H$5:$H$363))</f>
        <v>237</v>
      </c>
      <c r="J241" s="24" t="n">
        <v>0.140054023750064</v>
      </c>
      <c r="K241" s="19" t="n">
        <v>73.4</v>
      </c>
      <c r="L241" s="17" t="n">
        <f aca="false">IF(K241="","",RANK(K241,$K$5:$K$363))</f>
        <v>100</v>
      </c>
      <c r="M241" s="25" t="n">
        <v>0.0161001788908766</v>
      </c>
      <c r="N241" s="19" t="n">
        <v>4.1</v>
      </c>
      <c r="O241" s="17" t="n">
        <f aca="false">IF(N241="","",RANK(N241,$N$5:$N$363))</f>
        <v>309</v>
      </c>
      <c r="P241" s="17" t="str">
        <f aca="false">IF(AND(N(H241)&gt;=N(K241),N(H241)&gt;=N(N241)),"The Pulse",IF(N(K241)&gt;=N(N241),"The Lens","The Hub"))</f>
        <v>The Lens</v>
      </c>
      <c r="Q241" s="20" t="s">
        <v>74</v>
      </c>
      <c r="R241" s="26" t="s">
        <v>668</v>
      </c>
      <c r="S241" s="17" t="s">
        <v>19</v>
      </c>
    </row>
    <row r="242" customFormat="false" ht="15" hidden="false" customHeight="false" outlineLevel="0" collapsed="false">
      <c r="A242" s="17" t="s">
        <v>505</v>
      </c>
      <c r="B242" s="17" t="s">
        <v>506</v>
      </c>
      <c r="C242" s="17" t="s">
        <v>1154</v>
      </c>
      <c r="D242" s="17" t="s">
        <v>77</v>
      </c>
      <c r="E242" s="18" t="n">
        <v>68000</v>
      </c>
      <c r="F242" s="17" t="s">
        <v>667</v>
      </c>
      <c r="G242" s="23" t="n">
        <v>0.44075</v>
      </c>
      <c r="H242" s="19" t="n">
        <v>35.3</v>
      </c>
      <c r="I242" s="17" t="n">
        <f aca="false">IF(H242="","",RANK(H242,$H$5:$H$363))</f>
        <v>238</v>
      </c>
      <c r="J242" s="24" t="n">
        <v>-0.0306486101211689</v>
      </c>
      <c r="K242" s="19" t="n">
        <v>6</v>
      </c>
      <c r="L242" s="17" t="n">
        <f aca="false">IF(K242="","",RANK(K242,$K$5:$K$363))</f>
        <v>339</v>
      </c>
      <c r="M242" s="25" t="n">
        <v>0.194662480376766</v>
      </c>
      <c r="N242" s="19" t="n">
        <v>69.1</v>
      </c>
      <c r="O242" s="17" t="n">
        <f aca="false">IF(N242="","",RANK(N242,$N$5:$N$363))</f>
        <v>100</v>
      </c>
      <c r="P242" s="17" t="str">
        <f aca="false">IF(AND(N(H242)&gt;=N(K242),N(H242)&gt;=N(N242)),"The Pulse",IF(N(K242)&gt;=N(N242),"The Lens","The Hub"))</f>
        <v>The Hub</v>
      </c>
      <c r="Q242" s="21" t="s">
        <v>78</v>
      </c>
      <c r="R242" s="27" t="s">
        <v>671</v>
      </c>
      <c r="S242" s="17" t="s">
        <v>21</v>
      </c>
    </row>
    <row r="243" customFormat="false" ht="15" hidden="false" customHeight="false" outlineLevel="0" collapsed="false">
      <c r="A243" s="17" t="s">
        <v>1155</v>
      </c>
      <c r="B243" s="17" t="s">
        <v>1156</v>
      </c>
      <c r="C243" s="17" t="s">
        <v>1157</v>
      </c>
      <c r="D243" s="17" t="s">
        <v>102</v>
      </c>
      <c r="E243" s="18" t="n">
        <v>190902</v>
      </c>
      <c r="F243" s="17" t="s">
        <v>670</v>
      </c>
      <c r="G243" s="23" t="n">
        <v>0.43795769557155</v>
      </c>
      <c r="H243" s="19" t="n">
        <v>34.8</v>
      </c>
      <c r="I243" s="17" t="n">
        <f aca="false">IF(H243="","",RANK(H243,$H$5:$H$363))</f>
        <v>239</v>
      </c>
      <c r="J243" s="24" t="n">
        <v>0.0589488281791707</v>
      </c>
      <c r="K243" s="19" t="n">
        <v>39.1</v>
      </c>
      <c r="L243" s="17" t="n">
        <f aca="false">IF(K243="","",RANK(K243,$K$5:$K$363))</f>
        <v>220</v>
      </c>
      <c r="M243" s="25" t="n">
        <v>0.126618705035971</v>
      </c>
      <c r="N243" s="19" t="n">
        <v>47</v>
      </c>
      <c r="O243" s="17" t="n">
        <f aca="false">IF(N243="","",RANK(N243,$N$5:$N$363))</f>
        <v>172</v>
      </c>
      <c r="P243" s="17" t="str">
        <f aca="false">IF(AND(N(H243)&gt;=N(K243),N(H243)&gt;=N(N243)),"The Pulse",IF(N(K243)&gt;=N(N243),"The Lens","The Hub"))</f>
        <v>The Hub</v>
      </c>
      <c r="Q243" s="20" t="s">
        <v>74</v>
      </c>
      <c r="R243" s="26" t="s">
        <v>668</v>
      </c>
      <c r="S243" s="17" t="s">
        <v>19</v>
      </c>
    </row>
    <row r="244" customFormat="false" ht="15" hidden="false" customHeight="false" outlineLevel="0" collapsed="false">
      <c r="A244" s="17" t="s">
        <v>511</v>
      </c>
      <c r="B244" s="17" t="s">
        <v>512</v>
      </c>
      <c r="C244" s="17" t="s">
        <v>1158</v>
      </c>
      <c r="D244" s="17" t="s">
        <v>72</v>
      </c>
      <c r="E244" s="18" t="n">
        <v>88908</v>
      </c>
      <c r="F244" s="17" t="s">
        <v>667</v>
      </c>
      <c r="G244" s="23" t="n">
        <v>0.429781347010393</v>
      </c>
      <c r="H244" s="19" t="n">
        <v>34.2</v>
      </c>
      <c r="I244" s="17" t="n">
        <f aca="false">IF(H244="","",RANK(H244,$H$5:$H$363))</f>
        <v>240</v>
      </c>
      <c r="J244" s="24" t="n">
        <v>0.0633147559021217</v>
      </c>
      <c r="K244" s="19" t="n">
        <v>33.3</v>
      </c>
      <c r="L244" s="17" t="n">
        <f aca="false">IF(K244="","",RANK(K244,$K$5:$K$363))</f>
        <v>238</v>
      </c>
      <c r="M244" s="28" t="s">
        <v>680</v>
      </c>
      <c r="N244" s="19"/>
      <c r="O244" s="17" t="str">
        <f aca="false">IF(N244="","",RANK(N244,$N$5:$N$363))</f>
        <v/>
      </c>
      <c r="P244" s="17" t="str">
        <f aca="false">IF(AND(N(H244)&gt;=N(K244),N(H244)&gt;=N(N244)),"The Pulse",IF(N(K244)&gt;=N(N244),"The Lens","The Hub"))</f>
        <v>The Pulse</v>
      </c>
      <c r="Q244" s="20" t="s">
        <v>74</v>
      </c>
      <c r="R244" s="27" t="s">
        <v>671</v>
      </c>
      <c r="S244" s="17" t="s">
        <v>19</v>
      </c>
    </row>
    <row r="245" customFormat="false" ht="15" hidden="false" customHeight="false" outlineLevel="0" collapsed="false">
      <c r="A245" s="17" t="s">
        <v>549</v>
      </c>
      <c r="B245" s="17" t="s">
        <v>550</v>
      </c>
      <c r="C245" s="17" t="s">
        <v>1159</v>
      </c>
      <c r="D245" s="17" t="s">
        <v>114</v>
      </c>
      <c r="E245" s="18" t="n">
        <v>116090</v>
      </c>
      <c r="F245" s="17" t="s">
        <v>670</v>
      </c>
      <c r="G245" s="23" t="n">
        <v>0.426910155913515</v>
      </c>
      <c r="H245" s="19" t="n">
        <v>34</v>
      </c>
      <c r="I245" s="17" t="n">
        <f aca="false">IF(H245="","",RANK(H245,$H$5:$H$363))</f>
        <v>241</v>
      </c>
      <c r="J245" s="24" t="n">
        <v>0.0461385960169415</v>
      </c>
      <c r="K245" s="19" t="n">
        <v>30.4</v>
      </c>
      <c r="L245" s="17" t="n">
        <f aca="false">IF(K245="","",RANK(K245,$K$5:$K$363))</f>
        <v>250</v>
      </c>
      <c r="M245" s="25" t="n">
        <v>0.298391899940441</v>
      </c>
      <c r="N245" s="19" t="n">
        <v>90.9</v>
      </c>
      <c r="O245" s="17" t="n">
        <f aca="false">IF(N245="","",RANK(N245,$N$5:$N$363))</f>
        <v>31</v>
      </c>
      <c r="P245" s="17" t="str">
        <f aca="false">IF(AND(N(H245)&gt;=N(K245),N(H245)&gt;=N(N245)),"The Pulse",IF(N(K245)&gt;=N(N245),"The Lens","The Hub"))</f>
        <v>The Hub</v>
      </c>
      <c r="Q245" s="21" t="s">
        <v>78</v>
      </c>
      <c r="R245" s="27" t="s">
        <v>671</v>
      </c>
      <c r="S245" s="17" t="s">
        <v>21</v>
      </c>
    </row>
    <row r="246" customFormat="false" ht="15" hidden="false" customHeight="false" outlineLevel="0" collapsed="false">
      <c r="A246" s="17" t="s">
        <v>1160</v>
      </c>
      <c r="B246" s="17" t="s">
        <v>1161</v>
      </c>
      <c r="C246" s="17" t="s">
        <v>1162</v>
      </c>
      <c r="D246" s="17" t="s">
        <v>114</v>
      </c>
      <c r="E246" s="18" t="n">
        <v>25770</v>
      </c>
      <c r="F246" s="17" t="s">
        <v>667</v>
      </c>
      <c r="G246" s="23" t="n">
        <v>0.422894838960031</v>
      </c>
      <c r="H246" s="19" t="n">
        <v>33.5</v>
      </c>
      <c r="I246" s="17" t="n">
        <f aca="false">IF(H246="","",RANK(H246,$H$5:$H$363))</f>
        <v>242</v>
      </c>
      <c r="J246" s="24" t="n">
        <v>0.0631188118811881</v>
      </c>
      <c r="K246" s="19" t="n">
        <v>32.9</v>
      </c>
      <c r="L246" s="17" t="n">
        <f aca="false">IF(K246="","",RANK(K246,$K$5:$K$363))</f>
        <v>240</v>
      </c>
      <c r="M246" s="25" t="n">
        <v>0</v>
      </c>
      <c r="N246" s="19" t="n">
        <v>1</v>
      </c>
      <c r="O246" s="17" t="n">
        <f aca="false">IF(N246="","",RANK(N246,$N$5:$N$363))</f>
        <v>317</v>
      </c>
      <c r="P246" s="17" t="str">
        <f aca="false">IF(AND(N(H246)&gt;=N(K246),N(H246)&gt;=N(N246)),"The Pulse",IF(N(K246)&gt;=N(N246),"The Lens","The Hub"))</f>
        <v>The Pulse</v>
      </c>
      <c r="Q246" s="21" t="s">
        <v>78</v>
      </c>
      <c r="R246" s="26" t="s">
        <v>668</v>
      </c>
      <c r="S246" s="17" t="s">
        <v>21</v>
      </c>
    </row>
    <row r="247" customFormat="false" ht="15" hidden="false" customHeight="false" outlineLevel="0" collapsed="false">
      <c r="A247" s="17" t="s">
        <v>1163</v>
      </c>
      <c r="B247" s="17" t="s">
        <v>1164</v>
      </c>
      <c r="C247" s="17" t="s">
        <v>1165</v>
      </c>
      <c r="D247" s="17" t="s">
        <v>87</v>
      </c>
      <c r="E247" s="18" t="n">
        <v>67660</v>
      </c>
      <c r="F247" s="17" t="s">
        <v>667</v>
      </c>
      <c r="G247" s="23" t="n">
        <v>0.421342004138339</v>
      </c>
      <c r="H247" s="19" t="n">
        <v>33.3</v>
      </c>
      <c r="I247" s="17" t="n">
        <f aca="false">IF(H247="","",RANK(H247,$H$5:$H$363))</f>
        <v>243</v>
      </c>
      <c r="J247" s="24" t="n">
        <v>0.0568572321149641</v>
      </c>
      <c r="K247" s="19" t="n">
        <v>31</v>
      </c>
      <c r="L247" s="17" t="n">
        <f aca="false">IF(K247="","",RANK(K247,$K$5:$K$363))</f>
        <v>248</v>
      </c>
      <c r="M247" s="25" t="n">
        <v>0.0909665192672142</v>
      </c>
      <c r="N247" s="19" t="n">
        <v>31.5</v>
      </c>
      <c r="O247" s="17" t="n">
        <f aca="false">IF(N247="","",RANK(N247,$N$5:$N$363))</f>
        <v>224</v>
      </c>
      <c r="P247" s="17" t="str">
        <f aca="false">IF(AND(N(H247)&gt;=N(K247),N(H247)&gt;=N(N247)),"The Pulse",IF(N(K247)&gt;=N(N247),"The Lens","The Hub"))</f>
        <v>The Pulse</v>
      </c>
      <c r="Q247" s="21" t="s">
        <v>78</v>
      </c>
      <c r="R247" s="26" t="s">
        <v>668</v>
      </c>
      <c r="S247" s="17" t="s">
        <v>21</v>
      </c>
    </row>
    <row r="248" customFormat="false" ht="15" hidden="false" customHeight="false" outlineLevel="0" collapsed="false">
      <c r="A248" s="17" t="s">
        <v>479</v>
      </c>
      <c r="B248" s="17" t="s">
        <v>480</v>
      </c>
      <c r="C248" s="17" t="s">
        <v>1166</v>
      </c>
      <c r="D248" s="17" t="s">
        <v>133</v>
      </c>
      <c r="E248" s="18" t="n">
        <v>1612</v>
      </c>
      <c r="F248" s="17" t="s">
        <v>678</v>
      </c>
      <c r="G248" s="23" t="n">
        <v>0.420595533498759</v>
      </c>
      <c r="H248" s="19" t="n">
        <v>33.1</v>
      </c>
      <c r="I248" s="17" t="n">
        <f aca="false">IF(H248="","",RANK(H248,$H$5:$H$363))</f>
        <v>244</v>
      </c>
      <c r="J248" s="24" t="n">
        <v>0.028717294192725</v>
      </c>
      <c r="K248" s="19" t="n">
        <v>18.5</v>
      </c>
      <c r="L248" s="17" t="n">
        <f aca="false">IF(K248="","",RANK(K248,$K$5:$K$363))</f>
        <v>293</v>
      </c>
      <c r="M248" s="25" t="n">
        <v>0.121212121212121</v>
      </c>
      <c r="N248" s="19" t="n">
        <v>43.5</v>
      </c>
      <c r="O248" s="17" t="n">
        <f aca="false">IF(N248="","",RANK(N248,$N$5:$N$363))</f>
        <v>184</v>
      </c>
      <c r="P248" s="17" t="str">
        <f aca="false">IF(AND(N(H248)&gt;=N(K248),N(H248)&gt;=N(N248)),"The Pulse",IF(N(K248)&gt;=N(N248),"The Lens","The Hub"))</f>
        <v>The Hub</v>
      </c>
      <c r="Q248" s="20" t="s">
        <v>74</v>
      </c>
      <c r="R248" s="27" t="s">
        <v>671</v>
      </c>
      <c r="S248" s="17" t="s">
        <v>19</v>
      </c>
    </row>
    <row r="249" customFormat="false" ht="15" hidden="false" customHeight="false" outlineLevel="0" collapsed="false">
      <c r="A249" s="17" t="s">
        <v>461</v>
      </c>
      <c r="B249" s="17" t="s">
        <v>462</v>
      </c>
      <c r="C249" s="17" t="s">
        <v>1167</v>
      </c>
      <c r="D249" s="17" t="s">
        <v>77</v>
      </c>
      <c r="E249" s="18" t="n">
        <v>22348</v>
      </c>
      <c r="F249" s="17" t="s">
        <v>667</v>
      </c>
      <c r="G249" s="23" t="n">
        <v>0.41887417218543</v>
      </c>
      <c r="H249" s="19" t="n">
        <v>32.9</v>
      </c>
      <c r="I249" s="17" t="n">
        <f aca="false">IF(H249="","",RANK(H249,$H$5:$H$363))</f>
        <v>245</v>
      </c>
      <c r="J249" s="24" t="n">
        <v>0.123692679002414</v>
      </c>
      <c r="K249" s="19" t="n">
        <v>63.5</v>
      </c>
      <c r="L249" s="17" t="n">
        <f aca="false">IF(K249="","",RANK(K249,$K$5:$K$363))</f>
        <v>133</v>
      </c>
      <c r="M249" s="25" t="n">
        <v>0.0712435233160622</v>
      </c>
      <c r="N249" s="19" t="n">
        <v>21.8</v>
      </c>
      <c r="O249" s="17" t="n">
        <f aca="false">IF(N249="","",RANK(N249,$N$5:$N$363))</f>
        <v>255</v>
      </c>
      <c r="P249" s="17" t="str">
        <f aca="false">IF(AND(N(H249)&gt;=N(K249),N(H249)&gt;=N(N249)),"The Pulse",IF(N(K249)&gt;=N(N249),"The Lens","The Hub"))</f>
        <v>The Lens</v>
      </c>
      <c r="Q249" s="20" t="s">
        <v>74</v>
      </c>
      <c r="R249" s="27" t="s">
        <v>671</v>
      </c>
      <c r="S249" s="17" t="s">
        <v>19</v>
      </c>
    </row>
    <row r="250" customFormat="false" ht="15" hidden="false" customHeight="false" outlineLevel="0" collapsed="false">
      <c r="A250" s="17" t="s">
        <v>483</v>
      </c>
      <c r="B250" s="17" t="s">
        <v>484</v>
      </c>
      <c r="C250" s="17" t="s">
        <v>1168</v>
      </c>
      <c r="D250" s="17" t="s">
        <v>138</v>
      </c>
      <c r="E250" s="18" t="n">
        <v>82977</v>
      </c>
      <c r="F250" s="17" t="s">
        <v>667</v>
      </c>
      <c r="G250" s="23" t="n">
        <v>0.418405100208492</v>
      </c>
      <c r="H250" s="19" t="n">
        <v>32.7</v>
      </c>
      <c r="I250" s="17" t="n">
        <f aca="false">IF(H250="","",RANK(H250,$H$5:$H$363))</f>
        <v>246</v>
      </c>
      <c r="J250" s="24" t="n">
        <v>0.0572338663438874</v>
      </c>
      <c r="K250" s="19" t="n">
        <v>31.3</v>
      </c>
      <c r="L250" s="17" t="n">
        <f aca="false">IF(K250="","",RANK(K250,$K$5:$K$363))</f>
        <v>246</v>
      </c>
      <c r="M250" s="25" t="n">
        <v>0.413359788359788</v>
      </c>
      <c r="N250" s="19" t="n">
        <v>98.9</v>
      </c>
      <c r="O250" s="17" t="n">
        <f aca="false">IF(N250="","",RANK(N250,$N$5:$N$363))</f>
        <v>5</v>
      </c>
      <c r="P250" s="17" t="str">
        <f aca="false">IF(AND(N(H250)&gt;=N(K250),N(H250)&gt;=N(N250)),"The Pulse",IF(N(K250)&gt;=N(N250),"The Lens","The Hub"))</f>
        <v>The Hub</v>
      </c>
      <c r="Q250" s="20" t="s">
        <v>74</v>
      </c>
      <c r="R250" s="27" t="s">
        <v>671</v>
      </c>
      <c r="S250" s="17" t="s">
        <v>19</v>
      </c>
    </row>
    <row r="251" customFormat="false" ht="15" hidden="false" customHeight="false" outlineLevel="0" collapsed="false">
      <c r="A251" s="17" t="s">
        <v>1169</v>
      </c>
      <c r="B251" s="17" t="s">
        <v>1170</v>
      </c>
      <c r="C251" s="17" t="s">
        <v>1171</v>
      </c>
      <c r="D251" s="17" t="s">
        <v>102</v>
      </c>
      <c r="E251" s="18" t="n">
        <v>344260</v>
      </c>
      <c r="F251" s="17" t="s">
        <v>670</v>
      </c>
      <c r="G251" s="23" t="n">
        <v>0.418372741532563</v>
      </c>
      <c r="H251" s="19" t="n">
        <v>32.5</v>
      </c>
      <c r="I251" s="17" t="n">
        <f aca="false">IF(H251="","",RANK(H251,$H$5:$H$363))</f>
        <v>247</v>
      </c>
      <c r="J251" s="24" t="n">
        <v>0.114182147711826</v>
      </c>
      <c r="K251" s="19" t="n">
        <v>64.5</v>
      </c>
      <c r="L251" s="17" t="n">
        <f aca="false">IF(K251="","",RANK(K251,$K$5:$K$363))</f>
        <v>130</v>
      </c>
      <c r="M251" s="25" t="n">
        <v>0.132793522267207</v>
      </c>
      <c r="N251" s="19" t="n">
        <v>49.4</v>
      </c>
      <c r="O251" s="17" t="n">
        <f aca="false">IF(N251="","",RANK(N251,$N$5:$N$363))</f>
        <v>163</v>
      </c>
      <c r="P251" s="17" t="str">
        <f aca="false">IF(AND(N(H251)&gt;=N(K251),N(H251)&gt;=N(N251)),"The Pulse",IF(N(K251)&gt;=N(N251),"The Lens","The Hub"))</f>
        <v>The Lens</v>
      </c>
      <c r="Q251" s="21" t="s">
        <v>78</v>
      </c>
      <c r="R251" s="26" t="s">
        <v>668</v>
      </c>
      <c r="S251" s="17" t="s">
        <v>21</v>
      </c>
    </row>
    <row r="252" customFormat="false" ht="15" hidden="false" customHeight="false" outlineLevel="0" collapsed="false">
      <c r="A252" s="17" t="s">
        <v>1172</v>
      </c>
      <c r="B252" s="17" t="s">
        <v>1173</v>
      </c>
      <c r="C252" s="17" t="s">
        <v>1174</v>
      </c>
      <c r="D252" s="17" t="s">
        <v>114</v>
      </c>
      <c r="E252" s="18" t="n">
        <v>283497</v>
      </c>
      <c r="F252" s="17" t="s">
        <v>670</v>
      </c>
      <c r="G252" s="23" t="n">
        <v>0.417637576411743</v>
      </c>
      <c r="H252" s="19" t="n">
        <v>32.1</v>
      </c>
      <c r="I252" s="17" t="n">
        <f aca="false">IF(H252="","",RANK(H252,$H$5:$H$363))</f>
        <v>248</v>
      </c>
      <c r="J252" s="24" t="n">
        <v>0.015375854214123</v>
      </c>
      <c r="K252" s="19" t="n">
        <v>18.1</v>
      </c>
      <c r="L252" s="17" t="n">
        <f aca="false">IF(K252="","",RANK(K252,$K$5:$K$363))</f>
        <v>294</v>
      </c>
      <c r="M252" s="25" t="n">
        <v>0.0216299190622384</v>
      </c>
      <c r="N252" s="19" t="n">
        <v>5</v>
      </c>
      <c r="O252" s="17" t="n">
        <f aca="false">IF(N252="","",RANK(N252,$N$5:$N$363))</f>
        <v>306</v>
      </c>
      <c r="P252" s="17" t="str">
        <f aca="false">IF(AND(N(H252)&gt;=N(K252),N(H252)&gt;=N(N252)),"The Pulse",IF(N(K252)&gt;=N(N252),"The Lens","The Hub"))</f>
        <v>The Pulse</v>
      </c>
      <c r="Q252" s="20" t="s">
        <v>74</v>
      </c>
      <c r="R252" s="26" t="s">
        <v>668</v>
      </c>
      <c r="S252" s="17" t="s">
        <v>19</v>
      </c>
    </row>
    <row r="253" customFormat="false" ht="15" hidden="false" customHeight="false" outlineLevel="0" collapsed="false">
      <c r="A253" s="17" t="s">
        <v>223</v>
      </c>
      <c r="B253" s="17" t="s">
        <v>224</v>
      </c>
      <c r="C253" s="17" t="s">
        <v>1175</v>
      </c>
      <c r="D253" s="17" t="s">
        <v>105</v>
      </c>
      <c r="E253" s="18" t="n">
        <v>201780</v>
      </c>
      <c r="F253" s="17" t="s">
        <v>670</v>
      </c>
      <c r="G253" s="23" t="n">
        <v>0.415477252453167</v>
      </c>
      <c r="H253" s="19" t="n">
        <v>31.6</v>
      </c>
      <c r="I253" s="17" t="n">
        <f aca="false">IF(H253="","",RANK(H253,$H$5:$H$363))</f>
        <v>249</v>
      </c>
      <c r="J253" s="24" t="n">
        <v>0.0957371707846864</v>
      </c>
      <c r="K253" s="19" t="n">
        <v>58.7</v>
      </c>
      <c r="L253" s="17" t="n">
        <f aca="false">IF(K253="","",RANK(K253,$K$5:$K$363))</f>
        <v>147</v>
      </c>
      <c r="M253" s="28" t="s">
        <v>680</v>
      </c>
      <c r="N253" s="19"/>
      <c r="O253" s="17" t="str">
        <f aca="false">IF(N253="","",RANK(N253,$N$5:$N$363))</f>
        <v/>
      </c>
      <c r="P253" s="17" t="str">
        <f aca="false">IF(AND(N(H253)&gt;=N(K253),N(H253)&gt;=N(N253)),"The Pulse",IF(N(K253)&gt;=N(N253),"The Lens","The Hub"))</f>
        <v>The Lens</v>
      </c>
      <c r="Q253" s="21" t="s">
        <v>78</v>
      </c>
      <c r="R253" s="27" t="s">
        <v>671</v>
      </c>
      <c r="S253" s="17" t="s">
        <v>21</v>
      </c>
    </row>
    <row r="254" customFormat="false" ht="15" hidden="false" customHeight="false" outlineLevel="0" collapsed="false">
      <c r="A254" s="17" t="s">
        <v>1176</v>
      </c>
      <c r="B254" s="17" t="s">
        <v>1177</v>
      </c>
      <c r="C254" s="17" t="s">
        <v>1178</v>
      </c>
      <c r="D254" s="17" t="s">
        <v>102</v>
      </c>
      <c r="E254" s="18" t="n">
        <v>18329</v>
      </c>
      <c r="F254" s="17" t="s">
        <v>667</v>
      </c>
      <c r="G254" s="23" t="n">
        <v>0.414479786131267</v>
      </c>
      <c r="H254" s="19" t="n">
        <v>31.4</v>
      </c>
      <c r="I254" s="17" t="n">
        <f aca="false">IF(H254="","",RANK(H254,$H$5:$H$363))</f>
        <v>250</v>
      </c>
      <c r="J254" s="24" t="n">
        <v>0.184656153050672</v>
      </c>
      <c r="K254" s="19" t="n">
        <v>88.1</v>
      </c>
      <c r="L254" s="17" t="n">
        <f aca="false">IF(K254="","",RANK(K254,$K$5:$K$363))</f>
        <v>47</v>
      </c>
      <c r="M254" s="25" t="n">
        <v>0.124832214765101</v>
      </c>
      <c r="N254" s="19" t="n">
        <v>45.6</v>
      </c>
      <c r="O254" s="17" t="n">
        <f aca="false">IF(N254="","",RANK(N254,$N$5:$N$363))</f>
        <v>177</v>
      </c>
      <c r="P254" s="17" t="str">
        <f aca="false">IF(AND(N(H254)&gt;=N(K254),N(H254)&gt;=N(N254)),"The Pulse",IF(N(K254)&gt;=N(N254),"The Lens","The Hub"))</f>
        <v>The Lens</v>
      </c>
      <c r="Q254" s="20" t="s">
        <v>74</v>
      </c>
      <c r="R254" s="26" t="s">
        <v>668</v>
      </c>
      <c r="S254" s="17" t="s">
        <v>19</v>
      </c>
    </row>
    <row r="255" customFormat="false" ht="15" hidden="false" customHeight="false" outlineLevel="0" collapsed="false">
      <c r="A255" s="17" t="s">
        <v>1179</v>
      </c>
      <c r="B255" s="17" t="s">
        <v>1180</v>
      </c>
      <c r="C255" s="17" t="s">
        <v>1181</v>
      </c>
      <c r="D255" s="17" t="s">
        <v>81</v>
      </c>
      <c r="E255" s="18" t="n">
        <v>133290</v>
      </c>
      <c r="F255" s="17" t="s">
        <v>670</v>
      </c>
      <c r="G255" s="23" t="n">
        <v>0.413046740190562</v>
      </c>
      <c r="H255" s="19" t="n">
        <v>31.2</v>
      </c>
      <c r="I255" s="17" t="n">
        <f aca="false">IF(H255="","",RANK(H255,$H$5:$H$363))</f>
        <v>251</v>
      </c>
      <c r="J255" s="24" t="n">
        <v>0.0113817436831323</v>
      </c>
      <c r="K255" s="19" t="n">
        <v>15.9</v>
      </c>
      <c r="L255" s="17" t="n">
        <f aca="false">IF(K255="","",RANK(K255,$K$5:$K$363))</f>
        <v>303</v>
      </c>
      <c r="M255" s="25" t="n">
        <v>0.109097127222982</v>
      </c>
      <c r="N255" s="19" t="n">
        <v>39.5</v>
      </c>
      <c r="O255" s="17" t="n">
        <f aca="false">IF(N255="","",RANK(N255,$N$5:$N$363))</f>
        <v>199</v>
      </c>
      <c r="P255" s="17" t="str">
        <f aca="false">IF(AND(N(H255)&gt;=N(K255),N(H255)&gt;=N(N255)),"The Pulse",IF(N(K255)&gt;=N(N255),"The Lens","The Hub"))</f>
        <v>The Hub</v>
      </c>
      <c r="Q255" s="21" t="s">
        <v>78</v>
      </c>
      <c r="R255" s="26" t="s">
        <v>668</v>
      </c>
      <c r="S255" s="17" t="s">
        <v>21</v>
      </c>
    </row>
    <row r="256" customFormat="false" ht="15" hidden="false" customHeight="false" outlineLevel="0" collapsed="false">
      <c r="A256" s="17" t="s">
        <v>1182</v>
      </c>
      <c r="B256" s="17" t="s">
        <v>1183</v>
      </c>
      <c r="C256" s="17" t="s">
        <v>1184</v>
      </c>
      <c r="D256" s="17" t="s">
        <v>87</v>
      </c>
      <c r="E256" s="18" t="n">
        <v>28938</v>
      </c>
      <c r="F256" s="17" t="s">
        <v>667</v>
      </c>
      <c r="G256" s="23" t="n">
        <v>0.411915128896261</v>
      </c>
      <c r="H256" s="19" t="n">
        <v>30.8</v>
      </c>
      <c r="I256" s="17" t="n">
        <f aca="false">IF(H256="","",RANK(H256,$H$5:$H$363))</f>
        <v>252</v>
      </c>
      <c r="J256" s="24" t="n">
        <v>0.10185431976545</v>
      </c>
      <c r="K256" s="19" t="n">
        <v>55.2</v>
      </c>
      <c r="L256" s="17" t="n">
        <f aca="false">IF(K256="","",RANK(K256,$K$5:$K$363))</f>
        <v>160</v>
      </c>
      <c r="M256" s="25" t="n">
        <v>0.172455089820359</v>
      </c>
      <c r="N256" s="19" t="n">
        <v>61.6</v>
      </c>
      <c r="O256" s="17" t="n">
        <f aca="false">IF(N256="","",RANK(N256,$N$5:$N$363))</f>
        <v>124</v>
      </c>
      <c r="P256" s="17" t="str">
        <f aca="false">IF(AND(N(H256)&gt;=N(K256),N(H256)&gt;=N(N256)),"The Pulse",IF(N(K256)&gt;=N(N256),"The Lens","The Hub"))</f>
        <v>The Hub</v>
      </c>
      <c r="Q256" s="20" t="s">
        <v>74</v>
      </c>
      <c r="R256" s="26" t="s">
        <v>668</v>
      </c>
      <c r="S256" s="17" t="s">
        <v>19</v>
      </c>
    </row>
    <row r="257" customFormat="false" ht="15" hidden="false" customHeight="false" outlineLevel="0" collapsed="false">
      <c r="A257" s="17" t="s">
        <v>419</v>
      </c>
      <c r="B257" s="17" t="s">
        <v>420</v>
      </c>
      <c r="C257" s="17" t="s">
        <v>1185</v>
      </c>
      <c r="D257" s="17" t="s">
        <v>87</v>
      </c>
      <c r="E257" s="18" t="n">
        <v>405048</v>
      </c>
      <c r="F257" s="17" t="s">
        <v>670</v>
      </c>
      <c r="G257" s="23" t="n">
        <v>0.410608125456736</v>
      </c>
      <c r="H257" s="19" t="n">
        <v>30.6</v>
      </c>
      <c r="I257" s="17" t="n">
        <f aca="false">IF(H257="","",RANK(H257,$H$5:$H$363))</f>
        <v>253</v>
      </c>
      <c r="J257" s="24" t="n">
        <v>0.0597358561651004</v>
      </c>
      <c r="K257" s="19" t="n">
        <v>39.9</v>
      </c>
      <c r="L257" s="17" t="n">
        <f aca="false">IF(K257="","",RANK(K257,$K$5:$K$363))</f>
        <v>217</v>
      </c>
      <c r="M257" s="25" t="n">
        <v>0.0805091016723398</v>
      </c>
      <c r="N257" s="19" t="n">
        <v>26.2</v>
      </c>
      <c r="O257" s="17" t="n">
        <f aca="false">IF(N257="","",RANK(N257,$N$5:$N$363))</f>
        <v>240</v>
      </c>
      <c r="P257" s="17" t="str">
        <f aca="false">IF(AND(N(H257)&gt;=N(K257),N(H257)&gt;=N(N257)),"The Pulse",IF(N(K257)&gt;=N(N257),"The Lens","The Hub"))</f>
        <v>The Lens</v>
      </c>
      <c r="Q257" s="20" t="s">
        <v>74</v>
      </c>
      <c r="R257" s="27" t="s">
        <v>671</v>
      </c>
      <c r="S257" s="17" t="s">
        <v>19</v>
      </c>
    </row>
    <row r="258" customFormat="false" ht="15" hidden="false" customHeight="false" outlineLevel="0" collapsed="false">
      <c r="A258" s="17" t="s">
        <v>1186</v>
      </c>
      <c r="B258" s="17" t="s">
        <v>1187</v>
      </c>
      <c r="C258" s="17" t="s">
        <v>1188</v>
      </c>
      <c r="D258" s="17" t="s">
        <v>77</v>
      </c>
      <c r="E258" s="18" t="n">
        <v>12635</v>
      </c>
      <c r="F258" s="17" t="s">
        <v>667</v>
      </c>
      <c r="G258" s="23" t="n">
        <v>0.408547685001979</v>
      </c>
      <c r="H258" s="19" t="n">
        <v>30.3</v>
      </c>
      <c r="I258" s="17" t="n">
        <f aca="false">IF(H258="","",RANK(H258,$H$5:$H$363))</f>
        <v>254</v>
      </c>
      <c r="J258" s="24" t="n">
        <v>0.0413271734565309</v>
      </c>
      <c r="K258" s="19" t="n">
        <v>24.2</v>
      </c>
      <c r="L258" s="17" t="n">
        <f aca="false">IF(K258="","",RANK(K258,$K$5:$K$363))</f>
        <v>271</v>
      </c>
      <c r="M258" s="25" t="n">
        <v>0.0697674418604651</v>
      </c>
      <c r="N258" s="19" t="n">
        <v>20.6</v>
      </c>
      <c r="O258" s="17" t="n">
        <f aca="false">IF(N258="","",RANK(N258,$N$5:$N$363))</f>
        <v>259</v>
      </c>
      <c r="P258" s="17" t="str">
        <f aca="false">IF(AND(N(H258)&gt;=N(K258),N(H258)&gt;=N(N258)),"The Pulse",IF(N(K258)&gt;=N(N258),"The Lens","The Hub"))</f>
        <v>The Pulse</v>
      </c>
      <c r="Q258" s="22" t="s">
        <v>83</v>
      </c>
      <c r="R258" s="26" t="s">
        <v>668</v>
      </c>
      <c r="S258" s="17" t="s">
        <v>204</v>
      </c>
    </row>
    <row r="259" customFormat="false" ht="15" hidden="false" customHeight="false" outlineLevel="0" collapsed="false">
      <c r="A259" s="17" t="s">
        <v>301</v>
      </c>
      <c r="B259" s="17" t="s">
        <v>302</v>
      </c>
      <c r="C259" s="17" t="s">
        <v>1189</v>
      </c>
      <c r="D259" s="17" t="s">
        <v>138</v>
      </c>
      <c r="E259" s="18" t="n">
        <v>621980</v>
      </c>
      <c r="F259" s="17" t="s">
        <v>670</v>
      </c>
      <c r="G259" s="23" t="n">
        <v>0.407029164924917</v>
      </c>
      <c r="H259" s="19" t="n">
        <v>30.1</v>
      </c>
      <c r="I259" s="17" t="n">
        <f aca="false">IF(H259="","",RANK(H259,$H$5:$H$363))</f>
        <v>255</v>
      </c>
      <c r="J259" s="24" t="n">
        <v>-0.118184138146142</v>
      </c>
      <c r="K259" s="19" t="n">
        <v>1.4</v>
      </c>
      <c r="L259" s="17" t="n">
        <f aca="false">IF(K259="","",RANK(K259,$K$5:$K$363))</f>
        <v>357</v>
      </c>
      <c r="M259" s="25" t="n">
        <v>0.294960982396709</v>
      </c>
      <c r="N259" s="19" t="n">
        <v>90.3</v>
      </c>
      <c r="O259" s="17" t="n">
        <f aca="false">IF(N259="","",RANK(N259,$N$5:$N$363))</f>
        <v>33</v>
      </c>
      <c r="P259" s="17" t="str">
        <f aca="false">IF(AND(N(H259)&gt;=N(K259),N(H259)&gt;=N(N259)),"The Pulse",IF(N(K259)&gt;=N(N259),"The Lens","The Hub"))</f>
        <v>The Hub</v>
      </c>
      <c r="Q259" s="21" t="s">
        <v>78</v>
      </c>
      <c r="R259" s="27" t="s">
        <v>671</v>
      </c>
      <c r="S259" s="17" t="s">
        <v>21</v>
      </c>
    </row>
    <row r="260" customFormat="false" ht="15" hidden="false" customHeight="false" outlineLevel="0" collapsed="false">
      <c r="A260" s="17" t="s">
        <v>1190</v>
      </c>
      <c r="B260" s="17" t="s">
        <v>1191</v>
      </c>
      <c r="C260" s="17" t="s">
        <v>1192</v>
      </c>
      <c r="D260" s="17" t="s">
        <v>105</v>
      </c>
      <c r="E260" s="18" t="n">
        <v>82400</v>
      </c>
      <c r="F260" s="17" t="s">
        <v>667</v>
      </c>
      <c r="G260" s="23" t="n">
        <v>0.406941747572816</v>
      </c>
      <c r="H260" s="19" t="n">
        <v>29.9</v>
      </c>
      <c r="I260" s="17" t="n">
        <f aca="false">IF(H260="","",RANK(H260,$H$5:$H$363))</f>
        <v>256</v>
      </c>
      <c r="J260" s="24" t="n">
        <v>0.157140851004073</v>
      </c>
      <c r="K260" s="19" t="n">
        <v>80.6</v>
      </c>
      <c r="L260" s="17" t="n">
        <f aca="false">IF(K260="","",RANK(K260,$K$5:$K$363))</f>
        <v>73</v>
      </c>
      <c r="M260" s="25" t="n">
        <v>0.052055827989438</v>
      </c>
      <c r="N260" s="19" t="n">
        <v>14.1</v>
      </c>
      <c r="O260" s="17" t="n">
        <f aca="false">IF(N260="","",RANK(N260,$N$5:$N$363))</f>
        <v>278</v>
      </c>
      <c r="P260" s="17" t="str">
        <f aca="false">IF(AND(N(H260)&gt;=N(K260),N(H260)&gt;=N(N260)),"The Pulse",IF(N(K260)&gt;=N(N260),"The Lens","The Hub"))</f>
        <v>The Lens</v>
      </c>
      <c r="Q260" s="21" t="s">
        <v>78</v>
      </c>
      <c r="R260" s="26" t="s">
        <v>668</v>
      </c>
      <c r="S260" s="17" t="s">
        <v>21</v>
      </c>
    </row>
    <row r="261" customFormat="false" ht="15" hidden="false" customHeight="false" outlineLevel="0" collapsed="false">
      <c r="A261" s="17" t="s">
        <v>265</v>
      </c>
      <c r="B261" s="17" t="s">
        <v>266</v>
      </c>
      <c r="C261" s="17" t="s">
        <v>1193</v>
      </c>
      <c r="D261" s="17" t="s">
        <v>138</v>
      </c>
      <c r="E261" s="18" t="n">
        <v>24216</v>
      </c>
      <c r="F261" s="17" t="s">
        <v>667</v>
      </c>
      <c r="G261" s="23" t="n">
        <v>0.401635282457879</v>
      </c>
      <c r="H261" s="19" t="n">
        <v>29.5</v>
      </c>
      <c r="I261" s="17" t="n">
        <f aca="false">IF(H261="","",RANK(H261,$H$5:$H$363))</f>
        <v>257</v>
      </c>
      <c r="J261" s="24" t="n">
        <v>0.138611999247696</v>
      </c>
      <c r="K261" s="19" t="n">
        <v>73</v>
      </c>
      <c r="L261" s="17" t="n">
        <f aca="false">IF(K261="","",RANK(K261,$K$5:$K$363))</f>
        <v>102</v>
      </c>
      <c r="M261" s="25" t="n">
        <v>0.107266435986159</v>
      </c>
      <c r="N261" s="19" t="n">
        <v>38.7</v>
      </c>
      <c r="O261" s="17" t="n">
        <f aca="false">IF(N261="","",RANK(N261,$N$5:$N$363))</f>
        <v>202</v>
      </c>
      <c r="P261" s="17" t="str">
        <f aca="false">IF(AND(N(H261)&gt;=N(K261),N(H261)&gt;=N(N261)),"The Pulse",IF(N(K261)&gt;=N(N261),"The Lens","The Hub"))</f>
        <v>The Lens</v>
      </c>
      <c r="Q261" s="20" t="s">
        <v>74</v>
      </c>
      <c r="R261" s="27" t="s">
        <v>671</v>
      </c>
      <c r="S261" s="17" t="s">
        <v>19</v>
      </c>
    </row>
    <row r="262" customFormat="false" ht="15" hidden="false" customHeight="false" outlineLevel="0" collapsed="false">
      <c r="A262" s="17" t="s">
        <v>411</v>
      </c>
      <c r="B262" s="17" t="s">
        <v>412</v>
      </c>
      <c r="C262" s="17" t="s">
        <v>1194</v>
      </c>
      <c r="D262" s="17" t="s">
        <v>81</v>
      </c>
      <c r="E262" s="18" t="n">
        <v>67220</v>
      </c>
      <c r="F262" s="17" t="s">
        <v>667</v>
      </c>
      <c r="G262" s="23" t="n">
        <v>0.396637905385302</v>
      </c>
      <c r="H262" s="19" t="n">
        <v>29.1</v>
      </c>
      <c r="I262" s="17" t="n">
        <f aca="false">IF(H262="","",RANK(H262,$H$5:$H$363))</f>
        <v>258</v>
      </c>
      <c r="J262" s="24" t="n">
        <v>-0.0297344110854504</v>
      </c>
      <c r="K262" s="19" t="n">
        <v>6.3</v>
      </c>
      <c r="L262" s="17" t="n">
        <f aca="false">IF(K262="","",RANK(K262,$K$5:$K$363))</f>
        <v>338</v>
      </c>
      <c r="M262" s="25" t="n">
        <v>0.179591836734694</v>
      </c>
      <c r="N262" s="19" t="n">
        <v>64.1</v>
      </c>
      <c r="O262" s="17" t="n">
        <f aca="false">IF(N262="","",RANK(N262,$N$5:$N$363))</f>
        <v>116</v>
      </c>
      <c r="P262" s="17" t="str">
        <f aca="false">IF(AND(N(H262)&gt;=N(K262),N(H262)&gt;=N(N262)),"The Pulse",IF(N(K262)&gt;=N(N262),"The Lens","The Hub"))</f>
        <v>The Hub</v>
      </c>
      <c r="Q262" s="21" t="s">
        <v>78</v>
      </c>
      <c r="R262" s="27" t="s">
        <v>671</v>
      </c>
      <c r="S262" s="17" t="s">
        <v>21</v>
      </c>
    </row>
    <row r="263" customFormat="false" ht="15" hidden="false" customHeight="false" outlineLevel="0" collapsed="false">
      <c r="A263" s="17" t="s">
        <v>591</v>
      </c>
      <c r="B263" s="17" t="s">
        <v>592</v>
      </c>
      <c r="C263" s="17" t="s">
        <v>1195</v>
      </c>
      <c r="D263" s="17" t="s">
        <v>105</v>
      </c>
      <c r="E263" s="18" t="n">
        <v>345610</v>
      </c>
      <c r="F263" s="17" t="s">
        <v>670</v>
      </c>
      <c r="G263" s="23" t="n">
        <v>0.395182431063916</v>
      </c>
      <c r="H263" s="19" t="n">
        <v>28.8</v>
      </c>
      <c r="I263" s="17" t="n">
        <f aca="false">IF(H263="","",RANK(H263,$H$5:$H$363))</f>
        <v>259</v>
      </c>
      <c r="J263" s="24" t="n">
        <v>0.146579437143985</v>
      </c>
      <c r="K263" s="19" t="n">
        <v>77.5</v>
      </c>
      <c r="L263" s="17" t="n">
        <f aca="false">IF(K263="","",RANK(K263,$K$5:$K$363))</f>
        <v>84</v>
      </c>
      <c r="M263" s="25" t="n">
        <v>0.401418115279049</v>
      </c>
      <c r="N263" s="19" t="n">
        <v>98.6</v>
      </c>
      <c r="O263" s="17" t="n">
        <f aca="false">IF(N263="","",RANK(N263,$N$5:$N$363))</f>
        <v>6</v>
      </c>
      <c r="P263" s="17" t="str">
        <f aca="false">IF(AND(N(H263)&gt;=N(K263),N(H263)&gt;=N(N263)),"The Pulse",IF(N(K263)&gt;=N(N263),"The Lens","The Hub"))</f>
        <v>The Hub</v>
      </c>
      <c r="Q263" s="20" t="s">
        <v>74</v>
      </c>
      <c r="R263" s="27" t="s">
        <v>671</v>
      </c>
      <c r="S263" s="17" t="s">
        <v>19</v>
      </c>
    </row>
    <row r="264" customFormat="false" ht="15" hidden="false" customHeight="false" outlineLevel="0" collapsed="false">
      <c r="A264" s="17" t="s">
        <v>1196</v>
      </c>
      <c r="B264" s="17" t="s">
        <v>1197</v>
      </c>
      <c r="C264" s="17" t="s">
        <v>1198</v>
      </c>
      <c r="D264" s="17" t="s">
        <v>102</v>
      </c>
      <c r="E264" s="18" t="n">
        <v>96890</v>
      </c>
      <c r="F264" s="17" t="s">
        <v>667</v>
      </c>
      <c r="G264" s="23" t="n">
        <v>0.391268448756322</v>
      </c>
      <c r="H264" s="19" t="n">
        <v>28.6</v>
      </c>
      <c r="I264" s="17" t="n">
        <f aca="false">IF(H264="","",RANK(H264,$H$5:$H$363))</f>
        <v>260</v>
      </c>
      <c r="J264" s="24" t="n">
        <v>0.171442389070245</v>
      </c>
      <c r="K264" s="19" t="n">
        <v>85.3</v>
      </c>
      <c r="L264" s="17" t="n">
        <f aca="false">IF(K264="","",RANK(K264,$K$5:$K$363))</f>
        <v>57</v>
      </c>
      <c r="M264" s="25" t="n">
        <v>0.0933293448997906</v>
      </c>
      <c r="N264" s="19" t="n">
        <v>32.3</v>
      </c>
      <c r="O264" s="17" t="n">
        <f aca="false">IF(N264="","",RANK(N264,$N$5:$N$363))</f>
        <v>221</v>
      </c>
      <c r="P264" s="17" t="str">
        <f aca="false">IF(AND(N(H264)&gt;=N(K264),N(H264)&gt;=N(N264)),"The Pulse",IF(N(K264)&gt;=N(N264),"The Lens","The Hub"))</f>
        <v>The Lens</v>
      </c>
      <c r="Q264" s="21" t="s">
        <v>78</v>
      </c>
      <c r="R264" s="26" t="s">
        <v>668</v>
      </c>
      <c r="S264" s="17" t="s">
        <v>21</v>
      </c>
    </row>
    <row r="265" customFormat="false" ht="15" hidden="false" customHeight="false" outlineLevel="0" collapsed="false">
      <c r="A265" s="17" t="s">
        <v>1199</v>
      </c>
      <c r="B265" s="17" t="s">
        <v>1200</v>
      </c>
      <c r="C265" s="17" t="s">
        <v>1201</v>
      </c>
      <c r="D265" s="17" t="s">
        <v>81</v>
      </c>
      <c r="E265" s="18" t="n">
        <v>5774</v>
      </c>
      <c r="F265" s="17" t="s">
        <v>678</v>
      </c>
      <c r="G265" s="23" t="n">
        <v>0.390197436785591</v>
      </c>
      <c r="H265" s="19" t="n">
        <v>28.4</v>
      </c>
      <c r="I265" s="17" t="n">
        <f aca="false">IF(H265="","",RANK(H265,$H$5:$H$363))</f>
        <v>261</v>
      </c>
      <c r="J265" s="24" t="n">
        <v>0.0782446311858077</v>
      </c>
      <c r="K265" s="19" t="n">
        <v>48.1</v>
      </c>
      <c r="L265" s="17" t="n">
        <f aca="false">IF(K265="","",RANK(K265,$K$5:$K$363))</f>
        <v>184</v>
      </c>
      <c r="M265" s="28" t="s">
        <v>680</v>
      </c>
      <c r="N265" s="19"/>
      <c r="O265" s="17" t="str">
        <f aca="false">IF(N265="","",RANK(N265,$N$5:$N$363))</f>
        <v/>
      </c>
      <c r="P265" s="17" t="str">
        <f aca="false">IF(AND(N(H265)&gt;=N(K265),N(H265)&gt;=N(N265)),"The Pulse",IF(N(K265)&gt;=N(N265),"The Lens","The Hub"))</f>
        <v>The Lens</v>
      </c>
      <c r="Q265" s="20" t="s">
        <v>74</v>
      </c>
      <c r="R265" s="26" t="s">
        <v>668</v>
      </c>
      <c r="S265" s="17" t="s">
        <v>19</v>
      </c>
    </row>
    <row r="266" customFormat="false" ht="15" hidden="false" customHeight="false" outlineLevel="0" collapsed="false">
      <c r="A266" s="17" t="s">
        <v>1202</v>
      </c>
      <c r="B266" s="17" t="s">
        <v>1203</v>
      </c>
      <c r="C266" s="17" t="s">
        <v>1204</v>
      </c>
      <c r="D266" s="17" t="s">
        <v>81</v>
      </c>
      <c r="E266" s="18" t="n">
        <v>4673</v>
      </c>
      <c r="F266" s="17" t="s">
        <v>678</v>
      </c>
      <c r="G266" s="23" t="n">
        <v>0.389043441044297</v>
      </c>
      <c r="H266" s="19" t="n">
        <v>28.2</v>
      </c>
      <c r="I266" s="17" t="n">
        <f aca="false">IF(H266="","",RANK(H266,$H$5:$H$363))</f>
        <v>262</v>
      </c>
      <c r="J266" s="24" t="n">
        <v>0.0243314335817624</v>
      </c>
      <c r="K266" s="19" t="n">
        <v>16.7</v>
      </c>
      <c r="L266" s="17" t="n">
        <f aca="false">IF(K266="","",RANK(K266,$K$5:$K$363))</f>
        <v>299</v>
      </c>
      <c r="M266" s="25" t="n">
        <v>0.145454545454545</v>
      </c>
      <c r="N266" s="19" t="n">
        <v>53.9</v>
      </c>
      <c r="O266" s="17" t="n">
        <f aca="false">IF(N266="","",RANK(N266,$N$5:$N$363))</f>
        <v>148</v>
      </c>
      <c r="P266" s="17" t="str">
        <f aca="false">IF(AND(N(H266)&gt;=N(K266),N(H266)&gt;=N(N266)),"The Pulse",IF(N(K266)&gt;=N(N266),"The Lens","The Hub"))</f>
        <v>The Hub</v>
      </c>
      <c r="Q266" s="20" t="s">
        <v>74</v>
      </c>
      <c r="R266" s="26" t="s">
        <v>668</v>
      </c>
      <c r="S266" s="17" t="s">
        <v>19</v>
      </c>
    </row>
    <row r="267" customFormat="false" ht="15" hidden="false" customHeight="false" outlineLevel="0" collapsed="false">
      <c r="A267" s="17" t="s">
        <v>1205</v>
      </c>
      <c r="B267" s="17" t="s">
        <v>1206</v>
      </c>
      <c r="C267" s="17" t="s">
        <v>1207</v>
      </c>
      <c r="D267" s="17" t="s">
        <v>72</v>
      </c>
      <c r="E267" s="18" t="n">
        <v>127230</v>
      </c>
      <c r="F267" s="17" t="s">
        <v>670</v>
      </c>
      <c r="G267" s="23" t="n">
        <v>0.387015640965181</v>
      </c>
      <c r="H267" s="19" t="n">
        <v>28</v>
      </c>
      <c r="I267" s="17" t="n">
        <f aca="false">IF(H267="","",RANK(H267,$H$5:$H$363))</f>
        <v>263</v>
      </c>
      <c r="J267" s="24" t="n">
        <v>-0.0600620567375887</v>
      </c>
      <c r="K267" s="19" t="n">
        <v>5.1</v>
      </c>
      <c r="L267" s="17" t="n">
        <f aca="false">IF(K267="","",RANK(K267,$K$5:$K$363))</f>
        <v>344</v>
      </c>
      <c r="M267" s="25" t="n">
        <v>0.140177690029615</v>
      </c>
      <c r="N267" s="19" t="n">
        <v>52.2</v>
      </c>
      <c r="O267" s="17" t="n">
        <f aca="false">IF(N267="","",RANK(N267,$N$5:$N$363))</f>
        <v>154</v>
      </c>
      <c r="P267" s="17" t="str">
        <f aca="false">IF(AND(N(H267)&gt;=N(K267),N(H267)&gt;=N(N267)),"The Pulse",IF(N(K267)&gt;=N(N267),"The Lens","The Hub"))</f>
        <v>The Hub</v>
      </c>
      <c r="Q267" s="21" t="s">
        <v>78</v>
      </c>
      <c r="R267" s="26" t="s">
        <v>668</v>
      </c>
      <c r="S267" s="17" t="s">
        <v>21</v>
      </c>
    </row>
    <row r="268" customFormat="false" ht="15" hidden="false" customHeight="false" outlineLevel="0" collapsed="false">
      <c r="A268" s="17" t="s">
        <v>435</v>
      </c>
      <c r="B268" s="17" t="s">
        <v>436</v>
      </c>
      <c r="C268" s="17" t="s">
        <v>1208</v>
      </c>
      <c r="D268" s="17" t="s">
        <v>92</v>
      </c>
      <c r="E268" s="18" t="n">
        <v>1355837</v>
      </c>
      <c r="F268" s="17" t="s">
        <v>752</v>
      </c>
      <c r="G268" s="23" t="n">
        <v>0.377566772407008</v>
      </c>
      <c r="H268" s="19" t="n">
        <v>27.6</v>
      </c>
      <c r="I268" s="17" t="n">
        <f aca="false">IF(H268="","",RANK(H268,$H$5:$H$363))</f>
        <v>264</v>
      </c>
      <c r="J268" s="24" t="n">
        <v>0.118296323117618</v>
      </c>
      <c r="K268" s="19" t="n">
        <v>56.2</v>
      </c>
      <c r="L268" s="17" t="n">
        <f aca="false">IF(K268="","",RANK(K268,$K$5:$K$363))</f>
        <v>156</v>
      </c>
      <c r="M268" s="25" t="n">
        <v>0.122171618593219</v>
      </c>
      <c r="N268" s="19" t="n">
        <v>44.2</v>
      </c>
      <c r="O268" s="17" t="n">
        <f aca="false">IF(N268="","",RANK(N268,$N$5:$N$363))</f>
        <v>182</v>
      </c>
      <c r="P268" s="17" t="str">
        <f aca="false">IF(AND(N(H268)&gt;=N(K268),N(H268)&gt;=N(N268)),"The Pulse",IF(N(K268)&gt;=N(N268),"The Lens","The Hub"))</f>
        <v>The Lens</v>
      </c>
      <c r="Q268" s="20" t="s">
        <v>74</v>
      </c>
      <c r="R268" s="27" t="s">
        <v>671</v>
      </c>
      <c r="S268" s="17" t="s">
        <v>19</v>
      </c>
    </row>
    <row r="269" customFormat="false" ht="15" hidden="false" customHeight="false" outlineLevel="0" collapsed="false">
      <c r="A269" s="17" t="s">
        <v>489</v>
      </c>
      <c r="B269" s="17" t="s">
        <v>490</v>
      </c>
      <c r="C269" s="17" t="s">
        <v>1209</v>
      </c>
      <c r="D269" s="17" t="s">
        <v>138</v>
      </c>
      <c r="E269" s="18" t="n">
        <v>23077</v>
      </c>
      <c r="F269" s="17" t="s">
        <v>667</v>
      </c>
      <c r="G269" s="23" t="n">
        <v>0.376565411448629</v>
      </c>
      <c r="H269" s="19" t="n">
        <v>27.4</v>
      </c>
      <c r="I269" s="17" t="n">
        <f aca="false">IF(H269="","",RANK(H269,$H$5:$H$363))</f>
        <v>265</v>
      </c>
      <c r="J269" s="24" t="n">
        <v>-0.0106323687031083</v>
      </c>
      <c r="K269" s="19" t="n">
        <v>7.5</v>
      </c>
      <c r="L269" s="17" t="n">
        <f aca="false">IF(K269="","",RANK(K269,$K$5:$K$363))</f>
        <v>332</v>
      </c>
      <c r="M269" s="25" t="n">
        <v>0.0934579439252336</v>
      </c>
      <c r="N269" s="19" t="n">
        <v>32.9</v>
      </c>
      <c r="O269" s="17" t="n">
        <f aca="false">IF(N269="","",RANK(N269,$N$5:$N$363))</f>
        <v>219</v>
      </c>
      <c r="P269" s="17" t="str">
        <f aca="false">IF(AND(N(H269)&gt;=N(K269),N(H269)&gt;=N(N269)),"The Pulse",IF(N(K269)&gt;=N(N269),"The Lens","The Hub"))</f>
        <v>The Hub</v>
      </c>
      <c r="Q269" s="20" t="s">
        <v>74</v>
      </c>
      <c r="R269" s="27" t="s">
        <v>671</v>
      </c>
      <c r="S269" s="17" t="s">
        <v>19</v>
      </c>
    </row>
    <row r="270" customFormat="false" ht="15" hidden="false" customHeight="false" outlineLevel="0" collapsed="false">
      <c r="A270" s="17" t="s">
        <v>571</v>
      </c>
      <c r="B270" s="17" t="s">
        <v>572</v>
      </c>
      <c r="C270" s="17" t="s">
        <v>1210</v>
      </c>
      <c r="D270" s="17" t="s">
        <v>72</v>
      </c>
      <c r="E270" s="18" t="n">
        <v>96734</v>
      </c>
      <c r="F270" s="17" t="s">
        <v>667</v>
      </c>
      <c r="G270" s="23" t="n">
        <v>0.375876113879298</v>
      </c>
      <c r="H270" s="19" t="n">
        <v>27.1</v>
      </c>
      <c r="I270" s="17" t="n">
        <f aca="false">IF(H270="","",RANK(H270,$H$5:$H$363))</f>
        <v>266</v>
      </c>
      <c r="J270" s="24" t="n">
        <v>0.121267618694362</v>
      </c>
      <c r="K270" s="19" t="n">
        <v>61.5</v>
      </c>
      <c r="L270" s="17" t="n">
        <f aca="false">IF(K270="","",RANK(K270,$K$5:$K$363))</f>
        <v>140</v>
      </c>
      <c r="M270" s="25" t="n">
        <v>0.0684410646387833</v>
      </c>
      <c r="N270" s="19" t="n">
        <v>19.9</v>
      </c>
      <c r="O270" s="17" t="n">
        <f aca="false">IF(N270="","",RANK(N270,$N$5:$N$363))</f>
        <v>260</v>
      </c>
      <c r="P270" s="17" t="str">
        <f aca="false">IF(AND(N(H270)&gt;=N(K270),N(H270)&gt;=N(N270)),"The Pulse",IF(N(K270)&gt;=N(N270),"The Lens","The Hub"))</f>
        <v>The Lens</v>
      </c>
      <c r="Q270" s="20" t="s">
        <v>74</v>
      </c>
      <c r="R270" s="27" t="s">
        <v>671</v>
      </c>
      <c r="S270" s="17" t="s">
        <v>19</v>
      </c>
    </row>
    <row r="271" customFormat="false" ht="15" hidden="false" customHeight="false" outlineLevel="0" collapsed="false">
      <c r="A271" s="17" t="s">
        <v>303</v>
      </c>
      <c r="B271" s="17" t="s">
        <v>304</v>
      </c>
      <c r="C271" s="17" t="s">
        <v>1211</v>
      </c>
      <c r="D271" s="17" t="s">
        <v>77</v>
      </c>
      <c r="E271" s="18" t="n">
        <v>74320</v>
      </c>
      <c r="F271" s="17" t="s">
        <v>667</v>
      </c>
      <c r="G271" s="23" t="n">
        <v>0.371811087190528</v>
      </c>
      <c r="H271" s="19" t="n">
        <v>26.9</v>
      </c>
      <c r="I271" s="17" t="n">
        <f aca="false">IF(H271="","",RANK(H271,$H$5:$H$363))</f>
        <v>267</v>
      </c>
      <c r="J271" s="24" t="n">
        <v>0.153141970519783</v>
      </c>
      <c r="K271" s="19" t="n">
        <v>78.2</v>
      </c>
      <c r="L271" s="17" t="n">
        <f aca="false">IF(K271="","",RANK(K271,$K$5:$K$363))</f>
        <v>81</v>
      </c>
      <c r="M271" s="28" t="s">
        <v>680</v>
      </c>
      <c r="N271" s="19"/>
      <c r="O271" s="17" t="str">
        <f aca="false">IF(N271="","",RANK(N271,$N$5:$N$363))</f>
        <v/>
      </c>
      <c r="P271" s="17" t="str">
        <f aca="false">IF(AND(N(H271)&gt;=N(K271),N(H271)&gt;=N(N271)),"The Pulse",IF(N(K271)&gt;=N(N271),"The Lens","The Hub"))</f>
        <v>The Lens</v>
      </c>
      <c r="Q271" s="21" t="s">
        <v>78</v>
      </c>
      <c r="R271" s="27" t="s">
        <v>671</v>
      </c>
      <c r="S271" s="17" t="s">
        <v>21</v>
      </c>
    </row>
    <row r="272" customFormat="false" ht="15" hidden="false" customHeight="false" outlineLevel="0" collapsed="false">
      <c r="A272" s="17" t="s">
        <v>359</v>
      </c>
      <c r="B272" s="17" t="s">
        <v>360</v>
      </c>
      <c r="C272" s="17" t="s">
        <v>1212</v>
      </c>
      <c r="D272" s="17" t="s">
        <v>114</v>
      </c>
      <c r="E272" s="18" t="n">
        <v>22560</v>
      </c>
      <c r="F272" s="17" t="s">
        <v>667</v>
      </c>
      <c r="G272" s="23" t="n">
        <v>0.369015957446809</v>
      </c>
      <c r="H272" s="19" t="n">
        <v>26.7</v>
      </c>
      <c r="I272" s="17" t="n">
        <f aca="false">IF(H272="","",RANK(H272,$H$5:$H$363))</f>
        <v>268</v>
      </c>
      <c r="J272" s="24" t="n">
        <v>0.0779301447751923</v>
      </c>
      <c r="K272" s="19" t="n">
        <v>44.4</v>
      </c>
      <c r="L272" s="17" t="n">
        <f aca="false">IF(K272="","",RANK(K272,$K$5:$K$363))</f>
        <v>198</v>
      </c>
      <c r="M272" s="25" t="n">
        <v>0.032</v>
      </c>
      <c r="N272" s="19" t="n">
        <v>6.1</v>
      </c>
      <c r="O272" s="17" t="n">
        <f aca="false">IF(N272="","",RANK(N272,$N$5:$N$363))</f>
        <v>302</v>
      </c>
      <c r="P272" s="17" t="str">
        <f aca="false">IF(AND(N(H272)&gt;=N(K272),N(H272)&gt;=N(N272)),"The Pulse",IF(N(K272)&gt;=N(N272),"The Lens","The Hub"))</f>
        <v>The Lens</v>
      </c>
      <c r="Q272" s="20" t="s">
        <v>74</v>
      </c>
      <c r="R272" s="27" t="s">
        <v>671</v>
      </c>
      <c r="S272" s="17" t="s">
        <v>19</v>
      </c>
    </row>
    <row r="273" customFormat="false" ht="15" hidden="false" customHeight="false" outlineLevel="0" collapsed="false">
      <c r="A273" s="17" t="s">
        <v>357</v>
      </c>
      <c r="B273" s="17" t="s">
        <v>358</v>
      </c>
      <c r="C273" s="17" t="s">
        <v>1213</v>
      </c>
      <c r="D273" s="17" t="s">
        <v>72</v>
      </c>
      <c r="E273" s="18" t="n">
        <v>92980</v>
      </c>
      <c r="F273" s="17" t="s">
        <v>667</v>
      </c>
      <c r="G273" s="23" t="n">
        <v>0.367562916756292</v>
      </c>
      <c r="H273" s="19" t="n">
        <v>26.5</v>
      </c>
      <c r="I273" s="17" t="n">
        <f aca="false">IF(H273="","",RANK(H273,$H$5:$H$363))</f>
        <v>269</v>
      </c>
      <c r="J273" s="24" t="n">
        <v>0.0454238812682708</v>
      </c>
      <c r="K273" s="19" t="n">
        <v>26.6</v>
      </c>
      <c r="L273" s="17" t="n">
        <f aca="false">IF(K273="","",RANK(K273,$K$5:$K$363))</f>
        <v>263</v>
      </c>
      <c r="M273" s="25" t="n">
        <v>0.474891506509609</v>
      </c>
      <c r="N273" s="19" t="n">
        <v>100</v>
      </c>
      <c r="O273" s="17" t="n">
        <f aca="false">IF(N273="","",RANK(N273,$N$5:$N$363))</f>
        <v>1</v>
      </c>
      <c r="P273" s="17" t="str">
        <f aca="false">IF(AND(N(H273)&gt;=N(K273),N(H273)&gt;=N(N273)),"The Pulse",IF(N(K273)&gt;=N(N273),"The Lens","The Hub"))</f>
        <v>The Hub</v>
      </c>
      <c r="Q273" s="21" t="s">
        <v>78</v>
      </c>
      <c r="R273" s="27" t="s">
        <v>671</v>
      </c>
      <c r="S273" s="17" t="s">
        <v>21</v>
      </c>
    </row>
    <row r="274" customFormat="false" ht="15" hidden="false" customHeight="false" outlineLevel="0" collapsed="false">
      <c r="A274" s="17" t="s">
        <v>547</v>
      </c>
      <c r="B274" s="17" t="s">
        <v>548</v>
      </c>
      <c r="C274" s="17" t="s">
        <v>1214</v>
      </c>
      <c r="D274" s="17" t="s">
        <v>102</v>
      </c>
      <c r="E274" s="18" t="n">
        <v>32770</v>
      </c>
      <c r="F274" s="17" t="s">
        <v>667</v>
      </c>
      <c r="G274" s="23" t="n">
        <v>0.364144034177601</v>
      </c>
      <c r="H274" s="19" t="n">
        <v>26.3</v>
      </c>
      <c r="I274" s="17" t="n">
        <f aca="false">IF(H274="","",RANK(H274,$H$5:$H$363))</f>
        <v>270</v>
      </c>
      <c r="J274" s="24" t="n">
        <v>0.0923333333333333</v>
      </c>
      <c r="K274" s="19" t="n">
        <v>52.4</v>
      </c>
      <c r="L274" s="17" t="n">
        <f aca="false">IF(K274="","",RANK(K274,$K$5:$K$363))</f>
        <v>168</v>
      </c>
      <c r="M274" s="25" t="n">
        <v>0.151428571428571</v>
      </c>
      <c r="N274" s="19" t="n">
        <v>55.5</v>
      </c>
      <c r="O274" s="17" t="n">
        <f aca="false">IF(N274="","",RANK(N274,$N$5:$N$363))</f>
        <v>143</v>
      </c>
      <c r="P274" s="17" t="str">
        <f aca="false">IF(AND(N(H274)&gt;=N(K274),N(H274)&gt;=N(N274)),"The Pulse",IF(N(K274)&gt;=N(N274),"The Lens","The Hub"))</f>
        <v>The Hub</v>
      </c>
      <c r="Q274" s="21" t="s">
        <v>78</v>
      </c>
      <c r="R274" s="27" t="s">
        <v>671</v>
      </c>
      <c r="S274" s="17" t="s">
        <v>21</v>
      </c>
    </row>
    <row r="275" customFormat="false" ht="15" hidden="false" customHeight="false" outlineLevel="0" collapsed="false">
      <c r="A275" s="17" t="s">
        <v>257</v>
      </c>
      <c r="B275" s="17" t="s">
        <v>258</v>
      </c>
      <c r="C275" s="17" t="s">
        <v>1215</v>
      </c>
      <c r="D275" s="17" t="s">
        <v>72</v>
      </c>
      <c r="E275" s="18" t="n">
        <v>10734</v>
      </c>
      <c r="F275" s="17" t="s">
        <v>667</v>
      </c>
      <c r="G275" s="23" t="n">
        <v>0.359604993478666</v>
      </c>
      <c r="H275" s="19" t="n">
        <v>25.6</v>
      </c>
      <c r="I275" s="17" t="n">
        <f aca="false">IF(H275="","",RANK(H275,$H$5:$H$363))</f>
        <v>271</v>
      </c>
      <c r="J275" s="24" t="n">
        <v>0.213292641573415</v>
      </c>
      <c r="K275" s="19" t="n">
        <v>94.4</v>
      </c>
      <c r="L275" s="17" t="n">
        <f aca="false">IF(K275="","",RANK(K275,$K$5:$K$363))</f>
        <v>21</v>
      </c>
      <c r="M275" s="25" t="n">
        <v>0.351648351648352</v>
      </c>
      <c r="N275" s="19" t="n">
        <v>96.1</v>
      </c>
      <c r="O275" s="17" t="n">
        <f aca="false">IF(N275="","",RANK(N275,$N$5:$N$363))</f>
        <v>14</v>
      </c>
      <c r="P275" s="17" t="str">
        <f aca="false">IF(AND(N(H275)&gt;=N(K275),N(H275)&gt;=N(N275)),"The Pulse",IF(N(K275)&gt;=N(N275),"The Lens","The Hub"))</f>
        <v>The Hub</v>
      </c>
      <c r="Q275" s="20" t="s">
        <v>74</v>
      </c>
      <c r="R275" s="27" t="s">
        <v>671</v>
      </c>
      <c r="S275" s="17" t="s">
        <v>19</v>
      </c>
    </row>
    <row r="276" customFormat="false" ht="15" hidden="false" customHeight="false" outlineLevel="0" collapsed="false">
      <c r="A276" s="17" t="s">
        <v>1216</v>
      </c>
      <c r="B276" s="17" t="s">
        <v>1217</v>
      </c>
      <c r="C276" s="17" t="s">
        <v>1218</v>
      </c>
      <c r="D276" s="17" t="s">
        <v>77</v>
      </c>
      <c r="E276" s="18" t="n">
        <v>26340</v>
      </c>
      <c r="F276" s="17" t="s">
        <v>667</v>
      </c>
      <c r="G276" s="23" t="n">
        <v>0.358731966590737</v>
      </c>
      <c r="H276" s="19" t="n">
        <v>25.4</v>
      </c>
      <c r="I276" s="17" t="n">
        <f aca="false">IF(H276="","",RANK(H276,$H$5:$H$363))</f>
        <v>272</v>
      </c>
      <c r="J276" s="24" t="n">
        <v>0.186486486486487</v>
      </c>
      <c r="K276" s="19" t="n">
        <v>88.9</v>
      </c>
      <c r="L276" s="17" t="n">
        <f aca="false">IF(K276="","",RANK(K276,$K$5:$K$363))</f>
        <v>43</v>
      </c>
      <c r="M276" s="25" t="n">
        <v>0.0228136882129278</v>
      </c>
      <c r="N276" s="19" t="n">
        <v>5.2</v>
      </c>
      <c r="O276" s="17" t="n">
        <f aca="false">IF(N276="","",RANK(N276,$N$5:$N$363))</f>
        <v>305</v>
      </c>
      <c r="P276" s="17" t="str">
        <f aca="false">IF(AND(N(H276)&gt;=N(K276),N(H276)&gt;=N(N276)),"The Pulse",IF(N(K276)&gt;=N(N276),"The Lens","The Hub"))</f>
        <v>The Lens</v>
      </c>
      <c r="Q276" s="21" t="s">
        <v>78</v>
      </c>
      <c r="R276" s="26" t="s">
        <v>668</v>
      </c>
      <c r="S276" s="17" t="s">
        <v>21</v>
      </c>
    </row>
    <row r="277" customFormat="false" ht="15" hidden="false" customHeight="false" outlineLevel="0" collapsed="false">
      <c r="A277" s="17" t="s">
        <v>1219</v>
      </c>
      <c r="B277" s="17" t="s">
        <v>1220</v>
      </c>
      <c r="C277" s="17" t="s">
        <v>1221</v>
      </c>
      <c r="D277" s="17" t="s">
        <v>114</v>
      </c>
      <c r="E277" s="18" t="n">
        <v>21640</v>
      </c>
      <c r="F277" s="17" t="s">
        <v>667</v>
      </c>
      <c r="G277" s="23" t="n">
        <v>0.352818853974122</v>
      </c>
      <c r="H277" s="19" t="n">
        <v>25.2</v>
      </c>
      <c r="I277" s="17" t="n">
        <f aca="false">IF(H277="","",RANK(H277,$H$5:$H$363))</f>
        <v>273</v>
      </c>
      <c r="J277" s="24" t="n">
        <v>0.113168724279835</v>
      </c>
      <c r="K277" s="19" t="n">
        <v>60.3</v>
      </c>
      <c r="L277" s="17" t="n">
        <f aca="false">IF(K277="","",RANK(K277,$K$5:$K$363))</f>
        <v>143</v>
      </c>
      <c r="M277" s="25" t="n">
        <v>0.21021021021021</v>
      </c>
      <c r="N277" s="19" t="n">
        <v>74</v>
      </c>
      <c r="O277" s="17" t="n">
        <f aca="false">IF(N277="","",RANK(N277,$N$5:$N$363))</f>
        <v>83</v>
      </c>
      <c r="P277" s="17" t="str">
        <f aca="false">IF(AND(N(H277)&gt;=N(K277),N(H277)&gt;=N(N277)),"The Pulse",IF(N(K277)&gt;=N(N277),"The Lens","The Hub"))</f>
        <v>The Hub</v>
      </c>
      <c r="Q277" s="21" t="s">
        <v>78</v>
      </c>
      <c r="R277" s="26" t="s">
        <v>668</v>
      </c>
      <c r="S277" s="17" t="s">
        <v>21</v>
      </c>
    </row>
    <row r="278" customFormat="false" ht="15" hidden="false" customHeight="false" outlineLevel="0" collapsed="false">
      <c r="A278" s="17" t="s">
        <v>1222</v>
      </c>
      <c r="B278" s="17" t="s">
        <v>1223</v>
      </c>
      <c r="C278" s="17" t="s">
        <v>1224</v>
      </c>
      <c r="D278" s="17" t="s">
        <v>72</v>
      </c>
      <c r="E278" s="18" t="n">
        <v>5920</v>
      </c>
      <c r="F278" s="17" t="s">
        <v>678</v>
      </c>
      <c r="G278" s="23" t="n">
        <v>0.352533783783784</v>
      </c>
      <c r="H278" s="19" t="n">
        <v>25</v>
      </c>
      <c r="I278" s="17" t="n">
        <f aca="false">IF(H278="","",RANK(H278,$H$5:$H$363))</f>
        <v>274</v>
      </c>
      <c r="J278" s="24" t="n">
        <v>0.174603174603175</v>
      </c>
      <c r="K278" s="19" t="n">
        <v>88.9</v>
      </c>
      <c r="L278" s="17" t="n">
        <f aca="false">IF(K278="","",RANK(K278,$K$5:$K$363))</f>
        <v>43</v>
      </c>
      <c r="M278" s="25" t="n">
        <v>0.103174603174603</v>
      </c>
      <c r="N278" s="19" t="n">
        <v>36.2</v>
      </c>
      <c r="O278" s="17" t="n">
        <f aca="false">IF(N278="","",RANK(N278,$N$5:$N$363))</f>
        <v>210</v>
      </c>
      <c r="P278" s="17" t="str">
        <f aca="false">IF(AND(N(H278)&gt;=N(K278),N(H278)&gt;=N(N278)),"The Pulse",IF(N(K278)&gt;=N(N278),"The Lens","The Hub"))</f>
        <v>The Lens</v>
      </c>
      <c r="Q278" s="21" t="s">
        <v>78</v>
      </c>
      <c r="R278" s="26" t="s">
        <v>668</v>
      </c>
      <c r="S278" s="17" t="s">
        <v>21</v>
      </c>
    </row>
    <row r="279" customFormat="false" ht="15" hidden="false" customHeight="false" outlineLevel="0" collapsed="false">
      <c r="A279" s="17" t="s">
        <v>383</v>
      </c>
      <c r="B279" s="17" t="s">
        <v>384</v>
      </c>
      <c r="C279" s="17" t="s">
        <v>1225</v>
      </c>
      <c r="D279" s="17" t="s">
        <v>81</v>
      </c>
      <c r="E279" s="18" t="n">
        <v>1455873</v>
      </c>
      <c r="F279" s="17" t="s">
        <v>752</v>
      </c>
      <c r="G279" s="23" t="n">
        <v>0.348727533239506</v>
      </c>
      <c r="H279" s="19" t="n">
        <v>24.8</v>
      </c>
      <c r="I279" s="17" t="n">
        <f aca="false">IF(H279="","",RANK(H279,$H$5:$H$363))</f>
        <v>275</v>
      </c>
      <c r="J279" s="24" t="n">
        <v>0.104368933880003</v>
      </c>
      <c r="K279" s="19" t="n">
        <v>50</v>
      </c>
      <c r="L279" s="17" t="n">
        <f aca="false">IF(K279="","",RANK(K279,$K$5:$K$363))</f>
        <v>177</v>
      </c>
      <c r="M279" s="25" t="n">
        <v>0.0116233383537424</v>
      </c>
      <c r="N279" s="19" t="n">
        <v>3</v>
      </c>
      <c r="O279" s="17" t="n">
        <f aca="false">IF(N279="","",RANK(N279,$N$5:$N$363))</f>
        <v>313</v>
      </c>
      <c r="P279" s="17" t="str">
        <f aca="false">IF(AND(N(H279)&gt;=N(K279),N(H279)&gt;=N(N279)),"The Pulse",IF(N(K279)&gt;=N(N279),"The Lens","The Hub"))</f>
        <v>The Lens</v>
      </c>
      <c r="Q279" s="20" t="s">
        <v>74</v>
      </c>
      <c r="R279" s="27" t="s">
        <v>671</v>
      </c>
      <c r="S279" s="17" t="s">
        <v>19</v>
      </c>
    </row>
    <row r="280" customFormat="false" ht="15" hidden="false" customHeight="false" outlineLevel="0" collapsed="false">
      <c r="A280" s="17" t="s">
        <v>341</v>
      </c>
      <c r="B280" s="17" t="s">
        <v>342</v>
      </c>
      <c r="C280" s="17" t="s">
        <v>1226</v>
      </c>
      <c r="D280" s="17" t="s">
        <v>138</v>
      </c>
      <c r="E280" s="18" t="n">
        <v>9950</v>
      </c>
      <c r="F280" s="17" t="s">
        <v>678</v>
      </c>
      <c r="G280" s="23" t="n">
        <v>0.348442211055276</v>
      </c>
      <c r="H280" s="19" t="n">
        <v>24.6</v>
      </c>
      <c r="I280" s="17" t="n">
        <f aca="false">IF(H280="","",RANK(H280,$H$5:$H$363))</f>
        <v>276</v>
      </c>
      <c r="J280" s="24" t="n">
        <v>0.0663380130746973</v>
      </c>
      <c r="K280" s="19" t="n">
        <v>35.2</v>
      </c>
      <c r="L280" s="17" t="n">
        <f aca="false">IF(K280="","",RANK(K280,$K$5:$K$363))</f>
        <v>233</v>
      </c>
      <c r="M280" s="25" t="n">
        <v>0.307262569832402</v>
      </c>
      <c r="N280" s="19" t="n">
        <v>92</v>
      </c>
      <c r="O280" s="17" t="n">
        <f aca="false">IF(N280="","",RANK(N280,$N$5:$N$363))</f>
        <v>27</v>
      </c>
      <c r="P280" s="17" t="str">
        <f aca="false">IF(AND(N(H280)&gt;=N(K280),N(H280)&gt;=N(N280)),"The Pulse",IF(N(K280)&gt;=N(N280),"The Lens","The Hub"))</f>
        <v>The Hub</v>
      </c>
      <c r="Q280" s="20" t="s">
        <v>74</v>
      </c>
      <c r="R280" s="27" t="s">
        <v>671</v>
      </c>
      <c r="S280" s="17" t="s">
        <v>19</v>
      </c>
    </row>
    <row r="281" customFormat="false" ht="15" hidden="false" customHeight="false" outlineLevel="0" collapsed="false">
      <c r="A281" s="17" t="s">
        <v>577</v>
      </c>
      <c r="B281" s="17" t="s">
        <v>578</v>
      </c>
      <c r="C281" s="17" t="s">
        <v>1227</v>
      </c>
      <c r="D281" s="17" t="s">
        <v>77</v>
      </c>
      <c r="E281" s="18" t="n">
        <v>50330</v>
      </c>
      <c r="F281" s="17" t="s">
        <v>667</v>
      </c>
      <c r="G281" s="23" t="n">
        <v>0.347725014901649</v>
      </c>
      <c r="H281" s="19" t="n">
        <v>24.4</v>
      </c>
      <c r="I281" s="17" t="n">
        <f aca="false">IF(H281="","",RANK(H281,$H$5:$H$363))</f>
        <v>277</v>
      </c>
      <c r="J281" s="24" t="n">
        <v>0.0791166380789022</v>
      </c>
      <c r="K281" s="19" t="n">
        <v>46</v>
      </c>
      <c r="L281" s="17" t="n">
        <f aca="false">IF(K281="","",RANK(K281,$K$5:$K$363))</f>
        <v>193</v>
      </c>
      <c r="M281" s="25" t="n">
        <v>0.190824468085106</v>
      </c>
      <c r="N281" s="19" t="n">
        <v>67.4</v>
      </c>
      <c r="O281" s="17" t="n">
        <f aca="false">IF(N281="","",RANK(N281,$N$5:$N$363))</f>
        <v>105</v>
      </c>
      <c r="P281" s="17" t="str">
        <f aca="false">IF(AND(N(H281)&gt;=N(K281),N(H281)&gt;=N(N281)),"The Pulse",IF(N(K281)&gt;=N(N281),"The Lens","The Hub"))</f>
        <v>The Hub</v>
      </c>
      <c r="Q281" s="21" t="s">
        <v>78</v>
      </c>
      <c r="R281" s="27" t="s">
        <v>671</v>
      </c>
      <c r="S281" s="17" t="s">
        <v>21</v>
      </c>
    </row>
    <row r="282" customFormat="false" ht="15" hidden="false" customHeight="false" outlineLevel="0" collapsed="false">
      <c r="A282" s="17" t="s">
        <v>351</v>
      </c>
      <c r="B282" s="17" t="s">
        <v>352</v>
      </c>
      <c r="C282" s="17" t="s">
        <v>1228</v>
      </c>
      <c r="D282" s="17" t="s">
        <v>77</v>
      </c>
      <c r="E282" s="18" t="n">
        <v>163920</v>
      </c>
      <c r="F282" s="17" t="s">
        <v>670</v>
      </c>
      <c r="G282" s="23" t="n">
        <v>0.347309663250366</v>
      </c>
      <c r="H282" s="19" t="n">
        <v>24.1</v>
      </c>
      <c r="I282" s="17" t="n">
        <f aca="false">IF(H282="","",RANK(H282,$H$5:$H$363))</f>
        <v>278</v>
      </c>
      <c r="J282" s="24" t="n">
        <v>0.0925086643561717</v>
      </c>
      <c r="K282" s="19" t="n">
        <v>57.2</v>
      </c>
      <c r="L282" s="17" t="n">
        <f aca="false">IF(K282="","",RANK(K282,$K$5:$K$363))</f>
        <v>152</v>
      </c>
      <c r="M282" s="25" t="n">
        <v>0.123132735808792</v>
      </c>
      <c r="N282" s="19" t="n">
        <v>44.8</v>
      </c>
      <c r="O282" s="17" t="n">
        <f aca="false">IF(N282="","",RANK(N282,$N$5:$N$363))</f>
        <v>180</v>
      </c>
      <c r="P282" s="17" t="str">
        <f aca="false">IF(AND(N(H282)&gt;=N(K282),N(H282)&gt;=N(N282)),"The Pulse",IF(N(K282)&gt;=N(N282),"The Lens","The Hub"))</f>
        <v>The Lens</v>
      </c>
      <c r="Q282" s="21" t="s">
        <v>78</v>
      </c>
      <c r="R282" s="27" t="s">
        <v>671</v>
      </c>
      <c r="S282" s="17" t="s">
        <v>21</v>
      </c>
    </row>
    <row r="283" customFormat="false" ht="15" hidden="false" customHeight="false" outlineLevel="0" collapsed="false">
      <c r="A283" s="17" t="s">
        <v>1229</v>
      </c>
      <c r="B283" s="17" t="s">
        <v>1230</v>
      </c>
      <c r="C283" s="17" t="s">
        <v>1231</v>
      </c>
      <c r="D283" s="17" t="s">
        <v>81</v>
      </c>
      <c r="E283" s="18" t="n">
        <v>10659</v>
      </c>
      <c r="F283" s="17" t="s">
        <v>667</v>
      </c>
      <c r="G283" s="23" t="n">
        <v>0.346467773712356</v>
      </c>
      <c r="H283" s="19" t="n">
        <v>23.9</v>
      </c>
      <c r="I283" s="17" t="n">
        <f aca="false">IF(H283="","",RANK(H283,$H$5:$H$363))</f>
        <v>279</v>
      </c>
      <c r="J283" s="24" t="n">
        <v>0.16875</v>
      </c>
      <c r="K283" s="19" t="n">
        <v>83.7</v>
      </c>
      <c r="L283" s="17" t="n">
        <f aca="false">IF(K283="","",RANK(K283,$K$5:$K$363))</f>
        <v>61</v>
      </c>
      <c r="M283" s="25" t="n">
        <v>0.151162790697674</v>
      </c>
      <c r="N283" s="19" t="n">
        <v>55.2</v>
      </c>
      <c r="O283" s="17" t="n">
        <f aca="false">IF(N283="","",RANK(N283,$N$5:$N$363))</f>
        <v>144</v>
      </c>
      <c r="P283" s="17" t="str">
        <f aca="false">IF(AND(N(H283)&gt;=N(K283),N(H283)&gt;=N(N283)),"The Pulse",IF(N(K283)&gt;=N(N283),"The Lens","The Hub"))</f>
        <v>The Lens</v>
      </c>
      <c r="Q283" s="20" t="s">
        <v>74</v>
      </c>
      <c r="R283" s="26" t="s">
        <v>668</v>
      </c>
      <c r="S283" s="17" t="s">
        <v>19</v>
      </c>
    </row>
    <row r="284" customFormat="false" ht="15" hidden="false" customHeight="false" outlineLevel="0" collapsed="false">
      <c r="A284" s="17" t="s">
        <v>579</v>
      </c>
      <c r="B284" s="17" t="s">
        <v>580</v>
      </c>
      <c r="C284" s="17" t="s">
        <v>1232</v>
      </c>
      <c r="D284" s="17" t="s">
        <v>138</v>
      </c>
      <c r="E284" s="18" t="n">
        <v>156604</v>
      </c>
      <c r="F284" s="17" t="s">
        <v>670</v>
      </c>
      <c r="G284" s="23" t="n">
        <v>0.342117698143087</v>
      </c>
      <c r="H284" s="19" t="n">
        <v>23.7</v>
      </c>
      <c r="I284" s="17" t="n">
        <f aca="false">IF(H284="","",RANK(H284,$H$5:$H$363))</f>
        <v>280</v>
      </c>
      <c r="J284" s="24" t="n">
        <v>0.198304358472086</v>
      </c>
      <c r="K284" s="19" t="n">
        <v>92.8</v>
      </c>
      <c r="L284" s="17" t="n">
        <f aca="false">IF(K284="","",RANK(K284,$K$5:$K$363))</f>
        <v>27</v>
      </c>
      <c r="M284" s="25" t="n">
        <v>0.13903743315508</v>
      </c>
      <c r="N284" s="19" t="n">
        <v>51.7</v>
      </c>
      <c r="O284" s="17" t="n">
        <f aca="false">IF(N284="","",RANK(N284,$N$5:$N$363))</f>
        <v>155</v>
      </c>
      <c r="P284" s="17" t="str">
        <f aca="false">IF(AND(N(H284)&gt;=N(K284),N(H284)&gt;=N(N284)),"The Pulse",IF(N(K284)&gt;=N(N284),"The Lens","The Hub"))</f>
        <v>The Lens</v>
      </c>
      <c r="Q284" s="20" t="s">
        <v>74</v>
      </c>
      <c r="R284" s="27" t="s">
        <v>671</v>
      </c>
      <c r="S284" s="17" t="s">
        <v>19</v>
      </c>
    </row>
    <row r="285" customFormat="false" ht="15" hidden="false" customHeight="false" outlineLevel="0" collapsed="false">
      <c r="A285" s="17" t="s">
        <v>1233</v>
      </c>
      <c r="B285" s="17" t="s">
        <v>1234</v>
      </c>
      <c r="C285" s="17" t="s">
        <v>1235</v>
      </c>
      <c r="D285" s="17" t="s">
        <v>138</v>
      </c>
      <c r="E285" s="18" t="n">
        <v>135560</v>
      </c>
      <c r="F285" s="17" t="s">
        <v>670</v>
      </c>
      <c r="G285" s="23" t="n">
        <v>0.341848627913839</v>
      </c>
      <c r="H285" s="19" t="n">
        <v>23.5</v>
      </c>
      <c r="I285" s="17" t="n">
        <f aca="false">IF(H285="","",RANK(H285,$H$5:$H$363))</f>
        <v>281</v>
      </c>
      <c r="J285" s="24" t="n">
        <v>0.159425248032843</v>
      </c>
      <c r="K285" s="19" t="n">
        <v>83.3</v>
      </c>
      <c r="L285" s="17" t="n">
        <f aca="false">IF(K285="","",RANK(K285,$K$5:$K$363))</f>
        <v>62</v>
      </c>
      <c r="M285" s="25" t="n">
        <v>0.143187066974596</v>
      </c>
      <c r="N285" s="19" t="n">
        <v>53.6</v>
      </c>
      <c r="O285" s="17" t="n">
        <f aca="false">IF(N285="","",RANK(N285,$N$5:$N$363))</f>
        <v>149</v>
      </c>
      <c r="P285" s="17" t="str">
        <f aca="false">IF(AND(N(H285)&gt;=N(K285),N(H285)&gt;=N(N285)),"The Pulse",IF(N(K285)&gt;=N(N285),"The Lens","The Hub"))</f>
        <v>The Lens</v>
      </c>
      <c r="Q285" s="21" t="s">
        <v>78</v>
      </c>
      <c r="R285" s="26" t="s">
        <v>668</v>
      </c>
      <c r="S285" s="17" t="s">
        <v>21</v>
      </c>
    </row>
    <row r="286" customFormat="false" ht="15" hidden="false" customHeight="false" outlineLevel="0" collapsed="false">
      <c r="A286" s="17" t="s">
        <v>1236</v>
      </c>
      <c r="B286" s="17" t="s">
        <v>1237</v>
      </c>
      <c r="C286" s="17" t="s">
        <v>1238</v>
      </c>
      <c r="D286" s="17" t="s">
        <v>138</v>
      </c>
      <c r="E286" s="18" t="n">
        <v>41055</v>
      </c>
      <c r="F286" s="17" t="s">
        <v>667</v>
      </c>
      <c r="G286" s="23" t="n">
        <v>0.34029959810011</v>
      </c>
      <c r="H286" s="19" t="n">
        <v>23.3</v>
      </c>
      <c r="I286" s="17" t="n">
        <f aca="false">IF(H286="","",RANK(H286,$H$5:$H$363))</f>
        <v>282</v>
      </c>
      <c r="J286" s="24" t="n">
        <v>0.0706462212486309</v>
      </c>
      <c r="K286" s="19" t="n">
        <v>39.7</v>
      </c>
      <c r="L286" s="17" t="n">
        <f aca="false">IF(K286="","",RANK(K286,$K$5:$K$363))</f>
        <v>218</v>
      </c>
      <c r="M286" s="25" t="n">
        <v>0.125628140703518</v>
      </c>
      <c r="N286" s="19" t="n">
        <v>46.5</v>
      </c>
      <c r="O286" s="17" t="n">
        <f aca="false">IF(N286="","",RANK(N286,$N$5:$N$363))</f>
        <v>173</v>
      </c>
      <c r="P286" s="17" t="str">
        <f aca="false">IF(AND(N(H286)&gt;=N(K286),N(H286)&gt;=N(N286)),"The Pulse",IF(N(K286)&gt;=N(N286),"The Lens","The Hub"))</f>
        <v>The Hub</v>
      </c>
      <c r="Q286" s="20" t="s">
        <v>74</v>
      </c>
      <c r="R286" s="26" t="s">
        <v>668</v>
      </c>
      <c r="S286" s="17" t="s">
        <v>19</v>
      </c>
    </row>
    <row r="287" customFormat="false" ht="15" hidden="false" customHeight="false" outlineLevel="0" collapsed="false">
      <c r="A287" s="17" t="s">
        <v>1239</v>
      </c>
      <c r="B287" s="17" t="s">
        <v>1240</v>
      </c>
      <c r="C287" s="17" t="s">
        <v>1241</v>
      </c>
      <c r="D287" s="17" t="s">
        <v>87</v>
      </c>
      <c r="E287" s="18" t="n">
        <v>16366</v>
      </c>
      <c r="F287" s="17" t="s">
        <v>667</v>
      </c>
      <c r="G287" s="23" t="n">
        <v>0.338628864719541</v>
      </c>
      <c r="H287" s="19" t="n">
        <v>23.1</v>
      </c>
      <c r="I287" s="17" t="n">
        <f aca="false">IF(H287="","",RANK(H287,$H$5:$H$363))</f>
        <v>283</v>
      </c>
      <c r="J287" s="24" t="n">
        <v>0.105885532806271</v>
      </c>
      <c r="K287" s="19" t="n">
        <v>57.5</v>
      </c>
      <c r="L287" s="17" t="n">
        <f aca="false">IF(K287="","",RANK(K287,$K$5:$K$363))</f>
        <v>151</v>
      </c>
      <c r="M287" s="28" t="s">
        <v>680</v>
      </c>
      <c r="N287" s="19"/>
      <c r="O287" s="17" t="str">
        <f aca="false">IF(N287="","",RANK(N287,$N$5:$N$363))</f>
        <v/>
      </c>
      <c r="P287" s="17" t="str">
        <f aca="false">IF(AND(N(H287)&gt;=N(K287),N(H287)&gt;=N(N287)),"The Pulse",IF(N(K287)&gt;=N(N287),"The Lens","The Hub"))</f>
        <v>The Lens</v>
      </c>
      <c r="Q287" s="22" t="s">
        <v>83</v>
      </c>
      <c r="R287" s="26" t="s">
        <v>668</v>
      </c>
      <c r="S287" s="17" t="s">
        <v>17</v>
      </c>
    </row>
    <row r="288" customFormat="false" ht="15" hidden="false" customHeight="false" outlineLevel="0" collapsed="false">
      <c r="A288" s="17" t="s">
        <v>1242</v>
      </c>
      <c r="B288" s="17" t="s">
        <v>1243</v>
      </c>
      <c r="C288" s="17" t="s">
        <v>1244</v>
      </c>
      <c r="D288" s="17" t="s">
        <v>133</v>
      </c>
      <c r="E288" s="18" t="n">
        <v>141002</v>
      </c>
      <c r="F288" s="17" t="s">
        <v>670</v>
      </c>
      <c r="G288" s="23" t="n">
        <v>0.337470390490915</v>
      </c>
      <c r="H288" s="19" t="n">
        <v>22.6</v>
      </c>
      <c r="I288" s="17" t="n">
        <f aca="false">IF(H288="","",RANK(H288,$H$5:$H$363))</f>
        <v>284</v>
      </c>
      <c r="J288" s="24" t="n">
        <v>0.176958648436587</v>
      </c>
      <c r="K288" s="19" t="n">
        <v>89.9</v>
      </c>
      <c r="L288" s="17" t="n">
        <f aca="false">IF(K288="","",RANK(K288,$K$5:$K$363))</f>
        <v>39</v>
      </c>
      <c r="M288" s="25" t="n">
        <v>0.125413755057006</v>
      </c>
      <c r="N288" s="19" t="n">
        <v>46.1</v>
      </c>
      <c r="O288" s="17" t="n">
        <f aca="false">IF(N288="","",RANK(N288,$N$5:$N$363))</f>
        <v>175</v>
      </c>
      <c r="P288" s="17" t="str">
        <f aca="false">IF(AND(N(H288)&gt;=N(K288),N(H288)&gt;=N(N288)),"The Pulse",IF(N(K288)&gt;=N(N288),"The Lens","The Hub"))</f>
        <v>The Lens</v>
      </c>
      <c r="Q288" s="20" t="s">
        <v>74</v>
      </c>
      <c r="R288" s="26" t="s">
        <v>668</v>
      </c>
      <c r="S288" s="17" t="s">
        <v>19</v>
      </c>
    </row>
    <row r="289" customFormat="false" ht="15" hidden="false" customHeight="false" outlineLevel="0" collapsed="false">
      <c r="A289" s="17" t="s">
        <v>1245</v>
      </c>
      <c r="B289" s="17" t="s">
        <v>1246</v>
      </c>
      <c r="C289" s="17" t="s">
        <v>1247</v>
      </c>
      <c r="D289" s="17" t="s">
        <v>138</v>
      </c>
      <c r="E289" s="18" t="n">
        <v>250050</v>
      </c>
      <c r="F289" s="17" t="s">
        <v>670</v>
      </c>
      <c r="G289" s="23" t="n">
        <v>0.336512697460508</v>
      </c>
      <c r="H289" s="19" t="n">
        <v>22.4</v>
      </c>
      <c r="I289" s="17" t="n">
        <f aca="false">IF(H289="","",RANK(H289,$H$5:$H$363))</f>
        <v>285</v>
      </c>
      <c r="J289" s="24" t="n">
        <v>0.072899682485197</v>
      </c>
      <c r="K289" s="19" t="n">
        <v>48.6</v>
      </c>
      <c r="L289" s="17" t="n">
        <f aca="false">IF(K289="","",RANK(K289,$K$5:$K$363))</f>
        <v>182</v>
      </c>
      <c r="M289" s="25" t="n">
        <v>0.0748162992651971</v>
      </c>
      <c r="N289" s="19" t="n">
        <v>23.5</v>
      </c>
      <c r="O289" s="17" t="n">
        <f aca="false">IF(N289="","",RANK(N289,$N$5:$N$363))</f>
        <v>250</v>
      </c>
      <c r="P289" s="17" t="str">
        <f aca="false">IF(AND(N(H289)&gt;=N(K289),N(H289)&gt;=N(N289)),"The Pulse",IF(N(K289)&gt;=N(N289),"The Lens","The Hub"))</f>
        <v>The Lens</v>
      </c>
      <c r="Q289" s="21" t="s">
        <v>78</v>
      </c>
      <c r="R289" s="26" t="s">
        <v>668</v>
      </c>
      <c r="S289" s="17" t="s">
        <v>21</v>
      </c>
    </row>
    <row r="290" customFormat="false" ht="15" hidden="false" customHeight="false" outlineLevel="0" collapsed="false">
      <c r="A290" s="17" t="s">
        <v>551</v>
      </c>
      <c r="B290" s="17" t="s">
        <v>552</v>
      </c>
      <c r="C290" s="17" t="s">
        <v>1248</v>
      </c>
      <c r="D290" s="17" t="s">
        <v>114</v>
      </c>
      <c r="E290" s="18" t="n">
        <v>332110</v>
      </c>
      <c r="F290" s="17" t="s">
        <v>670</v>
      </c>
      <c r="G290" s="23" t="n">
        <v>0.33506368371925</v>
      </c>
      <c r="H290" s="19" t="n">
        <v>22.2</v>
      </c>
      <c r="I290" s="17" t="n">
        <f aca="false">IF(H290="","",RANK(H290,$H$5:$H$363))</f>
        <v>286</v>
      </c>
      <c r="J290" s="24" t="n">
        <v>0.0220341591014002</v>
      </c>
      <c r="K290" s="19" t="n">
        <v>22.5</v>
      </c>
      <c r="L290" s="17" t="n">
        <f aca="false">IF(K290="","",RANK(K290,$K$5:$K$363))</f>
        <v>277</v>
      </c>
      <c r="M290" s="25" t="n">
        <v>0.257352941176471</v>
      </c>
      <c r="N290" s="19" t="n">
        <v>83.7</v>
      </c>
      <c r="O290" s="17" t="n">
        <f aca="false">IF(N290="","",RANK(N290,$N$5:$N$363))</f>
        <v>52</v>
      </c>
      <c r="P290" s="17" t="str">
        <f aca="false">IF(AND(N(H290)&gt;=N(K290),N(H290)&gt;=N(N290)),"The Pulse",IF(N(K290)&gt;=N(N290),"The Lens","The Hub"))</f>
        <v>The Hub</v>
      </c>
      <c r="Q290" s="21" t="s">
        <v>78</v>
      </c>
      <c r="R290" s="27" t="s">
        <v>671</v>
      </c>
      <c r="S290" s="17" t="s">
        <v>21</v>
      </c>
    </row>
    <row r="291" customFormat="false" ht="15" hidden="false" customHeight="false" outlineLevel="0" collapsed="false">
      <c r="A291" s="17" t="s">
        <v>1249</v>
      </c>
      <c r="B291" s="17" t="s">
        <v>1250</v>
      </c>
      <c r="C291" s="17" t="s">
        <v>1251</v>
      </c>
      <c r="D291" s="17" t="s">
        <v>138</v>
      </c>
      <c r="E291" s="18" t="n">
        <v>8261</v>
      </c>
      <c r="F291" s="17" t="s">
        <v>678</v>
      </c>
      <c r="G291" s="23" t="n">
        <v>0.330710567727878</v>
      </c>
      <c r="H291" s="19" t="n">
        <v>21.8</v>
      </c>
      <c r="I291" s="17" t="n">
        <f aca="false">IF(H291="","",RANK(H291,$H$5:$H$363))</f>
        <v>287</v>
      </c>
      <c r="J291" s="24" t="n">
        <v>0.070910033704952</v>
      </c>
      <c r="K291" s="19" t="n">
        <v>38.9</v>
      </c>
      <c r="L291" s="17" t="n">
        <f aca="false">IF(K291="","",RANK(K291,$K$5:$K$363))</f>
        <v>221</v>
      </c>
      <c r="M291" s="25" t="n">
        <v>0.121212121212121</v>
      </c>
      <c r="N291" s="19" t="n">
        <v>43.5</v>
      </c>
      <c r="O291" s="17" t="n">
        <f aca="false">IF(N291="","",RANK(N291,$N$5:$N$363))</f>
        <v>184</v>
      </c>
      <c r="P291" s="17" t="str">
        <f aca="false">IF(AND(N(H291)&gt;=N(K291),N(H291)&gt;=N(N291)),"The Pulse",IF(N(K291)&gt;=N(N291),"The Lens","The Hub"))</f>
        <v>The Hub</v>
      </c>
      <c r="Q291" s="20" t="s">
        <v>74</v>
      </c>
      <c r="R291" s="26" t="s">
        <v>668</v>
      </c>
      <c r="S291" s="17" t="s">
        <v>19</v>
      </c>
    </row>
    <row r="292" customFormat="false" ht="15" hidden="false" customHeight="false" outlineLevel="0" collapsed="false">
      <c r="A292" s="17" t="s">
        <v>465</v>
      </c>
      <c r="B292" s="17" t="s">
        <v>466</v>
      </c>
      <c r="C292" s="17" t="s">
        <v>1252</v>
      </c>
      <c r="D292" s="17" t="s">
        <v>77</v>
      </c>
      <c r="E292" s="18" t="n">
        <v>26140</v>
      </c>
      <c r="F292" s="17" t="s">
        <v>667</v>
      </c>
      <c r="G292" s="23" t="n">
        <v>0.329533282325937</v>
      </c>
      <c r="H292" s="19" t="n">
        <v>21.6</v>
      </c>
      <c r="I292" s="17" t="n">
        <f aca="false">IF(H292="","",RANK(H292,$H$5:$H$363))</f>
        <v>288</v>
      </c>
      <c r="J292" s="24" t="n">
        <v>-0.0528985507246377</v>
      </c>
      <c r="K292" s="19" t="n">
        <v>3.6</v>
      </c>
      <c r="L292" s="17" t="n">
        <f aca="false">IF(K292="","",RANK(K292,$K$5:$K$363))</f>
        <v>348</v>
      </c>
      <c r="M292" s="25" t="n">
        <v>0.301320528211285</v>
      </c>
      <c r="N292" s="19" t="n">
        <v>91.4</v>
      </c>
      <c r="O292" s="17" t="n">
        <f aca="false">IF(N292="","",RANK(N292,$N$5:$N$363))</f>
        <v>29</v>
      </c>
      <c r="P292" s="17" t="str">
        <f aca="false">IF(AND(N(H292)&gt;=N(K292),N(H292)&gt;=N(N292)),"The Pulse",IF(N(K292)&gt;=N(N292),"The Lens","The Hub"))</f>
        <v>The Hub</v>
      </c>
      <c r="Q292" s="21" t="s">
        <v>78</v>
      </c>
      <c r="R292" s="27" t="s">
        <v>671</v>
      </c>
      <c r="S292" s="17" t="s">
        <v>21</v>
      </c>
    </row>
    <row r="293" customFormat="false" ht="15" hidden="false" customHeight="false" outlineLevel="0" collapsed="false">
      <c r="A293" s="17" t="s">
        <v>595</v>
      </c>
      <c r="B293" s="17" t="s">
        <v>596</v>
      </c>
      <c r="C293" s="17" t="s">
        <v>1253</v>
      </c>
      <c r="D293" s="17" t="s">
        <v>81</v>
      </c>
      <c r="E293" s="18" t="n">
        <v>76930</v>
      </c>
      <c r="F293" s="17" t="s">
        <v>667</v>
      </c>
      <c r="G293" s="23" t="n">
        <v>0.322773950344469</v>
      </c>
      <c r="H293" s="19" t="n">
        <v>21.2</v>
      </c>
      <c r="I293" s="17" t="n">
        <f aca="false">IF(H293="","",RANK(H293,$H$5:$H$363))</f>
        <v>289</v>
      </c>
      <c r="J293" s="24" t="n">
        <v>0.125201111598654</v>
      </c>
      <c r="K293" s="19" t="n">
        <v>64.7</v>
      </c>
      <c r="L293" s="17" t="n">
        <f aca="false">IF(K293="","",RANK(K293,$K$5:$K$363))</f>
        <v>129</v>
      </c>
      <c r="M293" s="25" t="n">
        <v>0.173027989821883</v>
      </c>
      <c r="N293" s="19" t="n">
        <v>61.9</v>
      </c>
      <c r="O293" s="17" t="n">
        <f aca="false">IF(N293="","",RANK(N293,$N$5:$N$363))</f>
        <v>123</v>
      </c>
      <c r="P293" s="17" t="str">
        <f aca="false">IF(AND(N(H293)&gt;=N(K293),N(H293)&gt;=N(N293)),"The Pulse",IF(N(K293)&gt;=N(N293),"The Lens","The Hub"))</f>
        <v>The Lens</v>
      </c>
      <c r="Q293" s="21" t="s">
        <v>78</v>
      </c>
      <c r="R293" s="27" t="s">
        <v>671</v>
      </c>
      <c r="S293" s="17" t="s">
        <v>21</v>
      </c>
    </row>
    <row r="294" customFormat="false" ht="15" hidden="false" customHeight="false" outlineLevel="0" collapsed="false">
      <c r="A294" s="17" t="s">
        <v>587</v>
      </c>
      <c r="B294" s="17" t="s">
        <v>588</v>
      </c>
      <c r="C294" s="17" t="s">
        <v>1254</v>
      </c>
      <c r="D294" s="17" t="s">
        <v>72</v>
      </c>
      <c r="E294" s="18" t="n">
        <v>45810</v>
      </c>
      <c r="F294" s="17" t="s">
        <v>667</v>
      </c>
      <c r="G294" s="23" t="n">
        <v>0.321938441388343</v>
      </c>
      <c r="H294" s="19" t="n">
        <v>20.9</v>
      </c>
      <c r="I294" s="17" t="n">
        <f aca="false">IF(H294="","",RANK(H294,$H$5:$H$363))</f>
        <v>290</v>
      </c>
      <c r="J294" s="24" t="n">
        <v>0.198900811305941</v>
      </c>
      <c r="K294" s="19" t="n">
        <v>92.9</v>
      </c>
      <c r="L294" s="17" t="n">
        <f aca="false">IF(K294="","",RANK(K294,$K$5:$K$363))</f>
        <v>26</v>
      </c>
      <c r="M294" s="25" t="n">
        <v>0.120938628158845</v>
      </c>
      <c r="N294" s="19" t="n">
        <v>42.8</v>
      </c>
      <c r="O294" s="17" t="n">
        <f aca="false">IF(N294="","",RANK(N294,$N$5:$N$363))</f>
        <v>187</v>
      </c>
      <c r="P294" s="17" t="str">
        <f aca="false">IF(AND(N(H294)&gt;=N(K294),N(H294)&gt;=N(N294)),"The Pulse",IF(N(K294)&gt;=N(N294),"The Lens","The Hub"))</f>
        <v>The Lens</v>
      </c>
      <c r="Q294" s="21" t="s">
        <v>78</v>
      </c>
      <c r="R294" s="27" t="s">
        <v>671</v>
      </c>
      <c r="S294" s="17" t="s">
        <v>21</v>
      </c>
    </row>
    <row r="295" customFormat="false" ht="15" hidden="false" customHeight="false" outlineLevel="0" collapsed="false">
      <c r="A295" s="17" t="s">
        <v>599</v>
      </c>
      <c r="B295" s="17" t="s">
        <v>600</v>
      </c>
      <c r="C295" s="17" t="s">
        <v>1255</v>
      </c>
      <c r="D295" s="17" t="s">
        <v>114</v>
      </c>
      <c r="E295" s="18" t="n">
        <v>52320</v>
      </c>
      <c r="F295" s="17" t="s">
        <v>667</v>
      </c>
      <c r="G295" s="23" t="n">
        <v>0.317412079510703</v>
      </c>
      <c r="H295" s="19" t="n">
        <v>20.3</v>
      </c>
      <c r="I295" s="17" t="n">
        <f aca="false">IF(H295="","",RANK(H295,$H$5:$H$363))</f>
        <v>291</v>
      </c>
      <c r="J295" s="24" t="n">
        <v>0.024275646045419</v>
      </c>
      <c r="K295" s="19" t="n">
        <v>15.1</v>
      </c>
      <c r="L295" s="17" t="n">
        <f aca="false">IF(K295="","",RANK(K295,$K$5:$K$363))</f>
        <v>305</v>
      </c>
      <c r="M295" s="25" t="n">
        <v>0.178294573643411</v>
      </c>
      <c r="N295" s="19" t="n">
        <v>63.5</v>
      </c>
      <c r="O295" s="17" t="n">
        <f aca="false">IF(N295="","",RANK(N295,$N$5:$N$363))</f>
        <v>118</v>
      </c>
      <c r="P295" s="17" t="str">
        <f aca="false">IF(AND(N(H295)&gt;=N(K295),N(H295)&gt;=N(N295)),"The Pulse",IF(N(K295)&gt;=N(N295),"The Lens","The Hub"))</f>
        <v>The Hub</v>
      </c>
      <c r="Q295" s="21" t="s">
        <v>78</v>
      </c>
      <c r="R295" s="27" t="s">
        <v>671</v>
      </c>
      <c r="S295" s="17" t="s">
        <v>21</v>
      </c>
    </row>
    <row r="296" customFormat="false" ht="15" hidden="false" customHeight="false" outlineLevel="0" collapsed="false">
      <c r="A296" s="17" t="s">
        <v>555</v>
      </c>
      <c r="B296" s="17" t="s">
        <v>556</v>
      </c>
      <c r="C296" s="17" t="s">
        <v>1256</v>
      </c>
      <c r="D296" s="17" t="s">
        <v>72</v>
      </c>
      <c r="E296" s="18" t="n">
        <v>88655</v>
      </c>
      <c r="F296" s="17" t="s">
        <v>667</v>
      </c>
      <c r="G296" s="23" t="n">
        <v>0.31651909085782</v>
      </c>
      <c r="H296" s="19" t="n">
        <v>20.1</v>
      </c>
      <c r="I296" s="17" t="n">
        <f aca="false">IF(H296="","",RANK(H296,$H$5:$H$363))</f>
        <v>292</v>
      </c>
      <c r="J296" s="24" t="n">
        <v>0.0797758967176177</v>
      </c>
      <c r="K296" s="19" t="n">
        <v>46.4</v>
      </c>
      <c r="L296" s="17" t="n">
        <f aca="false">IF(K296="","",RANK(K296,$K$5:$K$363))</f>
        <v>190</v>
      </c>
      <c r="M296" s="25" t="n">
        <v>0.0591487009397457</v>
      </c>
      <c r="N296" s="19" t="n">
        <v>16.9</v>
      </c>
      <c r="O296" s="17" t="n">
        <f aca="false">IF(N296="","",RANK(N296,$N$5:$N$363))</f>
        <v>270</v>
      </c>
      <c r="P296" s="17" t="str">
        <f aca="false">IF(AND(N(H296)&gt;=N(K296),N(H296)&gt;=N(N296)),"The Pulse",IF(N(K296)&gt;=N(N296),"The Lens","The Hub"))</f>
        <v>The Lens</v>
      </c>
      <c r="Q296" s="20" t="s">
        <v>74</v>
      </c>
      <c r="R296" s="27" t="s">
        <v>671</v>
      </c>
      <c r="S296" s="17" t="s">
        <v>19</v>
      </c>
    </row>
    <row r="297" customFormat="false" ht="15" hidden="false" customHeight="false" outlineLevel="0" collapsed="false">
      <c r="A297" s="17" t="s">
        <v>1257</v>
      </c>
      <c r="B297" s="17" t="s">
        <v>1258</v>
      </c>
      <c r="C297" s="17" t="s">
        <v>1259</v>
      </c>
      <c r="D297" s="17" t="s">
        <v>105</v>
      </c>
      <c r="E297" s="18" t="n">
        <v>110470</v>
      </c>
      <c r="F297" s="17" t="s">
        <v>670</v>
      </c>
      <c r="G297" s="23" t="n">
        <v>0.314139585407803</v>
      </c>
      <c r="H297" s="19" t="n">
        <v>19.9</v>
      </c>
      <c r="I297" s="17" t="n">
        <f aca="false">IF(H297="","",RANK(H297,$H$5:$H$363))</f>
        <v>293</v>
      </c>
      <c r="J297" s="24" t="n">
        <v>0.139570868578502</v>
      </c>
      <c r="K297" s="19" t="n">
        <v>73.2</v>
      </c>
      <c r="L297" s="17" t="n">
        <f aca="false">IF(K297="","",RANK(K297,$K$5:$K$363))</f>
        <v>101</v>
      </c>
      <c r="M297" s="25" t="n">
        <v>0.0302622730329523</v>
      </c>
      <c r="N297" s="19" t="n">
        <v>5.8</v>
      </c>
      <c r="O297" s="17" t="n">
        <f aca="false">IF(N297="","",RANK(N297,$N$5:$N$363))</f>
        <v>303</v>
      </c>
      <c r="P297" s="17" t="str">
        <f aca="false">IF(AND(N(H297)&gt;=N(K297),N(H297)&gt;=N(N297)),"The Pulse",IF(N(K297)&gt;=N(N297),"The Lens","The Hub"))</f>
        <v>The Lens</v>
      </c>
      <c r="Q297" s="21" t="s">
        <v>78</v>
      </c>
      <c r="R297" s="26" t="s">
        <v>668</v>
      </c>
      <c r="S297" s="17" t="s">
        <v>21</v>
      </c>
    </row>
    <row r="298" customFormat="false" ht="15" hidden="false" customHeight="false" outlineLevel="0" collapsed="false">
      <c r="A298" s="17" t="s">
        <v>525</v>
      </c>
      <c r="B298" s="17" t="s">
        <v>526</v>
      </c>
      <c r="C298" s="17" t="s">
        <v>1260</v>
      </c>
      <c r="D298" s="17" t="s">
        <v>72</v>
      </c>
      <c r="E298" s="18" t="n">
        <v>67473</v>
      </c>
      <c r="F298" s="17" t="s">
        <v>667</v>
      </c>
      <c r="G298" s="23" t="n">
        <v>0.313147481214708</v>
      </c>
      <c r="H298" s="19" t="n">
        <v>19.7</v>
      </c>
      <c r="I298" s="17" t="n">
        <f aca="false">IF(H298="","",RANK(H298,$H$5:$H$363))</f>
        <v>294</v>
      </c>
      <c r="J298" s="24" t="n">
        <v>0.0790327997313333</v>
      </c>
      <c r="K298" s="19" t="n">
        <v>45.2</v>
      </c>
      <c r="L298" s="17" t="n">
        <f aca="false">IF(K298="","",RANK(K298,$K$5:$K$363))</f>
        <v>196</v>
      </c>
      <c r="M298" s="25" t="n">
        <v>0.119712689545092</v>
      </c>
      <c r="N298" s="19" t="n">
        <v>41.7</v>
      </c>
      <c r="O298" s="17" t="n">
        <f aca="false">IF(N298="","",RANK(N298,$N$5:$N$363))</f>
        <v>191</v>
      </c>
      <c r="P298" s="17" t="str">
        <f aca="false">IF(AND(N(H298)&gt;=N(K298),N(H298)&gt;=N(N298)),"The Pulse",IF(N(K298)&gt;=N(N298),"The Lens","The Hub"))</f>
        <v>The Lens</v>
      </c>
      <c r="Q298" s="21" t="s">
        <v>78</v>
      </c>
      <c r="R298" s="27" t="s">
        <v>671</v>
      </c>
      <c r="S298" s="17" t="s">
        <v>126</v>
      </c>
    </row>
    <row r="299" customFormat="false" ht="15" hidden="false" customHeight="false" outlineLevel="0" collapsed="false">
      <c r="A299" s="17" t="s">
        <v>1261</v>
      </c>
      <c r="B299" s="17" t="s">
        <v>1262</v>
      </c>
      <c r="C299" s="17" t="s">
        <v>1263</v>
      </c>
      <c r="D299" s="17" t="s">
        <v>102</v>
      </c>
      <c r="E299" s="18" t="n">
        <v>55910</v>
      </c>
      <c r="F299" s="17" t="s">
        <v>667</v>
      </c>
      <c r="G299" s="23" t="n">
        <v>0.308227508495797</v>
      </c>
      <c r="H299" s="19" t="n">
        <v>19.4</v>
      </c>
      <c r="I299" s="17" t="n">
        <f aca="false">IF(H299="","",RANK(H299,$H$5:$H$363))</f>
        <v>295</v>
      </c>
      <c r="J299" s="24" t="n">
        <v>0.0501502629601803</v>
      </c>
      <c r="K299" s="19" t="n">
        <v>27.8</v>
      </c>
      <c r="L299" s="17" t="n">
        <f aca="false">IF(K299="","",RANK(K299,$K$5:$K$363))</f>
        <v>258</v>
      </c>
      <c r="M299" s="25" t="n">
        <v>0.0592592592592593</v>
      </c>
      <c r="N299" s="19" t="n">
        <v>17.1</v>
      </c>
      <c r="O299" s="17" t="n">
        <f aca="false">IF(N299="","",RANK(N299,$N$5:$N$363))</f>
        <v>269</v>
      </c>
      <c r="P299" s="17" t="str">
        <f aca="false">IF(AND(N(H299)&gt;=N(K299),N(H299)&gt;=N(N299)),"The Pulse",IF(N(K299)&gt;=N(N299),"The Lens","The Hub"))</f>
        <v>The Lens</v>
      </c>
      <c r="Q299" s="21" t="s">
        <v>78</v>
      </c>
      <c r="R299" s="26" t="s">
        <v>668</v>
      </c>
      <c r="S299" s="17" t="s">
        <v>21</v>
      </c>
    </row>
    <row r="300" customFormat="false" ht="15" hidden="false" customHeight="false" outlineLevel="0" collapsed="false">
      <c r="A300" s="17" t="s">
        <v>567</v>
      </c>
      <c r="B300" s="17" t="s">
        <v>568</v>
      </c>
      <c r="C300" s="17" t="s">
        <v>1264</v>
      </c>
      <c r="D300" s="17" t="s">
        <v>72</v>
      </c>
      <c r="E300" s="18" t="n">
        <v>1820240</v>
      </c>
      <c r="F300" s="17" t="s">
        <v>752</v>
      </c>
      <c r="G300" s="23" t="n">
        <v>0.306734276798664</v>
      </c>
      <c r="H300" s="19" t="n">
        <v>19</v>
      </c>
      <c r="I300" s="17" t="n">
        <f aca="false">IF(H300="","",RANK(H300,$H$5:$H$363))</f>
        <v>296</v>
      </c>
      <c r="J300" s="24" t="n">
        <v>0.149061618195706</v>
      </c>
      <c r="K300" s="19" t="n">
        <v>75</v>
      </c>
      <c r="L300" s="17" t="n">
        <f aca="false">IF(K300="","",RANK(K300,$K$5:$K$363))</f>
        <v>94</v>
      </c>
      <c r="M300" s="25" t="n">
        <v>0.0702783753830106</v>
      </c>
      <c r="N300" s="19" t="n">
        <v>21</v>
      </c>
      <c r="O300" s="17" t="n">
        <f aca="false">IF(N300="","",RANK(N300,$N$5:$N$363))</f>
        <v>258</v>
      </c>
      <c r="P300" s="17" t="str">
        <f aca="false">IF(AND(N(H300)&gt;=N(K300),N(H300)&gt;=N(N300)),"The Pulse",IF(N(K300)&gt;=N(N300),"The Lens","The Hub"))</f>
        <v>The Lens</v>
      </c>
      <c r="Q300" s="21" t="s">
        <v>78</v>
      </c>
      <c r="R300" s="27" t="s">
        <v>671</v>
      </c>
      <c r="S300" s="17" t="s">
        <v>21</v>
      </c>
    </row>
    <row r="301" customFormat="false" ht="15" hidden="false" customHeight="false" outlineLevel="0" collapsed="false">
      <c r="A301" s="17" t="s">
        <v>603</v>
      </c>
      <c r="B301" s="17" t="s">
        <v>604</v>
      </c>
      <c r="C301" s="17" t="s">
        <v>1265</v>
      </c>
      <c r="D301" s="17" t="s">
        <v>87</v>
      </c>
      <c r="E301" s="18" t="n">
        <v>109674</v>
      </c>
      <c r="F301" s="17" t="s">
        <v>670</v>
      </c>
      <c r="G301" s="23" t="n">
        <v>0.301721465433922</v>
      </c>
      <c r="H301" s="19" t="n">
        <v>18.8</v>
      </c>
      <c r="I301" s="17" t="n">
        <f aca="false">IF(H301="","",RANK(H301,$H$5:$H$363))</f>
        <v>297</v>
      </c>
      <c r="J301" s="24" t="n">
        <v>0.139363591975815</v>
      </c>
      <c r="K301" s="19" t="n">
        <v>72.5</v>
      </c>
      <c r="L301" s="17" t="n">
        <f aca="false">IF(K301="","",RANK(K301,$K$5:$K$363))</f>
        <v>104</v>
      </c>
      <c r="M301" s="25" t="n">
        <v>0.120879120879121</v>
      </c>
      <c r="N301" s="19" t="n">
        <v>42.5</v>
      </c>
      <c r="O301" s="17" t="n">
        <f aca="false">IF(N301="","",RANK(N301,$N$5:$N$363))</f>
        <v>188</v>
      </c>
      <c r="P301" s="17" t="str">
        <f aca="false">IF(AND(N(H301)&gt;=N(K301),N(H301)&gt;=N(N301)),"The Pulse",IF(N(K301)&gt;=N(N301),"The Lens","The Hub"))</f>
        <v>The Lens</v>
      </c>
      <c r="Q301" s="20" t="s">
        <v>74</v>
      </c>
      <c r="R301" s="27" t="s">
        <v>671</v>
      </c>
      <c r="S301" s="17" t="s">
        <v>19</v>
      </c>
    </row>
    <row r="302" customFormat="false" ht="15" hidden="false" customHeight="false" outlineLevel="0" collapsed="false">
      <c r="A302" s="17" t="s">
        <v>1266</v>
      </c>
      <c r="B302" s="17" t="s">
        <v>1267</v>
      </c>
      <c r="C302" s="17" t="s">
        <v>1268</v>
      </c>
      <c r="D302" s="17" t="s">
        <v>138</v>
      </c>
      <c r="E302" s="18" t="n">
        <v>3325</v>
      </c>
      <c r="F302" s="17" t="s">
        <v>678</v>
      </c>
      <c r="G302" s="23" t="n">
        <v>0.301052631578947</v>
      </c>
      <c r="H302" s="19" t="n">
        <v>18.6</v>
      </c>
      <c r="I302" s="17" t="n">
        <f aca="false">IF(H302="","",RANK(H302,$H$5:$H$363))</f>
        <v>298</v>
      </c>
      <c r="J302" s="24" t="n">
        <v>0.156924147529576</v>
      </c>
      <c r="K302" s="19" t="n">
        <v>75.9</v>
      </c>
      <c r="L302" s="17" t="n">
        <f aca="false">IF(K302="","",RANK(K302,$K$5:$K$363))</f>
        <v>90</v>
      </c>
      <c r="M302" s="25" t="n">
        <v>0.0666666666666667</v>
      </c>
      <c r="N302" s="19" t="n">
        <v>19.1</v>
      </c>
      <c r="O302" s="17" t="n">
        <f aca="false">IF(N302="","",RANK(N302,$N$5:$N$363))</f>
        <v>263</v>
      </c>
      <c r="P302" s="17" t="str">
        <f aca="false">IF(AND(N(H302)&gt;=N(K302),N(H302)&gt;=N(N302)),"The Pulse",IF(N(K302)&gt;=N(N302),"The Lens","The Hub"))</f>
        <v>The Lens</v>
      </c>
      <c r="Q302" s="20" t="s">
        <v>74</v>
      </c>
      <c r="R302" s="26" t="s">
        <v>668</v>
      </c>
      <c r="S302" s="17" t="s">
        <v>19</v>
      </c>
    </row>
    <row r="303" customFormat="false" ht="15" hidden="false" customHeight="false" outlineLevel="0" collapsed="false">
      <c r="A303" s="17" t="s">
        <v>1269</v>
      </c>
      <c r="B303" s="17" t="s">
        <v>1270</v>
      </c>
      <c r="C303" s="17" t="s">
        <v>1271</v>
      </c>
      <c r="D303" s="17" t="s">
        <v>92</v>
      </c>
      <c r="E303" s="18" t="n">
        <v>105330</v>
      </c>
      <c r="F303" s="17" t="s">
        <v>670</v>
      </c>
      <c r="G303" s="23" t="n">
        <v>0.29566125510301</v>
      </c>
      <c r="H303" s="19" t="n">
        <v>18.4</v>
      </c>
      <c r="I303" s="17" t="n">
        <f aca="false">IF(H303="","",RANK(H303,$H$5:$H$363))</f>
        <v>299</v>
      </c>
      <c r="J303" s="24" t="n">
        <v>-0.0488531695864186</v>
      </c>
      <c r="K303" s="19" t="n">
        <v>6.5</v>
      </c>
      <c r="L303" s="17" t="n">
        <f aca="false">IF(K303="","",RANK(K303,$K$5:$K$363))</f>
        <v>337</v>
      </c>
      <c r="M303" s="25" t="n">
        <v>0.133953488372093</v>
      </c>
      <c r="N303" s="19" t="n">
        <v>50.3</v>
      </c>
      <c r="O303" s="17" t="n">
        <f aca="false">IF(N303="","",RANK(N303,$N$5:$N$363))</f>
        <v>160</v>
      </c>
      <c r="P303" s="17" t="str">
        <f aca="false">IF(AND(N(H303)&gt;=N(K303),N(H303)&gt;=N(N303)),"The Pulse",IF(N(K303)&gt;=N(N303),"The Lens","The Hub"))</f>
        <v>The Hub</v>
      </c>
      <c r="Q303" s="21" t="s">
        <v>78</v>
      </c>
      <c r="R303" s="26" t="s">
        <v>668</v>
      </c>
      <c r="S303" s="17" t="s">
        <v>21</v>
      </c>
    </row>
    <row r="304" customFormat="false" ht="15" hidden="false" customHeight="false" outlineLevel="0" collapsed="false">
      <c r="A304" s="17" t="s">
        <v>269</v>
      </c>
      <c r="B304" s="17" t="s">
        <v>270</v>
      </c>
      <c r="C304" s="17" t="s">
        <v>1272</v>
      </c>
      <c r="D304" s="17" t="s">
        <v>81</v>
      </c>
      <c r="E304" s="18" t="n">
        <v>42422</v>
      </c>
      <c r="F304" s="17" t="s">
        <v>667</v>
      </c>
      <c r="G304" s="23" t="n">
        <v>0.29166470227712</v>
      </c>
      <c r="H304" s="19" t="n">
        <v>17.9</v>
      </c>
      <c r="I304" s="17" t="n">
        <f aca="false">IF(H304="","",RANK(H304,$H$5:$H$363))</f>
        <v>300</v>
      </c>
      <c r="J304" s="24" t="n">
        <v>0.103274297157421</v>
      </c>
      <c r="K304" s="19" t="n">
        <v>55.6</v>
      </c>
      <c r="L304" s="17" t="n">
        <f aca="false">IF(K304="","",RANK(K304,$K$5:$K$363))</f>
        <v>159</v>
      </c>
      <c r="M304" s="25" t="n">
        <v>0.185265438786566</v>
      </c>
      <c r="N304" s="19" t="n">
        <v>66.3</v>
      </c>
      <c r="O304" s="17" t="n">
        <f aca="false">IF(N304="","",RANK(N304,$N$5:$N$363))</f>
        <v>108</v>
      </c>
      <c r="P304" s="17" t="str">
        <f aca="false">IF(AND(N(H304)&gt;=N(K304),N(H304)&gt;=N(N304)),"The Pulse",IF(N(K304)&gt;=N(N304),"The Lens","The Hub"))</f>
        <v>The Hub</v>
      </c>
      <c r="Q304" s="20" t="s">
        <v>74</v>
      </c>
      <c r="R304" s="27" t="s">
        <v>671</v>
      </c>
      <c r="S304" s="17" t="s">
        <v>19</v>
      </c>
    </row>
    <row r="305" customFormat="false" ht="15" hidden="false" customHeight="false" outlineLevel="0" collapsed="false">
      <c r="A305" s="17" t="s">
        <v>607</v>
      </c>
      <c r="B305" s="17" t="s">
        <v>608</v>
      </c>
      <c r="C305" s="17" t="s">
        <v>1273</v>
      </c>
      <c r="D305" s="17" t="s">
        <v>81</v>
      </c>
      <c r="E305" s="18" t="n">
        <v>233610</v>
      </c>
      <c r="F305" s="17" t="s">
        <v>670</v>
      </c>
      <c r="G305" s="23" t="n">
        <v>0.287817302341509</v>
      </c>
      <c r="H305" s="19" t="n">
        <v>17.5</v>
      </c>
      <c r="I305" s="17" t="n">
        <f aca="false">IF(H305="","",RANK(H305,$H$5:$H$363))</f>
        <v>301</v>
      </c>
      <c r="J305" s="24" t="n">
        <v>0.0394678294918573</v>
      </c>
      <c r="K305" s="19" t="n">
        <v>26.1</v>
      </c>
      <c r="L305" s="17" t="n">
        <f aca="false">IF(K305="","",RANK(K305,$K$5:$K$363))</f>
        <v>265</v>
      </c>
      <c r="M305" s="25" t="n">
        <v>0.292368326764601</v>
      </c>
      <c r="N305" s="19" t="n">
        <v>90.1</v>
      </c>
      <c r="O305" s="17" t="n">
        <f aca="false">IF(N305="","",RANK(N305,$N$5:$N$363))</f>
        <v>34</v>
      </c>
      <c r="P305" s="17" t="str">
        <f aca="false">IF(AND(N(H305)&gt;=N(K305),N(H305)&gt;=N(N305)),"The Pulse",IF(N(K305)&gt;=N(N305),"The Lens","The Hub"))</f>
        <v>The Hub</v>
      </c>
      <c r="Q305" s="21" t="s">
        <v>78</v>
      </c>
      <c r="R305" s="27" t="s">
        <v>671</v>
      </c>
      <c r="S305" s="17" t="s">
        <v>21</v>
      </c>
    </row>
    <row r="306" customFormat="false" ht="15" hidden="false" customHeight="false" outlineLevel="0" collapsed="false">
      <c r="A306" s="17" t="s">
        <v>433</v>
      </c>
      <c r="B306" s="17" t="s">
        <v>434</v>
      </c>
      <c r="C306" s="17" t="s">
        <v>1274</v>
      </c>
      <c r="D306" s="17" t="s">
        <v>138</v>
      </c>
      <c r="E306" s="18" t="n">
        <v>79640</v>
      </c>
      <c r="F306" s="17" t="s">
        <v>667</v>
      </c>
      <c r="G306" s="23" t="n">
        <v>0.286978905072828</v>
      </c>
      <c r="H306" s="19" t="n">
        <v>17.3</v>
      </c>
      <c r="I306" s="17" t="n">
        <f aca="false">IF(H306="","",RANK(H306,$H$5:$H$363))</f>
        <v>302</v>
      </c>
      <c r="J306" s="24" t="n">
        <v>-0.0619220938313486</v>
      </c>
      <c r="K306" s="19" t="n">
        <v>2.4</v>
      </c>
      <c r="L306" s="17" t="n">
        <f aca="false">IF(K306="","",RANK(K306,$K$5:$K$363))</f>
        <v>352</v>
      </c>
      <c r="M306" s="25" t="n">
        <v>0.253791257805531</v>
      </c>
      <c r="N306" s="19" t="n">
        <v>82.9</v>
      </c>
      <c r="O306" s="17" t="n">
        <f aca="false">IF(N306="","",RANK(N306,$N$5:$N$363))</f>
        <v>55</v>
      </c>
      <c r="P306" s="17" t="str">
        <f aca="false">IF(AND(N(H306)&gt;=N(K306),N(H306)&gt;=N(N306)),"The Pulse",IF(N(K306)&gt;=N(N306),"The Lens","The Hub"))</f>
        <v>The Hub</v>
      </c>
      <c r="Q306" s="20" t="s">
        <v>74</v>
      </c>
      <c r="R306" s="27" t="s">
        <v>671</v>
      </c>
      <c r="S306" s="17" t="s">
        <v>19</v>
      </c>
    </row>
    <row r="307" customFormat="false" ht="15" hidden="false" customHeight="false" outlineLevel="0" collapsed="false">
      <c r="A307" s="17" t="s">
        <v>451</v>
      </c>
      <c r="B307" s="17" t="s">
        <v>452</v>
      </c>
      <c r="C307" s="17" t="s">
        <v>1275</v>
      </c>
      <c r="D307" s="17" t="s">
        <v>72</v>
      </c>
      <c r="E307" s="18" t="n">
        <v>243210</v>
      </c>
      <c r="F307" s="17" t="s">
        <v>670</v>
      </c>
      <c r="G307" s="23" t="n">
        <v>0.281456354590683</v>
      </c>
      <c r="H307" s="19" t="n">
        <v>17.1</v>
      </c>
      <c r="I307" s="17" t="n">
        <f aca="false">IF(H307="","",RANK(H307,$H$5:$H$363))</f>
        <v>303</v>
      </c>
      <c r="J307" s="24" t="n">
        <v>0.0825210308452397</v>
      </c>
      <c r="K307" s="19" t="n">
        <v>52.9</v>
      </c>
      <c r="L307" s="17" t="n">
        <f aca="false">IF(K307="","",RANK(K307,$K$5:$K$363))</f>
        <v>167</v>
      </c>
      <c r="M307" s="25" t="n">
        <v>0.0717299578059072</v>
      </c>
      <c r="N307" s="19" t="n">
        <v>22.7</v>
      </c>
      <c r="O307" s="17" t="n">
        <f aca="false">IF(N307="","",RANK(N307,$N$5:$N$363))</f>
        <v>253</v>
      </c>
      <c r="P307" s="17" t="str">
        <f aca="false">IF(AND(N(H307)&gt;=N(K307),N(H307)&gt;=N(N307)),"The Pulse",IF(N(K307)&gt;=N(N307),"The Lens","The Hub"))</f>
        <v>The Lens</v>
      </c>
      <c r="Q307" s="21" t="s">
        <v>78</v>
      </c>
      <c r="R307" s="27" t="s">
        <v>671</v>
      </c>
      <c r="S307" s="17" t="s">
        <v>21</v>
      </c>
    </row>
    <row r="308" customFormat="false" ht="15" hidden="false" customHeight="false" outlineLevel="0" collapsed="false">
      <c r="A308" s="17" t="s">
        <v>1276</v>
      </c>
      <c r="B308" s="17" t="s">
        <v>1277</v>
      </c>
      <c r="C308" s="17" t="s">
        <v>1278</v>
      </c>
      <c r="D308" s="17" t="s">
        <v>72</v>
      </c>
      <c r="E308" s="18" t="n">
        <v>86358</v>
      </c>
      <c r="F308" s="17" t="s">
        <v>667</v>
      </c>
      <c r="G308" s="23" t="n">
        <v>0.278723453530652</v>
      </c>
      <c r="H308" s="19" t="n">
        <v>16.9</v>
      </c>
      <c r="I308" s="17" t="n">
        <f aca="false">IF(H308="","",RANK(H308,$H$5:$H$363))</f>
        <v>304</v>
      </c>
      <c r="J308" s="24" t="n">
        <v>0.145741843896356</v>
      </c>
      <c r="K308" s="19" t="n">
        <v>76.2</v>
      </c>
      <c r="L308" s="17" t="n">
        <f aca="false">IF(K308="","",RANK(K308,$K$5:$K$363))</f>
        <v>88</v>
      </c>
      <c r="M308" s="28" t="s">
        <v>680</v>
      </c>
      <c r="N308" s="19"/>
      <c r="O308" s="17" t="str">
        <f aca="false">IF(N308="","",RANK(N308,$N$5:$N$363))</f>
        <v/>
      </c>
      <c r="P308" s="17" t="str">
        <f aca="false">IF(AND(N(H308)&gt;=N(K308),N(H308)&gt;=N(N308)),"The Pulse",IF(N(K308)&gt;=N(N308),"The Lens","The Hub"))</f>
        <v>The Lens</v>
      </c>
      <c r="Q308" s="20" t="s">
        <v>74</v>
      </c>
      <c r="R308" s="26" t="s">
        <v>668</v>
      </c>
      <c r="S308" s="17" t="s">
        <v>19</v>
      </c>
    </row>
    <row r="309" customFormat="false" ht="15" hidden="false" customHeight="false" outlineLevel="0" collapsed="false">
      <c r="A309" s="17" t="s">
        <v>1279</v>
      </c>
      <c r="B309" s="17" t="s">
        <v>1279</v>
      </c>
      <c r="C309" s="17" t="s">
        <v>1280</v>
      </c>
      <c r="D309" s="17"/>
      <c r="E309" s="18" t="n">
        <v>32120</v>
      </c>
      <c r="F309" s="17" t="s">
        <v>667</v>
      </c>
      <c r="G309" s="23" t="n">
        <v>0.278455790784558</v>
      </c>
      <c r="H309" s="19" t="n">
        <v>16.7</v>
      </c>
      <c r="I309" s="17" t="n">
        <f aca="false">IF(H309="","",RANK(H309,$H$5:$H$363))</f>
        <v>305</v>
      </c>
      <c r="J309" s="24" t="n">
        <v>0.197167349981364</v>
      </c>
      <c r="K309" s="19" t="n">
        <v>92.1</v>
      </c>
      <c r="L309" s="17" t="n">
        <f aca="false">IF(K309="","",RANK(K309,$K$5:$K$363))</f>
        <v>30</v>
      </c>
      <c r="M309" s="25" t="n">
        <v>0.102719033232628</v>
      </c>
      <c r="N309" s="19" t="n">
        <v>35.9</v>
      </c>
      <c r="O309" s="17" t="n">
        <f aca="false">IF(N309="","",RANK(N309,$N$5:$N$363))</f>
        <v>211</v>
      </c>
      <c r="P309" s="17" t="str">
        <f aca="false">IF(AND(N(H309)&gt;=N(K309),N(H309)&gt;=N(N309)),"The Pulse",IF(N(K309)&gt;=N(N309),"The Lens","The Hub"))</f>
        <v>The Lens</v>
      </c>
      <c r="Q309" s="21" t="s">
        <v>78</v>
      </c>
      <c r="R309" s="26" t="s">
        <v>668</v>
      </c>
      <c r="S309" s="17" t="s">
        <v>21</v>
      </c>
    </row>
    <row r="310" customFormat="false" ht="15" hidden="false" customHeight="false" outlineLevel="0" collapsed="false">
      <c r="A310" s="17" t="s">
        <v>611</v>
      </c>
      <c r="B310" s="17" t="s">
        <v>612</v>
      </c>
      <c r="C310" s="17" t="s">
        <v>1281</v>
      </c>
      <c r="D310" s="17" t="s">
        <v>105</v>
      </c>
      <c r="E310" s="18" t="n">
        <v>216160</v>
      </c>
      <c r="F310" s="17" t="s">
        <v>670</v>
      </c>
      <c r="G310" s="23" t="n">
        <v>0.27543948926721</v>
      </c>
      <c r="H310" s="19" t="n">
        <v>16.5</v>
      </c>
      <c r="I310" s="17" t="n">
        <f aca="false">IF(H310="","",RANK(H310,$H$5:$H$363))</f>
        <v>306</v>
      </c>
      <c r="J310" s="24" t="n">
        <v>0.197761400786834</v>
      </c>
      <c r="K310" s="19" t="n">
        <v>92</v>
      </c>
      <c r="L310" s="17" t="n">
        <f aca="false">IF(K310="","",RANK(K310,$K$5:$K$363))</f>
        <v>31</v>
      </c>
      <c r="M310" s="25" t="n">
        <v>0.0868783702816058</v>
      </c>
      <c r="N310" s="19" t="n">
        <v>29.6</v>
      </c>
      <c r="O310" s="17" t="n">
        <f aca="false">IF(N310="","",RANK(N310,$N$5:$N$363))</f>
        <v>229</v>
      </c>
      <c r="P310" s="17" t="str">
        <f aca="false">IF(AND(N(H310)&gt;=N(K310),N(H310)&gt;=N(N310)),"The Pulse",IF(N(K310)&gt;=N(N310),"The Lens","The Hub"))</f>
        <v>The Lens</v>
      </c>
      <c r="Q310" s="21" t="s">
        <v>78</v>
      </c>
      <c r="R310" s="27" t="s">
        <v>671</v>
      </c>
      <c r="S310" s="17" t="s">
        <v>21</v>
      </c>
    </row>
    <row r="311" customFormat="false" ht="15" hidden="false" customHeight="false" outlineLevel="0" collapsed="false">
      <c r="A311" s="17" t="s">
        <v>487</v>
      </c>
      <c r="B311" s="17" t="s">
        <v>488</v>
      </c>
      <c r="C311" s="17" t="s">
        <v>1282</v>
      </c>
      <c r="D311" s="17" t="s">
        <v>114</v>
      </c>
      <c r="E311" s="18" t="n">
        <v>139458</v>
      </c>
      <c r="F311" s="17" t="s">
        <v>670</v>
      </c>
      <c r="G311" s="23" t="n">
        <v>0.275366060032411</v>
      </c>
      <c r="H311" s="19" t="n">
        <v>16.2</v>
      </c>
      <c r="I311" s="17" t="n">
        <f aca="false">IF(H311="","",RANK(H311,$H$5:$H$363))</f>
        <v>307</v>
      </c>
      <c r="J311" s="24" t="n">
        <v>0.0137460292075861</v>
      </c>
      <c r="K311" s="19" t="n">
        <v>16.7</v>
      </c>
      <c r="L311" s="17" t="n">
        <f aca="false">IF(K311="","",RANK(K311,$K$5:$K$363))</f>
        <v>299</v>
      </c>
      <c r="M311" s="25" t="n">
        <v>0.108115543328748</v>
      </c>
      <c r="N311" s="19" t="n">
        <v>39.2</v>
      </c>
      <c r="O311" s="17" t="n">
        <f aca="false">IF(N311="","",RANK(N311,$N$5:$N$363))</f>
        <v>200</v>
      </c>
      <c r="P311" s="17" t="str">
        <f aca="false">IF(AND(N(H311)&gt;=N(K311),N(H311)&gt;=N(N311)),"The Pulse",IF(N(K311)&gt;=N(N311),"The Lens","The Hub"))</f>
        <v>The Hub</v>
      </c>
      <c r="Q311" s="20" t="s">
        <v>74</v>
      </c>
      <c r="R311" s="27" t="s">
        <v>671</v>
      </c>
      <c r="S311" s="17" t="s">
        <v>19</v>
      </c>
    </row>
    <row r="312" customFormat="false" ht="15" hidden="false" customHeight="false" outlineLevel="0" collapsed="false">
      <c r="A312" s="17" t="s">
        <v>1283</v>
      </c>
      <c r="B312" s="17" t="s">
        <v>1284</v>
      </c>
      <c r="C312" s="17" t="s">
        <v>1285</v>
      </c>
      <c r="D312" s="17" t="s">
        <v>102</v>
      </c>
      <c r="E312" s="18" t="n">
        <v>93510</v>
      </c>
      <c r="F312" s="17" t="s">
        <v>667</v>
      </c>
      <c r="G312" s="23" t="n">
        <v>0.274612340926104</v>
      </c>
      <c r="H312" s="19" t="n">
        <v>16</v>
      </c>
      <c r="I312" s="17" t="n">
        <f aca="false">IF(H312="","",RANK(H312,$H$5:$H$363))</f>
        <v>308</v>
      </c>
      <c r="J312" s="24" t="n">
        <v>0.0381925169312757</v>
      </c>
      <c r="K312" s="19" t="n">
        <v>22.6</v>
      </c>
      <c r="L312" s="17" t="n">
        <f aca="false">IF(K312="","",RANK(K312,$K$5:$K$363))</f>
        <v>276</v>
      </c>
      <c r="M312" s="25" t="n">
        <v>0.271551724137931</v>
      </c>
      <c r="N312" s="19" t="n">
        <v>85.9</v>
      </c>
      <c r="O312" s="17" t="n">
        <f aca="false">IF(N312="","",RANK(N312,$N$5:$N$363))</f>
        <v>45</v>
      </c>
      <c r="P312" s="17" t="str">
        <f aca="false">IF(AND(N(H312)&gt;=N(K312),N(H312)&gt;=N(N312)),"The Pulse",IF(N(K312)&gt;=N(N312),"The Lens","The Hub"))</f>
        <v>The Hub</v>
      </c>
      <c r="Q312" s="21" t="s">
        <v>78</v>
      </c>
      <c r="R312" s="26" t="s">
        <v>668</v>
      </c>
      <c r="S312" s="17" t="s">
        <v>21</v>
      </c>
    </row>
    <row r="313" customFormat="false" ht="15" hidden="false" customHeight="false" outlineLevel="0" collapsed="false">
      <c r="A313" s="17" t="s">
        <v>521</v>
      </c>
      <c r="B313" s="17" t="s">
        <v>522</v>
      </c>
      <c r="C313" s="17" t="s">
        <v>1286</v>
      </c>
      <c r="D313" s="17" t="s">
        <v>114</v>
      </c>
      <c r="E313" s="18" t="n">
        <v>20468</v>
      </c>
      <c r="F313" s="17" t="s">
        <v>667</v>
      </c>
      <c r="G313" s="23" t="n">
        <v>0.273304670705492</v>
      </c>
      <c r="H313" s="19" t="n">
        <v>15.8</v>
      </c>
      <c r="I313" s="17" t="n">
        <f aca="false">IF(H313="","",RANK(H313,$H$5:$H$363))</f>
        <v>309</v>
      </c>
      <c r="J313" s="24" t="n">
        <v>-0.00102494021182098</v>
      </c>
      <c r="K313" s="19" t="n">
        <v>9.1</v>
      </c>
      <c r="L313" s="17" t="n">
        <f aca="false">IF(K313="","",RANK(K313,$K$5:$K$363))</f>
        <v>327</v>
      </c>
      <c r="M313" s="25" t="n">
        <v>0.141752577319588</v>
      </c>
      <c r="N313" s="19" t="n">
        <v>53</v>
      </c>
      <c r="O313" s="17" t="n">
        <f aca="false">IF(N313="","",RANK(N313,$N$5:$N$363))</f>
        <v>151</v>
      </c>
      <c r="P313" s="17" t="str">
        <f aca="false">IF(AND(N(H313)&gt;=N(K313),N(H313)&gt;=N(N313)),"The Pulse",IF(N(K313)&gt;=N(N313),"The Lens","The Hub"))</f>
        <v>The Hub</v>
      </c>
      <c r="Q313" s="20" t="s">
        <v>74</v>
      </c>
      <c r="R313" s="27" t="s">
        <v>671</v>
      </c>
      <c r="S313" s="17" t="s">
        <v>19</v>
      </c>
    </row>
    <row r="314" customFormat="false" ht="15" hidden="false" customHeight="false" outlineLevel="0" collapsed="false">
      <c r="A314" s="17" t="s">
        <v>275</v>
      </c>
      <c r="B314" s="17" t="s">
        <v>276</v>
      </c>
      <c r="C314" s="17" t="s">
        <v>1287</v>
      </c>
      <c r="D314" s="17" t="s">
        <v>77</v>
      </c>
      <c r="E314" s="18" t="n">
        <v>372974</v>
      </c>
      <c r="F314" s="17" t="s">
        <v>670</v>
      </c>
      <c r="G314" s="23" t="n">
        <v>0.273246928740341</v>
      </c>
      <c r="H314" s="19" t="n">
        <v>15.6</v>
      </c>
      <c r="I314" s="17" t="n">
        <f aca="false">IF(H314="","",RANK(H314,$H$5:$H$363))</f>
        <v>310</v>
      </c>
      <c r="J314" s="24" t="n">
        <v>0.19879533562181</v>
      </c>
      <c r="K314" s="19" t="n">
        <v>93.5</v>
      </c>
      <c r="L314" s="17" t="n">
        <f aca="false">IF(K314="","",RANK(K314,$K$5:$K$363))</f>
        <v>24</v>
      </c>
      <c r="M314" s="25" t="n">
        <v>0.104989953114535</v>
      </c>
      <c r="N314" s="19" t="n">
        <v>37.3</v>
      </c>
      <c r="O314" s="17" t="n">
        <f aca="false">IF(N314="","",RANK(N314,$N$5:$N$363))</f>
        <v>206</v>
      </c>
      <c r="P314" s="17" t="str">
        <f aca="false">IF(AND(N(H314)&gt;=N(K314),N(H314)&gt;=N(N314)),"The Pulse",IF(N(K314)&gt;=N(N314),"The Lens","The Hub"))</f>
        <v>The Lens</v>
      </c>
      <c r="Q314" s="20" t="s">
        <v>74</v>
      </c>
      <c r="R314" s="27" t="s">
        <v>671</v>
      </c>
      <c r="S314" s="17" t="s">
        <v>19</v>
      </c>
    </row>
    <row r="315" customFormat="false" ht="15" hidden="false" customHeight="false" outlineLevel="0" collapsed="false">
      <c r="A315" s="17" t="s">
        <v>1288</v>
      </c>
      <c r="B315" s="17" t="s">
        <v>1289</v>
      </c>
      <c r="C315" s="17" t="s">
        <v>1290</v>
      </c>
      <c r="D315" s="17" t="s">
        <v>77</v>
      </c>
      <c r="E315" s="18" t="n">
        <v>178030</v>
      </c>
      <c r="F315" s="17" t="s">
        <v>670</v>
      </c>
      <c r="G315" s="23" t="n">
        <v>0.267966073133742</v>
      </c>
      <c r="H315" s="19" t="n">
        <v>15</v>
      </c>
      <c r="I315" s="17" t="n">
        <f aca="false">IF(H315="","",RANK(H315,$H$5:$H$363))</f>
        <v>311</v>
      </c>
      <c r="J315" s="24" t="n">
        <v>0.0208961728579129</v>
      </c>
      <c r="K315" s="19" t="n">
        <v>21.7</v>
      </c>
      <c r="L315" s="17" t="n">
        <f aca="false">IF(K315="","",RANK(K315,$K$5:$K$363))</f>
        <v>281</v>
      </c>
      <c r="M315" s="25" t="n">
        <v>0.165361584523261</v>
      </c>
      <c r="N315" s="19" t="n">
        <v>59.7</v>
      </c>
      <c r="O315" s="17" t="n">
        <f aca="false">IF(N315="","",RANK(N315,$N$5:$N$363))</f>
        <v>130</v>
      </c>
      <c r="P315" s="17" t="str">
        <f aca="false">IF(AND(N(H315)&gt;=N(K315),N(H315)&gt;=N(N315)),"The Pulse",IF(N(K315)&gt;=N(N315),"The Lens","The Hub"))</f>
        <v>The Hub</v>
      </c>
      <c r="Q315" s="21" t="s">
        <v>78</v>
      </c>
      <c r="R315" s="26" t="s">
        <v>668</v>
      </c>
      <c r="S315" s="17" t="s">
        <v>126</v>
      </c>
    </row>
    <row r="316" customFormat="false" ht="15" hidden="false" customHeight="false" outlineLevel="0" collapsed="false">
      <c r="A316" s="17" t="s">
        <v>455</v>
      </c>
      <c r="B316" s="17" t="s">
        <v>456</v>
      </c>
      <c r="C316" s="17" t="s">
        <v>1291</v>
      </c>
      <c r="D316" s="17" t="s">
        <v>87</v>
      </c>
      <c r="E316" s="18" t="n">
        <v>39000</v>
      </c>
      <c r="F316" s="17" t="s">
        <v>667</v>
      </c>
      <c r="G316" s="23" t="n">
        <v>0.265974358974359</v>
      </c>
      <c r="H316" s="19" t="n">
        <v>14.7</v>
      </c>
      <c r="I316" s="17" t="n">
        <f aca="false">IF(H316="","",RANK(H316,$H$5:$H$363))</f>
        <v>312</v>
      </c>
      <c r="J316" s="24" t="n">
        <v>0.129452649869679</v>
      </c>
      <c r="K316" s="19" t="n">
        <v>66.7</v>
      </c>
      <c r="L316" s="17" t="n">
        <f aca="false">IF(K316="","",RANK(K316,$K$5:$K$363))</f>
        <v>123</v>
      </c>
      <c r="M316" s="25" t="n">
        <v>0.243675099866844</v>
      </c>
      <c r="N316" s="19" t="n">
        <v>80.4</v>
      </c>
      <c r="O316" s="17" t="n">
        <f aca="false">IF(N316="","",RANK(N316,$N$5:$N$363))</f>
        <v>64</v>
      </c>
      <c r="P316" s="17" t="str">
        <f aca="false">IF(AND(N(H316)&gt;=N(K316),N(H316)&gt;=N(N316)),"The Pulse",IF(N(K316)&gt;=N(N316),"The Lens","The Hub"))</f>
        <v>The Hub</v>
      </c>
      <c r="Q316" s="21" t="s">
        <v>78</v>
      </c>
      <c r="R316" s="27" t="s">
        <v>671</v>
      </c>
      <c r="S316" s="17" t="s">
        <v>21</v>
      </c>
    </row>
    <row r="317" customFormat="false" ht="15" hidden="false" customHeight="false" outlineLevel="0" collapsed="false">
      <c r="A317" s="17" t="s">
        <v>381</v>
      </c>
      <c r="B317" s="17" t="s">
        <v>382</v>
      </c>
      <c r="C317" s="17" t="s">
        <v>1292</v>
      </c>
      <c r="D317" s="17" t="s">
        <v>87</v>
      </c>
      <c r="E317" s="18" t="n">
        <v>165130</v>
      </c>
      <c r="F317" s="17" t="s">
        <v>670</v>
      </c>
      <c r="G317" s="23" t="n">
        <v>0.263041240234966</v>
      </c>
      <c r="H317" s="19" t="n">
        <v>14.5</v>
      </c>
      <c r="I317" s="17" t="n">
        <f aca="false">IF(H317="","",RANK(H317,$H$5:$H$363))</f>
        <v>313</v>
      </c>
      <c r="J317" s="24" t="n">
        <v>0.0688717716357046</v>
      </c>
      <c r="K317" s="19" t="n">
        <v>45.7</v>
      </c>
      <c r="L317" s="17" t="n">
        <f aca="false">IF(K317="","",RANK(K317,$K$5:$K$363))</f>
        <v>194</v>
      </c>
      <c r="M317" s="25" t="n">
        <v>0.0455445544554455</v>
      </c>
      <c r="N317" s="19" t="n">
        <v>11.6</v>
      </c>
      <c r="O317" s="17" t="n">
        <f aca="false">IF(N317="","",RANK(N317,$N$5:$N$363))</f>
        <v>286</v>
      </c>
      <c r="P317" s="17" t="str">
        <f aca="false">IF(AND(N(H317)&gt;=N(K317),N(H317)&gt;=N(N317)),"The Pulse",IF(N(K317)&gt;=N(N317),"The Lens","The Hub"))</f>
        <v>The Lens</v>
      </c>
      <c r="Q317" s="21" t="s">
        <v>78</v>
      </c>
      <c r="R317" s="27" t="s">
        <v>671</v>
      </c>
      <c r="S317" s="17" t="s">
        <v>21</v>
      </c>
    </row>
    <row r="318" customFormat="false" ht="15" hidden="false" customHeight="false" outlineLevel="0" collapsed="false">
      <c r="A318" s="17" t="s">
        <v>605</v>
      </c>
      <c r="B318" s="17" t="s">
        <v>606</v>
      </c>
      <c r="C318" s="17" t="s">
        <v>1293</v>
      </c>
      <c r="D318" s="17" t="s">
        <v>87</v>
      </c>
      <c r="E318" s="18" t="n">
        <v>17756</v>
      </c>
      <c r="F318" s="17" t="s">
        <v>667</v>
      </c>
      <c r="G318" s="23" t="n">
        <v>0.262446496958775</v>
      </c>
      <c r="H318" s="19" t="n">
        <v>14.3</v>
      </c>
      <c r="I318" s="17" t="n">
        <f aca="false">IF(H318="","",RANK(H318,$H$5:$H$363))</f>
        <v>314</v>
      </c>
      <c r="J318" s="24" t="n">
        <v>0.0288561826399351</v>
      </c>
      <c r="K318" s="19" t="n">
        <v>16.7</v>
      </c>
      <c r="L318" s="17" t="n">
        <f aca="false">IF(K318="","",RANK(K318,$K$5:$K$363))</f>
        <v>299</v>
      </c>
      <c r="M318" s="25" t="n">
        <v>0.301158301158301</v>
      </c>
      <c r="N318" s="19" t="n">
        <v>91.2</v>
      </c>
      <c r="O318" s="17" t="n">
        <f aca="false">IF(N318="","",RANK(N318,$N$5:$N$363))</f>
        <v>30</v>
      </c>
      <c r="P318" s="17" t="str">
        <f aca="false">IF(AND(N(H318)&gt;=N(K318),N(H318)&gt;=N(N318)),"The Pulse",IF(N(K318)&gt;=N(N318),"The Lens","The Hub"))</f>
        <v>The Hub</v>
      </c>
      <c r="Q318" s="20" t="s">
        <v>74</v>
      </c>
      <c r="R318" s="27" t="s">
        <v>671</v>
      </c>
      <c r="S318" s="17" t="s">
        <v>19</v>
      </c>
    </row>
    <row r="319" customFormat="false" ht="15" hidden="false" customHeight="false" outlineLevel="0" collapsed="false">
      <c r="A319" s="17" t="s">
        <v>631</v>
      </c>
      <c r="B319" s="17" t="s">
        <v>632</v>
      </c>
      <c r="C319" s="17" t="s">
        <v>1294</v>
      </c>
      <c r="D319" s="17" t="s">
        <v>77</v>
      </c>
      <c r="E319" s="18" t="n">
        <v>4696</v>
      </c>
      <c r="F319" s="17" t="s">
        <v>678</v>
      </c>
      <c r="G319" s="23" t="n">
        <v>0.261286201022147</v>
      </c>
      <c r="H319" s="19" t="n">
        <v>14.1</v>
      </c>
      <c r="I319" s="17" t="n">
        <f aca="false">IF(H319="","",RANK(H319,$H$5:$H$363))</f>
        <v>315</v>
      </c>
      <c r="J319" s="24" t="n">
        <v>0.022202873313017</v>
      </c>
      <c r="K319" s="19" t="n">
        <v>14.8</v>
      </c>
      <c r="L319" s="17" t="n">
        <f aca="false">IF(K319="","",RANK(K319,$K$5:$K$363))</f>
        <v>306</v>
      </c>
      <c r="M319" s="25" t="n">
        <v>0</v>
      </c>
      <c r="N319" s="19" t="n">
        <v>1</v>
      </c>
      <c r="O319" s="17" t="n">
        <f aca="false">IF(N319="","",RANK(N319,$N$5:$N$363))</f>
        <v>317</v>
      </c>
      <c r="P319" s="17" t="str">
        <f aca="false">IF(AND(N(H319)&gt;=N(K319),N(H319)&gt;=N(N319)),"The Pulse",IF(N(K319)&gt;=N(N319),"The Lens","The Hub"))</f>
        <v>The Lens</v>
      </c>
      <c r="Q319" s="20" t="s">
        <v>74</v>
      </c>
      <c r="R319" s="27" t="s">
        <v>671</v>
      </c>
      <c r="S319" s="17" t="s">
        <v>19</v>
      </c>
    </row>
    <row r="320" customFormat="false" ht="15" hidden="false" customHeight="false" outlineLevel="0" collapsed="false">
      <c r="A320" s="17" t="s">
        <v>375</v>
      </c>
      <c r="B320" s="17" t="s">
        <v>376</v>
      </c>
      <c r="C320" s="17" t="s">
        <v>1295</v>
      </c>
      <c r="D320" s="17" t="s">
        <v>77</v>
      </c>
      <c r="E320" s="18" t="n">
        <v>105065</v>
      </c>
      <c r="F320" s="17" t="s">
        <v>670</v>
      </c>
      <c r="G320" s="23" t="n">
        <v>0.260153238471423</v>
      </c>
      <c r="H320" s="19" t="n">
        <v>13.9</v>
      </c>
      <c r="I320" s="17" t="n">
        <f aca="false">IF(H320="","",RANK(H320,$H$5:$H$363))</f>
        <v>316</v>
      </c>
      <c r="J320" s="24" t="n">
        <v>0.134856340462303</v>
      </c>
      <c r="K320" s="19" t="n">
        <v>71</v>
      </c>
      <c r="L320" s="17" t="n">
        <f aca="false">IF(K320="","",RANK(K320,$K$5:$K$363))</f>
        <v>109</v>
      </c>
      <c r="M320" s="25" t="n">
        <v>0.368178324365872</v>
      </c>
      <c r="N320" s="19" t="n">
        <v>98.3</v>
      </c>
      <c r="O320" s="17" t="n">
        <f aca="false">IF(N320="","",RANK(N320,$N$5:$N$363))</f>
        <v>7</v>
      </c>
      <c r="P320" s="17" t="str">
        <f aca="false">IF(AND(N(H320)&gt;=N(K320),N(H320)&gt;=N(N320)),"The Pulse",IF(N(K320)&gt;=N(N320),"The Lens","The Hub"))</f>
        <v>The Hub</v>
      </c>
      <c r="Q320" s="20" t="s">
        <v>74</v>
      </c>
      <c r="R320" s="27" t="s">
        <v>671</v>
      </c>
      <c r="S320" s="17" t="s">
        <v>19</v>
      </c>
    </row>
    <row r="321" customFormat="false" ht="15" hidden="false" customHeight="false" outlineLevel="0" collapsed="false">
      <c r="A321" s="17" t="s">
        <v>1296</v>
      </c>
      <c r="B321" s="17" t="s">
        <v>1297</v>
      </c>
      <c r="C321" s="17" t="s">
        <v>1298</v>
      </c>
      <c r="D321" s="17" t="s">
        <v>72</v>
      </c>
      <c r="E321" s="18" t="n">
        <v>246634</v>
      </c>
      <c r="F321" s="17" t="s">
        <v>670</v>
      </c>
      <c r="G321" s="23" t="n">
        <v>0.259895229368214</v>
      </c>
      <c r="H321" s="19" t="n">
        <v>13.7</v>
      </c>
      <c r="I321" s="17" t="n">
        <f aca="false">IF(H321="","",RANK(H321,$H$5:$H$363))</f>
        <v>317</v>
      </c>
      <c r="J321" s="24" t="n">
        <v>0.0909291966896235</v>
      </c>
      <c r="K321" s="19" t="n">
        <v>55.1</v>
      </c>
      <c r="L321" s="17" t="n">
        <f aca="false">IF(K321="","",RANK(K321,$K$5:$K$363))</f>
        <v>161</v>
      </c>
      <c r="M321" s="25" t="n">
        <v>0.130434782608696</v>
      </c>
      <c r="N321" s="19" t="n">
        <v>47.8</v>
      </c>
      <c r="O321" s="17" t="n">
        <f aca="false">IF(N321="","",RANK(N321,$N$5:$N$363))</f>
        <v>169</v>
      </c>
      <c r="P321" s="17" t="str">
        <f aca="false">IF(AND(N(H321)&gt;=N(K321),N(H321)&gt;=N(N321)),"The Pulse",IF(N(K321)&gt;=N(N321),"The Lens","The Hub"))</f>
        <v>The Lens</v>
      </c>
      <c r="Q321" s="20" t="s">
        <v>74</v>
      </c>
      <c r="R321" s="26" t="s">
        <v>668</v>
      </c>
      <c r="S321" s="17" t="s">
        <v>19</v>
      </c>
    </row>
    <row r="322" customFormat="false" ht="15" hidden="false" customHeight="false" outlineLevel="0" collapsed="false">
      <c r="A322" s="17" t="s">
        <v>387</v>
      </c>
      <c r="B322" s="17" t="s">
        <v>388</v>
      </c>
      <c r="C322" s="17" t="s">
        <v>1299</v>
      </c>
      <c r="D322" s="17" t="s">
        <v>138</v>
      </c>
      <c r="E322" s="18" t="n">
        <v>95380</v>
      </c>
      <c r="F322" s="17" t="s">
        <v>667</v>
      </c>
      <c r="G322" s="23" t="n">
        <v>0.25011532816104</v>
      </c>
      <c r="H322" s="19" t="n">
        <v>13.2</v>
      </c>
      <c r="I322" s="17" t="n">
        <f aca="false">IF(H322="","",RANK(H322,$H$5:$H$363))</f>
        <v>318</v>
      </c>
      <c r="J322" s="24" t="n">
        <v>0.0138180272108844</v>
      </c>
      <c r="K322" s="19" t="n">
        <v>11.9</v>
      </c>
      <c r="L322" s="17" t="n">
        <f aca="false">IF(K322="","",RANK(K322,$K$5:$K$363))</f>
        <v>315</v>
      </c>
      <c r="M322" s="25" t="n">
        <v>0.101927353595256</v>
      </c>
      <c r="N322" s="19" t="n">
        <v>35.4</v>
      </c>
      <c r="O322" s="17" t="n">
        <f aca="false">IF(N322="","",RANK(N322,$N$5:$N$363))</f>
        <v>213</v>
      </c>
      <c r="P322" s="17" t="str">
        <f aca="false">IF(AND(N(H322)&gt;=N(K322),N(H322)&gt;=N(N322)),"The Pulse",IF(N(K322)&gt;=N(N322),"The Lens","The Hub"))</f>
        <v>The Hub</v>
      </c>
      <c r="Q322" s="21" t="s">
        <v>78</v>
      </c>
      <c r="R322" s="27" t="s">
        <v>671</v>
      </c>
      <c r="S322" s="17" t="s">
        <v>21</v>
      </c>
    </row>
    <row r="323" customFormat="false" ht="15" hidden="false" customHeight="false" outlineLevel="0" collapsed="false">
      <c r="A323" s="17" t="s">
        <v>343</v>
      </c>
      <c r="B323" s="17" t="s">
        <v>344</v>
      </c>
      <c r="C323" s="17" t="s">
        <v>1300</v>
      </c>
      <c r="D323" s="17" t="s">
        <v>102</v>
      </c>
      <c r="E323" s="18" t="n">
        <v>5712</v>
      </c>
      <c r="F323" s="17" t="s">
        <v>678</v>
      </c>
      <c r="G323" s="23" t="n">
        <v>0.245448179271709</v>
      </c>
      <c r="H323" s="19" t="n">
        <v>13</v>
      </c>
      <c r="I323" s="17" t="n">
        <f aca="false">IF(H323="","",RANK(H323,$H$5:$H$363))</f>
        <v>319</v>
      </c>
      <c r="J323" s="24" t="n">
        <v>0.231034482758621</v>
      </c>
      <c r="K323" s="19" t="n">
        <v>96.3</v>
      </c>
      <c r="L323" s="17" t="n">
        <f aca="false">IF(K323="","",RANK(K323,$K$5:$K$363))</f>
        <v>16</v>
      </c>
      <c r="M323" s="25" t="n">
        <v>0.09</v>
      </c>
      <c r="N323" s="19" t="n">
        <v>30.7</v>
      </c>
      <c r="O323" s="17" t="n">
        <f aca="false">IF(N323="","",RANK(N323,$N$5:$N$363))</f>
        <v>226</v>
      </c>
      <c r="P323" s="17" t="str">
        <f aca="false">IF(AND(N(H323)&gt;=N(K323),N(H323)&gt;=N(N323)),"The Pulse",IF(N(K323)&gt;=N(N323),"The Lens","The Hub"))</f>
        <v>The Lens</v>
      </c>
      <c r="Q323" s="20" t="s">
        <v>74</v>
      </c>
      <c r="R323" s="27" t="s">
        <v>671</v>
      </c>
      <c r="S323" s="17" t="s">
        <v>19</v>
      </c>
    </row>
    <row r="324" customFormat="false" ht="15" hidden="false" customHeight="false" outlineLevel="0" collapsed="false">
      <c r="A324" s="17" t="s">
        <v>517</v>
      </c>
      <c r="B324" s="17" t="s">
        <v>518</v>
      </c>
      <c r="C324" s="17" t="s">
        <v>1301</v>
      </c>
      <c r="D324" s="17" t="s">
        <v>105</v>
      </c>
      <c r="E324" s="18" t="n">
        <v>10608</v>
      </c>
      <c r="F324" s="17" t="s">
        <v>667</v>
      </c>
      <c r="G324" s="23" t="n">
        <v>0.244720965309201</v>
      </c>
      <c r="H324" s="19" t="n">
        <v>12.8</v>
      </c>
      <c r="I324" s="17" t="n">
        <f aca="false">IF(H324="","",RANK(H324,$H$5:$H$363))</f>
        <v>320</v>
      </c>
      <c r="J324" s="24" t="n">
        <v>0.0496734613101128</v>
      </c>
      <c r="K324" s="19" t="n">
        <v>27.4</v>
      </c>
      <c r="L324" s="17" t="n">
        <f aca="false">IF(K324="","",RANK(K324,$K$5:$K$363))</f>
        <v>261</v>
      </c>
      <c r="M324" s="25" t="n">
        <v>0.25</v>
      </c>
      <c r="N324" s="19" t="n">
        <v>81.2</v>
      </c>
      <c r="O324" s="17" t="n">
        <f aca="false">IF(N324="","",RANK(N324,$N$5:$N$363))</f>
        <v>61</v>
      </c>
      <c r="P324" s="17" t="str">
        <f aca="false">IF(AND(N(H324)&gt;=N(K324),N(H324)&gt;=N(N324)),"The Pulse",IF(N(K324)&gt;=N(N324),"The Lens","The Hub"))</f>
        <v>The Hub</v>
      </c>
      <c r="Q324" s="20" t="s">
        <v>74</v>
      </c>
      <c r="R324" s="27" t="s">
        <v>671</v>
      </c>
      <c r="S324" s="17" t="s">
        <v>19</v>
      </c>
    </row>
    <row r="325" customFormat="false" ht="15" hidden="false" customHeight="false" outlineLevel="0" collapsed="false">
      <c r="A325" s="17" t="s">
        <v>617</v>
      </c>
      <c r="B325" s="17" t="s">
        <v>618</v>
      </c>
      <c r="C325" s="17" t="s">
        <v>1302</v>
      </c>
      <c r="D325" s="17" t="s">
        <v>81</v>
      </c>
      <c r="E325" s="18" t="n">
        <v>12717</v>
      </c>
      <c r="F325" s="17" t="s">
        <v>667</v>
      </c>
      <c r="G325" s="23" t="n">
        <v>0.243846819218369</v>
      </c>
      <c r="H325" s="19" t="n">
        <v>12.6</v>
      </c>
      <c r="I325" s="17" t="n">
        <f aca="false">IF(H325="","",RANK(H325,$H$5:$H$363))</f>
        <v>321</v>
      </c>
      <c r="J325" s="24" t="n">
        <v>-0.0361527967257845</v>
      </c>
      <c r="K325" s="19" t="n">
        <v>5.2</v>
      </c>
      <c r="L325" s="17" t="n">
        <f aca="false">IF(K325="","",RANK(K325,$K$5:$K$363))</f>
        <v>343</v>
      </c>
      <c r="M325" s="25" t="n">
        <v>0</v>
      </c>
      <c r="N325" s="19" t="n">
        <v>1</v>
      </c>
      <c r="O325" s="17" t="n">
        <f aca="false">IF(N325="","",RANK(N325,$N$5:$N$363))</f>
        <v>317</v>
      </c>
      <c r="P325" s="17" t="str">
        <f aca="false">IF(AND(N(H325)&gt;=N(K325),N(H325)&gt;=N(N325)),"The Pulse",IF(N(K325)&gt;=N(N325),"The Lens","The Hub"))</f>
        <v>The Pulse</v>
      </c>
      <c r="Q325" s="20" t="s">
        <v>74</v>
      </c>
      <c r="R325" s="27" t="s">
        <v>671</v>
      </c>
      <c r="S325" s="17" t="s">
        <v>19</v>
      </c>
    </row>
    <row r="326" customFormat="false" ht="15" hidden="false" customHeight="false" outlineLevel="0" collapsed="false">
      <c r="A326" s="17" t="s">
        <v>1303</v>
      </c>
      <c r="B326" s="17" t="s">
        <v>1304</v>
      </c>
      <c r="C326" s="17" t="s">
        <v>1305</v>
      </c>
      <c r="D326" s="17" t="s">
        <v>105</v>
      </c>
      <c r="E326" s="18" t="n">
        <v>211367</v>
      </c>
      <c r="F326" s="17" t="s">
        <v>670</v>
      </c>
      <c r="G326" s="23" t="n">
        <v>0.241234440570193</v>
      </c>
      <c r="H326" s="19" t="n">
        <v>12.4</v>
      </c>
      <c r="I326" s="17" t="n">
        <f aca="false">IF(H326="","",RANK(H326,$H$5:$H$363))</f>
        <v>322</v>
      </c>
      <c r="J326" s="24" t="n">
        <v>0.224095394736842</v>
      </c>
      <c r="K326" s="19" t="n">
        <v>97.1</v>
      </c>
      <c r="L326" s="17" t="n">
        <f aca="false">IF(K326="","",RANK(K326,$K$5:$K$363))</f>
        <v>12</v>
      </c>
      <c r="M326" s="25" t="n">
        <v>0.134045653229723</v>
      </c>
      <c r="N326" s="19" t="n">
        <v>50.6</v>
      </c>
      <c r="O326" s="17" t="n">
        <f aca="false">IF(N326="","",RANK(N326,$N$5:$N$363))</f>
        <v>159</v>
      </c>
      <c r="P326" s="17" t="str">
        <f aca="false">IF(AND(N(H326)&gt;=N(K326),N(H326)&gt;=N(N326)),"The Pulse",IF(N(K326)&gt;=N(N326),"The Lens","The Hub"))</f>
        <v>The Lens</v>
      </c>
      <c r="Q326" s="20" t="s">
        <v>74</v>
      </c>
      <c r="R326" s="26" t="s">
        <v>668</v>
      </c>
      <c r="S326" s="17" t="s">
        <v>19</v>
      </c>
    </row>
    <row r="327" customFormat="false" ht="15" hidden="false" customHeight="false" outlineLevel="0" collapsed="false">
      <c r="A327" s="17" t="s">
        <v>1306</v>
      </c>
      <c r="B327" s="17" t="s">
        <v>1307</v>
      </c>
      <c r="C327" s="17" t="s">
        <v>1308</v>
      </c>
      <c r="D327" s="17" t="s">
        <v>138</v>
      </c>
      <c r="E327" s="18" t="n">
        <v>52900</v>
      </c>
      <c r="F327" s="17" t="s">
        <v>667</v>
      </c>
      <c r="G327" s="23" t="n">
        <v>0.234952741020794</v>
      </c>
      <c r="H327" s="19" t="n">
        <v>12.2</v>
      </c>
      <c r="I327" s="17" t="n">
        <f aca="false">IF(H327="","",RANK(H327,$H$5:$H$363))</f>
        <v>323</v>
      </c>
      <c r="J327" s="24" t="n">
        <v>0.0676084762865792</v>
      </c>
      <c r="K327" s="19" t="n">
        <v>35.3</v>
      </c>
      <c r="L327" s="17" t="n">
        <f aca="false">IF(K327="","",RANK(K327,$K$5:$K$363))</f>
        <v>232</v>
      </c>
      <c r="M327" s="25" t="n">
        <v>0.197802197802198</v>
      </c>
      <c r="N327" s="19" t="n">
        <v>69.9</v>
      </c>
      <c r="O327" s="17" t="n">
        <f aca="false">IF(N327="","",RANK(N327,$N$5:$N$363))</f>
        <v>97</v>
      </c>
      <c r="P327" s="17" t="str">
        <f aca="false">IF(AND(N(H327)&gt;=N(K327),N(H327)&gt;=N(N327)),"The Pulse",IF(N(K327)&gt;=N(N327),"The Lens","The Hub"))</f>
        <v>The Hub</v>
      </c>
      <c r="Q327" s="21" t="s">
        <v>78</v>
      </c>
      <c r="R327" s="26" t="s">
        <v>668</v>
      </c>
      <c r="S327" s="17" t="s">
        <v>21</v>
      </c>
    </row>
    <row r="328" customFormat="false" ht="15" hidden="false" customHeight="false" outlineLevel="0" collapsed="false">
      <c r="A328" s="17" t="s">
        <v>593</v>
      </c>
      <c r="B328" s="17" t="s">
        <v>594</v>
      </c>
      <c r="C328" s="17" t="s">
        <v>1309</v>
      </c>
      <c r="D328" s="17" t="s">
        <v>105</v>
      </c>
      <c r="E328" s="18" t="n">
        <v>264360</v>
      </c>
      <c r="F328" s="17" t="s">
        <v>670</v>
      </c>
      <c r="G328" s="23" t="n">
        <v>0.234502193977909</v>
      </c>
      <c r="H328" s="19" t="n">
        <v>12</v>
      </c>
      <c r="I328" s="17" t="n">
        <f aca="false">IF(H328="","",RANK(H328,$H$5:$H$363))</f>
        <v>324</v>
      </c>
      <c r="J328" s="24" t="n">
        <v>0.070933765444602</v>
      </c>
      <c r="K328" s="19" t="n">
        <v>46.4</v>
      </c>
      <c r="L328" s="17" t="n">
        <f aca="false">IF(K328="","",RANK(K328,$K$5:$K$363))</f>
        <v>190</v>
      </c>
      <c r="M328" s="25" t="n">
        <v>0.331825037707391</v>
      </c>
      <c r="N328" s="19" t="n">
        <v>94.2</v>
      </c>
      <c r="O328" s="17" t="n">
        <f aca="false">IF(N328="","",RANK(N328,$N$5:$N$363))</f>
        <v>19</v>
      </c>
      <c r="P328" s="17" t="str">
        <f aca="false">IF(AND(N(H328)&gt;=N(K328),N(H328)&gt;=N(N328)),"The Pulse",IF(N(K328)&gt;=N(N328),"The Lens","The Hub"))</f>
        <v>The Hub</v>
      </c>
      <c r="Q328" s="21" t="s">
        <v>78</v>
      </c>
      <c r="R328" s="27" t="s">
        <v>671</v>
      </c>
      <c r="S328" s="17" t="s">
        <v>21</v>
      </c>
    </row>
    <row r="329" customFormat="false" ht="15" hidden="false" customHeight="false" outlineLevel="0" collapsed="false">
      <c r="A329" s="17" t="s">
        <v>1310</v>
      </c>
      <c r="B329" s="17" t="s">
        <v>1310</v>
      </c>
      <c r="C329" s="17" t="s">
        <v>1311</v>
      </c>
      <c r="D329" s="17" t="s">
        <v>77</v>
      </c>
      <c r="E329" s="18" t="n">
        <v>56010</v>
      </c>
      <c r="F329" s="17" t="s">
        <v>667</v>
      </c>
      <c r="G329" s="23" t="n">
        <v>0.229923227995001</v>
      </c>
      <c r="H329" s="19" t="n">
        <v>11.8</v>
      </c>
      <c r="I329" s="17" t="n">
        <f aca="false">IF(H329="","",RANK(H329,$H$5:$H$363))</f>
        <v>325</v>
      </c>
      <c r="J329" s="24" t="n">
        <v>0.131515151515152</v>
      </c>
      <c r="K329" s="19" t="n">
        <v>68.7</v>
      </c>
      <c r="L329" s="17" t="n">
        <f aca="false">IF(K329="","",RANK(K329,$K$5:$K$363))</f>
        <v>118</v>
      </c>
      <c r="M329" s="25" t="n">
        <v>0.0561497326203209</v>
      </c>
      <c r="N329" s="19" t="n">
        <v>16.3</v>
      </c>
      <c r="O329" s="17" t="n">
        <f aca="false">IF(N329="","",RANK(N329,$N$5:$N$363))</f>
        <v>272</v>
      </c>
      <c r="P329" s="17" t="str">
        <f aca="false">IF(AND(N(H329)&gt;=N(K329),N(H329)&gt;=N(N329)),"The Pulse",IF(N(K329)&gt;=N(N329),"The Lens","The Hub"))</f>
        <v>The Lens</v>
      </c>
      <c r="Q329" s="21" t="s">
        <v>78</v>
      </c>
      <c r="R329" s="26" t="s">
        <v>668</v>
      </c>
      <c r="S329" s="17" t="s">
        <v>21</v>
      </c>
    </row>
    <row r="330" customFormat="false" ht="15" hidden="false" customHeight="false" outlineLevel="0" collapsed="false">
      <c r="A330" s="17" t="s">
        <v>1312</v>
      </c>
      <c r="B330" s="17" t="s">
        <v>1313</v>
      </c>
      <c r="C330" s="17" t="s">
        <v>1314</v>
      </c>
      <c r="D330" s="17" t="s">
        <v>81</v>
      </c>
      <c r="E330" s="18" t="n">
        <v>220002</v>
      </c>
      <c r="F330" s="17" t="s">
        <v>670</v>
      </c>
      <c r="G330" s="23" t="n">
        <v>0.222411614439869</v>
      </c>
      <c r="H330" s="19" t="n">
        <v>10.9</v>
      </c>
      <c r="I330" s="17" t="n">
        <f aca="false">IF(H330="","",RANK(H330,$H$5:$H$363))</f>
        <v>326</v>
      </c>
      <c r="J330" s="24" t="n">
        <v>-0.114370020892626</v>
      </c>
      <c r="K330" s="19" t="n">
        <v>2.2</v>
      </c>
      <c r="L330" s="17" t="n">
        <f aca="false">IF(K330="","",RANK(K330,$K$5:$K$363))</f>
        <v>353</v>
      </c>
      <c r="M330" s="25" t="n">
        <v>0.121041214750542</v>
      </c>
      <c r="N330" s="19" t="n">
        <v>43.1</v>
      </c>
      <c r="O330" s="17" t="n">
        <f aca="false">IF(N330="","",RANK(N330,$N$5:$N$363))</f>
        <v>186</v>
      </c>
      <c r="P330" s="17" t="str">
        <f aca="false">IF(AND(N(H330)&gt;=N(K330),N(H330)&gt;=N(N330)),"The Pulse",IF(N(K330)&gt;=N(N330),"The Lens","The Hub"))</f>
        <v>The Hub</v>
      </c>
      <c r="Q330" s="20" t="s">
        <v>74</v>
      </c>
      <c r="R330" s="26" t="s">
        <v>668</v>
      </c>
      <c r="S330" s="17" t="s">
        <v>19</v>
      </c>
    </row>
    <row r="331" customFormat="false" ht="15" hidden="false" customHeight="false" outlineLevel="0" collapsed="false">
      <c r="A331" s="17" t="s">
        <v>495</v>
      </c>
      <c r="B331" s="17" t="s">
        <v>496</v>
      </c>
      <c r="C331" s="17" t="s">
        <v>1315</v>
      </c>
      <c r="D331" s="17" t="s">
        <v>92</v>
      </c>
      <c r="E331" s="18" t="n">
        <v>24599</v>
      </c>
      <c r="F331" s="17" t="s">
        <v>667</v>
      </c>
      <c r="G331" s="23" t="n">
        <v>0.216309606081548</v>
      </c>
      <c r="H331" s="19" t="n">
        <v>9.8</v>
      </c>
      <c r="I331" s="17" t="n">
        <f aca="false">IF(H331="","",RANK(H331,$H$5:$H$363))</f>
        <v>327</v>
      </c>
      <c r="J331" s="24" t="n">
        <v>0.101513523195415</v>
      </c>
      <c r="K331" s="19" t="n">
        <v>54.8</v>
      </c>
      <c r="L331" s="17" t="n">
        <f aca="false">IF(K331="","",RANK(K331,$K$5:$K$363))</f>
        <v>162</v>
      </c>
      <c r="M331" s="25" t="n">
        <v>0.0821917808219178</v>
      </c>
      <c r="N331" s="19" t="n">
        <v>27.9</v>
      </c>
      <c r="O331" s="17" t="n">
        <f aca="false">IF(N331="","",RANK(N331,$N$5:$N$363))</f>
        <v>235</v>
      </c>
      <c r="P331" s="17" t="str">
        <f aca="false">IF(AND(N(H331)&gt;=N(K331),N(H331)&gt;=N(N331)),"The Pulse",IF(N(K331)&gt;=N(N331),"The Lens","The Hub"))</f>
        <v>The Lens</v>
      </c>
      <c r="Q331" s="20" t="s">
        <v>74</v>
      </c>
      <c r="R331" s="27" t="s">
        <v>671</v>
      </c>
      <c r="S331" s="17" t="s">
        <v>19</v>
      </c>
    </row>
    <row r="332" customFormat="false" ht="15" hidden="false" customHeight="false" outlineLevel="0" collapsed="false">
      <c r="A332" s="17" t="s">
        <v>1316</v>
      </c>
      <c r="B332" s="17" t="s">
        <v>1317</v>
      </c>
      <c r="C332" s="17" t="s">
        <v>1318</v>
      </c>
      <c r="D332" s="17" t="s">
        <v>77</v>
      </c>
      <c r="E332" s="18" t="n">
        <v>142310</v>
      </c>
      <c r="F332" s="17" t="s">
        <v>670</v>
      </c>
      <c r="G332" s="23" t="n">
        <v>0.213126273627995</v>
      </c>
      <c r="H332" s="19" t="n">
        <v>9.6</v>
      </c>
      <c r="I332" s="17" t="n">
        <f aca="false">IF(H332="","",RANK(H332,$H$5:$H$363))</f>
        <v>328</v>
      </c>
      <c r="J332" s="24" t="n">
        <v>0.0518885357380442</v>
      </c>
      <c r="K332" s="19" t="n">
        <v>32.6</v>
      </c>
      <c r="L332" s="17" t="n">
        <f aca="false">IF(K332="","",RANK(K332,$K$5:$K$363))</f>
        <v>241</v>
      </c>
      <c r="M332" s="25" t="n">
        <v>0.360162601626016</v>
      </c>
      <c r="N332" s="19" t="n">
        <v>97.2</v>
      </c>
      <c r="O332" s="17" t="n">
        <f aca="false">IF(N332="","",RANK(N332,$N$5:$N$363))</f>
        <v>10</v>
      </c>
      <c r="P332" s="17" t="str">
        <f aca="false">IF(AND(N(H332)&gt;=N(K332),N(H332)&gt;=N(N332)),"The Pulse",IF(N(K332)&gt;=N(N332),"The Lens","The Hub"))</f>
        <v>The Hub</v>
      </c>
      <c r="Q332" s="21" t="s">
        <v>78</v>
      </c>
      <c r="R332" s="26" t="s">
        <v>668</v>
      </c>
      <c r="S332" s="17" t="s">
        <v>21</v>
      </c>
    </row>
    <row r="333" customFormat="false" ht="15" hidden="false" customHeight="false" outlineLevel="0" collapsed="false">
      <c r="A333" s="17" t="s">
        <v>477</v>
      </c>
      <c r="B333" s="17" t="s">
        <v>478</v>
      </c>
      <c r="C333" s="17" t="s">
        <v>1319</v>
      </c>
      <c r="D333" s="17" t="s">
        <v>138</v>
      </c>
      <c r="E333" s="18" t="n">
        <v>24466</v>
      </c>
      <c r="F333" s="17" t="s">
        <v>667</v>
      </c>
      <c r="G333" s="23" t="n">
        <v>0.212417232077168</v>
      </c>
      <c r="H333" s="19" t="n">
        <v>9.4</v>
      </c>
      <c r="I333" s="17" t="n">
        <f aca="false">IF(H333="","",RANK(H333,$H$5:$H$363))</f>
        <v>329</v>
      </c>
      <c r="J333" s="24" t="n">
        <v>0.122705580029369</v>
      </c>
      <c r="K333" s="19" t="n">
        <v>62.7</v>
      </c>
      <c r="L333" s="17" t="n">
        <f aca="false">IF(K333="","",RANK(K333,$K$5:$K$363))</f>
        <v>137</v>
      </c>
      <c r="M333" s="25" t="n">
        <v>0.341968911917098</v>
      </c>
      <c r="N333" s="19" t="n">
        <v>94.8</v>
      </c>
      <c r="O333" s="17" t="n">
        <f aca="false">IF(N333="","",RANK(N333,$N$5:$N$363))</f>
        <v>17</v>
      </c>
      <c r="P333" s="17" t="str">
        <f aca="false">IF(AND(N(H333)&gt;=N(K333),N(H333)&gt;=N(N333)),"The Pulse",IF(N(K333)&gt;=N(N333),"The Lens","The Hub"))</f>
        <v>The Hub</v>
      </c>
      <c r="Q333" s="20" t="s">
        <v>74</v>
      </c>
      <c r="R333" s="27" t="s">
        <v>671</v>
      </c>
      <c r="S333" s="17" t="s">
        <v>19</v>
      </c>
    </row>
    <row r="334" customFormat="false" ht="15" hidden="false" customHeight="false" outlineLevel="0" collapsed="false">
      <c r="A334" s="17" t="s">
        <v>1320</v>
      </c>
      <c r="B334" s="17" t="s">
        <v>1321</v>
      </c>
      <c r="C334" s="17" t="s">
        <v>1322</v>
      </c>
      <c r="D334" s="17" t="s">
        <v>105</v>
      </c>
      <c r="E334" s="18" t="n">
        <v>180250</v>
      </c>
      <c r="F334" s="17" t="s">
        <v>670</v>
      </c>
      <c r="G334" s="23" t="n">
        <v>0.20873786407767</v>
      </c>
      <c r="H334" s="19" t="n">
        <v>9.2</v>
      </c>
      <c r="I334" s="17" t="n">
        <f aca="false">IF(H334="","",RANK(H334,$H$5:$H$363))</f>
        <v>330</v>
      </c>
      <c r="J334" s="24" t="n">
        <v>0.106642927308448</v>
      </c>
      <c r="K334" s="19" t="n">
        <v>61.6</v>
      </c>
      <c r="L334" s="17" t="n">
        <f aca="false">IF(K334="","",RANK(K334,$K$5:$K$363))</f>
        <v>139</v>
      </c>
      <c r="M334" s="25" t="n">
        <v>0.105218855218855</v>
      </c>
      <c r="N334" s="19" t="n">
        <v>37.8</v>
      </c>
      <c r="O334" s="17" t="n">
        <f aca="false">IF(N334="","",RANK(N334,$N$5:$N$363))</f>
        <v>204</v>
      </c>
      <c r="P334" s="17" t="str">
        <f aca="false">IF(AND(N(H334)&gt;=N(K334),N(H334)&gt;=N(N334)),"The Pulse",IF(N(K334)&gt;=N(N334),"The Lens","The Hub"))</f>
        <v>The Lens</v>
      </c>
      <c r="Q334" s="21" t="s">
        <v>78</v>
      </c>
      <c r="R334" s="26" t="s">
        <v>668</v>
      </c>
      <c r="S334" s="17" t="s">
        <v>21</v>
      </c>
    </row>
    <row r="335" customFormat="false" ht="15" hidden="false" customHeight="false" outlineLevel="0" collapsed="false">
      <c r="A335" s="17" t="s">
        <v>1323</v>
      </c>
      <c r="B335" s="17" t="s">
        <v>1324</v>
      </c>
      <c r="C335" s="17" t="s">
        <v>1325</v>
      </c>
      <c r="D335" s="17" t="s">
        <v>102</v>
      </c>
      <c r="E335" s="18" t="n">
        <v>17615</v>
      </c>
      <c r="F335" s="17" t="s">
        <v>667</v>
      </c>
      <c r="G335" s="23" t="n">
        <v>0.208515469770082</v>
      </c>
      <c r="H335" s="19" t="n">
        <v>9</v>
      </c>
      <c r="I335" s="17" t="n">
        <f aca="false">IF(H335="","",RANK(H335,$H$5:$H$363))</f>
        <v>331</v>
      </c>
      <c r="J335" s="24" t="n">
        <v>0.125055885546401</v>
      </c>
      <c r="K335" s="19" t="n">
        <v>64.3</v>
      </c>
      <c r="L335" s="17" t="n">
        <f aca="false">IF(K335="","",RANK(K335,$K$5:$K$363))</f>
        <v>131</v>
      </c>
      <c r="M335" s="25" t="n">
        <v>0.193548387096774</v>
      </c>
      <c r="N335" s="19" t="n">
        <v>68.5</v>
      </c>
      <c r="O335" s="17" t="n">
        <f aca="false">IF(N335="","",RANK(N335,$N$5:$N$363))</f>
        <v>102</v>
      </c>
      <c r="P335" s="17" t="str">
        <f aca="false">IF(AND(N(H335)&gt;=N(K335),N(H335)&gt;=N(N335)),"The Pulse",IF(N(K335)&gt;=N(N335),"The Lens","The Hub"))</f>
        <v>The Hub</v>
      </c>
      <c r="Q335" s="20" t="s">
        <v>74</v>
      </c>
      <c r="R335" s="26" t="s">
        <v>668</v>
      </c>
      <c r="S335" s="17" t="s">
        <v>19</v>
      </c>
    </row>
    <row r="336" customFormat="false" ht="15" hidden="false" customHeight="false" outlineLevel="0" collapsed="false">
      <c r="A336" s="17" t="s">
        <v>1326</v>
      </c>
      <c r="B336" s="17" t="s">
        <v>1327</v>
      </c>
      <c r="C336" s="17" t="s">
        <v>1328</v>
      </c>
      <c r="D336" s="17" t="s">
        <v>92</v>
      </c>
      <c r="E336" s="18" t="n">
        <v>219290</v>
      </c>
      <c r="F336" s="17" t="s">
        <v>670</v>
      </c>
      <c r="G336" s="23" t="n">
        <v>0.20326052259565</v>
      </c>
      <c r="H336" s="19" t="n">
        <v>8.5</v>
      </c>
      <c r="I336" s="17" t="n">
        <f aca="false">IF(H336="","",RANK(H336,$H$5:$H$363))</f>
        <v>332</v>
      </c>
      <c r="J336" s="24" t="n">
        <v>0.200996768716797</v>
      </c>
      <c r="K336" s="19" t="n">
        <v>94.2</v>
      </c>
      <c r="L336" s="17" t="n">
        <f aca="false">IF(K336="","",RANK(K336,$K$5:$K$363))</f>
        <v>22</v>
      </c>
      <c r="M336" s="25" t="n">
        <v>0.197835738068812</v>
      </c>
      <c r="N336" s="19" t="n">
        <v>70.2</v>
      </c>
      <c r="O336" s="17" t="n">
        <f aca="false">IF(N336="","",RANK(N336,$N$5:$N$363))</f>
        <v>96</v>
      </c>
      <c r="P336" s="17" t="str">
        <f aca="false">IF(AND(N(H336)&gt;=N(K336),N(H336)&gt;=N(N336)),"The Pulse",IF(N(K336)&gt;=N(N336),"The Lens","The Hub"))</f>
        <v>The Lens</v>
      </c>
      <c r="Q336" s="21" t="s">
        <v>78</v>
      </c>
      <c r="R336" s="26" t="s">
        <v>668</v>
      </c>
      <c r="S336" s="17" t="s">
        <v>21</v>
      </c>
    </row>
    <row r="337" customFormat="false" ht="15" hidden="false" customHeight="false" outlineLevel="0" collapsed="false">
      <c r="A337" s="17" t="s">
        <v>575</v>
      </c>
      <c r="B337" s="17" t="s">
        <v>576</v>
      </c>
      <c r="C337" s="17" t="s">
        <v>1329</v>
      </c>
      <c r="D337" s="17" t="s">
        <v>102</v>
      </c>
      <c r="E337" s="18" t="n">
        <v>126740</v>
      </c>
      <c r="F337" s="17" t="s">
        <v>670</v>
      </c>
      <c r="G337" s="23" t="n">
        <v>0.203132397033297</v>
      </c>
      <c r="H337" s="19" t="n">
        <v>8.3</v>
      </c>
      <c r="I337" s="17" t="n">
        <f aca="false">IF(H337="","",RANK(H337,$H$5:$H$363))</f>
        <v>333</v>
      </c>
      <c r="J337" s="24" t="n">
        <v>0.155385386754182</v>
      </c>
      <c r="K337" s="19" t="n">
        <v>81.2</v>
      </c>
      <c r="L337" s="17" t="n">
        <f aca="false">IF(K337="","",RANK(K337,$K$5:$K$363))</f>
        <v>70</v>
      </c>
      <c r="M337" s="25" t="n">
        <v>0.0932539682539683</v>
      </c>
      <c r="N337" s="19" t="n">
        <v>32</v>
      </c>
      <c r="O337" s="17" t="n">
        <f aca="false">IF(N337="","",RANK(N337,$N$5:$N$363))</f>
        <v>222</v>
      </c>
      <c r="P337" s="17" t="str">
        <f aca="false">IF(AND(N(H337)&gt;=N(K337),N(H337)&gt;=N(N337)),"The Pulse",IF(N(K337)&gt;=N(N337),"The Lens","The Hub"))</f>
        <v>The Lens</v>
      </c>
      <c r="Q337" s="20" t="s">
        <v>74</v>
      </c>
      <c r="R337" s="27" t="s">
        <v>671</v>
      </c>
      <c r="S337" s="17" t="s">
        <v>19</v>
      </c>
    </row>
    <row r="338" customFormat="false" ht="15" hidden="false" customHeight="false" outlineLevel="0" collapsed="false">
      <c r="A338" s="17" t="s">
        <v>219</v>
      </c>
      <c r="B338" s="17" t="s">
        <v>220</v>
      </c>
      <c r="C338" s="17" t="s">
        <v>1330</v>
      </c>
      <c r="D338" s="17" t="s">
        <v>77</v>
      </c>
      <c r="E338" s="18" t="n">
        <v>80067</v>
      </c>
      <c r="F338" s="17" t="s">
        <v>667</v>
      </c>
      <c r="G338" s="23" t="n">
        <v>0.20229307954588</v>
      </c>
      <c r="H338" s="19" t="n">
        <v>8.1</v>
      </c>
      <c r="I338" s="17" t="n">
        <f aca="false">IF(H338="","",RANK(H338,$H$5:$H$363))</f>
        <v>334</v>
      </c>
      <c r="J338" s="24" t="n">
        <v>0.0292049617584678</v>
      </c>
      <c r="K338" s="19" t="n">
        <v>17.1</v>
      </c>
      <c r="L338" s="17" t="n">
        <f aca="false">IF(K338="","",RANK(K338,$K$5:$K$363))</f>
        <v>298</v>
      </c>
      <c r="M338" s="28" t="s">
        <v>680</v>
      </c>
      <c r="N338" s="19"/>
      <c r="O338" s="17" t="str">
        <f aca="false">IF(N338="","",RANK(N338,$N$5:$N$363))</f>
        <v/>
      </c>
      <c r="P338" s="17" t="str">
        <f aca="false">IF(AND(N(H338)&gt;=N(K338),N(H338)&gt;=N(N338)),"The Pulse",IF(N(K338)&gt;=N(N338),"The Lens","The Hub"))</f>
        <v>The Lens</v>
      </c>
      <c r="Q338" s="20" t="s">
        <v>74</v>
      </c>
      <c r="R338" s="27" t="s">
        <v>671</v>
      </c>
      <c r="S338" s="17" t="s">
        <v>19</v>
      </c>
    </row>
    <row r="339" customFormat="false" ht="15" hidden="false" customHeight="false" outlineLevel="0" collapsed="false">
      <c r="A339" s="17" t="s">
        <v>621</v>
      </c>
      <c r="B339" s="17" t="s">
        <v>622</v>
      </c>
      <c r="C339" s="17" t="s">
        <v>1331</v>
      </c>
      <c r="D339" s="17" t="s">
        <v>72</v>
      </c>
      <c r="E339" s="18" t="n">
        <v>41620</v>
      </c>
      <c r="F339" s="17" t="s">
        <v>667</v>
      </c>
      <c r="G339" s="23" t="n">
        <v>0.201369533877943</v>
      </c>
      <c r="H339" s="19" t="n">
        <v>7.9</v>
      </c>
      <c r="I339" s="17" t="n">
        <f aca="false">IF(H339="","",RANK(H339,$H$5:$H$363))</f>
        <v>335</v>
      </c>
      <c r="J339" s="24" t="n">
        <v>0.134987728388328</v>
      </c>
      <c r="K339" s="19" t="n">
        <v>70.2</v>
      </c>
      <c r="L339" s="17" t="n">
        <f aca="false">IF(K339="","",RANK(K339,$K$5:$K$363))</f>
        <v>112</v>
      </c>
      <c r="M339" s="25" t="n">
        <v>0.223512336719884</v>
      </c>
      <c r="N339" s="19" t="n">
        <v>76.5</v>
      </c>
      <c r="O339" s="17" t="n">
        <f aca="false">IF(N339="","",RANK(N339,$N$5:$N$363))</f>
        <v>75</v>
      </c>
      <c r="P339" s="17" t="str">
        <f aca="false">IF(AND(N(H339)&gt;=N(K339),N(H339)&gt;=N(N339)),"The Pulse",IF(N(K339)&gt;=N(N339),"The Lens","The Hub"))</f>
        <v>The Hub</v>
      </c>
      <c r="Q339" s="21" t="s">
        <v>78</v>
      </c>
      <c r="R339" s="27" t="s">
        <v>671</v>
      </c>
      <c r="S339" s="17" t="s">
        <v>21</v>
      </c>
    </row>
    <row r="340" customFormat="false" ht="15" hidden="false" customHeight="false" outlineLevel="0" collapsed="false">
      <c r="A340" s="17" t="s">
        <v>1332</v>
      </c>
      <c r="B340" s="17" t="s">
        <v>1333</v>
      </c>
      <c r="C340" s="17" t="s">
        <v>1334</v>
      </c>
      <c r="D340" s="17" t="s">
        <v>105</v>
      </c>
      <c r="E340" s="18" t="n">
        <v>26410</v>
      </c>
      <c r="F340" s="17" t="s">
        <v>667</v>
      </c>
      <c r="G340" s="23" t="n">
        <v>0.197235895494131</v>
      </c>
      <c r="H340" s="19" t="n">
        <v>7.7</v>
      </c>
      <c r="I340" s="17" t="n">
        <f aca="false">IF(H340="","",RANK(H340,$H$5:$H$363))</f>
        <v>336</v>
      </c>
      <c r="J340" s="24" t="n">
        <v>0.188568856885689</v>
      </c>
      <c r="K340" s="19" t="n">
        <v>89.7</v>
      </c>
      <c r="L340" s="17" t="n">
        <f aca="false">IF(K340="","",RANK(K340,$K$5:$K$363))</f>
        <v>40</v>
      </c>
      <c r="M340" s="25" t="n">
        <v>0.0388349514563107</v>
      </c>
      <c r="N340" s="19" t="n">
        <v>9.4</v>
      </c>
      <c r="O340" s="17" t="n">
        <f aca="false">IF(N340="","",RANK(N340,$N$5:$N$363))</f>
        <v>292</v>
      </c>
      <c r="P340" s="17" t="str">
        <f aca="false">IF(AND(N(H340)&gt;=N(K340),N(H340)&gt;=N(N340)),"The Pulse",IF(N(K340)&gt;=N(N340),"The Lens","The Hub"))</f>
        <v>The Lens</v>
      </c>
      <c r="Q340" s="21" t="s">
        <v>78</v>
      </c>
      <c r="R340" s="26" t="s">
        <v>668</v>
      </c>
      <c r="S340" s="17" t="s">
        <v>21</v>
      </c>
    </row>
    <row r="341" customFormat="false" ht="15" hidden="false" customHeight="false" outlineLevel="0" collapsed="false">
      <c r="A341" s="17" t="s">
        <v>537</v>
      </c>
      <c r="B341" s="17" t="s">
        <v>538</v>
      </c>
      <c r="C341" s="17" t="s">
        <v>1335</v>
      </c>
      <c r="D341" s="17" t="s">
        <v>105</v>
      </c>
      <c r="E341" s="18" t="n">
        <v>32740</v>
      </c>
      <c r="F341" s="17" t="s">
        <v>667</v>
      </c>
      <c r="G341" s="23" t="n">
        <v>0.193372021991448</v>
      </c>
      <c r="H341" s="19" t="n">
        <v>7.3</v>
      </c>
      <c r="I341" s="17" t="n">
        <f aca="false">IF(H341="","",RANK(H341,$H$5:$H$363))</f>
        <v>337</v>
      </c>
      <c r="J341" s="24" t="n">
        <v>0.019620056057303</v>
      </c>
      <c r="K341" s="19" t="n">
        <v>13.1</v>
      </c>
      <c r="L341" s="17" t="n">
        <f aca="false">IF(K341="","",RANK(K341,$K$5:$K$363))</f>
        <v>310</v>
      </c>
      <c r="M341" s="25" t="n">
        <v>0.0622222222222222</v>
      </c>
      <c r="N341" s="19" t="n">
        <v>18.5</v>
      </c>
      <c r="O341" s="17" t="n">
        <f aca="false">IF(N341="","",RANK(N341,$N$5:$N$363))</f>
        <v>264</v>
      </c>
      <c r="P341" s="17" t="str">
        <f aca="false">IF(AND(N(H341)&gt;=N(K341),N(H341)&gt;=N(N341)),"The Pulse",IF(N(K341)&gt;=N(N341),"The Lens","The Hub"))</f>
        <v>The Hub</v>
      </c>
      <c r="Q341" s="21" t="s">
        <v>78</v>
      </c>
      <c r="R341" s="27" t="s">
        <v>671</v>
      </c>
      <c r="S341" s="17" t="s">
        <v>21</v>
      </c>
    </row>
    <row r="342" customFormat="false" ht="15" hidden="false" customHeight="false" outlineLevel="0" collapsed="false">
      <c r="A342" s="17" t="s">
        <v>523</v>
      </c>
      <c r="B342" s="17" t="s">
        <v>524</v>
      </c>
      <c r="C342" s="17" t="s">
        <v>1336</v>
      </c>
      <c r="D342" s="17" t="s">
        <v>105</v>
      </c>
      <c r="E342" s="18" t="n">
        <v>45390</v>
      </c>
      <c r="F342" s="17" t="s">
        <v>667</v>
      </c>
      <c r="G342" s="23" t="n">
        <v>0.185503414849086</v>
      </c>
      <c r="H342" s="19" t="n">
        <v>6.6</v>
      </c>
      <c r="I342" s="17" t="n">
        <f aca="false">IF(H342="","",RANK(H342,$H$5:$H$363))</f>
        <v>338</v>
      </c>
      <c r="J342" s="24" t="n">
        <v>0.083810888252149</v>
      </c>
      <c r="K342" s="19" t="n">
        <v>47.6</v>
      </c>
      <c r="L342" s="17" t="n">
        <f aca="false">IF(K342="","",RANK(K342,$K$5:$K$363))</f>
        <v>186</v>
      </c>
      <c r="M342" s="25" t="n">
        <v>0.0953488372093023</v>
      </c>
      <c r="N342" s="19" t="n">
        <v>33.1</v>
      </c>
      <c r="O342" s="17" t="n">
        <f aca="false">IF(N342="","",RANK(N342,$N$5:$N$363))</f>
        <v>218</v>
      </c>
      <c r="P342" s="17" t="str">
        <f aca="false">IF(AND(N(H342)&gt;=N(K342),N(H342)&gt;=N(N342)),"The Pulse",IF(N(K342)&gt;=N(N342),"The Lens","The Hub"))</f>
        <v>The Lens</v>
      </c>
      <c r="Q342" s="21" t="s">
        <v>78</v>
      </c>
      <c r="R342" s="27" t="s">
        <v>671</v>
      </c>
      <c r="S342" s="17" t="s">
        <v>21</v>
      </c>
    </row>
    <row r="343" customFormat="false" ht="15" hidden="false" customHeight="false" outlineLevel="0" collapsed="false">
      <c r="A343" s="17" t="s">
        <v>1337</v>
      </c>
      <c r="B343" s="17" t="s">
        <v>1338</v>
      </c>
      <c r="C343" s="17" t="s">
        <v>1339</v>
      </c>
      <c r="D343" s="17" t="s">
        <v>77</v>
      </c>
      <c r="E343" s="18" t="n">
        <v>4340</v>
      </c>
      <c r="F343" s="17" t="s">
        <v>678</v>
      </c>
      <c r="G343" s="23" t="n">
        <v>0.183179723502304</v>
      </c>
      <c r="H343" s="19" t="n">
        <v>6.4</v>
      </c>
      <c r="I343" s="17" t="n">
        <f aca="false">IF(H343="","",RANK(H343,$H$5:$H$363))</f>
        <v>339</v>
      </c>
      <c r="J343" s="24" t="n">
        <v>0.154255319148936</v>
      </c>
      <c r="K343" s="19" t="n">
        <v>74.1</v>
      </c>
      <c r="L343" s="17" t="n">
        <f aca="false">IF(K343="","",RANK(K343,$K$5:$K$363))</f>
        <v>99</v>
      </c>
      <c r="M343" s="25" t="n">
        <v>0</v>
      </c>
      <c r="N343" s="19" t="n">
        <v>1</v>
      </c>
      <c r="O343" s="17" t="n">
        <f aca="false">IF(N343="","",RANK(N343,$N$5:$N$363))</f>
        <v>317</v>
      </c>
      <c r="P343" s="17" t="str">
        <f aca="false">IF(AND(N(H343)&gt;=N(K343),N(H343)&gt;=N(N343)),"The Pulse",IF(N(K343)&gt;=N(N343),"The Lens","The Hub"))</f>
        <v>The Lens</v>
      </c>
      <c r="Q343" s="21" t="s">
        <v>78</v>
      </c>
      <c r="R343" s="26" t="s">
        <v>668</v>
      </c>
      <c r="S343" s="17" t="s">
        <v>21</v>
      </c>
    </row>
    <row r="344" customFormat="false" ht="15" hidden="false" customHeight="false" outlineLevel="0" collapsed="false">
      <c r="A344" s="17" t="s">
        <v>1340</v>
      </c>
      <c r="B344" s="17" t="s">
        <v>1341</v>
      </c>
      <c r="C344" s="17" t="s">
        <v>1342</v>
      </c>
      <c r="D344" s="17" t="s">
        <v>81</v>
      </c>
      <c r="E344" s="18" t="n">
        <v>75536</v>
      </c>
      <c r="F344" s="17" t="s">
        <v>667</v>
      </c>
      <c r="G344" s="23" t="n">
        <v>0.182403092565135</v>
      </c>
      <c r="H344" s="19" t="n">
        <v>6.2</v>
      </c>
      <c r="I344" s="17" t="n">
        <f aca="false">IF(H344="","",RANK(H344,$H$5:$H$363))</f>
        <v>340</v>
      </c>
      <c r="J344" s="24" t="n">
        <v>0.0843058725578858</v>
      </c>
      <c r="K344" s="19" t="n">
        <v>48</v>
      </c>
      <c r="L344" s="17" t="n">
        <f aca="false">IF(K344="","",RANK(K344,$K$5:$K$363))</f>
        <v>185</v>
      </c>
      <c r="M344" s="25" t="n">
        <v>0.132281553398058</v>
      </c>
      <c r="N344" s="19" t="n">
        <v>48.9</v>
      </c>
      <c r="O344" s="17" t="n">
        <f aca="false">IF(N344="","",RANK(N344,$N$5:$N$363))</f>
        <v>165</v>
      </c>
      <c r="P344" s="17" t="str">
        <f aca="false">IF(AND(N(H344)&gt;=N(K344),N(H344)&gt;=N(N344)),"The Pulse",IF(N(K344)&gt;=N(N344),"The Lens","The Hub"))</f>
        <v>The Hub</v>
      </c>
      <c r="Q344" s="20" t="s">
        <v>74</v>
      </c>
      <c r="R344" s="26" t="s">
        <v>668</v>
      </c>
      <c r="S344" s="17" t="s">
        <v>19</v>
      </c>
    </row>
    <row r="345" customFormat="false" ht="15" hidden="false" customHeight="false" outlineLevel="0" collapsed="false">
      <c r="A345" s="17" t="s">
        <v>445</v>
      </c>
      <c r="B345" s="17" t="s">
        <v>446</v>
      </c>
      <c r="C345" s="17" t="s">
        <v>1343</v>
      </c>
      <c r="D345" s="17" t="s">
        <v>102</v>
      </c>
      <c r="E345" s="18" t="n">
        <v>59760</v>
      </c>
      <c r="F345" s="17" t="s">
        <v>667</v>
      </c>
      <c r="G345" s="23" t="n">
        <v>0.182095046854083</v>
      </c>
      <c r="H345" s="19" t="n">
        <v>6</v>
      </c>
      <c r="I345" s="17" t="n">
        <f aca="false">IF(H345="","",RANK(H345,$H$5:$H$363))</f>
        <v>341</v>
      </c>
      <c r="J345" s="24" t="n">
        <v>0.272301469022781</v>
      </c>
      <c r="K345" s="19" t="n">
        <v>98.8</v>
      </c>
      <c r="L345" s="17" t="n">
        <f aca="false">IF(K345="","",RANK(K345,$K$5:$K$363))</f>
        <v>7</v>
      </c>
      <c r="M345" s="25" t="n">
        <v>0.289002557544757</v>
      </c>
      <c r="N345" s="19" t="n">
        <v>88.7</v>
      </c>
      <c r="O345" s="17" t="n">
        <f aca="false">IF(N345="","",RANK(N345,$N$5:$N$363))</f>
        <v>38</v>
      </c>
      <c r="P345" s="17" t="str">
        <f aca="false">IF(AND(N(H345)&gt;=N(K345),N(H345)&gt;=N(N345)),"The Pulse",IF(N(K345)&gt;=N(N345),"The Lens","The Hub"))</f>
        <v>The Lens</v>
      </c>
      <c r="Q345" s="21" t="s">
        <v>78</v>
      </c>
      <c r="R345" s="27" t="s">
        <v>671</v>
      </c>
      <c r="S345" s="17" t="s">
        <v>21</v>
      </c>
    </row>
    <row r="346" customFormat="false" ht="15" hidden="false" customHeight="false" outlineLevel="0" collapsed="false">
      <c r="A346" s="17" t="s">
        <v>557</v>
      </c>
      <c r="B346" s="17" t="s">
        <v>558</v>
      </c>
      <c r="C346" s="17" t="s">
        <v>1344</v>
      </c>
      <c r="D346" s="17" t="s">
        <v>92</v>
      </c>
      <c r="E346" s="18" t="n">
        <v>3013</v>
      </c>
      <c r="F346" s="17" t="s">
        <v>678</v>
      </c>
      <c r="G346" s="23" t="n">
        <v>0.174576833720544</v>
      </c>
      <c r="H346" s="19" t="n">
        <v>5.8</v>
      </c>
      <c r="I346" s="17" t="n">
        <f aca="false">IF(H346="","",RANK(H346,$H$5:$H$363))</f>
        <v>342</v>
      </c>
      <c r="J346" s="24" t="n">
        <v>0.0940450254175744</v>
      </c>
      <c r="K346" s="19" t="n">
        <v>63</v>
      </c>
      <c r="L346" s="17" t="n">
        <f aca="false">IF(K346="","",RANK(K346,$K$5:$K$363))</f>
        <v>135</v>
      </c>
      <c r="M346" s="25" t="n">
        <v>0</v>
      </c>
      <c r="N346" s="19" t="n">
        <v>1</v>
      </c>
      <c r="O346" s="17" t="n">
        <f aca="false">IF(N346="","",RANK(N346,$N$5:$N$363))</f>
        <v>317</v>
      </c>
      <c r="P346" s="17" t="str">
        <f aca="false">IF(AND(N(H346)&gt;=N(K346),N(H346)&gt;=N(N346)),"The Pulse",IF(N(K346)&gt;=N(N346),"The Lens","The Hub"))</f>
        <v>The Lens</v>
      </c>
      <c r="Q346" s="20" t="s">
        <v>74</v>
      </c>
      <c r="R346" s="27" t="s">
        <v>671</v>
      </c>
      <c r="S346" s="17" t="s">
        <v>19</v>
      </c>
    </row>
    <row r="347" customFormat="false" ht="15" hidden="false" customHeight="false" outlineLevel="0" collapsed="false">
      <c r="A347" s="17" t="s">
        <v>405</v>
      </c>
      <c r="B347" s="17" t="s">
        <v>406</v>
      </c>
      <c r="C347" s="17" t="s">
        <v>1345</v>
      </c>
      <c r="D347" s="17" t="s">
        <v>92</v>
      </c>
      <c r="E347" s="18" t="n">
        <v>14248</v>
      </c>
      <c r="F347" s="17" t="s">
        <v>667</v>
      </c>
      <c r="G347" s="23" t="n">
        <v>0.158618753509265</v>
      </c>
      <c r="H347" s="19" t="n">
        <v>5.3</v>
      </c>
      <c r="I347" s="17" t="n">
        <f aca="false">IF(H347="","",RANK(H347,$H$5:$H$363))</f>
        <v>343</v>
      </c>
      <c r="J347" s="24" t="n">
        <v>-0.0602203020908911</v>
      </c>
      <c r="K347" s="19" t="n">
        <v>2.8</v>
      </c>
      <c r="L347" s="17" t="n">
        <f aca="false">IF(K347="","",RANK(K347,$K$5:$K$363))</f>
        <v>351</v>
      </c>
      <c r="M347" s="25" t="n">
        <v>0.182795698924731</v>
      </c>
      <c r="N347" s="19" t="n">
        <v>65.5</v>
      </c>
      <c r="O347" s="17" t="n">
        <f aca="false">IF(N347="","",RANK(N347,$N$5:$N$363))</f>
        <v>111</v>
      </c>
      <c r="P347" s="17" t="str">
        <f aca="false">IF(AND(N(H347)&gt;=N(K347),N(H347)&gt;=N(N347)),"The Pulse",IF(N(K347)&gt;=N(N347),"The Lens","The Hub"))</f>
        <v>The Hub</v>
      </c>
      <c r="Q347" s="21" t="s">
        <v>78</v>
      </c>
      <c r="R347" s="27" t="s">
        <v>671</v>
      </c>
      <c r="S347" s="17" t="s">
        <v>126</v>
      </c>
    </row>
    <row r="348" customFormat="false" ht="15" hidden="false" customHeight="false" outlineLevel="0" collapsed="false">
      <c r="A348" s="17" t="s">
        <v>597</v>
      </c>
      <c r="B348" s="17" t="s">
        <v>598</v>
      </c>
      <c r="C348" s="17" t="s">
        <v>1346</v>
      </c>
      <c r="D348" s="17" t="s">
        <v>72</v>
      </c>
      <c r="E348" s="18" t="n">
        <v>30290</v>
      </c>
      <c r="F348" s="17" t="s">
        <v>667</v>
      </c>
      <c r="G348" s="23" t="n">
        <v>0.157345658633212</v>
      </c>
      <c r="H348" s="19" t="n">
        <v>5.1</v>
      </c>
      <c r="I348" s="17" t="n">
        <f aca="false">IF(H348="","",RANK(H348,$H$5:$H$363))</f>
        <v>344</v>
      </c>
      <c r="J348" s="24" t="n">
        <v>0.0669249735822473</v>
      </c>
      <c r="K348" s="19" t="n">
        <v>34.5</v>
      </c>
      <c r="L348" s="17" t="n">
        <f aca="false">IF(K348="","",RANK(K348,$K$5:$K$363))</f>
        <v>235</v>
      </c>
      <c r="M348" s="25" t="n">
        <v>0.0551181102362205</v>
      </c>
      <c r="N348" s="19" t="n">
        <v>15.5</v>
      </c>
      <c r="O348" s="17" t="n">
        <f aca="false">IF(N348="","",RANK(N348,$N$5:$N$363))</f>
        <v>274</v>
      </c>
      <c r="P348" s="17" t="str">
        <f aca="false">IF(AND(N(H348)&gt;=N(K348),N(H348)&gt;=N(N348)),"The Pulse",IF(N(K348)&gt;=N(N348),"The Lens","The Hub"))</f>
        <v>The Lens</v>
      </c>
      <c r="Q348" s="21" t="s">
        <v>78</v>
      </c>
      <c r="R348" s="27" t="s">
        <v>671</v>
      </c>
      <c r="S348" s="17" t="s">
        <v>21</v>
      </c>
    </row>
    <row r="349" customFormat="false" ht="15" hidden="false" customHeight="false" outlineLevel="0" collapsed="false">
      <c r="A349" s="17" t="s">
        <v>581</v>
      </c>
      <c r="B349" s="17" t="s">
        <v>582</v>
      </c>
      <c r="C349" s="17" t="s">
        <v>1347</v>
      </c>
      <c r="D349" s="17" t="s">
        <v>81</v>
      </c>
      <c r="E349" s="18" t="n">
        <v>57137</v>
      </c>
      <c r="F349" s="17" t="s">
        <v>667</v>
      </c>
      <c r="G349" s="23" t="n">
        <v>0.155415930132839</v>
      </c>
      <c r="H349" s="19" t="n">
        <v>4.9</v>
      </c>
      <c r="I349" s="17" t="n">
        <f aca="false">IF(H349="","",RANK(H349,$H$5:$H$363))</f>
        <v>345</v>
      </c>
      <c r="J349" s="24" t="n">
        <v>0.172690515772838</v>
      </c>
      <c r="K349" s="19" t="n">
        <v>85.7</v>
      </c>
      <c r="L349" s="17" t="n">
        <f aca="false">IF(K349="","",RANK(K349,$K$5:$K$363))</f>
        <v>55</v>
      </c>
      <c r="M349" s="25" t="n">
        <v>0.0437601296596434</v>
      </c>
      <c r="N349" s="19" t="n">
        <v>11.3</v>
      </c>
      <c r="O349" s="17" t="n">
        <f aca="false">IF(N349="","",RANK(N349,$N$5:$N$363))</f>
        <v>287</v>
      </c>
      <c r="P349" s="17" t="str">
        <f aca="false">IF(AND(N(H349)&gt;=N(K349),N(H349)&gt;=N(N349)),"The Pulse",IF(N(K349)&gt;=N(N349),"The Lens","The Hub"))</f>
        <v>The Lens</v>
      </c>
      <c r="Q349" s="20" t="s">
        <v>74</v>
      </c>
      <c r="R349" s="27" t="s">
        <v>671</v>
      </c>
      <c r="S349" s="17" t="s">
        <v>19</v>
      </c>
    </row>
    <row r="350" customFormat="false" ht="15" hidden="false" customHeight="false" outlineLevel="0" collapsed="false">
      <c r="A350" s="17" t="s">
        <v>647</v>
      </c>
      <c r="B350" s="17" t="s">
        <v>648</v>
      </c>
      <c r="C350" s="17" t="s">
        <v>1348</v>
      </c>
      <c r="D350" s="17" t="s">
        <v>105</v>
      </c>
      <c r="E350" s="18" t="n">
        <v>36980</v>
      </c>
      <c r="F350" s="17" t="s">
        <v>667</v>
      </c>
      <c r="G350" s="23" t="n">
        <v>0.146160086533261</v>
      </c>
      <c r="H350" s="19" t="n">
        <v>4.7</v>
      </c>
      <c r="I350" s="17" t="n">
        <f aca="false">IF(H350="","",RANK(H350,$H$5:$H$363))</f>
        <v>346</v>
      </c>
      <c r="J350" s="24" t="n">
        <v>0.0323841429369068</v>
      </c>
      <c r="K350" s="19" t="n">
        <v>19</v>
      </c>
      <c r="L350" s="17" t="n">
        <f aca="false">IF(K350="","",RANK(K350,$K$5:$K$363))</f>
        <v>290</v>
      </c>
      <c r="M350" s="28" t="s">
        <v>680</v>
      </c>
      <c r="N350" s="19"/>
      <c r="O350" s="17" t="str">
        <f aca="false">IF(N350="","",RANK(N350,$N$5:$N$363))</f>
        <v/>
      </c>
      <c r="P350" s="17" t="str">
        <f aca="false">IF(AND(N(H350)&gt;=N(K350),N(H350)&gt;=N(N350)),"The Pulse",IF(N(K350)&gt;=N(N350),"The Lens","The Hub"))</f>
        <v>The Lens</v>
      </c>
      <c r="Q350" s="21" t="s">
        <v>78</v>
      </c>
      <c r="R350" s="27" t="s">
        <v>671</v>
      </c>
      <c r="S350" s="17" t="s">
        <v>21</v>
      </c>
    </row>
    <row r="351" customFormat="false" ht="15" hidden="false" customHeight="false" outlineLevel="0" collapsed="false">
      <c r="A351" s="17" t="s">
        <v>1349</v>
      </c>
      <c r="B351" s="17" t="s">
        <v>1350</v>
      </c>
      <c r="C351" s="17" t="s">
        <v>1351</v>
      </c>
      <c r="D351" s="17" t="s">
        <v>102</v>
      </c>
      <c r="E351" s="18" t="n">
        <v>116729</v>
      </c>
      <c r="F351" s="17" t="s">
        <v>670</v>
      </c>
      <c r="G351" s="23" t="n">
        <v>0.145670741632328</v>
      </c>
      <c r="H351" s="19" t="n">
        <v>4.5</v>
      </c>
      <c r="I351" s="17" t="n">
        <f aca="false">IF(H351="","",RANK(H351,$H$5:$H$363))</f>
        <v>347</v>
      </c>
      <c r="J351" s="24" t="n">
        <v>0.0804439178807457</v>
      </c>
      <c r="K351" s="19" t="n">
        <v>51.4</v>
      </c>
      <c r="L351" s="17" t="n">
        <f aca="false">IF(K351="","",RANK(K351,$K$5:$K$363))</f>
        <v>172</v>
      </c>
      <c r="M351" s="25" t="n">
        <v>0.00758725341426404</v>
      </c>
      <c r="N351" s="19" t="n">
        <v>2.2</v>
      </c>
      <c r="O351" s="17" t="n">
        <f aca="false">IF(N351="","",RANK(N351,$N$5:$N$363))</f>
        <v>315</v>
      </c>
      <c r="P351" s="17" t="str">
        <f aca="false">IF(AND(N(H351)&gt;=N(K351),N(H351)&gt;=N(N351)),"The Pulse",IF(N(K351)&gt;=N(N351),"The Lens","The Hub"))</f>
        <v>The Lens</v>
      </c>
      <c r="Q351" s="20" t="s">
        <v>74</v>
      </c>
      <c r="R351" s="26" t="s">
        <v>668</v>
      </c>
      <c r="S351" s="17" t="s">
        <v>19</v>
      </c>
    </row>
    <row r="352" customFormat="false" ht="15" hidden="false" customHeight="false" outlineLevel="0" collapsed="false">
      <c r="A352" s="17" t="s">
        <v>431</v>
      </c>
      <c r="B352" s="17" t="s">
        <v>432</v>
      </c>
      <c r="C352" s="17" t="s">
        <v>1352</v>
      </c>
      <c r="D352" s="17" t="s">
        <v>105</v>
      </c>
      <c r="E352" s="18" t="n">
        <v>77585</v>
      </c>
      <c r="F352" s="17" t="s">
        <v>667</v>
      </c>
      <c r="G352" s="23" t="n">
        <v>0.14241154862409</v>
      </c>
      <c r="H352" s="19" t="n">
        <v>4.1</v>
      </c>
      <c r="I352" s="17" t="n">
        <f aca="false">IF(H352="","",RANK(H352,$H$5:$H$363))</f>
        <v>348</v>
      </c>
      <c r="J352" s="24" t="n">
        <v>-0.00919481514590384</v>
      </c>
      <c r="K352" s="19" t="n">
        <v>7.9</v>
      </c>
      <c r="L352" s="17" t="n">
        <f aca="false">IF(K352="","",RANK(K352,$K$5:$K$363))</f>
        <v>331</v>
      </c>
      <c r="M352" s="25" t="n">
        <v>0.0191815856777494</v>
      </c>
      <c r="N352" s="19" t="n">
        <v>4.4</v>
      </c>
      <c r="O352" s="17" t="n">
        <f aca="false">IF(N352="","",RANK(N352,$N$5:$N$363))</f>
        <v>308</v>
      </c>
      <c r="P352" s="17" t="str">
        <f aca="false">IF(AND(N(H352)&gt;=N(K352),N(H352)&gt;=N(N352)),"The Pulse",IF(N(K352)&gt;=N(N352),"The Lens","The Hub"))</f>
        <v>The Lens</v>
      </c>
      <c r="Q352" s="21" t="s">
        <v>78</v>
      </c>
      <c r="R352" s="27" t="s">
        <v>671</v>
      </c>
      <c r="S352" s="17" t="s">
        <v>126</v>
      </c>
    </row>
    <row r="353" customFormat="false" ht="15" hidden="false" customHeight="false" outlineLevel="0" collapsed="false">
      <c r="A353" s="17" t="s">
        <v>1353</v>
      </c>
      <c r="B353" s="17" t="s">
        <v>1354</v>
      </c>
      <c r="C353" s="17" t="s">
        <v>1355</v>
      </c>
      <c r="D353" s="17" t="s">
        <v>77</v>
      </c>
      <c r="E353" s="18" t="n">
        <v>51921</v>
      </c>
      <c r="F353" s="17" t="s">
        <v>667</v>
      </c>
      <c r="G353" s="23" t="n">
        <v>0.135340228423952</v>
      </c>
      <c r="H353" s="19" t="n">
        <v>3.8</v>
      </c>
      <c r="I353" s="17" t="n">
        <f aca="false">IF(H353="","",RANK(H353,$H$5:$H$363))</f>
        <v>349</v>
      </c>
      <c r="J353" s="24" t="n">
        <v>0.161933534743202</v>
      </c>
      <c r="K353" s="19" t="n">
        <v>82.1</v>
      </c>
      <c r="L353" s="17" t="n">
        <f aca="false">IF(K353="","",RANK(K353,$K$5:$K$363))</f>
        <v>66</v>
      </c>
      <c r="M353" s="28" t="s">
        <v>680</v>
      </c>
      <c r="N353" s="19"/>
      <c r="O353" s="17" t="str">
        <f aca="false">IF(N353="","",RANK(N353,$N$5:$N$363))</f>
        <v/>
      </c>
      <c r="P353" s="17" t="str">
        <f aca="false">IF(AND(N(H353)&gt;=N(K353),N(H353)&gt;=N(N353)),"The Pulse",IF(N(K353)&gt;=N(N353),"The Lens","The Hub"))</f>
        <v>The Lens</v>
      </c>
      <c r="Q353" s="20" t="s">
        <v>74</v>
      </c>
      <c r="R353" s="26" t="s">
        <v>668</v>
      </c>
      <c r="S353" s="17" t="s">
        <v>19</v>
      </c>
    </row>
    <row r="354" customFormat="false" ht="15" hidden="false" customHeight="false" outlineLevel="0" collapsed="false">
      <c r="A354" s="17" t="s">
        <v>1356</v>
      </c>
      <c r="B354" s="17" t="s">
        <v>1357</v>
      </c>
      <c r="C354" s="17" t="s">
        <v>1358</v>
      </c>
      <c r="D354" s="17" t="s">
        <v>114</v>
      </c>
      <c r="E354" s="18" t="n">
        <v>1069298</v>
      </c>
      <c r="F354" s="17" t="s">
        <v>752</v>
      </c>
      <c r="G354" s="23" t="n">
        <v>0.126775697700735</v>
      </c>
      <c r="H354" s="19" t="n">
        <v>3.6</v>
      </c>
      <c r="I354" s="17" t="n">
        <f aca="false">IF(H354="","",RANK(H354,$H$5:$H$363))</f>
        <v>350</v>
      </c>
      <c r="J354" s="24" t="n">
        <v>6.95821797505284</v>
      </c>
      <c r="K354" s="19" t="n">
        <v>100</v>
      </c>
      <c r="L354" s="17" t="n">
        <f aca="false">IF(K354="","",RANK(K354,$K$5:$K$363))</f>
        <v>1</v>
      </c>
      <c r="M354" s="25" t="n">
        <v>0.205904503690315</v>
      </c>
      <c r="N354" s="19" t="n">
        <v>72.9</v>
      </c>
      <c r="O354" s="17" t="n">
        <f aca="false">IF(N354="","",RANK(N354,$N$5:$N$363))</f>
        <v>87</v>
      </c>
      <c r="P354" s="17" t="str">
        <f aca="false">IF(AND(N(H354)&gt;=N(K354),N(H354)&gt;=N(N354)),"The Pulse",IF(N(K354)&gt;=N(N354),"The Lens","The Hub"))</f>
        <v>The Lens</v>
      </c>
      <c r="Q354" s="20" t="s">
        <v>74</v>
      </c>
      <c r="R354" s="26" t="s">
        <v>668</v>
      </c>
      <c r="S354" s="17" t="s">
        <v>19</v>
      </c>
    </row>
    <row r="355" customFormat="false" ht="15" hidden="false" customHeight="false" outlineLevel="0" collapsed="false">
      <c r="A355" s="17" t="s">
        <v>1359</v>
      </c>
      <c r="B355" s="17" t="s">
        <v>1359</v>
      </c>
      <c r="C355" s="17" t="s">
        <v>1360</v>
      </c>
      <c r="D355" s="17" t="s">
        <v>138</v>
      </c>
      <c r="E355" s="18" t="n">
        <v>1086020</v>
      </c>
      <c r="F355" s="17" t="s">
        <v>752</v>
      </c>
      <c r="G355" s="23" t="n">
        <v>0.126424006924366</v>
      </c>
      <c r="H355" s="19" t="n">
        <v>3.4</v>
      </c>
      <c r="I355" s="17" t="n">
        <f aca="false">IF(H355="","",RANK(H355,$H$5:$H$363))</f>
        <v>351</v>
      </c>
      <c r="J355" s="24" t="n">
        <v>0.100703383130967</v>
      </c>
      <c r="K355" s="19" t="n">
        <v>43.8</v>
      </c>
      <c r="L355" s="17" t="n">
        <f aca="false">IF(K355="","",RANK(K355,$K$5:$K$363))</f>
        <v>201</v>
      </c>
      <c r="M355" s="25" t="n">
        <v>0.275655644241733</v>
      </c>
      <c r="N355" s="19" t="n">
        <v>86.7</v>
      </c>
      <c r="O355" s="17" t="n">
        <f aca="false">IF(N355="","",RANK(N355,$N$5:$N$363))</f>
        <v>43</v>
      </c>
      <c r="P355" s="17" t="str">
        <f aca="false">IF(AND(N(H355)&gt;=N(K355),N(H355)&gt;=N(N355)),"The Pulse",IF(N(K355)&gt;=N(N355),"The Lens","The Hub"))</f>
        <v>The Hub</v>
      </c>
      <c r="Q355" s="21" t="s">
        <v>78</v>
      </c>
      <c r="R355" s="26" t="s">
        <v>668</v>
      </c>
      <c r="S355" s="17" t="s">
        <v>21</v>
      </c>
    </row>
    <row r="356" customFormat="false" ht="15" hidden="false" customHeight="false" outlineLevel="0" collapsed="false">
      <c r="A356" s="17" t="s">
        <v>649</v>
      </c>
      <c r="B356" s="17" t="s">
        <v>650</v>
      </c>
      <c r="C356" s="17" t="s">
        <v>1361</v>
      </c>
      <c r="D356" s="17" t="s">
        <v>102</v>
      </c>
      <c r="E356" s="18" t="n">
        <v>54780</v>
      </c>
      <c r="F356" s="17" t="s">
        <v>667</v>
      </c>
      <c r="G356" s="23" t="n">
        <v>0.117473210886081</v>
      </c>
      <c r="H356" s="19" t="n">
        <v>3.2</v>
      </c>
      <c r="I356" s="17" t="n">
        <f aca="false">IF(H356="","",RANK(H356,$H$5:$H$363))</f>
        <v>352</v>
      </c>
      <c r="J356" s="24" t="n">
        <v>-0.0243242287008208</v>
      </c>
      <c r="K356" s="19" t="n">
        <v>6.7</v>
      </c>
      <c r="L356" s="17" t="n">
        <f aca="false">IF(K356="","",RANK(K356,$K$5:$K$363))</f>
        <v>336</v>
      </c>
      <c r="M356" s="25" t="n">
        <v>0.0529595015576324</v>
      </c>
      <c r="N356" s="19" t="n">
        <v>14.4</v>
      </c>
      <c r="O356" s="17" t="n">
        <f aca="false">IF(N356="","",RANK(N356,$N$5:$N$363))</f>
        <v>277</v>
      </c>
      <c r="P356" s="17" t="str">
        <f aca="false">IF(AND(N(H356)&gt;=N(K356),N(H356)&gt;=N(N356)),"The Pulse",IF(N(K356)&gt;=N(N356),"The Lens","The Hub"))</f>
        <v>The Hub</v>
      </c>
      <c r="Q356" s="22" t="s">
        <v>83</v>
      </c>
      <c r="R356" s="27" t="s">
        <v>671</v>
      </c>
      <c r="S356" s="17" t="s">
        <v>84</v>
      </c>
    </row>
    <row r="357" customFormat="false" ht="15" hidden="false" customHeight="false" outlineLevel="0" collapsed="false">
      <c r="A357" s="17" t="s">
        <v>457</v>
      </c>
      <c r="B357" s="17" t="s">
        <v>458</v>
      </c>
      <c r="C357" s="17" t="s">
        <v>1362</v>
      </c>
      <c r="D357" s="17" t="s">
        <v>92</v>
      </c>
      <c r="E357" s="18" t="n">
        <v>14246</v>
      </c>
      <c r="F357" s="17" t="s">
        <v>667</v>
      </c>
      <c r="G357" s="23" t="n">
        <v>0.115190228836165</v>
      </c>
      <c r="H357" s="19" t="n">
        <v>3</v>
      </c>
      <c r="I357" s="17" t="n">
        <f aca="false">IF(H357="","",RANK(H357,$H$5:$H$363))</f>
        <v>353</v>
      </c>
      <c r="J357" s="24" t="n">
        <v>0.141140660044857</v>
      </c>
      <c r="K357" s="19" t="n">
        <v>74.2</v>
      </c>
      <c r="L357" s="17" t="n">
        <f aca="false">IF(K357="","",RANK(K357,$K$5:$K$363))</f>
        <v>98</v>
      </c>
      <c r="M357" s="25" t="n">
        <v>0.202247191011236</v>
      </c>
      <c r="N357" s="19" t="n">
        <v>71.3</v>
      </c>
      <c r="O357" s="17" t="n">
        <f aca="false">IF(N357="","",RANK(N357,$N$5:$N$363))</f>
        <v>93</v>
      </c>
      <c r="P357" s="17" t="str">
        <f aca="false">IF(AND(N(H357)&gt;=N(K357),N(H357)&gt;=N(N357)),"The Pulse",IF(N(K357)&gt;=N(N357),"The Lens","The Hub"))</f>
        <v>The Lens</v>
      </c>
      <c r="Q357" s="20" t="s">
        <v>74</v>
      </c>
      <c r="R357" s="27" t="s">
        <v>671</v>
      </c>
      <c r="S357" s="17" t="s">
        <v>19</v>
      </c>
    </row>
    <row r="358" customFormat="false" ht="15" hidden="false" customHeight="false" outlineLevel="0" collapsed="false">
      <c r="A358" s="17" t="s">
        <v>545</v>
      </c>
      <c r="B358" s="17" t="s">
        <v>546</v>
      </c>
      <c r="C358" s="17" t="s">
        <v>1363</v>
      </c>
      <c r="D358" s="17" t="s">
        <v>92</v>
      </c>
      <c r="E358" s="18" t="n">
        <v>9660</v>
      </c>
      <c r="F358" s="17" t="s">
        <v>678</v>
      </c>
      <c r="G358" s="23" t="n">
        <v>0.107246376811594</v>
      </c>
      <c r="H358" s="19" t="n">
        <v>2.6</v>
      </c>
      <c r="I358" s="17" t="n">
        <f aca="false">IF(H358="","",RANK(H358,$H$5:$H$363))</f>
        <v>354</v>
      </c>
      <c r="J358" s="24" t="n">
        <v>0.169491525423729</v>
      </c>
      <c r="K358" s="19" t="n">
        <v>87</v>
      </c>
      <c r="L358" s="17" t="n">
        <f aca="false">IF(K358="","",RANK(K358,$K$5:$K$363))</f>
        <v>50</v>
      </c>
      <c r="M358" s="25" t="n">
        <v>0</v>
      </c>
      <c r="N358" s="19" t="n">
        <v>1</v>
      </c>
      <c r="O358" s="17" t="n">
        <f aca="false">IF(N358="","",RANK(N358,$N$5:$N$363))</f>
        <v>317</v>
      </c>
      <c r="P358" s="17" t="str">
        <f aca="false">IF(AND(N(H358)&gt;=N(K358),N(H358)&gt;=N(N358)),"The Pulse",IF(N(K358)&gt;=N(N358),"The Lens","The Hub"))</f>
        <v>The Lens</v>
      </c>
      <c r="Q358" s="21" t="s">
        <v>78</v>
      </c>
      <c r="R358" s="27" t="s">
        <v>671</v>
      </c>
      <c r="S358" s="17" t="s">
        <v>21</v>
      </c>
    </row>
    <row r="359" customFormat="false" ht="15" hidden="false" customHeight="false" outlineLevel="0" collapsed="false">
      <c r="A359" s="17" t="s">
        <v>1364</v>
      </c>
      <c r="B359" s="17" t="s">
        <v>1365</v>
      </c>
      <c r="C359" s="17" t="s">
        <v>1366</v>
      </c>
      <c r="D359" s="17" t="s">
        <v>114</v>
      </c>
      <c r="E359" s="18" t="n">
        <v>3460</v>
      </c>
      <c r="F359" s="17" t="s">
        <v>678</v>
      </c>
      <c r="G359" s="23" t="n">
        <v>0.0907514450867052</v>
      </c>
      <c r="H359" s="19" t="n">
        <v>2.4</v>
      </c>
      <c r="I359" s="17" t="n">
        <f aca="false">IF(H359="","",RANK(H359,$H$5:$H$363))</f>
        <v>355</v>
      </c>
      <c r="J359" s="24" t="n">
        <v>0.189003436426117</v>
      </c>
      <c r="K359" s="19" t="n">
        <v>92.6</v>
      </c>
      <c r="L359" s="17" t="n">
        <f aca="false">IF(K359="","",RANK(K359,$K$5:$K$363))</f>
        <v>28</v>
      </c>
      <c r="M359" s="25" t="n">
        <v>0.176470588235294</v>
      </c>
      <c r="N359" s="19" t="n">
        <v>63</v>
      </c>
      <c r="O359" s="17" t="n">
        <f aca="false">IF(N359="","",RANK(N359,$N$5:$N$363))</f>
        <v>120</v>
      </c>
      <c r="P359" s="17" t="str">
        <f aca="false">IF(AND(N(H359)&gt;=N(K359),N(H359)&gt;=N(N359)),"The Pulse",IF(N(K359)&gt;=N(N359),"The Lens","The Hub"))</f>
        <v>The Lens</v>
      </c>
      <c r="Q359" s="21" t="s">
        <v>78</v>
      </c>
      <c r="R359" s="26" t="s">
        <v>668</v>
      </c>
      <c r="S359" s="17" t="s">
        <v>21</v>
      </c>
    </row>
    <row r="360" customFormat="false" ht="15" hidden="false" customHeight="false" outlineLevel="0" collapsed="false">
      <c r="A360" s="17" t="s">
        <v>471</v>
      </c>
      <c r="B360" s="17" t="s">
        <v>472</v>
      </c>
      <c r="C360" s="17" t="s">
        <v>1367</v>
      </c>
      <c r="D360" s="17" t="s">
        <v>87</v>
      </c>
      <c r="E360" s="18" t="n">
        <v>76305</v>
      </c>
      <c r="F360" s="17" t="s">
        <v>667</v>
      </c>
      <c r="G360" s="23" t="n">
        <v>0.0804534434178625</v>
      </c>
      <c r="H360" s="19" t="n">
        <v>1.7</v>
      </c>
      <c r="I360" s="17" t="n">
        <f aca="false">IF(H360="","",RANK(H360,$H$5:$H$363))</f>
        <v>356</v>
      </c>
      <c r="J360" s="24" t="n">
        <v>0.178127458693942</v>
      </c>
      <c r="K360" s="19" t="n">
        <v>86.1</v>
      </c>
      <c r="L360" s="17" t="n">
        <f aca="false">IF(K360="","",RANK(K360,$K$5:$K$363))</f>
        <v>54</v>
      </c>
      <c r="M360" s="25" t="n">
        <v>0.187755102040816</v>
      </c>
      <c r="N360" s="19" t="n">
        <v>66.6</v>
      </c>
      <c r="O360" s="17" t="n">
        <f aca="false">IF(N360="","",RANK(N360,$N$5:$N$363))</f>
        <v>107</v>
      </c>
      <c r="P360" s="17" t="str">
        <f aca="false">IF(AND(N(H360)&gt;=N(K360),N(H360)&gt;=N(N360)),"The Pulse",IF(N(K360)&gt;=N(N360),"The Lens","The Hub"))</f>
        <v>The Lens</v>
      </c>
      <c r="Q360" s="21" t="s">
        <v>78</v>
      </c>
      <c r="R360" s="27" t="s">
        <v>671</v>
      </c>
      <c r="S360" s="17" t="s">
        <v>126</v>
      </c>
    </row>
    <row r="361" customFormat="false" ht="15" hidden="false" customHeight="false" outlineLevel="0" collapsed="false">
      <c r="A361" s="17" t="s">
        <v>491</v>
      </c>
      <c r="B361" s="17" t="s">
        <v>492</v>
      </c>
      <c r="C361" s="17" t="s">
        <v>1368</v>
      </c>
      <c r="D361" s="17" t="s">
        <v>92</v>
      </c>
      <c r="E361" s="18" t="n">
        <v>91680</v>
      </c>
      <c r="F361" s="17" t="s">
        <v>667</v>
      </c>
      <c r="G361" s="23" t="n">
        <v>0.0784358638743456</v>
      </c>
      <c r="H361" s="19" t="n">
        <v>1.3</v>
      </c>
      <c r="I361" s="17" t="n">
        <f aca="false">IF(H361="","",RANK(H361,$H$5:$H$363))</f>
        <v>357</v>
      </c>
      <c r="J361" s="24" t="n">
        <v>0.0364006330544879</v>
      </c>
      <c r="K361" s="19" t="n">
        <v>21.4</v>
      </c>
      <c r="L361" s="17" t="n">
        <f aca="false">IF(K361="","",RANK(K361,$K$5:$K$363))</f>
        <v>282</v>
      </c>
      <c r="M361" s="25" t="n">
        <v>0.296587926509186</v>
      </c>
      <c r="N361" s="19" t="n">
        <v>90.6</v>
      </c>
      <c r="O361" s="17" t="n">
        <f aca="false">IF(N361="","",RANK(N361,$N$5:$N$363))</f>
        <v>32</v>
      </c>
      <c r="P361" s="17" t="str">
        <f aca="false">IF(AND(N(H361)&gt;=N(K361),N(H361)&gt;=N(N361)),"The Pulse",IF(N(K361)&gt;=N(N361),"The Lens","The Hub"))</f>
        <v>The Hub</v>
      </c>
      <c r="Q361" s="21" t="s">
        <v>78</v>
      </c>
      <c r="R361" s="27" t="s">
        <v>671</v>
      </c>
      <c r="S361" s="17" t="s">
        <v>21</v>
      </c>
    </row>
    <row r="362" customFormat="false" ht="15" hidden="false" customHeight="false" outlineLevel="0" collapsed="false">
      <c r="A362" s="17" t="s">
        <v>1369</v>
      </c>
      <c r="B362" s="17" t="s">
        <v>1370</v>
      </c>
      <c r="C362" s="17" t="s">
        <v>1371</v>
      </c>
      <c r="D362" s="17" t="s">
        <v>133</v>
      </c>
      <c r="E362" s="18" t="n">
        <v>93730</v>
      </c>
      <c r="F362" s="17" t="s">
        <v>667</v>
      </c>
      <c r="G362" s="23" t="n">
        <v>0.0710978342046303</v>
      </c>
      <c r="H362" s="19" t="n">
        <v>0.9</v>
      </c>
      <c r="I362" s="17" t="n">
        <f aca="false">IF(H362="","",RANK(H362,$H$5:$H$363))</f>
        <v>358</v>
      </c>
      <c r="J362" s="24" t="n">
        <v>0.168848983663799</v>
      </c>
      <c r="K362" s="19" t="n">
        <v>84.1</v>
      </c>
      <c r="L362" s="17" t="n">
        <f aca="false">IF(K362="","",RANK(K362,$K$5:$K$363))</f>
        <v>60</v>
      </c>
      <c r="M362" s="25" t="n">
        <v>0.0555555555555556</v>
      </c>
      <c r="N362" s="19" t="n">
        <v>15.9</v>
      </c>
      <c r="O362" s="17" t="n">
        <f aca="false">IF(N362="","",RANK(N362,$N$5:$N$363))</f>
        <v>273</v>
      </c>
      <c r="P362" s="17" t="str">
        <f aca="false">IF(AND(N(H362)&gt;=N(K362),N(H362)&gt;=N(N362)),"The Pulse",IF(N(K362)&gt;=N(N362),"The Lens","The Hub"))</f>
        <v>The Lens</v>
      </c>
      <c r="Q362" s="21" t="s">
        <v>78</v>
      </c>
      <c r="R362" s="26" t="s">
        <v>668</v>
      </c>
      <c r="S362" s="17" t="s">
        <v>21</v>
      </c>
    </row>
    <row r="363" customFormat="false" ht="15" hidden="false" customHeight="false" outlineLevel="0" collapsed="false">
      <c r="A363" s="17" t="s">
        <v>469</v>
      </c>
      <c r="B363" s="17" t="s">
        <v>470</v>
      </c>
      <c r="C363" s="17" t="s">
        <v>1372</v>
      </c>
      <c r="D363" s="17" t="s">
        <v>102</v>
      </c>
      <c r="E363" s="18" t="n">
        <v>34380</v>
      </c>
      <c r="F363" s="17" t="s">
        <v>667</v>
      </c>
      <c r="G363" s="23" t="n">
        <v>0.0597731239092496</v>
      </c>
      <c r="H363" s="19" t="n">
        <v>0.4</v>
      </c>
      <c r="I363" s="17" t="n">
        <f aca="false">IF(H363="","",RANK(H363,$H$5:$H$363))</f>
        <v>359</v>
      </c>
      <c r="J363" s="24" t="n">
        <v>0.23611260921152</v>
      </c>
      <c r="K363" s="19" t="n">
        <v>96.4</v>
      </c>
      <c r="L363" s="17" t="n">
        <f aca="false">IF(K363="","",RANK(K363,$K$5:$K$363))</f>
        <v>14</v>
      </c>
      <c r="M363" s="25" t="n">
        <v>0.109756097560976</v>
      </c>
      <c r="N363" s="19" t="n">
        <v>39.8</v>
      </c>
      <c r="O363" s="17" t="n">
        <f aca="false">IF(N363="","",RANK(N363,$N$5:$N$363))</f>
        <v>198</v>
      </c>
      <c r="P363" s="17" t="str">
        <f aca="false">IF(AND(N(H363)&gt;=N(K363),N(H363)&gt;=N(N363)),"The Pulse",IF(N(K363)&gt;=N(N363),"The Lens","The Hub"))</f>
        <v>The Lens</v>
      </c>
      <c r="Q363" s="20" t="s">
        <v>74</v>
      </c>
      <c r="R363" s="27" t="s">
        <v>671</v>
      </c>
      <c r="S363" s="17" t="s">
        <v>19</v>
      </c>
    </row>
  </sheetData>
  <autoFilter ref="A4:S363"/>
  <conditionalFormatting sqref="H5:H363">
    <cfRule type="colorScale" priority="2">
      <colorScale>
        <cfvo type="num" val="0"/>
        <cfvo type="num" val="100"/>
        <color rgb="FFFFFFFF"/>
        <color rgb="FFF97316"/>
      </colorScale>
    </cfRule>
  </conditionalFormatting>
  <conditionalFormatting sqref="K5:K363">
    <cfRule type="colorScale" priority="3">
      <colorScale>
        <cfvo type="num" val="0"/>
        <cfvo type="num" val="100"/>
        <color rgb="FFFFFFFF"/>
        <color rgb="FFF97316"/>
      </colorScale>
    </cfRule>
  </conditionalFormatting>
  <conditionalFormatting sqref="N5:N363">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1373</v>
      </c>
      <c r="B1" s="2"/>
      <c r="C1" s="2"/>
      <c r="D1" s="2"/>
      <c r="E1" s="2"/>
      <c r="F1" s="2"/>
      <c r="G1" s="2"/>
      <c r="H1" s="2"/>
      <c r="I1" s="2"/>
      <c r="J1" s="2"/>
      <c r="K1" s="2"/>
      <c r="L1" s="2"/>
      <c r="M1" s="2"/>
      <c r="N1" s="2"/>
      <c r="O1" s="2"/>
      <c r="P1" s="2"/>
      <c r="Q1" s="2"/>
      <c r="R1" s="2"/>
      <c r="S1" s="2"/>
    </row>
    <row r="2" customFormat="false" ht="15" hidden="false" customHeight="false" outlineLevel="0" collapsed="false">
      <c r="A2" s="3" t="s">
        <v>656</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657</v>
      </c>
      <c r="D4" s="8" t="s">
        <v>57</v>
      </c>
      <c r="E4" s="8" t="s">
        <v>658</v>
      </c>
      <c r="F4" s="8" t="s">
        <v>659</v>
      </c>
      <c r="G4" s="10" t="s">
        <v>660</v>
      </c>
      <c r="H4" s="10" t="s">
        <v>61</v>
      </c>
      <c r="I4" s="10" t="s">
        <v>62</v>
      </c>
      <c r="J4" s="10" t="s">
        <v>661</v>
      </c>
      <c r="K4" s="10" t="s">
        <v>63</v>
      </c>
      <c r="L4" s="10" t="s">
        <v>64</v>
      </c>
      <c r="M4" s="10" t="s">
        <v>662</v>
      </c>
      <c r="N4" s="10" t="s">
        <v>65</v>
      </c>
      <c r="O4" s="10" t="s">
        <v>66</v>
      </c>
      <c r="P4" s="8" t="s">
        <v>67</v>
      </c>
      <c r="Q4" s="8" t="s">
        <v>68</v>
      </c>
      <c r="R4" s="8" t="s">
        <v>663</v>
      </c>
      <c r="S4" s="8" t="s">
        <v>69</v>
      </c>
    </row>
    <row r="5" customFormat="false" ht="15" hidden="false" customHeight="false" outlineLevel="0" collapsed="false">
      <c r="A5" s="17" t="s">
        <v>205</v>
      </c>
      <c r="B5" s="17" t="s">
        <v>206</v>
      </c>
      <c r="C5" s="17" t="s">
        <v>1374</v>
      </c>
      <c r="D5" s="17" t="s">
        <v>77</v>
      </c>
      <c r="E5" s="18" t="n">
        <v>21640</v>
      </c>
      <c r="F5" s="17" t="s">
        <v>667</v>
      </c>
      <c r="G5" s="23" t="n">
        <v>19.8589648798521</v>
      </c>
      <c r="H5" s="19" t="n">
        <v>100</v>
      </c>
      <c r="I5" s="17" t="n">
        <f aca="false">IF(H5="","",RANK(H5,$H$5:$H$337))</f>
        <v>1</v>
      </c>
      <c r="J5" s="24" t="n">
        <v>0.0929292929292929</v>
      </c>
      <c r="K5" s="19" t="n">
        <v>52.3</v>
      </c>
      <c r="L5" s="17" t="n">
        <f aca="false">IF(K5="","",RANK(K5,$K$5:$K$337))</f>
        <v>156</v>
      </c>
      <c r="M5" s="25" t="n">
        <v>0.059788294664287</v>
      </c>
      <c r="N5" s="19" t="n">
        <v>16.8</v>
      </c>
      <c r="O5" s="17" t="n">
        <f aca="false">IF(N5="","",RANK(N5,$N$5:$N$337))</f>
        <v>278</v>
      </c>
      <c r="P5" s="17" t="str">
        <f aca="false">IF(AND(N(H5)&gt;=N(K5),N(H5)&gt;=N(N5)),"The Pulse",IF(N(K5)&gt;=N(N5),"The Lens","The Hub"))</f>
        <v>The Pulse</v>
      </c>
      <c r="Q5" s="21" t="s">
        <v>78</v>
      </c>
      <c r="R5" s="27" t="s">
        <v>671</v>
      </c>
      <c r="S5" s="17" t="s">
        <v>21</v>
      </c>
    </row>
    <row r="6" customFormat="false" ht="15" hidden="false" customHeight="false" outlineLevel="0" collapsed="false">
      <c r="A6" s="17" t="s">
        <v>1356</v>
      </c>
      <c r="B6" s="17" t="s">
        <v>1357</v>
      </c>
      <c r="C6" s="17" t="s">
        <v>1375</v>
      </c>
      <c r="D6" s="17" t="s">
        <v>114</v>
      </c>
      <c r="E6" s="18" t="n">
        <v>51090</v>
      </c>
      <c r="F6" s="17" t="s">
        <v>667</v>
      </c>
      <c r="G6" s="23" t="n">
        <v>16.2027011156782</v>
      </c>
      <c r="H6" s="19" t="n">
        <v>99.8</v>
      </c>
      <c r="I6" s="17" t="n">
        <f aca="false">IF(H6="","",RANK(H6,$H$5:$H$337))</f>
        <v>2</v>
      </c>
      <c r="J6" s="24" t="n">
        <v>0.0527799824554075</v>
      </c>
      <c r="K6" s="19" t="n">
        <v>30.3</v>
      </c>
      <c r="L6" s="17" t="n">
        <f aca="false">IF(K6="","",RANK(K6,$K$5:$K$337))</f>
        <v>236</v>
      </c>
      <c r="M6" s="25" t="n">
        <v>0.0293543875147232</v>
      </c>
      <c r="N6" s="19" t="n">
        <v>6.2</v>
      </c>
      <c r="O6" s="17" t="n">
        <f aca="false">IF(N6="","",RANK(N6,$N$5:$N$337))</f>
        <v>311</v>
      </c>
      <c r="P6" s="17" t="str">
        <f aca="false">IF(AND(N(H6)&gt;=N(K6),N(H6)&gt;=N(N6)),"The Pulse",IF(N(K6)&gt;=N(N6),"The Lens","The Hub"))</f>
        <v>The Pulse</v>
      </c>
      <c r="Q6" s="22" t="s">
        <v>83</v>
      </c>
      <c r="R6" s="26" t="s">
        <v>668</v>
      </c>
      <c r="S6" s="17" t="s">
        <v>84</v>
      </c>
    </row>
    <row r="7" customFormat="false" ht="15" hidden="false" customHeight="false" outlineLevel="0" collapsed="false">
      <c r="A7" s="17" t="s">
        <v>740</v>
      </c>
      <c r="B7" s="17" t="s">
        <v>741</v>
      </c>
      <c r="C7" s="17" t="s">
        <v>1376</v>
      </c>
      <c r="D7" s="17" t="s">
        <v>92</v>
      </c>
      <c r="E7" s="18" t="n">
        <v>36740</v>
      </c>
      <c r="F7" s="17" t="s">
        <v>667</v>
      </c>
      <c r="G7" s="23" t="n">
        <v>14.4553892215569</v>
      </c>
      <c r="H7" s="19" t="n">
        <v>99.6</v>
      </c>
      <c r="I7" s="17" t="n">
        <f aca="false">IF(H7="","",RANK(H7,$H$5:$H$337))</f>
        <v>3</v>
      </c>
      <c r="J7" s="24" t="n">
        <v>0.0646189510286873</v>
      </c>
      <c r="K7" s="19" t="n">
        <v>36.5</v>
      </c>
      <c r="L7" s="17" t="n">
        <f aca="false">IF(K7="","",RANK(K7,$K$5:$K$337))</f>
        <v>212</v>
      </c>
      <c r="M7" s="25" t="n">
        <v>0.0631380711666171</v>
      </c>
      <c r="N7" s="19" t="n">
        <v>19.4</v>
      </c>
      <c r="O7" s="17" t="n">
        <f aca="false">IF(N7="","",RANK(N7,$N$5:$N$337))</f>
        <v>269</v>
      </c>
      <c r="P7" s="17" t="str">
        <f aca="false">IF(AND(N(H7)&gt;=N(K7),N(H7)&gt;=N(N7)),"The Pulse",IF(N(K7)&gt;=N(N7),"The Lens","The Hub"))</f>
        <v>The Pulse</v>
      </c>
      <c r="Q7" s="21" t="s">
        <v>78</v>
      </c>
      <c r="R7" s="26" t="s">
        <v>668</v>
      </c>
      <c r="S7" s="17" t="s">
        <v>21</v>
      </c>
    </row>
    <row r="8" customFormat="false" ht="15" hidden="false" customHeight="false" outlineLevel="0" collapsed="false">
      <c r="A8" s="17" t="s">
        <v>269</v>
      </c>
      <c r="B8" s="17" t="s">
        <v>270</v>
      </c>
      <c r="C8" s="17" t="s">
        <v>1377</v>
      </c>
      <c r="D8" s="17" t="s">
        <v>81</v>
      </c>
      <c r="E8" s="18" t="n">
        <v>775100</v>
      </c>
      <c r="F8" s="17" t="s">
        <v>670</v>
      </c>
      <c r="G8" s="23" t="n">
        <v>13.8642626757838</v>
      </c>
      <c r="H8" s="19" t="n">
        <v>99.2</v>
      </c>
      <c r="I8" s="17" t="n">
        <f aca="false">IF(H8="","",RANK(H8,$H$5:$H$337))</f>
        <v>4</v>
      </c>
      <c r="J8" s="24" t="n">
        <v>0.0906302325908624</v>
      </c>
      <c r="K8" s="19" t="n">
        <v>56.3</v>
      </c>
      <c r="L8" s="17" t="n">
        <f aca="false">IF(K8="","",RANK(K8,$K$5:$K$337))</f>
        <v>144</v>
      </c>
      <c r="M8" s="25" t="n">
        <v>0.0833992961843272</v>
      </c>
      <c r="N8" s="19" t="n">
        <v>25.1</v>
      </c>
      <c r="O8" s="17" t="n">
        <f aca="false">IF(N8="","",RANK(N8,$N$5:$N$337))</f>
        <v>251</v>
      </c>
      <c r="P8" s="17" t="str">
        <f aca="false">IF(AND(N(H8)&gt;=N(K8),N(H8)&gt;=N(N8)),"The Pulse",IF(N(K8)&gt;=N(N8),"The Lens","The Hub"))</f>
        <v>The Pulse</v>
      </c>
      <c r="Q8" s="21" t="s">
        <v>78</v>
      </c>
      <c r="R8" s="27" t="s">
        <v>671</v>
      </c>
      <c r="S8" s="17" t="s">
        <v>21</v>
      </c>
    </row>
    <row r="9" customFormat="false" ht="15" hidden="false" customHeight="false" outlineLevel="0" collapsed="false">
      <c r="A9" s="17" t="s">
        <v>267</v>
      </c>
      <c r="B9" s="17" t="s">
        <v>268</v>
      </c>
      <c r="C9" s="17" t="s">
        <v>1378</v>
      </c>
      <c r="D9" s="17" t="s">
        <v>114</v>
      </c>
      <c r="E9" s="18" t="n">
        <v>2246</v>
      </c>
      <c r="F9" s="17" t="s">
        <v>678</v>
      </c>
      <c r="G9" s="23" t="n">
        <v>12.5338379341051</v>
      </c>
      <c r="H9" s="19" t="n">
        <v>98.9</v>
      </c>
      <c r="I9" s="17" t="n">
        <f aca="false">IF(H9="","",RANK(H9,$H$5:$H$337))</f>
        <v>5</v>
      </c>
      <c r="J9" s="24" t="n">
        <v>0.230684931506849</v>
      </c>
      <c r="K9" s="19" t="n">
        <v>97.9</v>
      </c>
      <c r="L9" s="17" t="n">
        <f aca="false">IF(K9="","",RANK(K9,$K$5:$K$337))</f>
        <v>9</v>
      </c>
      <c r="M9" s="25" t="n">
        <v>0.235849056603774</v>
      </c>
      <c r="N9" s="19" t="n">
        <v>79.3</v>
      </c>
      <c r="O9" s="17" t="n">
        <f aca="false">IF(N9="","",RANK(N9,$N$5:$N$337))</f>
        <v>72</v>
      </c>
      <c r="P9" s="17" t="str">
        <f aca="false">IF(AND(N(H9)&gt;=N(K9),N(H9)&gt;=N(N9)),"The Pulse",IF(N(K9)&gt;=N(N9),"The Lens","The Hub"))</f>
        <v>The Pulse</v>
      </c>
      <c r="Q9" s="20" t="s">
        <v>74</v>
      </c>
      <c r="R9" s="27" t="s">
        <v>671</v>
      </c>
      <c r="S9" s="17" t="s">
        <v>19</v>
      </c>
    </row>
    <row r="10" customFormat="false" ht="15" hidden="false" customHeight="false" outlineLevel="0" collapsed="false">
      <c r="A10" s="17" t="s">
        <v>75</v>
      </c>
      <c r="B10" s="17" t="s">
        <v>76</v>
      </c>
      <c r="C10" s="17" t="s">
        <v>1379</v>
      </c>
      <c r="D10" s="17" t="s">
        <v>77</v>
      </c>
      <c r="E10" s="18" t="n">
        <v>29820</v>
      </c>
      <c r="F10" s="17" t="s">
        <v>667</v>
      </c>
      <c r="G10" s="23" t="n">
        <v>12.3997317236754</v>
      </c>
      <c r="H10" s="19" t="n">
        <v>98.7</v>
      </c>
      <c r="I10" s="17" t="n">
        <f aca="false">IF(H10="","",RANK(H10,$H$5:$H$337))</f>
        <v>6</v>
      </c>
      <c r="J10" s="24" t="n">
        <v>0.0156675749318801</v>
      </c>
      <c r="K10" s="19" t="n">
        <v>14.9</v>
      </c>
      <c r="L10" s="17" t="n">
        <f aca="false">IF(K10="","",RANK(K10,$K$5:$K$337))</f>
        <v>285</v>
      </c>
      <c r="M10" s="25" t="n">
        <v>0.280287884846062</v>
      </c>
      <c r="N10" s="19" t="n">
        <v>87.6</v>
      </c>
      <c r="O10" s="17" t="n">
        <f aca="false">IF(N10="","",RANK(N10,$N$5:$N$337))</f>
        <v>45</v>
      </c>
      <c r="P10" s="17" t="str">
        <f aca="false">IF(AND(N(H10)&gt;=N(K10),N(H10)&gt;=N(N10)),"The Pulse",IF(N(K10)&gt;=N(N10),"The Lens","The Hub"))</f>
        <v>The Pulse</v>
      </c>
      <c r="Q10" s="21" t="s">
        <v>78</v>
      </c>
      <c r="R10" s="27" t="s">
        <v>671</v>
      </c>
      <c r="S10" s="17" t="s">
        <v>21</v>
      </c>
    </row>
    <row r="11" customFormat="false" ht="15" hidden="false" customHeight="false" outlineLevel="0" collapsed="false">
      <c r="A11" s="17" t="s">
        <v>1380</v>
      </c>
      <c r="B11" s="17" t="s">
        <v>1381</v>
      </c>
      <c r="C11" s="17" t="s">
        <v>1382</v>
      </c>
      <c r="D11" s="17" t="s">
        <v>114</v>
      </c>
      <c r="E11" s="18" t="n">
        <v>140380</v>
      </c>
      <c r="F11" s="17" t="s">
        <v>670</v>
      </c>
      <c r="G11" s="23" t="n">
        <v>12.0775395355464</v>
      </c>
      <c r="H11" s="19" t="n">
        <v>98.5</v>
      </c>
      <c r="I11" s="17" t="n">
        <f aca="false">IF(H11="","",RANK(H11,$H$5:$H$337))</f>
        <v>7</v>
      </c>
      <c r="J11" s="24" t="n">
        <v>0.0697738218618545</v>
      </c>
      <c r="K11" s="19" t="n">
        <v>42.4</v>
      </c>
      <c r="L11" s="17" t="n">
        <f aca="false">IF(K11="","",RANK(K11,$K$5:$K$337))</f>
        <v>190</v>
      </c>
      <c r="M11" s="25" t="n">
        <v>0.154492946227765</v>
      </c>
      <c r="N11" s="19" t="n">
        <v>59.1</v>
      </c>
      <c r="O11" s="17" t="n">
        <f aca="false">IF(N11="","",RANK(N11,$N$5:$N$337))</f>
        <v>137</v>
      </c>
      <c r="P11" s="17" t="str">
        <f aca="false">IF(AND(N(H11)&gt;=N(K11),N(H11)&gt;=N(N11)),"The Pulse",IF(N(K11)&gt;=N(N11),"The Lens","The Hub"))</f>
        <v>The Pulse</v>
      </c>
      <c r="Q11" s="20" t="s">
        <v>74</v>
      </c>
      <c r="R11" s="26" t="s">
        <v>668</v>
      </c>
      <c r="S11" s="17" t="s">
        <v>19</v>
      </c>
    </row>
    <row r="12" customFormat="false" ht="15" hidden="false" customHeight="false" outlineLevel="0" collapsed="false">
      <c r="A12" s="17" t="s">
        <v>1383</v>
      </c>
      <c r="B12" s="17" t="s">
        <v>1384</v>
      </c>
      <c r="C12" s="17" t="s">
        <v>1385</v>
      </c>
      <c r="D12" s="17" t="s">
        <v>81</v>
      </c>
      <c r="E12" s="18" t="n">
        <v>191635</v>
      </c>
      <c r="F12" s="17" t="s">
        <v>670</v>
      </c>
      <c r="G12" s="23" t="n">
        <v>11.8337464450648</v>
      </c>
      <c r="H12" s="19" t="n">
        <v>98.3</v>
      </c>
      <c r="I12" s="17" t="n">
        <f aca="false">IF(H12="","",RANK(H12,$H$5:$H$337))</f>
        <v>8</v>
      </c>
      <c r="J12" s="24" t="n">
        <v>-0.0460177519800477</v>
      </c>
      <c r="K12" s="19" t="n">
        <v>2.6</v>
      </c>
      <c r="L12" s="17" t="n">
        <f aca="false">IF(K12="","",RANK(K12,$K$5:$K$337))</f>
        <v>325</v>
      </c>
      <c r="M12" s="25" t="n">
        <v>0.312990305231064</v>
      </c>
      <c r="N12" s="19" t="n">
        <v>93.8</v>
      </c>
      <c r="O12" s="17" t="n">
        <f aca="false">IF(N12="","",RANK(N12,$N$5:$N$337))</f>
        <v>24</v>
      </c>
      <c r="P12" s="17" t="str">
        <f aca="false">IF(AND(N(H12)&gt;=N(K12),N(H12)&gt;=N(N12)),"The Pulse",IF(N(K12)&gt;=N(N12),"The Lens","The Hub"))</f>
        <v>The Pulse</v>
      </c>
      <c r="Q12" s="20" t="s">
        <v>74</v>
      </c>
      <c r="R12" s="26" t="s">
        <v>668</v>
      </c>
      <c r="S12" s="17" t="s">
        <v>19</v>
      </c>
    </row>
    <row r="13" customFormat="false" ht="15" hidden="false" customHeight="false" outlineLevel="0" collapsed="false">
      <c r="A13" s="17" t="s">
        <v>90</v>
      </c>
      <c r="B13" s="17" t="s">
        <v>91</v>
      </c>
      <c r="C13" s="17" t="s">
        <v>1386</v>
      </c>
      <c r="D13" s="17" t="s">
        <v>92</v>
      </c>
      <c r="E13" s="18" t="n">
        <v>31260</v>
      </c>
      <c r="F13" s="17" t="s">
        <v>667</v>
      </c>
      <c r="G13" s="23" t="n">
        <v>10.8836532309661</v>
      </c>
      <c r="H13" s="19" t="n">
        <v>98.1</v>
      </c>
      <c r="I13" s="17" t="n">
        <f aca="false">IF(H13="","",RANK(H13,$H$5:$H$337))</f>
        <v>9</v>
      </c>
      <c r="J13" s="24" t="n">
        <v>0.0831600831600832</v>
      </c>
      <c r="K13" s="19" t="n">
        <v>46.9</v>
      </c>
      <c r="L13" s="17" t="n">
        <f aca="false">IF(K13="","",RANK(K13,$K$5:$K$337))</f>
        <v>178</v>
      </c>
      <c r="M13" s="25" t="n">
        <v>0.230787638452072</v>
      </c>
      <c r="N13" s="19" t="n">
        <v>78</v>
      </c>
      <c r="O13" s="17" t="n">
        <f aca="false">IF(N13="","",RANK(N13,$N$5:$N$337))</f>
        <v>77</v>
      </c>
      <c r="P13" s="17" t="str">
        <f aca="false">IF(AND(N(H13)&gt;=N(K13),N(H13)&gt;=N(N13)),"The Pulse",IF(N(K13)&gt;=N(N13),"The Lens","The Hub"))</f>
        <v>The Pulse</v>
      </c>
      <c r="Q13" s="21" t="s">
        <v>78</v>
      </c>
      <c r="R13" s="27" t="s">
        <v>671</v>
      </c>
      <c r="S13" s="17" t="s">
        <v>21</v>
      </c>
    </row>
    <row r="14" customFormat="false" ht="15" hidden="false" customHeight="false" outlineLevel="0" collapsed="false">
      <c r="A14" s="17" t="s">
        <v>1387</v>
      </c>
      <c r="B14" s="17" t="s">
        <v>1388</v>
      </c>
      <c r="C14" s="17" t="s">
        <v>1389</v>
      </c>
      <c r="D14" s="17" t="s">
        <v>133</v>
      </c>
      <c r="E14" s="18" t="n">
        <v>75450</v>
      </c>
      <c r="F14" s="17" t="s">
        <v>667</v>
      </c>
      <c r="G14" s="23" t="n">
        <v>10.41774685222</v>
      </c>
      <c r="H14" s="19" t="n">
        <v>97.5</v>
      </c>
      <c r="I14" s="17" t="n">
        <f aca="false">IF(H14="","",RANK(H14,$H$5:$H$337))</f>
        <v>10</v>
      </c>
      <c r="J14" s="24" t="n">
        <v>0.150327793871017</v>
      </c>
      <c r="K14" s="19" t="n">
        <v>79.7</v>
      </c>
      <c r="L14" s="17" t="n">
        <f aca="false">IF(K14="","",RANK(K14,$K$5:$K$337))</f>
        <v>67</v>
      </c>
      <c r="M14" s="25" t="n">
        <v>0.251528563022845</v>
      </c>
      <c r="N14" s="19" t="n">
        <v>83.7</v>
      </c>
      <c r="O14" s="17" t="n">
        <f aca="false">IF(N14="","",RANK(N14,$N$5:$N$337))</f>
        <v>58</v>
      </c>
      <c r="P14" s="17" t="str">
        <f aca="false">IF(AND(N(H14)&gt;=N(K14),N(H14)&gt;=N(N14)),"The Pulse",IF(N(K14)&gt;=N(N14),"The Lens","The Hub"))</f>
        <v>The Pulse</v>
      </c>
      <c r="Q14" s="21" t="s">
        <v>78</v>
      </c>
      <c r="R14" s="26" t="s">
        <v>668</v>
      </c>
      <c r="S14" s="17" t="s">
        <v>21</v>
      </c>
    </row>
    <row r="15" customFormat="false" ht="15" hidden="false" customHeight="false" outlineLevel="0" collapsed="false">
      <c r="A15" s="17" t="s">
        <v>1390</v>
      </c>
      <c r="B15" s="17" t="s">
        <v>1391</v>
      </c>
      <c r="C15" s="17" t="s">
        <v>1392</v>
      </c>
      <c r="D15" s="17" t="s">
        <v>81</v>
      </c>
      <c r="E15" s="18" t="n">
        <v>29140</v>
      </c>
      <c r="F15" s="17" t="s">
        <v>667</v>
      </c>
      <c r="G15" s="23" t="n">
        <v>10.3932738503775</v>
      </c>
      <c r="H15" s="19" t="n">
        <v>97.3</v>
      </c>
      <c r="I15" s="17" t="n">
        <f aca="false">IF(H15="","",RANK(H15,$H$5:$H$337))</f>
        <v>11</v>
      </c>
      <c r="J15" s="24" t="n">
        <v>0.0760709010339734</v>
      </c>
      <c r="K15" s="19" t="n">
        <v>43.2</v>
      </c>
      <c r="L15" s="17" t="n">
        <f aca="false">IF(K15="","",RANK(K15,$K$5:$K$337))</f>
        <v>187</v>
      </c>
      <c r="M15" s="25" t="n">
        <v>0.0282945736434109</v>
      </c>
      <c r="N15" s="19" t="n">
        <v>6</v>
      </c>
      <c r="O15" s="17" t="n">
        <f aca="false">IF(N15="","",RANK(N15,$N$5:$N$337))</f>
        <v>312</v>
      </c>
      <c r="P15" s="17" t="str">
        <f aca="false">IF(AND(N(H15)&gt;=N(K15),N(H15)&gt;=N(N15)),"The Pulse",IF(N(K15)&gt;=N(N15),"The Lens","The Hub"))</f>
        <v>The Pulse</v>
      </c>
      <c r="Q15" s="21" t="s">
        <v>78</v>
      </c>
      <c r="R15" s="26" t="s">
        <v>668</v>
      </c>
      <c r="S15" s="17" t="s">
        <v>21</v>
      </c>
    </row>
    <row r="16" customFormat="false" ht="15" hidden="false" customHeight="false" outlineLevel="0" collapsed="false">
      <c r="A16" s="17" t="s">
        <v>1393</v>
      </c>
      <c r="B16" s="17" t="s">
        <v>1394</v>
      </c>
      <c r="C16" s="17" t="s">
        <v>1395</v>
      </c>
      <c r="D16" s="17" t="s">
        <v>105</v>
      </c>
      <c r="E16" s="18" t="n">
        <v>33881</v>
      </c>
      <c r="F16" s="17" t="s">
        <v>667</v>
      </c>
      <c r="G16" s="23" t="n">
        <v>10.3777928632567</v>
      </c>
      <c r="H16" s="19" t="n">
        <v>97</v>
      </c>
      <c r="I16" s="17" t="n">
        <f aca="false">IF(H16="","",RANK(H16,$H$5:$H$337))</f>
        <v>12</v>
      </c>
      <c r="J16" s="24" t="n">
        <v>0.0735424588086185</v>
      </c>
      <c r="K16" s="19" t="n">
        <v>41.5</v>
      </c>
      <c r="L16" s="17" t="n">
        <f aca="false">IF(K16="","",RANK(K16,$K$5:$K$337))</f>
        <v>195</v>
      </c>
      <c r="M16" s="25" t="n">
        <v>0.12736642827093</v>
      </c>
      <c r="N16" s="19" t="n">
        <v>48.2</v>
      </c>
      <c r="O16" s="17" t="n">
        <f aca="false">IF(N16="","",RANK(N16,$N$5:$N$337))</f>
        <v>172</v>
      </c>
      <c r="P16" s="17" t="str">
        <f aca="false">IF(AND(N(H16)&gt;=N(K16),N(H16)&gt;=N(N16)),"The Pulse",IF(N(K16)&gt;=N(N16),"The Lens","The Hub"))</f>
        <v>The Pulse</v>
      </c>
      <c r="Q16" s="20" t="s">
        <v>74</v>
      </c>
      <c r="R16" s="26" t="s">
        <v>668</v>
      </c>
      <c r="S16" s="17" t="s">
        <v>19</v>
      </c>
    </row>
    <row r="17" customFormat="false" ht="15" hidden="false" customHeight="false" outlineLevel="0" collapsed="false">
      <c r="A17" s="17" t="s">
        <v>1190</v>
      </c>
      <c r="B17" s="17" t="s">
        <v>1191</v>
      </c>
      <c r="C17" s="17" t="s">
        <v>1396</v>
      </c>
      <c r="D17" s="17" t="s">
        <v>105</v>
      </c>
      <c r="E17" s="18" t="n">
        <v>102231</v>
      </c>
      <c r="F17" s="17" t="s">
        <v>670</v>
      </c>
      <c r="G17" s="23" t="n">
        <v>10.3651925541176</v>
      </c>
      <c r="H17" s="19" t="n">
        <v>96.8</v>
      </c>
      <c r="I17" s="17" t="n">
        <f aca="false">IF(H17="","",RANK(H17,$H$5:$H$337))</f>
        <v>13</v>
      </c>
      <c r="J17" s="24" t="n">
        <v>0.0882932177949051</v>
      </c>
      <c r="K17" s="19" t="n">
        <v>53.6</v>
      </c>
      <c r="L17" s="17" t="n">
        <f aca="false">IF(K17="","",RANK(K17,$K$5:$K$337))</f>
        <v>152</v>
      </c>
      <c r="M17" s="25" t="n">
        <v>0.0121619273759194</v>
      </c>
      <c r="N17" s="19" t="n">
        <v>2.3</v>
      </c>
      <c r="O17" s="17" t="n">
        <f aca="false">IF(N17="","",RANK(N17,$N$5:$N$337))</f>
        <v>326</v>
      </c>
      <c r="P17" s="17" t="str">
        <f aca="false">IF(AND(N(H17)&gt;=N(K17),N(H17)&gt;=N(N17)),"The Pulse",IF(N(K17)&gt;=N(N17),"The Lens","The Hub"))</f>
        <v>The Pulse</v>
      </c>
      <c r="Q17" s="20" t="s">
        <v>74</v>
      </c>
      <c r="R17" s="26" t="s">
        <v>668</v>
      </c>
      <c r="S17" s="17" t="s">
        <v>19</v>
      </c>
    </row>
    <row r="18" customFormat="false" ht="15" hidden="false" customHeight="false" outlineLevel="0" collapsed="false">
      <c r="A18" s="17" t="s">
        <v>239</v>
      </c>
      <c r="B18" s="17" t="s">
        <v>240</v>
      </c>
      <c r="C18" s="17" t="s">
        <v>1397</v>
      </c>
      <c r="D18" s="17" t="s">
        <v>92</v>
      </c>
      <c r="E18" s="18" t="n">
        <v>15286</v>
      </c>
      <c r="F18" s="17" t="s">
        <v>667</v>
      </c>
      <c r="G18" s="23" t="n">
        <v>10.2355750359806</v>
      </c>
      <c r="H18" s="19" t="n">
        <v>96.6</v>
      </c>
      <c r="I18" s="17" t="n">
        <f aca="false">IF(H18="","",RANK(H18,$H$5:$H$337))</f>
        <v>14</v>
      </c>
      <c r="J18" s="24" t="n">
        <v>0.0696990902729181</v>
      </c>
      <c r="K18" s="19" t="n">
        <v>40.2</v>
      </c>
      <c r="L18" s="17" t="n">
        <f aca="false">IF(K18="","",RANK(K18,$K$5:$K$337))</f>
        <v>198</v>
      </c>
      <c r="M18" s="25" t="n">
        <v>0.39872</v>
      </c>
      <c r="N18" s="19" t="n">
        <v>97.9</v>
      </c>
      <c r="O18" s="17" t="n">
        <f aca="false">IF(N18="","",RANK(N18,$N$5:$N$337))</f>
        <v>9</v>
      </c>
      <c r="P18" s="17" t="str">
        <f aca="false">IF(AND(N(H18)&gt;=N(K18),N(H18)&gt;=N(N18)),"The Pulse",IF(N(K18)&gt;=N(N18),"The Lens","The Hub"))</f>
        <v>The Hub</v>
      </c>
      <c r="Q18" s="20" t="s">
        <v>74</v>
      </c>
      <c r="R18" s="27" t="s">
        <v>671</v>
      </c>
      <c r="S18" s="17" t="s">
        <v>19</v>
      </c>
    </row>
    <row r="19" customFormat="false" ht="15" hidden="false" customHeight="false" outlineLevel="0" collapsed="false">
      <c r="A19" s="17" t="s">
        <v>1398</v>
      </c>
      <c r="B19" s="17" t="s">
        <v>1399</v>
      </c>
      <c r="C19" s="17" t="s">
        <v>1400</v>
      </c>
      <c r="D19" s="17" t="s">
        <v>72</v>
      </c>
      <c r="E19" s="18" t="n">
        <v>1091790</v>
      </c>
      <c r="F19" s="17" t="s">
        <v>752</v>
      </c>
      <c r="G19" s="23" t="n">
        <v>10.0371161120728</v>
      </c>
      <c r="H19" s="19" t="n">
        <v>96.4</v>
      </c>
      <c r="I19" s="17" t="n">
        <f aca="false">IF(H19="","",RANK(H19,$H$5:$H$337))</f>
        <v>15</v>
      </c>
      <c r="J19" s="24" t="n">
        <v>0.077863997156735</v>
      </c>
      <c r="K19" s="19" t="n">
        <v>50</v>
      </c>
      <c r="L19" s="17" t="n">
        <f aca="false">IF(K19="","",RANK(K19,$K$5:$K$337))</f>
        <v>165</v>
      </c>
      <c r="M19" s="25" t="n">
        <v>0.277069403711324</v>
      </c>
      <c r="N19" s="19" t="n">
        <v>86.8</v>
      </c>
      <c r="O19" s="17" t="n">
        <f aca="false">IF(N19="","",RANK(N19,$N$5:$N$337))</f>
        <v>48</v>
      </c>
      <c r="P19" s="17" t="str">
        <f aca="false">IF(AND(N(H19)&gt;=N(K19),N(H19)&gt;=N(N19)),"The Pulse",IF(N(K19)&gt;=N(N19),"The Lens","The Hub"))</f>
        <v>The Pulse</v>
      </c>
      <c r="Q19" s="21" t="s">
        <v>78</v>
      </c>
      <c r="R19" s="26" t="s">
        <v>668</v>
      </c>
      <c r="S19" s="17" t="s">
        <v>21</v>
      </c>
    </row>
    <row r="20" customFormat="false" ht="15" hidden="false" customHeight="false" outlineLevel="0" collapsed="false">
      <c r="A20" s="17" t="s">
        <v>219</v>
      </c>
      <c r="B20" s="17" t="s">
        <v>220</v>
      </c>
      <c r="C20" s="17" t="s">
        <v>1401</v>
      </c>
      <c r="D20" s="17" t="s">
        <v>77</v>
      </c>
      <c r="E20" s="18" t="n">
        <v>170160</v>
      </c>
      <c r="F20" s="17" t="s">
        <v>670</v>
      </c>
      <c r="G20" s="23" t="n">
        <v>10.0220909732017</v>
      </c>
      <c r="H20" s="19" t="n">
        <v>96.2</v>
      </c>
      <c r="I20" s="17" t="n">
        <f aca="false">IF(H20="","",RANK(H20,$H$5:$H$337))</f>
        <v>16</v>
      </c>
      <c r="J20" s="24" t="n">
        <v>0.179864096519207</v>
      </c>
      <c r="K20" s="19" t="n">
        <v>92.7</v>
      </c>
      <c r="L20" s="17" t="n">
        <f aca="false">IF(K20="","",RANK(K20,$K$5:$K$337))</f>
        <v>24</v>
      </c>
      <c r="M20" s="25" t="n">
        <v>0.0325188420008438</v>
      </c>
      <c r="N20" s="19" t="n">
        <v>7.3</v>
      </c>
      <c r="O20" s="17" t="n">
        <f aca="false">IF(N20="","",RANK(N20,$N$5:$N$337))</f>
        <v>308</v>
      </c>
      <c r="P20" s="17" t="str">
        <f aca="false">IF(AND(N(H20)&gt;=N(K20),N(H20)&gt;=N(N20)),"The Pulse",IF(N(K20)&gt;=N(N20),"The Lens","The Hub"))</f>
        <v>The Pulse</v>
      </c>
      <c r="Q20" s="21" t="s">
        <v>78</v>
      </c>
      <c r="R20" s="27" t="s">
        <v>671</v>
      </c>
      <c r="S20" s="17" t="s">
        <v>21</v>
      </c>
    </row>
    <row r="21" customFormat="false" ht="15" hidden="false" customHeight="false" outlineLevel="0" collapsed="false">
      <c r="A21" s="17" t="s">
        <v>1402</v>
      </c>
      <c r="B21" s="17" t="s">
        <v>1403</v>
      </c>
      <c r="C21" s="17" t="s">
        <v>1404</v>
      </c>
      <c r="D21" s="17" t="s">
        <v>77</v>
      </c>
      <c r="E21" s="18" t="n">
        <v>59329</v>
      </c>
      <c r="F21" s="17" t="s">
        <v>667</v>
      </c>
      <c r="G21" s="23" t="n">
        <v>9.83279677729272</v>
      </c>
      <c r="H21" s="19" t="n">
        <v>96</v>
      </c>
      <c r="I21" s="17" t="n">
        <f aca="false">IF(H21="","",RANK(H21,$H$5:$H$337))</f>
        <v>17</v>
      </c>
      <c r="J21" s="24" t="n">
        <v>0.0349044097125314</v>
      </c>
      <c r="K21" s="19" t="n">
        <v>22.8</v>
      </c>
      <c r="L21" s="17" t="n">
        <f aca="false">IF(K21="","",RANK(K21,$K$5:$K$337))</f>
        <v>258</v>
      </c>
      <c r="M21" s="25" t="n">
        <v>0.237462494642092</v>
      </c>
      <c r="N21" s="19" t="n">
        <v>80.1</v>
      </c>
      <c r="O21" s="17" t="n">
        <f aca="false">IF(N21="","",RANK(N21,$N$5:$N$337))</f>
        <v>69</v>
      </c>
      <c r="P21" s="17" t="str">
        <f aca="false">IF(AND(N(H21)&gt;=N(K21),N(H21)&gt;=N(N21)),"The Pulse",IF(N(K21)&gt;=N(N21),"The Lens","The Hub"))</f>
        <v>The Pulse</v>
      </c>
      <c r="Q21" s="20" t="s">
        <v>74</v>
      </c>
      <c r="R21" s="26" t="s">
        <v>668</v>
      </c>
      <c r="S21" s="17" t="s">
        <v>19</v>
      </c>
    </row>
    <row r="22" customFormat="false" ht="15" hidden="false" customHeight="false" outlineLevel="0" collapsed="false">
      <c r="A22" s="17" t="s">
        <v>265</v>
      </c>
      <c r="B22" s="17" t="s">
        <v>266</v>
      </c>
      <c r="C22" s="17" t="s">
        <v>1405</v>
      </c>
      <c r="D22" s="17" t="s">
        <v>138</v>
      </c>
      <c r="E22" s="18" t="n">
        <v>22502</v>
      </c>
      <c r="F22" s="17" t="s">
        <v>667</v>
      </c>
      <c r="G22" s="23" t="n">
        <v>9.80761710070216</v>
      </c>
      <c r="H22" s="19" t="n">
        <v>95.8</v>
      </c>
      <c r="I22" s="17" t="n">
        <f aca="false">IF(H22="","",RANK(H22,$H$5:$H$337))</f>
        <v>18</v>
      </c>
      <c r="J22" s="24" t="n">
        <v>0.186939550585505</v>
      </c>
      <c r="K22" s="19" t="n">
        <v>91.3</v>
      </c>
      <c r="L22" s="17" t="n">
        <f aca="false">IF(K22="","",RANK(K22,$K$5:$K$337))</f>
        <v>28</v>
      </c>
      <c r="M22" s="25" t="n">
        <v>0.431929376728356</v>
      </c>
      <c r="N22" s="19" t="n">
        <v>98.7</v>
      </c>
      <c r="O22" s="17" t="n">
        <f aca="false">IF(N22="","",RANK(N22,$N$5:$N$337))</f>
        <v>6</v>
      </c>
      <c r="P22" s="17" t="str">
        <f aca="false">IF(AND(N(H22)&gt;=N(K22),N(H22)&gt;=N(N22)),"The Pulse",IF(N(K22)&gt;=N(N22),"The Lens","The Hub"))</f>
        <v>The Hub</v>
      </c>
      <c r="Q22" s="20" t="s">
        <v>74</v>
      </c>
      <c r="R22" s="27" t="s">
        <v>671</v>
      </c>
      <c r="S22" s="17" t="s">
        <v>19</v>
      </c>
    </row>
    <row r="23" customFormat="false" ht="15" hidden="false" customHeight="false" outlineLevel="0" collapsed="false">
      <c r="A23" s="17" t="s">
        <v>337</v>
      </c>
      <c r="B23" s="17" t="s">
        <v>338</v>
      </c>
      <c r="C23" s="17" t="s">
        <v>1406</v>
      </c>
      <c r="D23" s="17" t="s">
        <v>92</v>
      </c>
      <c r="E23" s="18" t="n">
        <v>15300</v>
      </c>
      <c r="F23" s="17" t="s">
        <v>667</v>
      </c>
      <c r="G23" s="23" t="n">
        <v>9.67130718954248</v>
      </c>
      <c r="H23" s="19" t="n">
        <v>95.6</v>
      </c>
      <c r="I23" s="17" t="n">
        <f aca="false">IF(H23="","",RANK(H23,$H$5:$H$337))</f>
        <v>19</v>
      </c>
      <c r="J23" s="24" t="n">
        <v>0.0588235294117647</v>
      </c>
      <c r="K23" s="19" t="n">
        <v>34.9</v>
      </c>
      <c r="L23" s="17" t="n">
        <f aca="false">IF(K23="","",RANK(K23,$K$5:$K$337))</f>
        <v>220</v>
      </c>
      <c r="M23" s="25" t="n">
        <v>0.420128689327179</v>
      </c>
      <c r="N23" s="19" t="n">
        <v>98.4</v>
      </c>
      <c r="O23" s="17" t="n">
        <f aca="false">IF(N23="","",RANK(N23,$N$5:$N$337))</f>
        <v>7</v>
      </c>
      <c r="P23" s="17" t="str">
        <f aca="false">IF(AND(N(H23)&gt;=N(K23),N(H23)&gt;=N(N23)),"The Pulse",IF(N(K23)&gt;=N(N23),"The Lens","The Hub"))</f>
        <v>The Hub</v>
      </c>
      <c r="Q23" s="21" t="s">
        <v>78</v>
      </c>
      <c r="R23" s="27" t="s">
        <v>671</v>
      </c>
      <c r="S23" s="17" t="s">
        <v>21</v>
      </c>
    </row>
    <row r="24" customFormat="false" ht="15" hidden="false" customHeight="false" outlineLevel="0" collapsed="false">
      <c r="A24" s="17" t="s">
        <v>295</v>
      </c>
      <c r="B24" s="17" t="s">
        <v>296</v>
      </c>
      <c r="C24" s="17" t="s">
        <v>1407</v>
      </c>
      <c r="D24" s="17" t="s">
        <v>114</v>
      </c>
      <c r="E24" s="18" t="n">
        <v>65589</v>
      </c>
      <c r="F24" s="17" t="s">
        <v>667</v>
      </c>
      <c r="G24" s="23" t="n">
        <v>9.49747671103386</v>
      </c>
      <c r="H24" s="19" t="n">
        <v>94.9</v>
      </c>
      <c r="I24" s="17" t="n">
        <f aca="false">IF(H24="","",RANK(H24,$H$5:$H$337))</f>
        <v>20</v>
      </c>
      <c r="J24" s="24" t="n">
        <v>0.0126291087060567</v>
      </c>
      <c r="K24" s="19" t="n">
        <v>13.7</v>
      </c>
      <c r="L24" s="17" t="n">
        <f aca="false">IF(K24="","",RANK(K24,$K$5:$K$337))</f>
        <v>289</v>
      </c>
      <c r="M24" s="25" t="n">
        <v>0.496476852808189</v>
      </c>
      <c r="N24" s="19" t="n">
        <v>99.7</v>
      </c>
      <c r="O24" s="17" t="n">
        <f aca="false">IF(N24="","",RANK(N24,$N$5:$N$337))</f>
        <v>2</v>
      </c>
      <c r="P24" s="17" t="str">
        <f aca="false">IF(AND(N(H24)&gt;=N(K24),N(H24)&gt;=N(N24)),"The Pulse",IF(N(K24)&gt;=N(N24),"The Lens","The Hub"))</f>
        <v>The Hub</v>
      </c>
      <c r="Q24" s="20" t="s">
        <v>74</v>
      </c>
      <c r="R24" s="27" t="s">
        <v>671</v>
      </c>
      <c r="S24" s="17" t="s">
        <v>19</v>
      </c>
    </row>
    <row r="25" customFormat="false" ht="15" hidden="false" customHeight="false" outlineLevel="0" collapsed="false">
      <c r="A25" s="17" t="s">
        <v>1408</v>
      </c>
      <c r="B25" s="17" t="s">
        <v>1409</v>
      </c>
      <c r="C25" s="17" t="s">
        <v>1410</v>
      </c>
      <c r="D25" s="17" t="s">
        <v>102</v>
      </c>
      <c r="E25" s="18" t="n">
        <v>105120</v>
      </c>
      <c r="F25" s="17" t="s">
        <v>670</v>
      </c>
      <c r="G25" s="23" t="n">
        <v>9.24146689497717</v>
      </c>
      <c r="H25" s="19" t="n">
        <v>94.5</v>
      </c>
      <c r="I25" s="17" t="n">
        <f aca="false">IF(H25="","",RANK(H25,$H$5:$H$337))</f>
        <v>21</v>
      </c>
      <c r="J25" s="24" t="n">
        <v>0.149732035436946</v>
      </c>
      <c r="K25" s="19" t="n">
        <v>82.1</v>
      </c>
      <c r="L25" s="17" t="n">
        <f aca="false">IF(K25="","",RANK(K25,$K$5:$K$337))</f>
        <v>59</v>
      </c>
      <c r="M25" s="25" t="n">
        <v>0.174632387462675</v>
      </c>
      <c r="N25" s="19" t="n">
        <v>65.3</v>
      </c>
      <c r="O25" s="17" t="n">
        <f aca="false">IF(N25="","",RANK(N25,$N$5:$N$337))</f>
        <v>119</v>
      </c>
      <c r="P25" s="17" t="str">
        <f aca="false">IF(AND(N(H25)&gt;=N(K25),N(H25)&gt;=N(N25)),"The Pulse",IF(N(K25)&gt;=N(N25),"The Lens","The Hub"))</f>
        <v>The Pulse</v>
      </c>
      <c r="Q25" s="21" t="s">
        <v>78</v>
      </c>
      <c r="R25" s="26" t="s">
        <v>668</v>
      </c>
      <c r="S25" s="17" t="s">
        <v>21</v>
      </c>
    </row>
    <row r="26" customFormat="false" ht="15" hidden="false" customHeight="false" outlineLevel="0" collapsed="false">
      <c r="A26" s="17" t="s">
        <v>176</v>
      </c>
      <c r="B26" s="17" t="s">
        <v>177</v>
      </c>
      <c r="C26" s="17" t="s">
        <v>1411</v>
      </c>
      <c r="D26" s="17" t="s">
        <v>105</v>
      </c>
      <c r="E26" s="18" t="n">
        <v>12208</v>
      </c>
      <c r="F26" s="17" t="s">
        <v>667</v>
      </c>
      <c r="G26" s="23" t="n">
        <v>9.21502293577982</v>
      </c>
      <c r="H26" s="19" t="n">
        <v>94.3</v>
      </c>
      <c r="I26" s="17" t="n">
        <f aca="false">IF(H26="","",RANK(H26,$H$5:$H$337))</f>
        <v>22</v>
      </c>
      <c r="J26" s="24" t="n">
        <v>0.0379187213059004</v>
      </c>
      <c r="K26" s="19" t="n">
        <v>24.5</v>
      </c>
      <c r="L26" s="17" t="n">
        <f aca="false">IF(K26="","",RANK(K26,$K$5:$K$337))</f>
        <v>254</v>
      </c>
      <c r="M26" s="25" t="n">
        <v>0.162009741092028</v>
      </c>
      <c r="N26" s="19" t="n">
        <v>61.4</v>
      </c>
      <c r="O26" s="17" t="n">
        <f aca="false">IF(N26="","",RANK(N26,$N$5:$N$337))</f>
        <v>131</v>
      </c>
      <c r="P26" s="17" t="str">
        <f aca="false">IF(AND(N(H26)&gt;=N(K26),N(H26)&gt;=N(N26)),"The Pulse",IF(N(K26)&gt;=N(N26),"The Lens","The Hub"))</f>
        <v>The Pulse</v>
      </c>
      <c r="Q26" s="20" t="s">
        <v>74</v>
      </c>
      <c r="R26" s="27" t="s">
        <v>671</v>
      </c>
      <c r="S26" s="17" t="s">
        <v>19</v>
      </c>
    </row>
    <row r="27" customFormat="false" ht="15" hidden="false" customHeight="false" outlineLevel="0" collapsed="false">
      <c r="A27" s="17" t="s">
        <v>1412</v>
      </c>
      <c r="B27" s="17" t="s">
        <v>1413</v>
      </c>
      <c r="C27" s="17" t="s">
        <v>1414</v>
      </c>
      <c r="D27" s="17" t="s">
        <v>87</v>
      </c>
      <c r="E27" s="18" t="n">
        <v>3409</v>
      </c>
      <c r="F27" s="17" t="s">
        <v>678</v>
      </c>
      <c r="G27" s="23" t="n">
        <v>9.09093575828689</v>
      </c>
      <c r="H27" s="19" t="n">
        <v>93.9</v>
      </c>
      <c r="I27" s="17" t="n">
        <f aca="false">IF(H27="","",RANK(H27,$H$5:$H$337))</f>
        <v>23</v>
      </c>
      <c r="J27" s="24" t="n">
        <v>0.0706658291457286</v>
      </c>
      <c r="K27" s="19" t="n">
        <v>31.2</v>
      </c>
      <c r="L27" s="17" t="n">
        <f aca="false">IF(K27="","",RANK(K27,$K$5:$K$337))</f>
        <v>232</v>
      </c>
      <c r="M27" s="25" t="n">
        <v>0.0685061845861085</v>
      </c>
      <c r="N27" s="19" t="n">
        <v>21</v>
      </c>
      <c r="O27" s="17" t="n">
        <f aca="false">IF(N27="","",RANK(N27,$N$5:$N$337))</f>
        <v>265</v>
      </c>
      <c r="P27" s="17" t="str">
        <f aca="false">IF(AND(N(H27)&gt;=N(K27),N(H27)&gt;=N(N27)),"The Pulse",IF(N(K27)&gt;=N(N27),"The Lens","The Hub"))</f>
        <v>The Pulse</v>
      </c>
      <c r="Q27" s="20" t="s">
        <v>74</v>
      </c>
      <c r="R27" s="26" t="s">
        <v>668</v>
      </c>
      <c r="S27" s="17" t="s">
        <v>19</v>
      </c>
    </row>
    <row r="28" customFormat="false" ht="15" hidden="false" customHeight="false" outlineLevel="0" collapsed="false">
      <c r="A28" s="17" t="s">
        <v>1415</v>
      </c>
      <c r="B28" s="17" t="s">
        <v>1416</v>
      </c>
      <c r="C28" s="17" t="s">
        <v>1417</v>
      </c>
      <c r="D28" s="17" t="s">
        <v>77</v>
      </c>
      <c r="E28" s="18" t="n">
        <v>60850</v>
      </c>
      <c r="F28" s="17" t="s">
        <v>667</v>
      </c>
      <c r="G28" s="23" t="n">
        <v>8.84534100246508</v>
      </c>
      <c r="H28" s="19" t="n">
        <v>93.4</v>
      </c>
      <c r="I28" s="17" t="n">
        <f aca="false">IF(H28="","",RANK(H28,$H$5:$H$337))</f>
        <v>24</v>
      </c>
      <c r="J28" s="24" t="n">
        <v>0.145303971390928</v>
      </c>
      <c r="K28" s="19" t="n">
        <v>77.2</v>
      </c>
      <c r="L28" s="17" t="n">
        <f aca="false">IF(K28="","",RANK(K28,$K$5:$K$337))</f>
        <v>76</v>
      </c>
      <c r="M28" s="25" t="n">
        <v>0.265780650763405</v>
      </c>
      <c r="N28" s="19" t="n">
        <v>86</v>
      </c>
      <c r="O28" s="17" t="n">
        <f aca="false">IF(N28="","",RANK(N28,$N$5:$N$337))</f>
        <v>51</v>
      </c>
      <c r="P28" s="17" t="str">
        <f aca="false">IF(AND(N(H28)&gt;=N(K28),N(H28)&gt;=N(N28)),"The Pulse",IF(N(K28)&gt;=N(N28),"The Lens","The Hub"))</f>
        <v>The Pulse</v>
      </c>
      <c r="Q28" s="21" t="s">
        <v>78</v>
      </c>
      <c r="R28" s="26" t="s">
        <v>668</v>
      </c>
      <c r="S28" s="17" t="s">
        <v>21</v>
      </c>
    </row>
    <row r="29" customFormat="false" ht="15" hidden="false" customHeight="false" outlineLevel="0" collapsed="false">
      <c r="A29" s="17" t="s">
        <v>139</v>
      </c>
      <c r="B29" s="17" t="s">
        <v>140</v>
      </c>
      <c r="C29" s="17" t="s">
        <v>1418</v>
      </c>
      <c r="D29" s="17" t="s">
        <v>72</v>
      </c>
      <c r="E29" s="18" t="n">
        <v>75054</v>
      </c>
      <c r="F29" s="17" t="s">
        <v>667</v>
      </c>
      <c r="G29" s="23" t="n">
        <v>8.83582487275828</v>
      </c>
      <c r="H29" s="19" t="n">
        <v>93.2</v>
      </c>
      <c r="I29" s="17" t="n">
        <f aca="false">IF(H29="","",RANK(H29,$H$5:$H$337))</f>
        <v>25</v>
      </c>
      <c r="J29" s="24" t="n">
        <v>0.228842281055062</v>
      </c>
      <c r="K29" s="19" t="n">
        <v>97.1</v>
      </c>
      <c r="L29" s="17" t="n">
        <f aca="false">IF(K29="","",RANK(K29,$K$5:$K$337))</f>
        <v>12</v>
      </c>
      <c r="M29" s="25" t="n">
        <v>0.343328427765514</v>
      </c>
      <c r="N29" s="19" t="n">
        <v>95.6</v>
      </c>
      <c r="O29" s="17" t="n">
        <f aca="false">IF(N29="","",RANK(N29,$N$5:$N$337))</f>
        <v>17</v>
      </c>
      <c r="P29" s="17" t="str">
        <f aca="false">IF(AND(N(H29)&gt;=N(K29),N(H29)&gt;=N(N29)),"The Pulse",IF(N(K29)&gt;=N(N29),"The Lens","The Hub"))</f>
        <v>The Lens</v>
      </c>
      <c r="Q29" s="20" t="s">
        <v>74</v>
      </c>
      <c r="R29" s="27" t="s">
        <v>671</v>
      </c>
      <c r="S29" s="17" t="s">
        <v>19</v>
      </c>
    </row>
    <row r="30" customFormat="false" ht="15" hidden="false" customHeight="false" outlineLevel="0" collapsed="false">
      <c r="A30" s="17" t="s">
        <v>1419</v>
      </c>
      <c r="B30" s="17" t="s">
        <v>1420</v>
      </c>
      <c r="C30" s="17" t="s">
        <v>1421</v>
      </c>
      <c r="D30" s="17"/>
      <c r="E30" s="18" t="n">
        <v>146250</v>
      </c>
      <c r="F30" s="17" t="s">
        <v>670</v>
      </c>
      <c r="G30" s="23" t="n">
        <v>8.42114188034188</v>
      </c>
      <c r="H30" s="19" t="n">
        <v>92.2</v>
      </c>
      <c r="I30" s="17" t="n">
        <f aca="false">IF(H30="","",RANK(H30,$H$5:$H$337))</f>
        <v>26</v>
      </c>
      <c r="J30" s="24" t="n">
        <v>0.18401878238342</v>
      </c>
      <c r="K30" s="19" t="n">
        <v>94</v>
      </c>
      <c r="L30" s="17" t="n">
        <f aca="false">IF(K30="","",RANK(K30,$K$5:$K$337))</f>
        <v>21</v>
      </c>
      <c r="M30" s="25" t="n">
        <v>0.084508512316185</v>
      </c>
      <c r="N30" s="19" t="n">
        <v>25.9</v>
      </c>
      <c r="O30" s="17" t="n">
        <f aca="false">IF(N30="","",RANK(N30,$N$5:$N$337))</f>
        <v>248</v>
      </c>
      <c r="P30" s="17" t="str">
        <f aca="false">IF(AND(N(H30)&gt;=N(K30),N(H30)&gt;=N(N30)),"The Pulse",IF(N(K30)&gt;=N(N30),"The Lens","The Hub"))</f>
        <v>The Lens</v>
      </c>
      <c r="Q30" s="21" t="s">
        <v>78</v>
      </c>
      <c r="R30" s="26" t="s">
        <v>668</v>
      </c>
      <c r="S30" s="17" t="s">
        <v>21</v>
      </c>
    </row>
    <row r="31" customFormat="false" ht="15" hidden="false" customHeight="false" outlineLevel="0" collapsed="false">
      <c r="A31" s="17" t="s">
        <v>1422</v>
      </c>
      <c r="B31" s="17" t="s">
        <v>1423</v>
      </c>
      <c r="C31" s="17" t="s">
        <v>1424</v>
      </c>
      <c r="D31" s="17" t="s">
        <v>81</v>
      </c>
      <c r="E31" s="18" t="n">
        <v>101980</v>
      </c>
      <c r="F31" s="17" t="s">
        <v>670</v>
      </c>
      <c r="G31" s="23" t="n">
        <v>8.37825063737988</v>
      </c>
      <c r="H31" s="19" t="n">
        <v>92</v>
      </c>
      <c r="I31" s="17" t="n">
        <f aca="false">IF(H31="","",RANK(H31,$H$5:$H$337))</f>
        <v>27</v>
      </c>
      <c r="J31" s="24" t="n">
        <v>-0.0106137338223024</v>
      </c>
      <c r="K31" s="19" t="n">
        <v>7.3</v>
      </c>
      <c r="L31" s="17" t="n">
        <f aca="false">IF(K31="","",RANK(K31,$K$5:$K$337))</f>
        <v>308</v>
      </c>
      <c r="M31" s="25" t="n">
        <v>0.252121593103139</v>
      </c>
      <c r="N31" s="19" t="n">
        <v>83.9</v>
      </c>
      <c r="O31" s="17" t="n">
        <f aca="false">IF(N31="","",RANK(N31,$N$5:$N$337))</f>
        <v>57</v>
      </c>
      <c r="P31" s="17" t="str">
        <f aca="false">IF(AND(N(H31)&gt;=N(K31),N(H31)&gt;=N(N31)),"The Pulse",IF(N(K31)&gt;=N(N31),"The Lens","The Hub"))</f>
        <v>The Pulse</v>
      </c>
      <c r="Q31" s="20" t="s">
        <v>74</v>
      </c>
      <c r="R31" s="26" t="s">
        <v>668</v>
      </c>
      <c r="S31" s="17" t="s">
        <v>19</v>
      </c>
    </row>
    <row r="32" customFormat="false" ht="15" hidden="false" customHeight="false" outlineLevel="0" collapsed="false">
      <c r="A32" s="17" t="s">
        <v>1031</v>
      </c>
      <c r="B32" s="17" t="s">
        <v>1032</v>
      </c>
      <c r="C32" s="17" t="s">
        <v>1425</v>
      </c>
      <c r="D32" s="17" t="s">
        <v>72</v>
      </c>
      <c r="E32" s="18" t="n">
        <v>885856</v>
      </c>
      <c r="F32" s="17" t="s">
        <v>670</v>
      </c>
      <c r="G32" s="23" t="n">
        <v>8.37270504461222</v>
      </c>
      <c r="H32" s="19" t="n">
        <v>91.8</v>
      </c>
      <c r="I32" s="17" t="n">
        <f aca="false">IF(H32="","",RANK(H32,$H$5:$H$337))</f>
        <v>28</v>
      </c>
      <c r="J32" s="24" t="n">
        <v>0.0267722814508819</v>
      </c>
      <c r="K32" s="19" t="n">
        <v>19.9</v>
      </c>
      <c r="L32" s="17" t="n">
        <f aca="false">IF(K32="","",RANK(K32,$K$5:$K$337))</f>
        <v>267</v>
      </c>
      <c r="M32" s="25" t="n">
        <v>0.0645961288822584</v>
      </c>
      <c r="N32" s="19" t="n">
        <v>20.2</v>
      </c>
      <c r="O32" s="17" t="n">
        <f aca="false">IF(N32="","",RANK(N32,$N$5:$N$337))</f>
        <v>267</v>
      </c>
      <c r="P32" s="17" t="str">
        <f aca="false">IF(AND(N(H32)&gt;=N(K32),N(H32)&gt;=N(N32)),"The Pulse",IF(N(K32)&gt;=N(N32),"The Lens","The Hub"))</f>
        <v>The Pulse</v>
      </c>
      <c r="Q32" s="20" t="s">
        <v>74</v>
      </c>
      <c r="R32" s="26" t="s">
        <v>668</v>
      </c>
      <c r="S32" s="17" t="s">
        <v>19</v>
      </c>
    </row>
    <row r="33" customFormat="false" ht="15" hidden="false" customHeight="false" outlineLevel="0" collapsed="false">
      <c r="A33" s="17" t="s">
        <v>289</v>
      </c>
      <c r="B33" s="17" t="s">
        <v>290</v>
      </c>
      <c r="C33" s="17" t="s">
        <v>1426</v>
      </c>
      <c r="D33" s="17" t="s">
        <v>102</v>
      </c>
      <c r="E33" s="18" t="n">
        <v>26110</v>
      </c>
      <c r="F33" s="17" t="s">
        <v>667</v>
      </c>
      <c r="G33" s="23" t="n">
        <v>8.36265798544619</v>
      </c>
      <c r="H33" s="19" t="n">
        <v>91.5</v>
      </c>
      <c r="I33" s="17" t="n">
        <f aca="false">IF(H33="","",RANK(H33,$H$5:$H$337))</f>
        <v>29</v>
      </c>
      <c r="J33" s="24" t="n">
        <v>0.12375634943957</v>
      </c>
      <c r="K33" s="19" t="n">
        <v>65.6</v>
      </c>
      <c r="L33" s="17" t="n">
        <f aca="false">IF(K33="","",RANK(K33,$K$5:$K$337))</f>
        <v>113</v>
      </c>
      <c r="M33" s="25" t="n">
        <v>0.122491064063789</v>
      </c>
      <c r="N33" s="19" t="n">
        <v>44.3</v>
      </c>
      <c r="O33" s="17" t="n">
        <f aca="false">IF(N33="","",RANK(N33,$N$5:$N$337))</f>
        <v>183</v>
      </c>
      <c r="P33" s="17" t="str">
        <f aca="false">IF(AND(N(H33)&gt;=N(K33),N(H33)&gt;=N(N33)),"The Pulse",IF(N(K33)&gt;=N(N33),"The Lens","The Hub"))</f>
        <v>The Pulse</v>
      </c>
      <c r="Q33" s="22" t="s">
        <v>83</v>
      </c>
      <c r="R33" s="27" t="s">
        <v>671</v>
      </c>
      <c r="S33" s="17" t="s">
        <v>84</v>
      </c>
    </row>
    <row r="34" customFormat="false" ht="15" hidden="false" customHeight="false" outlineLevel="0" collapsed="false">
      <c r="A34" s="17" t="s">
        <v>259</v>
      </c>
      <c r="B34" s="17" t="s">
        <v>260</v>
      </c>
      <c r="C34" s="17" t="s">
        <v>1427</v>
      </c>
      <c r="D34" s="17" t="s">
        <v>114</v>
      </c>
      <c r="E34" s="18" t="n">
        <v>375630</v>
      </c>
      <c r="F34" s="17" t="s">
        <v>670</v>
      </c>
      <c r="G34" s="23" t="n">
        <v>8.26159518675292</v>
      </c>
      <c r="H34" s="19" t="n">
        <v>91.3</v>
      </c>
      <c r="I34" s="17" t="n">
        <f aca="false">IF(H34="","",RANK(H34,$H$5:$H$337))</f>
        <v>30</v>
      </c>
      <c r="J34" s="24" t="n">
        <v>-0.0272684897451833</v>
      </c>
      <c r="K34" s="19" t="n">
        <v>4.6</v>
      </c>
      <c r="L34" s="17" t="n">
        <f aca="false">IF(K34="","",RANK(K34,$K$5:$K$337))</f>
        <v>318</v>
      </c>
      <c r="M34" s="25" t="n">
        <v>0.111017593629039</v>
      </c>
      <c r="N34" s="19" t="n">
        <v>36.8</v>
      </c>
      <c r="O34" s="17" t="n">
        <f aca="false">IF(N34="","",RANK(N34,$N$5:$N$337))</f>
        <v>209</v>
      </c>
      <c r="P34" s="17" t="str">
        <f aca="false">IF(AND(N(H34)&gt;=N(K34),N(H34)&gt;=N(N34)),"The Pulse",IF(N(K34)&gt;=N(N34),"The Lens","The Hub"))</f>
        <v>The Pulse</v>
      </c>
      <c r="Q34" s="21" t="s">
        <v>78</v>
      </c>
      <c r="R34" s="27" t="s">
        <v>671</v>
      </c>
      <c r="S34" s="17" t="s">
        <v>21</v>
      </c>
    </row>
    <row r="35" customFormat="false" ht="15" hidden="false" customHeight="false" outlineLevel="0" collapsed="false">
      <c r="A35" s="17" t="s">
        <v>301</v>
      </c>
      <c r="B35" s="17" t="s">
        <v>302</v>
      </c>
      <c r="C35" s="17" t="s">
        <v>1428</v>
      </c>
      <c r="D35" s="17" t="s">
        <v>138</v>
      </c>
      <c r="E35" s="18" t="n">
        <v>31320</v>
      </c>
      <c r="F35" s="17" t="s">
        <v>667</v>
      </c>
      <c r="G35" s="23" t="n">
        <v>8.15067049808429</v>
      </c>
      <c r="H35" s="19" t="n">
        <v>91.1</v>
      </c>
      <c r="I35" s="17" t="n">
        <f aca="false">IF(H35="","",RANK(H35,$H$5:$H$337))</f>
        <v>31</v>
      </c>
      <c r="J35" s="24" t="n">
        <v>0.00227768197052029</v>
      </c>
      <c r="K35" s="19" t="n">
        <v>12</v>
      </c>
      <c r="L35" s="17" t="n">
        <f aca="false">IF(K35="","",RANK(K35,$K$5:$K$337))</f>
        <v>294</v>
      </c>
      <c r="M35" s="25" t="n">
        <v>0.119278853892794</v>
      </c>
      <c r="N35" s="19" t="n">
        <v>41.7</v>
      </c>
      <c r="O35" s="17" t="n">
        <f aca="false">IF(N35="","",RANK(N35,$N$5:$N$337))</f>
        <v>192</v>
      </c>
      <c r="P35" s="17" t="str">
        <f aca="false">IF(AND(N(H35)&gt;=N(K35),N(H35)&gt;=N(N35)),"The Pulse",IF(N(K35)&gt;=N(N35),"The Lens","The Hub"))</f>
        <v>The Pulse</v>
      </c>
      <c r="Q35" s="22" t="s">
        <v>83</v>
      </c>
      <c r="R35" s="27" t="s">
        <v>671</v>
      </c>
      <c r="S35" s="17" t="s">
        <v>84</v>
      </c>
    </row>
    <row r="36" customFormat="false" ht="15" hidden="false" customHeight="false" outlineLevel="0" collapsed="false">
      <c r="A36" s="17" t="s">
        <v>1429</v>
      </c>
      <c r="B36" s="17" t="s">
        <v>1430</v>
      </c>
      <c r="C36" s="17" t="s">
        <v>1431</v>
      </c>
      <c r="D36" s="17" t="s">
        <v>92</v>
      </c>
      <c r="E36" s="18" t="n">
        <v>19010</v>
      </c>
      <c r="F36" s="17" t="s">
        <v>667</v>
      </c>
      <c r="G36" s="23" t="n">
        <v>8.14860599684377</v>
      </c>
      <c r="H36" s="19" t="n">
        <v>90.9</v>
      </c>
      <c r="I36" s="17" t="n">
        <f aca="false">IF(H36="","",RANK(H36,$H$5:$H$337))</f>
        <v>32</v>
      </c>
      <c r="J36" s="24" t="n">
        <v>0.0561697872104006</v>
      </c>
      <c r="K36" s="19" t="n">
        <v>32.4</v>
      </c>
      <c r="L36" s="17" t="n">
        <f aca="false">IF(K36="","",RANK(K36,$K$5:$K$337))</f>
        <v>228</v>
      </c>
      <c r="M36" s="25" t="n">
        <v>0.241955756661639</v>
      </c>
      <c r="N36" s="19" t="n">
        <v>81.3</v>
      </c>
      <c r="O36" s="17" t="n">
        <f aca="false">IF(N36="","",RANK(N36,$N$5:$N$337))</f>
        <v>65</v>
      </c>
      <c r="P36" s="17" t="str">
        <f aca="false">IF(AND(N(H36)&gt;=N(K36),N(H36)&gt;=N(N36)),"The Pulse",IF(N(K36)&gt;=N(N36),"The Lens","The Hub"))</f>
        <v>The Pulse</v>
      </c>
      <c r="Q36" s="20" t="s">
        <v>74</v>
      </c>
      <c r="R36" s="26" t="s">
        <v>668</v>
      </c>
      <c r="S36" s="17" t="s">
        <v>19</v>
      </c>
    </row>
    <row r="37" customFormat="false" ht="15" hidden="false" customHeight="false" outlineLevel="0" collapsed="false">
      <c r="A37" s="17" t="s">
        <v>1432</v>
      </c>
      <c r="B37" s="17" t="s">
        <v>1433</v>
      </c>
      <c r="C37" s="17" t="s">
        <v>1434</v>
      </c>
      <c r="D37" s="17" t="s">
        <v>133</v>
      </c>
      <c r="E37" s="18" t="n">
        <v>16602</v>
      </c>
      <c r="F37" s="17" t="s">
        <v>667</v>
      </c>
      <c r="G37" s="23" t="n">
        <v>8.09643416455849</v>
      </c>
      <c r="H37" s="19" t="n">
        <v>90.7</v>
      </c>
      <c r="I37" s="17" t="n">
        <f aca="false">IF(H37="","",RANK(H37,$H$5:$H$337))</f>
        <v>33</v>
      </c>
      <c r="J37" s="24" t="n">
        <v>0.0250046304871272</v>
      </c>
      <c r="K37" s="19" t="n">
        <v>18.7</v>
      </c>
      <c r="L37" s="17" t="n">
        <f aca="false">IF(K37="","",RANK(K37,$K$5:$K$337))</f>
        <v>272</v>
      </c>
      <c r="M37" s="25" t="n">
        <v>0.102317128577919</v>
      </c>
      <c r="N37" s="19" t="n">
        <v>33.7</v>
      </c>
      <c r="O37" s="17" t="n">
        <f aca="false">IF(N37="","",RANK(N37,$N$5:$N$337))</f>
        <v>220</v>
      </c>
      <c r="P37" s="17" t="str">
        <f aca="false">IF(AND(N(H37)&gt;=N(K37),N(H37)&gt;=N(N37)),"The Pulse",IF(N(K37)&gt;=N(N37),"The Lens","The Hub"))</f>
        <v>The Pulse</v>
      </c>
      <c r="Q37" s="20" t="s">
        <v>74</v>
      </c>
      <c r="R37" s="26" t="s">
        <v>668</v>
      </c>
      <c r="S37" s="17" t="s">
        <v>19</v>
      </c>
    </row>
    <row r="38" customFormat="false" ht="15" hidden="false" customHeight="false" outlineLevel="0" collapsed="false">
      <c r="A38" s="17" t="s">
        <v>1435</v>
      </c>
      <c r="B38" s="17" t="s">
        <v>1436</v>
      </c>
      <c r="C38" s="17" t="s">
        <v>1437</v>
      </c>
      <c r="D38" s="17" t="s">
        <v>105</v>
      </c>
      <c r="E38" s="18" t="n">
        <v>72455</v>
      </c>
      <c r="F38" s="17" t="s">
        <v>667</v>
      </c>
      <c r="G38" s="23" t="n">
        <v>8.05261196604789</v>
      </c>
      <c r="H38" s="19" t="n">
        <v>90.5</v>
      </c>
      <c r="I38" s="17" t="n">
        <f aca="false">IF(H38="","",RANK(H38,$H$5:$H$337))</f>
        <v>34</v>
      </c>
      <c r="J38" s="24" t="n">
        <v>0.0775259510425032</v>
      </c>
      <c r="K38" s="19" t="n">
        <v>44</v>
      </c>
      <c r="L38" s="17" t="n">
        <f aca="false">IF(K38="","",RANK(K38,$K$5:$K$337))</f>
        <v>184</v>
      </c>
      <c r="M38" s="25" t="n">
        <v>0.121479801708681</v>
      </c>
      <c r="N38" s="19" t="n">
        <v>42.7</v>
      </c>
      <c r="O38" s="17" t="n">
        <f aca="false">IF(N38="","",RANK(N38,$N$5:$N$337))</f>
        <v>188</v>
      </c>
      <c r="P38" s="17" t="str">
        <f aca="false">IF(AND(N(H38)&gt;=N(K38),N(H38)&gt;=N(N38)),"The Pulse",IF(N(K38)&gt;=N(N38),"The Lens","The Hub"))</f>
        <v>The Pulse</v>
      </c>
      <c r="Q38" s="20" t="s">
        <v>74</v>
      </c>
      <c r="R38" s="26" t="s">
        <v>668</v>
      </c>
      <c r="S38" s="17" t="s">
        <v>19</v>
      </c>
    </row>
    <row r="39" customFormat="false" ht="15" hidden="false" customHeight="false" outlineLevel="0" collapsed="false">
      <c r="A39" s="17" t="s">
        <v>1438</v>
      </c>
      <c r="B39" s="17" t="s">
        <v>1439</v>
      </c>
      <c r="C39" s="17" t="s">
        <v>1440</v>
      </c>
      <c r="D39" s="17" t="s">
        <v>114</v>
      </c>
      <c r="E39" s="18" t="n">
        <v>201666</v>
      </c>
      <c r="F39" s="17" t="s">
        <v>670</v>
      </c>
      <c r="G39" s="23" t="n">
        <v>7.96053871252467</v>
      </c>
      <c r="H39" s="19" t="n">
        <v>90.3</v>
      </c>
      <c r="I39" s="17" t="n">
        <f aca="false">IF(H39="","",RANK(H39,$H$5:$H$337))</f>
        <v>35</v>
      </c>
      <c r="J39" s="24" t="n">
        <v>-0.0568995431013922</v>
      </c>
      <c r="K39" s="19" t="n">
        <v>1.3</v>
      </c>
      <c r="L39" s="17" t="n">
        <f aca="false">IF(K39="","",RANK(K39,$K$5:$K$337))</f>
        <v>330</v>
      </c>
      <c r="M39" s="25" t="n">
        <v>0.199211482236201</v>
      </c>
      <c r="N39" s="19" t="n">
        <v>70.7</v>
      </c>
      <c r="O39" s="17" t="n">
        <f aca="false">IF(N39="","",RANK(N39,$N$5:$N$337))</f>
        <v>103</v>
      </c>
      <c r="P39" s="17" t="str">
        <f aca="false">IF(AND(N(H39)&gt;=N(K39),N(H39)&gt;=N(N39)),"The Pulse",IF(N(K39)&gt;=N(N39),"The Lens","The Hub"))</f>
        <v>The Pulse</v>
      </c>
      <c r="Q39" s="20" t="s">
        <v>74</v>
      </c>
      <c r="R39" s="26" t="s">
        <v>668</v>
      </c>
      <c r="S39" s="17" t="s">
        <v>19</v>
      </c>
    </row>
    <row r="40" customFormat="false" ht="15" hidden="false" customHeight="false" outlineLevel="0" collapsed="false">
      <c r="A40" s="17" t="s">
        <v>882</v>
      </c>
      <c r="B40" s="17" t="s">
        <v>883</v>
      </c>
      <c r="C40" s="17" t="s">
        <v>1441</v>
      </c>
      <c r="D40" s="17" t="s">
        <v>87</v>
      </c>
      <c r="E40" s="18" t="n">
        <v>238870</v>
      </c>
      <c r="F40" s="17" t="s">
        <v>670</v>
      </c>
      <c r="G40" s="23" t="n">
        <v>7.75920375099426</v>
      </c>
      <c r="H40" s="19" t="n">
        <v>90.1</v>
      </c>
      <c r="I40" s="17" t="n">
        <f aca="false">IF(H40="","",RANK(H40,$H$5:$H$337))</f>
        <v>36</v>
      </c>
      <c r="J40" s="24" t="n">
        <v>0.0706378019810856</v>
      </c>
      <c r="K40" s="19" t="n">
        <v>43.7</v>
      </c>
      <c r="L40" s="17" t="n">
        <f aca="false">IF(K40="","",RANK(K40,$K$5:$K$337))</f>
        <v>185</v>
      </c>
      <c r="M40" s="25" t="n">
        <v>0.124226165910029</v>
      </c>
      <c r="N40" s="19" t="n">
        <v>46.6</v>
      </c>
      <c r="O40" s="17" t="n">
        <f aca="false">IF(N40="","",RANK(N40,$N$5:$N$337))</f>
        <v>175</v>
      </c>
      <c r="P40" s="17" t="str">
        <f aca="false">IF(AND(N(H40)&gt;=N(K40),N(H40)&gt;=N(N40)),"The Pulse",IF(N(K40)&gt;=N(N40),"The Lens","The Hub"))</f>
        <v>The Pulse</v>
      </c>
      <c r="Q40" s="21" t="s">
        <v>78</v>
      </c>
      <c r="R40" s="26" t="s">
        <v>668</v>
      </c>
      <c r="S40" s="17" t="s">
        <v>21</v>
      </c>
    </row>
    <row r="41" customFormat="false" ht="15" hidden="false" customHeight="false" outlineLevel="0" collapsed="false">
      <c r="A41" s="17" t="s">
        <v>257</v>
      </c>
      <c r="B41" s="17" t="s">
        <v>258</v>
      </c>
      <c r="C41" s="17" t="s">
        <v>1442</v>
      </c>
      <c r="D41" s="17" t="s">
        <v>72</v>
      </c>
      <c r="E41" s="18" t="n">
        <v>836050</v>
      </c>
      <c r="F41" s="17" t="s">
        <v>670</v>
      </c>
      <c r="G41" s="23" t="n">
        <v>7.62126069015011</v>
      </c>
      <c r="H41" s="19" t="n">
        <v>89.9</v>
      </c>
      <c r="I41" s="17" t="n">
        <f aca="false">IF(H41="","",RANK(H41,$H$5:$H$337))</f>
        <v>37</v>
      </c>
      <c r="J41" s="24" t="n">
        <v>0.0560186939497284</v>
      </c>
      <c r="K41" s="19" t="n">
        <v>34.4</v>
      </c>
      <c r="L41" s="17" t="n">
        <f aca="false">IF(K41="","",RANK(K41,$K$5:$K$337))</f>
        <v>221</v>
      </c>
      <c r="M41" s="25" t="n">
        <v>0.283379388982461</v>
      </c>
      <c r="N41" s="19" t="n">
        <v>88.3</v>
      </c>
      <c r="O41" s="17" t="n">
        <f aca="false">IF(N41="","",RANK(N41,$N$5:$N$337))</f>
        <v>43</v>
      </c>
      <c r="P41" s="17" t="str">
        <f aca="false">IF(AND(N(H41)&gt;=N(K41),N(H41)&gt;=N(N41)),"The Pulse",IF(N(K41)&gt;=N(N41),"The Lens","The Hub"))</f>
        <v>The Pulse</v>
      </c>
      <c r="Q41" s="21" t="s">
        <v>78</v>
      </c>
      <c r="R41" s="27" t="s">
        <v>671</v>
      </c>
      <c r="S41" s="17" t="s">
        <v>21</v>
      </c>
    </row>
    <row r="42" customFormat="false" ht="15" hidden="false" customHeight="false" outlineLevel="0" collapsed="false">
      <c r="A42" s="17" t="s">
        <v>309</v>
      </c>
      <c r="B42" s="17" t="s">
        <v>310</v>
      </c>
      <c r="C42" s="17" t="s">
        <v>1443</v>
      </c>
      <c r="D42" s="17" t="s">
        <v>102</v>
      </c>
      <c r="E42" s="18" t="n">
        <v>126981</v>
      </c>
      <c r="F42" s="17" t="s">
        <v>670</v>
      </c>
      <c r="G42" s="23" t="n">
        <v>7.6137217378978</v>
      </c>
      <c r="H42" s="19" t="n">
        <v>89.6</v>
      </c>
      <c r="I42" s="17" t="n">
        <f aca="false">IF(H42="","",RANK(H42,$H$5:$H$337))</f>
        <v>38</v>
      </c>
      <c r="J42" s="24" t="n">
        <v>-0.00297581658291457</v>
      </c>
      <c r="K42" s="19" t="n">
        <v>9.9</v>
      </c>
      <c r="L42" s="17" t="n">
        <f aca="false">IF(K42="","",RANK(K42,$K$5:$K$337))</f>
        <v>301</v>
      </c>
      <c r="M42" s="25" t="n">
        <v>0.205528756403172</v>
      </c>
      <c r="N42" s="19" t="n">
        <v>73.3</v>
      </c>
      <c r="O42" s="17" t="n">
        <f aca="false">IF(N42="","",RANK(N42,$N$5:$N$337))</f>
        <v>93</v>
      </c>
      <c r="P42" s="17" t="str">
        <f aca="false">IF(AND(N(H42)&gt;=N(K42),N(H42)&gt;=N(N42)),"The Pulse",IF(N(K42)&gt;=N(N42),"The Lens","The Hub"))</f>
        <v>The Pulse</v>
      </c>
      <c r="Q42" s="20" t="s">
        <v>74</v>
      </c>
      <c r="R42" s="27" t="s">
        <v>671</v>
      </c>
      <c r="S42" s="17" t="s">
        <v>19</v>
      </c>
    </row>
    <row r="43" customFormat="false" ht="15" hidden="false" customHeight="false" outlineLevel="0" collapsed="false">
      <c r="A43" s="17" t="s">
        <v>1444</v>
      </c>
      <c r="B43" s="17" t="s">
        <v>1445</v>
      </c>
      <c r="C43" s="17" t="s">
        <v>1446</v>
      </c>
      <c r="D43" s="17" t="s">
        <v>133</v>
      </c>
      <c r="E43" s="18" t="n">
        <v>12310</v>
      </c>
      <c r="F43" s="17" t="s">
        <v>667</v>
      </c>
      <c r="G43" s="23" t="n">
        <v>7.51941510966694</v>
      </c>
      <c r="H43" s="19" t="n">
        <v>89.4</v>
      </c>
      <c r="I43" s="17" t="n">
        <f aca="false">IF(H43="","",RANK(H43,$H$5:$H$337))</f>
        <v>39</v>
      </c>
      <c r="J43" s="24" t="n">
        <v>0.17799043062201</v>
      </c>
      <c r="K43" s="19" t="n">
        <v>89.2</v>
      </c>
      <c r="L43" s="17" t="n">
        <f aca="false">IF(K43="","",RANK(K43,$K$5:$K$337))</f>
        <v>34</v>
      </c>
      <c r="M43" s="25" t="n">
        <v>0.181445412608919</v>
      </c>
      <c r="N43" s="19" t="n">
        <v>66.6</v>
      </c>
      <c r="O43" s="17" t="n">
        <f aca="false">IF(N43="","",RANK(N43,$N$5:$N$337))</f>
        <v>115</v>
      </c>
      <c r="P43" s="17" t="str">
        <f aca="false">IF(AND(N(H43)&gt;=N(K43),N(H43)&gt;=N(N43)),"The Pulse",IF(N(K43)&gt;=N(N43),"The Lens","The Hub"))</f>
        <v>The Pulse</v>
      </c>
      <c r="Q43" s="21" t="s">
        <v>78</v>
      </c>
      <c r="R43" s="26" t="s">
        <v>668</v>
      </c>
      <c r="S43" s="17" t="s">
        <v>21</v>
      </c>
    </row>
    <row r="44" customFormat="false" ht="15" hidden="false" customHeight="false" outlineLevel="0" collapsed="false">
      <c r="A44" s="17" t="s">
        <v>1447</v>
      </c>
      <c r="B44" s="17" t="s">
        <v>1448</v>
      </c>
      <c r="C44" s="17" t="s">
        <v>1449</v>
      </c>
      <c r="D44" s="17" t="s">
        <v>102</v>
      </c>
      <c r="E44" s="18" t="n">
        <v>140300</v>
      </c>
      <c r="F44" s="17" t="s">
        <v>670</v>
      </c>
      <c r="G44" s="23" t="n">
        <v>7.45901639344262</v>
      </c>
      <c r="H44" s="19" t="n">
        <v>89.2</v>
      </c>
      <c r="I44" s="17" t="n">
        <f aca="false">IF(H44="","",RANK(H44,$H$5:$H$337))</f>
        <v>40</v>
      </c>
      <c r="J44" s="24" t="n">
        <v>0.153024326101249</v>
      </c>
      <c r="K44" s="19" t="n">
        <v>84.8</v>
      </c>
      <c r="L44" s="17" t="n">
        <f aca="false">IF(K44="","",RANK(K44,$K$5:$K$337))</f>
        <v>50</v>
      </c>
      <c r="M44" s="25" t="n">
        <v>0.307351734266338</v>
      </c>
      <c r="N44" s="19" t="n">
        <v>92.5</v>
      </c>
      <c r="O44" s="17" t="n">
        <f aca="false">IF(N44="","",RANK(N44,$N$5:$N$337))</f>
        <v>29</v>
      </c>
      <c r="P44" s="17" t="str">
        <f aca="false">IF(AND(N(H44)&gt;=N(K44),N(H44)&gt;=N(N44)),"The Pulse",IF(N(K44)&gt;=N(N44),"The Lens","The Hub"))</f>
        <v>The Hub</v>
      </c>
      <c r="Q44" s="21" t="s">
        <v>78</v>
      </c>
      <c r="R44" s="26" t="s">
        <v>668</v>
      </c>
      <c r="S44" s="17" t="s">
        <v>21</v>
      </c>
    </row>
    <row r="45" customFormat="false" ht="15" hidden="false" customHeight="false" outlineLevel="0" collapsed="false">
      <c r="A45" s="17" t="s">
        <v>1450</v>
      </c>
      <c r="B45" s="17" t="s">
        <v>1451</v>
      </c>
      <c r="C45" s="17" t="s">
        <v>1452</v>
      </c>
      <c r="D45" s="17" t="s">
        <v>138</v>
      </c>
      <c r="E45" s="18" t="n">
        <v>79730</v>
      </c>
      <c r="F45" s="17" t="s">
        <v>667</v>
      </c>
      <c r="G45" s="23" t="n">
        <v>7.32714160290982</v>
      </c>
      <c r="H45" s="19" t="n">
        <v>89</v>
      </c>
      <c r="I45" s="17" t="n">
        <f aca="false">IF(H45="","",RANK(H45,$H$5:$H$337))</f>
        <v>41</v>
      </c>
      <c r="J45" s="24" t="n">
        <v>0.152667341332948</v>
      </c>
      <c r="K45" s="19" t="n">
        <v>80.5</v>
      </c>
      <c r="L45" s="17" t="n">
        <f aca="false">IF(K45="","",RANK(K45,$K$5:$K$337))</f>
        <v>65</v>
      </c>
      <c r="M45" s="25" t="n">
        <v>0.095867517471893</v>
      </c>
      <c r="N45" s="19" t="n">
        <v>30.8</v>
      </c>
      <c r="O45" s="17" t="n">
        <f aca="false">IF(N45="","",RANK(N45,$N$5:$N$337))</f>
        <v>230</v>
      </c>
      <c r="P45" s="17" t="str">
        <f aca="false">IF(AND(N(H45)&gt;=N(K45),N(H45)&gt;=N(N45)),"The Pulse",IF(N(K45)&gt;=N(N45),"The Lens","The Hub"))</f>
        <v>The Pulse</v>
      </c>
      <c r="Q45" s="21" t="s">
        <v>78</v>
      </c>
      <c r="R45" s="26" t="s">
        <v>668</v>
      </c>
      <c r="S45" s="17" t="s">
        <v>21</v>
      </c>
    </row>
    <row r="46" customFormat="false" ht="15" hidden="false" customHeight="false" outlineLevel="0" collapsed="false">
      <c r="A46" s="17" t="s">
        <v>202</v>
      </c>
      <c r="B46" s="17" t="s">
        <v>203</v>
      </c>
      <c r="C46" s="17" t="s">
        <v>1453</v>
      </c>
      <c r="D46" s="17" t="s">
        <v>92</v>
      </c>
      <c r="E46" s="18" t="n">
        <v>54448</v>
      </c>
      <c r="F46" s="17" t="s">
        <v>667</v>
      </c>
      <c r="G46" s="23" t="n">
        <v>7.26046870408463</v>
      </c>
      <c r="H46" s="19" t="n">
        <v>88.6</v>
      </c>
      <c r="I46" s="17" t="n">
        <f aca="false">IF(H46="","",RANK(H46,$H$5:$H$337))</f>
        <v>42</v>
      </c>
      <c r="J46" s="24" t="n">
        <v>0.0160294090205079</v>
      </c>
      <c r="K46" s="19" t="n">
        <v>15.8</v>
      </c>
      <c r="L46" s="17" t="n">
        <f aca="false">IF(K46="","",RANK(K46,$K$5:$K$337))</f>
        <v>283</v>
      </c>
      <c r="M46" s="25" t="n">
        <v>0.09388965942364</v>
      </c>
      <c r="N46" s="19" t="n">
        <v>29.8</v>
      </c>
      <c r="O46" s="17" t="n">
        <f aca="false">IF(N46="","",RANK(N46,$N$5:$N$337))</f>
        <v>234</v>
      </c>
      <c r="P46" s="17" t="str">
        <f aca="false">IF(AND(N(H46)&gt;=N(K46),N(H46)&gt;=N(N46)),"The Pulse",IF(N(K46)&gt;=N(N46),"The Lens","The Hub"))</f>
        <v>The Pulse</v>
      </c>
      <c r="Q46" s="20" t="s">
        <v>74</v>
      </c>
      <c r="R46" s="27" t="s">
        <v>671</v>
      </c>
      <c r="S46" s="17" t="s">
        <v>19</v>
      </c>
    </row>
    <row r="47" customFormat="false" ht="15" hidden="false" customHeight="false" outlineLevel="0" collapsed="false">
      <c r="A47" s="17" t="s">
        <v>1454</v>
      </c>
      <c r="B47" s="17" t="s">
        <v>1455</v>
      </c>
      <c r="C47" s="17" t="s">
        <v>1456</v>
      </c>
      <c r="D47" s="17" t="s">
        <v>77</v>
      </c>
      <c r="E47" s="18" t="n">
        <v>114469</v>
      </c>
      <c r="F47" s="17" t="s">
        <v>670</v>
      </c>
      <c r="G47" s="23" t="n">
        <v>7.25711764757271</v>
      </c>
      <c r="H47" s="19" t="n">
        <v>88.4</v>
      </c>
      <c r="I47" s="17" t="n">
        <f aca="false">IF(H47="","",RANK(H47,$H$5:$H$337))</f>
        <v>43</v>
      </c>
      <c r="J47" s="24" t="n">
        <v>0.0554710335352641</v>
      </c>
      <c r="K47" s="19" t="n">
        <v>33.1</v>
      </c>
      <c r="L47" s="17" t="n">
        <f aca="false">IF(K47="","",RANK(K47,$K$5:$K$337))</f>
        <v>227</v>
      </c>
      <c r="M47" s="25" t="n">
        <v>0.0273823446384643</v>
      </c>
      <c r="N47" s="19" t="n">
        <v>5.2</v>
      </c>
      <c r="O47" s="17" t="n">
        <f aca="false">IF(N47="","",RANK(N47,$N$5:$N$337))</f>
        <v>315</v>
      </c>
      <c r="P47" s="17" t="str">
        <f aca="false">IF(AND(N(H47)&gt;=N(K47),N(H47)&gt;=N(N47)),"The Pulse",IF(N(K47)&gt;=N(N47),"The Lens","The Hub"))</f>
        <v>The Pulse</v>
      </c>
      <c r="Q47" s="20" t="s">
        <v>74</v>
      </c>
      <c r="R47" s="26" t="s">
        <v>668</v>
      </c>
      <c r="S47" s="17" t="s">
        <v>19</v>
      </c>
    </row>
    <row r="48" customFormat="false" ht="15" hidden="false" customHeight="false" outlineLevel="0" collapsed="false">
      <c r="A48" s="17" t="s">
        <v>409</v>
      </c>
      <c r="B48" s="17" t="s">
        <v>410</v>
      </c>
      <c r="C48" s="17" t="s">
        <v>1457</v>
      </c>
      <c r="D48" s="17" t="s">
        <v>92</v>
      </c>
      <c r="E48" s="18" t="n">
        <v>46480</v>
      </c>
      <c r="F48" s="17" t="s">
        <v>667</v>
      </c>
      <c r="G48" s="23" t="n">
        <v>7.2171256454389</v>
      </c>
      <c r="H48" s="19" t="n">
        <v>88.2</v>
      </c>
      <c r="I48" s="17" t="n">
        <f aca="false">IF(H48="","",RANK(H48,$H$5:$H$337))</f>
        <v>44</v>
      </c>
      <c r="J48" s="24" t="n">
        <v>0.1208102242585</v>
      </c>
      <c r="K48" s="19" t="n">
        <v>64.3</v>
      </c>
      <c r="L48" s="17" t="n">
        <f aca="false">IF(K48="","",RANK(K48,$K$5:$K$337))</f>
        <v>116</v>
      </c>
      <c r="M48" s="25" t="n">
        <v>0.217936627687665</v>
      </c>
      <c r="N48" s="19" t="n">
        <v>75.4</v>
      </c>
      <c r="O48" s="17" t="n">
        <f aca="false">IF(N48="","",RANK(N48,$N$5:$N$337))</f>
        <v>86</v>
      </c>
      <c r="P48" s="17" t="str">
        <f aca="false">IF(AND(N(H48)&gt;=N(K48),N(H48)&gt;=N(N48)),"The Pulse",IF(N(K48)&gt;=N(N48),"The Lens","The Hub"))</f>
        <v>The Pulse</v>
      </c>
      <c r="Q48" s="21" t="s">
        <v>78</v>
      </c>
      <c r="R48" s="27" t="s">
        <v>671</v>
      </c>
      <c r="S48" s="17" t="s">
        <v>21</v>
      </c>
    </row>
    <row r="49" customFormat="false" ht="15" hidden="false" customHeight="false" outlineLevel="0" collapsed="false">
      <c r="A49" s="17" t="s">
        <v>303</v>
      </c>
      <c r="B49" s="17" t="s">
        <v>304</v>
      </c>
      <c r="C49" s="17" t="s">
        <v>1458</v>
      </c>
      <c r="D49" s="17" t="s">
        <v>77</v>
      </c>
      <c r="E49" s="18" t="n">
        <v>11233</v>
      </c>
      <c r="F49" s="17" t="s">
        <v>667</v>
      </c>
      <c r="G49" s="23" t="n">
        <v>7.0679248642393</v>
      </c>
      <c r="H49" s="19" t="n">
        <v>87.9</v>
      </c>
      <c r="I49" s="17" t="n">
        <f aca="false">IF(H49="","",RANK(H49,$H$5:$H$337))</f>
        <v>45</v>
      </c>
      <c r="J49" s="24" t="n">
        <v>-0.0765373232489313</v>
      </c>
      <c r="K49" s="19" t="n">
        <v>2.9</v>
      </c>
      <c r="L49" s="17" t="n">
        <f aca="false">IF(K49="","",RANK(K49,$K$5:$K$337))</f>
        <v>324</v>
      </c>
      <c r="M49" s="25" t="n">
        <v>0.0685140737508182</v>
      </c>
      <c r="N49" s="19" t="n">
        <v>21.2</v>
      </c>
      <c r="O49" s="17" t="n">
        <f aca="false">IF(N49="","",RANK(N49,$N$5:$N$337))</f>
        <v>264</v>
      </c>
      <c r="P49" s="17" t="str">
        <f aca="false">IF(AND(N(H49)&gt;=N(K49),N(H49)&gt;=N(N49)),"The Pulse",IF(N(K49)&gt;=N(N49),"The Lens","The Hub"))</f>
        <v>The Pulse</v>
      </c>
      <c r="Q49" s="20" t="s">
        <v>74</v>
      </c>
      <c r="R49" s="27" t="s">
        <v>671</v>
      </c>
      <c r="S49" s="17" t="s">
        <v>19</v>
      </c>
    </row>
    <row r="50" customFormat="false" ht="15" hidden="false" customHeight="false" outlineLevel="0" collapsed="false">
      <c r="A50" s="17" t="s">
        <v>1242</v>
      </c>
      <c r="B50" s="17" t="s">
        <v>1243</v>
      </c>
      <c r="C50" s="17" t="s">
        <v>1459</v>
      </c>
      <c r="D50" s="17" t="s">
        <v>133</v>
      </c>
      <c r="E50" s="18" t="n">
        <v>120310</v>
      </c>
      <c r="F50" s="17" t="s">
        <v>670</v>
      </c>
      <c r="G50" s="23" t="n">
        <v>6.98020945889785</v>
      </c>
      <c r="H50" s="19" t="n">
        <v>87.3</v>
      </c>
      <c r="I50" s="17" t="n">
        <f aca="false">IF(H50="","",RANK(H50,$H$5:$H$337))</f>
        <v>46</v>
      </c>
      <c r="J50" s="24" t="n">
        <v>0.131051988342578</v>
      </c>
      <c r="K50" s="19" t="n">
        <v>76.2</v>
      </c>
      <c r="L50" s="17" t="n">
        <f aca="false">IF(K50="","",RANK(K50,$K$5:$K$337))</f>
        <v>79</v>
      </c>
      <c r="M50" s="25" t="n">
        <v>0.107610504764851</v>
      </c>
      <c r="N50" s="19" t="n">
        <v>35.8</v>
      </c>
      <c r="O50" s="17" t="n">
        <f aca="false">IF(N50="","",RANK(N50,$N$5:$N$337))</f>
        <v>212</v>
      </c>
      <c r="P50" s="17" t="str">
        <f aca="false">IF(AND(N(H50)&gt;=N(K50),N(H50)&gt;=N(N50)),"The Pulse",IF(N(K50)&gt;=N(N50),"The Lens","The Hub"))</f>
        <v>The Pulse</v>
      </c>
      <c r="Q50" s="21" t="s">
        <v>78</v>
      </c>
      <c r="R50" s="26" t="s">
        <v>668</v>
      </c>
      <c r="S50" s="17" t="s">
        <v>21</v>
      </c>
    </row>
    <row r="51" customFormat="false" ht="15" hidden="false" customHeight="false" outlineLevel="0" collapsed="false">
      <c r="A51" s="17" t="s">
        <v>178</v>
      </c>
      <c r="B51" s="17" t="s">
        <v>179</v>
      </c>
      <c r="C51" s="17" t="s">
        <v>1460</v>
      </c>
      <c r="D51" s="17" t="s">
        <v>87</v>
      </c>
      <c r="E51" s="18" t="n">
        <v>7310</v>
      </c>
      <c r="F51" s="17" t="s">
        <v>678</v>
      </c>
      <c r="G51" s="23" t="n">
        <v>6.97195622435021</v>
      </c>
      <c r="H51" s="19" t="n">
        <v>87.1</v>
      </c>
      <c r="I51" s="17" t="n">
        <f aca="false">IF(H51="","",RANK(H51,$H$5:$H$337))</f>
        <v>47</v>
      </c>
      <c r="J51" s="24" t="n">
        <v>0.091044776119403</v>
      </c>
      <c r="K51" s="19" t="n">
        <v>37.5</v>
      </c>
      <c r="L51" s="17" t="n">
        <f aca="false">IF(K51="","",RANK(K51,$K$5:$K$337))</f>
        <v>208</v>
      </c>
      <c r="M51" s="25" t="n">
        <v>0.0814380044020543</v>
      </c>
      <c r="N51" s="19" t="n">
        <v>24.6</v>
      </c>
      <c r="O51" s="17" t="n">
        <f aca="false">IF(N51="","",RANK(N51,$N$5:$N$337))</f>
        <v>253</v>
      </c>
      <c r="P51" s="17" t="str">
        <f aca="false">IF(AND(N(H51)&gt;=N(K51),N(H51)&gt;=N(N51)),"The Pulse",IF(N(K51)&gt;=N(N51),"The Lens","The Hub"))</f>
        <v>The Pulse</v>
      </c>
      <c r="Q51" s="21" t="s">
        <v>78</v>
      </c>
      <c r="R51" s="27" t="s">
        <v>671</v>
      </c>
      <c r="S51" s="17" t="s">
        <v>21</v>
      </c>
    </row>
    <row r="52" customFormat="false" ht="15" hidden="false" customHeight="false" outlineLevel="0" collapsed="false">
      <c r="A52" s="17" t="s">
        <v>445</v>
      </c>
      <c r="B52" s="17" t="s">
        <v>446</v>
      </c>
      <c r="C52" s="17" t="s">
        <v>1461</v>
      </c>
      <c r="D52" s="17" t="s">
        <v>102</v>
      </c>
      <c r="E52" s="18" t="n">
        <v>45730</v>
      </c>
      <c r="F52" s="17" t="s">
        <v>667</v>
      </c>
      <c r="G52" s="23" t="n">
        <v>6.96781106494642</v>
      </c>
      <c r="H52" s="19" t="n">
        <v>86.9</v>
      </c>
      <c r="I52" s="17" t="n">
        <f aca="false">IF(H52="","",RANK(H52,$H$5:$H$337))</f>
        <v>48</v>
      </c>
      <c r="J52" s="24" t="n">
        <v>0.0561200923787529</v>
      </c>
      <c r="K52" s="19" t="n">
        <v>32</v>
      </c>
      <c r="L52" s="17" t="n">
        <f aca="false">IF(K52="","",RANK(K52,$K$5:$K$337))</f>
        <v>229</v>
      </c>
      <c r="M52" s="25" t="n">
        <v>0.142626215974367</v>
      </c>
      <c r="N52" s="19" t="n">
        <v>53.4</v>
      </c>
      <c r="O52" s="17" t="n">
        <f aca="false">IF(N52="","",RANK(N52,$N$5:$N$337))</f>
        <v>155</v>
      </c>
      <c r="P52" s="17" t="str">
        <f aca="false">IF(AND(N(H52)&gt;=N(K52),N(H52)&gt;=N(N52)),"The Pulse",IF(N(K52)&gt;=N(N52),"The Lens","The Hub"))</f>
        <v>The Pulse</v>
      </c>
      <c r="Q52" s="21" t="s">
        <v>78</v>
      </c>
      <c r="R52" s="27" t="s">
        <v>671</v>
      </c>
      <c r="S52" s="17" t="s">
        <v>21</v>
      </c>
    </row>
    <row r="53" customFormat="false" ht="15" hidden="false" customHeight="false" outlineLevel="0" collapsed="false">
      <c r="A53" s="17" t="s">
        <v>1462</v>
      </c>
      <c r="B53" s="17" t="s">
        <v>1463</v>
      </c>
      <c r="C53" s="17" t="s">
        <v>1464</v>
      </c>
      <c r="D53" s="17" t="s">
        <v>72</v>
      </c>
      <c r="E53" s="18" t="n">
        <v>31423</v>
      </c>
      <c r="F53" s="17" t="s">
        <v>667</v>
      </c>
      <c r="G53" s="23" t="n">
        <v>6.91576233968749</v>
      </c>
      <c r="H53" s="19" t="n">
        <v>86.7</v>
      </c>
      <c r="I53" s="17" t="n">
        <f aca="false">IF(H53="","",RANK(H53,$H$5:$H$337))</f>
        <v>49</v>
      </c>
      <c r="J53" s="24" t="n">
        <v>0.115675483756435</v>
      </c>
      <c r="K53" s="19" t="n">
        <v>61.8</v>
      </c>
      <c r="L53" s="17" t="n">
        <f aca="false">IF(K53="","",RANK(K53,$K$5:$K$337))</f>
        <v>124</v>
      </c>
      <c r="M53" s="25" t="n">
        <v>0.048319094641074</v>
      </c>
      <c r="N53" s="19" t="n">
        <v>12.7</v>
      </c>
      <c r="O53" s="17" t="n">
        <f aca="false">IF(N53="","",RANK(N53,$N$5:$N$337))</f>
        <v>292</v>
      </c>
      <c r="P53" s="17" t="str">
        <f aca="false">IF(AND(N(H53)&gt;=N(K53),N(H53)&gt;=N(N53)),"The Pulse",IF(N(K53)&gt;=N(N53),"The Lens","The Hub"))</f>
        <v>The Pulse</v>
      </c>
      <c r="Q53" s="20" t="s">
        <v>74</v>
      </c>
      <c r="R53" s="26" t="s">
        <v>668</v>
      </c>
      <c r="S53" s="17" t="s">
        <v>19</v>
      </c>
    </row>
    <row r="54" customFormat="false" ht="15" hidden="false" customHeight="false" outlineLevel="0" collapsed="false">
      <c r="A54" s="17" t="s">
        <v>1465</v>
      </c>
      <c r="B54" s="17" t="s">
        <v>1466</v>
      </c>
      <c r="C54" s="17" t="s">
        <v>1467</v>
      </c>
      <c r="D54" s="17" t="s">
        <v>138</v>
      </c>
      <c r="E54" s="18" t="n">
        <v>2142140</v>
      </c>
      <c r="F54" s="17" t="s">
        <v>752</v>
      </c>
      <c r="G54" s="23" t="n">
        <v>6.90202554454891</v>
      </c>
      <c r="H54" s="19" t="n">
        <v>86.5</v>
      </c>
      <c r="I54" s="17" t="n">
        <f aca="false">IF(H54="","",RANK(H54,$H$5:$H$337))</f>
        <v>50</v>
      </c>
      <c r="J54" s="24" t="n">
        <v>0.0240898768973348</v>
      </c>
      <c r="K54" s="19" t="n">
        <v>25</v>
      </c>
      <c r="L54" s="17" t="n">
        <f aca="false">IF(K54="","",RANK(K54,$K$5:$K$337))</f>
        <v>252</v>
      </c>
      <c r="M54" s="25" t="n">
        <v>0.113377588311797</v>
      </c>
      <c r="N54" s="19" t="n">
        <v>37.8</v>
      </c>
      <c r="O54" s="17" t="n">
        <f aca="false">IF(N54="","",RANK(N54,$N$5:$N$337))</f>
        <v>205</v>
      </c>
      <c r="P54" s="17" t="str">
        <f aca="false">IF(AND(N(H54)&gt;=N(K54),N(H54)&gt;=N(N54)),"The Pulse",IF(N(K54)&gt;=N(N54),"The Lens","The Hub"))</f>
        <v>The Pulse</v>
      </c>
      <c r="Q54" s="21" t="s">
        <v>78</v>
      </c>
      <c r="R54" s="26" t="s">
        <v>668</v>
      </c>
      <c r="S54" s="17" t="s">
        <v>21</v>
      </c>
    </row>
    <row r="55" customFormat="false" ht="15" hidden="false" customHeight="false" outlineLevel="0" collapsed="false">
      <c r="A55" s="17" t="s">
        <v>471</v>
      </c>
      <c r="B55" s="17" t="s">
        <v>472</v>
      </c>
      <c r="C55" s="17" t="s">
        <v>1468</v>
      </c>
      <c r="D55" s="17" t="s">
        <v>87</v>
      </c>
      <c r="E55" s="18" t="n">
        <v>601550</v>
      </c>
      <c r="F55" s="17" t="s">
        <v>670</v>
      </c>
      <c r="G55" s="23" t="n">
        <v>6.89769428975148</v>
      </c>
      <c r="H55" s="19" t="n">
        <v>86.3</v>
      </c>
      <c r="I55" s="17" t="n">
        <f aca="false">IF(H55="","",RANK(H55,$H$5:$H$337))</f>
        <v>51</v>
      </c>
      <c r="J55" s="24" t="n">
        <v>0.20931588364192</v>
      </c>
      <c r="K55" s="19" t="n">
        <v>98</v>
      </c>
      <c r="L55" s="17" t="n">
        <f aca="false">IF(K55="","",RANK(K55,$K$5:$K$337))</f>
        <v>8</v>
      </c>
      <c r="M55" s="25" t="n">
        <v>0.133562938951918</v>
      </c>
      <c r="N55" s="19" t="n">
        <v>49.5</v>
      </c>
      <c r="O55" s="17" t="n">
        <f aca="false">IF(N55="","",RANK(N55,$N$5:$N$337))</f>
        <v>168</v>
      </c>
      <c r="P55" s="17" t="str">
        <f aca="false">IF(AND(N(H55)&gt;=N(K55),N(H55)&gt;=N(N55)),"The Pulse",IF(N(K55)&gt;=N(N55),"The Lens","The Hub"))</f>
        <v>The Lens</v>
      </c>
      <c r="Q55" s="21" t="s">
        <v>78</v>
      </c>
      <c r="R55" s="27" t="s">
        <v>671</v>
      </c>
      <c r="S55" s="17" t="s">
        <v>21</v>
      </c>
    </row>
    <row r="56" customFormat="false" ht="15" hidden="false" customHeight="false" outlineLevel="0" collapsed="false">
      <c r="A56" s="17" t="s">
        <v>243</v>
      </c>
      <c r="B56" s="17" t="s">
        <v>244</v>
      </c>
      <c r="C56" s="17" t="s">
        <v>1469</v>
      </c>
      <c r="D56" s="17" t="s">
        <v>102</v>
      </c>
      <c r="E56" s="18" t="n">
        <v>74380</v>
      </c>
      <c r="F56" s="17" t="s">
        <v>667</v>
      </c>
      <c r="G56" s="23" t="n">
        <v>6.89095186878193</v>
      </c>
      <c r="H56" s="19" t="n">
        <v>85.8</v>
      </c>
      <c r="I56" s="17" t="n">
        <f aca="false">IF(H56="","",RANK(H56,$H$5:$H$337))</f>
        <v>52</v>
      </c>
      <c r="J56" s="24" t="n">
        <v>0.171523074499921</v>
      </c>
      <c r="K56" s="19" t="n">
        <v>85.5</v>
      </c>
      <c r="L56" s="17" t="n">
        <f aca="false">IF(K56="","",RANK(K56,$K$5:$K$337))</f>
        <v>47</v>
      </c>
      <c r="M56" s="25" t="n">
        <v>0.0229418650019508</v>
      </c>
      <c r="N56" s="19" t="n">
        <v>3.6</v>
      </c>
      <c r="O56" s="17" t="n">
        <f aca="false">IF(N56="","",RANK(N56,$N$5:$N$337))</f>
        <v>321</v>
      </c>
      <c r="P56" s="17" t="str">
        <f aca="false">IF(AND(N(H56)&gt;=N(K56),N(H56)&gt;=N(N56)),"The Pulse",IF(N(K56)&gt;=N(N56),"The Lens","The Hub"))</f>
        <v>The Pulse</v>
      </c>
      <c r="Q56" s="21" t="s">
        <v>78</v>
      </c>
      <c r="R56" s="27" t="s">
        <v>671</v>
      </c>
      <c r="S56" s="17" t="s">
        <v>21</v>
      </c>
    </row>
    <row r="57" customFormat="false" ht="15" hidden="false" customHeight="false" outlineLevel="0" collapsed="false">
      <c r="A57" s="17" t="s">
        <v>1470</v>
      </c>
      <c r="B57" s="17" t="s">
        <v>1471</v>
      </c>
      <c r="C57" s="17" t="s">
        <v>1472</v>
      </c>
      <c r="D57" s="17" t="s">
        <v>92</v>
      </c>
      <c r="E57" s="18" t="n">
        <v>374713</v>
      </c>
      <c r="F57" s="17" t="s">
        <v>670</v>
      </c>
      <c r="G57" s="23" t="n">
        <v>6.79761844398246</v>
      </c>
      <c r="H57" s="19" t="n">
        <v>85.4</v>
      </c>
      <c r="I57" s="17" t="n">
        <f aca="false">IF(H57="","",RANK(H57,$H$5:$H$337))</f>
        <v>53</v>
      </c>
      <c r="J57" s="24" t="n">
        <v>0.0930568358167159</v>
      </c>
      <c r="K57" s="19" t="n">
        <v>58.9</v>
      </c>
      <c r="L57" s="17" t="n">
        <f aca="false">IF(K57="","",RANK(K57,$K$5:$K$337))</f>
        <v>133</v>
      </c>
      <c r="M57" s="25" t="n">
        <v>0.307046196920205</v>
      </c>
      <c r="N57" s="19" t="n">
        <v>92.2</v>
      </c>
      <c r="O57" s="17" t="n">
        <f aca="false">IF(N57="","",RANK(N57,$N$5:$N$337))</f>
        <v>30</v>
      </c>
      <c r="P57" s="17" t="str">
        <f aca="false">IF(AND(N(H57)&gt;=N(K57),N(H57)&gt;=N(N57)),"The Pulse",IF(N(K57)&gt;=N(N57),"The Lens","The Hub"))</f>
        <v>The Hub</v>
      </c>
      <c r="Q57" s="20" t="s">
        <v>74</v>
      </c>
      <c r="R57" s="26" t="s">
        <v>668</v>
      </c>
      <c r="S57" s="17" t="s">
        <v>19</v>
      </c>
    </row>
    <row r="58" customFormat="false" ht="15" hidden="false" customHeight="false" outlineLevel="0" collapsed="false">
      <c r="A58" s="17" t="s">
        <v>145</v>
      </c>
      <c r="B58" s="17" t="s">
        <v>146</v>
      </c>
      <c r="C58" s="17" t="s">
        <v>1473</v>
      </c>
      <c r="D58" s="17" t="s">
        <v>81</v>
      </c>
      <c r="E58" s="18" t="n">
        <v>14900</v>
      </c>
      <c r="F58" s="17" t="s">
        <v>667</v>
      </c>
      <c r="G58" s="23" t="n">
        <v>6.79342281879195</v>
      </c>
      <c r="H58" s="19" t="n">
        <v>85.2</v>
      </c>
      <c r="I58" s="17" t="n">
        <f aca="false">IF(H58="","",RANK(H58,$H$5:$H$337))</f>
        <v>54</v>
      </c>
      <c r="J58" s="24" t="n">
        <v>0.116941529235382</v>
      </c>
      <c r="K58" s="19" t="n">
        <v>62.2</v>
      </c>
      <c r="L58" s="17" t="n">
        <f aca="false">IF(K58="","",RANK(K58,$K$5:$K$337))</f>
        <v>123</v>
      </c>
      <c r="M58" s="25" t="n">
        <v>0.05997334517992</v>
      </c>
      <c r="N58" s="19" t="n">
        <v>17.1</v>
      </c>
      <c r="O58" s="17" t="n">
        <f aca="false">IF(N58="","",RANK(N58,$N$5:$N$337))</f>
        <v>277</v>
      </c>
      <c r="P58" s="17" t="str">
        <f aca="false">IF(AND(N(H58)&gt;=N(K58),N(H58)&gt;=N(N58)),"The Pulse",IF(N(K58)&gt;=N(N58),"The Lens","The Hub"))</f>
        <v>The Pulse</v>
      </c>
      <c r="Q58" s="21" t="s">
        <v>78</v>
      </c>
      <c r="R58" s="27" t="s">
        <v>671</v>
      </c>
      <c r="S58" s="17" t="s">
        <v>21</v>
      </c>
    </row>
    <row r="59" customFormat="false" ht="15" hidden="false" customHeight="false" outlineLevel="0" collapsed="false">
      <c r="A59" s="17" t="s">
        <v>227</v>
      </c>
      <c r="B59" s="17" t="s">
        <v>228</v>
      </c>
      <c r="C59" s="17" t="s">
        <v>1474</v>
      </c>
      <c r="D59" s="17" t="s">
        <v>105</v>
      </c>
      <c r="E59" s="18" t="n">
        <v>6712</v>
      </c>
      <c r="F59" s="17" t="s">
        <v>678</v>
      </c>
      <c r="G59" s="23" t="n">
        <v>6.77234803337306</v>
      </c>
      <c r="H59" s="19" t="n">
        <v>85</v>
      </c>
      <c r="I59" s="17" t="n">
        <f aca="false">IF(H59="","",RANK(H59,$H$5:$H$337))</f>
        <v>55</v>
      </c>
      <c r="J59" s="24" t="n">
        <v>-0.0836860068259386</v>
      </c>
      <c r="K59" s="19" t="n">
        <v>2.1</v>
      </c>
      <c r="L59" s="17" t="n">
        <f aca="false">IF(K59="","",RANK(K59,$K$5:$K$337))</f>
        <v>327</v>
      </c>
      <c r="M59" s="25" t="n">
        <v>0.135576447303315</v>
      </c>
      <c r="N59" s="19" t="n">
        <v>50.3</v>
      </c>
      <c r="O59" s="17" t="n">
        <f aca="false">IF(N59="","",RANK(N59,$N$5:$N$337))</f>
        <v>165</v>
      </c>
      <c r="P59" s="17" t="str">
        <f aca="false">IF(AND(N(H59)&gt;=N(K59),N(H59)&gt;=N(N59)),"The Pulse",IF(N(K59)&gt;=N(N59),"The Lens","The Hub"))</f>
        <v>The Pulse</v>
      </c>
      <c r="Q59" s="20" t="s">
        <v>74</v>
      </c>
      <c r="R59" s="27" t="s">
        <v>671</v>
      </c>
      <c r="S59" s="17" t="s">
        <v>19</v>
      </c>
    </row>
    <row r="60" customFormat="false" ht="15" hidden="false" customHeight="false" outlineLevel="0" collapsed="false">
      <c r="A60" s="17" t="s">
        <v>1475</v>
      </c>
      <c r="B60" s="17" t="s">
        <v>1476</v>
      </c>
      <c r="C60" s="17" t="s">
        <v>1477</v>
      </c>
      <c r="D60" s="17" t="s">
        <v>77</v>
      </c>
      <c r="E60" s="18" t="n">
        <v>28625</v>
      </c>
      <c r="F60" s="17" t="s">
        <v>667</v>
      </c>
      <c r="G60" s="23" t="n">
        <v>6.72418487997134</v>
      </c>
      <c r="H60" s="19" t="n">
        <v>84.8</v>
      </c>
      <c r="I60" s="17" t="n">
        <f aca="false">IF(H60="","",RANK(H60,$H$5:$H$337))</f>
        <v>56</v>
      </c>
      <c r="J60" s="24" t="n">
        <v>0.0721776912128249</v>
      </c>
      <c r="K60" s="19" t="n">
        <v>41.1</v>
      </c>
      <c r="L60" s="17" t="n">
        <f aca="false">IF(K60="","",RANK(K60,$K$5:$K$337))</f>
        <v>196</v>
      </c>
      <c r="M60" s="25" t="n">
        <v>0.236844547563805</v>
      </c>
      <c r="N60" s="19" t="n">
        <v>79.8</v>
      </c>
      <c r="O60" s="17" t="n">
        <f aca="false">IF(N60="","",RANK(N60,$N$5:$N$337))</f>
        <v>70</v>
      </c>
      <c r="P60" s="17" t="str">
        <f aca="false">IF(AND(N(H60)&gt;=N(K60),N(H60)&gt;=N(N60)),"The Pulse",IF(N(K60)&gt;=N(N60),"The Lens","The Hub"))</f>
        <v>The Pulse</v>
      </c>
      <c r="Q60" s="21" t="s">
        <v>78</v>
      </c>
      <c r="R60" s="26" t="s">
        <v>668</v>
      </c>
      <c r="S60" s="17" t="s">
        <v>126</v>
      </c>
    </row>
    <row r="61" customFormat="false" ht="15" hidden="false" customHeight="false" outlineLevel="0" collapsed="false">
      <c r="A61" s="17" t="s">
        <v>1478</v>
      </c>
      <c r="B61" s="17" t="s">
        <v>1479</v>
      </c>
      <c r="C61" s="17" t="s">
        <v>1480</v>
      </c>
      <c r="D61" s="17" t="s">
        <v>87</v>
      </c>
      <c r="E61" s="18" t="n">
        <v>3000</v>
      </c>
      <c r="F61" s="17" t="s">
        <v>678</v>
      </c>
      <c r="G61" s="23" t="n">
        <v>6.69</v>
      </c>
      <c r="H61" s="19" t="n">
        <v>84.6</v>
      </c>
      <c r="I61" s="17" t="n">
        <f aca="false">IF(H61="","",RANK(H61,$H$5:$H$337))</f>
        <v>57</v>
      </c>
      <c r="J61" s="24" t="n">
        <v>0.304347826086957</v>
      </c>
      <c r="K61" s="19" t="n">
        <v>100</v>
      </c>
      <c r="L61" s="17" t="n">
        <f aca="false">IF(K61="","",RANK(K61,$K$5:$K$337))</f>
        <v>1</v>
      </c>
      <c r="M61" s="25" t="n">
        <v>0.18266253869969</v>
      </c>
      <c r="N61" s="19" t="n">
        <v>67.1</v>
      </c>
      <c r="O61" s="17" t="n">
        <f aca="false">IF(N61="","",RANK(N61,$N$5:$N$337))</f>
        <v>113</v>
      </c>
      <c r="P61" s="17" t="str">
        <f aca="false">IF(AND(N(H61)&gt;=N(K61),N(H61)&gt;=N(N61)),"The Pulse",IF(N(K61)&gt;=N(N61),"The Lens","The Hub"))</f>
        <v>The Lens</v>
      </c>
      <c r="Q61" s="21" t="s">
        <v>78</v>
      </c>
      <c r="R61" s="26" t="s">
        <v>668</v>
      </c>
      <c r="S61" s="17" t="s">
        <v>21</v>
      </c>
    </row>
    <row r="62" customFormat="false" ht="15" hidden="false" customHeight="false" outlineLevel="0" collapsed="false">
      <c r="A62" s="17" t="s">
        <v>1481</v>
      </c>
      <c r="B62" s="17" t="s">
        <v>1482</v>
      </c>
      <c r="C62" s="17" t="s">
        <v>1483</v>
      </c>
      <c r="D62" s="17" t="s">
        <v>72</v>
      </c>
      <c r="E62" s="18" t="n">
        <v>79500</v>
      </c>
      <c r="F62" s="17" t="s">
        <v>667</v>
      </c>
      <c r="G62" s="23" t="n">
        <v>6.63421383647799</v>
      </c>
      <c r="H62" s="19" t="n">
        <v>84.4</v>
      </c>
      <c r="I62" s="17" t="n">
        <f aca="false">IF(H62="","",RANK(H62,$H$5:$H$337))</f>
        <v>58</v>
      </c>
      <c r="J62" s="24" t="n">
        <v>0.0598586855085989</v>
      </c>
      <c r="K62" s="19" t="n">
        <v>35.7</v>
      </c>
      <c r="L62" s="17" t="n">
        <f aca="false">IF(K62="","",RANK(K62,$K$5:$K$337))</f>
        <v>216</v>
      </c>
      <c r="M62" s="25" t="n">
        <v>0.0745549642136172</v>
      </c>
      <c r="N62" s="19" t="n">
        <v>22.5</v>
      </c>
      <c r="O62" s="17" t="n">
        <f aca="false">IF(N62="","",RANK(N62,$N$5:$N$337))</f>
        <v>260</v>
      </c>
      <c r="P62" s="17" t="str">
        <f aca="false">IF(AND(N(H62)&gt;=N(K62),N(H62)&gt;=N(N62)),"The Pulse",IF(N(K62)&gt;=N(N62),"The Lens","The Hub"))</f>
        <v>The Pulse</v>
      </c>
      <c r="Q62" s="21" t="s">
        <v>78</v>
      </c>
      <c r="R62" s="26" t="s">
        <v>668</v>
      </c>
      <c r="S62" s="17" t="s">
        <v>21</v>
      </c>
    </row>
    <row r="63" customFormat="false" ht="15" hidden="false" customHeight="false" outlineLevel="0" collapsed="false">
      <c r="A63" s="17" t="s">
        <v>1484</v>
      </c>
      <c r="B63" s="17" t="s">
        <v>1485</v>
      </c>
      <c r="C63" s="17" t="s">
        <v>1486</v>
      </c>
      <c r="D63" s="17" t="s">
        <v>102</v>
      </c>
      <c r="E63" s="18" t="n">
        <v>18720</v>
      </c>
      <c r="F63" s="17" t="s">
        <v>667</v>
      </c>
      <c r="G63" s="23" t="n">
        <v>6.60037393162393</v>
      </c>
      <c r="H63" s="19" t="n">
        <v>84.1</v>
      </c>
      <c r="I63" s="17" t="n">
        <f aca="false">IF(H63="","",RANK(H63,$H$5:$H$337))</f>
        <v>59</v>
      </c>
      <c r="J63" s="24" t="n">
        <v>0.0481522956326988</v>
      </c>
      <c r="K63" s="19" t="n">
        <v>27.4</v>
      </c>
      <c r="L63" s="17" t="n">
        <f aca="false">IF(K63="","",RANK(K63,$K$5:$K$337))</f>
        <v>243</v>
      </c>
      <c r="M63" s="25" t="n">
        <v>0.119942196531792</v>
      </c>
      <c r="N63" s="19" t="n">
        <v>42</v>
      </c>
      <c r="O63" s="17" t="n">
        <f aca="false">IF(N63="","",RANK(N63,$N$5:$N$337))</f>
        <v>191</v>
      </c>
      <c r="P63" s="17" t="str">
        <f aca="false">IF(AND(N(H63)&gt;=N(K63),N(H63)&gt;=N(N63)),"The Pulse",IF(N(K63)&gt;=N(N63),"The Lens","The Hub"))</f>
        <v>The Pulse</v>
      </c>
      <c r="Q63" s="21" t="s">
        <v>78</v>
      </c>
      <c r="R63" s="26" t="s">
        <v>668</v>
      </c>
      <c r="S63" s="17" t="s">
        <v>21</v>
      </c>
    </row>
    <row r="64" customFormat="false" ht="15" hidden="false" customHeight="false" outlineLevel="0" collapsed="false">
      <c r="A64" s="17" t="s">
        <v>1487</v>
      </c>
      <c r="B64" s="17" t="s">
        <v>1488</v>
      </c>
      <c r="C64" s="17" t="s">
        <v>1489</v>
      </c>
      <c r="D64" s="17" t="s">
        <v>77</v>
      </c>
      <c r="E64" s="18" t="n">
        <v>405240</v>
      </c>
      <c r="F64" s="17" t="s">
        <v>670</v>
      </c>
      <c r="G64" s="23" t="n">
        <v>6.5253504096338</v>
      </c>
      <c r="H64" s="19" t="n">
        <v>83.9</v>
      </c>
      <c r="I64" s="17" t="n">
        <f aca="false">IF(H64="","",RANK(H64,$H$5:$H$337))</f>
        <v>60</v>
      </c>
      <c r="J64" s="24" t="n">
        <v>0.199978679679958</v>
      </c>
      <c r="K64" s="19" t="n">
        <v>96</v>
      </c>
      <c r="L64" s="17" t="n">
        <f aca="false">IF(K64="","",RANK(K64,$K$5:$K$337))</f>
        <v>15</v>
      </c>
      <c r="M64" s="25" t="n">
        <v>0.0578100869646915</v>
      </c>
      <c r="N64" s="19" t="n">
        <v>16.6</v>
      </c>
      <c r="O64" s="17" t="n">
        <f aca="false">IF(N64="","",RANK(N64,$N$5:$N$337))</f>
        <v>279</v>
      </c>
      <c r="P64" s="17" t="str">
        <f aca="false">IF(AND(N(H64)&gt;=N(K64),N(H64)&gt;=N(N64)),"The Pulse",IF(N(K64)&gt;=N(N64),"The Lens","The Hub"))</f>
        <v>The Lens</v>
      </c>
      <c r="Q64" s="20" t="s">
        <v>74</v>
      </c>
      <c r="R64" s="26" t="s">
        <v>668</v>
      </c>
      <c r="S64" s="17" t="s">
        <v>19</v>
      </c>
    </row>
    <row r="65" customFormat="false" ht="15" hidden="false" customHeight="false" outlineLevel="0" collapsed="false">
      <c r="A65" s="17" t="s">
        <v>439</v>
      </c>
      <c r="B65" s="17" t="s">
        <v>440</v>
      </c>
      <c r="C65" s="17" t="s">
        <v>1490</v>
      </c>
      <c r="D65" s="17" t="s">
        <v>87</v>
      </c>
      <c r="E65" s="18" t="n">
        <v>45890</v>
      </c>
      <c r="F65" s="17" t="s">
        <v>667</v>
      </c>
      <c r="G65" s="23" t="n">
        <v>6.42259751579865</v>
      </c>
      <c r="H65" s="19" t="n">
        <v>83.5</v>
      </c>
      <c r="I65" s="17" t="n">
        <f aca="false">IF(H65="","",RANK(H65,$H$5:$H$337))</f>
        <v>61</v>
      </c>
      <c r="J65" s="24" t="n">
        <v>0.0612858464384829</v>
      </c>
      <c r="K65" s="19" t="n">
        <v>36.1</v>
      </c>
      <c r="L65" s="17" t="n">
        <f aca="false">IF(K65="","",RANK(K65,$K$5:$K$337))</f>
        <v>214</v>
      </c>
      <c r="M65" s="25" t="n">
        <v>0.264053563955921</v>
      </c>
      <c r="N65" s="19" t="n">
        <v>85.8</v>
      </c>
      <c r="O65" s="17" t="n">
        <f aca="false">IF(N65="","",RANK(N65,$N$5:$N$337))</f>
        <v>52</v>
      </c>
      <c r="P65" s="17" t="str">
        <f aca="false">IF(AND(N(H65)&gt;=N(K65),N(H65)&gt;=N(N65)),"The Pulse",IF(N(K65)&gt;=N(N65),"The Lens","The Hub"))</f>
        <v>The Hub</v>
      </c>
      <c r="Q65" s="21" t="s">
        <v>78</v>
      </c>
      <c r="R65" s="27" t="s">
        <v>671</v>
      </c>
      <c r="S65" s="17" t="s">
        <v>21</v>
      </c>
    </row>
    <row r="66" customFormat="false" ht="15" hidden="false" customHeight="false" outlineLevel="0" collapsed="false">
      <c r="A66" s="17" t="s">
        <v>836</v>
      </c>
      <c r="B66" s="17" t="s">
        <v>837</v>
      </c>
      <c r="C66" s="17" t="s">
        <v>1491</v>
      </c>
      <c r="D66" s="17" t="s">
        <v>72</v>
      </c>
      <c r="E66" s="18" t="n">
        <v>20040</v>
      </c>
      <c r="F66" s="17" t="s">
        <v>667</v>
      </c>
      <c r="G66" s="23" t="n">
        <v>6.39126746506986</v>
      </c>
      <c r="H66" s="19" t="n">
        <v>83.3</v>
      </c>
      <c r="I66" s="17" t="n">
        <f aca="false">IF(H66="","",RANK(H66,$H$5:$H$337))</f>
        <v>62</v>
      </c>
      <c r="J66" s="24" t="n">
        <v>0.137989778534923</v>
      </c>
      <c r="K66" s="19" t="n">
        <v>74.3</v>
      </c>
      <c r="L66" s="17" t="n">
        <f aca="false">IF(K66="","",RANK(K66,$K$5:$K$337))</f>
        <v>86</v>
      </c>
      <c r="M66" s="25" t="n">
        <v>0.13763753373469</v>
      </c>
      <c r="N66" s="19" t="n">
        <v>51</v>
      </c>
      <c r="O66" s="17" t="n">
        <f aca="false">IF(N66="","",RANK(N66,$N$5:$N$337))</f>
        <v>162</v>
      </c>
      <c r="P66" s="17" t="str">
        <f aca="false">IF(AND(N(H66)&gt;=N(K66),N(H66)&gt;=N(N66)),"The Pulse",IF(N(K66)&gt;=N(N66),"The Lens","The Hub"))</f>
        <v>The Pulse</v>
      </c>
      <c r="Q66" s="21" t="s">
        <v>78</v>
      </c>
      <c r="R66" s="26" t="s">
        <v>668</v>
      </c>
      <c r="S66" s="17" t="s">
        <v>21</v>
      </c>
    </row>
    <row r="67" customFormat="false" ht="15" hidden="false" customHeight="false" outlineLevel="0" collapsed="false">
      <c r="A67" s="17" t="s">
        <v>1492</v>
      </c>
      <c r="B67" s="17" t="s">
        <v>1493</v>
      </c>
      <c r="C67" s="17" t="s">
        <v>1494</v>
      </c>
      <c r="D67" s="17"/>
      <c r="E67" s="18" t="n">
        <v>18510</v>
      </c>
      <c r="F67" s="17" t="s">
        <v>667</v>
      </c>
      <c r="G67" s="23" t="n">
        <v>6.2290113452188</v>
      </c>
      <c r="H67" s="19" t="n">
        <v>82.5</v>
      </c>
      <c r="I67" s="17" t="n">
        <f aca="false">IF(H67="","",RANK(H67,$H$5:$H$337))</f>
        <v>63</v>
      </c>
      <c r="J67" s="24" t="n">
        <v>0.0487252124645892</v>
      </c>
      <c r="K67" s="19" t="n">
        <v>27.8</v>
      </c>
      <c r="L67" s="17" t="n">
        <f aca="false">IF(K67="","",RANK(K67,$K$5:$K$337))</f>
        <v>241</v>
      </c>
      <c r="M67" s="25" t="n">
        <v>0.153934028273597</v>
      </c>
      <c r="N67" s="19" t="n">
        <v>58.5</v>
      </c>
      <c r="O67" s="17" t="n">
        <f aca="false">IF(N67="","",RANK(N67,$N$5:$N$337))</f>
        <v>139</v>
      </c>
      <c r="P67" s="17" t="str">
        <f aca="false">IF(AND(N(H67)&gt;=N(K67),N(H67)&gt;=N(N67)),"The Pulse",IF(N(K67)&gt;=N(N67),"The Lens","The Hub"))</f>
        <v>The Pulse</v>
      </c>
      <c r="Q67" s="21" t="s">
        <v>78</v>
      </c>
      <c r="R67" s="26" t="s">
        <v>668</v>
      </c>
      <c r="S67" s="17" t="s">
        <v>21</v>
      </c>
    </row>
    <row r="68" customFormat="false" ht="15" hidden="false" customHeight="false" outlineLevel="0" collapsed="false">
      <c r="A68" s="17" t="s">
        <v>343</v>
      </c>
      <c r="B68" s="17" t="s">
        <v>344</v>
      </c>
      <c r="C68" s="17" t="s">
        <v>1495</v>
      </c>
      <c r="D68" s="17" t="s">
        <v>102</v>
      </c>
      <c r="E68" s="18" t="n">
        <v>13262</v>
      </c>
      <c r="F68" s="17" t="s">
        <v>667</v>
      </c>
      <c r="G68" s="23" t="n">
        <v>6.20125169657669</v>
      </c>
      <c r="H68" s="19" t="n">
        <v>82.2</v>
      </c>
      <c r="I68" s="17" t="n">
        <f aca="false">IF(H68="","",RANK(H68,$H$5:$H$337))</f>
        <v>64</v>
      </c>
      <c r="J68" s="24" t="n">
        <v>0.00561116166211708</v>
      </c>
      <c r="K68" s="19" t="n">
        <v>12.4</v>
      </c>
      <c r="L68" s="17" t="n">
        <f aca="false">IF(K68="","",RANK(K68,$K$5:$K$337))</f>
        <v>293</v>
      </c>
      <c r="M68" s="25" t="n">
        <v>0.239340738086707</v>
      </c>
      <c r="N68" s="19" t="n">
        <v>80.6</v>
      </c>
      <c r="O68" s="17" t="n">
        <f aca="false">IF(N68="","",RANK(N68,$N$5:$N$337))</f>
        <v>68</v>
      </c>
      <c r="P68" s="17" t="str">
        <f aca="false">IF(AND(N(H68)&gt;=N(K68),N(H68)&gt;=N(N68)),"The Pulse",IF(N(K68)&gt;=N(N68),"The Lens","The Hub"))</f>
        <v>The Pulse</v>
      </c>
      <c r="Q68" s="20" t="s">
        <v>74</v>
      </c>
      <c r="R68" s="27" t="s">
        <v>671</v>
      </c>
      <c r="S68" s="17" t="s">
        <v>19</v>
      </c>
    </row>
    <row r="69" customFormat="false" ht="15" hidden="false" customHeight="false" outlineLevel="0" collapsed="false">
      <c r="A69" s="17" t="s">
        <v>173</v>
      </c>
      <c r="B69" s="17" t="s">
        <v>174</v>
      </c>
      <c r="C69" s="17" t="s">
        <v>1496</v>
      </c>
      <c r="D69" s="17" t="s">
        <v>92</v>
      </c>
      <c r="E69" s="18" t="n">
        <v>34833</v>
      </c>
      <c r="F69" s="17" t="s">
        <v>667</v>
      </c>
      <c r="G69" s="23" t="n">
        <v>6.16073838027158</v>
      </c>
      <c r="H69" s="19" t="n">
        <v>82</v>
      </c>
      <c r="I69" s="17" t="n">
        <f aca="false">IF(H69="","",RANK(H69,$H$5:$H$337))</f>
        <v>65</v>
      </c>
      <c r="J69" s="24" t="n">
        <v>-0.120978120978121</v>
      </c>
      <c r="K69" s="19" t="n">
        <v>1.2</v>
      </c>
      <c r="L69" s="17" t="n">
        <f aca="false">IF(K69="","",RANK(K69,$K$5:$K$337))</f>
        <v>331</v>
      </c>
      <c r="M69" s="25" t="n">
        <v>0.0833797327394209</v>
      </c>
      <c r="N69" s="19" t="n">
        <v>24.9</v>
      </c>
      <c r="O69" s="17" t="n">
        <f aca="false">IF(N69="","",RANK(N69,$N$5:$N$337))</f>
        <v>252</v>
      </c>
      <c r="P69" s="17" t="str">
        <f aca="false">IF(AND(N(H69)&gt;=N(K69),N(H69)&gt;=N(N69)),"The Pulse",IF(N(K69)&gt;=N(N69),"The Lens","The Hub"))</f>
        <v>The Pulse</v>
      </c>
      <c r="Q69" s="20" t="s">
        <v>74</v>
      </c>
      <c r="R69" s="27" t="s">
        <v>671</v>
      </c>
      <c r="S69" s="17" t="s">
        <v>19</v>
      </c>
    </row>
    <row r="70" customFormat="false" ht="15" hidden="false" customHeight="false" outlineLevel="0" collapsed="false">
      <c r="A70" s="17" t="s">
        <v>1497</v>
      </c>
      <c r="B70" s="17" t="s">
        <v>1498</v>
      </c>
      <c r="C70" s="17" t="s">
        <v>1499</v>
      </c>
      <c r="D70" s="17" t="s">
        <v>102</v>
      </c>
      <c r="E70" s="18" t="n">
        <v>143403</v>
      </c>
      <c r="F70" s="17" t="s">
        <v>670</v>
      </c>
      <c r="G70" s="23" t="n">
        <v>6.12314247261215</v>
      </c>
      <c r="H70" s="19" t="n">
        <v>81.8</v>
      </c>
      <c r="I70" s="17" t="n">
        <f aca="false">IF(H70="","",RANK(H70,$H$5:$H$337))</f>
        <v>66</v>
      </c>
      <c r="J70" s="24" t="n">
        <v>0.125197140772243</v>
      </c>
      <c r="K70" s="19" t="n">
        <v>71.5</v>
      </c>
      <c r="L70" s="17" t="n">
        <f aca="false">IF(K70="","",RANK(K70,$K$5:$K$337))</f>
        <v>96</v>
      </c>
      <c r="M70" s="25" t="n">
        <v>0.382871097156811</v>
      </c>
      <c r="N70" s="19" t="n">
        <v>97.4</v>
      </c>
      <c r="O70" s="17" t="n">
        <f aca="false">IF(N70="","",RANK(N70,$N$5:$N$337))</f>
        <v>10</v>
      </c>
      <c r="P70" s="17" t="str">
        <f aca="false">IF(AND(N(H70)&gt;=N(K70),N(H70)&gt;=N(N70)),"The Pulse",IF(N(K70)&gt;=N(N70),"The Lens","The Hub"))</f>
        <v>The Hub</v>
      </c>
      <c r="Q70" s="20" t="s">
        <v>74</v>
      </c>
      <c r="R70" s="26" t="s">
        <v>668</v>
      </c>
      <c r="S70" s="17" t="s">
        <v>19</v>
      </c>
    </row>
    <row r="71" customFormat="false" ht="15" hidden="false" customHeight="false" outlineLevel="0" collapsed="false">
      <c r="A71" s="17" t="s">
        <v>1500</v>
      </c>
      <c r="B71" s="17" t="s">
        <v>1501</v>
      </c>
      <c r="C71" s="17" t="s">
        <v>1502</v>
      </c>
      <c r="D71" s="17" t="s">
        <v>81</v>
      </c>
      <c r="E71" s="18" t="n">
        <v>122670</v>
      </c>
      <c r="F71" s="17" t="s">
        <v>670</v>
      </c>
      <c r="G71" s="23" t="n">
        <v>6.07913100187495</v>
      </c>
      <c r="H71" s="19" t="n">
        <v>81.6</v>
      </c>
      <c r="I71" s="17" t="n">
        <f aca="false">IF(H71="","",RANK(H71,$H$5:$H$337))</f>
        <v>67</v>
      </c>
      <c r="J71" s="24" t="n">
        <v>0.0633668515950069</v>
      </c>
      <c r="K71" s="19" t="n">
        <v>38.4</v>
      </c>
      <c r="L71" s="17" t="n">
        <f aca="false">IF(K71="","",RANK(K71,$K$5:$K$337))</f>
        <v>205</v>
      </c>
      <c r="M71" s="25" t="n">
        <v>0.218675264776221</v>
      </c>
      <c r="N71" s="19" t="n">
        <v>75.6</v>
      </c>
      <c r="O71" s="17" t="n">
        <f aca="false">IF(N71="","",RANK(N71,$N$5:$N$337))</f>
        <v>85</v>
      </c>
      <c r="P71" s="17" t="str">
        <f aca="false">IF(AND(N(H71)&gt;=N(K71),N(H71)&gt;=N(N71)),"The Pulse",IF(N(K71)&gt;=N(N71),"The Lens","The Hub"))</f>
        <v>The Pulse</v>
      </c>
      <c r="Q71" s="21" t="s">
        <v>78</v>
      </c>
      <c r="R71" s="26" t="s">
        <v>668</v>
      </c>
      <c r="S71" s="17" t="s">
        <v>21</v>
      </c>
    </row>
    <row r="72" customFormat="false" ht="15" hidden="false" customHeight="false" outlineLevel="0" collapsed="false">
      <c r="A72" s="17" t="s">
        <v>1052</v>
      </c>
      <c r="B72" s="17" t="s">
        <v>1053</v>
      </c>
      <c r="C72" s="17" t="s">
        <v>1503</v>
      </c>
      <c r="D72" s="17" t="s">
        <v>77</v>
      </c>
      <c r="E72" s="18" t="n">
        <v>130702</v>
      </c>
      <c r="F72" s="17" t="s">
        <v>670</v>
      </c>
      <c r="G72" s="23" t="n">
        <v>6.03659469633212</v>
      </c>
      <c r="H72" s="19" t="n">
        <v>81</v>
      </c>
      <c r="I72" s="17" t="n">
        <f aca="false">IF(H72="","",RANK(H72,$H$5:$H$337))</f>
        <v>68</v>
      </c>
      <c r="J72" s="24" t="n">
        <v>0.0377539758787426</v>
      </c>
      <c r="K72" s="19" t="n">
        <v>25.8</v>
      </c>
      <c r="L72" s="17" t="n">
        <f aca="false">IF(K72="","",RANK(K72,$K$5:$K$337))</f>
        <v>249</v>
      </c>
      <c r="M72" s="25" t="n">
        <v>0.0645773756504618</v>
      </c>
      <c r="N72" s="19" t="n">
        <v>19.9</v>
      </c>
      <c r="O72" s="17" t="n">
        <f aca="false">IF(N72="","",RANK(N72,$N$5:$N$337))</f>
        <v>268</v>
      </c>
      <c r="P72" s="17" t="str">
        <f aca="false">IF(AND(N(H72)&gt;=N(K72),N(H72)&gt;=N(N72)),"The Pulse",IF(N(K72)&gt;=N(N72),"The Lens","The Hub"))</f>
        <v>The Pulse</v>
      </c>
      <c r="Q72" s="20" t="s">
        <v>74</v>
      </c>
      <c r="R72" s="26" t="s">
        <v>668</v>
      </c>
      <c r="S72" s="17" t="s">
        <v>19</v>
      </c>
    </row>
    <row r="73" customFormat="false" ht="15" hidden="false" customHeight="false" outlineLevel="0" collapsed="false">
      <c r="A73" s="17" t="s">
        <v>1504</v>
      </c>
      <c r="B73" s="17" t="s">
        <v>1505</v>
      </c>
      <c r="C73" s="17" t="s">
        <v>1506</v>
      </c>
      <c r="D73" s="17" t="s">
        <v>87</v>
      </c>
      <c r="E73" s="18" t="n">
        <v>59040</v>
      </c>
      <c r="F73" s="17" t="s">
        <v>667</v>
      </c>
      <c r="G73" s="23" t="n">
        <v>6.02730352303523</v>
      </c>
      <c r="H73" s="19" t="n">
        <v>80.8</v>
      </c>
      <c r="I73" s="17" t="n">
        <f aca="false">IF(H73="","",RANK(H73,$H$5:$H$337))</f>
        <v>69</v>
      </c>
      <c r="J73" s="24" t="n">
        <v>0.0886962935644477</v>
      </c>
      <c r="K73" s="19" t="n">
        <v>48.5</v>
      </c>
      <c r="L73" s="17" t="n">
        <f aca="false">IF(K73="","",RANK(K73,$K$5:$K$337))</f>
        <v>172</v>
      </c>
      <c r="M73" s="25" t="n">
        <v>0.251238525426199</v>
      </c>
      <c r="N73" s="19" t="n">
        <v>83.2</v>
      </c>
      <c r="O73" s="17" t="n">
        <f aca="false">IF(N73="","",RANK(N73,$N$5:$N$337))</f>
        <v>60</v>
      </c>
      <c r="P73" s="17" t="str">
        <f aca="false">IF(AND(N(H73)&gt;=N(K73),N(H73)&gt;=N(N73)),"The Pulse",IF(N(K73)&gt;=N(N73),"The Lens","The Hub"))</f>
        <v>The Hub</v>
      </c>
      <c r="Q73" s="21" t="s">
        <v>78</v>
      </c>
      <c r="R73" s="26" t="s">
        <v>668</v>
      </c>
      <c r="S73" s="17" t="s">
        <v>21</v>
      </c>
    </row>
    <row r="74" customFormat="false" ht="15" hidden="false" customHeight="false" outlineLevel="0" collapsed="false">
      <c r="A74" s="17" t="s">
        <v>375</v>
      </c>
      <c r="B74" s="17" t="s">
        <v>376</v>
      </c>
      <c r="C74" s="17" t="s">
        <v>1507</v>
      </c>
      <c r="D74" s="17" t="s">
        <v>77</v>
      </c>
      <c r="E74" s="18" t="n">
        <v>320198</v>
      </c>
      <c r="F74" s="17" t="s">
        <v>670</v>
      </c>
      <c r="G74" s="23" t="n">
        <v>5.97073061043479</v>
      </c>
      <c r="H74" s="19" t="n">
        <v>80.5</v>
      </c>
      <c r="I74" s="17" t="n">
        <f aca="false">IF(H74="","",RANK(H74,$H$5:$H$337))</f>
        <v>70</v>
      </c>
      <c r="J74" s="24" t="n">
        <v>0.02396188100606</v>
      </c>
      <c r="K74" s="19" t="n">
        <v>17.2</v>
      </c>
      <c r="L74" s="17" t="n">
        <f aca="false">IF(K74="","",RANK(K74,$K$5:$K$337))</f>
        <v>277</v>
      </c>
      <c r="M74" s="25" t="n">
        <v>0.266886434091604</v>
      </c>
      <c r="N74" s="19" t="n">
        <v>86.3</v>
      </c>
      <c r="O74" s="17" t="n">
        <f aca="false">IF(N74="","",RANK(N74,$N$5:$N$337))</f>
        <v>50</v>
      </c>
      <c r="P74" s="17" t="str">
        <f aca="false">IF(AND(N(H74)&gt;=N(K74),N(H74)&gt;=N(N74)),"The Pulse",IF(N(K74)&gt;=N(N74),"The Lens","The Hub"))</f>
        <v>The Hub</v>
      </c>
      <c r="Q74" s="20" t="s">
        <v>74</v>
      </c>
      <c r="R74" s="27" t="s">
        <v>671</v>
      </c>
      <c r="S74" s="17" t="s">
        <v>19</v>
      </c>
    </row>
    <row r="75" customFormat="false" ht="15" hidden="false" customHeight="false" outlineLevel="0" collapsed="false">
      <c r="A75" s="17" t="s">
        <v>1508</v>
      </c>
      <c r="B75" s="17" t="s">
        <v>1509</v>
      </c>
      <c r="C75" s="17" t="s">
        <v>1510</v>
      </c>
      <c r="D75" s="17" t="s">
        <v>92</v>
      </c>
      <c r="E75" s="18" t="n">
        <v>4855</v>
      </c>
      <c r="F75" s="17" t="s">
        <v>678</v>
      </c>
      <c r="G75" s="23" t="n">
        <v>5.94459320288363</v>
      </c>
      <c r="H75" s="19" t="n">
        <v>80.3</v>
      </c>
      <c r="I75" s="17" t="n">
        <f aca="false">IF(H75="","",RANK(H75,$H$5:$H$337))</f>
        <v>71</v>
      </c>
      <c r="J75" s="24" t="n">
        <v>0.0465617589997844</v>
      </c>
      <c r="K75" s="19" t="n">
        <v>18.8</v>
      </c>
      <c r="L75" s="17" t="n">
        <f aca="false">IF(K75="","",RANK(K75,$K$5:$K$337))</f>
        <v>271</v>
      </c>
      <c r="M75" s="25" t="n">
        <v>0.296713615023474</v>
      </c>
      <c r="N75" s="19" t="n">
        <v>90.4</v>
      </c>
      <c r="O75" s="17" t="n">
        <f aca="false">IF(N75="","",RANK(N75,$N$5:$N$337))</f>
        <v>37</v>
      </c>
      <c r="P75" s="17" t="str">
        <f aca="false">IF(AND(N(H75)&gt;=N(K75),N(H75)&gt;=N(N75)),"The Pulse",IF(N(K75)&gt;=N(N75),"The Lens","The Hub"))</f>
        <v>The Hub</v>
      </c>
      <c r="Q75" s="20" t="s">
        <v>74</v>
      </c>
      <c r="R75" s="26" t="s">
        <v>668</v>
      </c>
      <c r="S75" s="17" t="s">
        <v>19</v>
      </c>
    </row>
    <row r="76" customFormat="false" ht="15" hidden="false" customHeight="false" outlineLevel="0" collapsed="false">
      <c r="A76" s="17" t="s">
        <v>1511</v>
      </c>
      <c r="B76" s="17" t="s">
        <v>1512</v>
      </c>
      <c r="C76" s="17" t="s">
        <v>1513</v>
      </c>
      <c r="D76" s="17" t="s">
        <v>81</v>
      </c>
      <c r="E76" s="18" t="n">
        <v>187870</v>
      </c>
      <c r="F76" s="17" t="s">
        <v>670</v>
      </c>
      <c r="G76" s="23" t="n">
        <v>5.6462926491723</v>
      </c>
      <c r="H76" s="19" t="n">
        <v>79.7</v>
      </c>
      <c r="I76" s="17" t="n">
        <f aca="false">IF(H76="","",RANK(H76,$H$5:$H$337))</f>
        <v>72</v>
      </c>
      <c r="J76" s="24" t="n">
        <v>0.0201455256298871</v>
      </c>
      <c r="K76" s="19" t="n">
        <v>16.6</v>
      </c>
      <c r="L76" s="17" t="n">
        <f aca="false">IF(K76="","",RANK(K76,$K$5:$K$337))</f>
        <v>280</v>
      </c>
      <c r="M76" s="25" t="n">
        <v>0.0615051769432854</v>
      </c>
      <c r="N76" s="19" t="n">
        <v>18.7</v>
      </c>
      <c r="O76" s="17" t="n">
        <f aca="false">IF(N76="","",RANK(N76,$N$5:$N$337))</f>
        <v>272</v>
      </c>
      <c r="P76" s="17" t="str">
        <f aca="false">IF(AND(N(H76)&gt;=N(K76),N(H76)&gt;=N(N76)),"The Pulse",IF(N(K76)&gt;=N(N76),"The Lens","The Hub"))</f>
        <v>The Pulse</v>
      </c>
      <c r="Q76" s="21" t="s">
        <v>78</v>
      </c>
      <c r="R76" s="26" t="s">
        <v>668</v>
      </c>
      <c r="S76" s="17" t="s">
        <v>21</v>
      </c>
    </row>
    <row r="77" customFormat="false" ht="15" hidden="false" customHeight="false" outlineLevel="0" collapsed="false">
      <c r="A77" s="17" t="s">
        <v>457</v>
      </c>
      <c r="B77" s="17" t="s">
        <v>458</v>
      </c>
      <c r="C77" s="17" t="s">
        <v>1514</v>
      </c>
      <c r="D77" s="17" t="s">
        <v>92</v>
      </c>
      <c r="E77" s="18" t="n">
        <v>285010</v>
      </c>
      <c r="F77" s="17" t="s">
        <v>670</v>
      </c>
      <c r="G77" s="23" t="n">
        <v>5.64319497561489</v>
      </c>
      <c r="H77" s="19" t="n">
        <v>79.5</v>
      </c>
      <c r="I77" s="17" t="n">
        <f aca="false">IF(H77="","",RANK(H77,$H$5:$H$337))</f>
        <v>73</v>
      </c>
      <c r="J77" s="24" t="n">
        <v>0.0933747650285802</v>
      </c>
      <c r="K77" s="19" t="n">
        <v>59.6</v>
      </c>
      <c r="L77" s="17" t="n">
        <f aca="false">IF(K77="","",RANK(K77,$K$5:$K$337))</f>
        <v>131</v>
      </c>
      <c r="M77" s="25" t="n">
        <v>0.145396526469973</v>
      </c>
      <c r="N77" s="19" t="n">
        <v>54.7</v>
      </c>
      <c r="O77" s="17" t="n">
        <f aca="false">IF(N77="","",RANK(N77,$N$5:$N$337))</f>
        <v>151</v>
      </c>
      <c r="P77" s="17" t="str">
        <f aca="false">IF(AND(N(H77)&gt;=N(K77),N(H77)&gt;=N(N77)),"The Pulse",IF(N(K77)&gt;=N(N77),"The Lens","The Hub"))</f>
        <v>The Pulse</v>
      </c>
      <c r="Q77" s="21" t="s">
        <v>78</v>
      </c>
      <c r="R77" s="27" t="s">
        <v>671</v>
      </c>
      <c r="S77" s="17" t="s">
        <v>21</v>
      </c>
    </row>
    <row r="78" customFormat="false" ht="15" hidden="false" customHeight="false" outlineLevel="0" collapsed="false">
      <c r="A78" s="17" t="s">
        <v>123</v>
      </c>
      <c r="B78" s="17" t="s">
        <v>124</v>
      </c>
      <c r="C78" s="17" t="s">
        <v>1515</v>
      </c>
      <c r="D78" s="17" t="s">
        <v>92</v>
      </c>
      <c r="E78" s="18" t="n">
        <v>118910</v>
      </c>
      <c r="F78" s="17" t="s">
        <v>670</v>
      </c>
      <c r="G78" s="23" t="n">
        <v>5.61053738121268</v>
      </c>
      <c r="H78" s="19" t="n">
        <v>78.9</v>
      </c>
      <c r="I78" s="17" t="n">
        <f aca="false">IF(H78="","",RANK(H78,$H$5:$H$337))</f>
        <v>74</v>
      </c>
      <c r="J78" s="24" t="n">
        <v>0.208557780262222</v>
      </c>
      <c r="K78" s="19" t="n">
        <v>97.4</v>
      </c>
      <c r="L78" s="17" t="n">
        <f aca="false">IF(K78="","",RANK(K78,$K$5:$K$337))</f>
        <v>11</v>
      </c>
      <c r="M78" s="25" t="n">
        <v>0.328814157902998</v>
      </c>
      <c r="N78" s="19" t="n">
        <v>94.6</v>
      </c>
      <c r="O78" s="17" t="n">
        <f aca="false">IF(N78="","",RANK(N78,$N$5:$N$337))</f>
        <v>21</v>
      </c>
      <c r="P78" s="17" t="str">
        <f aca="false">IF(AND(N(H78)&gt;=N(K78),N(H78)&gt;=N(N78)),"The Pulse",IF(N(K78)&gt;=N(N78),"The Lens","The Hub"))</f>
        <v>The Lens</v>
      </c>
      <c r="Q78" s="21" t="s">
        <v>78</v>
      </c>
      <c r="R78" s="27" t="s">
        <v>671</v>
      </c>
      <c r="S78" s="17" t="s">
        <v>21</v>
      </c>
    </row>
    <row r="79" customFormat="false" ht="15" hidden="false" customHeight="false" outlineLevel="0" collapsed="false">
      <c r="A79" s="17" t="s">
        <v>1516</v>
      </c>
      <c r="B79" s="17" t="s">
        <v>1517</v>
      </c>
      <c r="C79" s="17" t="s">
        <v>1518</v>
      </c>
      <c r="D79" s="17" t="s">
        <v>77</v>
      </c>
      <c r="E79" s="18" t="n">
        <v>13010</v>
      </c>
      <c r="F79" s="17" t="s">
        <v>667</v>
      </c>
      <c r="G79" s="23" t="n">
        <v>5.56187548039969</v>
      </c>
      <c r="H79" s="19" t="n">
        <v>78.6</v>
      </c>
      <c r="I79" s="17" t="n">
        <f aca="false">IF(H79="","",RANK(H79,$H$5:$H$337))</f>
        <v>75</v>
      </c>
      <c r="J79" s="24" t="n">
        <v>0.212488350419385</v>
      </c>
      <c r="K79" s="19" t="n">
        <v>95.9</v>
      </c>
      <c r="L79" s="17" t="n">
        <f aca="false">IF(K79="","",RANK(K79,$K$5:$K$337))</f>
        <v>16</v>
      </c>
      <c r="M79" s="25" t="n">
        <v>0.235101148168398</v>
      </c>
      <c r="N79" s="19" t="n">
        <v>79</v>
      </c>
      <c r="O79" s="17" t="n">
        <f aca="false">IF(N79="","",RANK(N79,$N$5:$N$337))</f>
        <v>73</v>
      </c>
      <c r="P79" s="17" t="str">
        <f aca="false">IF(AND(N(H79)&gt;=N(K79),N(H79)&gt;=N(N79)),"The Pulse",IF(N(K79)&gt;=N(N79),"The Lens","The Hub"))</f>
        <v>The Lens</v>
      </c>
      <c r="Q79" s="21" t="s">
        <v>78</v>
      </c>
      <c r="R79" s="26" t="s">
        <v>668</v>
      </c>
      <c r="S79" s="17" t="s">
        <v>21</v>
      </c>
    </row>
    <row r="80" customFormat="false" ht="15" hidden="false" customHeight="false" outlineLevel="0" collapsed="false">
      <c r="A80" s="17" t="s">
        <v>908</v>
      </c>
      <c r="B80" s="17" t="s">
        <v>909</v>
      </c>
      <c r="C80" s="17" t="s">
        <v>1519</v>
      </c>
      <c r="D80" s="17" t="s">
        <v>72</v>
      </c>
      <c r="E80" s="18" t="n">
        <v>6391</v>
      </c>
      <c r="F80" s="17" t="s">
        <v>678</v>
      </c>
      <c r="G80" s="23" t="n">
        <v>5.55953684869348</v>
      </c>
      <c r="H80" s="19" t="n">
        <v>78.4</v>
      </c>
      <c r="I80" s="17" t="n">
        <f aca="false">IF(H80="","",RANK(H80,$H$5:$H$337))</f>
        <v>76</v>
      </c>
      <c r="J80" s="24" t="n">
        <v>0.145756457564576</v>
      </c>
      <c r="K80" s="19" t="n">
        <v>64.6</v>
      </c>
      <c r="L80" s="17" t="n">
        <f aca="false">IF(K80="","",RANK(K80,$K$5:$K$337))</f>
        <v>115</v>
      </c>
      <c r="M80" s="25" t="n">
        <v>0.00461361014994233</v>
      </c>
      <c r="N80" s="19" t="n">
        <v>0.8</v>
      </c>
      <c r="O80" s="17" t="n">
        <f aca="false">IF(N80="","",RANK(N80,$N$5:$N$337))</f>
        <v>331</v>
      </c>
      <c r="P80" s="17" t="str">
        <f aca="false">IF(AND(N(H80)&gt;=N(K80),N(H80)&gt;=N(N80)),"The Pulse",IF(N(K80)&gt;=N(N80),"The Lens","The Hub"))</f>
        <v>The Pulse</v>
      </c>
      <c r="Q80" s="21" t="s">
        <v>78</v>
      </c>
      <c r="R80" s="26" t="s">
        <v>668</v>
      </c>
      <c r="S80" s="17" t="s">
        <v>126</v>
      </c>
    </row>
    <row r="81" customFormat="false" ht="15" hidden="false" customHeight="false" outlineLevel="0" collapsed="false">
      <c r="A81" s="17" t="s">
        <v>421</v>
      </c>
      <c r="B81" s="17" t="s">
        <v>422</v>
      </c>
      <c r="C81" s="17" t="s">
        <v>1520</v>
      </c>
      <c r="D81" s="17" t="s">
        <v>72</v>
      </c>
      <c r="E81" s="18" t="n">
        <v>77930</v>
      </c>
      <c r="F81" s="17" t="s">
        <v>667</v>
      </c>
      <c r="G81" s="23" t="n">
        <v>5.50210445271397</v>
      </c>
      <c r="H81" s="19" t="n">
        <v>77.8</v>
      </c>
      <c r="I81" s="17" t="n">
        <f aca="false">IF(H81="","",RANK(H81,$H$5:$H$337))</f>
        <v>77</v>
      </c>
      <c r="J81" s="24" t="n">
        <v>0.0572513905847239</v>
      </c>
      <c r="K81" s="19" t="n">
        <v>34</v>
      </c>
      <c r="L81" s="17" t="n">
        <f aca="false">IF(K81="","",RANK(K81,$K$5:$K$337))</f>
        <v>223</v>
      </c>
      <c r="M81" s="25" t="n">
        <v>0.0128089482229839</v>
      </c>
      <c r="N81" s="19" t="n">
        <v>2.6</v>
      </c>
      <c r="O81" s="17" t="n">
        <f aca="false">IF(N81="","",RANK(N81,$N$5:$N$337))</f>
        <v>325</v>
      </c>
      <c r="P81" s="17" t="str">
        <f aca="false">IF(AND(N(H81)&gt;=N(K81),N(H81)&gt;=N(N81)),"The Pulse",IF(N(K81)&gt;=N(N81),"The Lens","The Hub"))</f>
        <v>The Pulse</v>
      </c>
      <c r="Q81" s="21" t="s">
        <v>78</v>
      </c>
      <c r="R81" s="27" t="s">
        <v>671</v>
      </c>
      <c r="S81" s="17" t="s">
        <v>21</v>
      </c>
    </row>
    <row r="82" customFormat="false" ht="15" hidden="false" customHeight="false" outlineLevel="0" collapsed="false">
      <c r="A82" s="17" t="s">
        <v>1521</v>
      </c>
      <c r="B82" s="17" t="s">
        <v>1522</v>
      </c>
      <c r="C82" s="17" t="s">
        <v>1523</v>
      </c>
      <c r="D82" s="17" t="s">
        <v>87</v>
      </c>
      <c r="E82" s="18" t="n">
        <v>243330</v>
      </c>
      <c r="F82" s="17" t="s">
        <v>670</v>
      </c>
      <c r="G82" s="23" t="n">
        <v>5.49923560596721</v>
      </c>
      <c r="H82" s="19" t="n">
        <v>77.6</v>
      </c>
      <c r="I82" s="17" t="n">
        <f aca="false">IF(H82="","",RANK(H82,$H$5:$H$337))</f>
        <v>78</v>
      </c>
      <c r="J82" s="24" t="n">
        <v>0.00645241345080035</v>
      </c>
      <c r="K82" s="19" t="n">
        <v>13.2</v>
      </c>
      <c r="L82" s="17" t="n">
        <f aca="false">IF(K82="","",RANK(K82,$K$5:$K$337))</f>
        <v>290</v>
      </c>
      <c r="M82" s="25" t="n">
        <v>0.302752716597759</v>
      </c>
      <c r="N82" s="19" t="n">
        <v>91.2</v>
      </c>
      <c r="O82" s="17" t="n">
        <f aca="false">IF(N82="","",RANK(N82,$N$5:$N$337))</f>
        <v>34</v>
      </c>
      <c r="P82" s="17" t="str">
        <f aca="false">IF(AND(N(H82)&gt;=N(K82),N(H82)&gt;=N(N82)),"The Pulse",IF(N(K82)&gt;=N(N82),"The Lens","The Hub"))</f>
        <v>The Hub</v>
      </c>
      <c r="Q82" s="21" t="s">
        <v>78</v>
      </c>
      <c r="R82" s="26" t="s">
        <v>668</v>
      </c>
      <c r="S82" s="17" t="s">
        <v>21</v>
      </c>
    </row>
    <row r="83" customFormat="false" ht="15" hidden="false" customHeight="false" outlineLevel="0" collapsed="false">
      <c r="A83" s="17" t="s">
        <v>1524</v>
      </c>
      <c r="B83" s="17" t="s">
        <v>1525</v>
      </c>
      <c r="C83" s="17" t="s">
        <v>1526</v>
      </c>
      <c r="D83" s="17" t="s">
        <v>92</v>
      </c>
      <c r="E83" s="18" t="n">
        <v>202079</v>
      </c>
      <c r="F83" s="17" t="s">
        <v>670</v>
      </c>
      <c r="G83" s="23" t="n">
        <v>5.43158863612746</v>
      </c>
      <c r="H83" s="19" t="n">
        <v>77.2</v>
      </c>
      <c r="I83" s="17" t="n">
        <f aca="false">IF(H83="","",RANK(H83,$H$5:$H$337))</f>
        <v>79</v>
      </c>
      <c r="J83" s="24" t="n">
        <v>0.0657894042878616</v>
      </c>
      <c r="K83" s="19" t="n">
        <v>39.7</v>
      </c>
      <c r="L83" s="17" t="n">
        <f aca="false">IF(K83="","",RANK(K83,$K$5:$K$337))</f>
        <v>200</v>
      </c>
      <c r="M83" s="25" t="n">
        <v>0.121806569343066</v>
      </c>
      <c r="N83" s="19" t="n">
        <v>43.3</v>
      </c>
      <c r="O83" s="17" t="n">
        <f aca="false">IF(N83="","",RANK(N83,$N$5:$N$337))</f>
        <v>186</v>
      </c>
      <c r="P83" s="17" t="str">
        <f aca="false">IF(AND(N(H83)&gt;=N(K83),N(H83)&gt;=N(N83)),"The Pulse",IF(N(K83)&gt;=N(N83),"The Lens","The Hub"))</f>
        <v>The Pulse</v>
      </c>
      <c r="Q83" s="20" t="s">
        <v>74</v>
      </c>
      <c r="R83" s="26" t="s">
        <v>668</v>
      </c>
      <c r="S83" s="17" t="s">
        <v>19</v>
      </c>
    </row>
    <row r="84" customFormat="false" ht="15" hidden="false" customHeight="false" outlineLevel="0" collapsed="false">
      <c r="A84" s="17" t="s">
        <v>405</v>
      </c>
      <c r="B84" s="17" t="s">
        <v>406</v>
      </c>
      <c r="C84" s="17" t="s">
        <v>1527</v>
      </c>
      <c r="D84" s="17" t="s">
        <v>92</v>
      </c>
      <c r="E84" s="18" t="n">
        <v>81620</v>
      </c>
      <c r="F84" s="17" t="s">
        <v>667</v>
      </c>
      <c r="G84" s="23" t="n">
        <v>5.43130360205832</v>
      </c>
      <c r="H84" s="19" t="n">
        <v>77</v>
      </c>
      <c r="I84" s="17" t="n">
        <f aca="false">IF(H84="","",RANK(H84,$H$5:$H$337))</f>
        <v>80</v>
      </c>
      <c r="J84" s="24" t="n">
        <v>0.154014732704625</v>
      </c>
      <c r="K84" s="19" t="n">
        <v>80.9</v>
      </c>
      <c r="L84" s="17" t="n">
        <f aca="false">IF(K84="","",RANK(K84,$K$5:$K$337))</f>
        <v>64</v>
      </c>
      <c r="M84" s="25" t="n">
        <v>0.0904770134808158</v>
      </c>
      <c r="N84" s="19" t="n">
        <v>28</v>
      </c>
      <c r="O84" s="17" t="n">
        <f aca="false">IF(N84="","",RANK(N84,$N$5:$N$337))</f>
        <v>240</v>
      </c>
      <c r="P84" s="17" t="str">
        <f aca="false">IF(AND(N(H84)&gt;=N(K84),N(H84)&gt;=N(N84)),"The Pulse",IF(N(K84)&gt;=N(N84),"The Lens","The Hub"))</f>
        <v>The Lens</v>
      </c>
      <c r="Q84" s="20" t="s">
        <v>74</v>
      </c>
      <c r="R84" s="27" t="s">
        <v>671</v>
      </c>
      <c r="S84" s="17" t="s">
        <v>19</v>
      </c>
    </row>
    <row r="85" customFormat="false" ht="15" hidden="false" customHeight="false" outlineLevel="0" collapsed="false">
      <c r="A85" s="17" t="s">
        <v>186</v>
      </c>
      <c r="B85" s="17" t="s">
        <v>187</v>
      </c>
      <c r="C85" s="17" t="s">
        <v>1528</v>
      </c>
      <c r="D85" s="17" t="s">
        <v>133</v>
      </c>
      <c r="E85" s="18" t="n">
        <v>23387</v>
      </c>
      <c r="F85" s="17" t="s">
        <v>667</v>
      </c>
      <c r="G85" s="23" t="n">
        <v>5.42733142344037</v>
      </c>
      <c r="H85" s="19" t="n">
        <v>76.7</v>
      </c>
      <c r="I85" s="17" t="n">
        <f aca="false">IF(H85="","",RANK(H85,$H$5:$H$337))</f>
        <v>81</v>
      </c>
      <c r="J85" s="24" t="n">
        <v>0.102900259372789</v>
      </c>
      <c r="K85" s="19" t="n">
        <v>56.4</v>
      </c>
      <c r="L85" s="17" t="n">
        <f aca="false">IF(K85="","",RANK(K85,$K$5:$K$337))</f>
        <v>143</v>
      </c>
      <c r="M85" s="25" t="n">
        <v>0.0481198215423837</v>
      </c>
      <c r="N85" s="19" t="n">
        <v>12.2</v>
      </c>
      <c r="O85" s="17" t="n">
        <f aca="false">IF(N85="","",RANK(N85,$N$5:$N$337))</f>
        <v>294</v>
      </c>
      <c r="P85" s="17" t="str">
        <f aca="false">IF(AND(N(H85)&gt;=N(K85),N(H85)&gt;=N(N85)),"The Pulse",IF(N(K85)&gt;=N(N85),"The Lens","The Hub"))</f>
        <v>The Pulse</v>
      </c>
      <c r="Q85" s="21" t="s">
        <v>78</v>
      </c>
      <c r="R85" s="27" t="s">
        <v>671</v>
      </c>
      <c r="S85" s="17" t="s">
        <v>126</v>
      </c>
    </row>
    <row r="86" customFormat="false" ht="15" hidden="false" customHeight="false" outlineLevel="0" collapsed="false">
      <c r="A86" s="17" t="s">
        <v>223</v>
      </c>
      <c r="B86" s="17" t="s">
        <v>224</v>
      </c>
      <c r="C86" s="17" t="s">
        <v>1529</v>
      </c>
      <c r="D86" s="17" t="s">
        <v>105</v>
      </c>
      <c r="E86" s="18" t="n">
        <v>27450</v>
      </c>
      <c r="F86" s="17" t="s">
        <v>667</v>
      </c>
      <c r="G86" s="23" t="n">
        <v>5.40462659380692</v>
      </c>
      <c r="H86" s="19" t="n">
        <v>76.5</v>
      </c>
      <c r="I86" s="17" t="n">
        <f aca="false">IF(H86="","",RANK(H86,$H$5:$H$337))</f>
        <v>82</v>
      </c>
      <c r="J86" s="24" t="n">
        <v>0.0342878673700075</v>
      </c>
      <c r="K86" s="19" t="n">
        <v>22.4</v>
      </c>
      <c r="L86" s="17" t="n">
        <f aca="false">IF(K86="","",RANK(K86,$K$5:$K$337))</f>
        <v>259</v>
      </c>
      <c r="M86" s="25" t="n">
        <v>0.291829716589589</v>
      </c>
      <c r="N86" s="19" t="n">
        <v>89.1</v>
      </c>
      <c r="O86" s="17" t="n">
        <f aca="false">IF(N86="","",RANK(N86,$N$5:$N$337))</f>
        <v>41</v>
      </c>
      <c r="P86" s="17" t="str">
        <f aca="false">IF(AND(N(H86)&gt;=N(K86),N(H86)&gt;=N(N86)),"The Pulse",IF(N(K86)&gt;=N(N86),"The Lens","The Hub"))</f>
        <v>The Hub</v>
      </c>
      <c r="Q86" s="21" t="s">
        <v>78</v>
      </c>
      <c r="R86" s="27" t="s">
        <v>671</v>
      </c>
      <c r="S86" s="17" t="s">
        <v>21</v>
      </c>
    </row>
    <row r="87" customFormat="false" ht="15" hidden="false" customHeight="false" outlineLevel="0" collapsed="false">
      <c r="A87" s="17" t="s">
        <v>162</v>
      </c>
      <c r="B87" s="17" t="s">
        <v>163</v>
      </c>
      <c r="C87" s="17" t="s">
        <v>1530</v>
      </c>
      <c r="D87" s="17" t="s">
        <v>102</v>
      </c>
      <c r="E87" s="18" t="n">
        <v>376911</v>
      </c>
      <c r="F87" s="17" t="s">
        <v>670</v>
      </c>
      <c r="G87" s="23" t="n">
        <v>5.3714616978544</v>
      </c>
      <c r="H87" s="19" t="n">
        <v>76.3</v>
      </c>
      <c r="I87" s="17" t="n">
        <f aca="false">IF(H87="","",RANK(H87,$H$5:$H$337))</f>
        <v>83</v>
      </c>
      <c r="J87" s="24" t="n">
        <v>0.271921358476304</v>
      </c>
      <c r="K87" s="19" t="n">
        <v>99.3</v>
      </c>
      <c r="L87" s="17" t="n">
        <f aca="false">IF(K87="","",RANK(K87,$K$5:$K$337))</f>
        <v>5</v>
      </c>
      <c r="M87" s="25" t="n">
        <v>0.0174675116316381</v>
      </c>
      <c r="N87" s="19" t="n">
        <v>3.1</v>
      </c>
      <c r="O87" s="17" t="n">
        <f aca="false">IF(N87="","",RANK(N87,$N$5:$N$337))</f>
        <v>323</v>
      </c>
      <c r="P87" s="17" t="str">
        <f aca="false">IF(AND(N(H87)&gt;=N(K87),N(H87)&gt;=N(N87)),"The Pulse",IF(N(K87)&gt;=N(N87),"The Lens","The Hub"))</f>
        <v>The Lens</v>
      </c>
      <c r="Q87" s="20" t="s">
        <v>74</v>
      </c>
      <c r="R87" s="27" t="s">
        <v>671</v>
      </c>
      <c r="S87" s="17" t="s">
        <v>19</v>
      </c>
    </row>
    <row r="88" customFormat="false" ht="15" hidden="false" customHeight="false" outlineLevel="0" collapsed="false">
      <c r="A88" s="17" t="s">
        <v>1531</v>
      </c>
      <c r="B88" s="17" t="s">
        <v>1532</v>
      </c>
      <c r="C88" s="17" t="s">
        <v>1533</v>
      </c>
      <c r="D88" s="17" t="s">
        <v>105</v>
      </c>
      <c r="E88" s="18" t="n">
        <v>39815</v>
      </c>
      <c r="F88" s="17" t="s">
        <v>667</v>
      </c>
      <c r="G88" s="23" t="n">
        <v>5.36325505462765</v>
      </c>
      <c r="H88" s="19" t="n">
        <v>76.1</v>
      </c>
      <c r="I88" s="17" t="n">
        <f aca="false">IF(H88="","",RANK(H88,$H$5:$H$337))</f>
        <v>84</v>
      </c>
      <c r="J88" s="24" t="n">
        <v>0.148863111726685</v>
      </c>
      <c r="K88" s="19" t="n">
        <v>79.3</v>
      </c>
      <c r="L88" s="17" t="n">
        <f aca="false">IF(K88="","",RANK(K88,$K$5:$K$337))</f>
        <v>69</v>
      </c>
      <c r="M88" s="25" t="n">
        <v>0.101191985797616</v>
      </c>
      <c r="N88" s="19" t="n">
        <v>33.2</v>
      </c>
      <c r="O88" s="17" t="n">
        <f aca="false">IF(N88="","",RANK(N88,$N$5:$N$337))</f>
        <v>222</v>
      </c>
      <c r="P88" s="17" t="str">
        <f aca="false">IF(AND(N(H88)&gt;=N(K88),N(H88)&gt;=N(N88)),"The Pulse",IF(N(K88)&gt;=N(N88),"The Lens","The Hub"))</f>
        <v>The Lens</v>
      </c>
      <c r="Q88" s="20" t="s">
        <v>74</v>
      </c>
      <c r="R88" s="26" t="s">
        <v>668</v>
      </c>
      <c r="S88" s="17" t="s">
        <v>19</v>
      </c>
    </row>
    <row r="89" customFormat="false" ht="15" hidden="false" customHeight="false" outlineLevel="0" collapsed="false">
      <c r="A89" s="17" t="s">
        <v>1534</v>
      </c>
      <c r="B89" s="17" t="s">
        <v>1535</v>
      </c>
      <c r="C89" s="17" t="s">
        <v>1536</v>
      </c>
      <c r="D89" s="17" t="s">
        <v>133</v>
      </c>
      <c r="E89" s="18" t="n">
        <v>5100</v>
      </c>
      <c r="F89" s="17" t="s">
        <v>678</v>
      </c>
      <c r="G89" s="23" t="n">
        <v>5.3378431372549</v>
      </c>
      <c r="H89" s="19" t="n">
        <v>75.9</v>
      </c>
      <c r="I89" s="17" t="n">
        <f aca="false">IF(H89="","",RANK(H89,$H$5:$H$337))</f>
        <v>85</v>
      </c>
      <c r="J89" s="24" t="n">
        <v>0.120879120879121</v>
      </c>
      <c r="K89" s="19" t="n">
        <v>52.1</v>
      </c>
      <c r="L89" s="17" t="n">
        <f aca="false">IF(K89="","",RANK(K89,$K$5:$K$337))</f>
        <v>158</v>
      </c>
      <c r="M89" s="25" t="n">
        <v>0.0691144708423326</v>
      </c>
      <c r="N89" s="19" t="n">
        <v>21.5</v>
      </c>
      <c r="O89" s="17" t="n">
        <f aca="false">IF(N89="","",RANK(N89,$N$5:$N$337))</f>
        <v>263</v>
      </c>
      <c r="P89" s="17" t="str">
        <f aca="false">IF(AND(N(H89)&gt;=N(K89),N(H89)&gt;=N(N89)),"The Pulse",IF(N(K89)&gt;=N(N89),"The Lens","The Hub"))</f>
        <v>The Pulse</v>
      </c>
      <c r="Q89" s="21" t="s">
        <v>78</v>
      </c>
      <c r="R89" s="26" t="s">
        <v>668</v>
      </c>
      <c r="S89" s="17" t="s">
        <v>21</v>
      </c>
    </row>
    <row r="90" customFormat="false" ht="15" hidden="false" customHeight="false" outlineLevel="0" collapsed="false">
      <c r="A90" s="17" t="s">
        <v>483</v>
      </c>
      <c r="B90" s="17" t="s">
        <v>484</v>
      </c>
      <c r="C90" s="17" t="s">
        <v>1537</v>
      </c>
      <c r="D90" s="17" t="s">
        <v>138</v>
      </c>
      <c r="E90" s="18" t="n">
        <v>460261</v>
      </c>
      <c r="F90" s="17" t="s">
        <v>670</v>
      </c>
      <c r="G90" s="23" t="n">
        <v>5.2533910107526</v>
      </c>
      <c r="H90" s="19" t="n">
        <v>75.3</v>
      </c>
      <c r="I90" s="17" t="n">
        <f aca="false">IF(H90="","",RANK(H90,$H$5:$H$337))</f>
        <v>86</v>
      </c>
      <c r="J90" s="24" t="n">
        <v>0.127231448577188</v>
      </c>
      <c r="K90" s="19" t="n">
        <v>72.8</v>
      </c>
      <c r="L90" s="17" t="n">
        <f aca="false">IF(K90="","",RANK(K90,$K$5:$K$337))</f>
        <v>91</v>
      </c>
      <c r="M90" s="25" t="n">
        <v>0.128498328591365</v>
      </c>
      <c r="N90" s="19" t="n">
        <v>48.4</v>
      </c>
      <c r="O90" s="17" t="n">
        <f aca="false">IF(N90="","",RANK(N90,$N$5:$N$337))</f>
        <v>171</v>
      </c>
      <c r="P90" s="17" t="str">
        <f aca="false">IF(AND(N(H90)&gt;=N(K90),N(H90)&gt;=N(N90)),"The Pulse",IF(N(K90)&gt;=N(N90),"The Lens","The Hub"))</f>
        <v>The Pulse</v>
      </c>
      <c r="Q90" s="20" t="s">
        <v>74</v>
      </c>
      <c r="R90" s="27" t="s">
        <v>671</v>
      </c>
      <c r="S90" s="17" t="s">
        <v>19</v>
      </c>
    </row>
    <row r="91" customFormat="false" ht="15" hidden="false" customHeight="false" outlineLevel="0" collapsed="false">
      <c r="A91" s="17" t="s">
        <v>168</v>
      </c>
      <c r="B91" s="17" t="s">
        <v>169</v>
      </c>
      <c r="C91" s="17" t="s">
        <v>1538</v>
      </c>
      <c r="D91" s="17" t="s">
        <v>92</v>
      </c>
      <c r="E91" s="18" t="n">
        <v>36350</v>
      </c>
      <c r="F91" s="17" t="s">
        <v>667</v>
      </c>
      <c r="G91" s="23" t="n">
        <v>5.20514442916094</v>
      </c>
      <c r="H91" s="19" t="n">
        <v>75.1</v>
      </c>
      <c r="I91" s="17" t="n">
        <f aca="false">IF(H91="","",RANK(H91,$H$5:$H$337))</f>
        <v>87</v>
      </c>
      <c r="J91" s="24" t="n">
        <v>-0.0340154132341217</v>
      </c>
      <c r="K91" s="19" t="n">
        <v>5.8</v>
      </c>
      <c r="L91" s="17" t="n">
        <f aca="false">IF(K91="","",RANK(K91,$K$5:$K$337))</f>
        <v>314</v>
      </c>
      <c r="M91" s="25" t="n">
        <v>0.0510246565203312</v>
      </c>
      <c r="N91" s="19" t="n">
        <v>14.2</v>
      </c>
      <c r="O91" s="17" t="n">
        <f aca="false">IF(N91="","",RANK(N91,$N$5:$N$337))</f>
        <v>287</v>
      </c>
      <c r="P91" s="17" t="str">
        <f aca="false">IF(AND(N(H91)&gt;=N(K91),N(H91)&gt;=N(N91)),"The Pulse",IF(N(K91)&gt;=N(N91),"The Lens","The Hub"))</f>
        <v>The Pulse</v>
      </c>
      <c r="Q91" s="21" t="s">
        <v>78</v>
      </c>
      <c r="R91" s="27" t="s">
        <v>671</v>
      </c>
      <c r="S91" s="17" t="s">
        <v>21</v>
      </c>
    </row>
    <row r="92" customFormat="false" ht="15" hidden="false" customHeight="false" outlineLevel="0" collapsed="false">
      <c r="A92" s="17" t="s">
        <v>1539</v>
      </c>
      <c r="B92" s="17" t="s">
        <v>1540</v>
      </c>
      <c r="C92" s="17" t="s">
        <v>1541</v>
      </c>
      <c r="D92" s="17" t="s">
        <v>133</v>
      </c>
      <c r="E92" s="18" t="n">
        <v>255630</v>
      </c>
      <c r="F92" s="17" t="s">
        <v>670</v>
      </c>
      <c r="G92" s="23" t="n">
        <v>5.19215272072918</v>
      </c>
      <c r="H92" s="19" t="n">
        <v>74.6</v>
      </c>
      <c r="I92" s="17" t="n">
        <f aca="false">IF(H92="","",RANK(H92,$H$5:$H$337))</f>
        <v>88</v>
      </c>
      <c r="J92" s="24" t="n">
        <v>-0.0167698757644525</v>
      </c>
      <c r="K92" s="19" t="n">
        <v>6.6</v>
      </c>
      <c r="L92" s="17" t="n">
        <f aca="false">IF(K92="","",RANK(K92,$K$5:$K$337))</f>
        <v>310</v>
      </c>
      <c r="M92" s="25" t="n">
        <v>0.117982663514578</v>
      </c>
      <c r="N92" s="19" t="n">
        <v>40.9</v>
      </c>
      <c r="O92" s="17" t="n">
        <f aca="false">IF(N92="","",RANK(N92,$N$5:$N$337))</f>
        <v>195</v>
      </c>
      <c r="P92" s="17" t="str">
        <f aca="false">IF(AND(N(H92)&gt;=N(K92),N(H92)&gt;=N(N92)),"The Pulse",IF(N(K92)&gt;=N(N92),"The Lens","The Hub"))</f>
        <v>The Pulse</v>
      </c>
      <c r="Q92" s="21" t="s">
        <v>78</v>
      </c>
      <c r="R92" s="26" t="s">
        <v>668</v>
      </c>
      <c r="S92" s="17" t="s">
        <v>21</v>
      </c>
    </row>
    <row r="93" customFormat="false" ht="15" hidden="false" customHeight="false" outlineLevel="0" collapsed="false">
      <c r="A93" s="17" t="s">
        <v>1542</v>
      </c>
      <c r="B93" s="17" t="s">
        <v>1543</v>
      </c>
      <c r="C93" s="17" t="s">
        <v>1544</v>
      </c>
      <c r="D93" s="17" t="s">
        <v>133</v>
      </c>
      <c r="E93" s="18" t="n">
        <v>27330</v>
      </c>
      <c r="F93" s="17" t="s">
        <v>667</v>
      </c>
      <c r="G93" s="23" t="n">
        <v>5.11522136845957</v>
      </c>
      <c r="H93" s="19" t="n">
        <v>74</v>
      </c>
      <c r="I93" s="17" t="n">
        <f aca="false">IF(H93="","",RANK(H93,$H$5:$H$337))</f>
        <v>89</v>
      </c>
      <c r="J93" s="24" t="n">
        <v>0.0539915156189742</v>
      </c>
      <c r="K93" s="19" t="n">
        <v>30.7</v>
      </c>
      <c r="L93" s="17" t="n">
        <f aca="false">IF(K93="","",RANK(K93,$K$5:$K$337))</f>
        <v>235</v>
      </c>
      <c r="M93" s="25" t="n">
        <v>0.214481003111153</v>
      </c>
      <c r="N93" s="19" t="n">
        <v>74.6</v>
      </c>
      <c r="O93" s="17" t="n">
        <f aca="false">IF(N93="","",RANK(N93,$N$5:$N$337))</f>
        <v>88</v>
      </c>
      <c r="P93" s="17" t="str">
        <f aca="false">IF(AND(N(H93)&gt;=N(K93),N(H93)&gt;=N(N93)),"The Pulse",IF(N(K93)&gt;=N(N93),"The Lens","The Hub"))</f>
        <v>The Hub</v>
      </c>
      <c r="Q93" s="21" t="s">
        <v>78</v>
      </c>
      <c r="R93" s="26" t="s">
        <v>668</v>
      </c>
      <c r="S93" s="17" t="s">
        <v>21</v>
      </c>
    </row>
    <row r="94" customFormat="false" ht="15" hidden="false" customHeight="false" outlineLevel="0" collapsed="false">
      <c r="A94" s="17" t="s">
        <v>1545</v>
      </c>
      <c r="B94" s="17" t="s">
        <v>1546</v>
      </c>
      <c r="C94" s="17" t="s">
        <v>1547</v>
      </c>
      <c r="D94" s="17" t="s">
        <v>81</v>
      </c>
      <c r="E94" s="18" t="n">
        <v>158730</v>
      </c>
      <c r="F94" s="17" t="s">
        <v>670</v>
      </c>
      <c r="G94" s="23" t="n">
        <v>5.07270837270837</v>
      </c>
      <c r="H94" s="19" t="n">
        <v>73.6</v>
      </c>
      <c r="I94" s="17" t="n">
        <f aca="false">IF(H94="","",RANK(H94,$H$5:$H$337))</f>
        <v>90</v>
      </c>
      <c r="J94" s="24" t="n">
        <v>0.12870653487876</v>
      </c>
      <c r="K94" s="19" t="n">
        <v>73.5</v>
      </c>
      <c r="L94" s="17" t="n">
        <f aca="false">IF(K94="","",RANK(K94,$K$5:$K$337))</f>
        <v>89</v>
      </c>
      <c r="M94" s="25" t="n">
        <v>0.240055189568394</v>
      </c>
      <c r="N94" s="19" t="n">
        <v>80.8</v>
      </c>
      <c r="O94" s="17" t="n">
        <f aca="false">IF(N94="","",RANK(N94,$N$5:$N$337))</f>
        <v>67</v>
      </c>
      <c r="P94" s="17" t="str">
        <f aca="false">IF(AND(N(H94)&gt;=N(K94),N(H94)&gt;=N(N94)),"The Pulse",IF(N(K94)&gt;=N(N94),"The Lens","The Hub"))</f>
        <v>The Hub</v>
      </c>
      <c r="Q94" s="21" t="s">
        <v>78</v>
      </c>
      <c r="R94" s="26" t="s">
        <v>668</v>
      </c>
      <c r="S94" s="17" t="s">
        <v>21</v>
      </c>
    </row>
    <row r="95" customFormat="false" ht="15" hidden="false" customHeight="false" outlineLevel="0" collapsed="false">
      <c r="A95" s="17" t="s">
        <v>127</v>
      </c>
      <c r="B95" s="17" t="s">
        <v>128</v>
      </c>
      <c r="C95" s="17" t="s">
        <v>1548</v>
      </c>
      <c r="D95" s="17" t="s">
        <v>92</v>
      </c>
      <c r="E95" s="18" t="n">
        <v>99558</v>
      </c>
      <c r="F95" s="17" t="s">
        <v>667</v>
      </c>
      <c r="G95" s="23" t="n">
        <v>5.01806986882019</v>
      </c>
      <c r="H95" s="19" t="n">
        <v>72.9</v>
      </c>
      <c r="I95" s="17" t="n">
        <f aca="false">IF(H95="","",RANK(H95,$H$5:$H$337))</f>
        <v>91</v>
      </c>
      <c r="J95" s="24" t="n">
        <v>0.155836767864399</v>
      </c>
      <c r="K95" s="19" t="n">
        <v>82.2</v>
      </c>
      <c r="L95" s="17" t="n">
        <f aca="false">IF(K95="","",RANK(K95,$K$5:$K$337))</f>
        <v>58</v>
      </c>
      <c r="M95" s="25" t="n">
        <v>0.0481820076829159</v>
      </c>
      <c r="N95" s="19" t="n">
        <v>12.4</v>
      </c>
      <c r="O95" s="17" t="n">
        <f aca="false">IF(N95="","",RANK(N95,$N$5:$N$337))</f>
        <v>293</v>
      </c>
      <c r="P95" s="17" t="str">
        <f aca="false">IF(AND(N(H95)&gt;=N(K95),N(H95)&gt;=N(N95)),"The Pulse",IF(N(K95)&gt;=N(N95),"The Lens","The Hub"))</f>
        <v>The Lens</v>
      </c>
      <c r="Q95" s="20" t="s">
        <v>74</v>
      </c>
      <c r="R95" s="27" t="s">
        <v>671</v>
      </c>
      <c r="S95" s="17" t="s">
        <v>19</v>
      </c>
    </row>
    <row r="96" customFormat="false" ht="15" hidden="false" customHeight="false" outlineLevel="0" collapsed="false">
      <c r="A96" s="17" t="s">
        <v>696</v>
      </c>
      <c r="B96" s="17" t="s">
        <v>697</v>
      </c>
      <c r="C96" s="17" t="s">
        <v>1549</v>
      </c>
      <c r="D96" s="17" t="s">
        <v>77</v>
      </c>
      <c r="E96" s="18" t="n">
        <v>24730</v>
      </c>
      <c r="F96" s="17" t="s">
        <v>667</v>
      </c>
      <c r="G96" s="23" t="n">
        <v>5.01552769915083</v>
      </c>
      <c r="H96" s="19" t="n">
        <v>72.7</v>
      </c>
      <c r="I96" s="17" t="n">
        <f aca="false">IF(H96="","",RANK(H96,$H$5:$H$337))</f>
        <v>92</v>
      </c>
      <c r="J96" s="24" t="n">
        <v>0.0947321823815848</v>
      </c>
      <c r="K96" s="19" t="n">
        <v>53.1</v>
      </c>
      <c r="L96" s="17" t="n">
        <f aca="false">IF(K96="","",RANK(K96,$K$5:$K$337))</f>
        <v>153</v>
      </c>
      <c r="M96" s="25" t="n">
        <v>0.141011604992336</v>
      </c>
      <c r="N96" s="19" t="n">
        <v>51.6</v>
      </c>
      <c r="O96" s="17" t="n">
        <f aca="false">IF(N96="","",RANK(N96,$N$5:$N$337))</f>
        <v>160</v>
      </c>
      <c r="P96" s="17" t="str">
        <f aca="false">IF(AND(N(H96)&gt;=N(K96),N(H96)&gt;=N(N96)),"The Pulse",IF(N(K96)&gt;=N(N96),"The Lens","The Hub"))</f>
        <v>The Pulse</v>
      </c>
      <c r="Q96" s="21" t="s">
        <v>78</v>
      </c>
      <c r="R96" s="26" t="s">
        <v>668</v>
      </c>
      <c r="S96" s="17" t="s">
        <v>21</v>
      </c>
    </row>
    <row r="97" customFormat="false" ht="15" hidden="false" customHeight="false" outlineLevel="0" collapsed="false">
      <c r="A97" s="17" t="s">
        <v>1550</v>
      </c>
      <c r="B97" s="17" t="s">
        <v>1551</v>
      </c>
      <c r="C97" s="17" t="s">
        <v>1552</v>
      </c>
      <c r="D97" s="17" t="s">
        <v>77</v>
      </c>
      <c r="E97" s="18" t="n">
        <v>424950</v>
      </c>
      <c r="F97" s="17" t="s">
        <v>670</v>
      </c>
      <c r="G97" s="23" t="n">
        <v>5.00261677844452</v>
      </c>
      <c r="H97" s="19" t="n">
        <v>72.5</v>
      </c>
      <c r="I97" s="17" t="n">
        <f aca="false">IF(H97="","",RANK(H97,$H$5:$H$337))</f>
        <v>93</v>
      </c>
      <c r="J97" s="24" t="n">
        <v>0.0935972000617634</v>
      </c>
      <c r="K97" s="19" t="n">
        <v>60.3</v>
      </c>
      <c r="L97" s="17" t="n">
        <f aca="false">IF(K97="","",RANK(K97,$K$5:$K$337))</f>
        <v>129</v>
      </c>
      <c r="M97" s="25" t="n">
        <v>0.0334646844587737</v>
      </c>
      <c r="N97" s="19" t="n">
        <v>7.8</v>
      </c>
      <c r="O97" s="17" t="n">
        <f aca="false">IF(N97="","",RANK(N97,$N$5:$N$337))</f>
        <v>306</v>
      </c>
      <c r="P97" s="17" t="str">
        <f aca="false">IF(AND(N(H97)&gt;=N(K97),N(H97)&gt;=N(N97)),"The Pulse",IF(N(K97)&gt;=N(N97),"The Lens","The Hub"))</f>
        <v>The Pulse</v>
      </c>
      <c r="Q97" s="21" t="s">
        <v>78</v>
      </c>
      <c r="R97" s="26" t="s">
        <v>668</v>
      </c>
      <c r="S97" s="17" t="s">
        <v>21</v>
      </c>
    </row>
    <row r="98" customFormat="false" ht="15" hidden="false" customHeight="false" outlineLevel="0" collapsed="false">
      <c r="A98" s="17" t="s">
        <v>1553</v>
      </c>
      <c r="B98" s="17" t="s">
        <v>1554</v>
      </c>
      <c r="C98" s="17" t="s">
        <v>1555</v>
      </c>
      <c r="D98" s="17" t="s">
        <v>87</v>
      </c>
      <c r="E98" s="18" t="n">
        <v>74970</v>
      </c>
      <c r="F98" s="17" t="s">
        <v>667</v>
      </c>
      <c r="G98" s="23" t="n">
        <v>4.99294384420435</v>
      </c>
      <c r="H98" s="19" t="n">
        <v>72.3</v>
      </c>
      <c r="I98" s="17" t="n">
        <f aca="false">IF(H98="","",RANK(H98,$H$5:$H$337))</f>
        <v>94</v>
      </c>
      <c r="J98" s="24" t="n">
        <v>0.0912663755458515</v>
      </c>
      <c r="K98" s="19" t="n">
        <v>51.5</v>
      </c>
      <c r="L98" s="17" t="n">
        <f aca="false">IF(K98="","",RANK(K98,$K$5:$K$337))</f>
        <v>161</v>
      </c>
      <c r="M98" s="25" t="n">
        <v>0.071858993672793</v>
      </c>
      <c r="N98" s="19" t="n">
        <v>21.8</v>
      </c>
      <c r="O98" s="17" t="n">
        <f aca="false">IF(N98="","",RANK(N98,$N$5:$N$337))</f>
        <v>262</v>
      </c>
      <c r="P98" s="17" t="str">
        <f aca="false">IF(AND(N(H98)&gt;=N(K98),N(H98)&gt;=N(N98)),"The Pulse",IF(N(K98)&gt;=N(N98),"The Lens","The Hub"))</f>
        <v>The Pulse</v>
      </c>
      <c r="Q98" s="21" t="s">
        <v>78</v>
      </c>
      <c r="R98" s="26" t="s">
        <v>668</v>
      </c>
      <c r="S98" s="17" t="s">
        <v>21</v>
      </c>
    </row>
    <row r="99" customFormat="false" ht="15" hidden="false" customHeight="false" outlineLevel="0" collapsed="false">
      <c r="A99" s="17" t="s">
        <v>192</v>
      </c>
      <c r="B99" s="17" t="s">
        <v>193</v>
      </c>
      <c r="C99" s="17" t="s">
        <v>1556</v>
      </c>
      <c r="D99" s="17" t="s">
        <v>92</v>
      </c>
      <c r="E99" s="18" t="n">
        <v>13030</v>
      </c>
      <c r="F99" s="17" t="s">
        <v>667</v>
      </c>
      <c r="G99" s="23" t="n">
        <v>4.92233307751343</v>
      </c>
      <c r="H99" s="19" t="n">
        <v>71.9</v>
      </c>
      <c r="I99" s="17" t="n">
        <f aca="false">IF(H99="","",RANK(H99,$H$5:$H$337))</f>
        <v>95</v>
      </c>
      <c r="J99" s="24" t="n">
        <v>0.056772100567721</v>
      </c>
      <c r="K99" s="19" t="n">
        <v>33.6</v>
      </c>
      <c r="L99" s="17" t="n">
        <f aca="false">IF(K99="","",RANK(K99,$K$5:$K$337))</f>
        <v>225</v>
      </c>
      <c r="M99" s="25" t="n">
        <v>0.0507726269315673</v>
      </c>
      <c r="N99" s="19" t="n">
        <v>13.7</v>
      </c>
      <c r="O99" s="17" t="n">
        <f aca="false">IF(N99="","",RANK(N99,$N$5:$N$337))</f>
        <v>289</v>
      </c>
      <c r="P99" s="17" t="str">
        <f aca="false">IF(AND(N(H99)&gt;=N(K99),N(H99)&gt;=N(N99)),"The Pulse",IF(N(K99)&gt;=N(N99),"The Lens","The Hub"))</f>
        <v>The Pulse</v>
      </c>
      <c r="Q99" s="21" t="s">
        <v>78</v>
      </c>
      <c r="R99" s="27" t="s">
        <v>671</v>
      </c>
      <c r="S99" s="17" t="s">
        <v>21</v>
      </c>
    </row>
    <row r="100" customFormat="false" ht="15" hidden="false" customHeight="false" outlineLevel="0" collapsed="false">
      <c r="A100" s="17" t="s">
        <v>1557</v>
      </c>
      <c r="B100" s="17" t="s">
        <v>1558</v>
      </c>
      <c r="C100" s="17" t="s">
        <v>1559</v>
      </c>
      <c r="D100" s="17" t="s">
        <v>133</v>
      </c>
      <c r="E100" s="18" t="n">
        <v>9940</v>
      </c>
      <c r="F100" s="17" t="s">
        <v>678</v>
      </c>
      <c r="G100" s="23" t="n">
        <v>4.8489939637827</v>
      </c>
      <c r="H100" s="19" t="n">
        <v>71.5</v>
      </c>
      <c r="I100" s="17" t="n">
        <f aca="false">IF(H100="","",RANK(H100,$H$5:$H$337))</f>
        <v>96</v>
      </c>
      <c r="J100" s="24" t="n">
        <v>0.138602520045819</v>
      </c>
      <c r="K100" s="19" t="n">
        <v>60.4</v>
      </c>
      <c r="L100" s="17" t="n">
        <f aca="false">IF(K100="","",RANK(K100,$K$5:$K$337))</f>
        <v>128</v>
      </c>
      <c r="M100" s="25" t="n">
        <v>0.159240321402484</v>
      </c>
      <c r="N100" s="19" t="n">
        <v>60.4</v>
      </c>
      <c r="O100" s="17" t="n">
        <f aca="false">IF(N100="","",RANK(N100,$N$5:$N$337))</f>
        <v>134</v>
      </c>
      <c r="P100" s="17" t="str">
        <f aca="false">IF(AND(N(H100)&gt;=N(K100),N(H100)&gt;=N(N100)),"The Pulse",IF(N(K100)&gt;=N(N100),"The Lens","The Hub"))</f>
        <v>The Pulse</v>
      </c>
      <c r="Q100" s="21" t="s">
        <v>78</v>
      </c>
      <c r="R100" s="26" t="s">
        <v>668</v>
      </c>
      <c r="S100" s="17" t="s">
        <v>21</v>
      </c>
    </row>
    <row r="101" customFormat="false" ht="15" hidden="false" customHeight="false" outlineLevel="0" collapsed="false">
      <c r="A101" s="17" t="s">
        <v>136</v>
      </c>
      <c r="B101" s="17" t="s">
        <v>137</v>
      </c>
      <c r="C101" s="17" t="s">
        <v>1560</v>
      </c>
      <c r="D101" s="17" t="s">
        <v>138</v>
      </c>
      <c r="E101" s="18" t="n">
        <v>60738</v>
      </c>
      <c r="F101" s="17" t="s">
        <v>667</v>
      </c>
      <c r="G101" s="23" t="n">
        <v>4.82972768283447</v>
      </c>
      <c r="H101" s="19" t="n">
        <v>71.2</v>
      </c>
      <c r="I101" s="17" t="n">
        <f aca="false">IF(H101="","",RANK(H101,$H$5:$H$337))</f>
        <v>97</v>
      </c>
      <c r="J101" s="24" t="n">
        <v>-0.154125757259244</v>
      </c>
      <c r="K101" s="19" t="n">
        <v>0.8</v>
      </c>
      <c r="L101" s="17" t="n">
        <f aca="false">IF(K101="","",RANK(K101,$K$5:$K$337))</f>
        <v>332</v>
      </c>
      <c r="M101" s="25" t="n">
        <v>0.0979676915059927</v>
      </c>
      <c r="N101" s="19" t="n">
        <v>31.6</v>
      </c>
      <c r="O101" s="17" t="n">
        <f aca="false">IF(N101="","",RANK(N101,$N$5:$N$337))</f>
        <v>227</v>
      </c>
      <c r="P101" s="17" t="str">
        <f aca="false">IF(AND(N(H101)&gt;=N(K101),N(H101)&gt;=N(N101)),"The Pulse",IF(N(K101)&gt;=N(N101),"The Lens","The Hub"))</f>
        <v>The Pulse</v>
      </c>
      <c r="Q101" s="20" t="s">
        <v>74</v>
      </c>
      <c r="R101" s="27" t="s">
        <v>671</v>
      </c>
      <c r="S101" s="17" t="s">
        <v>19</v>
      </c>
    </row>
    <row r="102" customFormat="false" ht="15" hidden="false" customHeight="false" outlineLevel="0" collapsed="false">
      <c r="A102" s="17" t="s">
        <v>275</v>
      </c>
      <c r="B102" s="17" t="s">
        <v>276</v>
      </c>
      <c r="C102" s="17" t="s">
        <v>1561</v>
      </c>
      <c r="D102" s="17" t="s">
        <v>77</v>
      </c>
      <c r="E102" s="18" t="n">
        <v>29110</v>
      </c>
      <c r="F102" s="17" t="s">
        <v>667</v>
      </c>
      <c r="G102" s="23" t="n">
        <v>4.71700446581931</v>
      </c>
      <c r="H102" s="19" t="n">
        <v>70.4</v>
      </c>
      <c r="I102" s="17" t="n">
        <f aca="false">IF(H102="","",RANK(H102,$H$5:$H$337))</f>
        <v>98</v>
      </c>
      <c r="J102" s="24" t="n">
        <v>0.105163249810175</v>
      </c>
      <c r="K102" s="19" t="n">
        <v>58.1</v>
      </c>
      <c r="L102" s="17" t="n">
        <f aca="false">IF(K102="","",RANK(K102,$K$5:$K$337))</f>
        <v>138</v>
      </c>
      <c r="M102" s="25" t="n">
        <v>0.103551775887944</v>
      </c>
      <c r="N102" s="19" t="n">
        <v>33.9</v>
      </c>
      <c r="O102" s="17" t="n">
        <f aca="false">IF(N102="","",RANK(N102,$N$5:$N$337))</f>
        <v>219</v>
      </c>
      <c r="P102" s="17" t="str">
        <f aca="false">IF(AND(N(H102)&gt;=N(K102),N(H102)&gt;=N(N102)),"The Pulse",IF(N(K102)&gt;=N(N102),"The Lens","The Hub"))</f>
        <v>The Pulse</v>
      </c>
      <c r="Q102" s="21" t="s">
        <v>78</v>
      </c>
      <c r="R102" s="27" t="s">
        <v>671</v>
      </c>
      <c r="S102" s="17" t="s">
        <v>21</v>
      </c>
    </row>
    <row r="103" customFormat="false" ht="15" hidden="false" customHeight="false" outlineLevel="0" collapsed="false">
      <c r="A103" s="17" t="s">
        <v>261</v>
      </c>
      <c r="B103" s="17" t="s">
        <v>262</v>
      </c>
      <c r="C103" s="17" t="s">
        <v>1562</v>
      </c>
      <c r="D103" s="17" t="s">
        <v>81</v>
      </c>
      <c r="E103" s="18" t="n">
        <v>119520</v>
      </c>
      <c r="F103" s="17" t="s">
        <v>670</v>
      </c>
      <c r="G103" s="23" t="n">
        <v>4.68613621151272</v>
      </c>
      <c r="H103" s="19" t="n">
        <v>70.2</v>
      </c>
      <c r="I103" s="17" t="n">
        <f aca="false">IF(H103="","",RANK(H103,$H$5:$H$337))</f>
        <v>99</v>
      </c>
      <c r="J103" s="24" t="n">
        <v>0.0940045766590389</v>
      </c>
      <c r="K103" s="19" t="n">
        <v>61.6</v>
      </c>
      <c r="L103" s="17" t="n">
        <f aca="false">IF(K103="","",RANK(K103,$K$5:$K$337))</f>
        <v>125</v>
      </c>
      <c r="M103" s="25" t="n">
        <v>0.0528040445651156</v>
      </c>
      <c r="N103" s="19" t="n">
        <v>14.5</v>
      </c>
      <c r="O103" s="17" t="n">
        <f aca="false">IF(N103="","",RANK(N103,$N$5:$N$337))</f>
        <v>286</v>
      </c>
      <c r="P103" s="17" t="str">
        <f aca="false">IF(AND(N(H103)&gt;=N(K103),N(H103)&gt;=N(N103)),"The Pulse",IF(N(K103)&gt;=N(N103),"The Lens","The Hub"))</f>
        <v>The Pulse</v>
      </c>
      <c r="Q103" s="21" t="s">
        <v>78</v>
      </c>
      <c r="R103" s="27" t="s">
        <v>671</v>
      </c>
      <c r="S103" s="17" t="s">
        <v>21</v>
      </c>
    </row>
    <row r="104" customFormat="false" ht="15" hidden="false" customHeight="false" outlineLevel="0" collapsed="false">
      <c r="A104" s="17" t="s">
        <v>389</v>
      </c>
      <c r="B104" s="17" t="s">
        <v>390</v>
      </c>
      <c r="C104" s="17" t="s">
        <v>1563</v>
      </c>
      <c r="D104" s="17" t="s">
        <v>133</v>
      </c>
      <c r="E104" s="18" t="n">
        <v>12510</v>
      </c>
      <c r="F104" s="17" t="s">
        <v>667</v>
      </c>
      <c r="G104" s="23" t="n">
        <v>4.6308553157474</v>
      </c>
      <c r="H104" s="19" t="n">
        <v>70</v>
      </c>
      <c r="I104" s="17" t="n">
        <f aca="false">IF(H104="","",RANK(H104,$H$5:$H$337))</f>
        <v>100</v>
      </c>
      <c r="J104" s="24" t="n">
        <v>0.160482374768089</v>
      </c>
      <c r="K104" s="19" t="n">
        <v>83.8</v>
      </c>
      <c r="L104" s="17" t="n">
        <f aca="false">IF(K104="","",RANK(K104,$K$5:$K$337))</f>
        <v>53</v>
      </c>
      <c r="M104" s="25" t="n">
        <v>0.143134715025907</v>
      </c>
      <c r="N104" s="19" t="n">
        <v>53.9</v>
      </c>
      <c r="O104" s="17" t="n">
        <f aca="false">IF(N104="","",RANK(N104,$N$5:$N$337))</f>
        <v>153</v>
      </c>
      <c r="P104" s="17" t="str">
        <f aca="false">IF(AND(N(H104)&gt;=N(K104),N(H104)&gt;=N(N104)),"The Pulse",IF(N(K104)&gt;=N(N104),"The Lens","The Hub"))</f>
        <v>The Lens</v>
      </c>
      <c r="Q104" s="21" t="s">
        <v>78</v>
      </c>
      <c r="R104" s="27" t="s">
        <v>671</v>
      </c>
      <c r="S104" s="17" t="s">
        <v>21</v>
      </c>
    </row>
    <row r="105" customFormat="false" ht="15" hidden="false" customHeight="false" outlineLevel="0" collapsed="false">
      <c r="A105" s="17" t="s">
        <v>427</v>
      </c>
      <c r="B105" s="17" t="s">
        <v>428</v>
      </c>
      <c r="C105" s="17" t="s">
        <v>1564</v>
      </c>
      <c r="D105" s="17" t="s">
        <v>87</v>
      </c>
      <c r="E105" s="18" t="n">
        <v>222690</v>
      </c>
      <c r="F105" s="17" t="s">
        <v>670</v>
      </c>
      <c r="G105" s="23" t="n">
        <v>4.58721541155867</v>
      </c>
      <c r="H105" s="19" t="n">
        <v>69.8</v>
      </c>
      <c r="I105" s="17" t="n">
        <f aca="false">IF(H105="","",RANK(H105,$H$5:$H$337))</f>
        <v>101</v>
      </c>
      <c r="J105" s="24" t="n">
        <v>0.133801741255537</v>
      </c>
      <c r="K105" s="19" t="n">
        <v>77.5</v>
      </c>
      <c r="L105" s="17" t="n">
        <f aca="false">IF(K105="","",RANK(K105,$K$5:$K$337))</f>
        <v>75</v>
      </c>
      <c r="M105" s="25" t="n">
        <v>0.112025735641972</v>
      </c>
      <c r="N105" s="19" t="n">
        <v>37</v>
      </c>
      <c r="O105" s="17" t="n">
        <f aca="false">IF(N105="","",RANK(N105,$N$5:$N$337))</f>
        <v>208</v>
      </c>
      <c r="P105" s="17" t="str">
        <f aca="false">IF(AND(N(H105)&gt;=N(K105),N(H105)&gt;=N(N105)),"The Pulse",IF(N(K105)&gt;=N(N105),"The Lens","The Hub"))</f>
        <v>The Lens</v>
      </c>
      <c r="Q105" s="21" t="s">
        <v>78</v>
      </c>
      <c r="R105" s="27" t="s">
        <v>671</v>
      </c>
      <c r="S105" s="17" t="s">
        <v>21</v>
      </c>
    </row>
    <row r="106" customFormat="false" ht="15" hidden="false" customHeight="false" outlineLevel="0" collapsed="false">
      <c r="A106" s="17" t="s">
        <v>285</v>
      </c>
      <c r="B106" s="17" t="s">
        <v>286</v>
      </c>
      <c r="C106" s="17" t="s">
        <v>1565</v>
      </c>
      <c r="D106" s="17" t="s">
        <v>114</v>
      </c>
      <c r="E106" s="18" t="n">
        <v>5380</v>
      </c>
      <c r="F106" s="17" t="s">
        <v>678</v>
      </c>
      <c r="G106" s="23" t="n">
        <v>4.58197026022305</v>
      </c>
      <c r="H106" s="19" t="n">
        <v>69.6</v>
      </c>
      <c r="I106" s="17" t="n">
        <f aca="false">IF(H106="","",RANK(H106,$H$5:$H$337))</f>
        <v>102</v>
      </c>
      <c r="J106" s="24" t="n">
        <v>0.172113289760349</v>
      </c>
      <c r="K106" s="19" t="n">
        <v>81.2</v>
      </c>
      <c r="L106" s="17" t="n">
        <f aca="false">IF(K106="","",RANK(K106,$K$5:$K$337))</f>
        <v>63</v>
      </c>
      <c r="M106" s="25" t="n">
        <v>0.0600198412698413</v>
      </c>
      <c r="N106" s="19" t="n">
        <v>17.4</v>
      </c>
      <c r="O106" s="17" t="n">
        <f aca="false">IF(N106="","",RANK(N106,$N$5:$N$337))</f>
        <v>276</v>
      </c>
      <c r="P106" s="17" t="str">
        <f aca="false">IF(AND(N(H106)&gt;=N(K106),N(H106)&gt;=N(N106)),"The Pulse",IF(N(K106)&gt;=N(N106),"The Lens","The Hub"))</f>
        <v>The Lens</v>
      </c>
      <c r="Q106" s="21" t="s">
        <v>78</v>
      </c>
      <c r="R106" s="27" t="s">
        <v>671</v>
      </c>
      <c r="S106" s="17" t="s">
        <v>21</v>
      </c>
    </row>
    <row r="107" customFormat="false" ht="15" hidden="false" customHeight="false" outlineLevel="0" collapsed="false">
      <c r="A107" s="17" t="s">
        <v>1566</v>
      </c>
      <c r="B107" s="17" t="s">
        <v>1567</v>
      </c>
      <c r="C107" s="17" t="s">
        <v>1568</v>
      </c>
      <c r="D107" s="17" t="s">
        <v>92</v>
      </c>
      <c r="E107" s="18" t="n">
        <v>72000</v>
      </c>
      <c r="F107" s="17" t="s">
        <v>667</v>
      </c>
      <c r="G107" s="23" t="n">
        <v>4.569</v>
      </c>
      <c r="H107" s="19" t="n">
        <v>69.3</v>
      </c>
      <c r="I107" s="17" t="n">
        <f aca="false">IF(H107="","",RANK(H107,$H$5:$H$337))</f>
        <v>103</v>
      </c>
      <c r="J107" s="24" t="n">
        <v>0.159382950629609</v>
      </c>
      <c r="K107" s="19" t="n">
        <v>83.4</v>
      </c>
      <c r="L107" s="17" t="n">
        <f aca="false">IF(K107="","",RANK(K107,$K$5:$K$337))</f>
        <v>54</v>
      </c>
      <c r="M107" s="25" t="n">
        <v>0.0537398921832884</v>
      </c>
      <c r="N107" s="19" t="n">
        <v>14.8</v>
      </c>
      <c r="O107" s="17" t="n">
        <f aca="false">IF(N107="","",RANK(N107,$N$5:$N$337))</f>
        <v>285</v>
      </c>
      <c r="P107" s="17" t="str">
        <f aca="false">IF(AND(N(H107)&gt;=N(K107),N(H107)&gt;=N(N107)),"The Pulse",IF(N(K107)&gt;=N(N107),"The Lens","The Hub"))</f>
        <v>The Lens</v>
      </c>
      <c r="Q107" s="20" t="s">
        <v>74</v>
      </c>
      <c r="R107" s="26" t="s">
        <v>668</v>
      </c>
      <c r="S107" s="17" t="s">
        <v>19</v>
      </c>
    </row>
    <row r="108" customFormat="false" ht="15" hidden="false" customHeight="false" outlineLevel="0" collapsed="false">
      <c r="A108" s="17" t="s">
        <v>211</v>
      </c>
      <c r="B108" s="17" t="s">
        <v>212</v>
      </c>
      <c r="C108" s="17" t="s">
        <v>1569</v>
      </c>
      <c r="D108" s="17" t="s">
        <v>105</v>
      </c>
      <c r="E108" s="18" t="n">
        <v>85521</v>
      </c>
      <c r="F108" s="17" t="s">
        <v>667</v>
      </c>
      <c r="G108" s="23" t="n">
        <v>4.56639889617755</v>
      </c>
      <c r="H108" s="19" t="n">
        <v>69.1</v>
      </c>
      <c r="I108" s="17" t="n">
        <f aca="false">IF(H108="","",RANK(H108,$H$5:$H$337))</f>
        <v>104</v>
      </c>
      <c r="J108" s="24" t="n">
        <v>0.196399093478078</v>
      </c>
      <c r="K108" s="19" t="n">
        <v>93.8</v>
      </c>
      <c r="L108" s="17" t="n">
        <f aca="false">IF(K108="","",RANK(K108,$K$5:$K$337))</f>
        <v>22</v>
      </c>
      <c r="M108" s="25" t="n">
        <v>0.0244079090316506</v>
      </c>
      <c r="N108" s="19" t="n">
        <v>3.9</v>
      </c>
      <c r="O108" s="17" t="n">
        <f aca="false">IF(N108="","",RANK(N108,$N$5:$N$337))</f>
        <v>320</v>
      </c>
      <c r="P108" s="17" t="str">
        <f aca="false">IF(AND(N(H108)&gt;=N(K108),N(H108)&gt;=N(N108)),"The Pulse",IF(N(K108)&gt;=N(N108),"The Lens","The Hub"))</f>
        <v>The Lens</v>
      </c>
      <c r="Q108" s="20" t="s">
        <v>74</v>
      </c>
      <c r="R108" s="27" t="s">
        <v>671</v>
      </c>
      <c r="S108" s="17" t="s">
        <v>19</v>
      </c>
    </row>
    <row r="109" customFormat="false" ht="15" hidden="false" customHeight="false" outlineLevel="0" collapsed="false">
      <c r="A109" s="17" t="s">
        <v>1570</v>
      </c>
      <c r="B109" s="17" t="s">
        <v>1571</v>
      </c>
      <c r="C109" s="17" t="s">
        <v>1572</v>
      </c>
      <c r="D109" s="17" t="s">
        <v>133</v>
      </c>
      <c r="E109" s="18" t="n">
        <v>97678</v>
      </c>
      <c r="F109" s="17" t="s">
        <v>667</v>
      </c>
      <c r="G109" s="23" t="n">
        <v>4.51384139724401</v>
      </c>
      <c r="H109" s="19" t="n">
        <v>68.9</v>
      </c>
      <c r="I109" s="17" t="n">
        <f aca="false">IF(H109="","",RANK(H109,$H$5:$H$337))</f>
        <v>105</v>
      </c>
      <c r="J109" s="24" t="n">
        <v>0.174692130075043</v>
      </c>
      <c r="K109" s="19" t="n">
        <v>88</v>
      </c>
      <c r="L109" s="17" t="n">
        <f aca="false">IF(K109="","",RANK(K109,$K$5:$K$337))</f>
        <v>38</v>
      </c>
      <c r="M109" s="25" t="n">
        <v>0.10454888162855</v>
      </c>
      <c r="N109" s="19" t="n">
        <v>34.7</v>
      </c>
      <c r="O109" s="17" t="n">
        <f aca="false">IF(N109="","",RANK(N109,$N$5:$N$337))</f>
        <v>216</v>
      </c>
      <c r="P109" s="17" t="str">
        <f aca="false">IF(AND(N(H109)&gt;=N(K109),N(H109)&gt;=N(N109)),"The Pulse",IF(N(K109)&gt;=N(N109),"The Lens","The Hub"))</f>
        <v>The Lens</v>
      </c>
      <c r="Q109" s="20" t="s">
        <v>74</v>
      </c>
      <c r="R109" s="26" t="s">
        <v>668</v>
      </c>
      <c r="S109" s="17" t="s">
        <v>19</v>
      </c>
    </row>
    <row r="110" customFormat="false" ht="15" hidden="false" customHeight="false" outlineLevel="0" collapsed="false">
      <c r="A110" s="17" t="s">
        <v>215</v>
      </c>
      <c r="B110" s="17" t="s">
        <v>216</v>
      </c>
      <c r="C110" s="17" t="s">
        <v>1573</v>
      </c>
      <c r="D110" s="17" t="s">
        <v>102</v>
      </c>
      <c r="E110" s="18" t="n">
        <v>25880</v>
      </c>
      <c r="F110" s="17" t="s">
        <v>667</v>
      </c>
      <c r="G110" s="23" t="n">
        <v>4.49938176197836</v>
      </c>
      <c r="H110" s="19" t="n">
        <v>68.7</v>
      </c>
      <c r="I110" s="17" t="n">
        <f aca="false">IF(H110="","",RANK(H110,$H$5:$H$337))</f>
        <v>106</v>
      </c>
      <c r="J110" s="24" t="n">
        <v>0.224219489120151</v>
      </c>
      <c r="K110" s="19" t="n">
        <v>96.3</v>
      </c>
      <c r="L110" s="17" t="n">
        <f aca="false">IF(K110="","",RANK(K110,$K$5:$K$337))</f>
        <v>14</v>
      </c>
      <c r="M110" s="25" t="n">
        <v>0.147209226417147</v>
      </c>
      <c r="N110" s="19" t="n">
        <v>55.4</v>
      </c>
      <c r="O110" s="17" t="n">
        <f aca="false">IF(N110="","",RANK(N110,$N$5:$N$337))</f>
        <v>149</v>
      </c>
      <c r="P110" s="17" t="str">
        <f aca="false">IF(AND(N(H110)&gt;=N(K110),N(H110)&gt;=N(N110)),"The Pulse",IF(N(K110)&gt;=N(N110),"The Lens","The Hub"))</f>
        <v>The Lens</v>
      </c>
      <c r="Q110" s="21" t="s">
        <v>78</v>
      </c>
      <c r="R110" s="27" t="s">
        <v>671</v>
      </c>
      <c r="S110" s="17" t="s">
        <v>21</v>
      </c>
    </row>
    <row r="111" customFormat="false" ht="15" hidden="false" customHeight="false" outlineLevel="0" collapsed="false">
      <c r="A111" s="17" t="s">
        <v>1574</v>
      </c>
      <c r="B111" s="17" t="s">
        <v>1575</v>
      </c>
      <c r="C111" s="17" t="s">
        <v>1576</v>
      </c>
      <c r="D111" s="17" t="s">
        <v>77</v>
      </c>
      <c r="E111" s="18" t="n">
        <v>5060</v>
      </c>
      <c r="F111" s="17" t="s">
        <v>678</v>
      </c>
      <c r="G111" s="23" t="n">
        <v>4.44920948616601</v>
      </c>
      <c r="H111" s="19" t="n">
        <v>68.3</v>
      </c>
      <c r="I111" s="17" t="n">
        <f aca="false">IF(H111="","",RANK(H111,$H$5:$H$337))</f>
        <v>107</v>
      </c>
      <c r="J111" s="24" t="n">
        <v>0.147392290249433</v>
      </c>
      <c r="K111" s="19" t="n">
        <v>66.7</v>
      </c>
      <c r="L111" s="17" t="n">
        <f aca="false">IF(K111="","",RANK(K111,$K$5:$K$337))</f>
        <v>110</v>
      </c>
      <c r="M111" s="25" t="n">
        <v>0.0377643504531722</v>
      </c>
      <c r="N111" s="19" t="n">
        <v>9.1</v>
      </c>
      <c r="O111" s="17" t="n">
        <f aca="false">IF(N111="","",RANK(N111,$N$5:$N$337))</f>
        <v>302</v>
      </c>
      <c r="P111" s="17" t="str">
        <f aca="false">IF(AND(N(H111)&gt;=N(K111),N(H111)&gt;=N(N111)),"The Pulse",IF(N(K111)&gt;=N(N111),"The Lens","The Hub"))</f>
        <v>The Pulse</v>
      </c>
      <c r="Q111" s="21" t="s">
        <v>78</v>
      </c>
      <c r="R111" s="26" t="s">
        <v>668</v>
      </c>
      <c r="S111" s="17" t="s">
        <v>21</v>
      </c>
    </row>
    <row r="112" customFormat="false" ht="15" hidden="false" customHeight="false" outlineLevel="0" collapsed="false">
      <c r="A112" s="17" t="s">
        <v>1577</v>
      </c>
      <c r="B112" s="17" t="s">
        <v>1578</v>
      </c>
      <c r="C112" s="17" t="s">
        <v>1579</v>
      </c>
      <c r="D112" s="17" t="s">
        <v>87</v>
      </c>
      <c r="E112" s="18" t="n">
        <v>256791</v>
      </c>
      <c r="F112" s="17" t="s">
        <v>670</v>
      </c>
      <c r="G112" s="23" t="n">
        <v>4.37257146862624</v>
      </c>
      <c r="H112" s="19" t="n">
        <v>67.9</v>
      </c>
      <c r="I112" s="17" t="n">
        <f aca="false">IF(H112="","",RANK(H112,$H$5:$H$337))</f>
        <v>108</v>
      </c>
      <c r="J112" s="24" t="n">
        <v>0.0392525860812977</v>
      </c>
      <c r="K112" s="19" t="n">
        <v>27.2</v>
      </c>
      <c r="L112" s="17" t="n">
        <f aca="false">IF(K112="","",RANK(K112,$K$5:$K$337))</f>
        <v>244</v>
      </c>
      <c r="M112" s="25" t="n">
        <v>0.515429917550059</v>
      </c>
      <c r="N112" s="19" t="n">
        <v>100</v>
      </c>
      <c r="O112" s="17" t="n">
        <f aca="false">IF(N112="","",RANK(N112,$N$5:$N$337))</f>
        <v>1</v>
      </c>
      <c r="P112" s="17" t="str">
        <f aca="false">IF(AND(N(H112)&gt;=N(K112),N(H112)&gt;=N(N112)),"The Pulse",IF(N(K112)&gt;=N(N112),"The Lens","The Hub"))</f>
        <v>The Hub</v>
      </c>
      <c r="Q112" s="20" t="s">
        <v>74</v>
      </c>
      <c r="R112" s="26" t="s">
        <v>668</v>
      </c>
      <c r="S112" s="17" t="s">
        <v>19</v>
      </c>
    </row>
    <row r="113" customFormat="false" ht="15" hidden="false" customHeight="false" outlineLevel="0" collapsed="false">
      <c r="A113" s="17" t="s">
        <v>1580</v>
      </c>
      <c r="B113" s="17" t="s">
        <v>1581</v>
      </c>
      <c r="C113" s="17" t="s">
        <v>1582</v>
      </c>
      <c r="D113" s="17" t="s">
        <v>105</v>
      </c>
      <c r="E113" s="18" t="n">
        <v>1205530</v>
      </c>
      <c r="F113" s="17" t="s">
        <v>752</v>
      </c>
      <c r="G113" s="23" t="n">
        <v>4.3573001086659</v>
      </c>
      <c r="H113" s="19" t="n">
        <v>67.7</v>
      </c>
      <c r="I113" s="17" t="n">
        <f aca="false">IF(H113="","",RANK(H113,$H$5:$H$337))</f>
        <v>109</v>
      </c>
      <c r="J113" s="24" t="n">
        <v>0.0528370435709108</v>
      </c>
      <c r="K113" s="19" t="n">
        <v>37.5</v>
      </c>
      <c r="L113" s="17" t="n">
        <f aca="false">IF(K113="","",RANK(K113,$K$5:$K$337))</f>
        <v>208</v>
      </c>
      <c r="M113" s="25" t="n">
        <v>0.0612138836557899</v>
      </c>
      <c r="N113" s="19" t="n">
        <v>18.4</v>
      </c>
      <c r="O113" s="17" t="n">
        <f aca="false">IF(N113="","",RANK(N113,$N$5:$N$337))</f>
        <v>273</v>
      </c>
      <c r="P113" s="17" t="str">
        <f aca="false">IF(AND(N(H113)&gt;=N(K113),N(H113)&gt;=N(N113)),"The Pulse",IF(N(K113)&gt;=N(N113),"The Lens","The Hub"))</f>
        <v>The Pulse</v>
      </c>
      <c r="Q113" s="21" t="s">
        <v>78</v>
      </c>
      <c r="R113" s="26" t="s">
        <v>668</v>
      </c>
      <c r="S113" s="17" t="s">
        <v>21</v>
      </c>
    </row>
    <row r="114" customFormat="false" ht="15" hidden="false" customHeight="false" outlineLevel="0" collapsed="false">
      <c r="A114" s="17" t="s">
        <v>1583</v>
      </c>
      <c r="B114" s="17" t="s">
        <v>1584</v>
      </c>
      <c r="C114" s="17" t="s">
        <v>1585</v>
      </c>
      <c r="D114" s="17" t="s">
        <v>72</v>
      </c>
      <c r="E114" s="18" t="n">
        <v>49012</v>
      </c>
      <c r="F114" s="17" t="s">
        <v>667</v>
      </c>
      <c r="G114" s="23" t="n">
        <v>4.35670856116869</v>
      </c>
      <c r="H114" s="19" t="n">
        <v>67.4</v>
      </c>
      <c r="I114" s="17" t="n">
        <f aca="false">IF(H114="","",RANK(H114,$H$5:$H$337))</f>
        <v>110</v>
      </c>
      <c r="J114" s="24" t="n">
        <v>0.131185376661743</v>
      </c>
      <c r="K114" s="19" t="n">
        <v>70.1</v>
      </c>
      <c r="L114" s="17" t="n">
        <f aca="false">IF(K114="","",RANK(K114,$K$5:$K$337))</f>
        <v>101</v>
      </c>
      <c r="M114" s="25" t="n">
        <v>0.323153409090909</v>
      </c>
      <c r="N114" s="19" t="n">
        <v>94.3</v>
      </c>
      <c r="O114" s="17" t="n">
        <f aca="false">IF(N114="","",RANK(N114,$N$5:$N$337))</f>
        <v>22</v>
      </c>
      <c r="P114" s="17" t="str">
        <f aca="false">IF(AND(N(H114)&gt;=N(K114),N(H114)&gt;=N(N114)),"The Pulse",IF(N(K114)&gt;=N(N114),"The Lens","The Hub"))</f>
        <v>The Hub</v>
      </c>
      <c r="Q114" s="20" t="s">
        <v>74</v>
      </c>
      <c r="R114" s="26" t="s">
        <v>668</v>
      </c>
      <c r="S114" s="17" t="s">
        <v>19</v>
      </c>
    </row>
    <row r="115" customFormat="false" ht="15" hidden="false" customHeight="false" outlineLevel="0" collapsed="false">
      <c r="A115" s="17" t="s">
        <v>225</v>
      </c>
      <c r="B115" s="17" t="s">
        <v>226</v>
      </c>
      <c r="C115" s="17" t="s">
        <v>1586</v>
      </c>
      <c r="D115" s="17" t="s">
        <v>77</v>
      </c>
      <c r="E115" s="18" t="n">
        <v>5120</v>
      </c>
      <c r="F115" s="17" t="s">
        <v>678</v>
      </c>
      <c r="G115" s="23" t="n">
        <v>4.341796875</v>
      </c>
      <c r="H115" s="19" t="n">
        <v>67.2</v>
      </c>
      <c r="I115" s="17" t="n">
        <f aca="false">IF(H115="","",RANK(H115,$H$5:$H$337))</f>
        <v>111</v>
      </c>
      <c r="J115" s="24" t="n">
        <v>0.0566117448246726</v>
      </c>
      <c r="K115" s="19" t="n">
        <v>22.9</v>
      </c>
      <c r="L115" s="17" t="n">
        <f aca="false">IF(K115="","",RANK(K115,$K$5:$K$337))</f>
        <v>257</v>
      </c>
      <c r="M115" s="25" t="n">
        <v>0.451086956521739</v>
      </c>
      <c r="N115" s="19" t="n">
        <v>99.2</v>
      </c>
      <c r="O115" s="17" t="n">
        <f aca="false">IF(N115="","",RANK(N115,$N$5:$N$337))</f>
        <v>4</v>
      </c>
      <c r="P115" s="17" t="str">
        <f aca="false">IF(AND(N(H115)&gt;=N(K115),N(H115)&gt;=N(N115)),"The Pulse",IF(N(K115)&gt;=N(N115),"The Lens","The Hub"))</f>
        <v>The Hub</v>
      </c>
      <c r="Q115" s="22" t="s">
        <v>83</v>
      </c>
      <c r="R115" s="27" t="s">
        <v>671</v>
      </c>
      <c r="S115" s="17" t="s">
        <v>84</v>
      </c>
    </row>
    <row r="116" customFormat="false" ht="15" hidden="false" customHeight="false" outlineLevel="0" collapsed="false">
      <c r="A116" s="17" t="s">
        <v>875</v>
      </c>
      <c r="B116" s="17" t="s">
        <v>876</v>
      </c>
      <c r="C116" s="17" t="s">
        <v>1587</v>
      </c>
      <c r="D116" s="17" t="s">
        <v>81</v>
      </c>
      <c r="E116" s="18" t="n">
        <v>55920</v>
      </c>
      <c r="F116" s="17" t="s">
        <v>667</v>
      </c>
      <c r="G116" s="23" t="n">
        <v>4.34032546494993</v>
      </c>
      <c r="H116" s="19" t="n">
        <v>67</v>
      </c>
      <c r="I116" s="17" t="n">
        <f aca="false">IF(H116="","",RANK(H116,$H$5:$H$337))</f>
        <v>112</v>
      </c>
      <c r="J116" s="24" t="n">
        <v>0.192578374920026</v>
      </c>
      <c r="K116" s="19" t="n">
        <v>92.9</v>
      </c>
      <c r="L116" s="17" t="n">
        <f aca="false">IF(K116="","",RANK(K116,$K$5:$K$337))</f>
        <v>23</v>
      </c>
      <c r="M116" s="25" t="n">
        <v>0.218798038210966</v>
      </c>
      <c r="N116" s="19" t="n">
        <v>75.9</v>
      </c>
      <c r="O116" s="17" t="n">
        <f aca="false">IF(N116="","",RANK(N116,$N$5:$N$337))</f>
        <v>84</v>
      </c>
      <c r="P116" s="17" t="str">
        <f aca="false">IF(AND(N(H116)&gt;=N(K116),N(H116)&gt;=N(N116)),"The Pulse",IF(N(K116)&gt;=N(N116),"The Lens","The Hub"))</f>
        <v>The Lens</v>
      </c>
      <c r="Q116" s="21" t="s">
        <v>78</v>
      </c>
      <c r="R116" s="26" t="s">
        <v>668</v>
      </c>
      <c r="S116" s="17" t="s">
        <v>21</v>
      </c>
    </row>
    <row r="117" customFormat="false" ht="15" hidden="false" customHeight="false" outlineLevel="0" collapsed="false">
      <c r="A117" s="17" t="s">
        <v>317</v>
      </c>
      <c r="B117" s="17" t="s">
        <v>318</v>
      </c>
      <c r="C117" s="17" t="s">
        <v>1588</v>
      </c>
      <c r="D117" s="17" t="s">
        <v>77</v>
      </c>
      <c r="E117" s="18" t="n">
        <v>85637</v>
      </c>
      <c r="F117" s="17" t="s">
        <v>667</v>
      </c>
      <c r="G117" s="23" t="n">
        <v>4.32336490068545</v>
      </c>
      <c r="H117" s="19" t="n">
        <v>66.8</v>
      </c>
      <c r="I117" s="17" t="n">
        <f aca="false">IF(H117="","",RANK(H117,$H$5:$H$337))</f>
        <v>113</v>
      </c>
      <c r="J117" s="24" t="n">
        <v>-0.0422095715292302</v>
      </c>
      <c r="K117" s="19" t="n">
        <v>5</v>
      </c>
      <c r="L117" s="17" t="n">
        <f aca="false">IF(K117="","",RANK(K117,$K$5:$K$337))</f>
        <v>317</v>
      </c>
      <c r="M117" s="25" t="n">
        <v>0.0766866330390921</v>
      </c>
      <c r="N117" s="19" t="n">
        <v>23.3</v>
      </c>
      <c r="O117" s="17" t="n">
        <f aca="false">IF(N117="","",RANK(N117,$N$5:$N$337))</f>
        <v>257</v>
      </c>
      <c r="P117" s="17" t="str">
        <f aca="false">IF(AND(N(H117)&gt;=N(K117),N(H117)&gt;=N(N117)),"The Pulse",IF(N(K117)&gt;=N(N117),"The Lens","The Hub"))</f>
        <v>The Pulse</v>
      </c>
      <c r="Q117" s="20" t="s">
        <v>74</v>
      </c>
      <c r="R117" s="27" t="s">
        <v>671</v>
      </c>
      <c r="S117" s="17" t="s">
        <v>19</v>
      </c>
    </row>
    <row r="118" customFormat="false" ht="15" hidden="false" customHeight="false" outlineLevel="0" collapsed="false">
      <c r="A118" s="17" t="s">
        <v>231</v>
      </c>
      <c r="B118" s="17" t="s">
        <v>232</v>
      </c>
      <c r="C118" s="17" t="s">
        <v>1589</v>
      </c>
      <c r="D118" s="17" t="s">
        <v>102</v>
      </c>
      <c r="E118" s="18" t="n">
        <v>53857</v>
      </c>
      <c r="F118" s="17" t="s">
        <v>667</v>
      </c>
      <c r="G118" s="23" t="n">
        <v>4.32075681898361</v>
      </c>
      <c r="H118" s="19" t="n">
        <v>66.6</v>
      </c>
      <c r="I118" s="17" t="n">
        <f aca="false">IF(H118="","",RANK(H118,$H$5:$H$337))</f>
        <v>114</v>
      </c>
      <c r="J118" s="24" t="n">
        <v>0.174609059780594</v>
      </c>
      <c r="K118" s="19" t="n">
        <v>87.6</v>
      </c>
      <c r="L118" s="17" t="n">
        <f aca="false">IF(K118="","",RANK(K118,$K$5:$K$337))</f>
        <v>39</v>
      </c>
      <c r="M118" s="25" t="n">
        <v>0.055880062305296</v>
      </c>
      <c r="N118" s="19" t="n">
        <v>16.1</v>
      </c>
      <c r="O118" s="17" t="n">
        <f aca="false">IF(N118="","",RANK(N118,$N$5:$N$337))</f>
        <v>281</v>
      </c>
      <c r="P118" s="17" t="str">
        <f aca="false">IF(AND(N(H118)&gt;=N(K118),N(H118)&gt;=N(N118)),"The Pulse",IF(N(K118)&gt;=N(N118),"The Lens","The Hub"))</f>
        <v>The Lens</v>
      </c>
      <c r="Q118" s="20" t="s">
        <v>74</v>
      </c>
      <c r="R118" s="27" t="s">
        <v>671</v>
      </c>
      <c r="S118" s="17" t="s">
        <v>19</v>
      </c>
    </row>
    <row r="119" customFormat="false" ht="15" hidden="false" customHeight="false" outlineLevel="0" collapsed="false">
      <c r="A119" s="17" t="s">
        <v>357</v>
      </c>
      <c r="B119" s="17" t="s">
        <v>358</v>
      </c>
      <c r="C119" s="17" t="s">
        <v>1590</v>
      </c>
      <c r="D119" s="17" t="s">
        <v>72</v>
      </c>
      <c r="E119" s="18" t="n">
        <v>84431</v>
      </c>
      <c r="F119" s="17" t="s">
        <v>667</v>
      </c>
      <c r="G119" s="23" t="n">
        <v>4.31788087313901</v>
      </c>
      <c r="H119" s="19" t="n">
        <v>66.4</v>
      </c>
      <c r="I119" s="17" t="n">
        <f aca="false">IF(H119="","",RANK(H119,$H$5:$H$337))</f>
        <v>115</v>
      </c>
      <c r="J119" s="24" t="n">
        <v>0.0477910151402333</v>
      </c>
      <c r="K119" s="19" t="n">
        <v>27</v>
      </c>
      <c r="L119" s="17" t="n">
        <f aca="false">IF(K119="","",RANK(K119,$K$5:$K$337))</f>
        <v>246</v>
      </c>
      <c r="M119" s="25" t="n">
        <v>0.296179864703542</v>
      </c>
      <c r="N119" s="19" t="n">
        <v>89.9</v>
      </c>
      <c r="O119" s="17" t="n">
        <f aca="false">IF(N119="","",RANK(N119,$N$5:$N$337))</f>
        <v>39</v>
      </c>
      <c r="P119" s="17" t="str">
        <f aca="false">IF(AND(N(H119)&gt;=N(K119),N(H119)&gt;=N(N119)),"The Pulse",IF(N(K119)&gt;=N(N119),"The Lens","The Hub"))</f>
        <v>The Hub</v>
      </c>
      <c r="Q119" s="20" t="s">
        <v>74</v>
      </c>
      <c r="R119" s="27" t="s">
        <v>671</v>
      </c>
      <c r="S119" s="17" t="s">
        <v>19</v>
      </c>
    </row>
    <row r="120" customFormat="false" ht="15" hidden="false" customHeight="false" outlineLevel="0" collapsed="false">
      <c r="A120" s="17" t="s">
        <v>188</v>
      </c>
      <c r="B120" s="17" t="s">
        <v>189</v>
      </c>
      <c r="C120" s="17" t="s">
        <v>1591</v>
      </c>
      <c r="D120" s="17" t="s">
        <v>133</v>
      </c>
      <c r="E120" s="18" t="n">
        <v>23781</v>
      </c>
      <c r="F120" s="17" t="s">
        <v>667</v>
      </c>
      <c r="G120" s="23" t="n">
        <v>4.31525167150246</v>
      </c>
      <c r="H120" s="19" t="n">
        <v>66.2</v>
      </c>
      <c r="I120" s="17" t="n">
        <f aca="false">IF(H120="","",RANK(H120,$H$5:$H$337))</f>
        <v>116</v>
      </c>
      <c r="J120" s="24" t="n">
        <v>0.124344002647629</v>
      </c>
      <c r="K120" s="19" t="n">
        <v>66</v>
      </c>
      <c r="L120" s="17" t="n">
        <f aca="false">IF(K120="","",RANK(K120,$K$5:$K$337))</f>
        <v>112</v>
      </c>
      <c r="M120" s="25" t="n">
        <v>0.380377592076756</v>
      </c>
      <c r="N120" s="19" t="n">
        <v>96.9</v>
      </c>
      <c r="O120" s="17" t="n">
        <f aca="false">IF(N120="","",RANK(N120,$N$5:$N$337))</f>
        <v>12</v>
      </c>
      <c r="P120" s="17" t="str">
        <f aca="false">IF(AND(N(H120)&gt;=N(K120),N(H120)&gt;=N(N120)),"The Pulse",IF(N(K120)&gt;=N(N120),"The Lens","The Hub"))</f>
        <v>The Hub</v>
      </c>
      <c r="Q120" s="20" t="s">
        <v>74</v>
      </c>
      <c r="R120" s="27" t="s">
        <v>671</v>
      </c>
      <c r="S120" s="17" t="s">
        <v>19</v>
      </c>
    </row>
    <row r="121" customFormat="false" ht="15" hidden="false" customHeight="false" outlineLevel="0" collapsed="false">
      <c r="A121" s="17" t="s">
        <v>198</v>
      </c>
      <c r="B121" s="17" t="s">
        <v>199</v>
      </c>
      <c r="C121" s="17" t="s">
        <v>1592</v>
      </c>
      <c r="D121" s="17" t="s">
        <v>92</v>
      </c>
      <c r="E121" s="18" t="n">
        <v>442540</v>
      </c>
      <c r="F121" s="17" t="s">
        <v>670</v>
      </c>
      <c r="G121" s="23" t="n">
        <v>4.23423193383649</v>
      </c>
      <c r="H121" s="19" t="n">
        <v>65.8</v>
      </c>
      <c r="I121" s="17" t="n">
        <f aca="false">IF(H121="","",RANK(H121,$H$5:$H$337))</f>
        <v>117</v>
      </c>
      <c r="J121" s="24" t="n">
        <v>0.0805254419376892</v>
      </c>
      <c r="K121" s="19" t="n">
        <v>49</v>
      </c>
      <c r="L121" s="17" t="n">
        <f aca="false">IF(K121="","",RANK(K121,$K$5:$K$337))</f>
        <v>170</v>
      </c>
      <c r="M121" s="25" t="n">
        <v>0.114962903208687</v>
      </c>
      <c r="N121" s="19" t="n">
        <v>38.6</v>
      </c>
      <c r="O121" s="17" t="n">
        <f aca="false">IF(N121="","",RANK(N121,$N$5:$N$337))</f>
        <v>202</v>
      </c>
      <c r="P121" s="17" t="str">
        <f aca="false">IF(AND(N(H121)&gt;=N(K121),N(H121)&gt;=N(N121)),"The Pulse",IF(N(K121)&gt;=N(N121),"The Lens","The Hub"))</f>
        <v>The Pulse</v>
      </c>
      <c r="Q121" s="21" t="s">
        <v>78</v>
      </c>
      <c r="R121" s="27" t="s">
        <v>671</v>
      </c>
      <c r="S121" s="17" t="s">
        <v>21</v>
      </c>
    </row>
    <row r="122" customFormat="false" ht="15" hidden="false" customHeight="false" outlineLevel="0" collapsed="false">
      <c r="A122" s="17" t="s">
        <v>523</v>
      </c>
      <c r="B122" s="17" t="s">
        <v>524</v>
      </c>
      <c r="C122" s="17" t="s">
        <v>1593</v>
      </c>
      <c r="D122" s="17" t="s">
        <v>105</v>
      </c>
      <c r="E122" s="18" t="n">
        <v>20954</v>
      </c>
      <c r="F122" s="17" t="s">
        <v>667</v>
      </c>
      <c r="G122" s="23" t="n">
        <v>4.21876491362031</v>
      </c>
      <c r="H122" s="19" t="n">
        <v>65.5</v>
      </c>
      <c r="I122" s="17" t="n">
        <f aca="false">IF(H122="","",RANK(H122,$H$5:$H$337))</f>
        <v>118</v>
      </c>
      <c r="J122" s="24" t="n">
        <v>0.0771049655597821</v>
      </c>
      <c r="K122" s="19" t="n">
        <v>43.6</v>
      </c>
      <c r="L122" s="17" t="n">
        <f aca="false">IF(K122="","",RANK(K122,$K$5:$K$337))</f>
        <v>186</v>
      </c>
      <c r="M122" s="25" t="n">
        <v>0.0996939221687801</v>
      </c>
      <c r="N122" s="19" t="n">
        <v>32.4</v>
      </c>
      <c r="O122" s="17" t="n">
        <f aca="false">IF(N122="","",RANK(N122,$N$5:$N$337))</f>
        <v>224</v>
      </c>
      <c r="P122" s="17" t="str">
        <f aca="false">IF(AND(N(H122)&gt;=N(K122),N(H122)&gt;=N(N122)),"The Pulse",IF(N(K122)&gt;=N(N122),"The Lens","The Hub"))</f>
        <v>The Pulse</v>
      </c>
      <c r="Q122" s="20" t="s">
        <v>74</v>
      </c>
      <c r="R122" s="27" t="s">
        <v>671</v>
      </c>
      <c r="S122" s="17" t="s">
        <v>19</v>
      </c>
    </row>
    <row r="123" customFormat="false" ht="15" hidden="false" customHeight="false" outlineLevel="0" collapsed="false">
      <c r="A123" s="17" t="s">
        <v>1594</v>
      </c>
      <c r="B123" s="17" t="s">
        <v>1595</v>
      </c>
      <c r="C123" s="17" t="s">
        <v>1596</v>
      </c>
      <c r="D123" s="17" t="s">
        <v>81</v>
      </c>
      <c r="E123" s="18" t="n">
        <v>14790</v>
      </c>
      <c r="F123" s="17" t="s">
        <v>667</v>
      </c>
      <c r="G123" s="23" t="n">
        <v>4.2132521974307</v>
      </c>
      <c r="H123" s="19" t="n">
        <v>65.3</v>
      </c>
      <c r="I123" s="17" t="n">
        <f aca="false">IF(H123="","",RANK(H123,$H$5:$H$337))</f>
        <v>119</v>
      </c>
      <c r="J123" s="24" t="n">
        <v>0.0923190546528804</v>
      </c>
      <c r="K123" s="19" t="n">
        <v>51.9</v>
      </c>
      <c r="L123" s="17" t="n">
        <f aca="false">IF(K123="","",RANK(K123,$K$5:$K$337))</f>
        <v>159</v>
      </c>
      <c r="M123" s="25" t="n">
        <v>0.121889498102067</v>
      </c>
      <c r="N123" s="19" t="n">
        <v>43.8</v>
      </c>
      <c r="O123" s="17" t="n">
        <f aca="false">IF(N123="","",RANK(N123,$N$5:$N$337))</f>
        <v>185</v>
      </c>
      <c r="P123" s="17" t="str">
        <f aca="false">IF(AND(N(H123)&gt;=N(K123),N(H123)&gt;=N(N123)),"The Pulse",IF(N(K123)&gt;=N(N123),"The Lens","The Hub"))</f>
        <v>The Pulse</v>
      </c>
      <c r="Q123" s="21" t="s">
        <v>78</v>
      </c>
      <c r="R123" s="26" t="s">
        <v>668</v>
      </c>
      <c r="S123" s="17" t="s">
        <v>21</v>
      </c>
    </row>
    <row r="124" customFormat="false" ht="15" hidden="false" customHeight="false" outlineLevel="0" collapsed="false">
      <c r="A124" s="17" t="s">
        <v>241</v>
      </c>
      <c r="B124" s="17" t="s">
        <v>242</v>
      </c>
      <c r="C124" s="17" t="s">
        <v>1597</v>
      </c>
      <c r="D124" s="17" t="s">
        <v>87</v>
      </c>
      <c r="E124" s="18" t="n">
        <v>500717</v>
      </c>
      <c r="F124" s="17" t="s">
        <v>670</v>
      </c>
      <c r="G124" s="23" t="n">
        <v>4.18960011343733</v>
      </c>
      <c r="H124" s="19" t="n">
        <v>65.1</v>
      </c>
      <c r="I124" s="17" t="n">
        <f aca="false">IF(H124="","",RANK(H124,$H$5:$H$337))</f>
        <v>120</v>
      </c>
      <c r="J124" s="24" t="n">
        <v>0.0186512433145017</v>
      </c>
      <c r="K124" s="19" t="n">
        <v>15.9</v>
      </c>
      <c r="L124" s="17" t="n">
        <f aca="false">IF(K124="","",RANK(K124,$K$5:$K$337))</f>
        <v>282</v>
      </c>
      <c r="M124" s="25" t="n">
        <v>0.135737692315084</v>
      </c>
      <c r="N124" s="19" t="n">
        <v>50.5</v>
      </c>
      <c r="O124" s="17" t="n">
        <f aca="false">IF(N124="","",RANK(N124,$N$5:$N$337))</f>
        <v>164</v>
      </c>
      <c r="P124" s="17" t="str">
        <f aca="false">IF(AND(N(H124)&gt;=N(K124),N(H124)&gt;=N(N124)),"The Pulse",IF(N(K124)&gt;=N(N124),"The Lens","The Hub"))</f>
        <v>The Pulse</v>
      </c>
      <c r="Q124" s="20" t="s">
        <v>74</v>
      </c>
      <c r="R124" s="27" t="s">
        <v>671</v>
      </c>
      <c r="S124" s="17" t="s">
        <v>19</v>
      </c>
    </row>
    <row r="125" customFormat="false" ht="15" hidden="false" customHeight="false" outlineLevel="0" collapsed="false">
      <c r="A125" s="17" t="s">
        <v>221</v>
      </c>
      <c r="B125" s="17" t="s">
        <v>222</v>
      </c>
      <c r="C125" s="17" t="s">
        <v>1598</v>
      </c>
      <c r="D125" s="17" t="s">
        <v>87</v>
      </c>
      <c r="E125" s="18" t="n">
        <v>152560</v>
      </c>
      <c r="F125" s="17" t="s">
        <v>670</v>
      </c>
      <c r="G125" s="23" t="n">
        <v>4.18871919244887</v>
      </c>
      <c r="H125" s="19" t="n">
        <v>64.9</v>
      </c>
      <c r="I125" s="17" t="n">
        <f aca="false">IF(H125="","",RANK(H125,$H$5:$H$337))</f>
        <v>121</v>
      </c>
      <c r="J125" s="24" t="n">
        <v>-0.0404427951443487</v>
      </c>
      <c r="K125" s="19" t="n">
        <v>3.3</v>
      </c>
      <c r="L125" s="17" t="n">
        <f aca="false">IF(K125="","",RANK(K125,$K$5:$K$337))</f>
        <v>322</v>
      </c>
      <c r="M125" s="25" t="n">
        <v>0.164094762008259</v>
      </c>
      <c r="N125" s="19" t="n">
        <v>62.7</v>
      </c>
      <c r="O125" s="17" t="n">
        <f aca="false">IF(N125="","",RANK(N125,$N$5:$N$337))</f>
        <v>127</v>
      </c>
      <c r="P125" s="17" t="str">
        <f aca="false">IF(AND(N(H125)&gt;=N(K125),N(H125)&gt;=N(N125)),"The Pulse",IF(N(K125)&gt;=N(N125),"The Lens","The Hub"))</f>
        <v>The Pulse</v>
      </c>
      <c r="Q125" s="21" t="s">
        <v>78</v>
      </c>
      <c r="R125" s="27" t="s">
        <v>671</v>
      </c>
      <c r="S125" s="17" t="s">
        <v>21</v>
      </c>
    </row>
    <row r="126" customFormat="false" ht="15" hidden="false" customHeight="false" outlineLevel="0" collapsed="false">
      <c r="A126" s="17" t="s">
        <v>329</v>
      </c>
      <c r="B126" s="17" t="s">
        <v>330</v>
      </c>
      <c r="C126" s="17" t="s">
        <v>1599</v>
      </c>
      <c r="D126" s="17" t="s">
        <v>92</v>
      </c>
      <c r="E126" s="18" t="n">
        <v>334890</v>
      </c>
      <c r="F126" s="17" t="s">
        <v>670</v>
      </c>
      <c r="G126" s="23" t="n">
        <v>4.17543671056168</v>
      </c>
      <c r="H126" s="19" t="n">
        <v>64.7</v>
      </c>
      <c r="I126" s="17" t="n">
        <f aca="false">IF(H126="","",RANK(H126,$H$5:$H$337))</f>
        <v>122</v>
      </c>
      <c r="J126" s="24" t="n">
        <v>0.0983240956347775</v>
      </c>
      <c r="K126" s="19" t="n">
        <v>63.6</v>
      </c>
      <c r="L126" s="17" t="n">
        <f aca="false">IF(K126="","",RANK(K126,$K$5:$K$337))</f>
        <v>119</v>
      </c>
      <c r="M126" s="25" t="n">
        <v>0.0927841379945367</v>
      </c>
      <c r="N126" s="19" t="n">
        <v>29</v>
      </c>
      <c r="O126" s="17" t="n">
        <f aca="false">IF(N126="","",RANK(N126,$N$5:$N$337))</f>
        <v>237</v>
      </c>
      <c r="P126" s="17" t="str">
        <f aca="false">IF(AND(N(H126)&gt;=N(K126),N(H126)&gt;=N(N126)),"The Pulse",IF(N(K126)&gt;=N(N126),"The Lens","The Hub"))</f>
        <v>The Pulse</v>
      </c>
      <c r="Q126" s="21" t="s">
        <v>78</v>
      </c>
      <c r="R126" s="27" t="s">
        <v>671</v>
      </c>
      <c r="S126" s="17" t="s">
        <v>21</v>
      </c>
    </row>
    <row r="127" customFormat="false" ht="15" hidden="false" customHeight="false" outlineLevel="0" collapsed="false">
      <c r="A127" s="17" t="s">
        <v>1600</v>
      </c>
      <c r="B127" s="17" t="s">
        <v>1601</v>
      </c>
      <c r="C127" s="17" t="s">
        <v>1602</v>
      </c>
      <c r="D127" s="17"/>
      <c r="E127" s="18" t="n">
        <v>28480</v>
      </c>
      <c r="F127" s="17" t="s">
        <v>667</v>
      </c>
      <c r="G127" s="23" t="n">
        <v>4.10874297752809</v>
      </c>
      <c r="H127" s="19" t="n">
        <v>63.8</v>
      </c>
      <c r="I127" s="17" t="n">
        <f aca="false">IF(H127="","",RANK(H127,$H$5:$H$337))</f>
        <v>123</v>
      </c>
      <c r="J127" s="24" t="n">
        <v>0.0207885304659498</v>
      </c>
      <c r="K127" s="19" t="n">
        <v>17.4</v>
      </c>
      <c r="L127" s="17" t="n">
        <f aca="false">IF(K127="","",RANK(K127,$K$5:$K$337))</f>
        <v>276</v>
      </c>
      <c r="M127" s="25" t="n">
        <v>0.188967923768622</v>
      </c>
      <c r="N127" s="19" t="n">
        <v>69.4</v>
      </c>
      <c r="O127" s="17" t="n">
        <f aca="false">IF(N127="","",RANK(N127,$N$5:$N$337))</f>
        <v>107</v>
      </c>
      <c r="P127" s="17" t="str">
        <f aca="false">IF(AND(N(H127)&gt;=N(K127),N(H127)&gt;=N(N127)),"The Pulse",IF(N(K127)&gt;=N(N127),"The Lens","The Hub"))</f>
        <v>The Hub</v>
      </c>
      <c r="Q127" s="21" t="s">
        <v>78</v>
      </c>
      <c r="R127" s="26" t="s">
        <v>668</v>
      </c>
      <c r="S127" s="17" t="s">
        <v>21</v>
      </c>
    </row>
    <row r="128" customFormat="false" ht="15" hidden="false" customHeight="false" outlineLevel="0" collapsed="false">
      <c r="A128" s="17" t="s">
        <v>1603</v>
      </c>
      <c r="B128" s="17" t="s">
        <v>1604</v>
      </c>
      <c r="C128" s="17" t="s">
        <v>1605</v>
      </c>
      <c r="D128" s="17" t="s">
        <v>138</v>
      </c>
      <c r="E128" s="18" t="n">
        <v>50354</v>
      </c>
      <c r="F128" s="17" t="s">
        <v>667</v>
      </c>
      <c r="G128" s="23" t="n">
        <v>4.09709258450173</v>
      </c>
      <c r="H128" s="19" t="n">
        <v>63.6</v>
      </c>
      <c r="I128" s="17" t="n">
        <f aca="false">IF(H128="","",RANK(H128,$H$5:$H$337))</f>
        <v>124</v>
      </c>
      <c r="J128" s="24" t="n">
        <v>0.155544336331926</v>
      </c>
      <c r="K128" s="19" t="n">
        <v>81.7</v>
      </c>
      <c r="L128" s="17" t="n">
        <f aca="false">IF(K128="","",RANK(K128,$K$5:$K$337))</f>
        <v>60</v>
      </c>
      <c r="M128" s="25" t="n">
        <v>0.224455973483211</v>
      </c>
      <c r="N128" s="19" t="n">
        <v>76.7</v>
      </c>
      <c r="O128" s="17" t="n">
        <f aca="false">IF(N128="","",RANK(N128,$N$5:$N$337))</f>
        <v>82</v>
      </c>
      <c r="P128" s="17" t="str">
        <f aca="false">IF(AND(N(H128)&gt;=N(K128),N(H128)&gt;=N(N128)),"The Pulse",IF(N(K128)&gt;=N(N128),"The Lens","The Hub"))</f>
        <v>The Lens</v>
      </c>
      <c r="Q128" s="20" t="s">
        <v>74</v>
      </c>
      <c r="R128" s="26" t="s">
        <v>668</v>
      </c>
      <c r="S128" s="17" t="s">
        <v>19</v>
      </c>
    </row>
    <row r="129" customFormat="false" ht="15" hidden="false" customHeight="false" outlineLevel="0" collapsed="false">
      <c r="A129" s="17" t="s">
        <v>196</v>
      </c>
      <c r="B129" s="17" t="s">
        <v>197</v>
      </c>
      <c r="C129" s="17" t="s">
        <v>1606</v>
      </c>
      <c r="D129" s="17" t="s">
        <v>102</v>
      </c>
      <c r="E129" s="18" t="n">
        <v>15823</v>
      </c>
      <c r="F129" s="17" t="s">
        <v>667</v>
      </c>
      <c r="G129" s="23" t="n">
        <v>4.06970865196233</v>
      </c>
      <c r="H129" s="19" t="n">
        <v>63.4</v>
      </c>
      <c r="I129" s="17" t="n">
        <f aca="false">IF(H129="","",RANK(H129,$H$5:$H$337))</f>
        <v>125</v>
      </c>
      <c r="J129" s="24" t="n">
        <v>0.142950014446692</v>
      </c>
      <c r="K129" s="19" t="n">
        <v>75.9</v>
      </c>
      <c r="L129" s="17" t="n">
        <f aca="false">IF(K129="","",RANK(K129,$K$5:$K$337))</f>
        <v>80</v>
      </c>
      <c r="M129" s="25" t="n">
        <v>0.115644904458599</v>
      </c>
      <c r="N129" s="19" t="n">
        <v>39.1</v>
      </c>
      <c r="O129" s="17" t="n">
        <f aca="false">IF(N129="","",RANK(N129,$N$5:$N$337))</f>
        <v>200</v>
      </c>
      <c r="P129" s="17" t="str">
        <f aca="false">IF(AND(N(H129)&gt;=N(K129),N(H129)&gt;=N(N129)),"The Pulse",IF(N(K129)&gt;=N(N129),"The Lens","The Hub"))</f>
        <v>The Lens</v>
      </c>
      <c r="Q129" s="20" t="s">
        <v>74</v>
      </c>
      <c r="R129" s="27" t="s">
        <v>671</v>
      </c>
      <c r="S129" s="17" t="s">
        <v>19</v>
      </c>
    </row>
    <row r="130" customFormat="false" ht="15" hidden="false" customHeight="false" outlineLevel="0" collapsed="false">
      <c r="A130" s="17" t="s">
        <v>1607</v>
      </c>
      <c r="B130" s="17" t="s">
        <v>1608</v>
      </c>
      <c r="C130" s="17" t="s">
        <v>1609</v>
      </c>
      <c r="D130" s="17" t="s">
        <v>114</v>
      </c>
      <c r="E130" s="18" t="n">
        <v>8916</v>
      </c>
      <c r="F130" s="17" t="s">
        <v>678</v>
      </c>
      <c r="G130" s="23" t="n">
        <v>4.06460296096905</v>
      </c>
      <c r="H130" s="19" t="n">
        <v>63.2</v>
      </c>
      <c r="I130" s="17" t="n">
        <f aca="false">IF(H130="","",RANK(H130,$H$5:$H$337))</f>
        <v>126</v>
      </c>
      <c r="J130" s="24" t="n">
        <v>0.060418648905804</v>
      </c>
      <c r="K130" s="19" t="n">
        <v>25</v>
      </c>
      <c r="L130" s="17" t="n">
        <f aca="false">IF(K130="","",RANK(K130,$K$5:$K$337))</f>
        <v>252</v>
      </c>
      <c r="M130" s="25" t="n">
        <v>0.117741418030157</v>
      </c>
      <c r="N130" s="19" t="n">
        <v>40.7</v>
      </c>
      <c r="O130" s="17" t="n">
        <f aca="false">IF(N130="","",RANK(N130,$N$5:$N$337))</f>
        <v>196</v>
      </c>
      <c r="P130" s="17" t="str">
        <f aca="false">IF(AND(N(H130)&gt;=N(K130),N(H130)&gt;=N(N130)),"The Pulse",IF(N(K130)&gt;=N(N130),"The Lens","The Hub"))</f>
        <v>The Pulse</v>
      </c>
      <c r="Q130" s="20" t="s">
        <v>74</v>
      </c>
      <c r="R130" s="26" t="s">
        <v>668</v>
      </c>
      <c r="S130" s="17" t="s">
        <v>19</v>
      </c>
    </row>
    <row r="131" customFormat="false" ht="15" hidden="false" customHeight="false" outlineLevel="0" collapsed="false">
      <c r="A131" s="17" t="s">
        <v>245</v>
      </c>
      <c r="B131" s="17" t="s">
        <v>246</v>
      </c>
      <c r="C131" s="17" t="s">
        <v>1610</v>
      </c>
      <c r="D131" s="17" t="s">
        <v>138</v>
      </c>
      <c r="E131" s="18" t="n">
        <v>37940</v>
      </c>
      <c r="F131" s="17" t="s">
        <v>667</v>
      </c>
      <c r="G131" s="23" t="n">
        <v>4.0032946758039</v>
      </c>
      <c r="H131" s="19" t="n">
        <v>63</v>
      </c>
      <c r="I131" s="17" t="n">
        <f aca="false">IF(H131="","",RANK(H131,$H$5:$H$337))</f>
        <v>127</v>
      </c>
      <c r="J131" s="24" t="n">
        <v>-0.0246786632390746</v>
      </c>
      <c r="K131" s="19" t="n">
        <v>7.5</v>
      </c>
      <c r="L131" s="17" t="n">
        <f aca="false">IF(K131="","",RANK(K131,$K$5:$K$337))</f>
        <v>307</v>
      </c>
      <c r="M131" s="25" t="n">
        <v>0.213769786383894</v>
      </c>
      <c r="N131" s="19" t="n">
        <v>74.4</v>
      </c>
      <c r="O131" s="17" t="n">
        <f aca="false">IF(N131="","",RANK(N131,$N$5:$N$337))</f>
        <v>89</v>
      </c>
      <c r="P131" s="17" t="str">
        <f aca="false">IF(AND(N(H131)&gt;=N(K131),N(H131)&gt;=N(N131)),"The Pulse",IF(N(K131)&gt;=N(N131),"The Lens","The Hub"))</f>
        <v>The Hub</v>
      </c>
      <c r="Q131" s="21" t="s">
        <v>78</v>
      </c>
      <c r="R131" s="27" t="s">
        <v>671</v>
      </c>
      <c r="S131" s="17" t="s">
        <v>21</v>
      </c>
    </row>
    <row r="132" customFormat="false" ht="15" hidden="false" customHeight="false" outlineLevel="0" collapsed="false">
      <c r="A132" s="17" t="s">
        <v>263</v>
      </c>
      <c r="B132" s="17" t="s">
        <v>264</v>
      </c>
      <c r="C132" s="17" t="s">
        <v>1611</v>
      </c>
      <c r="D132" s="17" t="s">
        <v>92</v>
      </c>
      <c r="E132" s="18" t="n">
        <v>332430</v>
      </c>
      <c r="F132" s="17" t="s">
        <v>670</v>
      </c>
      <c r="G132" s="23" t="n">
        <v>3.99495833709352</v>
      </c>
      <c r="H132" s="19" t="n">
        <v>62.6</v>
      </c>
      <c r="I132" s="17" t="n">
        <f aca="false">IF(H132="","",RANK(H132,$H$5:$H$337))</f>
        <v>128</v>
      </c>
      <c r="J132" s="24" t="n">
        <v>0.0258412126299158</v>
      </c>
      <c r="K132" s="19" t="n">
        <v>19.2</v>
      </c>
      <c r="L132" s="17" t="n">
        <f aca="false">IF(K132="","",RANK(K132,$K$5:$K$337))</f>
        <v>270</v>
      </c>
      <c r="M132" s="25" t="n">
        <v>0.198519720166278</v>
      </c>
      <c r="N132" s="19" t="n">
        <v>70.5</v>
      </c>
      <c r="O132" s="17" t="n">
        <f aca="false">IF(N132="","",RANK(N132,$N$5:$N$337))</f>
        <v>104</v>
      </c>
      <c r="P132" s="17" t="str">
        <f aca="false">IF(AND(N(H132)&gt;=N(K132),N(H132)&gt;=N(N132)),"The Pulse",IF(N(K132)&gt;=N(N132),"The Lens","The Hub"))</f>
        <v>The Hub</v>
      </c>
      <c r="Q132" s="20" t="s">
        <v>74</v>
      </c>
      <c r="R132" s="27" t="s">
        <v>671</v>
      </c>
      <c r="S132" s="17" t="s">
        <v>19</v>
      </c>
    </row>
    <row r="133" customFormat="false" ht="15" hidden="false" customHeight="false" outlineLevel="0" collapsed="false">
      <c r="A133" s="17" t="s">
        <v>1612</v>
      </c>
      <c r="B133" s="17" t="s">
        <v>1613</v>
      </c>
      <c r="C133" s="17" t="s">
        <v>1614</v>
      </c>
      <c r="D133" s="17" t="s">
        <v>138</v>
      </c>
      <c r="E133" s="18" t="n">
        <v>27180</v>
      </c>
      <c r="F133" s="17" t="s">
        <v>667</v>
      </c>
      <c r="G133" s="23" t="n">
        <v>3.97498160412068</v>
      </c>
      <c r="H133" s="19" t="n">
        <v>62.2</v>
      </c>
      <c r="I133" s="17" t="n">
        <f aca="false">IF(H133="","",RANK(H133,$H$5:$H$337))</f>
        <v>129</v>
      </c>
      <c r="J133" s="24" t="n">
        <v>0.138190954773869</v>
      </c>
      <c r="K133" s="19" t="n">
        <v>74.7</v>
      </c>
      <c r="L133" s="17" t="n">
        <f aca="false">IF(K133="","",RANK(K133,$K$5:$K$337))</f>
        <v>85</v>
      </c>
      <c r="M133" s="25" t="n">
        <v>0.171734475374732</v>
      </c>
      <c r="N133" s="19" t="n">
        <v>64.5</v>
      </c>
      <c r="O133" s="17" t="n">
        <f aca="false">IF(N133="","",RANK(N133,$N$5:$N$337))</f>
        <v>122</v>
      </c>
      <c r="P133" s="17" t="str">
        <f aca="false">IF(AND(N(H133)&gt;=N(K133),N(H133)&gt;=N(N133)),"The Pulse",IF(N(K133)&gt;=N(N133),"The Lens","The Hub"))</f>
        <v>The Lens</v>
      </c>
      <c r="Q133" s="21" t="s">
        <v>78</v>
      </c>
      <c r="R133" s="26" t="s">
        <v>668</v>
      </c>
      <c r="S133" s="17" t="s">
        <v>21</v>
      </c>
    </row>
    <row r="134" customFormat="false" ht="15" hidden="false" customHeight="false" outlineLevel="0" collapsed="false">
      <c r="A134" s="17" t="s">
        <v>235</v>
      </c>
      <c r="B134" s="17" t="s">
        <v>236</v>
      </c>
      <c r="C134" s="17" t="s">
        <v>1615</v>
      </c>
      <c r="D134" s="17" t="s">
        <v>133</v>
      </c>
      <c r="E134" s="18" t="n">
        <v>7853</v>
      </c>
      <c r="F134" s="17" t="s">
        <v>678</v>
      </c>
      <c r="G134" s="23" t="n">
        <v>3.83827836495607</v>
      </c>
      <c r="H134" s="19" t="n">
        <v>61.1</v>
      </c>
      <c r="I134" s="17" t="n">
        <f aca="false">IF(H134="","",RANK(H134,$H$5:$H$337))</f>
        <v>130</v>
      </c>
      <c r="J134" s="24" t="n">
        <v>0.126524171567924</v>
      </c>
      <c r="K134" s="19" t="n">
        <v>54.2</v>
      </c>
      <c r="L134" s="17" t="n">
        <f aca="false">IF(K134="","",RANK(K134,$K$5:$K$337))</f>
        <v>150</v>
      </c>
      <c r="M134" s="25" t="n">
        <v>0.106060606060606</v>
      </c>
      <c r="N134" s="19" t="n">
        <v>35.2</v>
      </c>
      <c r="O134" s="17" t="n">
        <f aca="false">IF(N134="","",RANK(N134,$N$5:$N$337))</f>
        <v>214</v>
      </c>
      <c r="P134" s="17" t="str">
        <f aca="false">IF(AND(N(H134)&gt;=N(K134),N(H134)&gt;=N(N134)),"The Pulse",IF(N(K134)&gt;=N(N134),"The Lens","The Hub"))</f>
        <v>The Pulse</v>
      </c>
      <c r="Q134" s="20" t="s">
        <v>74</v>
      </c>
      <c r="R134" s="27" t="s">
        <v>671</v>
      </c>
      <c r="S134" s="17" t="s">
        <v>19</v>
      </c>
    </row>
    <row r="135" customFormat="false" ht="15" hidden="false" customHeight="false" outlineLevel="0" collapsed="false">
      <c r="A135" s="17" t="s">
        <v>479</v>
      </c>
      <c r="B135" s="17" t="s">
        <v>480</v>
      </c>
      <c r="C135" s="17" t="s">
        <v>1616</v>
      </c>
      <c r="D135" s="17" t="s">
        <v>133</v>
      </c>
      <c r="E135" s="18" t="n">
        <v>58510</v>
      </c>
      <c r="F135" s="17" t="s">
        <v>667</v>
      </c>
      <c r="G135" s="23" t="n">
        <v>3.83173816441634</v>
      </c>
      <c r="H135" s="19" t="n">
        <v>60.9</v>
      </c>
      <c r="I135" s="17" t="n">
        <f aca="false">IF(H135="","",RANK(H135,$H$5:$H$337))</f>
        <v>131</v>
      </c>
      <c r="J135" s="24" t="n">
        <v>0.182976142337242</v>
      </c>
      <c r="K135" s="19" t="n">
        <v>90.5</v>
      </c>
      <c r="L135" s="17" t="n">
        <f aca="false">IF(K135="","",RANK(K135,$K$5:$K$337))</f>
        <v>30</v>
      </c>
      <c r="M135" s="25" t="n">
        <v>0.163196398424311</v>
      </c>
      <c r="N135" s="19" t="n">
        <v>61.9</v>
      </c>
      <c r="O135" s="17" t="n">
        <f aca="false">IF(N135="","",RANK(N135,$N$5:$N$337))</f>
        <v>129</v>
      </c>
      <c r="P135" s="17" t="str">
        <f aca="false">IF(AND(N(H135)&gt;=N(K135),N(H135)&gt;=N(N135)),"The Pulse",IF(N(K135)&gt;=N(N135),"The Lens","The Hub"))</f>
        <v>The Lens</v>
      </c>
      <c r="Q135" s="21" t="s">
        <v>78</v>
      </c>
      <c r="R135" s="27" t="s">
        <v>671</v>
      </c>
      <c r="S135" s="17" t="s">
        <v>21</v>
      </c>
    </row>
    <row r="136" customFormat="false" ht="15" hidden="false" customHeight="false" outlineLevel="0" collapsed="false">
      <c r="A136" s="17" t="s">
        <v>279</v>
      </c>
      <c r="B136" s="17" t="s">
        <v>280</v>
      </c>
      <c r="C136" s="17" t="s">
        <v>1617</v>
      </c>
      <c r="D136" s="17" t="s">
        <v>72</v>
      </c>
      <c r="E136" s="18" t="n">
        <v>12190</v>
      </c>
      <c r="F136" s="17" t="s">
        <v>667</v>
      </c>
      <c r="G136" s="23" t="n">
        <v>3.8214109926169</v>
      </c>
      <c r="H136" s="19" t="n">
        <v>60.7</v>
      </c>
      <c r="I136" s="17" t="n">
        <f aca="false">IF(H136="","",RANK(H136,$H$5:$H$337))</f>
        <v>132</v>
      </c>
      <c r="J136" s="24" t="n">
        <v>0.0749559082892416</v>
      </c>
      <c r="K136" s="19" t="n">
        <v>42.7</v>
      </c>
      <c r="L136" s="17" t="n">
        <f aca="false">IF(K136="","",RANK(K136,$K$5:$K$337))</f>
        <v>189</v>
      </c>
      <c r="M136" s="25" t="n">
        <v>0.129360465116279</v>
      </c>
      <c r="N136" s="19" t="n">
        <v>48.7</v>
      </c>
      <c r="O136" s="17" t="n">
        <f aca="false">IF(N136="","",RANK(N136,$N$5:$N$337))</f>
        <v>170</v>
      </c>
      <c r="P136" s="17" t="str">
        <f aca="false">IF(AND(N(H136)&gt;=N(K136),N(H136)&gt;=N(N136)),"The Pulse",IF(N(K136)&gt;=N(N136),"The Lens","The Hub"))</f>
        <v>The Pulse</v>
      </c>
      <c r="Q136" s="21" t="s">
        <v>78</v>
      </c>
      <c r="R136" s="27" t="s">
        <v>671</v>
      </c>
      <c r="S136" s="17" t="s">
        <v>21</v>
      </c>
    </row>
    <row r="137" customFormat="false" ht="15" hidden="false" customHeight="false" outlineLevel="0" collapsed="false">
      <c r="A137" s="17" t="s">
        <v>431</v>
      </c>
      <c r="B137" s="17" t="s">
        <v>432</v>
      </c>
      <c r="C137" s="17" t="s">
        <v>1618</v>
      </c>
      <c r="D137" s="17" t="s">
        <v>105</v>
      </c>
      <c r="E137" s="18" t="n">
        <v>74045</v>
      </c>
      <c r="F137" s="17" t="s">
        <v>667</v>
      </c>
      <c r="G137" s="23" t="n">
        <v>3.80524005672226</v>
      </c>
      <c r="H137" s="19" t="n">
        <v>60.3</v>
      </c>
      <c r="I137" s="17" t="n">
        <f aca="false">IF(H137="","",RANK(H137,$H$5:$H$337))</f>
        <v>133</v>
      </c>
      <c r="J137" s="24" t="n">
        <v>0.137718570418856</v>
      </c>
      <c r="K137" s="19" t="n">
        <v>73.9</v>
      </c>
      <c r="L137" s="17" t="n">
        <f aca="false">IF(K137="","",RANK(K137,$K$5:$K$337))</f>
        <v>88</v>
      </c>
      <c r="M137" s="25" t="n">
        <v>0.210883392226148</v>
      </c>
      <c r="N137" s="19" t="n">
        <v>74.1</v>
      </c>
      <c r="O137" s="17" t="n">
        <f aca="false">IF(N137="","",RANK(N137,$N$5:$N$337))</f>
        <v>90</v>
      </c>
      <c r="P137" s="17" t="str">
        <f aca="false">IF(AND(N(H137)&gt;=N(K137),N(H137)&gt;=N(N137)),"The Pulse",IF(N(K137)&gt;=N(N137),"The Lens","The Hub"))</f>
        <v>The Hub</v>
      </c>
      <c r="Q137" s="20" t="s">
        <v>74</v>
      </c>
      <c r="R137" s="27" t="s">
        <v>671</v>
      </c>
      <c r="S137" s="17" t="s">
        <v>19</v>
      </c>
    </row>
    <row r="138" customFormat="false" ht="15" hidden="false" customHeight="false" outlineLevel="0" collapsed="false">
      <c r="A138" s="17" t="s">
        <v>387</v>
      </c>
      <c r="B138" s="17" t="s">
        <v>388</v>
      </c>
      <c r="C138" s="17" t="s">
        <v>1619</v>
      </c>
      <c r="D138" s="17" t="s">
        <v>138</v>
      </c>
      <c r="E138" s="18" t="n">
        <v>20460</v>
      </c>
      <c r="F138" s="17" t="s">
        <v>667</v>
      </c>
      <c r="G138" s="23" t="n">
        <v>3.80405669599218</v>
      </c>
      <c r="H138" s="19" t="n">
        <v>60</v>
      </c>
      <c r="I138" s="17" t="n">
        <f aca="false">IF(H138="","",RANK(H138,$H$5:$H$337))</f>
        <v>134</v>
      </c>
      <c r="J138" s="24" t="n">
        <v>0.273179838207841</v>
      </c>
      <c r="K138" s="19" t="n">
        <v>99.6</v>
      </c>
      <c r="L138" s="17" t="n">
        <f aca="false">IF(K138="","",RANK(K138,$K$5:$K$337))</f>
        <v>4</v>
      </c>
      <c r="M138" s="25" t="n">
        <v>0.121708892200696</v>
      </c>
      <c r="N138" s="19" t="n">
        <v>43</v>
      </c>
      <c r="O138" s="17" t="n">
        <f aca="false">IF(N138="","",RANK(N138,$N$5:$N$337))</f>
        <v>187</v>
      </c>
      <c r="P138" s="17" t="str">
        <f aca="false">IF(AND(N(H138)&gt;=N(K138),N(H138)&gt;=N(N138)),"The Pulse",IF(N(K138)&gt;=N(N138),"The Lens","The Hub"))</f>
        <v>The Lens</v>
      </c>
      <c r="Q138" s="21" t="s">
        <v>78</v>
      </c>
      <c r="R138" s="27" t="s">
        <v>671</v>
      </c>
      <c r="S138" s="17" t="s">
        <v>21</v>
      </c>
    </row>
    <row r="139" customFormat="false" ht="15" hidden="false" customHeight="false" outlineLevel="0" collapsed="false">
      <c r="A139" s="17" t="s">
        <v>194</v>
      </c>
      <c r="B139" s="17" t="s">
        <v>195</v>
      </c>
      <c r="C139" s="17" t="s">
        <v>1620</v>
      </c>
      <c r="D139" s="17" t="s">
        <v>105</v>
      </c>
      <c r="E139" s="18" t="n">
        <v>21490</v>
      </c>
      <c r="F139" s="17" t="s">
        <v>667</v>
      </c>
      <c r="G139" s="23" t="n">
        <v>3.80134946486738</v>
      </c>
      <c r="H139" s="19" t="n">
        <v>59.8</v>
      </c>
      <c r="I139" s="17" t="n">
        <f aca="false">IF(H139="","",RANK(H139,$H$5:$H$337))</f>
        <v>135</v>
      </c>
      <c r="J139" s="24" t="n">
        <v>0.125130890052356</v>
      </c>
      <c r="K139" s="19" t="n">
        <v>66.4</v>
      </c>
      <c r="L139" s="17" t="n">
        <f aca="false">IF(K139="","",RANK(K139,$K$5:$K$337))</f>
        <v>111</v>
      </c>
      <c r="M139" s="25" t="n">
        <v>0.146644106034969</v>
      </c>
      <c r="N139" s="19" t="n">
        <v>55.2</v>
      </c>
      <c r="O139" s="17" t="n">
        <f aca="false">IF(N139="","",RANK(N139,$N$5:$N$337))</f>
        <v>150</v>
      </c>
      <c r="P139" s="17" t="str">
        <f aca="false">IF(AND(N(H139)&gt;=N(K139),N(H139)&gt;=N(N139)),"The Pulse",IF(N(K139)&gt;=N(N139),"The Lens","The Hub"))</f>
        <v>The Lens</v>
      </c>
      <c r="Q139" s="21" t="s">
        <v>78</v>
      </c>
      <c r="R139" s="27" t="s">
        <v>671</v>
      </c>
      <c r="S139" s="17" t="s">
        <v>21</v>
      </c>
    </row>
    <row r="140" customFormat="false" ht="15" hidden="false" customHeight="false" outlineLevel="0" collapsed="false">
      <c r="A140" s="17" t="s">
        <v>1621</v>
      </c>
      <c r="B140" s="17" t="s">
        <v>1622</v>
      </c>
      <c r="C140" s="17" t="s">
        <v>1623</v>
      </c>
      <c r="D140" s="17" t="s">
        <v>133</v>
      </c>
      <c r="E140" s="18" t="n">
        <v>19216</v>
      </c>
      <c r="F140" s="17" t="s">
        <v>667</v>
      </c>
      <c r="G140" s="23" t="n">
        <v>3.77752914238135</v>
      </c>
      <c r="H140" s="19" t="n">
        <v>59.2</v>
      </c>
      <c r="I140" s="17" t="n">
        <f aca="false">IF(H140="","",RANK(H140,$H$5:$H$337))</f>
        <v>136</v>
      </c>
      <c r="J140" s="24" t="n">
        <v>0.13502658003544</v>
      </c>
      <c r="K140" s="19" t="n">
        <v>71.8</v>
      </c>
      <c r="L140" s="17" t="n">
        <f aca="false">IF(K140="","",RANK(K140,$K$5:$K$337))</f>
        <v>95</v>
      </c>
      <c r="M140" s="25" t="n">
        <v>0.0495430495430495</v>
      </c>
      <c r="N140" s="19" t="n">
        <v>13.2</v>
      </c>
      <c r="O140" s="17" t="n">
        <f aca="false">IF(N140="","",RANK(N140,$N$5:$N$337))</f>
        <v>290</v>
      </c>
      <c r="P140" s="17" t="str">
        <f aca="false">IF(AND(N(H140)&gt;=N(K140),N(H140)&gt;=N(N140)),"The Pulse",IF(N(K140)&gt;=N(N140),"The Lens","The Hub"))</f>
        <v>The Lens</v>
      </c>
      <c r="Q140" s="20" t="s">
        <v>74</v>
      </c>
      <c r="R140" s="26" t="s">
        <v>668</v>
      </c>
      <c r="S140" s="17" t="s">
        <v>19</v>
      </c>
    </row>
    <row r="141" customFormat="false" ht="15" hidden="false" customHeight="false" outlineLevel="0" collapsed="false">
      <c r="A141" s="17" t="s">
        <v>1624</v>
      </c>
      <c r="B141" s="17" t="s">
        <v>1625</v>
      </c>
      <c r="C141" s="17" t="s">
        <v>1626</v>
      </c>
      <c r="D141" s="17" t="s">
        <v>72</v>
      </c>
      <c r="E141" s="18" t="n">
        <v>24650</v>
      </c>
      <c r="F141" s="17" t="s">
        <v>667</v>
      </c>
      <c r="G141" s="23" t="n">
        <v>3.72519269776876</v>
      </c>
      <c r="H141" s="19" t="n">
        <v>58.6</v>
      </c>
      <c r="I141" s="17" t="n">
        <f aca="false">IF(H141="","",RANK(H141,$H$5:$H$337))</f>
        <v>137</v>
      </c>
      <c r="J141" s="24" t="n">
        <v>0.135526073337019</v>
      </c>
      <c r="K141" s="19" t="n">
        <v>72.6</v>
      </c>
      <c r="L141" s="17" t="n">
        <f aca="false">IF(K141="","",RANK(K141,$K$5:$K$337))</f>
        <v>92</v>
      </c>
      <c r="M141" s="25" t="n">
        <v>0.152456950860983</v>
      </c>
      <c r="N141" s="19" t="n">
        <v>58</v>
      </c>
      <c r="O141" s="17" t="n">
        <f aca="false">IF(N141="","",RANK(N141,$N$5:$N$337))</f>
        <v>141</v>
      </c>
      <c r="P141" s="17" t="str">
        <f aca="false">IF(AND(N(H141)&gt;=N(K141),N(H141)&gt;=N(N141)),"The Pulse",IF(N(K141)&gt;=N(N141),"The Lens","The Hub"))</f>
        <v>The Lens</v>
      </c>
      <c r="Q141" s="20" t="s">
        <v>74</v>
      </c>
      <c r="R141" s="26" t="s">
        <v>668</v>
      </c>
      <c r="S141" s="17" t="s">
        <v>19</v>
      </c>
    </row>
    <row r="142" customFormat="false" ht="15" hidden="false" customHeight="false" outlineLevel="0" collapsed="false">
      <c r="A142" s="17" t="s">
        <v>305</v>
      </c>
      <c r="B142" s="17" t="s">
        <v>306</v>
      </c>
      <c r="C142" s="17" t="s">
        <v>1627</v>
      </c>
      <c r="D142" s="17" t="s">
        <v>87</v>
      </c>
      <c r="E142" s="18" t="n">
        <v>46260</v>
      </c>
      <c r="F142" s="17" t="s">
        <v>667</v>
      </c>
      <c r="G142" s="23" t="n">
        <v>3.71154345006485</v>
      </c>
      <c r="H142" s="19" t="n">
        <v>58.4</v>
      </c>
      <c r="I142" s="17" t="n">
        <f aca="false">IF(H142="","",RANK(H142,$H$5:$H$337))</f>
        <v>138</v>
      </c>
      <c r="J142" s="24" t="n">
        <v>0.016479894528675</v>
      </c>
      <c r="K142" s="19" t="n">
        <v>16.2</v>
      </c>
      <c r="L142" s="17" t="n">
        <f aca="false">IF(K142="","",RANK(K142,$K$5:$K$337))</f>
        <v>281</v>
      </c>
      <c r="M142" s="25" t="n">
        <v>0.224900924702774</v>
      </c>
      <c r="N142" s="19" t="n">
        <v>76.9</v>
      </c>
      <c r="O142" s="17" t="n">
        <f aca="false">IF(N142="","",RANK(N142,$N$5:$N$337))</f>
        <v>81</v>
      </c>
      <c r="P142" s="17" t="str">
        <f aca="false">IF(AND(N(H142)&gt;=N(K142),N(H142)&gt;=N(N142)),"The Pulse",IF(N(K142)&gt;=N(N142),"The Lens","The Hub"))</f>
        <v>The Hub</v>
      </c>
      <c r="Q142" s="21" t="s">
        <v>78</v>
      </c>
      <c r="R142" s="27" t="s">
        <v>671</v>
      </c>
      <c r="S142" s="17" t="s">
        <v>21</v>
      </c>
    </row>
    <row r="143" customFormat="false" ht="15" hidden="false" customHeight="false" outlineLevel="0" collapsed="false">
      <c r="A143" s="17" t="s">
        <v>253</v>
      </c>
      <c r="B143" s="17" t="s">
        <v>254</v>
      </c>
      <c r="C143" s="17" t="s">
        <v>1628</v>
      </c>
      <c r="D143" s="17" t="s">
        <v>102</v>
      </c>
      <c r="E143" s="18" t="n">
        <v>184753</v>
      </c>
      <c r="F143" s="17" t="s">
        <v>670</v>
      </c>
      <c r="G143" s="23" t="n">
        <v>3.70274907579309</v>
      </c>
      <c r="H143" s="19" t="n">
        <v>57.9</v>
      </c>
      <c r="I143" s="17" t="n">
        <f aca="false">IF(H143="","",RANK(H143,$H$5:$H$337))</f>
        <v>139</v>
      </c>
      <c r="J143" s="24" t="n">
        <v>0.0908055002863503</v>
      </c>
      <c r="K143" s="19" t="n">
        <v>57</v>
      </c>
      <c r="L143" s="17" t="n">
        <f aca="false">IF(K143="","",RANK(K143,$K$5:$K$337))</f>
        <v>141</v>
      </c>
      <c r="M143" s="25" t="n">
        <v>0.29724978023358</v>
      </c>
      <c r="N143" s="19" t="n">
        <v>90.7</v>
      </c>
      <c r="O143" s="17" t="n">
        <f aca="false">IF(N143="","",RANK(N143,$N$5:$N$337))</f>
        <v>36</v>
      </c>
      <c r="P143" s="17" t="str">
        <f aca="false">IF(AND(N(H143)&gt;=N(K143),N(H143)&gt;=N(N143)),"The Pulse",IF(N(K143)&gt;=N(N143),"The Lens","The Hub"))</f>
        <v>The Hub</v>
      </c>
      <c r="Q143" s="20" t="s">
        <v>74</v>
      </c>
      <c r="R143" s="27" t="s">
        <v>671</v>
      </c>
      <c r="S143" s="17" t="s">
        <v>19</v>
      </c>
    </row>
    <row r="144" customFormat="false" ht="15" hidden="false" customHeight="false" outlineLevel="0" collapsed="false">
      <c r="A144" s="17" t="s">
        <v>760</v>
      </c>
      <c r="B144" s="17" t="s">
        <v>761</v>
      </c>
      <c r="C144" s="17" t="s">
        <v>1629</v>
      </c>
      <c r="D144" s="17" t="s">
        <v>138</v>
      </c>
      <c r="E144" s="18" t="n">
        <v>26480</v>
      </c>
      <c r="F144" s="17" t="s">
        <v>667</v>
      </c>
      <c r="G144" s="23" t="n">
        <v>3.6720166163142</v>
      </c>
      <c r="H144" s="19" t="n">
        <v>57.3</v>
      </c>
      <c r="I144" s="17" t="n">
        <f aca="false">IF(H144="","",RANK(H144,$H$5:$H$337))</f>
        <v>140</v>
      </c>
      <c r="J144" s="24" t="n">
        <v>0.107486407360937</v>
      </c>
      <c r="K144" s="19" t="n">
        <v>59.3</v>
      </c>
      <c r="L144" s="17" t="n">
        <f aca="false">IF(K144="","",RANK(K144,$K$5:$K$337))</f>
        <v>132</v>
      </c>
      <c r="M144" s="25" t="n">
        <v>0.123808244930845</v>
      </c>
      <c r="N144" s="19" t="n">
        <v>45.9</v>
      </c>
      <c r="O144" s="17" t="n">
        <f aca="false">IF(N144="","",RANK(N144,$N$5:$N$337))</f>
        <v>178</v>
      </c>
      <c r="P144" s="17" t="str">
        <f aca="false">IF(AND(N(H144)&gt;=N(K144),N(H144)&gt;=N(N144)),"The Pulse",IF(N(K144)&gt;=N(N144),"The Lens","The Hub"))</f>
        <v>The Lens</v>
      </c>
      <c r="Q144" s="21" t="s">
        <v>78</v>
      </c>
      <c r="R144" s="26" t="s">
        <v>668</v>
      </c>
      <c r="S144" s="17" t="s">
        <v>21</v>
      </c>
    </row>
    <row r="145" customFormat="false" ht="15" hidden="false" customHeight="false" outlineLevel="0" collapsed="false">
      <c r="A145" s="17" t="s">
        <v>1630</v>
      </c>
      <c r="B145" s="17" t="s">
        <v>1631</v>
      </c>
      <c r="C145" s="17" t="s">
        <v>1632</v>
      </c>
      <c r="D145" s="17" t="s">
        <v>138</v>
      </c>
      <c r="E145" s="18" t="n">
        <v>47044</v>
      </c>
      <c r="F145" s="17" t="s">
        <v>667</v>
      </c>
      <c r="G145" s="23" t="n">
        <v>3.64707507864978</v>
      </c>
      <c r="H145" s="19" t="n">
        <v>57.1</v>
      </c>
      <c r="I145" s="17" t="n">
        <f aca="false">IF(H145="","",RANK(H145,$H$5:$H$337))</f>
        <v>141</v>
      </c>
      <c r="J145" s="24" t="n">
        <v>0.0312821974263981</v>
      </c>
      <c r="K145" s="19" t="n">
        <v>21.2</v>
      </c>
      <c r="L145" s="17" t="n">
        <f aca="false">IF(K145="","",RANK(K145,$K$5:$K$337))</f>
        <v>262</v>
      </c>
      <c r="M145" s="25" t="n">
        <v>0.094244710756029</v>
      </c>
      <c r="N145" s="19" t="n">
        <v>30.1</v>
      </c>
      <c r="O145" s="17" t="n">
        <f aca="false">IF(N145="","",RANK(N145,$N$5:$N$337))</f>
        <v>233</v>
      </c>
      <c r="P145" s="17" t="str">
        <f aca="false">IF(AND(N(H145)&gt;=N(K145),N(H145)&gt;=N(N145)),"The Pulse",IF(N(K145)&gt;=N(N145),"The Lens","The Hub"))</f>
        <v>The Pulse</v>
      </c>
      <c r="Q145" s="20" t="s">
        <v>74</v>
      </c>
      <c r="R145" s="26" t="s">
        <v>668</v>
      </c>
      <c r="S145" s="17" t="s">
        <v>19</v>
      </c>
    </row>
    <row r="146" customFormat="false" ht="15" hidden="false" customHeight="false" outlineLevel="0" collapsed="false">
      <c r="A146" s="17" t="s">
        <v>1633</v>
      </c>
      <c r="B146" s="17" t="s">
        <v>1634</v>
      </c>
      <c r="C146" s="17" t="s">
        <v>1635</v>
      </c>
      <c r="D146" s="17" t="s">
        <v>81</v>
      </c>
      <c r="E146" s="18" t="n">
        <v>182496</v>
      </c>
      <c r="F146" s="17" t="s">
        <v>670</v>
      </c>
      <c r="G146" s="23" t="n">
        <v>3.61855602314571</v>
      </c>
      <c r="H146" s="19" t="n">
        <v>56.9</v>
      </c>
      <c r="I146" s="17" t="n">
        <f aca="false">IF(H146="","",RANK(H146,$H$5:$H$337))</f>
        <v>142</v>
      </c>
      <c r="J146" s="24" t="n">
        <v>0.0592004457445327</v>
      </c>
      <c r="K146" s="19" t="n">
        <v>35.1</v>
      </c>
      <c r="L146" s="17" t="n">
        <f aca="false">IF(K146="","",RANK(K146,$K$5:$K$337))</f>
        <v>219</v>
      </c>
      <c r="M146" s="25" t="n">
        <v>0.00138635987419301</v>
      </c>
      <c r="N146" s="19" t="n">
        <v>0.3</v>
      </c>
      <c r="O146" s="17" t="n">
        <f aca="false">IF(N146="","",RANK(N146,$N$5:$N$337))</f>
        <v>333</v>
      </c>
      <c r="P146" s="17" t="str">
        <f aca="false">IF(AND(N(H146)&gt;=N(K146),N(H146)&gt;=N(N146)),"The Pulse",IF(N(K146)&gt;=N(N146),"The Lens","The Hub"))</f>
        <v>The Pulse</v>
      </c>
      <c r="Q146" s="20" t="s">
        <v>74</v>
      </c>
      <c r="R146" s="26" t="s">
        <v>668</v>
      </c>
      <c r="S146" s="17" t="s">
        <v>19</v>
      </c>
    </row>
    <row r="147" customFormat="false" ht="15" hidden="false" customHeight="false" outlineLevel="0" collapsed="false">
      <c r="A147" s="17" t="s">
        <v>459</v>
      </c>
      <c r="B147" s="17" t="s">
        <v>460</v>
      </c>
      <c r="C147" s="17" t="s">
        <v>1636</v>
      </c>
      <c r="D147" s="17" t="s">
        <v>72</v>
      </c>
      <c r="E147" s="18" t="n">
        <v>18340</v>
      </c>
      <c r="F147" s="17" t="s">
        <v>667</v>
      </c>
      <c r="G147" s="23" t="n">
        <v>3.6113413304253</v>
      </c>
      <c r="H147" s="19" t="n">
        <v>56.7</v>
      </c>
      <c r="I147" s="17" t="n">
        <f aca="false">IF(H147="","",RANK(H147,$H$5:$H$337))</f>
        <v>143</v>
      </c>
      <c r="J147" s="24" t="n">
        <v>0.241706161137441</v>
      </c>
      <c r="K147" s="19" t="n">
        <v>97.5</v>
      </c>
      <c r="L147" s="17" t="n">
        <f aca="false">IF(K147="","",RANK(K147,$K$5:$K$337))</f>
        <v>10</v>
      </c>
      <c r="M147" s="25" t="n">
        <v>0.0058187863674148</v>
      </c>
      <c r="N147" s="19" t="n">
        <v>1</v>
      </c>
      <c r="O147" s="17" t="n">
        <f aca="false">IF(N147="","",RANK(N147,$N$5:$N$337))</f>
        <v>330</v>
      </c>
      <c r="P147" s="17" t="str">
        <f aca="false">IF(AND(N(H147)&gt;=N(K147),N(H147)&gt;=N(N147)),"The Pulse",IF(N(K147)&gt;=N(N147),"The Lens","The Hub"))</f>
        <v>The Lens</v>
      </c>
      <c r="Q147" s="21" t="s">
        <v>78</v>
      </c>
      <c r="R147" s="27" t="s">
        <v>671</v>
      </c>
      <c r="S147" s="17" t="s">
        <v>21</v>
      </c>
    </row>
    <row r="148" customFormat="false" ht="15" hidden="false" customHeight="false" outlineLevel="0" collapsed="false">
      <c r="A148" s="17" t="s">
        <v>249</v>
      </c>
      <c r="B148" s="17" t="s">
        <v>250</v>
      </c>
      <c r="C148" s="17" t="s">
        <v>1637</v>
      </c>
      <c r="D148" s="17" t="s">
        <v>77</v>
      </c>
      <c r="E148" s="18" t="n">
        <v>53743</v>
      </c>
      <c r="F148" s="17" t="s">
        <v>667</v>
      </c>
      <c r="G148" s="23" t="n">
        <v>3.58943490315018</v>
      </c>
      <c r="H148" s="19" t="n">
        <v>56.2</v>
      </c>
      <c r="I148" s="17" t="n">
        <f aca="false">IF(H148="","",RANK(H148,$H$5:$H$337))</f>
        <v>144</v>
      </c>
      <c r="J148" s="24" t="n">
        <v>0.226281202938895</v>
      </c>
      <c r="K148" s="19" t="n">
        <v>96.7</v>
      </c>
      <c r="L148" s="17" t="n">
        <f aca="false">IF(K148="","",RANK(K148,$K$5:$K$337))</f>
        <v>13</v>
      </c>
      <c r="M148" s="25" t="n">
        <v>0.160494942196532</v>
      </c>
      <c r="N148" s="19" t="n">
        <v>60.9</v>
      </c>
      <c r="O148" s="17" t="n">
        <f aca="false">IF(N148="","",RANK(N148,$N$5:$N$337))</f>
        <v>132</v>
      </c>
      <c r="P148" s="17" t="str">
        <f aca="false">IF(AND(N(H148)&gt;=N(K148),N(H148)&gt;=N(N148)),"The Pulse",IF(N(K148)&gt;=N(N148),"The Lens","The Hub"))</f>
        <v>The Lens</v>
      </c>
      <c r="Q148" s="20" t="s">
        <v>74</v>
      </c>
      <c r="R148" s="27" t="s">
        <v>671</v>
      </c>
      <c r="S148" s="17" t="s">
        <v>19</v>
      </c>
    </row>
    <row r="149" customFormat="false" ht="15" hidden="false" customHeight="false" outlineLevel="0" collapsed="false">
      <c r="A149" s="17" t="s">
        <v>297</v>
      </c>
      <c r="B149" s="17" t="s">
        <v>298</v>
      </c>
      <c r="C149" s="17" t="s">
        <v>1638</v>
      </c>
      <c r="D149" s="17" t="s">
        <v>102</v>
      </c>
      <c r="E149" s="18" t="n">
        <v>22210</v>
      </c>
      <c r="F149" s="17" t="s">
        <v>667</v>
      </c>
      <c r="G149" s="23" t="n">
        <v>3.56929311121117</v>
      </c>
      <c r="H149" s="19" t="n">
        <v>56</v>
      </c>
      <c r="I149" s="17" t="n">
        <f aca="false">IF(H149="","",RANK(H149,$H$5:$H$337))</f>
        <v>145</v>
      </c>
      <c r="J149" s="24" t="n">
        <v>0.106075697211155</v>
      </c>
      <c r="K149" s="19" t="n">
        <v>58.5</v>
      </c>
      <c r="L149" s="17" t="n">
        <f aca="false">IF(K149="","",RANK(K149,$K$5:$K$337))</f>
        <v>135</v>
      </c>
      <c r="M149" s="25" t="n">
        <v>0.257194244604317</v>
      </c>
      <c r="N149" s="19" t="n">
        <v>85</v>
      </c>
      <c r="O149" s="17" t="n">
        <f aca="false">IF(N149="","",RANK(N149,$N$5:$N$337))</f>
        <v>53</v>
      </c>
      <c r="P149" s="17" t="str">
        <f aca="false">IF(AND(N(H149)&gt;=N(K149),N(H149)&gt;=N(N149)),"The Pulse",IF(N(K149)&gt;=N(N149),"The Lens","The Hub"))</f>
        <v>The Hub</v>
      </c>
      <c r="Q149" s="21" t="s">
        <v>78</v>
      </c>
      <c r="R149" s="27" t="s">
        <v>671</v>
      </c>
      <c r="S149" s="17" t="s">
        <v>21</v>
      </c>
    </row>
    <row r="150" customFormat="false" ht="15" hidden="false" customHeight="false" outlineLevel="0" collapsed="false">
      <c r="A150" s="17" t="s">
        <v>1337</v>
      </c>
      <c r="B150" s="17" t="s">
        <v>1338</v>
      </c>
      <c r="C150" s="17" t="s">
        <v>1639</v>
      </c>
      <c r="D150" s="17" t="s">
        <v>77</v>
      </c>
      <c r="E150" s="18" t="n">
        <v>67245</v>
      </c>
      <c r="F150" s="17" t="s">
        <v>667</v>
      </c>
      <c r="G150" s="23" t="n">
        <v>3.55340917540338</v>
      </c>
      <c r="H150" s="19" t="n">
        <v>55.8</v>
      </c>
      <c r="I150" s="17" t="n">
        <f aca="false">IF(H150="","",RANK(H150,$H$5:$H$337))</f>
        <v>146</v>
      </c>
      <c r="J150" s="24" t="n">
        <v>0.0295491081681084</v>
      </c>
      <c r="K150" s="19" t="n">
        <v>19.9</v>
      </c>
      <c r="L150" s="17" t="n">
        <f aca="false">IF(K150="","",RANK(K150,$K$5:$K$337))</f>
        <v>267</v>
      </c>
      <c r="M150" s="25" t="n">
        <v>0.134967365009813</v>
      </c>
      <c r="N150" s="19" t="n">
        <v>50</v>
      </c>
      <c r="O150" s="17" t="n">
        <f aca="false">IF(N150="","",RANK(N150,$N$5:$N$337))</f>
        <v>166</v>
      </c>
      <c r="P150" s="17" t="str">
        <f aca="false">IF(AND(N(H150)&gt;=N(K150),N(H150)&gt;=N(N150)),"The Pulse",IF(N(K150)&gt;=N(N150),"The Lens","The Hub"))</f>
        <v>The Pulse</v>
      </c>
      <c r="Q150" s="20" t="s">
        <v>74</v>
      </c>
      <c r="R150" s="26" t="s">
        <v>668</v>
      </c>
      <c r="S150" s="17" t="s">
        <v>19</v>
      </c>
    </row>
    <row r="151" customFormat="false" ht="15" hidden="false" customHeight="false" outlineLevel="0" collapsed="false">
      <c r="A151" s="17" t="s">
        <v>200</v>
      </c>
      <c r="B151" s="17" t="s">
        <v>201</v>
      </c>
      <c r="C151" s="17" t="s">
        <v>1640</v>
      </c>
      <c r="D151" s="17" t="s">
        <v>87</v>
      </c>
      <c r="E151" s="18" t="n">
        <v>131260</v>
      </c>
      <c r="F151" s="17" t="s">
        <v>670</v>
      </c>
      <c r="G151" s="23" t="n">
        <v>3.5442632942252</v>
      </c>
      <c r="H151" s="19" t="n">
        <v>55.6</v>
      </c>
      <c r="I151" s="17" t="n">
        <f aca="false">IF(H151="","",RANK(H151,$H$5:$H$337))</f>
        <v>147</v>
      </c>
      <c r="J151" s="24" t="n">
        <v>0.0407548366634951</v>
      </c>
      <c r="K151" s="19" t="n">
        <v>27.8</v>
      </c>
      <c r="L151" s="17" t="n">
        <f aca="false">IF(K151="","",RANK(K151,$K$5:$K$337))</f>
        <v>241</v>
      </c>
      <c r="M151" s="25" t="n">
        <v>0.249194282480872</v>
      </c>
      <c r="N151" s="19" t="n">
        <v>82.4</v>
      </c>
      <c r="O151" s="17" t="n">
        <f aca="false">IF(N151="","",RANK(N151,$N$5:$N$337))</f>
        <v>62</v>
      </c>
      <c r="P151" s="17" t="str">
        <f aca="false">IF(AND(N(H151)&gt;=N(K151),N(H151)&gt;=N(N151)),"The Pulse",IF(N(K151)&gt;=N(N151),"The Lens","The Hub"))</f>
        <v>The Hub</v>
      </c>
      <c r="Q151" s="21" t="s">
        <v>78</v>
      </c>
      <c r="R151" s="27" t="s">
        <v>671</v>
      </c>
      <c r="S151" s="17" t="s">
        <v>21</v>
      </c>
    </row>
    <row r="152" customFormat="false" ht="15" hidden="false" customHeight="false" outlineLevel="0" collapsed="false">
      <c r="A152" s="17" t="s">
        <v>413</v>
      </c>
      <c r="B152" s="17" t="s">
        <v>414</v>
      </c>
      <c r="C152" s="17" t="s">
        <v>1641</v>
      </c>
      <c r="D152" s="17" t="s">
        <v>102</v>
      </c>
      <c r="E152" s="18" t="n">
        <v>66260</v>
      </c>
      <c r="F152" s="17" t="s">
        <v>667</v>
      </c>
      <c r="G152" s="23" t="n">
        <v>3.52712043465137</v>
      </c>
      <c r="H152" s="19" t="n">
        <v>55.4</v>
      </c>
      <c r="I152" s="17" t="n">
        <f aca="false">IF(H152="","",RANK(H152,$H$5:$H$337))</f>
        <v>148</v>
      </c>
      <c r="J152" s="24" t="n">
        <v>0.128982790935423</v>
      </c>
      <c r="K152" s="19" t="n">
        <v>69.3</v>
      </c>
      <c r="L152" s="17" t="n">
        <f aca="false">IF(K152="","",RANK(K152,$K$5:$K$337))</f>
        <v>103</v>
      </c>
      <c r="M152" s="25" t="n">
        <v>0.158715040263226</v>
      </c>
      <c r="N152" s="19" t="n">
        <v>60.1</v>
      </c>
      <c r="O152" s="17" t="n">
        <f aca="false">IF(N152="","",RANK(N152,$N$5:$N$337))</f>
        <v>135</v>
      </c>
      <c r="P152" s="17" t="str">
        <f aca="false">IF(AND(N(H152)&gt;=N(K152),N(H152)&gt;=N(N152)),"The Pulse",IF(N(K152)&gt;=N(N152),"The Lens","The Hub"))</f>
        <v>The Lens</v>
      </c>
      <c r="Q152" s="21" t="s">
        <v>78</v>
      </c>
      <c r="R152" s="27" t="s">
        <v>671</v>
      </c>
      <c r="S152" s="17" t="s">
        <v>21</v>
      </c>
    </row>
    <row r="153" customFormat="false" ht="15" hidden="false" customHeight="false" outlineLevel="0" collapsed="false">
      <c r="A153" s="17" t="s">
        <v>937</v>
      </c>
      <c r="B153" s="17" t="s">
        <v>938</v>
      </c>
      <c r="C153" s="17" t="s">
        <v>1642</v>
      </c>
      <c r="D153" s="17" t="s">
        <v>133</v>
      </c>
      <c r="E153" s="18" t="n">
        <v>53003</v>
      </c>
      <c r="F153" s="17" t="s">
        <v>667</v>
      </c>
      <c r="G153" s="23" t="n">
        <v>3.51381997245439</v>
      </c>
      <c r="H153" s="19" t="n">
        <v>55.2</v>
      </c>
      <c r="I153" s="17" t="n">
        <f aca="false">IF(H153="","",RANK(H153,$H$5:$H$337))</f>
        <v>149</v>
      </c>
      <c r="J153" s="24" t="n">
        <v>0.0689321367348997</v>
      </c>
      <c r="K153" s="19" t="n">
        <v>39.4</v>
      </c>
      <c r="L153" s="17" t="n">
        <f aca="false">IF(K153="","",RANK(K153,$K$5:$K$337))</f>
        <v>202</v>
      </c>
      <c r="M153" s="25" t="n">
        <v>0.0774850861317783</v>
      </c>
      <c r="N153" s="19" t="n">
        <v>23.6</v>
      </c>
      <c r="O153" s="17" t="n">
        <f aca="false">IF(N153="","",RANK(N153,$N$5:$N$337))</f>
        <v>256</v>
      </c>
      <c r="P153" s="17" t="str">
        <f aca="false">IF(AND(N(H153)&gt;=N(K153),N(H153)&gt;=N(N153)),"The Pulse",IF(N(K153)&gt;=N(N153),"The Lens","The Hub"))</f>
        <v>The Pulse</v>
      </c>
      <c r="Q153" s="20" t="s">
        <v>74</v>
      </c>
      <c r="R153" s="26" t="s">
        <v>668</v>
      </c>
      <c r="S153" s="17" t="s">
        <v>19</v>
      </c>
    </row>
    <row r="154" customFormat="false" ht="15" hidden="false" customHeight="false" outlineLevel="0" collapsed="false">
      <c r="A154" s="17" t="s">
        <v>433</v>
      </c>
      <c r="B154" s="17" t="s">
        <v>434</v>
      </c>
      <c r="C154" s="17" t="s">
        <v>1643</v>
      </c>
      <c r="D154" s="17" t="s">
        <v>138</v>
      </c>
      <c r="E154" s="18" t="n">
        <v>180192</v>
      </c>
      <c r="F154" s="17" t="s">
        <v>670</v>
      </c>
      <c r="G154" s="23" t="n">
        <v>3.48973872313976</v>
      </c>
      <c r="H154" s="19" t="n">
        <v>55</v>
      </c>
      <c r="I154" s="17" t="n">
        <f aca="false">IF(H154="","",RANK(H154,$H$5:$H$337))</f>
        <v>150</v>
      </c>
      <c r="J154" s="24" t="n">
        <v>0.161809459947387</v>
      </c>
      <c r="K154" s="19" t="n">
        <v>87.4</v>
      </c>
      <c r="L154" s="17" t="n">
        <f aca="false">IF(K154="","",RANK(K154,$K$5:$K$337))</f>
        <v>42</v>
      </c>
      <c r="M154" s="25" t="n">
        <v>0.116210758215532</v>
      </c>
      <c r="N154" s="19" t="n">
        <v>39.6</v>
      </c>
      <c r="O154" s="17" t="n">
        <f aca="false">IF(N154="","",RANK(N154,$N$5:$N$337))</f>
        <v>198</v>
      </c>
      <c r="P154" s="17" t="str">
        <f aca="false">IF(AND(N(H154)&gt;=N(K154),N(H154)&gt;=N(N154)),"The Pulse",IF(N(K154)&gt;=N(N154),"The Lens","The Hub"))</f>
        <v>The Lens</v>
      </c>
      <c r="Q154" s="20" t="s">
        <v>74</v>
      </c>
      <c r="R154" s="27" t="s">
        <v>671</v>
      </c>
      <c r="S154" s="17" t="s">
        <v>19</v>
      </c>
    </row>
    <row r="155" customFormat="false" ht="15" hidden="false" customHeight="false" outlineLevel="0" collapsed="false">
      <c r="A155" s="17" t="s">
        <v>1644</v>
      </c>
      <c r="B155" s="17" t="s">
        <v>1645</v>
      </c>
      <c r="C155" s="17" t="s">
        <v>1646</v>
      </c>
      <c r="D155" s="17" t="s">
        <v>92</v>
      </c>
      <c r="E155" s="18" t="n">
        <v>110340</v>
      </c>
      <c r="F155" s="17" t="s">
        <v>670</v>
      </c>
      <c r="G155" s="23" t="n">
        <v>3.48381366684792</v>
      </c>
      <c r="H155" s="19" t="n">
        <v>54.8</v>
      </c>
      <c r="I155" s="17" t="n">
        <f aca="false">IF(H155="","",RANK(H155,$H$5:$H$337))</f>
        <v>151</v>
      </c>
      <c r="J155" s="24" t="n">
        <v>0.140818858560794</v>
      </c>
      <c r="K155" s="19" t="n">
        <v>79.5</v>
      </c>
      <c r="L155" s="17" t="n">
        <f aca="false">IF(K155="","",RANK(K155,$K$5:$K$337))</f>
        <v>68</v>
      </c>
      <c r="M155" s="25" t="n">
        <v>0.341663585951941</v>
      </c>
      <c r="N155" s="19" t="n">
        <v>95.3</v>
      </c>
      <c r="O155" s="17" t="n">
        <f aca="false">IF(N155="","",RANK(N155,$N$5:$N$337))</f>
        <v>18</v>
      </c>
      <c r="P155" s="17" t="str">
        <f aca="false">IF(AND(N(H155)&gt;=N(K155),N(H155)&gt;=N(N155)),"The Pulse",IF(N(K155)&gt;=N(N155),"The Lens","The Hub"))</f>
        <v>The Hub</v>
      </c>
      <c r="Q155" s="21" t="s">
        <v>78</v>
      </c>
      <c r="R155" s="26" t="s">
        <v>668</v>
      </c>
      <c r="S155" s="17" t="s">
        <v>21</v>
      </c>
    </row>
    <row r="156" customFormat="false" ht="15" hidden="false" customHeight="false" outlineLevel="0" collapsed="false">
      <c r="A156" s="17" t="s">
        <v>287</v>
      </c>
      <c r="B156" s="17" t="s">
        <v>288</v>
      </c>
      <c r="C156" s="17" t="s">
        <v>1647</v>
      </c>
      <c r="D156" s="17" t="s">
        <v>81</v>
      </c>
      <c r="E156" s="18" t="n">
        <v>4034</v>
      </c>
      <c r="F156" s="17" t="s">
        <v>678</v>
      </c>
      <c r="G156" s="23" t="n">
        <v>3.4727317798711</v>
      </c>
      <c r="H156" s="19" t="n">
        <v>54.5</v>
      </c>
      <c r="I156" s="17" t="n">
        <f aca="false">IF(H156="","",RANK(H156,$H$5:$H$337))</f>
        <v>152</v>
      </c>
      <c r="J156" s="24" t="n">
        <v>0.0402269210933471</v>
      </c>
      <c r="K156" s="19" t="n">
        <v>14.6</v>
      </c>
      <c r="L156" s="17" t="n">
        <f aca="false">IF(K156="","",RANK(K156,$K$5:$K$337))</f>
        <v>286</v>
      </c>
      <c r="M156" s="25" t="n">
        <v>0.113733905579399</v>
      </c>
      <c r="N156" s="19" t="n">
        <v>38.1</v>
      </c>
      <c r="O156" s="17" t="n">
        <f aca="false">IF(N156="","",RANK(N156,$N$5:$N$337))</f>
        <v>204</v>
      </c>
      <c r="P156" s="17" t="str">
        <f aca="false">IF(AND(N(H156)&gt;=N(K156),N(H156)&gt;=N(N156)),"The Pulse",IF(N(K156)&gt;=N(N156),"The Lens","The Hub"))</f>
        <v>The Pulse</v>
      </c>
      <c r="Q156" s="20" t="s">
        <v>74</v>
      </c>
      <c r="R156" s="27" t="s">
        <v>671</v>
      </c>
      <c r="S156" s="17" t="s">
        <v>19</v>
      </c>
    </row>
    <row r="157" customFormat="false" ht="15" hidden="false" customHeight="false" outlineLevel="0" collapsed="false">
      <c r="A157" s="17" t="s">
        <v>403</v>
      </c>
      <c r="B157" s="17" t="s">
        <v>404</v>
      </c>
      <c r="C157" s="17" t="s">
        <v>1648</v>
      </c>
      <c r="D157" s="17" t="s">
        <v>77</v>
      </c>
      <c r="E157" s="18" t="n">
        <v>6710</v>
      </c>
      <c r="F157" s="17" t="s">
        <v>678</v>
      </c>
      <c r="G157" s="23" t="n">
        <v>3.46542473919523</v>
      </c>
      <c r="H157" s="19" t="n">
        <v>54.3</v>
      </c>
      <c r="I157" s="17" t="n">
        <f aca="false">IF(H157="","",RANK(H157,$H$5:$H$337))</f>
        <v>153</v>
      </c>
      <c r="J157" s="24" t="n">
        <v>0.202508960573477</v>
      </c>
      <c r="K157" s="19" t="n">
        <v>87.5</v>
      </c>
      <c r="L157" s="17" t="n">
        <f aca="false">IF(K157="","",RANK(K157,$K$5:$K$337))</f>
        <v>40</v>
      </c>
      <c r="M157" s="25" t="n">
        <v>0.0543559195830231</v>
      </c>
      <c r="N157" s="19" t="n">
        <v>15</v>
      </c>
      <c r="O157" s="17" t="n">
        <f aca="false">IF(N157="","",RANK(N157,$N$5:$N$337))</f>
        <v>284</v>
      </c>
      <c r="P157" s="17" t="str">
        <f aca="false">IF(AND(N(H157)&gt;=N(K157),N(H157)&gt;=N(N157)),"The Pulse",IF(N(K157)&gt;=N(N157),"The Lens","The Hub"))</f>
        <v>The Lens</v>
      </c>
      <c r="Q157" s="21" t="s">
        <v>78</v>
      </c>
      <c r="R157" s="27" t="s">
        <v>671</v>
      </c>
      <c r="S157" s="17" t="s">
        <v>21</v>
      </c>
    </row>
    <row r="158" customFormat="false" ht="15" hidden="false" customHeight="false" outlineLevel="0" collapsed="false">
      <c r="A158" s="17" t="s">
        <v>517</v>
      </c>
      <c r="B158" s="17" t="s">
        <v>518</v>
      </c>
      <c r="C158" s="17" t="s">
        <v>1649</v>
      </c>
      <c r="D158" s="17" t="s">
        <v>105</v>
      </c>
      <c r="E158" s="18" t="n">
        <v>84850</v>
      </c>
      <c r="F158" s="17" t="s">
        <v>667</v>
      </c>
      <c r="G158" s="23" t="n">
        <v>3.44828520919269</v>
      </c>
      <c r="H158" s="19" t="n">
        <v>54.1</v>
      </c>
      <c r="I158" s="17" t="n">
        <f aca="false">IF(H158="","",RANK(H158,$H$5:$H$337))</f>
        <v>154</v>
      </c>
      <c r="J158" s="24" t="n">
        <v>-0.0467851513669221</v>
      </c>
      <c r="K158" s="19" t="n">
        <v>4.1</v>
      </c>
      <c r="L158" s="17" t="n">
        <f aca="false">IF(K158="","",RANK(K158,$K$5:$K$337))</f>
        <v>320</v>
      </c>
      <c r="M158" s="25" t="n">
        <v>0.0324220764866259</v>
      </c>
      <c r="N158" s="19" t="n">
        <v>7</v>
      </c>
      <c r="O158" s="17" t="n">
        <f aca="false">IF(N158="","",RANK(N158,$N$5:$N$337))</f>
        <v>309</v>
      </c>
      <c r="P158" s="17" t="str">
        <f aca="false">IF(AND(N(H158)&gt;=N(K158),N(H158)&gt;=N(N158)),"The Pulse",IF(N(K158)&gt;=N(N158),"The Lens","The Hub"))</f>
        <v>The Pulse</v>
      </c>
      <c r="Q158" s="22" t="s">
        <v>83</v>
      </c>
      <c r="R158" s="27" t="s">
        <v>671</v>
      </c>
      <c r="S158" s="17" t="s">
        <v>84</v>
      </c>
    </row>
    <row r="159" customFormat="false" ht="15" hidden="false" customHeight="false" outlineLevel="0" collapsed="false">
      <c r="A159" s="17" t="s">
        <v>1650</v>
      </c>
      <c r="B159" s="17" t="s">
        <v>1651</v>
      </c>
      <c r="C159" s="17" t="s">
        <v>1652</v>
      </c>
      <c r="D159" s="17" t="s">
        <v>72</v>
      </c>
      <c r="E159" s="18" t="n">
        <v>1029970</v>
      </c>
      <c r="F159" s="17" t="s">
        <v>752</v>
      </c>
      <c r="G159" s="23" t="n">
        <v>3.4240948765498</v>
      </c>
      <c r="H159" s="19" t="n">
        <v>53.7</v>
      </c>
      <c r="I159" s="17" t="n">
        <f aca="false">IF(H159="","",RANK(H159,$H$5:$H$337))</f>
        <v>155</v>
      </c>
      <c r="J159" s="24" t="n">
        <v>0.177323853504641</v>
      </c>
      <c r="K159" s="19" t="n">
        <v>100</v>
      </c>
      <c r="L159" s="17" t="n">
        <f aca="false">IF(K159="","",RANK(K159,$K$5:$K$337))</f>
        <v>1</v>
      </c>
      <c r="M159" s="25" t="n">
        <v>0.112782006492927</v>
      </c>
      <c r="N159" s="19" t="n">
        <v>37.6</v>
      </c>
      <c r="O159" s="17" t="n">
        <f aca="false">IF(N159="","",RANK(N159,$N$5:$N$337))</f>
        <v>206</v>
      </c>
      <c r="P159" s="17" t="str">
        <f aca="false">IF(AND(N(H159)&gt;=N(K159),N(H159)&gt;=N(N159)),"The Pulse",IF(N(K159)&gt;=N(N159),"The Lens","The Hub"))</f>
        <v>The Lens</v>
      </c>
      <c r="Q159" s="21" t="s">
        <v>78</v>
      </c>
      <c r="R159" s="26" t="s">
        <v>668</v>
      </c>
      <c r="S159" s="17" t="s">
        <v>21</v>
      </c>
    </row>
    <row r="160" customFormat="false" ht="15" hidden="false" customHeight="false" outlineLevel="0" collapsed="false">
      <c r="A160" s="17" t="s">
        <v>1653</v>
      </c>
      <c r="B160" s="17" t="s">
        <v>1654</v>
      </c>
      <c r="C160" s="17" t="s">
        <v>1655</v>
      </c>
      <c r="D160" s="17" t="s">
        <v>87</v>
      </c>
      <c r="E160" s="18" t="n">
        <v>97360</v>
      </c>
      <c r="F160" s="17" t="s">
        <v>667</v>
      </c>
      <c r="G160" s="23" t="n">
        <v>3.39612777321282</v>
      </c>
      <c r="H160" s="19" t="n">
        <v>53.5</v>
      </c>
      <c r="I160" s="17" t="n">
        <f aca="false">IF(H160="","",RANK(H160,$H$5:$H$337))</f>
        <v>156</v>
      </c>
      <c r="J160" s="24" t="n">
        <v>0.0847910863509749</v>
      </c>
      <c r="K160" s="19" t="n">
        <v>47.3</v>
      </c>
      <c r="L160" s="17" t="n">
        <f aca="false">IF(K160="","",RANK(K160,$K$5:$K$337))</f>
        <v>176</v>
      </c>
      <c r="M160" s="25" t="n">
        <v>0.0268164435946463</v>
      </c>
      <c r="N160" s="19" t="n">
        <v>4.9</v>
      </c>
      <c r="O160" s="17" t="n">
        <f aca="false">IF(N160="","",RANK(N160,$N$5:$N$337))</f>
        <v>316</v>
      </c>
      <c r="P160" s="17" t="str">
        <f aca="false">IF(AND(N(H160)&gt;=N(K160),N(H160)&gt;=N(N160)),"The Pulse",IF(N(K160)&gt;=N(N160),"The Lens","The Hub"))</f>
        <v>The Pulse</v>
      </c>
      <c r="Q160" s="21" t="s">
        <v>78</v>
      </c>
      <c r="R160" s="26" t="s">
        <v>668</v>
      </c>
      <c r="S160" s="17" t="s">
        <v>21</v>
      </c>
    </row>
    <row r="161" customFormat="false" ht="15" hidden="false" customHeight="false" outlineLevel="0" collapsed="false">
      <c r="A161" s="17" t="s">
        <v>1656</v>
      </c>
      <c r="B161" s="17" t="s">
        <v>1657</v>
      </c>
      <c r="C161" s="17" t="s">
        <v>1658</v>
      </c>
      <c r="D161" s="17" t="s">
        <v>92</v>
      </c>
      <c r="E161" s="18" t="n">
        <v>54490</v>
      </c>
      <c r="F161" s="17" t="s">
        <v>667</v>
      </c>
      <c r="G161" s="23" t="n">
        <v>3.3862727105891</v>
      </c>
      <c r="H161" s="19" t="n">
        <v>53.3</v>
      </c>
      <c r="I161" s="17" t="n">
        <f aca="false">IF(H161="","",RANK(H161,$H$5:$H$337))</f>
        <v>157</v>
      </c>
      <c r="J161" s="24" t="n">
        <v>-0.00999273255813954</v>
      </c>
      <c r="K161" s="19" t="n">
        <v>10.8</v>
      </c>
      <c r="L161" s="17" t="n">
        <f aca="false">IF(K161="","",RANK(K161,$K$5:$K$337))</f>
        <v>296</v>
      </c>
      <c r="M161" s="25" t="n">
        <v>0.0560120514927417</v>
      </c>
      <c r="N161" s="19" t="n">
        <v>16.3</v>
      </c>
      <c r="O161" s="17" t="n">
        <f aca="false">IF(N161="","",RANK(N161,$N$5:$N$337))</f>
        <v>280</v>
      </c>
      <c r="P161" s="17" t="str">
        <f aca="false">IF(AND(N(H161)&gt;=N(K161),N(H161)&gt;=N(N161)),"The Pulse",IF(N(K161)&gt;=N(N161),"The Lens","The Hub"))</f>
        <v>The Pulse</v>
      </c>
      <c r="Q161" s="21" t="s">
        <v>78</v>
      </c>
      <c r="R161" s="26" t="s">
        <v>668</v>
      </c>
      <c r="S161" s="17" t="s">
        <v>21</v>
      </c>
    </row>
    <row r="162" customFormat="false" ht="15" hidden="false" customHeight="false" outlineLevel="0" collapsed="false">
      <c r="A162" s="17" t="s">
        <v>1659</v>
      </c>
      <c r="B162" s="17" t="s">
        <v>1660</v>
      </c>
      <c r="C162" s="17" t="s">
        <v>1661</v>
      </c>
      <c r="D162" s="17" t="s">
        <v>105</v>
      </c>
      <c r="E162" s="18" t="n">
        <v>183110</v>
      </c>
      <c r="F162" s="17" t="s">
        <v>670</v>
      </c>
      <c r="G162" s="23" t="n">
        <v>3.38267161815302</v>
      </c>
      <c r="H162" s="19" t="n">
        <v>53.1</v>
      </c>
      <c r="I162" s="17" t="n">
        <f aca="false">IF(H162="","",RANK(H162,$H$5:$H$337))</f>
        <v>158</v>
      </c>
      <c r="J162" s="24" t="n">
        <v>0.0098163569183257</v>
      </c>
      <c r="K162" s="19" t="n">
        <v>13.9</v>
      </c>
      <c r="L162" s="17" t="n">
        <f aca="false">IF(K162="","",RANK(K162,$K$5:$K$337))</f>
        <v>288</v>
      </c>
      <c r="M162" s="25" t="n">
        <v>0.207432923959091</v>
      </c>
      <c r="N162" s="19" t="n">
        <v>73.6</v>
      </c>
      <c r="O162" s="17" t="n">
        <f aca="false">IF(N162="","",RANK(N162,$N$5:$N$337))</f>
        <v>92</v>
      </c>
      <c r="P162" s="17" t="str">
        <f aca="false">IF(AND(N(H162)&gt;=N(K162),N(H162)&gt;=N(N162)),"The Pulse",IF(N(K162)&gt;=N(N162),"The Lens","The Hub"))</f>
        <v>The Hub</v>
      </c>
      <c r="Q162" s="21" t="s">
        <v>78</v>
      </c>
      <c r="R162" s="26" t="s">
        <v>668</v>
      </c>
      <c r="S162" s="17" t="s">
        <v>21</v>
      </c>
    </row>
    <row r="163" customFormat="false" ht="15" hidden="false" customHeight="false" outlineLevel="0" collapsed="false">
      <c r="A163" s="17" t="s">
        <v>1662</v>
      </c>
      <c r="B163" s="17" t="s">
        <v>1663</v>
      </c>
      <c r="C163" s="17" t="s">
        <v>1664</v>
      </c>
      <c r="D163" s="17" t="s">
        <v>102</v>
      </c>
      <c r="E163" s="18" t="n">
        <v>132810</v>
      </c>
      <c r="F163" s="17" t="s">
        <v>670</v>
      </c>
      <c r="G163" s="23" t="n">
        <v>3.3755364806867</v>
      </c>
      <c r="H163" s="19" t="n">
        <v>52.9</v>
      </c>
      <c r="I163" s="17" t="n">
        <f aca="false">IF(H163="","",RANK(H163,$H$5:$H$337))</f>
        <v>159</v>
      </c>
      <c r="J163" s="24" t="n">
        <v>0.0896783721693469</v>
      </c>
      <c r="K163" s="19" t="n">
        <v>55</v>
      </c>
      <c r="L163" s="17" t="n">
        <f aca="false">IF(K163="","",RANK(K163,$K$5:$K$337))</f>
        <v>147</v>
      </c>
      <c r="M163" s="25" t="n">
        <v>0.184208625297985</v>
      </c>
      <c r="N163" s="19" t="n">
        <v>68.1</v>
      </c>
      <c r="O163" s="17" t="n">
        <f aca="false">IF(N163="","",RANK(N163,$N$5:$N$337))</f>
        <v>110</v>
      </c>
      <c r="P163" s="17" t="str">
        <f aca="false">IF(AND(N(H163)&gt;=N(K163),N(H163)&gt;=N(N163)),"The Pulse",IF(N(K163)&gt;=N(N163),"The Lens","The Hub"))</f>
        <v>The Hub</v>
      </c>
      <c r="Q163" s="21" t="s">
        <v>78</v>
      </c>
      <c r="R163" s="26" t="s">
        <v>668</v>
      </c>
      <c r="S163" s="17" t="s">
        <v>21</v>
      </c>
    </row>
    <row r="164" customFormat="false" ht="15" hidden="false" customHeight="false" outlineLevel="0" collapsed="false">
      <c r="A164" s="17" t="s">
        <v>1665</v>
      </c>
      <c r="B164" s="17" t="s">
        <v>1666</v>
      </c>
      <c r="C164" s="17" t="s">
        <v>1667</v>
      </c>
      <c r="D164" s="17" t="s">
        <v>105</v>
      </c>
      <c r="E164" s="18" t="n">
        <v>65500</v>
      </c>
      <c r="F164" s="17" t="s">
        <v>667</v>
      </c>
      <c r="G164" s="23" t="n">
        <v>3.3187786259542</v>
      </c>
      <c r="H164" s="19" t="n">
        <v>52.4</v>
      </c>
      <c r="I164" s="17" t="n">
        <f aca="false">IF(H164="","",RANK(H164,$H$5:$H$337))</f>
        <v>160</v>
      </c>
      <c r="J164" s="24" t="n">
        <v>-0.0370479270802705</v>
      </c>
      <c r="K164" s="19" t="n">
        <v>5.4</v>
      </c>
      <c r="L164" s="17" t="n">
        <f aca="false">IF(K164="","",RANK(K164,$K$5:$K$337))</f>
        <v>315</v>
      </c>
      <c r="M164" s="25" t="n">
        <v>0.115799645675632</v>
      </c>
      <c r="N164" s="19" t="n">
        <v>39.4</v>
      </c>
      <c r="O164" s="17" t="n">
        <f aca="false">IF(N164="","",RANK(N164,$N$5:$N$337))</f>
        <v>199</v>
      </c>
      <c r="P164" s="17" t="str">
        <f aca="false">IF(AND(N(H164)&gt;=N(K164),N(H164)&gt;=N(N164)),"The Pulse",IF(N(K164)&gt;=N(N164),"The Lens","The Hub"))</f>
        <v>The Pulse</v>
      </c>
      <c r="Q164" s="21" t="s">
        <v>78</v>
      </c>
      <c r="R164" s="26" t="s">
        <v>668</v>
      </c>
      <c r="S164" s="17" t="s">
        <v>21</v>
      </c>
    </row>
    <row r="165" customFormat="false" ht="15" hidden="false" customHeight="false" outlineLevel="0" collapsed="false">
      <c r="A165" s="17" t="s">
        <v>1668</v>
      </c>
      <c r="B165" s="17" t="s">
        <v>1669</v>
      </c>
      <c r="C165" s="17" t="s">
        <v>1670</v>
      </c>
      <c r="D165" s="17" t="s">
        <v>105</v>
      </c>
      <c r="E165" s="18" t="n">
        <v>6830</v>
      </c>
      <c r="F165" s="17" t="s">
        <v>678</v>
      </c>
      <c r="G165" s="23" t="n">
        <v>3.29238653001464</v>
      </c>
      <c r="H165" s="19" t="n">
        <v>52.2</v>
      </c>
      <c r="I165" s="17" t="n">
        <f aca="false">IF(H165="","",RANK(H165,$H$5:$H$337))</f>
        <v>161</v>
      </c>
      <c r="J165" s="24" t="n">
        <v>0.0910543130990415</v>
      </c>
      <c r="K165" s="19" t="n">
        <v>39.6</v>
      </c>
      <c r="L165" s="17" t="n">
        <f aca="false">IF(K165="","",RANK(K165,$K$5:$K$337))</f>
        <v>201</v>
      </c>
      <c r="M165" s="25" t="n">
        <v>0.345703125</v>
      </c>
      <c r="N165" s="19" t="n">
        <v>95.9</v>
      </c>
      <c r="O165" s="17" t="n">
        <f aca="false">IF(N165="","",RANK(N165,$N$5:$N$337))</f>
        <v>16</v>
      </c>
      <c r="P165" s="17" t="str">
        <f aca="false">IF(AND(N(H165)&gt;=N(K165),N(H165)&gt;=N(N165)),"The Pulse",IF(N(K165)&gt;=N(N165),"The Lens","The Hub"))</f>
        <v>The Hub</v>
      </c>
      <c r="Q165" s="21" t="s">
        <v>78</v>
      </c>
      <c r="R165" s="26" t="s">
        <v>668</v>
      </c>
      <c r="S165" s="17" t="s">
        <v>21</v>
      </c>
    </row>
    <row r="166" customFormat="false" ht="15" hidden="false" customHeight="false" outlineLevel="0" collapsed="false">
      <c r="A166" s="17" t="s">
        <v>361</v>
      </c>
      <c r="B166" s="17" t="s">
        <v>362</v>
      </c>
      <c r="C166" s="17" t="s">
        <v>1671</v>
      </c>
      <c r="D166" s="17" t="s">
        <v>114</v>
      </c>
      <c r="E166" s="18" t="n">
        <v>77740</v>
      </c>
      <c r="F166" s="17" t="s">
        <v>667</v>
      </c>
      <c r="G166" s="23" t="n">
        <v>3.18727810650888</v>
      </c>
      <c r="H166" s="19" t="n">
        <v>51.4</v>
      </c>
      <c r="I166" s="17" t="n">
        <f aca="false">IF(H166="","",RANK(H166,$H$5:$H$337))</f>
        <v>162</v>
      </c>
      <c r="J166" s="24" t="n">
        <v>0.141556534508076</v>
      </c>
      <c r="K166" s="19" t="n">
        <v>75.5</v>
      </c>
      <c r="L166" s="17" t="n">
        <f aca="false">IF(K166="","",RANK(K166,$K$5:$K$337))</f>
        <v>81</v>
      </c>
      <c r="M166" s="25" t="n">
        <v>0.0718639553347334</v>
      </c>
      <c r="N166" s="19" t="n">
        <v>22</v>
      </c>
      <c r="O166" s="17" t="n">
        <f aca="false">IF(N166="","",RANK(N166,$N$5:$N$337))</f>
        <v>261</v>
      </c>
      <c r="P166" s="17" t="str">
        <f aca="false">IF(AND(N(H166)&gt;=N(K166),N(H166)&gt;=N(N166)),"The Pulse",IF(N(K166)&gt;=N(N166),"The Lens","The Hub"))</f>
        <v>The Lens</v>
      </c>
      <c r="Q166" s="21" t="s">
        <v>78</v>
      </c>
      <c r="R166" s="27" t="s">
        <v>671</v>
      </c>
      <c r="S166" s="17" t="s">
        <v>21</v>
      </c>
    </row>
    <row r="167" customFormat="false" ht="15" hidden="false" customHeight="false" outlineLevel="0" collapsed="false">
      <c r="A167" s="17" t="s">
        <v>1672</v>
      </c>
      <c r="B167" s="17" t="s">
        <v>1673</v>
      </c>
      <c r="C167" s="17" t="s">
        <v>1674</v>
      </c>
      <c r="D167" s="17" t="s">
        <v>114</v>
      </c>
      <c r="E167" s="18" t="n">
        <v>34670</v>
      </c>
      <c r="F167" s="17" t="s">
        <v>667</v>
      </c>
      <c r="G167" s="23" t="n">
        <v>3.18722238246323</v>
      </c>
      <c r="H167" s="19" t="n">
        <v>51.2</v>
      </c>
      <c r="I167" s="17" t="n">
        <f aca="false">IF(H167="","",RANK(H167,$H$5:$H$337))</f>
        <v>163</v>
      </c>
      <c r="J167" s="24" t="n">
        <v>0.175652763648695</v>
      </c>
      <c r="K167" s="19" t="n">
        <v>88.4</v>
      </c>
      <c r="L167" s="17" t="n">
        <f aca="false">IF(K167="","",RANK(K167,$K$5:$K$337))</f>
        <v>36</v>
      </c>
      <c r="M167" s="25" t="n">
        <v>0.277850589777195</v>
      </c>
      <c r="N167" s="19" t="n">
        <v>87.3</v>
      </c>
      <c r="O167" s="17" t="n">
        <f aca="false">IF(N167="","",RANK(N167,$N$5:$N$337))</f>
        <v>46</v>
      </c>
      <c r="P167" s="17" t="str">
        <f aca="false">IF(AND(N(H167)&gt;=N(K167),N(H167)&gt;=N(N167)),"The Pulse",IF(N(K167)&gt;=N(N167),"The Lens","The Hub"))</f>
        <v>The Lens</v>
      </c>
      <c r="Q167" s="21" t="s">
        <v>78</v>
      </c>
      <c r="R167" s="26" t="s">
        <v>668</v>
      </c>
      <c r="S167" s="17" t="s">
        <v>21</v>
      </c>
    </row>
    <row r="168" customFormat="false" ht="15" hidden="false" customHeight="false" outlineLevel="0" collapsed="false">
      <c r="A168" s="17" t="s">
        <v>1340</v>
      </c>
      <c r="B168" s="17" t="s">
        <v>1341</v>
      </c>
      <c r="C168" s="17" t="s">
        <v>1675</v>
      </c>
      <c r="D168" s="17" t="s">
        <v>81</v>
      </c>
      <c r="E168" s="18" t="n">
        <v>224804</v>
      </c>
      <c r="F168" s="17" t="s">
        <v>670</v>
      </c>
      <c r="G168" s="23" t="n">
        <v>3.18555274817174</v>
      </c>
      <c r="H168" s="19" t="n">
        <v>51</v>
      </c>
      <c r="I168" s="17" t="n">
        <f aca="false">IF(H168="","",RANK(H168,$H$5:$H$337))</f>
        <v>164</v>
      </c>
      <c r="J168" s="24" t="n">
        <v>0.0998346363467353</v>
      </c>
      <c r="K168" s="19" t="n">
        <v>64.2</v>
      </c>
      <c r="L168" s="17" t="n">
        <f aca="false">IF(K168="","",RANK(K168,$K$5:$K$337))</f>
        <v>117</v>
      </c>
      <c r="M168" s="25" t="n">
        <v>0.0625292740046839</v>
      </c>
      <c r="N168" s="19" t="n">
        <v>18.9</v>
      </c>
      <c r="O168" s="17" t="n">
        <f aca="false">IF(N168="","",RANK(N168,$N$5:$N$337))</f>
        <v>271</v>
      </c>
      <c r="P168" s="17" t="str">
        <f aca="false">IF(AND(N(H168)&gt;=N(K168),N(H168)&gt;=N(N168)),"The Pulse",IF(N(K168)&gt;=N(N168),"The Lens","The Hub"))</f>
        <v>The Lens</v>
      </c>
      <c r="Q168" s="20" t="s">
        <v>74</v>
      </c>
      <c r="R168" s="26" t="s">
        <v>668</v>
      </c>
      <c r="S168" s="17" t="s">
        <v>19</v>
      </c>
    </row>
    <row r="169" customFormat="false" ht="15" hidden="false" customHeight="false" outlineLevel="0" collapsed="false">
      <c r="A169" s="17" t="s">
        <v>347</v>
      </c>
      <c r="B169" s="17" t="s">
        <v>348</v>
      </c>
      <c r="C169" s="17" t="s">
        <v>1676</v>
      </c>
      <c r="D169" s="17" t="s">
        <v>105</v>
      </c>
      <c r="E169" s="18" t="n">
        <v>32640</v>
      </c>
      <c r="F169" s="17" t="s">
        <v>667</v>
      </c>
      <c r="G169" s="23" t="n">
        <v>3.14736519607843</v>
      </c>
      <c r="H169" s="19" t="n">
        <v>50.5</v>
      </c>
      <c r="I169" s="17" t="n">
        <f aca="false">IF(H169="","",RANK(H169,$H$5:$H$337))</f>
        <v>165</v>
      </c>
      <c r="J169" s="24" t="n">
        <v>0.0378378378378378</v>
      </c>
      <c r="K169" s="19" t="n">
        <v>24.1</v>
      </c>
      <c r="L169" s="17" t="n">
        <f aca="false">IF(K169="","",RANK(K169,$K$5:$K$337))</f>
        <v>255</v>
      </c>
      <c r="M169" s="25" t="n">
        <v>0.0911056511056511</v>
      </c>
      <c r="N169" s="19" t="n">
        <v>28.2</v>
      </c>
      <c r="O169" s="17" t="n">
        <f aca="false">IF(N169="","",RANK(N169,$N$5:$N$337))</f>
        <v>239</v>
      </c>
      <c r="P169" s="17" t="str">
        <f aca="false">IF(AND(N(H169)&gt;=N(K169),N(H169)&gt;=N(N169)),"The Pulse",IF(N(K169)&gt;=N(N169),"The Lens","The Hub"))</f>
        <v>The Pulse</v>
      </c>
      <c r="Q169" s="21" t="s">
        <v>78</v>
      </c>
      <c r="R169" s="27" t="s">
        <v>671</v>
      </c>
      <c r="S169" s="17" t="s">
        <v>21</v>
      </c>
    </row>
    <row r="170" customFormat="false" ht="15" hidden="false" customHeight="false" outlineLevel="0" collapsed="false">
      <c r="A170" s="17" t="s">
        <v>481</v>
      </c>
      <c r="B170" s="17" t="s">
        <v>482</v>
      </c>
      <c r="C170" s="17" t="s">
        <v>1677</v>
      </c>
      <c r="D170" s="17" t="s">
        <v>72</v>
      </c>
      <c r="E170" s="18" t="n">
        <v>168060</v>
      </c>
      <c r="F170" s="17" t="s">
        <v>670</v>
      </c>
      <c r="G170" s="23" t="n">
        <v>3.13820064262763</v>
      </c>
      <c r="H170" s="19" t="n">
        <v>50.3</v>
      </c>
      <c r="I170" s="17" t="n">
        <f aca="false">IF(H170="","",RANK(H170,$H$5:$H$337))</f>
        <v>166</v>
      </c>
      <c r="J170" s="24" t="n">
        <v>0.0268850054992057</v>
      </c>
      <c r="K170" s="19" t="n">
        <v>20.5</v>
      </c>
      <c r="L170" s="17" t="n">
        <f aca="false">IF(K170="","",RANK(K170,$K$5:$K$337))</f>
        <v>265</v>
      </c>
      <c r="M170" s="25" t="n">
        <v>0.215528367146766</v>
      </c>
      <c r="N170" s="19" t="n">
        <v>74.9</v>
      </c>
      <c r="O170" s="17" t="n">
        <f aca="false">IF(N170="","",RANK(N170,$N$5:$N$337))</f>
        <v>87</v>
      </c>
      <c r="P170" s="17" t="str">
        <f aca="false">IF(AND(N(H170)&gt;=N(K170),N(H170)&gt;=N(N170)),"The Pulse",IF(N(K170)&gt;=N(N170),"The Lens","The Hub"))</f>
        <v>The Hub</v>
      </c>
      <c r="Q170" s="21" t="s">
        <v>78</v>
      </c>
      <c r="R170" s="27" t="s">
        <v>671</v>
      </c>
      <c r="S170" s="17" t="s">
        <v>21</v>
      </c>
    </row>
    <row r="171" customFormat="false" ht="15" hidden="false" customHeight="false" outlineLevel="0" collapsed="false">
      <c r="A171" s="17" t="s">
        <v>1678</v>
      </c>
      <c r="B171" s="17" t="s">
        <v>1679</v>
      </c>
      <c r="C171" s="17" t="s">
        <v>1680</v>
      </c>
      <c r="D171" s="17" t="s">
        <v>92</v>
      </c>
      <c r="E171" s="18" t="n">
        <v>124201</v>
      </c>
      <c r="F171" s="17" t="s">
        <v>670</v>
      </c>
      <c r="G171" s="23" t="n">
        <v>3.13720501445238</v>
      </c>
      <c r="H171" s="19" t="n">
        <v>49.9</v>
      </c>
      <c r="I171" s="17" t="n">
        <f aca="false">IF(H171="","",RANK(H171,$H$5:$H$337))</f>
        <v>167</v>
      </c>
      <c r="J171" s="24" t="n">
        <v>0.084525982134281</v>
      </c>
      <c r="K171" s="19" t="n">
        <v>51</v>
      </c>
      <c r="L171" s="17" t="n">
        <f aca="false">IF(K171="","",RANK(K171,$K$5:$K$337))</f>
        <v>162</v>
      </c>
      <c r="M171" s="25" t="n">
        <v>0.17134703196347</v>
      </c>
      <c r="N171" s="19" t="n">
        <v>64</v>
      </c>
      <c r="O171" s="17" t="n">
        <f aca="false">IF(N171="","",RANK(N171,$N$5:$N$337))</f>
        <v>123</v>
      </c>
      <c r="P171" s="17" t="str">
        <f aca="false">IF(AND(N(H171)&gt;=N(K171),N(H171)&gt;=N(N171)),"The Pulse",IF(N(K171)&gt;=N(N171),"The Lens","The Hub"))</f>
        <v>The Hub</v>
      </c>
      <c r="Q171" s="20" t="s">
        <v>74</v>
      </c>
      <c r="R171" s="26" t="s">
        <v>668</v>
      </c>
      <c r="S171" s="17" t="s">
        <v>19</v>
      </c>
    </row>
    <row r="172" customFormat="false" ht="15" hidden="false" customHeight="false" outlineLevel="0" collapsed="false">
      <c r="A172" s="17" t="s">
        <v>1681</v>
      </c>
      <c r="B172" s="17" t="s">
        <v>1682</v>
      </c>
      <c r="C172" s="17" t="s">
        <v>1683</v>
      </c>
      <c r="D172" s="17" t="s">
        <v>133</v>
      </c>
      <c r="E172" s="18" t="n">
        <v>29410</v>
      </c>
      <c r="F172" s="17" t="s">
        <v>667</v>
      </c>
      <c r="G172" s="23" t="n">
        <v>3.13471608296498</v>
      </c>
      <c r="H172" s="19" t="n">
        <v>49.7</v>
      </c>
      <c r="I172" s="17" t="n">
        <f aca="false">IF(H172="","",RANK(H172,$H$5:$H$337))</f>
        <v>168</v>
      </c>
      <c r="J172" s="24" t="n">
        <v>0.0218902015288395</v>
      </c>
      <c r="K172" s="19" t="n">
        <v>17.8</v>
      </c>
      <c r="L172" s="17" t="n">
        <f aca="false">IF(K172="","",RANK(K172,$K$5:$K$337))</f>
        <v>275</v>
      </c>
      <c r="M172" s="25" t="n">
        <v>0.371225577264654</v>
      </c>
      <c r="N172" s="19" t="n">
        <v>96.6</v>
      </c>
      <c r="O172" s="17" t="n">
        <f aca="false">IF(N172="","",RANK(N172,$N$5:$N$337))</f>
        <v>13</v>
      </c>
      <c r="P172" s="17" t="str">
        <f aca="false">IF(AND(N(H172)&gt;=N(K172),N(H172)&gt;=N(N172)),"The Pulse",IF(N(K172)&gt;=N(N172),"The Lens","The Hub"))</f>
        <v>The Hub</v>
      </c>
      <c r="Q172" s="21" t="s">
        <v>78</v>
      </c>
      <c r="R172" s="26" t="s">
        <v>668</v>
      </c>
      <c r="S172" s="17" t="s">
        <v>21</v>
      </c>
    </row>
    <row r="173" customFormat="false" ht="15" hidden="false" customHeight="false" outlineLevel="0" collapsed="false">
      <c r="A173" s="17" t="s">
        <v>557</v>
      </c>
      <c r="B173" s="17" t="s">
        <v>558</v>
      </c>
      <c r="C173" s="17" t="s">
        <v>1684</v>
      </c>
      <c r="D173" s="17" t="s">
        <v>92</v>
      </c>
      <c r="E173" s="18" t="n">
        <v>11650</v>
      </c>
      <c r="F173" s="17" t="s">
        <v>667</v>
      </c>
      <c r="G173" s="23" t="n">
        <v>3.11064377682403</v>
      </c>
      <c r="H173" s="19" t="n">
        <v>49.3</v>
      </c>
      <c r="I173" s="17" t="n">
        <f aca="false">IF(H173="","",RANK(H173,$H$5:$H$337))</f>
        <v>169</v>
      </c>
      <c r="J173" s="24" t="n">
        <v>0.0658737419945105</v>
      </c>
      <c r="K173" s="19" t="n">
        <v>37.3</v>
      </c>
      <c r="L173" s="17" t="n">
        <f aca="false">IF(K173="","",RANK(K173,$K$5:$K$337))</f>
        <v>210</v>
      </c>
      <c r="M173" s="25" t="n">
        <v>0.0962587685113016</v>
      </c>
      <c r="N173" s="19" t="n">
        <v>31.3</v>
      </c>
      <c r="O173" s="17" t="n">
        <f aca="false">IF(N173="","",RANK(N173,$N$5:$N$337))</f>
        <v>228</v>
      </c>
      <c r="P173" s="17" t="str">
        <f aca="false">IF(AND(N(H173)&gt;=N(K173),N(H173)&gt;=N(N173)),"The Pulse",IF(N(K173)&gt;=N(N173),"The Lens","The Hub"))</f>
        <v>The Pulse</v>
      </c>
      <c r="Q173" s="21" t="s">
        <v>78</v>
      </c>
      <c r="R173" s="27" t="s">
        <v>671</v>
      </c>
      <c r="S173" s="17" t="s">
        <v>21</v>
      </c>
    </row>
    <row r="174" customFormat="false" ht="15" hidden="false" customHeight="false" outlineLevel="0" collapsed="false">
      <c r="A174" s="17" t="s">
        <v>379</v>
      </c>
      <c r="B174" s="17" t="s">
        <v>380</v>
      </c>
      <c r="C174" s="17" t="s">
        <v>1685</v>
      </c>
      <c r="D174" s="17" t="s">
        <v>77</v>
      </c>
      <c r="E174" s="18" t="n">
        <v>16063</v>
      </c>
      <c r="F174" s="17" t="s">
        <v>667</v>
      </c>
      <c r="G174" s="23" t="n">
        <v>3.08174064620557</v>
      </c>
      <c r="H174" s="19" t="n">
        <v>48.8</v>
      </c>
      <c r="I174" s="17" t="n">
        <f aca="false">IF(H174="","",RANK(H174,$H$5:$H$337))</f>
        <v>170</v>
      </c>
      <c r="J174" s="24" t="n">
        <v>-0.0113860167405219</v>
      </c>
      <c r="K174" s="19" t="n">
        <v>10.4</v>
      </c>
      <c r="L174" s="17" t="n">
        <f aca="false">IF(K174="","",RANK(K174,$K$5:$K$337))</f>
        <v>298</v>
      </c>
      <c r="M174" s="25" t="n">
        <v>0.093151948351395</v>
      </c>
      <c r="N174" s="19" t="n">
        <v>29.3</v>
      </c>
      <c r="O174" s="17" t="n">
        <f aca="false">IF(N174="","",RANK(N174,$N$5:$N$337))</f>
        <v>236</v>
      </c>
      <c r="P174" s="17" t="str">
        <f aca="false">IF(AND(N(H174)&gt;=N(K174),N(H174)&gt;=N(N174)),"The Pulse",IF(N(K174)&gt;=N(N174),"The Lens","The Hub"))</f>
        <v>The Pulse</v>
      </c>
      <c r="Q174" s="20" t="s">
        <v>74</v>
      </c>
      <c r="R174" s="27" t="s">
        <v>671</v>
      </c>
      <c r="S174" s="17" t="s">
        <v>19</v>
      </c>
    </row>
    <row r="175" customFormat="false" ht="15" hidden="false" customHeight="false" outlineLevel="0" collapsed="false">
      <c r="A175" s="17" t="s">
        <v>786</v>
      </c>
      <c r="B175" s="17" t="s">
        <v>787</v>
      </c>
      <c r="C175" s="17" t="s">
        <v>1686</v>
      </c>
      <c r="D175" s="17" t="s">
        <v>102</v>
      </c>
      <c r="E175" s="18" t="n">
        <v>344671</v>
      </c>
      <c r="F175" s="17" t="s">
        <v>670</v>
      </c>
      <c r="G175" s="23" t="n">
        <v>3.0742853329697</v>
      </c>
      <c r="H175" s="19" t="n">
        <v>48.6</v>
      </c>
      <c r="I175" s="17" t="n">
        <f aca="false">IF(H175="","",RANK(H175,$H$5:$H$337))</f>
        <v>171</v>
      </c>
      <c r="J175" s="24" t="n">
        <v>0.128840082271102</v>
      </c>
      <c r="K175" s="19" t="n">
        <v>74.2</v>
      </c>
      <c r="L175" s="17" t="n">
        <f aca="false">IF(K175="","",RANK(K175,$K$5:$K$337))</f>
        <v>87</v>
      </c>
      <c r="M175" s="25" t="n">
        <v>0.23205312275664</v>
      </c>
      <c r="N175" s="19" t="n">
        <v>78.2</v>
      </c>
      <c r="O175" s="17" t="n">
        <f aca="false">IF(N175="","",RANK(N175,$N$5:$N$337))</f>
        <v>76</v>
      </c>
      <c r="P175" s="17" t="str">
        <f aca="false">IF(AND(N(H175)&gt;=N(K175),N(H175)&gt;=N(N175)),"The Pulse",IF(N(K175)&gt;=N(N175),"The Lens","The Hub"))</f>
        <v>The Hub</v>
      </c>
      <c r="Q175" s="20" t="s">
        <v>74</v>
      </c>
      <c r="R175" s="26" t="s">
        <v>668</v>
      </c>
      <c r="S175" s="17" t="s">
        <v>19</v>
      </c>
    </row>
    <row r="176" customFormat="false" ht="15" hidden="false" customHeight="false" outlineLevel="0" collapsed="false">
      <c r="A176" s="17" t="s">
        <v>1687</v>
      </c>
      <c r="B176" s="17" t="s">
        <v>1688</v>
      </c>
      <c r="C176" s="17" t="s">
        <v>1689</v>
      </c>
      <c r="D176" s="17" t="s">
        <v>92</v>
      </c>
      <c r="E176" s="18" t="n">
        <v>4345</v>
      </c>
      <c r="F176" s="17" t="s">
        <v>678</v>
      </c>
      <c r="G176" s="23" t="n">
        <v>3.03590333716916</v>
      </c>
      <c r="H176" s="19" t="n">
        <v>48</v>
      </c>
      <c r="I176" s="17" t="n">
        <f aca="false">IF(H176="","",RANK(H176,$H$5:$H$337))</f>
        <v>172</v>
      </c>
      <c r="J176" s="24" t="n">
        <v>0.0218720602069614</v>
      </c>
      <c r="K176" s="19" t="n">
        <v>6.2</v>
      </c>
      <c r="L176" s="17" t="n">
        <f aca="false">IF(K176="","",RANK(K176,$K$5:$K$337))</f>
        <v>311</v>
      </c>
      <c r="M176" s="25" t="n">
        <v>0.141148325358852</v>
      </c>
      <c r="N176" s="19" t="n">
        <v>51.8</v>
      </c>
      <c r="O176" s="17" t="n">
        <f aca="false">IF(N176="","",RANK(N176,$N$5:$N$337))</f>
        <v>159</v>
      </c>
      <c r="P176" s="17" t="str">
        <f aca="false">IF(AND(N(H176)&gt;=N(K176),N(H176)&gt;=N(N176)),"The Pulse",IF(N(K176)&gt;=N(N176),"The Lens","The Hub"))</f>
        <v>The Hub</v>
      </c>
      <c r="Q176" s="20" t="s">
        <v>74</v>
      </c>
      <c r="R176" s="26" t="s">
        <v>668</v>
      </c>
      <c r="S176" s="17" t="s">
        <v>19</v>
      </c>
    </row>
    <row r="177" customFormat="false" ht="15" hidden="false" customHeight="false" outlineLevel="0" collapsed="false">
      <c r="A177" s="17" t="s">
        <v>917</v>
      </c>
      <c r="B177" s="17" t="s">
        <v>918</v>
      </c>
      <c r="C177" s="17" t="s">
        <v>1690</v>
      </c>
      <c r="D177" s="17" t="s">
        <v>77</v>
      </c>
      <c r="E177" s="18" t="n">
        <v>152950</v>
      </c>
      <c r="F177" s="17" t="s">
        <v>670</v>
      </c>
      <c r="G177" s="23" t="n">
        <v>3.03332461588755</v>
      </c>
      <c r="H177" s="19" t="n">
        <v>47.8</v>
      </c>
      <c r="I177" s="17" t="n">
        <f aca="false">IF(H177="","",RANK(H177,$H$5:$H$337))</f>
        <v>173</v>
      </c>
      <c r="J177" s="24" t="n">
        <v>0.118627952899876</v>
      </c>
      <c r="K177" s="19" t="n">
        <v>70.9</v>
      </c>
      <c r="L177" s="17" t="n">
        <f aca="false">IF(K177="","",RANK(K177,$K$5:$K$337))</f>
        <v>98</v>
      </c>
      <c r="M177" s="25" t="n">
        <v>0.194423866927066</v>
      </c>
      <c r="N177" s="19" t="n">
        <v>69.9</v>
      </c>
      <c r="O177" s="17" t="n">
        <f aca="false">IF(N177="","",RANK(N177,$N$5:$N$337))</f>
        <v>106</v>
      </c>
      <c r="P177" s="17" t="str">
        <f aca="false">IF(AND(N(H177)&gt;=N(K177),N(H177)&gt;=N(N177)),"The Pulse",IF(N(K177)&gt;=N(N177),"The Lens","The Hub"))</f>
        <v>The Lens</v>
      </c>
      <c r="Q177" s="21" t="s">
        <v>78</v>
      </c>
      <c r="R177" s="26" t="s">
        <v>668</v>
      </c>
      <c r="S177" s="17" t="s">
        <v>21</v>
      </c>
    </row>
    <row r="178" customFormat="false" ht="15" hidden="false" customHeight="false" outlineLevel="0" collapsed="false">
      <c r="A178" s="17" t="s">
        <v>1691</v>
      </c>
      <c r="B178" s="17" t="s">
        <v>1692</v>
      </c>
      <c r="C178" s="17" t="s">
        <v>1693</v>
      </c>
      <c r="D178" s="17" t="s">
        <v>114</v>
      </c>
      <c r="E178" s="18" t="n">
        <v>109640</v>
      </c>
      <c r="F178" s="17" t="s">
        <v>670</v>
      </c>
      <c r="G178" s="23" t="n">
        <v>3.00175118569865</v>
      </c>
      <c r="H178" s="19" t="n">
        <v>47.6</v>
      </c>
      <c r="I178" s="17" t="n">
        <f aca="false">IF(H178="","",RANK(H178,$H$5:$H$337))</f>
        <v>174</v>
      </c>
      <c r="J178" s="24" t="n">
        <v>0.276516474560484</v>
      </c>
      <c r="K178" s="19" t="n">
        <v>100</v>
      </c>
      <c r="L178" s="17" t="n">
        <f aca="false">IF(K178="","",RANK(K178,$K$5:$K$337))</f>
        <v>1</v>
      </c>
      <c r="M178" s="25" t="n">
        <v>0.199321113374067</v>
      </c>
      <c r="N178" s="19" t="n">
        <v>71</v>
      </c>
      <c r="O178" s="17" t="n">
        <f aca="false">IF(N178="","",RANK(N178,$N$5:$N$337))</f>
        <v>102</v>
      </c>
      <c r="P178" s="17" t="str">
        <f aca="false">IF(AND(N(H178)&gt;=N(K178),N(H178)&gt;=N(N178)),"The Pulse",IF(N(K178)&gt;=N(N178),"The Lens","The Hub"))</f>
        <v>The Lens</v>
      </c>
      <c r="Q178" s="21" t="s">
        <v>78</v>
      </c>
      <c r="R178" s="26" t="s">
        <v>668</v>
      </c>
      <c r="S178" s="17" t="s">
        <v>21</v>
      </c>
    </row>
    <row r="179" customFormat="false" ht="15" hidden="false" customHeight="false" outlineLevel="0" collapsed="false">
      <c r="A179" s="17" t="s">
        <v>351</v>
      </c>
      <c r="B179" s="17" t="s">
        <v>352</v>
      </c>
      <c r="C179" s="17" t="s">
        <v>1694</v>
      </c>
      <c r="D179" s="17" t="s">
        <v>77</v>
      </c>
      <c r="E179" s="18" t="n">
        <v>208259</v>
      </c>
      <c r="F179" s="17" t="s">
        <v>670</v>
      </c>
      <c r="G179" s="23" t="n">
        <v>2.96988365448792</v>
      </c>
      <c r="H179" s="19" t="n">
        <v>47.1</v>
      </c>
      <c r="I179" s="17" t="n">
        <f aca="false">IF(H179="","",RANK(H179,$H$5:$H$337))</f>
        <v>175</v>
      </c>
      <c r="J179" s="24" t="n">
        <v>0.0828324528929745</v>
      </c>
      <c r="K179" s="19" t="n">
        <v>50.3</v>
      </c>
      <c r="L179" s="17" t="n">
        <f aca="false">IF(K179="","",RANK(K179,$K$5:$K$337))</f>
        <v>164</v>
      </c>
      <c r="M179" s="25" t="n">
        <v>0.162878232389891</v>
      </c>
      <c r="N179" s="19" t="n">
        <v>61.7</v>
      </c>
      <c r="O179" s="17" t="n">
        <f aca="false">IF(N179="","",RANK(N179,$N$5:$N$337))</f>
        <v>130</v>
      </c>
      <c r="P179" s="17" t="str">
        <f aca="false">IF(AND(N(H179)&gt;=N(K179),N(H179)&gt;=N(N179)),"The Pulse",IF(N(K179)&gt;=N(N179),"The Lens","The Hub"))</f>
        <v>The Hub</v>
      </c>
      <c r="Q179" s="20" t="s">
        <v>74</v>
      </c>
      <c r="R179" s="27" t="s">
        <v>671</v>
      </c>
      <c r="S179" s="17" t="s">
        <v>19</v>
      </c>
    </row>
    <row r="180" customFormat="false" ht="15" hidden="false" customHeight="false" outlineLevel="0" collapsed="false">
      <c r="A180" s="17" t="s">
        <v>565</v>
      </c>
      <c r="B180" s="17" t="s">
        <v>566</v>
      </c>
      <c r="C180" s="17" t="s">
        <v>1695</v>
      </c>
      <c r="D180" s="17" t="s">
        <v>81</v>
      </c>
      <c r="E180" s="18" t="n">
        <v>354232</v>
      </c>
      <c r="F180" s="17" t="s">
        <v>670</v>
      </c>
      <c r="G180" s="23" t="n">
        <v>2.95929503828</v>
      </c>
      <c r="H180" s="19" t="n">
        <v>46.9</v>
      </c>
      <c r="I180" s="17" t="n">
        <f aca="false">IF(H180="","",RANK(H180,$H$5:$H$337))</f>
        <v>176</v>
      </c>
      <c r="J180" s="24" t="n">
        <v>0.105299780020906</v>
      </c>
      <c r="K180" s="19" t="n">
        <v>65.6</v>
      </c>
      <c r="L180" s="17" t="n">
        <f aca="false">IF(K180="","",RANK(K180,$K$5:$K$337))</f>
        <v>113</v>
      </c>
      <c r="M180" s="25" t="n">
        <v>0.17269525875137</v>
      </c>
      <c r="N180" s="19" t="n">
        <v>64.8</v>
      </c>
      <c r="O180" s="17" t="n">
        <f aca="false">IF(N180="","",RANK(N180,$N$5:$N$337))</f>
        <v>121</v>
      </c>
      <c r="P180" s="17" t="str">
        <f aca="false">IF(AND(N(H180)&gt;=N(K180),N(H180)&gt;=N(N180)),"The Pulse",IF(N(K180)&gt;=N(N180),"The Lens","The Hub"))</f>
        <v>The Lens</v>
      </c>
      <c r="Q180" s="20" t="s">
        <v>74</v>
      </c>
      <c r="R180" s="27" t="s">
        <v>671</v>
      </c>
      <c r="S180" s="17" t="s">
        <v>19</v>
      </c>
    </row>
    <row r="181" customFormat="false" ht="15" hidden="false" customHeight="false" outlineLevel="0" collapsed="false">
      <c r="A181" s="17" t="s">
        <v>1696</v>
      </c>
      <c r="B181" s="17" t="s">
        <v>1697</v>
      </c>
      <c r="C181" s="17" t="s">
        <v>1698</v>
      </c>
      <c r="D181" s="17" t="s">
        <v>72</v>
      </c>
      <c r="E181" s="18" t="n">
        <v>2100</v>
      </c>
      <c r="F181" s="17" t="s">
        <v>678</v>
      </c>
      <c r="G181" s="23" t="n">
        <v>2.95571428571429</v>
      </c>
      <c r="H181" s="19" t="n">
        <v>46.7</v>
      </c>
      <c r="I181" s="17" t="n">
        <f aca="false">IF(H181="","",RANK(H181,$H$5:$H$337))</f>
        <v>177</v>
      </c>
      <c r="J181" s="24" t="n">
        <v>0.031</v>
      </c>
      <c r="K181" s="19" t="n">
        <v>10.4</v>
      </c>
      <c r="L181" s="17" t="n">
        <f aca="false">IF(K181="","",RANK(K181,$K$5:$K$337))</f>
        <v>298</v>
      </c>
      <c r="M181" s="25" t="n">
        <v>0.151685393258427</v>
      </c>
      <c r="N181" s="19" t="n">
        <v>57.5</v>
      </c>
      <c r="O181" s="17" t="n">
        <f aca="false">IF(N181="","",RANK(N181,$N$5:$N$337))</f>
        <v>143</v>
      </c>
      <c r="P181" s="17" t="str">
        <f aca="false">IF(AND(N(H181)&gt;=N(K181),N(H181)&gt;=N(N181)),"The Pulse",IF(N(K181)&gt;=N(N181),"The Lens","The Hub"))</f>
        <v>The Hub</v>
      </c>
      <c r="Q181" s="22" t="s">
        <v>83</v>
      </c>
      <c r="R181" s="26" t="s">
        <v>668</v>
      </c>
      <c r="S181" s="17" t="s">
        <v>84</v>
      </c>
    </row>
    <row r="182" customFormat="false" ht="15" hidden="false" customHeight="false" outlineLevel="0" collapsed="false">
      <c r="A182" s="17" t="s">
        <v>597</v>
      </c>
      <c r="B182" s="17" t="s">
        <v>598</v>
      </c>
      <c r="C182" s="17" t="s">
        <v>1699</v>
      </c>
      <c r="D182" s="17" t="s">
        <v>72</v>
      </c>
      <c r="E182" s="18" t="n">
        <v>135978</v>
      </c>
      <c r="F182" s="17" t="s">
        <v>670</v>
      </c>
      <c r="G182" s="23" t="n">
        <v>2.94915353954316</v>
      </c>
      <c r="H182" s="19" t="n">
        <v>46.5</v>
      </c>
      <c r="I182" s="17" t="n">
        <f aca="false">IF(H182="","",RANK(H182,$H$5:$H$337))</f>
        <v>178</v>
      </c>
      <c r="J182" s="24" t="n">
        <v>0.178022853875543</v>
      </c>
      <c r="K182" s="19" t="n">
        <v>90.7</v>
      </c>
      <c r="L182" s="17" t="n">
        <f aca="false">IF(K182="","",RANK(K182,$K$5:$K$337))</f>
        <v>29</v>
      </c>
      <c r="M182" s="25" t="n">
        <v>0.184146696419909</v>
      </c>
      <c r="N182" s="19" t="n">
        <v>67.9</v>
      </c>
      <c r="O182" s="17" t="n">
        <f aca="false">IF(N182="","",RANK(N182,$N$5:$N$337))</f>
        <v>111</v>
      </c>
      <c r="P182" s="17" t="str">
        <f aca="false">IF(AND(N(H182)&gt;=N(K182),N(H182)&gt;=N(N182)),"The Pulse",IF(N(K182)&gt;=N(N182),"The Lens","The Hub"))</f>
        <v>The Lens</v>
      </c>
      <c r="Q182" s="20" t="s">
        <v>74</v>
      </c>
      <c r="R182" s="27" t="s">
        <v>671</v>
      </c>
      <c r="S182" s="17" t="s">
        <v>19</v>
      </c>
    </row>
    <row r="183" customFormat="false" ht="15" hidden="false" customHeight="false" outlineLevel="0" collapsed="false">
      <c r="A183" s="17" t="s">
        <v>299</v>
      </c>
      <c r="B183" s="17" t="s">
        <v>300</v>
      </c>
      <c r="C183" s="17" t="s">
        <v>1700</v>
      </c>
      <c r="D183" s="17" t="s">
        <v>138</v>
      </c>
      <c r="E183" s="18" t="n">
        <v>63135</v>
      </c>
      <c r="F183" s="17" t="s">
        <v>667</v>
      </c>
      <c r="G183" s="23" t="n">
        <v>2.92590480715926</v>
      </c>
      <c r="H183" s="19" t="n">
        <v>46.3</v>
      </c>
      <c r="I183" s="17" t="n">
        <f aca="false">IF(H183="","",RANK(H183,$H$5:$H$337))</f>
        <v>179</v>
      </c>
      <c r="J183" s="24" t="n">
        <v>0.0517416581985374</v>
      </c>
      <c r="K183" s="19" t="n">
        <v>29</v>
      </c>
      <c r="L183" s="17" t="n">
        <f aca="false">IF(K183="","",RANK(K183,$K$5:$K$337))</f>
        <v>239</v>
      </c>
      <c r="M183" s="25" t="n">
        <v>0.19780043349121</v>
      </c>
      <c r="N183" s="19" t="n">
        <v>70.2</v>
      </c>
      <c r="O183" s="17" t="n">
        <f aca="false">IF(N183="","",RANK(N183,$N$5:$N$337))</f>
        <v>105</v>
      </c>
      <c r="P183" s="17" t="str">
        <f aca="false">IF(AND(N(H183)&gt;=N(K183),N(H183)&gt;=N(N183)),"The Pulse",IF(N(K183)&gt;=N(N183),"The Lens","The Hub"))</f>
        <v>The Hub</v>
      </c>
      <c r="Q183" s="20" t="s">
        <v>74</v>
      </c>
      <c r="R183" s="27" t="s">
        <v>671</v>
      </c>
      <c r="S183" s="17" t="s">
        <v>19</v>
      </c>
    </row>
    <row r="184" customFormat="false" ht="15" hidden="false" customHeight="false" outlineLevel="0" collapsed="false">
      <c r="A184" s="17" t="s">
        <v>911</v>
      </c>
      <c r="B184" s="17" t="s">
        <v>912</v>
      </c>
      <c r="C184" s="17" t="s">
        <v>1701</v>
      </c>
      <c r="D184" s="17" t="s">
        <v>77</v>
      </c>
      <c r="E184" s="18" t="n">
        <v>83048</v>
      </c>
      <c r="F184" s="17" t="s">
        <v>667</v>
      </c>
      <c r="G184" s="23" t="n">
        <v>2.91425440708988</v>
      </c>
      <c r="H184" s="19" t="n">
        <v>45.9</v>
      </c>
      <c r="I184" s="17" t="n">
        <f aca="false">IF(H184="","",RANK(H184,$H$5:$H$337))</f>
        <v>180</v>
      </c>
      <c r="J184" s="24" t="n">
        <v>-0.0121800361594824</v>
      </c>
      <c r="K184" s="19" t="n">
        <v>10</v>
      </c>
      <c r="L184" s="17" t="n">
        <f aca="false">IF(K184="","",RANK(K184,$K$5:$K$337))</f>
        <v>300</v>
      </c>
      <c r="M184" s="25" t="n">
        <v>0.255896300980082</v>
      </c>
      <c r="N184" s="19" t="n">
        <v>84.7</v>
      </c>
      <c r="O184" s="17" t="n">
        <f aca="false">IF(N184="","",RANK(N184,$N$5:$N$337))</f>
        <v>54</v>
      </c>
      <c r="P184" s="17" t="str">
        <f aca="false">IF(AND(N(H184)&gt;=N(K184),N(H184)&gt;=N(N184)),"The Pulse",IF(N(K184)&gt;=N(N184),"The Lens","The Hub"))</f>
        <v>The Hub</v>
      </c>
      <c r="Q184" s="20" t="s">
        <v>74</v>
      </c>
      <c r="R184" s="26" t="s">
        <v>668</v>
      </c>
      <c r="S184" s="17" t="s">
        <v>19</v>
      </c>
    </row>
    <row r="185" customFormat="false" ht="15" hidden="false" customHeight="false" outlineLevel="0" collapsed="false">
      <c r="A185" s="17" t="s">
        <v>890</v>
      </c>
      <c r="B185" s="17" t="s">
        <v>891</v>
      </c>
      <c r="C185" s="17" t="s">
        <v>1702</v>
      </c>
      <c r="D185" s="17" t="s">
        <v>105</v>
      </c>
      <c r="E185" s="18" t="n">
        <v>106886</v>
      </c>
      <c r="F185" s="17" t="s">
        <v>670</v>
      </c>
      <c r="G185" s="23" t="n">
        <v>2.82762008120802</v>
      </c>
      <c r="H185" s="19" t="n">
        <v>45</v>
      </c>
      <c r="I185" s="17" t="n">
        <f aca="false">IF(H185="","",RANK(H185,$H$5:$H$337))</f>
        <v>181</v>
      </c>
      <c r="J185" s="24" t="n">
        <v>0.0859198000589257</v>
      </c>
      <c r="K185" s="19" t="n">
        <v>53</v>
      </c>
      <c r="L185" s="17" t="n">
        <f aca="false">IF(K185="","",RANK(K185,$K$5:$K$337))</f>
        <v>154</v>
      </c>
      <c r="M185" s="25" t="n">
        <v>0.229779043188836</v>
      </c>
      <c r="N185" s="19" t="n">
        <v>77.7</v>
      </c>
      <c r="O185" s="17" t="n">
        <f aca="false">IF(N185="","",RANK(N185,$N$5:$N$337))</f>
        <v>78</v>
      </c>
      <c r="P185" s="17" t="str">
        <f aca="false">IF(AND(N(H185)&gt;=N(K185),N(H185)&gt;=N(N185)),"The Pulse",IF(N(K185)&gt;=N(N185),"The Lens","The Hub"))</f>
        <v>The Hub</v>
      </c>
      <c r="Q185" s="20" t="s">
        <v>74</v>
      </c>
      <c r="R185" s="26" t="s">
        <v>668</v>
      </c>
      <c r="S185" s="17" t="s">
        <v>19</v>
      </c>
    </row>
    <row r="186" customFormat="false" ht="15" hidden="false" customHeight="false" outlineLevel="0" collapsed="false">
      <c r="A186" s="17" t="s">
        <v>441</v>
      </c>
      <c r="B186" s="17" t="s">
        <v>442</v>
      </c>
      <c r="C186" s="17" t="s">
        <v>1703</v>
      </c>
      <c r="D186" s="17" t="s">
        <v>114</v>
      </c>
      <c r="E186" s="18" t="n">
        <v>87097</v>
      </c>
      <c r="F186" s="17" t="s">
        <v>667</v>
      </c>
      <c r="G186" s="23" t="n">
        <v>2.81560788546104</v>
      </c>
      <c r="H186" s="19" t="n">
        <v>44.8</v>
      </c>
      <c r="I186" s="17" t="n">
        <f aca="false">IF(H186="","",RANK(H186,$H$5:$H$337))</f>
        <v>182</v>
      </c>
      <c r="J186" s="24" t="n">
        <v>0.0743299083519384</v>
      </c>
      <c r="K186" s="19" t="n">
        <v>42.3</v>
      </c>
      <c r="L186" s="17" t="n">
        <f aca="false">IF(K186="","",RANK(K186,$K$5:$K$337))</f>
        <v>191</v>
      </c>
      <c r="M186" s="25" t="n">
        <v>0.121429910630586</v>
      </c>
      <c r="N186" s="19" t="n">
        <v>42.5</v>
      </c>
      <c r="O186" s="17" t="n">
        <f aca="false">IF(N186="","",RANK(N186,$N$5:$N$337))</f>
        <v>189</v>
      </c>
      <c r="P186" s="17" t="str">
        <f aca="false">IF(AND(N(H186)&gt;=N(K186),N(H186)&gt;=N(N186)),"The Pulse",IF(N(K186)&gt;=N(N186),"The Lens","The Hub"))</f>
        <v>The Pulse</v>
      </c>
      <c r="Q186" s="20" t="s">
        <v>74</v>
      </c>
      <c r="R186" s="27" t="s">
        <v>671</v>
      </c>
      <c r="S186" s="17" t="s">
        <v>19</v>
      </c>
    </row>
    <row r="187" customFormat="false" ht="15" hidden="false" customHeight="false" outlineLevel="0" collapsed="false">
      <c r="A187" s="17" t="s">
        <v>1704</v>
      </c>
      <c r="B187" s="17" t="s">
        <v>1705</v>
      </c>
      <c r="C187" s="17" t="s">
        <v>1706</v>
      </c>
      <c r="D187" s="17" t="s">
        <v>92</v>
      </c>
      <c r="E187" s="18" t="n">
        <v>25060</v>
      </c>
      <c r="F187" s="17" t="s">
        <v>667</v>
      </c>
      <c r="G187" s="23" t="n">
        <v>2.81500399042299</v>
      </c>
      <c r="H187" s="19" t="n">
        <v>44.6</v>
      </c>
      <c r="I187" s="17" t="n">
        <f aca="false">IF(H187="","",RANK(H187,$H$5:$H$337))</f>
        <v>183</v>
      </c>
      <c r="J187" s="24" t="n">
        <v>0.146386093321135</v>
      </c>
      <c r="K187" s="19" t="n">
        <v>78.4</v>
      </c>
      <c r="L187" s="17" t="n">
        <f aca="false">IF(K187="","",RANK(K187,$K$5:$K$337))</f>
        <v>72</v>
      </c>
      <c r="M187" s="25" t="n">
        <v>0.0436349079263411</v>
      </c>
      <c r="N187" s="19" t="n">
        <v>10.9</v>
      </c>
      <c r="O187" s="17" t="n">
        <f aca="false">IF(N187="","",RANK(N187,$N$5:$N$337))</f>
        <v>297</v>
      </c>
      <c r="P187" s="17" t="str">
        <f aca="false">IF(AND(N(H187)&gt;=N(K187),N(H187)&gt;=N(N187)),"The Pulse",IF(N(K187)&gt;=N(N187),"The Lens","The Hub"))</f>
        <v>The Lens</v>
      </c>
      <c r="Q187" s="21" t="s">
        <v>78</v>
      </c>
      <c r="R187" s="26" t="s">
        <v>668</v>
      </c>
      <c r="S187" s="17" t="s">
        <v>21</v>
      </c>
    </row>
    <row r="188" customFormat="false" ht="15" hidden="false" customHeight="false" outlineLevel="0" collapsed="false">
      <c r="A188" s="17" t="s">
        <v>1707</v>
      </c>
      <c r="B188" s="17" t="s">
        <v>1708</v>
      </c>
      <c r="C188" s="17" t="s">
        <v>1709</v>
      </c>
      <c r="D188" s="17" t="s">
        <v>102</v>
      </c>
      <c r="E188" s="18" t="n">
        <v>219056</v>
      </c>
      <c r="F188" s="17" t="s">
        <v>670</v>
      </c>
      <c r="G188" s="23" t="n">
        <v>2.81364280166309</v>
      </c>
      <c r="H188" s="19" t="n">
        <v>44.4</v>
      </c>
      <c r="I188" s="17" t="n">
        <f aca="false">IF(H188="","",RANK(H188,$H$5:$H$337))</f>
        <v>184</v>
      </c>
      <c r="J188" s="24" t="n">
        <v>-0.0229481581259673</v>
      </c>
      <c r="K188" s="19" t="n">
        <v>6</v>
      </c>
      <c r="L188" s="17" t="n">
        <f aca="false">IF(K188="","",RANK(K188,$K$5:$K$337))</f>
        <v>313</v>
      </c>
      <c r="M188" s="25" t="n">
        <v>0.0850504164839983</v>
      </c>
      <c r="N188" s="19" t="n">
        <v>26.4</v>
      </c>
      <c r="O188" s="17" t="n">
        <f aca="false">IF(N188="","",RANK(N188,$N$5:$N$337))</f>
        <v>246</v>
      </c>
      <c r="P188" s="17" t="str">
        <f aca="false">IF(AND(N(H188)&gt;=N(K188),N(H188)&gt;=N(N188)),"The Pulse",IF(N(K188)&gt;=N(N188),"The Lens","The Hub"))</f>
        <v>The Pulse</v>
      </c>
      <c r="Q188" s="21" t="s">
        <v>78</v>
      </c>
      <c r="R188" s="26" t="s">
        <v>668</v>
      </c>
      <c r="S188" s="17" t="s">
        <v>126</v>
      </c>
    </row>
    <row r="189" customFormat="false" ht="15" hidden="false" customHeight="false" outlineLevel="0" collapsed="false">
      <c r="A189" s="17" t="s">
        <v>399</v>
      </c>
      <c r="B189" s="17" t="s">
        <v>400</v>
      </c>
      <c r="C189" s="17" t="s">
        <v>1710</v>
      </c>
      <c r="D189" s="17" t="s">
        <v>87</v>
      </c>
      <c r="E189" s="18" t="n">
        <v>16960</v>
      </c>
      <c r="F189" s="17" t="s">
        <v>667</v>
      </c>
      <c r="G189" s="23" t="n">
        <v>2.80707547169811</v>
      </c>
      <c r="H189" s="19" t="n">
        <v>44.2</v>
      </c>
      <c r="I189" s="17" t="n">
        <f aca="false">IF(H189="","",RANK(H189,$H$5:$H$337))</f>
        <v>185</v>
      </c>
      <c r="J189" s="24" t="n">
        <v>-0.0696143507597784</v>
      </c>
      <c r="K189" s="19" t="n">
        <v>3.3</v>
      </c>
      <c r="L189" s="17" t="n">
        <f aca="false">IF(K189="","",RANK(K189,$K$5:$K$337))</f>
        <v>322</v>
      </c>
      <c r="M189" s="25" t="n">
        <v>0.28698553948832</v>
      </c>
      <c r="N189" s="19" t="n">
        <v>88.9</v>
      </c>
      <c r="O189" s="17" t="n">
        <f aca="false">IF(N189="","",RANK(N189,$N$5:$N$337))</f>
        <v>42</v>
      </c>
      <c r="P189" s="17" t="str">
        <f aca="false">IF(AND(N(H189)&gt;=N(K189),N(H189)&gt;=N(N189)),"The Pulse",IF(N(K189)&gt;=N(N189),"The Lens","The Hub"))</f>
        <v>The Hub</v>
      </c>
      <c r="Q189" s="20" t="s">
        <v>74</v>
      </c>
      <c r="R189" s="27" t="s">
        <v>671</v>
      </c>
      <c r="S189" s="17" t="s">
        <v>19</v>
      </c>
    </row>
    <row r="190" customFormat="false" ht="15" hidden="false" customHeight="false" outlineLevel="0" collapsed="false">
      <c r="A190" s="17" t="s">
        <v>315</v>
      </c>
      <c r="B190" s="17" t="s">
        <v>316</v>
      </c>
      <c r="C190" s="17" t="s">
        <v>1711</v>
      </c>
      <c r="D190" s="17" t="s">
        <v>102</v>
      </c>
      <c r="E190" s="18" t="n">
        <v>136246</v>
      </c>
      <c r="F190" s="17" t="s">
        <v>670</v>
      </c>
      <c r="G190" s="23" t="n">
        <v>2.8005372634793</v>
      </c>
      <c r="H190" s="19" t="n">
        <v>44</v>
      </c>
      <c r="I190" s="17" t="n">
        <f aca="false">IF(H190="","",RANK(H190,$H$5:$H$337))</f>
        <v>186</v>
      </c>
      <c r="J190" s="24" t="n">
        <v>0.0629934775145898</v>
      </c>
      <c r="K190" s="19" t="n">
        <v>37.7</v>
      </c>
      <c r="L190" s="17" t="n">
        <f aca="false">IF(K190="","",RANK(K190,$K$5:$K$337))</f>
        <v>207</v>
      </c>
      <c r="M190" s="25" t="n">
        <v>0.0368122977346278</v>
      </c>
      <c r="N190" s="19" t="n">
        <v>8.8</v>
      </c>
      <c r="O190" s="17" t="n">
        <f aca="false">IF(N190="","",RANK(N190,$N$5:$N$337))</f>
        <v>303</v>
      </c>
      <c r="P190" s="17" t="str">
        <f aca="false">IF(AND(N(H190)&gt;=N(K190),N(H190)&gt;=N(N190)),"The Pulse",IF(N(K190)&gt;=N(N190),"The Lens","The Hub"))</f>
        <v>The Pulse</v>
      </c>
      <c r="Q190" s="20" t="s">
        <v>74</v>
      </c>
      <c r="R190" s="27" t="s">
        <v>671</v>
      </c>
      <c r="S190" s="17" t="s">
        <v>19</v>
      </c>
    </row>
    <row r="191" customFormat="false" ht="15" hidden="false" customHeight="false" outlineLevel="0" collapsed="false">
      <c r="A191" s="17" t="s">
        <v>1712</v>
      </c>
      <c r="B191" s="17" t="s">
        <v>1713</v>
      </c>
      <c r="C191" s="17" t="s">
        <v>1714</v>
      </c>
      <c r="D191" s="17" t="s">
        <v>92</v>
      </c>
      <c r="E191" s="18" t="n">
        <v>102800</v>
      </c>
      <c r="F191" s="17" t="s">
        <v>670</v>
      </c>
      <c r="G191" s="23" t="n">
        <v>2.79593385214008</v>
      </c>
      <c r="H191" s="19" t="n">
        <v>43.8</v>
      </c>
      <c r="I191" s="17" t="n">
        <f aca="false">IF(H191="","",RANK(H191,$H$5:$H$337))</f>
        <v>187</v>
      </c>
      <c r="J191" s="24" t="n">
        <v>0.115935735996526</v>
      </c>
      <c r="K191" s="19" t="n">
        <v>68.9</v>
      </c>
      <c r="L191" s="17" t="n">
        <f aca="false">IF(K191="","",RANK(K191,$K$5:$K$337))</f>
        <v>104</v>
      </c>
      <c r="M191" s="25" t="n">
        <v>0.359378259962445</v>
      </c>
      <c r="N191" s="19" t="n">
        <v>96.4</v>
      </c>
      <c r="O191" s="17" t="n">
        <f aca="false">IF(N191="","",RANK(N191,$N$5:$N$337))</f>
        <v>14</v>
      </c>
      <c r="P191" s="17" t="str">
        <f aca="false">IF(AND(N(H191)&gt;=N(K191),N(H191)&gt;=N(N191)),"The Pulse",IF(N(K191)&gt;=N(N191),"The Lens","The Hub"))</f>
        <v>The Hub</v>
      </c>
      <c r="Q191" s="21" t="s">
        <v>78</v>
      </c>
      <c r="R191" s="26" t="s">
        <v>668</v>
      </c>
      <c r="S191" s="17" t="s">
        <v>21</v>
      </c>
    </row>
    <row r="192" customFormat="false" ht="15" hidden="false" customHeight="false" outlineLevel="0" collapsed="false">
      <c r="A192" s="17" t="s">
        <v>555</v>
      </c>
      <c r="B192" s="17" t="s">
        <v>556</v>
      </c>
      <c r="C192" s="17" t="s">
        <v>1715</v>
      </c>
      <c r="D192" s="17" t="s">
        <v>72</v>
      </c>
      <c r="E192" s="18" t="n">
        <v>98020</v>
      </c>
      <c r="F192" s="17" t="s">
        <v>667</v>
      </c>
      <c r="G192" s="23" t="n">
        <v>2.74887778004489</v>
      </c>
      <c r="H192" s="19" t="n">
        <v>43.6</v>
      </c>
      <c r="I192" s="17" t="n">
        <f aca="false">IF(H192="","",RANK(H192,$H$5:$H$337))</f>
        <v>188</v>
      </c>
      <c r="J192" s="24" t="n">
        <v>0.0998653500897666</v>
      </c>
      <c r="K192" s="19" t="n">
        <v>54.8</v>
      </c>
      <c r="L192" s="17" t="n">
        <f aca="false">IF(K192="","",RANK(K192,$K$5:$K$337))</f>
        <v>148</v>
      </c>
      <c r="M192" s="25" t="n">
        <v>0.14257711750748</v>
      </c>
      <c r="N192" s="19" t="n">
        <v>53.1</v>
      </c>
      <c r="O192" s="17" t="n">
        <f aca="false">IF(N192="","",RANK(N192,$N$5:$N$337))</f>
        <v>156</v>
      </c>
      <c r="P192" s="17" t="str">
        <f aca="false">IF(AND(N(H192)&gt;=N(K192),N(H192)&gt;=N(N192)),"The Pulse",IF(N(K192)&gt;=N(N192),"The Lens","The Hub"))</f>
        <v>The Lens</v>
      </c>
      <c r="Q192" s="21" t="s">
        <v>78</v>
      </c>
      <c r="R192" s="27" t="s">
        <v>671</v>
      </c>
      <c r="S192" s="17" t="s">
        <v>21</v>
      </c>
    </row>
    <row r="193" customFormat="false" ht="15" hidden="false" customHeight="false" outlineLevel="0" collapsed="false">
      <c r="A193" s="17" t="s">
        <v>307</v>
      </c>
      <c r="B193" s="17" t="s">
        <v>308</v>
      </c>
      <c r="C193" s="17" t="s">
        <v>1716</v>
      </c>
      <c r="D193" s="17" t="s">
        <v>77</v>
      </c>
      <c r="E193" s="18" t="n">
        <v>55580</v>
      </c>
      <c r="F193" s="17" t="s">
        <v>667</v>
      </c>
      <c r="G193" s="23" t="n">
        <v>2.74843468873696</v>
      </c>
      <c r="H193" s="19" t="n">
        <v>43.3</v>
      </c>
      <c r="I193" s="17" t="n">
        <f aca="false">IF(H193="","",RANK(H193,$H$5:$H$337))</f>
        <v>189</v>
      </c>
      <c r="J193" s="24" t="n">
        <v>-0.0903436988543372</v>
      </c>
      <c r="K193" s="19" t="n">
        <v>1.7</v>
      </c>
      <c r="L193" s="17" t="n">
        <f aca="false">IF(K193="","",RANK(K193,$K$5:$K$337))</f>
        <v>329</v>
      </c>
      <c r="M193" s="25" t="n">
        <v>0.255253015044138</v>
      </c>
      <c r="N193" s="19" t="n">
        <v>84.5</v>
      </c>
      <c r="O193" s="17" t="n">
        <f aca="false">IF(N193="","",RANK(N193,$N$5:$N$337))</f>
        <v>55</v>
      </c>
      <c r="P193" s="17" t="str">
        <f aca="false">IF(AND(N(H193)&gt;=N(K193),N(H193)&gt;=N(N193)),"The Pulse",IF(N(K193)&gt;=N(N193),"The Lens","The Hub"))</f>
        <v>The Hub</v>
      </c>
      <c r="Q193" s="21" t="s">
        <v>78</v>
      </c>
      <c r="R193" s="27" t="s">
        <v>671</v>
      </c>
      <c r="S193" s="17" t="s">
        <v>21</v>
      </c>
    </row>
    <row r="194" customFormat="false" ht="15" hidden="false" customHeight="false" outlineLevel="0" collapsed="false">
      <c r="A194" s="17" t="s">
        <v>1326</v>
      </c>
      <c r="B194" s="17" t="s">
        <v>1327</v>
      </c>
      <c r="C194" s="17" t="s">
        <v>1717</v>
      </c>
      <c r="D194" s="17" t="s">
        <v>92</v>
      </c>
      <c r="E194" s="18" t="n">
        <v>271220</v>
      </c>
      <c r="F194" s="17" t="s">
        <v>670</v>
      </c>
      <c r="G194" s="23" t="n">
        <v>2.73812403215102</v>
      </c>
      <c r="H194" s="19" t="n">
        <v>43.1</v>
      </c>
      <c r="I194" s="17" t="n">
        <f aca="false">IF(H194="","",RANK(H194,$H$5:$H$337))</f>
        <v>190</v>
      </c>
      <c r="J194" s="24" t="n">
        <v>0.144726290465538</v>
      </c>
      <c r="K194" s="19" t="n">
        <v>80.1</v>
      </c>
      <c r="L194" s="17" t="n">
        <f aca="false">IF(K194="","",RANK(K194,$K$5:$K$337))</f>
        <v>66</v>
      </c>
      <c r="M194" s="25" t="n">
        <v>0.0348772595038081</v>
      </c>
      <c r="N194" s="19" t="n">
        <v>8.3</v>
      </c>
      <c r="O194" s="17" t="n">
        <f aca="false">IF(N194="","",RANK(N194,$N$5:$N$337))</f>
        <v>305</v>
      </c>
      <c r="P194" s="17" t="str">
        <f aca="false">IF(AND(N(H194)&gt;=N(K194),N(H194)&gt;=N(N194)),"The Pulse",IF(N(K194)&gt;=N(N194),"The Lens","The Hub"))</f>
        <v>The Lens</v>
      </c>
      <c r="Q194" s="21" t="s">
        <v>78</v>
      </c>
      <c r="R194" s="26" t="s">
        <v>668</v>
      </c>
      <c r="S194" s="17" t="s">
        <v>21</v>
      </c>
    </row>
    <row r="195" customFormat="false" ht="15" hidden="false" customHeight="false" outlineLevel="0" collapsed="false">
      <c r="A195" s="17" t="s">
        <v>271</v>
      </c>
      <c r="B195" s="17" t="s">
        <v>272</v>
      </c>
      <c r="C195" s="17" t="s">
        <v>1718</v>
      </c>
      <c r="D195" s="17" t="s">
        <v>92</v>
      </c>
      <c r="E195" s="18" t="n">
        <v>3273</v>
      </c>
      <c r="F195" s="17" t="s">
        <v>678</v>
      </c>
      <c r="G195" s="23" t="n">
        <v>2.72624503513596</v>
      </c>
      <c r="H195" s="19" t="n">
        <v>42.9</v>
      </c>
      <c r="I195" s="17" t="n">
        <f aca="false">IF(H195="","",RANK(H195,$H$5:$H$337))</f>
        <v>191</v>
      </c>
      <c r="J195" s="24" t="n">
        <v>0.138830897703549</v>
      </c>
      <c r="K195" s="19" t="n">
        <v>62.5</v>
      </c>
      <c r="L195" s="17" t="n">
        <f aca="false">IF(K195="","",RANK(K195,$K$5:$K$337))</f>
        <v>121</v>
      </c>
      <c r="M195" s="25" t="n">
        <v>0.0652173913043478</v>
      </c>
      <c r="N195" s="19" t="n">
        <v>20.5</v>
      </c>
      <c r="O195" s="17" t="n">
        <f aca="false">IF(N195="","",RANK(N195,$N$5:$N$337))</f>
        <v>266</v>
      </c>
      <c r="P195" s="17" t="str">
        <f aca="false">IF(AND(N(H195)&gt;=N(K195),N(H195)&gt;=N(N195)),"The Pulse",IF(N(K195)&gt;=N(N195),"The Lens","The Hub"))</f>
        <v>The Lens</v>
      </c>
      <c r="Q195" s="20" t="s">
        <v>74</v>
      </c>
      <c r="R195" s="27" t="s">
        <v>671</v>
      </c>
      <c r="S195" s="17" t="s">
        <v>19</v>
      </c>
    </row>
    <row r="196" customFormat="false" ht="15" hidden="false" customHeight="false" outlineLevel="0" collapsed="false">
      <c r="A196" s="17" t="s">
        <v>469</v>
      </c>
      <c r="B196" s="17" t="s">
        <v>470</v>
      </c>
      <c r="C196" s="17" t="s">
        <v>1719</v>
      </c>
      <c r="D196" s="17" t="s">
        <v>102</v>
      </c>
      <c r="E196" s="18" t="n">
        <v>58298</v>
      </c>
      <c r="F196" s="17" t="s">
        <v>667</v>
      </c>
      <c r="G196" s="23" t="n">
        <v>2.72455315791279</v>
      </c>
      <c r="H196" s="19" t="n">
        <v>42.7</v>
      </c>
      <c r="I196" s="17" t="n">
        <f aca="false">IF(H196="","",RANK(H196,$H$5:$H$337))</f>
        <v>192</v>
      </c>
      <c r="J196" s="24" t="n">
        <v>0.104756490430169</v>
      </c>
      <c r="K196" s="19" t="n">
        <v>57.3</v>
      </c>
      <c r="L196" s="17" t="n">
        <f aca="false">IF(K196="","",RANK(K196,$K$5:$K$337))</f>
        <v>140</v>
      </c>
      <c r="M196" s="25" t="n">
        <v>0.0609717370593839</v>
      </c>
      <c r="N196" s="19" t="n">
        <v>18.1</v>
      </c>
      <c r="O196" s="17" t="n">
        <f aca="false">IF(N196="","",RANK(N196,$N$5:$N$337))</f>
        <v>274</v>
      </c>
      <c r="P196" s="17" t="str">
        <f aca="false">IF(AND(N(H196)&gt;=N(K196),N(H196)&gt;=N(N196)),"The Pulse",IF(N(K196)&gt;=N(N196),"The Lens","The Hub"))</f>
        <v>The Lens</v>
      </c>
      <c r="Q196" s="20" t="s">
        <v>74</v>
      </c>
      <c r="R196" s="27" t="s">
        <v>671</v>
      </c>
      <c r="S196" s="17" t="s">
        <v>19</v>
      </c>
    </row>
    <row r="197" customFormat="false" ht="15" hidden="false" customHeight="false" outlineLevel="0" collapsed="false">
      <c r="A197" s="17" t="s">
        <v>1720</v>
      </c>
      <c r="B197" s="17" t="s">
        <v>1721</v>
      </c>
      <c r="C197" s="17" t="s">
        <v>1722</v>
      </c>
      <c r="D197" s="17" t="s">
        <v>81</v>
      </c>
      <c r="E197" s="18" t="n">
        <v>82622</v>
      </c>
      <c r="F197" s="17" t="s">
        <v>667</v>
      </c>
      <c r="G197" s="23" t="n">
        <v>2.69798600856915</v>
      </c>
      <c r="H197" s="19" t="n">
        <v>42.5</v>
      </c>
      <c r="I197" s="17" t="n">
        <f aca="false">IF(H197="","",RANK(H197,$H$5:$H$337))</f>
        <v>193</v>
      </c>
      <c r="J197" s="24" t="n">
        <v>0.107221827635652</v>
      </c>
      <c r="K197" s="19" t="n">
        <v>58.9</v>
      </c>
      <c r="L197" s="17" t="n">
        <f aca="false">IF(K197="","",RANK(K197,$K$5:$K$337))</f>
        <v>133</v>
      </c>
      <c r="M197" s="25" t="n">
        <v>0.182990249187432</v>
      </c>
      <c r="N197" s="19" t="n">
        <v>67.6</v>
      </c>
      <c r="O197" s="17" t="n">
        <f aca="false">IF(N197="","",RANK(N197,$N$5:$N$337))</f>
        <v>112</v>
      </c>
      <c r="P197" s="17" t="str">
        <f aca="false">IF(AND(N(H197)&gt;=N(K197),N(H197)&gt;=N(N197)),"The Pulse",IF(N(K197)&gt;=N(N197),"The Lens","The Hub"))</f>
        <v>The Hub</v>
      </c>
      <c r="Q197" s="20" t="s">
        <v>74</v>
      </c>
      <c r="R197" s="26" t="s">
        <v>668</v>
      </c>
      <c r="S197" s="17" t="s">
        <v>19</v>
      </c>
    </row>
    <row r="198" customFormat="false" ht="15" hidden="false" customHeight="false" outlineLevel="0" collapsed="false">
      <c r="A198" s="17" t="s">
        <v>1723</v>
      </c>
      <c r="B198" s="17" t="s">
        <v>1724</v>
      </c>
      <c r="C198" s="17" t="s">
        <v>1725</v>
      </c>
      <c r="D198" s="17" t="s">
        <v>102</v>
      </c>
      <c r="E198" s="18" t="n">
        <v>120360</v>
      </c>
      <c r="F198" s="17" t="s">
        <v>670</v>
      </c>
      <c r="G198" s="23" t="n">
        <v>2.69343635759389</v>
      </c>
      <c r="H198" s="19" t="n">
        <v>42.3</v>
      </c>
      <c r="I198" s="17" t="n">
        <f aca="false">IF(H198="","",RANK(H198,$H$5:$H$337))</f>
        <v>194</v>
      </c>
      <c r="J198" s="24" t="n">
        <v>0.0712950600801068</v>
      </c>
      <c r="K198" s="19" t="n">
        <v>45</v>
      </c>
      <c r="L198" s="17" t="n">
        <f aca="false">IF(K198="","",RANK(K198,$K$5:$K$337))</f>
        <v>183</v>
      </c>
      <c r="M198" s="25" t="n">
        <v>0.296698729367059</v>
      </c>
      <c r="N198" s="19" t="n">
        <v>90.2</v>
      </c>
      <c r="O198" s="17" t="n">
        <f aca="false">IF(N198="","",RANK(N198,$N$5:$N$337))</f>
        <v>38</v>
      </c>
      <c r="P198" s="17" t="str">
        <f aca="false">IF(AND(N(H198)&gt;=N(K198),N(H198)&gt;=N(N198)),"The Pulse",IF(N(K198)&gt;=N(N198),"The Lens","The Hub"))</f>
        <v>The Hub</v>
      </c>
      <c r="Q198" s="21" t="s">
        <v>78</v>
      </c>
      <c r="R198" s="26" t="s">
        <v>668</v>
      </c>
      <c r="S198" s="17" t="s">
        <v>21</v>
      </c>
    </row>
    <row r="199" customFormat="false" ht="15" hidden="false" customHeight="false" outlineLevel="0" collapsed="false">
      <c r="A199" s="17" t="s">
        <v>547</v>
      </c>
      <c r="B199" s="17" t="s">
        <v>548</v>
      </c>
      <c r="C199" s="17" t="s">
        <v>1726</v>
      </c>
      <c r="D199" s="17" t="s">
        <v>102</v>
      </c>
      <c r="E199" s="18" t="n">
        <v>17730</v>
      </c>
      <c r="F199" s="17" t="s">
        <v>667</v>
      </c>
      <c r="G199" s="23" t="n">
        <v>2.6922165820643</v>
      </c>
      <c r="H199" s="19" t="n">
        <v>42.1</v>
      </c>
      <c r="I199" s="17" t="n">
        <f aca="false">IF(H199="","",RANK(H199,$H$5:$H$337))</f>
        <v>195</v>
      </c>
      <c r="J199" s="24" t="n">
        <v>0.201219512195122</v>
      </c>
      <c r="K199" s="19" t="n">
        <v>94.2</v>
      </c>
      <c r="L199" s="17" t="n">
        <f aca="false">IF(K199="","",RANK(K199,$K$5:$K$337))</f>
        <v>20</v>
      </c>
      <c r="M199" s="25" t="n">
        <v>0.0275641025641026</v>
      </c>
      <c r="N199" s="19" t="n">
        <v>5.4</v>
      </c>
      <c r="O199" s="17" t="n">
        <f aca="false">IF(N199="","",RANK(N199,$N$5:$N$337))</f>
        <v>314</v>
      </c>
      <c r="P199" s="17" t="str">
        <f aca="false">IF(AND(N(H199)&gt;=N(K199),N(H199)&gt;=N(N199)),"The Pulse",IF(N(K199)&gt;=N(N199),"The Lens","The Hub"))</f>
        <v>The Lens</v>
      </c>
      <c r="Q199" s="21" t="s">
        <v>78</v>
      </c>
      <c r="R199" s="27" t="s">
        <v>671</v>
      </c>
      <c r="S199" s="17" t="s">
        <v>21</v>
      </c>
    </row>
    <row r="200" customFormat="false" ht="15" hidden="false" customHeight="false" outlineLevel="0" collapsed="false">
      <c r="A200" s="17" t="s">
        <v>1727</v>
      </c>
      <c r="B200" s="17" t="s">
        <v>1728</v>
      </c>
      <c r="C200" s="17" t="s">
        <v>1729</v>
      </c>
      <c r="D200" s="17" t="s">
        <v>92</v>
      </c>
      <c r="E200" s="18" t="n">
        <v>18360</v>
      </c>
      <c r="F200" s="17" t="s">
        <v>667</v>
      </c>
      <c r="G200" s="23" t="n">
        <v>2.68839869281046</v>
      </c>
      <c r="H200" s="19" t="n">
        <v>41.9</v>
      </c>
      <c r="I200" s="17" t="n">
        <f aca="false">IF(H200="","",RANK(H200,$H$5:$H$337))</f>
        <v>196</v>
      </c>
      <c r="J200" s="24" t="n">
        <v>0.134734239802225</v>
      </c>
      <c r="K200" s="19" t="n">
        <v>71.4</v>
      </c>
      <c r="L200" s="17" t="n">
        <f aca="false">IF(K200="","",RANK(K200,$K$5:$K$337))</f>
        <v>97</v>
      </c>
      <c r="M200" s="25" t="n">
        <v>0.126143172500788</v>
      </c>
      <c r="N200" s="19" t="n">
        <v>47.7</v>
      </c>
      <c r="O200" s="17" t="n">
        <f aca="false">IF(N200="","",RANK(N200,$N$5:$N$337))</f>
        <v>173</v>
      </c>
      <c r="P200" s="17" t="str">
        <f aca="false">IF(AND(N(H200)&gt;=N(K200),N(H200)&gt;=N(N200)),"The Pulse",IF(N(K200)&gt;=N(N200),"The Lens","The Hub"))</f>
        <v>The Lens</v>
      </c>
      <c r="Q200" s="21" t="s">
        <v>78</v>
      </c>
      <c r="R200" s="26" t="s">
        <v>668</v>
      </c>
      <c r="S200" s="17" t="s">
        <v>21</v>
      </c>
    </row>
    <row r="201" customFormat="false" ht="15" hidden="false" customHeight="false" outlineLevel="0" collapsed="false">
      <c r="A201" s="17" t="s">
        <v>331</v>
      </c>
      <c r="B201" s="17" t="s">
        <v>332</v>
      </c>
      <c r="C201" s="17" t="s">
        <v>1730</v>
      </c>
      <c r="D201" s="17" t="s">
        <v>87</v>
      </c>
      <c r="E201" s="18" t="n">
        <v>11190</v>
      </c>
      <c r="F201" s="17" t="s">
        <v>667</v>
      </c>
      <c r="G201" s="23" t="n">
        <v>2.68319928507596</v>
      </c>
      <c r="H201" s="19" t="n">
        <v>41.6</v>
      </c>
      <c r="I201" s="17" t="n">
        <f aca="false">IF(H201="","",RANK(H201,$H$5:$H$337))</f>
        <v>197</v>
      </c>
      <c r="J201" s="24" t="n">
        <v>0.157187176835574</v>
      </c>
      <c r="K201" s="19" t="n">
        <v>82.6</v>
      </c>
      <c r="L201" s="17" t="n">
        <f aca="false">IF(K201="","",RANK(K201,$K$5:$K$337))</f>
        <v>57</v>
      </c>
      <c r="M201" s="25" t="n">
        <v>0.0903508771929825</v>
      </c>
      <c r="N201" s="19" t="n">
        <v>27.7</v>
      </c>
      <c r="O201" s="17" t="n">
        <f aca="false">IF(N201="","",RANK(N201,$N$5:$N$337))</f>
        <v>241</v>
      </c>
      <c r="P201" s="17" t="str">
        <f aca="false">IF(AND(N(H201)&gt;=N(K201),N(H201)&gt;=N(N201)),"The Pulse",IF(N(K201)&gt;=N(N201),"The Lens","The Hub"))</f>
        <v>The Lens</v>
      </c>
      <c r="Q201" s="21" t="s">
        <v>78</v>
      </c>
      <c r="R201" s="27" t="s">
        <v>671</v>
      </c>
      <c r="S201" s="17" t="s">
        <v>21</v>
      </c>
    </row>
    <row r="202" customFormat="false" ht="15" hidden="false" customHeight="false" outlineLevel="0" collapsed="false">
      <c r="A202" s="17" t="s">
        <v>451</v>
      </c>
      <c r="B202" s="17" t="s">
        <v>452</v>
      </c>
      <c r="C202" s="17" t="s">
        <v>1731</v>
      </c>
      <c r="D202" s="17" t="s">
        <v>72</v>
      </c>
      <c r="E202" s="18" t="n">
        <v>154067</v>
      </c>
      <c r="F202" s="17" t="s">
        <v>670</v>
      </c>
      <c r="G202" s="23" t="n">
        <v>2.6600699695587</v>
      </c>
      <c r="H202" s="19" t="n">
        <v>41.2</v>
      </c>
      <c r="I202" s="17" t="n">
        <f aca="false">IF(H202="","",RANK(H202,$H$5:$H$337))</f>
        <v>198</v>
      </c>
      <c r="J202" s="24" t="n">
        <v>0.0618865791795324</v>
      </c>
      <c r="K202" s="19" t="n">
        <v>37.1</v>
      </c>
      <c r="L202" s="17" t="n">
        <f aca="false">IF(K202="","",RANK(K202,$K$5:$K$337))</f>
        <v>211</v>
      </c>
      <c r="M202" s="25" t="n">
        <v>0.104755525787006</v>
      </c>
      <c r="N202" s="19" t="n">
        <v>35</v>
      </c>
      <c r="O202" s="17" t="n">
        <f aca="false">IF(N202="","",RANK(N202,$N$5:$N$337))</f>
        <v>215</v>
      </c>
      <c r="P202" s="17" t="str">
        <f aca="false">IF(AND(N(H202)&gt;=N(K202),N(H202)&gt;=N(N202)),"The Pulse",IF(N(K202)&gt;=N(N202),"The Lens","The Hub"))</f>
        <v>The Pulse</v>
      </c>
      <c r="Q202" s="20" t="s">
        <v>74</v>
      </c>
      <c r="R202" s="27" t="s">
        <v>671</v>
      </c>
      <c r="S202" s="17" t="s">
        <v>19</v>
      </c>
    </row>
    <row r="203" customFormat="false" ht="15" hidden="false" customHeight="false" outlineLevel="0" collapsed="false">
      <c r="A203" s="17" t="s">
        <v>453</v>
      </c>
      <c r="B203" s="17" t="s">
        <v>454</v>
      </c>
      <c r="C203" s="17" t="s">
        <v>1732</v>
      </c>
      <c r="D203" s="17" t="s">
        <v>102</v>
      </c>
      <c r="E203" s="18" t="n">
        <v>311023</v>
      </c>
      <c r="F203" s="17" t="s">
        <v>670</v>
      </c>
      <c r="G203" s="23" t="n">
        <v>2.63375377383666</v>
      </c>
      <c r="H203" s="19" t="n">
        <v>41</v>
      </c>
      <c r="I203" s="17" t="n">
        <f aca="false">IF(H203="","",RANK(H203,$H$5:$H$337))</f>
        <v>199</v>
      </c>
      <c r="J203" s="24" t="n">
        <v>0.0242643789827271</v>
      </c>
      <c r="K203" s="19" t="n">
        <v>18.5</v>
      </c>
      <c r="L203" s="17" t="n">
        <f aca="false">IF(K203="","",RANK(K203,$K$5:$K$337))</f>
        <v>273</v>
      </c>
      <c r="M203" s="25" t="n">
        <v>0.122671459526649</v>
      </c>
      <c r="N203" s="19" t="n">
        <v>44.6</v>
      </c>
      <c r="O203" s="17" t="n">
        <f aca="false">IF(N203="","",RANK(N203,$N$5:$N$337))</f>
        <v>182</v>
      </c>
      <c r="P203" s="17" t="str">
        <f aca="false">IF(AND(N(H203)&gt;=N(K203),N(H203)&gt;=N(N203)),"The Pulse",IF(N(K203)&gt;=N(N203),"The Lens","The Hub"))</f>
        <v>The Hub</v>
      </c>
      <c r="Q203" s="20" t="s">
        <v>74</v>
      </c>
      <c r="R203" s="27" t="s">
        <v>671</v>
      </c>
      <c r="S203" s="17" t="s">
        <v>19</v>
      </c>
    </row>
    <row r="204" customFormat="false" ht="15" hidden="false" customHeight="false" outlineLevel="0" collapsed="false">
      <c r="A204" s="17" t="s">
        <v>537</v>
      </c>
      <c r="B204" s="17" t="s">
        <v>538</v>
      </c>
      <c r="C204" s="17" t="s">
        <v>1733</v>
      </c>
      <c r="D204" s="17" t="s">
        <v>105</v>
      </c>
      <c r="E204" s="18" t="n">
        <v>2402</v>
      </c>
      <c r="F204" s="17" t="s">
        <v>678</v>
      </c>
      <c r="G204" s="23" t="n">
        <v>2.62822647793505</v>
      </c>
      <c r="H204" s="19" t="n">
        <v>40.8</v>
      </c>
      <c r="I204" s="17" t="n">
        <f aca="false">IF(H204="","",RANK(H204,$H$5:$H$337))</f>
        <v>200</v>
      </c>
      <c r="J204" s="24" t="n">
        <v>0.0243070362473348</v>
      </c>
      <c r="K204" s="19" t="n">
        <v>8.3</v>
      </c>
      <c r="L204" s="17" t="n">
        <f aca="false">IF(K204="","",RANK(K204,$K$5:$K$337))</f>
        <v>304</v>
      </c>
      <c r="M204" s="25" t="n">
        <v>0.042483660130719</v>
      </c>
      <c r="N204" s="19" t="n">
        <v>10.6</v>
      </c>
      <c r="O204" s="17" t="n">
        <f aca="false">IF(N204="","",RANK(N204,$N$5:$N$337))</f>
        <v>298</v>
      </c>
      <c r="P204" s="17" t="str">
        <f aca="false">IF(AND(N(H204)&gt;=N(K204),N(H204)&gt;=N(N204)),"The Pulse",IF(N(K204)&gt;=N(N204),"The Lens","The Hub"))</f>
        <v>The Pulse</v>
      </c>
      <c r="Q204" s="20" t="s">
        <v>74</v>
      </c>
      <c r="R204" s="27" t="s">
        <v>671</v>
      </c>
      <c r="S204" s="17" t="s">
        <v>19</v>
      </c>
    </row>
    <row r="205" customFormat="false" ht="15" hidden="false" customHeight="false" outlineLevel="0" collapsed="false">
      <c r="A205" s="17" t="s">
        <v>435</v>
      </c>
      <c r="B205" s="17" t="s">
        <v>436</v>
      </c>
      <c r="C205" s="17" t="s">
        <v>1734</v>
      </c>
      <c r="D205" s="17" t="s">
        <v>92</v>
      </c>
      <c r="E205" s="18" t="n">
        <v>1596</v>
      </c>
      <c r="F205" s="17" t="s">
        <v>678</v>
      </c>
      <c r="G205" s="23" t="n">
        <v>2.61967418546366</v>
      </c>
      <c r="H205" s="19" t="n">
        <v>40.4</v>
      </c>
      <c r="I205" s="17" t="n">
        <f aca="false">IF(H205="","",RANK(H205,$H$5:$H$337))</f>
        <v>201</v>
      </c>
      <c r="J205" s="24" t="n">
        <v>0.0445026178010471</v>
      </c>
      <c r="K205" s="19" t="n">
        <v>16.7</v>
      </c>
      <c r="L205" s="17" t="n">
        <f aca="false">IF(K205="","",RANK(K205,$K$5:$K$337))</f>
        <v>279</v>
      </c>
      <c r="M205" s="25" t="n">
        <v>0.03125</v>
      </c>
      <c r="N205" s="19" t="n">
        <v>6.7</v>
      </c>
      <c r="O205" s="17" t="n">
        <f aca="false">IF(N205="","",RANK(N205,$N$5:$N$337))</f>
        <v>310</v>
      </c>
      <c r="P205" s="17" t="str">
        <f aca="false">IF(AND(N(H205)&gt;=N(K205),N(H205)&gt;=N(N205)),"The Pulse",IF(N(K205)&gt;=N(N205),"The Lens","The Hub"))</f>
        <v>The Pulse</v>
      </c>
      <c r="Q205" s="20" t="s">
        <v>74</v>
      </c>
      <c r="R205" s="27" t="s">
        <v>671</v>
      </c>
      <c r="S205" s="17" t="s">
        <v>19</v>
      </c>
    </row>
    <row r="206" customFormat="false" ht="15" hidden="false" customHeight="false" outlineLevel="0" collapsed="false">
      <c r="A206" s="17" t="s">
        <v>1735</v>
      </c>
      <c r="B206" s="17" t="s">
        <v>1736</v>
      </c>
      <c r="C206" s="17" t="s">
        <v>1737</v>
      </c>
      <c r="D206" s="17" t="s">
        <v>77</v>
      </c>
      <c r="E206" s="18" t="n">
        <v>48500</v>
      </c>
      <c r="F206" s="17" t="s">
        <v>667</v>
      </c>
      <c r="G206" s="23" t="n">
        <v>2.6020618556701</v>
      </c>
      <c r="H206" s="19" t="n">
        <v>40.2</v>
      </c>
      <c r="I206" s="17" t="n">
        <f aca="false">IF(H206="","",RANK(H206,$H$5:$H$337))</f>
        <v>202</v>
      </c>
      <c r="J206" s="24" t="n">
        <v>0.030161427357689</v>
      </c>
      <c r="K206" s="19" t="n">
        <v>20.3</v>
      </c>
      <c r="L206" s="17" t="n">
        <f aca="false">IF(K206="","",RANK(K206,$K$5:$K$337))</f>
        <v>266</v>
      </c>
      <c r="M206" s="25" t="n">
        <v>0.0355719104569151</v>
      </c>
      <c r="N206" s="19" t="n">
        <v>8.5</v>
      </c>
      <c r="O206" s="17" t="n">
        <f aca="false">IF(N206="","",RANK(N206,$N$5:$N$337))</f>
        <v>304</v>
      </c>
      <c r="P206" s="17" t="str">
        <f aca="false">IF(AND(N(H206)&gt;=N(K206),N(H206)&gt;=N(N206)),"The Pulse",IF(N(K206)&gt;=N(N206),"The Lens","The Hub"))</f>
        <v>The Pulse</v>
      </c>
      <c r="Q206" s="21" t="s">
        <v>78</v>
      </c>
      <c r="R206" s="26" t="s">
        <v>668</v>
      </c>
      <c r="S206" s="17" t="s">
        <v>21</v>
      </c>
    </row>
    <row r="207" customFormat="false" ht="15" hidden="false" customHeight="false" outlineLevel="0" collapsed="false">
      <c r="A207" s="17" t="s">
        <v>1738</v>
      </c>
      <c r="B207" s="17" t="s">
        <v>1739</v>
      </c>
      <c r="C207" s="17" t="s">
        <v>1740</v>
      </c>
      <c r="D207" s="17" t="s">
        <v>102</v>
      </c>
      <c r="E207" s="18" t="n">
        <v>86561</v>
      </c>
      <c r="F207" s="17" t="s">
        <v>667</v>
      </c>
      <c r="G207" s="23" t="n">
        <v>2.59957717678862</v>
      </c>
      <c r="H207" s="19" t="n">
        <v>40</v>
      </c>
      <c r="I207" s="17" t="n">
        <f aca="false">IF(H207="","",RANK(H207,$H$5:$H$337))</f>
        <v>203</v>
      </c>
      <c r="J207" s="24" t="n">
        <v>0.0597446162510253</v>
      </c>
      <c r="K207" s="19" t="n">
        <v>35.3</v>
      </c>
      <c r="L207" s="17" t="n">
        <f aca="false">IF(K207="","",RANK(K207,$K$5:$K$337))</f>
        <v>218</v>
      </c>
      <c r="M207" s="25" t="n">
        <v>0.186935704514364</v>
      </c>
      <c r="N207" s="19" t="n">
        <v>68.7</v>
      </c>
      <c r="O207" s="17" t="n">
        <f aca="false">IF(N207="","",RANK(N207,$N$5:$N$337))</f>
        <v>109</v>
      </c>
      <c r="P207" s="17" t="str">
        <f aca="false">IF(AND(N(H207)&gt;=N(K207),N(H207)&gt;=N(N207)),"The Pulse",IF(N(K207)&gt;=N(N207),"The Lens","The Hub"))</f>
        <v>The Hub</v>
      </c>
      <c r="Q207" s="20" t="s">
        <v>74</v>
      </c>
      <c r="R207" s="26" t="s">
        <v>668</v>
      </c>
      <c r="S207" s="17" t="s">
        <v>19</v>
      </c>
    </row>
    <row r="208" customFormat="false" ht="15" hidden="false" customHeight="false" outlineLevel="0" collapsed="false">
      <c r="A208" s="17" t="s">
        <v>255</v>
      </c>
      <c r="B208" s="17" t="s">
        <v>256</v>
      </c>
      <c r="C208" s="17" t="s">
        <v>1741</v>
      </c>
      <c r="D208" s="17" t="s">
        <v>138</v>
      </c>
      <c r="E208" s="18" t="n">
        <v>62963</v>
      </c>
      <c r="F208" s="17" t="s">
        <v>667</v>
      </c>
      <c r="G208" s="23" t="n">
        <v>2.59590553182028</v>
      </c>
      <c r="H208" s="19" t="n">
        <v>39.7</v>
      </c>
      <c r="I208" s="17" t="n">
        <f aca="false">IF(H208="","",RANK(H208,$H$5:$H$337))</f>
        <v>204</v>
      </c>
      <c r="J208" s="24" t="n">
        <v>0.0540033814888595</v>
      </c>
      <c r="K208" s="19" t="n">
        <v>31.1</v>
      </c>
      <c r="L208" s="17" t="n">
        <f aca="false">IF(K208="","",RANK(K208,$K$5:$K$337))</f>
        <v>233</v>
      </c>
      <c r="M208" s="25" t="n">
        <v>0.0834757834757835</v>
      </c>
      <c r="N208" s="19" t="n">
        <v>25.4</v>
      </c>
      <c r="O208" s="17" t="n">
        <f aca="false">IF(N208="","",RANK(N208,$N$5:$N$337))</f>
        <v>250</v>
      </c>
      <c r="P208" s="17" t="str">
        <f aca="false">IF(AND(N(H208)&gt;=N(K208),N(H208)&gt;=N(N208)),"The Pulse",IF(N(K208)&gt;=N(N208),"The Lens","The Hub"))</f>
        <v>The Pulse</v>
      </c>
      <c r="Q208" s="20" t="s">
        <v>74</v>
      </c>
      <c r="R208" s="27" t="s">
        <v>671</v>
      </c>
      <c r="S208" s="17" t="s">
        <v>19</v>
      </c>
    </row>
    <row r="209" customFormat="false" ht="15" hidden="false" customHeight="false" outlineLevel="0" collapsed="false">
      <c r="A209" s="17" t="s">
        <v>425</v>
      </c>
      <c r="B209" s="17" t="s">
        <v>426</v>
      </c>
      <c r="C209" s="17" t="s">
        <v>1742</v>
      </c>
      <c r="D209" s="17" t="s">
        <v>102</v>
      </c>
      <c r="E209" s="18" t="n">
        <v>6340</v>
      </c>
      <c r="F209" s="17" t="s">
        <v>678</v>
      </c>
      <c r="G209" s="23" t="n">
        <v>2.54605678233439</v>
      </c>
      <c r="H209" s="19" t="n">
        <v>39.1</v>
      </c>
      <c r="I209" s="17" t="n">
        <f aca="false">IF(H209="","",RANK(H209,$H$5:$H$337))</f>
        <v>205</v>
      </c>
      <c r="J209" s="24" t="n">
        <v>0.207619047619048</v>
      </c>
      <c r="K209" s="19" t="n">
        <v>91.7</v>
      </c>
      <c r="L209" s="17" t="n">
        <f aca="false">IF(K209="","",RANK(K209,$K$5:$K$337))</f>
        <v>26</v>
      </c>
      <c r="M209" s="25" t="n">
        <v>0.229150428682775</v>
      </c>
      <c r="N209" s="19" t="n">
        <v>77.5</v>
      </c>
      <c r="O209" s="17" t="n">
        <f aca="false">IF(N209="","",RANK(N209,$N$5:$N$337))</f>
        <v>79</v>
      </c>
      <c r="P209" s="17" t="str">
        <f aca="false">IF(AND(N(H209)&gt;=N(K209),N(H209)&gt;=N(N209)),"The Pulse",IF(N(K209)&gt;=N(N209),"The Lens","The Hub"))</f>
        <v>The Lens</v>
      </c>
      <c r="Q209" s="21" t="s">
        <v>78</v>
      </c>
      <c r="R209" s="27" t="s">
        <v>671</v>
      </c>
      <c r="S209" s="17" t="s">
        <v>21</v>
      </c>
    </row>
    <row r="210" customFormat="false" ht="15" hidden="false" customHeight="false" outlineLevel="0" collapsed="false">
      <c r="A210" s="17" t="s">
        <v>437</v>
      </c>
      <c r="B210" s="17" t="s">
        <v>438</v>
      </c>
      <c r="C210" s="17" t="s">
        <v>1743</v>
      </c>
      <c r="D210" s="17" t="s">
        <v>114</v>
      </c>
      <c r="E210" s="18" t="n">
        <v>33730</v>
      </c>
      <c r="F210" s="17" t="s">
        <v>667</v>
      </c>
      <c r="G210" s="23" t="n">
        <v>2.50747722454592</v>
      </c>
      <c r="H210" s="19" t="n">
        <v>38.9</v>
      </c>
      <c r="I210" s="17" t="n">
        <f aca="false">IF(H210="","",RANK(H210,$H$5:$H$337))</f>
        <v>206</v>
      </c>
      <c r="J210" s="24" t="n">
        <v>0.101927474681477</v>
      </c>
      <c r="K210" s="19" t="n">
        <v>56</v>
      </c>
      <c r="L210" s="17" t="n">
        <f aca="false">IF(K210="","",RANK(K210,$K$5:$K$337))</f>
        <v>145</v>
      </c>
      <c r="M210" s="25" t="n">
        <v>0.307739557739558</v>
      </c>
      <c r="N210" s="19" t="n">
        <v>92.7</v>
      </c>
      <c r="O210" s="17" t="n">
        <f aca="false">IF(N210="","",RANK(N210,$N$5:$N$337))</f>
        <v>28</v>
      </c>
      <c r="P210" s="17" t="str">
        <f aca="false">IF(AND(N(H210)&gt;=N(K210),N(H210)&gt;=N(N210)),"The Pulse",IF(N(K210)&gt;=N(N210),"The Lens","The Hub"))</f>
        <v>The Hub</v>
      </c>
      <c r="Q210" s="22" t="s">
        <v>83</v>
      </c>
      <c r="R210" s="27" t="s">
        <v>671</v>
      </c>
      <c r="S210" s="17" t="s">
        <v>84</v>
      </c>
    </row>
    <row r="211" customFormat="false" ht="15" hidden="false" customHeight="false" outlineLevel="0" collapsed="false">
      <c r="A211" s="17" t="s">
        <v>605</v>
      </c>
      <c r="B211" s="17" t="s">
        <v>606</v>
      </c>
      <c r="C211" s="17" t="s">
        <v>1744</v>
      </c>
      <c r="D211" s="17" t="s">
        <v>87</v>
      </c>
      <c r="E211" s="18" t="n">
        <v>11290</v>
      </c>
      <c r="F211" s="17" t="s">
        <v>667</v>
      </c>
      <c r="G211" s="23" t="n">
        <v>2.49486271036315</v>
      </c>
      <c r="H211" s="19" t="n">
        <v>38.7</v>
      </c>
      <c r="I211" s="17" t="n">
        <f aca="false">IF(H211="","",RANK(H211,$H$5:$H$337))</f>
        <v>207</v>
      </c>
      <c r="J211" s="24" t="n">
        <v>-0.0776143790849673</v>
      </c>
      <c r="K211" s="19" t="n">
        <v>2.5</v>
      </c>
      <c r="L211" s="17" t="n">
        <f aca="false">IF(K211="","",RANK(K211,$K$5:$K$337))</f>
        <v>326</v>
      </c>
      <c r="M211" s="25" t="n">
        <v>0.148760330578512</v>
      </c>
      <c r="N211" s="19" t="n">
        <v>56.7</v>
      </c>
      <c r="O211" s="17" t="n">
        <f aca="false">IF(N211="","",RANK(N211,$N$5:$N$337))</f>
        <v>146</v>
      </c>
      <c r="P211" s="17" t="str">
        <f aca="false">IF(AND(N(H211)&gt;=N(K211),N(H211)&gt;=N(N211)),"The Pulse",IF(N(K211)&gt;=N(N211),"The Lens","The Hub"))</f>
        <v>The Hub</v>
      </c>
      <c r="Q211" s="21" t="s">
        <v>78</v>
      </c>
      <c r="R211" s="27" t="s">
        <v>671</v>
      </c>
      <c r="S211" s="17" t="s">
        <v>21</v>
      </c>
    </row>
    <row r="212" customFormat="false" ht="15" hidden="false" customHeight="false" outlineLevel="0" collapsed="false">
      <c r="A212" s="17" t="s">
        <v>475</v>
      </c>
      <c r="B212" s="17" t="s">
        <v>476</v>
      </c>
      <c r="C212" s="17" t="s">
        <v>1745</v>
      </c>
      <c r="D212" s="17" t="s">
        <v>133</v>
      </c>
      <c r="E212" s="18" t="n">
        <v>85280</v>
      </c>
      <c r="F212" s="17" t="s">
        <v>667</v>
      </c>
      <c r="G212" s="23" t="n">
        <v>2.48653846153846</v>
      </c>
      <c r="H212" s="19" t="n">
        <v>38.3</v>
      </c>
      <c r="I212" s="17" t="n">
        <f aca="false">IF(H212="","",RANK(H212,$H$5:$H$337))</f>
        <v>208</v>
      </c>
      <c r="J212" s="24" t="n">
        <v>0.0903976473596727</v>
      </c>
      <c r="K212" s="19" t="n">
        <v>51</v>
      </c>
      <c r="L212" s="17" t="n">
        <f aca="false">IF(K212="","",RANK(K212,$K$5:$K$337))</f>
        <v>162</v>
      </c>
      <c r="M212" s="25" t="n">
        <v>0.182111692844677</v>
      </c>
      <c r="N212" s="19" t="n">
        <v>66.8</v>
      </c>
      <c r="O212" s="17" t="n">
        <f aca="false">IF(N212="","",RANK(N212,$N$5:$N$337))</f>
        <v>114</v>
      </c>
      <c r="P212" s="17" t="str">
        <f aca="false">IF(AND(N(H212)&gt;=N(K212),N(H212)&gt;=N(N212)),"The Pulse",IF(N(K212)&gt;=N(N212),"The Lens","The Hub"))</f>
        <v>The Hub</v>
      </c>
      <c r="Q212" s="21" t="s">
        <v>78</v>
      </c>
      <c r="R212" s="27" t="s">
        <v>671</v>
      </c>
      <c r="S212" s="17" t="s">
        <v>21</v>
      </c>
    </row>
    <row r="213" customFormat="false" ht="15" hidden="false" customHeight="false" outlineLevel="0" collapsed="false">
      <c r="A213" s="17" t="s">
        <v>983</v>
      </c>
      <c r="B213" s="17" t="s">
        <v>984</v>
      </c>
      <c r="C213" s="17" t="s">
        <v>1746</v>
      </c>
      <c r="D213" s="17" t="s">
        <v>87</v>
      </c>
      <c r="E213" s="18" t="n">
        <v>113240</v>
      </c>
      <c r="F213" s="17" t="s">
        <v>670</v>
      </c>
      <c r="G213" s="23" t="n">
        <v>2.48514659131049</v>
      </c>
      <c r="H213" s="19" t="n">
        <v>38.1</v>
      </c>
      <c r="I213" s="17" t="n">
        <f aca="false">IF(H213="","",RANK(H213,$H$5:$H$337))</f>
        <v>209</v>
      </c>
      <c r="J213" s="24" t="n">
        <v>0.138090452261307</v>
      </c>
      <c r="K213" s="19" t="n">
        <v>78.8</v>
      </c>
      <c r="L213" s="17" t="n">
        <f aca="false">IF(K213="","",RANK(K213,$K$5:$K$337))</f>
        <v>71</v>
      </c>
      <c r="M213" s="25" t="n">
        <v>0.0628562625173317</v>
      </c>
      <c r="N213" s="19" t="n">
        <v>19.2</v>
      </c>
      <c r="O213" s="17" t="n">
        <f aca="false">IF(N213="","",RANK(N213,$N$5:$N$337))</f>
        <v>270</v>
      </c>
      <c r="P213" s="17" t="str">
        <f aca="false">IF(AND(N(H213)&gt;=N(K213),N(H213)&gt;=N(N213)),"The Pulse",IF(N(K213)&gt;=N(N213),"The Lens","The Hub"))</f>
        <v>The Lens</v>
      </c>
      <c r="Q213" s="21" t="s">
        <v>78</v>
      </c>
      <c r="R213" s="26" t="s">
        <v>668</v>
      </c>
      <c r="S213" s="17" t="s">
        <v>21</v>
      </c>
    </row>
    <row r="214" customFormat="false" ht="15" hidden="false" customHeight="false" outlineLevel="0" collapsed="false">
      <c r="A214" s="17" t="s">
        <v>1747</v>
      </c>
      <c r="B214" s="17" t="s">
        <v>1748</v>
      </c>
      <c r="C214" s="17" t="s">
        <v>1749</v>
      </c>
      <c r="D214" s="17" t="s">
        <v>87</v>
      </c>
      <c r="E214" s="18" t="n">
        <v>109850</v>
      </c>
      <c r="F214" s="17" t="s">
        <v>670</v>
      </c>
      <c r="G214" s="23" t="n">
        <v>2.47385525716887</v>
      </c>
      <c r="H214" s="19" t="n">
        <v>37.8</v>
      </c>
      <c r="I214" s="17" t="n">
        <f aca="false">IF(H214="","",RANK(H214,$H$5:$H$337))</f>
        <v>210</v>
      </c>
      <c r="J214" s="24" t="n">
        <v>0.14845791949817</v>
      </c>
      <c r="K214" s="19" t="n">
        <v>81.5</v>
      </c>
      <c r="L214" s="17" t="n">
        <f aca="false">IF(K214="","",RANK(K214,$K$5:$K$337))</f>
        <v>61</v>
      </c>
      <c r="M214" s="25" t="n">
        <v>0.0934348631405639</v>
      </c>
      <c r="N214" s="19" t="n">
        <v>29.5</v>
      </c>
      <c r="O214" s="17" t="n">
        <f aca="false">IF(N214="","",RANK(N214,$N$5:$N$337))</f>
        <v>235</v>
      </c>
      <c r="P214" s="17" t="str">
        <f aca="false">IF(AND(N(H214)&gt;=N(K214),N(H214)&gt;=N(N214)),"The Pulse",IF(N(K214)&gt;=N(N214),"The Lens","The Hub"))</f>
        <v>The Lens</v>
      </c>
      <c r="Q214" s="21" t="s">
        <v>78</v>
      </c>
      <c r="R214" s="26" t="s">
        <v>668</v>
      </c>
      <c r="S214" s="17" t="s">
        <v>21</v>
      </c>
    </row>
    <row r="215" customFormat="false" ht="15" hidden="false" customHeight="false" outlineLevel="0" collapsed="false">
      <c r="A215" s="17" t="s">
        <v>184</v>
      </c>
      <c r="B215" s="17" t="s">
        <v>185</v>
      </c>
      <c r="C215" s="17" t="s">
        <v>1750</v>
      </c>
      <c r="D215" s="17" t="s">
        <v>138</v>
      </c>
      <c r="E215" s="18" t="n">
        <v>8240</v>
      </c>
      <c r="F215" s="17" t="s">
        <v>678</v>
      </c>
      <c r="G215" s="23" t="n">
        <v>2.45424757281553</v>
      </c>
      <c r="H215" s="19" t="n">
        <v>37.6</v>
      </c>
      <c r="I215" s="17" t="n">
        <f aca="false">IF(H215="","",RANK(H215,$H$5:$H$337))</f>
        <v>211</v>
      </c>
      <c r="J215" s="24" t="n">
        <v>0.119565217391304</v>
      </c>
      <c r="K215" s="19" t="n">
        <v>50</v>
      </c>
      <c r="L215" s="17" t="n">
        <f aca="false">IF(K215="","",RANK(K215,$K$5:$K$337))</f>
        <v>165</v>
      </c>
      <c r="M215" s="25" t="n">
        <v>0.210571923743501</v>
      </c>
      <c r="N215" s="19" t="n">
        <v>73.8</v>
      </c>
      <c r="O215" s="17" t="n">
        <f aca="false">IF(N215="","",RANK(N215,$N$5:$N$337))</f>
        <v>91</v>
      </c>
      <c r="P215" s="17" t="str">
        <f aca="false">IF(AND(N(H215)&gt;=N(K215),N(H215)&gt;=N(N215)),"The Pulse",IF(N(K215)&gt;=N(N215),"The Lens","The Hub"))</f>
        <v>The Hub</v>
      </c>
      <c r="Q215" s="21" t="s">
        <v>78</v>
      </c>
      <c r="R215" s="27" t="s">
        <v>671</v>
      </c>
      <c r="S215" s="17" t="s">
        <v>126</v>
      </c>
    </row>
    <row r="216" customFormat="false" ht="15" hidden="false" customHeight="false" outlineLevel="0" collapsed="false">
      <c r="A216" s="17" t="s">
        <v>1751</v>
      </c>
      <c r="B216" s="17" t="s">
        <v>1752</v>
      </c>
      <c r="C216" s="17" t="s">
        <v>1753</v>
      </c>
      <c r="D216" s="17" t="s">
        <v>105</v>
      </c>
      <c r="E216" s="18" t="n">
        <v>64980</v>
      </c>
      <c r="F216" s="17" t="s">
        <v>667</v>
      </c>
      <c r="G216" s="23" t="n">
        <v>2.45253924284395</v>
      </c>
      <c r="H216" s="19" t="n">
        <v>37.4</v>
      </c>
      <c r="I216" s="17" t="n">
        <f aca="false">IF(H216="","",RANK(H216,$H$5:$H$337))</f>
        <v>212</v>
      </c>
      <c r="J216" s="24" t="n">
        <v>0.0893545683151718</v>
      </c>
      <c r="K216" s="19" t="n">
        <v>49.4</v>
      </c>
      <c r="L216" s="17" t="n">
        <f aca="false">IF(K216="","",RANK(K216,$K$5:$K$337))</f>
        <v>169</v>
      </c>
      <c r="M216" s="25" t="n">
        <v>0.200371824003305</v>
      </c>
      <c r="N216" s="19" t="n">
        <v>71.5</v>
      </c>
      <c r="O216" s="17" t="n">
        <f aca="false">IF(N216="","",RANK(N216,$N$5:$N$337))</f>
        <v>100</v>
      </c>
      <c r="P216" s="17" t="str">
        <f aca="false">IF(AND(N(H216)&gt;=N(K216),N(H216)&gt;=N(N216)),"The Pulse",IF(N(K216)&gt;=N(N216),"The Lens","The Hub"))</f>
        <v>The Hub</v>
      </c>
      <c r="Q216" s="21" t="s">
        <v>78</v>
      </c>
      <c r="R216" s="26" t="s">
        <v>668</v>
      </c>
      <c r="S216" s="17" t="s">
        <v>21</v>
      </c>
    </row>
    <row r="217" customFormat="false" ht="15" hidden="false" customHeight="false" outlineLevel="0" collapsed="false">
      <c r="A217" s="17" t="s">
        <v>415</v>
      </c>
      <c r="B217" s="17" t="s">
        <v>416</v>
      </c>
      <c r="C217" s="17" t="s">
        <v>1754</v>
      </c>
      <c r="D217" s="17" t="s">
        <v>77</v>
      </c>
      <c r="E217" s="18" t="n">
        <v>16139</v>
      </c>
      <c r="F217" s="17" t="s">
        <v>667</v>
      </c>
      <c r="G217" s="23" t="n">
        <v>2.42307453993432</v>
      </c>
      <c r="H217" s="19" t="n">
        <v>36.8</v>
      </c>
      <c r="I217" s="17" t="n">
        <f aca="false">IF(H217="","",RANK(H217,$H$5:$H$337))</f>
        <v>213</v>
      </c>
      <c r="J217" s="24" t="n">
        <v>0.0807607312663229</v>
      </c>
      <c r="K217" s="19" t="n">
        <v>45.2</v>
      </c>
      <c r="L217" s="17" t="n">
        <f aca="false">IF(K217="","",RANK(K217,$K$5:$K$337))</f>
        <v>182</v>
      </c>
      <c r="M217" s="25" t="n">
        <v>0.0199914929817099</v>
      </c>
      <c r="N217" s="19" t="n">
        <v>3.4</v>
      </c>
      <c r="O217" s="17" t="n">
        <f aca="false">IF(N217="","",RANK(N217,$N$5:$N$337))</f>
        <v>322</v>
      </c>
      <c r="P217" s="17" t="str">
        <f aca="false">IF(AND(N(H217)&gt;=N(K217),N(H217)&gt;=N(N217)),"The Pulse",IF(N(K217)&gt;=N(N217),"The Lens","The Hub"))</f>
        <v>The Lens</v>
      </c>
      <c r="Q217" s="20" t="s">
        <v>74</v>
      </c>
      <c r="R217" s="27" t="s">
        <v>671</v>
      </c>
      <c r="S217" s="17" t="s">
        <v>19</v>
      </c>
    </row>
    <row r="218" customFormat="false" ht="15" hidden="false" customHeight="false" outlineLevel="0" collapsed="false">
      <c r="A218" s="17" t="s">
        <v>493</v>
      </c>
      <c r="B218" s="17" t="s">
        <v>494</v>
      </c>
      <c r="C218" s="17" t="s">
        <v>1755</v>
      </c>
      <c r="D218" s="17" t="s">
        <v>102</v>
      </c>
      <c r="E218" s="18" t="n">
        <v>30485</v>
      </c>
      <c r="F218" s="17" t="s">
        <v>667</v>
      </c>
      <c r="G218" s="23" t="n">
        <v>2.42174840085288</v>
      </c>
      <c r="H218" s="19" t="n">
        <v>36.6</v>
      </c>
      <c r="I218" s="17" t="n">
        <f aca="false">IF(H218="","",RANK(H218,$H$5:$H$337))</f>
        <v>214</v>
      </c>
      <c r="J218" s="24" t="n">
        <v>0.172184411889107</v>
      </c>
      <c r="K218" s="19" t="n">
        <v>86.7</v>
      </c>
      <c r="L218" s="17" t="n">
        <f aca="false">IF(K218="","",RANK(K218,$K$5:$K$337))</f>
        <v>45</v>
      </c>
      <c r="M218" s="25" t="n">
        <v>0.110146500271297</v>
      </c>
      <c r="N218" s="19" t="n">
        <v>36.3</v>
      </c>
      <c r="O218" s="17" t="n">
        <f aca="false">IF(N218="","",RANK(N218,$N$5:$N$337))</f>
        <v>210</v>
      </c>
      <c r="P218" s="17" t="str">
        <f aca="false">IF(AND(N(H218)&gt;=N(K218),N(H218)&gt;=N(N218)),"The Pulse",IF(N(K218)&gt;=N(N218),"The Lens","The Hub"))</f>
        <v>The Lens</v>
      </c>
      <c r="Q218" s="20" t="s">
        <v>74</v>
      </c>
      <c r="R218" s="27" t="s">
        <v>671</v>
      </c>
      <c r="S218" s="17" t="s">
        <v>19</v>
      </c>
    </row>
    <row r="219" customFormat="false" ht="15" hidden="false" customHeight="false" outlineLevel="0" collapsed="false">
      <c r="A219" s="17" t="s">
        <v>499</v>
      </c>
      <c r="B219" s="17" t="s">
        <v>500</v>
      </c>
      <c r="C219" s="17" t="s">
        <v>1756</v>
      </c>
      <c r="D219" s="17" t="s">
        <v>133</v>
      </c>
      <c r="E219" s="18" t="n">
        <v>181060</v>
      </c>
      <c r="F219" s="17" t="s">
        <v>670</v>
      </c>
      <c r="G219" s="23" t="n">
        <v>2.40429691814868</v>
      </c>
      <c r="H219" s="19" t="n">
        <v>35.9</v>
      </c>
      <c r="I219" s="17" t="n">
        <f aca="false">IF(H219="","",RANK(H219,$H$5:$H$337))</f>
        <v>215</v>
      </c>
      <c r="J219" s="24" t="n">
        <v>0.184560026169447</v>
      </c>
      <c r="K219" s="19" t="n">
        <v>94.7</v>
      </c>
      <c r="L219" s="17" t="n">
        <f aca="false">IF(K219="","",RANK(K219,$K$5:$K$337))</f>
        <v>18</v>
      </c>
      <c r="M219" s="25" t="n">
        <v>0.104229912973082</v>
      </c>
      <c r="N219" s="19" t="n">
        <v>34.2</v>
      </c>
      <c r="O219" s="17" t="n">
        <f aca="false">IF(N219="","",RANK(N219,$N$5:$N$337))</f>
        <v>218</v>
      </c>
      <c r="P219" s="17" t="str">
        <f aca="false">IF(AND(N(H219)&gt;=N(K219),N(H219)&gt;=N(N219)),"The Pulse",IF(N(K219)&gt;=N(N219),"The Lens","The Hub"))</f>
        <v>The Lens</v>
      </c>
      <c r="Q219" s="21" t="s">
        <v>78</v>
      </c>
      <c r="R219" s="27" t="s">
        <v>671</v>
      </c>
      <c r="S219" s="17" t="s">
        <v>21</v>
      </c>
    </row>
    <row r="220" customFormat="false" ht="15" hidden="false" customHeight="false" outlineLevel="0" collapsed="false">
      <c r="A220" s="17" t="s">
        <v>1757</v>
      </c>
      <c r="B220" s="17" t="s">
        <v>1758</v>
      </c>
      <c r="C220" s="17" t="s">
        <v>1759</v>
      </c>
      <c r="D220" s="17" t="s">
        <v>138</v>
      </c>
      <c r="E220" s="18" t="n">
        <v>9405</v>
      </c>
      <c r="F220" s="17" t="s">
        <v>678</v>
      </c>
      <c r="G220" s="23" t="n">
        <v>2.39415204678363</v>
      </c>
      <c r="H220" s="19" t="n">
        <v>35.5</v>
      </c>
      <c r="I220" s="17" t="n">
        <f aca="false">IF(H220="","",RANK(H220,$H$5:$H$337))</f>
        <v>216</v>
      </c>
      <c r="J220" s="24" t="n">
        <v>0.195044472681067</v>
      </c>
      <c r="K220" s="19" t="n">
        <v>85.4</v>
      </c>
      <c r="L220" s="17" t="n">
        <f aca="false">IF(K220="","",RANK(K220,$K$5:$K$337))</f>
        <v>48</v>
      </c>
      <c r="M220" s="25" t="n">
        <v>0.221411192214112</v>
      </c>
      <c r="N220" s="19" t="n">
        <v>76.4</v>
      </c>
      <c r="O220" s="17" t="n">
        <f aca="false">IF(N220="","",RANK(N220,$N$5:$N$337))</f>
        <v>83</v>
      </c>
      <c r="P220" s="17" t="str">
        <f aca="false">IF(AND(N(H220)&gt;=N(K220),N(H220)&gt;=N(N220)),"The Pulse",IF(N(K220)&gt;=N(N220),"The Lens","The Hub"))</f>
        <v>The Lens</v>
      </c>
      <c r="Q220" s="20" t="s">
        <v>74</v>
      </c>
      <c r="R220" s="26" t="s">
        <v>668</v>
      </c>
      <c r="S220" s="17" t="s">
        <v>19</v>
      </c>
    </row>
    <row r="221" customFormat="false" ht="15" hidden="false" customHeight="false" outlineLevel="0" collapsed="false">
      <c r="A221" s="17" t="s">
        <v>1760</v>
      </c>
      <c r="B221" s="17" t="s">
        <v>1761</v>
      </c>
      <c r="C221" s="17" t="s">
        <v>1762</v>
      </c>
      <c r="D221" s="17" t="s">
        <v>138</v>
      </c>
      <c r="E221" s="18" t="n">
        <v>29870</v>
      </c>
      <c r="F221" s="17" t="s">
        <v>667</v>
      </c>
      <c r="G221" s="23" t="n">
        <v>2.39330431871443</v>
      </c>
      <c r="H221" s="19" t="n">
        <v>35.3</v>
      </c>
      <c r="I221" s="17" t="n">
        <f aca="false">IF(H221="","",RANK(H221,$H$5:$H$337))</f>
        <v>217</v>
      </c>
      <c r="J221" s="24" t="n">
        <v>0.0659862246172513</v>
      </c>
      <c r="K221" s="19" t="n">
        <v>37.8</v>
      </c>
      <c r="L221" s="17" t="n">
        <f aca="false">IF(K221="","",RANK(K221,$K$5:$K$337))</f>
        <v>206</v>
      </c>
      <c r="M221" s="25" t="n">
        <v>0.307769675634901</v>
      </c>
      <c r="N221" s="19" t="n">
        <v>93</v>
      </c>
      <c r="O221" s="17" t="n">
        <f aca="false">IF(N221="","",RANK(N221,$N$5:$N$337))</f>
        <v>27</v>
      </c>
      <c r="P221" s="17" t="str">
        <f aca="false">IF(AND(N(H221)&gt;=N(K221),N(H221)&gt;=N(N221)),"The Pulse",IF(N(K221)&gt;=N(N221),"The Lens","The Hub"))</f>
        <v>The Hub</v>
      </c>
      <c r="Q221" s="20" t="s">
        <v>74</v>
      </c>
      <c r="R221" s="26" t="s">
        <v>668</v>
      </c>
      <c r="S221" s="17" t="s">
        <v>19</v>
      </c>
    </row>
    <row r="222" customFormat="false" ht="15" hidden="false" customHeight="false" outlineLevel="0" collapsed="false">
      <c r="A222" s="17" t="s">
        <v>1763</v>
      </c>
      <c r="B222" s="17" t="s">
        <v>1764</v>
      </c>
      <c r="C222" s="17" t="s">
        <v>1765</v>
      </c>
      <c r="D222" s="17" t="s">
        <v>102</v>
      </c>
      <c r="E222" s="18" t="n">
        <v>34057</v>
      </c>
      <c r="F222" s="17" t="s">
        <v>667</v>
      </c>
      <c r="G222" s="23" t="n">
        <v>2.38664591713891</v>
      </c>
      <c r="H222" s="19" t="n">
        <v>34.9</v>
      </c>
      <c r="I222" s="17" t="n">
        <f aca="false">IF(H222="","",RANK(H222,$H$5:$H$337))</f>
        <v>218</v>
      </c>
      <c r="J222" s="24" t="n">
        <v>0.0867983533841785</v>
      </c>
      <c r="K222" s="19" t="n">
        <v>48.1</v>
      </c>
      <c r="L222" s="17" t="n">
        <f aca="false">IF(K222="","",RANK(K222,$K$5:$K$337))</f>
        <v>173</v>
      </c>
      <c r="M222" s="25" t="n">
        <v>0.305765595463138</v>
      </c>
      <c r="N222" s="19" t="n">
        <v>91.7</v>
      </c>
      <c r="O222" s="17" t="n">
        <f aca="false">IF(N222="","",RANK(N222,$N$5:$N$337))</f>
        <v>32</v>
      </c>
      <c r="P222" s="17" t="str">
        <f aca="false">IF(AND(N(H222)&gt;=N(K222),N(H222)&gt;=N(N222)),"The Pulse",IF(N(K222)&gt;=N(N222),"The Lens","The Hub"))</f>
        <v>The Hub</v>
      </c>
      <c r="Q222" s="20" t="s">
        <v>74</v>
      </c>
      <c r="R222" s="26" t="s">
        <v>668</v>
      </c>
      <c r="S222" s="17" t="s">
        <v>19</v>
      </c>
    </row>
    <row r="223" customFormat="false" ht="15" hidden="false" customHeight="false" outlineLevel="0" collapsed="false">
      <c r="A223" s="17" t="s">
        <v>1766</v>
      </c>
      <c r="B223" s="17" t="s">
        <v>1767</v>
      </c>
      <c r="C223" s="17" t="s">
        <v>1768</v>
      </c>
      <c r="D223" s="17" t="s">
        <v>133</v>
      </c>
      <c r="E223" s="18" t="n">
        <v>207067</v>
      </c>
      <c r="F223" s="17" t="s">
        <v>670</v>
      </c>
      <c r="G223" s="23" t="n">
        <v>2.37428465182767</v>
      </c>
      <c r="H223" s="19" t="n">
        <v>34.7</v>
      </c>
      <c r="I223" s="17" t="n">
        <f aca="false">IF(H223="","",RANK(H223,$H$5:$H$337))</f>
        <v>219</v>
      </c>
      <c r="J223" s="24" t="n">
        <v>0.0699146412037037</v>
      </c>
      <c r="K223" s="19" t="n">
        <v>43</v>
      </c>
      <c r="L223" s="17" t="n">
        <f aca="false">IF(K223="","",RANK(K223,$K$5:$K$337))</f>
        <v>188</v>
      </c>
      <c r="M223" s="25" t="n">
        <v>0.14917077942288</v>
      </c>
      <c r="N223" s="19" t="n">
        <v>57</v>
      </c>
      <c r="O223" s="17" t="n">
        <f aca="false">IF(N223="","",RANK(N223,$N$5:$N$337))</f>
        <v>145</v>
      </c>
      <c r="P223" s="17" t="str">
        <f aca="false">IF(AND(N(H223)&gt;=N(K223),N(H223)&gt;=N(N223)),"The Pulse",IF(N(K223)&gt;=N(N223),"The Lens","The Hub"))</f>
        <v>The Hub</v>
      </c>
      <c r="Q223" s="20" t="s">
        <v>74</v>
      </c>
      <c r="R223" s="26" t="s">
        <v>668</v>
      </c>
      <c r="S223" s="17" t="s">
        <v>19</v>
      </c>
    </row>
    <row r="224" customFormat="false" ht="15" hidden="false" customHeight="false" outlineLevel="0" collapsed="false">
      <c r="A224" s="17" t="s">
        <v>1769</v>
      </c>
      <c r="B224" s="17" t="s">
        <v>1770</v>
      </c>
      <c r="C224" s="17" t="s">
        <v>1771</v>
      </c>
      <c r="D224" s="17" t="s">
        <v>138</v>
      </c>
      <c r="E224" s="18" t="n">
        <v>22098</v>
      </c>
      <c r="F224" s="17" t="s">
        <v>667</v>
      </c>
      <c r="G224" s="23" t="n">
        <v>2.37369897728301</v>
      </c>
      <c r="H224" s="19" t="n">
        <v>34.5</v>
      </c>
      <c r="I224" s="17" t="n">
        <f aca="false">IF(H224="","",RANK(H224,$H$5:$H$337))</f>
        <v>220</v>
      </c>
      <c r="J224" s="24" t="n">
        <v>-0.0165554072096128</v>
      </c>
      <c r="K224" s="19" t="n">
        <v>9.5</v>
      </c>
      <c r="L224" s="17" t="n">
        <f aca="false">IF(K224="","",RANK(K224,$K$5:$K$337))</f>
        <v>302</v>
      </c>
      <c r="M224" s="25" t="n">
        <v>0.11924882629108</v>
      </c>
      <c r="N224" s="19" t="n">
        <v>41.5</v>
      </c>
      <c r="O224" s="17" t="n">
        <f aca="false">IF(N224="","",RANK(N224,$N$5:$N$337))</f>
        <v>193</v>
      </c>
      <c r="P224" s="17" t="str">
        <f aca="false">IF(AND(N(H224)&gt;=N(K224),N(H224)&gt;=N(N224)),"The Pulse",IF(N(K224)&gt;=N(N224),"The Lens","The Hub"))</f>
        <v>The Hub</v>
      </c>
      <c r="Q224" s="20" t="s">
        <v>74</v>
      </c>
      <c r="R224" s="26" t="s">
        <v>668</v>
      </c>
      <c r="S224" s="17" t="s">
        <v>19</v>
      </c>
    </row>
    <row r="225" customFormat="false" ht="15" hidden="false" customHeight="false" outlineLevel="0" collapsed="false">
      <c r="A225" s="17" t="s">
        <v>513</v>
      </c>
      <c r="B225" s="17" t="s">
        <v>514</v>
      </c>
      <c r="C225" s="17" t="s">
        <v>1772</v>
      </c>
      <c r="D225" s="17" t="s">
        <v>114</v>
      </c>
      <c r="E225" s="18" t="n">
        <v>221760</v>
      </c>
      <c r="F225" s="17" t="s">
        <v>670</v>
      </c>
      <c r="G225" s="23" t="n">
        <v>2.37186598124098</v>
      </c>
      <c r="H225" s="19" t="n">
        <v>34</v>
      </c>
      <c r="I225" s="17" t="n">
        <f aca="false">IF(H225="","",RANK(H225,$H$5:$H$337))</f>
        <v>221</v>
      </c>
      <c r="J225" s="24" t="n">
        <v>0.0175277599339268</v>
      </c>
      <c r="K225" s="19" t="n">
        <v>15.2</v>
      </c>
      <c r="L225" s="17" t="n">
        <f aca="false">IF(K225="","",RANK(K225,$K$5:$K$337))</f>
        <v>284</v>
      </c>
      <c r="M225" s="25" t="n">
        <v>0.120918367346939</v>
      </c>
      <c r="N225" s="19" t="n">
        <v>42.2</v>
      </c>
      <c r="O225" s="17" t="n">
        <f aca="false">IF(N225="","",RANK(N225,$N$5:$N$337))</f>
        <v>190</v>
      </c>
      <c r="P225" s="17" t="str">
        <f aca="false">IF(AND(N(H225)&gt;=N(K225),N(H225)&gt;=N(N225)),"The Pulse",IF(N(K225)&gt;=N(N225),"The Lens","The Hub"))</f>
        <v>The Hub</v>
      </c>
      <c r="Q225" s="21" t="s">
        <v>78</v>
      </c>
      <c r="R225" s="27" t="s">
        <v>671</v>
      </c>
      <c r="S225" s="17" t="s">
        <v>21</v>
      </c>
    </row>
    <row r="226" customFormat="false" ht="15" hidden="false" customHeight="false" outlineLevel="0" collapsed="false">
      <c r="A226" s="17" t="s">
        <v>1773</v>
      </c>
      <c r="B226" s="17" t="s">
        <v>1774</v>
      </c>
      <c r="C226" s="17" t="s">
        <v>1775</v>
      </c>
      <c r="D226" s="17" t="s">
        <v>92</v>
      </c>
      <c r="E226" s="18" t="n">
        <v>44227</v>
      </c>
      <c r="F226" s="17" t="s">
        <v>667</v>
      </c>
      <c r="G226" s="23" t="n">
        <v>2.34198566486535</v>
      </c>
      <c r="H226" s="19" t="n">
        <v>33.8</v>
      </c>
      <c r="I226" s="17" t="n">
        <f aca="false">IF(H226="","",RANK(H226,$H$5:$H$337))</f>
        <v>222</v>
      </c>
      <c r="J226" s="24" t="n">
        <v>0.0991897802962521</v>
      </c>
      <c r="K226" s="19" t="n">
        <v>53.9</v>
      </c>
      <c r="L226" s="17" t="n">
        <f aca="false">IF(K226="","",RANK(K226,$K$5:$K$337))</f>
        <v>151</v>
      </c>
      <c r="M226" s="25" t="n">
        <v>0.442263279445728</v>
      </c>
      <c r="N226" s="19" t="n">
        <v>99</v>
      </c>
      <c r="O226" s="17" t="n">
        <f aca="false">IF(N226="","",RANK(N226,$N$5:$N$337))</f>
        <v>5</v>
      </c>
      <c r="P226" s="17" t="str">
        <f aca="false">IF(AND(N(H226)&gt;=N(K226),N(H226)&gt;=N(N226)),"The Pulse",IF(N(K226)&gt;=N(N226),"The Lens","The Hub"))</f>
        <v>The Hub</v>
      </c>
      <c r="Q226" s="20" t="s">
        <v>74</v>
      </c>
      <c r="R226" s="26" t="s">
        <v>668</v>
      </c>
      <c r="S226" s="17" t="s">
        <v>19</v>
      </c>
    </row>
    <row r="227" customFormat="false" ht="15" hidden="false" customHeight="false" outlineLevel="0" collapsed="false">
      <c r="A227" s="17" t="s">
        <v>553</v>
      </c>
      <c r="B227" s="17" t="s">
        <v>554</v>
      </c>
      <c r="C227" s="17" t="s">
        <v>1776</v>
      </c>
      <c r="D227" s="17" t="s">
        <v>87</v>
      </c>
      <c r="E227" s="18" t="n">
        <v>14550</v>
      </c>
      <c r="F227" s="17" t="s">
        <v>667</v>
      </c>
      <c r="G227" s="23" t="n">
        <v>2.333264604811</v>
      </c>
      <c r="H227" s="19" t="n">
        <v>33.6</v>
      </c>
      <c r="I227" s="17" t="n">
        <f aca="false">IF(H227="","",RANK(H227,$H$5:$H$337))</f>
        <v>223</v>
      </c>
      <c r="J227" s="24" t="n">
        <v>0.120092378752887</v>
      </c>
      <c r="K227" s="19" t="n">
        <v>63.9</v>
      </c>
      <c r="L227" s="17" t="n">
        <f aca="false">IF(K227="","",RANK(K227,$K$5:$K$337))</f>
        <v>118</v>
      </c>
      <c r="M227" s="25" t="n">
        <v>0.0782885753299955</v>
      </c>
      <c r="N227" s="19" t="n">
        <v>24.1</v>
      </c>
      <c r="O227" s="17" t="n">
        <f aca="false">IF(N227="","",RANK(N227,$N$5:$N$337))</f>
        <v>254</v>
      </c>
      <c r="P227" s="17" t="str">
        <f aca="false">IF(AND(N(H227)&gt;=N(K227),N(H227)&gt;=N(N227)),"The Pulse",IF(N(K227)&gt;=N(N227),"The Lens","The Hub"))</f>
        <v>The Lens</v>
      </c>
      <c r="Q227" s="21" t="s">
        <v>78</v>
      </c>
      <c r="R227" s="27" t="s">
        <v>671</v>
      </c>
      <c r="S227" s="17" t="s">
        <v>21</v>
      </c>
    </row>
    <row r="228" customFormat="false" ht="15" hidden="false" customHeight="false" outlineLevel="0" collapsed="false">
      <c r="A228" s="17" t="s">
        <v>339</v>
      </c>
      <c r="B228" s="17" t="s">
        <v>340</v>
      </c>
      <c r="C228" s="17" t="s">
        <v>1777</v>
      </c>
      <c r="D228" s="17" t="s">
        <v>114</v>
      </c>
      <c r="E228" s="18" t="n">
        <v>9623</v>
      </c>
      <c r="F228" s="17" t="s">
        <v>678</v>
      </c>
      <c r="G228" s="23" t="n">
        <v>2.29138522290346</v>
      </c>
      <c r="H228" s="19" t="n">
        <v>33</v>
      </c>
      <c r="I228" s="17" t="n">
        <f aca="false">IF(H228="","",RANK(H228,$H$5:$H$337))</f>
        <v>224</v>
      </c>
      <c r="J228" s="24" t="n">
        <v>0.0627277747101049</v>
      </c>
      <c r="K228" s="19" t="n">
        <v>27.1</v>
      </c>
      <c r="L228" s="17" t="n">
        <f aca="false">IF(K228="","",RANK(K228,$K$5:$K$337))</f>
        <v>245</v>
      </c>
      <c r="M228" s="25" t="n">
        <v>0.33167495854063</v>
      </c>
      <c r="N228" s="19" t="n">
        <v>95.1</v>
      </c>
      <c r="O228" s="17" t="n">
        <f aca="false">IF(N228="","",RANK(N228,$N$5:$N$337))</f>
        <v>19</v>
      </c>
      <c r="P228" s="17" t="str">
        <f aca="false">IF(AND(N(H228)&gt;=N(K228),N(H228)&gt;=N(N228)),"The Pulse",IF(N(K228)&gt;=N(N228),"The Lens","The Hub"))</f>
        <v>The Hub</v>
      </c>
      <c r="Q228" s="20" t="s">
        <v>74</v>
      </c>
      <c r="R228" s="27" t="s">
        <v>671</v>
      </c>
      <c r="S228" s="17" t="s">
        <v>19</v>
      </c>
    </row>
    <row r="229" customFormat="false" ht="15" hidden="false" customHeight="false" outlineLevel="0" collapsed="false">
      <c r="A229" s="17" t="s">
        <v>293</v>
      </c>
      <c r="B229" s="17" t="s">
        <v>294</v>
      </c>
      <c r="C229" s="17" t="s">
        <v>1778</v>
      </c>
      <c r="D229" s="17" t="s">
        <v>102</v>
      </c>
      <c r="E229" s="18" t="n">
        <v>30570</v>
      </c>
      <c r="F229" s="17" t="s">
        <v>667</v>
      </c>
      <c r="G229" s="23" t="n">
        <v>2.27455021262676</v>
      </c>
      <c r="H229" s="19" t="n">
        <v>32.8</v>
      </c>
      <c r="I229" s="17" t="n">
        <f aca="false">IF(H229="","",RANK(H229,$H$5:$H$337))</f>
        <v>225</v>
      </c>
      <c r="J229" s="24" t="n">
        <v>0.104008667388949</v>
      </c>
      <c r="K229" s="19" t="n">
        <v>56.8</v>
      </c>
      <c r="L229" s="17" t="n">
        <f aca="false">IF(K229="","",RANK(K229,$K$5:$K$337))</f>
        <v>142</v>
      </c>
      <c r="M229" s="25" t="n">
        <v>0.381849980567431</v>
      </c>
      <c r="N229" s="19" t="n">
        <v>97.2</v>
      </c>
      <c r="O229" s="17" t="n">
        <f aca="false">IF(N229="","",RANK(N229,$N$5:$N$337))</f>
        <v>11</v>
      </c>
      <c r="P229" s="17" t="str">
        <f aca="false">IF(AND(N(H229)&gt;=N(K229),N(H229)&gt;=N(N229)),"The Pulse",IF(N(K229)&gt;=N(N229),"The Lens","The Hub"))</f>
        <v>The Hub</v>
      </c>
      <c r="Q229" s="21" t="s">
        <v>78</v>
      </c>
      <c r="R229" s="27" t="s">
        <v>671</v>
      </c>
      <c r="S229" s="17" t="s">
        <v>21</v>
      </c>
    </row>
    <row r="230" customFormat="false" ht="15" hidden="false" customHeight="false" outlineLevel="0" collapsed="false">
      <c r="A230" s="17" t="s">
        <v>417</v>
      </c>
      <c r="B230" s="17" t="s">
        <v>418</v>
      </c>
      <c r="C230" s="17" t="s">
        <v>1779</v>
      </c>
      <c r="D230" s="17" t="s">
        <v>72</v>
      </c>
      <c r="E230" s="18" t="n">
        <v>95810</v>
      </c>
      <c r="F230" s="17" t="s">
        <v>667</v>
      </c>
      <c r="G230" s="23" t="n">
        <v>2.27360400793237</v>
      </c>
      <c r="H230" s="19" t="n">
        <v>32.6</v>
      </c>
      <c r="I230" s="17" t="n">
        <f aca="false">IF(H230="","",RANK(H230,$H$5:$H$337))</f>
        <v>226</v>
      </c>
      <c r="J230" s="24" t="n">
        <v>0.0370169931810802</v>
      </c>
      <c r="K230" s="19" t="n">
        <v>23.7</v>
      </c>
      <c r="L230" s="17" t="n">
        <f aca="false">IF(K230="","",RANK(K230,$K$5:$K$337))</f>
        <v>256</v>
      </c>
      <c r="M230" s="25" t="n">
        <v>0.142196045435423</v>
      </c>
      <c r="N230" s="19" t="n">
        <v>52.8</v>
      </c>
      <c r="O230" s="17" t="n">
        <f aca="false">IF(N230="","",RANK(N230,$N$5:$N$337))</f>
        <v>157</v>
      </c>
      <c r="P230" s="17" t="str">
        <f aca="false">IF(AND(N(H230)&gt;=N(K230),N(H230)&gt;=N(N230)),"The Pulse",IF(N(K230)&gt;=N(N230),"The Lens","The Hub"))</f>
        <v>The Hub</v>
      </c>
      <c r="Q230" s="21" t="s">
        <v>78</v>
      </c>
      <c r="R230" s="27" t="s">
        <v>671</v>
      </c>
      <c r="S230" s="17" t="s">
        <v>21</v>
      </c>
    </row>
    <row r="231" customFormat="false" ht="15" hidden="false" customHeight="false" outlineLevel="0" collapsed="false">
      <c r="A231" s="17" t="s">
        <v>1780</v>
      </c>
      <c r="B231" s="17" t="s">
        <v>1781</v>
      </c>
      <c r="C231" s="17" t="s">
        <v>1782</v>
      </c>
      <c r="D231" s="17" t="s">
        <v>77</v>
      </c>
      <c r="E231" s="18" t="n">
        <v>77450</v>
      </c>
      <c r="F231" s="17" t="s">
        <v>667</v>
      </c>
      <c r="G231" s="23" t="n">
        <v>2.26608134280181</v>
      </c>
      <c r="H231" s="19" t="n">
        <v>32.1</v>
      </c>
      <c r="I231" s="17" t="n">
        <f aca="false">IF(H231="","",RANK(H231,$H$5:$H$337))</f>
        <v>227</v>
      </c>
      <c r="J231" s="24" t="n">
        <v>6.45619471883272E-005</v>
      </c>
      <c r="K231" s="19" t="n">
        <v>11.6</v>
      </c>
      <c r="L231" s="17" t="n">
        <f aca="false">IF(K231="","",RANK(K231,$K$5:$K$337))</f>
        <v>295</v>
      </c>
      <c r="M231" s="25" t="n">
        <v>0.13910835214447</v>
      </c>
      <c r="N231" s="19" t="n">
        <v>51.3</v>
      </c>
      <c r="O231" s="17" t="n">
        <f aca="false">IF(N231="","",RANK(N231,$N$5:$N$337))</f>
        <v>161</v>
      </c>
      <c r="P231" s="17" t="str">
        <f aca="false">IF(AND(N(H231)&gt;=N(K231),N(H231)&gt;=N(N231)),"The Pulse",IF(N(K231)&gt;=N(N231),"The Lens","The Hub"))</f>
        <v>The Hub</v>
      </c>
      <c r="Q231" s="20" t="s">
        <v>74</v>
      </c>
      <c r="R231" s="26" t="s">
        <v>668</v>
      </c>
      <c r="S231" s="17" t="s">
        <v>19</v>
      </c>
    </row>
    <row r="232" customFormat="false" ht="15" hidden="false" customHeight="false" outlineLevel="0" collapsed="false">
      <c r="A232" s="17" t="s">
        <v>383</v>
      </c>
      <c r="B232" s="17" t="s">
        <v>384</v>
      </c>
      <c r="C232" s="17" t="s">
        <v>1783</v>
      </c>
      <c r="D232" s="17" t="s">
        <v>81</v>
      </c>
      <c r="E232" s="18" t="n">
        <v>187200</v>
      </c>
      <c r="F232" s="17" t="s">
        <v>670</v>
      </c>
      <c r="G232" s="23" t="n">
        <v>2.24506944444444</v>
      </c>
      <c r="H232" s="19" t="n">
        <v>31.9</v>
      </c>
      <c r="I232" s="17" t="n">
        <f aca="false">IF(H232="","",RANK(H232,$H$5:$H$337))</f>
        <v>228</v>
      </c>
      <c r="J232" s="24" t="n">
        <v>0.150937596065171</v>
      </c>
      <c r="K232" s="19" t="n">
        <v>82.8</v>
      </c>
      <c r="L232" s="17" t="n">
        <f aca="false">IF(K232="","",RANK(K232,$K$5:$K$337))</f>
        <v>56</v>
      </c>
      <c r="M232" s="25" t="n">
        <v>0.0508731966590737</v>
      </c>
      <c r="N232" s="19" t="n">
        <v>14</v>
      </c>
      <c r="O232" s="17" t="n">
        <f aca="false">IF(N232="","",RANK(N232,$N$5:$N$337))</f>
        <v>288</v>
      </c>
      <c r="P232" s="17" t="str">
        <f aca="false">IF(AND(N(H232)&gt;=N(K232),N(H232)&gt;=N(N232)),"The Pulse",IF(N(K232)&gt;=N(N232),"The Lens","The Hub"))</f>
        <v>The Lens</v>
      </c>
      <c r="Q232" s="21" t="s">
        <v>78</v>
      </c>
      <c r="R232" s="27" t="s">
        <v>671</v>
      </c>
      <c r="S232" s="17" t="s">
        <v>21</v>
      </c>
    </row>
    <row r="233" customFormat="false" ht="15" hidden="false" customHeight="false" outlineLevel="0" collapsed="false">
      <c r="A233" s="17" t="s">
        <v>1128</v>
      </c>
      <c r="B233" s="17" t="s">
        <v>1129</v>
      </c>
      <c r="C233" s="17" t="s">
        <v>1784</v>
      </c>
      <c r="D233" s="17" t="s">
        <v>81</v>
      </c>
      <c r="E233" s="18" t="n">
        <v>45137</v>
      </c>
      <c r="F233" s="17" t="s">
        <v>667</v>
      </c>
      <c r="G233" s="23" t="n">
        <v>2.23074196335601</v>
      </c>
      <c r="H233" s="19" t="n">
        <v>31.7</v>
      </c>
      <c r="I233" s="17" t="n">
        <f aca="false">IF(H233="","",RANK(H233,$H$5:$H$337))</f>
        <v>229</v>
      </c>
      <c r="J233" s="24" t="n">
        <v>0.101466604846385</v>
      </c>
      <c r="K233" s="19" t="n">
        <v>55.6</v>
      </c>
      <c r="L233" s="17" t="n">
        <f aca="false">IF(K233="","",RANK(K233,$K$5:$K$337))</f>
        <v>146</v>
      </c>
      <c r="M233" s="25" t="n">
        <v>0.0885873902633679</v>
      </c>
      <c r="N233" s="19" t="n">
        <v>27.5</v>
      </c>
      <c r="O233" s="17" t="n">
        <f aca="false">IF(N233="","",RANK(N233,$N$5:$N$337))</f>
        <v>242</v>
      </c>
      <c r="P233" s="17" t="str">
        <f aca="false">IF(AND(N(H233)&gt;=N(K233),N(H233)&gt;=N(N233)),"The Pulse",IF(N(K233)&gt;=N(N233),"The Lens","The Hub"))</f>
        <v>The Lens</v>
      </c>
      <c r="Q233" s="20" t="s">
        <v>74</v>
      </c>
      <c r="R233" s="26" t="s">
        <v>668</v>
      </c>
      <c r="S233" s="17" t="s">
        <v>19</v>
      </c>
    </row>
    <row r="234" customFormat="false" ht="15" hidden="false" customHeight="false" outlineLevel="0" collapsed="false">
      <c r="A234" s="17" t="s">
        <v>575</v>
      </c>
      <c r="B234" s="17" t="s">
        <v>576</v>
      </c>
      <c r="C234" s="17" t="s">
        <v>1785</v>
      </c>
      <c r="D234" s="17" t="s">
        <v>102</v>
      </c>
      <c r="E234" s="18" t="n">
        <v>3076</v>
      </c>
      <c r="F234" s="17" t="s">
        <v>678</v>
      </c>
      <c r="G234" s="23" t="n">
        <v>2.22431729518856</v>
      </c>
      <c r="H234" s="19" t="n">
        <v>31.5</v>
      </c>
      <c r="I234" s="17" t="n">
        <f aca="false">IF(H234="","",RANK(H234,$H$5:$H$337))</f>
        <v>230</v>
      </c>
      <c r="J234" s="24" t="n">
        <v>0.0658350658350658</v>
      </c>
      <c r="K234" s="19" t="n">
        <v>29.2</v>
      </c>
      <c r="L234" s="17" t="n">
        <f aca="false">IF(K234="","",RANK(K234,$K$5:$K$337))</f>
        <v>238</v>
      </c>
      <c r="M234" s="25" t="n">
        <v>0.0277777777777778</v>
      </c>
      <c r="N234" s="19" t="n">
        <v>5.7</v>
      </c>
      <c r="O234" s="17" t="n">
        <f aca="false">IF(N234="","",RANK(N234,$N$5:$N$337))</f>
        <v>313</v>
      </c>
      <c r="P234" s="17" t="str">
        <f aca="false">IF(AND(N(H234)&gt;=N(K234),N(H234)&gt;=N(N234)),"The Pulse",IF(N(K234)&gt;=N(N234),"The Lens","The Hub"))</f>
        <v>The Pulse</v>
      </c>
      <c r="Q234" s="20" t="s">
        <v>74</v>
      </c>
      <c r="R234" s="27" t="s">
        <v>671</v>
      </c>
      <c r="S234" s="17" t="s">
        <v>19</v>
      </c>
    </row>
    <row r="235" customFormat="false" ht="15" hidden="false" customHeight="false" outlineLevel="0" collapsed="false">
      <c r="A235" s="17" t="s">
        <v>1786</v>
      </c>
      <c r="B235" s="17" t="s">
        <v>1787</v>
      </c>
      <c r="C235" s="17" t="s">
        <v>1788</v>
      </c>
      <c r="D235" s="17" t="s">
        <v>105</v>
      </c>
      <c r="E235" s="18" t="n">
        <v>315860</v>
      </c>
      <c r="F235" s="17" t="s">
        <v>670</v>
      </c>
      <c r="G235" s="23" t="n">
        <v>2.21673842841765</v>
      </c>
      <c r="H235" s="19" t="n">
        <v>31.3</v>
      </c>
      <c r="I235" s="17" t="n">
        <f aca="false">IF(H235="","",RANK(H235,$H$5:$H$337))</f>
        <v>231</v>
      </c>
      <c r="J235" s="24" t="n">
        <v>0.129414625250745</v>
      </c>
      <c r="K235" s="19" t="n">
        <v>74.8</v>
      </c>
      <c r="L235" s="17" t="n">
        <f aca="false">IF(K235="","",RANK(K235,$K$5:$K$337))</f>
        <v>84</v>
      </c>
      <c r="M235" s="25" t="n">
        <v>0.147375546120239</v>
      </c>
      <c r="N235" s="19" t="n">
        <v>56</v>
      </c>
      <c r="O235" s="17" t="n">
        <f aca="false">IF(N235="","",RANK(N235,$N$5:$N$337))</f>
        <v>148</v>
      </c>
      <c r="P235" s="17" t="str">
        <f aca="false">IF(AND(N(H235)&gt;=N(K235),N(H235)&gt;=N(N235)),"The Pulse",IF(N(K235)&gt;=N(N235),"The Lens","The Hub"))</f>
        <v>The Lens</v>
      </c>
      <c r="Q235" s="20" t="s">
        <v>74</v>
      </c>
      <c r="R235" s="26" t="s">
        <v>668</v>
      </c>
      <c r="S235" s="17" t="s">
        <v>19</v>
      </c>
    </row>
    <row r="236" customFormat="false" ht="15" hidden="false" customHeight="false" outlineLevel="0" collapsed="false">
      <c r="A236" s="17" t="s">
        <v>1789</v>
      </c>
      <c r="B236" s="17" t="s">
        <v>1790</v>
      </c>
      <c r="C236" s="17" t="s">
        <v>1791</v>
      </c>
      <c r="D236" s="17" t="s">
        <v>138</v>
      </c>
      <c r="E236" s="18" t="n">
        <v>83018</v>
      </c>
      <c r="F236" s="17" t="s">
        <v>667</v>
      </c>
      <c r="G236" s="23" t="n">
        <v>2.205232600159</v>
      </c>
      <c r="H236" s="19" t="n">
        <v>31.1</v>
      </c>
      <c r="I236" s="17" t="n">
        <f aca="false">IF(H236="","",RANK(H236,$H$5:$H$337))</f>
        <v>232</v>
      </c>
      <c r="J236" s="24" t="n">
        <v>0.03417004048583</v>
      </c>
      <c r="K236" s="19" t="n">
        <v>22</v>
      </c>
      <c r="L236" s="17" t="n">
        <f aca="false">IF(K236="","",RANK(K236,$K$5:$K$337))</f>
        <v>260</v>
      </c>
      <c r="M236" s="25" t="n">
        <v>0.1709362610552</v>
      </c>
      <c r="N236" s="19" t="n">
        <v>63.5</v>
      </c>
      <c r="O236" s="17" t="n">
        <f aca="false">IF(N236="","",RANK(N236,$N$5:$N$337))</f>
        <v>124</v>
      </c>
      <c r="P236" s="17" t="str">
        <f aca="false">IF(AND(N(H236)&gt;=N(K236),N(H236)&gt;=N(N236)),"The Pulse",IF(N(K236)&gt;=N(N236),"The Lens","The Hub"))</f>
        <v>The Hub</v>
      </c>
      <c r="Q236" s="22" t="s">
        <v>83</v>
      </c>
      <c r="R236" s="26" t="s">
        <v>668</v>
      </c>
      <c r="S236" s="17" t="s">
        <v>84</v>
      </c>
    </row>
    <row r="237" customFormat="false" ht="15" hidden="false" customHeight="false" outlineLevel="0" collapsed="false">
      <c r="A237" s="17" t="s">
        <v>1792</v>
      </c>
      <c r="B237" s="17" t="s">
        <v>1793</v>
      </c>
      <c r="C237" s="17" t="s">
        <v>1794</v>
      </c>
      <c r="D237" s="17" t="s">
        <v>114</v>
      </c>
      <c r="E237" s="18" t="n">
        <v>14860</v>
      </c>
      <c r="F237" s="17" t="s">
        <v>667</v>
      </c>
      <c r="G237" s="23" t="n">
        <v>2.19111709286676</v>
      </c>
      <c r="H237" s="19" t="n">
        <v>30.9</v>
      </c>
      <c r="I237" s="17" t="n">
        <f aca="false">IF(H237="","",RANK(H237,$H$5:$H$337))</f>
        <v>233</v>
      </c>
      <c r="J237" s="24" t="n">
        <v>0.0442726633872101</v>
      </c>
      <c r="K237" s="19" t="n">
        <v>25.3</v>
      </c>
      <c r="L237" s="17" t="n">
        <f aca="false">IF(K237="","",RANK(K237,$K$5:$K$337))</f>
        <v>250</v>
      </c>
      <c r="M237" s="25" t="n">
        <v>0.144845360824742</v>
      </c>
      <c r="N237" s="19" t="n">
        <v>54.1</v>
      </c>
      <c r="O237" s="17" t="n">
        <f aca="false">IF(N237="","",RANK(N237,$N$5:$N$337))</f>
        <v>152</v>
      </c>
      <c r="P237" s="17" t="str">
        <f aca="false">IF(AND(N(H237)&gt;=N(K237),N(H237)&gt;=N(N237)),"The Pulse",IF(N(K237)&gt;=N(N237),"The Lens","The Hub"))</f>
        <v>The Hub</v>
      </c>
      <c r="Q237" s="21" t="s">
        <v>78</v>
      </c>
      <c r="R237" s="26" t="s">
        <v>668</v>
      </c>
      <c r="S237" s="17" t="s">
        <v>21</v>
      </c>
    </row>
    <row r="238" customFormat="false" ht="15" hidden="false" customHeight="false" outlineLevel="0" collapsed="false">
      <c r="A238" s="17" t="s">
        <v>1795</v>
      </c>
      <c r="B238" s="17" t="s">
        <v>1796</v>
      </c>
      <c r="C238" s="17" t="s">
        <v>1797</v>
      </c>
      <c r="D238" s="17" t="s">
        <v>77</v>
      </c>
      <c r="E238" s="18" t="n">
        <v>4560</v>
      </c>
      <c r="F238" s="17" t="s">
        <v>678</v>
      </c>
      <c r="G238" s="23" t="n">
        <v>2.16864035087719</v>
      </c>
      <c r="H238" s="19" t="n">
        <v>30.4</v>
      </c>
      <c r="I238" s="17" t="n">
        <f aca="false">IF(H238="","",RANK(H238,$H$5:$H$337))</f>
        <v>234</v>
      </c>
      <c r="J238" s="24" t="n">
        <v>0.13715710723192</v>
      </c>
      <c r="K238" s="19" t="n">
        <v>58.3</v>
      </c>
      <c r="L238" s="17" t="n">
        <f aca="false">IF(K238="","",RANK(K238,$K$5:$K$337))</f>
        <v>136</v>
      </c>
      <c r="M238" s="25" t="n">
        <v>0.113854595336077</v>
      </c>
      <c r="N238" s="19" t="n">
        <v>38.3</v>
      </c>
      <c r="O238" s="17" t="n">
        <f aca="false">IF(N238="","",RANK(N238,$N$5:$N$337))</f>
        <v>203</v>
      </c>
      <c r="P238" s="17" t="str">
        <f aca="false">IF(AND(N(H238)&gt;=N(K238),N(H238)&gt;=N(N238)),"The Pulse",IF(N(K238)&gt;=N(N238),"The Lens","The Hub"))</f>
        <v>The Lens</v>
      </c>
      <c r="Q238" s="21" t="s">
        <v>78</v>
      </c>
      <c r="R238" s="26" t="s">
        <v>668</v>
      </c>
      <c r="S238" s="17" t="s">
        <v>21</v>
      </c>
    </row>
    <row r="239" customFormat="false" ht="15" hidden="false" customHeight="false" outlineLevel="0" collapsed="false">
      <c r="A239" s="17" t="s">
        <v>365</v>
      </c>
      <c r="B239" s="17" t="s">
        <v>366</v>
      </c>
      <c r="C239" s="17" t="s">
        <v>1798</v>
      </c>
      <c r="D239" s="17" t="s">
        <v>102</v>
      </c>
      <c r="E239" s="18" t="n">
        <v>115859</v>
      </c>
      <c r="F239" s="17" t="s">
        <v>670</v>
      </c>
      <c r="G239" s="23" t="n">
        <v>2.1681354059676</v>
      </c>
      <c r="H239" s="19" t="n">
        <v>30.2</v>
      </c>
      <c r="I239" s="17" t="n">
        <f aca="false">IF(H239="","",RANK(H239,$H$5:$H$337))</f>
        <v>235</v>
      </c>
      <c r="J239" s="24" t="n">
        <v>0.17861466312652</v>
      </c>
      <c r="K239" s="19" t="n">
        <v>91.4</v>
      </c>
      <c r="L239" s="17" t="n">
        <f aca="false">IF(K239="","",RANK(K239,$K$5:$K$337))</f>
        <v>27</v>
      </c>
      <c r="M239" s="25" t="n">
        <v>0.473447098976109</v>
      </c>
      <c r="N239" s="19" t="n">
        <v>99.5</v>
      </c>
      <c r="O239" s="17" t="n">
        <f aca="false">IF(N239="","",RANK(N239,$N$5:$N$337))</f>
        <v>3</v>
      </c>
      <c r="P239" s="17" t="str">
        <f aca="false">IF(AND(N(H239)&gt;=N(K239),N(H239)&gt;=N(N239)),"The Pulse",IF(N(K239)&gt;=N(N239),"The Lens","The Hub"))</f>
        <v>The Hub</v>
      </c>
      <c r="Q239" s="20" t="s">
        <v>74</v>
      </c>
      <c r="R239" s="27" t="s">
        <v>671</v>
      </c>
      <c r="S239" s="17" t="s">
        <v>19</v>
      </c>
    </row>
    <row r="240" customFormat="false" ht="15" hidden="false" customHeight="false" outlineLevel="0" collapsed="false">
      <c r="A240" s="17" t="s">
        <v>1799</v>
      </c>
      <c r="B240" s="17" t="s">
        <v>1800</v>
      </c>
      <c r="C240" s="17" t="s">
        <v>1801</v>
      </c>
      <c r="D240" s="17" t="s">
        <v>77</v>
      </c>
      <c r="E240" s="18" t="n">
        <v>42091</v>
      </c>
      <c r="F240" s="17" t="s">
        <v>667</v>
      </c>
      <c r="G240" s="23" t="n">
        <v>2.10783778004799</v>
      </c>
      <c r="H240" s="19" t="n">
        <v>29.4</v>
      </c>
      <c r="I240" s="17" t="n">
        <f aca="false">IF(H240="","",RANK(H240,$H$5:$H$337))</f>
        <v>236</v>
      </c>
      <c r="J240" s="24" t="n">
        <v>0.172712582191018</v>
      </c>
      <c r="K240" s="19" t="n">
        <v>87.1</v>
      </c>
      <c r="L240" s="17" t="n">
        <f aca="false">IF(K240="","",RANK(K240,$K$5:$K$337))</f>
        <v>43</v>
      </c>
      <c r="M240" s="25" t="n">
        <v>0.16905280036651</v>
      </c>
      <c r="N240" s="19" t="n">
        <v>63.2</v>
      </c>
      <c r="O240" s="17" t="n">
        <f aca="false">IF(N240="","",RANK(N240,$N$5:$N$337))</f>
        <v>125</v>
      </c>
      <c r="P240" s="17" t="str">
        <f aca="false">IF(AND(N(H240)&gt;=N(K240),N(H240)&gt;=N(N240)),"The Pulse",IF(N(K240)&gt;=N(N240),"The Lens","The Hub"))</f>
        <v>The Lens</v>
      </c>
      <c r="Q240" s="20" t="s">
        <v>74</v>
      </c>
      <c r="R240" s="26" t="s">
        <v>668</v>
      </c>
      <c r="S240" s="17" t="s">
        <v>19</v>
      </c>
    </row>
    <row r="241" customFormat="false" ht="15" hidden="false" customHeight="false" outlineLevel="0" collapsed="false">
      <c r="A241" s="17" t="s">
        <v>489</v>
      </c>
      <c r="B241" s="17" t="s">
        <v>490</v>
      </c>
      <c r="C241" s="17" t="s">
        <v>1802</v>
      </c>
      <c r="D241" s="17" t="s">
        <v>138</v>
      </c>
      <c r="E241" s="18" t="n">
        <v>31333</v>
      </c>
      <c r="F241" s="17" t="s">
        <v>667</v>
      </c>
      <c r="G241" s="23" t="n">
        <v>2.10662879392334</v>
      </c>
      <c r="H241" s="19" t="n">
        <v>29.2</v>
      </c>
      <c r="I241" s="17" t="n">
        <f aca="false">IF(H241="","",RANK(H241,$H$5:$H$337))</f>
        <v>237</v>
      </c>
      <c r="J241" s="24" t="n">
        <v>0.0573327934129716</v>
      </c>
      <c r="K241" s="19" t="n">
        <v>34.4</v>
      </c>
      <c r="L241" s="17" t="n">
        <f aca="false">IF(K241="","",RANK(K241,$K$5:$K$337))</f>
        <v>221</v>
      </c>
      <c r="M241" s="25" t="n">
        <v>0.122460658082976</v>
      </c>
      <c r="N241" s="19" t="n">
        <v>44</v>
      </c>
      <c r="O241" s="17" t="n">
        <f aca="false">IF(N241="","",RANK(N241,$N$5:$N$337))</f>
        <v>184</v>
      </c>
      <c r="P241" s="17" t="str">
        <f aca="false">IF(AND(N(H241)&gt;=N(K241),N(H241)&gt;=N(N241)),"The Pulse",IF(N(K241)&gt;=N(N241),"The Lens","The Hub"))</f>
        <v>The Hub</v>
      </c>
      <c r="Q241" s="20" t="s">
        <v>74</v>
      </c>
      <c r="R241" s="27" t="s">
        <v>671</v>
      </c>
      <c r="S241" s="17" t="s">
        <v>19</v>
      </c>
    </row>
    <row r="242" customFormat="false" ht="15" hidden="false" customHeight="false" outlineLevel="0" collapsed="false">
      <c r="A242" s="17" t="s">
        <v>587</v>
      </c>
      <c r="B242" s="17" t="s">
        <v>588</v>
      </c>
      <c r="C242" s="17" t="s">
        <v>1803</v>
      </c>
      <c r="D242" s="17" t="s">
        <v>72</v>
      </c>
      <c r="E242" s="18" t="n">
        <v>12408</v>
      </c>
      <c r="F242" s="17" t="s">
        <v>667</v>
      </c>
      <c r="G242" s="23" t="n">
        <v>2.09759832366215</v>
      </c>
      <c r="H242" s="19" t="n">
        <v>28.8</v>
      </c>
      <c r="I242" s="17" t="n">
        <f aca="false">IF(H242="","",RANK(H242,$H$5:$H$337))</f>
        <v>238</v>
      </c>
      <c r="J242" s="24" t="n">
        <v>0.259371833839919</v>
      </c>
      <c r="K242" s="19" t="n">
        <v>98.8</v>
      </c>
      <c r="L242" s="17" t="n">
        <f aca="false">IF(K242="","",RANK(K242,$K$5:$K$337))</f>
        <v>6</v>
      </c>
      <c r="M242" s="25" t="n">
        <v>0.0256534365924492</v>
      </c>
      <c r="N242" s="19" t="n">
        <v>4.1</v>
      </c>
      <c r="O242" s="17" t="n">
        <f aca="false">IF(N242="","",RANK(N242,$N$5:$N$337))</f>
        <v>319</v>
      </c>
      <c r="P242" s="17" t="str">
        <f aca="false">IF(AND(N(H242)&gt;=N(K242),N(H242)&gt;=N(N242)),"The Pulse",IF(N(K242)&gt;=N(N242),"The Lens","The Hub"))</f>
        <v>The Lens</v>
      </c>
      <c r="Q242" s="21" t="s">
        <v>78</v>
      </c>
      <c r="R242" s="27" t="s">
        <v>671</v>
      </c>
      <c r="S242" s="17" t="s">
        <v>126</v>
      </c>
    </row>
    <row r="243" customFormat="false" ht="15" hidden="false" customHeight="false" outlineLevel="0" collapsed="false">
      <c r="A243" s="17" t="s">
        <v>319</v>
      </c>
      <c r="B243" s="17" t="s">
        <v>320</v>
      </c>
      <c r="C243" s="17" t="s">
        <v>1804</v>
      </c>
      <c r="D243" s="17" t="s">
        <v>72</v>
      </c>
      <c r="E243" s="18" t="n">
        <v>3065</v>
      </c>
      <c r="F243" s="17" t="s">
        <v>678</v>
      </c>
      <c r="G243" s="23" t="n">
        <v>2.0952691680261</v>
      </c>
      <c r="H243" s="19" t="n">
        <v>28.5</v>
      </c>
      <c r="I243" s="17" t="n">
        <f aca="false">IF(H243="","",RANK(H243,$H$5:$H$337))</f>
        <v>239</v>
      </c>
      <c r="J243" s="24" t="n">
        <v>0.205269366889501</v>
      </c>
      <c r="K243" s="19" t="n">
        <v>89.6</v>
      </c>
      <c r="L243" s="17" t="n">
        <f aca="false">IF(K243="","",RANK(K243,$K$5:$K$337))</f>
        <v>31</v>
      </c>
      <c r="M243" s="25" t="n">
        <v>0.226640159045726</v>
      </c>
      <c r="N243" s="19" t="n">
        <v>77.2</v>
      </c>
      <c r="O243" s="17" t="n">
        <f aca="false">IF(N243="","",RANK(N243,$N$5:$N$337))</f>
        <v>80</v>
      </c>
      <c r="P243" s="17" t="str">
        <f aca="false">IF(AND(N(H243)&gt;=N(K243),N(H243)&gt;=N(N243)),"The Pulse",IF(N(K243)&gt;=N(N243),"The Lens","The Hub"))</f>
        <v>The Lens</v>
      </c>
      <c r="Q243" s="20" t="s">
        <v>74</v>
      </c>
      <c r="R243" s="27" t="s">
        <v>671</v>
      </c>
      <c r="S243" s="17" t="s">
        <v>19</v>
      </c>
    </row>
    <row r="244" customFormat="false" ht="15" hidden="false" customHeight="false" outlineLevel="0" collapsed="false">
      <c r="A244" s="17" t="s">
        <v>1070</v>
      </c>
      <c r="B244" s="17" t="s">
        <v>1071</v>
      </c>
      <c r="C244" s="17" t="s">
        <v>1805</v>
      </c>
      <c r="D244" s="17" t="s">
        <v>81</v>
      </c>
      <c r="E244" s="18" t="n">
        <v>26490</v>
      </c>
      <c r="F244" s="17" t="s">
        <v>667</v>
      </c>
      <c r="G244" s="23" t="n">
        <v>2.09328048320121</v>
      </c>
      <c r="H244" s="19" t="n">
        <v>28.3</v>
      </c>
      <c r="I244" s="17" t="n">
        <f aca="false">IF(H244="","",RANK(H244,$H$5:$H$337))</f>
        <v>240</v>
      </c>
      <c r="J244" s="24" t="n">
        <v>0.0307392996108949</v>
      </c>
      <c r="K244" s="19" t="n">
        <v>20.7</v>
      </c>
      <c r="L244" s="17" t="n">
        <f aca="false">IF(K244="","",RANK(K244,$K$5:$K$337))</f>
        <v>264</v>
      </c>
      <c r="M244" s="25" t="n">
        <v>0.0332095258903212</v>
      </c>
      <c r="N244" s="19" t="n">
        <v>7.5</v>
      </c>
      <c r="O244" s="17" t="n">
        <f aca="false">IF(N244="","",RANK(N244,$N$5:$N$337))</f>
        <v>307</v>
      </c>
      <c r="P244" s="17" t="str">
        <f aca="false">IF(AND(N(H244)&gt;=N(K244),N(H244)&gt;=N(N244)),"The Pulse",IF(N(K244)&gt;=N(N244),"The Lens","The Hub"))</f>
        <v>The Pulse</v>
      </c>
      <c r="Q244" s="21" t="s">
        <v>78</v>
      </c>
      <c r="R244" s="26" t="s">
        <v>668</v>
      </c>
      <c r="S244" s="17" t="s">
        <v>21</v>
      </c>
    </row>
    <row r="245" customFormat="false" ht="15" hidden="false" customHeight="false" outlineLevel="0" collapsed="false">
      <c r="A245" s="17" t="s">
        <v>527</v>
      </c>
      <c r="B245" s="17" t="s">
        <v>528</v>
      </c>
      <c r="C245" s="17" t="s">
        <v>1806</v>
      </c>
      <c r="D245" s="17" t="s">
        <v>138</v>
      </c>
      <c r="E245" s="18" t="n">
        <v>430242</v>
      </c>
      <c r="F245" s="17" t="s">
        <v>670</v>
      </c>
      <c r="G245" s="23" t="n">
        <v>2.0920946815978</v>
      </c>
      <c r="H245" s="19" t="n">
        <v>28.1</v>
      </c>
      <c r="I245" s="17" t="n">
        <f aca="false">IF(H245="","",RANK(H245,$H$5:$H$337))</f>
        <v>241</v>
      </c>
      <c r="J245" s="24" t="n">
        <v>-0.0262933960983117</v>
      </c>
      <c r="K245" s="19" t="n">
        <v>5.3</v>
      </c>
      <c r="L245" s="17" t="n">
        <f aca="false">IF(K245="","",RANK(K245,$K$5:$K$337))</f>
        <v>316</v>
      </c>
      <c r="M245" s="25" t="n">
        <v>0.0757685127566895</v>
      </c>
      <c r="N245" s="19" t="n">
        <v>23.1</v>
      </c>
      <c r="O245" s="17" t="n">
        <f aca="false">IF(N245="","",RANK(N245,$N$5:$N$337))</f>
        <v>258</v>
      </c>
      <c r="P245" s="17" t="str">
        <f aca="false">IF(AND(N(H245)&gt;=N(K245),N(H245)&gt;=N(N245)),"The Pulse",IF(N(K245)&gt;=N(N245),"The Lens","The Hub"))</f>
        <v>The Pulse</v>
      </c>
      <c r="Q245" s="20" t="s">
        <v>74</v>
      </c>
      <c r="R245" s="27" t="s">
        <v>671</v>
      </c>
      <c r="S245" s="17" t="s">
        <v>19</v>
      </c>
    </row>
    <row r="246" customFormat="false" ht="15" hidden="false" customHeight="false" outlineLevel="0" collapsed="false">
      <c r="A246" s="17" t="s">
        <v>1807</v>
      </c>
      <c r="B246" s="17" t="s">
        <v>1808</v>
      </c>
      <c r="C246" s="17" t="s">
        <v>1809</v>
      </c>
      <c r="D246" s="17" t="s">
        <v>102</v>
      </c>
      <c r="E246" s="18" t="n">
        <v>64240</v>
      </c>
      <c r="F246" s="17" t="s">
        <v>667</v>
      </c>
      <c r="G246" s="23" t="n">
        <v>2.06966064757161</v>
      </c>
      <c r="H246" s="19" t="n">
        <v>27.9</v>
      </c>
      <c r="I246" s="17" t="n">
        <f aca="false">IF(H246="","",RANK(H246,$H$5:$H$337))</f>
        <v>242</v>
      </c>
      <c r="J246" s="24" t="n">
        <v>0.0811174688657018</v>
      </c>
      <c r="K246" s="19" t="n">
        <v>46.1</v>
      </c>
      <c r="L246" s="17" t="n">
        <f aca="false">IF(K246="","",RANK(K246,$K$5:$K$337))</f>
        <v>179</v>
      </c>
      <c r="M246" s="25" t="n">
        <v>0.104293495674463</v>
      </c>
      <c r="N246" s="19" t="n">
        <v>34.5</v>
      </c>
      <c r="O246" s="17" t="n">
        <f aca="false">IF(N246="","",RANK(N246,$N$5:$N$337))</f>
        <v>217</v>
      </c>
      <c r="P246" s="17" t="str">
        <f aca="false">IF(AND(N(H246)&gt;=N(K246),N(H246)&gt;=N(N246)),"The Pulse",IF(N(K246)&gt;=N(N246),"The Lens","The Hub"))</f>
        <v>The Lens</v>
      </c>
      <c r="Q246" s="21" t="s">
        <v>78</v>
      </c>
      <c r="R246" s="26" t="s">
        <v>668</v>
      </c>
      <c r="S246" s="17" t="s">
        <v>21</v>
      </c>
    </row>
    <row r="247" customFormat="false" ht="15" hidden="false" customHeight="false" outlineLevel="0" collapsed="false">
      <c r="A247" s="17" t="s">
        <v>567</v>
      </c>
      <c r="B247" s="17" t="s">
        <v>568</v>
      </c>
      <c r="C247" s="17" t="s">
        <v>1810</v>
      </c>
      <c r="D247" s="17" t="s">
        <v>72</v>
      </c>
      <c r="E247" s="18" t="n">
        <v>52290</v>
      </c>
      <c r="F247" s="17" t="s">
        <v>667</v>
      </c>
      <c r="G247" s="23" t="n">
        <v>2.05945687511953</v>
      </c>
      <c r="H247" s="19" t="n">
        <v>27.7</v>
      </c>
      <c r="I247" s="17" t="n">
        <f aca="false">IF(H247="","",RANK(H247,$H$5:$H$337))</f>
        <v>243</v>
      </c>
      <c r="J247" s="24" t="n">
        <v>0.127182582453115</v>
      </c>
      <c r="K247" s="19" t="n">
        <v>67.6</v>
      </c>
      <c r="L247" s="17" t="n">
        <f aca="false">IF(K247="","",RANK(K247,$K$5:$K$337))</f>
        <v>107</v>
      </c>
      <c r="M247" s="25" t="n">
        <v>0.151008492569002</v>
      </c>
      <c r="N247" s="19" t="n">
        <v>57.3</v>
      </c>
      <c r="O247" s="17" t="n">
        <f aca="false">IF(N247="","",RANK(N247,$N$5:$N$337))</f>
        <v>144</v>
      </c>
      <c r="P247" s="17" t="str">
        <f aca="false">IF(AND(N(H247)&gt;=N(K247),N(H247)&gt;=N(N247)),"The Pulse",IF(N(K247)&gt;=N(N247),"The Lens","The Hub"))</f>
        <v>The Lens</v>
      </c>
      <c r="Q247" s="21" t="s">
        <v>78</v>
      </c>
      <c r="R247" s="27" t="s">
        <v>671</v>
      </c>
      <c r="S247" s="17" t="s">
        <v>21</v>
      </c>
    </row>
    <row r="248" customFormat="false" ht="15" hidden="false" customHeight="false" outlineLevel="0" collapsed="false">
      <c r="A248" s="17" t="s">
        <v>559</v>
      </c>
      <c r="B248" s="17" t="s">
        <v>560</v>
      </c>
      <c r="C248" s="17" t="s">
        <v>1811</v>
      </c>
      <c r="D248" s="17" t="s">
        <v>81</v>
      </c>
      <c r="E248" s="18" t="n">
        <v>16905</v>
      </c>
      <c r="F248" s="17" t="s">
        <v>667</v>
      </c>
      <c r="G248" s="23" t="n">
        <v>2.05696539485359</v>
      </c>
      <c r="H248" s="19" t="n">
        <v>27.5</v>
      </c>
      <c r="I248" s="17" t="n">
        <f aca="false">IF(H248="","",RANK(H248,$H$5:$H$337))</f>
        <v>244</v>
      </c>
      <c r="J248" s="24" t="n">
        <v>0.0448084054388134</v>
      </c>
      <c r="K248" s="19" t="n">
        <v>26.1</v>
      </c>
      <c r="L248" s="17" t="n">
        <f aca="false">IF(K248="","",RANK(K248,$K$5:$K$337))</f>
        <v>248</v>
      </c>
      <c r="M248" s="25" t="n">
        <v>0.204588910133843</v>
      </c>
      <c r="N248" s="19" t="n">
        <v>72.8</v>
      </c>
      <c r="O248" s="17" t="n">
        <f aca="false">IF(N248="","",RANK(N248,$N$5:$N$337))</f>
        <v>95</v>
      </c>
      <c r="P248" s="17" t="str">
        <f aca="false">IF(AND(N(H248)&gt;=N(K248),N(H248)&gt;=N(N248)),"The Pulse",IF(N(K248)&gt;=N(N248),"The Lens","The Hub"))</f>
        <v>The Hub</v>
      </c>
      <c r="Q248" s="20" t="s">
        <v>74</v>
      </c>
      <c r="R248" s="27" t="s">
        <v>671</v>
      </c>
      <c r="S248" s="17" t="s">
        <v>19</v>
      </c>
    </row>
    <row r="249" customFormat="false" ht="15" hidden="false" customHeight="false" outlineLevel="0" collapsed="false">
      <c r="A249" s="17" t="s">
        <v>914</v>
      </c>
      <c r="B249" s="17" t="s">
        <v>915</v>
      </c>
      <c r="C249" s="17" t="s">
        <v>1812</v>
      </c>
      <c r="D249" s="17" t="s">
        <v>138</v>
      </c>
      <c r="E249" s="18" t="n">
        <v>58720</v>
      </c>
      <c r="F249" s="17" t="s">
        <v>667</v>
      </c>
      <c r="G249" s="23" t="n">
        <v>2.03496253405995</v>
      </c>
      <c r="H249" s="19" t="n">
        <v>27.3</v>
      </c>
      <c r="I249" s="17" t="n">
        <f aca="false">IF(H249="","",RANK(H249,$H$5:$H$337))</f>
        <v>245</v>
      </c>
      <c r="J249" s="24" t="n">
        <v>0.0857988165680473</v>
      </c>
      <c r="K249" s="19" t="n">
        <v>47.7</v>
      </c>
      <c r="L249" s="17" t="n">
        <f aca="false">IF(K249="","",RANK(K249,$K$5:$K$337))</f>
        <v>175</v>
      </c>
      <c r="M249" s="25" t="n">
        <v>0.0119898547382984</v>
      </c>
      <c r="N249" s="19" t="n">
        <v>2.1</v>
      </c>
      <c r="O249" s="17" t="n">
        <f aca="false">IF(N249="","",RANK(N249,$N$5:$N$337))</f>
        <v>327</v>
      </c>
      <c r="P249" s="17" t="str">
        <f aca="false">IF(AND(N(H249)&gt;=N(K249),N(H249)&gt;=N(N249)),"The Pulse",IF(N(K249)&gt;=N(N249),"The Lens","The Hub"))</f>
        <v>The Lens</v>
      </c>
      <c r="Q249" s="21" t="s">
        <v>78</v>
      </c>
      <c r="R249" s="26" t="s">
        <v>668</v>
      </c>
      <c r="S249" s="17" t="s">
        <v>21</v>
      </c>
    </row>
    <row r="250" customFormat="false" ht="15" hidden="false" customHeight="false" outlineLevel="0" collapsed="false">
      <c r="A250" s="17" t="s">
        <v>1813</v>
      </c>
      <c r="B250" s="17" t="s">
        <v>1814</v>
      </c>
      <c r="C250" s="17" t="s">
        <v>1815</v>
      </c>
      <c r="D250" s="17" t="s">
        <v>102</v>
      </c>
      <c r="E250" s="18" t="n">
        <v>73830</v>
      </c>
      <c r="F250" s="17" t="s">
        <v>667</v>
      </c>
      <c r="G250" s="23" t="n">
        <v>2.02122443451172</v>
      </c>
      <c r="H250" s="19" t="n">
        <v>27.1</v>
      </c>
      <c r="I250" s="17" t="n">
        <f aca="false">IF(H250="","",RANK(H250,$H$5:$H$337))</f>
        <v>246</v>
      </c>
      <c r="J250" s="24" t="n">
        <v>0.0676789587852495</v>
      </c>
      <c r="K250" s="19" t="n">
        <v>38.6</v>
      </c>
      <c r="L250" s="17" t="n">
        <f aca="false">IF(K250="","",RANK(K250,$K$5:$K$337))</f>
        <v>204</v>
      </c>
      <c r="M250" s="25" t="n">
        <v>0.0486764521390039</v>
      </c>
      <c r="N250" s="19" t="n">
        <v>13</v>
      </c>
      <c r="O250" s="17" t="n">
        <f aca="false">IF(N250="","",RANK(N250,$N$5:$N$337))</f>
        <v>291</v>
      </c>
      <c r="P250" s="17" t="str">
        <f aca="false">IF(AND(N(H250)&gt;=N(K250),N(H250)&gt;=N(N250)),"The Pulse",IF(N(K250)&gt;=N(N250),"The Lens","The Hub"))</f>
        <v>The Lens</v>
      </c>
      <c r="Q250" s="21" t="s">
        <v>78</v>
      </c>
      <c r="R250" s="26" t="s">
        <v>668</v>
      </c>
      <c r="S250" s="17" t="s">
        <v>21</v>
      </c>
    </row>
    <row r="251" customFormat="false" ht="15" hidden="false" customHeight="false" outlineLevel="0" collapsed="false">
      <c r="A251" s="17" t="s">
        <v>561</v>
      </c>
      <c r="B251" s="17" t="s">
        <v>562</v>
      </c>
      <c r="C251" s="17" t="s">
        <v>1816</v>
      </c>
      <c r="D251" s="17" t="s">
        <v>92</v>
      </c>
      <c r="E251" s="18" t="n">
        <v>3645</v>
      </c>
      <c r="F251" s="17" t="s">
        <v>678</v>
      </c>
      <c r="G251" s="23" t="n">
        <v>2.01399176954733</v>
      </c>
      <c r="H251" s="19" t="n">
        <v>26.8</v>
      </c>
      <c r="I251" s="17" t="n">
        <f aca="false">IF(H251="","",RANK(H251,$H$5:$H$337))</f>
        <v>247</v>
      </c>
      <c r="J251" s="24" t="n">
        <v>0.106893410264197</v>
      </c>
      <c r="K251" s="19" t="n">
        <v>41.7</v>
      </c>
      <c r="L251" s="17" t="n">
        <f aca="false">IF(K251="","",RANK(K251,$K$5:$K$337))</f>
        <v>193</v>
      </c>
      <c r="M251" s="25" t="n">
        <v>0.0876190476190476</v>
      </c>
      <c r="N251" s="19" t="n">
        <v>27.2</v>
      </c>
      <c r="O251" s="17" t="n">
        <f aca="false">IF(N251="","",RANK(N251,$N$5:$N$337))</f>
        <v>243</v>
      </c>
      <c r="P251" s="17" t="str">
        <f aca="false">IF(AND(N(H251)&gt;=N(K251),N(H251)&gt;=N(N251)),"The Pulse",IF(N(K251)&gt;=N(N251),"The Lens","The Hub"))</f>
        <v>The Lens</v>
      </c>
      <c r="Q251" s="20" t="s">
        <v>74</v>
      </c>
      <c r="R251" s="27" t="s">
        <v>671</v>
      </c>
      <c r="S251" s="17" t="s">
        <v>19</v>
      </c>
    </row>
    <row r="252" customFormat="false" ht="15" hidden="false" customHeight="false" outlineLevel="0" collapsed="false">
      <c r="A252" s="17" t="s">
        <v>563</v>
      </c>
      <c r="B252" s="17" t="s">
        <v>564</v>
      </c>
      <c r="C252" s="17" t="s">
        <v>1817</v>
      </c>
      <c r="D252" s="17" t="s">
        <v>133</v>
      </c>
      <c r="E252" s="18" t="n">
        <v>9470</v>
      </c>
      <c r="F252" s="17" t="s">
        <v>678</v>
      </c>
      <c r="G252" s="23" t="n">
        <v>2.00897571277719</v>
      </c>
      <c r="H252" s="19" t="n">
        <v>26.6</v>
      </c>
      <c r="I252" s="17" t="n">
        <f aca="false">IF(H252="","",RANK(H252,$H$5:$H$337))</f>
        <v>248</v>
      </c>
      <c r="J252" s="24" t="n">
        <v>0.164821648216482</v>
      </c>
      <c r="K252" s="19" t="n">
        <v>79.2</v>
      </c>
      <c r="L252" s="17" t="n">
        <f aca="false">IF(K252="","",RANK(K252,$K$5:$K$337))</f>
        <v>70</v>
      </c>
      <c r="M252" s="25" t="n">
        <v>0.306147291539866</v>
      </c>
      <c r="N252" s="19" t="n">
        <v>92</v>
      </c>
      <c r="O252" s="17" t="n">
        <f aca="false">IF(N252="","",RANK(N252,$N$5:$N$337))</f>
        <v>31</v>
      </c>
      <c r="P252" s="17" t="str">
        <f aca="false">IF(AND(N(H252)&gt;=N(K252),N(H252)&gt;=N(N252)),"The Pulse",IF(N(K252)&gt;=N(N252),"The Lens","The Hub"))</f>
        <v>The Hub</v>
      </c>
      <c r="Q252" s="21" t="s">
        <v>78</v>
      </c>
      <c r="R252" s="27" t="s">
        <v>671</v>
      </c>
      <c r="S252" s="17" t="s">
        <v>21</v>
      </c>
    </row>
    <row r="253" customFormat="false" ht="15" hidden="false" customHeight="false" outlineLevel="0" collapsed="false">
      <c r="A253" s="17" t="s">
        <v>507</v>
      </c>
      <c r="B253" s="17" t="s">
        <v>508</v>
      </c>
      <c r="C253" s="17" t="s">
        <v>1818</v>
      </c>
      <c r="D253" s="17" t="s">
        <v>92</v>
      </c>
      <c r="E253" s="18" t="n">
        <v>429096</v>
      </c>
      <c r="F253" s="17" t="s">
        <v>670</v>
      </c>
      <c r="G253" s="23" t="n">
        <v>1.99769748494509</v>
      </c>
      <c r="H253" s="19" t="n">
        <v>26.4</v>
      </c>
      <c r="I253" s="17" t="n">
        <f aca="false">IF(H253="","",RANK(H253,$H$5:$H$337))</f>
        <v>249</v>
      </c>
      <c r="J253" s="24" t="n">
        <v>0.0382795032859397</v>
      </c>
      <c r="K253" s="19" t="n">
        <v>26.5</v>
      </c>
      <c r="L253" s="17" t="n">
        <f aca="false">IF(K253="","",RANK(K253,$K$5:$K$337))</f>
        <v>247</v>
      </c>
      <c r="M253" s="25" t="n">
        <v>0.315296860099601</v>
      </c>
      <c r="N253" s="19" t="n">
        <v>94</v>
      </c>
      <c r="O253" s="17" t="n">
        <f aca="false">IF(N253="","",RANK(N253,$N$5:$N$337))</f>
        <v>23</v>
      </c>
      <c r="P253" s="17" t="str">
        <f aca="false">IF(AND(N(H253)&gt;=N(K253),N(H253)&gt;=N(N253)),"The Pulse",IF(N(K253)&gt;=N(N253),"The Lens","The Hub"))</f>
        <v>The Hub</v>
      </c>
      <c r="Q253" s="20" t="s">
        <v>74</v>
      </c>
      <c r="R253" s="27" t="s">
        <v>671</v>
      </c>
      <c r="S253" s="17" t="s">
        <v>19</v>
      </c>
    </row>
    <row r="254" customFormat="false" ht="15" hidden="false" customHeight="false" outlineLevel="0" collapsed="false">
      <c r="A254" s="17" t="s">
        <v>497</v>
      </c>
      <c r="B254" s="17" t="s">
        <v>498</v>
      </c>
      <c r="C254" s="17" t="s">
        <v>1819</v>
      </c>
      <c r="D254" s="17" t="s">
        <v>81</v>
      </c>
      <c r="E254" s="18" t="n">
        <v>123044</v>
      </c>
      <c r="F254" s="17" t="s">
        <v>670</v>
      </c>
      <c r="G254" s="23" t="n">
        <v>1.98542797698384</v>
      </c>
      <c r="H254" s="19" t="n">
        <v>26.2</v>
      </c>
      <c r="I254" s="17" t="n">
        <f aca="false">IF(H254="","",RANK(H254,$H$5:$H$337))</f>
        <v>250</v>
      </c>
      <c r="J254" s="24" t="n">
        <v>0.0499620271527191</v>
      </c>
      <c r="K254" s="19" t="n">
        <v>31.1</v>
      </c>
      <c r="L254" s="17" t="n">
        <f aca="false">IF(K254="","",RANK(K254,$K$5:$K$337))</f>
        <v>233</v>
      </c>
      <c r="M254" s="25" t="n">
        <v>0.0855814522542363</v>
      </c>
      <c r="N254" s="19" t="n">
        <v>26.7</v>
      </c>
      <c r="O254" s="17" t="n">
        <f aca="false">IF(N254="","",RANK(N254,$N$5:$N$337))</f>
        <v>245</v>
      </c>
      <c r="P254" s="17" t="str">
        <f aca="false">IF(AND(N(H254)&gt;=N(K254),N(H254)&gt;=N(N254)),"The Pulse",IF(N(K254)&gt;=N(N254),"The Lens","The Hub"))</f>
        <v>The Lens</v>
      </c>
      <c r="Q254" s="20" t="s">
        <v>74</v>
      </c>
      <c r="R254" s="27" t="s">
        <v>671</v>
      </c>
      <c r="S254" s="17" t="s">
        <v>19</v>
      </c>
    </row>
    <row r="255" customFormat="false" ht="15" hidden="false" customHeight="false" outlineLevel="0" collapsed="false">
      <c r="A255" s="17" t="s">
        <v>477</v>
      </c>
      <c r="B255" s="17" t="s">
        <v>478</v>
      </c>
      <c r="C255" s="17" t="s">
        <v>1820</v>
      </c>
      <c r="D255" s="17" t="s">
        <v>138</v>
      </c>
      <c r="E255" s="18" t="n">
        <v>63378</v>
      </c>
      <c r="F255" s="17" t="s">
        <v>667</v>
      </c>
      <c r="G255" s="23" t="n">
        <v>1.97582757423712</v>
      </c>
      <c r="H255" s="19" t="n">
        <v>26</v>
      </c>
      <c r="I255" s="17" t="n">
        <f aca="false">IF(H255="","",RANK(H255,$H$5:$H$337))</f>
        <v>251</v>
      </c>
      <c r="J255" s="24" t="n">
        <v>0.111972770018949</v>
      </c>
      <c r="K255" s="19" t="n">
        <v>61</v>
      </c>
      <c r="L255" s="17" t="n">
        <f aca="false">IF(K255="","",RANK(K255,$K$5:$K$337))</f>
        <v>126</v>
      </c>
      <c r="M255" s="25" t="n">
        <v>0.205236232320193</v>
      </c>
      <c r="N255" s="19" t="n">
        <v>73.1</v>
      </c>
      <c r="O255" s="17" t="n">
        <f aca="false">IF(N255="","",RANK(N255,$N$5:$N$337))</f>
        <v>94</v>
      </c>
      <c r="P255" s="17" t="str">
        <f aca="false">IF(AND(N(H255)&gt;=N(K255),N(H255)&gt;=N(N255)),"The Pulse",IF(N(K255)&gt;=N(N255),"The Lens","The Hub"))</f>
        <v>The Hub</v>
      </c>
      <c r="Q255" s="20" t="s">
        <v>74</v>
      </c>
      <c r="R255" s="27" t="s">
        <v>671</v>
      </c>
      <c r="S255" s="17" t="s">
        <v>19</v>
      </c>
    </row>
    <row r="256" customFormat="false" ht="15" hidden="false" customHeight="false" outlineLevel="0" collapsed="false">
      <c r="A256" s="17" t="s">
        <v>879</v>
      </c>
      <c r="B256" s="17" t="s">
        <v>880</v>
      </c>
      <c r="C256" s="17" t="s">
        <v>1821</v>
      </c>
      <c r="D256" s="17" t="s">
        <v>81</v>
      </c>
      <c r="E256" s="18" t="n">
        <v>62810</v>
      </c>
      <c r="F256" s="17" t="s">
        <v>667</v>
      </c>
      <c r="G256" s="23" t="n">
        <v>1.97342779812132</v>
      </c>
      <c r="H256" s="19" t="n">
        <v>25.8</v>
      </c>
      <c r="I256" s="17" t="n">
        <f aca="false">IF(H256="","",RANK(H256,$H$5:$H$337))</f>
        <v>252</v>
      </c>
      <c r="J256" s="24" t="n">
        <v>0.0895056374674762</v>
      </c>
      <c r="K256" s="19" t="n">
        <v>49.8</v>
      </c>
      <c r="L256" s="17" t="n">
        <f aca="false">IF(K256="","",RANK(K256,$K$5:$K$337))</f>
        <v>167</v>
      </c>
      <c r="M256" s="25" t="n">
        <v>0.175836924096785</v>
      </c>
      <c r="N256" s="19" t="n">
        <v>65.5</v>
      </c>
      <c r="O256" s="17" t="n">
        <f aca="false">IF(N256="","",RANK(N256,$N$5:$N$337))</f>
        <v>118</v>
      </c>
      <c r="P256" s="17" t="str">
        <f aca="false">IF(AND(N(H256)&gt;=N(K256),N(H256)&gt;=N(N256)),"The Pulse",IF(N(K256)&gt;=N(N256),"The Lens","The Hub"))</f>
        <v>The Hub</v>
      </c>
      <c r="Q256" s="21" t="s">
        <v>78</v>
      </c>
      <c r="R256" s="26" t="s">
        <v>668</v>
      </c>
      <c r="S256" s="17" t="s">
        <v>21</v>
      </c>
    </row>
    <row r="257" customFormat="false" ht="15" hidden="false" customHeight="false" outlineLevel="0" collapsed="false">
      <c r="A257" s="17" t="s">
        <v>363</v>
      </c>
      <c r="B257" s="17" t="s">
        <v>364</v>
      </c>
      <c r="C257" s="17" t="s">
        <v>1822</v>
      </c>
      <c r="D257" s="17" t="s">
        <v>87</v>
      </c>
      <c r="E257" s="18" t="n">
        <v>14288</v>
      </c>
      <c r="F257" s="17" t="s">
        <v>667</v>
      </c>
      <c r="G257" s="23" t="n">
        <v>1.96472564389698</v>
      </c>
      <c r="H257" s="19" t="n">
        <v>25.6</v>
      </c>
      <c r="I257" s="17" t="n">
        <f aca="false">IF(H257="","",RANK(H257,$H$5:$H$337))</f>
        <v>253</v>
      </c>
      <c r="J257" s="24" t="n">
        <v>0.203504043126685</v>
      </c>
      <c r="K257" s="19" t="n">
        <v>94.6</v>
      </c>
      <c r="L257" s="17" t="n">
        <f aca="false">IF(K257="","",RANK(K257,$K$5:$K$337))</f>
        <v>19</v>
      </c>
      <c r="M257" s="25" t="n">
        <v>0.0602094240837696</v>
      </c>
      <c r="N257" s="19" t="n">
        <v>17.6</v>
      </c>
      <c r="O257" s="17" t="n">
        <f aca="false">IF(N257="","",RANK(N257,$N$5:$N$337))</f>
        <v>275</v>
      </c>
      <c r="P257" s="17" t="str">
        <f aca="false">IF(AND(N(H257)&gt;=N(K257),N(H257)&gt;=N(N257)),"The Pulse",IF(N(K257)&gt;=N(N257),"The Lens","The Hub"))</f>
        <v>The Lens</v>
      </c>
      <c r="Q257" s="20" t="s">
        <v>74</v>
      </c>
      <c r="R257" s="27" t="s">
        <v>671</v>
      </c>
      <c r="S257" s="17" t="s">
        <v>19</v>
      </c>
    </row>
    <row r="258" customFormat="false" ht="15" hidden="false" customHeight="false" outlineLevel="0" collapsed="false">
      <c r="A258" s="17" t="s">
        <v>207</v>
      </c>
      <c r="B258" s="17" t="s">
        <v>208</v>
      </c>
      <c r="C258" s="17" t="s">
        <v>1823</v>
      </c>
      <c r="D258" s="17" t="s">
        <v>81</v>
      </c>
      <c r="E258" s="18" t="n">
        <v>141825</v>
      </c>
      <c r="F258" s="17" t="s">
        <v>670</v>
      </c>
      <c r="G258" s="23" t="n">
        <v>1.95378811916094</v>
      </c>
      <c r="H258" s="19" t="n">
        <v>25.2</v>
      </c>
      <c r="I258" s="17" t="n">
        <f aca="false">IF(H258="","",RANK(H258,$H$5:$H$337))</f>
        <v>254</v>
      </c>
      <c r="J258" s="24" t="n">
        <v>-0.00126756100137319</v>
      </c>
      <c r="K258" s="19" t="n">
        <v>10.6</v>
      </c>
      <c r="L258" s="17" t="n">
        <f aca="false">IF(K258="","",RANK(K258,$K$5:$K$337))</f>
        <v>297</v>
      </c>
      <c r="M258" s="25" t="n">
        <v>0.095747844186738</v>
      </c>
      <c r="N258" s="19" t="n">
        <v>30.6</v>
      </c>
      <c r="O258" s="17" t="n">
        <f aca="false">IF(N258="","",RANK(N258,$N$5:$N$337))</f>
        <v>231</v>
      </c>
      <c r="P258" s="17" t="str">
        <f aca="false">IF(AND(N(H258)&gt;=N(K258),N(H258)&gt;=N(N258)),"The Pulse",IF(N(K258)&gt;=N(N258),"The Lens","The Hub"))</f>
        <v>The Hub</v>
      </c>
      <c r="Q258" s="20" t="s">
        <v>74</v>
      </c>
      <c r="R258" s="27" t="s">
        <v>671</v>
      </c>
      <c r="S258" s="17" t="s">
        <v>19</v>
      </c>
    </row>
    <row r="259" customFormat="false" ht="15" hidden="false" customHeight="false" outlineLevel="0" collapsed="false">
      <c r="A259" s="17" t="s">
        <v>1824</v>
      </c>
      <c r="B259" s="17" t="s">
        <v>1825</v>
      </c>
      <c r="C259" s="17" t="s">
        <v>1826</v>
      </c>
      <c r="D259" s="17" t="s">
        <v>102</v>
      </c>
      <c r="E259" s="18" t="n">
        <v>132680</v>
      </c>
      <c r="F259" s="17" t="s">
        <v>670</v>
      </c>
      <c r="G259" s="23" t="n">
        <v>1.92489448296654</v>
      </c>
      <c r="H259" s="19" t="n">
        <v>24.7</v>
      </c>
      <c r="I259" s="17" t="n">
        <f aca="false">IF(H259="","",RANK(H259,$H$5:$H$337))</f>
        <v>255</v>
      </c>
      <c r="J259" s="24" t="n">
        <v>0.113087248322148</v>
      </c>
      <c r="K259" s="19" t="n">
        <v>66.9</v>
      </c>
      <c r="L259" s="17" t="n">
        <f aca="false">IF(K259="","",RANK(K259,$K$5:$K$337))</f>
        <v>109</v>
      </c>
      <c r="M259" s="25" t="n">
        <v>0.00342911197824288</v>
      </c>
      <c r="N259" s="19" t="n">
        <v>0.5</v>
      </c>
      <c r="O259" s="17" t="n">
        <f aca="false">IF(N259="","",RANK(N259,$N$5:$N$337))</f>
        <v>332</v>
      </c>
      <c r="P259" s="17" t="str">
        <f aca="false">IF(AND(N(H259)&gt;=N(K259),N(H259)&gt;=N(N259)),"The Pulse",IF(N(K259)&gt;=N(N259),"The Lens","The Hub"))</f>
        <v>The Lens</v>
      </c>
      <c r="Q259" s="21" t="s">
        <v>78</v>
      </c>
      <c r="R259" s="26" t="s">
        <v>668</v>
      </c>
      <c r="S259" s="17" t="s">
        <v>21</v>
      </c>
    </row>
    <row r="260" customFormat="false" ht="15" hidden="false" customHeight="false" outlineLevel="0" collapsed="false">
      <c r="A260" s="17" t="s">
        <v>1172</v>
      </c>
      <c r="B260" s="17" t="s">
        <v>1173</v>
      </c>
      <c r="C260" s="17" t="s">
        <v>1827</v>
      </c>
      <c r="D260" s="17" t="s">
        <v>114</v>
      </c>
      <c r="E260" s="18" t="n">
        <v>7430</v>
      </c>
      <c r="F260" s="17" t="s">
        <v>678</v>
      </c>
      <c r="G260" s="23" t="n">
        <v>1.91520861372813</v>
      </c>
      <c r="H260" s="19" t="n">
        <v>24.3</v>
      </c>
      <c r="I260" s="17" t="n">
        <f aca="false">IF(H260="","",RANK(H260,$H$5:$H$337))</f>
        <v>256</v>
      </c>
      <c r="J260" s="24" t="n">
        <v>0.0799418604651163</v>
      </c>
      <c r="K260" s="19" t="n">
        <v>35.4</v>
      </c>
      <c r="L260" s="17" t="n">
        <f aca="false">IF(K260="","",RANK(K260,$K$5:$K$337))</f>
        <v>217</v>
      </c>
      <c r="M260" s="25" t="n">
        <v>0.00705467372134039</v>
      </c>
      <c r="N260" s="19" t="n">
        <v>1.8</v>
      </c>
      <c r="O260" s="17" t="n">
        <f aca="false">IF(N260="","",RANK(N260,$N$5:$N$337))</f>
        <v>328</v>
      </c>
      <c r="P260" s="17" t="str">
        <f aca="false">IF(AND(N(H260)&gt;=N(K260),N(H260)&gt;=N(N260)),"The Pulse",IF(N(K260)&gt;=N(N260),"The Lens","The Hub"))</f>
        <v>The Lens</v>
      </c>
      <c r="Q260" s="21" t="s">
        <v>78</v>
      </c>
      <c r="R260" s="26" t="s">
        <v>668</v>
      </c>
      <c r="S260" s="17" t="s">
        <v>21</v>
      </c>
    </row>
    <row r="261" customFormat="false" ht="15" hidden="false" customHeight="false" outlineLevel="0" collapsed="false">
      <c r="A261" s="17" t="s">
        <v>1828</v>
      </c>
      <c r="B261" s="17" t="s">
        <v>1829</v>
      </c>
      <c r="C261" s="17" t="s">
        <v>1830</v>
      </c>
      <c r="D261" s="17" t="s">
        <v>133</v>
      </c>
      <c r="E261" s="18" t="n">
        <v>13900</v>
      </c>
      <c r="F261" s="17" t="s">
        <v>667</v>
      </c>
      <c r="G261" s="23" t="n">
        <v>1.85517985611511</v>
      </c>
      <c r="H261" s="19" t="n">
        <v>23.9</v>
      </c>
      <c r="I261" s="17" t="n">
        <f aca="false">IF(H261="","",RANK(H261,$H$5:$H$337))</f>
        <v>257</v>
      </c>
      <c r="J261" s="24" t="n">
        <v>0.137479541734861</v>
      </c>
      <c r="K261" s="19" t="n">
        <v>73.4</v>
      </c>
      <c r="L261" s="17" t="n">
        <f aca="false">IF(K261="","",RANK(K261,$K$5:$K$337))</f>
        <v>90</v>
      </c>
      <c r="M261" s="25" t="n">
        <v>0.0476190476190476</v>
      </c>
      <c r="N261" s="19" t="n">
        <v>11.9</v>
      </c>
      <c r="O261" s="17" t="n">
        <f aca="false">IF(N261="","",RANK(N261,$N$5:$N$337))</f>
        <v>295</v>
      </c>
      <c r="P261" s="17" t="str">
        <f aca="false">IF(AND(N(H261)&gt;=N(K261),N(H261)&gt;=N(N261)),"The Pulse",IF(N(K261)&gt;=N(N261),"The Lens","The Hub"))</f>
        <v>The Lens</v>
      </c>
      <c r="Q261" s="21" t="s">
        <v>78</v>
      </c>
      <c r="R261" s="26" t="s">
        <v>668</v>
      </c>
      <c r="S261" s="17" t="s">
        <v>21</v>
      </c>
    </row>
    <row r="262" customFormat="false" ht="15" hidden="false" customHeight="false" outlineLevel="0" collapsed="false">
      <c r="A262" s="17" t="s">
        <v>397</v>
      </c>
      <c r="B262" s="17" t="s">
        <v>398</v>
      </c>
      <c r="C262" s="17" t="s">
        <v>1831</v>
      </c>
      <c r="D262" s="17" t="s">
        <v>138</v>
      </c>
      <c r="E262" s="18" t="n">
        <v>104950</v>
      </c>
      <c r="F262" s="17" t="s">
        <v>670</v>
      </c>
      <c r="G262" s="23" t="n">
        <v>1.85252977608385</v>
      </c>
      <c r="H262" s="19" t="n">
        <v>23.7</v>
      </c>
      <c r="I262" s="17" t="n">
        <f aca="false">IF(H262="","",RANK(H262,$H$5:$H$337))</f>
        <v>258</v>
      </c>
      <c r="J262" s="24" t="n">
        <v>0.137669376693767</v>
      </c>
      <c r="K262" s="19" t="n">
        <v>78.1</v>
      </c>
      <c r="L262" s="17" t="n">
        <f aca="false">IF(K262="","",RANK(K262,$K$5:$K$337))</f>
        <v>73</v>
      </c>
      <c r="M262" s="25" t="n">
        <v>0.106803797468354</v>
      </c>
      <c r="N262" s="19" t="n">
        <v>35.5</v>
      </c>
      <c r="O262" s="17" t="n">
        <f aca="false">IF(N262="","",RANK(N262,$N$5:$N$337))</f>
        <v>213</v>
      </c>
      <c r="P262" s="17" t="str">
        <f aca="false">IF(AND(N(H262)&gt;=N(K262),N(H262)&gt;=N(N262)),"The Pulse",IF(N(K262)&gt;=N(N262),"The Lens","The Hub"))</f>
        <v>The Lens</v>
      </c>
      <c r="Q262" s="21" t="s">
        <v>78</v>
      </c>
      <c r="R262" s="27" t="s">
        <v>671</v>
      </c>
      <c r="S262" s="17" t="s">
        <v>21</v>
      </c>
    </row>
    <row r="263" customFormat="false" ht="15" hidden="false" customHeight="false" outlineLevel="0" collapsed="false">
      <c r="A263" s="17" t="s">
        <v>217</v>
      </c>
      <c r="B263" s="17" t="s">
        <v>218</v>
      </c>
      <c r="C263" s="17" t="s">
        <v>1832</v>
      </c>
      <c r="D263" s="17" t="s">
        <v>133</v>
      </c>
      <c r="E263" s="18" t="n">
        <v>674090</v>
      </c>
      <c r="F263" s="17" t="s">
        <v>670</v>
      </c>
      <c r="G263" s="23" t="n">
        <v>1.839551098518</v>
      </c>
      <c r="H263" s="19" t="n">
        <v>23.3</v>
      </c>
      <c r="I263" s="17" t="n">
        <f aca="false">IF(H263="","",RANK(H263,$H$5:$H$337))</f>
        <v>259</v>
      </c>
      <c r="J263" s="24" t="n">
        <v>0.133114809211632</v>
      </c>
      <c r="K263" s="19" t="n">
        <v>76.8</v>
      </c>
      <c r="L263" s="17" t="n">
        <f aca="false">IF(K263="","",RANK(K263,$K$5:$K$337))</f>
        <v>78</v>
      </c>
      <c r="M263" s="25" t="n">
        <v>0.0960337807268889</v>
      </c>
      <c r="N263" s="19" t="n">
        <v>31.1</v>
      </c>
      <c r="O263" s="17" t="n">
        <f aca="false">IF(N263="","",RANK(N263,$N$5:$N$337))</f>
        <v>229</v>
      </c>
      <c r="P263" s="17" t="str">
        <f aca="false">IF(AND(N(H263)&gt;=N(K263),N(H263)&gt;=N(N263)),"The Pulse",IF(N(K263)&gt;=N(N263),"The Lens","The Hub"))</f>
        <v>The Lens</v>
      </c>
      <c r="Q263" s="21" t="s">
        <v>78</v>
      </c>
      <c r="R263" s="27" t="s">
        <v>671</v>
      </c>
      <c r="S263" s="17" t="s">
        <v>21</v>
      </c>
    </row>
    <row r="264" customFormat="false" ht="15" hidden="false" customHeight="false" outlineLevel="0" collapsed="false">
      <c r="A264" s="17" t="s">
        <v>583</v>
      </c>
      <c r="B264" s="17" t="s">
        <v>584</v>
      </c>
      <c r="C264" s="17" t="s">
        <v>1833</v>
      </c>
      <c r="D264" s="17" t="s">
        <v>81</v>
      </c>
      <c r="E264" s="18" t="n">
        <v>168708</v>
      </c>
      <c r="F264" s="17" t="s">
        <v>670</v>
      </c>
      <c r="G264" s="23" t="n">
        <v>1.83428764492496</v>
      </c>
      <c r="H264" s="19" t="n">
        <v>23</v>
      </c>
      <c r="I264" s="17" t="n">
        <f aca="false">IF(H264="","",RANK(H264,$H$5:$H$337))</f>
        <v>260</v>
      </c>
      <c r="J264" s="24" t="n">
        <v>0.0825649219396693</v>
      </c>
      <c r="K264" s="19" t="n">
        <v>49.7</v>
      </c>
      <c r="L264" s="17" t="n">
        <f aca="false">IF(K264="","",RANK(K264,$K$5:$K$337))</f>
        <v>168</v>
      </c>
      <c r="M264" s="25" t="n">
        <v>0.201646090534979</v>
      </c>
      <c r="N264" s="19" t="n">
        <v>72.3</v>
      </c>
      <c r="O264" s="17" t="n">
        <f aca="false">IF(N264="","",RANK(N264,$N$5:$N$337))</f>
        <v>97</v>
      </c>
      <c r="P264" s="17" t="str">
        <f aca="false">IF(AND(N(H264)&gt;=N(K264),N(H264)&gt;=N(N264)),"The Pulse",IF(N(K264)&gt;=N(N264),"The Lens","The Hub"))</f>
        <v>The Hub</v>
      </c>
      <c r="Q264" s="20" t="s">
        <v>74</v>
      </c>
      <c r="R264" s="27" t="s">
        <v>671</v>
      </c>
      <c r="S264" s="17" t="s">
        <v>19</v>
      </c>
    </row>
    <row r="265" customFormat="false" ht="15" hidden="false" customHeight="false" outlineLevel="0" collapsed="false">
      <c r="A265" s="17" t="s">
        <v>1834</v>
      </c>
      <c r="B265" s="17" t="s">
        <v>1835</v>
      </c>
      <c r="C265" s="17" t="s">
        <v>1836</v>
      </c>
      <c r="D265" s="17" t="s">
        <v>81</v>
      </c>
      <c r="E265" s="18" t="n">
        <v>46150</v>
      </c>
      <c r="F265" s="17" t="s">
        <v>667</v>
      </c>
      <c r="G265" s="23" t="n">
        <v>1.82368364030336</v>
      </c>
      <c r="H265" s="19" t="n">
        <v>22.8</v>
      </c>
      <c r="I265" s="17" t="n">
        <f aca="false">IF(H265="","",RANK(H265,$H$5:$H$337))</f>
        <v>261</v>
      </c>
      <c r="J265" s="24" t="n">
        <v>-0.0189200680272109</v>
      </c>
      <c r="K265" s="19" t="n">
        <v>8.3</v>
      </c>
      <c r="L265" s="17" t="n">
        <f aca="false">IF(K265="","",RANK(K265,$K$5:$K$337))</f>
        <v>304</v>
      </c>
      <c r="M265" s="25" t="n">
        <v>0.201242612517048</v>
      </c>
      <c r="N265" s="19" t="n">
        <v>72</v>
      </c>
      <c r="O265" s="17" t="n">
        <f aca="false">IF(N265="","",RANK(N265,$N$5:$N$337))</f>
        <v>98</v>
      </c>
      <c r="P265" s="17" t="str">
        <f aca="false">IF(AND(N(H265)&gt;=N(K265),N(H265)&gt;=N(N265)),"The Pulse",IF(N(K265)&gt;=N(N265),"The Lens","The Hub"))</f>
        <v>The Hub</v>
      </c>
      <c r="Q265" s="21" t="s">
        <v>78</v>
      </c>
      <c r="R265" s="26" t="s">
        <v>668</v>
      </c>
      <c r="S265" s="17" t="s">
        <v>21</v>
      </c>
    </row>
    <row r="266" customFormat="false" ht="15" hidden="false" customHeight="false" outlineLevel="0" collapsed="false">
      <c r="A266" s="17" t="s">
        <v>323</v>
      </c>
      <c r="B266" s="17" t="s">
        <v>324</v>
      </c>
      <c r="C266" s="17" t="s">
        <v>1837</v>
      </c>
      <c r="D266" s="17" t="s">
        <v>105</v>
      </c>
      <c r="E266" s="18" t="n">
        <v>712210</v>
      </c>
      <c r="F266" s="17" t="s">
        <v>670</v>
      </c>
      <c r="G266" s="23" t="n">
        <v>1.82289633675461</v>
      </c>
      <c r="H266" s="19" t="n">
        <v>22.6</v>
      </c>
      <c r="I266" s="17" t="n">
        <f aca="false">IF(H266="","",RANK(H266,$H$5:$H$337))</f>
        <v>262</v>
      </c>
      <c r="J266" s="24" t="n">
        <v>0.0103702652858562</v>
      </c>
      <c r="K266" s="19" t="n">
        <v>14.6</v>
      </c>
      <c r="L266" s="17" t="n">
        <f aca="false">IF(K266="","",RANK(K266,$K$5:$K$337))</f>
        <v>286</v>
      </c>
      <c r="M266" s="25" t="n">
        <v>0.132850656139311</v>
      </c>
      <c r="N266" s="19" t="n">
        <v>49.2</v>
      </c>
      <c r="O266" s="17" t="n">
        <f aca="false">IF(N266="","",RANK(N266,$N$5:$N$337))</f>
        <v>169</v>
      </c>
      <c r="P266" s="17" t="str">
        <f aca="false">IF(AND(N(H266)&gt;=N(K266),N(H266)&gt;=N(N266)),"The Pulse",IF(N(K266)&gt;=N(N266),"The Lens","The Hub"))</f>
        <v>The Hub</v>
      </c>
      <c r="Q266" s="21" t="s">
        <v>78</v>
      </c>
      <c r="R266" s="27" t="s">
        <v>671</v>
      </c>
      <c r="S266" s="17" t="s">
        <v>21</v>
      </c>
    </row>
    <row r="267" customFormat="false" ht="15" hidden="false" customHeight="false" outlineLevel="0" collapsed="false">
      <c r="A267" s="17" t="s">
        <v>529</v>
      </c>
      <c r="B267" s="17" t="s">
        <v>530</v>
      </c>
      <c r="C267" s="17" t="s">
        <v>1838</v>
      </c>
      <c r="D267" s="17" t="s">
        <v>92</v>
      </c>
      <c r="E267" s="18" t="n">
        <v>33950</v>
      </c>
      <c r="F267" s="17" t="s">
        <v>667</v>
      </c>
      <c r="G267" s="23" t="n">
        <v>1.79726067746686</v>
      </c>
      <c r="H267" s="19" t="n">
        <v>22.4</v>
      </c>
      <c r="I267" s="17" t="n">
        <f aca="false">IF(H267="","",RANK(H267,$H$5:$H$337))</f>
        <v>263</v>
      </c>
      <c r="J267" s="24" t="n">
        <v>0.0553310537768107</v>
      </c>
      <c r="K267" s="19" t="n">
        <v>31.5</v>
      </c>
      <c r="L267" s="17" t="n">
        <f aca="false">IF(K267="","",RANK(K267,$K$5:$K$337))</f>
        <v>231</v>
      </c>
      <c r="M267" s="25" t="n">
        <v>0.252849303503588</v>
      </c>
      <c r="N267" s="19" t="n">
        <v>84.2</v>
      </c>
      <c r="O267" s="17" t="n">
        <f aca="false">IF(N267="","",RANK(N267,$N$5:$N$337))</f>
        <v>56</v>
      </c>
      <c r="P267" s="17" t="str">
        <f aca="false">IF(AND(N(H267)&gt;=N(K267),N(H267)&gt;=N(N267)),"The Pulse",IF(N(K267)&gt;=N(N267),"The Lens","The Hub"))</f>
        <v>The Hub</v>
      </c>
      <c r="Q267" s="21" t="s">
        <v>78</v>
      </c>
      <c r="R267" s="27" t="s">
        <v>671</v>
      </c>
      <c r="S267" s="17" t="s">
        <v>21</v>
      </c>
    </row>
    <row r="268" customFormat="false" ht="15" hidden="false" customHeight="false" outlineLevel="0" collapsed="false">
      <c r="A268" s="17" t="s">
        <v>1839</v>
      </c>
      <c r="B268" s="17" t="s">
        <v>1840</v>
      </c>
      <c r="C268" s="17" t="s">
        <v>1841</v>
      </c>
      <c r="D268" s="17" t="s">
        <v>138</v>
      </c>
      <c r="E268" s="18" t="n">
        <v>4380</v>
      </c>
      <c r="F268" s="17" t="s">
        <v>678</v>
      </c>
      <c r="G268" s="23" t="n">
        <v>1.79155251141553</v>
      </c>
      <c r="H268" s="19" t="n">
        <v>22.2</v>
      </c>
      <c r="I268" s="17" t="n">
        <f aca="false">IF(H268="","",RANK(H268,$H$5:$H$337))</f>
        <v>264</v>
      </c>
      <c r="J268" s="24" t="n">
        <v>0.11734693877551</v>
      </c>
      <c r="K268" s="19" t="n">
        <v>45.8</v>
      </c>
      <c r="L268" s="17" t="n">
        <f aca="false">IF(K268="","",RANK(K268,$K$5:$K$337))</f>
        <v>180</v>
      </c>
      <c r="M268" s="25" t="n">
        <v>0.175879396984925</v>
      </c>
      <c r="N268" s="19" t="n">
        <v>65.8</v>
      </c>
      <c r="O268" s="17" t="n">
        <f aca="false">IF(N268="","",RANK(N268,$N$5:$N$337))</f>
        <v>117</v>
      </c>
      <c r="P268" s="17" t="str">
        <f aca="false">IF(AND(N(H268)&gt;=N(K268),N(H268)&gt;=N(N268)),"The Pulse",IF(N(K268)&gt;=N(N268),"The Lens","The Hub"))</f>
        <v>The Hub</v>
      </c>
      <c r="Q268" s="21" t="s">
        <v>78</v>
      </c>
      <c r="R268" s="26" t="s">
        <v>668</v>
      </c>
      <c r="S268" s="17" t="s">
        <v>21</v>
      </c>
    </row>
    <row r="269" customFormat="false" ht="15" hidden="false" customHeight="false" outlineLevel="0" collapsed="false">
      <c r="A269" s="17" t="s">
        <v>1842</v>
      </c>
      <c r="B269" s="17" t="s">
        <v>1843</v>
      </c>
      <c r="C269" s="17" t="s">
        <v>1844</v>
      </c>
      <c r="D269" s="17" t="s">
        <v>114</v>
      </c>
      <c r="E269" s="18" t="n">
        <v>156410</v>
      </c>
      <c r="F269" s="17" t="s">
        <v>670</v>
      </c>
      <c r="G269" s="23" t="n">
        <v>1.77500159836328</v>
      </c>
      <c r="H269" s="19" t="n">
        <v>21.8</v>
      </c>
      <c r="I269" s="17" t="n">
        <f aca="false">IF(H269="","",RANK(H269,$H$5:$H$337))</f>
        <v>265</v>
      </c>
      <c r="J269" s="24" t="n">
        <v>0.0505776464266523</v>
      </c>
      <c r="K269" s="19" t="n">
        <v>31.8</v>
      </c>
      <c r="L269" s="17" t="n">
        <f aca="false">IF(K269="","",RANK(K269,$K$5:$K$337))</f>
        <v>230</v>
      </c>
      <c r="M269" s="25" t="n">
        <v>0.297917123437843</v>
      </c>
      <c r="N269" s="19" t="n">
        <v>90.9</v>
      </c>
      <c r="O269" s="17" t="n">
        <f aca="false">IF(N269="","",RANK(N269,$N$5:$N$337))</f>
        <v>35</v>
      </c>
      <c r="P269" s="17" t="str">
        <f aca="false">IF(AND(N(H269)&gt;=N(K269),N(H269)&gt;=N(N269)),"The Pulse",IF(N(K269)&gt;=N(N269),"The Lens","The Hub"))</f>
        <v>The Hub</v>
      </c>
      <c r="Q269" s="21" t="s">
        <v>78</v>
      </c>
      <c r="R269" s="26" t="s">
        <v>668</v>
      </c>
      <c r="S269" s="17" t="s">
        <v>21</v>
      </c>
    </row>
    <row r="270" customFormat="false" ht="15" hidden="false" customHeight="false" outlineLevel="0" collapsed="false">
      <c r="A270" s="17" t="s">
        <v>1845</v>
      </c>
      <c r="B270" s="17" t="s">
        <v>1846</v>
      </c>
      <c r="C270" s="17" t="s">
        <v>1847</v>
      </c>
      <c r="D270" s="17" t="s">
        <v>105</v>
      </c>
      <c r="E270" s="18" t="n">
        <v>301450</v>
      </c>
      <c r="F270" s="17" t="s">
        <v>670</v>
      </c>
      <c r="G270" s="23" t="n">
        <v>1.77077127218444</v>
      </c>
      <c r="H270" s="19" t="n">
        <v>21.6</v>
      </c>
      <c r="I270" s="17" t="n">
        <f aca="false">IF(H270="","",RANK(H270,$H$5:$H$337))</f>
        <v>266</v>
      </c>
      <c r="J270" s="24" t="n">
        <v>0.167867658453433</v>
      </c>
      <c r="K270" s="19" t="n">
        <v>89.4</v>
      </c>
      <c r="L270" s="17" t="n">
        <f aca="false">IF(K270="","",RANK(K270,$K$5:$K$337))</f>
        <v>33</v>
      </c>
      <c r="M270" s="25" t="n">
        <v>0.274629434828345</v>
      </c>
      <c r="N270" s="19" t="n">
        <v>86.5</v>
      </c>
      <c r="O270" s="17" t="n">
        <f aca="false">IF(N270="","",RANK(N270,$N$5:$N$337))</f>
        <v>49</v>
      </c>
      <c r="P270" s="17" t="str">
        <f aca="false">IF(AND(N(H270)&gt;=N(K270),N(H270)&gt;=N(N270)),"The Pulse",IF(N(K270)&gt;=N(N270),"The Lens","The Hub"))</f>
        <v>The Lens</v>
      </c>
      <c r="Q270" s="21" t="s">
        <v>78</v>
      </c>
      <c r="R270" s="26" t="s">
        <v>668</v>
      </c>
      <c r="S270" s="17" t="s">
        <v>21</v>
      </c>
    </row>
    <row r="271" customFormat="false" ht="15" hidden="false" customHeight="false" outlineLevel="0" collapsed="false">
      <c r="A271" s="17" t="s">
        <v>1848</v>
      </c>
      <c r="B271" s="17" t="s">
        <v>1849</v>
      </c>
      <c r="C271" s="17" t="s">
        <v>1850</v>
      </c>
      <c r="D271" s="17" t="s">
        <v>92</v>
      </c>
      <c r="E271" s="18" t="n">
        <v>12529</v>
      </c>
      <c r="F271" s="17" t="s">
        <v>667</v>
      </c>
      <c r="G271" s="23" t="n">
        <v>1.7568840290526</v>
      </c>
      <c r="H271" s="19" t="n">
        <v>21.4</v>
      </c>
      <c r="I271" s="17" t="n">
        <f aca="false">IF(H271="","",RANK(H271,$H$5:$H$337))</f>
        <v>267</v>
      </c>
      <c r="J271" s="24" t="n">
        <v>0.110333215171925</v>
      </c>
      <c r="K271" s="19" t="n">
        <v>59.8</v>
      </c>
      <c r="L271" s="17" t="n">
        <f aca="false">IF(K271="","",RANK(K271,$K$5:$K$337))</f>
        <v>130</v>
      </c>
      <c r="M271" s="25" t="n">
        <v>0.15203426124197</v>
      </c>
      <c r="N271" s="19" t="n">
        <v>57.8</v>
      </c>
      <c r="O271" s="17" t="n">
        <f aca="false">IF(N271="","",RANK(N271,$N$5:$N$337))</f>
        <v>142</v>
      </c>
      <c r="P271" s="17" t="str">
        <f aca="false">IF(AND(N(H271)&gt;=N(K271),N(H271)&gt;=N(N271)),"The Pulse",IF(N(K271)&gt;=N(N271),"The Lens","The Hub"))</f>
        <v>The Lens</v>
      </c>
      <c r="Q271" s="20" t="s">
        <v>74</v>
      </c>
      <c r="R271" s="26" t="s">
        <v>668</v>
      </c>
      <c r="S271" s="17" t="s">
        <v>19</v>
      </c>
    </row>
    <row r="272" customFormat="false" ht="15" hidden="false" customHeight="false" outlineLevel="0" collapsed="false">
      <c r="A272" s="17" t="s">
        <v>549</v>
      </c>
      <c r="B272" s="17" t="s">
        <v>550</v>
      </c>
      <c r="C272" s="17" t="s">
        <v>1851</v>
      </c>
      <c r="D272" s="17" t="s">
        <v>114</v>
      </c>
      <c r="E272" s="18" t="n">
        <v>75280</v>
      </c>
      <c r="F272" s="17" t="s">
        <v>667</v>
      </c>
      <c r="G272" s="23" t="n">
        <v>1.75417109458023</v>
      </c>
      <c r="H272" s="19" t="n">
        <v>21.1</v>
      </c>
      <c r="I272" s="17" t="n">
        <f aca="false">IF(H272="","",RANK(H272,$H$5:$H$337))</f>
        <v>268</v>
      </c>
      <c r="J272" s="24" t="n">
        <v>0.146163215590743</v>
      </c>
      <c r="K272" s="19" t="n">
        <v>78</v>
      </c>
      <c r="L272" s="17" t="n">
        <f aca="false">IF(K272="","",RANK(K272,$K$5:$K$337))</f>
        <v>74</v>
      </c>
      <c r="M272" s="25" t="n">
        <v>0.280728709394206</v>
      </c>
      <c r="N272" s="19" t="n">
        <v>87.8</v>
      </c>
      <c r="O272" s="17" t="n">
        <f aca="false">IF(N272="","",RANK(N272,$N$5:$N$337))</f>
        <v>44</v>
      </c>
      <c r="P272" s="17" t="str">
        <f aca="false">IF(AND(N(H272)&gt;=N(K272),N(H272)&gt;=N(N272)),"The Pulse",IF(N(K272)&gt;=N(N272),"The Lens","The Hub"))</f>
        <v>The Hub</v>
      </c>
      <c r="Q272" s="21" t="s">
        <v>78</v>
      </c>
      <c r="R272" s="27" t="s">
        <v>671</v>
      </c>
      <c r="S272" s="17" t="s">
        <v>21</v>
      </c>
    </row>
    <row r="273" customFormat="false" ht="15" hidden="false" customHeight="false" outlineLevel="0" collapsed="false">
      <c r="A273" s="17" t="s">
        <v>503</v>
      </c>
      <c r="B273" s="17" t="s">
        <v>504</v>
      </c>
      <c r="C273" s="17" t="s">
        <v>1852</v>
      </c>
      <c r="D273" s="17" t="s">
        <v>77</v>
      </c>
      <c r="E273" s="18" t="n">
        <v>66830</v>
      </c>
      <c r="F273" s="17" t="s">
        <v>667</v>
      </c>
      <c r="G273" s="23" t="n">
        <v>1.75139907227293</v>
      </c>
      <c r="H273" s="19" t="n">
        <v>20.9</v>
      </c>
      <c r="I273" s="17" t="n">
        <f aca="false">IF(H273="","",RANK(H273,$H$5:$H$337))</f>
        <v>269</v>
      </c>
      <c r="J273" s="24" t="n">
        <v>0.0276795325234507</v>
      </c>
      <c r="K273" s="19" t="n">
        <v>19.5</v>
      </c>
      <c r="L273" s="17" t="n">
        <f aca="false">IF(K273="","",RANK(K273,$K$5:$K$337))</f>
        <v>269</v>
      </c>
      <c r="M273" s="25" t="n">
        <v>0.0850267834367826</v>
      </c>
      <c r="N273" s="19" t="n">
        <v>26.2</v>
      </c>
      <c r="O273" s="17" t="n">
        <f aca="false">IF(N273="","",RANK(N273,$N$5:$N$337))</f>
        <v>247</v>
      </c>
      <c r="P273" s="17" t="str">
        <f aca="false">IF(AND(N(H273)&gt;=N(K273),N(H273)&gt;=N(N273)),"The Pulse",IF(N(K273)&gt;=N(N273),"The Lens","The Hub"))</f>
        <v>The Hub</v>
      </c>
      <c r="Q273" s="21" t="s">
        <v>78</v>
      </c>
      <c r="R273" s="27" t="s">
        <v>671</v>
      </c>
      <c r="S273" s="17" t="s">
        <v>21</v>
      </c>
    </row>
    <row r="274" customFormat="false" ht="15" hidden="false" customHeight="false" outlineLevel="0" collapsed="false">
      <c r="A274" s="17" t="s">
        <v>621</v>
      </c>
      <c r="B274" s="17" t="s">
        <v>622</v>
      </c>
      <c r="C274" s="17" t="s">
        <v>1853</v>
      </c>
      <c r="D274" s="17" t="s">
        <v>72</v>
      </c>
      <c r="E274" s="18" t="n">
        <v>152533</v>
      </c>
      <c r="F274" s="17" t="s">
        <v>670</v>
      </c>
      <c r="G274" s="23" t="n">
        <v>1.73243167052376</v>
      </c>
      <c r="H274" s="19" t="n">
        <v>20.5</v>
      </c>
      <c r="I274" s="17" t="n">
        <f aca="false">IF(H274="","",RANK(H274,$H$5:$H$337))</f>
        <v>270</v>
      </c>
      <c r="J274" s="24" t="n">
        <v>0.0886427383611799</v>
      </c>
      <c r="K274" s="19" t="n">
        <v>54.3</v>
      </c>
      <c r="L274" s="17" t="n">
        <f aca="false">IF(K274="","",RANK(K274,$K$5:$K$337))</f>
        <v>149</v>
      </c>
      <c r="M274" s="25" t="n">
        <v>0.100235685567725</v>
      </c>
      <c r="N274" s="19" t="n">
        <v>32.6</v>
      </c>
      <c r="O274" s="17" t="n">
        <f aca="false">IF(N274="","",RANK(N274,$N$5:$N$337))</f>
        <v>223</v>
      </c>
      <c r="P274" s="17" t="str">
        <f aca="false">IF(AND(N(H274)&gt;=N(K274),N(H274)&gt;=N(N274)),"The Pulse",IF(N(K274)&gt;=N(N274),"The Lens","The Hub"))</f>
        <v>The Lens</v>
      </c>
      <c r="Q274" s="20" t="s">
        <v>74</v>
      </c>
      <c r="R274" s="27" t="s">
        <v>671</v>
      </c>
      <c r="S274" s="17" t="s">
        <v>19</v>
      </c>
    </row>
    <row r="275" customFormat="false" ht="15" hidden="false" customHeight="false" outlineLevel="0" collapsed="false">
      <c r="A275" s="17" t="s">
        <v>706</v>
      </c>
      <c r="B275" s="17" t="s">
        <v>707</v>
      </c>
      <c r="C275" s="17" t="s">
        <v>1854</v>
      </c>
      <c r="D275" s="17" t="s">
        <v>114</v>
      </c>
      <c r="E275" s="18" t="n">
        <v>114110</v>
      </c>
      <c r="F275" s="17" t="s">
        <v>670</v>
      </c>
      <c r="G275" s="23" t="n">
        <v>1.71765839978968</v>
      </c>
      <c r="H275" s="19" t="n">
        <v>20.1</v>
      </c>
      <c r="I275" s="17" t="n">
        <f aca="false">IF(H275="","",RANK(H275,$H$5:$H$337))</f>
        <v>271</v>
      </c>
      <c r="J275" s="24" t="n">
        <v>0.0690462806820311</v>
      </c>
      <c r="K275" s="19" t="n">
        <v>41.7</v>
      </c>
      <c r="L275" s="17" t="n">
        <f aca="false">IF(K275="","",RANK(K275,$K$5:$K$337))</f>
        <v>193</v>
      </c>
      <c r="M275" s="25" t="n">
        <v>0.0923649202446252</v>
      </c>
      <c r="N275" s="19" t="n">
        <v>28.8</v>
      </c>
      <c r="O275" s="17" t="n">
        <f aca="false">IF(N275="","",RANK(N275,$N$5:$N$337))</f>
        <v>238</v>
      </c>
      <c r="P275" s="17" t="str">
        <f aca="false">IF(AND(N(H275)&gt;=N(K275),N(H275)&gt;=N(N275)),"The Pulse",IF(N(K275)&gt;=N(N275),"The Lens","The Hub"))</f>
        <v>The Lens</v>
      </c>
      <c r="Q275" s="21" t="s">
        <v>78</v>
      </c>
      <c r="R275" s="26" t="s">
        <v>668</v>
      </c>
      <c r="S275" s="17" t="s">
        <v>21</v>
      </c>
    </row>
    <row r="276" customFormat="false" ht="15" hidden="false" customHeight="false" outlineLevel="0" collapsed="false">
      <c r="A276" s="17" t="s">
        <v>1855</v>
      </c>
      <c r="B276" s="17" t="s">
        <v>1856</v>
      </c>
      <c r="C276" s="17" t="s">
        <v>1857</v>
      </c>
      <c r="D276" s="17" t="s">
        <v>72</v>
      </c>
      <c r="E276" s="18" t="n">
        <v>24920</v>
      </c>
      <c r="F276" s="17" t="s">
        <v>667</v>
      </c>
      <c r="G276" s="23" t="n">
        <v>1.71416532905297</v>
      </c>
      <c r="H276" s="19" t="n">
        <v>19.9</v>
      </c>
      <c r="I276" s="17" t="n">
        <f aca="false">IF(H276="","",RANK(H276,$H$5:$H$337))</f>
        <v>272</v>
      </c>
      <c r="J276" s="24" t="n">
        <v>0.0939420544337138</v>
      </c>
      <c r="K276" s="19" t="n">
        <v>52.7</v>
      </c>
      <c r="L276" s="17" t="n">
        <f aca="false">IF(K276="","",RANK(K276,$K$5:$K$337))</f>
        <v>155</v>
      </c>
      <c r="M276" s="25" t="n">
        <v>0.0982085732565579</v>
      </c>
      <c r="N276" s="19" t="n">
        <v>31.9</v>
      </c>
      <c r="O276" s="17" t="n">
        <f aca="false">IF(N276="","",RANK(N276,$N$5:$N$337))</f>
        <v>226</v>
      </c>
      <c r="P276" s="17" t="str">
        <f aca="false">IF(AND(N(H276)&gt;=N(K276),N(H276)&gt;=N(N276)),"The Pulse",IF(N(K276)&gt;=N(N276),"The Lens","The Hub"))</f>
        <v>The Lens</v>
      </c>
      <c r="Q276" s="21" t="s">
        <v>78</v>
      </c>
      <c r="R276" s="26" t="s">
        <v>668</v>
      </c>
      <c r="S276" s="17" t="s">
        <v>21</v>
      </c>
    </row>
    <row r="277" customFormat="false" ht="15" hidden="false" customHeight="false" outlineLevel="0" collapsed="false">
      <c r="A277" s="17" t="s">
        <v>1858</v>
      </c>
      <c r="B277" s="17" t="s">
        <v>1859</v>
      </c>
      <c r="C277" s="17" t="s">
        <v>1860</v>
      </c>
      <c r="D277" s="17" t="s">
        <v>92</v>
      </c>
      <c r="E277" s="18" t="n">
        <v>99652</v>
      </c>
      <c r="F277" s="17" t="s">
        <v>667</v>
      </c>
      <c r="G277" s="23" t="n">
        <v>1.70839521534942</v>
      </c>
      <c r="H277" s="19" t="n">
        <v>19.7</v>
      </c>
      <c r="I277" s="17" t="n">
        <f aca="false">IF(H277="","",RANK(H277,$H$5:$H$337))</f>
        <v>273</v>
      </c>
      <c r="J277" s="24" t="n">
        <v>0.0318933024064946</v>
      </c>
      <c r="K277" s="19" t="n">
        <v>21.6</v>
      </c>
      <c r="L277" s="17" t="n">
        <f aca="false">IF(K277="","",RANK(K277,$K$5:$K$337))</f>
        <v>261</v>
      </c>
      <c r="M277" s="25" t="n">
        <v>0.0145736434108527</v>
      </c>
      <c r="N277" s="19" t="n">
        <v>2.8</v>
      </c>
      <c r="O277" s="17" t="n">
        <f aca="false">IF(N277="","",RANK(N277,$N$5:$N$337))</f>
        <v>324</v>
      </c>
      <c r="P277" s="17" t="str">
        <f aca="false">IF(AND(N(H277)&gt;=N(K277),N(H277)&gt;=N(N277)),"The Pulse",IF(N(K277)&gt;=N(N277),"The Lens","The Hub"))</f>
        <v>The Lens</v>
      </c>
      <c r="Q277" s="20" t="s">
        <v>74</v>
      </c>
      <c r="R277" s="26" t="s">
        <v>668</v>
      </c>
      <c r="S277" s="17" t="s">
        <v>19</v>
      </c>
    </row>
    <row r="278" customFormat="false" ht="15" hidden="false" customHeight="false" outlineLevel="0" collapsed="false">
      <c r="A278" s="17" t="s">
        <v>369</v>
      </c>
      <c r="B278" s="17" t="s">
        <v>370</v>
      </c>
      <c r="C278" s="17" t="s">
        <v>1861</v>
      </c>
      <c r="D278" s="17" t="s">
        <v>81</v>
      </c>
      <c r="E278" s="18" t="n">
        <v>8120</v>
      </c>
      <c r="F278" s="17" t="s">
        <v>678</v>
      </c>
      <c r="G278" s="23" t="n">
        <v>1.7006157635468</v>
      </c>
      <c r="H278" s="19" t="n">
        <v>19.5</v>
      </c>
      <c r="I278" s="17" t="n">
        <f aca="false">IF(H278="","",RANK(H278,$H$5:$H$337))</f>
        <v>274</v>
      </c>
      <c r="J278" s="24" t="n">
        <v>0.153409090909091</v>
      </c>
      <c r="K278" s="19" t="n">
        <v>75</v>
      </c>
      <c r="L278" s="17" t="n">
        <f aca="false">IF(K278="","",RANK(K278,$K$5:$K$337))</f>
        <v>83</v>
      </c>
      <c r="M278" s="25" t="n">
        <v>0.249701314217443</v>
      </c>
      <c r="N278" s="19" t="n">
        <v>82.6</v>
      </c>
      <c r="O278" s="17" t="n">
        <f aca="false">IF(N278="","",RANK(N278,$N$5:$N$337))</f>
        <v>61</v>
      </c>
      <c r="P278" s="17" t="str">
        <f aca="false">IF(AND(N(H278)&gt;=N(K278),N(H278)&gt;=N(N278)),"The Pulse",IF(N(K278)&gt;=N(N278),"The Lens","The Hub"))</f>
        <v>The Hub</v>
      </c>
      <c r="Q278" s="21" t="s">
        <v>78</v>
      </c>
      <c r="R278" s="27" t="s">
        <v>671</v>
      </c>
      <c r="S278" s="17" t="s">
        <v>21</v>
      </c>
    </row>
    <row r="279" customFormat="false" ht="15" hidden="false" customHeight="false" outlineLevel="0" collapsed="false">
      <c r="A279" s="17" t="s">
        <v>349</v>
      </c>
      <c r="B279" s="17" t="s">
        <v>350</v>
      </c>
      <c r="C279" s="17" t="s">
        <v>1862</v>
      </c>
      <c r="D279" s="17" t="s">
        <v>81</v>
      </c>
      <c r="E279" s="18" t="n">
        <v>65140</v>
      </c>
      <c r="F279" s="17" t="s">
        <v>667</v>
      </c>
      <c r="G279" s="23" t="n">
        <v>1.66777709548664</v>
      </c>
      <c r="H279" s="19" t="n">
        <v>19</v>
      </c>
      <c r="I279" s="17" t="n">
        <f aca="false">IF(H279="","",RANK(H279,$H$5:$H$337))</f>
        <v>275</v>
      </c>
      <c r="J279" s="24" t="n">
        <v>0.166547277936963</v>
      </c>
      <c r="K279" s="19" t="n">
        <v>84.6</v>
      </c>
      <c r="L279" s="17" t="n">
        <f aca="false">IF(K279="","",RANK(K279,$K$5:$K$337))</f>
        <v>51</v>
      </c>
      <c r="M279" s="25" t="n">
        <v>0.054954954954955</v>
      </c>
      <c r="N279" s="19" t="n">
        <v>15.8</v>
      </c>
      <c r="O279" s="17" t="n">
        <f aca="false">IF(N279="","",RANK(N279,$N$5:$N$337))</f>
        <v>282</v>
      </c>
      <c r="P279" s="17" t="str">
        <f aca="false">IF(AND(N(H279)&gt;=N(K279),N(H279)&gt;=N(N279)),"The Pulse",IF(N(K279)&gt;=N(N279),"The Lens","The Hub"))</f>
        <v>The Lens</v>
      </c>
      <c r="Q279" s="21" t="s">
        <v>78</v>
      </c>
      <c r="R279" s="27" t="s">
        <v>671</v>
      </c>
      <c r="S279" s="17" t="s">
        <v>21</v>
      </c>
    </row>
    <row r="280" customFormat="false" ht="15" hidden="false" customHeight="false" outlineLevel="0" collapsed="false">
      <c r="A280" s="17" t="s">
        <v>1863</v>
      </c>
      <c r="B280" s="17" t="s">
        <v>1864</v>
      </c>
      <c r="C280" s="17" t="s">
        <v>1865</v>
      </c>
      <c r="D280" s="17" t="s">
        <v>77</v>
      </c>
      <c r="E280" s="18" t="n">
        <v>46850</v>
      </c>
      <c r="F280" s="17" t="s">
        <v>667</v>
      </c>
      <c r="G280" s="23" t="n">
        <v>1.64473852721451</v>
      </c>
      <c r="H280" s="19" t="n">
        <v>18.8</v>
      </c>
      <c r="I280" s="17" t="n">
        <f aca="false">IF(H280="","",RANK(H280,$H$5:$H$337))</f>
        <v>276</v>
      </c>
      <c r="J280" s="24" t="n">
        <v>0.0249398381098228</v>
      </c>
      <c r="K280" s="19" t="n">
        <v>18.3</v>
      </c>
      <c r="L280" s="17" t="n">
        <f aca="false">IF(K280="","",RANK(K280,$K$5:$K$337))</f>
        <v>274</v>
      </c>
      <c r="M280" s="25" t="n">
        <v>0.123023915687069</v>
      </c>
      <c r="N280" s="19" t="n">
        <v>45.1</v>
      </c>
      <c r="O280" s="17" t="n">
        <f aca="false">IF(N280="","",RANK(N280,$N$5:$N$337))</f>
        <v>181</v>
      </c>
      <c r="P280" s="17" t="str">
        <f aca="false">IF(AND(N(H280)&gt;=N(K280),N(H280)&gt;=N(N280)),"The Pulse",IF(N(K280)&gt;=N(N280),"The Lens","The Hub"))</f>
        <v>The Hub</v>
      </c>
      <c r="Q280" s="21" t="s">
        <v>78</v>
      </c>
      <c r="R280" s="26" t="s">
        <v>668</v>
      </c>
      <c r="S280" s="17" t="s">
        <v>21</v>
      </c>
    </row>
    <row r="281" customFormat="false" ht="15" hidden="false" customHeight="false" outlineLevel="0" collapsed="false">
      <c r="A281" s="17" t="s">
        <v>311</v>
      </c>
      <c r="B281" s="17" t="s">
        <v>312</v>
      </c>
      <c r="C281" s="17" t="s">
        <v>1866</v>
      </c>
      <c r="D281" s="17" t="s">
        <v>114</v>
      </c>
      <c r="E281" s="18" t="n">
        <v>195969</v>
      </c>
      <c r="F281" s="17" t="s">
        <v>670</v>
      </c>
      <c r="G281" s="23" t="n">
        <v>1.63819277538794</v>
      </c>
      <c r="H281" s="19" t="n">
        <v>18.6</v>
      </c>
      <c r="I281" s="17" t="n">
        <f aca="false">IF(H281="","",RANK(H281,$H$5:$H$337))</f>
        <v>277</v>
      </c>
      <c r="J281" s="24" t="n">
        <v>0.0617425083842165</v>
      </c>
      <c r="K281" s="19" t="n">
        <v>36.4</v>
      </c>
      <c r="L281" s="17" t="n">
        <f aca="false">IF(K281="","",RANK(K281,$K$5:$K$337))</f>
        <v>213</v>
      </c>
      <c r="M281" s="25" t="n">
        <v>0.330246660657215</v>
      </c>
      <c r="N281" s="19" t="n">
        <v>94.8</v>
      </c>
      <c r="O281" s="17" t="n">
        <f aca="false">IF(N281="","",RANK(N281,$N$5:$N$337))</f>
        <v>20</v>
      </c>
      <c r="P281" s="17" t="str">
        <f aca="false">IF(AND(N(H281)&gt;=N(K281),N(H281)&gt;=N(N281)),"The Pulse",IF(N(K281)&gt;=N(N281),"The Lens","The Hub"))</f>
        <v>The Hub</v>
      </c>
      <c r="Q281" s="20" t="s">
        <v>74</v>
      </c>
      <c r="R281" s="27" t="s">
        <v>671</v>
      </c>
      <c r="S281" s="17" t="s">
        <v>19</v>
      </c>
    </row>
    <row r="282" customFormat="false" ht="15" hidden="false" customHeight="false" outlineLevel="0" collapsed="false">
      <c r="A282" s="17" t="s">
        <v>463</v>
      </c>
      <c r="B282" s="17" t="s">
        <v>464</v>
      </c>
      <c r="C282" s="17" t="s">
        <v>1867</v>
      </c>
      <c r="D282" s="17" t="s">
        <v>92</v>
      </c>
      <c r="E282" s="18" t="n">
        <v>157120</v>
      </c>
      <c r="F282" s="17" t="s">
        <v>670</v>
      </c>
      <c r="G282" s="23" t="n">
        <v>1.62914969450102</v>
      </c>
      <c r="H282" s="19" t="n">
        <v>18.4</v>
      </c>
      <c r="I282" s="17" t="n">
        <f aca="false">IF(H282="","",RANK(H282,$H$5:$H$337))</f>
        <v>278</v>
      </c>
      <c r="J282" s="24" t="n">
        <v>0.179225457820474</v>
      </c>
      <c r="K282" s="19" t="n">
        <v>92.1</v>
      </c>
      <c r="L282" s="17" t="n">
        <f aca="false">IF(K282="","",RANK(K282,$K$5:$K$337))</f>
        <v>25</v>
      </c>
      <c r="M282" s="25" t="n">
        <v>0.204238534563444</v>
      </c>
      <c r="N282" s="19" t="n">
        <v>72.5</v>
      </c>
      <c r="O282" s="17" t="n">
        <f aca="false">IF(N282="","",RANK(N282,$N$5:$N$337))</f>
        <v>96</v>
      </c>
      <c r="P282" s="17" t="str">
        <f aca="false">IF(AND(N(H282)&gt;=N(K282),N(H282)&gt;=N(N282)),"The Pulse",IF(N(K282)&gt;=N(N282),"The Lens","The Hub"))</f>
        <v>The Lens</v>
      </c>
      <c r="Q282" s="21" t="s">
        <v>78</v>
      </c>
      <c r="R282" s="27" t="s">
        <v>671</v>
      </c>
      <c r="S282" s="17" t="s">
        <v>21</v>
      </c>
    </row>
    <row r="283" customFormat="false" ht="15" hidden="false" customHeight="false" outlineLevel="0" collapsed="false">
      <c r="A283" s="17" t="s">
        <v>395</v>
      </c>
      <c r="B283" s="17" t="s">
        <v>396</v>
      </c>
      <c r="C283" s="17" t="s">
        <v>1868</v>
      </c>
      <c r="D283" s="17" t="s">
        <v>105</v>
      </c>
      <c r="E283" s="18" t="n">
        <v>115600</v>
      </c>
      <c r="F283" s="17" t="s">
        <v>670</v>
      </c>
      <c r="G283" s="23" t="n">
        <v>1.61793252595156</v>
      </c>
      <c r="H283" s="19" t="n">
        <v>18</v>
      </c>
      <c r="I283" s="17" t="n">
        <f aca="false">IF(H283="","",RANK(H283,$H$5:$H$337))</f>
        <v>279</v>
      </c>
      <c r="J283" s="24" t="n">
        <v>0.0559970768247008</v>
      </c>
      <c r="K283" s="19" t="n">
        <v>33.8</v>
      </c>
      <c r="L283" s="17" t="n">
        <f aca="false">IF(K283="","",RANK(K283,$K$5:$K$337))</f>
        <v>224</v>
      </c>
      <c r="M283" s="25" t="n">
        <v>0.168294849023091</v>
      </c>
      <c r="N283" s="19" t="n">
        <v>63</v>
      </c>
      <c r="O283" s="17" t="n">
        <f aca="false">IF(N283="","",RANK(N283,$N$5:$N$337))</f>
        <v>126</v>
      </c>
      <c r="P283" s="17" t="str">
        <f aca="false">IF(AND(N(H283)&gt;=N(K283),N(H283)&gt;=N(N283)),"The Pulse",IF(N(K283)&gt;=N(N283),"The Lens","The Hub"))</f>
        <v>The Hub</v>
      </c>
      <c r="Q283" s="21" t="s">
        <v>78</v>
      </c>
      <c r="R283" s="27" t="s">
        <v>671</v>
      </c>
      <c r="S283" s="17" t="s">
        <v>21</v>
      </c>
    </row>
    <row r="284" customFormat="false" ht="15" hidden="false" customHeight="false" outlineLevel="0" collapsed="false">
      <c r="A284" s="17" t="s">
        <v>455</v>
      </c>
      <c r="B284" s="17" t="s">
        <v>456</v>
      </c>
      <c r="C284" s="17" t="s">
        <v>1869</v>
      </c>
      <c r="D284" s="17" t="s">
        <v>87</v>
      </c>
      <c r="E284" s="18" t="n">
        <v>1060</v>
      </c>
      <c r="F284" s="17" t="s">
        <v>678</v>
      </c>
      <c r="G284" s="23" t="n">
        <v>1.61603773584906</v>
      </c>
      <c r="H284" s="19" t="n">
        <v>17.8</v>
      </c>
      <c r="I284" s="17" t="n">
        <f aca="false">IF(H284="","",RANK(H284,$H$5:$H$337))</f>
        <v>280</v>
      </c>
      <c r="J284" s="24" t="n">
        <v>0.118143459915612</v>
      </c>
      <c r="K284" s="19" t="n">
        <v>47.9</v>
      </c>
      <c r="L284" s="17" t="n">
        <f aca="false">IF(K284="","",RANK(K284,$K$5:$K$337))</f>
        <v>174</v>
      </c>
      <c r="M284" s="25" t="n">
        <v>0.2</v>
      </c>
      <c r="N284" s="19" t="n">
        <v>71.2</v>
      </c>
      <c r="O284" s="17" t="n">
        <f aca="false">IF(N284="","",RANK(N284,$N$5:$N$337))</f>
        <v>101</v>
      </c>
      <c r="P284" s="17" t="str">
        <f aca="false">IF(AND(N(H284)&gt;=N(K284),N(H284)&gt;=N(N284)),"The Pulse",IF(N(K284)&gt;=N(N284),"The Lens","The Hub"))</f>
        <v>The Hub</v>
      </c>
      <c r="Q284" s="20" t="s">
        <v>74</v>
      </c>
      <c r="R284" s="27" t="s">
        <v>671</v>
      </c>
      <c r="S284" s="17" t="s">
        <v>19</v>
      </c>
    </row>
    <row r="285" customFormat="false" ht="15" hidden="false" customHeight="false" outlineLevel="0" collapsed="false">
      <c r="A285" s="17" t="s">
        <v>1870</v>
      </c>
      <c r="B285" s="17" t="s">
        <v>1871</v>
      </c>
      <c r="C285" s="17" t="s">
        <v>1872</v>
      </c>
      <c r="D285" s="17" t="s">
        <v>138</v>
      </c>
      <c r="E285" s="18" t="n">
        <v>1823792</v>
      </c>
      <c r="F285" s="17" t="s">
        <v>752</v>
      </c>
      <c r="G285" s="23" t="n">
        <v>1.60834345397134</v>
      </c>
      <c r="H285" s="19" t="n">
        <v>17.5</v>
      </c>
      <c r="I285" s="17" t="n">
        <f aca="false">IF(H285="","",RANK(H285,$H$5:$H$337))</f>
        <v>281</v>
      </c>
      <c r="J285" s="24" t="n">
        <v>0.150798994198024</v>
      </c>
      <c r="K285" s="19" t="n">
        <v>87.5</v>
      </c>
      <c r="L285" s="17" t="n">
        <f aca="false">IF(K285="","",RANK(K285,$K$5:$K$337))</f>
        <v>40</v>
      </c>
      <c r="M285" s="25" t="n">
        <v>0.154263624080468</v>
      </c>
      <c r="N285" s="19" t="n">
        <v>58.8</v>
      </c>
      <c r="O285" s="17" t="n">
        <f aca="false">IF(N285="","",RANK(N285,$N$5:$N$337))</f>
        <v>138</v>
      </c>
      <c r="P285" s="17" t="str">
        <f aca="false">IF(AND(N(H285)&gt;=N(K285),N(H285)&gt;=N(N285)),"The Pulse",IF(N(K285)&gt;=N(N285),"The Lens","The Hub"))</f>
        <v>The Lens</v>
      </c>
      <c r="Q285" s="21" t="s">
        <v>78</v>
      </c>
      <c r="R285" s="26" t="s">
        <v>668</v>
      </c>
      <c r="S285" s="17" t="s">
        <v>126</v>
      </c>
    </row>
    <row r="286" customFormat="false" ht="15" hidden="false" customHeight="false" outlineLevel="0" collapsed="false">
      <c r="A286" s="17" t="s">
        <v>419</v>
      </c>
      <c r="B286" s="17" t="s">
        <v>420</v>
      </c>
      <c r="C286" s="17" t="s">
        <v>1873</v>
      </c>
      <c r="D286" s="17" t="s">
        <v>87</v>
      </c>
      <c r="E286" s="18" t="n">
        <v>181930</v>
      </c>
      <c r="F286" s="17" t="s">
        <v>670</v>
      </c>
      <c r="G286" s="23" t="n">
        <v>1.59947232452042</v>
      </c>
      <c r="H286" s="19" t="n">
        <v>17.3</v>
      </c>
      <c r="I286" s="17" t="n">
        <f aca="false">IF(H286="","",RANK(H286,$H$5:$H$337))</f>
        <v>282</v>
      </c>
      <c r="J286" s="24" t="n">
        <v>0.165694880502339</v>
      </c>
      <c r="K286" s="19" t="n">
        <v>88.1</v>
      </c>
      <c r="L286" s="17" t="n">
        <f aca="false">IF(K286="","",RANK(K286,$K$5:$K$337))</f>
        <v>37</v>
      </c>
      <c r="M286" s="25" t="n">
        <v>0.354728319839746</v>
      </c>
      <c r="N286" s="19" t="n">
        <v>96.1</v>
      </c>
      <c r="O286" s="17" t="n">
        <f aca="false">IF(N286="","",RANK(N286,$N$5:$N$337))</f>
        <v>15</v>
      </c>
      <c r="P286" s="17" t="str">
        <f aca="false">IF(AND(N(H286)&gt;=N(K286),N(H286)&gt;=N(N286)),"The Pulse",IF(N(K286)&gt;=N(N286),"The Lens","The Hub"))</f>
        <v>The Hub</v>
      </c>
      <c r="Q286" s="21" t="s">
        <v>78</v>
      </c>
      <c r="R286" s="27" t="s">
        <v>671</v>
      </c>
      <c r="S286" s="17" t="s">
        <v>21</v>
      </c>
    </row>
    <row r="287" customFormat="false" ht="15" hidden="false" customHeight="false" outlineLevel="0" collapsed="false">
      <c r="A287" s="17" t="s">
        <v>1874</v>
      </c>
      <c r="B287" s="17" t="s">
        <v>1875</v>
      </c>
      <c r="C287" s="17" t="s">
        <v>1876</v>
      </c>
      <c r="D287" s="17" t="s">
        <v>92</v>
      </c>
      <c r="E287" s="18" t="n">
        <v>59790</v>
      </c>
      <c r="F287" s="17" t="s">
        <v>667</v>
      </c>
      <c r="G287" s="23" t="n">
        <v>1.59816022746279</v>
      </c>
      <c r="H287" s="19" t="n">
        <v>17.1</v>
      </c>
      <c r="I287" s="17" t="n">
        <f aca="false">IF(H287="","",RANK(H287,$H$5:$H$337))</f>
        <v>283</v>
      </c>
      <c r="J287" s="24" t="n">
        <v>-0.0518397383483238</v>
      </c>
      <c r="K287" s="19" t="n">
        <v>3.7</v>
      </c>
      <c r="L287" s="17" t="n">
        <f aca="false">IF(K287="","",RANK(K287,$K$5:$K$337))</f>
        <v>321</v>
      </c>
      <c r="M287" s="25" t="n">
        <v>0.00691509796388782</v>
      </c>
      <c r="N287" s="19" t="n">
        <v>1.6</v>
      </c>
      <c r="O287" s="17" t="n">
        <f aca="false">IF(N287="","",RANK(N287,$N$5:$N$337))</f>
        <v>329</v>
      </c>
      <c r="P287" s="17" t="str">
        <f aca="false">IF(AND(N(H287)&gt;=N(K287),N(H287)&gt;=N(N287)),"The Pulse",IF(N(K287)&gt;=N(N287),"The Lens","The Hub"))</f>
        <v>The Pulse</v>
      </c>
      <c r="Q287" s="21" t="s">
        <v>78</v>
      </c>
      <c r="R287" s="26" t="s">
        <v>668</v>
      </c>
      <c r="S287" s="17" t="s">
        <v>126</v>
      </c>
    </row>
    <row r="288" customFormat="false" ht="15" hidden="false" customHeight="false" outlineLevel="0" collapsed="false">
      <c r="A288" s="17" t="s">
        <v>1877</v>
      </c>
      <c r="B288" s="17" t="s">
        <v>1878</v>
      </c>
      <c r="C288" s="17" t="s">
        <v>1879</v>
      </c>
      <c r="D288" s="17" t="s">
        <v>102</v>
      </c>
      <c r="E288" s="18" t="n">
        <v>334280</v>
      </c>
      <c r="F288" s="17" t="s">
        <v>670</v>
      </c>
      <c r="G288" s="23" t="n">
        <v>1.5943819552471</v>
      </c>
      <c r="H288" s="19" t="n">
        <v>16.9</v>
      </c>
      <c r="I288" s="17" t="n">
        <f aca="false">IF(H288="","",RANK(H288,$H$5:$H$337))</f>
        <v>284</v>
      </c>
      <c r="J288" s="24" t="n">
        <v>0.151895244658856</v>
      </c>
      <c r="K288" s="19" t="n">
        <v>84.1</v>
      </c>
      <c r="L288" s="17" t="n">
        <f aca="false">IF(K288="","",RANK(K288,$K$5:$K$337))</f>
        <v>52</v>
      </c>
      <c r="M288" s="25" t="n">
        <v>0.173860427591771</v>
      </c>
      <c r="N288" s="19" t="n">
        <v>65</v>
      </c>
      <c r="O288" s="17" t="n">
        <f aca="false">IF(N288="","",RANK(N288,$N$5:$N$337))</f>
        <v>120</v>
      </c>
      <c r="P288" s="17" t="str">
        <f aca="false">IF(AND(N(H288)&gt;=N(K288),N(H288)&gt;=N(N288)),"The Pulse",IF(N(K288)&gt;=N(N288),"The Lens","The Hub"))</f>
        <v>The Lens</v>
      </c>
      <c r="Q288" s="21" t="s">
        <v>78</v>
      </c>
      <c r="R288" s="26" t="s">
        <v>668</v>
      </c>
      <c r="S288" s="17" t="s">
        <v>21</v>
      </c>
    </row>
    <row r="289" customFormat="false" ht="15" hidden="false" customHeight="false" outlineLevel="0" collapsed="false">
      <c r="A289" s="17" t="s">
        <v>609</v>
      </c>
      <c r="B289" s="17" t="s">
        <v>610</v>
      </c>
      <c r="C289" s="17" t="s">
        <v>1880</v>
      </c>
      <c r="D289" s="17" t="s">
        <v>114</v>
      </c>
      <c r="E289" s="18" t="n">
        <v>7080</v>
      </c>
      <c r="F289" s="17" t="s">
        <v>678</v>
      </c>
      <c r="G289" s="23" t="n">
        <v>1.57005649717514</v>
      </c>
      <c r="H289" s="19" t="n">
        <v>16.7</v>
      </c>
      <c r="I289" s="17" t="n">
        <f aca="false">IF(H289="","",RANK(H289,$H$5:$H$337))</f>
        <v>285</v>
      </c>
      <c r="J289" s="24" t="n">
        <v>0.153094462540717</v>
      </c>
      <c r="K289" s="19" t="n">
        <v>70.8</v>
      </c>
      <c r="L289" s="17" t="n">
        <f aca="false">IF(K289="","",RANK(K289,$K$5:$K$337))</f>
        <v>99</v>
      </c>
      <c r="M289" s="25" t="n">
        <v>0.236619718309859</v>
      </c>
      <c r="N289" s="19" t="n">
        <v>79.5</v>
      </c>
      <c r="O289" s="17" t="n">
        <f aca="false">IF(N289="","",RANK(N289,$N$5:$N$337))</f>
        <v>71</v>
      </c>
      <c r="P289" s="17" t="str">
        <f aca="false">IF(AND(N(H289)&gt;=N(K289),N(H289)&gt;=N(N289)),"The Pulse",IF(N(K289)&gt;=N(N289),"The Lens","The Hub"))</f>
        <v>The Hub</v>
      </c>
      <c r="Q289" s="21" t="s">
        <v>78</v>
      </c>
      <c r="R289" s="27" t="s">
        <v>671</v>
      </c>
      <c r="S289" s="17" t="s">
        <v>21</v>
      </c>
    </row>
    <row r="290" customFormat="false" ht="15" hidden="false" customHeight="false" outlineLevel="0" collapsed="false">
      <c r="A290" s="17" t="s">
        <v>515</v>
      </c>
      <c r="B290" s="17" t="s">
        <v>516</v>
      </c>
      <c r="C290" s="17" t="s">
        <v>1881</v>
      </c>
      <c r="D290" s="17" t="s">
        <v>72</v>
      </c>
      <c r="E290" s="18" t="n">
        <v>18578</v>
      </c>
      <c r="F290" s="17" t="s">
        <v>667</v>
      </c>
      <c r="G290" s="23" t="n">
        <v>1.56346215954355</v>
      </c>
      <c r="H290" s="19" t="n">
        <v>16.5</v>
      </c>
      <c r="I290" s="17" t="n">
        <f aca="false">IF(H290="","",RANK(H290,$H$5:$H$337))</f>
        <v>286</v>
      </c>
      <c r="J290" s="24" t="n">
        <v>0.210214318285454</v>
      </c>
      <c r="K290" s="19" t="n">
        <v>95.4</v>
      </c>
      <c r="L290" s="17" t="n">
        <f aca="false">IF(K290="","",RANK(K290,$K$5:$K$337))</f>
        <v>17</v>
      </c>
      <c r="M290" s="25" t="n">
        <v>0.119027661357921</v>
      </c>
      <c r="N290" s="19" t="n">
        <v>41.2</v>
      </c>
      <c r="O290" s="17" t="n">
        <f aca="false">IF(N290="","",RANK(N290,$N$5:$N$337))</f>
        <v>194</v>
      </c>
      <c r="P290" s="17" t="str">
        <f aca="false">IF(AND(N(H290)&gt;=N(K290),N(H290)&gt;=N(N290)),"The Pulse",IF(N(K290)&gt;=N(N290),"The Lens","The Hub"))</f>
        <v>The Lens</v>
      </c>
      <c r="Q290" s="20" t="s">
        <v>74</v>
      </c>
      <c r="R290" s="27" t="s">
        <v>671</v>
      </c>
      <c r="S290" s="17" t="s">
        <v>19</v>
      </c>
    </row>
    <row r="291" customFormat="false" ht="15" hidden="false" customHeight="false" outlineLevel="0" collapsed="false">
      <c r="A291" s="17" t="s">
        <v>613</v>
      </c>
      <c r="B291" s="17" t="s">
        <v>614</v>
      </c>
      <c r="C291" s="17" t="s">
        <v>1882</v>
      </c>
      <c r="D291" s="17" t="s">
        <v>77</v>
      </c>
      <c r="E291" s="18" t="n">
        <v>375815</v>
      </c>
      <c r="F291" s="17" t="s">
        <v>670</v>
      </c>
      <c r="G291" s="23" t="n">
        <v>1.55920067054269</v>
      </c>
      <c r="H291" s="19" t="n">
        <v>16.3</v>
      </c>
      <c r="I291" s="17" t="n">
        <f aca="false">IF(H291="","",RANK(H291,$H$5:$H$337))</f>
        <v>287</v>
      </c>
      <c r="J291" s="24" t="n">
        <v>-0.10144986443385</v>
      </c>
      <c r="K291" s="19" t="n">
        <v>0.7</v>
      </c>
      <c r="L291" s="17" t="n">
        <f aca="false">IF(K291="","",RANK(K291,$K$5:$K$337))</f>
        <v>333</v>
      </c>
      <c r="M291" s="25" t="n">
        <v>0.234257702417884</v>
      </c>
      <c r="N291" s="19" t="n">
        <v>78.8</v>
      </c>
      <c r="O291" s="17" t="n">
        <f aca="false">IF(N291="","",RANK(N291,$N$5:$N$337))</f>
        <v>74</v>
      </c>
      <c r="P291" s="17" t="str">
        <f aca="false">IF(AND(N(H291)&gt;=N(K291),N(H291)&gt;=N(N291)),"The Pulse",IF(N(K291)&gt;=N(N291),"The Lens","The Hub"))</f>
        <v>The Hub</v>
      </c>
      <c r="Q291" s="20" t="s">
        <v>74</v>
      </c>
      <c r="R291" s="27" t="s">
        <v>671</v>
      </c>
      <c r="S291" s="17" t="s">
        <v>19</v>
      </c>
    </row>
    <row r="292" customFormat="false" ht="15" hidden="false" customHeight="false" outlineLevel="0" collapsed="false">
      <c r="A292" s="17" t="s">
        <v>1883</v>
      </c>
      <c r="B292" s="17" t="s">
        <v>1884</v>
      </c>
      <c r="C292" s="17" t="s">
        <v>1885</v>
      </c>
      <c r="D292" s="17" t="s">
        <v>105</v>
      </c>
      <c r="E292" s="18" t="n">
        <v>29096</v>
      </c>
      <c r="F292" s="17" t="s">
        <v>667</v>
      </c>
      <c r="G292" s="23" t="n">
        <v>1.55169095408304</v>
      </c>
      <c r="H292" s="19" t="n">
        <v>15.9</v>
      </c>
      <c r="I292" s="17" t="n">
        <f aca="false">IF(H292="","",RANK(H292,$H$5:$H$337))</f>
        <v>288</v>
      </c>
      <c r="J292" s="24" t="n">
        <v>0.171761105070275</v>
      </c>
      <c r="K292" s="19" t="n">
        <v>85.9</v>
      </c>
      <c r="L292" s="17" t="n">
        <f aca="false">IF(K292="","",RANK(K292,$K$5:$K$337))</f>
        <v>46</v>
      </c>
      <c r="M292" s="25" t="n">
        <v>0.4156162464986</v>
      </c>
      <c r="N292" s="19" t="n">
        <v>98.2</v>
      </c>
      <c r="O292" s="17" t="n">
        <f aca="false">IF(N292="","",RANK(N292,$N$5:$N$337))</f>
        <v>8</v>
      </c>
      <c r="P292" s="17" t="str">
        <f aca="false">IF(AND(N(H292)&gt;=N(K292),N(H292)&gt;=N(N292)),"The Pulse",IF(N(K292)&gt;=N(N292),"The Lens","The Hub"))</f>
        <v>The Hub</v>
      </c>
      <c r="Q292" s="20" t="s">
        <v>74</v>
      </c>
      <c r="R292" s="26" t="s">
        <v>668</v>
      </c>
      <c r="S292" s="17" t="s">
        <v>19</v>
      </c>
    </row>
    <row r="293" customFormat="false" ht="15" hidden="false" customHeight="false" outlineLevel="0" collapsed="false">
      <c r="A293" s="17" t="s">
        <v>960</v>
      </c>
      <c r="B293" s="17" t="s">
        <v>961</v>
      </c>
      <c r="C293" s="17" t="s">
        <v>1886</v>
      </c>
      <c r="D293" s="17" t="s">
        <v>77</v>
      </c>
      <c r="E293" s="18" t="n">
        <v>2324694</v>
      </c>
      <c r="F293" s="17" t="s">
        <v>752</v>
      </c>
      <c r="G293" s="23" t="n">
        <v>1.50265712390534</v>
      </c>
      <c r="H293" s="19" t="n">
        <v>14.6</v>
      </c>
      <c r="I293" s="17" t="n">
        <f aca="false">IF(H293="","",RANK(H293,$H$5:$H$337))</f>
        <v>289</v>
      </c>
      <c r="J293" s="24" t="n">
        <v>0.129597703383505</v>
      </c>
      <c r="K293" s="19" t="n">
        <v>62.5</v>
      </c>
      <c r="L293" s="17" t="n">
        <f aca="false">IF(K293="","",RANK(K293,$K$5:$K$337))</f>
        <v>121</v>
      </c>
      <c r="M293" s="25" t="n">
        <v>0.0262049917477854</v>
      </c>
      <c r="N293" s="19" t="n">
        <v>4.4</v>
      </c>
      <c r="O293" s="17" t="n">
        <f aca="false">IF(N293="","",RANK(N293,$N$5:$N$337))</f>
        <v>318</v>
      </c>
      <c r="P293" s="17" t="str">
        <f aca="false">IF(AND(N(H293)&gt;=N(K293),N(H293)&gt;=N(N293)),"The Pulse",IF(N(K293)&gt;=N(N293),"The Lens","The Hub"))</f>
        <v>The Lens</v>
      </c>
      <c r="Q293" s="20" t="s">
        <v>74</v>
      </c>
      <c r="R293" s="26" t="s">
        <v>668</v>
      </c>
      <c r="S293" s="17" t="s">
        <v>19</v>
      </c>
    </row>
    <row r="294" customFormat="false" ht="15" hidden="false" customHeight="false" outlineLevel="0" collapsed="false">
      <c r="A294" s="17" t="s">
        <v>355</v>
      </c>
      <c r="B294" s="17" t="s">
        <v>356</v>
      </c>
      <c r="C294" s="17" t="s">
        <v>1887</v>
      </c>
      <c r="D294" s="17" t="s">
        <v>81</v>
      </c>
      <c r="E294" s="18" t="n">
        <v>123094</v>
      </c>
      <c r="F294" s="17" t="s">
        <v>670</v>
      </c>
      <c r="G294" s="23" t="n">
        <v>1.48673371569695</v>
      </c>
      <c r="H294" s="19" t="n">
        <v>14.4</v>
      </c>
      <c r="I294" s="17" t="n">
        <f aca="false">IF(H294="","",RANK(H294,$H$5:$H$337))</f>
        <v>290</v>
      </c>
      <c r="J294" s="24" t="n">
        <v>0.125935276146571</v>
      </c>
      <c r="K294" s="19" t="n">
        <v>72.2</v>
      </c>
      <c r="L294" s="17" t="n">
        <f aca="false">IF(K294="","",RANK(K294,$K$5:$K$337))</f>
        <v>93</v>
      </c>
      <c r="M294" s="25" t="n">
        <v>0.123744104982571</v>
      </c>
      <c r="N294" s="19" t="n">
        <v>45.6</v>
      </c>
      <c r="O294" s="17" t="n">
        <f aca="false">IF(N294="","",RANK(N294,$N$5:$N$337))</f>
        <v>179</v>
      </c>
      <c r="P294" s="17" t="str">
        <f aca="false">IF(AND(N(H294)&gt;=N(K294),N(H294)&gt;=N(N294)),"The Pulse",IF(N(K294)&gt;=N(N294),"The Lens","The Hub"))</f>
        <v>The Lens</v>
      </c>
      <c r="Q294" s="20" t="s">
        <v>74</v>
      </c>
      <c r="R294" s="27" t="s">
        <v>671</v>
      </c>
      <c r="S294" s="17" t="s">
        <v>19</v>
      </c>
    </row>
    <row r="295" customFormat="false" ht="15" hidden="false" customHeight="false" outlineLevel="0" collapsed="false">
      <c r="A295" s="17" t="s">
        <v>327</v>
      </c>
      <c r="B295" s="17" t="s">
        <v>328</v>
      </c>
      <c r="C295" s="17" t="s">
        <v>1888</v>
      </c>
      <c r="D295" s="17" t="s">
        <v>77</v>
      </c>
      <c r="E295" s="18" t="n">
        <v>213890</v>
      </c>
      <c r="F295" s="17" t="s">
        <v>670</v>
      </c>
      <c r="G295" s="23" t="n">
        <v>1.47596428070504</v>
      </c>
      <c r="H295" s="19" t="n">
        <v>14.2</v>
      </c>
      <c r="I295" s="17" t="n">
        <f aca="false">IF(H295="","",RANK(H295,$H$5:$H$337))</f>
        <v>291</v>
      </c>
      <c r="J295" s="24" t="n">
        <v>0.0606466329465437</v>
      </c>
      <c r="K295" s="19" t="n">
        <v>35.8</v>
      </c>
      <c r="L295" s="17" t="n">
        <f aca="false">IF(K295="","",RANK(K295,$K$5:$K$337))</f>
        <v>215</v>
      </c>
      <c r="M295" s="25" t="n">
        <v>0.12325400931195</v>
      </c>
      <c r="N295" s="19" t="n">
        <v>45.3</v>
      </c>
      <c r="O295" s="17" t="n">
        <f aca="false">IF(N295="","",RANK(N295,$N$5:$N$337))</f>
        <v>180</v>
      </c>
      <c r="P295" s="17" t="str">
        <f aca="false">IF(AND(N(H295)&gt;=N(K295),N(H295)&gt;=N(N295)),"The Pulse",IF(N(K295)&gt;=N(N295),"The Lens","The Hub"))</f>
        <v>The Hub</v>
      </c>
      <c r="Q295" s="21" t="s">
        <v>78</v>
      </c>
      <c r="R295" s="27" t="s">
        <v>671</v>
      </c>
      <c r="S295" s="17" t="s">
        <v>21</v>
      </c>
    </row>
    <row r="296" customFormat="false" ht="15" hidden="false" customHeight="false" outlineLevel="0" collapsed="false">
      <c r="A296" s="17" t="s">
        <v>447</v>
      </c>
      <c r="B296" s="17" t="s">
        <v>448</v>
      </c>
      <c r="C296" s="17" t="s">
        <v>1889</v>
      </c>
      <c r="D296" s="17" t="s">
        <v>102</v>
      </c>
      <c r="E296" s="18" t="n">
        <v>148314</v>
      </c>
      <c r="F296" s="17" t="s">
        <v>670</v>
      </c>
      <c r="G296" s="23" t="n">
        <v>1.46508084199738</v>
      </c>
      <c r="H296" s="19" t="n">
        <v>14</v>
      </c>
      <c r="I296" s="17" t="n">
        <f aca="false">IF(H296="","",RANK(H296,$H$5:$H$337))</f>
        <v>292</v>
      </c>
      <c r="J296" s="24" t="n">
        <v>0.0956598825397998</v>
      </c>
      <c r="K296" s="19" t="n">
        <v>62.9</v>
      </c>
      <c r="L296" s="17" t="n">
        <f aca="false">IF(K296="","",RANK(K296,$K$5:$K$337))</f>
        <v>120</v>
      </c>
      <c r="M296" s="25" t="n">
        <v>0.0757504024240129</v>
      </c>
      <c r="N296" s="19" t="n">
        <v>22.8</v>
      </c>
      <c r="O296" s="17" t="n">
        <f aca="false">IF(N296="","",RANK(N296,$N$5:$N$337))</f>
        <v>259</v>
      </c>
      <c r="P296" s="17" t="str">
        <f aca="false">IF(AND(N(H296)&gt;=N(K296),N(H296)&gt;=N(N296)),"The Pulse",IF(N(K296)&gt;=N(N296),"The Lens","The Hub"))</f>
        <v>The Lens</v>
      </c>
      <c r="Q296" s="20" t="s">
        <v>74</v>
      </c>
      <c r="R296" s="27" t="s">
        <v>671</v>
      </c>
      <c r="S296" s="17" t="s">
        <v>19</v>
      </c>
    </row>
    <row r="297" customFormat="false" ht="15" hidden="false" customHeight="false" outlineLevel="0" collapsed="false">
      <c r="A297" s="17" t="s">
        <v>1890</v>
      </c>
      <c r="B297" s="17" t="s">
        <v>1891</v>
      </c>
      <c r="C297" s="17" t="s">
        <v>1892</v>
      </c>
      <c r="D297" s="17" t="s">
        <v>102</v>
      </c>
      <c r="E297" s="18" t="n">
        <v>50980</v>
      </c>
      <c r="F297" s="17" t="s">
        <v>667</v>
      </c>
      <c r="G297" s="23" t="n">
        <v>1.42149862691252</v>
      </c>
      <c r="H297" s="19" t="n">
        <v>13.3</v>
      </c>
      <c r="I297" s="17" t="n">
        <f aca="false">IF(H297="","",RANK(H297,$H$5:$H$337))</f>
        <v>293</v>
      </c>
      <c r="J297" s="24" t="n">
        <v>0.169266055045872</v>
      </c>
      <c r="K297" s="19" t="n">
        <v>85.1</v>
      </c>
      <c r="L297" s="17" t="n">
        <f aca="false">IF(K297="","",RANK(K297,$K$5:$K$337))</f>
        <v>49</v>
      </c>
      <c r="M297" s="25" t="n">
        <v>0.25135043889264</v>
      </c>
      <c r="N297" s="19" t="n">
        <v>83.4</v>
      </c>
      <c r="O297" s="17" t="n">
        <f aca="false">IF(N297="","",RANK(N297,$N$5:$N$337))</f>
        <v>59</v>
      </c>
      <c r="P297" s="17" t="str">
        <f aca="false">IF(AND(N(H297)&gt;=N(K297),N(H297)&gt;=N(N297)),"The Pulse",IF(N(K297)&gt;=N(N297),"The Lens","The Hub"))</f>
        <v>The Lens</v>
      </c>
      <c r="Q297" s="21" t="s">
        <v>78</v>
      </c>
      <c r="R297" s="26" t="s">
        <v>668</v>
      </c>
      <c r="S297" s="17" t="s">
        <v>21</v>
      </c>
    </row>
    <row r="298" customFormat="false" ht="15" hidden="false" customHeight="false" outlineLevel="0" collapsed="false">
      <c r="A298" s="17" t="s">
        <v>1893</v>
      </c>
      <c r="B298" s="17" t="s">
        <v>1894</v>
      </c>
      <c r="C298" s="17" t="s">
        <v>1895</v>
      </c>
      <c r="D298" s="17" t="s">
        <v>138</v>
      </c>
      <c r="E298" s="18" t="n">
        <v>16530</v>
      </c>
      <c r="F298" s="17" t="s">
        <v>667</v>
      </c>
      <c r="G298" s="23" t="n">
        <v>1.41923774954628</v>
      </c>
      <c r="H298" s="19" t="n">
        <v>13.1</v>
      </c>
      <c r="I298" s="17" t="n">
        <f aca="false">IF(H298="","",RANK(H298,$H$5:$H$337))</f>
        <v>294</v>
      </c>
      <c r="J298" s="24" t="n">
        <v>0.0889328063241107</v>
      </c>
      <c r="K298" s="19" t="n">
        <v>49</v>
      </c>
      <c r="L298" s="17" t="n">
        <f aca="false">IF(K298="","",RANK(K298,$K$5:$K$337))</f>
        <v>170</v>
      </c>
      <c r="M298" s="25" t="n">
        <v>0.141205615194055</v>
      </c>
      <c r="N298" s="19" t="n">
        <v>52.1</v>
      </c>
      <c r="O298" s="17" t="n">
        <f aca="false">IF(N298="","",RANK(N298,$N$5:$N$337))</f>
        <v>158</v>
      </c>
      <c r="P298" s="17" t="str">
        <f aca="false">IF(AND(N(H298)&gt;=N(K298),N(H298)&gt;=N(N298)),"The Pulse",IF(N(K298)&gt;=N(N298),"The Lens","The Hub"))</f>
        <v>The Hub</v>
      </c>
      <c r="Q298" s="21" t="s">
        <v>78</v>
      </c>
      <c r="R298" s="26" t="s">
        <v>668</v>
      </c>
      <c r="S298" s="17" t="s">
        <v>21</v>
      </c>
    </row>
    <row r="299" customFormat="false" ht="15" hidden="false" customHeight="false" outlineLevel="0" collapsed="false">
      <c r="A299" s="17" t="s">
        <v>631</v>
      </c>
      <c r="B299" s="17" t="s">
        <v>632</v>
      </c>
      <c r="C299" s="17" t="s">
        <v>1896</v>
      </c>
      <c r="D299" s="17" t="s">
        <v>77</v>
      </c>
      <c r="E299" s="18" t="n">
        <v>20245</v>
      </c>
      <c r="F299" s="17" t="s">
        <v>667</v>
      </c>
      <c r="G299" s="23" t="n">
        <v>1.41773277352433</v>
      </c>
      <c r="H299" s="19" t="n">
        <v>12.9</v>
      </c>
      <c r="I299" s="17" t="n">
        <f aca="false">IF(H299="","",RANK(H299,$H$5:$H$337))</f>
        <v>295</v>
      </c>
      <c r="J299" s="24" t="n">
        <v>0.130879231370797</v>
      </c>
      <c r="K299" s="19" t="n">
        <v>69.7</v>
      </c>
      <c r="L299" s="17" t="n">
        <f aca="false">IF(K299="","",RANK(K299,$K$5:$K$337))</f>
        <v>102</v>
      </c>
      <c r="M299" s="25" t="n">
        <v>0.247765006385696</v>
      </c>
      <c r="N299" s="19" t="n">
        <v>81.9</v>
      </c>
      <c r="O299" s="17" t="n">
        <f aca="false">IF(N299="","",RANK(N299,$N$5:$N$337))</f>
        <v>63</v>
      </c>
      <c r="P299" s="17" t="str">
        <f aca="false">IF(AND(N(H299)&gt;=N(K299),N(H299)&gt;=N(N299)),"The Pulse",IF(N(K299)&gt;=N(N299),"The Lens","The Hub"))</f>
        <v>The Hub</v>
      </c>
      <c r="Q299" s="20" t="s">
        <v>74</v>
      </c>
      <c r="R299" s="27" t="s">
        <v>671</v>
      </c>
      <c r="S299" s="17" t="s">
        <v>19</v>
      </c>
    </row>
    <row r="300" customFormat="false" ht="15" hidden="false" customHeight="false" outlineLevel="0" collapsed="false">
      <c r="A300" s="17" t="s">
        <v>465</v>
      </c>
      <c r="B300" s="17" t="s">
        <v>466</v>
      </c>
      <c r="C300" s="17" t="s">
        <v>1897</v>
      </c>
      <c r="D300" s="17" t="s">
        <v>77</v>
      </c>
      <c r="E300" s="18" t="n">
        <v>71930</v>
      </c>
      <c r="F300" s="17" t="s">
        <v>667</v>
      </c>
      <c r="G300" s="23" t="n">
        <v>1.39867927151397</v>
      </c>
      <c r="H300" s="19" t="n">
        <v>12.7</v>
      </c>
      <c r="I300" s="17" t="n">
        <f aca="false">IF(H300="","",RANK(H300,$H$5:$H$337))</f>
        <v>296</v>
      </c>
      <c r="J300" s="24" t="n">
        <v>0.0676859136113997</v>
      </c>
      <c r="K300" s="19" t="n">
        <v>39</v>
      </c>
      <c r="L300" s="17" t="n">
        <f aca="false">IF(K300="","",RANK(K300,$K$5:$K$337))</f>
        <v>203</v>
      </c>
      <c r="M300" s="25" t="n">
        <v>0.115415788620522</v>
      </c>
      <c r="N300" s="19" t="n">
        <v>38.9</v>
      </c>
      <c r="O300" s="17" t="n">
        <f aca="false">IF(N300="","",RANK(N300,$N$5:$N$337))</f>
        <v>201</v>
      </c>
      <c r="P300" s="17" t="str">
        <f aca="false">IF(AND(N(H300)&gt;=N(K300),N(H300)&gt;=N(N300)),"The Pulse",IF(N(K300)&gt;=N(N300),"The Lens","The Hub"))</f>
        <v>The Lens</v>
      </c>
      <c r="Q300" s="21" t="s">
        <v>78</v>
      </c>
      <c r="R300" s="27" t="s">
        <v>671</v>
      </c>
      <c r="S300" s="17" t="s">
        <v>21</v>
      </c>
    </row>
    <row r="301" customFormat="false" ht="15" hidden="false" customHeight="false" outlineLevel="0" collapsed="false">
      <c r="A301" s="17" t="s">
        <v>1898</v>
      </c>
      <c r="B301" s="17" t="s">
        <v>1899</v>
      </c>
      <c r="C301" s="17" t="s">
        <v>1900</v>
      </c>
      <c r="D301" s="17" t="s">
        <v>102</v>
      </c>
      <c r="E301" s="18" t="n">
        <v>48960</v>
      </c>
      <c r="F301" s="17" t="s">
        <v>667</v>
      </c>
      <c r="G301" s="23" t="n">
        <v>1.38374183006536</v>
      </c>
      <c r="H301" s="19" t="n">
        <v>12.3</v>
      </c>
      <c r="I301" s="17" t="n">
        <f aca="false">IF(H301="","",RANK(H301,$H$5:$H$337))</f>
        <v>297</v>
      </c>
      <c r="J301" s="24" t="n">
        <v>0.0522243713733075</v>
      </c>
      <c r="K301" s="19" t="n">
        <v>29.5</v>
      </c>
      <c r="L301" s="17" t="n">
        <f aca="false">IF(K301="","",RANK(K301,$K$5:$K$337))</f>
        <v>237</v>
      </c>
      <c r="M301" s="25" t="n">
        <v>0.09472</v>
      </c>
      <c r="N301" s="19" t="n">
        <v>30.3</v>
      </c>
      <c r="O301" s="17" t="n">
        <f aca="false">IF(N301="","",RANK(N301,$N$5:$N$337))</f>
        <v>232</v>
      </c>
      <c r="P301" s="17" t="str">
        <f aca="false">IF(AND(N(H301)&gt;=N(K301),N(H301)&gt;=N(N301)),"The Pulse",IF(N(K301)&gt;=N(N301),"The Lens","The Hub"))</f>
        <v>The Hub</v>
      </c>
      <c r="Q301" s="21" t="s">
        <v>78</v>
      </c>
      <c r="R301" s="26" t="s">
        <v>668</v>
      </c>
      <c r="S301" s="17" t="s">
        <v>21</v>
      </c>
    </row>
    <row r="302" customFormat="false" ht="15" hidden="false" customHeight="false" outlineLevel="0" collapsed="false">
      <c r="A302" s="17" t="s">
        <v>573</v>
      </c>
      <c r="B302" s="17" t="s">
        <v>574</v>
      </c>
      <c r="C302" s="17" t="s">
        <v>1901</v>
      </c>
      <c r="D302" s="17" t="s">
        <v>77</v>
      </c>
      <c r="E302" s="18" t="n">
        <v>146070</v>
      </c>
      <c r="F302" s="17" t="s">
        <v>670</v>
      </c>
      <c r="G302" s="23" t="n">
        <v>1.37421784076128</v>
      </c>
      <c r="H302" s="19" t="n">
        <v>12.1</v>
      </c>
      <c r="I302" s="17" t="n">
        <f aca="false">IF(H302="","",RANK(H302,$H$5:$H$337))</f>
        <v>298</v>
      </c>
      <c r="J302" s="24" t="n">
        <v>0.0689352360043908</v>
      </c>
      <c r="K302" s="19" t="n">
        <v>41.1</v>
      </c>
      <c r="L302" s="17" t="n">
        <f aca="false">IF(K302="","",RANK(K302,$K$5:$K$337))</f>
        <v>196</v>
      </c>
      <c r="M302" s="25" t="n">
        <v>0.303309075930249</v>
      </c>
      <c r="N302" s="19" t="n">
        <v>91.5</v>
      </c>
      <c r="O302" s="17" t="n">
        <f aca="false">IF(N302="","",RANK(N302,$N$5:$N$337))</f>
        <v>33</v>
      </c>
      <c r="P302" s="17" t="str">
        <f aca="false">IF(AND(N(H302)&gt;=N(K302),N(H302)&gt;=N(N302)),"The Pulse",IF(N(K302)&gt;=N(N302),"The Lens","The Hub"))</f>
        <v>The Hub</v>
      </c>
      <c r="Q302" s="21" t="s">
        <v>78</v>
      </c>
      <c r="R302" s="27" t="s">
        <v>671</v>
      </c>
      <c r="S302" s="17" t="s">
        <v>21</v>
      </c>
    </row>
    <row r="303" customFormat="false" ht="15" hidden="false" customHeight="false" outlineLevel="0" collapsed="false">
      <c r="A303" s="17" t="s">
        <v>627</v>
      </c>
      <c r="B303" s="17" t="s">
        <v>628</v>
      </c>
      <c r="C303" s="17" t="s">
        <v>1902</v>
      </c>
      <c r="D303" s="17" t="s">
        <v>81</v>
      </c>
      <c r="E303" s="18" t="n">
        <v>3480</v>
      </c>
      <c r="F303" s="17" t="s">
        <v>678</v>
      </c>
      <c r="G303" s="23" t="n">
        <v>1.35201149425287</v>
      </c>
      <c r="H303" s="19" t="n">
        <v>11.6</v>
      </c>
      <c r="I303" s="17" t="n">
        <f aca="false">IF(H303="","",RANK(H303,$H$5:$H$337))</f>
        <v>299</v>
      </c>
      <c r="J303" s="24" t="n">
        <v>0.156146179401993</v>
      </c>
      <c r="K303" s="19" t="n">
        <v>77.1</v>
      </c>
      <c r="L303" s="17" t="n">
        <f aca="false">IF(K303="","",RANK(K303,$K$5:$K$337))</f>
        <v>77</v>
      </c>
      <c r="M303" s="25" t="n">
        <v>0.0266666666666667</v>
      </c>
      <c r="N303" s="19" t="n">
        <v>4.7</v>
      </c>
      <c r="O303" s="17" t="n">
        <f aca="false">IF(N303="","",RANK(N303,$N$5:$N$337))</f>
        <v>317</v>
      </c>
      <c r="P303" s="17" t="str">
        <f aca="false">IF(AND(N(H303)&gt;=N(K303),N(H303)&gt;=N(N303)),"The Pulse",IF(N(K303)&gt;=N(N303),"The Lens","The Hub"))</f>
        <v>The Lens</v>
      </c>
      <c r="Q303" s="21" t="s">
        <v>78</v>
      </c>
      <c r="R303" s="27" t="s">
        <v>671</v>
      </c>
      <c r="S303" s="17" t="s">
        <v>21</v>
      </c>
    </row>
    <row r="304" customFormat="false" ht="15" hidden="false" customHeight="false" outlineLevel="0" collapsed="false">
      <c r="A304" s="17" t="s">
        <v>1903</v>
      </c>
      <c r="B304" s="17" t="s">
        <v>1904</v>
      </c>
      <c r="C304" s="17" t="s">
        <v>1905</v>
      </c>
      <c r="D304" s="17" t="s">
        <v>81</v>
      </c>
      <c r="E304" s="18" t="n">
        <v>39770</v>
      </c>
      <c r="F304" s="17" t="s">
        <v>667</v>
      </c>
      <c r="G304" s="23" t="n">
        <v>1.30437515715363</v>
      </c>
      <c r="H304" s="19" t="n">
        <v>11</v>
      </c>
      <c r="I304" s="17" t="n">
        <f aca="false">IF(H304="","",RANK(H304,$H$5:$H$337))</f>
        <v>300</v>
      </c>
      <c r="J304" s="24" t="n">
        <v>0.17837037037037</v>
      </c>
      <c r="K304" s="19" t="n">
        <v>89.6</v>
      </c>
      <c r="L304" s="17" t="n">
        <f aca="false">IF(K304="","",RANK(K304,$K$5:$K$337))</f>
        <v>31</v>
      </c>
      <c r="M304" s="25" t="n">
        <v>0.153189910979229</v>
      </c>
      <c r="N304" s="19" t="n">
        <v>58.3</v>
      </c>
      <c r="O304" s="17" t="n">
        <f aca="false">IF(N304="","",RANK(N304,$N$5:$N$337))</f>
        <v>140</v>
      </c>
      <c r="P304" s="17" t="str">
        <f aca="false">IF(AND(N(H304)&gt;=N(K304),N(H304)&gt;=N(N304)),"The Pulse",IF(N(K304)&gt;=N(N304),"The Lens","The Hub"))</f>
        <v>The Lens</v>
      </c>
      <c r="Q304" s="21" t="s">
        <v>78</v>
      </c>
      <c r="R304" s="26" t="s">
        <v>668</v>
      </c>
      <c r="S304" s="17" t="s">
        <v>21</v>
      </c>
    </row>
    <row r="305" customFormat="false" ht="15" hidden="false" customHeight="false" outlineLevel="0" collapsed="false">
      <c r="A305" s="17" t="s">
        <v>535</v>
      </c>
      <c r="B305" s="17" t="s">
        <v>536</v>
      </c>
      <c r="C305" s="17" t="s">
        <v>1906</v>
      </c>
      <c r="D305" s="17" t="s">
        <v>133</v>
      </c>
      <c r="E305" s="18" t="n">
        <v>175762</v>
      </c>
      <c r="F305" s="17" t="s">
        <v>670</v>
      </c>
      <c r="G305" s="23" t="n">
        <v>1.28355389674674</v>
      </c>
      <c r="H305" s="19" t="n">
        <v>10.8</v>
      </c>
      <c r="I305" s="17" t="n">
        <f aca="false">IF(H305="","",RANK(H305,$H$5:$H$337))</f>
        <v>301</v>
      </c>
      <c r="J305" s="24" t="n">
        <v>0.0938159278597522</v>
      </c>
      <c r="K305" s="19" t="n">
        <v>60.9</v>
      </c>
      <c r="L305" s="17" t="n">
        <f aca="false">IF(K305="","",RANK(K305,$K$5:$K$337))</f>
        <v>127</v>
      </c>
      <c r="M305" s="25" t="n">
        <v>0.133786505538771</v>
      </c>
      <c r="N305" s="19" t="n">
        <v>49.7</v>
      </c>
      <c r="O305" s="17" t="n">
        <f aca="false">IF(N305="","",RANK(N305,$N$5:$N$337))</f>
        <v>167</v>
      </c>
      <c r="P305" s="17" t="str">
        <f aca="false">IF(AND(N(H305)&gt;=N(K305),N(H305)&gt;=N(N305)),"The Pulse",IF(N(K305)&gt;=N(N305),"The Lens","The Hub"))</f>
        <v>The Lens</v>
      </c>
      <c r="Q305" s="20" t="s">
        <v>74</v>
      </c>
      <c r="R305" s="27" t="s">
        <v>671</v>
      </c>
      <c r="S305" s="17" t="s">
        <v>19</v>
      </c>
    </row>
    <row r="306" customFormat="false" ht="15" hidden="false" customHeight="false" outlineLevel="0" collapsed="false">
      <c r="A306" s="17" t="s">
        <v>353</v>
      </c>
      <c r="B306" s="17" t="s">
        <v>354</v>
      </c>
      <c r="C306" s="17" t="s">
        <v>1907</v>
      </c>
      <c r="D306" s="17" t="s">
        <v>114</v>
      </c>
      <c r="E306" s="18" t="n">
        <v>201650</v>
      </c>
      <c r="F306" s="17" t="s">
        <v>670</v>
      </c>
      <c r="G306" s="23" t="n">
        <v>1.26632779568559</v>
      </c>
      <c r="H306" s="19" t="n">
        <v>10.6</v>
      </c>
      <c r="I306" s="17" t="n">
        <f aca="false">IF(H306="","",RANK(H306,$H$5:$H$337))</f>
        <v>302</v>
      </c>
      <c r="J306" s="24" t="n">
        <v>0.0857742838681887</v>
      </c>
      <c r="K306" s="19" t="n">
        <v>52.3</v>
      </c>
      <c r="L306" s="17" t="n">
        <f aca="false">IF(K306="","",RANK(K306,$K$5:$K$337))</f>
        <v>156</v>
      </c>
      <c r="M306" s="25" t="n">
        <v>0.180831914376064</v>
      </c>
      <c r="N306" s="19" t="n">
        <v>66.3</v>
      </c>
      <c r="O306" s="17" t="n">
        <f aca="false">IF(N306="","",RANK(N306,$N$5:$N$337))</f>
        <v>116</v>
      </c>
      <c r="P306" s="17" t="str">
        <f aca="false">IF(AND(N(H306)&gt;=N(K306),N(H306)&gt;=N(N306)),"The Pulse",IF(N(K306)&gt;=N(N306),"The Lens","The Hub"))</f>
        <v>The Hub</v>
      </c>
      <c r="Q306" s="21" t="s">
        <v>78</v>
      </c>
      <c r="R306" s="27" t="s">
        <v>671</v>
      </c>
      <c r="S306" s="17" t="s">
        <v>21</v>
      </c>
    </row>
    <row r="307" customFormat="false" ht="15" hidden="false" customHeight="false" outlineLevel="0" collapsed="false">
      <c r="A307" s="17" t="s">
        <v>629</v>
      </c>
      <c r="B307" s="17" t="s">
        <v>630</v>
      </c>
      <c r="C307" s="17" t="s">
        <v>1908</v>
      </c>
      <c r="D307" s="17" t="s">
        <v>87</v>
      </c>
      <c r="E307" s="18" t="n">
        <v>278658</v>
      </c>
      <c r="F307" s="17" t="s">
        <v>670</v>
      </c>
      <c r="G307" s="23" t="n">
        <v>1.25196477402407</v>
      </c>
      <c r="H307" s="19" t="n">
        <v>10.1</v>
      </c>
      <c r="I307" s="17" t="n">
        <f aca="false">IF(H307="","",RANK(H307,$H$5:$H$337))</f>
        <v>303</v>
      </c>
      <c r="J307" s="24" t="n">
        <v>0.151812507750176</v>
      </c>
      <c r="K307" s="19" t="n">
        <v>83.4</v>
      </c>
      <c r="L307" s="17" t="n">
        <f aca="false">IF(K307="","",RANK(K307,$K$5:$K$337))</f>
        <v>54</v>
      </c>
      <c r="M307" s="25" t="n">
        <v>0.0472495584153419</v>
      </c>
      <c r="N307" s="19" t="n">
        <v>11.7</v>
      </c>
      <c r="O307" s="17" t="n">
        <f aca="false">IF(N307="","",RANK(N307,$N$5:$N$337))</f>
        <v>296</v>
      </c>
      <c r="P307" s="17" t="str">
        <f aca="false">IF(AND(N(H307)&gt;=N(K307),N(H307)&gt;=N(N307)),"The Pulse",IF(N(K307)&gt;=N(N307),"The Lens","The Hub"))</f>
        <v>The Lens</v>
      </c>
      <c r="Q307" s="20" t="s">
        <v>74</v>
      </c>
      <c r="R307" s="27" t="s">
        <v>671</v>
      </c>
      <c r="S307" s="17" t="s">
        <v>19</v>
      </c>
    </row>
    <row r="308" customFormat="false" ht="15" hidden="false" customHeight="false" outlineLevel="0" collapsed="false">
      <c r="A308" s="17" t="s">
        <v>779</v>
      </c>
      <c r="B308" s="17" t="s">
        <v>780</v>
      </c>
      <c r="C308" s="17" t="s">
        <v>1909</v>
      </c>
      <c r="D308" s="17" t="s">
        <v>133</v>
      </c>
      <c r="E308" s="18" t="n">
        <v>60050</v>
      </c>
      <c r="F308" s="17" t="s">
        <v>667</v>
      </c>
      <c r="G308" s="23" t="n">
        <v>1.24579517069109</v>
      </c>
      <c r="H308" s="19" t="n">
        <v>9.9</v>
      </c>
      <c r="I308" s="17" t="n">
        <f aca="false">IF(H308="","",RANK(H308,$H$5:$H$337))</f>
        <v>304</v>
      </c>
      <c r="J308" s="24" t="n">
        <v>0.127487795719114</v>
      </c>
      <c r="K308" s="19" t="n">
        <v>68</v>
      </c>
      <c r="L308" s="17" t="n">
        <f aca="false">IF(K308="","",RANK(K308,$K$5:$K$337))</f>
        <v>106</v>
      </c>
      <c r="M308" s="25" t="n">
        <v>0.112259970457903</v>
      </c>
      <c r="N308" s="19" t="n">
        <v>37.3</v>
      </c>
      <c r="O308" s="17" t="n">
        <f aca="false">IF(N308="","",RANK(N308,$N$5:$N$337))</f>
        <v>207</v>
      </c>
      <c r="P308" s="17" t="str">
        <f aca="false">IF(AND(N(H308)&gt;=N(K308),N(H308)&gt;=N(N308)),"The Pulse",IF(N(K308)&gt;=N(N308),"The Lens","The Hub"))</f>
        <v>The Lens</v>
      </c>
      <c r="Q308" s="21" t="s">
        <v>78</v>
      </c>
      <c r="R308" s="26" t="s">
        <v>668</v>
      </c>
      <c r="S308" s="17" t="s">
        <v>21</v>
      </c>
    </row>
    <row r="309" customFormat="false" ht="15" hidden="false" customHeight="false" outlineLevel="0" collapsed="false">
      <c r="A309" s="17" t="s">
        <v>944</v>
      </c>
      <c r="B309" s="17" t="s">
        <v>945</v>
      </c>
      <c r="C309" s="17" t="s">
        <v>1910</v>
      </c>
      <c r="D309" s="17" t="s">
        <v>92</v>
      </c>
      <c r="E309" s="18" t="n">
        <v>29210</v>
      </c>
      <c r="F309" s="17" t="s">
        <v>667</v>
      </c>
      <c r="G309" s="23" t="n">
        <v>1.20458747004451</v>
      </c>
      <c r="H309" s="19" t="n">
        <v>9.5</v>
      </c>
      <c r="I309" s="17" t="n">
        <f aca="false">IF(H309="","",RANK(H309,$H$5:$H$337))</f>
        <v>305</v>
      </c>
      <c r="J309" s="24" t="n">
        <v>0.050341603739662</v>
      </c>
      <c r="K309" s="19" t="n">
        <v>28.2</v>
      </c>
      <c r="L309" s="17" t="n">
        <f aca="false">IF(K309="","",RANK(K309,$K$5:$K$337))</f>
        <v>240</v>
      </c>
      <c r="M309" s="25" t="n">
        <v>0.232266435986159</v>
      </c>
      <c r="N309" s="19" t="n">
        <v>78.5</v>
      </c>
      <c r="O309" s="17" t="n">
        <f aca="false">IF(N309="","",RANK(N309,$N$5:$N$337))</f>
        <v>75</v>
      </c>
      <c r="P309" s="17" t="str">
        <f aca="false">IF(AND(N(H309)&gt;=N(K309),N(H309)&gt;=N(N309)),"The Pulse",IF(N(K309)&gt;=N(N309),"The Lens","The Hub"))</f>
        <v>The Hub</v>
      </c>
      <c r="Q309" s="21" t="s">
        <v>78</v>
      </c>
      <c r="R309" s="26" t="s">
        <v>668</v>
      </c>
      <c r="S309" s="17" t="s">
        <v>21</v>
      </c>
    </row>
    <row r="310" customFormat="false" ht="15" hidden="false" customHeight="false" outlineLevel="0" collapsed="false">
      <c r="A310" s="17" t="s">
        <v>1269</v>
      </c>
      <c r="B310" s="17" t="s">
        <v>1270</v>
      </c>
      <c r="C310" s="17" t="s">
        <v>1911</v>
      </c>
      <c r="D310" s="17" t="s">
        <v>92</v>
      </c>
      <c r="E310" s="18" t="n">
        <v>57420</v>
      </c>
      <c r="F310" s="17" t="s">
        <v>667</v>
      </c>
      <c r="G310" s="23" t="n">
        <v>1.20231626610937</v>
      </c>
      <c r="H310" s="19" t="n">
        <v>9.3</v>
      </c>
      <c r="I310" s="17" t="n">
        <f aca="false">IF(H310="","",RANK(H310,$H$5:$H$337))</f>
        <v>306</v>
      </c>
      <c r="J310" s="24" t="n">
        <v>0.0692737430167598</v>
      </c>
      <c r="K310" s="19" t="n">
        <v>39.8</v>
      </c>
      <c r="L310" s="17" t="n">
        <f aca="false">IF(K310="","",RANK(K310,$K$5:$K$337))</f>
        <v>199</v>
      </c>
      <c r="M310" s="25" t="n">
        <v>0.040910489080283</v>
      </c>
      <c r="N310" s="19" t="n">
        <v>9.6</v>
      </c>
      <c r="O310" s="17" t="n">
        <f aca="false">IF(N310="","",RANK(N310,$N$5:$N$337))</f>
        <v>301</v>
      </c>
      <c r="P310" s="17" t="str">
        <f aca="false">IF(AND(N(H310)&gt;=N(K310),N(H310)&gt;=N(N310)),"The Pulse",IF(N(K310)&gt;=N(N310),"The Lens","The Hub"))</f>
        <v>The Lens</v>
      </c>
      <c r="Q310" s="21" t="s">
        <v>78</v>
      </c>
      <c r="R310" s="26" t="s">
        <v>668</v>
      </c>
      <c r="S310" s="17" t="s">
        <v>21</v>
      </c>
    </row>
    <row r="311" customFormat="false" ht="15" hidden="false" customHeight="false" outlineLevel="0" collapsed="false">
      <c r="A311" s="17" t="s">
        <v>635</v>
      </c>
      <c r="B311" s="17" t="s">
        <v>636</v>
      </c>
      <c r="C311" s="17" t="s">
        <v>1912</v>
      </c>
      <c r="D311" s="17" t="s">
        <v>77</v>
      </c>
      <c r="E311" s="18" t="n">
        <v>219410</v>
      </c>
      <c r="F311" s="17" t="s">
        <v>670</v>
      </c>
      <c r="G311" s="23" t="n">
        <v>1.19848229342327</v>
      </c>
      <c r="H311" s="19" t="n">
        <v>8.9</v>
      </c>
      <c r="I311" s="17" t="n">
        <f aca="false">IF(H311="","",RANK(H311,$H$5:$H$337))</f>
        <v>307</v>
      </c>
      <c r="J311" s="24" t="n">
        <v>0.160592435863528</v>
      </c>
      <c r="K311" s="19" t="n">
        <v>86.8</v>
      </c>
      <c r="L311" s="17" t="n">
        <f aca="false">IF(K311="","",RANK(K311,$K$5:$K$337))</f>
        <v>44</v>
      </c>
      <c r="M311" s="25" t="n">
        <v>0.124102093840746</v>
      </c>
      <c r="N311" s="19" t="n">
        <v>46.4</v>
      </c>
      <c r="O311" s="17" t="n">
        <f aca="false">IF(N311="","",RANK(N311,$N$5:$N$337))</f>
        <v>176</v>
      </c>
      <c r="P311" s="17" t="str">
        <f aca="false">IF(AND(N(H311)&gt;=N(K311),N(H311)&gt;=N(N311)),"The Pulse",IF(N(K311)&gt;=N(N311),"The Lens","The Hub"))</f>
        <v>The Lens</v>
      </c>
      <c r="Q311" s="21" t="s">
        <v>78</v>
      </c>
      <c r="R311" s="27" t="s">
        <v>671</v>
      </c>
      <c r="S311" s="17" t="s">
        <v>21</v>
      </c>
    </row>
    <row r="312" customFormat="false" ht="15" hidden="false" customHeight="false" outlineLevel="0" collapsed="false">
      <c r="A312" s="17" t="s">
        <v>591</v>
      </c>
      <c r="B312" s="17" t="s">
        <v>592</v>
      </c>
      <c r="C312" s="17" t="s">
        <v>1913</v>
      </c>
      <c r="D312" s="17" t="s">
        <v>105</v>
      </c>
      <c r="E312" s="18" t="n">
        <v>11020</v>
      </c>
      <c r="F312" s="17" t="s">
        <v>667</v>
      </c>
      <c r="G312" s="23" t="n">
        <v>1.19736842105263</v>
      </c>
      <c r="H312" s="19" t="n">
        <v>8.7</v>
      </c>
      <c r="I312" s="17" t="n">
        <f aca="false">IF(H312="","",RANK(H312,$H$5:$H$337))</f>
        <v>308</v>
      </c>
      <c r="J312" s="24" t="n">
        <v>0.00647279549718574</v>
      </c>
      <c r="K312" s="19" t="n">
        <v>12.9</v>
      </c>
      <c r="L312" s="17" t="n">
        <f aca="false">IF(K312="","",RANK(K312,$K$5:$K$337))</f>
        <v>291</v>
      </c>
      <c r="M312" s="25" t="n">
        <v>0.108823529411765</v>
      </c>
      <c r="N312" s="19" t="n">
        <v>36</v>
      </c>
      <c r="O312" s="17" t="n">
        <f aca="false">IF(N312="","",RANK(N312,$N$5:$N$337))</f>
        <v>211</v>
      </c>
      <c r="P312" s="17" t="str">
        <f aca="false">IF(AND(N(H312)&gt;=N(K312),N(H312)&gt;=N(N312)),"The Pulse",IF(N(K312)&gt;=N(N312),"The Lens","The Hub"))</f>
        <v>The Hub</v>
      </c>
      <c r="Q312" s="22" t="s">
        <v>83</v>
      </c>
      <c r="R312" s="27" t="s">
        <v>671</v>
      </c>
      <c r="S312" s="17" t="s">
        <v>84</v>
      </c>
    </row>
    <row r="313" customFormat="false" ht="15" hidden="false" customHeight="false" outlineLevel="0" collapsed="false">
      <c r="A313" s="17" t="s">
        <v>1155</v>
      </c>
      <c r="B313" s="17" t="s">
        <v>1156</v>
      </c>
      <c r="C313" s="17" t="s">
        <v>1914</v>
      </c>
      <c r="D313" s="17" t="s">
        <v>102</v>
      </c>
      <c r="E313" s="18" t="n">
        <v>77960</v>
      </c>
      <c r="F313" s="17" t="s">
        <v>667</v>
      </c>
      <c r="G313" s="23" t="n">
        <v>1.19135454079015</v>
      </c>
      <c r="H313" s="19" t="n">
        <v>8.5</v>
      </c>
      <c r="I313" s="17" t="n">
        <f aca="false">IF(H313="","",RANK(H313,$H$5:$H$337))</f>
        <v>309</v>
      </c>
      <c r="J313" s="24" t="n">
        <v>-0.0237916353618833</v>
      </c>
      <c r="K313" s="19" t="n">
        <v>7.9</v>
      </c>
      <c r="L313" s="17" t="n">
        <f aca="false">IF(K313="","",RANK(K313,$K$5:$K$337))</f>
        <v>306</v>
      </c>
      <c r="M313" s="25" t="n">
        <v>0.292539815590947</v>
      </c>
      <c r="N313" s="19" t="n">
        <v>89.4</v>
      </c>
      <c r="O313" s="17" t="n">
        <f aca="false">IF(N313="","",RANK(N313,$N$5:$N$337))</f>
        <v>40</v>
      </c>
      <c r="P313" s="17" t="str">
        <f aca="false">IF(AND(N(H313)&gt;=N(K313),N(H313)&gt;=N(N313)),"The Pulse",IF(N(K313)&gt;=N(N313),"The Lens","The Hub"))</f>
        <v>The Hub</v>
      </c>
      <c r="Q313" s="21" t="s">
        <v>78</v>
      </c>
      <c r="R313" s="26" t="s">
        <v>668</v>
      </c>
      <c r="S313" s="17" t="s">
        <v>21</v>
      </c>
    </row>
    <row r="314" customFormat="false" ht="15" hidden="false" customHeight="false" outlineLevel="0" collapsed="false">
      <c r="A314" s="17" t="s">
        <v>545</v>
      </c>
      <c r="B314" s="17" t="s">
        <v>546</v>
      </c>
      <c r="C314" s="17" t="s">
        <v>1915</v>
      </c>
      <c r="D314" s="17" t="s">
        <v>92</v>
      </c>
      <c r="E314" s="18" t="n">
        <v>175451</v>
      </c>
      <c r="F314" s="17" t="s">
        <v>670</v>
      </c>
      <c r="G314" s="23" t="n">
        <v>1.1890271357815</v>
      </c>
      <c r="H314" s="19" t="n">
        <v>8.2</v>
      </c>
      <c r="I314" s="17" t="n">
        <f aca="false">IF(H314="","",RANK(H314,$H$5:$H$337))</f>
        <v>310</v>
      </c>
      <c r="J314" s="24" t="n">
        <v>0.0744024837569886</v>
      </c>
      <c r="K314" s="19" t="n">
        <v>47</v>
      </c>
      <c r="L314" s="17" t="n">
        <f aca="false">IF(K314="","",RANK(K314,$K$5:$K$337))</f>
        <v>177</v>
      </c>
      <c r="M314" s="25" t="n">
        <v>0.163982699917181</v>
      </c>
      <c r="N314" s="19" t="n">
        <v>62.4</v>
      </c>
      <c r="O314" s="17" t="n">
        <f aca="false">IF(N314="","",RANK(N314,$N$5:$N$337))</f>
        <v>128</v>
      </c>
      <c r="P314" s="17" t="str">
        <f aca="false">IF(AND(N(H314)&gt;=N(K314),N(H314)&gt;=N(N314)),"The Pulse",IF(N(K314)&gt;=N(N314),"The Lens","The Hub"))</f>
        <v>The Hub</v>
      </c>
      <c r="Q314" s="20" t="s">
        <v>74</v>
      </c>
      <c r="R314" s="27" t="s">
        <v>671</v>
      </c>
      <c r="S314" s="17" t="s">
        <v>19</v>
      </c>
    </row>
    <row r="315" customFormat="false" ht="15" hidden="false" customHeight="false" outlineLevel="0" collapsed="false">
      <c r="A315" s="17" t="s">
        <v>641</v>
      </c>
      <c r="B315" s="17" t="s">
        <v>642</v>
      </c>
      <c r="C315" s="17" t="s">
        <v>1916</v>
      </c>
      <c r="D315" s="17" t="s">
        <v>114</v>
      </c>
      <c r="E315" s="18" t="n">
        <v>74440</v>
      </c>
      <c r="F315" s="17" t="s">
        <v>667</v>
      </c>
      <c r="G315" s="23" t="n">
        <v>1.16968027941967</v>
      </c>
      <c r="H315" s="19" t="n">
        <v>7.8</v>
      </c>
      <c r="I315" s="17" t="n">
        <f aca="false">IF(H315="","",RANK(H315,$H$5:$H$337))</f>
        <v>311</v>
      </c>
      <c r="J315" s="24" t="n">
        <v>0.132494561165964</v>
      </c>
      <c r="K315" s="19" t="n">
        <v>70.5</v>
      </c>
      <c r="L315" s="17" t="n">
        <f aca="false">IF(K315="","",RANK(K315,$K$5:$K$337))</f>
        <v>100</v>
      </c>
      <c r="M315" s="25" t="n">
        <v>0.123936426392679</v>
      </c>
      <c r="N315" s="19" t="n">
        <v>46.1</v>
      </c>
      <c r="O315" s="17" t="n">
        <f aca="false">IF(N315="","",RANK(N315,$N$5:$N$337))</f>
        <v>177</v>
      </c>
      <c r="P315" s="17" t="str">
        <f aca="false">IF(AND(N(H315)&gt;=N(K315),N(H315)&gt;=N(N315)),"The Pulse",IF(N(K315)&gt;=N(N315),"The Lens","The Hub"))</f>
        <v>The Lens</v>
      </c>
      <c r="Q315" s="20" t="s">
        <v>74</v>
      </c>
      <c r="R315" s="27" t="s">
        <v>671</v>
      </c>
      <c r="S315" s="17" t="s">
        <v>19</v>
      </c>
    </row>
    <row r="316" customFormat="false" ht="15" hidden="false" customHeight="false" outlineLevel="0" collapsed="false">
      <c r="A316" s="17" t="s">
        <v>589</v>
      </c>
      <c r="B316" s="17" t="s">
        <v>590</v>
      </c>
      <c r="C316" s="17" t="s">
        <v>1917</v>
      </c>
      <c r="D316" s="17" t="s">
        <v>105</v>
      </c>
      <c r="E316" s="18" t="n">
        <v>29950</v>
      </c>
      <c r="F316" s="17" t="s">
        <v>667</v>
      </c>
      <c r="G316" s="23" t="n">
        <v>1.16584307178631</v>
      </c>
      <c r="H316" s="19" t="n">
        <v>7.6</v>
      </c>
      <c r="I316" s="17" t="n">
        <f aca="false">IF(H316="","",RANK(H316,$H$5:$H$337))</f>
        <v>312</v>
      </c>
      <c r="J316" s="24" t="n">
        <v>-0.0259529075061793</v>
      </c>
      <c r="K316" s="19" t="n">
        <v>7.1</v>
      </c>
      <c r="L316" s="17" t="n">
        <f aca="false">IF(K316="","",RANK(K316,$K$5:$K$337))</f>
        <v>309</v>
      </c>
      <c r="M316" s="25" t="n">
        <v>0.158110882956879</v>
      </c>
      <c r="N316" s="19" t="n">
        <v>59.8</v>
      </c>
      <c r="O316" s="17" t="n">
        <f aca="false">IF(N316="","",RANK(N316,$N$5:$N$337))</f>
        <v>136</v>
      </c>
      <c r="P316" s="17" t="str">
        <f aca="false">IF(AND(N(H316)&gt;=N(K316),N(H316)&gt;=N(N316)),"The Pulse",IF(N(K316)&gt;=N(N316),"The Lens","The Hub"))</f>
        <v>The Hub</v>
      </c>
      <c r="Q316" s="20" t="s">
        <v>74</v>
      </c>
      <c r="R316" s="27" t="s">
        <v>671</v>
      </c>
      <c r="S316" s="17" t="s">
        <v>19</v>
      </c>
    </row>
    <row r="317" customFormat="false" ht="15" hidden="false" customHeight="false" outlineLevel="0" collapsed="false">
      <c r="A317" s="17" t="s">
        <v>1323</v>
      </c>
      <c r="B317" s="17" t="s">
        <v>1324</v>
      </c>
      <c r="C317" s="17" t="s">
        <v>1918</v>
      </c>
      <c r="D317" s="17" t="s">
        <v>102</v>
      </c>
      <c r="E317" s="18" t="n">
        <v>2417</v>
      </c>
      <c r="F317" s="17" t="s">
        <v>678</v>
      </c>
      <c r="G317" s="23" t="n">
        <v>1.15142738932561</v>
      </c>
      <c r="H317" s="19" t="n">
        <v>7.4</v>
      </c>
      <c r="I317" s="17" t="n">
        <f aca="false">IF(H317="","",RANK(H317,$H$5:$H$337))</f>
        <v>313</v>
      </c>
      <c r="J317" s="24" t="n">
        <v>-0.0254032258064516</v>
      </c>
      <c r="K317" s="19" t="n">
        <v>4.2</v>
      </c>
      <c r="L317" s="17" t="n">
        <f aca="false">IF(K317="","",RANK(K317,$K$5:$K$337))</f>
        <v>319</v>
      </c>
      <c r="M317" s="25" t="n">
        <v>0.277272727272727</v>
      </c>
      <c r="N317" s="19" t="n">
        <v>87</v>
      </c>
      <c r="O317" s="17" t="n">
        <f aca="false">IF(N317="","",RANK(N317,$N$5:$N$337))</f>
        <v>47</v>
      </c>
      <c r="P317" s="17" t="str">
        <f aca="false">IF(AND(N(H317)&gt;=N(K317),N(H317)&gt;=N(N317)),"The Pulse",IF(N(K317)&gt;=N(N317),"The Lens","The Hub"))</f>
        <v>The Hub</v>
      </c>
      <c r="Q317" s="20" t="s">
        <v>74</v>
      </c>
      <c r="R317" s="26" t="s">
        <v>668</v>
      </c>
      <c r="S317" s="17" t="s">
        <v>19</v>
      </c>
    </row>
    <row r="318" customFormat="false" ht="15" hidden="false" customHeight="false" outlineLevel="0" collapsed="false">
      <c r="A318" s="17" t="s">
        <v>1919</v>
      </c>
      <c r="B318" s="17" t="s">
        <v>1920</v>
      </c>
      <c r="C318" s="17" t="s">
        <v>1921</v>
      </c>
      <c r="D318" s="17" t="s">
        <v>72</v>
      </c>
      <c r="E318" s="18" t="n">
        <v>125400</v>
      </c>
      <c r="F318" s="17" t="s">
        <v>670</v>
      </c>
      <c r="G318" s="23" t="n">
        <v>1.11174641148325</v>
      </c>
      <c r="H318" s="19" t="n">
        <v>7.2</v>
      </c>
      <c r="I318" s="17" t="n">
        <f aca="false">IF(H318="","",RANK(H318,$H$5:$H$337))</f>
        <v>314</v>
      </c>
      <c r="J318" s="24" t="n">
        <v>0.0377358490566038</v>
      </c>
      <c r="K318" s="19" t="n">
        <v>25.2</v>
      </c>
      <c r="L318" s="17" t="n">
        <f aca="false">IF(K318="","",RANK(K318,$K$5:$K$337))</f>
        <v>251</v>
      </c>
      <c r="M318" s="25" t="n">
        <v>0.24633714377717</v>
      </c>
      <c r="N318" s="19" t="n">
        <v>81.6</v>
      </c>
      <c r="O318" s="17" t="n">
        <f aca="false">IF(N318="","",RANK(N318,$N$5:$N$337))</f>
        <v>64</v>
      </c>
      <c r="P318" s="17" t="str">
        <f aca="false">IF(AND(N(H318)&gt;=N(K318),N(H318)&gt;=N(N318)),"The Pulse",IF(N(K318)&gt;=N(N318),"The Lens","The Hub"))</f>
        <v>The Hub</v>
      </c>
      <c r="Q318" s="21" t="s">
        <v>78</v>
      </c>
      <c r="R318" s="26" t="s">
        <v>668</v>
      </c>
      <c r="S318" s="17" t="s">
        <v>21</v>
      </c>
    </row>
    <row r="319" customFormat="false" ht="15" hidden="false" customHeight="false" outlineLevel="0" collapsed="false">
      <c r="A319" s="17" t="s">
        <v>1922</v>
      </c>
      <c r="B319" s="17" t="s">
        <v>1923</v>
      </c>
      <c r="C319" s="17" t="s">
        <v>1924</v>
      </c>
      <c r="D319" s="17" t="s">
        <v>72</v>
      </c>
      <c r="E319" s="18" t="n">
        <v>362366</v>
      </c>
      <c r="F319" s="17" t="s">
        <v>670</v>
      </c>
      <c r="G319" s="23" t="n">
        <v>1.06424995722557</v>
      </c>
      <c r="H319" s="19" t="n">
        <v>7</v>
      </c>
      <c r="I319" s="17" t="n">
        <f aca="false">IF(H319="","",RANK(H319,$H$5:$H$337))</f>
        <v>315</v>
      </c>
      <c r="J319" s="24" t="n">
        <v>-0.00586005015061646</v>
      </c>
      <c r="K319" s="19" t="n">
        <v>8.6</v>
      </c>
      <c r="L319" s="17" t="n">
        <f aca="false">IF(K319="","",RANK(K319,$K$5:$K$337))</f>
        <v>303</v>
      </c>
      <c r="M319" s="25" t="n">
        <v>0.09959040374488</v>
      </c>
      <c r="N319" s="19" t="n">
        <v>32.1</v>
      </c>
      <c r="O319" s="17" t="n">
        <f aca="false">IF(N319="","",RANK(N319,$N$5:$N$337))</f>
        <v>225</v>
      </c>
      <c r="P319" s="17" t="str">
        <f aca="false">IF(AND(N(H319)&gt;=N(K319),N(H319)&gt;=N(N319)),"The Pulse",IF(N(K319)&gt;=N(N319),"The Lens","The Hub"))</f>
        <v>The Hub</v>
      </c>
      <c r="Q319" s="20" t="s">
        <v>74</v>
      </c>
      <c r="R319" s="26" t="s">
        <v>668</v>
      </c>
      <c r="S319" s="17" t="s">
        <v>19</v>
      </c>
    </row>
    <row r="320" customFormat="false" ht="15" hidden="false" customHeight="false" outlineLevel="0" collapsed="false">
      <c r="A320" s="17" t="s">
        <v>1925</v>
      </c>
      <c r="B320" s="17" t="s">
        <v>1926</v>
      </c>
      <c r="C320" s="17" t="s">
        <v>1927</v>
      </c>
      <c r="D320" s="17" t="s">
        <v>77</v>
      </c>
      <c r="E320" s="18" t="n">
        <v>63900</v>
      </c>
      <c r="F320" s="17" t="s">
        <v>667</v>
      </c>
      <c r="G320" s="23" t="n">
        <v>1.06206572769953</v>
      </c>
      <c r="H320" s="19" t="n">
        <v>6.8</v>
      </c>
      <c r="I320" s="17" t="n">
        <f aca="false">IF(H320="","",RANK(H320,$H$5:$H$337))</f>
        <v>316</v>
      </c>
      <c r="J320" s="24" t="n">
        <v>0.019789339291414</v>
      </c>
      <c r="K320" s="19" t="n">
        <v>17</v>
      </c>
      <c r="L320" s="17" t="n">
        <f aca="false">IF(K320="","",RANK(K320,$K$5:$K$337))</f>
        <v>278</v>
      </c>
      <c r="M320" s="25" t="n">
        <v>0.142832499568742</v>
      </c>
      <c r="N320" s="19" t="n">
        <v>53.6</v>
      </c>
      <c r="O320" s="17" t="n">
        <f aca="false">IF(N320="","",RANK(N320,$N$5:$N$337))</f>
        <v>154</v>
      </c>
      <c r="P320" s="17" t="str">
        <f aca="false">IF(AND(N(H320)&gt;=N(K320),N(H320)&gt;=N(N320)),"The Pulse",IF(N(K320)&gt;=N(N320),"The Lens","The Hub"))</f>
        <v>The Hub</v>
      </c>
      <c r="Q320" s="21" t="s">
        <v>78</v>
      </c>
      <c r="R320" s="26" t="s">
        <v>668</v>
      </c>
      <c r="S320" s="17" t="s">
        <v>21</v>
      </c>
    </row>
    <row r="321" customFormat="false" ht="15" hidden="false" customHeight="false" outlineLevel="0" collapsed="false">
      <c r="A321" s="17" t="s">
        <v>1928</v>
      </c>
      <c r="B321" s="17" t="s">
        <v>1929</v>
      </c>
      <c r="C321" s="17" t="s">
        <v>1930</v>
      </c>
      <c r="D321" s="17" t="s">
        <v>105</v>
      </c>
      <c r="E321" s="18" t="n">
        <v>45016</v>
      </c>
      <c r="F321" s="17" t="s">
        <v>667</v>
      </c>
      <c r="G321" s="23" t="n">
        <v>1.05789052781233</v>
      </c>
      <c r="H321" s="19" t="n">
        <v>6.6</v>
      </c>
      <c r="I321" s="17" t="n">
        <f aca="false">IF(H321="","",RANK(H321,$H$5:$H$337))</f>
        <v>317</v>
      </c>
      <c r="J321" s="24" t="n">
        <v>0.0567136150234742</v>
      </c>
      <c r="K321" s="19" t="n">
        <v>33.2</v>
      </c>
      <c r="L321" s="17" t="n">
        <f aca="false">IF(K321="","",RANK(K321,$K$5:$K$337))</f>
        <v>226</v>
      </c>
      <c r="M321" s="25" t="n">
        <v>0.13708579210168</v>
      </c>
      <c r="N321" s="19" t="n">
        <v>50.8</v>
      </c>
      <c r="O321" s="17" t="n">
        <f aca="false">IF(N321="","",RANK(N321,$N$5:$N$337))</f>
        <v>163</v>
      </c>
      <c r="P321" s="17" t="str">
        <f aca="false">IF(AND(N(H321)&gt;=N(K321),N(H321)&gt;=N(N321)),"The Pulse",IF(N(K321)&gt;=N(N321),"The Lens","The Hub"))</f>
        <v>The Hub</v>
      </c>
      <c r="Q321" s="20" t="s">
        <v>74</v>
      </c>
      <c r="R321" s="26" t="s">
        <v>668</v>
      </c>
      <c r="S321" s="17" t="s">
        <v>19</v>
      </c>
    </row>
    <row r="322" customFormat="false" ht="15" hidden="false" customHeight="false" outlineLevel="0" collapsed="false">
      <c r="A322" s="17" t="s">
        <v>1931</v>
      </c>
      <c r="B322" s="17" t="s">
        <v>1932</v>
      </c>
      <c r="C322" s="17" t="s">
        <v>1933</v>
      </c>
      <c r="D322" s="17" t="s">
        <v>105</v>
      </c>
      <c r="E322" s="18" t="n">
        <v>57036</v>
      </c>
      <c r="F322" s="17" t="s">
        <v>667</v>
      </c>
      <c r="G322" s="23" t="n">
        <v>1.04391962970755</v>
      </c>
      <c r="H322" s="19" t="n">
        <v>6.3</v>
      </c>
      <c r="I322" s="17" t="n">
        <f aca="false">IF(H322="","",RANK(H322,$H$5:$H$337))</f>
        <v>318</v>
      </c>
      <c r="J322" s="24" t="n">
        <v>-0.0338776339860424</v>
      </c>
      <c r="K322" s="19" t="n">
        <v>6.2</v>
      </c>
      <c r="L322" s="17" t="n">
        <f aca="false">IF(K322="","",RANK(K322,$K$5:$K$337))</f>
        <v>311</v>
      </c>
      <c r="M322" s="25" t="n">
        <v>0.0547862733293197</v>
      </c>
      <c r="N322" s="19" t="n">
        <v>15.3</v>
      </c>
      <c r="O322" s="17" t="n">
        <f aca="false">IF(N322="","",RANK(N322,$N$5:$N$337))</f>
        <v>283</v>
      </c>
      <c r="P322" s="17" t="str">
        <f aca="false">IF(AND(N(H322)&gt;=N(K322),N(H322)&gt;=N(N322)),"The Pulse",IF(N(K322)&gt;=N(N322),"The Lens","The Hub"))</f>
        <v>The Hub</v>
      </c>
      <c r="Q322" s="20" t="s">
        <v>74</v>
      </c>
      <c r="R322" s="26" t="s">
        <v>668</v>
      </c>
      <c r="S322" s="17" t="s">
        <v>19</v>
      </c>
    </row>
    <row r="323" customFormat="false" ht="15" hidden="false" customHeight="false" outlineLevel="0" collapsed="false">
      <c r="A323" s="17" t="s">
        <v>1169</v>
      </c>
      <c r="B323" s="17" t="s">
        <v>1170</v>
      </c>
      <c r="C323" s="17" t="s">
        <v>1934</v>
      </c>
      <c r="D323" s="17" t="s">
        <v>102</v>
      </c>
      <c r="E323" s="18" t="n">
        <v>264497</v>
      </c>
      <c r="F323" s="17" t="s">
        <v>670</v>
      </c>
      <c r="G323" s="23" t="n">
        <v>1.03416112123127</v>
      </c>
      <c r="H323" s="19" t="n">
        <v>6.1</v>
      </c>
      <c r="I323" s="17" t="n">
        <f aca="false">IF(H323="","",RANK(H323,$H$5:$H$337))</f>
        <v>319</v>
      </c>
      <c r="J323" s="24" t="n">
        <v>0.214988860561795</v>
      </c>
      <c r="K323" s="19" t="n">
        <v>98.7</v>
      </c>
      <c r="L323" s="17" t="n">
        <f aca="false">IF(K323="","",RANK(K323,$K$5:$K$337))</f>
        <v>7</v>
      </c>
      <c r="M323" s="25" t="n">
        <v>0.15997695410025</v>
      </c>
      <c r="N323" s="19" t="n">
        <v>60.6</v>
      </c>
      <c r="O323" s="17" t="n">
        <f aca="false">IF(N323="","",RANK(N323,$N$5:$N$337))</f>
        <v>133</v>
      </c>
      <c r="P323" s="17" t="str">
        <f aca="false">IF(AND(N(H323)&gt;=N(K323),N(H323)&gt;=N(N323)),"The Pulse",IF(N(K323)&gt;=N(N323),"The Lens","The Hub"))</f>
        <v>The Lens</v>
      </c>
      <c r="Q323" s="21" t="s">
        <v>78</v>
      </c>
      <c r="R323" s="26" t="s">
        <v>668</v>
      </c>
      <c r="S323" s="17" t="s">
        <v>126</v>
      </c>
    </row>
    <row r="324" customFormat="false" ht="15" hidden="false" customHeight="false" outlineLevel="0" collapsed="false">
      <c r="A324" s="17" t="s">
        <v>551</v>
      </c>
      <c r="B324" s="17" t="s">
        <v>552</v>
      </c>
      <c r="C324" s="17" t="s">
        <v>1935</v>
      </c>
      <c r="D324" s="17" t="s">
        <v>114</v>
      </c>
      <c r="E324" s="18" t="n">
        <v>11444</v>
      </c>
      <c r="F324" s="17" t="s">
        <v>667</v>
      </c>
      <c r="G324" s="23" t="n">
        <v>0.996067808458581</v>
      </c>
      <c r="H324" s="19" t="n">
        <v>5.7</v>
      </c>
      <c r="I324" s="17" t="n">
        <f aca="false">IF(H324="","",RANK(H324,$H$5:$H$337))</f>
        <v>320</v>
      </c>
      <c r="J324" s="24" t="n">
        <v>-0.0895783611774065</v>
      </c>
      <c r="K324" s="19" t="n">
        <v>2.1</v>
      </c>
      <c r="L324" s="17" t="n">
        <f aca="false">IF(K324="","",RANK(K324,$K$5:$K$337))</f>
        <v>327</v>
      </c>
      <c r="M324" s="25" t="n">
        <v>0.117206982543641</v>
      </c>
      <c r="N324" s="19" t="n">
        <v>40.4</v>
      </c>
      <c r="O324" s="17" t="n">
        <f aca="false">IF(N324="","",RANK(N324,$N$5:$N$337))</f>
        <v>197</v>
      </c>
      <c r="P324" s="17" t="str">
        <f aca="false">IF(AND(N(H324)&gt;=N(K324),N(H324)&gt;=N(N324)),"The Pulse",IF(N(K324)&gt;=N(N324),"The Lens","The Hub"))</f>
        <v>The Hub</v>
      </c>
      <c r="Q324" s="20" t="s">
        <v>74</v>
      </c>
      <c r="R324" s="27" t="s">
        <v>671</v>
      </c>
      <c r="S324" s="17" t="s">
        <v>19</v>
      </c>
    </row>
    <row r="325" customFormat="false" ht="15" hidden="false" customHeight="false" outlineLevel="0" collapsed="false">
      <c r="A325" s="17" t="s">
        <v>373</v>
      </c>
      <c r="B325" s="17" t="s">
        <v>374</v>
      </c>
      <c r="C325" s="17" t="s">
        <v>1936</v>
      </c>
      <c r="D325" s="17" t="s">
        <v>102</v>
      </c>
      <c r="E325" s="18" t="n">
        <v>65441</v>
      </c>
      <c r="F325" s="17" t="s">
        <v>667</v>
      </c>
      <c r="G325" s="23" t="n">
        <v>0.988569856817592</v>
      </c>
      <c r="H325" s="19" t="n">
        <v>5.5</v>
      </c>
      <c r="I325" s="17" t="n">
        <f aca="false">IF(H325="","",RANK(H325,$H$5:$H$337))</f>
        <v>321</v>
      </c>
      <c r="J325" s="24" t="n">
        <v>0.128098603689019</v>
      </c>
      <c r="K325" s="19" t="n">
        <v>68.9</v>
      </c>
      <c r="L325" s="17" t="n">
        <f aca="false">IF(K325="","",RANK(K325,$K$5:$K$337))</f>
        <v>104</v>
      </c>
      <c r="M325" s="25" t="n">
        <v>0.24046502141546</v>
      </c>
      <c r="N325" s="19" t="n">
        <v>81.1</v>
      </c>
      <c r="O325" s="17" t="n">
        <f aca="false">IF(N325="","",RANK(N325,$N$5:$N$337))</f>
        <v>66</v>
      </c>
      <c r="P325" s="17" t="str">
        <f aca="false">IF(AND(N(H325)&gt;=N(K325),N(H325)&gt;=N(N325)),"The Pulse",IF(N(K325)&gt;=N(N325),"The Lens","The Hub"))</f>
        <v>The Hub</v>
      </c>
      <c r="Q325" s="20" t="s">
        <v>74</v>
      </c>
      <c r="R325" s="27" t="s">
        <v>671</v>
      </c>
      <c r="S325" s="17" t="s">
        <v>19</v>
      </c>
    </row>
    <row r="326" customFormat="false" ht="15" hidden="false" customHeight="false" outlineLevel="0" collapsed="false">
      <c r="A326" s="17" t="s">
        <v>521</v>
      </c>
      <c r="B326" s="17" t="s">
        <v>522</v>
      </c>
      <c r="C326" s="17" t="s">
        <v>1937</v>
      </c>
      <c r="D326" s="17" t="s">
        <v>114</v>
      </c>
      <c r="E326" s="18" t="n">
        <v>22013</v>
      </c>
      <c r="F326" s="17" t="s">
        <v>667</v>
      </c>
      <c r="G326" s="23" t="n">
        <v>0.979057829464407</v>
      </c>
      <c r="H326" s="19" t="n">
        <v>5.3</v>
      </c>
      <c r="I326" s="17" t="n">
        <f aca="false">IF(H326="","",RANK(H326,$H$5:$H$337))</f>
        <v>322</v>
      </c>
      <c r="J326" s="24" t="n">
        <v>0.0808700775802809</v>
      </c>
      <c r="K326" s="19" t="n">
        <v>45.6</v>
      </c>
      <c r="L326" s="17" t="n">
        <f aca="false">IF(K326="","",RANK(K326,$K$5:$K$337))</f>
        <v>181</v>
      </c>
      <c r="M326" s="25" t="n">
        <v>0.124497991967872</v>
      </c>
      <c r="N326" s="19" t="n">
        <v>46.9</v>
      </c>
      <c r="O326" s="17" t="n">
        <f aca="false">IF(N326="","",RANK(N326,$N$5:$N$337))</f>
        <v>174</v>
      </c>
      <c r="P326" s="17" t="str">
        <f aca="false">IF(AND(N(H326)&gt;=N(K326),N(H326)&gt;=N(N326)),"The Pulse",IF(N(K326)&gt;=N(N326),"The Lens","The Hub"))</f>
        <v>The Hub</v>
      </c>
      <c r="Q326" s="20" t="s">
        <v>74</v>
      </c>
      <c r="R326" s="27" t="s">
        <v>671</v>
      </c>
      <c r="S326" s="17" t="s">
        <v>19</v>
      </c>
    </row>
    <row r="327" customFormat="false" ht="15" hidden="false" customHeight="false" outlineLevel="0" collapsed="false">
      <c r="A327" s="17" t="s">
        <v>1116</v>
      </c>
      <c r="B327" s="17" t="s">
        <v>1117</v>
      </c>
      <c r="C327" s="17" t="s">
        <v>1938</v>
      </c>
      <c r="D327" s="17" t="s">
        <v>114</v>
      </c>
      <c r="E327" s="18" t="n">
        <v>12490</v>
      </c>
      <c r="F327" s="17" t="s">
        <v>667</v>
      </c>
      <c r="G327" s="23" t="n">
        <v>0.977181745396317</v>
      </c>
      <c r="H327" s="19" t="n">
        <v>5.1</v>
      </c>
      <c r="I327" s="17" t="n">
        <f aca="false">IF(H327="","",RANK(H327,$H$5:$H$337))</f>
        <v>323</v>
      </c>
      <c r="J327" s="24" t="n">
        <v>0.135454545454546</v>
      </c>
      <c r="K327" s="19" t="n">
        <v>72.2</v>
      </c>
      <c r="L327" s="17" t="n">
        <f aca="false">IF(K327="","",RANK(K327,$K$5:$K$337))</f>
        <v>93</v>
      </c>
      <c r="M327" s="25" t="n">
        <v>0.200595829195631</v>
      </c>
      <c r="N327" s="19" t="n">
        <v>71.8</v>
      </c>
      <c r="O327" s="17" t="n">
        <f aca="false">IF(N327="","",RANK(N327,$N$5:$N$337))</f>
        <v>99</v>
      </c>
      <c r="P327" s="17" t="str">
        <f aca="false">IF(AND(N(H327)&gt;=N(K327),N(H327)&gt;=N(N327)),"The Pulse",IF(N(K327)&gt;=N(N327),"The Lens","The Hub"))</f>
        <v>The Lens</v>
      </c>
      <c r="Q327" s="21" t="s">
        <v>78</v>
      </c>
      <c r="R327" s="26" t="s">
        <v>668</v>
      </c>
      <c r="S327" s="17" t="s">
        <v>21</v>
      </c>
    </row>
    <row r="328" customFormat="false" ht="15" hidden="false" customHeight="false" outlineLevel="0" collapsed="false">
      <c r="A328" s="17" t="s">
        <v>1939</v>
      </c>
      <c r="B328" s="17" t="s">
        <v>1940</v>
      </c>
      <c r="C328" s="17" t="s">
        <v>1941</v>
      </c>
      <c r="D328" s="17"/>
      <c r="E328" s="18" t="n">
        <v>499820</v>
      </c>
      <c r="F328" s="17" t="s">
        <v>670</v>
      </c>
      <c r="G328" s="23" t="n">
        <v>0.957032531711416</v>
      </c>
      <c r="H328" s="19" t="n">
        <v>4.9</v>
      </c>
      <c r="I328" s="17" t="n">
        <f aca="false">IF(H328="","",RANK(H328,$H$5:$H$337))</f>
        <v>324</v>
      </c>
      <c r="J328" s="24" t="n">
        <v>0.113160063250262</v>
      </c>
      <c r="K328" s="19" t="n">
        <v>67.5</v>
      </c>
      <c r="L328" s="17" t="n">
        <f aca="false">IF(K328="","",RANK(K328,$K$5:$K$337))</f>
        <v>108</v>
      </c>
      <c r="M328" s="25" t="n">
        <v>0.0779691749773346</v>
      </c>
      <c r="N328" s="19" t="n">
        <v>23.8</v>
      </c>
      <c r="O328" s="17" t="n">
        <f aca="false">IF(N328="","",RANK(N328,$N$5:$N$337))</f>
        <v>255</v>
      </c>
      <c r="P328" s="17" t="str">
        <f aca="false">IF(AND(N(H328)&gt;=N(K328),N(H328)&gt;=N(N328)),"The Pulse",IF(N(K328)&gt;=N(N328),"The Lens","The Hub"))</f>
        <v>The Lens</v>
      </c>
      <c r="Q328" s="21" t="s">
        <v>78</v>
      </c>
      <c r="R328" s="26" t="s">
        <v>668</v>
      </c>
      <c r="S328" s="17" t="s">
        <v>21</v>
      </c>
    </row>
    <row r="329" customFormat="false" ht="15" hidden="false" customHeight="false" outlineLevel="0" collapsed="false">
      <c r="A329" s="17" t="s">
        <v>571</v>
      </c>
      <c r="B329" s="17" t="s">
        <v>572</v>
      </c>
      <c r="C329" s="17" t="s">
        <v>1942</v>
      </c>
      <c r="D329" s="17" t="s">
        <v>72</v>
      </c>
      <c r="E329" s="18" t="n">
        <v>110175</v>
      </c>
      <c r="F329" s="17" t="s">
        <v>670</v>
      </c>
      <c r="G329" s="23" t="n">
        <v>0.788028137054686</v>
      </c>
      <c r="H329" s="19" t="n">
        <v>3.6</v>
      </c>
      <c r="I329" s="17" t="n">
        <f aca="false">IF(H329="","",RANK(H329,$H$5:$H$337))</f>
        <v>325</v>
      </c>
      <c r="J329" s="24" t="n">
        <v>0.028788331528032</v>
      </c>
      <c r="K329" s="19" t="n">
        <v>21.2</v>
      </c>
      <c r="L329" s="17" t="n">
        <f aca="false">IF(K329="","",RANK(K329,$K$5:$K$337))</f>
        <v>262</v>
      </c>
      <c r="M329" s="25" t="n">
        <v>0.0861575178997613</v>
      </c>
      <c r="N329" s="19" t="n">
        <v>26.9</v>
      </c>
      <c r="O329" s="17" t="n">
        <f aca="false">IF(N329="","",RANK(N329,$N$5:$N$337))</f>
        <v>244</v>
      </c>
      <c r="P329" s="17" t="str">
        <f aca="false">IF(AND(N(H329)&gt;=N(K329),N(H329)&gt;=N(N329)),"The Pulse",IF(N(K329)&gt;=N(N329),"The Lens","The Hub"))</f>
        <v>The Hub</v>
      </c>
      <c r="Q329" s="20" t="s">
        <v>74</v>
      </c>
      <c r="R329" s="27" t="s">
        <v>671</v>
      </c>
      <c r="S329" s="17" t="s">
        <v>19</v>
      </c>
    </row>
    <row r="330" customFormat="false" ht="15" hidden="false" customHeight="false" outlineLevel="0" collapsed="false">
      <c r="A330" s="17" t="s">
        <v>1943</v>
      </c>
      <c r="B330" s="17" t="s">
        <v>1944</v>
      </c>
      <c r="C330" s="17" t="s">
        <v>1945</v>
      </c>
      <c r="D330" s="17" t="s">
        <v>105</v>
      </c>
      <c r="E330" s="18" t="n">
        <v>431940</v>
      </c>
      <c r="F330" s="17" t="s">
        <v>670</v>
      </c>
      <c r="G330" s="23" t="n">
        <v>0.758753530582951</v>
      </c>
      <c r="H330" s="19" t="n">
        <v>3.4</v>
      </c>
      <c r="I330" s="17" t="n">
        <f aca="false">IF(H330="","",RANK(H330,$H$5:$H$337))</f>
        <v>326</v>
      </c>
      <c r="J330" s="24" t="n">
        <v>0.0856309849950989</v>
      </c>
      <c r="K330" s="19" t="n">
        <v>51.7</v>
      </c>
      <c r="L330" s="17" t="n">
        <f aca="false">IF(K330="","",RANK(K330,$K$5:$K$337))</f>
        <v>160</v>
      </c>
      <c r="M330" s="25" t="n">
        <v>0.0840795441330387</v>
      </c>
      <c r="N330" s="19" t="n">
        <v>25.6</v>
      </c>
      <c r="O330" s="17" t="n">
        <f aca="false">IF(N330="","",RANK(N330,$N$5:$N$337))</f>
        <v>249</v>
      </c>
      <c r="P330" s="17" t="str">
        <f aca="false">IF(AND(N(H330)&gt;=N(K330),N(H330)&gt;=N(N330)),"The Pulse",IF(N(K330)&gt;=N(N330),"The Lens","The Hub"))</f>
        <v>The Lens</v>
      </c>
      <c r="Q330" s="21" t="s">
        <v>78</v>
      </c>
      <c r="R330" s="26" t="s">
        <v>668</v>
      </c>
      <c r="S330" s="17" t="s">
        <v>21</v>
      </c>
    </row>
    <row r="331" customFormat="false" ht="15" hidden="false" customHeight="false" outlineLevel="0" collapsed="false">
      <c r="A331" s="17" t="s">
        <v>1946</v>
      </c>
      <c r="B331" s="17" t="s">
        <v>1947</v>
      </c>
      <c r="C331" s="17" t="s">
        <v>1948</v>
      </c>
      <c r="D331" s="17" t="s">
        <v>114</v>
      </c>
      <c r="E331" s="18" t="n">
        <v>63015</v>
      </c>
      <c r="F331" s="17" t="s">
        <v>667</v>
      </c>
      <c r="G331" s="23" t="n">
        <v>0.750630802189955</v>
      </c>
      <c r="H331" s="19" t="n">
        <v>3.2</v>
      </c>
      <c r="I331" s="17" t="n">
        <f aca="false">IF(H331="","",RANK(H331,$H$5:$H$337))</f>
        <v>327</v>
      </c>
      <c r="J331" s="24" t="n">
        <v>0.176816628382542</v>
      </c>
      <c r="K331" s="19" t="n">
        <v>88.8</v>
      </c>
      <c r="L331" s="17" t="n">
        <f aca="false">IF(K331="","",RANK(K331,$K$5:$K$337))</f>
        <v>35</v>
      </c>
      <c r="M331" s="25" t="n">
        <v>0.0422778257118205</v>
      </c>
      <c r="N331" s="19" t="n">
        <v>10.4</v>
      </c>
      <c r="O331" s="17" t="n">
        <f aca="false">IF(N331="","",RANK(N331,$N$5:$N$337))</f>
        <v>299</v>
      </c>
      <c r="P331" s="17" t="str">
        <f aca="false">IF(AND(N(H331)&gt;=N(K331),N(H331)&gt;=N(N331)),"The Pulse",IF(N(K331)&gt;=N(N331),"The Lens","The Hub"))</f>
        <v>The Lens</v>
      </c>
      <c r="Q331" s="20" t="s">
        <v>74</v>
      </c>
      <c r="R331" s="26" t="s">
        <v>668</v>
      </c>
      <c r="S331" s="17" t="s">
        <v>19</v>
      </c>
    </row>
    <row r="332" customFormat="false" ht="15" hidden="false" customHeight="false" outlineLevel="0" collapsed="false">
      <c r="A332" s="17" t="s">
        <v>651</v>
      </c>
      <c r="B332" s="17" t="s">
        <v>652</v>
      </c>
      <c r="C332" s="17" t="s">
        <v>1949</v>
      </c>
      <c r="D332" s="17" t="s">
        <v>72</v>
      </c>
      <c r="E332" s="18" t="n">
        <v>544920</v>
      </c>
      <c r="F332" s="17" t="s">
        <v>670</v>
      </c>
      <c r="G332" s="23" t="n">
        <v>0.727196652719665</v>
      </c>
      <c r="H332" s="19" t="n">
        <v>3</v>
      </c>
      <c r="I332" s="17" t="n">
        <f aca="false">IF(H332="","",RANK(H332,$H$5:$H$337))</f>
        <v>328</v>
      </c>
      <c r="J332" s="24" t="n">
        <v>0.00475716340303131</v>
      </c>
      <c r="K332" s="19" t="n">
        <v>12.6</v>
      </c>
      <c r="L332" s="17" t="n">
        <f aca="false">IF(K332="","",RANK(K332,$K$5:$K$337))</f>
        <v>292</v>
      </c>
      <c r="M332" s="25" t="n">
        <v>0.14863865048831</v>
      </c>
      <c r="N332" s="19" t="n">
        <v>56.5</v>
      </c>
      <c r="O332" s="17" t="n">
        <f aca="false">IF(N332="","",RANK(N332,$N$5:$N$337))</f>
        <v>147</v>
      </c>
      <c r="P332" s="17" t="str">
        <f aca="false">IF(AND(N(H332)&gt;=N(K332),N(H332)&gt;=N(N332)),"The Pulse",IF(N(K332)&gt;=N(N332),"The Lens","The Hub"))</f>
        <v>The Hub</v>
      </c>
      <c r="Q332" s="21" t="s">
        <v>78</v>
      </c>
      <c r="R332" s="27" t="s">
        <v>671</v>
      </c>
      <c r="S332" s="17" t="s">
        <v>21</v>
      </c>
    </row>
    <row r="333" customFormat="false" ht="15" hidden="false" customHeight="false" outlineLevel="0" collapsed="false">
      <c r="A333" s="17" t="s">
        <v>377</v>
      </c>
      <c r="B333" s="17" t="s">
        <v>378</v>
      </c>
      <c r="C333" s="17" t="s">
        <v>1950</v>
      </c>
      <c r="D333" s="17" t="s">
        <v>105</v>
      </c>
      <c r="E333" s="18" t="n">
        <v>12480</v>
      </c>
      <c r="F333" s="17" t="s">
        <v>667</v>
      </c>
      <c r="G333" s="23" t="n">
        <v>0.662900641025641</v>
      </c>
      <c r="H333" s="19" t="n">
        <v>2.7</v>
      </c>
      <c r="I333" s="17" t="n">
        <f aca="false">IF(H333="","",RANK(H333,$H$5:$H$337))</f>
        <v>329</v>
      </c>
      <c r="J333" s="24" t="n">
        <v>0.0740103270223752</v>
      </c>
      <c r="K333" s="19" t="n">
        <v>41.9</v>
      </c>
      <c r="L333" s="17" t="n">
        <f aca="false">IF(K333="","",RANK(K333,$K$5:$K$337))</f>
        <v>192</v>
      </c>
      <c r="M333" s="25" t="n">
        <v>0.312684365781711</v>
      </c>
      <c r="N333" s="19" t="n">
        <v>93.5</v>
      </c>
      <c r="O333" s="17" t="n">
        <f aca="false">IF(N333="","",RANK(N333,$N$5:$N$337))</f>
        <v>25</v>
      </c>
      <c r="P333" s="17" t="str">
        <f aca="false">IF(AND(N(H333)&gt;=N(K333),N(H333)&gt;=N(N333)),"The Pulse",IF(N(K333)&gt;=N(N333),"The Lens","The Hub"))</f>
        <v>The Hub</v>
      </c>
      <c r="Q333" s="21" t="s">
        <v>78</v>
      </c>
      <c r="R333" s="27" t="s">
        <v>671</v>
      </c>
      <c r="S333" s="17" t="s">
        <v>21</v>
      </c>
    </row>
    <row r="334" customFormat="false" ht="15" hidden="false" customHeight="false" outlineLevel="0" collapsed="false">
      <c r="A334" s="17" t="s">
        <v>1951</v>
      </c>
      <c r="B334" s="17" t="s">
        <v>1952</v>
      </c>
      <c r="C334" s="17" t="s">
        <v>1953</v>
      </c>
      <c r="D334" s="17" t="s">
        <v>72</v>
      </c>
      <c r="E334" s="18" t="n">
        <v>264610</v>
      </c>
      <c r="F334" s="17" t="s">
        <v>670</v>
      </c>
      <c r="G334" s="23" t="n">
        <v>0.630206719322777</v>
      </c>
      <c r="H334" s="19" t="n">
        <v>2.1</v>
      </c>
      <c r="I334" s="17" t="n">
        <f aca="false">IF(H334="","",RANK(H334,$H$5:$H$337))</f>
        <v>330</v>
      </c>
      <c r="J334" s="24" t="n">
        <v>0.0919407419634383</v>
      </c>
      <c r="K334" s="19" t="n">
        <v>57.6</v>
      </c>
      <c r="L334" s="17" t="n">
        <f aca="false">IF(K334="","",RANK(K334,$K$5:$K$337))</f>
        <v>139</v>
      </c>
      <c r="M334" s="25" t="n">
        <v>0.102258469259724</v>
      </c>
      <c r="N334" s="19" t="n">
        <v>33.4</v>
      </c>
      <c r="O334" s="17" t="n">
        <f aca="false">IF(N334="","",RANK(N334,$N$5:$N$337))</f>
        <v>221</v>
      </c>
      <c r="P334" s="17" t="str">
        <f aca="false">IF(AND(N(H334)&gt;=N(K334),N(H334)&gt;=N(N334)),"The Pulse",IF(N(K334)&gt;=N(N334),"The Lens","The Hub"))</f>
        <v>The Lens</v>
      </c>
      <c r="Q334" s="21" t="s">
        <v>78</v>
      </c>
      <c r="R334" s="26" t="s">
        <v>668</v>
      </c>
      <c r="S334" s="17" t="s">
        <v>21</v>
      </c>
    </row>
    <row r="335" customFormat="false" ht="15" hidden="false" customHeight="false" outlineLevel="0" collapsed="false">
      <c r="A335" s="17" t="s">
        <v>509</v>
      </c>
      <c r="B335" s="17" t="s">
        <v>510</v>
      </c>
      <c r="C335" s="17" t="s">
        <v>1954</v>
      </c>
      <c r="D335" s="17" t="s">
        <v>92</v>
      </c>
      <c r="E335" s="18" t="n">
        <v>39700</v>
      </c>
      <c r="F335" s="17" t="s">
        <v>667</v>
      </c>
      <c r="G335" s="23" t="n">
        <v>0.624861460957179</v>
      </c>
      <c r="H335" s="19" t="n">
        <v>1.9</v>
      </c>
      <c r="I335" s="17" t="n">
        <f aca="false">IF(H335="","",RANK(H335,$H$5:$H$337))</f>
        <v>331</v>
      </c>
      <c r="J335" s="24" t="n">
        <v>0.155413271245634</v>
      </c>
      <c r="K335" s="19" t="n">
        <v>81.3</v>
      </c>
      <c r="L335" s="17" t="n">
        <f aca="false">IF(K335="","",RANK(K335,$K$5:$K$337))</f>
        <v>62</v>
      </c>
      <c r="M335" s="25" t="n">
        <v>0.310192837465565</v>
      </c>
      <c r="N335" s="19" t="n">
        <v>93.3</v>
      </c>
      <c r="O335" s="17" t="n">
        <f aca="false">IF(N335="","",RANK(N335,$N$5:$N$337))</f>
        <v>26</v>
      </c>
      <c r="P335" s="17" t="str">
        <f aca="false">IF(AND(N(H335)&gt;=N(K335),N(H335)&gt;=N(N335)),"The Pulse",IF(N(K335)&gt;=N(N335),"The Lens","The Hub"))</f>
        <v>The Hub</v>
      </c>
      <c r="Q335" s="21" t="s">
        <v>78</v>
      </c>
      <c r="R335" s="27" t="s">
        <v>671</v>
      </c>
      <c r="S335" s="17" t="s">
        <v>21</v>
      </c>
    </row>
    <row r="336" customFormat="false" ht="15" hidden="false" customHeight="false" outlineLevel="0" collapsed="false">
      <c r="A336" s="17" t="s">
        <v>1955</v>
      </c>
      <c r="B336" s="17" t="s">
        <v>1956</v>
      </c>
      <c r="C336" s="17" t="s">
        <v>1957</v>
      </c>
      <c r="D336" s="17" t="s">
        <v>133</v>
      </c>
      <c r="E336" s="18" t="n">
        <v>142590</v>
      </c>
      <c r="F336" s="17" t="s">
        <v>670</v>
      </c>
      <c r="G336" s="23" t="n">
        <v>0.514418963461673</v>
      </c>
      <c r="H336" s="19" t="n">
        <v>0.8</v>
      </c>
      <c r="I336" s="17" t="n">
        <f aca="false">IF(H336="","",RANK(H336,$H$5:$H$337))</f>
        <v>332</v>
      </c>
      <c r="J336" s="24" t="n">
        <v>0.129515209125475</v>
      </c>
      <c r="K336" s="19" t="n">
        <v>75.5</v>
      </c>
      <c r="L336" s="17" t="n">
        <f aca="false">IF(K336="","",RANK(K336,$K$5:$K$337))</f>
        <v>81</v>
      </c>
      <c r="M336" s="25" t="n">
        <v>0.188556253017866</v>
      </c>
      <c r="N336" s="19" t="n">
        <v>69.2</v>
      </c>
      <c r="O336" s="17" t="n">
        <f aca="false">IF(N336="","",RANK(N336,$N$5:$N$337))</f>
        <v>108</v>
      </c>
      <c r="P336" s="17" t="str">
        <f aca="false">IF(AND(N(H336)&gt;=N(K336),N(H336)&gt;=N(N336)),"The Pulse",IF(N(K336)&gt;=N(N336),"The Lens","The Hub"))</f>
        <v>The Lens</v>
      </c>
      <c r="Q336" s="21" t="s">
        <v>78</v>
      </c>
      <c r="R336" s="26" t="s">
        <v>668</v>
      </c>
      <c r="S336" s="17" t="s">
        <v>21</v>
      </c>
    </row>
    <row r="337" customFormat="false" ht="15" hidden="false" customHeight="false" outlineLevel="0" collapsed="false">
      <c r="A337" s="17" t="s">
        <v>1958</v>
      </c>
      <c r="B337" s="17" t="s">
        <v>1959</v>
      </c>
      <c r="C337" s="17" t="s">
        <v>1960</v>
      </c>
      <c r="D337" s="17" t="s">
        <v>87</v>
      </c>
      <c r="E337" s="18" t="n">
        <v>133140</v>
      </c>
      <c r="F337" s="17" t="s">
        <v>670</v>
      </c>
      <c r="G337" s="23" t="n">
        <v>0.316659155775875</v>
      </c>
      <c r="H337" s="19" t="n">
        <v>0.4</v>
      </c>
      <c r="I337" s="17" t="n">
        <f aca="false">IF(H337="","",RANK(H337,$H$5:$H$337))</f>
        <v>333</v>
      </c>
      <c r="J337" s="24" t="n">
        <v>0.092834277271608</v>
      </c>
      <c r="K337" s="19" t="n">
        <v>58.3</v>
      </c>
      <c r="L337" s="17" t="n">
        <f aca="false">IF(K337="","",RANK(K337,$K$5:$K$337))</f>
        <v>136</v>
      </c>
      <c r="M337" s="25" t="n">
        <v>0.0415982484948002</v>
      </c>
      <c r="N337" s="19" t="n">
        <v>10.1</v>
      </c>
      <c r="O337" s="17" t="n">
        <f aca="false">IF(N337="","",RANK(N337,$N$5:$N$337))</f>
        <v>300</v>
      </c>
      <c r="P337" s="17" t="str">
        <f aca="false">IF(AND(N(H337)&gt;=N(K337),N(H337)&gt;=N(N337)),"The Pulse",IF(N(K337)&gt;=N(N337),"The Lens","The Hub"))</f>
        <v>The Lens</v>
      </c>
      <c r="Q337" s="21" t="s">
        <v>78</v>
      </c>
      <c r="R337" s="26" t="s">
        <v>668</v>
      </c>
      <c r="S337" s="17" t="s">
        <v>21</v>
      </c>
    </row>
  </sheetData>
  <autoFilter ref="A4:S337"/>
  <conditionalFormatting sqref="H5:H337">
    <cfRule type="colorScale" priority="2">
      <colorScale>
        <cfvo type="num" val="0"/>
        <cfvo type="num" val="100"/>
        <color rgb="FFFFFFFF"/>
        <color rgb="FFF97316"/>
      </colorScale>
    </cfRule>
  </conditionalFormatting>
  <conditionalFormatting sqref="K5:K337">
    <cfRule type="colorScale" priority="3">
      <colorScale>
        <cfvo type="num" val="0"/>
        <cfvo type="num" val="100"/>
        <color rgb="FFFFFFFF"/>
        <color rgb="FFF97316"/>
      </colorScale>
    </cfRule>
  </conditionalFormatting>
  <conditionalFormatting sqref="N5:N337">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1961</v>
      </c>
      <c r="B1" s="2"/>
      <c r="C1" s="2"/>
      <c r="D1" s="2"/>
      <c r="E1" s="2"/>
      <c r="F1" s="2"/>
      <c r="G1" s="2"/>
      <c r="H1" s="2"/>
      <c r="I1" s="2"/>
      <c r="J1" s="2"/>
      <c r="K1" s="2"/>
      <c r="L1" s="2"/>
      <c r="M1" s="2"/>
      <c r="N1" s="2"/>
      <c r="O1" s="2"/>
      <c r="P1" s="2"/>
      <c r="Q1" s="2"/>
      <c r="R1" s="2"/>
      <c r="S1" s="2"/>
    </row>
    <row r="2" customFormat="false" ht="15" hidden="false" customHeight="false" outlineLevel="0" collapsed="false">
      <c r="A2" s="3" t="s">
        <v>656</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657</v>
      </c>
      <c r="D4" s="8" t="s">
        <v>57</v>
      </c>
      <c r="E4" s="8" t="s">
        <v>658</v>
      </c>
      <c r="F4" s="8" t="s">
        <v>659</v>
      </c>
      <c r="G4" s="10" t="s">
        <v>660</v>
      </c>
      <c r="H4" s="10" t="s">
        <v>61</v>
      </c>
      <c r="I4" s="10" t="s">
        <v>62</v>
      </c>
      <c r="J4" s="10" t="s">
        <v>661</v>
      </c>
      <c r="K4" s="10" t="s">
        <v>63</v>
      </c>
      <c r="L4" s="10" t="s">
        <v>64</v>
      </c>
      <c r="M4" s="10" t="s">
        <v>662</v>
      </c>
      <c r="N4" s="10" t="s">
        <v>65</v>
      </c>
      <c r="O4" s="10" t="s">
        <v>66</v>
      </c>
      <c r="P4" s="8" t="s">
        <v>67</v>
      </c>
      <c r="Q4" s="8" t="s">
        <v>68</v>
      </c>
      <c r="R4" s="8" t="s">
        <v>663</v>
      </c>
      <c r="S4" s="8" t="s">
        <v>69</v>
      </c>
    </row>
    <row r="5" customFormat="false" ht="15" hidden="false" customHeight="false" outlineLevel="0" collapsed="false">
      <c r="A5" s="17" t="s">
        <v>1962</v>
      </c>
      <c r="B5" s="17" t="s">
        <v>1963</v>
      </c>
      <c r="C5" s="17" t="s">
        <v>1964</v>
      </c>
      <c r="D5" s="17" t="s">
        <v>87</v>
      </c>
      <c r="E5" s="18" t="n">
        <v>19983</v>
      </c>
      <c r="F5" s="17" t="s">
        <v>667</v>
      </c>
      <c r="G5" s="23" t="n">
        <v>10.0219186308362</v>
      </c>
      <c r="H5" s="19" t="n">
        <v>100</v>
      </c>
      <c r="I5" s="17" t="n">
        <f aca="false">IF(H5="","",RANK(H5,$H$5:$H$491))</f>
        <v>1</v>
      </c>
      <c r="J5" s="24" t="n">
        <v>0.0908942024238454</v>
      </c>
      <c r="K5" s="19" t="n">
        <v>51.1</v>
      </c>
      <c r="L5" s="17" t="n">
        <f aca="false">IF(K5="","",RANK(K5,$K$5:$K$491))</f>
        <v>247</v>
      </c>
      <c r="M5" s="25" t="n">
        <v>0.107698607698608</v>
      </c>
      <c r="N5" s="19" t="n">
        <v>58.3</v>
      </c>
      <c r="O5" s="17" t="n">
        <f aca="false">IF(N5="","",RANK(N5,$N$5:$N$491))</f>
        <v>207</v>
      </c>
      <c r="P5" s="17" t="str">
        <f aca="false">IF(AND(N(H5)&gt;=N(K5),N(H5)&gt;=N(N5)),"The Pulse",IF(N(K5)&gt;=N(N5),"The Lens","The Hub"))</f>
        <v>The Pulse</v>
      </c>
      <c r="Q5" s="20" t="s">
        <v>74</v>
      </c>
      <c r="R5" s="26" t="s">
        <v>668</v>
      </c>
      <c r="S5" s="17" t="s">
        <v>19</v>
      </c>
    </row>
    <row r="6" customFormat="false" ht="15" hidden="false" customHeight="false" outlineLevel="0" collapsed="false">
      <c r="A6" s="17" t="s">
        <v>70</v>
      </c>
      <c r="B6" s="17" t="s">
        <v>71</v>
      </c>
      <c r="C6" s="17" t="s">
        <v>1965</v>
      </c>
      <c r="D6" s="17" t="s">
        <v>72</v>
      </c>
      <c r="E6" s="18" t="n">
        <v>6568</v>
      </c>
      <c r="F6" s="17" t="s">
        <v>678</v>
      </c>
      <c r="G6" s="23" t="n">
        <v>8.50106577344702</v>
      </c>
      <c r="H6" s="19" t="n">
        <v>99.8</v>
      </c>
      <c r="I6" s="17" t="n">
        <f aca="false">IF(H6="","",RANK(H6,$H$5:$H$491))</f>
        <v>2</v>
      </c>
      <c r="J6" s="24" t="n">
        <v>0.140673845085099</v>
      </c>
      <c r="K6" s="19" t="n">
        <v>70.7</v>
      </c>
      <c r="L6" s="17" t="n">
        <f aca="false">IF(K6="","",RANK(K6,$K$5:$K$491))</f>
        <v>148</v>
      </c>
      <c r="M6" s="25" t="n">
        <v>0.0966824644549763</v>
      </c>
      <c r="N6" s="19" t="n">
        <v>53</v>
      </c>
      <c r="O6" s="17" t="n">
        <f aca="false">IF(N6="","",RANK(N6,$N$5:$N$491))</f>
        <v>234</v>
      </c>
      <c r="P6" s="17" t="str">
        <f aca="false">IF(AND(N(H6)&gt;=N(K6),N(H6)&gt;=N(N6)),"The Pulse",IF(N(K6)&gt;=N(N6),"The Lens","The Hub"))</f>
        <v>The Pulse</v>
      </c>
      <c r="Q6" s="20" t="s">
        <v>74</v>
      </c>
      <c r="R6" s="27" t="s">
        <v>671</v>
      </c>
      <c r="S6" s="17" t="s">
        <v>19</v>
      </c>
    </row>
    <row r="7" customFormat="false" ht="15" hidden="false" customHeight="false" outlineLevel="0" collapsed="false">
      <c r="A7" s="17" t="s">
        <v>219</v>
      </c>
      <c r="B7" s="17" t="s">
        <v>220</v>
      </c>
      <c r="C7" s="17" t="s">
        <v>1966</v>
      </c>
      <c r="D7" s="17" t="s">
        <v>77</v>
      </c>
      <c r="E7" s="18" t="n">
        <v>151716</v>
      </c>
      <c r="F7" s="17" t="s">
        <v>670</v>
      </c>
      <c r="G7" s="23" t="n">
        <v>7.98544649213003</v>
      </c>
      <c r="H7" s="19" t="n">
        <v>99.6</v>
      </c>
      <c r="I7" s="17" t="n">
        <f aca="false">IF(H7="","",RANK(H7,$H$5:$H$491))</f>
        <v>3</v>
      </c>
      <c r="J7" s="24" t="n">
        <v>-0.125667062389783</v>
      </c>
      <c r="K7" s="19" t="n">
        <v>1.2</v>
      </c>
      <c r="L7" s="17" t="n">
        <f aca="false">IF(K7="","",RANK(K7,$K$5:$K$491))</f>
        <v>483</v>
      </c>
      <c r="M7" s="25" t="n">
        <v>0.122594717757061</v>
      </c>
      <c r="N7" s="19" t="n">
        <v>64</v>
      </c>
      <c r="O7" s="17" t="n">
        <f aca="false">IF(N7="","",RANK(N7,$N$5:$N$491))</f>
        <v>178</v>
      </c>
      <c r="P7" s="17" t="str">
        <f aca="false">IF(AND(N(H7)&gt;=N(K7),N(H7)&gt;=N(N7)),"The Pulse",IF(N(K7)&gt;=N(N7),"The Lens","The Hub"))</f>
        <v>The Pulse</v>
      </c>
      <c r="Q7" s="20" t="s">
        <v>74</v>
      </c>
      <c r="R7" s="27" t="s">
        <v>671</v>
      </c>
      <c r="S7" s="17" t="s">
        <v>19</v>
      </c>
    </row>
    <row r="8" customFormat="false" ht="15" hidden="false" customHeight="false" outlineLevel="0" collapsed="false">
      <c r="A8" s="17" t="s">
        <v>1296</v>
      </c>
      <c r="B8" s="17" t="s">
        <v>1297</v>
      </c>
      <c r="C8" s="17" t="s">
        <v>1967</v>
      </c>
      <c r="D8" s="17" t="s">
        <v>72</v>
      </c>
      <c r="E8" s="18" t="n">
        <v>31999</v>
      </c>
      <c r="F8" s="17" t="s">
        <v>667</v>
      </c>
      <c r="G8" s="23" t="n">
        <v>7.62617581799431</v>
      </c>
      <c r="H8" s="19" t="n">
        <v>99.4</v>
      </c>
      <c r="I8" s="17" t="n">
        <f aca="false">IF(H8="","",RANK(H8,$H$5:$H$491))</f>
        <v>4</v>
      </c>
      <c r="J8" s="24" t="n">
        <v>-0.0105748121579419</v>
      </c>
      <c r="K8" s="19" t="n">
        <v>8.5</v>
      </c>
      <c r="L8" s="17" t="n">
        <f aca="false">IF(K8="","",RANK(K8,$K$5:$K$491))</f>
        <v>447</v>
      </c>
      <c r="M8" s="25" t="n">
        <v>0.0496658840527361</v>
      </c>
      <c r="N8" s="19" t="n">
        <v>31.4</v>
      </c>
      <c r="O8" s="17" t="n">
        <f aca="false">IF(N8="","",RANK(N8,$N$5:$N$491))</f>
        <v>339</v>
      </c>
      <c r="P8" s="17" t="str">
        <f aca="false">IF(AND(N(H8)&gt;=N(K8),N(H8)&gt;=N(N8)),"The Pulse",IF(N(K8)&gt;=N(N8),"The Lens","The Hub"))</f>
        <v>The Pulse</v>
      </c>
      <c r="Q8" s="20" t="s">
        <v>74</v>
      </c>
      <c r="R8" s="26" t="s">
        <v>668</v>
      </c>
      <c r="S8" s="17" t="s">
        <v>19</v>
      </c>
    </row>
    <row r="9" customFormat="false" ht="15" hidden="false" customHeight="false" outlineLevel="0" collapsed="false">
      <c r="A9" s="17" t="s">
        <v>1968</v>
      </c>
      <c r="B9" s="17" t="s">
        <v>1969</v>
      </c>
      <c r="C9" s="17" t="s">
        <v>1970</v>
      </c>
      <c r="D9" s="17" t="s">
        <v>81</v>
      </c>
      <c r="E9" s="18" t="n">
        <v>91973</v>
      </c>
      <c r="F9" s="17" t="s">
        <v>667</v>
      </c>
      <c r="G9" s="23" t="n">
        <v>7.45158905330912</v>
      </c>
      <c r="H9" s="19" t="n">
        <v>99</v>
      </c>
      <c r="I9" s="17" t="n">
        <f aca="false">IF(H9="","",RANK(H9,$H$5:$H$491))</f>
        <v>5</v>
      </c>
      <c r="J9" s="24" t="n">
        <v>0.0237536036687853</v>
      </c>
      <c r="K9" s="19" t="n">
        <v>17.4</v>
      </c>
      <c r="L9" s="17" t="n">
        <f aca="false">IF(K9="","",RANK(K9,$K$5:$K$491))</f>
        <v>404</v>
      </c>
      <c r="M9" s="25" t="n">
        <v>0.0467753366406804</v>
      </c>
      <c r="N9" s="19" t="n">
        <v>28.8</v>
      </c>
      <c r="O9" s="17" t="n">
        <f aca="false">IF(N9="","",RANK(N9,$N$5:$N$491))</f>
        <v>352</v>
      </c>
      <c r="P9" s="17" t="str">
        <f aca="false">IF(AND(N(H9)&gt;=N(K9),N(H9)&gt;=N(N9)),"The Pulse",IF(N(K9)&gt;=N(N9),"The Lens","The Hub"))</f>
        <v>The Pulse</v>
      </c>
      <c r="Q9" s="20" t="s">
        <v>74</v>
      </c>
      <c r="R9" s="26" t="s">
        <v>668</v>
      </c>
      <c r="S9" s="17" t="s">
        <v>19</v>
      </c>
    </row>
    <row r="10" customFormat="false" ht="15" hidden="false" customHeight="false" outlineLevel="0" collapsed="false">
      <c r="A10" s="17" t="s">
        <v>1603</v>
      </c>
      <c r="B10" s="17" t="s">
        <v>1604</v>
      </c>
      <c r="C10" s="17" t="s">
        <v>1971</v>
      </c>
      <c r="D10" s="17" t="s">
        <v>138</v>
      </c>
      <c r="E10" s="18" t="n">
        <v>107778</v>
      </c>
      <c r="F10" s="17" t="s">
        <v>670</v>
      </c>
      <c r="G10" s="23" t="n">
        <v>7.39811464306259</v>
      </c>
      <c r="H10" s="19" t="n">
        <v>98.9</v>
      </c>
      <c r="I10" s="17" t="n">
        <f aca="false">IF(H10="","",RANK(H10,$H$5:$H$491))</f>
        <v>6</v>
      </c>
      <c r="J10" s="24" t="n">
        <v>-0.0657570819319718</v>
      </c>
      <c r="K10" s="19" t="n">
        <v>3.6</v>
      </c>
      <c r="L10" s="17" t="n">
        <f aca="false">IF(K10="","",RANK(K10,$K$5:$K$491))</f>
        <v>472</v>
      </c>
      <c r="M10" s="25" t="n">
        <v>0.0610103265420039</v>
      </c>
      <c r="N10" s="19" t="n">
        <v>36.4</v>
      </c>
      <c r="O10" s="17" t="n">
        <f aca="false">IF(N10="","",RANK(N10,$N$5:$N$491))</f>
        <v>316</v>
      </c>
      <c r="P10" s="17" t="str">
        <f aca="false">IF(AND(N(H10)&gt;=N(K10),N(H10)&gt;=N(N10)),"The Pulse",IF(N(K10)&gt;=N(N10),"The Lens","The Hub"))</f>
        <v>The Pulse</v>
      </c>
      <c r="Q10" s="20" t="s">
        <v>74</v>
      </c>
      <c r="R10" s="26" t="s">
        <v>668</v>
      </c>
      <c r="S10" s="17" t="s">
        <v>19</v>
      </c>
    </row>
    <row r="11" customFormat="false" ht="15" hidden="false" customHeight="false" outlineLevel="0" collapsed="false">
      <c r="A11" s="17" t="s">
        <v>1106</v>
      </c>
      <c r="B11" s="17" t="s">
        <v>1107</v>
      </c>
      <c r="C11" s="17" t="s">
        <v>1972</v>
      </c>
      <c r="D11" s="17" t="s">
        <v>105</v>
      </c>
      <c r="E11" s="18" t="n">
        <v>3500</v>
      </c>
      <c r="F11" s="17" t="s">
        <v>678</v>
      </c>
      <c r="G11" s="23" t="n">
        <v>6.85571428571429</v>
      </c>
      <c r="H11" s="19" t="n">
        <v>98.7</v>
      </c>
      <c r="I11" s="17" t="n">
        <f aca="false">IF(H11="","",RANK(H11,$H$5:$H$491))</f>
        <v>7</v>
      </c>
      <c r="J11" s="24" t="n">
        <v>0.165501165501166</v>
      </c>
      <c r="K11" s="19" t="n">
        <v>84</v>
      </c>
      <c r="L11" s="17" t="n">
        <f aca="false">IF(K11="","",RANK(K11,$K$5:$K$491))</f>
        <v>80</v>
      </c>
      <c r="M11" s="25" t="n">
        <v>0.0627853881278539</v>
      </c>
      <c r="N11" s="19" t="n">
        <v>37.1</v>
      </c>
      <c r="O11" s="17" t="n">
        <f aca="false">IF(N11="","",RANK(N11,$N$5:$N$491))</f>
        <v>312</v>
      </c>
      <c r="P11" s="17" t="str">
        <f aca="false">IF(AND(N(H11)&gt;=N(K11),N(H11)&gt;=N(N11)),"The Pulse",IF(N(K11)&gt;=N(N11),"The Lens","The Hub"))</f>
        <v>The Pulse</v>
      </c>
      <c r="Q11" s="20" t="s">
        <v>74</v>
      </c>
      <c r="R11" s="26" t="s">
        <v>668</v>
      </c>
      <c r="S11" s="17" t="s">
        <v>19</v>
      </c>
    </row>
    <row r="12" customFormat="false" ht="15" hidden="false" customHeight="false" outlineLevel="0" collapsed="false">
      <c r="A12" s="17" t="s">
        <v>249</v>
      </c>
      <c r="B12" s="17" t="s">
        <v>250</v>
      </c>
      <c r="C12" s="17" t="s">
        <v>1973</v>
      </c>
      <c r="D12" s="17" t="s">
        <v>77</v>
      </c>
      <c r="E12" s="18" t="n">
        <v>94677</v>
      </c>
      <c r="F12" s="17" t="s">
        <v>667</v>
      </c>
      <c r="G12" s="23" t="n">
        <v>6.70152201696294</v>
      </c>
      <c r="H12" s="19" t="n">
        <v>98.5</v>
      </c>
      <c r="I12" s="17" t="n">
        <f aca="false">IF(H12="","",RANK(H12,$H$5:$H$491))</f>
        <v>8</v>
      </c>
      <c r="J12" s="24" t="n">
        <v>0.0144543973941368</v>
      </c>
      <c r="K12" s="19" t="n">
        <v>14.2</v>
      </c>
      <c r="L12" s="17" t="n">
        <f aca="false">IF(K12="","",RANK(K12,$K$5:$K$491))</f>
        <v>419</v>
      </c>
      <c r="M12" s="25" t="n">
        <v>0.0929331028340929</v>
      </c>
      <c r="N12" s="19" t="n">
        <v>50.5</v>
      </c>
      <c r="O12" s="17" t="n">
        <f aca="false">IF(N12="","",RANK(N12,$N$5:$N$491))</f>
        <v>244</v>
      </c>
      <c r="P12" s="17" t="str">
        <f aca="false">IF(AND(N(H12)&gt;=N(K12),N(H12)&gt;=N(N12)),"The Pulse",IF(N(K12)&gt;=N(N12),"The Lens","The Hub"))</f>
        <v>The Pulse</v>
      </c>
      <c r="Q12" s="20" t="s">
        <v>74</v>
      </c>
      <c r="R12" s="27" t="s">
        <v>671</v>
      </c>
      <c r="S12" s="17" t="s">
        <v>19</v>
      </c>
    </row>
    <row r="13" customFormat="false" ht="15" hidden="false" customHeight="false" outlineLevel="0" collapsed="false">
      <c r="A13" s="17" t="s">
        <v>88</v>
      </c>
      <c r="B13" s="17" t="s">
        <v>89</v>
      </c>
      <c r="C13" s="17" t="s">
        <v>1974</v>
      </c>
      <c r="D13" s="17" t="s">
        <v>77</v>
      </c>
      <c r="E13" s="18" t="n">
        <v>373531</v>
      </c>
      <c r="F13" s="17" t="s">
        <v>670</v>
      </c>
      <c r="G13" s="23" t="n">
        <v>6.6944590944259</v>
      </c>
      <c r="H13" s="19" t="n">
        <v>98.3</v>
      </c>
      <c r="I13" s="17" t="n">
        <f aca="false">IF(H13="","",RANK(H13,$H$5:$H$491))</f>
        <v>9</v>
      </c>
      <c r="J13" s="24" t="n">
        <v>-0.0082071679296483</v>
      </c>
      <c r="K13" s="19" t="n">
        <v>12</v>
      </c>
      <c r="L13" s="17" t="n">
        <f aca="false">IF(K13="","",RANK(K13,$K$5:$K$491))</f>
        <v>429</v>
      </c>
      <c r="M13" s="25" t="n">
        <v>0.0483500922741219</v>
      </c>
      <c r="N13" s="19" t="n">
        <v>29.5</v>
      </c>
      <c r="O13" s="17" t="n">
        <f aca="false">IF(N13="","",RANK(N13,$N$5:$N$491))</f>
        <v>348</v>
      </c>
      <c r="P13" s="17" t="str">
        <f aca="false">IF(AND(N(H13)&gt;=N(K13),N(H13)&gt;=N(N13)),"The Pulse",IF(N(K13)&gt;=N(N13),"The Lens","The Hub"))</f>
        <v>The Pulse</v>
      </c>
      <c r="Q13" s="20" t="s">
        <v>74</v>
      </c>
      <c r="R13" s="27" t="s">
        <v>671</v>
      </c>
      <c r="S13" s="17" t="s">
        <v>19</v>
      </c>
    </row>
    <row r="14" customFormat="false" ht="15" hidden="false" customHeight="false" outlineLevel="0" collapsed="false">
      <c r="A14" s="17" t="s">
        <v>1975</v>
      </c>
      <c r="B14" s="17" t="s">
        <v>1976</v>
      </c>
      <c r="C14" s="17" t="s">
        <v>1977</v>
      </c>
      <c r="D14" s="17" t="s">
        <v>87</v>
      </c>
      <c r="E14" s="18" t="n">
        <v>37608</v>
      </c>
      <c r="F14" s="17" t="s">
        <v>667</v>
      </c>
      <c r="G14" s="23" t="n">
        <v>5.75582322910019</v>
      </c>
      <c r="H14" s="19" t="n">
        <v>98.1</v>
      </c>
      <c r="I14" s="17" t="n">
        <f aca="false">IF(H14="","",RANK(H14,$H$5:$H$491))</f>
        <v>10</v>
      </c>
      <c r="J14" s="24" t="n">
        <v>0.0924618736383442</v>
      </c>
      <c r="K14" s="19" t="n">
        <v>53.2</v>
      </c>
      <c r="L14" s="17" t="n">
        <f aca="false">IF(K14="","",RANK(K14,$K$5:$K$491))</f>
        <v>236</v>
      </c>
      <c r="M14" s="25" t="n">
        <v>0.0799749544626594</v>
      </c>
      <c r="N14" s="19" t="n">
        <v>44.2</v>
      </c>
      <c r="O14" s="17" t="n">
        <f aca="false">IF(N14="","",RANK(N14,$N$5:$N$491))</f>
        <v>277</v>
      </c>
      <c r="P14" s="17" t="str">
        <f aca="false">IF(AND(N(H14)&gt;=N(K14),N(H14)&gt;=N(N14)),"The Pulse",IF(N(K14)&gt;=N(N14),"The Lens","The Hub"))</f>
        <v>The Pulse</v>
      </c>
      <c r="Q14" s="20" t="s">
        <v>74</v>
      </c>
      <c r="R14" s="26" t="s">
        <v>668</v>
      </c>
      <c r="S14" s="17" t="s">
        <v>19</v>
      </c>
    </row>
    <row r="15" customFormat="false" ht="15" hidden="false" customHeight="false" outlineLevel="0" collapsed="false">
      <c r="A15" s="17" t="s">
        <v>1521</v>
      </c>
      <c r="B15" s="17" t="s">
        <v>1522</v>
      </c>
      <c r="C15" s="17" t="s">
        <v>1978</v>
      </c>
      <c r="D15" s="17" t="s">
        <v>87</v>
      </c>
      <c r="E15" s="18" t="n">
        <v>48986</v>
      </c>
      <c r="F15" s="17" t="s">
        <v>667</v>
      </c>
      <c r="G15" s="23" t="n">
        <v>5.60243743110276</v>
      </c>
      <c r="H15" s="19" t="n">
        <v>97.9</v>
      </c>
      <c r="I15" s="17" t="n">
        <f aca="false">IF(H15="","",RANK(H15,$H$5:$H$491))</f>
        <v>11</v>
      </c>
      <c r="J15" s="24" t="n">
        <v>0.0780844227298737</v>
      </c>
      <c r="K15" s="19" t="n">
        <v>42.9</v>
      </c>
      <c r="L15" s="17" t="n">
        <f aca="false">IF(K15="","",RANK(K15,$K$5:$K$491))</f>
        <v>287</v>
      </c>
      <c r="M15" s="25" t="n">
        <v>0.131232161292282</v>
      </c>
      <c r="N15" s="19" t="n">
        <v>65.7</v>
      </c>
      <c r="O15" s="17" t="n">
        <f aca="false">IF(N15="","",RANK(N15,$N$5:$N$491))</f>
        <v>170</v>
      </c>
      <c r="P15" s="17" t="str">
        <f aca="false">IF(AND(N(H15)&gt;=N(K15),N(H15)&gt;=N(N15)),"The Pulse",IF(N(K15)&gt;=N(N15),"The Lens","The Hub"))</f>
        <v>The Pulse</v>
      </c>
      <c r="Q15" s="20" t="s">
        <v>74</v>
      </c>
      <c r="R15" s="26" t="s">
        <v>668</v>
      </c>
      <c r="S15" s="17" t="s">
        <v>19</v>
      </c>
    </row>
    <row r="16" customFormat="false" ht="15" hidden="false" customHeight="false" outlineLevel="0" collapsed="false">
      <c r="A16" s="17" t="s">
        <v>275</v>
      </c>
      <c r="B16" s="17" t="s">
        <v>276</v>
      </c>
      <c r="C16" s="17" t="s">
        <v>1979</v>
      </c>
      <c r="D16" s="17" t="s">
        <v>77</v>
      </c>
      <c r="E16" s="18" t="n">
        <v>23373</v>
      </c>
      <c r="F16" s="17" t="s">
        <v>667</v>
      </c>
      <c r="G16" s="23" t="n">
        <v>5.4608308732298</v>
      </c>
      <c r="H16" s="19" t="n">
        <v>97.7</v>
      </c>
      <c r="I16" s="17" t="n">
        <f aca="false">IF(H16="","",RANK(H16,$H$5:$H$491))</f>
        <v>12</v>
      </c>
      <c r="J16" s="24" t="n">
        <v>0.116082513609015</v>
      </c>
      <c r="K16" s="19" t="n">
        <v>62.1</v>
      </c>
      <c r="L16" s="17" t="n">
        <f aca="false">IF(K16="","",RANK(K16,$K$5:$K$491))</f>
        <v>191</v>
      </c>
      <c r="M16" s="25" t="n">
        <v>0.132941019125318</v>
      </c>
      <c r="N16" s="19" t="n">
        <v>66.3</v>
      </c>
      <c r="O16" s="17" t="n">
        <f aca="false">IF(N16="","",RANK(N16,$N$5:$N$491))</f>
        <v>167</v>
      </c>
      <c r="P16" s="17" t="str">
        <f aca="false">IF(AND(N(H16)&gt;=N(K16),N(H16)&gt;=N(N16)),"The Pulse",IF(N(K16)&gt;=N(N16),"The Lens","The Hub"))</f>
        <v>The Pulse</v>
      </c>
      <c r="Q16" s="20" t="s">
        <v>74</v>
      </c>
      <c r="R16" s="27" t="s">
        <v>671</v>
      </c>
      <c r="S16" s="17" t="s">
        <v>19</v>
      </c>
    </row>
    <row r="17" customFormat="false" ht="15" hidden="false" customHeight="false" outlineLevel="0" collapsed="false">
      <c r="A17" s="17" t="s">
        <v>1980</v>
      </c>
      <c r="B17" s="17" t="s">
        <v>1981</v>
      </c>
      <c r="C17" s="17" t="s">
        <v>1982</v>
      </c>
      <c r="D17" s="17" t="s">
        <v>133</v>
      </c>
      <c r="E17" s="18" t="n">
        <v>141580</v>
      </c>
      <c r="F17" s="17" t="s">
        <v>670</v>
      </c>
      <c r="G17" s="23" t="n">
        <v>5.22330131374488</v>
      </c>
      <c r="H17" s="19" t="n">
        <v>97.5</v>
      </c>
      <c r="I17" s="17" t="n">
        <f aca="false">IF(H17="","",RANK(H17,$H$5:$H$491))</f>
        <v>13</v>
      </c>
      <c r="J17" s="24" t="n">
        <v>0.0485077390209583</v>
      </c>
      <c r="K17" s="19" t="n">
        <v>33.7</v>
      </c>
      <c r="L17" s="17" t="n">
        <f aca="false">IF(K17="","",RANK(K17,$K$5:$K$491))</f>
        <v>328</v>
      </c>
      <c r="M17" s="25" t="n">
        <v>0.0996078705972971</v>
      </c>
      <c r="N17" s="19" t="n">
        <v>54.5</v>
      </c>
      <c r="O17" s="17" t="n">
        <f aca="false">IF(N17="","",RANK(N17,$N$5:$N$491))</f>
        <v>227</v>
      </c>
      <c r="P17" s="17" t="str">
        <f aca="false">IF(AND(N(H17)&gt;=N(K17),N(H17)&gt;=N(N17)),"The Pulse",IF(N(K17)&gt;=N(N17),"The Lens","The Hub"))</f>
        <v>The Pulse</v>
      </c>
      <c r="Q17" s="21" t="s">
        <v>78</v>
      </c>
      <c r="R17" s="26" t="s">
        <v>668</v>
      </c>
      <c r="S17" s="17" t="s">
        <v>21</v>
      </c>
    </row>
    <row r="18" customFormat="false" ht="15" hidden="false" customHeight="false" outlineLevel="0" collapsed="false">
      <c r="A18" s="17" t="s">
        <v>194</v>
      </c>
      <c r="B18" s="17" t="s">
        <v>195</v>
      </c>
      <c r="C18" s="17" t="s">
        <v>1983</v>
      </c>
      <c r="D18" s="17" t="s">
        <v>105</v>
      </c>
      <c r="E18" s="18" t="n">
        <v>6002</v>
      </c>
      <c r="F18" s="17" t="s">
        <v>678</v>
      </c>
      <c r="G18" s="23" t="n">
        <v>4.89336887704099</v>
      </c>
      <c r="H18" s="19" t="n">
        <v>97.3</v>
      </c>
      <c r="I18" s="17" t="n">
        <f aca="false">IF(H18="","",RANK(H18,$H$5:$H$491))</f>
        <v>14</v>
      </c>
      <c r="J18" s="24" t="n">
        <v>0.0555750967288076</v>
      </c>
      <c r="K18" s="19" t="n">
        <v>30.7</v>
      </c>
      <c r="L18" s="17" t="n">
        <f aca="false">IF(K18="","",RANK(K18,$K$5:$K$491))</f>
        <v>343</v>
      </c>
      <c r="M18" s="25" t="n">
        <v>0.0268681780016793</v>
      </c>
      <c r="N18" s="19" t="n">
        <v>16.4</v>
      </c>
      <c r="O18" s="17" t="n">
        <f aca="false">IF(N18="","",RANK(N18,$N$5:$N$491))</f>
        <v>413</v>
      </c>
      <c r="P18" s="17" t="str">
        <f aca="false">IF(AND(N(H18)&gt;=N(K18),N(H18)&gt;=N(N18)),"The Pulse",IF(N(K18)&gt;=N(N18),"The Lens","The Hub"))</f>
        <v>The Pulse</v>
      </c>
      <c r="Q18" s="20" t="s">
        <v>74</v>
      </c>
      <c r="R18" s="27" t="s">
        <v>671</v>
      </c>
      <c r="S18" s="17" t="s">
        <v>19</v>
      </c>
    </row>
    <row r="19" customFormat="false" ht="15" hidden="false" customHeight="false" outlineLevel="0" collapsed="false">
      <c r="A19" s="17" t="s">
        <v>94</v>
      </c>
      <c r="B19" s="17" t="s">
        <v>95</v>
      </c>
      <c r="C19" s="17" t="s">
        <v>1984</v>
      </c>
      <c r="D19" s="17" t="s">
        <v>92</v>
      </c>
      <c r="E19" s="18" t="n">
        <v>32201</v>
      </c>
      <c r="F19" s="17" t="s">
        <v>667</v>
      </c>
      <c r="G19" s="23" t="n">
        <v>4.83612310176703</v>
      </c>
      <c r="H19" s="19" t="n">
        <v>97.1</v>
      </c>
      <c r="I19" s="17" t="n">
        <f aca="false">IF(H19="","",RANK(H19,$H$5:$H$491))</f>
        <v>15</v>
      </c>
      <c r="J19" s="24" t="n">
        <v>0.140827605753561</v>
      </c>
      <c r="K19" s="19" t="n">
        <v>73.8</v>
      </c>
      <c r="L19" s="17" t="n">
        <f aca="false">IF(K19="","",RANK(K19,$K$5:$K$491))</f>
        <v>134</v>
      </c>
      <c r="M19" s="25" t="n">
        <v>0.259984338292874</v>
      </c>
      <c r="N19" s="19" t="n">
        <v>93.9</v>
      </c>
      <c r="O19" s="17" t="n">
        <f aca="false">IF(N19="","",RANK(N19,$N$5:$N$491))</f>
        <v>30</v>
      </c>
      <c r="P19" s="17" t="str">
        <f aca="false">IF(AND(N(H19)&gt;=N(K19),N(H19)&gt;=N(N19)),"The Pulse",IF(N(K19)&gt;=N(N19),"The Lens","The Hub"))</f>
        <v>The Pulse</v>
      </c>
      <c r="Q19" s="20" t="s">
        <v>74</v>
      </c>
      <c r="R19" s="27" t="s">
        <v>671</v>
      </c>
      <c r="S19" s="17" t="s">
        <v>19</v>
      </c>
    </row>
    <row r="20" customFormat="false" ht="15" hidden="false" customHeight="false" outlineLevel="0" collapsed="false">
      <c r="A20" s="17" t="s">
        <v>127</v>
      </c>
      <c r="B20" s="17" t="s">
        <v>128</v>
      </c>
      <c r="C20" s="17" t="s">
        <v>1985</v>
      </c>
      <c r="D20" s="17" t="s">
        <v>92</v>
      </c>
      <c r="E20" s="18" t="n">
        <v>45716</v>
      </c>
      <c r="F20" s="17" t="s">
        <v>667</v>
      </c>
      <c r="G20" s="23" t="n">
        <v>4.78252690524105</v>
      </c>
      <c r="H20" s="19" t="n">
        <v>97</v>
      </c>
      <c r="I20" s="17" t="n">
        <f aca="false">IF(H20="","",RANK(H20,$H$5:$H$491))</f>
        <v>16</v>
      </c>
      <c r="J20" s="24" t="n">
        <v>0.0600811594202899</v>
      </c>
      <c r="K20" s="19" t="n">
        <v>35.5</v>
      </c>
      <c r="L20" s="17" t="n">
        <f aca="false">IF(K20="","",RANK(K20,$K$5:$K$491))</f>
        <v>320</v>
      </c>
      <c r="M20" s="25" t="n">
        <v>0.0230545151893467</v>
      </c>
      <c r="N20" s="19" t="n">
        <v>14.3</v>
      </c>
      <c r="O20" s="17" t="n">
        <f aca="false">IF(N20="","",RANK(N20,$N$5:$N$491))</f>
        <v>424</v>
      </c>
      <c r="P20" s="17" t="str">
        <f aca="false">IF(AND(N(H20)&gt;=N(K20),N(H20)&gt;=N(N20)),"The Pulse",IF(N(K20)&gt;=N(N20),"The Lens","The Hub"))</f>
        <v>The Pulse</v>
      </c>
      <c r="Q20" s="22" t="s">
        <v>83</v>
      </c>
      <c r="R20" s="27" t="s">
        <v>671</v>
      </c>
      <c r="S20" s="17" t="s">
        <v>17</v>
      </c>
    </row>
    <row r="21" customFormat="false" ht="15" hidden="false" customHeight="false" outlineLevel="0" collapsed="false">
      <c r="A21" s="17" t="s">
        <v>1653</v>
      </c>
      <c r="B21" s="17" t="s">
        <v>1654</v>
      </c>
      <c r="C21" s="17" t="s">
        <v>1986</v>
      </c>
      <c r="D21" s="17" t="s">
        <v>87</v>
      </c>
      <c r="E21" s="18" t="n">
        <v>19040</v>
      </c>
      <c r="F21" s="17" t="s">
        <v>667</v>
      </c>
      <c r="G21" s="23" t="n">
        <v>4.76260504201681</v>
      </c>
      <c r="H21" s="19" t="n">
        <v>96.8</v>
      </c>
      <c r="I21" s="17" t="n">
        <f aca="false">IF(H21="","",RANK(H21,$H$5:$H$491))</f>
        <v>17</v>
      </c>
      <c r="J21" s="24" t="n">
        <v>0.234679981842941</v>
      </c>
      <c r="K21" s="19" t="n">
        <v>97.5</v>
      </c>
      <c r="L21" s="17" t="n">
        <f aca="false">IF(K21="","",RANK(K21,$K$5:$K$491))</f>
        <v>15</v>
      </c>
      <c r="M21" s="25" t="n">
        <v>0.145706206280697</v>
      </c>
      <c r="N21" s="19" t="n">
        <v>70.1</v>
      </c>
      <c r="O21" s="17" t="n">
        <f aca="false">IF(N21="","",RANK(N21,$N$5:$N$491))</f>
        <v>149</v>
      </c>
      <c r="P21" s="17" t="str">
        <f aca="false">IF(AND(N(H21)&gt;=N(K21),N(H21)&gt;=N(N21)),"The Pulse",IF(N(K21)&gt;=N(N21),"The Lens","The Hub"))</f>
        <v>The Lens</v>
      </c>
      <c r="Q21" s="20" t="s">
        <v>74</v>
      </c>
      <c r="R21" s="26" t="s">
        <v>668</v>
      </c>
      <c r="S21" s="17" t="s">
        <v>19</v>
      </c>
    </row>
    <row r="22" customFormat="false" ht="15" hidden="false" customHeight="false" outlineLevel="0" collapsed="false">
      <c r="A22" s="17" t="s">
        <v>1987</v>
      </c>
      <c r="B22" s="17" t="s">
        <v>1988</v>
      </c>
      <c r="C22" s="17" t="s">
        <v>1989</v>
      </c>
      <c r="D22" s="17" t="s">
        <v>105</v>
      </c>
      <c r="E22" s="18" t="n">
        <v>367231</v>
      </c>
      <c r="F22" s="17" t="s">
        <v>670</v>
      </c>
      <c r="G22" s="23" t="n">
        <v>4.72706824859557</v>
      </c>
      <c r="H22" s="19" t="n">
        <v>96.6</v>
      </c>
      <c r="I22" s="17" t="n">
        <f aca="false">IF(H22="","",RANK(H22,$H$5:$H$491))</f>
        <v>18</v>
      </c>
      <c r="J22" s="24" t="n">
        <v>0.0261346045300354</v>
      </c>
      <c r="K22" s="19" t="n">
        <v>24.7</v>
      </c>
      <c r="L22" s="17" t="n">
        <f aca="false">IF(K22="","",RANK(K22,$K$5:$K$491))</f>
        <v>370</v>
      </c>
      <c r="M22" s="25" t="n">
        <v>0.143785929373118</v>
      </c>
      <c r="N22" s="19" t="n">
        <v>69.3</v>
      </c>
      <c r="O22" s="17" t="n">
        <f aca="false">IF(N22="","",RANK(N22,$N$5:$N$491))</f>
        <v>152</v>
      </c>
      <c r="P22" s="17" t="str">
        <f aca="false">IF(AND(N(H22)&gt;=N(K22),N(H22)&gt;=N(N22)),"The Pulse",IF(N(K22)&gt;=N(N22),"The Lens","The Hub"))</f>
        <v>The Pulse</v>
      </c>
      <c r="Q22" s="20" t="s">
        <v>74</v>
      </c>
      <c r="R22" s="26" t="s">
        <v>668</v>
      </c>
      <c r="S22" s="17" t="s">
        <v>19</v>
      </c>
    </row>
    <row r="23" customFormat="false" ht="15" hidden="false" customHeight="false" outlineLevel="0" collapsed="false">
      <c r="A23" s="17" t="s">
        <v>734</v>
      </c>
      <c r="B23" s="17" t="s">
        <v>735</v>
      </c>
      <c r="C23" s="17" t="s">
        <v>1990</v>
      </c>
      <c r="D23" s="17" t="s">
        <v>105</v>
      </c>
      <c r="E23" s="18" t="n">
        <v>237384</v>
      </c>
      <c r="F23" s="17" t="s">
        <v>670</v>
      </c>
      <c r="G23" s="23" t="n">
        <v>4.48810787584673</v>
      </c>
      <c r="H23" s="19" t="n">
        <v>96.4</v>
      </c>
      <c r="I23" s="17" t="n">
        <f aca="false">IF(H23="","",RANK(H23,$H$5:$H$491))</f>
        <v>19</v>
      </c>
      <c r="J23" s="24" t="n">
        <v>0.14251061249242</v>
      </c>
      <c r="K23" s="19" t="n">
        <v>78.3</v>
      </c>
      <c r="L23" s="17" t="n">
        <f aca="false">IF(K23="","",RANK(K23,$K$5:$K$491))</f>
        <v>111</v>
      </c>
      <c r="M23" s="25" t="n">
        <v>0.00116132457362798</v>
      </c>
      <c r="N23" s="19" t="n">
        <v>2.1</v>
      </c>
      <c r="O23" s="17" t="n">
        <f aca="false">IF(N23="","",RANK(N23,$N$5:$N$491))</f>
        <v>477</v>
      </c>
      <c r="P23" s="17" t="str">
        <f aca="false">IF(AND(N(H23)&gt;=N(K23),N(H23)&gt;=N(N23)),"The Pulse",IF(N(K23)&gt;=N(N23),"The Lens","The Hub"))</f>
        <v>The Pulse</v>
      </c>
      <c r="Q23" s="20" t="s">
        <v>74</v>
      </c>
      <c r="R23" s="26" t="s">
        <v>668</v>
      </c>
      <c r="S23" s="17" t="s">
        <v>19</v>
      </c>
    </row>
    <row r="24" customFormat="false" ht="15" hidden="false" customHeight="false" outlineLevel="0" collapsed="false">
      <c r="A24" s="17" t="s">
        <v>1219</v>
      </c>
      <c r="B24" s="17" t="s">
        <v>1220</v>
      </c>
      <c r="C24" s="17" t="s">
        <v>1991</v>
      </c>
      <c r="D24" s="17" t="s">
        <v>114</v>
      </c>
      <c r="E24" s="18" t="n">
        <v>1722778</v>
      </c>
      <c r="F24" s="17" t="s">
        <v>752</v>
      </c>
      <c r="G24" s="23" t="n">
        <v>4.35791088579028</v>
      </c>
      <c r="H24" s="19" t="n">
        <v>96</v>
      </c>
      <c r="I24" s="17" t="n">
        <f aca="false">IF(H24="","",RANK(H24,$H$5:$H$491))</f>
        <v>20</v>
      </c>
      <c r="J24" s="24" t="n">
        <v>0.0283620969590465</v>
      </c>
      <c r="K24" s="19" t="n">
        <v>30</v>
      </c>
      <c r="L24" s="17" t="n">
        <f aca="false">IF(K24="","",RANK(K24,$K$5:$K$491))</f>
        <v>346</v>
      </c>
      <c r="M24" s="25" t="n">
        <v>0.257081221914141</v>
      </c>
      <c r="N24" s="19" t="n">
        <v>93.5</v>
      </c>
      <c r="O24" s="17" t="n">
        <f aca="false">IF(N24="","",RANK(N24,$N$5:$N$491))</f>
        <v>32</v>
      </c>
      <c r="P24" s="17" t="str">
        <f aca="false">IF(AND(N(H24)&gt;=N(K24),N(H24)&gt;=N(N24)),"The Pulse",IF(N(K24)&gt;=N(N24),"The Lens","The Hub"))</f>
        <v>The Pulse</v>
      </c>
      <c r="Q24" s="20" t="s">
        <v>74</v>
      </c>
      <c r="R24" s="26" t="s">
        <v>668</v>
      </c>
      <c r="S24" s="17" t="s">
        <v>19</v>
      </c>
    </row>
    <row r="25" customFormat="false" ht="15" hidden="false" customHeight="false" outlineLevel="0" collapsed="false">
      <c r="A25" s="17" t="s">
        <v>1992</v>
      </c>
      <c r="B25" s="17" t="s">
        <v>1993</v>
      </c>
      <c r="C25" s="17" t="s">
        <v>1994</v>
      </c>
      <c r="D25" s="17" t="s">
        <v>87</v>
      </c>
      <c r="E25" s="18" t="n">
        <v>94800</v>
      </c>
      <c r="F25" s="17" t="s">
        <v>667</v>
      </c>
      <c r="G25" s="23" t="n">
        <v>4.35680379746836</v>
      </c>
      <c r="H25" s="19" t="n">
        <v>95.8</v>
      </c>
      <c r="I25" s="17" t="n">
        <f aca="false">IF(H25="","",RANK(H25,$H$5:$H$491))</f>
        <v>21</v>
      </c>
      <c r="J25" s="24" t="n">
        <v>0.158825039422054</v>
      </c>
      <c r="K25" s="19" t="n">
        <v>80.1</v>
      </c>
      <c r="L25" s="17" t="n">
        <f aca="false">IF(K25="","",RANK(K25,$K$5:$K$491))</f>
        <v>100</v>
      </c>
      <c r="M25" s="25" t="n">
        <v>0.0891168714221393</v>
      </c>
      <c r="N25" s="19" t="n">
        <v>49</v>
      </c>
      <c r="O25" s="17" t="n">
        <f aca="false">IF(N25="","",RANK(N25,$N$5:$N$491))</f>
        <v>252</v>
      </c>
      <c r="P25" s="17" t="str">
        <f aca="false">IF(AND(N(H25)&gt;=N(K25),N(H25)&gt;=N(N25)),"The Pulse",IF(N(K25)&gt;=N(N25),"The Lens","The Hub"))</f>
        <v>The Pulse</v>
      </c>
      <c r="Q25" s="20" t="s">
        <v>74</v>
      </c>
      <c r="R25" s="26" t="s">
        <v>668</v>
      </c>
      <c r="S25" s="17" t="s">
        <v>19</v>
      </c>
    </row>
    <row r="26" customFormat="false" ht="15" hidden="false" customHeight="false" outlineLevel="0" collapsed="false">
      <c r="A26" s="17" t="s">
        <v>327</v>
      </c>
      <c r="B26" s="17" t="s">
        <v>328</v>
      </c>
      <c r="C26" s="17" t="s">
        <v>1995</v>
      </c>
      <c r="D26" s="17" t="s">
        <v>77</v>
      </c>
      <c r="E26" s="18" t="n">
        <v>36512</v>
      </c>
      <c r="F26" s="17" t="s">
        <v>667</v>
      </c>
      <c r="G26" s="23" t="n">
        <v>4.2620782208589</v>
      </c>
      <c r="H26" s="19" t="n">
        <v>95.6</v>
      </c>
      <c r="I26" s="17" t="n">
        <f aca="false">IF(H26="","",RANK(H26,$H$5:$H$491))</f>
        <v>22</v>
      </c>
      <c r="J26" s="24" t="n">
        <v>0.0353021237984518</v>
      </c>
      <c r="K26" s="19" t="n">
        <v>23.8</v>
      </c>
      <c r="L26" s="17" t="n">
        <f aca="false">IF(K26="","",RANK(K26,$K$5:$K$491))</f>
        <v>374</v>
      </c>
      <c r="M26" s="25" t="n">
        <v>0.00446030330062444</v>
      </c>
      <c r="N26" s="19" t="n">
        <v>4.6</v>
      </c>
      <c r="O26" s="17" t="n">
        <f aca="false">IF(N26="","",RANK(N26,$N$5:$N$491))</f>
        <v>466</v>
      </c>
      <c r="P26" s="17" t="str">
        <f aca="false">IF(AND(N(H26)&gt;=N(K26),N(H26)&gt;=N(N26)),"The Pulse",IF(N(K26)&gt;=N(N26),"The Lens","The Hub"))</f>
        <v>The Pulse</v>
      </c>
      <c r="Q26" s="20" t="s">
        <v>74</v>
      </c>
      <c r="R26" s="27" t="s">
        <v>671</v>
      </c>
      <c r="S26" s="17" t="s">
        <v>19</v>
      </c>
    </row>
    <row r="27" customFormat="false" ht="15" hidden="false" customHeight="false" outlineLevel="0" collapsed="false">
      <c r="A27" s="17" t="s">
        <v>1131</v>
      </c>
      <c r="B27" s="17" t="s">
        <v>1132</v>
      </c>
      <c r="C27" s="17" t="s">
        <v>1996</v>
      </c>
      <c r="D27" s="17" t="s">
        <v>133</v>
      </c>
      <c r="E27" s="18" t="n">
        <v>204803</v>
      </c>
      <c r="F27" s="17" t="s">
        <v>670</v>
      </c>
      <c r="G27" s="23" t="n">
        <v>4.18560763270069</v>
      </c>
      <c r="H27" s="19" t="n">
        <v>95.4</v>
      </c>
      <c r="I27" s="17" t="n">
        <f aca="false">IF(H27="","",RANK(H27,$H$5:$H$491))</f>
        <v>23</v>
      </c>
      <c r="J27" s="24" t="n">
        <v>0.109796738936063</v>
      </c>
      <c r="K27" s="19" t="n">
        <v>63.9</v>
      </c>
      <c r="L27" s="17" t="n">
        <f aca="false">IF(K27="","",RANK(K27,$K$5:$K$491))</f>
        <v>183</v>
      </c>
      <c r="M27" s="25" t="n">
        <v>0.00406701048769513</v>
      </c>
      <c r="N27" s="19" t="n">
        <v>4</v>
      </c>
      <c r="O27" s="17" t="n">
        <f aca="false">IF(N27="","",RANK(N27,$N$5:$N$491))</f>
        <v>469</v>
      </c>
      <c r="P27" s="17" t="str">
        <f aca="false">IF(AND(N(H27)&gt;=N(K27),N(H27)&gt;=N(N27)),"The Pulse",IF(N(K27)&gt;=N(N27),"The Lens","The Hub"))</f>
        <v>The Pulse</v>
      </c>
      <c r="Q27" s="20" t="s">
        <v>74</v>
      </c>
      <c r="R27" s="26" t="s">
        <v>668</v>
      </c>
      <c r="S27" s="17" t="s">
        <v>19</v>
      </c>
    </row>
    <row r="28" customFormat="false" ht="15" hidden="false" customHeight="false" outlineLevel="0" collapsed="false">
      <c r="A28" s="17" t="s">
        <v>1997</v>
      </c>
      <c r="B28" s="17" t="s">
        <v>1998</v>
      </c>
      <c r="C28" s="17" t="s">
        <v>1999</v>
      </c>
      <c r="D28" s="17" t="s">
        <v>102</v>
      </c>
      <c r="E28" s="18" t="n">
        <v>72282</v>
      </c>
      <c r="F28" s="17" t="s">
        <v>667</v>
      </c>
      <c r="G28" s="23" t="n">
        <v>4.09122603137711</v>
      </c>
      <c r="H28" s="19" t="n">
        <v>95.2</v>
      </c>
      <c r="I28" s="17" t="n">
        <f aca="false">IF(H28="","",RANK(H28,$H$5:$H$491))</f>
        <v>24</v>
      </c>
      <c r="J28" s="24" t="n">
        <v>0.0115312491253604</v>
      </c>
      <c r="K28" s="19" t="n">
        <v>13.8</v>
      </c>
      <c r="L28" s="17" t="n">
        <f aca="false">IF(K28="","",RANK(K28,$K$5:$K$491))</f>
        <v>421</v>
      </c>
      <c r="M28" s="25" t="n">
        <v>0.0192662971760359</v>
      </c>
      <c r="N28" s="19" t="n">
        <v>12.4</v>
      </c>
      <c r="O28" s="17" t="n">
        <f aca="false">IF(N28="","",RANK(N28,$N$5:$N$491))</f>
        <v>433</v>
      </c>
      <c r="P28" s="17" t="str">
        <f aca="false">IF(AND(N(H28)&gt;=N(K28),N(H28)&gt;=N(N28)),"The Pulse",IF(N(K28)&gt;=N(N28),"The Lens","The Hub"))</f>
        <v>The Pulse</v>
      </c>
      <c r="Q28" s="20" t="s">
        <v>74</v>
      </c>
      <c r="R28" s="26" t="s">
        <v>668</v>
      </c>
      <c r="S28" s="17" t="s">
        <v>19</v>
      </c>
    </row>
    <row r="29" customFormat="false" ht="15" hidden="false" customHeight="false" outlineLevel="0" collapsed="false">
      <c r="A29" s="17" t="s">
        <v>1834</v>
      </c>
      <c r="B29" s="17" t="s">
        <v>1835</v>
      </c>
      <c r="C29" s="17" t="s">
        <v>2000</v>
      </c>
      <c r="D29" s="17" t="s">
        <v>81</v>
      </c>
      <c r="E29" s="18" t="n">
        <v>102270</v>
      </c>
      <c r="F29" s="17" t="s">
        <v>670</v>
      </c>
      <c r="G29" s="23" t="n">
        <v>3.97389263713699</v>
      </c>
      <c r="H29" s="19" t="n">
        <v>94.9</v>
      </c>
      <c r="I29" s="17" t="n">
        <f aca="false">IF(H29="","",RANK(H29,$H$5:$H$491))</f>
        <v>25</v>
      </c>
      <c r="J29" s="24" t="n">
        <v>0.10490492653414</v>
      </c>
      <c r="K29" s="19" t="n">
        <v>60.2</v>
      </c>
      <c r="L29" s="17" t="n">
        <f aca="false">IF(K29="","",RANK(K29,$K$5:$K$491))</f>
        <v>201</v>
      </c>
      <c r="M29" s="25" t="n">
        <v>0.100896198542446</v>
      </c>
      <c r="N29" s="19" t="n">
        <v>55.8</v>
      </c>
      <c r="O29" s="17" t="n">
        <f aca="false">IF(N29="","",RANK(N29,$N$5:$N$491))</f>
        <v>220</v>
      </c>
      <c r="P29" s="17" t="str">
        <f aca="false">IF(AND(N(H29)&gt;=N(K29),N(H29)&gt;=N(N29)),"The Pulse",IF(N(K29)&gt;=N(N29),"The Lens","The Hub"))</f>
        <v>The Pulse</v>
      </c>
      <c r="Q29" s="20" t="s">
        <v>74</v>
      </c>
      <c r="R29" s="26" t="s">
        <v>668</v>
      </c>
      <c r="S29" s="17" t="s">
        <v>19</v>
      </c>
    </row>
    <row r="30" customFormat="false" ht="15" hidden="false" customHeight="false" outlineLevel="0" collapsed="false">
      <c r="A30" s="17" t="s">
        <v>207</v>
      </c>
      <c r="B30" s="17" t="s">
        <v>208</v>
      </c>
      <c r="C30" s="17" t="s">
        <v>2001</v>
      </c>
      <c r="D30" s="17" t="s">
        <v>81</v>
      </c>
      <c r="E30" s="18" t="n">
        <v>10428</v>
      </c>
      <c r="F30" s="17" t="s">
        <v>667</v>
      </c>
      <c r="G30" s="23" t="n">
        <v>3.97343690065209</v>
      </c>
      <c r="H30" s="19" t="n">
        <v>94.7</v>
      </c>
      <c r="I30" s="17" t="n">
        <f aca="false">IF(H30="","",RANK(H30,$H$5:$H$491))</f>
        <v>26</v>
      </c>
      <c r="J30" s="24" t="n">
        <v>0.120808254514187</v>
      </c>
      <c r="K30" s="19" t="n">
        <v>65.6</v>
      </c>
      <c r="L30" s="17" t="n">
        <f aca="false">IF(K30="","",RANK(K30,$K$5:$K$491))</f>
        <v>174</v>
      </c>
      <c r="M30" s="25" t="n">
        <v>0.401496259351621</v>
      </c>
      <c r="N30" s="19" t="n">
        <v>98.5</v>
      </c>
      <c r="O30" s="17" t="n">
        <f aca="false">IF(N30="","",RANK(N30,$N$5:$N$491))</f>
        <v>8</v>
      </c>
      <c r="P30" s="17" t="str">
        <f aca="false">IF(AND(N(H30)&gt;=N(K30),N(H30)&gt;=N(N30)),"The Pulse",IF(N(K30)&gt;=N(N30),"The Lens","The Hub"))</f>
        <v>The Hub</v>
      </c>
      <c r="Q30" s="20" t="s">
        <v>74</v>
      </c>
      <c r="R30" s="27" t="s">
        <v>671</v>
      </c>
      <c r="S30" s="17" t="s">
        <v>19</v>
      </c>
    </row>
    <row r="31" customFormat="false" ht="15" hidden="false" customHeight="false" outlineLevel="0" collapsed="false">
      <c r="A31" s="17" t="s">
        <v>971</v>
      </c>
      <c r="B31" s="17" t="s">
        <v>972</v>
      </c>
      <c r="C31" s="17" t="s">
        <v>2002</v>
      </c>
      <c r="D31" s="17" t="s">
        <v>87</v>
      </c>
      <c r="E31" s="18" t="n">
        <v>39802</v>
      </c>
      <c r="F31" s="17" t="s">
        <v>667</v>
      </c>
      <c r="G31" s="23" t="n">
        <v>3.91188884980654</v>
      </c>
      <c r="H31" s="19" t="n">
        <v>94.5</v>
      </c>
      <c r="I31" s="17" t="n">
        <f aca="false">IF(H31="","",RANK(H31,$H$5:$H$491))</f>
        <v>27</v>
      </c>
      <c r="J31" s="24" t="n">
        <v>0.0560360838418679</v>
      </c>
      <c r="K31" s="19" t="n">
        <v>33.7</v>
      </c>
      <c r="L31" s="17" t="n">
        <f aca="false">IF(K31="","",RANK(K31,$K$5:$K$491))</f>
        <v>328</v>
      </c>
      <c r="M31" s="25" t="n">
        <v>0.141393442622951</v>
      </c>
      <c r="N31" s="19" t="n">
        <v>68.8</v>
      </c>
      <c r="O31" s="17" t="n">
        <f aca="false">IF(N31="","",RANK(N31,$N$5:$N$491))</f>
        <v>155</v>
      </c>
      <c r="P31" s="17" t="str">
        <f aca="false">IF(AND(N(H31)&gt;=N(K31),N(H31)&gt;=N(N31)),"The Pulse",IF(N(K31)&gt;=N(N31),"The Lens","The Hub"))</f>
        <v>The Pulse</v>
      </c>
      <c r="Q31" s="20" t="s">
        <v>74</v>
      </c>
      <c r="R31" s="26" t="s">
        <v>668</v>
      </c>
      <c r="S31" s="17" t="s">
        <v>19</v>
      </c>
    </row>
    <row r="32" customFormat="false" ht="15" hidden="false" customHeight="false" outlineLevel="0" collapsed="false">
      <c r="A32" s="17" t="s">
        <v>223</v>
      </c>
      <c r="B32" s="17" t="s">
        <v>224</v>
      </c>
      <c r="C32" s="17" t="s">
        <v>2003</v>
      </c>
      <c r="D32" s="17" t="s">
        <v>105</v>
      </c>
      <c r="E32" s="18" t="n">
        <v>20080</v>
      </c>
      <c r="F32" s="17" t="s">
        <v>667</v>
      </c>
      <c r="G32" s="23" t="n">
        <v>3.86035856573705</v>
      </c>
      <c r="H32" s="19" t="n">
        <v>94.3</v>
      </c>
      <c r="I32" s="17" t="n">
        <f aca="false">IF(H32="","",RANK(H32,$H$5:$H$491))</f>
        <v>28</v>
      </c>
      <c r="J32" s="24" t="n">
        <v>0.0308008213552361</v>
      </c>
      <c r="K32" s="19" t="n">
        <v>21.3</v>
      </c>
      <c r="L32" s="17" t="n">
        <f aca="false">IF(K32="","",RANK(K32,$K$5:$K$491))</f>
        <v>385</v>
      </c>
      <c r="M32" s="25" t="n">
        <v>0.0735356386732534</v>
      </c>
      <c r="N32" s="19" t="n">
        <v>41</v>
      </c>
      <c r="O32" s="17" t="n">
        <f aca="false">IF(N32="","",RANK(N32,$N$5:$N$491))</f>
        <v>294</v>
      </c>
      <c r="P32" s="17" t="str">
        <f aca="false">IF(AND(N(H32)&gt;=N(K32),N(H32)&gt;=N(N32)),"The Pulse",IF(N(K32)&gt;=N(N32),"The Lens","The Hub"))</f>
        <v>The Pulse</v>
      </c>
      <c r="Q32" s="21" t="s">
        <v>78</v>
      </c>
      <c r="R32" s="27" t="s">
        <v>671</v>
      </c>
      <c r="S32" s="17" t="s">
        <v>21</v>
      </c>
    </row>
    <row r="33" customFormat="false" ht="15" hidden="false" customHeight="false" outlineLevel="0" collapsed="false">
      <c r="A33" s="17" t="s">
        <v>2004</v>
      </c>
      <c r="B33" s="17" t="s">
        <v>2005</v>
      </c>
      <c r="C33" s="17" t="s">
        <v>2006</v>
      </c>
      <c r="D33" s="17" t="s">
        <v>102</v>
      </c>
      <c r="E33" s="18" t="n">
        <v>430154</v>
      </c>
      <c r="F33" s="17" t="s">
        <v>670</v>
      </c>
      <c r="G33" s="23" t="n">
        <v>3.83884376293142</v>
      </c>
      <c r="H33" s="19" t="n">
        <v>94.1</v>
      </c>
      <c r="I33" s="17" t="n">
        <f aca="false">IF(H33="","",RANK(H33,$H$5:$H$491))</f>
        <v>29</v>
      </c>
      <c r="J33" s="24" t="n">
        <v>0.096945463076774</v>
      </c>
      <c r="K33" s="19" t="n">
        <v>56</v>
      </c>
      <c r="L33" s="17" t="n">
        <f aca="false">IF(K33="","",RANK(K33,$K$5:$K$491))</f>
        <v>221</v>
      </c>
      <c r="M33" s="25" t="n">
        <v>0.214164073051853</v>
      </c>
      <c r="N33" s="19" t="n">
        <v>85.1</v>
      </c>
      <c r="O33" s="17" t="n">
        <f aca="false">IF(N33="","",RANK(N33,$N$5:$N$491))</f>
        <v>74</v>
      </c>
      <c r="P33" s="17" t="str">
        <f aca="false">IF(AND(N(H33)&gt;=N(K33),N(H33)&gt;=N(N33)),"The Pulse",IF(N(K33)&gt;=N(N33),"The Lens","The Hub"))</f>
        <v>The Pulse</v>
      </c>
      <c r="Q33" s="20" t="s">
        <v>74</v>
      </c>
      <c r="R33" s="26" t="s">
        <v>668</v>
      </c>
      <c r="S33" s="17" t="s">
        <v>19</v>
      </c>
    </row>
    <row r="34" customFormat="false" ht="15" hidden="false" customHeight="false" outlineLevel="0" collapsed="false">
      <c r="A34" s="17" t="s">
        <v>1516</v>
      </c>
      <c r="B34" s="17" t="s">
        <v>1517</v>
      </c>
      <c r="C34" s="17" t="s">
        <v>2007</v>
      </c>
      <c r="D34" s="17" t="s">
        <v>77</v>
      </c>
      <c r="E34" s="18" t="n">
        <v>37005</v>
      </c>
      <c r="F34" s="17" t="s">
        <v>667</v>
      </c>
      <c r="G34" s="23" t="n">
        <v>3.82145655992433</v>
      </c>
      <c r="H34" s="19" t="n">
        <v>93.9</v>
      </c>
      <c r="I34" s="17" t="n">
        <f aca="false">IF(H34="","",RANK(H34,$H$5:$H$491))</f>
        <v>30</v>
      </c>
      <c r="J34" s="24" t="n">
        <v>0.0914641340254837</v>
      </c>
      <c r="K34" s="19" t="n">
        <v>51.8</v>
      </c>
      <c r="L34" s="17" t="n">
        <f aca="false">IF(K34="","",RANK(K34,$K$5:$K$491))</f>
        <v>243</v>
      </c>
      <c r="M34" s="25" t="n">
        <v>0.0845913354175971</v>
      </c>
      <c r="N34" s="19" t="n">
        <v>46.7</v>
      </c>
      <c r="O34" s="17" t="n">
        <f aca="false">IF(N34="","",RANK(N34,$N$5:$N$491))</f>
        <v>264</v>
      </c>
      <c r="P34" s="17" t="str">
        <f aca="false">IF(AND(N(H34)&gt;=N(K34),N(H34)&gt;=N(N34)),"The Pulse",IF(N(K34)&gt;=N(N34),"The Lens","The Hub"))</f>
        <v>The Pulse</v>
      </c>
      <c r="Q34" s="20" t="s">
        <v>74</v>
      </c>
      <c r="R34" s="26" t="s">
        <v>668</v>
      </c>
      <c r="S34" s="17" t="s">
        <v>19</v>
      </c>
    </row>
    <row r="35" customFormat="false" ht="15" hidden="false" customHeight="false" outlineLevel="0" collapsed="false">
      <c r="A35" s="17" t="s">
        <v>1320</v>
      </c>
      <c r="B35" s="17" t="s">
        <v>1321</v>
      </c>
      <c r="C35" s="17" t="s">
        <v>2008</v>
      </c>
      <c r="D35" s="17" t="s">
        <v>105</v>
      </c>
      <c r="E35" s="18" t="n">
        <v>455047</v>
      </c>
      <c r="F35" s="17" t="s">
        <v>670</v>
      </c>
      <c r="G35" s="23" t="n">
        <v>3.70181102171864</v>
      </c>
      <c r="H35" s="19" t="n">
        <v>93.7</v>
      </c>
      <c r="I35" s="17" t="n">
        <f aca="false">IF(H35="","",RANK(H35,$H$5:$H$491))</f>
        <v>31</v>
      </c>
      <c r="J35" s="24" t="n">
        <v>-0.0477120243760542</v>
      </c>
      <c r="K35" s="19" t="n">
        <v>4.2</v>
      </c>
      <c r="L35" s="17" t="n">
        <f aca="false">IF(K35="","",RANK(K35,$K$5:$K$491))</f>
        <v>469</v>
      </c>
      <c r="M35" s="25" t="n">
        <v>0.0158364503234713</v>
      </c>
      <c r="N35" s="19" t="n">
        <v>10.3</v>
      </c>
      <c r="O35" s="17" t="n">
        <f aca="false">IF(N35="","",RANK(N35,$N$5:$N$491))</f>
        <v>442</v>
      </c>
      <c r="P35" s="17" t="str">
        <f aca="false">IF(AND(N(H35)&gt;=N(K35),N(H35)&gt;=N(N35)),"The Pulse",IF(N(K35)&gt;=N(N35),"The Lens","The Hub"))</f>
        <v>The Pulse</v>
      </c>
      <c r="Q35" s="20" t="s">
        <v>74</v>
      </c>
      <c r="R35" s="26" t="s">
        <v>668</v>
      </c>
      <c r="S35" s="17" t="s">
        <v>19</v>
      </c>
    </row>
    <row r="36" customFormat="false" ht="15" hidden="false" customHeight="false" outlineLevel="0" collapsed="false">
      <c r="A36" s="17" t="s">
        <v>1481</v>
      </c>
      <c r="B36" s="17" t="s">
        <v>1482</v>
      </c>
      <c r="C36" s="17" t="s">
        <v>2009</v>
      </c>
      <c r="D36" s="17" t="s">
        <v>72</v>
      </c>
      <c r="E36" s="18" t="n">
        <v>63390</v>
      </c>
      <c r="F36" s="17" t="s">
        <v>667</v>
      </c>
      <c r="G36" s="23" t="n">
        <v>3.63208707998107</v>
      </c>
      <c r="H36" s="19" t="n">
        <v>93.5</v>
      </c>
      <c r="I36" s="17" t="n">
        <f aca="false">IF(H36="","",RANK(H36,$H$5:$H$491))</f>
        <v>32</v>
      </c>
      <c r="J36" s="24" t="n">
        <v>0.081740614334471</v>
      </c>
      <c r="K36" s="19" t="n">
        <v>46.1</v>
      </c>
      <c r="L36" s="17" t="n">
        <f aca="false">IF(K36="","",RANK(K36,$K$5:$K$491))</f>
        <v>273</v>
      </c>
      <c r="M36" s="25" t="n">
        <v>0.183653441749615</v>
      </c>
      <c r="N36" s="19" t="n">
        <v>79</v>
      </c>
      <c r="O36" s="17" t="n">
        <f aca="false">IF(N36="","",RANK(N36,$N$5:$N$491))</f>
        <v>103</v>
      </c>
      <c r="P36" s="17" t="str">
        <f aca="false">IF(AND(N(H36)&gt;=N(K36),N(H36)&gt;=N(N36)),"The Pulse",IF(N(K36)&gt;=N(N36),"The Lens","The Hub"))</f>
        <v>The Pulse</v>
      </c>
      <c r="Q36" s="20" t="s">
        <v>74</v>
      </c>
      <c r="R36" s="26" t="s">
        <v>668</v>
      </c>
      <c r="S36" s="17" t="s">
        <v>19</v>
      </c>
    </row>
    <row r="37" customFormat="false" ht="15" hidden="false" customHeight="false" outlineLevel="0" collapsed="false">
      <c r="A37" s="17" t="s">
        <v>672</v>
      </c>
      <c r="B37" s="17" t="s">
        <v>673</v>
      </c>
      <c r="C37" s="17" t="s">
        <v>2010</v>
      </c>
      <c r="D37" s="17" t="s">
        <v>105</v>
      </c>
      <c r="E37" s="18" t="n">
        <v>286438</v>
      </c>
      <c r="F37" s="17" t="s">
        <v>670</v>
      </c>
      <c r="G37" s="23" t="n">
        <v>3.61149009558788</v>
      </c>
      <c r="H37" s="19" t="n">
        <v>93.3</v>
      </c>
      <c r="I37" s="17" t="n">
        <f aca="false">IF(H37="","",RANK(H37,$H$5:$H$491))</f>
        <v>33</v>
      </c>
      <c r="J37" s="24" t="n">
        <v>-0.00741911227081666</v>
      </c>
      <c r="K37" s="19" t="n">
        <v>12.7</v>
      </c>
      <c r="L37" s="17" t="n">
        <f aca="false">IF(K37="","",RANK(K37,$K$5:$K$491))</f>
        <v>427</v>
      </c>
      <c r="M37" s="25" t="n">
        <v>0.103443936406729</v>
      </c>
      <c r="N37" s="19" t="n">
        <v>56.8</v>
      </c>
      <c r="O37" s="17" t="n">
        <f aca="false">IF(N37="","",RANK(N37,$N$5:$N$491))</f>
        <v>215</v>
      </c>
      <c r="P37" s="17" t="str">
        <f aca="false">IF(AND(N(H37)&gt;=N(K37),N(H37)&gt;=N(N37)),"The Pulse",IF(N(K37)&gt;=N(N37),"The Lens","The Hub"))</f>
        <v>The Pulse</v>
      </c>
      <c r="Q37" s="20" t="s">
        <v>74</v>
      </c>
      <c r="R37" s="26" t="s">
        <v>668</v>
      </c>
      <c r="S37" s="17" t="s">
        <v>19</v>
      </c>
    </row>
    <row r="38" customFormat="false" ht="15" hidden="false" customHeight="false" outlineLevel="0" collapsed="false">
      <c r="A38" s="17" t="s">
        <v>217</v>
      </c>
      <c r="B38" s="17" t="s">
        <v>218</v>
      </c>
      <c r="C38" s="17" t="s">
        <v>2011</v>
      </c>
      <c r="D38" s="17" t="s">
        <v>133</v>
      </c>
      <c r="E38" s="18" t="n">
        <v>95175</v>
      </c>
      <c r="F38" s="17" t="s">
        <v>667</v>
      </c>
      <c r="G38" s="23" t="n">
        <v>3.59510375623851</v>
      </c>
      <c r="H38" s="19" t="n">
        <v>93.2</v>
      </c>
      <c r="I38" s="17" t="n">
        <f aca="false">IF(H38="","",RANK(H38,$H$5:$H$491))</f>
        <v>34</v>
      </c>
      <c r="J38" s="24" t="n">
        <v>0.142077158456831</v>
      </c>
      <c r="K38" s="19" t="n">
        <v>74.1</v>
      </c>
      <c r="L38" s="17" t="n">
        <f aca="false">IF(K38="","",RANK(K38,$K$5:$K$491))</f>
        <v>132</v>
      </c>
      <c r="M38" s="25" t="n">
        <v>0.0816910785619174</v>
      </c>
      <c r="N38" s="19" t="n">
        <v>45.1</v>
      </c>
      <c r="O38" s="17" t="n">
        <f aca="false">IF(N38="","",RANK(N38,$N$5:$N$491))</f>
        <v>272</v>
      </c>
      <c r="P38" s="17" t="str">
        <f aca="false">IF(AND(N(H38)&gt;=N(K38),N(H38)&gt;=N(N38)),"The Pulse",IF(N(K38)&gt;=N(N38),"The Lens","The Hub"))</f>
        <v>The Pulse</v>
      </c>
      <c r="Q38" s="22" t="s">
        <v>83</v>
      </c>
      <c r="R38" s="27" t="s">
        <v>671</v>
      </c>
      <c r="S38" s="17" t="s">
        <v>17</v>
      </c>
    </row>
    <row r="39" customFormat="false" ht="15" hidden="false" customHeight="false" outlineLevel="0" collapsed="false">
      <c r="A39" s="17" t="s">
        <v>186</v>
      </c>
      <c r="B39" s="17" t="s">
        <v>187</v>
      </c>
      <c r="C39" s="17" t="s">
        <v>2012</v>
      </c>
      <c r="D39" s="17" t="s">
        <v>133</v>
      </c>
      <c r="E39" s="18" t="n">
        <v>52479</v>
      </c>
      <c r="F39" s="17" t="s">
        <v>667</v>
      </c>
      <c r="G39" s="23" t="n">
        <v>3.59421863983689</v>
      </c>
      <c r="H39" s="19" t="n">
        <v>93</v>
      </c>
      <c r="I39" s="17" t="n">
        <f aca="false">IF(H39="","",RANK(H39,$H$5:$H$491))</f>
        <v>35</v>
      </c>
      <c r="J39" s="24" t="n">
        <v>0.055809274720853</v>
      </c>
      <c r="K39" s="19" t="n">
        <v>33.3</v>
      </c>
      <c r="L39" s="17" t="n">
        <f aca="false">IF(K39="","",RANK(K39,$K$5:$K$491))</f>
        <v>330</v>
      </c>
      <c r="M39" s="25" t="n">
        <v>0.33686187467987</v>
      </c>
      <c r="N39" s="19" t="n">
        <v>97.7</v>
      </c>
      <c r="O39" s="17" t="n">
        <f aca="false">IF(N39="","",RANK(N39,$N$5:$N$491))</f>
        <v>12</v>
      </c>
      <c r="P39" s="17" t="str">
        <f aca="false">IF(AND(N(H39)&gt;=N(K39),N(H39)&gt;=N(N39)),"The Pulse",IF(N(K39)&gt;=N(N39),"The Lens","The Hub"))</f>
        <v>The Hub</v>
      </c>
      <c r="Q39" s="20" t="s">
        <v>74</v>
      </c>
      <c r="R39" s="27" t="s">
        <v>671</v>
      </c>
      <c r="S39" s="17" t="s">
        <v>19</v>
      </c>
    </row>
    <row r="40" customFormat="false" ht="15" hidden="false" customHeight="false" outlineLevel="0" collapsed="false">
      <c r="A40" s="17" t="s">
        <v>213</v>
      </c>
      <c r="B40" s="17" t="s">
        <v>214</v>
      </c>
      <c r="C40" s="17" t="s">
        <v>2013</v>
      </c>
      <c r="D40" s="17" t="s">
        <v>105</v>
      </c>
      <c r="E40" s="18" t="n">
        <v>339600</v>
      </c>
      <c r="F40" s="17" t="s">
        <v>670</v>
      </c>
      <c r="G40" s="23" t="n">
        <v>3.56358951707892</v>
      </c>
      <c r="H40" s="19" t="n">
        <v>92.8</v>
      </c>
      <c r="I40" s="17" t="n">
        <f aca="false">IF(H40="","",RANK(H40,$H$5:$H$491))</f>
        <v>36</v>
      </c>
      <c r="J40" s="24" t="n">
        <v>0.104929233772572</v>
      </c>
      <c r="K40" s="19" t="n">
        <v>60.8</v>
      </c>
      <c r="L40" s="17" t="n">
        <f aca="false">IF(K40="","",RANK(K40,$K$5:$K$491))</f>
        <v>198</v>
      </c>
      <c r="M40" s="25" t="n">
        <v>0.187441172515799</v>
      </c>
      <c r="N40" s="19" t="n">
        <v>80</v>
      </c>
      <c r="O40" s="17" t="n">
        <f aca="false">IF(N40="","",RANK(N40,$N$5:$N$491))</f>
        <v>98</v>
      </c>
      <c r="P40" s="17" t="str">
        <f aca="false">IF(AND(N(H40)&gt;=N(K40),N(H40)&gt;=N(N40)),"The Pulse",IF(N(K40)&gt;=N(N40),"The Lens","The Hub"))</f>
        <v>The Pulse</v>
      </c>
      <c r="Q40" s="21" t="s">
        <v>78</v>
      </c>
      <c r="R40" s="27" t="s">
        <v>671</v>
      </c>
      <c r="S40" s="17" t="s">
        <v>21</v>
      </c>
    </row>
    <row r="41" customFormat="false" ht="15" hidden="false" customHeight="false" outlineLevel="0" collapsed="false">
      <c r="A41" s="17" t="s">
        <v>103</v>
      </c>
      <c r="B41" s="17" t="s">
        <v>104</v>
      </c>
      <c r="C41" s="17" t="s">
        <v>2014</v>
      </c>
      <c r="D41" s="17" t="s">
        <v>105</v>
      </c>
      <c r="E41" s="18" t="n">
        <v>616713</v>
      </c>
      <c r="F41" s="17" t="s">
        <v>670</v>
      </c>
      <c r="G41" s="23" t="n">
        <v>3.52973911689878</v>
      </c>
      <c r="H41" s="19" t="n">
        <v>92.6</v>
      </c>
      <c r="I41" s="17" t="n">
        <f aca="false">IF(H41="","",RANK(H41,$H$5:$H$491))</f>
        <v>37</v>
      </c>
      <c r="J41" s="24" t="n">
        <v>0.141211542518347</v>
      </c>
      <c r="K41" s="19" t="n">
        <v>76.5</v>
      </c>
      <c r="L41" s="17" t="n">
        <f aca="false">IF(K41="","",RANK(K41,$K$5:$K$491))</f>
        <v>120</v>
      </c>
      <c r="M41" s="25" t="n">
        <v>0.0589646413740273</v>
      </c>
      <c r="N41" s="19" t="n">
        <v>35.6</v>
      </c>
      <c r="O41" s="17" t="n">
        <f aca="false">IF(N41="","",RANK(N41,$N$5:$N$491))</f>
        <v>320</v>
      </c>
      <c r="P41" s="17" t="str">
        <f aca="false">IF(AND(N(H41)&gt;=N(K41),N(H41)&gt;=N(N41)),"The Pulse",IF(N(K41)&gt;=N(N41),"The Lens","The Hub"))</f>
        <v>The Pulse</v>
      </c>
      <c r="Q41" s="20" t="s">
        <v>74</v>
      </c>
      <c r="R41" s="27" t="s">
        <v>671</v>
      </c>
      <c r="S41" s="17" t="s">
        <v>19</v>
      </c>
    </row>
    <row r="42" customFormat="false" ht="15" hidden="false" customHeight="false" outlineLevel="0" collapsed="false">
      <c r="A42" s="17" t="s">
        <v>1393</v>
      </c>
      <c r="B42" s="17" t="s">
        <v>1394</v>
      </c>
      <c r="C42" s="17" t="s">
        <v>2015</v>
      </c>
      <c r="D42" s="17" t="s">
        <v>105</v>
      </c>
      <c r="E42" s="18" t="n">
        <v>28508</v>
      </c>
      <c r="F42" s="17" t="s">
        <v>667</v>
      </c>
      <c r="G42" s="23" t="n">
        <v>3.50438473410972</v>
      </c>
      <c r="H42" s="19" t="n">
        <v>92.4</v>
      </c>
      <c r="I42" s="17" t="n">
        <f aca="false">IF(H42="","",RANK(H42,$H$5:$H$491))</f>
        <v>38</v>
      </c>
      <c r="J42" s="24" t="n">
        <v>0.00731422917918095</v>
      </c>
      <c r="K42" s="19" t="n">
        <v>12.8</v>
      </c>
      <c r="L42" s="17" t="n">
        <f aca="false">IF(K42="","",RANK(K42,$K$5:$K$491))</f>
        <v>426</v>
      </c>
      <c r="M42" s="25" t="n">
        <v>0.133462282398453</v>
      </c>
      <c r="N42" s="19" t="n">
        <v>66.7</v>
      </c>
      <c r="O42" s="17" t="n">
        <f aca="false">IF(N42="","",RANK(N42,$N$5:$N$491))</f>
        <v>165</v>
      </c>
      <c r="P42" s="17" t="str">
        <f aca="false">IF(AND(N(H42)&gt;=N(K42),N(H42)&gt;=N(N42)),"The Pulse",IF(N(K42)&gt;=N(N42),"The Lens","The Hub"))</f>
        <v>The Pulse</v>
      </c>
      <c r="Q42" s="20" t="s">
        <v>74</v>
      </c>
      <c r="R42" s="26" t="s">
        <v>668</v>
      </c>
      <c r="S42" s="17" t="s">
        <v>19</v>
      </c>
    </row>
    <row r="43" customFormat="false" ht="15" hidden="false" customHeight="false" outlineLevel="0" collapsed="false">
      <c r="A43" s="17" t="s">
        <v>2016</v>
      </c>
      <c r="B43" s="17" t="s">
        <v>2017</v>
      </c>
      <c r="C43" s="17" t="s">
        <v>2018</v>
      </c>
      <c r="D43" s="17" t="s">
        <v>114</v>
      </c>
      <c r="E43" s="18" t="n">
        <v>111543</v>
      </c>
      <c r="F43" s="17" t="s">
        <v>670</v>
      </c>
      <c r="G43" s="23" t="n">
        <v>3.49403369104292</v>
      </c>
      <c r="H43" s="19" t="n">
        <v>92.2</v>
      </c>
      <c r="I43" s="17" t="n">
        <f aca="false">IF(H43="","",RANK(H43,$H$5:$H$491))</f>
        <v>39</v>
      </c>
      <c r="J43" s="24" t="n">
        <v>0.195082230674452</v>
      </c>
      <c r="K43" s="19" t="n">
        <v>89.8</v>
      </c>
      <c r="L43" s="17" t="n">
        <f aca="false">IF(K43="","",RANK(K43,$K$5:$K$491))</f>
        <v>52</v>
      </c>
      <c r="M43" s="25" t="n">
        <v>0.128917232393883</v>
      </c>
      <c r="N43" s="19" t="n">
        <v>65</v>
      </c>
      <c r="O43" s="17" t="n">
        <f aca="false">IF(N43="","",RANK(N43,$N$5:$N$491))</f>
        <v>174</v>
      </c>
      <c r="P43" s="17" t="str">
        <f aca="false">IF(AND(N(H43)&gt;=N(K43),N(H43)&gt;=N(N43)),"The Pulse",IF(N(K43)&gt;=N(N43),"The Lens","The Hub"))</f>
        <v>The Pulse</v>
      </c>
      <c r="Q43" s="20" t="s">
        <v>74</v>
      </c>
      <c r="R43" s="26" t="s">
        <v>668</v>
      </c>
      <c r="S43" s="17" t="s">
        <v>19</v>
      </c>
    </row>
    <row r="44" customFormat="false" ht="15" hidden="false" customHeight="false" outlineLevel="0" collapsed="false">
      <c r="A44" s="17" t="s">
        <v>106</v>
      </c>
      <c r="B44" s="17" t="s">
        <v>107</v>
      </c>
      <c r="C44" s="17" t="s">
        <v>2019</v>
      </c>
      <c r="D44" s="17" t="s">
        <v>77</v>
      </c>
      <c r="E44" s="18" t="n">
        <v>722384</v>
      </c>
      <c r="F44" s="17" t="s">
        <v>670</v>
      </c>
      <c r="G44" s="23" t="n">
        <v>3.46930164566214</v>
      </c>
      <c r="H44" s="19" t="n">
        <v>92</v>
      </c>
      <c r="I44" s="17" t="n">
        <f aca="false">IF(H44="","",RANK(H44,$H$5:$H$491))</f>
        <v>40</v>
      </c>
      <c r="J44" s="24" t="n">
        <v>0.134650000471211</v>
      </c>
      <c r="K44" s="19" t="n">
        <v>73.5</v>
      </c>
      <c r="L44" s="17" t="n">
        <f aca="false">IF(K44="","",RANK(K44,$K$5:$K$491))</f>
        <v>135</v>
      </c>
      <c r="M44" s="25" t="n">
        <v>0.126189149735901</v>
      </c>
      <c r="N44" s="19" t="n">
        <v>64.4</v>
      </c>
      <c r="O44" s="17" t="n">
        <f aca="false">IF(N44="","",RANK(N44,$N$5:$N$491))</f>
        <v>176</v>
      </c>
      <c r="P44" s="17" t="str">
        <f aca="false">IF(AND(N(H44)&gt;=N(K44),N(H44)&gt;=N(N44)),"The Pulse",IF(N(K44)&gt;=N(N44),"The Lens","The Hub"))</f>
        <v>The Pulse</v>
      </c>
      <c r="Q44" s="20" t="s">
        <v>74</v>
      </c>
      <c r="R44" s="27" t="s">
        <v>671</v>
      </c>
      <c r="S44" s="17" t="s">
        <v>19</v>
      </c>
    </row>
    <row r="45" customFormat="false" ht="15" hidden="false" customHeight="false" outlineLevel="0" collapsed="false">
      <c r="A45" s="17" t="s">
        <v>2020</v>
      </c>
      <c r="B45" s="17" t="s">
        <v>2021</v>
      </c>
      <c r="C45" s="17" t="s">
        <v>2022</v>
      </c>
      <c r="D45" s="17" t="s">
        <v>105</v>
      </c>
      <c r="E45" s="18" t="n">
        <v>44543</v>
      </c>
      <c r="F45" s="17" t="s">
        <v>667</v>
      </c>
      <c r="G45" s="23" t="n">
        <v>3.46682980490762</v>
      </c>
      <c r="H45" s="19" t="n">
        <v>91.8</v>
      </c>
      <c r="I45" s="17" t="n">
        <f aca="false">IF(H45="","",RANK(H45,$H$5:$H$491))</f>
        <v>41</v>
      </c>
      <c r="J45" s="24" t="n">
        <v>0.219253825308625</v>
      </c>
      <c r="K45" s="19" t="n">
        <v>95.7</v>
      </c>
      <c r="L45" s="17" t="n">
        <f aca="false">IF(K45="","",RANK(K45,$K$5:$K$491))</f>
        <v>24</v>
      </c>
      <c r="M45" s="25" t="n">
        <v>0.192287163063784</v>
      </c>
      <c r="N45" s="19" t="n">
        <v>81.1</v>
      </c>
      <c r="O45" s="17" t="n">
        <f aca="false">IF(N45="","",RANK(N45,$N$5:$N$491))</f>
        <v>92</v>
      </c>
      <c r="P45" s="17" t="str">
        <f aca="false">IF(AND(N(H45)&gt;=N(K45),N(H45)&gt;=N(N45)),"The Pulse",IF(N(K45)&gt;=N(N45),"The Lens","The Hub"))</f>
        <v>The Lens</v>
      </c>
      <c r="Q45" s="20" t="s">
        <v>74</v>
      </c>
      <c r="R45" s="26" t="s">
        <v>668</v>
      </c>
      <c r="S45" s="17" t="s">
        <v>19</v>
      </c>
    </row>
    <row r="46" customFormat="false" ht="15" hidden="false" customHeight="false" outlineLevel="0" collapsed="false">
      <c r="A46" s="17" t="s">
        <v>307</v>
      </c>
      <c r="B46" s="17" t="s">
        <v>308</v>
      </c>
      <c r="C46" s="17" t="s">
        <v>2023</v>
      </c>
      <c r="D46" s="17" t="s">
        <v>77</v>
      </c>
      <c r="E46" s="18" t="n">
        <v>78345</v>
      </c>
      <c r="F46" s="17" t="s">
        <v>667</v>
      </c>
      <c r="G46" s="23" t="n">
        <v>3.41855893803051</v>
      </c>
      <c r="H46" s="19" t="n">
        <v>91.6</v>
      </c>
      <c r="I46" s="17" t="n">
        <f aca="false">IF(H46="","",RANK(H46,$H$5:$H$491))</f>
        <v>42</v>
      </c>
      <c r="J46" s="24" t="n">
        <v>0.263058618688334</v>
      </c>
      <c r="K46" s="19" t="n">
        <v>99.6</v>
      </c>
      <c r="L46" s="17" t="n">
        <f aca="false">IF(K46="","",RANK(K46,$K$5:$K$491))</f>
        <v>5</v>
      </c>
      <c r="M46" s="25" t="n">
        <v>0.0942944994875299</v>
      </c>
      <c r="N46" s="19" t="n">
        <v>51.6</v>
      </c>
      <c r="O46" s="17" t="n">
        <f aca="false">IF(N46="","",RANK(N46,$N$5:$N$491))</f>
        <v>240</v>
      </c>
      <c r="P46" s="17" t="str">
        <f aca="false">IF(AND(N(H46)&gt;=N(K46),N(H46)&gt;=N(N46)),"The Pulse",IF(N(K46)&gt;=N(N46),"The Lens","The Hub"))</f>
        <v>The Lens</v>
      </c>
      <c r="Q46" s="20" t="s">
        <v>74</v>
      </c>
      <c r="R46" s="27" t="s">
        <v>671</v>
      </c>
      <c r="S46" s="17" t="s">
        <v>19</v>
      </c>
    </row>
    <row r="47" customFormat="false" ht="15" hidden="false" customHeight="false" outlineLevel="0" collapsed="false">
      <c r="A47" s="17" t="s">
        <v>798</v>
      </c>
      <c r="B47" s="17" t="s">
        <v>799</v>
      </c>
      <c r="C47" s="17" t="s">
        <v>2024</v>
      </c>
      <c r="D47" s="17" t="s">
        <v>81</v>
      </c>
      <c r="E47" s="18" t="n">
        <v>322782</v>
      </c>
      <c r="F47" s="17" t="s">
        <v>670</v>
      </c>
      <c r="G47" s="23" t="n">
        <v>3.36706197991214</v>
      </c>
      <c r="H47" s="19" t="n">
        <v>91.4</v>
      </c>
      <c r="I47" s="17" t="n">
        <f aca="false">IF(H47="","",RANK(H47,$H$5:$H$491))</f>
        <v>43</v>
      </c>
      <c r="J47" s="24" t="n">
        <v>0.0722763890042355</v>
      </c>
      <c r="K47" s="19" t="n">
        <v>45.2</v>
      </c>
      <c r="L47" s="17" t="n">
        <f aca="false">IF(K47="","",RANK(K47,$K$5:$K$491))</f>
        <v>277</v>
      </c>
      <c r="M47" s="25" t="n">
        <v>0.0363546403411635</v>
      </c>
      <c r="N47" s="19" t="n">
        <v>23.6</v>
      </c>
      <c r="O47" s="17" t="n">
        <f aca="false">IF(N47="","",RANK(N47,$N$5:$N$491))</f>
        <v>377</v>
      </c>
      <c r="P47" s="17" t="str">
        <f aca="false">IF(AND(N(H47)&gt;=N(K47),N(H47)&gt;=N(N47)),"The Pulse",IF(N(K47)&gt;=N(N47),"The Lens","The Hub"))</f>
        <v>The Pulse</v>
      </c>
      <c r="Q47" s="20" t="s">
        <v>74</v>
      </c>
      <c r="R47" s="26" t="s">
        <v>668</v>
      </c>
      <c r="S47" s="17" t="s">
        <v>19</v>
      </c>
    </row>
    <row r="48" customFormat="false" ht="15" hidden="false" customHeight="false" outlineLevel="0" collapsed="false">
      <c r="A48" s="17" t="s">
        <v>221</v>
      </c>
      <c r="B48" s="17" t="s">
        <v>222</v>
      </c>
      <c r="C48" s="17" t="s">
        <v>2025</v>
      </c>
      <c r="D48" s="17" t="s">
        <v>87</v>
      </c>
      <c r="E48" s="18" t="n">
        <v>28341</v>
      </c>
      <c r="F48" s="17" t="s">
        <v>667</v>
      </c>
      <c r="G48" s="23" t="n">
        <v>3.34709431565576</v>
      </c>
      <c r="H48" s="19" t="n">
        <v>91.3</v>
      </c>
      <c r="I48" s="17" t="n">
        <f aca="false">IF(H48="","",RANK(H48,$H$5:$H$491))</f>
        <v>44</v>
      </c>
      <c r="J48" s="24" t="n">
        <v>0.165576804441703</v>
      </c>
      <c r="K48" s="19" t="n">
        <v>84.4</v>
      </c>
      <c r="L48" s="17" t="n">
        <f aca="false">IF(K48="","",RANK(K48,$K$5:$K$491))</f>
        <v>78</v>
      </c>
      <c r="M48" s="25" t="n">
        <v>0.00232078390923156</v>
      </c>
      <c r="N48" s="19" t="n">
        <v>2.9</v>
      </c>
      <c r="O48" s="17" t="n">
        <f aca="false">IF(N48="","",RANK(N48,$N$5:$N$491))</f>
        <v>473</v>
      </c>
      <c r="P48" s="17" t="str">
        <f aca="false">IF(AND(N(H48)&gt;=N(K48),N(H48)&gt;=N(N48)),"The Pulse",IF(N(K48)&gt;=N(N48),"The Lens","The Hub"))</f>
        <v>The Pulse</v>
      </c>
      <c r="Q48" s="20" t="s">
        <v>74</v>
      </c>
      <c r="R48" s="27" t="s">
        <v>671</v>
      </c>
      <c r="S48" s="17" t="s">
        <v>19</v>
      </c>
    </row>
    <row r="49" customFormat="false" ht="15" hidden="false" customHeight="false" outlineLevel="0" collapsed="false">
      <c r="A49" s="17" t="s">
        <v>1672</v>
      </c>
      <c r="B49" s="17" t="s">
        <v>1673</v>
      </c>
      <c r="C49" s="17" t="s">
        <v>2026</v>
      </c>
      <c r="D49" s="17" t="s">
        <v>114</v>
      </c>
      <c r="E49" s="18" t="n">
        <v>8195</v>
      </c>
      <c r="F49" s="17" t="s">
        <v>678</v>
      </c>
      <c r="G49" s="23" t="n">
        <v>3.32361195851129</v>
      </c>
      <c r="H49" s="19" t="n">
        <v>91.1</v>
      </c>
      <c r="I49" s="17" t="n">
        <f aca="false">IF(H49="","",RANK(H49,$H$5:$H$491))</f>
        <v>45</v>
      </c>
      <c r="J49" s="24" t="n">
        <v>0.149368863955119</v>
      </c>
      <c r="K49" s="19" t="n">
        <v>76</v>
      </c>
      <c r="L49" s="17" t="n">
        <f aca="false">IF(K49="","",RANK(K49,$K$5:$K$491))</f>
        <v>122</v>
      </c>
      <c r="M49" s="25" t="n">
        <v>0.15460729746444</v>
      </c>
      <c r="N49" s="19" t="n">
        <v>72.2</v>
      </c>
      <c r="O49" s="17" t="n">
        <f aca="false">IF(N49="","",RANK(N49,$N$5:$N$491))</f>
        <v>138</v>
      </c>
      <c r="P49" s="17" t="str">
        <f aca="false">IF(AND(N(H49)&gt;=N(K49),N(H49)&gt;=N(N49)),"The Pulse",IF(N(K49)&gt;=N(N49),"The Lens","The Hub"))</f>
        <v>The Pulse</v>
      </c>
      <c r="Q49" s="20" t="s">
        <v>74</v>
      </c>
      <c r="R49" s="26" t="s">
        <v>668</v>
      </c>
      <c r="S49" s="17" t="s">
        <v>19</v>
      </c>
    </row>
    <row r="50" customFormat="false" ht="15" hidden="false" customHeight="false" outlineLevel="0" collapsed="false">
      <c r="A50" s="17" t="s">
        <v>1151</v>
      </c>
      <c r="B50" s="17" t="s">
        <v>1152</v>
      </c>
      <c r="C50" s="17" t="s">
        <v>2027</v>
      </c>
      <c r="D50" s="17" t="s">
        <v>92</v>
      </c>
      <c r="E50" s="18" t="n">
        <v>8681</v>
      </c>
      <c r="F50" s="17" t="s">
        <v>678</v>
      </c>
      <c r="G50" s="23" t="n">
        <v>3.30514917636217</v>
      </c>
      <c r="H50" s="19" t="n">
        <v>90.9</v>
      </c>
      <c r="I50" s="17" t="n">
        <f aca="false">IF(H50="","",RANK(H50,$H$5:$H$491))</f>
        <v>46</v>
      </c>
      <c r="J50" s="24" t="n">
        <v>0.096362717858045</v>
      </c>
      <c r="K50" s="19" t="n">
        <v>46.7</v>
      </c>
      <c r="L50" s="17" t="n">
        <f aca="false">IF(K50="","",RANK(K50,$K$5:$K$491))</f>
        <v>270</v>
      </c>
      <c r="M50" s="25" t="n">
        <v>0.0777777777777778</v>
      </c>
      <c r="N50" s="19" t="n">
        <v>43.4</v>
      </c>
      <c r="O50" s="17" t="n">
        <f aca="false">IF(N50="","",RANK(N50,$N$5:$N$491))</f>
        <v>281</v>
      </c>
      <c r="P50" s="17" t="str">
        <f aca="false">IF(AND(N(H50)&gt;=N(K50),N(H50)&gt;=N(N50)),"The Pulse",IF(N(K50)&gt;=N(N50),"The Lens","The Hub"))</f>
        <v>The Pulse</v>
      </c>
      <c r="Q50" s="20" t="s">
        <v>74</v>
      </c>
      <c r="R50" s="26" t="s">
        <v>668</v>
      </c>
      <c r="S50" s="17" t="s">
        <v>19</v>
      </c>
    </row>
    <row r="51" customFormat="false" ht="15" hidden="false" customHeight="false" outlineLevel="0" collapsed="false">
      <c r="A51" s="17" t="s">
        <v>1665</v>
      </c>
      <c r="B51" s="17" t="s">
        <v>1666</v>
      </c>
      <c r="C51" s="17" t="s">
        <v>2028</v>
      </c>
      <c r="D51" s="17" t="s">
        <v>105</v>
      </c>
      <c r="E51" s="18" t="n">
        <v>11283</v>
      </c>
      <c r="F51" s="17" t="s">
        <v>667</v>
      </c>
      <c r="G51" s="23" t="n">
        <v>3.28955065142249</v>
      </c>
      <c r="H51" s="19" t="n">
        <v>90.7</v>
      </c>
      <c r="I51" s="17" t="n">
        <f aca="false">IF(H51="","",RANK(H51,$H$5:$H$491))</f>
        <v>47</v>
      </c>
      <c r="J51" s="24" t="n">
        <v>0.103363974183454</v>
      </c>
      <c r="K51" s="19" t="n">
        <v>55.3</v>
      </c>
      <c r="L51" s="17" t="n">
        <f aca="false">IF(K51="","",RANK(K51,$K$5:$K$491))</f>
        <v>226</v>
      </c>
      <c r="M51" s="25" t="n">
        <v>0.0300240192153723</v>
      </c>
      <c r="N51" s="19" t="n">
        <v>19.4</v>
      </c>
      <c r="O51" s="17" t="n">
        <f aca="false">IF(N51="","",RANK(N51,$N$5:$N$491))</f>
        <v>398</v>
      </c>
      <c r="P51" s="17" t="str">
        <f aca="false">IF(AND(N(H51)&gt;=N(K51),N(H51)&gt;=N(N51)),"The Pulse",IF(N(K51)&gt;=N(N51),"The Lens","The Hub"))</f>
        <v>The Pulse</v>
      </c>
      <c r="Q51" s="20" t="s">
        <v>74</v>
      </c>
      <c r="R51" s="26" t="s">
        <v>668</v>
      </c>
      <c r="S51" s="17" t="s">
        <v>19</v>
      </c>
    </row>
    <row r="52" customFormat="false" ht="15" hidden="false" customHeight="false" outlineLevel="0" collapsed="false">
      <c r="A52" s="17" t="s">
        <v>1306</v>
      </c>
      <c r="B52" s="17" t="s">
        <v>1307</v>
      </c>
      <c r="C52" s="17" t="s">
        <v>2029</v>
      </c>
      <c r="D52" s="17" t="s">
        <v>138</v>
      </c>
      <c r="E52" s="18" t="n">
        <v>21535</v>
      </c>
      <c r="F52" s="17" t="s">
        <v>667</v>
      </c>
      <c r="G52" s="23" t="n">
        <v>3.27856977014163</v>
      </c>
      <c r="H52" s="19" t="n">
        <v>90.5</v>
      </c>
      <c r="I52" s="17" t="n">
        <f aca="false">IF(H52="","",RANK(H52,$H$5:$H$491))</f>
        <v>48</v>
      </c>
      <c r="J52" s="24" t="n">
        <v>0.191556465445693</v>
      </c>
      <c r="K52" s="19" t="n">
        <v>91.8</v>
      </c>
      <c r="L52" s="17" t="n">
        <f aca="false">IF(K52="","",RANK(K52,$K$5:$K$491))</f>
        <v>42</v>
      </c>
      <c r="M52" s="25" t="n">
        <v>0.0812121212121212</v>
      </c>
      <c r="N52" s="19" t="n">
        <v>44.6</v>
      </c>
      <c r="O52" s="17" t="n">
        <f aca="false">IF(N52="","",RANK(N52,$N$5:$N$491))</f>
        <v>275</v>
      </c>
      <c r="P52" s="17" t="str">
        <f aca="false">IF(AND(N(H52)&gt;=N(K52),N(H52)&gt;=N(N52)),"The Pulse",IF(N(K52)&gt;=N(N52),"The Lens","The Hub"))</f>
        <v>The Lens</v>
      </c>
      <c r="Q52" s="20" t="s">
        <v>74</v>
      </c>
      <c r="R52" s="26" t="s">
        <v>668</v>
      </c>
      <c r="S52" s="17" t="s">
        <v>19</v>
      </c>
    </row>
    <row r="53" customFormat="false" ht="15" hidden="false" customHeight="false" outlineLevel="0" collapsed="false">
      <c r="A53" s="17" t="s">
        <v>1196</v>
      </c>
      <c r="B53" s="17" t="s">
        <v>1197</v>
      </c>
      <c r="C53" s="17" t="s">
        <v>2030</v>
      </c>
      <c r="D53" s="17" t="s">
        <v>102</v>
      </c>
      <c r="E53" s="18" t="n">
        <v>850</v>
      </c>
      <c r="F53" s="17" t="s">
        <v>678</v>
      </c>
      <c r="G53" s="23" t="n">
        <v>3.26</v>
      </c>
      <c r="H53" s="19" t="n">
        <v>90.3</v>
      </c>
      <c r="I53" s="17" t="n">
        <f aca="false">IF(H53="","",RANK(H53,$H$5:$H$491))</f>
        <v>49</v>
      </c>
      <c r="J53" s="24" t="n">
        <v>0.14247311827957</v>
      </c>
      <c r="K53" s="19" t="n">
        <v>73.3</v>
      </c>
      <c r="L53" s="17" t="n">
        <f aca="false">IF(K53="","",RANK(K53,$K$5:$K$491))</f>
        <v>137</v>
      </c>
      <c r="M53" s="25" t="n">
        <v>0.0492957746478873</v>
      </c>
      <c r="N53" s="19" t="n">
        <v>31</v>
      </c>
      <c r="O53" s="17" t="n">
        <f aca="false">IF(N53="","",RANK(N53,$N$5:$N$491))</f>
        <v>341</v>
      </c>
      <c r="P53" s="17" t="str">
        <f aca="false">IF(AND(N(H53)&gt;=N(K53),N(H53)&gt;=N(N53)),"The Pulse",IF(N(K53)&gt;=N(N53),"The Lens","The Hub"))</f>
        <v>The Pulse</v>
      </c>
      <c r="Q53" s="20" t="s">
        <v>74</v>
      </c>
      <c r="R53" s="26" t="s">
        <v>668</v>
      </c>
      <c r="S53" s="17" t="s">
        <v>19</v>
      </c>
    </row>
    <row r="54" customFormat="false" ht="15" hidden="false" customHeight="false" outlineLevel="0" collapsed="false">
      <c r="A54" s="17" t="s">
        <v>2031</v>
      </c>
      <c r="B54" s="17" t="s">
        <v>2032</v>
      </c>
      <c r="C54" s="17" t="s">
        <v>2033</v>
      </c>
      <c r="D54" s="17" t="s">
        <v>72</v>
      </c>
      <c r="E54" s="18" t="n">
        <v>3840</v>
      </c>
      <c r="F54" s="17" t="s">
        <v>678</v>
      </c>
      <c r="G54" s="23" t="n">
        <v>3.25390625</v>
      </c>
      <c r="H54" s="19" t="n">
        <v>90.1</v>
      </c>
      <c r="I54" s="17" t="n">
        <f aca="false">IF(H54="","",RANK(H54,$H$5:$H$491))</f>
        <v>50</v>
      </c>
      <c r="J54" s="24" t="n">
        <v>0.0783487784330244</v>
      </c>
      <c r="K54" s="19" t="n">
        <v>41.3</v>
      </c>
      <c r="L54" s="17" t="n">
        <f aca="false">IF(K54="","",RANK(K54,$K$5:$K$491))</f>
        <v>296</v>
      </c>
      <c r="M54" s="25" t="n">
        <v>0.163706563706564</v>
      </c>
      <c r="N54" s="19" t="n">
        <v>74.5</v>
      </c>
      <c r="O54" s="17" t="n">
        <f aca="false">IF(N54="","",RANK(N54,$N$5:$N$491))</f>
        <v>126</v>
      </c>
      <c r="P54" s="17" t="str">
        <f aca="false">IF(AND(N(H54)&gt;=N(K54),N(H54)&gt;=N(N54)),"The Pulse",IF(N(K54)&gt;=N(N54),"The Lens","The Hub"))</f>
        <v>The Pulse</v>
      </c>
      <c r="Q54" s="22" t="s">
        <v>83</v>
      </c>
      <c r="R54" s="26" t="s">
        <v>668</v>
      </c>
      <c r="S54" s="17" t="s">
        <v>17</v>
      </c>
    </row>
    <row r="55" customFormat="false" ht="15" hidden="false" customHeight="false" outlineLevel="0" collapsed="false">
      <c r="A55" s="17" t="s">
        <v>455</v>
      </c>
      <c r="B55" s="17" t="s">
        <v>456</v>
      </c>
      <c r="C55" s="17" t="s">
        <v>2034</v>
      </c>
      <c r="D55" s="17" t="s">
        <v>87</v>
      </c>
      <c r="E55" s="18" t="n">
        <v>1018277</v>
      </c>
      <c r="F55" s="17" t="s">
        <v>752</v>
      </c>
      <c r="G55" s="23" t="n">
        <v>3.20123600945519</v>
      </c>
      <c r="H55" s="19" t="n">
        <v>89.9</v>
      </c>
      <c r="I55" s="17" t="n">
        <f aca="false">IF(H55="","",RANK(H55,$H$5:$H$491))</f>
        <v>51</v>
      </c>
      <c r="J55" s="24" t="n">
        <v>-0.0252914954450995</v>
      </c>
      <c r="K55" s="19" t="n">
        <v>20</v>
      </c>
      <c r="L55" s="17" t="n">
        <f aca="false">IF(K55="","",RANK(K55,$K$5:$K$491))</f>
        <v>389</v>
      </c>
      <c r="M55" s="25" t="n">
        <v>0.0639797254647033</v>
      </c>
      <c r="N55" s="19" t="n">
        <v>37.9</v>
      </c>
      <c r="O55" s="17" t="n">
        <f aca="false">IF(N55="","",RANK(N55,$N$5:$N$491))</f>
        <v>308</v>
      </c>
      <c r="P55" s="17" t="str">
        <f aca="false">IF(AND(N(H55)&gt;=N(K55),N(H55)&gt;=N(N55)),"The Pulse",IF(N(K55)&gt;=N(N55),"The Lens","The Hub"))</f>
        <v>The Pulse</v>
      </c>
      <c r="Q55" s="20" t="s">
        <v>74</v>
      </c>
      <c r="R55" s="27" t="s">
        <v>671</v>
      </c>
      <c r="S55" s="17" t="s">
        <v>19</v>
      </c>
    </row>
    <row r="56" customFormat="false" ht="15" hidden="false" customHeight="false" outlineLevel="0" collapsed="false">
      <c r="A56" s="17" t="s">
        <v>184</v>
      </c>
      <c r="B56" s="17" t="s">
        <v>185</v>
      </c>
      <c r="C56" s="17" t="s">
        <v>2035</v>
      </c>
      <c r="D56" s="17" t="s">
        <v>138</v>
      </c>
      <c r="E56" s="18" t="n">
        <v>9294</v>
      </c>
      <c r="F56" s="17" t="s">
        <v>678</v>
      </c>
      <c r="G56" s="23" t="n">
        <v>3.13621691413815</v>
      </c>
      <c r="H56" s="19" t="n">
        <v>89.7</v>
      </c>
      <c r="I56" s="17" t="n">
        <f aca="false">IF(H56="","",RANK(H56,$H$5:$H$491))</f>
        <v>52</v>
      </c>
      <c r="J56" s="24" t="n">
        <v>0.0277562755722658</v>
      </c>
      <c r="K56" s="19" t="n">
        <v>18.7</v>
      </c>
      <c r="L56" s="17" t="n">
        <f aca="false">IF(K56="","",RANK(K56,$K$5:$K$491))</f>
        <v>397</v>
      </c>
      <c r="M56" s="25" t="n">
        <v>0.027355623100304</v>
      </c>
      <c r="N56" s="19" t="n">
        <v>16.8</v>
      </c>
      <c r="O56" s="17" t="n">
        <f aca="false">IF(N56="","",RANK(N56,$N$5:$N$491))</f>
        <v>411</v>
      </c>
      <c r="P56" s="17" t="str">
        <f aca="false">IF(AND(N(H56)&gt;=N(K56),N(H56)&gt;=N(N56)),"The Pulse",IF(N(K56)&gt;=N(N56),"The Lens","The Hub"))</f>
        <v>The Pulse</v>
      </c>
      <c r="Q56" s="20" t="s">
        <v>74</v>
      </c>
      <c r="R56" s="27" t="s">
        <v>671</v>
      </c>
      <c r="S56" s="17" t="s">
        <v>19</v>
      </c>
    </row>
    <row r="57" customFormat="false" ht="15" hidden="false" customHeight="false" outlineLevel="0" collapsed="false">
      <c r="A57" s="17" t="s">
        <v>319</v>
      </c>
      <c r="B57" s="17" t="s">
        <v>320</v>
      </c>
      <c r="C57" s="17" t="s">
        <v>2036</v>
      </c>
      <c r="D57" s="17" t="s">
        <v>72</v>
      </c>
      <c r="E57" s="18" t="n">
        <v>27275</v>
      </c>
      <c r="F57" s="17" t="s">
        <v>667</v>
      </c>
      <c r="G57" s="23" t="n">
        <v>3.12051329055912</v>
      </c>
      <c r="H57" s="19" t="n">
        <v>89.5</v>
      </c>
      <c r="I57" s="17" t="n">
        <f aca="false">IF(H57="","",RANK(H57,$H$5:$H$491))</f>
        <v>53</v>
      </c>
      <c r="J57" s="24" t="n">
        <v>0.145969498910675</v>
      </c>
      <c r="K57" s="19" t="n">
        <v>75.5</v>
      </c>
      <c r="L57" s="17" t="n">
        <f aca="false">IF(K57="","",RANK(K57,$K$5:$K$491))</f>
        <v>125</v>
      </c>
      <c r="M57" s="25" t="n">
        <v>0.0494053064958829</v>
      </c>
      <c r="N57" s="19" t="n">
        <v>31.2</v>
      </c>
      <c r="O57" s="17" t="n">
        <f aca="false">IF(N57="","",RANK(N57,$N$5:$N$491))</f>
        <v>340</v>
      </c>
      <c r="P57" s="17" t="str">
        <f aca="false">IF(AND(N(H57)&gt;=N(K57),N(H57)&gt;=N(N57)),"The Pulse",IF(N(K57)&gt;=N(N57),"The Lens","The Hub"))</f>
        <v>The Pulse</v>
      </c>
      <c r="Q57" s="21" t="s">
        <v>78</v>
      </c>
      <c r="R57" s="27" t="s">
        <v>671</v>
      </c>
      <c r="S57" s="17" t="s">
        <v>126</v>
      </c>
    </row>
    <row r="58" customFormat="false" ht="15" hidden="false" customHeight="false" outlineLevel="0" collapsed="false">
      <c r="A58" s="17" t="s">
        <v>2037</v>
      </c>
      <c r="B58" s="17" t="s">
        <v>2038</v>
      </c>
      <c r="C58" s="17" t="s">
        <v>2039</v>
      </c>
      <c r="D58" s="17" t="s">
        <v>114</v>
      </c>
      <c r="E58" s="18" t="n">
        <v>31907</v>
      </c>
      <c r="F58" s="17" t="s">
        <v>667</v>
      </c>
      <c r="G58" s="23" t="n">
        <v>3.07421568934717</v>
      </c>
      <c r="H58" s="19" t="n">
        <v>89.4</v>
      </c>
      <c r="I58" s="17" t="n">
        <f aca="false">IF(H58="","",RANK(H58,$H$5:$H$491))</f>
        <v>54</v>
      </c>
      <c r="J58" s="24" t="n">
        <v>0.166575262330445</v>
      </c>
      <c r="K58" s="19" t="n">
        <v>84.8</v>
      </c>
      <c r="L58" s="17" t="n">
        <f aca="false">IF(K58="","",RANK(K58,$K$5:$K$491))</f>
        <v>77</v>
      </c>
      <c r="M58" s="25" t="n">
        <v>0.0256704102681641</v>
      </c>
      <c r="N58" s="19" t="n">
        <v>15.8</v>
      </c>
      <c r="O58" s="17" t="n">
        <f aca="false">IF(N58="","",RANK(N58,$N$5:$N$491))</f>
        <v>416</v>
      </c>
      <c r="P58" s="17" t="str">
        <f aca="false">IF(AND(N(H58)&gt;=N(K58),N(H58)&gt;=N(N58)),"The Pulse",IF(N(K58)&gt;=N(N58),"The Lens","The Hub"))</f>
        <v>The Pulse</v>
      </c>
      <c r="Q58" s="20" t="s">
        <v>74</v>
      </c>
      <c r="R58" s="26" t="s">
        <v>668</v>
      </c>
      <c r="S58" s="17" t="s">
        <v>19</v>
      </c>
    </row>
    <row r="59" customFormat="false" ht="15" hidden="false" customHeight="false" outlineLevel="0" collapsed="false">
      <c r="A59" s="17" t="s">
        <v>323</v>
      </c>
      <c r="B59" s="17" t="s">
        <v>324</v>
      </c>
      <c r="C59" s="17" t="s">
        <v>2040</v>
      </c>
      <c r="D59" s="17" t="s">
        <v>105</v>
      </c>
      <c r="E59" s="18" t="n">
        <v>53154</v>
      </c>
      <c r="F59" s="17" t="s">
        <v>667</v>
      </c>
      <c r="G59" s="23" t="n">
        <v>3.06486811905031</v>
      </c>
      <c r="H59" s="19" t="n">
        <v>89.2</v>
      </c>
      <c r="I59" s="17" t="n">
        <f aca="false">IF(H59="","",RANK(H59,$H$5:$H$491))</f>
        <v>55</v>
      </c>
      <c r="J59" s="24" t="n">
        <v>-0.0228145969298649</v>
      </c>
      <c r="K59" s="19" t="n">
        <v>7.4</v>
      </c>
      <c r="L59" s="17" t="n">
        <f aca="false">IF(K59="","",RANK(K59,$K$5:$K$491))</f>
        <v>453</v>
      </c>
      <c r="M59" s="25" t="n">
        <v>0.121786283891547</v>
      </c>
      <c r="N59" s="19" t="n">
        <v>63.8</v>
      </c>
      <c r="O59" s="17" t="n">
        <f aca="false">IF(N59="","",RANK(N59,$N$5:$N$491))</f>
        <v>179</v>
      </c>
      <c r="P59" s="17" t="str">
        <f aca="false">IF(AND(N(H59)&gt;=N(K59),N(H59)&gt;=N(N59)),"The Pulse",IF(N(K59)&gt;=N(N59),"The Lens","The Hub"))</f>
        <v>The Pulse</v>
      </c>
      <c r="Q59" s="20" t="s">
        <v>74</v>
      </c>
      <c r="R59" s="27" t="s">
        <v>671</v>
      </c>
      <c r="S59" s="17" t="s">
        <v>19</v>
      </c>
    </row>
    <row r="60" customFormat="false" ht="15" hidden="false" customHeight="false" outlineLevel="0" collapsed="false">
      <c r="A60" s="17" t="s">
        <v>2041</v>
      </c>
      <c r="B60" s="17" t="s">
        <v>2042</v>
      </c>
      <c r="C60" s="17" t="s">
        <v>2043</v>
      </c>
      <c r="D60" s="17" t="s">
        <v>81</v>
      </c>
      <c r="E60" s="18" t="n">
        <v>29032</v>
      </c>
      <c r="F60" s="17" t="s">
        <v>667</v>
      </c>
      <c r="G60" s="23" t="n">
        <v>2.94750620005511</v>
      </c>
      <c r="H60" s="19" t="n">
        <v>89</v>
      </c>
      <c r="I60" s="17" t="n">
        <f aca="false">IF(H60="","",RANK(H60,$H$5:$H$491))</f>
        <v>56</v>
      </c>
      <c r="J60" s="24" t="n">
        <v>0.0911004209260373</v>
      </c>
      <c r="K60" s="19" t="n">
        <v>51.4</v>
      </c>
      <c r="L60" s="17" t="n">
        <f aca="false">IF(K60="","",RANK(K60,$K$5:$K$491))</f>
        <v>245</v>
      </c>
      <c r="M60" s="25" t="n">
        <v>0.256983240223464</v>
      </c>
      <c r="N60" s="19" t="n">
        <v>93.3</v>
      </c>
      <c r="O60" s="17" t="n">
        <f aca="false">IF(N60="","",RANK(N60,$N$5:$N$491))</f>
        <v>33</v>
      </c>
      <c r="P60" s="17" t="str">
        <f aca="false">IF(AND(N(H60)&gt;=N(K60),N(H60)&gt;=N(N60)),"The Pulse",IF(N(K60)&gt;=N(N60),"The Lens","The Hub"))</f>
        <v>The Hub</v>
      </c>
      <c r="Q60" s="20" t="s">
        <v>74</v>
      </c>
      <c r="R60" s="26" t="s">
        <v>668</v>
      </c>
      <c r="S60" s="17" t="s">
        <v>19</v>
      </c>
    </row>
    <row r="61" customFormat="false" ht="15" hidden="false" customHeight="false" outlineLevel="0" collapsed="false">
      <c r="A61" s="17" t="s">
        <v>112</v>
      </c>
      <c r="B61" s="17" t="s">
        <v>113</v>
      </c>
      <c r="C61" s="17" t="s">
        <v>2044</v>
      </c>
      <c r="D61" s="17" t="s">
        <v>114</v>
      </c>
      <c r="E61" s="18" t="n">
        <v>52423</v>
      </c>
      <c r="F61" s="17" t="s">
        <v>667</v>
      </c>
      <c r="G61" s="23" t="n">
        <v>2.94237262270378</v>
      </c>
      <c r="H61" s="19" t="n">
        <v>88.8</v>
      </c>
      <c r="I61" s="17" t="n">
        <f aca="false">IF(H61="","",RANK(H61,$H$5:$H$491))</f>
        <v>57</v>
      </c>
      <c r="J61" s="24" t="n">
        <v>0.0858119304059652</v>
      </c>
      <c r="K61" s="19" t="n">
        <v>48.2</v>
      </c>
      <c r="L61" s="17" t="n">
        <f aca="false">IF(K61="","",RANK(K61,$K$5:$K$491))</f>
        <v>261</v>
      </c>
      <c r="M61" s="25" t="n">
        <v>0.221396874397067</v>
      </c>
      <c r="N61" s="19" t="n">
        <v>87.4</v>
      </c>
      <c r="O61" s="17" t="n">
        <f aca="false">IF(N61="","",RANK(N61,$N$5:$N$491))</f>
        <v>63</v>
      </c>
      <c r="P61" s="17" t="str">
        <f aca="false">IF(AND(N(H61)&gt;=N(K61),N(H61)&gt;=N(N61)),"The Pulse",IF(N(K61)&gt;=N(N61),"The Lens","The Hub"))</f>
        <v>The Pulse</v>
      </c>
      <c r="Q61" s="20" t="s">
        <v>74</v>
      </c>
      <c r="R61" s="27" t="s">
        <v>671</v>
      </c>
      <c r="S61" s="17" t="s">
        <v>19</v>
      </c>
    </row>
    <row r="62" customFormat="false" ht="15" hidden="false" customHeight="false" outlineLevel="0" collapsed="false">
      <c r="A62" s="17" t="s">
        <v>383</v>
      </c>
      <c r="B62" s="17" t="s">
        <v>384</v>
      </c>
      <c r="C62" s="17" t="s">
        <v>2045</v>
      </c>
      <c r="D62" s="17" t="s">
        <v>81</v>
      </c>
      <c r="E62" s="18" t="n">
        <v>55779</v>
      </c>
      <c r="F62" s="17" t="s">
        <v>667</v>
      </c>
      <c r="G62" s="23" t="n">
        <v>2.93630219258144</v>
      </c>
      <c r="H62" s="19" t="n">
        <v>88.6</v>
      </c>
      <c r="I62" s="17" t="n">
        <f aca="false">IF(H62="","",RANK(H62,$H$5:$H$491))</f>
        <v>58</v>
      </c>
      <c r="J62" s="24" t="n">
        <v>0.0729619512945793</v>
      </c>
      <c r="K62" s="19" t="n">
        <v>40.1</v>
      </c>
      <c r="L62" s="17" t="n">
        <f aca="false">IF(K62="","",RANK(K62,$K$5:$K$491))</f>
        <v>301</v>
      </c>
      <c r="M62" s="25" t="n">
        <v>0.262267343485618</v>
      </c>
      <c r="N62" s="19" t="n">
        <v>94.1</v>
      </c>
      <c r="O62" s="17" t="n">
        <f aca="false">IF(N62="","",RANK(N62,$N$5:$N$491))</f>
        <v>29</v>
      </c>
      <c r="P62" s="17" t="str">
        <f aca="false">IF(AND(N(H62)&gt;=N(K62),N(H62)&gt;=N(N62)),"The Pulse",IF(N(K62)&gt;=N(N62),"The Lens","The Hub"))</f>
        <v>The Hub</v>
      </c>
      <c r="Q62" s="20" t="s">
        <v>74</v>
      </c>
      <c r="R62" s="27" t="s">
        <v>671</v>
      </c>
      <c r="S62" s="17" t="s">
        <v>19</v>
      </c>
    </row>
    <row r="63" customFormat="false" ht="15" hidden="false" customHeight="false" outlineLevel="0" collapsed="false">
      <c r="A63" s="17" t="s">
        <v>2046</v>
      </c>
      <c r="B63" s="17" t="s">
        <v>2047</v>
      </c>
      <c r="C63" s="17" t="s">
        <v>2048</v>
      </c>
      <c r="D63" s="17" t="s">
        <v>105</v>
      </c>
      <c r="E63" s="18" t="n">
        <v>46234</v>
      </c>
      <c r="F63" s="17" t="s">
        <v>667</v>
      </c>
      <c r="G63" s="23" t="n">
        <v>2.92172427218065</v>
      </c>
      <c r="H63" s="19" t="n">
        <v>88.4</v>
      </c>
      <c r="I63" s="17" t="n">
        <f aca="false">IF(H63="","",RANK(H63,$H$5:$H$491))</f>
        <v>59</v>
      </c>
      <c r="J63" s="24" t="n">
        <v>-0.0144946071535149</v>
      </c>
      <c r="K63" s="19" t="n">
        <v>7.8</v>
      </c>
      <c r="L63" s="17" t="n">
        <f aca="false">IF(K63="","",RANK(K63,$K$5:$K$491))</f>
        <v>451</v>
      </c>
      <c r="M63" s="25" t="n">
        <v>0.000406338886631451</v>
      </c>
      <c r="N63" s="19" t="n">
        <v>1.5</v>
      </c>
      <c r="O63" s="17" t="n">
        <f aca="false">IF(N63="","",RANK(N63,$N$5:$N$491))</f>
        <v>480</v>
      </c>
      <c r="P63" s="17" t="str">
        <f aca="false">IF(AND(N(H63)&gt;=N(K63),N(H63)&gt;=N(N63)),"The Pulse",IF(N(K63)&gt;=N(N63),"The Lens","The Hub"))</f>
        <v>The Pulse</v>
      </c>
      <c r="Q63" s="20" t="s">
        <v>74</v>
      </c>
      <c r="R63" s="26" t="s">
        <v>668</v>
      </c>
      <c r="S63" s="17" t="s">
        <v>19</v>
      </c>
    </row>
    <row r="64" customFormat="false" ht="15" hidden="false" customHeight="false" outlineLevel="0" collapsed="false">
      <c r="A64" s="17" t="s">
        <v>773</v>
      </c>
      <c r="B64" s="17" t="s">
        <v>774</v>
      </c>
      <c r="C64" s="17" t="s">
        <v>2049</v>
      </c>
      <c r="D64" s="17" t="s">
        <v>102</v>
      </c>
      <c r="E64" s="18" t="n">
        <v>57960</v>
      </c>
      <c r="F64" s="17" t="s">
        <v>667</v>
      </c>
      <c r="G64" s="23" t="n">
        <v>2.91999654934438</v>
      </c>
      <c r="H64" s="19" t="n">
        <v>88.2</v>
      </c>
      <c r="I64" s="17" t="n">
        <f aca="false">IF(H64="","",RANK(H64,$H$5:$H$491))</f>
        <v>60</v>
      </c>
      <c r="J64" s="24" t="n">
        <v>0.0461716183531281</v>
      </c>
      <c r="K64" s="19" t="n">
        <v>28.4</v>
      </c>
      <c r="L64" s="17" t="n">
        <f aca="false">IF(K64="","",RANK(K64,$K$5:$K$491))</f>
        <v>353</v>
      </c>
      <c r="M64" s="25" t="n">
        <v>0.00210918114143921</v>
      </c>
      <c r="N64" s="19" t="n">
        <v>2.5</v>
      </c>
      <c r="O64" s="17" t="n">
        <f aca="false">IF(N64="","",RANK(N64,$N$5:$N$491))</f>
        <v>475</v>
      </c>
      <c r="P64" s="17" t="str">
        <f aca="false">IF(AND(N(H64)&gt;=N(K64),N(H64)&gt;=N(N64)),"The Pulse",IF(N(K64)&gt;=N(N64),"The Lens","The Hub"))</f>
        <v>The Pulse</v>
      </c>
      <c r="Q64" s="20" t="s">
        <v>74</v>
      </c>
      <c r="R64" s="26" t="s">
        <v>668</v>
      </c>
      <c r="S64" s="17" t="s">
        <v>19</v>
      </c>
    </row>
    <row r="65" customFormat="false" ht="15" hidden="false" customHeight="false" outlineLevel="0" collapsed="false">
      <c r="A65" s="17" t="s">
        <v>1065</v>
      </c>
      <c r="B65" s="17" t="s">
        <v>1066</v>
      </c>
      <c r="C65" s="17" t="s">
        <v>2050</v>
      </c>
      <c r="D65" s="17" t="s">
        <v>72</v>
      </c>
      <c r="E65" s="18" t="n">
        <v>1827</v>
      </c>
      <c r="F65" s="17" t="s">
        <v>678</v>
      </c>
      <c r="G65" s="23" t="n">
        <v>2.88998357963875</v>
      </c>
      <c r="H65" s="19" t="n">
        <v>88</v>
      </c>
      <c r="I65" s="17" t="n">
        <f aca="false">IF(H65="","",RANK(H65,$H$5:$H$491))</f>
        <v>61</v>
      </c>
      <c r="J65" s="24" t="n">
        <v>0.0791494388659185</v>
      </c>
      <c r="K65" s="19" t="n">
        <v>42.7</v>
      </c>
      <c r="L65" s="17" t="n">
        <f aca="false">IF(K65="","",RANK(K65,$K$5:$K$491))</f>
        <v>289</v>
      </c>
      <c r="M65" s="25" t="n">
        <v>0.165898617511521</v>
      </c>
      <c r="N65" s="19" t="n">
        <v>75.2</v>
      </c>
      <c r="O65" s="17" t="n">
        <f aca="false">IF(N65="","",RANK(N65,$N$5:$N$491))</f>
        <v>122</v>
      </c>
      <c r="P65" s="17" t="str">
        <f aca="false">IF(AND(N(H65)&gt;=N(K65),N(H65)&gt;=N(N65)),"The Pulse",IF(N(K65)&gt;=N(N65),"The Lens","The Hub"))</f>
        <v>The Pulse</v>
      </c>
      <c r="Q65" s="20" t="s">
        <v>74</v>
      </c>
      <c r="R65" s="26" t="s">
        <v>668</v>
      </c>
      <c r="S65" s="17" t="s">
        <v>19</v>
      </c>
    </row>
    <row r="66" customFormat="false" ht="15" hidden="false" customHeight="false" outlineLevel="0" collapsed="false">
      <c r="A66" s="17" t="s">
        <v>2051</v>
      </c>
      <c r="B66" s="17" t="s">
        <v>2052</v>
      </c>
      <c r="C66" s="17" t="s">
        <v>2053</v>
      </c>
      <c r="D66" s="17" t="s">
        <v>81</v>
      </c>
      <c r="E66" s="18" t="n">
        <v>36450</v>
      </c>
      <c r="F66" s="17" t="s">
        <v>667</v>
      </c>
      <c r="G66" s="23" t="n">
        <v>2.83939643347051</v>
      </c>
      <c r="H66" s="19" t="n">
        <v>87.8</v>
      </c>
      <c r="I66" s="17" t="n">
        <f aca="false">IF(H66="","",RANK(H66,$H$5:$H$491))</f>
        <v>62</v>
      </c>
      <c r="J66" s="24" t="n">
        <v>0.112977099236641</v>
      </c>
      <c r="K66" s="19" t="n">
        <v>60.6</v>
      </c>
      <c r="L66" s="17" t="n">
        <f aca="false">IF(K66="","",RANK(K66,$K$5:$K$491))</f>
        <v>199</v>
      </c>
      <c r="M66" s="25" t="n">
        <v>0.191272315103429</v>
      </c>
      <c r="N66" s="19" t="n">
        <v>81</v>
      </c>
      <c r="O66" s="17" t="n">
        <f aca="false">IF(N66="","",RANK(N66,$N$5:$N$491))</f>
        <v>93</v>
      </c>
      <c r="P66" s="17" t="str">
        <f aca="false">IF(AND(N(H66)&gt;=N(K66),N(H66)&gt;=N(N66)),"The Pulse",IF(N(K66)&gt;=N(N66),"The Lens","The Hub"))</f>
        <v>The Pulse</v>
      </c>
      <c r="Q66" s="21" t="s">
        <v>78</v>
      </c>
      <c r="R66" s="26" t="s">
        <v>668</v>
      </c>
      <c r="S66" s="17" t="s">
        <v>21</v>
      </c>
    </row>
    <row r="67" customFormat="false" ht="15" hidden="false" customHeight="false" outlineLevel="0" collapsed="false">
      <c r="A67" s="17" t="s">
        <v>887</v>
      </c>
      <c r="B67" s="17" t="s">
        <v>888</v>
      </c>
      <c r="C67" s="17" t="s">
        <v>2054</v>
      </c>
      <c r="D67" s="17" t="s">
        <v>102</v>
      </c>
      <c r="E67" s="18" t="n">
        <v>110768</v>
      </c>
      <c r="F67" s="17" t="s">
        <v>670</v>
      </c>
      <c r="G67" s="23" t="n">
        <v>2.82853351148346</v>
      </c>
      <c r="H67" s="19" t="n">
        <v>87.5</v>
      </c>
      <c r="I67" s="17" t="n">
        <f aca="false">IF(H67="","",RANK(H67,$H$5:$H$491))</f>
        <v>63</v>
      </c>
      <c r="J67" s="24" t="n">
        <v>0.067983069313613</v>
      </c>
      <c r="K67" s="19" t="n">
        <v>44</v>
      </c>
      <c r="L67" s="17" t="n">
        <f aca="false">IF(K67="","",RANK(K67,$K$5:$K$491))</f>
        <v>282</v>
      </c>
      <c r="M67" s="25" t="n">
        <v>0.0525417530171888</v>
      </c>
      <c r="N67" s="19" t="n">
        <v>33.3</v>
      </c>
      <c r="O67" s="17" t="n">
        <f aca="false">IF(N67="","",RANK(N67,$N$5:$N$491))</f>
        <v>329</v>
      </c>
      <c r="P67" s="17" t="str">
        <f aca="false">IF(AND(N(H67)&gt;=N(K67),N(H67)&gt;=N(N67)),"The Pulse",IF(N(K67)&gt;=N(N67),"The Lens","The Hub"))</f>
        <v>The Pulse</v>
      </c>
      <c r="Q67" s="20" t="s">
        <v>74</v>
      </c>
      <c r="R67" s="26" t="s">
        <v>668</v>
      </c>
      <c r="S67" s="17" t="s">
        <v>19</v>
      </c>
    </row>
    <row r="68" customFormat="false" ht="15" hidden="false" customHeight="false" outlineLevel="0" collapsed="false">
      <c r="A68" s="17" t="s">
        <v>2055</v>
      </c>
      <c r="B68" s="17" t="s">
        <v>2056</v>
      </c>
      <c r="C68" s="17" t="s">
        <v>2057</v>
      </c>
      <c r="D68" s="17" t="s">
        <v>133</v>
      </c>
      <c r="E68" s="18" t="n">
        <v>46497</v>
      </c>
      <c r="F68" s="17" t="s">
        <v>667</v>
      </c>
      <c r="G68" s="23" t="n">
        <v>2.828311503968</v>
      </c>
      <c r="H68" s="19" t="n">
        <v>87.3</v>
      </c>
      <c r="I68" s="17" t="n">
        <f aca="false">IF(H68="","",RANK(H68,$H$5:$H$491))</f>
        <v>64</v>
      </c>
      <c r="J68" s="24" t="n">
        <v>0.173988789577337</v>
      </c>
      <c r="K68" s="19" t="n">
        <v>89</v>
      </c>
      <c r="L68" s="17" t="n">
        <f aca="false">IF(K68="","",RANK(K68,$K$5:$K$491))</f>
        <v>57</v>
      </c>
      <c r="M68" s="25" t="n">
        <v>0.0288582183186951</v>
      </c>
      <c r="N68" s="19" t="n">
        <v>18.3</v>
      </c>
      <c r="O68" s="17" t="n">
        <f aca="false">IF(N68="","",RANK(N68,$N$5:$N$491))</f>
        <v>404</v>
      </c>
      <c r="P68" s="17" t="str">
        <f aca="false">IF(AND(N(H68)&gt;=N(K68),N(H68)&gt;=N(N68)),"The Pulse",IF(N(K68)&gt;=N(N68),"The Lens","The Hub"))</f>
        <v>The Lens</v>
      </c>
      <c r="Q68" s="20" t="s">
        <v>74</v>
      </c>
      <c r="R68" s="26" t="s">
        <v>668</v>
      </c>
      <c r="S68" s="17" t="s">
        <v>19</v>
      </c>
    </row>
    <row r="69" customFormat="false" ht="15" hidden="false" customHeight="false" outlineLevel="0" collapsed="false">
      <c r="A69" s="17" t="s">
        <v>145</v>
      </c>
      <c r="B69" s="17" t="s">
        <v>146</v>
      </c>
      <c r="C69" s="17" t="s">
        <v>2058</v>
      </c>
      <c r="D69" s="17" t="s">
        <v>81</v>
      </c>
      <c r="E69" s="18" t="n">
        <v>33710</v>
      </c>
      <c r="F69" s="17" t="s">
        <v>667</v>
      </c>
      <c r="G69" s="23" t="n">
        <v>2.79979234648472</v>
      </c>
      <c r="H69" s="19" t="n">
        <v>87.1</v>
      </c>
      <c r="I69" s="17" t="n">
        <f aca="false">IF(H69="","",RANK(H69,$H$5:$H$491))</f>
        <v>65</v>
      </c>
      <c r="J69" s="24" t="n">
        <v>-0.000954995821893279</v>
      </c>
      <c r="K69" s="19" t="n">
        <v>10.6</v>
      </c>
      <c r="L69" s="17" t="n">
        <f aca="false">IF(K69="","",RANK(K69,$K$5:$K$491))</f>
        <v>437</v>
      </c>
      <c r="M69" s="25" t="n">
        <v>0.0341</v>
      </c>
      <c r="N69" s="19" t="n">
        <v>21.7</v>
      </c>
      <c r="O69" s="17" t="n">
        <f aca="false">IF(N69="","",RANK(N69,$N$5:$N$491))</f>
        <v>387</v>
      </c>
      <c r="P69" s="17" t="str">
        <f aca="false">IF(AND(N(H69)&gt;=N(K69),N(H69)&gt;=N(N69)),"The Pulse",IF(N(K69)&gt;=N(N69),"The Lens","The Hub"))</f>
        <v>The Pulse</v>
      </c>
      <c r="Q69" s="22" t="s">
        <v>83</v>
      </c>
      <c r="R69" s="27" t="s">
        <v>671</v>
      </c>
      <c r="S69" s="17" t="s">
        <v>84</v>
      </c>
    </row>
    <row r="70" customFormat="false" ht="15" hidden="false" customHeight="false" outlineLevel="0" collapsed="false">
      <c r="A70" s="17" t="s">
        <v>121</v>
      </c>
      <c r="B70" s="17" t="s">
        <v>122</v>
      </c>
      <c r="C70" s="17" t="s">
        <v>2059</v>
      </c>
      <c r="D70" s="17" t="s">
        <v>72</v>
      </c>
      <c r="E70" s="18" t="n">
        <v>34113</v>
      </c>
      <c r="F70" s="17" t="s">
        <v>667</v>
      </c>
      <c r="G70" s="23" t="n">
        <v>2.79532729457978</v>
      </c>
      <c r="H70" s="19" t="n">
        <v>86.9</v>
      </c>
      <c r="I70" s="17" t="n">
        <f aca="false">IF(H70="","",RANK(H70,$H$5:$H$491))</f>
        <v>66</v>
      </c>
      <c r="J70" s="24" t="n">
        <v>0.140026066905056</v>
      </c>
      <c r="K70" s="19" t="n">
        <v>72.7</v>
      </c>
      <c r="L70" s="17" t="n">
        <f aca="false">IF(K70="","",RANK(K70,$K$5:$K$491))</f>
        <v>140</v>
      </c>
      <c r="M70" s="25" t="n">
        <v>0.203042328042328</v>
      </c>
      <c r="N70" s="19" t="n">
        <v>83</v>
      </c>
      <c r="O70" s="17" t="n">
        <f aca="false">IF(N70="","",RANK(N70,$N$5:$N$491))</f>
        <v>84</v>
      </c>
      <c r="P70" s="17" t="str">
        <f aca="false">IF(AND(N(H70)&gt;=N(K70),N(H70)&gt;=N(N70)),"The Pulse",IF(N(K70)&gt;=N(N70),"The Lens","The Hub"))</f>
        <v>The Pulse</v>
      </c>
      <c r="Q70" s="20" t="s">
        <v>74</v>
      </c>
      <c r="R70" s="27" t="s">
        <v>671</v>
      </c>
      <c r="S70" s="17" t="s">
        <v>19</v>
      </c>
    </row>
    <row r="71" customFormat="false" ht="15" hidden="false" customHeight="false" outlineLevel="0" collapsed="false">
      <c r="A71" s="17" t="s">
        <v>182</v>
      </c>
      <c r="B71" s="17" t="s">
        <v>183</v>
      </c>
      <c r="C71" s="17" t="s">
        <v>2060</v>
      </c>
      <c r="D71" s="17" t="s">
        <v>114</v>
      </c>
      <c r="E71" s="18" t="n">
        <v>13086</v>
      </c>
      <c r="F71" s="17" t="s">
        <v>667</v>
      </c>
      <c r="G71" s="23" t="n">
        <v>2.79084517805288</v>
      </c>
      <c r="H71" s="19" t="n">
        <v>86.7</v>
      </c>
      <c r="I71" s="17" t="n">
        <f aca="false">IF(H71="","",RANK(H71,$H$5:$H$491))</f>
        <v>67</v>
      </c>
      <c r="J71" s="24" t="n">
        <v>0.216057987175913</v>
      </c>
      <c r="K71" s="19" t="n">
        <v>95.4</v>
      </c>
      <c r="L71" s="17" t="n">
        <f aca="false">IF(K71="","",RANK(K71,$K$5:$K$491))</f>
        <v>25</v>
      </c>
      <c r="M71" s="25" t="n">
        <v>0.0681044267877412</v>
      </c>
      <c r="N71" s="19" t="n">
        <v>39.2</v>
      </c>
      <c r="O71" s="17" t="n">
        <f aca="false">IF(N71="","",RANK(N71,$N$5:$N$491))</f>
        <v>302</v>
      </c>
      <c r="P71" s="17" t="str">
        <f aca="false">IF(AND(N(H71)&gt;=N(K71),N(H71)&gt;=N(N71)),"The Pulse",IF(N(K71)&gt;=N(N71),"The Lens","The Hub"))</f>
        <v>The Lens</v>
      </c>
      <c r="Q71" s="20" t="s">
        <v>74</v>
      </c>
      <c r="R71" s="27" t="s">
        <v>671</v>
      </c>
      <c r="S71" s="17" t="s">
        <v>19</v>
      </c>
    </row>
    <row r="72" customFormat="false" ht="15" hidden="false" customHeight="false" outlineLevel="0" collapsed="false">
      <c r="A72" s="17" t="s">
        <v>1580</v>
      </c>
      <c r="B72" s="17" t="s">
        <v>1581</v>
      </c>
      <c r="C72" s="17" t="s">
        <v>2061</v>
      </c>
      <c r="D72" s="17" t="s">
        <v>105</v>
      </c>
      <c r="E72" s="18" t="n">
        <v>15323</v>
      </c>
      <c r="F72" s="17" t="s">
        <v>667</v>
      </c>
      <c r="G72" s="23" t="n">
        <v>2.75788031064413</v>
      </c>
      <c r="H72" s="19" t="n">
        <v>86.5</v>
      </c>
      <c r="I72" s="17" t="n">
        <f aca="false">IF(H72="","",RANK(H72,$H$5:$H$491))</f>
        <v>68</v>
      </c>
      <c r="J72" s="24" t="n">
        <v>0.0923932416054752</v>
      </c>
      <c r="K72" s="19" t="n">
        <v>52.5</v>
      </c>
      <c r="L72" s="17" t="n">
        <f aca="false">IF(K72="","",RANK(K72,$K$5:$K$491))</f>
        <v>239</v>
      </c>
      <c r="M72" s="25" t="n">
        <v>0.0886252616887648</v>
      </c>
      <c r="N72" s="19" t="n">
        <v>48.4</v>
      </c>
      <c r="O72" s="17" t="n">
        <f aca="false">IF(N72="","",RANK(N72,$N$5:$N$491))</f>
        <v>255</v>
      </c>
      <c r="P72" s="17" t="str">
        <f aca="false">IF(AND(N(H72)&gt;=N(K72),N(H72)&gt;=N(N72)),"The Pulse",IF(N(K72)&gt;=N(N72),"The Lens","The Hub"))</f>
        <v>The Pulse</v>
      </c>
      <c r="Q72" s="20" t="s">
        <v>74</v>
      </c>
      <c r="R72" s="26" t="s">
        <v>668</v>
      </c>
      <c r="S72" s="17" t="s">
        <v>19</v>
      </c>
    </row>
    <row r="73" customFormat="false" ht="15" hidden="false" customHeight="false" outlineLevel="0" collapsed="false">
      <c r="A73" s="17" t="s">
        <v>1125</v>
      </c>
      <c r="B73" s="17" t="s">
        <v>1126</v>
      </c>
      <c r="C73" s="17" t="s">
        <v>2062</v>
      </c>
      <c r="D73" s="17" t="s">
        <v>105</v>
      </c>
      <c r="E73" s="18" t="n">
        <v>970324</v>
      </c>
      <c r="F73" s="17" t="s">
        <v>670</v>
      </c>
      <c r="G73" s="23" t="n">
        <v>2.75383583215503</v>
      </c>
      <c r="H73" s="19" t="n">
        <v>86.3</v>
      </c>
      <c r="I73" s="17" t="n">
        <f aca="false">IF(H73="","",RANK(H73,$H$5:$H$491))</f>
        <v>69</v>
      </c>
      <c r="J73" s="24" t="n">
        <v>-0.0251781720860048</v>
      </c>
      <c r="K73" s="19" t="n">
        <v>8.4</v>
      </c>
      <c r="L73" s="17" t="n">
        <f aca="false">IF(K73="","",RANK(K73,$K$5:$K$491))</f>
        <v>448</v>
      </c>
      <c r="M73" s="25" t="n">
        <v>0.163736168420009</v>
      </c>
      <c r="N73" s="19" t="n">
        <v>74.7</v>
      </c>
      <c r="O73" s="17" t="n">
        <f aca="false">IF(N73="","",RANK(N73,$N$5:$N$491))</f>
        <v>125</v>
      </c>
      <c r="P73" s="17" t="str">
        <f aca="false">IF(AND(N(H73)&gt;=N(K73),N(H73)&gt;=N(N73)),"The Pulse",IF(N(K73)&gt;=N(N73),"The Lens","The Hub"))</f>
        <v>The Pulse</v>
      </c>
      <c r="Q73" s="22" t="s">
        <v>83</v>
      </c>
      <c r="R73" s="26" t="s">
        <v>668</v>
      </c>
      <c r="S73" s="17" t="s">
        <v>17</v>
      </c>
    </row>
    <row r="74" customFormat="false" ht="15" hidden="false" customHeight="false" outlineLevel="0" collapsed="false">
      <c r="A74" s="17" t="s">
        <v>986</v>
      </c>
      <c r="B74" s="17" t="s">
        <v>987</v>
      </c>
      <c r="C74" s="17" t="s">
        <v>2063</v>
      </c>
      <c r="D74" s="17" t="s">
        <v>87</v>
      </c>
      <c r="E74" s="18" t="n">
        <v>109210</v>
      </c>
      <c r="F74" s="17" t="s">
        <v>670</v>
      </c>
      <c r="G74" s="23" t="n">
        <v>2.75116747550591</v>
      </c>
      <c r="H74" s="19" t="n">
        <v>86.1</v>
      </c>
      <c r="I74" s="17" t="n">
        <f aca="false">IF(H74="","",RANK(H74,$H$5:$H$491))</f>
        <v>70</v>
      </c>
      <c r="J74" s="24" t="n">
        <v>0.277982563922532</v>
      </c>
      <c r="K74" s="19" t="n">
        <v>97</v>
      </c>
      <c r="L74" s="17" t="n">
        <f aca="false">IF(K74="","",RANK(K74,$K$5:$K$491))</f>
        <v>18</v>
      </c>
      <c r="M74" s="25" t="n">
        <v>0.326693227091634</v>
      </c>
      <c r="N74" s="19" t="n">
        <v>97.5</v>
      </c>
      <c r="O74" s="17" t="n">
        <f aca="false">IF(N74="","",RANK(N74,$N$5:$N$491))</f>
        <v>13</v>
      </c>
      <c r="P74" s="17" t="str">
        <f aca="false">IF(AND(N(H74)&gt;=N(K74),N(H74)&gt;=N(N74)),"The Pulse",IF(N(K74)&gt;=N(N74),"The Lens","The Hub"))</f>
        <v>The Hub</v>
      </c>
      <c r="Q74" s="20" t="s">
        <v>74</v>
      </c>
      <c r="R74" s="26" t="s">
        <v>668</v>
      </c>
      <c r="S74" s="17" t="s">
        <v>19</v>
      </c>
    </row>
    <row r="75" customFormat="false" ht="15" hidden="false" customHeight="false" outlineLevel="0" collapsed="false">
      <c r="A75" s="17" t="s">
        <v>2064</v>
      </c>
      <c r="B75" s="17" t="s">
        <v>2065</v>
      </c>
      <c r="C75" s="17" t="s">
        <v>2066</v>
      </c>
      <c r="D75" s="17" t="s">
        <v>114</v>
      </c>
      <c r="E75" s="18" t="n">
        <v>742735</v>
      </c>
      <c r="F75" s="17" t="s">
        <v>670</v>
      </c>
      <c r="G75" s="23" t="n">
        <v>2.7426080634412</v>
      </c>
      <c r="H75" s="19" t="n">
        <v>85.9</v>
      </c>
      <c r="I75" s="17" t="n">
        <f aca="false">IF(H75="","",RANK(H75,$H$5:$H$491))</f>
        <v>71</v>
      </c>
      <c r="J75" s="24" t="n">
        <v>0.0486711857036158</v>
      </c>
      <c r="K75" s="19" t="n">
        <v>34.9</v>
      </c>
      <c r="L75" s="17" t="n">
        <f aca="false">IF(K75="","",RANK(K75,$K$5:$K$491))</f>
        <v>323</v>
      </c>
      <c r="M75" s="25" t="n">
        <v>0.136548410938655</v>
      </c>
      <c r="N75" s="19" t="n">
        <v>67.6</v>
      </c>
      <c r="O75" s="17" t="n">
        <f aca="false">IF(N75="","",RANK(N75,$N$5:$N$491))</f>
        <v>160</v>
      </c>
      <c r="P75" s="17" t="str">
        <f aca="false">IF(AND(N(H75)&gt;=N(K75),N(H75)&gt;=N(N75)),"The Pulse",IF(N(K75)&gt;=N(N75),"The Lens","The Hub"))</f>
        <v>The Pulse</v>
      </c>
      <c r="Q75" s="20" t="s">
        <v>74</v>
      </c>
      <c r="R75" s="26" t="s">
        <v>668</v>
      </c>
      <c r="S75" s="17" t="s">
        <v>19</v>
      </c>
    </row>
    <row r="76" customFormat="false" ht="15" hidden="false" customHeight="false" outlineLevel="0" collapsed="false">
      <c r="A76" s="17" t="s">
        <v>377</v>
      </c>
      <c r="B76" s="17" t="s">
        <v>378</v>
      </c>
      <c r="C76" s="17" t="s">
        <v>2067</v>
      </c>
      <c r="D76" s="17" t="s">
        <v>105</v>
      </c>
      <c r="E76" s="18" t="n">
        <v>50164</v>
      </c>
      <c r="F76" s="17" t="s">
        <v>667</v>
      </c>
      <c r="G76" s="23" t="n">
        <v>2.71621082848258</v>
      </c>
      <c r="H76" s="19" t="n">
        <v>85.7</v>
      </c>
      <c r="I76" s="17" t="n">
        <f aca="false">IF(H76="","",RANK(H76,$H$5:$H$491))</f>
        <v>72</v>
      </c>
      <c r="J76" s="24" t="n">
        <v>0.115573642893678</v>
      </c>
      <c r="K76" s="19" t="n">
        <v>61.3</v>
      </c>
      <c r="L76" s="17" t="n">
        <f aca="false">IF(K76="","",RANK(K76,$K$5:$K$491))</f>
        <v>195</v>
      </c>
      <c r="M76" s="25" t="n">
        <v>0.0765460030165913</v>
      </c>
      <c r="N76" s="19" t="n">
        <v>42.5</v>
      </c>
      <c r="O76" s="17" t="n">
        <f aca="false">IF(N76="","",RANK(N76,$N$5:$N$491))</f>
        <v>286</v>
      </c>
      <c r="P76" s="17" t="str">
        <f aca="false">IF(AND(N(H76)&gt;=N(K76),N(H76)&gt;=N(N76)),"The Pulse",IF(N(K76)&gt;=N(N76),"The Lens","The Hub"))</f>
        <v>The Pulse</v>
      </c>
      <c r="Q76" s="20" t="s">
        <v>74</v>
      </c>
      <c r="R76" s="27" t="s">
        <v>671</v>
      </c>
      <c r="S76" s="17" t="s">
        <v>19</v>
      </c>
    </row>
    <row r="77" customFormat="false" ht="15" hidden="false" customHeight="false" outlineLevel="0" collapsed="false">
      <c r="A77" s="17" t="s">
        <v>349</v>
      </c>
      <c r="B77" s="17" t="s">
        <v>350</v>
      </c>
      <c r="C77" s="17" t="s">
        <v>2068</v>
      </c>
      <c r="D77" s="17" t="s">
        <v>81</v>
      </c>
      <c r="E77" s="18" t="n">
        <v>156255</v>
      </c>
      <c r="F77" s="17" t="s">
        <v>670</v>
      </c>
      <c r="G77" s="23" t="n">
        <v>2.71401875139996</v>
      </c>
      <c r="H77" s="19" t="n">
        <v>85.6</v>
      </c>
      <c r="I77" s="17" t="n">
        <f aca="false">IF(H77="","",RANK(H77,$H$5:$H$491))</f>
        <v>73</v>
      </c>
      <c r="J77" s="24" t="n">
        <v>0.140772268987319</v>
      </c>
      <c r="K77" s="19" t="n">
        <v>75.9</v>
      </c>
      <c r="L77" s="17" t="n">
        <f aca="false">IF(K77="","",RANK(K77,$K$5:$K$491))</f>
        <v>123</v>
      </c>
      <c r="M77" s="25" t="n">
        <v>0.110893800117348</v>
      </c>
      <c r="N77" s="19" t="n">
        <v>59.8</v>
      </c>
      <c r="O77" s="17" t="n">
        <f aca="false">IF(N77="","",RANK(N77,$N$5:$N$491))</f>
        <v>199</v>
      </c>
      <c r="P77" s="17" t="str">
        <f aca="false">IF(AND(N(H77)&gt;=N(K77),N(H77)&gt;=N(N77)),"The Pulse",IF(N(K77)&gt;=N(N77),"The Lens","The Hub"))</f>
        <v>The Pulse</v>
      </c>
      <c r="Q77" s="20" t="s">
        <v>74</v>
      </c>
      <c r="R77" s="27" t="s">
        <v>671</v>
      </c>
      <c r="S77" s="17" t="s">
        <v>19</v>
      </c>
    </row>
    <row r="78" customFormat="false" ht="15" hidden="false" customHeight="false" outlineLevel="0" collapsed="false">
      <c r="A78" s="17" t="s">
        <v>351</v>
      </c>
      <c r="B78" s="17" t="s">
        <v>352</v>
      </c>
      <c r="C78" s="17" t="s">
        <v>2069</v>
      </c>
      <c r="D78" s="17" t="s">
        <v>77</v>
      </c>
      <c r="E78" s="18" t="n">
        <v>820481</v>
      </c>
      <c r="F78" s="17" t="s">
        <v>670</v>
      </c>
      <c r="G78" s="23" t="n">
        <v>2.70532163450464</v>
      </c>
      <c r="H78" s="19" t="n">
        <v>85.4</v>
      </c>
      <c r="I78" s="17" t="n">
        <f aca="false">IF(H78="","",RANK(H78,$H$5:$H$491))</f>
        <v>74</v>
      </c>
      <c r="J78" s="24" t="n">
        <v>0.290123291785317</v>
      </c>
      <c r="K78" s="19" t="n">
        <v>97.6</v>
      </c>
      <c r="L78" s="17" t="n">
        <f aca="false">IF(K78="","",RANK(K78,$K$5:$K$491))</f>
        <v>14</v>
      </c>
      <c r="M78" s="25" t="n">
        <v>0.000272497384025113</v>
      </c>
      <c r="N78" s="19" t="n">
        <v>1.3</v>
      </c>
      <c r="O78" s="17" t="n">
        <f aca="false">IF(N78="","",RANK(N78,$N$5:$N$491))</f>
        <v>481</v>
      </c>
      <c r="P78" s="17" t="str">
        <f aca="false">IF(AND(N(H78)&gt;=N(K78),N(H78)&gt;=N(N78)),"The Pulse",IF(N(K78)&gt;=N(N78),"The Lens","The Hub"))</f>
        <v>The Lens</v>
      </c>
      <c r="Q78" s="20" t="s">
        <v>74</v>
      </c>
      <c r="R78" s="27" t="s">
        <v>671</v>
      </c>
      <c r="S78" s="17" t="s">
        <v>19</v>
      </c>
    </row>
    <row r="79" customFormat="false" ht="15" hidden="false" customHeight="false" outlineLevel="0" collapsed="false">
      <c r="A79" s="17" t="s">
        <v>293</v>
      </c>
      <c r="B79" s="17" t="s">
        <v>294</v>
      </c>
      <c r="C79" s="17" t="s">
        <v>2070</v>
      </c>
      <c r="D79" s="17" t="s">
        <v>102</v>
      </c>
      <c r="E79" s="18" t="n">
        <v>1281972</v>
      </c>
      <c r="F79" s="17" t="s">
        <v>752</v>
      </c>
      <c r="G79" s="23" t="n">
        <v>2.68824904132072</v>
      </c>
      <c r="H79" s="19" t="n">
        <v>85.2</v>
      </c>
      <c r="I79" s="17" t="n">
        <f aca="false">IF(H79="","",RANK(H79,$H$5:$H$491))</f>
        <v>75</v>
      </c>
      <c r="J79" s="24" t="n">
        <v>0.0742551068035688</v>
      </c>
      <c r="K79" s="19" t="n">
        <v>70</v>
      </c>
      <c r="L79" s="17" t="n">
        <f aca="false">IF(K79="","",RANK(K79,$K$5:$K$491))</f>
        <v>152</v>
      </c>
      <c r="M79" s="25" t="n">
        <v>0.268167149661294</v>
      </c>
      <c r="N79" s="19" t="n">
        <v>94.5</v>
      </c>
      <c r="O79" s="17" t="n">
        <f aca="false">IF(N79="","",RANK(N79,$N$5:$N$491))</f>
        <v>28</v>
      </c>
      <c r="P79" s="17" t="str">
        <f aca="false">IF(AND(N(H79)&gt;=N(K79),N(H79)&gt;=N(N79)),"The Pulse",IF(N(K79)&gt;=N(N79),"The Lens","The Hub"))</f>
        <v>The Hub</v>
      </c>
      <c r="Q79" s="20" t="s">
        <v>74</v>
      </c>
      <c r="R79" s="27" t="s">
        <v>671</v>
      </c>
      <c r="S79" s="17" t="s">
        <v>19</v>
      </c>
    </row>
    <row r="80" customFormat="false" ht="15" hidden="false" customHeight="false" outlineLevel="0" collapsed="false">
      <c r="A80" s="17" t="s">
        <v>2071</v>
      </c>
      <c r="B80" s="17" t="s">
        <v>2072</v>
      </c>
      <c r="C80" s="17" t="s">
        <v>2073</v>
      </c>
      <c r="D80" s="17" t="s">
        <v>105</v>
      </c>
      <c r="E80" s="18" t="n">
        <v>16051</v>
      </c>
      <c r="F80" s="17" t="s">
        <v>667</v>
      </c>
      <c r="G80" s="23" t="n">
        <v>2.68786991464706</v>
      </c>
      <c r="H80" s="19" t="n">
        <v>85</v>
      </c>
      <c r="I80" s="17" t="n">
        <f aca="false">IF(H80="","",RANK(H80,$H$5:$H$491))</f>
        <v>76</v>
      </c>
      <c r="J80" s="24" t="n">
        <v>0.117290825560351</v>
      </c>
      <c r="K80" s="19" t="n">
        <v>63.5</v>
      </c>
      <c r="L80" s="17" t="n">
        <f aca="false">IF(K80="","",RANK(K80,$K$5:$K$491))</f>
        <v>185</v>
      </c>
      <c r="M80" s="25" t="n">
        <v>0.0491464045525091</v>
      </c>
      <c r="N80" s="19" t="n">
        <v>30.9</v>
      </c>
      <c r="O80" s="17" t="n">
        <f aca="false">IF(N80="","",RANK(N80,$N$5:$N$491))</f>
        <v>342</v>
      </c>
      <c r="P80" s="17" t="str">
        <f aca="false">IF(AND(N(H80)&gt;=N(K80),N(H80)&gt;=N(N80)),"The Pulse",IF(N(K80)&gt;=N(N80),"The Lens","The Hub"))</f>
        <v>The Pulse</v>
      </c>
      <c r="Q80" s="20" t="s">
        <v>74</v>
      </c>
      <c r="R80" s="26" t="s">
        <v>668</v>
      </c>
      <c r="S80" s="17" t="s">
        <v>19</v>
      </c>
    </row>
    <row r="81" customFormat="false" ht="15" hidden="false" customHeight="false" outlineLevel="0" collapsed="false">
      <c r="A81" s="17" t="s">
        <v>134</v>
      </c>
      <c r="B81" s="17" t="s">
        <v>135</v>
      </c>
      <c r="C81" s="17" t="s">
        <v>2074</v>
      </c>
      <c r="D81" s="17" t="s">
        <v>77</v>
      </c>
      <c r="E81" s="18" t="n">
        <v>26410</v>
      </c>
      <c r="F81" s="17" t="s">
        <v>667</v>
      </c>
      <c r="G81" s="23" t="n">
        <v>2.64672472548277</v>
      </c>
      <c r="H81" s="19" t="n">
        <v>84.8</v>
      </c>
      <c r="I81" s="17" t="n">
        <f aca="false">IF(H81="","",RANK(H81,$H$5:$H$491))</f>
        <v>77</v>
      </c>
      <c r="J81" s="24" t="n">
        <v>0.0446993670886076</v>
      </c>
      <c r="K81" s="19" t="n">
        <v>27.3</v>
      </c>
      <c r="L81" s="17" t="n">
        <f aca="false">IF(K81="","",RANK(K81,$K$5:$K$491))</f>
        <v>359</v>
      </c>
      <c r="M81" s="25" t="n">
        <v>0.0354014598540146</v>
      </c>
      <c r="N81" s="19" t="n">
        <v>22.5</v>
      </c>
      <c r="O81" s="17" t="n">
        <f aca="false">IF(N81="","",RANK(N81,$N$5:$N$491))</f>
        <v>383</v>
      </c>
      <c r="P81" s="17" t="str">
        <f aca="false">IF(AND(N(H81)&gt;=N(K81),N(H81)&gt;=N(N81)),"The Pulse",IF(N(K81)&gt;=N(N81),"The Lens","The Hub"))</f>
        <v>The Pulse</v>
      </c>
      <c r="Q81" s="21" t="s">
        <v>78</v>
      </c>
      <c r="R81" s="27" t="s">
        <v>671</v>
      </c>
      <c r="S81" s="17" t="s">
        <v>21</v>
      </c>
    </row>
    <row r="82" customFormat="false" ht="15" hidden="false" customHeight="false" outlineLevel="0" collapsed="false">
      <c r="A82" s="17" t="s">
        <v>419</v>
      </c>
      <c r="B82" s="17" t="s">
        <v>420</v>
      </c>
      <c r="C82" s="17" t="s">
        <v>2075</v>
      </c>
      <c r="D82" s="17" t="s">
        <v>87</v>
      </c>
      <c r="E82" s="18" t="n">
        <v>125482</v>
      </c>
      <c r="F82" s="17" t="s">
        <v>670</v>
      </c>
      <c r="G82" s="23" t="n">
        <v>2.61998533654229</v>
      </c>
      <c r="H82" s="19" t="n">
        <v>84.4</v>
      </c>
      <c r="I82" s="17" t="n">
        <f aca="false">IF(H82="","",RANK(H82,$H$5:$H$491))</f>
        <v>78</v>
      </c>
      <c r="J82" s="24" t="n">
        <v>0.084790013313277</v>
      </c>
      <c r="K82" s="19" t="n">
        <v>51.2</v>
      </c>
      <c r="L82" s="17" t="n">
        <f aca="false">IF(K82="","",RANK(K82,$K$5:$K$491))</f>
        <v>246</v>
      </c>
      <c r="M82" s="25" t="n">
        <v>0.0428215699881618</v>
      </c>
      <c r="N82" s="19" t="n">
        <v>27.2</v>
      </c>
      <c r="O82" s="17" t="n">
        <f aca="false">IF(N82="","",RANK(N82,$N$5:$N$491))</f>
        <v>359</v>
      </c>
      <c r="P82" s="17" t="str">
        <f aca="false">IF(AND(N(H82)&gt;=N(K82),N(H82)&gt;=N(N82)),"The Pulse",IF(N(K82)&gt;=N(N82),"The Lens","The Hub"))</f>
        <v>The Pulse</v>
      </c>
      <c r="Q82" s="21" t="s">
        <v>78</v>
      </c>
      <c r="R82" s="27" t="s">
        <v>671</v>
      </c>
      <c r="S82" s="17" t="s">
        <v>126</v>
      </c>
    </row>
    <row r="83" customFormat="false" ht="15" hidden="false" customHeight="false" outlineLevel="0" collapsed="false">
      <c r="A83" s="17" t="s">
        <v>820</v>
      </c>
      <c r="B83" s="17" t="s">
        <v>821</v>
      </c>
      <c r="C83" s="17" t="s">
        <v>2076</v>
      </c>
      <c r="D83" s="17" t="s">
        <v>92</v>
      </c>
      <c r="E83" s="18" t="n">
        <v>61875</v>
      </c>
      <c r="F83" s="17" t="s">
        <v>667</v>
      </c>
      <c r="G83" s="23" t="n">
        <v>2.60559191919192</v>
      </c>
      <c r="H83" s="19" t="n">
        <v>84.2</v>
      </c>
      <c r="I83" s="17" t="n">
        <f aca="false">IF(H83="","",RANK(H83,$H$5:$H$491))</f>
        <v>79</v>
      </c>
      <c r="J83" s="24" t="n">
        <v>0.0682285102636259</v>
      </c>
      <c r="K83" s="19" t="n">
        <v>38.3</v>
      </c>
      <c r="L83" s="17" t="n">
        <f aca="false">IF(K83="","",RANK(K83,$K$5:$K$491))</f>
        <v>311</v>
      </c>
      <c r="M83" s="25" t="n">
        <v>0.0873220738992551</v>
      </c>
      <c r="N83" s="19" t="n">
        <v>48.2</v>
      </c>
      <c r="O83" s="17" t="n">
        <f aca="false">IF(N83="","",RANK(N83,$N$5:$N$491))</f>
        <v>256</v>
      </c>
      <c r="P83" s="17" t="str">
        <f aca="false">IF(AND(N(H83)&gt;=N(K83),N(H83)&gt;=N(N83)),"The Pulse",IF(N(K83)&gt;=N(N83),"The Lens","The Hub"))</f>
        <v>The Pulse</v>
      </c>
      <c r="Q83" s="22" t="s">
        <v>83</v>
      </c>
      <c r="R83" s="26" t="s">
        <v>668</v>
      </c>
      <c r="S83" s="17" t="s">
        <v>17</v>
      </c>
    </row>
    <row r="84" customFormat="false" ht="15" hidden="false" customHeight="false" outlineLevel="0" collapsed="false">
      <c r="A84" s="17" t="s">
        <v>2077</v>
      </c>
      <c r="B84" s="17" t="s">
        <v>2078</v>
      </c>
      <c r="C84" s="17" t="s">
        <v>2079</v>
      </c>
      <c r="D84" s="17" t="s">
        <v>77</v>
      </c>
      <c r="E84" s="18" t="n">
        <v>294297</v>
      </c>
      <c r="F84" s="17" t="s">
        <v>670</v>
      </c>
      <c r="G84" s="23" t="n">
        <v>2.59019290036936</v>
      </c>
      <c r="H84" s="19" t="n">
        <v>84</v>
      </c>
      <c r="I84" s="17" t="n">
        <f aca="false">IF(H84="","",RANK(H84,$H$5:$H$491))</f>
        <v>80</v>
      </c>
      <c r="J84" s="24" t="n">
        <v>-0.0365574994107325</v>
      </c>
      <c r="K84" s="19" t="n">
        <v>6.6</v>
      </c>
      <c r="L84" s="17" t="n">
        <f aca="false">IF(K84="","",RANK(K84,$K$5:$K$491))</f>
        <v>458</v>
      </c>
      <c r="M84" s="25" t="n">
        <v>0.161863429850139</v>
      </c>
      <c r="N84" s="19" t="n">
        <v>73.7</v>
      </c>
      <c r="O84" s="17" t="n">
        <f aca="false">IF(N84="","",RANK(N84,$N$5:$N$491))</f>
        <v>130</v>
      </c>
      <c r="P84" s="17" t="str">
        <f aca="false">IF(AND(N(H84)&gt;=N(K84),N(H84)&gt;=N(N84)),"The Pulse",IF(N(K84)&gt;=N(N84),"The Lens","The Hub"))</f>
        <v>The Pulse</v>
      </c>
      <c r="Q84" s="20" t="s">
        <v>74</v>
      </c>
      <c r="R84" s="26" t="s">
        <v>668</v>
      </c>
      <c r="S84" s="17" t="s">
        <v>19</v>
      </c>
    </row>
    <row r="85" customFormat="false" ht="15" hidden="false" customHeight="false" outlineLevel="0" collapsed="false">
      <c r="A85" s="17" t="s">
        <v>465</v>
      </c>
      <c r="B85" s="17" t="s">
        <v>466</v>
      </c>
      <c r="C85" s="17" t="s">
        <v>2080</v>
      </c>
      <c r="D85" s="17" t="s">
        <v>77</v>
      </c>
      <c r="E85" s="18" t="n">
        <v>163778</v>
      </c>
      <c r="F85" s="17" t="s">
        <v>670</v>
      </c>
      <c r="G85" s="23" t="n">
        <v>2.58173869506283</v>
      </c>
      <c r="H85" s="19" t="n">
        <v>83.8</v>
      </c>
      <c r="I85" s="17" t="n">
        <f aca="false">IF(H85="","",RANK(H85,$H$5:$H$491))</f>
        <v>81</v>
      </c>
      <c r="J85" s="24" t="n">
        <v>0.106638017243709</v>
      </c>
      <c r="K85" s="19" t="n">
        <v>62</v>
      </c>
      <c r="L85" s="17" t="n">
        <f aca="false">IF(K85="","",RANK(K85,$K$5:$K$491))</f>
        <v>192</v>
      </c>
      <c r="M85" s="25" t="n">
        <v>0.0921244752692097</v>
      </c>
      <c r="N85" s="19" t="n">
        <v>50.3</v>
      </c>
      <c r="O85" s="17" t="n">
        <f aca="false">IF(N85="","",RANK(N85,$N$5:$N$491))</f>
        <v>245</v>
      </c>
      <c r="P85" s="17" t="str">
        <f aca="false">IF(AND(N(H85)&gt;=N(K85),N(H85)&gt;=N(N85)),"The Pulse",IF(N(K85)&gt;=N(N85),"The Lens","The Hub"))</f>
        <v>The Pulse</v>
      </c>
      <c r="Q85" s="20" t="s">
        <v>74</v>
      </c>
      <c r="R85" s="27" t="s">
        <v>671</v>
      </c>
      <c r="S85" s="17" t="s">
        <v>19</v>
      </c>
    </row>
    <row r="86" customFormat="false" ht="15" hidden="false" customHeight="false" outlineLevel="0" collapsed="false">
      <c r="A86" s="17" t="s">
        <v>1257</v>
      </c>
      <c r="B86" s="17" t="s">
        <v>1258</v>
      </c>
      <c r="C86" s="17" t="s">
        <v>2081</v>
      </c>
      <c r="D86" s="17" t="s">
        <v>105</v>
      </c>
      <c r="E86" s="18" t="n">
        <v>121542</v>
      </c>
      <c r="F86" s="17" t="s">
        <v>670</v>
      </c>
      <c r="G86" s="23" t="n">
        <v>2.5358641457274</v>
      </c>
      <c r="H86" s="19" t="n">
        <v>83.5</v>
      </c>
      <c r="I86" s="17" t="n">
        <f aca="false">IF(H86="","",RANK(H86,$H$5:$H$491))</f>
        <v>82</v>
      </c>
      <c r="J86" s="24" t="n">
        <v>0.022925819320305</v>
      </c>
      <c r="K86" s="19" t="n">
        <v>23.5</v>
      </c>
      <c r="L86" s="17" t="n">
        <f aca="false">IF(K86="","",RANK(K86,$K$5:$K$491))</f>
        <v>375</v>
      </c>
      <c r="M86" s="25" t="n">
        <v>0.00347279642798082</v>
      </c>
      <c r="N86" s="19" t="n">
        <v>3.2</v>
      </c>
      <c r="O86" s="17" t="n">
        <f aca="false">IF(N86="","",RANK(N86,$N$5:$N$491))</f>
        <v>472</v>
      </c>
      <c r="P86" s="17" t="str">
        <f aca="false">IF(AND(N(H86)&gt;=N(K86),N(H86)&gt;=N(N86)),"The Pulse",IF(N(K86)&gt;=N(N86),"The Lens","The Hub"))</f>
        <v>The Pulse</v>
      </c>
      <c r="Q86" s="20" t="s">
        <v>74</v>
      </c>
      <c r="R86" s="26" t="s">
        <v>668</v>
      </c>
      <c r="S86" s="17" t="s">
        <v>19</v>
      </c>
    </row>
    <row r="87" customFormat="false" ht="15" hidden="false" customHeight="false" outlineLevel="0" collapsed="false">
      <c r="A87" s="17" t="s">
        <v>255</v>
      </c>
      <c r="B87" s="17" t="s">
        <v>256</v>
      </c>
      <c r="C87" s="17" t="s">
        <v>2082</v>
      </c>
      <c r="D87" s="17" t="s">
        <v>138</v>
      </c>
      <c r="E87" s="18" t="n">
        <v>155996</v>
      </c>
      <c r="F87" s="17" t="s">
        <v>670</v>
      </c>
      <c r="G87" s="23" t="n">
        <v>2.52155183466243</v>
      </c>
      <c r="H87" s="19" t="n">
        <v>83.3</v>
      </c>
      <c r="I87" s="17" t="n">
        <f aca="false">IF(H87="","",RANK(H87,$H$5:$H$491))</f>
        <v>83</v>
      </c>
      <c r="J87" s="24" t="n">
        <v>0.0505488585089905</v>
      </c>
      <c r="K87" s="19" t="n">
        <v>36.1</v>
      </c>
      <c r="L87" s="17" t="n">
        <f aca="false">IF(K87="","",RANK(K87,$K$5:$K$491))</f>
        <v>317</v>
      </c>
      <c r="M87" s="25" t="n">
        <v>0.00840075877821223</v>
      </c>
      <c r="N87" s="19" t="n">
        <v>6.5</v>
      </c>
      <c r="O87" s="17" t="n">
        <f aca="false">IF(N87="","",RANK(N87,$N$5:$N$491))</f>
        <v>456</v>
      </c>
      <c r="P87" s="17" t="str">
        <f aca="false">IF(AND(N(H87)&gt;=N(K87),N(H87)&gt;=N(N87)),"The Pulse",IF(N(K87)&gt;=N(N87),"The Lens","The Hub"))</f>
        <v>The Pulse</v>
      </c>
      <c r="Q87" s="20" t="s">
        <v>74</v>
      </c>
      <c r="R87" s="27" t="s">
        <v>671</v>
      </c>
      <c r="S87" s="17" t="s">
        <v>19</v>
      </c>
    </row>
    <row r="88" customFormat="false" ht="15" hidden="false" customHeight="false" outlineLevel="0" collapsed="false">
      <c r="A88" s="17" t="s">
        <v>1621</v>
      </c>
      <c r="B88" s="17" t="s">
        <v>1622</v>
      </c>
      <c r="C88" s="17" t="s">
        <v>2083</v>
      </c>
      <c r="D88" s="17" t="s">
        <v>133</v>
      </c>
      <c r="E88" s="18" t="n">
        <v>23970</v>
      </c>
      <c r="F88" s="17" t="s">
        <v>667</v>
      </c>
      <c r="G88" s="23" t="n">
        <v>2.51051314142678</v>
      </c>
      <c r="H88" s="19" t="n">
        <v>82.9</v>
      </c>
      <c r="I88" s="17" t="n">
        <f aca="false">IF(H88="","",RANK(H88,$H$5:$H$491))</f>
        <v>84</v>
      </c>
      <c r="J88" s="24" t="n">
        <v>0.117482517482518</v>
      </c>
      <c r="K88" s="19" t="n">
        <v>63.8</v>
      </c>
      <c r="L88" s="17" t="n">
        <f aca="false">IF(K88="","",RANK(K88,$K$5:$K$491))</f>
        <v>184</v>
      </c>
      <c r="M88" s="25" t="n">
        <v>0.0328929630628202</v>
      </c>
      <c r="N88" s="19" t="n">
        <v>20.8</v>
      </c>
      <c r="O88" s="17" t="n">
        <f aca="false">IF(N88="","",RANK(N88,$N$5:$N$491))</f>
        <v>391</v>
      </c>
      <c r="P88" s="17" t="str">
        <f aca="false">IF(AND(N(H88)&gt;=N(K88),N(H88)&gt;=N(N88)),"The Pulse",IF(N(K88)&gt;=N(N88),"The Lens","The Hub"))</f>
        <v>The Pulse</v>
      </c>
      <c r="Q88" s="21" t="s">
        <v>78</v>
      </c>
      <c r="R88" s="26" t="s">
        <v>668</v>
      </c>
      <c r="S88" s="17" t="s">
        <v>21</v>
      </c>
    </row>
    <row r="89" customFormat="false" ht="15" hidden="false" customHeight="false" outlineLevel="0" collapsed="false">
      <c r="A89" s="17" t="s">
        <v>381</v>
      </c>
      <c r="B89" s="17" t="s">
        <v>382</v>
      </c>
      <c r="C89" s="17" t="s">
        <v>2084</v>
      </c>
      <c r="D89" s="17" t="s">
        <v>87</v>
      </c>
      <c r="E89" s="18" t="n">
        <v>190970</v>
      </c>
      <c r="F89" s="17" t="s">
        <v>670</v>
      </c>
      <c r="G89" s="23" t="n">
        <v>2.48824422684191</v>
      </c>
      <c r="H89" s="19" t="n">
        <v>82.7</v>
      </c>
      <c r="I89" s="17" t="n">
        <f aca="false">IF(H89="","",RANK(H89,$H$5:$H$491))</f>
        <v>85</v>
      </c>
      <c r="J89" s="24" t="n">
        <v>0.103037584257008</v>
      </c>
      <c r="K89" s="19" t="n">
        <v>57.8</v>
      </c>
      <c r="L89" s="17" t="n">
        <f aca="false">IF(K89="","",RANK(K89,$K$5:$K$491))</f>
        <v>213</v>
      </c>
      <c r="M89" s="25" t="n">
        <v>0.154065797641217</v>
      </c>
      <c r="N89" s="19" t="n">
        <v>72</v>
      </c>
      <c r="O89" s="17" t="n">
        <f aca="false">IF(N89="","",RANK(N89,$N$5:$N$491))</f>
        <v>139</v>
      </c>
      <c r="P89" s="17" t="str">
        <f aca="false">IF(AND(N(H89)&gt;=N(K89),N(H89)&gt;=N(N89)),"The Pulse",IF(N(K89)&gt;=N(N89),"The Lens","The Hub"))</f>
        <v>The Pulse</v>
      </c>
      <c r="Q89" s="20" t="s">
        <v>74</v>
      </c>
      <c r="R89" s="27" t="s">
        <v>671</v>
      </c>
      <c r="S89" s="17" t="s">
        <v>19</v>
      </c>
    </row>
    <row r="90" customFormat="false" ht="15" hidden="false" customHeight="false" outlineLevel="0" collapsed="false">
      <c r="A90" s="17" t="s">
        <v>1097</v>
      </c>
      <c r="B90" s="17" t="s">
        <v>1098</v>
      </c>
      <c r="C90" s="17" t="s">
        <v>2085</v>
      </c>
      <c r="D90" s="17" t="s">
        <v>92</v>
      </c>
      <c r="E90" s="18" t="n">
        <v>6772</v>
      </c>
      <c r="F90" s="17" t="s">
        <v>678</v>
      </c>
      <c r="G90" s="23" t="n">
        <v>2.48552864737153</v>
      </c>
      <c r="H90" s="19" t="n">
        <v>82.5</v>
      </c>
      <c r="I90" s="17" t="n">
        <f aca="false">IF(H90="","",RANK(H90,$H$5:$H$491))</f>
        <v>86</v>
      </c>
      <c r="J90" s="24" t="n">
        <v>0.113083497698882</v>
      </c>
      <c r="K90" s="19" t="n">
        <v>53.3</v>
      </c>
      <c r="L90" s="17" t="n">
        <f aca="false">IF(K90="","",RANK(K90,$K$5:$K$491))</f>
        <v>235</v>
      </c>
      <c r="M90" s="25" t="n">
        <v>0.242334905660377</v>
      </c>
      <c r="N90" s="19" t="n">
        <v>90.9</v>
      </c>
      <c r="O90" s="17" t="n">
        <f aca="false">IF(N90="","",RANK(N90,$N$5:$N$491))</f>
        <v>46</v>
      </c>
      <c r="P90" s="17" t="str">
        <f aca="false">IF(AND(N(H90)&gt;=N(K90),N(H90)&gt;=N(N90)),"The Pulse",IF(N(K90)&gt;=N(N90),"The Lens","The Hub"))</f>
        <v>The Hub</v>
      </c>
      <c r="Q90" s="20" t="s">
        <v>74</v>
      </c>
      <c r="R90" s="26" t="s">
        <v>668</v>
      </c>
      <c r="S90" s="17" t="s">
        <v>19</v>
      </c>
    </row>
    <row r="91" customFormat="false" ht="15" hidden="false" customHeight="false" outlineLevel="0" collapsed="false">
      <c r="A91" s="17" t="s">
        <v>1747</v>
      </c>
      <c r="B91" s="17" t="s">
        <v>1748</v>
      </c>
      <c r="C91" s="17" t="s">
        <v>2086</v>
      </c>
      <c r="D91" s="17" t="s">
        <v>87</v>
      </c>
      <c r="E91" s="18" t="n">
        <v>58886</v>
      </c>
      <c r="F91" s="17" t="s">
        <v>667</v>
      </c>
      <c r="G91" s="23" t="n">
        <v>2.46710593349862</v>
      </c>
      <c r="H91" s="19" t="n">
        <v>82.1</v>
      </c>
      <c r="I91" s="17" t="n">
        <f aca="false">IF(H91="","",RANK(H91,$H$5:$H$491))</f>
        <v>87</v>
      </c>
      <c r="J91" s="24" t="n">
        <v>0.172000636891967</v>
      </c>
      <c r="K91" s="19" t="n">
        <v>87.9</v>
      </c>
      <c r="L91" s="17" t="n">
        <f aca="false">IF(K91="","",RANK(K91,$K$5:$K$491))</f>
        <v>61</v>
      </c>
      <c r="M91" s="25" t="n">
        <v>0.0231458186575425</v>
      </c>
      <c r="N91" s="19" t="n">
        <v>14.5</v>
      </c>
      <c r="O91" s="17" t="n">
        <f aca="false">IF(N91="","",RANK(N91,$N$5:$N$491))</f>
        <v>423</v>
      </c>
      <c r="P91" s="17" t="str">
        <f aca="false">IF(AND(N(H91)&gt;=N(K91),N(H91)&gt;=N(N91)),"The Pulse",IF(N(K91)&gt;=N(N91),"The Lens","The Hub"))</f>
        <v>The Lens</v>
      </c>
      <c r="Q91" s="20" t="s">
        <v>74</v>
      </c>
      <c r="R91" s="26" t="s">
        <v>668</v>
      </c>
      <c r="S91" s="17" t="s">
        <v>19</v>
      </c>
    </row>
    <row r="92" customFormat="false" ht="15" hidden="false" customHeight="false" outlineLevel="0" collapsed="false">
      <c r="A92" s="17" t="s">
        <v>699</v>
      </c>
      <c r="B92" s="17" t="s">
        <v>700</v>
      </c>
      <c r="C92" s="17" t="s">
        <v>2087</v>
      </c>
      <c r="D92" s="17" t="s">
        <v>105</v>
      </c>
      <c r="E92" s="18" t="n">
        <v>71646</v>
      </c>
      <c r="F92" s="17" t="s">
        <v>667</v>
      </c>
      <c r="G92" s="23" t="n">
        <v>2.46329173994361</v>
      </c>
      <c r="H92" s="19" t="n">
        <v>81.9</v>
      </c>
      <c r="I92" s="17" t="n">
        <f aca="false">IF(H92="","",RANK(H92,$H$5:$H$491))</f>
        <v>88</v>
      </c>
      <c r="J92" s="24" t="n">
        <v>0.0189435958699548</v>
      </c>
      <c r="K92" s="19" t="n">
        <v>15.6</v>
      </c>
      <c r="L92" s="17" t="n">
        <f aca="false">IF(K92="","",RANK(K92,$K$5:$K$491))</f>
        <v>414</v>
      </c>
      <c r="M92" s="25" t="n">
        <v>0.0953087335434823</v>
      </c>
      <c r="N92" s="19" t="n">
        <v>52</v>
      </c>
      <c r="O92" s="17" t="n">
        <f aca="false">IF(N92="","",RANK(N92,$N$5:$N$491))</f>
        <v>239</v>
      </c>
      <c r="P92" s="17" t="str">
        <f aca="false">IF(AND(N(H92)&gt;=N(K92),N(H92)&gt;=N(N92)),"The Pulse",IF(N(K92)&gt;=N(N92),"The Lens","The Hub"))</f>
        <v>The Pulse</v>
      </c>
      <c r="Q92" s="20" t="s">
        <v>74</v>
      </c>
      <c r="R92" s="26" t="s">
        <v>668</v>
      </c>
      <c r="S92" s="17" t="s">
        <v>19</v>
      </c>
    </row>
    <row r="93" customFormat="false" ht="15" hidden="false" customHeight="false" outlineLevel="0" collapsed="false">
      <c r="A93" s="17" t="s">
        <v>141</v>
      </c>
      <c r="B93" s="17" t="s">
        <v>142</v>
      </c>
      <c r="C93" s="17" t="s">
        <v>2088</v>
      </c>
      <c r="D93" s="17" t="s">
        <v>105</v>
      </c>
      <c r="E93" s="18" t="n">
        <v>274515</v>
      </c>
      <c r="F93" s="17" t="s">
        <v>670</v>
      </c>
      <c r="G93" s="23" t="n">
        <v>2.44376810010382</v>
      </c>
      <c r="H93" s="19" t="n">
        <v>81.7</v>
      </c>
      <c r="I93" s="17" t="n">
        <f aca="false">IF(H93="","",RANK(H93,$H$5:$H$491))</f>
        <v>89</v>
      </c>
      <c r="J93" s="24" t="n">
        <v>0.077344813917985</v>
      </c>
      <c r="K93" s="19" t="n">
        <v>48.2</v>
      </c>
      <c r="L93" s="17" t="n">
        <f aca="false">IF(K93="","",RANK(K93,$K$5:$K$491))</f>
        <v>261</v>
      </c>
      <c r="M93" s="25" t="n">
        <v>0.0209516633824041</v>
      </c>
      <c r="N93" s="19" t="n">
        <v>13</v>
      </c>
      <c r="O93" s="17" t="n">
        <f aca="false">IF(N93="","",RANK(N93,$N$5:$N$491))</f>
        <v>431</v>
      </c>
      <c r="P93" s="17" t="str">
        <f aca="false">IF(AND(N(H93)&gt;=N(K93),N(H93)&gt;=N(N93)),"The Pulse",IF(N(K93)&gt;=N(N93),"The Lens","The Hub"))</f>
        <v>The Pulse</v>
      </c>
      <c r="Q93" s="20" t="s">
        <v>74</v>
      </c>
      <c r="R93" s="27" t="s">
        <v>671</v>
      </c>
      <c r="S93" s="17" t="s">
        <v>19</v>
      </c>
    </row>
    <row r="94" customFormat="false" ht="15" hidden="false" customHeight="false" outlineLevel="0" collapsed="false">
      <c r="A94" s="17" t="s">
        <v>1958</v>
      </c>
      <c r="B94" s="17" t="s">
        <v>1959</v>
      </c>
      <c r="C94" s="17" t="s">
        <v>2089</v>
      </c>
      <c r="D94" s="17" t="s">
        <v>87</v>
      </c>
      <c r="E94" s="18" t="n">
        <v>27478</v>
      </c>
      <c r="F94" s="17" t="s">
        <v>667</v>
      </c>
      <c r="G94" s="23" t="n">
        <v>2.44366402212679</v>
      </c>
      <c r="H94" s="19" t="n">
        <v>81.6</v>
      </c>
      <c r="I94" s="17" t="n">
        <f aca="false">IF(H94="","",RANK(H94,$H$5:$H$491))</f>
        <v>90</v>
      </c>
      <c r="J94" s="24" t="n">
        <v>-0.0669292675472851</v>
      </c>
      <c r="K94" s="19" t="n">
        <v>1.8</v>
      </c>
      <c r="L94" s="17" t="n">
        <f aca="false">IF(K94="","",RANK(K94,$K$5:$K$491))</f>
        <v>480</v>
      </c>
      <c r="M94" s="25" t="n">
        <v>0.405849582172702</v>
      </c>
      <c r="N94" s="19" t="n">
        <v>98.9</v>
      </c>
      <c r="O94" s="17" t="n">
        <f aca="false">IF(N94="","",RANK(N94,$N$5:$N$491))</f>
        <v>6</v>
      </c>
      <c r="P94" s="17" t="str">
        <f aca="false">IF(AND(N(H94)&gt;=N(K94),N(H94)&gt;=N(N94)),"The Pulse",IF(N(K94)&gt;=N(N94),"The Lens","The Hub"))</f>
        <v>The Hub</v>
      </c>
      <c r="Q94" s="20" t="s">
        <v>74</v>
      </c>
      <c r="R94" s="26" t="s">
        <v>668</v>
      </c>
      <c r="S94" s="17" t="s">
        <v>19</v>
      </c>
    </row>
    <row r="95" customFormat="false" ht="15" hidden="false" customHeight="false" outlineLevel="0" collapsed="false">
      <c r="A95" s="17" t="s">
        <v>341</v>
      </c>
      <c r="B95" s="17" t="s">
        <v>342</v>
      </c>
      <c r="C95" s="17" t="s">
        <v>2090</v>
      </c>
      <c r="D95" s="17" t="s">
        <v>138</v>
      </c>
      <c r="E95" s="18" t="n">
        <v>107555</v>
      </c>
      <c r="F95" s="17" t="s">
        <v>670</v>
      </c>
      <c r="G95" s="23" t="n">
        <v>2.42969643438241</v>
      </c>
      <c r="H95" s="19" t="n">
        <v>81.4</v>
      </c>
      <c r="I95" s="17" t="n">
        <f aca="false">IF(H95="","",RANK(H95,$H$5:$H$491))</f>
        <v>91</v>
      </c>
      <c r="J95" s="24" t="n">
        <v>0.0213180134839996</v>
      </c>
      <c r="K95" s="19" t="n">
        <v>22.3</v>
      </c>
      <c r="L95" s="17" t="n">
        <f aca="false">IF(K95="","",RANK(K95,$K$5:$K$491))</f>
        <v>381</v>
      </c>
      <c r="M95" s="25" t="n">
        <v>0.26914092914612</v>
      </c>
      <c r="N95" s="19" t="n">
        <v>94.7</v>
      </c>
      <c r="O95" s="17" t="n">
        <f aca="false">IF(N95="","",RANK(N95,$N$5:$N$491))</f>
        <v>27</v>
      </c>
      <c r="P95" s="17" t="str">
        <f aca="false">IF(AND(N(H95)&gt;=N(K95),N(H95)&gt;=N(N95)),"The Pulse",IF(N(K95)&gt;=N(N95),"The Lens","The Hub"))</f>
        <v>The Hub</v>
      </c>
      <c r="Q95" s="20" t="s">
        <v>74</v>
      </c>
      <c r="R95" s="27" t="s">
        <v>671</v>
      </c>
      <c r="S95" s="17" t="s">
        <v>19</v>
      </c>
    </row>
    <row r="96" customFormat="false" ht="15" hidden="false" customHeight="false" outlineLevel="0" collapsed="false">
      <c r="A96" s="17" t="s">
        <v>2091</v>
      </c>
      <c r="B96" s="17" t="s">
        <v>2092</v>
      </c>
      <c r="C96" s="17" t="s">
        <v>2093</v>
      </c>
      <c r="D96" s="17" t="s">
        <v>81</v>
      </c>
      <c r="E96" s="18" t="n">
        <v>493743</v>
      </c>
      <c r="F96" s="17" t="s">
        <v>670</v>
      </c>
      <c r="G96" s="23" t="n">
        <v>2.41991076329183</v>
      </c>
      <c r="H96" s="19" t="n">
        <v>81</v>
      </c>
      <c r="I96" s="17" t="n">
        <f aca="false">IF(H96="","",RANK(H96,$H$5:$H$491))</f>
        <v>92</v>
      </c>
      <c r="J96" s="24" t="n">
        <v>0.290369201096601</v>
      </c>
      <c r="K96" s="19" t="n">
        <v>98.2</v>
      </c>
      <c r="L96" s="17" t="n">
        <f aca="false">IF(K96="","",RANK(K96,$K$5:$K$491))</f>
        <v>11</v>
      </c>
      <c r="M96" s="25" t="n">
        <v>0.0889832158573153</v>
      </c>
      <c r="N96" s="19" t="n">
        <v>48.8</v>
      </c>
      <c r="O96" s="17" t="n">
        <f aca="false">IF(N96="","",RANK(N96,$N$5:$N$491))</f>
        <v>253</v>
      </c>
      <c r="P96" s="17" t="str">
        <f aca="false">IF(AND(N(H96)&gt;=N(K96),N(H96)&gt;=N(N96)),"The Pulse",IF(N(K96)&gt;=N(N96),"The Lens","The Hub"))</f>
        <v>The Lens</v>
      </c>
      <c r="Q96" s="20" t="s">
        <v>74</v>
      </c>
      <c r="R96" s="26" t="s">
        <v>668</v>
      </c>
      <c r="S96" s="17" t="s">
        <v>19</v>
      </c>
    </row>
    <row r="97" customFormat="false" ht="15" hidden="false" customHeight="false" outlineLevel="0" collapsed="false">
      <c r="A97" s="17" t="s">
        <v>1283</v>
      </c>
      <c r="B97" s="17" t="s">
        <v>1284</v>
      </c>
      <c r="C97" s="17" t="s">
        <v>2094</v>
      </c>
      <c r="D97" s="17" t="s">
        <v>102</v>
      </c>
      <c r="E97" s="18" t="n">
        <v>186923</v>
      </c>
      <c r="F97" s="17" t="s">
        <v>670</v>
      </c>
      <c r="G97" s="23" t="n">
        <v>2.41151704177656</v>
      </c>
      <c r="H97" s="19" t="n">
        <v>80.8</v>
      </c>
      <c r="I97" s="17" t="n">
        <f aca="false">IF(H97="","",RANK(H97,$H$5:$H$491))</f>
        <v>93</v>
      </c>
      <c r="J97" s="24" t="n">
        <v>0.0890410160801678</v>
      </c>
      <c r="K97" s="19" t="n">
        <v>52.4</v>
      </c>
      <c r="L97" s="17" t="n">
        <f aca="false">IF(K97="","",RANK(K97,$K$5:$K$491))</f>
        <v>240</v>
      </c>
      <c r="M97" s="25" t="n">
        <v>0.240185483554054</v>
      </c>
      <c r="N97" s="19" t="n">
        <v>90.7</v>
      </c>
      <c r="O97" s="17" t="n">
        <f aca="false">IF(N97="","",RANK(N97,$N$5:$N$491))</f>
        <v>47</v>
      </c>
      <c r="P97" s="17" t="str">
        <f aca="false">IF(AND(N(H97)&gt;=N(K97),N(H97)&gt;=N(N97)),"The Pulse",IF(N(K97)&gt;=N(N97),"The Lens","The Hub"))</f>
        <v>The Hub</v>
      </c>
      <c r="Q97" s="20" t="s">
        <v>74</v>
      </c>
      <c r="R97" s="26" t="s">
        <v>668</v>
      </c>
      <c r="S97" s="17" t="s">
        <v>19</v>
      </c>
    </row>
    <row r="98" customFormat="false" ht="15" hidden="false" customHeight="false" outlineLevel="0" collapsed="false">
      <c r="A98" s="17" t="s">
        <v>1769</v>
      </c>
      <c r="B98" s="17" t="s">
        <v>1770</v>
      </c>
      <c r="C98" s="17" t="s">
        <v>2095</v>
      </c>
      <c r="D98" s="17" t="s">
        <v>138</v>
      </c>
      <c r="E98" s="18" t="n">
        <v>310666</v>
      </c>
      <c r="F98" s="17" t="s">
        <v>670</v>
      </c>
      <c r="G98" s="23" t="n">
        <v>2.39355771149724</v>
      </c>
      <c r="H98" s="19" t="n">
        <v>80.6</v>
      </c>
      <c r="I98" s="17" t="n">
        <f aca="false">IF(H98="","",RANK(H98,$H$5:$H$491))</f>
        <v>94</v>
      </c>
      <c r="J98" s="24" t="n">
        <v>0.0119347756692139</v>
      </c>
      <c r="K98" s="19" t="n">
        <v>18.1</v>
      </c>
      <c r="L98" s="17" t="n">
        <f aca="false">IF(K98="","",RANK(K98,$K$5:$K$491))</f>
        <v>400</v>
      </c>
      <c r="M98" s="25" t="n">
        <v>0.0134789363063145</v>
      </c>
      <c r="N98" s="19" t="n">
        <v>8.8</v>
      </c>
      <c r="O98" s="17" t="n">
        <f aca="false">IF(N98="","",RANK(N98,$N$5:$N$491))</f>
        <v>449</v>
      </c>
      <c r="P98" s="17" t="str">
        <f aca="false">IF(AND(N(H98)&gt;=N(K98),N(H98)&gt;=N(N98)),"The Pulse",IF(N(K98)&gt;=N(N98),"The Lens","The Hub"))</f>
        <v>The Pulse</v>
      </c>
      <c r="Q98" s="20" t="s">
        <v>74</v>
      </c>
      <c r="R98" s="26" t="s">
        <v>668</v>
      </c>
      <c r="S98" s="17" t="s">
        <v>19</v>
      </c>
    </row>
    <row r="99" customFormat="false" ht="15" hidden="false" customHeight="false" outlineLevel="0" collapsed="false">
      <c r="A99" s="17" t="s">
        <v>198</v>
      </c>
      <c r="B99" s="17" t="s">
        <v>199</v>
      </c>
      <c r="C99" s="17" t="s">
        <v>2096</v>
      </c>
      <c r="D99" s="17" t="s">
        <v>92</v>
      </c>
      <c r="E99" s="18" t="n">
        <v>98330</v>
      </c>
      <c r="F99" s="17" t="s">
        <v>667</v>
      </c>
      <c r="G99" s="23" t="n">
        <v>2.3549883046883</v>
      </c>
      <c r="H99" s="19" t="n">
        <v>80.4</v>
      </c>
      <c r="I99" s="17" t="n">
        <f aca="false">IF(H99="","",RANK(H99,$H$5:$H$491))</f>
        <v>95</v>
      </c>
      <c r="J99" s="24" t="n">
        <v>0.160345519341059</v>
      </c>
      <c r="K99" s="19" t="n">
        <v>81.2</v>
      </c>
      <c r="L99" s="17" t="n">
        <f aca="false">IF(K99="","",RANK(K99,$K$5:$K$491))</f>
        <v>96</v>
      </c>
      <c r="M99" s="25" t="n">
        <v>0.0430974071478627</v>
      </c>
      <c r="N99" s="19" t="n">
        <v>27.4</v>
      </c>
      <c r="O99" s="17" t="n">
        <f aca="false">IF(N99="","",RANK(N99,$N$5:$N$491))</f>
        <v>358</v>
      </c>
      <c r="P99" s="17" t="str">
        <f aca="false">IF(AND(N(H99)&gt;=N(K99),N(H99)&gt;=N(N99)),"The Pulse",IF(N(K99)&gt;=N(N99),"The Lens","The Hub"))</f>
        <v>The Lens</v>
      </c>
      <c r="Q99" s="20" t="s">
        <v>74</v>
      </c>
      <c r="R99" s="27" t="s">
        <v>671</v>
      </c>
      <c r="S99" s="17" t="s">
        <v>19</v>
      </c>
    </row>
    <row r="100" customFormat="false" ht="15" hidden="false" customHeight="false" outlineLevel="0" collapsed="false">
      <c r="A100" s="17" t="s">
        <v>2097</v>
      </c>
      <c r="B100" s="17" t="s">
        <v>2098</v>
      </c>
      <c r="C100" s="17" t="s">
        <v>2099</v>
      </c>
      <c r="D100" s="17" t="s">
        <v>102</v>
      </c>
      <c r="E100" s="18" t="n">
        <v>2527</v>
      </c>
      <c r="F100" s="17" t="s">
        <v>678</v>
      </c>
      <c r="G100" s="23" t="n">
        <v>2.35061337554412</v>
      </c>
      <c r="H100" s="19" t="n">
        <v>80.2</v>
      </c>
      <c r="I100" s="17" t="n">
        <f aca="false">IF(H100="","",RANK(H100,$H$5:$H$491))</f>
        <v>96</v>
      </c>
      <c r="J100" s="24" t="n">
        <v>0.147593097184378</v>
      </c>
      <c r="K100" s="19" t="n">
        <v>74.7</v>
      </c>
      <c r="L100" s="17" t="n">
        <f aca="false">IF(K100="","",RANK(K100,$K$5:$K$491))</f>
        <v>129</v>
      </c>
      <c r="M100" s="25" t="n">
        <v>0.101910828025478</v>
      </c>
      <c r="N100" s="19" t="n">
        <v>56.4</v>
      </c>
      <c r="O100" s="17" t="n">
        <f aca="false">IF(N100="","",RANK(N100,$N$5:$N$491))</f>
        <v>217</v>
      </c>
      <c r="P100" s="17" t="str">
        <f aca="false">IF(AND(N(H100)&gt;=N(K100),N(H100)&gt;=N(N100)),"The Pulse",IF(N(K100)&gt;=N(N100),"The Lens","The Hub"))</f>
        <v>The Pulse</v>
      </c>
      <c r="Q100" s="20" t="s">
        <v>74</v>
      </c>
      <c r="R100" s="26" t="s">
        <v>668</v>
      </c>
      <c r="S100" s="17" t="s">
        <v>19</v>
      </c>
    </row>
    <row r="101" customFormat="false" ht="15" hidden="false" customHeight="false" outlineLevel="0" collapsed="false">
      <c r="A101" s="17" t="s">
        <v>147</v>
      </c>
      <c r="B101" s="17" t="s">
        <v>148</v>
      </c>
      <c r="C101" s="17" t="s">
        <v>2100</v>
      </c>
      <c r="D101" s="17" t="s">
        <v>92</v>
      </c>
      <c r="E101" s="18" t="n">
        <v>44940</v>
      </c>
      <c r="F101" s="17" t="s">
        <v>667</v>
      </c>
      <c r="G101" s="23" t="n">
        <v>2.32029372496662</v>
      </c>
      <c r="H101" s="19" t="n">
        <v>80</v>
      </c>
      <c r="I101" s="17" t="n">
        <f aca="false">IF(H101="","",RANK(H101,$H$5:$H$491))</f>
        <v>97</v>
      </c>
      <c r="J101" s="24" t="n">
        <v>0.128663636135319</v>
      </c>
      <c r="K101" s="19" t="n">
        <v>69.5</v>
      </c>
      <c r="L101" s="17" t="n">
        <f aca="false">IF(K101="","",RANK(K101,$K$5:$K$491))</f>
        <v>155</v>
      </c>
      <c r="M101" s="25" t="n">
        <v>0.0761257434154631</v>
      </c>
      <c r="N101" s="19" t="n">
        <v>42.3</v>
      </c>
      <c r="O101" s="17" t="n">
        <f aca="false">IF(N101="","",RANK(N101,$N$5:$N$491))</f>
        <v>287</v>
      </c>
      <c r="P101" s="17" t="str">
        <f aca="false">IF(AND(N(H101)&gt;=N(K101),N(H101)&gt;=N(N101)),"The Pulse",IF(N(K101)&gt;=N(N101),"The Lens","The Hub"))</f>
        <v>The Pulse</v>
      </c>
      <c r="Q101" s="20" t="s">
        <v>74</v>
      </c>
      <c r="R101" s="27" t="s">
        <v>671</v>
      </c>
      <c r="S101" s="17" t="s">
        <v>19</v>
      </c>
    </row>
    <row r="102" customFormat="false" ht="15" hidden="false" customHeight="false" outlineLevel="0" collapsed="false">
      <c r="A102" s="17" t="s">
        <v>149</v>
      </c>
      <c r="B102" s="17" t="s">
        <v>150</v>
      </c>
      <c r="C102" s="17" t="s">
        <v>2101</v>
      </c>
      <c r="D102" s="17" t="s">
        <v>72</v>
      </c>
      <c r="E102" s="18" t="n">
        <v>34292</v>
      </c>
      <c r="F102" s="17" t="s">
        <v>667</v>
      </c>
      <c r="G102" s="23" t="n">
        <v>2.29817450134142</v>
      </c>
      <c r="H102" s="19" t="n">
        <v>79.8</v>
      </c>
      <c r="I102" s="17" t="n">
        <f aca="false">IF(H102="","",RANK(H102,$H$5:$H$491))</f>
        <v>98</v>
      </c>
      <c r="J102" s="24" t="n">
        <v>0.0270140760706799</v>
      </c>
      <c r="K102" s="19" t="n">
        <v>19.5</v>
      </c>
      <c r="L102" s="17" t="n">
        <f aca="false">IF(K102="","",RANK(K102,$K$5:$K$491))</f>
        <v>393</v>
      </c>
      <c r="M102" s="25" t="n">
        <v>0.229527104959631</v>
      </c>
      <c r="N102" s="19" t="n">
        <v>89.3</v>
      </c>
      <c r="O102" s="17" t="n">
        <f aca="false">IF(N102="","",RANK(N102,$N$5:$N$491))</f>
        <v>54</v>
      </c>
      <c r="P102" s="17" t="str">
        <f aca="false">IF(AND(N(H102)&gt;=N(K102),N(H102)&gt;=N(N102)),"The Pulse",IF(N(K102)&gt;=N(N102),"The Lens","The Hub"))</f>
        <v>The Hub</v>
      </c>
      <c r="Q102" s="20" t="s">
        <v>74</v>
      </c>
      <c r="R102" s="27" t="s">
        <v>671</v>
      </c>
      <c r="S102" s="17" t="s">
        <v>19</v>
      </c>
    </row>
    <row r="103" customFormat="false" ht="15" hidden="false" customHeight="false" outlineLevel="0" collapsed="false">
      <c r="A103" s="17" t="s">
        <v>545</v>
      </c>
      <c r="B103" s="17" t="s">
        <v>546</v>
      </c>
      <c r="C103" s="17" t="s">
        <v>2102</v>
      </c>
      <c r="D103" s="17" t="s">
        <v>92</v>
      </c>
      <c r="E103" s="18" t="n">
        <v>69726</v>
      </c>
      <c r="F103" s="17" t="s">
        <v>667</v>
      </c>
      <c r="G103" s="23" t="n">
        <v>2.26327338439033</v>
      </c>
      <c r="H103" s="19" t="n">
        <v>79.7</v>
      </c>
      <c r="I103" s="17" t="n">
        <f aca="false">IF(H103="","",RANK(H103,$H$5:$H$491))</f>
        <v>99</v>
      </c>
      <c r="J103" s="24" t="n">
        <v>0.170685023505709</v>
      </c>
      <c r="K103" s="19" t="n">
        <v>86.9</v>
      </c>
      <c r="L103" s="17" t="n">
        <f aca="false">IF(K103="","",RANK(K103,$K$5:$K$491))</f>
        <v>65</v>
      </c>
      <c r="M103" s="25" t="n">
        <v>0.219899944413563</v>
      </c>
      <c r="N103" s="19" t="n">
        <v>86.7</v>
      </c>
      <c r="O103" s="17" t="n">
        <f aca="false">IF(N103="","",RANK(N103,$N$5:$N$491))</f>
        <v>67</v>
      </c>
      <c r="P103" s="17" t="str">
        <f aca="false">IF(AND(N(H103)&gt;=N(K103),N(H103)&gt;=N(N103)),"The Pulse",IF(N(K103)&gt;=N(N103),"The Lens","The Hub"))</f>
        <v>The Lens</v>
      </c>
      <c r="Q103" s="20" t="s">
        <v>74</v>
      </c>
      <c r="R103" s="27" t="s">
        <v>671</v>
      </c>
      <c r="S103" s="17" t="s">
        <v>19</v>
      </c>
    </row>
    <row r="104" customFormat="false" ht="15" hidden="false" customHeight="false" outlineLevel="0" collapsed="false">
      <c r="A104" s="17" t="s">
        <v>311</v>
      </c>
      <c r="B104" s="17" t="s">
        <v>312</v>
      </c>
      <c r="C104" s="17" t="s">
        <v>2103</v>
      </c>
      <c r="D104" s="17" t="s">
        <v>114</v>
      </c>
      <c r="E104" s="18" t="n">
        <v>60851</v>
      </c>
      <c r="F104" s="17" t="s">
        <v>667</v>
      </c>
      <c r="G104" s="23" t="n">
        <v>2.2568404792033</v>
      </c>
      <c r="H104" s="19" t="n">
        <v>79.5</v>
      </c>
      <c r="I104" s="17" t="n">
        <f aca="false">IF(H104="","",RANK(H104,$H$5:$H$491))</f>
        <v>100</v>
      </c>
      <c r="J104" s="24" t="n">
        <v>0.0551403651748713</v>
      </c>
      <c r="K104" s="19" t="n">
        <v>33</v>
      </c>
      <c r="L104" s="17" t="n">
        <f aca="false">IF(K104="","",RANK(K104,$K$5:$K$491))</f>
        <v>332</v>
      </c>
      <c r="M104" s="25" t="n">
        <v>0.194487779511181</v>
      </c>
      <c r="N104" s="19" t="n">
        <v>81.5</v>
      </c>
      <c r="O104" s="17" t="n">
        <f aca="false">IF(N104="","",RANK(N104,$N$5:$N$491))</f>
        <v>90</v>
      </c>
      <c r="P104" s="17" t="str">
        <f aca="false">IF(AND(N(H104)&gt;=N(K104),N(H104)&gt;=N(N104)),"The Pulse",IF(N(K104)&gt;=N(N104),"The Lens","The Hub"))</f>
        <v>The Hub</v>
      </c>
      <c r="Q104" s="20" t="s">
        <v>74</v>
      </c>
      <c r="R104" s="27" t="s">
        <v>671</v>
      </c>
      <c r="S104" s="17" t="s">
        <v>19</v>
      </c>
    </row>
    <row r="105" customFormat="false" ht="15" hidden="false" customHeight="false" outlineLevel="0" collapsed="false">
      <c r="A105" s="17" t="s">
        <v>477</v>
      </c>
      <c r="B105" s="17" t="s">
        <v>478</v>
      </c>
      <c r="C105" s="17" t="s">
        <v>2104</v>
      </c>
      <c r="D105" s="17" t="s">
        <v>138</v>
      </c>
      <c r="E105" s="18" t="n">
        <v>11956</v>
      </c>
      <c r="F105" s="17" t="s">
        <v>667</v>
      </c>
      <c r="G105" s="23" t="n">
        <v>2.23369019739043</v>
      </c>
      <c r="H105" s="19" t="n">
        <v>79.3</v>
      </c>
      <c r="I105" s="17" t="n">
        <f aca="false">IF(H105="","",RANK(H105,$H$5:$H$491))</f>
        <v>101</v>
      </c>
      <c r="J105" s="24" t="n">
        <v>0.102443522360535</v>
      </c>
      <c r="K105" s="19" t="n">
        <v>54.6</v>
      </c>
      <c r="L105" s="17" t="n">
        <f aca="false">IF(K105="","",RANK(K105,$K$5:$K$491))</f>
        <v>229</v>
      </c>
      <c r="M105" s="25" t="n">
        <v>0.0156156156156156</v>
      </c>
      <c r="N105" s="19" t="n">
        <v>9.9</v>
      </c>
      <c r="O105" s="17" t="n">
        <f aca="false">IF(N105="","",RANK(N105,$N$5:$N$491))</f>
        <v>444</v>
      </c>
      <c r="P105" s="17" t="str">
        <f aca="false">IF(AND(N(H105)&gt;=N(K105),N(H105)&gt;=N(N105)),"The Pulse",IF(N(K105)&gt;=N(N105),"The Lens","The Hub"))</f>
        <v>The Pulse</v>
      </c>
      <c r="Q105" s="20" t="s">
        <v>74</v>
      </c>
      <c r="R105" s="27" t="s">
        <v>671</v>
      </c>
      <c r="S105" s="17" t="s">
        <v>19</v>
      </c>
    </row>
    <row r="106" customFormat="false" ht="15" hidden="false" customHeight="false" outlineLevel="0" collapsed="false">
      <c r="A106" s="17" t="s">
        <v>188</v>
      </c>
      <c r="B106" s="17" t="s">
        <v>189</v>
      </c>
      <c r="C106" s="17" t="s">
        <v>2105</v>
      </c>
      <c r="D106" s="17" t="s">
        <v>133</v>
      </c>
      <c r="E106" s="18" t="n">
        <v>55200</v>
      </c>
      <c r="F106" s="17" t="s">
        <v>667</v>
      </c>
      <c r="G106" s="23" t="n">
        <v>2.2229347826087</v>
      </c>
      <c r="H106" s="19" t="n">
        <v>79.1</v>
      </c>
      <c r="I106" s="17" t="n">
        <f aca="false">IF(H106="","",RANK(H106,$H$5:$H$491))</f>
        <v>102</v>
      </c>
      <c r="J106" s="24" t="n">
        <v>0.0248793167471222</v>
      </c>
      <c r="K106" s="19" t="n">
        <v>18.4</v>
      </c>
      <c r="L106" s="17" t="n">
        <f aca="false">IF(K106="","",RANK(K106,$K$5:$K$491))</f>
        <v>399</v>
      </c>
      <c r="M106" s="25" t="n">
        <v>0.0463887257780388</v>
      </c>
      <c r="N106" s="19" t="n">
        <v>28.4</v>
      </c>
      <c r="O106" s="17" t="n">
        <f aca="false">IF(N106="","",RANK(N106,$N$5:$N$491))</f>
        <v>354</v>
      </c>
      <c r="P106" s="17" t="str">
        <f aca="false">IF(AND(N(H106)&gt;=N(K106),N(H106)&gt;=N(N106)),"The Pulse",IF(N(K106)&gt;=N(N106),"The Lens","The Hub"))</f>
        <v>The Pulse</v>
      </c>
      <c r="Q106" s="21" t="s">
        <v>78</v>
      </c>
      <c r="R106" s="27" t="s">
        <v>671</v>
      </c>
      <c r="S106" s="17" t="s">
        <v>21</v>
      </c>
    </row>
    <row r="107" customFormat="false" ht="15" hidden="false" customHeight="false" outlineLevel="0" collapsed="false">
      <c r="A107" s="17" t="s">
        <v>826</v>
      </c>
      <c r="B107" s="17" t="s">
        <v>827</v>
      </c>
      <c r="C107" s="17" t="s">
        <v>2106</v>
      </c>
      <c r="D107" s="17" t="s">
        <v>138</v>
      </c>
      <c r="E107" s="18" t="n">
        <v>15834</v>
      </c>
      <c r="F107" s="17" t="s">
        <v>667</v>
      </c>
      <c r="G107" s="23" t="n">
        <v>2.21858027030441</v>
      </c>
      <c r="H107" s="19" t="n">
        <v>78.9</v>
      </c>
      <c r="I107" s="17" t="n">
        <f aca="false">IF(H107="","",RANK(H107,$H$5:$H$491))</f>
        <v>103</v>
      </c>
      <c r="J107" s="24" t="n">
        <v>0.154586553886539</v>
      </c>
      <c r="K107" s="19" t="n">
        <v>79.4</v>
      </c>
      <c r="L107" s="17" t="n">
        <f aca="false">IF(K107="","",RANK(K107,$K$5:$K$491))</f>
        <v>105</v>
      </c>
      <c r="M107" s="25" t="n">
        <v>0.0626808100289296</v>
      </c>
      <c r="N107" s="19" t="n">
        <v>37</v>
      </c>
      <c r="O107" s="17" t="n">
        <f aca="false">IF(N107="","",RANK(N107,$N$5:$N$491))</f>
        <v>313</v>
      </c>
      <c r="P107" s="17" t="str">
        <f aca="false">IF(AND(N(H107)&gt;=N(K107),N(H107)&gt;=N(N107)),"The Pulse",IF(N(K107)&gt;=N(N107),"The Lens","The Hub"))</f>
        <v>The Lens</v>
      </c>
      <c r="Q107" s="20" t="s">
        <v>74</v>
      </c>
      <c r="R107" s="26" t="s">
        <v>668</v>
      </c>
      <c r="S107" s="17" t="s">
        <v>19</v>
      </c>
    </row>
    <row r="108" customFormat="false" ht="15" hidden="false" customHeight="false" outlineLevel="0" collapsed="false">
      <c r="A108" s="17" t="s">
        <v>151</v>
      </c>
      <c r="B108" s="17" t="s">
        <v>152</v>
      </c>
      <c r="C108" s="17" t="s">
        <v>2107</v>
      </c>
      <c r="D108" s="17" t="s">
        <v>87</v>
      </c>
      <c r="E108" s="18" t="n">
        <v>130530</v>
      </c>
      <c r="F108" s="17" t="s">
        <v>670</v>
      </c>
      <c r="G108" s="23" t="n">
        <v>2.2149161112388</v>
      </c>
      <c r="H108" s="19" t="n">
        <v>78.7</v>
      </c>
      <c r="I108" s="17" t="n">
        <f aca="false">IF(H108="","",RANK(H108,$H$5:$H$491))</f>
        <v>104</v>
      </c>
      <c r="J108" s="24" t="n">
        <v>0.0751882176570402</v>
      </c>
      <c r="K108" s="19" t="n">
        <v>47</v>
      </c>
      <c r="L108" s="17" t="n">
        <f aca="false">IF(K108="","",RANK(K108,$K$5:$K$491))</f>
        <v>268</v>
      </c>
      <c r="M108" s="25" t="n">
        <v>0.31385152561203</v>
      </c>
      <c r="N108" s="19" t="n">
        <v>97</v>
      </c>
      <c r="O108" s="17" t="n">
        <f aca="false">IF(N108="","",RANK(N108,$N$5:$N$491))</f>
        <v>16</v>
      </c>
      <c r="P108" s="17" t="str">
        <f aca="false">IF(AND(N(H108)&gt;=N(K108),N(H108)&gt;=N(N108)),"The Pulse",IF(N(K108)&gt;=N(N108),"The Lens","The Hub"))</f>
        <v>The Hub</v>
      </c>
      <c r="Q108" s="20" t="s">
        <v>74</v>
      </c>
      <c r="R108" s="27" t="s">
        <v>671</v>
      </c>
      <c r="S108" s="17" t="s">
        <v>19</v>
      </c>
    </row>
    <row r="109" customFormat="false" ht="15" hidden="false" customHeight="false" outlineLevel="0" collapsed="false">
      <c r="A109" s="17" t="s">
        <v>2108</v>
      </c>
      <c r="B109" s="17" t="s">
        <v>2109</v>
      </c>
      <c r="C109" s="17" t="s">
        <v>2110</v>
      </c>
      <c r="D109" s="17" t="s">
        <v>81</v>
      </c>
      <c r="E109" s="18" t="n">
        <v>32070</v>
      </c>
      <c r="F109" s="17" t="s">
        <v>667</v>
      </c>
      <c r="G109" s="23" t="n">
        <v>2.20801371998753</v>
      </c>
      <c r="H109" s="19" t="n">
        <v>78.5</v>
      </c>
      <c r="I109" s="17" t="n">
        <f aca="false">IF(H109="","",RANK(H109,$H$5:$H$491))</f>
        <v>105</v>
      </c>
      <c r="J109" s="24" t="n">
        <v>0.15943600867679</v>
      </c>
      <c r="K109" s="19" t="n">
        <v>80.5</v>
      </c>
      <c r="L109" s="17" t="n">
        <f aca="false">IF(K109="","",RANK(K109,$K$5:$K$491))</f>
        <v>99</v>
      </c>
      <c r="M109" s="25" t="n">
        <v>0.0563328424153166</v>
      </c>
      <c r="N109" s="19" t="n">
        <v>34.9</v>
      </c>
      <c r="O109" s="17" t="n">
        <f aca="false">IF(N109="","",RANK(N109,$N$5:$N$491))</f>
        <v>323</v>
      </c>
      <c r="P109" s="17" t="str">
        <f aca="false">IF(AND(N(H109)&gt;=N(K109),N(H109)&gt;=N(N109)),"The Pulse",IF(N(K109)&gt;=N(N109),"The Lens","The Hub"))</f>
        <v>The Lens</v>
      </c>
      <c r="Q109" s="21" t="s">
        <v>78</v>
      </c>
      <c r="R109" s="26" t="s">
        <v>668</v>
      </c>
      <c r="S109" s="17" t="s">
        <v>21</v>
      </c>
    </row>
    <row r="110" customFormat="false" ht="15" hidden="false" customHeight="false" outlineLevel="0" collapsed="false">
      <c r="A110" s="17" t="s">
        <v>1236</v>
      </c>
      <c r="B110" s="17" t="s">
        <v>1237</v>
      </c>
      <c r="C110" s="17" t="s">
        <v>2111</v>
      </c>
      <c r="D110" s="17" t="s">
        <v>138</v>
      </c>
      <c r="E110" s="18" t="n">
        <v>28778</v>
      </c>
      <c r="F110" s="17" t="s">
        <v>667</v>
      </c>
      <c r="G110" s="23" t="n">
        <v>2.19368962401835</v>
      </c>
      <c r="H110" s="19" t="n">
        <v>78.3</v>
      </c>
      <c r="I110" s="17" t="n">
        <f aca="false">IF(H110="","",RANK(H110,$H$5:$H$491))</f>
        <v>106</v>
      </c>
      <c r="J110" s="24" t="n">
        <v>0.0176815899285664</v>
      </c>
      <c r="K110" s="19" t="n">
        <v>15.2</v>
      </c>
      <c r="L110" s="17" t="n">
        <f aca="false">IF(K110="","",RANK(K110,$K$5:$K$491))</f>
        <v>415</v>
      </c>
      <c r="M110" s="25" t="n">
        <v>0.127426424546024</v>
      </c>
      <c r="N110" s="19" t="n">
        <v>64.8</v>
      </c>
      <c r="O110" s="17" t="n">
        <f aca="false">IF(N110="","",RANK(N110,$N$5:$N$491))</f>
        <v>175</v>
      </c>
      <c r="P110" s="17" t="str">
        <f aca="false">IF(AND(N(H110)&gt;=N(K110),N(H110)&gt;=N(N110)),"The Pulse",IF(N(K110)&gt;=N(N110),"The Lens","The Hub"))</f>
        <v>The Pulse</v>
      </c>
      <c r="Q110" s="20" t="s">
        <v>74</v>
      </c>
      <c r="R110" s="26" t="s">
        <v>668</v>
      </c>
      <c r="S110" s="17" t="s">
        <v>19</v>
      </c>
    </row>
    <row r="111" customFormat="false" ht="15" hidden="false" customHeight="false" outlineLevel="0" collapsed="false">
      <c r="A111" s="17" t="s">
        <v>521</v>
      </c>
      <c r="B111" s="17" t="s">
        <v>522</v>
      </c>
      <c r="C111" s="17" t="s">
        <v>2112</v>
      </c>
      <c r="D111" s="17" t="s">
        <v>114</v>
      </c>
      <c r="E111" s="18" t="n">
        <v>34153</v>
      </c>
      <c r="F111" s="17" t="s">
        <v>667</v>
      </c>
      <c r="G111" s="23" t="n">
        <v>2.18718706994993</v>
      </c>
      <c r="H111" s="19" t="n">
        <v>78.1</v>
      </c>
      <c r="I111" s="17" t="n">
        <f aca="false">IF(H111="","",RANK(H111,$H$5:$H$491))</f>
        <v>107</v>
      </c>
      <c r="J111" s="24" t="n">
        <v>0.0848765922302341</v>
      </c>
      <c r="K111" s="19" t="n">
        <v>47.9</v>
      </c>
      <c r="L111" s="17" t="n">
        <f aca="false">IF(K111="","",RANK(K111,$K$5:$K$491))</f>
        <v>264</v>
      </c>
      <c r="M111" s="25" t="n">
        <v>0.131703131703132</v>
      </c>
      <c r="N111" s="19" t="n">
        <v>65.9</v>
      </c>
      <c r="O111" s="17" t="n">
        <f aca="false">IF(N111="","",RANK(N111,$N$5:$N$491))</f>
        <v>169</v>
      </c>
      <c r="P111" s="17" t="str">
        <f aca="false">IF(AND(N(H111)&gt;=N(K111),N(H111)&gt;=N(N111)),"The Pulse",IF(N(K111)&gt;=N(N111),"The Lens","The Hub"))</f>
        <v>The Pulse</v>
      </c>
      <c r="Q111" s="20" t="s">
        <v>74</v>
      </c>
      <c r="R111" s="27" t="s">
        <v>671</v>
      </c>
      <c r="S111" s="17" t="s">
        <v>19</v>
      </c>
    </row>
    <row r="112" customFormat="false" ht="15" hidden="false" customHeight="false" outlineLevel="0" collapsed="false">
      <c r="A112" s="17" t="s">
        <v>1398</v>
      </c>
      <c r="B112" s="17" t="s">
        <v>1399</v>
      </c>
      <c r="C112" s="17" t="s">
        <v>2113</v>
      </c>
      <c r="D112" s="17" t="s">
        <v>72</v>
      </c>
      <c r="E112" s="18" t="n">
        <v>38938</v>
      </c>
      <c r="F112" s="17" t="s">
        <v>667</v>
      </c>
      <c r="G112" s="23" t="n">
        <v>2.18511479788382</v>
      </c>
      <c r="H112" s="19" t="n">
        <v>77.9</v>
      </c>
      <c r="I112" s="17" t="n">
        <f aca="false">IF(H112="","",RANK(H112,$H$5:$H$491))</f>
        <v>108</v>
      </c>
      <c r="J112" s="24" t="n">
        <v>0.0542304047651279</v>
      </c>
      <c r="K112" s="19" t="n">
        <v>32.6</v>
      </c>
      <c r="L112" s="17" t="n">
        <f aca="false">IF(K112="","",RANK(K112,$K$5:$K$491))</f>
        <v>333</v>
      </c>
      <c r="M112" s="25" t="n">
        <v>0.000683293474547318</v>
      </c>
      <c r="N112" s="19" t="n">
        <v>1.7</v>
      </c>
      <c r="O112" s="17" t="n">
        <f aca="false">IF(N112="","",RANK(N112,$N$5:$N$491))</f>
        <v>479</v>
      </c>
      <c r="P112" s="17" t="str">
        <f aca="false">IF(AND(N(H112)&gt;=N(K112),N(H112)&gt;=N(N112)),"The Pulse",IF(N(K112)&gt;=N(N112),"The Lens","The Hub"))</f>
        <v>The Pulse</v>
      </c>
      <c r="Q112" s="20" t="s">
        <v>74</v>
      </c>
      <c r="R112" s="26" t="s">
        <v>668</v>
      </c>
      <c r="S112" s="17" t="s">
        <v>19</v>
      </c>
    </row>
    <row r="113" customFormat="false" ht="15" hidden="false" customHeight="false" outlineLevel="0" collapsed="false">
      <c r="A113" s="17" t="s">
        <v>153</v>
      </c>
      <c r="B113" s="17" t="s">
        <v>154</v>
      </c>
      <c r="C113" s="17" t="s">
        <v>2114</v>
      </c>
      <c r="D113" s="17" t="s">
        <v>77</v>
      </c>
      <c r="E113" s="18" t="n">
        <v>16359</v>
      </c>
      <c r="F113" s="17" t="s">
        <v>667</v>
      </c>
      <c r="G113" s="23" t="n">
        <v>2.18222385231371</v>
      </c>
      <c r="H113" s="19" t="n">
        <v>77.8</v>
      </c>
      <c r="I113" s="17" t="n">
        <f aca="false">IF(H113="","",RANK(H113,$H$5:$H$491))</f>
        <v>109</v>
      </c>
      <c r="J113" s="24" t="n">
        <v>0.230740294914234</v>
      </c>
      <c r="K113" s="19" t="n">
        <v>97.2</v>
      </c>
      <c r="L113" s="17" t="n">
        <f aca="false">IF(K113="","",RANK(K113,$K$5:$K$491))</f>
        <v>17</v>
      </c>
      <c r="M113" s="25" t="n">
        <v>0.114297764656263</v>
      </c>
      <c r="N113" s="19" t="n">
        <v>61</v>
      </c>
      <c r="O113" s="17" t="n">
        <f aca="false">IF(N113="","",RANK(N113,$N$5:$N$491))</f>
        <v>194</v>
      </c>
      <c r="P113" s="17" t="str">
        <f aca="false">IF(AND(N(H113)&gt;=N(K113),N(H113)&gt;=N(N113)),"The Pulse",IF(N(K113)&gt;=N(N113),"The Lens","The Hub"))</f>
        <v>The Lens</v>
      </c>
      <c r="Q113" s="20" t="s">
        <v>74</v>
      </c>
      <c r="R113" s="27" t="s">
        <v>671</v>
      </c>
      <c r="S113" s="17" t="s">
        <v>19</v>
      </c>
    </row>
    <row r="114" customFormat="false" ht="15" hidden="false" customHeight="false" outlineLevel="0" collapsed="false">
      <c r="A114" s="17" t="s">
        <v>139</v>
      </c>
      <c r="B114" s="17" t="s">
        <v>140</v>
      </c>
      <c r="C114" s="17" t="s">
        <v>2115</v>
      </c>
      <c r="D114" s="17" t="s">
        <v>72</v>
      </c>
      <c r="E114" s="18" t="n">
        <v>6255</v>
      </c>
      <c r="F114" s="17" t="s">
        <v>678</v>
      </c>
      <c r="G114" s="23" t="n">
        <v>2.17234212629896</v>
      </c>
      <c r="H114" s="19" t="n">
        <v>77.6</v>
      </c>
      <c r="I114" s="17" t="n">
        <f aca="false">IF(H114="","",RANK(H114,$H$5:$H$491))</f>
        <v>110</v>
      </c>
      <c r="J114" s="24" t="n">
        <v>0.0205580029368576</v>
      </c>
      <c r="K114" s="19" t="n">
        <v>13.3</v>
      </c>
      <c r="L114" s="17" t="n">
        <f aca="false">IF(K114="","",RANK(K114,$K$5:$K$491))</f>
        <v>423</v>
      </c>
      <c r="M114" s="25" t="n">
        <v>0.0448833034111311</v>
      </c>
      <c r="N114" s="19" t="n">
        <v>28.2</v>
      </c>
      <c r="O114" s="17" t="n">
        <f aca="false">IF(N114="","",RANK(N114,$N$5:$N$491))</f>
        <v>355</v>
      </c>
      <c r="P114" s="17" t="str">
        <f aca="false">IF(AND(N(H114)&gt;=N(K114),N(H114)&gt;=N(N114)),"The Pulse",IF(N(K114)&gt;=N(N114),"The Lens","The Hub"))</f>
        <v>The Pulse</v>
      </c>
      <c r="Q114" s="20" t="s">
        <v>74</v>
      </c>
      <c r="R114" s="27" t="s">
        <v>671</v>
      </c>
      <c r="S114" s="17" t="s">
        <v>19</v>
      </c>
    </row>
    <row r="115" customFormat="false" ht="15" hidden="false" customHeight="false" outlineLevel="0" collapsed="false">
      <c r="A115" s="17" t="s">
        <v>209</v>
      </c>
      <c r="B115" s="17" t="s">
        <v>210</v>
      </c>
      <c r="C115" s="17" t="s">
        <v>2116</v>
      </c>
      <c r="D115" s="17" t="s">
        <v>81</v>
      </c>
      <c r="E115" s="18" t="n">
        <v>8941</v>
      </c>
      <c r="F115" s="17" t="s">
        <v>678</v>
      </c>
      <c r="G115" s="23" t="n">
        <v>2.16519404988256</v>
      </c>
      <c r="H115" s="19" t="n">
        <v>77.4</v>
      </c>
      <c r="I115" s="17" t="n">
        <f aca="false">IF(H115="","",RANK(H115,$H$5:$H$491))</f>
        <v>111</v>
      </c>
      <c r="J115" s="24" t="n">
        <v>0.194203285695205</v>
      </c>
      <c r="K115" s="19" t="n">
        <v>90.7</v>
      </c>
      <c r="L115" s="17" t="n">
        <f aca="false">IF(K115="","",RANK(K115,$K$5:$K$491))</f>
        <v>47</v>
      </c>
      <c r="M115" s="25" t="n">
        <v>0.0756843800322061</v>
      </c>
      <c r="N115" s="19" t="n">
        <v>41.9</v>
      </c>
      <c r="O115" s="17" t="n">
        <f aca="false">IF(N115="","",RANK(N115,$N$5:$N$491))</f>
        <v>289</v>
      </c>
      <c r="P115" s="17" t="str">
        <f aca="false">IF(AND(N(H115)&gt;=N(K115),N(H115)&gt;=N(N115)),"The Pulse",IF(N(K115)&gt;=N(N115),"The Lens","The Hub"))</f>
        <v>The Lens</v>
      </c>
      <c r="Q115" s="20" t="s">
        <v>74</v>
      </c>
      <c r="R115" s="27" t="s">
        <v>671</v>
      </c>
      <c r="S115" s="17" t="s">
        <v>19</v>
      </c>
    </row>
    <row r="116" customFormat="false" ht="15" hidden="false" customHeight="false" outlineLevel="0" collapsed="false">
      <c r="A116" s="17" t="s">
        <v>1249</v>
      </c>
      <c r="B116" s="17" t="s">
        <v>1250</v>
      </c>
      <c r="C116" s="17" t="s">
        <v>2117</v>
      </c>
      <c r="D116" s="17" t="s">
        <v>138</v>
      </c>
      <c r="E116" s="18" t="n">
        <v>16199</v>
      </c>
      <c r="F116" s="17" t="s">
        <v>667</v>
      </c>
      <c r="G116" s="23" t="n">
        <v>2.14618186307797</v>
      </c>
      <c r="H116" s="19" t="n">
        <v>77.2</v>
      </c>
      <c r="I116" s="17" t="n">
        <f aca="false">IF(H116="","",RANK(H116,$H$5:$H$491))</f>
        <v>112</v>
      </c>
      <c r="J116" s="24" t="n">
        <v>0.206449690921278</v>
      </c>
      <c r="K116" s="19" t="n">
        <v>94.3</v>
      </c>
      <c r="L116" s="17" t="n">
        <f aca="false">IF(K116="","",RANK(K116,$K$5:$K$491))</f>
        <v>31</v>
      </c>
      <c r="M116" s="25" t="n">
        <v>0.0856015779092702</v>
      </c>
      <c r="N116" s="19" t="n">
        <v>47.2</v>
      </c>
      <c r="O116" s="17" t="n">
        <f aca="false">IF(N116="","",RANK(N116,$N$5:$N$491))</f>
        <v>261</v>
      </c>
      <c r="P116" s="17" t="str">
        <f aca="false">IF(AND(N(H116)&gt;=N(K116),N(H116)&gt;=N(N116)),"The Pulse",IF(N(K116)&gt;=N(N116),"The Lens","The Hub"))</f>
        <v>The Lens</v>
      </c>
      <c r="Q116" s="20" t="s">
        <v>74</v>
      </c>
      <c r="R116" s="26" t="s">
        <v>668</v>
      </c>
      <c r="S116" s="17" t="s">
        <v>19</v>
      </c>
    </row>
    <row r="117" customFormat="false" ht="15" hidden="false" customHeight="false" outlineLevel="0" collapsed="false">
      <c r="A117" s="17" t="s">
        <v>1276</v>
      </c>
      <c r="B117" s="17" t="s">
        <v>1277</v>
      </c>
      <c r="C117" s="17" t="s">
        <v>2118</v>
      </c>
      <c r="D117" s="17" t="s">
        <v>72</v>
      </c>
      <c r="E117" s="18" t="n">
        <v>32514</v>
      </c>
      <c r="F117" s="17" t="s">
        <v>667</v>
      </c>
      <c r="G117" s="23" t="n">
        <v>2.13695638801747</v>
      </c>
      <c r="H117" s="19" t="n">
        <v>76.8</v>
      </c>
      <c r="I117" s="17" t="n">
        <f aca="false">IF(H117="","",RANK(H117,$H$5:$H$491))</f>
        <v>113</v>
      </c>
      <c r="J117" s="24" t="n">
        <v>0.0799481848075199</v>
      </c>
      <c r="K117" s="19" t="n">
        <v>44.3</v>
      </c>
      <c r="L117" s="17" t="n">
        <f aca="false">IF(K117="","",RANK(K117,$K$5:$K$491))</f>
        <v>281</v>
      </c>
      <c r="M117" s="25" t="n">
        <v>0.0253559586502828</v>
      </c>
      <c r="N117" s="19" t="n">
        <v>15.2</v>
      </c>
      <c r="O117" s="17" t="n">
        <f aca="false">IF(N117="","",RANK(N117,$N$5:$N$491))</f>
        <v>419</v>
      </c>
      <c r="P117" s="17" t="str">
        <f aca="false">IF(AND(N(H117)&gt;=N(K117),N(H117)&gt;=N(N117)),"The Pulse",IF(N(K117)&gt;=N(N117),"The Lens","The Hub"))</f>
        <v>The Pulse</v>
      </c>
      <c r="Q117" s="20" t="s">
        <v>74</v>
      </c>
      <c r="R117" s="26" t="s">
        <v>668</v>
      </c>
      <c r="S117" s="17" t="s">
        <v>19</v>
      </c>
    </row>
    <row r="118" customFormat="false" ht="15" hidden="false" customHeight="false" outlineLevel="0" collapsed="false">
      <c r="A118" s="17" t="s">
        <v>158</v>
      </c>
      <c r="B118" s="17" t="s">
        <v>159</v>
      </c>
      <c r="C118" s="17" t="s">
        <v>2119</v>
      </c>
      <c r="D118" s="17" t="s">
        <v>133</v>
      </c>
      <c r="E118" s="18" t="n">
        <v>5082</v>
      </c>
      <c r="F118" s="17" t="s">
        <v>678</v>
      </c>
      <c r="G118" s="23" t="n">
        <v>2.13616686343959</v>
      </c>
      <c r="H118" s="19" t="n">
        <v>76.6</v>
      </c>
      <c r="I118" s="17" t="n">
        <f aca="false">IF(H118="","",RANK(H118,$H$5:$H$491))</f>
        <v>114</v>
      </c>
      <c r="J118" s="24" t="n">
        <v>0.117168608485381</v>
      </c>
      <c r="K118" s="19" t="n">
        <v>56</v>
      </c>
      <c r="L118" s="17" t="n">
        <f aca="false">IF(K118="","",RANK(K118,$K$5:$K$491))</f>
        <v>221</v>
      </c>
      <c r="M118" s="25" t="n">
        <v>0.0171232876712329</v>
      </c>
      <c r="N118" s="19" t="n">
        <v>11</v>
      </c>
      <c r="O118" s="17" t="n">
        <f aca="false">IF(N118="","",RANK(N118,$N$5:$N$491))</f>
        <v>438</v>
      </c>
      <c r="P118" s="17" t="str">
        <f aca="false">IF(AND(N(H118)&gt;=N(K118),N(H118)&gt;=N(N118)),"The Pulse",IF(N(K118)&gt;=N(N118),"The Lens","The Hub"))</f>
        <v>The Pulse</v>
      </c>
      <c r="Q118" s="20" t="s">
        <v>74</v>
      </c>
      <c r="R118" s="27" t="s">
        <v>671</v>
      </c>
      <c r="S118" s="17" t="s">
        <v>19</v>
      </c>
    </row>
    <row r="119" customFormat="false" ht="15" hidden="false" customHeight="false" outlineLevel="0" collapsed="false">
      <c r="A119" s="17" t="s">
        <v>359</v>
      </c>
      <c r="B119" s="17" t="s">
        <v>360</v>
      </c>
      <c r="C119" s="17" t="s">
        <v>2120</v>
      </c>
      <c r="D119" s="17" t="s">
        <v>114</v>
      </c>
      <c r="E119" s="18" t="n">
        <v>368776</v>
      </c>
      <c r="F119" s="17" t="s">
        <v>670</v>
      </c>
      <c r="G119" s="23" t="n">
        <v>2.1237987287676</v>
      </c>
      <c r="H119" s="19" t="n">
        <v>76.4</v>
      </c>
      <c r="I119" s="17" t="n">
        <f aca="false">IF(H119="","",RANK(H119,$H$5:$H$491))</f>
        <v>115</v>
      </c>
      <c r="J119" s="24" t="n">
        <v>0.0510720891987334</v>
      </c>
      <c r="K119" s="19" t="n">
        <v>36.7</v>
      </c>
      <c r="L119" s="17" t="n">
        <f aca="false">IF(K119="","",RANK(K119,$K$5:$K$491))</f>
        <v>316</v>
      </c>
      <c r="M119" s="25" t="n">
        <v>0.0277603602576526</v>
      </c>
      <c r="N119" s="19" t="n">
        <v>17.5</v>
      </c>
      <c r="O119" s="17" t="n">
        <f aca="false">IF(N119="","",RANK(N119,$N$5:$N$491))</f>
        <v>408</v>
      </c>
      <c r="P119" s="17" t="str">
        <f aca="false">IF(AND(N(H119)&gt;=N(K119),N(H119)&gt;=N(N119)),"The Pulse",IF(N(K119)&gt;=N(N119),"The Lens","The Hub"))</f>
        <v>The Pulse</v>
      </c>
      <c r="Q119" s="20" t="s">
        <v>74</v>
      </c>
      <c r="R119" s="27" t="s">
        <v>671</v>
      </c>
      <c r="S119" s="17" t="s">
        <v>19</v>
      </c>
    </row>
    <row r="120" customFormat="false" ht="15" hidden="false" customHeight="false" outlineLevel="0" collapsed="false">
      <c r="A120" s="17" t="s">
        <v>1659</v>
      </c>
      <c r="B120" s="17" t="s">
        <v>1660</v>
      </c>
      <c r="C120" s="17" t="s">
        <v>2121</v>
      </c>
      <c r="D120" s="17" t="s">
        <v>105</v>
      </c>
      <c r="E120" s="18" t="n">
        <v>24246</v>
      </c>
      <c r="F120" s="17" t="s">
        <v>667</v>
      </c>
      <c r="G120" s="23" t="n">
        <v>2.11791635733729</v>
      </c>
      <c r="H120" s="19" t="n">
        <v>76.2</v>
      </c>
      <c r="I120" s="17" t="n">
        <f aca="false">IF(H120="","",RANK(H120,$H$5:$H$491))</f>
        <v>116</v>
      </c>
      <c r="J120" s="24" t="n">
        <v>0.149262928378442</v>
      </c>
      <c r="K120" s="19" t="n">
        <v>77.3</v>
      </c>
      <c r="L120" s="17" t="n">
        <f aca="false">IF(K120="","",RANK(K120,$K$5:$K$491))</f>
        <v>115</v>
      </c>
      <c r="M120" s="25" t="n">
        <v>0.188032272523532</v>
      </c>
      <c r="N120" s="19" t="n">
        <v>80.2</v>
      </c>
      <c r="O120" s="17" t="n">
        <f aca="false">IF(N120="","",RANK(N120,$N$5:$N$491))</f>
        <v>97</v>
      </c>
      <c r="P120" s="17" t="str">
        <f aca="false">IF(AND(N(H120)&gt;=N(K120),N(H120)&gt;=N(N120)),"The Pulse",IF(N(K120)&gt;=N(N120),"The Lens","The Hub"))</f>
        <v>The Hub</v>
      </c>
      <c r="Q120" s="20" t="s">
        <v>74</v>
      </c>
      <c r="R120" s="26" t="s">
        <v>668</v>
      </c>
      <c r="S120" s="17" t="s">
        <v>19</v>
      </c>
    </row>
    <row r="121" customFormat="false" ht="15" hidden="false" customHeight="false" outlineLevel="0" collapsed="false">
      <c r="A121" s="17" t="s">
        <v>2122</v>
      </c>
      <c r="B121" s="17" t="s">
        <v>2123</v>
      </c>
      <c r="C121" s="17" t="s">
        <v>2124</v>
      </c>
      <c r="D121" s="17" t="s">
        <v>92</v>
      </c>
      <c r="E121" s="18" t="n">
        <v>503960</v>
      </c>
      <c r="F121" s="17" t="s">
        <v>670</v>
      </c>
      <c r="G121" s="23" t="n">
        <v>2.1028156996587</v>
      </c>
      <c r="H121" s="19" t="n">
        <v>76</v>
      </c>
      <c r="I121" s="17" t="n">
        <f aca="false">IF(H121="","",RANK(H121,$H$5:$H$491))</f>
        <v>117</v>
      </c>
      <c r="J121" s="24" t="n">
        <v>0.0108555244429824</v>
      </c>
      <c r="K121" s="19" t="n">
        <v>16.3</v>
      </c>
      <c r="L121" s="17" t="n">
        <f aca="false">IF(K121="","",RANK(K121,$K$5:$K$491))</f>
        <v>409</v>
      </c>
      <c r="M121" s="25" t="n">
        <v>0.148148148148148</v>
      </c>
      <c r="N121" s="19" t="n">
        <v>70.7</v>
      </c>
      <c r="O121" s="17" t="n">
        <f aca="false">IF(N121="","",RANK(N121,$N$5:$N$491))</f>
        <v>146</v>
      </c>
      <c r="P121" s="17" t="str">
        <f aca="false">IF(AND(N(H121)&gt;=N(K121),N(H121)&gt;=N(N121)),"The Pulse",IF(N(K121)&gt;=N(N121),"The Lens","The Hub"))</f>
        <v>The Pulse</v>
      </c>
      <c r="Q121" s="20" t="s">
        <v>74</v>
      </c>
      <c r="R121" s="26" t="s">
        <v>668</v>
      </c>
      <c r="S121" s="17" t="s">
        <v>19</v>
      </c>
    </row>
    <row r="122" customFormat="false" ht="15" hidden="false" customHeight="false" outlineLevel="0" collapsed="false">
      <c r="A122" s="17" t="s">
        <v>2125</v>
      </c>
      <c r="B122" s="17" t="s">
        <v>2126</v>
      </c>
      <c r="C122" s="17" t="s">
        <v>2127</v>
      </c>
      <c r="D122" s="17" t="s">
        <v>114</v>
      </c>
      <c r="E122" s="18" t="n">
        <v>74413</v>
      </c>
      <c r="F122" s="17" t="s">
        <v>667</v>
      </c>
      <c r="G122" s="23" t="n">
        <v>2.08174646903095</v>
      </c>
      <c r="H122" s="19" t="n">
        <v>75.9</v>
      </c>
      <c r="I122" s="17" t="n">
        <f aca="false">IF(H122="","",RANK(H122,$H$5:$H$491))</f>
        <v>118</v>
      </c>
      <c r="J122" s="24" t="n">
        <v>0.0537099971679411</v>
      </c>
      <c r="K122" s="19" t="n">
        <v>31.2</v>
      </c>
      <c r="L122" s="17" t="n">
        <f aca="false">IF(K122="","",RANK(K122,$K$5:$K$491))</f>
        <v>341</v>
      </c>
      <c r="M122" s="25" t="n">
        <v>0.0634351620947631</v>
      </c>
      <c r="N122" s="19" t="n">
        <v>37.5</v>
      </c>
      <c r="O122" s="17" t="n">
        <f aca="false">IF(N122="","",RANK(N122,$N$5:$N$491))</f>
        <v>310</v>
      </c>
      <c r="P122" s="17" t="str">
        <f aca="false">IF(AND(N(H122)&gt;=N(K122),N(H122)&gt;=N(N122)),"The Pulse",IF(N(K122)&gt;=N(N122),"The Lens","The Hub"))</f>
        <v>The Pulse</v>
      </c>
      <c r="Q122" s="20" t="s">
        <v>74</v>
      </c>
      <c r="R122" s="26" t="s">
        <v>668</v>
      </c>
      <c r="S122" s="17" t="s">
        <v>19</v>
      </c>
    </row>
    <row r="123" customFormat="false" ht="15" hidden="false" customHeight="false" outlineLevel="0" collapsed="false">
      <c r="A123" s="17" t="s">
        <v>2128</v>
      </c>
      <c r="B123" s="17" t="s">
        <v>2129</v>
      </c>
      <c r="C123" s="17" t="s">
        <v>2130</v>
      </c>
      <c r="D123" s="17" t="s">
        <v>77</v>
      </c>
      <c r="E123" s="18" t="n">
        <v>9770</v>
      </c>
      <c r="F123" s="17" t="s">
        <v>678</v>
      </c>
      <c r="G123" s="23" t="n">
        <v>2.07676560900717</v>
      </c>
      <c r="H123" s="19" t="n">
        <v>75.7</v>
      </c>
      <c r="I123" s="17" t="n">
        <f aca="false">IF(H123="","",RANK(H123,$H$5:$H$491))</f>
        <v>119</v>
      </c>
      <c r="J123" s="24" t="n">
        <v>0.136016001882574</v>
      </c>
      <c r="K123" s="19" t="n">
        <v>65.3</v>
      </c>
      <c r="L123" s="17" t="n">
        <f aca="false">IF(K123="","",RANK(K123,$K$5:$K$491))</f>
        <v>175</v>
      </c>
      <c r="M123" s="25" t="n">
        <v>0</v>
      </c>
      <c r="N123" s="19" t="n">
        <v>0.7</v>
      </c>
      <c r="O123" s="17" t="n">
        <f aca="false">IF(N123="","",RANK(N123,$N$5:$N$491))</f>
        <v>482</v>
      </c>
      <c r="P123" s="17" t="str">
        <f aca="false">IF(AND(N(H123)&gt;=N(K123),N(H123)&gt;=N(N123)),"The Pulse",IF(N(K123)&gt;=N(N123),"The Lens","The Hub"))</f>
        <v>The Pulse</v>
      </c>
      <c r="Q123" s="22" t="s">
        <v>83</v>
      </c>
      <c r="R123" s="26" t="s">
        <v>668</v>
      </c>
      <c r="S123" s="17" t="s">
        <v>130</v>
      </c>
    </row>
    <row r="124" customFormat="false" ht="15" hidden="false" customHeight="false" outlineLevel="0" collapsed="false">
      <c r="A124" s="17" t="s">
        <v>1858</v>
      </c>
      <c r="B124" s="17" t="s">
        <v>1859</v>
      </c>
      <c r="C124" s="17" t="s">
        <v>2131</v>
      </c>
      <c r="D124" s="17" t="s">
        <v>92</v>
      </c>
      <c r="E124" s="18" t="n">
        <v>40915</v>
      </c>
      <c r="F124" s="17" t="s">
        <v>667</v>
      </c>
      <c r="G124" s="23" t="n">
        <v>2.07036539166565</v>
      </c>
      <c r="H124" s="19" t="n">
        <v>75.5</v>
      </c>
      <c r="I124" s="17" t="n">
        <f aca="false">IF(H124="","",RANK(H124,$H$5:$H$491))</f>
        <v>120</v>
      </c>
      <c r="J124" s="24" t="n">
        <v>0.20479976442874</v>
      </c>
      <c r="K124" s="19" t="n">
        <v>94</v>
      </c>
      <c r="L124" s="17" t="n">
        <f aca="false">IF(K124="","",RANK(K124,$K$5:$K$491))</f>
        <v>32</v>
      </c>
      <c r="M124" s="25" t="n">
        <v>0.342346271260358</v>
      </c>
      <c r="N124" s="19" t="n">
        <v>97.9</v>
      </c>
      <c r="O124" s="17" t="n">
        <f aca="false">IF(N124="","",RANK(N124,$N$5:$N$491))</f>
        <v>11</v>
      </c>
      <c r="P124" s="17" t="str">
        <f aca="false">IF(AND(N(H124)&gt;=N(K124),N(H124)&gt;=N(N124)),"The Pulse",IF(N(K124)&gt;=N(N124),"The Lens","The Hub"))</f>
        <v>The Hub</v>
      </c>
      <c r="Q124" s="20" t="s">
        <v>74</v>
      </c>
      <c r="R124" s="26" t="s">
        <v>668</v>
      </c>
      <c r="S124" s="17" t="s">
        <v>19</v>
      </c>
    </row>
    <row r="125" customFormat="false" ht="15" hidden="false" customHeight="false" outlineLevel="0" collapsed="false">
      <c r="A125" s="17" t="s">
        <v>171</v>
      </c>
      <c r="B125" s="17" t="s">
        <v>172</v>
      </c>
      <c r="C125" s="17" t="s">
        <v>2132</v>
      </c>
      <c r="D125" s="17" t="s">
        <v>72</v>
      </c>
      <c r="E125" s="18" t="n">
        <v>5190</v>
      </c>
      <c r="F125" s="17" t="s">
        <v>678</v>
      </c>
      <c r="G125" s="23" t="n">
        <v>2.03236994219653</v>
      </c>
      <c r="H125" s="19" t="n">
        <v>75.1</v>
      </c>
      <c r="I125" s="17" t="n">
        <f aca="false">IF(H125="","",RANK(H125,$H$5:$H$491))</f>
        <v>121</v>
      </c>
      <c r="J125" s="24" t="n">
        <v>0.0324249055102447</v>
      </c>
      <c r="K125" s="19" t="n">
        <v>20</v>
      </c>
      <c r="L125" s="17" t="n">
        <f aca="false">IF(K125="","",RANK(K125,$K$5:$K$491))</f>
        <v>389</v>
      </c>
      <c r="M125" s="25" t="n">
        <v>0.0220264317180617</v>
      </c>
      <c r="N125" s="19" t="n">
        <v>13.7</v>
      </c>
      <c r="O125" s="17" t="n">
        <f aca="false">IF(N125="","",RANK(N125,$N$5:$N$491))</f>
        <v>427</v>
      </c>
      <c r="P125" s="17" t="str">
        <f aca="false">IF(AND(N(H125)&gt;=N(K125),N(H125)&gt;=N(N125)),"The Pulse",IF(N(K125)&gt;=N(N125),"The Lens","The Hub"))</f>
        <v>The Pulse</v>
      </c>
      <c r="Q125" s="20" t="s">
        <v>74</v>
      </c>
      <c r="R125" s="27" t="s">
        <v>671</v>
      </c>
      <c r="S125" s="17" t="s">
        <v>19</v>
      </c>
    </row>
    <row r="126" customFormat="false" ht="15" hidden="false" customHeight="false" outlineLevel="0" collapsed="false">
      <c r="A126" s="17" t="s">
        <v>1644</v>
      </c>
      <c r="B126" s="17" t="s">
        <v>1645</v>
      </c>
      <c r="C126" s="17" t="s">
        <v>2133</v>
      </c>
      <c r="D126" s="17" t="s">
        <v>92</v>
      </c>
      <c r="E126" s="18" t="n">
        <v>39202</v>
      </c>
      <c r="F126" s="17" t="s">
        <v>667</v>
      </c>
      <c r="G126" s="23" t="n">
        <v>2.03114637008316</v>
      </c>
      <c r="H126" s="19" t="n">
        <v>74.9</v>
      </c>
      <c r="I126" s="17" t="n">
        <f aca="false">IF(H126="","",RANK(H126,$H$5:$H$491))</f>
        <v>122</v>
      </c>
      <c r="J126" s="24" t="n">
        <v>0.0600005407890112</v>
      </c>
      <c r="K126" s="19" t="n">
        <v>35.1</v>
      </c>
      <c r="L126" s="17" t="n">
        <f aca="false">IF(K126="","",RANK(K126,$K$5:$K$491))</f>
        <v>322</v>
      </c>
      <c r="M126" s="25" t="n">
        <v>0.0684483753124399</v>
      </c>
      <c r="N126" s="19" t="n">
        <v>39.6</v>
      </c>
      <c r="O126" s="17" t="n">
        <f aca="false">IF(N126="","",RANK(N126,$N$5:$N$491))</f>
        <v>300</v>
      </c>
      <c r="P126" s="17" t="str">
        <f aca="false">IF(AND(N(H126)&gt;=N(K126),N(H126)&gt;=N(N126)),"The Pulse",IF(N(K126)&gt;=N(N126),"The Lens","The Hub"))</f>
        <v>The Pulse</v>
      </c>
      <c r="Q126" s="20" t="s">
        <v>74</v>
      </c>
      <c r="R126" s="26" t="s">
        <v>668</v>
      </c>
      <c r="S126" s="17" t="s">
        <v>19</v>
      </c>
    </row>
    <row r="127" customFormat="false" ht="15" hidden="false" customHeight="false" outlineLevel="0" collapsed="false">
      <c r="A127" s="17" t="s">
        <v>2134</v>
      </c>
      <c r="B127" s="17" t="s">
        <v>2135</v>
      </c>
      <c r="C127" s="17" t="s">
        <v>2136</v>
      </c>
      <c r="D127" s="17" t="s">
        <v>133</v>
      </c>
      <c r="E127" s="18" t="n">
        <v>33862</v>
      </c>
      <c r="F127" s="17" t="s">
        <v>667</v>
      </c>
      <c r="G127" s="23" t="n">
        <v>2.02025869706456</v>
      </c>
      <c r="H127" s="19" t="n">
        <v>74.7</v>
      </c>
      <c r="I127" s="17" t="n">
        <f aca="false">IF(H127="","",RANK(H127,$H$5:$H$491))</f>
        <v>123</v>
      </c>
      <c r="J127" s="24" t="n">
        <v>0.147436549083393</v>
      </c>
      <c r="K127" s="19" t="n">
        <v>76.6</v>
      </c>
      <c r="L127" s="17" t="n">
        <f aca="false">IF(K127="","",RANK(K127,$K$5:$K$491))</f>
        <v>119</v>
      </c>
      <c r="M127" s="25" t="n">
        <v>0.16757560733763</v>
      </c>
      <c r="N127" s="19" t="n">
        <v>76</v>
      </c>
      <c r="O127" s="17" t="n">
        <f aca="false">IF(N127="","",RANK(N127,$N$5:$N$491))</f>
        <v>118</v>
      </c>
      <c r="P127" s="17" t="str">
        <f aca="false">IF(AND(N(H127)&gt;=N(K127),N(H127)&gt;=N(N127)),"The Pulse",IF(N(K127)&gt;=N(N127),"The Lens","The Hub"))</f>
        <v>The Lens</v>
      </c>
      <c r="Q127" s="20" t="s">
        <v>74</v>
      </c>
      <c r="R127" s="26" t="s">
        <v>668</v>
      </c>
      <c r="S127" s="17" t="s">
        <v>19</v>
      </c>
    </row>
    <row r="128" customFormat="false" ht="15" hidden="false" customHeight="false" outlineLevel="0" collapsed="false">
      <c r="A128" s="17" t="s">
        <v>1511</v>
      </c>
      <c r="B128" s="17" t="s">
        <v>1512</v>
      </c>
      <c r="C128" s="17" t="s">
        <v>2137</v>
      </c>
      <c r="D128" s="17" t="s">
        <v>81</v>
      </c>
      <c r="E128" s="18" t="n">
        <v>77480</v>
      </c>
      <c r="F128" s="17" t="s">
        <v>667</v>
      </c>
      <c r="G128" s="23" t="n">
        <v>2.01595250387197</v>
      </c>
      <c r="H128" s="19" t="n">
        <v>74.5</v>
      </c>
      <c r="I128" s="17" t="n">
        <f aca="false">IF(H128="","",RANK(H128,$H$5:$H$491))</f>
        <v>124</v>
      </c>
      <c r="J128" s="24" t="n">
        <v>0.186596422445479</v>
      </c>
      <c r="K128" s="19" t="n">
        <v>91.5</v>
      </c>
      <c r="L128" s="17" t="n">
        <f aca="false">IF(K128="","",RANK(K128,$K$5:$K$491))</f>
        <v>43</v>
      </c>
      <c r="M128" s="25" t="n">
        <v>0.143265271825897</v>
      </c>
      <c r="N128" s="19" t="n">
        <v>69.1</v>
      </c>
      <c r="O128" s="17" t="n">
        <f aca="false">IF(N128="","",RANK(N128,$N$5:$N$491))</f>
        <v>153</v>
      </c>
      <c r="P128" s="17" t="str">
        <f aca="false">IF(AND(N(H128)&gt;=N(K128),N(H128)&gt;=N(N128)),"The Pulse",IF(N(K128)&gt;=N(N128),"The Lens","The Hub"))</f>
        <v>The Lens</v>
      </c>
      <c r="Q128" s="20" t="s">
        <v>74</v>
      </c>
      <c r="R128" s="26" t="s">
        <v>668</v>
      </c>
      <c r="S128" s="17" t="s">
        <v>19</v>
      </c>
    </row>
    <row r="129" customFormat="false" ht="15" hidden="false" customHeight="false" outlineLevel="0" collapsed="false">
      <c r="A129" s="17" t="s">
        <v>200</v>
      </c>
      <c r="B129" s="17" t="s">
        <v>201</v>
      </c>
      <c r="C129" s="17" t="s">
        <v>2138</v>
      </c>
      <c r="D129" s="17" t="s">
        <v>87</v>
      </c>
      <c r="E129" s="18" t="n">
        <v>3634</v>
      </c>
      <c r="F129" s="17" t="s">
        <v>678</v>
      </c>
      <c r="G129" s="23" t="n">
        <v>2.015685195377</v>
      </c>
      <c r="H129" s="19" t="n">
        <v>74.3</v>
      </c>
      <c r="I129" s="17" t="n">
        <f aca="false">IF(H129="","",RANK(H129,$H$5:$H$491))</f>
        <v>125</v>
      </c>
      <c r="J129" s="24" t="n">
        <v>0.0732427643236858</v>
      </c>
      <c r="K129" s="19" t="n">
        <v>38.7</v>
      </c>
      <c r="L129" s="17" t="n">
        <f aca="false">IF(K129="","",RANK(K129,$K$5:$K$491))</f>
        <v>308</v>
      </c>
      <c r="M129" s="25" t="n">
        <v>0.0392609699769053</v>
      </c>
      <c r="N129" s="19" t="n">
        <v>25.3</v>
      </c>
      <c r="O129" s="17" t="n">
        <f aca="false">IF(N129="","",RANK(N129,$N$5:$N$491))</f>
        <v>369</v>
      </c>
      <c r="P129" s="17" t="str">
        <f aca="false">IF(AND(N(H129)&gt;=N(K129),N(H129)&gt;=N(N129)),"The Pulse",IF(N(K129)&gt;=N(N129),"The Lens","The Hub"))</f>
        <v>The Pulse</v>
      </c>
      <c r="Q129" s="20" t="s">
        <v>74</v>
      </c>
      <c r="R129" s="27" t="s">
        <v>671</v>
      </c>
      <c r="S129" s="17" t="s">
        <v>19</v>
      </c>
    </row>
    <row r="130" customFormat="false" ht="15" hidden="false" customHeight="false" outlineLevel="0" collapsed="false">
      <c r="A130" s="17" t="s">
        <v>1687</v>
      </c>
      <c r="B130" s="17" t="s">
        <v>1688</v>
      </c>
      <c r="C130" s="17" t="s">
        <v>2139</v>
      </c>
      <c r="D130" s="17" t="s">
        <v>92</v>
      </c>
      <c r="E130" s="18" t="n">
        <v>50578</v>
      </c>
      <c r="F130" s="17" t="s">
        <v>667</v>
      </c>
      <c r="G130" s="23" t="n">
        <v>2.00446834592115</v>
      </c>
      <c r="H130" s="19" t="n">
        <v>74.1</v>
      </c>
      <c r="I130" s="17" t="n">
        <f aca="false">IF(H130="","",RANK(H130,$H$5:$H$491))</f>
        <v>126</v>
      </c>
      <c r="J130" s="24" t="n">
        <v>0.106570109611219</v>
      </c>
      <c r="K130" s="19" t="n">
        <v>56.4</v>
      </c>
      <c r="L130" s="17" t="n">
        <f aca="false">IF(K130="","",RANK(K130,$K$5:$K$491))</f>
        <v>220</v>
      </c>
      <c r="M130" s="25" t="n">
        <v>0.345258103241297</v>
      </c>
      <c r="N130" s="19" t="n">
        <v>98.1</v>
      </c>
      <c r="O130" s="17" t="n">
        <f aca="false">IF(N130="","",RANK(N130,$N$5:$N$491))</f>
        <v>10</v>
      </c>
      <c r="P130" s="17" t="str">
        <f aca="false">IF(AND(N(H130)&gt;=N(K130),N(H130)&gt;=N(N130)),"The Pulse",IF(N(K130)&gt;=N(N130),"The Lens","The Hub"))</f>
        <v>The Hub</v>
      </c>
      <c r="Q130" s="20" t="s">
        <v>74</v>
      </c>
      <c r="R130" s="26" t="s">
        <v>668</v>
      </c>
      <c r="S130" s="17" t="s">
        <v>19</v>
      </c>
    </row>
    <row r="131" customFormat="false" ht="15" hidden="false" customHeight="false" outlineLevel="0" collapsed="false">
      <c r="A131" s="17" t="s">
        <v>1943</v>
      </c>
      <c r="B131" s="17" t="s">
        <v>1944</v>
      </c>
      <c r="C131" s="17" t="s">
        <v>2140</v>
      </c>
      <c r="D131" s="17" t="s">
        <v>105</v>
      </c>
      <c r="E131" s="18" t="n">
        <v>466995</v>
      </c>
      <c r="F131" s="17" t="s">
        <v>670</v>
      </c>
      <c r="G131" s="23" t="n">
        <v>1.98763798327605</v>
      </c>
      <c r="H131" s="19" t="n">
        <v>74</v>
      </c>
      <c r="I131" s="17" t="n">
        <f aca="false">IF(H131="","",RANK(H131,$H$5:$H$491))</f>
        <v>127</v>
      </c>
      <c r="J131" s="24" t="n">
        <v>0.103068310657596</v>
      </c>
      <c r="K131" s="19" t="n">
        <v>58.4</v>
      </c>
      <c r="L131" s="17" t="n">
        <f aca="false">IF(K131="","",RANK(K131,$K$5:$K$491))</f>
        <v>211</v>
      </c>
      <c r="M131" s="25" t="n">
        <v>0.0669405509908168</v>
      </c>
      <c r="N131" s="19" t="n">
        <v>38.3</v>
      </c>
      <c r="O131" s="17" t="n">
        <f aca="false">IF(N131="","",RANK(N131,$N$5:$N$491))</f>
        <v>306</v>
      </c>
      <c r="P131" s="17" t="str">
        <f aca="false">IF(AND(N(H131)&gt;=N(K131),N(H131)&gt;=N(N131)),"The Pulse",IF(N(K131)&gt;=N(N131),"The Lens","The Hub"))</f>
        <v>The Pulse</v>
      </c>
      <c r="Q131" s="20" t="s">
        <v>74</v>
      </c>
      <c r="R131" s="26" t="s">
        <v>668</v>
      </c>
      <c r="S131" s="17" t="s">
        <v>19</v>
      </c>
    </row>
    <row r="132" customFormat="false" ht="15" hidden="false" customHeight="false" outlineLevel="0" collapsed="false">
      <c r="A132" s="17" t="s">
        <v>469</v>
      </c>
      <c r="B132" s="17" t="s">
        <v>470</v>
      </c>
      <c r="C132" s="17" t="s">
        <v>2141</v>
      </c>
      <c r="D132" s="17" t="s">
        <v>102</v>
      </c>
      <c r="E132" s="18" t="n">
        <v>476009</v>
      </c>
      <c r="F132" s="17" t="s">
        <v>670</v>
      </c>
      <c r="G132" s="23" t="n">
        <v>1.98682167774139</v>
      </c>
      <c r="H132" s="19" t="n">
        <v>73.8</v>
      </c>
      <c r="I132" s="17" t="n">
        <f aca="false">IF(H132="","",RANK(H132,$H$5:$H$491))</f>
        <v>128</v>
      </c>
      <c r="J132" s="24" t="n">
        <v>-0.118314085407077</v>
      </c>
      <c r="K132" s="19" t="n">
        <v>2.4</v>
      </c>
      <c r="L132" s="17" t="n">
        <f aca="false">IF(K132="","",RANK(K132,$K$5:$K$491))</f>
        <v>479</v>
      </c>
      <c r="M132" s="25" t="n">
        <v>0.0678737067427756</v>
      </c>
      <c r="N132" s="19" t="n">
        <v>38.7</v>
      </c>
      <c r="O132" s="17" t="n">
        <f aca="false">IF(N132="","",RANK(N132,$N$5:$N$491))</f>
        <v>304</v>
      </c>
      <c r="P132" s="17" t="str">
        <f aca="false">IF(AND(N(H132)&gt;=N(K132),N(H132)&gt;=N(N132)),"The Pulse",IF(N(K132)&gt;=N(N132),"The Lens","The Hub"))</f>
        <v>The Pulse</v>
      </c>
      <c r="Q132" s="20" t="s">
        <v>74</v>
      </c>
      <c r="R132" s="27" t="s">
        <v>671</v>
      </c>
      <c r="S132" s="17" t="s">
        <v>19</v>
      </c>
    </row>
    <row r="133" customFormat="false" ht="15" hidden="false" customHeight="false" outlineLevel="0" collapsed="false">
      <c r="A133" s="17" t="s">
        <v>355</v>
      </c>
      <c r="B133" s="17" t="s">
        <v>356</v>
      </c>
      <c r="C133" s="17" t="s">
        <v>2142</v>
      </c>
      <c r="D133" s="17" t="s">
        <v>81</v>
      </c>
      <c r="E133" s="18" t="n">
        <v>468152</v>
      </c>
      <c r="F133" s="17" t="s">
        <v>670</v>
      </c>
      <c r="G133" s="23" t="n">
        <v>1.97958355405937</v>
      </c>
      <c r="H133" s="19" t="n">
        <v>73.6</v>
      </c>
      <c r="I133" s="17" t="n">
        <f aca="false">IF(H133="","",RANK(H133,$H$5:$H$491))</f>
        <v>129</v>
      </c>
      <c r="J133" s="24" t="n">
        <v>0.114597196793478</v>
      </c>
      <c r="K133" s="19" t="n">
        <v>66.3</v>
      </c>
      <c r="L133" s="17" t="n">
        <f aca="false">IF(K133="","",RANK(K133,$K$5:$K$491))</f>
        <v>170</v>
      </c>
      <c r="M133" s="25" t="n">
        <v>0.0287697427237509</v>
      </c>
      <c r="N133" s="19" t="n">
        <v>18.1</v>
      </c>
      <c r="O133" s="17" t="n">
        <f aca="false">IF(N133="","",RANK(N133,$N$5:$N$491))</f>
        <v>405</v>
      </c>
      <c r="P133" s="17" t="str">
        <f aca="false">IF(AND(N(H133)&gt;=N(K133),N(H133)&gt;=N(N133)),"The Pulse",IF(N(K133)&gt;=N(N133),"The Lens","The Hub"))</f>
        <v>The Pulse</v>
      </c>
      <c r="Q133" s="20" t="s">
        <v>74</v>
      </c>
      <c r="R133" s="27" t="s">
        <v>671</v>
      </c>
      <c r="S133" s="17" t="s">
        <v>19</v>
      </c>
    </row>
    <row r="134" customFormat="false" ht="15" hidden="false" customHeight="false" outlineLevel="0" collapsed="false">
      <c r="A134" s="17" t="s">
        <v>257</v>
      </c>
      <c r="B134" s="17" t="s">
        <v>258</v>
      </c>
      <c r="C134" s="17" t="s">
        <v>2143</v>
      </c>
      <c r="D134" s="17" t="s">
        <v>72</v>
      </c>
      <c r="E134" s="18" t="n">
        <v>27715</v>
      </c>
      <c r="F134" s="17" t="s">
        <v>667</v>
      </c>
      <c r="G134" s="23" t="n">
        <v>1.97629442540141</v>
      </c>
      <c r="H134" s="19" t="n">
        <v>73.4</v>
      </c>
      <c r="I134" s="17" t="n">
        <f aca="false">IF(H134="","",RANK(H134,$H$5:$H$491))</f>
        <v>130</v>
      </c>
      <c r="J134" s="24" t="n">
        <v>0.124568878068574</v>
      </c>
      <c r="K134" s="19" t="n">
        <v>67.7</v>
      </c>
      <c r="L134" s="17" t="n">
        <f aca="false">IF(K134="","",RANK(K134,$K$5:$K$491))</f>
        <v>165</v>
      </c>
      <c r="M134" s="25" t="n">
        <v>0.0351758793969849</v>
      </c>
      <c r="N134" s="19" t="n">
        <v>22.1</v>
      </c>
      <c r="O134" s="17" t="n">
        <f aca="false">IF(N134="","",RANK(N134,$N$5:$N$491))</f>
        <v>385</v>
      </c>
      <c r="P134" s="17" t="str">
        <f aca="false">IF(AND(N(H134)&gt;=N(K134),N(H134)&gt;=N(N134)),"The Pulse",IF(N(K134)&gt;=N(N134),"The Lens","The Hub"))</f>
        <v>The Pulse</v>
      </c>
      <c r="Q134" s="20" t="s">
        <v>74</v>
      </c>
      <c r="R134" s="27" t="s">
        <v>671</v>
      </c>
      <c r="S134" s="17" t="s">
        <v>19</v>
      </c>
    </row>
    <row r="135" customFormat="false" ht="15" hidden="false" customHeight="false" outlineLevel="0" collapsed="false">
      <c r="A135" s="17" t="s">
        <v>1893</v>
      </c>
      <c r="B135" s="17" t="s">
        <v>1894</v>
      </c>
      <c r="C135" s="17" t="s">
        <v>2144</v>
      </c>
      <c r="D135" s="17" t="s">
        <v>138</v>
      </c>
      <c r="E135" s="18" t="n">
        <v>55559</v>
      </c>
      <c r="F135" s="17" t="s">
        <v>667</v>
      </c>
      <c r="G135" s="23" t="n">
        <v>1.97337965046167</v>
      </c>
      <c r="H135" s="19" t="n">
        <v>73.2</v>
      </c>
      <c r="I135" s="17" t="n">
        <f aca="false">IF(H135="","",RANK(H135,$H$5:$H$491))</f>
        <v>131</v>
      </c>
      <c r="J135" s="24" t="n">
        <v>0.00461087805583683</v>
      </c>
      <c r="K135" s="19" t="n">
        <v>11.7</v>
      </c>
      <c r="L135" s="17" t="n">
        <f aca="false">IF(K135="","",RANK(K135,$K$5:$K$491))</f>
        <v>431</v>
      </c>
      <c r="M135" s="25" t="n">
        <v>0.0437135720233139</v>
      </c>
      <c r="N135" s="19" t="n">
        <v>27.6</v>
      </c>
      <c r="O135" s="17" t="n">
        <f aca="false">IF(N135="","",RANK(N135,$N$5:$N$491))</f>
        <v>357</v>
      </c>
      <c r="P135" s="17" t="str">
        <f aca="false">IF(AND(N(H135)&gt;=N(K135),N(H135)&gt;=N(N135)),"The Pulse",IF(N(K135)&gt;=N(N135),"The Lens","The Hub"))</f>
        <v>The Pulse</v>
      </c>
      <c r="Q135" s="20" t="s">
        <v>74</v>
      </c>
      <c r="R135" s="26" t="s">
        <v>668</v>
      </c>
      <c r="S135" s="17" t="s">
        <v>19</v>
      </c>
    </row>
    <row r="136" customFormat="false" ht="15" hidden="false" customHeight="false" outlineLevel="0" collapsed="false">
      <c r="A136" s="17" t="s">
        <v>491</v>
      </c>
      <c r="B136" s="17" t="s">
        <v>492</v>
      </c>
      <c r="C136" s="17" t="s">
        <v>2145</v>
      </c>
      <c r="D136" s="17" t="s">
        <v>92</v>
      </c>
      <c r="E136" s="18" t="n">
        <v>36653</v>
      </c>
      <c r="F136" s="17" t="s">
        <v>667</v>
      </c>
      <c r="G136" s="23" t="n">
        <v>1.96742422175538</v>
      </c>
      <c r="H136" s="19" t="n">
        <v>73</v>
      </c>
      <c r="I136" s="17" t="n">
        <f aca="false">IF(H136="","",RANK(H136,$H$5:$H$491))</f>
        <v>132</v>
      </c>
      <c r="J136" s="24" t="n">
        <v>0.116482378384965</v>
      </c>
      <c r="K136" s="19" t="n">
        <v>62.8</v>
      </c>
      <c r="L136" s="17" t="n">
        <f aca="false">IF(K136="","",RANK(K136,$K$5:$K$491))</f>
        <v>188</v>
      </c>
      <c r="M136" s="25" t="n">
        <v>0.0830557406173662</v>
      </c>
      <c r="N136" s="19" t="n">
        <v>45.9</v>
      </c>
      <c r="O136" s="17" t="n">
        <f aca="false">IF(N136="","",RANK(N136,$N$5:$N$491))</f>
        <v>268</v>
      </c>
      <c r="P136" s="17" t="str">
        <f aca="false">IF(AND(N(H136)&gt;=N(K136),N(H136)&gt;=N(N136)),"The Pulse",IF(N(K136)&gt;=N(N136),"The Lens","The Hub"))</f>
        <v>The Pulse</v>
      </c>
      <c r="Q136" s="20" t="s">
        <v>74</v>
      </c>
      <c r="R136" s="27" t="s">
        <v>671</v>
      </c>
      <c r="S136" s="17" t="s">
        <v>19</v>
      </c>
    </row>
    <row r="137" customFormat="false" ht="15" hidden="false" customHeight="false" outlineLevel="0" collapsed="false">
      <c r="A137" s="17" t="s">
        <v>1383</v>
      </c>
      <c r="B137" s="17" t="s">
        <v>1384</v>
      </c>
      <c r="C137" s="17" t="s">
        <v>2146</v>
      </c>
      <c r="D137" s="17" t="s">
        <v>81</v>
      </c>
      <c r="E137" s="18" t="n">
        <v>299930</v>
      </c>
      <c r="F137" s="17" t="s">
        <v>670</v>
      </c>
      <c r="G137" s="23" t="n">
        <v>1.96302137165339</v>
      </c>
      <c r="H137" s="19" t="n">
        <v>72.8</v>
      </c>
      <c r="I137" s="17" t="n">
        <f aca="false">IF(H137="","",RANK(H137,$H$5:$H$491))</f>
        <v>133</v>
      </c>
      <c r="J137" s="24" t="n">
        <v>0.0288487925356751</v>
      </c>
      <c r="K137" s="19" t="n">
        <v>25.9</v>
      </c>
      <c r="L137" s="17" t="n">
        <f aca="false">IF(K137="","",RANK(K137,$K$5:$K$491))</f>
        <v>365</v>
      </c>
      <c r="M137" s="25" t="n">
        <v>0.026204203654556</v>
      </c>
      <c r="N137" s="19" t="n">
        <v>16</v>
      </c>
      <c r="O137" s="17" t="n">
        <f aca="false">IF(N137="","",RANK(N137,$N$5:$N$491))</f>
        <v>415</v>
      </c>
      <c r="P137" s="17" t="str">
        <f aca="false">IF(AND(N(H137)&gt;=N(K137),N(H137)&gt;=N(N137)),"The Pulse",IF(N(K137)&gt;=N(N137),"The Lens","The Hub"))</f>
        <v>The Pulse</v>
      </c>
      <c r="Q137" s="21" t="s">
        <v>78</v>
      </c>
      <c r="R137" s="26" t="s">
        <v>668</v>
      </c>
      <c r="S137" s="17" t="s">
        <v>21</v>
      </c>
    </row>
    <row r="138" customFormat="false" ht="15" hidden="false" customHeight="false" outlineLevel="0" collapsed="false">
      <c r="A138" s="17" t="s">
        <v>1574</v>
      </c>
      <c r="B138" s="17" t="s">
        <v>1575</v>
      </c>
      <c r="C138" s="17" t="s">
        <v>2147</v>
      </c>
      <c r="D138" s="17" t="s">
        <v>77</v>
      </c>
      <c r="E138" s="18" t="n">
        <v>57001</v>
      </c>
      <c r="F138" s="17" t="s">
        <v>667</v>
      </c>
      <c r="G138" s="23" t="n">
        <v>1.95961474360099</v>
      </c>
      <c r="H138" s="19" t="n">
        <v>72.6</v>
      </c>
      <c r="I138" s="17" t="n">
        <f aca="false">IF(H138="","",RANK(H138,$H$5:$H$491))</f>
        <v>134</v>
      </c>
      <c r="J138" s="24" t="n">
        <v>0.0757138273981392</v>
      </c>
      <c r="K138" s="19" t="n">
        <v>42.2</v>
      </c>
      <c r="L138" s="17" t="n">
        <f aca="false">IF(K138="","",RANK(K138,$K$5:$K$491))</f>
        <v>291</v>
      </c>
      <c r="M138" s="25" t="n">
        <v>0.0759519867549669</v>
      </c>
      <c r="N138" s="19" t="n">
        <v>42.1</v>
      </c>
      <c r="O138" s="17" t="n">
        <f aca="false">IF(N138="","",RANK(N138,$N$5:$N$491))</f>
        <v>288</v>
      </c>
      <c r="P138" s="17" t="str">
        <f aca="false">IF(AND(N(H138)&gt;=N(K138),N(H138)&gt;=N(N138)),"The Pulse",IF(N(K138)&gt;=N(N138),"The Lens","The Hub"))</f>
        <v>The Pulse</v>
      </c>
      <c r="Q138" s="20" t="s">
        <v>74</v>
      </c>
      <c r="R138" s="26" t="s">
        <v>668</v>
      </c>
      <c r="S138" s="17" t="s">
        <v>19</v>
      </c>
    </row>
    <row r="139" customFormat="false" ht="15" hidden="false" customHeight="false" outlineLevel="0" collapsed="false">
      <c r="A139" s="17" t="s">
        <v>190</v>
      </c>
      <c r="B139" s="17" t="s">
        <v>191</v>
      </c>
      <c r="C139" s="17" t="s">
        <v>2148</v>
      </c>
      <c r="D139" s="17" t="s">
        <v>102</v>
      </c>
      <c r="E139" s="18" t="n">
        <v>631718</v>
      </c>
      <c r="F139" s="17" t="s">
        <v>670</v>
      </c>
      <c r="G139" s="23" t="n">
        <v>1.95924922196296</v>
      </c>
      <c r="H139" s="19" t="n">
        <v>72.4</v>
      </c>
      <c r="I139" s="17" t="n">
        <f aca="false">IF(H139="","",RANK(H139,$H$5:$H$491))</f>
        <v>135</v>
      </c>
      <c r="J139" s="24" t="n">
        <v>-0.0473075177163781</v>
      </c>
      <c r="K139" s="19" t="n">
        <v>4.8</v>
      </c>
      <c r="L139" s="17" t="n">
        <f aca="false">IF(K139="","",RANK(K139,$K$5:$K$491))</f>
        <v>467</v>
      </c>
      <c r="M139" s="25" t="n">
        <v>0.0965544007934797</v>
      </c>
      <c r="N139" s="19" t="n">
        <v>52.8</v>
      </c>
      <c r="O139" s="17" t="n">
        <f aca="false">IF(N139="","",RANK(N139,$N$5:$N$491))</f>
        <v>235</v>
      </c>
      <c r="P139" s="17" t="str">
        <f aca="false">IF(AND(N(H139)&gt;=N(K139),N(H139)&gt;=N(N139)),"The Pulse",IF(N(K139)&gt;=N(N139),"The Lens","The Hub"))</f>
        <v>The Pulse</v>
      </c>
      <c r="Q139" s="20" t="s">
        <v>74</v>
      </c>
      <c r="R139" s="27" t="s">
        <v>671</v>
      </c>
      <c r="S139" s="17" t="s">
        <v>19</v>
      </c>
    </row>
    <row r="140" customFormat="false" ht="15" hidden="false" customHeight="false" outlineLevel="0" collapsed="false">
      <c r="A140" s="17" t="s">
        <v>864</v>
      </c>
      <c r="B140" s="17" t="s">
        <v>865</v>
      </c>
      <c r="C140" s="17" t="s">
        <v>2149</v>
      </c>
      <c r="D140" s="17" t="s">
        <v>105</v>
      </c>
      <c r="E140" s="18" t="n">
        <v>12804</v>
      </c>
      <c r="F140" s="17" t="s">
        <v>667</v>
      </c>
      <c r="G140" s="23" t="n">
        <v>1.95118712902218</v>
      </c>
      <c r="H140" s="19" t="n">
        <v>72.1</v>
      </c>
      <c r="I140" s="17" t="n">
        <f aca="false">IF(H140="","",RANK(H140,$H$5:$H$491))</f>
        <v>136</v>
      </c>
      <c r="J140" s="24" t="n">
        <v>0.179439941046426</v>
      </c>
      <c r="K140" s="19" t="n">
        <v>89.7</v>
      </c>
      <c r="L140" s="17" t="n">
        <f aca="false">IF(K140="","",RANK(K140,$K$5:$K$491))</f>
        <v>53</v>
      </c>
      <c r="M140" s="25" t="n">
        <v>0.252189141856392</v>
      </c>
      <c r="N140" s="19" t="n">
        <v>92.6</v>
      </c>
      <c r="O140" s="17" t="n">
        <f aca="false">IF(N140="","",RANK(N140,$N$5:$N$491))</f>
        <v>37</v>
      </c>
      <c r="P140" s="17" t="str">
        <f aca="false">IF(AND(N(H140)&gt;=N(K140),N(H140)&gt;=N(N140)),"The Pulse",IF(N(K140)&gt;=N(N140),"The Lens","The Hub"))</f>
        <v>The Hub</v>
      </c>
      <c r="Q140" s="20" t="s">
        <v>74</v>
      </c>
      <c r="R140" s="26" t="s">
        <v>668</v>
      </c>
      <c r="S140" s="17" t="s">
        <v>19</v>
      </c>
    </row>
    <row r="141" customFormat="false" ht="15" hidden="false" customHeight="false" outlineLevel="0" collapsed="false">
      <c r="A141" s="17" t="s">
        <v>155</v>
      </c>
      <c r="B141" s="17" t="s">
        <v>156</v>
      </c>
      <c r="C141" s="17" t="s">
        <v>2150</v>
      </c>
      <c r="D141" s="17" t="s">
        <v>138</v>
      </c>
      <c r="E141" s="18" t="n">
        <v>64023</v>
      </c>
      <c r="F141" s="17" t="s">
        <v>667</v>
      </c>
      <c r="G141" s="23" t="n">
        <v>1.94908079908783</v>
      </c>
      <c r="H141" s="19" t="n">
        <v>71.9</v>
      </c>
      <c r="I141" s="17" t="n">
        <f aca="false">IF(H141="","",RANK(H141,$H$5:$H$491))</f>
        <v>137</v>
      </c>
      <c r="J141" s="24" t="n">
        <v>0.0248435273967121</v>
      </c>
      <c r="K141" s="19" t="n">
        <v>18.1</v>
      </c>
      <c r="L141" s="17" t="n">
        <f aca="false">IF(K141="","",RANK(K141,$K$5:$K$491))</f>
        <v>400</v>
      </c>
      <c r="M141" s="25" t="n">
        <v>0.435425346055638</v>
      </c>
      <c r="N141" s="19" t="n">
        <v>99.6</v>
      </c>
      <c r="O141" s="17" t="n">
        <f aca="false">IF(N141="","",RANK(N141,$N$5:$N$491))</f>
        <v>3</v>
      </c>
      <c r="P141" s="17" t="str">
        <f aca="false">IF(AND(N(H141)&gt;=N(K141),N(H141)&gt;=N(N141)),"The Pulse",IF(N(K141)&gt;=N(N141),"The Lens","The Hub"))</f>
        <v>The Hub</v>
      </c>
      <c r="Q141" s="20" t="s">
        <v>74</v>
      </c>
      <c r="R141" s="27" t="s">
        <v>671</v>
      </c>
      <c r="S141" s="17" t="s">
        <v>19</v>
      </c>
    </row>
    <row r="142" customFormat="false" ht="15" hidden="false" customHeight="false" outlineLevel="0" collapsed="false">
      <c r="A142" s="17" t="s">
        <v>1813</v>
      </c>
      <c r="B142" s="17" t="s">
        <v>1814</v>
      </c>
      <c r="C142" s="17" t="s">
        <v>2151</v>
      </c>
      <c r="D142" s="17" t="s">
        <v>102</v>
      </c>
      <c r="E142" s="18" t="n">
        <v>5912</v>
      </c>
      <c r="F142" s="17" t="s">
        <v>678</v>
      </c>
      <c r="G142" s="23" t="n">
        <v>1.94350473612991</v>
      </c>
      <c r="H142" s="19" t="n">
        <v>71.7</v>
      </c>
      <c r="I142" s="17" t="n">
        <f aca="false">IF(H142="","",RANK(H142,$H$5:$H$491))</f>
        <v>138</v>
      </c>
      <c r="J142" s="24" t="n">
        <v>0.200162403572879</v>
      </c>
      <c r="K142" s="19" t="n">
        <v>92</v>
      </c>
      <c r="L142" s="17" t="n">
        <f aca="false">IF(K142="","",RANK(K142,$K$5:$K$491))</f>
        <v>41</v>
      </c>
      <c r="M142" s="25" t="n">
        <v>0.0737327188940092</v>
      </c>
      <c r="N142" s="19" t="n">
        <v>41.3</v>
      </c>
      <c r="O142" s="17" t="n">
        <f aca="false">IF(N142="","",RANK(N142,$N$5:$N$491))</f>
        <v>292</v>
      </c>
      <c r="P142" s="17" t="str">
        <f aca="false">IF(AND(N(H142)&gt;=N(K142),N(H142)&gt;=N(N142)),"The Pulse",IF(N(K142)&gt;=N(N142),"The Lens","The Hub"))</f>
        <v>The Lens</v>
      </c>
      <c r="Q142" s="20" t="s">
        <v>74</v>
      </c>
      <c r="R142" s="26" t="s">
        <v>668</v>
      </c>
      <c r="S142" s="17" t="s">
        <v>19</v>
      </c>
    </row>
    <row r="143" customFormat="false" ht="15" hidden="false" customHeight="false" outlineLevel="0" collapsed="false">
      <c r="A143" s="17" t="s">
        <v>339</v>
      </c>
      <c r="B143" s="17" t="s">
        <v>340</v>
      </c>
      <c r="C143" s="17" t="s">
        <v>2152</v>
      </c>
      <c r="D143" s="17" t="s">
        <v>114</v>
      </c>
      <c r="E143" s="18" t="n">
        <v>8604</v>
      </c>
      <c r="F143" s="17" t="s">
        <v>678</v>
      </c>
      <c r="G143" s="23" t="n">
        <v>1.94246861924686</v>
      </c>
      <c r="H143" s="19" t="n">
        <v>71.5</v>
      </c>
      <c r="I143" s="17" t="n">
        <f aca="false">IF(H143="","",RANK(H143,$H$5:$H$491))</f>
        <v>139</v>
      </c>
      <c r="J143" s="24" t="n">
        <v>-0.0637649619151251</v>
      </c>
      <c r="K143" s="19" t="n">
        <v>2.7</v>
      </c>
      <c r="L143" s="17" t="n">
        <f aca="false">IF(K143="","",RANK(K143,$K$5:$K$491))</f>
        <v>477</v>
      </c>
      <c r="M143" s="25" t="n">
        <v>0.186456400742115</v>
      </c>
      <c r="N143" s="19" t="n">
        <v>79.8</v>
      </c>
      <c r="O143" s="17" t="n">
        <f aca="false">IF(N143="","",RANK(N143,$N$5:$N$491))</f>
        <v>99</v>
      </c>
      <c r="P143" s="17" t="str">
        <f aca="false">IF(AND(N(H143)&gt;=N(K143),N(H143)&gt;=N(N143)),"The Pulse",IF(N(K143)&gt;=N(N143),"The Lens","The Hub"))</f>
        <v>The Hub</v>
      </c>
      <c r="Q143" s="20" t="s">
        <v>74</v>
      </c>
      <c r="R143" s="27" t="s">
        <v>671</v>
      </c>
      <c r="S143" s="17" t="s">
        <v>19</v>
      </c>
    </row>
    <row r="144" customFormat="false" ht="15" hidden="false" customHeight="false" outlineLevel="0" collapsed="false">
      <c r="A144" s="17" t="s">
        <v>1412</v>
      </c>
      <c r="B144" s="17" t="s">
        <v>1413</v>
      </c>
      <c r="C144" s="17" t="s">
        <v>2153</v>
      </c>
      <c r="D144" s="17" t="s">
        <v>87</v>
      </c>
      <c r="E144" s="18" t="n">
        <v>1599692</v>
      </c>
      <c r="F144" s="17" t="s">
        <v>752</v>
      </c>
      <c r="G144" s="23" t="n">
        <v>1.93469555389413</v>
      </c>
      <c r="H144" s="19" t="n">
        <v>71.3</v>
      </c>
      <c r="I144" s="17" t="n">
        <f aca="false">IF(H144="","",RANK(H144,$H$5:$H$491))</f>
        <v>140</v>
      </c>
      <c r="J144" s="24" t="n">
        <v>0.0517992517637467</v>
      </c>
      <c r="K144" s="19" t="n">
        <v>60</v>
      </c>
      <c r="L144" s="17" t="n">
        <f aca="false">IF(K144="","",RANK(K144,$K$5:$K$491))</f>
        <v>202</v>
      </c>
      <c r="M144" s="25" t="n">
        <v>0.0215233383661538</v>
      </c>
      <c r="N144" s="19" t="n">
        <v>13.3</v>
      </c>
      <c r="O144" s="17" t="n">
        <f aca="false">IF(N144="","",RANK(N144,$N$5:$N$491))</f>
        <v>429</v>
      </c>
      <c r="P144" s="17" t="str">
        <f aca="false">IF(AND(N(H144)&gt;=N(K144),N(H144)&gt;=N(N144)),"The Pulse",IF(N(K144)&gt;=N(N144),"The Lens","The Hub"))</f>
        <v>The Pulse</v>
      </c>
      <c r="Q144" s="20" t="s">
        <v>74</v>
      </c>
      <c r="R144" s="26" t="s">
        <v>668</v>
      </c>
      <c r="S144" s="17" t="s">
        <v>19</v>
      </c>
    </row>
    <row r="145" customFormat="false" ht="15" hidden="false" customHeight="false" outlineLevel="0" collapsed="false">
      <c r="A145" s="17" t="s">
        <v>2154</v>
      </c>
      <c r="B145" s="17" t="s">
        <v>2155</v>
      </c>
      <c r="C145" s="17" t="s">
        <v>2156</v>
      </c>
      <c r="D145" s="17" t="s">
        <v>114</v>
      </c>
      <c r="E145" s="18" t="n">
        <v>101839</v>
      </c>
      <c r="F145" s="17" t="s">
        <v>670</v>
      </c>
      <c r="G145" s="23" t="n">
        <v>1.93452410176848</v>
      </c>
      <c r="H145" s="19" t="n">
        <v>71.1</v>
      </c>
      <c r="I145" s="17" t="n">
        <f aca="false">IF(H145="","",RANK(H145,$H$5:$H$491))</f>
        <v>141</v>
      </c>
      <c r="J145" s="24" t="n">
        <v>0.0476940012139543</v>
      </c>
      <c r="K145" s="19" t="n">
        <v>32.5</v>
      </c>
      <c r="L145" s="17" t="n">
        <f aca="false">IF(K145="","",RANK(K145,$K$5:$K$491))</f>
        <v>334</v>
      </c>
      <c r="M145" s="25" t="n">
        <v>0.251758921759769</v>
      </c>
      <c r="N145" s="19" t="n">
        <v>92.4</v>
      </c>
      <c r="O145" s="17" t="n">
        <f aca="false">IF(N145="","",RANK(N145,$N$5:$N$491))</f>
        <v>38</v>
      </c>
      <c r="P145" s="17" t="str">
        <f aca="false">IF(AND(N(H145)&gt;=N(K145),N(H145)&gt;=N(N145)),"The Pulse",IF(N(K145)&gt;=N(N145),"The Lens","The Hub"))</f>
        <v>The Hub</v>
      </c>
      <c r="Q145" s="21" t="s">
        <v>78</v>
      </c>
      <c r="R145" s="26" t="s">
        <v>668</v>
      </c>
      <c r="S145" s="17" t="s">
        <v>126</v>
      </c>
    </row>
    <row r="146" customFormat="false" ht="15" hidden="false" customHeight="false" outlineLevel="0" collapsed="false">
      <c r="A146" s="17" t="s">
        <v>305</v>
      </c>
      <c r="B146" s="17" t="s">
        <v>306</v>
      </c>
      <c r="C146" s="17" t="s">
        <v>2157</v>
      </c>
      <c r="D146" s="17" t="s">
        <v>87</v>
      </c>
      <c r="E146" s="18" t="n">
        <v>677730</v>
      </c>
      <c r="F146" s="17" t="s">
        <v>670</v>
      </c>
      <c r="G146" s="23" t="n">
        <v>1.90982544671182</v>
      </c>
      <c r="H146" s="19" t="n">
        <v>70.9</v>
      </c>
      <c r="I146" s="17" t="n">
        <f aca="false">IF(H146="","",RANK(H146,$H$5:$H$491))</f>
        <v>142</v>
      </c>
      <c r="J146" s="24" t="n">
        <v>0.105270882938126</v>
      </c>
      <c r="K146" s="19" t="n">
        <v>61.4</v>
      </c>
      <c r="L146" s="17" t="n">
        <f aca="false">IF(K146="","",RANK(K146,$K$5:$K$491))</f>
        <v>194</v>
      </c>
      <c r="M146" s="25" t="n">
        <v>0.150539369352757</v>
      </c>
      <c r="N146" s="19" t="n">
        <v>71</v>
      </c>
      <c r="O146" s="17" t="n">
        <f aca="false">IF(N146="","",RANK(N146,$N$5:$N$491))</f>
        <v>144</v>
      </c>
      <c r="P146" s="17" t="str">
        <f aca="false">IF(AND(N(H146)&gt;=N(K146),N(H146)&gt;=N(N146)),"The Pulse",IF(N(K146)&gt;=N(N146),"The Lens","The Hub"))</f>
        <v>The Hub</v>
      </c>
      <c r="Q146" s="20" t="s">
        <v>74</v>
      </c>
      <c r="R146" s="27" t="s">
        <v>671</v>
      </c>
      <c r="S146" s="17" t="s">
        <v>19</v>
      </c>
    </row>
    <row r="147" customFormat="false" ht="15" hidden="false" customHeight="false" outlineLevel="0" collapsed="false">
      <c r="A147" s="17" t="s">
        <v>1607</v>
      </c>
      <c r="B147" s="17" t="s">
        <v>1608</v>
      </c>
      <c r="C147" s="17" t="s">
        <v>2158</v>
      </c>
      <c r="D147" s="17" t="s">
        <v>114</v>
      </c>
      <c r="E147" s="18" t="n">
        <v>92577</v>
      </c>
      <c r="F147" s="17" t="s">
        <v>667</v>
      </c>
      <c r="G147" s="23" t="n">
        <v>1.90622940903248</v>
      </c>
      <c r="H147" s="19" t="n">
        <v>70.7</v>
      </c>
      <c r="I147" s="17" t="n">
        <f aca="false">IF(H147="","",RANK(H147,$H$5:$H$491))</f>
        <v>143</v>
      </c>
      <c r="J147" s="24" t="n">
        <v>0.110621910840252</v>
      </c>
      <c r="K147" s="19" t="n">
        <v>59.9</v>
      </c>
      <c r="L147" s="17" t="n">
        <f aca="false">IF(K147="","",RANK(K147,$K$5:$K$491))</f>
        <v>204</v>
      </c>
      <c r="M147" s="25" t="n">
        <v>0.223111212710024</v>
      </c>
      <c r="N147" s="19" t="n">
        <v>88</v>
      </c>
      <c r="O147" s="17" t="n">
        <f aca="false">IF(N147="","",RANK(N147,$N$5:$N$491))</f>
        <v>60</v>
      </c>
      <c r="P147" s="17" t="str">
        <f aca="false">IF(AND(N(H147)&gt;=N(K147),N(H147)&gt;=N(N147)),"The Pulse",IF(N(K147)&gt;=N(N147),"The Lens","The Hub"))</f>
        <v>The Hub</v>
      </c>
      <c r="Q147" s="20" t="s">
        <v>74</v>
      </c>
      <c r="R147" s="26" t="s">
        <v>668</v>
      </c>
      <c r="S147" s="17" t="s">
        <v>19</v>
      </c>
    </row>
    <row r="148" customFormat="false" ht="15" hidden="false" customHeight="false" outlineLevel="0" collapsed="false">
      <c r="A148" s="17" t="s">
        <v>1751</v>
      </c>
      <c r="B148" s="17" t="s">
        <v>1752</v>
      </c>
      <c r="C148" s="17" t="s">
        <v>2159</v>
      </c>
      <c r="D148" s="17" t="s">
        <v>105</v>
      </c>
      <c r="E148" s="18" t="n">
        <v>678607</v>
      </c>
      <c r="F148" s="17" t="s">
        <v>670</v>
      </c>
      <c r="G148" s="23" t="n">
        <v>1.90606492417555</v>
      </c>
      <c r="H148" s="19" t="n">
        <v>70.5</v>
      </c>
      <c r="I148" s="17" t="n">
        <f aca="false">IF(H148="","",RANK(H148,$H$5:$H$491))</f>
        <v>144</v>
      </c>
      <c r="J148" s="24" t="n">
        <v>6.89369535204786</v>
      </c>
      <c r="K148" s="19" t="n">
        <v>99.4</v>
      </c>
      <c r="L148" s="17" t="n">
        <f aca="false">IF(K148="","",RANK(K148,$K$5:$K$491))</f>
        <v>6</v>
      </c>
      <c r="M148" s="25" t="n">
        <v>0.0765768675840386</v>
      </c>
      <c r="N148" s="19" t="n">
        <v>42.7</v>
      </c>
      <c r="O148" s="17" t="n">
        <f aca="false">IF(N148="","",RANK(N148,$N$5:$N$491))</f>
        <v>285</v>
      </c>
      <c r="P148" s="17" t="str">
        <f aca="false">IF(AND(N(H148)&gt;=N(K148),N(H148)&gt;=N(N148)),"The Pulse",IF(N(K148)&gt;=N(N148),"The Lens","The Hub"))</f>
        <v>The Lens</v>
      </c>
      <c r="Q148" s="21" t="s">
        <v>78</v>
      </c>
      <c r="R148" s="26" t="s">
        <v>668</v>
      </c>
      <c r="S148" s="17" t="s">
        <v>126</v>
      </c>
    </row>
    <row r="149" customFormat="false" ht="15" hidden="false" customHeight="false" outlineLevel="0" collapsed="false">
      <c r="A149" s="17" t="s">
        <v>2160</v>
      </c>
      <c r="B149" s="17" t="s">
        <v>2161</v>
      </c>
      <c r="C149" s="17" t="s">
        <v>2162</v>
      </c>
      <c r="D149" s="17" t="s">
        <v>72</v>
      </c>
      <c r="E149" s="18" t="n">
        <v>27314</v>
      </c>
      <c r="F149" s="17" t="s">
        <v>667</v>
      </c>
      <c r="G149" s="23" t="n">
        <v>1.90243098777184</v>
      </c>
      <c r="H149" s="19" t="n">
        <v>70.3</v>
      </c>
      <c r="I149" s="17" t="n">
        <f aca="false">IF(H149="","",RANK(H149,$H$5:$H$491))</f>
        <v>145</v>
      </c>
      <c r="J149" s="24" t="n">
        <v>0.0351701659971197</v>
      </c>
      <c r="K149" s="19" t="n">
        <v>23.4</v>
      </c>
      <c r="L149" s="17" t="n">
        <f aca="false">IF(K149="","",RANK(K149,$K$5:$K$491))</f>
        <v>376</v>
      </c>
      <c r="M149" s="25" t="n">
        <v>0.193150684931507</v>
      </c>
      <c r="N149" s="19" t="n">
        <v>81.3</v>
      </c>
      <c r="O149" s="17" t="n">
        <f aca="false">IF(N149="","",RANK(N149,$N$5:$N$491))</f>
        <v>91</v>
      </c>
      <c r="P149" s="17" t="str">
        <f aca="false">IF(AND(N(H149)&gt;=N(K149),N(H149)&gt;=N(N149)),"The Pulse",IF(N(K149)&gt;=N(N149),"The Lens","The Hub"))</f>
        <v>The Hub</v>
      </c>
      <c r="Q149" s="20" t="s">
        <v>74</v>
      </c>
      <c r="R149" s="26" t="s">
        <v>668</v>
      </c>
      <c r="S149" s="17" t="s">
        <v>19</v>
      </c>
    </row>
    <row r="150" customFormat="false" ht="15" hidden="false" customHeight="false" outlineLevel="0" collapsed="false">
      <c r="A150" s="17" t="s">
        <v>387</v>
      </c>
      <c r="B150" s="17" t="s">
        <v>388</v>
      </c>
      <c r="C150" s="17" t="s">
        <v>2163</v>
      </c>
      <c r="D150" s="17" t="s">
        <v>138</v>
      </c>
      <c r="E150" s="18" t="n">
        <v>25824</v>
      </c>
      <c r="F150" s="17" t="s">
        <v>667</v>
      </c>
      <c r="G150" s="23" t="n">
        <v>1.8822800495663</v>
      </c>
      <c r="H150" s="19" t="n">
        <v>70.2</v>
      </c>
      <c r="I150" s="17" t="n">
        <f aca="false">IF(H150="","",RANK(H150,$H$5:$H$491))</f>
        <v>146</v>
      </c>
      <c r="J150" s="24" t="n">
        <v>-0.0276742347226929</v>
      </c>
      <c r="K150" s="19" t="n">
        <v>5.3</v>
      </c>
      <c r="L150" s="17" t="n">
        <f aca="false">IF(K150="","",RANK(K150,$K$5:$K$491))</f>
        <v>464</v>
      </c>
      <c r="M150" s="25" t="n">
        <v>0.228029602220167</v>
      </c>
      <c r="N150" s="19" t="n">
        <v>89</v>
      </c>
      <c r="O150" s="17" t="n">
        <f aca="false">IF(N150="","",RANK(N150,$N$5:$N$491))</f>
        <v>56</v>
      </c>
      <c r="P150" s="17" t="str">
        <f aca="false">IF(AND(N(H150)&gt;=N(K150),N(H150)&gt;=N(N150)),"The Pulse",IF(N(K150)&gt;=N(N150),"The Lens","The Hub"))</f>
        <v>The Hub</v>
      </c>
      <c r="Q150" s="20" t="s">
        <v>74</v>
      </c>
      <c r="R150" s="27" t="s">
        <v>671</v>
      </c>
      <c r="S150" s="17" t="s">
        <v>19</v>
      </c>
    </row>
    <row r="151" customFormat="false" ht="15" hidden="false" customHeight="false" outlineLevel="0" collapsed="false">
      <c r="A151" s="17" t="s">
        <v>299</v>
      </c>
      <c r="B151" s="17" t="s">
        <v>300</v>
      </c>
      <c r="C151" s="17" t="s">
        <v>2164</v>
      </c>
      <c r="D151" s="17" t="s">
        <v>138</v>
      </c>
      <c r="E151" s="18" t="n">
        <v>15139</v>
      </c>
      <c r="F151" s="17" t="s">
        <v>667</v>
      </c>
      <c r="G151" s="23" t="n">
        <v>1.8748266067772</v>
      </c>
      <c r="H151" s="19" t="n">
        <v>70</v>
      </c>
      <c r="I151" s="17" t="n">
        <f aca="false">IF(H151="","",RANK(H151,$H$5:$H$491))</f>
        <v>147</v>
      </c>
      <c r="J151" s="24" t="n">
        <v>0.10738058664326</v>
      </c>
      <c r="K151" s="19" t="n">
        <v>57.4</v>
      </c>
      <c r="L151" s="17" t="n">
        <f aca="false">IF(K151="","",RANK(K151,$K$5:$K$491))</f>
        <v>214</v>
      </c>
      <c r="M151" s="25" t="n">
        <v>0.0424403183023873</v>
      </c>
      <c r="N151" s="19" t="n">
        <v>27</v>
      </c>
      <c r="O151" s="17" t="n">
        <f aca="false">IF(N151="","",RANK(N151,$N$5:$N$491))</f>
        <v>360</v>
      </c>
      <c r="P151" s="17" t="str">
        <f aca="false">IF(AND(N(H151)&gt;=N(K151),N(H151)&gt;=N(N151)),"The Pulse",IF(N(K151)&gt;=N(N151),"The Lens","The Hub"))</f>
        <v>The Pulse</v>
      </c>
      <c r="Q151" s="20" t="s">
        <v>74</v>
      </c>
      <c r="R151" s="27" t="s">
        <v>671</v>
      </c>
      <c r="S151" s="17" t="s">
        <v>19</v>
      </c>
    </row>
    <row r="152" customFormat="false" ht="15" hidden="false" customHeight="false" outlineLevel="0" collapsed="false">
      <c r="A152" s="17" t="s">
        <v>397</v>
      </c>
      <c r="B152" s="17" t="s">
        <v>398</v>
      </c>
      <c r="C152" s="17" t="s">
        <v>2165</v>
      </c>
      <c r="D152" s="17" t="s">
        <v>138</v>
      </c>
      <c r="E152" s="18" t="n">
        <v>99862</v>
      </c>
      <c r="F152" s="17" t="s">
        <v>667</v>
      </c>
      <c r="G152" s="23" t="n">
        <v>1.86993050409565</v>
      </c>
      <c r="H152" s="19" t="n">
        <v>69.8</v>
      </c>
      <c r="I152" s="17" t="n">
        <f aca="false">IF(H152="","",RANK(H152,$H$5:$H$491))</f>
        <v>148</v>
      </c>
      <c r="J152" s="24" t="n">
        <v>0.0214807389374195</v>
      </c>
      <c r="K152" s="19" t="n">
        <v>16.7</v>
      </c>
      <c r="L152" s="17" t="n">
        <f aca="false">IF(K152="","",RANK(K152,$K$5:$K$491))</f>
        <v>408</v>
      </c>
      <c r="M152" s="25" t="n">
        <v>0.039117929050815</v>
      </c>
      <c r="N152" s="19" t="n">
        <v>25.1</v>
      </c>
      <c r="O152" s="17" t="n">
        <f aca="false">IF(N152="","",RANK(N152,$N$5:$N$491))</f>
        <v>370</v>
      </c>
      <c r="P152" s="17" t="str">
        <f aca="false">IF(AND(N(H152)&gt;=N(K152),N(H152)&gt;=N(N152)),"The Pulse",IF(N(K152)&gt;=N(N152),"The Lens","The Hub"))</f>
        <v>The Pulse</v>
      </c>
      <c r="Q152" s="20" t="s">
        <v>74</v>
      </c>
      <c r="R152" s="27" t="s">
        <v>671</v>
      </c>
      <c r="S152" s="17" t="s">
        <v>19</v>
      </c>
    </row>
    <row r="153" customFormat="false" ht="15" hidden="false" customHeight="false" outlineLevel="0" collapsed="false">
      <c r="A153" s="17" t="s">
        <v>2166</v>
      </c>
      <c r="B153" s="17" t="s">
        <v>2167</v>
      </c>
      <c r="C153" s="17" t="s">
        <v>2168</v>
      </c>
      <c r="D153" s="17" t="s">
        <v>87</v>
      </c>
      <c r="E153" s="18" t="n">
        <v>82072</v>
      </c>
      <c r="F153" s="17" t="s">
        <v>667</v>
      </c>
      <c r="G153" s="23" t="n">
        <v>1.85288527146895</v>
      </c>
      <c r="H153" s="19" t="n">
        <v>69.6</v>
      </c>
      <c r="I153" s="17" t="n">
        <f aca="false">IF(H153="","",RANK(H153,$H$5:$H$491))</f>
        <v>149</v>
      </c>
      <c r="J153" s="24" t="n">
        <v>0.106718088405836</v>
      </c>
      <c r="K153" s="19" t="n">
        <v>56.7</v>
      </c>
      <c r="L153" s="17" t="n">
        <f aca="false">IF(K153="","",RANK(K153,$K$5:$K$491))</f>
        <v>218</v>
      </c>
      <c r="M153" s="25" t="n">
        <v>0.215823560301068</v>
      </c>
      <c r="N153" s="19" t="n">
        <v>85.7</v>
      </c>
      <c r="O153" s="17" t="n">
        <f aca="false">IF(N153="","",RANK(N153,$N$5:$N$491))</f>
        <v>71</v>
      </c>
      <c r="P153" s="17" t="str">
        <f aca="false">IF(AND(N(H153)&gt;=N(K153),N(H153)&gt;=N(N153)),"The Pulse",IF(N(K153)&gt;=N(N153),"The Lens","The Hub"))</f>
        <v>The Hub</v>
      </c>
      <c r="Q153" s="20" t="s">
        <v>74</v>
      </c>
      <c r="R153" s="26" t="s">
        <v>668</v>
      </c>
      <c r="S153" s="17" t="s">
        <v>19</v>
      </c>
    </row>
    <row r="154" customFormat="false" ht="15" hidden="false" customHeight="false" outlineLevel="0" collapsed="false">
      <c r="A154" s="17" t="s">
        <v>2169</v>
      </c>
      <c r="B154" s="17" t="s">
        <v>2170</v>
      </c>
      <c r="C154" s="17" t="s">
        <v>2171</v>
      </c>
      <c r="D154" s="17" t="s">
        <v>87</v>
      </c>
      <c r="E154" s="18" t="n">
        <v>11474</v>
      </c>
      <c r="F154" s="17" t="s">
        <v>667</v>
      </c>
      <c r="G154" s="23" t="n">
        <v>1.85244901516472</v>
      </c>
      <c r="H154" s="19" t="n">
        <v>69.4</v>
      </c>
      <c r="I154" s="17" t="n">
        <f aca="false">IF(H154="","",RANK(H154,$H$5:$H$491))</f>
        <v>150</v>
      </c>
      <c r="J154" s="24" t="n">
        <v>0.127001276888321</v>
      </c>
      <c r="K154" s="19" t="n">
        <v>69.1</v>
      </c>
      <c r="L154" s="17" t="n">
        <f aca="false">IF(K154="","",RANK(K154,$K$5:$K$491))</f>
        <v>158</v>
      </c>
      <c r="M154" s="25" t="n">
        <v>0.112328767123288</v>
      </c>
      <c r="N154" s="19" t="n">
        <v>60</v>
      </c>
      <c r="O154" s="17" t="n">
        <f aca="false">IF(N154="","",RANK(N154,$N$5:$N$491))</f>
        <v>198</v>
      </c>
      <c r="P154" s="17" t="str">
        <f aca="false">IF(AND(N(H154)&gt;=N(K154),N(H154)&gt;=N(N154)),"The Pulse",IF(N(K154)&gt;=N(N154),"The Lens","The Hub"))</f>
        <v>The Pulse</v>
      </c>
      <c r="Q154" s="20" t="s">
        <v>74</v>
      </c>
      <c r="R154" s="26" t="s">
        <v>668</v>
      </c>
      <c r="S154" s="17" t="s">
        <v>19</v>
      </c>
    </row>
    <row r="155" customFormat="false" ht="15" hidden="false" customHeight="false" outlineLevel="0" collapsed="false">
      <c r="A155" s="17" t="s">
        <v>1630</v>
      </c>
      <c r="B155" s="17" t="s">
        <v>1631</v>
      </c>
      <c r="C155" s="17" t="s">
        <v>2172</v>
      </c>
      <c r="D155" s="17" t="s">
        <v>138</v>
      </c>
      <c r="E155" s="18" t="n">
        <v>26916</v>
      </c>
      <c r="F155" s="17" t="s">
        <v>667</v>
      </c>
      <c r="G155" s="23" t="n">
        <v>1.84982909793431</v>
      </c>
      <c r="H155" s="19" t="n">
        <v>69.2</v>
      </c>
      <c r="I155" s="17" t="n">
        <f aca="false">IF(H155="","",RANK(H155,$H$5:$H$491))</f>
        <v>151</v>
      </c>
      <c r="J155" s="24" t="n">
        <v>0.243118418621836</v>
      </c>
      <c r="K155" s="19" t="n">
        <v>98.2</v>
      </c>
      <c r="L155" s="17" t="n">
        <f aca="false">IF(K155="","",RANK(K155,$K$5:$K$491))</f>
        <v>11</v>
      </c>
      <c r="M155" s="25" t="n">
        <v>0.109011627906977</v>
      </c>
      <c r="N155" s="19" t="n">
        <v>59.2</v>
      </c>
      <c r="O155" s="17" t="n">
        <f aca="false">IF(N155="","",RANK(N155,$N$5:$N$491))</f>
        <v>202</v>
      </c>
      <c r="P155" s="17" t="str">
        <f aca="false">IF(AND(N(H155)&gt;=N(K155),N(H155)&gt;=N(N155)),"The Pulse",IF(N(K155)&gt;=N(N155),"The Lens","The Hub"))</f>
        <v>The Lens</v>
      </c>
      <c r="Q155" s="20" t="s">
        <v>74</v>
      </c>
      <c r="R155" s="26" t="s">
        <v>668</v>
      </c>
      <c r="S155" s="17" t="s">
        <v>19</v>
      </c>
    </row>
    <row r="156" customFormat="false" ht="15" hidden="false" customHeight="false" outlineLevel="0" collapsed="false">
      <c r="A156" s="17" t="s">
        <v>2173</v>
      </c>
      <c r="B156" s="17" t="s">
        <v>2174</v>
      </c>
      <c r="C156" s="17" t="s">
        <v>2175</v>
      </c>
      <c r="D156" s="17" t="s">
        <v>138</v>
      </c>
      <c r="E156" s="18" t="n">
        <v>784</v>
      </c>
      <c r="F156" s="17" t="s">
        <v>678</v>
      </c>
      <c r="G156" s="23" t="n">
        <v>1.8469387755102</v>
      </c>
      <c r="H156" s="19" t="n">
        <v>69</v>
      </c>
      <c r="I156" s="17" t="n">
        <f aca="false">IF(H156="","",RANK(H156,$H$5:$H$491))</f>
        <v>152</v>
      </c>
      <c r="J156" s="24" t="n">
        <v>0.0537634408602151</v>
      </c>
      <c r="K156" s="19" t="n">
        <v>29.3</v>
      </c>
      <c r="L156" s="17" t="n">
        <f aca="false">IF(K156="","",RANK(K156,$K$5:$K$491))</f>
        <v>349</v>
      </c>
      <c r="M156" s="25" t="n">
        <v>0.05</v>
      </c>
      <c r="N156" s="19" t="n">
        <v>31.8</v>
      </c>
      <c r="O156" s="17" t="n">
        <f aca="false">IF(N156="","",RANK(N156,$N$5:$N$491))</f>
        <v>337</v>
      </c>
      <c r="P156" s="17" t="str">
        <f aca="false">IF(AND(N(H156)&gt;=N(K156),N(H156)&gt;=N(N156)),"The Pulse",IF(N(K156)&gt;=N(N156),"The Lens","The Hub"))</f>
        <v>The Pulse</v>
      </c>
      <c r="Q156" s="20" t="s">
        <v>74</v>
      </c>
      <c r="R156" s="26" t="s">
        <v>668</v>
      </c>
      <c r="S156" s="17" t="s">
        <v>19</v>
      </c>
    </row>
    <row r="157" customFormat="false" ht="15" hidden="false" customHeight="false" outlineLevel="0" collapsed="false">
      <c r="A157" s="17" t="s">
        <v>253</v>
      </c>
      <c r="B157" s="17" t="s">
        <v>254</v>
      </c>
      <c r="C157" s="17" t="s">
        <v>2176</v>
      </c>
      <c r="D157" s="17" t="s">
        <v>102</v>
      </c>
      <c r="E157" s="18" t="n">
        <v>27580</v>
      </c>
      <c r="F157" s="17" t="s">
        <v>667</v>
      </c>
      <c r="G157" s="23" t="n">
        <v>1.82868020304569</v>
      </c>
      <c r="H157" s="19" t="n">
        <v>68.8</v>
      </c>
      <c r="I157" s="17" t="n">
        <f aca="false">IF(H157="","",RANK(H157,$H$5:$H$491))</f>
        <v>153</v>
      </c>
      <c r="J157" s="24" t="n">
        <v>0.0781860828772479</v>
      </c>
      <c r="K157" s="19" t="n">
        <v>43.3</v>
      </c>
      <c r="L157" s="17" t="n">
        <f aca="false">IF(K157="","",RANK(K157,$K$5:$K$491))</f>
        <v>286</v>
      </c>
      <c r="M157" s="25" t="n">
        <v>0.203805708562844</v>
      </c>
      <c r="N157" s="19" t="n">
        <v>83.4</v>
      </c>
      <c r="O157" s="17" t="n">
        <f aca="false">IF(N157="","",RANK(N157,$N$5:$N$491))</f>
        <v>83</v>
      </c>
      <c r="P157" s="17" t="str">
        <f aca="false">IF(AND(N(H157)&gt;=N(K157),N(H157)&gt;=N(N157)),"The Pulse",IF(N(K157)&gt;=N(N157),"The Lens","The Hub"))</f>
        <v>The Hub</v>
      </c>
      <c r="Q157" s="21" t="s">
        <v>78</v>
      </c>
      <c r="R157" s="27" t="s">
        <v>671</v>
      </c>
      <c r="S157" s="17" t="s">
        <v>21</v>
      </c>
    </row>
    <row r="158" customFormat="false" ht="15" hidden="false" customHeight="false" outlineLevel="0" collapsed="false">
      <c r="A158" s="17" t="s">
        <v>331</v>
      </c>
      <c r="B158" s="17" t="s">
        <v>332</v>
      </c>
      <c r="C158" s="17" t="s">
        <v>2177</v>
      </c>
      <c r="D158" s="17" t="s">
        <v>87</v>
      </c>
      <c r="E158" s="18" t="n">
        <v>11123</v>
      </c>
      <c r="F158" s="17" t="s">
        <v>667</v>
      </c>
      <c r="G158" s="23" t="n">
        <v>1.81830441427672</v>
      </c>
      <c r="H158" s="19" t="n">
        <v>68.6</v>
      </c>
      <c r="I158" s="17" t="n">
        <f aca="false">IF(H158="","",RANK(H158,$H$5:$H$491))</f>
        <v>154</v>
      </c>
      <c r="J158" s="24" t="n">
        <v>0.164956011730205</v>
      </c>
      <c r="K158" s="19" t="n">
        <v>83.7</v>
      </c>
      <c r="L158" s="17" t="n">
        <f aca="false">IF(K158="","",RANK(K158,$K$5:$K$491))</f>
        <v>82</v>
      </c>
      <c r="M158" s="25" t="n">
        <v>0.186086956521739</v>
      </c>
      <c r="N158" s="19" t="n">
        <v>79.6</v>
      </c>
      <c r="O158" s="17" t="n">
        <f aca="false">IF(N158="","",RANK(N158,$N$5:$N$491))</f>
        <v>100</v>
      </c>
      <c r="P158" s="17" t="str">
        <f aca="false">IF(AND(N(H158)&gt;=N(K158),N(H158)&gt;=N(N158)),"The Pulse",IF(N(K158)&gt;=N(N158),"The Lens","The Hub"))</f>
        <v>The Lens</v>
      </c>
      <c r="Q158" s="20" t="s">
        <v>74</v>
      </c>
      <c r="R158" s="27" t="s">
        <v>671</v>
      </c>
      <c r="S158" s="17" t="s">
        <v>19</v>
      </c>
    </row>
    <row r="159" customFormat="false" ht="15" hidden="false" customHeight="false" outlineLevel="0" collapsed="false">
      <c r="A159" s="17" t="s">
        <v>1205</v>
      </c>
      <c r="B159" s="17" t="s">
        <v>1206</v>
      </c>
      <c r="C159" s="17" t="s">
        <v>2178</v>
      </c>
      <c r="D159" s="17" t="s">
        <v>72</v>
      </c>
      <c r="E159" s="18" t="n">
        <v>437824</v>
      </c>
      <c r="F159" s="17" t="s">
        <v>670</v>
      </c>
      <c r="G159" s="23" t="n">
        <v>1.81432950226575</v>
      </c>
      <c r="H159" s="19" t="n">
        <v>68.4</v>
      </c>
      <c r="I159" s="17" t="n">
        <f aca="false">IF(H159="","",RANK(H159,$H$5:$H$491))</f>
        <v>155</v>
      </c>
      <c r="J159" s="24" t="n">
        <v>-0.0119739128472457</v>
      </c>
      <c r="K159" s="19" t="n">
        <v>10.8</v>
      </c>
      <c r="L159" s="17" t="n">
        <f aca="false">IF(K159="","",RANK(K159,$K$5:$K$491))</f>
        <v>435</v>
      </c>
      <c r="M159" s="25" t="n">
        <v>0.0332450103890657</v>
      </c>
      <c r="N159" s="19" t="n">
        <v>21</v>
      </c>
      <c r="O159" s="17" t="n">
        <f aca="false">IF(N159="","",RANK(N159,$N$5:$N$491))</f>
        <v>390</v>
      </c>
      <c r="P159" s="17" t="str">
        <f aca="false">IF(AND(N(H159)&gt;=N(K159),N(H159)&gt;=N(N159)),"The Pulse",IF(N(K159)&gt;=N(N159),"The Lens","The Hub"))</f>
        <v>The Pulse</v>
      </c>
      <c r="Q159" s="20" t="s">
        <v>74</v>
      </c>
      <c r="R159" s="26" t="s">
        <v>668</v>
      </c>
      <c r="S159" s="17" t="s">
        <v>19</v>
      </c>
    </row>
    <row r="160" customFormat="false" ht="15" hidden="false" customHeight="false" outlineLevel="0" collapsed="false">
      <c r="A160" s="17" t="s">
        <v>297</v>
      </c>
      <c r="B160" s="17" t="s">
        <v>298</v>
      </c>
      <c r="C160" s="17" t="s">
        <v>2179</v>
      </c>
      <c r="D160" s="17" t="s">
        <v>102</v>
      </c>
      <c r="E160" s="18" t="n">
        <v>9535</v>
      </c>
      <c r="F160" s="17" t="s">
        <v>678</v>
      </c>
      <c r="G160" s="23" t="n">
        <v>1.80723649711589</v>
      </c>
      <c r="H160" s="19" t="n">
        <v>68.3</v>
      </c>
      <c r="I160" s="17" t="n">
        <f aca="false">IF(H160="","",RANK(H160,$H$5:$H$491))</f>
        <v>156</v>
      </c>
      <c r="J160" s="24" t="n">
        <v>0.0588561910049972</v>
      </c>
      <c r="K160" s="19" t="n">
        <v>32</v>
      </c>
      <c r="L160" s="17" t="n">
        <f aca="false">IF(K160="","",RANK(K160,$K$5:$K$491))</f>
        <v>336</v>
      </c>
      <c r="M160" s="25" t="n">
        <v>0.149338374291115</v>
      </c>
      <c r="N160" s="19" t="n">
        <v>70.9</v>
      </c>
      <c r="O160" s="17" t="n">
        <f aca="false">IF(N160="","",RANK(N160,$N$5:$N$491))</f>
        <v>145</v>
      </c>
      <c r="P160" s="17" t="str">
        <f aca="false">IF(AND(N(H160)&gt;=N(K160),N(H160)&gt;=N(N160)),"The Pulse",IF(N(K160)&gt;=N(N160),"The Lens","The Hub"))</f>
        <v>The Hub</v>
      </c>
      <c r="Q160" s="20" t="s">
        <v>74</v>
      </c>
      <c r="R160" s="27" t="s">
        <v>671</v>
      </c>
      <c r="S160" s="17" t="s">
        <v>19</v>
      </c>
    </row>
    <row r="161" customFormat="false" ht="15" hidden="false" customHeight="false" outlineLevel="0" collapsed="false">
      <c r="A161" s="17" t="s">
        <v>269</v>
      </c>
      <c r="B161" s="17" t="s">
        <v>270</v>
      </c>
      <c r="C161" s="17" t="s">
        <v>2180</v>
      </c>
      <c r="D161" s="17" t="s">
        <v>81</v>
      </c>
      <c r="E161" s="18" t="n">
        <v>979150</v>
      </c>
      <c r="F161" s="17" t="s">
        <v>670</v>
      </c>
      <c r="G161" s="23" t="n">
        <v>1.80410355920952</v>
      </c>
      <c r="H161" s="19" t="n">
        <v>68.1</v>
      </c>
      <c r="I161" s="17" t="n">
        <f aca="false">IF(H161="","",RANK(H161,$H$5:$H$491))</f>
        <v>157</v>
      </c>
      <c r="J161" s="24" t="n">
        <v>-0.0254324167763178</v>
      </c>
      <c r="K161" s="19" t="n">
        <v>7.8</v>
      </c>
      <c r="L161" s="17" t="n">
        <f aca="false">IF(K161="","",RANK(K161,$K$5:$K$491))</f>
        <v>451</v>
      </c>
      <c r="M161" s="25" t="n">
        <v>0.118610120754278</v>
      </c>
      <c r="N161" s="19" t="n">
        <v>63</v>
      </c>
      <c r="O161" s="17" t="n">
        <f aca="false">IF(N161="","",RANK(N161,$N$5:$N$491))</f>
        <v>183</v>
      </c>
      <c r="P161" s="17" t="str">
        <f aca="false">IF(AND(N(H161)&gt;=N(K161),N(H161)&gt;=N(N161)),"The Pulse",IF(N(K161)&gt;=N(N161),"The Lens","The Hub"))</f>
        <v>The Pulse</v>
      </c>
      <c r="Q161" s="20" t="s">
        <v>74</v>
      </c>
      <c r="R161" s="27" t="s">
        <v>671</v>
      </c>
      <c r="S161" s="17" t="s">
        <v>19</v>
      </c>
    </row>
    <row r="162" customFormat="false" ht="15" hidden="false" customHeight="false" outlineLevel="0" collapsed="false">
      <c r="A162" s="17" t="s">
        <v>173</v>
      </c>
      <c r="B162" s="17" t="s">
        <v>174</v>
      </c>
      <c r="C162" s="17" t="s">
        <v>2181</v>
      </c>
      <c r="D162" s="17" t="s">
        <v>92</v>
      </c>
      <c r="E162" s="18" t="n">
        <v>33686</v>
      </c>
      <c r="F162" s="17" t="s">
        <v>667</v>
      </c>
      <c r="G162" s="23" t="n">
        <v>1.79516713174613</v>
      </c>
      <c r="H162" s="19" t="n">
        <v>67.9</v>
      </c>
      <c r="I162" s="17" t="n">
        <f aca="false">IF(H162="","",RANK(H162,$H$5:$H$491))</f>
        <v>158</v>
      </c>
      <c r="J162" s="24" t="n">
        <v>0.0523915148864382</v>
      </c>
      <c r="K162" s="19" t="n">
        <v>30.9</v>
      </c>
      <c r="L162" s="17" t="n">
        <f aca="false">IF(K162="","",RANK(K162,$K$5:$K$491))</f>
        <v>342</v>
      </c>
      <c r="M162" s="25" t="n">
        <v>0.0920692798541477</v>
      </c>
      <c r="N162" s="19" t="n">
        <v>50.1</v>
      </c>
      <c r="O162" s="17" t="n">
        <f aca="false">IF(N162="","",RANK(N162,$N$5:$N$491))</f>
        <v>246</v>
      </c>
      <c r="P162" s="17" t="str">
        <f aca="false">IF(AND(N(H162)&gt;=N(K162),N(H162)&gt;=N(N162)),"The Pulse",IF(N(K162)&gt;=N(N162),"The Lens","The Hub"))</f>
        <v>The Pulse</v>
      </c>
      <c r="Q162" s="20" t="s">
        <v>74</v>
      </c>
      <c r="R162" s="27" t="s">
        <v>671</v>
      </c>
      <c r="S162" s="17" t="s">
        <v>19</v>
      </c>
    </row>
    <row r="163" customFormat="false" ht="15" hidden="false" customHeight="false" outlineLevel="0" collapsed="false">
      <c r="A163" s="17" t="s">
        <v>1763</v>
      </c>
      <c r="B163" s="17" t="s">
        <v>1764</v>
      </c>
      <c r="C163" s="17" t="s">
        <v>2182</v>
      </c>
      <c r="D163" s="17" t="s">
        <v>102</v>
      </c>
      <c r="E163" s="18" t="n">
        <v>4722</v>
      </c>
      <c r="F163" s="17" t="s">
        <v>678</v>
      </c>
      <c r="G163" s="23" t="n">
        <v>1.78843710292249</v>
      </c>
      <c r="H163" s="19" t="n">
        <v>67.7</v>
      </c>
      <c r="I163" s="17" t="n">
        <f aca="false">IF(H163="","",RANK(H163,$H$5:$H$491))</f>
        <v>159</v>
      </c>
      <c r="J163" s="24" t="n">
        <v>0.248545742993125</v>
      </c>
      <c r="K163" s="19" t="n">
        <v>97.3</v>
      </c>
      <c r="L163" s="17" t="n">
        <f aca="false">IF(K163="","",RANK(K163,$K$5:$K$491))</f>
        <v>16</v>
      </c>
      <c r="M163" s="25" t="n">
        <v>0.0246305418719212</v>
      </c>
      <c r="N163" s="19" t="n">
        <v>14.9</v>
      </c>
      <c r="O163" s="17" t="n">
        <f aca="false">IF(N163="","",RANK(N163,$N$5:$N$491))</f>
        <v>421</v>
      </c>
      <c r="P163" s="17" t="str">
        <f aca="false">IF(AND(N(H163)&gt;=N(K163),N(H163)&gt;=N(N163)),"The Pulse",IF(N(K163)&gt;=N(N163),"The Lens","The Hub"))</f>
        <v>The Lens</v>
      </c>
      <c r="Q163" s="20" t="s">
        <v>74</v>
      </c>
      <c r="R163" s="26" t="s">
        <v>668</v>
      </c>
      <c r="S163" s="17" t="s">
        <v>19</v>
      </c>
    </row>
    <row r="164" customFormat="false" ht="15" hidden="false" customHeight="false" outlineLevel="0" collapsed="false">
      <c r="A164" s="17" t="s">
        <v>2183</v>
      </c>
      <c r="B164" s="17" t="s">
        <v>2184</v>
      </c>
      <c r="C164" s="17" t="s">
        <v>2185</v>
      </c>
      <c r="D164" s="17" t="s">
        <v>138</v>
      </c>
      <c r="E164" s="18" t="n">
        <v>11212</v>
      </c>
      <c r="F164" s="17" t="s">
        <v>667</v>
      </c>
      <c r="G164" s="23" t="n">
        <v>1.77604352479486</v>
      </c>
      <c r="H164" s="19" t="n">
        <v>67.5</v>
      </c>
      <c r="I164" s="17" t="n">
        <f aca="false">IF(H164="","",RANK(H164,$H$5:$H$491))</f>
        <v>160</v>
      </c>
      <c r="J164" s="24" t="n">
        <v>0.249387118341877</v>
      </c>
      <c r="K164" s="19" t="n">
        <v>98.9</v>
      </c>
      <c r="L164" s="17" t="n">
        <f aca="false">IF(K164="","",RANK(K164,$K$5:$K$491))</f>
        <v>8</v>
      </c>
      <c r="M164" s="25" t="n">
        <v>0.15678776290631</v>
      </c>
      <c r="N164" s="19" t="n">
        <v>73</v>
      </c>
      <c r="O164" s="17" t="n">
        <f aca="false">IF(N164="","",RANK(N164,$N$5:$N$491))</f>
        <v>134</v>
      </c>
      <c r="P164" s="17" t="str">
        <f aca="false">IF(AND(N(H164)&gt;=N(K164),N(H164)&gt;=N(N164)),"The Pulse",IF(N(K164)&gt;=N(N164),"The Lens","The Hub"))</f>
        <v>The Lens</v>
      </c>
      <c r="Q164" s="20" t="s">
        <v>74</v>
      </c>
      <c r="R164" s="26" t="s">
        <v>668</v>
      </c>
      <c r="S164" s="17" t="s">
        <v>19</v>
      </c>
    </row>
    <row r="165" customFormat="false" ht="15" hidden="false" customHeight="false" outlineLevel="0" collapsed="false">
      <c r="A165" s="17" t="s">
        <v>1186</v>
      </c>
      <c r="B165" s="17" t="s">
        <v>1187</v>
      </c>
      <c r="C165" s="17" t="s">
        <v>2186</v>
      </c>
      <c r="D165" s="17" t="s">
        <v>77</v>
      </c>
      <c r="E165" s="18" t="n">
        <v>31294</v>
      </c>
      <c r="F165" s="17" t="s">
        <v>667</v>
      </c>
      <c r="G165" s="23" t="n">
        <v>1.77110628235445</v>
      </c>
      <c r="H165" s="19" t="n">
        <v>67.3</v>
      </c>
      <c r="I165" s="17" t="n">
        <f aca="false">IF(H165="","",RANK(H165,$H$5:$H$491))</f>
        <v>161</v>
      </c>
      <c r="J165" s="24" t="n">
        <v>0.122252106867492</v>
      </c>
      <c r="K165" s="19" t="n">
        <v>67</v>
      </c>
      <c r="L165" s="17" t="n">
        <f aca="false">IF(K165="","",RANK(K165,$K$5:$K$491))</f>
        <v>167</v>
      </c>
      <c r="M165" s="25" t="n">
        <v>0.00384368994234465</v>
      </c>
      <c r="N165" s="19" t="n">
        <v>3.8</v>
      </c>
      <c r="O165" s="17" t="n">
        <f aca="false">IF(N165="","",RANK(N165,$N$5:$N$491))</f>
        <v>470</v>
      </c>
      <c r="P165" s="17" t="str">
        <f aca="false">IF(AND(N(H165)&gt;=N(K165),N(H165)&gt;=N(N165)),"The Pulse",IF(N(K165)&gt;=N(N165),"The Lens","The Hub"))</f>
        <v>The Pulse</v>
      </c>
      <c r="Q165" s="20" t="s">
        <v>74</v>
      </c>
      <c r="R165" s="26" t="s">
        <v>668</v>
      </c>
      <c r="S165" s="17" t="s">
        <v>19</v>
      </c>
    </row>
    <row r="166" customFormat="false" ht="15" hidden="false" customHeight="false" outlineLevel="0" collapsed="false">
      <c r="A166" s="17" t="s">
        <v>509</v>
      </c>
      <c r="B166" s="17" t="s">
        <v>510</v>
      </c>
      <c r="C166" s="17" t="s">
        <v>2187</v>
      </c>
      <c r="D166" s="17" t="s">
        <v>92</v>
      </c>
      <c r="E166" s="18" t="n">
        <v>216031</v>
      </c>
      <c r="F166" s="17" t="s">
        <v>670</v>
      </c>
      <c r="G166" s="23" t="n">
        <v>1.76964880040365</v>
      </c>
      <c r="H166" s="19" t="n">
        <v>67.1</v>
      </c>
      <c r="I166" s="17" t="n">
        <f aca="false">IF(H166="","",RANK(H166,$H$5:$H$491))</f>
        <v>162</v>
      </c>
      <c r="J166" s="24" t="n">
        <v>0.0593182107936882</v>
      </c>
      <c r="K166" s="19" t="n">
        <v>38.6</v>
      </c>
      <c r="L166" s="17" t="n">
        <f aca="false">IF(K166="","",RANK(K166,$K$5:$K$491))</f>
        <v>310</v>
      </c>
      <c r="M166" s="25" t="n">
        <v>0.188348161207003</v>
      </c>
      <c r="N166" s="19" t="n">
        <v>80.4</v>
      </c>
      <c r="O166" s="17" t="n">
        <f aca="false">IF(N166="","",RANK(N166,$N$5:$N$491))</f>
        <v>96</v>
      </c>
      <c r="P166" s="17" t="str">
        <f aca="false">IF(AND(N(H166)&gt;=N(K166),N(H166)&gt;=N(N166)),"The Pulse",IF(N(K166)&gt;=N(N166),"The Lens","The Hub"))</f>
        <v>The Hub</v>
      </c>
      <c r="Q166" s="20" t="s">
        <v>74</v>
      </c>
      <c r="R166" s="27" t="s">
        <v>671</v>
      </c>
      <c r="S166" s="17" t="s">
        <v>19</v>
      </c>
    </row>
    <row r="167" customFormat="false" ht="15" hidden="false" customHeight="false" outlineLevel="0" collapsed="false">
      <c r="A167" s="17" t="s">
        <v>998</v>
      </c>
      <c r="B167" s="17" t="s">
        <v>999</v>
      </c>
      <c r="C167" s="17" t="s">
        <v>2188</v>
      </c>
      <c r="D167" s="17" t="s">
        <v>92</v>
      </c>
      <c r="E167" s="18" t="n">
        <v>20832</v>
      </c>
      <c r="F167" s="17" t="s">
        <v>667</v>
      </c>
      <c r="G167" s="23" t="n">
        <v>1.74251152073733</v>
      </c>
      <c r="H167" s="19" t="n">
        <v>66.9</v>
      </c>
      <c r="I167" s="17" t="n">
        <f aca="false">IF(H167="","",RANK(H167,$H$5:$H$491))</f>
        <v>163</v>
      </c>
      <c r="J167" s="24" t="n">
        <v>0.238451935081149</v>
      </c>
      <c r="K167" s="19" t="n">
        <v>97.9</v>
      </c>
      <c r="L167" s="17" t="n">
        <f aca="false">IF(K167="","",RANK(K167,$K$5:$K$491))</f>
        <v>13</v>
      </c>
      <c r="M167" s="25" t="n">
        <v>0.0821484992101106</v>
      </c>
      <c r="N167" s="19" t="n">
        <v>45.5</v>
      </c>
      <c r="O167" s="17" t="n">
        <f aca="false">IF(N167="","",RANK(N167,$N$5:$N$491))</f>
        <v>270</v>
      </c>
      <c r="P167" s="17" t="str">
        <f aca="false">IF(AND(N(H167)&gt;=N(K167),N(H167)&gt;=N(N167)),"The Pulse",IF(N(K167)&gt;=N(N167),"The Lens","The Hub"))</f>
        <v>The Lens</v>
      </c>
      <c r="Q167" s="20" t="s">
        <v>74</v>
      </c>
      <c r="R167" s="26" t="s">
        <v>668</v>
      </c>
      <c r="S167" s="17" t="s">
        <v>19</v>
      </c>
    </row>
    <row r="168" customFormat="false" ht="15" hidden="false" customHeight="false" outlineLevel="0" collapsed="false">
      <c r="A168" s="17" t="s">
        <v>854</v>
      </c>
      <c r="B168" s="17" t="s">
        <v>855</v>
      </c>
      <c r="C168" s="17" t="s">
        <v>2189</v>
      </c>
      <c r="D168" s="17" t="s">
        <v>133</v>
      </c>
      <c r="E168" s="18" t="n">
        <v>20005</v>
      </c>
      <c r="F168" s="17" t="s">
        <v>667</v>
      </c>
      <c r="G168" s="23" t="n">
        <v>1.73341664583854</v>
      </c>
      <c r="H168" s="19" t="n">
        <v>66.7</v>
      </c>
      <c r="I168" s="17" t="n">
        <f aca="false">IF(H168="","",RANK(H168,$H$5:$H$491))</f>
        <v>164</v>
      </c>
      <c r="J168" s="24" t="n">
        <v>0.119849977608598</v>
      </c>
      <c r="K168" s="19" t="n">
        <v>65.2</v>
      </c>
      <c r="L168" s="17" t="n">
        <f aca="false">IF(K168="","",RANK(K168,$K$5:$K$491))</f>
        <v>176</v>
      </c>
      <c r="M168" s="25" t="n">
        <v>0.221343873517787</v>
      </c>
      <c r="N168" s="19" t="n">
        <v>87.2</v>
      </c>
      <c r="O168" s="17" t="n">
        <f aca="false">IF(N168="","",RANK(N168,$N$5:$N$491))</f>
        <v>64</v>
      </c>
      <c r="P168" s="17" t="str">
        <f aca="false">IF(AND(N(H168)&gt;=N(K168),N(H168)&gt;=N(N168)),"The Pulse",IF(N(K168)&gt;=N(N168),"The Lens","The Hub"))</f>
        <v>The Hub</v>
      </c>
      <c r="Q168" s="20" t="s">
        <v>74</v>
      </c>
      <c r="R168" s="26" t="s">
        <v>668</v>
      </c>
      <c r="S168" s="17" t="s">
        <v>19</v>
      </c>
    </row>
    <row r="169" customFormat="false" ht="15" hidden="false" customHeight="false" outlineLevel="0" collapsed="false">
      <c r="A169" s="17" t="s">
        <v>1903</v>
      </c>
      <c r="B169" s="17" t="s">
        <v>1904</v>
      </c>
      <c r="C169" s="17" t="s">
        <v>2190</v>
      </c>
      <c r="D169" s="17" t="s">
        <v>81</v>
      </c>
      <c r="E169" s="18" t="n">
        <v>94960</v>
      </c>
      <c r="F169" s="17" t="s">
        <v>667</v>
      </c>
      <c r="G169" s="23" t="n">
        <v>1.73334035383319</v>
      </c>
      <c r="H169" s="19" t="n">
        <v>66.5</v>
      </c>
      <c r="I169" s="17" t="n">
        <f aca="false">IF(H169="","",RANK(H169,$H$5:$H$491))</f>
        <v>165</v>
      </c>
      <c r="J169" s="24" t="n">
        <v>0.202832279883973</v>
      </c>
      <c r="K169" s="19" t="n">
        <v>93.6</v>
      </c>
      <c r="L169" s="17" t="n">
        <f aca="false">IF(K169="","",RANK(K169,$K$5:$K$491))</f>
        <v>34</v>
      </c>
      <c r="M169" s="25" t="n">
        <v>0.000795861520095503</v>
      </c>
      <c r="N169" s="19" t="n">
        <v>1.9</v>
      </c>
      <c r="O169" s="17" t="n">
        <f aca="false">IF(N169="","",RANK(N169,$N$5:$N$491))</f>
        <v>478</v>
      </c>
      <c r="P169" s="17" t="str">
        <f aca="false">IF(AND(N(H169)&gt;=N(K169),N(H169)&gt;=N(N169)),"The Pulse",IF(N(K169)&gt;=N(N169),"The Lens","The Hub"))</f>
        <v>The Lens</v>
      </c>
      <c r="Q169" s="20" t="s">
        <v>74</v>
      </c>
      <c r="R169" s="26" t="s">
        <v>668</v>
      </c>
      <c r="S169" s="17" t="s">
        <v>19</v>
      </c>
    </row>
    <row r="170" customFormat="false" ht="15" hidden="false" customHeight="false" outlineLevel="0" collapsed="false">
      <c r="A170" s="17" t="s">
        <v>233</v>
      </c>
      <c r="B170" s="17" t="s">
        <v>234</v>
      </c>
      <c r="C170" s="17" t="s">
        <v>2191</v>
      </c>
      <c r="D170" s="17" t="s">
        <v>92</v>
      </c>
      <c r="E170" s="18" t="n">
        <v>24643</v>
      </c>
      <c r="F170" s="17" t="s">
        <v>667</v>
      </c>
      <c r="G170" s="23" t="n">
        <v>1.72580448808992</v>
      </c>
      <c r="H170" s="19" t="n">
        <v>66.3</v>
      </c>
      <c r="I170" s="17" t="n">
        <f aca="false">IF(H170="","",RANK(H170,$H$5:$H$491))</f>
        <v>166</v>
      </c>
      <c r="J170" s="24" t="n">
        <v>0.0488168198842356</v>
      </c>
      <c r="K170" s="19" t="n">
        <v>29.8</v>
      </c>
      <c r="L170" s="17" t="n">
        <f aca="false">IF(K170="","",RANK(K170,$K$5:$K$491))</f>
        <v>347</v>
      </c>
      <c r="M170" s="25" t="n">
        <v>0.207484865162356</v>
      </c>
      <c r="N170" s="19" t="n">
        <v>84.6</v>
      </c>
      <c r="O170" s="17" t="n">
        <f aca="false">IF(N170="","",RANK(N170,$N$5:$N$491))</f>
        <v>77</v>
      </c>
      <c r="P170" s="17" t="str">
        <f aca="false">IF(AND(N(H170)&gt;=N(K170),N(H170)&gt;=N(N170)),"The Pulse",IF(N(K170)&gt;=N(N170),"The Lens","The Hub"))</f>
        <v>The Hub</v>
      </c>
      <c r="Q170" s="20" t="s">
        <v>74</v>
      </c>
      <c r="R170" s="27" t="s">
        <v>671</v>
      </c>
      <c r="S170" s="17" t="s">
        <v>19</v>
      </c>
    </row>
    <row r="171" customFormat="false" ht="15" hidden="false" customHeight="false" outlineLevel="0" collapsed="false">
      <c r="A171" s="17" t="s">
        <v>1432</v>
      </c>
      <c r="B171" s="17" t="s">
        <v>1433</v>
      </c>
      <c r="C171" s="17" t="s">
        <v>2192</v>
      </c>
      <c r="D171" s="17" t="s">
        <v>133</v>
      </c>
      <c r="E171" s="18" t="n">
        <v>11271</v>
      </c>
      <c r="F171" s="17" t="s">
        <v>667</v>
      </c>
      <c r="G171" s="23" t="n">
        <v>1.72451424008517</v>
      </c>
      <c r="H171" s="19" t="n">
        <v>66.2</v>
      </c>
      <c r="I171" s="17" t="n">
        <f aca="false">IF(H171="","",RANK(H171,$H$5:$H$491))</f>
        <v>167</v>
      </c>
      <c r="J171" s="24" t="n">
        <v>0.159687210618376</v>
      </c>
      <c r="K171" s="19" t="n">
        <v>80.9</v>
      </c>
      <c r="L171" s="17" t="n">
        <f aca="false">IF(K171="","",RANK(K171,$K$5:$K$491))</f>
        <v>97</v>
      </c>
      <c r="M171" s="25" t="n">
        <v>0.082378223495702</v>
      </c>
      <c r="N171" s="19" t="n">
        <v>45.7</v>
      </c>
      <c r="O171" s="17" t="n">
        <f aca="false">IF(N171="","",RANK(N171,$N$5:$N$491))</f>
        <v>269</v>
      </c>
      <c r="P171" s="17" t="str">
        <f aca="false">IF(AND(N(H171)&gt;=N(K171),N(H171)&gt;=N(N171)),"The Pulse",IF(N(K171)&gt;=N(N171),"The Lens","The Hub"))</f>
        <v>The Lens</v>
      </c>
      <c r="Q171" s="20" t="s">
        <v>74</v>
      </c>
      <c r="R171" s="26" t="s">
        <v>668</v>
      </c>
      <c r="S171" s="17" t="s">
        <v>19</v>
      </c>
    </row>
    <row r="172" customFormat="false" ht="15" hidden="false" customHeight="false" outlineLevel="0" collapsed="false">
      <c r="A172" s="17" t="s">
        <v>2193</v>
      </c>
      <c r="B172" s="17" t="s">
        <v>2194</v>
      </c>
      <c r="C172" s="17" t="s">
        <v>2195</v>
      </c>
      <c r="D172" s="17" t="s">
        <v>72</v>
      </c>
      <c r="E172" s="18" t="n">
        <v>101442</v>
      </c>
      <c r="F172" s="17" t="s">
        <v>670</v>
      </c>
      <c r="G172" s="23" t="n">
        <v>1.72328029810138</v>
      </c>
      <c r="H172" s="19" t="n">
        <v>66</v>
      </c>
      <c r="I172" s="17" t="n">
        <f aca="false">IF(H172="","",RANK(H172,$H$5:$H$491))</f>
        <v>168</v>
      </c>
      <c r="J172" s="24" t="n">
        <v>0.137191157347204</v>
      </c>
      <c r="K172" s="19" t="n">
        <v>74.7</v>
      </c>
      <c r="L172" s="17" t="n">
        <f aca="false">IF(K172="","",RANK(K172,$K$5:$K$491))</f>
        <v>129</v>
      </c>
      <c r="M172" s="25" t="n">
        <v>0.16231884057971</v>
      </c>
      <c r="N172" s="19" t="n">
        <v>73.9</v>
      </c>
      <c r="O172" s="17" t="n">
        <f aca="false">IF(N172="","",RANK(N172,$N$5:$N$491))</f>
        <v>129</v>
      </c>
      <c r="P172" s="17" t="str">
        <f aca="false">IF(AND(N(H172)&gt;=N(K172),N(H172)&gt;=N(N172)),"The Pulse",IF(N(K172)&gt;=N(N172),"The Lens","The Hub"))</f>
        <v>The Lens</v>
      </c>
      <c r="Q172" s="20" t="s">
        <v>74</v>
      </c>
      <c r="R172" s="26" t="s">
        <v>668</v>
      </c>
      <c r="S172" s="17" t="s">
        <v>19</v>
      </c>
    </row>
    <row r="173" customFormat="false" ht="15" hidden="false" customHeight="false" outlineLevel="0" collapsed="false">
      <c r="A173" s="17" t="s">
        <v>2196</v>
      </c>
      <c r="B173" s="17" t="s">
        <v>2197</v>
      </c>
      <c r="C173" s="17" t="s">
        <v>2198</v>
      </c>
      <c r="D173" s="17" t="s">
        <v>133</v>
      </c>
      <c r="E173" s="18" t="n">
        <v>4376</v>
      </c>
      <c r="F173" s="17" t="s">
        <v>678</v>
      </c>
      <c r="G173" s="23" t="n">
        <v>1.71412248628885</v>
      </c>
      <c r="H173" s="19" t="n">
        <v>65.8</v>
      </c>
      <c r="I173" s="17" t="n">
        <f aca="false">IF(H173="","",RANK(H173,$H$5:$H$491))</f>
        <v>169</v>
      </c>
      <c r="J173" s="24" t="n">
        <v>0.0738650306748466</v>
      </c>
      <c r="K173" s="19" t="n">
        <v>40</v>
      </c>
      <c r="L173" s="17" t="n">
        <f aca="false">IF(K173="","",RANK(K173,$K$5:$K$491))</f>
        <v>302</v>
      </c>
      <c r="M173" s="25" t="n">
        <v>0.12958435207824</v>
      </c>
      <c r="N173" s="19" t="n">
        <v>65.1</v>
      </c>
      <c r="O173" s="17" t="n">
        <f aca="false">IF(N173="","",RANK(N173,$N$5:$N$491))</f>
        <v>173</v>
      </c>
      <c r="P173" s="17" t="str">
        <f aca="false">IF(AND(N(H173)&gt;=N(K173),N(H173)&gt;=N(N173)),"The Pulse",IF(N(K173)&gt;=N(N173),"The Lens","The Hub"))</f>
        <v>The Pulse</v>
      </c>
      <c r="Q173" s="20" t="s">
        <v>74</v>
      </c>
      <c r="R173" s="26" t="s">
        <v>668</v>
      </c>
      <c r="S173" s="17" t="s">
        <v>19</v>
      </c>
    </row>
    <row r="174" customFormat="false" ht="15" hidden="false" customHeight="false" outlineLevel="0" collapsed="false">
      <c r="A174" s="17" t="s">
        <v>1229</v>
      </c>
      <c r="B174" s="17" t="s">
        <v>1230</v>
      </c>
      <c r="C174" s="17" t="s">
        <v>2199</v>
      </c>
      <c r="D174" s="17" t="s">
        <v>81</v>
      </c>
      <c r="E174" s="18" t="n">
        <v>115691</v>
      </c>
      <c r="F174" s="17" t="s">
        <v>670</v>
      </c>
      <c r="G174" s="23" t="n">
        <v>1.71106654795965</v>
      </c>
      <c r="H174" s="19" t="n">
        <v>65.6</v>
      </c>
      <c r="I174" s="17" t="n">
        <f aca="false">IF(H174="","",RANK(H174,$H$5:$H$491))</f>
        <v>170</v>
      </c>
      <c r="J174" s="24" t="n">
        <v>0.133414321123118</v>
      </c>
      <c r="K174" s="19" t="n">
        <v>72.9</v>
      </c>
      <c r="L174" s="17" t="n">
        <f aca="false">IF(K174="","",RANK(K174,$K$5:$K$491))</f>
        <v>139</v>
      </c>
      <c r="M174" s="25" t="n">
        <v>0.0846646400620917</v>
      </c>
      <c r="N174" s="19" t="n">
        <v>46.9</v>
      </c>
      <c r="O174" s="17" t="n">
        <f aca="false">IF(N174="","",RANK(N174,$N$5:$N$491))</f>
        <v>263</v>
      </c>
      <c r="P174" s="17" t="str">
        <f aca="false">IF(AND(N(H174)&gt;=N(K174),N(H174)&gt;=N(N174)),"The Pulse",IF(N(K174)&gt;=N(N174),"The Lens","The Hub"))</f>
        <v>The Lens</v>
      </c>
      <c r="Q174" s="20" t="s">
        <v>74</v>
      </c>
      <c r="R174" s="26" t="s">
        <v>668</v>
      </c>
      <c r="S174" s="17" t="s">
        <v>19</v>
      </c>
    </row>
    <row r="175" customFormat="false" ht="15" hidden="false" customHeight="false" outlineLevel="0" collapsed="false">
      <c r="A175" s="17" t="s">
        <v>1179</v>
      </c>
      <c r="B175" s="17" t="s">
        <v>1180</v>
      </c>
      <c r="C175" s="17" t="s">
        <v>2200</v>
      </c>
      <c r="D175" s="17" t="s">
        <v>81</v>
      </c>
      <c r="E175" s="18" t="n">
        <v>156280</v>
      </c>
      <c r="F175" s="17" t="s">
        <v>670</v>
      </c>
      <c r="G175" s="23" t="n">
        <v>1.69888021499872</v>
      </c>
      <c r="H175" s="19" t="n">
        <v>65.4</v>
      </c>
      <c r="I175" s="17" t="n">
        <f aca="false">IF(H175="","",RANK(H175,$H$5:$H$491))</f>
        <v>171</v>
      </c>
      <c r="J175" s="24" t="n">
        <v>0.140588394140873</v>
      </c>
      <c r="K175" s="19" t="n">
        <v>75.3</v>
      </c>
      <c r="L175" s="17" t="n">
        <f aca="false">IF(K175="","",RANK(K175,$K$5:$K$491))</f>
        <v>126</v>
      </c>
      <c r="M175" s="25" t="n">
        <v>0.0858749030757302</v>
      </c>
      <c r="N175" s="19" t="n">
        <v>47.6</v>
      </c>
      <c r="O175" s="17" t="n">
        <f aca="false">IF(N175="","",RANK(N175,$N$5:$N$491))</f>
        <v>259</v>
      </c>
      <c r="P175" s="17" t="str">
        <f aca="false">IF(AND(N(H175)&gt;=N(K175),N(H175)&gt;=N(N175)),"The Pulse",IF(N(K175)&gt;=N(N175),"The Lens","The Hub"))</f>
        <v>The Lens</v>
      </c>
      <c r="Q175" s="20" t="s">
        <v>74</v>
      </c>
      <c r="R175" s="26" t="s">
        <v>668</v>
      </c>
      <c r="S175" s="17" t="s">
        <v>19</v>
      </c>
    </row>
    <row r="176" customFormat="false" ht="15" hidden="false" customHeight="false" outlineLevel="0" collapsed="false">
      <c r="A176" s="17" t="s">
        <v>451</v>
      </c>
      <c r="B176" s="17" t="s">
        <v>452</v>
      </c>
      <c r="C176" s="17" t="s">
        <v>2201</v>
      </c>
      <c r="D176" s="17" t="s">
        <v>72</v>
      </c>
      <c r="E176" s="18" t="n">
        <v>32500</v>
      </c>
      <c r="F176" s="17" t="s">
        <v>667</v>
      </c>
      <c r="G176" s="23" t="n">
        <v>1.69843076923077</v>
      </c>
      <c r="H176" s="19" t="n">
        <v>65.2</v>
      </c>
      <c r="I176" s="17" t="n">
        <f aca="false">IF(H176="","",RANK(H176,$H$5:$H$491))</f>
        <v>172</v>
      </c>
      <c r="J176" s="24" t="n">
        <v>-0.0697607379648314</v>
      </c>
      <c r="K176" s="19" t="n">
        <v>1.1</v>
      </c>
      <c r="L176" s="17" t="n">
        <f aca="false">IF(K176="","",RANK(K176,$K$5:$K$491))</f>
        <v>484</v>
      </c>
      <c r="M176" s="25" t="n">
        <v>0.151929260450161</v>
      </c>
      <c r="N176" s="19" t="n">
        <v>71.4</v>
      </c>
      <c r="O176" s="17" t="n">
        <f aca="false">IF(N176="","",RANK(N176,$N$5:$N$491))</f>
        <v>142</v>
      </c>
      <c r="P176" s="17" t="str">
        <f aca="false">IF(AND(N(H176)&gt;=N(K176),N(H176)&gt;=N(N176)),"The Pulse",IF(N(K176)&gt;=N(N176),"The Lens","The Hub"))</f>
        <v>The Hub</v>
      </c>
      <c r="Q176" s="21" t="s">
        <v>78</v>
      </c>
      <c r="R176" s="27" t="s">
        <v>671</v>
      </c>
      <c r="S176" s="17" t="s">
        <v>126</v>
      </c>
    </row>
    <row r="177" customFormat="false" ht="15" hidden="false" customHeight="false" outlineLevel="0" collapsed="false">
      <c r="A177" s="17" t="s">
        <v>2202</v>
      </c>
      <c r="B177" s="17" t="s">
        <v>2203</v>
      </c>
      <c r="C177" s="17" t="s">
        <v>2204</v>
      </c>
      <c r="D177" s="17" t="s">
        <v>105</v>
      </c>
      <c r="E177" s="18" t="n">
        <v>142865</v>
      </c>
      <c r="F177" s="17" t="s">
        <v>670</v>
      </c>
      <c r="G177" s="23" t="n">
        <v>1.69775662338571</v>
      </c>
      <c r="H177" s="19" t="n">
        <v>65</v>
      </c>
      <c r="I177" s="17" t="n">
        <f aca="false">IF(H177="","",RANK(H177,$H$5:$H$491))</f>
        <v>173</v>
      </c>
      <c r="J177" s="24" t="n">
        <v>0.0121000021252931</v>
      </c>
      <c r="K177" s="19" t="n">
        <v>18.7</v>
      </c>
      <c r="L177" s="17" t="n">
        <f aca="false">IF(K177="","",RANK(K177,$K$5:$K$491))</f>
        <v>397</v>
      </c>
      <c r="M177" s="25" t="n">
        <v>0.0299047725121123</v>
      </c>
      <c r="N177" s="19" t="n">
        <v>19</v>
      </c>
      <c r="O177" s="17" t="n">
        <f aca="false">IF(N177="","",RANK(N177,$N$5:$N$491))</f>
        <v>400</v>
      </c>
      <c r="P177" s="17" t="str">
        <f aca="false">IF(AND(N(H177)&gt;=N(K177),N(H177)&gt;=N(N177)),"The Pulse",IF(N(K177)&gt;=N(N177),"The Lens","The Hub"))</f>
        <v>The Pulse</v>
      </c>
      <c r="Q177" s="20" t="s">
        <v>74</v>
      </c>
      <c r="R177" s="26" t="s">
        <v>668</v>
      </c>
      <c r="S177" s="17" t="s">
        <v>19</v>
      </c>
    </row>
    <row r="178" customFormat="false" ht="15" hidden="false" customHeight="false" outlineLevel="0" collapsed="false">
      <c r="A178" s="17" t="s">
        <v>1080</v>
      </c>
      <c r="B178" s="17" t="s">
        <v>1081</v>
      </c>
      <c r="C178" s="17" t="s">
        <v>2205</v>
      </c>
      <c r="D178" s="17" t="s">
        <v>92</v>
      </c>
      <c r="E178" s="18" t="n">
        <v>7061</v>
      </c>
      <c r="F178" s="17" t="s">
        <v>678</v>
      </c>
      <c r="G178" s="23" t="n">
        <v>1.68205636595383</v>
      </c>
      <c r="H178" s="19" t="n">
        <v>64.8</v>
      </c>
      <c r="I178" s="17" t="n">
        <f aca="false">IF(H178="","",RANK(H178,$H$5:$H$491))</f>
        <v>174</v>
      </c>
      <c r="J178" s="24" t="n">
        <v>0.133750802825947</v>
      </c>
      <c r="K178" s="19" t="n">
        <v>64</v>
      </c>
      <c r="L178" s="17" t="n">
        <f aca="false">IF(K178="","",RANK(K178,$K$5:$K$491))</f>
        <v>182</v>
      </c>
      <c r="M178" s="25" t="n">
        <v>0.117924528301887</v>
      </c>
      <c r="N178" s="19" t="n">
        <v>62.7</v>
      </c>
      <c r="O178" s="17" t="n">
        <f aca="false">IF(N178="","",RANK(N178,$N$5:$N$491))</f>
        <v>185</v>
      </c>
      <c r="P178" s="17" t="str">
        <f aca="false">IF(AND(N(H178)&gt;=N(K178),N(H178)&gt;=N(N178)),"The Pulse",IF(N(K178)&gt;=N(N178),"The Lens","The Hub"))</f>
        <v>The Pulse</v>
      </c>
      <c r="Q178" s="22" t="s">
        <v>83</v>
      </c>
      <c r="R178" s="26" t="s">
        <v>668</v>
      </c>
      <c r="S178" s="17" t="s">
        <v>84</v>
      </c>
    </row>
    <row r="179" customFormat="false" ht="15" hidden="false" customHeight="false" outlineLevel="0" collapsed="false">
      <c r="A179" s="17" t="s">
        <v>431</v>
      </c>
      <c r="B179" s="17" t="s">
        <v>432</v>
      </c>
      <c r="C179" s="17" t="s">
        <v>2206</v>
      </c>
      <c r="D179" s="17" t="s">
        <v>105</v>
      </c>
      <c r="E179" s="18" t="n">
        <v>8780</v>
      </c>
      <c r="F179" s="17" t="s">
        <v>678</v>
      </c>
      <c r="G179" s="23" t="n">
        <v>1.674715261959</v>
      </c>
      <c r="H179" s="19" t="n">
        <v>64.6</v>
      </c>
      <c r="I179" s="17" t="n">
        <f aca="false">IF(H179="","",RANK(H179,$H$5:$H$491))</f>
        <v>175</v>
      </c>
      <c r="J179" s="24" t="n">
        <v>0.0591073582629674</v>
      </c>
      <c r="K179" s="19" t="n">
        <v>36</v>
      </c>
      <c r="L179" s="17" t="n">
        <f aca="false">IF(K179="","",RANK(K179,$K$5:$K$491))</f>
        <v>318</v>
      </c>
      <c r="M179" s="25" t="n">
        <v>0.134275618374558</v>
      </c>
      <c r="N179" s="19" t="n">
        <v>67.2</v>
      </c>
      <c r="O179" s="17" t="n">
        <f aca="false">IF(N179="","",RANK(N179,$N$5:$N$491))</f>
        <v>162</v>
      </c>
      <c r="P179" s="17" t="str">
        <f aca="false">IF(AND(N(H179)&gt;=N(K179),N(H179)&gt;=N(N179)),"The Pulse",IF(N(K179)&gt;=N(N179),"The Lens","The Hub"))</f>
        <v>The Hub</v>
      </c>
      <c r="Q179" s="22" t="s">
        <v>83</v>
      </c>
      <c r="R179" s="27" t="s">
        <v>671</v>
      </c>
      <c r="S179" s="17" t="s">
        <v>84</v>
      </c>
    </row>
    <row r="180" customFormat="false" ht="15" hidden="false" customHeight="false" outlineLevel="0" collapsed="false">
      <c r="A180" s="17" t="s">
        <v>287</v>
      </c>
      <c r="B180" s="17" t="s">
        <v>288</v>
      </c>
      <c r="C180" s="17" t="s">
        <v>2207</v>
      </c>
      <c r="D180" s="17" t="s">
        <v>81</v>
      </c>
      <c r="E180" s="18" t="n">
        <v>29885</v>
      </c>
      <c r="F180" s="17" t="s">
        <v>667</v>
      </c>
      <c r="G180" s="23" t="n">
        <v>1.65849088171323</v>
      </c>
      <c r="H180" s="19" t="n">
        <v>64.4</v>
      </c>
      <c r="I180" s="17" t="n">
        <f aca="false">IF(H180="","",RANK(H180,$H$5:$H$491))</f>
        <v>176</v>
      </c>
      <c r="J180" s="24" t="n">
        <v>0.118366888705935</v>
      </c>
      <c r="K180" s="19" t="n">
        <v>64.2</v>
      </c>
      <c r="L180" s="17" t="n">
        <f aca="false">IF(K180="","",RANK(K180,$K$5:$K$491))</f>
        <v>181</v>
      </c>
      <c r="M180" s="25" t="n">
        <v>0.0490552325581395</v>
      </c>
      <c r="N180" s="19" t="n">
        <v>30.5</v>
      </c>
      <c r="O180" s="17" t="n">
        <f aca="false">IF(N180="","",RANK(N180,$N$5:$N$491))</f>
        <v>344</v>
      </c>
      <c r="P180" s="17" t="str">
        <f aca="false">IF(AND(N(H180)&gt;=N(K180),N(H180)&gt;=N(N180)),"The Pulse",IF(N(K180)&gt;=N(N180),"The Lens","The Hub"))</f>
        <v>The Pulse</v>
      </c>
      <c r="Q180" s="20" t="s">
        <v>74</v>
      </c>
      <c r="R180" s="27" t="s">
        <v>671</v>
      </c>
      <c r="S180" s="17" t="s">
        <v>19</v>
      </c>
    </row>
    <row r="181" customFormat="false" ht="15" hidden="false" customHeight="false" outlineLevel="0" collapsed="false">
      <c r="A181" s="17" t="s">
        <v>2208</v>
      </c>
      <c r="B181" s="17" t="s">
        <v>2209</v>
      </c>
      <c r="C181" s="17" t="s">
        <v>2210</v>
      </c>
      <c r="D181" s="17" t="s">
        <v>81</v>
      </c>
      <c r="E181" s="18" t="n">
        <v>194520</v>
      </c>
      <c r="F181" s="17" t="s">
        <v>670</v>
      </c>
      <c r="G181" s="23" t="n">
        <v>1.65274521900062</v>
      </c>
      <c r="H181" s="19" t="n">
        <v>64.3</v>
      </c>
      <c r="I181" s="17" t="n">
        <f aca="false">IF(H181="","",RANK(H181,$H$5:$H$491))</f>
        <v>177</v>
      </c>
      <c r="J181" s="24" t="n">
        <v>6.8999309588596</v>
      </c>
      <c r="K181" s="19" t="n">
        <v>100</v>
      </c>
      <c r="L181" s="17" t="n">
        <f aca="false">IF(K181="","",RANK(K181,$K$5:$K$491))</f>
        <v>1</v>
      </c>
      <c r="M181" s="25" t="n">
        <v>0.035851704313974</v>
      </c>
      <c r="N181" s="19" t="n">
        <v>23.2</v>
      </c>
      <c r="O181" s="17" t="n">
        <f aca="false">IF(N181="","",RANK(N181,$N$5:$N$491))</f>
        <v>379</v>
      </c>
      <c r="P181" s="17" t="str">
        <f aca="false">IF(AND(N(H181)&gt;=N(K181),N(H181)&gt;=N(N181)),"The Pulse",IF(N(K181)&gt;=N(N181),"The Lens","The Hub"))</f>
        <v>The Lens</v>
      </c>
      <c r="Q181" s="20" t="s">
        <v>74</v>
      </c>
      <c r="R181" s="26" t="s">
        <v>668</v>
      </c>
      <c r="S181" s="17" t="s">
        <v>19</v>
      </c>
    </row>
    <row r="182" customFormat="false" ht="15" hidden="false" customHeight="false" outlineLevel="0" collapsed="false">
      <c r="A182" s="17" t="s">
        <v>1140</v>
      </c>
      <c r="B182" s="17" t="s">
        <v>1141</v>
      </c>
      <c r="C182" s="17" t="s">
        <v>2211</v>
      </c>
      <c r="D182" s="17" t="s">
        <v>105</v>
      </c>
      <c r="E182" s="18" t="n">
        <v>2511</v>
      </c>
      <c r="F182" s="17" t="s">
        <v>678</v>
      </c>
      <c r="G182" s="23" t="n">
        <v>1.64476304261251</v>
      </c>
      <c r="H182" s="19" t="n">
        <v>64.1</v>
      </c>
      <c r="I182" s="17" t="n">
        <f aca="false">IF(H182="","",RANK(H182,$H$5:$H$491))</f>
        <v>178</v>
      </c>
      <c r="J182" s="24" t="n">
        <v>0.15448275862069</v>
      </c>
      <c r="K182" s="19" t="n">
        <v>80</v>
      </c>
      <c r="L182" s="17" t="n">
        <f aca="false">IF(K182="","",RANK(K182,$K$5:$K$491))</f>
        <v>102</v>
      </c>
      <c r="M182" s="25" t="n">
        <v>0.201550387596899</v>
      </c>
      <c r="N182" s="19" t="n">
        <v>82.7</v>
      </c>
      <c r="O182" s="17" t="n">
        <f aca="false">IF(N182="","",RANK(N182,$N$5:$N$491))</f>
        <v>85</v>
      </c>
      <c r="P182" s="17" t="str">
        <f aca="false">IF(AND(N(H182)&gt;=N(K182),N(H182)&gt;=N(N182)),"The Pulse",IF(N(K182)&gt;=N(N182),"The Lens","The Hub"))</f>
        <v>The Hub</v>
      </c>
      <c r="Q182" s="20" t="s">
        <v>74</v>
      </c>
      <c r="R182" s="26" t="s">
        <v>668</v>
      </c>
      <c r="S182" s="17" t="s">
        <v>19</v>
      </c>
    </row>
    <row r="183" customFormat="false" ht="15" hidden="false" customHeight="false" outlineLevel="0" collapsed="false">
      <c r="A183" s="17" t="s">
        <v>2212</v>
      </c>
      <c r="B183" s="17" t="s">
        <v>2213</v>
      </c>
      <c r="C183" s="17" t="s">
        <v>2214</v>
      </c>
      <c r="D183" s="17" t="s">
        <v>87</v>
      </c>
      <c r="E183" s="18" t="n">
        <v>789293</v>
      </c>
      <c r="F183" s="17" t="s">
        <v>670</v>
      </c>
      <c r="G183" s="23" t="n">
        <v>1.64067082819688</v>
      </c>
      <c r="H183" s="19" t="n">
        <v>63.9</v>
      </c>
      <c r="I183" s="17" t="n">
        <f aca="false">IF(H183="","",RANK(H183,$H$5:$H$491))</f>
        <v>179</v>
      </c>
      <c r="J183" s="24" t="n">
        <v>0.165011557229689</v>
      </c>
      <c r="K183" s="19" t="n">
        <v>81.3</v>
      </c>
      <c r="L183" s="17" t="n">
        <f aca="false">IF(K183="","",RANK(K183,$K$5:$K$491))</f>
        <v>94</v>
      </c>
      <c r="M183" s="25" t="n">
        <v>0.215123576530729</v>
      </c>
      <c r="N183" s="19" t="n">
        <v>85.5</v>
      </c>
      <c r="O183" s="17" t="n">
        <f aca="false">IF(N183="","",RANK(N183,$N$5:$N$491))</f>
        <v>72</v>
      </c>
      <c r="P183" s="17" t="str">
        <f aca="false">IF(AND(N(H183)&gt;=N(K183),N(H183)&gt;=N(N183)),"The Pulse",IF(N(K183)&gt;=N(N183),"The Lens","The Hub"))</f>
        <v>The Hub</v>
      </c>
      <c r="Q183" s="20" t="s">
        <v>74</v>
      </c>
      <c r="R183" s="26" t="s">
        <v>668</v>
      </c>
      <c r="S183" s="17" t="s">
        <v>19</v>
      </c>
    </row>
    <row r="184" customFormat="false" ht="15" hidden="false" customHeight="false" outlineLevel="0" collapsed="false">
      <c r="A184" s="17" t="s">
        <v>251</v>
      </c>
      <c r="B184" s="17" t="s">
        <v>252</v>
      </c>
      <c r="C184" s="17" t="s">
        <v>2215</v>
      </c>
      <c r="D184" s="17" t="s">
        <v>77</v>
      </c>
      <c r="E184" s="18" t="n">
        <v>66815</v>
      </c>
      <c r="F184" s="17" t="s">
        <v>667</v>
      </c>
      <c r="G184" s="23" t="n">
        <v>1.62219561475717</v>
      </c>
      <c r="H184" s="19" t="n">
        <v>63.7</v>
      </c>
      <c r="I184" s="17" t="n">
        <f aca="false">IF(H184="","",RANK(H184,$H$5:$H$491))</f>
        <v>180</v>
      </c>
      <c r="J184" s="24" t="n">
        <v>0.170037649943087</v>
      </c>
      <c r="K184" s="19" t="n">
        <v>86.2</v>
      </c>
      <c r="L184" s="17" t="n">
        <f aca="false">IF(K184="","",RANK(K184,$K$5:$K$491))</f>
        <v>69</v>
      </c>
      <c r="M184" s="25" t="n">
        <v>0.306811240073305</v>
      </c>
      <c r="N184" s="19" t="n">
        <v>96.4</v>
      </c>
      <c r="O184" s="17" t="n">
        <f aca="false">IF(N184="","",RANK(N184,$N$5:$N$491))</f>
        <v>19</v>
      </c>
      <c r="P184" s="17" t="str">
        <f aca="false">IF(AND(N(H184)&gt;=N(K184),N(H184)&gt;=N(N184)),"The Pulse",IF(N(K184)&gt;=N(N184),"The Lens","The Hub"))</f>
        <v>The Hub</v>
      </c>
      <c r="Q184" s="20" t="s">
        <v>74</v>
      </c>
      <c r="R184" s="27" t="s">
        <v>671</v>
      </c>
      <c r="S184" s="17" t="s">
        <v>19</v>
      </c>
    </row>
    <row r="185" customFormat="false" ht="15" hidden="false" customHeight="false" outlineLevel="0" collapsed="false">
      <c r="A185" s="17" t="s">
        <v>343</v>
      </c>
      <c r="B185" s="17" t="s">
        <v>344</v>
      </c>
      <c r="C185" s="17" t="s">
        <v>2216</v>
      </c>
      <c r="D185" s="17" t="s">
        <v>102</v>
      </c>
      <c r="E185" s="18" t="n">
        <v>109721</v>
      </c>
      <c r="F185" s="17" t="s">
        <v>670</v>
      </c>
      <c r="G185" s="23" t="n">
        <v>1.61517849819087</v>
      </c>
      <c r="H185" s="19" t="n">
        <v>63.3</v>
      </c>
      <c r="I185" s="17" t="n">
        <f aca="false">IF(H185="","",RANK(H185,$H$5:$H$491))</f>
        <v>181</v>
      </c>
      <c r="J185" s="24" t="n">
        <v>0.0940700190453399</v>
      </c>
      <c r="K185" s="19" t="n">
        <v>54.2</v>
      </c>
      <c r="L185" s="17" t="n">
        <f aca="false">IF(K185="","",RANK(K185,$K$5:$K$491))</f>
        <v>231</v>
      </c>
      <c r="M185" s="25" t="n">
        <v>0.0498938428874735</v>
      </c>
      <c r="N185" s="19" t="n">
        <v>31.6</v>
      </c>
      <c r="O185" s="17" t="n">
        <f aca="false">IF(N185="","",RANK(N185,$N$5:$N$491))</f>
        <v>338</v>
      </c>
      <c r="P185" s="17" t="str">
        <f aca="false">IF(AND(N(H185)&gt;=N(K185),N(H185)&gt;=N(N185)),"The Pulse",IF(N(K185)&gt;=N(N185),"The Lens","The Hub"))</f>
        <v>The Pulse</v>
      </c>
      <c r="Q185" s="20" t="s">
        <v>74</v>
      </c>
      <c r="R185" s="27" t="s">
        <v>671</v>
      </c>
      <c r="S185" s="17" t="s">
        <v>19</v>
      </c>
    </row>
    <row r="186" customFormat="false" ht="15" hidden="false" customHeight="false" outlineLevel="0" collapsed="false">
      <c r="A186" s="17" t="s">
        <v>1222</v>
      </c>
      <c r="B186" s="17" t="s">
        <v>1223</v>
      </c>
      <c r="C186" s="17" t="s">
        <v>2217</v>
      </c>
      <c r="D186" s="17" t="s">
        <v>72</v>
      </c>
      <c r="E186" s="18" t="n">
        <v>16711</v>
      </c>
      <c r="F186" s="17" t="s">
        <v>667</v>
      </c>
      <c r="G186" s="23" t="n">
        <v>1.61384716653701</v>
      </c>
      <c r="H186" s="19" t="n">
        <v>63.1</v>
      </c>
      <c r="I186" s="17" t="n">
        <f aca="false">IF(H186="","",RANK(H186,$H$5:$H$491))</f>
        <v>182</v>
      </c>
      <c r="J186" s="24" t="n">
        <v>-0.00310207003519656</v>
      </c>
      <c r="K186" s="19" t="n">
        <v>10.3</v>
      </c>
      <c r="L186" s="17" t="n">
        <f aca="false">IF(K186="","",RANK(K186,$K$5:$K$491))</f>
        <v>438</v>
      </c>
      <c r="M186" s="25" t="n">
        <v>0.24236641221374</v>
      </c>
      <c r="N186" s="19" t="n">
        <v>91</v>
      </c>
      <c r="O186" s="17" t="n">
        <f aca="false">IF(N186="","",RANK(N186,$N$5:$N$491))</f>
        <v>45</v>
      </c>
      <c r="P186" s="17" t="str">
        <f aca="false">IF(AND(N(H186)&gt;=N(K186),N(H186)&gt;=N(N186)),"The Pulse",IF(N(K186)&gt;=N(N186),"The Lens","The Hub"))</f>
        <v>The Hub</v>
      </c>
      <c r="Q186" s="20" t="s">
        <v>74</v>
      </c>
      <c r="R186" s="26" t="s">
        <v>668</v>
      </c>
      <c r="S186" s="17" t="s">
        <v>19</v>
      </c>
    </row>
    <row r="187" customFormat="false" ht="15" hidden="false" customHeight="false" outlineLevel="0" collapsed="false">
      <c r="A187" s="17" t="s">
        <v>411</v>
      </c>
      <c r="B187" s="17" t="s">
        <v>412</v>
      </c>
      <c r="C187" s="17" t="s">
        <v>2218</v>
      </c>
      <c r="D187" s="17" t="s">
        <v>81</v>
      </c>
      <c r="E187" s="18" t="n">
        <v>56162</v>
      </c>
      <c r="F187" s="17" t="s">
        <v>667</v>
      </c>
      <c r="G187" s="23" t="n">
        <v>1.61116057120473</v>
      </c>
      <c r="H187" s="19" t="n">
        <v>62.9</v>
      </c>
      <c r="I187" s="17" t="n">
        <f aca="false">IF(H187="","",RANK(H187,$H$5:$H$491))</f>
        <v>183</v>
      </c>
      <c r="J187" s="24" t="n">
        <v>0.169383888229538</v>
      </c>
      <c r="K187" s="19" t="n">
        <v>85.8</v>
      </c>
      <c r="L187" s="17" t="n">
        <f aca="false">IF(K187="","",RANK(K187,$K$5:$K$491))</f>
        <v>71</v>
      </c>
      <c r="M187" s="25" t="n">
        <v>0.0365671641791045</v>
      </c>
      <c r="N187" s="19" t="n">
        <v>24</v>
      </c>
      <c r="O187" s="17" t="n">
        <f aca="false">IF(N187="","",RANK(N187,$N$5:$N$491))</f>
        <v>375</v>
      </c>
      <c r="P187" s="17" t="str">
        <f aca="false">IF(AND(N(H187)&gt;=N(K187),N(H187)&gt;=N(N187)),"The Pulse",IF(N(K187)&gt;=N(N187),"The Lens","The Hub"))</f>
        <v>The Lens</v>
      </c>
      <c r="Q187" s="22" t="s">
        <v>83</v>
      </c>
      <c r="R187" s="27" t="s">
        <v>671</v>
      </c>
      <c r="S187" s="17" t="s">
        <v>17</v>
      </c>
    </row>
    <row r="188" customFormat="false" ht="15" hidden="false" customHeight="false" outlineLevel="0" collapsed="false">
      <c r="A188" s="17" t="s">
        <v>2219</v>
      </c>
      <c r="B188" s="17" t="s">
        <v>2220</v>
      </c>
      <c r="C188" s="17" t="s">
        <v>2221</v>
      </c>
      <c r="D188" s="17" t="s">
        <v>114</v>
      </c>
      <c r="E188" s="18" t="n">
        <v>70086</v>
      </c>
      <c r="F188" s="17" t="s">
        <v>667</v>
      </c>
      <c r="G188" s="23" t="n">
        <v>1.60274519875581</v>
      </c>
      <c r="H188" s="19" t="n">
        <v>62.7</v>
      </c>
      <c r="I188" s="17" t="n">
        <f aca="false">IF(H188="","",RANK(H188,$H$5:$H$491))</f>
        <v>184</v>
      </c>
      <c r="J188" s="24" t="n">
        <v>-0.039272936628696</v>
      </c>
      <c r="K188" s="19" t="n">
        <v>3.5</v>
      </c>
      <c r="L188" s="17" t="n">
        <f aca="false">IF(K188="","",RANK(K188,$K$5:$K$491))</f>
        <v>473</v>
      </c>
      <c r="M188" s="25" t="n">
        <v>0.0605391073795846</v>
      </c>
      <c r="N188" s="19" t="n">
        <v>36</v>
      </c>
      <c r="O188" s="17" t="n">
        <f aca="false">IF(N188="","",RANK(N188,$N$5:$N$491))</f>
        <v>318</v>
      </c>
      <c r="P188" s="17" t="str">
        <f aca="false">IF(AND(N(H188)&gt;=N(K188),N(H188)&gt;=N(N188)),"The Pulse",IF(N(K188)&gt;=N(N188),"The Lens","The Hub"))</f>
        <v>The Pulse</v>
      </c>
      <c r="Q188" s="20" t="s">
        <v>74</v>
      </c>
      <c r="R188" s="26" t="s">
        <v>668</v>
      </c>
      <c r="S188" s="17" t="s">
        <v>19</v>
      </c>
    </row>
    <row r="189" customFormat="false" ht="15" hidden="false" customHeight="false" outlineLevel="0" collapsed="false">
      <c r="A189" s="17" t="s">
        <v>495</v>
      </c>
      <c r="B189" s="17" t="s">
        <v>496</v>
      </c>
      <c r="C189" s="17" t="s">
        <v>2222</v>
      </c>
      <c r="D189" s="17" t="s">
        <v>92</v>
      </c>
      <c r="E189" s="18" t="n">
        <v>12490</v>
      </c>
      <c r="F189" s="17" t="s">
        <v>667</v>
      </c>
      <c r="G189" s="23" t="n">
        <v>1.60272217774219</v>
      </c>
      <c r="H189" s="19" t="n">
        <v>62.5</v>
      </c>
      <c r="I189" s="17" t="n">
        <f aca="false">IF(H189="","",RANK(H189,$H$5:$H$491))</f>
        <v>185</v>
      </c>
      <c r="J189" s="24" t="n">
        <v>0.208514755684567</v>
      </c>
      <c r="K189" s="19" t="n">
        <v>94.7</v>
      </c>
      <c r="L189" s="17" t="n">
        <f aca="false">IF(K189="","",RANK(K189,$K$5:$K$491))</f>
        <v>28</v>
      </c>
      <c r="M189" s="25" t="n">
        <v>0.298603651987111</v>
      </c>
      <c r="N189" s="19" t="n">
        <v>95.6</v>
      </c>
      <c r="O189" s="17" t="n">
        <f aca="false">IF(N189="","",RANK(N189,$N$5:$N$491))</f>
        <v>22</v>
      </c>
      <c r="P189" s="17" t="str">
        <f aca="false">IF(AND(N(H189)&gt;=N(K189),N(H189)&gt;=N(N189)),"The Pulse",IF(N(K189)&gt;=N(N189),"The Lens","The Hub"))</f>
        <v>The Hub</v>
      </c>
      <c r="Q189" s="20" t="s">
        <v>74</v>
      </c>
      <c r="R189" s="27" t="s">
        <v>671</v>
      </c>
      <c r="S189" s="17" t="s">
        <v>19</v>
      </c>
    </row>
    <row r="190" customFormat="false" ht="15" hidden="false" customHeight="false" outlineLevel="0" collapsed="false">
      <c r="A190" s="17" t="s">
        <v>2223</v>
      </c>
      <c r="B190" s="17" t="s">
        <v>2224</v>
      </c>
      <c r="C190" s="17" t="s">
        <v>2225</v>
      </c>
      <c r="D190" s="17" t="s">
        <v>87</v>
      </c>
      <c r="E190" s="18" t="n">
        <v>1087719</v>
      </c>
      <c r="F190" s="17" t="s">
        <v>752</v>
      </c>
      <c r="G190" s="23" t="n">
        <v>1.59216304946406</v>
      </c>
      <c r="H190" s="19" t="n">
        <v>62.4</v>
      </c>
      <c r="I190" s="17" t="n">
        <f aca="false">IF(H190="","",RANK(H190,$H$5:$H$491))</f>
        <v>186</v>
      </c>
      <c r="J190" s="24" t="n">
        <v>0.102702521867131</v>
      </c>
      <c r="K190" s="19" t="n">
        <v>80</v>
      </c>
      <c r="L190" s="17" t="n">
        <f aca="false">IF(K190="","",RANK(K190,$K$5:$K$491))</f>
        <v>102</v>
      </c>
      <c r="M190" s="25" t="n">
        <v>0.19656596851038</v>
      </c>
      <c r="N190" s="19" t="n">
        <v>81.9</v>
      </c>
      <c r="O190" s="17" t="n">
        <f aca="false">IF(N190="","",RANK(N190,$N$5:$N$491))</f>
        <v>88</v>
      </c>
      <c r="P190" s="17" t="str">
        <f aca="false">IF(AND(N(H190)&gt;=N(K190),N(H190)&gt;=N(N190)),"The Pulse",IF(N(K190)&gt;=N(N190),"The Lens","The Hub"))</f>
        <v>The Hub</v>
      </c>
      <c r="Q190" s="20" t="s">
        <v>74</v>
      </c>
      <c r="R190" s="26" t="s">
        <v>668</v>
      </c>
      <c r="S190" s="17" t="s">
        <v>19</v>
      </c>
    </row>
    <row r="191" customFormat="false" ht="15" hidden="false" customHeight="false" outlineLevel="0" collapsed="false">
      <c r="A191" s="17" t="s">
        <v>1074</v>
      </c>
      <c r="B191" s="17" t="s">
        <v>1075</v>
      </c>
      <c r="C191" s="17" t="s">
        <v>2226</v>
      </c>
      <c r="D191" s="17" t="s">
        <v>72</v>
      </c>
      <c r="E191" s="18" t="n">
        <v>77424</v>
      </c>
      <c r="F191" s="17" t="s">
        <v>667</v>
      </c>
      <c r="G191" s="23" t="n">
        <v>1.58839636288489</v>
      </c>
      <c r="H191" s="19" t="n">
        <v>62.2</v>
      </c>
      <c r="I191" s="17" t="n">
        <f aca="false">IF(H191="","",RANK(H191,$H$5:$H$491))</f>
        <v>187</v>
      </c>
      <c r="J191" s="24" t="n">
        <v>-0.0264316072730931</v>
      </c>
      <c r="K191" s="19" t="n">
        <v>6</v>
      </c>
      <c r="L191" s="17" t="n">
        <f aca="false">IF(K191="","",RANK(K191,$K$5:$K$491))</f>
        <v>460</v>
      </c>
      <c r="M191" s="25" t="n">
        <v>0.169153720359771</v>
      </c>
      <c r="N191" s="19" t="n">
        <v>76.8</v>
      </c>
      <c r="O191" s="17" t="n">
        <f aca="false">IF(N191="","",RANK(N191,$N$5:$N$491))</f>
        <v>114</v>
      </c>
      <c r="P191" s="17" t="str">
        <f aca="false">IF(AND(N(H191)&gt;=N(K191),N(H191)&gt;=N(N191)),"The Pulse",IF(N(K191)&gt;=N(N191),"The Lens","The Hub"))</f>
        <v>The Hub</v>
      </c>
      <c r="Q191" s="20" t="s">
        <v>74</v>
      </c>
      <c r="R191" s="26" t="s">
        <v>668</v>
      </c>
      <c r="S191" s="17" t="s">
        <v>19</v>
      </c>
    </row>
    <row r="192" customFormat="false" ht="15" hidden="false" customHeight="false" outlineLevel="0" collapsed="false">
      <c r="A192" s="17" t="s">
        <v>357</v>
      </c>
      <c r="B192" s="17" t="s">
        <v>358</v>
      </c>
      <c r="C192" s="17" t="s">
        <v>2227</v>
      </c>
      <c r="D192" s="17" t="s">
        <v>72</v>
      </c>
      <c r="E192" s="18" t="n">
        <v>197800</v>
      </c>
      <c r="F192" s="17" t="s">
        <v>670</v>
      </c>
      <c r="G192" s="23" t="n">
        <v>1.58290697674419</v>
      </c>
      <c r="H192" s="19" t="n">
        <v>62</v>
      </c>
      <c r="I192" s="17" t="n">
        <f aca="false">IF(H192="","",RANK(H192,$H$5:$H$491))</f>
        <v>188</v>
      </c>
      <c r="J192" s="24" t="n">
        <v>0.141406272541043</v>
      </c>
      <c r="K192" s="19" t="n">
        <v>77.1</v>
      </c>
      <c r="L192" s="17" t="n">
        <f aca="false">IF(K192="","",RANK(K192,$K$5:$K$491))</f>
        <v>117</v>
      </c>
      <c r="M192" s="25" t="n">
        <v>0.207383735598352</v>
      </c>
      <c r="N192" s="19" t="n">
        <v>84.4</v>
      </c>
      <c r="O192" s="17" t="n">
        <f aca="false">IF(N192="","",RANK(N192,$N$5:$N$491))</f>
        <v>78</v>
      </c>
      <c r="P192" s="17" t="str">
        <f aca="false">IF(AND(N(H192)&gt;=N(K192),N(H192)&gt;=N(N192)),"The Pulse",IF(N(K192)&gt;=N(N192),"The Lens","The Hub"))</f>
        <v>The Hub</v>
      </c>
      <c r="Q192" s="20" t="s">
        <v>74</v>
      </c>
      <c r="R192" s="27" t="s">
        <v>671</v>
      </c>
      <c r="S192" s="17" t="s">
        <v>19</v>
      </c>
    </row>
    <row r="193" customFormat="false" ht="15" hidden="false" customHeight="false" outlineLevel="0" collapsed="false">
      <c r="A193" s="17" t="s">
        <v>1143</v>
      </c>
      <c r="B193" s="17" t="s">
        <v>1144</v>
      </c>
      <c r="C193" s="17" t="s">
        <v>2228</v>
      </c>
      <c r="D193" s="17" t="s">
        <v>114</v>
      </c>
      <c r="E193" s="18" t="n">
        <v>20626</v>
      </c>
      <c r="F193" s="17" t="s">
        <v>667</v>
      </c>
      <c r="G193" s="23" t="n">
        <v>1.57970522641327</v>
      </c>
      <c r="H193" s="19" t="n">
        <v>61.8</v>
      </c>
      <c r="I193" s="17" t="n">
        <f aca="false">IF(H193="","",RANK(H193,$H$5:$H$491))</f>
        <v>189</v>
      </c>
      <c r="J193" s="24" t="n">
        <v>0.185197954375682</v>
      </c>
      <c r="K193" s="19" t="n">
        <v>90.8</v>
      </c>
      <c r="L193" s="17" t="n">
        <f aca="false">IF(K193="","",RANK(K193,$K$5:$K$491))</f>
        <v>46</v>
      </c>
      <c r="M193" s="25" t="n">
        <v>0.0411663807890223</v>
      </c>
      <c r="N193" s="19" t="n">
        <v>25.9</v>
      </c>
      <c r="O193" s="17" t="n">
        <f aca="false">IF(N193="","",RANK(N193,$N$5:$N$491))</f>
        <v>366</v>
      </c>
      <c r="P193" s="17" t="str">
        <f aca="false">IF(AND(N(H193)&gt;=N(K193),N(H193)&gt;=N(N193)),"The Pulse",IF(N(K193)&gt;=N(N193),"The Lens","The Hub"))</f>
        <v>The Lens</v>
      </c>
      <c r="Q193" s="20" t="s">
        <v>74</v>
      </c>
      <c r="R193" s="26" t="s">
        <v>668</v>
      </c>
      <c r="S193" s="17" t="s">
        <v>19</v>
      </c>
    </row>
    <row r="194" customFormat="false" ht="15" hidden="false" customHeight="false" outlineLevel="0" collapsed="false">
      <c r="A194" s="17" t="s">
        <v>1024</v>
      </c>
      <c r="B194" s="17" t="s">
        <v>1025</v>
      </c>
      <c r="C194" s="17" t="s">
        <v>2229</v>
      </c>
      <c r="D194" s="17" t="s">
        <v>114</v>
      </c>
      <c r="E194" s="18" t="n">
        <v>26582</v>
      </c>
      <c r="F194" s="17" t="s">
        <v>667</v>
      </c>
      <c r="G194" s="23" t="n">
        <v>1.5761041306147</v>
      </c>
      <c r="H194" s="19" t="n">
        <v>61.6</v>
      </c>
      <c r="I194" s="17" t="n">
        <f aca="false">IF(H194="","",RANK(H194,$H$5:$H$491))</f>
        <v>190</v>
      </c>
      <c r="J194" s="24" t="n">
        <v>0.162868016973621</v>
      </c>
      <c r="K194" s="19" t="n">
        <v>82.3</v>
      </c>
      <c r="L194" s="17" t="n">
        <f aca="false">IF(K194="","",RANK(K194,$K$5:$K$491))</f>
        <v>90</v>
      </c>
      <c r="M194" s="25" t="n">
        <v>0.146838156484459</v>
      </c>
      <c r="N194" s="19" t="n">
        <v>70.5</v>
      </c>
      <c r="O194" s="17" t="n">
        <f aca="false">IF(N194="","",RANK(N194,$N$5:$N$491))</f>
        <v>147</v>
      </c>
      <c r="P194" s="17" t="str">
        <f aca="false">IF(AND(N(H194)&gt;=N(K194),N(H194)&gt;=N(N194)),"The Pulse",IF(N(K194)&gt;=N(N194),"The Lens","The Hub"))</f>
        <v>The Lens</v>
      </c>
      <c r="Q194" s="20" t="s">
        <v>74</v>
      </c>
      <c r="R194" s="26" t="s">
        <v>668</v>
      </c>
      <c r="S194" s="17" t="s">
        <v>19</v>
      </c>
    </row>
    <row r="195" customFormat="false" ht="15" hidden="false" customHeight="false" outlineLevel="0" collapsed="false">
      <c r="A195" s="17" t="s">
        <v>1877</v>
      </c>
      <c r="B195" s="17" t="s">
        <v>1878</v>
      </c>
      <c r="C195" s="17" t="s">
        <v>2230</v>
      </c>
      <c r="D195" s="17" t="s">
        <v>102</v>
      </c>
      <c r="E195" s="18" t="n">
        <v>44671</v>
      </c>
      <c r="F195" s="17" t="s">
        <v>667</v>
      </c>
      <c r="G195" s="23" t="n">
        <v>1.57321304649549</v>
      </c>
      <c r="H195" s="19" t="n">
        <v>61.4</v>
      </c>
      <c r="I195" s="17" t="n">
        <f aca="false">IF(H195="","",RANK(H195,$H$5:$H$491))</f>
        <v>191</v>
      </c>
      <c r="J195" s="24" t="n">
        <v>-0.0870613721362735</v>
      </c>
      <c r="K195" s="19" t="n">
        <v>0.7</v>
      </c>
      <c r="L195" s="17" t="n">
        <f aca="false">IF(K195="","",RANK(K195,$K$5:$K$491))</f>
        <v>485</v>
      </c>
      <c r="M195" s="25" t="n">
        <v>0.0402654867256637</v>
      </c>
      <c r="N195" s="19" t="n">
        <v>25.7</v>
      </c>
      <c r="O195" s="17" t="n">
        <f aca="false">IF(N195="","",RANK(N195,$N$5:$N$491))</f>
        <v>367</v>
      </c>
      <c r="P195" s="17" t="str">
        <f aca="false">IF(AND(N(H195)&gt;=N(K195),N(H195)&gt;=N(N195)),"The Pulse",IF(N(K195)&gt;=N(N195),"The Lens","The Hub"))</f>
        <v>The Pulse</v>
      </c>
      <c r="Q195" s="20" t="s">
        <v>74</v>
      </c>
      <c r="R195" s="26" t="s">
        <v>668</v>
      </c>
      <c r="S195" s="17" t="s">
        <v>19</v>
      </c>
    </row>
    <row r="196" customFormat="false" ht="15" hidden="false" customHeight="false" outlineLevel="0" collapsed="false">
      <c r="A196" s="17" t="s">
        <v>277</v>
      </c>
      <c r="B196" s="17" t="s">
        <v>278</v>
      </c>
      <c r="C196" s="17" t="s">
        <v>2231</v>
      </c>
      <c r="D196" s="17" t="s">
        <v>105</v>
      </c>
      <c r="E196" s="18" t="n">
        <v>33263</v>
      </c>
      <c r="F196" s="17" t="s">
        <v>667</v>
      </c>
      <c r="G196" s="23" t="n">
        <v>1.56949162733367</v>
      </c>
      <c r="H196" s="19" t="n">
        <v>61.2</v>
      </c>
      <c r="I196" s="17" t="n">
        <f aca="false">IF(H196="","",RANK(H196,$H$5:$H$491))</f>
        <v>192</v>
      </c>
      <c r="J196" s="24" t="n">
        <v>0.0209951195555419</v>
      </c>
      <c r="K196" s="19" t="n">
        <v>16</v>
      </c>
      <c r="L196" s="17" t="n">
        <f aca="false">IF(K196="","",RANK(K196,$K$5:$K$491))</f>
        <v>411</v>
      </c>
      <c r="M196" s="25" t="n">
        <v>0.141822968081606</v>
      </c>
      <c r="N196" s="19" t="n">
        <v>69</v>
      </c>
      <c r="O196" s="17" t="n">
        <f aca="false">IF(N196="","",RANK(N196,$N$5:$N$491))</f>
        <v>154</v>
      </c>
      <c r="P196" s="17" t="str">
        <f aca="false">IF(AND(N(H196)&gt;=N(K196),N(H196)&gt;=N(N196)),"The Pulse",IF(N(K196)&gt;=N(N196),"The Lens","The Hub"))</f>
        <v>The Hub</v>
      </c>
      <c r="Q196" s="20" t="s">
        <v>74</v>
      </c>
      <c r="R196" s="27" t="s">
        <v>671</v>
      </c>
      <c r="S196" s="17" t="s">
        <v>19</v>
      </c>
    </row>
    <row r="197" customFormat="false" ht="15" hidden="false" customHeight="false" outlineLevel="0" collapsed="false">
      <c r="A197" s="17" t="s">
        <v>2232</v>
      </c>
      <c r="B197" s="17" t="s">
        <v>2233</v>
      </c>
      <c r="C197" s="17" t="s">
        <v>2234</v>
      </c>
      <c r="D197" s="17" t="s">
        <v>102</v>
      </c>
      <c r="E197" s="18" t="n">
        <v>8305</v>
      </c>
      <c r="F197" s="17" t="s">
        <v>678</v>
      </c>
      <c r="G197" s="23" t="n">
        <v>1.56917519566526</v>
      </c>
      <c r="H197" s="19" t="n">
        <v>61</v>
      </c>
      <c r="I197" s="17" t="n">
        <f aca="false">IF(H197="","",RANK(H197,$H$5:$H$491))</f>
        <v>193</v>
      </c>
      <c r="J197" s="24" t="n">
        <v>0.0134228187919463</v>
      </c>
      <c r="K197" s="19" t="n">
        <v>8</v>
      </c>
      <c r="L197" s="17" t="n">
        <f aca="false">IF(K197="","",RANK(K197,$K$5:$K$491))</f>
        <v>450</v>
      </c>
      <c r="M197" s="25" t="n">
        <v>0.230263157894737</v>
      </c>
      <c r="N197" s="19" t="n">
        <v>89.5</v>
      </c>
      <c r="O197" s="17" t="n">
        <f aca="false">IF(N197="","",RANK(N197,$N$5:$N$491))</f>
        <v>53</v>
      </c>
      <c r="P197" s="17" t="str">
        <f aca="false">IF(AND(N(H197)&gt;=N(K197),N(H197)&gt;=N(N197)),"The Pulse",IF(N(K197)&gt;=N(N197),"The Lens","The Hub"))</f>
        <v>The Hub</v>
      </c>
      <c r="Q197" s="20" t="s">
        <v>74</v>
      </c>
      <c r="R197" s="26" t="s">
        <v>668</v>
      </c>
      <c r="S197" s="17" t="s">
        <v>19</v>
      </c>
    </row>
    <row r="198" customFormat="false" ht="15" hidden="false" customHeight="false" outlineLevel="0" collapsed="false">
      <c r="A198" s="17" t="s">
        <v>551</v>
      </c>
      <c r="B198" s="17" t="s">
        <v>552</v>
      </c>
      <c r="C198" s="17" t="s">
        <v>2235</v>
      </c>
      <c r="D198" s="17" t="s">
        <v>114</v>
      </c>
      <c r="E198" s="18" t="n">
        <v>17676</v>
      </c>
      <c r="F198" s="17" t="s">
        <v>667</v>
      </c>
      <c r="G198" s="23" t="n">
        <v>1.55889341479973</v>
      </c>
      <c r="H198" s="19" t="n">
        <v>60.8</v>
      </c>
      <c r="I198" s="17" t="n">
        <f aca="false">IF(H198="","",RANK(H198,$H$5:$H$491))</f>
        <v>194</v>
      </c>
      <c r="J198" s="24" t="n">
        <v>0.109743847312908</v>
      </c>
      <c r="K198" s="19" t="n">
        <v>59.6</v>
      </c>
      <c r="L198" s="17" t="n">
        <f aca="false">IF(K198="","",RANK(K198,$K$5:$K$491))</f>
        <v>205</v>
      </c>
      <c r="M198" s="25" t="n">
        <v>0.105691056910569</v>
      </c>
      <c r="N198" s="19" t="n">
        <v>57.7</v>
      </c>
      <c r="O198" s="17" t="n">
        <f aca="false">IF(N198="","",RANK(N198,$N$5:$N$491))</f>
        <v>210</v>
      </c>
      <c r="P198" s="17" t="str">
        <f aca="false">IF(AND(N(H198)&gt;=N(K198),N(H198)&gt;=N(N198)),"The Pulse",IF(N(K198)&gt;=N(N198),"The Lens","The Hub"))</f>
        <v>The Pulse</v>
      </c>
      <c r="Q198" s="20" t="s">
        <v>74</v>
      </c>
      <c r="R198" s="27" t="s">
        <v>671</v>
      </c>
      <c r="S198" s="17" t="s">
        <v>19</v>
      </c>
    </row>
    <row r="199" customFormat="false" ht="15" hidden="false" customHeight="false" outlineLevel="0" collapsed="false">
      <c r="A199" s="17" t="s">
        <v>281</v>
      </c>
      <c r="B199" s="17" t="s">
        <v>282</v>
      </c>
      <c r="C199" s="17" t="s">
        <v>2236</v>
      </c>
      <c r="D199" s="17" t="s">
        <v>92</v>
      </c>
      <c r="E199" s="18" t="n">
        <v>58203</v>
      </c>
      <c r="F199" s="17" t="s">
        <v>667</v>
      </c>
      <c r="G199" s="23" t="n">
        <v>1.54435338384619</v>
      </c>
      <c r="H199" s="19" t="n">
        <v>60.6</v>
      </c>
      <c r="I199" s="17" t="n">
        <f aca="false">IF(H199="","",RANK(H199,$H$5:$H$491))</f>
        <v>195</v>
      </c>
      <c r="J199" s="24" t="n">
        <v>0.133015378625657</v>
      </c>
      <c r="K199" s="19" t="n">
        <v>70.6</v>
      </c>
      <c r="L199" s="17" t="n">
        <f aca="false">IF(K199="","",RANK(K199,$K$5:$K$491))</f>
        <v>149</v>
      </c>
      <c r="M199" s="25" t="n">
        <v>0.238921001926782</v>
      </c>
      <c r="N199" s="19" t="n">
        <v>90.5</v>
      </c>
      <c r="O199" s="17" t="n">
        <f aca="false">IF(N199="","",RANK(N199,$N$5:$N$491))</f>
        <v>48</v>
      </c>
      <c r="P199" s="17" t="str">
        <f aca="false">IF(AND(N(H199)&gt;=N(K199),N(H199)&gt;=N(N199)),"The Pulse",IF(N(K199)&gt;=N(N199),"The Lens","The Hub"))</f>
        <v>The Hub</v>
      </c>
      <c r="Q199" s="20" t="s">
        <v>74</v>
      </c>
      <c r="R199" s="27" t="s">
        <v>671</v>
      </c>
      <c r="S199" s="17" t="s">
        <v>19</v>
      </c>
    </row>
    <row r="200" customFormat="false" ht="15" hidden="false" customHeight="false" outlineLevel="0" collapsed="false">
      <c r="A200" s="17" t="s">
        <v>435</v>
      </c>
      <c r="B200" s="17" t="s">
        <v>436</v>
      </c>
      <c r="C200" s="17" t="s">
        <v>2237</v>
      </c>
      <c r="D200" s="17" t="s">
        <v>92</v>
      </c>
      <c r="E200" s="18" t="n">
        <v>3434</v>
      </c>
      <c r="F200" s="17" t="s">
        <v>678</v>
      </c>
      <c r="G200" s="23" t="n">
        <v>1.5387303436226</v>
      </c>
      <c r="H200" s="19" t="n">
        <v>60.5</v>
      </c>
      <c r="I200" s="17" t="n">
        <f aca="false">IF(H200="","",RANK(H200,$H$5:$H$491))</f>
        <v>196</v>
      </c>
      <c r="J200" s="24" t="n">
        <v>0.112406867508908</v>
      </c>
      <c r="K200" s="19" t="n">
        <v>52</v>
      </c>
      <c r="L200" s="17" t="n">
        <f aca="false">IF(K200="","",RANK(K200,$K$5:$K$491))</f>
        <v>242</v>
      </c>
      <c r="M200" s="25" t="n">
        <v>0.0847457627118644</v>
      </c>
      <c r="N200" s="19" t="n">
        <v>47</v>
      </c>
      <c r="O200" s="17" t="n">
        <f aca="false">IF(N200="","",RANK(N200,$N$5:$N$491))</f>
        <v>262</v>
      </c>
      <c r="P200" s="17" t="str">
        <f aca="false">IF(AND(N(H200)&gt;=N(K200),N(H200)&gt;=N(N200)),"The Pulse",IF(N(K200)&gt;=N(N200),"The Lens","The Hub"))</f>
        <v>The Pulse</v>
      </c>
      <c r="Q200" s="20" t="s">
        <v>74</v>
      </c>
      <c r="R200" s="27" t="s">
        <v>671</v>
      </c>
      <c r="S200" s="17" t="s">
        <v>19</v>
      </c>
    </row>
    <row r="201" customFormat="false" ht="15" hidden="false" customHeight="false" outlineLevel="0" collapsed="false">
      <c r="A201" s="17" t="s">
        <v>2238</v>
      </c>
      <c r="B201" s="17" t="s">
        <v>2239</v>
      </c>
      <c r="C201" s="17" t="s">
        <v>2240</v>
      </c>
      <c r="D201" s="17" t="s">
        <v>138</v>
      </c>
      <c r="E201" s="18" t="n">
        <v>798</v>
      </c>
      <c r="F201" s="17" t="s">
        <v>678</v>
      </c>
      <c r="G201" s="23" t="n">
        <v>1.53258145363409</v>
      </c>
      <c r="H201" s="19" t="n">
        <v>60.3</v>
      </c>
      <c r="I201" s="17" t="n">
        <f aca="false">IF(H201="","",RANK(H201,$H$5:$H$491))</f>
        <v>197</v>
      </c>
      <c r="J201" s="24" t="n">
        <v>0.161572052401747</v>
      </c>
      <c r="K201" s="19" t="n">
        <v>81.3</v>
      </c>
      <c r="L201" s="17" t="n">
        <f aca="false">IF(K201="","",RANK(K201,$K$5:$K$491))</f>
        <v>94</v>
      </c>
      <c r="M201" s="25" t="n">
        <v>0.166666666666667</v>
      </c>
      <c r="N201" s="19" t="n">
        <v>75.8</v>
      </c>
      <c r="O201" s="17" t="n">
        <f aca="false">IF(N201="","",RANK(N201,$N$5:$N$491))</f>
        <v>119</v>
      </c>
      <c r="P201" s="17" t="str">
        <f aca="false">IF(AND(N(H201)&gt;=N(K201),N(H201)&gt;=N(N201)),"The Pulse",IF(N(K201)&gt;=N(N201),"The Lens","The Hub"))</f>
        <v>The Lens</v>
      </c>
      <c r="Q201" s="20" t="s">
        <v>74</v>
      </c>
      <c r="R201" s="26" t="s">
        <v>668</v>
      </c>
      <c r="S201" s="17" t="s">
        <v>19</v>
      </c>
    </row>
    <row r="202" customFormat="false" ht="15" hidden="false" customHeight="false" outlineLevel="0" collapsed="false">
      <c r="A202" s="17" t="s">
        <v>2241</v>
      </c>
      <c r="B202" s="17" t="s">
        <v>2242</v>
      </c>
      <c r="C202" s="17" t="s">
        <v>2243</v>
      </c>
      <c r="D202" s="17" t="s">
        <v>87</v>
      </c>
      <c r="E202" s="18" t="n">
        <v>194256</v>
      </c>
      <c r="F202" s="17" t="s">
        <v>670</v>
      </c>
      <c r="G202" s="23" t="n">
        <v>1.52533255086072</v>
      </c>
      <c r="H202" s="19" t="n">
        <v>60.1</v>
      </c>
      <c r="I202" s="17" t="n">
        <f aca="false">IF(H202="","",RANK(H202,$H$5:$H$491))</f>
        <v>198</v>
      </c>
      <c r="J202" s="24" t="n">
        <v>0.135754252003952</v>
      </c>
      <c r="K202" s="19" t="n">
        <v>74.1</v>
      </c>
      <c r="L202" s="17" t="n">
        <f aca="false">IF(K202="","",RANK(K202,$K$5:$K$491))</f>
        <v>132</v>
      </c>
      <c r="M202" s="25" t="n">
        <v>0.00802226588081205</v>
      </c>
      <c r="N202" s="19" t="n">
        <v>6.3</v>
      </c>
      <c r="O202" s="17" t="n">
        <f aca="false">IF(N202="","",RANK(N202,$N$5:$N$491))</f>
        <v>457</v>
      </c>
      <c r="P202" s="17" t="str">
        <f aca="false">IF(AND(N(H202)&gt;=N(K202),N(H202)&gt;=N(N202)),"The Pulse",IF(N(K202)&gt;=N(N202),"The Lens","The Hub"))</f>
        <v>The Lens</v>
      </c>
      <c r="Q202" s="20" t="s">
        <v>74</v>
      </c>
      <c r="R202" s="26" t="s">
        <v>668</v>
      </c>
      <c r="S202" s="17" t="s">
        <v>19</v>
      </c>
    </row>
    <row r="203" customFormat="false" ht="15" hidden="false" customHeight="false" outlineLevel="0" collapsed="false">
      <c r="A203" s="17" t="s">
        <v>283</v>
      </c>
      <c r="B203" s="17" t="s">
        <v>284</v>
      </c>
      <c r="C203" s="17" t="s">
        <v>2244</v>
      </c>
      <c r="D203" s="17" t="s">
        <v>81</v>
      </c>
      <c r="E203" s="18" t="n">
        <v>63906</v>
      </c>
      <c r="F203" s="17" t="s">
        <v>667</v>
      </c>
      <c r="G203" s="23" t="n">
        <v>1.52370669420712</v>
      </c>
      <c r="H203" s="19" t="n">
        <v>59.9</v>
      </c>
      <c r="I203" s="17" t="n">
        <f aca="false">IF(H203="","",RANK(H203,$H$5:$H$491))</f>
        <v>199</v>
      </c>
      <c r="J203" s="24" t="n">
        <v>-0.0257934693130888</v>
      </c>
      <c r="K203" s="19" t="n">
        <v>6.4</v>
      </c>
      <c r="L203" s="17" t="n">
        <f aca="false">IF(K203="","",RANK(K203,$K$5:$K$491))</f>
        <v>459</v>
      </c>
      <c r="M203" s="25" t="n">
        <v>0.0264999255620069</v>
      </c>
      <c r="N203" s="19" t="n">
        <v>16.2</v>
      </c>
      <c r="O203" s="17" t="n">
        <f aca="false">IF(N203="","",RANK(N203,$N$5:$N$491))</f>
        <v>414</v>
      </c>
      <c r="P203" s="17" t="str">
        <f aca="false">IF(AND(N(H203)&gt;=N(K203),N(H203)&gt;=N(N203)),"The Pulse",IF(N(K203)&gt;=N(N203),"The Lens","The Hub"))</f>
        <v>The Pulse</v>
      </c>
      <c r="Q203" s="20" t="s">
        <v>74</v>
      </c>
      <c r="R203" s="27" t="s">
        <v>671</v>
      </c>
      <c r="S203" s="17" t="s">
        <v>19</v>
      </c>
    </row>
    <row r="204" customFormat="false" ht="15" hidden="false" customHeight="false" outlineLevel="0" collapsed="false">
      <c r="A204" s="17" t="s">
        <v>2245</v>
      </c>
      <c r="B204" s="17" t="s">
        <v>2246</v>
      </c>
      <c r="C204" s="17" t="s">
        <v>2247</v>
      </c>
      <c r="D204" s="17" t="s">
        <v>77</v>
      </c>
      <c r="E204" s="18" t="n">
        <v>57500</v>
      </c>
      <c r="F204" s="17" t="s">
        <v>667</v>
      </c>
      <c r="G204" s="23" t="n">
        <v>1.52339130434783</v>
      </c>
      <c r="H204" s="19" t="n">
        <v>59.7</v>
      </c>
      <c r="I204" s="17" t="n">
        <f aca="false">IF(H204="","",RANK(H204,$H$5:$H$491))</f>
        <v>200</v>
      </c>
      <c r="J204" s="24" t="n">
        <v>0.136880400181901</v>
      </c>
      <c r="K204" s="19" t="n">
        <v>71.3</v>
      </c>
      <c r="L204" s="17" t="n">
        <f aca="false">IF(K204="","",RANK(K204,$K$5:$K$491))</f>
        <v>146</v>
      </c>
      <c r="M204" s="25" t="n">
        <v>0.185614849187935</v>
      </c>
      <c r="N204" s="19" t="n">
        <v>79.4</v>
      </c>
      <c r="O204" s="17" t="n">
        <f aca="false">IF(N204="","",RANK(N204,$N$5:$N$491))</f>
        <v>101</v>
      </c>
      <c r="P204" s="17" t="str">
        <f aca="false">IF(AND(N(H204)&gt;=N(K204),N(H204)&gt;=N(N204)),"The Pulse",IF(N(K204)&gt;=N(N204),"The Lens","The Hub"))</f>
        <v>The Hub</v>
      </c>
      <c r="Q204" s="20" t="s">
        <v>74</v>
      </c>
      <c r="R204" s="26" t="s">
        <v>668</v>
      </c>
      <c r="S204" s="17" t="s">
        <v>19</v>
      </c>
    </row>
    <row r="205" customFormat="false" ht="15" hidden="false" customHeight="false" outlineLevel="0" collapsed="false">
      <c r="A205" s="17" t="s">
        <v>1475</v>
      </c>
      <c r="B205" s="17" t="s">
        <v>1476</v>
      </c>
      <c r="C205" s="17" t="s">
        <v>2248</v>
      </c>
      <c r="D205" s="17" t="s">
        <v>77</v>
      </c>
      <c r="E205" s="18" t="n">
        <v>98256</v>
      </c>
      <c r="F205" s="17" t="s">
        <v>667</v>
      </c>
      <c r="G205" s="23" t="n">
        <v>1.51384139390979</v>
      </c>
      <c r="H205" s="19" t="n">
        <v>59.5</v>
      </c>
      <c r="I205" s="17" t="n">
        <f aca="false">IF(H205="","",RANK(H205,$H$5:$H$491))</f>
        <v>201</v>
      </c>
      <c r="J205" s="24" t="n">
        <v>0.0654629750555048</v>
      </c>
      <c r="K205" s="19" t="n">
        <v>37.6</v>
      </c>
      <c r="L205" s="17" t="n">
        <f aca="false">IF(K205="","",RANK(K205,$K$5:$K$491))</f>
        <v>313</v>
      </c>
      <c r="M205" s="25" t="n">
        <v>0.238909673971138</v>
      </c>
      <c r="N205" s="19" t="n">
        <v>90.3</v>
      </c>
      <c r="O205" s="17" t="n">
        <f aca="false">IF(N205="","",RANK(N205,$N$5:$N$491))</f>
        <v>49</v>
      </c>
      <c r="P205" s="17" t="str">
        <f aca="false">IF(AND(N(H205)&gt;=N(K205),N(H205)&gt;=N(N205)),"The Pulse",IF(N(K205)&gt;=N(N205),"The Lens","The Hub"))</f>
        <v>The Hub</v>
      </c>
      <c r="Q205" s="22" t="s">
        <v>83</v>
      </c>
      <c r="R205" s="26" t="s">
        <v>668</v>
      </c>
      <c r="S205" s="17" t="s">
        <v>204</v>
      </c>
    </row>
    <row r="206" customFormat="false" ht="15" hidden="false" customHeight="false" outlineLevel="0" collapsed="false">
      <c r="A206" s="17" t="s">
        <v>845</v>
      </c>
      <c r="B206" s="17" t="s">
        <v>846</v>
      </c>
      <c r="C206" s="17" t="s">
        <v>2249</v>
      </c>
      <c r="D206" s="17" t="s">
        <v>87</v>
      </c>
      <c r="E206" s="18" t="n">
        <v>42231</v>
      </c>
      <c r="F206" s="17" t="s">
        <v>667</v>
      </c>
      <c r="G206" s="23" t="n">
        <v>1.51237242783737</v>
      </c>
      <c r="H206" s="19" t="n">
        <v>59.3</v>
      </c>
      <c r="I206" s="17" t="n">
        <f aca="false">IF(H206="","",RANK(H206,$H$5:$H$491))</f>
        <v>202</v>
      </c>
      <c r="J206" s="24" t="n">
        <v>0.174453529117304</v>
      </c>
      <c r="K206" s="19" t="n">
        <v>89.4</v>
      </c>
      <c r="L206" s="17" t="n">
        <f aca="false">IF(K206="","",RANK(K206,$K$5:$K$491))</f>
        <v>54</v>
      </c>
      <c r="M206" s="25" t="n">
        <v>0.198485244189083</v>
      </c>
      <c r="N206" s="19" t="n">
        <v>82.1</v>
      </c>
      <c r="O206" s="17" t="n">
        <f aca="false">IF(N206="","",RANK(N206,$N$5:$N$491))</f>
        <v>87</v>
      </c>
      <c r="P206" s="17" t="str">
        <f aca="false">IF(AND(N(H206)&gt;=N(K206),N(H206)&gt;=N(N206)),"The Pulse",IF(N(K206)&gt;=N(N206),"The Lens","The Hub"))</f>
        <v>The Lens</v>
      </c>
      <c r="Q206" s="20" t="s">
        <v>74</v>
      </c>
      <c r="R206" s="26" t="s">
        <v>668</v>
      </c>
      <c r="S206" s="17" t="s">
        <v>19</v>
      </c>
    </row>
    <row r="207" customFormat="false" ht="15" hidden="false" customHeight="false" outlineLevel="0" collapsed="false">
      <c r="A207" s="17" t="s">
        <v>291</v>
      </c>
      <c r="B207" s="17" t="s">
        <v>292</v>
      </c>
      <c r="C207" s="17" t="s">
        <v>2250</v>
      </c>
      <c r="D207" s="17" t="s">
        <v>77</v>
      </c>
      <c r="E207" s="18" t="n">
        <v>8273</v>
      </c>
      <c r="F207" s="17" t="s">
        <v>678</v>
      </c>
      <c r="G207" s="23" t="n">
        <v>1.51057657439865</v>
      </c>
      <c r="H207" s="19" t="n">
        <v>59.1</v>
      </c>
      <c r="I207" s="17" t="n">
        <f aca="false">IF(H207="","",RANK(H207,$H$5:$H$491))</f>
        <v>203</v>
      </c>
      <c r="J207" s="24" t="n">
        <v>0.110767991407089</v>
      </c>
      <c r="K207" s="19" t="n">
        <v>50.7</v>
      </c>
      <c r="L207" s="17" t="n">
        <f aca="false">IF(K207="","",RANK(K207,$K$5:$K$491))</f>
        <v>248</v>
      </c>
      <c r="M207" s="25" t="n">
        <v>0.0302760463045414</v>
      </c>
      <c r="N207" s="19" t="n">
        <v>19.8</v>
      </c>
      <c r="O207" s="17" t="n">
        <f aca="false">IF(N207="","",RANK(N207,$N$5:$N$491))</f>
        <v>396</v>
      </c>
      <c r="P207" s="17" t="str">
        <f aca="false">IF(AND(N(H207)&gt;=N(K207),N(H207)&gt;=N(N207)),"The Pulse",IF(N(K207)&gt;=N(N207),"The Lens","The Hub"))</f>
        <v>The Pulse</v>
      </c>
      <c r="Q207" s="20" t="s">
        <v>74</v>
      </c>
      <c r="R207" s="27" t="s">
        <v>671</v>
      </c>
      <c r="S207" s="17" t="s">
        <v>19</v>
      </c>
    </row>
    <row r="208" customFormat="false" ht="15" hidden="false" customHeight="false" outlineLevel="0" collapsed="false">
      <c r="A208" s="17" t="s">
        <v>487</v>
      </c>
      <c r="B208" s="17" t="s">
        <v>488</v>
      </c>
      <c r="C208" s="17" t="s">
        <v>2251</v>
      </c>
      <c r="D208" s="17" t="s">
        <v>114</v>
      </c>
      <c r="E208" s="18" t="n">
        <v>28917</v>
      </c>
      <c r="F208" s="17" t="s">
        <v>667</v>
      </c>
      <c r="G208" s="23" t="n">
        <v>1.5089047964865</v>
      </c>
      <c r="H208" s="19" t="n">
        <v>58.7</v>
      </c>
      <c r="I208" s="17" t="n">
        <f aca="false">IF(H208="","",RANK(H208,$H$5:$H$491))</f>
        <v>204</v>
      </c>
      <c r="J208" s="24" t="n">
        <v>-0.0274115431185255</v>
      </c>
      <c r="K208" s="19" t="n">
        <v>5.7</v>
      </c>
      <c r="L208" s="17" t="n">
        <f aca="false">IF(K208="","",RANK(K208,$K$5:$K$491))</f>
        <v>462</v>
      </c>
      <c r="M208" s="25" t="n">
        <v>0.121225777377197</v>
      </c>
      <c r="N208" s="19" t="n">
        <v>63.6</v>
      </c>
      <c r="O208" s="17" t="n">
        <f aca="false">IF(N208="","",RANK(N208,$N$5:$N$491))</f>
        <v>180</v>
      </c>
      <c r="P208" s="17" t="str">
        <f aca="false">IF(AND(N(H208)&gt;=N(K208),N(H208)&gt;=N(N208)),"The Pulse",IF(N(K208)&gt;=N(N208),"The Lens","The Hub"))</f>
        <v>The Hub</v>
      </c>
      <c r="Q208" s="20" t="s">
        <v>74</v>
      </c>
      <c r="R208" s="27" t="s">
        <v>671</v>
      </c>
      <c r="S208" s="17" t="s">
        <v>19</v>
      </c>
    </row>
    <row r="209" customFormat="false" ht="15" hidden="false" customHeight="false" outlineLevel="0" collapsed="false">
      <c r="A209" s="17" t="s">
        <v>1497</v>
      </c>
      <c r="B209" s="17" t="s">
        <v>1498</v>
      </c>
      <c r="C209" s="17" t="s">
        <v>2252</v>
      </c>
      <c r="D209" s="17" t="s">
        <v>102</v>
      </c>
      <c r="E209" s="18" t="n">
        <v>2809</v>
      </c>
      <c r="F209" s="17" t="s">
        <v>678</v>
      </c>
      <c r="G209" s="23" t="n">
        <v>1.49448202207191</v>
      </c>
      <c r="H209" s="19" t="n">
        <v>58.6</v>
      </c>
      <c r="I209" s="17" t="n">
        <f aca="false">IF(H209="","",RANK(H209,$H$5:$H$491))</f>
        <v>205</v>
      </c>
      <c r="J209" s="24" t="n">
        <v>0.137246963562753</v>
      </c>
      <c r="K209" s="19" t="n">
        <v>68</v>
      </c>
      <c r="L209" s="17" t="n">
        <f aca="false">IF(K209="","",RANK(K209,$K$5:$K$491))</f>
        <v>164</v>
      </c>
      <c r="M209" s="25" t="n">
        <v>0.0985915492957746</v>
      </c>
      <c r="N209" s="19" t="n">
        <v>53.7</v>
      </c>
      <c r="O209" s="17" t="n">
        <f aca="false">IF(N209="","",RANK(N209,$N$5:$N$491))</f>
        <v>230</v>
      </c>
      <c r="P209" s="17" t="str">
        <f aca="false">IF(AND(N(H209)&gt;=N(K209),N(H209)&gt;=N(N209)),"The Pulse",IF(N(K209)&gt;=N(N209),"The Lens","The Hub"))</f>
        <v>The Lens</v>
      </c>
      <c r="Q209" s="20" t="s">
        <v>74</v>
      </c>
      <c r="R209" s="26" t="s">
        <v>668</v>
      </c>
      <c r="S209" s="17" t="s">
        <v>19</v>
      </c>
    </row>
    <row r="210" customFormat="false" ht="15" hidden="false" customHeight="false" outlineLevel="0" collapsed="false">
      <c r="A210" s="17" t="s">
        <v>1773</v>
      </c>
      <c r="B210" s="17" t="s">
        <v>1774</v>
      </c>
      <c r="C210" s="17" t="s">
        <v>2253</v>
      </c>
      <c r="D210" s="17" t="s">
        <v>92</v>
      </c>
      <c r="E210" s="18" t="n">
        <v>8924</v>
      </c>
      <c r="F210" s="17" t="s">
        <v>678</v>
      </c>
      <c r="G210" s="23" t="n">
        <v>1.47926938592559</v>
      </c>
      <c r="H210" s="19" t="n">
        <v>58.4</v>
      </c>
      <c r="I210" s="17" t="n">
        <f aca="false">IF(H210="","",RANK(H210,$H$5:$H$491))</f>
        <v>206</v>
      </c>
      <c r="J210" s="24" t="n">
        <v>0.0814348036839554</v>
      </c>
      <c r="K210" s="19" t="n">
        <v>44</v>
      </c>
      <c r="L210" s="17" t="n">
        <f aca="false">IF(K210="","",RANK(K210,$K$5:$K$491))</f>
        <v>282</v>
      </c>
      <c r="M210" s="25" t="n">
        <v>0.0234657039711191</v>
      </c>
      <c r="N210" s="19" t="n">
        <v>14.7</v>
      </c>
      <c r="O210" s="17" t="n">
        <f aca="false">IF(N210="","",RANK(N210,$N$5:$N$491))</f>
        <v>422</v>
      </c>
      <c r="P210" s="17" t="str">
        <f aca="false">IF(AND(N(H210)&gt;=N(K210),N(H210)&gt;=N(N210)),"The Pulse",IF(N(K210)&gt;=N(N210),"The Lens","The Hub"))</f>
        <v>The Pulse</v>
      </c>
      <c r="Q210" s="20" t="s">
        <v>74</v>
      </c>
      <c r="R210" s="26" t="s">
        <v>668</v>
      </c>
      <c r="S210" s="17" t="s">
        <v>19</v>
      </c>
    </row>
    <row r="211" customFormat="false" ht="15" hidden="false" customHeight="false" outlineLevel="0" collapsed="false">
      <c r="A211" s="17" t="s">
        <v>899</v>
      </c>
      <c r="B211" s="17" t="s">
        <v>900</v>
      </c>
      <c r="C211" s="17" t="s">
        <v>2254</v>
      </c>
      <c r="D211" s="17" t="s">
        <v>87</v>
      </c>
      <c r="E211" s="18" t="n">
        <v>82851</v>
      </c>
      <c r="F211" s="17" t="s">
        <v>667</v>
      </c>
      <c r="G211" s="23" t="n">
        <v>1.47462311861052</v>
      </c>
      <c r="H211" s="19" t="n">
        <v>58.2</v>
      </c>
      <c r="I211" s="17" t="n">
        <f aca="false">IF(H211="","",RANK(H211,$H$5:$H$491))</f>
        <v>207</v>
      </c>
      <c r="J211" s="24" t="n">
        <v>-0.00997535500528107</v>
      </c>
      <c r="K211" s="19" t="n">
        <v>8.9</v>
      </c>
      <c r="L211" s="17" t="n">
        <f aca="false">IF(K211="","",RANK(K211,$K$5:$K$491))</f>
        <v>446</v>
      </c>
      <c r="M211" s="25" t="n">
        <v>0.0209599027946537</v>
      </c>
      <c r="N211" s="19" t="n">
        <v>13.1</v>
      </c>
      <c r="O211" s="17" t="n">
        <f aca="false">IF(N211="","",RANK(N211,$N$5:$N$491))</f>
        <v>430</v>
      </c>
      <c r="P211" s="17" t="str">
        <f aca="false">IF(AND(N(H211)&gt;=N(K211),N(H211)&gt;=N(N211)),"The Pulse",IF(N(K211)&gt;=N(N211),"The Lens","The Hub"))</f>
        <v>The Pulse</v>
      </c>
      <c r="Q211" s="21" t="s">
        <v>78</v>
      </c>
      <c r="R211" s="26" t="s">
        <v>668</v>
      </c>
      <c r="S211" s="17" t="s">
        <v>126</v>
      </c>
    </row>
    <row r="212" customFormat="false" ht="15" hidden="false" customHeight="false" outlineLevel="0" collapsed="false">
      <c r="A212" s="17" t="s">
        <v>2255</v>
      </c>
      <c r="B212" s="17" t="s">
        <v>2256</v>
      </c>
      <c r="C212" s="17" t="s">
        <v>2257</v>
      </c>
      <c r="D212" s="17" t="s">
        <v>105</v>
      </c>
      <c r="E212" s="18" t="n">
        <v>162241</v>
      </c>
      <c r="F212" s="17" t="s">
        <v>670</v>
      </c>
      <c r="G212" s="23" t="n">
        <v>1.46986889873706</v>
      </c>
      <c r="H212" s="19" t="n">
        <v>58</v>
      </c>
      <c r="I212" s="17" t="n">
        <f aca="false">IF(H212="","",RANK(H212,$H$5:$H$491))</f>
        <v>208</v>
      </c>
      <c r="J212" s="24" t="n">
        <v>0.0111623558741041</v>
      </c>
      <c r="K212" s="19" t="n">
        <v>17.5</v>
      </c>
      <c r="L212" s="17" t="n">
        <f aca="false">IF(K212="","",RANK(K212,$K$5:$K$491))</f>
        <v>403</v>
      </c>
      <c r="M212" s="25" t="n">
        <v>0.133044249531881</v>
      </c>
      <c r="N212" s="19" t="n">
        <v>66.5</v>
      </c>
      <c r="O212" s="17" t="n">
        <f aca="false">IF(N212="","",RANK(N212,$N$5:$N$491))</f>
        <v>166</v>
      </c>
      <c r="P212" s="17" t="str">
        <f aca="false">IF(AND(N(H212)&gt;=N(K212),N(H212)&gt;=N(N212)),"The Pulse",IF(N(K212)&gt;=N(N212),"The Lens","The Hub"))</f>
        <v>The Hub</v>
      </c>
      <c r="Q212" s="20" t="s">
        <v>74</v>
      </c>
      <c r="R212" s="26" t="s">
        <v>668</v>
      </c>
      <c r="S212" s="17" t="s">
        <v>19</v>
      </c>
    </row>
    <row r="213" customFormat="false" ht="15" hidden="false" customHeight="false" outlineLevel="0" collapsed="false">
      <c r="A213" s="17" t="s">
        <v>2258</v>
      </c>
      <c r="B213" s="17" t="s">
        <v>2259</v>
      </c>
      <c r="C213" s="17" t="s">
        <v>2260</v>
      </c>
      <c r="D213" s="17" t="s">
        <v>102</v>
      </c>
      <c r="E213" s="18" t="n">
        <v>989610</v>
      </c>
      <c r="F213" s="17" t="s">
        <v>670</v>
      </c>
      <c r="G213" s="23" t="n">
        <v>1.46533887086832</v>
      </c>
      <c r="H213" s="19" t="n">
        <v>57.8</v>
      </c>
      <c r="I213" s="17" t="n">
        <f aca="false">IF(H213="","",RANK(H213,$H$5:$H$491))</f>
        <v>209</v>
      </c>
      <c r="J213" s="24" t="n">
        <v>0.232616680762232</v>
      </c>
      <c r="K213" s="19" t="n">
        <v>95.2</v>
      </c>
      <c r="L213" s="17" t="n">
        <f aca="false">IF(K213="","",RANK(K213,$K$5:$K$491))</f>
        <v>26</v>
      </c>
      <c r="M213" s="25" t="n">
        <v>0.0350464859918052</v>
      </c>
      <c r="N213" s="19" t="n">
        <v>21.9</v>
      </c>
      <c r="O213" s="17" t="n">
        <f aca="false">IF(N213="","",RANK(N213,$N$5:$N$491))</f>
        <v>386</v>
      </c>
      <c r="P213" s="17" t="str">
        <f aca="false">IF(AND(N(H213)&gt;=N(K213),N(H213)&gt;=N(N213)),"The Pulse",IF(N(K213)&gt;=N(N213),"The Lens","The Hub"))</f>
        <v>The Lens</v>
      </c>
      <c r="Q213" s="20" t="s">
        <v>74</v>
      </c>
      <c r="R213" s="26" t="s">
        <v>668</v>
      </c>
      <c r="S213" s="17" t="s">
        <v>19</v>
      </c>
    </row>
    <row r="214" customFormat="false" ht="15" hidden="false" customHeight="false" outlineLevel="0" collapsed="false">
      <c r="A214" s="17" t="s">
        <v>303</v>
      </c>
      <c r="B214" s="17" t="s">
        <v>304</v>
      </c>
      <c r="C214" s="17" t="s">
        <v>2261</v>
      </c>
      <c r="D214" s="17" t="s">
        <v>77</v>
      </c>
      <c r="E214" s="18" t="n">
        <v>209687</v>
      </c>
      <c r="F214" s="17" t="s">
        <v>670</v>
      </c>
      <c r="G214" s="23" t="n">
        <v>1.4602812763786</v>
      </c>
      <c r="H214" s="19" t="n">
        <v>57.4</v>
      </c>
      <c r="I214" s="17" t="n">
        <f aca="false">IF(H214="","",RANK(H214,$H$5:$H$491))</f>
        <v>210</v>
      </c>
      <c r="J214" s="24" t="n">
        <v>0.127258554417655</v>
      </c>
      <c r="K214" s="19" t="n">
        <v>70.5</v>
      </c>
      <c r="L214" s="17" t="n">
        <f aca="false">IF(K214="","",RANK(K214,$K$5:$K$491))</f>
        <v>150</v>
      </c>
      <c r="M214" s="25" t="n">
        <v>0.191206267729299</v>
      </c>
      <c r="N214" s="19" t="n">
        <v>80.8</v>
      </c>
      <c r="O214" s="17" t="n">
        <f aca="false">IF(N214="","",RANK(N214,$N$5:$N$491))</f>
        <v>94</v>
      </c>
      <c r="P214" s="17" t="str">
        <f aca="false">IF(AND(N(H214)&gt;=N(K214),N(H214)&gt;=N(N214)),"The Pulse",IF(N(K214)&gt;=N(N214),"The Lens","The Hub"))</f>
        <v>The Hub</v>
      </c>
      <c r="Q214" s="20" t="s">
        <v>74</v>
      </c>
      <c r="R214" s="27" t="s">
        <v>671</v>
      </c>
      <c r="S214" s="17" t="s">
        <v>19</v>
      </c>
    </row>
    <row r="215" customFormat="false" ht="15" hidden="false" customHeight="false" outlineLevel="0" collapsed="false">
      <c r="A215" s="17" t="s">
        <v>1435</v>
      </c>
      <c r="B215" s="17" t="s">
        <v>1436</v>
      </c>
      <c r="C215" s="17" t="s">
        <v>2262</v>
      </c>
      <c r="D215" s="17" t="s">
        <v>105</v>
      </c>
      <c r="E215" s="18" t="n">
        <v>441711</v>
      </c>
      <c r="F215" s="17" t="s">
        <v>670</v>
      </c>
      <c r="G215" s="23" t="n">
        <v>1.45863924602285</v>
      </c>
      <c r="H215" s="19" t="n">
        <v>57.2</v>
      </c>
      <c r="I215" s="17" t="n">
        <f aca="false">IF(H215="","",RANK(H215,$H$5:$H$491))</f>
        <v>211</v>
      </c>
      <c r="J215" s="24" t="n">
        <v>0.22955364723239</v>
      </c>
      <c r="K215" s="19" t="n">
        <v>94</v>
      </c>
      <c r="L215" s="17" t="n">
        <f aca="false">IF(K215="","",RANK(K215,$K$5:$K$491))</f>
        <v>32</v>
      </c>
      <c r="M215" s="25" t="n">
        <v>0.169192172604114</v>
      </c>
      <c r="N215" s="19" t="n">
        <v>77</v>
      </c>
      <c r="O215" s="17" t="n">
        <f aca="false">IF(N215="","",RANK(N215,$N$5:$N$491))</f>
        <v>113</v>
      </c>
      <c r="P215" s="17" t="str">
        <f aca="false">IF(AND(N(H215)&gt;=N(K215),N(H215)&gt;=N(N215)),"The Pulse",IF(N(K215)&gt;=N(N215),"The Lens","The Hub"))</f>
        <v>The Lens</v>
      </c>
      <c r="Q215" s="20" t="s">
        <v>74</v>
      </c>
      <c r="R215" s="26" t="s">
        <v>668</v>
      </c>
      <c r="S215" s="17" t="s">
        <v>19</v>
      </c>
    </row>
    <row r="216" customFormat="false" ht="15" hidden="false" customHeight="false" outlineLevel="0" collapsed="false">
      <c r="A216" s="17" t="s">
        <v>2263</v>
      </c>
      <c r="B216" s="17" t="s">
        <v>2264</v>
      </c>
      <c r="C216" s="17" t="s">
        <v>2265</v>
      </c>
      <c r="D216" s="17" t="s">
        <v>133</v>
      </c>
      <c r="E216" s="18" t="n">
        <v>89305</v>
      </c>
      <c r="F216" s="17" t="s">
        <v>667</v>
      </c>
      <c r="G216" s="23" t="n">
        <v>1.44954929735177</v>
      </c>
      <c r="H216" s="19" t="n">
        <v>57</v>
      </c>
      <c r="I216" s="17" t="n">
        <f aca="false">IF(H216="","",RANK(H216,$H$5:$H$491))</f>
        <v>212</v>
      </c>
      <c r="J216" s="24" t="n">
        <v>-0.0951324295296573</v>
      </c>
      <c r="K216" s="19" t="n">
        <v>0.4</v>
      </c>
      <c r="L216" s="17" t="n">
        <f aca="false">IF(K216="","",RANK(K216,$K$5:$K$491))</f>
        <v>487</v>
      </c>
      <c r="M216" s="25" t="n">
        <v>0.171588967537222</v>
      </c>
      <c r="N216" s="19" t="n">
        <v>77.5</v>
      </c>
      <c r="O216" s="17" t="n">
        <f aca="false">IF(N216="","",RANK(N216,$N$5:$N$491))</f>
        <v>110</v>
      </c>
      <c r="P216" s="17" t="str">
        <f aca="false">IF(AND(N(H216)&gt;=N(K216),N(H216)&gt;=N(N216)),"The Pulse",IF(N(K216)&gt;=N(N216),"The Lens","The Hub"))</f>
        <v>The Hub</v>
      </c>
      <c r="Q216" s="20" t="s">
        <v>74</v>
      </c>
      <c r="R216" s="26" t="s">
        <v>668</v>
      </c>
      <c r="S216" s="17" t="s">
        <v>19</v>
      </c>
    </row>
    <row r="217" customFormat="false" ht="15" hidden="false" customHeight="false" outlineLevel="0" collapsed="false">
      <c r="A217" s="17" t="s">
        <v>2266</v>
      </c>
      <c r="B217" s="17" t="s">
        <v>2267</v>
      </c>
      <c r="C217" s="17" t="s">
        <v>2268</v>
      </c>
      <c r="D217" s="17" t="s">
        <v>92</v>
      </c>
      <c r="E217" s="18" t="n">
        <v>99720</v>
      </c>
      <c r="F217" s="17" t="s">
        <v>667</v>
      </c>
      <c r="G217" s="23" t="n">
        <v>1.43276173285199</v>
      </c>
      <c r="H217" s="19" t="n">
        <v>56.8</v>
      </c>
      <c r="I217" s="17" t="n">
        <f aca="false">IF(H217="","",RANK(H217,$H$5:$H$491))</f>
        <v>213</v>
      </c>
      <c r="J217" s="24" t="n">
        <v>0.0481395837712844</v>
      </c>
      <c r="K217" s="19" t="n">
        <v>29.4</v>
      </c>
      <c r="L217" s="17" t="n">
        <f aca="false">IF(K217="","",RANK(K217,$K$5:$K$491))</f>
        <v>348</v>
      </c>
      <c r="M217" s="25" t="n">
        <v>0.269324654190399</v>
      </c>
      <c r="N217" s="19" t="n">
        <v>94.9</v>
      </c>
      <c r="O217" s="17" t="n">
        <f aca="false">IF(N217="","",RANK(N217,$N$5:$N$491))</f>
        <v>26</v>
      </c>
      <c r="P217" s="17" t="str">
        <f aca="false">IF(AND(N(H217)&gt;=N(K217),N(H217)&gt;=N(N217)),"The Pulse",IF(N(K217)&gt;=N(N217),"The Lens","The Hub"))</f>
        <v>The Hub</v>
      </c>
      <c r="Q217" s="21" t="s">
        <v>78</v>
      </c>
      <c r="R217" s="26" t="s">
        <v>668</v>
      </c>
      <c r="S217" s="17" t="s">
        <v>21</v>
      </c>
    </row>
    <row r="218" customFormat="false" ht="15" hidden="false" customHeight="false" outlineLevel="0" collapsed="false">
      <c r="A218" s="17" t="s">
        <v>313</v>
      </c>
      <c r="B218" s="17" t="s">
        <v>314</v>
      </c>
      <c r="C218" s="17" t="s">
        <v>2269</v>
      </c>
      <c r="D218" s="17" t="s">
        <v>92</v>
      </c>
      <c r="E218" s="18" t="n">
        <v>205851</v>
      </c>
      <c r="F218" s="17" t="s">
        <v>670</v>
      </c>
      <c r="G218" s="23" t="n">
        <v>1.43200664558346</v>
      </c>
      <c r="H218" s="19" t="n">
        <v>56.7</v>
      </c>
      <c r="I218" s="17" t="n">
        <f aca="false">IF(H218="","",RANK(H218,$H$5:$H$491))</f>
        <v>214</v>
      </c>
      <c r="J218" s="24" t="n">
        <v>0.0664694515104574</v>
      </c>
      <c r="K218" s="19" t="n">
        <v>42.2</v>
      </c>
      <c r="L218" s="17" t="n">
        <f aca="false">IF(K218="","",RANK(K218,$K$5:$K$491))</f>
        <v>291</v>
      </c>
      <c r="M218" s="25" t="n">
        <v>0.130410986167778</v>
      </c>
      <c r="N218" s="19" t="n">
        <v>65.3</v>
      </c>
      <c r="O218" s="17" t="n">
        <f aca="false">IF(N218="","",RANK(N218,$N$5:$N$491))</f>
        <v>172</v>
      </c>
      <c r="P218" s="17" t="str">
        <f aca="false">IF(AND(N(H218)&gt;=N(K218),N(H218)&gt;=N(N218)),"The Pulse",IF(N(K218)&gt;=N(N218),"The Lens","The Hub"))</f>
        <v>The Hub</v>
      </c>
      <c r="Q218" s="21" t="s">
        <v>78</v>
      </c>
      <c r="R218" s="27" t="s">
        <v>671</v>
      </c>
      <c r="S218" s="17" t="s">
        <v>126</v>
      </c>
    </row>
    <row r="219" customFormat="false" ht="15" hidden="false" customHeight="false" outlineLevel="0" collapsed="false">
      <c r="A219" s="17" t="s">
        <v>433</v>
      </c>
      <c r="B219" s="17" t="s">
        <v>434</v>
      </c>
      <c r="C219" s="17" t="s">
        <v>2270</v>
      </c>
      <c r="D219" s="17" t="s">
        <v>138</v>
      </c>
      <c r="E219" s="18" t="n">
        <v>44334</v>
      </c>
      <c r="F219" s="17" t="s">
        <v>667</v>
      </c>
      <c r="G219" s="23" t="n">
        <v>1.4261740424956</v>
      </c>
      <c r="H219" s="19" t="n">
        <v>56.5</v>
      </c>
      <c r="I219" s="17" t="n">
        <f aca="false">IF(H219="","",RANK(H219,$H$5:$H$491))</f>
        <v>215</v>
      </c>
      <c r="J219" s="24" t="n">
        <v>0.0646718378521169</v>
      </c>
      <c r="K219" s="19" t="n">
        <v>37.2</v>
      </c>
      <c r="L219" s="17" t="n">
        <f aca="false">IF(K219="","",RANK(K219,$K$5:$K$491))</f>
        <v>315</v>
      </c>
      <c r="M219" s="25" t="n">
        <v>0.017931858936043</v>
      </c>
      <c r="N219" s="19" t="n">
        <v>11.2</v>
      </c>
      <c r="O219" s="17" t="n">
        <f aca="false">IF(N219="","",RANK(N219,$N$5:$N$491))</f>
        <v>437</v>
      </c>
      <c r="P219" s="17" t="str">
        <f aca="false">IF(AND(N(H219)&gt;=N(K219),N(H219)&gt;=N(N219)),"The Pulse",IF(N(K219)&gt;=N(N219),"The Lens","The Hub"))</f>
        <v>The Pulse</v>
      </c>
      <c r="Q219" s="20" t="s">
        <v>74</v>
      </c>
      <c r="R219" s="27" t="s">
        <v>671</v>
      </c>
      <c r="S219" s="17" t="s">
        <v>19</v>
      </c>
    </row>
    <row r="220" customFormat="false" ht="15" hidden="false" customHeight="false" outlineLevel="0" collapsed="false">
      <c r="A220" s="17" t="s">
        <v>405</v>
      </c>
      <c r="B220" s="17" t="s">
        <v>406</v>
      </c>
      <c r="C220" s="17" t="s">
        <v>2271</v>
      </c>
      <c r="D220" s="17" t="s">
        <v>92</v>
      </c>
      <c r="E220" s="18" t="n">
        <v>46852</v>
      </c>
      <c r="F220" s="17" t="s">
        <v>667</v>
      </c>
      <c r="G220" s="23" t="n">
        <v>1.4243788952446</v>
      </c>
      <c r="H220" s="19" t="n">
        <v>56.3</v>
      </c>
      <c r="I220" s="17" t="n">
        <f aca="false">IF(H220="","",RANK(H220,$H$5:$H$491))</f>
        <v>216</v>
      </c>
      <c r="J220" s="24" t="n">
        <v>0.162926926131851</v>
      </c>
      <c r="K220" s="19" t="n">
        <v>82.6</v>
      </c>
      <c r="L220" s="17" t="n">
        <f aca="false">IF(K220="","",RANK(K220,$K$5:$K$491))</f>
        <v>88</v>
      </c>
      <c r="M220" s="25" t="n">
        <v>0.0379452762003098</v>
      </c>
      <c r="N220" s="19" t="n">
        <v>24.6</v>
      </c>
      <c r="O220" s="17" t="n">
        <f aca="false">IF(N220="","",RANK(N220,$N$5:$N$491))</f>
        <v>372</v>
      </c>
      <c r="P220" s="17" t="str">
        <f aca="false">IF(AND(N(H220)&gt;=N(K220),N(H220)&gt;=N(N220)),"The Pulse",IF(N(K220)&gt;=N(N220),"The Lens","The Hub"))</f>
        <v>The Lens</v>
      </c>
      <c r="Q220" s="20" t="s">
        <v>74</v>
      </c>
      <c r="R220" s="27" t="s">
        <v>671</v>
      </c>
      <c r="S220" s="17" t="s">
        <v>19</v>
      </c>
    </row>
    <row r="221" customFormat="false" ht="15" hidden="false" customHeight="false" outlineLevel="0" collapsed="false">
      <c r="A221" s="17" t="s">
        <v>2272</v>
      </c>
      <c r="B221" s="17" t="s">
        <v>2273</v>
      </c>
      <c r="C221" s="17" t="s">
        <v>2274</v>
      </c>
      <c r="D221" s="17" t="s">
        <v>138</v>
      </c>
      <c r="E221" s="18" t="n">
        <v>15826</v>
      </c>
      <c r="F221" s="17" t="s">
        <v>667</v>
      </c>
      <c r="G221" s="23" t="n">
        <v>1.42221660558575</v>
      </c>
      <c r="H221" s="19" t="n">
        <v>56.1</v>
      </c>
      <c r="I221" s="17" t="n">
        <f aca="false">IF(H221="","",RANK(H221,$H$5:$H$491))</f>
        <v>217</v>
      </c>
      <c r="J221" s="24" t="n">
        <v>0.168746769071708</v>
      </c>
      <c r="K221" s="19" t="n">
        <v>85.5</v>
      </c>
      <c r="L221" s="17" t="n">
        <f aca="false">IF(K221="","",RANK(K221,$K$5:$K$491))</f>
        <v>72</v>
      </c>
      <c r="M221" s="25" t="n">
        <v>0.100415923945336</v>
      </c>
      <c r="N221" s="19" t="n">
        <v>55.2</v>
      </c>
      <c r="O221" s="17" t="n">
        <f aca="false">IF(N221="","",RANK(N221,$N$5:$N$491))</f>
        <v>223</v>
      </c>
      <c r="P221" s="17" t="str">
        <f aca="false">IF(AND(N(H221)&gt;=N(K221),N(H221)&gt;=N(N221)),"The Pulse",IF(N(K221)&gt;=N(N221),"The Lens","The Hub"))</f>
        <v>The Lens</v>
      </c>
      <c r="Q221" s="20" t="s">
        <v>74</v>
      </c>
      <c r="R221" s="26" t="s">
        <v>668</v>
      </c>
      <c r="S221" s="17" t="s">
        <v>19</v>
      </c>
    </row>
    <row r="222" customFormat="false" ht="15" hidden="false" customHeight="false" outlineLevel="0" collapsed="false">
      <c r="A222" s="17" t="s">
        <v>369</v>
      </c>
      <c r="B222" s="17" t="s">
        <v>370</v>
      </c>
      <c r="C222" s="17" t="s">
        <v>2275</v>
      </c>
      <c r="D222" s="17" t="s">
        <v>81</v>
      </c>
      <c r="E222" s="18" t="n">
        <v>42168</v>
      </c>
      <c r="F222" s="17" t="s">
        <v>667</v>
      </c>
      <c r="G222" s="23" t="n">
        <v>1.40476190476191</v>
      </c>
      <c r="H222" s="19" t="n">
        <v>55.9</v>
      </c>
      <c r="I222" s="17" t="n">
        <f aca="false">IF(H222="","",RANK(H222,$H$5:$H$491))</f>
        <v>218</v>
      </c>
      <c r="J222" s="24" t="n">
        <v>-0.0414838724342509</v>
      </c>
      <c r="K222" s="19" t="n">
        <v>3.2</v>
      </c>
      <c r="L222" s="17" t="n">
        <f aca="false">IF(K222="","",RANK(K222,$K$5:$K$491))</f>
        <v>474</v>
      </c>
      <c r="M222" s="25" t="n">
        <v>0.0274691358024691</v>
      </c>
      <c r="N222" s="19" t="n">
        <v>17</v>
      </c>
      <c r="O222" s="17" t="n">
        <f aca="false">IF(N222="","",RANK(N222,$N$5:$N$491))</f>
        <v>410</v>
      </c>
      <c r="P222" s="17" t="str">
        <f aca="false">IF(AND(N(H222)&gt;=N(K222),N(H222)&gt;=N(N222)),"The Pulse",IF(N(K222)&gt;=N(N222),"The Lens","The Hub"))</f>
        <v>The Pulse</v>
      </c>
      <c r="Q222" s="20" t="s">
        <v>74</v>
      </c>
      <c r="R222" s="27" t="s">
        <v>671</v>
      </c>
      <c r="S222" s="17" t="s">
        <v>19</v>
      </c>
    </row>
    <row r="223" customFormat="false" ht="15" hidden="false" customHeight="false" outlineLevel="0" collapsed="false">
      <c r="A223" s="17" t="s">
        <v>489</v>
      </c>
      <c r="B223" s="17" t="s">
        <v>490</v>
      </c>
      <c r="C223" s="17" t="s">
        <v>2276</v>
      </c>
      <c r="D223" s="17" t="s">
        <v>138</v>
      </c>
      <c r="E223" s="18" t="n">
        <v>417055</v>
      </c>
      <c r="F223" s="17" t="s">
        <v>670</v>
      </c>
      <c r="G223" s="23" t="n">
        <v>1.40441908141612</v>
      </c>
      <c r="H223" s="19" t="n">
        <v>55.7</v>
      </c>
      <c r="I223" s="17" t="n">
        <f aca="false">IF(H223="","",RANK(H223,$H$5:$H$491))</f>
        <v>219</v>
      </c>
      <c r="J223" s="24" t="n">
        <v>-0.0442475645276983</v>
      </c>
      <c r="K223" s="19" t="n">
        <v>6</v>
      </c>
      <c r="L223" s="17" t="n">
        <f aca="false">IF(K223="","",RANK(K223,$K$5:$K$491))</f>
        <v>460</v>
      </c>
      <c r="M223" s="25" t="n">
        <v>0.0335028417588992</v>
      </c>
      <c r="N223" s="19" t="n">
        <v>21.1</v>
      </c>
      <c r="O223" s="17" t="n">
        <f aca="false">IF(N223="","",RANK(N223,$N$5:$N$491))</f>
        <v>389</v>
      </c>
      <c r="P223" s="17" t="str">
        <f aca="false">IF(AND(N(H223)&gt;=N(K223),N(H223)&gt;=N(N223)),"The Pulse",IF(N(K223)&gt;=N(N223),"The Lens","The Hub"))</f>
        <v>The Pulse</v>
      </c>
      <c r="Q223" s="20" t="s">
        <v>74</v>
      </c>
      <c r="R223" s="27" t="s">
        <v>671</v>
      </c>
      <c r="S223" s="17" t="s">
        <v>19</v>
      </c>
    </row>
    <row r="224" customFormat="false" ht="15" hidden="false" customHeight="false" outlineLevel="0" collapsed="false">
      <c r="A224" s="17" t="s">
        <v>325</v>
      </c>
      <c r="B224" s="17" t="s">
        <v>326</v>
      </c>
      <c r="C224" s="17" t="s">
        <v>2277</v>
      </c>
      <c r="D224" s="17" t="s">
        <v>133</v>
      </c>
      <c r="E224" s="18" t="n">
        <v>937637</v>
      </c>
      <c r="F224" s="17" t="s">
        <v>670</v>
      </c>
      <c r="G224" s="23" t="n">
        <v>1.39895716572618</v>
      </c>
      <c r="H224" s="19" t="n">
        <v>55.5</v>
      </c>
      <c r="I224" s="17" t="n">
        <f aca="false">IF(H224="","",RANK(H224,$H$5:$H$491))</f>
        <v>220</v>
      </c>
      <c r="J224" s="24" t="n">
        <v>0.112502343329165</v>
      </c>
      <c r="K224" s="19" t="n">
        <v>65.1</v>
      </c>
      <c r="L224" s="17" t="n">
        <f aca="false">IF(K224="","",RANK(K224,$K$5:$K$491))</f>
        <v>177</v>
      </c>
      <c r="M224" s="25" t="n">
        <v>0.0364445475540183</v>
      </c>
      <c r="N224" s="19" t="n">
        <v>23.8</v>
      </c>
      <c r="O224" s="17" t="n">
        <f aca="false">IF(N224="","",RANK(N224,$N$5:$N$491))</f>
        <v>376</v>
      </c>
      <c r="P224" s="17" t="str">
        <f aca="false">IF(AND(N(H224)&gt;=N(K224),N(H224)&gt;=N(N224)),"The Pulse",IF(N(K224)&gt;=N(N224),"The Lens","The Hub"))</f>
        <v>The Lens</v>
      </c>
      <c r="Q224" s="20" t="s">
        <v>74</v>
      </c>
      <c r="R224" s="27" t="s">
        <v>671</v>
      </c>
      <c r="S224" s="17" t="s">
        <v>19</v>
      </c>
    </row>
    <row r="225" customFormat="false" ht="15" hidden="false" customHeight="false" outlineLevel="0" collapsed="false">
      <c r="A225" s="17" t="s">
        <v>2278</v>
      </c>
      <c r="B225" s="17" t="s">
        <v>2279</v>
      </c>
      <c r="C225" s="17" t="s">
        <v>2280</v>
      </c>
      <c r="D225" s="17" t="s">
        <v>92</v>
      </c>
      <c r="E225" s="18" t="n">
        <v>16529</v>
      </c>
      <c r="F225" s="17" t="s">
        <v>667</v>
      </c>
      <c r="G225" s="23" t="n">
        <v>1.39252223364995</v>
      </c>
      <c r="H225" s="19" t="n">
        <v>55.3</v>
      </c>
      <c r="I225" s="17" t="n">
        <f aca="false">IF(H225="","",RANK(H225,$H$5:$H$491))</f>
        <v>221</v>
      </c>
      <c r="J225" s="24" t="n">
        <v>0.114715403291071</v>
      </c>
      <c r="K225" s="19" t="n">
        <v>61</v>
      </c>
      <c r="L225" s="17" t="n">
        <f aca="false">IF(K225="","",RANK(K225,$K$5:$K$491))</f>
        <v>197</v>
      </c>
      <c r="M225" s="25" t="n">
        <v>0.0518796992481203</v>
      </c>
      <c r="N225" s="19" t="n">
        <v>32.4</v>
      </c>
      <c r="O225" s="17" t="n">
        <f aca="false">IF(N225="","",RANK(N225,$N$5:$N$491))</f>
        <v>334</v>
      </c>
      <c r="P225" s="17" t="str">
        <f aca="false">IF(AND(N(H225)&gt;=N(K225),N(H225)&gt;=N(N225)),"The Pulse",IF(N(K225)&gt;=N(N225),"The Lens","The Hub"))</f>
        <v>The Lens</v>
      </c>
      <c r="Q225" s="20" t="s">
        <v>74</v>
      </c>
      <c r="R225" s="26" t="s">
        <v>668</v>
      </c>
      <c r="S225" s="17" t="s">
        <v>19</v>
      </c>
    </row>
    <row r="226" customFormat="false" ht="15" hidden="false" customHeight="false" outlineLevel="0" collapsed="false">
      <c r="A226" s="17" t="s">
        <v>817</v>
      </c>
      <c r="B226" s="17" t="s">
        <v>818</v>
      </c>
      <c r="C226" s="17" t="s">
        <v>2281</v>
      </c>
      <c r="D226" s="17" t="s">
        <v>102</v>
      </c>
      <c r="E226" s="18" t="n">
        <v>40776</v>
      </c>
      <c r="F226" s="17" t="s">
        <v>667</v>
      </c>
      <c r="G226" s="23" t="n">
        <v>1.3900824014126</v>
      </c>
      <c r="H226" s="19" t="n">
        <v>55.1</v>
      </c>
      <c r="I226" s="17" t="n">
        <f aca="false">IF(H226="","",RANK(H226,$H$5:$H$491))</f>
        <v>222</v>
      </c>
      <c r="J226" s="24" t="n">
        <v>0.253412025082995</v>
      </c>
      <c r="K226" s="19" t="n">
        <v>99.3</v>
      </c>
      <c r="L226" s="17" t="n">
        <f aca="false">IF(K226="","",RANK(K226,$K$5:$K$491))</f>
        <v>7</v>
      </c>
      <c r="M226" s="25" t="n">
        <v>0.0443151298119964</v>
      </c>
      <c r="N226" s="19" t="n">
        <v>27.8</v>
      </c>
      <c r="O226" s="17" t="n">
        <f aca="false">IF(N226="","",RANK(N226,$N$5:$N$491))</f>
        <v>356</v>
      </c>
      <c r="P226" s="17" t="str">
        <f aca="false">IF(AND(N(H226)&gt;=N(K226),N(H226)&gt;=N(N226)),"The Pulse",IF(N(K226)&gt;=N(N226),"The Lens","The Hub"))</f>
        <v>The Lens</v>
      </c>
      <c r="Q226" s="20" t="s">
        <v>74</v>
      </c>
      <c r="R226" s="26" t="s">
        <v>668</v>
      </c>
      <c r="S226" s="17" t="s">
        <v>19</v>
      </c>
    </row>
    <row r="227" customFormat="false" ht="15" hidden="false" customHeight="false" outlineLevel="0" collapsed="false">
      <c r="A227" s="17" t="s">
        <v>178</v>
      </c>
      <c r="B227" s="17" t="s">
        <v>179</v>
      </c>
      <c r="C227" s="17" t="s">
        <v>2282</v>
      </c>
      <c r="D227" s="17" t="s">
        <v>87</v>
      </c>
      <c r="E227" s="18" t="n">
        <v>217983</v>
      </c>
      <c r="F227" s="17" t="s">
        <v>670</v>
      </c>
      <c r="G227" s="23" t="n">
        <v>1.38781923360996</v>
      </c>
      <c r="H227" s="19" t="n">
        <v>54.9</v>
      </c>
      <c r="I227" s="17" t="n">
        <f aca="false">IF(H227="","",RANK(H227,$H$5:$H$491))</f>
        <v>223</v>
      </c>
      <c r="J227" s="24" t="n">
        <v>0.0646040389734073</v>
      </c>
      <c r="K227" s="19" t="n">
        <v>41</v>
      </c>
      <c r="L227" s="17" t="n">
        <f aca="false">IF(K227="","",RANK(K227,$K$5:$K$491))</f>
        <v>298</v>
      </c>
      <c r="M227" s="25" t="n">
        <v>0.230605846060484</v>
      </c>
      <c r="N227" s="19" t="n">
        <v>89.7</v>
      </c>
      <c r="O227" s="17" t="n">
        <f aca="false">IF(N227="","",RANK(N227,$N$5:$N$491))</f>
        <v>52</v>
      </c>
      <c r="P227" s="17" t="str">
        <f aca="false">IF(AND(N(H227)&gt;=N(K227),N(H227)&gt;=N(N227)),"The Pulse",IF(N(K227)&gt;=N(N227),"The Lens","The Hub"))</f>
        <v>The Hub</v>
      </c>
      <c r="Q227" s="20" t="s">
        <v>74</v>
      </c>
      <c r="R227" s="27" t="s">
        <v>671</v>
      </c>
      <c r="S227" s="17" t="s">
        <v>19</v>
      </c>
    </row>
    <row r="228" customFormat="false" ht="15" hidden="false" customHeight="false" outlineLevel="0" collapsed="false">
      <c r="A228" s="17" t="s">
        <v>160</v>
      </c>
      <c r="B228" s="17" t="s">
        <v>161</v>
      </c>
      <c r="C228" s="17" t="s">
        <v>2283</v>
      </c>
      <c r="D228" s="17" t="s">
        <v>77</v>
      </c>
      <c r="E228" s="18" t="n">
        <v>29746</v>
      </c>
      <c r="F228" s="17" t="s">
        <v>667</v>
      </c>
      <c r="G228" s="23" t="n">
        <v>1.38418610905668</v>
      </c>
      <c r="H228" s="19" t="n">
        <v>54.8</v>
      </c>
      <c r="I228" s="17" t="n">
        <f aca="false">IF(H228="","",RANK(H228,$H$5:$H$491))</f>
        <v>224</v>
      </c>
      <c r="J228" s="24" t="n">
        <v>0.037711494854352</v>
      </c>
      <c r="K228" s="19" t="n">
        <v>24.8</v>
      </c>
      <c r="L228" s="17" t="n">
        <f aca="false">IF(K228="","",RANK(K228,$K$5:$K$491))</f>
        <v>369</v>
      </c>
      <c r="M228" s="25" t="n">
        <v>0.00423728813559322</v>
      </c>
      <c r="N228" s="19" t="n">
        <v>4.4</v>
      </c>
      <c r="O228" s="17" t="n">
        <f aca="false">IF(N228="","",RANK(N228,$N$5:$N$491))</f>
        <v>467</v>
      </c>
      <c r="P228" s="17" t="str">
        <f aca="false">IF(AND(N(H228)&gt;=N(K228),N(H228)&gt;=N(N228)),"The Pulse",IF(N(K228)&gt;=N(N228),"The Lens","The Hub"))</f>
        <v>The Pulse</v>
      </c>
      <c r="Q228" s="20" t="s">
        <v>74</v>
      </c>
      <c r="R228" s="27" t="s">
        <v>671</v>
      </c>
      <c r="S228" s="17" t="s">
        <v>19</v>
      </c>
    </row>
    <row r="229" customFormat="false" ht="15" hidden="false" customHeight="false" outlineLevel="0" collapsed="false">
      <c r="A229" s="17" t="s">
        <v>176</v>
      </c>
      <c r="B229" s="17" t="s">
        <v>177</v>
      </c>
      <c r="C229" s="17" t="s">
        <v>2284</v>
      </c>
      <c r="D229" s="17" t="s">
        <v>105</v>
      </c>
      <c r="E229" s="18" t="n">
        <v>107042</v>
      </c>
      <c r="F229" s="17" t="s">
        <v>670</v>
      </c>
      <c r="G229" s="23" t="n">
        <v>1.37209693391379</v>
      </c>
      <c r="H229" s="19" t="n">
        <v>54.6</v>
      </c>
      <c r="I229" s="17" t="n">
        <f aca="false">IF(H229="","",RANK(H229,$H$5:$H$491))</f>
        <v>225</v>
      </c>
      <c r="J229" s="24" t="n">
        <v>0.165476242323941</v>
      </c>
      <c r="K229" s="19" t="n">
        <v>82.5</v>
      </c>
      <c r="L229" s="17" t="n">
        <f aca="false">IF(K229="","",RANK(K229,$K$5:$K$491))</f>
        <v>89</v>
      </c>
      <c r="M229" s="25" t="n">
        <v>0.0840100398641665</v>
      </c>
      <c r="N229" s="19" t="n">
        <v>46.5</v>
      </c>
      <c r="O229" s="17" t="n">
        <f aca="false">IF(N229="","",RANK(N229,$N$5:$N$491))</f>
        <v>265</v>
      </c>
      <c r="P229" s="17" t="str">
        <f aca="false">IF(AND(N(H229)&gt;=N(K229),N(H229)&gt;=N(N229)),"The Pulse",IF(N(K229)&gt;=N(N229),"The Lens","The Hub"))</f>
        <v>The Lens</v>
      </c>
      <c r="Q229" s="20" t="s">
        <v>74</v>
      </c>
      <c r="R229" s="27" t="s">
        <v>671</v>
      </c>
      <c r="S229" s="17" t="s">
        <v>19</v>
      </c>
    </row>
    <row r="230" customFormat="false" ht="15" hidden="false" customHeight="false" outlineLevel="0" collapsed="false">
      <c r="A230" s="17" t="s">
        <v>2285</v>
      </c>
      <c r="B230" s="17" t="s">
        <v>2286</v>
      </c>
      <c r="C230" s="17" t="s">
        <v>2287</v>
      </c>
      <c r="D230" s="17" t="s">
        <v>72</v>
      </c>
      <c r="E230" s="18" t="n">
        <v>36821</v>
      </c>
      <c r="F230" s="17" t="s">
        <v>667</v>
      </c>
      <c r="G230" s="23" t="n">
        <v>1.36623122674561</v>
      </c>
      <c r="H230" s="19" t="n">
        <v>54.4</v>
      </c>
      <c r="I230" s="17" t="n">
        <f aca="false">IF(H230="","",RANK(H230,$H$5:$H$491))</f>
        <v>226</v>
      </c>
      <c r="J230" s="24" t="n">
        <v>0.0540463172358515</v>
      </c>
      <c r="K230" s="19" t="n">
        <v>31.9</v>
      </c>
      <c r="L230" s="17" t="n">
        <f aca="false">IF(K230="","",RANK(K230,$K$5:$K$491))</f>
        <v>337</v>
      </c>
      <c r="M230" s="25" t="n">
        <v>0.174386920980926</v>
      </c>
      <c r="N230" s="19" t="n">
        <v>78.5</v>
      </c>
      <c r="O230" s="17" t="n">
        <f aca="false">IF(N230="","",RANK(N230,$N$5:$N$491))</f>
        <v>106</v>
      </c>
      <c r="P230" s="17" t="str">
        <f aca="false">IF(AND(N(H230)&gt;=N(K230),N(H230)&gt;=N(N230)),"The Pulse",IF(N(K230)&gt;=N(N230),"The Lens","The Hub"))</f>
        <v>The Hub</v>
      </c>
      <c r="Q230" s="20" t="s">
        <v>74</v>
      </c>
      <c r="R230" s="26" t="s">
        <v>668</v>
      </c>
      <c r="S230" s="17" t="s">
        <v>19</v>
      </c>
    </row>
    <row r="231" customFormat="false" ht="15" hidden="false" customHeight="false" outlineLevel="0" collapsed="false">
      <c r="A231" s="17" t="s">
        <v>1353</v>
      </c>
      <c r="B231" s="17" t="s">
        <v>1354</v>
      </c>
      <c r="C231" s="17" t="s">
        <v>2288</v>
      </c>
      <c r="D231" s="17" t="s">
        <v>77</v>
      </c>
      <c r="E231" s="18" t="n">
        <v>36905</v>
      </c>
      <c r="F231" s="17" t="s">
        <v>667</v>
      </c>
      <c r="G231" s="23" t="n">
        <v>1.36046606150928</v>
      </c>
      <c r="H231" s="19" t="n">
        <v>54.2</v>
      </c>
      <c r="I231" s="17" t="n">
        <f aca="false">IF(H231="","",RANK(H231,$H$5:$H$491))</f>
        <v>227</v>
      </c>
      <c r="J231" s="24" t="n">
        <v>0.0377358490566038</v>
      </c>
      <c r="K231" s="19" t="n">
        <v>25.2</v>
      </c>
      <c r="L231" s="17" t="n">
        <f aca="false">IF(K231="","",RANK(K231,$K$5:$K$491))</f>
        <v>368</v>
      </c>
      <c r="M231" s="25" t="n">
        <v>0.00422705314009662</v>
      </c>
      <c r="N231" s="19" t="n">
        <v>4.2</v>
      </c>
      <c r="O231" s="17" t="n">
        <f aca="false">IF(N231="","",RANK(N231,$N$5:$N$491))</f>
        <v>468</v>
      </c>
      <c r="P231" s="17" t="str">
        <f aca="false">IF(AND(N(H231)&gt;=N(K231),N(H231)&gt;=N(N231)),"The Pulse",IF(N(K231)&gt;=N(N231),"The Lens","The Hub"))</f>
        <v>The Pulse</v>
      </c>
      <c r="Q231" s="20" t="s">
        <v>74</v>
      </c>
      <c r="R231" s="26" t="s">
        <v>668</v>
      </c>
      <c r="S231" s="17" t="s">
        <v>19</v>
      </c>
    </row>
    <row r="232" customFormat="false" ht="15" hidden="false" customHeight="false" outlineLevel="0" collapsed="false">
      <c r="A232" s="17" t="s">
        <v>2289</v>
      </c>
      <c r="B232" s="17" t="s">
        <v>2290</v>
      </c>
      <c r="C232" s="17" t="s">
        <v>2291</v>
      </c>
      <c r="D232" s="17" t="s">
        <v>87</v>
      </c>
      <c r="E232" s="18" t="n">
        <v>1391</v>
      </c>
      <c r="F232" s="17" t="s">
        <v>678</v>
      </c>
      <c r="G232" s="23" t="n">
        <v>1.35442127965492</v>
      </c>
      <c r="H232" s="19" t="n">
        <v>54</v>
      </c>
      <c r="I232" s="17" t="n">
        <f aca="false">IF(H232="","",RANK(H232,$H$5:$H$491))</f>
        <v>228</v>
      </c>
      <c r="J232" s="24" t="n">
        <v>0.00797101449275362</v>
      </c>
      <c r="K232" s="19" t="n">
        <v>6.7</v>
      </c>
      <c r="L232" s="17" t="n">
        <f aca="false">IF(K232="","",RANK(K232,$K$5:$K$491))</f>
        <v>456</v>
      </c>
      <c r="M232" s="25" t="n">
        <v>0.1171875</v>
      </c>
      <c r="N232" s="19" t="n">
        <v>62.1</v>
      </c>
      <c r="O232" s="17" t="n">
        <f aca="false">IF(N232="","",RANK(N232,$N$5:$N$491))</f>
        <v>188</v>
      </c>
      <c r="P232" s="17" t="str">
        <f aca="false">IF(AND(N(H232)&gt;=N(K232),N(H232)&gt;=N(N232)),"The Pulse",IF(N(K232)&gt;=N(N232),"The Lens","The Hub"))</f>
        <v>The Hub</v>
      </c>
      <c r="Q232" s="20" t="s">
        <v>74</v>
      </c>
      <c r="R232" s="26" t="s">
        <v>668</v>
      </c>
      <c r="S232" s="17" t="s">
        <v>19</v>
      </c>
    </row>
    <row r="233" customFormat="false" ht="15" hidden="false" customHeight="false" outlineLevel="0" collapsed="false">
      <c r="A233" s="17" t="s">
        <v>335</v>
      </c>
      <c r="B233" s="17" t="s">
        <v>336</v>
      </c>
      <c r="C233" s="17" t="s">
        <v>2292</v>
      </c>
      <c r="D233" s="17" t="s">
        <v>105</v>
      </c>
      <c r="E233" s="18" t="n">
        <v>16031</v>
      </c>
      <c r="F233" s="17" t="s">
        <v>667</v>
      </c>
      <c r="G233" s="23" t="n">
        <v>1.33903062815794</v>
      </c>
      <c r="H233" s="19" t="n">
        <v>53.8</v>
      </c>
      <c r="I233" s="17" t="n">
        <f aca="false">IF(H233="","",RANK(H233,$H$5:$H$491))</f>
        <v>229</v>
      </c>
      <c r="J233" s="24" t="n">
        <v>0.167589220684632</v>
      </c>
      <c r="K233" s="19" t="n">
        <v>85.1</v>
      </c>
      <c r="L233" s="17" t="n">
        <f aca="false">IF(K233="","",RANK(K233,$K$5:$K$491))</f>
        <v>75</v>
      </c>
      <c r="M233" s="25" t="n">
        <v>0.246178600160901</v>
      </c>
      <c r="N233" s="19" t="n">
        <v>91.6</v>
      </c>
      <c r="O233" s="17" t="n">
        <f aca="false">IF(N233="","",RANK(N233,$N$5:$N$491))</f>
        <v>42</v>
      </c>
      <c r="P233" s="17" t="str">
        <f aca="false">IF(AND(N(H233)&gt;=N(K233),N(H233)&gt;=N(N233)),"The Pulse",IF(N(K233)&gt;=N(N233),"The Lens","The Hub"))</f>
        <v>The Hub</v>
      </c>
      <c r="Q233" s="20" t="s">
        <v>74</v>
      </c>
      <c r="R233" s="27" t="s">
        <v>671</v>
      </c>
      <c r="S233" s="17" t="s">
        <v>19</v>
      </c>
    </row>
    <row r="234" customFormat="false" ht="15" hidden="false" customHeight="false" outlineLevel="0" collapsed="false">
      <c r="A234" s="17" t="s">
        <v>1766</v>
      </c>
      <c r="B234" s="17" t="s">
        <v>1767</v>
      </c>
      <c r="C234" s="17" t="s">
        <v>2293</v>
      </c>
      <c r="D234" s="17" t="s">
        <v>133</v>
      </c>
      <c r="E234" s="18" t="n">
        <v>160207</v>
      </c>
      <c r="F234" s="17" t="s">
        <v>670</v>
      </c>
      <c r="G234" s="23" t="n">
        <v>1.33731360052932</v>
      </c>
      <c r="H234" s="19" t="n">
        <v>53.6</v>
      </c>
      <c r="I234" s="17" t="n">
        <f aca="false">IF(H234="","",RANK(H234,$H$5:$H$491))</f>
        <v>230</v>
      </c>
      <c r="J234" s="24" t="n">
        <v>0.02972708925197</v>
      </c>
      <c r="K234" s="19" t="n">
        <v>26.5</v>
      </c>
      <c r="L234" s="17" t="n">
        <f aca="false">IF(K234="","",RANK(K234,$K$5:$K$491))</f>
        <v>363</v>
      </c>
      <c r="M234" s="25" t="n">
        <v>0.039028384279476</v>
      </c>
      <c r="N234" s="19" t="n">
        <v>25</v>
      </c>
      <c r="O234" s="17" t="n">
        <f aca="false">IF(N234="","",RANK(N234,$N$5:$N$491))</f>
        <v>371</v>
      </c>
      <c r="P234" s="17" t="str">
        <f aca="false">IF(AND(N(H234)&gt;=N(K234),N(H234)&gt;=N(N234)),"The Pulse",IF(N(K234)&gt;=N(N234),"The Lens","The Hub"))</f>
        <v>The Pulse</v>
      </c>
      <c r="Q234" s="20" t="s">
        <v>74</v>
      </c>
      <c r="R234" s="26" t="s">
        <v>668</v>
      </c>
      <c r="S234" s="17" t="s">
        <v>19</v>
      </c>
    </row>
    <row r="235" customFormat="false" ht="15" hidden="false" customHeight="false" outlineLevel="0" collapsed="false">
      <c r="A235" s="17" t="s">
        <v>1288</v>
      </c>
      <c r="B235" s="17" t="s">
        <v>1289</v>
      </c>
      <c r="C235" s="17" t="s">
        <v>2294</v>
      </c>
      <c r="D235" s="17" t="s">
        <v>77</v>
      </c>
      <c r="E235" s="18" t="n">
        <v>293453</v>
      </c>
      <c r="F235" s="17" t="s">
        <v>670</v>
      </c>
      <c r="G235" s="23" t="n">
        <v>1.3244540011518</v>
      </c>
      <c r="H235" s="19" t="n">
        <v>53.4</v>
      </c>
      <c r="I235" s="17" t="n">
        <f aca="false">IF(H235="","",RANK(H235,$H$5:$H$491))</f>
        <v>231</v>
      </c>
      <c r="J235" s="24" t="n">
        <v>0.074604511498462</v>
      </c>
      <c r="K235" s="19" t="n">
        <v>46.4</v>
      </c>
      <c r="L235" s="17" t="n">
        <f aca="false">IF(K235="","",RANK(K235,$K$5:$K$491))</f>
        <v>272</v>
      </c>
      <c r="M235" s="25" t="n">
        <v>0.00655881066899869</v>
      </c>
      <c r="N235" s="19" t="n">
        <v>5.1</v>
      </c>
      <c r="O235" s="17" t="n">
        <f aca="false">IF(N235="","",RANK(N235,$N$5:$N$491))</f>
        <v>463</v>
      </c>
      <c r="P235" s="17" t="str">
        <f aca="false">IF(AND(N(H235)&gt;=N(K235),N(H235)&gt;=N(N235)),"The Pulse",IF(N(K235)&gt;=N(N235),"The Lens","The Hub"))</f>
        <v>The Pulse</v>
      </c>
      <c r="Q235" s="20" t="s">
        <v>74</v>
      </c>
      <c r="R235" s="26" t="s">
        <v>668</v>
      </c>
      <c r="S235" s="17" t="s">
        <v>19</v>
      </c>
    </row>
    <row r="236" customFormat="false" ht="15" hidden="false" customHeight="false" outlineLevel="0" collapsed="false">
      <c r="A236" s="17" t="s">
        <v>375</v>
      </c>
      <c r="B236" s="17" t="s">
        <v>376</v>
      </c>
      <c r="C236" s="17" t="s">
        <v>2295</v>
      </c>
      <c r="D236" s="17" t="s">
        <v>77</v>
      </c>
      <c r="E236" s="18" t="n">
        <v>40684</v>
      </c>
      <c r="F236" s="17" t="s">
        <v>667</v>
      </c>
      <c r="G236" s="23" t="n">
        <v>1.31951135581555</v>
      </c>
      <c r="H236" s="19" t="n">
        <v>53</v>
      </c>
      <c r="I236" s="17" t="n">
        <f aca="false">IF(H236="","",RANK(H236,$H$5:$H$491))</f>
        <v>232</v>
      </c>
      <c r="J236" s="24" t="n">
        <v>0.0145635910224439</v>
      </c>
      <c r="K236" s="19" t="n">
        <v>14.5</v>
      </c>
      <c r="L236" s="17" t="n">
        <f aca="false">IF(K236="","",RANK(K236,$K$5:$K$491))</f>
        <v>417</v>
      </c>
      <c r="M236" s="25" t="n">
        <v>0.0886932972241029</v>
      </c>
      <c r="N236" s="19" t="n">
        <v>48.6</v>
      </c>
      <c r="O236" s="17" t="n">
        <f aca="false">IF(N236="","",RANK(N236,$N$5:$N$491))</f>
        <v>254</v>
      </c>
      <c r="P236" s="17" t="str">
        <f aca="false">IF(AND(N(H236)&gt;=N(K236),N(H236)&gt;=N(N236)),"The Pulse",IF(N(K236)&gt;=N(N236),"The Lens","The Hub"))</f>
        <v>The Pulse</v>
      </c>
      <c r="Q236" s="20" t="s">
        <v>74</v>
      </c>
      <c r="R236" s="27" t="s">
        <v>671</v>
      </c>
      <c r="S236" s="17" t="s">
        <v>19</v>
      </c>
    </row>
    <row r="237" customFormat="false" ht="15" hidden="false" customHeight="false" outlineLevel="0" collapsed="false">
      <c r="A237" s="17" t="s">
        <v>535</v>
      </c>
      <c r="B237" s="17" t="s">
        <v>536</v>
      </c>
      <c r="C237" s="17" t="s">
        <v>2296</v>
      </c>
      <c r="D237" s="17" t="s">
        <v>133</v>
      </c>
      <c r="E237" s="18" t="n">
        <v>117289</v>
      </c>
      <c r="F237" s="17" t="s">
        <v>670</v>
      </c>
      <c r="G237" s="23" t="n">
        <v>1.31329451184681</v>
      </c>
      <c r="H237" s="19" t="n">
        <v>52.9</v>
      </c>
      <c r="I237" s="17" t="n">
        <f aca="false">IF(H237="","",RANK(H237,$H$5:$H$491))</f>
        <v>233</v>
      </c>
      <c r="J237" s="24" t="n">
        <v>0.0971842843779233</v>
      </c>
      <c r="K237" s="19" t="n">
        <v>56.6</v>
      </c>
      <c r="L237" s="17" t="n">
        <f aca="false">IF(K237="","",RANK(K237,$K$5:$K$491))</f>
        <v>219</v>
      </c>
      <c r="M237" s="25" t="n">
        <v>0.073003932296119</v>
      </c>
      <c r="N237" s="19" t="n">
        <v>40.6</v>
      </c>
      <c r="O237" s="17" t="n">
        <f aca="false">IF(N237="","",RANK(N237,$N$5:$N$491))</f>
        <v>296</v>
      </c>
      <c r="P237" s="17" t="str">
        <f aca="false">IF(AND(N(H237)&gt;=N(K237),N(H237)&gt;=N(N237)),"The Pulse",IF(N(K237)&gt;=N(N237),"The Lens","The Hub"))</f>
        <v>The Lens</v>
      </c>
      <c r="Q237" s="20" t="s">
        <v>74</v>
      </c>
      <c r="R237" s="27" t="s">
        <v>671</v>
      </c>
      <c r="S237" s="17" t="s">
        <v>19</v>
      </c>
    </row>
    <row r="238" customFormat="false" ht="15" hidden="false" customHeight="false" outlineLevel="0" collapsed="false">
      <c r="A238" s="17" t="s">
        <v>1438</v>
      </c>
      <c r="B238" s="17" t="s">
        <v>1439</v>
      </c>
      <c r="C238" s="17" t="s">
        <v>2297</v>
      </c>
      <c r="D238" s="17" t="s">
        <v>114</v>
      </c>
      <c r="E238" s="18" t="n">
        <v>60771</v>
      </c>
      <c r="F238" s="17" t="s">
        <v>667</v>
      </c>
      <c r="G238" s="23" t="n">
        <v>1.29787234042553</v>
      </c>
      <c r="H238" s="19" t="n">
        <v>52.7</v>
      </c>
      <c r="I238" s="17" t="n">
        <f aca="false">IF(H238="","",RANK(H238,$H$5:$H$491))</f>
        <v>234</v>
      </c>
      <c r="J238" s="24" t="n">
        <v>0.072839615146968</v>
      </c>
      <c r="K238" s="19" t="n">
        <v>39.7</v>
      </c>
      <c r="L238" s="17" t="n">
        <f aca="false">IF(K238="","",RANK(K238,$K$5:$K$491))</f>
        <v>305</v>
      </c>
      <c r="M238" s="25" t="n">
        <v>0.135297538282613</v>
      </c>
      <c r="N238" s="19" t="n">
        <v>67.4</v>
      </c>
      <c r="O238" s="17" t="n">
        <f aca="false">IF(N238="","",RANK(N238,$N$5:$N$491))</f>
        <v>161</v>
      </c>
      <c r="P238" s="17" t="str">
        <f aca="false">IF(AND(N(H238)&gt;=N(K238),N(H238)&gt;=N(N238)),"The Pulse",IF(N(K238)&gt;=N(N238),"The Lens","The Hub"))</f>
        <v>The Hub</v>
      </c>
      <c r="Q238" s="22" t="s">
        <v>83</v>
      </c>
      <c r="R238" s="26" t="s">
        <v>668</v>
      </c>
      <c r="S238" s="17" t="s">
        <v>17</v>
      </c>
    </row>
    <row r="239" customFormat="false" ht="15" hidden="false" customHeight="false" outlineLevel="0" collapsed="false">
      <c r="A239" s="17" t="s">
        <v>1462</v>
      </c>
      <c r="B239" s="17" t="s">
        <v>1463</v>
      </c>
      <c r="C239" s="17" t="s">
        <v>2298</v>
      </c>
      <c r="D239" s="17" t="s">
        <v>72</v>
      </c>
      <c r="E239" s="18" t="n">
        <v>348515</v>
      </c>
      <c r="F239" s="17" t="s">
        <v>670</v>
      </c>
      <c r="G239" s="23" t="n">
        <v>1.29389265885256</v>
      </c>
      <c r="H239" s="19" t="n">
        <v>52.5</v>
      </c>
      <c r="I239" s="17" t="n">
        <f aca="false">IF(H239="","",RANK(H239,$H$5:$H$491))</f>
        <v>235</v>
      </c>
      <c r="J239" s="24" t="n">
        <v>0.0776892368680637</v>
      </c>
      <c r="K239" s="19" t="n">
        <v>48.8</v>
      </c>
      <c r="L239" s="17" t="n">
        <f aca="false">IF(K239="","",RANK(K239,$K$5:$K$491))</f>
        <v>259</v>
      </c>
      <c r="M239" s="25" t="n">
        <v>0.278399826068051</v>
      </c>
      <c r="N239" s="19" t="n">
        <v>95</v>
      </c>
      <c r="O239" s="17" t="n">
        <f aca="false">IF(N239="","",RANK(N239,$N$5:$N$491))</f>
        <v>25</v>
      </c>
      <c r="P239" s="17" t="str">
        <f aca="false">IF(AND(N(H239)&gt;=N(K239),N(H239)&gt;=N(N239)),"The Pulse",IF(N(K239)&gt;=N(N239),"The Lens","The Hub"))</f>
        <v>The Hub</v>
      </c>
      <c r="Q239" s="20" t="s">
        <v>74</v>
      </c>
      <c r="R239" s="26" t="s">
        <v>668</v>
      </c>
      <c r="S239" s="17" t="s">
        <v>19</v>
      </c>
    </row>
    <row r="240" customFormat="false" ht="15" hidden="false" customHeight="false" outlineLevel="0" collapsed="false">
      <c r="A240" s="17" t="s">
        <v>978</v>
      </c>
      <c r="B240" s="17" t="s">
        <v>979</v>
      </c>
      <c r="C240" s="17" t="s">
        <v>2299</v>
      </c>
      <c r="D240" s="17" t="s">
        <v>133</v>
      </c>
      <c r="E240" s="18" t="n">
        <v>22547</v>
      </c>
      <c r="F240" s="17" t="s">
        <v>667</v>
      </c>
      <c r="G240" s="23" t="n">
        <v>1.2838958619772</v>
      </c>
      <c r="H240" s="19" t="n">
        <v>52.3</v>
      </c>
      <c r="I240" s="17" t="n">
        <f aca="false">IF(H240="","",RANK(H240,$H$5:$H$491))</f>
        <v>236</v>
      </c>
      <c r="J240" s="24" t="n">
        <v>0.124650837988827</v>
      </c>
      <c r="K240" s="19" t="n">
        <v>68.1</v>
      </c>
      <c r="L240" s="17" t="n">
        <f aca="false">IF(K240="","",RANK(K240,$K$5:$K$491))</f>
        <v>162</v>
      </c>
      <c r="M240" s="25" t="n">
        <v>0.0488245931283906</v>
      </c>
      <c r="N240" s="19" t="n">
        <v>30.3</v>
      </c>
      <c r="O240" s="17" t="n">
        <f aca="false">IF(N240="","",RANK(N240,$N$5:$N$491))</f>
        <v>345</v>
      </c>
      <c r="P240" s="17" t="str">
        <f aca="false">IF(AND(N(H240)&gt;=N(K240),N(H240)&gt;=N(N240)),"The Pulse",IF(N(K240)&gt;=N(N240),"The Lens","The Hub"))</f>
        <v>The Lens</v>
      </c>
      <c r="Q240" s="20" t="s">
        <v>74</v>
      </c>
      <c r="R240" s="26" t="s">
        <v>668</v>
      </c>
      <c r="S240" s="17" t="s">
        <v>19</v>
      </c>
    </row>
    <row r="241" customFormat="false" ht="15" hidden="false" customHeight="false" outlineLevel="0" collapsed="false">
      <c r="A241" s="17" t="s">
        <v>2300</v>
      </c>
      <c r="B241" s="17" t="s">
        <v>2301</v>
      </c>
      <c r="C241" s="17" t="s">
        <v>2302</v>
      </c>
      <c r="D241" s="17" t="s">
        <v>138</v>
      </c>
      <c r="E241" s="18" t="n">
        <v>201272</v>
      </c>
      <c r="F241" s="17" t="s">
        <v>670</v>
      </c>
      <c r="G241" s="23" t="n">
        <v>1.28074943360229</v>
      </c>
      <c r="H241" s="19" t="n">
        <v>52.1</v>
      </c>
      <c r="I241" s="17" t="n">
        <f aca="false">IF(H241="","",RANK(H241,$H$5:$H$491))</f>
        <v>237</v>
      </c>
      <c r="J241" s="24" t="n">
        <v>0.103622226852512</v>
      </c>
      <c r="K241" s="19" t="n">
        <v>59</v>
      </c>
      <c r="L241" s="17" t="n">
        <f aca="false">IF(K241="","",RANK(K241,$K$5:$K$491))</f>
        <v>207</v>
      </c>
      <c r="M241" s="25" t="n">
        <v>0.0253583241455347</v>
      </c>
      <c r="N241" s="19" t="n">
        <v>15.4</v>
      </c>
      <c r="O241" s="17" t="n">
        <f aca="false">IF(N241="","",RANK(N241,$N$5:$N$491))</f>
        <v>418</v>
      </c>
      <c r="P241" s="17" t="str">
        <f aca="false">IF(AND(N(H241)&gt;=N(K241),N(H241)&gt;=N(N241)),"The Pulse",IF(N(K241)&gt;=N(N241),"The Lens","The Hub"))</f>
        <v>The Lens</v>
      </c>
      <c r="Q241" s="20" t="s">
        <v>74</v>
      </c>
      <c r="R241" s="26" t="s">
        <v>668</v>
      </c>
      <c r="S241" s="17" t="s">
        <v>19</v>
      </c>
    </row>
    <row r="242" customFormat="false" ht="15" hidden="false" customHeight="false" outlineLevel="0" collapsed="false">
      <c r="A242" s="17" t="s">
        <v>1001</v>
      </c>
      <c r="B242" s="17" t="s">
        <v>1002</v>
      </c>
      <c r="C242" s="17" t="s">
        <v>2303</v>
      </c>
      <c r="D242" s="17" t="s">
        <v>133</v>
      </c>
      <c r="E242" s="18" t="n">
        <v>388471</v>
      </c>
      <c r="F242" s="17" t="s">
        <v>670</v>
      </c>
      <c r="G242" s="23" t="n">
        <v>1.27671306223631</v>
      </c>
      <c r="H242" s="19" t="n">
        <v>51.9</v>
      </c>
      <c r="I242" s="17" t="n">
        <f aca="false">IF(H242="","",RANK(H242,$H$5:$H$491))</f>
        <v>238</v>
      </c>
      <c r="J242" s="24" t="n">
        <v>0.0627580150520749</v>
      </c>
      <c r="K242" s="19" t="n">
        <v>40.4</v>
      </c>
      <c r="L242" s="17" t="n">
        <f aca="false">IF(K242="","",RANK(K242,$K$5:$K$491))</f>
        <v>300</v>
      </c>
      <c r="M242" s="25" t="n">
        <v>0.0515148119092981</v>
      </c>
      <c r="N242" s="19" t="n">
        <v>32.2</v>
      </c>
      <c r="O242" s="17" t="n">
        <f aca="false">IF(N242="","",RANK(N242,$N$5:$N$491))</f>
        <v>335</v>
      </c>
      <c r="P242" s="17" t="str">
        <f aca="false">IF(AND(N(H242)&gt;=N(K242),N(H242)&gt;=N(N242)),"The Pulse",IF(N(K242)&gt;=N(N242),"The Lens","The Hub"))</f>
        <v>The Pulse</v>
      </c>
      <c r="Q242" s="20" t="s">
        <v>74</v>
      </c>
      <c r="R242" s="26" t="s">
        <v>668</v>
      </c>
      <c r="S242" s="17" t="s">
        <v>19</v>
      </c>
    </row>
    <row r="243" customFormat="false" ht="15" hidden="false" customHeight="false" outlineLevel="0" collapsed="false">
      <c r="A243" s="17" t="s">
        <v>975</v>
      </c>
      <c r="B243" s="17" t="s">
        <v>976</v>
      </c>
      <c r="C243" s="17" t="s">
        <v>2304</v>
      </c>
      <c r="D243" s="17" t="s">
        <v>72</v>
      </c>
      <c r="E243" s="18" t="n">
        <v>29239</v>
      </c>
      <c r="F243" s="17" t="s">
        <v>667</v>
      </c>
      <c r="G243" s="23" t="n">
        <v>1.27562502137556</v>
      </c>
      <c r="H243" s="19" t="n">
        <v>51.7</v>
      </c>
      <c r="I243" s="17" t="n">
        <f aca="false">IF(H243="","",RANK(H243,$H$5:$H$491))</f>
        <v>239</v>
      </c>
      <c r="J243" s="24" t="n">
        <v>0.0819641799881587</v>
      </c>
      <c r="K243" s="19" t="n">
        <v>46.5</v>
      </c>
      <c r="L243" s="17" t="n">
        <f aca="false">IF(K243="","",RANK(K243,$K$5:$K$491))</f>
        <v>271</v>
      </c>
      <c r="M243" s="25" t="n">
        <v>0.0311926605504587</v>
      </c>
      <c r="N243" s="19" t="n">
        <v>20.2</v>
      </c>
      <c r="O243" s="17" t="n">
        <f aca="false">IF(N243="","",RANK(N243,$N$5:$N$491))</f>
        <v>394</v>
      </c>
      <c r="P243" s="17" t="str">
        <f aca="false">IF(AND(N(H243)&gt;=N(K243),N(H243)&gt;=N(N243)),"The Pulse",IF(N(K243)&gt;=N(N243),"The Lens","The Hub"))</f>
        <v>The Pulse</v>
      </c>
      <c r="Q243" s="20" t="s">
        <v>74</v>
      </c>
      <c r="R243" s="26" t="s">
        <v>668</v>
      </c>
      <c r="S243" s="17" t="s">
        <v>19</v>
      </c>
    </row>
    <row r="244" customFormat="false" ht="15" hidden="false" customHeight="false" outlineLevel="0" collapsed="false">
      <c r="A244" s="17" t="s">
        <v>1624</v>
      </c>
      <c r="B244" s="17" t="s">
        <v>1625</v>
      </c>
      <c r="C244" s="17" t="s">
        <v>2305</v>
      </c>
      <c r="D244" s="17" t="s">
        <v>72</v>
      </c>
      <c r="E244" s="18" t="n">
        <v>37454</v>
      </c>
      <c r="F244" s="17" t="s">
        <v>667</v>
      </c>
      <c r="G244" s="23" t="n">
        <v>1.26864954343995</v>
      </c>
      <c r="H244" s="19" t="n">
        <v>51.5</v>
      </c>
      <c r="I244" s="17" t="n">
        <f aca="false">IF(H244="","",RANK(H244,$H$5:$H$491))</f>
        <v>240</v>
      </c>
      <c r="J244" s="24" t="n">
        <v>0.0719212386594545</v>
      </c>
      <c r="K244" s="19" t="n">
        <v>39</v>
      </c>
      <c r="L244" s="17" t="n">
        <f aca="false">IF(K244="","",RANK(K244,$K$5:$K$491))</f>
        <v>307</v>
      </c>
      <c r="M244" s="25" t="n">
        <v>0.102379235760635</v>
      </c>
      <c r="N244" s="19" t="n">
        <v>56.6</v>
      </c>
      <c r="O244" s="17" t="n">
        <f aca="false">IF(N244="","",RANK(N244,$N$5:$N$491))</f>
        <v>216</v>
      </c>
      <c r="P244" s="17" t="str">
        <f aca="false">IF(AND(N(H244)&gt;=N(K244),N(H244)&gt;=N(N244)),"The Pulse",IF(N(K244)&gt;=N(N244),"The Lens","The Hub"))</f>
        <v>The Hub</v>
      </c>
      <c r="Q244" s="20" t="s">
        <v>74</v>
      </c>
      <c r="R244" s="26" t="s">
        <v>668</v>
      </c>
      <c r="S244" s="17" t="s">
        <v>19</v>
      </c>
    </row>
    <row r="245" customFormat="false" ht="15" hidden="false" customHeight="false" outlineLevel="0" collapsed="false">
      <c r="A245" s="17" t="s">
        <v>371</v>
      </c>
      <c r="B245" s="17" t="s">
        <v>372</v>
      </c>
      <c r="C245" s="17" t="s">
        <v>2306</v>
      </c>
      <c r="D245" s="17" t="s">
        <v>72</v>
      </c>
      <c r="E245" s="18" t="n">
        <v>8488</v>
      </c>
      <c r="F245" s="17" t="s">
        <v>678</v>
      </c>
      <c r="G245" s="23" t="n">
        <v>1.25871819038643</v>
      </c>
      <c r="H245" s="19" t="n">
        <v>51.3</v>
      </c>
      <c r="I245" s="17" t="n">
        <f aca="false">IF(H245="","",RANK(H245,$H$5:$H$491))</f>
        <v>241</v>
      </c>
      <c r="J245" s="24" t="n">
        <v>0.0416001963431096</v>
      </c>
      <c r="K245" s="19" t="n">
        <v>22.7</v>
      </c>
      <c r="L245" s="17" t="n">
        <f aca="false">IF(K245="","",RANK(K245,$K$5:$K$491))</f>
        <v>379</v>
      </c>
      <c r="M245" s="25" t="n">
        <v>0.0279329608938548</v>
      </c>
      <c r="N245" s="19" t="n">
        <v>17.7</v>
      </c>
      <c r="O245" s="17" t="n">
        <f aca="false">IF(N245="","",RANK(N245,$N$5:$N$491))</f>
        <v>407</v>
      </c>
      <c r="P245" s="17" t="str">
        <f aca="false">IF(AND(N(H245)&gt;=N(K245),N(H245)&gt;=N(N245)),"The Pulse",IF(N(K245)&gt;=N(N245),"The Lens","The Hub"))</f>
        <v>The Pulse</v>
      </c>
      <c r="Q245" s="20" t="s">
        <v>74</v>
      </c>
      <c r="R245" s="27" t="s">
        <v>671</v>
      </c>
      <c r="S245" s="17" t="s">
        <v>19</v>
      </c>
    </row>
    <row r="246" customFormat="false" ht="15" hidden="false" customHeight="false" outlineLevel="0" collapsed="false">
      <c r="A246" s="17" t="s">
        <v>301</v>
      </c>
      <c r="B246" s="17" t="s">
        <v>302</v>
      </c>
      <c r="C246" s="17" t="s">
        <v>2307</v>
      </c>
      <c r="D246" s="17" t="s">
        <v>138</v>
      </c>
      <c r="E246" s="18" t="n">
        <v>6131</v>
      </c>
      <c r="F246" s="17" t="s">
        <v>678</v>
      </c>
      <c r="G246" s="23" t="n">
        <v>1.25835915837547</v>
      </c>
      <c r="H246" s="19" t="n">
        <v>51.1</v>
      </c>
      <c r="I246" s="17" t="n">
        <f aca="false">IF(H246="","",RANK(H246,$H$5:$H$491))</f>
        <v>242</v>
      </c>
      <c r="J246" s="24" t="n">
        <v>0.124541452677916</v>
      </c>
      <c r="K246" s="19" t="n">
        <v>60</v>
      </c>
      <c r="L246" s="17" t="n">
        <f aca="false">IF(K246="","",RANK(K246,$K$5:$K$491))</f>
        <v>202</v>
      </c>
      <c r="M246" s="25" t="n">
        <v>0.0491228070175439</v>
      </c>
      <c r="N246" s="19" t="n">
        <v>30.7</v>
      </c>
      <c r="O246" s="17" t="n">
        <f aca="false">IF(N246="","",RANK(N246,$N$5:$N$491))</f>
        <v>343</v>
      </c>
      <c r="P246" s="17" t="str">
        <f aca="false">IF(AND(N(H246)&gt;=N(K246),N(H246)&gt;=N(N246)),"The Pulse",IF(N(K246)&gt;=N(N246),"The Lens","The Hub"))</f>
        <v>The Lens</v>
      </c>
      <c r="Q246" s="20" t="s">
        <v>74</v>
      </c>
      <c r="R246" s="27" t="s">
        <v>671</v>
      </c>
      <c r="S246" s="17" t="s">
        <v>19</v>
      </c>
    </row>
    <row r="247" customFormat="false" ht="15" hidden="false" customHeight="false" outlineLevel="0" collapsed="false">
      <c r="A247" s="17" t="s">
        <v>1542</v>
      </c>
      <c r="B247" s="17" t="s">
        <v>1543</v>
      </c>
      <c r="C247" s="17" t="s">
        <v>2308</v>
      </c>
      <c r="D247" s="17" t="s">
        <v>133</v>
      </c>
      <c r="E247" s="18" t="n">
        <v>210286</v>
      </c>
      <c r="F247" s="17" t="s">
        <v>670</v>
      </c>
      <c r="G247" s="23" t="n">
        <v>1.25292696613184</v>
      </c>
      <c r="H247" s="19" t="n">
        <v>51</v>
      </c>
      <c r="I247" s="17" t="n">
        <f aca="false">IF(H247="","",RANK(H247,$H$5:$H$491))</f>
        <v>243</v>
      </c>
      <c r="J247" s="24" t="n">
        <v>0.079186681446812</v>
      </c>
      <c r="K247" s="19" t="n">
        <v>50</v>
      </c>
      <c r="L247" s="17" t="n">
        <f aca="false">IF(K247="","",RANK(K247,$K$5:$K$491))</f>
        <v>252</v>
      </c>
      <c r="M247" s="25" t="n">
        <v>0.0929643247540495</v>
      </c>
      <c r="N247" s="19" t="n">
        <v>50.7</v>
      </c>
      <c r="O247" s="17" t="n">
        <f aca="false">IF(N247="","",RANK(N247,$N$5:$N$491))</f>
        <v>243</v>
      </c>
      <c r="P247" s="17" t="str">
        <f aca="false">IF(AND(N(H247)&gt;=N(K247),N(H247)&gt;=N(N247)),"The Pulse",IF(N(K247)&gt;=N(N247),"The Lens","The Hub"))</f>
        <v>The Pulse</v>
      </c>
      <c r="Q247" s="20" t="s">
        <v>74</v>
      </c>
      <c r="R247" s="26" t="s">
        <v>668</v>
      </c>
      <c r="S247" s="17" t="s">
        <v>19</v>
      </c>
    </row>
    <row r="248" customFormat="false" ht="15" hidden="false" customHeight="false" outlineLevel="0" collapsed="false">
      <c r="A248" s="17" t="s">
        <v>367</v>
      </c>
      <c r="B248" s="17" t="s">
        <v>368</v>
      </c>
      <c r="C248" s="17" t="s">
        <v>2309</v>
      </c>
      <c r="D248" s="17" t="s">
        <v>102</v>
      </c>
      <c r="E248" s="18" t="n">
        <v>2781166</v>
      </c>
      <c r="F248" s="17" t="s">
        <v>752</v>
      </c>
      <c r="G248" s="23" t="n">
        <v>1.24490555400145</v>
      </c>
      <c r="H248" s="19" t="n">
        <v>50.8</v>
      </c>
      <c r="I248" s="17" t="n">
        <f aca="false">IF(H248="","",RANK(H248,$H$5:$H$491))</f>
        <v>244</v>
      </c>
      <c r="J248" s="24" t="n">
        <v>-0.101696661618251</v>
      </c>
      <c r="K248" s="19" t="n">
        <v>10</v>
      </c>
      <c r="L248" s="17" t="n">
        <f aca="false">IF(K248="","",RANK(K248,$K$5:$K$491))</f>
        <v>440</v>
      </c>
      <c r="M248" s="25" t="n">
        <v>0.0397185506674558</v>
      </c>
      <c r="N248" s="19" t="n">
        <v>25.5</v>
      </c>
      <c r="O248" s="17" t="n">
        <f aca="false">IF(N248="","",RANK(N248,$N$5:$N$491))</f>
        <v>368</v>
      </c>
      <c r="P248" s="17" t="str">
        <f aca="false">IF(AND(N(H248)&gt;=N(K248),N(H248)&gt;=N(N248)),"The Pulse",IF(N(K248)&gt;=N(N248),"The Lens","The Hub"))</f>
        <v>The Pulse</v>
      </c>
      <c r="Q248" s="20" t="s">
        <v>74</v>
      </c>
      <c r="R248" s="27" t="s">
        <v>671</v>
      </c>
      <c r="S248" s="17" t="s">
        <v>19</v>
      </c>
    </row>
    <row r="249" customFormat="false" ht="15" hidden="false" customHeight="false" outlineLevel="0" collapsed="false">
      <c r="A249" s="17" t="s">
        <v>353</v>
      </c>
      <c r="B249" s="17" t="s">
        <v>354</v>
      </c>
      <c r="C249" s="17" t="s">
        <v>2310</v>
      </c>
      <c r="D249" s="17" t="s">
        <v>114</v>
      </c>
      <c r="E249" s="18" t="n">
        <v>260040</v>
      </c>
      <c r="F249" s="17" t="s">
        <v>670</v>
      </c>
      <c r="G249" s="23" t="n">
        <v>1.24111290570681</v>
      </c>
      <c r="H249" s="19" t="n">
        <v>50.6</v>
      </c>
      <c r="I249" s="17" t="n">
        <f aca="false">IF(H249="","",RANK(H249,$H$5:$H$491))</f>
        <v>245</v>
      </c>
      <c r="J249" s="24" t="n">
        <v>-0.0129046360960461</v>
      </c>
      <c r="K249" s="19" t="n">
        <v>10.2</v>
      </c>
      <c r="L249" s="17" t="n">
        <f aca="false">IF(K249="","",RANK(K249,$K$5:$K$491))</f>
        <v>439</v>
      </c>
      <c r="M249" s="25" t="n">
        <v>0.0415556295802798</v>
      </c>
      <c r="N249" s="19" t="n">
        <v>26.5</v>
      </c>
      <c r="O249" s="17" t="n">
        <f aca="false">IF(N249="","",RANK(N249,$N$5:$N$491))</f>
        <v>363</v>
      </c>
      <c r="P249" s="17" t="str">
        <f aca="false">IF(AND(N(H249)&gt;=N(K249),N(H249)&gt;=N(N249)),"The Pulse",IF(N(K249)&gt;=N(N249),"The Lens","The Hub"))</f>
        <v>The Pulse</v>
      </c>
      <c r="Q249" s="22" t="s">
        <v>83</v>
      </c>
      <c r="R249" s="27" t="s">
        <v>671</v>
      </c>
      <c r="S249" s="17" t="s">
        <v>84</v>
      </c>
    </row>
    <row r="250" customFormat="false" ht="15" hidden="false" customHeight="false" outlineLevel="0" collapsed="false">
      <c r="A250" s="17" t="s">
        <v>247</v>
      </c>
      <c r="B250" s="17" t="s">
        <v>248</v>
      </c>
      <c r="C250" s="17" t="s">
        <v>2311</v>
      </c>
      <c r="D250" s="17" t="s">
        <v>72</v>
      </c>
      <c r="E250" s="18" t="n">
        <v>32630</v>
      </c>
      <c r="F250" s="17" t="s">
        <v>667</v>
      </c>
      <c r="G250" s="23" t="n">
        <v>1.24045357033405</v>
      </c>
      <c r="H250" s="19" t="n">
        <v>50.4</v>
      </c>
      <c r="I250" s="17" t="n">
        <f aca="false">IF(H250="","",RANK(H250,$H$5:$H$491))</f>
        <v>246</v>
      </c>
      <c r="J250" s="24" t="n">
        <v>-0.0133051103719383</v>
      </c>
      <c r="K250" s="19" t="n">
        <v>8.2</v>
      </c>
      <c r="L250" s="17" t="n">
        <f aca="false">IF(K250="","",RANK(K250,$K$5:$K$491))</f>
        <v>449</v>
      </c>
      <c r="M250" s="25" t="n">
        <v>0.0908543922984356</v>
      </c>
      <c r="N250" s="19" t="n">
        <v>49.3</v>
      </c>
      <c r="O250" s="17" t="n">
        <f aca="false">IF(N250="","",RANK(N250,$N$5:$N$491))</f>
        <v>250</v>
      </c>
      <c r="P250" s="17" t="str">
        <f aca="false">IF(AND(N(H250)&gt;=N(K250),N(H250)&gt;=N(N250)),"The Pulse",IF(N(K250)&gt;=N(N250),"The Lens","The Hub"))</f>
        <v>The Pulse</v>
      </c>
      <c r="Q250" s="21" t="s">
        <v>78</v>
      </c>
      <c r="R250" s="27" t="s">
        <v>671</v>
      </c>
      <c r="S250" s="17" t="s">
        <v>21</v>
      </c>
    </row>
    <row r="251" customFormat="false" ht="15" hidden="false" customHeight="false" outlineLevel="0" collapsed="false">
      <c r="A251" s="17" t="s">
        <v>227</v>
      </c>
      <c r="B251" s="17" t="s">
        <v>228</v>
      </c>
      <c r="C251" s="17" t="s">
        <v>2312</v>
      </c>
      <c r="D251" s="17" t="s">
        <v>105</v>
      </c>
      <c r="E251" s="18" t="n">
        <v>70560</v>
      </c>
      <c r="F251" s="17" t="s">
        <v>667</v>
      </c>
      <c r="G251" s="23" t="n">
        <v>1.23224206349206</v>
      </c>
      <c r="H251" s="19" t="n">
        <v>50.2</v>
      </c>
      <c r="I251" s="17" t="n">
        <f aca="false">IF(H251="","",RANK(H251,$H$5:$H$491))</f>
        <v>247</v>
      </c>
      <c r="J251" s="24" t="n">
        <v>0.119147316330415</v>
      </c>
      <c r="K251" s="19" t="n">
        <v>64.9</v>
      </c>
      <c r="L251" s="17" t="n">
        <f aca="false">IF(K251="","",RANK(K251,$K$5:$K$491))</f>
        <v>178</v>
      </c>
      <c r="M251" s="25" t="n">
        <v>0.0276940737552016</v>
      </c>
      <c r="N251" s="19" t="n">
        <v>17.1</v>
      </c>
      <c r="O251" s="17" t="n">
        <f aca="false">IF(N251="","",RANK(N251,$N$5:$N$491))</f>
        <v>409</v>
      </c>
      <c r="P251" s="17" t="str">
        <f aca="false">IF(AND(N(H251)&gt;=N(K251),N(H251)&gt;=N(N251)),"The Pulse",IF(N(K251)&gt;=N(N251),"The Lens","The Hub"))</f>
        <v>The Lens</v>
      </c>
      <c r="Q251" s="20" t="s">
        <v>74</v>
      </c>
      <c r="R251" s="27" t="s">
        <v>671</v>
      </c>
      <c r="S251" s="17" t="s">
        <v>19</v>
      </c>
    </row>
    <row r="252" customFormat="false" ht="15" hidden="false" customHeight="false" outlineLevel="0" collapsed="false">
      <c r="A252" s="17" t="s">
        <v>2313</v>
      </c>
      <c r="B252" s="17" t="s">
        <v>2314</v>
      </c>
      <c r="C252" s="17" t="s">
        <v>2315</v>
      </c>
      <c r="D252" s="17" t="s">
        <v>114</v>
      </c>
      <c r="E252" s="18" t="n">
        <v>49308</v>
      </c>
      <c r="F252" s="17" t="s">
        <v>667</v>
      </c>
      <c r="G252" s="23" t="n">
        <v>1.23087531435061</v>
      </c>
      <c r="H252" s="19" t="n">
        <v>50</v>
      </c>
      <c r="I252" s="17" t="n">
        <f aca="false">IF(H252="","",RANK(H252,$H$5:$H$491))</f>
        <v>248</v>
      </c>
      <c r="J252" s="24" t="n">
        <v>-0.00918316085602331</v>
      </c>
      <c r="K252" s="19" t="n">
        <v>9.2</v>
      </c>
      <c r="L252" s="17" t="n">
        <f aca="false">IF(K252="","",RANK(K252,$K$5:$K$491))</f>
        <v>445</v>
      </c>
      <c r="M252" s="25" t="n">
        <v>0.0481203007518797</v>
      </c>
      <c r="N252" s="19" t="n">
        <v>29.3</v>
      </c>
      <c r="O252" s="17" t="n">
        <f aca="false">IF(N252="","",RANK(N252,$N$5:$N$491))</f>
        <v>349</v>
      </c>
      <c r="P252" s="17" t="str">
        <f aca="false">IF(AND(N(H252)&gt;=N(K252),N(H252)&gt;=N(N252)),"The Pulse",IF(N(K252)&gt;=N(N252),"The Lens","The Hub"))</f>
        <v>The Pulse</v>
      </c>
      <c r="Q252" s="20" t="s">
        <v>74</v>
      </c>
      <c r="R252" s="26" t="s">
        <v>668</v>
      </c>
      <c r="S252" s="17" t="s">
        <v>19</v>
      </c>
    </row>
    <row r="253" customFormat="false" ht="15" hidden="false" customHeight="false" outlineLevel="0" collapsed="false">
      <c r="A253" s="17" t="s">
        <v>395</v>
      </c>
      <c r="B253" s="17" t="s">
        <v>396</v>
      </c>
      <c r="C253" s="17" t="s">
        <v>2316</v>
      </c>
      <c r="D253" s="17" t="s">
        <v>105</v>
      </c>
      <c r="E253" s="18" t="n">
        <v>19172</v>
      </c>
      <c r="F253" s="17" t="s">
        <v>667</v>
      </c>
      <c r="G253" s="23" t="n">
        <v>1.22778009597329</v>
      </c>
      <c r="H253" s="19" t="n">
        <v>49.8</v>
      </c>
      <c r="I253" s="17" t="n">
        <f aca="false">IF(H253="","",RANK(H253,$H$5:$H$491))</f>
        <v>249</v>
      </c>
      <c r="J253" s="24" t="n">
        <v>0.103487970530678</v>
      </c>
      <c r="K253" s="19" t="n">
        <v>55.7</v>
      </c>
      <c r="L253" s="17" t="n">
        <f aca="false">IF(K253="","",RANK(K253,$K$5:$K$491))</f>
        <v>224</v>
      </c>
      <c r="M253" s="25" t="n">
        <v>0.0160951714485654</v>
      </c>
      <c r="N253" s="19" t="n">
        <v>10.5</v>
      </c>
      <c r="O253" s="17" t="n">
        <f aca="false">IF(N253="","",RANK(N253,$N$5:$N$491))</f>
        <v>441</v>
      </c>
      <c r="P253" s="17" t="str">
        <f aca="false">IF(AND(N(H253)&gt;=N(K253),N(H253)&gt;=N(N253)),"The Pulse",IF(N(K253)&gt;=N(N253),"The Lens","The Hub"))</f>
        <v>The Lens</v>
      </c>
      <c r="Q253" s="20" t="s">
        <v>74</v>
      </c>
      <c r="R253" s="27" t="s">
        <v>671</v>
      </c>
      <c r="S253" s="17" t="s">
        <v>19</v>
      </c>
    </row>
    <row r="254" customFormat="false" ht="15" hidden="false" customHeight="false" outlineLevel="0" collapsed="false">
      <c r="A254" s="17" t="s">
        <v>1855</v>
      </c>
      <c r="B254" s="17" t="s">
        <v>1856</v>
      </c>
      <c r="C254" s="17" t="s">
        <v>2317</v>
      </c>
      <c r="D254" s="17" t="s">
        <v>72</v>
      </c>
      <c r="E254" s="18" t="n">
        <v>16904</v>
      </c>
      <c r="F254" s="17" t="s">
        <v>667</v>
      </c>
      <c r="G254" s="23" t="n">
        <v>1.2250354945575</v>
      </c>
      <c r="H254" s="19" t="n">
        <v>49.6</v>
      </c>
      <c r="I254" s="17" t="n">
        <f aca="false">IF(H254="","",RANK(H254,$H$5:$H$491))</f>
        <v>250</v>
      </c>
      <c r="J254" s="24" t="n">
        <v>0.21454231929875</v>
      </c>
      <c r="K254" s="19" t="n">
        <v>95</v>
      </c>
      <c r="L254" s="17" t="n">
        <f aca="false">IF(K254="","",RANK(K254,$K$5:$K$491))</f>
        <v>27</v>
      </c>
      <c r="M254" s="25" t="n">
        <v>0.00466666666666667</v>
      </c>
      <c r="N254" s="19" t="n">
        <v>4.8</v>
      </c>
      <c r="O254" s="17" t="n">
        <f aca="false">IF(N254="","",RANK(N254,$N$5:$N$491))</f>
        <v>465</v>
      </c>
      <c r="P254" s="17" t="str">
        <f aca="false">IF(AND(N(H254)&gt;=N(K254),N(H254)&gt;=N(N254)),"The Pulse",IF(N(K254)&gt;=N(N254),"The Lens","The Hub"))</f>
        <v>The Lens</v>
      </c>
      <c r="Q254" s="20" t="s">
        <v>74</v>
      </c>
      <c r="R254" s="26" t="s">
        <v>668</v>
      </c>
      <c r="S254" s="17" t="s">
        <v>19</v>
      </c>
    </row>
    <row r="255" customFormat="false" ht="15" hidden="false" customHeight="false" outlineLevel="0" collapsed="false">
      <c r="A255" s="17" t="s">
        <v>2318</v>
      </c>
      <c r="B255" s="17" t="s">
        <v>2319</v>
      </c>
      <c r="C255" s="17" t="s">
        <v>2320</v>
      </c>
      <c r="D255" s="17" t="s">
        <v>81</v>
      </c>
      <c r="E255" s="18" t="n">
        <v>2475</v>
      </c>
      <c r="F255" s="17" t="s">
        <v>678</v>
      </c>
      <c r="G255" s="23" t="n">
        <v>1.2</v>
      </c>
      <c r="H255" s="19" t="n">
        <v>49.4</v>
      </c>
      <c r="I255" s="17" t="n">
        <f aca="false">IF(H255="","",RANK(H255,$H$5:$H$491))</f>
        <v>251</v>
      </c>
      <c r="J255" s="24" t="n">
        <v>0.254434870755195</v>
      </c>
      <c r="K255" s="19" t="n">
        <v>98.7</v>
      </c>
      <c r="L255" s="17" t="n">
        <f aca="false">IF(K255="","",RANK(K255,$K$5:$K$491))</f>
        <v>9</v>
      </c>
      <c r="M255" s="25" t="n">
        <v>0.0256410256410256</v>
      </c>
      <c r="N255" s="19" t="n">
        <v>15.6</v>
      </c>
      <c r="O255" s="17" t="n">
        <f aca="false">IF(N255="","",RANK(N255,$N$5:$N$491))</f>
        <v>417</v>
      </c>
      <c r="P255" s="17" t="str">
        <f aca="false">IF(AND(N(H255)&gt;=N(K255),N(H255)&gt;=N(N255)),"The Pulse",IF(N(K255)&gt;=N(N255),"The Lens","The Hub"))</f>
        <v>The Lens</v>
      </c>
      <c r="Q255" s="21" t="s">
        <v>78</v>
      </c>
      <c r="R255" s="26" t="s">
        <v>668</v>
      </c>
      <c r="S255" s="17" t="s">
        <v>126</v>
      </c>
    </row>
    <row r="256" customFormat="false" ht="15" hidden="false" customHeight="false" outlineLevel="0" collapsed="false">
      <c r="A256" s="17" t="s">
        <v>1176</v>
      </c>
      <c r="B256" s="17" t="s">
        <v>1177</v>
      </c>
      <c r="C256" s="17" t="s">
        <v>2321</v>
      </c>
      <c r="D256" s="17" t="s">
        <v>102</v>
      </c>
      <c r="E256" s="18" t="n">
        <v>14933</v>
      </c>
      <c r="F256" s="17" t="s">
        <v>667</v>
      </c>
      <c r="G256" s="23" t="n">
        <v>1.19353110560504</v>
      </c>
      <c r="H256" s="19" t="n">
        <v>49.2</v>
      </c>
      <c r="I256" s="17" t="n">
        <f aca="false">IF(H256="","",RANK(H256,$H$5:$H$491))</f>
        <v>252</v>
      </c>
      <c r="J256" s="24" t="n">
        <v>0.0816311748515138</v>
      </c>
      <c r="K256" s="19" t="n">
        <v>45.7</v>
      </c>
      <c r="L256" s="17" t="n">
        <f aca="false">IF(K256="","",RANK(K256,$K$5:$K$491))</f>
        <v>275</v>
      </c>
      <c r="M256" s="25" t="n">
        <v>0.108391608391608</v>
      </c>
      <c r="N256" s="19" t="n">
        <v>58.9</v>
      </c>
      <c r="O256" s="17" t="n">
        <f aca="false">IF(N256="","",RANK(N256,$N$5:$N$491))</f>
        <v>204</v>
      </c>
      <c r="P256" s="17" t="str">
        <f aca="false">IF(AND(N(H256)&gt;=N(K256),N(H256)&gt;=N(N256)),"The Pulse",IF(N(K256)&gt;=N(N256),"The Lens","The Hub"))</f>
        <v>The Hub</v>
      </c>
      <c r="Q256" s="20" t="s">
        <v>74</v>
      </c>
      <c r="R256" s="26" t="s">
        <v>668</v>
      </c>
      <c r="S256" s="17" t="s">
        <v>19</v>
      </c>
    </row>
    <row r="257" customFormat="false" ht="15" hidden="false" customHeight="false" outlineLevel="0" collapsed="false">
      <c r="A257" s="17" t="s">
        <v>1828</v>
      </c>
      <c r="B257" s="17" t="s">
        <v>1829</v>
      </c>
      <c r="C257" s="17" t="s">
        <v>2322</v>
      </c>
      <c r="D257" s="17" t="s">
        <v>133</v>
      </c>
      <c r="E257" s="18" t="n">
        <v>13120</v>
      </c>
      <c r="F257" s="17" t="s">
        <v>667</v>
      </c>
      <c r="G257" s="23" t="n">
        <v>1.19146341463415</v>
      </c>
      <c r="H257" s="19" t="n">
        <v>49</v>
      </c>
      <c r="I257" s="17" t="n">
        <f aca="false">IF(H257="","",RANK(H257,$H$5:$H$491))</f>
        <v>253</v>
      </c>
      <c r="J257" s="24" t="n">
        <v>0.142857142857143</v>
      </c>
      <c r="K257" s="19" t="n">
        <v>74.5</v>
      </c>
      <c r="L257" s="17" t="n">
        <f aca="false">IF(K257="","",RANK(K257,$K$5:$K$491))</f>
        <v>131</v>
      </c>
      <c r="M257" s="25" t="n">
        <v>0.0417276720351391</v>
      </c>
      <c r="N257" s="19" t="n">
        <v>26.7</v>
      </c>
      <c r="O257" s="17" t="n">
        <f aca="false">IF(N257="","",RANK(N257,$N$5:$N$491))</f>
        <v>362</v>
      </c>
      <c r="P257" s="17" t="str">
        <f aca="false">IF(AND(N(H257)&gt;=N(K257),N(H257)&gt;=N(N257)),"The Pulse",IF(N(K257)&gt;=N(N257),"The Lens","The Hub"))</f>
        <v>The Lens</v>
      </c>
      <c r="Q257" s="21" t="s">
        <v>78</v>
      </c>
      <c r="R257" s="26" t="s">
        <v>668</v>
      </c>
      <c r="S257" s="17" t="s">
        <v>21</v>
      </c>
    </row>
    <row r="258" customFormat="false" ht="15" hidden="false" customHeight="false" outlineLevel="0" collapsed="false">
      <c r="A258" s="17" t="s">
        <v>2323</v>
      </c>
      <c r="B258" s="17" t="s">
        <v>2324</v>
      </c>
      <c r="C258" s="17" t="s">
        <v>2325</v>
      </c>
      <c r="D258" s="17" t="s">
        <v>87</v>
      </c>
      <c r="E258" s="18" t="n">
        <v>80009</v>
      </c>
      <c r="F258" s="17" t="s">
        <v>667</v>
      </c>
      <c r="G258" s="23" t="n">
        <v>1.18416678123711</v>
      </c>
      <c r="H258" s="19" t="n">
        <v>48.7</v>
      </c>
      <c r="I258" s="17" t="n">
        <f aca="false">IF(H258="","",RANK(H258,$H$5:$H$491))</f>
        <v>254</v>
      </c>
      <c r="J258" s="24" t="n">
        <v>-0.0295234283080431</v>
      </c>
      <c r="K258" s="19" t="n">
        <v>5</v>
      </c>
      <c r="L258" s="17" t="n">
        <f aca="false">IF(K258="","",RANK(K258,$K$5:$K$491))</f>
        <v>466</v>
      </c>
      <c r="M258" s="25" t="n">
        <v>0.136738578680203</v>
      </c>
      <c r="N258" s="19" t="n">
        <v>67.8</v>
      </c>
      <c r="O258" s="17" t="n">
        <f aca="false">IF(N258="","",RANK(N258,$N$5:$N$491))</f>
        <v>159</v>
      </c>
      <c r="P258" s="17" t="str">
        <f aca="false">IF(AND(N(H258)&gt;=N(K258),N(H258)&gt;=N(N258)),"The Pulse",IF(N(K258)&gt;=N(N258),"The Lens","The Hub"))</f>
        <v>The Hub</v>
      </c>
      <c r="Q258" s="20" t="s">
        <v>74</v>
      </c>
      <c r="R258" s="26" t="s">
        <v>668</v>
      </c>
      <c r="S258" s="17" t="s">
        <v>19</v>
      </c>
    </row>
    <row r="259" customFormat="false" ht="15" hidden="false" customHeight="false" outlineLevel="0" collapsed="false">
      <c r="A259" s="17" t="s">
        <v>1807</v>
      </c>
      <c r="B259" s="17" t="s">
        <v>1808</v>
      </c>
      <c r="C259" s="17" t="s">
        <v>2326</v>
      </c>
      <c r="D259" s="17" t="s">
        <v>102</v>
      </c>
      <c r="E259" s="18" t="n">
        <v>5805</v>
      </c>
      <c r="F259" s="17" t="s">
        <v>678</v>
      </c>
      <c r="G259" s="23" t="n">
        <v>1.18397932816538</v>
      </c>
      <c r="H259" s="19" t="n">
        <v>48.5</v>
      </c>
      <c r="I259" s="17" t="n">
        <f aca="false">IF(H259="","",RANK(H259,$H$5:$H$491))</f>
        <v>255</v>
      </c>
      <c r="J259" s="24" t="n">
        <v>0.0440647482014389</v>
      </c>
      <c r="K259" s="19" t="n">
        <v>26.7</v>
      </c>
      <c r="L259" s="17" t="n">
        <f aca="false">IF(K259="","",RANK(K259,$K$5:$K$491))</f>
        <v>361</v>
      </c>
      <c r="M259" s="25" t="n">
        <v>0.169014084507042</v>
      </c>
      <c r="N259" s="19" t="n">
        <v>76.6</v>
      </c>
      <c r="O259" s="17" t="n">
        <f aca="false">IF(N259="","",RANK(N259,$N$5:$N$491))</f>
        <v>115</v>
      </c>
      <c r="P259" s="17" t="str">
        <f aca="false">IF(AND(N(H259)&gt;=N(K259),N(H259)&gt;=N(N259)),"The Pulse",IF(N(K259)&gt;=N(N259),"The Lens","The Hub"))</f>
        <v>The Hub</v>
      </c>
      <c r="Q259" s="20" t="s">
        <v>74</v>
      </c>
      <c r="R259" s="26" t="s">
        <v>668</v>
      </c>
      <c r="S259" s="17" t="s">
        <v>19</v>
      </c>
    </row>
    <row r="260" customFormat="false" ht="15" hidden="false" customHeight="false" outlineLevel="0" collapsed="false">
      <c r="A260" s="17" t="s">
        <v>2327</v>
      </c>
      <c r="B260" s="17" t="s">
        <v>2328</v>
      </c>
      <c r="C260" s="17" t="s">
        <v>2329</v>
      </c>
      <c r="D260" s="17" t="s">
        <v>138</v>
      </c>
      <c r="E260" s="18" t="n">
        <v>109291</v>
      </c>
      <c r="F260" s="17" t="s">
        <v>670</v>
      </c>
      <c r="G260" s="23" t="n">
        <v>1.18308003403757</v>
      </c>
      <c r="H260" s="19" t="n">
        <v>48.3</v>
      </c>
      <c r="I260" s="17" t="n">
        <f aca="false">IF(H260="","",RANK(H260,$H$5:$H$491))</f>
        <v>256</v>
      </c>
      <c r="J260" s="24" t="n">
        <v>0.16046039987683</v>
      </c>
      <c r="K260" s="19" t="n">
        <v>80.1</v>
      </c>
      <c r="L260" s="17" t="n">
        <f aca="false">IF(K260="","",RANK(K260,$K$5:$K$491))</f>
        <v>100</v>
      </c>
      <c r="M260" s="25" t="n">
        <v>0.0298303229337712</v>
      </c>
      <c r="N260" s="19" t="n">
        <v>18.9</v>
      </c>
      <c r="O260" s="17" t="n">
        <f aca="false">IF(N260="","",RANK(N260,$N$5:$N$491))</f>
        <v>401</v>
      </c>
      <c r="P260" s="17" t="str">
        <f aca="false">IF(AND(N(H260)&gt;=N(K260),N(H260)&gt;=N(N260)),"The Pulse",IF(N(K260)&gt;=N(N260),"The Lens","The Hub"))</f>
        <v>The Lens</v>
      </c>
      <c r="Q260" s="20" t="s">
        <v>74</v>
      </c>
      <c r="R260" s="26" t="s">
        <v>668</v>
      </c>
      <c r="S260" s="17" t="s">
        <v>19</v>
      </c>
    </row>
    <row r="261" customFormat="false" ht="15" hidden="false" customHeight="false" outlineLevel="0" collapsed="false">
      <c r="A261" s="17" t="s">
        <v>2330</v>
      </c>
      <c r="B261" s="17" t="s">
        <v>2331</v>
      </c>
      <c r="C261" s="17" t="s">
        <v>2332</v>
      </c>
      <c r="D261" s="17" t="s">
        <v>81</v>
      </c>
      <c r="E261" s="18" t="n">
        <v>83131</v>
      </c>
      <c r="F261" s="17" t="s">
        <v>667</v>
      </c>
      <c r="G261" s="23" t="n">
        <v>1.18097941802697</v>
      </c>
      <c r="H261" s="19" t="n">
        <v>48.1</v>
      </c>
      <c r="I261" s="17" t="n">
        <f aca="false">IF(H261="","",RANK(H261,$H$5:$H$491))</f>
        <v>257</v>
      </c>
      <c r="J261" s="24" t="n">
        <v>0.294331044576269</v>
      </c>
      <c r="K261" s="19" t="n">
        <v>100</v>
      </c>
      <c r="L261" s="17" t="n">
        <f aca="false">IF(K261="","",RANK(K261,$K$5:$K$491))</f>
        <v>1</v>
      </c>
      <c r="M261" s="25" t="n">
        <v>0.0473763684409211</v>
      </c>
      <c r="N261" s="19" t="n">
        <v>29.1</v>
      </c>
      <c r="O261" s="17" t="n">
        <f aca="false">IF(N261="","",RANK(N261,$N$5:$N$491))</f>
        <v>350</v>
      </c>
      <c r="P261" s="17" t="str">
        <f aca="false">IF(AND(N(H261)&gt;=N(K261),N(H261)&gt;=N(N261)),"The Pulse",IF(N(K261)&gt;=N(N261),"The Lens","The Hub"))</f>
        <v>The Lens</v>
      </c>
      <c r="Q261" s="20" t="s">
        <v>74</v>
      </c>
      <c r="R261" s="26" t="s">
        <v>668</v>
      </c>
      <c r="S261" s="17" t="s">
        <v>19</v>
      </c>
    </row>
    <row r="262" customFormat="false" ht="15" hidden="false" customHeight="false" outlineLevel="0" collapsed="false">
      <c r="A262" s="17" t="s">
        <v>461</v>
      </c>
      <c r="B262" s="17" t="s">
        <v>462</v>
      </c>
      <c r="C262" s="17" t="s">
        <v>2333</v>
      </c>
      <c r="D262" s="17" t="s">
        <v>77</v>
      </c>
      <c r="E262" s="18" t="n">
        <v>30904</v>
      </c>
      <c r="F262" s="17" t="s">
        <v>667</v>
      </c>
      <c r="G262" s="23" t="n">
        <v>1.17987962723272</v>
      </c>
      <c r="H262" s="19" t="n">
        <v>47.9</v>
      </c>
      <c r="I262" s="17" t="n">
        <f aca="false">IF(H262="","",RANK(H262,$H$5:$H$491))</f>
        <v>258</v>
      </c>
      <c r="J262" s="24" t="n">
        <v>0.156630113402448</v>
      </c>
      <c r="K262" s="19" t="n">
        <v>79.8</v>
      </c>
      <c r="L262" s="17" t="n">
        <f aca="false">IF(K262="","",RANK(K262,$K$5:$K$491))</f>
        <v>104</v>
      </c>
      <c r="M262" s="25" t="n">
        <v>0.11516654854713</v>
      </c>
      <c r="N262" s="19" t="n">
        <v>61.1</v>
      </c>
      <c r="O262" s="17" t="n">
        <f aca="false">IF(N262="","",RANK(N262,$N$5:$N$491))</f>
        <v>193</v>
      </c>
      <c r="P262" s="17" t="str">
        <f aca="false">IF(AND(N(H262)&gt;=N(K262),N(H262)&gt;=N(N262)),"The Pulse",IF(N(K262)&gt;=N(N262),"The Lens","The Hub"))</f>
        <v>The Lens</v>
      </c>
      <c r="Q262" s="20" t="s">
        <v>74</v>
      </c>
      <c r="R262" s="27" t="s">
        <v>671</v>
      </c>
      <c r="S262" s="17" t="s">
        <v>19</v>
      </c>
    </row>
    <row r="263" customFormat="false" ht="15" hidden="false" customHeight="false" outlineLevel="0" collapsed="false">
      <c r="A263" s="17" t="s">
        <v>2334</v>
      </c>
      <c r="B263" s="17" t="s">
        <v>2335</v>
      </c>
      <c r="C263" s="17" t="s">
        <v>2336</v>
      </c>
      <c r="D263" s="17" t="s">
        <v>102</v>
      </c>
      <c r="E263" s="18" t="n">
        <v>8279</v>
      </c>
      <c r="F263" s="17" t="s">
        <v>678</v>
      </c>
      <c r="G263" s="23" t="n">
        <v>1.17792003865201</v>
      </c>
      <c r="H263" s="19" t="n">
        <v>47.7</v>
      </c>
      <c r="I263" s="17" t="n">
        <f aca="false">IF(H263="","",RANK(H263,$H$5:$H$491))</f>
        <v>259</v>
      </c>
      <c r="J263" s="24" t="n">
        <v>0.292583918813427</v>
      </c>
      <c r="K263" s="19" t="n">
        <v>100</v>
      </c>
      <c r="L263" s="17" t="n">
        <f aca="false">IF(K263="","",RANK(K263,$K$5:$K$491))</f>
        <v>1</v>
      </c>
      <c r="M263" s="25" t="n">
        <v>0.0552147239263804</v>
      </c>
      <c r="N263" s="19" t="n">
        <v>34.3</v>
      </c>
      <c r="O263" s="17" t="n">
        <f aca="false">IF(N263="","",RANK(N263,$N$5:$N$491))</f>
        <v>325</v>
      </c>
      <c r="P263" s="17" t="str">
        <f aca="false">IF(AND(N(H263)&gt;=N(K263),N(H263)&gt;=N(N263)),"The Pulse",IF(N(K263)&gt;=N(N263),"The Lens","The Hub"))</f>
        <v>The Lens</v>
      </c>
      <c r="Q263" s="20" t="s">
        <v>74</v>
      </c>
      <c r="R263" s="26" t="s">
        <v>668</v>
      </c>
      <c r="S263" s="17" t="s">
        <v>19</v>
      </c>
    </row>
    <row r="264" customFormat="false" ht="15" hidden="false" customHeight="false" outlineLevel="0" collapsed="false">
      <c r="A264" s="17" t="s">
        <v>2337</v>
      </c>
      <c r="B264" s="17" t="s">
        <v>2338</v>
      </c>
      <c r="C264" s="17" t="s">
        <v>2339</v>
      </c>
      <c r="D264" s="17" t="s">
        <v>92</v>
      </c>
      <c r="E264" s="18" t="n">
        <v>6046</v>
      </c>
      <c r="F264" s="17" t="s">
        <v>678</v>
      </c>
      <c r="G264" s="23" t="n">
        <v>1.17118756202448</v>
      </c>
      <c r="H264" s="19" t="n">
        <v>47.5</v>
      </c>
      <c r="I264" s="17" t="n">
        <f aca="false">IF(H264="","",RANK(H264,$H$5:$H$491))</f>
        <v>260</v>
      </c>
      <c r="J264" s="24" t="n">
        <v>0.0365163723641351</v>
      </c>
      <c r="K264" s="19" t="n">
        <v>21.3</v>
      </c>
      <c r="L264" s="17" t="n">
        <f aca="false">IF(K264="","",RANK(K264,$K$5:$K$491))</f>
        <v>385</v>
      </c>
      <c r="M264" s="25" t="n">
        <v>0.425714285714286</v>
      </c>
      <c r="N264" s="19" t="n">
        <v>99.4</v>
      </c>
      <c r="O264" s="17" t="n">
        <f aca="false">IF(N264="","",RANK(N264,$N$5:$N$491))</f>
        <v>4</v>
      </c>
      <c r="P264" s="17" t="str">
        <f aca="false">IF(AND(N(H264)&gt;=N(K264),N(H264)&gt;=N(N264)),"The Pulse",IF(N(K264)&gt;=N(N264),"The Lens","The Hub"))</f>
        <v>The Hub</v>
      </c>
      <c r="Q264" s="20" t="s">
        <v>74</v>
      </c>
      <c r="R264" s="26" t="s">
        <v>668</v>
      </c>
      <c r="S264" s="17" t="s">
        <v>19</v>
      </c>
    </row>
    <row r="265" customFormat="false" ht="15" hidden="false" customHeight="false" outlineLevel="0" collapsed="false">
      <c r="A265" s="17" t="s">
        <v>537</v>
      </c>
      <c r="B265" s="17" t="s">
        <v>538</v>
      </c>
      <c r="C265" s="17" t="s">
        <v>2340</v>
      </c>
      <c r="D265" s="17" t="s">
        <v>105</v>
      </c>
      <c r="E265" s="18" t="n">
        <v>10579</v>
      </c>
      <c r="F265" s="17" t="s">
        <v>667</v>
      </c>
      <c r="G265" s="23" t="n">
        <v>1.16844692314964</v>
      </c>
      <c r="H265" s="19" t="n">
        <v>47.3</v>
      </c>
      <c r="I265" s="17" t="n">
        <f aca="false">IF(H265="","",RANK(H265,$H$5:$H$491))</f>
        <v>261</v>
      </c>
      <c r="J265" s="24" t="n">
        <v>0.0747739510311897</v>
      </c>
      <c r="K265" s="19" t="n">
        <v>41.1</v>
      </c>
      <c r="L265" s="17" t="n">
        <f aca="false">IF(K265="","",RANK(K265,$K$5:$K$491))</f>
        <v>297</v>
      </c>
      <c r="M265" s="25" t="n">
        <v>0.0734265734265734</v>
      </c>
      <c r="N265" s="19" t="n">
        <v>40.8</v>
      </c>
      <c r="O265" s="17" t="n">
        <f aca="false">IF(N265="","",RANK(N265,$N$5:$N$491))</f>
        <v>295</v>
      </c>
      <c r="P265" s="17" t="str">
        <f aca="false">IF(AND(N(H265)&gt;=N(K265),N(H265)&gt;=N(N265)),"The Pulse",IF(N(K265)&gt;=N(N265),"The Lens","The Hub"))</f>
        <v>The Pulse</v>
      </c>
      <c r="Q265" s="20" t="s">
        <v>74</v>
      </c>
      <c r="R265" s="27" t="s">
        <v>671</v>
      </c>
      <c r="S265" s="17" t="s">
        <v>19</v>
      </c>
    </row>
    <row r="266" customFormat="false" ht="15" hidden="false" customHeight="false" outlineLevel="0" collapsed="false">
      <c r="A266" s="17" t="s">
        <v>571</v>
      </c>
      <c r="B266" s="17" t="s">
        <v>572</v>
      </c>
      <c r="C266" s="17" t="s">
        <v>2341</v>
      </c>
      <c r="D266" s="17" t="s">
        <v>72</v>
      </c>
      <c r="E266" s="18" t="n">
        <v>204370</v>
      </c>
      <c r="F266" s="17" t="s">
        <v>670</v>
      </c>
      <c r="G266" s="23" t="n">
        <v>1.16607134119489</v>
      </c>
      <c r="H266" s="19" t="n">
        <v>47.1</v>
      </c>
      <c r="I266" s="17" t="n">
        <f aca="false">IF(H266="","",RANK(H266,$H$5:$H$491))</f>
        <v>262</v>
      </c>
      <c r="J266" s="24" t="n">
        <v>0.200686207119399</v>
      </c>
      <c r="K266" s="19" t="n">
        <v>90.4</v>
      </c>
      <c r="L266" s="17" t="n">
        <f aca="false">IF(K266="","",RANK(K266,$K$5:$K$491))</f>
        <v>48</v>
      </c>
      <c r="M266" s="25" t="n">
        <v>0.0995270102066219</v>
      </c>
      <c r="N266" s="19" t="n">
        <v>54.3</v>
      </c>
      <c r="O266" s="17" t="n">
        <f aca="false">IF(N266="","",RANK(N266,$N$5:$N$491))</f>
        <v>228</v>
      </c>
      <c r="P266" s="17" t="str">
        <f aca="false">IF(AND(N(H266)&gt;=N(K266),N(H266)&gt;=N(N266)),"The Pulse",IF(N(K266)&gt;=N(N266),"The Lens","The Hub"))</f>
        <v>The Lens</v>
      </c>
      <c r="Q266" s="20" t="s">
        <v>74</v>
      </c>
      <c r="R266" s="27" t="s">
        <v>671</v>
      </c>
      <c r="S266" s="17" t="s">
        <v>19</v>
      </c>
    </row>
    <row r="267" customFormat="false" ht="15" hidden="false" customHeight="false" outlineLevel="0" collapsed="false">
      <c r="A267" s="17" t="s">
        <v>2342</v>
      </c>
      <c r="B267" s="17" t="s">
        <v>2343</v>
      </c>
      <c r="C267" s="17" t="s">
        <v>2344</v>
      </c>
      <c r="D267" s="17" t="s">
        <v>114</v>
      </c>
      <c r="E267" s="18" t="n">
        <v>51037</v>
      </c>
      <c r="F267" s="17" t="s">
        <v>667</v>
      </c>
      <c r="G267" s="23" t="n">
        <v>1.16337167153242</v>
      </c>
      <c r="H267" s="19" t="n">
        <v>47</v>
      </c>
      <c r="I267" s="17" t="n">
        <f aca="false">IF(H267="","",RANK(H267,$H$5:$H$491))</f>
        <v>263</v>
      </c>
      <c r="J267" s="24" t="n">
        <v>0.0467410476229542</v>
      </c>
      <c r="K267" s="19" t="n">
        <v>29.1</v>
      </c>
      <c r="L267" s="17" t="n">
        <f aca="false">IF(K267="","",RANK(K267,$K$5:$K$491))</f>
        <v>350</v>
      </c>
      <c r="M267" s="25" t="n">
        <v>0.0219889064976228</v>
      </c>
      <c r="N267" s="19" t="n">
        <v>13.5</v>
      </c>
      <c r="O267" s="17" t="n">
        <f aca="false">IF(N267="","",RANK(N267,$N$5:$N$491))</f>
        <v>428</v>
      </c>
      <c r="P267" s="17" t="str">
        <f aca="false">IF(AND(N(H267)&gt;=N(K267),N(H267)&gt;=N(N267)),"The Pulse",IF(N(K267)&gt;=N(N267),"The Lens","The Hub"))</f>
        <v>The Pulse</v>
      </c>
      <c r="Q267" s="20" t="s">
        <v>74</v>
      </c>
      <c r="R267" s="26" t="s">
        <v>668</v>
      </c>
      <c r="S267" s="17" t="s">
        <v>19</v>
      </c>
    </row>
    <row r="268" customFormat="false" ht="15" hidden="false" customHeight="false" outlineLevel="0" collapsed="false">
      <c r="A268" s="17" t="s">
        <v>437</v>
      </c>
      <c r="B268" s="17" t="s">
        <v>438</v>
      </c>
      <c r="C268" s="17" t="s">
        <v>2345</v>
      </c>
      <c r="D268" s="17" t="s">
        <v>114</v>
      </c>
      <c r="E268" s="18" t="n">
        <v>38608</v>
      </c>
      <c r="F268" s="17" t="s">
        <v>667</v>
      </c>
      <c r="G268" s="23" t="n">
        <v>1.16333402403647</v>
      </c>
      <c r="H268" s="19" t="n">
        <v>46.8</v>
      </c>
      <c r="I268" s="17" t="n">
        <f aca="false">IF(H268="","",RANK(H268,$H$5:$H$491))</f>
        <v>264</v>
      </c>
      <c r="J268" s="24" t="n">
        <v>0.12108717114815</v>
      </c>
      <c r="K268" s="19" t="n">
        <v>66</v>
      </c>
      <c r="L268" s="17" t="n">
        <f aca="false">IF(K268="","",RANK(K268,$K$5:$K$491))</f>
        <v>172</v>
      </c>
      <c r="M268" s="25" t="n">
        <v>0.155671902268761</v>
      </c>
      <c r="N268" s="19" t="n">
        <v>72.6</v>
      </c>
      <c r="O268" s="17" t="n">
        <f aca="false">IF(N268="","",RANK(N268,$N$5:$N$491))</f>
        <v>136</v>
      </c>
      <c r="P268" s="17" t="str">
        <f aca="false">IF(AND(N(H268)&gt;=N(K268),N(H268)&gt;=N(N268)),"The Pulse",IF(N(K268)&gt;=N(N268),"The Lens","The Hub"))</f>
        <v>The Hub</v>
      </c>
      <c r="Q268" s="20" t="s">
        <v>74</v>
      </c>
      <c r="R268" s="27" t="s">
        <v>671</v>
      </c>
      <c r="S268" s="17" t="s">
        <v>19</v>
      </c>
    </row>
    <row r="269" customFormat="false" ht="15" hidden="false" customHeight="false" outlineLevel="0" collapsed="false">
      <c r="A269" s="17" t="s">
        <v>259</v>
      </c>
      <c r="B269" s="17" t="s">
        <v>260</v>
      </c>
      <c r="C269" s="17" t="s">
        <v>2346</v>
      </c>
      <c r="D269" s="17" t="s">
        <v>114</v>
      </c>
      <c r="E269" s="18" t="n">
        <v>44992</v>
      </c>
      <c r="F269" s="17" t="s">
        <v>667</v>
      </c>
      <c r="G269" s="23" t="n">
        <v>1.16245110241821</v>
      </c>
      <c r="H269" s="19" t="n">
        <v>46.6</v>
      </c>
      <c r="I269" s="17" t="n">
        <f aca="false">IF(H269="","",RANK(H269,$H$5:$H$491))</f>
        <v>265</v>
      </c>
      <c r="J269" s="24" t="n">
        <v>0.00727606510399176</v>
      </c>
      <c r="K269" s="19" t="n">
        <v>12.4</v>
      </c>
      <c r="L269" s="17" t="n">
        <f aca="false">IF(K269="","",RANK(K269,$K$5:$K$491))</f>
        <v>428</v>
      </c>
      <c r="M269" s="25" t="n">
        <v>0.158878504672897</v>
      </c>
      <c r="N269" s="19" t="n">
        <v>73.1</v>
      </c>
      <c r="O269" s="17" t="n">
        <f aca="false">IF(N269="","",RANK(N269,$N$5:$N$491))</f>
        <v>133</v>
      </c>
      <c r="P269" s="17" t="str">
        <f aca="false">IF(AND(N(H269)&gt;=N(K269),N(H269)&gt;=N(N269)),"The Pulse",IF(N(K269)&gt;=N(N269),"The Lens","The Hub"))</f>
        <v>The Hub</v>
      </c>
      <c r="Q269" s="22" t="s">
        <v>83</v>
      </c>
      <c r="R269" s="27" t="s">
        <v>671</v>
      </c>
      <c r="S269" s="17" t="s">
        <v>17</v>
      </c>
    </row>
    <row r="270" customFormat="false" ht="15" hidden="false" customHeight="false" outlineLevel="0" collapsed="false">
      <c r="A270" s="17" t="s">
        <v>2347</v>
      </c>
      <c r="B270" s="17" t="s">
        <v>2348</v>
      </c>
      <c r="C270" s="17" t="s">
        <v>2349</v>
      </c>
      <c r="D270" s="17" t="s">
        <v>133</v>
      </c>
      <c r="E270" s="18" t="n">
        <v>39206</v>
      </c>
      <c r="F270" s="17" t="s">
        <v>667</v>
      </c>
      <c r="G270" s="23" t="n">
        <v>1.15426210273938</v>
      </c>
      <c r="H270" s="19" t="n">
        <v>46.4</v>
      </c>
      <c r="I270" s="17" t="n">
        <f aca="false">IF(H270="","",RANK(H270,$H$5:$H$491))</f>
        <v>266</v>
      </c>
      <c r="J270" s="24" t="n">
        <v>0.0540097319676318</v>
      </c>
      <c r="K270" s="19" t="n">
        <v>31.6</v>
      </c>
      <c r="L270" s="17" t="n">
        <f aca="false">IF(K270="","",RANK(K270,$K$5:$K$491))</f>
        <v>339</v>
      </c>
      <c r="M270" s="25" t="n">
        <v>0.153734590282814</v>
      </c>
      <c r="N270" s="19" t="n">
        <v>71.8</v>
      </c>
      <c r="O270" s="17" t="n">
        <f aca="false">IF(N270="","",RANK(N270,$N$5:$N$491))</f>
        <v>140</v>
      </c>
      <c r="P270" s="17" t="str">
        <f aca="false">IF(AND(N(H270)&gt;=N(K270),N(H270)&gt;=N(N270)),"The Pulse",IF(N(K270)&gt;=N(N270),"The Lens","The Hub"))</f>
        <v>The Hub</v>
      </c>
      <c r="Q270" s="20" t="s">
        <v>74</v>
      </c>
      <c r="R270" s="26" t="s">
        <v>668</v>
      </c>
      <c r="S270" s="17" t="s">
        <v>19</v>
      </c>
    </row>
    <row r="271" customFormat="false" ht="15" hidden="false" customHeight="false" outlineLevel="0" collapsed="false">
      <c r="A271" s="17" t="s">
        <v>928</v>
      </c>
      <c r="B271" s="17" t="s">
        <v>929</v>
      </c>
      <c r="C271" s="17" t="s">
        <v>2350</v>
      </c>
      <c r="D271" s="17" t="s">
        <v>72</v>
      </c>
      <c r="E271" s="18" t="n">
        <v>179474</v>
      </c>
      <c r="F271" s="17" t="s">
        <v>670</v>
      </c>
      <c r="G271" s="23" t="n">
        <v>1.15033375307844</v>
      </c>
      <c r="H271" s="19" t="n">
        <v>46.2</v>
      </c>
      <c r="I271" s="17" t="n">
        <f aca="false">IF(H271="","",RANK(H271,$H$5:$H$491))</f>
        <v>267</v>
      </c>
      <c r="J271" s="24" t="n">
        <v>0.130231620842097</v>
      </c>
      <c r="K271" s="19" t="n">
        <v>71.7</v>
      </c>
      <c r="L271" s="17" t="n">
        <f aca="false">IF(K271="","",RANK(K271,$K$5:$K$491))</f>
        <v>144</v>
      </c>
      <c r="M271" s="25" t="n">
        <v>0.161634349030471</v>
      </c>
      <c r="N271" s="19" t="n">
        <v>73.5</v>
      </c>
      <c r="O271" s="17" t="n">
        <f aca="false">IF(N271="","",RANK(N271,$N$5:$N$491))</f>
        <v>131</v>
      </c>
      <c r="P271" s="17" t="str">
        <f aca="false">IF(AND(N(H271)&gt;=N(K271),N(H271)&gt;=N(N271)),"The Pulse",IF(N(K271)&gt;=N(N271),"The Lens","The Hub"))</f>
        <v>The Hub</v>
      </c>
      <c r="Q271" s="20" t="s">
        <v>74</v>
      </c>
      <c r="R271" s="26" t="s">
        <v>668</v>
      </c>
      <c r="S271" s="17" t="s">
        <v>19</v>
      </c>
    </row>
    <row r="272" customFormat="false" ht="15" hidden="false" customHeight="false" outlineLevel="0" collapsed="false">
      <c r="A272" s="17" t="s">
        <v>2351</v>
      </c>
      <c r="B272" s="17" t="s">
        <v>2352</v>
      </c>
      <c r="C272" s="17" t="s">
        <v>2353</v>
      </c>
      <c r="D272" s="17" t="s">
        <v>138</v>
      </c>
      <c r="E272" s="18" t="n">
        <v>825883</v>
      </c>
      <c r="F272" s="17" t="s">
        <v>670</v>
      </c>
      <c r="G272" s="23" t="n">
        <v>1.135688711355</v>
      </c>
      <c r="H272" s="19" t="n">
        <v>45.8</v>
      </c>
      <c r="I272" s="17" t="n">
        <f aca="false">IF(H272="","",RANK(H272,$H$5:$H$491))</f>
        <v>268</v>
      </c>
      <c r="J272" s="24" t="n">
        <v>0.0875352906474517</v>
      </c>
      <c r="K272" s="19" t="n">
        <v>51.8</v>
      </c>
      <c r="L272" s="17" t="n">
        <f aca="false">IF(K272="","",RANK(K272,$K$5:$K$491))</f>
        <v>243</v>
      </c>
      <c r="M272" s="25" t="n">
        <v>0.048383552435982</v>
      </c>
      <c r="N272" s="19" t="n">
        <v>29.7</v>
      </c>
      <c r="O272" s="17" t="n">
        <f aca="false">IF(N272="","",RANK(N272,$N$5:$N$491))</f>
        <v>347</v>
      </c>
      <c r="P272" s="17" t="str">
        <f aca="false">IF(AND(N(H272)&gt;=N(K272),N(H272)&gt;=N(N272)),"The Pulse",IF(N(K272)&gt;=N(N272),"The Lens","The Hub"))</f>
        <v>The Lens</v>
      </c>
      <c r="Q272" s="20" t="s">
        <v>74</v>
      </c>
      <c r="R272" s="26" t="s">
        <v>668</v>
      </c>
      <c r="S272" s="17" t="s">
        <v>19</v>
      </c>
    </row>
    <row r="273" customFormat="false" ht="15" hidden="false" customHeight="false" outlineLevel="0" collapsed="false">
      <c r="A273" s="17" t="s">
        <v>1524</v>
      </c>
      <c r="B273" s="17" t="s">
        <v>1525</v>
      </c>
      <c r="C273" s="17" t="s">
        <v>2354</v>
      </c>
      <c r="D273" s="17" t="s">
        <v>92</v>
      </c>
      <c r="E273" s="18" t="n">
        <v>8381</v>
      </c>
      <c r="F273" s="17" t="s">
        <v>678</v>
      </c>
      <c r="G273" s="23" t="n">
        <v>1.12409020403293</v>
      </c>
      <c r="H273" s="19" t="n">
        <v>45.4</v>
      </c>
      <c r="I273" s="17" t="n">
        <f aca="false">IF(H273="","",RANK(H273,$H$5:$H$491))</f>
        <v>269</v>
      </c>
      <c r="J273" s="24" t="n">
        <v>0.18828867148731</v>
      </c>
      <c r="K273" s="19" t="n">
        <v>86.7</v>
      </c>
      <c r="L273" s="17" t="n">
        <f aca="false">IF(K273="","",RANK(K273,$K$5:$K$491))</f>
        <v>66</v>
      </c>
      <c r="M273" s="25" t="n">
        <v>0.0199600798403194</v>
      </c>
      <c r="N273" s="19" t="n">
        <v>12.6</v>
      </c>
      <c r="O273" s="17" t="n">
        <f aca="false">IF(N273="","",RANK(N273,$N$5:$N$491))</f>
        <v>432</v>
      </c>
      <c r="P273" s="17" t="str">
        <f aca="false">IF(AND(N(H273)&gt;=N(K273),N(H273)&gt;=N(N273)),"The Pulse",IF(N(K273)&gt;=N(N273),"The Lens","The Hub"))</f>
        <v>The Lens</v>
      </c>
      <c r="Q273" s="20" t="s">
        <v>74</v>
      </c>
      <c r="R273" s="26" t="s">
        <v>668</v>
      </c>
      <c r="S273" s="17" t="s">
        <v>19</v>
      </c>
    </row>
    <row r="274" customFormat="false" ht="15" hidden="false" customHeight="false" outlineLevel="0" collapsed="false">
      <c r="A274" s="17" t="s">
        <v>525</v>
      </c>
      <c r="B274" s="17" t="s">
        <v>526</v>
      </c>
      <c r="C274" s="17" t="s">
        <v>2355</v>
      </c>
      <c r="D274" s="17" t="s">
        <v>72</v>
      </c>
      <c r="E274" s="18" t="n">
        <v>8837</v>
      </c>
      <c r="F274" s="17" t="s">
        <v>678</v>
      </c>
      <c r="G274" s="23" t="n">
        <v>1.11757383727509</v>
      </c>
      <c r="H274" s="19" t="n">
        <v>45.2</v>
      </c>
      <c r="I274" s="17" t="n">
        <f aca="false">IF(H274="","",RANK(H274,$H$5:$H$491))</f>
        <v>270</v>
      </c>
      <c r="J274" s="24" t="n">
        <v>0.0429599905582438</v>
      </c>
      <c r="K274" s="19" t="n">
        <v>25.3</v>
      </c>
      <c r="L274" s="17" t="n">
        <f aca="false">IF(K274="","",RANK(K274,$K$5:$K$491))</f>
        <v>367</v>
      </c>
      <c r="M274" s="25" t="n">
        <v>0.116504854368932</v>
      </c>
      <c r="N274" s="19" t="n">
        <v>61.9</v>
      </c>
      <c r="O274" s="17" t="n">
        <f aca="false">IF(N274="","",RANK(N274,$N$5:$N$491))</f>
        <v>189</v>
      </c>
      <c r="P274" s="17" t="str">
        <f aca="false">IF(AND(N(H274)&gt;=N(K274),N(H274)&gt;=N(N274)),"The Pulse",IF(N(K274)&gt;=N(N274),"The Lens","The Hub"))</f>
        <v>The Hub</v>
      </c>
      <c r="Q274" s="20" t="s">
        <v>74</v>
      </c>
      <c r="R274" s="27" t="s">
        <v>671</v>
      </c>
      <c r="S274" s="17" t="s">
        <v>19</v>
      </c>
    </row>
    <row r="275" customFormat="false" ht="15" hidden="false" customHeight="false" outlineLevel="0" collapsed="false">
      <c r="A275" s="17" t="s">
        <v>317</v>
      </c>
      <c r="B275" s="17" t="s">
        <v>318</v>
      </c>
      <c r="C275" s="17" t="s">
        <v>2356</v>
      </c>
      <c r="D275" s="17" t="s">
        <v>77</v>
      </c>
      <c r="E275" s="18" t="n">
        <v>6778</v>
      </c>
      <c r="F275" s="17" t="s">
        <v>678</v>
      </c>
      <c r="G275" s="23" t="n">
        <v>1.1159634110357</v>
      </c>
      <c r="H275" s="19" t="n">
        <v>45.1</v>
      </c>
      <c r="I275" s="17" t="n">
        <f aca="false">IF(H275="","",RANK(H275,$H$5:$H$491))</f>
        <v>271</v>
      </c>
      <c r="J275" s="24" t="n">
        <v>0.114986017437079</v>
      </c>
      <c r="K275" s="19" t="n">
        <v>54.7</v>
      </c>
      <c r="L275" s="17" t="n">
        <f aca="false">IF(K275="","",RANK(K275,$K$5:$K$491))</f>
        <v>228</v>
      </c>
      <c r="M275" s="25" t="n">
        <v>0.0487804878048781</v>
      </c>
      <c r="N275" s="19" t="n">
        <v>30.1</v>
      </c>
      <c r="O275" s="17" t="n">
        <f aca="false">IF(N275="","",RANK(N275,$N$5:$N$491))</f>
        <v>346</v>
      </c>
      <c r="P275" s="17" t="str">
        <f aca="false">IF(AND(N(H275)&gt;=N(K275),N(H275)&gt;=N(N275)),"The Pulse",IF(N(K275)&gt;=N(N275),"The Lens","The Hub"))</f>
        <v>The Lens</v>
      </c>
      <c r="Q275" s="20" t="s">
        <v>74</v>
      </c>
      <c r="R275" s="27" t="s">
        <v>671</v>
      </c>
      <c r="S275" s="17" t="s">
        <v>19</v>
      </c>
    </row>
    <row r="276" customFormat="false" ht="15" hidden="false" customHeight="false" outlineLevel="0" collapsed="false">
      <c r="A276" s="17" t="s">
        <v>1760</v>
      </c>
      <c r="B276" s="17" t="s">
        <v>1761</v>
      </c>
      <c r="C276" s="17" t="s">
        <v>2357</v>
      </c>
      <c r="D276" s="17" t="s">
        <v>138</v>
      </c>
      <c r="E276" s="18" t="n">
        <v>44049</v>
      </c>
      <c r="F276" s="17" t="s">
        <v>667</v>
      </c>
      <c r="G276" s="23" t="n">
        <v>1.11523530613635</v>
      </c>
      <c r="H276" s="19" t="n">
        <v>44.9</v>
      </c>
      <c r="I276" s="17" t="n">
        <f aca="false">IF(H276="","",RANK(H276,$H$5:$H$491))</f>
        <v>272</v>
      </c>
      <c r="J276" s="24" t="n">
        <v>0.109574548477292</v>
      </c>
      <c r="K276" s="19" t="n">
        <v>59.2</v>
      </c>
      <c r="L276" s="17" t="n">
        <f aca="false">IF(K276="","",RANK(K276,$K$5:$K$491))</f>
        <v>206</v>
      </c>
      <c r="M276" s="25" t="n">
        <v>0.313006697215368</v>
      </c>
      <c r="N276" s="19" t="n">
        <v>96.8</v>
      </c>
      <c r="O276" s="17" t="n">
        <f aca="false">IF(N276="","",RANK(N276,$N$5:$N$491))</f>
        <v>17</v>
      </c>
      <c r="P276" s="17" t="str">
        <f aca="false">IF(AND(N(H276)&gt;=N(K276),N(H276)&gt;=N(N276)),"The Pulse",IF(N(K276)&gt;=N(N276),"The Lens","The Hub"))</f>
        <v>The Hub</v>
      </c>
      <c r="Q276" s="20" t="s">
        <v>74</v>
      </c>
      <c r="R276" s="26" t="s">
        <v>668</v>
      </c>
      <c r="S276" s="17" t="s">
        <v>19</v>
      </c>
    </row>
    <row r="277" customFormat="false" ht="15" hidden="false" customHeight="false" outlineLevel="0" collapsed="false">
      <c r="A277" s="17" t="s">
        <v>2358</v>
      </c>
      <c r="B277" s="17" t="s">
        <v>2359</v>
      </c>
      <c r="C277" s="17" t="s">
        <v>2360</v>
      </c>
      <c r="D277" s="17" t="s">
        <v>102</v>
      </c>
      <c r="E277" s="18" t="n">
        <v>9378</v>
      </c>
      <c r="F277" s="17" t="s">
        <v>678</v>
      </c>
      <c r="G277" s="23" t="n">
        <v>1.1149498827042</v>
      </c>
      <c r="H277" s="19" t="n">
        <v>44.7</v>
      </c>
      <c r="I277" s="17" t="n">
        <f aca="false">IF(H277="","",RANK(H277,$H$5:$H$491))</f>
        <v>273</v>
      </c>
      <c r="J277" s="24" t="n">
        <v>0.123786698621929</v>
      </c>
      <c r="K277" s="19" t="n">
        <v>58.7</v>
      </c>
      <c r="L277" s="17" t="n">
        <f aca="false">IF(K277="","",RANK(K277,$K$5:$K$491))</f>
        <v>209</v>
      </c>
      <c r="M277" s="25" t="n">
        <v>0.0895522388059701</v>
      </c>
      <c r="N277" s="19" t="n">
        <v>49.1</v>
      </c>
      <c r="O277" s="17" t="n">
        <f aca="false">IF(N277="","",RANK(N277,$N$5:$N$491))</f>
        <v>251</v>
      </c>
      <c r="P277" s="17" t="str">
        <f aca="false">IF(AND(N(H277)&gt;=N(K277),N(H277)&gt;=N(N277)),"The Pulse",IF(N(K277)&gt;=N(N277),"The Lens","The Hub"))</f>
        <v>The Lens</v>
      </c>
      <c r="Q277" s="20" t="s">
        <v>74</v>
      </c>
      <c r="R277" s="26" t="s">
        <v>668</v>
      </c>
      <c r="S277" s="17" t="s">
        <v>19</v>
      </c>
    </row>
    <row r="278" customFormat="false" ht="15" hidden="false" customHeight="false" outlineLevel="0" collapsed="false">
      <c r="A278" s="17" t="s">
        <v>497</v>
      </c>
      <c r="B278" s="17" t="s">
        <v>498</v>
      </c>
      <c r="C278" s="17" t="s">
        <v>2361</v>
      </c>
      <c r="D278" s="17" t="s">
        <v>81</v>
      </c>
      <c r="E278" s="18" t="n">
        <v>33231</v>
      </c>
      <c r="F278" s="17" t="s">
        <v>667</v>
      </c>
      <c r="G278" s="23" t="n">
        <v>1.11037886310975</v>
      </c>
      <c r="H278" s="19" t="n">
        <v>44.3</v>
      </c>
      <c r="I278" s="17" t="n">
        <f aca="false">IF(H278="","",RANK(H278,$H$5:$H$491))</f>
        <v>274</v>
      </c>
      <c r="J278" s="24" t="n">
        <v>0.116220483020389</v>
      </c>
      <c r="K278" s="19" t="n">
        <v>62.4</v>
      </c>
      <c r="L278" s="17" t="n">
        <f aca="false">IF(K278="","",RANK(K278,$K$5:$K$491))</f>
        <v>190</v>
      </c>
      <c r="M278" s="25" t="n">
        <v>0.209619952494062</v>
      </c>
      <c r="N278" s="19" t="n">
        <v>85</v>
      </c>
      <c r="O278" s="17" t="n">
        <f aca="false">IF(N278="","",RANK(N278,$N$5:$N$491))</f>
        <v>75</v>
      </c>
      <c r="P278" s="17" t="str">
        <f aca="false">IF(AND(N(H278)&gt;=N(K278),N(H278)&gt;=N(N278)),"The Pulse",IF(N(K278)&gt;=N(N278),"The Lens","The Hub"))</f>
        <v>The Hub</v>
      </c>
      <c r="Q278" s="20" t="s">
        <v>74</v>
      </c>
      <c r="R278" s="27" t="s">
        <v>671</v>
      </c>
      <c r="S278" s="17" t="s">
        <v>19</v>
      </c>
    </row>
    <row r="279" customFormat="false" ht="15" hidden="false" customHeight="false" outlineLevel="0" collapsed="false">
      <c r="A279" s="17" t="s">
        <v>991</v>
      </c>
      <c r="B279" s="17" t="s">
        <v>992</v>
      </c>
      <c r="C279" s="17" t="s">
        <v>2362</v>
      </c>
      <c r="D279" s="17" t="s">
        <v>92</v>
      </c>
      <c r="E279" s="18" t="n">
        <v>223242</v>
      </c>
      <c r="F279" s="17" t="s">
        <v>670</v>
      </c>
      <c r="G279" s="23" t="n">
        <v>1.10724236478799</v>
      </c>
      <c r="H279" s="19" t="n">
        <v>44.1</v>
      </c>
      <c r="I279" s="17" t="n">
        <f aca="false">IF(H279="","",RANK(H279,$H$5:$H$491))</f>
        <v>275</v>
      </c>
      <c r="J279" s="24" t="n">
        <v>0.0964950195485177</v>
      </c>
      <c r="K279" s="19" t="n">
        <v>55.4</v>
      </c>
      <c r="L279" s="17" t="n">
        <f aca="false">IF(K279="","",RANK(K279,$K$5:$K$491))</f>
        <v>225</v>
      </c>
      <c r="M279" s="25" t="n">
        <v>0.062114074006312</v>
      </c>
      <c r="N279" s="19" t="n">
        <v>36.8</v>
      </c>
      <c r="O279" s="17" t="n">
        <f aca="false">IF(N279="","",RANK(N279,$N$5:$N$491))</f>
        <v>314</v>
      </c>
      <c r="P279" s="17" t="str">
        <f aca="false">IF(AND(N(H279)&gt;=N(K279),N(H279)&gt;=N(N279)),"The Pulse",IF(N(K279)&gt;=N(N279),"The Lens","The Hub"))</f>
        <v>The Lens</v>
      </c>
      <c r="Q279" s="20" t="s">
        <v>74</v>
      </c>
      <c r="R279" s="26" t="s">
        <v>668</v>
      </c>
      <c r="S279" s="17" t="s">
        <v>19</v>
      </c>
    </row>
    <row r="280" customFormat="false" ht="15" hidden="false" customHeight="false" outlineLevel="0" collapsed="false">
      <c r="A280" s="17" t="s">
        <v>1041</v>
      </c>
      <c r="B280" s="17" t="s">
        <v>1042</v>
      </c>
      <c r="C280" s="17" t="s">
        <v>2363</v>
      </c>
      <c r="D280" s="17" t="s">
        <v>105</v>
      </c>
      <c r="E280" s="18" t="n">
        <v>76501</v>
      </c>
      <c r="F280" s="17" t="s">
        <v>667</v>
      </c>
      <c r="G280" s="23" t="n">
        <v>1.10029934249226</v>
      </c>
      <c r="H280" s="19" t="n">
        <v>43.9</v>
      </c>
      <c r="I280" s="17" t="n">
        <f aca="false">IF(H280="","",RANK(H280,$H$5:$H$491))</f>
        <v>276</v>
      </c>
      <c r="J280" s="24" t="n">
        <v>0.0238219509910199</v>
      </c>
      <c r="K280" s="19" t="n">
        <v>17.7</v>
      </c>
      <c r="L280" s="17" t="n">
        <f aca="false">IF(K280="","",RANK(K280,$K$5:$K$491))</f>
        <v>402</v>
      </c>
      <c r="M280" s="25" t="n">
        <v>0.0359581247155212</v>
      </c>
      <c r="N280" s="19" t="n">
        <v>23.4</v>
      </c>
      <c r="O280" s="17" t="n">
        <f aca="false">IF(N280="","",RANK(N280,$N$5:$N$491))</f>
        <v>378</v>
      </c>
      <c r="P280" s="17" t="str">
        <f aca="false">IF(AND(N(H280)&gt;=N(K280),N(H280)&gt;=N(N280)),"The Pulse",IF(N(K280)&gt;=N(N280),"The Lens","The Hub"))</f>
        <v>The Pulse</v>
      </c>
      <c r="Q280" s="20" t="s">
        <v>74</v>
      </c>
      <c r="R280" s="26" t="s">
        <v>668</v>
      </c>
      <c r="S280" s="17" t="s">
        <v>19</v>
      </c>
    </row>
    <row r="281" customFormat="false" ht="15" hidden="false" customHeight="false" outlineLevel="0" collapsed="false">
      <c r="A281" s="17" t="s">
        <v>869</v>
      </c>
      <c r="B281" s="17" t="s">
        <v>870</v>
      </c>
      <c r="C281" s="17" t="s">
        <v>2364</v>
      </c>
      <c r="D281" s="17" t="s">
        <v>105</v>
      </c>
      <c r="E281" s="18" t="n">
        <v>441546</v>
      </c>
      <c r="F281" s="17" t="s">
        <v>670</v>
      </c>
      <c r="G281" s="23" t="n">
        <v>1.0964112459404</v>
      </c>
      <c r="H281" s="19" t="n">
        <v>43.7</v>
      </c>
      <c r="I281" s="17" t="n">
        <f aca="false">IF(H281="","",RANK(H281,$H$5:$H$491))</f>
        <v>277</v>
      </c>
      <c r="J281" s="24" t="n">
        <v>0.186224572036494</v>
      </c>
      <c r="K281" s="19" t="n">
        <v>89.2</v>
      </c>
      <c r="L281" s="17" t="n">
        <f aca="false">IF(K281="","",RANK(K281,$K$5:$K$491))</f>
        <v>56</v>
      </c>
      <c r="M281" s="25" t="n">
        <v>0.0631076028250935</v>
      </c>
      <c r="N281" s="19" t="n">
        <v>37.3</v>
      </c>
      <c r="O281" s="17" t="n">
        <f aca="false">IF(N281="","",RANK(N281,$N$5:$N$491))</f>
        <v>311</v>
      </c>
      <c r="P281" s="17" t="str">
        <f aca="false">IF(AND(N(H281)&gt;=N(K281),N(H281)&gt;=N(N281)),"The Pulse",IF(N(K281)&gt;=N(N281),"The Lens","The Hub"))</f>
        <v>The Lens</v>
      </c>
      <c r="Q281" s="20" t="s">
        <v>74</v>
      </c>
      <c r="R281" s="26" t="s">
        <v>668</v>
      </c>
      <c r="S281" s="17" t="s">
        <v>19</v>
      </c>
    </row>
    <row r="282" customFormat="false" ht="15" hidden="false" customHeight="false" outlineLevel="0" collapsed="false">
      <c r="A282" s="17" t="s">
        <v>1738</v>
      </c>
      <c r="B282" s="17" t="s">
        <v>1739</v>
      </c>
      <c r="C282" s="17" t="s">
        <v>2365</v>
      </c>
      <c r="D282" s="17" t="s">
        <v>102</v>
      </c>
      <c r="E282" s="18" t="n">
        <v>14133</v>
      </c>
      <c r="F282" s="17" t="s">
        <v>667</v>
      </c>
      <c r="G282" s="23" t="n">
        <v>1.08908228967664</v>
      </c>
      <c r="H282" s="19" t="n">
        <v>43.5</v>
      </c>
      <c r="I282" s="17" t="n">
        <f aca="false">IF(H282="","",RANK(H282,$H$5:$H$491))</f>
        <v>278</v>
      </c>
      <c r="J282" s="24" t="n">
        <v>0.0723878898247212</v>
      </c>
      <c r="K282" s="19" t="n">
        <v>39.4</v>
      </c>
      <c r="L282" s="17" t="n">
        <f aca="false">IF(K282="","",RANK(K282,$K$5:$K$491))</f>
        <v>306</v>
      </c>
      <c r="M282" s="25" t="n">
        <v>0.125838926174497</v>
      </c>
      <c r="N282" s="19" t="n">
        <v>64.2</v>
      </c>
      <c r="O282" s="17" t="n">
        <f aca="false">IF(N282="","",RANK(N282,$N$5:$N$491))</f>
        <v>177</v>
      </c>
      <c r="P282" s="17" t="str">
        <f aca="false">IF(AND(N(H282)&gt;=N(K282),N(H282)&gt;=N(N282)),"The Pulse",IF(N(K282)&gt;=N(N282),"The Lens","The Hub"))</f>
        <v>The Hub</v>
      </c>
      <c r="Q282" s="20" t="s">
        <v>74</v>
      </c>
      <c r="R282" s="26" t="s">
        <v>668</v>
      </c>
      <c r="S282" s="17" t="s">
        <v>19</v>
      </c>
    </row>
    <row r="283" customFormat="false" ht="15" hidden="false" customHeight="false" outlineLevel="0" collapsed="false">
      <c r="A283" s="17" t="s">
        <v>295</v>
      </c>
      <c r="B283" s="17" t="s">
        <v>296</v>
      </c>
      <c r="C283" s="17" t="s">
        <v>2366</v>
      </c>
      <c r="D283" s="17" t="s">
        <v>114</v>
      </c>
      <c r="E283" s="18" t="n">
        <v>43575</v>
      </c>
      <c r="F283" s="17" t="s">
        <v>667</v>
      </c>
      <c r="G283" s="23" t="n">
        <v>1.08885829030407</v>
      </c>
      <c r="H283" s="19" t="n">
        <v>43.3</v>
      </c>
      <c r="I283" s="17" t="n">
        <f aca="false">IF(H283="","",RANK(H283,$H$5:$H$491))</f>
        <v>279</v>
      </c>
      <c r="J283" s="24" t="n">
        <v>0.0927625639482396</v>
      </c>
      <c r="K283" s="19" t="n">
        <v>53.5</v>
      </c>
      <c r="L283" s="17" t="n">
        <f aca="false">IF(K283="","",RANK(K283,$K$5:$K$491))</f>
        <v>234</v>
      </c>
      <c r="M283" s="25" t="n">
        <v>0.0335820895522388</v>
      </c>
      <c r="N283" s="19" t="n">
        <v>21.3</v>
      </c>
      <c r="O283" s="17" t="n">
        <f aca="false">IF(N283="","",RANK(N283,$N$5:$N$491))</f>
        <v>388</v>
      </c>
      <c r="P283" s="17" t="str">
        <f aca="false">IF(AND(N(H283)&gt;=N(K283),N(H283)&gt;=N(N283)),"The Pulse",IF(N(K283)&gt;=N(N283),"The Lens","The Hub"))</f>
        <v>The Lens</v>
      </c>
      <c r="Q283" s="20" t="s">
        <v>74</v>
      </c>
      <c r="R283" s="27" t="s">
        <v>671</v>
      </c>
      <c r="S283" s="17" t="s">
        <v>19</v>
      </c>
    </row>
    <row r="284" customFormat="false" ht="15" hidden="false" customHeight="false" outlineLevel="0" collapsed="false">
      <c r="A284" s="17" t="s">
        <v>2367</v>
      </c>
      <c r="B284" s="17" t="s">
        <v>2368</v>
      </c>
      <c r="C284" s="17" t="s">
        <v>2369</v>
      </c>
      <c r="D284" s="17" t="s">
        <v>87</v>
      </c>
      <c r="E284" s="18" t="n">
        <v>277350</v>
      </c>
      <c r="F284" s="17" t="s">
        <v>670</v>
      </c>
      <c r="G284" s="23" t="n">
        <v>1.08267892554534</v>
      </c>
      <c r="H284" s="19" t="n">
        <v>43.2</v>
      </c>
      <c r="I284" s="17" t="n">
        <f aca="false">IF(H284="","",RANK(H284,$H$5:$H$491))</f>
        <v>280</v>
      </c>
      <c r="J284" s="24" t="n">
        <v>0.019781593558113</v>
      </c>
      <c r="K284" s="19" t="n">
        <v>21.7</v>
      </c>
      <c r="L284" s="17" t="n">
        <f aca="false">IF(K284="","",RANK(K284,$K$5:$K$491))</f>
        <v>383</v>
      </c>
      <c r="M284" s="25" t="n">
        <v>0.0273174925746444</v>
      </c>
      <c r="N284" s="19" t="n">
        <v>16.6</v>
      </c>
      <c r="O284" s="17" t="n">
        <f aca="false">IF(N284="","",RANK(N284,$N$5:$N$491))</f>
        <v>412</v>
      </c>
      <c r="P284" s="17" t="str">
        <f aca="false">IF(AND(N(H284)&gt;=N(K284),N(H284)&gt;=N(N284)),"The Pulse",IF(N(K284)&gt;=N(N284),"The Lens","The Hub"))</f>
        <v>The Pulse</v>
      </c>
      <c r="Q284" s="21" t="s">
        <v>78</v>
      </c>
      <c r="R284" s="26" t="s">
        <v>668</v>
      </c>
      <c r="S284" s="17" t="s">
        <v>126</v>
      </c>
    </row>
    <row r="285" customFormat="false" ht="15" hidden="false" customHeight="false" outlineLevel="0" collapsed="false">
      <c r="A285" s="17" t="s">
        <v>429</v>
      </c>
      <c r="B285" s="17" t="s">
        <v>430</v>
      </c>
      <c r="C285" s="17" t="s">
        <v>2370</v>
      </c>
      <c r="D285" s="17" t="s">
        <v>133</v>
      </c>
      <c r="E285" s="18" t="n">
        <v>12946</v>
      </c>
      <c r="F285" s="17" t="s">
        <v>667</v>
      </c>
      <c r="G285" s="23" t="n">
        <v>1.08249652402286</v>
      </c>
      <c r="H285" s="19" t="n">
        <v>43</v>
      </c>
      <c r="I285" s="17" t="n">
        <f aca="false">IF(H285="","",RANK(H285,$H$5:$H$491))</f>
        <v>281</v>
      </c>
      <c r="J285" s="24" t="n">
        <v>0.0273787794619475</v>
      </c>
      <c r="K285" s="19" t="n">
        <v>19.9</v>
      </c>
      <c r="L285" s="17" t="n">
        <f aca="false">IF(K285="","",RANK(K285,$K$5:$K$491))</f>
        <v>391</v>
      </c>
      <c r="M285" s="25" t="n">
        <v>0.0179514255543823</v>
      </c>
      <c r="N285" s="19" t="n">
        <v>11.4</v>
      </c>
      <c r="O285" s="17" t="n">
        <f aca="false">IF(N285="","",RANK(N285,$N$5:$N$491))</f>
        <v>436</v>
      </c>
      <c r="P285" s="17" t="str">
        <f aca="false">IF(AND(N(H285)&gt;=N(K285),N(H285)&gt;=N(N285)),"The Pulse",IF(N(K285)&gt;=N(N285),"The Lens","The Hub"))</f>
        <v>The Pulse</v>
      </c>
      <c r="Q285" s="20" t="s">
        <v>74</v>
      </c>
      <c r="R285" s="27" t="s">
        <v>671</v>
      </c>
      <c r="S285" s="17" t="s">
        <v>19</v>
      </c>
    </row>
    <row r="286" customFormat="false" ht="15" hidden="false" customHeight="false" outlineLevel="0" collapsed="false">
      <c r="A286" s="17" t="s">
        <v>1316</v>
      </c>
      <c r="B286" s="17" t="s">
        <v>1317</v>
      </c>
      <c r="C286" s="17" t="s">
        <v>2371</v>
      </c>
      <c r="D286" s="17" t="s">
        <v>77</v>
      </c>
      <c r="E286" s="18" t="n">
        <v>231810</v>
      </c>
      <c r="F286" s="17" t="s">
        <v>670</v>
      </c>
      <c r="G286" s="23" t="n">
        <v>1.0738492731116</v>
      </c>
      <c r="H286" s="19" t="n">
        <v>42.6</v>
      </c>
      <c r="I286" s="17" t="n">
        <f aca="false">IF(H286="","",RANK(H286,$H$5:$H$491))</f>
        <v>282</v>
      </c>
      <c r="J286" s="24" t="n">
        <v>0.0186763930391985</v>
      </c>
      <c r="K286" s="19" t="n">
        <v>21.1</v>
      </c>
      <c r="L286" s="17" t="n">
        <f aca="false">IF(K286="","",RANK(K286,$K$5:$K$491))</f>
        <v>387</v>
      </c>
      <c r="M286" s="25" t="n">
        <v>0.00709749719835637</v>
      </c>
      <c r="N286" s="19" t="n">
        <v>5.5</v>
      </c>
      <c r="O286" s="17" t="n">
        <f aca="false">IF(N286="","",RANK(N286,$N$5:$N$491))</f>
        <v>461</v>
      </c>
      <c r="P286" s="17" t="str">
        <f aca="false">IF(AND(N(H286)&gt;=N(K286),N(H286)&gt;=N(N286)),"The Pulse",IF(N(K286)&gt;=N(N286),"The Lens","The Hub"))</f>
        <v>The Pulse</v>
      </c>
      <c r="Q286" s="21" t="s">
        <v>78</v>
      </c>
      <c r="R286" s="26" t="s">
        <v>668</v>
      </c>
      <c r="S286" s="17" t="s">
        <v>21</v>
      </c>
    </row>
    <row r="287" customFormat="false" ht="15" hidden="false" customHeight="false" outlineLevel="0" collapsed="false">
      <c r="A287" s="17" t="s">
        <v>245</v>
      </c>
      <c r="B287" s="17" t="s">
        <v>246</v>
      </c>
      <c r="C287" s="17" t="s">
        <v>2372</v>
      </c>
      <c r="D287" s="17" t="s">
        <v>138</v>
      </c>
      <c r="E287" s="18" t="n">
        <v>283844</v>
      </c>
      <c r="F287" s="17" t="s">
        <v>670</v>
      </c>
      <c r="G287" s="23" t="n">
        <v>1.07363904116346</v>
      </c>
      <c r="H287" s="19" t="n">
        <v>42.4</v>
      </c>
      <c r="I287" s="17" t="n">
        <f aca="false">IF(H287="","",RANK(H287,$H$5:$H$491))</f>
        <v>283</v>
      </c>
      <c r="J287" s="24" t="n">
        <v>0.116147019154015</v>
      </c>
      <c r="K287" s="19" t="n">
        <v>66.9</v>
      </c>
      <c r="L287" s="17" t="n">
        <f aca="false">IF(K287="","",RANK(K287,$K$5:$K$491))</f>
        <v>168</v>
      </c>
      <c r="M287" s="25" t="n">
        <v>0.109320332664181</v>
      </c>
      <c r="N287" s="19" t="n">
        <v>59.4</v>
      </c>
      <c r="O287" s="17" t="n">
        <f aca="false">IF(N287="","",RANK(N287,$N$5:$N$491))</f>
        <v>201</v>
      </c>
      <c r="P287" s="17" t="str">
        <f aca="false">IF(AND(N(H287)&gt;=N(K287),N(H287)&gt;=N(N287)),"The Pulse",IF(N(K287)&gt;=N(N287),"The Lens","The Hub"))</f>
        <v>The Lens</v>
      </c>
      <c r="Q287" s="20" t="s">
        <v>74</v>
      </c>
      <c r="R287" s="27" t="s">
        <v>671</v>
      </c>
      <c r="S287" s="17" t="s">
        <v>19</v>
      </c>
    </row>
    <row r="288" customFormat="false" ht="15" hidden="false" customHeight="false" outlineLevel="0" collapsed="false">
      <c r="A288" s="17" t="s">
        <v>2373</v>
      </c>
      <c r="B288" s="17" t="s">
        <v>2374</v>
      </c>
      <c r="C288" s="17" t="s">
        <v>2375</v>
      </c>
      <c r="D288" s="17" t="s">
        <v>87</v>
      </c>
      <c r="E288" s="18" t="n">
        <v>108023</v>
      </c>
      <c r="F288" s="17" t="s">
        <v>670</v>
      </c>
      <c r="G288" s="23" t="n">
        <v>1.07191061162901</v>
      </c>
      <c r="H288" s="19" t="n">
        <v>42.2</v>
      </c>
      <c r="I288" s="17" t="n">
        <f aca="false">IF(H288="","",RANK(H288,$H$5:$H$491))</f>
        <v>284</v>
      </c>
      <c r="J288" s="24" t="n">
        <v>0.101893220719342</v>
      </c>
      <c r="K288" s="19" t="n">
        <v>57.2</v>
      </c>
      <c r="L288" s="17" t="n">
        <f aca="false">IF(K288="","",RANK(K288,$K$5:$K$491))</f>
        <v>216</v>
      </c>
      <c r="M288" s="25" t="n">
        <v>0.113403614457831</v>
      </c>
      <c r="N288" s="19" t="n">
        <v>60.4</v>
      </c>
      <c r="O288" s="17" t="n">
        <f aca="false">IF(N288="","",RANK(N288,$N$5:$N$491))</f>
        <v>196</v>
      </c>
      <c r="P288" s="17" t="str">
        <f aca="false">IF(AND(N(H288)&gt;=N(K288),N(H288)&gt;=N(N288)),"The Pulse",IF(N(K288)&gt;=N(N288),"The Lens","The Hub"))</f>
        <v>The Hub</v>
      </c>
      <c r="Q288" s="20" t="s">
        <v>74</v>
      </c>
      <c r="R288" s="26" t="s">
        <v>668</v>
      </c>
      <c r="S288" s="17" t="s">
        <v>19</v>
      </c>
    </row>
    <row r="289" customFormat="false" ht="15" hidden="false" customHeight="false" outlineLevel="0" collapsed="false">
      <c r="A289" s="17" t="s">
        <v>2376</v>
      </c>
      <c r="B289" s="17" t="s">
        <v>2377</v>
      </c>
      <c r="C289" s="17" t="s">
        <v>2378</v>
      </c>
      <c r="D289" s="17" t="s">
        <v>81</v>
      </c>
      <c r="E289" s="18" t="n">
        <v>40546</v>
      </c>
      <c r="F289" s="17" t="s">
        <v>667</v>
      </c>
      <c r="G289" s="23" t="n">
        <v>1.06964928722932</v>
      </c>
      <c r="H289" s="19" t="n">
        <v>42</v>
      </c>
      <c r="I289" s="17" t="n">
        <f aca="false">IF(H289="","",RANK(H289,$H$5:$H$491))</f>
        <v>285</v>
      </c>
      <c r="J289" s="24" t="n">
        <v>0.154170224879021</v>
      </c>
      <c r="K289" s="19" t="n">
        <v>79.1</v>
      </c>
      <c r="L289" s="17" t="n">
        <f aca="false">IF(K289="","",RANK(K289,$K$5:$K$491))</f>
        <v>106</v>
      </c>
      <c r="M289" s="25" t="n">
        <v>0.0372372372372372</v>
      </c>
      <c r="N289" s="19" t="n">
        <v>24.4</v>
      </c>
      <c r="O289" s="17" t="n">
        <f aca="false">IF(N289="","",RANK(N289,$N$5:$N$491))</f>
        <v>373</v>
      </c>
      <c r="P289" s="17" t="str">
        <f aca="false">IF(AND(N(H289)&gt;=N(K289),N(H289)&gt;=N(N289)),"The Pulse",IF(N(K289)&gt;=N(N289),"The Lens","The Hub"))</f>
        <v>The Lens</v>
      </c>
      <c r="Q289" s="20" t="s">
        <v>74</v>
      </c>
      <c r="R289" s="26" t="s">
        <v>668</v>
      </c>
      <c r="S289" s="17" t="s">
        <v>19</v>
      </c>
    </row>
    <row r="290" customFormat="false" ht="15" hidden="false" customHeight="false" outlineLevel="0" collapsed="false">
      <c r="A290" s="17" t="s">
        <v>329</v>
      </c>
      <c r="B290" s="17" t="s">
        <v>330</v>
      </c>
      <c r="C290" s="17" t="s">
        <v>2379</v>
      </c>
      <c r="D290" s="17" t="s">
        <v>92</v>
      </c>
      <c r="E290" s="18" t="n">
        <v>250983</v>
      </c>
      <c r="F290" s="17" t="s">
        <v>670</v>
      </c>
      <c r="G290" s="23" t="n">
        <v>1.06112366176195</v>
      </c>
      <c r="H290" s="19" t="n">
        <v>41.8</v>
      </c>
      <c r="I290" s="17" t="n">
        <f aca="false">IF(H290="","",RANK(H290,$H$5:$H$491))</f>
        <v>286</v>
      </c>
      <c r="J290" s="24" t="n">
        <v>0.17377213248155</v>
      </c>
      <c r="K290" s="19" t="n">
        <v>84.9</v>
      </c>
      <c r="L290" s="17" t="n">
        <f aca="false">IF(K290="","",RANK(K290,$K$5:$K$491))</f>
        <v>76</v>
      </c>
      <c r="M290" s="25" t="n">
        <v>0.0524663677130045</v>
      </c>
      <c r="N290" s="19" t="n">
        <v>33</v>
      </c>
      <c r="O290" s="17" t="n">
        <f aca="false">IF(N290="","",RANK(N290,$N$5:$N$491))</f>
        <v>331</v>
      </c>
      <c r="P290" s="17" t="str">
        <f aca="false">IF(AND(N(H290)&gt;=N(K290),N(H290)&gt;=N(N290)),"The Pulse",IF(N(K290)&gt;=N(N290),"The Lens","The Hub"))</f>
        <v>The Lens</v>
      </c>
      <c r="Q290" s="20" t="s">
        <v>74</v>
      </c>
      <c r="R290" s="27" t="s">
        <v>671</v>
      </c>
      <c r="S290" s="17" t="s">
        <v>19</v>
      </c>
    </row>
    <row r="291" customFormat="false" ht="15" hidden="false" customHeight="false" outlineLevel="0" collapsed="false">
      <c r="A291" s="17" t="s">
        <v>1500</v>
      </c>
      <c r="B291" s="17" t="s">
        <v>1501</v>
      </c>
      <c r="C291" s="17" t="s">
        <v>2380</v>
      </c>
      <c r="D291" s="17" t="s">
        <v>81</v>
      </c>
      <c r="E291" s="18" t="n">
        <v>2665</v>
      </c>
      <c r="F291" s="17" t="s">
        <v>678</v>
      </c>
      <c r="G291" s="23" t="n">
        <v>1.06078799249531</v>
      </c>
      <c r="H291" s="19" t="n">
        <v>41.6</v>
      </c>
      <c r="I291" s="17" t="n">
        <f aca="false">IF(H291="","",RANK(H291,$H$5:$H$491))</f>
        <v>287</v>
      </c>
      <c r="J291" s="24" t="n">
        <v>0.14083904109589</v>
      </c>
      <c r="K291" s="19" t="n">
        <v>72</v>
      </c>
      <c r="L291" s="17" t="n">
        <f aca="false">IF(K291="","",RANK(K291,$K$5:$K$491))</f>
        <v>142</v>
      </c>
      <c r="M291" s="25" t="n">
        <v>0.0964912280701754</v>
      </c>
      <c r="N291" s="19" t="n">
        <v>52.6</v>
      </c>
      <c r="O291" s="17" t="n">
        <f aca="false">IF(N291="","",RANK(N291,$N$5:$N$491))</f>
        <v>236</v>
      </c>
      <c r="P291" s="17" t="str">
        <f aca="false">IF(AND(N(H291)&gt;=N(K291),N(H291)&gt;=N(N291)),"The Pulse",IF(N(K291)&gt;=N(N291),"The Lens","The Hub"))</f>
        <v>The Lens</v>
      </c>
      <c r="Q291" s="20" t="s">
        <v>74</v>
      </c>
      <c r="R291" s="26" t="s">
        <v>668</v>
      </c>
      <c r="S291" s="17" t="s">
        <v>19</v>
      </c>
    </row>
    <row r="292" customFormat="false" ht="15" hidden="false" customHeight="false" outlineLevel="0" collapsed="false">
      <c r="A292" s="17" t="s">
        <v>1504</v>
      </c>
      <c r="B292" s="17" t="s">
        <v>1505</v>
      </c>
      <c r="C292" s="17" t="s">
        <v>2381</v>
      </c>
      <c r="D292" s="17" t="s">
        <v>87</v>
      </c>
      <c r="E292" s="18" t="n">
        <v>38900</v>
      </c>
      <c r="F292" s="17" t="s">
        <v>667</v>
      </c>
      <c r="G292" s="23" t="n">
        <v>1.06046272493573</v>
      </c>
      <c r="H292" s="19" t="n">
        <v>41.4</v>
      </c>
      <c r="I292" s="17" t="n">
        <f aca="false">IF(H292="","",RANK(H292,$H$5:$H$491))</f>
        <v>288</v>
      </c>
      <c r="J292" s="24" t="n">
        <v>0.0663377192982456</v>
      </c>
      <c r="K292" s="19" t="n">
        <v>37.9</v>
      </c>
      <c r="L292" s="17" t="n">
        <f aca="false">IF(K292="","",RANK(K292,$K$5:$K$491))</f>
        <v>312</v>
      </c>
      <c r="M292" s="25" t="n">
        <v>0.0729613733905579</v>
      </c>
      <c r="N292" s="19" t="n">
        <v>40.4</v>
      </c>
      <c r="O292" s="17" t="n">
        <f aca="false">IF(N292="","",RANK(N292,$N$5:$N$491))</f>
        <v>297</v>
      </c>
      <c r="P292" s="17" t="str">
        <f aca="false">IF(AND(N(H292)&gt;=N(K292),N(H292)&gt;=N(N292)),"The Pulse",IF(N(K292)&gt;=N(N292),"The Lens","The Hub"))</f>
        <v>The Pulse</v>
      </c>
      <c r="Q292" s="21" t="s">
        <v>78</v>
      </c>
      <c r="R292" s="26" t="s">
        <v>668</v>
      </c>
      <c r="S292" s="17" t="s">
        <v>21</v>
      </c>
    </row>
    <row r="293" customFormat="false" ht="15" hidden="false" customHeight="false" outlineLevel="0" collapsed="false">
      <c r="A293" s="17" t="s">
        <v>581</v>
      </c>
      <c r="B293" s="17" t="s">
        <v>582</v>
      </c>
      <c r="C293" s="17" t="s">
        <v>2382</v>
      </c>
      <c r="D293" s="17" t="s">
        <v>81</v>
      </c>
      <c r="E293" s="18" t="n">
        <v>78842</v>
      </c>
      <c r="F293" s="17" t="s">
        <v>667</v>
      </c>
      <c r="G293" s="23" t="n">
        <v>1.05805281448974</v>
      </c>
      <c r="H293" s="19" t="n">
        <v>41.3</v>
      </c>
      <c r="I293" s="17" t="n">
        <f aca="false">IF(H293="","",RANK(H293,$H$5:$H$491))</f>
        <v>289</v>
      </c>
      <c r="J293" s="24" t="n">
        <v>0.153065403065403</v>
      </c>
      <c r="K293" s="19" t="n">
        <v>78.7</v>
      </c>
      <c r="L293" s="17" t="n">
        <f aca="false">IF(K293="","",RANK(K293,$K$5:$K$491))</f>
        <v>108</v>
      </c>
      <c r="M293" s="25" t="n">
        <v>0.225161488772685</v>
      </c>
      <c r="N293" s="19" t="n">
        <v>88.2</v>
      </c>
      <c r="O293" s="17" t="n">
        <f aca="false">IF(N293="","",RANK(N293,$N$5:$N$491))</f>
        <v>59</v>
      </c>
      <c r="P293" s="17" t="str">
        <f aca="false">IF(AND(N(H293)&gt;=N(K293),N(H293)&gt;=N(N293)),"The Pulse",IF(N(K293)&gt;=N(N293),"The Lens","The Hub"))</f>
        <v>The Hub</v>
      </c>
      <c r="Q293" s="20" t="s">
        <v>74</v>
      </c>
      <c r="R293" s="27" t="s">
        <v>671</v>
      </c>
      <c r="S293" s="17" t="s">
        <v>19</v>
      </c>
    </row>
    <row r="294" customFormat="false" ht="15" hidden="false" customHeight="false" outlineLevel="0" collapsed="false">
      <c r="A294" s="17" t="s">
        <v>503</v>
      </c>
      <c r="B294" s="17" t="s">
        <v>504</v>
      </c>
      <c r="C294" s="17" t="s">
        <v>2383</v>
      </c>
      <c r="D294" s="17" t="s">
        <v>77</v>
      </c>
      <c r="E294" s="18" t="n">
        <v>1413</v>
      </c>
      <c r="F294" s="17" t="s">
        <v>678</v>
      </c>
      <c r="G294" s="23" t="n">
        <v>1.05803255484784</v>
      </c>
      <c r="H294" s="19" t="n">
        <v>41.1</v>
      </c>
      <c r="I294" s="17" t="n">
        <f aca="false">IF(H294="","",RANK(H294,$H$5:$H$491))</f>
        <v>290</v>
      </c>
      <c r="J294" s="24" t="n">
        <v>0.020216606498195</v>
      </c>
      <c r="K294" s="19" t="n">
        <v>12</v>
      </c>
      <c r="L294" s="17" t="n">
        <f aca="false">IF(K294="","",RANK(K294,$K$5:$K$491))</f>
        <v>429</v>
      </c>
      <c r="M294" s="25" t="n">
        <v>0.0114942528735632</v>
      </c>
      <c r="N294" s="19" t="n">
        <v>7.2</v>
      </c>
      <c r="O294" s="17" t="n">
        <f aca="false">IF(N294="","",RANK(N294,$N$5:$N$491))</f>
        <v>455</v>
      </c>
      <c r="P294" s="17" t="str">
        <f aca="false">IF(AND(N(H294)&gt;=N(K294),N(H294)&gt;=N(N294)),"The Pulse",IF(N(K294)&gt;=N(N294),"The Lens","The Hub"))</f>
        <v>The Pulse</v>
      </c>
      <c r="Q294" s="20" t="s">
        <v>74</v>
      </c>
      <c r="R294" s="27" t="s">
        <v>671</v>
      </c>
      <c r="S294" s="17" t="s">
        <v>19</v>
      </c>
    </row>
    <row r="295" customFormat="false" ht="15" hidden="false" customHeight="false" outlineLevel="0" collapsed="false">
      <c r="A295" s="17" t="s">
        <v>473</v>
      </c>
      <c r="B295" s="17" t="s">
        <v>474</v>
      </c>
      <c r="C295" s="17" t="s">
        <v>2384</v>
      </c>
      <c r="D295" s="17" t="s">
        <v>72</v>
      </c>
      <c r="E295" s="18" t="n">
        <v>13915</v>
      </c>
      <c r="F295" s="17" t="s">
        <v>667</v>
      </c>
      <c r="G295" s="23" t="n">
        <v>1.05777937477542</v>
      </c>
      <c r="H295" s="19" t="n">
        <v>40.9</v>
      </c>
      <c r="I295" s="17" t="n">
        <f aca="false">IF(H295="","",RANK(H295,$H$5:$H$491))</f>
        <v>291</v>
      </c>
      <c r="J295" s="24" t="n">
        <v>0.179837205358657</v>
      </c>
      <c r="K295" s="19" t="n">
        <v>90.1</v>
      </c>
      <c r="L295" s="17" t="n">
        <f aca="false">IF(K295="","",RANK(K295,$K$5:$K$491))</f>
        <v>50</v>
      </c>
      <c r="M295" s="25" t="n">
        <v>0.247159090909091</v>
      </c>
      <c r="N295" s="19" t="n">
        <v>91.8</v>
      </c>
      <c r="O295" s="17" t="n">
        <f aca="false">IF(N295="","",RANK(N295,$N$5:$N$491))</f>
        <v>41</v>
      </c>
      <c r="P295" s="17" t="str">
        <f aca="false">IF(AND(N(H295)&gt;=N(K295),N(H295)&gt;=N(N295)),"The Pulse",IF(N(K295)&gt;=N(N295),"The Lens","The Hub"))</f>
        <v>The Hub</v>
      </c>
      <c r="Q295" s="20" t="s">
        <v>74</v>
      </c>
      <c r="R295" s="27" t="s">
        <v>671</v>
      </c>
      <c r="S295" s="17" t="s">
        <v>19</v>
      </c>
    </row>
    <row r="296" customFormat="false" ht="15" hidden="false" customHeight="false" outlineLevel="0" collapsed="false">
      <c r="A296" s="17" t="s">
        <v>2385</v>
      </c>
      <c r="B296" s="17" t="s">
        <v>2386</v>
      </c>
      <c r="C296" s="17" t="s">
        <v>2387</v>
      </c>
      <c r="D296" s="17" t="s">
        <v>87</v>
      </c>
      <c r="E296" s="18" t="n">
        <v>23344</v>
      </c>
      <c r="F296" s="17" t="s">
        <v>667</v>
      </c>
      <c r="G296" s="23" t="n">
        <v>1.05586017820425</v>
      </c>
      <c r="H296" s="19" t="n">
        <v>40.7</v>
      </c>
      <c r="I296" s="17" t="n">
        <f aca="false">IF(H296="","",RANK(H296,$H$5:$H$491))</f>
        <v>292</v>
      </c>
      <c r="J296" s="24" t="n">
        <v>0.0869808157943751</v>
      </c>
      <c r="K296" s="19" t="n">
        <v>48.9</v>
      </c>
      <c r="L296" s="17" t="n">
        <f aca="false">IF(K296="","",RANK(K296,$K$5:$K$491))</f>
        <v>258</v>
      </c>
      <c r="M296" s="25" t="n">
        <v>0.177364864864865</v>
      </c>
      <c r="N296" s="19" t="n">
        <v>78.7</v>
      </c>
      <c r="O296" s="17" t="n">
        <f aca="false">IF(N296="","",RANK(N296,$N$5:$N$491))</f>
        <v>105</v>
      </c>
      <c r="P296" s="17" t="str">
        <f aca="false">IF(AND(N(H296)&gt;=N(K296),N(H296)&gt;=N(N296)),"The Pulse",IF(N(K296)&gt;=N(N296),"The Lens","The Hub"))</f>
        <v>The Hub</v>
      </c>
      <c r="Q296" s="20" t="s">
        <v>74</v>
      </c>
      <c r="R296" s="26" t="s">
        <v>668</v>
      </c>
      <c r="S296" s="17" t="s">
        <v>19</v>
      </c>
    </row>
    <row r="297" customFormat="false" ht="15" hidden="false" customHeight="false" outlineLevel="0" collapsed="false">
      <c r="A297" s="17" t="s">
        <v>507</v>
      </c>
      <c r="B297" s="17" t="s">
        <v>508</v>
      </c>
      <c r="C297" s="17" t="s">
        <v>2388</v>
      </c>
      <c r="D297" s="17" t="s">
        <v>92</v>
      </c>
      <c r="E297" s="18" t="n">
        <v>82900</v>
      </c>
      <c r="F297" s="17" t="s">
        <v>667</v>
      </c>
      <c r="G297" s="23" t="n">
        <v>1.0489384800965</v>
      </c>
      <c r="H297" s="19" t="n">
        <v>40.5</v>
      </c>
      <c r="I297" s="17" t="n">
        <f aca="false">IF(H297="","",RANK(H297,$H$5:$H$491))</f>
        <v>293</v>
      </c>
      <c r="J297" s="24" t="n">
        <v>0.0860736276693305</v>
      </c>
      <c r="K297" s="19" t="n">
        <v>48.6</v>
      </c>
      <c r="L297" s="17" t="n">
        <f aca="false">IF(K297="","",RANK(K297,$K$5:$K$491))</f>
        <v>260</v>
      </c>
      <c r="M297" s="25" t="n">
        <v>0.0910687405920723</v>
      </c>
      <c r="N297" s="19" t="n">
        <v>49.5</v>
      </c>
      <c r="O297" s="17" t="n">
        <f aca="false">IF(N297="","",RANK(N297,$N$5:$N$491))</f>
        <v>249</v>
      </c>
      <c r="P297" s="17" t="str">
        <f aca="false">IF(AND(N(H297)&gt;=N(K297),N(H297)&gt;=N(N297)),"The Pulse",IF(N(K297)&gt;=N(N297),"The Lens","The Hub"))</f>
        <v>The Hub</v>
      </c>
      <c r="Q297" s="21" t="s">
        <v>78</v>
      </c>
      <c r="R297" s="27" t="s">
        <v>671</v>
      </c>
      <c r="S297" s="17" t="s">
        <v>126</v>
      </c>
    </row>
    <row r="298" customFormat="false" ht="15" hidden="false" customHeight="false" outlineLevel="0" collapsed="false">
      <c r="A298" s="17" t="s">
        <v>2389</v>
      </c>
      <c r="B298" s="17" t="s">
        <v>2390</v>
      </c>
      <c r="C298" s="17" t="s">
        <v>2391</v>
      </c>
      <c r="D298" s="17" t="s">
        <v>87</v>
      </c>
      <c r="E298" s="18" t="n">
        <v>240020</v>
      </c>
      <c r="F298" s="17" t="s">
        <v>670</v>
      </c>
      <c r="G298" s="23" t="n">
        <v>1.04509624197984</v>
      </c>
      <c r="H298" s="19" t="n">
        <v>40.1</v>
      </c>
      <c r="I298" s="17" t="n">
        <f aca="false">IF(H298="","",RANK(H298,$H$5:$H$491))</f>
        <v>294</v>
      </c>
      <c r="J298" s="24" t="n">
        <v>0.0479437999641982</v>
      </c>
      <c r="K298" s="19" t="n">
        <v>33.1</v>
      </c>
      <c r="L298" s="17" t="n">
        <f aca="false">IF(K298="","",RANK(K298,$K$5:$K$491))</f>
        <v>331</v>
      </c>
      <c r="M298" s="25" t="n">
        <v>0.154872116742507</v>
      </c>
      <c r="N298" s="19" t="n">
        <v>72.4</v>
      </c>
      <c r="O298" s="17" t="n">
        <f aca="false">IF(N298="","",RANK(N298,$N$5:$N$491))</f>
        <v>137</v>
      </c>
      <c r="P298" s="17" t="str">
        <f aca="false">IF(AND(N(H298)&gt;=N(K298),N(H298)&gt;=N(N298)),"The Pulse",IF(N(K298)&gt;=N(N298),"The Lens","The Hub"))</f>
        <v>The Hub</v>
      </c>
      <c r="Q298" s="20" t="s">
        <v>74</v>
      </c>
      <c r="R298" s="26" t="s">
        <v>668</v>
      </c>
      <c r="S298" s="17" t="s">
        <v>19</v>
      </c>
    </row>
    <row r="299" customFormat="false" ht="15" hidden="false" customHeight="false" outlineLevel="0" collapsed="false">
      <c r="A299" s="17" t="s">
        <v>1704</v>
      </c>
      <c r="B299" s="17" t="s">
        <v>1705</v>
      </c>
      <c r="C299" s="17" t="s">
        <v>2392</v>
      </c>
      <c r="D299" s="17" t="s">
        <v>92</v>
      </c>
      <c r="E299" s="18" t="n">
        <v>18118</v>
      </c>
      <c r="F299" s="17" t="s">
        <v>667</v>
      </c>
      <c r="G299" s="23" t="n">
        <v>1.04343746550392</v>
      </c>
      <c r="H299" s="19" t="n">
        <v>39.9</v>
      </c>
      <c r="I299" s="17" t="n">
        <f aca="false">IF(H299="","",RANK(H299,$H$5:$H$491))</f>
        <v>295</v>
      </c>
      <c r="J299" s="24" t="n">
        <v>0.00789942145082332</v>
      </c>
      <c r="K299" s="19" t="n">
        <v>13.1</v>
      </c>
      <c r="L299" s="17" t="n">
        <f aca="false">IF(K299="","",RANK(K299,$K$5:$K$491))</f>
        <v>425</v>
      </c>
      <c r="M299" s="25" t="n">
        <v>0.0526881720430108</v>
      </c>
      <c r="N299" s="19" t="n">
        <v>33.5</v>
      </c>
      <c r="O299" s="17" t="n">
        <f aca="false">IF(N299="","",RANK(N299,$N$5:$N$491))</f>
        <v>328</v>
      </c>
      <c r="P299" s="17" t="str">
        <f aca="false">IF(AND(N(H299)&gt;=N(K299),N(H299)&gt;=N(N299)),"The Pulse",IF(N(K299)&gt;=N(N299),"The Lens","The Hub"))</f>
        <v>The Pulse</v>
      </c>
      <c r="Q299" s="20" t="s">
        <v>74</v>
      </c>
      <c r="R299" s="26" t="s">
        <v>668</v>
      </c>
      <c r="S299" s="17" t="s">
        <v>19</v>
      </c>
    </row>
    <row r="300" customFormat="false" ht="15" hidden="false" customHeight="false" outlineLevel="0" collapsed="false">
      <c r="A300" s="17" t="s">
        <v>2393</v>
      </c>
      <c r="B300" s="17" t="s">
        <v>2394</v>
      </c>
      <c r="C300" s="17" t="s">
        <v>2395</v>
      </c>
      <c r="D300" s="17" t="s">
        <v>87</v>
      </c>
      <c r="E300" s="18" t="n">
        <v>7484</v>
      </c>
      <c r="F300" s="17" t="s">
        <v>678</v>
      </c>
      <c r="G300" s="23" t="n">
        <v>1.04142169962587</v>
      </c>
      <c r="H300" s="19" t="n">
        <v>39.7</v>
      </c>
      <c r="I300" s="17" t="n">
        <f aca="false">IF(H300="","",RANK(H300,$H$5:$H$491))</f>
        <v>296</v>
      </c>
      <c r="J300" s="24" t="n">
        <v>-0.0267880364109233</v>
      </c>
      <c r="K300" s="19" t="n">
        <v>4</v>
      </c>
      <c r="L300" s="17" t="n">
        <f aca="false">IF(K300="","",RANK(K300,$K$5:$K$491))</f>
        <v>470</v>
      </c>
      <c r="M300" s="25" t="n">
        <v>0.112987012987013</v>
      </c>
      <c r="N300" s="19" t="n">
        <v>60.2</v>
      </c>
      <c r="O300" s="17" t="n">
        <f aca="false">IF(N300="","",RANK(N300,$N$5:$N$491))</f>
        <v>197</v>
      </c>
      <c r="P300" s="17" t="str">
        <f aca="false">IF(AND(N(H300)&gt;=N(K300),N(H300)&gt;=N(N300)),"The Pulse",IF(N(K300)&gt;=N(N300),"The Lens","The Hub"))</f>
        <v>The Hub</v>
      </c>
      <c r="Q300" s="22" t="s">
        <v>83</v>
      </c>
      <c r="R300" s="26" t="s">
        <v>668</v>
      </c>
      <c r="S300" s="17" t="s">
        <v>84</v>
      </c>
    </row>
    <row r="301" customFormat="false" ht="15" hidden="false" customHeight="false" outlineLevel="0" collapsed="false">
      <c r="A301" s="17" t="s">
        <v>457</v>
      </c>
      <c r="B301" s="17" t="s">
        <v>458</v>
      </c>
      <c r="C301" s="17" t="s">
        <v>2396</v>
      </c>
      <c r="D301" s="17" t="s">
        <v>92</v>
      </c>
      <c r="E301" s="18" t="n">
        <v>3888</v>
      </c>
      <c r="F301" s="17" t="s">
        <v>678</v>
      </c>
      <c r="G301" s="23" t="n">
        <v>1.04063786008231</v>
      </c>
      <c r="H301" s="19" t="n">
        <v>39.5</v>
      </c>
      <c r="I301" s="17" t="n">
        <f aca="false">IF(H301="","",RANK(H301,$H$5:$H$491))</f>
        <v>297</v>
      </c>
      <c r="J301" s="24" t="n">
        <v>0.192638036809816</v>
      </c>
      <c r="K301" s="19" t="n">
        <v>89.3</v>
      </c>
      <c r="L301" s="17" t="n">
        <f aca="false">IF(K301="","",RANK(K301,$K$5:$K$491))</f>
        <v>55</v>
      </c>
      <c r="M301" s="25" t="n">
        <v>0.404624277456647</v>
      </c>
      <c r="N301" s="19" t="n">
        <v>98.7</v>
      </c>
      <c r="O301" s="17" t="n">
        <f aca="false">IF(N301="","",RANK(N301,$N$5:$N$491))</f>
        <v>7</v>
      </c>
      <c r="P301" s="17" t="str">
        <f aca="false">IF(AND(N(H301)&gt;=N(K301),N(H301)&gt;=N(N301)),"The Pulse",IF(N(K301)&gt;=N(N301),"The Lens","The Hub"))</f>
        <v>The Hub</v>
      </c>
      <c r="Q301" s="20" t="s">
        <v>74</v>
      </c>
      <c r="R301" s="27" t="s">
        <v>671</v>
      </c>
      <c r="S301" s="17" t="s">
        <v>19</v>
      </c>
    </row>
    <row r="302" customFormat="false" ht="15" hidden="false" customHeight="false" outlineLevel="0" collapsed="false">
      <c r="A302" s="17" t="s">
        <v>403</v>
      </c>
      <c r="B302" s="17" t="s">
        <v>404</v>
      </c>
      <c r="C302" s="17" t="s">
        <v>2397</v>
      </c>
      <c r="D302" s="17" t="s">
        <v>77</v>
      </c>
      <c r="E302" s="18" t="n">
        <v>5149</v>
      </c>
      <c r="F302" s="17" t="s">
        <v>678</v>
      </c>
      <c r="G302" s="23" t="n">
        <v>1.02816080792387</v>
      </c>
      <c r="H302" s="19" t="n">
        <v>39.4</v>
      </c>
      <c r="I302" s="17" t="n">
        <f aca="false">IF(H302="","",RANK(H302,$H$5:$H$491))</f>
        <v>298</v>
      </c>
      <c r="J302" s="24" t="n">
        <v>0.0248805732484076</v>
      </c>
      <c r="K302" s="19" t="n">
        <v>17.3</v>
      </c>
      <c r="L302" s="17" t="n">
        <f aca="false">IF(K302="","",RANK(K302,$K$5:$K$491))</f>
        <v>405</v>
      </c>
      <c r="M302" s="25" t="n">
        <v>0.16793893129771</v>
      </c>
      <c r="N302" s="19" t="n">
        <v>76.2</v>
      </c>
      <c r="O302" s="17" t="n">
        <f aca="false">IF(N302="","",RANK(N302,$N$5:$N$491))</f>
        <v>117</v>
      </c>
      <c r="P302" s="17" t="str">
        <f aca="false">IF(AND(N(H302)&gt;=N(K302),N(H302)&gt;=N(N302)),"The Pulse",IF(N(K302)&gt;=N(N302),"The Lens","The Hub"))</f>
        <v>The Hub</v>
      </c>
      <c r="Q302" s="20" t="s">
        <v>74</v>
      </c>
      <c r="R302" s="27" t="s">
        <v>671</v>
      </c>
      <c r="S302" s="17" t="s">
        <v>19</v>
      </c>
    </row>
    <row r="303" customFormat="false" ht="15" hidden="false" customHeight="false" outlineLevel="0" collapsed="false">
      <c r="A303" s="17" t="s">
        <v>1135</v>
      </c>
      <c r="B303" s="17" t="s">
        <v>1136</v>
      </c>
      <c r="C303" s="17" t="s">
        <v>2398</v>
      </c>
      <c r="D303" s="17" t="s">
        <v>105</v>
      </c>
      <c r="E303" s="18" t="n">
        <v>16160</v>
      </c>
      <c r="F303" s="17" t="s">
        <v>667</v>
      </c>
      <c r="G303" s="23" t="n">
        <v>1.02636138613861</v>
      </c>
      <c r="H303" s="19" t="n">
        <v>39.2</v>
      </c>
      <c r="I303" s="17" t="n">
        <f aca="false">IF(H303="","",RANK(H303,$H$5:$H$491))</f>
        <v>299</v>
      </c>
      <c r="J303" s="24" t="n">
        <v>0.161336687028387</v>
      </c>
      <c r="K303" s="19" t="n">
        <v>81.6</v>
      </c>
      <c r="L303" s="17" t="n">
        <f aca="false">IF(K303="","",RANK(K303,$K$5:$K$491))</f>
        <v>93</v>
      </c>
      <c r="M303" s="25" t="n">
        <v>0.104828462515883</v>
      </c>
      <c r="N303" s="19" t="n">
        <v>57.3</v>
      </c>
      <c r="O303" s="17" t="n">
        <f aca="false">IF(N303="","",RANK(N303,$N$5:$N$491))</f>
        <v>212</v>
      </c>
      <c r="P303" s="17" t="str">
        <f aca="false">IF(AND(N(H303)&gt;=N(K303),N(H303)&gt;=N(N303)),"The Pulse",IF(N(K303)&gt;=N(N303),"The Lens","The Hub"))</f>
        <v>The Lens</v>
      </c>
      <c r="Q303" s="20" t="s">
        <v>74</v>
      </c>
      <c r="R303" s="26" t="s">
        <v>668</v>
      </c>
      <c r="S303" s="17" t="s">
        <v>19</v>
      </c>
    </row>
    <row r="304" customFormat="false" ht="15" hidden="false" customHeight="false" outlineLevel="0" collapsed="false">
      <c r="A304" s="17" t="s">
        <v>1583</v>
      </c>
      <c r="B304" s="17" t="s">
        <v>1584</v>
      </c>
      <c r="C304" s="17" t="s">
        <v>2399</v>
      </c>
      <c r="D304" s="17" t="s">
        <v>72</v>
      </c>
      <c r="E304" s="18" t="n">
        <v>186250</v>
      </c>
      <c r="F304" s="17" t="s">
        <v>670</v>
      </c>
      <c r="G304" s="23" t="n">
        <v>1.02574496644295</v>
      </c>
      <c r="H304" s="19" t="n">
        <v>39</v>
      </c>
      <c r="I304" s="17" t="n">
        <f aca="false">IF(H304="","",RANK(H304,$H$5:$H$491))</f>
        <v>300</v>
      </c>
      <c r="J304" s="24" t="n">
        <v>0.176191979791601</v>
      </c>
      <c r="K304" s="19" t="n">
        <v>85.5</v>
      </c>
      <c r="L304" s="17" t="n">
        <f aca="false">IF(K304="","",RANK(K304,$K$5:$K$491))</f>
        <v>72</v>
      </c>
      <c r="M304" s="25" t="n">
        <v>0.0589165261382799</v>
      </c>
      <c r="N304" s="19" t="n">
        <v>35.4</v>
      </c>
      <c r="O304" s="17" t="n">
        <f aca="false">IF(N304="","",RANK(N304,$N$5:$N$491))</f>
        <v>321</v>
      </c>
      <c r="P304" s="17" t="str">
        <f aca="false">IF(AND(N(H304)&gt;=N(K304),N(H304)&gt;=N(N304)),"The Pulse",IF(N(K304)&gt;=N(N304),"The Lens","The Hub"))</f>
        <v>The Lens</v>
      </c>
      <c r="Q304" s="20" t="s">
        <v>74</v>
      </c>
      <c r="R304" s="26" t="s">
        <v>668</v>
      </c>
      <c r="S304" s="17" t="s">
        <v>19</v>
      </c>
    </row>
    <row r="305" customFormat="false" ht="15" hidden="false" customHeight="false" outlineLevel="0" collapsed="false">
      <c r="A305" s="17" t="s">
        <v>441</v>
      </c>
      <c r="B305" s="17" t="s">
        <v>442</v>
      </c>
      <c r="C305" s="17" t="s">
        <v>2400</v>
      </c>
      <c r="D305" s="17" t="s">
        <v>114</v>
      </c>
      <c r="E305" s="18" t="n">
        <v>7992</v>
      </c>
      <c r="F305" s="17" t="s">
        <v>678</v>
      </c>
      <c r="G305" s="23" t="n">
        <v>1.01751751751752</v>
      </c>
      <c r="H305" s="19" t="n">
        <v>38.6</v>
      </c>
      <c r="I305" s="17" t="n">
        <f aca="false">IF(H305="","",RANK(H305,$H$5:$H$491))</f>
        <v>301</v>
      </c>
      <c r="J305" s="24" t="n">
        <v>0.150424643731107</v>
      </c>
      <c r="K305" s="19" t="n">
        <v>77.3</v>
      </c>
      <c r="L305" s="17" t="n">
        <f aca="false">IF(K305="","",RANK(K305,$K$5:$K$491))</f>
        <v>115</v>
      </c>
      <c r="M305" s="25" t="n">
        <v>0.0736040609137056</v>
      </c>
      <c r="N305" s="19" t="n">
        <v>41.1</v>
      </c>
      <c r="O305" s="17" t="n">
        <f aca="false">IF(N305="","",RANK(N305,$N$5:$N$491))</f>
        <v>293</v>
      </c>
      <c r="P305" s="17" t="str">
        <f aca="false">IF(AND(N(H305)&gt;=N(K305),N(H305)&gt;=N(N305)),"The Pulse",IF(N(K305)&gt;=N(N305),"The Lens","The Hub"))</f>
        <v>The Lens</v>
      </c>
      <c r="Q305" s="20" t="s">
        <v>74</v>
      </c>
      <c r="R305" s="27" t="s">
        <v>671</v>
      </c>
      <c r="S305" s="17" t="s">
        <v>19</v>
      </c>
    </row>
    <row r="306" customFormat="false" ht="15" hidden="false" customHeight="false" outlineLevel="0" collapsed="false">
      <c r="A306" s="17" t="s">
        <v>1119</v>
      </c>
      <c r="B306" s="17" t="s">
        <v>1120</v>
      </c>
      <c r="C306" s="17" t="s">
        <v>2401</v>
      </c>
      <c r="D306" s="17" t="s">
        <v>92</v>
      </c>
      <c r="E306" s="18" t="n">
        <v>221634</v>
      </c>
      <c r="F306" s="17" t="s">
        <v>670</v>
      </c>
      <c r="G306" s="23" t="n">
        <v>1.01248003465172</v>
      </c>
      <c r="H306" s="19" t="n">
        <v>38.4</v>
      </c>
      <c r="I306" s="17" t="n">
        <f aca="false">IF(H306="","",RANK(H306,$H$5:$H$491))</f>
        <v>302</v>
      </c>
      <c r="J306" s="24" t="n">
        <v>0.0222263219795678</v>
      </c>
      <c r="K306" s="19" t="n">
        <v>22.9</v>
      </c>
      <c r="L306" s="17" t="n">
        <f aca="false">IF(K306="","",RANK(K306,$K$5:$K$491))</f>
        <v>378</v>
      </c>
      <c r="M306" s="25" t="n">
        <v>0.0066246223965234</v>
      </c>
      <c r="N306" s="19" t="n">
        <v>5.3</v>
      </c>
      <c r="O306" s="17" t="n">
        <f aca="false">IF(N306="","",RANK(N306,$N$5:$N$491))</f>
        <v>462</v>
      </c>
      <c r="P306" s="17" t="str">
        <f aca="false">IF(AND(N(H306)&gt;=N(K306),N(H306)&gt;=N(N306)),"The Pulse",IF(N(K306)&gt;=N(N306),"The Lens","The Hub"))</f>
        <v>The Pulse</v>
      </c>
      <c r="Q306" s="21" t="s">
        <v>78</v>
      </c>
      <c r="R306" s="26" t="s">
        <v>668</v>
      </c>
      <c r="S306" s="17" t="s">
        <v>126</v>
      </c>
    </row>
    <row r="307" customFormat="false" ht="15" hidden="false" customHeight="false" outlineLevel="0" collapsed="false">
      <c r="A307" s="17" t="s">
        <v>2402</v>
      </c>
      <c r="B307" s="17" t="s">
        <v>2403</v>
      </c>
      <c r="C307" s="17" t="s">
        <v>2404</v>
      </c>
      <c r="D307" s="17" t="s">
        <v>114</v>
      </c>
      <c r="E307" s="18" t="n">
        <v>323115</v>
      </c>
      <c r="F307" s="17" t="s">
        <v>670</v>
      </c>
      <c r="G307" s="23" t="n">
        <v>1.00778051158256</v>
      </c>
      <c r="H307" s="19" t="n">
        <v>38.2</v>
      </c>
      <c r="I307" s="17" t="n">
        <f aca="false">IF(H307="","",RANK(H307,$H$5:$H$491))</f>
        <v>303</v>
      </c>
      <c r="J307" s="24" t="n">
        <v>0.0693082085699535</v>
      </c>
      <c r="K307" s="19" t="n">
        <v>44.6</v>
      </c>
      <c r="L307" s="17" t="n">
        <f aca="false">IF(K307="","",RANK(K307,$K$5:$K$491))</f>
        <v>280</v>
      </c>
      <c r="M307" s="25" t="n">
        <v>0.029435345321269</v>
      </c>
      <c r="N307" s="19" t="n">
        <v>18.7</v>
      </c>
      <c r="O307" s="17" t="n">
        <f aca="false">IF(N307="","",RANK(N307,$N$5:$N$491))</f>
        <v>402</v>
      </c>
      <c r="P307" s="17" t="str">
        <f aca="false">IF(AND(N(H307)&gt;=N(K307),N(H307)&gt;=N(N307)),"The Pulse",IF(N(K307)&gt;=N(N307),"The Lens","The Hub"))</f>
        <v>The Lens</v>
      </c>
      <c r="Q307" s="20" t="s">
        <v>74</v>
      </c>
      <c r="R307" s="26" t="s">
        <v>668</v>
      </c>
      <c r="S307" s="17" t="s">
        <v>19</v>
      </c>
    </row>
    <row r="308" customFormat="false" ht="15" hidden="false" customHeight="false" outlineLevel="0" collapsed="false">
      <c r="A308" s="17" t="s">
        <v>1534</v>
      </c>
      <c r="B308" s="17" t="s">
        <v>1535</v>
      </c>
      <c r="C308" s="17" t="s">
        <v>2405</v>
      </c>
      <c r="D308" s="17" t="s">
        <v>133</v>
      </c>
      <c r="E308" s="18" t="n">
        <v>138016</v>
      </c>
      <c r="F308" s="17" t="s">
        <v>670</v>
      </c>
      <c r="G308" s="23" t="n">
        <v>1.00756434036633</v>
      </c>
      <c r="H308" s="19" t="n">
        <v>38</v>
      </c>
      <c r="I308" s="17" t="n">
        <f aca="false">IF(H308="","",RANK(H308,$H$5:$H$491))</f>
        <v>304</v>
      </c>
      <c r="J308" s="24" t="n">
        <v>0.119623590492415</v>
      </c>
      <c r="K308" s="19" t="n">
        <v>68.1</v>
      </c>
      <c r="L308" s="17" t="n">
        <f aca="false">IF(K308="","",RANK(K308,$K$5:$K$491))</f>
        <v>162</v>
      </c>
      <c r="M308" s="25" t="n">
        <v>0.0746725633611158</v>
      </c>
      <c r="N308" s="19" t="n">
        <v>41.7</v>
      </c>
      <c r="O308" s="17" t="n">
        <f aca="false">IF(N308="","",RANK(N308,$N$5:$N$491))</f>
        <v>290</v>
      </c>
      <c r="P308" s="17" t="str">
        <f aca="false">IF(AND(N(H308)&gt;=N(K308),N(H308)&gt;=N(N308)),"The Pulse",IF(N(K308)&gt;=N(N308),"The Lens","The Hub"))</f>
        <v>The Lens</v>
      </c>
      <c r="Q308" s="20" t="s">
        <v>74</v>
      </c>
      <c r="R308" s="26" t="s">
        <v>668</v>
      </c>
      <c r="S308" s="17" t="s">
        <v>19</v>
      </c>
    </row>
    <row r="309" customFormat="false" ht="15" hidden="false" customHeight="false" outlineLevel="0" collapsed="false">
      <c r="A309" s="17" t="s">
        <v>1668</v>
      </c>
      <c r="B309" s="17" t="s">
        <v>1669</v>
      </c>
      <c r="C309" s="17" t="s">
        <v>2406</v>
      </c>
      <c r="D309" s="17" t="s">
        <v>105</v>
      </c>
      <c r="E309" s="18" t="n">
        <v>411475</v>
      </c>
      <c r="F309" s="17" t="s">
        <v>670</v>
      </c>
      <c r="G309" s="23" t="n">
        <v>1.00714259675557</v>
      </c>
      <c r="H309" s="19" t="n">
        <v>37.8</v>
      </c>
      <c r="I309" s="17" t="n">
        <f aca="false">IF(H309="","",RANK(H309,$H$5:$H$491))</f>
        <v>305</v>
      </c>
      <c r="J309" s="24" t="n">
        <v>0.013006164572419</v>
      </c>
      <c r="K309" s="19" t="n">
        <v>19.3</v>
      </c>
      <c r="L309" s="17" t="n">
        <f aca="false">IF(K309="","",RANK(K309,$K$5:$K$491))</f>
        <v>394</v>
      </c>
      <c r="M309" s="25" t="n">
        <v>0.253351473320945</v>
      </c>
      <c r="N309" s="19" t="n">
        <v>93</v>
      </c>
      <c r="O309" s="17" t="n">
        <f aca="false">IF(N309="","",RANK(N309,$N$5:$N$491))</f>
        <v>35</v>
      </c>
      <c r="P309" s="17" t="str">
        <f aca="false">IF(AND(N(H309)&gt;=N(K309),N(H309)&gt;=N(N309)),"The Pulse",IF(N(K309)&gt;=N(N309),"The Lens","The Hub"))</f>
        <v>The Hub</v>
      </c>
      <c r="Q309" s="20" t="s">
        <v>74</v>
      </c>
      <c r="R309" s="26" t="s">
        <v>668</v>
      </c>
      <c r="S309" s="17" t="s">
        <v>19</v>
      </c>
    </row>
    <row r="310" customFormat="false" ht="15" hidden="false" customHeight="false" outlineLevel="0" collapsed="false">
      <c r="A310" s="17" t="s">
        <v>840</v>
      </c>
      <c r="B310" s="17" t="s">
        <v>841</v>
      </c>
      <c r="C310" s="17" t="s">
        <v>2407</v>
      </c>
      <c r="D310" s="17" t="s">
        <v>92</v>
      </c>
      <c r="E310" s="18" t="n">
        <v>10611</v>
      </c>
      <c r="F310" s="17" t="s">
        <v>667</v>
      </c>
      <c r="G310" s="23" t="n">
        <v>1.00226180378852</v>
      </c>
      <c r="H310" s="19" t="n">
        <v>37.6</v>
      </c>
      <c r="I310" s="17" t="n">
        <f aca="false">IF(H310="","",RANK(H310,$H$5:$H$491))</f>
        <v>306</v>
      </c>
      <c r="J310" s="24" t="n">
        <v>0.0336060783167738</v>
      </c>
      <c r="K310" s="19" t="n">
        <v>22.7</v>
      </c>
      <c r="L310" s="17" t="n">
        <f aca="false">IF(K310="","",RANK(K310,$K$5:$K$491))</f>
        <v>379</v>
      </c>
      <c r="M310" s="25" t="n">
        <v>0.0682634730538922</v>
      </c>
      <c r="N310" s="19" t="n">
        <v>39.4</v>
      </c>
      <c r="O310" s="17" t="n">
        <f aca="false">IF(N310="","",RANK(N310,$N$5:$N$491))</f>
        <v>301</v>
      </c>
      <c r="P310" s="17" t="str">
        <f aca="false">IF(AND(N(H310)&gt;=N(K310),N(H310)&gt;=N(N310)),"The Pulse",IF(N(K310)&gt;=N(N310),"The Lens","The Hub"))</f>
        <v>The Hub</v>
      </c>
      <c r="Q310" s="20" t="s">
        <v>74</v>
      </c>
      <c r="R310" s="26" t="s">
        <v>668</v>
      </c>
      <c r="S310" s="17" t="s">
        <v>19</v>
      </c>
    </row>
    <row r="311" customFormat="false" ht="15" hidden="false" customHeight="false" outlineLevel="0" collapsed="false">
      <c r="A311" s="17" t="s">
        <v>1312</v>
      </c>
      <c r="B311" s="17" t="s">
        <v>1313</v>
      </c>
      <c r="C311" s="17" t="s">
        <v>2408</v>
      </c>
      <c r="D311" s="17" t="s">
        <v>81</v>
      </c>
      <c r="E311" s="18" t="n">
        <v>19338</v>
      </c>
      <c r="F311" s="17" t="s">
        <v>667</v>
      </c>
      <c r="G311" s="23" t="n">
        <v>1.00201675457648</v>
      </c>
      <c r="H311" s="19" t="n">
        <v>37.5</v>
      </c>
      <c r="I311" s="17" t="n">
        <f aca="false">IF(H311="","",RANK(H311,$H$5:$H$491))</f>
        <v>307</v>
      </c>
      <c r="J311" s="24" t="n">
        <v>0.139473219020682</v>
      </c>
      <c r="K311" s="19" t="n">
        <v>72.3</v>
      </c>
      <c r="L311" s="17" t="n">
        <f aca="false">IF(K311="","",RANK(K311,$K$5:$K$491))</f>
        <v>141</v>
      </c>
      <c r="M311" s="25" t="n">
        <v>0.144773616545556</v>
      </c>
      <c r="N311" s="19" t="n">
        <v>69.9</v>
      </c>
      <c r="O311" s="17" t="n">
        <f aca="false">IF(N311="","",RANK(N311,$N$5:$N$491))</f>
        <v>150</v>
      </c>
      <c r="P311" s="17" t="str">
        <f aca="false">IF(AND(N(H311)&gt;=N(K311),N(H311)&gt;=N(N311)),"The Pulse",IF(N(K311)&gt;=N(N311),"The Lens","The Hub"))</f>
        <v>The Lens</v>
      </c>
      <c r="Q311" s="20" t="s">
        <v>74</v>
      </c>
      <c r="R311" s="26" t="s">
        <v>668</v>
      </c>
      <c r="S311" s="17" t="s">
        <v>19</v>
      </c>
    </row>
    <row r="312" customFormat="false" ht="15" hidden="false" customHeight="false" outlineLevel="0" collapsed="false">
      <c r="A312" s="17" t="s">
        <v>693</v>
      </c>
      <c r="B312" s="17" t="s">
        <v>694</v>
      </c>
      <c r="C312" s="17" t="s">
        <v>2409</v>
      </c>
      <c r="D312" s="17" t="s">
        <v>102</v>
      </c>
      <c r="E312" s="18" t="n">
        <v>6839</v>
      </c>
      <c r="F312" s="17" t="s">
        <v>678</v>
      </c>
      <c r="G312" s="23" t="n">
        <v>0.99780669688551</v>
      </c>
      <c r="H312" s="19" t="n">
        <v>37.1</v>
      </c>
      <c r="I312" s="17" t="n">
        <f aca="false">IF(H312="","",RANK(H312,$H$5:$H$491))</f>
        <v>308</v>
      </c>
      <c r="J312" s="24" t="n">
        <v>-0.0825060370270996</v>
      </c>
      <c r="K312" s="19" t="n">
        <v>1.3</v>
      </c>
      <c r="L312" s="17" t="n">
        <f aca="false">IF(K312="","",RANK(K312,$K$5:$K$491))</f>
        <v>482</v>
      </c>
      <c r="M312" s="25" t="n">
        <v>0.0771276595744681</v>
      </c>
      <c r="N312" s="19" t="n">
        <v>42.9</v>
      </c>
      <c r="O312" s="17" t="n">
        <f aca="false">IF(N312="","",RANK(N312,$N$5:$N$491))</f>
        <v>284</v>
      </c>
      <c r="P312" s="17" t="str">
        <f aca="false">IF(AND(N(H312)&gt;=N(K312),N(H312)&gt;=N(N312)),"The Pulse",IF(N(K312)&gt;=N(N312),"The Lens","The Hub"))</f>
        <v>The Hub</v>
      </c>
      <c r="Q312" s="20" t="s">
        <v>74</v>
      </c>
      <c r="R312" s="26" t="s">
        <v>668</v>
      </c>
      <c r="S312" s="17" t="s">
        <v>19</v>
      </c>
    </row>
    <row r="313" customFormat="false" ht="15" hidden="false" customHeight="false" outlineLevel="0" collapsed="false">
      <c r="A313" s="17" t="s">
        <v>2410</v>
      </c>
      <c r="B313" s="17" t="s">
        <v>2411</v>
      </c>
      <c r="C313" s="17" t="s">
        <v>2412</v>
      </c>
      <c r="D313" s="17" t="s">
        <v>102</v>
      </c>
      <c r="E313" s="18" t="n">
        <v>44243</v>
      </c>
      <c r="F313" s="17" t="s">
        <v>667</v>
      </c>
      <c r="G313" s="23" t="n">
        <v>0.994032954365662</v>
      </c>
      <c r="H313" s="19" t="n">
        <v>36.9</v>
      </c>
      <c r="I313" s="17" t="n">
        <f aca="false">IF(H313="","",RANK(H313,$H$5:$H$491))</f>
        <v>309</v>
      </c>
      <c r="J313" s="24" t="n">
        <v>0.145153358353824</v>
      </c>
      <c r="K313" s="19" t="n">
        <v>75.2</v>
      </c>
      <c r="L313" s="17" t="n">
        <f aca="false">IF(K313="","",RANK(K313,$K$5:$K$491))</f>
        <v>127</v>
      </c>
      <c r="M313" s="25" t="n">
        <v>0.219458264234384</v>
      </c>
      <c r="N313" s="19" t="n">
        <v>86.3</v>
      </c>
      <c r="O313" s="17" t="n">
        <f aca="false">IF(N313="","",RANK(N313,$N$5:$N$491))</f>
        <v>68</v>
      </c>
      <c r="P313" s="17" t="str">
        <f aca="false">IF(AND(N(H313)&gt;=N(K313),N(H313)&gt;=N(N313)),"The Pulse",IF(N(K313)&gt;=N(N313),"The Lens","The Hub"))</f>
        <v>The Hub</v>
      </c>
      <c r="Q313" s="21" t="s">
        <v>78</v>
      </c>
      <c r="R313" s="26" t="s">
        <v>668</v>
      </c>
      <c r="S313" s="17" t="s">
        <v>126</v>
      </c>
    </row>
    <row r="314" customFormat="false" ht="15" hidden="false" customHeight="false" outlineLevel="0" collapsed="false">
      <c r="A314" s="17" t="s">
        <v>527</v>
      </c>
      <c r="B314" s="17" t="s">
        <v>528</v>
      </c>
      <c r="C314" s="17" t="s">
        <v>2413</v>
      </c>
      <c r="D314" s="17" t="s">
        <v>138</v>
      </c>
      <c r="E314" s="18" t="n">
        <v>3711684</v>
      </c>
      <c r="F314" s="17" t="s">
        <v>752</v>
      </c>
      <c r="G314" s="23" t="n">
        <v>0.990743824097095</v>
      </c>
      <c r="H314" s="19" t="n">
        <v>36.5</v>
      </c>
      <c r="I314" s="17" t="n">
        <f aca="false">IF(H314="","",RANK(H314,$H$5:$H$491))</f>
        <v>310</v>
      </c>
      <c r="J314" s="24" t="n">
        <v>0.196105494400673</v>
      </c>
      <c r="K314" s="19" t="n">
        <v>100</v>
      </c>
      <c r="L314" s="17" t="n">
        <f aca="false">IF(K314="","",RANK(K314,$K$5:$K$491))</f>
        <v>1</v>
      </c>
      <c r="M314" s="25" t="n">
        <v>0.326247370142089</v>
      </c>
      <c r="N314" s="19" t="n">
        <v>97.3</v>
      </c>
      <c r="O314" s="17" t="n">
        <f aca="false">IF(N314="","",RANK(N314,$N$5:$N$491))</f>
        <v>14</v>
      </c>
      <c r="P314" s="17" t="str">
        <f aca="false">IF(AND(N(H314)&gt;=N(K314),N(H314)&gt;=N(N314)),"The Pulse",IF(N(K314)&gt;=N(N314),"The Lens","The Hub"))</f>
        <v>The Lens</v>
      </c>
      <c r="Q314" s="20" t="s">
        <v>74</v>
      </c>
      <c r="R314" s="27" t="s">
        <v>671</v>
      </c>
      <c r="S314" s="17" t="s">
        <v>19</v>
      </c>
    </row>
    <row r="315" customFormat="false" ht="15" hidden="false" customHeight="false" outlineLevel="0" collapsed="false">
      <c r="A315" s="17" t="s">
        <v>575</v>
      </c>
      <c r="B315" s="17" t="s">
        <v>576</v>
      </c>
      <c r="C315" s="17" t="s">
        <v>2414</v>
      </c>
      <c r="D315" s="17" t="s">
        <v>102</v>
      </c>
      <c r="E315" s="18" t="n">
        <v>4053</v>
      </c>
      <c r="F315" s="17" t="s">
        <v>678</v>
      </c>
      <c r="G315" s="23" t="n">
        <v>0.989884036516161</v>
      </c>
      <c r="H315" s="19" t="n">
        <v>36.3</v>
      </c>
      <c r="I315" s="17" t="n">
        <f aca="false">IF(H315="","",RANK(H315,$H$5:$H$491))</f>
        <v>311</v>
      </c>
      <c r="J315" s="24" t="n">
        <v>0.123648461325201</v>
      </c>
      <c r="K315" s="19" t="n">
        <v>57.3</v>
      </c>
      <c r="L315" s="17" t="n">
        <f aca="false">IF(K315="","",RANK(K315,$K$5:$K$491))</f>
        <v>215</v>
      </c>
      <c r="M315" s="25" t="n">
        <v>0.0352422907488987</v>
      </c>
      <c r="N315" s="19" t="n">
        <v>22.3</v>
      </c>
      <c r="O315" s="17" t="n">
        <f aca="false">IF(N315="","",RANK(N315,$N$5:$N$491))</f>
        <v>384</v>
      </c>
      <c r="P315" s="17" t="str">
        <f aca="false">IF(AND(N(H315)&gt;=N(K315),N(H315)&gt;=N(N315)),"The Pulse",IF(N(K315)&gt;=N(N315),"The Lens","The Hub"))</f>
        <v>The Lens</v>
      </c>
      <c r="Q315" s="20" t="s">
        <v>74</v>
      </c>
      <c r="R315" s="27" t="s">
        <v>671</v>
      </c>
      <c r="S315" s="17" t="s">
        <v>19</v>
      </c>
    </row>
    <row r="316" customFormat="false" ht="15" hidden="false" customHeight="false" outlineLevel="0" collapsed="false">
      <c r="A316" s="17" t="s">
        <v>2415</v>
      </c>
      <c r="B316" s="17" t="s">
        <v>2416</v>
      </c>
      <c r="C316" s="17" t="s">
        <v>2417</v>
      </c>
      <c r="D316" s="17" t="s">
        <v>102</v>
      </c>
      <c r="E316" s="18" t="n">
        <v>50570</v>
      </c>
      <c r="F316" s="17" t="s">
        <v>667</v>
      </c>
      <c r="G316" s="23" t="n">
        <v>0.986335772196955</v>
      </c>
      <c r="H316" s="19" t="n">
        <v>36.1</v>
      </c>
      <c r="I316" s="17" t="n">
        <f aca="false">IF(H316="","",RANK(H316,$H$5:$H$491))</f>
        <v>312</v>
      </c>
      <c r="J316" s="24" t="n">
        <v>0.116828621908127</v>
      </c>
      <c r="K316" s="19" t="n">
        <v>63.1</v>
      </c>
      <c r="L316" s="17" t="n">
        <f aca="false">IF(K316="","",RANK(K316,$K$5:$K$491))</f>
        <v>187</v>
      </c>
      <c r="M316" s="25" t="n">
        <v>0.236166365280289</v>
      </c>
      <c r="N316" s="19" t="n">
        <v>90.1</v>
      </c>
      <c r="O316" s="17" t="n">
        <f aca="false">IF(N316="","",RANK(N316,$N$5:$N$491))</f>
        <v>50</v>
      </c>
      <c r="P316" s="17" t="str">
        <f aca="false">IF(AND(N(H316)&gt;=N(K316),N(H316)&gt;=N(N316)),"The Pulse",IF(N(K316)&gt;=N(N316),"The Lens","The Hub"))</f>
        <v>The Hub</v>
      </c>
      <c r="Q316" s="21" t="s">
        <v>78</v>
      </c>
      <c r="R316" s="26" t="s">
        <v>668</v>
      </c>
      <c r="S316" s="17" t="s">
        <v>21</v>
      </c>
    </row>
    <row r="317" customFormat="false" ht="15" hidden="false" customHeight="false" outlineLevel="0" collapsed="false">
      <c r="A317" s="17" t="s">
        <v>1577</v>
      </c>
      <c r="B317" s="17" t="s">
        <v>1578</v>
      </c>
      <c r="C317" s="17" t="s">
        <v>2418</v>
      </c>
      <c r="D317" s="17" t="s">
        <v>87</v>
      </c>
      <c r="E317" s="18" t="n">
        <v>3926</v>
      </c>
      <c r="F317" s="17" t="s">
        <v>678</v>
      </c>
      <c r="G317" s="23" t="n">
        <v>0.969943963321447</v>
      </c>
      <c r="H317" s="19" t="n">
        <v>35.9</v>
      </c>
      <c r="I317" s="17" t="n">
        <f aca="false">IF(H317="","",RANK(H317,$H$5:$H$491))</f>
        <v>313</v>
      </c>
      <c r="J317" s="24" t="n">
        <v>0.151319648093842</v>
      </c>
      <c r="K317" s="19" t="n">
        <v>78.7</v>
      </c>
      <c r="L317" s="17" t="n">
        <f aca="false">IF(K317="","",RANK(K317,$K$5:$K$491))</f>
        <v>108</v>
      </c>
      <c r="M317" s="25" t="n">
        <v>0.108571428571429</v>
      </c>
      <c r="N317" s="19" t="n">
        <v>59</v>
      </c>
      <c r="O317" s="17" t="n">
        <f aca="false">IF(N317="","",RANK(N317,$N$5:$N$491))</f>
        <v>203</v>
      </c>
      <c r="P317" s="17" t="str">
        <f aca="false">IF(AND(N(H317)&gt;=N(K317),N(H317)&gt;=N(N317)),"The Pulse",IF(N(K317)&gt;=N(N317),"The Lens","The Hub"))</f>
        <v>The Lens</v>
      </c>
      <c r="Q317" s="20" t="s">
        <v>74</v>
      </c>
      <c r="R317" s="26" t="s">
        <v>668</v>
      </c>
      <c r="S317" s="17" t="s">
        <v>19</v>
      </c>
    </row>
    <row r="318" customFormat="false" ht="15" hidden="false" customHeight="false" outlineLevel="0" collapsed="false">
      <c r="A318" s="17" t="s">
        <v>2419</v>
      </c>
      <c r="B318" s="17" t="s">
        <v>2420</v>
      </c>
      <c r="C318" s="17" t="s">
        <v>2421</v>
      </c>
      <c r="D318" s="17" t="s">
        <v>102</v>
      </c>
      <c r="E318" s="18" t="n">
        <v>1321</v>
      </c>
      <c r="F318" s="17" t="s">
        <v>678</v>
      </c>
      <c r="G318" s="23" t="n">
        <v>0.956850870552612</v>
      </c>
      <c r="H318" s="19" t="n">
        <v>35.7</v>
      </c>
      <c r="I318" s="17" t="n">
        <f aca="false">IF(H318="","",RANK(H318,$H$5:$H$491))</f>
        <v>314</v>
      </c>
      <c r="J318" s="24" t="n">
        <v>0.125212947189097</v>
      </c>
      <c r="K318" s="19" t="n">
        <v>61.3</v>
      </c>
      <c r="L318" s="17" t="n">
        <f aca="false">IF(K318="","",RANK(K318,$K$5:$K$491))</f>
        <v>195</v>
      </c>
      <c r="M318" s="25" t="n">
        <v>0.0576923076923077</v>
      </c>
      <c r="N318" s="19" t="n">
        <v>35.2</v>
      </c>
      <c r="O318" s="17" t="n">
        <f aca="false">IF(N318="","",RANK(N318,$N$5:$N$491))</f>
        <v>322</v>
      </c>
      <c r="P318" s="17" t="str">
        <f aca="false">IF(AND(N(H318)&gt;=N(K318),N(H318)&gt;=N(N318)),"The Pulse",IF(N(K318)&gt;=N(N318),"The Lens","The Hub"))</f>
        <v>The Lens</v>
      </c>
      <c r="Q318" s="20" t="s">
        <v>74</v>
      </c>
      <c r="R318" s="26" t="s">
        <v>668</v>
      </c>
      <c r="S318" s="17" t="s">
        <v>19</v>
      </c>
    </row>
    <row r="319" customFormat="false" ht="15" hidden="false" customHeight="false" outlineLevel="0" collapsed="false">
      <c r="A319" s="17" t="s">
        <v>872</v>
      </c>
      <c r="B319" s="17" t="s">
        <v>873</v>
      </c>
      <c r="C319" s="17" t="s">
        <v>2422</v>
      </c>
      <c r="D319" s="17" t="s">
        <v>133</v>
      </c>
      <c r="E319" s="18" t="n">
        <v>75788</v>
      </c>
      <c r="F319" s="17" t="s">
        <v>667</v>
      </c>
      <c r="G319" s="23" t="n">
        <v>0.950796959940888</v>
      </c>
      <c r="H319" s="19" t="n">
        <v>35.6</v>
      </c>
      <c r="I319" s="17" t="n">
        <f aca="false">IF(H319="","",RANK(H319,$H$5:$H$491))</f>
        <v>315</v>
      </c>
      <c r="J319" s="24" t="n">
        <v>-0.0373682205004446</v>
      </c>
      <c r="K319" s="19" t="n">
        <v>3.9</v>
      </c>
      <c r="L319" s="17" t="n">
        <f aca="false">IF(K319="","",RANK(K319,$K$5:$K$491))</f>
        <v>471</v>
      </c>
      <c r="M319" s="25" t="n">
        <v>0.109941782355576</v>
      </c>
      <c r="N319" s="19" t="n">
        <v>59.6</v>
      </c>
      <c r="O319" s="17" t="n">
        <f aca="false">IF(N319="","",RANK(N319,$N$5:$N$491))</f>
        <v>200</v>
      </c>
      <c r="P319" s="17" t="str">
        <f aca="false">IF(AND(N(H319)&gt;=N(K319),N(H319)&gt;=N(N319)),"The Pulse",IF(N(K319)&gt;=N(N319),"The Lens","The Hub"))</f>
        <v>The Hub</v>
      </c>
      <c r="Q319" s="20" t="s">
        <v>74</v>
      </c>
      <c r="R319" s="26" t="s">
        <v>668</v>
      </c>
      <c r="S319" s="17" t="s">
        <v>19</v>
      </c>
    </row>
    <row r="320" customFormat="false" ht="15" hidden="false" customHeight="false" outlineLevel="0" collapsed="false">
      <c r="A320" s="17" t="s">
        <v>501</v>
      </c>
      <c r="B320" s="17" t="s">
        <v>502</v>
      </c>
      <c r="C320" s="17" t="s">
        <v>2423</v>
      </c>
      <c r="D320" s="17" t="s">
        <v>81</v>
      </c>
      <c r="E320" s="18" t="n">
        <v>22720</v>
      </c>
      <c r="F320" s="17" t="s">
        <v>667</v>
      </c>
      <c r="G320" s="23" t="n">
        <v>0.945774647887324</v>
      </c>
      <c r="H320" s="19" t="n">
        <v>35.4</v>
      </c>
      <c r="I320" s="17" t="n">
        <f aca="false">IF(H320="","",RANK(H320,$H$5:$H$491))</f>
        <v>316</v>
      </c>
      <c r="J320" s="24" t="n">
        <v>0.198691569061939</v>
      </c>
      <c r="K320" s="19" t="n">
        <v>93.3</v>
      </c>
      <c r="L320" s="17" t="n">
        <f aca="false">IF(K320="","",RANK(K320,$K$5:$K$491))</f>
        <v>36</v>
      </c>
      <c r="M320" s="25" t="n">
        <v>0.0970724191063174</v>
      </c>
      <c r="N320" s="19" t="n">
        <v>53.1</v>
      </c>
      <c r="O320" s="17" t="n">
        <f aca="false">IF(N320="","",RANK(N320,$N$5:$N$491))</f>
        <v>233</v>
      </c>
      <c r="P320" s="17" t="str">
        <f aca="false">IF(AND(N(H320)&gt;=N(K320),N(H320)&gt;=N(N320)),"The Pulse",IF(N(K320)&gt;=N(N320),"The Lens","The Hub"))</f>
        <v>The Lens</v>
      </c>
      <c r="Q320" s="20" t="s">
        <v>74</v>
      </c>
      <c r="R320" s="27" t="s">
        <v>671</v>
      </c>
      <c r="S320" s="17" t="s">
        <v>19</v>
      </c>
    </row>
    <row r="321" customFormat="false" ht="15" hidden="false" customHeight="false" outlineLevel="0" collapsed="false">
      <c r="A321" s="17" t="s">
        <v>2424</v>
      </c>
      <c r="B321" s="17" t="s">
        <v>2425</v>
      </c>
      <c r="C321" s="17" t="s">
        <v>2426</v>
      </c>
      <c r="D321" s="17" t="s">
        <v>114</v>
      </c>
      <c r="E321" s="18" t="n">
        <v>205616</v>
      </c>
      <c r="F321" s="17" t="s">
        <v>670</v>
      </c>
      <c r="G321" s="23" t="n">
        <v>0.945048050735351</v>
      </c>
      <c r="H321" s="19" t="n">
        <v>35.2</v>
      </c>
      <c r="I321" s="17" t="n">
        <f aca="false">IF(H321="","",RANK(H321,$H$5:$H$491))</f>
        <v>317</v>
      </c>
      <c r="J321" s="24" t="n">
        <v>0.0652519674025106</v>
      </c>
      <c r="K321" s="19" t="n">
        <v>41.6</v>
      </c>
      <c r="L321" s="17" t="n">
        <f aca="false">IF(K321="","",RANK(K321,$K$5:$K$491))</f>
        <v>294</v>
      </c>
      <c r="M321" s="25" t="n">
        <v>0.0324804935583379</v>
      </c>
      <c r="N321" s="19" t="n">
        <v>20.4</v>
      </c>
      <c r="O321" s="17" t="n">
        <f aca="false">IF(N321="","",RANK(N321,$N$5:$N$491))</f>
        <v>393</v>
      </c>
      <c r="P321" s="17" t="str">
        <f aca="false">IF(AND(N(H321)&gt;=N(K321),N(H321)&gt;=N(N321)),"The Pulse",IF(N(K321)&gt;=N(N321),"The Lens","The Hub"))</f>
        <v>The Lens</v>
      </c>
      <c r="Q321" s="20" t="s">
        <v>74</v>
      </c>
      <c r="R321" s="26" t="s">
        <v>668</v>
      </c>
      <c r="S321" s="17" t="s">
        <v>19</v>
      </c>
    </row>
    <row r="322" customFormat="false" ht="15" hidden="false" customHeight="false" outlineLevel="0" collapsed="false">
      <c r="A322" s="17" t="s">
        <v>1109</v>
      </c>
      <c r="B322" s="17" t="s">
        <v>1110</v>
      </c>
      <c r="C322" s="17" t="s">
        <v>2427</v>
      </c>
      <c r="D322" s="17" t="s">
        <v>81</v>
      </c>
      <c r="E322" s="18" t="n">
        <v>56523</v>
      </c>
      <c r="F322" s="17" t="s">
        <v>667</v>
      </c>
      <c r="G322" s="23" t="n">
        <v>0.944606620313855</v>
      </c>
      <c r="H322" s="19" t="n">
        <v>35</v>
      </c>
      <c r="I322" s="17" t="n">
        <f aca="false">IF(H322="","",RANK(H322,$H$5:$H$491))</f>
        <v>318</v>
      </c>
      <c r="J322" s="24" t="n">
        <v>0.107100186073842</v>
      </c>
      <c r="K322" s="19" t="n">
        <v>57.1</v>
      </c>
      <c r="L322" s="17" t="n">
        <f aca="false">IF(K322="","",RANK(K322,$K$5:$K$491))</f>
        <v>217</v>
      </c>
      <c r="M322" s="25" t="n">
        <v>0.243846739406242</v>
      </c>
      <c r="N322" s="19" t="n">
        <v>91.4</v>
      </c>
      <c r="O322" s="17" t="n">
        <f aca="false">IF(N322="","",RANK(N322,$N$5:$N$491))</f>
        <v>43</v>
      </c>
      <c r="P322" s="17" t="str">
        <f aca="false">IF(AND(N(H322)&gt;=N(K322),N(H322)&gt;=N(N322)),"The Pulse",IF(N(K322)&gt;=N(N322),"The Lens","The Hub"))</f>
        <v>The Hub</v>
      </c>
      <c r="Q322" s="20" t="s">
        <v>74</v>
      </c>
      <c r="R322" s="26" t="s">
        <v>668</v>
      </c>
      <c r="S322" s="17" t="s">
        <v>19</v>
      </c>
    </row>
    <row r="323" customFormat="false" ht="15" hidden="false" customHeight="false" outlineLevel="0" collapsed="false">
      <c r="A323" s="17" t="s">
        <v>549</v>
      </c>
      <c r="B323" s="17" t="s">
        <v>550</v>
      </c>
      <c r="C323" s="17" t="s">
        <v>2428</v>
      </c>
      <c r="D323" s="17" t="s">
        <v>114</v>
      </c>
      <c r="E323" s="18" t="n">
        <v>276997</v>
      </c>
      <c r="F323" s="17" t="s">
        <v>670</v>
      </c>
      <c r="G323" s="23" t="n">
        <v>0.939930757372824</v>
      </c>
      <c r="H323" s="19" t="n">
        <v>34.8</v>
      </c>
      <c r="I323" s="17" t="n">
        <f aca="false">IF(H323="","",RANK(H323,$H$5:$H$491))</f>
        <v>319</v>
      </c>
      <c r="J323" s="24" t="n">
        <v>0.0421256583897667</v>
      </c>
      <c r="K323" s="19" t="n">
        <v>30.7</v>
      </c>
      <c r="L323" s="17" t="n">
        <f aca="false">IF(K323="","",RANK(K323,$K$5:$K$491))</f>
        <v>343</v>
      </c>
      <c r="M323" s="25" t="n">
        <v>0.119327965746731</v>
      </c>
      <c r="N323" s="19" t="n">
        <v>63.2</v>
      </c>
      <c r="O323" s="17" t="n">
        <f aca="false">IF(N323="","",RANK(N323,$N$5:$N$491))</f>
        <v>182</v>
      </c>
      <c r="P323" s="17" t="str">
        <f aca="false">IF(AND(N(H323)&gt;=N(K323),N(H323)&gt;=N(N323)),"The Pulse",IF(N(K323)&gt;=N(N323),"The Lens","The Hub"))</f>
        <v>The Hub</v>
      </c>
      <c r="Q323" s="20" t="s">
        <v>74</v>
      </c>
      <c r="R323" s="27" t="s">
        <v>671</v>
      </c>
      <c r="S323" s="17" t="s">
        <v>19</v>
      </c>
    </row>
    <row r="324" customFormat="false" ht="15" hidden="false" customHeight="false" outlineLevel="0" collapsed="false">
      <c r="A324" s="17" t="s">
        <v>2429</v>
      </c>
      <c r="B324" s="17" t="s">
        <v>2430</v>
      </c>
      <c r="C324" s="17" t="s">
        <v>2431</v>
      </c>
      <c r="D324" s="17" t="s">
        <v>114</v>
      </c>
      <c r="E324" s="18" t="n">
        <v>209310</v>
      </c>
      <c r="F324" s="17" t="s">
        <v>670</v>
      </c>
      <c r="G324" s="23" t="n">
        <v>0.938540920166261</v>
      </c>
      <c r="H324" s="19" t="n">
        <v>34.6</v>
      </c>
      <c r="I324" s="17" t="n">
        <f aca="false">IF(H324="","",RANK(H324,$H$5:$H$491))</f>
        <v>320</v>
      </c>
      <c r="J324" s="24" t="n">
        <v>0.0931681560131822</v>
      </c>
      <c r="K324" s="19" t="n">
        <v>53.6</v>
      </c>
      <c r="L324" s="17" t="n">
        <f aca="false">IF(K324="","",RANK(K324,$K$5:$K$491))</f>
        <v>233</v>
      </c>
      <c r="M324" s="25" t="n">
        <v>0.107223258506464</v>
      </c>
      <c r="N324" s="19" t="n">
        <v>58.1</v>
      </c>
      <c r="O324" s="17" t="n">
        <f aca="false">IF(N324="","",RANK(N324,$N$5:$N$491))</f>
        <v>208</v>
      </c>
      <c r="P324" s="17" t="str">
        <f aca="false">IF(AND(N(H324)&gt;=N(K324),N(H324)&gt;=N(N324)),"The Pulse",IF(N(K324)&gt;=N(N324),"The Lens","The Hub"))</f>
        <v>The Hub</v>
      </c>
      <c r="Q324" s="20" t="s">
        <v>74</v>
      </c>
      <c r="R324" s="26" t="s">
        <v>668</v>
      </c>
      <c r="S324" s="17" t="s">
        <v>19</v>
      </c>
    </row>
    <row r="325" customFormat="false" ht="15" hidden="false" customHeight="false" outlineLevel="0" collapsed="false">
      <c r="A325" s="17" t="s">
        <v>1919</v>
      </c>
      <c r="B325" s="17" t="s">
        <v>1920</v>
      </c>
      <c r="C325" s="17" t="s">
        <v>2432</v>
      </c>
      <c r="D325" s="17" t="s">
        <v>72</v>
      </c>
      <c r="E325" s="18" t="n">
        <v>111663</v>
      </c>
      <c r="F325" s="17" t="s">
        <v>670</v>
      </c>
      <c r="G325" s="23" t="n">
        <v>0.93667553262943</v>
      </c>
      <c r="H325" s="19" t="n">
        <v>34.4</v>
      </c>
      <c r="I325" s="17" t="n">
        <f aca="false">IF(H325="","",RANK(H325,$H$5:$H$491))</f>
        <v>321</v>
      </c>
      <c r="J325" s="24" t="n">
        <v>0.00108479317207868</v>
      </c>
      <c r="K325" s="19" t="n">
        <v>14.5</v>
      </c>
      <c r="L325" s="17" t="n">
        <f aca="false">IF(K325="","",RANK(K325,$K$5:$K$491))</f>
        <v>417</v>
      </c>
      <c r="M325" s="25" t="n">
        <v>0.0473467520585544</v>
      </c>
      <c r="N325" s="19" t="n">
        <v>29</v>
      </c>
      <c r="O325" s="17" t="n">
        <f aca="false">IF(N325="","",RANK(N325,$N$5:$N$491))</f>
        <v>351</v>
      </c>
      <c r="P325" s="17" t="str">
        <f aca="false">IF(AND(N(H325)&gt;=N(K325),N(H325)&gt;=N(N325)),"The Pulse",IF(N(K325)&gt;=N(N325),"The Lens","The Hub"))</f>
        <v>The Pulse</v>
      </c>
      <c r="Q325" s="22" t="s">
        <v>83</v>
      </c>
      <c r="R325" s="26" t="s">
        <v>668</v>
      </c>
      <c r="S325" s="17" t="s">
        <v>17</v>
      </c>
    </row>
    <row r="326" customFormat="false" ht="15" hidden="false" customHeight="false" outlineLevel="0" collapsed="false">
      <c r="A326" s="17" t="s">
        <v>2433</v>
      </c>
      <c r="B326" s="17" t="s">
        <v>2434</v>
      </c>
      <c r="C326" s="17" t="s">
        <v>2435</v>
      </c>
      <c r="D326" s="17" t="s">
        <v>92</v>
      </c>
      <c r="E326" s="18" t="n">
        <v>540355</v>
      </c>
      <c r="F326" s="17" t="s">
        <v>670</v>
      </c>
      <c r="G326" s="23" t="n">
        <v>0.936395517761472</v>
      </c>
      <c r="H326" s="19" t="n">
        <v>34.2</v>
      </c>
      <c r="I326" s="17" t="n">
        <f aca="false">IF(H326="","",RANK(H326,$H$5:$H$491))</f>
        <v>322</v>
      </c>
      <c r="J326" s="24" t="n">
        <v>-0.140254826525125</v>
      </c>
      <c r="K326" s="19" t="n">
        <v>0.6</v>
      </c>
      <c r="L326" s="17" t="n">
        <f aca="false">IF(K326="","",RANK(K326,$K$5:$K$491))</f>
        <v>486</v>
      </c>
      <c r="M326" s="25" t="n">
        <v>0.0808622583199244</v>
      </c>
      <c r="N326" s="19" t="n">
        <v>44.4</v>
      </c>
      <c r="O326" s="17" t="n">
        <f aca="false">IF(N326="","",RANK(N326,$N$5:$N$491))</f>
        <v>276</v>
      </c>
      <c r="P326" s="17" t="str">
        <f aca="false">IF(AND(N(H326)&gt;=N(K326),N(H326)&gt;=N(N326)),"The Pulse",IF(N(K326)&gt;=N(N326),"The Lens","The Hub"))</f>
        <v>The Hub</v>
      </c>
      <c r="Q326" s="20" t="s">
        <v>74</v>
      </c>
      <c r="R326" s="26" t="s">
        <v>668</v>
      </c>
      <c r="S326" s="17" t="s">
        <v>19</v>
      </c>
    </row>
    <row r="327" customFormat="false" ht="15" hidden="false" customHeight="false" outlineLevel="0" collapsed="false">
      <c r="A327" s="17" t="s">
        <v>2436</v>
      </c>
      <c r="B327" s="17" t="s">
        <v>2437</v>
      </c>
      <c r="C327" s="17" t="s">
        <v>2438</v>
      </c>
      <c r="D327" s="17" t="s">
        <v>114</v>
      </c>
      <c r="E327" s="18" t="n">
        <v>129088</v>
      </c>
      <c r="F327" s="17" t="s">
        <v>670</v>
      </c>
      <c r="G327" s="23" t="n">
        <v>0.932689328210213</v>
      </c>
      <c r="H327" s="19" t="n">
        <v>34</v>
      </c>
      <c r="I327" s="17" t="n">
        <f aca="false">IF(H327="","",RANK(H327,$H$5:$H$491))</f>
        <v>323</v>
      </c>
      <c r="J327" s="24" t="n">
        <v>0.181464566496737</v>
      </c>
      <c r="K327" s="19" t="n">
        <v>88.6</v>
      </c>
      <c r="L327" s="17" t="n">
        <f aca="false">IF(K327="","",RANK(K327,$K$5:$K$491))</f>
        <v>59</v>
      </c>
      <c r="M327" s="25" t="n">
        <v>0.161338768504613</v>
      </c>
      <c r="N327" s="19" t="n">
        <v>73.3</v>
      </c>
      <c r="O327" s="17" t="n">
        <f aca="false">IF(N327="","",RANK(N327,$N$5:$N$491))</f>
        <v>132</v>
      </c>
      <c r="P327" s="17" t="str">
        <f aca="false">IF(AND(N(H327)&gt;=N(K327),N(H327)&gt;=N(N327)),"The Pulse",IF(N(K327)&gt;=N(N327),"The Lens","The Hub"))</f>
        <v>The Lens</v>
      </c>
      <c r="Q327" s="20" t="s">
        <v>74</v>
      </c>
      <c r="R327" s="26" t="s">
        <v>668</v>
      </c>
      <c r="S327" s="17" t="s">
        <v>19</v>
      </c>
    </row>
    <row r="328" customFormat="false" ht="15" hidden="false" customHeight="false" outlineLevel="0" collapsed="false">
      <c r="A328" s="17" t="s">
        <v>2439</v>
      </c>
      <c r="B328" s="17" t="s">
        <v>2440</v>
      </c>
      <c r="C328" s="17" t="s">
        <v>2441</v>
      </c>
      <c r="D328" s="17" t="s">
        <v>114</v>
      </c>
      <c r="E328" s="18" t="n">
        <v>105464</v>
      </c>
      <c r="F328" s="17" t="s">
        <v>670</v>
      </c>
      <c r="G328" s="23" t="n">
        <v>0.93130357278313</v>
      </c>
      <c r="H328" s="19" t="n">
        <v>33.8</v>
      </c>
      <c r="I328" s="17" t="n">
        <f aca="false">IF(H328="","",RANK(H328,$H$5:$H$491))</f>
        <v>324</v>
      </c>
      <c r="J328" s="24" t="n">
        <v>0.078816272670547</v>
      </c>
      <c r="K328" s="19" t="n">
        <v>49.4</v>
      </c>
      <c r="L328" s="17" t="n">
        <f aca="false">IF(K328="","",RANK(K328,$K$5:$K$491))</f>
        <v>256</v>
      </c>
      <c r="M328" s="25" t="n">
        <v>0.118573079145003</v>
      </c>
      <c r="N328" s="19" t="n">
        <v>62.9</v>
      </c>
      <c r="O328" s="17" t="n">
        <f aca="false">IF(N328="","",RANK(N328,$N$5:$N$491))</f>
        <v>184</v>
      </c>
      <c r="P328" s="17" t="str">
        <f aca="false">IF(AND(N(H328)&gt;=N(K328),N(H328)&gt;=N(N328)),"The Pulse",IF(N(K328)&gt;=N(N328),"The Lens","The Hub"))</f>
        <v>The Hub</v>
      </c>
      <c r="Q328" s="20" t="s">
        <v>74</v>
      </c>
      <c r="R328" s="26" t="s">
        <v>668</v>
      </c>
      <c r="S328" s="17" t="s">
        <v>19</v>
      </c>
    </row>
    <row r="329" customFormat="false" ht="15" hidden="false" customHeight="false" outlineLevel="0" collapsed="false">
      <c r="A329" s="17" t="s">
        <v>1508</v>
      </c>
      <c r="B329" s="17" t="s">
        <v>1509</v>
      </c>
      <c r="C329" s="17" t="s">
        <v>2442</v>
      </c>
      <c r="D329" s="17" t="s">
        <v>92</v>
      </c>
      <c r="E329" s="18" t="n">
        <v>42439</v>
      </c>
      <c r="F329" s="17" t="s">
        <v>667</v>
      </c>
      <c r="G329" s="23" t="n">
        <v>0.928886166026532</v>
      </c>
      <c r="H329" s="19" t="n">
        <v>33.7</v>
      </c>
      <c r="I329" s="17" t="n">
        <f aca="false">IF(H329="","",RANK(H329,$H$5:$H$491))</f>
        <v>325</v>
      </c>
      <c r="J329" s="24" t="n">
        <v>0.229153995423871</v>
      </c>
      <c r="K329" s="19" t="n">
        <v>96.8</v>
      </c>
      <c r="L329" s="17" t="n">
        <f aca="false">IF(K329="","",RANK(K329,$K$5:$K$491))</f>
        <v>19</v>
      </c>
      <c r="M329" s="25" t="n">
        <v>0.0188295165394402</v>
      </c>
      <c r="N329" s="19" t="n">
        <v>12.2</v>
      </c>
      <c r="O329" s="17" t="n">
        <f aca="false">IF(N329="","",RANK(N329,$N$5:$N$491))</f>
        <v>434</v>
      </c>
      <c r="P329" s="17" t="str">
        <f aca="false">IF(AND(N(H329)&gt;=N(K329),N(H329)&gt;=N(N329)),"The Pulse",IF(N(K329)&gt;=N(N329),"The Lens","The Hub"))</f>
        <v>The Lens</v>
      </c>
      <c r="Q329" s="20" t="s">
        <v>74</v>
      </c>
      <c r="R329" s="26" t="s">
        <v>668</v>
      </c>
      <c r="S329" s="17" t="s">
        <v>19</v>
      </c>
    </row>
    <row r="330" customFormat="false" ht="15" hidden="false" customHeight="false" outlineLevel="0" collapsed="false">
      <c r="A330" s="17" t="s">
        <v>2443</v>
      </c>
      <c r="B330" s="17" t="s">
        <v>2444</v>
      </c>
      <c r="C330" s="17" t="s">
        <v>2445</v>
      </c>
      <c r="D330" s="17" t="s">
        <v>87</v>
      </c>
      <c r="E330" s="18" t="n">
        <v>9764</v>
      </c>
      <c r="F330" s="17" t="s">
        <v>678</v>
      </c>
      <c r="G330" s="23" t="n">
        <v>0.925850061450225</v>
      </c>
      <c r="H330" s="19" t="n">
        <v>33.5</v>
      </c>
      <c r="I330" s="17" t="n">
        <f aca="false">IF(H330="","",RANK(H330,$H$5:$H$491))</f>
        <v>326</v>
      </c>
      <c r="J330" s="24" t="n">
        <v>0.137067660416909</v>
      </c>
      <c r="K330" s="19" t="n">
        <v>66.7</v>
      </c>
      <c r="L330" s="17" t="n">
        <f aca="false">IF(K330="","",RANK(K330,$K$5:$K$491))</f>
        <v>169</v>
      </c>
      <c r="M330" s="25" t="n">
        <v>0.0796703296703297</v>
      </c>
      <c r="N330" s="19" t="n">
        <v>44</v>
      </c>
      <c r="O330" s="17" t="n">
        <f aca="false">IF(N330="","",RANK(N330,$N$5:$N$491))</f>
        <v>278</v>
      </c>
      <c r="P330" s="17" t="str">
        <f aca="false">IF(AND(N(H330)&gt;=N(K330),N(H330)&gt;=N(N330)),"The Pulse",IF(N(K330)&gt;=N(N330),"The Lens","The Hub"))</f>
        <v>The Lens</v>
      </c>
      <c r="Q330" s="21" t="s">
        <v>78</v>
      </c>
      <c r="R330" s="26" t="s">
        <v>668</v>
      </c>
      <c r="S330" s="17" t="s">
        <v>126</v>
      </c>
    </row>
    <row r="331" customFormat="false" ht="15" hidden="false" customHeight="false" outlineLevel="0" collapsed="false">
      <c r="A331" s="17" t="s">
        <v>1239</v>
      </c>
      <c r="B331" s="17" t="s">
        <v>1240</v>
      </c>
      <c r="C331" s="17" t="s">
        <v>2446</v>
      </c>
      <c r="D331" s="17" t="s">
        <v>87</v>
      </c>
      <c r="E331" s="18" t="n">
        <v>23230</v>
      </c>
      <c r="F331" s="17" t="s">
        <v>667</v>
      </c>
      <c r="G331" s="23" t="n">
        <v>0.925226000860956</v>
      </c>
      <c r="H331" s="19" t="n">
        <v>33.3</v>
      </c>
      <c r="I331" s="17" t="n">
        <f aca="false">IF(H331="","",RANK(H331,$H$5:$H$491))</f>
        <v>327</v>
      </c>
      <c r="J331" s="24" t="n">
        <v>0.0218624906523556</v>
      </c>
      <c r="K331" s="19" t="n">
        <v>17</v>
      </c>
      <c r="L331" s="17" t="n">
        <f aca="false">IF(K331="","",RANK(K331,$K$5:$K$491))</f>
        <v>406</v>
      </c>
      <c r="M331" s="25" t="n">
        <v>0.117852975495916</v>
      </c>
      <c r="N331" s="19" t="n">
        <v>62.5</v>
      </c>
      <c r="O331" s="17" t="n">
        <f aca="false">IF(N331="","",RANK(N331,$N$5:$N$491))</f>
        <v>186</v>
      </c>
      <c r="P331" s="17" t="str">
        <f aca="false">IF(AND(N(H331)&gt;=N(K331),N(H331)&gt;=N(N331)),"The Pulse",IF(N(K331)&gt;=N(N331),"The Lens","The Hub"))</f>
        <v>The Hub</v>
      </c>
      <c r="Q331" s="20" t="s">
        <v>74</v>
      </c>
      <c r="R331" s="26" t="s">
        <v>668</v>
      </c>
      <c r="S331" s="17" t="s">
        <v>19</v>
      </c>
    </row>
    <row r="332" customFormat="false" ht="15" hidden="false" customHeight="false" outlineLevel="0" collapsed="false">
      <c r="A332" s="17" t="s">
        <v>519</v>
      </c>
      <c r="B332" s="17" t="s">
        <v>520</v>
      </c>
      <c r="C332" s="17" t="s">
        <v>2447</v>
      </c>
      <c r="D332" s="17" t="s">
        <v>87</v>
      </c>
      <c r="E332" s="18" t="n">
        <v>545995</v>
      </c>
      <c r="F332" s="17" t="s">
        <v>670</v>
      </c>
      <c r="G332" s="23" t="n">
        <v>0.915242813578879</v>
      </c>
      <c r="H332" s="19" t="n">
        <v>33.1</v>
      </c>
      <c r="I332" s="17" t="n">
        <f aca="false">IF(H332="","",RANK(H332,$H$5:$H$491))</f>
        <v>328</v>
      </c>
      <c r="J332" s="24" t="n">
        <v>0.0327240331836563</v>
      </c>
      <c r="K332" s="19" t="n">
        <v>27.1</v>
      </c>
      <c r="L332" s="17" t="n">
        <f aca="false">IF(K332="","",RANK(K332,$K$5:$K$491))</f>
        <v>360</v>
      </c>
      <c r="M332" s="25" t="n">
        <v>0.014689592062804</v>
      </c>
      <c r="N332" s="19" t="n">
        <v>9.5</v>
      </c>
      <c r="O332" s="17" t="n">
        <f aca="false">IF(N332="","",RANK(N332,$N$5:$N$491))</f>
        <v>446</v>
      </c>
      <c r="P332" s="17" t="str">
        <f aca="false">IF(AND(N(H332)&gt;=N(K332),N(H332)&gt;=N(N332)),"The Pulse",IF(N(K332)&gt;=N(N332),"The Lens","The Hub"))</f>
        <v>The Pulse</v>
      </c>
      <c r="Q332" s="20" t="s">
        <v>74</v>
      </c>
      <c r="R332" s="27" t="s">
        <v>671</v>
      </c>
      <c r="S332" s="17" t="s">
        <v>19</v>
      </c>
    </row>
    <row r="333" customFormat="false" ht="15" hidden="false" customHeight="false" outlineLevel="0" collapsed="false">
      <c r="A333" s="17" t="s">
        <v>1055</v>
      </c>
      <c r="B333" s="17" t="s">
        <v>1056</v>
      </c>
      <c r="C333" s="17" t="s">
        <v>2448</v>
      </c>
      <c r="D333" s="17" t="s">
        <v>138</v>
      </c>
      <c r="E333" s="18" t="n">
        <v>123027</v>
      </c>
      <c r="F333" s="17" t="s">
        <v>670</v>
      </c>
      <c r="G333" s="23" t="n">
        <v>0.913840051370837</v>
      </c>
      <c r="H333" s="19" t="n">
        <v>32.9</v>
      </c>
      <c r="I333" s="17" t="n">
        <f aca="false">IF(H333="","",RANK(H333,$H$5:$H$491))</f>
        <v>329</v>
      </c>
      <c r="J333" s="24" t="n">
        <v>0.0392724999577624</v>
      </c>
      <c r="K333" s="19" t="n">
        <v>30.1</v>
      </c>
      <c r="L333" s="17" t="n">
        <f aca="false">IF(K333="","",RANK(K333,$K$5:$K$491))</f>
        <v>345</v>
      </c>
      <c r="M333" s="25" t="n">
        <v>0.227104633456602</v>
      </c>
      <c r="N333" s="19" t="n">
        <v>88.8</v>
      </c>
      <c r="O333" s="17" t="n">
        <f aca="false">IF(N333="","",RANK(N333,$N$5:$N$491))</f>
        <v>57</v>
      </c>
      <c r="P333" s="17" t="str">
        <f aca="false">IF(AND(N(H333)&gt;=N(K333),N(H333)&gt;=N(N333)),"The Pulse",IF(N(K333)&gt;=N(N333),"The Lens","The Hub"))</f>
        <v>The Hub</v>
      </c>
      <c r="Q333" s="20" t="s">
        <v>74</v>
      </c>
      <c r="R333" s="26" t="s">
        <v>668</v>
      </c>
      <c r="S333" s="17" t="s">
        <v>19</v>
      </c>
    </row>
    <row r="334" customFormat="false" ht="15" hidden="false" customHeight="false" outlineLevel="0" collapsed="false">
      <c r="A334" s="17" t="s">
        <v>567</v>
      </c>
      <c r="B334" s="17" t="s">
        <v>568</v>
      </c>
      <c r="C334" s="17" t="s">
        <v>2449</v>
      </c>
      <c r="D334" s="17" t="s">
        <v>72</v>
      </c>
      <c r="E334" s="18" t="n">
        <v>19796</v>
      </c>
      <c r="F334" s="17" t="s">
        <v>667</v>
      </c>
      <c r="G334" s="23" t="n">
        <v>0.911345726409376</v>
      </c>
      <c r="H334" s="19" t="n">
        <v>32.7</v>
      </c>
      <c r="I334" s="17" t="n">
        <f aca="false">IF(H334="","",RANK(H334,$H$5:$H$491))</f>
        <v>330</v>
      </c>
      <c r="J334" s="24" t="n">
        <v>0.165155974102413</v>
      </c>
      <c r="K334" s="19" t="n">
        <v>84</v>
      </c>
      <c r="L334" s="17" t="n">
        <f aca="false">IF(K334="","",RANK(K334,$K$5:$K$491))</f>
        <v>80</v>
      </c>
      <c r="M334" s="25" t="n">
        <v>0.0935114503816794</v>
      </c>
      <c r="N334" s="19" t="n">
        <v>51</v>
      </c>
      <c r="O334" s="17" t="n">
        <f aca="false">IF(N334="","",RANK(N334,$N$5:$N$491))</f>
        <v>242</v>
      </c>
      <c r="P334" s="17" t="str">
        <f aca="false">IF(AND(N(H334)&gt;=N(K334),N(H334)&gt;=N(N334)),"The Pulse",IF(N(K334)&gt;=N(N334),"The Lens","The Hub"))</f>
        <v>The Lens</v>
      </c>
      <c r="Q334" s="20" t="s">
        <v>74</v>
      </c>
      <c r="R334" s="27" t="s">
        <v>671</v>
      </c>
      <c r="S334" s="17" t="s">
        <v>19</v>
      </c>
    </row>
    <row r="335" customFormat="false" ht="15" hidden="false" customHeight="false" outlineLevel="0" collapsed="false">
      <c r="A335" s="17" t="s">
        <v>857</v>
      </c>
      <c r="B335" s="17" t="s">
        <v>858</v>
      </c>
      <c r="C335" s="17" t="s">
        <v>2450</v>
      </c>
      <c r="D335" s="17" t="s">
        <v>81</v>
      </c>
      <c r="E335" s="18" t="n">
        <v>49204</v>
      </c>
      <c r="F335" s="17" t="s">
        <v>667</v>
      </c>
      <c r="G335" s="23" t="n">
        <v>0.91112511177953</v>
      </c>
      <c r="H335" s="19" t="n">
        <v>32.5</v>
      </c>
      <c r="I335" s="17" t="n">
        <f aca="false">IF(H335="","",RANK(H335,$H$5:$H$491))</f>
        <v>331</v>
      </c>
      <c r="J335" s="24" t="n">
        <v>0.170687604092315</v>
      </c>
      <c r="K335" s="19" t="n">
        <v>87.2</v>
      </c>
      <c r="L335" s="17" t="n">
        <f aca="false">IF(K335="","",RANK(K335,$K$5:$K$491))</f>
        <v>64</v>
      </c>
      <c r="M335" s="25" t="n">
        <v>0.0519893899204244</v>
      </c>
      <c r="N335" s="19" t="n">
        <v>32.6</v>
      </c>
      <c r="O335" s="17" t="n">
        <f aca="false">IF(N335="","",RANK(N335,$N$5:$N$491))</f>
        <v>333</v>
      </c>
      <c r="P335" s="17" t="str">
        <f aca="false">IF(AND(N(H335)&gt;=N(K335),N(H335)&gt;=N(N335)),"The Pulse",IF(N(K335)&gt;=N(N335),"The Lens","The Hub"))</f>
        <v>The Lens</v>
      </c>
      <c r="Q335" s="20" t="s">
        <v>74</v>
      </c>
      <c r="R335" s="26" t="s">
        <v>668</v>
      </c>
      <c r="S335" s="17" t="s">
        <v>19</v>
      </c>
    </row>
    <row r="336" customFormat="false" ht="15" hidden="false" customHeight="false" outlineLevel="0" collapsed="false">
      <c r="A336" s="17" t="s">
        <v>2451</v>
      </c>
      <c r="B336" s="17" t="s">
        <v>2452</v>
      </c>
      <c r="C336" s="17" t="s">
        <v>2453</v>
      </c>
      <c r="D336" s="17" t="s">
        <v>72</v>
      </c>
      <c r="E336" s="18" t="n">
        <v>56430</v>
      </c>
      <c r="F336" s="17" t="s">
        <v>667</v>
      </c>
      <c r="G336" s="23" t="n">
        <v>0.907442849548113</v>
      </c>
      <c r="H336" s="19" t="n">
        <v>32.3</v>
      </c>
      <c r="I336" s="17" t="n">
        <f aca="false">IF(H336="","",RANK(H336,$H$5:$H$491))</f>
        <v>332</v>
      </c>
      <c r="J336" s="24" t="n">
        <v>0.121244635193133</v>
      </c>
      <c r="K336" s="19" t="n">
        <v>66.3</v>
      </c>
      <c r="L336" s="17" t="n">
        <f aca="false">IF(K336="","",RANK(K336,$K$5:$K$491))</f>
        <v>170</v>
      </c>
      <c r="M336" s="25" t="n">
        <v>0.168461193360251</v>
      </c>
      <c r="N336" s="19" t="n">
        <v>76.4</v>
      </c>
      <c r="O336" s="17" t="n">
        <f aca="false">IF(N336="","",RANK(N336,$N$5:$N$491))</f>
        <v>116</v>
      </c>
      <c r="P336" s="17" t="str">
        <f aca="false">IF(AND(N(H336)&gt;=N(K336),N(H336)&gt;=N(N336)),"The Pulse",IF(N(K336)&gt;=N(N336),"The Lens","The Hub"))</f>
        <v>The Hub</v>
      </c>
      <c r="Q336" s="20" t="s">
        <v>74</v>
      </c>
      <c r="R336" s="26" t="s">
        <v>668</v>
      </c>
      <c r="S336" s="17" t="s">
        <v>19</v>
      </c>
    </row>
    <row r="337" customFormat="false" ht="15" hidden="false" customHeight="false" outlineLevel="0" collapsed="false">
      <c r="A337" s="17" t="s">
        <v>531</v>
      </c>
      <c r="B337" s="17" t="s">
        <v>532</v>
      </c>
      <c r="C337" s="17" t="s">
        <v>2454</v>
      </c>
      <c r="D337" s="17" t="s">
        <v>87</v>
      </c>
      <c r="E337" s="18" t="n">
        <v>39841</v>
      </c>
      <c r="F337" s="17" t="s">
        <v>667</v>
      </c>
      <c r="G337" s="23" t="n">
        <v>0.906754348535428</v>
      </c>
      <c r="H337" s="19" t="n">
        <v>32.1</v>
      </c>
      <c r="I337" s="17" t="n">
        <f aca="false">IF(H337="","",RANK(H337,$H$5:$H$491))</f>
        <v>333</v>
      </c>
      <c r="J337" s="24" t="n">
        <v>0.145975953517805</v>
      </c>
      <c r="K337" s="19" t="n">
        <v>75.9</v>
      </c>
      <c r="L337" s="17" t="n">
        <f aca="false">IF(K337="","",RANK(K337,$K$5:$K$491))</f>
        <v>123</v>
      </c>
      <c r="M337" s="25" t="n">
        <v>0.165572574762947</v>
      </c>
      <c r="N337" s="19" t="n">
        <v>75</v>
      </c>
      <c r="O337" s="17" t="n">
        <f aca="false">IF(N337="","",RANK(N337,$N$5:$N$491))</f>
        <v>123</v>
      </c>
      <c r="P337" s="17" t="str">
        <f aca="false">IF(AND(N(H337)&gt;=N(K337),N(H337)&gt;=N(N337)),"The Pulse",IF(N(K337)&gt;=N(N337),"The Lens","The Hub"))</f>
        <v>The Lens</v>
      </c>
      <c r="Q337" s="20" t="s">
        <v>74</v>
      </c>
      <c r="R337" s="27" t="s">
        <v>671</v>
      </c>
      <c r="S337" s="17" t="s">
        <v>19</v>
      </c>
    </row>
    <row r="338" customFormat="false" ht="15" hidden="false" customHeight="false" outlineLevel="0" collapsed="false">
      <c r="A338" s="17" t="s">
        <v>1216</v>
      </c>
      <c r="B338" s="17" t="s">
        <v>1217</v>
      </c>
      <c r="C338" s="17" t="s">
        <v>2455</v>
      </c>
      <c r="D338" s="17" t="s">
        <v>77</v>
      </c>
      <c r="E338" s="18" t="n">
        <v>7254</v>
      </c>
      <c r="F338" s="17" t="s">
        <v>678</v>
      </c>
      <c r="G338" s="23" t="n">
        <v>0.899228012131238</v>
      </c>
      <c r="H338" s="19" t="n">
        <v>31.9</v>
      </c>
      <c r="I338" s="17" t="n">
        <f aca="false">IF(H338="","",RANK(H338,$H$5:$H$491))</f>
        <v>334</v>
      </c>
      <c r="J338" s="24" t="n">
        <v>0.163432237369687</v>
      </c>
      <c r="K338" s="19" t="n">
        <v>82.7</v>
      </c>
      <c r="L338" s="17" t="n">
        <f aca="false">IF(K338="","",RANK(K338,$K$5:$K$491))</f>
        <v>87</v>
      </c>
      <c r="M338" s="25" t="n">
        <v>0.138655462184874</v>
      </c>
      <c r="N338" s="19" t="n">
        <v>68.4</v>
      </c>
      <c r="O338" s="17" t="n">
        <f aca="false">IF(N338="","",RANK(N338,$N$5:$N$491))</f>
        <v>157</v>
      </c>
      <c r="P338" s="17" t="str">
        <f aca="false">IF(AND(N(H338)&gt;=N(K338),N(H338)&gt;=N(N338)),"The Pulse",IF(N(K338)&gt;=N(N338),"The Lens","The Hub"))</f>
        <v>The Lens</v>
      </c>
      <c r="Q338" s="20" t="s">
        <v>74</v>
      </c>
      <c r="R338" s="26" t="s">
        <v>668</v>
      </c>
      <c r="S338" s="17" t="s">
        <v>19</v>
      </c>
    </row>
    <row r="339" customFormat="false" ht="15" hidden="false" customHeight="false" outlineLevel="0" collapsed="false">
      <c r="A339" s="17" t="s">
        <v>1789</v>
      </c>
      <c r="B339" s="17" t="s">
        <v>1790</v>
      </c>
      <c r="C339" s="17" t="s">
        <v>2456</v>
      </c>
      <c r="D339" s="17" t="s">
        <v>138</v>
      </c>
      <c r="E339" s="18" t="n">
        <v>26015</v>
      </c>
      <c r="F339" s="17" t="s">
        <v>667</v>
      </c>
      <c r="G339" s="23" t="n">
        <v>0.897366903709398</v>
      </c>
      <c r="H339" s="19" t="n">
        <v>31.7</v>
      </c>
      <c r="I339" s="17" t="n">
        <f aca="false">IF(H339="","",RANK(H339,$H$5:$H$491))</f>
        <v>335</v>
      </c>
      <c r="J339" s="24" t="n">
        <v>0.243725199598413</v>
      </c>
      <c r="K339" s="19" t="n">
        <v>98.6</v>
      </c>
      <c r="L339" s="17" t="n">
        <f aca="false">IF(K339="","",RANK(K339,$K$5:$K$491))</f>
        <v>10</v>
      </c>
      <c r="M339" s="25" t="n">
        <v>0.0745784695201038</v>
      </c>
      <c r="N339" s="19" t="n">
        <v>41.5</v>
      </c>
      <c r="O339" s="17" t="n">
        <f aca="false">IF(N339="","",RANK(N339,$N$5:$N$491))</f>
        <v>291</v>
      </c>
      <c r="P339" s="17" t="str">
        <f aca="false">IF(AND(N(H339)&gt;=N(K339),N(H339)&gt;=N(N339)),"The Pulse",IF(N(K339)&gt;=N(N339),"The Lens","The Hub"))</f>
        <v>The Lens</v>
      </c>
      <c r="Q339" s="20" t="s">
        <v>74</v>
      </c>
      <c r="R339" s="26" t="s">
        <v>668</v>
      </c>
      <c r="S339" s="17" t="s">
        <v>19</v>
      </c>
    </row>
    <row r="340" customFormat="false" ht="15" hidden="false" customHeight="false" outlineLevel="0" collapsed="false">
      <c r="A340" s="17" t="s">
        <v>539</v>
      </c>
      <c r="B340" s="17" t="s">
        <v>540</v>
      </c>
      <c r="C340" s="17" t="s">
        <v>2457</v>
      </c>
      <c r="D340" s="17" t="s">
        <v>114</v>
      </c>
      <c r="E340" s="18" t="n">
        <v>355955</v>
      </c>
      <c r="F340" s="17" t="s">
        <v>670</v>
      </c>
      <c r="G340" s="23" t="n">
        <v>0.891300866682586</v>
      </c>
      <c r="H340" s="19" t="n">
        <v>31.6</v>
      </c>
      <c r="I340" s="17" t="n">
        <f aca="false">IF(H340="","",RANK(H340,$H$5:$H$491))</f>
        <v>336</v>
      </c>
      <c r="J340" s="24" t="n">
        <v>0.0843327616511967</v>
      </c>
      <c r="K340" s="19" t="n">
        <v>50.6</v>
      </c>
      <c r="L340" s="17" t="n">
        <f aca="false">IF(K340="","",RANK(K340,$K$5:$K$491))</f>
        <v>250</v>
      </c>
      <c r="M340" s="25" t="n">
        <v>0.221910112359551</v>
      </c>
      <c r="N340" s="19" t="n">
        <v>87.8</v>
      </c>
      <c r="O340" s="17" t="n">
        <f aca="false">IF(N340="","",RANK(N340,$N$5:$N$491))</f>
        <v>61</v>
      </c>
      <c r="P340" s="17" t="str">
        <f aca="false">IF(AND(N(H340)&gt;=N(K340),N(H340)&gt;=N(N340)),"The Pulse",IF(N(K340)&gt;=N(N340),"The Lens","The Hub"))</f>
        <v>The Hub</v>
      </c>
      <c r="Q340" s="20" t="s">
        <v>74</v>
      </c>
      <c r="R340" s="27" t="s">
        <v>671</v>
      </c>
      <c r="S340" s="17" t="s">
        <v>19</v>
      </c>
    </row>
    <row r="341" customFormat="false" ht="15" hidden="false" customHeight="false" outlineLevel="0" collapsed="false">
      <c r="A341" s="17" t="s">
        <v>541</v>
      </c>
      <c r="B341" s="17" t="s">
        <v>542</v>
      </c>
      <c r="C341" s="17" t="s">
        <v>2458</v>
      </c>
      <c r="D341" s="17" t="s">
        <v>87</v>
      </c>
      <c r="E341" s="18" t="n">
        <v>16492</v>
      </c>
      <c r="F341" s="17" t="s">
        <v>667</v>
      </c>
      <c r="G341" s="23" t="n">
        <v>0.890795537230172</v>
      </c>
      <c r="H341" s="19" t="n">
        <v>31.4</v>
      </c>
      <c r="I341" s="17" t="n">
        <f aca="false">IF(H341="","",RANK(H341,$H$5:$H$491))</f>
        <v>337</v>
      </c>
      <c r="J341" s="24" t="n">
        <v>0.11840499118405</v>
      </c>
      <c r="K341" s="19" t="n">
        <v>64.5</v>
      </c>
      <c r="L341" s="17" t="n">
        <f aca="false">IF(K341="","",RANK(K341,$K$5:$K$491))</f>
        <v>179</v>
      </c>
      <c r="M341" s="25" t="n">
        <v>0.196043165467626</v>
      </c>
      <c r="N341" s="19" t="n">
        <v>81.7</v>
      </c>
      <c r="O341" s="17" t="n">
        <f aca="false">IF(N341="","",RANK(N341,$N$5:$N$491))</f>
        <v>89</v>
      </c>
      <c r="P341" s="17" t="str">
        <f aca="false">IF(AND(N(H341)&gt;=N(K341),N(H341)&gt;=N(N341)),"The Pulse",IF(N(K341)&gt;=N(N341),"The Lens","The Hub"))</f>
        <v>The Hub</v>
      </c>
      <c r="Q341" s="20" t="s">
        <v>74</v>
      </c>
      <c r="R341" s="27" t="s">
        <v>671</v>
      </c>
      <c r="S341" s="17" t="s">
        <v>19</v>
      </c>
    </row>
    <row r="342" customFormat="false" ht="15" hidden="false" customHeight="false" outlineLevel="0" collapsed="false">
      <c r="A342" s="17" t="s">
        <v>445</v>
      </c>
      <c r="B342" s="17" t="s">
        <v>446</v>
      </c>
      <c r="C342" s="17" t="s">
        <v>2459</v>
      </c>
      <c r="D342" s="17" t="s">
        <v>102</v>
      </c>
      <c r="E342" s="18" t="n">
        <v>358884</v>
      </c>
      <c r="F342" s="17" t="s">
        <v>670</v>
      </c>
      <c r="G342" s="23" t="n">
        <v>0.890426990336711</v>
      </c>
      <c r="H342" s="19" t="n">
        <v>31.2</v>
      </c>
      <c r="I342" s="17" t="n">
        <f aca="false">IF(H342="","",RANK(H342,$H$5:$H$491))</f>
        <v>338</v>
      </c>
      <c r="J342" s="24" t="n">
        <v>0.206904785125051</v>
      </c>
      <c r="K342" s="19" t="n">
        <v>92.8</v>
      </c>
      <c r="L342" s="17" t="n">
        <f aca="false">IF(K342="","",RANK(K342,$K$5:$K$491))</f>
        <v>37</v>
      </c>
      <c r="M342" s="25" t="n">
        <v>0.153637055561596</v>
      </c>
      <c r="N342" s="19" t="n">
        <v>71.6</v>
      </c>
      <c r="O342" s="17" t="n">
        <f aca="false">IF(N342="","",RANK(N342,$N$5:$N$491))</f>
        <v>141</v>
      </c>
      <c r="P342" s="17" t="str">
        <f aca="false">IF(AND(N(H342)&gt;=N(K342),N(H342)&gt;=N(N342)),"The Pulse",IF(N(K342)&gt;=N(N342),"The Lens","The Hub"))</f>
        <v>The Lens</v>
      </c>
      <c r="Q342" s="20" t="s">
        <v>74</v>
      </c>
      <c r="R342" s="27" t="s">
        <v>671</v>
      </c>
      <c r="S342" s="17" t="s">
        <v>19</v>
      </c>
    </row>
    <row r="343" customFormat="false" ht="15" hidden="false" customHeight="false" outlineLevel="0" collapsed="false">
      <c r="A343" s="17" t="s">
        <v>543</v>
      </c>
      <c r="B343" s="17" t="s">
        <v>544</v>
      </c>
      <c r="C343" s="17" t="s">
        <v>2460</v>
      </c>
      <c r="D343" s="17" t="s">
        <v>133</v>
      </c>
      <c r="E343" s="18" t="n">
        <v>42721</v>
      </c>
      <c r="F343" s="17" t="s">
        <v>667</v>
      </c>
      <c r="G343" s="23" t="n">
        <v>0.883546733456614</v>
      </c>
      <c r="H343" s="19" t="n">
        <v>31</v>
      </c>
      <c r="I343" s="17" t="n">
        <f aca="false">IF(H343="","",RANK(H343,$H$5:$H$491))</f>
        <v>339</v>
      </c>
      <c r="J343" s="24" t="n">
        <v>0.140717203812982</v>
      </c>
      <c r="K343" s="19" t="n">
        <v>73.4</v>
      </c>
      <c r="L343" s="17" t="n">
        <f aca="false">IF(K343="","",RANK(K343,$K$5:$K$491))</f>
        <v>136</v>
      </c>
      <c r="M343" s="25" t="n">
        <v>0.0777067045723762</v>
      </c>
      <c r="N343" s="19" t="n">
        <v>43.2</v>
      </c>
      <c r="O343" s="17" t="n">
        <f aca="false">IF(N343="","",RANK(N343,$N$5:$N$491))</f>
        <v>282</v>
      </c>
      <c r="P343" s="17" t="str">
        <f aca="false">IF(AND(N(H343)&gt;=N(K343),N(H343)&gt;=N(N343)),"The Pulse",IF(N(K343)&gt;=N(N343),"The Lens","The Hub"))</f>
        <v>The Lens</v>
      </c>
      <c r="Q343" s="20" t="s">
        <v>74</v>
      </c>
      <c r="R343" s="27" t="s">
        <v>671</v>
      </c>
      <c r="S343" s="17" t="s">
        <v>19</v>
      </c>
    </row>
    <row r="344" customFormat="false" ht="15" hidden="false" customHeight="false" outlineLevel="0" collapsed="false">
      <c r="A344" s="17" t="s">
        <v>593</v>
      </c>
      <c r="B344" s="17" t="s">
        <v>594</v>
      </c>
      <c r="C344" s="17" t="s">
        <v>2461</v>
      </c>
      <c r="D344" s="17" t="s">
        <v>105</v>
      </c>
      <c r="E344" s="18" t="n">
        <v>132024</v>
      </c>
      <c r="F344" s="17" t="s">
        <v>670</v>
      </c>
      <c r="G344" s="23" t="n">
        <v>0.882695570502333</v>
      </c>
      <c r="H344" s="19" t="n">
        <v>30.8</v>
      </c>
      <c r="I344" s="17" t="n">
        <f aca="false">IF(H344="","",RANK(H344,$H$5:$H$491))</f>
        <v>340</v>
      </c>
      <c r="J344" s="24" t="n">
        <v>0.173452790443431</v>
      </c>
      <c r="K344" s="19" t="n">
        <v>84.3</v>
      </c>
      <c r="L344" s="17" t="n">
        <f aca="false">IF(K344="","",RANK(K344,$K$5:$K$491))</f>
        <v>79</v>
      </c>
      <c r="M344" s="25" t="n">
        <v>0.0816051256111954</v>
      </c>
      <c r="N344" s="19" t="n">
        <v>44.8</v>
      </c>
      <c r="O344" s="17" t="n">
        <f aca="false">IF(N344="","",RANK(N344,$N$5:$N$491))</f>
        <v>274</v>
      </c>
      <c r="P344" s="17" t="str">
        <f aca="false">IF(AND(N(H344)&gt;=N(K344),N(H344)&gt;=N(N344)),"The Pulse",IF(N(K344)&gt;=N(N344),"The Lens","The Hub"))</f>
        <v>The Lens</v>
      </c>
      <c r="Q344" s="20" t="s">
        <v>74</v>
      </c>
      <c r="R344" s="27" t="s">
        <v>671</v>
      </c>
      <c r="S344" s="17" t="s">
        <v>19</v>
      </c>
    </row>
    <row r="345" customFormat="false" ht="15" hidden="false" customHeight="false" outlineLevel="0" collapsed="false">
      <c r="A345" s="17" t="s">
        <v>289</v>
      </c>
      <c r="B345" s="17" t="s">
        <v>290</v>
      </c>
      <c r="C345" s="17" t="s">
        <v>2462</v>
      </c>
      <c r="D345" s="17" t="s">
        <v>102</v>
      </c>
      <c r="E345" s="18" t="n">
        <v>25015</v>
      </c>
      <c r="F345" s="17" t="s">
        <v>667</v>
      </c>
      <c r="G345" s="23" t="n">
        <v>0.881431141315211</v>
      </c>
      <c r="H345" s="19" t="n">
        <v>30.6</v>
      </c>
      <c r="I345" s="17" t="n">
        <f aca="false">IF(H345="","",RANK(H345,$H$5:$H$491))</f>
        <v>341</v>
      </c>
      <c r="J345" s="24" t="n">
        <v>0.103492884864166</v>
      </c>
      <c r="K345" s="19" t="n">
        <v>56</v>
      </c>
      <c r="L345" s="17" t="n">
        <f aca="false">IF(K345="","",RANK(K345,$K$5:$K$491))</f>
        <v>221</v>
      </c>
      <c r="M345" s="25" t="n">
        <v>0.0072992700729927</v>
      </c>
      <c r="N345" s="19" t="n">
        <v>5.7</v>
      </c>
      <c r="O345" s="17" t="n">
        <f aca="false">IF(N345="","",RANK(N345,$N$5:$N$491))</f>
        <v>460</v>
      </c>
      <c r="P345" s="17" t="str">
        <f aca="false">IF(AND(N(H345)&gt;=N(K345),N(H345)&gt;=N(N345)),"The Pulse",IF(N(K345)&gt;=N(N345),"The Lens","The Hub"))</f>
        <v>The Lens</v>
      </c>
      <c r="Q345" s="21" t="s">
        <v>78</v>
      </c>
      <c r="R345" s="27" t="s">
        <v>671</v>
      </c>
      <c r="S345" s="17" t="s">
        <v>126</v>
      </c>
    </row>
    <row r="346" customFormat="false" ht="15" hidden="false" customHeight="false" outlineLevel="0" collapsed="false">
      <c r="A346" s="17" t="s">
        <v>716</v>
      </c>
      <c r="B346" s="17" t="s">
        <v>717</v>
      </c>
      <c r="C346" s="17" t="s">
        <v>2463</v>
      </c>
      <c r="D346" s="17" t="s">
        <v>105</v>
      </c>
      <c r="E346" s="18" t="n">
        <v>54836</v>
      </c>
      <c r="F346" s="17" t="s">
        <v>667</v>
      </c>
      <c r="G346" s="23" t="n">
        <v>0.875647384929608</v>
      </c>
      <c r="H346" s="19" t="n">
        <v>30.4</v>
      </c>
      <c r="I346" s="17" t="n">
        <f aca="false">IF(H346="","",RANK(H346,$H$5:$H$491))</f>
        <v>342</v>
      </c>
      <c r="J346" s="24" t="n">
        <v>-0.0257785989660135</v>
      </c>
      <c r="K346" s="19" t="n">
        <v>6.7</v>
      </c>
      <c r="L346" s="17" t="n">
        <f aca="false">IF(K346="","",RANK(K346,$K$5:$K$491))</f>
        <v>456</v>
      </c>
      <c r="M346" s="25" t="n">
        <v>0.120977722772277</v>
      </c>
      <c r="N346" s="19" t="n">
        <v>63.4</v>
      </c>
      <c r="O346" s="17" t="n">
        <f aca="false">IF(N346="","",RANK(N346,$N$5:$N$491))</f>
        <v>181</v>
      </c>
      <c r="P346" s="17" t="str">
        <f aca="false">IF(AND(N(H346)&gt;=N(K346),N(H346)&gt;=N(N346)),"The Pulse",IF(N(K346)&gt;=N(N346),"The Lens","The Hub"))</f>
        <v>The Hub</v>
      </c>
      <c r="Q346" s="20" t="s">
        <v>74</v>
      </c>
      <c r="R346" s="26" t="s">
        <v>668</v>
      </c>
      <c r="S346" s="17" t="s">
        <v>19</v>
      </c>
    </row>
    <row r="347" customFormat="false" ht="15" hidden="false" customHeight="false" outlineLevel="0" collapsed="false">
      <c r="A347" s="17" t="s">
        <v>315</v>
      </c>
      <c r="B347" s="17" t="s">
        <v>316</v>
      </c>
      <c r="C347" s="17" t="s">
        <v>2464</v>
      </c>
      <c r="D347" s="17" t="s">
        <v>102</v>
      </c>
      <c r="E347" s="18" t="n">
        <v>35190</v>
      </c>
      <c r="F347" s="17" t="s">
        <v>667</v>
      </c>
      <c r="G347" s="23" t="n">
        <v>0.864961636828645</v>
      </c>
      <c r="H347" s="19" t="n">
        <v>30.2</v>
      </c>
      <c r="I347" s="17" t="n">
        <f aca="false">IF(H347="","",RANK(H347,$H$5:$H$491))</f>
        <v>343</v>
      </c>
      <c r="J347" s="24" t="n">
        <v>0.164499156160032</v>
      </c>
      <c r="K347" s="19" t="n">
        <v>83</v>
      </c>
      <c r="L347" s="17" t="n">
        <f aca="false">IF(K347="","",RANK(K347,$K$5:$K$491))</f>
        <v>86</v>
      </c>
      <c r="M347" s="25" t="n">
        <v>0.165980230642504</v>
      </c>
      <c r="N347" s="19" t="n">
        <v>75.6</v>
      </c>
      <c r="O347" s="17" t="n">
        <f aca="false">IF(N347="","",RANK(N347,$N$5:$N$491))</f>
        <v>120</v>
      </c>
      <c r="P347" s="17" t="str">
        <f aca="false">IF(AND(N(H347)&gt;=N(K347),N(H347)&gt;=N(N347)),"The Pulse",IF(N(K347)&gt;=N(N347),"The Lens","The Hub"))</f>
        <v>The Lens</v>
      </c>
      <c r="Q347" s="20" t="s">
        <v>74</v>
      </c>
      <c r="R347" s="27" t="s">
        <v>671</v>
      </c>
      <c r="S347" s="17" t="s">
        <v>19</v>
      </c>
    </row>
    <row r="348" customFormat="false" ht="15" hidden="false" customHeight="false" outlineLevel="0" collapsed="false">
      <c r="A348" s="17" t="s">
        <v>2465</v>
      </c>
      <c r="B348" s="17" t="s">
        <v>2466</v>
      </c>
      <c r="C348" s="17" t="s">
        <v>2467</v>
      </c>
      <c r="D348" s="17" t="s">
        <v>87</v>
      </c>
      <c r="E348" s="18" t="n">
        <v>56393</v>
      </c>
      <c r="F348" s="17" t="s">
        <v>667</v>
      </c>
      <c r="G348" s="23" t="n">
        <v>0.862465199581508</v>
      </c>
      <c r="H348" s="19" t="n">
        <v>30</v>
      </c>
      <c r="I348" s="17" t="n">
        <f aca="false">IF(H348="","",RANK(H348,$H$5:$H$491))</f>
        <v>344</v>
      </c>
      <c r="J348" s="24" t="n">
        <v>0.123724693129284</v>
      </c>
      <c r="K348" s="19" t="n">
        <v>67.4</v>
      </c>
      <c r="L348" s="17" t="n">
        <f aca="false">IF(K348="","",RANK(K348,$K$5:$K$491))</f>
        <v>166</v>
      </c>
      <c r="M348" s="25" t="n">
        <v>0.143796992481203</v>
      </c>
      <c r="N348" s="19" t="n">
        <v>69.5</v>
      </c>
      <c r="O348" s="17" t="n">
        <f aca="false">IF(N348="","",RANK(N348,$N$5:$N$491))</f>
        <v>151</v>
      </c>
      <c r="P348" s="17" t="str">
        <f aca="false">IF(AND(N(H348)&gt;=N(K348),N(H348)&gt;=N(N348)),"The Pulse",IF(N(K348)&gt;=N(N348),"The Lens","The Hub"))</f>
        <v>The Hub</v>
      </c>
      <c r="Q348" s="20" t="s">
        <v>74</v>
      </c>
      <c r="R348" s="26" t="s">
        <v>668</v>
      </c>
      <c r="S348" s="17" t="s">
        <v>19</v>
      </c>
    </row>
    <row r="349" customFormat="false" ht="15" hidden="false" customHeight="false" outlineLevel="0" collapsed="false">
      <c r="A349" s="17" t="s">
        <v>2468</v>
      </c>
      <c r="B349" s="17" t="s">
        <v>2469</v>
      </c>
      <c r="C349" s="17" t="s">
        <v>2470</v>
      </c>
      <c r="D349" s="17" t="s">
        <v>102</v>
      </c>
      <c r="E349" s="18" t="n">
        <v>43348</v>
      </c>
      <c r="F349" s="17" t="s">
        <v>667</v>
      </c>
      <c r="G349" s="23" t="n">
        <v>0.857294454184738</v>
      </c>
      <c r="H349" s="19" t="n">
        <v>29.8</v>
      </c>
      <c r="I349" s="17" t="n">
        <f aca="false">IF(H349="","",RANK(H349,$H$5:$H$491))</f>
        <v>345</v>
      </c>
      <c r="J349" s="24" t="n">
        <v>0.143927798596084</v>
      </c>
      <c r="K349" s="19" t="n">
        <v>74.8</v>
      </c>
      <c r="L349" s="17" t="n">
        <f aca="false">IF(K349="","",RANK(K349,$K$5:$K$491))</f>
        <v>128</v>
      </c>
      <c r="M349" s="25" t="n">
        <v>0.0411960132890366</v>
      </c>
      <c r="N349" s="19" t="n">
        <v>26.1</v>
      </c>
      <c r="O349" s="17" t="n">
        <f aca="false">IF(N349="","",RANK(N349,$N$5:$N$491))</f>
        <v>365</v>
      </c>
      <c r="P349" s="17" t="str">
        <f aca="false">IF(AND(N(H349)&gt;=N(K349),N(H349)&gt;=N(N349)),"The Pulse",IF(N(K349)&gt;=N(N349),"The Lens","The Hub"))</f>
        <v>The Lens</v>
      </c>
      <c r="Q349" s="20" t="s">
        <v>74</v>
      </c>
      <c r="R349" s="26" t="s">
        <v>668</v>
      </c>
      <c r="S349" s="17" t="s">
        <v>19</v>
      </c>
    </row>
    <row r="350" customFormat="false" ht="15" hidden="false" customHeight="false" outlineLevel="0" collapsed="false">
      <c r="A350" s="17" t="s">
        <v>1922</v>
      </c>
      <c r="B350" s="17" t="s">
        <v>1923</v>
      </c>
      <c r="C350" s="17" t="s">
        <v>2471</v>
      </c>
      <c r="D350" s="17" t="s">
        <v>72</v>
      </c>
      <c r="E350" s="18" t="n">
        <v>32576</v>
      </c>
      <c r="F350" s="17" t="s">
        <v>667</v>
      </c>
      <c r="G350" s="23" t="n">
        <v>0.847648575638507</v>
      </c>
      <c r="H350" s="19" t="n">
        <v>29.7</v>
      </c>
      <c r="I350" s="17" t="n">
        <f aca="false">IF(H350="","",RANK(H350,$H$5:$H$491))</f>
        <v>346</v>
      </c>
      <c r="J350" s="24" t="n">
        <v>0.181102933178638</v>
      </c>
      <c r="K350" s="19" t="n">
        <v>90.4</v>
      </c>
      <c r="L350" s="17" t="n">
        <f aca="false">IF(K350="","",RANK(K350,$K$5:$K$491))</f>
        <v>48</v>
      </c>
      <c r="M350" s="25" t="n">
        <v>0.0913673597983617</v>
      </c>
      <c r="N350" s="19" t="n">
        <v>49.7</v>
      </c>
      <c r="O350" s="17" t="n">
        <f aca="false">IF(N350="","",RANK(N350,$N$5:$N$491))</f>
        <v>248</v>
      </c>
      <c r="P350" s="17" t="str">
        <f aca="false">IF(AND(N(H350)&gt;=N(K350),N(H350)&gt;=N(N350)),"The Pulse",IF(N(K350)&gt;=N(N350),"The Lens","The Hub"))</f>
        <v>The Lens</v>
      </c>
      <c r="Q350" s="20" t="s">
        <v>74</v>
      </c>
      <c r="R350" s="26" t="s">
        <v>668</v>
      </c>
      <c r="S350" s="17" t="s">
        <v>19</v>
      </c>
    </row>
    <row r="351" customFormat="false" ht="15" hidden="false" customHeight="false" outlineLevel="0" collapsed="false">
      <c r="A351" s="17" t="s">
        <v>1021</v>
      </c>
      <c r="B351" s="17" t="s">
        <v>1022</v>
      </c>
      <c r="C351" s="17" t="s">
        <v>2472</v>
      </c>
      <c r="D351" s="17" t="s">
        <v>81</v>
      </c>
      <c r="E351" s="18" t="n">
        <v>11899403</v>
      </c>
      <c r="F351" s="17" t="s">
        <v>752</v>
      </c>
      <c r="G351" s="23" t="n">
        <v>0.845134583642558</v>
      </c>
      <c r="H351" s="19" t="n">
        <v>29.5</v>
      </c>
      <c r="I351" s="17" t="n">
        <f aca="false">IF(H351="","",RANK(H351,$H$5:$H$491))</f>
        <v>347</v>
      </c>
      <c r="J351" s="24" t="n">
        <v>0.0511973827228898</v>
      </c>
      <c r="K351" s="19" t="n">
        <v>50</v>
      </c>
      <c r="L351" s="17" t="n">
        <f aca="false">IF(K351="","",RANK(K351,$K$5:$K$491))</f>
        <v>252</v>
      </c>
      <c r="M351" s="25" t="n">
        <v>0.107819918038288</v>
      </c>
      <c r="N351" s="19" t="n">
        <v>58.5</v>
      </c>
      <c r="O351" s="17" t="n">
        <f aca="false">IF(N351="","",RANK(N351,$N$5:$N$491))</f>
        <v>206</v>
      </c>
      <c r="P351" s="17" t="str">
        <f aca="false">IF(AND(N(H351)&gt;=N(K351),N(H351)&gt;=N(N351)),"The Pulse",IF(N(K351)&gt;=N(N351),"The Lens","The Hub"))</f>
        <v>The Hub</v>
      </c>
      <c r="Q351" s="20" t="s">
        <v>74</v>
      </c>
      <c r="R351" s="26" t="s">
        <v>668</v>
      </c>
      <c r="S351" s="17" t="s">
        <v>19</v>
      </c>
    </row>
    <row r="352" customFormat="false" ht="15" hidden="false" customHeight="false" outlineLevel="0" collapsed="false">
      <c r="A352" s="17" t="s">
        <v>417</v>
      </c>
      <c r="B352" s="17" t="s">
        <v>418</v>
      </c>
      <c r="C352" s="17" t="s">
        <v>2473</v>
      </c>
      <c r="D352" s="17" t="s">
        <v>72</v>
      </c>
      <c r="E352" s="18" t="n">
        <v>131572</v>
      </c>
      <c r="F352" s="17" t="s">
        <v>670</v>
      </c>
      <c r="G352" s="23" t="n">
        <v>0.844868209041437</v>
      </c>
      <c r="H352" s="19" t="n">
        <v>29.3</v>
      </c>
      <c r="I352" s="17" t="n">
        <f aca="false">IF(H352="","",RANK(H352,$H$5:$H$491))</f>
        <v>348</v>
      </c>
      <c r="J352" s="24" t="n">
        <v>0.0906619140382144</v>
      </c>
      <c r="K352" s="19" t="n">
        <v>53</v>
      </c>
      <c r="L352" s="17" t="n">
        <f aca="false">IF(K352="","",RANK(K352,$K$5:$K$491))</f>
        <v>237</v>
      </c>
      <c r="M352" s="25" t="n">
        <v>0.00222160510969175</v>
      </c>
      <c r="N352" s="19" t="n">
        <v>2.7</v>
      </c>
      <c r="O352" s="17" t="n">
        <f aca="false">IF(N352="","",RANK(N352,$N$5:$N$491))</f>
        <v>474</v>
      </c>
      <c r="P352" s="17" t="str">
        <f aca="false">IF(AND(N(H352)&gt;=N(K352),N(H352)&gt;=N(N352)),"The Pulse",IF(N(K352)&gt;=N(N352),"The Lens","The Hub"))</f>
        <v>The Lens</v>
      </c>
      <c r="Q352" s="20" t="s">
        <v>74</v>
      </c>
      <c r="R352" s="27" t="s">
        <v>671</v>
      </c>
      <c r="S352" s="17" t="s">
        <v>19</v>
      </c>
    </row>
    <row r="353" customFormat="false" ht="15" hidden="false" customHeight="false" outlineLevel="0" collapsed="false">
      <c r="A353" s="17" t="s">
        <v>2474</v>
      </c>
      <c r="B353" s="17" t="s">
        <v>2475</v>
      </c>
      <c r="C353" s="17" t="s">
        <v>2476</v>
      </c>
      <c r="D353" s="17" t="s">
        <v>138</v>
      </c>
      <c r="E353" s="18" t="n">
        <v>20189</v>
      </c>
      <c r="F353" s="17" t="s">
        <v>667</v>
      </c>
      <c r="G353" s="23" t="n">
        <v>0.844618356530784</v>
      </c>
      <c r="H353" s="19" t="n">
        <v>29.1</v>
      </c>
      <c r="I353" s="17" t="n">
        <f aca="false">IF(H353="","",RANK(H353,$H$5:$H$491))</f>
        <v>349</v>
      </c>
      <c r="J353" s="24" t="n">
        <v>0.0746260712194603</v>
      </c>
      <c r="K353" s="19" t="n">
        <v>40.8</v>
      </c>
      <c r="L353" s="17" t="n">
        <f aca="false">IF(K353="","",RANK(K353,$K$5:$K$491))</f>
        <v>299</v>
      </c>
      <c r="M353" s="25" t="n">
        <v>0.204081632653061</v>
      </c>
      <c r="N353" s="19" t="n">
        <v>83.6</v>
      </c>
      <c r="O353" s="17" t="n">
        <f aca="false">IF(N353="","",RANK(N353,$N$5:$N$491))</f>
        <v>82</v>
      </c>
      <c r="P353" s="17" t="str">
        <f aca="false">IF(AND(N(H353)&gt;=N(K353),N(H353)&gt;=N(N353)),"The Pulse",IF(N(K353)&gt;=N(N353),"The Lens","The Hub"))</f>
        <v>The Hub</v>
      </c>
      <c r="Q353" s="20" t="s">
        <v>74</v>
      </c>
      <c r="R353" s="26" t="s">
        <v>668</v>
      </c>
      <c r="S353" s="17" t="s">
        <v>19</v>
      </c>
    </row>
    <row r="354" customFormat="false" ht="15" hidden="false" customHeight="false" outlineLevel="0" collapsed="false">
      <c r="A354" s="17" t="s">
        <v>2477</v>
      </c>
      <c r="B354" s="17" t="s">
        <v>2478</v>
      </c>
      <c r="C354" s="17" t="s">
        <v>2479</v>
      </c>
      <c r="D354" s="17" t="s">
        <v>92</v>
      </c>
      <c r="E354" s="18" t="n">
        <v>106982</v>
      </c>
      <c r="F354" s="17" t="s">
        <v>670</v>
      </c>
      <c r="G354" s="23" t="n">
        <v>0.841702342450132</v>
      </c>
      <c r="H354" s="19" t="n">
        <v>28.7</v>
      </c>
      <c r="I354" s="17" t="n">
        <f aca="false">IF(H354="","",RANK(H354,$H$5:$H$491))</f>
        <v>350</v>
      </c>
      <c r="J354" s="24" t="n">
        <v>0.17774891012374</v>
      </c>
      <c r="K354" s="19" t="n">
        <v>86.7</v>
      </c>
      <c r="L354" s="17" t="n">
        <f aca="false">IF(K354="","",RANK(K354,$K$5:$K$491))</f>
        <v>66</v>
      </c>
      <c r="M354" s="25" t="n">
        <v>0.116247955998216</v>
      </c>
      <c r="N354" s="19" t="n">
        <v>61.7</v>
      </c>
      <c r="O354" s="17" t="n">
        <f aca="false">IF(N354="","",RANK(N354,$N$5:$N$491))</f>
        <v>190</v>
      </c>
      <c r="P354" s="17" t="str">
        <f aca="false">IF(AND(N(H354)&gt;=N(K354),N(H354)&gt;=N(N354)),"The Pulse",IF(N(K354)&gt;=N(N354),"The Lens","The Hub"))</f>
        <v>The Lens</v>
      </c>
      <c r="Q354" s="20" t="s">
        <v>74</v>
      </c>
      <c r="R354" s="26" t="s">
        <v>668</v>
      </c>
      <c r="S354" s="17" t="s">
        <v>19</v>
      </c>
    </row>
    <row r="355" customFormat="false" ht="15" hidden="false" customHeight="false" outlineLevel="0" collapsed="false">
      <c r="A355" s="17" t="s">
        <v>967</v>
      </c>
      <c r="B355" s="17" t="s">
        <v>968</v>
      </c>
      <c r="C355" s="17" t="s">
        <v>2480</v>
      </c>
      <c r="D355" s="17" t="s">
        <v>114</v>
      </c>
      <c r="E355" s="18" t="n">
        <v>6450</v>
      </c>
      <c r="F355" s="17" t="s">
        <v>678</v>
      </c>
      <c r="G355" s="23" t="n">
        <v>0.836279069767442</v>
      </c>
      <c r="H355" s="19" t="n">
        <v>28.5</v>
      </c>
      <c r="I355" s="17" t="n">
        <f aca="false">IF(H355="","",RANK(H355,$H$5:$H$491))</f>
        <v>351</v>
      </c>
      <c r="J355" s="24" t="n">
        <v>0.171449328005812</v>
      </c>
      <c r="K355" s="19" t="n">
        <v>85.3</v>
      </c>
      <c r="L355" s="17" t="n">
        <f aca="false">IF(K355="","",RANK(K355,$K$5:$K$491))</f>
        <v>74</v>
      </c>
      <c r="M355" s="25" t="n">
        <v>0.10062893081761</v>
      </c>
      <c r="N355" s="19" t="n">
        <v>55.6</v>
      </c>
      <c r="O355" s="17" t="n">
        <f aca="false">IF(N355="","",RANK(N355,$N$5:$N$491))</f>
        <v>221</v>
      </c>
      <c r="P355" s="17" t="str">
        <f aca="false">IF(AND(N(H355)&gt;=N(K355),N(H355)&gt;=N(N355)),"The Pulse",IF(N(K355)&gt;=N(N355),"The Lens","The Hub"))</f>
        <v>The Lens</v>
      </c>
      <c r="Q355" s="20" t="s">
        <v>74</v>
      </c>
      <c r="R355" s="26" t="s">
        <v>668</v>
      </c>
      <c r="S355" s="17" t="s">
        <v>19</v>
      </c>
    </row>
    <row r="356" customFormat="false" ht="15" hidden="false" customHeight="false" outlineLevel="0" collapsed="false">
      <c r="A356" s="17" t="s">
        <v>1712</v>
      </c>
      <c r="B356" s="17" t="s">
        <v>1713</v>
      </c>
      <c r="C356" s="17" t="s">
        <v>2481</v>
      </c>
      <c r="D356" s="17" t="s">
        <v>92</v>
      </c>
      <c r="E356" s="18" t="n">
        <v>53530</v>
      </c>
      <c r="F356" s="17" t="s">
        <v>667</v>
      </c>
      <c r="G356" s="23" t="n">
        <v>0.831104053801607</v>
      </c>
      <c r="H356" s="19" t="n">
        <v>28.3</v>
      </c>
      <c r="I356" s="17" t="n">
        <f aca="false">IF(H356="","",RANK(H356,$H$5:$H$491))</f>
        <v>352</v>
      </c>
      <c r="J356" s="24" t="n">
        <v>0.0155568203376968</v>
      </c>
      <c r="K356" s="19" t="n">
        <v>14.9</v>
      </c>
      <c r="L356" s="17" t="n">
        <f aca="false">IF(K356="","",RANK(K356,$K$5:$K$491))</f>
        <v>416</v>
      </c>
      <c r="M356" s="25" t="n">
        <v>0.0229034531360113</v>
      </c>
      <c r="N356" s="19" t="n">
        <v>13.9</v>
      </c>
      <c r="O356" s="17" t="n">
        <f aca="false">IF(N356="","",RANK(N356,$N$5:$N$491))</f>
        <v>426</v>
      </c>
      <c r="P356" s="17" t="str">
        <f aca="false">IF(AND(N(H356)&gt;=N(K356),N(H356)&gt;=N(N356)),"The Pulse",IF(N(K356)&gt;=N(N356),"The Lens","The Hub"))</f>
        <v>The Pulse</v>
      </c>
      <c r="Q356" s="21" t="s">
        <v>78</v>
      </c>
      <c r="R356" s="26" t="s">
        <v>668</v>
      </c>
      <c r="S356" s="17" t="s">
        <v>21</v>
      </c>
    </row>
    <row r="357" customFormat="false" ht="15" hidden="false" customHeight="false" outlineLevel="0" collapsed="false">
      <c r="A357" s="17" t="s">
        <v>471</v>
      </c>
      <c r="B357" s="17" t="s">
        <v>472</v>
      </c>
      <c r="C357" s="17" t="s">
        <v>2482</v>
      </c>
      <c r="D357" s="17" t="s">
        <v>87</v>
      </c>
      <c r="E357" s="18" t="n">
        <v>10905</v>
      </c>
      <c r="F357" s="17" t="s">
        <v>667</v>
      </c>
      <c r="G357" s="23" t="n">
        <v>0.828977533241632</v>
      </c>
      <c r="H357" s="19" t="n">
        <v>28.1</v>
      </c>
      <c r="I357" s="17" t="n">
        <f aca="false">IF(H357="","",RANK(H357,$H$5:$H$491))</f>
        <v>353</v>
      </c>
      <c r="J357" s="24" t="n">
        <v>0.0895194325107403</v>
      </c>
      <c r="K357" s="19" t="n">
        <v>50.4</v>
      </c>
      <c r="L357" s="17" t="n">
        <f aca="false">IF(K357="","",RANK(K357,$K$5:$K$491))</f>
        <v>251</v>
      </c>
      <c r="M357" s="25" t="n">
        <v>0.140969162995595</v>
      </c>
      <c r="N357" s="19" t="n">
        <v>68.6</v>
      </c>
      <c r="O357" s="17" t="n">
        <f aca="false">IF(N357="","",RANK(N357,$N$5:$N$491))</f>
        <v>156</v>
      </c>
      <c r="P357" s="17" t="str">
        <f aca="false">IF(AND(N(H357)&gt;=N(K357),N(H357)&gt;=N(N357)),"The Pulse",IF(N(K357)&gt;=N(N357),"The Lens","The Hub"))</f>
        <v>The Hub</v>
      </c>
      <c r="Q357" s="20" t="s">
        <v>74</v>
      </c>
      <c r="R357" s="27" t="s">
        <v>671</v>
      </c>
      <c r="S357" s="17" t="s">
        <v>19</v>
      </c>
    </row>
    <row r="358" customFormat="false" ht="15" hidden="false" customHeight="false" outlineLevel="0" collapsed="false">
      <c r="A358" s="17" t="s">
        <v>2483</v>
      </c>
      <c r="B358" s="17" t="s">
        <v>2484</v>
      </c>
      <c r="C358" s="17" t="s">
        <v>2485</v>
      </c>
      <c r="D358" s="17" t="s">
        <v>102</v>
      </c>
      <c r="E358" s="18" t="n">
        <v>24191</v>
      </c>
      <c r="F358" s="17" t="s">
        <v>667</v>
      </c>
      <c r="G358" s="23" t="n">
        <v>0.828531271960647</v>
      </c>
      <c r="H358" s="19" t="n">
        <v>27.9</v>
      </c>
      <c r="I358" s="17" t="n">
        <f aca="false">IF(H358="","",RANK(H358,$H$5:$H$491))</f>
        <v>354</v>
      </c>
      <c r="J358" s="24" t="n">
        <v>0.14812529663028</v>
      </c>
      <c r="K358" s="19" t="n">
        <v>77</v>
      </c>
      <c r="L358" s="17" t="n">
        <f aca="false">IF(K358="","",RANK(K358,$K$5:$K$491))</f>
        <v>118</v>
      </c>
      <c r="M358" s="25" t="n">
        <v>0.0672097759674134</v>
      </c>
      <c r="N358" s="19" t="n">
        <v>38.5</v>
      </c>
      <c r="O358" s="17" t="n">
        <f aca="false">IF(N358="","",RANK(N358,$N$5:$N$491))</f>
        <v>305</v>
      </c>
      <c r="P358" s="17" t="str">
        <f aca="false">IF(AND(N(H358)&gt;=N(K358),N(H358)&gt;=N(N358)),"The Pulse",IF(N(K358)&gt;=N(N358),"The Lens","The Hub"))</f>
        <v>The Lens</v>
      </c>
      <c r="Q358" s="20" t="s">
        <v>74</v>
      </c>
      <c r="R358" s="26" t="s">
        <v>668</v>
      </c>
      <c r="S358" s="17" t="s">
        <v>19</v>
      </c>
    </row>
    <row r="359" customFormat="false" ht="15" hidden="false" customHeight="false" outlineLevel="0" collapsed="false">
      <c r="A359" s="17" t="s">
        <v>591</v>
      </c>
      <c r="B359" s="17" t="s">
        <v>592</v>
      </c>
      <c r="C359" s="17" t="s">
        <v>2486</v>
      </c>
      <c r="D359" s="17" t="s">
        <v>105</v>
      </c>
      <c r="E359" s="18" t="n">
        <v>85510</v>
      </c>
      <c r="F359" s="17" t="s">
        <v>667</v>
      </c>
      <c r="G359" s="23" t="n">
        <v>0.827996725529178</v>
      </c>
      <c r="H359" s="19" t="n">
        <v>27.8</v>
      </c>
      <c r="I359" s="17" t="n">
        <f aca="false">IF(H359="","",RANK(H359,$H$5:$H$491))</f>
        <v>355</v>
      </c>
      <c r="J359" s="24" t="n">
        <v>0.098535457348407</v>
      </c>
      <c r="K359" s="19" t="n">
        <v>53.9</v>
      </c>
      <c r="L359" s="17" t="n">
        <f aca="false">IF(K359="","",RANK(K359,$K$5:$K$491))</f>
        <v>232</v>
      </c>
      <c r="M359" s="25" t="n">
        <v>0.146439896223696</v>
      </c>
      <c r="N359" s="19" t="n">
        <v>70.3</v>
      </c>
      <c r="O359" s="17" t="n">
        <f aca="false">IF(N359="","",RANK(N359,$N$5:$N$491))</f>
        <v>148</v>
      </c>
      <c r="P359" s="17" t="str">
        <f aca="false">IF(AND(N(H359)&gt;=N(K359),N(H359)&gt;=N(N359)),"The Pulse",IF(N(K359)&gt;=N(N359),"The Lens","The Hub"))</f>
        <v>The Hub</v>
      </c>
      <c r="Q359" s="21" t="s">
        <v>78</v>
      </c>
      <c r="R359" s="27" t="s">
        <v>671</v>
      </c>
      <c r="S359" s="17" t="s">
        <v>21</v>
      </c>
    </row>
    <row r="360" customFormat="false" ht="15" hidden="false" customHeight="false" outlineLevel="0" collapsed="false">
      <c r="A360" s="17" t="s">
        <v>2487</v>
      </c>
      <c r="B360" s="17" t="s">
        <v>2488</v>
      </c>
      <c r="C360" s="17" t="s">
        <v>2489</v>
      </c>
      <c r="D360" s="17" t="s">
        <v>133</v>
      </c>
      <c r="E360" s="18" t="n">
        <v>46715</v>
      </c>
      <c r="F360" s="17" t="s">
        <v>667</v>
      </c>
      <c r="G360" s="23" t="n">
        <v>0.823654072567698</v>
      </c>
      <c r="H360" s="19" t="n">
        <v>27.6</v>
      </c>
      <c r="I360" s="17" t="n">
        <f aca="false">IF(H360="","",RANK(H360,$H$5:$H$491))</f>
        <v>356</v>
      </c>
      <c r="J360" s="24" t="n">
        <v>0.090327006631603</v>
      </c>
      <c r="K360" s="19" t="n">
        <v>50.7</v>
      </c>
      <c r="L360" s="17" t="n">
        <f aca="false">IF(K360="","",RANK(K360,$K$5:$K$491))</f>
        <v>248</v>
      </c>
      <c r="M360" s="25" t="n">
        <v>0.235111111111111</v>
      </c>
      <c r="N360" s="19" t="n">
        <v>89.9</v>
      </c>
      <c r="O360" s="17" t="n">
        <f aca="false">IF(N360="","",RANK(N360,$N$5:$N$491))</f>
        <v>51</v>
      </c>
      <c r="P360" s="17" t="str">
        <f aca="false">IF(AND(N(H360)&gt;=N(K360),N(H360)&gt;=N(N360)),"The Pulse",IF(N(K360)&gt;=N(N360),"The Lens","The Hub"))</f>
        <v>The Hub</v>
      </c>
      <c r="Q360" s="21" t="s">
        <v>78</v>
      </c>
      <c r="R360" s="26" t="s">
        <v>668</v>
      </c>
      <c r="S360" s="17" t="s">
        <v>126</v>
      </c>
    </row>
    <row r="361" customFormat="false" ht="15" hidden="false" customHeight="false" outlineLevel="0" collapsed="false">
      <c r="A361" s="17" t="s">
        <v>1470</v>
      </c>
      <c r="B361" s="17" t="s">
        <v>1471</v>
      </c>
      <c r="C361" s="17" t="s">
        <v>2490</v>
      </c>
      <c r="D361" s="17" t="s">
        <v>92</v>
      </c>
      <c r="E361" s="18" t="n">
        <v>44419</v>
      </c>
      <c r="F361" s="17" t="s">
        <v>667</v>
      </c>
      <c r="G361" s="23" t="n">
        <v>0.821045048290146</v>
      </c>
      <c r="H361" s="19" t="n">
        <v>27.4</v>
      </c>
      <c r="I361" s="17" t="n">
        <f aca="false">IF(H361="","",RANK(H361,$H$5:$H$491))</f>
        <v>357</v>
      </c>
      <c r="J361" s="24" t="n">
        <v>0.0759634716469249</v>
      </c>
      <c r="K361" s="19" t="n">
        <v>42.6</v>
      </c>
      <c r="L361" s="17" t="n">
        <f aca="false">IF(K361="","",RANK(K361,$K$5:$K$491))</f>
        <v>290</v>
      </c>
      <c r="M361" s="25" t="n">
        <v>0.0638621388748099</v>
      </c>
      <c r="N361" s="19" t="n">
        <v>37.7</v>
      </c>
      <c r="O361" s="17" t="n">
        <f aca="false">IF(N361="","",RANK(N361,$N$5:$N$491))</f>
        <v>309</v>
      </c>
      <c r="P361" s="17" t="str">
        <f aca="false">IF(AND(N(H361)&gt;=N(K361),N(H361)&gt;=N(N361)),"The Pulse",IF(N(K361)&gt;=N(N361),"The Lens","The Hub"))</f>
        <v>The Lens</v>
      </c>
      <c r="Q361" s="20" t="s">
        <v>74</v>
      </c>
      <c r="R361" s="26" t="s">
        <v>668</v>
      </c>
      <c r="S361" s="17" t="s">
        <v>19</v>
      </c>
    </row>
    <row r="362" customFormat="false" ht="15" hidden="false" customHeight="false" outlineLevel="0" collapsed="false">
      <c r="A362" s="17" t="s">
        <v>2491</v>
      </c>
      <c r="B362" s="17" t="s">
        <v>2492</v>
      </c>
      <c r="C362" s="17" t="s">
        <v>2493</v>
      </c>
      <c r="D362" s="17" t="s">
        <v>133</v>
      </c>
      <c r="E362" s="18" t="n">
        <v>16785</v>
      </c>
      <c r="F362" s="17" t="s">
        <v>667</v>
      </c>
      <c r="G362" s="23" t="n">
        <v>0.816085790884719</v>
      </c>
      <c r="H362" s="19" t="n">
        <v>27.2</v>
      </c>
      <c r="I362" s="17" t="n">
        <f aca="false">IF(H362="","",RANK(H362,$H$5:$H$491))</f>
        <v>358</v>
      </c>
      <c r="J362" s="24" t="n">
        <v>0.102680331099724</v>
      </c>
      <c r="K362" s="19" t="n">
        <v>55</v>
      </c>
      <c r="L362" s="17" t="n">
        <f aca="false">IF(K362="","",RANK(K362,$K$5:$K$491))</f>
        <v>227</v>
      </c>
      <c r="M362" s="25" t="n">
        <v>0.0940892641737033</v>
      </c>
      <c r="N362" s="19" t="n">
        <v>51.4</v>
      </c>
      <c r="O362" s="17" t="n">
        <f aca="false">IF(N362="","",RANK(N362,$N$5:$N$491))</f>
        <v>241</v>
      </c>
      <c r="P362" s="17" t="str">
        <f aca="false">IF(AND(N(H362)&gt;=N(K362),N(H362)&gt;=N(N362)),"The Pulse",IF(N(K362)&gt;=N(N362),"The Lens","The Hub"))</f>
        <v>The Lens</v>
      </c>
      <c r="Q362" s="20" t="s">
        <v>74</v>
      </c>
      <c r="R362" s="26" t="s">
        <v>668</v>
      </c>
      <c r="S362" s="17" t="s">
        <v>19</v>
      </c>
    </row>
    <row r="363" customFormat="false" ht="15" hidden="false" customHeight="false" outlineLevel="0" collapsed="false">
      <c r="A363" s="17" t="s">
        <v>1780</v>
      </c>
      <c r="B363" s="17" t="s">
        <v>1781</v>
      </c>
      <c r="C363" s="17" t="s">
        <v>2494</v>
      </c>
      <c r="D363" s="17" t="s">
        <v>77</v>
      </c>
      <c r="E363" s="18" t="n">
        <v>15904</v>
      </c>
      <c r="F363" s="17" t="s">
        <v>667</v>
      </c>
      <c r="G363" s="23" t="n">
        <v>0.805394869215292</v>
      </c>
      <c r="H363" s="19" t="n">
        <v>27</v>
      </c>
      <c r="I363" s="17" t="n">
        <f aca="false">IF(H363="","",RANK(H363,$H$5:$H$491))</f>
        <v>359</v>
      </c>
      <c r="J363" s="24" t="n">
        <v>0.0267269205939316</v>
      </c>
      <c r="K363" s="19" t="n">
        <v>19.1</v>
      </c>
      <c r="L363" s="17" t="n">
        <f aca="false">IF(K363="","",RANK(K363,$K$5:$K$491))</f>
        <v>395</v>
      </c>
      <c r="M363" s="25" t="n">
        <v>0.134228187919463</v>
      </c>
      <c r="N363" s="19" t="n">
        <v>67</v>
      </c>
      <c r="O363" s="17" t="n">
        <f aca="false">IF(N363="","",RANK(N363,$N$5:$N$491))</f>
        <v>163</v>
      </c>
      <c r="P363" s="17" t="str">
        <f aca="false">IF(AND(N(H363)&gt;=N(K363),N(H363)&gt;=N(N363)),"The Pulse",IF(N(K363)&gt;=N(N363),"The Lens","The Hub"))</f>
        <v>The Hub</v>
      </c>
      <c r="Q363" s="20" t="s">
        <v>74</v>
      </c>
      <c r="R363" s="26" t="s">
        <v>668</v>
      </c>
      <c r="S363" s="17" t="s">
        <v>19</v>
      </c>
    </row>
    <row r="364" customFormat="false" ht="15" hidden="false" customHeight="false" outlineLevel="0" collapsed="false">
      <c r="A364" s="17" t="s">
        <v>770</v>
      </c>
      <c r="B364" s="17" t="s">
        <v>771</v>
      </c>
      <c r="C364" s="17" t="s">
        <v>2495</v>
      </c>
      <c r="D364" s="17" t="s">
        <v>133</v>
      </c>
      <c r="E364" s="18" t="n">
        <v>916040</v>
      </c>
      <c r="F364" s="17" t="s">
        <v>670</v>
      </c>
      <c r="G364" s="23" t="n">
        <v>0.802819745862626</v>
      </c>
      <c r="H364" s="19" t="n">
        <v>26.8</v>
      </c>
      <c r="I364" s="17" t="n">
        <f aca="false">IF(H364="","",RANK(H364,$H$5:$H$491))</f>
        <v>360</v>
      </c>
      <c r="J364" s="24" t="n">
        <v>0.240305459272097</v>
      </c>
      <c r="K364" s="19" t="n">
        <v>96.4</v>
      </c>
      <c r="L364" s="17" t="n">
        <f aca="false">IF(K364="","",RANK(K364,$K$5:$K$491))</f>
        <v>21</v>
      </c>
      <c r="M364" s="25" t="n">
        <v>0.162629597986469</v>
      </c>
      <c r="N364" s="19" t="n">
        <v>74.3</v>
      </c>
      <c r="O364" s="17" t="n">
        <f aca="false">IF(N364="","",RANK(N364,$N$5:$N$491))</f>
        <v>127</v>
      </c>
      <c r="P364" s="17" t="str">
        <f aca="false">IF(AND(N(H364)&gt;=N(K364),N(H364)&gt;=N(N364)),"The Pulse",IF(N(K364)&gt;=N(N364),"The Lens","The Hub"))</f>
        <v>The Lens</v>
      </c>
      <c r="Q364" s="21" t="s">
        <v>78</v>
      </c>
      <c r="R364" s="26" t="s">
        <v>668</v>
      </c>
      <c r="S364" s="17" t="s">
        <v>21</v>
      </c>
    </row>
    <row r="365" customFormat="false" ht="15" hidden="false" customHeight="false" outlineLevel="0" collapsed="false">
      <c r="A365" s="17" t="s">
        <v>523</v>
      </c>
      <c r="B365" s="17" t="s">
        <v>524</v>
      </c>
      <c r="C365" s="17" t="s">
        <v>2496</v>
      </c>
      <c r="D365" s="17" t="s">
        <v>105</v>
      </c>
      <c r="E365" s="18" t="n">
        <v>28605</v>
      </c>
      <c r="F365" s="17" t="s">
        <v>667</v>
      </c>
      <c r="G365" s="23" t="n">
        <v>0.799021150148575</v>
      </c>
      <c r="H365" s="19" t="n">
        <v>26.6</v>
      </c>
      <c r="I365" s="17" t="n">
        <f aca="false">IF(H365="","",RANK(H365,$H$5:$H$491))</f>
        <v>361</v>
      </c>
      <c r="J365" s="24" t="n">
        <v>0.00115497690046199</v>
      </c>
      <c r="K365" s="19" t="n">
        <v>11</v>
      </c>
      <c r="L365" s="17" t="n">
        <f aca="false">IF(K365="","",RANK(K365,$K$5:$K$491))</f>
        <v>434</v>
      </c>
      <c r="M365" s="25" t="n">
        <v>0.108135421930268</v>
      </c>
      <c r="N365" s="19" t="n">
        <v>58.7</v>
      </c>
      <c r="O365" s="17" t="n">
        <f aca="false">IF(N365="","",RANK(N365,$N$5:$N$491))</f>
        <v>205</v>
      </c>
      <c r="P365" s="17" t="str">
        <f aca="false">IF(AND(N(H365)&gt;=N(K365),N(H365)&gt;=N(N365)),"The Pulse",IF(N(K365)&gt;=N(N365),"The Lens","The Hub"))</f>
        <v>The Hub</v>
      </c>
      <c r="Q365" s="21" t="s">
        <v>78</v>
      </c>
      <c r="R365" s="27" t="s">
        <v>671</v>
      </c>
      <c r="S365" s="17" t="s">
        <v>126</v>
      </c>
    </row>
    <row r="366" customFormat="false" ht="15" hidden="false" customHeight="false" outlineLevel="0" collapsed="false">
      <c r="A366" s="17" t="s">
        <v>2497</v>
      </c>
      <c r="B366" s="17" t="s">
        <v>2498</v>
      </c>
      <c r="C366" s="17" t="s">
        <v>2499</v>
      </c>
      <c r="D366" s="17" t="s">
        <v>77</v>
      </c>
      <c r="E366" s="18" t="n">
        <v>3442</v>
      </c>
      <c r="F366" s="17" t="s">
        <v>678</v>
      </c>
      <c r="G366" s="23" t="n">
        <v>0.796629866356769</v>
      </c>
      <c r="H366" s="19" t="n">
        <v>26.4</v>
      </c>
      <c r="I366" s="17" t="n">
        <f aca="false">IF(H366="","",RANK(H366,$H$5:$H$491))</f>
        <v>362</v>
      </c>
      <c r="J366" s="24" t="n">
        <v>0.1386040357261</v>
      </c>
      <c r="K366" s="19" t="n">
        <v>69.3</v>
      </c>
      <c r="L366" s="17" t="n">
        <f aca="false">IF(K366="","",RANK(K366,$K$5:$K$491))</f>
        <v>156</v>
      </c>
      <c r="M366" s="25" t="n">
        <v>0.0704225352112676</v>
      </c>
      <c r="N366" s="19" t="n">
        <v>40.2</v>
      </c>
      <c r="O366" s="17" t="n">
        <f aca="false">IF(N366="","",RANK(N366,$N$5:$N$491))</f>
        <v>298</v>
      </c>
      <c r="P366" s="17" t="str">
        <f aca="false">IF(AND(N(H366)&gt;=N(K366),N(H366)&gt;=N(N366)),"The Pulse",IF(N(K366)&gt;=N(N366),"The Lens","The Hub"))</f>
        <v>The Lens</v>
      </c>
      <c r="Q366" s="20" t="s">
        <v>74</v>
      </c>
      <c r="R366" s="26" t="s">
        <v>668</v>
      </c>
      <c r="S366" s="17" t="s">
        <v>19</v>
      </c>
    </row>
    <row r="367" customFormat="false" ht="15" hidden="false" customHeight="false" outlineLevel="0" collapsed="false">
      <c r="A367" s="17" t="s">
        <v>2500</v>
      </c>
      <c r="B367" s="17" t="s">
        <v>2501</v>
      </c>
      <c r="C367" s="17" t="s">
        <v>2502</v>
      </c>
      <c r="D367" s="17" t="s">
        <v>81</v>
      </c>
      <c r="E367" s="18" t="n">
        <v>248173</v>
      </c>
      <c r="F367" s="17" t="s">
        <v>670</v>
      </c>
      <c r="G367" s="23" t="n">
        <v>0.790549334536795</v>
      </c>
      <c r="H367" s="19" t="n">
        <v>26.2</v>
      </c>
      <c r="I367" s="17" t="n">
        <f aca="false">IF(H367="","",RANK(H367,$H$5:$H$491))</f>
        <v>363</v>
      </c>
      <c r="J367" s="24" t="n">
        <v>0.20135251575676</v>
      </c>
      <c r="K367" s="19" t="n">
        <v>91</v>
      </c>
      <c r="L367" s="17" t="n">
        <f aca="false">IF(K367="","",RANK(K367,$K$5:$K$491))</f>
        <v>45</v>
      </c>
      <c r="M367" s="25" t="n">
        <v>0.16243216576221</v>
      </c>
      <c r="N367" s="19" t="n">
        <v>74.1</v>
      </c>
      <c r="O367" s="17" t="n">
        <f aca="false">IF(N367="","",RANK(N367,$N$5:$N$491))</f>
        <v>128</v>
      </c>
      <c r="P367" s="17" t="str">
        <f aca="false">IF(AND(N(H367)&gt;=N(K367),N(H367)&gt;=N(N367)),"The Pulse",IF(N(K367)&gt;=N(N367),"The Lens","The Hub"))</f>
        <v>The Lens</v>
      </c>
      <c r="Q367" s="20" t="s">
        <v>74</v>
      </c>
      <c r="R367" s="26" t="s">
        <v>668</v>
      </c>
      <c r="S367" s="17" t="s">
        <v>19</v>
      </c>
    </row>
    <row r="368" customFormat="false" ht="15" hidden="false" customHeight="false" outlineLevel="0" collapsed="false">
      <c r="A368" s="17" t="s">
        <v>2503</v>
      </c>
      <c r="B368" s="17" t="s">
        <v>2504</v>
      </c>
      <c r="C368" s="17" t="s">
        <v>2505</v>
      </c>
      <c r="D368" s="17" t="s">
        <v>72</v>
      </c>
      <c r="E368" s="18" t="n">
        <v>24962</v>
      </c>
      <c r="F368" s="17" t="s">
        <v>667</v>
      </c>
      <c r="G368" s="23" t="n">
        <v>0.788871149877341</v>
      </c>
      <c r="H368" s="19" t="n">
        <v>26</v>
      </c>
      <c r="I368" s="17" t="n">
        <f aca="false">IF(H368="","",RANK(H368,$H$5:$H$491))</f>
        <v>364</v>
      </c>
      <c r="J368" s="24" t="n">
        <v>0.126647409279653</v>
      </c>
      <c r="K368" s="19" t="n">
        <v>68.8</v>
      </c>
      <c r="L368" s="17" t="n">
        <f aca="false">IF(K368="","",RANK(K368,$K$5:$K$491))</f>
        <v>159</v>
      </c>
      <c r="M368" s="25" t="n">
        <v>0.00181488203266788</v>
      </c>
      <c r="N368" s="19" t="n">
        <v>2.3</v>
      </c>
      <c r="O368" s="17" t="n">
        <f aca="false">IF(N368="","",RANK(N368,$N$5:$N$491))</f>
        <v>476</v>
      </c>
      <c r="P368" s="17" t="str">
        <f aca="false">IF(AND(N(H368)&gt;=N(K368),N(H368)&gt;=N(N368)),"The Pulse",IF(N(K368)&gt;=N(N368),"The Lens","The Hub"))</f>
        <v>The Lens</v>
      </c>
      <c r="Q368" s="22" t="s">
        <v>83</v>
      </c>
      <c r="R368" s="26" t="s">
        <v>668</v>
      </c>
      <c r="S368" s="17" t="s">
        <v>204</v>
      </c>
    </row>
    <row r="369" customFormat="false" ht="15" hidden="false" customHeight="false" outlineLevel="0" collapsed="false">
      <c r="A369" s="17" t="s">
        <v>2506</v>
      </c>
      <c r="B369" s="17" t="s">
        <v>2507</v>
      </c>
      <c r="C369" s="17" t="s">
        <v>2508</v>
      </c>
      <c r="D369" s="17" t="s">
        <v>92</v>
      </c>
      <c r="E369" s="18" t="n">
        <v>61947</v>
      </c>
      <c r="F369" s="17" t="s">
        <v>667</v>
      </c>
      <c r="G369" s="23" t="n">
        <v>0.787867047637497</v>
      </c>
      <c r="H369" s="19" t="n">
        <v>25.9</v>
      </c>
      <c r="I369" s="17" t="n">
        <f aca="false">IF(H369="","",RANK(H369,$H$5:$H$491))</f>
        <v>365</v>
      </c>
      <c r="J369" s="24" t="n">
        <v>0.152245080168149</v>
      </c>
      <c r="K369" s="19" t="n">
        <v>78.4</v>
      </c>
      <c r="L369" s="17" t="n">
        <f aca="false">IF(K369="","",RANK(K369,$K$5:$K$491))</f>
        <v>110</v>
      </c>
      <c r="M369" s="25" t="n">
        <v>0.0856334041047417</v>
      </c>
      <c r="N369" s="19" t="n">
        <v>47.4</v>
      </c>
      <c r="O369" s="17" t="n">
        <f aca="false">IF(N369="","",RANK(N369,$N$5:$N$491))</f>
        <v>260</v>
      </c>
      <c r="P369" s="17" t="str">
        <f aca="false">IF(AND(N(H369)&gt;=N(K369),N(H369)&gt;=N(N369)),"The Pulse",IF(N(K369)&gt;=N(N369),"The Lens","The Hub"))</f>
        <v>The Lens</v>
      </c>
      <c r="Q369" s="20" t="s">
        <v>74</v>
      </c>
      <c r="R369" s="26" t="s">
        <v>668</v>
      </c>
      <c r="S369" s="17" t="s">
        <v>19</v>
      </c>
    </row>
    <row r="370" customFormat="false" ht="15" hidden="false" customHeight="false" outlineLevel="0" collapsed="false">
      <c r="A370" s="17" t="s">
        <v>2509</v>
      </c>
      <c r="B370" s="17" t="s">
        <v>2510</v>
      </c>
      <c r="C370" s="17" t="s">
        <v>2511</v>
      </c>
      <c r="D370" s="17" t="s">
        <v>77</v>
      </c>
      <c r="E370" s="18" t="n">
        <v>1396088</v>
      </c>
      <c r="F370" s="17" t="s">
        <v>752</v>
      </c>
      <c r="G370" s="23" t="n">
        <v>0.784295832354408</v>
      </c>
      <c r="H370" s="19" t="n">
        <v>25.7</v>
      </c>
      <c r="I370" s="17" t="n">
        <f aca="false">IF(H370="","",RANK(H370,$H$5:$H$491))</f>
        <v>366</v>
      </c>
      <c r="J370" s="24" t="n">
        <v>0.0455473424850405</v>
      </c>
      <c r="K370" s="19" t="n">
        <v>40</v>
      </c>
      <c r="L370" s="17" t="n">
        <f aca="false">IF(K370="","",RANK(K370,$K$5:$K$491))</f>
        <v>302</v>
      </c>
      <c r="M370" s="25" t="n">
        <v>0.113699734605436</v>
      </c>
      <c r="N370" s="19" t="n">
        <v>60.6</v>
      </c>
      <c r="O370" s="17" t="n">
        <f aca="false">IF(N370="","",RANK(N370,$N$5:$N$491))</f>
        <v>195</v>
      </c>
      <c r="P370" s="17" t="str">
        <f aca="false">IF(AND(N(H370)&gt;=N(K370),N(H370)&gt;=N(N370)),"The Pulse",IF(N(K370)&gt;=N(N370),"The Lens","The Hub"))</f>
        <v>The Hub</v>
      </c>
      <c r="Q370" s="20" t="s">
        <v>74</v>
      </c>
      <c r="R370" s="26" t="s">
        <v>668</v>
      </c>
      <c r="S370" s="17" t="s">
        <v>19</v>
      </c>
    </row>
    <row r="371" customFormat="false" ht="15" hidden="false" customHeight="false" outlineLevel="0" collapsed="false">
      <c r="A371" s="17" t="s">
        <v>2512</v>
      </c>
      <c r="B371" s="17" t="s">
        <v>2513</v>
      </c>
      <c r="C371" s="17" t="s">
        <v>2514</v>
      </c>
      <c r="D371" s="17" t="s">
        <v>102</v>
      </c>
      <c r="E371" s="18" t="n">
        <v>207690</v>
      </c>
      <c r="F371" s="17" t="s">
        <v>670</v>
      </c>
      <c r="G371" s="23" t="n">
        <v>0.780730897009967</v>
      </c>
      <c r="H371" s="19" t="n">
        <v>25.5</v>
      </c>
      <c r="I371" s="17" t="n">
        <f aca="false">IF(H371="","",RANK(H371,$H$5:$H$491))</f>
        <v>367</v>
      </c>
      <c r="J371" s="24" t="n">
        <v>0.0368687751179451</v>
      </c>
      <c r="K371" s="19" t="n">
        <v>28.3</v>
      </c>
      <c r="L371" s="17" t="n">
        <f aca="false">IF(K371="","",RANK(K371,$K$5:$K$491))</f>
        <v>354</v>
      </c>
      <c r="M371" s="25" t="n">
        <v>0.0181407447973713</v>
      </c>
      <c r="N371" s="19" t="n">
        <v>11.6</v>
      </c>
      <c r="O371" s="17" t="n">
        <f aca="false">IF(N371="","",RANK(N371,$N$5:$N$491))</f>
        <v>435</v>
      </c>
      <c r="P371" s="17" t="str">
        <f aca="false">IF(AND(N(H371)&gt;=N(K371),N(H371)&gt;=N(N371)),"The Pulse",IF(N(K371)&gt;=N(N371),"The Lens","The Hub"))</f>
        <v>The Lens</v>
      </c>
      <c r="Q371" s="20" t="s">
        <v>74</v>
      </c>
      <c r="R371" s="26" t="s">
        <v>668</v>
      </c>
      <c r="S371" s="17" t="s">
        <v>19</v>
      </c>
    </row>
    <row r="372" customFormat="false" ht="15" hidden="false" customHeight="false" outlineLevel="0" collapsed="false">
      <c r="A372" s="17" t="s">
        <v>261</v>
      </c>
      <c r="B372" s="17" t="s">
        <v>262</v>
      </c>
      <c r="C372" s="17" t="s">
        <v>2515</v>
      </c>
      <c r="D372" s="17" t="s">
        <v>81</v>
      </c>
      <c r="E372" s="18" t="n">
        <v>57057</v>
      </c>
      <c r="F372" s="17" t="s">
        <v>667</v>
      </c>
      <c r="G372" s="23" t="n">
        <v>0.773472141893195</v>
      </c>
      <c r="H372" s="19" t="n">
        <v>25.3</v>
      </c>
      <c r="I372" s="17" t="n">
        <f aca="false">IF(H372="","",RANK(H372,$H$5:$H$491))</f>
        <v>368</v>
      </c>
      <c r="J372" s="24" t="n">
        <v>-0.00312740233419526</v>
      </c>
      <c r="K372" s="19" t="n">
        <v>9.9</v>
      </c>
      <c r="L372" s="17" t="n">
        <f aca="false">IF(K372="","",RANK(K372,$K$5:$K$491))</f>
        <v>441</v>
      </c>
      <c r="M372" s="25" t="n">
        <v>0.301092459365841</v>
      </c>
      <c r="N372" s="19" t="n">
        <v>95.8</v>
      </c>
      <c r="O372" s="17" t="n">
        <f aca="false">IF(N372="","",RANK(N372,$N$5:$N$491))</f>
        <v>21</v>
      </c>
      <c r="P372" s="17" t="str">
        <f aca="false">IF(AND(N(H372)&gt;=N(K372),N(H372)&gt;=N(N372)),"The Pulse",IF(N(K372)&gt;=N(N372),"The Lens","The Hub"))</f>
        <v>The Hub</v>
      </c>
      <c r="Q372" s="20" t="s">
        <v>74</v>
      </c>
      <c r="R372" s="27" t="s">
        <v>671</v>
      </c>
      <c r="S372" s="17" t="s">
        <v>19</v>
      </c>
    </row>
    <row r="373" customFormat="false" ht="15" hidden="false" customHeight="false" outlineLevel="0" collapsed="false">
      <c r="A373" s="17" t="s">
        <v>2516</v>
      </c>
      <c r="B373" s="17" t="s">
        <v>2517</v>
      </c>
      <c r="C373" s="17" t="s">
        <v>2518</v>
      </c>
      <c r="D373" s="17" t="s">
        <v>133</v>
      </c>
      <c r="E373" s="18" t="n">
        <v>20513</v>
      </c>
      <c r="F373" s="17" t="s">
        <v>667</v>
      </c>
      <c r="G373" s="23" t="n">
        <v>0.762199580753668</v>
      </c>
      <c r="H373" s="19" t="n">
        <v>24.9</v>
      </c>
      <c r="I373" s="17" t="n">
        <f aca="false">IF(H373="","",RANK(H373,$H$5:$H$491))</f>
        <v>369</v>
      </c>
      <c r="J373" s="24" t="n">
        <v>0.0613100165562914</v>
      </c>
      <c r="K373" s="19" t="n">
        <v>35.8</v>
      </c>
      <c r="L373" s="17" t="n">
        <f aca="false">IF(K373="","",RANK(K373,$K$5:$K$491))</f>
        <v>319</v>
      </c>
      <c r="M373" s="25" t="n">
        <v>0.0302439024390244</v>
      </c>
      <c r="N373" s="19" t="n">
        <v>19.6</v>
      </c>
      <c r="O373" s="17" t="n">
        <f aca="false">IF(N373="","",RANK(N373,$N$5:$N$491))</f>
        <v>397</v>
      </c>
      <c r="P373" s="17" t="str">
        <f aca="false">IF(AND(N(H373)&gt;=N(K373),N(H373)&gt;=N(N373)),"The Pulse",IF(N(K373)&gt;=N(N373),"The Lens","The Hub"))</f>
        <v>The Lens</v>
      </c>
      <c r="Q373" s="20" t="s">
        <v>74</v>
      </c>
      <c r="R373" s="26" t="s">
        <v>668</v>
      </c>
      <c r="S373" s="17" t="s">
        <v>19</v>
      </c>
    </row>
    <row r="374" customFormat="false" ht="15" hidden="false" customHeight="false" outlineLevel="0" collapsed="false">
      <c r="A374" s="17" t="s">
        <v>1842</v>
      </c>
      <c r="B374" s="17" t="s">
        <v>1843</v>
      </c>
      <c r="C374" s="17" t="s">
        <v>2519</v>
      </c>
      <c r="D374" s="17" t="s">
        <v>114</v>
      </c>
      <c r="E374" s="18" t="n">
        <v>64610</v>
      </c>
      <c r="F374" s="17" t="s">
        <v>667</v>
      </c>
      <c r="G374" s="23" t="n">
        <v>0.75896919981427</v>
      </c>
      <c r="H374" s="19" t="n">
        <v>24.7</v>
      </c>
      <c r="I374" s="17" t="n">
        <f aca="false">IF(H374="","",RANK(H374,$H$5:$H$491))</f>
        <v>370</v>
      </c>
      <c r="J374" s="24" t="n">
        <v>0.0599448782728526</v>
      </c>
      <c r="K374" s="19" t="n">
        <v>34.8</v>
      </c>
      <c r="L374" s="17" t="n">
        <f aca="false">IF(K374="","",RANK(K374,$K$5:$K$491))</f>
        <v>324</v>
      </c>
      <c r="M374" s="25" t="n">
        <v>0.0309977397481434</v>
      </c>
      <c r="N374" s="19" t="n">
        <v>20</v>
      </c>
      <c r="O374" s="17" t="n">
        <f aca="false">IF(N374="","",RANK(N374,$N$5:$N$491))</f>
        <v>395</v>
      </c>
      <c r="P374" s="17" t="str">
        <f aca="false">IF(AND(N(H374)&gt;=N(K374),N(H374)&gt;=N(N374)),"The Pulse",IF(N(K374)&gt;=N(N374),"The Lens","The Hub"))</f>
        <v>The Lens</v>
      </c>
      <c r="Q374" s="20" t="s">
        <v>74</v>
      </c>
      <c r="R374" s="26" t="s">
        <v>668</v>
      </c>
      <c r="S374" s="17" t="s">
        <v>19</v>
      </c>
    </row>
    <row r="375" customFormat="false" ht="15" hidden="false" customHeight="false" outlineLevel="0" collapsed="false">
      <c r="A375" s="17" t="s">
        <v>393</v>
      </c>
      <c r="B375" s="17" t="s">
        <v>394</v>
      </c>
      <c r="C375" s="17" t="s">
        <v>2520</v>
      </c>
      <c r="D375" s="17" t="s">
        <v>105</v>
      </c>
      <c r="E375" s="18" t="n">
        <v>9153</v>
      </c>
      <c r="F375" s="17" t="s">
        <v>678</v>
      </c>
      <c r="G375" s="23" t="n">
        <v>0.753632688735934</v>
      </c>
      <c r="H375" s="19" t="n">
        <v>24.5</v>
      </c>
      <c r="I375" s="17" t="n">
        <f aca="false">IF(H375="","",RANK(H375,$H$5:$H$491))</f>
        <v>371</v>
      </c>
      <c r="J375" s="24" t="n">
        <v>0.0141828254847645</v>
      </c>
      <c r="K375" s="19" t="n">
        <v>9.3</v>
      </c>
      <c r="L375" s="17" t="n">
        <f aca="false">IF(K375="","",RANK(K375,$K$5:$K$491))</f>
        <v>444</v>
      </c>
      <c r="M375" s="25" t="n">
        <v>0.205761316872428</v>
      </c>
      <c r="N375" s="19" t="n">
        <v>84.2</v>
      </c>
      <c r="O375" s="17" t="n">
        <f aca="false">IF(N375="","",RANK(N375,$N$5:$N$491))</f>
        <v>79</v>
      </c>
      <c r="P375" s="17" t="str">
        <f aca="false">IF(AND(N(H375)&gt;=N(K375),N(H375)&gt;=N(N375)),"The Pulse",IF(N(K375)&gt;=N(N375),"The Lens","The Hub"))</f>
        <v>The Hub</v>
      </c>
      <c r="Q375" s="20" t="s">
        <v>74</v>
      </c>
      <c r="R375" s="27" t="s">
        <v>671</v>
      </c>
      <c r="S375" s="17" t="s">
        <v>19</v>
      </c>
    </row>
    <row r="376" customFormat="false" ht="15" hidden="false" customHeight="false" outlineLevel="0" collapsed="false">
      <c r="A376" s="17" t="s">
        <v>553</v>
      </c>
      <c r="B376" s="17" t="s">
        <v>554</v>
      </c>
      <c r="C376" s="17" t="s">
        <v>2521</v>
      </c>
      <c r="D376" s="17" t="s">
        <v>87</v>
      </c>
      <c r="E376" s="18" t="n">
        <v>109653</v>
      </c>
      <c r="F376" s="17" t="s">
        <v>670</v>
      </c>
      <c r="G376" s="23" t="n">
        <v>0.753066491568858</v>
      </c>
      <c r="H376" s="19" t="n">
        <v>24.3</v>
      </c>
      <c r="I376" s="17" t="n">
        <f aca="false">IF(H376="","",RANK(H376,$H$5:$H$491))</f>
        <v>372</v>
      </c>
      <c r="J376" s="24" t="n">
        <v>0.144663082624354</v>
      </c>
      <c r="K376" s="19" t="n">
        <v>78.9</v>
      </c>
      <c r="L376" s="17" t="n">
        <f aca="false">IF(K376="","",RANK(K376,$K$5:$K$491))</f>
        <v>107</v>
      </c>
      <c r="M376" s="25" t="n">
        <v>0.0121203052521323</v>
      </c>
      <c r="N376" s="19" t="n">
        <v>8</v>
      </c>
      <c r="O376" s="17" t="n">
        <f aca="false">IF(N376="","",RANK(N376,$N$5:$N$491))</f>
        <v>451</v>
      </c>
      <c r="P376" s="17" t="str">
        <f aca="false">IF(AND(N(H376)&gt;=N(K376),N(H376)&gt;=N(N376)),"The Pulse",IF(N(K376)&gt;=N(N376),"The Lens","The Hub"))</f>
        <v>The Lens</v>
      </c>
      <c r="Q376" s="20" t="s">
        <v>74</v>
      </c>
      <c r="R376" s="27" t="s">
        <v>671</v>
      </c>
      <c r="S376" s="17" t="s">
        <v>19</v>
      </c>
    </row>
    <row r="377" customFormat="false" ht="15" hidden="false" customHeight="false" outlineLevel="0" collapsed="false">
      <c r="A377" s="17" t="s">
        <v>1839</v>
      </c>
      <c r="B377" s="17" t="s">
        <v>1840</v>
      </c>
      <c r="C377" s="17" t="s">
        <v>2522</v>
      </c>
      <c r="D377" s="17" t="s">
        <v>138</v>
      </c>
      <c r="E377" s="18" t="n">
        <v>5547</v>
      </c>
      <c r="F377" s="17" t="s">
        <v>678</v>
      </c>
      <c r="G377" s="23" t="n">
        <v>0.752298539751217</v>
      </c>
      <c r="H377" s="19" t="n">
        <v>24.1</v>
      </c>
      <c r="I377" s="17" t="n">
        <f aca="false">IF(H377="","",RANK(H377,$H$5:$H$491))</f>
        <v>373</v>
      </c>
      <c r="J377" s="24" t="n">
        <v>0.0241875923190547</v>
      </c>
      <c r="K377" s="19" t="n">
        <v>16</v>
      </c>
      <c r="L377" s="17" t="n">
        <f aca="false">IF(K377="","",RANK(K377,$K$5:$K$491))</f>
        <v>411</v>
      </c>
      <c r="M377" s="25" t="n">
        <v>0.41866028708134</v>
      </c>
      <c r="N377" s="19" t="n">
        <v>99.2</v>
      </c>
      <c r="O377" s="17" t="n">
        <f aca="false">IF(N377="","",RANK(N377,$N$5:$N$491))</f>
        <v>5</v>
      </c>
      <c r="P377" s="17" t="str">
        <f aca="false">IF(AND(N(H377)&gt;=N(K377),N(H377)&gt;=N(N377)),"The Pulse",IF(N(K377)&gt;=N(N377),"The Lens","The Hub"))</f>
        <v>The Hub</v>
      </c>
      <c r="Q377" s="20" t="s">
        <v>74</v>
      </c>
      <c r="R377" s="26" t="s">
        <v>668</v>
      </c>
      <c r="S377" s="17" t="s">
        <v>19</v>
      </c>
    </row>
    <row r="378" customFormat="false" ht="15" hidden="false" customHeight="false" outlineLevel="0" collapsed="false">
      <c r="A378" s="17" t="s">
        <v>407</v>
      </c>
      <c r="B378" s="17" t="s">
        <v>408</v>
      </c>
      <c r="C378" s="17" t="s">
        <v>2523</v>
      </c>
      <c r="D378" s="17" t="s">
        <v>72</v>
      </c>
      <c r="E378" s="18" t="n">
        <v>57198</v>
      </c>
      <c r="F378" s="17" t="s">
        <v>667</v>
      </c>
      <c r="G378" s="23" t="n">
        <v>0.748207979299976</v>
      </c>
      <c r="H378" s="19" t="n">
        <v>23.8</v>
      </c>
      <c r="I378" s="17" t="n">
        <f aca="false">IF(H378="","",RANK(H378,$H$5:$H$491))</f>
        <v>374</v>
      </c>
      <c r="J378" s="24" t="n">
        <v>0.0358203549438609</v>
      </c>
      <c r="K378" s="19" t="n">
        <v>24.1</v>
      </c>
      <c r="L378" s="17" t="n">
        <f aca="false">IF(K378="","",RANK(K378,$K$5:$K$491))</f>
        <v>372</v>
      </c>
      <c r="M378" s="25" t="n">
        <v>0.0607446113651208</v>
      </c>
      <c r="N378" s="19" t="n">
        <v>36.2</v>
      </c>
      <c r="O378" s="17" t="n">
        <f aca="false">IF(N378="","",RANK(N378,$N$5:$N$491))</f>
        <v>317</v>
      </c>
      <c r="P378" s="17" t="str">
        <f aca="false">IF(AND(N(H378)&gt;=N(K378),N(H378)&gt;=N(N378)),"The Pulse",IF(N(K378)&gt;=N(N378),"The Lens","The Hub"))</f>
        <v>The Hub</v>
      </c>
      <c r="Q378" s="20" t="s">
        <v>74</v>
      </c>
      <c r="R378" s="27" t="s">
        <v>671</v>
      </c>
      <c r="S378" s="17" t="s">
        <v>19</v>
      </c>
    </row>
    <row r="379" customFormat="false" ht="15" hidden="false" customHeight="false" outlineLevel="0" collapsed="false">
      <c r="A379" s="17" t="s">
        <v>202</v>
      </c>
      <c r="B379" s="17" t="s">
        <v>203</v>
      </c>
      <c r="C379" s="17" t="s">
        <v>2524</v>
      </c>
      <c r="D379" s="17" t="s">
        <v>92</v>
      </c>
      <c r="E379" s="18" t="n">
        <v>34789</v>
      </c>
      <c r="F379" s="17" t="s">
        <v>667</v>
      </c>
      <c r="G379" s="23" t="n">
        <v>0.745954180919256</v>
      </c>
      <c r="H379" s="19" t="n">
        <v>23.6</v>
      </c>
      <c r="I379" s="17" t="n">
        <f aca="false">IF(H379="","",RANK(H379,$H$5:$H$491))</f>
        <v>375</v>
      </c>
      <c r="J379" s="24" t="n">
        <v>0.110688972607113</v>
      </c>
      <c r="K379" s="19" t="n">
        <v>60.3</v>
      </c>
      <c r="L379" s="17" t="n">
        <f aca="false">IF(K379="","",RANK(K379,$K$5:$K$491))</f>
        <v>200</v>
      </c>
      <c r="M379" s="25" t="n">
        <v>0.24287856071964</v>
      </c>
      <c r="N379" s="19" t="n">
        <v>91.2</v>
      </c>
      <c r="O379" s="17" t="n">
        <f aca="false">IF(N379="","",RANK(N379,$N$5:$N$491))</f>
        <v>44</v>
      </c>
      <c r="P379" s="17" t="str">
        <f aca="false">IF(AND(N(H379)&gt;=N(K379),N(H379)&gt;=N(N379)),"The Pulse",IF(N(K379)&gt;=N(N379),"The Lens","The Hub"))</f>
        <v>The Hub</v>
      </c>
      <c r="Q379" s="22" t="s">
        <v>83</v>
      </c>
      <c r="R379" s="27" t="s">
        <v>671</v>
      </c>
      <c r="S379" s="17" t="s">
        <v>17</v>
      </c>
    </row>
    <row r="380" customFormat="false" ht="15" hidden="false" customHeight="false" outlineLevel="0" collapsed="false">
      <c r="A380" s="17" t="s">
        <v>767</v>
      </c>
      <c r="B380" s="17" t="s">
        <v>768</v>
      </c>
      <c r="C380" s="17" t="s">
        <v>2525</v>
      </c>
      <c r="D380" s="17" t="s">
        <v>72</v>
      </c>
      <c r="E380" s="18" t="n">
        <v>30114</v>
      </c>
      <c r="F380" s="17" t="s">
        <v>667</v>
      </c>
      <c r="G380" s="23" t="n">
        <v>0.743840074384008</v>
      </c>
      <c r="H380" s="19" t="n">
        <v>23.4</v>
      </c>
      <c r="I380" s="17" t="n">
        <f aca="false">IF(H380="","",RANK(H380,$H$5:$H$491))</f>
        <v>376</v>
      </c>
      <c r="J380" s="24" t="n">
        <v>0.146588486140725</v>
      </c>
      <c r="K380" s="19" t="n">
        <v>76.2</v>
      </c>
      <c r="L380" s="17" t="n">
        <f aca="false">IF(K380="","",RANK(K380,$K$5:$K$491))</f>
        <v>121</v>
      </c>
      <c r="M380" s="25" t="n">
        <v>0.0817409766454352</v>
      </c>
      <c r="N380" s="19" t="n">
        <v>45.3</v>
      </c>
      <c r="O380" s="17" t="n">
        <f aca="false">IF(N380="","",RANK(N380,$N$5:$N$491))</f>
        <v>271</v>
      </c>
      <c r="P380" s="17" t="str">
        <f aca="false">IF(AND(N(H380)&gt;=N(K380),N(H380)&gt;=N(N380)),"The Pulse",IF(N(K380)&gt;=N(N380),"The Lens","The Hub"))</f>
        <v>The Lens</v>
      </c>
      <c r="Q380" s="20" t="s">
        <v>74</v>
      </c>
      <c r="R380" s="26" t="s">
        <v>668</v>
      </c>
      <c r="S380" s="17" t="s">
        <v>19</v>
      </c>
    </row>
    <row r="381" customFormat="false" ht="15" hidden="false" customHeight="false" outlineLevel="0" collapsed="false">
      <c r="A381" s="17" t="s">
        <v>2526</v>
      </c>
      <c r="B381" s="17" t="s">
        <v>2527</v>
      </c>
      <c r="C381" s="17" t="s">
        <v>2528</v>
      </c>
      <c r="D381" s="17" t="s">
        <v>92</v>
      </c>
      <c r="E381" s="18" t="n">
        <v>3013</v>
      </c>
      <c r="F381" s="17" t="s">
        <v>678</v>
      </c>
      <c r="G381" s="23" t="n">
        <v>0.737802854298042</v>
      </c>
      <c r="H381" s="19" t="n">
        <v>23.2</v>
      </c>
      <c r="I381" s="17" t="n">
        <f aca="false">IF(H381="","",RANK(H381,$H$5:$H$491))</f>
        <v>377</v>
      </c>
      <c r="J381" s="24" t="n">
        <v>0.0590509666080844</v>
      </c>
      <c r="K381" s="19" t="n">
        <v>34.7</v>
      </c>
      <c r="L381" s="17" t="n">
        <f aca="false">IF(K381="","",RANK(K381,$K$5:$K$491))</f>
        <v>325</v>
      </c>
      <c r="M381" s="25" t="n">
        <v>0.252808988764045</v>
      </c>
      <c r="N381" s="19" t="n">
        <v>92.8</v>
      </c>
      <c r="O381" s="17" t="n">
        <f aca="false">IF(N381="","",RANK(N381,$N$5:$N$491))</f>
        <v>36</v>
      </c>
      <c r="P381" s="17" t="str">
        <f aca="false">IF(AND(N(H381)&gt;=N(K381),N(H381)&gt;=N(N381)),"The Pulse",IF(N(K381)&gt;=N(N381),"The Lens","The Hub"))</f>
        <v>The Hub</v>
      </c>
      <c r="Q381" s="20" t="s">
        <v>74</v>
      </c>
      <c r="R381" s="26" t="s">
        <v>668</v>
      </c>
      <c r="S381" s="17" t="s">
        <v>19</v>
      </c>
    </row>
    <row r="382" customFormat="false" ht="15" hidden="false" customHeight="false" outlineLevel="0" collapsed="false">
      <c r="A382" s="17" t="s">
        <v>585</v>
      </c>
      <c r="B382" s="17" t="s">
        <v>586</v>
      </c>
      <c r="C382" s="17" t="s">
        <v>2529</v>
      </c>
      <c r="D382" s="17" t="s">
        <v>138</v>
      </c>
      <c r="E382" s="18" t="n">
        <v>15610</v>
      </c>
      <c r="F382" s="17" t="s">
        <v>667</v>
      </c>
      <c r="G382" s="23" t="n">
        <v>0.733440102498398</v>
      </c>
      <c r="H382" s="19" t="n">
        <v>23</v>
      </c>
      <c r="I382" s="17" t="n">
        <f aca="false">IF(H382="","",RANK(H382,$H$5:$H$491))</f>
        <v>378</v>
      </c>
      <c r="J382" s="24" t="n">
        <v>0.0841783581052924</v>
      </c>
      <c r="K382" s="19" t="n">
        <v>47.5</v>
      </c>
      <c r="L382" s="17" t="n">
        <f aca="false">IF(K382="","",RANK(K382,$K$5:$K$491))</f>
        <v>266</v>
      </c>
      <c r="M382" s="25" t="n">
        <v>0.099009900990099</v>
      </c>
      <c r="N382" s="19" t="n">
        <v>54.1</v>
      </c>
      <c r="O382" s="17" t="n">
        <f aca="false">IF(N382="","",RANK(N382,$N$5:$N$491))</f>
        <v>229</v>
      </c>
      <c r="P382" s="17" t="str">
        <f aca="false">IF(AND(N(H382)&gt;=N(K382),N(H382)&gt;=N(N382)),"The Pulse",IF(N(K382)&gt;=N(N382),"The Lens","The Hub"))</f>
        <v>The Hub</v>
      </c>
      <c r="Q382" s="20" t="s">
        <v>74</v>
      </c>
      <c r="R382" s="27" t="s">
        <v>671</v>
      </c>
      <c r="S382" s="17" t="s">
        <v>19</v>
      </c>
    </row>
    <row r="383" customFormat="false" ht="15" hidden="false" customHeight="false" outlineLevel="0" collapsed="false">
      <c r="A383" s="17" t="s">
        <v>555</v>
      </c>
      <c r="B383" s="17" t="s">
        <v>556</v>
      </c>
      <c r="C383" s="17" t="s">
        <v>2530</v>
      </c>
      <c r="D383" s="17" t="s">
        <v>72</v>
      </c>
      <c r="E383" s="18" t="n">
        <v>25014</v>
      </c>
      <c r="F383" s="17" t="s">
        <v>667</v>
      </c>
      <c r="G383" s="23" t="n">
        <v>0.731110578076277</v>
      </c>
      <c r="H383" s="19" t="n">
        <v>22.8</v>
      </c>
      <c r="I383" s="17" t="n">
        <f aca="false">IF(H383="","",RANK(H383,$H$5:$H$491))</f>
        <v>379</v>
      </c>
      <c r="J383" s="24" t="n">
        <v>0.0342346812205408</v>
      </c>
      <c r="K383" s="19" t="n">
        <v>23</v>
      </c>
      <c r="L383" s="17" t="n">
        <f aca="false">IF(K383="","",RANK(K383,$K$5:$K$491))</f>
        <v>377</v>
      </c>
      <c r="M383" s="25" t="n">
        <v>0.103937007874016</v>
      </c>
      <c r="N383" s="19" t="n">
        <v>57.1</v>
      </c>
      <c r="O383" s="17" t="n">
        <f aca="false">IF(N383="","",RANK(N383,$N$5:$N$491))</f>
        <v>213</v>
      </c>
      <c r="P383" s="17" t="str">
        <f aca="false">IF(AND(N(H383)&gt;=N(K383),N(H383)&gt;=N(N383)),"The Pulse",IF(N(K383)&gt;=N(N383),"The Lens","The Hub"))</f>
        <v>The Hub</v>
      </c>
      <c r="Q383" s="20" t="s">
        <v>74</v>
      </c>
      <c r="R383" s="27" t="s">
        <v>671</v>
      </c>
      <c r="S383" s="17" t="s">
        <v>19</v>
      </c>
    </row>
    <row r="384" customFormat="false" ht="15" hidden="false" customHeight="false" outlineLevel="0" collapsed="false">
      <c r="A384" s="17" t="s">
        <v>2531</v>
      </c>
      <c r="B384" s="17" t="s">
        <v>2532</v>
      </c>
      <c r="C384" s="17" t="s">
        <v>2533</v>
      </c>
      <c r="D384" s="17" t="s">
        <v>77</v>
      </c>
      <c r="E384" s="18" t="n">
        <v>253713</v>
      </c>
      <c r="F384" s="17" t="s">
        <v>670</v>
      </c>
      <c r="G384" s="23" t="n">
        <v>0.729521151852684</v>
      </c>
      <c r="H384" s="19" t="n">
        <v>22.6</v>
      </c>
      <c r="I384" s="17" t="n">
        <f aca="false">IF(H384="","",RANK(H384,$H$5:$H$491))</f>
        <v>380</v>
      </c>
      <c r="J384" s="24" t="n">
        <v>-0.125432177069366</v>
      </c>
      <c r="K384" s="19" t="n">
        <v>1.8</v>
      </c>
      <c r="L384" s="17" t="n">
        <f aca="false">IF(K384="","",RANK(K384,$K$5:$K$491))</f>
        <v>480</v>
      </c>
      <c r="M384" s="25" t="n">
        <v>0.138396401164329</v>
      </c>
      <c r="N384" s="19" t="n">
        <v>68.2</v>
      </c>
      <c r="O384" s="17" t="n">
        <f aca="false">IF(N384="","",RANK(N384,$N$5:$N$491))</f>
        <v>158</v>
      </c>
      <c r="P384" s="17" t="str">
        <f aca="false">IF(AND(N(H384)&gt;=N(K384),N(H384)&gt;=N(N384)),"The Pulse",IF(N(K384)&gt;=N(N384),"The Lens","The Hub"))</f>
        <v>The Hub</v>
      </c>
      <c r="Q384" s="20" t="s">
        <v>74</v>
      </c>
      <c r="R384" s="26" t="s">
        <v>668</v>
      </c>
      <c r="S384" s="17" t="s">
        <v>19</v>
      </c>
    </row>
    <row r="385" customFormat="false" ht="15" hidden="false" customHeight="false" outlineLevel="0" collapsed="false">
      <c r="A385" s="17" t="s">
        <v>1163</v>
      </c>
      <c r="B385" s="17" t="s">
        <v>1164</v>
      </c>
      <c r="C385" s="17" t="s">
        <v>2534</v>
      </c>
      <c r="D385" s="17" t="s">
        <v>87</v>
      </c>
      <c r="E385" s="18" t="n">
        <v>174880</v>
      </c>
      <c r="F385" s="17" t="s">
        <v>670</v>
      </c>
      <c r="G385" s="23" t="n">
        <v>0.727984903934126</v>
      </c>
      <c r="H385" s="19" t="n">
        <v>22.4</v>
      </c>
      <c r="I385" s="17" t="n">
        <f aca="false">IF(H385="","",RANK(H385,$H$5:$H$491))</f>
        <v>381</v>
      </c>
      <c r="J385" s="24" t="n">
        <v>0.180170331079348</v>
      </c>
      <c r="K385" s="19" t="n">
        <v>87.3</v>
      </c>
      <c r="L385" s="17" t="n">
        <f aca="false">IF(K385="","",RANK(K385,$K$5:$K$491))</f>
        <v>63</v>
      </c>
      <c r="M385" s="25" t="n">
        <v>0.0678893654784795</v>
      </c>
      <c r="N385" s="19" t="n">
        <v>38.9</v>
      </c>
      <c r="O385" s="17" t="n">
        <f aca="false">IF(N385="","",RANK(N385,$N$5:$N$491))</f>
        <v>303</v>
      </c>
      <c r="P385" s="17" t="str">
        <f aca="false">IF(AND(N(H385)&gt;=N(K385),N(H385)&gt;=N(N385)),"The Pulse",IF(N(K385)&gt;=N(N385),"The Lens","The Hub"))</f>
        <v>The Lens</v>
      </c>
      <c r="Q385" s="20" t="s">
        <v>74</v>
      </c>
      <c r="R385" s="26" t="s">
        <v>668</v>
      </c>
      <c r="S385" s="17" t="s">
        <v>19</v>
      </c>
    </row>
    <row r="386" customFormat="false" ht="15" hidden="false" customHeight="false" outlineLevel="0" collapsed="false">
      <c r="A386" s="17" t="s">
        <v>309</v>
      </c>
      <c r="B386" s="17" t="s">
        <v>310</v>
      </c>
      <c r="C386" s="17" t="s">
        <v>2535</v>
      </c>
      <c r="D386" s="17" t="s">
        <v>102</v>
      </c>
      <c r="E386" s="18" t="n">
        <v>48167</v>
      </c>
      <c r="F386" s="17" t="s">
        <v>667</v>
      </c>
      <c r="G386" s="23" t="n">
        <v>0.726534764465298</v>
      </c>
      <c r="H386" s="19" t="n">
        <v>22.2</v>
      </c>
      <c r="I386" s="17" t="n">
        <f aca="false">IF(H386="","",RANK(H386,$H$5:$H$491))</f>
        <v>382</v>
      </c>
      <c r="J386" s="24" t="n">
        <v>0.164607461495684</v>
      </c>
      <c r="K386" s="19" t="n">
        <v>83.3</v>
      </c>
      <c r="L386" s="17" t="n">
        <f aca="false">IF(K386="","",RANK(K386,$K$5:$K$491))</f>
        <v>84</v>
      </c>
      <c r="M386" s="25" t="n">
        <v>0.391849529780564</v>
      </c>
      <c r="N386" s="19" t="n">
        <v>98.3</v>
      </c>
      <c r="O386" s="17" t="n">
        <f aca="false">IF(N386="","",RANK(N386,$N$5:$N$491))</f>
        <v>9</v>
      </c>
      <c r="P386" s="17" t="str">
        <f aca="false">IF(AND(N(H386)&gt;=N(K386),N(H386)&gt;=N(N386)),"The Pulse",IF(N(K386)&gt;=N(N386),"The Lens","The Hub"))</f>
        <v>The Hub</v>
      </c>
      <c r="Q386" s="20" t="s">
        <v>74</v>
      </c>
      <c r="R386" s="27" t="s">
        <v>671</v>
      </c>
      <c r="S386" s="17" t="s">
        <v>19</v>
      </c>
    </row>
    <row r="387" customFormat="false" ht="15" hidden="false" customHeight="false" outlineLevel="0" collapsed="false">
      <c r="A387" s="17" t="s">
        <v>285</v>
      </c>
      <c r="B387" s="17" t="s">
        <v>286</v>
      </c>
      <c r="C387" s="17" t="s">
        <v>2536</v>
      </c>
      <c r="D387" s="17" t="s">
        <v>114</v>
      </c>
      <c r="E387" s="18" t="n">
        <v>320800</v>
      </c>
      <c r="F387" s="17" t="s">
        <v>670</v>
      </c>
      <c r="G387" s="23" t="n">
        <v>0.723893391521197</v>
      </c>
      <c r="H387" s="19" t="n">
        <v>22.1</v>
      </c>
      <c r="I387" s="17" t="n">
        <f aca="false">IF(H387="","",RANK(H387,$H$5:$H$491))</f>
        <v>383</v>
      </c>
      <c r="J387" s="24" t="n">
        <v>-0.0107863754941443</v>
      </c>
      <c r="K387" s="19" t="n">
        <v>11.4</v>
      </c>
      <c r="L387" s="17" t="n">
        <f aca="false">IF(K387="","",RANK(K387,$K$5:$K$491))</f>
        <v>432</v>
      </c>
      <c r="M387" s="25" t="n">
        <v>0.100261500059432</v>
      </c>
      <c r="N387" s="19" t="n">
        <v>55</v>
      </c>
      <c r="O387" s="17" t="n">
        <f aca="false">IF(N387="","",RANK(N387,$N$5:$N$491))</f>
        <v>224</v>
      </c>
      <c r="P387" s="17" t="str">
        <f aca="false">IF(AND(N(H387)&gt;=N(K387),N(H387)&gt;=N(N387)),"The Pulse",IF(N(K387)&gt;=N(N387),"The Lens","The Hub"))</f>
        <v>The Hub</v>
      </c>
      <c r="Q387" s="20" t="s">
        <v>74</v>
      </c>
      <c r="R387" s="27" t="s">
        <v>671</v>
      </c>
      <c r="S387" s="17" t="s">
        <v>19</v>
      </c>
    </row>
    <row r="388" customFormat="false" ht="15" hidden="false" customHeight="false" outlineLevel="0" collapsed="false">
      <c r="A388" s="17" t="s">
        <v>547</v>
      </c>
      <c r="B388" s="17" t="s">
        <v>548</v>
      </c>
      <c r="C388" s="17" t="s">
        <v>2537</v>
      </c>
      <c r="D388" s="17" t="s">
        <v>102</v>
      </c>
      <c r="E388" s="18" t="n">
        <v>420755</v>
      </c>
      <c r="F388" s="17" t="s">
        <v>670</v>
      </c>
      <c r="G388" s="23" t="n">
        <v>0.719924896911504</v>
      </c>
      <c r="H388" s="19" t="n">
        <v>21.9</v>
      </c>
      <c r="I388" s="17" t="n">
        <f aca="false">IF(H388="","",RANK(H388,$H$5:$H$491))</f>
        <v>384</v>
      </c>
      <c r="J388" s="24" t="n">
        <v>-0.00328562426861104</v>
      </c>
      <c r="K388" s="19" t="n">
        <v>13.3</v>
      </c>
      <c r="L388" s="17" t="n">
        <f aca="false">IF(K388="","",RANK(K388,$K$5:$K$491))</f>
        <v>423</v>
      </c>
      <c r="M388" s="25" t="n">
        <v>0.105207571695507</v>
      </c>
      <c r="N388" s="19" t="n">
        <v>57.5</v>
      </c>
      <c r="O388" s="17" t="n">
        <f aca="false">IF(N388="","",RANK(N388,$N$5:$N$491))</f>
        <v>211</v>
      </c>
      <c r="P388" s="17" t="str">
        <f aca="false">IF(AND(N(H388)&gt;=N(K388),N(H388)&gt;=N(N388)),"The Pulse",IF(N(K388)&gt;=N(N388),"The Lens","The Hub"))</f>
        <v>The Hub</v>
      </c>
      <c r="Q388" s="20" t="s">
        <v>74</v>
      </c>
      <c r="R388" s="27" t="s">
        <v>671</v>
      </c>
      <c r="S388" s="17" t="s">
        <v>19</v>
      </c>
    </row>
    <row r="389" customFormat="false" ht="15" hidden="false" customHeight="false" outlineLevel="0" collapsed="false">
      <c r="A389" s="17" t="s">
        <v>1484</v>
      </c>
      <c r="B389" s="17" t="s">
        <v>1485</v>
      </c>
      <c r="C389" s="17" t="s">
        <v>2538</v>
      </c>
      <c r="D389" s="17" t="s">
        <v>102</v>
      </c>
      <c r="E389" s="18" t="n">
        <v>9906</v>
      </c>
      <c r="F389" s="17" t="s">
        <v>678</v>
      </c>
      <c r="G389" s="23" t="n">
        <v>0.71582879063194</v>
      </c>
      <c r="H389" s="19" t="n">
        <v>21.5</v>
      </c>
      <c r="I389" s="17" t="n">
        <f aca="false">IF(H389="","",RANK(H389,$H$5:$H$491))</f>
        <v>385</v>
      </c>
      <c r="J389" s="24" t="n">
        <v>0.233623910336239</v>
      </c>
      <c r="K389" s="19" t="n">
        <v>94.7</v>
      </c>
      <c r="L389" s="17" t="n">
        <f aca="false">IF(K389="","",RANK(K389,$K$5:$K$491))</f>
        <v>28</v>
      </c>
      <c r="M389" s="25" t="n">
        <v>0.0561797752808989</v>
      </c>
      <c r="N389" s="19" t="n">
        <v>34.7</v>
      </c>
      <c r="O389" s="17" t="n">
        <f aca="false">IF(N389="","",RANK(N389,$N$5:$N$491))</f>
        <v>324</v>
      </c>
      <c r="P389" s="17" t="str">
        <f aca="false">IF(AND(N(H389)&gt;=N(K389),N(H389)&gt;=N(N389)),"The Pulse",IF(N(K389)&gt;=N(N389),"The Lens","The Hub"))</f>
        <v>The Lens</v>
      </c>
      <c r="Q389" s="20" t="s">
        <v>74</v>
      </c>
      <c r="R389" s="26" t="s">
        <v>668</v>
      </c>
      <c r="S389" s="17" t="s">
        <v>19</v>
      </c>
    </row>
    <row r="390" customFormat="false" ht="15" hidden="false" customHeight="false" outlineLevel="0" collapsed="false">
      <c r="A390" s="17" t="s">
        <v>205</v>
      </c>
      <c r="B390" s="17" t="s">
        <v>206</v>
      </c>
      <c r="C390" s="17" t="s">
        <v>2539</v>
      </c>
      <c r="D390" s="17" t="s">
        <v>77</v>
      </c>
      <c r="E390" s="18" t="n">
        <v>122033</v>
      </c>
      <c r="F390" s="17" t="s">
        <v>670</v>
      </c>
      <c r="G390" s="23" t="n">
        <v>0.713036637630805</v>
      </c>
      <c r="H390" s="19" t="n">
        <v>21.3</v>
      </c>
      <c r="I390" s="17" t="n">
        <f aca="false">IF(H390="","",RANK(H390,$H$5:$H$491))</f>
        <v>386</v>
      </c>
      <c r="J390" s="24" t="n">
        <v>0.052253541772654</v>
      </c>
      <c r="K390" s="19" t="n">
        <v>37.3</v>
      </c>
      <c r="L390" s="17" t="n">
        <f aca="false">IF(K390="","",RANK(K390,$K$5:$K$491))</f>
        <v>314</v>
      </c>
      <c r="M390" s="25" t="n">
        <v>0.00375851538642236</v>
      </c>
      <c r="N390" s="19" t="n">
        <v>3.6</v>
      </c>
      <c r="O390" s="17" t="n">
        <f aca="false">IF(N390="","",RANK(N390,$N$5:$N$491))</f>
        <v>471</v>
      </c>
      <c r="P390" s="17" t="str">
        <f aca="false">IF(AND(N(H390)&gt;=N(K390),N(H390)&gt;=N(N390)),"The Pulse",IF(N(K390)&gt;=N(N390),"The Lens","The Hub"))</f>
        <v>The Lens</v>
      </c>
      <c r="Q390" s="20" t="s">
        <v>74</v>
      </c>
      <c r="R390" s="27" t="s">
        <v>671</v>
      </c>
      <c r="S390" s="17" t="s">
        <v>19</v>
      </c>
    </row>
    <row r="391" customFormat="false" ht="15" hidden="false" customHeight="false" outlineLevel="0" collapsed="false">
      <c r="A391" s="17" t="s">
        <v>413</v>
      </c>
      <c r="B391" s="17" t="s">
        <v>414</v>
      </c>
      <c r="C391" s="17" t="s">
        <v>2540</v>
      </c>
      <c r="D391" s="17" t="s">
        <v>102</v>
      </c>
      <c r="E391" s="18" t="n">
        <v>10370</v>
      </c>
      <c r="F391" s="17" t="s">
        <v>667</v>
      </c>
      <c r="G391" s="23" t="n">
        <v>0.712246865959499</v>
      </c>
      <c r="H391" s="19" t="n">
        <v>21.1</v>
      </c>
      <c r="I391" s="17" t="n">
        <f aca="false">IF(H391="","",RANK(H391,$H$5:$H$491))</f>
        <v>387</v>
      </c>
      <c r="J391" s="24" t="n">
        <v>0.173607967406066</v>
      </c>
      <c r="K391" s="19" t="n">
        <v>88.7</v>
      </c>
      <c r="L391" s="17" t="n">
        <f aca="false">IF(K391="","",RANK(K391,$K$5:$K$491))</f>
        <v>58</v>
      </c>
      <c r="M391" s="25" t="n">
        <v>0.098159509202454</v>
      </c>
      <c r="N391" s="19" t="n">
        <v>53.5</v>
      </c>
      <c r="O391" s="17" t="n">
        <f aca="false">IF(N391="","",RANK(N391,$N$5:$N$491))</f>
        <v>231</v>
      </c>
      <c r="P391" s="17" t="str">
        <f aca="false">IF(AND(N(H391)&gt;=N(K391),N(H391)&gt;=N(N391)),"The Pulse",IF(N(K391)&gt;=N(N391),"The Lens","The Hub"))</f>
        <v>The Lens</v>
      </c>
      <c r="Q391" s="20" t="s">
        <v>74</v>
      </c>
      <c r="R391" s="27" t="s">
        <v>671</v>
      </c>
      <c r="S391" s="17" t="s">
        <v>19</v>
      </c>
    </row>
    <row r="392" customFormat="false" ht="15" hidden="false" customHeight="false" outlineLevel="0" collapsed="false">
      <c r="A392" s="17" t="s">
        <v>811</v>
      </c>
      <c r="B392" s="17" t="s">
        <v>812</v>
      </c>
      <c r="C392" s="17" t="s">
        <v>2541</v>
      </c>
      <c r="D392" s="17" t="s">
        <v>72</v>
      </c>
      <c r="E392" s="18" t="n">
        <v>3964</v>
      </c>
      <c r="F392" s="17" t="s">
        <v>678</v>
      </c>
      <c r="G392" s="23" t="n">
        <v>0.703329969727548</v>
      </c>
      <c r="H392" s="19" t="n">
        <v>20.9</v>
      </c>
      <c r="I392" s="17" t="n">
        <f aca="false">IF(H392="","",RANK(H392,$H$5:$H$491))</f>
        <v>388</v>
      </c>
      <c r="J392" s="24" t="n">
        <v>0.000757384498863923</v>
      </c>
      <c r="K392" s="19" t="n">
        <v>5.3</v>
      </c>
      <c r="L392" s="17" t="n">
        <f aca="false">IF(K392="","",RANK(K392,$K$5:$K$491))</f>
        <v>464</v>
      </c>
      <c r="M392" s="25" t="n">
        <v>0.16969696969697</v>
      </c>
      <c r="N392" s="19" t="n">
        <v>77.1</v>
      </c>
      <c r="O392" s="17" t="n">
        <f aca="false">IF(N392="","",RANK(N392,$N$5:$N$491))</f>
        <v>112</v>
      </c>
      <c r="P392" s="17" t="str">
        <f aca="false">IF(AND(N(H392)&gt;=N(K392),N(H392)&gt;=N(N392)),"The Pulse",IF(N(K392)&gt;=N(N392),"The Lens","The Hub"))</f>
        <v>The Hub</v>
      </c>
      <c r="Q392" s="20" t="s">
        <v>74</v>
      </c>
      <c r="R392" s="26" t="s">
        <v>668</v>
      </c>
      <c r="S392" s="17" t="s">
        <v>19</v>
      </c>
    </row>
    <row r="393" customFormat="false" ht="15" hidden="false" customHeight="false" outlineLevel="0" collapsed="false">
      <c r="A393" s="17" t="s">
        <v>1550</v>
      </c>
      <c r="B393" s="17" t="s">
        <v>1551</v>
      </c>
      <c r="C393" s="17" t="s">
        <v>2542</v>
      </c>
      <c r="D393" s="17" t="s">
        <v>77</v>
      </c>
      <c r="E393" s="18" t="n">
        <v>195135</v>
      </c>
      <c r="F393" s="17" t="s">
        <v>670</v>
      </c>
      <c r="G393" s="23" t="n">
        <v>0.702652010146821</v>
      </c>
      <c r="H393" s="19" t="n">
        <v>20.7</v>
      </c>
      <c r="I393" s="17" t="n">
        <f aca="false">IF(H393="","",RANK(H393,$H$5:$H$491))</f>
        <v>389</v>
      </c>
      <c r="J393" s="24" t="n">
        <v>0.125787506057739</v>
      </c>
      <c r="K393" s="19" t="n">
        <v>69.9</v>
      </c>
      <c r="L393" s="17" t="n">
        <f aca="false">IF(K393="","",RANK(K393,$K$5:$K$491))</f>
        <v>153</v>
      </c>
      <c r="M393" s="25" t="n">
        <v>0.013520280420631</v>
      </c>
      <c r="N393" s="19" t="n">
        <v>9</v>
      </c>
      <c r="O393" s="17" t="n">
        <f aca="false">IF(N393="","",RANK(N393,$N$5:$N$491))</f>
        <v>448</v>
      </c>
      <c r="P393" s="17" t="str">
        <f aca="false">IF(AND(N(H393)&gt;=N(K393),N(H393)&gt;=N(N393)),"The Pulse",IF(N(K393)&gt;=N(N393),"The Lens","The Hub"))</f>
        <v>The Lens</v>
      </c>
      <c r="Q393" s="20" t="s">
        <v>74</v>
      </c>
      <c r="R393" s="26" t="s">
        <v>668</v>
      </c>
      <c r="S393" s="17" t="s">
        <v>19</v>
      </c>
    </row>
    <row r="394" customFormat="false" ht="15" hidden="false" customHeight="false" outlineLevel="0" collapsed="false">
      <c r="A394" s="17" t="s">
        <v>479</v>
      </c>
      <c r="B394" s="17" t="s">
        <v>480</v>
      </c>
      <c r="C394" s="17" t="s">
        <v>2543</v>
      </c>
      <c r="D394" s="17" t="s">
        <v>133</v>
      </c>
      <c r="E394" s="18" t="n">
        <v>30433</v>
      </c>
      <c r="F394" s="17" t="s">
        <v>667</v>
      </c>
      <c r="G394" s="23" t="n">
        <v>0.6974337068314</v>
      </c>
      <c r="H394" s="19" t="n">
        <v>20.5</v>
      </c>
      <c r="I394" s="17" t="n">
        <f aca="false">IF(H394="","",RANK(H394,$H$5:$H$491))</f>
        <v>390</v>
      </c>
      <c r="J394" s="24" t="n">
        <v>0.140367969423315</v>
      </c>
      <c r="K394" s="19" t="n">
        <v>73</v>
      </c>
      <c r="L394" s="17" t="n">
        <f aca="false">IF(K394="","",RANK(K394,$K$5:$K$491))</f>
        <v>138</v>
      </c>
      <c r="M394" s="25" t="n">
        <v>0.151662611516626</v>
      </c>
      <c r="N394" s="19" t="n">
        <v>71.2</v>
      </c>
      <c r="O394" s="17" t="n">
        <f aca="false">IF(N394="","",RANK(N394,$N$5:$N$491))</f>
        <v>143</v>
      </c>
      <c r="P394" s="17" t="str">
        <f aca="false">IF(AND(N(H394)&gt;=N(K394),N(H394)&gt;=N(N394)),"The Pulse",IF(N(K394)&gt;=N(N394),"The Lens","The Hub"))</f>
        <v>The Lens</v>
      </c>
      <c r="Q394" s="20" t="s">
        <v>74</v>
      </c>
      <c r="R394" s="27" t="s">
        <v>671</v>
      </c>
      <c r="S394" s="17" t="s">
        <v>19</v>
      </c>
    </row>
    <row r="395" customFormat="false" ht="15" hidden="false" customHeight="false" outlineLevel="0" collapsed="false">
      <c r="A395" s="17" t="s">
        <v>1035</v>
      </c>
      <c r="B395" s="17" t="s">
        <v>1036</v>
      </c>
      <c r="C395" s="17" t="s">
        <v>2544</v>
      </c>
      <c r="D395" s="17" t="s">
        <v>138</v>
      </c>
      <c r="E395" s="18" t="n">
        <v>194395</v>
      </c>
      <c r="F395" s="17" t="s">
        <v>670</v>
      </c>
      <c r="G395" s="23" t="n">
        <v>0.69242521669796</v>
      </c>
      <c r="H395" s="19" t="n">
        <v>20.3</v>
      </c>
      <c r="I395" s="17" t="n">
        <f aca="false">IF(H395="","",RANK(H395,$H$5:$H$491))</f>
        <v>391</v>
      </c>
      <c r="J395" s="24" t="n">
        <v>-0.0472094379665436</v>
      </c>
      <c r="K395" s="19" t="n">
        <v>5.4</v>
      </c>
      <c r="L395" s="17" t="n">
        <f aca="false">IF(K395="","",RANK(K395,$K$5:$K$491))</f>
        <v>463</v>
      </c>
      <c r="M395" s="25" t="n">
        <v>0.101540002504069</v>
      </c>
      <c r="N395" s="19" t="n">
        <v>56.2</v>
      </c>
      <c r="O395" s="17" t="n">
        <f aca="false">IF(N395="","",RANK(N395,$N$5:$N$491))</f>
        <v>218</v>
      </c>
      <c r="P395" s="17" t="str">
        <f aca="false">IF(AND(N(H395)&gt;=N(K395),N(H395)&gt;=N(N395)),"The Pulse",IF(N(K395)&gt;=N(N395),"The Lens","The Hub"))</f>
        <v>The Hub</v>
      </c>
      <c r="Q395" s="20" t="s">
        <v>74</v>
      </c>
      <c r="R395" s="26" t="s">
        <v>668</v>
      </c>
      <c r="S395" s="17" t="s">
        <v>19</v>
      </c>
    </row>
    <row r="396" customFormat="false" ht="15" hidden="false" customHeight="false" outlineLevel="0" collapsed="false">
      <c r="A396" s="17" t="s">
        <v>1447</v>
      </c>
      <c r="B396" s="17" t="s">
        <v>1448</v>
      </c>
      <c r="C396" s="17" t="s">
        <v>2545</v>
      </c>
      <c r="D396" s="17" t="s">
        <v>102</v>
      </c>
      <c r="E396" s="18" t="n">
        <v>45808</v>
      </c>
      <c r="F396" s="17" t="s">
        <v>667</v>
      </c>
      <c r="G396" s="23" t="n">
        <v>0.690687216206776</v>
      </c>
      <c r="H396" s="19" t="n">
        <v>20.2</v>
      </c>
      <c r="I396" s="17" t="n">
        <f aca="false">IF(H396="","",RANK(H396,$H$5:$H$491))</f>
        <v>392</v>
      </c>
      <c r="J396" s="24" t="n">
        <v>0.0891107941036614</v>
      </c>
      <c r="K396" s="19" t="n">
        <v>50</v>
      </c>
      <c r="L396" s="17" t="n">
        <f aca="false">IF(K396="","",RANK(K396,$K$5:$K$491))</f>
        <v>252</v>
      </c>
      <c r="M396" s="25" t="n">
        <v>0.0955526199911933</v>
      </c>
      <c r="N396" s="19" t="n">
        <v>52.2</v>
      </c>
      <c r="O396" s="17" t="n">
        <f aca="false">IF(N396="","",RANK(N396,$N$5:$N$491))</f>
        <v>238</v>
      </c>
      <c r="P396" s="17" t="str">
        <f aca="false">IF(AND(N(H396)&gt;=N(K396),N(H396)&gt;=N(N396)),"The Pulse",IF(N(K396)&gt;=N(N396),"The Lens","The Hub"))</f>
        <v>The Hub</v>
      </c>
      <c r="Q396" s="20" t="s">
        <v>74</v>
      </c>
      <c r="R396" s="26" t="s">
        <v>668</v>
      </c>
      <c r="S396" s="17" t="s">
        <v>19</v>
      </c>
    </row>
    <row r="397" customFormat="false" ht="15" hidden="false" customHeight="false" outlineLevel="0" collapsed="false">
      <c r="A397" s="17" t="s">
        <v>481</v>
      </c>
      <c r="B397" s="17" t="s">
        <v>482</v>
      </c>
      <c r="C397" s="17" t="s">
        <v>2546</v>
      </c>
      <c r="D397" s="17" t="s">
        <v>72</v>
      </c>
      <c r="E397" s="18" t="n">
        <v>125742</v>
      </c>
      <c r="F397" s="17" t="s">
        <v>670</v>
      </c>
      <c r="G397" s="23" t="n">
        <v>0.677546086430946</v>
      </c>
      <c r="H397" s="19" t="n">
        <v>20</v>
      </c>
      <c r="I397" s="17" t="n">
        <f aca="false">IF(H397="","",RANK(H397,$H$5:$H$491))</f>
        <v>393</v>
      </c>
      <c r="J397" s="24" t="n">
        <v>0.169279696479384</v>
      </c>
      <c r="K397" s="19" t="n">
        <v>83.7</v>
      </c>
      <c r="L397" s="17" t="n">
        <f aca="false">IF(K397="","",RANK(K397,$K$5:$K$491))</f>
        <v>82</v>
      </c>
      <c r="M397" s="25" t="n">
        <v>0.217328519855596</v>
      </c>
      <c r="N397" s="19" t="n">
        <v>86.1</v>
      </c>
      <c r="O397" s="17" t="n">
        <f aca="false">IF(N397="","",RANK(N397,$N$5:$N$491))</f>
        <v>69</v>
      </c>
      <c r="P397" s="17" t="str">
        <f aca="false">IF(AND(N(H397)&gt;=N(K397),N(H397)&gt;=N(N397)),"The Pulse",IF(N(K397)&gt;=N(N397),"The Lens","The Hub"))</f>
        <v>The Hub</v>
      </c>
      <c r="Q397" s="20" t="s">
        <v>74</v>
      </c>
      <c r="R397" s="27" t="s">
        <v>671</v>
      </c>
      <c r="S397" s="17" t="s">
        <v>19</v>
      </c>
    </row>
    <row r="398" customFormat="false" ht="15" hidden="false" customHeight="false" outlineLevel="0" collapsed="false">
      <c r="A398" s="17" t="s">
        <v>1027</v>
      </c>
      <c r="B398" s="17" t="s">
        <v>1028</v>
      </c>
      <c r="C398" s="17" t="s">
        <v>2547</v>
      </c>
      <c r="D398" s="17" t="s">
        <v>133</v>
      </c>
      <c r="E398" s="18" t="n">
        <v>105590</v>
      </c>
      <c r="F398" s="17" t="s">
        <v>670</v>
      </c>
      <c r="G398" s="23" t="n">
        <v>0.671806042238848</v>
      </c>
      <c r="H398" s="19" t="n">
        <v>19.8</v>
      </c>
      <c r="I398" s="17" t="n">
        <f aca="false">IF(H398="","",RANK(H398,$H$5:$H$491))</f>
        <v>394</v>
      </c>
      <c r="J398" s="24" t="n">
        <v>0.17654268713926</v>
      </c>
      <c r="K398" s="19" t="n">
        <v>86.1</v>
      </c>
      <c r="L398" s="17" t="n">
        <f aca="false">IF(K398="","",RANK(K398,$K$5:$K$491))</f>
        <v>70</v>
      </c>
      <c r="M398" s="25" t="n">
        <v>0.0619554695062924</v>
      </c>
      <c r="N398" s="19" t="n">
        <v>36.6</v>
      </c>
      <c r="O398" s="17" t="n">
        <f aca="false">IF(N398="","",RANK(N398,$N$5:$N$491))</f>
        <v>315</v>
      </c>
      <c r="P398" s="17" t="str">
        <f aca="false">IF(AND(N(H398)&gt;=N(K398),N(H398)&gt;=N(N398)),"The Pulse",IF(N(K398)&gt;=N(N398),"The Lens","The Hub"))</f>
        <v>The Lens</v>
      </c>
      <c r="Q398" s="20" t="s">
        <v>74</v>
      </c>
      <c r="R398" s="26" t="s">
        <v>668</v>
      </c>
      <c r="S398" s="17" t="s">
        <v>19</v>
      </c>
    </row>
    <row r="399" customFormat="false" ht="15" hidden="false" customHeight="false" outlineLevel="0" collapsed="false">
      <c r="A399" s="17" t="s">
        <v>1387</v>
      </c>
      <c r="B399" s="17" t="s">
        <v>1388</v>
      </c>
      <c r="C399" s="17" t="s">
        <v>2548</v>
      </c>
      <c r="D399" s="17" t="s">
        <v>133</v>
      </c>
      <c r="E399" s="18" t="n">
        <v>42630</v>
      </c>
      <c r="F399" s="17" t="s">
        <v>667</v>
      </c>
      <c r="G399" s="23" t="n">
        <v>0.6660567675346</v>
      </c>
      <c r="H399" s="19" t="n">
        <v>19.6</v>
      </c>
      <c r="I399" s="17" t="n">
        <f aca="false">IF(H399="","",RANK(H399,$H$5:$H$491))</f>
        <v>395</v>
      </c>
      <c r="J399" s="24" t="n">
        <v>-0.00504131074079261</v>
      </c>
      <c r="K399" s="19" t="n">
        <v>9.6</v>
      </c>
      <c r="L399" s="17" t="n">
        <f aca="false">IF(K399="","",RANK(K399,$K$5:$K$491))</f>
        <v>442</v>
      </c>
      <c r="M399" s="25" t="n">
        <v>0.173092698933552</v>
      </c>
      <c r="N399" s="19" t="n">
        <v>77.9</v>
      </c>
      <c r="O399" s="17" t="n">
        <f aca="false">IF(N399="","",RANK(N399,$N$5:$N$491))</f>
        <v>108</v>
      </c>
      <c r="P399" s="17" t="str">
        <f aca="false">IF(AND(N(H399)&gt;=N(K399),N(H399)&gt;=N(N399)),"The Pulse",IF(N(K399)&gt;=N(N399),"The Lens","The Hub"))</f>
        <v>The Hub</v>
      </c>
      <c r="Q399" s="20" t="s">
        <v>74</v>
      </c>
      <c r="R399" s="26" t="s">
        <v>668</v>
      </c>
      <c r="S399" s="17" t="s">
        <v>19</v>
      </c>
    </row>
    <row r="400" customFormat="false" ht="15" hidden="false" customHeight="false" outlineLevel="0" collapsed="false">
      <c r="A400" s="17" t="s">
        <v>601</v>
      </c>
      <c r="B400" s="17" t="s">
        <v>602</v>
      </c>
      <c r="C400" s="17" t="s">
        <v>2549</v>
      </c>
      <c r="D400" s="17" t="s">
        <v>81</v>
      </c>
      <c r="E400" s="18" t="n">
        <v>37493</v>
      </c>
      <c r="F400" s="17" t="s">
        <v>667</v>
      </c>
      <c r="G400" s="23" t="n">
        <v>0.665030805750407</v>
      </c>
      <c r="H400" s="19" t="n">
        <v>19.4</v>
      </c>
      <c r="I400" s="17" t="n">
        <f aca="false">IF(H400="","",RANK(H400,$H$5:$H$491))</f>
        <v>396</v>
      </c>
      <c r="J400" s="24" t="n">
        <v>0.125645490572835</v>
      </c>
      <c r="K400" s="19" t="n">
        <v>68.4</v>
      </c>
      <c r="L400" s="17" t="n">
        <f aca="false">IF(K400="","",RANK(K400,$K$5:$K$491))</f>
        <v>161</v>
      </c>
      <c r="M400" s="25" t="n">
        <v>0.221003134796238</v>
      </c>
      <c r="N400" s="19" t="n">
        <v>87</v>
      </c>
      <c r="O400" s="17" t="n">
        <f aca="false">IF(N400="","",RANK(N400,$N$5:$N$491))</f>
        <v>65</v>
      </c>
      <c r="P400" s="17" t="str">
        <f aca="false">IF(AND(N(H400)&gt;=N(K400),N(H400)&gt;=N(N400)),"The Pulse",IF(N(K400)&gt;=N(N400),"The Lens","The Hub"))</f>
        <v>The Hub</v>
      </c>
      <c r="Q400" s="20" t="s">
        <v>74</v>
      </c>
      <c r="R400" s="27" t="s">
        <v>671</v>
      </c>
      <c r="S400" s="17" t="s">
        <v>19</v>
      </c>
    </row>
    <row r="401" customFormat="false" ht="15" hidden="false" customHeight="false" outlineLevel="0" collapsed="false">
      <c r="A401" s="17" t="s">
        <v>617</v>
      </c>
      <c r="B401" s="17" t="s">
        <v>618</v>
      </c>
      <c r="C401" s="17" t="s">
        <v>2550</v>
      </c>
      <c r="D401" s="17" t="s">
        <v>81</v>
      </c>
      <c r="E401" s="18" t="n">
        <v>50048</v>
      </c>
      <c r="F401" s="17" t="s">
        <v>667</v>
      </c>
      <c r="G401" s="23" t="n">
        <v>0.663942615089514</v>
      </c>
      <c r="H401" s="19" t="n">
        <v>19.2</v>
      </c>
      <c r="I401" s="17" t="n">
        <f aca="false">IF(H401="","",RANK(H401,$H$5:$H$491))</f>
        <v>397</v>
      </c>
      <c r="J401" s="24" t="n">
        <v>0.185437836045382</v>
      </c>
      <c r="K401" s="19" t="n">
        <v>91.1</v>
      </c>
      <c r="L401" s="17" t="n">
        <f aca="false">IF(K401="","",RANK(K401,$K$5:$K$491))</f>
        <v>44</v>
      </c>
      <c r="M401" s="25" t="n">
        <v>0.0816326530612245</v>
      </c>
      <c r="N401" s="19" t="n">
        <v>45</v>
      </c>
      <c r="O401" s="17" t="n">
        <f aca="false">IF(N401="","",RANK(N401,$N$5:$N$491))</f>
        <v>273</v>
      </c>
      <c r="P401" s="17" t="str">
        <f aca="false">IF(AND(N(H401)&gt;=N(K401),N(H401)&gt;=N(N401)),"The Pulse",IF(N(K401)&gt;=N(N401),"The Lens","The Hub"))</f>
        <v>The Lens</v>
      </c>
      <c r="Q401" s="20" t="s">
        <v>74</v>
      </c>
      <c r="R401" s="27" t="s">
        <v>671</v>
      </c>
      <c r="S401" s="17" t="s">
        <v>19</v>
      </c>
    </row>
    <row r="402" customFormat="false" ht="15" hidden="false" customHeight="false" outlineLevel="0" collapsed="false">
      <c r="A402" s="17" t="s">
        <v>2551</v>
      </c>
      <c r="B402" s="17" t="s">
        <v>2552</v>
      </c>
      <c r="C402" s="17" t="s">
        <v>2553</v>
      </c>
      <c r="D402" s="17" t="s">
        <v>138</v>
      </c>
      <c r="E402" s="18" t="n">
        <v>22386</v>
      </c>
      <c r="F402" s="17" t="s">
        <v>667</v>
      </c>
      <c r="G402" s="23" t="n">
        <v>0.662512284463504</v>
      </c>
      <c r="H402" s="19" t="n">
        <v>19</v>
      </c>
      <c r="I402" s="17" t="n">
        <f aca="false">IF(H402="","",RANK(H402,$H$5:$H$491))</f>
        <v>398</v>
      </c>
      <c r="J402" s="24" t="n">
        <v>0.0793115086061424</v>
      </c>
      <c r="K402" s="19" t="n">
        <v>44</v>
      </c>
      <c r="L402" s="17" t="n">
        <f aca="false">IF(K402="","",RANK(K402,$K$5:$K$491))</f>
        <v>282</v>
      </c>
      <c r="M402" s="25" t="n">
        <v>0.0151724137931035</v>
      </c>
      <c r="N402" s="19" t="n">
        <v>9.7</v>
      </c>
      <c r="O402" s="17" t="n">
        <f aca="false">IF(N402="","",RANK(N402,$N$5:$N$491))</f>
        <v>445</v>
      </c>
      <c r="P402" s="17" t="str">
        <f aca="false">IF(AND(N(H402)&gt;=N(K402),N(H402)&gt;=N(N402)),"The Pulse",IF(N(K402)&gt;=N(N402),"The Lens","The Hub"))</f>
        <v>The Lens</v>
      </c>
      <c r="Q402" s="20" t="s">
        <v>74</v>
      </c>
      <c r="R402" s="26" t="s">
        <v>668</v>
      </c>
      <c r="S402" s="17" t="s">
        <v>19</v>
      </c>
    </row>
    <row r="403" customFormat="false" ht="15" hidden="false" customHeight="false" outlineLevel="0" collapsed="false">
      <c r="A403" s="17" t="s">
        <v>389</v>
      </c>
      <c r="B403" s="17" t="s">
        <v>390</v>
      </c>
      <c r="C403" s="17" t="s">
        <v>2554</v>
      </c>
      <c r="D403" s="17" t="s">
        <v>133</v>
      </c>
      <c r="E403" s="18" t="n">
        <v>17680</v>
      </c>
      <c r="F403" s="17" t="s">
        <v>667</v>
      </c>
      <c r="G403" s="23" t="n">
        <v>0.657013574660634</v>
      </c>
      <c r="H403" s="19" t="n">
        <v>18.8</v>
      </c>
      <c r="I403" s="17" t="n">
        <f aca="false">IF(H403="","",RANK(H403,$H$5:$H$491))</f>
        <v>399</v>
      </c>
      <c r="J403" s="24" t="n">
        <v>0.150367623137485</v>
      </c>
      <c r="K403" s="19" t="n">
        <v>77.7</v>
      </c>
      <c r="L403" s="17" t="n">
        <f aca="false">IF(K403="","",RANK(K403,$K$5:$K$491))</f>
        <v>113</v>
      </c>
      <c r="M403" s="25" t="n">
        <v>0.217150760719226</v>
      </c>
      <c r="N403" s="19" t="n">
        <v>85.9</v>
      </c>
      <c r="O403" s="17" t="n">
        <f aca="false">IF(N403="","",RANK(N403,$N$5:$N$491))</f>
        <v>70</v>
      </c>
      <c r="P403" s="17" t="str">
        <f aca="false">IF(AND(N(H403)&gt;=N(K403),N(H403)&gt;=N(N403)),"The Pulse",IF(N(K403)&gt;=N(N403),"The Lens","The Hub"))</f>
        <v>The Hub</v>
      </c>
      <c r="Q403" s="20" t="s">
        <v>74</v>
      </c>
      <c r="R403" s="27" t="s">
        <v>671</v>
      </c>
      <c r="S403" s="17" t="s">
        <v>19</v>
      </c>
    </row>
    <row r="404" customFormat="false" ht="15" hidden="false" customHeight="false" outlineLevel="0" collapsed="false">
      <c r="A404" s="17" t="s">
        <v>2555</v>
      </c>
      <c r="B404" s="17" t="s">
        <v>2556</v>
      </c>
      <c r="C404" s="17" t="s">
        <v>2557</v>
      </c>
      <c r="D404" s="17" t="s">
        <v>138</v>
      </c>
      <c r="E404" s="18" t="n">
        <v>86822</v>
      </c>
      <c r="F404" s="17" t="s">
        <v>667</v>
      </c>
      <c r="G404" s="23" t="n">
        <v>0.655605722052015</v>
      </c>
      <c r="H404" s="19" t="n">
        <v>18.6</v>
      </c>
      <c r="I404" s="17" t="n">
        <f aca="false">IF(H404="","",RANK(H404,$H$5:$H$491))</f>
        <v>400</v>
      </c>
      <c r="J404" s="24" t="n">
        <v>0.130642010678474</v>
      </c>
      <c r="K404" s="19" t="n">
        <v>70.2</v>
      </c>
      <c r="L404" s="17" t="n">
        <f aca="false">IF(K404="","",RANK(K404,$K$5:$K$491))</f>
        <v>151</v>
      </c>
      <c r="M404" s="25" t="n">
        <v>0.0230442692540934</v>
      </c>
      <c r="N404" s="19" t="n">
        <v>14.1</v>
      </c>
      <c r="O404" s="17" t="n">
        <f aca="false">IF(N404="","",RANK(N404,$N$5:$N$491))</f>
        <v>425</v>
      </c>
      <c r="P404" s="17" t="str">
        <f aca="false">IF(AND(N(H404)&gt;=N(K404),N(H404)&gt;=N(N404)),"The Pulse",IF(N(K404)&gt;=N(N404),"The Lens","The Hub"))</f>
        <v>The Lens</v>
      </c>
      <c r="Q404" s="20" t="s">
        <v>74</v>
      </c>
      <c r="R404" s="26" t="s">
        <v>668</v>
      </c>
      <c r="S404" s="17" t="s">
        <v>19</v>
      </c>
    </row>
    <row r="405" customFormat="false" ht="15" hidden="false" customHeight="false" outlineLevel="0" collapsed="false">
      <c r="A405" s="17" t="s">
        <v>587</v>
      </c>
      <c r="B405" s="17" t="s">
        <v>588</v>
      </c>
      <c r="C405" s="17" t="s">
        <v>2558</v>
      </c>
      <c r="D405" s="17" t="s">
        <v>72</v>
      </c>
      <c r="E405" s="18" t="n">
        <v>25126</v>
      </c>
      <c r="F405" s="17" t="s">
        <v>667</v>
      </c>
      <c r="G405" s="23" t="n">
        <v>0.647775212926849</v>
      </c>
      <c r="H405" s="19" t="n">
        <v>18.4</v>
      </c>
      <c r="I405" s="17" t="n">
        <f aca="false">IF(H405="","",RANK(H405,$H$5:$H$491))</f>
        <v>401</v>
      </c>
      <c r="J405" s="24" t="n">
        <v>0.151354075974889</v>
      </c>
      <c r="K405" s="19" t="n">
        <v>78</v>
      </c>
      <c r="L405" s="17" t="n">
        <f aca="false">IF(K405="","",RANK(K405,$K$5:$K$491))</f>
        <v>112</v>
      </c>
      <c r="M405" s="25" t="n">
        <v>0.0115702479338843</v>
      </c>
      <c r="N405" s="19" t="n">
        <v>7.4</v>
      </c>
      <c r="O405" s="17" t="n">
        <f aca="false">IF(N405="","",RANK(N405,$N$5:$N$491))</f>
        <v>454</v>
      </c>
      <c r="P405" s="17" t="str">
        <f aca="false">IF(AND(N(H405)&gt;=N(K405),N(H405)&gt;=N(N405)),"The Pulse",IF(N(K405)&gt;=N(N405),"The Lens","The Hub"))</f>
        <v>The Lens</v>
      </c>
      <c r="Q405" s="20" t="s">
        <v>74</v>
      </c>
      <c r="R405" s="27" t="s">
        <v>671</v>
      </c>
      <c r="S405" s="17" t="s">
        <v>19</v>
      </c>
    </row>
    <row r="406" customFormat="false" ht="15" hidden="false" customHeight="false" outlineLevel="0" collapsed="false">
      <c r="A406" s="17" t="s">
        <v>1845</v>
      </c>
      <c r="B406" s="17" t="s">
        <v>1846</v>
      </c>
      <c r="C406" s="17" t="s">
        <v>2559</v>
      </c>
      <c r="D406" s="17" t="s">
        <v>105</v>
      </c>
      <c r="E406" s="18" t="n">
        <v>115950</v>
      </c>
      <c r="F406" s="17" t="s">
        <v>670</v>
      </c>
      <c r="G406" s="23" t="n">
        <v>0.633980163863734</v>
      </c>
      <c r="H406" s="19" t="n">
        <v>18.1</v>
      </c>
      <c r="I406" s="17" t="n">
        <f aca="false">IF(H406="","",RANK(H406,$H$5:$H$491))</f>
        <v>402</v>
      </c>
      <c r="J406" s="24" t="n">
        <v>0.0496347325445608</v>
      </c>
      <c r="K406" s="19" t="n">
        <v>35.5</v>
      </c>
      <c r="L406" s="17" t="n">
        <f aca="false">IF(K406="","",RANK(K406,$K$5:$K$491))</f>
        <v>320</v>
      </c>
      <c r="M406" s="25" t="n">
        <v>0.0357142857142857</v>
      </c>
      <c r="N406" s="19" t="n">
        <v>23</v>
      </c>
      <c r="O406" s="17" t="n">
        <f aca="false">IF(N406="","",RANK(N406,$N$5:$N$491))</f>
        <v>380</v>
      </c>
      <c r="P406" s="17" t="str">
        <f aca="false">IF(AND(N(H406)&gt;=N(K406),N(H406)&gt;=N(N406)),"The Pulse",IF(N(K406)&gt;=N(N406),"The Lens","The Hub"))</f>
        <v>The Lens</v>
      </c>
      <c r="Q406" s="20" t="s">
        <v>74</v>
      </c>
      <c r="R406" s="26" t="s">
        <v>668</v>
      </c>
      <c r="S406" s="17" t="s">
        <v>19</v>
      </c>
    </row>
    <row r="407" customFormat="false" ht="15" hidden="false" customHeight="false" outlineLevel="0" collapsed="false">
      <c r="A407" s="17" t="s">
        <v>2560</v>
      </c>
      <c r="B407" s="17" t="s">
        <v>2561</v>
      </c>
      <c r="C407" s="17" t="s">
        <v>2562</v>
      </c>
      <c r="D407" s="17" t="s">
        <v>92</v>
      </c>
      <c r="E407" s="18" t="n">
        <v>112199</v>
      </c>
      <c r="F407" s="17" t="s">
        <v>670</v>
      </c>
      <c r="G407" s="23" t="n">
        <v>0.632073369637876</v>
      </c>
      <c r="H407" s="19" t="n">
        <v>17.9</v>
      </c>
      <c r="I407" s="17" t="n">
        <f aca="false">IF(H407="","",RANK(H407,$H$5:$H$491))</f>
        <v>403</v>
      </c>
      <c r="J407" s="24" t="n">
        <v>0.161973508424901</v>
      </c>
      <c r="K407" s="19" t="n">
        <v>80.7</v>
      </c>
      <c r="L407" s="17" t="n">
        <f aca="false">IF(K407="","",RANK(K407,$K$5:$K$491))</f>
        <v>98</v>
      </c>
      <c r="M407" s="25" t="n">
        <v>0.0142797144057119</v>
      </c>
      <c r="N407" s="19" t="n">
        <v>9.1</v>
      </c>
      <c r="O407" s="17" t="n">
        <f aca="false">IF(N407="","",RANK(N407,$N$5:$N$491))</f>
        <v>447</v>
      </c>
      <c r="P407" s="17" t="str">
        <f aca="false">IF(AND(N(H407)&gt;=N(K407),N(H407)&gt;=N(N407)),"The Pulse",IF(N(K407)&gt;=N(N407),"The Lens","The Hub"))</f>
        <v>The Lens</v>
      </c>
      <c r="Q407" s="22" t="s">
        <v>83</v>
      </c>
      <c r="R407" s="26" t="s">
        <v>668</v>
      </c>
      <c r="S407" s="17" t="s">
        <v>204</v>
      </c>
    </row>
    <row r="408" customFormat="false" ht="15" hidden="false" customHeight="false" outlineLevel="0" collapsed="false">
      <c r="A408" s="17" t="s">
        <v>2563</v>
      </c>
      <c r="B408" s="17" t="s">
        <v>2564</v>
      </c>
      <c r="C408" s="17" t="s">
        <v>2565</v>
      </c>
      <c r="D408" s="17" t="s">
        <v>77</v>
      </c>
      <c r="E408" s="18" t="n">
        <v>27024</v>
      </c>
      <c r="F408" s="17" t="s">
        <v>667</v>
      </c>
      <c r="G408" s="23" t="n">
        <v>0.628589402013026</v>
      </c>
      <c r="H408" s="19" t="n">
        <v>17.7</v>
      </c>
      <c r="I408" s="17" t="n">
        <f aca="false">IF(H408="","",RANK(H408,$H$5:$H$491))</f>
        <v>404</v>
      </c>
      <c r="J408" s="24" t="n">
        <v>0.0755820895522388</v>
      </c>
      <c r="K408" s="19" t="n">
        <v>41.8</v>
      </c>
      <c r="L408" s="17" t="n">
        <f aca="false">IF(K408="","",RANK(K408,$K$5:$K$491))</f>
        <v>293</v>
      </c>
      <c r="M408" s="25" t="n">
        <v>0.103846153846154</v>
      </c>
      <c r="N408" s="19" t="n">
        <v>57</v>
      </c>
      <c r="O408" s="17" t="n">
        <f aca="false">IF(N408="","",RANK(N408,$N$5:$N$491))</f>
        <v>214</v>
      </c>
      <c r="P408" s="17" t="str">
        <f aca="false">IF(AND(N(H408)&gt;=N(K408),N(H408)&gt;=N(N408)),"The Pulse",IF(N(K408)&gt;=N(N408),"The Lens","The Hub"))</f>
        <v>The Hub</v>
      </c>
      <c r="Q408" s="20" t="s">
        <v>74</v>
      </c>
      <c r="R408" s="26" t="s">
        <v>668</v>
      </c>
      <c r="S408" s="17" t="s">
        <v>19</v>
      </c>
    </row>
    <row r="409" customFormat="false" ht="15" hidden="false" customHeight="false" outlineLevel="0" collapsed="false">
      <c r="A409" s="17" t="s">
        <v>1870</v>
      </c>
      <c r="B409" s="17" t="s">
        <v>1871</v>
      </c>
      <c r="C409" s="17" t="s">
        <v>2566</v>
      </c>
      <c r="D409" s="17" t="s">
        <v>138</v>
      </c>
      <c r="E409" s="18" t="n">
        <v>49150</v>
      </c>
      <c r="F409" s="17" t="s">
        <v>667</v>
      </c>
      <c r="G409" s="23" t="n">
        <v>0.625249237029502</v>
      </c>
      <c r="H409" s="19" t="n">
        <v>17.5</v>
      </c>
      <c r="I409" s="17" t="n">
        <f aca="false">IF(H409="","",RANK(H409,$H$5:$H$491))</f>
        <v>405</v>
      </c>
      <c r="J409" s="24" t="n">
        <v>-0.0540800615858353</v>
      </c>
      <c r="K409" s="19" t="n">
        <v>2.5</v>
      </c>
      <c r="L409" s="17" t="n">
        <f aca="false">IF(K409="","",RANK(K409,$K$5:$K$491))</f>
        <v>478</v>
      </c>
      <c r="M409" s="25" t="n">
        <v>0.0465116279069767</v>
      </c>
      <c r="N409" s="19" t="n">
        <v>28.6</v>
      </c>
      <c r="O409" s="17" t="n">
        <f aca="false">IF(N409="","",RANK(N409,$N$5:$N$491))</f>
        <v>353</v>
      </c>
      <c r="P409" s="17" t="str">
        <f aca="false">IF(AND(N(H409)&gt;=N(K409),N(H409)&gt;=N(N409)),"The Pulse",IF(N(K409)&gt;=N(N409),"The Lens","The Hub"))</f>
        <v>The Hub</v>
      </c>
      <c r="Q409" s="20" t="s">
        <v>74</v>
      </c>
      <c r="R409" s="26" t="s">
        <v>668</v>
      </c>
      <c r="S409" s="17" t="s">
        <v>19</v>
      </c>
    </row>
    <row r="410" customFormat="false" ht="15" hidden="false" customHeight="false" outlineLevel="0" collapsed="false">
      <c r="A410" s="17" t="s">
        <v>427</v>
      </c>
      <c r="B410" s="17" t="s">
        <v>428</v>
      </c>
      <c r="C410" s="17" t="s">
        <v>2567</v>
      </c>
      <c r="D410" s="17" t="s">
        <v>87</v>
      </c>
      <c r="E410" s="18" t="n">
        <v>27687</v>
      </c>
      <c r="F410" s="17" t="s">
        <v>667</v>
      </c>
      <c r="G410" s="23" t="n">
        <v>0.625094809838552</v>
      </c>
      <c r="H410" s="19" t="n">
        <v>17.3</v>
      </c>
      <c r="I410" s="17" t="n">
        <f aca="false">IF(H410="","",RANK(H410,$H$5:$H$491))</f>
        <v>406</v>
      </c>
      <c r="J410" s="24" t="n">
        <v>0.0385221305326332</v>
      </c>
      <c r="K410" s="19" t="n">
        <v>26.2</v>
      </c>
      <c r="L410" s="17" t="n">
        <f aca="false">IF(K410="","",RANK(K410,$K$5:$K$491))</f>
        <v>364</v>
      </c>
      <c r="M410" s="25" t="n">
        <v>0</v>
      </c>
      <c r="N410" s="19" t="n">
        <v>0.7</v>
      </c>
      <c r="O410" s="17" t="n">
        <f aca="false">IF(N410="","",RANK(N410,$N$5:$N$491))</f>
        <v>482</v>
      </c>
      <c r="P410" s="17" t="str">
        <f aca="false">IF(AND(N(H410)&gt;=N(K410),N(H410)&gt;=N(N410)),"The Pulse",IF(N(K410)&gt;=N(N410),"The Lens","The Hub"))</f>
        <v>The Lens</v>
      </c>
      <c r="Q410" s="20" t="s">
        <v>74</v>
      </c>
      <c r="R410" s="27" t="s">
        <v>671</v>
      </c>
      <c r="S410" s="17" t="s">
        <v>19</v>
      </c>
    </row>
    <row r="411" customFormat="false" ht="15" hidden="false" customHeight="false" outlineLevel="0" collapsed="false">
      <c r="A411" s="17" t="s">
        <v>239</v>
      </c>
      <c r="B411" s="17" t="s">
        <v>240</v>
      </c>
      <c r="C411" s="17" t="s">
        <v>2568</v>
      </c>
      <c r="D411" s="17" t="s">
        <v>92</v>
      </c>
      <c r="E411" s="18" t="n">
        <v>13484</v>
      </c>
      <c r="F411" s="17" t="s">
        <v>667</v>
      </c>
      <c r="G411" s="23" t="n">
        <v>0.612577870068229</v>
      </c>
      <c r="H411" s="19" t="n">
        <v>17.1</v>
      </c>
      <c r="I411" s="17" t="n">
        <f aca="false">IF(H411="","",RANK(H411,$H$5:$H$491))</f>
        <v>407</v>
      </c>
      <c r="J411" s="24" t="n">
        <v>0.0812101910828025</v>
      </c>
      <c r="K411" s="19" t="n">
        <v>45.4</v>
      </c>
      <c r="L411" s="17" t="n">
        <f aca="false">IF(K411="","",RANK(K411,$K$5:$K$491))</f>
        <v>276</v>
      </c>
      <c r="M411" s="25" t="n">
        <v>0.131086142322097</v>
      </c>
      <c r="N411" s="19" t="n">
        <v>65.5</v>
      </c>
      <c r="O411" s="17" t="n">
        <f aca="false">IF(N411="","",RANK(N411,$N$5:$N$491))</f>
        <v>171</v>
      </c>
      <c r="P411" s="17" t="str">
        <f aca="false">IF(AND(N(H411)&gt;=N(K411),N(H411)&gt;=N(N411)),"The Pulse",IF(N(K411)&gt;=N(N411),"The Lens","The Hub"))</f>
        <v>The Hub</v>
      </c>
      <c r="Q411" s="21" t="s">
        <v>78</v>
      </c>
      <c r="R411" s="27" t="s">
        <v>671</v>
      </c>
      <c r="S411" s="17" t="s">
        <v>126</v>
      </c>
    </row>
    <row r="412" customFormat="false" ht="15" hidden="false" customHeight="false" outlineLevel="0" collapsed="false">
      <c r="A412" s="17" t="s">
        <v>463</v>
      </c>
      <c r="B412" s="17" t="s">
        <v>464</v>
      </c>
      <c r="C412" s="17" t="s">
        <v>2569</v>
      </c>
      <c r="D412" s="17" t="s">
        <v>92</v>
      </c>
      <c r="E412" s="18" t="n">
        <v>250972</v>
      </c>
      <c r="F412" s="17" t="s">
        <v>670</v>
      </c>
      <c r="G412" s="23" t="n">
        <v>0.609848907447843</v>
      </c>
      <c r="H412" s="19" t="n">
        <v>16.7</v>
      </c>
      <c r="I412" s="17" t="n">
        <f aca="false">IF(H412="","",RANK(H412,$H$5:$H$491))</f>
        <v>408</v>
      </c>
      <c r="J412" s="24" t="n">
        <v>0.0677115240623511</v>
      </c>
      <c r="K412" s="19" t="n">
        <v>43.4</v>
      </c>
      <c r="L412" s="17" t="n">
        <f aca="false">IF(K412="","",RANK(K412,$K$5:$K$491))</f>
        <v>285</v>
      </c>
      <c r="M412" s="25" t="n">
        <v>0.0863301559792028</v>
      </c>
      <c r="N412" s="19" t="n">
        <v>47.8</v>
      </c>
      <c r="O412" s="17" t="n">
        <f aca="false">IF(N412="","",RANK(N412,$N$5:$N$491))</f>
        <v>258</v>
      </c>
      <c r="P412" s="17" t="str">
        <f aca="false">IF(AND(N(H412)&gt;=N(K412),N(H412)&gt;=N(N412)),"The Pulse",IF(N(K412)&gt;=N(N412),"The Lens","The Hub"))</f>
        <v>The Hub</v>
      </c>
      <c r="Q412" s="20" t="s">
        <v>74</v>
      </c>
      <c r="R412" s="27" t="s">
        <v>671</v>
      </c>
      <c r="S412" s="17" t="s">
        <v>19</v>
      </c>
    </row>
    <row r="413" customFormat="false" ht="15" hidden="false" customHeight="false" outlineLevel="0" collapsed="false">
      <c r="A413" s="17" t="s">
        <v>2570</v>
      </c>
      <c r="B413" s="17" t="s">
        <v>2571</v>
      </c>
      <c r="C413" s="17" t="s">
        <v>2572</v>
      </c>
      <c r="D413" s="17" t="s">
        <v>114</v>
      </c>
      <c r="E413" s="18" t="n">
        <v>67549</v>
      </c>
      <c r="F413" s="17" t="s">
        <v>667</v>
      </c>
      <c r="G413" s="23" t="n">
        <v>0.601533701461162</v>
      </c>
      <c r="H413" s="19" t="n">
        <v>16.5</v>
      </c>
      <c r="I413" s="17" t="n">
        <f aca="false">IF(H413="","",RANK(H413,$H$5:$H$491))</f>
        <v>409</v>
      </c>
      <c r="J413" s="24" t="n">
        <v>0.087640485621357</v>
      </c>
      <c r="K413" s="19" t="n">
        <v>49.3</v>
      </c>
      <c r="L413" s="17" t="n">
        <f aca="false">IF(K413="","",RANK(K413,$K$5:$K$491))</f>
        <v>257</v>
      </c>
      <c r="M413" s="25" t="n">
        <v>0.0049730625777041</v>
      </c>
      <c r="N413" s="19" t="n">
        <v>5</v>
      </c>
      <c r="O413" s="17" t="n">
        <f aca="false">IF(N413="","",RANK(N413,$N$5:$N$491))</f>
        <v>464</v>
      </c>
      <c r="P413" s="17" t="str">
        <f aca="false">IF(AND(N(H413)&gt;=N(K413),N(H413)&gt;=N(N413)),"The Pulse",IF(N(K413)&gt;=N(N413),"The Lens","The Hub"))</f>
        <v>The Lens</v>
      </c>
      <c r="Q413" s="20" t="s">
        <v>74</v>
      </c>
      <c r="R413" s="26" t="s">
        <v>668</v>
      </c>
      <c r="S413" s="17" t="s">
        <v>19</v>
      </c>
    </row>
    <row r="414" customFormat="false" ht="15" hidden="false" customHeight="false" outlineLevel="0" collapsed="false">
      <c r="A414" s="17" t="s">
        <v>964</v>
      </c>
      <c r="B414" s="17" t="s">
        <v>965</v>
      </c>
      <c r="C414" s="17" t="s">
        <v>2573</v>
      </c>
      <c r="D414" s="17" t="s">
        <v>72</v>
      </c>
      <c r="E414" s="18" t="n">
        <v>894591</v>
      </c>
      <c r="F414" s="17" t="s">
        <v>670</v>
      </c>
      <c r="G414" s="23" t="n">
        <v>0.599712047181338</v>
      </c>
      <c r="H414" s="19" t="n">
        <v>16.3</v>
      </c>
      <c r="I414" s="17" t="n">
        <f aca="false">IF(H414="","",RANK(H414,$H$5:$H$491))</f>
        <v>410</v>
      </c>
      <c r="J414" s="24" t="n">
        <v>0.0743205268618861</v>
      </c>
      <c r="K414" s="19" t="n">
        <v>45.8</v>
      </c>
      <c r="L414" s="17" t="n">
        <f aca="false">IF(K414="","",RANK(K414,$K$5:$K$491))</f>
        <v>274</v>
      </c>
      <c r="M414" s="25" t="n">
        <v>0.0914083387528001</v>
      </c>
      <c r="N414" s="19" t="n">
        <v>49.9</v>
      </c>
      <c r="O414" s="17" t="n">
        <f aca="false">IF(N414="","",RANK(N414,$N$5:$N$491))</f>
        <v>247</v>
      </c>
      <c r="P414" s="17" t="str">
        <f aca="false">IF(AND(N(H414)&gt;=N(K414),N(H414)&gt;=N(N414)),"The Pulse",IF(N(K414)&gt;=N(N414),"The Lens","The Hub"))</f>
        <v>The Hub</v>
      </c>
      <c r="Q414" s="20" t="s">
        <v>74</v>
      </c>
      <c r="R414" s="26" t="s">
        <v>668</v>
      </c>
      <c r="S414" s="17" t="s">
        <v>19</v>
      </c>
    </row>
    <row r="415" customFormat="false" ht="15" hidden="false" customHeight="false" outlineLevel="0" collapsed="false">
      <c r="A415" s="17" t="s">
        <v>1594</v>
      </c>
      <c r="B415" s="17" t="s">
        <v>1595</v>
      </c>
      <c r="C415" s="17" t="s">
        <v>2574</v>
      </c>
      <c r="D415" s="17" t="s">
        <v>81</v>
      </c>
      <c r="E415" s="18" t="n">
        <v>1039689</v>
      </c>
      <c r="F415" s="17" t="s">
        <v>752</v>
      </c>
      <c r="G415" s="23" t="n">
        <v>0.592011649637536</v>
      </c>
      <c r="H415" s="19" t="n">
        <v>16.2</v>
      </c>
      <c r="I415" s="17" t="n">
        <f aca="false">IF(H415="","",RANK(H415,$H$5:$H$491))</f>
        <v>411</v>
      </c>
      <c r="J415" s="24" t="n">
        <v>0.137408296374739</v>
      </c>
      <c r="K415" s="19" t="n">
        <v>90</v>
      </c>
      <c r="L415" s="17" t="n">
        <f aca="false">IF(K415="","",RANK(K415,$K$5:$K$491))</f>
        <v>51</v>
      </c>
      <c r="M415" s="25" t="n">
        <v>0.0513292527651219</v>
      </c>
      <c r="N415" s="19" t="n">
        <v>32</v>
      </c>
      <c r="O415" s="17" t="n">
        <f aca="false">IF(N415="","",RANK(N415,$N$5:$N$491))</f>
        <v>336</v>
      </c>
      <c r="P415" s="17" t="str">
        <f aca="false">IF(AND(N(H415)&gt;=N(K415),N(H415)&gt;=N(N415)),"The Pulse",IF(N(K415)&gt;=N(N415),"The Lens","The Hub"))</f>
        <v>The Lens</v>
      </c>
      <c r="Q415" s="20" t="s">
        <v>74</v>
      </c>
      <c r="R415" s="26" t="s">
        <v>668</v>
      </c>
      <c r="S415" s="17" t="s">
        <v>19</v>
      </c>
    </row>
    <row r="416" customFormat="false" ht="15" hidden="false" customHeight="false" outlineLevel="0" collapsed="false">
      <c r="A416" s="17" t="s">
        <v>615</v>
      </c>
      <c r="B416" s="17" t="s">
        <v>616</v>
      </c>
      <c r="C416" s="17" t="s">
        <v>2575</v>
      </c>
      <c r="D416" s="17" t="s">
        <v>114</v>
      </c>
      <c r="E416" s="18" t="n">
        <v>84170</v>
      </c>
      <c r="F416" s="17" t="s">
        <v>667</v>
      </c>
      <c r="G416" s="23" t="n">
        <v>0.589117262682666</v>
      </c>
      <c r="H416" s="19" t="n">
        <v>16</v>
      </c>
      <c r="I416" s="17" t="n">
        <f aca="false">IF(H416="","",RANK(H416,$H$5:$H$491))</f>
        <v>412</v>
      </c>
      <c r="J416" s="24" t="n">
        <v>0.0452135255622198</v>
      </c>
      <c r="K416" s="19" t="n">
        <v>28</v>
      </c>
      <c r="L416" s="17" t="n">
        <f aca="false">IF(K416="","",RANK(K416,$K$5:$K$491))</f>
        <v>355</v>
      </c>
      <c r="M416" s="25" t="n">
        <v>0.0280886047042704</v>
      </c>
      <c r="N416" s="19" t="n">
        <v>17.9</v>
      </c>
      <c r="O416" s="17" t="n">
        <f aca="false">IF(N416="","",RANK(N416,$N$5:$N$491))</f>
        <v>406</v>
      </c>
      <c r="P416" s="17" t="str">
        <f aca="false">IF(AND(N(H416)&gt;=N(K416),N(H416)&gt;=N(N416)),"The Pulse",IF(N(K416)&gt;=N(N416),"The Lens","The Hub"))</f>
        <v>The Lens</v>
      </c>
      <c r="Q416" s="20" t="s">
        <v>74</v>
      </c>
      <c r="R416" s="27" t="s">
        <v>671</v>
      </c>
      <c r="S416" s="17" t="s">
        <v>19</v>
      </c>
    </row>
    <row r="417" customFormat="false" ht="15" hidden="false" customHeight="false" outlineLevel="0" collapsed="false">
      <c r="A417" s="17" t="s">
        <v>2576</v>
      </c>
      <c r="B417" s="17" t="s">
        <v>2577</v>
      </c>
      <c r="C417" s="17" t="s">
        <v>2578</v>
      </c>
      <c r="D417" s="17" t="s">
        <v>138</v>
      </c>
      <c r="E417" s="18" t="n">
        <v>375632</v>
      </c>
      <c r="F417" s="17" t="s">
        <v>670</v>
      </c>
      <c r="G417" s="23" t="n">
        <v>0.587641627976317</v>
      </c>
      <c r="H417" s="19" t="n">
        <v>15.8</v>
      </c>
      <c r="I417" s="17" t="n">
        <f aca="false">IF(H417="","",RANK(H417,$H$5:$H$491))</f>
        <v>413</v>
      </c>
      <c r="J417" s="24" t="n">
        <v>0.036100445739</v>
      </c>
      <c r="K417" s="19" t="n">
        <v>27.7</v>
      </c>
      <c r="L417" s="17" t="n">
        <f aca="false">IF(K417="","",RANK(K417,$K$5:$K$491))</f>
        <v>357</v>
      </c>
      <c r="M417" s="25" t="n">
        <v>0.205259949490551</v>
      </c>
      <c r="N417" s="19" t="n">
        <v>84</v>
      </c>
      <c r="O417" s="17" t="n">
        <f aca="false">IF(N417="","",RANK(N417,$N$5:$N$491))</f>
        <v>80</v>
      </c>
      <c r="P417" s="17" t="str">
        <f aca="false">IF(AND(N(H417)&gt;=N(K417),N(H417)&gt;=N(N417)),"The Pulse",IF(N(K417)&gt;=N(N417),"The Lens","The Hub"))</f>
        <v>The Hub</v>
      </c>
      <c r="Q417" s="20" t="s">
        <v>74</v>
      </c>
      <c r="R417" s="26" t="s">
        <v>668</v>
      </c>
      <c r="S417" s="17" t="s">
        <v>19</v>
      </c>
    </row>
    <row r="418" customFormat="false" ht="15" hidden="false" customHeight="false" outlineLevel="0" collapsed="false">
      <c r="A418" s="17" t="s">
        <v>1696</v>
      </c>
      <c r="B418" s="17" t="s">
        <v>1697</v>
      </c>
      <c r="C418" s="17" t="s">
        <v>2579</v>
      </c>
      <c r="D418" s="17" t="s">
        <v>72</v>
      </c>
      <c r="E418" s="18" t="n">
        <v>7997</v>
      </c>
      <c r="F418" s="17" t="s">
        <v>678</v>
      </c>
      <c r="G418" s="23" t="n">
        <v>0.586594973114918</v>
      </c>
      <c r="H418" s="19" t="n">
        <v>15.6</v>
      </c>
      <c r="I418" s="17" t="n">
        <f aca="false">IF(H418="","",RANK(H418,$H$5:$H$491))</f>
        <v>414</v>
      </c>
      <c r="J418" s="24" t="n">
        <v>0.0174300254452926</v>
      </c>
      <c r="K418" s="19" t="n">
        <v>10.7</v>
      </c>
      <c r="L418" s="17" t="n">
        <f aca="false">IF(K418="","",RANK(K418,$K$5:$K$491))</f>
        <v>436</v>
      </c>
      <c r="M418" s="25" t="n">
        <v>0.0779816513761468</v>
      </c>
      <c r="N418" s="19" t="n">
        <v>43.6</v>
      </c>
      <c r="O418" s="17" t="n">
        <f aca="false">IF(N418="","",RANK(N418,$N$5:$N$491))</f>
        <v>280</v>
      </c>
      <c r="P418" s="17" t="str">
        <f aca="false">IF(AND(N(H418)&gt;=N(K418),N(H418)&gt;=N(N418)),"The Pulse",IF(N(K418)&gt;=N(N418),"The Lens","The Hub"))</f>
        <v>The Hub</v>
      </c>
      <c r="Q418" s="20" t="s">
        <v>74</v>
      </c>
      <c r="R418" s="26" t="s">
        <v>668</v>
      </c>
      <c r="S418" s="17" t="s">
        <v>19</v>
      </c>
    </row>
    <row r="419" customFormat="false" ht="15" hidden="false" customHeight="false" outlineLevel="0" collapsed="false">
      <c r="A419" s="17" t="s">
        <v>2580</v>
      </c>
      <c r="B419" s="17" t="s">
        <v>2581</v>
      </c>
      <c r="C419" s="17" t="s">
        <v>2582</v>
      </c>
      <c r="D419" s="17" t="s">
        <v>81</v>
      </c>
      <c r="E419" s="18" t="n">
        <v>62544</v>
      </c>
      <c r="F419" s="17" t="s">
        <v>667</v>
      </c>
      <c r="G419" s="23" t="n">
        <v>0.577689306728063</v>
      </c>
      <c r="H419" s="19" t="n">
        <v>15.4</v>
      </c>
      <c r="I419" s="17" t="n">
        <f aca="false">IF(H419="","",RANK(H419,$H$5:$H$491))</f>
        <v>415</v>
      </c>
      <c r="J419" s="24" t="n">
        <v>0.0386090768694266</v>
      </c>
      <c r="K419" s="19" t="n">
        <v>26.6</v>
      </c>
      <c r="L419" s="17" t="n">
        <f aca="false">IF(K419="","",RANK(K419,$K$5:$K$491))</f>
        <v>362</v>
      </c>
      <c r="M419" s="25" t="n">
        <v>0.249356002060793</v>
      </c>
      <c r="N419" s="19" t="n">
        <v>92</v>
      </c>
      <c r="O419" s="17" t="n">
        <f aca="false">IF(N419="","",RANK(N419,$N$5:$N$491))</f>
        <v>40</v>
      </c>
      <c r="P419" s="17" t="str">
        <f aca="false">IF(AND(N(H419)&gt;=N(K419),N(H419)&gt;=N(N419)),"The Pulse",IF(N(K419)&gt;=N(N419),"The Lens","The Hub"))</f>
        <v>The Hub</v>
      </c>
      <c r="Q419" s="20" t="s">
        <v>74</v>
      </c>
      <c r="R419" s="26" t="s">
        <v>668</v>
      </c>
      <c r="S419" s="17" t="s">
        <v>19</v>
      </c>
    </row>
    <row r="420" customFormat="false" ht="15" hidden="false" customHeight="false" outlineLevel="0" collapsed="false">
      <c r="A420" s="17" t="s">
        <v>619</v>
      </c>
      <c r="B420" s="17" t="s">
        <v>620</v>
      </c>
      <c r="C420" s="17" t="s">
        <v>2583</v>
      </c>
      <c r="D420" s="17" t="s">
        <v>105</v>
      </c>
      <c r="E420" s="18" t="n">
        <v>38165</v>
      </c>
      <c r="F420" s="17" t="s">
        <v>667</v>
      </c>
      <c r="G420" s="23" t="n">
        <v>0.575946547884187</v>
      </c>
      <c r="H420" s="19" t="n">
        <v>15.2</v>
      </c>
      <c r="I420" s="17" t="n">
        <f aca="false">IF(H420="","",RANK(H420,$H$5:$H$491))</f>
        <v>416</v>
      </c>
      <c r="J420" s="24" t="n">
        <v>-0.0448243067374112</v>
      </c>
      <c r="K420" s="19" t="n">
        <v>2.8</v>
      </c>
      <c r="L420" s="17" t="n">
        <f aca="false">IF(K420="","",RANK(K420,$K$5:$K$491))</f>
        <v>476</v>
      </c>
      <c r="M420" s="25" t="n">
        <v>0.172914147521161</v>
      </c>
      <c r="N420" s="19" t="n">
        <v>77.7</v>
      </c>
      <c r="O420" s="17" t="n">
        <f aca="false">IF(N420="","",RANK(N420,$N$5:$N$491))</f>
        <v>109</v>
      </c>
      <c r="P420" s="17" t="str">
        <f aca="false">IF(AND(N(H420)&gt;=N(K420),N(H420)&gt;=N(N420)),"The Pulse",IF(N(K420)&gt;=N(N420),"The Lens","The Hub"))</f>
        <v>The Hub</v>
      </c>
      <c r="Q420" s="20" t="s">
        <v>74</v>
      </c>
      <c r="R420" s="27" t="s">
        <v>671</v>
      </c>
      <c r="S420" s="17" t="s">
        <v>19</v>
      </c>
    </row>
    <row r="421" customFormat="false" ht="15" hidden="false" customHeight="false" outlineLevel="0" collapsed="false">
      <c r="A421" s="17" t="s">
        <v>337</v>
      </c>
      <c r="B421" s="17" t="s">
        <v>338</v>
      </c>
      <c r="C421" s="17" t="s">
        <v>2584</v>
      </c>
      <c r="D421" s="17" t="s">
        <v>92</v>
      </c>
      <c r="E421" s="18" t="n">
        <v>42796</v>
      </c>
      <c r="F421" s="17" t="s">
        <v>667</v>
      </c>
      <c r="G421" s="23" t="n">
        <v>0.574820076642677</v>
      </c>
      <c r="H421" s="19" t="n">
        <v>15</v>
      </c>
      <c r="I421" s="17" t="n">
        <f aca="false">IF(H421="","",RANK(H421,$H$5:$H$491))</f>
        <v>417</v>
      </c>
      <c r="J421" s="24" t="n">
        <v>0.170568927789934</v>
      </c>
      <c r="K421" s="19" t="n">
        <v>86.5</v>
      </c>
      <c r="L421" s="17" t="n">
        <f aca="false">IF(K421="","",RANK(K421,$K$5:$K$491))</f>
        <v>68</v>
      </c>
      <c r="M421" s="25" t="n">
        <v>0.0544943820224719</v>
      </c>
      <c r="N421" s="19" t="n">
        <v>33.9</v>
      </c>
      <c r="O421" s="17" t="n">
        <f aca="false">IF(N421="","",RANK(N421,$N$5:$N$491))</f>
        <v>327</v>
      </c>
      <c r="P421" s="17" t="str">
        <f aca="false">IF(AND(N(H421)&gt;=N(K421),N(H421)&gt;=N(N421)),"The Pulse",IF(N(K421)&gt;=N(N421),"The Lens","The Hub"))</f>
        <v>The Lens</v>
      </c>
      <c r="Q421" s="20" t="s">
        <v>74</v>
      </c>
      <c r="R421" s="27" t="s">
        <v>671</v>
      </c>
      <c r="S421" s="17" t="s">
        <v>19</v>
      </c>
    </row>
    <row r="422" customFormat="false" ht="15" hidden="false" customHeight="false" outlineLevel="0" collapsed="false">
      <c r="A422" s="17" t="s">
        <v>2585</v>
      </c>
      <c r="B422" s="17" t="s">
        <v>2586</v>
      </c>
      <c r="C422" s="17" t="s">
        <v>2587</v>
      </c>
      <c r="D422" s="17" t="s">
        <v>105</v>
      </c>
      <c r="E422" s="18" t="n">
        <v>86434</v>
      </c>
      <c r="F422" s="17" t="s">
        <v>667</v>
      </c>
      <c r="G422" s="23" t="n">
        <v>0.574276326445612</v>
      </c>
      <c r="H422" s="19" t="n">
        <v>14.8</v>
      </c>
      <c r="I422" s="17" t="n">
        <f aca="false">IF(H422="","",RANK(H422,$H$5:$H$491))</f>
        <v>418</v>
      </c>
      <c r="J422" s="24" t="n">
        <v>0.0384084001105278</v>
      </c>
      <c r="K422" s="19" t="n">
        <v>25.9</v>
      </c>
      <c r="L422" s="17" t="n">
        <f aca="false">IF(K422="","",RANK(K422,$K$5:$K$491))</f>
        <v>365</v>
      </c>
      <c r="M422" s="25" t="n">
        <v>0.258376094174464</v>
      </c>
      <c r="N422" s="19" t="n">
        <v>93.7</v>
      </c>
      <c r="O422" s="17" t="n">
        <f aca="false">IF(N422="","",RANK(N422,$N$5:$N$491))</f>
        <v>31</v>
      </c>
      <c r="P422" s="17" t="str">
        <f aca="false">IF(AND(N(H422)&gt;=N(K422),N(H422)&gt;=N(N422)),"The Pulse",IF(N(K422)&gt;=N(N422),"The Lens","The Hub"))</f>
        <v>The Hub</v>
      </c>
      <c r="Q422" s="20" t="s">
        <v>74</v>
      </c>
      <c r="R422" s="26" t="s">
        <v>668</v>
      </c>
      <c r="S422" s="17" t="s">
        <v>19</v>
      </c>
    </row>
    <row r="423" customFormat="false" ht="15" hidden="false" customHeight="false" outlineLevel="0" collapsed="false">
      <c r="A423" s="17" t="s">
        <v>905</v>
      </c>
      <c r="B423" s="17" t="s">
        <v>906</v>
      </c>
      <c r="C423" s="17" t="s">
        <v>2588</v>
      </c>
      <c r="D423" s="17" t="s">
        <v>77</v>
      </c>
      <c r="E423" s="18" t="n">
        <v>76389</v>
      </c>
      <c r="F423" s="17" t="s">
        <v>667</v>
      </c>
      <c r="G423" s="23" t="n">
        <v>0.572935893911427</v>
      </c>
      <c r="H423" s="19" t="n">
        <v>14.6</v>
      </c>
      <c r="I423" s="17" t="n">
        <f aca="false">IF(H423="","",RANK(H423,$H$5:$H$491))</f>
        <v>419</v>
      </c>
      <c r="J423" s="24" t="n">
        <v>0.107970121111031</v>
      </c>
      <c r="K423" s="19" t="n">
        <v>58.2</v>
      </c>
      <c r="L423" s="17" t="n">
        <f aca="false">IF(K423="","",RANK(K423,$K$5:$K$491))</f>
        <v>212</v>
      </c>
      <c r="M423" s="25" t="n">
        <v>0.49239093676023</v>
      </c>
      <c r="N423" s="19" t="n">
        <v>100</v>
      </c>
      <c r="O423" s="17" t="n">
        <f aca="false">IF(N423="","",RANK(N423,$N$5:$N$491))</f>
        <v>1</v>
      </c>
      <c r="P423" s="17" t="str">
        <f aca="false">IF(AND(N(H423)&gt;=N(K423),N(H423)&gt;=N(N423)),"The Pulse",IF(N(K423)&gt;=N(N423),"The Lens","The Hub"))</f>
        <v>The Hub</v>
      </c>
      <c r="Q423" s="20" t="s">
        <v>74</v>
      </c>
      <c r="R423" s="26" t="s">
        <v>668</v>
      </c>
      <c r="S423" s="17" t="s">
        <v>19</v>
      </c>
    </row>
    <row r="424" customFormat="false" ht="15" hidden="false" customHeight="false" outlineLevel="0" collapsed="false">
      <c r="A424" s="17" t="s">
        <v>1454</v>
      </c>
      <c r="B424" s="17" t="s">
        <v>1455</v>
      </c>
      <c r="C424" s="17" t="s">
        <v>2589</v>
      </c>
      <c r="D424" s="17" t="s">
        <v>77</v>
      </c>
      <c r="E424" s="18" t="n">
        <v>30879</v>
      </c>
      <c r="F424" s="17" t="s">
        <v>667</v>
      </c>
      <c r="G424" s="23" t="n">
        <v>0.569804721655494</v>
      </c>
      <c r="H424" s="19" t="n">
        <v>14.4</v>
      </c>
      <c r="I424" s="17" t="n">
        <f aca="false">IF(H424="","",RANK(H424,$H$5:$H$491))</f>
        <v>420</v>
      </c>
      <c r="J424" s="24" t="n">
        <v>0.0886687350162177</v>
      </c>
      <c r="K424" s="19" t="n">
        <v>49.6</v>
      </c>
      <c r="L424" s="17" t="n">
        <f aca="false">IF(K424="","",RANK(K424,$K$5:$K$491))</f>
        <v>255</v>
      </c>
      <c r="M424" s="25" t="n">
        <v>0.255294117647059</v>
      </c>
      <c r="N424" s="19" t="n">
        <v>93.1</v>
      </c>
      <c r="O424" s="17" t="n">
        <f aca="false">IF(N424="","",RANK(N424,$N$5:$N$491))</f>
        <v>34</v>
      </c>
      <c r="P424" s="17" t="str">
        <f aca="false">IF(AND(N(H424)&gt;=N(K424),N(H424)&gt;=N(N424)),"The Pulse",IF(N(K424)&gt;=N(N424),"The Lens","The Hub"))</f>
        <v>The Hub</v>
      </c>
      <c r="Q424" s="20" t="s">
        <v>74</v>
      </c>
      <c r="R424" s="26" t="s">
        <v>668</v>
      </c>
      <c r="S424" s="17" t="s">
        <v>19</v>
      </c>
    </row>
    <row r="425" customFormat="false" ht="15" hidden="false" customHeight="false" outlineLevel="0" collapsed="false">
      <c r="A425" s="17" t="s">
        <v>2590</v>
      </c>
      <c r="B425" s="17" t="s">
        <v>2591</v>
      </c>
      <c r="C425" s="17" t="s">
        <v>2592</v>
      </c>
      <c r="D425" s="17" t="s">
        <v>72</v>
      </c>
      <c r="E425" s="18" t="n">
        <v>17069</v>
      </c>
      <c r="F425" s="17" t="s">
        <v>667</v>
      </c>
      <c r="G425" s="23" t="n">
        <v>0.569160466342492</v>
      </c>
      <c r="H425" s="19" t="n">
        <v>14.3</v>
      </c>
      <c r="I425" s="17" t="n">
        <f aca="false">IF(H425="","",RANK(H425,$H$5:$H$491))</f>
        <v>421</v>
      </c>
      <c r="J425" s="24" t="n">
        <v>0.138996396636861</v>
      </c>
      <c r="K425" s="19" t="n">
        <v>72</v>
      </c>
      <c r="L425" s="17" t="n">
        <f aca="false">IF(K425="","",RANK(K425,$K$5:$K$491))</f>
        <v>142</v>
      </c>
      <c r="M425" s="25" t="n">
        <v>0.0253521126760563</v>
      </c>
      <c r="N425" s="19" t="n">
        <v>15</v>
      </c>
      <c r="O425" s="17" t="n">
        <f aca="false">IF(N425="","",RANK(N425,$N$5:$N$491))</f>
        <v>420</v>
      </c>
      <c r="P425" s="17" t="str">
        <f aca="false">IF(AND(N(H425)&gt;=N(K425),N(H425)&gt;=N(N425)),"The Pulse",IF(N(K425)&gt;=N(N425),"The Lens","The Hub"))</f>
        <v>The Lens</v>
      </c>
      <c r="Q425" s="20" t="s">
        <v>74</v>
      </c>
      <c r="R425" s="26" t="s">
        <v>668</v>
      </c>
      <c r="S425" s="17" t="s">
        <v>19</v>
      </c>
    </row>
    <row r="426" customFormat="false" ht="15" hidden="false" customHeight="false" outlineLevel="0" collapsed="false">
      <c r="A426" s="17" t="s">
        <v>2593</v>
      </c>
      <c r="B426" s="17" t="s">
        <v>2594</v>
      </c>
      <c r="C426" s="17" t="s">
        <v>2595</v>
      </c>
      <c r="D426" s="17" t="s">
        <v>138</v>
      </c>
      <c r="E426" s="18" t="n">
        <v>160421</v>
      </c>
      <c r="F426" s="17" t="s">
        <v>670</v>
      </c>
      <c r="G426" s="23" t="n">
        <v>0.562145853722393</v>
      </c>
      <c r="H426" s="19" t="n">
        <v>14.1</v>
      </c>
      <c r="I426" s="17" t="n">
        <f aca="false">IF(H426="","",RANK(H426,$H$5:$H$491))</f>
        <v>422</v>
      </c>
      <c r="J426" s="24" t="n">
        <v>0.0770847321068887</v>
      </c>
      <c r="K426" s="19" t="n">
        <v>47.6</v>
      </c>
      <c r="L426" s="17" t="n">
        <f aca="false">IF(K426="","",RANK(K426,$K$5:$K$491))</f>
        <v>265</v>
      </c>
      <c r="M426" s="25" t="n">
        <v>0.101356350184957</v>
      </c>
      <c r="N426" s="19" t="n">
        <v>56</v>
      </c>
      <c r="O426" s="17" t="n">
        <f aca="false">IF(N426="","",RANK(N426,$N$5:$N$491))</f>
        <v>219</v>
      </c>
      <c r="P426" s="17" t="str">
        <f aca="false">IF(AND(N(H426)&gt;=N(K426),N(H426)&gt;=N(N426)),"The Pulse",IF(N(K426)&gt;=N(N426),"The Lens","The Hub"))</f>
        <v>The Hub</v>
      </c>
      <c r="Q426" s="20" t="s">
        <v>74</v>
      </c>
      <c r="R426" s="26" t="s">
        <v>668</v>
      </c>
      <c r="S426" s="17" t="s">
        <v>19</v>
      </c>
    </row>
    <row r="427" customFormat="false" ht="15" hidden="false" customHeight="false" outlineLevel="0" collapsed="false">
      <c r="A427" s="17" t="s">
        <v>2596</v>
      </c>
      <c r="B427" s="17" t="s">
        <v>2597</v>
      </c>
      <c r="C427" s="17" t="s">
        <v>2598</v>
      </c>
      <c r="D427" s="17" t="s">
        <v>77</v>
      </c>
      <c r="E427" s="18" t="n">
        <v>27508</v>
      </c>
      <c r="F427" s="17" t="s">
        <v>667</v>
      </c>
      <c r="G427" s="23" t="n">
        <v>0.560927730114876</v>
      </c>
      <c r="H427" s="19" t="n">
        <v>13.9</v>
      </c>
      <c r="I427" s="17" t="n">
        <f aca="false">IF(H427="","",RANK(H427,$H$5:$H$491))</f>
        <v>423</v>
      </c>
      <c r="J427" s="24" t="n">
        <v>0.0753713838936669</v>
      </c>
      <c r="K427" s="19" t="n">
        <v>41.5</v>
      </c>
      <c r="L427" s="17" t="n">
        <f aca="false">IF(K427="","",RANK(K427,$K$5:$K$491))</f>
        <v>295</v>
      </c>
      <c r="M427" s="25" t="n">
        <v>0.0646672914714152</v>
      </c>
      <c r="N427" s="19" t="n">
        <v>38.1</v>
      </c>
      <c r="O427" s="17" t="n">
        <f aca="false">IF(N427="","",RANK(N427,$N$5:$N$491))</f>
        <v>307</v>
      </c>
      <c r="P427" s="17" t="str">
        <f aca="false">IF(AND(N(H427)&gt;=N(K427),N(H427)&gt;=N(N427)),"The Pulse",IF(N(K427)&gt;=N(N427),"The Lens","The Hub"))</f>
        <v>The Lens</v>
      </c>
      <c r="Q427" s="20" t="s">
        <v>74</v>
      </c>
      <c r="R427" s="26" t="s">
        <v>668</v>
      </c>
      <c r="S427" s="17" t="s">
        <v>19</v>
      </c>
    </row>
    <row r="428" customFormat="false" ht="15" hidden="false" customHeight="false" outlineLevel="0" collapsed="false">
      <c r="A428" s="17" t="s">
        <v>675</v>
      </c>
      <c r="B428" s="17" t="s">
        <v>676</v>
      </c>
      <c r="C428" s="17" t="s">
        <v>2599</v>
      </c>
      <c r="D428" s="17" t="s">
        <v>72</v>
      </c>
      <c r="E428" s="18" t="n">
        <v>125890</v>
      </c>
      <c r="F428" s="17" t="s">
        <v>670</v>
      </c>
      <c r="G428" s="23" t="n">
        <v>0.549908650409087</v>
      </c>
      <c r="H428" s="19" t="n">
        <v>13.7</v>
      </c>
      <c r="I428" s="17" t="n">
        <f aca="false">IF(H428="","",RANK(H428,$H$5:$H$491))</f>
        <v>424</v>
      </c>
      <c r="J428" s="24" t="n">
        <v>0.044999128406478</v>
      </c>
      <c r="K428" s="19" t="n">
        <v>31.3</v>
      </c>
      <c r="L428" s="17" t="n">
        <f aca="false">IF(K428="","",RANK(K428,$K$5:$K$491))</f>
        <v>340</v>
      </c>
      <c r="M428" s="25" t="n">
        <v>0.221655328798186</v>
      </c>
      <c r="N428" s="19" t="n">
        <v>87.6</v>
      </c>
      <c r="O428" s="17" t="n">
        <f aca="false">IF(N428="","",RANK(N428,$N$5:$N$491))</f>
        <v>62</v>
      </c>
      <c r="P428" s="17" t="str">
        <f aca="false">IF(AND(N(H428)&gt;=N(K428),N(H428)&gt;=N(N428)),"The Pulse",IF(N(K428)&gt;=N(N428),"The Lens","The Hub"))</f>
        <v>The Hub</v>
      </c>
      <c r="Q428" s="20" t="s">
        <v>74</v>
      </c>
      <c r="R428" s="26" t="s">
        <v>668</v>
      </c>
      <c r="S428" s="17" t="s">
        <v>19</v>
      </c>
    </row>
    <row r="429" customFormat="false" ht="15" hidden="false" customHeight="false" outlineLevel="0" collapsed="false">
      <c r="A429" s="17" t="s">
        <v>2600</v>
      </c>
      <c r="B429" s="17" t="s">
        <v>2601</v>
      </c>
      <c r="C429" s="17" t="s">
        <v>2602</v>
      </c>
      <c r="D429" s="17" t="s">
        <v>92</v>
      </c>
      <c r="E429" s="18" t="n">
        <v>65015</v>
      </c>
      <c r="F429" s="17" t="s">
        <v>667</v>
      </c>
      <c r="G429" s="23" t="n">
        <v>0.548011997231408</v>
      </c>
      <c r="H429" s="19" t="n">
        <v>13.5</v>
      </c>
      <c r="I429" s="17" t="n">
        <f aca="false">IF(H429="","",RANK(H429,$H$5:$H$491))</f>
        <v>425</v>
      </c>
      <c r="J429" s="24" t="n">
        <v>0.0104126194731525</v>
      </c>
      <c r="K429" s="19" t="n">
        <v>13.5</v>
      </c>
      <c r="L429" s="17" t="n">
        <f aca="false">IF(K429="","",RANK(K429,$K$5:$K$491))</f>
        <v>422</v>
      </c>
      <c r="M429" s="25" t="n">
        <v>0.0167064439140812</v>
      </c>
      <c r="N429" s="19" t="n">
        <v>10.7</v>
      </c>
      <c r="O429" s="17" t="n">
        <f aca="false">IF(N429="","",RANK(N429,$N$5:$N$491))</f>
        <v>440</v>
      </c>
      <c r="P429" s="17" t="str">
        <f aca="false">IF(AND(N(H429)&gt;=N(K429),N(H429)&gt;=N(N429)),"The Pulse",IF(N(K429)&gt;=N(N429),"The Lens","The Hub"))</f>
        <v>The Pulse</v>
      </c>
      <c r="Q429" s="20" t="s">
        <v>74</v>
      </c>
      <c r="R429" s="26" t="s">
        <v>668</v>
      </c>
      <c r="S429" s="17" t="s">
        <v>19</v>
      </c>
    </row>
    <row r="430" customFormat="false" ht="15" hidden="false" customHeight="false" outlineLevel="0" collapsed="false">
      <c r="A430" s="17" t="s">
        <v>1786</v>
      </c>
      <c r="B430" s="17" t="s">
        <v>1787</v>
      </c>
      <c r="C430" s="17" t="s">
        <v>2603</v>
      </c>
      <c r="D430" s="17" t="s">
        <v>105</v>
      </c>
      <c r="E430" s="18" t="n">
        <v>17648</v>
      </c>
      <c r="F430" s="17" t="s">
        <v>667</v>
      </c>
      <c r="G430" s="23" t="n">
        <v>0.544820942883046</v>
      </c>
      <c r="H430" s="19" t="n">
        <v>13.3</v>
      </c>
      <c r="I430" s="17" t="n">
        <f aca="false">IF(H430="","",RANK(H430,$H$5:$H$491))</f>
        <v>426</v>
      </c>
      <c r="J430" s="24" t="n">
        <v>0.193561477072907</v>
      </c>
      <c r="K430" s="19" t="n">
        <v>92.2</v>
      </c>
      <c r="L430" s="17" t="n">
        <f aca="false">IF(K430="","",RANK(K430,$K$5:$K$491))</f>
        <v>39</v>
      </c>
      <c r="M430" s="25" t="n">
        <v>0.170854271356784</v>
      </c>
      <c r="N430" s="19" t="n">
        <v>77.3</v>
      </c>
      <c r="O430" s="17" t="n">
        <f aca="false">IF(N430="","",RANK(N430,$N$5:$N$491))</f>
        <v>111</v>
      </c>
      <c r="P430" s="17" t="str">
        <f aca="false">IF(AND(N(H430)&gt;=N(K430),N(H430)&gt;=N(N430)),"The Pulse",IF(N(K430)&gt;=N(N430),"The Lens","The Hub"))</f>
        <v>The Lens</v>
      </c>
      <c r="Q430" s="20" t="s">
        <v>74</v>
      </c>
      <c r="R430" s="26" t="s">
        <v>668</v>
      </c>
      <c r="S430" s="17" t="s">
        <v>19</v>
      </c>
    </row>
    <row r="431" customFormat="false" ht="15" hidden="false" customHeight="false" outlineLevel="0" collapsed="false">
      <c r="A431" s="17" t="s">
        <v>2604</v>
      </c>
      <c r="B431" s="17" t="s">
        <v>2605</v>
      </c>
      <c r="C431" s="17" t="s">
        <v>2606</v>
      </c>
      <c r="D431" s="17" t="s">
        <v>72</v>
      </c>
      <c r="E431" s="18" t="n">
        <v>10262</v>
      </c>
      <c r="F431" s="17" t="s">
        <v>667</v>
      </c>
      <c r="G431" s="23" t="n">
        <v>0.539465991034886</v>
      </c>
      <c r="H431" s="19" t="n">
        <v>12.9</v>
      </c>
      <c r="I431" s="17" t="n">
        <f aca="false">IF(H431="","",RANK(H431,$H$5:$H$491))</f>
        <v>427</v>
      </c>
      <c r="J431" s="24" t="n">
        <v>0.0575020610057708</v>
      </c>
      <c r="K431" s="19" t="n">
        <v>34</v>
      </c>
      <c r="L431" s="17" t="n">
        <f aca="false">IF(K431="","",RANK(K431,$K$5:$K$491))</f>
        <v>327</v>
      </c>
      <c r="M431" s="25" t="n">
        <v>0.314685314685315</v>
      </c>
      <c r="N431" s="19" t="n">
        <v>97.1</v>
      </c>
      <c r="O431" s="17" t="n">
        <f aca="false">IF(N431="","",RANK(N431,$N$5:$N$491))</f>
        <v>15</v>
      </c>
      <c r="P431" s="17" t="str">
        <f aca="false">IF(AND(N(H431)&gt;=N(K431),N(H431)&gt;=N(N431)),"The Pulse",IF(N(K431)&gt;=N(N431),"The Lens","The Hub"))</f>
        <v>The Hub</v>
      </c>
      <c r="Q431" s="20" t="s">
        <v>74</v>
      </c>
      <c r="R431" s="26" t="s">
        <v>668</v>
      </c>
      <c r="S431" s="17" t="s">
        <v>19</v>
      </c>
    </row>
    <row r="432" customFormat="false" ht="15" hidden="false" customHeight="false" outlineLevel="0" collapsed="false">
      <c r="A432" s="17" t="s">
        <v>533</v>
      </c>
      <c r="B432" s="17" t="s">
        <v>534</v>
      </c>
      <c r="C432" s="17" t="s">
        <v>2607</v>
      </c>
      <c r="D432" s="17" t="s">
        <v>81</v>
      </c>
      <c r="E432" s="18" t="n">
        <v>62749</v>
      </c>
      <c r="F432" s="17" t="s">
        <v>667</v>
      </c>
      <c r="G432" s="23" t="n">
        <v>0.531323208337982</v>
      </c>
      <c r="H432" s="19" t="n">
        <v>12.7</v>
      </c>
      <c r="I432" s="17" t="n">
        <f aca="false">IF(H432="","",RANK(H432,$H$5:$H$491))</f>
        <v>428</v>
      </c>
      <c r="J432" s="24" t="n">
        <v>0.10867875189936</v>
      </c>
      <c r="K432" s="19" t="n">
        <v>58.5</v>
      </c>
      <c r="L432" s="17" t="n">
        <f aca="false">IF(K432="","",RANK(K432,$K$5:$K$491))</f>
        <v>210</v>
      </c>
      <c r="M432" s="25" t="n">
        <v>0.0685375067458176</v>
      </c>
      <c r="N432" s="19" t="n">
        <v>39.8</v>
      </c>
      <c r="O432" s="17" t="n">
        <f aca="false">IF(N432="","",RANK(N432,$N$5:$N$491))</f>
        <v>299</v>
      </c>
      <c r="P432" s="17" t="str">
        <f aca="false">IF(AND(N(H432)&gt;=N(K432),N(H432)&gt;=N(N432)),"The Pulse",IF(N(K432)&gt;=N(N432),"The Lens","The Hub"))</f>
        <v>The Lens</v>
      </c>
      <c r="Q432" s="20" t="s">
        <v>74</v>
      </c>
      <c r="R432" s="27" t="s">
        <v>671</v>
      </c>
      <c r="S432" s="17" t="s">
        <v>19</v>
      </c>
    </row>
    <row r="433" customFormat="false" ht="15" hidden="false" customHeight="false" outlineLevel="0" collapsed="false">
      <c r="A433" s="17" t="s">
        <v>2608</v>
      </c>
      <c r="B433" s="17" t="s">
        <v>2609</v>
      </c>
      <c r="C433" s="17" t="s">
        <v>2610</v>
      </c>
      <c r="D433" s="17" t="s">
        <v>81</v>
      </c>
      <c r="E433" s="18" t="n">
        <v>10755</v>
      </c>
      <c r="F433" s="17" t="s">
        <v>667</v>
      </c>
      <c r="G433" s="23" t="n">
        <v>0.528777312877731</v>
      </c>
      <c r="H433" s="19" t="n">
        <v>12.5</v>
      </c>
      <c r="I433" s="17" t="n">
        <f aca="false">IF(H433="","",RANK(H433,$H$5:$H$491))</f>
        <v>429</v>
      </c>
      <c r="J433" s="24" t="n">
        <v>0.0288912273988329</v>
      </c>
      <c r="K433" s="19" t="n">
        <v>20.6</v>
      </c>
      <c r="L433" s="17" t="n">
        <f aca="false">IF(K433="","",RANK(K433,$K$5:$K$491))</f>
        <v>388</v>
      </c>
      <c r="M433" s="25" t="n">
        <v>0.198653198653199</v>
      </c>
      <c r="N433" s="19" t="n">
        <v>82.3</v>
      </c>
      <c r="O433" s="17" t="n">
        <f aca="false">IF(N433="","",RANK(N433,$N$5:$N$491))</f>
        <v>86</v>
      </c>
      <c r="P433" s="17" t="str">
        <f aca="false">IF(AND(N(H433)&gt;=N(K433),N(H433)&gt;=N(N433)),"The Pulse",IF(N(K433)&gt;=N(N433),"The Lens","The Hub"))</f>
        <v>The Hub</v>
      </c>
      <c r="Q433" s="20" t="s">
        <v>74</v>
      </c>
      <c r="R433" s="26" t="s">
        <v>668</v>
      </c>
      <c r="S433" s="17" t="s">
        <v>19</v>
      </c>
    </row>
    <row r="434" customFormat="false" ht="15" hidden="false" customHeight="false" outlineLevel="0" collapsed="false">
      <c r="A434" s="17" t="s">
        <v>730</v>
      </c>
      <c r="B434" s="17" t="s">
        <v>731</v>
      </c>
      <c r="C434" s="17" t="s">
        <v>2611</v>
      </c>
      <c r="D434" s="17" t="s">
        <v>102</v>
      </c>
      <c r="E434" s="18" t="n">
        <v>391980</v>
      </c>
      <c r="F434" s="17" t="s">
        <v>670</v>
      </c>
      <c r="G434" s="23" t="n">
        <v>0.520886269707638</v>
      </c>
      <c r="H434" s="19" t="n">
        <v>12.4</v>
      </c>
      <c r="I434" s="17" t="n">
        <f aca="false">IF(H434="","",RANK(H434,$H$5:$H$491))</f>
        <v>430</v>
      </c>
      <c r="J434" s="24" t="n">
        <v>0.127837721191196</v>
      </c>
      <c r="K434" s="19" t="n">
        <v>71.1</v>
      </c>
      <c r="L434" s="17" t="n">
        <f aca="false">IF(K434="","",RANK(K434,$K$5:$K$491))</f>
        <v>147</v>
      </c>
      <c r="M434" s="25" t="n">
        <v>0.0956670467502851</v>
      </c>
      <c r="N434" s="19" t="n">
        <v>52.4</v>
      </c>
      <c r="O434" s="17" t="n">
        <f aca="false">IF(N434="","",RANK(N434,$N$5:$N$491))</f>
        <v>237</v>
      </c>
      <c r="P434" s="17" t="str">
        <f aca="false">IF(AND(N(H434)&gt;=N(K434),N(H434)&gt;=N(N434)),"The Pulse",IF(N(K434)&gt;=N(N434),"The Lens","The Hub"))</f>
        <v>The Lens</v>
      </c>
      <c r="Q434" s="21" t="s">
        <v>78</v>
      </c>
      <c r="R434" s="26" t="s">
        <v>668</v>
      </c>
      <c r="S434" s="17" t="s">
        <v>21</v>
      </c>
    </row>
    <row r="435" customFormat="false" ht="15" hidden="false" customHeight="false" outlineLevel="0" collapsed="false">
      <c r="A435" s="17" t="s">
        <v>623</v>
      </c>
      <c r="B435" s="17" t="s">
        <v>624</v>
      </c>
      <c r="C435" s="17" t="s">
        <v>2612</v>
      </c>
      <c r="D435" s="17" t="s">
        <v>72</v>
      </c>
      <c r="E435" s="18" t="n">
        <v>124351</v>
      </c>
      <c r="F435" s="17" t="s">
        <v>670</v>
      </c>
      <c r="G435" s="23" t="n">
        <v>0.519022766202121</v>
      </c>
      <c r="H435" s="19" t="n">
        <v>12.2</v>
      </c>
      <c r="I435" s="17" t="n">
        <f aca="false">IF(H435="","",RANK(H435,$H$5:$H$491))</f>
        <v>431</v>
      </c>
      <c r="J435" s="24" t="n">
        <v>0.0474838687939081</v>
      </c>
      <c r="K435" s="19" t="n">
        <v>31.9</v>
      </c>
      <c r="L435" s="17" t="n">
        <f aca="false">IF(K435="","",RANK(K435,$K$5:$K$491))</f>
        <v>337</v>
      </c>
      <c r="M435" s="25" t="n">
        <v>0.115884556069619</v>
      </c>
      <c r="N435" s="19" t="n">
        <v>61.5</v>
      </c>
      <c r="O435" s="17" t="n">
        <f aca="false">IF(N435="","",RANK(N435,$N$5:$N$491))</f>
        <v>191</v>
      </c>
      <c r="P435" s="17" t="str">
        <f aca="false">IF(AND(N(H435)&gt;=N(K435),N(H435)&gt;=N(N435)),"The Pulse",IF(N(K435)&gt;=N(N435),"The Lens","The Hub"))</f>
        <v>The Hub</v>
      </c>
      <c r="Q435" s="20" t="s">
        <v>74</v>
      </c>
      <c r="R435" s="27" t="s">
        <v>671</v>
      </c>
      <c r="S435" s="17" t="s">
        <v>19</v>
      </c>
    </row>
    <row r="436" customFormat="false" ht="15" hidden="false" customHeight="false" outlineLevel="0" collapsed="false">
      <c r="A436" s="17" t="s">
        <v>625</v>
      </c>
      <c r="B436" s="17" t="s">
        <v>626</v>
      </c>
      <c r="C436" s="17" t="s">
        <v>2613</v>
      </c>
      <c r="D436" s="17" t="s">
        <v>102</v>
      </c>
      <c r="E436" s="18" t="n">
        <v>960330</v>
      </c>
      <c r="F436" s="17" t="s">
        <v>670</v>
      </c>
      <c r="G436" s="23" t="n">
        <v>0.505987525121573</v>
      </c>
      <c r="H436" s="19" t="n">
        <v>12</v>
      </c>
      <c r="I436" s="17" t="n">
        <f aca="false">IF(H436="","",RANK(H436,$H$5:$H$491))</f>
        <v>432</v>
      </c>
      <c r="J436" s="24" t="n">
        <v>0.0233586598608284</v>
      </c>
      <c r="K436" s="19" t="n">
        <v>24.1</v>
      </c>
      <c r="L436" s="17" t="n">
        <f aca="false">IF(K436="","",RANK(K436,$K$5:$K$491))</f>
        <v>372</v>
      </c>
      <c r="M436" s="25" t="n">
        <v>0.173271776434058</v>
      </c>
      <c r="N436" s="19" t="n">
        <v>78.1</v>
      </c>
      <c r="O436" s="17" t="n">
        <f aca="false">IF(N436="","",RANK(N436,$N$5:$N$491))</f>
        <v>107</v>
      </c>
      <c r="P436" s="17" t="str">
        <f aca="false">IF(AND(N(H436)&gt;=N(K436),N(H436)&gt;=N(N436)),"The Pulse",IF(N(K436)&gt;=N(N436),"The Lens","The Hub"))</f>
        <v>The Hub</v>
      </c>
      <c r="Q436" s="21" t="s">
        <v>78</v>
      </c>
      <c r="R436" s="27" t="s">
        <v>671</v>
      </c>
      <c r="S436" s="17" t="s">
        <v>21</v>
      </c>
    </row>
    <row r="437" customFormat="false" ht="15" hidden="false" customHeight="false" outlineLevel="0" collapsed="false">
      <c r="A437" s="17" t="s">
        <v>621</v>
      </c>
      <c r="B437" s="17" t="s">
        <v>622</v>
      </c>
      <c r="C437" s="17" t="s">
        <v>2614</v>
      </c>
      <c r="D437" s="17" t="s">
        <v>72</v>
      </c>
      <c r="E437" s="18" t="n">
        <v>209207</v>
      </c>
      <c r="F437" s="17" t="s">
        <v>670</v>
      </c>
      <c r="G437" s="23" t="n">
        <v>0.503491756967979</v>
      </c>
      <c r="H437" s="19" t="n">
        <v>11.8</v>
      </c>
      <c r="I437" s="17" t="n">
        <f aca="false">IF(H437="","",RANK(H437,$H$5:$H$491))</f>
        <v>433</v>
      </c>
      <c r="J437" s="24" t="n">
        <v>-0.0363831492450692</v>
      </c>
      <c r="K437" s="19" t="n">
        <v>7.2</v>
      </c>
      <c r="L437" s="17" t="n">
        <f aca="false">IF(K437="","",RANK(K437,$K$5:$K$491))</f>
        <v>454</v>
      </c>
      <c r="M437" s="25" t="n">
        <v>0.0830726451164407</v>
      </c>
      <c r="N437" s="19" t="n">
        <v>46.1</v>
      </c>
      <c r="O437" s="17" t="n">
        <f aca="false">IF(N437="","",RANK(N437,$N$5:$N$491))</f>
        <v>267</v>
      </c>
      <c r="P437" s="17" t="str">
        <f aca="false">IF(AND(N(H437)&gt;=N(K437),N(H437)&gt;=N(N437)),"The Pulse",IF(N(K437)&gt;=N(N437),"The Lens","The Hub"))</f>
        <v>The Hub</v>
      </c>
      <c r="Q437" s="20" t="s">
        <v>74</v>
      </c>
      <c r="R437" s="27" t="s">
        <v>671</v>
      </c>
      <c r="S437" s="17" t="s">
        <v>19</v>
      </c>
    </row>
    <row r="438" customFormat="false" ht="15" hidden="false" customHeight="false" outlineLevel="0" collapsed="false">
      <c r="A438" s="17" t="s">
        <v>1303</v>
      </c>
      <c r="B438" s="17" t="s">
        <v>1304</v>
      </c>
      <c r="C438" s="17" t="s">
        <v>2615</v>
      </c>
      <c r="D438" s="17" t="s">
        <v>105</v>
      </c>
      <c r="E438" s="18" t="n">
        <v>520369</v>
      </c>
      <c r="F438" s="17" t="s">
        <v>670</v>
      </c>
      <c r="G438" s="23" t="n">
        <v>0.502547230907299</v>
      </c>
      <c r="H438" s="19" t="n">
        <v>11.6</v>
      </c>
      <c r="I438" s="17" t="n">
        <f aca="false">IF(H438="","",RANK(H438,$H$5:$H$491))</f>
        <v>434</v>
      </c>
      <c r="J438" s="24" t="n">
        <v>0.165121736054202</v>
      </c>
      <c r="K438" s="19" t="n">
        <v>81.9</v>
      </c>
      <c r="L438" s="17" t="n">
        <f aca="false">IF(K438="","",RANK(K438,$K$5:$K$491))</f>
        <v>91</v>
      </c>
      <c r="M438" s="25" t="n">
        <v>0.0420736730610804</v>
      </c>
      <c r="N438" s="19" t="n">
        <v>26.9</v>
      </c>
      <c r="O438" s="17" t="n">
        <f aca="false">IF(N438="","",RANK(N438,$N$5:$N$491))</f>
        <v>361</v>
      </c>
      <c r="P438" s="17" t="str">
        <f aca="false">IF(AND(N(H438)&gt;=N(K438),N(H438)&gt;=N(N438)),"The Pulse",IF(N(K438)&gt;=N(N438),"The Lens","The Hub"))</f>
        <v>The Lens</v>
      </c>
      <c r="Q438" s="20" t="s">
        <v>74</v>
      </c>
      <c r="R438" s="26" t="s">
        <v>668</v>
      </c>
      <c r="S438" s="17" t="s">
        <v>19</v>
      </c>
    </row>
    <row r="439" customFormat="false" ht="15" hidden="false" customHeight="false" outlineLevel="0" collapsed="false">
      <c r="A439" s="17" t="s">
        <v>333</v>
      </c>
      <c r="B439" s="17" t="s">
        <v>334</v>
      </c>
      <c r="C439" s="17" t="s">
        <v>2616</v>
      </c>
      <c r="D439" s="17" t="s">
        <v>87</v>
      </c>
      <c r="E439" s="18" t="n">
        <v>29455</v>
      </c>
      <c r="F439" s="17" t="s">
        <v>667</v>
      </c>
      <c r="G439" s="23" t="n">
        <v>0.502291631301986</v>
      </c>
      <c r="H439" s="19" t="n">
        <v>11.4</v>
      </c>
      <c r="I439" s="17" t="n">
        <f aca="false">IF(H439="","",RANK(H439,$H$5:$H$491))</f>
        <v>435</v>
      </c>
      <c r="J439" s="24" t="n">
        <v>0.0449111355493278</v>
      </c>
      <c r="K439" s="19" t="n">
        <v>27.7</v>
      </c>
      <c r="L439" s="17" t="n">
        <f aca="false">IF(K439="","",RANK(K439,$K$5:$K$491))</f>
        <v>357</v>
      </c>
      <c r="M439" s="25" t="n">
        <v>0.0290964777947933</v>
      </c>
      <c r="N439" s="19" t="n">
        <v>18.5</v>
      </c>
      <c r="O439" s="17" t="n">
        <f aca="false">IF(N439="","",RANK(N439,$N$5:$N$491))</f>
        <v>403</v>
      </c>
      <c r="P439" s="17" t="str">
        <f aca="false">IF(AND(N(H439)&gt;=N(K439),N(H439)&gt;=N(N439)),"The Pulse",IF(N(K439)&gt;=N(N439),"The Lens","The Hub"))</f>
        <v>The Lens</v>
      </c>
      <c r="Q439" s="20" t="s">
        <v>74</v>
      </c>
      <c r="R439" s="27" t="s">
        <v>671</v>
      </c>
      <c r="S439" s="17" t="s">
        <v>19</v>
      </c>
    </row>
    <row r="440" customFormat="false" ht="15" hidden="false" customHeight="false" outlineLevel="0" collapsed="false">
      <c r="A440" s="17" t="s">
        <v>1261</v>
      </c>
      <c r="B440" s="17" t="s">
        <v>1262</v>
      </c>
      <c r="C440" s="17" t="s">
        <v>2617</v>
      </c>
      <c r="D440" s="17" t="s">
        <v>102</v>
      </c>
      <c r="E440" s="18" t="n">
        <v>234035</v>
      </c>
      <c r="F440" s="17" t="s">
        <v>670</v>
      </c>
      <c r="G440" s="23" t="n">
        <v>0.499933770589869</v>
      </c>
      <c r="H440" s="19" t="n">
        <v>11.2</v>
      </c>
      <c r="I440" s="17" t="n">
        <f aca="false">IF(H440="","",RANK(H440,$H$5:$H$491))</f>
        <v>436</v>
      </c>
      <c r="J440" s="24" t="n">
        <v>0.205135995221372</v>
      </c>
      <c r="K440" s="19" t="n">
        <v>92.2</v>
      </c>
      <c r="L440" s="17" t="n">
        <f aca="false">IF(K440="","",RANK(K440,$K$5:$K$491))</f>
        <v>39</v>
      </c>
      <c r="M440" s="25" t="n">
        <v>0.132142857142857</v>
      </c>
      <c r="N440" s="19" t="n">
        <v>66.1</v>
      </c>
      <c r="O440" s="17" t="n">
        <f aca="false">IF(N440="","",RANK(N440,$N$5:$N$491))</f>
        <v>168</v>
      </c>
      <c r="P440" s="17" t="str">
        <f aca="false">IF(AND(N(H440)&gt;=N(K440),N(H440)&gt;=N(N440)),"The Pulse",IF(N(K440)&gt;=N(N440),"The Lens","The Hub"))</f>
        <v>The Lens</v>
      </c>
      <c r="Q440" s="20" t="s">
        <v>74</v>
      </c>
      <c r="R440" s="26" t="s">
        <v>668</v>
      </c>
      <c r="S440" s="17" t="s">
        <v>19</v>
      </c>
    </row>
    <row r="441" customFormat="false" ht="15" hidden="false" customHeight="false" outlineLevel="0" collapsed="false">
      <c r="A441" s="17" t="s">
        <v>2618</v>
      </c>
      <c r="B441" s="17" t="s">
        <v>2619</v>
      </c>
      <c r="C441" s="17" t="s">
        <v>2620</v>
      </c>
      <c r="D441" s="17" t="s">
        <v>114</v>
      </c>
      <c r="E441" s="18" t="n">
        <v>60806</v>
      </c>
      <c r="F441" s="17" t="s">
        <v>667</v>
      </c>
      <c r="G441" s="23" t="n">
        <v>0.490609479327698</v>
      </c>
      <c r="H441" s="19" t="n">
        <v>11</v>
      </c>
      <c r="I441" s="17" t="n">
        <f aca="false">IF(H441="","",RANK(H441,$H$5:$H$491))</f>
        <v>437</v>
      </c>
      <c r="J441" s="24" t="n">
        <v>0.138923748337673</v>
      </c>
      <c r="K441" s="19" t="n">
        <v>71.6</v>
      </c>
      <c r="L441" s="17" t="n">
        <f aca="false">IF(K441="","",RANK(K441,$K$5:$K$491))</f>
        <v>145</v>
      </c>
      <c r="M441" s="25" t="n">
        <v>0.1</v>
      </c>
      <c r="N441" s="19" t="n">
        <v>54.8</v>
      </c>
      <c r="O441" s="17" t="n">
        <f aca="false">IF(N441="","",RANK(N441,$N$5:$N$491))</f>
        <v>225</v>
      </c>
      <c r="P441" s="17" t="str">
        <f aca="false">IF(AND(N(H441)&gt;=N(K441),N(H441)&gt;=N(N441)),"The Pulse",IF(N(K441)&gt;=N(N441),"The Lens","The Hub"))</f>
        <v>The Lens</v>
      </c>
      <c r="Q441" s="20" t="s">
        <v>74</v>
      </c>
      <c r="R441" s="26" t="s">
        <v>668</v>
      </c>
      <c r="S441" s="17" t="s">
        <v>19</v>
      </c>
    </row>
    <row r="442" customFormat="false" ht="15" hidden="false" customHeight="false" outlineLevel="0" collapsed="false">
      <c r="A442" s="17" t="s">
        <v>597</v>
      </c>
      <c r="B442" s="17" t="s">
        <v>598</v>
      </c>
      <c r="C442" s="17" t="s">
        <v>2621</v>
      </c>
      <c r="D442" s="17" t="s">
        <v>72</v>
      </c>
      <c r="E442" s="18" t="n">
        <v>251100</v>
      </c>
      <c r="F442" s="17" t="s">
        <v>670</v>
      </c>
      <c r="G442" s="23" t="n">
        <v>0.489139784946237</v>
      </c>
      <c r="H442" s="19" t="n">
        <v>10.8</v>
      </c>
      <c r="I442" s="17" t="n">
        <f aca="false">IF(H442="","",RANK(H442,$H$5:$H$491))</f>
        <v>438</v>
      </c>
      <c r="J442" s="24" t="n">
        <v>0.121362605169611</v>
      </c>
      <c r="K442" s="19" t="n">
        <v>69.3</v>
      </c>
      <c r="L442" s="17" t="n">
        <f aca="false">IF(K442="","",RANK(K442,$K$5:$K$491))</f>
        <v>156</v>
      </c>
      <c r="M442" s="25" t="n">
        <v>0.0118394229261408</v>
      </c>
      <c r="N442" s="19" t="n">
        <v>7.6</v>
      </c>
      <c r="O442" s="17" t="n">
        <f aca="false">IF(N442="","",RANK(N442,$N$5:$N$491))</f>
        <v>453</v>
      </c>
      <c r="P442" s="17" t="str">
        <f aca="false">IF(AND(N(H442)&gt;=N(K442),N(H442)&gt;=N(N442)),"The Pulse",IF(N(K442)&gt;=N(N442),"The Lens","The Hub"))</f>
        <v>The Lens</v>
      </c>
      <c r="Q442" s="20" t="s">
        <v>74</v>
      </c>
      <c r="R442" s="27" t="s">
        <v>671</v>
      </c>
      <c r="S442" s="17" t="s">
        <v>19</v>
      </c>
    </row>
    <row r="443" customFormat="false" ht="15" hidden="false" customHeight="false" outlineLevel="0" collapsed="false">
      <c r="A443" s="17" t="s">
        <v>934</v>
      </c>
      <c r="B443" s="17" t="s">
        <v>935</v>
      </c>
      <c r="C443" s="17" t="s">
        <v>2622</v>
      </c>
      <c r="D443" s="17" t="s">
        <v>72</v>
      </c>
      <c r="E443" s="18" t="n">
        <v>13382</v>
      </c>
      <c r="F443" s="17" t="s">
        <v>667</v>
      </c>
      <c r="G443" s="23" t="n">
        <v>0.483784187714841</v>
      </c>
      <c r="H443" s="19" t="n">
        <v>10.6</v>
      </c>
      <c r="I443" s="17" t="n">
        <f aca="false">IF(H443="","",RANK(H443,$H$5:$H$491))</f>
        <v>439</v>
      </c>
      <c r="J443" s="24" t="n">
        <v>0.102124855872179</v>
      </c>
      <c r="K443" s="19" t="n">
        <v>54.3</v>
      </c>
      <c r="L443" s="17" t="n">
        <f aca="false">IF(K443="","",RANK(K443,$K$5:$K$491))</f>
        <v>230</v>
      </c>
      <c r="M443" s="25" t="n">
        <v>0.0546875</v>
      </c>
      <c r="N443" s="19" t="n">
        <v>34.1</v>
      </c>
      <c r="O443" s="17" t="n">
        <f aca="false">IF(N443="","",RANK(N443,$N$5:$N$491))</f>
        <v>326</v>
      </c>
      <c r="P443" s="17" t="str">
        <f aca="false">IF(AND(N(H443)&gt;=N(K443),N(H443)&gt;=N(N443)),"The Pulse",IF(N(K443)&gt;=N(N443),"The Lens","The Hub"))</f>
        <v>The Lens</v>
      </c>
      <c r="Q443" s="20" t="s">
        <v>74</v>
      </c>
      <c r="R443" s="26" t="s">
        <v>668</v>
      </c>
      <c r="S443" s="17" t="s">
        <v>19</v>
      </c>
    </row>
    <row r="444" customFormat="false" ht="15" hidden="false" customHeight="false" outlineLevel="0" collapsed="false">
      <c r="A444" s="17" t="s">
        <v>2623</v>
      </c>
      <c r="B444" s="17" t="s">
        <v>2624</v>
      </c>
      <c r="C444" s="17" t="s">
        <v>2625</v>
      </c>
      <c r="D444" s="17" t="s">
        <v>92</v>
      </c>
      <c r="E444" s="18" t="n">
        <v>95257</v>
      </c>
      <c r="F444" s="17" t="s">
        <v>667</v>
      </c>
      <c r="G444" s="23" t="n">
        <v>0.472133281543614</v>
      </c>
      <c r="H444" s="19" t="n">
        <v>10.5</v>
      </c>
      <c r="I444" s="17" t="n">
        <f aca="false">IF(H444="","",RANK(H444,$H$5:$H$491))</f>
        <v>440</v>
      </c>
      <c r="J444" s="24" t="n">
        <v>0.194954588790205</v>
      </c>
      <c r="K444" s="19" t="n">
        <v>92.6</v>
      </c>
      <c r="L444" s="17" t="n">
        <f aca="false">IF(K444="","",RANK(K444,$K$5:$K$491))</f>
        <v>38</v>
      </c>
      <c r="M444" s="25" t="n">
        <v>0.220982142857143</v>
      </c>
      <c r="N444" s="19" t="n">
        <v>86.9</v>
      </c>
      <c r="O444" s="17" t="n">
        <f aca="false">IF(N444="","",RANK(N444,$N$5:$N$491))</f>
        <v>66</v>
      </c>
      <c r="P444" s="17" t="str">
        <f aca="false">IF(AND(N(H444)&gt;=N(K444),N(H444)&gt;=N(N444)),"The Pulse",IF(N(K444)&gt;=N(N444),"The Lens","The Hub"))</f>
        <v>The Lens</v>
      </c>
      <c r="Q444" s="20" t="s">
        <v>74</v>
      </c>
      <c r="R444" s="26" t="s">
        <v>668</v>
      </c>
      <c r="S444" s="17" t="s">
        <v>19</v>
      </c>
    </row>
    <row r="445" customFormat="false" ht="15" hidden="false" customHeight="false" outlineLevel="0" collapsed="false">
      <c r="A445" s="17" t="s">
        <v>1890</v>
      </c>
      <c r="B445" s="17" t="s">
        <v>1891</v>
      </c>
      <c r="C445" s="17" t="s">
        <v>2626</v>
      </c>
      <c r="D445" s="17" t="s">
        <v>102</v>
      </c>
      <c r="E445" s="18" t="n">
        <v>108784</v>
      </c>
      <c r="F445" s="17" t="s">
        <v>670</v>
      </c>
      <c r="G445" s="23" t="n">
        <v>0.458780703044565</v>
      </c>
      <c r="H445" s="19" t="n">
        <v>10.3</v>
      </c>
      <c r="I445" s="17" t="n">
        <f aca="false">IF(H445="","",RANK(H445,$H$5:$H$491))</f>
        <v>441</v>
      </c>
      <c r="J445" s="24" t="n">
        <v>0.141873451736155</v>
      </c>
      <c r="K445" s="19" t="n">
        <v>77.7</v>
      </c>
      <c r="L445" s="17" t="n">
        <f aca="false">IF(K445="","",RANK(K445,$K$5:$K$491))</f>
        <v>113</v>
      </c>
      <c r="M445" s="25" t="n">
        <v>0.295454545454546</v>
      </c>
      <c r="N445" s="19" t="n">
        <v>95.4</v>
      </c>
      <c r="O445" s="17" t="n">
        <f aca="false">IF(N445="","",RANK(N445,$N$5:$N$491))</f>
        <v>23</v>
      </c>
      <c r="P445" s="17" t="str">
        <f aca="false">IF(AND(N(H445)&gt;=N(K445),N(H445)&gt;=N(N445)),"The Pulse",IF(N(K445)&gt;=N(N445),"The Lens","The Hub"))</f>
        <v>The Hub</v>
      </c>
      <c r="Q445" s="20" t="s">
        <v>74</v>
      </c>
      <c r="R445" s="26" t="s">
        <v>668</v>
      </c>
      <c r="S445" s="17" t="s">
        <v>19</v>
      </c>
    </row>
    <row r="446" customFormat="false" ht="15" hidden="false" customHeight="false" outlineLevel="0" collapsed="false">
      <c r="A446" s="17" t="s">
        <v>1122</v>
      </c>
      <c r="B446" s="17" t="s">
        <v>1123</v>
      </c>
      <c r="C446" s="17" t="s">
        <v>2627</v>
      </c>
      <c r="D446" s="17" t="s">
        <v>87</v>
      </c>
      <c r="E446" s="18" t="n">
        <v>515749</v>
      </c>
      <c r="F446" s="17" t="s">
        <v>670</v>
      </c>
      <c r="G446" s="23" t="n">
        <v>0.44761696096357</v>
      </c>
      <c r="H446" s="19" t="n">
        <v>9.9</v>
      </c>
      <c r="I446" s="17" t="n">
        <f aca="false">IF(H446="","",RANK(H446,$H$5:$H$491))</f>
        <v>442</v>
      </c>
      <c r="J446" s="24" t="n">
        <v>0.109457348999497</v>
      </c>
      <c r="K446" s="19" t="n">
        <v>63.3</v>
      </c>
      <c r="L446" s="17" t="n">
        <f aca="false">IF(K446="","",RANK(K446,$K$5:$K$491))</f>
        <v>186</v>
      </c>
      <c r="M446" s="25" t="n">
        <v>0.190554172671296</v>
      </c>
      <c r="N446" s="19" t="n">
        <v>80.6</v>
      </c>
      <c r="O446" s="17" t="n">
        <f aca="false">IF(N446="","",RANK(N446,$N$5:$N$491))</f>
        <v>95</v>
      </c>
      <c r="P446" s="17" t="str">
        <f aca="false">IF(AND(N(H446)&gt;=N(K446),N(H446)&gt;=N(N446)),"The Pulse",IF(N(K446)&gt;=N(N446),"The Lens","The Hub"))</f>
        <v>The Hub</v>
      </c>
      <c r="Q446" s="20" t="s">
        <v>74</v>
      </c>
      <c r="R446" s="26" t="s">
        <v>668</v>
      </c>
      <c r="S446" s="17" t="s">
        <v>19</v>
      </c>
    </row>
    <row r="447" customFormat="false" ht="15" hidden="false" customHeight="false" outlineLevel="0" collapsed="false">
      <c r="A447" s="17" t="s">
        <v>633</v>
      </c>
      <c r="B447" s="17" t="s">
        <v>634</v>
      </c>
      <c r="C447" s="17" t="s">
        <v>2628</v>
      </c>
      <c r="D447" s="17" t="s">
        <v>77</v>
      </c>
      <c r="E447" s="18" t="n">
        <v>8371</v>
      </c>
      <c r="F447" s="17" t="s">
        <v>678</v>
      </c>
      <c r="G447" s="23" t="n">
        <v>0.436865368534225</v>
      </c>
      <c r="H447" s="19" t="n">
        <v>9.5</v>
      </c>
      <c r="I447" s="17" t="n">
        <f aca="false">IF(H447="","",RANK(H447,$H$5:$H$491))</f>
        <v>443</v>
      </c>
      <c r="J447" s="24" t="n">
        <v>0.190415244596132</v>
      </c>
      <c r="K447" s="19" t="n">
        <v>88</v>
      </c>
      <c r="L447" s="17" t="n">
        <f aca="false">IF(K447="","",RANK(K447,$K$5:$K$491))</f>
        <v>60</v>
      </c>
      <c r="M447" s="25" t="n">
        <v>0.0866141732283465</v>
      </c>
      <c r="N447" s="19" t="n">
        <v>48</v>
      </c>
      <c r="O447" s="17" t="n">
        <f aca="false">IF(N447="","",RANK(N447,$N$5:$N$491))</f>
        <v>257</v>
      </c>
      <c r="P447" s="17" t="str">
        <f aca="false">IF(AND(N(H447)&gt;=N(K447),N(H447)&gt;=N(N447)),"The Pulse",IF(N(K447)&gt;=N(N447),"The Lens","The Hub"))</f>
        <v>The Lens</v>
      </c>
      <c r="Q447" s="20" t="s">
        <v>74</v>
      </c>
      <c r="R447" s="27" t="s">
        <v>671</v>
      </c>
      <c r="S447" s="17" t="s">
        <v>19</v>
      </c>
    </row>
    <row r="448" customFormat="false" ht="15" hidden="false" customHeight="false" outlineLevel="0" collapsed="false">
      <c r="A448" s="17" t="s">
        <v>1199</v>
      </c>
      <c r="B448" s="17" t="s">
        <v>1200</v>
      </c>
      <c r="C448" s="17" t="s">
        <v>2629</v>
      </c>
      <c r="D448" s="17" t="s">
        <v>81</v>
      </c>
      <c r="E448" s="18" t="n">
        <v>53438</v>
      </c>
      <c r="F448" s="17" t="s">
        <v>667</v>
      </c>
      <c r="G448" s="23" t="n">
        <v>0.43575732624724</v>
      </c>
      <c r="H448" s="19" t="n">
        <v>9.3</v>
      </c>
      <c r="I448" s="17" t="n">
        <f aca="false">IF(H448="","",RANK(H448,$H$5:$H$491))</f>
        <v>444</v>
      </c>
      <c r="J448" s="24" t="n">
        <v>0.1299585553582</v>
      </c>
      <c r="K448" s="19" t="n">
        <v>69.9</v>
      </c>
      <c r="L448" s="17" t="n">
        <f aca="false">IF(K448="","",RANK(K448,$K$5:$K$491))</f>
        <v>153</v>
      </c>
      <c r="M448" s="25" t="n">
        <v>0.052536231884058</v>
      </c>
      <c r="N448" s="19" t="n">
        <v>33.1</v>
      </c>
      <c r="O448" s="17" t="n">
        <f aca="false">IF(N448="","",RANK(N448,$N$5:$N$491))</f>
        <v>330</v>
      </c>
      <c r="P448" s="17" t="str">
        <f aca="false">IF(AND(N(H448)&gt;=N(K448),N(H448)&gt;=N(N448)),"The Pulse",IF(N(K448)&gt;=N(N448),"The Lens","The Hub"))</f>
        <v>The Lens</v>
      </c>
      <c r="Q448" s="21" t="s">
        <v>78</v>
      </c>
      <c r="R448" s="26" t="s">
        <v>668</v>
      </c>
      <c r="S448" s="17" t="s">
        <v>126</v>
      </c>
    </row>
    <row r="449" customFormat="false" ht="15" hidden="false" customHeight="false" outlineLevel="0" collapsed="false">
      <c r="A449" s="17" t="s">
        <v>1681</v>
      </c>
      <c r="B449" s="17" t="s">
        <v>1682</v>
      </c>
      <c r="C449" s="17" t="s">
        <v>2630</v>
      </c>
      <c r="D449" s="17" t="s">
        <v>133</v>
      </c>
      <c r="E449" s="18" t="n">
        <v>24610</v>
      </c>
      <c r="F449" s="17" t="s">
        <v>667</v>
      </c>
      <c r="G449" s="23" t="n">
        <v>0.432954083705811</v>
      </c>
      <c r="H449" s="19" t="n">
        <v>9.1</v>
      </c>
      <c r="I449" s="17" t="n">
        <f aca="false">IF(H449="","",RANK(H449,$H$5:$H$491))</f>
        <v>445</v>
      </c>
      <c r="J449" s="24" t="n">
        <v>0.0821863594388989</v>
      </c>
      <c r="K449" s="19" t="n">
        <v>46.8</v>
      </c>
      <c r="L449" s="17" t="n">
        <f aca="false">IF(K449="","",RANK(K449,$K$5:$K$491))</f>
        <v>269</v>
      </c>
      <c r="M449" s="25" t="n">
        <v>0.304709141274238</v>
      </c>
      <c r="N449" s="19" t="n">
        <v>96.2</v>
      </c>
      <c r="O449" s="17" t="n">
        <f aca="false">IF(N449="","",RANK(N449,$N$5:$N$491))</f>
        <v>20</v>
      </c>
      <c r="P449" s="17" t="str">
        <f aca="false">IF(AND(N(H449)&gt;=N(K449),N(H449)&gt;=N(N449)),"The Pulse",IF(N(K449)&gt;=N(N449),"The Lens","The Hub"))</f>
        <v>The Hub</v>
      </c>
      <c r="Q449" s="20" t="s">
        <v>74</v>
      </c>
      <c r="R449" s="26" t="s">
        <v>668</v>
      </c>
      <c r="S449" s="17" t="s">
        <v>19</v>
      </c>
    </row>
    <row r="450" customFormat="false" ht="15" hidden="false" customHeight="false" outlineLevel="0" collapsed="false">
      <c r="A450" s="17" t="s">
        <v>1010</v>
      </c>
      <c r="B450" s="17" t="s">
        <v>1011</v>
      </c>
      <c r="C450" s="17" t="s">
        <v>2631</v>
      </c>
      <c r="D450" s="17" t="s">
        <v>77</v>
      </c>
      <c r="E450" s="18" t="n">
        <v>38403</v>
      </c>
      <c r="F450" s="17" t="s">
        <v>667</v>
      </c>
      <c r="G450" s="23" t="n">
        <v>0.424758482410228</v>
      </c>
      <c r="H450" s="19" t="n">
        <v>8.9</v>
      </c>
      <c r="I450" s="17" t="n">
        <f aca="false">IF(H450="","",RANK(H450,$H$5:$H$491))</f>
        <v>446</v>
      </c>
      <c r="J450" s="24" t="n">
        <v>0.09239084056322</v>
      </c>
      <c r="K450" s="19" t="n">
        <v>52.1</v>
      </c>
      <c r="L450" s="17" t="n">
        <f aca="false">IF(K450="","",RANK(K450,$K$5:$K$491))</f>
        <v>241</v>
      </c>
      <c r="M450" s="25" t="n">
        <v>0.0129589632829374</v>
      </c>
      <c r="N450" s="19" t="n">
        <v>8.4</v>
      </c>
      <c r="O450" s="17" t="n">
        <f aca="false">IF(N450="","",RANK(N450,$N$5:$N$491))</f>
        <v>450</v>
      </c>
      <c r="P450" s="17" t="str">
        <f aca="false">IF(AND(N(H450)&gt;=N(K450),N(H450)&gt;=N(N450)),"The Pulse",IF(N(K450)&gt;=N(N450),"The Lens","The Hub"))</f>
        <v>The Lens</v>
      </c>
      <c r="Q450" s="20" t="s">
        <v>74</v>
      </c>
      <c r="R450" s="26" t="s">
        <v>668</v>
      </c>
      <c r="S450" s="17" t="s">
        <v>19</v>
      </c>
    </row>
    <row r="451" customFormat="false" ht="15" hidden="false" customHeight="false" outlineLevel="0" collapsed="false">
      <c r="A451" s="17" t="s">
        <v>637</v>
      </c>
      <c r="B451" s="17" t="s">
        <v>638</v>
      </c>
      <c r="C451" s="17" t="s">
        <v>2632</v>
      </c>
      <c r="D451" s="17" t="s">
        <v>105</v>
      </c>
      <c r="E451" s="18" t="n">
        <v>41246</v>
      </c>
      <c r="F451" s="17" t="s">
        <v>667</v>
      </c>
      <c r="G451" s="23" t="n">
        <v>0.417810211899336</v>
      </c>
      <c r="H451" s="19" t="n">
        <v>8.7</v>
      </c>
      <c r="I451" s="17" t="n">
        <f aca="false">IF(H451="","",RANK(H451,$H$5:$H$491))</f>
        <v>447</v>
      </c>
      <c r="J451" s="24" t="n">
        <v>-0.033530941725051</v>
      </c>
      <c r="K451" s="19" t="n">
        <v>4.3</v>
      </c>
      <c r="L451" s="17" t="n">
        <f aca="false">IF(K451="","",RANK(K451,$K$5:$K$491))</f>
        <v>468</v>
      </c>
      <c r="M451" s="25" t="n">
        <v>0.0523349436392915</v>
      </c>
      <c r="N451" s="19" t="n">
        <v>32.8</v>
      </c>
      <c r="O451" s="17" t="n">
        <f aca="false">IF(N451="","",RANK(N451,$N$5:$N$491))</f>
        <v>332</v>
      </c>
      <c r="P451" s="17" t="str">
        <f aca="false">IF(AND(N(H451)&gt;=N(K451),N(H451)&gt;=N(N451)),"The Pulse",IF(N(K451)&gt;=N(N451),"The Lens","The Hub"))</f>
        <v>The Hub</v>
      </c>
      <c r="Q451" s="20" t="s">
        <v>74</v>
      </c>
      <c r="R451" s="27" t="s">
        <v>671</v>
      </c>
      <c r="S451" s="17" t="s">
        <v>19</v>
      </c>
    </row>
    <row r="452" customFormat="false" ht="15" hidden="false" customHeight="false" outlineLevel="0" collapsed="false">
      <c r="A452" s="17" t="s">
        <v>421</v>
      </c>
      <c r="B452" s="17" t="s">
        <v>422</v>
      </c>
      <c r="C452" s="17" t="s">
        <v>2633</v>
      </c>
      <c r="D452" s="17" t="s">
        <v>72</v>
      </c>
      <c r="E452" s="18" t="n">
        <v>95307</v>
      </c>
      <c r="F452" s="17" t="s">
        <v>667</v>
      </c>
      <c r="G452" s="23" t="n">
        <v>0.416905368965553</v>
      </c>
      <c r="H452" s="19" t="n">
        <v>8.4</v>
      </c>
      <c r="I452" s="17" t="n">
        <f aca="false">IF(H452="","",RANK(H452,$H$5:$H$491))</f>
        <v>448</v>
      </c>
      <c r="J452" s="24" t="n">
        <v>0.224207470585213</v>
      </c>
      <c r="K452" s="19" t="n">
        <v>96.5</v>
      </c>
      <c r="L452" s="17" t="n">
        <f aca="false">IF(K452="","",RANK(K452,$K$5:$K$491))</f>
        <v>20</v>
      </c>
      <c r="M452" s="25" t="n">
        <v>0.00761697497279652</v>
      </c>
      <c r="N452" s="19" t="n">
        <v>5.9</v>
      </c>
      <c r="O452" s="17" t="n">
        <f aca="false">IF(N452="","",RANK(N452,$N$5:$N$491))</f>
        <v>459</v>
      </c>
      <c r="P452" s="17" t="str">
        <f aca="false">IF(AND(N(H452)&gt;=N(K452),N(H452)&gt;=N(N452)),"The Pulse",IF(N(K452)&gt;=N(N452),"The Lens","The Hub"))</f>
        <v>The Lens</v>
      </c>
      <c r="Q452" s="20" t="s">
        <v>74</v>
      </c>
      <c r="R452" s="27" t="s">
        <v>671</v>
      </c>
      <c r="S452" s="17" t="s">
        <v>19</v>
      </c>
    </row>
    <row r="453" customFormat="false" ht="15" hidden="false" customHeight="false" outlineLevel="0" collapsed="false">
      <c r="A453" s="17" t="s">
        <v>639</v>
      </c>
      <c r="B453" s="17" t="s">
        <v>640</v>
      </c>
      <c r="C453" s="17" t="s">
        <v>2634</v>
      </c>
      <c r="D453" s="17" t="s">
        <v>92</v>
      </c>
      <c r="E453" s="18" t="n">
        <v>618897</v>
      </c>
      <c r="F453" s="17" t="s">
        <v>670</v>
      </c>
      <c r="G453" s="23" t="n">
        <v>0.416368151727994</v>
      </c>
      <c r="H453" s="19" t="n">
        <v>8.2</v>
      </c>
      <c r="I453" s="17" t="n">
        <f aca="false">IF(H453="","",RANK(H453,$H$5:$H$491))</f>
        <v>449</v>
      </c>
      <c r="J453" s="24" t="n">
        <v>0.231246232535377</v>
      </c>
      <c r="K453" s="19" t="n">
        <v>94.6</v>
      </c>
      <c r="L453" s="17" t="n">
        <f aca="false">IF(K453="","",RANK(K453,$K$5:$K$491))</f>
        <v>30</v>
      </c>
      <c r="M453" s="25" t="n">
        <v>0.0370114147353857</v>
      </c>
      <c r="N453" s="19" t="n">
        <v>24.2</v>
      </c>
      <c r="O453" s="17" t="n">
        <f aca="false">IF(N453="","",RANK(N453,$N$5:$N$491))</f>
        <v>374</v>
      </c>
      <c r="P453" s="17" t="str">
        <f aca="false">IF(AND(N(H453)&gt;=N(K453),N(H453)&gt;=N(N453)),"The Pulse",IF(N(K453)&gt;=N(N453),"The Lens","The Hub"))</f>
        <v>The Lens</v>
      </c>
      <c r="Q453" s="20" t="s">
        <v>74</v>
      </c>
      <c r="R453" s="27" t="s">
        <v>671</v>
      </c>
      <c r="S453" s="17" t="s">
        <v>19</v>
      </c>
    </row>
    <row r="454" customFormat="false" ht="15" hidden="false" customHeight="false" outlineLevel="0" collapsed="false">
      <c r="A454" s="17" t="s">
        <v>573</v>
      </c>
      <c r="B454" s="17" t="s">
        <v>574</v>
      </c>
      <c r="C454" s="17" t="s">
        <v>2635</v>
      </c>
      <c r="D454" s="17" t="s">
        <v>77</v>
      </c>
      <c r="E454" s="18" t="n">
        <v>135932</v>
      </c>
      <c r="F454" s="17" t="s">
        <v>670</v>
      </c>
      <c r="G454" s="23" t="n">
        <v>0.414023188064621</v>
      </c>
      <c r="H454" s="19" t="n">
        <v>8</v>
      </c>
      <c r="I454" s="17" t="n">
        <f aca="false">IF(H454="","",RANK(H454,$H$5:$H$491))</f>
        <v>450</v>
      </c>
      <c r="J454" s="24" t="n">
        <v>0.168995794669809</v>
      </c>
      <c r="K454" s="19" t="n">
        <v>83.1</v>
      </c>
      <c r="L454" s="17" t="n">
        <f aca="false">IF(K454="","",RANK(K454,$K$5:$K$491))</f>
        <v>85</v>
      </c>
      <c r="M454" s="25" t="n">
        <v>0.0832991382847764</v>
      </c>
      <c r="N454" s="19" t="n">
        <v>46.3</v>
      </c>
      <c r="O454" s="17" t="n">
        <f aca="false">IF(N454="","",RANK(N454,$N$5:$N$491))</f>
        <v>266</v>
      </c>
      <c r="P454" s="17" t="str">
        <f aca="false">IF(AND(N(H454)&gt;=N(K454),N(H454)&gt;=N(N454)),"The Pulse",IF(N(K454)&gt;=N(N454),"The Lens","The Hub"))</f>
        <v>The Lens</v>
      </c>
      <c r="Q454" s="20" t="s">
        <v>74</v>
      </c>
      <c r="R454" s="27" t="s">
        <v>671</v>
      </c>
      <c r="S454" s="17" t="s">
        <v>19</v>
      </c>
    </row>
    <row r="455" customFormat="false" ht="15" hidden="false" customHeight="false" outlineLevel="0" collapsed="false">
      <c r="A455" s="17" t="s">
        <v>643</v>
      </c>
      <c r="B455" s="17" t="s">
        <v>644</v>
      </c>
      <c r="C455" s="17" t="s">
        <v>2636</v>
      </c>
      <c r="D455" s="17" t="s">
        <v>77</v>
      </c>
      <c r="E455" s="18" t="n">
        <v>105162</v>
      </c>
      <c r="F455" s="17" t="s">
        <v>670</v>
      </c>
      <c r="G455" s="23" t="n">
        <v>0.409473003556418</v>
      </c>
      <c r="H455" s="19" t="n">
        <v>7.8</v>
      </c>
      <c r="I455" s="17" t="n">
        <f aca="false">IF(H455="","",RANK(H455,$H$5:$H$491))</f>
        <v>451</v>
      </c>
      <c r="J455" s="24" t="n">
        <v>0.218944513347165</v>
      </c>
      <c r="K455" s="19" t="n">
        <v>93.4</v>
      </c>
      <c r="L455" s="17" t="n">
        <f aca="false">IF(K455="","",RANK(K455,$K$5:$K$491))</f>
        <v>35</v>
      </c>
      <c r="M455" s="25" t="n">
        <v>0.0774895933397374</v>
      </c>
      <c r="N455" s="19" t="n">
        <v>43</v>
      </c>
      <c r="O455" s="17" t="n">
        <f aca="false">IF(N455="","",RANK(N455,$N$5:$N$491))</f>
        <v>283</v>
      </c>
      <c r="P455" s="17" t="str">
        <f aca="false">IF(AND(N(H455)&gt;=N(K455),N(H455)&gt;=N(N455)),"The Pulse",IF(N(K455)&gt;=N(N455),"The Lens","The Hub"))</f>
        <v>The Lens</v>
      </c>
      <c r="Q455" s="20" t="s">
        <v>74</v>
      </c>
      <c r="R455" s="27" t="s">
        <v>671</v>
      </c>
      <c r="S455" s="17" t="s">
        <v>19</v>
      </c>
    </row>
    <row r="456" customFormat="false" ht="15" hidden="false" customHeight="false" outlineLevel="0" collapsed="false">
      <c r="A456" s="17" t="s">
        <v>385</v>
      </c>
      <c r="B456" s="17" t="s">
        <v>386</v>
      </c>
      <c r="C456" s="17" t="s">
        <v>2637</v>
      </c>
      <c r="D456" s="17" t="s">
        <v>105</v>
      </c>
      <c r="E456" s="18" t="n">
        <v>312140</v>
      </c>
      <c r="F456" s="17" t="s">
        <v>670</v>
      </c>
      <c r="G456" s="23" t="n">
        <v>0.385093227397963</v>
      </c>
      <c r="H456" s="19" t="n">
        <v>7.2</v>
      </c>
      <c r="I456" s="17" t="n">
        <f aca="false">IF(H456="","",RANK(H456,$H$5:$H$491))</f>
        <v>452</v>
      </c>
      <c r="J456" s="24" t="n">
        <v>-0.0189829656169464</v>
      </c>
      <c r="K456" s="19" t="n">
        <v>9.6</v>
      </c>
      <c r="L456" s="17" t="n">
        <f aca="false">IF(K456="","",RANK(K456,$K$5:$K$491))</f>
        <v>442</v>
      </c>
      <c r="M456" s="25" t="n">
        <v>0.0795825179386823</v>
      </c>
      <c r="N456" s="19" t="n">
        <v>43.8</v>
      </c>
      <c r="O456" s="17" t="n">
        <f aca="false">IF(N456="","",RANK(N456,$N$5:$N$491))</f>
        <v>279</v>
      </c>
      <c r="P456" s="17" t="str">
        <f aca="false">IF(AND(N(H456)&gt;=N(K456),N(H456)&gt;=N(N456)),"The Pulse",IF(N(K456)&gt;=N(N456),"The Lens","The Hub"))</f>
        <v>The Hub</v>
      </c>
      <c r="Q456" s="20" t="s">
        <v>74</v>
      </c>
      <c r="R456" s="27" t="s">
        <v>671</v>
      </c>
      <c r="S456" s="17" t="s">
        <v>19</v>
      </c>
    </row>
    <row r="457" customFormat="false" ht="15" hidden="false" customHeight="false" outlineLevel="0" collapsed="false">
      <c r="A457" s="17" t="s">
        <v>896</v>
      </c>
      <c r="B457" s="17" t="s">
        <v>897</v>
      </c>
      <c r="C457" s="17" t="s">
        <v>2638</v>
      </c>
      <c r="D457" s="17" t="s">
        <v>102</v>
      </c>
      <c r="E457" s="18" t="n">
        <v>11209</v>
      </c>
      <c r="F457" s="17" t="s">
        <v>667</v>
      </c>
      <c r="G457" s="23" t="n">
        <v>0.365153002051923</v>
      </c>
      <c r="H457" s="19" t="n">
        <v>7</v>
      </c>
      <c r="I457" s="17" t="n">
        <f aca="false">IF(H457="","",RANK(H457,$H$5:$H$491))</f>
        <v>453</v>
      </c>
      <c r="J457" s="24" t="n">
        <v>0.108813928182807</v>
      </c>
      <c r="K457" s="19" t="n">
        <v>58.9</v>
      </c>
      <c r="L457" s="17" t="n">
        <f aca="false">IF(K457="","",RANK(K457,$K$5:$K$491))</f>
        <v>208</v>
      </c>
      <c r="M457" s="25" t="n">
        <v>0.0355731225296443</v>
      </c>
      <c r="N457" s="19" t="n">
        <v>22.7</v>
      </c>
      <c r="O457" s="17" t="n">
        <f aca="false">IF(N457="","",RANK(N457,$N$5:$N$491))</f>
        <v>382</v>
      </c>
      <c r="P457" s="17" t="str">
        <f aca="false">IF(AND(N(H457)&gt;=N(K457),N(H457)&gt;=N(N457)),"The Pulse",IF(N(K457)&gt;=N(N457),"The Lens","The Hub"))</f>
        <v>The Lens</v>
      </c>
      <c r="Q457" s="20" t="s">
        <v>74</v>
      </c>
      <c r="R457" s="26" t="s">
        <v>668</v>
      </c>
      <c r="S457" s="17" t="s">
        <v>19</v>
      </c>
    </row>
    <row r="458" customFormat="false" ht="15" hidden="false" customHeight="false" outlineLevel="0" collapsed="false">
      <c r="A458" s="17" t="s">
        <v>1545</v>
      </c>
      <c r="B458" s="17" t="s">
        <v>1546</v>
      </c>
      <c r="C458" s="17" t="s">
        <v>2639</v>
      </c>
      <c r="D458" s="17" t="s">
        <v>81</v>
      </c>
      <c r="E458" s="18" t="n">
        <v>120862</v>
      </c>
      <c r="F458" s="17" t="s">
        <v>670</v>
      </c>
      <c r="G458" s="23" t="n">
        <v>0.364763118267115</v>
      </c>
      <c r="H458" s="19" t="n">
        <v>6.7</v>
      </c>
      <c r="I458" s="17" t="n">
        <f aca="false">IF(H458="","",RANK(H458,$H$5:$H$491))</f>
        <v>454</v>
      </c>
      <c r="J458" s="24" t="n">
        <v>0.0109660312335321</v>
      </c>
      <c r="K458" s="19" t="n">
        <v>16.9</v>
      </c>
      <c r="L458" s="17" t="n">
        <f aca="false">IF(K458="","",RANK(K458,$K$5:$K$491))</f>
        <v>407</v>
      </c>
      <c r="M458" s="25" t="n">
        <v>0.0299741602067184</v>
      </c>
      <c r="N458" s="19" t="n">
        <v>19.2</v>
      </c>
      <c r="O458" s="17" t="n">
        <f aca="false">IF(N458="","",RANK(N458,$N$5:$N$491))</f>
        <v>399</v>
      </c>
      <c r="P458" s="17" t="str">
        <f aca="false">IF(AND(N(H458)&gt;=N(K458),N(H458)&gt;=N(N458)),"The Pulse",IF(N(K458)&gt;=N(N458),"The Lens","The Hub"))</f>
        <v>The Hub</v>
      </c>
      <c r="Q458" s="20" t="s">
        <v>74</v>
      </c>
      <c r="R458" s="26" t="s">
        <v>668</v>
      </c>
      <c r="S458" s="17" t="s">
        <v>19</v>
      </c>
    </row>
    <row r="459" customFormat="false" ht="15" hidden="false" customHeight="false" outlineLevel="0" collapsed="false">
      <c r="A459" s="17" t="s">
        <v>1678</v>
      </c>
      <c r="B459" s="17" t="s">
        <v>1679</v>
      </c>
      <c r="C459" s="17" t="s">
        <v>2640</v>
      </c>
      <c r="D459" s="17" t="s">
        <v>92</v>
      </c>
      <c r="E459" s="18" t="n">
        <v>55202</v>
      </c>
      <c r="F459" s="17" t="s">
        <v>667</v>
      </c>
      <c r="G459" s="23" t="n">
        <v>0.362867287417123</v>
      </c>
      <c r="H459" s="19" t="n">
        <v>6.5</v>
      </c>
      <c r="I459" s="17" t="n">
        <f aca="false">IF(H459="","",RANK(H459,$H$5:$H$491))</f>
        <v>455</v>
      </c>
      <c r="J459" s="24" t="n">
        <v>-0.0241651788081812</v>
      </c>
      <c r="K459" s="19" t="n">
        <v>7.1</v>
      </c>
      <c r="L459" s="17" t="n">
        <f aca="false">IF(K459="","",RANK(K459,$K$5:$K$491))</f>
        <v>455</v>
      </c>
      <c r="M459" s="25" t="n">
        <v>0.0327868852459016</v>
      </c>
      <c r="N459" s="19" t="n">
        <v>20.6</v>
      </c>
      <c r="O459" s="17" t="n">
        <f aca="false">IF(N459="","",RANK(N459,$N$5:$N$491))</f>
        <v>392</v>
      </c>
      <c r="P459" s="17" t="str">
        <f aca="false">IF(AND(N(H459)&gt;=N(K459),N(H459)&gt;=N(N459)),"The Pulse",IF(N(K459)&gt;=N(N459),"The Lens","The Hub"))</f>
        <v>The Hub</v>
      </c>
      <c r="Q459" s="20" t="s">
        <v>74</v>
      </c>
      <c r="R459" s="26" t="s">
        <v>668</v>
      </c>
      <c r="S459" s="17" t="s">
        <v>19</v>
      </c>
    </row>
    <row r="460" customFormat="false" ht="15" hidden="false" customHeight="false" outlineLevel="0" collapsed="false">
      <c r="A460" s="17" t="s">
        <v>565</v>
      </c>
      <c r="B460" s="17" t="s">
        <v>566</v>
      </c>
      <c r="C460" s="17" t="s">
        <v>2641</v>
      </c>
      <c r="D460" s="17" t="s">
        <v>81</v>
      </c>
      <c r="E460" s="18" t="n">
        <v>17012</v>
      </c>
      <c r="F460" s="17" t="s">
        <v>667</v>
      </c>
      <c r="G460" s="23" t="n">
        <v>0.346578885492594</v>
      </c>
      <c r="H460" s="19" t="n">
        <v>6.3</v>
      </c>
      <c r="I460" s="17" t="n">
        <f aca="false">IF(H460="","",RANK(H460,$H$5:$H$491))</f>
        <v>456</v>
      </c>
      <c r="J460" s="24" t="n">
        <v>0.0254988245222738</v>
      </c>
      <c r="K460" s="19" t="n">
        <v>18.8</v>
      </c>
      <c r="L460" s="17" t="n">
        <f aca="false">IF(K460="","",RANK(K460,$K$5:$K$491))</f>
        <v>396</v>
      </c>
      <c r="M460" s="25" t="n">
        <v>0</v>
      </c>
      <c r="N460" s="19" t="n">
        <v>0.7</v>
      </c>
      <c r="O460" s="17" t="n">
        <f aca="false">IF(N460="","",RANK(N460,$N$5:$N$491))</f>
        <v>482</v>
      </c>
      <c r="P460" s="17" t="str">
        <f aca="false">IF(AND(N(H460)&gt;=N(K460),N(H460)&gt;=N(N460)),"The Pulse",IF(N(K460)&gt;=N(N460),"The Lens","The Hub"))</f>
        <v>The Lens</v>
      </c>
      <c r="Q460" s="20" t="s">
        <v>74</v>
      </c>
      <c r="R460" s="27" t="s">
        <v>671</v>
      </c>
      <c r="S460" s="17" t="s">
        <v>19</v>
      </c>
    </row>
    <row r="461" customFormat="false" ht="15" hidden="false" customHeight="false" outlineLevel="0" collapsed="false">
      <c r="A461" s="17" t="s">
        <v>860</v>
      </c>
      <c r="B461" s="17" t="s">
        <v>861</v>
      </c>
      <c r="C461" s="17" t="s">
        <v>2642</v>
      </c>
      <c r="D461" s="17" t="s">
        <v>102</v>
      </c>
      <c r="E461" s="18" t="n">
        <v>10144</v>
      </c>
      <c r="F461" s="17" t="s">
        <v>667</v>
      </c>
      <c r="G461" s="23" t="n">
        <v>0.342468454258675</v>
      </c>
      <c r="H461" s="19" t="n">
        <v>6.1</v>
      </c>
      <c r="I461" s="17" t="n">
        <f aca="false">IF(H461="","",RANK(H461,$H$5:$H$491))</f>
        <v>457</v>
      </c>
      <c r="J461" s="24" t="n">
        <v>0.032258064516129</v>
      </c>
      <c r="K461" s="19" t="n">
        <v>22</v>
      </c>
      <c r="L461" s="17" t="n">
        <f aca="false">IF(K461="","",RANK(K461,$K$5:$K$491))</f>
        <v>382</v>
      </c>
      <c r="M461" s="25" t="n">
        <v>0.106870229007634</v>
      </c>
      <c r="N461" s="19" t="n">
        <v>57.9</v>
      </c>
      <c r="O461" s="17" t="n">
        <f aca="false">IF(N461="","",RANK(N461,$N$5:$N$491))</f>
        <v>209</v>
      </c>
      <c r="P461" s="17" t="str">
        <f aca="false">IF(AND(N(H461)&gt;=N(K461),N(H461)&gt;=N(N461)),"The Pulse",IF(N(K461)&gt;=N(N461),"The Lens","The Hub"))</f>
        <v>The Hub</v>
      </c>
      <c r="Q461" s="20" t="s">
        <v>74</v>
      </c>
      <c r="R461" s="26" t="s">
        <v>668</v>
      </c>
      <c r="S461" s="17" t="s">
        <v>19</v>
      </c>
    </row>
    <row r="462" customFormat="false" ht="15" hidden="false" customHeight="false" outlineLevel="0" collapsed="false">
      <c r="A462" s="17" t="s">
        <v>1792</v>
      </c>
      <c r="B462" s="17" t="s">
        <v>1793</v>
      </c>
      <c r="C462" s="17" t="s">
        <v>2643</v>
      </c>
      <c r="D462" s="17" t="s">
        <v>114</v>
      </c>
      <c r="E462" s="18" t="n">
        <v>98144</v>
      </c>
      <c r="F462" s="17" t="s">
        <v>667</v>
      </c>
      <c r="G462" s="23" t="n">
        <v>0.33785050537985</v>
      </c>
      <c r="H462" s="19" t="n">
        <v>5.9</v>
      </c>
      <c r="I462" s="17" t="n">
        <f aca="false">IF(H462="","",RANK(H462,$H$5:$H$491))</f>
        <v>458</v>
      </c>
      <c r="J462" s="24" t="n">
        <v>0.0699692562632187</v>
      </c>
      <c r="K462" s="19" t="n">
        <v>38.7</v>
      </c>
      <c r="L462" s="17" t="n">
        <f aca="false">IF(K462="","",RANK(K462,$K$5:$K$491))</f>
        <v>308</v>
      </c>
      <c r="M462" s="25" t="n">
        <v>0.0972495088408645</v>
      </c>
      <c r="N462" s="19" t="n">
        <v>53.3</v>
      </c>
      <c r="O462" s="17" t="n">
        <f aca="false">IF(N462="","",RANK(N462,$N$5:$N$491))</f>
        <v>232</v>
      </c>
      <c r="P462" s="17" t="str">
        <f aca="false">IF(AND(N(H462)&gt;=N(K462),N(H462)&gt;=N(N462)),"The Pulse",IF(N(K462)&gt;=N(N462),"The Lens","The Hub"))</f>
        <v>The Hub</v>
      </c>
      <c r="Q462" s="20" t="s">
        <v>74</v>
      </c>
      <c r="R462" s="26" t="s">
        <v>668</v>
      </c>
      <c r="S462" s="17" t="s">
        <v>19</v>
      </c>
    </row>
    <row r="463" customFormat="false" ht="15" hidden="false" customHeight="false" outlineLevel="0" collapsed="false">
      <c r="A463" s="17" t="s">
        <v>483</v>
      </c>
      <c r="B463" s="17" t="s">
        <v>484</v>
      </c>
      <c r="C463" s="17" t="s">
        <v>2644</v>
      </c>
      <c r="D463" s="17" t="s">
        <v>138</v>
      </c>
      <c r="E463" s="18" t="n">
        <v>12822</v>
      </c>
      <c r="F463" s="17" t="s">
        <v>667</v>
      </c>
      <c r="G463" s="23" t="n">
        <v>0.333177351427234</v>
      </c>
      <c r="H463" s="19" t="n">
        <v>5.7</v>
      </c>
      <c r="I463" s="17" t="n">
        <f aca="false">IF(H463="","",RANK(H463,$H$5:$H$491))</f>
        <v>459</v>
      </c>
      <c r="J463" s="24" t="n">
        <v>0.219516834696595</v>
      </c>
      <c r="K463" s="19" t="n">
        <v>96.1</v>
      </c>
      <c r="L463" s="17" t="n">
        <f aca="false">IF(K463="","",RANK(K463,$K$5:$K$491))</f>
        <v>22</v>
      </c>
      <c r="M463" s="25" t="n">
        <v>0.117647058823529</v>
      </c>
      <c r="N463" s="19" t="n">
        <v>62.3</v>
      </c>
      <c r="O463" s="17" t="n">
        <f aca="false">IF(N463="","",RANK(N463,$N$5:$N$491))</f>
        <v>187</v>
      </c>
      <c r="P463" s="17" t="str">
        <f aca="false">IF(AND(N(H463)&gt;=N(K463),N(H463)&gt;=N(N463)),"The Pulse",IF(N(K463)&gt;=N(N463),"The Lens","The Hub"))</f>
        <v>The Lens</v>
      </c>
      <c r="Q463" s="20" t="s">
        <v>74</v>
      </c>
      <c r="R463" s="27" t="s">
        <v>671</v>
      </c>
      <c r="S463" s="17" t="s">
        <v>19</v>
      </c>
    </row>
    <row r="464" customFormat="false" ht="15" hidden="false" customHeight="false" outlineLevel="0" collapsed="false">
      <c r="A464" s="17" t="s">
        <v>1112</v>
      </c>
      <c r="B464" s="17" t="s">
        <v>1113</v>
      </c>
      <c r="C464" s="17" t="s">
        <v>2645</v>
      </c>
      <c r="D464" s="17" t="s">
        <v>77</v>
      </c>
      <c r="E464" s="18" t="n">
        <v>30013</v>
      </c>
      <c r="F464" s="17" t="s">
        <v>667</v>
      </c>
      <c r="G464" s="23" t="n">
        <v>0.332989038083497</v>
      </c>
      <c r="H464" s="19" t="n">
        <v>5.5</v>
      </c>
      <c r="I464" s="17" t="n">
        <f aca="false">IF(H464="","",RANK(H464,$H$5:$H$491))</f>
        <v>460</v>
      </c>
      <c r="J464" s="24" t="n">
        <v>0.115724907063197</v>
      </c>
      <c r="K464" s="19" t="n">
        <v>61.7</v>
      </c>
      <c r="L464" s="17" t="n">
        <f aca="false">IF(K464="","",RANK(K464,$K$5:$K$491))</f>
        <v>193</v>
      </c>
      <c r="M464" s="25" t="n">
        <v>0.184397163120567</v>
      </c>
      <c r="N464" s="19" t="n">
        <v>79.2</v>
      </c>
      <c r="O464" s="17" t="n">
        <f aca="false">IF(N464="","",RANK(N464,$N$5:$N$491))</f>
        <v>102</v>
      </c>
      <c r="P464" s="17" t="str">
        <f aca="false">IF(AND(N(H464)&gt;=N(K464),N(H464)&gt;=N(N464)),"The Pulse",IF(N(K464)&gt;=N(N464),"The Lens","The Hub"))</f>
        <v>The Hub</v>
      </c>
      <c r="Q464" s="20" t="s">
        <v>74</v>
      </c>
      <c r="R464" s="26" t="s">
        <v>668</v>
      </c>
      <c r="S464" s="17" t="s">
        <v>19</v>
      </c>
    </row>
    <row r="465" customFormat="false" ht="15" hidden="false" customHeight="false" outlineLevel="0" collapsed="false">
      <c r="A465" s="17" t="s">
        <v>931</v>
      </c>
      <c r="B465" s="17" t="s">
        <v>932</v>
      </c>
      <c r="C465" s="17" t="s">
        <v>2646</v>
      </c>
      <c r="D465" s="17" t="s">
        <v>105</v>
      </c>
      <c r="E465" s="18" t="n">
        <v>21273</v>
      </c>
      <c r="F465" s="17" t="s">
        <v>667</v>
      </c>
      <c r="G465" s="23" t="n">
        <v>0.32929065011987</v>
      </c>
      <c r="H465" s="19" t="n">
        <v>5.3</v>
      </c>
      <c r="I465" s="17" t="n">
        <f aca="false">IF(H465="","",RANK(H465,$H$5:$H$491))</f>
        <v>461</v>
      </c>
      <c r="J465" s="24" t="n">
        <v>0.00254488901456242</v>
      </c>
      <c r="K465" s="19" t="n">
        <v>11.3</v>
      </c>
      <c r="L465" s="17" t="n">
        <f aca="false">IF(K465="","",RANK(K465,$K$5:$K$491))</f>
        <v>433</v>
      </c>
      <c r="M465" s="25" t="n">
        <v>0.25</v>
      </c>
      <c r="N465" s="19" t="n">
        <v>92.2</v>
      </c>
      <c r="O465" s="17" t="n">
        <f aca="false">IF(N465="","",RANK(N465,$N$5:$N$491))</f>
        <v>39</v>
      </c>
      <c r="P465" s="17" t="str">
        <f aca="false">IF(AND(N(H465)&gt;=N(K465),N(H465)&gt;=N(N465)),"The Pulse",IF(N(K465)&gt;=N(N465),"The Lens","The Hub"))</f>
        <v>The Hub</v>
      </c>
      <c r="Q465" s="20" t="s">
        <v>74</v>
      </c>
      <c r="R465" s="26" t="s">
        <v>668</v>
      </c>
      <c r="S465" s="17" t="s">
        <v>19</v>
      </c>
    </row>
    <row r="466" customFormat="false" ht="15" hidden="false" customHeight="false" outlineLevel="0" collapsed="false">
      <c r="A466" s="17" t="s">
        <v>645</v>
      </c>
      <c r="B466" s="17" t="s">
        <v>646</v>
      </c>
      <c r="C466" s="17" t="s">
        <v>2647</v>
      </c>
      <c r="D466" s="17" t="s">
        <v>87</v>
      </c>
      <c r="E466" s="18" t="n">
        <v>24710</v>
      </c>
      <c r="F466" s="17" t="s">
        <v>667</v>
      </c>
      <c r="G466" s="23" t="n">
        <v>0.326750303520842</v>
      </c>
      <c r="H466" s="19" t="n">
        <v>5.1</v>
      </c>
      <c r="I466" s="17" t="n">
        <f aca="false">IF(H466="","",RANK(H466,$H$5:$H$491))</f>
        <v>462</v>
      </c>
      <c r="J466" s="24" t="n">
        <v>0.092396109637489</v>
      </c>
      <c r="K466" s="19" t="n">
        <v>52.8</v>
      </c>
      <c r="L466" s="17" t="n">
        <f aca="false">IF(K466="","",RANK(K466,$K$5:$K$491))</f>
        <v>238</v>
      </c>
      <c r="M466" s="25" t="n">
        <v>0.0357142857142857</v>
      </c>
      <c r="N466" s="19" t="n">
        <v>23</v>
      </c>
      <c r="O466" s="17" t="n">
        <f aca="false">IF(N466="","",RANK(N466,$N$5:$N$491))</f>
        <v>380</v>
      </c>
      <c r="P466" s="17" t="str">
        <f aca="false">IF(AND(N(H466)&gt;=N(K466),N(H466)&gt;=N(N466)),"The Pulse",IF(N(K466)&gt;=N(N466),"The Lens","The Hub"))</f>
        <v>The Lens</v>
      </c>
      <c r="Q466" s="20" t="s">
        <v>74</v>
      </c>
      <c r="R466" s="27" t="s">
        <v>671</v>
      </c>
      <c r="S466" s="17" t="s">
        <v>19</v>
      </c>
    </row>
    <row r="467" customFormat="false" ht="15" hidden="false" customHeight="false" outlineLevel="0" collapsed="false">
      <c r="A467" s="17" t="s">
        <v>2648</v>
      </c>
      <c r="B467" s="17" t="s">
        <v>2649</v>
      </c>
      <c r="C467" s="17" t="s">
        <v>2650</v>
      </c>
      <c r="D467" s="17" t="s">
        <v>133</v>
      </c>
      <c r="E467" s="18" t="n">
        <v>10780</v>
      </c>
      <c r="F467" s="17" t="s">
        <v>667</v>
      </c>
      <c r="G467" s="23" t="n">
        <v>0.311966604823748</v>
      </c>
      <c r="H467" s="19" t="n">
        <v>4.8</v>
      </c>
      <c r="I467" s="17" t="n">
        <f aca="false">IF(H467="","",RANK(H467,$H$5:$H$491))</f>
        <v>463</v>
      </c>
      <c r="J467" s="24" t="n">
        <v>0.0828729281767956</v>
      </c>
      <c r="K467" s="19" t="n">
        <v>47.2</v>
      </c>
      <c r="L467" s="17" t="n">
        <f aca="false">IF(K467="","",RANK(K467,$K$5:$K$491))</f>
        <v>267</v>
      </c>
      <c r="M467" s="25" t="n">
        <v>0.1</v>
      </c>
      <c r="N467" s="19" t="n">
        <v>54.8</v>
      </c>
      <c r="O467" s="17" t="n">
        <f aca="false">IF(N467="","",RANK(N467,$N$5:$N$491))</f>
        <v>225</v>
      </c>
      <c r="P467" s="17" t="str">
        <f aca="false">IF(AND(N(H467)&gt;=N(K467),N(H467)&gt;=N(N467)),"The Pulse",IF(N(K467)&gt;=N(N467),"The Lens","The Hub"))</f>
        <v>The Hub</v>
      </c>
      <c r="Q467" s="20" t="s">
        <v>74</v>
      </c>
      <c r="R467" s="26" t="s">
        <v>668</v>
      </c>
      <c r="S467" s="17" t="s">
        <v>19</v>
      </c>
    </row>
    <row r="468" customFormat="false" ht="15" hidden="false" customHeight="false" outlineLevel="0" collapsed="false">
      <c r="A468" s="17" t="s">
        <v>2651</v>
      </c>
      <c r="B468" s="17" t="s">
        <v>2652</v>
      </c>
      <c r="C468" s="17" t="s">
        <v>2653</v>
      </c>
      <c r="D468" s="17" t="s">
        <v>102</v>
      </c>
      <c r="E468" s="18" t="n">
        <v>130469</v>
      </c>
      <c r="F468" s="17" t="s">
        <v>670</v>
      </c>
      <c r="G468" s="23" t="n">
        <v>0.305160612865892</v>
      </c>
      <c r="H468" s="19" t="n">
        <v>4.6</v>
      </c>
      <c r="I468" s="17" t="n">
        <f aca="false">IF(H468="","",RANK(H468,$H$5:$H$491))</f>
        <v>464</v>
      </c>
      <c r="J468" s="24" t="n">
        <v>0.121320464448704</v>
      </c>
      <c r="K468" s="19" t="n">
        <v>68.7</v>
      </c>
      <c r="L468" s="17" t="n">
        <f aca="false">IF(K468="","",RANK(K468,$K$5:$K$491))</f>
        <v>160</v>
      </c>
      <c r="M468" s="25" t="n">
        <v>0.229253339172323</v>
      </c>
      <c r="N468" s="19" t="n">
        <v>89.1</v>
      </c>
      <c r="O468" s="17" t="n">
        <f aca="false">IF(N468="","",RANK(N468,$N$5:$N$491))</f>
        <v>55</v>
      </c>
      <c r="P468" s="17" t="str">
        <f aca="false">IF(AND(N(H468)&gt;=N(K468),N(H468)&gt;=N(N468)),"The Pulse",IF(N(K468)&gt;=N(N468),"The Lens","The Hub"))</f>
        <v>The Hub</v>
      </c>
      <c r="Q468" s="20" t="s">
        <v>74</v>
      </c>
      <c r="R468" s="26" t="s">
        <v>668</v>
      </c>
      <c r="S468" s="17" t="s">
        <v>19</v>
      </c>
    </row>
    <row r="469" customFormat="false" ht="15" hidden="false" customHeight="false" outlineLevel="0" collapsed="false">
      <c r="A469" s="17" t="s">
        <v>791</v>
      </c>
      <c r="B469" s="17" t="s">
        <v>792</v>
      </c>
      <c r="C469" s="17" t="s">
        <v>2654</v>
      </c>
      <c r="D469" s="17" t="s">
        <v>102</v>
      </c>
      <c r="E469" s="18" t="n">
        <v>448201</v>
      </c>
      <c r="F469" s="17" t="s">
        <v>670</v>
      </c>
      <c r="G469" s="23" t="n">
        <v>0.300722220610842</v>
      </c>
      <c r="H469" s="19" t="n">
        <v>4.4</v>
      </c>
      <c r="I469" s="17" t="n">
        <f aca="false">IF(H469="","",RANK(H469,$H$5:$H$491))</f>
        <v>465</v>
      </c>
      <c r="J469" s="24" t="n">
        <v>0.0485313108249738</v>
      </c>
      <c r="K469" s="19" t="n">
        <v>34.3</v>
      </c>
      <c r="L469" s="17" t="n">
        <f aca="false">IF(K469="","",RANK(K469,$K$5:$K$491))</f>
        <v>326</v>
      </c>
      <c r="M469" s="25" t="n">
        <v>0.0120020429009193</v>
      </c>
      <c r="N469" s="19" t="n">
        <v>7.8</v>
      </c>
      <c r="O469" s="17" t="n">
        <f aca="false">IF(N469="","",RANK(N469,$N$5:$N$491))</f>
        <v>452</v>
      </c>
      <c r="P469" s="17" t="str">
        <f aca="false">IF(AND(N(H469)&gt;=N(K469),N(H469)&gt;=N(N469)),"The Pulse",IF(N(K469)&gt;=N(N469),"The Lens","The Hub"))</f>
        <v>The Lens</v>
      </c>
      <c r="Q469" s="20" t="s">
        <v>74</v>
      </c>
      <c r="R469" s="26" t="s">
        <v>668</v>
      </c>
      <c r="S469" s="17" t="s">
        <v>19</v>
      </c>
    </row>
    <row r="470" customFormat="false" ht="15" hidden="false" customHeight="false" outlineLevel="0" collapsed="false">
      <c r="A470" s="17" t="s">
        <v>723</v>
      </c>
      <c r="B470" s="17" t="s">
        <v>724</v>
      </c>
      <c r="C470" s="17" t="s">
        <v>2655</v>
      </c>
      <c r="D470" s="17" t="s">
        <v>72</v>
      </c>
      <c r="E470" s="18" t="n">
        <v>9718</v>
      </c>
      <c r="F470" s="17" t="s">
        <v>678</v>
      </c>
      <c r="G470" s="23" t="n">
        <v>0.285861288330932</v>
      </c>
      <c r="H470" s="19" t="n">
        <v>4.2</v>
      </c>
      <c r="I470" s="17" t="n">
        <f aca="false">IF(H470="","",RANK(H470,$H$5:$H$491))</f>
        <v>466</v>
      </c>
      <c r="J470" s="24" t="n">
        <v>0.100441626089911</v>
      </c>
      <c r="K470" s="19" t="n">
        <v>48</v>
      </c>
      <c r="L470" s="17" t="n">
        <f aca="false">IF(K470="","",RANK(K470,$K$5:$K$491))</f>
        <v>263</v>
      </c>
      <c r="M470" s="25" t="n">
        <v>0.156716417910448</v>
      </c>
      <c r="N470" s="19" t="n">
        <v>72.8</v>
      </c>
      <c r="O470" s="17" t="n">
        <f aca="false">IF(N470="","",RANK(N470,$N$5:$N$491))</f>
        <v>135</v>
      </c>
      <c r="P470" s="17" t="str">
        <f aca="false">IF(AND(N(H470)&gt;=N(K470),N(H470)&gt;=N(N470)),"The Pulse",IF(N(K470)&gt;=N(N470),"The Lens","The Hub"))</f>
        <v>The Hub</v>
      </c>
      <c r="Q470" s="20" t="s">
        <v>74</v>
      </c>
      <c r="R470" s="26" t="s">
        <v>668</v>
      </c>
      <c r="S470" s="17" t="s">
        <v>19</v>
      </c>
    </row>
    <row r="471" customFormat="false" ht="15" hidden="false" customHeight="false" outlineLevel="0" collapsed="false">
      <c r="A471" s="17" t="s">
        <v>409</v>
      </c>
      <c r="B471" s="17" t="s">
        <v>410</v>
      </c>
      <c r="C471" s="17" t="s">
        <v>2656</v>
      </c>
      <c r="D471" s="17" t="s">
        <v>92</v>
      </c>
      <c r="E471" s="18" t="n">
        <v>19230</v>
      </c>
      <c r="F471" s="17" t="s">
        <v>667</v>
      </c>
      <c r="G471" s="23" t="n">
        <v>0.270826833073323</v>
      </c>
      <c r="H471" s="19" t="n">
        <v>4</v>
      </c>
      <c r="I471" s="17" t="n">
        <f aca="false">IF(H471="","",RANK(H471,$H$5:$H$491))</f>
        <v>467</v>
      </c>
      <c r="J471" s="24" t="n">
        <v>0.162636033857316</v>
      </c>
      <c r="K471" s="19" t="n">
        <v>81.9</v>
      </c>
      <c r="L471" s="17" t="n">
        <f aca="false">IF(K471="","",RANK(K471,$K$5:$K$491))</f>
        <v>91</v>
      </c>
      <c r="M471" s="25" t="n">
        <v>0.0170575692963753</v>
      </c>
      <c r="N471" s="19" t="n">
        <v>10.9</v>
      </c>
      <c r="O471" s="17" t="n">
        <f aca="false">IF(N471="","",RANK(N471,$N$5:$N$491))</f>
        <v>439</v>
      </c>
      <c r="P471" s="17" t="str">
        <f aca="false">IF(AND(N(H471)&gt;=N(K471),N(H471)&gt;=N(N471)),"The Pulse",IF(N(K471)&gt;=N(N471),"The Lens","The Hub"))</f>
        <v>The Lens</v>
      </c>
      <c r="Q471" s="21" t="s">
        <v>78</v>
      </c>
      <c r="R471" s="27" t="s">
        <v>671</v>
      </c>
      <c r="S471" s="17" t="s">
        <v>21</v>
      </c>
    </row>
    <row r="472" customFormat="false" ht="15" hidden="false" customHeight="false" outlineLevel="0" collapsed="false">
      <c r="A472" s="17" t="s">
        <v>727</v>
      </c>
      <c r="B472" s="17" t="s">
        <v>728</v>
      </c>
      <c r="C472" s="17" t="s">
        <v>2657</v>
      </c>
      <c r="D472" s="17" t="s">
        <v>114</v>
      </c>
      <c r="E472" s="18" t="n">
        <v>299271</v>
      </c>
      <c r="F472" s="17" t="s">
        <v>670</v>
      </c>
      <c r="G472" s="23" t="n">
        <v>0.265688957500059</v>
      </c>
      <c r="H472" s="19" t="n">
        <v>3.8</v>
      </c>
      <c r="I472" s="17" t="n">
        <f aca="false">IF(H472="","",RANK(H472,$H$5:$H$491))</f>
        <v>468</v>
      </c>
      <c r="J472" s="24" t="n">
        <v>0.237787400890896</v>
      </c>
      <c r="K472" s="19" t="n">
        <v>95.8</v>
      </c>
      <c r="L472" s="17" t="n">
        <f aca="false">IF(K472="","",RANK(K472,$K$5:$K$491))</f>
        <v>23</v>
      </c>
      <c r="M472" s="25" t="n">
        <v>0.0412482065997131</v>
      </c>
      <c r="N472" s="19" t="n">
        <v>26.3</v>
      </c>
      <c r="O472" s="17" t="n">
        <f aca="false">IF(N472="","",RANK(N472,$N$5:$N$491))</f>
        <v>364</v>
      </c>
      <c r="P472" s="17" t="str">
        <f aca="false">IF(AND(N(H472)&gt;=N(K472),N(H472)&gt;=N(N472)),"The Pulse",IF(N(K472)&gt;=N(N472),"The Lens","The Hub"))</f>
        <v>The Lens</v>
      </c>
      <c r="Q472" s="22" t="s">
        <v>83</v>
      </c>
      <c r="R472" s="26" t="s">
        <v>668</v>
      </c>
      <c r="S472" s="17" t="s">
        <v>17</v>
      </c>
    </row>
    <row r="473" customFormat="false" ht="15" hidden="false" customHeight="false" outlineLevel="0" collapsed="false">
      <c r="A473" s="17" t="s">
        <v>439</v>
      </c>
      <c r="B473" s="17" t="s">
        <v>440</v>
      </c>
      <c r="C473" s="17" t="s">
        <v>2658</v>
      </c>
      <c r="D473" s="17" t="s">
        <v>87</v>
      </c>
      <c r="E473" s="18" t="n">
        <v>627</v>
      </c>
      <c r="F473" s="17" t="s">
        <v>678</v>
      </c>
      <c r="G473" s="23" t="n">
        <v>0.263157894736842</v>
      </c>
      <c r="H473" s="19" t="n">
        <v>3.6</v>
      </c>
      <c r="I473" s="17" t="n">
        <f aca="false">IF(H473="","",RANK(H473,$H$5:$H$491))</f>
        <v>469</v>
      </c>
      <c r="J473" s="24" t="n">
        <v>0.045</v>
      </c>
      <c r="K473" s="19" t="n">
        <v>28</v>
      </c>
      <c r="L473" s="17" t="n">
        <f aca="false">IF(K473="","",RANK(K473,$K$5:$K$491))</f>
        <v>355</v>
      </c>
      <c r="M473" s="25" t="n">
        <v>0</v>
      </c>
      <c r="N473" s="19" t="n">
        <v>0.7</v>
      </c>
      <c r="O473" s="17" t="n">
        <f aca="false">IF(N473="","",RANK(N473,$N$5:$N$491))</f>
        <v>482</v>
      </c>
      <c r="P473" s="17" t="str">
        <f aca="false">IF(AND(N(H473)&gt;=N(K473),N(H473)&gt;=N(N473)),"The Pulse",IF(N(K473)&gt;=N(N473),"The Lens","The Hub"))</f>
        <v>The Lens</v>
      </c>
      <c r="Q473" s="20" t="s">
        <v>74</v>
      </c>
      <c r="R473" s="27" t="s">
        <v>671</v>
      </c>
      <c r="S473" s="17" t="s">
        <v>19</v>
      </c>
    </row>
    <row r="474" customFormat="false" ht="15" hidden="false" customHeight="false" outlineLevel="0" collapsed="false">
      <c r="A474" s="17" t="s">
        <v>2659</v>
      </c>
      <c r="B474" s="17" t="s">
        <v>2660</v>
      </c>
      <c r="C474" s="17" t="s">
        <v>2661</v>
      </c>
      <c r="D474" s="17" t="s">
        <v>138</v>
      </c>
      <c r="E474" s="18" t="n">
        <v>65063</v>
      </c>
      <c r="F474" s="17" t="s">
        <v>667</v>
      </c>
      <c r="G474" s="23" t="n">
        <v>0.261331325023439</v>
      </c>
      <c r="H474" s="19" t="n">
        <v>3.4</v>
      </c>
      <c r="I474" s="17" t="n">
        <f aca="false">IF(H474="","",RANK(H474,$H$5:$H$491))</f>
        <v>470</v>
      </c>
      <c r="J474" s="24" t="n">
        <v>0.0313545216771023</v>
      </c>
      <c r="K474" s="19" t="n">
        <v>21.6</v>
      </c>
      <c r="L474" s="17" t="n">
        <f aca="false">IF(K474="","",RANK(K474,$K$5:$K$491))</f>
        <v>384</v>
      </c>
      <c r="M474" s="25" t="n">
        <v>0</v>
      </c>
      <c r="N474" s="19" t="n">
        <v>0.7</v>
      </c>
      <c r="O474" s="17" t="n">
        <f aca="false">IF(N474="","",RANK(N474,$N$5:$N$491))</f>
        <v>482</v>
      </c>
      <c r="P474" s="17" t="str">
        <f aca="false">IF(AND(N(H474)&gt;=N(K474),N(H474)&gt;=N(N474)),"The Pulse",IF(N(K474)&gt;=N(N474),"The Lens","The Hub"))</f>
        <v>The Lens</v>
      </c>
      <c r="Q474" s="20" t="s">
        <v>74</v>
      </c>
      <c r="R474" s="26" t="s">
        <v>668</v>
      </c>
      <c r="S474" s="17" t="s">
        <v>19</v>
      </c>
    </row>
    <row r="475" customFormat="false" ht="15" hidden="false" customHeight="false" outlineLevel="0" collapsed="false">
      <c r="A475" s="17" t="s">
        <v>2662</v>
      </c>
      <c r="B475" s="17" t="s">
        <v>2663</v>
      </c>
      <c r="C475" s="17" t="s">
        <v>2664</v>
      </c>
      <c r="D475" s="17" t="s">
        <v>81</v>
      </c>
      <c r="E475" s="18" t="n">
        <v>48113</v>
      </c>
      <c r="F475" s="17" t="s">
        <v>667</v>
      </c>
      <c r="G475" s="23" t="n">
        <v>0.259805042296261</v>
      </c>
      <c r="H475" s="19" t="n">
        <v>3.2</v>
      </c>
      <c r="I475" s="17" t="n">
        <f aca="false">IF(H475="","",RANK(H475,$H$5:$H$491))</f>
        <v>471</v>
      </c>
      <c r="J475" s="24" t="n">
        <v>0.0542080238392603</v>
      </c>
      <c r="K475" s="19" t="n">
        <v>32.3</v>
      </c>
      <c r="L475" s="17" t="n">
        <f aca="false">IF(K475="","",RANK(K475,$K$5:$K$491))</f>
        <v>335</v>
      </c>
      <c r="M475" s="25" t="n">
        <v>0.310606060606061</v>
      </c>
      <c r="N475" s="19" t="n">
        <v>96.6</v>
      </c>
      <c r="O475" s="17" t="n">
        <f aca="false">IF(N475="","",RANK(N475,$N$5:$N$491))</f>
        <v>18</v>
      </c>
      <c r="P475" s="17" t="str">
        <f aca="false">IF(AND(N(H475)&gt;=N(K475),N(H475)&gt;=N(N475)),"The Pulse",IF(N(K475)&gt;=N(N475),"The Lens","The Hub"))</f>
        <v>The Hub</v>
      </c>
      <c r="Q475" s="20" t="s">
        <v>74</v>
      </c>
      <c r="R475" s="26" t="s">
        <v>668</v>
      </c>
      <c r="S475" s="17" t="s">
        <v>19</v>
      </c>
    </row>
    <row r="476" customFormat="false" ht="15" hidden="false" customHeight="false" outlineLevel="0" collapsed="false">
      <c r="A476" s="17" t="s">
        <v>1018</v>
      </c>
      <c r="B476" s="17" t="s">
        <v>1019</v>
      </c>
      <c r="C476" s="17" t="s">
        <v>2665</v>
      </c>
      <c r="D476" s="17" t="s">
        <v>72</v>
      </c>
      <c r="E476" s="18" t="n">
        <v>305983</v>
      </c>
      <c r="F476" s="17" t="s">
        <v>670</v>
      </c>
      <c r="G476" s="23" t="n">
        <v>0.259105898040087</v>
      </c>
      <c r="H476" s="19" t="n">
        <v>3</v>
      </c>
      <c r="I476" s="17" t="n">
        <f aca="false">IF(H476="","",RANK(H476,$H$5:$H$491))</f>
        <v>472</v>
      </c>
      <c r="J476" s="24" t="n">
        <v>0.112936606373189</v>
      </c>
      <c r="K476" s="19" t="n">
        <v>65.7</v>
      </c>
      <c r="L476" s="17" t="n">
        <f aca="false">IF(K476="","",RANK(K476,$K$5:$K$491))</f>
        <v>173</v>
      </c>
      <c r="M476" s="25" t="n">
        <v>0.0591325431034483</v>
      </c>
      <c r="N476" s="19" t="n">
        <v>35.8</v>
      </c>
      <c r="O476" s="17" t="n">
        <f aca="false">IF(N476="","",RANK(N476,$N$5:$N$491))</f>
        <v>319</v>
      </c>
      <c r="P476" s="17" t="str">
        <f aca="false">IF(AND(N(H476)&gt;=N(K476),N(H476)&gt;=N(N476)),"The Pulse",IF(N(K476)&gt;=N(N476),"The Lens","The Hub"))</f>
        <v>The Lens</v>
      </c>
      <c r="Q476" s="20" t="s">
        <v>74</v>
      </c>
      <c r="R476" s="26" t="s">
        <v>668</v>
      </c>
      <c r="S476" s="17" t="s">
        <v>19</v>
      </c>
    </row>
    <row r="477" customFormat="false" ht="15" hidden="false" customHeight="false" outlineLevel="0" collapsed="false">
      <c r="A477" s="17" t="s">
        <v>569</v>
      </c>
      <c r="B477" s="17" t="s">
        <v>570</v>
      </c>
      <c r="C477" s="17" t="s">
        <v>2666</v>
      </c>
      <c r="D477" s="17" t="s">
        <v>92</v>
      </c>
      <c r="E477" s="18" t="n">
        <v>421826</v>
      </c>
      <c r="F477" s="17" t="s">
        <v>670</v>
      </c>
      <c r="G477" s="23" t="n">
        <v>0.254657133510025</v>
      </c>
      <c r="H477" s="19" t="n">
        <v>2.9</v>
      </c>
      <c r="I477" s="17" t="n">
        <f aca="false">IF(H477="","",RANK(H477,$H$5:$H$491))</f>
        <v>473</v>
      </c>
      <c r="J477" s="24" t="n">
        <v>0.037761054130984</v>
      </c>
      <c r="K477" s="19" t="n">
        <v>28.9</v>
      </c>
      <c r="L477" s="17" t="n">
        <f aca="false">IF(K477="","",RANK(K477,$K$5:$K$491))</f>
        <v>351</v>
      </c>
      <c r="M477" s="25" t="n">
        <v>0.214442013129103</v>
      </c>
      <c r="N477" s="19" t="n">
        <v>85.3</v>
      </c>
      <c r="O477" s="17" t="n">
        <f aca="false">IF(N477="","",RANK(N477,$N$5:$N$491))</f>
        <v>73</v>
      </c>
      <c r="P477" s="17" t="str">
        <f aca="false">IF(AND(N(H477)&gt;=N(K477),N(H477)&gt;=N(N477)),"The Pulse",IF(N(K477)&gt;=N(N477),"The Lens","The Hub"))</f>
        <v>The Hub</v>
      </c>
      <c r="Q477" s="20" t="s">
        <v>74</v>
      </c>
      <c r="R477" s="27" t="s">
        <v>671</v>
      </c>
      <c r="S477" s="17" t="s">
        <v>19</v>
      </c>
    </row>
    <row r="478" customFormat="false" ht="15" hidden="false" customHeight="false" outlineLevel="0" collapsed="false">
      <c r="A478" s="17" t="s">
        <v>467</v>
      </c>
      <c r="B478" s="17" t="s">
        <v>468</v>
      </c>
      <c r="C478" s="17" t="s">
        <v>2667</v>
      </c>
      <c r="D478" s="17" t="s">
        <v>133</v>
      </c>
      <c r="E478" s="18" t="n">
        <v>1380</v>
      </c>
      <c r="F478" s="17" t="s">
        <v>678</v>
      </c>
      <c r="G478" s="23" t="n">
        <v>0.247101449275362</v>
      </c>
      <c r="H478" s="19" t="n">
        <v>2.7</v>
      </c>
      <c r="I478" s="17" t="n">
        <f aca="false">IF(H478="","",RANK(H478,$H$5:$H$491))</f>
        <v>474</v>
      </c>
      <c r="J478" s="24" t="n">
        <v>0.129296235679214</v>
      </c>
      <c r="K478" s="19" t="n">
        <v>62.7</v>
      </c>
      <c r="L478" s="17" t="n">
        <f aca="false">IF(K478="","",RANK(K478,$K$5:$K$491))</f>
        <v>189</v>
      </c>
      <c r="M478" s="25" t="n">
        <v>0</v>
      </c>
      <c r="N478" s="19" t="n">
        <v>0.7</v>
      </c>
      <c r="O478" s="17" t="n">
        <f aca="false">IF(N478="","",RANK(N478,$N$5:$N$491))</f>
        <v>482</v>
      </c>
      <c r="P478" s="17" t="str">
        <f aca="false">IF(AND(N(H478)&gt;=N(K478),N(H478)&gt;=N(N478)),"The Pulse",IF(N(K478)&gt;=N(N478),"The Lens","The Hub"))</f>
        <v>The Lens</v>
      </c>
      <c r="Q478" s="20" t="s">
        <v>74</v>
      </c>
      <c r="R478" s="27" t="s">
        <v>671</v>
      </c>
      <c r="S478" s="17" t="s">
        <v>19</v>
      </c>
    </row>
    <row r="479" customFormat="false" ht="15" hidden="false" customHeight="false" outlineLevel="0" collapsed="false">
      <c r="A479" s="17" t="s">
        <v>2668</v>
      </c>
      <c r="B479" s="17" t="s">
        <v>2669</v>
      </c>
      <c r="C479" s="17" t="s">
        <v>2670</v>
      </c>
      <c r="D479" s="17" t="s">
        <v>105</v>
      </c>
      <c r="E479" s="18" t="n">
        <v>243361</v>
      </c>
      <c r="F479" s="17" t="s">
        <v>670</v>
      </c>
      <c r="G479" s="23" t="n">
        <v>0.245963815073081</v>
      </c>
      <c r="H479" s="19" t="n">
        <v>2.5</v>
      </c>
      <c r="I479" s="17" t="n">
        <f aca="false">IF(H479="","",RANK(H479,$H$5:$H$491))</f>
        <v>475</v>
      </c>
      <c r="J479" s="24" t="n">
        <v>0.112085471569644</v>
      </c>
      <c r="K479" s="19" t="n">
        <v>64.5</v>
      </c>
      <c r="L479" s="17" t="n">
        <f aca="false">IF(K479="","",RANK(K479,$K$5:$K$491))</f>
        <v>179</v>
      </c>
      <c r="M479" s="25" t="n">
        <v>0.165977249224405</v>
      </c>
      <c r="N479" s="19" t="n">
        <v>75.4</v>
      </c>
      <c r="O479" s="17" t="n">
        <f aca="false">IF(N479="","",RANK(N479,$N$5:$N$491))</f>
        <v>121</v>
      </c>
      <c r="P479" s="17" t="str">
        <f aca="false">IF(AND(N(H479)&gt;=N(K479),N(H479)&gt;=N(N479)),"The Pulse",IF(N(K479)&gt;=N(N479),"The Lens","The Hub"))</f>
        <v>The Hub</v>
      </c>
      <c r="Q479" s="20" t="s">
        <v>74</v>
      </c>
      <c r="R479" s="26" t="s">
        <v>668</v>
      </c>
      <c r="S479" s="17" t="s">
        <v>19</v>
      </c>
    </row>
    <row r="480" customFormat="false" ht="15" hidden="false" customHeight="false" outlineLevel="0" collapsed="false">
      <c r="A480" s="17" t="s">
        <v>2671</v>
      </c>
      <c r="B480" s="17" t="s">
        <v>2672</v>
      </c>
      <c r="C480" s="17" t="s">
        <v>2673</v>
      </c>
      <c r="D480" s="17" t="s">
        <v>77</v>
      </c>
      <c r="E480" s="18" t="n">
        <v>41643</v>
      </c>
      <c r="F480" s="17" t="s">
        <v>667</v>
      </c>
      <c r="G480" s="23" t="n">
        <v>0.242057488653555</v>
      </c>
      <c r="H480" s="19" t="n">
        <v>2.3</v>
      </c>
      <c r="I480" s="17" t="n">
        <f aca="false">IF(H480="","",RANK(H480,$H$5:$H$491))</f>
        <v>476</v>
      </c>
      <c r="J480" s="24" t="n">
        <v>0.0373147340889276</v>
      </c>
      <c r="K480" s="19" t="n">
        <v>24.5</v>
      </c>
      <c r="L480" s="17" t="n">
        <f aca="false">IF(K480="","",RANK(K480,$K$5:$K$491))</f>
        <v>371</v>
      </c>
      <c r="M480" s="25" t="n">
        <v>0.209302325581395</v>
      </c>
      <c r="N480" s="19" t="n">
        <v>84.8</v>
      </c>
      <c r="O480" s="17" t="n">
        <f aca="false">IF(N480="","",RANK(N480,$N$5:$N$491))</f>
        <v>76</v>
      </c>
      <c r="P480" s="17" t="str">
        <f aca="false">IF(AND(N(H480)&gt;=N(K480),N(H480)&gt;=N(N480)),"The Pulse",IF(N(K480)&gt;=N(N480),"The Lens","The Hub"))</f>
        <v>The Hub</v>
      </c>
      <c r="Q480" s="20" t="s">
        <v>74</v>
      </c>
      <c r="R480" s="26" t="s">
        <v>668</v>
      </c>
      <c r="S480" s="17" t="s">
        <v>19</v>
      </c>
    </row>
    <row r="481" customFormat="false" ht="15" hidden="false" customHeight="false" outlineLevel="0" collapsed="false">
      <c r="A481" s="17" t="s">
        <v>415</v>
      </c>
      <c r="B481" s="17" t="s">
        <v>416</v>
      </c>
      <c r="C481" s="17" t="s">
        <v>2674</v>
      </c>
      <c r="D481" s="17" t="s">
        <v>77</v>
      </c>
      <c r="E481" s="18" t="n">
        <v>226881</v>
      </c>
      <c r="F481" s="17" t="s">
        <v>670</v>
      </c>
      <c r="G481" s="23" t="n">
        <v>0.234845579841415</v>
      </c>
      <c r="H481" s="19" t="n">
        <v>2.1</v>
      </c>
      <c r="I481" s="17" t="n">
        <f aca="false">IF(H481="","",RANK(H481,$H$5:$H$491))</f>
        <v>477</v>
      </c>
      <c r="J481" s="24" t="n">
        <v>0.066872002257124</v>
      </c>
      <c r="K481" s="19" t="n">
        <v>42.8</v>
      </c>
      <c r="L481" s="17" t="n">
        <f aca="false">IF(K481="","",RANK(K481,$K$5:$K$491))</f>
        <v>288</v>
      </c>
      <c r="M481" s="25" t="n">
        <v>0.164140480591497</v>
      </c>
      <c r="N481" s="19" t="n">
        <v>74.9</v>
      </c>
      <c r="O481" s="17" t="n">
        <f aca="false">IF(N481="","",RANK(N481,$N$5:$N$491))</f>
        <v>124</v>
      </c>
      <c r="P481" s="17" t="str">
        <f aca="false">IF(AND(N(H481)&gt;=N(K481),N(H481)&gt;=N(N481)),"The Pulse",IF(N(K481)&gt;=N(N481),"The Lens","The Hub"))</f>
        <v>The Hub</v>
      </c>
      <c r="Q481" s="20" t="s">
        <v>74</v>
      </c>
      <c r="R481" s="27" t="s">
        <v>671</v>
      </c>
      <c r="S481" s="17" t="s">
        <v>19</v>
      </c>
    </row>
    <row r="482" customFormat="false" ht="15" hidden="false" customHeight="false" outlineLevel="0" collapsed="false">
      <c r="A482" s="17" t="s">
        <v>267</v>
      </c>
      <c r="B482" s="17" t="s">
        <v>268</v>
      </c>
      <c r="C482" s="17" t="s">
        <v>2675</v>
      </c>
      <c r="D482" s="17" t="s">
        <v>114</v>
      </c>
      <c r="E482" s="18" t="n">
        <v>30599</v>
      </c>
      <c r="F482" s="17" t="s">
        <v>667</v>
      </c>
      <c r="G482" s="23" t="n">
        <v>0.230497728683944</v>
      </c>
      <c r="H482" s="19" t="n">
        <v>1.9</v>
      </c>
      <c r="I482" s="17" t="n">
        <f aca="false">IF(H482="","",RANK(H482,$H$5:$H$491))</f>
        <v>478</v>
      </c>
      <c r="J482" s="24" t="n">
        <v>0.170850233412413</v>
      </c>
      <c r="K482" s="19" t="n">
        <v>87.6</v>
      </c>
      <c r="L482" s="17" t="n">
        <f aca="false">IF(K482="","",RANK(K482,$K$5:$K$491))</f>
        <v>62</v>
      </c>
      <c r="M482" s="25" t="n">
        <v>0.015625</v>
      </c>
      <c r="N482" s="19" t="n">
        <v>10.1</v>
      </c>
      <c r="O482" s="17" t="n">
        <f aca="false">IF(N482="","",RANK(N482,$N$5:$N$491))</f>
        <v>443</v>
      </c>
      <c r="P482" s="17" t="str">
        <f aca="false">IF(AND(N(H482)&gt;=N(K482),N(H482)&gt;=N(N482)),"The Pulse",IF(N(K482)&gt;=N(N482),"The Lens","The Hub"))</f>
        <v>The Lens</v>
      </c>
      <c r="Q482" s="20" t="s">
        <v>74</v>
      </c>
      <c r="R482" s="27" t="s">
        <v>671</v>
      </c>
      <c r="S482" s="17" t="s">
        <v>19</v>
      </c>
    </row>
    <row r="483" customFormat="false" ht="15" hidden="false" customHeight="false" outlineLevel="0" collapsed="false">
      <c r="A483" s="17" t="s">
        <v>631</v>
      </c>
      <c r="B483" s="17" t="s">
        <v>632</v>
      </c>
      <c r="C483" s="17" t="s">
        <v>2676</v>
      </c>
      <c r="D483" s="17" t="s">
        <v>77</v>
      </c>
      <c r="E483" s="18" t="n">
        <v>69927</v>
      </c>
      <c r="F483" s="17" t="s">
        <v>667</v>
      </c>
      <c r="G483" s="23" t="n">
        <v>0.226121526735024</v>
      </c>
      <c r="H483" s="19" t="n">
        <v>1.7</v>
      </c>
      <c r="I483" s="17" t="n">
        <f aca="false">IF(H483="","",RANK(H483,$H$5:$H$491))</f>
        <v>479</v>
      </c>
      <c r="J483" s="24" t="n">
        <v>0.0210258881247536</v>
      </c>
      <c r="K483" s="19" t="n">
        <v>16.3</v>
      </c>
      <c r="L483" s="17" t="n">
        <f aca="false">IF(K483="","",RANK(K483,$K$5:$K$491))</f>
        <v>409</v>
      </c>
      <c r="M483" s="25" t="n">
        <v>0.100436681222707</v>
      </c>
      <c r="N483" s="19" t="n">
        <v>55.4</v>
      </c>
      <c r="O483" s="17" t="n">
        <f aca="false">IF(N483="","",RANK(N483,$N$5:$N$491))</f>
        <v>222</v>
      </c>
      <c r="P483" s="17" t="str">
        <f aca="false">IF(AND(N(H483)&gt;=N(K483),N(H483)&gt;=N(N483)),"The Pulse",IF(N(K483)&gt;=N(N483),"The Lens","The Hub"))</f>
        <v>The Hub</v>
      </c>
      <c r="Q483" s="20" t="s">
        <v>74</v>
      </c>
      <c r="R483" s="27" t="s">
        <v>671</v>
      </c>
      <c r="S483" s="17" t="s">
        <v>19</v>
      </c>
    </row>
    <row r="484" customFormat="false" ht="15" hidden="false" customHeight="false" outlineLevel="0" collapsed="false">
      <c r="A484" s="17" t="s">
        <v>459</v>
      </c>
      <c r="B484" s="17" t="s">
        <v>460</v>
      </c>
      <c r="C484" s="17" t="s">
        <v>2677</v>
      </c>
      <c r="D484" s="17" t="s">
        <v>72</v>
      </c>
      <c r="E484" s="18" t="n">
        <v>179929</v>
      </c>
      <c r="F484" s="17" t="s">
        <v>670</v>
      </c>
      <c r="G484" s="23" t="n">
        <v>0.22056477832923</v>
      </c>
      <c r="H484" s="19" t="n">
        <v>1.5</v>
      </c>
      <c r="I484" s="17" t="n">
        <f aca="false">IF(H484="","",RANK(H484,$H$5:$H$491))</f>
        <v>480</v>
      </c>
      <c r="J484" s="24" t="n">
        <v>0.0145876329352325</v>
      </c>
      <c r="K484" s="19" t="n">
        <v>19.9</v>
      </c>
      <c r="L484" s="17" t="n">
        <f aca="false">IF(K484="","",RANK(K484,$K$5:$K$491))</f>
        <v>391</v>
      </c>
      <c r="M484" s="25" t="n">
        <v>0.288237504697482</v>
      </c>
      <c r="N484" s="19" t="n">
        <v>95.2</v>
      </c>
      <c r="O484" s="17" t="n">
        <f aca="false">IF(N484="","",RANK(N484,$N$5:$N$491))</f>
        <v>24</v>
      </c>
      <c r="P484" s="17" t="str">
        <f aca="false">IF(AND(N(H484)&gt;=N(K484),N(H484)&gt;=N(N484)),"The Pulse",IF(N(K484)&gt;=N(N484),"The Lens","The Hub"))</f>
        <v>The Hub</v>
      </c>
      <c r="Q484" s="20" t="s">
        <v>74</v>
      </c>
      <c r="R484" s="27" t="s">
        <v>671</v>
      </c>
      <c r="S484" s="17" t="s">
        <v>19</v>
      </c>
    </row>
    <row r="485" customFormat="false" ht="15" hidden="false" customHeight="false" outlineLevel="0" collapsed="false">
      <c r="A485" s="17" t="s">
        <v>1955</v>
      </c>
      <c r="B485" s="17" t="s">
        <v>1956</v>
      </c>
      <c r="C485" s="17" t="s">
        <v>2678</v>
      </c>
      <c r="D485" s="17" t="s">
        <v>133</v>
      </c>
      <c r="E485" s="18" t="n">
        <v>286338</v>
      </c>
      <c r="F485" s="17" t="s">
        <v>670</v>
      </c>
      <c r="G485" s="23" t="n">
        <v>0.219562195726729</v>
      </c>
      <c r="H485" s="19" t="n">
        <v>1.3</v>
      </c>
      <c r="I485" s="17" t="n">
        <f aca="false">IF(H485="","",RANK(H485,$H$5:$H$491))</f>
        <v>481</v>
      </c>
      <c r="J485" s="24" t="n">
        <v>-0.073906251516063</v>
      </c>
      <c r="K485" s="19" t="n">
        <v>3</v>
      </c>
      <c r="L485" s="17" t="n">
        <f aca="false">IF(K485="","",RANK(K485,$K$5:$K$491))</f>
        <v>475</v>
      </c>
      <c r="M485" s="25" t="n">
        <v>0.13351842503786</v>
      </c>
      <c r="N485" s="19" t="n">
        <v>66.9</v>
      </c>
      <c r="O485" s="17" t="n">
        <f aca="false">IF(N485="","",RANK(N485,$N$5:$N$491))</f>
        <v>164</v>
      </c>
      <c r="P485" s="17" t="str">
        <f aca="false">IF(AND(N(H485)&gt;=N(K485),N(H485)&gt;=N(N485)),"The Pulse",IF(N(K485)&gt;=N(N485),"The Lens","The Hub"))</f>
        <v>The Hub</v>
      </c>
      <c r="Q485" s="20" t="s">
        <v>74</v>
      </c>
      <c r="R485" s="26" t="s">
        <v>668</v>
      </c>
      <c r="S485" s="17" t="s">
        <v>19</v>
      </c>
    </row>
    <row r="486" customFormat="false" ht="15" hidden="false" customHeight="false" outlineLevel="0" collapsed="false">
      <c r="A486" s="17" t="s">
        <v>940</v>
      </c>
      <c r="B486" s="17" t="s">
        <v>941</v>
      </c>
      <c r="C486" s="17" t="s">
        <v>2679</v>
      </c>
      <c r="D486" s="17" t="s">
        <v>77</v>
      </c>
      <c r="E486" s="18" t="n">
        <v>147708</v>
      </c>
      <c r="F486" s="17" t="s">
        <v>670</v>
      </c>
      <c r="G486" s="23" t="n">
        <v>0.219541257074769</v>
      </c>
      <c r="H486" s="19" t="n">
        <v>1.1</v>
      </c>
      <c r="I486" s="17" t="n">
        <f aca="false">IF(H486="","",RANK(H486,$H$5:$H$491))</f>
        <v>482</v>
      </c>
      <c r="J486" s="24" t="n">
        <v>0.00990017776562286</v>
      </c>
      <c r="K486" s="19" t="n">
        <v>15.7</v>
      </c>
      <c r="L486" s="17" t="n">
        <f aca="false">IF(K486="","",RANK(K486,$K$5:$K$491))</f>
        <v>413</v>
      </c>
      <c r="M486" s="25" t="n">
        <v>0.226195259140217</v>
      </c>
      <c r="N486" s="19" t="n">
        <v>88.6</v>
      </c>
      <c r="O486" s="17" t="n">
        <f aca="false">IF(N486="","",RANK(N486,$N$5:$N$491))</f>
        <v>58</v>
      </c>
      <c r="P486" s="17" t="str">
        <f aca="false">IF(AND(N(H486)&gt;=N(K486),N(H486)&gt;=N(N486)),"The Pulse",IF(N(K486)&gt;=N(N486),"The Lens","The Hub"))</f>
        <v>The Hub</v>
      </c>
      <c r="Q486" s="20" t="s">
        <v>74</v>
      </c>
      <c r="R486" s="26" t="s">
        <v>668</v>
      </c>
      <c r="S486" s="17" t="s">
        <v>19</v>
      </c>
    </row>
    <row r="487" customFormat="false" ht="15" hidden="false" customHeight="false" outlineLevel="0" collapsed="false">
      <c r="A487" s="17" t="s">
        <v>529</v>
      </c>
      <c r="B487" s="17" t="s">
        <v>530</v>
      </c>
      <c r="C487" s="17" t="s">
        <v>2680</v>
      </c>
      <c r="D487" s="17" t="s">
        <v>92</v>
      </c>
      <c r="E487" s="18" t="n">
        <v>22483</v>
      </c>
      <c r="F487" s="17" t="s">
        <v>667</v>
      </c>
      <c r="G487" s="23" t="n">
        <v>0.217497664902371</v>
      </c>
      <c r="H487" s="19" t="n">
        <v>1</v>
      </c>
      <c r="I487" s="17" t="n">
        <f aca="false">IF(H487="","",RANK(H487,$H$5:$H$491))</f>
        <v>483</v>
      </c>
      <c r="J487" s="24" t="n">
        <v>0.0464510123341866</v>
      </c>
      <c r="K487" s="19" t="n">
        <v>28.7</v>
      </c>
      <c r="L487" s="17" t="n">
        <f aca="false">IF(K487="","",RANK(K487,$K$5:$K$491))</f>
        <v>352</v>
      </c>
      <c r="M487" s="25" t="n">
        <v>0.115384615384615</v>
      </c>
      <c r="N487" s="19" t="n">
        <v>61.3</v>
      </c>
      <c r="O487" s="17" t="n">
        <f aca="false">IF(N487="","",RANK(N487,$N$5:$N$491))</f>
        <v>192</v>
      </c>
      <c r="P487" s="17" t="str">
        <f aca="false">IF(AND(N(H487)&gt;=N(K487),N(H487)&gt;=N(N487)),"The Pulse",IF(N(K487)&gt;=N(N487),"The Lens","The Hub"))</f>
        <v>The Hub</v>
      </c>
      <c r="Q487" s="20" t="s">
        <v>74</v>
      </c>
      <c r="R487" s="27" t="s">
        <v>671</v>
      </c>
      <c r="S487" s="17" t="s">
        <v>19</v>
      </c>
    </row>
    <row r="488" customFormat="false" ht="15" hidden="false" customHeight="false" outlineLevel="0" collapsed="false">
      <c r="A488" s="17" t="s">
        <v>605</v>
      </c>
      <c r="B488" s="17" t="s">
        <v>606</v>
      </c>
      <c r="C488" s="17" t="s">
        <v>2681</v>
      </c>
      <c r="D488" s="17" t="s">
        <v>87</v>
      </c>
      <c r="E488" s="18" t="n">
        <v>11890</v>
      </c>
      <c r="F488" s="17" t="s">
        <v>667</v>
      </c>
      <c r="G488" s="23" t="n">
        <v>0.206307821698907</v>
      </c>
      <c r="H488" s="19" t="n">
        <v>0.8</v>
      </c>
      <c r="I488" s="17" t="n">
        <f aca="false">IF(H488="","",RANK(H488,$H$5:$H$491))</f>
        <v>484</v>
      </c>
      <c r="J488" s="24" t="n">
        <v>0.0812039647176503</v>
      </c>
      <c r="K488" s="19" t="n">
        <v>45</v>
      </c>
      <c r="L488" s="17" t="n">
        <f aca="false">IF(K488="","",RANK(K488,$K$5:$K$491))</f>
        <v>278</v>
      </c>
      <c r="M488" s="25" t="n">
        <v>0.204225352112676</v>
      </c>
      <c r="N488" s="19" t="n">
        <v>83.8</v>
      </c>
      <c r="O488" s="17" t="n">
        <f aca="false">IF(N488="","",RANK(N488,$N$5:$N$491))</f>
        <v>81</v>
      </c>
      <c r="P488" s="17" t="str">
        <f aca="false">IF(AND(N(H488)&gt;=N(K488),N(H488)&gt;=N(N488)),"The Pulse",IF(N(K488)&gt;=N(N488),"The Lens","The Hub"))</f>
        <v>The Hub</v>
      </c>
      <c r="Q488" s="20" t="s">
        <v>74</v>
      </c>
      <c r="R488" s="27" t="s">
        <v>671</v>
      </c>
      <c r="S488" s="17" t="s">
        <v>19</v>
      </c>
    </row>
    <row r="489" customFormat="false" ht="15" hidden="false" customHeight="false" outlineLevel="0" collapsed="false">
      <c r="A489" s="17" t="s">
        <v>653</v>
      </c>
      <c r="B489" s="17" t="s">
        <v>654</v>
      </c>
      <c r="C489" s="17" t="s">
        <v>2682</v>
      </c>
      <c r="D489" s="17" t="s">
        <v>138</v>
      </c>
      <c r="E489" s="18" t="n">
        <v>389089</v>
      </c>
      <c r="F489" s="17" t="s">
        <v>670</v>
      </c>
      <c r="G489" s="23" t="n">
        <v>0.198168028394532</v>
      </c>
      <c r="H489" s="19" t="n">
        <v>0.6</v>
      </c>
      <c r="I489" s="17" t="n">
        <f aca="false">IF(H489="","",RANK(H489,$H$5:$H$491))</f>
        <v>485</v>
      </c>
      <c r="J489" s="24" t="n">
        <v>-0.00303632832317808</v>
      </c>
      <c r="K489" s="19" t="n">
        <v>13.9</v>
      </c>
      <c r="L489" s="17" t="n">
        <f aca="false">IF(K489="","",RANK(K489,$K$5:$K$491))</f>
        <v>420</v>
      </c>
      <c r="M489" s="25" t="n">
        <v>0.00765910040384348</v>
      </c>
      <c r="N489" s="19" t="n">
        <v>6.1</v>
      </c>
      <c r="O489" s="17" t="n">
        <f aca="false">IF(N489="","",RANK(N489,$N$5:$N$491))</f>
        <v>458</v>
      </c>
      <c r="P489" s="17" t="str">
        <f aca="false">IF(AND(N(H489)&gt;=N(K489),N(H489)&gt;=N(N489)),"The Pulse",IF(N(K489)&gt;=N(N489),"The Lens","The Hub"))</f>
        <v>The Lens</v>
      </c>
      <c r="Q489" s="20" t="s">
        <v>74</v>
      </c>
      <c r="R489" s="27" t="s">
        <v>671</v>
      </c>
      <c r="S489" s="17" t="s">
        <v>19</v>
      </c>
    </row>
    <row r="490" customFormat="false" ht="15" hidden="false" customHeight="false" outlineLevel="0" collapsed="false">
      <c r="A490" s="17" t="s">
        <v>1931</v>
      </c>
      <c r="B490" s="17" t="s">
        <v>1932</v>
      </c>
      <c r="C490" s="17" t="s">
        <v>2683</v>
      </c>
      <c r="D490" s="17" t="s">
        <v>105</v>
      </c>
      <c r="E490" s="18" t="n">
        <v>166080</v>
      </c>
      <c r="F490" s="17" t="s">
        <v>670</v>
      </c>
      <c r="G490" s="23" t="n">
        <v>0.180641859344894</v>
      </c>
      <c r="H490" s="19" t="n">
        <v>0.4</v>
      </c>
      <c r="I490" s="17" t="n">
        <f aca="false">IF(H490="","",RANK(H490,$H$5:$H$491))</f>
        <v>486</v>
      </c>
      <c r="J490" s="24" t="n">
        <v>0.059988128745668</v>
      </c>
      <c r="K490" s="19" t="n">
        <v>39.8</v>
      </c>
      <c r="L490" s="17" t="n">
        <f aca="false">IF(K490="","",RANK(K490,$K$5:$K$491))</f>
        <v>304</v>
      </c>
      <c r="M490" s="25" t="n">
        <v>0.491</v>
      </c>
      <c r="N490" s="19" t="n">
        <v>99.8</v>
      </c>
      <c r="O490" s="17" t="n">
        <f aca="false">IF(N490="","",RANK(N490,$N$5:$N$491))</f>
        <v>2</v>
      </c>
      <c r="P490" s="17" t="str">
        <f aca="false">IF(AND(N(H490)&gt;=N(K490),N(H490)&gt;=N(N490)),"The Pulse",IF(N(K490)&gt;=N(N490),"The Lens","The Hub"))</f>
        <v>The Hub</v>
      </c>
      <c r="Q490" s="20" t="s">
        <v>74</v>
      </c>
      <c r="R490" s="26" t="s">
        <v>668</v>
      </c>
      <c r="S490" s="17" t="s">
        <v>19</v>
      </c>
    </row>
    <row r="491" customFormat="false" ht="15" hidden="false" customHeight="false" outlineLevel="0" collapsed="false">
      <c r="A491" s="17" t="s">
        <v>2684</v>
      </c>
      <c r="B491" s="17" t="s">
        <v>2685</v>
      </c>
      <c r="C491" s="17" t="s">
        <v>2686</v>
      </c>
      <c r="D491" s="17" t="s">
        <v>87</v>
      </c>
      <c r="E491" s="18" t="n">
        <v>19615</v>
      </c>
      <c r="F491" s="17" t="s">
        <v>667</v>
      </c>
      <c r="G491" s="23" t="n">
        <v>0.123323986744838</v>
      </c>
      <c r="H491" s="19" t="n">
        <v>0.2</v>
      </c>
      <c r="I491" s="17" t="n">
        <f aca="false">IF(H491="","",RANK(H491,$H$5:$H$491))</f>
        <v>487</v>
      </c>
      <c r="J491" s="24" t="n">
        <v>0.081014053458253</v>
      </c>
      <c r="K491" s="19" t="n">
        <v>44.7</v>
      </c>
      <c r="L491" s="17" t="n">
        <f aca="false">IF(K491="","",RANK(K491,$K$5:$K$491))</f>
        <v>279</v>
      </c>
      <c r="M491" s="25" t="n">
        <v>0.178571428571429</v>
      </c>
      <c r="N491" s="19" t="n">
        <v>78.9</v>
      </c>
      <c r="O491" s="17" t="n">
        <f aca="false">IF(N491="","",RANK(N491,$N$5:$N$491))</f>
        <v>104</v>
      </c>
      <c r="P491" s="17" t="str">
        <f aca="false">IF(AND(N(H491)&gt;=N(K491),N(H491)&gt;=N(N491)),"The Pulse",IF(N(K491)&gt;=N(N491),"The Lens","The Hub"))</f>
        <v>The Hub</v>
      </c>
      <c r="Q491" s="20" t="s">
        <v>74</v>
      </c>
      <c r="R491" s="26" t="s">
        <v>668</v>
      </c>
      <c r="S491" s="17" t="s">
        <v>19</v>
      </c>
    </row>
  </sheetData>
  <autoFilter ref="A4:S491"/>
  <conditionalFormatting sqref="H5:H491">
    <cfRule type="colorScale" priority="2">
      <colorScale>
        <cfvo type="num" val="0"/>
        <cfvo type="num" val="100"/>
        <color rgb="FFFFFFFF"/>
        <color rgb="FFF97316"/>
      </colorScale>
    </cfRule>
  </conditionalFormatting>
  <conditionalFormatting sqref="K5:K491">
    <cfRule type="colorScale" priority="3">
      <colorScale>
        <cfvo type="num" val="0"/>
        <cfvo type="num" val="100"/>
        <color rgb="FFFFFFFF"/>
        <color rgb="FFF97316"/>
      </colorScale>
    </cfRule>
  </conditionalFormatting>
  <conditionalFormatting sqref="N5:N491">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22"/>
    <col collapsed="false" customWidth="true" hidden="false" outlineLevel="0" max="4" min="4" style="0" width="11"/>
    <col collapsed="false" customWidth="true" hidden="false" outlineLevel="0" max="5" min="5" style="0" width="10"/>
    <col collapsed="false" customWidth="true" hidden="false" outlineLevel="0" max="9" min="6" style="0" width="13"/>
    <col collapsed="false" customWidth="true" hidden="false" outlineLevel="0" max="10" min="10" style="0" width="18"/>
    <col collapsed="false" customWidth="true" hidden="false" outlineLevel="0" max="12" min="11" style="0" width="13"/>
    <col collapsed="false" customWidth="true" hidden="false" outlineLevel="0" max="13" min="13" style="0" width="10"/>
    <col collapsed="false" customWidth="true" hidden="false" outlineLevel="0" max="17" min="14" style="0" width="16"/>
  </cols>
  <sheetData>
    <row r="1" customFormat="false" ht="17.35" hidden="false" customHeight="false" outlineLevel="0" collapsed="false">
      <c r="A1" s="1" t="s">
        <v>2687</v>
      </c>
      <c r="B1" s="2"/>
      <c r="C1" s="2"/>
      <c r="D1" s="2"/>
      <c r="E1" s="2"/>
      <c r="F1" s="2"/>
      <c r="G1" s="2"/>
      <c r="H1" s="2"/>
      <c r="I1" s="2"/>
      <c r="J1" s="2"/>
      <c r="K1" s="2"/>
      <c r="L1" s="2"/>
      <c r="M1" s="2"/>
      <c r="N1" s="2"/>
      <c r="O1" s="2"/>
      <c r="P1" s="2"/>
      <c r="Q1" s="2"/>
    </row>
    <row r="2" customFormat="false" ht="15" hidden="false" customHeight="false" outlineLevel="0" collapsed="false">
      <c r="A2" s="3" t="s">
        <v>2688</v>
      </c>
      <c r="B2" s="2"/>
      <c r="C2" s="2"/>
      <c r="D2" s="2"/>
      <c r="E2" s="2"/>
      <c r="F2" s="2"/>
      <c r="G2" s="2"/>
      <c r="H2" s="2"/>
      <c r="I2" s="2"/>
      <c r="J2" s="2"/>
      <c r="K2" s="2"/>
      <c r="L2" s="2"/>
      <c r="M2" s="2"/>
      <c r="N2" s="2"/>
      <c r="O2" s="2"/>
      <c r="P2" s="2"/>
      <c r="Q2" s="2"/>
    </row>
    <row r="3" customFormat="false" ht="15" hidden="false" customHeight="false" outlineLevel="0" collapsed="false">
      <c r="A3" s="2"/>
      <c r="B3" s="2"/>
      <c r="C3" s="2"/>
      <c r="D3" s="2"/>
      <c r="E3" s="2"/>
      <c r="F3" s="2"/>
      <c r="G3" s="2"/>
      <c r="H3" s="2"/>
      <c r="I3" s="2"/>
      <c r="J3" s="2"/>
      <c r="K3" s="2"/>
      <c r="L3" s="2"/>
      <c r="M3" s="2"/>
      <c r="N3" s="2"/>
      <c r="O3" s="2"/>
      <c r="P3" s="2"/>
      <c r="Q3" s="2"/>
    </row>
    <row r="4" customFormat="false" ht="31.5" hidden="false" customHeight="true" outlineLevel="0" collapsed="false">
      <c r="A4" s="8" t="s">
        <v>56</v>
      </c>
      <c r="B4" s="8" t="s">
        <v>42</v>
      </c>
      <c r="C4" s="8" t="s">
        <v>657</v>
      </c>
      <c r="D4" s="8" t="s">
        <v>658</v>
      </c>
      <c r="E4" s="8" t="s">
        <v>659</v>
      </c>
      <c r="F4" s="10" t="s">
        <v>660</v>
      </c>
      <c r="G4" s="10" t="s">
        <v>2689</v>
      </c>
      <c r="H4" s="10" t="s">
        <v>661</v>
      </c>
      <c r="I4" s="10" t="s">
        <v>2690</v>
      </c>
      <c r="J4" s="10" t="s">
        <v>2691</v>
      </c>
      <c r="K4" s="10" t="s">
        <v>662</v>
      </c>
      <c r="L4" s="10" t="s">
        <v>2692</v>
      </c>
      <c r="M4" s="8" t="s">
        <v>36</v>
      </c>
      <c r="N4" s="8" t="s">
        <v>2693</v>
      </c>
      <c r="O4" s="8" t="s">
        <v>2694</v>
      </c>
      <c r="P4" s="8" t="s">
        <v>2695</v>
      </c>
      <c r="Q4" s="8" t="s">
        <v>2696</v>
      </c>
    </row>
    <row r="5" customFormat="false" ht="15" hidden="false" customHeight="false" outlineLevel="0" collapsed="false">
      <c r="A5" s="2" t="s">
        <v>2660</v>
      </c>
      <c r="B5" s="2" t="s">
        <v>45</v>
      </c>
      <c r="C5" s="16"/>
      <c r="D5" s="29"/>
      <c r="E5" s="2"/>
      <c r="F5" s="30"/>
      <c r="G5" s="31"/>
      <c r="H5" s="32"/>
      <c r="I5" s="31"/>
      <c r="J5" s="2"/>
      <c r="K5" s="33"/>
      <c r="L5" s="31"/>
      <c r="M5" s="34" t="s">
        <v>668</v>
      </c>
      <c r="N5" s="2"/>
      <c r="O5" s="2"/>
      <c r="P5" s="2"/>
      <c r="Q5" s="2"/>
    </row>
    <row r="6" customFormat="false" ht="15" hidden="false" customHeight="false" outlineLevel="0" collapsed="false">
      <c r="A6" s="2" t="s">
        <v>2660</v>
      </c>
      <c r="B6" s="2" t="s">
        <v>46</v>
      </c>
      <c r="C6" s="16"/>
      <c r="D6" s="29"/>
      <c r="E6" s="2"/>
      <c r="F6" s="30"/>
      <c r="G6" s="31"/>
      <c r="H6" s="32"/>
      <c r="I6" s="31"/>
      <c r="J6" s="2"/>
      <c r="K6" s="33"/>
      <c r="L6" s="31"/>
      <c r="M6" s="34" t="s">
        <v>668</v>
      </c>
      <c r="N6" s="2"/>
      <c r="O6" s="2"/>
      <c r="P6" s="2"/>
      <c r="Q6" s="2"/>
    </row>
    <row r="7" customFormat="false" ht="15" hidden="false" customHeight="false" outlineLevel="0" collapsed="false">
      <c r="A7" s="2" t="s">
        <v>2660</v>
      </c>
      <c r="B7" s="2" t="s">
        <v>47</v>
      </c>
      <c r="C7" s="13" t="s">
        <v>2661</v>
      </c>
      <c r="D7" s="35" t="n">
        <v>65063</v>
      </c>
      <c r="E7" s="2" t="s">
        <v>667</v>
      </c>
      <c r="F7" s="36" t="n">
        <v>0.261331325023439</v>
      </c>
      <c r="G7" s="31" t="n">
        <v>3.4</v>
      </c>
      <c r="H7" s="37" t="n">
        <v>0.0313545216771023</v>
      </c>
      <c r="I7" s="31" t="n">
        <v>21.6</v>
      </c>
      <c r="J7" s="2" t="s">
        <v>2697</v>
      </c>
      <c r="K7" s="38" t="n">
        <v>0</v>
      </c>
      <c r="L7" s="31" t="n">
        <v>0.7</v>
      </c>
      <c r="M7" s="39" t="s">
        <v>671</v>
      </c>
      <c r="N7" s="2" t="s">
        <v>19</v>
      </c>
      <c r="O7" s="2" t="s">
        <v>19</v>
      </c>
      <c r="P7" s="2" t="s">
        <v>19</v>
      </c>
      <c r="Q7" s="2" t="s">
        <v>19</v>
      </c>
    </row>
    <row r="8" customFormat="false" ht="15" hidden="false" customHeight="false" outlineLevel="0" collapsed="false">
      <c r="A8" s="2" t="s">
        <v>1206</v>
      </c>
      <c r="B8" s="2" t="s">
        <v>45</v>
      </c>
      <c r="C8" s="14" t="s">
        <v>1207</v>
      </c>
      <c r="D8" s="40" t="n">
        <v>127230</v>
      </c>
      <c r="E8" s="2" t="s">
        <v>670</v>
      </c>
      <c r="F8" s="41" t="n">
        <v>0.387015640965181</v>
      </c>
      <c r="G8" s="31" t="n">
        <v>28</v>
      </c>
      <c r="H8" s="42" t="n">
        <v>-0.0600620567375887</v>
      </c>
      <c r="I8" s="31" t="n">
        <v>5.1</v>
      </c>
      <c r="J8" s="2" t="s">
        <v>2698</v>
      </c>
      <c r="K8" s="43" t="n">
        <v>0.140177690029615</v>
      </c>
      <c r="L8" s="31" t="n">
        <v>52.2</v>
      </c>
      <c r="M8" s="39" t="s">
        <v>671</v>
      </c>
      <c r="N8" s="2" t="s">
        <v>21</v>
      </c>
      <c r="O8" s="2" t="s">
        <v>21</v>
      </c>
      <c r="P8" s="2" t="s">
        <v>21</v>
      </c>
      <c r="Q8" s="2" t="s">
        <v>21</v>
      </c>
    </row>
    <row r="9" customFormat="false" ht="15" hidden="false" customHeight="false" outlineLevel="0" collapsed="false">
      <c r="A9" s="2" t="s">
        <v>1206</v>
      </c>
      <c r="B9" s="2" t="s">
        <v>46</v>
      </c>
      <c r="C9" s="15" t="s">
        <v>2699</v>
      </c>
      <c r="D9" s="44" t="n">
        <v>32581</v>
      </c>
      <c r="E9" s="2" t="s">
        <v>667</v>
      </c>
      <c r="F9" s="45" t="n">
        <v>3.89595162824959</v>
      </c>
      <c r="G9" s="31" t="n">
        <v>61.5</v>
      </c>
      <c r="H9" s="46" t="n">
        <v>0.117778235213394</v>
      </c>
      <c r="I9" s="31" t="n">
        <v>62.7</v>
      </c>
      <c r="J9" s="2" t="s">
        <v>2700</v>
      </c>
      <c r="K9" s="33"/>
      <c r="L9" s="31"/>
      <c r="M9" s="34" t="s">
        <v>668</v>
      </c>
      <c r="N9" s="2" t="s">
        <v>17</v>
      </c>
      <c r="O9" s="2" t="s">
        <v>17</v>
      </c>
      <c r="P9" s="2" t="s">
        <v>17</v>
      </c>
      <c r="Q9" s="2"/>
    </row>
    <row r="10" customFormat="false" ht="15" hidden="false" customHeight="false" outlineLevel="0" collapsed="false">
      <c r="A10" s="2" t="s">
        <v>1206</v>
      </c>
      <c r="B10" s="2" t="s">
        <v>47</v>
      </c>
      <c r="C10" s="13" t="s">
        <v>2178</v>
      </c>
      <c r="D10" s="35" t="n">
        <v>437824</v>
      </c>
      <c r="E10" s="2" t="s">
        <v>670</v>
      </c>
      <c r="F10" s="36" t="n">
        <v>1.81432950226575</v>
      </c>
      <c r="G10" s="31" t="n">
        <v>68.4</v>
      </c>
      <c r="H10" s="37" t="n">
        <v>-0.0119739128472457</v>
      </c>
      <c r="I10" s="31" t="n">
        <v>10.8</v>
      </c>
      <c r="J10" s="2" t="s">
        <v>2701</v>
      </c>
      <c r="K10" s="38" t="n">
        <v>0.0332450103890657</v>
      </c>
      <c r="L10" s="31" t="n">
        <v>21</v>
      </c>
      <c r="M10" s="39" t="s">
        <v>671</v>
      </c>
      <c r="N10" s="2" t="s">
        <v>19</v>
      </c>
      <c r="O10" s="2" t="s">
        <v>19</v>
      </c>
      <c r="P10" s="2" t="s">
        <v>19</v>
      </c>
      <c r="Q10" s="2" t="s">
        <v>19</v>
      </c>
    </row>
    <row r="11" customFormat="false" ht="15" hidden="false" customHeight="false" outlineLevel="0" collapsed="false">
      <c r="A11" s="2" t="s">
        <v>1998</v>
      </c>
      <c r="B11" s="2" t="s">
        <v>45</v>
      </c>
      <c r="C11" s="16"/>
      <c r="D11" s="29"/>
      <c r="E11" s="2"/>
      <c r="F11" s="30"/>
      <c r="G11" s="31"/>
      <c r="H11" s="32"/>
      <c r="I11" s="31"/>
      <c r="J11" s="2"/>
      <c r="K11" s="33"/>
      <c r="L11" s="31"/>
      <c r="M11" s="34" t="s">
        <v>668</v>
      </c>
      <c r="N11" s="2"/>
      <c r="O11" s="2"/>
      <c r="P11" s="2"/>
      <c r="Q11" s="2"/>
    </row>
    <row r="12" customFormat="false" ht="15" hidden="false" customHeight="false" outlineLevel="0" collapsed="false">
      <c r="A12" s="2" t="s">
        <v>1998</v>
      </c>
      <c r="B12" s="2" t="s">
        <v>46</v>
      </c>
      <c r="C12" s="14" t="s">
        <v>2702</v>
      </c>
      <c r="D12" s="40" t="n">
        <v>20910</v>
      </c>
      <c r="E12" s="2" t="s">
        <v>667</v>
      </c>
      <c r="F12" s="41" t="n">
        <v>3.36327116212339</v>
      </c>
      <c r="G12" s="31" t="n">
        <v>52.6</v>
      </c>
      <c r="H12" s="42" t="n">
        <v>0.0987913820283762</v>
      </c>
      <c r="I12" s="31" t="n">
        <v>53.5</v>
      </c>
      <c r="J12" s="2" t="s">
        <v>2700</v>
      </c>
      <c r="K12" s="33"/>
      <c r="L12" s="31"/>
      <c r="M12" s="34" t="s">
        <v>668</v>
      </c>
      <c r="N12" s="2" t="s">
        <v>21</v>
      </c>
      <c r="O12" s="2" t="s">
        <v>21</v>
      </c>
      <c r="P12" s="2" t="s">
        <v>21</v>
      </c>
      <c r="Q12" s="2"/>
    </row>
    <row r="13" customFormat="false" ht="15" hidden="false" customHeight="false" outlineLevel="0" collapsed="false">
      <c r="A13" s="2" t="s">
        <v>1998</v>
      </c>
      <c r="B13" s="2" t="s">
        <v>47</v>
      </c>
      <c r="C13" s="13" t="s">
        <v>1999</v>
      </c>
      <c r="D13" s="35" t="n">
        <v>72282</v>
      </c>
      <c r="E13" s="2" t="s">
        <v>667</v>
      </c>
      <c r="F13" s="36" t="n">
        <v>4.09122603137711</v>
      </c>
      <c r="G13" s="31" t="n">
        <v>95.2</v>
      </c>
      <c r="H13" s="37" t="n">
        <v>0.0115312491253604</v>
      </c>
      <c r="I13" s="31" t="n">
        <v>13.8</v>
      </c>
      <c r="J13" s="2" t="s">
        <v>2697</v>
      </c>
      <c r="K13" s="38" t="n">
        <v>0.0192662971760359</v>
      </c>
      <c r="L13" s="31" t="n">
        <v>12.4</v>
      </c>
      <c r="M13" s="39" t="s">
        <v>671</v>
      </c>
      <c r="N13" s="2" t="s">
        <v>19</v>
      </c>
      <c r="O13" s="2" t="s">
        <v>19</v>
      </c>
      <c r="P13" s="2" t="s">
        <v>19</v>
      </c>
      <c r="Q13" s="2" t="s">
        <v>19</v>
      </c>
    </row>
    <row r="14" customFormat="false" ht="15" hidden="false" customHeight="false" outlineLevel="0" collapsed="false">
      <c r="A14" s="2" t="s">
        <v>1578</v>
      </c>
      <c r="B14" s="2" t="s">
        <v>45</v>
      </c>
      <c r="C14" s="15" t="s">
        <v>2703</v>
      </c>
      <c r="D14" s="44" t="n">
        <v>30091</v>
      </c>
      <c r="E14" s="2" t="s">
        <v>667</v>
      </c>
      <c r="F14" s="30"/>
      <c r="G14" s="31"/>
      <c r="H14" s="46" t="n">
        <v>0.0607374506486182</v>
      </c>
      <c r="I14" s="31" t="n">
        <v>32.5</v>
      </c>
      <c r="J14" s="2" t="s">
        <v>2704</v>
      </c>
      <c r="K14" s="33"/>
      <c r="L14" s="31"/>
      <c r="M14" s="34" t="s">
        <v>668</v>
      </c>
      <c r="N14" s="2" t="s">
        <v>17</v>
      </c>
      <c r="O14" s="2"/>
      <c r="P14" s="2" t="s">
        <v>17</v>
      </c>
      <c r="Q14" s="2"/>
    </row>
    <row r="15" customFormat="false" ht="15" hidden="false" customHeight="false" outlineLevel="0" collapsed="false">
      <c r="A15" s="2" t="s">
        <v>1578</v>
      </c>
      <c r="B15" s="2" t="s">
        <v>46</v>
      </c>
      <c r="C15" s="13" t="s">
        <v>1579</v>
      </c>
      <c r="D15" s="35" t="n">
        <v>256791</v>
      </c>
      <c r="E15" s="2" t="s">
        <v>670</v>
      </c>
      <c r="F15" s="36" t="n">
        <v>4.37257146862624</v>
      </c>
      <c r="G15" s="31" t="n">
        <v>67.9</v>
      </c>
      <c r="H15" s="37" t="n">
        <v>0.0392525860812977</v>
      </c>
      <c r="I15" s="31" t="n">
        <v>27.2</v>
      </c>
      <c r="J15" s="2" t="s">
        <v>2705</v>
      </c>
      <c r="K15" s="38" t="n">
        <v>0.515429917550059</v>
      </c>
      <c r="L15" s="31" t="n">
        <v>100</v>
      </c>
      <c r="M15" s="39" t="s">
        <v>671</v>
      </c>
      <c r="N15" s="2" t="s">
        <v>19</v>
      </c>
      <c r="O15" s="2" t="s">
        <v>19</v>
      </c>
      <c r="P15" s="2" t="s">
        <v>19</v>
      </c>
      <c r="Q15" s="2" t="s">
        <v>19</v>
      </c>
    </row>
    <row r="16" customFormat="false" ht="15" hidden="false" customHeight="false" outlineLevel="0" collapsed="false">
      <c r="A16" s="2" t="s">
        <v>1578</v>
      </c>
      <c r="B16" s="2" t="s">
        <v>47</v>
      </c>
      <c r="C16" s="13" t="s">
        <v>2418</v>
      </c>
      <c r="D16" s="35" t="n">
        <v>3926</v>
      </c>
      <c r="E16" s="2" t="s">
        <v>678</v>
      </c>
      <c r="F16" s="36" t="n">
        <v>0.969943963321447</v>
      </c>
      <c r="G16" s="31" t="n">
        <v>35.9</v>
      </c>
      <c r="H16" s="37" t="n">
        <v>0.151319648093842</v>
      </c>
      <c r="I16" s="31" t="n">
        <v>78.7</v>
      </c>
      <c r="J16" s="2" t="s">
        <v>2706</v>
      </c>
      <c r="K16" s="38" t="n">
        <v>0.108571428571429</v>
      </c>
      <c r="L16" s="31" t="n">
        <v>59</v>
      </c>
      <c r="M16" s="39" t="s">
        <v>671</v>
      </c>
      <c r="N16" s="2" t="s">
        <v>19</v>
      </c>
      <c r="O16" s="2" t="s">
        <v>19</v>
      </c>
      <c r="P16" s="2" t="s">
        <v>19</v>
      </c>
      <c r="Q16" s="2" t="s">
        <v>19</v>
      </c>
    </row>
    <row r="17" customFormat="false" ht="15" hidden="false" customHeight="false" outlineLevel="0" collapsed="false">
      <c r="A17" s="2" t="s">
        <v>1787</v>
      </c>
      <c r="B17" s="2" t="s">
        <v>45</v>
      </c>
      <c r="C17" s="16"/>
      <c r="D17" s="29"/>
      <c r="E17" s="2"/>
      <c r="F17" s="30"/>
      <c r="G17" s="31"/>
      <c r="H17" s="32"/>
      <c r="I17" s="31"/>
      <c r="J17" s="2"/>
      <c r="K17" s="33"/>
      <c r="L17" s="31"/>
      <c r="M17" s="34" t="s">
        <v>668</v>
      </c>
      <c r="N17" s="2"/>
      <c r="O17" s="2"/>
      <c r="P17" s="2"/>
      <c r="Q17" s="2"/>
    </row>
    <row r="18" customFormat="false" ht="15" hidden="false" customHeight="false" outlineLevel="0" collapsed="false">
      <c r="A18" s="2" t="s">
        <v>1787</v>
      </c>
      <c r="B18" s="2" t="s">
        <v>46</v>
      </c>
      <c r="C18" s="13" t="s">
        <v>1788</v>
      </c>
      <c r="D18" s="35" t="n">
        <v>315860</v>
      </c>
      <c r="E18" s="2" t="s">
        <v>670</v>
      </c>
      <c r="F18" s="36" t="n">
        <v>2.21673842841765</v>
      </c>
      <c r="G18" s="31" t="n">
        <v>31.3</v>
      </c>
      <c r="H18" s="37" t="n">
        <v>0.129414625250745</v>
      </c>
      <c r="I18" s="31" t="n">
        <v>74.8</v>
      </c>
      <c r="J18" s="2" t="s">
        <v>2705</v>
      </c>
      <c r="K18" s="38" t="n">
        <v>0.147375546120239</v>
      </c>
      <c r="L18" s="31" t="n">
        <v>56</v>
      </c>
      <c r="M18" s="39" t="s">
        <v>671</v>
      </c>
      <c r="N18" s="2" t="s">
        <v>19</v>
      </c>
      <c r="O18" s="2" t="s">
        <v>19</v>
      </c>
      <c r="P18" s="2" t="s">
        <v>19</v>
      </c>
      <c r="Q18" s="2" t="s">
        <v>19</v>
      </c>
    </row>
    <row r="19" customFormat="false" ht="15" hidden="false" customHeight="false" outlineLevel="0" collapsed="false">
      <c r="A19" s="2" t="s">
        <v>1787</v>
      </c>
      <c r="B19" s="2" t="s">
        <v>47</v>
      </c>
      <c r="C19" s="13" t="s">
        <v>2603</v>
      </c>
      <c r="D19" s="35" t="n">
        <v>17648</v>
      </c>
      <c r="E19" s="2" t="s">
        <v>667</v>
      </c>
      <c r="F19" s="36" t="n">
        <v>0.544820942883046</v>
      </c>
      <c r="G19" s="31" t="n">
        <v>13.3</v>
      </c>
      <c r="H19" s="37" t="n">
        <v>0.193561477072907</v>
      </c>
      <c r="I19" s="31" t="n">
        <v>92.2</v>
      </c>
      <c r="J19" s="2" t="s">
        <v>2697</v>
      </c>
      <c r="K19" s="38" t="n">
        <v>0.170854271356784</v>
      </c>
      <c r="L19" s="31" t="n">
        <v>77.3</v>
      </c>
      <c r="M19" s="39" t="s">
        <v>671</v>
      </c>
      <c r="N19" s="2" t="s">
        <v>19</v>
      </c>
      <c r="O19" s="2" t="s">
        <v>19</v>
      </c>
      <c r="P19" s="2" t="s">
        <v>19</v>
      </c>
      <c r="Q19" s="2" t="s">
        <v>19</v>
      </c>
    </row>
    <row r="20" customFormat="false" ht="15" hidden="false" customHeight="false" outlineLevel="0" collapsed="false">
      <c r="A20" s="2" t="s">
        <v>2707</v>
      </c>
      <c r="B20" s="2" t="s">
        <v>45</v>
      </c>
      <c r="C20" s="16"/>
      <c r="D20" s="29"/>
      <c r="E20" s="2"/>
      <c r="F20" s="30"/>
      <c r="G20" s="31"/>
      <c r="H20" s="32"/>
      <c r="I20" s="31"/>
      <c r="J20" s="2"/>
      <c r="K20" s="33"/>
      <c r="L20" s="31"/>
      <c r="M20" s="34" t="s">
        <v>668</v>
      </c>
      <c r="N20" s="2"/>
      <c r="O20" s="2"/>
      <c r="P20" s="2"/>
      <c r="Q20" s="2"/>
    </row>
    <row r="21" customFormat="false" ht="15" hidden="false" customHeight="false" outlineLevel="0" collapsed="false">
      <c r="A21" s="2" t="s">
        <v>2707</v>
      </c>
      <c r="B21" s="2" t="s">
        <v>47</v>
      </c>
      <c r="C21" s="16"/>
      <c r="D21" s="29"/>
      <c r="E21" s="2"/>
      <c r="F21" s="30"/>
      <c r="G21" s="31"/>
      <c r="H21" s="32"/>
      <c r="I21" s="31"/>
      <c r="J21" s="2"/>
      <c r="K21" s="33"/>
      <c r="L21" s="31"/>
      <c r="M21" s="34" t="s">
        <v>668</v>
      </c>
      <c r="N21" s="2"/>
      <c r="O21" s="2"/>
      <c r="P21" s="2"/>
      <c r="Q21" s="2"/>
    </row>
    <row r="22" customFormat="false" ht="15" hidden="false" customHeight="false" outlineLevel="0" collapsed="false">
      <c r="A22" s="2" t="s">
        <v>774</v>
      </c>
      <c r="B22" s="2" t="s">
        <v>45</v>
      </c>
      <c r="C22" s="13" t="s">
        <v>775</v>
      </c>
      <c r="D22" s="35" t="n">
        <v>106589</v>
      </c>
      <c r="E22" s="2" t="s">
        <v>670</v>
      </c>
      <c r="F22" s="36" t="n">
        <v>1.3576729306026</v>
      </c>
      <c r="G22" s="31" t="n">
        <v>86.5</v>
      </c>
      <c r="H22" s="37" t="n">
        <v>0.0633910310769691</v>
      </c>
      <c r="I22" s="31" t="n">
        <v>42</v>
      </c>
      <c r="J22" s="2" t="s">
        <v>2698</v>
      </c>
      <c r="K22" s="38" t="n">
        <v>0.155217691776089</v>
      </c>
      <c r="L22" s="31" t="n">
        <v>57.2</v>
      </c>
      <c r="M22" s="39" t="s">
        <v>671</v>
      </c>
      <c r="N22" s="2" t="s">
        <v>19</v>
      </c>
      <c r="O22" s="2" t="s">
        <v>19</v>
      </c>
      <c r="P22" s="2" t="s">
        <v>19</v>
      </c>
      <c r="Q22" s="2" t="s">
        <v>19</v>
      </c>
    </row>
    <row r="23" customFormat="false" ht="15" hidden="false" customHeight="false" outlineLevel="0" collapsed="false">
      <c r="A23" s="2" t="s">
        <v>774</v>
      </c>
      <c r="B23" s="2" t="s">
        <v>46</v>
      </c>
      <c r="C23" s="14" t="s">
        <v>2708</v>
      </c>
      <c r="D23" s="40" t="n">
        <v>8740</v>
      </c>
      <c r="E23" s="2" t="s">
        <v>678</v>
      </c>
      <c r="F23" s="41" t="n">
        <v>6.29027459954233</v>
      </c>
      <c r="G23" s="31" t="n">
        <v>82.7</v>
      </c>
      <c r="H23" s="32"/>
      <c r="I23" s="31"/>
      <c r="J23" s="2"/>
      <c r="K23" s="43" t="n">
        <v>0.125472207231516</v>
      </c>
      <c r="L23" s="31" t="n">
        <v>47.4</v>
      </c>
      <c r="M23" s="34" t="s">
        <v>668</v>
      </c>
      <c r="N23" s="2" t="s">
        <v>21</v>
      </c>
      <c r="O23" s="2" t="s">
        <v>21</v>
      </c>
      <c r="P23" s="2"/>
      <c r="Q23" s="2" t="s">
        <v>21</v>
      </c>
    </row>
    <row r="24" customFormat="false" ht="15" hidden="false" customHeight="false" outlineLevel="0" collapsed="false">
      <c r="A24" s="2" t="s">
        <v>774</v>
      </c>
      <c r="B24" s="2" t="s">
        <v>47</v>
      </c>
      <c r="C24" s="13" t="s">
        <v>2049</v>
      </c>
      <c r="D24" s="35" t="n">
        <v>57960</v>
      </c>
      <c r="E24" s="2" t="s">
        <v>667</v>
      </c>
      <c r="F24" s="36" t="n">
        <v>2.91999654934438</v>
      </c>
      <c r="G24" s="31" t="n">
        <v>88.2</v>
      </c>
      <c r="H24" s="37" t="n">
        <v>0.0461716183531281</v>
      </c>
      <c r="I24" s="31" t="n">
        <v>28.4</v>
      </c>
      <c r="J24" s="2" t="s">
        <v>2697</v>
      </c>
      <c r="K24" s="38" t="n">
        <v>0.00210918114143921</v>
      </c>
      <c r="L24" s="31" t="n">
        <v>2.5</v>
      </c>
      <c r="M24" s="39" t="s">
        <v>671</v>
      </c>
      <c r="N24" s="2" t="s">
        <v>19</v>
      </c>
      <c r="O24" s="2" t="s">
        <v>19</v>
      </c>
      <c r="P24" s="2" t="s">
        <v>19</v>
      </c>
      <c r="Q24" s="2" t="s">
        <v>19</v>
      </c>
    </row>
    <row r="25" customFormat="false" ht="15" hidden="false" customHeight="false" outlineLevel="0" collapsed="false">
      <c r="A25" s="2" t="s">
        <v>2709</v>
      </c>
      <c r="B25" s="2" t="s">
        <v>46</v>
      </c>
      <c r="C25" s="16"/>
      <c r="D25" s="29"/>
      <c r="E25" s="2"/>
      <c r="F25" s="30"/>
      <c r="G25" s="31"/>
      <c r="H25" s="32"/>
      <c r="I25" s="31"/>
      <c r="J25" s="2"/>
      <c r="K25" s="33"/>
      <c r="L25" s="31"/>
      <c r="M25" s="34" t="s">
        <v>668</v>
      </c>
      <c r="N25" s="2"/>
      <c r="O25" s="2"/>
      <c r="P25" s="2"/>
      <c r="Q25" s="2"/>
    </row>
    <row r="26" customFormat="false" ht="15" hidden="false" customHeight="false" outlineLevel="0" collapsed="false">
      <c r="A26" s="2" t="s">
        <v>1156</v>
      </c>
      <c r="B26" s="2" t="s">
        <v>45</v>
      </c>
      <c r="C26" s="13" t="s">
        <v>1157</v>
      </c>
      <c r="D26" s="35" t="n">
        <v>190902</v>
      </c>
      <c r="E26" s="2" t="s">
        <v>670</v>
      </c>
      <c r="F26" s="36" t="n">
        <v>0.43795769557155</v>
      </c>
      <c r="G26" s="31" t="n">
        <v>34.8</v>
      </c>
      <c r="H26" s="37" t="n">
        <v>0.0589488281791707</v>
      </c>
      <c r="I26" s="31" t="n">
        <v>39.1</v>
      </c>
      <c r="J26" s="2" t="s">
        <v>2698</v>
      </c>
      <c r="K26" s="38" t="n">
        <v>0.126618705035971</v>
      </c>
      <c r="L26" s="31" t="n">
        <v>47</v>
      </c>
      <c r="M26" s="39" t="s">
        <v>671</v>
      </c>
      <c r="N26" s="2" t="s">
        <v>19</v>
      </c>
      <c r="O26" s="2" t="s">
        <v>19</v>
      </c>
      <c r="P26" s="2" t="s">
        <v>19</v>
      </c>
      <c r="Q26" s="2" t="s">
        <v>19</v>
      </c>
    </row>
    <row r="27" customFormat="false" ht="15" hidden="false" customHeight="false" outlineLevel="0" collapsed="false">
      <c r="A27" s="2" t="s">
        <v>1156</v>
      </c>
      <c r="B27" s="2" t="s">
        <v>46</v>
      </c>
      <c r="C27" s="14" t="s">
        <v>1914</v>
      </c>
      <c r="D27" s="40" t="n">
        <v>77960</v>
      </c>
      <c r="E27" s="2" t="s">
        <v>667</v>
      </c>
      <c r="F27" s="41" t="n">
        <v>1.19135454079015</v>
      </c>
      <c r="G27" s="31" t="n">
        <v>8.5</v>
      </c>
      <c r="H27" s="42" t="n">
        <v>-0.0237916353618833</v>
      </c>
      <c r="I27" s="31" t="n">
        <v>7.9</v>
      </c>
      <c r="J27" s="2" t="s">
        <v>2700</v>
      </c>
      <c r="K27" s="43" t="n">
        <v>0.292539815590947</v>
      </c>
      <c r="L27" s="31" t="n">
        <v>89.4</v>
      </c>
      <c r="M27" s="39" t="s">
        <v>671</v>
      </c>
      <c r="N27" s="2" t="s">
        <v>21</v>
      </c>
      <c r="O27" s="2" t="s">
        <v>21</v>
      </c>
      <c r="P27" s="2" t="s">
        <v>21</v>
      </c>
      <c r="Q27" s="2" t="s">
        <v>21</v>
      </c>
    </row>
    <row r="28" customFormat="false" ht="15" hidden="false" customHeight="false" outlineLevel="0" collapsed="false">
      <c r="A28" s="2" t="s">
        <v>1156</v>
      </c>
      <c r="B28" s="2" t="s">
        <v>47</v>
      </c>
      <c r="C28" s="16"/>
      <c r="D28" s="29"/>
      <c r="E28" s="2"/>
      <c r="F28" s="30"/>
      <c r="G28" s="31"/>
      <c r="H28" s="32"/>
      <c r="I28" s="31"/>
      <c r="J28" s="2"/>
      <c r="K28" s="33"/>
      <c r="L28" s="31"/>
      <c r="M28" s="34" t="s">
        <v>668</v>
      </c>
      <c r="N28" s="2"/>
      <c r="O28" s="2"/>
      <c r="P28" s="2"/>
      <c r="Q28" s="2"/>
    </row>
    <row r="29" customFormat="false" ht="15" hidden="false" customHeight="false" outlineLevel="0" collapsed="false">
      <c r="A29" s="2" t="s">
        <v>924</v>
      </c>
      <c r="B29" s="2" t="s">
        <v>45</v>
      </c>
      <c r="C29" s="13" t="s">
        <v>925</v>
      </c>
      <c r="D29" s="35" t="n">
        <v>192280</v>
      </c>
      <c r="E29" s="2" t="s">
        <v>670</v>
      </c>
      <c r="F29" s="41" t="n">
        <v>0.823905456852792</v>
      </c>
      <c r="G29" s="31" t="n">
        <v>65.6</v>
      </c>
      <c r="H29" s="37" t="n">
        <v>0.149766195869261</v>
      </c>
      <c r="I29" s="31" t="n">
        <v>79</v>
      </c>
      <c r="J29" s="2" t="s">
        <v>2698</v>
      </c>
      <c r="K29" s="43" t="n">
        <v>0.435510338037414</v>
      </c>
      <c r="L29" s="31" t="n">
        <v>99.4</v>
      </c>
      <c r="M29" s="39" t="s">
        <v>671</v>
      </c>
      <c r="N29" s="2" t="s">
        <v>19</v>
      </c>
      <c r="O29" s="2" t="s">
        <v>21</v>
      </c>
      <c r="P29" s="2" t="s">
        <v>19</v>
      </c>
      <c r="Q29" s="2" t="s">
        <v>21</v>
      </c>
    </row>
    <row r="30" customFormat="false" ht="15" hidden="false" customHeight="false" outlineLevel="0" collapsed="false">
      <c r="A30" s="2" t="s">
        <v>924</v>
      </c>
      <c r="B30" s="2" t="s">
        <v>46</v>
      </c>
      <c r="C30" s="15" t="s">
        <v>2710</v>
      </c>
      <c r="D30" s="29"/>
      <c r="E30" s="2"/>
      <c r="F30" s="30"/>
      <c r="G30" s="31"/>
      <c r="H30" s="32"/>
      <c r="I30" s="31"/>
      <c r="J30" s="2"/>
      <c r="K30" s="33"/>
      <c r="L30" s="31"/>
      <c r="M30" s="34" t="s">
        <v>668</v>
      </c>
      <c r="N30" s="2"/>
      <c r="O30" s="2"/>
      <c r="P30" s="2"/>
      <c r="Q30" s="2"/>
    </row>
    <row r="31" customFormat="false" ht="15" hidden="false" customHeight="false" outlineLevel="0" collapsed="false">
      <c r="A31" s="2" t="s">
        <v>1297</v>
      </c>
      <c r="B31" s="2" t="s">
        <v>45</v>
      </c>
      <c r="C31" s="13" t="s">
        <v>1298</v>
      </c>
      <c r="D31" s="35" t="n">
        <v>246634</v>
      </c>
      <c r="E31" s="2" t="s">
        <v>670</v>
      </c>
      <c r="F31" s="36" t="n">
        <v>0.259895229368214</v>
      </c>
      <c r="G31" s="31" t="n">
        <v>13.7</v>
      </c>
      <c r="H31" s="37" t="n">
        <v>0.0909291966896235</v>
      </c>
      <c r="I31" s="31" t="n">
        <v>55.1</v>
      </c>
      <c r="J31" s="2" t="s">
        <v>2698</v>
      </c>
      <c r="K31" s="38" t="n">
        <v>0.130434782608696</v>
      </c>
      <c r="L31" s="31" t="n">
        <v>47.8</v>
      </c>
      <c r="M31" s="39" t="s">
        <v>671</v>
      </c>
      <c r="N31" s="2" t="s">
        <v>19</v>
      </c>
      <c r="O31" s="2" t="s">
        <v>19</v>
      </c>
      <c r="P31" s="2" t="s">
        <v>19</v>
      </c>
      <c r="Q31" s="2" t="s">
        <v>19</v>
      </c>
    </row>
    <row r="32" customFormat="false" ht="15" hidden="false" customHeight="false" outlineLevel="0" collapsed="false">
      <c r="A32" s="2" t="s">
        <v>1297</v>
      </c>
      <c r="B32" s="2" t="s">
        <v>46</v>
      </c>
      <c r="C32" s="16"/>
      <c r="D32" s="44" t="n">
        <v>6986</v>
      </c>
      <c r="E32" s="2" t="s">
        <v>678</v>
      </c>
      <c r="F32" s="45" t="n">
        <v>5.13111938162038</v>
      </c>
      <c r="G32" s="31" t="n">
        <v>74.4</v>
      </c>
      <c r="H32" s="32"/>
      <c r="I32" s="31"/>
      <c r="J32" s="2"/>
      <c r="K32" s="33"/>
      <c r="L32" s="31"/>
      <c r="M32" s="34" t="s">
        <v>668</v>
      </c>
      <c r="N32" s="2" t="s">
        <v>17</v>
      </c>
      <c r="O32" s="2" t="s">
        <v>17</v>
      </c>
      <c r="P32" s="2"/>
      <c r="Q32" s="2"/>
    </row>
    <row r="33" customFormat="false" ht="15" hidden="false" customHeight="false" outlineLevel="0" collapsed="false">
      <c r="A33" s="2" t="s">
        <v>1297</v>
      </c>
      <c r="B33" s="2" t="s">
        <v>47</v>
      </c>
      <c r="C33" s="13" t="s">
        <v>1967</v>
      </c>
      <c r="D33" s="35" t="n">
        <v>31999</v>
      </c>
      <c r="E33" s="2" t="s">
        <v>667</v>
      </c>
      <c r="F33" s="36" t="n">
        <v>7.62617581799431</v>
      </c>
      <c r="G33" s="31" t="n">
        <v>99.4</v>
      </c>
      <c r="H33" s="37" t="n">
        <v>-0.0105748121579419</v>
      </c>
      <c r="I33" s="31" t="n">
        <v>8.5</v>
      </c>
      <c r="J33" s="2" t="s">
        <v>2697</v>
      </c>
      <c r="K33" s="38" t="n">
        <v>0.0496658840527361</v>
      </c>
      <c r="L33" s="31" t="n">
        <v>31.4</v>
      </c>
      <c r="M33" s="39" t="s">
        <v>671</v>
      </c>
      <c r="N33" s="2" t="s">
        <v>19</v>
      </c>
      <c r="O33" s="2" t="s">
        <v>19</v>
      </c>
      <c r="P33" s="2" t="s">
        <v>19</v>
      </c>
      <c r="Q33" s="2" t="s">
        <v>19</v>
      </c>
    </row>
    <row r="34" customFormat="false" ht="15" hidden="false" customHeight="false" outlineLevel="0" collapsed="false">
      <c r="A34" s="2" t="s">
        <v>172</v>
      </c>
      <c r="B34" s="2" t="s">
        <v>47</v>
      </c>
      <c r="C34" s="13" t="s">
        <v>2132</v>
      </c>
      <c r="D34" s="35" t="n">
        <v>5190</v>
      </c>
      <c r="E34" s="2" t="s">
        <v>678</v>
      </c>
      <c r="F34" s="36" t="n">
        <v>2.03236994219653</v>
      </c>
      <c r="G34" s="31" t="n">
        <v>75.1</v>
      </c>
      <c r="H34" s="37" t="n">
        <v>0.0324249055102447</v>
      </c>
      <c r="I34" s="31" t="n">
        <v>20</v>
      </c>
      <c r="J34" s="2" t="s">
        <v>2706</v>
      </c>
      <c r="K34" s="38" t="n">
        <v>0.0220264317180617</v>
      </c>
      <c r="L34" s="31" t="n">
        <v>13.7</v>
      </c>
      <c r="M34" s="39" t="s">
        <v>671</v>
      </c>
      <c r="N34" s="2" t="s">
        <v>19</v>
      </c>
      <c r="O34" s="2" t="s">
        <v>19</v>
      </c>
      <c r="P34" s="2" t="s">
        <v>19</v>
      </c>
      <c r="Q34" s="2" t="s">
        <v>19</v>
      </c>
    </row>
    <row r="35" customFormat="false" ht="15" hidden="false" customHeight="false" outlineLevel="0" collapsed="false">
      <c r="A35" s="2" t="s">
        <v>1554</v>
      </c>
      <c r="B35" s="2" t="s">
        <v>46</v>
      </c>
      <c r="C35" s="14" t="s">
        <v>1555</v>
      </c>
      <c r="D35" s="40" t="n">
        <v>74970</v>
      </c>
      <c r="E35" s="2" t="s">
        <v>667</v>
      </c>
      <c r="F35" s="41" t="n">
        <v>4.99294384420435</v>
      </c>
      <c r="G35" s="31" t="n">
        <v>72.3</v>
      </c>
      <c r="H35" s="42" t="n">
        <v>0.0912663755458515</v>
      </c>
      <c r="I35" s="31" t="n">
        <v>51.5</v>
      </c>
      <c r="J35" s="2" t="s">
        <v>2700</v>
      </c>
      <c r="K35" s="43" t="n">
        <v>0.071858993672793</v>
      </c>
      <c r="L35" s="31" t="n">
        <v>21.8</v>
      </c>
      <c r="M35" s="39" t="s">
        <v>671</v>
      </c>
      <c r="N35" s="2" t="s">
        <v>21</v>
      </c>
      <c r="O35" s="2" t="s">
        <v>21</v>
      </c>
      <c r="P35" s="2" t="s">
        <v>21</v>
      </c>
      <c r="Q35" s="2" t="s">
        <v>21</v>
      </c>
    </row>
    <row r="36" customFormat="false" ht="15" hidden="false" customHeight="false" outlineLevel="0" collapsed="false">
      <c r="A36" s="2" t="s">
        <v>1554</v>
      </c>
      <c r="B36" s="2" t="s">
        <v>47</v>
      </c>
      <c r="C36" s="16"/>
      <c r="D36" s="29"/>
      <c r="E36" s="2"/>
      <c r="F36" s="30"/>
      <c r="G36" s="31"/>
      <c r="H36" s="32"/>
      <c r="I36" s="31"/>
      <c r="J36" s="2"/>
      <c r="K36" s="33"/>
      <c r="L36" s="31"/>
      <c r="M36" s="34" t="s">
        <v>668</v>
      </c>
      <c r="N36" s="2"/>
      <c r="O36" s="2"/>
      <c r="P36" s="2"/>
      <c r="Q36" s="2"/>
    </row>
    <row r="37" customFormat="false" ht="15" hidden="false" customHeight="false" outlineLevel="0" collapsed="false">
      <c r="A37" s="2" t="s">
        <v>873</v>
      </c>
      <c r="B37" s="2" t="s">
        <v>45</v>
      </c>
      <c r="C37" s="14" t="s">
        <v>874</v>
      </c>
      <c r="D37" s="40" t="n">
        <v>47620</v>
      </c>
      <c r="E37" s="2" t="s">
        <v>667</v>
      </c>
      <c r="F37" s="41" t="n">
        <v>0.937316253674927</v>
      </c>
      <c r="G37" s="31" t="n">
        <v>72.9</v>
      </c>
      <c r="H37" s="42" t="n">
        <v>0.107441860465116</v>
      </c>
      <c r="I37" s="31" t="n">
        <v>58.3</v>
      </c>
      <c r="J37" s="2" t="s">
        <v>2704</v>
      </c>
      <c r="K37" s="47" t="s">
        <v>680</v>
      </c>
      <c r="L37" s="31"/>
      <c r="M37" s="39" t="s">
        <v>671</v>
      </c>
      <c r="N37" s="2" t="s">
        <v>21</v>
      </c>
      <c r="O37" s="2" t="s">
        <v>21</v>
      </c>
      <c r="P37" s="2" t="s">
        <v>21</v>
      </c>
      <c r="Q37" s="2" t="s">
        <v>2711</v>
      </c>
    </row>
    <row r="38" customFormat="false" ht="15" hidden="false" customHeight="false" outlineLevel="0" collapsed="false">
      <c r="A38" s="2" t="s">
        <v>873</v>
      </c>
      <c r="B38" s="2" t="s">
        <v>46</v>
      </c>
      <c r="C38" s="16"/>
      <c r="D38" s="29"/>
      <c r="E38" s="2"/>
      <c r="F38" s="30"/>
      <c r="G38" s="31"/>
      <c r="H38" s="32"/>
      <c r="I38" s="31"/>
      <c r="J38" s="2"/>
      <c r="K38" s="33"/>
      <c r="L38" s="31"/>
      <c r="M38" s="34" t="s">
        <v>668</v>
      </c>
      <c r="N38" s="2"/>
      <c r="O38" s="2"/>
      <c r="P38" s="2"/>
      <c r="Q38" s="2"/>
    </row>
    <row r="39" customFormat="false" ht="15" hidden="false" customHeight="false" outlineLevel="0" collapsed="false">
      <c r="A39" s="2" t="s">
        <v>873</v>
      </c>
      <c r="B39" s="2" t="s">
        <v>47</v>
      </c>
      <c r="C39" s="13" t="s">
        <v>2422</v>
      </c>
      <c r="D39" s="35" t="n">
        <v>75788</v>
      </c>
      <c r="E39" s="2" t="s">
        <v>667</v>
      </c>
      <c r="F39" s="36" t="n">
        <v>0.950796959940888</v>
      </c>
      <c r="G39" s="31" t="n">
        <v>35.6</v>
      </c>
      <c r="H39" s="37" t="n">
        <v>-0.0373682205004446</v>
      </c>
      <c r="I39" s="31" t="n">
        <v>3.9</v>
      </c>
      <c r="J39" s="2" t="s">
        <v>2697</v>
      </c>
      <c r="K39" s="38" t="n">
        <v>0.109941782355576</v>
      </c>
      <c r="L39" s="31" t="n">
        <v>59.6</v>
      </c>
      <c r="M39" s="39" t="s">
        <v>671</v>
      </c>
      <c r="N39" s="2" t="s">
        <v>19</v>
      </c>
      <c r="O39" s="2" t="s">
        <v>19</v>
      </c>
      <c r="P39" s="2" t="s">
        <v>19</v>
      </c>
      <c r="Q39" s="2" t="s">
        <v>19</v>
      </c>
    </row>
    <row r="40" customFormat="false" ht="15" hidden="false" customHeight="false" outlineLevel="0" collapsed="false">
      <c r="A40" s="2" t="s">
        <v>430</v>
      </c>
      <c r="B40" s="2" t="s">
        <v>47</v>
      </c>
      <c r="C40" s="13" t="s">
        <v>2370</v>
      </c>
      <c r="D40" s="35" t="n">
        <v>12946</v>
      </c>
      <c r="E40" s="2" t="s">
        <v>667</v>
      </c>
      <c r="F40" s="36" t="n">
        <v>1.08249652402286</v>
      </c>
      <c r="G40" s="31" t="n">
        <v>43</v>
      </c>
      <c r="H40" s="37" t="n">
        <v>0.0273787794619475</v>
      </c>
      <c r="I40" s="31" t="n">
        <v>19.9</v>
      </c>
      <c r="J40" s="2" t="s">
        <v>2697</v>
      </c>
      <c r="K40" s="38" t="n">
        <v>0.0179514255543823</v>
      </c>
      <c r="L40" s="31" t="n">
        <v>11.4</v>
      </c>
      <c r="M40" s="39" t="s">
        <v>671</v>
      </c>
      <c r="N40" s="2" t="s">
        <v>19</v>
      </c>
      <c r="O40" s="2" t="s">
        <v>19</v>
      </c>
      <c r="P40" s="2" t="s">
        <v>19</v>
      </c>
      <c r="Q40" s="2" t="s">
        <v>19</v>
      </c>
    </row>
    <row r="41" customFormat="false" ht="15" hidden="false" customHeight="false" outlineLevel="0" collapsed="false">
      <c r="A41" s="2" t="s">
        <v>935</v>
      </c>
      <c r="B41" s="2" t="s">
        <v>45</v>
      </c>
      <c r="C41" s="14" t="s">
        <v>936</v>
      </c>
      <c r="D41" s="40" t="n">
        <v>2419860</v>
      </c>
      <c r="E41" s="2" t="s">
        <v>752</v>
      </c>
      <c r="F41" s="41" t="n">
        <v>0.790845338160059</v>
      </c>
      <c r="G41" s="31" t="n">
        <v>64.3</v>
      </c>
      <c r="H41" s="42" t="n">
        <v>0.14922233039679</v>
      </c>
      <c r="I41" s="31" t="n">
        <v>81.2</v>
      </c>
      <c r="J41" s="2" t="s">
        <v>2712</v>
      </c>
      <c r="K41" s="43" t="n">
        <v>0.133404549453312</v>
      </c>
      <c r="L41" s="31" t="n">
        <v>50</v>
      </c>
      <c r="M41" s="39" t="s">
        <v>671</v>
      </c>
      <c r="N41" s="2" t="s">
        <v>21</v>
      </c>
      <c r="O41" s="2" t="s">
        <v>21</v>
      </c>
      <c r="P41" s="2" t="s">
        <v>21</v>
      </c>
      <c r="Q41" s="2" t="s">
        <v>21</v>
      </c>
    </row>
    <row r="42" customFormat="false" ht="15" hidden="false" customHeight="false" outlineLevel="0" collapsed="false">
      <c r="A42" s="2" t="s">
        <v>935</v>
      </c>
      <c r="B42" s="2" t="s">
        <v>46</v>
      </c>
      <c r="C42" s="16"/>
      <c r="D42" s="29"/>
      <c r="E42" s="2"/>
      <c r="F42" s="30"/>
      <c r="G42" s="31"/>
      <c r="H42" s="32"/>
      <c r="I42" s="31"/>
      <c r="J42" s="2"/>
      <c r="K42" s="33"/>
      <c r="L42" s="31"/>
      <c r="M42" s="34" t="s">
        <v>668</v>
      </c>
      <c r="N42" s="2"/>
      <c r="O42" s="2"/>
      <c r="P42" s="2"/>
      <c r="Q42" s="2"/>
    </row>
    <row r="43" customFormat="false" ht="15" hidden="false" customHeight="false" outlineLevel="0" collapsed="false">
      <c r="A43" s="2" t="s">
        <v>935</v>
      </c>
      <c r="B43" s="2" t="s">
        <v>47</v>
      </c>
      <c r="C43" s="13" t="s">
        <v>2622</v>
      </c>
      <c r="D43" s="35" t="n">
        <v>13382</v>
      </c>
      <c r="E43" s="2" t="s">
        <v>667</v>
      </c>
      <c r="F43" s="36" t="n">
        <v>0.483784187714841</v>
      </c>
      <c r="G43" s="31" t="n">
        <v>10.6</v>
      </c>
      <c r="H43" s="37" t="n">
        <v>0.102124855872179</v>
      </c>
      <c r="I43" s="31" t="n">
        <v>54.3</v>
      </c>
      <c r="J43" s="2" t="s">
        <v>2697</v>
      </c>
      <c r="K43" s="38" t="n">
        <v>0.0546875</v>
      </c>
      <c r="L43" s="31" t="n">
        <v>34.1</v>
      </c>
      <c r="M43" s="39" t="s">
        <v>671</v>
      </c>
      <c r="N43" s="2" t="s">
        <v>19</v>
      </c>
      <c r="O43" s="2" t="s">
        <v>19</v>
      </c>
      <c r="P43" s="2" t="s">
        <v>19</v>
      </c>
      <c r="Q43" s="2" t="s">
        <v>19</v>
      </c>
    </row>
    <row r="44" customFormat="false" ht="15" hidden="false" customHeight="false" outlineLevel="0" collapsed="false">
      <c r="A44" s="2" t="s">
        <v>2259</v>
      </c>
      <c r="B44" s="2" t="s">
        <v>45</v>
      </c>
      <c r="C44" s="16"/>
      <c r="D44" s="29"/>
      <c r="E44" s="2"/>
      <c r="F44" s="30"/>
      <c r="G44" s="31"/>
      <c r="H44" s="32"/>
      <c r="I44" s="31"/>
      <c r="J44" s="2"/>
      <c r="K44" s="33"/>
      <c r="L44" s="31"/>
      <c r="M44" s="34" t="s">
        <v>668</v>
      </c>
      <c r="N44" s="2"/>
      <c r="O44" s="2"/>
      <c r="P44" s="2"/>
      <c r="Q44" s="2"/>
    </row>
    <row r="45" customFormat="false" ht="15" hidden="false" customHeight="false" outlineLevel="0" collapsed="false">
      <c r="A45" s="2" t="s">
        <v>2259</v>
      </c>
      <c r="B45" s="2" t="s">
        <v>46</v>
      </c>
      <c r="C45" s="16"/>
      <c r="D45" s="29"/>
      <c r="E45" s="2"/>
      <c r="F45" s="30"/>
      <c r="G45" s="31"/>
      <c r="H45" s="32"/>
      <c r="I45" s="31"/>
      <c r="J45" s="2"/>
      <c r="K45" s="33"/>
      <c r="L45" s="31"/>
      <c r="M45" s="34" t="s">
        <v>668</v>
      </c>
      <c r="N45" s="2"/>
      <c r="O45" s="2"/>
      <c r="P45" s="2"/>
      <c r="Q45" s="2"/>
    </row>
    <row r="46" customFormat="false" ht="15" hidden="false" customHeight="false" outlineLevel="0" collapsed="false">
      <c r="A46" s="2" t="s">
        <v>2259</v>
      </c>
      <c r="B46" s="2" t="s">
        <v>47</v>
      </c>
      <c r="C46" s="13" t="s">
        <v>2260</v>
      </c>
      <c r="D46" s="35" t="n">
        <v>989610</v>
      </c>
      <c r="E46" s="2" t="s">
        <v>670</v>
      </c>
      <c r="F46" s="36" t="n">
        <v>1.46533887086832</v>
      </c>
      <c r="G46" s="31" t="n">
        <v>57.8</v>
      </c>
      <c r="H46" s="37" t="n">
        <v>0.232616680762232</v>
      </c>
      <c r="I46" s="31" t="n">
        <v>95.2</v>
      </c>
      <c r="J46" s="2" t="s">
        <v>2701</v>
      </c>
      <c r="K46" s="38" t="n">
        <v>0.0350464859918052</v>
      </c>
      <c r="L46" s="31" t="n">
        <v>21.9</v>
      </c>
      <c r="M46" s="39" t="s">
        <v>671</v>
      </c>
      <c r="N46" s="2" t="s">
        <v>19</v>
      </c>
      <c r="O46" s="2" t="s">
        <v>19</v>
      </c>
      <c r="P46" s="2" t="s">
        <v>19</v>
      </c>
      <c r="Q46" s="2" t="s">
        <v>19</v>
      </c>
    </row>
    <row r="47" customFormat="false" ht="15" hidden="false" customHeight="false" outlineLevel="0" collapsed="false">
      <c r="A47" s="2" t="s">
        <v>530</v>
      </c>
      <c r="B47" s="2" t="s">
        <v>45</v>
      </c>
      <c r="C47" s="14" t="s">
        <v>868</v>
      </c>
      <c r="D47" s="40" t="n">
        <v>9640</v>
      </c>
      <c r="E47" s="2" t="s">
        <v>678</v>
      </c>
      <c r="F47" s="41" t="n">
        <v>0.944917012448133</v>
      </c>
      <c r="G47" s="31" t="n">
        <v>73.3</v>
      </c>
      <c r="H47" s="42" t="n">
        <v>0.0843644544431946</v>
      </c>
      <c r="I47" s="31" t="n">
        <v>53.7</v>
      </c>
      <c r="J47" s="2" t="s">
        <v>2713</v>
      </c>
      <c r="K47" s="43" t="n">
        <v>0.208133971291866</v>
      </c>
      <c r="L47" s="31" t="n">
        <v>73.5</v>
      </c>
      <c r="M47" s="39" t="s">
        <v>671</v>
      </c>
      <c r="N47" s="2" t="s">
        <v>21</v>
      </c>
      <c r="O47" s="2" t="s">
        <v>21</v>
      </c>
      <c r="P47" s="2" t="s">
        <v>21</v>
      </c>
      <c r="Q47" s="2" t="s">
        <v>21</v>
      </c>
    </row>
    <row r="48" customFormat="false" ht="15" hidden="false" customHeight="false" outlineLevel="0" collapsed="false">
      <c r="A48" s="2" t="s">
        <v>530</v>
      </c>
      <c r="B48" s="2" t="s">
        <v>46</v>
      </c>
      <c r="C48" s="14" t="s">
        <v>1838</v>
      </c>
      <c r="D48" s="40" t="n">
        <v>33950</v>
      </c>
      <c r="E48" s="2" t="s">
        <v>667</v>
      </c>
      <c r="F48" s="41" t="n">
        <v>1.79726067746686</v>
      </c>
      <c r="G48" s="31" t="n">
        <v>22.4</v>
      </c>
      <c r="H48" s="42" t="n">
        <v>0.0553310537768107</v>
      </c>
      <c r="I48" s="31" t="n">
        <v>31.5</v>
      </c>
      <c r="J48" s="2" t="s">
        <v>2700</v>
      </c>
      <c r="K48" s="43" t="n">
        <v>0.252849303503588</v>
      </c>
      <c r="L48" s="31" t="n">
        <v>84.2</v>
      </c>
      <c r="M48" s="39" t="s">
        <v>671</v>
      </c>
      <c r="N48" s="2" t="s">
        <v>21</v>
      </c>
      <c r="O48" s="2" t="s">
        <v>21</v>
      </c>
      <c r="P48" s="2" t="s">
        <v>21</v>
      </c>
      <c r="Q48" s="2" t="s">
        <v>21</v>
      </c>
    </row>
    <row r="49" customFormat="false" ht="15" hidden="false" customHeight="false" outlineLevel="0" collapsed="false">
      <c r="A49" s="2" t="s">
        <v>530</v>
      </c>
      <c r="B49" s="2" t="s">
        <v>47</v>
      </c>
      <c r="C49" s="13" t="s">
        <v>2680</v>
      </c>
      <c r="D49" s="35" t="n">
        <v>22483</v>
      </c>
      <c r="E49" s="2" t="s">
        <v>667</v>
      </c>
      <c r="F49" s="36" t="n">
        <v>0.217497664902371</v>
      </c>
      <c r="G49" s="31" t="n">
        <v>1</v>
      </c>
      <c r="H49" s="37" t="n">
        <v>0.0464510123341866</v>
      </c>
      <c r="I49" s="31" t="n">
        <v>28.7</v>
      </c>
      <c r="J49" s="2" t="s">
        <v>2697</v>
      </c>
      <c r="K49" s="38" t="n">
        <v>0.115384615384615</v>
      </c>
      <c r="L49" s="31" t="n">
        <v>61.3</v>
      </c>
      <c r="M49" s="39" t="s">
        <v>671</v>
      </c>
      <c r="N49" s="2" t="s">
        <v>19</v>
      </c>
      <c r="O49" s="2" t="s">
        <v>19</v>
      </c>
      <c r="P49" s="2" t="s">
        <v>19</v>
      </c>
      <c r="Q49" s="2" t="s">
        <v>19</v>
      </c>
    </row>
    <row r="50" customFormat="false" ht="15" hidden="false" customHeight="false" outlineLevel="0" collapsed="false">
      <c r="A50" s="2" t="s">
        <v>1498</v>
      </c>
      <c r="B50" s="2" t="s">
        <v>45</v>
      </c>
      <c r="C50" s="14" t="s">
        <v>2714</v>
      </c>
      <c r="D50" s="29"/>
      <c r="E50" s="2"/>
      <c r="F50" s="30"/>
      <c r="G50" s="31"/>
      <c r="H50" s="32"/>
      <c r="I50" s="31"/>
      <c r="J50" s="2"/>
      <c r="K50" s="33"/>
      <c r="L50" s="31"/>
      <c r="M50" s="34" t="s">
        <v>668</v>
      </c>
      <c r="N50" s="2"/>
      <c r="O50" s="2"/>
      <c r="P50" s="2"/>
      <c r="Q50" s="2"/>
    </row>
    <row r="51" customFormat="false" ht="15" hidden="false" customHeight="false" outlineLevel="0" collapsed="false">
      <c r="A51" s="2" t="s">
        <v>1498</v>
      </c>
      <c r="B51" s="2" t="s">
        <v>46</v>
      </c>
      <c r="C51" s="13" t="s">
        <v>1499</v>
      </c>
      <c r="D51" s="35" t="n">
        <v>143403</v>
      </c>
      <c r="E51" s="2" t="s">
        <v>670</v>
      </c>
      <c r="F51" s="36" t="n">
        <v>6.12314247261215</v>
      </c>
      <c r="G51" s="31" t="n">
        <v>81.8</v>
      </c>
      <c r="H51" s="37" t="n">
        <v>0.125197140772243</v>
      </c>
      <c r="I51" s="31" t="n">
        <v>71.5</v>
      </c>
      <c r="J51" s="2" t="s">
        <v>2705</v>
      </c>
      <c r="K51" s="38" t="n">
        <v>0.382871097156811</v>
      </c>
      <c r="L51" s="31" t="n">
        <v>97.4</v>
      </c>
      <c r="M51" s="39" t="s">
        <v>671</v>
      </c>
      <c r="N51" s="2" t="s">
        <v>19</v>
      </c>
      <c r="O51" s="2" t="s">
        <v>19</v>
      </c>
      <c r="P51" s="2" t="s">
        <v>19</v>
      </c>
      <c r="Q51" s="2" t="s">
        <v>19</v>
      </c>
    </row>
    <row r="52" customFormat="false" ht="15" hidden="false" customHeight="false" outlineLevel="0" collapsed="false">
      <c r="A52" s="2" t="s">
        <v>1498</v>
      </c>
      <c r="B52" s="2" t="s">
        <v>47</v>
      </c>
      <c r="C52" s="13" t="s">
        <v>2252</v>
      </c>
      <c r="D52" s="35" t="n">
        <v>2809</v>
      </c>
      <c r="E52" s="2" t="s">
        <v>678</v>
      </c>
      <c r="F52" s="36" t="n">
        <v>1.49448202207191</v>
      </c>
      <c r="G52" s="31" t="n">
        <v>58.6</v>
      </c>
      <c r="H52" s="37" t="n">
        <v>0.137246963562753</v>
      </c>
      <c r="I52" s="31" t="n">
        <v>68</v>
      </c>
      <c r="J52" s="2" t="s">
        <v>2706</v>
      </c>
      <c r="K52" s="38" t="n">
        <v>0.0985915492957746</v>
      </c>
      <c r="L52" s="31" t="n">
        <v>53.7</v>
      </c>
      <c r="M52" s="39" t="s">
        <v>671</v>
      </c>
      <c r="N52" s="2" t="s">
        <v>19</v>
      </c>
      <c r="O52" s="2" t="s">
        <v>19</v>
      </c>
      <c r="P52" s="2" t="s">
        <v>19</v>
      </c>
      <c r="Q52" s="2" t="s">
        <v>19</v>
      </c>
    </row>
    <row r="53" customFormat="false" ht="15" hidden="false" customHeight="false" outlineLevel="0" collapsed="false">
      <c r="A53" s="2" t="s">
        <v>394</v>
      </c>
      <c r="B53" s="2" t="s">
        <v>45</v>
      </c>
      <c r="C53" s="13" t="s">
        <v>894</v>
      </c>
      <c r="D53" s="35" t="n">
        <v>57396</v>
      </c>
      <c r="E53" s="2" t="s">
        <v>667</v>
      </c>
      <c r="F53" s="36" t="n">
        <v>0.889086347480661</v>
      </c>
      <c r="G53" s="31" t="n">
        <v>69.9</v>
      </c>
      <c r="H53" s="37" t="n">
        <v>0.0707010409282543</v>
      </c>
      <c r="I53" s="31" t="n">
        <v>40.1</v>
      </c>
      <c r="J53" s="2" t="s">
        <v>2704</v>
      </c>
      <c r="K53" s="47" t="s">
        <v>680</v>
      </c>
      <c r="L53" s="31"/>
      <c r="M53" s="39" t="s">
        <v>671</v>
      </c>
      <c r="N53" s="2" t="s">
        <v>19</v>
      </c>
      <c r="O53" s="2" t="s">
        <v>19</v>
      </c>
      <c r="P53" s="2" t="s">
        <v>19</v>
      </c>
      <c r="Q53" s="2" t="s">
        <v>2715</v>
      </c>
    </row>
    <row r="54" customFormat="false" ht="15" hidden="false" customHeight="false" outlineLevel="0" collapsed="false">
      <c r="A54" s="2" t="s">
        <v>394</v>
      </c>
      <c r="B54" s="2" t="s">
        <v>47</v>
      </c>
      <c r="C54" s="13" t="s">
        <v>2520</v>
      </c>
      <c r="D54" s="35" t="n">
        <v>9153</v>
      </c>
      <c r="E54" s="2" t="s">
        <v>678</v>
      </c>
      <c r="F54" s="36" t="n">
        <v>0.753632688735934</v>
      </c>
      <c r="G54" s="31" t="n">
        <v>24.5</v>
      </c>
      <c r="H54" s="37" t="n">
        <v>0.0141828254847645</v>
      </c>
      <c r="I54" s="31" t="n">
        <v>9.3</v>
      </c>
      <c r="J54" s="2" t="s">
        <v>2706</v>
      </c>
      <c r="K54" s="38" t="n">
        <v>0.205761316872428</v>
      </c>
      <c r="L54" s="31" t="n">
        <v>84.2</v>
      </c>
      <c r="M54" s="39" t="s">
        <v>671</v>
      </c>
      <c r="N54" s="2" t="s">
        <v>19</v>
      </c>
      <c r="O54" s="2" t="s">
        <v>19</v>
      </c>
      <c r="P54" s="2" t="s">
        <v>19</v>
      </c>
      <c r="Q54" s="2" t="s">
        <v>19</v>
      </c>
    </row>
    <row r="55" customFormat="false" ht="15" hidden="false" customHeight="false" outlineLevel="0" collapsed="false">
      <c r="A55" s="2" t="s">
        <v>206</v>
      </c>
      <c r="B55" s="2" t="s">
        <v>45</v>
      </c>
      <c r="C55" s="13" t="s">
        <v>746</v>
      </c>
      <c r="D55" s="35" t="n">
        <v>53714</v>
      </c>
      <c r="E55" s="2" t="s">
        <v>667</v>
      </c>
      <c r="F55" s="36" t="n">
        <v>1.73234166139182</v>
      </c>
      <c r="G55" s="31" t="n">
        <v>90.2</v>
      </c>
      <c r="H55" s="37" t="n">
        <v>0.137093018332698</v>
      </c>
      <c r="I55" s="31" t="n">
        <v>71.8</v>
      </c>
      <c r="J55" s="2" t="s">
        <v>2704</v>
      </c>
      <c r="K55" s="38" t="n">
        <v>0.246636771300448</v>
      </c>
      <c r="L55" s="31" t="n">
        <v>80.7</v>
      </c>
      <c r="M55" s="39" t="s">
        <v>671</v>
      </c>
      <c r="N55" s="2" t="s">
        <v>19</v>
      </c>
      <c r="O55" s="2" t="s">
        <v>19</v>
      </c>
      <c r="P55" s="2" t="s">
        <v>19</v>
      </c>
      <c r="Q55" s="2" t="s">
        <v>19</v>
      </c>
    </row>
    <row r="56" customFormat="false" ht="15" hidden="false" customHeight="false" outlineLevel="0" collapsed="false">
      <c r="A56" s="2" t="s">
        <v>206</v>
      </c>
      <c r="B56" s="2" t="s">
        <v>46</v>
      </c>
      <c r="C56" s="14" t="s">
        <v>1374</v>
      </c>
      <c r="D56" s="40" t="n">
        <v>21640</v>
      </c>
      <c r="E56" s="2" t="s">
        <v>667</v>
      </c>
      <c r="F56" s="41" t="n">
        <v>19.8589648798521</v>
      </c>
      <c r="G56" s="31" t="n">
        <v>100</v>
      </c>
      <c r="H56" s="42" t="n">
        <v>0.0929292929292929</v>
      </c>
      <c r="I56" s="31" t="n">
        <v>52.3</v>
      </c>
      <c r="J56" s="2" t="s">
        <v>2700</v>
      </c>
      <c r="K56" s="43" t="n">
        <v>0.059788294664287</v>
      </c>
      <c r="L56" s="31" t="n">
        <v>16.8</v>
      </c>
      <c r="M56" s="39" t="s">
        <v>671</v>
      </c>
      <c r="N56" s="2" t="s">
        <v>21</v>
      </c>
      <c r="O56" s="2" t="s">
        <v>21</v>
      </c>
      <c r="P56" s="2" t="s">
        <v>21</v>
      </c>
      <c r="Q56" s="2" t="s">
        <v>21</v>
      </c>
    </row>
    <row r="57" customFormat="false" ht="15" hidden="false" customHeight="false" outlineLevel="0" collapsed="false">
      <c r="A57" s="2" t="s">
        <v>206</v>
      </c>
      <c r="B57" s="2" t="s">
        <v>47</v>
      </c>
      <c r="C57" s="13" t="s">
        <v>2539</v>
      </c>
      <c r="D57" s="35" t="n">
        <v>122033</v>
      </c>
      <c r="E57" s="2" t="s">
        <v>670</v>
      </c>
      <c r="F57" s="36" t="n">
        <v>0.713036637630805</v>
      </c>
      <c r="G57" s="31" t="n">
        <v>21.3</v>
      </c>
      <c r="H57" s="37" t="n">
        <v>0.052253541772654</v>
      </c>
      <c r="I57" s="31" t="n">
        <v>37.3</v>
      </c>
      <c r="J57" s="2" t="s">
        <v>2701</v>
      </c>
      <c r="K57" s="38" t="n">
        <v>0.00375851538642236</v>
      </c>
      <c r="L57" s="31" t="n">
        <v>3.6</v>
      </c>
      <c r="M57" s="39" t="s">
        <v>671</v>
      </c>
      <c r="N57" s="2" t="s">
        <v>19</v>
      </c>
      <c r="O57" s="2" t="s">
        <v>19</v>
      </c>
      <c r="P57" s="2" t="s">
        <v>19</v>
      </c>
      <c r="Q57" s="2" t="s">
        <v>19</v>
      </c>
    </row>
    <row r="58" customFormat="false" ht="15" hidden="false" customHeight="false" outlineLevel="0" collapsed="false">
      <c r="A58" s="2" t="s">
        <v>1482</v>
      </c>
      <c r="B58" s="2" t="s">
        <v>45</v>
      </c>
      <c r="C58" s="14" t="s">
        <v>2716</v>
      </c>
      <c r="D58" s="40" t="n">
        <v>106540</v>
      </c>
      <c r="E58" s="2" t="s">
        <v>670</v>
      </c>
      <c r="F58" s="30"/>
      <c r="G58" s="31"/>
      <c r="H58" s="42" t="n">
        <v>0.053078975981022</v>
      </c>
      <c r="I58" s="31" t="n">
        <v>33.3</v>
      </c>
      <c r="J58" s="2" t="s">
        <v>2698</v>
      </c>
      <c r="K58" s="33"/>
      <c r="L58" s="31"/>
      <c r="M58" s="34" t="s">
        <v>668</v>
      </c>
      <c r="N58" s="2" t="s">
        <v>21</v>
      </c>
      <c r="O58" s="2"/>
      <c r="P58" s="2" t="s">
        <v>21</v>
      </c>
      <c r="Q58" s="2"/>
    </row>
    <row r="59" customFormat="false" ht="15" hidden="false" customHeight="false" outlineLevel="0" collapsed="false">
      <c r="A59" s="2" t="s">
        <v>1482</v>
      </c>
      <c r="B59" s="2" t="s">
        <v>46</v>
      </c>
      <c r="C59" s="14" t="s">
        <v>1483</v>
      </c>
      <c r="D59" s="40" t="n">
        <v>79500</v>
      </c>
      <c r="E59" s="2" t="s">
        <v>667</v>
      </c>
      <c r="F59" s="41" t="n">
        <v>6.63421383647799</v>
      </c>
      <c r="G59" s="31" t="n">
        <v>84.4</v>
      </c>
      <c r="H59" s="42" t="n">
        <v>0.0598586855085989</v>
      </c>
      <c r="I59" s="31" t="n">
        <v>35.7</v>
      </c>
      <c r="J59" s="2" t="s">
        <v>2700</v>
      </c>
      <c r="K59" s="43" t="n">
        <v>0.0745549642136172</v>
      </c>
      <c r="L59" s="31" t="n">
        <v>22.5</v>
      </c>
      <c r="M59" s="39" t="s">
        <v>671</v>
      </c>
      <c r="N59" s="2" t="s">
        <v>21</v>
      </c>
      <c r="O59" s="2" t="s">
        <v>21</v>
      </c>
      <c r="P59" s="2" t="s">
        <v>21</v>
      </c>
      <c r="Q59" s="2" t="s">
        <v>21</v>
      </c>
    </row>
    <row r="60" customFormat="false" ht="15" hidden="false" customHeight="false" outlineLevel="0" collapsed="false">
      <c r="A60" s="2" t="s">
        <v>1482</v>
      </c>
      <c r="B60" s="2" t="s">
        <v>47</v>
      </c>
      <c r="C60" s="13" t="s">
        <v>2009</v>
      </c>
      <c r="D60" s="35" t="n">
        <v>63390</v>
      </c>
      <c r="E60" s="2" t="s">
        <v>667</v>
      </c>
      <c r="F60" s="36" t="n">
        <v>3.63208707998107</v>
      </c>
      <c r="G60" s="31" t="n">
        <v>93.5</v>
      </c>
      <c r="H60" s="37" t="n">
        <v>0.081740614334471</v>
      </c>
      <c r="I60" s="31" t="n">
        <v>46.1</v>
      </c>
      <c r="J60" s="2" t="s">
        <v>2697</v>
      </c>
      <c r="K60" s="38" t="n">
        <v>0.183653441749615</v>
      </c>
      <c r="L60" s="31" t="n">
        <v>79</v>
      </c>
      <c r="M60" s="39" t="s">
        <v>671</v>
      </c>
      <c r="N60" s="2" t="s">
        <v>19</v>
      </c>
      <c r="O60" s="2" t="s">
        <v>19</v>
      </c>
      <c r="P60" s="2" t="s">
        <v>19</v>
      </c>
      <c r="Q60" s="2" t="s">
        <v>19</v>
      </c>
    </row>
    <row r="61" customFormat="false" ht="15" hidden="false" customHeight="false" outlineLevel="0" collapsed="false">
      <c r="A61" s="2" t="s">
        <v>636</v>
      </c>
      <c r="B61" s="2" t="s">
        <v>46</v>
      </c>
      <c r="C61" s="14" t="s">
        <v>1912</v>
      </c>
      <c r="D61" s="40" t="n">
        <v>219410</v>
      </c>
      <c r="E61" s="2" t="s">
        <v>670</v>
      </c>
      <c r="F61" s="41" t="n">
        <v>1.19848229342327</v>
      </c>
      <c r="G61" s="31" t="n">
        <v>8.9</v>
      </c>
      <c r="H61" s="42" t="n">
        <v>0.160592435863528</v>
      </c>
      <c r="I61" s="31" t="n">
        <v>86.8</v>
      </c>
      <c r="J61" s="2" t="s">
        <v>2705</v>
      </c>
      <c r="K61" s="43" t="n">
        <v>0.124102093840746</v>
      </c>
      <c r="L61" s="31" t="n">
        <v>46.4</v>
      </c>
      <c r="M61" s="39" t="s">
        <v>671</v>
      </c>
      <c r="N61" s="2" t="s">
        <v>21</v>
      </c>
      <c r="O61" s="2" t="s">
        <v>21</v>
      </c>
      <c r="P61" s="2" t="s">
        <v>21</v>
      </c>
      <c r="Q61" s="2" t="s">
        <v>21</v>
      </c>
    </row>
    <row r="62" customFormat="false" ht="15" hidden="false" customHeight="false" outlineLevel="0" collapsed="false">
      <c r="A62" s="2" t="s">
        <v>703</v>
      </c>
      <c r="B62" s="2" t="s">
        <v>45</v>
      </c>
      <c r="C62" s="13" t="s">
        <v>704</v>
      </c>
      <c r="D62" s="35" t="n">
        <v>34968</v>
      </c>
      <c r="E62" s="2" t="s">
        <v>667</v>
      </c>
      <c r="F62" s="36" t="n">
        <v>2.29386867993594</v>
      </c>
      <c r="G62" s="31" t="n">
        <v>95.5</v>
      </c>
      <c r="H62" s="37" t="n">
        <v>0.259926497081502</v>
      </c>
      <c r="I62" s="31" t="n">
        <v>98.4</v>
      </c>
      <c r="J62" s="2" t="s">
        <v>2704</v>
      </c>
      <c r="K62" s="38" t="n">
        <v>0.191117092866756</v>
      </c>
      <c r="L62" s="31" t="n">
        <v>67.7</v>
      </c>
      <c r="M62" s="39" t="s">
        <v>671</v>
      </c>
      <c r="N62" s="2" t="s">
        <v>19</v>
      </c>
      <c r="O62" s="2" t="s">
        <v>19</v>
      </c>
      <c r="P62" s="2" t="s">
        <v>19</v>
      </c>
      <c r="Q62" s="2" t="s">
        <v>19</v>
      </c>
    </row>
    <row r="63" customFormat="false" ht="15" hidden="false" customHeight="false" outlineLevel="0" collapsed="false">
      <c r="A63" s="2" t="s">
        <v>703</v>
      </c>
      <c r="B63" s="2" t="s">
        <v>46</v>
      </c>
      <c r="C63" s="16"/>
      <c r="D63" s="29"/>
      <c r="E63" s="2"/>
      <c r="F63" s="30"/>
      <c r="G63" s="31"/>
      <c r="H63" s="32"/>
      <c r="I63" s="31"/>
      <c r="J63" s="2"/>
      <c r="K63" s="33"/>
      <c r="L63" s="31"/>
      <c r="M63" s="34" t="s">
        <v>668</v>
      </c>
      <c r="N63" s="2"/>
      <c r="O63" s="2"/>
      <c r="P63" s="2"/>
      <c r="Q63" s="2"/>
    </row>
    <row r="64" customFormat="false" ht="15" hidden="false" customHeight="false" outlineLevel="0" collapsed="false">
      <c r="A64" s="2" t="s">
        <v>703</v>
      </c>
      <c r="B64" s="2" t="s">
        <v>47</v>
      </c>
      <c r="C64" s="16"/>
      <c r="D64" s="29"/>
      <c r="E64" s="2"/>
      <c r="F64" s="30"/>
      <c r="G64" s="31"/>
      <c r="H64" s="32"/>
      <c r="I64" s="31"/>
      <c r="J64" s="2"/>
      <c r="K64" s="33"/>
      <c r="L64" s="31"/>
      <c r="M64" s="34" t="s">
        <v>668</v>
      </c>
      <c r="N64" s="2"/>
      <c r="O64" s="2"/>
      <c r="P64" s="2"/>
      <c r="Q64" s="2"/>
    </row>
    <row r="65" customFormat="false" ht="15" hidden="false" customHeight="false" outlineLevel="0" collapsed="false">
      <c r="A65" s="2" t="s">
        <v>364</v>
      </c>
      <c r="B65" s="2" t="s">
        <v>45</v>
      </c>
      <c r="C65" s="13" t="s">
        <v>839</v>
      </c>
      <c r="D65" s="35" t="n">
        <v>240428</v>
      </c>
      <c r="E65" s="2" t="s">
        <v>670</v>
      </c>
      <c r="F65" s="36" t="n">
        <v>1.03547007836026</v>
      </c>
      <c r="G65" s="31" t="n">
        <v>76.5</v>
      </c>
      <c r="H65" s="37" t="n">
        <v>0.0542405879206167</v>
      </c>
      <c r="I65" s="31" t="n">
        <v>34.1</v>
      </c>
      <c r="J65" s="2" t="s">
        <v>2698</v>
      </c>
      <c r="K65" s="47" t="s">
        <v>680</v>
      </c>
      <c r="L65" s="31"/>
      <c r="M65" s="39" t="s">
        <v>671</v>
      </c>
      <c r="N65" s="2" t="s">
        <v>19</v>
      </c>
      <c r="O65" s="2" t="s">
        <v>19</v>
      </c>
      <c r="P65" s="2" t="s">
        <v>19</v>
      </c>
      <c r="Q65" s="2" t="s">
        <v>2715</v>
      </c>
    </row>
    <row r="66" customFormat="false" ht="15" hidden="false" customHeight="false" outlineLevel="0" collapsed="false">
      <c r="A66" s="2" t="s">
        <v>364</v>
      </c>
      <c r="B66" s="2" t="s">
        <v>46</v>
      </c>
      <c r="C66" s="13" t="s">
        <v>1822</v>
      </c>
      <c r="D66" s="35" t="n">
        <v>14288</v>
      </c>
      <c r="E66" s="2" t="s">
        <v>667</v>
      </c>
      <c r="F66" s="36" t="n">
        <v>1.96472564389698</v>
      </c>
      <c r="G66" s="31" t="n">
        <v>25.6</v>
      </c>
      <c r="H66" s="37" t="n">
        <v>0.203504043126685</v>
      </c>
      <c r="I66" s="31" t="n">
        <v>94.6</v>
      </c>
      <c r="J66" s="2" t="s">
        <v>2700</v>
      </c>
      <c r="K66" s="38" t="n">
        <v>0.0602094240837696</v>
      </c>
      <c r="L66" s="31" t="n">
        <v>17.6</v>
      </c>
      <c r="M66" s="39" t="s">
        <v>671</v>
      </c>
      <c r="N66" s="2" t="s">
        <v>19</v>
      </c>
      <c r="O66" s="2" t="s">
        <v>19</v>
      </c>
      <c r="P66" s="2" t="s">
        <v>19</v>
      </c>
      <c r="Q66" s="2" t="s">
        <v>19</v>
      </c>
    </row>
    <row r="67" customFormat="false" ht="15" hidden="false" customHeight="false" outlineLevel="0" collapsed="false">
      <c r="A67" s="2" t="s">
        <v>1078</v>
      </c>
      <c r="B67" s="2" t="s">
        <v>45</v>
      </c>
      <c r="C67" s="13" t="s">
        <v>1079</v>
      </c>
      <c r="D67" s="35" t="n">
        <v>6589</v>
      </c>
      <c r="E67" s="2" t="s">
        <v>678</v>
      </c>
      <c r="F67" s="36" t="n">
        <v>0.548641675519806</v>
      </c>
      <c r="G67" s="31" t="n">
        <v>44.9</v>
      </c>
      <c r="H67" s="37" t="n">
        <v>0.130576527110501</v>
      </c>
      <c r="I67" s="31" t="n">
        <v>68.5</v>
      </c>
      <c r="J67" s="2" t="s">
        <v>2713</v>
      </c>
      <c r="K67" s="38" t="n">
        <v>0.0793650793650794</v>
      </c>
      <c r="L67" s="31" t="n">
        <v>25.7</v>
      </c>
      <c r="M67" s="39" t="s">
        <v>671</v>
      </c>
      <c r="N67" s="2" t="s">
        <v>19</v>
      </c>
      <c r="O67" s="2" t="s">
        <v>19</v>
      </c>
      <c r="P67" s="2" t="s">
        <v>19</v>
      </c>
      <c r="Q67" s="2" t="s">
        <v>19</v>
      </c>
    </row>
    <row r="68" customFormat="false" ht="15" hidden="false" customHeight="false" outlineLevel="0" collapsed="false">
      <c r="A68" s="2" t="s">
        <v>1078</v>
      </c>
      <c r="B68" s="2" t="s">
        <v>46</v>
      </c>
      <c r="C68" s="16"/>
      <c r="D68" s="29"/>
      <c r="E68" s="2"/>
      <c r="F68" s="30"/>
      <c r="G68" s="31"/>
      <c r="H68" s="32"/>
      <c r="I68" s="31"/>
      <c r="J68" s="2"/>
      <c r="K68" s="33"/>
      <c r="L68" s="31"/>
      <c r="M68" s="34" t="s">
        <v>668</v>
      </c>
      <c r="N68" s="2"/>
      <c r="O68" s="2"/>
      <c r="P68" s="2"/>
      <c r="Q68" s="2"/>
    </row>
    <row r="69" customFormat="false" ht="15" hidden="false" customHeight="false" outlineLevel="0" collapsed="false">
      <c r="A69" s="2" t="s">
        <v>1078</v>
      </c>
      <c r="B69" s="2" t="s">
        <v>47</v>
      </c>
      <c r="C69" s="13" t="s">
        <v>2717</v>
      </c>
      <c r="D69" s="35" t="n">
        <v>210226</v>
      </c>
      <c r="E69" s="2" t="s">
        <v>670</v>
      </c>
      <c r="F69" s="30"/>
      <c r="G69" s="31"/>
      <c r="H69" s="37" t="n">
        <v>0.0285180310865619</v>
      </c>
      <c r="I69" s="31" t="n">
        <v>25.3</v>
      </c>
      <c r="J69" s="2" t="s">
        <v>2701</v>
      </c>
      <c r="K69" s="38" t="n">
        <v>0.0144224633056796</v>
      </c>
      <c r="L69" s="31" t="n">
        <v>9.3</v>
      </c>
      <c r="M69" s="34" t="s">
        <v>668</v>
      </c>
      <c r="N69" s="2" t="s">
        <v>19</v>
      </c>
      <c r="O69" s="2"/>
      <c r="P69" s="2" t="s">
        <v>19</v>
      </c>
      <c r="Q69" s="2" t="s">
        <v>19</v>
      </c>
    </row>
    <row r="70" customFormat="false" ht="15" hidden="false" customHeight="false" outlineLevel="0" collapsed="false">
      <c r="A70" s="2" t="s">
        <v>755</v>
      </c>
      <c r="B70" s="2" t="s">
        <v>45</v>
      </c>
      <c r="C70" s="14" t="s">
        <v>756</v>
      </c>
      <c r="D70" s="40" t="n">
        <v>20550</v>
      </c>
      <c r="E70" s="2" t="s">
        <v>667</v>
      </c>
      <c r="F70" s="41" t="n">
        <v>1.6545498783455</v>
      </c>
      <c r="G70" s="31" t="n">
        <v>89.1</v>
      </c>
      <c r="H70" s="46" t="n">
        <v>0.103317484908382</v>
      </c>
      <c r="I70" s="31" t="n">
        <v>56</v>
      </c>
      <c r="J70" s="2" t="s">
        <v>2704</v>
      </c>
      <c r="K70" s="47" t="s">
        <v>680</v>
      </c>
      <c r="L70" s="31"/>
      <c r="M70" s="39" t="s">
        <v>671</v>
      </c>
      <c r="N70" s="2" t="s">
        <v>21</v>
      </c>
      <c r="O70" s="2" t="s">
        <v>21</v>
      </c>
      <c r="P70" s="2" t="s">
        <v>17</v>
      </c>
      <c r="Q70" s="2" t="s">
        <v>2711</v>
      </c>
    </row>
    <row r="71" customFormat="false" ht="15" hidden="false" customHeight="false" outlineLevel="0" collapsed="false">
      <c r="A71" s="2" t="s">
        <v>755</v>
      </c>
      <c r="B71" s="2" t="s">
        <v>47</v>
      </c>
      <c r="C71" s="16"/>
      <c r="D71" s="29"/>
      <c r="E71" s="2"/>
      <c r="F71" s="30"/>
      <c r="G71" s="31"/>
      <c r="H71" s="32"/>
      <c r="I71" s="31"/>
      <c r="J71" s="2"/>
      <c r="K71" s="48" t="n">
        <v>0.0563480459951792</v>
      </c>
      <c r="L71" s="31" t="n">
        <v>35</v>
      </c>
      <c r="M71" s="34" t="s">
        <v>668</v>
      </c>
      <c r="N71" s="2"/>
      <c r="O71" s="2"/>
      <c r="P71" s="2"/>
      <c r="Q71" s="2" t="s">
        <v>17</v>
      </c>
    </row>
    <row r="72" customFormat="false" ht="15" hidden="false" customHeight="false" outlineLevel="0" collapsed="false">
      <c r="A72" s="2" t="s">
        <v>2197</v>
      </c>
      <c r="B72" s="2" t="s">
        <v>46</v>
      </c>
      <c r="C72" s="16"/>
      <c r="D72" s="29"/>
      <c r="E72" s="2"/>
      <c r="F72" s="30"/>
      <c r="G72" s="31"/>
      <c r="H72" s="32"/>
      <c r="I72" s="31"/>
      <c r="J72" s="2"/>
      <c r="K72" s="33"/>
      <c r="L72" s="31"/>
      <c r="M72" s="34" t="s">
        <v>668</v>
      </c>
      <c r="N72" s="2"/>
      <c r="O72" s="2"/>
      <c r="P72" s="2"/>
      <c r="Q72" s="2"/>
    </row>
    <row r="73" customFormat="false" ht="15" hidden="false" customHeight="false" outlineLevel="0" collapsed="false">
      <c r="A73" s="2" t="s">
        <v>2197</v>
      </c>
      <c r="B73" s="2" t="s">
        <v>47</v>
      </c>
      <c r="C73" s="13" t="s">
        <v>2198</v>
      </c>
      <c r="D73" s="35" t="n">
        <v>4376</v>
      </c>
      <c r="E73" s="2" t="s">
        <v>678</v>
      </c>
      <c r="F73" s="36" t="n">
        <v>1.71412248628885</v>
      </c>
      <c r="G73" s="31" t="n">
        <v>65.8</v>
      </c>
      <c r="H73" s="37" t="n">
        <v>0.0738650306748466</v>
      </c>
      <c r="I73" s="31" t="n">
        <v>40</v>
      </c>
      <c r="J73" s="2" t="s">
        <v>2706</v>
      </c>
      <c r="K73" s="38" t="n">
        <v>0.12958435207824</v>
      </c>
      <c r="L73" s="31" t="n">
        <v>65.1</v>
      </c>
      <c r="M73" s="39" t="s">
        <v>671</v>
      </c>
      <c r="N73" s="2" t="s">
        <v>19</v>
      </c>
      <c r="O73" s="2" t="s">
        <v>19</v>
      </c>
      <c r="P73" s="2" t="s">
        <v>19</v>
      </c>
      <c r="Q73" s="2" t="s">
        <v>19</v>
      </c>
    </row>
    <row r="74" customFormat="false" ht="15" hidden="false" customHeight="false" outlineLevel="0" collapsed="false">
      <c r="A74" s="2" t="s">
        <v>2434</v>
      </c>
      <c r="B74" s="2" t="s">
        <v>45</v>
      </c>
      <c r="C74" s="15" t="s">
        <v>2718</v>
      </c>
      <c r="D74" s="29"/>
      <c r="E74" s="2"/>
      <c r="F74" s="30"/>
      <c r="G74" s="31"/>
      <c r="H74" s="32"/>
      <c r="I74" s="31"/>
      <c r="J74" s="2"/>
      <c r="K74" s="33"/>
      <c r="L74" s="31"/>
      <c r="M74" s="34" t="s">
        <v>668</v>
      </c>
      <c r="N74" s="2"/>
      <c r="O74" s="2"/>
      <c r="P74" s="2"/>
      <c r="Q74" s="2"/>
    </row>
    <row r="75" customFormat="false" ht="15" hidden="false" customHeight="false" outlineLevel="0" collapsed="false">
      <c r="A75" s="2" t="s">
        <v>2434</v>
      </c>
      <c r="B75" s="2" t="s">
        <v>47</v>
      </c>
      <c r="C75" s="13" t="s">
        <v>2435</v>
      </c>
      <c r="D75" s="35" t="n">
        <v>540355</v>
      </c>
      <c r="E75" s="2" t="s">
        <v>670</v>
      </c>
      <c r="F75" s="36" t="n">
        <v>0.936395517761472</v>
      </c>
      <c r="G75" s="31" t="n">
        <v>34.2</v>
      </c>
      <c r="H75" s="37" t="n">
        <v>-0.140254826525125</v>
      </c>
      <c r="I75" s="31" t="n">
        <v>0.6</v>
      </c>
      <c r="J75" s="2" t="s">
        <v>2701</v>
      </c>
      <c r="K75" s="38" t="n">
        <v>0.0808622583199244</v>
      </c>
      <c r="L75" s="31" t="n">
        <v>44.4</v>
      </c>
      <c r="M75" s="39" t="s">
        <v>671</v>
      </c>
      <c r="N75" s="2" t="s">
        <v>19</v>
      </c>
      <c r="O75" s="2" t="s">
        <v>19</v>
      </c>
      <c r="P75" s="2" t="s">
        <v>19</v>
      </c>
      <c r="Q75" s="2" t="s">
        <v>19</v>
      </c>
    </row>
    <row r="76" customFormat="false" ht="15" hidden="false" customHeight="false" outlineLevel="0" collapsed="false">
      <c r="A76" s="2" t="s">
        <v>1761</v>
      </c>
      <c r="B76" s="2" t="s">
        <v>45</v>
      </c>
      <c r="C76" s="15" t="s">
        <v>2719</v>
      </c>
      <c r="D76" s="44" t="n">
        <v>712616</v>
      </c>
      <c r="E76" s="2" t="s">
        <v>670</v>
      </c>
      <c r="F76" s="45" t="n">
        <v>0.206304657767999</v>
      </c>
      <c r="G76" s="31" t="n">
        <v>8.8</v>
      </c>
      <c r="H76" s="46" t="n">
        <v>0.0463229021520643</v>
      </c>
      <c r="I76" s="31" t="n">
        <v>31.2</v>
      </c>
      <c r="J76" s="2" t="s">
        <v>2698</v>
      </c>
      <c r="K76" s="33"/>
      <c r="L76" s="31"/>
      <c r="M76" s="34" t="s">
        <v>668</v>
      </c>
      <c r="N76" s="2" t="s">
        <v>17</v>
      </c>
      <c r="O76" s="2" t="s">
        <v>17</v>
      </c>
      <c r="P76" s="2" t="s">
        <v>17</v>
      </c>
      <c r="Q76" s="2"/>
    </row>
    <row r="77" customFormat="false" ht="15" hidden="false" customHeight="false" outlineLevel="0" collapsed="false">
      <c r="A77" s="2" t="s">
        <v>1761</v>
      </c>
      <c r="B77" s="2" t="s">
        <v>46</v>
      </c>
      <c r="C77" s="13" t="s">
        <v>1762</v>
      </c>
      <c r="D77" s="35" t="n">
        <v>29870</v>
      </c>
      <c r="E77" s="2" t="s">
        <v>667</v>
      </c>
      <c r="F77" s="36" t="n">
        <v>2.39330431871443</v>
      </c>
      <c r="G77" s="31" t="n">
        <v>35.3</v>
      </c>
      <c r="H77" s="37" t="n">
        <v>0.0659862246172513</v>
      </c>
      <c r="I77" s="31" t="n">
        <v>37.8</v>
      </c>
      <c r="J77" s="2" t="s">
        <v>2700</v>
      </c>
      <c r="K77" s="38" t="n">
        <v>0.307769675634901</v>
      </c>
      <c r="L77" s="31" t="n">
        <v>93</v>
      </c>
      <c r="M77" s="39" t="s">
        <v>671</v>
      </c>
      <c r="N77" s="2" t="s">
        <v>19</v>
      </c>
      <c r="O77" s="2" t="s">
        <v>19</v>
      </c>
      <c r="P77" s="2" t="s">
        <v>19</v>
      </c>
      <c r="Q77" s="2" t="s">
        <v>19</v>
      </c>
    </row>
    <row r="78" customFormat="false" ht="15" hidden="false" customHeight="false" outlineLevel="0" collapsed="false">
      <c r="A78" s="2" t="s">
        <v>1761</v>
      </c>
      <c r="B78" s="2" t="s">
        <v>47</v>
      </c>
      <c r="C78" s="13" t="s">
        <v>2357</v>
      </c>
      <c r="D78" s="35" t="n">
        <v>44049</v>
      </c>
      <c r="E78" s="2" t="s">
        <v>667</v>
      </c>
      <c r="F78" s="36" t="n">
        <v>1.11523530613635</v>
      </c>
      <c r="G78" s="31" t="n">
        <v>44.9</v>
      </c>
      <c r="H78" s="37" t="n">
        <v>0.109574548477292</v>
      </c>
      <c r="I78" s="31" t="n">
        <v>59.2</v>
      </c>
      <c r="J78" s="2" t="s">
        <v>2697</v>
      </c>
      <c r="K78" s="38" t="n">
        <v>0.313006697215368</v>
      </c>
      <c r="L78" s="31" t="n">
        <v>96.8</v>
      </c>
      <c r="M78" s="39" t="s">
        <v>671</v>
      </c>
      <c r="N78" s="2" t="s">
        <v>19</v>
      </c>
      <c r="O78" s="2" t="s">
        <v>19</v>
      </c>
      <c r="P78" s="2" t="s">
        <v>19</v>
      </c>
      <c r="Q78" s="2" t="s">
        <v>19</v>
      </c>
    </row>
    <row r="79" customFormat="false" ht="15" hidden="false" customHeight="false" outlineLevel="0" collapsed="false">
      <c r="A79" s="2" t="s">
        <v>214</v>
      </c>
      <c r="B79" s="2" t="s">
        <v>45</v>
      </c>
      <c r="C79" s="13" t="s">
        <v>1073</v>
      </c>
      <c r="D79" s="35" t="n">
        <v>19801</v>
      </c>
      <c r="E79" s="2" t="s">
        <v>667</v>
      </c>
      <c r="F79" s="36" t="n">
        <v>0.553658906115853</v>
      </c>
      <c r="G79" s="31" t="n">
        <v>45.3</v>
      </c>
      <c r="H79" s="37" t="n">
        <v>0.107314618051672</v>
      </c>
      <c r="I79" s="31" t="n">
        <v>57.9</v>
      </c>
      <c r="J79" s="2" t="s">
        <v>2704</v>
      </c>
      <c r="K79" s="38" t="n">
        <v>0.252747252747253</v>
      </c>
      <c r="L79" s="31" t="n">
        <v>82.6</v>
      </c>
      <c r="M79" s="39" t="s">
        <v>671</v>
      </c>
      <c r="N79" s="2" t="s">
        <v>19</v>
      </c>
      <c r="O79" s="2" t="s">
        <v>19</v>
      </c>
      <c r="P79" s="2" t="s">
        <v>19</v>
      </c>
      <c r="Q79" s="2" t="s">
        <v>19</v>
      </c>
    </row>
    <row r="80" customFormat="false" ht="15" hidden="false" customHeight="false" outlineLevel="0" collapsed="false">
      <c r="A80" s="2" t="s">
        <v>214</v>
      </c>
      <c r="B80" s="2" t="s">
        <v>47</v>
      </c>
      <c r="C80" s="14" t="s">
        <v>2013</v>
      </c>
      <c r="D80" s="40" t="n">
        <v>339600</v>
      </c>
      <c r="E80" s="2" t="s">
        <v>670</v>
      </c>
      <c r="F80" s="41" t="n">
        <v>3.56358951707892</v>
      </c>
      <c r="G80" s="31" t="n">
        <v>92.8</v>
      </c>
      <c r="H80" s="42" t="n">
        <v>0.104929233772572</v>
      </c>
      <c r="I80" s="31" t="n">
        <v>60.8</v>
      </c>
      <c r="J80" s="2" t="s">
        <v>2701</v>
      </c>
      <c r="K80" s="43" t="n">
        <v>0.187441172515799</v>
      </c>
      <c r="L80" s="31" t="n">
        <v>80</v>
      </c>
      <c r="M80" s="39" t="s">
        <v>671</v>
      </c>
      <c r="N80" s="2" t="s">
        <v>21</v>
      </c>
      <c r="O80" s="2" t="s">
        <v>21</v>
      </c>
      <c r="P80" s="2" t="s">
        <v>21</v>
      </c>
      <c r="Q80" s="2" t="s">
        <v>21</v>
      </c>
    </row>
    <row r="81" customFormat="false" ht="15" hidden="false" customHeight="false" outlineLevel="0" collapsed="false">
      <c r="A81" s="2" t="s">
        <v>626</v>
      </c>
      <c r="B81" s="2" t="s">
        <v>47</v>
      </c>
      <c r="C81" s="14" t="s">
        <v>2613</v>
      </c>
      <c r="D81" s="40" t="n">
        <v>960330</v>
      </c>
      <c r="E81" s="2" t="s">
        <v>670</v>
      </c>
      <c r="F81" s="41" t="n">
        <v>0.505987525121573</v>
      </c>
      <c r="G81" s="31" t="n">
        <v>12</v>
      </c>
      <c r="H81" s="42" t="n">
        <v>0.0233586598608284</v>
      </c>
      <c r="I81" s="31" t="n">
        <v>24.1</v>
      </c>
      <c r="J81" s="2" t="s">
        <v>2701</v>
      </c>
      <c r="K81" s="43" t="n">
        <v>0.173271776434058</v>
      </c>
      <c r="L81" s="31" t="n">
        <v>78.1</v>
      </c>
      <c r="M81" s="39" t="s">
        <v>671</v>
      </c>
      <c r="N81" s="2" t="s">
        <v>21</v>
      </c>
      <c r="O81" s="2" t="s">
        <v>21</v>
      </c>
      <c r="P81" s="2" t="s">
        <v>21</v>
      </c>
      <c r="Q81" s="2" t="s">
        <v>21</v>
      </c>
    </row>
    <row r="82" customFormat="false" ht="15" hidden="false" customHeight="false" outlineLevel="0" collapsed="false">
      <c r="A82" s="2" t="s">
        <v>564</v>
      </c>
      <c r="B82" s="2" t="s">
        <v>46</v>
      </c>
      <c r="C82" s="14" t="s">
        <v>1817</v>
      </c>
      <c r="D82" s="40" t="n">
        <v>9470</v>
      </c>
      <c r="E82" s="2" t="s">
        <v>678</v>
      </c>
      <c r="F82" s="41" t="n">
        <v>2.00897571277719</v>
      </c>
      <c r="G82" s="31" t="n">
        <v>26.6</v>
      </c>
      <c r="H82" s="42" t="n">
        <v>0.164821648216482</v>
      </c>
      <c r="I82" s="31" t="n">
        <v>79.2</v>
      </c>
      <c r="J82" s="2" t="s">
        <v>2720</v>
      </c>
      <c r="K82" s="43" t="n">
        <v>0.306147291539866</v>
      </c>
      <c r="L82" s="31" t="n">
        <v>92</v>
      </c>
      <c r="M82" s="39" t="s">
        <v>671</v>
      </c>
      <c r="N82" s="2" t="s">
        <v>21</v>
      </c>
      <c r="O82" s="2" t="s">
        <v>21</v>
      </c>
      <c r="P82" s="2" t="s">
        <v>21</v>
      </c>
      <c r="Q82" s="2" t="s">
        <v>21</v>
      </c>
    </row>
    <row r="83" customFormat="false" ht="15" hidden="false" customHeight="false" outlineLevel="0" collapsed="false">
      <c r="A83" s="2" t="s">
        <v>618</v>
      </c>
      <c r="B83" s="2" t="s">
        <v>45</v>
      </c>
      <c r="C83" s="13" t="s">
        <v>1302</v>
      </c>
      <c r="D83" s="35" t="n">
        <v>12717</v>
      </c>
      <c r="E83" s="2" t="s">
        <v>667</v>
      </c>
      <c r="F83" s="36" t="n">
        <v>0.243846819218369</v>
      </c>
      <c r="G83" s="31" t="n">
        <v>12.6</v>
      </c>
      <c r="H83" s="37" t="n">
        <v>-0.0361527967257845</v>
      </c>
      <c r="I83" s="31" t="n">
        <v>5.2</v>
      </c>
      <c r="J83" s="2" t="s">
        <v>2704</v>
      </c>
      <c r="K83" s="38" t="n">
        <v>0</v>
      </c>
      <c r="L83" s="31" t="n">
        <v>1</v>
      </c>
      <c r="M83" s="39" t="s">
        <v>671</v>
      </c>
      <c r="N83" s="2" t="s">
        <v>19</v>
      </c>
      <c r="O83" s="2" t="s">
        <v>19</v>
      </c>
      <c r="P83" s="2" t="s">
        <v>19</v>
      </c>
      <c r="Q83" s="2" t="s">
        <v>19</v>
      </c>
    </row>
    <row r="84" customFormat="false" ht="15" hidden="false" customHeight="false" outlineLevel="0" collapsed="false">
      <c r="A84" s="2" t="s">
        <v>618</v>
      </c>
      <c r="B84" s="2" t="s">
        <v>47</v>
      </c>
      <c r="C84" s="13" t="s">
        <v>2550</v>
      </c>
      <c r="D84" s="35" t="n">
        <v>50048</v>
      </c>
      <c r="E84" s="2" t="s">
        <v>667</v>
      </c>
      <c r="F84" s="36" t="n">
        <v>0.663942615089514</v>
      </c>
      <c r="G84" s="31" t="n">
        <v>19.2</v>
      </c>
      <c r="H84" s="37" t="n">
        <v>0.185437836045382</v>
      </c>
      <c r="I84" s="31" t="n">
        <v>91.1</v>
      </c>
      <c r="J84" s="2" t="s">
        <v>2697</v>
      </c>
      <c r="K84" s="38" t="n">
        <v>0.0816326530612245</v>
      </c>
      <c r="L84" s="31" t="n">
        <v>45</v>
      </c>
      <c r="M84" s="39" t="s">
        <v>671</v>
      </c>
      <c r="N84" s="2" t="s">
        <v>19</v>
      </c>
      <c r="O84" s="2" t="s">
        <v>19</v>
      </c>
      <c r="P84" s="2" t="s">
        <v>19</v>
      </c>
      <c r="Q84" s="2" t="s">
        <v>19</v>
      </c>
    </row>
    <row r="85" customFormat="false" ht="15" hidden="false" customHeight="false" outlineLevel="0" collapsed="false">
      <c r="A85" s="2" t="s">
        <v>1904</v>
      </c>
      <c r="B85" s="2" t="s">
        <v>45</v>
      </c>
      <c r="C85" s="14" t="s">
        <v>2721</v>
      </c>
      <c r="D85" s="40" t="n">
        <v>2470</v>
      </c>
      <c r="E85" s="2" t="s">
        <v>678</v>
      </c>
      <c r="F85" s="41" t="n">
        <v>0.440485829959514</v>
      </c>
      <c r="G85" s="31" t="n">
        <v>35</v>
      </c>
      <c r="H85" s="32"/>
      <c r="I85" s="31"/>
      <c r="J85" s="2"/>
      <c r="K85" s="43" t="n">
        <v>0.267605633802817</v>
      </c>
      <c r="L85" s="31" t="n">
        <v>84.5</v>
      </c>
      <c r="M85" s="34" t="s">
        <v>668</v>
      </c>
      <c r="N85" s="2" t="s">
        <v>21</v>
      </c>
      <c r="O85" s="2" t="s">
        <v>21</v>
      </c>
      <c r="P85" s="2"/>
      <c r="Q85" s="2" t="s">
        <v>21</v>
      </c>
    </row>
    <row r="86" customFormat="false" ht="15" hidden="false" customHeight="false" outlineLevel="0" collapsed="false">
      <c r="A86" s="2" t="s">
        <v>1904</v>
      </c>
      <c r="B86" s="2" t="s">
        <v>46</v>
      </c>
      <c r="C86" s="14" t="s">
        <v>1905</v>
      </c>
      <c r="D86" s="40" t="n">
        <v>39770</v>
      </c>
      <c r="E86" s="2" t="s">
        <v>667</v>
      </c>
      <c r="F86" s="41" t="n">
        <v>1.30437515715363</v>
      </c>
      <c r="G86" s="31" t="n">
        <v>11</v>
      </c>
      <c r="H86" s="42" t="n">
        <v>0.17837037037037</v>
      </c>
      <c r="I86" s="31" t="n">
        <v>89.6</v>
      </c>
      <c r="J86" s="2" t="s">
        <v>2700</v>
      </c>
      <c r="K86" s="43" t="n">
        <v>0.153189910979229</v>
      </c>
      <c r="L86" s="31" t="n">
        <v>58.3</v>
      </c>
      <c r="M86" s="39" t="s">
        <v>671</v>
      </c>
      <c r="N86" s="2" t="s">
        <v>21</v>
      </c>
      <c r="O86" s="2" t="s">
        <v>21</v>
      </c>
      <c r="P86" s="2" t="s">
        <v>21</v>
      </c>
      <c r="Q86" s="2" t="s">
        <v>21</v>
      </c>
    </row>
    <row r="87" customFormat="false" ht="15" hidden="false" customHeight="false" outlineLevel="0" collapsed="false">
      <c r="A87" s="2" t="s">
        <v>1904</v>
      </c>
      <c r="B87" s="2" t="s">
        <v>47</v>
      </c>
      <c r="C87" s="13" t="s">
        <v>2190</v>
      </c>
      <c r="D87" s="35" t="n">
        <v>94960</v>
      </c>
      <c r="E87" s="2" t="s">
        <v>667</v>
      </c>
      <c r="F87" s="36" t="n">
        <v>1.73334035383319</v>
      </c>
      <c r="G87" s="31" t="n">
        <v>66.5</v>
      </c>
      <c r="H87" s="37" t="n">
        <v>0.202832279883973</v>
      </c>
      <c r="I87" s="31" t="n">
        <v>93.6</v>
      </c>
      <c r="J87" s="2" t="s">
        <v>2697</v>
      </c>
      <c r="K87" s="38" t="n">
        <v>0.000795861520095503</v>
      </c>
      <c r="L87" s="31" t="n">
        <v>1.9</v>
      </c>
      <c r="M87" s="39" t="s">
        <v>671</v>
      </c>
      <c r="N87" s="2" t="s">
        <v>19</v>
      </c>
      <c r="O87" s="2" t="s">
        <v>19</v>
      </c>
      <c r="P87" s="2" t="s">
        <v>19</v>
      </c>
      <c r="Q87" s="2" t="s">
        <v>19</v>
      </c>
    </row>
    <row r="88" customFormat="false" ht="15" hidden="false" customHeight="false" outlineLevel="0" collapsed="false">
      <c r="A88" s="2" t="s">
        <v>1790</v>
      </c>
      <c r="B88" s="2" t="s">
        <v>45</v>
      </c>
      <c r="C88" s="16"/>
      <c r="D88" s="29"/>
      <c r="E88" s="2"/>
      <c r="F88" s="30"/>
      <c r="G88" s="31"/>
      <c r="H88" s="32"/>
      <c r="I88" s="31"/>
      <c r="J88" s="2"/>
      <c r="K88" s="33"/>
      <c r="L88" s="31"/>
      <c r="M88" s="34" t="s">
        <v>668</v>
      </c>
      <c r="N88" s="2"/>
      <c r="O88" s="2"/>
      <c r="P88" s="2"/>
      <c r="Q88" s="2"/>
    </row>
    <row r="89" customFormat="false" ht="15" hidden="false" customHeight="false" outlineLevel="0" collapsed="false">
      <c r="A89" s="2" t="s">
        <v>1790</v>
      </c>
      <c r="B89" s="2" t="s">
        <v>46</v>
      </c>
      <c r="C89" s="14" t="s">
        <v>1791</v>
      </c>
      <c r="D89" s="44" t="n">
        <v>83018</v>
      </c>
      <c r="E89" s="2" t="s">
        <v>667</v>
      </c>
      <c r="F89" s="45" t="n">
        <v>2.205232600159</v>
      </c>
      <c r="G89" s="31" t="n">
        <v>31.1</v>
      </c>
      <c r="H89" s="46" t="n">
        <v>0.03417004048583</v>
      </c>
      <c r="I89" s="31" t="n">
        <v>22</v>
      </c>
      <c r="J89" s="2" t="s">
        <v>2700</v>
      </c>
      <c r="K89" s="43" t="n">
        <v>0.1709362610552</v>
      </c>
      <c r="L89" s="31" t="n">
        <v>63.5</v>
      </c>
      <c r="M89" s="39" t="s">
        <v>671</v>
      </c>
      <c r="N89" s="2" t="s">
        <v>17</v>
      </c>
      <c r="O89" s="2" t="s">
        <v>17</v>
      </c>
      <c r="P89" s="2" t="s">
        <v>17</v>
      </c>
      <c r="Q89" s="2" t="s">
        <v>21</v>
      </c>
    </row>
    <row r="90" customFormat="false" ht="15" hidden="false" customHeight="false" outlineLevel="0" collapsed="false">
      <c r="A90" s="2" t="s">
        <v>1790</v>
      </c>
      <c r="B90" s="2" t="s">
        <v>47</v>
      </c>
      <c r="C90" s="14" t="s">
        <v>2456</v>
      </c>
      <c r="D90" s="35" t="n">
        <v>26015</v>
      </c>
      <c r="E90" s="2" t="s">
        <v>667</v>
      </c>
      <c r="F90" s="36" t="n">
        <v>0.897366903709398</v>
      </c>
      <c r="G90" s="31" t="n">
        <v>31.7</v>
      </c>
      <c r="H90" s="37" t="n">
        <v>0.243725199598413</v>
      </c>
      <c r="I90" s="31" t="n">
        <v>98.6</v>
      </c>
      <c r="J90" s="2" t="s">
        <v>2697</v>
      </c>
      <c r="K90" s="38" t="n">
        <v>0.0745784695201038</v>
      </c>
      <c r="L90" s="31" t="n">
        <v>41.5</v>
      </c>
      <c r="M90" s="39" t="s">
        <v>671</v>
      </c>
      <c r="N90" s="2" t="s">
        <v>19</v>
      </c>
      <c r="O90" s="2" t="s">
        <v>19</v>
      </c>
      <c r="P90" s="2" t="s">
        <v>19</v>
      </c>
      <c r="Q90" s="2" t="s">
        <v>19</v>
      </c>
    </row>
    <row r="91" customFormat="false" ht="15" hidden="false" customHeight="false" outlineLevel="0" collapsed="false">
      <c r="A91" s="2" t="s">
        <v>2338</v>
      </c>
      <c r="B91" s="2" t="s">
        <v>45</v>
      </c>
      <c r="C91" s="14" t="s">
        <v>2722</v>
      </c>
      <c r="D91" s="40" t="n">
        <v>89400</v>
      </c>
      <c r="E91" s="2" t="s">
        <v>667</v>
      </c>
      <c r="F91" s="41" t="n">
        <v>0.400671140939597</v>
      </c>
      <c r="G91" s="31" t="n">
        <v>29.3</v>
      </c>
      <c r="H91" s="42" t="n">
        <v>-0.037364057284376</v>
      </c>
      <c r="I91" s="31" t="n">
        <v>4.8</v>
      </c>
      <c r="J91" s="2" t="s">
        <v>2704</v>
      </c>
      <c r="K91" s="33"/>
      <c r="L91" s="31"/>
      <c r="M91" s="34" t="s">
        <v>668</v>
      </c>
      <c r="N91" s="2" t="s">
        <v>21</v>
      </c>
      <c r="O91" s="2" t="s">
        <v>21</v>
      </c>
      <c r="P91" s="2" t="s">
        <v>21</v>
      </c>
      <c r="Q91" s="2"/>
    </row>
    <row r="92" customFormat="false" ht="15" hidden="false" customHeight="false" outlineLevel="0" collapsed="false">
      <c r="A92" s="2" t="s">
        <v>2338</v>
      </c>
      <c r="B92" s="2" t="s">
        <v>46</v>
      </c>
      <c r="C92" s="15" t="s">
        <v>2723</v>
      </c>
      <c r="D92" s="44" t="n">
        <v>26638</v>
      </c>
      <c r="E92" s="2" t="s">
        <v>667</v>
      </c>
      <c r="F92" s="45" t="n">
        <v>1.39522486673174</v>
      </c>
      <c r="G92" s="31" t="n">
        <v>12.5</v>
      </c>
      <c r="H92" s="46" t="n">
        <v>0.143065568142808</v>
      </c>
      <c r="I92" s="31" t="n">
        <v>76.3</v>
      </c>
      <c r="J92" s="2" t="s">
        <v>2700</v>
      </c>
      <c r="K92" s="33"/>
      <c r="L92" s="31"/>
      <c r="M92" s="34" t="s">
        <v>668</v>
      </c>
      <c r="N92" s="2" t="s">
        <v>17</v>
      </c>
      <c r="O92" s="2" t="s">
        <v>17</v>
      </c>
      <c r="P92" s="2" t="s">
        <v>17</v>
      </c>
      <c r="Q92" s="2"/>
    </row>
    <row r="93" customFormat="false" ht="15" hidden="false" customHeight="false" outlineLevel="0" collapsed="false">
      <c r="A93" s="2" t="s">
        <v>2338</v>
      </c>
      <c r="B93" s="2" t="s">
        <v>47</v>
      </c>
      <c r="C93" s="13" t="s">
        <v>2339</v>
      </c>
      <c r="D93" s="35" t="n">
        <v>6046</v>
      </c>
      <c r="E93" s="2" t="s">
        <v>678</v>
      </c>
      <c r="F93" s="36" t="n">
        <v>1.17118756202448</v>
      </c>
      <c r="G93" s="31" t="n">
        <v>47.5</v>
      </c>
      <c r="H93" s="37" t="n">
        <v>0.0365163723641351</v>
      </c>
      <c r="I93" s="31" t="n">
        <v>21.3</v>
      </c>
      <c r="J93" s="2" t="s">
        <v>2706</v>
      </c>
      <c r="K93" s="38" t="n">
        <v>0.425714285714286</v>
      </c>
      <c r="L93" s="31" t="n">
        <v>99.4</v>
      </c>
      <c r="M93" s="39" t="s">
        <v>671</v>
      </c>
      <c r="N93" s="2" t="s">
        <v>19</v>
      </c>
      <c r="O93" s="2" t="s">
        <v>19</v>
      </c>
      <c r="P93" s="2" t="s">
        <v>19</v>
      </c>
      <c r="Q93" s="2" t="s">
        <v>19</v>
      </c>
    </row>
    <row r="94" customFormat="false" ht="15" hidden="false" customHeight="false" outlineLevel="0" collapsed="false">
      <c r="A94" s="2" t="s">
        <v>2167</v>
      </c>
      <c r="B94" s="2" t="s">
        <v>45</v>
      </c>
      <c r="C94" s="15" t="s">
        <v>2724</v>
      </c>
      <c r="D94" s="44" t="n">
        <v>103092</v>
      </c>
      <c r="E94" s="2" t="s">
        <v>670</v>
      </c>
      <c r="F94" s="30"/>
      <c r="G94" s="31"/>
      <c r="H94" s="46" t="n">
        <v>0.0185245561516346</v>
      </c>
      <c r="I94" s="31" t="n">
        <v>19.6</v>
      </c>
      <c r="J94" s="2" t="s">
        <v>2698</v>
      </c>
      <c r="K94" s="33"/>
      <c r="L94" s="31"/>
      <c r="M94" s="34" t="s">
        <v>668</v>
      </c>
      <c r="N94" s="2" t="s">
        <v>17</v>
      </c>
      <c r="O94" s="2"/>
      <c r="P94" s="2" t="s">
        <v>17</v>
      </c>
      <c r="Q94" s="2"/>
    </row>
    <row r="95" customFormat="false" ht="15" hidden="false" customHeight="false" outlineLevel="0" collapsed="false">
      <c r="A95" s="2" t="s">
        <v>2167</v>
      </c>
      <c r="B95" s="2" t="s">
        <v>46</v>
      </c>
      <c r="C95" s="16"/>
      <c r="D95" s="29"/>
      <c r="E95" s="2"/>
      <c r="F95" s="30"/>
      <c r="G95" s="31"/>
      <c r="H95" s="32"/>
      <c r="I95" s="31"/>
      <c r="J95" s="2"/>
      <c r="K95" s="33"/>
      <c r="L95" s="31"/>
      <c r="M95" s="34" t="s">
        <v>668</v>
      </c>
      <c r="N95" s="2"/>
      <c r="O95" s="2"/>
      <c r="P95" s="2"/>
      <c r="Q95" s="2"/>
    </row>
    <row r="96" customFormat="false" ht="15" hidden="false" customHeight="false" outlineLevel="0" collapsed="false">
      <c r="A96" s="2" t="s">
        <v>2167</v>
      </c>
      <c r="B96" s="2" t="s">
        <v>47</v>
      </c>
      <c r="C96" s="13" t="s">
        <v>2168</v>
      </c>
      <c r="D96" s="35" t="n">
        <v>82072</v>
      </c>
      <c r="E96" s="2" t="s">
        <v>667</v>
      </c>
      <c r="F96" s="36" t="n">
        <v>1.85288527146895</v>
      </c>
      <c r="G96" s="31" t="n">
        <v>69.6</v>
      </c>
      <c r="H96" s="37" t="n">
        <v>0.106718088405836</v>
      </c>
      <c r="I96" s="31" t="n">
        <v>56.7</v>
      </c>
      <c r="J96" s="2" t="s">
        <v>2697</v>
      </c>
      <c r="K96" s="38" t="n">
        <v>0.215823560301068</v>
      </c>
      <c r="L96" s="31" t="n">
        <v>85.7</v>
      </c>
      <c r="M96" s="39" t="s">
        <v>671</v>
      </c>
      <c r="N96" s="2" t="s">
        <v>19</v>
      </c>
      <c r="O96" s="2" t="s">
        <v>19</v>
      </c>
      <c r="P96" s="2" t="s">
        <v>19</v>
      </c>
      <c r="Q96" s="2" t="s">
        <v>19</v>
      </c>
    </row>
    <row r="97" customFormat="false" ht="15" hidden="false" customHeight="false" outlineLevel="0" collapsed="false">
      <c r="A97" s="2" t="s">
        <v>1117</v>
      </c>
      <c r="B97" s="2" t="s">
        <v>45</v>
      </c>
      <c r="C97" s="13" t="s">
        <v>1118</v>
      </c>
      <c r="D97" s="35" t="n">
        <v>33163</v>
      </c>
      <c r="E97" s="2" t="s">
        <v>667</v>
      </c>
      <c r="F97" s="36" t="n">
        <v>0.490486385429545</v>
      </c>
      <c r="G97" s="31" t="n">
        <v>39.7</v>
      </c>
      <c r="H97" s="37" t="n">
        <v>0.243596955038062</v>
      </c>
      <c r="I97" s="31" t="n">
        <v>97.2</v>
      </c>
      <c r="J97" s="2" t="s">
        <v>2704</v>
      </c>
      <c r="K97" s="38" t="n">
        <v>0.103861517976032</v>
      </c>
      <c r="L97" s="31" t="n">
        <v>37</v>
      </c>
      <c r="M97" s="39" t="s">
        <v>671</v>
      </c>
      <c r="N97" s="2" t="s">
        <v>19</v>
      </c>
      <c r="O97" s="2" t="s">
        <v>19</v>
      </c>
      <c r="P97" s="2" t="s">
        <v>19</v>
      </c>
      <c r="Q97" s="2" t="s">
        <v>19</v>
      </c>
    </row>
    <row r="98" customFormat="false" ht="15" hidden="false" customHeight="false" outlineLevel="0" collapsed="false">
      <c r="A98" s="2" t="s">
        <v>1117</v>
      </c>
      <c r="B98" s="2" t="s">
        <v>46</v>
      </c>
      <c r="C98" s="14" t="s">
        <v>1938</v>
      </c>
      <c r="D98" s="40" t="n">
        <v>12490</v>
      </c>
      <c r="E98" s="2" t="s">
        <v>667</v>
      </c>
      <c r="F98" s="41" t="n">
        <v>0.977181745396317</v>
      </c>
      <c r="G98" s="31" t="n">
        <v>5.1</v>
      </c>
      <c r="H98" s="42" t="n">
        <v>0.135454545454546</v>
      </c>
      <c r="I98" s="31" t="n">
        <v>72.2</v>
      </c>
      <c r="J98" s="2" t="s">
        <v>2700</v>
      </c>
      <c r="K98" s="43" t="n">
        <v>0.200595829195631</v>
      </c>
      <c r="L98" s="31" t="n">
        <v>71.8</v>
      </c>
      <c r="M98" s="39" t="s">
        <v>671</v>
      </c>
      <c r="N98" s="2" t="s">
        <v>21</v>
      </c>
      <c r="O98" s="2" t="s">
        <v>21</v>
      </c>
      <c r="P98" s="2" t="s">
        <v>21</v>
      </c>
      <c r="Q98" s="2" t="s">
        <v>21</v>
      </c>
    </row>
    <row r="99" customFormat="false" ht="15" hidden="false" customHeight="false" outlineLevel="0" collapsed="false">
      <c r="A99" s="2" t="s">
        <v>1117</v>
      </c>
      <c r="B99" s="2" t="s">
        <v>47</v>
      </c>
      <c r="C99" s="16"/>
      <c r="D99" s="29"/>
      <c r="E99" s="2"/>
      <c r="F99" s="30"/>
      <c r="G99" s="31"/>
      <c r="H99" s="32"/>
      <c r="I99" s="31"/>
      <c r="J99" s="2"/>
      <c r="K99" s="33"/>
      <c r="L99" s="31"/>
      <c r="M99" s="34" t="s">
        <v>668</v>
      </c>
      <c r="N99" s="2"/>
      <c r="O99" s="2"/>
      <c r="P99" s="2"/>
      <c r="Q99" s="2"/>
    </row>
    <row r="100" customFormat="false" ht="15" hidden="false" customHeight="false" outlineLevel="0" collapsed="false">
      <c r="A100" s="2" t="s">
        <v>142</v>
      </c>
      <c r="B100" s="2" t="s">
        <v>47</v>
      </c>
      <c r="C100" s="13" t="s">
        <v>2088</v>
      </c>
      <c r="D100" s="35" t="n">
        <v>274515</v>
      </c>
      <c r="E100" s="2" t="s">
        <v>670</v>
      </c>
      <c r="F100" s="36" t="n">
        <v>2.44376810010382</v>
      </c>
      <c r="G100" s="31" t="n">
        <v>81.7</v>
      </c>
      <c r="H100" s="37" t="n">
        <v>0.077344813917985</v>
      </c>
      <c r="I100" s="31" t="n">
        <v>48.2</v>
      </c>
      <c r="J100" s="2" t="s">
        <v>2701</v>
      </c>
      <c r="K100" s="38" t="n">
        <v>0.0209516633824041</v>
      </c>
      <c r="L100" s="31" t="n">
        <v>13</v>
      </c>
      <c r="M100" s="39" t="s">
        <v>671</v>
      </c>
      <c r="N100" s="2" t="s">
        <v>19</v>
      </c>
      <c r="O100" s="2" t="s">
        <v>19</v>
      </c>
      <c r="P100" s="2" t="s">
        <v>19</v>
      </c>
      <c r="Q100" s="2" t="s">
        <v>19</v>
      </c>
    </row>
    <row r="101" customFormat="false" ht="15" hidden="false" customHeight="false" outlineLevel="0" collapsed="false">
      <c r="A101" s="2" t="s">
        <v>2552</v>
      </c>
      <c r="B101" s="2" t="s">
        <v>46</v>
      </c>
      <c r="C101" s="14" t="s">
        <v>2725</v>
      </c>
      <c r="D101" s="40" t="n">
        <v>431660</v>
      </c>
      <c r="E101" s="2" t="s">
        <v>670</v>
      </c>
      <c r="F101" s="41" t="n">
        <v>7.29886948060974</v>
      </c>
      <c r="G101" s="31" t="n">
        <v>88.8</v>
      </c>
      <c r="H101" s="42" t="n">
        <v>0.156676223907393</v>
      </c>
      <c r="I101" s="31" t="n">
        <v>86.1</v>
      </c>
      <c r="J101" s="2" t="s">
        <v>2705</v>
      </c>
      <c r="K101" s="33"/>
      <c r="L101" s="31"/>
      <c r="M101" s="34" t="s">
        <v>668</v>
      </c>
      <c r="N101" s="2" t="s">
        <v>21</v>
      </c>
      <c r="O101" s="2" t="s">
        <v>21</v>
      </c>
      <c r="P101" s="2" t="s">
        <v>21</v>
      </c>
      <c r="Q101" s="2"/>
    </row>
    <row r="102" customFormat="false" ht="15" hidden="false" customHeight="false" outlineLevel="0" collapsed="false">
      <c r="A102" s="2" t="s">
        <v>2552</v>
      </c>
      <c r="B102" s="2" t="s">
        <v>47</v>
      </c>
      <c r="C102" s="13" t="s">
        <v>2553</v>
      </c>
      <c r="D102" s="35" t="n">
        <v>22386</v>
      </c>
      <c r="E102" s="2" t="s">
        <v>667</v>
      </c>
      <c r="F102" s="36" t="n">
        <v>0.662512284463504</v>
      </c>
      <c r="G102" s="31" t="n">
        <v>19</v>
      </c>
      <c r="H102" s="37" t="n">
        <v>0.0793115086061424</v>
      </c>
      <c r="I102" s="31" t="n">
        <v>44</v>
      </c>
      <c r="J102" s="2" t="s">
        <v>2697</v>
      </c>
      <c r="K102" s="38" t="n">
        <v>0.0151724137931035</v>
      </c>
      <c r="L102" s="31" t="n">
        <v>9.7</v>
      </c>
      <c r="M102" s="39" t="s">
        <v>671</v>
      </c>
      <c r="N102" s="2" t="s">
        <v>19</v>
      </c>
      <c r="O102" s="2" t="s">
        <v>19</v>
      </c>
      <c r="P102" s="2" t="s">
        <v>19</v>
      </c>
      <c r="Q102" s="2" t="s">
        <v>19</v>
      </c>
    </row>
    <row r="103" customFormat="false" ht="15" hidden="false" customHeight="false" outlineLevel="0" collapsed="false">
      <c r="A103" s="2" t="s">
        <v>2726</v>
      </c>
      <c r="B103" s="2" t="s">
        <v>47</v>
      </c>
      <c r="C103" s="15" t="s">
        <v>2727</v>
      </c>
      <c r="D103" s="44" t="n">
        <v>33294</v>
      </c>
      <c r="E103" s="2" t="s">
        <v>667</v>
      </c>
      <c r="F103" s="30"/>
      <c r="G103" s="31"/>
      <c r="H103" s="46" t="n">
        <v>0.0291172106824926</v>
      </c>
      <c r="I103" s="31" t="n">
        <v>20.9</v>
      </c>
      <c r="J103" s="2" t="s">
        <v>2697</v>
      </c>
      <c r="K103" s="33"/>
      <c r="L103" s="31"/>
      <c r="M103" s="34" t="s">
        <v>668</v>
      </c>
      <c r="N103" s="2" t="s">
        <v>17</v>
      </c>
      <c r="O103" s="2"/>
      <c r="P103" s="2" t="s">
        <v>17</v>
      </c>
      <c r="Q103" s="2"/>
    </row>
    <row r="104" customFormat="false" ht="15" hidden="false" customHeight="false" outlineLevel="0" collapsed="false">
      <c r="A104" s="2" t="s">
        <v>2728</v>
      </c>
      <c r="B104" s="2" t="s">
        <v>45</v>
      </c>
      <c r="C104" s="14" t="s">
        <v>2729</v>
      </c>
      <c r="D104" s="40" t="n">
        <v>678500</v>
      </c>
      <c r="E104" s="2" t="s">
        <v>670</v>
      </c>
      <c r="F104" s="41" t="n">
        <v>1.03591304347826</v>
      </c>
      <c r="G104" s="31" t="n">
        <v>76.7</v>
      </c>
      <c r="H104" s="42" t="n">
        <v>0.159511928361474</v>
      </c>
      <c r="I104" s="31" t="n">
        <v>84.1</v>
      </c>
      <c r="J104" s="2" t="s">
        <v>2698</v>
      </c>
      <c r="K104" s="33"/>
      <c r="L104" s="31"/>
      <c r="M104" s="34" t="s">
        <v>668</v>
      </c>
      <c r="N104" s="2" t="s">
        <v>21</v>
      </c>
      <c r="O104" s="2" t="s">
        <v>21</v>
      </c>
      <c r="P104" s="2" t="s">
        <v>21</v>
      </c>
      <c r="Q104" s="2"/>
    </row>
    <row r="105" customFormat="false" ht="15" hidden="false" customHeight="false" outlineLevel="0" collapsed="false">
      <c r="A105" s="2" t="s">
        <v>2728</v>
      </c>
      <c r="B105" s="2" t="s">
        <v>46</v>
      </c>
      <c r="C105" s="16"/>
      <c r="D105" s="29"/>
      <c r="E105" s="2"/>
      <c r="F105" s="30"/>
      <c r="G105" s="31"/>
      <c r="H105" s="32"/>
      <c r="I105" s="31"/>
      <c r="J105" s="2"/>
      <c r="K105" s="33"/>
      <c r="L105" s="31"/>
      <c r="M105" s="34" t="s">
        <v>668</v>
      </c>
      <c r="N105" s="2"/>
      <c r="O105" s="2"/>
      <c r="P105" s="2"/>
      <c r="Q105" s="2"/>
    </row>
    <row r="106" customFormat="false" ht="15" hidden="false" customHeight="false" outlineLevel="0" collapsed="false">
      <c r="A106" s="2" t="s">
        <v>1604</v>
      </c>
      <c r="B106" s="2" t="s">
        <v>45</v>
      </c>
      <c r="C106" s="14" t="s">
        <v>2730</v>
      </c>
      <c r="D106" s="40" t="n">
        <v>43730</v>
      </c>
      <c r="E106" s="2" t="s">
        <v>667</v>
      </c>
      <c r="F106" s="41" t="n">
        <v>0.453487308483878</v>
      </c>
      <c r="G106" s="31" t="n">
        <v>36.5</v>
      </c>
      <c r="H106" s="32"/>
      <c r="I106" s="31"/>
      <c r="J106" s="2"/>
      <c r="K106" s="43" t="n">
        <v>0.188461538461539</v>
      </c>
      <c r="L106" s="31" t="n">
        <v>66.9</v>
      </c>
      <c r="M106" s="34" t="s">
        <v>668</v>
      </c>
      <c r="N106" s="2" t="s">
        <v>21</v>
      </c>
      <c r="O106" s="2" t="s">
        <v>21</v>
      </c>
      <c r="P106" s="2"/>
      <c r="Q106" s="2" t="s">
        <v>21</v>
      </c>
    </row>
    <row r="107" customFormat="false" ht="15" hidden="false" customHeight="false" outlineLevel="0" collapsed="false">
      <c r="A107" s="2" t="s">
        <v>1604</v>
      </c>
      <c r="B107" s="2" t="s">
        <v>46</v>
      </c>
      <c r="C107" s="13" t="s">
        <v>1605</v>
      </c>
      <c r="D107" s="35" t="n">
        <v>50354</v>
      </c>
      <c r="E107" s="2" t="s">
        <v>667</v>
      </c>
      <c r="F107" s="36" t="n">
        <v>4.09709258450173</v>
      </c>
      <c r="G107" s="31" t="n">
        <v>63.6</v>
      </c>
      <c r="H107" s="37" t="n">
        <v>0.155544336331926</v>
      </c>
      <c r="I107" s="31" t="n">
        <v>81.7</v>
      </c>
      <c r="J107" s="2" t="s">
        <v>2700</v>
      </c>
      <c r="K107" s="38" t="n">
        <v>0.224455973483211</v>
      </c>
      <c r="L107" s="31" t="n">
        <v>76.7</v>
      </c>
      <c r="M107" s="39" t="s">
        <v>671</v>
      </c>
      <c r="N107" s="2" t="s">
        <v>19</v>
      </c>
      <c r="O107" s="2" t="s">
        <v>19</v>
      </c>
      <c r="P107" s="2" t="s">
        <v>19</v>
      </c>
      <c r="Q107" s="2" t="s">
        <v>19</v>
      </c>
    </row>
    <row r="108" customFormat="false" ht="15" hidden="false" customHeight="false" outlineLevel="0" collapsed="false">
      <c r="A108" s="2" t="s">
        <v>1604</v>
      </c>
      <c r="B108" s="2" t="s">
        <v>47</v>
      </c>
      <c r="C108" s="13" t="s">
        <v>1971</v>
      </c>
      <c r="D108" s="35" t="n">
        <v>107778</v>
      </c>
      <c r="E108" s="2" t="s">
        <v>670</v>
      </c>
      <c r="F108" s="36" t="n">
        <v>7.39811464306259</v>
      </c>
      <c r="G108" s="31" t="n">
        <v>98.9</v>
      </c>
      <c r="H108" s="37" t="n">
        <v>-0.0657570819319718</v>
      </c>
      <c r="I108" s="31" t="n">
        <v>3.6</v>
      </c>
      <c r="J108" s="2" t="s">
        <v>2701</v>
      </c>
      <c r="K108" s="38" t="n">
        <v>0.0610103265420039</v>
      </c>
      <c r="L108" s="31" t="n">
        <v>36.4</v>
      </c>
      <c r="M108" s="39" t="s">
        <v>671</v>
      </c>
      <c r="N108" s="2" t="s">
        <v>19</v>
      </c>
      <c r="O108" s="2" t="s">
        <v>19</v>
      </c>
      <c r="P108" s="2" t="s">
        <v>19</v>
      </c>
      <c r="Q108" s="2" t="s">
        <v>19</v>
      </c>
    </row>
    <row r="109" customFormat="false" ht="15" hidden="false" customHeight="false" outlineLevel="0" collapsed="false">
      <c r="A109" s="2" t="s">
        <v>1575</v>
      </c>
      <c r="B109" s="2" t="s">
        <v>45</v>
      </c>
      <c r="C109" s="13" t="s">
        <v>2731</v>
      </c>
      <c r="D109" s="35" t="n">
        <v>17746</v>
      </c>
      <c r="E109" s="2" t="s">
        <v>667</v>
      </c>
      <c r="F109" s="36" t="n">
        <v>1.16792516623464</v>
      </c>
      <c r="G109" s="31" t="n">
        <v>81.4</v>
      </c>
      <c r="H109" s="37" t="n">
        <v>0.0392972181551977</v>
      </c>
      <c r="I109" s="31" t="n">
        <v>23.4</v>
      </c>
      <c r="J109" s="2" t="s">
        <v>2704</v>
      </c>
      <c r="K109" s="33"/>
      <c r="L109" s="31"/>
      <c r="M109" s="34" t="s">
        <v>668</v>
      </c>
      <c r="N109" s="2" t="s">
        <v>19</v>
      </c>
      <c r="O109" s="2" t="s">
        <v>19</v>
      </c>
      <c r="P109" s="2" t="s">
        <v>19</v>
      </c>
      <c r="Q109" s="2"/>
    </row>
    <row r="110" customFormat="false" ht="15" hidden="false" customHeight="false" outlineLevel="0" collapsed="false">
      <c r="A110" s="2" t="s">
        <v>1575</v>
      </c>
      <c r="B110" s="2" t="s">
        <v>46</v>
      </c>
      <c r="C110" s="14" t="s">
        <v>1576</v>
      </c>
      <c r="D110" s="40" t="n">
        <v>5060</v>
      </c>
      <c r="E110" s="2" t="s">
        <v>678</v>
      </c>
      <c r="F110" s="41" t="n">
        <v>4.44920948616601</v>
      </c>
      <c r="G110" s="31" t="n">
        <v>68.3</v>
      </c>
      <c r="H110" s="42" t="n">
        <v>0.147392290249433</v>
      </c>
      <c r="I110" s="31" t="n">
        <v>66.7</v>
      </c>
      <c r="J110" s="2" t="s">
        <v>2720</v>
      </c>
      <c r="K110" s="43" t="n">
        <v>0.0377643504531722</v>
      </c>
      <c r="L110" s="31" t="n">
        <v>9.1</v>
      </c>
      <c r="M110" s="39" t="s">
        <v>671</v>
      </c>
      <c r="N110" s="2" t="s">
        <v>21</v>
      </c>
      <c r="O110" s="2" t="s">
        <v>21</v>
      </c>
      <c r="P110" s="2" t="s">
        <v>21</v>
      </c>
      <c r="Q110" s="2" t="s">
        <v>21</v>
      </c>
    </row>
    <row r="111" customFormat="false" ht="15" hidden="false" customHeight="false" outlineLevel="0" collapsed="false">
      <c r="A111" s="2" t="s">
        <v>1575</v>
      </c>
      <c r="B111" s="2" t="s">
        <v>47</v>
      </c>
      <c r="C111" s="13" t="s">
        <v>2147</v>
      </c>
      <c r="D111" s="35" t="n">
        <v>57001</v>
      </c>
      <c r="E111" s="2" t="s">
        <v>667</v>
      </c>
      <c r="F111" s="36" t="n">
        <v>1.95961474360099</v>
      </c>
      <c r="G111" s="31" t="n">
        <v>72.6</v>
      </c>
      <c r="H111" s="37" t="n">
        <v>0.0757138273981392</v>
      </c>
      <c r="I111" s="31" t="n">
        <v>42.2</v>
      </c>
      <c r="J111" s="2" t="s">
        <v>2697</v>
      </c>
      <c r="K111" s="38" t="n">
        <v>0.0759519867549669</v>
      </c>
      <c r="L111" s="31" t="n">
        <v>42.1</v>
      </c>
      <c r="M111" s="39" t="s">
        <v>671</v>
      </c>
      <c r="N111" s="2" t="s">
        <v>19</v>
      </c>
      <c r="O111" s="2" t="s">
        <v>19</v>
      </c>
      <c r="P111" s="2" t="s">
        <v>19</v>
      </c>
      <c r="Q111" s="2" t="s">
        <v>19</v>
      </c>
    </row>
    <row r="112" customFormat="false" ht="15" hidden="false" customHeight="false" outlineLevel="0" collapsed="false">
      <c r="A112" s="2" t="s">
        <v>1423</v>
      </c>
      <c r="B112" s="2" t="s">
        <v>45</v>
      </c>
      <c r="C112" s="15" t="s">
        <v>2732</v>
      </c>
      <c r="D112" s="44" t="n">
        <v>195273</v>
      </c>
      <c r="E112" s="2" t="s">
        <v>670</v>
      </c>
      <c r="F112" s="45" t="n">
        <v>1.91137535655211</v>
      </c>
      <c r="G112" s="31" t="n">
        <v>92.1</v>
      </c>
      <c r="H112" s="46" t="n">
        <v>0.132595178989862</v>
      </c>
      <c r="I112" s="31" t="n">
        <v>70.3</v>
      </c>
      <c r="J112" s="2" t="s">
        <v>2698</v>
      </c>
      <c r="K112" s="33"/>
      <c r="L112" s="31"/>
      <c r="M112" s="34" t="s">
        <v>668</v>
      </c>
      <c r="N112" s="2" t="s">
        <v>17</v>
      </c>
      <c r="O112" s="2" t="s">
        <v>17</v>
      </c>
      <c r="P112" s="2" t="s">
        <v>17</v>
      </c>
      <c r="Q112" s="2"/>
    </row>
    <row r="113" customFormat="false" ht="15" hidden="false" customHeight="false" outlineLevel="0" collapsed="false">
      <c r="A113" s="2" t="s">
        <v>1423</v>
      </c>
      <c r="B113" s="2" t="s">
        <v>46</v>
      </c>
      <c r="C113" s="13" t="s">
        <v>1424</v>
      </c>
      <c r="D113" s="35" t="n">
        <v>101980</v>
      </c>
      <c r="E113" s="2" t="s">
        <v>670</v>
      </c>
      <c r="F113" s="36" t="n">
        <v>8.37825063737988</v>
      </c>
      <c r="G113" s="31" t="n">
        <v>92</v>
      </c>
      <c r="H113" s="37" t="n">
        <v>-0.0106137338223024</v>
      </c>
      <c r="I113" s="31" t="n">
        <v>7.3</v>
      </c>
      <c r="J113" s="2" t="s">
        <v>2705</v>
      </c>
      <c r="K113" s="38" t="n">
        <v>0.252121593103139</v>
      </c>
      <c r="L113" s="31" t="n">
        <v>83.9</v>
      </c>
      <c r="M113" s="39" t="s">
        <v>671</v>
      </c>
      <c r="N113" s="2" t="s">
        <v>19</v>
      </c>
      <c r="O113" s="2" t="s">
        <v>19</v>
      </c>
      <c r="P113" s="2" t="s">
        <v>19</v>
      </c>
      <c r="Q113" s="2" t="s">
        <v>19</v>
      </c>
    </row>
    <row r="114" customFormat="false" ht="15" hidden="false" customHeight="false" outlineLevel="0" collapsed="false">
      <c r="A114" s="2" t="s">
        <v>1423</v>
      </c>
      <c r="B114" s="2" t="s">
        <v>47</v>
      </c>
      <c r="C114" s="13" t="s">
        <v>2733</v>
      </c>
      <c r="D114" s="35" t="n">
        <v>6275</v>
      </c>
      <c r="E114" s="2" t="s">
        <v>678</v>
      </c>
      <c r="F114" s="36" t="n">
        <v>0.843187250996016</v>
      </c>
      <c r="G114" s="31" t="n">
        <v>28.9</v>
      </c>
      <c r="H114" s="37" t="n">
        <v>0.0958784491791827</v>
      </c>
      <c r="I114" s="31" t="n">
        <v>45.3</v>
      </c>
      <c r="J114" s="2" t="s">
        <v>2706</v>
      </c>
      <c r="K114" s="33"/>
      <c r="L114" s="31"/>
      <c r="M114" s="34" t="s">
        <v>668</v>
      </c>
      <c r="N114" s="2" t="s">
        <v>19</v>
      </c>
      <c r="O114" s="2" t="s">
        <v>19</v>
      </c>
      <c r="P114" s="2" t="s">
        <v>19</v>
      </c>
      <c r="Q114" s="2"/>
    </row>
    <row r="115" customFormat="false" ht="15" hidden="false" customHeight="false" outlineLevel="0" collapsed="false">
      <c r="A115" s="2" t="s">
        <v>71</v>
      </c>
      <c r="B115" s="2" t="s">
        <v>47</v>
      </c>
      <c r="C115" s="13" t="s">
        <v>1965</v>
      </c>
      <c r="D115" s="35" t="n">
        <v>6568</v>
      </c>
      <c r="E115" s="2" t="s">
        <v>678</v>
      </c>
      <c r="F115" s="36" t="n">
        <v>8.50106577344702</v>
      </c>
      <c r="G115" s="31" t="n">
        <v>99.8</v>
      </c>
      <c r="H115" s="37" t="n">
        <v>0.140673845085099</v>
      </c>
      <c r="I115" s="31" t="n">
        <v>70.7</v>
      </c>
      <c r="J115" s="2" t="s">
        <v>2706</v>
      </c>
      <c r="K115" s="38" t="n">
        <v>0.0966824644549763</v>
      </c>
      <c r="L115" s="31" t="n">
        <v>53</v>
      </c>
      <c r="M115" s="39" t="s">
        <v>671</v>
      </c>
      <c r="N115" s="2" t="s">
        <v>19</v>
      </c>
      <c r="O115" s="2" t="s">
        <v>19</v>
      </c>
      <c r="P115" s="2" t="s">
        <v>19</v>
      </c>
      <c r="Q115" s="2" t="s">
        <v>19</v>
      </c>
    </row>
    <row r="116" customFormat="false" ht="15" hidden="false" customHeight="false" outlineLevel="0" collapsed="false">
      <c r="A116" s="2" t="s">
        <v>1708</v>
      </c>
      <c r="B116" s="2" t="s">
        <v>45</v>
      </c>
      <c r="C116" s="14" t="s">
        <v>2734</v>
      </c>
      <c r="D116" s="40" t="n">
        <v>17440</v>
      </c>
      <c r="E116" s="2" t="s">
        <v>667</v>
      </c>
      <c r="F116" s="41" t="n">
        <v>4.70206422018349</v>
      </c>
      <c r="G116" s="31" t="n">
        <v>99.6</v>
      </c>
      <c r="H116" s="42" t="n">
        <v>0.0679730557256583</v>
      </c>
      <c r="I116" s="31" t="n">
        <v>35.7</v>
      </c>
      <c r="J116" s="2" t="s">
        <v>2704</v>
      </c>
      <c r="K116" s="33"/>
      <c r="L116" s="31"/>
      <c r="M116" s="34" t="s">
        <v>668</v>
      </c>
      <c r="N116" s="2" t="s">
        <v>21</v>
      </c>
      <c r="O116" s="2" t="s">
        <v>21</v>
      </c>
      <c r="P116" s="2" t="s">
        <v>21</v>
      </c>
      <c r="Q116" s="2"/>
    </row>
    <row r="117" customFormat="false" ht="15" hidden="false" customHeight="false" outlineLevel="0" collapsed="false">
      <c r="A117" s="2" t="s">
        <v>1708</v>
      </c>
      <c r="B117" s="2" t="s">
        <v>46</v>
      </c>
      <c r="C117" s="13" t="s">
        <v>1709</v>
      </c>
      <c r="D117" s="35" t="n">
        <v>219056</v>
      </c>
      <c r="E117" s="2" t="s">
        <v>670</v>
      </c>
      <c r="F117" s="41" t="n">
        <v>2.81364280166309</v>
      </c>
      <c r="G117" s="31" t="n">
        <v>44.4</v>
      </c>
      <c r="H117" s="37" t="n">
        <v>-0.0229481581259673</v>
      </c>
      <c r="I117" s="31" t="n">
        <v>6</v>
      </c>
      <c r="J117" s="2" t="s">
        <v>2705</v>
      </c>
      <c r="K117" s="38" t="n">
        <v>0.0850504164839983</v>
      </c>
      <c r="L117" s="31" t="n">
        <v>26.4</v>
      </c>
      <c r="M117" s="39" t="s">
        <v>671</v>
      </c>
      <c r="N117" s="2" t="s">
        <v>19</v>
      </c>
      <c r="O117" s="2" t="s">
        <v>21</v>
      </c>
      <c r="P117" s="2" t="s">
        <v>19</v>
      </c>
      <c r="Q117" s="2" t="s">
        <v>19</v>
      </c>
    </row>
    <row r="118" customFormat="false" ht="15" hidden="false" customHeight="false" outlineLevel="0" collapsed="false">
      <c r="A118" s="2" t="s">
        <v>1708</v>
      </c>
      <c r="B118" s="2" t="s">
        <v>47</v>
      </c>
      <c r="C118" s="13" t="s">
        <v>2735</v>
      </c>
      <c r="D118" s="35" t="n">
        <v>93275</v>
      </c>
      <c r="E118" s="2" t="s">
        <v>667</v>
      </c>
      <c r="F118" s="36" t="n">
        <v>0.634682390779952</v>
      </c>
      <c r="G118" s="31" t="n">
        <v>18.3</v>
      </c>
      <c r="H118" s="37" t="n">
        <v>0.0734342992611688</v>
      </c>
      <c r="I118" s="31" t="n">
        <v>40.4</v>
      </c>
      <c r="J118" s="2" t="s">
        <v>2697</v>
      </c>
      <c r="K118" s="33"/>
      <c r="L118" s="31"/>
      <c r="M118" s="34" t="s">
        <v>668</v>
      </c>
      <c r="N118" s="2" t="s">
        <v>19</v>
      </c>
      <c r="O118" s="2" t="s">
        <v>19</v>
      </c>
      <c r="P118" s="2" t="s">
        <v>19</v>
      </c>
      <c r="Q118" s="2"/>
    </row>
    <row r="119" customFormat="false" ht="15" hidden="false" customHeight="false" outlineLevel="0" collapsed="false">
      <c r="A119" s="2" t="s">
        <v>542</v>
      </c>
      <c r="B119" s="2" t="s">
        <v>47</v>
      </c>
      <c r="C119" s="13" t="s">
        <v>2458</v>
      </c>
      <c r="D119" s="35" t="n">
        <v>16492</v>
      </c>
      <c r="E119" s="2" t="s">
        <v>667</v>
      </c>
      <c r="F119" s="36" t="n">
        <v>0.890795537230172</v>
      </c>
      <c r="G119" s="31" t="n">
        <v>31.4</v>
      </c>
      <c r="H119" s="37" t="n">
        <v>0.11840499118405</v>
      </c>
      <c r="I119" s="31" t="n">
        <v>64.5</v>
      </c>
      <c r="J119" s="2" t="s">
        <v>2697</v>
      </c>
      <c r="K119" s="38" t="n">
        <v>0.196043165467626</v>
      </c>
      <c r="L119" s="31" t="n">
        <v>81.7</v>
      </c>
      <c r="M119" s="39" t="s">
        <v>671</v>
      </c>
      <c r="N119" s="2" t="s">
        <v>19</v>
      </c>
      <c r="O119" s="2" t="s">
        <v>19</v>
      </c>
      <c r="P119" s="2" t="s">
        <v>19</v>
      </c>
      <c r="Q119" s="2" t="s">
        <v>19</v>
      </c>
    </row>
    <row r="120" customFormat="false" ht="15" hidden="false" customHeight="false" outlineLevel="0" collapsed="false">
      <c r="A120" s="2" t="s">
        <v>2736</v>
      </c>
      <c r="B120" s="2" t="s">
        <v>45</v>
      </c>
      <c r="C120" s="15" t="s">
        <v>2737</v>
      </c>
      <c r="D120" s="29"/>
      <c r="E120" s="2"/>
      <c r="F120" s="30"/>
      <c r="G120" s="31"/>
      <c r="H120" s="32"/>
      <c r="I120" s="31"/>
      <c r="J120" s="2"/>
      <c r="K120" s="33"/>
      <c r="L120" s="31"/>
      <c r="M120" s="34" t="s">
        <v>668</v>
      </c>
      <c r="N120" s="2"/>
      <c r="O120" s="2"/>
      <c r="P120" s="2"/>
      <c r="Q120" s="2"/>
    </row>
    <row r="121" customFormat="false" ht="15" hidden="false" customHeight="false" outlineLevel="0" collapsed="false">
      <c r="A121" s="2" t="s">
        <v>1237</v>
      </c>
      <c r="B121" s="2" t="s">
        <v>45</v>
      </c>
      <c r="C121" s="13" t="s">
        <v>1238</v>
      </c>
      <c r="D121" s="35" t="n">
        <v>41055</v>
      </c>
      <c r="E121" s="2" t="s">
        <v>667</v>
      </c>
      <c r="F121" s="36" t="n">
        <v>0.34029959810011</v>
      </c>
      <c r="G121" s="31" t="n">
        <v>23.3</v>
      </c>
      <c r="H121" s="37" t="n">
        <v>0.0706462212486309</v>
      </c>
      <c r="I121" s="31" t="n">
        <v>39.7</v>
      </c>
      <c r="J121" s="2" t="s">
        <v>2704</v>
      </c>
      <c r="K121" s="38" t="n">
        <v>0.125628140703518</v>
      </c>
      <c r="L121" s="31" t="n">
        <v>46.5</v>
      </c>
      <c r="M121" s="39" t="s">
        <v>671</v>
      </c>
      <c r="N121" s="2" t="s">
        <v>19</v>
      </c>
      <c r="O121" s="2" t="s">
        <v>19</v>
      </c>
      <c r="P121" s="2" t="s">
        <v>19</v>
      </c>
      <c r="Q121" s="2" t="s">
        <v>19</v>
      </c>
    </row>
    <row r="122" customFormat="false" ht="15" hidden="false" customHeight="false" outlineLevel="0" collapsed="false">
      <c r="A122" s="2" t="s">
        <v>1237</v>
      </c>
      <c r="B122" s="2" t="s">
        <v>46</v>
      </c>
      <c r="C122" s="16"/>
      <c r="D122" s="29"/>
      <c r="E122" s="2"/>
      <c r="F122" s="30"/>
      <c r="G122" s="31"/>
      <c r="H122" s="32"/>
      <c r="I122" s="31"/>
      <c r="J122" s="2"/>
      <c r="K122" s="33"/>
      <c r="L122" s="31"/>
      <c r="M122" s="34" t="s">
        <v>668</v>
      </c>
      <c r="N122" s="2"/>
      <c r="O122" s="2"/>
      <c r="P122" s="2"/>
      <c r="Q122" s="2"/>
    </row>
    <row r="123" customFormat="false" ht="15" hidden="false" customHeight="false" outlineLevel="0" collapsed="false">
      <c r="A123" s="2" t="s">
        <v>1237</v>
      </c>
      <c r="B123" s="2" t="s">
        <v>47</v>
      </c>
      <c r="C123" s="13" t="s">
        <v>2111</v>
      </c>
      <c r="D123" s="35" t="n">
        <v>28778</v>
      </c>
      <c r="E123" s="2" t="s">
        <v>667</v>
      </c>
      <c r="F123" s="36" t="n">
        <v>2.19368962401835</v>
      </c>
      <c r="G123" s="31" t="n">
        <v>78.3</v>
      </c>
      <c r="H123" s="37" t="n">
        <v>0.0176815899285664</v>
      </c>
      <c r="I123" s="31" t="n">
        <v>15.2</v>
      </c>
      <c r="J123" s="2" t="s">
        <v>2697</v>
      </c>
      <c r="K123" s="38" t="n">
        <v>0.127426424546024</v>
      </c>
      <c r="L123" s="31" t="n">
        <v>64.8</v>
      </c>
      <c r="M123" s="39" t="s">
        <v>671</v>
      </c>
      <c r="N123" s="2" t="s">
        <v>19</v>
      </c>
      <c r="O123" s="2" t="s">
        <v>19</v>
      </c>
      <c r="P123" s="2" t="s">
        <v>19</v>
      </c>
      <c r="Q123" s="2" t="s">
        <v>19</v>
      </c>
    </row>
    <row r="124" customFormat="false" ht="15" hidden="false" customHeight="false" outlineLevel="0" collapsed="false">
      <c r="A124" s="2" t="s">
        <v>528</v>
      </c>
      <c r="B124" s="2" t="s">
        <v>46</v>
      </c>
      <c r="C124" s="13" t="s">
        <v>1806</v>
      </c>
      <c r="D124" s="35" t="n">
        <v>430242</v>
      </c>
      <c r="E124" s="2" t="s">
        <v>670</v>
      </c>
      <c r="F124" s="36" t="n">
        <v>2.0920946815978</v>
      </c>
      <c r="G124" s="31" t="n">
        <v>28.1</v>
      </c>
      <c r="H124" s="37" t="n">
        <v>-0.0262933960983117</v>
      </c>
      <c r="I124" s="31" t="n">
        <v>5.3</v>
      </c>
      <c r="J124" s="2" t="s">
        <v>2705</v>
      </c>
      <c r="K124" s="38" t="n">
        <v>0.0757685127566895</v>
      </c>
      <c r="L124" s="31" t="n">
        <v>23.1</v>
      </c>
      <c r="M124" s="39" t="s">
        <v>671</v>
      </c>
      <c r="N124" s="2" t="s">
        <v>19</v>
      </c>
      <c r="O124" s="2" t="s">
        <v>19</v>
      </c>
      <c r="P124" s="2" t="s">
        <v>19</v>
      </c>
      <c r="Q124" s="2" t="s">
        <v>19</v>
      </c>
    </row>
    <row r="125" customFormat="false" ht="15" hidden="false" customHeight="false" outlineLevel="0" collapsed="false">
      <c r="A125" s="2" t="s">
        <v>528</v>
      </c>
      <c r="B125" s="2" t="s">
        <v>47</v>
      </c>
      <c r="C125" s="13" t="s">
        <v>2413</v>
      </c>
      <c r="D125" s="35" t="n">
        <v>3711684</v>
      </c>
      <c r="E125" s="2" t="s">
        <v>752</v>
      </c>
      <c r="F125" s="36" t="n">
        <v>0.990743824097095</v>
      </c>
      <c r="G125" s="31" t="n">
        <v>36.5</v>
      </c>
      <c r="H125" s="37" t="n">
        <v>0.196105494400673</v>
      </c>
      <c r="I125" s="31" t="n">
        <v>100</v>
      </c>
      <c r="J125" s="2" t="s">
        <v>2738</v>
      </c>
      <c r="K125" s="38" t="n">
        <v>0.326247370142089</v>
      </c>
      <c r="L125" s="31" t="n">
        <v>97.3</v>
      </c>
      <c r="M125" s="39" t="s">
        <v>671</v>
      </c>
      <c r="N125" s="2" t="s">
        <v>19</v>
      </c>
      <c r="O125" s="2" t="s">
        <v>19</v>
      </c>
      <c r="P125" s="2" t="s">
        <v>19</v>
      </c>
      <c r="Q125" s="2" t="s">
        <v>19</v>
      </c>
    </row>
    <row r="126" customFormat="false" ht="15" hidden="false" customHeight="false" outlineLevel="0" collapsed="false">
      <c r="A126" s="2" t="s">
        <v>602</v>
      </c>
      <c r="B126" s="2" t="s">
        <v>47</v>
      </c>
      <c r="C126" s="13" t="s">
        <v>2549</v>
      </c>
      <c r="D126" s="35" t="n">
        <v>37493</v>
      </c>
      <c r="E126" s="2" t="s">
        <v>667</v>
      </c>
      <c r="F126" s="36" t="n">
        <v>0.665030805750407</v>
      </c>
      <c r="G126" s="31" t="n">
        <v>19.4</v>
      </c>
      <c r="H126" s="37" t="n">
        <v>0.125645490572835</v>
      </c>
      <c r="I126" s="31" t="n">
        <v>68.4</v>
      </c>
      <c r="J126" s="2" t="s">
        <v>2697</v>
      </c>
      <c r="K126" s="38" t="n">
        <v>0.221003134796238</v>
      </c>
      <c r="L126" s="31" t="n">
        <v>87</v>
      </c>
      <c r="M126" s="39" t="s">
        <v>671</v>
      </c>
      <c r="N126" s="2" t="s">
        <v>19</v>
      </c>
      <c r="O126" s="2" t="s">
        <v>19</v>
      </c>
      <c r="P126" s="2" t="s">
        <v>19</v>
      </c>
      <c r="Q126" s="2" t="s">
        <v>19</v>
      </c>
    </row>
    <row r="127" customFormat="false" ht="15" hidden="false" customHeight="false" outlineLevel="0" collapsed="false">
      <c r="A127" s="2" t="s">
        <v>210</v>
      </c>
      <c r="B127" s="2" t="s">
        <v>45</v>
      </c>
      <c r="C127" s="13" t="s">
        <v>950</v>
      </c>
      <c r="D127" s="35" t="n">
        <v>123740</v>
      </c>
      <c r="E127" s="2" t="s">
        <v>670</v>
      </c>
      <c r="F127" s="36" t="n">
        <v>0.757677388071763</v>
      </c>
      <c r="G127" s="31" t="n">
        <v>62.2</v>
      </c>
      <c r="H127" s="37" t="n">
        <v>0.0648606318253401</v>
      </c>
      <c r="I127" s="31" t="n">
        <v>44.2</v>
      </c>
      <c r="J127" s="2" t="s">
        <v>2698</v>
      </c>
      <c r="K127" s="38" t="n">
        <v>0.261742272179848</v>
      </c>
      <c r="L127" s="31" t="n">
        <v>84.3</v>
      </c>
      <c r="M127" s="39" t="s">
        <v>671</v>
      </c>
      <c r="N127" s="2" t="s">
        <v>19</v>
      </c>
      <c r="O127" s="2" t="s">
        <v>19</v>
      </c>
      <c r="P127" s="2" t="s">
        <v>19</v>
      </c>
      <c r="Q127" s="2" t="s">
        <v>19</v>
      </c>
    </row>
    <row r="128" customFormat="false" ht="15" hidden="false" customHeight="false" outlineLevel="0" collapsed="false">
      <c r="A128" s="2" t="s">
        <v>210</v>
      </c>
      <c r="B128" s="2" t="s">
        <v>47</v>
      </c>
      <c r="C128" s="13" t="s">
        <v>2116</v>
      </c>
      <c r="D128" s="35" t="n">
        <v>8941</v>
      </c>
      <c r="E128" s="2" t="s">
        <v>678</v>
      </c>
      <c r="F128" s="36" t="n">
        <v>2.16519404988256</v>
      </c>
      <c r="G128" s="31" t="n">
        <v>77.4</v>
      </c>
      <c r="H128" s="37" t="n">
        <v>0.194203285695205</v>
      </c>
      <c r="I128" s="31" t="n">
        <v>90.7</v>
      </c>
      <c r="J128" s="2" t="s">
        <v>2706</v>
      </c>
      <c r="K128" s="38" t="n">
        <v>0.0756843800322061</v>
      </c>
      <c r="L128" s="31" t="n">
        <v>41.9</v>
      </c>
      <c r="M128" s="39" t="s">
        <v>671</v>
      </c>
      <c r="N128" s="2" t="s">
        <v>19</v>
      </c>
      <c r="O128" s="2" t="s">
        <v>19</v>
      </c>
      <c r="P128" s="2" t="s">
        <v>19</v>
      </c>
      <c r="Q128" s="2" t="s">
        <v>19</v>
      </c>
    </row>
    <row r="129" customFormat="false" ht="15" hidden="false" customHeight="false" outlineLevel="0" collapsed="false">
      <c r="A129" s="2" t="s">
        <v>2466</v>
      </c>
      <c r="B129" s="2" t="s">
        <v>45</v>
      </c>
      <c r="C129" s="13" t="s">
        <v>2739</v>
      </c>
      <c r="D129" s="35" t="n">
        <v>94247</v>
      </c>
      <c r="E129" s="2" t="s">
        <v>667</v>
      </c>
      <c r="F129" s="30"/>
      <c r="G129" s="31"/>
      <c r="H129" s="37" t="n">
        <v>0.12485379418996</v>
      </c>
      <c r="I129" s="31" t="n">
        <v>63.9</v>
      </c>
      <c r="J129" s="2" t="s">
        <v>2704</v>
      </c>
      <c r="K129" s="43" t="n">
        <v>0.167386609071274</v>
      </c>
      <c r="L129" s="31" t="n">
        <v>60.2</v>
      </c>
      <c r="M129" s="34" t="s">
        <v>668</v>
      </c>
      <c r="N129" s="2" t="s">
        <v>19</v>
      </c>
      <c r="O129" s="2"/>
      <c r="P129" s="2" t="s">
        <v>19</v>
      </c>
      <c r="Q129" s="2" t="s">
        <v>21</v>
      </c>
    </row>
    <row r="130" customFormat="false" ht="15" hidden="false" customHeight="false" outlineLevel="0" collapsed="false">
      <c r="A130" s="2" t="s">
        <v>2466</v>
      </c>
      <c r="B130" s="2" t="s">
        <v>46</v>
      </c>
      <c r="C130" s="14" t="s">
        <v>2740</v>
      </c>
      <c r="D130" s="40" t="n">
        <v>1261220</v>
      </c>
      <c r="E130" s="2" t="s">
        <v>752</v>
      </c>
      <c r="F130" s="41" t="n">
        <v>0.800562154104756</v>
      </c>
      <c r="G130" s="31" t="n">
        <v>3.8</v>
      </c>
      <c r="H130" s="32"/>
      <c r="I130" s="31"/>
      <c r="J130" s="2"/>
      <c r="K130" s="43" t="n">
        <v>0.0460175174490215</v>
      </c>
      <c r="L130" s="31" t="n">
        <v>11.4</v>
      </c>
      <c r="M130" s="34" t="s">
        <v>668</v>
      </c>
      <c r="N130" s="2" t="s">
        <v>21</v>
      </c>
      <c r="O130" s="2" t="s">
        <v>21</v>
      </c>
      <c r="P130" s="2"/>
      <c r="Q130" s="2" t="s">
        <v>21</v>
      </c>
    </row>
    <row r="131" customFormat="false" ht="15" hidden="false" customHeight="false" outlineLevel="0" collapsed="false">
      <c r="A131" s="2" t="s">
        <v>2466</v>
      </c>
      <c r="B131" s="2" t="s">
        <v>47</v>
      </c>
      <c r="C131" s="13" t="s">
        <v>2467</v>
      </c>
      <c r="D131" s="35" t="n">
        <v>56393</v>
      </c>
      <c r="E131" s="2" t="s">
        <v>667</v>
      </c>
      <c r="F131" s="36" t="n">
        <v>0.862465199581508</v>
      </c>
      <c r="G131" s="31" t="n">
        <v>30</v>
      </c>
      <c r="H131" s="37" t="n">
        <v>0.123724693129284</v>
      </c>
      <c r="I131" s="31" t="n">
        <v>67.4</v>
      </c>
      <c r="J131" s="2" t="s">
        <v>2697</v>
      </c>
      <c r="K131" s="38" t="n">
        <v>0.143796992481203</v>
      </c>
      <c r="L131" s="31" t="n">
        <v>69.5</v>
      </c>
      <c r="M131" s="39" t="s">
        <v>671</v>
      </c>
      <c r="N131" s="2" t="s">
        <v>19</v>
      </c>
      <c r="O131" s="2" t="s">
        <v>19</v>
      </c>
      <c r="P131" s="2" t="s">
        <v>19</v>
      </c>
      <c r="Q131" s="2" t="s">
        <v>19</v>
      </c>
    </row>
    <row r="132" customFormat="false" ht="15" hidden="false" customHeight="false" outlineLevel="0" collapsed="false">
      <c r="A132" s="2" t="s">
        <v>2343</v>
      </c>
      <c r="B132" s="2" t="s">
        <v>45</v>
      </c>
      <c r="C132" s="16"/>
      <c r="D132" s="29"/>
      <c r="E132" s="2"/>
      <c r="F132" s="30"/>
      <c r="G132" s="31"/>
      <c r="H132" s="32"/>
      <c r="I132" s="31"/>
      <c r="J132" s="2"/>
      <c r="K132" s="33"/>
      <c r="L132" s="31"/>
      <c r="M132" s="34" t="s">
        <v>668</v>
      </c>
      <c r="N132" s="2"/>
      <c r="O132" s="2"/>
      <c r="P132" s="2"/>
      <c r="Q132" s="2"/>
    </row>
    <row r="133" customFormat="false" ht="15" hidden="false" customHeight="false" outlineLevel="0" collapsed="false">
      <c r="A133" s="2" t="s">
        <v>2343</v>
      </c>
      <c r="B133" s="2" t="s">
        <v>46</v>
      </c>
      <c r="C133" s="16"/>
      <c r="D133" s="29"/>
      <c r="E133" s="2"/>
      <c r="F133" s="30"/>
      <c r="G133" s="31"/>
      <c r="H133" s="32"/>
      <c r="I133" s="31"/>
      <c r="J133" s="2"/>
      <c r="K133" s="33"/>
      <c r="L133" s="31"/>
      <c r="M133" s="34" t="s">
        <v>668</v>
      </c>
      <c r="N133" s="2"/>
      <c r="O133" s="2"/>
      <c r="P133" s="2"/>
      <c r="Q133" s="2"/>
    </row>
    <row r="134" customFormat="false" ht="15" hidden="false" customHeight="false" outlineLevel="0" collapsed="false">
      <c r="A134" s="2" t="s">
        <v>2343</v>
      </c>
      <c r="B134" s="2" t="s">
        <v>47</v>
      </c>
      <c r="C134" s="13" t="s">
        <v>2344</v>
      </c>
      <c r="D134" s="35" t="n">
        <v>51037</v>
      </c>
      <c r="E134" s="2" t="s">
        <v>667</v>
      </c>
      <c r="F134" s="36" t="n">
        <v>1.16337167153242</v>
      </c>
      <c r="G134" s="31" t="n">
        <v>47</v>
      </c>
      <c r="H134" s="37" t="n">
        <v>0.0467410476229542</v>
      </c>
      <c r="I134" s="31" t="n">
        <v>29.1</v>
      </c>
      <c r="J134" s="2" t="s">
        <v>2697</v>
      </c>
      <c r="K134" s="38" t="n">
        <v>0.0219889064976228</v>
      </c>
      <c r="L134" s="31" t="n">
        <v>13.5</v>
      </c>
      <c r="M134" s="39" t="s">
        <v>671</v>
      </c>
      <c r="N134" s="2" t="s">
        <v>19</v>
      </c>
      <c r="O134" s="2" t="s">
        <v>19</v>
      </c>
      <c r="P134" s="2" t="s">
        <v>19</v>
      </c>
      <c r="Q134" s="2" t="s">
        <v>19</v>
      </c>
    </row>
    <row r="135" customFormat="false" ht="15" hidden="false" customHeight="false" outlineLevel="0" collapsed="false">
      <c r="A135" s="2" t="s">
        <v>2109</v>
      </c>
      <c r="B135" s="2" t="s">
        <v>45</v>
      </c>
      <c r="C135" s="16"/>
      <c r="D135" s="29"/>
      <c r="E135" s="2"/>
      <c r="F135" s="30"/>
      <c r="G135" s="31"/>
      <c r="H135" s="32"/>
      <c r="I135" s="31"/>
      <c r="J135" s="2"/>
      <c r="K135" s="33"/>
      <c r="L135" s="31"/>
      <c r="M135" s="34" t="s">
        <v>668</v>
      </c>
      <c r="N135" s="2"/>
      <c r="O135" s="2"/>
      <c r="P135" s="2"/>
      <c r="Q135" s="2"/>
    </row>
    <row r="136" customFormat="false" ht="15" hidden="false" customHeight="false" outlineLevel="0" collapsed="false">
      <c r="A136" s="2" t="s">
        <v>2109</v>
      </c>
      <c r="B136" s="2" t="s">
        <v>46</v>
      </c>
      <c r="C136" s="15" t="s">
        <v>2741</v>
      </c>
      <c r="D136" s="29"/>
      <c r="E136" s="2"/>
      <c r="F136" s="30"/>
      <c r="G136" s="31"/>
      <c r="H136" s="32"/>
      <c r="I136" s="31"/>
      <c r="J136" s="2"/>
      <c r="K136" s="33"/>
      <c r="L136" s="31"/>
      <c r="M136" s="34" t="s">
        <v>668</v>
      </c>
      <c r="N136" s="2"/>
      <c r="O136" s="2"/>
      <c r="P136" s="2"/>
      <c r="Q136" s="2"/>
    </row>
    <row r="137" customFormat="false" ht="15" hidden="false" customHeight="false" outlineLevel="0" collapsed="false">
      <c r="A137" s="2" t="s">
        <v>2109</v>
      </c>
      <c r="B137" s="2" t="s">
        <v>47</v>
      </c>
      <c r="C137" s="13" t="s">
        <v>2110</v>
      </c>
      <c r="D137" s="40" t="n">
        <v>32070</v>
      </c>
      <c r="E137" s="2" t="s">
        <v>667</v>
      </c>
      <c r="F137" s="41" t="n">
        <v>2.20801371998753</v>
      </c>
      <c r="G137" s="31" t="n">
        <v>78.5</v>
      </c>
      <c r="H137" s="42" t="n">
        <v>0.15943600867679</v>
      </c>
      <c r="I137" s="31" t="n">
        <v>80.5</v>
      </c>
      <c r="J137" s="2" t="s">
        <v>2697</v>
      </c>
      <c r="K137" s="43" t="n">
        <v>0.0563328424153166</v>
      </c>
      <c r="L137" s="31" t="n">
        <v>34.9</v>
      </c>
      <c r="M137" s="39" t="s">
        <v>671</v>
      </c>
      <c r="N137" s="2" t="s">
        <v>21</v>
      </c>
      <c r="O137" s="2" t="s">
        <v>21</v>
      </c>
      <c r="P137" s="2" t="s">
        <v>21</v>
      </c>
      <c r="Q137" s="2" t="s">
        <v>21</v>
      </c>
    </row>
    <row r="138" customFormat="false" ht="15" hidden="false" customHeight="false" outlineLevel="0" collapsed="false">
      <c r="A138" s="2" t="s">
        <v>888</v>
      </c>
      <c r="B138" s="2" t="s">
        <v>45</v>
      </c>
      <c r="C138" s="14" t="s">
        <v>889</v>
      </c>
      <c r="D138" s="40" t="n">
        <v>122270</v>
      </c>
      <c r="E138" s="2" t="s">
        <v>670</v>
      </c>
      <c r="F138" s="41" t="n">
        <v>0.901701153185573</v>
      </c>
      <c r="G138" s="31" t="n">
        <v>70.9</v>
      </c>
      <c r="H138" s="42" t="n">
        <v>0.014604597128869</v>
      </c>
      <c r="I138" s="31" t="n">
        <v>17.4</v>
      </c>
      <c r="J138" s="2" t="s">
        <v>2698</v>
      </c>
      <c r="K138" s="43" t="n">
        <v>0.279530247166462</v>
      </c>
      <c r="L138" s="31" t="n">
        <v>87.3</v>
      </c>
      <c r="M138" s="39" t="s">
        <v>671</v>
      </c>
      <c r="N138" s="2" t="s">
        <v>21</v>
      </c>
      <c r="O138" s="2" t="s">
        <v>21</v>
      </c>
      <c r="P138" s="2" t="s">
        <v>21</v>
      </c>
      <c r="Q138" s="2" t="s">
        <v>21</v>
      </c>
    </row>
    <row r="139" customFormat="false" ht="15" hidden="false" customHeight="false" outlineLevel="0" collapsed="false">
      <c r="A139" s="2" t="s">
        <v>888</v>
      </c>
      <c r="B139" s="2" t="s">
        <v>46</v>
      </c>
      <c r="C139" s="14" t="s">
        <v>2742</v>
      </c>
      <c r="D139" s="40" t="n">
        <v>306440</v>
      </c>
      <c r="E139" s="2" t="s">
        <v>670</v>
      </c>
      <c r="F139" s="41" t="n">
        <v>1.33471152591046</v>
      </c>
      <c r="G139" s="31" t="n">
        <v>11.2</v>
      </c>
      <c r="H139" s="42" t="n">
        <v>0.0434486515935712</v>
      </c>
      <c r="I139" s="31" t="n">
        <v>29.1</v>
      </c>
      <c r="J139" s="2" t="s">
        <v>2705</v>
      </c>
      <c r="K139" s="33"/>
      <c r="L139" s="31"/>
      <c r="M139" s="34" t="s">
        <v>668</v>
      </c>
      <c r="N139" s="2" t="s">
        <v>21</v>
      </c>
      <c r="O139" s="2" t="s">
        <v>21</v>
      </c>
      <c r="P139" s="2" t="s">
        <v>21</v>
      </c>
      <c r="Q139" s="2"/>
    </row>
    <row r="140" customFormat="false" ht="15" hidden="false" customHeight="false" outlineLevel="0" collapsed="false">
      <c r="A140" s="2" t="s">
        <v>888</v>
      </c>
      <c r="B140" s="2" t="s">
        <v>47</v>
      </c>
      <c r="C140" s="13" t="s">
        <v>2054</v>
      </c>
      <c r="D140" s="35" t="n">
        <v>110768</v>
      </c>
      <c r="E140" s="2" t="s">
        <v>670</v>
      </c>
      <c r="F140" s="36" t="n">
        <v>2.82853351148346</v>
      </c>
      <c r="G140" s="31" t="n">
        <v>87.5</v>
      </c>
      <c r="H140" s="37" t="n">
        <v>0.067983069313613</v>
      </c>
      <c r="I140" s="31" t="n">
        <v>44</v>
      </c>
      <c r="J140" s="2" t="s">
        <v>2701</v>
      </c>
      <c r="K140" s="38" t="n">
        <v>0.0525417530171888</v>
      </c>
      <c r="L140" s="31" t="n">
        <v>33.3</v>
      </c>
      <c r="M140" s="39" t="s">
        <v>671</v>
      </c>
      <c r="N140" s="2" t="s">
        <v>19</v>
      </c>
      <c r="O140" s="2" t="s">
        <v>19</v>
      </c>
      <c r="P140" s="2" t="s">
        <v>19</v>
      </c>
      <c r="Q140" s="2" t="s">
        <v>19</v>
      </c>
    </row>
    <row r="141" customFormat="false" ht="15" hidden="false" customHeight="false" outlineLevel="0" collapsed="false">
      <c r="A141" s="2" t="s">
        <v>1045</v>
      </c>
      <c r="B141" s="2" t="s">
        <v>45</v>
      </c>
      <c r="C141" s="13" t="s">
        <v>1046</v>
      </c>
      <c r="D141" s="35" t="n">
        <v>148843</v>
      </c>
      <c r="E141" s="2" t="s">
        <v>670</v>
      </c>
      <c r="F141" s="36" t="n">
        <v>0.600202898355986</v>
      </c>
      <c r="G141" s="31" t="n">
        <v>49.6</v>
      </c>
      <c r="H141" s="37" t="n">
        <v>-0.00903462050599201</v>
      </c>
      <c r="I141" s="31" t="n">
        <v>10.9</v>
      </c>
      <c r="J141" s="2" t="s">
        <v>2698</v>
      </c>
      <c r="K141" s="38" t="n">
        <v>0.141259105098855</v>
      </c>
      <c r="L141" s="31" t="n">
        <v>52.5</v>
      </c>
      <c r="M141" s="39" t="s">
        <v>671</v>
      </c>
      <c r="N141" s="2" t="s">
        <v>19</v>
      </c>
      <c r="O141" s="2" t="s">
        <v>19</v>
      </c>
      <c r="P141" s="2" t="s">
        <v>19</v>
      </c>
      <c r="Q141" s="2" t="s">
        <v>19</v>
      </c>
    </row>
    <row r="142" customFormat="false" ht="15" hidden="false" customHeight="false" outlineLevel="0" collapsed="false">
      <c r="A142" s="2" t="s">
        <v>1045</v>
      </c>
      <c r="B142" s="2" t="s">
        <v>46</v>
      </c>
      <c r="C142" s="15" t="s">
        <v>2743</v>
      </c>
      <c r="D142" s="44" t="n">
        <v>2997</v>
      </c>
      <c r="E142" s="2" t="s">
        <v>678</v>
      </c>
      <c r="F142" s="45" t="n">
        <v>4.86052719386053</v>
      </c>
      <c r="G142" s="31" t="n">
        <v>71.7</v>
      </c>
      <c r="H142" s="46" t="n">
        <v>0.0738086707273379</v>
      </c>
      <c r="I142" s="31" t="n">
        <v>33.3</v>
      </c>
      <c r="J142" s="2" t="s">
        <v>2720</v>
      </c>
      <c r="K142" s="33"/>
      <c r="L142" s="31"/>
      <c r="M142" s="34" t="s">
        <v>668</v>
      </c>
      <c r="N142" s="2" t="s">
        <v>17</v>
      </c>
      <c r="O142" s="2" t="s">
        <v>17</v>
      </c>
      <c r="P142" s="2" t="s">
        <v>17</v>
      </c>
      <c r="Q142" s="2"/>
    </row>
    <row r="143" customFormat="false" ht="15" hidden="false" customHeight="false" outlineLevel="0" collapsed="false">
      <c r="A143" s="2" t="s">
        <v>1045</v>
      </c>
      <c r="B143" s="2" t="s">
        <v>47</v>
      </c>
      <c r="C143" s="16"/>
      <c r="D143" s="29"/>
      <c r="E143" s="2"/>
      <c r="F143" s="30"/>
      <c r="G143" s="31"/>
      <c r="H143" s="32"/>
      <c r="I143" s="31"/>
      <c r="J143" s="2"/>
      <c r="K143" s="33"/>
      <c r="L143" s="31"/>
      <c r="M143" s="34" t="s">
        <v>668</v>
      </c>
      <c r="N143" s="2"/>
      <c r="O143" s="2"/>
      <c r="P143" s="2"/>
      <c r="Q143" s="2"/>
    </row>
    <row r="144" customFormat="false" ht="15" hidden="false" customHeight="false" outlineLevel="0" collapsed="false">
      <c r="A144" s="2" t="s">
        <v>280</v>
      </c>
      <c r="B144" s="2" t="s">
        <v>46</v>
      </c>
      <c r="C144" s="14" t="s">
        <v>1617</v>
      </c>
      <c r="D144" s="40" t="n">
        <v>12190</v>
      </c>
      <c r="E144" s="2" t="s">
        <v>667</v>
      </c>
      <c r="F144" s="41" t="n">
        <v>3.8214109926169</v>
      </c>
      <c r="G144" s="31" t="n">
        <v>60.7</v>
      </c>
      <c r="H144" s="42" t="n">
        <v>0.0749559082892416</v>
      </c>
      <c r="I144" s="31" t="n">
        <v>42.7</v>
      </c>
      <c r="J144" s="2" t="s">
        <v>2700</v>
      </c>
      <c r="K144" s="43" t="n">
        <v>0.129360465116279</v>
      </c>
      <c r="L144" s="31" t="n">
        <v>48.7</v>
      </c>
      <c r="M144" s="39" t="s">
        <v>671</v>
      </c>
      <c r="N144" s="2" t="s">
        <v>21</v>
      </c>
      <c r="O144" s="2" t="s">
        <v>21</v>
      </c>
      <c r="P144" s="2" t="s">
        <v>21</v>
      </c>
      <c r="Q144" s="2" t="s">
        <v>21</v>
      </c>
    </row>
    <row r="145" customFormat="false" ht="15" hidden="false" customHeight="false" outlineLevel="0" collapsed="false">
      <c r="A145" s="2" t="s">
        <v>1091</v>
      </c>
      <c r="B145" s="2" t="s">
        <v>45</v>
      </c>
      <c r="C145" s="13" t="s">
        <v>1092</v>
      </c>
      <c r="D145" s="35" t="n">
        <v>234820</v>
      </c>
      <c r="E145" s="2" t="s">
        <v>670</v>
      </c>
      <c r="F145" s="36" t="n">
        <v>0.517319649092922</v>
      </c>
      <c r="G145" s="31" t="n">
        <v>42.9</v>
      </c>
      <c r="H145" s="37" t="n">
        <v>0.0643737138402125</v>
      </c>
      <c r="I145" s="31" t="n">
        <v>43.5</v>
      </c>
      <c r="J145" s="2" t="s">
        <v>2698</v>
      </c>
      <c r="K145" s="38" t="n">
        <v>0.0477785613540198</v>
      </c>
      <c r="L145" s="31" t="n">
        <v>12.2</v>
      </c>
      <c r="M145" s="39" t="s">
        <v>671</v>
      </c>
      <c r="N145" s="2" t="s">
        <v>19</v>
      </c>
      <c r="O145" s="2" t="s">
        <v>19</v>
      </c>
      <c r="P145" s="2" t="s">
        <v>19</v>
      </c>
      <c r="Q145" s="2" t="s">
        <v>19</v>
      </c>
    </row>
    <row r="146" customFormat="false" ht="15" hidden="false" customHeight="false" outlineLevel="0" collapsed="false">
      <c r="A146" s="2" t="s">
        <v>1091</v>
      </c>
      <c r="B146" s="2" t="s">
        <v>46</v>
      </c>
      <c r="C146" s="16"/>
      <c r="D146" s="29"/>
      <c r="E146" s="2"/>
      <c r="F146" s="30"/>
      <c r="G146" s="31"/>
      <c r="H146" s="32"/>
      <c r="I146" s="31"/>
      <c r="J146" s="2"/>
      <c r="K146" s="33"/>
      <c r="L146" s="31"/>
      <c r="M146" s="34" t="s">
        <v>668</v>
      </c>
      <c r="N146" s="2"/>
      <c r="O146" s="2"/>
      <c r="P146" s="2"/>
      <c r="Q146" s="2"/>
    </row>
    <row r="147" customFormat="false" ht="15" hidden="false" customHeight="false" outlineLevel="0" collapsed="false">
      <c r="A147" s="2" t="s">
        <v>1091</v>
      </c>
      <c r="B147" s="2" t="s">
        <v>47</v>
      </c>
      <c r="C147" s="16"/>
      <c r="D147" s="29"/>
      <c r="E147" s="2"/>
      <c r="F147" s="30"/>
      <c r="G147" s="31"/>
      <c r="H147" s="32"/>
      <c r="I147" s="31"/>
      <c r="J147" s="2"/>
      <c r="K147" s="33"/>
      <c r="L147" s="31"/>
      <c r="M147" s="34" t="s">
        <v>668</v>
      </c>
      <c r="N147" s="2"/>
      <c r="O147" s="2"/>
      <c r="P147" s="2"/>
      <c r="Q147" s="2"/>
    </row>
    <row r="148" customFormat="false" ht="15" hidden="false" customHeight="false" outlineLevel="0" collapsed="false">
      <c r="A148" s="2" t="s">
        <v>1341</v>
      </c>
      <c r="B148" s="2" t="s">
        <v>45</v>
      </c>
      <c r="C148" s="13" t="s">
        <v>1342</v>
      </c>
      <c r="D148" s="35" t="n">
        <v>75536</v>
      </c>
      <c r="E148" s="2" t="s">
        <v>667</v>
      </c>
      <c r="F148" s="36" t="n">
        <v>0.182403092565135</v>
      </c>
      <c r="G148" s="31" t="n">
        <v>6.2</v>
      </c>
      <c r="H148" s="37" t="n">
        <v>0.0843058725578858</v>
      </c>
      <c r="I148" s="31" t="n">
        <v>48</v>
      </c>
      <c r="J148" s="2" t="s">
        <v>2704</v>
      </c>
      <c r="K148" s="38" t="n">
        <v>0.132281553398058</v>
      </c>
      <c r="L148" s="31" t="n">
        <v>48.9</v>
      </c>
      <c r="M148" s="39" t="s">
        <v>671</v>
      </c>
      <c r="N148" s="2" t="s">
        <v>19</v>
      </c>
      <c r="O148" s="2" t="s">
        <v>19</v>
      </c>
      <c r="P148" s="2" t="s">
        <v>19</v>
      </c>
      <c r="Q148" s="2" t="s">
        <v>19</v>
      </c>
    </row>
    <row r="149" customFormat="false" ht="15" hidden="false" customHeight="false" outlineLevel="0" collapsed="false">
      <c r="A149" s="2" t="s">
        <v>1341</v>
      </c>
      <c r="B149" s="2" t="s">
        <v>46</v>
      </c>
      <c r="C149" s="14" t="s">
        <v>1675</v>
      </c>
      <c r="D149" s="35" t="n">
        <v>224804</v>
      </c>
      <c r="E149" s="2" t="s">
        <v>670</v>
      </c>
      <c r="F149" s="36" t="n">
        <v>3.18555274817174</v>
      </c>
      <c r="G149" s="31" t="n">
        <v>51</v>
      </c>
      <c r="H149" s="37" t="n">
        <v>0.0998346363467353</v>
      </c>
      <c r="I149" s="31" t="n">
        <v>64.2</v>
      </c>
      <c r="J149" s="2" t="s">
        <v>2705</v>
      </c>
      <c r="K149" s="38" t="n">
        <v>0.0625292740046839</v>
      </c>
      <c r="L149" s="31" t="n">
        <v>18.9</v>
      </c>
      <c r="M149" s="39" t="s">
        <v>671</v>
      </c>
      <c r="N149" s="2" t="s">
        <v>19</v>
      </c>
      <c r="O149" s="2" t="s">
        <v>19</v>
      </c>
      <c r="P149" s="2" t="s">
        <v>19</v>
      </c>
      <c r="Q149" s="2" t="s">
        <v>19</v>
      </c>
    </row>
    <row r="150" customFormat="false" ht="15" hidden="false" customHeight="false" outlineLevel="0" collapsed="false">
      <c r="A150" s="2" t="s">
        <v>1341</v>
      </c>
      <c r="B150" s="2" t="s">
        <v>47</v>
      </c>
      <c r="C150" s="16"/>
      <c r="D150" s="29"/>
      <c r="E150" s="2"/>
      <c r="F150" s="30"/>
      <c r="G150" s="31"/>
      <c r="H150" s="32"/>
      <c r="I150" s="31"/>
      <c r="J150" s="2"/>
      <c r="K150" s="33"/>
      <c r="L150" s="31"/>
      <c r="M150" s="34" t="s">
        <v>668</v>
      </c>
      <c r="N150" s="2"/>
      <c r="O150" s="2"/>
      <c r="P150" s="2"/>
      <c r="Q150" s="2"/>
    </row>
    <row r="151" customFormat="false" ht="15" hidden="false" customHeight="false" outlineLevel="0" collapsed="false">
      <c r="A151" s="2" t="s">
        <v>1451</v>
      </c>
      <c r="B151" s="2" t="s">
        <v>46</v>
      </c>
      <c r="C151" s="14" t="s">
        <v>1452</v>
      </c>
      <c r="D151" s="40" t="n">
        <v>79730</v>
      </c>
      <c r="E151" s="2" t="s">
        <v>667</v>
      </c>
      <c r="F151" s="41" t="n">
        <v>7.32714160290982</v>
      </c>
      <c r="G151" s="31" t="n">
        <v>89</v>
      </c>
      <c r="H151" s="42" t="n">
        <v>0.152667341332948</v>
      </c>
      <c r="I151" s="31" t="n">
        <v>80.5</v>
      </c>
      <c r="J151" s="2" t="s">
        <v>2700</v>
      </c>
      <c r="K151" s="43" t="n">
        <v>0.095867517471893</v>
      </c>
      <c r="L151" s="31" t="n">
        <v>30.8</v>
      </c>
      <c r="M151" s="39" t="s">
        <v>671</v>
      </c>
      <c r="N151" s="2" t="s">
        <v>21</v>
      </c>
      <c r="O151" s="2" t="s">
        <v>21</v>
      </c>
      <c r="P151" s="2" t="s">
        <v>21</v>
      </c>
      <c r="Q151" s="2" t="s">
        <v>21</v>
      </c>
    </row>
    <row r="152" customFormat="false" ht="15" hidden="false" customHeight="false" outlineLevel="0" collapsed="false">
      <c r="A152" s="2" t="s">
        <v>1451</v>
      </c>
      <c r="B152" s="2" t="s">
        <v>47</v>
      </c>
      <c r="C152" s="14" t="s">
        <v>2744</v>
      </c>
      <c r="D152" s="40" t="n">
        <v>23320</v>
      </c>
      <c r="E152" s="2" t="s">
        <v>667</v>
      </c>
      <c r="F152" s="41" t="n">
        <v>1.51007718696398</v>
      </c>
      <c r="G152" s="31" t="n">
        <v>58.9</v>
      </c>
      <c r="H152" s="32"/>
      <c r="I152" s="31"/>
      <c r="J152" s="2"/>
      <c r="K152" s="43" t="n">
        <v>0.0559094125973107</v>
      </c>
      <c r="L152" s="31" t="n">
        <v>34.5</v>
      </c>
      <c r="M152" s="34" t="s">
        <v>668</v>
      </c>
      <c r="N152" s="2" t="s">
        <v>21</v>
      </c>
      <c r="O152" s="2" t="s">
        <v>21</v>
      </c>
      <c r="P152" s="2"/>
      <c r="Q152" s="2" t="s">
        <v>21</v>
      </c>
    </row>
    <row r="153" customFormat="false" ht="15" hidden="false" customHeight="false" outlineLevel="0" collapsed="false">
      <c r="A153" s="2" t="s">
        <v>2745</v>
      </c>
      <c r="B153" s="2" t="s">
        <v>46</v>
      </c>
      <c r="C153" s="14" t="s">
        <v>2746</v>
      </c>
      <c r="D153" s="40" t="n">
        <v>5320</v>
      </c>
      <c r="E153" s="2" t="s">
        <v>678</v>
      </c>
      <c r="F153" s="41" t="n">
        <v>1.19868421052632</v>
      </c>
      <c r="G153" s="31" t="n">
        <v>9.1</v>
      </c>
      <c r="H153" s="42" t="n">
        <v>0.136752136752137</v>
      </c>
      <c r="I153" s="31" t="n">
        <v>56.2</v>
      </c>
      <c r="J153" s="2" t="s">
        <v>2720</v>
      </c>
      <c r="K153" s="33"/>
      <c r="L153" s="31"/>
      <c r="M153" s="34" t="s">
        <v>668</v>
      </c>
      <c r="N153" s="2" t="s">
        <v>21</v>
      </c>
      <c r="O153" s="2" t="s">
        <v>21</v>
      </c>
      <c r="P153" s="2" t="s">
        <v>21</v>
      </c>
      <c r="Q153" s="2"/>
    </row>
    <row r="154" customFormat="false" ht="15" hidden="false" customHeight="false" outlineLevel="0" collapsed="false">
      <c r="A154" s="2" t="s">
        <v>86</v>
      </c>
      <c r="B154" s="2" t="s">
        <v>45</v>
      </c>
      <c r="C154" s="14" t="s">
        <v>681</v>
      </c>
      <c r="D154" s="44" t="n">
        <v>89664</v>
      </c>
      <c r="E154" s="2" t="s">
        <v>667</v>
      </c>
      <c r="F154" s="45" t="n">
        <v>3.06909127408994</v>
      </c>
      <c r="G154" s="31" t="n">
        <v>98.5</v>
      </c>
      <c r="H154" s="46" t="n">
        <v>0.0850739405087494</v>
      </c>
      <c r="I154" s="31" t="n">
        <v>49.2</v>
      </c>
      <c r="J154" s="2" t="s">
        <v>2704</v>
      </c>
      <c r="K154" s="43" t="n">
        <v>0.0363281461801225</v>
      </c>
      <c r="L154" s="31" t="n">
        <v>8</v>
      </c>
      <c r="M154" s="39" t="s">
        <v>671</v>
      </c>
      <c r="N154" s="2" t="s">
        <v>17</v>
      </c>
      <c r="O154" s="2" t="s">
        <v>17</v>
      </c>
      <c r="P154" s="2" t="s">
        <v>17</v>
      </c>
      <c r="Q154" s="2" t="s">
        <v>21</v>
      </c>
    </row>
    <row r="155" customFormat="false" ht="15" hidden="false" customHeight="false" outlineLevel="0" collapsed="false">
      <c r="A155" s="2" t="s">
        <v>322</v>
      </c>
      <c r="B155" s="2" t="s">
        <v>45</v>
      </c>
      <c r="C155" s="13" t="s">
        <v>995</v>
      </c>
      <c r="D155" s="35" t="n">
        <v>4759</v>
      </c>
      <c r="E155" s="2" t="s">
        <v>678</v>
      </c>
      <c r="F155" s="36" t="n">
        <v>0.670519016600126</v>
      </c>
      <c r="G155" s="31" t="n">
        <v>56</v>
      </c>
      <c r="H155" s="37" t="n">
        <v>0.0480070469059679</v>
      </c>
      <c r="I155" s="31" t="n">
        <v>27.8</v>
      </c>
      <c r="J155" s="2" t="s">
        <v>2713</v>
      </c>
      <c r="K155" s="38" t="n">
        <v>0.225225225225225</v>
      </c>
      <c r="L155" s="31" t="n">
        <v>77.1</v>
      </c>
      <c r="M155" s="39" t="s">
        <v>671</v>
      </c>
      <c r="N155" s="2" t="s">
        <v>19</v>
      </c>
      <c r="O155" s="2" t="s">
        <v>19</v>
      </c>
      <c r="P155" s="2" t="s">
        <v>19</v>
      </c>
      <c r="Q155" s="2" t="s">
        <v>19</v>
      </c>
    </row>
    <row r="156" customFormat="false" ht="15" hidden="false" customHeight="false" outlineLevel="0" collapsed="false">
      <c r="A156" s="2" t="s">
        <v>1774</v>
      </c>
      <c r="B156" s="2" t="s">
        <v>45</v>
      </c>
      <c r="C156" s="16"/>
      <c r="D156" s="29"/>
      <c r="E156" s="2"/>
      <c r="F156" s="30"/>
      <c r="G156" s="31"/>
      <c r="H156" s="32"/>
      <c r="I156" s="31"/>
      <c r="J156" s="2"/>
      <c r="K156" s="33"/>
      <c r="L156" s="31"/>
      <c r="M156" s="34" t="s">
        <v>668</v>
      </c>
      <c r="N156" s="2"/>
      <c r="O156" s="2"/>
      <c r="P156" s="2"/>
      <c r="Q156" s="2"/>
    </row>
    <row r="157" customFormat="false" ht="15" hidden="false" customHeight="false" outlineLevel="0" collapsed="false">
      <c r="A157" s="2" t="s">
        <v>1774</v>
      </c>
      <c r="B157" s="2" t="s">
        <v>46</v>
      </c>
      <c r="C157" s="13" t="s">
        <v>1775</v>
      </c>
      <c r="D157" s="35" t="n">
        <v>44227</v>
      </c>
      <c r="E157" s="2" t="s">
        <v>667</v>
      </c>
      <c r="F157" s="36" t="n">
        <v>2.34198566486535</v>
      </c>
      <c r="G157" s="31" t="n">
        <v>33.8</v>
      </c>
      <c r="H157" s="37" t="n">
        <v>0.0991897802962521</v>
      </c>
      <c r="I157" s="31" t="n">
        <v>53.9</v>
      </c>
      <c r="J157" s="2" t="s">
        <v>2700</v>
      </c>
      <c r="K157" s="38" t="n">
        <v>0.442263279445728</v>
      </c>
      <c r="L157" s="31" t="n">
        <v>99</v>
      </c>
      <c r="M157" s="39" t="s">
        <v>671</v>
      </c>
      <c r="N157" s="2" t="s">
        <v>19</v>
      </c>
      <c r="O157" s="2" t="s">
        <v>19</v>
      </c>
      <c r="P157" s="2" t="s">
        <v>19</v>
      </c>
      <c r="Q157" s="2" t="s">
        <v>19</v>
      </c>
    </row>
    <row r="158" customFormat="false" ht="15" hidden="false" customHeight="false" outlineLevel="0" collapsed="false">
      <c r="A158" s="2" t="s">
        <v>1774</v>
      </c>
      <c r="B158" s="2" t="s">
        <v>47</v>
      </c>
      <c r="C158" s="13" t="s">
        <v>2253</v>
      </c>
      <c r="D158" s="35" t="n">
        <v>8924</v>
      </c>
      <c r="E158" s="2" t="s">
        <v>678</v>
      </c>
      <c r="F158" s="36" t="n">
        <v>1.47926938592559</v>
      </c>
      <c r="G158" s="31" t="n">
        <v>58.4</v>
      </c>
      <c r="H158" s="37" t="n">
        <v>0.0814348036839554</v>
      </c>
      <c r="I158" s="31" t="n">
        <v>44</v>
      </c>
      <c r="J158" s="2" t="s">
        <v>2706</v>
      </c>
      <c r="K158" s="38" t="n">
        <v>0.0234657039711191</v>
      </c>
      <c r="L158" s="31" t="n">
        <v>14.7</v>
      </c>
      <c r="M158" s="39" t="s">
        <v>671</v>
      </c>
      <c r="N158" s="2" t="s">
        <v>19</v>
      </c>
      <c r="O158" s="2" t="s">
        <v>19</v>
      </c>
      <c r="P158" s="2" t="s">
        <v>19</v>
      </c>
      <c r="Q158" s="2" t="s">
        <v>19</v>
      </c>
    </row>
    <row r="159" customFormat="false" ht="15" hidden="false" customHeight="false" outlineLevel="0" collapsed="false">
      <c r="A159" s="2" t="s">
        <v>412</v>
      </c>
      <c r="B159" s="2" t="s">
        <v>45</v>
      </c>
      <c r="C159" s="14" t="s">
        <v>1194</v>
      </c>
      <c r="D159" s="40" t="n">
        <v>67220</v>
      </c>
      <c r="E159" s="2" t="s">
        <v>667</v>
      </c>
      <c r="F159" s="41" t="n">
        <v>0.396637905385302</v>
      </c>
      <c r="G159" s="31" t="n">
        <v>29.1</v>
      </c>
      <c r="H159" s="42" t="n">
        <v>-0.0297344110854504</v>
      </c>
      <c r="I159" s="31" t="n">
        <v>6.3</v>
      </c>
      <c r="J159" s="2" t="s">
        <v>2704</v>
      </c>
      <c r="K159" s="43" t="n">
        <v>0.179591836734694</v>
      </c>
      <c r="L159" s="31" t="n">
        <v>64.1</v>
      </c>
      <c r="M159" s="39" t="s">
        <v>671</v>
      </c>
      <c r="N159" s="2" t="s">
        <v>21</v>
      </c>
      <c r="O159" s="2" t="s">
        <v>21</v>
      </c>
      <c r="P159" s="2" t="s">
        <v>21</v>
      </c>
      <c r="Q159" s="2" t="s">
        <v>21</v>
      </c>
    </row>
    <row r="160" customFormat="false" ht="15" hidden="false" customHeight="false" outlineLevel="0" collapsed="false">
      <c r="A160" s="2" t="s">
        <v>412</v>
      </c>
      <c r="B160" s="2" t="s">
        <v>47</v>
      </c>
      <c r="C160" s="15" t="s">
        <v>2218</v>
      </c>
      <c r="D160" s="44" t="n">
        <v>56162</v>
      </c>
      <c r="E160" s="2" t="s">
        <v>667</v>
      </c>
      <c r="F160" s="45" t="n">
        <v>1.61116057120473</v>
      </c>
      <c r="G160" s="31" t="n">
        <v>62.9</v>
      </c>
      <c r="H160" s="46" t="n">
        <v>0.169383888229538</v>
      </c>
      <c r="I160" s="31" t="n">
        <v>85.8</v>
      </c>
      <c r="J160" s="2" t="s">
        <v>2697</v>
      </c>
      <c r="K160" s="48" t="n">
        <v>0.0365671641791045</v>
      </c>
      <c r="L160" s="31" t="n">
        <v>24</v>
      </c>
      <c r="M160" s="39" t="s">
        <v>671</v>
      </c>
      <c r="N160" s="2" t="s">
        <v>17</v>
      </c>
      <c r="O160" s="2" t="s">
        <v>17</v>
      </c>
      <c r="P160" s="2" t="s">
        <v>17</v>
      </c>
      <c r="Q160" s="2" t="s">
        <v>17</v>
      </c>
    </row>
    <row r="161" customFormat="false" ht="15" hidden="false" customHeight="false" outlineLevel="0" collapsed="false">
      <c r="A161" s="2" t="s">
        <v>2747</v>
      </c>
      <c r="B161" s="2" t="s">
        <v>46</v>
      </c>
      <c r="C161" s="14" t="s">
        <v>2748</v>
      </c>
      <c r="D161" s="40" t="n">
        <v>5630</v>
      </c>
      <c r="E161" s="2" t="s">
        <v>678</v>
      </c>
      <c r="F161" s="41" t="n">
        <v>3.88170515097691</v>
      </c>
      <c r="G161" s="31" t="n">
        <v>61.3</v>
      </c>
      <c r="H161" s="32"/>
      <c r="I161" s="31"/>
      <c r="J161" s="2"/>
      <c r="K161" s="43" t="n">
        <v>0.0411428571428571</v>
      </c>
      <c r="L161" s="31" t="n">
        <v>9.8</v>
      </c>
      <c r="M161" s="34" t="s">
        <v>668</v>
      </c>
      <c r="N161" s="2" t="s">
        <v>21</v>
      </c>
      <c r="O161" s="2" t="s">
        <v>21</v>
      </c>
      <c r="P161" s="2"/>
      <c r="Q161" s="2" t="s">
        <v>21</v>
      </c>
    </row>
    <row r="162" customFormat="false" ht="15" hidden="false" customHeight="false" outlineLevel="0" collapsed="false">
      <c r="A162" s="2" t="s">
        <v>1944</v>
      </c>
      <c r="B162" s="2" t="s">
        <v>45</v>
      </c>
      <c r="C162" s="14" t="s">
        <v>2749</v>
      </c>
      <c r="D162" s="29"/>
      <c r="E162" s="2"/>
      <c r="F162" s="30"/>
      <c r="G162" s="31"/>
      <c r="H162" s="32"/>
      <c r="I162" s="31"/>
      <c r="J162" s="2"/>
      <c r="K162" s="43" t="n">
        <v>0.346268656716418</v>
      </c>
      <c r="L162" s="31" t="n">
        <v>95.9</v>
      </c>
      <c r="M162" s="34" t="s">
        <v>668</v>
      </c>
      <c r="N162" s="2"/>
      <c r="O162" s="2"/>
      <c r="P162" s="2"/>
      <c r="Q162" s="2" t="s">
        <v>21</v>
      </c>
    </row>
    <row r="163" customFormat="false" ht="15" hidden="false" customHeight="false" outlineLevel="0" collapsed="false">
      <c r="A163" s="2" t="s">
        <v>1944</v>
      </c>
      <c r="B163" s="2" t="s">
        <v>46</v>
      </c>
      <c r="C163" s="14" t="s">
        <v>1945</v>
      </c>
      <c r="D163" s="40" t="n">
        <v>431940</v>
      </c>
      <c r="E163" s="2" t="s">
        <v>670</v>
      </c>
      <c r="F163" s="41" t="n">
        <v>0.758753530582951</v>
      </c>
      <c r="G163" s="31" t="n">
        <v>3.4</v>
      </c>
      <c r="H163" s="42" t="n">
        <v>0.0856309849950989</v>
      </c>
      <c r="I163" s="31" t="n">
        <v>51.7</v>
      </c>
      <c r="J163" s="2" t="s">
        <v>2705</v>
      </c>
      <c r="K163" s="43" t="n">
        <v>0.0840795441330387</v>
      </c>
      <c r="L163" s="31" t="n">
        <v>25.6</v>
      </c>
      <c r="M163" s="39" t="s">
        <v>671</v>
      </c>
      <c r="N163" s="2" t="s">
        <v>21</v>
      </c>
      <c r="O163" s="2" t="s">
        <v>21</v>
      </c>
      <c r="P163" s="2" t="s">
        <v>21</v>
      </c>
      <c r="Q163" s="2" t="s">
        <v>21</v>
      </c>
    </row>
    <row r="164" customFormat="false" ht="15" hidden="false" customHeight="false" outlineLevel="0" collapsed="false">
      <c r="A164" s="2" t="s">
        <v>1944</v>
      </c>
      <c r="B164" s="2" t="s">
        <v>47</v>
      </c>
      <c r="C164" s="13" t="s">
        <v>2140</v>
      </c>
      <c r="D164" s="35" t="n">
        <v>466995</v>
      </c>
      <c r="E164" s="2" t="s">
        <v>670</v>
      </c>
      <c r="F164" s="36" t="n">
        <v>1.98763798327605</v>
      </c>
      <c r="G164" s="31" t="n">
        <v>74</v>
      </c>
      <c r="H164" s="37" t="n">
        <v>0.103068310657596</v>
      </c>
      <c r="I164" s="31" t="n">
        <v>58.4</v>
      </c>
      <c r="J164" s="2" t="s">
        <v>2701</v>
      </c>
      <c r="K164" s="38" t="n">
        <v>0.0669405509908168</v>
      </c>
      <c r="L164" s="31" t="n">
        <v>38.3</v>
      </c>
      <c r="M164" s="39" t="s">
        <v>671</v>
      </c>
      <c r="N164" s="2" t="s">
        <v>19</v>
      </c>
      <c r="O164" s="2" t="s">
        <v>19</v>
      </c>
      <c r="P164" s="2" t="s">
        <v>19</v>
      </c>
      <c r="Q164" s="2" t="s">
        <v>19</v>
      </c>
    </row>
    <row r="165" customFormat="false" ht="15" hidden="false" customHeight="false" outlineLevel="0" collapsed="false">
      <c r="A165" s="2" t="s">
        <v>956</v>
      </c>
      <c r="B165" s="2" t="s">
        <v>45</v>
      </c>
      <c r="C165" s="13" t="s">
        <v>957</v>
      </c>
      <c r="D165" s="35" t="n">
        <v>96627</v>
      </c>
      <c r="E165" s="2" t="s">
        <v>667</v>
      </c>
      <c r="F165" s="36" t="n">
        <v>0.744398563548491</v>
      </c>
      <c r="G165" s="31" t="n">
        <v>61.1</v>
      </c>
      <c r="H165" s="37" t="n">
        <v>0.079100777271509</v>
      </c>
      <c r="I165" s="31" t="n">
        <v>45.6</v>
      </c>
      <c r="J165" s="2" t="s">
        <v>2704</v>
      </c>
      <c r="K165" s="38" t="n">
        <v>0.183927886459532</v>
      </c>
      <c r="L165" s="31" t="n">
        <v>66</v>
      </c>
      <c r="M165" s="39" t="s">
        <v>671</v>
      </c>
      <c r="N165" s="2" t="s">
        <v>19</v>
      </c>
      <c r="O165" s="2" t="s">
        <v>19</v>
      </c>
      <c r="P165" s="2" t="s">
        <v>19</v>
      </c>
      <c r="Q165" s="2" t="s">
        <v>19</v>
      </c>
    </row>
    <row r="166" customFormat="false" ht="15" hidden="false" customHeight="false" outlineLevel="0" collapsed="false">
      <c r="A166" s="2" t="s">
        <v>956</v>
      </c>
      <c r="B166" s="2" t="s">
        <v>46</v>
      </c>
      <c r="C166" s="15" t="s">
        <v>2750</v>
      </c>
      <c r="D166" s="44" t="n">
        <v>1311714</v>
      </c>
      <c r="E166" s="2" t="s">
        <v>752</v>
      </c>
      <c r="F166" s="45" t="n">
        <v>1.54253594914745</v>
      </c>
      <c r="G166" s="31" t="n">
        <v>15.2</v>
      </c>
      <c r="H166" s="46" t="n">
        <v>-0.00315382136755774</v>
      </c>
      <c r="I166" s="31" t="n">
        <v>12.5</v>
      </c>
      <c r="J166" s="2" t="s">
        <v>2751</v>
      </c>
      <c r="K166" s="33"/>
      <c r="L166" s="31"/>
      <c r="M166" s="34" t="s">
        <v>668</v>
      </c>
      <c r="N166" s="2" t="s">
        <v>17</v>
      </c>
      <c r="O166" s="2" t="s">
        <v>17</v>
      </c>
      <c r="P166" s="2" t="s">
        <v>17</v>
      </c>
      <c r="Q166" s="2"/>
    </row>
    <row r="167" customFormat="false" ht="15" hidden="false" customHeight="false" outlineLevel="0" collapsed="false">
      <c r="A167" s="2" t="s">
        <v>956</v>
      </c>
      <c r="B167" s="2" t="s">
        <v>47</v>
      </c>
      <c r="C167" s="13" t="s">
        <v>2752</v>
      </c>
      <c r="D167" s="35" t="n">
        <v>14494</v>
      </c>
      <c r="E167" s="2" t="s">
        <v>667</v>
      </c>
      <c r="F167" s="36" t="n">
        <v>1.00013798813302</v>
      </c>
      <c r="G167" s="31" t="n">
        <v>37.3</v>
      </c>
      <c r="H167" s="37" t="n">
        <v>0.0488457920254722</v>
      </c>
      <c r="I167" s="31" t="n">
        <v>30.1</v>
      </c>
      <c r="J167" s="2" t="s">
        <v>2697</v>
      </c>
      <c r="K167" s="33"/>
      <c r="L167" s="31"/>
      <c r="M167" s="34" t="s">
        <v>668</v>
      </c>
      <c r="N167" s="2" t="s">
        <v>19</v>
      </c>
      <c r="O167" s="2" t="s">
        <v>19</v>
      </c>
      <c r="P167" s="2" t="s">
        <v>19</v>
      </c>
      <c r="Q167" s="2"/>
    </row>
    <row r="168" customFormat="false" ht="15" hidden="false" customHeight="false" outlineLevel="0" collapsed="false">
      <c r="A168" s="2" t="s">
        <v>2286</v>
      </c>
      <c r="B168" s="2" t="s">
        <v>45</v>
      </c>
      <c r="C168" s="14" t="s">
        <v>2753</v>
      </c>
      <c r="D168" s="40" t="n">
        <v>60540</v>
      </c>
      <c r="E168" s="2" t="s">
        <v>667</v>
      </c>
      <c r="F168" s="30"/>
      <c r="G168" s="31"/>
      <c r="H168" s="42" t="n">
        <v>-0.0534709193245779</v>
      </c>
      <c r="I168" s="31" t="n">
        <v>3.2</v>
      </c>
      <c r="J168" s="2" t="s">
        <v>2704</v>
      </c>
      <c r="K168" s="47" t="s">
        <v>680</v>
      </c>
      <c r="L168" s="31"/>
      <c r="M168" s="34" t="s">
        <v>668</v>
      </c>
      <c r="N168" s="2" t="s">
        <v>21</v>
      </c>
      <c r="O168" s="2"/>
      <c r="P168" s="2" t="s">
        <v>21</v>
      </c>
      <c r="Q168" s="2" t="s">
        <v>2711</v>
      </c>
    </row>
    <row r="169" customFormat="false" ht="15" hidden="false" customHeight="false" outlineLevel="0" collapsed="false">
      <c r="A169" s="2" t="s">
        <v>2286</v>
      </c>
      <c r="B169" s="2" t="s">
        <v>46</v>
      </c>
      <c r="C169" s="15" t="s">
        <v>2754</v>
      </c>
      <c r="D169" s="44" t="n">
        <v>60680</v>
      </c>
      <c r="E169" s="2" t="s">
        <v>667</v>
      </c>
      <c r="F169" s="45" t="n">
        <v>8.58503625576796</v>
      </c>
      <c r="G169" s="31" t="n">
        <v>92.6</v>
      </c>
      <c r="H169" s="46" t="n">
        <v>0.018582243633861</v>
      </c>
      <c r="I169" s="31" t="n">
        <v>16.6</v>
      </c>
      <c r="J169" s="2" t="s">
        <v>2700</v>
      </c>
      <c r="K169" s="33"/>
      <c r="L169" s="31"/>
      <c r="M169" s="34" t="s">
        <v>668</v>
      </c>
      <c r="N169" s="2" t="s">
        <v>17</v>
      </c>
      <c r="O169" s="2" t="s">
        <v>17</v>
      </c>
      <c r="P169" s="2" t="s">
        <v>17</v>
      </c>
      <c r="Q169" s="2"/>
    </row>
    <row r="170" customFormat="false" ht="15" hidden="false" customHeight="false" outlineLevel="0" collapsed="false">
      <c r="A170" s="2" t="s">
        <v>2286</v>
      </c>
      <c r="B170" s="2" t="s">
        <v>47</v>
      </c>
      <c r="C170" s="13" t="s">
        <v>2287</v>
      </c>
      <c r="D170" s="35" t="n">
        <v>36821</v>
      </c>
      <c r="E170" s="2" t="s">
        <v>667</v>
      </c>
      <c r="F170" s="36" t="n">
        <v>1.36623122674561</v>
      </c>
      <c r="G170" s="31" t="n">
        <v>54.4</v>
      </c>
      <c r="H170" s="37" t="n">
        <v>0.0540463172358515</v>
      </c>
      <c r="I170" s="31" t="n">
        <v>31.9</v>
      </c>
      <c r="J170" s="2" t="s">
        <v>2697</v>
      </c>
      <c r="K170" s="38" t="n">
        <v>0.174386920980926</v>
      </c>
      <c r="L170" s="31" t="n">
        <v>78.5</v>
      </c>
      <c r="M170" s="39" t="s">
        <v>671</v>
      </c>
      <c r="N170" s="2" t="s">
        <v>19</v>
      </c>
      <c r="O170" s="2" t="s">
        <v>19</v>
      </c>
      <c r="P170" s="2" t="s">
        <v>19</v>
      </c>
      <c r="Q170" s="2" t="s">
        <v>19</v>
      </c>
    </row>
    <row r="171" customFormat="false" ht="15" hidden="false" customHeight="false" outlineLevel="0" collapsed="false">
      <c r="A171" s="2" t="s">
        <v>358</v>
      </c>
      <c r="B171" s="2" t="s">
        <v>45</v>
      </c>
      <c r="C171" s="14" t="s">
        <v>1213</v>
      </c>
      <c r="D171" s="40" t="n">
        <v>92980</v>
      </c>
      <c r="E171" s="2" t="s">
        <v>667</v>
      </c>
      <c r="F171" s="41" t="n">
        <v>0.367562916756292</v>
      </c>
      <c r="G171" s="31" t="n">
        <v>26.5</v>
      </c>
      <c r="H171" s="42" t="n">
        <v>0.0454238812682708</v>
      </c>
      <c r="I171" s="31" t="n">
        <v>26.6</v>
      </c>
      <c r="J171" s="2" t="s">
        <v>2704</v>
      </c>
      <c r="K171" s="43" t="n">
        <v>0.474891506509609</v>
      </c>
      <c r="L171" s="31" t="n">
        <v>100</v>
      </c>
      <c r="M171" s="39" t="s">
        <v>671</v>
      </c>
      <c r="N171" s="2" t="s">
        <v>21</v>
      </c>
      <c r="O171" s="2" t="s">
        <v>21</v>
      </c>
      <c r="P171" s="2" t="s">
        <v>21</v>
      </c>
      <c r="Q171" s="2" t="s">
        <v>21</v>
      </c>
    </row>
    <row r="172" customFormat="false" ht="15" hidden="false" customHeight="false" outlineLevel="0" collapsed="false">
      <c r="A172" s="2" t="s">
        <v>358</v>
      </c>
      <c r="B172" s="2" t="s">
        <v>46</v>
      </c>
      <c r="C172" s="13" t="s">
        <v>1590</v>
      </c>
      <c r="D172" s="35" t="n">
        <v>84431</v>
      </c>
      <c r="E172" s="2" t="s">
        <v>667</v>
      </c>
      <c r="F172" s="36" t="n">
        <v>4.31788087313901</v>
      </c>
      <c r="G172" s="31" t="n">
        <v>66.4</v>
      </c>
      <c r="H172" s="37" t="n">
        <v>0.0477910151402333</v>
      </c>
      <c r="I172" s="31" t="n">
        <v>27</v>
      </c>
      <c r="J172" s="2" t="s">
        <v>2700</v>
      </c>
      <c r="K172" s="38" t="n">
        <v>0.296179864703542</v>
      </c>
      <c r="L172" s="31" t="n">
        <v>89.9</v>
      </c>
      <c r="M172" s="39" t="s">
        <v>671</v>
      </c>
      <c r="N172" s="2" t="s">
        <v>19</v>
      </c>
      <c r="O172" s="2" t="s">
        <v>19</v>
      </c>
      <c r="P172" s="2" t="s">
        <v>19</v>
      </c>
      <c r="Q172" s="2" t="s">
        <v>19</v>
      </c>
    </row>
    <row r="173" customFormat="false" ht="15" hidden="false" customHeight="false" outlineLevel="0" collapsed="false">
      <c r="A173" s="2" t="s">
        <v>358</v>
      </c>
      <c r="B173" s="2" t="s">
        <v>47</v>
      </c>
      <c r="C173" s="13" t="s">
        <v>2227</v>
      </c>
      <c r="D173" s="35" t="n">
        <v>197800</v>
      </c>
      <c r="E173" s="2" t="s">
        <v>670</v>
      </c>
      <c r="F173" s="36" t="n">
        <v>1.58290697674419</v>
      </c>
      <c r="G173" s="31" t="n">
        <v>62</v>
      </c>
      <c r="H173" s="37" t="n">
        <v>0.141406272541043</v>
      </c>
      <c r="I173" s="31" t="n">
        <v>77.1</v>
      </c>
      <c r="J173" s="2" t="s">
        <v>2701</v>
      </c>
      <c r="K173" s="38" t="n">
        <v>0.207383735598352</v>
      </c>
      <c r="L173" s="31" t="n">
        <v>84.4</v>
      </c>
      <c r="M173" s="39" t="s">
        <v>671</v>
      </c>
      <c r="N173" s="2" t="s">
        <v>19</v>
      </c>
      <c r="O173" s="2" t="s">
        <v>19</v>
      </c>
      <c r="P173" s="2" t="s">
        <v>19</v>
      </c>
      <c r="Q173" s="2" t="s">
        <v>19</v>
      </c>
    </row>
    <row r="174" customFormat="false" ht="15" hidden="false" customHeight="false" outlineLevel="0" collapsed="false">
      <c r="A174" s="2" t="s">
        <v>632</v>
      </c>
      <c r="B174" s="2" t="s">
        <v>45</v>
      </c>
      <c r="C174" s="13" t="s">
        <v>1294</v>
      </c>
      <c r="D174" s="35" t="n">
        <v>4696</v>
      </c>
      <c r="E174" s="2" t="s">
        <v>678</v>
      </c>
      <c r="F174" s="36" t="n">
        <v>0.261286201022147</v>
      </c>
      <c r="G174" s="31" t="n">
        <v>14.1</v>
      </c>
      <c r="H174" s="37" t="n">
        <v>0.022202873313017</v>
      </c>
      <c r="I174" s="31" t="n">
        <v>14.8</v>
      </c>
      <c r="J174" s="2" t="s">
        <v>2713</v>
      </c>
      <c r="K174" s="38" t="n">
        <v>0</v>
      </c>
      <c r="L174" s="31" t="n">
        <v>1</v>
      </c>
      <c r="M174" s="39" t="s">
        <v>671</v>
      </c>
      <c r="N174" s="2" t="s">
        <v>19</v>
      </c>
      <c r="O174" s="2" t="s">
        <v>19</v>
      </c>
      <c r="P174" s="2" t="s">
        <v>19</v>
      </c>
      <c r="Q174" s="2" t="s">
        <v>19</v>
      </c>
    </row>
    <row r="175" customFormat="false" ht="15" hidden="false" customHeight="false" outlineLevel="0" collapsed="false">
      <c r="A175" s="2" t="s">
        <v>632</v>
      </c>
      <c r="B175" s="2" t="s">
        <v>46</v>
      </c>
      <c r="C175" s="13" t="s">
        <v>1896</v>
      </c>
      <c r="D175" s="35" t="n">
        <v>20245</v>
      </c>
      <c r="E175" s="2" t="s">
        <v>667</v>
      </c>
      <c r="F175" s="36" t="n">
        <v>1.41773277352433</v>
      </c>
      <c r="G175" s="31" t="n">
        <v>12.9</v>
      </c>
      <c r="H175" s="37" t="n">
        <v>0.130879231370797</v>
      </c>
      <c r="I175" s="31" t="n">
        <v>69.7</v>
      </c>
      <c r="J175" s="2" t="s">
        <v>2700</v>
      </c>
      <c r="K175" s="38" t="n">
        <v>0.247765006385696</v>
      </c>
      <c r="L175" s="31" t="n">
        <v>81.9</v>
      </c>
      <c r="M175" s="39" t="s">
        <v>671</v>
      </c>
      <c r="N175" s="2" t="s">
        <v>19</v>
      </c>
      <c r="O175" s="2" t="s">
        <v>19</v>
      </c>
      <c r="P175" s="2" t="s">
        <v>19</v>
      </c>
      <c r="Q175" s="2" t="s">
        <v>19</v>
      </c>
    </row>
    <row r="176" customFormat="false" ht="15" hidden="false" customHeight="false" outlineLevel="0" collapsed="false">
      <c r="A176" s="2" t="s">
        <v>632</v>
      </c>
      <c r="B176" s="2" t="s">
        <v>47</v>
      </c>
      <c r="C176" s="13" t="s">
        <v>2676</v>
      </c>
      <c r="D176" s="35" t="n">
        <v>69927</v>
      </c>
      <c r="E176" s="2" t="s">
        <v>667</v>
      </c>
      <c r="F176" s="36" t="n">
        <v>0.226121526735024</v>
      </c>
      <c r="G176" s="31" t="n">
        <v>1.7</v>
      </c>
      <c r="H176" s="37" t="n">
        <v>0.0210258881247536</v>
      </c>
      <c r="I176" s="31" t="n">
        <v>16.3</v>
      </c>
      <c r="J176" s="2" t="s">
        <v>2697</v>
      </c>
      <c r="K176" s="38" t="n">
        <v>0.100436681222707</v>
      </c>
      <c r="L176" s="31" t="n">
        <v>55.4</v>
      </c>
      <c r="M176" s="39" t="s">
        <v>671</v>
      </c>
      <c r="N176" s="2" t="s">
        <v>19</v>
      </c>
      <c r="O176" s="2" t="s">
        <v>19</v>
      </c>
      <c r="P176" s="2" t="s">
        <v>19</v>
      </c>
      <c r="Q176" s="2" t="s">
        <v>19</v>
      </c>
    </row>
    <row r="177" customFormat="false" ht="15" hidden="false" customHeight="false" outlineLevel="0" collapsed="false">
      <c r="A177" s="2" t="s">
        <v>604</v>
      </c>
      <c r="B177" s="2" t="s">
        <v>45</v>
      </c>
      <c r="C177" s="13" t="s">
        <v>1265</v>
      </c>
      <c r="D177" s="35" t="n">
        <v>109674</v>
      </c>
      <c r="E177" s="2" t="s">
        <v>670</v>
      </c>
      <c r="F177" s="36" t="n">
        <v>0.301721465433922</v>
      </c>
      <c r="G177" s="31" t="n">
        <v>18.8</v>
      </c>
      <c r="H177" s="37" t="n">
        <v>0.139363591975815</v>
      </c>
      <c r="I177" s="31" t="n">
        <v>72.5</v>
      </c>
      <c r="J177" s="2" t="s">
        <v>2698</v>
      </c>
      <c r="K177" s="38" t="n">
        <v>0.120879120879121</v>
      </c>
      <c r="L177" s="31" t="n">
        <v>42.5</v>
      </c>
      <c r="M177" s="39" t="s">
        <v>671</v>
      </c>
      <c r="N177" s="2" t="s">
        <v>19</v>
      </c>
      <c r="O177" s="2" t="s">
        <v>19</v>
      </c>
      <c r="P177" s="2" t="s">
        <v>19</v>
      </c>
      <c r="Q177" s="2" t="s">
        <v>19</v>
      </c>
    </row>
    <row r="178" customFormat="false" ht="15" hidden="false" customHeight="false" outlineLevel="0" collapsed="false">
      <c r="A178" s="2" t="s">
        <v>2755</v>
      </c>
      <c r="B178" s="2" t="s">
        <v>46</v>
      </c>
      <c r="C178" s="16"/>
      <c r="D178" s="29"/>
      <c r="E178" s="2"/>
      <c r="F178" s="30"/>
      <c r="G178" s="31"/>
      <c r="H178" s="32"/>
      <c r="I178" s="31"/>
      <c r="J178" s="2"/>
      <c r="K178" s="33"/>
      <c r="L178" s="31"/>
      <c r="M178" s="34" t="s">
        <v>668</v>
      </c>
      <c r="N178" s="2"/>
      <c r="O178" s="2"/>
      <c r="P178" s="2"/>
      <c r="Q178" s="2"/>
    </row>
    <row r="179" customFormat="false" ht="15" hidden="false" customHeight="false" outlineLevel="0" collapsed="false">
      <c r="A179" s="2" t="s">
        <v>2755</v>
      </c>
      <c r="B179" s="2" t="s">
        <v>47</v>
      </c>
      <c r="C179" s="13" t="s">
        <v>2756</v>
      </c>
      <c r="D179" s="35" t="n">
        <v>100525</v>
      </c>
      <c r="E179" s="2" t="s">
        <v>670</v>
      </c>
      <c r="F179" s="36" t="n">
        <v>1.04707286744591</v>
      </c>
      <c r="G179" s="31" t="n">
        <v>40.3</v>
      </c>
      <c r="H179" s="37" t="n">
        <v>0.133059062218215</v>
      </c>
      <c r="I179" s="31" t="n">
        <v>72.3</v>
      </c>
      <c r="J179" s="2" t="s">
        <v>2701</v>
      </c>
      <c r="K179" s="33"/>
      <c r="L179" s="31"/>
      <c r="M179" s="34" t="s">
        <v>668</v>
      </c>
      <c r="N179" s="2" t="s">
        <v>19</v>
      </c>
      <c r="O179" s="2" t="s">
        <v>19</v>
      </c>
      <c r="P179" s="2" t="s">
        <v>19</v>
      </c>
      <c r="Q179" s="2"/>
    </row>
    <row r="180" customFormat="false" ht="15" hidden="false" customHeight="false" outlineLevel="0" collapsed="false">
      <c r="A180" s="2" t="s">
        <v>1310</v>
      </c>
      <c r="B180" s="2" t="s">
        <v>45</v>
      </c>
      <c r="C180" s="14" t="s">
        <v>1311</v>
      </c>
      <c r="D180" s="40" t="n">
        <v>56010</v>
      </c>
      <c r="E180" s="2" t="s">
        <v>667</v>
      </c>
      <c r="F180" s="41" t="n">
        <v>0.229923227995001</v>
      </c>
      <c r="G180" s="31" t="n">
        <v>11.8</v>
      </c>
      <c r="H180" s="42" t="n">
        <v>0.131515151515152</v>
      </c>
      <c r="I180" s="31" t="n">
        <v>68.7</v>
      </c>
      <c r="J180" s="2" t="s">
        <v>2704</v>
      </c>
      <c r="K180" s="43" t="n">
        <v>0.0561497326203209</v>
      </c>
      <c r="L180" s="31" t="n">
        <v>16.3</v>
      </c>
      <c r="M180" s="39" t="s">
        <v>671</v>
      </c>
      <c r="N180" s="2" t="s">
        <v>21</v>
      </c>
      <c r="O180" s="2" t="s">
        <v>21</v>
      </c>
      <c r="P180" s="2" t="s">
        <v>21</v>
      </c>
      <c r="Q180" s="2" t="s">
        <v>21</v>
      </c>
    </row>
    <row r="181" customFormat="false" ht="15" hidden="false" customHeight="false" outlineLevel="0" collapsed="false">
      <c r="A181" s="2" t="s">
        <v>203</v>
      </c>
      <c r="B181" s="2" t="s">
        <v>45</v>
      </c>
      <c r="C181" s="13" t="s">
        <v>669</v>
      </c>
      <c r="D181" s="35" t="n">
        <v>231600</v>
      </c>
      <c r="E181" s="2" t="s">
        <v>670</v>
      </c>
      <c r="F181" s="36" t="n">
        <v>4.58225388601036</v>
      </c>
      <c r="G181" s="31" t="n">
        <v>99.4</v>
      </c>
      <c r="H181" s="37" t="n">
        <v>0.216041668854422</v>
      </c>
      <c r="I181" s="31" t="n">
        <v>96.4</v>
      </c>
      <c r="J181" s="2" t="s">
        <v>2698</v>
      </c>
      <c r="K181" s="38" t="n">
        <v>0.0375543208008129</v>
      </c>
      <c r="L181" s="31" t="n">
        <v>8.6</v>
      </c>
      <c r="M181" s="39" t="s">
        <v>671</v>
      </c>
      <c r="N181" s="2" t="s">
        <v>19</v>
      </c>
      <c r="O181" s="2" t="s">
        <v>19</v>
      </c>
      <c r="P181" s="2" t="s">
        <v>19</v>
      </c>
      <c r="Q181" s="2" t="s">
        <v>19</v>
      </c>
    </row>
    <row r="182" customFormat="false" ht="15" hidden="false" customHeight="false" outlineLevel="0" collapsed="false">
      <c r="A182" s="2" t="s">
        <v>203</v>
      </c>
      <c r="B182" s="2" t="s">
        <v>46</v>
      </c>
      <c r="C182" s="13" t="s">
        <v>1453</v>
      </c>
      <c r="D182" s="35" t="n">
        <v>54448</v>
      </c>
      <c r="E182" s="2" t="s">
        <v>667</v>
      </c>
      <c r="F182" s="36" t="n">
        <v>7.26046870408463</v>
      </c>
      <c r="G182" s="31" t="n">
        <v>88.6</v>
      </c>
      <c r="H182" s="37" t="n">
        <v>0.0160294090205079</v>
      </c>
      <c r="I182" s="31" t="n">
        <v>15.8</v>
      </c>
      <c r="J182" s="2" t="s">
        <v>2700</v>
      </c>
      <c r="K182" s="38" t="n">
        <v>0.09388965942364</v>
      </c>
      <c r="L182" s="31" t="n">
        <v>29.8</v>
      </c>
      <c r="M182" s="39" t="s">
        <v>671</v>
      </c>
      <c r="N182" s="2" t="s">
        <v>19</v>
      </c>
      <c r="O182" s="2" t="s">
        <v>19</v>
      </c>
      <c r="P182" s="2" t="s">
        <v>19</v>
      </c>
      <c r="Q182" s="2" t="s">
        <v>19</v>
      </c>
    </row>
    <row r="183" customFormat="false" ht="15" hidden="false" customHeight="false" outlineLevel="0" collapsed="false">
      <c r="A183" s="2" t="s">
        <v>203</v>
      </c>
      <c r="B183" s="2" t="s">
        <v>47</v>
      </c>
      <c r="C183" s="15" t="s">
        <v>2524</v>
      </c>
      <c r="D183" s="44" t="n">
        <v>34789</v>
      </c>
      <c r="E183" s="2" t="s">
        <v>667</v>
      </c>
      <c r="F183" s="45" t="n">
        <v>0.745954180919256</v>
      </c>
      <c r="G183" s="31" t="n">
        <v>23.6</v>
      </c>
      <c r="H183" s="46" t="n">
        <v>0.110688972607113</v>
      </c>
      <c r="I183" s="31" t="n">
        <v>60.3</v>
      </c>
      <c r="J183" s="2" t="s">
        <v>2697</v>
      </c>
      <c r="K183" s="48" t="n">
        <v>0.24287856071964</v>
      </c>
      <c r="L183" s="31" t="n">
        <v>91.2</v>
      </c>
      <c r="M183" s="39" t="s">
        <v>671</v>
      </c>
      <c r="N183" s="2" t="s">
        <v>17</v>
      </c>
      <c r="O183" s="2" t="s">
        <v>17</v>
      </c>
      <c r="P183" s="2" t="s">
        <v>17</v>
      </c>
      <c r="Q183" s="2" t="s">
        <v>17</v>
      </c>
    </row>
    <row r="184" customFormat="false" ht="15" hidden="false" customHeight="false" outlineLevel="0" collapsed="false">
      <c r="A184" s="2" t="s">
        <v>1540</v>
      </c>
      <c r="B184" s="2" t="s">
        <v>45</v>
      </c>
      <c r="C184" s="14" t="s">
        <v>2757</v>
      </c>
      <c r="D184" s="40" t="n">
        <v>1693990</v>
      </c>
      <c r="E184" s="2" t="s">
        <v>752</v>
      </c>
      <c r="F184" s="41" t="n">
        <v>0.711729112922745</v>
      </c>
      <c r="G184" s="31" t="n">
        <v>59.6</v>
      </c>
      <c r="H184" s="42" t="n">
        <v>0.0972503805421511</v>
      </c>
      <c r="I184" s="31" t="n">
        <v>37.5</v>
      </c>
      <c r="J184" s="2" t="s">
        <v>2712</v>
      </c>
      <c r="K184" s="33"/>
      <c r="L184" s="31"/>
      <c r="M184" s="34" t="s">
        <v>668</v>
      </c>
      <c r="N184" s="2" t="s">
        <v>21</v>
      </c>
      <c r="O184" s="2" t="s">
        <v>21</v>
      </c>
      <c r="P184" s="2" t="s">
        <v>21</v>
      </c>
      <c r="Q184" s="2"/>
    </row>
    <row r="185" customFormat="false" ht="15" hidden="false" customHeight="false" outlineLevel="0" collapsed="false">
      <c r="A185" s="2" t="s">
        <v>1540</v>
      </c>
      <c r="B185" s="2" t="s">
        <v>46</v>
      </c>
      <c r="C185" s="14" t="s">
        <v>1541</v>
      </c>
      <c r="D185" s="40" t="n">
        <v>255630</v>
      </c>
      <c r="E185" s="2" t="s">
        <v>670</v>
      </c>
      <c r="F185" s="41" t="n">
        <v>5.19215272072918</v>
      </c>
      <c r="G185" s="31" t="n">
        <v>74.6</v>
      </c>
      <c r="H185" s="42" t="n">
        <v>-0.0167698757644525</v>
      </c>
      <c r="I185" s="31" t="n">
        <v>6.6</v>
      </c>
      <c r="J185" s="2" t="s">
        <v>2705</v>
      </c>
      <c r="K185" s="43" t="n">
        <v>0.117982663514578</v>
      </c>
      <c r="L185" s="31" t="n">
        <v>40.9</v>
      </c>
      <c r="M185" s="39" t="s">
        <v>671</v>
      </c>
      <c r="N185" s="2" t="s">
        <v>21</v>
      </c>
      <c r="O185" s="2" t="s">
        <v>21</v>
      </c>
      <c r="P185" s="2" t="s">
        <v>21</v>
      </c>
      <c r="Q185" s="2" t="s">
        <v>21</v>
      </c>
    </row>
    <row r="186" customFormat="false" ht="15" hidden="false" customHeight="false" outlineLevel="0" collapsed="false">
      <c r="A186" s="2" t="s">
        <v>1161</v>
      </c>
      <c r="B186" s="2" t="s">
        <v>45</v>
      </c>
      <c r="C186" s="14" t="s">
        <v>1162</v>
      </c>
      <c r="D186" s="40" t="n">
        <v>25770</v>
      </c>
      <c r="E186" s="2" t="s">
        <v>667</v>
      </c>
      <c r="F186" s="41" t="n">
        <v>0.422894838960031</v>
      </c>
      <c r="G186" s="31" t="n">
        <v>33.5</v>
      </c>
      <c r="H186" s="42" t="n">
        <v>0.0631188118811881</v>
      </c>
      <c r="I186" s="31" t="n">
        <v>32.9</v>
      </c>
      <c r="J186" s="2" t="s">
        <v>2704</v>
      </c>
      <c r="K186" s="43" t="n">
        <v>0</v>
      </c>
      <c r="L186" s="31" t="n">
        <v>1</v>
      </c>
      <c r="M186" s="39" t="s">
        <v>671</v>
      </c>
      <c r="N186" s="2" t="s">
        <v>21</v>
      </c>
      <c r="O186" s="2" t="s">
        <v>21</v>
      </c>
      <c r="P186" s="2" t="s">
        <v>21</v>
      </c>
      <c r="Q186" s="2" t="s">
        <v>21</v>
      </c>
    </row>
    <row r="187" customFormat="false" ht="15" hidden="false" customHeight="false" outlineLevel="0" collapsed="false">
      <c r="A187" s="2" t="s">
        <v>1161</v>
      </c>
      <c r="B187" s="2" t="s">
        <v>47</v>
      </c>
      <c r="C187" s="16"/>
      <c r="D187" s="29"/>
      <c r="E187" s="2"/>
      <c r="F187" s="30"/>
      <c r="G187" s="31"/>
      <c r="H187" s="32"/>
      <c r="I187" s="31"/>
      <c r="J187" s="2"/>
      <c r="K187" s="33"/>
      <c r="L187" s="31"/>
      <c r="M187" s="34" t="s">
        <v>668</v>
      </c>
      <c r="N187" s="2"/>
      <c r="O187" s="2"/>
      <c r="P187" s="2"/>
      <c r="Q187" s="2"/>
    </row>
    <row r="188" customFormat="false" ht="15" hidden="false" customHeight="false" outlineLevel="0" collapsed="false">
      <c r="A188" s="2" t="s">
        <v>2758</v>
      </c>
      <c r="B188" s="2" t="s">
        <v>45</v>
      </c>
      <c r="C188" s="15" t="s">
        <v>2759</v>
      </c>
      <c r="D188" s="44" t="n">
        <v>59888</v>
      </c>
      <c r="E188" s="2" t="s">
        <v>667</v>
      </c>
      <c r="F188" s="45" t="n">
        <v>0.412035800160299</v>
      </c>
      <c r="G188" s="31" t="n">
        <v>31</v>
      </c>
      <c r="H188" s="46" t="n">
        <v>0.125227815042369</v>
      </c>
      <c r="I188" s="31" t="n">
        <v>65.1</v>
      </c>
      <c r="J188" s="2" t="s">
        <v>2704</v>
      </c>
      <c r="K188" s="33"/>
      <c r="L188" s="31"/>
      <c r="M188" s="34" t="s">
        <v>668</v>
      </c>
      <c r="N188" s="2" t="s">
        <v>17</v>
      </c>
      <c r="O188" s="2" t="s">
        <v>17</v>
      </c>
      <c r="P188" s="2" t="s">
        <v>17</v>
      </c>
      <c r="Q188" s="2"/>
    </row>
    <row r="189" customFormat="false" ht="15" hidden="false" customHeight="false" outlineLevel="0" collapsed="false">
      <c r="A189" s="2" t="s">
        <v>2758</v>
      </c>
      <c r="B189" s="2" t="s">
        <v>46</v>
      </c>
      <c r="C189" s="16"/>
      <c r="D189" s="29"/>
      <c r="E189" s="2"/>
      <c r="F189" s="30"/>
      <c r="G189" s="31"/>
      <c r="H189" s="32"/>
      <c r="I189" s="31"/>
      <c r="J189" s="2"/>
      <c r="K189" s="33"/>
      <c r="L189" s="31"/>
      <c r="M189" s="34" t="s">
        <v>668</v>
      </c>
      <c r="N189" s="2"/>
      <c r="O189" s="2"/>
      <c r="P189" s="2"/>
      <c r="Q189" s="2"/>
    </row>
    <row r="190" customFormat="false" ht="15" hidden="false" customHeight="false" outlineLevel="0" collapsed="false">
      <c r="A190" s="2" t="s">
        <v>181</v>
      </c>
      <c r="B190" s="2" t="s">
        <v>45</v>
      </c>
      <c r="C190" s="13" t="s">
        <v>863</v>
      </c>
      <c r="D190" s="35" t="n">
        <v>312722</v>
      </c>
      <c r="E190" s="2" t="s">
        <v>670</v>
      </c>
      <c r="F190" s="36" t="n">
        <v>0.951611974853064</v>
      </c>
      <c r="G190" s="31" t="n">
        <v>73.9</v>
      </c>
      <c r="H190" s="37" t="n">
        <v>0.111868817953623</v>
      </c>
      <c r="I190" s="31" t="n">
        <v>63</v>
      </c>
      <c r="J190" s="2" t="s">
        <v>2698</v>
      </c>
      <c r="K190" s="38" t="n">
        <v>0.31243747915972</v>
      </c>
      <c r="L190" s="31" t="n">
        <v>93.4</v>
      </c>
      <c r="M190" s="39" t="s">
        <v>671</v>
      </c>
      <c r="N190" s="2" t="s">
        <v>19</v>
      </c>
      <c r="O190" s="2" t="s">
        <v>19</v>
      </c>
      <c r="P190" s="2" t="s">
        <v>19</v>
      </c>
      <c r="Q190" s="2" t="s">
        <v>19</v>
      </c>
    </row>
    <row r="191" customFormat="false" ht="15" hidden="false" customHeight="false" outlineLevel="0" collapsed="false">
      <c r="A191" s="2" t="s">
        <v>1217</v>
      </c>
      <c r="B191" s="2" t="s">
        <v>45</v>
      </c>
      <c r="C191" s="14" t="s">
        <v>1218</v>
      </c>
      <c r="D191" s="40" t="n">
        <v>26340</v>
      </c>
      <c r="E191" s="2" t="s">
        <v>667</v>
      </c>
      <c r="F191" s="41" t="n">
        <v>0.358731966590737</v>
      </c>
      <c r="G191" s="31" t="n">
        <v>25.4</v>
      </c>
      <c r="H191" s="42" t="n">
        <v>0.186486486486487</v>
      </c>
      <c r="I191" s="31" t="n">
        <v>88.9</v>
      </c>
      <c r="J191" s="2" t="s">
        <v>2704</v>
      </c>
      <c r="K191" s="43" t="n">
        <v>0.0228136882129278</v>
      </c>
      <c r="L191" s="31" t="n">
        <v>5.2</v>
      </c>
      <c r="M191" s="39" t="s">
        <v>671</v>
      </c>
      <c r="N191" s="2" t="s">
        <v>21</v>
      </c>
      <c r="O191" s="2" t="s">
        <v>21</v>
      </c>
      <c r="P191" s="2" t="s">
        <v>21</v>
      </c>
      <c r="Q191" s="2" t="s">
        <v>21</v>
      </c>
    </row>
    <row r="192" customFormat="false" ht="15" hidden="false" customHeight="false" outlineLevel="0" collapsed="false">
      <c r="A192" s="2" t="s">
        <v>1217</v>
      </c>
      <c r="B192" s="2" t="s">
        <v>46</v>
      </c>
      <c r="C192" s="16"/>
      <c r="D192" s="29"/>
      <c r="E192" s="2"/>
      <c r="F192" s="30"/>
      <c r="G192" s="31"/>
      <c r="H192" s="32"/>
      <c r="I192" s="31"/>
      <c r="J192" s="2"/>
      <c r="K192" s="33"/>
      <c r="L192" s="31"/>
      <c r="M192" s="34" t="s">
        <v>668</v>
      </c>
      <c r="N192" s="2"/>
      <c r="O192" s="2"/>
      <c r="P192" s="2"/>
      <c r="Q192" s="2"/>
    </row>
    <row r="193" customFormat="false" ht="15" hidden="false" customHeight="false" outlineLevel="0" collapsed="false">
      <c r="A193" s="2" t="s">
        <v>1217</v>
      </c>
      <c r="B193" s="2" t="s">
        <v>47</v>
      </c>
      <c r="C193" s="13" t="s">
        <v>2455</v>
      </c>
      <c r="D193" s="35" t="n">
        <v>7254</v>
      </c>
      <c r="E193" s="2" t="s">
        <v>678</v>
      </c>
      <c r="F193" s="36" t="n">
        <v>0.899228012131238</v>
      </c>
      <c r="G193" s="31" t="n">
        <v>31.9</v>
      </c>
      <c r="H193" s="37" t="n">
        <v>0.163432237369687</v>
      </c>
      <c r="I193" s="31" t="n">
        <v>82.7</v>
      </c>
      <c r="J193" s="2" t="s">
        <v>2706</v>
      </c>
      <c r="K193" s="38" t="n">
        <v>0.138655462184874</v>
      </c>
      <c r="L193" s="31" t="n">
        <v>68.4</v>
      </c>
      <c r="M193" s="39" t="s">
        <v>671</v>
      </c>
      <c r="N193" s="2" t="s">
        <v>19</v>
      </c>
      <c r="O193" s="2" t="s">
        <v>19</v>
      </c>
      <c r="P193" s="2" t="s">
        <v>19</v>
      </c>
      <c r="Q193" s="2" t="s">
        <v>19</v>
      </c>
    </row>
    <row r="194" customFormat="false" ht="15" hidden="false" customHeight="false" outlineLevel="0" collapsed="false">
      <c r="A194" s="2" t="s">
        <v>588</v>
      </c>
      <c r="B194" s="2" t="s">
        <v>45</v>
      </c>
      <c r="C194" s="14" t="s">
        <v>1254</v>
      </c>
      <c r="D194" s="40" t="n">
        <v>45810</v>
      </c>
      <c r="E194" s="2" t="s">
        <v>667</v>
      </c>
      <c r="F194" s="41" t="n">
        <v>0.321938441388343</v>
      </c>
      <c r="G194" s="31" t="n">
        <v>20.9</v>
      </c>
      <c r="H194" s="42" t="n">
        <v>0.198900811305941</v>
      </c>
      <c r="I194" s="31" t="n">
        <v>92.9</v>
      </c>
      <c r="J194" s="2" t="s">
        <v>2704</v>
      </c>
      <c r="K194" s="43" t="n">
        <v>0.120938628158845</v>
      </c>
      <c r="L194" s="31" t="n">
        <v>42.8</v>
      </c>
      <c r="M194" s="39" t="s">
        <v>671</v>
      </c>
      <c r="N194" s="2" t="s">
        <v>21</v>
      </c>
      <c r="O194" s="2" t="s">
        <v>21</v>
      </c>
      <c r="P194" s="2" t="s">
        <v>21</v>
      </c>
      <c r="Q194" s="2" t="s">
        <v>21</v>
      </c>
    </row>
    <row r="195" customFormat="false" ht="15" hidden="false" customHeight="false" outlineLevel="0" collapsed="false">
      <c r="A195" s="2" t="s">
        <v>588</v>
      </c>
      <c r="B195" s="2" t="s">
        <v>46</v>
      </c>
      <c r="C195" s="13" t="s">
        <v>1803</v>
      </c>
      <c r="D195" s="35" t="n">
        <v>12408</v>
      </c>
      <c r="E195" s="2" t="s">
        <v>667</v>
      </c>
      <c r="F195" s="36" t="n">
        <v>2.09759832366215</v>
      </c>
      <c r="G195" s="31" t="n">
        <v>28.8</v>
      </c>
      <c r="H195" s="42" t="n">
        <v>0.259371833839919</v>
      </c>
      <c r="I195" s="31" t="n">
        <v>98.8</v>
      </c>
      <c r="J195" s="2" t="s">
        <v>2700</v>
      </c>
      <c r="K195" s="38" t="n">
        <v>0.0256534365924492</v>
      </c>
      <c r="L195" s="31" t="n">
        <v>4.1</v>
      </c>
      <c r="M195" s="39" t="s">
        <v>671</v>
      </c>
      <c r="N195" s="2" t="s">
        <v>19</v>
      </c>
      <c r="O195" s="2" t="s">
        <v>19</v>
      </c>
      <c r="P195" s="2" t="s">
        <v>21</v>
      </c>
      <c r="Q195" s="2" t="s">
        <v>19</v>
      </c>
    </row>
    <row r="196" customFormat="false" ht="15" hidden="false" customHeight="false" outlineLevel="0" collapsed="false">
      <c r="A196" s="2" t="s">
        <v>588</v>
      </c>
      <c r="B196" s="2" t="s">
        <v>47</v>
      </c>
      <c r="C196" s="13" t="s">
        <v>2558</v>
      </c>
      <c r="D196" s="35" t="n">
        <v>25126</v>
      </c>
      <c r="E196" s="2" t="s">
        <v>667</v>
      </c>
      <c r="F196" s="36" t="n">
        <v>0.647775212926849</v>
      </c>
      <c r="G196" s="31" t="n">
        <v>18.4</v>
      </c>
      <c r="H196" s="37" t="n">
        <v>0.151354075974889</v>
      </c>
      <c r="I196" s="31" t="n">
        <v>78</v>
      </c>
      <c r="J196" s="2" t="s">
        <v>2697</v>
      </c>
      <c r="K196" s="38" t="n">
        <v>0.0115702479338843</v>
      </c>
      <c r="L196" s="31" t="n">
        <v>7.4</v>
      </c>
      <c r="M196" s="39" t="s">
        <v>671</v>
      </c>
      <c r="N196" s="2" t="s">
        <v>19</v>
      </c>
      <c r="O196" s="2" t="s">
        <v>19</v>
      </c>
      <c r="P196" s="2" t="s">
        <v>19</v>
      </c>
      <c r="Q196" s="2" t="s">
        <v>19</v>
      </c>
    </row>
    <row r="197" customFormat="false" ht="15" hidden="false" customHeight="false" outlineLevel="0" collapsed="false">
      <c r="A197" s="2" t="s">
        <v>1581</v>
      </c>
      <c r="B197" s="2" t="s">
        <v>45</v>
      </c>
      <c r="C197" s="14" t="s">
        <v>2760</v>
      </c>
      <c r="D197" s="40" t="n">
        <v>371450</v>
      </c>
      <c r="E197" s="2" t="s">
        <v>670</v>
      </c>
      <c r="F197" s="41" t="n">
        <v>0.595008749495221</v>
      </c>
      <c r="G197" s="31" t="n">
        <v>48.7</v>
      </c>
      <c r="H197" s="42" t="n">
        <v>0.0725629475629476</v>
      </c>
      <c r="I197" s="31" t="n">
        <v>47.8</v>
      </c>
      <c r="J197" s="2" t="s">
        <v>2698</v>
      </c>
      <c r="K197" s="33"/>
      <c r="L197" s="31"/>
      <c r="M197" s="34" t="s">
        <v>668</v>
      </c>
      <c r="N197" s="2" t="s">
        <v>21</v>
      </c>
      <c r="O197" s="2" t="s">
        <v>21</v>
      </c>
      <c r="P197" s="2" t="s">
        <v>21</v>
      </c>
      <c r="Q197" s="2"/>
    </row>
    <row r="198" customFormat="false" ht="15" hidden="false" customHeight="false" outlineLevel="0" collapsed="false">
      <c r="A198" s="2" t="s">
        <v>1581</v>
      </c>
      <c r="B198" s="2" t="s">
        <v>46</v>
      </c>
      <c r="C198" s="14" t="s">
        <v>1582</v>
      </c>
      <c r="D198" s="40" t="n">
        <v>1205530</v>
      </c>
      <c r="E198" s="2" t="s">
        <v>752</v>
      </c>
      <c r="F198" s="41" t="n">
        <v>4.3573001086659</v>
      </c>
      <c r="G198" s="31" t="n">
        <v>67.7</v>
      </c>
      <c r="H198" s="42" t="n">
        <v>0.0528370435709108</v>
      </c>
      <c r="I198" s="31" t="n">
        <v>37.5</v>
      </c>
      <c r="J198" s="2" t="s">
        <v>2751</v>
      </c>
      <c r="K198" s="43" t="n">
        <v>0.0612138836557899</v>
      </c>
      <c r="L198" s="31" t="n">
        <v>18.4</v>
      </c>
      <c r="M198" s="39" t="s">
        <v>671</v>
      </c>
      <c r="N198" s="2" t="s">
        <v>21</v>
      </c>
      <c r="O198" s="2" t="s">
        <v>21</v>
      </c>
      <c r="P198" s="2" t="s">
        <v>21</v>
      </c>
      <c r="Q198" s="2" t="s">
        <v>21</v>
      </c>
    </row>
    <row r="199" customFormat="false" ht="15" hidden="false" customHeight="false" outlineLevel="0" collapsed="false">
      <c r="A199" s="2" t="s">
        <v>1581</v>
      </c>
      <c r="B199" s="2" t="s">
        <v>47</v>
      </c>
      <c r="C199" s="13" t="s">
        <v>2061</v>
      </c>
      <c r="D199" s="35" t="n">
        <v>15323</v>
      </c>
      <c r="E199" s="2" t="s">
        <v>667</v>
      </c>
      <c r="F199" s="36" t="n">
        <v>2.75788031064413</v>
      </c>
      <c r="G199" s="31" t="n">
        <v>86.5</v>
      </c>
      <c r="H199" s="37" t="n">
        <v>0.0923932416054752</v>
      </c>
      <c r="I199" s="31" t="n">
        <v>52.5</v>
      </c>
      <c r="J199" s="2" t="s">
        <v>2697</v>
      </c>
      <c r="K199" s="38" t="n">
        <v>0.0886252616887648</v>
      </c>
      <c r="L199" s="31" t="n">
        <v>48.4</v>
      </c>
      <c r="M199" s="39" t="s">
        <v>671</v>
      </c>
      <c r="N199" s="2" t="s">
        <v>19</v>
      </c>
      <c r="O199" s="2" t="s">
        <v>19</v>
      </c>
      <c r="P199" s="2" t="s">
        <v>19</v>
      </c>
      <c r="Q199" s="2" t="s">
        <v>19</v>
      </c>
    </row>
    <row r="200" customFormat="false" ht="15" hidden="false" customHeight="false" outlineLevel="0" collapsed="false">
      <c r="A200" s="2" t="s">
        <v>1243</v>
      </c>
      <c r="B200" s="2" t="s">
        <v>45</v>
      </c>
      <c r="C200" s="13" t="s">
        <v>1244</v>
      </c>
      <c r="D200" s="35" t="n">
        <v>141002</v>
      </c>
      <c r="E200" s="2" t="s">
        <v>670</v>
      </c>
      <c r="F200" s="36" t="n">
        <v>0.337470390490915</v>
      </c>
      <c r="G200" s="31" t="n">
        <v>22.6</v>
      </c>
      <c r="H200" s="37" t="n">
        <v>0.176958648436587</v>
      </c>
      <c r="I200" s="31" t="n">
        <v>89.9</v>
      </c>
      <c r="J200" s="2" t="s">
        <v>2698</v>
      </c>
      <c r="K200" s="38" t="n">
        <v>0.125413755057006</v>
      </c>
      <c r="L200" s="31" t="n">
        <v>46.1</v>
      </c>
      <c r="M200" s="39" t="s">
        <v>671</v>
      </c>
      <c r="N200" s="2" t="s">
        <v>19</v>
      </c>
      <c r="O200" s="2" t="s">
        <v>19</v>
      </c>
      <c r="P200" s="2" t="s">
        <v>19</v>
      </c>
      <c r="Q200" s="2" t="s">
        <v>19</v>
      </c>
    </row>
    <row r="201" customFormat="false" ht="15" hidden="false" customHeight="false" outlineLevel="0" collapsed="false">
      <c r="A201" s="2" t="s">
        <v>1243</v>
      </c>
      <c r="B201" s="2" t="s">
        <v>46</v>
      </c>
      <c r="C201" s="14" t="s">
        <v>1459</v>
      </c>
      <c r="D201" s="40" t="n">
        <v>120310</v>
      </c>
      <c r="E201" s="2" t="s">
        <v>670</v>
      </c>
      <c r="F201" s="41" t="n">
        <v>6.98020945889785</v>
      </c>
      <c r="G201" s="31" t="n">
        <v>87.3</v>
      </c>
      <c r="H201" s="42" t="n">
        <v>0.131051988342578</v>
      </c>
      <c r="I201" s="31" t="n">
        <v>76.2</v>
      </c>
      <c r="J201" s="2" t="s">
        <v>2705</v>
      </c>
      <c r="K201" s="43" t="n">
        <v>0.107610504764851</v>
      </c>
      <c r="L201" s="31" t="n">
        <v>35.8</v>
      </c>
      <c r="M201" s="39" t="s">
        <v>671</v>
      </c>
      <c r="N201" s="2" t="s">
        <v>21</v>
      </c>
      <c r="O201" s="2" t="s">
        <v>21</v>
      </c>
      <c r="P201" s="2" t="s">
        <v>21</v>
      </c>
      <c r="Q201" s="2" t="s">
        <v>21</v>
      </c>
    </row>
    <row r="202" customFormat="false" ht="15" hidden="false" customHeight="false" outlineLevel="0" collapsed="false">
      <c r="A202" s="2" t="s">
        <v>1243</v>
      </c>
      <c r="B202" s="2" t="s">
        <v>47</v>
      </c>
      <c r="C202" s="16"/>
      <c r="D202" s="29"/>
      <c r="E202" s="2"/>
      <c r="F202" s="30"/>
      <c r="G202" s="31"/>
      <c r="H202" s="32"/>
      <c r="I202" s="31"/>
      <c r="J202" s="2"/>
      <c r="K202" s="33"/>
      <c r="L202" s="31"/>
      <c r="M202" s="34" t="s">
        <v>668</v>
      </c>
      <c r="N202" s="2"/>
      <c r="O202" s="2"/>
      <c r="P202" s="2"/>
      <c r="Q202" s="2"/>
    </row>
    <row r="203" customFormat="false" ht="15" hidden="false" customHeight="false" outlineLevel="0" collapsed="false">
      <c r="A203" s="2" t="s">
        <v>328</v>
      </c>
      <c r="B203" s="2" t="s">
        <v>45</v>
      </c>
      <c r="C203" s="13" t="s">
        <v>989</v>
      </c>
      <c r="D203" s="35" t="n">
        <v>31023</v>
      </c>
      <c r="E203" s="2" t="s">
        <v>667</v>
      </c>
      <c r="F203" s="36" t="n">
        <v>0.672694452502982</v>
      </c>
      <c r="G203" s="31" t="n">
        <v>56.8</v>
      </c>
      <c r="H203" s="37" t="n">
        <v>0.0215014817253869</v>
      </c>
      <c r="I203" s="31" t="n">
        <v>13.9</v>
      </c>
      <c r="J203" s="2" t="s">
        <v>2704</v>
      </c>
      <c r="K203" s="38" t="n">
        <v>0.269315673289183</v>
      </c>
      <c r="L203" s="31" t="n">
        <v>85.1</v>
      </c>
      <c r="M203" s="39" t="s">
        <v>671</v>
      </c>
      <c r="N203" s="2" t="s">
        <v>19</v>
      </c>
      <c r="O203" s="2" t="s">
        <v>19</v>
      </c>
      <c r="P203" s="2" t="s">
        <v>19</v>
      </c>
      <c r="Q203" s="2" t="s">
        <v>19</v>
      </c>
    </row>
    <row r="204" customFormat="false" ht="15" hidden="false" customHeight="false" outlineLevel="0" collapsed="false">
      <c r="A204" s="2" t="s">
        <v>328</v>
      </c>
      <c r="B204" s="2" t="s">
        <v>46</v>
      </c>
      <c r="C204" s="14" t="s">
        <v>1888</v>
      </c>
      <c r="D204" s="40" t="n">
        <v>213890</v>
      </c>
      <c r="E204" s="2" t="s">
        <v>670</v>
      </c>
      <c r="F204" s="41" t="n">
        <v>1.47596428070504</v>
      </c>
      <c r="G204" s="31" t="n">
        <v>14.2</v>
      </c>
      <c r="H204" s="42" t="n">
        <v>0.0606466329465437</v>
      </c>
      <c r="I204" s="31" t="n">
        <v>35.8</v>
      </c>
      <c r="J204" s="2" t="s">
        <v>2705</v>
      </c>
      <c r="K204" s="43" t="n">
        <v>0.12325400931195</v>
      </c>
      <c r="L204" s="31" t="n">
        <v>45.3</v>
      </c>
      <c r="M204" s="39" t="s">
        <v>671</v>
      </c>
      <c r="N204" s="2" t="s">
        <v>21</v>
      </c>
      <c r="O204" s="2" t="s">
        <v>21</v>
      </c>
      <c r="P204" s="2" t="s">
        <v>21</v>
      </c>
      <c r="Q204" s="2" t="s">
        <v>21</v>
      </c>
    </row>
    <row r="205" customFormat="false" ht="15" hidden="false" customHeight="false" outlineLevel="0" collapsed="false">
      <c r="A205" s="2" t="s">
        <v>328</v>
      </c>
      <c r="B205" s="2" t="s">
        <v>47</v>
      </c>
      <c r="C205" s="13" t="s">
        <v>1995</v>
      </c>
      <c r="D205" s="35" t="n">
        <v>36512</v>
      </c>
      <c r="E205" s="2" t="s">
        <v>667</v>
      </c>
      <c r="F205" s="36" t="n">
        <v>4.2620782208589</v>
      </c>
      <c r="G205" s="31" t="n">
        <v>95.6</v>
      </c>
      <c r="H205" s="37" t="n">
        <v>0.0353021237984518</v>
      </c>
      <c r="I205" s="31" t="n">
        <v>23.8</v>
      </c>
      <c r="J205" s="2" t="s">
        <v>2697</v>
      </c>
      <c r="K205" s="38" t="n">
        <v>0.00446030330062444</v>
      </c>
      <c r="L205" s="31" t="n">
        <v>4.6</v>
      </c>
      <c r="M205" s="39" t="s">
        <v>671</v>
      </c>
      <c r="N205" s="2" t="s">
        <v>19</v>
      </c>
      <c r="O205" s="2" t="s">
        <v>19</v>
      </c>
      <c r="P205" s="2" t="s">
        <v>19</v>
      </c>
      <c r="Q205" s="2" t="s">
        <v>19</v>
      </c>
    </row>
    <row r="206" customFormat="false" ht="15" hidden="false" customHeight="false" outlineLevel="0" collapsed="false">
      <c r="A206" s="2" t="s">
        <v>1981</v>
      </c>
      <c r="B206" s="2" t="s">
        <v>45</v>
      </c>
      <c r="C206" s="15" t="s">
        <v>2761</v>
      </c>
      <c r="D206" s="44" t="n">
        <v>117212</v>
      </c>
      <c r="E206" s="2" t="s">
        <v>670</v>
      </c>
      <c r="F206" s="45" t="n">
        <v>0.785312084086954</v>
      </c>
      <c r="G206" s="31" t="n">
        <v>63.9</v>
      </c>
      <c r="H206" s="46" t="n">
        <v>0.103711934311381</v>
      </c>
      <c r="I206" s="31" t="n">
        <v>60.9</v>
      </c>
      <c r="J206" s="2" t="s">
        <v>2698</v>
      </c>
      <c r="K206" s="33"/>
      <c r="L206" s="31"/>
      <c r="M206" s="34" t="s">
        <v>668</v>
      </c>
      <c r="N206" s="2" t="s">
        <v>17</v>
      </c>
      <c r="O206" s="2" t="s">
        <v>17</v>
      </c>
      <c r="P206" s="2" t="s">
        <v>17</v>
      </c>
      <c r="Q206" s="2"/>
    </row>
    <row r="207" customFormat="false" ht="15" hidden="false" customHeight="false" outlineLevel="0" collapsed="false">
      <c r="A207" s="2" t="s">
        <v>1981</v>
      </c>
      <c r="B207" s="2" t="s">
        <v>46</v>
      </c>
      <c r="C207" s="14" t="s">
        <v>2762</v>
      </c>
      <c r="D207" s="40" t="n">
        <v>565300</v>
      </c>
      <c r="E207" s="2" t="s">
        <v>670</v>
      </c>
      <c r="F207" s="41" t="n">
        <v>1.45399433928887</v>
      </c>
      <c r="G207" s="31" t="n">
        <v>13.7</v>
      </c>
      <c r="H207" s="42" t="n">
        <v>0.186956704321169</v>
      </c>
      <c r="I207" s="31" t="n">
        <v>95.4</v>
      </c>
      <c r="J207" s="2" t="s">
        <v>2705</v>
      </c>
      <c r="K207" s="33"/>
      <c r="L207" s="31"/>
      <c r="M207" s="34" t="s">
        <v>668</v>
      </c>
      <c r="N207" s="2" t="s">
        <v>21</v>
      </c>
      <c r="O207" s="2" t="s">
        <v>21</v>
      </c>
      <c r="P207" s="2" t="s">
        <v>21</v>
      </c>
      <c r="Q207" s="2"/>
    </row>
    <row r="208" customFormat="false" ht="15" hidden="false" customHeight="false" outlineLevel="0" collapsed="false">
      <c r="A208" s="2" t="s">
        <v>1981</v>
      </c>
      <c r="B208" s="2" t="s">
        <v>47</v>
      </c>
      <c r="C208" s="14" t="s">
        <v>1982</v>
      </c>
      <c r="D208" s="40" t="n">
        <v>141580</v>
      </c>
      <c r="E208" s="2" t="s">
        <v>670</v>
      </c>
      <c r="F208" s="41" t="n">
        <v>5.22330131374488</v>
      </c>
      <c r="G208" s="31" t="n">
        <v>97.5</v>
      </c>
      <c r="H208" s="42" t="n">
        <v>0.0485077390209583</v>
      </c>
      <c r="I208" s="31" t="n">
        <v>33.7</v>
      </c>
      <c r="J208" s="2" t="s">
        <v>2701</v>
      </c>
      <c r="K208" s="43" t="n">
        <v>0.0996078705972971</v>
      </c>
      <c r="L208" s="31" t="n">
        <v>54.5</v>
      </c>
      <c r="M208" s="39" t="s">
        <v>671</v>
      </c>
      <c r="N208" s="2" t="s">
        <v>21</v>
      </c>
      <c r="O208" s="2" t="s">
        <v>21</v>
      </c>
      <c r="P208" s="2" t="s">
        <v>21</v>
      </c>
      <c r="Q208" s="2" t="s">
        <v>21</v>
      </c>
    </row>
    <row r="209" customFormat="false" ht="15" hidden="false" customHeight="false" outlineLevel="0" collapsed="false">
      <c r="A209" s="2" t="s">
        <v>426</v>
      </c>
      <c r="B209" s="2" t="s">
        <v>45</v>
      </c>
      <c r="C209" s="14" t="s">
        <v>1051</v>
      </c>
      <c r="D209" s="40" t="n">
        <v>35430</v>
      </c>
      <c r="E209" s="2" t="s">
        <v>667</v>
      </c>
      <c r="F209" s="41" t="n">
        <v>0.591137454134914</v>
      </c>
      <c r="G209" s="31" t="n">
        <v>48.3</v>
      </c>
      <c r="H209" s="42" t="n">
        <v>0.0697463768115942</v>
      </c>
      <c r="I209" s="31" t="n">
        <v>38.5</v>
      </c>
      <c r="J209" s="2" t="s">
        <v>2704</v>
      </c>
      <c r="K209" s="43" t="n">
        <v>0.0512956107879429</v>
      </c>
      <c r="L209" s="31" t="n">
        <v>13.5</v>
      </c>
      <c r="M209" s="39" t="s">
        <v>671</v>
      </c>
      <c r="N209" s="2" t="s">
        <v>21</v>
      </c>
      <c r="O209" s="2" t="s">
        <v>21</v>
      </c>
      <c r="P209" s="2" t="s">
        <v>21</v>
      </c>
      <c r="Q209" s="2" t="s">
        <v>21</v>
      </c>
    </row>
    <row r="210" customFormat="false" ht="15" hidden="false" customHeight="false" outlineLevel="0" collapsed="false">
      <c r="A210" s="2" t="s">
        <v>426</v>
      </c>
      <c r="B210" s="2" t="s">
        <v>46</v>
      </c>
      <c r="C210" s="14" t="s">
        <v>1742</v>
      </c>
      <c r="D210" s="40" t="n">
        <v>6340</v>
      </c>
      <c r="E210" s="2" t="s">
        <v>678</v>
      </c>
      <c r="F210" s="41" t="n">
        <v>2.54605678233439</v>
      </c>
      <c r="G210" s="31" t="n">
        <v>39.1</v>
      </c>
      <c r="H210" s="42" t="n">
        <v>0.207619047619048</v>
      </c>
      <c r="I210" s="31" t="n">
        <v>91.7</v>
      </c>
      <c r="J210" s="2" t="s">
        <v>2720</v>
      </c>
      <c r="K210" s="43" t="n">
        <v>0.229150428682775</v>
      </c>
      <c r="L210" s="31" t="n">
        <v>77.5</v>
      </c>
      <c r="M210" s="39" t="s">
        <v>671</v>
      </c>
      <c r="N210" s="2" t="s">
        <v>21</v>
      </c>
      <c r="O210" s="2" t="s">
        <v>21</v>
      </c>
      <c r="P210" s="2" t="s">
        <v>21</v>
      </c>
      <c r="Q210" s="2" t="s">
        <v>21</v>
      </c>
    </row>
    <row r="211" customFormat="false" ht="15" hidden="false" customHeight="false" outlineLevel="0" collapsed="false">
      <c r="A211" s="2" t="s">
        <v>584</v>
      </c>
      <c r="B211" s="2" t="s">
        <v>46</v>
      </c>
      <c r="C211" s="13" t="s">
        <v>1833</v>
      </c>
      <c r="D211" s="35" t="n">
        <v>168708</v>
      </c>
      <c r="E211" s="2" t="s">
        <v>670</v>
      </c>
      <c r="F211" s="36" t="n">
        <v>1.83428764492496</v>
      </c>
      <c r="G211" s="31" t="n">
        <v>23</v>
      </c>
      <c r="H211" s="37" t="n">
        <v>0.0825649219396693</v>
      </c>
      <c r="I211" s="31" t="n">
        <v>49.7</v>
      </c>
      <c r="J211" s="2" t="s">
        <v>2705</v>
      </c>
      <c r="K211" s="38" t="n">
        <v>0.201646090534979</v>
      </c>
      <c r="L211" s="31" t="n">
        <v>72.3</v>
      </c>
      <c r="M211" s="39" t="s">
        <v>671</v>
      </c>
      <c r="N211" s="2" t="s">
        <v>19</v>
      </c>
      <c r="O211" s="2" t="s">
        <v>19</v>
      </c>
      <c r="P211" s="2" t="s">
        <v>19</v>
      </c>
      <c r="Q211" s="2" t="s">
        <v>19</v>
      </c>
    </row>
    <row r="212" customFormat="false" ht="15" hidden="false" customHeight="false" outlineLevel="0" collapsed="false">
      <c r="A212" s="2" t="s">
        <v>406</v>
      </c>
      <c r="B212" s="2" t="s">
        <v>45</v>
      </c>
      <c r="C212" s="13" t="s">
        <v>1345</v>
      </c>
      <c r="D212" s="35" t="n">
        <v>14248</v>
      </c>
      <c r="E212" s="2" t="s">
        <v>667</v>
      </c>
      <c r="F212" s="36" t="n">
        <v>0.158618753509265</v>
      </c>
      <c r="G212" s="31" t="n">
        <v>5.3</v>
      </c>
      <c r="H212" s="37" t="n">
        <v>-0.0602203020908911</v>
      </c>
      <c r="I212" s="31" t="n">
        <v>2.8</v>
      </c>
      <c r="J212" s="2" t="s">
        <v>2704</v>
      </c>
      <c r="K212" s="43" t="n">
        <v>0.182795698924731</v>
      </c>
      <c r="L212" s="31" t="n">
        <v>65.5</v>
      </c>
      <c r="M212" s="39" t="s">
        <v>671</v>
      </c>
      <c r="N212" s="2" t="s">
        <v>19</v>
      </c>
      <c r="O212" s="2" t="s">
        <v>19</v>
      </c>
      <c r="P212" s="2" t="s">
        <v>19</v>
      </c>
      <c r="Q212" s="2" t="s">
        <v>21</v>
      </c>
    </row>
    <row r="213" customFormat="false" ht="15" hidden="false" customHeight="false" outlineLevel="0" collapsed="false">
      <c r="A213" s="2" t="s">
        <v>406</v>
      </c>
      <c r="B213" s="2" t="s">
        <v>46</v>
      </c>
      <c r="C213" s="13" t="s">
        <v>1527</v>
      </c>
      <c r="D213" s="35" t="n">
        <v>81620</v>
      </c>
      <c r="E213" s="2" t="s">
        <v>667</v>
      </c>
      <c r="F213" s="36" t="n">
        <v>5.43130360205832</v>
      </c>
      <c r="G213" s="31" t="n">
        <v>77</v>
      </c>
      <c r="H213" s="37" t="n">
        <v>0.154014732704625</v>
      </c>
      <c r="I213" s="31" t="n">
        <v>80.9</v>
      </c>
      <c r="J213" s="2" t="s">
        <v>2700</v>
      </c>
      <c r="K213" s="38" t="n">
        <v>0.0904770134808158</v>
      </c>
      <c r="L213" s="31" t="n">
        <v>28</v>
      </c>
      <c r="M213" s="39" t="s">
        <v>671</v>
      </c>
      <c r="N213" s="2" t="s">
        <v>19</v>
      </c>
      <c r="O213" s="2" t="s">
        <v>19</v>
      </c>
      <c r="P213" s="2" t="s">
        <v>19</v>
      </c>
      <c r="Q213" s="2" t="s">
        <v>19</v>
      </c>
    </row>
    <row r="214" customFormat="false" ht="15" hidden="false" customHeight="false" outlineLevel="0" collapsed="false">
      <c r="A214" s="2" t="s">
        <v>406</v>
      </c>
      <c r="B214" s="2" t="s">
        <v>47</v>
      </c>
      <c r="C214" s="13" t="s">
        <v>2271</v>
      </c>
      <c r="D214" s="35" t="n">
        <v>46852</v>
      </c>
      <c r="E214" s="2" t="s">
        <v>667</v>
      </c>
      <c r="F214" s="36" t="n">
        <v>1.4243788952446</v>
      </c>
      <c r="G214" s="31" t="n">
        <v>56.3</v>
      </c>
      <c r="H214" s="37" t="n">
        <v>0.162926926131851</v>
      </c>
      <c r="I214" s="31" t="n">
        <v>82.6</v>
      </c>
      <c r="J214" s="2" t="s">
        <v>2697</v>
      </c>
      <c r="K214" s="38" t="n">
        <v>0.0379452762003098</v>
      </c>
      <c r="L214" s="31" t="n">
        <v>24.6</v>
      </c>
      <c r="M214" s="39" t="s">
        <v>671</v>
      </c>
      <c r="N214" s="2" t="s">
        <v>19</v>
      </c>
      <c r="O214" s="2" t="s">
        <v>19</v>
      </c>
      <c r="P214" s="2" t="s">
        <v>19</v>
      </c>
      <c r="Q214" s="2" t="s">
        <v>19</v>
      </c>
    </row>
    <row r="215" customFormat="false" ht="15" hidden="false" customHeight="false" outlineLevel="0" collapsed="false">
      <c r="A215" s="2" t="s">
        <v>1875</v>
      </c>
      <c r="B215" s="2" t="s">
        <v>45</v>
      </c>
      <c r="C215" s="13" t="s">
        <v>2763</v>
      </c>
      <c r="D215" s="35" t="n">
        <v>3279</v>
      </c>
      <c r="E215" s="2" t="s">
        <v>678</v>
      </c>
      <c r="F215" s="36" t="n">
        <v>0.756023177798109</v>
      </c>
      <c r="G215" s="31" t="n">
        <v>61.8</v>
      </c>
      <c r="H215" s="37" t="n">
        <v>0.0919080919080919</v>
      </c>
      <c r="I215" s="31" t="n">
        <v>59.3</v>
      </c>
      <c r="J215" s="2" t="s">
        <v>2713</v>
      </c>
      <c r="K215" s="33"/>
      <c r="L215" s="31"/>
      <c r="M215" s="34" t="s">
        <v>668</v>
      </c>
      <c r="N215" s="2" t="s">
        <v>19</v>
      </c>
      <c r="O215" s="2" t="s">
        <v>19</v>
      </c>
      <c r="P215" s="2" t="s">
        <v>19</v>
      </c>
      <c r="Q215" s="2"/>
    </row>
    <row r="216" customFormat="false" ht="15" hidden="false" customHeight="false" outlineLevel="0" collapsed="false">
      <c r="A216" s="2" t="s">
        <v>1875</v>
      </c>
      <c r="B216" s="2" t="s">
        <v>46</v>
      </c>
      <c r="C216" s="13" t="s">
        <v>1876</v>
      </c>
      <c r="D216" s="35" t="n">
        <v>59790</v>
      </c>
      <c r="E216" s="2" t="s">
        <v>667</v>
      </c>
      <c r="F216" s="36" t="n">
        <v>1.59816022746279</v>
      </c>
      <c r="G216" s="31" t="n">
        <v>17.1</v>
      </c>
      <c r="H216" s="42" t="n">
        <v>-0.0518397383483238</v>
      </c>
      <c r="I216" s="31" t="n">
        <v>3.7</v>
      </c>
      <c r="J216" s="2" t="s">
        <v>2700</v>
      </c>
      <c r="K216" s="38" t="n">
        <v>0.00691509796388782</v>
      </c>
      <c r="L216" s="31" t="n">
        <v>1.6</v>
      </c>
      <c r="M216" s="39" t="s">
        <v>671</v>
      </c>
      <c r="N216" s="2" t="s">
        <v>19</v>
      </c>
      <c r="O216" s="2" t="s">
        <v>19</v>
      </c>
      <c r="P216" s="2" t="s">
        <v>21</v>
      </c>
      <c r="Q216" s="2" t="s">
        <v>19</v>
      </c>
    </row>
    <row r="217" customFormat="false" ht="15" hidden="false" customHeight="false" outlineLevel="0" collapsed="false">
      <c r="A217" s="2" t="s">
        <v>2764</v>
      </c>
      <c r="B217" s="2" t="s">
        <v>45</v>
      </c>
      <c r="C217" s="14" t="s">
        <v>2765</v>
      </c>
      <c r="D217" s="40" t="n">
        <v>51090</v>
      </c>
      <c r="E217" s="2" t="s">
        <v>667</v>
      </c>
      <c r="F217" s="41" t="n">
        <v>0.425269132902721</v>
      </c>
      <c r="G217" s="31" t="n">
        <v>33.8</v>
      </c>
      <c r="H217" s="42" t="n">
        <v>0.184009269988413</v>
      </c>
      <c r="I217" s="31" t="n">
        <v>87.7</v>
      </c>
      <c r="J217" s="2" t="s">
        <v>2704</v>
      </c>
      <c r="K217" s="33"/>
      <c r="L217" s="31"/>
      <c r="M217" s="34" t="s">
        <v>668</v>
      </c>
      <c r="N217" s="2" t="s">
        <v>21</v>
      </c>
      <c r="O217" s="2" t="s">
        <v>21</v>
      </c>
      <c r="P217" s="2" t="s">
        <v>21</v>
      </c>
      <c r="Q217" s="2"/>
    </row>
    <row r="218" customFormat="false" ht="15" hidden="false" customHeight="false" outlineLevel="0" collapsed="false">
      <c r="A218" s="2" t="s">
        <v>2764</v>
      </c>
      <c r="B218" s="2" t="s">
        <v>46</v>
      </c>
      <c r="C218" s="14" t="s">
        <v>2766</v>
      </c>
      <c r="D218" s="29"/>
      <c r="E218" s="2"/>
      <c r="F218" s="30"/>
      <c r="G218" s="31"/>
      <c r="H218" s="32"/>
      <c r="I218" s="31"/>
      <c r="J218" s="2"/>
      <c r="K218" s="43" t="n">
        <v>0.171001449712211</v>
      </c>
      <c r="L218" s="31" t="n">
        <v>63.7</v>
      </c>
      <c r="M218" s="34" t="s">
        <v>668</v>
      </c>
      <c r="N218" s="2"/>
      <c r="O218" s="2"/>
      <c r="P218" s="2"/>
      <c r="Q218" s="2" t="s">
        <v>21</v>
      </c>
    </row>
    <row r="219" customFormat="false" ht="15" hidden="false" customHeight="false" outlineLevel="0" collapsed="false">
      <c r="A219" s="2" t="s">
        <v>2764</v>
      </c>
      <c r="B219" s="2" t="s">
        <v>47</v>
      </c>
      <c r="C219" s="16"/>
      <c r="D219" s="29"/>
      <c r="E219" s="2"/>
      <c r="F219" s="30"/>
      <c r="G219" s="31"/>
      <c r="H219" s="32"/>
      <c r="I219" s="31"/>
      <c r="J219" s="2"/>
      <c r="K219" s="33"/>
      <c r="L219" s="31"/>
      <c r="M219" s="34" t="s">
        <v>668</v>
      </c>
      <c r="N219" s="2"/>
      <c r="O219" s="2"/>
      <c r="P219" s="2"/>
      <c r="Q219" s="2"/>
    </row>
    <row r="220" customFormat="false" ht="15" hidden="false" customHeight="false" outlineLevel="0" collapsed="false">
      <c r="A220" s="2" t="s">
        <v>578</v>
      </c>
      <c r="B220" s="2" t="s">
        <v>45</v>
      </c>
      <c r="C220" s="14" t="s">
        <v>1227</v>
      </c>
      <c r="D220" s="40" t="n">
        <v>50330</v>
      </c>
      <c r="E220" s="2" t="s">
        <v>667</v>
      </c>
      <c r="F220" s="41" t="n">
        <v>0.347725014901649</v>
      </c>
      <c r="G220" s="31" t="n">
        <v>24.4</v>
      </c>
      <c r="H220" s="42" t="n">
        <v>0.0791166380789022</v>
      </c>
      <c r="I220" s="31" t="n">
        <v>46</v>
      </c>
      <c r="J220" s="2" t="s">
        <v>2704</v>
      </c>
      <c r="K220" s="43" t="n">
        <v>0.190824468085106</v>
      </c>
      <c r="L220" s="31" t="n">
        <v>67.4</v>
      </c>
      <c r="M220" s="39" t="s">
        <v>671</v>
      </c>
      <c r="N220" s="2" t="s">
        <v>21</v>
      </c>
      <c r="O220" s="2" t="s">
        <v>21</v>
      </c>
      <c r="P220" s="2" t="s">
        <v>21</v>
      </c>
      <c r="Q220" s="2" t="s">
        <v>21</v>
      </c>
    </row>
    <row r="221" customFormat="false" ht="15" hidden="false" customHeight="false" outlineLevel="0" collapsed="false">
      <c r="A221" s="2" t="s">
        <v>1413</v>
      </c>
      <c r="B221" s="2" t="s">
        <v>45</v>
      </c>
      <c r="C221" s="14" t="s">
        <v>2767</v>
      </c>
      <c r="D221" s="40" t="n">
        <v>204220</v>
      </c>
      <c r="E221" s="2" t="s">
        <v>670</v>
      </c>
      <c r="F221" s="41" t="n">
        <v>2.77739692488493</v>
      </c>
      <c r="G221" s="31" t="n">
        <v>97.9</v>
      </c>
      <c r="H221" s="42" t="n">
        <v>0.0543652227786669</v>
      </c>
      <c r="I221" s="31" t="n">
        <v>34.8</v>
      </c>
      <c r="J221" s="2" t="s">
        <v>2698</v>
      </c>
      <c r="K221" s="33"/>
      <c r="L221" s="31"/>
      <c r="M221" s="34" t="s">
        <v>668</v>
      </c>
      <c r="N221" s="2" t="s">
        <v>21</v>
      </c>
      <c r="O221" s="2" t="s">
        <v>21</v>
      </c>
      <c r="P221" s="2" t="s">
        <v>21</v>
      </c>
      <c r="Q221" s="2"/>
    </row>
    <row r="222" customFormat="false" ht="15" hidden="false" customHeight="false" outlineLevel="0" collapsed="false">
      <c r="A222" s="2" t="s">
        <v>1413</v>
      </c>
      <c r="B222" s="2" t="s">
        <v>46</v>
      </c>
      <c r="C222" s="13" t="s">
        <v>1414</v>
      </c>
      <c r="D222" s="35" t="n">
        <v>3409</v>
      </c>
      <c r="E222" s="2" t="s">
        <v>678</v>
      </c>
      <c r="F222" s="36" t="n">
        <v>9.09093575828689</v>
      </c>
      <c r="G222" s="31" t="n">
        <v>93.9</v>
      </c>
      <c r="H222" s="37" t="n">
        <v>0.0706658291457286</v>
      </c>
      <c r="I222" s="31" t="n">
        <v>31.2</v>
      </c>
      <c r="J222" s="2" t="s">
        <v>2720</v>
      </c>
      <c r="K222" s="38" t="n">
        <v>0.0685061845861085</v>
      </c>
      <c r="L222" s="31" t="n">
        <v>21</v>
      </c>
      <c r="M222" s="39" t="s">
        <v>671</v>
      </c>
      <c r="N222" s="2" t="s">
        <v>19</v>
      </c>
      <c r="O222" s="2" t="s">
        <v>19</v>
      </c>
      <c r="P222" s="2" t="s">
        <v>19</v>
      </c>
      <c r="Q222" s="2" t="s">
        <v>19</v>
      </c>
    </row>
    <row r="223" customFormat="false" ht="15" hidden="false" customHeight="false" outlineLevel="0" collapsed="false">
      <c r="A223" s="2" t="s">
        <v>1413</v>
      </c>
      <c r="B223" s="2" t="s">
        <v>47</v>
      </c>
      <c r="C223" s="13" t="s">
        <v>2153</v>
      </c>
      <c r="D223" s="35" t="n">
        <v>1599692</v>
      </c>
      <c r="E223" s="2" t="s">
        <v>752</v>
      </c>
      <c r="F223" s="36" t="n">
        <v>1.93469555389413</v>
      </c>
      <c r="G223" s="31" t="n">
        <v>71.3</v>
      </c>
      <c r="H223" s="37" t="n">
        <v>0.0517992517637467</v>
      </c>
      <c r="I223" s="31" t="n">
        <v>60</v>
      </c>
      <c r="J223" s="2" t="s">
        <v>2738</v>
      </c>
      <c r="K223" s="38" t="n">
        <v>0.0215233383661538</v>
      </c>
      <c r="L223" s="31" t="n">
        <v>13.3</v>
      </c>
      <c r="M223" s="39" t="s">
        <v>671</v>
      </c>
      <c r="N223" s="2" t="s">
        <v>19</v>
      </c>
      <c r="O223" s="2" t="s">
        <v>19</v>
      </c>
      <c r="P223" s="2" t="s">
        <v>19</v>
      </c>
      <c r="Q223" s="2" t="s">
        <v>19</v>
      </c>
    </row>
    <row r="224" customFormat="false" ht="15" hidden="false" customHeight="false" outlineLevel="0" collapsed="false">
      <c r="A224" s="2" t="s">
        <v>2768</v>
      </c>
      <c r="B224" s="2" t="s">
        <v>45</v>
      </c>
      <c r="C224" s="16"/>
      <c r="D224" s="29"/>
      <c r="E224" s="2"/>
      <c r="F224" s="30"/>
      <c r="G224" s="31"/>
      <c r="H224" s="32"/>
      <c r="I224" s="31"/>
      <c r="J224" s="2"/>
      <c r="K224" s="33"/>
      <c r="L224" s="31"/>
      <c r="M224" s="34" t="s">
        <v>668</v>
      </c>
      <c r="N224" s="2"/>
      <c r="O224" s="2"/>
      <c r="P224" s="2"/>
      <c r="Q224" s="2"/>
    </row>
    <row r="225" customFormat="false" ht="15" hidden="false" customHeight="false" outlineLevel="0" collapsed="false">
      <c r="A225" s="2" t="s">
        <v>1682</v>
      </c>
      <c r="B225" s="2" t="s">
        <v>45</v>
      </c>
      <c r="C225" s="15" t="s">
        <v>2769</v>
      </c>
      <c r="D225" s="29"/>
      <c r="E225" s="2"/>
      <c r="F225" s="30"/>
      <c r="G225" s="31"/>
      <c r="H225" s="32"/>
      <c r="I225" s="31"/>
      <c r="J225" s="2"/>
      <c r="K225" s="33"/>
      <c r="L225" s="31"/>
      <c r="M225" s="34" t="s">
        <v>668</v>
      </c>
      <c r="N225" s="2"/>
      <c r="O225" s="2"/>
      <c r="P225" s="2"/>
      <c r="Q225" s="2"/>
    </row>
    <row r="226" customFormat="false" ht="15" hidden="false" customHeight="false" outlineLevel="0" collapsed="false">
      <c r="A226" s="2" t="s">
        <v>1682</v>
      </c>
      <c r="B226" s="2" t="s">
        <v>46</v>
      </c>
      <c r="C226" s="13" t="s">
        <v>1683</v>
      </c>
      <c r="D226" s="40" t="n">
        <v>29410</v>
      </c>
      <c r="E226" s="2" t="s">
        <v>667</v>
      </c>
      <c r="F226" s="41" t="n">
        <v>3.13471608296498</v>
      </c>
      <c r="G226" s="31" t="n">
        <v>49.7</v>
      </c>
      <c r="H226" s="42" t="n">
        <v>0.0218902015288395</v>
      </c>
      <c r="I226" s="31" t="n">
        <v>17.8</v>
      </c>
      <c r="J226" s="2" t="s">
        <v>2700</v>
      </c>
      <c r="K226" s="43" t="n">
        <v>0.371225577264654</v>
      </c>
      <c r="L226" s="31" t="n">
        <v>96.6</v>
      </c>
      <c r="M226" s="39" t="s">
        <v>671</v>
      </c>
      <c r="N226" s="2" t="s">
        <v>21</v>
      </c>
      <c r="O226" s="2" t="s">
        <v>21</v>
      </c>
      <c r="P226" s="2" t="s">
        <v>21</v>
      </c>
      <c r="Q226" s="2" t="s">
        <v>21</v>
      </c>
    </row>
    <row r="227" customFormat="false" ht="15" hidden="false" customHeight="false" outlineLevel="0" collapsed="false">
      <c r="A227" s="2" t="s">
        <v>1682</v>
      </c>
      <c r="B227" s="2" t="s">
        <v>47</v>
      </c>
      <c r="C227" s="13" t="s">
        <v>2630</v>
      </c>
      <c r="D227" s="35" t="n">
        <v>24610</v>
      </c>
      <c r="E227" s="2" t="s">
        <v>667</v>
      </c>
      <c r="F227" s="36" t="n">
        <v>0.432954083705811</v>
      </c>
      <c r="G227" s="31" t="n">
        <v>9.1</v>
      </c>
      <c r="H227" s="37" t="n">
        <v>0.0821863594388989</v>
      </c>
      <c r="I227" s="31" t="n">
        <v>46.8</v>
      </c>
      <c r="J227" s="2" t="s">
        <v>2697</v>
      </c>
      <c r="K227" s="38" t="n">
        <v>0.304709141274238</v>
      </c>
      <c r="L227" s="31" t="n">
        <v>96.2</v>
      </c>
      <c r="M227" s="39" t="s">
        <v>671</v>
      </c>
      <c r="N227" s="2" t="s">
        <v>19</v>
      </c>
      <c r="O227" s="2" t="s">
        <v>19</v>
      </c>
      <c r="P227" s="2" t="s">
        <v>19</v>
      </c>
      <c r="Q227" s="2" t="s">
        <v>19</v>
      </c>
    </row>
    <row r="228" customFormat="false" ht="15" hidden="false" customHeight="false" outlineLevel="0" collapsed="false">
      <c r="A228" s="2" t="s">
        <v>1764</v>
      </c>
      <c r="B228" s="2" t="s">
        <v>45</v>
      </c>
      <c r="C228" s="16"/>
      <c r="D228" s="29"/>
      <c r="E228" s="2"/>
      <c r="F228" s="30"/>
      <c r="G228" s="31"/>
      <c r="H228" s="32"/>
      <c r="I228" s="31"/>
      <c r="J228" s="2"/>
      <c r="K228" s="33"/>
      <c r="L228" s="31"/>
      <c r="M228" s="34" t="s">
        <v>668</v>
      </c>
      <c r="N228" s="2"/>
      <c r="O228" s="2"/>
      <c r="P228" s="2"/>
      <c r="Q228" s="2"/>
    </row>
    <row r="229" customFormat="false" ht="15" hidden="false" customHeight="false" outlineLevel="0" collapsed="false">
      <c r="A229" s="2" t="s">
        <v>1764</v>
      </c>
      <c r="B229" s="2" t="s">
        <v>46</v>
      </c>
      <c r="C229" s="13" t="s">
        <v>1765</v>
      </c>
      <c r="D229" s="35" t="n">
        <v>34057</v>
      </c>
      <c r="E229" s="2" t="s">
        <v>667</v>
      </c>
      <c r="F229" s="36" t="n">
        <v>2.38664591713891</v>
      </c>
      <c r="G229" s="31" t="n">
        <v>34.9</v>
      </c>
      <c r="H229" s="37" t="n">
        <v>0.0867983533841785</v>
      </c>
      <c r="I229" s="31" t="n">
        <v>48.1</v>
      </c>
      <c r="J229" s="2" t="s">
        <v>2700</v>
      </c>
      <c r="K229" s="38" t="n">
        <v>0.305765595463138</v>
      </c>
      <c r="L229" s="31" t="n">
        <v>91.7</v>
      </c>
      <c r="M229" s="39" t="s">
        <v>671</v>
      </c>
      <c r="N229" s="2" t="s">
        <v>19</v>
      </c>
      <c r="O229" s="2" t="s">
        <v>19</v>
      </c>
      <c r="P229" s="2" t="s">
        <v>19</v>
      </c>
      <c r="Q229" s="2" t="s">
        <v>19</v>
      </c>
    </row>
    <row r="230" customFormat="false" ht="15" hidden="false" customHeight="false" outlineLevel="0" collapsed="false">
      <c r="A230" s="2" t="s">
        <v>1764</v>
      </c>
      <c r="B230" s="2" t="s">
        <v>47</v>
      </c>
      <c r="C230" s="13" t="s">
        <v>2182</v>
      </c>
      <c r="D230" s="35" t="n">
        <v>4722</v>
      </c>
      <c r="E230" s="2" t="s">
        <v>678</v>
      </c>
      <c r="F230" s="36" t="n">
        <v>1.78843710292249</v>
      </c>
      <c r="G230" s="31" t="n">
        <v>67.7</v>
      </c>
      <c r="H230" s="37" t="n">
        <v>0.248545742993125</v>
      </c>
      <c r="I230" s="31" t="n">
        <v>97.3</v>
      </c>
      <c r="J230" s="2" t="s">
        <v>2706</v>
      </c>
      <c r="K230" s="38" t="n">
        <v>0.0246305418719212</v>
      </c>
      <c r="L230" s="31" t="n">
        <v>14.9</v>
      </c>
      <c r="M230" s="39" t="s">
        <v>671</v>
      </c>
      <c r="N230" s="2" t="s">
        <v>19</v>
      </c>
      <c r="O230" s="2" t="s">
        <v>19</v>
      </c>
      <c r="P230" s="2" t="s">
        <v>19</v>
      </c>
      <c r="Q230" s="2" t="s">
        <v>19</v>
      </c>
    </row>
    <row r="231" customFormat="false" ht="15" hidden="false" customHeight="false" outlineLevel="0" collapsed="false">
      <c r="A231" s="2" t="s">
        <v>2390</v>
      </c>
      <c r="B231" s="2" t="s">
        <v>45</v>
      </c>
      <c r="C231" s="16"/>
      <c r="D231" s="29"/>
      <c r="E231" s="2"/>
      <c r="F231" s="30"/>
      <c r="G231" s="31"/>
      <c r="H231" s="32"/>
      <c r="I231" s="31"/>
      <c r="J231" s="2"/>
      <c r="K231" s="33"/>
      <c r="L231" s="31"/>
      <c r="M231" s="34" t="s">
        <v>668</v>
      </c>
      <c r="N231" s="2"/>
      <c r="O231" s="2"/>
      <c r="P231" s="2"/>
      <c r="Q231" s="2"/>
    </row>
    <row r="232" customFormat="false" ht="15" hidden="false" customHeight="false" outlineLevel="0" collapsed="false">
      <c r="A232" s="2" t="s">
        <v>2390</v>
      </c>
      <c r="B232" s="2" t="s">
        <v>46</v>
      </c>
      <c r="C232" s="16"/>
      <c r="D232" s="29"/>
      <c r="E232" s="2"/>
      <c r="F232" s="30"/>
      <c r="G232" s="31"/>
      <c r="H232" s="32"/>
      <c r="I232" s="31"/>
      <c r="J232" s="2"/>
      <c r="K232" s="33"/>
      <c r="L232" s="31"/>
      <c r="M232" s="34" t="s">
        <v>668</v>
      </c>
      <c r="N232" s="2"/>
      <c r="O232" s="2"/>
      <c r="P232" s="2"/>
      <c r="Q232" s="2"/>
    </row>
    <row r="233" customFormat="false" ht="15" hidden="false" customHeight="false" outlineLevel="0" collapsed="false">
      <c r="A233" s="2" t="s">
        <v>2390</v>
      </c>
      <c r="B233" s="2" t="s">
        <v>47</v>
      </c>
      <c r="C233" s="13" t="s">
        <v>2391</v>
      </c>
      <c r="D233" s="35" t="n">
        <v>240020</v>
      </c>
      <c r="E233" s="2" t="s">
        <v>670</v>
      </c>
      <c r="F233" s="36" t="n">
        <v>1.04509624197984</v>
      </c>
      <c r="G233" s="31" t="n">
        <v>40.1</v>
      </c>
      <c r="H233" s="37" t="n">
        <v>0.0479437999641982</v>
      </c>
      <c r="I233" s="31" t="n">
        <v>33.1</v>
      </c>
      <c r="J233" s="2" t="s">
        <v>2701</v>
      </c>
      <c r="K233" s="38" t="n">
        <v>0.154872116742507</v>
      </c>
      <c r="L233" s="31" t="n">
        <v>72.4</v>
      </c>
      <c r="M233" s="39" t="s">
        <v>671</v>
      </c>
      <c r="N233" s="2" t="s">
        <v>19</v>
      </c>
      <c r="O233" s="2" t="s">
        <v>19</v>
      </c>
      <c r="P233" s="2" t="s">
        <v>19</v>
      </c>
      <c r="Q233" s="2" t="s">
        <v>19</v>
      </c>
    </row>
    <row r="234" customFormat="false" ht="15" hidden="false" customHeight="false" outlineLevel="0" collapsed="false">
      <c r="A234" s="2" t="s">
        <v>2770</v>
      </c>
      <c r="B234" s="2" t="s">
        <v>46</v>
      </c>
      <c r="C234" s="14" t="s">
        <v>2771</v>
      </c>
      <c r="D234" s="29"/>
      <c r="E234" s="2"/>
      <c r="F234" s="30"/>
      <c r="G234" s="31"/>
      <c r="H234" s="32"/>
      <c r="I234" s="31"/>
      <c r="J234" s="2"/>
      <c r="K234" s="43" t="n">
        <v>0.188548636977948</v>
      </c>
      <c r="L234" s="31" t="n">
        <v>68.9</v>
      </c>
      <c r="M234" s="34" t="s">
        <v>668</v>
      </c>
      <c r="N234" s="2"/>
      <c r="O234" s="2"/>
      <c r="P234" s="2"/>
      <c r="Q234" s="2" t="s">
        <v>21</v>
      </c>
    </row>
    <row r="235" customFormat="false" ht="15" hidden="false" customHeight="false" outlineLevel="0" collapsed="false">
      <c r="A235" s="2" t="s">
        <v>2770</v>
      </c>
      <c r="B235" s="2" t="s">
        <v>47</v>
      </c>
      <c r="C235" s="16"/>
      <c r="D235" s="29"/>
      <c r="E235" s="2"/>
      <c r="F235" s="30"/>
      <c r="G235" s="31"/>
      <c r="H235" s="32"/>
      <c r="I235" s="31"/>
      <c r="J235" s="2"/>
      <c r="K235" s="33"/>
      <c r="L235" s="31"/>
      <c r="M235" s="34" t="s">
        <v>668</v>
      </c>
      <c r="N235" s="2"/>
      <c r="O235" s="2"/>
      <c r="P235" s="2"/>
      <c r="Q235" s="2"/>
    </row>
    <row r="236" customFormat="false" ht="15" hidden="false" customHeight="false" outlineLevel="0" collapsed="false">
      <c r="A236" s="2" t="s">
        <v>2772</v>
      </c>
      <c r="B236" s="2" t="s">
        <v>45</v>
      </c>
      <c r="C236" s="14" t="s">
        <v>2773</v>
      </c>
      <c r="D236" s="40" t="n">
        <v>175530</v>
      </c>
      <c r="E236" s="2" t="s">
        <v>670</v>
      </c>
      <c r="F236" s="41" t="n">
        <v>0.218446989118669</v>
      </c>
      <c r="G236" s="31" t="n">
        <v>10</v>
      </c>
      <c r="H236" s="42" t="n">
        <v>0.0754855707370872</v>
      </c>
      <c r="I236" s="31" t="n">
        <v>50</v>
      </c>
      <c r="J236" s="2" t="s">
        <v>2698</v>
      </c>
      <c r="K236" s="33"/>
      <c r="L236" s="31"/>
      <c r="M236" s="34" t="s">
        <v>668</v>
      </c>
      <c r="N236" s="2" t="s">
        <v>21</v>
      </c>
      <c r="O236" s="2" t="s">
        <v>21</v>
      </c>
      <c r="P236" s="2" t="s">
        <v>21</v>
      </c>
      <c r="Q236" s="2"/>
    </row>
    <row r="237" customFormat="false" ht="15" hidden="false" customHeight="false" outlineLevel="0" collapsed="false">
      <c r="A237" s="2" t="s">
        <v>2772</v>
      </c>
      <c r="B237" s="2" t="s">
        <v>46</v>
      </c>
      <c r="C237" s="16"/>
      <c r="D237" s="29"/>
      <c r="E237" s="2"/>
      <c r="F237" s="30"/>
      <c r="G237" s="31"/>
      <c r="H237" s="32"/>
      <c r="I237" s="31"/>
      <c r="J237" s="2"/>
      <c r="K237" s="33"/>
      <c r="L237" s="31"/>
      <c r="M237" s="34" t="s">
        <v>668</v>
      </c>
      <c r="N237" s="2"/>
      <c r="O237" s="2"/>
      <c r="P237" s="2"/>
      <c r="Q237" s="2"/>
    </row>
    <row r="238" customFormat="false" ht="15" hidden="false" customHeight="false" outlineLevel="0" collapsed="false">
      <c r="A238" s="2" t="s">
        <v>2772</v>
      </c>
      <c r="B238" s="2" t="s">
        <v>47</v>
      </c>
      <c r="C238" s="14" t="s">
        <v>2774</v>
      </c>
      <c r="D238" s="40" t="n">
        <v>14870</v>
      </c>
      <c r="E238" s="2" t="s">
        <v>667</v>
      </c>
      <c r="F238" s="41" t="n">
        <v>0.44310692669805</v>
      </c>
      <c r="G238" s="31" t="n">
        <v>9.7</v>
      </c>
      <c r="H238" s="32"/>
      <c r="I238" s="31"/>
      <c r="J238" s="2"/>
      <c r="K238" s="43" t="n">
        <v>0.409429280397022</v>
      </c>
      <c r="L238" s="31" t="n">
        <v>99</v>
      </c>
      <c r="M238" s="34" t="s">
        <v>668</v>
      </c>
      <c r="N238" s="2" t="s">
        <v>21</v>
      </c>
      <c r="O238" s="2" t="s">
        <v>21</v>
      </c>
      <c r="P238" s="2"/>
      <c r="Q238" s="2" t="s">
        <v>21</v>
      </c>
    </row>
    <row r="239" customFormat="false" ht="15" hidden="false" customHeight="false" outlineLevel="0" collapsed="false">
      <c r="A239" s="2" t="s">
        <v>1289</v>
      </c>
      <c r="B239" s="2" t="s">
        <v>45</v>
      </c>
      <c r="C239" s="13" t="s">
        <v>1290</v>
      </c>
      <c r="D239" s="35" t="n">
        <v>178030</v>
      </c>
      <c r="E239" s="2" t="s">
        <v>670</v>
      </c>
      <c r="F239" s="36" t="n">
        <v>0.267966073133742</v>
      </c>
      <c r="G239" s="31" t="n">
        <v>15</v>
      </c>
      <c r="H239" s="37" t="n">
        <v>0.0208961728579129</v>
      </c>
      <c r="I239" s="31" t="n">
        <v>21.7</v>
      </c>
      <c r="J239" s="2" t="s">
        <v>2698</v>
      </c>
      <c r="K239" s="43" t="n">
        <v>0.165361584523261</v>
      </c>
      <c r="L239" s="31" t="n">
        <v>59.7</v>
      </c>
      <c r="M239" s="39" t="s">
        <v>671</v>
      </c>
      <c r="N239" s="2" t="s">
        <v>19</v>
      </c>
      <c r="O239" s="2" t="s">
        <v>19</v>
      </c>
      <c r="P239" s="2" t="s">
        <v>19</v>
      </c>
      <c r="Q239" s="2" t="s">
        <v>21</v>
      </c>
    </row>
    <row r="240" customFormat="false" ht="15" hidden="false" customHeight="false" outlineLevel="0" collapsed="false">
      <c r="A240" s="2" t="s">
        <v>1289</v>
      </c>
      <c r="B240" s="2" t="s">
        <v>46</v>
      </c>
      <c r="C240" s="16"/>
      <c r="D240" s="29"/>
      <c r="E240" s="2"/>
      <c r="F240" s="30"/>
      <c r="G240" s="31"/>
      <c r="H240" s="32"/>
      <c r="I240" s="31"/>
      <c r="J240" s="2"/>
      <c r="K240" s="33"/>
      <c r="L240" s="31"/>
      <c r="M240" s="34" t="s">
        <v>668</v>
      </c>
      <c r="N240" s="2"/>
      <c r="O240" s="2"/>
      <c r="P240" s="2"/>
      <c r="Q240" s="2"/>
    </row>
    <row r="241" customFormat="false" ht="15" hidden="false" customHeight="false" outlineLevel="0" collapsed="false">
      <c r="A241" s="2" t="s">
        <v>1289</v>
      </c>
      <c r="B241" s="2" t="s">
        <v>47</v>
      </c>
      <c r="C241" s="13" t="s">
        <v>2294</v>
      </c>
      <c r="D241" s="35" t="n">
        <v>293453</v>
      </c>
      <c r="E241" s="2" t="s">
        <v>670</v>
      </c>
      <c r="F241" s="36" t="n">
        <v>1.3244540011518</v>
      </c>
      <c r="G241" s="31" t="n">
        <v>53.4</v>
      </c>
      <c r="H241" s="37" t="n">
        <v>0.074604511498462</v>
      </c>
      <c r="I241" s="31" t="n">
        <v>46.4</v>
      </c>
      <c r="J241" s="2" t="s">
        <v>2701</v>
      </c>
      <c r="K241" s="38" t="n">
        <v>0.00655881066899869</v>
      </c>
      <c r="L241" s="31" t="n">
        <v>5.1</v>
      </c>
      <c r="M241" s="39" t="s">
        <v>671</v>
      </c>
      <c r="N241" s="2" t="s">
        <v>19</v>
      </c>
      <c r="O241" s="2" t="s">
        <v>19</v>
      </c>
      <c r="P241" s="2" t="s">
        <v>19</v>
      </c>
      <c r="Q241" s="2" t="s">
        <v>19</v>
      </c>
    </row>
    <row r="242" customFormat="false" ht="15" hidden="false" customHeight="false" outlineLevel="0" collapsed="false">
      <c r="A242" s="2" t="s">
        <v>2775</v>
      </c>
      <c r="B242" s="2" t="s">
        <v>46</v>
      </c>
      <c r="C242" s="15" t="s">
        <v>2776</v>
      </c>
      <c r="D242" s="44" t="n">
        <v>119808</v>
      </c>
      <c r="E242" s="2" t="s">
        <v>670</v>
      </c>
      <c r="F242" s="30"/>
      <c r="G242" s="31"/>
      <c r="H242" s="46" t="n">
        <v>0.166003250576637</v>
      </c>
      <c r="I242" s="31" t="n">
        <v>88.7</v>
      </c>
      <c r="J242" s="2" t="s">
        <v>2705</v>
      </c>
      <c r="K242" s="33"/>
      <c r="L242" s="31"/>
      <c r="M242" s="34" t="s">
        <v>668</v>
      </c>
      <c r="N242" s="2" t="s">
        <v>17</v>
      </c>
      <c r="O242" s="2"/>
      <c r="P242" s="2" t="s">
        <v>17</v>
      </c>
      <c r="Q242" s="2"/>
    </row>
    <row r="243" customFormat="false" ht="15" hidden="false" customHeight="false" outlineLevel="0" collapsed="false">
      <c r="A243" s="2" t="s">
        <v>777</v>
      </c>
      <c r="B243" s="2" t="s">
        <v>45</v>
      </c>
      <c r="C243" s="14" t="s">
        <v>778</v>
      </c>
      <c r="D243" s="40" t="n">
        <v>12850</v>
      </c>
      <c r="E243" s="2" t="s">
        <v>667</v>
      </c>
      <c r="F243" s="41" t="n">
        <v>1.33937743190662</v>
      </c>
      <c r="G243" s="31" t="n">
        <v>86.3</v>
      </c>
      <c r="H243" s="42" t="n">
        <v>0.055008210180624</v>
      </c>
      <c r="I243" s="31" t="n">
        <v>30.6</v>
      </c>
      <c r="J243" s="2" t="s">
        <v>2704</v>
      </c>
      <c r="K243" s="47" t="s">
        <v>680</v>
      </c>
      <c r="L243" s="31"/>
      <c r="M243" s="39" t="s">
        <v>671</v>
      </c>
      <c r="N243" s="2" t="s">
        <v>21</v>
      </c>
      <c r="O243" s="2" t="s">
        <v>21</v>
      </c>
      <c r="P243" s="2" t="s">
        <v>21</v>
      </c>
      <c r="Q243" s="2" t="s">
        <v>2711</v>
      </c>
    </row>
    <row r="244" customFormat="false" ht="15" hidden="false" customHeight="false" outlineLevel="0" collapsed="false">
      <c r="A244" s="2" t="s">
        <v>777</v>
      </c>
      <c r="B244" s="2" t="s">
        <v>46</v>
      </c>
      <c r="C244" s="15" t="s">
        <v>2777</v>
      </c>
      <c r="D244" s="44" t="n">
        <v>39664</v>
      </c>
      <c r="E244" s="2" t="s">
        <v>667</v>
      </c>
      <c r="F244" s="45" t="n">
        <v>6.05715510286406</v>
      </c>
      <c r="G244" s="31" t="n">
        <v>81.2</v>
      </c>
      <c r="H244" s="46" t="n">
        <v>0.207354194569585</v>
      </c>
      <c r="I244" s="31" t="n">
        <v>95</v>
      </c>
      <c r="J244" s="2" t="s">
        <v>2700</v>
      </c>
      <c r="K244" s="33"/>
      <c r="L244" s="31"/>
      <c r="M244" s="34" t="s">
        <v>668</v>
      </c>
      <c r="N244" s="2" t="s">
        <v>17</v>
      </c>
      <c r="O244" s="2" t="s">
        <v>17</v>
      </c>
      <c r="P244" s="2" t="s">
        <v>17</v>
      </c>
      <c r="Q244" s="2"/>
    </row>
    <row r="245" customFormat="false" ht="15" hidden="false" customHeight="false" outlineLevel="0" collapsed="false">
      <c r="A245" s="2" t="s">
        <v>777</v>
      </c>
      <c r="B245" s="2" t="s">
        <v>47</v>
      </c>
      <c r="C245" s="16"/>
      <c r="D245" s="29"/>
      <c r="E245" s="2"/>
      <c r="F245" s="30"/>
      <c r="G245" s="31"/>
      <c r="H245" s="32"/>
      <c r="I245" s="31"/>
      <c r="J245" s="2"/>
      <c r="K245" s="33"/>
      <c r="L245" s="31"/>
      <c r="M245" s="34" t="s">
        <v>668</v>
      </c>
      <c r="N245" s="2"/>
      <c r="O245" s="2"/>
      <c r="P245" s="2"/>
      <c r="Q245" s="2"/>
    </row>
    <row r="246" customFormat="false" ht="15" hidden="false" customHeight="false" outlineLevel="0" collapsed="false">
      <c r="A246" s="2" t="s">
        <v>710</v>
      </c>
      <c r="B246" s="2" t="s">
        <v>45</v>
      </c>
      <c r="C246" s="14" t="s">
        <v>711</v>
      </c>
      <c r="D246" s="40" t="n">
        <v>43170</v>
      </c>
      <c r="E246" s="2" t="s">
        <v>667</v>
      </c>
      <c r="F246" s="41" t="n">
        <v>2.18709752142692</v>
      </c>
      <c r="G246" s="31" t="n">
        <v>94.9</v>
      </c>
      <c r="H246" s="42" t="n">
        <v>0.0359971202303816</v>
      </c>
      <c r="I246" s="31" t="n">
        <v>21</v>
      </c>
      <c r="J246" s="2" t="s">
        <v>2704</v>
      </c>
      <c r="K246" s="43" t="n">
        <v>0.328417564208782</v>
      </c>
      <c r="L246" s="31" t="n">
        <v>93.9</v>
      </c>
      <c r="M246" s="39" t="s">
        <v>671</v>
      </c>
      <c r="N246" s="2" t="s">
        <v>21</v>
      </c>
      <c r="O246" s="2" t="s">
        <v>21</v>
      </c>
      <c r="P246" s="2" t="s">
        <v>21</v>
      </c>
      <c r="Q246" s="2" t="s">
        <v>21</v>
      </c>
    </row>
    <row r="247" customFormat="false" ht="15" hidden="false" customHeight="false" outlineLevel="0" collapsed="false">
      <c r="A247" s="2" t="s">
        <v>710</v>
      </c>
      <c r="B247" s="2" t="s">
        <v>47</v>
      </c>
      <c r="C247" s="16"/>
      <c r="D247" s="29"/>
      <c r="E247" s="2"/>
      <c r="F247" s="30"/>
      <c r="G247" s="31"/>
      <c r="H247" s="32"/>
      <c r="I247" s="31"/>
      <c r="J247" s="2"/>
      <c r="K247" s="33"/>
      <c r="L247" s="31"/>
      <c r="M247" s="34" t="s">
        <v>668</v>
      </c>
      <c r="N247" s="2"/>
      <c r="O247" s="2"/>
      <c r="P247" s="2"/>
      <c r="Q247" s="2"/>
    </row>
    <row r="248" customFormat="false" ht="15" hidden="false" customHeight="false" outlineLevel="0" collapsed="false">
      <c r="A248" s="2" t="s">
        <v>390</v>
      </c>
      <c r="B248" s="2" t="s">
        <v>45</v>
      </c>
      <c r="C248" s="13" t="s">
        <v>1005</v>
      </c>
      <c r="D248" s="35" t="n">
        <v>83088</v>
      </c>
      <c r="E248" s="2" t="s">
        <v>667</v>
      </c>
      <c r="F248" s="36" t="n">
        <v>0.651634411708069</v>
      </c>
      <c r="G248" s="31" t="n">
        <v>54.3</v>
      </c>
      <c r="H248" s="37" t="n">
        <v>0.00415740114086822</v>
      </c>
      <c r="I248" s="31" t="n">
        <v>9.9</v>
      </c>
      <c r="J248" s="2" t="s">
        <v>2704</v>
      </c>
      <c r="K248" s="38" t="n">
        <v>0.0955183340878225</v>
      </c>
      <c r="L248" s="31" t="n">
        <v>33.4</v>
      </c>
      <c r="M248" s="39" t="s">
        <v>671</v>
      </c>
      <c r="N248" s="2" t="s">
        <v>19</v>
      </c>
      <c r="O248" s="2" t="s">
        <v>19</v>
      </c>
      <c r="P248" s="2" t="s">
        <v>19</v>
      </c>
      <c r="Q248" s="2" t="s">
        <v>19</v>
      </c>
    </row>
    <row r="249" customFormat="false" ht="15" hidden="false" customHeight="false" outlineLevel="0" collapsed="false">
      <c r="A249" s="2" t="s">
        <v>390</v>
      </c>
      <c r="B249" s="2" t="s">
        <v>46</v>
      </c>
      <c r="C249" s="14" t="s">
        <v>1563</v>
      </c>
      <c r="D249" s="40" t="n">
        <v>12510</v>
      </c>
      <c r="E249" s="2" t="s">
        <v>667</v>
      </c>
      <c r="F249" s="41" t="n">
        <v>4.6308553157474</v>
      </c>
      <c r="G249" s="31" t="n">
        <v>70</v>
      </c>
      <c r="H249" s="42" t="n">
        <v>0.160482374768089</v>
      </c>
      <c r="I249" s="31" t="n">
        <v>83.8</v>
      </c>
      <c r="J249" s="2" t="s">
        <v>2700</v>
      </c>
      <c r="K249" s="43" t="n">
        <v>0.143134715025907</v>
      </c>
      <c r="L249" s="31" t="n">
        <v>53.9</v>
      </c>
      <c r="M249" s="39" t="s">
        <v>671</v>
      </c>
      <c r="N249" s="2" t="s">
        <v>21</v>
      </c>
      <c r="O249" s="2" t="s">
        <v>21</v>
      </c>
      <c r="P249" s="2" t="s">
        <v>21</v>
      </c>
      <c r="Q249" s="2" t="s">
        <v>21</v>
      </c>
    </row>
    <row r="250" customFormat="false" ht="15" hidden="false" customHeight="false" outlineLevel="0" collapsed="false">
      <c r="A250" s="2" t="s">
        <v>390</v>
      </c>
      <c r="B250" s="2" t="s">
        <v>47</v>
      </c>
      <c r="C250" s="13" t="s">
        <v>2554</v>
      </c>
      <c r="D250" s="35" t="n">
        <v>17680</v>
      </c>
      <c r="E250" s="2" t="s">
        <v>667</v>
      </c>
      <c r="F250" s="36" t="n">
        <v>0.657013574660634</v>
      </c>
      <c r="G250" s="31" t="n">
        <v>18.8</v>
      </c>
      <c r="H250" s="37" t="n">
        <v>0.150367623137485</v>
      </c>
      <c r="I250" s="31" t="n">
        <v>77.7</v>
      </c>
      <c r="J250" s="2" t="s">
        <v>2697</v>
      </c>
      <c r="K250" s="38" t="n">
        <v>0.217150760719226</v>
      </c>
      <c r="L250" s="31" t="n">
        <v>85.9</v>
      </c>
      <c r="M250" s="39" t="s">
        <v>671</v>
      </c>
      <c r="N250" s="2" t="s">
        <v>19</v>
      </c>
      <c r="O250" s="2" t="s">
        <v>19</v>
      </c>
      <c r="P250" s="2" t="s">
        <v>19</v>
      </c>
      <c r="Q250" s="2" t="s">
        <v>19</v>
      </c>
    </row>
    <row r="251" customFormat="false" ht="15" hidden="false" customHeight="false" outlineLevel="0" collapsed="false">
      <c r="A251" s="2" t="s">
        <v>150</v>
      </c>
      <c r="B251" s="2" t="s">
        <v>47</v>
      </c>
      <c r="C251" s="13" t="s">
        <v>2101</v>
      </c>
      <c r="D251" s="35" t="n">
        <v>34292</v>
      </c>
      <c r="E251" s="2" t="s">
        <v>667</v>
      </c>
      <c r="F251" s="36" t="n">
        <v>2.29817450134142</v>
      </c>
      <c r="G251" s="31" t="n">
        <v>79.8</v>
      </c>
      <c r="H251" s="37" t="n">
        <v>0.0270140760706799</v>
      </c>
      <c r="I251" s="31" t="n">
        <v>19.5</v>
      </c>
      <c r="J251" s="2" t="s">
        <v>2697</v>
      </c>
      <c r="K251" s="38" t="n">
        <v>0.229527104959631</v>
      </c>
      <c r="L251" s="31" t="n">
        <v>89.3</v>
      </c>
      <c r="M251" s="39" t="s">
        <v>671</v>
      </c>
      <c r="N251" s="2" t="s">
        <v>19</v>
      </c>
      <c r="O251" s="2" t="s">
        <v>19</v>
      </c>
      <c r="P251" s="2" t="s">
        <v>19</v>
      </c>
      <c r="Q251" s="2" t="s">
        <v>19</v>
      </c>
    </row>
    <row r="252" customFormat="false" ht="15" hidden="false" customHeight="false" outlineLevel="0" collapsed="false">
      <c r="A252" s="2" t="s">
        <v>250</v>
      </c>
      <c r="B252" s="2" t="s">
        <v>45</v>
      </c>
      <c r="C252" s="13" t="s">
        <v>1146</v>
      </c>
      <c r="D252" s="35" t="n">
        <v>25108</v>
      </c>
      <c r="E252" s="2" t="s">
        <v>667</v>
      </c>
      <c r="F252" s="36" t="n">
        <v>0.459216186076151</v>
      </c>
      <c r="G252" s="31" t="n">
        <v>36.8</v>
      </c>
      <c r="H252" s="37" t="n">
        <v>0.0737715434289869</v>
      </c>
      <c r="I252" s="31" t="n">
        <v>41.3</v>
      </c>
      <c r="J252" s="2" t="s">
        <v>2704</v>
      </c>
      <c r="K252" s="38" t="n">
        <v>0.194267515923567</v>
      </c>
      <c r="L252" s="31" t="n">
        <v>68.8</v>
      </c>
      <c r="M252" s="39" t="s">
        <v>671</v>
      </c>
      <c r="N252" s="2" t="s">
        <v>19</v>
      </c>
      <c r="O252" s="2" t="s">
        <v>19</v>
      </c>
      <c r="P252" s="2" t="s">
        <v>19</v>
      </c>
      <c r="Q252" s="2" t="s">
        <v>19</v>
      </c>
    </row>
    <row r="253" customFormat="false" ht="15" hidden="false" customHeight="false" outlineLevel="0" collapsed="false">
      <c r="A253" s="2" t="s">
        <v>250</v>
      </c>
      <c r="B253" s="2" t="s">
        <v>46</v>
      </c>
      <c r="C253" s="13" t="s">
        <v>1637</v>
      </c>
      <c r="D253" s="35" t="n">
        <v>53743</v>
      </c>
      <c r="E253" s="2" t="s">
        <v>667</v>
      </c>
      <c r="F253" s="36" t="n">
        <v>3.58943490315018</v>
      </c>
      <c r="G253" s="31" t="n">
        <v>56.2</v>
      </c>
      <c r="H253" s="37" t="n">
        <v>0.226281202938895</v>
      </c>
      <c r="I253" s="31" t="n">
        <v>96.7</v>
      </c>
      <c r="J253" s="2" t="s">
        <v>2700</v>
      </c>
      <c r="K253" s="38" t="n">
        <v>0.160494942196532</v>
      </c>
      <c r="L253" s="31" t="n">
        <v>60.9</v>
      </c>
      <c r="M253" s="39" t="s">
        <v>671</v>
      </c>
      <c r="N253" s="2" t="s">
        <v>19</v>
      </c>
      <c r="O253" s="2" t="s">
        <v>19</v>
      </c>
      <c r="P253" s="2" t="s">
        <v>19</v>
      </c>
      <c r="Q253" s="2" t="s">
        <v>19</v>
      </c>
    </row>
    <row r="254" customFormat="false" ht="15" hidden="false" customHeight="false" outlineLevel="0" collapsed="false">
      <c r="A254" s="2" t="s">
        <v>250</v>
      </c>
      <c r="B254" s="2" t="s">
        <v>47</v>
      </c>
      <c r="C254" s="13" t="s">
        <v>1973</v>
      </c>
      <c r="D254" s="35" t="n">
        <v>94677</v>
      </c>
      <c r="E254" s="2" t="s">
        <v>667</v>
      </c>
      <c r="F254" s="36" t="n">
        <v>6.70152201696294</v>
      </c>
      <c r="G254" s="31" t="n">
        <v>98.5</v>
      </c>
      <c r="H254" s="37" t="n">
        <v>0.0144543973941368</v>
      </c>
      <c r="I254" s="31" t="n">
        <v>14.2</v>
      </c>
      <c r="J254" s="2" t="s">
        <v>2697</v>
      </c>
      <c r="K254" s="38" t="n">
        <v>0.0929331028340929</v>
      </c>
      <c r="L254" s="31" t="n">
        <v>50.5</v>
      </c>
      <c r="M254" s="39" t="s">
        <v>671</v>
      </c>
      <c r="N254" s="2" t="s">
        <v>19</v>
      </c>
      <c r="O254" s="2" t="s">
        <v>19</v>
      </c>
      <c r="P254" s="2" t="s">
        <v>19</v>
      </c>
      <c r="Q254" s="2" t="s">
        <v>19</v>
      </c>
    </row>
    <row r="255" customFormat="false" ht="15" hidden="false" customHeight="false" outlineLevel="0" collapsed="false">
      <c r="A255" s="2" t="s">
        <v>654</v>
      </c>
      <c r="B255" s="2" t="s">
        <v>47</v>
      </c>
      <c r="C255" s="13" t="s">
        <v>2682</v>
      </c>
      <c r="D255" s="35" t="n">
        <v>389089</v>
      </c>
      <c r="E255" s="2" t="s">
        <v>670</v>
      </c>
      <c r="F255" s="36" t="n">
        <v>0.198168028394532</v>
      </c>
      <c r="G255" s="31" t="n">
        <v>0.6</v>
      </c>
      <c r="H255" s="37" t="n">
        <v>-0.00303632832317808</v>
      </c>
      <c r="I255" s="31" t="n">
        <v>13.9</v>
      </c>
      <c r="J255" s="2" t="s">
        <v>2701</v>
      </c>
      <c r="K255" s="38" t="n">
        <v>0.00765910040384348</v>
      </c>
      <c r="L255" s="31" t="n">
        <v>6.1</v>
      </c>
      <c r="M255" s="39" t="s">
        <v>671</v>
      </c>
      <c r="N255" s="2" t="s">
        <v>19</v>
      </c>
      <c r="O255" s="2" t="s">
        <v>19</v>
      </c>
      <c r="P255" s="2" t="s">
        <v>19</v>
      </c>
      <c r="Q255" s="2" t="s">
        <v>19</v>
      </c>
    </row>
    <row r="256" customFormat="false" ht="15" hidden="false" customHeight="false" outlineLevel="0" collapsed="false">
      <c r="A256" s="2" t="s">
        <v>534</v>
      </c>
      <c r="B256" s="2" t="s">
        <v>45</v>
      </c>
      <c r="C256" s="13" t="s">
        <v>1030</v>
      </c>
      <c r="D256" s="35" t="n">
        <v>710737</v>
      </c>
      <c r="E256" s="2" t="s">
        <v>670</v>
      </c>
      <c r="F256" s="36" t="n">
        <v>0.624219648055469</v>
      </c>
      <c r="G256" s="31" t="n">
        <v>51.3</v>
      </c>
      <c r="H256" s="37" t="n">
        <v>0.00635754912941223</v>
      </c>
      <c r="I256" s="31" t="n">
        <v>13.8</v>
      </c>
      <c r="J256" s="2" t="s">
        <v>2698</v>
      </c>
      <c r="K256" s="38" t="n">
        <v>0.0787169866843228</v>
      </c>
      <c r="L256" s="31" t="n">
        <v>25.1</v>
      </c>
      <c r="M256" s="39" t="s">
        <v>671</v>
      </c>
      <c r="N256" s="2" t="s">
        <v>19</v>
      </c>
      <c r="O256" s="2" t="s">
        <v>19</v>
      </c>
      <c r="P256" s="2" t="s">
        <v>19</v>
      </c>
      <c r="Q256" s="2" t="s">
        <v>19</v>
      </c>
    </row>
    <row r="257" customFormat="false" ht="15" hidden="false" customHeight="false" outlineLevel="0" collapsed="false">
      <c r="A257" s="2" t="s">
        <v>534</v>
      </c>
      <c r="B257" s="2" t="s">
        <v>47</v>
      </c>
      <c r="C257" s="13" t="s">
        <v>2607</v>
      </c>
      <c r="D257" s="35" t="n">
        <v>62749</v>
      </c>
      <c r="E257" s="2" t="s">
        <v>667</v>
      </c>
      <c r="F257" s="36" t="n">
        <v>0.531323208337982</v>
      </c>
      <c r="G257" s="31" t="n">
        <v>12.7</v>
      </c>
      <c r="H257" s="37" t="n">
        <v>0.10867875189936</v>
      </c>
      <c r="I257" s="31" t="n">
        <v>58.5</v>
      </c>
      <c r="J257" s="2" t="s">
        <v>2697</v>
      </c>
      <c r="K257" s="38" t="n">
        <v>0.0685375067458176</v>
      </c>
      <c r="L257" s="31" t="n">
        <v>39.8</v>
      </c>
      <c r="M257" s="39" t="s">
        <v>671</v>
      </c>
      <c r="N257" s="2" t="s">
        <v>19</v>
      </c>
      <c r="O257" s="2" t="s">
        <v>19</v>
      </c>
      <c r="P257" s="2" t="s">
        <v>19</v>
      </c>
      <c r="Q257" s="2" t="s">
        <v>19</v>
      </c>
    </row>
    <row r="258" customFormat="false" ht="15" hidden="false" customHeight="false" outlineLevel="0" collapsed="false">
      <c r="A258" s="2" t="s">
        <v>1479</v>
      </c>
      <c r="B258" s="2" t="s">
        <v>45</v>
      </c>
      <c r="C258" s="16"/>
      <c r="D258" s="29"/>
      <c r="E258" s="2"/>
      <c r="F258" s="30"/>
      <c r="G258" s="31"/>
      <c r="H258" s="32"/>
      <c r="I258" s="31"/>
      <c r="J258" s="2"/>
      <c r="K258" s="33"/>
      <c r="L258" s="31"/>
      <c r="M258" s="34" t="s">
        <v>668</v>
      </c>
      <c r="N258" s="2"/>
      <c r="O258" s="2"/>
      <c r="P258" s="2"/>
      <c r="Q258" s="2"/>
    </row>
    <row r="259" customFormat="false" ht="15" hidden="false" customHeight="false" outlineLevel="0" collapsed="false">
      <c r="A259" s="2" t="s">
        <v>1479</v>
      </c>
      <c r="B259" s="2" t="s">
        <v>46</v>
      </c>
      <c r="C259" s="14" t="s">
        <v>1480</v>
      </c>
      <c r="D259" s="40" t="n">
        <v>3000</v>
      </c>
      <c r="E259" s="2" t="s">
        <v>678</v>
      </c>
      <c r="F259" s="41" t="n">
        <v>6.69</v>
      </c>
      <c r="G259" s="31" t="n">
        <v>84.6</v>
      </c>
      <c r="H259" s="42" t="n">
        <v>0.304347826086957</v>
      </c>
      <c r="I259" s="31" t="n">
        <v>100</v>
      </c>
      <c r="J259" s="2" t="s">
        <v>2720</v>
      </c>
      <c r="K259" s="43" t="n">
        <v>0.18266253869969</v>
      </c>
      <c r="L259" s="31" t="n">
        <v>67.1</v>
      </c>
      <c r="M259" s="39" t="s">
        <v>671</v>
      </c>
      <c r="N259" s="2" t="s">
        <v>21</v>
      </c>
      <c r="O259" s="2" t="s">
        <v>21</v>
      </c>
      <c r="P259" s="2" t="s">
        <v>21</v>
      </c>
      <c r="Q259" s="2" t="s">
        <v>21</v>
      </c>
    </row>
    <row r="260" customFormat="false" ht="15" hidden="false" customHeight="false" outlineLevel="0" collapsed="false">
      <c r="A260" s="2" t="s">
        <v>1479</v>
      </c>
      <c r="B260" s="2" t="s">
        <v>47</v>
      </c>
      <c r="C260" s="15" t="s">
        <v>2778</v>
      </c>
      <c r="D260" s="44" t="n">
        <v>22494</v>
      </c>
      <c r="E260" s="2" t="s">
        <v>667</v>
      </c>
      <c r="F260" s="45" t="n">
        <v>0.611451942740286</v>
      </c>
      <c r="G260" s="31" t="n">
        <v>16.9</v>
      </c>
      <c r="H260" s="46" t="n">
        <v>-0.0316831683168317</v>
      </c>
      <c r="I260" s="31" t="n">
        <v>4.6</v>
      </c>
      <c r="J260" s="2" t="s">
        <v>2697</v>
      </c>
      <c r="K260" s="33"/>
      <c r="L260" s="31"/>
      <c r="M260" s="34" t="s">
        <v>668</v>
      </c>
      <c r="N260" s="2" t="s">
        <v>17</v>
      </c>
      <c r="O260" s="2" t="s">
        <v>17</v>
      </c>
      <c r="P260" s="2" t="s">
        <v>17</v>
      </c>
      <c r="Q260" s="2"/>
    </row>
    <row r="261" customFormat="false" ht="15" hidden="false" customHeight="false" outlineLevel="0" collapsed="false">
      <c r="A261" s="2" t="s">
        <v>1071</v>
      </c>
      <c r="B261" s="2" t="s">
        <v>45</v>
      </c>
      <c r="C261" s="13" t="s">
        <v>1072</v>
      </c>
      <c r="D261" s="35" t="n">
        <v>41220</v>
      </c>
      <c r="E261" s="2" t="s">
        <v>667</v>
      </c>
      <c r="F261" s="36" t="n">
        <v>0.555919456574478</v>
      </c>
      <c r="G261" s="31" t="n">
        <v>45.5</v>
      </c>
      <c r="H261" s="37" t="n">
        <v>-0.0397204426324985</v>
      </c>
      <c r="I261" s="31" t="n">
        <v>4.4</v>
      </c>
      <c r="J261" s="2" t="s">
        <v>2704</v>
      </c>
      <c r="K261" s="38" t="n">
        <v>0.183342972816657</v>
      </c>
      <c r="L261" s="31" t="n">
        <v>65.7</v>
      </c>
      <c r="M261" s="39" t="s">
        <v>671</v>
      </c>
      <c r="N261" s="2" t="s">
        <v>19</v>
      </c>
      <c r="O261" s="2" t="s">
        <v>19</v>
      </c>
      <c r="P261" s="2" t="s">
        <v>19</v>
      </c>
      <c r="Q261" s="2" t="s">
        <v>19</v>
      </c>
    </row>
    <row r="262" customFormat="false" ht="15" hidden="false" customHeight="false" outlineLevel="0" collapsed="false">
      <c r="A262" s="2" t="s">
        <v>1071</v>
      </c>
      <c r="B262" s="2" t="s">
        <v>46</v>
      </c>
      <c r="C262" s="14" t="s">
        <v>1805</v>
      </c>
      <c r="D262" s="40" t="n">
        <v>26490</v>
      </c>
      <c r="E262" s="2" t="s">
        <v>667</v>
      </c>
      <c r="F262" s="41" t="n">
        <v>2.09328048320121</v>
      </c>
      <c r="G262" s="31" t="n">
        <v>28.3</v>
      </c>
      <c r="H262" s="42" t="n">
        <v>0.0307392996108949</v>
      </c>
      <c r="I262" s="31" t="n">
        <v>20.7</v>
      </c>
      <c r="J262" s="2" t="s">
        <v>2700</v>
      </c>
      <c r="K262" s="43" t="n">
        <v>0.0332095258903212</v>
      </c>
      <c r="L262" s="31" t="n">
        <v>7.5</v>
      </c>
      <c r="M262" s="39" t="s">
        <v>671</v>
      </c>
      <c r="N262" s="2" t="s">
        <v>21</v>
      </c>
      <c r="O262" s="2" t="s">
        <v>21</v>
      </c>
      <c r="P262" s="2" t="s">
        <v>21</v>
      </c>
      <c r="Q262" s="2" t="s">
        <v>21</v>
      </c>
    </row>
    <row r="263" customFormat="false" ht="15" hidden="false" customHeight="false" outlineLevel="0" collapsed="false">
      <c r="A263" s="2" t="s">
        <v>1071</v>
      </c>
      <c r="B263" s="2" t="s">
        <v>47</v>
      </c>
      <c r="C263" s="16"/>
      <c r="D263" s="29"/>
      <c r="E263" s="2"/>
      <c r="F263" s="30"/>
      <c r="G263" s="31"/>
      <c r="H263" s="32"/>
      <c r="I263" s="31"/>
      <c r="J263" s="2"/>
      <c r="K263" s="33"/>
      <c r="L263" s="31"/>
      <c r="M263" s="34" t="s">
        <v>668</v>
      </c>
      <c r="N263" s="2"/>
      <c r="O263" s="2"/>
      <c r="P263" s="2"/>
      <c r="Q263" s="2"/>
    </row>
    <row r="264" customFormat="false" ht="15" hidden="false" customHeight="false" outlineLevel="0" collapsed="false">
      <c r="A264" s="2" t="s">
        <v>610</v>
      </c>
      <c r="B264" s="2" t="s">
        <v>46</v>
      </c>
      <c r="C264" s="14" t="s">
        <v>1880</v>
      </c>
      <c r="D264" s="40" t="n">
        <v>7080</v>
      </c>
      <c r="E264" s="2" t="s">
        <v>678</v>
      </c>
      <c r="F264" s="41" t="n">
        <v>1.57005649717514</v>
      </c>
      <c r="G264" s="31" t="n">
        <v>16.7</v>
      </c>
      <c r="H264" s="42" t="n">
        <v>0.153094462540717</v>
      </c>
      <c r="I264" s="31" t="n">
        <v>70.8</v>
      </c>
      <c r="J264" s="2" t="s">
        <v>2720</v>
      </c>
      <c r="K264" s="43" t="n">
        <v>0.236619718309859</v>
      </c>
      <c r="L264" s="31" t="n">
        <v>79.5</v>
      </c>
      <c r="M264" s="39" t="s">
        <v>671</v>
      </c>
      <c r="N264" s="2" t="s">
        <v>21</v>
      </c>
      <c r="O264" s="2" t="s">
        <v>21</v>
      </c>
      <c r="P264" s="2" t="s">
        <v>21</v>
      </c>
      <c r="Q264" s="2" t="s">
        <v>21</v>
      </c>
    </row>
    <row r="265" customFormat="false" ht="15" hidden="false" customHeight="false" outlineLevel="0" collapsed="false">
      <c r="A265" s="2" t="s">
        <v>1113</v>
      </c>
      <c r="B265" s="2" t="s">
        <v>45</v>
      </c>
      <c r="C265" s="14" t="s">
        <v>1114</v>
      </c>
      <c r="D265" s="40" t="n">
        <v>9380</v>
      </c>
      <c r="E265" s="2" t="s">
        <v>678</v>
      </c>
      <c r="F265" s="41" t="n">
        <v>0.494456289978678</v>
      </c>
      <c r="G265" s="31" t="n">
        <v>40.2</v>
      </c>
      <c r="H265" s="42" t="n">
        <v>0.159456118665019</v>
      </c>
      <c r="I265" s="31" t="n">
        <v>77.8</v>
      </c>
      <c r="J265" s="2" t="s">
        <v>2713</v>
      </c>
      <c r="K265" s="43" t="n">
        <v>0.0897959183673469</v>
      </c>
      <c r="L265" s="31" t="n">
        <v>30.4</v>
      </c>
      <c r="M265" s="39" t="s">
        <v>671</v>
      </c>
      <c r="N265" s="2" t="s">
        <v>21</v>
      </c>
      <c r="O265" s="2" t="s">
        <v>21</v>
      </c>
      <c r="P265" s="2" t="s">
        <v>21</v>
      </c>
      <c r="Q265" s="2" t="s">
        <v>21</v>
      </c>
    </row>
    <row r="266" customFormat="false" ht="15" hidden="false" customHeight="false" outlineLevel="0" collapsed="false">
      <c r="A266" s="2" t="s">
        <v>1113</v>
      </c>
      <c r="B266" s="2" t="s">
        <v>46</v>
      </c>
      <c r="C266" s="14" t="s">
        <v>2779</v>
      </c>
      <c r="D266" s="40" t="n">
        <v>4820</v>
      </c>
      <c r="E266" s="2" t="s">
        <v>678</v>
      </c>
      <c r="F266" s="41" t="n">
        <v>3.91452282157676</v>
      </c>
      <c r="G266" s="31" t="n">
        <v>61.7</v>
      </c>
      <c r="H266" s="32"/>
      <c r="I266" s="31"/>
      <c r="J266" s="2"/>
      <c r="K266" s="33"/>
      <c r="L266" s="31"/>
      <c r="M266" s="34" t="s">
        <v>668</v>
      </c>
      <c r="N266" s="2" t="s">
        <v>21</v>
      </c>
      <c r="O266" s="2" t="s">
        <v>21</v>
      </c>
      <c r="P266" s="2"/>
      <c r="Q266" s="2"/>
    </row>
    <row r="267" customFormat="false" ht="15" hidden="false" customHeight="false" outlineLevel="0" collapsed="false">
      <c r="A267" s="2" t="s">
        <v>1113</v>
      </c>
      <c r="B267" s="2" t="s">
        <v>47</v>
      </c>
      <c r="C267" s="13" t="s">
        <v>2645</v>
      </c>
      <c r="D267" s="35" t="n">
        <v>30013</v>
      </c>
      <c r="E267" s="2" t="s">
        <v>667</v>
      </c>
      <c r="F267" s="36" t="n">
        <v>0.332989038083497</v>
      </c>
      <c r="G267" s="31" t="n">
        <v>5.5</v>
      </c>
      <c r="H267" s="37" t="n">
        <v>0.115724907063197</v>
      </c>
      <c r="I267" s="31" t="n">
        <v>61.7</v>
      </c>
      <c r="J267" s="2" t="s">
        <v>2697</v>
      </c>
      <c r="K267" s="38" t="n">
        <v>0.184397163120567</v>
      </c>
      <c r="L267" s="31" t="n">
        <v>79.2</v>
      </c>
      <c r="M267" s="39" t="s">
        <v>671</v>
      </c>
      <c r="N267" s="2" t="s">
        <v>19</v>
      </c>
      <c r="O267" s="2" t="s">
        <v>19</v>
      </c>
      <c r="P267" s="2" t="s">
        <v>19</v>
      </c>
      <c r="Q267" s="2" t="s">
        <v>19</v>
      </c>
    </row>
    <row r="268" customFormat="false" ht="15" hidden="false" customHeight="false" outlineLevel="0" collapsed="false">
      <c r="A268" s="2" t="s">
        <v>262</v>
      </c>
      <c r="B268" s="2" t="s">
        <v>45</v>
      </c>
      <c r="C268" s="14" t="s">
        <v>722</v>
      </c>
      <c r="D268" s="40" t="n">
        <v>190880</v>
      </c>
      <c r="E268" s="2" t="s">
        <v>670</v>
      </c>
      <c r="F268" s="41" t="n">
        <v>1.95652242246438</v>
      </c>
      <c r="G268" s="31" t="n">
        <v>93.2</v>
      </c>
      <c r="H268" s="42" t="n">
        <v>0.160435284819746</v>
      </c>
      <c r="I268" s="31" t="n">
        <v>85.5</v>
      </c>
      <c r="J268" s="2" t="s">
        <v>2698</v>
      </c>
      <c r="K268" s="43" t="n">
        <v>0.077491055796605</v>
      </c>
      <c r="L268" s="31" t="n">
        <v>24.6</v>
      </c>
      <c r="M268" s="39" t="s">
        <v>671</v>
      </c>
      <c r="N268" s="2" t="s">
        <v>21</v>
      </c>
      <c r="O268" s="2" t="s">
        <v>21</v>
      </c>
      <c r="P268" s="2" t="s">
        <v>21</v>
      </c>
      <c r="Q268" s="2" t="s">
        <v>21</v>
      </c>
    </row>
    <row r="269" customFormat="false" ht="15" hidden="false" customHeight="false" outlineLevel="0" collapsed="false">
      <c r="A269" s="2" t="s">
        <v>262</v>
      </c>
      <c r="B269" s="2" t="s">
        <v>46</v>
      </c>
      <c r="C269" s="14" t="s">
        <v>1562</v>
      </c>
      <c r="D269" s="40" t="n">
        <v>119520</v>
      </c>
      <c r="E269" s="2" t="s">
        <v>670</v>
      </c>
      <c r="F269" s="41" t="n">
        <v>4.68613621151272</v>
      </c>
      <c r="G269" s="31" t="n">
        <v>70.2</v>
      </c>
      <c r="H269" s="42" t="n">
        <v>0.0940045766590389</v>
      </c>
      <c r="I269" s="31" t="n">
        <v>61.6</v>
      </c>
      <c r="J269" s="2" t="s">
        <v>2705</v>
      </c>
      <c r="K269" s="43" t="n">
        <v>0.0528040445651156</v>
      </c>
      <c r="L269" s="31" t="n">
        <v>14.5</v>
      </c>
      <c r="M269" s="39" t="s">
        <v>671</v>
      </c>
      <c r="N269" s="2" t="s">
        <v>21</v>
      </c>
      <c r="O269" s="2" t="s">
        <v>21</v>
      </c>
      <c r="P269" s="2" t="s">
        <v>21</v>
      </c>
      <c r="Q269" s="2" t="s">
        <v>21</v>
      </c>
    </row>
    <row r="270" customFormat="false" ht="15" hidden="false" customHeight="false" outlineLevel="0" collapsed="false">
      <c r="A270" s="2" t="s">
        <v>262</v>
      </c>
      <c r="B270" s="2" t="s">
        <v>47</v>
      </c>
      <c r="C270" s="13" t="s">
        <v>2515</v>
      </c>
      <c r="D270" s="35" t="n">
        <v>57057</v>
      </c>
      <c r="E270" s="2" t="s">
        <v>667</v>
      </c>
      <c r="F270" s="36" t="n">
        <v>0.773472141893195</v>
      </c>
      <c r="G270" s="31" t="n">
        <v>25.3</v>
      </c>
      <c r="H270" s="37" t="n">
        <v>-0.00312740233419526</v>
      </c>
      <c r="I270" s="31" t="n">
        <v>9.9</v>
      </c>
      <c r="J270" s="2" t="s">
        <v>2697</v>
      </c>
      <c r="K270" s="38" t="n">
        <v>0.301092459365841</v>
      </c>
      <c r="L270" s="31" t="n">
        <v>95.8</v>
      </c>
      <c r="M270" s="39" t="s">
        <v>671</v>
      </c>
      <c r="N270" s="2" t="s">
        <v>19</v>
      </c>
      <c r="O270" s="2" t="s">
        <v>19</v>
      </c>
      <c r="P270" s="2" t="s">
        <v>19</v>
      </c>
      <c r="Q270" s="2" t="s">
        <v>19</v>
      </c>
    </row>
    <row r="271" customFormat="false" ht="15" hidden="false" customHeight="false" outlineLevel="0" collapsed="false">
      <c r="A271" s="2" t="s">
        <v>2780</v>
      </c>
      <c r="B271" s="2" t="s">
        <v>45</v>
      </c>
      <c r="C271" s="14" t="s">
        <v>2781</v>
      </c>
      <c r="D271" s="40" t="n">
        <v>3530</v>
      </c>
      <c r="E271" s="2" t="s">
        <v>678</v>
      </c>
      <c r="F271" s="41" t="n">
        <v>0.753257790368272</v>
      </c>
      <c r="G271" s="31" t="n">
        <v>61.5</v>
      </c>
      <c r="H271" s="32"/>
      <c r="I271" s="31"/>
      <c r="J271" s="2"/>
      <c r="K271" s="43" t="n">
        <v>0.0350877192982456</v>
      </c>
      <c r="L271" s="31" t="n">
        <v>7.5</v>
      </c>
      <c r="M271" s="34" t="s">
        <v>668</v>
      </c>
      <c r="N271" s="2" t="s">
        <v>21</v>
      </c>
      <c r="O271" s="2" t="s">
        <v>21</v>
      </c>
      <c r="P271" s="2"/>
      <c r="Q271" s="2" t="s">
        <v>21</v>
      </c>
    </row>
    <row r="272" customFormat="false" ht="15" hidden="false" customHeight="false" outlineLevel="0" collapsed="false">
      <c r="A272" s="2" t="s">
        <v>1891</v>
      </c>
      <c r="B272" s="2" t="s">
        <v>45</v>
      </c>
      <c r="C272" s="16"/>
      <c r="D272" s="29"/>
      <c r="E272" s="2"/>
      <c r="F272" s="30"/>
      <c r="G272" s="31"/>
      <c r="H272" s="32"/>
      <c r="I272" s="31"/>
      <c r="J272" s="2"/>
      <c r="K272" s="33"/>
      <c r="L272" s="31"/>
      <c r="M272" s="34" t="s">
        <v>668</v>
      </c>
      <c r="N272" s="2"/>
      <c r="O272" s="2"/>
      <c r="P272" s="2"/>
      <c r="Q272" s="2"/>
    </row>
    <row r="273" customFormat="false" ht="15" hidden="false" customHeight="false" outlineLevel="0" collapsed="false">
      <c r="A273" s="2" t="s">
        <v>1891</v>
      </c>
      <c r="B273" s="2" t="s">
        <v>46</v>
      </c>
      <c r="C273" s="14" t="s">
        <v>1892</v>
      </c>
      <c r="D273" s="40" t="n">
        <v>50980</v>
      </c>
      <c r="E273" s="2" t="s">
        <v>667</v>
      </c>
      <c r="F273" s="41" t="n">
        <v>1.42149862691252</v>
      </c>
      <c r="G273" s="31" t="n">
        <v>13.3</v>
      </c>
      <c r="H273" s="42" t="n">
        <v>0.169266055045872</v>
      </c>
      <c r="I273" s="31" t="n">
        <v>85.1</v>
      </c>
      <c r="J273" s="2" t="s">
        <v>2700</v>
      </c>
      <c r="K273" s="43" t="n">
        <v>0.25135043889264</v>
      </c>
      <c r="L273" s="31" t="n">
        <v>83.4</v>
      </c>
      <c r="M273" s="39" t="s">
        <v>671</v>
      </c>
      <c r="N273" s="2" t="s">
        <v>21</v>
      </c>
      <c r="O273" s="2" t="s">
        <v>21</v>
      </c>
      <c r="P273" s="2" t="s">
        <v>21</v>
      </c>
      <c r="Q273" s="2" t="s">
        <v>21</v>
      </c>
    </row>
    <row r="274" customFormat="false" ht="15" hidden="false" customHeight="false" outlineLevel="0" collapsed="false">
      <c r="A274" s="2" t="s">
        <v>1891</v>
      </c>
      <c r="B274" s="2" t="s">
        <v>47</v>
      </c>
      <c r="C274" s="13" t="s">
        <v>2626</v>
      </c>
      <c r="D274" s="35" t="n">
        <v>108784</v>
      </c>
      <c r="E274" s="2" t="s">
        <v>670</v>
      </c>
      <c r="F274" s="36" t="n">
        <v>0.458780703044565</v>
      </c>
      <c r="G274" s="31" t="n">
        <v>10.3</v>
      </c>
      <c r="H274" s="37" t="n">
        <v>0.141873451736155</v>
      </c>
      <c r="I274" s="31" t="n">
        <v>77.7</v>
      </c>
      <c r="J274" s="2" t="s">
        <v>2701</v>
      </c>
      <c r="K274" s="38" t="n">
        <v>0.295454545454546</v>
      </c>
      <c r="L274" s="31" t="n">
        <v>95.4</v>
      </c>
      <c r="M274" s="39" t="s">
        <v>671</v>
      </c>
      <c r="N274" s="2" t="s">
        <v>19</v>
      </c>
      <c r="O274" s="2" t="s">
        <v>19</v>
      </c>
      <c r="P274" s="2" t="s">
        <v>19</v>
      </c>
      <c r="Q274" s="2" t="s">
        <v>19</v>
      </c>
    </row>
    <row r="275" customFormat="false" ht="15" hidden="false" customHeight="false" outlineLevel="0" collapsed="false">
      <c r="A275" s="2" t="s">
        <v>282</v>
      </c>
      <c r="B275" s="2" t="s">
        <v>47</v>
      </c>
      <c r="C275" s="13" t="s">
        <v>2236</v>
      </c>
      <c r="D275" s="35" t="n">
        <v>58203</v>
      </c>
      <c r="E275" s="2" t="s">
        <v>667</v>
      </c>
      <c r="F275" s="36" t="n">
        <v>1.54435338384619</v>
      </c>
      <c r="G275" s="31" t="n">
        <v>60.6</v>
      </c>
      <c r="H275" s="37" t="n">
        <v>0.133015378625657</v>
      </c>
      <c r="I275" s="31" t="n">
        <v>70.6</v>
      </c>
      <c r="J275" s="2" t="s">
        <v>2697</v>
      </c>
      <c r="K275" s="38" t="n">
        <v>0.238921001926782</v>
      </c>
      <c r="L275" s="31" t="n">
        <v>90.5</v>
      </c>
      <c r="M275" s="39" t="s">
        <v>671</v>
      </c>
      <c r="N275" s="2" t="s">
        <v>19</v>
      </c>
      <c r="O275" s="2" t="s">
        <v>19</v>
      </c>
      <c r="P275" s="2" t="s">
        <v>19</v>
      </c>
      <c r="Q275" s="2" t="s">
        <v>19</v>
      </c>
    </row>
    <row r="276" customFormat="false" ht="15" hidden="false" customHeight="false" outlineLevel="0" collapsed="false">
      <c r="A276" s="2" t="s">
        <v>648</v>
      </c>
      <c r="B276" s="2" t="s">
        <v>45</v>
      </c>
      <c r="C276" s="14" t="s">
        <v>1348</v>
      </c>
      <c r="D276" s="40" t="n">
        <v>36980</v>
      </c>
      <c r="E276" s="2" t="s">
        <v>667</v>
      </c>
      <c r="F276" s="41" t="n">
        <v>0.146160086533261</v>
      </c>
      <c r="G276" s="31" t="n">
        <v>4.7</v>
      </c>
      <c r="H276" s="42" t="n">
        <v>0.0323841429369068</v>
      </c>
      <c r="I276" s="31" t="n">
        <v>19</v>
      </c>
      <c r="J276" s="2" t="s">
        <v>2704</v>
      </c>
      <c r="K276" s="47" t="s">
        <v>680</v>
      </c>
      <c r="L276" s="31"/>
      <c r="M276" s="39" t="s">
        <v>671</v>
      </c>
      <c r="N276" s="2" t="s">
        <v>21</v>
      </c>
      <c r="O276" s="2" t="s">
        <v>21</v>
      </c>
      <c r="P276" s="2" t="s">
        <v>21</v>
      </c>
      <c r="Q276" s="2" t="s">
        <v>2711</v>
      </c>
    </row>
    <row r="277" customFormat="false" ht="15" hidden="false" customHeight="false" outlineLevel="0" collapsed="false">
      <c r="A277" s="2" t="s">
        <v>135</v>
      </c>
      <c r="B277" s="2" t="s">
        <v>47</v>
      </c>
      <c r="C277" s="14" t="s">
        <v>2074</v>
      </c>
      <c r="D277" s="40" t="n">
        <v>26410</v>
      </c>
      <c r="E277" s="2" t="s">
        <v>667</v>
      </c>
      <c r="F277" s="41" t="n">
        <v>2.64672472548277</v>
      </c>
      <c r="G277" s="31" t="n">
        <v>84.8</v>
      </c>
      <c r="H277" s="42" t="n">
        <v>0.0446993670886076</v>
      </c>
      <c r="I277" s="31" t="n">
        <v>27.3</v>
      </c>
      <c r="J277" s="2" t="s">
        <v>2697</v>
      </c>
      <c r="K277" s="43" t="n">
        <v>0.0354014598540146</v>
      </c>
      <c r="L277" s="31" t="n">
        <v>22.5</v>
      </c>
      <c r="M277" s="39" t="s">
        <v>671</v>
      </c>
      <c r="N277" s="2" t="s">
        <v>21</v>
      </c>
      <c r="O277" s="2" t="s">
        <v>21</v>
      </c>
      <c r="P277" s="2" t="s">
        <v>21</v>
      </c>
      <c r="Q277" s="2" t="s">
        <v>21</v>
      </c>
    </row>
    <row r="278" customFormat="false" ht="15" hidden="false" customHeight="false" outlineLevel="0" collapsed="false">
      <c r="A278" s="2" t="s">
        <v>1663</v>
      </c>
      <c r="B278" s="2" t="s">
        <v>45</v>
      </c>
      <c r="C278" s="16"/>
      <c r="D278" s="29"/>
      <c r="E278" s="2"/>
      <c r="F278" s="30"/>
      <c r="G278" s="31"/>
      <c r="H278" s="32"/>
      <c r="I278" s="31"/>
      <c r="J278" s="2"/>
      <c r="K278" s="33"/>
      <c r="L278" s="31"/>
      <c r="M278" s="34" t="s">
        <v>668</v>
      </c>
      <c r="N278" s="2"/>
      <c r="O278" s="2"/>
      <c r="P278" s="2"/>
      <c r="Q278" s="2"/>
    </row>
    <row r="279" customFormat="false" ht="15" hidden="false" customHeight="false" outlineLevel="0" collapsed="false">
      <c r="A279" s="2" t="s">
        <v>1663</v>
      </c>
      <c r="B279" s="2" t="s">
        <v>46</v>
      </c>
      <c r="C279" s="14" t="s">
        <v>1664</v>
      </c>
      <c r="D279" s="40" t="n">
        <v>132810</v>
      </c>
      <c r="E279" s="2" t="s">
        <v>670</v>
      </c>
      <c r="F279" s="41" t="n">
        <v>3.3755364806867</v>
      </c>
      <c r="G279" s="31" t="n">
        <v>52.9</v>
      </c>
      <c r="H279" s="42" t="n">
        <v>0.0896783721693469</v>
      </c>
      <c r="I279" s="31" t="n">
        <v>55</v>
      </c>
      <c r="J279" s="2" t="s">
        <v>2705</v>
      </c>
      <c r="K279" s="43" t="n">
        <v>0.184208625297985</v>
      </c>
      <c r="L279" s="31" t="n">
        <v>68.1</v>
      </c>
      <c r="M279" s="39" t="s">
        <v>671</v>
      </c>
      <c r="N279" s="2" t="s">
        <v>21</v>
      </c>
      <c r="O279" s="2" t="s">
        <v>21</v>
      </c>
      <c r="P279" s="2" t="s">
        <v>21</v>
      </c>
      <c r="Q279" s="2" t="s">
        <v>21</v>
      </c>
    </row>
    <row r="280" customFormat="false" ht="15" hidden="false" customHeight="false" outlineLevel="0" collapsed="false">
      <c r="A280" s="2" t="s">
        <v>2440</v>
      </c>
      <c r="B280" s="2" t="s">
        <v>45</v>
      </c>
      <c r="C280" s="14" t="s">
        <v>2782</v>
      </c>
      <c r="D280" s="40" t="n">
        <v>10390</v>
      </c>
      <c r="E280" s="2" t="s">
        <v>667</v>
      </c>
      <c r="F280" s="41" t="n">
        <v>0.0843118383060635</v>
      </c>
      <c r="G280" s="31" t="n">
        <v>2.1</v>
      </c>
      <c r="H280" s="32"/>
      <c r="I280" s="31"/>
      <c r="J280" s="2"/>
      <c r="K280" s="43" t="n">
        <v>0.0886075949367089</v>
      </c>
      <c r="L280" s="31" t="n">
        <v>30.1</v>
      </c>
      <c r="M280" s="34" t="s">
        <v>668</v>
      </c>
      <c r="N280" s="2" t="s">
        <v>21</v>
      </c>
      <c r="O280" s="2" t="s">
        <v>21</v>
      </c>
      <c r="P280" s="2"/>
      <c r="Q280" s="2" t="s">
        <v>21</v>
      </c>
    </row>
    <row r="281" customFormat="false" ht="15" hidden="false" customHeight="false" outlineLevel="0" collapsed="false">
      <c r="A281" s="2" t="s">
        <v>2440</v>
      </c>
      <c r="B281" s="2" t="s">
        <v>46</v>
      </c>
      <c r="C281" s="16"/>
      <c r="D281" s="29"/>
      <c r="E281" s="2"/>
      <c r="F281" s="30"/>
      <c r="G281" s="31"/>
      <c r="H281" s="32"/>
      <c r="I281" s="31"/>
      <c r="J281" s="2"/>
      <c r="K281" s="33"/>
      <c r="L281" s="31"/>
      <c r="M281" s="34" t="s">
        <v>668</v>
      </c>
      <c r="N281" s="2"/>
      <c r="O281" s="2"/>
      <c r="P281" s="2"/>
      <c r="Q281" s="2"/>
    </row>
    <row r="282" customFormat="false" ht="15" hidden="false" customHeight="false" outlineLevel="0" collapsed="false">
      <c r="A282" s="2" t="s">
        <v>2440</v>
      </c>
      <c r="B282" s="2" t="s">
        <v>47</v>
      </c>
      <c r="C282" s="13" t="s">
        <v>2441</v>
      </c>
      <c r="D282" s="35" t="n">
        <v>105464</v>
      </c>
      <c r="E282" s="2" t="s">
        <v>670</v>
      </c>
      <c r="F282" s="36" t="n">
        <v>0.93130357278313</v>
      </c>
      <c r="G282" s="31" t="n">
        <v>33.8</v>
      </c>
      <c r="H282" s="37" t="n">
        <v>0.078816272670547</v>
      </c>
      <c r="I282" s="31" t="n">
        <v>49.4</v>
      </c>
      <c r="J282" s="2" t="s">
        <v>2701</v>
      </c>
      <c r="K282" s="38" t="n">
        <v>0.118573079145003</v>
      </c>
      <c r="L282" s="31" t="n">
        <v>62.9</v>
      </c>
      <c r="M282" s="39" t="s">
        <v>671</v>
      </c>
      <c r="N282" s="2" t="s">
        <v>19</v>
      </c>
      <c r="O282" s="2" t="s">
        <v>19</v>
      </c>
      <c r="P282" s="2" t="s">
        <v>19</v>
      </c>
      <c r="Q282" s="2" t="s">
        <v>19</v>
      </c>
    </row>
    <row r="283" customFormat="false" ht="15" hidden="false" customHeight="false" outlineLevel="0" collapsed="false">
      <c r="A283" s="2" t="s">
        <v>1993</v>
      </c>
      <c r="B283" s="2" t="s">
        <v>45</v>
      </c>
      <c r="C283" s="16"/>
      <c r="D283" s="29"/>
      <c r="E283" s="2"/>
      <c r="F283" s="30"/>
      <c r="G283" s="31"/>
      <c r="H283" s="32"/>
      <c r="I283" s="31"/>
      <c r="J283" s="2"/>
      <c r="K283" s="33"/>
      <c r="L283" s="31"/>
      <c r="M283" s="34" t="s">
        <v>668</v>
      </c>
      <c r="N283" s="2"/>
      <c r="O283" s="2"/>
      <c r="P283" s="2"/>
      <c r="Q283" s="2"/>
    </row>
    <row r="284" customFormat="false" ht="15" hidden="false" customHeight="false" outlineLevel="0" collapsed="false">
      <c r="A284" s="2" t="s">
        <v>1993</v>
      </c>
      <c r="B284" s="2" t="s">
        <v>46</v>
      </c>
      <c r="C284" s="16"/>
      <c r="D284" s="29"/>
      <c r="E284" s="2"/>
      <c r="F284" s="30"/>
      <c r="G284" s="31"/>
      <c r="H284" s="32"/>
      <c r="I284" s="31"/>
      <c r="J284" s="2"/>
      <c r="K284" s="33"/>
      <c r="L284" s="31"/>
      <c r="M284" s="34" t="s">
        <v>668</v>
      </c>
      <c r="N284" s="2"/>
      <c r="O284" s="2"/>
      <c r="P284" s="2"/>
      <c r="Q284" s="2"/>
    </row>
    <row r="285" customFormat="false" ht="15" hidden="false" customHeight="false" outlineLevel="0" collapsed="false">
      <c r="A285" s="2" t="s">
        <v>1993</v>
      </c>
      <c r="B285" s="2" t="s">
        <v>47</v>
      </c>
      <c r="C285" s="13" t="s">
        <v>1994</v>
      </c>
      <c r="D285" s="35" t="n">
        <v>94800</v>
      </c>
      <c r="E285" s="2" t="s">
        <v>667</v>
      </c>
      <c r="F285" s="36" t="n">
        <v>4.35680379746836</v>
      </c>
      <c r="G285" s="31" t="n">
        <v>95.8</v>
      </c>
      <c r="H285" s="37" t="n">
        <v>0.158825039422054</v>
      </c>
      <c r="I285" s="31" t="n">
        <v>80.1</v>
      </c>
      <c r="J285" s="2" t="s">
        <v>2697</v>
      </c>
      <c r="K285" s="38" t="n">
        <v>0.0891168714221393</v>
      </c>
      <c r="L285" s="31" t="n">
        <v>49</v>
      </c>
      <c r="M285" s="39" t="s">
        <v>671</v>
      </c>
      <c r="N285" s="2" t="s">
        <v>19</v>
      </c>
      <c r="O285" s="2" t="s">
        <v>19</v>
      </c>
      <c r="P285" s="2" t="s">
        <v>19</v>
      </c>
      <c r="Q285" s="2" t="s">
        <v>19</v>
      </c>
    </row>
    <row r="286" customFormat="false" ht="15" hidden="false" customHeight="false" outlineLevel="0" collapsed="false">
      <c r="A286" s="2" t="s">
        <v>638</v>
      </c>
      <c r="B286" s="2" t="s">
        <v>47</v>
      </c>
      <c r="C286" s="13" t="s">
        <v>2632</v>
      </c>
      <c r="D286" s="35" t="n">
        <v>41246</v>
      </c>
      <c r="E286" s="2" t="s">
        <v>667</v>
      </c>
      <c r="F286" s="36" t="n">
        <v>0.417810211899336</v>
      </c>
      <c r="G286" s="31" t="n">
        <v>8.7</v>
      </c>
      <c r="H286" s="37" t="n">
        <v>-0.033530941725051</v>
      </c>
      <c r="I286" s="31" t="n">
        <v>4.3</v>
      </c>
      <c r="J286" s="2" t="s">
        <v>2697</v>
      </c>
      <c r="K286" s="38" t="n">
        <v>0.0523349436392915</v>
      </c>
      <c r="L286" s="31" t="n">
        <v>32.8</v>
      </c>
      <c r="M286" s="39" t="s">
        <v>671</v>
      </c>
      <c r="N286" s="2" t="s">
        <v>19</v>
      </c>
      <c r="O286" s="2" t="s">
        <v>19</v>
      </c>
      <c r="P286" s="2" t="s">
        <v>19</v>
      </c>
      <c r="Q286" s="2" t="s">
        <v>19</v>
      </c>
    </row>
    <row r="287" customFormat="false" ht="15" hidden="false" customHeight="false" outlineLevel="0" collapsed="false">
      <c r="A287" s="2" t="s">
        <v>1871</v>
      </c>
      <c r="B287" s="2" t="s">
        <v>45</v>
      </c>
      <c r="C287" s="14" t="s">
        <v>2783</v>
      </c>
      <c r="D287" s="40" t="n">
        <v>26260</v>
      </c>
      <c r="E287" s="2" t="s">
        <v>667</v>
      </c>
      <c r="F287" s="41" t="n">
        <v>0.250913937547601</v>
      </c>
      <c r="G287" s="31" t="n">
        <v>13.5</v>
      </c>
      <c r="H287" s="42" t="n">
        <v>0.0205985231247571</v>
      </c>
      <c r="I287" s="31" t="n">
        <v>13.5</v>
      </c>
      <c r="J287" s="2" t="s">
        <v>2704</v>
      </c>
      <c r="K287" s="33"/>
      <c r="L287" s="31"/>
      <c r="M287" s="34" t="s">
        <v>668</v>
      </c>
      <c r="N287" s="2" t="s">
        <v>21</v>
      </c>
      <c r="O287" s="2" t="s">
        <v>21</v>
      </c>
      <c r="P287" s="2" t="s">
        <v>21</v>
      </c>
      <c r="Q287" s="2"/>
    </row>
    <row r="288" customFormat="false" ht="15" hidden="false" customHeight="false" outlineLevel="0" collapsed="false">
      <c r="A288" s="2" t="s">
        <v>1871</v>
      </c>
      <c r="B288" s="2" t="s">
        <v>46</v>
      </c>
      <c r="C288" s="13" t="s">
        <v>1872</v>
      </c>
      <c r="D288" s="35" t="n">
        <v>1823792</v>
      </c>
      <c r="E288" s="2" t="s">
        <v>752</v>
      </c>
      <c r="F288" s="41" t="n">
        <v>1.60834345397134</v>
      </c>
      <c r="G288" s="31" t="n">
        <v>17.5</v>
      </c>
      <c r="H288" s="37" t="n">
        <v>0.150798994198024</v>
      </c>
      <c r="I288" s="31" t="n">
        <v>87.5</v>
      </c>
      <c r="J288" s="2" t="s">
        <v>2751</v>
      </c>
      <c r="K288" s="38" t="n">
        <v>0.154263624080468</v>
      </c>
      <c r="L288" s="31" t="n">
        <v>58.8</v>
      </c>
      <c r="M288" s="39" t="s">
        <v>671</v>
      </c>
      <c r="N288" s="2" t="s">
        <v>19</v>
      </c>
      <c r="O288" s="2" t="s">
        <v>21</v>
      </c>
      <c r="P288" s="2" t="s">
        <v>19</v>
      </c>
      <c r="Q288" s="2" t="s">
        <v>19</v>
      </c>
    </row>
    <row r="289" customFormat="false" ht="15" hidden="false" customHeight="false" outlineLevel="0" collapsed="false">
      <c r="A289" s="2" t="s">
        <v>1871</v>
      </c>
      <c r="B289" s="2" t="s">
        <v>47</v>
      </c>
      <c r="C289" s="13" t="s">
        <v>2566</v>
      </c>
      <c r="D289" s="35" t="n">
        <v>49150</v>
      </c>
      <c r="E289" s="2" t="s">
        <v>667</v>
      </c>
      <c r="F289" s="36" t="n">
        <v>0.625249237029502</v>
      </c>
      <c r="G289" s="31" t="n">
        <v>17.5</v>
      </c>
      <c r="H289" s="37" t="n">
        <v>-0.0540800615858353</v>
      </c>
      <c r="I289" s="31" t="n">
        <v>2.5</v>
      </c>
      <c r="J289" s="2" t="s">
        <v>2697</v>
      </c>
      <c r="K289" s="38" t="n">
        <v>0.0465116279069767</v>
      </c>
      <c r="L289" s="31" t="n">
        <v>28.6</v>
      </c>
      <c r="M289" s="39" t="s">
        <v>671</v>
      </c>
      <c r="N289" s="2" t="s">
        <v>19</v>
      </c>
      <c r="O289" s="2" t="s">
        <v>19</v>
      </c>
      <c r="P289" s="2" t="s">
        <v>19</v>
      </c>
      <c r="Q289" s="2" t="s">
        <v>19</v>
      </c>
    </row>
    <row r="290" customFormat="false" ht="15" hidden="false" customHeight="false" outlineLevel="0" collapsed="false">
      <c r="A290" s="2" t="s">
        <v>2564</v>
      </c>
      <c r="B290" s="2" t="s">
        <v>46</v>
      </c>
      <c r="C290" s="15" t="s">
        <v>2784</v>
      </c>
      <c r="D290" s="44" t="n">
        <v>17522</v>
      </c>
      <c r="E290" s="2" t="s">
        <v>667</v>
      </c>
      <c r="F290" s="45" t="n">
        <v>3.24888711334323</v>
      </c>
      <c r="G290" s="31" t="n">
        <v>52</v>
      </c>
      <c r="H290" s="46" t="n">
        <v>0.0899477481960687</v>
      </c>
      <c r="I290" s="31" t="n">
        <v>50.6</v>
      </c>
      <c r="J290" s="2" t="s">
        <v>2700</v>
      </c>
      <c r="K290" s="33"/>
      <c r="L290" s="31"/>
      <c r="M290" s="34" t="s">
        <v>668</v>
      </c>
      <c r="N290" s="2" t="s">
        <v>17</v>
      </c>
      <c r="O290" s="2" t="s">
        <v>17</v>
      </c>
      <c r="P290" s="2" t="s">
        <v>17</v>
      </c>
      <c r="Q290" s="2"/>
    </row>
    <row r="291" customFormat="false" ht="15" hidden="false" customHeight="false" outlineLevel="0" collapsed="false">
      <c r="A291" s="2" t="s">
        <v>2564</v>
      </c>
      <c r="B291" s="2" t="s">
        <v>47</v>
      </c>
      <c r="C291" s="13" t="s">
        <v>2565</v>
      </c>
      <c r="D291" s="35" t="n">
        <v>27024</v>
      </c>
      <c r="E291" s="2" t="s">
        <v>667</v>
      </c>
      <c r="F291" s="36" t="n">
        <v>0.628589402013026</v>
      </c>
      <c r="G291" s="31" t="n">
        <v>17.7</v>
      </c>
      <c r="H291" s="37" t="n">
        <v>0.0755820895522388</v>
      </c>
      <c r="I291" s="31" t="n">
        <v>41.8</v>
      </c>
      <c r="J291" s="2" t="s">
        <v>2697</v>
      </c>
      <c r="K291" s="38" t="n">
        <v>0.103846153846154</v>
      </c>
      <c r="L291" s="31" t="n">
        <v>57</v>
      </c>
      <c r="M291" s="39" t="s">
        <v>671</v>
      </c>
      <c r="N291" s="2" t="s">
        <v>19</v>
      </c>
      <c r="O291" s="2" t="s">
        <v>19</v>
      </c>
      <c r="P291" s="2" t="s">
        <v>19</v>
      </c>
      <c r="Q291" s="2" t="s">
        <v>19</v>
      </c>
    </row>
    <row r="292" customFormat="false" ht="15" hidden="false" customHeight="false" outlineLevel="0" collapsed="false">
      <c r="A292" s="2" t="s">
        <v>586</v>
      </c>
      <c r="B292" s="2" t="s">
        <v>47</v>
      </c>
      <c r="C292" s="13" t="s">
        <v>2529</v>
      </c>
      <c r="D292" s="35" t="n">
        <v>15610</v>
      </c>
      <c r="E292" s="2" t="s">
        <v>667</v>
      </c>
      <c r="F292" s="36" t="n">
        <v>0.733440102498398</v>
      </c>
      <c r="G292" s="31" t="n">
        <v>23</v>
      </c>
      <c r="H292" s="37" t="n">
        <v>0.0841783581052924</v>
      </c>
      <c r="I292" s="31" t="n">
        <v>47.5</v>
      </c>
      <c r="J292" s="2" t="s">
        <v>2697</v>
      </c>
      <c r="K292" s="38" t="n">
        <v>0.099009900990099</v>
      </c>
      <c r="L292" s="31" t="n">
        <v>54.1</v>
      </c>
      <c r="M292" s="39" t="s">
        <v>671</v>
      </c>
      <c r="N292" s="2" t="s">
        <v>19</v>
      </c>
      <c r="O292" s="2" t="s">
        <v>19</v>
      </c>
      <c r="P292" s="2" t="s">
        <v>19</v>
      </c>
      <c r="Q292" s="2" t="s">
        <v>19</v>
      </c>
    </row>
    <row r="293" customFormat="false" ht="15" hidden="false" customHeight="false" outlineLevel="0" collapsed="false">
      <c r="A293" s="2" t="s">
        <v>1859</v>
      </c>
      <c r="B293" s="2" t="s">
        <v>45</v>
      </c>
      <c r="C293" s="16"/>
      <c r="D293" s="40" t="n">
        <v>22630</v>
      </c>
      <c r="E293" s="2" t="s">
        <v>667</v>
      </c>
      <c r="F293" s="41" t="n">
        <v>1.28276623950508</v>
      </c>
      <c r="G293" s="31" t="n">
        <v>84.6</v>
      </c>
      <c r="H293" s="42" t="n">
        <v>0.137185929648241</v>
      </c>
      <c r="I293" s="31" t="n">
        <v>72.2</v>
      </c>
      <c r="J293" s="2" t="s">
        <v>2704</v>
      </c>
      <c r="K293" s="33"/>
      <c r="L293" s="31"/>
      <c r="M293" s="34" t="s">
        <v>668</v>
      </c>
      <c r="N293" s="2" t="s">
        <v>21</v>
      </c>
      <c r="O293" s="2" t="s">
        <v>21</v>
      </c>
      <c r="P293" s="2" t="s">
        <v>21</v>
      </c>
      <c r="Q293" s="2"/>
    </row>
    <row r="294" customFormat="false" ht="15" hidden="false" customHeight="false" outlineLevel="0" collapsed="false">
      <c r="A294" s="2" t="s">
        <v>1859</v>
      </c>
      <c r="B294" s="2" t="s">
        <v>46</v>
      </c>
      <c r="C294" s="13" t="s">
        <v>1860</v>
      </c>
      <c r="D294" s="35" t="n">
        <v>99652</v>
      </c>
      <c r="E294" s="2" t="s">
        <v>667</v>
      </c>
      <c r="F294" s="36" t="n">
        <v>1.70839521534942</v>
      </c>
      <c r="G294" s="31" t="n">
        <v>19.7</v>
      </c>
      <c r="H294" s="37" t="n">
        <v>0.0318933024064946</v>
      </c>
      <c r="I294" s="31" t="n">
        <v>21.6</v>
      </c>
      <c r="J294" s="2" t="s">
        <v>2700</v>
      </c>
      <c r="K294" s="38" t="n">
        <v>0.0145736434108527</v>
      </c>
      <c r="L294" s="31" t="n">
        <v>2.8</v>
      </c>
      <c r="M294" s="39" t="s">
        <v>671</v>
      </c>
      <c r="N294" s="2" t="s">
        <v>19</v>
      </c>
      <c r="O294" s="2" t="s">
        <v>19</v>
      </c>
      <c r="P294" s="2" t="s">
        <v>19</v>
      </c>
      <c r="Q294" s="2" t="s">
        <v>19</v>
      </c>
    </row>
    <row r="295" customFormat="false" ht="15" hidden="false" customHeight="false" outlineLevel="0" collapsed="false">
      <c r="A295" s="2" t="s">
        <v>1859</v>
      </c>
      <c r="B295" s="2" t="s">
        <v>47</v>
      </c>
      <c r="C295" s="13" t="s">
        <v>2131</v>
      </c>
      <c r="D295" s="35" t="n">
        <v>40915</v>
      </c>
      <c r="E295" s="2" t="s">
        <v>667</v>
      </c>
      <c r="F295" s="36" t="n">
        <v>2.07036539166565</v>
      </c>
      <c r="G295" s="31" t="n">
        <v>75.5</v>
      </c>
      <c r="H295" s="37" t="n">
        <v>0.20479976442874</v>
      </c>
      <c r="I295" s="31" t="n">
        <v>94</v>
      </c>
      <c r="J295" s="2" t="s">
        <v>2697</v>
      </c>
      <c r="K295" s="38" t="n">
        <v>0.342346271260358</v>
      </c>
      <c r="L295" s="31" t="n">
        <v>97.9</v>
      </c>
      <c r="M295" s="39" t="s">
        <v>671</v>
      </c>
      <c r="N295" s="2" t="s">
        <v>19</v>
      </c>
      <c r="O295" s="2" t="s">
        <v>19</v>
      </c>
      <c r="P295" s="2" t="s">
        <v>19</v>
      </c>
      <c r="Q295" s="2" t="s">
        <v>19</v>
      </c>
    </row>
    <row r="296" customFormat="false" ht="15" hidden="false" customHeight="false" outlineLevel="0" collapsed="false">
      <c r="A296" s="2" t="s">
        <v>891</v>
      </c>
      <c r="B296" s="2" t="s">
        <v>45</v>
      </c>
      <c r="C296" s="14" t="s">
        <v>892</v>
      </c>
      <c r="D296" s="40" t="n">
        <v>207530</v>
      </c>
      <c r="E296" s="2" t="s">
        <v>670</v>
      </c>
      <c r="F296" s="41" t="n">
        <v>0.901334746783598</v>
      </c>
      <c r="G296" s="31" t="n">
        <v>70.7</v>
      </c>
      <c r="H296" s="42" t="n">
        <v>0.136341236379565</v>
      </c>
      <c r="I296" s="31" t="n">
        <v>71.7</v>
      </c>
      <c r="J296" s="2" t="s">
        <v>2698</v>
      </c>
      <c r="K296" s="43" t="n">
        <v>0.241673436230707</v>
      </c>
      <c r="L296" s="31" t="n">
        <v>80.1</v>
      </c>
      <c r="M296" s="39" t="s">
        <v>671</v>
      </c>
      <c r="N296" s="2" t="s">
        <v>21</v>
      </c>
      <c r="O296" s="2" t="s">
        <v>21</v>
      </c>
      <c r="P296" s="2" t="s">
        <v>21</v>
      </c>
      <c r="Q296" s="2" t="s">
        <v>21</v>
      </c>
    </row>
    <row r="297" customFormat="false" ht="15" hidden="false" customHeight="false" outlineLevel="0" collapsed="false">
      <c r="A297" s="2" t="s">
        <v>891</v>
      </c>
      <c r="B297" s="2" t="s">
        <v>46</v>
      </c>
      <c r="C297" s="13" t="s">
        <v>1702</v>
      </c>
      <c r="D297" s="35" t="n">
        <v>106886</v>
      </c>
      <c r="E297" s="2" t="s">
        <v>670</v>
      </c>
      <c r="F297" s="36" t="n">
        <v>2.82762008120802</v>
      </c>
      <c r="G297" s="31" t="n">
        <v>45</v>
      </c>
      <c r="H297" s="37" t="n">
        <v>0.0859198000589257</v>
      </c>
      <c r="I297" s="31" t="n">
        <v>53</v>
      </c>
      <c r="J297" s="2" t="s">
        <v>2705</v>
      </c>
      <c r="K297" s="38" t="n">
        <v>0.229779043188836</v>
      </c>
      <c r="L297" s="31" t="n">
        <v>77.7</v>
      </c>
      <c r="M297" s="39" t="s">
        <v>671</v>
      </c>
      <c r="N297" s="2" t="s">
        <v>19</v>
      </c>
      <c r="O297" s="2" t="s">
        <v>19</v>
      </c>
      <c r="P297" s="2" t="s">
        <v>19</v>
      </c>
      <c r="Q297" s="2" t="s">
        <v>19</v>
      </c>
    </row>
    <row r="298" customFormat="false" ht="15" hidden="false" customHeight="false" outlineLevel="0" collapsed="false">
      <c r="A298" s="2" t="s">
        <v>891</v>
      </c>
      <c r="B298" s="2" t="s">
        <v>47</v>
      </c>
      <c r="C298" s="13" t="s">
        <v>2785</v>
      </c>
      <c r="D298" s="35" t="n">
        <v>152040</v>
      </c>
      <c r="E298" s="2" t="s">
        <v>670</v>
      </c>
      <c r="F298" s="36" t="n">
        <v>1.13998289923704</v>
      </c>
      <c r="G298" s="31" t="n">
        <v>46</v>
      </c>
      <c r="H298" s="37" t="n">
        <v>0.0962420327055634</v>
      </c>
      <c r="I298" s="31" t="n">
        <v>54.8</v>
      </c>
      <c r="J298" s="2" t="s">
        <v>2701</v>
      </c>
      <c r="K298" s="33"/>
      <c r="L298" s="31"/>
      <c r="M298" s="34" t="s">
        <v>668</v>
      </c>
      <c r="N298" s="2" t="s">
        <v>19</v>
      </c>
      <c r="O298" s="2" t="s">
        <v>19</v>
      </c>
      <c r="P298" s="2" t="s">
        <v>19</v>
      </c>
      <c r="Q298" s="2"/>
    </row>
    <row r="299" customFormat="false" ht="15" hidden="false" customHeight="false" outlineLevel="0" collapsed="false">
      <c r="A299" s="2" t="s">
        <v>1191</v>
      </c>
      <c r="B299" s="2" t="s">
        <v>45</v>
      </c>
      <c r="C299" s="14" t="s">
        <v>1192</v>
      </c>
      <c r="D299" s="40" t="n">
        <v>82400</v>
      </c>
      <c r="E299" s="2" t="s">
        <v>667</v>
      </c>
      <c r="F299" s="41" t="n">
        <v>0.406941747572816</v>
      </c>
      <c r="G299" s="31" t="n">
        <v>29.9</v>
      </c>
      <c r="H299" s="42" t="n">
        <v>0.157140851004073</v>
      </c>
      <c r="I299" s="31" t="n">
        <v>80.6</v>
      </c>
      <c r="J299" s="2" t="s">
        <v>2704</v>
      </c>
      <c r="K299" s="43" t="n">
        <v>0.052055827989438</v>
      </c>
      <c r="L299" s="31" t="n">
        <v>14.1</v>
      </c>
      <c r="M299" s="39" t="s">
        <v>671</v>
      </c>
      <c r="N299" s="2" t="s">
        <v>21</v>
      </c>
      <c r="O299" s="2" t="s">
        <v>21</v>
      </c>
      <c r="P299" s="2" t="s">
        <v>21</v>
      </c>
      <c r="Q299" s="2" t="s">
        <v>21</v>
      </c>
    </row>
    <row r="300" customFormat="false" ht="15" hidden="false" customHeight="false" outlineLevel="0" collapsed="false">
      <c r="A300" s="2" t="s">
        <v>1191</v>
      </c>
      <c r="B300" s="2" t="s">
        <v>46</v>
      </c>
      <c r="C300" s="13" t="s">
        <v>1396</v>
      </c>
      <c r="D300" s="35" t="n">
        <v>102231</v>
      </c>
      <c r="E300" s="2" t="s">
        <v>670</v>
      </c>
      <c r="F300" s="36" t="n">
        <v>10.3651925541176</v>
      </c>
      <c r="G300" s="31" t="n">
        <v>96.8</v>
      </c>
      <c r="H300" s="37" t="n">
        <v>0.0882932177949051</v>
      </c>
      <c r="I300" s="31" t="n">
        <v>53.6</v>
      </c>
      <c r="J300" s="2" t="s">
        <v>2705</v>
      </c>
      <c r="K300" s="38" t="n">
        <v>0.0121619273759194</v>
      </c>
      <c r="L300" s="31" t="n">
        <v>2.3</v>
      </c>
      <c r="M300" s="39" t="s">
        <v>671</v>
      </c>
      <c r="N300" s="2" t="s">
        <v>19</v>
      </c>
      <c r="O300" s="2" t="s">
        <v>19</v>
      </c>
      <c r="P300" s="2" t="s">
        <v>19</v>
      </c>
      <c r="Q300" s="2" t="s">
        <v>19</v>
      </c>
    </row>
    <row r="301" customFormat="false" ht="15" hidden="false" customHeight="false" outlineLevel="0" collapsed="false">
      <c r="A301" s="2" t="s">
        <v>1191</v>
      </c>
      <c r="B301" s="2" t="s">
        <v>47</v>
      </c>
      <c r="C301" s="16"/>
      <c r="D301" s="35" t="n">
        <v>22393</v>
      </c>
      <c r="E301" s="2" t="s">
        <v>667</v>
      </c>
      <c r="F301" s="36" t="n">
        <v>1.95123476086277</v>
      </c>
      <c r="G301" s="31" t="n">
        <v>72.2</v>
      </c>
      <c r="H301" s="37" t="n">
        <v>0.0328874538745387</v>
      </c>
      <c r="I301" s="31" t="n">
        <v>22.3</v>
      </c>
      <c r="J301" s="2" t="s">
        <v>2697</v>
      </c>
      <c r="K301" s="38" t="n">
        <v>0.00948925481440134</v>
      </c>
      <c r="L301" s="31" t="n">
        <v>6.7</v>
      </c>
      <c r="M301" s="34" t="s">
        <v>668</v>
      </c>
      <c r="N301" s="2" t="s">
        <v>19</v>
      </c>
      <c r="O301" s="2" t="s">
        <v>19</v>
      </c>
      <c r="P301" s="2" t="s">
        <v>19</v>
      </c>
      <c r="Q301" s="2" t="s">
        <v>19</v>
      </c>
    </row>
    <row r="302" customFormat="false" ht="15" hidden="false" customHeight="false" outlineLevel="0" collapsed="false">
      <c r="A302" s="2" t="s">
        <v>2786</v>
      </c>
      <c r="B302" s="2" t="s">
        <v>47</v>
      </c>
      <c r="C302" s="13" t="s">
        <v>2787</v>
      </c>
      <c r="D302" s="35" t="n">
        <v>11967</v>
      </c>
      <c r="E302" s="2" t="s">
        <v>667</v>
      </c>
      <c r="F302" s="36" t="n">
        <v>2.05682292972341</v>
      </c>
      <c r="G302" s="31" t="n">
        <v>75.3</v>
      </c>
      <c r="H302" s="32"/>
      <c r="I302" s="31"/>
      <c r="J302" s="2"/>
      <c r="K302" s="38" t="n">
        <v>0.0535818287711124</v>
      </c>
      <c r="L302" s="31" t="n">
        <v>33.7</v>
      </c>
      <c r="M302" s="34" t="s">
        <v>668</v>
      </c>
      <c r="N302" s="2" t="s">
        <v>19</v>
      </c>
      <c r="O302" s="2" t="s">
        <v>19</v>
      </c>
      <c r="P302" s="2"/>
      <c r="Q302" s="2" t="s">
        <v>19</v>
      </c>
    </row>
    <row r="303" customFormat="false" ht="15" hidden="false" customHeight="false" outlineLevel="0" collapsed="false">
      <c r="A303" s="2" t="s">
        <v>1270</v>
      </c>
      <c r="B303" s="2" t="s">
        <v>45</v>
      </c>
      <c r="C303" s="14" t="s">
        <v>1271</v>
      </c>
      <c r="D303" s="40" t="n">
        <v>105330</v>
      </c>
      <c r="E303" s="2" t="s">
        <v>670</v>
      </c>
      <c r="F303" s="41" t="n">
        <v>0.29566125510301</v>
      </c>
      <c r="G303" s="31" t="n">
        <v>18.4</v>
      </c>
      <c r="H303" s="42" t="n">
        <v>-0.0488531695864186</v>
      </c>
      <c r="I303" s="31" t="n">
        <v>6.5</v>
      </c>
      <c r="J303" s="2" t="s">
        <v>2698</v>
      </c>
      <c r="K303" s="43" t="n">
        <v>0.133953488372093</v>
      </c>
      <c r="L303" s="31" t="n">
        <v>50.3</v>
      </c>
      <c r="M303" s="39" t="s">
        <v>671</v>
      </c>
      <c r="N303" s="2" t="s">
        <v>21</v>
      </c>
      <c r="O303" s="2" t="s">
        <v>21</v>
      </c>
      <c r="P303" s="2" t="s">
        <v>21</v>
      </c>
      <c r="Q303" s="2" t="s">
        <v>21</v>
      </c>
    </row>
    <row r="304" customFormat="false" ht="15" hidden="false" customHeight="false" outlineLevel="0" collapsed="false">
      <c r="A304" s="2" t="s">
        <v>1270</v>
      </c>
      <c r="B304" s="2" t="s">
        <v>46</v>
      </c>
      <c r="C304" s="14" t="s">
        <v>1911</v>
      </c>
      <c r="D304" s="40" t="n">
        <v>57420</v>
      </c>
      <c r="E304" s="2" t="s">
        <v>667</v>
      </c>
      <c r="F304" s="41" t="n">
        <v>1.20231626610937</v>
      </c>
      <c r="G304" s="31" t="n">
        <v>9.3</v>
      </c>
      <c r="H304" s="42" t="n">
        <v>0.0692737430167598</v>
      </c>
      <c r="I304" s="31" t="n">
        <v>39.8</v>
      </c>
      <c r="J304" s="2" t="s">
        <v>2700</v>
      </c>
      <c r="K304" s="43" t="n">
        <v>0.040910489080283</v>
      </c>
      <c r="L304" s="31" t="n">
        <v>9.6</v>
      </c>
      <c r="M304" s="39" t="s">
        <v>671</v>
      </c>
      <c r="N304" s="2" t="s">
        <v>21</v>
      </c>
      <c r="O304" s="2" t="s">
        <v>21</v>
      </c>
      <c r="P304" s="2" t="s">
        <v>21</v>
      </c>
      <c r="Q304" s="2" t="s">
        <v>21</v>
      </c>
    </row>
    <row r="305" customFormat="false" ht="15" hidden="false" customHeight="false" outlineLevel="0" collapsed="false">
      <c r="A305" s="2" t="s">
        <v>1270</v>
      </c>
      <c r="B305" s="2" t="s">
        <v>47</v>
      </c>
      <c r="C305" s="13" t="s">
        <v>2788</v>
      </c>
      <c r="D305" s="35" t="n">
        <v>353572</v>
      </c>
      <c r="E305" s="2" t="s">
        <v>670</v>
      </c>
      <c r="F305" s="36" t="n">
        <v>4.0206464312785</v>
      </c>
      <c r="G305" s="31" t="n">
        <v>95.1</v>
      </c>
      <c r="H305" s="37" t="n">
        <v>0.0523696562562318</v>
      </c>
      <c r="I305" s="31" t="n">
        <v>38</v>
      </c>
      <c r="J305" s="2" t="s">
        <v>2701</v>
      </c>
      <c r="K305" s="33"/>
      <c r="L305" s="31"/>
      <c r="M305" s="34" t="s">
        <v>668</v>
      </c>
      <c r="N305" s="2" t="s">
        <v>19</v>
      </c>
      <c r="O305" s="2" t="s">
        <v>19</v>
      </c>
      <c r="P305" s="2" t="s">
        <v>19</v>
      </c>
      <c r="Q305" s="2"/>
    </row>
    <row r="306" customFormat="false" ht="15" hidden="false" customHeight="false" outlineLevel="0" collapsed="false">
      <c r="A306" s="2" t="s">
        <v>148</v>
      </c>
      <c r="B306" s="2" t="s">
        <v>47</v>
      </c>
      <c r="C306" s="13" t="s">
        <v>2100</v>
      </c>
      <c r="D306" s="35" t="n">
        <v>44940</v>
      </c>
      <c r="E306" s="2" t="s">
        <v>667</v>
      </c>
      <c r="F306" s="36" t="n">
        <v>2.32029372496662</v>
      </c>
      <c r="G306" s="31" t="n">
        <v>80</v>
      </c>
      <c r="H306" s="37" t="n">
        <v>0.128663636135319</v>
      </c>
      <c r="I306" s="31" t="n">
        <v>69.5</v>
      </c>
      <c r="J306" s="2" t="s">
        <v>2697</v>
      </c>
      <c r="K306" s="38" t="n">
        <v>0.0761257434154631</v>
      </c>
      <c r="L306" s="31" t="n">
        <v>42.3</v>
      </c>
      <c r="M306" s="39" t="s">
        <v>671</v>
      </c>
      <c r="N306" s="2" t="s">
        <v>19</v>
      </c>
      <c r="O306" s="2" t="s">
        <v>19</v>
      </c>
      <c r="P306" s="2" t="s">
        <v>19</v>
      </c>
      <c r="Q306" s="2" t="s">
        <v>19</v>
      </c>
    </row>
    <row r="307" customFormat="false" ht="15" hidden="false" customHeight="false" outlineLevel="0" collapsed="false">
      <c r="A307" s="2" t="s">
        <v>1835</v>
      </c>
      <c r="B307" s="2" t="s">
        <v>45</v>
      </c>
      <c r="C307" s="15" t="s">
        <v>2789</v>
      </c>
      <c r="D307" s="29"/>
      <c r="E307" s="2"/>
      <c r="F307" s="30"/>
      <c r="G307" s="31"/>
      <c r="H307" s="32"/>
      <c r="I307" s="31"/>
      <c r="J307" s="2"/>
      <c r="K307" s="33"/>
      <c r="L307" s="31"/>
      <c r="M307" s="34" t="s">
        <v>668</v>
      </c>
      <c r="N307" s="2"/>
      <c r="O307" s="2"/>
      <c r="P307" s="2"/>
      <c r="Q307" s="2"/>
    </row>
    <row r="308" customFormat="false" ht="15" hidden="false" customHeight="false" outlineLevel="0" collapsed="false">
      <c r="A308" s="2" t="s">
        <v>1835</v>
      </c>
      <c r="B308" s="2" t="s">
        <v>46</v>
      </c>
      <c r="C308" s="14" t="s">
        <v>1836</v>
      </c>
      <c r="D308" s="40" t="n">
        <v>46150</v>
      </c>
      <c r="E308" s="2" t="s">
        <v>667</v>
      </c>
      <c r="F308" s="41" t="n">
        <v>1.82368364030336</v>
      </c>
      <c r="G308" s="31" t="n">
        <v>22.8</v>
      </c>
      <c r="H308" s="42" t="n">
        <v>-0.0189200680272109</v>
      </c>
      <c r="I308" s="31" t="n">
        <v>8.3</v>
      </c>
      <c r="J308" s="2" t="s">
        <v>2700</v>
      </c>
      <c r="K308" s="43" t="n">
        <v>0.201242612517048</v>
      </c>
      <c r="L308" s="31" t="n">
        <v>72</v>
      </c>
      <c r="M308" s="39" t="s">
        <v>671</v>
      </c>
      <c r="N308" s="2" t="s">
        <v>21</v>
      </c>
      <c r="O308" s="2" t="s">
        <v>21</v>
      </c>
      <c r="P308" s="2" t="s">
        <v>21</v>
      </c>
      <c r="Q308" s="2" t="s">
        <v>21</v>
      </c>
    </row>
    <row r="309" customFormat="false" ht="15" hidden="false" customHeight="false" outlineLevel="0" collapsed="false">
      <c r="A309" s="2" t="s">
        <v>1835</v>
      </c>
      <c r="B309" s="2" t="s">
        <v>47</v>
      </c>
      <c r="C309" s="13" t="s">
        <v>2000</v>
      </c>
      <c r="D309" s="35" t="n">
        <v>102270</v>
      </c>
      <c r="E309" s="2" t="s">
        <v>670</v>
      </c>
      <c r="F309" s="36" t="n">
        <v>3.97389263713699</v>
      </c>
      <c r="G309" s="31" t="n">
        <v>94.9</v>
      </c>
      <c r="H309" s="37" t="n">
        <v>0.10490492653414</v>
      </c>
      <c r="I309" s="31" t="n">
        <v>60.2</v>
      </c>
      <c r="J309" s="2" t="s">
        <v>2701</v>
      </c>
      <c r="K309" s="38" t="n">
        <v>0.100896198542446</v>
      </c>
      <c r="L309" s="31" t="n">
        <v>55.8</v>
      </c>
      <c r="M309" s="39" t="s">
        <v>671</v>
      </c>
      <c r="N309" s="2" t="s">
        <v>19</v>
      </c>
      <c r="O309" s="2" t="s">
        <v>19</v>
      </c>
      <c r="P309" s="2" t="s">
        <v>19</v>
      </c>
      <c r="Q309" s="2" t="s">
        <v>19</v>
      </c>
    </row>
    <row r="310" customFormat="false" ht="15" hidden="false" customHeight="false" outlineLevel="0" collapsed="false">
      <c r="A310" s="2" t="s">
        <v>398</v>
      </c>
      <c r="B310" s="2" t="s">
        <v>46</v>
      </c>
      <c r="C310" s="14" t="s">
        <v>1831</v>
      </c>
      <c r="D310" s="40" t="n">
        <v>104950</v>
      </c>
      <c r="E310" s="2" t="s">
        <v>670</v>
      </c>
      <c r="F310" s="41" t="n">
        <v>1.85252977608385</v>
      </c>
      <c r="G310" s="31" t="n">
        <v>23.7</v>
      </c>
      <c r="H310" s="42" t="n">
        <v>0.137669376693767</v>
      </c>
      <c r="I310" s="31" t="n">
        <v>78.1</v>
      </c>
      <c r="J310" s="2" t="s">
        <v>2705</v>
      </c>
      <c r="K310" s="43" t="n">
        <v>0.106803797468354</v>
      </c>
      <c r="L310" s="31" t="n">
        <v>35.5</v>
      </c>
      <c r="M310" s="39" t="s">
        <v>671</v>
      </c>
      <c r="N310" s="2" t="s">
        <v>21</v>
      </c>
      <c r="O310" s="2" t="s">
        <v>21</v>
      </c>
      <c r="P310" s="2" t="s">
        <v>21</v>
      </c>
      <c r="Q310" s="2" t="s">
        <v>21</v>
      </c>
    </row>
    <row r="311" customFormat="false" ht="15" hidden="false" customHeight="false" outlineLevel="0" collapsed="false">
      <c r="A311" s="2" t="s">
        <v>398</v>
      </c>
      <c r="B311" s="2" t="s">
        <v>47</v>
      </c>
      <c r="C311" s="13" t="s">
        <v>2165</v>
      </c>
      <c r="D311" s="35" t="n">
        <v>99862</v>
      </c>
      <c r="E311" s="2" t="s">
        <v>667</v>
      </c>
      <c r="F311" s="36" t="n">
        <v>1.86993050409565</v>
      </c>
      <c r="G311" s="31" t="n">
        <v>69.8</v>
      </c>
      <c r="H311" s="37" t="n">
        <v>0.0214807389374195</v>
      </c>
      <c r="I311" s="31" t="n">
        <v>16.7</v>
      </c>
      <c r="J311" s="2" t="s">
        <v>2697</v>
      </c>
      <c r="K311" s="38" t="n">
        <v>0.039117929050815</v>
      </c>
      <c r="L311" s="31" t="n">
        <v>25.1</v>
      </c>
      <c r="M311" s="39" t="s">
        <v>671</v>
      </c>
      <c r="N311" s="2" t="s">
        <v>19</v>
      </c>
      <c r="O311" s="2" t="s">
        <v>19</v>
      </c>
      <c r="P311" s="2" t="s">
        <v>19</v>
      </c>
      <c r="Q311" s="2" t="s">
        <v>19</v>
      </c>
    </row>
    <row r="312" customFormat="false" ht="15" hidden="false" customHeight="false" outlineLevel="0" collapsed="false">
      <c r="A312" s="2" t="s">
        <v>650</v>
      </c>
      <c r="B312" s="2" t="s">
        <v>45</v>
      </c>
      <c r="C312" s="14" t="s">
        <v>1361</v>
      </c>
      <c r="D312" s="40" t="n">
        <v>54780</v>
      </c>
      <c r="E312" s="2" t="s">
        <v>667</v>
      </c>
      <c r="F312" s="45" t="n">
        <v>0.117473210886081</v>
      </c>
      <c r="G312" s="31" t="n">
        <v>3.2</v>
      </c>
      <c r="H312" s="46" t="n">
        <v>-0.0243242287008208</v>
      </c>
      <c r="I312" s="31" t="n">
        <v>6.7</v>
      </c>
      <c r="J312" s="2" t="s">
        <v>2704</v>
      </c>
      <c r="K312" s="43" t="n">
        <v>0.0529595015576324</v>
      </c>
      <c r="L312" s="31" t="n">
        <v>14.4</v>
      </c>
      <c r="M312" s="39" t="s">
        <v>671</v>
      </c>
      <c r="N312" s="2" t="s">
        <v>21</v>
      </c>
      <c r="O312" s="2" t="s">
        <v>17</v>
      </c>
      <c r="P312" s="2" t="s">
        <v>17</v>
      </c>
      <c r="Q312" s="2" t="s">
        <v>21</v>
      </c>
    </row>
    <row r="313" customFormat="false" ht="15" hidden="false" customHeight="false" outlineLevel="0" collapsed="false">
      <c r="A313" s="2" t="s">
        <v>110</v>
      </c>
      <c r="B313" s="2" t="s">
        <v>45</v>
      </c>
      <c r="C313" s="13" t="s">
        <v>750</v>
      </c>
      <c r="D313" s="35" t="n">
        <v>136546</v>
      </c>
      <c r="E313" s="2" t="s">
        <v>670</v>
      </c>
      <c r="F313" s="36" t="n">
        <v>1.71295387634936</v>
      </c>
      <c r="G313" s="31" t="n">
        <v>89.7</v>
      </c>
      <c r="H313" s="37" t="n">
        <v>-0.0198898913987525</v>
      </c>
      <c r="I313" s="31" t="n">
        <v>9.4</v>
      </c>
      <c r="J313" s="2" t="s">
        <v>2698</v>
      </c>
      <c r="K313" s="38" t="n">
        <v>0.0341456435690782</v>
      </c>
      <c r="L313" s="31" t="n">
        <v>6.9</v>
      </c>
      <c r="M313" s="39" t="s">
        <v>671</v>
      </c>
      <c r="N313" s="2" t="s">
        <v>19</v>
      </c>
      <c r="O313" s="2" t="s">
        <v>19</v>
      </c>
      <c r="P313" s="2" t="s">
        <v>19</v>
      </c>
      <c r="Q313" s="2" t="s">
        <v>19</v>
      </c>
    </row>
    <row r="314" customFormat="false" ht="15" hidden="false" customHeight="false" outlineLevel="0" collapsed="false">
      <c r="A314" s="2" t="s">
        <v>948</v>
      </c>
      <c r="B314" s="2" t="s">
        <v>45</v>
      </c>
      <c r="C314" s="13" t="s">
        <v>949</v>
      </c>
      <c r="D314" s="35" t="n">
        <v>121139</v>
      </c>
      <c r="E314" s="2" t="s">
        <v>670</v>
      </c>
      <c r="F314" s="36" t="n">
        <v>0.76545951345149</v>
      </c>
      <c r="G314" s="31" t="n">
        <v>62.8</v>
      </c>
      <c r="H314" s="37" t="n">
        <v>0.143252170630427</v>
      </c>
      <c r="I314" s="31" t="n">
        <v>75.4</v>
      </c>
      <c r="J314" s="2" t="s">
        <v>2698</v>
      </c>
      <c r="K314" s="43" t="n">
        <v>0.174085850556439</v>
      </c>
      <c r="L314" s="31" t="n">
        <v>62.4</v>
      </c>
      <c r="M314" s="39" t="s">
        <v>671</v>
      </c>
      <c r="N314" s="2" t="s">
        <v>19</v>
      </c>
      <c r="O314" s="2" t="s">
        <v>19</v>
      </c>
      <c r="P314" s="2" t="s">
        <v>19</v>
      </c>
      <c r="Q314" s="2" t="s">
        <v>21</v>
      </c>
    </row>
    <row r="315" customFormat="false" ht="15" hidden="false" customHeight="false" outlineLevel="0" collapsed="false">
      <c r="A315" s="2" t="s">
        <v>948</v>
      </c>
      <c r="B315" s="2" t="s">
        <v>46</v>
      </c>
      <c r="C315" s="15" t="s">
        <v>2790</v>
      </c>
      <c r="D315" s="44" t="n">
        <v>8974</v>
      </c>
      <c r="E315" s="2" t="s">
        <v>678</v>
      </c>
      <c r="F315" s="45" t="n">
        <v>0.832850456875418</v>
      </c>
      <c r="G315" s="31" t="n">
        <v>4.2</v>
      </c>
      <c r="H315" s="46" t="n">
        <v>0.0313757039420756</v>
      </c>
      <c r="I315" s="31" t="n">
        <v>12.5</v>
      </c>
      <c r="J315" s="2" t="s">
        <v>2720</v>
      </c>
      <c r="K315" s="33"/>
      <c r="L315" s="31"/>
      <c r="M315" s="34" t="s">
        <v>668</v>
      </c>
      <c r="N315" s="2" t="s">
        <v>17</v>
      </c>
      <c r="O315" s="2" t="s">
        <v>17</v>
      </c>
      <c r="P315" s="2" t="s">
        <v>17</v>
      </c>
      <c r="Q315" s="2"/>
    </row>
    <row r="316" customFormat="false" ht="15" hidden="false" customHeight="false" outlineLevel="0" collapsed="false">
      <c r="A316" s="2" t="s">
        <v>350</v>
      </c>
      <c r="B316" s="2" t="s">
        <v>45</v>
      </c>
      <c r="C316" s="13" t="s">
        <v>1017</v>
      </c>
      <c r="D316" s="44" t="n">
        <v>91121</v>
      </c>
      <c r="E316" s="2" t="s">
        <v>667</v>
      </c>
      <c r="F316" s="45" t="n">
        <v>0.638458752647579</v>
      </c>
      <c r="G316" s="31" t="n">
        <v>52.6</v>
      </c>
      <c r="H316" s="46" t="n">
        <v>0.0696459595248157</v>
      </c>
      <c r="I316" s="31" t="n">
        <v>38.1</v>
      </c>
      <c r="J316" s="2" t="s">
        <v>2704</v>
      </c>
      <c r="K316" s="38" t="n">
        <v>0.291235334713596</v>
      </c>
      <c r="L316" s="31" t="n">
        <v>89.5</v>
      </c>
      <c r="M316" s="39" t="s">
        <v>671</v>
      </c>
      <c r="N316" s="2" t="s">
        <v>17</v>
      </c>
      <c r="O316" s="2" t="s">
        <v>17</v>
      </c>
      <c r="P316" s="2" t="s">
        <v>17</v>
      </c>
      <c r="Q316" s="2" t="s">
        <v>19</v>
      </c>
    </row>
    <row r="317" customFormat="false" ht="15" hidden="false" customHeight="false" outlineLevel="0" collapsed="false">
      <c r="A317" s="2" t="s">
        <v>350</v>
      </c>
      <c r="B317" s="2" t="s">
        <v>46</v>
      </c>
      <c r="C317" s="14" t="s">
        <v>1862</v>
      </c>
      <c r="D317" s="40" t="n">
        <v>65140</v>
      </c>
      <c r="E317" s="2" t="s">
        <v>667</v>
      </c>
      <c r="F317" s="41" t="n">
        <v>1.66777709548664</v>
      </c>
      <c r="G317" s="31" t="n">
        <v>19</v>
      </c>
      <c r="H317" s="42" t="n">
        <v>0.166547277936963</v>
      </c>
      <c r="I317" s="31" t="n">
        <v>84.6</v>
      </c>
      <c r="J317" s="2" t="s">
        <v>2700</v>
      </c>
      <c r="K317" s="43" t="n">
        <v>0.054954954954955</v>
      </c>
      <c r="L317" s="31" t="n">
        <v>15.8</v>
      </c>
      <c r="M317" s="39" t="s">
        <v>671</v>
      </c>
      <c r="N317" s="2" t="s">
        <v>21</v>
      </c>
      <c r="O317" s="2" t="s">
        <v>21</v>
      </c>
      <c r="P317" s="2" t="s">
        <v>21</v>
      </c>
      <c r="Q317" s="2" t="s">
        <v>21</v>
      </c>
    </row>
    <row r="318" customFormat="false" ht="15" hidden="false" customHeight="false" outlineLevel="0" collapsed="false">
      <c r="A318" s="2" t="s">
        <v>350</v>
      </c>
      <c r="B318" s="2" t="s">
        <v>47</v>
      </c>
      <c r="C318" s="13" t="s">
        <v>2068</v>
      </c>
      <c r="D318" s="35" t="n">
        <v>156255</v>
      </c>
      <c r="E318" s="2" t="s">
        <v>670</v>
      </c>
      <c r="F318" s="36" t="n">
        <v>2.71401875139996</v>
      </c>
      <c r="G318" s="31" t="n">
        <v>85.6</v>
      </c>
      <c r="H318" s="37" t="n">
        <v>0.140772268987319</v>
      </c>
      <c r="I318" s="31" t="n">
        <v>75.9</v>
      </c>
      <c r="J318" s="2" t="s">
        <v>2701</v>
      </c>
      <c r="K318" s="38" t="n">
        <v>0.110893800117348</v>
      </c>
      <c r="L318" s="31" t="n">
        <v>59.8</v>
      </c>
      <c r="M318" s="39" t="s">
        <v>671</v>
      </c>
      <c r="N318" s="2" t="s">
        <v>19</v>
      </c>
      <c r="O318" s="2" t="s">
        <v>19</v>
      </c>
      <c r="P318" s="2" t="s">
        <v>19</v>
      </c>
      <c r="Q318" s="2" t="s">
        <v>19</v>
      </c>
    </row>
    <row r="319" customFormat="false" ht="15" hidden="false" customHeight="false" outlineLevel="0" collapsed="false">
      <c r="A319" s="2" t="s">
        <v>2065</v>
      </c>
      <c r="B319" s="2" t="s">
        <v>45</v>
      </c>
      <c r="C319" s="16"/>
      <c r="D319" s="44" t="n">
        <v>29998</v>
      </c>
      <c r="E319" s="2" t="s">
        <v>667</v>
      </c>
      <c r="F319" s="45" t="n">
        <v>0.268684578971932</v>
      </c>
      <c r="G319" s="31" t="n">
        <v>15.2</v>
      </c>
      <c r="H319" s="32"/>
      <c r="I319" s="31"/>
      <c r="J319" s="2"/>
      <c r="K319" s="33"/>
      <c r="L319" s="31"/>
      <c r="M319" s="34" t="s">
        <v>668</v>
      </c>
      <c r="N319" s="2" t="s">
        <v>17</v>
      </c>
      <c r="O319" s="2" t="s">
        <v>17</v>
      </c>
      <c r="P319" s="2"/>
      <c r="Q319" s="2"/>
    </row>
    <row r="320" customFormat="false" ht="15" hidden="false" customHeight="false" outlineLevel="0" collapsed="false">
      <c r="A320" s="2" t="s">
        <v>2065</v>
      </c>
      <c r="B320" s="2" t="s">
        <v>47</v>
      </c>
      <c r="C320" s="13" t="s">
        <v>2066</v>
      </c>
      <c r="D320" s="35" t="n">
        <v>742735</v>
      </c>
      <c r="E320" s="2" t="s">
        <v>670</v>
      </c>
      <c r="F320" s="36" t="n">
        <v>2.7426080634412</v>
      </c>
      <c r="G320" s="31" t="n">
        <v>85.9</v>
      </c>
      <c r="H320" s="37" t="n">
        <v>0.0486711857036158</v>
      </c>
      <c r="I320" s="31" t="n">
        <v>34.9</v>
      </c>
      <c r="J320" s="2" t="s">
        <v>2701</v>
      </c>
      <c r="K320" s="38" t="n">
        <v>0.136548410938655</v>
      </c>
      <c r="L320" s="31" t="n">
        <v>67.6</v>
      </c>
      <c r="M320" s="39" t="s">
        <v>671</v>
      </c>
      <c r="N320" s="2" t="s">
        <v>19</v>
      </c>
      <c r="O320" s="2" t="s">
        <v>19</v>
      </c>
      <c r="P320" s="2" t="s">
        <v>19</v>
      </c>
      <c r="Q320" s="2" t="s">
        <v>19</v>
      </c>
    </row>
    <row r="321" customFormat="false" ht="15" hidden="false" customHeight="false" outlineLevel="0" collapsed="false">
      <c r="A321" s="2" t="s">
        <v>562</v>
      </c>
      <c r="B321" s="2" t="s">
        <v>46</v>
      </c>
      <c r="C321" s="13" t="s">
        <v>1816</v>
      </c>
      <c r="D321" s="35" t="n">
        <v>3645</v>
      </c>
      <c r="E321" s="2" t="s">
        <v>678</v>
      </c>
      <c r="F321" s="36" t="n">
        <v>2.01399176954733</v>
      </c>
      <c r="G321" s="31" t="n">
        <v>26.8</v>
      </c>
      <c r="H321" s="37" t="n">
        <v>0.106893410264197</v>
      </c>
      <c r="I321" s="31" t="n">
        <v>41.7</v>
      </c>
      <c r="J321" s="2" t="s">
        <v>2720</v>
      </c>
      <c r="K321" s="38" t="n">
        <v>0.0876190476190476</v>
      </c>
      <c r="L321" s="31" t="n">
        <v>27.2</v>
      </c>
      <c r="M321" s="39" t="s">
        <v>671</v>
      </c>
      <c r="N321" s="2" t="s">
        <v>19</v>
      </c>
      <c r="O321" s="2" t="s">
        <v>19</v>
      </c>
      <c r="P321" s="2" t="s">
        <v>19</v>
      </c>
      <c r="Q321" s="2" t="s">
        <v>19</v>
      </c>
    </row>
    <row r="322" customFormat="false" ht="15" hidden="false" customHeight="false" outlineLevel="0" collapsed="false">
      <c r="A322" s="2" t="s">
        <v>2791</v>
      </c>
      <c r="B322" s="2" t="s">
        <v>46</v>
      </c>
      <c r="C322" s="16"/>
      <c r="D322" s="29"/>
      <c r="E322" s="2"/>
      <c r="F322" s="30"/>
      <c r="G322" s="31"/>
      <c r="H322" s="32"/>
      <c r="I322" s="31"/>
      <c r="J322" s="2"/>
      <c r="K322" s="33"/>
      <c r="L322" s="31"/>
      <c r="M322" s="34" t="s">
        <v>668</v>
      </c>
      <c r="N322" s="2"/>
      <c r="O322" s="2"/>
      <c r="P322" s="2"/>
      <c r="Q322" s="2"/>
    </row>
    <row r="323" customFormat="false" ht="15" hidden="false" customHeight="false" outlineLevel="0" collapsed="false">
      <c r="A323" s="2" t="s">
        <v>2792</v>
      </c>
      <c r="B323" s="2" t="s">
        <v>45</v>
      </c>
      <c r="C323" s="14" t="s">
        <v>2793</v>
      </c>
      <c r="D323" s="40" t="n">
        <v>42640</v>
      </c>
      <c r="E323" s="2" t="s">
        <v>667</v>
      </c>
      <c r="F323" s="41" t="n">
        <v>0.765126641651032</v>
      </c>
      <c r="G323" s="31" t="n">
        <v>62.6</v>
      </c>
      <c r="H323" s="42" t="n">
        <v>0.031945788964182</v>
      </c>
      <c r="I323" s="31" t="n">
        <v>18.3</v>
      </c>
      <c r="J323" s="2" t="s">
        <v>2704</v>
      </c>
      <c r="K323" s="33"/>
      <c r="L323" s="31"/>
      <c r="M323" s="34" t="s">
        <v>668</v>
      </c>
      <c r="N323" s="2" t="s">
        <v>21</v>
      </c>
      <c r="O323" s="2" t="s">
        <v>21</v>
      </c>
      <c r="P323" s="2" t="s">
        <v>21</v>
      </c>
      <c r="Q323" s="2"/>
    </row>
    <row r="324" customFormat="false" ht="15" hidden="false" customHeight="false" outlineLevel="0" collapsed="false">
      <c r="A324" s="2" t="s">
        <v>608</v>
      </c>
      <c r="B324" s="2" t="s">
        <v>45</v>
      </c>
      <c r="C324" s="14" t="s">
        <v>1273</v>
      </c>
      <c r="D324" s="40" t="n">
        <v>233610</v>
      </c>
      <c r="E324" s="2" t="s">
        <v>670</v>
      </c>
      <c r="F324" s="41" t="n">
        <v>0.287817302341509</v>
      </c>
      <c r="G324" s="31" t="n">
        <v>17.5</v>
      </c>
      <c r="H324" s="42" t="n">
        <v>0.0394678294918573</v>
      </c>
      <c r="I324" s="31" t="n">
        <v>26.1</v>
      </c>
      <c r="J324" s="2" t="s">
        <v>2698</v>
      </c>
      <c r="K324" s="43" t="n">
        <v>0.292368326764601</v>
      </c>
      <c r="L324" s="31" t="n">
        <v>90.1</v>
      </c>
      <c r="M324" s="39" t="s">
        <v>671</v>
      </c>
      <c r="N324" s="2" t="s">
        <v>21</v>
      </c>
      <c r="O324" s="2" t="s">
        <v>21</v>
      </c>
      <c r="P324" s="2" t="s">
        <v>21</v>
      </c>
      <c r="Q324" s="2" t="s">
        <v>21</v>
      </c>
    </row>
    <row r="325" customFormat="false" ht="15" hidden="false" customHeight="false" outlineLevel="0" collapsed="false">
      <c r="A325" s="2" t="s">
        <v>2273</v>
      </c>
      <c r="B325" s="2" t="s">
        <v>45</v>
      </c>
      <c r="C325" s="16"/>
      <c r="D325" s="29"/>
      <c r="E325" s="2"/>
      <c r="F325" s="30"/>
      <c r="G325" s="31"/>
      <c r="H325" s="32"/>
      <c r="I325" s="31"/>
      <c r="J325" s="2"/>
      <c r="K325" s="33"/>
      <c r="L325" s="31"/>
      <c r="M325" s="34" t="s">
        <v>668</v>
      </c>
      <c r="N325" s="2"/>
      <c r="O325" s="2"/>
      <c r="P325" s="2"/>
      <c r="Q325" s="2"/>
    </row>
    <row r="326" customFormat="false" ht="15" hidden="false" customHeight="false" outlineLevel="0" collapsed="false">
      <c r="A326" s="2" t="s">
        <v>2273</v>
      </c>
      <c r="B326" s="2" t="s">
        <v>46</v>
      </c>
      <c r="C326" s="15" t="s">
        <v>2794</v>
      </c>
      <c r="D326" s="44" t="n">
        <v>11202</v>
      </c>
      <c r="E326" s="2" t="s">
        <v>667</v>
      </c>
      <c r="F326" s="45" t="n">
        <v>2.13854668809141</v>
      </c>
      <c r="G326" s="31" t="n">
        <v>30</v>
      </c>
      <c r="H326" s="46" t="n">
        <v>0.0662478583666476</v>
      </c>
      <c r="I326" s="31" t="n">
        <v>38.2</v>
      </c>
      <c r="J326" s="2" t="s">
        <v>2700</v>
      </c>
      <c r="K326" s="33"/>
      <c r="L326" s="31"/>
      <c r="M326" s="34" t="s">
        <v>668</v>
      </c>
      <c r="N326" s="2" t="s">
        <v>17</v>
      </c>
      <c r="O326" s="2" t="s">
        <v>17</v>
      </c>
      <c r="P326" s="2" t="s">
        <v>17</v>
      </c>
      <c r="Q326" s="2"/>
    </row>
    <row r="327" customFormat="false" ht="15" hidden="false" customHeight="false" outlineLevel="0" collapsed="false">
      <c r="A327" s="2" t="s">
        <v>2273</v>
      </c>
      <c r="B327" s="2" t="s">
        <v>47</v>
      </c>
      <c r="C327" s="13" t="s">
        <v>2274</v>
      </c>
      <c r="D327" s="35" t="n">
        <v>15826</v>
      </c>
      <c r="E327" s="2" t="s">
        <v>667</v>
      </c>
      <c r="F327" s="36" t="n">
        <v>1.42221660558575</v>
      </c>
      <c r="G327" s="31" t="n">
        <v>56.1</v>
      </c>
      <c r="H327" s="37" t="n">
        <v>0.168746769071708</v>
      </c>
      <c r="I327" s="31" t="n">
        <v>85.5</v>
      </c>
      <c r="J327" s="2" t="s">
        <v>2697</v>
      </c>
      <c r="K327" s="38" t="n">
        <v>0.100415923945336</v>
      </c>
      <c r="L327" s="31" t="n">
        <v>55.2</v>
      </c>
      <c r="M327" s="39" t="s">
        <v>671</v>
      </c>
      <c r="N327" s="2" t="s">
        <v>19</v>
      </c>
      <c r="O327" s="2" t="s">
        <v>19</v>
      </c>
      <c r="P327" s="2" t="s">
        <v>19</v>
      </c>
      <c r="Q327" s="2" t="s">
        <v>19</v>
      </c>
    </row>
    <row r="328" customFormat="false" ht="15" hidden="false" customHeight="false" outlineLevel="0" collapsed="false">
      <c r="A328" s="2" t="s">
        <v>841</v>
      </c>
      <c r="B328" s="2" t="s">
        <v>45</v>
      </c>
      <c r="C328" s="14" t="s">
        <v>842</v>
      </c>
      <c r="D328" s="40" t="n">
        <v>14450</v>
      </c>
      <c r="E328" s="2" t="s">
        <v>667</v>
      </c>
      <c r="F328" s="41" t="n">
        <v>1.03474048442907</v>
      </c>
      <c r="G328" s="31" t="n">
        <v>76.3</v>
      </c>
      <c r="H328" s="42" t="n">
        <v>0.164383561643836</v>
      </c>
      <c r="I328" s="31" t="n">
        <v>83.3</v>
      </c>
      <c r="J328" s="2" t="s">
        <v>2704</v>
      </c>
      <c r="K328" s="43" t="n">
        <v>0.10521582733813</v>
      </c>
      <c r="L328" s="31" t="n">
        <v>37.6</v>
      </c>
      <c r="M328" s="39" t="s">
        <v>671</v>
      </c>
      <c r="N328" s="2" t="s">
        <v>21</v>
      </c>
      <c r="O328" s="2" t="s">
        <v>21</v>
      </c>
      <c r="P328" s="2" t="s">
        <v>21</v>
      </c>
      <c r="Q328" s="2" t="s">
        <v>21</v>
      </c>
    </row>
    <row r="329" customFormat="false" ht="15" hidden="false" customHeight="false" outlineLevel="0" collapsed="false">
      <c r="A329" s="2" t="s">
        <v>841</v>
      </c>
      <c r="B329" s="2" t="s">
        <v>46</v>
      </c>
      <c r="C329" s="16"/>
      <c r="D329" s="29"/>
      <c r="E329" s="2"/>
      <c r="F329" s="30"/>
      <c r="G329" s="31"/>
      <c r="H329" s="32"/>
      <c r="I329" s="31"/>
      <c r="J329" s="2"/>
      <c r="K329" s="33"/>
      <c r="L329" s="31"/>
      <c r="M329" s="34" t="s">
        <v>668</v>
      </c>
      <c r="N329" s="2"/>
      <c r="O329" s="2"/>
      <c r="P329" s="2"/>
      <c r="Q329" s="2"/>
    </row>
    <row r="330" customFormat="false" ht="15" hidden="false" customHeight="false" outlineLevel="0" collapsed="false">
      <c r="A330" s="2" t="s">
        <v>841</v>
      </c>
      <c r="B330" s="2" t="s">
        <v>47</v>
      </c>
      <c r="C330" s="13" t="s">
        <v>2407</v>
      </c>
      <c r="D330" s="35" t="n">
        <v>10611</v>
      </c>
      <c r="E330" s="2" t="s">
        <v>667</v>
      </c>
      <c r="F330" s="36" t="n">
        <v>1.00226180378852</v>
      </c>
      <c r="G330" s="31" t="n">
        <v>37.6</v>
      </c>
      <c r="H330" s="37" t="n">
        <v>0.0336060783167738</v>
      </c>
      <c r="I330" s="31" t="n">
        <v>22.7</v>
      </c>
      <c r="J330" s="2" t="s">
        <v>2697</v>
      </c>
      <c r="K330" s="38" t="n">
        <v>0.0682634730538922</v>
      </c>
      <c r="L330" s="31" t="n">
        <v>39.4</v>
      </c>
      <c r="M330" s="39" t="s">
        <v>671</v>
      </c>
      <c r="N330" s="2" t="s">
        <v>19</v>
      </c>
      <c r="O330" s="2" t="s">
        <v>19</v>
      </c>
      <c r="P330" s="2" t="s">
        <v>19</v>
      </c>
      <c r="Q330" s="2" t="s">
        <v>19</v>
      </c>
    </row>
    <row r="331" customFormat="false" ht="15" hidden="false" customHeight="false" outlineLevel="0" collapsed="false">
      <c r="A331" s="2" t="s">
        <v>272</v>
      </c>
      <c r="B331" s="2" t="s">
        <v>45</v>
      </c>
      <c r="C331" s="13" t="s">
        <v>824</v>
      </c>
      <c r="D331" s="35" t="n">
        <v>91873</v>
      </c>
      <c r="E331" s="2" t="s">
        <v>667</v>
      </c>
      <c r="F331" s="36" t="n">
        <v>1.10016000348307</v>
      </c>
      <c r="G331" s="31" t="n">
        <v>79.9</v>
      </c>
      <c r="H331" s="37" t="n">
        <v>0.0419865942316635</v>
      </c>
      <c r="I331" s="31" t="n">
        <v>24.6</v>
      </c>
      <c r="J331" s="2" t="s">
        <v>2704</v>
      </c>
      <c r="K331" s="47" t="s">
        <v>680</v>
      </c>
      <c r="L331" s="31"/>
      <c r="M331" s="39" t="s">
        <v>671</v>
      </c>
      <c r="N331" s="2" t="s">
        <v>19</v>
      </c>
      <c r="O331" s="2" t="s">
        <v>19</v>
      </c>
      <c r="P331" s="2" t="s">
        <v>19</v>
      </c>
      <c r="Q331" s="2" t="s">
        <v>2715</v>
      </c>
    </row>
    <row r="332" customFormat="false" ht="15" hidden="false" customHeight="false" outlineLevel="0" collapsed="false">
      <c r="A332" s="2" t="s">
        <v>272</v>
      </c>
      <c r="B332" s="2" t="s">
        <v>46</v>
      </c>
      <c r="C332" s="13" t="s">
        <v>1718</v>
      </c>
      <c r="D332" s="35" t="n">
        <v>3273</v>
      </c>
      <c r="E332" s="2" t="s">
        <v>678</v>
      </c>
      <c r="F332" s="36" t="n">
        <v>2.72624503513596</v>
      </c>
      <c r="G332" s="31" t="n">
        <v>42.9</v>
      </c>
      <c r="H332" s="37" t="n">
        <v>0.138830897703549</v>
      </c>
      <c r="I332" s="31" t="n">
        <v>62.5</v>
      </c>
      <c r="J332" s="2" t="s">
        <v>2720</v>
      </c>
      <c r="K332" s="38" t="n">
        <v>0.0652173913043478</v>
      </c>
      <c r="L332" s="31" t="n">
        <v>20.5</v>
      </c>
      <c r="M332" s="39" t="s">
        <v>671</v>
      </c>
      <c r="N332" s="2" t="s">
        <v>19</v>
      </c>
      <c r="O332" s="2" t="s">
        <v>19</v>
      </c>
      <c r="P332" s="2" t="s">
        <v>19</v>
      </c>
      <c r="Q332" s="2" t="s">
        <v>19</v>
      </c>
    </row>
    <row r="333" customFormat="false" ht="15" hidden="false" customHeight="false" outlineLevel="0" collapsed="false">
      <c r="A333" s="2" t="s">
        <v>146</v>
      </c>
      <c r="B333" s="2" t="s">
        <v>45</v>
      </c>
      <c r="C333" s="14" t="s">
        <v>895</v>
      </c>
      <c r="D333" s="40" t="n">
        <v>20520</v>
      </c>
      <c r="E333" s="2" t="s">
        <v>667</v>
      </c>
      <c r="F333" s="41" t="n">
        <v>0.887329434697856</v>
      </c>
      <c r="G333" s="31" t="n">
        <v>69.7</v>
      </c>
      <c r="H333" s="42" t="n">
        <v>0.0834213305174234</v>
      </c>
      <c r="I333" s="31" t="n">
        <v>47.2</v>
      </c>
      <c r="J333" s="2" t="s">
        <v>2704</v>
      </c>
      <c r="K333" s="43" t="n">
        <v>0.130788485607009</v>
      </c>
      <c r="L333" s="31" t="n">
        <v>48.1</v>
      </c>
      <c r="M333" s="39" t="s">
        <v>671</v>
      </c>
      <c r="N333" s="2" t="s">
        <v>21</v>
      </c>
      <c r="O333" s="2" t="s">
        <v>21</v>
      </c>
      <c r="P333" s="2" t="s">
        <v>21</v>
      </c>
      <c r="Q333" s="2" t="s">
        <v>21</v>
      </c>
    </row>
    <row r="334" customFormat="false" ht="15" hidden="false" customHeight="false" outlineLevel="0" collapsed="false">
      <c r="A334" s="2" t="s">
        <v>146</v>
      </c>
      <c r="B334" s="2" t="s">
        <v>46</v>
      </c>
      <c r="C334" s="14" t="s">
        <v>1473</v>
      </c>
      <c r="D334" s="40" t="n">
        <v>14900</v>
      </c>
      <c r="E334" s="2" t="s">
        <v>667</v>
      </c>
      <c r="F334" s="41" t="n">
        <v>6.79342281879195</v>
      </c>
      <c r="G334" s="31" t="n">
        <v>85.2</v>
      </c>
      <c r="H334" s="42" t="n">
        <v>0.116941529235382</v>
      </c>
      <c r="I334" s="31" t="n">
        <v>62.2</v>
      </c>
      <c r="J334" s="2" t="s">
        <v>2700</v>
      </c>
      <c r="K334" s="43" t="n">
        <v>0.05997334517992</v>
      </c>
      <c r="L334" s="31" t="n">
        <v>17.1</v>
      </c>
      <c r="M334" s="39" t="s">
        <v>671</v>
      </c>
      <c r="N334" s="2" t="s">
        <v>21</v>
      </c>
      <c r="O334" s="2" t="s">
        <v>21</v>
      </c>
      <c r="P334" s="2" t="s">
        <v>21</v>
      </c>
      <c r="Q334" s="2" t="s">
        <v>21</v>
      </c>
    </row>
    <row r="335" customFormat="false" ht="15" hidden="false" customHeight="false" outlineLevel="0" collapsed="false">
      <c r="A335" s="2" t="s">
        <v>146</v>
      </c>
      <c r="B335" s="2" t="s">
        <v>47</v>
      </c>
      <c r="C335" s="14" t="s">
        <v>2058</v>
      </c>
      <c r="D335" s="40" t="n">
        <v>33710</v>
      </c>
      <c r="E335" s="2" t="s">
        <v>667</v>
      </c>
      <c r="F335" s="41" t="n">
        <v>2.79979234648472</v>
      </c>
      <c r="G335" s="31" t="n">
        <v>87.1</v>
      </c>
      <c r="H335" s="46" t="n">
        <v>-0.000954995821893279</v>
      </c>
      <c r="I335" s="31" t="n">
        <v>10.6</v>
      </c>
      <c r="J335" s="2" t="s">
        <v>2697</v>
      </c>
      <c r="K335" s="43" t="n">
        <v>0.0341</v>
      </c>
      <c r="L335" s="31" t="n">
        <v>21.7</v>
      </c>
      <c r="M335" s="39" t="s">
        <v>671</v>
      </c>
      <c r="N335" s="2" t="s">
        <v>21</v>
      </c>
      <c r="O335" s="2" t="s">
        <v>21</v>
      </c>
      <c r="P335" s="2" t="s">
        <v>17</v>
      </c>
      <c r="Q335" s="2" t="s">
        <v>21</v>
      </c>
    </row>
    <row r="336" customFormat="false" ht="15" hidden="false" customHeight="false" outlineLevel="0" collapsed="false">
      <c r="A336" s="2" t="s">
        <v>992</v>
      </c>
      <c r="B336" s="2" t="s">
        <v>45</v>
      </c>
      <c r="C336" s="14" t="s">
        <v>993</v>
      </c>
      <c r="D336" s="40" t="n">
        <v>111030</v>
      </c>
      <c r="E336" s="2" t="s">
        <v>670</v>
      </c>
      <c r="F336" s="41" t="n">
        <v>0.671323065838062</v>
      </c>
      <c r="G336" s="31" t="n">
        <v>56.4</v>
      </c>
      <c r="H336" s="42" t="n">
        <v>0.187613648518558</v>
      </c>
      <c r="I336" s="31" t="n">
        <v>90.6</v>
      </c>
      <c r="J336" s="2" t="s">
        <v>2698</v>
      </c>
      <c r="K336" s="43" t="n">
        <v>0.0120879120879121</v>
      </c>
      <c r="L336" s="31" t="n">
        <v>3.3</v>
      </c>
      <c r="M336" s="39" t="s">
        <v>671</v>
      </c>
      <c r="N336" s="2" t="s">
        <v>21</v>
      </c>
      <c r="O336" s="2" t="s">
        <v>21</v>
      </c>
      <c r="P336" s="2" t="s">
        <v>21</v>
      </c>
      <c r="Q336" s="2" t="s">
        <v>21</v>
      </c>
    </row>
    <row r="337" customFormat="false" ht="15" hidden="false" customHeight="false" outlineLevel="0" collapsed="false">
      <c r="A337" s="2" t="s">
        <v>992</v>
      </c>
      <c r="B337" s="2" t="s">
        <v>46</v>
      </c>
      <c r="C337" s="16"/>
      <c r="D337" s="29"/>
      <c r="E337" s="2"/>
      <c r="F337" s="30"/>
      <c r="G337" s="31"/>
      <c r="H337" s="32"/>
      <c r="I337" s="31"/>
      <c r="J337" s="2"/>
      <c r="K337" s="33"/>
      <c r="L337" s="31"/>
      <c r="M337" s="34" t="s">
        <v>668</v>
      </c>
      <c r="N337" s="2"/>
      <c r="O337" s="2"/>
      <c r="P337" s="2"/>
      <c r="Q337" s="2"/>
    </row>
    <row r="338" customFormat="false" ht="15" hidden="false" customHeight="false" outlineLevel="0" collapsed="false">
      <c r="A338" s="2" t="s">
        <v>992</v>
      </c>
      <c r="B338" s="2" t="s">
        <v>47</v>
      </c>
      <c r="C338" s="13" t="s">
        <v>2362</v>
      </c>
      <c r="D338" s="35" t="n">
        <v>223242</v>
      </c>
      <c r="E338" s="2" t="s">
        <v>670</v>
      </c>
      <c r="F338" s="36" t="n">
        <v>1.10724236478799</v>
      </c>
      <c r="G338" s="31" t="n">
        <v>44.1</v>
      </c>
      <c r="H338" s="37" t="n">
        <v>0.0964950195485177</v>
      </c>
      <c r="I338" s="31" t="n">
        <v>55.4</v>
      </c>
      <c r="J338" s="2" t="s">
        <v>2701</v>
      </c>
      <c r="K338" s="38" t="n">
        <v>0.062114074006312</v>
      </c>
      <c r="L338" s="31" t="n">
        <v>36.8</v>
      </c>
      <c r="M338" s="39" t="s">
        <v>671</v>
      </c>
      <c r="N338" s="2" t="s">
        <v>19</v>
      </c>
      <c r="O338" s="2" t="s">
        <v>19</v>
      </c>
      <c r="P338" s="2" t="s">
        <v>19</v>
      </c>
      <c r="Q338" s="2" t="s">
        <v>19</v>
      </c>
    </row>
    <row r="339" customFormat="false" ht="15" hidden="false" customHeight="false" outlineLevel="0" collapsed="false">
      <c r="A339" s="2" t="s">
        <v>2649</v>
      </c>
      <c r="B339" s="2" t="s">
        <v>45</v>
      </c>
      <c r="C339" s="16"/>
      <c r="D339" s="29"/>
      <c r="E339" s="2"/>
      <c r="F339" s="30"/>
      <c r="G339" s="31"/>
      <c r="H339" s="32"/>
      <c r="I339" s="31"/>
      <c r="J339" s="2"/>
      <c r="K339" s="33"/>
      <c r="L339" s="31"/>
      <c r="M339" s="34" t="s">
        <v>668</v>
      </c>
      <c r="N339" s="2"/>
      <c r="O339" s="2"/>
      <c r="P339" s="2"/>
      <c r="Q339" s="2"/>
    </row>
    <row r="340" customFormat="false" ht="15" hidden="false" customHeight="false" outlineLevel="0" collapsed="false">
      <c r="A340" s="2" t="s">
        <v>2649</v>
      </c>
      <c r="B340" s="2" t="s">
        <v>47</v>
      </c>
      <c r="C340" s="13" t="s">
        <v>2650</v>
      </c>
      <c r="D340" s="35" t="n">
        <v>10780</v>
      </c>
      <c r="E340" s="2" t="s">
        <v>667</v>
      </c>
      <c r="F340" s="36" t="n">
        <v>0.311966604823748</v>
      </c>
      <c r="G340" s="31" t="n">
        <v>4.8</v>
      </c>
      <c r="H340" s="37" t="n">
        <v>0.0828729281767956</v>
      </c>
      <c r="I340" s="31" t="n">
        <v>47.2</v>
      </c>
      <c r="J340" s="2" t="s">
        <v>2697</v>
      </c>
      <c r="K340" s="38" t="n">
        <v>0.1</v>
      </c>
      <c r="L340" s="31" t="n">
        <v>54.8</v>
      </c>
      <c r="M340" s="39" t="s">
        <v>671</v>
      </c>
      <c r="N340" s="2" t="s">
        <v>19</v>
      </c>
      <c r="O340" s="2" t="s">
        <v>19</v>
      </c>
      <c r="P340" s="2" t="s">
        <v>19</v>
      </c>
      <c r="Q340" s="2" t="s">
        <v>19</v>
      </c>
    </row>
    <row r="341" customFormat="false" ht="15" hidden="false" customHeight="false" outlineLevel="0" collapsed="false">
      <c r="A341" s="2" t="s">
        <v>368</v>
      </c>
      <c r="B341" s="2" t="s">
        <v>47</v>
      </c>
      <c r="C341" s="13" t="s">
        <v>2309</v>
      </c>
      <c r="D341" s="35" t="n">
        <v>2781166</v>
      </c>
      <c r="E341" s="2" t="s">
        <v>752</v>
      </c>
      <c r="F341" s="36" t="n">
        <v>1.24490555400145</v>
      </c>
      <c r="G341" s="31" t="n">
        <v>50.8</v>
      </c>
      <c r="H341" s="37" t="n">
        <v>-0.101696661618251</v>
      </c>
      <c r="I341" s="31" t="n">
        <v>10</v>
      </c>
      <c r="J341" s="2" t="s">
        <v>2738</v>
      </c>
      <c r="K341" s="38" t="n">
        <v>0.0397185506674558</v>
      </c>
      <c r="L341" s="31" t="n">
        <v>25.5</v>
      </c>
      <c r="M341" s="39" t="s">
        <v>671</v>
      </c>
      <c r="N341" s="2" t="s">
        <v>19</v>
      </c>
      <c r="O341" s="2" t="s">
        <v>19</v>
      </c>
      <c r="P341" s="2" t="s">
        <v>19</v>
      </c>
      <c r="Q341" s="2" t="s">
        <v>19</v>
      </c>
    </row>
    <row r="342" customFormat="false" ht="15" hidden="false" customHeight="false" outlineLevel="0" collapsed="false">
      <c r="A342" s="2" t="s">
        <v>384</v>
      </c>
      <c r="B342" s="2" t="s">
        <v>45</v>
      </c>
      <c r="C342" s="13" t="s">
        <v>1225</v>
      </c>
      <c r="D342" s="35" t="n">
        <v>1455873</v>
      </c>
      <c r="E342" s="2" t="s">
        <v>752</v>
      </c>
      <c r="F342" s="36" t="n">
        <v>0.348727533239506</v>
      </c>
      <c r="G342" s="31" t="n">
        <v>24.8</v>
      </c>
      <c r="H342" s="37" t="n">
        <v>0.104368933880003</v>
      </c>
      <c r="I342" s="31" t="n">
        <v>50</v>
      </c>
      <c r="J342" s="2" t="s">
        <v>2712</v>
      </c>
      <c r="K342" s="38" t="n">
        <v>0.0116233383537424</v>
      </c>
      <c r="L342" s="31" t="n">
        <v>3</v>
      </c>
      <c r="M342" s="39" t="s">
        <v>671</v>
      </c>
      <c r="N342" s="2" t="s">
        <v>19</v>
      </c>
      <c r="O342" s="2" t="s">
        <v>19</v>
      </c>
      <c r="P342" s="2" t="s">
        <v>19</v>
      </c>
      <c r="Q342" s="2" t="s">
        <v>19</v>
      </c>
    </row>
    <row r="343" customFormat="false" ht="15" hidden="false" customHeight="false" outlineLevel="0" collapsed="false">
      <c r="A343" s="2" t="s">
        <v>384</v>
      </c>
      <c r="B343" s="2" t="s">
        <v>46</v>
      </c>
      <c r="C343" s="14" t="s">
        <v>1783</v>
      </c>
      <c r="D343" s="40" t="n">
        <v>187200</v>
      </c>
      <c r="E343" s="2" t="s">
        <v>670</v>
      </c>
      <c r="F343" s="41" t="n">
        <v>2.24506944444444</v>
      </c>
      <c r="G343" s="31" t="n">
        <v>31.9</v>
      </c>
      <c r="H343" s="42" t="n">
        <v>0.150937596065171</v>
      </c>
      <c r="I343" s="31" t="n">
        <v>82.8</v>
      </c>
      <c r="J343" s="2" t="s">
        <v>2705</v>
      </c>
      <c r="K343" s="43" t="n">
        <v>0.0508731966590737</v>
      </c>
      <c r="L343" s="31" t="n">
        <v>14</v>
      </c>
      <c r="M343" s="39" t="s">
        <v>671</v>
      </c>
      <c r="N343" s="2" t="s">
        <v>21</v>
      </c>
      <c r="O343" s="2" t="s">
        <v>21</v>
      </c>
      <c r="P343" s="2" t="s">
        <v>21</v>
      </c>
      <c r="Q343" s="2" t="s">
        <v>21</v>
      </c>
    </row>
    <row r="344" customFormat="false" ht="15" hidden="false" customHeight="false" outlineLevel="0" collapsed="false">
      <c r="A344" s="2" t="s">
        <v>384</v>
      </c>
      <c r="B344" s="2" t="s">
        <v>47</v>
      </c>
      <c r="C344" s="13" t="s">
        <v>2045</v>
      </c>
      <c r="D344" s="35" t="n">
        <v>55779</v>
      </c>
      <c r="E344" s="2" t="s">
        <v>667</v>
      </c>
      <c r="F344" s="36" t="n">
        <v>2.93630219258144</v>
      </c>
      <c r="G344" s="31" t="n">
        <v>88.6</v>
      </c>
      <c r="H344" s="37" t="n">
        <v>0.0729619512945793</v>
      </c>
      <c r="I344" s="31" t="n">
        <v>40.1</v>
      </c>
      <c r="J344" s="2" t="s">
        <v>2697</v>
      </c>
      <c r="K344" s="38" t="n">
        <v>0.262267343485618</v>
      </c>
      <c r="L344" s="31" t="n">
        <v>94.1</v>
      </c>
      <c r="M344" s="39" t="s">
        <v>671</v>
      </c>
      <c r="N344" s="2" t="s">
        <v>19</v>
      </c>
      <c r="O344" s="2" t="s">
        <v>19</v>
      </c>
      <c r="P344" s="2" t="s">
        <v>19</v>
      </c>
      <c r="Q344" s="2" t="s">
        <v>19</v>
      </c>
    </row>
    <row r="345" customFormat="false" ht="15" hidden="false" customHeight="false" outlineLevel="0" collapsed="false">
      <c r="A345" s="2" t="s">
        <v>796</v>
      </c>
      <c r="B345" s="2" t="s">
        <v>45</v>
      </c>
      <c r="C345" s="14" t="s">
        <v>797</v>
      </c>
      <c r="D345" s="40" t="n">
        <v>17320</v>
      </c>
      <c r="E345" s="2" t="s">
        <v>667</v>
      </c>
      <c r="F345" s="41" t="n">
        <v>1.23521939953811</v>
      </c>
      <c r="G345" s="31" t="n">
        <v>83.8</v>
      </c>
      <c r="H345" s="42" t="n">
        <v>0.0858934169278997</v>
      </c>
      <c r="I345" s="31" t="n">
        <v>49.6</v>
      </c>
      <c r="J345" s="2" t="s">
        <v>2704</v>
      </c>
      <c r="K345" s="43" t="n">
        <v>0.195774647887324</v>
      </c>
      <c r="L345" s="31" t="n">
        <v>69.3</v>
      </c>
      <c r="M345" s="39" t="s">
        <v>671</v>
      </c>
      <c r="N345" s="2" t="s">
        <v>21</v>
      </c>
      <c r="O345" s="2" t="s">
        <v>21</v>
      </c>
      <c r="P345" s="2" t="s">
        <v>21</v>
      </c>
      <c r="Q345" s="2" t="s">
        <v>21</v>
      </c>
    </row>
    <row r="346" customFormat="false" ht="15" hidden="false" customHeight="false" outlineLevel="0" collapsed="false">
      <c r="A346" s="2" t="s">
        <v>796</v>
      </c>
      <c r="B346" s="2" t="s">
        <v>46</v>
      </c>
      <c r="C346" s="16"/>
      <c r="D346" s="29"/>
      <c r="E346" s="2"/>
      <c r="F346" s="30"/>
      <c r="G346" s="31"/>
      <c r="H346" s="32"/>
      <c r="I346" s="31"/>
      <c r="J346" s="2"/>
      <c r="K346" s="33"/>
      <c r="L346" s="31"/>
      <c r="M346" s="34" t="s">
        <v>668</v>
      </c>
      <c r="N346" s="2"/>
      <c r="O346" s="2"/>
      <c r="P346" s="2"/>
      <c r="Q346" s="2"/>
    </row>
    <row r="347" customFormat="false" ht="15" hidden="false" customHeight="false" outlineLevel="0" collapsed="false">
      <c r="A347" s="2" t="s">
        <v>796</v>
      </c>
      <c r="B347" s="2" t="s">
        <v>47</v>
      </c>
      <c r="C347" s="16"/>
      <c r="D347" s="29"/>
      <c r="E347" s="2"/>
      <c r="F347" s="30"/>
      <c r="G347" s="31"/>
      <c r="H347" s="32"/>
      <c r="I347" s="31"/>
      <c r="J347" s="2"/>
      <c r="K347" s="33"/>
      <c r="L347" s="31"/>
      <c r="M347" s="34" t="s">
        <v>668</v>
      </c>
      <c r="N347" s="2"/>
      <c r="O347" s="2"/>
      <c r="P347" s="2"/>
      <c r="Q347" s="2"/>
    </row>
    <row r="348" customFormat="false" ht="15" hidden="false" customHeight="false" outlineLevel="0" collapsed="false">
      <c r="A348" s="2" t="s">
        <v>332</v>
      </c>
      <c r="B348" s="2" t="s">
        <v>45</v>
      </c>
      <c r="C348" s="13" t="s">
        <v>1006</v>
      </c>
      <c r="D348" s="35" t="n">
        <v>234802</v>
      </c>
      <c r="E348" s="2" t="s">
        <v>670</v>
      </c>
      <c r="F348" s="36" t="n">
        <v>0.649151199734244</v>
      </c>
      <c r="G348" s="31" t="n">
        <v>53.8</v>
      </c>
      <c r="H348" s="37" t="n">
        <v>0.0430545066856204</v>
      </c>
      <c r="I348" s="31" t="n">
        <v>28.3</v>
      </c>
      <c r="J348" s="2" t="s">
        <v>2698</v>
      </c>
      <c r="K348" s="38" t="n">
        <v>0.222092032381764</v>
      </c>
      <c r="L348" s="31" t="n">
        <v>75.7</v>
      </c>
      <c r="M348" s="39" t="s">
        <v>671</v>
      </c>
      <c r="N348" s="2" t="s">
        <v>19</v>
      </c>
      <c r="O348" s="2" t="s">
        <v>19</v>
      </c>
      <c r="P348" s="2" t="s">
        <v>19</v>
      </c>
      <c r="Q348" s="2" t="s">
        <v>19</v>
      </c>
    </row>
    <row r="349" customFormat="false" ht="15" hidden="false" customHeight="false" outlineLevel="0" collapsed="false">
      <c r="A349" s="2" t="s">
        <v>332</v>
      </c>
      <c r="B349" s="2" t="s">
        <v>46</v>
      </c>
      <c r="C349" s="14" t="s">
        <v>1730</v>
      </c>
      <c r="D349" s="40" t="n">
        <v>11190</v>
      </c>
      <c r="E349" s="2" t="s">
        <v>667</v>
      </c>
      <c r="F349" s="41" t="n">
        <v>2.68319928507596</v>
      </c>
      <c r="G349" s="31" t="n">
        <v>41.6</v>
      </c>
      <c r="H349" s="42" t="n">
        <v>0.157187176835574</v>
      </c>
      <c r="I349" s="31" t="n">
        <v>82.6</v>
      </c>
      <c r="J349" s="2" t="s">
        <v>2700</v>
      </c>
      <c r="K349" s="43" t="n">
        <v>0.0903508771929825</v>
      </c>
      <c r="L349" s="31" t="n">
        <v>27.7</v>
      </c>
      <c r="M349" s="39" t="s">
        <v>671</v>
      </c>
      <c r="N349" s="2" t="s">
        <v>21</v>
      </c>
      <c r="O349" s="2" t="s">
        <v>21</v>
      </c>
      <c r="P349" s="2" t="s">
        <v>21</v>
      </c>
      <c r="Q349" s="2" t="s">
        <v>21</v>
      </c>
    </row>
    <row r="350" customFormat="false" ht="15" hidden="false" customHeight="false" outlineLevel="0" collapsed="false">
      <c r="A350" s="2" t="s">
        <v>332</v>
      </c>
      <c r="B350" s="2" t="s">
        <v>47</v>
      </c>
      <c r="C350" s="13" t="s">
        <v>2177</v>
      </c>
      <c r="D350" s="35" t="n">
        <v>11123</v>
      </c>
      <c r="E350" s="2" t="s">
        <v>667</v>
      </c>
      <c r="F350" s="36" t="n">
        <v>1.81830441427672</v>
      </c>
      <c r="G350" s="31" t="n">
        <v>68.6</v>
      </c>
      <c r="H350" s="37" t="n">
        <v>0.164956011730205</v>
      </c>
      <c r="I350" s="31" t="n">
        <v>83.7</v>
      </c>
      <c r="J350" s="2" t="s">
        <v>2697</v>
      </c>
      <c r="K350" s="38" t="n">
        <v>0.186086956521739</v>
      </c>
      <c r="L350" s="31" t="n">
        <v>79.6</v>
      </c>
      <c r="M350" s="39" t="s">
        <v>671</v>
      </c>
      <c r="N350" s="2" t="s">
        <v>19</v>
      </c>
      <c r="O350" s="2" t="s">
        <v>19</v>
      </c>
      <c r="P350" s="2" t="s">
        <v>19</v>
      </c>
      <c r="Q350" s="2" t="s">
        <v>19</v>
      </c>
    </row>
    <row r="351" customFormat="false" ht="15" hidden="false" customHeight="false" outlineLevel="0" collapsed="false">
      <c r="A351" s="2" t="s">
        <v>512</v>
      </c>
      <c r="B351" s="2" t="s">
        <v>45</v>
      </c>
      <c r="C351" s="13" t="s">
        <v>1158</v>
      </c>
      <c r="D351" s="35" t="n">
        <v>88908</v>
      </c>
      <c r="E351" s="2" t="s">
        <v>667</v>
      </c>
      <c r="F351" s="36" t="n">
        <v>0.429781347010393</v>
      </c>
      <c r="G351" s="31" t="n">
        <v>34.2</v>
      </c>
      <c r="H351" s="37" t="n">
        <v>0.0633147559021217</v>
      </c>
      <c r="I351" s="31" t="n">
        <v>33.3</v>
      </c>
      <c r="J351" s="2" t="s">
        <v>2704</v>
      </c>
      <c r="K351" s="47" t="s">
        <v>680</v>
      </c>
      <c r="L351" s="31"/>
      <c r="M351" s="39" t="s">
        <v>671</v>
      </c>
      <c r="N351" s="2" t="s">
        <v>19</v>
      </c>
      <c r="O351" s="2" t="s">
        <v>19</v>
      </c>
      <c r="P351" s="2" t="s">
        <v>19</v>
      </c>
      <c r="Q351" s="2" t="s">
        <v>2715</v>
      </c>
    </row>
    <row r="352" customFormat="false" ht="15" hidden="false" customHeight="false" outlineLevel="0" collapsed="false">
      <c r="A352" s="2" t="s">
        <v>526</v>
      </c>
      <c r="B352" s="2" t="s">
        <v>45</v>
      </c>
      <c r="C352" s="13" t="s">
        <v>1260</v>
      </c>
      <c r="D352" s="35" t="n">
        <v>67473</v>
      </c>
      <c r="E352" s="2" t="s">
        <v>667</v>
      </c>
      <c r="F352" s="36" t="n">
        <v>0.313147481214708</v>
      </c>
      <c r="G352" s="31" t="n">
        <v>19.7</v>
      </c>
      <c r="H352" s="37" t="n">
        <v>0.0790327997313333</v>
      </c>
      <c r="I352" s="31" t="n">
        <v>45.2</v>
      </c>
      <c r="J352" s="2" t="s">
        <v>2704</v>
      </c>
      <c r="K352" s="43" t="n">
        <v>0.119712689545092</v>
      </c>
      <c r="L352" s="31" t="n">
        <v>41.7</v>
      </c>
      <c r="M352" s="39" t="s">
        <v>671</v>
      </c>
      <c r="N352" s="2" t="s">
        <v>19</v>
      </c>
      <c r="O352" s="2" t="s">
        <v>19</v>
      </c>
      <c r="P352" s="2" t="s">
        <v>19</v>
      </c>
      <c r="Q352" s="2" t="s">
        <v>21</v>
      </c>
    </row>
    <row r="353" customFormat="false" ht="15" hidden="false" customHeight="false" outlineLevel="0" collapsed="false">
      <c r="A353" s="2" t="s">
        <v>526</v>
      </c>
      <c r="B353" s="2" t="s">
        <v>47</v>
      </c>
      <c r="C353" s="13" t="s">
        <v>2355</v>
      </c>
      <c r="D353" s="35" t="n">
        <v>8837</v>
      </c>
      <c r="E353" s="2" t="s">
        <v>678</v>
      </c>
      <c r="F353" s="36" t="n">
        <v>1.11757383727509</v>
      </c>
      <c r="G353" s="31" t="n">
        <v>45.2</v>
      </c>
      <c r="H353" s="37" t="n">
        <v>0.0429599905582438</v>
      </c>
      <c r="I353" s="31" t="n">
        <v>25.3</v>
      </c>
      <c r="J353" s="2" t="s">
        <v>2706</v>
      </c>
      <c r="K353" s="38" t="n">
        <v>0.116504854368932</v>
      </c>
      <c r="L353" s="31" t="n">
        <v>61.9</v>
      </c>
      <c r="M353" s="39" t="s">
        <v>671</v>
      </c>
      <c r="N353" s="2" t="s">
        <v>19</v>
      </c>
      <c r="O353" s="2" t="s">
        <v>19</v>
      </c>
      <c r="P353" s="2" t="s">
        <v>19</v>
      </c>
      <c r="Q353" s="2" t="s">
        <v>19</v>
      </c>
    </row>
    <row r="354" customFormat="false" ht="15" hidden="false" customHeight="false" outlineLevel="0" collapsed="false">
      <c r="A354" s="2" t="s">
        <v>761</v>
      </c>
      <c r="B354" s="2" t="s">
        <v>45</v>
      </c>
      <c r="C354" s="14" t="s">
        <v>762</v>
      </c>
      <c r="D354" s="40" t="n">
        <v>89770</v>
      </c>
      <c r="E354" s="2" t="s">
        <v>667</v>
      </c>
      <c r="F354" s="41" t="n">
        <v>1.52947532583268</v>
      </c>
      <c r="G354" s="31" t="n">
        <v>88.5</v>
      </c>
      <c r="H354" s="42" t="n">
        <v>0.0526500938086304</v>
      </c>
      <c r="I354" s="31" t="n">
        <v>29.8</v>
      </c>
      <c r="J354" s="2" t="s">
        <v>2704</v>
      </c>
      <c r="K354" s="47" t="s">
        <v>680</v>
      </c>
      <c r="L354" s="31"/>
      <c r="M354" s="39" t="s">
        <v>671</v>
      </c>
      <c r="N354" s="2" t="s">
        <v>21</v>
      </c>
      <c r="O354" s="2" t="s">
        <v>21</v>
      </c>
      <c r="P354" s="2" t="s">
        <v>21</v>
      </c>
      <c r="Q354" s="2" t="s">
        <v>2711</v>
      </c>
    </row>
    <row r="355" customFormat="false" ht="15" hidden="false" customHeight="false" outlineLevel="0" collapsed="false">
      <c r="A355" s="2" t="s">
        <v>761</v>
      </c>
      <c r="B355" s="2" t="s">
        <v>46</v>
      </c>
      <c r="C355" s="14" t="s">
        <v>1629</v>
      </c>
      <c r="D355" s="40" t="n">
        <v>26480</v>
      </c>
      <c r="E355" s="2" t="s">
        <v>667</v>
      </c>
      <c r="F355" s="41" t="n">
        <v>3.6720166163142</v>
      </c>
      <c r="G355" s="31" t="n">
        <v>57.3</v>
      </c>
      <c r="H355" s="42" t="n">
        <v>0.107486407360937</v>
      </c>
      <c r="I355" s="31" t="n">
        <v>59.3</v>
      </c>
      <c r="J355" s="2" t="s">
        <v>2700</v>
      </c>
      <c r="K355" s="43" t="n">
        <v>0.123808244930845</v>
      </c>
      <c r="L355" s="31" t="n">
        <v>45.9</v>
      </c>
      <c r="M355" s="39" t="s">
        <v>671</v>
      </c>
      <c r="N355" s="2" t="s">
        <v>21</v>
      </c>
      <c r="O355" s="2" t="s">
        <v>21</v>
      </c>
      <c r="P355" s="2" t="s">
        <v>21</v>
      </c>
      <c r="Q355" s="2" t="s">
        <v>21</v>
      </c>
    </row>
    <row r="356" customFormat="false" ht="15" hidden="false" customHeight="false" outlineLevel="0" collapsed="false">
      <c r="A356" s="2" t="s">
        <v>761</v>
      </c>
      <c r="B356" s="2" t="s">
        <v>47</v>
      </c>
      <c r="C356" s="16"/>
      <c r="D356" s="29"/>
      <c r="E356" s="2"/>
      <c r="F356" s="30"/>
      <c r="G356" s="31"/>
      <c r="H356" s="32"/>
      <c r="I356" s="31"/>
      <c r="J356" s="2"/>
      <c r="K356" s="33"/>
      <c r="L356" s="31"/>
      <c r="M356" s="34" t="s">
        <v>668</v>
      </c>
      <c r="N356" s="2"/>
      <c r="O356" s="2"/>
      <c r="P356" s="2"/>
      <c r="Q356" s="2"/>
    </row>
    <row r="357" customFormat="false" ht="15" hidden="false" customHeight="false" outlineLevel="0" collapsed="false">
      <c r="A357" s="2" t="s">
        <v>598</v>
      </c>
      <c r="B357" s="2" t="s">
        <v>45</v>
      </c>
      <c r="C357" s="14" t="s">
        <v>1346</v>
      </c>
      <c r="D357" s="40" t="n">
        <v>30290</v>
      </c>
      <c r="E357" s="2" t="s">
        <v>667</v>
      </c>
      <c r="F357" s="41" t="n">
        <v>0.157345658633212</v>
      </c>
      <c r="G357" s="31" t="n">
        <v>5.1</v>
      </c>
      <c r="H357" s="42" t="n">
        <v>0.0669249735822473</v>
      </c>
      <c r="I357" s="31" t="n">
        <v>34.5</v>
      </c>
      <c r="J357" s="2" t="s">
        <v>2704</v>
      </c>
      <c r="K357" s="43" t="n">
        <v>0.0551181102362205</v>
      </c>
      <c r="L357" s="31" t="n">
        <v>15.5</v>
      </c>
      <c r="M357" s="39" t="s">
        <v>671</v>
      </c>
      <c r="N357" s="2" t="s">
        <v>21</v>
      </c>
      <c r="O357" s="2" t="s">
        <v>21</v>
      </c>
      <c r="P357" s="2" t="s">
        <v>21</v>
      </c>
      <c r="Q357" s="2" t="s">
        <v>21</v>
      </c>
    </row>
    <row r="358" customFormat="false" ht="15" hidden="false" customHeight="false" outlineLevel="0" collapsed="false">
      <c r="A358" s="2" t="s">
        <v>598</v>
      </c>
      <c r="B358" s="2" t="s">
        <v>46</v>
      </c>
      <c r="C358" s="13" t="s">
        <v>1699</v>
      </c>
      <c r="D358" s="35" t="n">
        <v>135978</v>
      </c>
      <c r="E358" s="2" t="s">
        <v>670</v>
      </c>
      <c r="F358" s="36" t="n">
        <v>2.94915353954316</v>
      </c>
      <c r="G358" s="31" t="n">
        <v>46.5</v>
      </c>
      <c r="H358" s="37" t="n">
        <v>0.178022853875543</v>
      </c>
      <c r="I358" s="31" t="n">
        <v>90.7</v>
      </c>
      <c r="J358" s="2" t="s">
        <v>2705</v>
      </c>
      <c r="K358" s="38" t="n">
        <v>0.184146696419909</v>
      </c>
      <c r="L358" s="31" t="n">
        <v>67.9</v>
      </c>
      <c r="M358" s="39" t="s">
        <v>671</v>
      </c>
      <c r="N358" s="2" t="s">
        <v>19</v>
      </c>
      <c r="O358" s="2" t="s">
        <v>19</v>
      </c>
      <c r="P358" s="2" t="s">
        <v>19</v>
      </c>
      <c r="Q358" s="2" t="s">
        <v>19</v>
      </c>
    </row>
    <row r="359" customFormat="false" ht="15" hidden="false" customHeight="false" outlineLevel="0" collapsed="false">
      <c r="A359" s="2" t="s">
        <v>598</v>
      </c>
      <c r="B359" s="2" t="s">
        <v>47</v>
      </c>
      <c r="C359" s="13" t="s">
        <v>2621</v>
      </c>
      <c r="D359" s="35" t="n">
        <v>251100</v>
      </c>
      <c r="E359" s="2" t="s">
        <v>670</v>
      </c>
      <c r="F359" s="36" t="n">
        <v>0.489139784946237</v>
      </c>
      <c r="G359" s="31" t="n">
        <v>10.8</v>
      </c>
      <c r="H359" s="37" t="n">
        <v>0.121362605169611</v>
      </c>
      <c r="I359" s="31" t="n">
        <v>69.3</v>
      </c>
      <c r="J359" s="2" t="s">
        <v>2701</v>
      </c>
      <c r="K359" s="38" t="n">
        <v>0.0118394229261408</v>
      </c>
      <c r="L359" s="31" t="n">
        <v>7.6</v>
      </c>
      <c r="M359" s="39" t="s">
        <v>671</v>
      </c>
      <c r="N359" s="2" t="s">
        <v>19</v>
      </c>
      <c r="O359" s="2" t="s">
        <v>19</v>
      </c>
      <c r="P359" s="2" t="s">
        <v>19</v>
      </c>
      <c r="Q359" s="2" t="s">
        <v>19</v>
      </c>
    </row>
    <row r="360" customFormat="false" ht="15" hidden="false" customHeight="false" outlineLevel="0" collapsed="false">
      <c r="A360" s="2" t="s">
        <v>2194</v>
      </c>
      <c r="B360" s="2" t="s">
        <v>45</v>
      </c>
      <c r="C360" s="16"/>
      <c r="D360" s="29"/>
      <c r="E360" s="2"/>
      <c r="F360" s="30"/>
      <c r="G360" s="31"/>
      <c r="H360" s="32"/>
      <c r="I360" s="31"/>
      <c r="J360" s="2"/>
      <c r="K360" s="33"/>
      <c r="L360" s="31"/>
      <c r="M360" s="34" t="s">
        <v>668</v>
      </c>
      <c r="N360" s="2"/>
      <c r="O360" s="2"/>
      <c r="P360" s="2"/>
      <c r="Q360" s="2"/>
    </row>
    <row r="361" customFormat="false" ht="15" hidden="false" customHeight="false" outlineLevel="0" collapsed="false">
      <c r="A361" s="2" t="s">
        <v>2194</v>
      </c>
      <c r="B361" s="2" t="s">
        <v>46</v>
      </c>
      <c r="C361" s="14" t="s">
        <v>2795</v>
      </c>
      <c r="D361" s="40" t="n">
        <v>19890</v>
      </c>
      <c r="E361" s="2" t="s">
        <v>667</v>
      </c>
      <c r="F361" s="41" t="n">
        <v>1.54449472096531</v>
      </c>
      <c r="G361" s="31" t="n">
        <v>15.4</v>
      </c>
      <c r="H361" s="32"/>
      <c r="I361" s="31"/>
      <c r="J361" s="2"/>
      <c r="K361" s="43" t="n">
        <v>0.0741803278688525</v>
      </c>
      <c r="L361" s="31" t="n">
        <v>22.3</v>
      </c>
      <c r="M361" s="34" t="s">
        <v>668</v>
      </c>
      <c r="N361" s="2" t="s">
        <v>21</v>
      </c>
      <c r="O361" s="2" t="s">
        <v>21</v>
      </c>
      <c r="P361" s="2"/>
      <c r="Q361" s="2" t="s">
        <v>21</v>
      </c>
    </row>
    <row r="362" customFormat="false" ht="15" hidden="false" customHeight="false" outlineLevel="0" collapsed="false">
      <c r="A362" s="2" t="s">
        <v>2194</v>
      </c>
      <c r="B362" s="2" t="s">
        <v>47</v>
      </c>
      <c r="C362" s="13" t="s">
        <v>2195</v>
      </c>
      <c r="D362" s="35" t="n">
        <v>101442</v>
      </c>
      <c r="E362" s="2" t="s">
        <v>670</v>
      </c>
      <c r="F362" s="36" t="n">
        <v>1.72328029810138</v>
      </c>
      <c r="G362" s="31" t="n">
        <v>66</v>
      </c>
      <c r="H362" s="37" t="n">
        <v>0.137191157347204</v>
      </c>
      <c r="I362" s="31" t="n">
        <v>74.7</v>
      </c>
      <c r="J362" s="2" t="s">
        <v>2701</v>
      </c>
      <c r="K362" s="38" t="n">
        <v>0.16231884057971</v>
      </c>
      <c r="L362" s="31" t="n">
        <v>73.9</v>
      </c>
      <c r="M362" s="39" t="s">
        <v>671</v>
      </c>
      <c r="N362" s="2" t="s">
        <v>19</v>
      </c>
      <c r="O362" s="2" t="s">
        <v>19</v>
      </c>
      <c r="P362" s="2" t="s">
        <v>19</v>
      </c>
      <c r="Q362" s="2" t="s">
        <v>19</v>
      </c>
    </row>
    <row r="363" customFormat="false" ht="15" hidden="false" customHeight="false" outlineLevel="0" collapsed="false">
      <c r="A363" s="2" t="s">
        <v>2796</v>
      </c>
      <c r="B363" s="2" t="s">
        <v>45</v>
      </c>
      <c r="C363" s="14" t="s">
        <v>2797</v>
      </c>
      <c r="D363" s="40" t="n">
        <v>3150</v>
      </c>
      <c r="E363" s="2" t="s">
        <v>678</v>
      </c>
      <c r="F363" s="41" t="n">
        <v>0.221587301587302</v>
      </c>
      <c r="G363" s="31" t="n">
        <v>10.5</v>
      </c>
      <c r="H363" s="32"/>
      <c r="I363" s="31"/>
      <c r="J363" s="2"/>
      <c r="K363" s="43" t="n">
        <v>0.0555555555555556</v>
      </c>
      <c r="L363" s="31" t="n">
        <v>15.9</v>
      </c>
      <c r="M363" s="34" t="s">
        <v>668</v>
      </c>
      <c r="N363" s="2" t="s">
        <v>21</v>
      </c>
      <c r="O363" s="2" t="s">
        <v>21</v>
      </c>
      <c r="P363" s="2"/>
      <c r="Q363" s="2" t="s">
        <v>21</v>
      </c>
    </row>
    <row r="364" customFormat="false" ht="15" hidden="false" customHeight="false" outlineLevel="0" collapsed="false">
      <c r="A364" s="2" t="s">
        <v>2796</v>
      </c>
      <c r="B364" s="2" t="s">
        <v>46</v>
      </c>
      <c r="C364" s="14" t="s">
        <v>2798</v>
      </c>
      <c r="D364" s="40" t="n">
        <v>59850</v>
      </c>
      <c r="E364" s="2" t="s">
        <v>667</v>
      </c>
      <c r="F364" s="41" t="n">
        <v>3.24812030075188</v>
      </c>
      <c r="G364" s="31" t="n">
        <v>51.8</v>
      </c>
      <c r="H364" s="42" t="n">
        <v>0.114732724902216</v>
      </c>
      <c r="I364" s="31" t="n">
        <v>61.4</v>
      </c>
      <c r="J364" s="2" t="s">
        <v>2700</v>
      </c>
      <c r="K364" s="33"/>
      <c r="L364" s="31"/>
      <c r="M364" s="34" t="s">
        <v>668</v>
      </c>
      <c r="N364" s="2" t="s">
        <v>21</v>
      </c>
      <c r="O364" s="2" t="s">
        <v>21</v>
      </c>
      <c r="P364" s="2" t="s">
        <v>21</v>
      </c>
      <c r="Q364" s="2"/>
    </row>
    <row r="365" customFormat="false" ht="15" hidden="false" customHeight="false" outlineLevel="0" collapsed="false">
      <c r="A365" s="2" t="s">
        <v>2796</v>
      </c>
      <c r="B365" s="2" t="s">
        <v>47</v>
      </c>
      <c r="C365" s="16"/>
      <c r="D365" s="29"/>
      <c r="E365" s="2"/>
      <c r="F365" s="30"/>
      <c r="G365" s="31"/>
      <c r="H365" s="32"/>
      <c r="I365" s="31"/>
      <c r="J365" s="2"/>
      <c r="K365" s="33"/>
      <c r="L365" s="31"/>
      <c r="M365" s="34" t="s">
        <v>668</v>
      </c>
      <c r="N365" s="2"/>
      <c r="O365" s="2"/>
      <c r="P365" s="2"/>
      <c r="Q365" s="2"/>
    </row>
    <row r="366" customFormat="false" ht="15" hidden="false" customHeight="false" outlineLevel="0" collapsed="false">
      <c r="A366" s="2" t="s">
        <v>1800</v>
      </c>
      <c r="B366" s="2" t="s">
        <v>45</v>
      </c>
      <c r="C366" s="14" t="s">
        <v>2799</v>
      </c>
      <c r="D366" s="40" t="n">
        <v>1930</v>
      </c>
      <c r="E366" s="2" t="s">
        <v>678</v>
      </c>
      <c r="F366" s="41" t="n">
        <v>0.918134715025907</v>
      </c>
      <c r="G366" s="31" t="n">
        <v>72.2</v>
      </c>
      <c r="H366" s="32"/>
      <c r="I366" s="31"/>
      <c r="J366" s="2"/>
      <c r="K366" s="47" t="s">
        <v>680</v>
      </c>
      <c r="L366" s="31"/>
      <c r="M366" s="34" t="s">
        <v>668</v>
      </c>
      <c r="N366" s="2" t="s">
        <v>21</v>
      </c>
      <c r="O366" s="2" t="s">
        <v>21</v>
      </c>
      <c r="P366" s="2"/>
      <c r="Q366" s="2" t="s">
        <v>2711</v>
      </c>
    </row>
    <row r="367" customFormat="false" ht="15" hidden="false" customHeight="false" outlineLevel="0" collapsed="false">
      <c r="A367" s="2" t="s">
        <v>1800</v>
      </c>
      <c r="B367" s="2" t="s">
        <v>46</v>
      </c>
      <c r="C367" s="13" t="s">
        <v>1801</v>
      </c>
      <c r="D367" s="35" t="n">
        <v>42091</v>
      </c>
      <c r="E367" s="2" t="s">
        <v>667</v>
      </c>
      <c r="F367" s="36" t="n">
        <v>2.10783778004799</v>
      </c>
      <c r="G367" s="31" t="n">
        <v>29.4</v>
      </c>
      <c r="H367" s="37" t="n">
        <v>0.172712582191018</v>
      </c>
      <c r="I367" s="31" t="n">
        <v>87.1</v>
      </c>
      <c r="J367" s="2" t="s">
        <v>2700</v>
      </c>
      <c r="K367" s="38" t="n">
        <v>0.16905280036651</v>
      </c>
      <c r="L367" s="31" t="n">
        <v>63.2</v>
      </c>
      <c r="M367" s="39" t="s">
        <v>671</v>
      </c>
      <c r="N367" s="2" t="s">
        <v>19</v>
      </c>
      <c r="O367" s="2" t="s">
        <v>19</v>
      </c>
      <c r="P367" s="2" t="s">
        <v>19</v>
      </c>
      <c r="Q367" s="2" t="s">
        <v>19</v>
      </c>
    </row>
    <row r="368" customFormat="false" ht="15" hidden="false" customHeight="false" outlineLevel="0" collapsed="false">
      <c r="A368" s="2" t="s">
        <v>1800</v>
      </c>
      <c r="B368" s="2" t="s">
        <v>47</v>
      </c>
      <c r="C368" s="13" t="s">
        <v>2800</v>
      </c>
      <c r="D368" s="35" t="n">
        <v>46738</v>
      </c>
      <c r="E368" s="2" t="s">
        <v>667</v>
      </c>
      <c r="F368" s="36" t="n">
        <v>2.56861654328384</v>
      </c>
      <c r="G368" s="31" t="n">
        <v>83.7</v>
      </c>
      <c r="H368" s="32"/>
      <c r="I368" s="31"/>
      <c r="J368" s="2"/>
      <c r="K368" s="38" t="n">
        <v>0.17373263575681</v>
      </c>
      <c r="L368" s="31" t="n">
        <v>78.3</v>
      </c>
      <c r="M368" s="34" t="s">
        <v>668</v>
      </c>
      <c r="N368" s="2" t="s">
        <v>19</v>
      </c>
      <c r="O368" s="2" t="s">
        <v>19</v>
      </c>
      <c r="P368" s="2"/>
      <c r="Q368" s="2" t="s">
        <v>19</v>
      </c>
    </row>
    <row r="369" customFormat="false" ht="15" hidden="false" customHeight="false" outlineLevel="0" collapsed="false">
      <c r="A369" s="2" t="s">
        <v>644</v>
      </c>
      <c r="B369" s="2" t="s">
        <v>47</v>
      </c>
      <c r="C369" s="13" t="s">
        <v>2636</v>
      </c>
      <c r="D369" s="35" t="n">
        <v>105162</v>
      </c>
      <c r="E369" s="2" t="s">
        <v>670</v>
      </c>
      <c r="F369" s="36" t="n">
        <v>0.409473003556418</v>
      </c>
      <c r="G369" s="31" t="n">
        <v>7.8</v>
      </c>
      <c r="H369" s="37" t="n">
        <v>0.218944513347165</v>
      </c>
      <c r="I369" s="31" t="n">
        <v>93.4</v>
      </c>
      <c r="J369" s="2" t="s">
        <v>2701</v>
      </c>
      <c r="K369" s="38" t="n">
        <v>0.0774895933397374</v>
      </c>
      <c r="L369" s="31" t="n">
        <v>43</v>
      </c>
      <c r="M369" s="39" t="s">
        <v>671</v>
      </c>
      <c r="N369" s="2" t="s">
        <v>19</v>
      </c>
      <c r="O369" s="2" t="s">
        <v>19</v>
      </c>
      <c r="P369" s="2" t="s">
        <v>19</v>
      </c>
      <c r="Q369" s="2" t="s">
        <v>19</v>
      </c>
    </row>
    <row r="370" customFormat="false" ht="15" hidden="false" customHeight="false" outlineLevel="0" collapsed="false">
      <c r="A370" s="2" t="s">
        <v>784</v>
      </c>
      <c r="B370" s="2" t="s">
        <v>45</v>
      </c>
      <c r="C370" s="13" t="s">
        <v>785</v>
      </c>
      <c r="D370" s="35" t="n">
        <v>113990</v>
      </c>
      <c r="E370" s="2" t="s">
        <v>670</v>
      </c>
      <c r="F370" s="36" t="n">
        <v>1.32350206158435</v>
      </c>
      <c r="G370" s="31" t="n">
        <v>85.5</v>
      </c>
      <c r="H370" s="37" t="n">
        <v>-0.0177932876653311</v>
      </c>
      <c r="I370" s="31" t="n">
        <v>10.1</v>
      </c>
      <c r="J370" s="2" t="s">
        <v>2698</v>
      </c>
      <c r="K370" s="47" t="s">
        <v>680</v>
      </c>
      <c r="L370" s="31"/>
      <c r="M370" s="39" t="s">
        <v>671</v>
      </c>
      <c r="N370" s="2" t="s">
        <v>19</v>
      </c>
      <c r="O370" s="2" t="s">
        <v>19</v>
      </c>
      <c r="P370" s="2" t="s">
        <v>19</v>
      </c>
      <c r="Q370" s="2" t="s">
        <v>2715</v>
      </c>
    </row>
    <row r="371" customFormat="false" ht="15" hidden="false" customHeight="false" outlineLevel="0" collapsed="false">
      <c r="A371" s="2" t="s">
        <v>784</v>
      </c>
      <c r="B371" s="2" t="s">
        <v>46</v>
      </c>
      <c r="C371" s="14" t="s">
        <v>2801</v>
      </c>
      <c r="D371" s="40" t="n">
        <v>32430</v>
      </c>
      <c r="E371" s="2" t="s">
        <v>667</v>
      </c>
      <c r="F371" s="41" t="n">
        <v>2.37332716620413</v>
      </c>
      <c r="G371" s="31" t="n">
        <v>34.2</v>
      </c>
      <c r="H371" s="32"/>
      <c r="I371" s="31"/>
      <c r="J371" s="2"/>
      <c r="K371" s="43" t="n">
        <v>0.251021953065859</v>
      </c>
      <c r="L371" s="31" t="n">
        <v>82.9</v>
      </c>
      <c r="M371" s="34" t="s">
        <v>668</v>
      </c>
      <c r="N371" s="2" t="s">
        <v>21</v>
      </c>
      <c r="O371" s="2" t="s">
        <v>21</v>
      </c>
      <c r="P371" s="2"/>
      <c r="Q371" s="2" t="s">
        <v>21</v>
      </c>
    </row>
    <row r="372" customFormat="false" ht="15" hidden="false" customHeight="false" outlineLevel="0" collapsed="false">
      <c r="A372" s="2" t="s">
        <v>784</v>
      </c>
      <c r="B372" s="2" t="s">
        <v>47</v>
      </c>
      <c r="C372" s="13" t="s">
        <v>2802</v>
      </c>
      <c r="D372" s="35" t="n">
        <v>12476</v>
      </c>
      <c r="E372" s="2" t="s">
        <v>667</v>
      </c>
      <c r="F372" s="30"/>
      <c r="G372" s="31"/>
      <c r="H372" s="37" t="n">
        <v>0.0784923928077455</v>
      </c>
      <c r="I372" s="31" t="n">
        <v>43.6</v>
      </c>
      <c r="J372" s="2" t="s">
        <v>2697</v>
      </c>
      <c r="K372" s="38" t="n">
        <v>0.0186915887850467</v>
      </c>
      <c r="L372" s="31" t="n">
        <v>12</v>
      </c>
      <c r="M372" s="34" t="s">
        <v>668</v>
      </c>
      <c r="N372" s="2" t="s">
        <v>19</v>
      </c>
      <c r="O372" s="2"/>
      <c r="P372" s="2" t="s">
        <v>19</v>
      </c>
      <c r="Q372" s="2" t="s">
        <v>19</v>
      </c>
    </row>
    <row r="373" customFormat="false" ht="15" hidden="false" customHeight="false" outlineLevel="0" collapsed="false">
      <c r="A373" s="2" t="s">
        <v>897</v>
      </c>
      <c r="B373" s="2" t="s">
        <v>45</v>
      </c>
      <c r="C373" s="13" t="s">
        <v>898</v>
      </c>
      <c r="D373" s="35" t="n">
        <v>11939</v>
      </c>
      <c r="E373" s="2" t="s">
        <v>667</v>
      </c>
      <c r="F373" s="36" t="n">
        <v>0.885501298266186</v>
      </c>
      <c r="G373" s="31" t="n">
        <v>69.4</v>
      </c>
      <c r="H373" s="37" t="n">
        <v>0.0767496392496393</v>
      </c>
      <c r="I373" s="31" t="n">
        <v>43.3</v>
      </c>
      <c r="J373" s="2" t="s">
        <v>2704</v>
      </c>
      <c r="K373" s="38" t="n">
        <v>0.131493506493507</v>
      </c>
      <c r="L373" s="31" t="n">
        <v>48.3</v>
      </c>
      <c r="M373" s="39" t="s">
        <v>671</v>
      </c>
      <c r="N373" s="2" t="s">
        <v>19</v>
      </c>
      <c r="O373" s="2" t="s">
        <v>19</v>
      </c>
      <c r="P373" s="2" t="s">
        <v>19</v>
      </c>
      <c r="Q373" s="2" t="s">
        <v>19</v>
      </c>
    </row>
    <row r="374" customFormat="false" ht="15" hidden="false" customHeight="false" outlineLevel="0" collapsed="false">
      <c r="A374" s="2" t="s">
        <v>897</v>
      </c>
      <c r="B374" s="2" t="s">
        <v>46</v>
      </c>
      <c r="C374" s="16"/>
      <c r="D374" s="35" t="n">
        <v>92616</v>
      </c>
      <c r="E374" s="2" t="s">
        <v>667</v>
      </c>
      <c r="F374" s="30"/>
      <c r="G374" s="31"/>
      <c r="H374" s="37" t="n">
        <v>0.125442018154643</v>
      </c>
      <c r="I374" s="31" t="n">
        <v>66.8</v>
      </c>
      <c r="J374" s="2" t="s">
        <v>2700</v>
      </c>
      <c r="K374" s="38" t="n">
        <v>0.0501926127351008</v>
      </c>
      <c r="L374" s="31" t="n">
        <v>13.5</v>
      </c>
      <c r="M374" s="34" t="s">
        <v>668</v>
      </c>
      <c r="N374" s="2" t="s">
        <v>19</v>
      </c>
      <c r="O374" s="2"/>
      <c r="P374" s="2" t="s">
        <v>19</v>
      </c>
      <c r="Q374" s="2" t="s">
        <v>19</v>
      </c>
    </row>
    <row r="375" customFormat="false" ht="15" hidden="false" customHeight="false" outlineLevel="0" collapsed="false">
      <c r="A375" s="2" t="s">
        <v>897</v>
      </c>
      <c r="B375" s="2" t="s">
        <v>47</v>
      </c>
      <c r="C375" s="13" t="s">
        <v>2638</v>
      </c>
      <c r="D375" s="35" t="n">
        <v>11209</v>
      </c>
      <c r="E375" s="2" t="s">
        <v>667</v>
      </c>
      <c r="F375" s="36" t="n">
        <v>0.365153002051923</v>
      </c>
      <c r="G375" s="31" t="n">
        <v>7</v>
      </c>
      <c r="H375" s="37" t="n">
        <v>0.108813928182807</v>
      </c>
      <c r="I375" s="31" t="n">
        <v>58.9</v>
      </c>
      <c r="J375" s="2" t="s">
        <v>2697</v>
      </c>
      <c r="K375" s="38" t="n">
        <v>0.0355731225296443</v>
      </c>
      <c r="L375" s="31" t="n">
        <v>22.7</v>
      </c>
      <c r="M375" s="39" t="s">
        <v>671</v>
      </c>
      <c r="N375" s="2" t="s">
        <v>19</v>
      </c>
      <c r="O375" s="2" t="s">
        <v>19</v>
      </c>
      <c r="P375" s="2" t="s">
        <v>19</v>
      </c>
      <c r="Q375" s="2" t="s">
        <v>19</v>
      </c>
    </row>
    <row r="376" customFormat="false" ht="15" hidden="false" customHeight="false" outlineLevel="0" collapsed="false">
      <c r="A376" s="2" t="s">
        <v>1011</v>
      </c>
      <c r="B376" s="2" t="s">
        <v>45</v>
      </c>
      <c r="C376" s="14" t="s">
        <v>1012</v>
      </c>
      <c r="D376" s="40" t="n">
        <v>60980</v>
      </c>
      <c r="E376" s="2" t="s">
        <v>667</v>
      </c>
      <c r="F376" s="41" t="n">
        <v>0.640226303706133</v>
      </c>
      <c r="G376" s="31" t="n">
        <v>53.2</v>
      </c>
      <c r="H376" s="42" t="n">
        <v>0.0517419799931011</v>
      </c>
      <c r="I376" s="31" t="n">
        <v>29.4</v>
      </c>
      <c r="J376" s="2" t="s">
        <v>2704</v>
      </c>
      <c r="K376" s="43" t="n">
        <v>0.0854765506807867</v>
      </c>
      <c r="L376" s="31" t="n">
        <v>29.3</v>
      </c>
      <c r="M376" s="39" t="s">
        <v>671</v>
      </c>
      <c r="N376" s="2" t="s">
        <v>21</v>
      </c>
      <c r="O376" s="2" t="s">
        <v>21</v>
      </c>
      <c r="P376" s="2" t="s">
        <v>21</v>
      </c>
      <c r="Q376" s="2" t="s">
        <v>21</v>
      </c>
    </row>
    <row r="377" customFormat="false" ht="15" hidden="false" customHeight="false" outlineLevel="0" collapsed="false">
      <c r="A377" s="2" t="s">
        <v>1011</v>
      </c>
      <c r="B377" s="2" t="s">
        <v>46</v>
      </c>
      <c r="C377" s="16"/>
      <c r="D377" s="29"/>
      <c r="E377" s="2"/>
      <c r="F377" s="30"/>
      <c r="G377" s="31"/>
      <c r="H377" s="32"/>
      <c r="I377" s="31"/>
      <c r="J377" s="2"/>
      <c r="K377" s="33"/>
      <c r="L377" s="31"/>
      <c r="M377" s="34" t="s">
        <v>668</v>
      </c>
      <c r="N377" s="2"/>
      <c r="O377" s="2"/>
      <c r="P377" s="2"/>
      <c r="Q377" s="2"/>
    </row>
    <row r="378" customFormat="false" ht="15" hidden="false" customHeight="false" outlineLevel="0" collapsed="false">
      <c r="A378" s="2" t="s">
        <v>1011</v>
      </c>
      <c r="B378" s="2" t="s">
        <v>47</v>
      </c>
      <c r="C378" s="13" t="s">
        <v>2631</v>
      </c>
      <c r="D378" s="35" t="n">
        <v>38403</v>
      </c>
      <c r="E378" s="2" t="s">
        <v>667</v>
      </c>
      <c r="F378" s="36" t="n">
        <v>0.424758482410228</v>
      </c>
      <c r="G378" s="31" t="n">
        <v>8.9</v>
      </c>
      <c r="H378" s="37" t="n">
        <v>0.09239084056322</v>
      </c>
      <c r="I378" s="31" t="n">
        <v>52.1</v>
      </c>
      <c r="J378" s="2" t="s">
        <v>2697</v>
      </c>
      <c r="K378" s="38" t="n">
        <v>0.0129589632829374</v>
      </c>
      <c r="L378" s="31" t="n">
        <v>8.4</v>
      </c>
      <c r="M378" s="39" t="s">
        <v>671</v>
      </c>
      <c r="N378" s="2" t="s">
        <v>19</v>
      </c>
      <c r="O378" s="2" t="s">
        <v>19</v>
      </c>
      <c r="P378" s="2" t="s">
        <v>19</v>
      </c>
      <c r="Q378" s="2" t="s">
        <v>19</v>
      </c>
    </row>
    <row r="379" customFormat="false" ht="15" hidden="false" customHeight="false" outlineLevel="0" collapsed="false">
      <c r="A379" s="2" t="s">
        <v>544</v>
      </c>
      <c r="B379" s="2" t="s">
        <v>47</v>
      </c>
      <c r="C379" s="13" t="s">
        <v>2460</v>
      </c>
      <c r="D379" s="35" t="n">
        <v>42721</v>
      </c>
      <c r="E379" s="2" t="s">
        <v>667</v>
      </c>
      <c r="F379" s="36" t="n">
        <v>0.883546733456614</v>
      </c>
      <c r="G379" s="31" t="n">
        <v>31</v>
      </c>
      <c r="H379" s="37" t="n">
        <v>0.140717203812982</v>
      </c>
      <c r="I379" s="31" t="n">
        <v>73.4</v>
      </c>
      <c r="J379" s="2" t="s">
        <v>2697</v>
      </c>
      <c r="K379" s="38" t="n">
        <v>0.0777067045723762</v>
      </c>
      <c r="L379" s="31" t="n">
        <v>43.2</v>
      </c>
      <c r="M379" s="39" t="s">
        <v>671</v>
      </c>
      <c r="N379" s="2" t="s">
        <v>19</v>
      </c>
      <c r="O379" s="2" t="s">
        <v>19</v>
      </c>
      <c r="P379" s="2" t="s">
        <v>19</v>
      </c>
      <c r="Q379" s="2" t="s">
        <v>19</v>
      </c>
    </row>
    <row r="380" customFormat="false" ht="15" hidden="false" customHeight="false" outlineLevel="0" collapsed="false">
      <c r="A380" s="2" t="s">
        <v>1230</v>
      </c>
      <c r="B380" s="2" t="s">
        <v>45</v>
      </c>
      <c r="C380" s="13" t="s">
        <v>1231</v>
      </c>
      <c r="D380" s="35" t="n">
        <v>10659</v>
      </c>
      <c r="E380" s="2" t="s">
        <v>667</v>
      </c>
      <c r="F380" s="36" t="n">
        <v>0.346467773712356</v>
      </c>
      <c r="G380" s="31" t="n">
        <v>23.9</v>
      </c>
      <c r="H380" s="37" t="n">
        <v>0.16875</v>
      </c>
      <c r="I380" s="31" t="n">
        <v>83.7</v>
      </c>
      <c r="J380" s="2" t="s">
        <v>2704</v>
      </c>
      <c r="K380" s="38" t="n">
        <v>0.151162790697674</v>
      </c>
      <c r="L380" s="31" t="n">
        <v>55.2</v>
      </c>
      <c r="M380" s="39" t="s">
        <v>671</v>
      </c>
      <c r="N380" s="2" t="s">
        <v>19</v>
      </c>
      <c r="O380" s="2" t="s">
        <v>19</v>
      </c>
      <c r="P380" s="2" t="s">
        <v>19</v>
      </c>
      <c r="Q380" s="2" t="s">
        <v>19</v>
      </c>
    </row>
    <row r="381" customFormat="false" ht="15" hidden="false" customHeight="false" outlineLevel="0" collapsed="false">
      <c r="A381" s="2" t="s">
        <v>1230</v>
      </c>
      <c r="B381" s="2" t="s">
        <v>46</v>
      </c>
      <c r="C381" s="14" t="s">
        <v>2803</v>
      </c>
      <c r="D381" s="40" t="n">
        <v>57860</v>
      </c>
      <c r="E381" s="2" t="s">
        <v>667</v>
      </c>
      <c r="F381" s="41" t="n">
        <v>2.38968199101279</v>
      </c>
      <c r="G381" s="31" t="n">
        <v>35.1</v>
      </c>
      <c r="H381" s="42" t="n">
        <v>0.00994938034561005</v>
      </c>
      <c r="I381" s="31" t="n">
        <v>13.3</v>
      </c>
      <c r="J381" s="2" t="s">
        <v>2700</v>
      </c>
      <c r="K381" s="33"/>
      <c r="L381" s="31"/>
      <c r="M381" s="34" t="s">
        <v>668</v>
      </c>
      <c r="N381" s="2" t="s">
        <v>21</v>
      </c>
      <c r="O381" s="2" t="s">
        <v>21</v>
      </c>
      <c r="P381" s="2" t="s">
        <v>21</v>
      </c>
      <c r="Q381" s="2"/>
    </row>
    <row r="382" customFormat="false" ht="15" hidden="false" customHeight="false" outlineLevel="0" collapsed="false">
      <c r="A382" s="2" t="s">
        <v>1230</v>
      </c>
      <c r="B382" s="2" t="s">
        <v>47</v>
      </c>
      <c r="C382" s="13" t="s">
        <v>2199</v>
      </c>
      <c r="D382" s="35" t="n">
        <v>115691</v>
      </c>
      <c r="E382" s="2" t="s">
        <v>670</v>
      </c>
      <c r="F382" s="36" t="n">
        <v>1.71106654795965</v>
      </c>
      <c r="G382" s="31" t="n">
        <v>65.6</v>
      </c>
      <c r="H382" s="37" t="n">
        <v>0.133414321123118</v>
      </c>
      <c r="I382" s="31" t="n">
        <v>72.9</v>
      </c>
      <c r="J382" s="2" t="s">
        <v>2701</v>
      </c>
      <c r="K382" s="38" t="n">
        <v>0.0846646400620917</v>
      </c>
      <c r="L382" s="31" t="n">
        <v>46.9</v>
      </c>
      <c r="M382" s="39" t="s">
        <v>671</v>
      </c>
      <c r="N382" s="2" t="s">
        <v>19</v>
      </c>
      <c r="O382" s="2" t="s">
        <v>19</v>
      </c>
      <c r="P382" s="2" t="s">
        <v>19</v>
      </c>
      <c r="Q382" s="2" t="s">
        <v>19</v>
      </c>
    </row>
    <row r="383" customFormat="false" ht="15" hidden="false" customHeight="false" outlineLevel="0" collapsed="false">
      <c r="A383" s="2" t="s">
        <v>938</v>
      </c>
      <c r="B383" s="2" t="s">
        <v>45</v>
      </c>
      <c r="C383" s="13" t="s">
        <v>939</v>
      </c>
      <c r="D383" s="35" t="n">
        <v>49973</v>
      </c>
      <c r="E383" s="2" t="s">
        <v>667</v>
      </c>
      <c r="F383" s="36" t="n">
        <v>0.790807035799332</v>
      </c>
      <c r="G383" s="31" t="n">
        <v>64.1</v>
      </c>
      <c r="H383" s="37" t="n">
        <v>0.0272787073962916</v>
      </c>
      <c r="I383" s="31" t="n">
        <v>16.3</v>
      </c>
      <c r="J383" s="2" t="s">
        <v>2704</v>
      </c>
      <c r="K383" s="38" t="n">
        <v>0.090962441314554</v>
      </c>
      <c r="L383" s="31" t="n">
        <v>31.2</v>
      </c>
      <c r="M383" s="39" t="s">
        <v>671</v>
      </c>
      <c r="N383" s="2" t="s">
        <v>19</v>
      </c>
      <c r="O383" s="2" t="s">
        <v>19</v>
      </c>
      <c r="P383" s="2" t="s">
        <v>19</v>
      </c>
      <c r="Q383" s="2" t="s">
        <v>19</v>
      </c>
    </row>
    <row r="384" customFormat="false" ht="15" hidden="false" customHeight="false" outlineLevel="0" collapsed="false">
      <c r="A384" s="2" t="s">
        <v>938</v>
      </c>
      <c r="B384" s="2" t="s">
        <v>46</v>
      </c>
      <c r="C384" s="13" t="s">
        <v>1642</v>
      </c>
      <c r="D384" s="35" t="n">
        <v>53003</v>
      </c>
      <c r="E384" s="2" t="s">
        <v>667</v>
      </c>
      <c r="F384" s="36" t="n">
        <v>3.51381997245439</v>
      </c>
      <c r="G384" s="31" t="n">
        <v>55.2</v>
      </c>
      <c r="H384" s="37" t="n">
        <v>0.0689321367348997</v>
      </c>
      <c r="I384" s="31" t="n">
        <v>39.4</v>
      </c>
      <c r="J384" s="2" t="s">
        <v>2700</v>
      </c>
      <c r="K384" s="38" t="n">
        <v>0.0774850861317783</v>
      </c>
      <c r="L384" s="31" t="n">
        <v>23.6</v>
      </c>
      <c r="M384" s="39" t="s">
        <v>671</v>
      </c>
      <c r="N384" s="2" t="s">
        <v>19</v>
      </c>
      <c r="O384" s="2" t="s">
        <v>19</v>
      </c>
      <c r="P384" s="2" t="s">
        <v>19</v>
      </c>
      <c r="Q384" s="2" t="s">
        <v>19</v>
      </c>
    </row>
    <row r="385" customFormat="false" ht="15" hidden="false" customHeight="false" outlineLevel="0" collapsed="false">
      <c r="A385" s="2" t="s">
        <v>938</v>
      </c>
      <c r="B385" s="2" t="s">
        <v>47</v>
      </c>
      <c r="C385" s="16"/>
      <c r="D385" s="29"/>
      <c r="E385" s="2"/>
      <c r="F385" s="30"/>
      <c r="G385" s="31"/>
      <c r="H385" s="32"/>
      <c r="I385" s="31"/>
      <c r="J385" s="2"/>
      <c r="K385" s="33"/>
      <c r="L385" s="31"/>
      <c r="M385" s="34" t="s">
        <v>668</v>
      </c>
      <c r="N385" s="2"/>
      <c r="O385" s="2"/>
      <c r="P385" s="2"/>
      <c r="Q385" s="2"/>
    </row>
    <row r="386" customFormat="false" ht="15" hidden="false" customHeight="false" outlineLevel="0" collapsed="false">
      <c r="A386" s="2" t="s">
        <v>468</v>
      </c>
      <c r="B386" s="2" t="s">
        <v>45</v>
      </c>
      <c r="C386" s="14" t="s">
        <v>843</v>
      </c>
      <c r="D386" s="40" t="n">
        <v>104670</v>
      </c>
      <c r="E386" s="2" t="s">
        <v>670</v>
      </c>
      <c r="F386" s="41" t="n">
        <v>1.02879526129741</v>
      </c>
      <c r="G386" s="31" t="n">
        <v>76.1</v>
      </c>
      <c r="H386" s="42" t="n">
        <v>0.140071887593944</v>
      </c>
      <c r="I386" s="31" t="n">
        <v>74.6</v>
      </c>
      <c r="J386" s="2" t="s">
        <v>2698</v>
      </c>
      <c r="K386" s="38" t="n">
        <v>0.054215072981829</v>
      </c>
      <c r="L386" s="31" t="n">
        <v>14.9</v>
      </c>
      <c r="M386" s="39" t="s">
        <v>671</v>
      </c>
      <c r="N386" s="2" t="s">
        <v>21</v>
      </c>
      <c r="O386" s="2" t="s">
        <v>21</v>
      </c>
      <c r="P386" s="2" t="s">
        <v>21</v>
      </c>
      <c r="Q386" s="2" t="s">
        <v>19</v>
      </c>
    </row>
    <row r="387" customFormat="false" ht="15" hidden="false" customHeight="false" outlineLevel="0" collapsed="false">
      <c r="A387" s="2" t="s">
        <v>468</v>
      </c>
      <c r="B387" s="2" t="s">
        <v>47</v>
      </c>
      <c r="C387" s="13" t="s">
        <v>2667</v>
      </c>
      <c r="D387" s="35" t="n">
        <v>1380</v>
      </c>
      <c r="E387" s="2" t="s">
        <v>678</v>
      </c>
      <c r="F387" s="36" t="n">
        <v>0.247101449275362</v>
      </c>
      <c r="G387" s="31" t="n">
        <v>2.7</v>
      </c>
      <c r="H387" s="37" t="n">
        <v>0.129296235679214</v>
      </c>
      <c r="I387" s="31" t="n">
        <v>62.7</v>
      </c>
      <c r="J387" s="2" t="s">
        <v>2706</v>
      </c>
      <c r="K387" s="38" t="n">
        <v>0</v>
      </c>
      <c r="L387" s="31" t="n">
        <v>0.7</v>
      </c>
      <c r="M387" s="39" t="s">
        <v>671</v>
      </c>
      <c r="N387" s="2" t="s">
        <v>19</v>
      </c>
      <c r="O387" s="2" t="s">
        <v>19</v>
      </c>
      <c r="P387" s="2" t="s">
        <v>19</v>
      </c>
      <c r="Q387" s="2" t="s">
        <v>19</v>
      </c>
    </row>
    <row r="388" customFormat="false" ht="15" hidden="false" customHeight="false" outlineLevel="0" collapsed="false">
      <c r="A388" s="2" t="s">
        <v>356</v>
      </c>
      <c r="B388" s="2" t="s">
        <v>45</v>
      </c>
      <c r="C388" s="13" t="s">
        <v>904</v>
      </c>
      <c r="D388" s="35" t="n">
        <v>243057</v>
      </c>
      <c r="E388" s="2" t="s">
        <v>670</v>
      </c>
      <c r="F388" s="36" t="n">
        <v>0.863328355077204</v>
      </c>
      <c r="G388" s="31" t="n">
        <v>68.2</v>
      </c>
      <c r="H388" s="37" t="n">
        <v>-0.0230592377629686</v>
      </c>
      <c r="I388" s="31" t="n">
        <v>8.7</v>
      </c>
      <c r="J388" s="2" t="s">
        <v>2698</v>
      </c>
      <c r="K388" s="38" t="n">
        <v>0.257562375800397</v>
      </c>
      <c r="L388" s="31" t="n">
        <v>84</v>
      </c>
      <c r="M388" s="39" t="s">
        <v>671</v>
      </c>
      <c r="N388" s="2" t="s">
        <v>19</v>
      </c>
      <c r="O388" s="2" t="s">
        <v>19</v>
      </c>
      <c r="P388" s="2" t="s">
        <v>19</v>
      </c>
      <c r="Q388" s="2" t="s">
        <v>19</v>
      </c>
    </row>
    <row r="389" customFormat="false" ht="15" hidden="false" customHeight="false" outlineLevel="0" collapsed="false">
      <c r="A389" s="2" t="s">
        <v>356</v>
      </c>
      <c r="B389" s="2" t="s">
        <v>46</v>
      </c>
      <c r="C389" s="13" t="s">
        <v>1887</v>
      </c>
      <c r="D389" s="35" t="n">
        <v>123094</v>
      </c>
      <c r="E389" s="2" t="s">
        <v>670</v>
      </c>
      <c r="F389" s="36" t="n">
        <v>1.48673371569695</v>
      </c>
      <c r="G389" s="31" t="n">
        <v>14.4</v>
      </c>
      <c r="H389" s="37" t="n">
        <v>0.125935276146571</v>
      </c>
      <c r="I389" s="31" t="n">
        <v>72.2</v>
      </c>
      <c r="J389" s="2" t="s">
        <v>2705</v>
      </c>
      <c r="K389" s="38" t="n">
        <v>0.123744104982571</v>
      </c>
      <c r="L389" s="31" t="n">
        <v>45.6</v>
      </c>
      <c r="M389" s="39" t="s">
        <v>671</v>
      </c>
      <c r="N389" s="2" t="s">
        <v>19</v>
      </c>
      <c r="O389" s="2" t="s">
        <v>19</v>
      </c>
      <c r="P389" s="2" t="s">
        <v>19</v>
      </c>
      <c r="Q389" s="2" t="s">
        <v>19</v>
      </c>
    </row>
    <row r="390" customFormat="false" ht="15" hidden="false" customHeight="false" outlineLevel="0" collapsed="false">
      <c r="A390" s="2" t="s">
        <v>356</v>
      </c>
      <c r="B390" s="2" t="s">
        <v>47</v>
      </c>
      <c r="C390" s="13" t="s">
        <v>2142</v>
      </c>
      <c r="D390" s="35" t="n">
        <v>468152</v>
      </c>
      <c r="E390" s="2" t="s">
        <v>670</v>
      </c>
      <c r="F390" s="36" t="n">
        <v>1.97958355405937</v>
      </c>
      <c r="G390" s="31" t="n">
        <v>73.6</v>
      </c>
      <c r="H390" s="37" t="n">
        <v>0.114597196793478</v>
      </c>
      <c r="I390" s="31" t="n">
        <v>66.3</v>
      </c>
      <c r="J390" s="2" t="s">
        <v>2701</v>
      </c>
      <c r="K390" s="38" t="n">
        <v>0.0287697427237509</v>
      </c>
      <c r="L390" s="31" t="n">
        <v>18.1</v>
      </c>
      <c r="M390" s="39" t="s">
        <v>671</v>
      </c>
      <c r="N390" s="2" t="s">
        <v>19</v>
      </c>
      <c r="O390" s="2" t="s">
        <v>19</v>
      </c>
      <c r="P390" s="2" t="s">
        <v>19</v>
      </c>
      <c r="Q390" s="2" t="s">
        <v>19</v>
      </c>
    </row>
    <row r="391" customFormat="false" ht="15" hidden="false" customHeight="false" outlineLevel="0" collapsed="false">
      <c r="A391" s="2" t="s">
        <v>1476</v>
      </c>
      <c r="B391" s="2" t="s">
        <v>45</v>
      </c>
      <c r="C391" s="16"/>
      <c r="D391" s="29"/>
      <c r="E391" s="2"/>
      <c r="F391" s="30"/>
      <c r="G391" s="31"/>
      <c r="H391" s="32"/>
      <c r="I391" s="31"/>
      <c r="J391" s="2"/>
      <c r="K391" s="33"/>
      <c r="L391" s="31"/>
      <c r="M391" s="34" t="s">
        <v>668</v>
      </c>
      <c r="N391" s="2"/>
      <c r="O391" s="2"/>
      <c r="P391" s="2"/>
      <c r="Q391" s="2"/>
    </row>
    <row r="392" customFormat="false" ht="15" hidden="false" customHeight="false" outlineLevel="0" collapsed="false">
      <c r="A392" s="2" t="s">
        <v>1476</v>
      </c>
      <c r="B392" s="2" t="s">
        <v>46</v>
      </c>
      <c r="C392" s="13" t="s">
        <v>1477</v>
      </c>
      <c r="D392" s="35" t="n">
        <v>28625</v>
      </c>
      <c r="E392" s="2" t="s">
        <v>667</v>
      </c>
      <c r="F392" s="41" t="n">
        <v>6.72418487997134</v>
      </c>
      <c r="G392" s="31" t="n">
        <v>84.8</v>
      </c>
      <c r="H392" s="37" t="n">
        <v>0.0721776912128249</v>
      </c>
      <c r="I392" s="31" t="n">
        <v>41.1</v>
      </c>
      <c r="J392" s="2" t="s">
        <v>2700</v>
      </c>
      <c r="K392" s="38" t="n">
        <v>0.236844547563805</v>
      </c>
      <c r="L392" s="31" t="n">
        <v>79.8</v>
      </c>
      <c r="M392" s="39" t="s">
        <v>671</v>
      </c>
      <c r="N392" s="2" t="s">
        <v>19</v>
      </c>
      <c r="O392" s="2" t="s">
        <v>21</v>
      </c>
      <c r="P392" s="2" t="s">
        <v>19</v>
      </c>
      <c r="Q392" s="2" t="s">
        <v>19</v>
      </c>
    </row>
    <row r="393" customFormat="false" ht="15" hidden="false" customHeight="false" outlineLevel="0" collapsed="false">
      <c r="A393" s="2" t="s">
        <v>1476</v>
      </c>
      <c r="B393" s="2" t="s">
        <v>47</v>
      </c>
      <c r="C393" s="13" t="s">
        <v>2248</v>
      </c>
      <c r="D393" s="35" t="n">
        <v>98256</v>
      </c>
      <c r="E393" s="2" t="s">
        <v>667</v>
      </c>
      <c r="F393" s="36" t="n">
        <v>1.51384139390979</v>
      </c>
      <c r="G393" s="31" t="n">
        <v>59.5</v>
      </c>
      <c r="H393" s="46" t="n">
        <v>0.0654629750555048</v>
      </c>
      <c r="I393" s="31" t="n">
        <v>37.6</v>
      </c>
      <c r="J393" s="2" t="s">
        <v>2697</v>
      </c>
      <c r="K393" s="38" t="n">
        <v>0.238909673971138</v>
      </c>
      <c r="L393" s="31" t="n">
        <v>90.3</v>
      </c>
      <c r="M393" s="39" t="s">
        <v>671</v>
      </c>
      <c r="N393" s="2" t="s">
        <v>19</v>
      </c>
      <c r="O393" s="2" t="s">
        <v>19</v>
      </c>
      <c r="P393" s="2" t="s">
        <v>17</v>
      </c>
      <c r="Q393" s="2" t="s">
        <v>19</v>
      </c>
    </row>
    <row r="394" customFormat="false" ht="15" hidden="false" customHeight="false" outlineLevel="0" collapsed="false">
      <c r="A394" s="2" t="s">
        <v>1258</v>
      </c>
      <c r="B394" s="2" t="s">
        <v>45</v>
      </c>
      <c r="C394" s="14" t="s">
        <v>1259</v>
      </c>
      <c r="D394" s="40" t="n">
        <v>110470</v>
      </c>
      <c r="E394" s="2" t="s">
        <v>670</v>
      </c>
      <c r="F394" s="41" t="n">
        <v>0.314139585407803</v>
      </c>
      <c r="G394" s="31" t="n">
        <v>19.9</v>
      </c>
      <c r="H394" s="42" t="n">
        <v>0.139570868578502</v>
      </c>
      <c r="I394" s="31" t="n">
        <v>73.2</v>
      </c>
      <c r="J394" s="2" t="s">
        <v>2698</v>
      </c>
      <c r="K394" s="43" t="n">
        <v>0.0302622730329523</v>
      </c>
      <c r="L394" s="31" t="n">
        <v>5.8</v>
      </c>
      <c r="M394" s="39" t="s">
        <v>671</v>
      </c>
      <c r="N394" s="2" t="s">
        <v>21</v>
      </c>
      <c r="O394" s="2" t="s">
        <v>21</v>
      </c>
      <c r="P394" s="2" t="s">
        <v>21</v>
      </c>
      <c r="Q394" s="2" t="s">
        <v>21</v>
      </c>
    </row>
    <row r="395" customFormat="false" ht="15" hidden="false" customHeight="false" outlineLevel="0" collapsed="false">
      <c r="A395" s="2" t="s">
        <v>1258</v>
      </c>
      <c r="B395" s="2" t="s">
        <v>46</v>
      </c>
      <c r="C395" s="16"/>
      <c r="D395" s="29"/>
      <c r="E395" s="2"/>
      <c r="F395" s="30"/>
      <c r="G395" s="31"/>
      <c r="H395" s="32"/>
      <c r="I395" s="31"/>
      <c r="J395" s="2"/>
      <c r="K395" s="33"/>
      <c r="L395" s="31"/>
      <c r="M395" s="34" t="s">
        <v>668</v>
      </c>
      <c r="N395" s="2"/>
      <c r="O395" s="2"/>
      <c r="P395" s="2"/>
      <c r="Q395" s="2"/>
    </row>
    <row r="396" customFormat="false" ht="15" hidden="false" customHeight="false" outlineLevel="0" collapsed="false">
      <c r="A396" s="2" t="s">
        <v>1258</v>
      </c>
      <c r="B396" s="2" t="s">
        <v>47</v>
      </c>
      <c r="C396" s="13" t="s">
        <v>2081</v>
      </c>
      <c r="D396" s="35" t="n">
        <v>121542</v>
      </c>
      <c r="E396" s="2" t="s">
        <v>670</v>
      </c>
      <c r="F396" s="36" t="n">
        <v>2.5358641457274</v>
      </c>
      <c r="G396" s="31" t="n">
        <v>83.5</v>
      </c>
      <c r="H396" s="37" t="n">
        <v>0.022925819320305</v>
      </c>
      <c r="I396" s="31" t="n">
        <v>23.5</v>
      </c>
      <c r="J396" s="2" t="s">
        <v>2701</v>
      </c>
      <c r="K396" s="38" t="n">
        <v>0.00347279642798082</v>
      </c>
      <c r="L396" s="31" t="n">
        <v>3.2</v>
      </c>
      <c r="M396" s="39" t="s">
        <v>671</v>
      </c>
      <c r="N396" s="2" t="s">
        <v>19</v>
      </c>
      <c r="O396" s="2" t="s">
        <v>19</v>
      </c>
      <c r="P396" s="2" t="s">
        <v>19</v>
      </c>
      <c r="Q396" s="2" t="s">
        <v>19</v>
      </c>
    </row>
    <row r="397" customFormat="false" ht="15" hidden="false" customHeight="false" outlineLevel="0" collapsed="false">
      <c r="A397" s="2" t="s">
        <v>2072</v>
      </c>
      <c r="B397" s="2" t="s">
        <v>45</v>
      </c>
      <c r="C397" s="16"/>
      <c r="D397" s="29"/>
      <c r="E397" s="2"/>
      <c r="F397" s="30"/>
      <c r="G397" s="31"/>
      <c r="H397" s="32"/>
      <c r="I397" s="31"/>
      <c r="J397" s="2"/>
      <c r="K397" s="33"/>
      <c r="L397" s="31"/>
      <c r="M397" s="34" t="s">
        <v>668</v>
      </c>
      <c r="N397" s="2"/>
      <c r="O397" s="2"/>
      <c r="P397" s="2"/>
      <c r="Q397" s="2"/>
    </row>
    <row r="398" customFormat="false" ht="15" hidden="false" customHeight="false" outlineLevel="0" collapsed="false">
      <c r="A398" s="2" t="s">
        <v>2072</v>
      </c>
      <c r="B398" s="2" t="s">
        <v>46</v>
      </c>
      <c r="C398" s="15" t="s">
        <v>2804</v>
      </c>
      <c r="D398" s="29"/>
      <c r="E398" s="2"/>
      <c r="F398" s="30"/>
      <c r="G398" s="31"/>
      <c r="H398" s="32"/>
      <c r="I398" s="31"/>
      <c r="J398" s="2"/>
      <c r="K398" s="33"/>
      <c r="L398" s="31"/>
      <c r="M398" s="34" t="s">
        <v>668</v>
      </c>
      <c r="N398" s="2"/>
      <c r="O398" s="2"/>
      <c r="P398" s="2"/>
      <c r="Q398" s="2"/>
    </row>
    <row r="399" customFormat="false" ht="15" hidden="false" customHeight="false" outlineLevel="0" collapsed="false">
      <c r="A399" s="2" t="s">
        <v>2072</v>
      </c>
      <c r="B399" s="2" t="s">
        <v>47</v>
      </c>
      <c r="C399" s="13" t="s">
        <v>2073</v>
      </c>
      <c r="D399" s="35" t="n">
        <v>16051</v>
      </c>
      <c r="E399" s="2" t="s">
        <v>667</v>
      </c>
      <c r="F399" s="36" t="n">
        <v>2.68786991464706</v>
      </c>
      <c r="G399" s="31" t="n">
        <v>85</v>
      </c>
      <c r="H399" s="37" t="n">
        <v>0.117290825560351</v>
      </c>
      <c r="I399" s="31" t="n">
        <v>63.5</v>
      </c>
      <c r="J399" s="2" t="s">
        <v>2697</v>
      </c>
      <c r="K399" s="38" t="n">
        <v>0.0491464045525091</v>
      </c>
      <c r="L399" s="31" t="n">
        <v>30.9</v>
      </c>
      <c r="M399" s="39" t="s">
        <v>671</v>
      </c>
      <c r="N399" s="2" t="s">
        <v>19</v>
      </c>
      <c r="O399" s="2" t="s">
        <v>19</v>
      </c>
      <c r="P399" s="2" t="s">
        <v>19</v>
      </c>
      <c r="Q399" s="2" t="s">
        <v>19</v>
      </c>
    </row>
    <row r="400" customFormat="false" ht="15" hidden="false" customHeight="false" outlineLevel="0" collapsed="false">
      <c r="A400" s="2" t="s">
        <v>416</v>
      </c>
      <c r="B400" s="2" t="s">
        <v>45</v>
      </c>
      <c r="C400" s="13" t="s">
        <v>686</v>
      </c>
      <c r="D400" s="35" t="n">
        <v>26167</v>
      </c>
      <c r="E400" s="2" t="s">
        <v>667</v>
      </c>
      <c r="F400" s="36" t="n">
        <v>2.7627546145909</v>
      </c>
      <c r="G400" s="31" t="n">
        <v>97.6</v>
      </c>
      <c r="H400" s="37" t="n">
        <v>0.143662587412587</v>
      </c>
      <c r="I400" s="31" t="n">
        <v>75</v>
      </c>
      <c r="J400" s="2" t="s">
        <v>2704</v>
      </c>
      <c r="K400" s="38" t="n">
        <v>0.211996336996337</v>
      </c>
      <c r="L400" s="31" t="n">
        <v>74.6</v>
      </c>
      <c r="M400" s="39" t="s">
        <v>671</v>
      </c>
      <c r="N400" s="2" t="s">
        <v>19</v>
      </c>
      <c r="O400" s="2" t="s">
        <v>19</v>
      </c>
      <c r="P400" s="2" t="s">
        <v>19</v>
      </c>
      <c r="Q400" s="2" t="s">
        <v>19</v>
      </c>
    </row>
    <row r="401" customFormat="false" ht="15" hidden="false" customHeight="false" outlineLevel="0" collapsed="false">
      <c r="A401" s="2" t="s">
        <v>416</v>
      </c>
      <c r="B401" s="2" t="s">
        <v>46</v>
      </c>
      <c r="C401" s="13" t="s">
        <v>1754</v>
      </c>
      <c r="D401" s="35" t="n">
        <v>16139</v>
      </c>
      <c r="E401" s="2" t="s">
        <v>667</v>
      </c>
      <c r="F401" s="36" t="n">
        <v>2.42307453993432</v>
      </c>
      <c r="G401" s="31" t="n">
        <v>36.8</v>
      </c>
      <c r="H401" s="37" t="n">
        <v>0.0807607312663229</v>
      </c>
      <c r="I401" s="31" t="n">
        <v>45.2</v>
      </c>
      <c r="J401" s="2" t="s">
        <v>2700</v>
      </c>
      <c r="K401" s="38" t="n">
        <v>0.0199914929817099</v>
      </c>
      <c r="L401" s="31" t="n">
        <v>3.4</v>
      </c>
      <c r="M401" s="39" t="s">
        <v>671</v>
      </c>
      <c r="N401" s="2" t="s">
        <v>19</v>
      </c>
      <c r="O401" s="2" t="s">
        <v>19</v>
      </c>
      <c r="P401" s="2" t="s">
        <v>19</v>
      </c>
      <c r="Q401" s="2" t="s">
        <v>19</v>
      </c>
    </row>
    <row r="402" customFormat="false" ht="15" hidden="false" customHeight="false" outlineLevel="0" collapsed="false">
      <c r="A402" s="2" t="s">
        <v>416</v>
      </c>
      <c r="B402" s="2" t="s">
        <v>47</v>
      </c>
      <c r="C402" s="13" t="s">
        <v>2674</v>
      </c>
      <c r="D402" s="35" t="n">
        <v>226881</v>
      </c>
      <c r="E402" s="2" t="s">
        <v>670</v>
      </c>
      <c r="F402" s="36" t="n">
        <v>0.234845579841415</v>
      </c>
      <c r="G402" s="31" t="n">
        <v>2.1</v>
      </c>
      <c r="H402" s="37" t="n">
        <v>0.066872002257124</v>
      </c>
      <c r="I402" s="31" t="n">
        <v>42.8</v>
      </c>
      <c r="J402" s="2" t="s">
        <v>2701</v>
      </c>
      <c r="K402" s="38" t="n">
        <v>0.164140480591497</v>
      </c>
      <c r="L402" s="31" t="n">
        <v>74.9</v>
      </c>
      <c r="M402" s="39" t="s">
        <v>671</v>
      </c>
      <c r="N402" s="2" t="s">
        <v>19</v>
      </c>
      <c r="O402" s="2" t="s">
        <v>19</v>
      </c>
      <c r="P402" s="2" t="s">
        <v>19</v>
      </c>
      <c r="Q402" s="2" t="s">
        <v>19</v>
      </c>
    </row>
    <row r="403" customFormat="false" ht="15" hidden="false" customHeight="false" outlineLevel="0" collapsed="false">
      <c r="A403" s="2" t="s">
        <v>1177</v>
      </c>
      <c r="B403" s="2" t="s">
        <v>45</v>
      </c>
      <c r="C403" s="13" t="s">
        <v>1178</v>
      </c>
      <c r="D403" s="35" t="n">
        <v>18329</v>
      </c>
      <c r="E403" s="2" t="s">
        <v>667</v>
      </c>
      <c r="F403" s="36" t="n">
        <v>0.414479786131267</v>
      </c>
      <c r="G403" s="31" t="n">
        <v>31.4</v>
      </c>
      <c r="H403" s="37" t="n">
        <v>0.184656153050672</v>
      </c>
      <c r="I403" s="31" t="n">
        <v>88.1</v>
      </c>
      <c r="J403" s="2" t="s">
        <v>2704</v>
      </c>
      <c r="K403" s="38" t="n">
        <v>0.124832214765101</v>
      </c>
      <c r="L403" s="31" t="n">
        <v>45.6</v>
      </c>
      <c r="M403" s="39" t="s">
        <v>671</v>
      </c>
      <c r="N403" s="2" t="s">
        <v>19</v>
      </c>
      <c r="O403" s="2" t="s">
        <v>19</v>
      </c>
      <c r="P403" s="2" t="s">
        <v>19</v>
      </c>
      <c r="Q403" s="2" t="s">
        <v>19</v>
      </c>
    </row>
    <row r="404" customFormat="false" ht="15" hidden="false" customHeight="false" outlineLevel="0" collapsed="false">
      <c r="A404" s="2" t="s">
        <v>1177</v>
      </c>
      <c r="B404" s="2" t="s">
        <v>46</v>
      </c>
      <c r="C404" s="15" t="s">
        <v>2805</v>
      </c>
      <c r="D404" s="44" t="n">
        <v>616125</v>
      </c>
      <c r="E404" s="2" t="s">
        <v>670</v>
      </c>
      <c r="F404" s="45" t="n">
        <v>4.72285494015013</v>
      </c>
      <c r="G404" s="31" t="n">
        <v>70.6</v>
      </c>
      <c r="H404" s="46" t="n">
        <v>0.10627612508439</v>
      </c>
      <c r="I404" s="31" t="n">
        <v>66.2</v>
      </c>
      <c r="J404" s="2" t="s">
        <v>2705</v>
      </c>
      <c r="K404" s="33"/>
      <c r="L404" s="31"/>
      <c r="M404" s="34" t="s">
        <v>668</v>
      </c>
      <c r="N404" s="2" t="s">
        <v>17</v>
      </c>
      <c r="O404" s="2" t="s">
        <v>17</v>
      </c>
      <c r="P404" s="2" t="s">
        <v>17</v>
      </c>
      <c r="Q404" s="2"/>
    </row>
    <row r="405" customFormat="false" ht="15" hidden="false" customHeight="false" outlineLevel="0" collapsed="false">
      <c r="A405" s="2" t="s">
        <v>1177</v>
      </c>
      <c r="B405" s="2" t="s">
        <v>47</v>
      </c>
      <c r="C405" s="13" t="s">
        <v>2321</v>
      </c>
      <c r="D405" s="35" t="n">
        <v>14933</v>
      </c>
      <c r="E405" s="2" t="s">
        <v>667</v>
      </c>
      <c r="F405" s="36" t="n">
        <v>1.19353110560504</v>
      </c>
      <c r="G405" s="31" t="n">
        <v>49.2</v>
      </c>
      <c r="H405" s="37" t="n">
        <v>0.0816311748515138</v>
      </c>
      <c r="I405" s="31" t="n">
        <v>45.7</v>
      </c>
      <c r="J405" s="2" t="s">
        <v>2697</v>
      </c>
      <c r="K405" s="38" t="n">
        <v>0.108391608391608</v>
      </c>
      <c r="L405" s="31" t="n">
        <v>58.9</v>
      </c>
      <c r="M405" s="39" t="s">
        <v>671</v>
      </c>
      <c r="N405" s="2" t="s">
        <v>19</v>
      </c>
      <c r="O405" s="2" t="s">
        <v>19</v>
      </c>
      <c r="P405" s="2" t="s">
        <v>19</v>
      </c>
      <c r="Q405" s="2" t="s">
        <v>19</v>
      </c>
    </row>
    <row r="406" customFormat="false" ht="15" hidden="false" customHeight="false" outlineLevel="0" collapsed="false">
      <c r="A406" s="2" t="s">
        <v>1669</v>
      </c>
      <c r="B406" s="2" t="s">
        <v>45</v>
      </c>
      <c r="C406" s="16"/>
      <c r="D406" s="29"/>
      <c r="E406" s="2"/>
      <c r="F406" s="30"/>
      <c r="G406" s="31"/>
      <c r="H406" s="32"/>
      <c r="I406" s="31"/>
      <c r="J406" s="2"/>
      <c r="K406" s="33"/>
      <c r="L406" s="31"/>
      <c r="M406" s="34" t="s">
        <v>668</v>
      </c>
      <c r="N406" s="2"/>
      <c r="O406" s="2"/>
      <c r="P406" s="2"/>
      <c r="Q406" s="2"/>
    </row>
    <row r="407" customFormat="false" ht="15" hidden="false" customHeight="false" outlineLevel="0" collapsed="false">
      <c r="A407" s="2" t="s">
        <v>1669</v>
      </c>
      <c r="B407" s="2" t="s">
        <v>46</v>
      </c>
      <c r="C407" s="14" t="s">
        <v>1670</v>
      </c>
      <c r="D407" s="40" t="n">
        <v>6830</v>
      </c>
      <c r="E407" s="2" t="s">
        <v>678</v>
      </c>
      <c r="F407" s="41" t="n">
        <v>3.29238653001464</v>
      </c>
      <c r="G407" s="31" t="n">
        <v>52.2</v>
      </c>
      <c r="H407" s="42" t="n">
        <v>0.0910543130990415</v>
      </c>
      <c r="I407" s="31" t="n">
        <v>39.6</v>
      </c>
      <c r="J407" s="2" t="s">
        <v>2720</v>
      </c>
      <c r="K407" s="43" t="n">
        <v>0.345703125</v>
      </c>
      <c r="L407" s="31" t="n">
        <v>95.9</v>
      </c>
      <c r="M407" s="39" t="s">
        <v>671</v>
      </c>
      <c r="N407" s="2" t="s">
        <v>21</v>
      </c>
      <c r="O407" s="2" t="s">
        <v>21</v>
      </c>
      <c r="P407" s="2" t="s">
        <v>21</v>
      </c>
      <c r="Q407" s="2" t="s">
        <v>21</v>
      </c>
    </row>
    <row r="408" customFormat="false" ht="15" hidden="false" customHeight="false" outlineLevel="0" collapsed="false">
      <c r="A408" s="2" t="s">
        <v>1669</v>
      </c>
      <c r="B408" s="2" t="s">
        <v>47</v>
      </c>
      <c r="C408" s="13" t="s">
        <v>2406</v>
      </c>
      <c r="D408" s="35" t="n">
        <v>411475</v>
      </c>
      <c r="E408" s="2" t="s">
        <v>670</v>
      </c>
      <c r="F408" s="36" t="n">
        <v>1.00714259675557</v>
      </c>
      <c r="G408" s="31" t="n">
        <v>37.8</v>
      </c>
      <c r="H408" s="37" t="n">
        <v>0.013006164572419</v>
      </c>
      <c r="I408" s="31" t="n">
        <v>19.3</v>
      </c>
      <c r="J408" s="2" t="s">
        <v>2701</v>
      </c>
      <c r="K408" s="38" t="n">
        <v>0.253351473320945</v>
      </c>
      <c r="L408" s="31" t="n">
        <v>93</v>
      </c>
      <c r="M408" s="39" t="s">
        <v>671</v>
      </c>
      <c r="N408" s="2" t="s">
        <v>19</v>
      </c>
      <c r="O408" s="2" t="s">
        <v>19</v>
      </c>
      <c r="P408" s="2" t="s">
        <v>19</v>
      </c>
      <c r="Q408" s="2" t="s">
        <v>19</v>
      </c>
    </row>
    <row r="409" customFormat="false" ht="15" hidden="false" customHeight="false" outlineLevel="0" collapsed="false">
      <c r="A409" s="2" t="s">
        <v>174</v>
      </c>
      <c r="B409" s="2" t="s">
        <v>46</v>
      </c>
      <c r="C409" s="13" t="s">
        <v>1496</v>
      </c>
      <c r="D409" s="35" t="n">
        <v>34833</v>
      </c>
      <c r="E409" s="2" t="s">
        <v>667</v>
      </c>
      <c r="F409" s="36" t="n">
        <v>6.16073838027158</v>
      </c>
      <c r="G409" s="31" t="n">
        <v>82</v>
      </c>
      <c r="H409" s="37" t="n">
        <v>-0.120978120978121</v>
      </c>
      <c r="I409" s="31" t="n">
        <v>1.2</v>
      </c>
      <c r="J409" s="2" t="s">
        <v>2700</v>
      </c>
      <c r="K409" s="38" t="n">
        <v>0.0833797327394209</v>
      </c>
      <c r="L409" s="31" t="n">
        <v>24.9</v>
      </c>
      <c r="M409" s="39" t="s">
        <v>671</v>
      </c>
      <c r="N409" s="2" t="s">
        <v>19</v>
      </c>
      <c r="O409" s="2" t="s">
        <v>19</v>
      </c>
      <c r="P409" s="2" t="s">
        <v>19</v>
      </c>
      <c r="Q409" s="2" t="s">
        <v>19</v>
      </c>
    </row>
    <row r="410" customFormat="false" ht="15" hidden="false" customHeight="false" outlineLevel="0" collapsed="false">
      <c r="A410" s="2" t="s">
        <v>174</v>
      </c>
      <c r="B410" s="2" t="s">
        <v>47</v>
      </c>
      <c r="C410" s="13" t="s">
        <v>2181</v>
      </c>
      <c r="D410" s="35" t="n">
        <v>33686</v>
      </c>
      <c r="E410" s="2" t="s">
        <v>667</v>
      </c>
      <c r="F410" s="36" t="n">
        <v>1.79516713174613</v>
      </c>
      <c r="G410" s="31" t="n">
        <v>67.9</v>
      </c>
      <c r="H410" s="37" t="n">
        <v>0.0523915148864382</v>
      </c>
      <c r="I410" s="31" t="n">
        <v>30.9</v>
      </c>
      <c r="J410" s="2" t="s">
        <v>2697</v>
      </c>
      <c r="K410" s="38" t="n">
        <v>0.0920692798541477</v>
      </c>
      <c r="L410" s="31" t="n">
        <v>50.1</v>
      </c>
      <c r="M410" s="39" t="s">
        <v>671</v>
      </c>
      <c r="N410" s="2" t="s">
        <v>19</v>
      </c>
      <c r="O410" s="2" t="s">
        <v>19</v>
      </c>
      <c r="P410" s="2" t="s">
        <v>19</v>
      </c>
      <c r="Q410" s="2" t="s">
        <v>19</v>
      </c>
    </row>
    <row r="411" customFormat="false" ht="15" hidden="false" customHeight="false" outlineLevel="0" collapsed="false">
      <c r="A411" s="2" t="s">
        <v>104</v>
      </c>
      <c r="B411" s="2" t="s">
        <v>47</v>
      </c>
      <c r="C411" s="13" t="s">
        <v>2014</v>
      </c>
      <c r="D411" s="35" t="n">
        <v>616713</v>
      </c>
      <c r="E411" s="2" t="s">
        <v>670</v>
      </c>
      <c r="F411" s="36" t="n">
        <v>3.52973911689878</v>
      </c>
      <c r="G411" s="31" t="n">
        <v>92.6</v>
      </c>
      <c r="H411" s="37" t="n">
        <v>0.141211542518347</v>
      </c>
      <c r="I411" s="31" t="n">
        <v>76.5</v>
      </c>
      <c r="J411" s="2" t="s">
        <v>2701</v>
      </c>
      <c r="K411" s="38" t="n">
        <v>0.0589646413740273</v>
      </c>
      <c r="L411" s="31" t="n">
        <v>35.6</v>
      </c>
      <c r="M411" s="39" t="s">
        <v>671</v>
      </c>
      <c r="N411" s="2" t="s">
        <v>19</v>
      </c>
      <c r="O411" s="2" t="s">
        <v>19</v>
      </c>
      <c r="P411" s="2" t="s">
        <v>19</v>
      </c>
      <c r="Q411" s="2" t="s">
        <v>19</v>
      </c>
    </row>
    <row r="412" customFormat="false" ht="15" hidden="false" customHeight="false" outlineLevel="0" collapsed="false">
      <c r="A412" s="2" t="s">
        <v>500</v>
      </c>
      <c r="B412" s="2" t="s">
        <v>46</v>
      </c>
      <c r="C412" s="14" t="s">
        <v>1756</v>
      </c>
      <c r="D412" s="40" t="n">
        <v>181060</v>
      </c>
      <c r="E412" s="2" t="s">
        <v>670</v>
      </c>
      <c r="F412" s="41" t="n">
        <v>2.40429691814868</v>
      </c>
      <c r="G412" s="31" t="n">
        <v>35.9</v>
      </c>
      <c r="H412" s="42" t="n">
        <v>0.184560026169447</v>
      </c>
      <c r="I412" s="31" t="n">
        <v>94.7</v>
      </c>
      <c r="J412" s="2" t="s">
        <v>2705</v>
      </c>
      <c r="K412" s="43" t="n">
        <v>0.104229912973082</v>
      </c>
      <c r="L412" s="31" t="n">
        <v>34.2</v>
      </c>
      <c r="M412" s="39" t="s">
        <v>671</v>
      </c>
      <c r="N412" s="2" t="s">
        <v>21</v>
      </c>
      <c r="O412" s="2" t="s">
        <v>21</v>
      </c>
      <c r="P412" s="2" t="s">
        <v>21</v>
      </c>
      <c r="Q412" s="2" t="s">
        <v>21</v>
      </c>
    </row>
    <row r="413" customFormat="false" ht="15" hidden="false" customHeight="false" outlineLevel="0" collapsed="false">
      <c r="A413" s="2" t="s">
        <v>2591</v>
      </c>
      <c r="B413" s="2" t="s">
        <v>45</v>
      </c>
      <c r="C413" s="16"/>
      <c r="D413" s="29"/>
      <c r="E413" s="2"/>
      <c r="F413" s="30"/>
      <c r="G413" s="31"/>
      <c r="H413" s="32"/>
      <c r="I413" s="31"/>
      <c r="J413" s="2"/>
      <c r="K413" s="33"/>
      <c r="L413" s="31"/>
      <c r="M413" s="34" t="s">
        <v>668</v>
      </c>
      <c r="N413" s="2"/>
      <c r="O413" s="2"/>
      <c r="P413" s="2"/>
      <c r="Q413" s="2"/>
    </row>
    <row r="414" customFormat="false" ht="15" hidden="false" customHeight="false" outlineLevel="0" collapsed="false">
      <c r="A414" s="2" t="s">
        <v>2591</v>
      </c>
      <c r="B414" s="2" t="s">
        <v>46</v>
      </c>
      <c r="C414" s="16"/>
      <c r="D414" s="29"/>
      <c r="E414" s="2"/>
      <c r="F414" s="30"/>
      <c r="G414" s="31"/>
      <c r="H414" s="32"/>
      <c r="I414" s="31"/>
      <c r="J414" s="2"/>
      <c r="K414" s="33"/>
      <c r="L414" s="31"/>
      <c r="M414" s="34" t="s">
        <v>668</v>
      </c>
      <c r="N414" s="2"/>
      <c r="O414" s="2"/>
      <c r="P414" s="2"/>
      <c r="Q414" s="2"/>
    </row>
    <row r="415" customFormat="false" ht="15" hidden="false" customHeight="false" outlineLevel="0" collapsed="false">
      <c r="A415" s="2" t="s">
        <v>2591</v>
      </c>
      <c r="B415" s="2" t="s">
        <v>47</v>
      </c>
      <c r="C415" s="13" t="s">
        <v>2592</v>
      </c>
      <c r="D415" s="35" t="n">
        <v>17069</v>
      </c>
      <c r="E415" s="2" t="s">
        <v>667</v>
      </c>
      <c r="F415" s="36" t="n">
        <v>0.569160466342492</v>
      </c>
      <c r="G415" s="31" t="n">
        <v>14.3</v>
      </c>
      <c r="H415" s="37" t="n">
        <v>0.138996396636861</v>
      </c>
      <c r="I415" s="31" t="n">
        <v>72</v>
      </c>
      <c r="J415" s="2" t="s">
        <v>2697</v>
      </c>
      <c r="K415" s="38" t="n">
        <v>0.0253521126760563</v>
      </c>
      <c r="L415" s="31" t="n">
        <v>15</v>
      </c>
      <c r="M415" s="39" t="s">
        <v>671</v>
      </c>
      <c r="N415" s="2" t="s">
        <v>19</v>
      </c>
      <c r="O415" s="2" t="s">
        <v>19</v>
      </c>
      <c r="P415" s="2" t="s">
        <v>19</v>
      </c>
      <c r="Q415" s="2" t="s">
        <v>19</v>
      </c>
    </row>
    <row r="416" customFormat="false" ht="15" hidden="false" customHeight="false" outlineLevel="0" collapsed="false">
      <c r="A416" s="2" t="s">
        <v>154</v>
      </c>
      <c r="B416" s="2" t="s">
        <v>47</v>
      </c>
      <c r="C416" s="13" t="s">
        <v>2114</v>
      </c>
      <c r="D416" s="35" t="n">
        <v>16359</v>
      </c>
      <c r="E416" s="2" t="s">
        <v>667</v>
      </c>
      <c r="F416" s="36" t="n">
        <v>2.18222385231371</v>
      </c>
      <c r="G416" s="31" t="n">
        <v>77.8</v>
      </c>
      <c r="H416" s="37" t="n">
        <v>0.230740294914234</v>
      </c>
      <c r="I416" s="31" t="n">
        <v>97.2</v>
      </c>
      <c r="J416" s="2" t="s">
        <v>2697</v>
      </c>
      <c r="K416" s="38" t="n">
        <v>0.114297764656263</v>
      </c>
      <c r="L416" s="31" t="n">
        <v>61</v>
      </c>
      <c r="M416" s="39" t="s">
        <v>671</v>
      </c>
      <c r="N416" s="2" t="s">
        <v>19</v>
      </c>
      <c r="O416" s="2" t="s">
        <v>19</v>
      </c>
      <c r="P416" s="2" t="s">
        <v>19</v>
      </c>
      <c r="Q416" s="2" t="s">
        <v>19</v>
      </c>
    </row>
    <row r="417" customFormat="false" ht="15" hidden="false" customHeight="false" outlineLevel="0" collapsed="false">
      <c r="A417" s="2" t="s">
        <v>288</v>
      </c>
      <c r="B417" s="2" t="s">
        <v>46</v>
      </c>
      <c r="C417" s="13" t="s">
        <v>1647</v>
      </c>
      <c r="D417" s="35" t="n">
        <v>4034</v>
      </c>
      <c r="E417" s="2" t="s">
        <v>678</v>
      </c>
      <c r="F417" s="36" t="n">
        <v>3.4727317798711</v>
      </c>
      <c r="G417" s="31" t="n">
        <v>54.5</v>
      </c>
      <c r="H417" s="37" t="n">
        <v>0.0402269210933471</v>
      </c>
      <c r="I417" s="31" t="n">
        <v>14.6</v>
      </c>
      <c r="J417" s="2" t="s">
        <v>2720</v>
      </c>
      <c r="K417" s="38" t="n">
        <v>0.113733905579399</v>
      </c>
      <c r="L417" s="31" t="n">
        <v>38.1</v>
      </c>
      <c r="M417" s="39" t="s">
        <v>671</v>
      </c>
      <c r="N417" s="2" t="s">
        <v>19</v>
      </c>
      <c r="O417" s="2" t="s">
        <v>19</v>
      </c>
      <c r="P417" s="2" t="s">
        <v>19</v>
      </c>
      <c r="Q417" s="2" t="s">
        <v>19</v>
      </c>
    </row>
    <row r="418" customFormat="false" ht="15" hidden="false" customHeight="false" outlineLevel="0" collapsed="false">
      <c r="A418" s="2" t="s">
        <v>288</v>
      </c>
      <c r="B418" s="2" t="s">
        <v>47</v>
      </c>
      <c r="C418" s="13" t="s">
        <v>2207</v>
      </c>
      <c r="D418" s="35" t="n">
        <v>29885</v>
      </c>
      <c r="E418" s="2" t="s">
        <v>667</v>
      </c>
      <c r="F418" s="36" t="n">
        <v>1.65849088171323</v>
      </c>
      <c r="G418" s="31" t="n">
        <v>64.4</v>
      </c>
      <c r="H418" s="37" t="n">
        <v>0.118366888705935</v>
      </c>
      <c r="I418" s="31" t="n">
        <v>64.2</v>
      </c>
      <c r="J418" s="2" t="s">
        <v>2697</v>
      </c>
      <c r="K418" s="38" t="n">
        <v>0.0490552325581395</v>
      </c>
      <c r="L418" s="31" t="n">
        <v>30.5</v>
      </c>
      <c r="M418" s="39" t="s">
        <v>671</v>
      </c>
      <c r="N418" s="2" t="s">
        <v>19</v>
      </c>
      <c r="O418" s="2" t="s">
        <v>19</v>
      </c>
      <c r="P418" s="2" t="s">
        <v>19</v>
      </c>
      <c r="Q418" s="2" t="s">
        <v>19</v>
      </c>
    </row>
    <row r="419" customFormat="false" ht="15" hidden="false" customHeight="false" outlineLevel="0" collapsed="false">
      <c r="A419" s="2" t="s">
        <v>1132</v>
      </c>
      <c r="B419" s="2" t="s">
        <v>45</v>
      </c>
      <c r="C419" s="13" t="s">
        <v>1133</v>
      </c>
      <c r="D419" s="35" t="n">
        <v>40418</v>
      </c>
      <c r="E419" s="2" t="s">
        <v>667</v>
      </c>
      <c r="F419" s="36" t="n">
        <v>0.479538819337919</v>
      </c>
      <c r="G419" s="31" t="n">
        <v>38.5</v>
      </c>
      <c r="H419" s="37" t="n">
        <v>0.157611341830159</v>
      </c>
      <c r="I419" s="31" t="n">
        <v>81</v>
      </c>
      <c r="J419" s="2" t="s">
        <v>2704</v>
      </c>
      <c r="K419" s="38" t="n">
        <v>0.223456790123457</v>
      </c>
      <c r="L419" s="31" t="n">
        <v>76.2</v>
      </c>
      <c r="M419" s="39" t="s">
        <v>671</v>
      </c>
      <c r="N419" s="2" t="s">
        <v>19</v>
      </c>
      <c r="O419" s="2" t="s">
        <v>19</v>
      </c>
      <c r="P419" s="2" t="s">
        <v>19</v>
      </c>
      <c r="Q419" s="2" t="s">
        <v>19</v>
      </c>
    </row>
    <row r="420" customFormat="false" ht="15" hidden="false" customHeight="false" outlineLevel="0" collapsed="false">
      <c r="A420" s="2" t="s">
        <v>1132</v>
      </c>
      <c r="B420" s="2" t="s">
        <v>46</v>
      </c>
      <c r="C420" s="15" t="s">
        <v>2806</v>
      </c>
      <c r="D420" s="44" t="n">
        <v>239333</v>
      </c>
      <c r="E420" s="2" t="s">
        <v>670</v>
      </c>
      <c r="F420" s="30"/>
      <c r="G420" s="31"/>
      <c r="H420" s="46" t="n">
        <v>0.0347924215041118</v>
      </c>
      <c r="I420" s="31" t="n">
        <v>23.2</v>
      </c>
      <c r="J420" s="2" t="s">
        <v>2705</v>
      </c>
      <c r="K420" s="33"/>
      <c r="L420" s="31"/>
      <c r="M420" s="34" t="s">
        <v>668</v>
      </c>
      <c r="N420" s="2" t="s">
        <v>17</v>
      </c>
      <c r="O420" s="2"/>
      <c r="P420" s="2" t="s">
        <v>17</v>
      </c>
      <c r="Q420" s="2"/>
    </row>
    <row r="421" customFormat="false" ht="15" hidden="false" customHeight="false" outlineLevel="0" collapsed="false">
      <c r="A421" s="2" t="s">
        <v>1132</v>
      </c>
      <c r="B421" s="2" t="s">
        <v>47</v>
      </c>
      <c r="C421" s="13" t="s">
        <v>1996</v>
      </c>
      <c r="D421" s="35" t="n">
        <v>204803</v>
      </c>
      <c r="E421" s="2" t="s">
        <v>670</v>
      </c>
      <c r="F421" s="36" t="n">
        <v>4.18560763270069</v>
      </c>
      <c r="G421" s="31" t="n">
        <v>95.4</v>
      </c>
      <c r="H421" s="37" t="n">
        <v>0.109796738936063</v>
      </c>
      <c r="I421" s="31" t="n">
        <v>63.9</v>
      </c>
      <c r="J421" s="2" t="s">
        <v>2701</v>
      </c>
      <c r="K421" s="38" t="n">
        <v>0.00406701048769513</v>
      </c>
      <c r="L421" s="31" t="n">
        <v>4</v>
      </c>
      <c r="M421" s="39" t="s">
        <v>671</v>
      </c>
      <c r="N421" s="2" t="s">
        <v>19</v>
      </c>
      <c r="O421" s="2" t="s">
        <v>19</v>
      </c>
      <c r="P421" s="2" t="s">
        <v>19</v>
      </c>
      <c r="Q421" s="2" t="s">
        <v>19</v>
      </c>
    </row>
    <row r="422" customFormat="false" ht="15" hidden="false" customHeight="false" outlineLevel="0" collapsed="false">
      <c r="A422" s="2" t="s">
        <v>1532</v>
      </c>
      <c r="B422" s="2" t="s">
        <v>45</v>
      </c>
      <c r="C422" s="14" t="s">
        <v>2807</v>
      </c>
      <c r="D422" s="40" t="n">
        <v>19780</v>
      </c>
      <c r="E422" s="2" t="s">
        <v>667</v>
      </c>
      <c r="F422" s="41" t="n">
        <v>1.06006066734075</v>
      </c>
      <c r="G422" s="31" t="n">
        <v>78.2</v>
      </c>
      <c r="H422" s="42" t="n">
        <v>0.0686115613182064</v>
      </c>
      <c r="I422" s="31" t="n">
        <v>36.1</v>
      </c>
      <c r="J422" s="2" t="s">
        <v>2704</v>
      </c>
      <c r="K422" s="33"/>
      <c r="L422" s="31"/>
      <c r="M422" s="34" t="s">
        <v>668</v>
      </c>
      <c r="N422" s="2" t="s">
        <v>21</v>
      </c>
      <c r="O422" s="2" t="s">
        <v>21</v>
      </c>
      <c r="P422" s="2" t="s">
        <v>21</v>
      </c>
      <c r="Q422" s="2"/>
    </row>
    <row r="423" customFormat="false" ht="15" hidden="false" customHeight="false" outlineLevel="0" collapsed="false">
      <c r="A423" s="2" t="s">
        <v>1532</v>
      </c>
      <c r="B423" s="2" t="s">
        <v>46</v>
      </c>
      <c r="C423" s="13" t="s">
        <v>1533</v>
      </c>
      <c r="D423" s="35" t="n">
        <v>39815</v>
      </c>
      <c r="E423" s="2" t="s">
        <v>667</v>
      </c>
      <c r="F423" s="36" t="n">
        <v>5.36325505462765</v>
      </c>
      <c r="G423" s="31" t="n">
        <v>76.1</v>
      </c>
      <c r="H423" s="37" t="n">
        <v>0.148863111726685</v>
      </c>
      <c r="I423" s="31" t="n">
        <v>79.3</v>
      </c>
      <c r="J423" s="2" t="s">
        <v>2700</v>
      </c>
      <c r="K423" s="38" t="n">
        <v>0.101191985797616</v>
      </c>
      <c r="L423" s="31" t="n">
        <v>33.2</v>
      </c>
      <c r="M423" s="39" t="s">
        <v>671</v>
      </c>
      <c r="N423" s="2" t="s">
        <v>19</v>
      </c>
      <c r="O423" s="2" t="s">
        <v>19</v>
      </c>
      <c r="P423" s="2" t="s">
        <v>19</v>
      </c>
      <c r="Q423" s="2" t="s">
        <v>19</v>
      </c>
    </row>
    <row r="424" customFormat="false" ht="15" hidden="false" customHeight="false" outlineLevel="0" collapsed="false">
      <c r="A424" s="2" t="s">
        <v>1532</v>
      </c>
      <c r="B424" s="2" t="s">
        <v>47</v>
      </c>
      <c r="C424" s="16"/>
      <c r="D424" s="29"/>
      <c r="E424" s="2"/>
      <c r="F424" s="30"/>
      <c r="G424" s="31"/>
      <c r="H424" s="32"/>
      <c r="I424" s="31"/>
      <c r="J424" s="2"/>
      <c r="K424" s="33"/>
      <c r="L424" s="31"/>
      <c r="M424" s="34" t="s">
        <v>668</v>
      </c>
      <c r="N424" s="2"/>
      <c r="O424" s="2"/>
      <c r="P424" s="2"/>
      <c r="Q424" s="2"/>
    </row>
    <row r="425" customFormat="false" ht="15" hidden="false" customHeight="false" outlineLevel="0" collapsed="false">
      <c r="A425" s="2" t="s">
        <v>248</v>
      </c>
      <c r="B425" s="2" t="s">
        <v>45</v>
      </c>
      <c r="C425" s="13" t="s">
        <v>825</v>
      </c>
      <c r="D425" s="35" t="n">
        <v>4928</v>
      </c>
      <c r="E425" s="2" t="s">
        <v>678</v>
      </c>
      <c r="F425" s="36" t="n">
        <v>1.08319805194805</v>
      </c>
      <c r="G425" s="31" t="n">
        <v>79.3</v>
      </c>
      <c r="H425" s="37" t="n">
        <v>0.0757476533507968</v>
      </c>
      <c r="I425" s="31" t="n">
        <v>46.3</v>
      </c>
      <c r="J425" s="2" t="s">
        <v>2713</v>
      </c>
      <c r="K425" s="43" t="n">
        <v>0.107843137254902</v>
      </c>
      <c r="L425" s="31" t="n">
        <v>39</v>
      </c>
      <c r="M425" s="39" t="s">
        <v>671</v>
      </c>
      <c r="N425" s="2" t="s">
        <v>19</v>
      </c>
      <c r="O425" s="2" t="s">
        <v>19</v>
      </c>
      <c r="P425" s="2" t="s">
        <v>19</v>
      </c>
      <c r="Q425" s="2" t="s">
        <v>21</v>
      </c>
    </row>
    <row r="426" customFormat="false" ht="15" hidden="false" customHeight="false" outlineLevel="0" collapsed="false">
      <c r="A426" s="2" t="s">
        <v>248</v>
      </c>
      <c r="B426" s="2" t="s">
        <v>47</v>
      </c>
      <c r="C426" s="14" t="s">
        <v>2311</v>
      </c>
      <c r="D426" s="40" t="n">
        <v>32630</v>
      </c>
      <c r="E426" s="2" t="s">
        <v>667</v>
      </c>
      <c r="F426" s="41" t="n">
        <v>1.24045357033405</v>
      </c>
      <c r="G426" s="31" t="n">
        <v>50.4</v>
      </c>
      <c r="H426" s="42" t="n">
        <v>-0.0133051103719383</v>
      </c>
      <c r="I426" s="31" t="n">
        <v>8.2</v>
      </c>
      <c r="J426" s="2" t="s">
        <v>2697</v>
      </c>
      <c r="K426" s="43" t="n">
        <v>0.0908543922984356</v>
      </c>
      <c r="L426" s="31" t="n">
        <v>49.3</v>
      </c>
      <c r="M426" s="39" t="s">
        <v>671</v>
      </c>
      <c r="N426" s="2" t="s">
        <v>21</v>
      </c>
      <c r="O426" s="2" t="s">
        <v>21</v>
      </c>
      <c r="P426" s="2" t="s">
        <v>21</v>
      </c>
      <c r="Q426" s="2" t="s">
        <v>21</v>
      </c>
    </row>
    <row r="427" customFormat="false" ht="15" hidden="false" customHeight="false" outlineLevel="0" collapsed="false">
      <c r="A427" s="2" t="s">
        <v>518</v>
      </c>
      <c r="B427" s="2" t="s">
        <v>45</v>
      </c>
      <c r="C427" s="13" t="s">
        <v>1301</v>
      </c>
      <c r="D427" s="35" t="n">
        <v>10608</v>
      </c>
      <c r="E427" s="2" t="s">
        <v>667</v>
      </c>
      <c r="F427" s="36" t="n">
        <v>0.244720965309201</v>
      </c>
      <c r="G427" s="31" t="n">
        <v>12.8</v>
      </c>
      <c r="H427" s="37" t="n">
        <v>0.0496734613101128</v>
      </c>
      <c r="I427" s="31" t="n">
        <v>27.4</v>
      </c>
      <c r="J427" s="2" t="s">
        <v>2704</v>
      </c>
      <c r="K427" s="38" t="n">
        <v>0.25</v>
      </c>
      <c r="L427" s="31" t="n">
        <v>81.2</v>
      </c>
      <c r="M427" s="39" t="s">
        <v>671</v>
      </c>
      <c r="N427" s="2" t="s">
        <v>19</v>
      </c>
      <c r="O427" s="2" t="s">
        <v>19</v>
      </c>
      <c r="P427" s="2" t="s">
        <v>19</v>
      </c>
      <c r="Q427" s="2" t="s">
        <v>19</v>
      </c>
    </row>
    <row r="428" customFormat="false" ht="15" hidden="false" customHeight="false" outlineLevel="0" collapsed="false">
      <c r="A428" s="2" t="s">
        <v>518</v>
      </c>
      <c r="B428" s="2" t="s">
        <v>46</v>
      </c>
      <c r="C428" s="14" t="s">
        <v>1649</v>
      </c>
      <c r="D428" s="40" t="n">
        <v>84850</v>
      </c>
      <c r="E428" s="2" t="s">
        <v>667</v>
      </c>
      <c r="F428" s="41" t="n">
        <v>3.44828520919269</v>
      </c>
      <c r="G428" s="31" t="n">
        <v>54.1</v>
      </c>
      <c r="H428" s="46" t="n">
        <v>-0.0467851513669221</v>
      </c>
      <c r="I428" s="31" t="n">
        <v>4.1</v>
      </c>
      <c r="J428" s="2" t="s">
        <v>2700</v>
      </c>
      <c r="K428" s="43" t="n">
        <v>0.0324220764866259</v>
      </c>
      <c r="L428" s="31" t="n">
        <v>7</v>
      </c>
      <c r="M428" s="39" t="s">
        <v>671</v>
      </c>
      <c r="N428" s="2" t="s">
        <v>21</v>
      </c>
      <c r="O428" s="2" t="s">
        <v>21</v>
      </c>
      <c r="P428" s="2" t="s">
        <v>17</v>
      </c>
      <c r="Q428" s="2" t="s">
        <v>21</v>
      </c>
    </row>
    <row r="429" customFormat="false" ht="15" hidden="false" customHeight="false" outlineLevel="0" collapsed="false">
      <c r="A429" s="2" t="s">
        <v>717</v>
      </c>
      <c r="B429" s="2" t="s">
        <v>45</v>
      </c>
      <c r="C429" s="13" t="s">
        <v>718</v>
      </c>
      <c r="D429" s="35" t="n">
        <v>28350</v>
      </c>
      <c r="E429" s="2" t="s">
        <v>667</v>
      </c>
      <c r="F429" s="36" t="n">
        <v>2.10126984126984</v>
      </c>
      <c r="G429" s="31" t="n">
        <v>94.2</v>
      </c>
      <c r="H429" s="37" t="n">
        <v>0.114956542258229</v>
      </c>
      <c r="I429" s="31" t="n">
        <v>60.7</v>
      </c>
      <c r="J429" s="2" t="s">
        <v>2704</v>
      </c>
      <c r="K429" s="43" t="n">
        <v>0.201818181818182</v>
      </c>
      <c r="L429" s="31" t="n">
        <v>71</v>
      </c>
      <c r="M429" s="39" t="s">
        <v>671</v>
      </c>
      <c r="N429" s="2" t="s">
        <v>19</v>
      </c>
      <c r="O429" s="2" t="s">
        <v>19</v>
      </c>
      <c r="P429" s="2" t="s">
        <v>19</v>
      </c>
      <c r="Q429" s="2" t="s">
        <v>21</v>
      </c>
    </row>
    <row r="430" customFormat="false" ht="15" hidden="false" customHeight="false" outlineLevel="0" collapsed="false">
      <c r="A430" s="2" t="s">
        <v>717</v>
      </c>
      <c r="B430" s="2" t="s">
        <v>46</v>
      </c>
      <c r="C430" s="14" t="s">
        <v>2808</v>
      </c>
      <c r="D430" s="40" t="n">
        <v>15280</v>
      </c>
      <c r="E430" s="2" t="s">
        <v>667</v>
      </c>
      <c r="F430" s="41" t="n">
        <v>2.29620418848168</v>
      </c>
      <c r="G430" s="31" t="n">
        <v>33.2</v>
      </c>
      <c r="H430" s="42" t="n">
        <v>0.166412213740458</v>
      </c>
      <c r="I430" s="31" t="n">
        <v>84.2</v>
      </c>
      <c r="J430" s="2" t="s">
        <v>2700</v>
      </c>
      <c r="K430" s="33"/>
      <c r="L430" s="31"/>
      <c r="M430" s="34" t="s">
        <v>668</v>
      </c>
      <c r="N430" s="2" t="s">
        <v>21</v>
      </c>
      <c r="O430" s="2" t="s">
        <v>21</v>
      </c>
      <c r="P430" s="2" t="s">
        <v>21</v>
      </c>
      <c r="Q430" s="2"/>
    </row>
    <row r="431" customFormat="false" ht="15" hidden="false" customHeight="false" outlineLevel="0" collapsed="false">
      <c r="A431" s="2" t="s">
        <v>717</v>
      </c>
      <c r="B431" s="2" t="s">
        <v>47</v>
      </c>
      <c r="C431" s="13" t="s">
        <v>2463</v>
      </c>
      <c r="D431" s="35" t="n">
        <v>54836</v>
      </c>
      <c r="E431" s="2" t="s">
        <v>667</v>
      </c>
      <c r="F431" s="36" t="n">
        <v>0.875647384929608</v>
      </c>
      <c r="G431" s="31" t="n">
        <v>30.4</v>
      </c>
      <c r="H431" s="37" t="n">
        <v>-0.0257785989660135</v>
      </c>
      <c r="I431" s="31" t="n">
        <v>6.7</v>
      </c>
      <c r="J431" s="2" t="s">
        <v>2697</v>
      </c>
      <c r="K431" s="38" t="n">
        <v>0.120977722772277</v>
      </c>
      <c r="L431" s="31" t="n">
        <v>63.4</v>
      </c>
      <c r="M431" s="39" t="s">
        <v>671</v>
      </c>
      <c r="N431" s="2" t="s">
        <v>19</v>
      </c>
      <c r="O431" s="2" t="s">
        <v>19</v>
      </c>
      <c r="P431" s="2" t="s">
        <v>19</v>
      </c>
      <c r="Q431" s="2" t="s">
        <v>19</v>
      </c>
    </row>
    <row r="432" customFormat="false" ht="15" hidden="false" customHeight="false" outlineLevel="0" collapsed="false">
      <c r="A432" s="2" t="s">
        <v>308</v>
      </c>
      <c r="B432" s="2" t="s">
        <v>45</v>
      </c>
      <c r="C432" s="14" t="s">
        <v>1148</v>
      </c>
      <c r="D432" s="40" t="n">
        <v>119110</v>
      </c>
      <c r="E432" s="2" t="s">
        <v>670</v>
      </c>
      <c r="F432" s="41" t="n">
        <v>0.443976156493997</v>
      </c>
      <c r="G432" s="31" t="n">
        <v>36.1</v>
      </c>
      <c r="H432" s="42" t="n">
        <v>0.004893275963891</v>
      </c>
      <c r="I432" s="31" t="n">
        <v>13</v>
      </c>
      <c r="J432" s="2" t="s">
        <v>2698</v>
      </c>
      <c r="K432" s="43" t="n">
        <v>0.0418443496801706</v>
      </c>
      <c r="L432" s="31" t="n">
        <v>10.5</v>
      </c>
      <c r="M432" s="39" t="s">
        <v>671</v>
      </c>
      <c r="N432" s="2" t="s">
        <v>21</v>
      </c>
      <c r="O432" s="2" t="s">
        <v>21</v>
      </c>
      <c r="P432" s="2" t="s">
        <v>21</v>
      </c>
      <c r="Q432" s="2" t="s">
        <v>21</v>
      </c>
    </row>
    <row r="433" customFormat="false" ht="15" hidden="false" customHeight="false" outlineLevel="0" collapsed="false">
      <c r="A433" s="2" t="s">
        <v>308</v>
      </c>
      <c r="B433" s="2" t="s">
        <v>46</v>
      </c>
      <c r="C433" s="14" t="s">
        <v>1716</v>
      </c>
      <c r="D433" s="40" t="n">
        <v>55580</v>
      </c>
      <c r="E433" s="2" t="s">
        <v>667</v>
      </c>
      <c r="F433" s="41" t="n">
        <v>2.74843468873696</v>
      </c>
      <c r="G433" s="31" t="n">
        <v>43.3</v>
      </c>
      <c r="H433" s="42" t="n">
        <v>-0.0903436988543372</v>
      </c>
      <c r="I433" s="31" t="n">
        <v>1.7</v>
      </c>
      <c r="J433" s="2" t="s">
        <v>2700</v>
      </c>
      <c r="K433" s="43" t="n">
        <v>0.255253015044138</v>
      </c>
      <c r="L433" s="31" t="n">
        <v>84.5</v>
      </c>
      <c r="M433" s="39" t="s">
        <v>671</v>
      </c>
      <c r="N433" s="2" t="s">
        <v>21</v>
      </c>
      <c r="O433" s="2" t="s">
        <v>21</v>
      </c>
      <c r="P433" s="2" t="s">
        <v>21</v>
      </c>
      <c r="Q433" s="2" t="s">
        <v>21</v>
      </c>
    </row>
    <row r="434" customFormat="false" ht="15" hidden="false" customHeight="false" outlineLevel="0" collapsed="false">
      <c r="A434" s="2" t="s">
        <v>308</v>
      </c>
      <c r="B434" s="2" t="s">
        <v>47</v>
      </c>
      <c r="C434" s="13" t="s">
        <v>2023</v>
      </c>
      <c r="D434" s="35" t="n">
        <v>78345</v>
      </c>
      <c r="E434" s="2" t="s">
        <v>667</v>
      </c>
      <c r="F434" s="36" t="n">
        <v>3.41855893803051</v>
      </c>
      <c r="G434" s="31" t="n">
        <v>91.6</v>
      </c>
      <c r="H434" s="37" t="n">
        <v>0.263058618688334</v>
      </c>
      <c r="I434" s="31" t="n">
        <v>99.6</v>
      </c>
      <c r="J434" s="2" t="s">
        <v>2697</v>
      </c>
      <c r="K434" s="38" t="n">
        <v>0.0942944994875299</v>
      </c>
      <c r="L434" s="31" t="n">
        <v>51.6</v>
      </c>
      <c r="M434" s="39" t="s">
        <v>671</v>
      </c>
      <c r="N434" s="2" t="s">
        <v>19</v>
      </c>
      <c r="O434" s="2" t="s">
        <v>19</v>
      </c>
      <c r="P434" s="2" t="s">
        <v>19</v>
      </c>
      <c r="Q434" s="2" t="s">
        <v>19</v>
      </c>
    </row>
    <row r="435" customFormat="false" ht="15" hidden="false" customHeight="false" outlineLevel="0" collapsed="false">
      <c r="A435" s="2" t="s">
        <v>1752</v>
      </c>
      <c r="B435" s="2" t="s">
        <v>45</v>
      </c>
      <c r="C435" s="14" t="s">
        <v>2809</v>
      </c>
      <c r="D435" s="40" t="n">
        <v>5830</v>
      </c>
      <c r="E435" s="2" t="s">
        <v>678</v>
      </c>
      <c r="F435" s="41" t="n">
        <v>0.292281303602058</v>
      </c>
      <c r="G435" s="31" t="n">
        <v>18.2</v>
      </c>
      <c r="H435" s="32"/>
      <c r="I435" s="31"/>
      <c r="J435" s="2"/>
      <c r="K435" s="43" t="n">
        <v>0.0984848484848485</v>
      </c>
      <c r="L435" s="31" t="n">
        <v>34.3</v>
      </c>
      <c r="M435" s="34" t="s">
        <v>668</v>
      </c>
      <c r="N435" s="2" t="s">
        <v>21</v>
      </c>
      <c r="O435" s="2" t="s">
        <v>21</v>
      </c>
      <c r="P435" s="2"/>
      <c r="Q435" s="2" t="s">
        <v>21</v>
      </c>
    </row>
    <row r="436" customFormat="false" ht="15" hidden="false" customHeight="false" outlineLevel="0" collapsed="false">
      <c r="A436" s="2" t="s">
        <v>1752</v>
      </c>
      <c r="B436" s="2" t="s">
        <v>46</v>
      </c>
      <c r="C436" s="14" t="s">
        <v>1753</v>
      </c>
      <c r="D436" s="40" t="n">
        <v>64980</v>
      </c>
      <c r="E436" s="2" t="s">
        <v>667</v>
      </c>
      <c r="F436" s="41" t="n">
        <v>2.45253924284395</v>
      </c>
      <c r="G436" s="31" t="n">
        <v>37.4</v>
      </c>
      <c r="H436" s="42" t="n">
        <v>0.0893545683151718</v>
      </c>
      <c r="I436" s="31" t="n">
        <v>49.4</v>
      </c>
      <c r="J436" s="2" t="s">
        <v>2700</v>
      </c>
      <c r="K436" s="43" t="n">
        <v>0.200371824003305</v>
      </c>
      <c r="L436" s="31" t="n">
        <v>71.5</v>
      </c>
      <c r="M436" s="39" t="s">
        <v>671</v>
      </c>
      <c r="N436" s="2" t="s">
        <v>21</v>
      </c>
      <c r="O436" s="2" t="s">
        <v>21</v>
      </c>
      <c r="P436" s="2" t="s">
        <v>21</v>
      </c>
      <c r="Q436" s="2" t="s">
        <v>21</v>
      </c>
    </row>
    <row r="437" customFormat="false" ht="15" hidden="false" customHeight="false" outlineLevel="0" collapsed="false">
      <c r="A437" s="2" t="s">
        <v>1752</v>
      </c>
      <c r="B437" s="2" t="s">
        <v>47</v>
      </c>
      <c r="C437" s="13" t="s">
        <v>2159</v>
      </c>
      <c r="D437" s="35" t="n">
        <v>678607</v>
      </c>
      <c r="E437" s="2" t="s">
        <v>670</v>
      </c>
      <c r="F437" s="36" t="n">
        <v>1.90606492417555</v>
      </c>
      <c r="G437" s="31" t="n">
        <v>70.5</v>
      </c>
      <c r="H437" s="42" t="n">
        <v>6.89369535204786</v>
      </c>
      <c r="I437" s="31" t="n">
        <v>99.4</v>
      </c>
      <c r="J437" s="2" t="s">
        <v>2701</v>
      </c>
      <c r="K437" s="38" t="n">
        <v>0.0765768675840386</v>
      </c>
      <c r="L437" s="31" t="n">
        <v>42.7</v>
      </c>
      <c r="M437" s="39" t="s">
        <v>671</v>
      </c>
      <c r="N437" s="2" t="s">
        <v>19</v>
      </c>
      <c r="O437" s="2" t="s">
        <v>19</v>
      </c>
      <c r="P437" s="2" t="s">
        <v>21</v>
      </c>
      <c r="Q437" s="2" t="s">
        <v>19</v>
      </c>
    </row>
    <row r="438" customFormat="false" ht="15" hidden="false" customHeight="false" outlineLevel="0" collapsed="false">
      <c r="A438" s="2" t="s">
        <v>238</v>
      </c>
      <c r="B438" s="2" t="s">
        <v>45</v>
      </c>
      <c r="C438" s="13" t="s">
        <v>926</v>
      </c>
      <c r="D438" s="35" t="n">
        <v>44080</v>
      </c>
      <c r="E438" s="2" t="s">
        <v>667</v>
      </c>
      <c r="F438" s="36" t="n">
        <v>0.823139745916515</v>
      </c>
      <c r="G438" s="31" t="n">
        <v>65.4</v>
      </c>
      <c r="H438" s="37" t="n">
        <v>-0.0151921358355675</v>
      </c>
      <c r="I438" s="31" t="n">
        <v>7.1</v>
      </c>
      <c r="J438" s="2" t="s">
        <v>2704</v>
      </c>
      <c r="K438" s="38" t="n">
        <v>0.182385575589459</v>
      </c>
      <c r="L438" s="31" t="n">
        <v>65.2</v>
      </c>
      <c r="M438" s="39" t="s">
        <v>671</v>
      </c>
      <c r="N438" s="2" t="s">
        <v>19</v>
      </c>
      <c r="O438" s="2" t="s">
        <v>19</v>
      </c>
      <c r="P438" s="2" t="s">
        <v>19</v>
      </c>
      <c r="Q438" s="2" t="s">
        <v>19</v>
      </c>
    </row>
    <row r="439" customFormat="false" ht="15" hidden="false" customHeight="false" outlineLevel="0" collapsed="false">
      <c r="A439" s="2" t="s">
        <v>2810</v>
      </c>
      <c r="B439" s="2" t="s">
        <v>46</v>
      </c>
      <c r="C439" s="16"/>
      <c r="D439" s="29"/>
      <c r="E439" s="2"/>
      <c r="F439" s="30"/>
      <c r="G439" s="31"/>
      <c r="H439" s="32"/>
      <c r="I439" s="31"/>
      <c r="J439" s="2"/>
      <c r="K439" s="33"/>
      <c r="L439" s="31"/>
      <c r="M439" s="34" t="s">
        <v>668</v>
      </c>
      <c r="N439" s="2"/>
      <c r="O439" s="2"/>
      <c r="P439" s="2"/>
      <c r="Q439" s="2"/>
    </row>
    <row r="440" customFormat="false" ht="15" hidden="false" customHeight="false" outlineLevel="0" collapsed="false">
      <c r="A440" s="2" t="s">
        <v>566</v>
      </c>
      <c r="B440" s="2" t="s">
        <v>46</v>
      </c>
      <c r="C440" s="13" t="s">
        <v>1695</v>
      </c>
      <c r="D440" s="35" t="n">
        <v>354232</v>
      </c>
      <c r="E440" s="2" t="s">
        <v>670</v>
      </c>
      <c r="F440" s="36" t="n">
        <v>2.95929503828</v>
      </c>
      <c r="G440" s="31" t="n">
        <v>46.9</v>
      </c>
      <c r="H440" s="37" t="n">
        <v>0.105299780020906</v>
      </c>
      <c r="I440" s="31" t="n">
        <v>65.6</v>
      </c>
      <c r="J440" s="2" t="s">
        <v>2705</v>
      </c>
      <c r="K440" s="38" t="n">
        <v>0.17269525875137</v>
      </c>
      <c r="L440" s="31" t="n">
        <v>64.8</v>
      </c>
      <c r="M440" s="39" t="s">
        <v>671</v>
      </c>
      <c r="N440" s="2" t="s">
        <v>19</v>
      </c>
      <c r="O440" s="2" t="s">
        <v>19</v>
      </c>
      <c r="P440" s="2" t="s">
        <v>19</v>
      </c>
      <c r="Q440" s="2" t="s">
        <v>19</v>
      </c>
    </row>
    <row r="441" customFormat="false" ht="15" hidden="false" customHeight="false" outlineLevel="0" collapsed="false">
      <c r="A441" s="2" t="s">
        <v>566</v>
      </c>
      <c r="B441" s="2" t="s">
        <v>47</v>
      </c>
      <c r="C441" s="13" t="s">
        <v>2641</v>
      </c>
      <c r="D441" s="35" t="n">
        <v>17012</v>
      </c>
      <c r="E441" s="2" t="s">
        <v>667</v>
      </c>
      <c r="F441" s="36" t="n">
        <v>0.346578885492594</v>
      </c>
      <c r="G441" s="31" t="n">
        <v>6.3</v>
      </c>
      <c r="H441" s="37" t="n">
        <v>0.0254988245222738</v>
      </c>
      <c r="I441" s="31" t="n">
        <v>18.8</v>
      </c>
      <c r="J441" s="2" t="s">
        <v>2697</v>
      </c>
      <c r="K441" s="38" t="n">
        <v>0</v>
      </c>
      <c r="L441" s="31" t="n">
        <v>0.7</v>
      </c>
      <c r="M441" s="39" t="s">
        <v>671</v>
      </c>
      <c r="N441" s="2" t="s">
        <v>19</v>
      </c>
      <c r="O441" s="2" t="s">
        <v>19</v>
      </c>
      <c r="P441" s="2" t="s">
        <v>19</v>
      </c>
      <c r="Q441" s="2" t="s">
        <v>19</v>
      </c>
    </row>
    <row r="442" customFormat="false" ht="15" hidden="false" customHeight="false" outlineLevel="0" collapsed="false">
      <c r="A442" s="2" t="s">
        <v>855</v>
      </c>
      <c r="B442" s="2" t="s">
        <v>45</v>
      </c>
      <c r="C442" s="14" t="s">
        <v>856</v>
      </c>
      <c r="D442" s="40" t="n">
        <v>122120</v>
      </c>
      <c r="E442" s="2" t="s">
        <v>670</v>
      </c>
      <c r="F442" s="41" t="n">
        <v>0.966680314444808</v>
      </c>
      <c r="G442" s="31" t="n">
        <v>74.6</v>
      </c>
      <c r="H442" s="42" t="n">
        <v>0.130112900240607</v>
      </c>
      <c r="I442" s="31" t="n">
        <v>69.6</v>
      </c>
      <c r="J442" s="2" t="s">
        <v>2698</v>
      </c>
      <c r="K442" s="43" t="n">
        <v>0.268305041803902</v>
      </c>
      <c r="L442" s="31" t="n">
        <v>84.8</v>
      </c>
      <c r="M442" s="39" t="s">
        <v>671</v>
      </c>
      <c r="N442" s="2" t="s">
        <v>21</v>
      </c>
      <c r="O442" s="2" t="s">
        <v>21</v>
      </c>
      <c r="P442" s="2" t="s">
        <v>21</v>
      </c>
      <c r="Q442" s="2" t="s">
        <v>21</v>
      </c>
    </row>
    <row r="443" customFormat="false" ht="15" hidden="false" customHeight="false" outlineLevel="0" collapsed="false">
      <c r="A443" s="2" t="s">
        <v>855</v>
      </c>
      <c r="B443" s="2" t="s">
        <v>46</v>
      </c>
      <c r="C443" s="16"/>
      <c r="D443" s="29"/>
      <c r="E443" s="2"/>
      <c r="F443" s="30"/>
      <c r="G443" s="31"/>
      <c r="H443" s="32"/>
      <c r="I443" s="31"/>
      <c r="J443" s="2"/>
      <c r="K443" s="33"/>
      <c r="L443" s="31"/>
      <c r="M443" s="34" t="s">
        <v>668</v>
      </c>
      <c r="N443" s="2"/>
      <c r="O443" s="2"/>
      <c r="P443" s="2"/>
      <c r="Q443" s="2"/>
    </row>
    <row r="444" customFormat="false" ht="15" hidden="false" customHeight="false" outlineLevel="0" collapsed="false">
      <c r="A444" s="2" t="s">
        <v>855</v>
      </c>
      <c r="B444" s="2" t="s">
        <v>47</v>
      </c>
      <c r="C444" s="13" t="s">
        <v>2189</v>
      </c>
      <c r="D444" s="35" t="n">
        <v>20005</v>
      </c>
      <c r="E444" s="2" t="s">
        <v>667</v>
      </c>
      <c r="F444" s="36" t="n">
        <v>1.73341664583854</v>
      </c>
      <c r="G444" s="31" t="n">
        <v>66.7</v>
      </c>
      <c r="H444" s="37" t="n">
        <v>0.119849977608598</v>
      </c>
      <c r="I444" s="31" t="n">
        <v>65.2</v>
      </c>
      <c r="J444" s="2" t="s">
        <v>2697</v>
      </c>
      <c r="K444" s="38" t="n">
        <v>0.221343873517787</v>
      </c>
      <c r="L444" s="31" t="n">
        <v>87.2</v>
      </c>
      <c r="M444" s="39" t="s">
        <v>671</v>
      </c>
      <c r="N444" s="2" t="s">
        <v>19</v>
      </c>
      <c r="O444" s="2" t="s">
        <v>19</v>
      </c>
      <c r="P444" s="2" t="s">
        <v>19</v>
      </c>
      <c r="Q444" s="2" t="s">
        <v>19</v>
      </c>
    </row>
    <row r="445" customFormat="false" ht="15" hidden="false" customHeight="false" outlineLevel="0" collapsed="false">
      <c r="A445" s="2" t="s">
        <v>392</v>
      </c>
      <c r="B445" s="2" t="s">
        <v>45</v>
      </c>
      <c r="C445" s="13" t="s">
        <v>1058</v>
      </c>
      <c r="D445" s="40" t="n">
        <v>64830</v>
      </c>
      <c r="E445" s="2" t="s">
        <v>667</v>
      </c>
      <c r="F445" s="41" t="n">
        <v>0.586302637667746</v>
      </c>
      <c r="G445" s="31" t="n">
        <v>47.6</v>
      </c>
      <c r="H445" s="42" t="n">
        <v>0.0514109633473889</v>
      </c>
      <c r="I445" s="31" t="n">
        <v>29</v>
      </c>
      <c r="J445" s="2" t="s">
        <v>2704</v>
      </c>
      <c r="K445" s="38" t="n">
        <v>0.353504404442742</v>
      </c>
      <c r="L445" s="31" t="n">
        <v>96.4</v>
      </c>
      <c r="M445" s="39" t="s">
        <v>671</v>
      </c>
      <c r="N445" s="2" t="s">
        <v>21</v>
      </c>
      <c r="O445" s="2" t="s">
        <v>21</v>
      </c>
      <c r="P445" s="2" t="s">
        <v>21</v>
      </c>
      <c r="Q445" s="2" t="s">
        <v>19</v>
      </c>
    </row>
    <row r="446" customFormat="false" ht="15" hidden="false" customHeight="false" outlineLevel="0" collapsed="false">
      <c r="A446" s="2" t="s">
        <v>2811</v>
      </c>
      <c r="B446" s="2" t="s">
        <v>46</v>
      </c>
      <c r="C446" s="16"/>
      <c r="D446" s="29"/>
      <c r="E446" s="2"/>
      <c r="F446" s="30"/>
      <c r="G446" s="31"/>
      <c r="H446" s="32"/>
      <c r="I446" s="31"/>
      <c r="J446" s="2"/>
      <c r="K446" s="33"/>
      <c r="L446" s="31"/>
      <c r="M446" s="34" t="s">
        <v>668</v>
      </c>
      <c r="N446" s="2"/>
      <c r="O446" s="2"/>
      <c r="P446" s="2"/>
      <c r="Q446" s="2"/>
    </row>
    <row r="447" customFormat="false" ht="15" hidden="false" customHeight="false" outlineLevel="0" collapsed="false">
      <c r="A447" s="2" t="s">
        <v>348</v>
      </c>
      <c r="B447" s="2" t="s">
        <v>45</v>
      </c>
      <c r="C447" s="14" t="s">
        <v>1004</v>
      </c>
      <c r="D447" s="40" t="n">
        <v>23710</v>
      </c>
      <c r="E447" s="2" t="s">
        <v>667</v>
      </c>
      <c r="F447" s="41" t="n">
        <v>0.652256431885281</v>
      </c>
      <c r="G447" s="31" t="n">
        <v>54.5</v>
      </c>
      <c r="H447" s="42" t="n">
        <v>0.300603400987383</v>
      </c>
      <c r="I447" s="31" t="n">
        <v>100</v>
      </c>
      <c r="J447" s="2" t="s">
        <v>2704</v>
      </c>
      <c r="K447" s="43" t="n">
        <v>0.111111111111111</v>
      </c>
      <c r="L447" s="31" t="n">
        <v>40.3</v>
      </c>
      <c r="M447" s="39" t="s">
        <v>671</v>
      </c>
      <c r="N447" s="2" t="s">
        <v>21</v>
      </c>
      <c r="O447" s="2" t="s">
        <v>21</v>
      </c>
      <c r="P447" s="2" t="s">
        <v>21</v>
      </c>
      <c r="Q447" s="2" t="s">
        <v>21</v>
      </c>
    </row>
    <row r="448" customFormat="false" ht="15" hidden="false" customHeight="false" outlineLevel="0" collapsed="false">
      <c r="A448" s="2" t="s">
        <v>348</v>
      </c>
      <c r="B448" s="2" t="s">
        <v>46</v>
      </c>
      <c r="C448" s="14" t="s">
        <v>1676</v>
      </c>
      <c r="D448" s="40" t="n">
        <v>32640</v>
      </c>
      <c r="E448" s="2" t="s">
        <v>667</v>
      </c>
      <c r="F448" s="41" t="n">
        <v>3.14736519607843</v>
      </c>
      <c r="G448" s="31" t="n">
        <v>50.5</v>
      </c>
      <c r="H448" s="42" t="n">
        <v>0.0378378378378378</v>
      </c>
      <c r="I448" s="31" t="n">
        <v>24.1</v>
      </c>
      <c r="J448" s="2" t="s">
        <v>2700</v>
      </c>
      <c r="K448" s="43" t="n">
        <v>0.0911056511056511</v>
      </c>
      <c r="L448" s="31" t="n">
        <v>28.2</v>
      </c>
      <c r="M448" s="39" t="s">
        <v>671</v>
      </c>
      <c r="N448" s="2" t="s">
        <v>21</v>
      </c>
      <c r="O448" s="2" t="s">
        <v>21</v>
      </c>
      <c r="P448" s="2" t="s">
        <v>21</v>
      </c>
      <c r="Q448" s="2" t="s">
        <v>21</v>
      </c>
    </row>
    <row r="449" customFormat="false" ht="15" hidden="false" customHeight="false" outlineLevel="0" collapsed="false">
      <c r="A449" s="2" t="s">
        <v>592</v>
      </c>
      <c r="B449" s="2" t="s">
        <v>45</v>
      </c>
      <c r="C449" s="13" t="s">
        <v>1195</v>
      </c>
      <c r="D449" s="35" t="n">
        <v>345610</v>
      </c>
      <c r="E449" s="2" t="s">
        <v>670</v>
      </c>
      <c r="F449" s="36" t="n">
        <v>0.395182431063916</v>
      </c>
      <c r="G449" s="31" t="n">
        <v>28.8</v>
      </c>
      <c r="H449" s="37" t="n">
        <v>0.146579437143985</v>
      </c>
      <c r="I449" s="31" t="n">
        <v>77.5</v>
      </c>
      <c r="J449" s="2" t="s">
        <v>2698</v>
      </c>
      <c r="K449" s="38" t="n">
        <v>0.401418115279049</v>
      </c>
      <c r="L449" s="31" t="n">
        <v>98.6</v>
      </c>
      <c r="M449" s="39" t="s">
        <v>671</v>
      </c>
      <c r="N449" s="2" t="s">
        <v>19</v>
      </c>
      <c r="O449" s="2" t="s">
        <v>19</v>
      </c>
      <c r="P449" s="2" t="s">
        <v>19</v>
      </c>
      <c r="Q449" s="2" t="s">
        <v>19</v>
      </c>
    </row>
    <row r="450" customFormat="false" ht="15" hidden="false" customHeight="false" outlineLevel="0" collapsed="false">
      <c r="A450" s="2" t="s">
        <v>592</v>
      </c>
      <c r="B450" s="2" t="s">
        <v>46</v>
      </c>
      <c r="C450" s="14" t="s">
        <v>1913</v>
      </c>
      <c r="D450" s="40" t="n">
        <v>11020</v>
      </c>
      <c r="E450" s="2" t="s">
        <v>667</v>
      </c>
      <c r="F450" s="41" t="n">
        <v>1.19736842105263</v>
      </c>
      <c r="G450" s="31" t="n">
        <v>8.7</v>
      </c>
      <c r="H450" s="46" t="n">
        <v>0.00647279549718574</v>
      </c>
      <c r="I450" s="31" t="n">
        <v>12.9</v>
      </c>
      <c r="J450" s="2" t="s">
        <v>2700</v>
      </c>
      <c r="K450" s="43" t="n">
        <v>0.108823529411765</v>
      </c>
      <c r="L450" s="31" t="n">
        <v>36</v>
      </c>
      <c r="M450" s="39" t="s">
        <v>671</v>
      </c>
      <c r="N450" s="2" t="s">
        <v>21</v>
      </c>
      <c r="O450" s="2" t="s">
        <v>21</v>
      </c>
      <c r="P450" s="2" t="s">
        <v>17</v>
      </c>
      <c r="Q450" s="2" t="s">
        <v>21</v>
      </c>
    </row>
    <row r="451" customFormat="false" ht="15" hidden="false" customHeight="false" outlineLevel="0" collapsed="false">
      <c r="A451" s="2" t="s">
        <v>592</v>
      </c>
      <c r="B451" s="2" t="s">
        <v>47</v>
      </c>
      <c r="C451" s="14" t="s">
        <v>2486</v>
      </c>
      <c r="D451" s="40" t="n">
        <v>85510</v>
      </c>
      <c r="E451" s="2" t="s">
        <v>667</v>
      </c>
      <c r="F451" s="41" t="n">
        <v>0.827996725529178</v>
      </c>
      <c r="G451" s="31" t="n">
        <v>27.8</v>
      </c>
      <c r="H451" s="42" t="n">
        <v>0.098535457348407</v>
      </c>
      <c r="I451" s="31" t="n">
        <v>53.9</v>
      </c>
      <c r="J451" s="2" t="s">
        <v>2697</v>
      </c>
      <c r="K451" s="43" t="n">
        <v>0.146439896223696</v>
      </c>
      <c r="L451" s="31" t="n">
        <v>70.3</v>
      </c>
      <c r="M451" s="39" t="s">
        <v>671</v>
      </c>
      <c r="N451" s="2" t="s">
        <v>21</v>
      </c>
      <c r="O451" s="2" t="s">
        <v>21</v>
      </c>
      <c r="P451" s="2" t="s">
        <v>21</v>
      </c>
      <c r="Q451" s="2" t="s">
        <v>21</v>
      </c>
    </row>
    <row r="452" customFormat="false" ht="15" hidden="false" customHeight="false" outlineLevel="0" collapsed="false">
      <c r="A452" s="2" t="s">
        <v>2812</v>
      </c>
      <c r="B452" s="2" t="s">
        <v>45</v>
      </c>
      <c r="C452" s="14" t="s">
        <v>2813</v>
      </c>
      <c r="D452" s="40" t="n">
        <v>5050</v>
      </c>
      <c r="E452" s="2" t="s">
        <v>678</v>
      </c>
      <c r="F452" s="41" t="n">
        <v>0.824356435643564</v>
      </c>
      <c r="G452" s="31" t="n">
        <v>65.8</v>
      </c>
      <c r="H452" s="42" t="n">
        <v>0.0907127429805616</v>
      </c>
      <c r="I452" s="31" t="n">
        <v>57.4</v>
      </c>
      <c r="J452" s="2" t="s">
        <v>2713</v>
      </c>
      <c r="K452" s="33"/>
      <c r="L452" s="31"/>
      <c r="M452" s="34" t="s">
        <v>668</v>
      </c>
      <c r="N452" s="2" t="s">
        <v>21</v>
      </c>
      <c r="O452" s="2" t="s">
        <v>21</v>
      </c>
      <c r="P452" s="2" t="s">
        <v>21</v>
      </c>
      <c r="Q452" s="2"/>
    </row>
    <row r="453" customFormat="false" ht="15" hidden="false" customHeight="false" outlineLevel="0" collapsed="false">
      <c r="A453" s="2" t="s">
        <v>2812</v>
      </c>
      <c r="B453" s="2" t="s">
        <v>47</v>
      </c>
      <c r="C453" s="13" t="s">
        <v>2814</v>
      </c>
      <c r="D453" s="35" t="n">
        <v>39362</v>
      </c>
      <c r="E453" s="2" t="s">
        <v>667</v>
      </c>
      <c r="F453" s="36" t="n">
        <v>2.83748285148112</v>
      </c>
      <c r="G453" s="31" t="n">
        <v>87.6</v>
      </c>
      <c r="H453" s="37" t="n">
        <v>0.0401120388965226</v>
      </c>
      <c r="I453" s="31" t="n">
        <v>27</v>
      </c>
      <c r="J453" s="2" t="s">
        <v>2697</v>
      </c>
      <c r="K453" s="33"/>
      <c r="L453" s="31"/>
      <c r="M453" s="34" t="s">
        <v>668</v>
      </c>
      <c r="N453" s="2" t="s">
        <v>19</v>
      </c>
      <c r="O453" s="2" t="s">
        <v>19</v>
      </c>
      <c r="P453" s="2" t="s">
        <v>19</v>
      </c>
      <c r="Q453" s="2"/>
    </row>
    <row r="454" customFormat="false" ht="15" hidden="false" customHeight="false" outlineLevel="0" collapsed="false">
      <c r="A454" s="2" t="s">
        <v>502</v>
      </c>
      <c r="B454" s="2" t="s">
        <v>47</v>
      </c>
      <c r="C454" s="14" t="s">
        <v>2423</v>
      </c>
      <c r="D454" s="35" t="n">
        <v>22720</v>
      </c>
      <c r="E454" s="2" t="s">
        <v>667</v>
      </c>
      <c r="F454" s="36" t="n">
        <v>0.945774647887324</v>
      </c>
      <c r="G454" s="31" t="n">
        <v>35.4</v>
      </c>
      <c r="H454" s="37" t="n">
        <v>0.198691569061939</v>
      </c>
      <c r="I454" s="31" t="n">
        <v>93.3</v>
      </c>
      <c r="J454" s="2" t="s">
        <v>2697</v>
      </c>
      <c r="K454" s="38" t="n">
        <v>0.0970724191063174</v>
      </c>
      <c r="L454" s="31" t="n">
        <v>53.1</v>
      </c>
      <c r="M454" s="39" t="s">
        <v>671</v>
      </c>
      <c r="N454" s="2" t="s">
        <v>19</v>
      </c>
      <c r="O454" s="2" t="s">
        <v>19</v>
      </c>
      <c r="P454" s="2" t="s">
        <v>19</v>
      </c>
      <c r="Q454" s="2" t="s">
        <v>19</v>
      </c>
    </row>
    <row r="455" customFormat="false" ht="15" hidden="false" customHeight="false" outlineLevel="0" collapsed="false">
      <c r="A455" s="2" t="s">
        <v>620</v>
      </c>
      <c r="B455" s="2" t="s">
        <v>47</v>
      </c>
      <c r="C455" s="13" t="s">
        <v>2583</v>
      </c>
      <c r="D455" s="35" t="n">
        <v>38165</v>
      </c>
      <c r="E455" s="2" t="s">
        <v>667</v>
      </c>
      <c r="F455" s="36" t="n">
        <v>0.575946547884187</v>
      </c>
      <c r="G455" s="31" t="n">
        <v>15.2</v>
      </c>
      <c r="H455" s="37" t="n">
        <v>-0.0448243067374112</v>
      </c>
      <c r="I455" s="31" t="n">
        <v>2.8</v>
      </c>
      <c r="J455" s="2" t="s">
        <v>2697</v>
      </c>
      <c r="K455" s="38" t="n">
        <v>0.172914147521161</v>
      </c>
      <c r="L455" s="31" t="n">
        <v>77.7</v>
      </c>
      <c r="M455" s="39" t="s">
        <v>671</v>
      </c>
      <c r="N455" s="2" t="s">
        <v>19</v>
      </c>
      <c r="O455" s="2" t="s">
        <v>19</v>
      </c>
      <c r="P455" s="2" t="s">
        <v>19</v>
      </c>
      <c r="Q455" s="2" t="s">
        <v>19</v>
      </c>
    </row>
    <row r="456" customFormat="false" ht="15" hidden="false" customHeight="false" outlineLevel="0" collapsed="false">
      <c r="A456" s="2" t="s">
        <v>1808</v>
      </c>
      <c r="B456" s="2" t="s">
        <v>45</v>
      </c>
      <c r="C456" s="16"/>
      <c r="D456" s="29"/>
      <c r="E456" s="2"/>
      <c r="F456" s="30"/>
      <c r="G456" s="31"/>
      <c r="H456" s="32"/>
      <c r="I456" s="31"/>
      <c r="J456" s="2"/>
      <c r="K456" s="33"/>
      <c r="L456" s="31"/>
      <c r="M456" s="34" t="s">
        <v>668</v>
      </c>
      <c r="N456" s="2"/>
      <c r="O456" s="2"/>
      <c r="P456" s="2"/>
      <c r="Q456" s="2"/>
    </row>
    <row r="457" customFormat="false" ht="15" hidden="false" customHeight="false" outlineLevel="0" collapsed="false">
      <c r="A457" s="2" t="s">
        <v>1808</v>
      </c>
      <c r="B457" s="2" t="s">
        <v>46</v>
      </c>
      <c r="C457" s="14" t="s">
        <v>1809</v>
      </c>
      <c r="D457" s="40" t="n">
        <v>64240</v>
      </c>
      <c r="E457" s="2" t="s">
        <v>667</v>
      </c>
      <c r="F457" s="41" t="n">
        <v>2.06966064757161</v>
      </c>
      <c r="G457" s="31" t="n">
        <v>27.9</v>
      </c>
      <c r="H457" s="42" t="n">
        <v>0.0811174688657018</v>
      </c>
      <c r="I457" s="31" t="n">
        <v>46.1</v>
      </c>
      <c r="J457" s="2" t="s">
        <v>2700</v>
      </c>
      <c r="K457" s="43" t="n">
        <v>0.104293495674463</v>
      </c>
      <c r="L457" s="31" t="n">
        <v>34.5</v>
      </c>
      <c r="M457" s="39" t="s">
        <v>671</v>
      </c>
      <c r="N457" s="2" t="s">
        <v>21</v>
      </c>
      <c r="O457" s="2" t="s">
        <v>21</v>
      </c>
      <c r="P457" s="2" t="s">
        <v>21</v>
      </c>
      <c r="Q457" s="2" t="s">
        <v>21</v>
      </c>
    </row>
    <row r="458" customFormat="false" ht="15" hidden="false" customHeight="false" outlineLevel="0" collapsed="false">
      <c r="A458" s="2" t="s">
        <v>1808</v>
      </c>
      <c r="B458" s="2" t="s">
        <v>47</v>
      </c>
      <c r="C458" s="13" t="s">
        <v>2326</v>
      </c>
      <c r="D458" s="35" t="n">
        <v>5805</v>
      </c>
      <c r="E458" s="2" t="s">
        <v>678</v>
      </c>
      <c r="F458" s="36" t="n">
        <v>1.18397932816538</v>
      </c>
      <c r="G458" s="31" t="n">
        <v>48.5</v>
      </c>
      <c r="H458" s="37" t="n">
        <v>0.0440647482014389</v>
      </c>
      <c r="I458" s="31" t="n">
        <v>26.7</v>
      </c>
      <c r="J458" s="2" t="s">
        <v>2706</v>
      </c>
      <c r="K458" s="38" t="n">
        <v>0.169014084507042</v>
      </c>
      <c r="L458" s="31" t="n">
        <v>76.6</v>
      </c>
      <c r="M458" s="39" t="s">
        <v>671</v>
      </c>
      <c r="N458" s="2" t="s">
        <v>19</v>
      </c>
      <c r="O458" s="2" t="s">
        <v>19</v>
      </c>
      <c r="P458" s="2" t="s">
        <v>19</v>
      </c>
      <c r="Q458" s="2" t="s">
        <v>19</v>
      </c>
    </row>
    <row r="459" customFormat="false" ht="15" hidden="false" customHeight="false" outlineLevel="0" collapsed="false">
      <c r="A459" s="2" t="s">
        <v>945</v>
      </c>
      <c r="B459" s="2" t="s">
        <v>45</v>
      </c>
      <c r="C459" s="13" t="s">
        <v>946</v>
      </c>
      <c r="D459" s="35" t="n">
        <v>58894</v>
      </c>
      <c r="E459" s="2" t="s">
        <v>667</v>
      </c>
      <c r="F459" s="36" t="n">
        <v>0.775410058749618</v>
      </c>
      <c r="G459" s="31" t="n">
        <v>63.2</v>
      </c>
      <c r="H459" s="37" t="n">
        <v>0.0737087746804981</v>
      </c>
      <c r="I459" s="31" t="n">
        <v>40.9</v>
      </c>
      <c r="J459" s="2" t="s">
        <v>2704</v>
      </c>
      <c r="K459" s="38" t="n">
        <v>0.00652271704903284</v>
      </c>
      <c r="L459" s="31" t="n">
        <v>1.9</v>
      </c>
      <c r="M459" s="39" t="s">
        <v>671</v>
      </c>
      <c r="N459" s="2" t="s">
        <v>19</v>
      </c>
      <c r="O459" s="2" t="s">
        <v>19</v>
      </c>
      <c r="P459" s="2" t="s">
        <v>19</v>
      </c>
      <c r="Q459" s="2" t="s">
        <v>19</v>
      </c>
    </row>
    <row r="460" customFormat="false" ht="15" hidden="false" customHeight="false" outlineLevel="0" collapsed="false">
      <c r="A460" s="2" t="s">
        <v>945</v>
      </c>
      <c r="B460" s="2" t="s">
        <v>46</v>
      </c>
      <c r="C460" s="14" t="s">
        <v>1910</v>
      </c>
      <c r="D460" s="40" t="n">
        <v>29210</v>
      </c>
      <c r="E460" s="2" t="s">
        <v>667</v>
      </c>
      <c r="F460" s="41" t="n">
        <v>1.20458747004451</v>
      </c>
      <c r="G460" s="31" t="n">
        <v>9.5</v>
      </c>
      <c r="H460" s="42" t="n">
        <v>0.050341603739662</v>
      </c>
      <c r="I460" s="31" t="n">
        <v>28.2</v>
      </c>
      <c r="J460" s="2" t="s">
        <v>2700</v>
      </c>
      <c r="K460" s="43" t="n">
        <v>0.232266435986159</v>
      </c>
      <c r="L460" s="31" t="n">
        <v>78.5</v>
      </c>
      <c r="M460" s="39" t="s">
        <v>671</v>
      </c>
      <c r="N460" s="2" t="s">
        <v>21</v>
      </c>
      <c r="O460" s="2" t="s">
        <v>21</v>
      </c>
      <c r="P460" s="2" t="s">
        <v>21</v>
      </c>
      <c r="Q460" s="2" t="s">
        <v>21</v>
      </c>
    </row>
    <row r="461" customFormat="false" ht="15" hidden="false" customHeight="false" outlineLevel="0" collapsed="false">
      <c r="A461" s="2" t="s">
        <v>945</v>
      </c>
      <c r="B461" s="2" t="s">
        <v>47</v>
      </c>
      <c r="C461" s="14" t="s">
        <v>2815</v>
      </c>
      <c r="D461" s="40" t="n">
        <v>4009980</v>
      </c>
      <c r="E461" s="2" t="s">
        <v>752</v>
      </c>
      <c r="F461" s="41" t="n">
        <v>0.763732238066025</v>
      </c>
      <c r="G461" s="31" t="n">
        <v>25.1</v>
      </c>
      <c r="H461" s="32"/>
      <c r="I461" s="31"/>
      <c r="J461" s="2"/>
      <c r="K461" s="43" t="n">
        <v>0.0938144672922074</v>
      </c>
      <c r="L461" s="31" t="n">
        <v>51.2</v>
      </c>
      <c r="M461" s="34" t="s">
        <v>668</v>
      </c>
      <c r="N461" s="2" t="s">
        <v>21</v>
      </c>
      <c r="O461" s="2" t="s">
        <v>21</v>
      </c>
      <c r="P461" s="2"/>
      <c r="Q461" s="2" t="s">
        <v>21</v>
      </c>
    </row>
    <row r="462" customFormat="false" ht="15" hidden="false" customHeight="false" outlineLevel="0" collapsed="false">
      <c r="A462" s="2" t="s">
        <v>260</v>
      </c>
      <c r="B462" s="2" t="s">
        <v>45</v>
      </c>
      <c r="C462" s="13" t="s">
        <v>1034</v>
      </c>
      <c r="D462" s="35" t="n">
        <v>51121</v>
      </c>
      <c r="E462" s="2" t="s">
        <v>667</v>
      </c>
      <c r="F462" s="36" t="n">
        <v>0.611588192719235</v>
      </c>
      <c r="G462" s="31" t="n">
        <v>50.9</v>
      </c>
      <c r="H462" s="37" t="n">
        <v>-0.0502192330558859</v>
      </c>
      <c r="I462" s="31" t="n">
        <v>4</v>
      </c>
      <c r="J462" s="2" t="s">
        <v>2704</v>
      </c>
      <c r="K462" s="38" t="n">
        <v>0.0618556701030928</v>
      </c>
      <c r="L462" s="31" t="n">
        <v>18.2</v>
      </c>
      <c r="M462" s="39" t="s">
        <v>671</v>
      </c>
      <c r="N462" s="2" t="s">
        <v>19</v>
      </c>
      <c r="O462" s="2" t="s">
        <v>19</v>
      </c>
      <c r="P462" s="2" t="s">
        <v>19</v>
      </c>
      <c r="Q462" s="2" t="s">
        <v>19</v>
      </c>
    </row>
    <row r="463" customFormat="false" ht="15" hidden="false" customHeight="false" outlineLevel="0" collapsed="false">
      <c r="A463" s="2" t="s">
        <v>260</v>
      </c>
      <c r="B463" s="2" t="s">
        <v>46</v>
      </c>
      <c r="C463" s="14" t="s">
        <v>1427</v>
      </c>
      <c r="D463" s="40" t="n">
        <v>375630</v>
      </c>
      <c r="E463" s="2" t="s">
        <v>670</v>
      </c>
      <c r="F463" s="41" t="n">
        <v>8.26159518675292</v>
      </c>
      <c r="G463" s="31" t="n">
        <v>91.3</v>
      </c>
      <c r="H463" s="42" t="n">
        <v>-0.0272684897451833</v>
      </c>
      <c r="I463" s="31" t="n">
        <v>4.6</v>
      </c>
      <c r="J463" s="2" t="s">
        <v>2705</v>
      </c>
      <c r="K463" s="43" t="n">
        <v>0.111017593629039</v>
      </c>
      <c r="L463" s="31" t="n">
        <v>36.8</v>
      </c>
      <c r="M463" s="39" t="s">
        <v>671</v>
      </c>
      <c r="N463" s="2" t="s">
        <v>21</v>
      </c>
      <c r="O463" s="2" t="s">
        <v>21</v>
      </c>
      <c r="P463" s="2" t="s">
        <v>21</v>
      </c>
      <c r="Q463" s="2" t="s">
        <v>21</v>
      </c>
    </row>
    <row r="464" customFormat="false" ht="15" hidden="false" customHeight="false" outlineLevel="0" collapsed="false">
      <c r="A464" s="2" t="s">
        <v>260</v>
      </c>
      <c r="B464" s="2" t="s">
        <v>47</v>
      </c>
      <c r="C464" s="15" t="s">
        <v>2346</v>
      </c>
      <c r="D464" s="44" t="n">
        <v>44992</v>
      </c>
      <c r="E464" s="2" t="s">
        <v>667</v>
      </c>
      <c r="F464" s="45" t="n">
        <v>1.16245110241821</v>
      </c>
      <c r="G464" s="31" t="n">
        <v>46.6</v>
      </c>
      <c r="H464" s="46" t="n">
        <v>0.00727606510399176</v>
      </c>
      <c r="I464" s="31" t="n">
        <v>12.4</v>
      </c>
      <c r="J464" s="2" t="s">
        <v>2697</v>
      </c>
      <c r="K464" s="48" t="n">
        <v>0.158878504672897</v>
      </c>
      <c r="L464" s="31" t="n">
        <v>73.1</v>
      </c>
      <c r="M464" s="39" t="s">
        <v>671</v>
      </c>
      <c r="N464" s="2" t="s">
        <v>17</v>
      </c>
      <c r="O464" s="2" t="s">
        <v>17</v>
      </c>
      <c r="P464" s="2" t="s">
        <v>17</v>
      </c>
      <c r="Q464" s="2" t="s">
        <v>17</v>
      </c>
    </row>
    <row r="465" customFormat="false" ht="15" hidden="false" customHeight="false" outlineLevel="0" collapsed="false">
      <c r="A465" s="2" t="s">
        <v>2242</v>
      </c>
      <c r="B465" s="2" t="s">
        <v>45</v>
      </c>
      <c r="C465" s="16"/>
      <c r="D465" s="29"/>
      <c r="E465" s="2"/>
      <c r="F465" s="30"/>
      <c r="G465" s="31"/>
      <c r="H465" s="32"/>
      <c r="I465" s="31"/>
      <c r="J465" s="2"/>
      <c r="K465" s="33"/>
      <c r="L465" s="31"/>
      <c r="M465" s="34" t="s">
        <v>668</v>
      </c>
      <c r="N465" s="2"/>
      <c r="O465" s="2"/>
      <c r="P465" s="2"/>
      <c r="Q465" s="2"/>
    </row>
    <row r="466" customFormat="false" ht="15" hidden="false" customHeight="false" outlineLevel="0" collapsed="false">
      <c r="A466" s="2" t="s">
        <v>2242</v>
      </c>
      <c r="B466" s="2" t="s">
        <v>46</v>
      </c>
      <c r="C466" s="14" t="s">
        <v>2816</v>
      </c>
      <c r="D466" s="40" t="n">
        <v>130430</v>
      </c>
      <c r="E466" s="2" t="s">
        <v>670</v>
      </c>
      <c r="F466" s="41" t="n">
        <v>1.45307827953692</v>
      </c>
      <c r="G466" s="31" t="n">
        <v>13.5</v>
      </c>
      <c r="H466" s="42" t="n">
        <v>0.0707659469665873</v>
      </c>
      <c r="I466" s="31" t="n">
        <v>44.4</v>
      </c>
      <c r="J466" s="2" t="s">
        <v>2705</v>
      </c>
      <c r="K466" s="33"/>
      <c r="L466" s="31"/>
      <c r="M466" s="34" t="s">
        <v>668</v>
      </c>
      <c r="N466" s="2" t="s">
        <v>21</v>
      </c>
      <c r="O466" s="2" t="s">
        <v>21</v>
      </c>
      <c r="P466" s="2" t="s">
        <v>21</v>
      </c>
      <c r="Q466" s="2"/>
    </row>
    <row r="467" customFormat="false" ht="15" hidden="false" customHeight="false" outlineLevel="0" collapsed="false">
      <c r="A467" s="2" t="s">
        <v>2242</v>
      </c>
      <c r="B467" s="2" t="s">
        <v>47</v>
      </c>
      <c r="C467" s="13" t="s">
        <v>2243</v>
      </c>
      <c r="D467" s="35" t="n">
        <v>194256</v>
      </c>
      <c r="E467" s="2" t="s">
        <v>670</v>
      </c>
      <c r="F467" s="36" t="n">
        <v>1.52533255086072</v>
      </c>
      <c r="G467" s="31" t="n">
        <v>60.1</v>
      </c>
      <c r="H467" s="37" t="n">
        <v>0.135754252003952</v>
      </c>
      <c r="I467" s="31" t="n">
        <v>74.1</v>
      </c>
      <c r="J467" s="2" t="s">
        <v>2701</v>
      </c>
      <c r="K467" s="38" t="n">
        <v>0.00802226588081205</v>
      </c>
      <c r="L467" s="31" t="n">
        <v>6.3</v>
      </c>
      <c r="M467" s="39" t="s">
        <v>671</v>
      </c>
      <c r="N467" s="2" t="s">
        <v>19</v>
      </c>
      <c r="O467" s="2" t="s">
        <v>19</v>
      </c>
      <c r="P467" s="2" t="s">
        <v>19</v>
      </c>
      <c r="Q467" s="2" t="s">
        <v>19</v>
      </c>
    </row>
    <row r="468" customFormat="false" ht="15" hidden="false" customHeight="false" outlineLevel="0" collapsed="false">
      <c r="A468" s="2" t="s">
        <v>673</v>
      </c>
      <c r="B468" s="2" t="s">
        <v>45</v>
      </c>
      <c r="C468" s="13" t="s">
        <v>674</v>
      </c>
      <c r="D468" s="35" t="n">
        <v>20920</v>
      </c>
      <c r="E468" s="2" t="s">
        <v>667</v>
      </c>
      <c r="F468" s="36" t="n">
        <v>3.63360420650096</v>
      </c>
      <c r="G468" s="31" t="n">
        <v>99.1</v>
      </c>
      <c r="H468" s="37" t="n">
        <v>0.151348376444689</v>
      </c>
      <c r="I468" s="31" t="n">
        <v>77.8</v>
      </c>
      <c r="J468" s="2" t="s">
        <v>2704</v>
      </c>
      <c r="K468" s="38" t="n">
        <v>0.0326057298772169</v>
      </c>
      <c r="L468" s="31" t="n">
        <v>6.4</v>
      </c>
      <c r="M468" s="39" t="s">
        <v>671</v>
      </c>
      <c r="N468" s="2" t="s">
        <v>19</v>
      </c>
      <c r="O468" s="2" t="s">
        <v>19</v>
      </c>
      <c r="P468" s="2" t="s">
        <v>19</v>
      </c>
      <c r="Q468" s="2" t="s">
        <v>19</v>
      </c>
    </row>
    <row r="469" customFormat="false" ht="15" hidden="false" customHeight="false" outlineLevel="0" collapsed="false">
      <c r="A469" s="2" t="s">
        <v>673</v>
      </c>
      <c r="B469" s="2" t="s">
        <v>46</v>
      </c>
      <c r="C469" s="16"/>
      <c r="D469" s="29"/>
      <c r="E469" s="2"/>
      <c r="F469" s="30"/>
      <c r="G469" s="31"/>
      <c r="H469" s="32"/>
      <c r="I469" s="31"/>
      <c r="J469" s="2"/>
      <c r="K469" s="33"/>
      <c r="L469" s="31"/>
      <c r="M469" s="34" t="s">
        <v>668</v>
      </c>
      <c r="N469" s="2"/>
      <c r="O469" s="2"/>
      <c r="P469" s="2"/>
      <c r="Q469" s="2"/>
    </row>
    <row r="470" customFormat="false" ht="15" hidden="false" customHeight="false" outlineLevel="0" collapsed="false">
      <c r="A470" s="2" t="s">
        <v>673</v>
      </c>
      <c r="B470" s="2" t="s">
        <v>47</v>
      </c>
      <c r="C470" s="13" t="s">
        <v>2010</v>
      </c>
      <c r="D470" s="35" t="n">
        <v>286438</v>
      </c>
      <c r="E470" s="2" t="s">
        <v>670</v>
      </c>
      <c r="F470" s="36" t="n">
        <v>3.61149009558788</v>
      </c>
      <c r="G470" s="31" t="n">
        <v>93.3</v>
      </c>
      <c r="H470" s="37" t="n">
        <v>-0.00741911227081666</v>
      </c>
      <c r="I470" s="31" t="n">
        <v>12.7</v>
      </c>
      <c r="J470" s="2" t="s">
        <v>2701</v>
      </c>
      <c r="K470" s="38" t="n">
        <v>0.103443936406729</v>
      </c>
      <c r="L470" s="31" t="n">
        <v>56.8</v>
      </c>
      <c r="M470" s="39" t="s">
        <v>671</v>
      </c>
      <c r="N470" s="2" t="s">
        <v>19</v>
      </c>
      <c r="O470" s="2" t="s">
        <v>19</v>
      </c>
      <c r="P470" s="2" t="s">
        <v>19</v>
      </c>
      <c r="Q470" s="2" t="s">
        <v>19</v>
      </c>
    </row>
    <row r="471" customFormat="false" ht="15" hidden="false" customHeight="false" outlineLevel="0" collapsed="false">
      <c r="A471" s="2" t="s">
        <v>1634</v>
      </c>
      <c r="B471" s="2" t="s">
        <v>45</v>
      </c>
      <c r="C471" s="16"/>
      <c r="D471" s="29"/>
      <c r="E471" s="2"/>
      <c r="F471" s="30"/>
      <c r="G471" s="31"/>
      <c r="H471" s="32"/>
      <c r="I471" s="31"/>
      <c r="J471" s="2"/>
      <c r="K471" s="33"/>
      <c r="L471" s="31"/>
      <c r="M471" s="34" t="s">
        <v>668</v>
      </c>
      <c r="N471" s="2"/>
      <c r="O471" s="2"/>
      <c r="P471" s="2"/>
      <c r="Q471" s="2"/>
    </row>
    <row r="472" customFormat="false" ht="15" hidden="false" customHeight="false" outlineLevel="0" collapsed="false">
      <c r="A472" s="2" t="s">
        <v>1634</v>
      </c>
      <c r="B472" s="2" t="s">
        <v>46</v>
      </c>
      <c r="C472" s="13" t="s">
        <v>1635</v>
      </c>
      <c r="D472" s="35" t="n">
        <v>182496</v>
      </c>
      <c r="E472" s="2" t="s">
        <v>670</v>
      </c>
      <c r="F472" s="36" t="n">
        <v>3.61855602314571</v>
      </c>
      <c r="G472" s="31" t="n">
        <v>56.9</v>
      </c>
      <c r="H472" s="37" t="n">
        <v>0.0592004457445327</v>
      </c>
      <c r="I472" s="31" t="n">
        <v>35.1</v>
      </c>
      <c r="J472" s="2" t="s">
        <v>2705</v>
      </c>
      <c r="K472" s="38" t="n">
        <v>0.00138635987419301</v>
      </c>
      <c r="L472" s="31" t="n">
        <v>0.3</v>
      </c>
      <c r="M472" s="39" t="s">
        <v>671</v>
      </c>
      <c r="N472" s="2" t="s">
        <v>19</v>
      </c>
      <c r="O472" s="2" t="s">
        <v>19</v>
      </c>
      <c r="P472" s="2" t="s">
        <v>19</v>
      </c>
      <c r="Q472" s="2" t="s">
        <v>19</v>
      </c>
    </row>
    <row r="473" customFormat="false" ht="15" hidden="false" customHeight="false" outlineLevel="0" collapsed="false">
      <c r="A473" s="2" t="s">
        <v>2817</v>
      </c>
      <c r="B473" s="2" t="s">
        <v>46</v>
      </c>
      <c r="C473" s="15" t="s">
        <v>2818</v>
      </c>
      <c r="D473" s="44" t="n">
        <v>471915</v>
      </c>
      <c r="E473" s="2" t="s">
        <v>670</v>
      </c>
      <c r="F473" s="45" t="n">
        <v>5.64305012555227</v>
      </c>
      <c r="G473" s="31" t="n">
        <v>79.3</v>
      </c>
      <c r="H473" s="46" t="n">
        <v>0.0898855644984353</v>
      </c>
      <c r="I473" s="31" t="n">
        <v>55.6</v>
      </c>
      <c r="J473" s="2" t="s">
        <v>2705</v>
      </c>
      <c r="K473" s="33"/>
      <c r="L473" s="31"/>
      <c r="M473" s="34" t="s">
        <v>668</v>
      </c>
      <c r="N473" s="2" t="s">
        <v>17</v>
      </c>
      <c r="O473" s="2" t="s">
        <v>17</v>
      </c>
      <c r="P473" s="2" t="s">
        <v>17</v>
      </c>
      <c r="Q473" s="2"/>
    </row>
    <row r="474" customFormat="false" ht="15" hidden="false" customHeight="false" outlineLevel="0" collapsed="false">
      <c r="A474" s="2" t="s">
        <v>834</v>
      </c>
      <c r="B474" s="2" t="s">
        <v>45</v>
      </c>
      <c r="C474" s="14" t="s">
        <v>835</v>
      </c>
      <c r="D474" s="40" t="n">
        <v>542650</v>
      </c>
      <c r="E474" s="2" t="s">
        <v>670</v>
      </c>
      <c r="F474" s="41" t="n">
        <v>1.04859670137289</v>
      </c>
      <c r="G474" s="31" t="n">
        <v>77.8</v>
      </c>
      <c r="H474" s="42" t="n">
        <v>0.036758946141648</v>
      </c>
      <c r="I474" s="31" t="n">
        <v>25.4</v>
      </c>
      <c r="J474" s="2" t="s">
        <v>2698</v>
      </c>
      <c r="K474" s="43" t="n">
        <v>0.19863875286401</v>
      </c>
      <c r="L474" s="31" t="n">
        <v>70.4</v>
      </c>
      <c r="M474" s="39" t="s">
        <v>671</v>
      </c>
      <c r="N474" s="2" t="s">
        <v>21</v>
      </c>
      <c r="O474" s="2" t="s">
        <v>21</v>
      </c>
      <c r="P474" s="2" t="s">
        <v>21</v>
      </c>
      <c r="Q474" s="2" t="s">
        <v>21</v>
      </c>
    </row>
    <row r="475" customFormat="false" ht="15" hidden="false" customHeight="false" outlineLevel="0" collapsed="false">
      <c r="A475" s="2" t="s">
        <v>834</v>
      </c>
      <c r="B475" s="2" t="s">
        <v>46</v>
      </c>
      <c r="C475" s="15" t="s">
        <v>2819</v>
      </c>
      <c r="D475" s="44" t="n">
        <v>221817</v>
      </c>
      <c r="E475" s="2" t="s">
        <v>670</v>
      </c>
      <c r="F475" s="45" t="n">
        <v>0.273617441404401</v>
      </c>
      <c r="G475" s="31" t="n">
        <v>0.2</v>
      </c>
      <c r="H475" s="46" t="n">
        <v>0.00464237834704156</v>
      </c>
      <c r="I475" s="31" t="n">
        <v>11.9</v>
      </c>
      <c r="J475" s="2" t="s">
        <v>2705</v>
      </c>
      <c r="K475" s="33"/>
      <c r="L475" s="31"/>
      <c r="M475" s="34" t="s">
        <v>668</v>
      </c>
      <c r="N475" s="2" t="s">
        <v>17</v>
      </c>
      <c r="O475" s="2" t="s">
        <v>17</v>
      </c>
      <c r="P475" s="2" t="s">
        <v>17</v>
      </c>
      <c r="Q475" s="2"/>
    </row>
    <row r="476" customFormat="false" ht="15" hidden="false" customHeight="false" outlineLevel="0" collapsed="false">
      <c r="A476" s="2" t="s">
        <v>834</v>
      </c>
      <c r="B476" s="2" t="s">
        <v>47</v>
      </c>
      <c r="C476" s="16"/>
      <c r="D476" s="35" t="n">
        <v>7006</v>
      </c>
      <c r="E476" s="2" t="s">
        <v>678</v>
      </c>
      <c r="F476" s="36" t="n">
        <v>1.02098201541536</v>
      </c>
      <c r="G476" s="31" t="n">
        <v>38.8</v>
      </c>
      <c r="H476" s="37" t="n">
        <v>0.101572327044025</v>
      </c>
      <c r="I476" s="31" t="n">
        <v>49.3</v>
      </c>
      <c r="J476" s="2" t="s">
        <v>2706</v>
      </c>
      <c r="K476" s="38" t="n">
        <v>0.225721784776903</v>
      </c>
      <c r="L476" s="31" t="n">
        <v>88.4</v>
      </c>
      <c r="M476" s="34" t="s">
        <v>668</v>
      </c>
      <c r="N476" s="2" t="s">
        <v>19</v>
      </c>
      <c r="O476" s="2" t="s">
        <v>19</v>
      </c>
      <c r="P476" s="2" t="s">
        <v>19</v>
      </c>
      <c r="Q476" s="2" t="s">
        <v>19</v>
      </c>
    </row>
    <row r="477" customFormat="false" ht="15" hidden="false" customHeight="false" outlineLevel="0" collapsed="false">
      <c r="A477" s="2" t="s">
        <v>1062</v>
      </c>
      <c r="B477" s="2" t="s">
        <v>45</v>
      </c>
      <c r="C477" s="14" t="s">
        <v>1063</v>
      </c>
      <c r="D477" s="40" t="n">
        <v>10130</v>
      </c>
      <c r="E477" s="2" t="s">
        <v>667</v>
      </c>
      <c r="F477" s="41" t="n">
        <v>0.577196446199408</v>
      </c>
      <c r="G477" s="31" t="n">
        <v>47</v>
      </c>
      <c r="H477" s="42" t="n">
        <v>0.0915948275862069</v>
      </c>
      <c r="I477" s="31" t="n">
        <v>52</v>
      </c>
      <c r="J477" s="2" t="s">
        <v>2704</v>
      </c>
      <c r="K477" s="43" t="n">
        <v>0.0835654596100279</v>
      </c>
      <c r="L477" s="31" t="n">
        <v>28.5</v>
      </c>
      <c r="M477" s="39" t="s">
        <v>671</v>
      </c>
      <c r="N477" s="2" t="s">
        <v>21</v>
      </c>
      <c r="O477" s="2" t="s">
        <v>21</v>
      </c>
      <c r="P477" s="2" t="s">
        <v>21</v>
      </c>
      <c r="Q477" s="2" t="s">
        <v>21</v>
      </c>
    </row>
    <row r="478" customFormat="false" ht="15" hidden="false" customHeight="false" outlineLevel="0" collapsed="false">
      <c r="A478" s="2" t="s">
        <v>1062</v>
      </c>
      <c r="B478" s="2" t="s">
        <v>46</v>
      </c>
      <c r="C478" s="15" t="s">
        <v>2820</v>
      </c>
      <c r="D478" s="44" t="n">
        <v>13850</v>
      </c>
      <c r="E478" s="2" t="s">
        <v>667</v>
      </c>
      <c r="F478" s="45" t="n">
        <v>2.42808664259928</v>
      </c>
      <c r="G478" s="31" t="n">
        <v>37</v>
      </c>
      <c r="H478" s="46" t="n">
        <v>0.148043766578249</v>
      </c>
      <c r="I478" s="31" t="n">
        <v>78.8</v>
      </c>
      <c r="J478" s="2" t="s">
        <v>2700</v>
      </c>
      <c r="K478" s="33"/>
      <c r="L478" s="31"/>
      <c r="M478" s="34" t="s">
        <v>668</v>
      </c>
      <c r="N478" s="2" t="s">
        <v>17</v>
      </c>
      <c r="O478" s="2" t="s">
        <v>17</v>
      </c>
      <c r="P478" s="2" t="s">
        <v>17</v>
      </c>
      <c r="Q478" s="2"/>
    </row>
    <row r="479" customFormat="false" ht="15" hidden="false" customHeight="false" outlineLevel="0" collapsed="false">
      <c r="A479" s="2" t="s">
        <v>771</v>
      </c>
      <c r="B479" s="2" t="s">
        <v>45</v>
      </c>
      <c r="C479" s="14" t="s">
        <v>772</v>
      </c>
      <c r="D479" s="40" t="n">
        <v>137240</v>
      </c>
      <c r="E479" s="2" t="s">
        <v>670</v>
      </c>
      <c r="F479" s="41" t="n">
        <v>1.38947828621393</v>
      </c>
      <c r="G479" s="31" t="n">
        <v>87</v>
      </c>
      <c r="H479" s="42" t="n">
        <v>0.0193864666121964</v>
      </c>
      <c r="I479" s="31" t="n">
        <v>20.3</v>
      </c>
      <c r="J479" s="2" t="s">
        <v>2698</v>
      </c>
      <c r="K479" s="43" t="n">
        <v>0.192674184806364</v>
      </c>
      <c r="L479" s="31" t="n">
        <v>68.2</v>
      </c>
      <c r="M479" s="39" t="s">
        <v>671</v>
      </c>
      <c r="N479" s="2" t="s">
        <v>21</v>
      </c>
      <c r="O479" s="2" t="s">
        <v>21</v>
      </c>
      <c r="P479" s="2" t="s">
        <v>21</v>
      </c>
      <c r="Q479" s="2" t="s">
        <v>21</v>
      </c>
    </row>
    <row r="480" customFormat="false" ht="15" hidden="false" customHeight="false" outlineLevel="0" collapsed="false">
      <c r="A480" s="2" t="s">
        <v>771</v>
      </c>
      <c r="B480" s="2" t="s">
        <v>46</v>
      </c>
      <c r="C480" s="14" t="s">
        <v>2821</v>
      </c>
      <c r="D480" s="40" t="n">
        <v>3620</v>
      </c>
      <c r="E480" s="2" t="s">
        <v>678</v>
      </c>
      <c r="F480" s="41" t="n">
        <v>8.52707182320442</v>
      </c>
      <c r="G480" s="31" t="n">
        <v>92.4</v>
      </c>
      <c r="H480" s="32"/>
      <c r="I480" s="31"/>
      <c r="J480" s="2"/>
      <c r="K480" s="43" t="n">
        <v>0.0784530386740332</v>
      </c>
      <c r="L480" s="31" t="n">
        <v>24.4</v>
      </c>
      <c r="M480" s="34" t="s">
        <v>668</v>
      </c>
      <c r="N480" s="2" t="s">
        <v>21</v>
      </c>
      <c r="O480" s="2" t="s">
        <v>21</v>
      </c>
      <c r="P480" s="2"/>
      <c r="Q480" s="2" t="s">
        <v>21</v>
      </c>
    </row>
    <row r="481" customFormat="false" ht="15" hidden="false" customHeight="false" outlineLevel="0" collapsed="false">
      <c r="A481" s="2" t="s">
        <v>771</v>
      </c>
      <c r="B481" s="2" t="s">
        <v>47</v>
      </c>
      <c r="C481" s="14" t="s">
        <v>2495</v>
      </c>
      <c r="D481" s="40" t="n">
        <v>916040</v>
      </c>
      <c r="E481" s="2" t="s">
        <v>670</v>
      </c>
      <c r="F481" s="41" t="n">
        <v>0.802819745862626</v>
      </c>
      <c r="G481" s="31" t="n">
        <v>26.8</v>
      </c>
      <c r="H481" s="42" t="n">
        <v>0.240305459272097</v>
      </c>
      <c r="I481" s="31" t="n">
        <v>96.4</v>
      </c>
      <c r="J481" s="2" t="s">
        <v>2701</v>
      </c>
      <c r="K481" s="43" t="n">
        <v>0.162629597986469</v>
      </c>
      <c r="L481" s="31" t="n">
        <v>74.3</v>
      </c>
      <c r="M481" s="39" t="s">
        <v>671</v>
      </c>
      <c r="N481" s="2" t="s">
        <v>21</v>
      </c>
      <c r="O481" s="2" t="s">
        <v>21</v>
      </c>
      <c r="P481" s="2" t="s">
        <v>21</v>
      </c>
      <c r="Q481" s="2" t="s">
        <v>21</v>
      </c>
    </row>
    <row r="482" customFormat="false" ht="15" hidden="false" customHeight="false" outlineLevel="0" collapsed="false">
      <c r="A482" s="2" t="s">
        <v>741</v>
      </c>
      <c r="B482" s="2" t="s">
        <v>45</v>
      </c>
      <c r="C482" s="14" t="s">
        <v>742</v>
      </c>
      <c r="D482" s="40" t="n">
        <v>19790</v>
      </c>
      <c r="E482" s="2" t="s">
        <v>667</v>
      </c>
      <c r="F482" s="41" t="n">
        <v>1.78271854471956</v>
      </c>
      <c r="G482" s="31" t="n">
        <v>90.6</v>
      </c>
      <c r="H482" s="42" t="n">
        <v>0.218596059113301</v>
      </c>
      <c r="I482" s="31" t="n">
        <v>95.2</v>
      </c>
      <c r="J482" s="2" t="s">
        <v>2704</v>
      </c>
      <c r="K482" s="43" t="n">
        <v>0.135537190082645</v>
      </c>
      <c r="L482" s="31" t="n">
        <v>51.4</v>
      </c>
      <c r="M482" s="39" t="s">
        <v>671</v>
      </c>
      <c r="N482" s="2" t="s">
        <v>21</v>
      </c>
      <c r="O482" s="2" t="s">
        <v>21</v>
      </c>
      <c r="P482" s="2" t="s">
        <v>21</v>
      </c>
      <c r="Q482" s="2" t="s">
        <v>21</v>
      </c>
    </row>
    <row r="483" customFormat="false" ht="15" hidden="false" customHeight="false" outlineLevel="0" collapsed="false">
      <c r="A483" s="2" t="s">
        <v>741</v>
      </c>
      <c r="B483" s="2" t="s">
        <v>46</v>
      </c>
      <c r="C483" s="14" t="s">
        <v>1376</v>
      </c>
      <c r="D483" s="40" t="n">
        <v>36740</v>
      </c>
      <c r="E483" s="2" t="s">
        <v>667</v>
      </c>
      <c r="F483" s="41" t="n">
        <v>14.4553892215569</v>
      </c>
      <c r="G483" s="31" t="n">
        <v>99.6</v>
      </c>
      <c r="H483" s="42" t="n">
        <v>0.0646189510286873</v>
      </c>
      <c r="I483" s="31" t="n">
        <v>36.5</v>
      </c>
      <c r="J483" s="2" t="s">
        <v>2700</v>
      </c>
      <c r="K483" s="43" t="n">
        <v>0.0631380711666171</v>
      </c>
      <c r="L483" s="31" t="n">
        <v>19.4</v>
      </c>
      <c r="M483" s="39" t="s">
        <v>671</v>
      </c>
      <c r="N483" s="2" t="s">
        <v>21</v>
      </c>
      <c r="O483" s="2" t="s">
        <v>21</v>
      </c>
      <c r="P483" s="2" t="s">
        <v>21</v>
      </c>
      <c r="Q483" s="2" t="s">
        <v>21</v>
      </c>
    </row>
    <row r="484" customFormat="false" ht="15" hidden="false" customHeight="false" outlineLevel="0" collapsed="false">
      <c r="A484" s="2" t="s">
        <v>741</v>
      </c>
      <c r="B484" s="2" t="s">
        <v>47</v>
      </c>
      <c r="C484" s="16"/>
      <c r="D484" s="29"/>
      <c r="E484" s="2"/>
      <c r="F484" s="30"/>
      <c r="G484" s="31"/>
      <c r="H484" s="32"/>
      <c r="I484" s="31"/>
      <c r="J484" s="2"/>
      <c r="K484" s="33"/>
      <c r="L484" s="31"/>
      <c r="M484" s="34" t="s">
        <v>668</v>
      </c>
      <c r="N484" s="2"/>
      <c r="O484" s="2"/>
      <c r="P484" s="2"/>
      <c r="Q484" s="2"/>
    </row>
    <row r="485" customFormat="false" ht="15" hidden="false" customHeight="false" outlineLevel="0" collapsed="false">
      <c r="A485" s="2" t="s">
        <v>1173</v>
      </c>
      <c r="B485" s="2" t="s">
        <v>45</v>
      </c>
      <c r="C485" s="13" t="s">
        <v>1174</v>
      </c>
      <c r="D485" s="35" t="n">
        <v>283497</v>
      </c>
      <c r="E485" s="2" t="s">
        <v>670</v>
      </c>
      <c r="F485" s="36" t="n">
        <v>0.417637576411743</v>
      </c>
      <c r="G485" s="31" t="n">
        <v>32.1</v>
      </c>
      <c r="H485" s="37" t="n">
        <v>0.015375854214123</v>
      </c>
      <c r="I485" s="31" t="n">
        <v>18.1</v>
      </c>
      <c r="J485" s="2" t="s">
        <v>2698</v>
      </c>
      <c r="K485" s="38" t="n">
        <v>0.0216299190622384</v>
      </c>
      <c r="L485" s="31" t="n">
        <v>5</v>
      </c>
      <c r="M485" s="39" t="s">
        <v>671</v>
      </c>
      <c r="N485" s="2" t="s">
        <v>19</v>
      </c>
      <c r="O485" s="2" t="s">
        <v>19</v>
      </c>
      <c r="P485" s="2" t="s">
        <v>19</v>
      </c>
      <c r="Q485" s="2" t="s">
        <v>19</v>
      </c>
    </row>
    <row r="486" customFormat="false" ht="15" hidden="false" customHeight="false" outlineLevel="0" collapsed="false">
      <c r="A486" s="2" t="s">
        <v>1173</v>
      </c>
      <c r="B486" s="2" t="s">
        <v>46</v>
      </c>
      <c r="C486" s="14" t="s">
        <v>1827</v>
      </c>
      <c r="D486" s="40" t="n">
        <v>7430</v>
      </c>
      <c r="E486" s="2" t="s">
        <v>678</v>
      </c>
      <c r="F486" s="41" t="n">
        <v>1.91520861372813</v>
      </c>
      <c r="G486" s="31" t="n">
        <v>24.3</v>
      </c>
      <c r="H486" s="42" t="n">
        <v>0.0799418604651163</v>
      </c>
      <c r="I486" s="31" t="n">
        <v>35.4</v>
      </c>
      <c r="J486" s="2" t="s">
        <v>2720</v>
      </c>
      <c r="K486" s="43" t="n">
        <v>0.00705467372134039</v>
      </c>
      <c r="L486" s="31" t="n">
        <v>1.8</v>
      </c>
      <c r="M486" s="39" t="s">
        <v>671</v>
      </c>
      <c r="N486" s="2" t="s">
        <v>21</v>
      </c>
      <c r="O486" s="2" t="s">
        <v>21</v>
      </c>
      <c r="P486" s="2" t="s">
        <v>21</v>
      </c>
      <c r="Q486" s="2" t="s">
        <v>21</v>
      </c>
    </row>
    <row r="487" customFormat="false" ht="15" hidden="false" customHeight="false" outlineLevel="0" collapsed="false">
      <c r="A487" s="2" t="s">
        <v>1173</v>
      </c>
      <c r="B487" s="2" t="s">
        <v>47</v>
      </c>
      <c r="C487" s="16"/>
      <c r="D487" s="29"/>
      <c r="E487" s="2"/>
      <c r="F487" s="30"/>
      <c r="G487" s="31"/>
      <c r="H487" s="32"/>
      <c r="I487" s="31"/>
      <c r="J487" s="2"/>
      <c r="K487" s="33"/>
      <c r="L487" s="31"/>
      <c r="M487" s="34" t="s">
        <v>668</v>
      </c>
      <c r="N487" s="2"/>
      <c r="O487" s="2"/>
      <c r="P487" s="2"/>
      <c r="Q487" s="2"/>
    </row>
    <row r="488" customFormat="false" ht="15" hidden="false" customHeight="false" outlineLevel="0" collapsed="false">
      <c r="A488" s="2" t="s">
        <v>230</v>
      </c>
      <c r="B488" s="2" t="s">
        <v>45</v>
      </c>
      <c r="C488" s="14" t="s">
        <v>920</v>
      </c>
      <c r="D488" s="40" t="n">
        <v>1019970</v>
      </c>
      <c r="E488" s="2" t="s">
        <v>752</v>
      </c>
      <c r="F488" s="41" t="n">
        <v>0.837861897898958</v>
      </c>
      <c r="G488" s="31" t="n">
        <v>66.7</v>
      </c>
      <c r="H488" s="42" t="n">
        <v>0.168778933858917</v>
      </c>
      <c r="I488" s="31" t="n">
        <v>87.5</v>
      </c>
      <c r="J488" s="2" t="s">
        <v>2712</v>
      </c>
      <c r="K488" s="43" t="n">
        <v>0.271021021021021</v>
      </c>
      <c r="L488" s="31" t="n">
        <v>85.6</v>
      </c>
      <c r="M488" s="39" t="s">
        <v>671</v>
      </c>
      <c r="N488" s="2" t="s">
        <v>21</v>
      </c>
      <c r="O488" s="2" t="s">
        <v>21</v>
      </c>
      <c r="P488" s="2" t="s">
        <v>21</v>
      </c>
      <c r="Q488" s="2" t="s">
        <v>21</v>
      </c>
    </row>
    <row r="489" customFormat="false" ht="15" hidden="false" customHeight="false" outlineLevel="0" collapsed="false">
      <c r="A489" s="2" t="s">
        <v>208</v>
      </c>
      <c r="B489" s="2" t="s">
        <v>45</v>
      </c>
      <c r="C489" s="14" t="s">
        <v>733</v>
      </c>
      <c r="D489" s="40" t="n">
        <v>20500</v>
      </c>
      <c r="E489" s="2" t="s">
        <v>667</v>
      </c>
      <c r="F489" s="41" t="n">
        <v>1.80658536585366</v>
      </c>
      <c r="G489" s="31" t="n">
        <v>91.2</v>
      </c>
      <c r="H489" s="42" t="n">
        <v>0.103336921420883</v>
      </c>
      <c r="I489" s="31" t="n">
        <v>56.3</v>
      </c>
      <c r="J489" s="2" t="s">
        <v>2704</v>
      </c>
      <c r="K489" s="43" t="n">
        <v>0.164085188770571</v>
      </c>
      <c r="L489" s="31" t="n">
        <v>59.1</v>
      </c>
      <c r="M489" s="39" t="s">
        <v>671</v>
      </c>
      <c r="N489" s="2" t="s">
        <v>21</v>
      </c>
      <c r="O489" s="2" t="s">
        <v>21</v>
      </c>
      <c r="P489" s="2" t="s">
        <v>21</v>
      </c>
      <c r="Q489" s="2" t="s">
        <v>21</v>
      </c>
    </row>
    <row r="490" customFormat="false" ht="15" hidden="false" customHeight="false" outlineLevel="0" collapsed="false">
      <c r="A490" s="2" t="s">
        <v>208</v>
      </c>
      <c r="B490" s="2" t="s">
        <v>46</v>
      </c>
      <c r="C490" s="13" t="s">
        <v>1823</v>
      </c>
      <c r="D490" s="35" t="n">
        <v>141825</v>
      </c>
      <c r="E490" s="2" t="s">
        <v>670</v>
      </c>
      <c r="F490" s="36" t="n">
        <v>1.95378811916094</v>
      </c>
      <c r="G490" s="31" t="n">
        <v>25.2</v>
      </c>
      <c r="H490" s="37" t="n">
        <v>-0.00126756100137319</v>
      </c>
      <c r="I490" s="31" t="n">
        <v>10.6</v>
      </c>
      <c r="J490" s="2" t="s">
        <v>2705</v>
      </c>
      <c r="K490" s="38" t="n">
        <v>0.095747844186738</v>
      </c>
      <c r="L490" s="31" t="n">
        <v>30.6</v>
      </c>
      <c r="M490" s="39" t="s">
        <v>671</v>
      </c>
      <c r="N490" s="2" t="s">
        <v>19</v>
      </c>
      <c r="O490" s="2" t="s">
        <v>19</v>
      </c>
      <c r="P490" s="2" t="s">
        <v>19</v>
      </c>
      <c r="Q490" s="2" t="s">
        <v>19</v>
      </c>
    </row>
    <row r="491" customFormat="false" ht="15" hidden="false" customHeight="false" outlineLevel="0" collapsed="false">
      <c r="A491" s="2" t="s">
        <v>208</v>
      </c>
      <c r="B491" s="2" t="s">
        <v>47</v>
      </c>
      <c r="C491" s="13" t="s">
        <v>2001</v>
      </c>
      <c r="D491" s="35" t="n">
        <v>10428</v>
      </c>
      <c r="E491" s="2" t="s">
        <v>667</v>
      </c>
      <c r="F491" s="36" t="n">
        <v>3.97343690065209</v>
      </c>
      <c r="G491" s="31" t="n">
        <v>94.7</v>
      </c>
      <c r="H491" s="37" t="n">
        <v>0.120808254514187</v>
      </c>
      <c r="I491" s="31" t="n">
        <v>65.6</v>
      </c>
      <c r="J491" s="2" t="s">
        <v>2697</v>
      </c>
      <c r="K491" s="38" t="n">
        <v>0.401496259351621</v>
      </c>
      <c r="L491" s="31" t="n">
        <v>98.5</v>
      </c>
      <c r="M491" s="39" t="s">
        <v>671</v>
      </c>
      <c r="N491" s="2" t="s">
        <v>19</v>
      </c>
      <c r="O491" s="2" t="s">
        <v>19</v>
      </c>
      <c r="P491" s="2" t="s">
        <v>19</v>
      </c>
      <c r="Q491" s="2" t="s">
        <v>19</v>
      </c>
    </row>
    <row r="492" customFormat="false" ht="15" hidden="false" customHeight="false" outlineLevel="0" collapsed="false">
      <c r="A492" s="2" t="s">
        <v>1660</v>
      </c>
      <c r="B492" s="2" t="s">
        <v>45</v>
      </c>
      <c r="C492" s="14" t="s">
        <v>2822</v>
      </c>
      <c r="D492" s="40" t="n">
        <v>7400</v>
      </c>
      <c r="E492" s="2" t="s">
        <v>678</v>
      </c>
      <c r="F492" s="41" t="n">
        <v>1.80675675675676</v>
      </c>
      <c r="G492" s="31" t="n">
        <v>91.5</v>
      </c>
      <c r="H492" s="32"/>
      <c r="I492" s="31"/>
      <c r="J492" s="2"/>
      <c r="K492" s="33"/>
      <c r="L492" s="31"/>
      <c r="M492" s="34" t="s">
        <v>668</v>
      </c>
      <c r="N492" s="2" t="s">
        <v>21</v>
      </c>
      <c r="O492" s="2" t="s">
        <v>21</v>
      </c>
      <c r="P492" s="2"/>
      <c r="Q492" s="2"/>
    </row>
    <row r="493" customFormat="false" ht="15" hidden="false" customHeight="false" outlineLevel="0" collapsed="false">
      <c r="A493" s="2" t="s">
        <v>1660</v>
      </c>
      <c r="B493" s="2" t="s">
        <v>46</v>
      </c>
      <c r="C493" s="14" t="s">
        <v>1661</v>
      </c>
      <c r="D493" s="40" t="n">
        <v>183110</v>
      </c>
      <c r="E493" s="2" t="s">
        <v>670</v>
      </c>
      <c r="F493" s="41" t="n">
        <v>3.38267161815302</v>
      </c>
      <c r="G493" s="31" t="n">
        <v>53.1</v>
      </c>
      <c r="H493" s="42" t="n">
        <v>0.0098163569183257</v>
      </c>
      <c r="I493" s="31" t="n">
        <v>13.9</v>
      </c>
      <c r="J493" s="2" t="s">
        <v>2705</v>
      </c>
      <c r="K493" s="43" t="n">
        <v>0.207432923959091</v>
      </c>
      <c r="L493" s="31" t="n">
        <v>73.6</v>
      </c>
      <c r="M493" s="39" t="s">
        <v>671</v>
      </c>
      <c r="N493" s="2" t="s">
        <v>21</v>
      </c>
      <c r="O493" s="2" t="s">
        <v>21</v>
      </c>
      <c r="P493" s="2" t="s">
        <v>21</v>
      </c>
      <c r="Q493" s="2" t="s">
        <v>21</v>
      </c>
    </row>
    <row r="494" customFormat="false" ht="15" hidden="false" customHeight="false" outlineLevel="0" collapsed="false">
      <c r="A494" s="2" t="s">
        <v>1660</v>
      </c>
      <c r="B494" s="2" t="s">
        <v>47</v>
      </c>
      <c r="C494" s="13" t="s">
        <v>2121</v>
      </c>
      <c r="D494" s="35" t="n">
        <v>24246</v>
      </c>
      <c r="E494" s="2" t="s">
        <v>667</v>
      </c>
      <c r="F494" s="36" t="n">
        <v>2.11791635733729</v>
      </c>
      <c r="G494" s="31" t="n">
        <v>76.2</v>
      </c>
      <c r="H494" s="37" t="n">
        <v>0.149262928378442</v>
      </c>
      <c r="I494" s="31" t="n">
        <v>77.3</v>
      </c>
      <c r="J494" s="2" t="s">
        <v>2697</v>
      </c>
      <c r="K494" s="38" t="n">
        <v>0.188032272523532</v>
      </c>
      <c r="L494" s="31" t="n">
        <v>80.2</v>
      </c>
      <c r="M494" s="39" t="s">
        <v>671</v>
      </c>
      <c r="N494" s="2" t="s">
        <v>19</v>
      </c>
      <c r="O494" s="2" t="s">
        <v>19</v>
      </c>
      <c r="P494" s="2" t="s">
        <v>19</v>
      </c>
      <c r="Q494" s="2" t="s">
        <v>19</v>
      </c>
    </row>
    <row r="495" customFormat="false" ht="15" hidden="false" customHeight="false" outlineLevel="0" collapsed="false">
      <c r="A495" s="2" t="s">
        <v>728</v>
      </c>
      <c r="B495" s="2" t="s">
        <v>45</v>
      </c>
      <c r="C495" s="13" t="s">
        <v>729</v>
      </c>
      <c r="D495" s="35" t="n">
        <v>28070</v>
      </c>
      <c r="E495" s="2" t="s">
        <v>667</v>
      </c>
      <c r="F495" s="41" t="n">
        <v>1.93942101501072</v>
      </c>
      <c r="G495" s="31" t="n">
        <v>92.5</v>
      </c>
      <c r="H495" s="37" t="n">
        <v>0.180453341183397</v>
      </c>
      <c r="I495" s="31" t="n">
        <v>86.5</v>
      </c>
      <c r="J495" s="2" t="s">
        <v>2704</v>
      </c>
      <c r="K495" s="38" t="n">
        <v>0.103843311160384</v>
      </c>
      <c r="L495" s="31" t="n">
        <v>36.7</v>
      </c>
      <c r="M495" s="39" t="s">
        <v>671</v>
      </c>
      <c r="N495" s="2" t="s">
        <v>19</v>
      </c>
      <c r="O495" s="2" t="s">
        <v>21</v>
      </c>
      <c r="P495" s="2" t="s">
        <v>19</v>
      </c>
      <c r="Q495" s="2" t="s">
        <v>19</v>
      </c>
    </row>
    <row r="496" customFormat="false" ht="15" hidden="false" customHeight="false" outlineLevel="0" collapsed="false">
      <c r="A496" s="2" t="s">
        <v>728</v>
      </c>
      <c r="B496" s="2" t="s">
        <v>46</v>
      </c>
      <c r="C496" s="14" t="s">
        <v>2823</v>
      </c>
      <c r="D496" s="40" t="n">
        <v>41330</v>
      </c>
      <c r="E496" s="2" t="s">
        <v>667</v>
      </c>
      <c r="F496" s="41" t="n">
        <v>4.42315509315267</v>
      </c>
      <c r="G496" s="31" t="n">
        <v>68.1</v>
      </c>
      <c r="H496" s="42" t="n">
        <v>0.0434233779348649</v>
      </c>
      <c r="I496" s="31" t="n">
        <v>24.9</v>
      </c>
      <c r="J496" s="2" t="s">
        <v>2700</v>
      </c>
      <c r="K496" s="33"/>
      <c r="L496" s="31"/>
      <c r="M496" s="34" t="s">
        <v>668</v>
      </c>
      <c r="N496" s="2" t="s">
        <v>21</v>
      </c>
      <c r="O496" s="2" t="s">
        <v>21</v>
      </c>
      <c r="P496" s="2" t="s">
        <v>21</v>
      </c>
      <c r="Q496" s="2"/>
    </row>
    <row r="497" customFormat="false" ht="15" hidden="false" customHeight="false" outlineLevel="0" collapsed="false">
      <c r="A497" s="2" t="s">
        <v>728</v>
      </c>
      <c r="B497" s="2" t="s">
        <v>47</v>
      </c>
      <c r="C497" s="15" t="s">
        <v>2657</v>
      </c>
      <c r="D497" s="44" t="n">
        <v>299271</v>
      </c>
      <c r="E497" s="2" t="s">
        <v>670</v>
      </c>
      <c r="F497" s="45" t="n">
        <v>0.265688957500059</v>
      </c>
      <c r="G497" s="31" t="n">
        <v>3.8</v>
      </c>
      <c r="H497" s="46" t="n">
        <v>0.237787400890896</v>
      </c>
      <c r="I497" s="31" t="n">
        <v>95.8</v>
      </c>
      <c r="J497" s="2" t="s">
        <v>2701</v>
      </c>
      <c r="K497" s="48" t="n">
        <v>0.0412482065997131</v>
      </c>
      <c r="L497" s="31" t="n">
        <v>26.3</v>
      </c>
      <c r="M497" s="39" t="s">
        <v>671</v>
      </c>
      <c r="N497" s="2" t="s">
        <v>17</v>
      </c>
      <c r="O497" s="2" t="s">
        <v>17</v>
      </c>
      <c r="P497" s="2" t="s">
        <v>17</v>
      </c>
      <c r="Q497" s="2" t="s">
        <v>17</v>
      </c>
    </row>
    <row r="498" customFormat="false" ht="15" hidden="false" customHeight="false" outlineLevel="0" collapsed="false">
      <c r="A498" s="2" t="s">
        <v>124</v>
      </c>
      <c r="B498" s="2" t="s">
        <v>45</v>
      </c>
      <c r="C498" s="13" t="s">
        <v>719</v>
      </c>
      <c r="D498" s="35" t="n">
        <v>139958</v>
      </c>
      <c r="E498" s="2" t="s">
        <v>670</v>
      </c>
      <c r="F498" s="36" t="n">
        <v>2.03941182354706</v>
      </c>
      <c r="G498" s="31" t="n">
        <v>93.8</v>
      </c>
      <c r="H498" s="37" t="n">
        <v>0.0614136205065979</v>
      </c>
      <c r="I498" s="31" t="n">
        <v>40.6</v>
      </c>
      <c r="J498" s="2" t="s">
        <v>2698</v>
      </c>
      <c r="K498" s="38" t="n">
        <v>0.081447963800905</v>
      </c>
      <c r="L498" s="31" t="n">
        <v>27.1</v>
      </c>
      <c r="M498" s="39" t="s">
        <v>671</v>
      </c>
      <c r="N498" s="2" t="s">
        <v>19</v>
      </c>
      <c r="O498" s="2" t="s">
        <v>19</v>
      </c>
      <c r="P498" s="2" t="s">
        <v>19</v>
      </c>
      <c r="Q498" s="2" t="s">
        <v>19</v>
      </c>
    </row>
    <row r="499" customFormat="false" ht="15" hidden="false" customHeight="false" outlineLevel="0" collapsed="false">
      <c r="A499" s="2" t="s">
        <v>124</v>
      </c>
      <c r="B499" s="2" t="s">
        <v>46</v>
      </c>
      <c r="C499" s="14" t="s">
        <v>1515</v>
      </c>
      <c r="D499" s="40" t="n">
        <v>118910</v>
      </c>
      <c r="E499" s="2" t="s">
        <v>670</v>
      </c>
      <c r="F499" s="41" t="n">
        <v>5.61053738121268</v>
      </c>
      <c r="G499" s="31" t="n">
        <v>78.9</v>
      </c>
      <c r="H499" s="42" t="n">
        <v>0.208557780262222</v>
      </c>
      <c r="I499" s="31" t="n">
        <v>97.4</v>
      </c>
      <c r="J499" s="2" t="s">
        <v>2705</v>
      </c>
      <c r="K499" s="43" t="n">
        <v>0.328814157902998</v>
      </c>
      <c r="L499" s="31" t="n">
        <v>94.6</v>
      </c>
      <c r="M499" s="39" t="s">
        <v>671</v>
      </c>
      <c r="N499" s="2" t="s">
        <v>21</v>
      </c>
      <c r="O499" s="2" t="s">
        <v>21</v>
      </c>
      <c r="P499" s="2" t="s">
        <v>21</v>
      </c>
      <c r="Q499" s="2" t="s">
        <v>21</v>
      </c>
    </row>
    <row r="500" customFormat="false" ht="15" hidden="false" customHeight="false" outlineLevel="0" collapsed="false">
      <c r="A500" s="2" t="s">
        <v>2581</v>
      </c>
      <c r="B500" s="2" t="s">
        <v>45</v>
      </c>
      <c r="C500" s="16"/>
      <c r="D500" s="29"/>
      <c r="E500" s="2"/>
      <c r="F500" s="30"/>
      <c r="G500" s="31"/>
      <c r="H500" s="32"/>
      <c r="I500" s="31"/>
      <c r="J500" s="2"/>
      <c r="K500" s="33"/>
      <c r="L500" s="31"/>
      <c r="M500" s="34" t="s">
        <v>668</v>
      </c>
      <c r="N500" s="2"/>
      <c r="O500" s="2"/>
      <c r="P500" s="2"/>
      <c r="Q500" s="2"/>
    </row>
    <row r="501" customFormat="false" ht="15" hidden="false" customHeight="false" outlineLevel="0" collapsed="false">
      <c r="A501" s="2" t="s">
        <v>2581</v>
      </c>
      <c r="B501" s="2" t="s">
        <v>46</v>
      </c>
      <c r="C501" s="15" t="s">
        <v>2824</v>
      </c>
      <c r="D501" s="44" t="n">
        <v>57566</v>
      </c>
      <c r="E501" s="2" t="s">
        <v>667</v>
      </c>
      <c r="F501" s="30"/>
      <c r="G501" s="31"/>
      <c r="H501" s="32"/>
      <c r="I501" s="31"/>
      <c r="J501" s="2"/>
      <c r="K501" s="33"/>
      <c r="L501" s="31"/>
      <c r="M501" s="34" t="s">
        <v>668</v>
      </c>
      <c r="N501" s="2" t="s">
        <v>17</v>
      </c>
      <c r="O501" s="2"/>
      <c r="P501" s="2"/>
      <c r="Q501" s="2"/>
    </row>
    <row r="502" customFormat="false" ht="15" hidden="false" customHeight="false" outlineLevel="0" collapsed="false">
      <c r="A502" s="2" t="s">
        <v>2581</v>
      </c>
      <c r="B502" s="2" t="s">
        <v>47</v>
      </c>
      <c r="C502" s="13" t="s">
        <v>2582</v>
      </c>
      <c r="D502" s="35" t="n">
        <v>62544</v>
      </c>
      <c r="E502" s="2" t="s">
        <v>667</v>
      </c>
      <c r="F502" s="36" t="n">
        <v>0.577689306728063</v>
      </c>
      <c r="G502" s="31" t="n">
        <v>15.4</v>
      </c>
      <c r="H502" s="37" t="n">
        <v>0.0386090768694266</v>
      </c>
      <c r="I502" s="31" t="n">
        <v>26.6</v>
      </c>
      <c r="J502" s="2" t="s">
        <v>2697</v>
      </c>
      <c r="K502" s="38" t="n">
        <v>0.249356002060793</v>
      </c>
      <c r="L502" s="31" t="n">
        <v>92</v>
      </c>
      <c r="M502" s="39" t="s">
        <v>671</v>
      </c>
      <c r="N502" s="2" t="s">
        <v>19</v>
      </c>
      <c r="O502" s="2" t="s">
        <v>19</v>
      </c>
      <c r="P502" s="2" t="s">
        <v>19</v>
      </c>
      <c r="Q502" s="2" t="s">
        <v>19</v>
      </c>
    </row>
    <row r="503" customFormat="false" ht="15" hidden="false" customHeight="false" outlineLevel="0" collapsed="false">
      <c r="A503" s="2" t="s">
        <v>1517</v>
      </c>
      <c r="B503" s="2" t="s">
        <v>45</v>
      </c>
      <c r="C503" s="16"/>
      <c r="D503" s="29"/>
      <c r="E503" s="2"/>
      <c r="F503" s="30"/>
      <c r="G503" s="31"/>
      <c r="H503" s="32"/>
      <c r="I503" s="31"/>
      <c r="J503" s="2"/>
      <c r="K503" s="33"/>
      <c r="L503" s="31"/>
      <c r="M503" s="34" t="s">
        <v>668</v>
      </c>
      <c r="N503" s="2"/>
      <c r="O503" s="2"/>
      <c r="P503" s="2"/>
      <c r="Q503" s="2"/>
    </row>
    <row r="504" customFormat="false" ht="15" hidden="false" customHeight="false" outlineLevel="0" collapsed="false">
      <c r="A504" s="2" t="s">
        <v>1517</v>
      </c>
      <c r="B504" s="2" t="s">
        <v>46</v>
      </c>
      <c r="C504" s="14" t="s">
        <v>1518</v>
      </c>
      <c r="D504" s="40" t="n">
        <v>13010</v>
      </c>
      <c r="E504" s="2" t="s">
        <v>667</v>
      </c>
      <c r="F504" s="41" t="n">
        <v>5.56187548039969</v>
      </c>
      <c r="G504" s="31" t="n">
        <v>78.6</v>
      </c>
      <c r="H504" s="42" t="n">
        <v>0.212488350419385</v>
      </c>
      <c r="I504" s="31" t="n">
        <v>95.9</v>
      </c>
      <c r="J504" s="2" t="s">
        <v>2700</v>
      </c>
      <c r="K504" s="43" t="n">
        <v>0.235101148168398</v>
      </c>
      <c r="L504" s="31" t="n">
        <v>79</v>
      </c>
      <c r="M504" s="39" t="s">
        <v>671</v>
      </c>
      <c r="N504" s="2" t="s">
        <v>21</v>
      </c>
      <c r="O504" s="2" t="s">
        <v>21</v>
      </c>
      <c r="P504" s="2" t="s">
        <v>21</v>
      </c>
      <c r="Q504" s="2" t="s">
        <v>21</v>
      </c>
    </row>
    <row r="505" customFormat="false" ht="15" hidden="false" customHeight="false" outlineLevel="0" collapsed="false">
      <c r="A505" s="2" t="s">
        <v>1517</v>
      </c>
      <c r="B505" s="2" t="s">
        <v>47</v>
      </c>
      <c r="C505" s="13" t="s">
        <v>2007</v>
      </c>
      <c r="D505" s="35" t="n">
        <v>37005</v>
      </c>
      <c r="E505" s="2" t="s">
        <v>667</v>
      </c>
      <c r="F505" s="36" t="n">
        <v>3.82145655992433</v>
      </c>
      <c r="G505" s="31" t="n">
        <v>93.9</v>
      </c>
      <c r="H505" s="37" t="n">
        <v>0.0914641340254837</v>
      </c>
      <c r="I505" s="31" t="n">
        <v>51.8</v>
      </c>
      <c r="J505" s="2" t="s">
        <v>2697</v>
      </c>
      <c r="K505" s="38" t="n">
        <v>0.0845913354175971</v>
      </c>
      <c r="L505" s="31" t="n">
        <v>46.7</v>
      </c>
      <c r="M505" s="39" t="s">
        <v>671</v>
      </c>
      <c r="N505" s="2" t="s">
        <v>19</v>
      </c>
      <c r="O505" s="2" t="s">
        <v>19</v>
      </c>
      <c r="P505" s="2" t="s">
        <v>19</v>
      </c>
      <c r="Q505" s="2" t="s">
        <v>19</v>
      </c>
    </row>
    <row r="506" customFormat="false" ht="15" hidden="false" customHeight="false" outlineLevel="0" collapsed="false">
      <c r="A506" s="2" t="s">
        <v>2825</v>
      </c>
      <c r="B506" s="2" t="s">
        <v>46</v>
      </c>
      <c r="C506" s="13" t="s">
        <v>2826</v>
      </c>
      <c r="D506" s="35" t="n">
        <v>494204</v>
      </c>
      <c r="E506" s="2" t="s">
        <v>670</v>
      </c>
      <c r="F506" s="36" t="n">
        <v>2.10812336605936</v>
      </c>
      <c r="G506" s="31" t="n">
        <v>29.6</v>
      </c>
      <c r="H506" s="37" t="n">
        <v>-0.00574778548306948</v>
      </c>
      <c r="I506" s="31" t="n">
        <v>9.3</v>
      </c>
      <c r="J506" s="2" t="s">
        <v>2705</v>
      </c>
      <c r="K506" s="33"/>
      <c r="L506" s="31"/>
      <c r="M506" s="34" t="s">
        <v>668</v>
      </c>
      <c r="N506" s="2" t="s">
        <v>19</v>
      </c>
      <c r="O506" s="2" t="s">
        <v>19</v>
      </c>
      <c r="P506" s="2" t="s">
        <v>19</v>
      </c>
      <c r="Q506" s="2"/>
    </row>
    <row r="507" customFormat="false" ht="15" hidden="false" customHeight="false" outlineLevel="0" collapsed="false">
      <c r="A507" s="2" t="s">
        <v>2290</v>
      </c>
      <c r="B507" s="2" t="s">
        <v>45</v>
      </c>
      <c r="C507" s="16"/>
      <c r="D507" s="29"/>
      <c r="E507" s="2"/>
      <c r="F507" s="30"/>
      <c r="G507" s="31"/>
      <c r="H507" s="32"/>
      <c r="I507" s="31"/>
      <c r="J507" s="2"/>
      <c r="K507" s="33"/>
      <c r="L507" s="31"/>
      <c r="M507" s="34" t="s">
        <v>668</v>
      </c>
      <c r="N507" s="2"/>
      <c r="O507" s="2"/>
      <c r="P507" s="2"/>
      <c r="Q507" s="2"/>
    </row>
    <row r="508" customFormat="false" ht="15" hidden="false" customHeight="false" outlineLevel="0" collapsed="false">
      <c r="A508" s="2" t="s">
        <v>2290</v>
      </c>
      <c r="B508" s="2" t="s">
        <v>46</v>
      </c>
      <c r="C508" s="16"/>
      <c r="D508" s="29"/>
      <c r="E508" s="2"/>
      <c r="F508" s="30"/>
      <c r="G508" s="31"/>
      <c r="H508" s="32"/>
      <c r="I508" s="31"/>
      <c r="J508" s="2"/>
      <c r="K508" s="33"/>
      <c r="L508" s="31"/>
      <c r="M508" s="34" t="s">
        <v>668</v>
      </c>
      <c r="N508" s="2"/>
      <c r="O508" s="2"/>
      <c r="P508" s="2"/>
      <c r="Q508" s="2"/>
    </row>
    <row r="509" customFormat="false" ht="15" hidden="false" customHeight="false" outlineLevel="0" collapsed="false">
      <c r="A509" s="2" t="s">
        <v>2290</v>
      </c>
      <c r="B509" s="2" t="s">
        <v>47</v>
      </c>
      <c r="C509" s="13" t="s">
        <v>2291</v>
      </c>
      <c r="D509" s="35" t="n">
        <v>1391</v>
      </c>
      <c r="E509" s="2" t="s">
        <v>678</v>
      </c>
      <c r="F509" s="36" t="n">
        <v>1.35442127965492</v>
      </c>
      <c r="G509" s="31" t="n">
        <v>54</v>
      </c>
      <c r="H509" s="37" t="n">
        <v>0.00797101449275362</v>
      </c>
      <c r="I509" s="31" t="n">
        <v>6.7</v>
      </c>
      <c r="J509" s="2" t="s">
        <v>2706</v>
      </c>
      <c r="K509" s="38" t="n">
        <v>0.1171875</v>
      </c>
      <c r="L509" s="31" t="n">
        <v>62.1</v>
      </c>
      <c r="M509" s="39" t="s">
        <v>671</v>
      </c>
      <c r="N509" s="2" t="s">
        <v>19</v>
      </c>
      <c r="O509" s="2" t="s">
        <v>19</v>
      </c>
      <c r="P509" s="2" t="s">
        <v>19</v>
      </c>
      <c r="Q509" s="2" t="s">
        <v>19</v>
      </c>
    </row>
    <row r="510" customFormat="false" ht="15" hidden="false" customHeight="false" outlineLevel="0" collapsed="false">
      <c r="A510" s="2" t="s">
        <v>1246</v>
      </c>
      <c r="B510" s="2" t="s">
        <v>45</v>
      </c>
      <c r="C510" s="14" t="s">
        <v>1247</v>
      </c>
      <c r="D510" s="40" t="n">
        <v>250050</v>
      </c>
      <c r="E510" s="2" t="s">
        <v>670</v>
      </c>
      <c r="F510" s="41" t="n">
        <v>0.336512697460508</v>
      </c>
      <c r="G510" s="31" t="n">
        <v>22.4</v>
      </c>
      <c r="H510" s="42" t="n">
        <v>0.072899682485197</v>
      </c>
      <c r="I510" s="31" t="n">
        <v>48.6</v>
      </c>
      <c r="J510" s="2" t="s">
        <v>2698</v>
      </c>
      <c r="K510" s="43" t="n">
        <v>0.0748162992651971</v>
      </c>
      <c r="L510" s="31" t="n">
        <v>23.5</v>
      </c>
      <c r="M510" s="39" t="s">
        <v>671</v>
      </c>
      <c r="N510" s="2" t="s">
        <v>21</v>
      </c>
      <c r="O510" s="2" t="s">
        <v>21</v>
      </c>
      <c r="P510" s="2" t="s">
        <v>21</v>
      </c>
      <c r="Q510" s="2" t="s">
        <v>21</v>
      </c>
    </row>
    <row r="511" customFormat="false" ht="15" hidden="false" customHeight="false" outlineLevel="0" collapsed="false">
      <c r="A511" s="2" t="s">
        <v>1246</v>
      </c>
      <c r="B511" s="2" t="s">
        <v>46</v>
      </c>
      <c r="C511" s="14" t="s">
        <v>2827</v>
      </c>
      <c r="D511" s="40" t="n">
        <v>28410</v>
      </c>
      <c r="E511" s="2" t="s">
        <v>667</v>
      </c>
      <c r="F511" s="41" t="n">
        <v>4.12935586061246</v>
      </c>
      <c r="G511" s="31" t="n">
        <v>64.3</v>
      </c>
      <c r="H511" s="42" t="n">
        <v>0.1359456217513</v>
      </c>
      <c r="I511" s="31" t="n">
        <v>73</v>
      </c>
      <c r="J511" s="2" t="s">
        <v>2700</v>
      </c>
      <c r="K511" s="33"/>
      <c r="L511" s="31"/>
      <c r="M511" s="34" t="s">
        <v>668</v>
      </c>
      <c r="N511" s="2" t="s">
        <v>21</v>
      </c>
      <c r="O511" s="2" t="s">
        <v>21</v>
      </c>
      <c r="P511" s="2" t="s">
        <v>21</v>
      </c>
      <c r="Q511" s="2"/>
    </row>
    <row r="512" customFormat="false" ht="15" hidden="false" customHeight="false" outlineLevel="0" collapsed="false">
      <c r="A512" s="2" t="s">
        <v>1522</v>
      </c>
      <c r="B512" s="2" t="s">
        <v>45</v>
      </c>
      <c r="C512" s="14" t="s">
        <v>2828</v>
      </c>
      <c r="D512" s="40" t="n">
        <v>136590</v>
      </c>
      <c r="E512" s="2" t="s">
        <v>670</v>
      </c>
      <c r="F512" s="41" t="n">
        <v>0.319013104912512</v>
      </c>
      <c r="G512" s="31" t="n">
        <v>20.5</v>
      </c>
      <c r="H512" s="42" t="n">
        <v>0.0333635950975942</v>
      </c>
      <c r="I512" s="31" t="n">
        <v>24.6</v>
      </c>
      <c r="J512" s="2" t="s">
        <v>2698</v>
      </c>
      <c r="K512" s="33"/>
      <c r="L512" s="31"/>
      <c r="M512" s="34" t="s">
        <v>668</v>
      </c>
      <c r="N512" s="2" t="s">
        <v>21</v>
      </c>
      <c r="O512" s="2" t="s">
        <v>21</v>
      </c>
      <c r="P512" s="2" t="s">
        <v>21</v>
      </c>
      <c r="Q512" s="2"/>
    </row>
    <row r="513" customFormat="false" ht="15" hidden="false" customHeight="false" outlineLevel="0" collapsed="false">
      <c r="A513" s="2" t="s">
        <v>1522</v>
      </c>
      <c r="B513" s="2" t="s">
        <v>46</v>
      </c>
      <c r="C513" s="14" t="s">
        <v>1523</v>
      </c>
      <c r="D513" s="40" t="n">
        <v>243330</v>
      </c>
      <c r="E513" s="2" t="s">
        <v>670</v>
      </c>
      <c r="F513" s="41" t="n">
        <v>5.49923560596721</v>
      </c>
      <c r="G513" s="31" t="n">
        <v>77.6</v>
      </c>
      <c r="H513" s="42" t="n">
        <v>0.00645241345080035</v>
      </c>
      <c r="I513" s="31" t="n">
        <v>13.2</v>
      </c>
      <c r="J513" s="2" t="s">
        <v>2705</v>
      </c>
      <c r="K513" s="43" t="n">
        <v>0.302752716597759</v>
      </c>
      <c r="L513" s="31" t="n">
        <v>91.2</v>
      </c>
      <c r="M513" s="39" t="s">
        <v>671</v>
      </c>
      <c r="N513" s="2" t="s">
        <v>21</v>
      </c>
      <c r="O513" s="2" t="s">
        <v>21</v>
      </c>
      <c r="P513" s="2" t="s">
        <v>21</v>
      </c>
      <c r="Q513" s="2" t="s">
        <v>21</v>
      </c>
    </row>
    <row r="514" customFormat="false" ht="15" hidden="false" customHeight="false" outlineLevel="0" collapsed="false">
      <c r="A514" s="2" t="s">
        <v>1522</v>
      </c>
      <c r="B514" s="2" t="s">
        <v>47</v>
      </c>
      <c r="C514" s="13" t="s">
        <v>1978</v>
      </c>
      <c r="D514" s="35" t="n">
        <v>48986</v>
      </c>
      <c r="E514" s="2" t="s">
        <v>667</v>
      </c>
      <c r="F514" s="36" t="n">
        <v>5.60243743110276</v>
      </c>
      <c r="G514" s="31" t="n">
        <v>97.9</v>
      </c>
      <c r="H514" s="37" t="n">
        <v>0.0780844227298737</v>
      </c>
      <c r="I514" s="31" t="n">
        <v>42.9</v>
      </c>
      <c r="J514" s="2" t="s">
        <v>2697</v>
      </c>
      <c r="K514" s="38" t="n">
        <v>0.131232161292282</v>
      </c>
      <c r="L514" s="31" t="n">
        <v>65.7</v>
      </c>
      <c r="M514" s="39" t="s">
        <v>671</v>
      </c>
      <c r="N514" s="2" t="s">
        <v>19</v>
      </c>
      <c r="O514" s="2" t="s">
        <v>19</v>
      </c>
      <c r="P514" s="2" t="s">
        <v>19</v>
      </c>
      <c r="Q514" s="2" t="s">
        <v>19</v>
      </c>
    </row>
    <row r="515" customFormat="false" ht="15" hidden="false" customHeight="false" outlineLevel="0" collapsed="false">
      <c r="A515" s="2" t="s">
        <v>1657</v>
      </c>
      <c r="B515" s="2" t="s">
        <v>46</v>
      </c>
      <c r="C515" s="14" t="s">
        <v>1658</v>
      </c>
      <c r="D515" s="40" t="n">
        <v>54490</v>
      </c>
      <c r="E515" s="2" t="s">
        <v>667</v>
      </c>
      <c r="F515" s="41" t="n">
        <v>3.3862727105891</v>
      </c>
      <c r="G515" s="31" t="n">
        <v>53.3</v>
      </c>
      <c r="H515" s="42" t="n">
        <v>-0.00999273255813954</v>
      </c>
      <c r="I515" s="31" t="n">
        <v>10.8</v>
      </c>
      <c r="J515" s="2" t="s">
        <v>2700</v>
      </c>
      <c r="K515" s="43" t="n">
        <v>0.0560120514927417</v>
      </c>
      <c r="L515" s="31" t="n">
        <v>16.3</v>
      </c>
      <c r="M515" s="39" t="s">
        <v>671</v>
      </c>
      <c r="N515" s="2" t="s">
        <v>21</v>
      </c>
      <c r="O515" s="2" t="s">
        <v>21</v>
      </c>
      <c r="P515" s="2" t="s">
        <v>21</v>
      </c>
      <c r="Q515" s="2" t="s">
        <v>21</v>
      </c>
    </row>
    <row r="516" customFormat="false" ht="15" hidden="false" customHeight="false" outlineLevel="0" collapsed="false">
      <c r="A516" s="2" t="s">
        <v>1657</v>
      </c>
      <c r="B516" s="2" t="s">
        <v>47</v>
      </c>
      <c r="C516" s="13" t="s">
        <v>2829</v>
      </c>
      <c r="D516" s="35" t="n">
        <v>4386</v>
      </c>
      <c r="E516" s="2" t="s">
        <v>678</v>
      </c>
      <c r="F516" s="30"/>
      <c r="G516" s="31"/>
      <c r="H516" s="37" t="n">
        <v>0.206602475928473</v>
      </c>
      <c r="I516" s="31" t="n">
        <v>93.3</v>
      </c>
      <c r="J516" s="2" t="s">
        <v>2706</v>
      </c>
      <c r="K516" s="33"/>
      <c r="L516" s="31"/>
      <c r="M516" s="34" t="s">
        <v>668</v>
      </c>
      <c r="N516" s="2" t="s">
        <v>19</v>
      </c>
      <c r="O516" s="2"/>
      <c r="P516" s="2" t="s">
        <v>19</v>
      </c>
      <c r="Q516" s="2"/>
    </row>
    <row r="517" customFormat="false" ht="15" hidden="false" customHeight="false" outlineLevel="0" collapsed="false">
      <c r="A517" s="2" t="s">
        <v>846</v>
      </c>
      <c r="B517" s="2" t="s">
        <v>45</v>
      </c>
      <c r="C517" s="14" t="s">
        <v>847</v>
      </c>
      <c r="D517" s="40" t="n">
        <v>28360</v>
      </c>
      <c r="E517" s="2" t="s">
        <v>667</v>
      </c>
      <c r="F517" s="41" t="n">
        <v>1.01502115655853</v>
      </c>
      <c r="G517" s="31" t="n">
        <v>75.6</v>
      </c>
      <c r="H517" s="42" t="n">
        <v>0.0384474551446357</v>
      </c>
      <c r="I517" s="31" t="n">
        <v>23</v>
      </c>
      <c r="J517" s="2" t="s">
        <v>2704</v>
      </c>
      <c r="K517" s="43" t="n">
        <v>0.155192532088681</v>
      </c>
      <c r="L517" s="31" t="n">
        <v>56.9</v>
      </c>
      <c r="M517" s="39" t="s">
        <v>671</v>
      </c>
      <c r="N517" s="2" t="s">
        <v>21</v>
      </c>
      <c r="O517" s="2" t="s">
        <v>21</v>
      </c>
      <c r="P517" s="2" t="s">
        <v>21</v>
      </c>
      <c r="Q517" s="2" t="s">
        <v>21</v>
      </c>
    </row>
    <row r="518" customFormat="false" ht="15" hidden="false" customHeight="false" outlineLevel="0" collapsed="false">
      <c r="A518" s="2" t="s">
        <v>846</v>
      </c>
      <c r="B518" s="2" t="s">
        <v>46</v>
      </c>
      <c r="C518" s="16"/>
      <c r="D518" s="29"/>
      <c r="E518" s="2"/>
      <c r="F518" s="30"/>
      <c r="G518" s="31"/>
      <c r="H518" s="32"/>
      <c r="I518" s="31"/>
      <c r="J518" s="2"/>
      <c r="K518" s="33"/>
      <c r="L518" s="31"/>
      <c r="M518" s="34" t="s">
        <v>668</v>
      </c>
      <c r="N518" s="2"/>
      <c r="O518" s="2"/>
      <c r="P518" s="2"/>
      <c r="Q518" s="2"/>
    </row>
    <row r="519" customFormat="false" ht="15" hidden="false" customHeight="false" outlineLevel="0" collapsed="false">
      <c r="A519" s="2" t="s">
        <v>846</v>
      </c>
      <c r="B519" s="2" t="s">
        <v>47</v>
      </c>
      <c r="C519" s="13" t="s">
        <v>2249</v>
      </c>
      <c r="D519" s="35" t="n">
        <v>42231</v>
      </c>
      <c r="E519" s="2" t="s">
        <v>667</v>
      </c>
      <c r="F519" s="36" t="n">
        <v>1.51237242783737</v>
      </c>
      <c r="G519" s="31" t="n">
        <v>59.3</v>
      </c>
      <c r="H519" s="37" t="n">
        <v>0.174453529117304</v>
      </c>
      <c r="I519" s="31" t="n">
        <v>89.4</v>
      </c>
      <c r="J519" s="2" t="s">
        <v>2697</v>
      </c>
      <c r="K519" s="38" t="n">
        <v>0.198485244189083</v>
      </c>
      <c r="L519" s="31" t="n">
        <v>82.1</v>
      </c>
      <c r="M519" s="39" t="s">
        <v>671</v>
      </c>
      <c r="N519" s="2" t="s">
        <v>19</v>
      </c>
      <c r="O519" s="2" t="s">
        <v>19</v>
      </c>
      <c r="P519" s="2" t="s">
        <v>19</v>
      </c>
      <c r="Q519" s="2" t="s">
        <v>19</v>
      </c>
    </row>
    <row r="520" customFormat="false" ht="15" hidden="false" customHeight="false" outlineLevel="0" collapsed="false">
      <c r="A520" s="2" t="s">
        <v>1796</v>
      </c>
      <c r="B520" s="2" t="s">
        <v>45</v>
      </c>
      <c r="C520" s="16"/>
      <c r="D520" s="29"/>
      <c r="E520" s="2"/>
      <c r="F520" s="30"/>
      <c r="G520" s="31"/>
      <c r="H520" s="32"/>
      <c r="I520" s="31"/>
      <c r="J520" s="2"/>
      <c r="K520" s="33"/>
      <c r="L520" s="31"/>
      <c r="M520" s="34" t="s">
        <v>668</v>
      </c>
      <c r="N520" s="2"/>
      <c r="O520" s="2"/>
      <c r="P520" s="2"/>
      <c r="Q520" s="2"/>
    </row>
    <row r="521" customFormat="false" ht="15" hidden="false" customHeight="false" outlineLevel="0" collapsed="false">
      <c r="A521" s="2" t="s">
        <v>1796</v>
      </c>
      <c r="B521" s="2" t="s">
        <v>46</v>
      </c>
      <c r="C521" s="14" t="s">
        <v>1797</v>
      </c>
      <c r="D521" s="40" t="n">
        <v>4560</v>
      </c>
      <c r="E521" s="2" t="s">
        <v>678</v>
      </c>
      <c r="F521" s="41" t="n">
        <v>2.16864035087719</v>
      </c>
      <c r="G521" s="31" t="n">
        <v>30.4</v>
      </c>
      <c r="H521" s="42" t="n">
        <v>0.13715710723192</v>
      </c>
      <c r="I521" s="31" t="n">
        <v>58.3</v>
      </c>
      <c r="J521" s="2" t="s">
        <v>2720</v>
      </c>
      <c r="K521" s="43" t="n">
        <v>0.113854595336077</v>
      </c>
      <c r="L521" s="31" t="n">
        <v>38.3</v>
      </c>
      <c r="M521" s="39" t="s">
        <v>671</v>
      </c>
      <c r="N521" s="2" t="s">
        <v>21</v>
      </c>
      <c r="O521" s="2" t="s">
        <v>21</v>
      </c>
      <c r="P521" s="2" t="s">
        <v>21</v>
      </c>
      <c r="Q521" s="2" t="s">
        <v>21</v>
      </c>
    </row>
    <row r="522" customFormat="false" ht="15" hidden="false" customHeight="false" outlineLevel="0" collapsed="false">
      <c r="A522" s="2" t="s">
        <v>1796</v>
      </c>
      <c r="B522" s="2" t="s">
        <v>47</v>
      </c>
      <c r="C522" s="16"/>
      <c r="D522" s="35" t="n">
        <v>45474</v>
      </c>
      <c r="E522" s="2" t="s">
        <v>667</v>
      </c>
      <c r="F522" s="36" t="n">
        <v>1.11221797070854</v>
      </c>
      <c r="G522" s="31" t="n">
        <v>44.5</v>
      </c>
      <c r="H522" s="37" t="n">
        <v>0.0280792186652198</v>
      </c>
      <c r="I522" s="31" t="n">
        <v>20.2</v>
      </c>
      <c r="J522" s="2" t="s">
        <v>2697</v>
      </c>
      <c r="K522" s="38" t="n">
        <v>0.219889502762431</v>
      </c>
      <c r="L522" s="31" t="n">
        <v>86.5</v>
      </c>
      <c r="M522" s="34" t="s">
        <v>668</v>
      </c>
      <c r="N522" s="2" t="s">
        <v>19</v>
      </c>
      <c r="O522" s="2" t="s">
        <v>19</v>
      </c>
      <c r="P522" s="2" t="s">
        <v>19</v>
      </c>
      <c r="Q522" s="2" t="s">
        <v>19</v>
      </c>
    </row>
    <row r="523" customFormat="false" ht="15" hidden="false" customHeight="false" outlineLevel="0" collapsed="false">
      <c r="A523" s="2" t="s">
        <v>915</v>
      </c>
      <c r="B523" s="2" t="s">
        <v>45</v>
      </c>
      <c r="C523" s="13" t="s">
        <v>916</v>
      </c>
      <c r="D523" s="35" t="n">
        <v>58510</v>
      </c>
      <c r="E523" s="2" t="s">
        <v>667</v>
      </c>
      <c r="F523" s="36" t="n">
        <v>0.847479063407964</v>
      </c>
      <c r="G523" s="31" t="n">
        <v>67.1</v>
      </c>
      <c r="H523" s="42" t="n">
        <v>0.107491221225127</v>
      </c>
      <c r="I523" s="31" t="n">
        <v>58.7</v>
      </c>
      <c r="J523" s="2" t="s">
        <v>2704</v>
      </c>
      <c r="K523" s="38" t="n">
        <v>0.120181405895692</v>
      </c>
      <c r="L523" s="31" t="n">
        <v>42</v>
      </c>
      <c r="M523" s="39" t="s">
        <v>671</v>
      </c>
      <c r="N523" s="2" t="s">
        <v>19</v>
      </c>
      <c r="O523" s="2" t="s">
        <v>19</v>
      </c>
      <c r="P523" s="2" t="s">
        <v>21</v>
      </c>
      <c r="Q523" s="2" t="s">
        <v>19</v>
      </c>
    </row>
    <row r="524" customFormat="false" ht="15" hidden="false" customHeight="false" outlineLevel="0" collapsed="false">
      <c r="A524" s="2" t="s">
        <v>915</v>
      </c>
      <c r="B524" s="2" t="s">
        <v>46</v>
      </c>
      <c r="C524" s="14" t="s">
        <v>1812</v>
      </c>
      <c r="D524" s="40" t="n">
        <v>58720</v>
      </c>
      <c r="E524" s="2" t="s">
        <v>667</v>
      </c>
      <c r="F524" s="41" t="n">
        <v>2.03496253405995</v>
      </c>
      <c r="G524" s="31" t="n">
        <v>27.3</v>
      </c>
      <c r="H524" s="42" t="n">
        <v>0.0857988165680473</v>
      </c>
      <c r="I524" s="31" t="n">
        <v>47.7</v>
      </c>
      <c r="J524" s="2" t="s">
        <v>2700</v>
      </c>
      <c r="K524" s="43" t="n">
        <v>0.0119898547382984</v>
      </c>
      <c r="L524" s="31" t="n">
        <v>2.1</v>
      </c>
      <c r="M524" s="39" t="s">
        <v>671</v>
      </c>
      <c r="N524" s="2" t="s">
        <v>21</v>
      </c>
      <c r="O524" s="2" t="s">
        <v>21</v>
      </c>
      <c r="P524" s="2" t="s">
        <v>21</v>
      </c>
      <c r="Q524" s="2" t="s">
        <v>21</v>
      </c>
    </row>
    <row r="525" customFormat="false" ht="15" hidden="false" customHeight="false" outlineLevel="0" collapsed="false">
      <c r="A525" s="2" t="s">
        <v>915</v>
      </c>
      <c r="B525" s="2" t="s">
        <v>47</v>
      </c>
      <c r="C525" s="16"/>
      <c r="D525" s="29"/>
      <c r="E525" s="2"/>
      <c r="F525" s="30"/>
      <c r="G525" s="31"/>
      <c r="H525" s="32"/>
      <c r="I525" s="31"/>
      <c r="J525" s="2"/>
      <c r="K525" s="33"/>
      <c r="L525" s="31"/>
      <c r="M525" s="34" t="s">
        <v>668</v>
      </c>
      <c r="N525" s="2"/>
      <c r="O525" s="2"/>
      <c r="P525" s="2"/>
      <c r="Q525" s="2"/>
    </row>
    <row r="526" customFormat="false" ht="15" hidden="false" customHeight="false" outlineLevel="0" collapsed="false">
      <c r="A526" s="2" t="s">
        <v>941</v>
      </c>
      <c r="B526" s="2" t="s">
        <v>45</v>
      </c>
      <c r="C526" s="14" t="s">
        <v>942</v>
      </c>
      <c r="D526" s="40" t="n">
        <v>44800</v>
      </c>
      <c r="E526" s="2" t="s">
        <v>667</v>
      </c>
      <c r="F526" s="41" t="n">
        <v>0.77625</v>
      </c>
      <c r="G526" s="31" t="n">
        <v>63.7</v>
      </c>
      <c r="H526" s="42" t="n">
        <v>-0.0621729118693741</v>
      </c>
      <c r="I526" s="31" t="n">
        <v>2</v>
      </c>
      <c r="J526" s="2" t="s">
        <v>2704</v>
      </c>
      <c r="K526" s="43" t="n">
        <v>0.353932584269663</v>
      </c>
      <c r="L526" s="31" t="n">
        <v>96.7</v>
      </c>
      <c r="M526" s="39" t="s">
        <v>671</v>
      </c>
      <c r="N526" s="2" t="s">
        <v>21</v>
      </c>
      <c r="O526" s="2" t="s">
        <v>21</v>
      </c>
      <c r="P526" s="2" t="s">
        <v>21</v>
      </c>
      <c r="Q526" s="2" t="s">
        <v>21</v>
      </c>
    </row>
    <row r="527" customFormat="false" ht="15" hidden="false" customHeight="false" outlineLevel="0" collapsed="false">
      <c r="A527" s="2" t="s">
        <v>941</v>
      </c>
      <c r="B527" s="2" t="s">
        <v>46</v>
      </c>
      <c r="C527" s="16"/>
      <c r="D527" s="29"/>
      <c r="E527" s="2"/>
      <c r="F527" s="30"/>
      <c r="G527" s="31"/>
      <c r="H527" s="32"/>
      <c r="I527" s="31"/>
      <c r="J527" s="2"/>
      <c r="K527" s="33"/>
      <c r="L527" s="31"/>
      <c r="M527" s="34" t="s">
        <v>668</v>
      </c>
      <c r="N527" s="2"/>
      <c r="O527" s="2"/>
      <c r="P527" s="2"/>
      <c r="Q527" s="2"/>
    </row>
    <row r="528" customFormat="false" ht="15" hidden="false" customHeight="false" outlineLevel="0" collapsed="false">
      <c r="A528" s="2" t="s">
        <v>941</v>
      </c>
      <c r="B528" s="2" t="s">
        <v>47</v>
      </c>
      <c r="C528" s="13" t="s">
        <v>2679</v>
      </c>
      <c r="D528" s="35" t="n">
        <v>147708</v>
      </c>
      <c r="E528" s="2" t="s">
        <v>670</v>
      </c>
      <c r="F528" s="36" t="n">
        <v>0.219541257074769</v>
      </c>
      <c r="G528" s="31" t="n">
        <v>1.1</v>
      </c>
      <c r="H528" s="37" t="n">
        <v>0.00990017776562286</v>
      </c>
      <c r="I528" s="31" t="n">
        <v>15.7</v>
      </c>
      <c r="J528" s="2" t="s">
        <v>2701</v>
      </c>
      <c r="K528" s="38" t="n">
        <v>0.226195259140217</v>
      </c>
      <c r="L528" s="31" t="n">
        <v>88.6</v>
      </c>
      <c r="M528" s="39" t="s">
        <v>671</v>
      </c>
      <c r="N528" s="2" t="s">
        <v>19</v>
      </c>
      <c r="O528" s="2" t="s">
        <v>19</v>
      </c>
      <c r="P528" s="2" t="s">
        <v>19</v>
      </c>
      <c r="Q528" s="2" t="s">
        <v>19</v>
      </c>
    </row>
    <row r="529" customFormat="false" ht="15" hidden="false" customHeight="false" outlineLevel="0" collapsed="false">
      <c r="A529" s="2" t="s">
        <v>1022</v>
      </c>
      <c r="B529" s="2" t="s">
        <v>45</v>
      </c>
      <c r="C529" s="14" t="s">
        <v>1023</v>
      </c>
      <c r="D529" s="40" t="n">
        <v>39320</v>
      </c>
      <c r="E529" s="2" t="s">
        <v>667</v>
      </c>
      <c r="F529" s="41" t="n">
        <v>0.630239064089522</v>
      </c>
      <c r="G529" s="31" t="n">
        <v>52.1</v>
      </c>
      <c r="H529" s="42" t="n">
        <v>0.0787379972565158</v>
      </c>
      <c r="I529" s="31" t="n">
        <v>44.8</v>
      </c>
      <c r="J529" s="2" t="s">
        <v>2704</v>
      </c>
      <c r="K529" s="43" t="n">
        <v>0.228313671061763</v>
      </c>
      <c r="L529" s="31" t="n">
        <v>77.6</v>
      </c>
      <c r="M529" s="39" t="s">
        <v>671</v>
      </c>
      <c r="N529" s="2" t="s">
        <v>21</v>
      </c>
      <c r="O529" s="2" t="s">
        <v>21</v>
      </c>
      <c r="P529" s="2" t="s">
        <v>21</v>
      </c>
      <c r="Q529" s="2" t="s">
        <v>21</v>
      </c>
    </row>
    <row r="530" customFormat="false" ht="15" hidden="false" customHeight="false" outlineLevel="0" collapsed="false">
      <c r="A530" s="2" t="s">
        <v>1022</v>
      </c>
      <c r="B530" s="2" t="s">
        <v>46</v>
      </c>
      <c r="C530" s="14" t="s">
        <v>2830</v>
      </c>
      <c r="D530" s="40" t="n">
        <v>368250</v>
      </c>
      <c r="E530" s="2" t="s">
        <v>670</v>
      </c>
      <c r="F530" s="41" t="n">
        <v>5.12691649694501</v>
      </c>
      <c r="G530" s="31" t="n">
        <v>74.2</v>
      </c>
      <c r="H530" s="42" t="n">
        <v>-0.0559628794093519</v>
      </c>
      <c r="I530" s="31" t="n">
        <v>2</v>
      </c>
      <c r="J530" s="2" t="s">
        <v>2705</v>
      </c>
      <c r="K530" s="33"/>
      <c r="L530" s="31"/>
      <c r="M530" s="34" t="s">
        <v>668</v>
      </c>
      <c r="N530" s="2" t="s">
        <v>21</v>
      </c>
      <c r="O530" s="2" t="s">
        <v>21</v>
      </c>
      <c r="P530" s="2" t="s">
        <v>21</v>
      </c>
      <c r="Q530" s="2"/>
    </row>
    <row r="531" customFormat="false" ht="15" hidden="false" customHeight="false" outlineLevel="0" collapsed="false">
      <c r="A531" s="2" t="s">
        <v>1022</v>
      </c>
      <c r="B531" s="2" t="s">
        <v>47</v>
      </c>
      <c r="C531" s="13" t="s">
        <v>2472</v>
      </c>
      <c r="D531" s="35" t="n">
        <v>11899403</v>
      </c>
      <c r="E531" s="2" t="s">
        <v>752</v>
      </c>
      <c r="F531" s="36" t="n">
        <v>0.845134583642558</v>
      </c>
      <c r="G531" s="31" t="n">
        <v>29.5</v>
      </c>
      <c r="H531" s="37" t="n">
        <v>0.0511973827228898</v>
      </c>
      <c r="I531" s="31" t="n">
        <v>50</v>
      </c>
      <c r="J531" s="2" t="s">
        <v>2738</v>
      </c>
      <c r="K531" s="38" t="n">
        <v>0.107819918038288</v>
      </c>
      <c r="L531" s="31" t="n">
        <v>58.5</v>
      </c>
      <c r="M531" s="39" t="s">
        <v>671</v>
      </c>
      <c r="N531" s="2" t="s">
        <v>19</v>
      </c>
      <c r="O531" s="2" t="s">
        <v>19</v>
      </c>
      <c r="P531" s="2" t="s">
        <v>19</v>
      </c>
      <c r="Q531" s="2" t="s">
        <v>19</v>
      </c>
    </row>
    <row r="532" customFormat="false" ht="15" hidden="false" customHeight="false" outlineLevel="0" collapsed="false">
      <c r="A532" s="2" t="s">
        <v>558</v>
      </c>
      <c r="B532" s="2" t="s">
        <v>45</v>
      </c>
      <c r="C532" s="14" t="s">
        <v>1344</v>
      </c>
      <c r="D532" s="35" t="n">
        <v>3013</v>
      </c>
      <c r="E532" s="2" t="s">
        <v>678</v>
      </c>
      <c r="F532" s="36" t="n">
        <v>0.174576833720544</v>
      </c>
      <c r="G532" s="31" t="n">
        <v>5.8</v>
      </c>
      <c r="H532" s="37" t="n">
        <v>0.0940450254175744</v>
      </c>
      <c r="I532" s="31" t="n">
        <v>63</v>
      </c>
      <c r="J532" s="2" t="s">
        <v>2713</v>
      </c>
      <c r="K532" s="38" t="n">
        <v>0</v>
      </c>
      <c r="L532" s="31" t="n">
        <v>1</v>
      </c>
      <c r="M532" s="39" t="s">
        <v>671</v>
      </c>
      <c r="N532" s="2" t="s">
        <v>19</v>
      </c>
      <c r="O532" s="2" t="s">
        <v>19</v>
      </c>
      <c r="P532" s="2" t="s">
        <v>19</v>
      </c>
      <c r="Q532" s="2" t="s">
        <v>19</v>
      </c>
    </row>
    <row r="533" customFormat="false" ht="15" hidden="false" customHeight="false" outlineLevel="0" collapsed="false">
      <c r="A533" s="2" t="s">
        <v>558</v>
      </c>
      <c r="B533" s="2" t="s">
        <v>46</v>
      </c>
      <c r="C533" s="14" t="s">
        <v>1684</v>
      </c>
      <c r="D533" s="40" t="n">
        <v>11650</v>
      </c>
      <c r="E533" s="2" t="s">
        <v>667</v>
      </c>
      <c r="F533" s="41" t="n">
        <v>3.11064377682403</v>
      </c>
      <c r="G533" s="31" t="n">
        <v>49.3</v>
      </c>
      <c r="H533" s="42" t="n">
        <v>0.0658737419945105</v>
      </c>
      <c r="I533" s="31" t="n">
        <v>37.3</v>
      </c>
      <c r="J533" s="2" t="s">
        <v>2700</v>
      </c>
      <c r="K533" s="43" t="n">
        <v>0.0962587685113016</v>
      </c>
      <c r="L533" s="31" t="n">
        <v>31.3</v>
      </c>
      <c r="M533" s="39" t="s">
        <v>671</v>
      </c>
      <c r="N533" s="2" t="s">
        <v>21</v>
      </c>
      <c r="O533" s="2" t="s">
        <v>21</v>
      </c>
      <c r="P533" s="2" t="s">
        <v>21</v>
      </c>
      <c r="Q533" s="2" t="s">
        <v>21</v>
      </c>
    </row>
    <row r="534" customFormat="false" ht="15" hidden="false" customHeight="false" outlineLevel="0" collapsed="false">
      <c r="A534" s="2" t="s">
        <v>665</v>
      </c>
      <c r="B534" s="2" t="s">
        <v>45</v>
      </c>
      <c r="C534" s="13" t="s">
        <v>666</v>
      </c>
      <c r="D534" s="35" t="n">
        <v>35764</v>
      </c>
      <c r="E534" s="2" t="s">
        <v>667</v>
      </c>
      <c r="F534" s="36" t="n">
        <v>10.6433844089028</v>
      </c>
      <c r="G534" s="31" t="n">
        <v>100</v>
      </c>
      <c r="H534" s="37" t="n">
        <v>0.0604595997034841</v>
      </c>
      <c r="I534" s="31" t="n">
        <v>32.1</v>
      </c>
      <c r="J534" s="2" t="s">
        <v>2704</v>
      </c>
      <c r="K534" s="38" t="n">
        <v>0.16833103764922</v>
      </c>
      <c r="L534" s="31" t="n">
        <v>60.8</v>
      </c>
      <c r="M534" s="39" t="s">
        <v>671</v>
      </c>
      <c r="N534" s="2" t="s">
        <v>19</v>
      </c>
      <c r="O534" s="2" t="s">
        <v>19</v>
      </c>
      <c r="P534" s="2" t="s">
        <v>19</v>
      </c>
      <c r="Q534" s="2" t="s">
        <v>19</v>
      </c>
    </row>
    <row r="535" customFormat="false" ht="15" hidden="false" customHeight="false" outlineLevel="0" collapsed="false">
      <c r="A535" s="2" t="s">
        <v>665</v>
      </c>
      <c r="B535" s="2" t="s">
        <v>46</v>
      </c>
      <c r="C535" s="16"/>
      <c r="D535" s="29"/>
      <c r="E535" s="2"/>
      <c r="F535" s="30"/>
      <c r="G535" s="31"/>
      <c r="H535" s="32"/>
      <c r="I535" s="31"/>
      <c r="J535" s="2"/>
      <c r="K535" s="33"/>
      <c r="L535" s="31"/>
      <c r="M535" s="34" t="s">
        <v>668</v>
      </c>
      <c r="N535" s="2"/>
      <c r="O535" s="2"/>
      <c r="P535" s="2"/>
      <c r="Q535" s="2"/>
    </row>
    <row r="536" customFormat="false" ht="15" hidden="false" customHeight="false" outlineLevel="0" collapsed="false">
      <c r="A536" s="2" t="s">
        <v>665</v>
      </c>
      <c r="B536" s="2" t="s">
        <v>47</v>
      </c>
      <c r="C536" s="14" t="s">
        <v>2831</v>
      </c>
      <c r="D536" s="40" t="n">
        <v>179060</v>
      </c>
      <c r="E536" s="2" t="s">
        <v>670</v>
      </c>
      <c r="F536" s="41" t="n">
        <v>0.992108790349604</v>
      </c>
      <c r="G536" s="31" t="n">
        <v>36.7</v>
      </c>
      <c r="H536" s="42" t="n">
        <v>0.180200369100976</v>
      </c>
      <c r="I536" s="31" t="n">
        <v>88</v>
      </c>
      <c r="J536" s="2" t="s">
        <v>2701</v>
      </c>
      <c r="K536" s="33"/>
      <c r="L536" s="31"/>
      <c r="M536" s="34" t="s">
        <v>668</v>
      </c>
      <c r="N536" s="2" t="s">
        <v>21</v>
      </c>
      <c r="O536" s="2" t="s">
        <v>21</v>
      </c>
      <c r="P536" s="2" t="s">
        <v>21</v>
      </c>
      <c r="Q536" s="2"/>
    </row>
    <row r="537" customFormat="false" ht="15" hidden="false" customHeight="false" outlineLevel="0" collapsed="false">
      <c r="A537" s="2" t="s">
        <v>799</v>
      </c>
      <c r="B537" s="2" t="s">
        <v>45</v>
      </c>
      <c r="C537" s="13" t="s">
        <v>800</v>
      </c>
      <c r="D537" s="35" t="n">
        <v>536210</v>
      </c>
      <c r="E537" s="2" t="s">
        <v>670</v>
      </c>
      <c r="F537" s="36" t="n">
        <v>1.2208892038567</v>
      </c>
      <c r="G537" s="31" t="n">
        <v>83.5</v>
      </c>
      <c r="H537" s="37" t="n">
        <v>0.113489963825749</v>
      </c>
      <c r="I537" s="31" t="n">
        <v>63.8</v>
      </c>
      <c r="J537" s="2" t="s">
        <v>2698</v>
      </c>
      <c r="K537" s="47" t="s">
        <v>680</v>
      </c>
      <c r="L537" s="31"/>
      <c r="M537" s="39" t="s">
        <v>671</v>
      </c>
      <c r="N537" s="2" t="s">
        <v>19</v>
      </c>
      <c r="O537" s="2" t="s">
        <v>19</v>
      </c>
      <c r="P537" s="2" t="s">
        <v>19</v>
      </c>
      <c r="Q537" s="2" t="s">
        <v>2715</v>
      </c>
    </row>
    <row r="538" customFormat="false" ht="15" hidden="false" customHeight="false" outlineLevel="0" collapsed="false">
      <c r="A538" s="2" t="s">
        <v>799</v>
      </c>
      <c r="B538" s="2" t="s">
        <v>46</v>
      </c>
      <c r="C538" s="14" t="s">
        <v>2832</v>
      </c>
      <c r="D538" s="40" t="n">
        <v>27280</v>
      </c>
      <c r="E538" s="2" t="s">
        <v>667</v>
      </c>
      <c r="F538" s="41" t="n">
        <v>0.540689149560117</v>
      </c>
      <c r="G538" s="31" t="n">
        <v>1.3</v>
      </c>
      <c r="H538" s="42" t="n">
        <v>-0.0333097094259391</v>
      </c>
      <c r="I538" s="31" t="n">
        <v>6.6</v>
      </c>
      <c r="J538" s="2" t="s">
        <v>2700</v>
      </c>
      <c r="K538" s="33"/>
      <c r="L538" s="31"/>
      <c r="M538" s="34" t="s">
        <v>668</v>
      </c>
      <c r="N538" s="2" t="s">
        <v>21</v>
      </c>
      <c r="O538" s="2" t="s">
        <v>21</v>
      </c>
      <c r="P538" s="2" t="s">
        <v>21</v>
      </c>
      <c r="Q538" s="2"/>
    </row>
    <row r="539" customFormat="false" ht="15" hidden="false" customHeight="false" outlineLevel="0" collapsed="false">
      <c r="A539" s="2" t="s">
        <v>799</v>
      </c>
      <c r="B539" s="2" t="s">
        <v>47</v>
      </c>
      <c r="C539" s="13" t="s">
        <v>2024</v>
      </c>
      <c r="D539" s="35" t="n">
        <v>322782</v>
      </c>
      <c r="E539" s="2" t="s">
        <v>670</v>
      </c>
      <c r="F539" s="36" t="n">
        <v>3.36706197991214</v>
      </c>
      <c r="G539" s="31" t="n">
        <v>91.4</v>
      </c>
      <c r="H539" s="37" t="n">
        <v>0.0722763890042355</v>
      </c>
      <c r="I539" s="31" t="n">
        <v>45.2</v>
      </c>
      <c r="J539" s="2" t="s">
        <v>2701</v>
      </c>
      <c r="K539" s="38" t="n">
        <v>0.0363546403411635</v>
      </c>
      <c r="L539" s="31" t="n">
        <v>23.6</v>
      </c>
      <c r="M539" s="39" t="s">
        <v>671</v>
      </c>
      <c r="N539" s="2" t="s">
        <v>19</v>
      </c>
      <c r="O539" s="2" t="s">
        <v>19</v>
      </c>
      <c r="P539" s="2" t="s">
        <v>19</v>
      </c>
      <c r="Q539" s="2" t="s">
        <v>19</v>
      </c>
    </row>
    <row r="540" customFormat="false" ht="15" hidden="false" customHeight="false" outlineLevel="0" collapsed="false">
      <c r="A540" s="2" t="s">
        <v>2833</v>
      </c>
      <c r="B540" s="2" t="s">
        <v>45</v>
      </c>
      <c r="C540" s="13" t="s">
        <v>2834</v>
      </c>
      <c r="D540" s="35" t="n">
        <v>1189553</v>
      </c>
      <c r="E540" s="2" t="s">
        <v>752</v>
      </c>
      <c r="F540" s="36" t="n">
        <v>1.57242006030837</v>
      </c>
      <c r="G540" s="31" t="n">
        <v>88.9</v>
      </c>
      <c r="H540" s="37" t="n">
        <v>-0.0100496908779665</v>
      </c>
      <c r="I540" s="31" t="n">
        <v>6.2</v>
      </c>
      <c r="J540" s="2" t="s">
        <v>2712</v>
      </c>
      <c r="K540" s="33"/>
      <c r="L540" s="31"/>
      <c r="M540" s="34" t="s">
        <v>668</v>
      </c>
      <c r="N540" s="2" t="s">
        <v>19</v>
      </c>
      <c r="O540" s="2" t="s">
        <v>19</v>
      </c>
      <c r="P540" s="2" t="s">
        <v>19</v>
      </c>
      <c r="Q540" s="2"/>
    </row>
    <row r="541" customFormat="false" ht="15" hidden="false" customHeight="false" outlineLevel="0" collapsed="false">
      <c r="A541" s="2" t="s">
        <v>2833</v>
      </c>
      <c r="B541" s="2" t="s">
        <v>46</v>
      </c>
      <c r="C541" s="14" t="s">
        <v>2835</v>
      </c>
      <c r="D541" s="44" t="n">
        <v>301588</v>
      </c>
      <c r="E541" s="2" t="s">
        <v>670</v>
      </c>
      <c r="F541" s="45" t="n">
        <v>3.43080958128308</v>
      </c>
      <c r="G541" s="31" t="n">
        <v>53.9</v>
      </c>
      <c r="H541" s="46" t="n">
        <v>0.0424172876716117</v>
      </c>
      <c r="I541" s="31" t="n">
        <v>28.5</v>
      </c>
      <c r="J541" s="2" t="s">
        <v>2705</v>
      </c>
      <c r="K541" s="33"/>
      <c r="L541" s="31"/>
      <c r="M541" s="34" t="s">
        <v>668</v>
      </c>
      <c r="N541" s="2" t="s">
        <v>17</v>
      </c>
      <c r="O541" s="2" t="s">
        <v>17</v>
      </c>
      <c r="P541" s="2" t="s">
        <v>17</v>
      </c>
      <c r="Q541" s="2"/>
    </row>
    <row r="542" customFormat="false" ht="15" hidden="false" customHeight="false" outlineLevel="0" collapsed="false">
      <c r="A542" s="2" t="s">
        <v>169</v>
      </c>
      <c r="B542" s="2" t="s">
        <v>46</v>
      </c>
      <c r="C542" s="14" t="s">
        <v>1538</v>
      </c>
      <c r="D542" s="40" t="n">
        <v>36350</v>
      </c>
      <c r="E542" s="2" t="s">
        <v>667</v>
      </c>
      <c r="F542" s="41" t="n">
        <v>5.20514442916094</v>
      </c>
      <c r="G542" s="31" t="n">
        <v>75.1</v>
      </c>
      <c r="H542" s="42" t="n">
        <v>-0.0340154132341217</v>
      </c>
      <c r="I542" s="31" t="n">
        <v>5.8</v>
      </c>
      <c r="J542" s="2" t="s">
        <v>2700</v>
      </c>
      <c r="K542" s="43" t="n">
        <v>0.0510246565203312</v>
      </c>
      <c r="L542" s="31" t="n">
        <v>14.2</v>
      </c>
      <c r="M542" s="39" t="s">
        <v>671</v>
      </c>
      <c r="N542" s="2" t="s">
        <v>21</v>
      </c>
      <c r="O542" s="2" t="s">
        <v>21</v>
      </c>
      <c r="P542" s="2" t="s">
        <v>21</v>
      </c>
      <c r="Q542" s="2" t="s">
        <v>21</v>
      </c>
    </row>
    <row r="543" customFormat="false" ht="15" hidden="false" customHeight="false" outlineLevel="0" collapsed="false">
      <c r="A543" s="2" t="s">
        <v>2078</v>
      </c>
      <c r="B543" s="2" t="s">
        <v>45</v>
      </c>
      <c r="C543" s="15" t="s">
        <v>2836</v>
      </c>
      <c r="D543" s="44" t="n">
        <v>21705</v>
      </c>
      <c r="E543" s="2" t="s">
        <v>667</v>
      </c>
      <c r="F543" s="45" t="n">
        <v>1.50205021884358</v>
      </c>
      <c r="G543" s="31" t="n">
        <v>88.2</v>
      </c>
      <c r="H543" s="32"/>
      <c r="I543" s="31"/>
      <c r="J543" s="2"/>
      <c r="K543" s="33"/>
      <c r="L543" s="31"/>
      <c r="M543" s="34" t="s">
        <v>668</v>
      </c>
      <c r="N543" s="2" t="s">
        <v>17</v>
      </c>
      <c r="O543" s="2" t="s">
        <v>17</v>
      </c>
      <c r="P543" s="2"/>
      <c r="Q543" s="2"/>
    </row>
    <row r="544" customFormat="false" ht="15" hidden="false" customHeight="false" outlineLevel="0" collapsed="false">
      <c r="A544" s="2" t="s">
        <v>2078</v>
      </c>
      <c r="B544" s="2" t="s">
        <v>47</v>
      </c>
      <c r="C544" s="13" t="s">
        <v>2079</v>
      </c>
      <c r="D544" s="35" t="n">
        <v>294297</v>
      </c>
      <c r="E544" s="2" t="s">
        <v>670</v>
      </c>
      <c r="F544" s="36" t="n">
        <v>2.59019290036936</v>
      </c>
      <c r="G544" s="31" t="n">
        <v>84</v>
      </c>
      <c r="H544" s="37" t="n">
        <v>-0.0365574994107325</v>
      </c>
      <c r="I544" s="31" t="n">
        <v>6.6</v>
      </c>
      <c r="J544" s="2" t="s">
        <v>2701</v>
      </c>
      <c r="K544" s="38" t="n">
        <v>0.161863429850139</v>
      </c>
      <c r="L544" s="31" t="n">
        <v>73.7</v>
      </c>
      <c r="M544" s="39" t="s">
        <v>671</v>
      </c>
      <c r="N544" s="2" t="s">
        <v>19</v>
      </c>
      <c r="O544" s="2" t="s">
        <v>19</v>
      </c>
      <c r="P544" s="2" t="s">
        <v>19</v>
      </c>
      <c r="Q544" s="2" t="s">
        <v>19</v>
      </c>
    </row>
    <row r="545" customFormat="false" ht="15" hidden="false" customHeight="false" outlineLevel="0" collapsed="false">
      <c r="A545" s="2" t="s">
        <v>1463</v>
      </c>
      <c r="B545" s="2" t="s">
        <v>45</v>
      </c>
      <c r="C545" s="15" t="s">
        <v>2837</v>
      </c>
      <c r="D545" s="44" t="n">
        <v>29373</v>
      </c>
      <c r="E545" s="2" t="s">
        <v>667</v>
      </c>
      <c r="F545" s="45" t="n">
        <v>0.484186157355394</v>
      </c>
      <c r="G545" s="31" t="n">
        <v>39.1</v>
      </c>
      <c r="H545" s="46" t="n">
        <v>0.0761311595530317</v>
      </c>
      <c r="I545" s="31" t="n">
        <v>42.5</v>
      </c>
      <c r="J545" s="2" t="s">
        <v>2704</v>
      </c>
      <c r="K545" s="33"/>
      <c r="L545" s="31"/>
      <c r="M545" s="34" t="s">
        <v>668</v>
      </c>
      <c r="N545" s="2" t="s">
        <v>17</v>
      </c>
      <c r="O545" s="2" t="s">
        <v>17</v>
      </c>
      <c r="P545" s="2" t="s">
        <v>17</v>
      </c>
      <c r="Q545" s="2"/>
    </row>
    <row r="546" customFormat="false" ht="15" hidden="false" customHeight="false" outlineLevel="0" collapsed="false">
      <c r="A546" s="2" t="s">
        <v>1463</v>
      </c>
      <c r="B546" s="2" t="s">
        <v>46</v>
      </c>
      <c r="C546" s="13" t="s">
        <v>1464</v>
      </c>
      <c r="D546" s="35" t="n">
        <v>31423</v>
      </c>
      <c r="E546" s="2" t="s">
        <v>667</v>
      </c>
      <c r="F546" s="36" t="n">
        <v>6.91576233968749</v>
      </c>
      <c r="G546" s="31" t="n">
        <v>86.7</v>
      </c>
      <c r="H546" s="37" t="n">
        <v>0.115675483756435</v>
      </c>
      <c r="I546" s="31" t="n">
        <v>61.8</v>
      </c>
      <c r="J546" s="2" t="s">
        <v>2700</v>
      </c>
      <c r="K546" s="38" t="n">
        <v>0.048319094641074</v>
      </c>
      <c r="L546" s="31" t="n">
        <v>12.7</v>
      </c>
      <c r="M546" s="39" t="s">
        <v>671</v>
      </c>
      <c r="N546" s="2" t="s">
        <v>19</v>
      </c>
      <c r="O546" s="2" t="s">
        <v>19</v>
      </c>
      <c r="P546" s="2" t="s">
        <v>19</v>
      </c>
      <c r="Q546" s="2" t="s">
        <v>19</v>
      </c>
    </row>
    <row r="547" customFormat="false" ht="15" hidden="false" customHeight="false" outlineLevel="0" collapsed="false">
      <c r="A547" s="2" t="s">
        <v>1463</v>
      </c>
      <c r="B547" s="2" t="s">
        <v>47</v>
      </c>
      <c r="C547" s="13" t="s">
        <v>2298</v>
      </c>
      <c r="D547" s="35" t="n">
        <v>348515</v>
      </c>
      <c r="E547" s="2" t="s">
        <v>670</v>
      </c>
      <c r="F547" s="36" t="n">
        <v>1.29389265885256</v>
      </c>
      <c r="G547" s="31" t="n">
        <v>52.5</v>
      </c>
      <c r="H547" s="37" t="n">
        <v>0.0776892368680637</v>
      </c>
      <c r="I547" s="31" t="n">
        <v>48.8</v>
      </c>
      <c r="J547" s="2" t="s">
        <v>2701</v>
      </c>
      <c r="K547" s="38" t="n">
        <v>0.278399826068051</v>
      </c>
      <c r="L547" s="31" t="n">
        <v>95</v>
      </c>
      <c r="M547" s="39" t="s">
        <v>671</v>
      </c>
      <c r="N547" s="2" t="s">
        <v>19</v>
      </c>
      <c r="O547" s="2" t="s">
        <v>19</v>
      </c>
      <c r="P547" s="2" t="s">
        <v>19</v>
      </c>
      <c r="Q547" s="2" t="s">
        <v>19</v>
      </c>
    </row>
    <row r="548" customFormat="false" ht="15" hidden="false" customHeight="false" outlineLevel="0" collapsed="false">
      <c r="A548" s="2" t="s">
        <v>556</v>
      </c>
      <c r="B548" s="2" t="s">
        <v>45</v>
      </c>
      <c r="C548" s="13" t="s">
        <v>1256</v>
      </c>
      <c r="D548" s="35" t="n">
        <v>88655</v>
      </c>
      <c r="E548" s="2" t="s">
        <v>667</v>
      </c>
      <c r="F548" s="36" t="n">
        <v>0.31651909085782</v>
      </c>
      <c r="G548" s="31" t="n">
        <v>20.1</v>
      </c>
      <c r="H548" s="37" t="n">
        <v>0.0797758967176177</v>
      </c>
      <c r="I548" s="31" t="n">
        <v>46.4</v>
      </c>
      <c r="J548" s="2" t="s">
        <v>2704</v>
      </c>
      <c r="K548" s="38" t="n">
        <v>0.0591487009397457</v>
      </c>
      <c r="L548" s="31" t="n">
        <v>16.9</v>
      </c>
      <c r="M548" s="39" t="s">
        <v>671</v>
      </c>
      <c r="N548" s="2" t="s">
        <v>19</v>
      </c>
      <c r="O548" s="2" t="s">
        <v>19</v>
      </c>
      <c r="P548" s="2" t="s">
        <v>19</v>
      </c>
      <c r="Q548" s="2" t="s">
        <v>19</v>
      </c>
    </row>
    <row r="549" customFormat="false" ht="15" hidden="false" customHeight="false" outlineLevel="0" collapsed="false">
      <c r="A549" s="2" t="s">
        <v>556</v>
      </c>
      <c r="B549" s="2" t="s">
        <v>46</v>
      </c>
      <c r="C549" s="14" t="s">
        <v>1715</v>
      </c>
      <c r="D549" s="40" t="n">
        <v>98020</v>
      </c>
      <c r="E549" s="2" t="s">
        <v>667</v>
      </c>
      <c r="F549" s="41" t="n">
        <v>2.74887778004489</v>
      </c>
      <c r="G549" s="31" t="n">
        <v>43.6</v>
      </c>
      <c r="H549" s="42" t="n">
        <v>0.0998653500897666</v>
      </c>
      <c r="I549" s="31" t="n">
        <v>54.8</v>
      </c>
      <c r="J549" s="2" t="s">
        <v>2700</v>
      </c>
      <c r="K549" s="43" t="n">
        <v>0.14257711750748</v>
      </c>
      <c r="L549" s="31" t="n">
        <v>53.1</v>
      </c>
      <c r="M549" s="39" t="s">
        <v>671</v>
      </c>
      <c r="N549" s="2" t="s">
        <v>21</v>
      </c>
      <c r="O549" s="2" t="s">
        <v>21</v>
      </c>
      <c r="P549" s="2" t="s">
        <v>21</v>
      </c>
      <c r="Q549" s="2" t="s">
        <v>21</v>
      </c>
    </row>
    <row r="550" customFormat="false" ht="15" hidden="false" customHeight="false" outlineLevel="0" collapsed="false">
      <c r="A550" s="2" t="s">
        <v>556</v>
      </c>
      <c r="B550" s="2" t="s">
        <v>47</v>
      </c>
      <c r="C550" s="13" t="s">
        <v>2530</v>
      </c>
      <c r="D550" s="35" t="n">
        <v>25014</v>
      </c>
      <c r="E550" s="2" t="s">
        <v>667</v>
      </c>
      <c r="F550" s="36" t="n">
        <v>0.731110578076277</v>
      </c>
      <c r="G550" s="31" t="n">
        <v>22.8</v>
      </c>
      <c r="H550" s="37" t="n">
        <v>0.0342346812205408</v>
      </c>
      <c r="I550" s="31" t="n">
        <v>23</v>
      </c>
      <c r="J550" s="2" t="s">
        <v>2697</v>
      </c>
      <c r="K550" s="38" t="n">
        <v>0.103937007874016</v>
      </c>
      <c r="L550" s="31" t="n">
        <v>57.1</v>
      </c>
      <c r="M550" s="39" t="s">
        <v>671</v>
      </c>
      <c r="N550" s="2" t="s">
        <v>19</v>
      </c>
      <c r="O550" s="2" t="s">
        <v>19</v>
      </c>
      <c r="P550" s="2" t="s">
        <v>19</v>
      </c>
      <c r="Q550" s="2" t="s">
        <v>19</v>
      </c>
    </row>
    <row r="551" customFormat="false" ht="15" hidden="false" customHeight="false" outlineLevel="0" collapsed="false">
      <c r="A551" s="2" t="s">
        <v>2561</v>
      </c>
      <c r="B551" s="2" t="s">
        <v>45</v>
      </c>
      <c r="C551" s="16"/>
      <c r="D551" s="29"/>
      <c r="E551" s="2"/>
      <c r="F551" s="30"/>
      <c r="G551" s="31"/>
      <c r="H551" s="32"/>
      <c r="I551" s="31"/>
      <c r="J551" s="2"/>
      <c r="K551" s="33"/>
      <c r="L551" s="31"/>
      <c r="M551" s="34" t="s">
        <v>668</v>
      </c>
      <c r="N551" s="2"/>
      <c r="O551" s="2"/>
      <c r="P551" s="2"/>
      <c r="Q551" s="2"/>
    </row>
    <row r="552" customFormat="false" ht="15" hidden="false" customHeight="false" outlineLevel="0" collapsed="false">
      <c r="A552" s="2" t="s">
        <v>2561</v>
      </c>
      <c r="B552" s="2" t="s">
        <v>46</v>
      </c>
      <c r="C552" s="16"/>
      <c r="D552" s="29"/>
      <c r="E552" s="2"/>
      <c r="F552" s="30"/>
      <c r="G552" s="31"/>
      <c r="H552" s="32"/>
      <c r="I552" s="31"/>
      <c r="J552" s="2"/>
      <c r="K552" s="33"/>
      <c r="L552" s="31"/>
      <c r="M552" s="34" t="s">
        <v>668</v>
      </c>
      <c r="N552" s="2"/>
      <c r="O552" s="2"/>
      <c r="P552" s="2"/>
      <c r="Q552" s="2"/>
    </row>
    <row r="553" customFormat="false" ht="15" hidden="false" customHeight="false" outlineLevel="0" collapsed="false">
      <c r="A553" s="2" t="s">
        <v>2561</v>
      </c>
      <c r="B553" s="2" t="s">
        <v>47</v>
      </c>
      <c r="C553" s="13" t="s">
        <v>2562</v>
      </c>
      <c r="D553" s="35" t="n">
        <v>112199</v>
      </c>
      <c r="E553" s="2" t="s">
        <v>670</v>
      </c>
      <c r="F553" s="36" t="n">
        <v>0.632073369637876</v>
      </c>
      <c r="G553" s="31" t="n">
        <v>17.9</v>
      </c>
      <c r="H553" s="37" t="n">
        <v>0.161973508424901</v>
      </c>
      <c r="I553" s="31" t="n">
        <v>80.7</v>
      </c>
      <c r="J553" s="2" t="s">
        <v>2701</v>
      </c>
      <c r="K553" s="48" t="n">
        <v>0.0142797144057119</v>
      </c>
      <c r="L553" s="31" t="n">
        <v>9.1</v>
      </c>
      <c r="M553" s="39" t="s">
        <v>671</v>
      </c>
      <c r="N553" s="2" t="s">
        <v>19</v>
      </c>
      <c r="O553" s="2" t="s">
        <v>19</v>
      </c>
      <c r="P553" s="2" t="s">
        <v>19</v>
      </c>
      <c r="Q553" s="2" t="s">
        <v>17</v>
      </c>
    </row>
    <row r="554" customFormat="false" ht="15" hidden="false" customHeight="false" outlineLevel="0" collapsed="false">
      <c r="A554" s="2" t="s">
        <v>388</v>
      </c>
      <c r="B554" s="2" t="s">
        <v>45</v>
      </c>
      <c r="C554" s="14" t="s">
        <v>1299</v>
      </c>
      <c r="D554" s="40" t="n">
        <v>95380</v>
      </c>
      <c r="E554" s="2" t="s">
        <v>667</v>
      </c>
      <c r="F554" s="41" t="n">
        <v>0.25011532816104</v>
      </c>
      <c r="G554" s="31" t="n">
        <v>13.2</v>
      </c>
      <c r="H554" s="42" t="n">
        <v>0.0138180272108844</v>
      </c>
      <c r="I554" s="31" t="n">
        <v>11.9</v>
      </c>
      <c r="J554" s="2" t="s">
        <v>2704</v>
      </c>
      <c r="K554" s="43" t="n">
        <v>0.101927353595256</v>
      </c>
      <c r="L554" s="31" t="n">
        <v>35.4</v>
      </c>
      <c r="M554" s="39" t="s">
        <v>671</v>
      </c>
      <c r="N554" s="2" t="s">
        <v>21</v>
      </c>
      <c r="O554" s="2" t="s">
        <v>21</v>
      </c>
      <c r="P554" s="2" t="s">
        <v>21</v>
      </c>
      <c r="Q554" s="2" t="s">
        <v>21</v>
      </c>
    </row>
    <row r="555" customFormat="false" ht="15" hidden="false" customHeight="false" outlineLevel="0" collapsed="false">
      <c r="A555" s="2" t="s">
        <v>388</v>
      </c>
      <c r="B555" s="2" t="s">
        <v>46</v>
      </c>
      <c r="C555" s="14" t="s">
        <v>1619</v>
      </c>
      <c r="D555" s="40" t="n">
        <v>20460</v>
      </c>
      <c r="E555" s="2" t="s">
        <v>667</v>
      </c>
      <c r="F555" s="41" t="n">
        <v>3.80405669599218</v>
      </c>
      <c r="G555" s="31" t="n">
        <v>60</v>
      </c>
      <c r="H555" s="42" t="n">
        <v>0.273179838207841</v>
      </c>
      <c r="I555" s="31" t="n">
        <v>99.6</v>
      </c>
      <c r="J555" s="2" t="s">
        <v>2700</v>
      </c>
      <c r="K555" s="43" t="n">
        <v>0.121708892200696</v>
      </c>
      <c r="L555" s="31" t="n">
        <v>43</v>
      </c>
      <c r="M555" s="39" t="s">
        <v>671</v>
      </c>
      <c r="N555" s="2" t="s">
        <v>21</v>
      </c>
      <c r="O555" s="2" t="s">
        <v>21</v>
      </c>
      <c r="P555" s="2" t="s">
        <v>21</v>
      </c>
      <c r="Q555" s="2" t="s">
        <v>21</v>
      </c>
    </row>
    <row r="556" customFormat="false" ht="15" hidden="false" customHeight="false" outlineLevel="0" collapsed="false">
      <c r="A556" s="2" t="s">
        <v>388</v>
      </c>
      <c r="B556" s="2" t="s">
        <v>47</v>
      </c>
      <c r="C556" s="13" t="s">
        <v>2163</v>
      </c>
      <c r="D556" s="35" t="n">
        <v>25824</v>
      </c>
      <c r="E556" s="2" t="s">
        <v>667</v>
      </c>
      <c r="F556" s="36" t="n">
        <v>1.8822800495663</v>
      </c>
      <c r="G556" s="31" t="n">
        <v>70.2</v>
      </c>
      <c r="H556" s="37" t="n">
        <v>-0.0276742347226929</v>
      </c>
      <c r="I556" s="31" t="n">
        <v>5.3</v>
      </c>
      <c r="J556" s="2" t="s">
        <v>2697</v>
      </c>
      <c r="K556" s="38" t="n">
        <v>0.228029602220167</v>
      </c>
      <c r="L556" s="31" t="n">
        <v>89</v>
      </c>
      <c r="M556" s="39" t="s">
        <v>671</v>
      </c>
      <c r="N556" s="2" t="s">
        <v>19</v>
      </c>
      <c r="O556" s="2" t="s">
        <v>19</v>
      </c>
      <c r="P556" s="2" t="s">
        <v>19</v>
      </c>
      <c r="Q556" s="2" t="s">
        <v>19</v>
      </c>
    </row>
    <row r="557" customFormat="false" ht="15" hidden="false" customHeight="false" outlineLevel="0" collapsed="false">
      <c r="A557" s="2" t="s">
        <v>2359</v>
      </c>
      <c r="B557" s="2" t="s">
        <v>45</v>
      </c>
      <c r="C557" s="16"/>
      <c r="D557" s="29"/>
      <c r="E557" s="2"/>
      <c r="F557" s="30"/>
      <c r="G557" s="31"/>
      <c r="H557" s="32"/>
      <c r="I557" s="31"/>
      <c r="J557" s="2"/>
      <c r="K557" s="33"/>
      <c r="L557" s="31"/>
      <c r="M557" s="34" t="s">
        <v>668</v>
      </c>
      <c r="N557" s="2"/>
      <c r="O557" s="2"/>
      <c r="P557" s="2"/>
      <c r="Q557" s="2"/>
    </row>
    <row r="558" customFormat="false" ht="15" hidden="false" customHeight="false" outlineLevel="0" collapsed="false">
      <c r="A558" s="2" t="s">
        <v>2359</v>
      </c>
      <c r="B558" s="2" t="s">
        <v>46</v>
      </c>
      <c r="C558" s="16"/>
      <c r="D558" s="29"/>
      <c r="E558" s="2"/>
      <c r="F558" s="30"/>
      <c r="G558" s="31"/>
      <c r="H558" s="32"/>
      <c r="I558" s="31"/>
      <c r="J558" s="2"/>
      <c r="K558" s="33"/>
      <c r="L558" s="31"/>
      <c r="M558" s="34" t="s">
        <v>668</v>
      </c>
      <c r="N558" s="2"/>
      <c r="O558" s="2"/>
      <c r="P558" s="2"/>
      <c r="Q558" s="2"/>
    </row>
    <row r="559" customFormat="false" ht="15" hidden="false" customHeight="false" outlineLevel="0" collapsed="false">
      <c r="A559" s="2" t="s">
        <v>2359</v>
      </c>
      <c r="B559" s="2" t="s">
        <v>47</v>
      </c>
      <c r="C559" s="13" t="s">
        <v>2360</v>
      </c>
      <c r="D559" s="35" t="n">
        <v>9378</v>
      </c>
      <c r="E559" s="2" t="s">
        <v>678</v>
      </c>
      <c r="F559" s="36" t="n">
        <v>1.1149498827042</v>
      </c>
      <c r="G559" s="31" t="n">
        <v>44.7</v>
      </c>
      <c r="H559" s="37" t="n">
        <v>0.123786698621929</v>
      </c>
      <c r="I559" s="31" t="n">
        <v>58.7</v>
      </c>
      <c r="J559" s="2" t="s">
        <v>2706</v>
      </c>
      <c r="K559" s="38" t="n">
        <v>0.0895522388059701</v>
      </c>
      <c r="L559" s="31" t="n">
        <v>49.1</v>
      </c>
      <c r="M559" s="39" t="s">
        <v>671</v>
      </c>
      <c r="N559" s="2" t="s">
        <v>19</v>
      </c>
      <c r="O559" s="2" t="s">
        <v>19</v>
      </c>
      <c r="P559" s="2" t="s">
        <v>19</v>
      </c>
      <c r="Q559" s="2" t="s">
        <v>19</v>
      </c>
    </row>
    <row r="560" customFormat="false" ht="15" hidden="false" customHeight="false" outlineLevel="0" collapsed="false">
      <c r="A560" s="2" t="s">
        <v>1333</v>
      </c>
      <c r="B560" s="2" t="s">
        <v>45</v>
      </c>
      <c r="C560" s="14" t="s">
        <v>1334</v>
      </c>
      <c r="D560" s="40" t="n">
        <v>26410</v>
      </c>
      <c r="E560" s="2" t="s">
        <v>667</v>
      </c>
      <c r="F560" s="41" t="n">
        <v>0.197235895494131</v>
      </c>
      <c r="G560" s="31" t="n">
        <v>7.7</v>
      </c>
      <c r="H560" s="42" t="n">
        <v>0.188568856885689</v>
      </c>
      <c r="I560" s="31" t="n">
        <v>89.7</v>
      </c>
      <c r="J560" s="2" t="s">
        <v>2704</v>
      </c>
      <c r="K560" s="43" t="n">
        <v>0.0388349514563107</v>
      </c>
      <c r="L560" s="31" t="n">
        <v>9.4</v>
      </c>
      <c r="M560" s="39" t="s">
        <v>671</v>
      </c>
      <c r="N560" s="2" t="s">
        <v>21</v>
      </c>
      <c r="O560" s="2" t="s">
        <v>21</v>
      </c>
      <c r="P560" s="2" t="s">
        <v>21</v>
      </c>
      <c r="Q560" s="2" t="s">
        <v>21</v>
      </c>
    </row>
    <row r="561" customFormat="false" ht="15" hidden="false" customHeight="false" outlineLevel="0" collapsed="false">
      <c r="A561" s="2" t="s">
        <v>1333</v>
      </c>
      <c r="B561" s="2" t="s">
        <v>46</v>
      </c>
      <c r="C561" s="14" t="s">
        <v>2838</v>
      </c>
      <c r="D561" s="40" t="n">
        <v>127760</v>
      </c>
      <c r="E561" s="2" t="s">
        <v>670</v>
      </c>
      <c r="F561" s="41" t="n">
        <v>6.89528021289919</v>
      </c>
      <c r="G561" s="31" t="n">
        <v>86</v>
      </c>
      <c r="H561" s="42" t="n">
        <v>0.144905457478269</v>
      </c>
      <c r="I561" s="31" t="n">
        <v>80.8</v>
      </c>
      <c r="J561" s="2" t="s">
        <v>2705</v>
      </c>
      <c r="K561" s="33"/>
      <c r="L561" s="31"/>
      <c r="M561" s="34" t="s">
        <v>668</v>
      </c>
      <c r="N561" s="2" t="s">
        <v>21</v>
      </c>
      <c r="O561" s="2" t="s">
        <v>21</v>
      </c>
      <c r="P561" s="2" t="s">
        <v>21</v>
      </c>
      <c r="Q561" s="2"/>
    </row>
    <row r="562" customFormat="false" ht="15" hidden="false" customHeight="false" outlineLevel="0" collapsed="false">
      <c r="A562" s="2" t="s">
        <v>576</v>
      </c>
      <c r="B562" s="2" t="s">
        <v>45</v>
      </c>
      <c r="C562" s="13" t="s">
        <v>1329</v>
      </c>
      <c r="D562" s="35" t="n">
        <v>126740</v>
      </c>
      <c r="E562" s="2" t="s">
        <v>670</v>
      </c>
      <c r="F562" s="36" t="n">
        <v>0.203132397033297</v>
      </c>
      <c r="G562" s="31" t="n">
        <v>8.3</v>
      </c>
      <c r="H562" s="37" t="n">
        <v>0.155385386754182</v>
      </c>
      <c r="I562" s="31" t="n">
        <v>81.2</v>
      </c>
      <c r="J562" s="2" t="s">
        <v>2698</v>
      </c>
      <c r="K562" s="38" t="n">
        <v>0.0932539682539683</v>
      </c>
      <c r="L562" s="31" t="n">
        <v>32</v>
      </c>
      <c r="M562" s="39" t="s">
        <v>671</v>
      </c>
      <c r="N562" s="2" t="s">
        <v>19</v>
      </c>
      <c r="O562" s="2" t="s">
        <v>19</v>
      </c>
      <c r="P562" s="2" t="s">
        <v>19</v>
      </c>
      <c r="Q562" s="2" t="s">
        <v>19</v>
      </c>
    </row>
    <row r="563" customFormat="false" ht="15" hidden="false" customHeight="false" outlineLevel="0" collapsed="false">
      <c r="A563" s="2" t="s">
        <v>576</v>
      </c>
      <c r="B563" s="2" t="s">
        <v>46</v>
      </c>
      <c r="C563" s="13" t="s">
        <v>1785</v>
      </c>
      <c r="D563" s="35" t="n">
        <v>3076</v>
      </c>
      <c r="E563" s="2" t="s">
        <v>678</v>
      </c>
      <c r="F563" s="36" t="n">
        <v>2.22431729518856</v>
      </c>
      <c r="G563" s="31" t="n">
        <v>31.5</v>
      </c>
      <c r="H563" s="37" t="n">
        <v>0.0658350658350658</v>
      </c>
      <c r="I563" s="31" t="n">
        <v>29.2</v>
      </c>
      <c r="J563" s="2" t="s">
        <v>2720</v>
      </c>
      <c r="K563" s="38" t="n">
        <v>0.0277777777777778</v>
      </c>
      <c r="L563" s="31" t="n">
        <v>5.7</v>
      </c>
      <c r="M563" s="39" t="s">
        <v>671</v>
      </c>
      <c r="N563" s="2" t="s">
        <v>19</v>
      </c>
      <c r="O563" s="2" t="s">
        <v>19</v>
      </c>
      <c r="P563" s="2" t="s">
        <v>19</v>
      </c>
      <c r="Q563" s="2" t="s">
        <v>19</v>
      </c>
    </row>
    <row r="564" customFormat="false" ht="15" hidden="false" customHeight="false" outlineLevel="0" collapsed="false">
      <c r="A564" s="2" t="s">
        <v>576</v>
      </c>
      <c r="B564" s="2" t="s">
        <v>47</v>
      </c>
      <c r="C564" s="13" t="s">
        <v>2414</v>
      </c>
      <c r="D564" s="35" t="n">
        <v>4053</v>
      </c>
      <c r="E564" s="2" t="s">
        <v>678</v>
      </c>
      <c r="F564" s="36" t="n">
        <v>0.989884036516161</v>
      </c>
      <c r="G564" s="31" t="n">
        <v>36.3</v>
      </c>
      <c r="H564" s="37" t="n">
        <v>0.123648461325201</v>
      </c>
      <c r="I564" s="31" t="n">
        <v>57.3</v>
      </c>
      <c r="J564" s="2" t="s">
        <v>2706</v>
      </c>
      <c r="K564" s="38" t="n">
        <v>0.0352422907488987</v>
      </c>
      <c r="L564" s="31" t="n">
        <v>22.3</v>
      </c>
      <c r="M564" s="39" t="s">
        <v>671</v>
      </c>
      <c r="N564" s="2" t="s">
        <v>19</v>
      </c>
      <c r="O564" s="2" t="s">
        <v>19</v>
      </c>
      <c r="P564" s="2" t="s">
        <v>19</v>
      </c>
      <c r="Q564" s="2" t="s">
        <v>19</v>
      </c>
    </row>
    <row r="565" customFormat="false" ht="15" hidden="false" customHeight="false" outlineLevel="0" collapsed="false">
      <c r="A565" s="2" t="s">
        <v>478</v>
      </c>
      <c r="B565" s="2" t="s">
        <v>45</v>
      </c>
      <c r="C565" s="13" t="s">
        <v>1319</v>
      </c>
      <c r="D565" s="35" t="n">
        <v>24466</v>
      </c>
      <c r="E565" s="2" t="s">
        <v>667</v>
      </c>
      <c r="F565" s="36" t="n">
        <v>0.212417232077168</v>
      </c>
      <c r="G565" s="31" t="n">
        <v>9.4</v>
      </c>
      <c r="H565" s="37" t="n">
        <v>0.122705580029369</v>
      </c>
      <c r="I565" s="31" t="n">
        <v>62.7</v>
      </c>
      <c r="J565" s="2" t="s">
        <v>2704</v>
      </c>
      <c r="K565" s="38" t="n">
        <v>0.341968911917098</v>
      </c>
      <c r="L565" s="31" t="n">
        <v>94.8</v>
      </c>
      <c r="M565" s="39" t="s">
        <v>671</v>
      </c>
      <c r="N565" s="2" t="s">
        <v>19</v>
      </c>
      <c r="O565" s="2" t="s">
        <v>19</v>
      </c>
      <c r="P565" s="2" t="s">
        <v>19</v>
      </c>
      <c r="Q565" s="2" t="s">
        <v>19</v>
      </c>
    </row>
    <row r="566" customFormat="false" ht="15" hidden="false" customHeight="false" outlineLevel="0" collapsed="false">
      <c r="A566" s="2" t="s">
        <v>478</v>
      </c>
      <c r="B566" s="2" t="s">
        <v>46</v>
      </c>
      <c r="C566" s="13" t="s">
        <v>1820</v>
      </c>
      <c r="D566" s="35" t="n">
        <v>63378</v>
      </c>
      <c r="E566" s="2" t="s">
        <v>667</v>
      </c>
      <c r="F566" s="36" t="n">
        <v>1.97582757423712</v>
      </c>
      <c r="G566" s="31" t="n">
        <v>26</v>
      </c>
      <c r="H566" s="37" t="n">
        <v>0.111972770018949</v>
      </c>
      <c r="I566" s="31" t="n">
        <v>61</v>
      </c>
      <c r="J566" s="2" t="s">
        <v>2700</v>
      </c>
      <c r="K566" s="38" t="n">
        <v>0.205236232320193</v>
      </c>
      <c r="L566" s="31" t="n">
        <v>73.1</v>
      </c>
      <c r="M566" s="39" t="s">
        <v>671</v>
      </c>
      <c r="N566" s="2" t="s">
        <v>19</v>
      </c>
      <c r="O566" s="2" t="s">
        <v>19</v>
      </c>
      <c r="P566" s="2" t="s">
        <v>19</v>
      </c>
      <c r="Q566" s="2" t="s">
        <v>19</v>
      </c>
    </row>
    <row r="567" customFormat="false" ht="15" hidden="false" customHeight="false" outlineLevel="0" collapsed="false">
      <c r="A567" s="2" t="s">
        <v>478</v>
      </c>
      <c r="B567" s="2" t="s">
        <v>47</v>
      </c>
      <c r="C567" s="13" t="s">
        <v>2104</v>
      </c>
      <c r="D567" s="35" t="n">
        <v>11956</v>
      </c>
      <c r="E567" s="2" t="s">
        <v>667</v>
      </c>
      <c r="F567" s="36" t="n">
        <v>2.23369019739043</v>
      </c>
      <c r="G567" s="31" t="n">
        <v>79.3</v>
      </c>
      <c r="H567" s="37" t="n">
        <v>0.102443522360535</v>
      </c>
      <c r="I567" s="31" t="n">
        <v>54.6</v>
      </c>
      <c r="J567" s="2" t="s">
        <v>2697</v>
      </c>
      <c r="K567" s="38" t="n">
        <v>0.0156156156156156</v>
      </c>
      <c r="L567" s="31" t="n">
        <v>9.9</v>
      </c>
      <c r="M567" s="39" t="s">
        <v>671</v>
      </c>
      <c r="N567" s="2" t="s">
        <v>19</v>
      </c>
      <c r="O567" s="2" t="s">
        <v>19</v>
      </c>
      <c r="P567" s="2" t="s">
        <v>19</v>
      </c>
      <c r="Q567" s="2" t="s">
        <v>19</v>
      </c>
    </row>
    <row r="568" customFormat="false" ht="15" hidden="false" customHeight="false" outlineLevel="0" collapsed="false">
      <c r="A568" s="2" t="s">
        <v>336</v>
      </c>
      <c r="B568" s="2" t="s">
        <v>47</v>
      </c>
      <c r="C568" s="13" t="s">
        <v>2292</v>
      </c>
      <c r="D568" s="35" t="n">
        <v>16031</v>
      </c>
      <c r="E568" s="2" t="s">
        <v>667</v>
      </c>
      <c r="F568" s="36" t="n">
        <v>1.33903062815794</v>
      </c>
      <c r="G568" s="31" t="n">
        <v>53.8</v>
      </c>
      <c r="H568" s="37" t="n">
        <v>0.167589220684632</v>
      </c>
      <c r="I568" s="31" t="n">
        <v>85.1</v>
      </c>
      <c r="J568" s="2" t="s">
        <v>2697</v>
      </c>
      <c r="K568" s="38" t="n">
        <v>0.246178600160901</v>
      </c>
      <c r="L568" s="31" t="n">
        <v>91.6</v>
      </c>
      <c r="M568" s="39" t="s">
        <v>671</v>
      </c>
      <c r="N568" s="2" t="s">
        <v>19</v>
      </c>
      <c r="O568" s="2" t="s">
        <v>19</v>
      </c>
      <c r="P568" s="2" t="s">
        <v>19</v>
      </c>
      <c r="Q568" s="2" t="s">
        <v>19</v>
      </c>
    </row>
    <row r="569" customFormat="false" ht="15" hidden="false" customHeight="false" outlineLevel="0" collapsed="false">
      <c r="A569" s="2" t="s">
        <v>600</v>
      </c>
      <c r="B569" s="2" t="s">
        <v>45</v>
      </c>
      <c r="C569" s="14" t="s">
        <v>1255</v>
      </c>
      <c r="D569" s="40" t="n">
        <v>52320</v>
      </c>
      <c r="E569" s="2" t="s">
        <v>667</v>
      </c>
      <c r="F569" s="41" t="n">
        <v>0.317412079510703</v>
      </c>
      <c r="G569" s="31" t="n">
        <v>20.3</v>
      </c>
      <c r="H569" s="42" t="n">
        <v>0.024275646045419</v>
      </c>
      <c r="I569" s="31" t="n">
        <v>15.1</v>
      </c>
      <c r="J569" s="2" t="s">
        <v>2704</v>
      </c>
      <c r="K569" s="43" t="n">
        <v>0.178294573643411</v>
      </c>
      <c r="L569" s="31" t="n">
        <v>63.5</v>
      </c>
      <c r="M569" s="39" t="s">
        <v>671</v>
      </c>
      <c r="N569" s="2" t="s">
        <v>21</v>
      </c>
      <c r="O569" s="2" t="s">
        <v>21</v>
      </c>
      <c r="P569" s="2" t="s">
        <v>21</v>
      </c>
      <c r="Q569" s="2" t="s">
        <v>21</v>
      </c>
    </row>
    <row r="570" customFormat="false" ht="15" hidden="false" customHeight="false" outlineLevel="0" collapsed="false">
      <c r="A570" s="2" t="s">
        <v>1164</v>
      </c>
      <c r="B570" s="2" t="s">
        <v>45</v>
      </c>
      <c r="C570" s="14" t="s">
        <v>1165</v>
      </c>
      <c r="D570" s="40" t="n">
        <v>67660</v>
      </c>
      <c r="E570" s="2" t="s">
        <v>667</v>
      </c>
      <c r="F570" s="41" t="n">
        <v>0.421342004138339</v>
      </c>
      <c r="G570" s="31" t="n">
        <v>33.3</v>
      </c>
      <c r="H570" s="42" t="n">
        <v>0.0568572321149641</v>
      </c>
      <c r="I570" s="31" t="n">
        <v>31</v>
      </c>
      <c r="J570" s="2" t="s">
        <v>2704</v>
      </c>
      <c r="K570" s="43" t="n">
        <v>0.0909665192672142</v>
      </c>
      <c r="L570" s="31" t="n">
        <v>31.5</v>
      </c>
      <c r="M570" s="39" t="s">
        <v>671</v>
      </c>
      <c r="N570" s="2" t="s">
        <v>21</v>
      </c>
      <c r="O570" s="2" t="s">
        <v>21</v>
      </c>
      <c r="P570" s="2" t="s">
        <v>21</v>
      </c>
      <c r="Q570" s="2" t="s">
        <v>21</v>
      </c>
    </row>
    <row r="571" customFormat="false" ht="15" hidden="false" customHeight="false" outlineLevel="0" collapsed="false">
      <c r="A571" s="2" t="s">
        <v>1164</v>
      </c>
      <c r="B571" s="2" t="s">
        <v>46</v>
      </c>
      <c r="C571" s="16"/>
      <c r="D571" s="40" t="n">
        <v>69910</v>
      </c>
      <c r="E571" s="2" t="s">
        <v>667</v>
      </c>
      <c r="F571" s="41" t="n">
        <v>8.98449434987842</v>
      </c>
      <c r="G571" s="31" t="n">
        <v>93.7</v>
      </c>
      <c r="H571" s="42" t="n">
        <v>0.0563614385010577</v>
      </c>
      <c r="I571" s="31" t="n">
        <v>32.8</v>
      </c>
      <c r="J571" s="2" t="s">
        <v>2700</v>
      </c>
      <c r="K571" s="43" t="n">
        <v>0.116746486613802</v>
      </c>
      <c r="L571" s="31" t="n">
        <v>39.9</v>
      </c>
      <c r="M571" s="34" t="s">
        <v>668</v>
      </c>
      <c r="N571" s="2" t="s">
        <v>21</v>
      </c>
      <c r="O571" s="2" t="s">
        <v>21</v>
      </c>
      <c r="P571" s="2" t="s">
        <v>21</v>
      </c>
      <c r="Q571" s="2" t="s">
        <v>21</v>
      </c>
    </row>
    <row r="572" customFormat="false" ht="15" hidden="false" customHeight="false" outlineLevel="0" collapsed="false">
      <c r="A572" s="2" t="s">
        <v>1164</v>
      </c>
      <c r="B572" s="2" t="s">
        <v>47</v>
      </c>
      <c r="C572" s="13" t="s">
        <v>2534</v>
      </c>
      <c r="D572" s="35" t="n">
        <v>174880</v>
      </c>
      <c r="E572" s="2" t="s">
        <v>670</v>
      </c>
      <c r="F572" s="36" t="n">
        <v>0.727984903934126</v>
      </c>
      <c r="G572" s="31" t="n">
        <v>22.4</v>
      </c>
      <c r="H572" s="37" t="n">
        <v>0.180170331079348</v>
      </c>
      <c r="I572" s="31" t="n">
        <v>87.3</v>
      </c>
      <c r="J572" s="2" t="s">
        <v>2701</v>
      </c>
      <c r="K572" s="38" t="n">
        <v>0.0678893654784795</v>
      </c>
      <c r="L572" s="31" t="n">
        <v>38.9</v>
      </c>
      <c r="M572" s="39" t="s">
        <v>671</v>
      </c>
      <c r="N572" s="2" t="s">
        <v>19</v>
      </c>
      <c r="O572" s="2" t="s">
        <v>19</v>
      </c>
      <c r="P572" s="2" t="s">
        <v>19</v>
      </c>
      <c r="Q572" s="2" t="s">
        <v>19</v>
      </c>
    </row>
    <row r="573" customFormat="false" ht="15" hidden="false" customHeight="false" outlineLevel="0" collapsed="false">
      <c r="A573" s="2" t="s">
        <v>689</v>
      </c>
      <c r="B573" s="2" t="s">
        <v>45</v>
      </c>
      <c r="C573" s="13" t="s">
        <v>690</v>
      </c>
      <c r="D573" s="35" t="n">
        <v>15831</v>
      </c>
      <c r="E573" s="2" t="s">
        <v>667</v>
      </c>
      <c r="F573" s="36" t="n">
        <v>2.69919777651443</v>
      </c>
      <c r="G573" s="31" t="n">
        <v>97.2</v>
      </c>
      <c r="H573" s="37" t="n">
        <v>0.0911910669975186</v>
      </c>
      <c r="I573" s="31" t="n">
        <v>51.2</v>
      </c>
      <c r="J573" s="2" t="s">
        <v>2704</v>
      </c>
      <c r="K573" s="38" t="n">
        <v>0.229166666666667</v>
      </c>
      <c r="L573" s="31" t="n">
        <v>77.9</v>
      </c>
      <c r="M573" s="39" t="s">
        <v>671</v>
      </c>
      <c r="N573" s="2" t="s">
        <v>19</v>
      </c>
      <c r="O573" s="2" t="s">
        <v>19</v>
      </c>
      <c r="P573" s="2" t="s">
        <v>19</v>
      </c>
      <c r="Q573" s="2" t="s">
        <v>19</v>
      </c>
    </row>
    <row r="574" customFormat="false" ht="15" hidden="false" customHeight="false" outlineLevel="0" collapsed="false">
      <c r="A574" s="2" t="s">
        <v>689</v>
      </c>
      <c r="B574" s="2" t="s">
        <v>46</v>
      </c>
      <c r="C574" s="14" t="s">
        <v>2839</v>
      </c>
      <c r="D574" s="40" t="n">
        <v>37270</v>
      </c>
      <c r="E574" s="2" t="s">
        <v>667</v>
      </c>
      <c r="F574" s="41" t="n">
        <v>2.99957070029514</v>
      </c>
      <c r="G574" s="31" t="n">
        <v>47.4</v>
      </c>
      <c r="H574" s="32"/>
      <c r="I574" s="31"/>
      <c r="J574" s="2"/>
      <c r="K574" s="43" t="n">
        <v>0.0603448275862069</v>
      </c>
      <c r="L574" s="31" t="n">
        <v>17.9</v>
      </c>
      <c r="M574" s="34" t="s">
        <v>668</v>
      </c>
      <c r="N574" s="2" t="s">
        <v>21</v>
      </c>
      <c r="O574" s="2" t="s">
        <v>21</v>
      </c>
      <c r="P574" s="2"/>
      <c r="Q574" s="2" t="s">
        <v>21</v>
      </c>
    </row>
    <row r="575" customFormat="false" ht="15" hidden="false" customHeight="false" outlineLevel="0" collapsed="false">
      <c r="A575" s="2" t="s">
        <v>2840</v>
      </c>
      <c r="B575" s="2" t="s">
        <v>45</v>
      </c>
      <c r="C575" s="15" t="s">
        <v>2841</v>
      </c>
      <c r="D575" s="44" t="n">
        <v>10396</v>
      </c>
      <c r="E575" s="2" t="s">
        <v>667</v>
      </c>
      <c r="F575" s="30"/>
      <c r="G575" s="31"/>
      <c r="H575" s="46" t="n">
        <v>0.0686677631578947</v>
      </c>
      <c r="I575" s="31" t="n">
        <v>36.5</v>
      </c>
      <c r="J575" s="2" t="s">
        <v>2704</v>
      </c>
      <c r="K575" s="33"/>
      <c r="L575" s="31"/>
      <c r="M575" s="34" t="s">
        <v>668</v>
      </c>
      <c r="N575" s="2" t="s">
        <v>17</v>
      </c>
      <c r="O575" s="2"/>
      <c r="P575" s="2" t="s">
        <v>17</v>
      </c>
      <c r="Q575" s="2"/>
    </row>
    <row r="576" customFormat="false" ht="15" hidden="false" customHeight="false" outlineLevel="0" collapsed="false">
      <c r="A576" s="2" t="s">
        <v>2840</v>
      </c>
      <c r="B576" s="2" t="s">
        <v>46</v>
      </c>
      <c r="C576" s="16"/>
      <c r="D576" s="29"/>
      <c r="E576" s="2"/>
      <c r="F576" s="30"/>
      <c r="G576" s="31"/>
      <c r="H576" s="32"/>
      <c r="I576" s="31"/>
      <c r="J576" s="2"/>
      <c r="K576" s="43" t="n">
        <v>0.171458773784355</v>
      </c>
      <c r="L576" s="31" t="n">
        <v>64.2</v>
      </c>
      <c r="M576" s="34" t="s">
        <v>668</v>
      </c>
      <c r="N576" s="2"/>
      <c r="O576" s="2"/>
      <c r="P576" s="2"/>
      <c r="Q576" s="2" t="s">
        <v>21</v>
      </c>
    </row>
    <row r="577" customFormat="false" ht="15" hidden="false" customHeight="false" outlineLevel="0" collapsed="false">
      <c r="A577" s="2" t="s">
        <v>2840</v>
      </c>
      <c r="B577" s="2" t="s">
        <v>47</v>
      </c>
      <c r="C577" s="13" t="s">
        <v>2842</v>
      </c>
      <c r="D577" s="35" t="n">
        <v>3733</v>
      </c>
      <c r="E577" s="2" t="s">
        <v>678</v>
      </c>
      <c r="F577" s="36" t="n">
        <v>0.750066970265202</v>
      </c>
      <c r="G577" s="31" t="n">
        <v>24</v>
      </c>
      <c r="H577" s="37" t="n">
        <v>0.0418643594753</v>
      </c>
      <c r="I577" s="31" t="n">
        <v>24</v>
      </c>
      <c r="J577" s="2" t="s">
        <v>2706</v>
      </c>
      <c r="K577" s="33"/>
      <c r="L577" s="31"/>
      <c r="M577" s="34" t="s">
        <v>668</v>
      </c>
      <c r="N577" s="2" t="s">
        <v>19</v>
      </c>
      <c r="O577" s="2" t="s">
        <v>19</v>
      </c>
      <c r="P577" s="2" t="s">
        <v>19</v>
      </c>
      <c r="Q577" s="2"/>
    </row>
    <row r="578" customFormat="false" ht="15" hidden="false" customHeight="false" outlineLevel="0" collapsed="false">
      <c r="A578" s="2" t="s">
        <v>428</v>
      </c>
      <c r="B578" s="2" t="s">
        <v>46</v>
      </c>
      <c r="C578" s="14" t="s">
        <v>1564</v>
      </c>
      <c r="D578" s="40" t="n">
        <v>222690</v>
      </c>
      <c r="E578" s="2" t="s">
        <v>670</v>
      </c>
      <c r="F578" s="41" t="n">
        <v>4.58721541155867</v>
      </c>
      <c r="G578" s="31" t="n">
        <v>69.8</v>
      </c>
      <c r="H578" s="42" t="n">
        <v>0.133801741255537</v>
      </c>
      <c r="I578" s="31" t="n">
        <v>77.5</v>
      </c>
      <c r="J578" s="2" t="s">
        <v>2705</v>
      </c>
      <c r="K578" s="43" t="n">
        <v>0.112025735641972</v>
      </c>
      <c r="L578" s="31" t="n">
        <v>37</v>
      </c>
      <c r="M578" s="39" t="s">
        <v>671</v>
      </c>
      <c r="N578" s="2" t="s">
        <v>21</v>
      </c>
      <c r="O578" s="2" t="s">
        <v>21</v>
      </c>
      <c r="P578" s="2" t="s">
        <v>21</v>
      </c>
      <c r="Q578" s="2" t="s">
        <v>21</v>
      </c>
    </row>
    <row r="579" customFormat="false" ht="15" hidden="false" customHeight="false" outlineLevel="0" collapsed="false">
      <c r="A579" s="2" t="s">
        <v>428</v>
      </c>
      <c r="B579" s="2" t="s">
        <v>47</v>
      </c>
      <c r="C579" s="13" t="s">
        <v>2567</v>
      </c>
      <c r="D579" s="35" t="n">
        <v>27687</v>
      </c>
      <c r="E579" s="2" t="s">
        <v>667</v>
      </c>
      <c r="F579" s="36" t="n">
        <v>0.625094809838552</v>
      </c>
      <c r="G579" s="31" t="n">
        <v>17.3</v>
      </c>
      <c r="H579" s="37" t="n">
        <v>0.0385221305326332</v>
      </c>
      <c r="I579" s="31" t="n">
        <v>26.2</v>
      </c>
      <c r="J579" s="2" t="s">
        <v>2697</v>
      </c>
      <c r="K579" s="38" t="n">
        <v>0</v>
      </c>
      <c r="L579" s="31" t="n">
        <v>0.7</v>
      </c>
      <c r="M579" s="39" t="s">
        <v>671</v>
      </c>
      <c r="N579" s="2" t="s">
        <v>19</v>
      </c>
      <c r="O579" s="2" t="s">
        <v>19</v>
      </c>
      <c r="P579" s="2" t="s">
        <v>19</v>
      </c>
      <c r="Q579" s="2" t="s">
        <v>19</v>
      </c>
    </row>
    <row r="580" customFormat="false" ht="15" hidden="false" customHeight="false" outlineLevel="0" collapsed="false">
      <c r="A580" s="2" t="s">
        <v>144</v>
      </c>
      <c r="B580" s="2" t="s">
        <v>45</v>
      </c>
      <c r="C580" s="14" t="s">
        <v>816</v>
      </c>
      <c r="D580" s="40" t="n">
        <v>12770</v>
      </c>
      <c r="E580" s="2" t="s">
        <v>667</v>
      </c>
      <c r="F580" s="41" t="n">
        <v>1.18707909162099</v>
      </c>
      <c r="G580" s="31" t="n">
        <v>81.6</v>
      </c>
      <c r="H580" s="42" t="n">
        <v>0.0704107292539816</v>
      </c>
      <c r="I580" s="31" t="n">
        <v>39.3</v>
      </c>
      <c r="J580" s="2" t="s">
        <v>2704</v>
      </c>
      <c r="K580" s="43" t="n">
        <v>0.270866141732284</v>
      </c>
      <c r="L580" s="31" t="n">
        <v>85.4</v>
      </c>
      <c r="M580" s="39" t="s">
        <v>671</v>
      </c>
      <c r="N580" s="2" t="s">
        <v>21</v>
      </c>
      <c r="O580" s="2" t="s">
        <v>21</v>
      </c>
      <c r="P580" s="2" t="s">
        <v>21</v>
      </c>
      <c r="Q580" s="2" t="s">
        <v>21</v>
      </c>
    </row>
    <row r="581" customFormat="false" ht="15" hidden="false" customHeight="false" outlineLevel="0" collapsed="false">
      <c r="A581" s="2" t="s">
        <v>2246</v>
      </c>
      <c r="B581" s="2" t="s">
        <v>45</v>
      </c>
      <c r="C581" s="16"/>
      <c r="D581" s="29"/>
      <c r="E581" s="2"/>
      <c r="F581" s="30"/>
      <c r="G581" s="31"/>
      <c r="H581" s="32"/>
      <c r="I581" s="31"/>
      <c r="J581" s="2"/>
      <c r="K581" s="33"/>
      <c r="L581" s="31"/>
      <c r="M581" s="34" t="s">
        <v>668</v>
      </c>
      <c r="N581" s="2"/>
      <c r="O581" s="2"/>
      <c r="P581" s="2"/>
      <c r="Q581" s="2"/>
    </row>
    <row r="582" customFormat="false" ht="15" hidden="false" customHeight="false" outlineLevel="0" collapsed="false">
      <c r="A582" s="2" t="s">
        <v>2246</v>
      </c>
      <c r="B582" s="2" t="s">
        <v>46</v>
      </c>
      <c r="C582" s="14" t="s">
        <v>2843</v>
      </c>
      <c r="D582" s="40" t="n">
        <v>46080</v>
      </c>
      <c r="E582" s="2" t="s">
        <v>667</v>
      </c>
      <c r="F582" s="41" t="n">
        <v>3.9982421875</v>
      </c>
      <c r="G582" s="31" t="n">
        <v>62.8</v>
      </c>
      <c r="H582" s="42" t="n">
        <v>0.111432706222865</v>
      </c>
      <c r="I582" s="31" t="n">
        <v>60.6</v>
      </c>
      <c r="J582" s="2" t="s">
        <v>2700</v>
      </c>
      <c r="K582" s="33"/>
      <c r="L582" s="31"/>
      <c r="M582" s="34" t="s">
        <v>668</v>
      </c>
      <c r="N582" s="2" t="s">
        <v>21</v>
      </c>
      <c r="O582" s="2" t="s">
        <v>21</v>
      </c>
      <c r="P582" s="2" t="s">
        <v>21</v>
      </c>
      <c r="Q582" s="2"/>
    </row>
    <row r="583" customFormat="false" ht="15" hidden="false" customHeight="false" outlineLevel="0" collapsed="false">
      <c r="A583" s="2" t="s">
        <v>2246</v>
      </c>
      <c r="B583" s="2" t="s">
        <v>47</v>
      </c>
      <c r="C583" s="13" t="s">
        <v>2247</v>
      </c>
      <c r="D583" s="35" t="n">
        <v>57500</v>
      </c>
      <c r="E583" s="2" t="s">
        <v>667</v>
      </c>
      <c r="F583" s="36" t="n">
        <v>1.52339130434783</v>
      </c>
      <c r="G583" s="31" t="n">
        <v>59.7</v>
      </c>
      <c r="H583" s="37" t="n">
        <v>0.136880400181901</v>
      </c>
      <c r="I583" s="31" t="n">
        <v>71.3</v>
      </c>
      <c r="J583" s="2" t="s">
        <v>2697</v>
      </c>
      <c r="K583" s="38" t="n">
        <v>0.185614849187935</v>
      </c>
      <c r="L583" s="31" t="n">
        <v>79.4</v>
      </c>
      <c r="M583" s="39" t="s">
        <v>671</v>
      </c>
      <c r="N583" s="2" t="s">
        <v>19</v>
      </c>
      <c r="O583" s="2" t="s">
        <v>19</v>
      </c>
      <c r="P583" s="2" t="s">
        <v>19</v>
      </c>
      <c r="Q583" s="2" t="s">
        <v>19</v>
      </c>
    </row>
    <row r="584" customFormat="false" ht="15" hidden="false" customHeight="false" outlineLevel="0" collapsed="false">
      <c r="A584" s="2" t="s">
        <v>1608</v>
      </c>
      <c r="B584" s="2" t="s">
        <v>45</v>
      </c>
      <c r="C584" s="14" t="s">
        <v>2844</v>
      </c>
      <c r="D584" s="40" t="n">
        <v>10750</v>
      </c>
      <c r="E584" s="2" t="s">
        <v>667</v>
      </c>
      <c r="F584" s="41" t="n">
        <v>0.519069767441861</v>
      </c>
      <c r="G584" s="31" t="n">
        <v>43.6</v>
      </c>
      <c r="H584" s="42" t="n">
        <v>0.16974972796518</v>
      </c>
      <c r="I584" s="31" t="n">
        <v>84.9</v>
      </c>
      <c r="J584" s="2" t="s">
        <v>2704</v>
      </c>
      <c r="K584" s="33"/>
      <c r="L584" s="31"/>
      <c r="M584" s="34" t="s">
        <v>668</v>
      </c>
      <c r="N584" s="2" t="s">
        <v>21</v>
      </c>
      <c r="O584" s="2" t="s">
        <v>21</v>
      </c>
      <c r="P584" s="2" t="s">
        <v>21</v>
      </c>
      <c r="Q584" s="2"/>
    </row>
    <row r="585" customFormat="false" ht="15" hidden="false" customHeight="false" outlineLevel="0" collapsed="false">
      <c r="A585" s="2" t="s">
        <v>1608</v>
      </c>
      <c r="B585" s="2" t="s">
        <v>46</v>
      </c>
      <c r="C585" s="13" t="s">
        <v>1609</v>
      </c>
      <c r="D585" s="35" t="n">
        <v>8916</v>
      </c>
      <c r="E585" s="2" t="s">
        <v>678</v>
      </c>
      <c r="F585" s="36" t="n">
        <v>4.06460296096905</v>
      </c>
      <c r="G585" s="31" t="n">
        <v>63.2</v>
      </c>
      <c r="H585" s="37" t="n">
        <v>0.060418648905804</v>
      </c>
      <c r="I585" s="31" t="n">
        <v>25</v>
      </c>
      <c r="J585" s="2" t="s">
        <v>2720</v>
      </c>
      <c r="K585" s="38" t="n">
        <v>0.117741418030157</v>
      </c>
      <c r="L585" s="31" t="n">
        <v>40.7</v>
      </c>
      <c r="M585" s="39" t="s">
        <v>671</v>
      </c>
      <c r="N585" s="2" t="s">
        <v>19</v>
      </c>
      <c r="O585" s="2" t="s">
        <v>19</v>
      </c>
      <c r="P585" s="2" t="s">
        <v>19</v>
      </c>
      <c r="Q585" s="2" t="s">
        <v>19</v>
      </c>
    </row>
    <row r="586" customFormat="false" ht="15" hidden="false" customHeight="false" outlineLevel="0" collapsed="false">
      <c r="A586" s="2" t="s">
        <v>1608</v>
      </c>
      <c r="B586" s="2" t="s">
        <v>47</v>
      </c>
      <c r="C586" s="13" t="s">
        <v>2158</v>
      </c>
      <c r="D586" s="35" t="n">
        <v>92577</v>
      </c>
      <c r="E586" s="2" t="s">
        <v>667</v>
      </c>
      <c r="F586" s="36" t="n">
        <v>1.90622940903248</v>
      </c>
      <c r="G586" s="31" t="n">
        <v>70.7</v>
      </c>
      <c r="H586" s="37" t="n">
        <v>0.110621910840252</v>
      </c>
      <c r="I586" s="31" t="n">
        <v>59.9</v>
      </c>
      <c r="J586" s="2" t="s">
        <v>2697</v>
      </c>
      <c r="K586" s="38" t="n">
        <v>0.223111212710024</v>
      </c>
      <c r="L586" s="31" t="n">
        <v>88</v>
      </c>
      <c r="M586" s="39" t="s">
        <v>671</v>
      </c>
      <c r="N586" s="2" t="s">
        <v>19</v>
      </c>
      <c r="O586" s="2" t="s">
        <v>19</v>
      </c>
      <c r="P586" s="2" t="s">
        <v>19</v>
      </c>
      <c r="Q586" s="2" t="s">
        <v>19</v>
      </c>
    </row>
    <row r="587" customFormat="false" ht="15" hidden="false" customHeight="false" outlineLevel="0" collapsed="false">
      <c r="A587" s="2" t="s">
        <v>2498</v>
      </c>
      <c r="B587" s="2" t="s">
        <v>46</v>
      </c>
      <c r="C587" s="16"/>
      <c r="D587" s="29"/>
      <c r="E587" s="2"/>
      <c r="F587" s="30"/>
      <c r="G587" s="31"/>
      <c r="H587" s="32"/>
      <c r="I587" s="31"/>
      <c r="J587" s="2"/>
      <c r="K587" s="33"/>
      <c r="L587" s="31"/>
      <c r="M587" s="34" t="s">
        <v>668</v>
      </c>
      <c r="N587" s="2"/>
      <c r="O587" s="2"/>
      <c r="P587" s="2"/>
      <c r="Q587" s="2"/>
    </row>
    <row r="588" customFormat="false" ht="15" hidden="false" customHeight="false" outlineLevel="0" collapsed="false">
      <c r="A588" s="2" t="s">
        <v>2498</v>
      </c>
      <c r="B588" s="2" t="s">
        <v>47</v>
      </c>
      <c r="C588" s="13" t="s">
        <v>2499</v>
      </c>
      <c r="D588" s="35" t="n">
        <v>3442</v>
      </c>
      <c r="E588" s="2" t="s">
        <v>678</v>
      </c>
      <c r="F588" s="36" t="n">
        <v>0.796629866356769</v>
      </c>
      <c r="G588" s="31" t="n">
        <v>26.4</v>
      </c>
      <c r="H588" s="37" t="n">
        <v>0.1386040357261</v>
      </c>
      <c r="I588" s="31" t="n">
        <v>69.3</v>
      </c>
      <c r="J588" s="2" t="s">
        <v>2706</v>
      </c>
      <c r="K588" s="38" t="n">
        <v>0.0704225352112676</v>
      </c>
      <c r="L588" s="31" t="n">
        <v>40.2</v>
      </c>
      <c r="M588" s="39" t="s">
        <v>671</v>
      </c>
      <c r="N588" s="2" t="s">
        <v>19</v>
      </c>
      <c r="O588" s="2" t="s">
        <v>19</v>
      </c>
      <c r="P588" s="2" t="s">
        <v>19</v>
      </c>
      <c r="Q588" s="2" t="s">
        <v>19</v>
      </c>
    </row>
    <row r="589" customFormat="false" ht="15" hidden="false" customHeight="false" outlineLevel="0" collapsed="false">
      <c r="A589" s="2" t="s">
        <v>2845</v>
      </c>
      <c r="B589" s="2" t="s">
        <v>47</v>
      </c>
      <c r="C589" s="15" t="s">
        <v>2846</v>
      </c>
      <c r="D589" s="44" t="n">
        <v>3323</v>
      </c>
      <c r="E589" s="2" t="s">
        <v>678</v>
      </c>
      <c r="F589" s="45" t="n">
        <v>2.13873006319591</v>
      </c>
      <c r="G589" s="31" t="n">
        <v>77</v>
      </c>
      <c r="H589" s="46" t="n">
        <v>0.0589547482472913</v>
      </c>
      <c r="I589" s="31" t="n">
        <v>33.3</v>
      </c>
      <c r="J589" s="2" t="s">
        <v>2706</v>
      </c>
      <c r="K589" s="33"/>
      <c r="L589" s="31"/>
      <c r="M589" s="34" t="s">
        <v>668</v>
      </c>
      <c r="N589" s="2" t="s">
        <v>17</v>
      </c>
      <c r="O589" s="2" t="s">
        <v>17</v>
      </c>
      <c r="P589" s="2" t="s">
        <v>17</v>
      </c>
      <c r="Q589" s="2"/>
    </row>
    <row r="590" customFormat="false" ht="15" hidden="false" customHeight="false" outlineLevel="0" collapsed="false">
      <c r="A590" s="2" t="s">
        <v>912</v>
      </c>
      <c r="B590" s="2" t="s">
        <v>45</v>
      </c>
      <c r="C590" s="14" t="s">
        <v>913</v>
      </c>
      <c r="D590" s="40" t="n">
        <v>14610</v>
      </c>
      <c r="E590" s="2" t="s">
        <v>667</v>
      </c>
      <c r="F590" s="41" t="n">
        <v>0.853045859000684</v>
      </c>
      <c r="G590" s="31" t="n">
        <v>67.5</v>
      </c>
      <c r="H590" s="42" t="n">
        <v>0.0886736214605067</v>
      </c>
      <c r="I590" s="31" t="n">
        <v>50.8</v>
      </c>
      <c r="J590" s="2" t="s">
        <v>2704</v>
      </c>
      <c r="K590" s="47" t="s">
        <v>680</v>
      </c>
      <c r="L590" s="31"/>
      <c r="M590" s="39" t="s">
        <v>671</v>
      </c>
      <c r="N590" s="2" t="s">
        <v>21</v>
      </c>
      <c r="O590" s="2" t="s">
        <v>21</v>
      </c>
      <c r="P590" s="2" t="s">
        <v>21</v>
      </c>
      <c r="Q590" s="2" t="s">
        <v>2711</v>
      </c>
    </row>
    <row r="591" customFormat="false" ht="15" hidden="false" customHeight="false" outlineLevel="0" collapsed="false">
      <c r="A591" s="2" t="s">
        <v>912</v>
      </c>
      <c r="B591" s="2" t="s">
        <v>46</v>
      </c>
      <c r="C591" s="13" t="s">
        <v>1701</v>
      </c>
      <c r="D591" s="35" t="n">
        <v>83048</v>
      </c>
      <c r="E591" s="2" t="s">
        <v>667</v>
      </c>
      <c r="F591" s="36" t="n">
        <v>2.91425440708988</v>
      </c>
      <c r="G591" s="31" t="n">
        <v>45.9</v>
      </c>
      <c r="H591" s="37" t="n">
        <v>-0.0121800361594824</v>
      </c>
      <c r="I591" s="31" t="n">
        <v>10</v>
      </c>
      <c r="J591" s="2" t="s">
        <v>2700</v>
      </c>
      <c r="K591" s="38" t="n">
        <v>0.255896300980082</v>
      </c>
      <c r="L591" s="31" t="n">
        <v>84.7</v>
      </c>
      <c r="M591" s="39" t="s">
        <v>671</v>
      </c>
      <c r="N591" s="2" t="s">
        <v>19</v>
      </c>
      <c r="O591" s="2" t="s">
        <v>19</v>
      </c>
      <c r="P591" s="2" t="s">
        <v>19</v>
      </c>
      <c r="Q591" s="2" t="s">
        <v>19</v>
      </c>
    </row>
    <row r="592" customFormat="false" ht="15" hidden="false" customHeight="false" outlineLevel="0" collapsed="false">
      <c r="A592" s="2" t="s">
        <v>912</v>
      </c>
      <c r="B592" s="2" t="s">
        <v>47</v>
      </c>
      <c r="C592" s="13" t="s">
        <v>2847</v>
      </c>
      <c r="D592" s="35" t="n">
        <v>754974</v>
      </c>
      <c r="E592" s="2" t="s">
        <v>670</v>
      </c>
      <c r="F592" s="30"/>
      <c r="G592" s="31"/>
      <c r="H592" s="37" t="n">
        <v>0.204335758039816</v>
      </c>
      <c r="I592" s="31" t="n">
        <v>91.6</v>
      </c>
      <c r="J592" s="2" t="s">
        <v>2701</v>
      </c>
      <c r="K592" s="38" t="n">
        <v>0.0337795992714026</v>
      </c>
      <c r="L592" s="31" t="n">
        <v>21.5</v>
      </c>
      <c r="M592" s="34" t="s">
        <v>668</v>
      </c>
      <c r="N592" s="2" t="s">
        <v>19</v>
      </c>
      <c r="O592" s="2"/>
      <c r="P592" s="2" t="s">
        <v>19</v>
      </c>
      <c r="Q592" s="2" t="s">
        <v>19</v>
      </c>
    </row>
    <row r="593" customFormat="false" ht="15" hidden="false" customHeight="false" outlineLevel="0" collapsed="false">
      <c r="A593" s="2" t="s">
        <v>2047</v>
      </c>
      <c r="B593" s="2" t="s">
        <v>45</v>
      </c>
      <c r="C593" s="16"/>
      <c r="D593" s="35" t="n">
        <v>4302</v>
      </c>
      <c r="E593" s="2" t="s">
        <v>678</v>
      </c>
      <c r="F593" s="36" t="n">
        <v>0.229428172942817</v>
      </c>
      <c r="G593" s="31" t="n">
        <v>11.5</v>
      </c>
      <c r="H593" s="37" t="n">
        <v>0.0492682926829268</v>
      </c>
      <c r="I593" s="31" t="n">
        <v>29.6</v>
      </c>
      <c r="J593" s="2" t="s">
        <v>2713</v>
      </c>
      <c r="K593" s="38" t="n">
        <v>0.174418604651163</v>
      </c>
      <c r="L593" s="31" t="n">
        <v>62.7</v>
      </c>
      <c r="M593" s="34" t="s">
        <v>668</v>
      </c>
      <c r="N593" s="2" t="s">
        <v>19</v>
      </c>
      <c r="O593" s="2" t="s">
        <v>19</v>
      </c>
      <c r="P593" s="2" t="s">
        <v>19</v>
      </c>
      <c r="Q593" s="2" t="s">
        <v>19</v>
      </c>
    </row>
    <row r="594" customFormat="false" ht="15" hidden="false" customHeight="false" outlineLevel="0" collapsed="false">
      <c r="A594" s="2" t="s">
        <v>2047</v>
      </c>
      <c r="B594" s="2" t="s">
        <v>47</v>
      </c>
      <c r="C594" s="15" t="s">
        <v>2048</v>
      </c>
      <c r="D594" s="35" t="n">
        <v>46234</v>
      </c>
      <c r="E594" s="2" t="s">
        <v>667</v>
      </c>
      <c r="F594" s="36" t="n">
        <v>2.92172427218065</v>
      </c>
      <c r="G594" s="31" t="n">
        <v>88.4</v>
      </c>
      <c r="H594" s="37" t="n">
        <v>-0.0144946071535149</v>
      </c>
      <c r="I594" s="31" t="n">
        <v>7.8</v>
      </c>
      <c r="J594" s="2" t="s">
        <v>2697</v>
      </c>
      <c r="K594" s="38" t="n">
        <v>0.000406338886631451</v>
      </c>
      <c r="L594" s="31" t="n">
        <v>1.5</v>
      </c>
      <c r="M594" s="39" t="s">
        <v>671</v>
      </c>
      <c r="N594" s="2" t="s">
        <v>19</v>
      </c>
      <c r="O594" s="2" t="s">
        <v>19</v>
      </c>
      <c r="P594" s="2" t="s">
        <v>19</v>
      </c>
      <c r="Q594" s="2" t="s">
        <v>19</v>
      </c>
    </row>
    <row r="595" customFormat="false" ht="15" hidden="false" customHeight="false" outlineLevel="0" collapsed="false">
      <c r="A595" s="2" t="s">
        <v>612</v>
      </c>
      <c r="B595" s="2" t="s">
        <v>45</v>
      </c>
      <c r="C595" s="14" t="s">
        <v>1281</v>
      </c>
      <c r="D595" s="40" t="n">
        <v>216160</v>
      </c>
      <c r="E595" s="2" t="s">
        <v>670</v>
      </c>
      <c r="F595" s="41" t="n">
        <v>0.27543948926721</v>
      </c>
      <c r="G595" s="31" t="n">
        <v>16.5</v>
      </c>
      <c r="H595" s="42" t="n">
        <v>0.197761400786834</v>
      </c>
      <c r="I595" s="31" t="n">
        <v>92</v>
      </c>
      <c r="J595" s="2" t="s">
        <v>2698</v>
      </c>
      <c r="K595" s="43" t="n">
        <v>0.0868783702816058</v>
      </c>
      <c r="L595" s="31" t="n">
        <v>29.6</v>
      </c>
      <c r="M595" s="39" t="s">
        <v>671</v>
      </c>
      <c r="N595" s="2" t="s">
        <v>21</v>
      </c>
      <c r="O595" s="2" t="s">
        <v>21</v>
      </c>
      <c r="P595" s="2" t="s">
        <v>21</v>
      </c>
      <c r="Q595" s="2" t="s">
        <v>21</v>
      </c>
    </row>
    <row r="596" customFormat="false" ht="15" hidden="false" customHeight="false" outlineLevel="0" collapsed="false">
      <c r="A596" s="2" t="s">
        <v>480</v>
      </c>
      <c r="B596" s="2" t="s">
        <v>45</v>
      </c>
      <c r="C596" s="13" t="s">
        <v>1166</v>
      </c>
      <c r="D596" s="35" t="n">
        <v>1612</v>
      </c>
      <c r="E596" s="2" t="s">
        <v>678</v>
      </c>
      <c r="F596" s="36" t="n">
        <v>0.420595533498759</v>
      </c>
      <c r="G596" s="31" t="n">
        <v>33.1</v>
      </c>
      <c r="H596" s="37" t="n">
        <v>0.028717294192725</v>
      </c>
      <c r="I596" s="31" t="n">
        <v>18.5</v>
      </c>
      <c r="J596" s="2" t="s">
        <v>2713</v>
      </c>
      <c r="K596" s="38" t="n">
        <v>0.121212121212121</v>
      </c>
      <c r="L596" s="31" t="n">
        <v>43.5</v>
      </c>
      <c r="M596" s="39" t="s">
        <v>671</v>
      </c>
      <c r="N596" s="2" t="s">
        <v>19</v>
      </c>
      <c r="O596" s="2" t="s">
        <v>19</v>
      </c>
      <c r="P596" s="2" t="s">
        <v>19</v>
      </c>
      <c r="Q596" s="2" t="s">
        <v>19</v>
      </c>
    </row>
    <row r="597" customFormat="false" ht="15" hidden="false" customHeight="false" outlineLevel="0" collapsed="false">
      <c r="A597" s="2" t="s">
        <v>480</v>
      </c>
      <c r="B597" s="2" t="s">
        <v>46</v>
      </c>
      <c r="C597" s="14" t="s">
        <v>1616</v>
      </c>
      <c r="D597" s="40" t="n">
        <v>58510</v>
      </c>
      <c r="E597" s="2" t="s">
        <v>667</v>
      </c>
      <c r="F597" s="41" t="n">
        <v>3.83173816441634</v>
      </c>
      <c r="G597" s="31" t="n">
        <v>60.9</v>
      </c>
      <c r="H597" s="42" t="n">
        <v>0.182976142337242</v>
      </c>
      <c r="I597" s="31" t="n">
        <v>90.5</v>
      </c>
      <c r="J597" s="2" t="s">
        <v>2700</v>
      </c>
      <c r="K597" s="43" t="n">
        <v>0.163196398424311</v>
      </c>
      <c r="L597" s="31" t="n">
        <v>61.9</v>
      </c>
      <c r="M597" s="39" t="s">
        <v>671</v>
      </c>
      <c r="N597" s="2" t="s">
        <v>21</v>
      </c>
      <c r="O597" s="2" t="s">
        <v>21</v>
      </c>
      <c r="P597" s="2" t="s">
        <v>21</v>
      </c>
      <c r="Q597" s="2" t="s">
        <v>21</v>
      </c>
    </row>
    <row r="598" customFormat="false" ht="15" hidden="false" customHeight="false" outlineLevel="0" collapsed="false">
      <c r="A598" s="2" t="s">
        <v>480</v>
      </c>
      <c r="B598" s="2" t="s">
        <v>47</v>
      </c>
      <c r="C598" s="13" t="s">
        <v>2543</v>
      </c>
      <c r="D598" s="35" t="n">
        <v>30433</v>
      </c>
      <c r="E598" s="2" t="s">
        <v>667</v>
      </c>
      <c r="F598" s="36" t="n">
        <v>0.6974337068314</v>
      </c>
      <c r="G598" s="31" t="n">
        <v>20.5</v>
      </c>
      <c r="H598" s="37" t="n">
        <v>0.140367969423315</v>
      </c>
      <c r="I598" s="31" t="n">
        <v>73</v>
      </c>
      <c r="J598" s="2" t="s">
        <v>2697</v>
      </c>
      <c r="K598" s="38" t="n">
        <v>0.151662611516626</v>
      </c>
      <c r="L598" s="31" t="n">
        <v>71.2</v>
      </c>
      <c r="M598" s="39" t="s">
        <v>671</v>
      </c>
      <c r="N598" s="2" t="s">
        <v>19</v>
      </c>
      <c r="O598" s="2" t="s">
        <v>19</v>
      </c>
      <c r="P598" s="2" t="s">
        <v>19</v>
      </c>
      <c r="Q598" s="2" t="s">
        <v>19</v>
      </c>
    </row>
    <row r="599" customFormat="false" ht="15" hidden="false" customHeight="false" outlineLevel="0" collapsed="false">
      <c r="A599" s="2" t="s">
        <v>156</v>
      </c>
      <c r="B599" s="2" t="s">
        <v>45</v>
      </c>
      <c r="C599" s="13" t="s">
        <v>810</v>
      </c>
      <c r="D599" s="35" t="n">
        <v>8804</v>
      </c>
      <c r="E599" s="2" t="s">
        <v>678</v>
      </c>
      <c r="F599" s="36" t="n">
        <v>1.19445706497047</v>
      </c>
      <c r="G599" s="31" t="n">
        <v>82.5</v>
      </c>
      <c r="H599" s="37" t="n">
        <v>-0.0228634850166482</v>
      </c>
      <c r="I599" s="31" t="n">
        <v>7.4</v>
      </c>
      <c r="J599" s="2" t="s">
        <v>2713</v>
      </c>
      <c r="K599" s="38" t="n">
        <v>0.364035087719298</v>
      </c>
      <c r="L599" s="31" t="n">
        <v>98.1</v>
      </c>
      <c r="M599" s="39" t="s">
        <v>671</v>
      </c>
      <c r="N599" s="2" t="s">
        <v>19</v>
      </c>
      <c r="O599" s="2" t="s">
        <v>19</v>
      </c>
      <c r="P599" s="2" t="s">
        <v>19</v>
      </c>
      <c r="Q599" s="2" t="s">
        <v>19</v>
      </c>
    </row>
    <row r="600" customFormat="false" ht="15" hidden="false" customHeight="false" outlineLevel="0" collapsed="false">
      <c r="A600" s="2" t="s">
        <v>156</v>
      </c>
      <c r="B600" s="2" t="s">
        <v>47</v>
      </c>
      <c r="C600" s="13" t="s">
        <v>2150</v>
      </c>
      <c r="D600" s="35" t="n">
        <v>64023</v>
      </c>
      <c r="E600" s="2" t="s">
        <v>667</v>
      </c>
      <c r="F600" s="36" t="n">
        <v>1.94908079908783</v>
      </c>
      <c r="G600" s="31" t="n">
        <v>71.9</v>
      </c>
      <c r="H600" s="37" t="n">
        <v>0.0248435273967121</v>
      </c>
      <c r="I600" s="31" t="n">
        <v>18.1</v>
      </c>
      <c r="J600" s="2" t="s">
        <v>2697</v>
      </c>
      <c r="K600" s="38" t="n">
        <v>0.435425346055638</v>
      </c>
      <c r="L600" s="31" t="n">
        <v>99.6</v>
      </c>
      <c r="M600" s="39" t="s">
        <v>671</v>
      </c>
      <c r="N600" s="2" t="s">
        <v>19</v>
      </c>
      <c r="O600" s="2" t="s">
        <v>19</v>
      </c>
      <c r="P600" s="2" t="s">
        <v>19</v>
      </c>
      <c r="Q600" s="2" t="s">
        <v>19</v>
      </c>
    </row>
    <row r="601" customFormat="false" ht="15" hidden="false" customHeight="false" outlineLevel="0" collapsed="false">
      <c r="A601" s="2" t="s">
        <v>420</v>
      </c>
      <c r="B601" s="2" t="s">
        <v>45</v>
      </c>
      <c r="C601" s="13" t="s">
        <v>1185</v>
      </c>
      <c r="D601" s="35" t="n">
        <v>405048</v>
      </c>
      <c r="E601" s="2" t="s">
        <v>670</v>
      </c>
      <c r="F601" s="36" t="n">
        <v>0.410608125456736</v>
      </c>
      <c r="G601" s="31" t="n">
        <v>30.6</v>
      </c>
      <c r="H601" s="37" t="n">
        <v>0.0597358561651004</v>
      </c>
      <c r="I601" s="31" t="n">
        <v>39.9</v>
      </c>
      <c r="J601" s="2" t="s">
        <v>2698</v>
      </c>
      <c r="K601" s="38" t="n">
        <v>0.0805091016723398</v>
      </c>
      <c r="L601" s="31" t="n">
        <v>26.2</v>
      </c>
      <c r="M601" s="39" t="s">
        <v>671</v>
      </c>
      <c r="N601" s="2" t="s">
        <v>19</v>
      </c>
      <c r="O601" s="2" t="s">
        <v>19</v>
      </c>
      <c r="P601" s="2" t="s">
        <v>19</v>
      </c>
      <c r="Q601" s="2" t="s">
        <v>19</v>
      </c>
    </row>
    <row r="602" customFormat="false" ht="15" hidden="false" customHeight="false" outlineLevel="0" collapsed="false">
      <c r="A602" s="2" t="s">
        <v>420</v>
      </c>
      <c r="B602" s="2" t="s">
        <v>46</v>
      </c>
      <c r="C602" s="14" t="s">
        <v>1873</v>
      </c>
      <c r="D602" s="40" t="n">
        <v>181930</v>
      </c>
      <c r="E602" s="2" t="s">
        <v>670</v>
      </c>
      <c r="F602" s="41" t="n">
        <v>1.59947232452042</v>
      </c>
      <c r="G602" s="31" t="n">
        <v>17.3</v>
      </c>
      <c r="H602" s="42" t="n">
        <v>0.165694880502339</v>
      </c>
      <c r="I602" s="31" t="n">
        <v>88.1</v>
      </c>
      <c r="J602" s="2" t="s">
        <v>2705</v>
      </c>
      <c r="K602" s="43" t="n">
        <v>0.354728319839746</v>
      </c>
      <c r="L602" s="31" t="n">
        <v>96.1</v>
      </c>
      <c r="M602" s="39" t="s">
        <v>671</v>
      </c>
      <c r="N602" s="2" t="s">
        <v>21</v>
      </c>
      <c r="O602" s="2" t="s">
        <v>21</v>
      </c>
      <c r="P602" s="2" t="s">
        <v>21</v>
      </c>
      <c r="Q602" s="2" t="s">
        <v>21</v>
      </c>
    </row>
    <row r="603" customFormat="false" ht="15" hidden="false" customHeight="false" outlineLevel="0" collapsed="false">
      <c r="A603" s="2" t="s">
        <v>420</v>
      </c>
      <c r="B603" s="2" t="s">
        <v>47</v>
      </c>
      <c r="C603" s="13" t="s">
        <v>2075</v>
      </c>
      <c r="D603" s="35" t="n">
        <v>125482</v>
      </c>
      <c r="E603" s="2" t="s">
        <v>670</v>
      </c>
      <c r="F603" s="36" t="n">
        <v>2.61998533654229</v>
      </c>
      <c r="G603" s="31" t="n">
        <v>84.4</v>
      </c>
      <c r="H603" s="37" t="n">
        <v>0.084790013313277</v>
      </c>
      <c r="I603" s="31" t="n">
        <v>51.2</v>
      </c>
      <c r="J603" s="2" t="s">
        <v>2701</v>
      </c>
      <c r="K603" s="43" t="n">
        <v>0.0428215699881618</v>
      </c>
      <c r="L603" s="31" t="n">
        <v>27.2</v>
      </c>
      <c r="M603" s="39" t="s">
        <v>671</v>
      </c>
      <c r="N603" s="2" t="s">
        <v>19</v>
      </c>
      <c r="O603" s="2" t="s">
        <v>19</v>
      </c>
      <c r="P603" s="2" t="s">
        <v>19</v>
      </c>
      <c r="Q603" s="2" t="s">
        <v>21</v>
      </c>
    </row>
    <row r="604" customFormat="false" ht="15" hidden="false" customHeight="false" outlineLevel="0" collapsed="false">
      <c r="A604" s="2" t="s">
        <v>2848</v>
      </c>
      <c r="B604" s="2" t="s">
        <v>45</v>
      </c>
      <c r="C604" s="16"/>
      <c r="D604" s="29"/>
      <c r="E604" s="2"/>
      <c r="F604" s="30"/>
      <c r="G604" s="31"/>
      <c r="H604" s="32"/>
      <c r="I604" s="31"/>
      <c r="J604" s="2"/>
      <c r="K604" s="33"/>
      <c r="L604" s="31"/>
      <c r="M604" s="34" t="s">
        <v>668</v>
      </c>
      <c r="N604" s="2"/>
      <c r="O604" s="2"/>
      <c r="P604" s="2"/>
      <c r="Q604" s="2"/>
    </row>
    <row r="605" customFormat="false" ht="15" hidden="false" customHeight="false" outlineLevel="0" collapsed="false">
      <c r="A605" s="2" t="s">
        <v>2848</v>
      </c>
      <c r="B605" s="2" t="s">
        <v>47</v>
      </c>
      <c r="C605" s="16"/>
      <c r="D605" s="29"/>
      <c r="E605" s="2"/>
      <c r="F605" s="30"/>
      <c r="G605" s="31"/>
      <c r="H605" s="32"/>
      <c r="I605" s="31"/>
      <c r="J605" s="2"/>
      <c r="K605" s="33"/>
      <c r="L605" s="31"/>
      <c r="M605" s="34" t="s">
        <v>668</v>
      </c>
      <c r="N605" s="2"/>
      <c r="O605" s="2"/>
      <c r="P605" s="2"/>
      <c r="Q605" s="2"/>
    </row>
    <row r="606" customFormat="false" ht="15" hidden="false" customHeight="false" outlineLevel="0" collapsed="false">
      <c r="A606" s="2" t="s">
        <v>400</v>
      </c>
      <c r="B606" s="2" t="s">
        <v>45</v>
      </c>
      <c r="C606" s="14" t="s">
        <v>1048</v>
      </c>
      <c r="D606" s="40" t="n">
        <v>23080</v>
      </c>
      <c r="E606" s="2" t="s">
        <v>667</v>
      </c>
      <c r="F606" s="41" t="n">
        <v>0.596707105719238</v>
      </c>
      <c r="G606" s="31" t="n">
        <v>49.1</v>
      </c>
      <c r="H606" s="42" t="n">
        <v>0.291550083939564</v>
      </c>
      <c r="I606" s="31" t="n">
        <v>99.6</v>
      </c>
      <c r="J606" s="2" t="s">
        <v>2704</v>
      </c>
      <c r="K606" s="47" t="s">
        <v>680</v>
      </c>
      <c r="L606" s="31"/>
      <c r="M606" s="39" t="s">
        <v>671</v>
      </c>
      <c r="N606" s="2" t="s">
        <v>21</v>
      </c>
      <c r="O606" s="2" t="s">
        <v>21</v>
      </c>
      <c r="P606" s="2" t="s">
        <v>21</v>
      </c>
      <c r="Q606" s="2" t="s">
        <v>2711</v>
      </c>
    </row>
    <row r="607" customFormat="false" ht="15" hidden="false" customHeight="false" outlineLevel="0" collapsed="false">
      <c r="A607" s="2" t="s">
        <v>400</v>
      </c>
      <c r="B607" s="2" t="s">
        <v>46</v>
      </c>
      <c r="C607" s="13" t="s">
        <v>1710</v>
      </c>
      <c r="D607" s="35" t="n">
        <v>16960</v>
      </c>
      <c r="E607" s="2" t="s">
        <v>667</v>
      </c>
      <c r="F607" s="36" t="n">
        <v>2.80707547169811</v>
      </c>
      <c r="G607" s="31" t="n">
        <v>44.2</v>
      </c>
      <c r="H607" s="37" t="n">
        <v>-0.0696143507597784</v>
      </c>
      <c r="I607" s="31" t="n">
        <v>3.3</v>
      </c>
      <c r="J607" s="2" t="s">
        <v>2700</v>
      </c>
      <c r="K607" s="38" t="n">
        <v>0.28698553948832</v>
      </c>
      <c r="L607" s="31" t="n">
        <v>88.9</v>
      </c>
      <c r="M607" s="39" t="s">
        <v>671</v>
      </c>
      <c r="N607" s="2" t="s">
        <v>19</v>
      </c>
      <c r="O607" s="2" t="s">
        <v>19</v>
      </c>
      <c r="P607" s="2" t="s">
        <v>19</v>
      </c>
      <c r="Q607" s="2" t="s">
        <v>19</v>
      </c>
    </row>
    <row r="608" customFormat="false" ht="15" hidden="false" customHeight="false" outlineLevel="0" collapsed="false">
      <c r="A608" s="2" t="s">
        <v>312</v>
      </c>
      <c r="B608" s="2" t="s">
        <v>45</v>
      </c>
      <c r="C608" s="13" t="s">
        <v>878</v>
      </c>
      <c r="D608" s="35" t="n">
        <v>53573</v>
      </c>
      <c r="E608" s="2" t="s">
        <v>667</v>
      </c>
      <c r="F608" s="36" t="n">
        <v>0.928490097623803</v>
      </c>
      <c r="G608" s="31" t="n">
        <v>72.4</v>
      </c>
      <c r="H608" s="37" t="n">
        <v>0.14864922813036</v>
      </c>
      <c r="I608" s="31" t="n">
        <v>76.6</v>
      </c>
      <c r="J608" s="2" t="s">
        <v>2704</v>
      </c>
      <c r="K608" s="38" t="n">
        <v>0.204234972677596</v>
      </c>
      <c r="L608" s="31" t="n">
        <v>72.4</v>
      </c>
      <c r="M608" s="39" t="s">
        <v>671</v>
      </c>
      <c r="N608" s="2" t="s">
        <v>19</v>
      </c>
      <c r="O608" s="2" t="s">
        <v>19</v>
      </c>
      <c r="P608" s="2" t="s">
        <v>19</v>
      </c>
      <c r="Q608" s="2" t="s">
        <v>19</v>
      </c>
    </row>
    <row r="609" customFormat="false" ht="15" hidden="false" customHeight="false" outlineLevel="0" collapsed="false">
      <c r="A609" s="2" t="s">
        <v>312</v>
      </c>
      <c r="B609" s="2" t="s">
        <v>46</v>
      </c>
      <c r="C609" s="13" t="s">
        <v>1866</v>
      </c>
      <c r="D609" s="35" t="n">
        <v>195969</v>
      </c>
      <c r="E609" s="2" t="s">
        <v>670</v>
      </c>
      <c r="F609" s="36" t="n">
        <v>1.63819277538794</v>
      </c>
      <c r="G609" s="31" t="n">
        <v>18.6</v>
      </c>
      <c r="H609" s="37" t="n">
        <v>0.0617425083842165</v>
      </c>
      <c r="I609" s="31" t="n">
        <v>36.4</v>
      </c>
      <c r="J609" s="2" t="s">
        <v>2705</v>
      </c>
      <c r="K609" s="38" t="n">
        <v>0.330246660657215</v>
      </c>
      <c r="L609" s="31" t="n">
        <v>94.8</v>
      </c>
      <c r="M609" s="39" t="s">
        <v>671</v>
      </c>
      <c r="N609" s="2" t="s">
        <v>19</v>
      </c>
      <c r="O609" s="2" t="s">
        <v>19</v>
      </c>
      <c r="P609" s="2" t="s">
        <v>19</v>
      </c>
      <c r="Q609" s="2" t="s">
        <v>19</v>
      </c>
    </row>
    <row r="610" customFormat="false" ht="15" hidden="false" customHeight="false" outlineLevel="0" collapsed="false">
      <c r="A610" s="2" t="s">
        <v>312</v>
      </c>
      <c r="B610" s="2" t="s">
        <v>47</v>
      </c>
      <c r="C610" s="13" t="s">
        <v>2103</v>
      </c>
      <c r="D610" s="35" t="n">
        <v>60851</v>
      </c>
      <c r="E610" s="2" t="s">
        <v>667</v>
      </c>
      <c r="F610" s="36" t="n">
        <v>2.2568404792033</v>
      </c>
      <c r="G610" s="31" t="n">
        <v>79.5</v>
      </c>
      <c r="H610" s="37" t="n">
        <v>0.0551403651748713</v>
      </c>
      <c r="I610" s="31" t="n">
        <v>33</v>
      </c>
      <c r="J610" s="2" t="s">
        <v>2697</v>
      </c>
      <c r="K610" s="38" t="n">
        <v>0.194487779511181</v>
      </c>
      <c r="L610" s="31" t="n">
        <v>81.5</v>
      </c>
      <c r="M610" s="39" t="s">
        <v>671</v>
      </c>
      <c r="N610" s="2" t="s">
        <v>19</v>
      </c>
      <c r="O610" s="2" t="s">
        <v>19</v>
      </c>
      <c r="P610" s="2" t="s">
        <v>19</v>
      </c>
      <c r="Q610" s="2" t="s">
        <v>19</v>
      </c>
    </row>
    <row r="611" customFormat="false" ht="15" hidden="false" customHeight="false" outlineLevel="0" collapsed="false">
      <c r="A611" s="2" t="s">
        <v>1028</v>
      </c>
      <c r="B611" s="2" t="s">
        <v>45</v>
      </c>
      <c r="C611" s="14" t="s">
        <v>1029</v>
      </c>
      <c r="D611" s="40" t="n">
        <v>115330</v>
      </c>
      <c r="E611" s="2" t="s">
        <v>670</v>
      </c>
      <c r="F611" s="41" t="n">
        <v>0.624781063036504</v>
      </c>
      <c r="G611" s="31" t="n">
        <v>51.5</v>
      </c>
      <c r="H611" s="42" t="n">
        <v>0.0416365606936416</v>
      </c>
      <c r="I611" s="31" t="n">
        <v>26.8</v>
      </c>
      <c r="J611" s="2" t="s">
        <v>2698</v>
      </c>
      <c r="K611" s="43" t="n">
        <v>0.208484573502722</v>
      </c>
      <c r="L611" s="31" t="n">
        <v>73.8</v>
      </c>
      <c r="M611" s="39" t="s">
        <v>671</v>
      </c>
      <c r="N611" s="2" t="s">
        <v>21</v>
      </c>
      <c r="O611" s="2" t="s">
        <v>21</v>
      </c>
      <c r="P611" s="2" t="s">
        <v>21</v>
      </c>
      <c r="Q611" s="2" t="s">
        <v>21</v>
      </c>
    </row>
    <row r="612" customFormat="false" ht="15" hidden="false" customHeight="false" outlineLevel="0" collapsed="false">
      <c r="A612" s="2" t="s">
        <v>1028</v>
      </c>
      <c r="B612" s="2" t="s">
        <v>46</v>
      </c>
      <c r="C612" s="16"/>
      <c r="D612" s="29"/>
      <c r="E612" s="2"/>
      <c r="F612" s="30"/>
      <c r="G612" s="31"/>
      <c r="H612" s="32"/>
      <c r="I612" s="31"/>
      <c r="J612" s="2"/>
      <c r="K612" s="33"/>
      <c r="L612" s="31"/>
      <c r="M612" s="34" t="s">
        <v>668</v>
      </c>
      <c r="N612" s="2"/>
      <c r="O612" s="2"/>
      <c r="P612" s="2"/>
      <c r="Q612" s="2"/>
    </row>
    <row r="613" customFormat="false" ht="15" hidden="false" customHeight="false" outlineLevel="0" collapsed="false">
      <c r="A613" s="2" t="s">
        <v>1028</v>
      </c>
      <c r="B613" s="2" t="s">
        <v>47</v>
      </c>
      <c r="C613" s="13" t="s">
        <v>2547</v>
      </c>
      <c r="D613" s="35" t="n">
        <v>105590</v>
      </c>
      <c r="E613" s="2" t="s">
        <v>670</v>
      </c>
      <c r="F613" s="36" t="n">
        <v>0.671806042238848</v>
      </c>
      <c r="G613" s="31" t="n">
        <v>19.8</v>
      </c>
      <c r="H613" s="37" t="n">
        <v>0.17654268713926</v>
      </c>
      <c r="I613" s="31" t="n">
        <v>86.1</v>
      </c>
      <c r="J613" s="2" t="s">
        <v>2701</v>
      </c>
      <c r="K613" s="38" t="n">
        <v>0.0619554695062924</v>
      </c>
      <c r="L613" s="31" t="n">
        <v>36.6</v>
      </c>
      <c r="M613" s="39" t="s">
        <v>671</v>
      </c>
      <c r="N613" s="2" t="s">
        <v>19</v>
      </c>
      <c r="O613" s="2" t="s">
        <v>19</v>
      </c>
      <c r="P613" s="2" t="s">
        <v>19</v>
      </c>
      <c r="Q613" s="2" t="s">
        <v>19</v>
      </c>
    </row>
    <row r="614" customFormat="false" ht="15" hidden="false" customHeight="false" outlineLevel="0" collapsed="false">
      <c r="A614" s="2" t="s">
        <v>1705</v>
      </c>
      <c r="B614" s="2" t="s">
        <v>45</v>
      </c>
      <c r="C614" s="14" t="s">
        <v>2849</v>
      </c>
      <c r="D614" s="40" t="n">
        <v>53350</v>
      </c>
      <c r="E614" s="2" t="s">
        <v>667</v>
      </c>
      <c r="F614" s="30"/>
      <c r="G614" s="31"/>
      <c r="H614" s="42" t="n">
        <v>0.119387326898867</v>
      </c>
      <c r="I614" s="31" t="n">
        <v>61.1</v>
      </c>
      <c r="J614" s="2" t="s">
        <v>2704</v>
      </c>
      <c r="K614" s="43" t="n">
        <v>0.233303650934996</v>
      </c>
      <c r="L614" s="31" t="n">
        <v>78.7</v>
      </c>
      <c r="M614" s="34" t="s">
        <v>668</v>
      </c>
      <c r="N614" s="2" t="s">
        <v>21</v>
      </c>
      <c r="O614" s="2"/>
      <c r="P614" s="2" t="s">
        <v>21</v>
      </c>
      <c r="Q614" s="2" t="s">
        <v>21</v>
      </c>
    </row>
    <row r="615" customFormat="false" ht="15" hidden="false" customHeight="false" outlineLevel="0" collapsed="false">
      <c r="A615" s="2" t="s">
        <v>1705</v>
      </c>
      <c r="B615" s="2" t="s">
        <v>46</v>
      </c>
      <c r="C615" s="14" t="s">
        <v>1706</v>
      </c>
      <c r="D615" s="40" t="n">
        <v>25060</v>
      </c>
      <c r="E615" s="2" t="s">
        <v>667</v>
      </c>
      <c r="F615" s="41" t="n">
        <v>2.81500399042299</v>
      </c>
      <c r="G615" s="31" t="n">
        <v>44.6</v>
      </c>
      <c r="H615" s="42" t="n">
        <v>0.146386093321135</v>
      </c>
      <c r="I615" s="31" t="n">
        <v>78.4</v>
      </c>
      <c r="J615" s="2" t="s">
        <v>2700</v>
      </c>
      <c r="K615" s="43" t="n">
        <v>0.0436349079263411</v>
      </c>
      <c r="L615" s="31" t="n">
        <v>10.9</v>
      </c>
      <c r="M615" s="39" t="s">
        <v>671</v>
      </c>
      <c r="N615" s="2" t="s">
        <v>21</v>
      </c>
      <c r="O615" s="2" t="s">
        <v>21</v>
      </c>
      <c r="P615" s="2" t="s">
        <v>21</v>
      </c>
      <c r="Q615" s="2" t="s">
        <v>21</v>
      </c>
    </row>
    <row r="616" customFormat="false" ht="15" hidden="false" customHeight="false" outlineLevel="0" collapsed="false">
      <c r="A616" s="2" t="s">
        <v>1705</v>
      </c>
      <c r="B616" s="2" t="s">
        <v>47</v>
      </c>
      <c r="C616" s="13" t="s">
        <v>2392</v>
      </c>
      <c r="D616" s="35" t="n">
        <v>18118</v>
      </c>
      <c r="E616" s="2" t="s">
        <v>667</v>
      </c>
      <c r="F616" s="36" t="n">
        <v>1.04343746550392</v>
      </c>
      <c r="G616" s="31" t="n">
        <v>39.9</v>
      </c>
      <c r="H616" s="37" t="n">
        <v>0.00789942145082332</v>
      </c>
      <c r="I616" s="31" t="n">
        <v>13.1</v>
      </c>
      <c r="J616" s="2" t="s">
        <v>2697</v>
      </c>
      <c r="K616" s="38" t="n">
        <v>0.0526881720430108</v>
      </c>
      <c r="L616" s="31" t="n">
        <v>33.5</v>
      </c>
      <c r="M616" s="39" t="s">
        <v>671</v>
      </c>
      <c r="N616" s="2" t="s">
        <v>19</v>
      </c>
      <c r="O616" s="2" t="s">
        <v>19</v>
      </c>
      <c r="P616" s="2" t="s">
        <v>19</v>
      </c>
      <c r="Q616" s="2" t="s">
        <v>19</v>
      </c>
    </row>
    <row r="617" customFormat="false" ht="15" hidden="false" customHeight="false" outlineLevel="0" collapsed="false">
      <c r="A617" s="2" t="s">
        <v>1793</v>
      </c>
      <c r="B617" s="2" t="s">
        <v>45</v>
      </c>
      <c r="C617" s="16"/>
      <c r="D617" s="29"/>
      <c r="E617" s="2"/>
      <c r="F617" s="30"/>
      <c r="G617" s="31"/>
      <c r="H617" s="32"/>
      <c r="I617" s="31"/>
      <c r="J617" s="2"/>
      <c r="K617" s="33"/>
      <c r="L617" s="31"/>
      <c r="M617" s="34" t="s">
        <v>668</v>
      </c>
      <c r="N617" s="2"/>
      <c r="O617" s="2"/>
      <c r="P617" s="2"/>
      <c r="Q617" s="2"/>
    </row>
    <row r="618" customFormat="false" ht="15" hidden="false" customHeight="false" outlineLevel="0" collapsed="false">
      <c r="A618" s="2" t="s">
        <v>1793</v>
      </c>
      <c r="B618" s="2" t="s">
        <v>46</v>
      </c>
      <c r="C618" s="14" t="s">
        <v>1794</v>
      </c>
      <c r="D618" s="40" t="n">
        <v>14860</v>
      </c>
      <c r="E618" s="2" t="s">
        <v>667</v>
      </c>
      <c r="F618" s="41" t="n">
        <v>2.19111709286676</v>
      </c>
      <c r="G618" s="31" t="n">
        <v>30.9</v>
      </c>
      <c r="H618" s="42" t="n">
        <v>0.0442726633872101</v>
      </c>
      <c r="I618" s="31" t="n">
        <v>25.3</v>
      </c>
      <c r="J618" s="2" t="s">
        <v>2700</v>
      </c>
      <c r="K618" s="43" t="n">
        <v>0.144845360824742</v>
      </c>
      <c r="L618" s="31" t="n">
        <v>54.1</v>
      </c>
      <c r="M618" s="39" t="s">
        <v>671</v>
      </c>
      <c r="N618" s="2" t="s">
        <v>21</v>
      </c>
      <c r="O618" s="2" t="s">
        <v>21</v>
      </c>
      <c r="P618" s="2" t="s">
        <v>21</v>
      </c>
      <c r="Q618" s="2" t="s">
        <v>21</v>
      </c>
    </row>
    <row r="619" customFormat="false" ht="15" hidden="false" customHeight="false" outlineLevel="0" collapsed="false">
      <c r="A619" s="2" t="s">
        <v>1793</v>
      </c>
      <c r="B619" s="2" t="s">
        <v>47</v>
      </c>
      <c r="C619" s="13" t="s">
        <v>2643</v>
      </c>
      <c r="D619" s="35" t="n">
        <v>98144</v>
      </c>
      <c r="E619" s="2" t="s">
        <v>667</v>
      </c>
      <c r="F619" s="36" t="n">
        <v>0.33785050537985</v>
      </c>
      <c r="G619" s="31" t="n">
        <v>5.9</v>
      </c>
      <c r="H619" s="37" t="n">
        <v>0.0699692562632187</v>
      </c>
      <c r="I619" s="31" t="n">
        <v>38.7</v>
      </c>
      <c r="J619" s="2" t="s">
        <v>2697</v>
      </c>
      <c r="K619" s="38" t="n">
        <v>0.0972495088408645</v>
      </c>
      <c r="L619" s="31" t="n">
        <v>53.3</v>
      </c>
      <c r="M619" s="39" t="s">
        <v>671</v>
      </c>
      <c r="N619" s="2" t="s">
        <v>19</v>
      </c>
      <c r="O619" s="2" t="s">
        <v>19</v>
      </c>
      <c r="P619" s="2" t="s">
        <v>19</v>
      </c>
      <c r="Q619" s="2" t="s">
        <v>19</v>
      </c>
    </row>
    <row r="620" customFormat="false" ht="15" hidden="false" customHeight="false" outlineLevel="0" collapsed="false">
      <c r="A620" s="2" t="s">
        <v>880</v>
      </c>
      <c r="B620" s="2" t="s">
        <v>45</v>
      </c>
      <c r="C620" s="14" t="s">
        <v>881</v>
      </c>
      <c r="D620" s="40" t="n">
        <v>169730</v>
      </c>
      <c r="E620" s="2" t="s">
        <v>670</v>
      </c>
      <c r="F620" s="41" t="n">
        <v>0.913380074235551</v>
      </c>
      <c r="G620" s="31" t="n">
        <v>72</v>
      </c>
      <c r="H620" s="42" t="n">
        <v>0.0571784490812831</v>
      </c>
      <c r="I620" s="31" t="n">
        <v>37</v>
      </c>
      <c r="J620" s="2" t="s">
        <v>2698</v>
      </c>
      <c r="K620" s="43" t="n">
        <v>0.0979697624190065</v>
      </c>
      <c r="L620" s="31" t="n">
        <v>34</v>
      </c>
      <c r="M620" s="39" t="s">
        <v>671</v>
      </c>
      <c r="N620" s="2" t="s">
        <v>21</v>
      </c>
      <c r="O620" s="2" t="s">
        <v>21</v>
      </c>
      <c r="P620" s="2" t="s">
        <v>21</v>
      </c>
      <c r="Q620" s="2" t="s">
        <v>21</v>
      </c>
    </row>
    <row r="621" customFormat="false" ht="15" hidden="false" customHeight="false" outlineLevel="0" collapsed="false">
      <c r="A621" s="2" t="s">
        <v>880</v>
      </c>
      <c r="B621" s="2" t="s">
        <v>46</v>
      </c>
      <c r="C621" s="14" t="s">
        <v>1821</v>
      </c>
      <c r="D621" s="40" t="n">
        <v>62810</v>
      </c>
      <c r="E621" s="2" t="s">
        <v>667</v>
      </c>
      <c r="F621" s="41" t="n">
        <v>1.97342779812132</v>
      </c>
      <c r="G621" s="31" t="n">
        <v>25.8</v>
      </c>
      <c r="H621" s="42" t="n">
        <v>0.0895056374674762</v>
      </c>
      <c r="I621" s="31" t="n">
        <v>49.8</v>
      </c>
      <c r="J621" s="2" t="s">
        <v>2700</v>
      </c>
      <c r="K621" s="43" t="n">
        <v>0.175836924096785</v>
      </c>
      <c r="L621" s="31" t="n">
        <v>65.5</v>
      </c>
      <c r="M621" s="39" t="s">
        <v>671</v>
      </c>
      <c r="N621" s="2" t="s">
        <v>21</v>
      </c>
      <c r="O621" s="2" t="s">
        <v>21</v>
      </c>
      <c r="P621" s="2" t="s">
        <v>21</v>
      </c>
      <c r="Q621" s="2" t="s">
        <v>21</v>
      </c>
    </row>
    <row r="622" customFormat="false" ht="15" hidden="false" customHeight="false" outlineLevel="0" collapsed="false">
      <c r="A622" s="2" t="s">
        <v>880</v>
      </c>
      <c r="B622" s="2" t="s">
        <v>47</v>
      </c>
      <c r="C622" s="13" t="s">
        <v>2850</v>
      </c>
      <c r="D622" s="35" t="n">
        <v>9706</v>
      </c>
      <c r="E622" s="2" t="s">
        <v>678</v>
      </c>
      <c r="F622" s="30"/>
      <c r="G622" s="31"/>
      <c r="H622" s="37" t="n">
        <v>0.0626231661922487</v>
      </c>
      <c r="I622" s="31" t="n">
        <v>37.3</v>
      </c>
      <c r="J622" s="2" t="s">
        <v>2706</v>
      </c>
      <c r="K622" s="38" t="n">
        <v>0.301383399209486</v>
      </c>
      <c r="L622" s="31" t="n">
        <v>96</v>
      </c>
      <c r="M622" s="34" t="s">
        <v>668</v>
      </c>
      <c r="N622" s="2" t="s">
        <v>19</v>
      </c>
      <c r="O622" s="2"/>
      <c r="P622" s="2" t="s">
        <v>19</v>
      </c>
      <c r="Q622" s="2" t="s">
        <v>19</v>
      </c>
    </row>
    <row r="623" customFormat="false" ht="15" hidden="false" customHeight="false" outlineLevel="0" collapsed="false">
      <c r="A623" s="2" t="s">
        <v>2851</v>
      </c>
      <c r="B623" s="2" t="s">
        <v>46</v>
      </c>
      <c r="C623" s="14" t="s">
        <v>2852</v>
      </c>
      <c r="D623" s="40" t="n">
        <v>161800</v>
      </c>
      <c r="E623" s="2" t="s">
        <v>670</v>
      </c>
      <c r="F623" s="41" t="n">
        <v>1.67943139678616</v>
      </c>
      <c r="G623" s="31" t="n">
        <v>19.2</v>
      </c>
      <c r="H623" s="32"/>
      <c r="I623" s="31"/>
      <c r="J623" s="2"/>
      <c r="K623" s="43" t="n">
        <v>0.100823200664602</v>
      </c>
      <c r="L623" s="31" t="n">
        <v>32.9</v>
      </c>
      <c r="M623" s="34" t="s">
        <v>668</v>
      </c>
      <c r="N623" s="2" t="s">
        <v>21</v>
      </c>
      <c r="O623" s="2" t="s">
        <v>21</v>
      </c>
      <c r="P623" s="2"/>
      <c r="Q623" s="2" t="s">
        <v>21</v>
      </c>
    </row>
    <row r="624" customFormat="false" ht="15" hidden="false" customHeight="false" outlineLevel="0" collapsed="false">
      <c r="A624" s="2" t="s">
        <v>2853</v>
      </c>
      <c r="B624" s="2" t="s">
        <v>45</v>
      </c>
      <c r="C624" s="16"/>
      <c r="D624" s="29"/>
      <c r="E624" s="2"/>
      <c r="F624" s="30"/>
      <c r="G624" s="31"/>
      <c r="H624" s="32"/>
      <c r="I624" s="31"/>
      <c r="J624" s="2"/>
      <c r="K624" s="33"/>
      <c r="L624" s="31"/>
      <c r="M624" s="34" t="s">
        <v>668</v>
      </c>
      <c r="N624" s="2"/>
      <c r="O624" s="2"/>
      <c r="P624" s="2"/>
      <c r="Q624" s="2"/>
    </row>
    <row r="625" customFormat="false" ht="15" hidden="false" customHeight="false" outlineLevel="0" collapsed="false">
      <c r="A625" s="2" t="s">
        <v>1448</v>
      </c>
      <c r="B625" s="2" t="s">
        <v>45</v>
      </c>
      <c r="C625" s="14" t="s">
        <v>2854</v>
      </c>
      <c r="D625" s="40" t="n">
        <v>36300</v>
      </c>
      <c r="E625" s="2" t="s">
        <v>667</v>
      </c>
      <c r="F625" s="30"/>
      <c r="G625" s="31"/>
      <c r="H625" s="42" t="n">
        <v>0.154213036565978</v>
      </c>
      <c r="I625" s="31" t="n">
        <v>79.4</v>
      </c>
      <c r="J625" s="2" t="s">
        <v>2704</v>
      </c>
      <c r="K625" s="43" t="n">
        <v>0.0632508833922262</v>
      </c>
      <c r="L625" s="31" t="n">
        <v>18.8</v>
      </c>
      <c r="M625" s="34" t="s">
        <v>668</v>
      </c>
      <c r="N625" s="2" t="s">
        <v>21</v>
      </c>
      <c r="O625" s="2"/>
      <c r="P625" s="2" t="s">
        <v>21</v>
      </c>
      <c r="Q625" s="2" t="s">
        <v>21</v>
      </c>
    </row>
    <row r="626" customFormat="false" ht="15" hidden="false" customHeight="false" outlineLevel="0" collapsed="false">
      <c r="A626" s="2" t="s">
        <v>1448</v>
      </c>
      <c r="B626" s="2" t="s">
        <v>46</v>
      </c>
      <c r="C626" s="14" t="s">
        <v>1449</v>
      </c>
      <c r="D626" s="40" t="n">
        <v>140300</v>
      </c>
      <c r="E626" s="2" t="s">
        <v>670</v>
      </c>
      <c r="F626" s="41" t="n">
        <v>7.45901639344262</v>
      </c>
      <c r="G626" s="31" t="n">
        <v>89.2</v>
      </c>
      <c r="H626" s="42" t="n">
        <v>0.153024326101249</v>
      </c>
      <c r="I626" s="31" t="n">
        <v>84.8</v>
      </c>
      <c r="J626" s="2" t="s">
        <v>2705</v>
      </c>
      <c r="K626" s="43" t="n">
        <v>0.307351734266338</v>
      </c>
      <c r="L626" s="31" t="n">
        <v>92.5</v>
      </c>
      <c r="M626" s="39" t="s">
        <v>671</v>
      </c>
      <c r="N626" s="2" t="s">
        <v>21</v>
      </c>
      <c r="O626" s="2" t="s">
        <v>21</v>
      </c>
      <c r="P626" s="2" t="s">
        <v>21</v>
      </c>
      <c r="Q626" s="2" t="s">
        <v>21</v>
      </c>
    </row>
    <row r="627" customFormat="false" ht="15" hidden="false" customHeight="false" outlineLevel="0" collapsed="false">
      <c r="A627" s="2" t="s">
        <v>1448</v>
      </c>
      <c r="B627" s="2" t="s">
        <v>47</v>
      </c>
      <c r="C627" s="13" t="s">
        <v>2545</v>
      </c>
      <c r="D627" s="35" t="n">
        <v>45808</v>
      </c>
      <c r="E627" s="2" t="s">
        <v>667</v>
      </c>
      <c r="F627" s="36" t="n">
        <v>0.690687216206776</v>
      </c>
      <c r="G627" s="31" t="n">
        <v>20.2</v>
      </c>
      <c r="H627" s="37" t="n">
        <v>0.0891107941036614</v>
      </c>
      <c r="I627" s="31" t="n">
        <v>50</v>
      </c>
      <c r="J627" s="2" t="s">
        <v>2697</v>
      </c>
      <c r="K627" s="38" t="n">
        <v>0.0955526199911933</v>
      </c>
      <c r="L627" s="31" t="n">
        <v>52.2</v>
      </c>
      <c r="M627" s="39" t="s">
        <v>671</v>
      </c>
      <c r="N627" s="2" t="s">
        <v>19</v>
      </c>
      <c r="O627" s="2" t="s">
        <v>19</v>
      </c>
      <c r="P627" s="2" t="s">
        <v>19</v>
      </c>
      <c r="Q627" s="2" t="s">
        <v>19</v>
      </c>
    </row>
    <row r="628" customFormat="false" ht="15" hidden="false" customHeight="false" outlineLevel="0" collapsed="false">
      <c r="A628" s="2" t="s">
        <v>2855</v>
      </c>
      <c r="B628" s="2" t="s">
        <v>45</v>
      </c>
      <c r="C628" s="16"/>
      <c r="D628" s="29"/>
      <c r="E628" s="2"/>
      <c r="F628" s="30"/>
      <c r="G628" s="31"/>
      <c r="H628" s="32"/>
      <c r="I628" s="31"/>
      <c r="J628" s="2"/>
      <c r="K628" s="33"/>
      <c r="L628" s="31"/>
      <c r="M628" s="34" t="s">
        <v>668</v>
      </c>
      <c r="N628" s="2"/>
      <c r="O628" s="2"/>
      <c r="P628" s="2"/>
      <c r="Q628" s="2"/>
    </row>
    <row r="629" customFormat="false" ht="15" hidden="false" customHeight="false" outlineLevel="0" collapsed="false">
      <c r="A629" s="2" t="s">
        <v>2856</v>
      </c>
      <c r="B629" s="2" t="s">
        <v>45</v>
      </c>
      <c r="C629" s="14" t="s">
        <v>2857</v>
      </c>
      <c r="D629" s="40" t="n">
        <v>1660</v>
      </c>
      <c r="E629" s="2" t="s">
        <v>678</v>
      </c>
      <c r="F629" s="41" t="n">
        <v>0.437349397590362</v>
      </c>
      <c r="G629" s="31" t="n">
        <v>34.6</v>
      </c>
      <c r="H629" s="32"/>
      <c r="I629" s="31"/>
      <c r="J629" s="2"/>
      <c r="K629" s="43" t="n">
        <v>0.0714285714285714</v>
      </c>
      <c r="L629" s="31" t="n">
        <v>22.1</v>
      </c>
      <c r="M629" s="34" t="s">
        <v>668</v>
      </c>
      <c r="N629" s="2" t="s">
        <v>21</v>
      </c>
      <c r="O629" s="2" t="s">
        <v>21</v>
      </c>
      <c r="P629" s="2"/>
      <c r="Q629" s="2" t="s">
        <v>21</v>
      </c>
    </row>
    <row r="630" customFormat="false" ht="15" hidden="false" customHeight="false" outlineLevel="0" collapsed="false">
      <c r="A630" s="2" t="s">
        <v>2856</v>
      </c>
      <c r="B630" s="2" t="s">
        <v>46</v>
      </c>
      <c r="C630" s="14" t="s">
        <v>2858</v>
      </c>
      <c r="D630" s="40" t="n">
        <v>8410</v>
      </c>
      <c r="E630" s="2" t="s">
        <v>678</v>
      </c>
      <c r="F630" s="41" t="n">
        <v>1.53067776456599</v>
      </c>
      <c r="G630" s="31" t="n">
        <v>14.8</v>
      </c>
      <c r="H630" s="42" t="n">
        <v>0.222383720930233</v>
      </c>
      <c r="I630" s="31" t="n">
        <v>93.8</v>
      </c>
      <c r="J630" s="2" t="s">
        <v>2720</v>
      </c>
      <c r="K630" s="33"/>
      <c r="L630" s="31"/>
      <c r="M630" s="34" t="s">
        <v>668</v>
      </c>
      <c r="N630" s="2" t="s">
        <v>21</v>
      </c>
      <c r="O630" s="2" t="s">
        <v>21</v>
      </c>
      <c r="P630" s="2" t="s">
        <v>21</v>
      </c>
      <c r="Q630" s="2"/>
    </row>
    <row r="631" customFormat="false" ht="15" hidden="false" customHeight="false" outlineLevel="0" collapsed="false">
      <c r="A631" s="2" t="s">
        <v>1053</v>
      </c>
      <c r="B631" s="2" t="s">
        <v>45</v>
      </c>
      <c r="C631" s="13" t="s">
        <v>1054</v>
      </c>
      <c r="D631" s="35" t="n">
        <v>154683</v>
      </c>
      <c r="E631" s="2" t="s">
        <v>670</v>
      </c>
      <c r="F631" s="36" t="n">
        <v>0.588151251268724</v>
      </c>
      <c r="G631" s="31" t="n">
        <v>48.1</v>
      </c>
      <c r="H631" s="37" t="n">
        <v>0.211992760152632</v>
      </c>
      <c r="I631" s="31" t="n">
        <v>94.9</v>
      </c>
      <c r="J631" s="2" t="s">
        <v>2698</v>
      </c>
      <c r="K631" s="38" t="n">
        <v>0.286175820438701</v>
      </c>
      <c r="L631" s="31" t="n">
        <v>88.1</v>
      </c>
      <c r="M631" s="39" t="s">
        <v>671</v>
      </c>
      <c r="N631" s="2" t="s">
        <v>19</v>
      </c>
      <c r="O631" s="2" t="s">
        <v>19</v>
      </c>
      <c r="P631" s="2" t="s">
        <v>19</v>
      </c>
      <c r="Q631" s="2" t="s">
        <v>19</v>
      </c>
    </row>
    <row r="632" customFormat="false" ht="15" hidden="false" customHeight="false" outlineLevel="0" collapsed="false">
      <c r="A632" s="2" t="s">
        <v>1053</v>
      </c>
      <c r="B632" s="2" t="s">
        <v>46</v>
      </c>
      <c r="C632" s="13" t="s">
        <v>1503</v>
      </c>
      <c r="D632" s="35" t="n">
        <v>130702</v>
      </c>
      <c r="E632" s="2" t="s">
        <v>670</v>
      </c>
      <c r="F632" s="36" t="n">
        <v>6.03659469633212</v>
      </c>
      <c r="G632" s="31" t="n">
        <v>81</v>
      </c>
      <c r="H632" s="37" t="n">
        <v>0.0377539758787426</v>
      </c>
      <c r="I632" s="31" t="n">
        <v>25.8</v>
      </c>
      <c r="J632" s="2" t="s">
        <v>2705</v>
      </c>
      <c r="K632" s="38" t="n">
        <v>0.0645773756504618</v>
      </c>
      <c r="L632" s="31" t="n">
        <v>19.9</v>
      </c>
      <c r="M632" s="39" t="s">
        <v>671</v>
      </c>
      <c r="N632" s="2" t="s">
        <v>19</v>
      </c>
      <c r="O632" s="2" t="s">
        <v>19</v>
      </c>
      <c r="P632" s="2" t="s">
        <v>19</v>
      </c>
      <c r="Q632" s="2" t="s">
        <v>19</v>
      </c>
    </row>
    <row r="633" customFormat="false" ht="15" hidden="false" customHeight="false" outlineLevel="0" collapsed="false">
      <c r="A633" s="2" t="s">
        <v>1053</v>
      </c>
      <c r="B633" s="2" t="s">
        <v>47</v>
      </c>
      <c r="C633" s="16"/>
      <c r="D633" s="29"/>
      <c r="E633" s="2"/>
      <c r="F633" s="30"/>
      <c r="G633" s="31"/>
      <c r="H633" s="32"/>
      <c r="I633" s="31"/>
      <c r="J633" s="2"/>
      <c r="K633" s="33"/>
      <c r="L633" s="31"/>
      <c r="M633" s="34" t="s">
        <v>668</v>
      </c>
      <c r="N633" s="2"/>
      <c r="O633" s="2"/>
      <c r="P633" s="2"/>
      <c r="Q633" s="2"/>
    </row>
    <row r="634" customFormat="false" ht="15" hidden="false" customHeight="false" outlineLevel="0" collapsed="false">
      <c r="A634" s="2" t="s">
        <v>107</v>
      </c>
      <c r="B634" s="2" t="s">
        <v>47</v>
      </c>
      <c r="C634" s="13" t="s">
        <v>2019</v>
      </c>
      <c r="D634" s="35" t="n">
        <v>722384</v>
      </c>
      <c r="E634" s="2" t="s">
        <v>670</v>
      </c>
      <c r="F634" s="36" t="n">
        <v>3.46930164566214</v>
      </c>
      <c r="G634" s="31" t="n">
        <v>92</v>
      </c>
      <c r="H634" s="37" t="n">
        <v>0.134650000471211</v>
      </c>
      <c r="I634" s="31" t="n">
        <v>73.5</v>
      </c>
      <c r="J634" s="2" t="s">
        <v>2701</v>
      </c>
      <c r="K634" s="38" t="n">
        <v>0.126189149735901</v>
      </c>
      <c r="L634" s="31" t="n">
        <v>64.4</v>
      </c>
      <c r="M634" s="39" t="s">
        <v>671</v>
      </c>
      <c r="N634" s="2" t="s">
        <v>19</v>
      </c>
      <c r="O634" s="2" t="s">
        <v>19</v>
      </c>
      <c r="P634" s="2" t="s">
        <v>19</v>
      </c>
      <c r="Q634" s="2" t="s">
        <v>19</v>
      </c>
    </row>
    <row r="635" customFormat="false" ht="15" hidden="false" customHeight="false" outlineLevel="0" collapsed="false">
      <c r="A635" s="2" t="s">
        <v>346</v>
      </c>
      <c r="B635" s="2" t="s">
        <v>45</v>
      </c>
      <c r="C635" s="14" t="s">
        <v>1016</v>
      </c>
      <c r="D635" s="40" t="n">
        <v>1246830</v>
      </c>
      <c r="E635" s="2" t="s">
        <v>752</v>
      </c>
      <c r="F635" s="41" t="n">
        <v>0.639022962232221</v>
      </c>
      <c r="G635" s="31" t="n">
        <v>52.8</v>
      </c>
      <c r="H635" s="42" t="n">
        <v>0.0887538312419773</v>
      </c>
      <c r="I635" s="31" t="n">
        <v>31.2</v>
      </c>
      <c r="J635" s="2" t="s">
        <v>2712</v>
      </c>
      <c r="K635" s="43" t="n">
        <v>0.0516935941043084</v>
      </c>
      <c r="L635" s="31" t="n">
        <v>13.8</v>
      </c>
      <c r="M635" s="39" t="s">
        <v>671</v>
      </c>
      <c r="N635" s="2" t="s">
        <v>21</v>
      </c>
      <c r="O635" s="2" t="s">
        <v>21</v>
      </c>
      <c r="P635" s="2" t="s">
        <v>21</v>
      </c>
      <c r="Q635" s="2" t="s">
        <v>21</v>
      </c>
    </row>
    <row r="636" customFormat="false" ht="15" hidden="false" customHeight="false" outlineLevel="0" collapsed="false">
      <c r="A636" s="2" t="s">
        <v>2859</v>
      </c>
      <c r="B636" s="2" t="s">
        <v>46</v>
      </c>
      <c r="C636" s="16"/>
      <c r="D636" s="29"/>
      <c r="E636" s="2"/>
      <c r="F636" s="30"/>
      <c r="G636" s="31"/>
      <c r="H636" s="32"/>
      <c r="I636" s="31"/>
      <c r="J636" s="2"/>
      <c r="K636" s="33"/>
      <c r="L636" s="31"/>
      <c r="M636" s="34" t="s">
        <v>668</v>
      </c>
      <c r="N636" s="2"/>
      <c r="O636" s="2"/>
      <c r="P636" s="2"/>
      <c r="Q636" s="2"/>
    </row>
    <row r="637" customFormat="false" ht="15" hidden="false" customHeight="false" outlineLevel="0" collapsed="false">
      <c r="A637" s="2" t="s">
        <v>2859</v>
      </c>
      <c r="B637" s="2" t="s">
        <v>47</v>
      </c>
      <c r="C637" s="16"/>
      <c r="D637" s="29"/>
      <c r="E637" s="2"/>
      <c r="F637" s="30"/>
      <c r="G637" s="31"/>
      <c r="H637" s="32"/>
      <c r="I637" s="31"/>
      <c r="J637" s="2"/>
      <c r="K637" s="33"/>
      <c r="L637" s="31"/>
      <c r="M637" s="34" t="s">
        <v>668</v>
      </c>
      <c r="N637" s="2"/>
      <c r="O637" s="2"/>
      <c r="P637" s="2"/>
      <c r="Q637" s="2"/>
    </row>
    <row r="638" customFormat="false" ht="15" hidden="false" customHeight="false" outlineLevel="0" collapsed="false">
      <c r="A638" s="2" t="s">
        <v>1327</v>
      </c>
      <c r="B638" s="2" t="s">
        <v>45</v>
      </c>
      <c r="C638" s="14" t="s">
        <v>1328</v>
      </c>
      <c r="D638" s="40" t="n">
        <v>219290</v>
      </c>
      <c r="E638" s="2" t="s">
        <v>670</v>
      </c>
      <c r="F638" s="41" t="n">
        <v>0.20326052259565</v>
      </c>
      <c r="G638" s="31" t="n">
        <v>8.5</v>
      </c>
      <c r="H638" s="42" t="n">
        <v>0.200996768716797</v>
      </c>
      <c r="I638" s="31" t="n">
        <v>94.2</v>
      </c>
      <c r="J638" s="2" t="s">
        <v>2698</v>
      </c>
      <c r="K638" s="43" t="n">
        <v>0.197835738068812</v>
      </c>
      <c r="L638" s="31" t="n">
        <v>70.2</v>
      </c>
      <c r="M638" s="39" t="s">
        <v>671</v>
      </c>
      <c r="N638" s="2" t="s">
        <v>21</v>
      </c>
      <c r="O638" s="2" t="s">
        <v>21</v>
      </c>
      <c r="P638" s="2" t="s">
        <v>21</v>
      </c>
      <c r="Q638" s="2" t="s">
        <v>21</v>
      </c>
    </row>
    <row r="639" customFormat="false" ht="15" hidden="false" customHeight="false" outlineLevel="0" collapsed="false">
      <c r="A639" s="2" t="s">
        <v>1327</v>
      </c>
      <c r="B639" s="2" t="s">
        <v>46</v>
      </c>
      <c r="C639" s="14" t="s">
        <v>1717</v>
      </c>
      <c r="D639" s="40" t="n">
        <v>271220</v>
      </c>
      <c r="E639" s="2" t="s">
        <v>670</v>
      </c>
      <c r="F639" s="41" t="n">
        <v>2.73812403215102</v>
      </c>
      <c r="G639" s="31" t="n">
        <v>43.1</v>
      </c>
      <c r="H639" s="42" t="n">
        <v>0.144726290465538</v>
      </c>
      <c r="I639" s="31" t="n">
        <v>80.1</v>
      </c>
      <c r="J639" s="2" t="s">
        <v>2705</v>
      </c>
      <c r="K639" s="43" t="n">
        <v>0.0348772595038081</v>
      </c>
      <c r="L639" s="31" t="n">
        <v>8.3</v>
      </c>
      <c r="M639" s="39" t="s">
        <v>671</v>
      </c>
      <c r="N639" s="2" t="s">
        <v>21</v>
      </c>
      <c r="O639" s="2" t="s">
        <v>21</v>
      </c>
      <c r="P639" s="2" t="s">
        <v>21</v>
      </c>
      <c r="Q639" s="2" t="s">
        <v>21</v>
      </c>
    </row>
    <row r="640" customFormat="false" ht="15" hidden="false" customHeight="false" outlineLevel="0" collapsed="false">
      <c r="A640" s="2" t="s">
        <v>1327</v>
      </c>
      <c r="B640" s="2" t="s">
        <v>47</v>
      </c>
      <c r="C640" s="16"/>
      <c r="D640" s="29"/>
      <c r="E640" s="2"/>
      <c r="F640" s="30"/>
      <c r="G640" s="31"/>
      <c r="H640" s="32"/>
      <c r="I640" s="31"/>
      <c r="J640" s="2"/>
      <c r="K640" s="33"/>
      <c r="L640" s="31"/>
      <c r="M640" s="34" t="s">
        <v>668</v>
      </c>
      <c r="N640" s="2"/>
      <c r="O640" s="2"/>
      <c r="P640" s="2"/>
      <c r="Q640" s="2"/>
    </row>
    <row r="641" customFormat="false" ht="15" hidden="false" customHeight="false" outlineLevel="0" collapsed="false">
      <c r="A641" s="2" t="s">
        <v>228</v>
      </c>
      <c r="B641" s="2" t="s">
        <v>45</v>
      </c>
      <c r="C641" s="14" t="s">
        <v>927</v>
      </c>
      <c r="D641" s="40" t="n">
        <v>79720</v>
      </c>
      <c r="E641" s="2" t="s">
        <v>667</v>
      </c>
      <c r="F641" s="41" t="n">
        <v>0.811703462117411</v>
      </c>
      <c r="G641" s="31" t="n">
        <v>65.2</v>
      </c>
      <c r="H641" s="42" t="n">
        <v>0.238850038850039</v>
      </c>
      <c r="I641" s="31" t="n">
        <v>96.8</v>
      </c>
      <c r="J641" s="2" t="s">
        <v>2704</v>
      </c>
      <c r="K641" s="43" t="n">
        <v>0.0743264168473212</v>
      </c>
      <c r="L641" s="31" t="n">
        <v>23.2</v>
      </c>
      <c r="M641" s="39" t="s">
        <v>671</v>
      </c>
      <c r="N641" s="2" t="s">
        <v>21</v>
      </c>
      <c r="O641" s="2" t="s">
        <v>21</v>
      </c>
      <c r="P641" s="2" t="s">
        <v>21</v>
      </c>
      <c r="Q641" s="2" t="s">
        <v>21</v>
      </c>
    </row>
    <row r="642" customFormat="false" ht="15" hidden="false" customHeight="false" outlineLevel="0" collapsed="false">
      <c r="A642" s="2" t="s">
        <v>228</v>
      </c>
      <c r="B642" s="2" t="s">
        <v>46</v>
      </c>
      <c r="C642" s="13" t="s">
        <v>1474</v>
      </c>
      <c r="D642" s="35" t="n">
        <v>6712</v>
      </c>
      <c r="E642" s="2" t="s">
        <v>678</v>
      </c>
      <c r="F642" s="36" t="n">
        <v>6.77234803337306</v>
      </c>
      <c r="G642" s="31" t="n">
        <v>85</v>
      </c>
      <c r="H642" s="37" t="n">
        <v>-0.0836860068259386</v>
      </c>
      <c r="I642" s="31" t="n">
        <v>2.1</v>
      </c>
      <c r="J642" s="2" t="s">
        <v>2720</v>
      </c>
      <c r="K642" s="38" t="n">
        <v>0.135576447303315</v>
      </c>
      <c r="L642" s="31" t="n">
        <v>50.3</v>
      </c>
      <c r="M642" s="39" t="s">
        <v>671</v>
      </c>
      <c r="N642" s="2" t="s">
        <v>19</v>
      </c>
      <c r="O642" s="2" t="s">
        <v>19</v>
      </c>
      <c r="P642" s="2" t="s">
        <v>19</v>
      </c>
      <c r="Q642" s="2" t="s">
        <v>19</v>
      </c>
    </row>
    <row r="643" customFormat="false" ht="15" hidden="false" customHeight="false" outlineLevel="0" collapsed="false">
      <c r="A643" s="2" t="s">
        <v>228</v>
      </c>
      <c r="B643" s="2" t="s">
        <v>47</v>
      </c>
      <c r="C643" s="13" t="s">
        <v>2312</v>
      </c>
      <c r="D643" s="35" t="n">
        <v>70560</v>
      </c>
      <c r="E643" s="2" t="s">
        <v>667</v>
      </c>
      <c r="F643" s="36" t="n">
        <v>1.23224206349206</v>
      </c>
      <c r="G643" s="31" t="n">
        <v>50.2</v>
      </c>
      <c r="H643" s="37" t="n">
        <v>0.119147316330415</v>
      </c>
      <c r="I643" s="31" t="n">
        <v>64.9</v>
      </c>
      <c r="J643" s="2" t="s">
        <v>2697</v>
      </c>
      <c r="K643" s="38" t="n">
        <v>0.0276940737552016</v>
      </c>
      <c r="L643" s="31" t="n">
        <v>17.1</v>
      </c>
      <c r="M643" s="39" t="s">
        <v>671</v>
      </c>
      <c r="N643" s="2" t="s">
        <v>19</v>
      </c>
      <c r="O643" s="2" t="s">
        <v>19</v>
      </c>
      <c r="P643" s="2" t="s">
        <v>19</v>
      </c>
      <c r="Q643" s="2" t="s">
        <v>19</v>
      </c>
    </row>
    <row r="644" customFormat="false" ht="15" hidden="false" customHeight="false" outlineLevel="0" collapsed="false">
      <c r="A644" s="2" t="s">
        <v>697</v>
      </c>
      <c r="B644" s="2" t="s">
        <v>45</v>
      </c>
      <c r="C644" s="14" t="s">
        <v>698</v>
      </c>
      <c r="D644" s="40" t="n">
        <v>168620</v>
      </c>
      <c r="E644" s="2" t="s">
        <v>670</v>
      </c>
      <c r="F644" s="41" t="n">
        <v>2.36422132605859</v>
      </c>
      <c r="G644" s="31" t="n">
        <v>95.9</v>
      </c>
      <c r="H644" s="42" t="n">
        <v>0.0918862915236677</v>
      </c>
      <c r="I644" s="31" t="n">
        <v>56.5</v>
      </c>
      <c r="J644" s="2" t="s">
        <v>2698</v>
      </c>
      <c r="K644" s="43" t="n">
        <v>0.160862673519381</v>
      </c>
      <c r="L644" s="31" t="n">
        <v>58.6</v>
      </c>
      <c r="M644" s="39" t="s">
        <v>671</v>
      </c>
      <c r="N644" s="2" t="s">
        <v>21</v>
      </c>
      <c r="O644" s="2" t="s">
        <v>21</v>
      </c>
      <c r="P644" s="2" t="s">
        <v>21</v>
      </c>
      <c r="Q644" s="2" t="s">
        <v>21</v>
      </c>
    </row>
    <row r="645" customFormat="false" ht="15" hidden="false" customHeight="false" outlineLevel="0" collapsed="false">
      <c r="A645" s="2" t="s">
        <v>697</v>
      </c>
      <c r="B645" s="2" t="s">
        <v>46</v>
      </c>
      <c r="C645" s="14" t="s">
        <v>1549</v>
      </c>
      <c r="D645" s="40" t="n">
        <v>24730</v>
      </c>
      <c r="E645" s="2" t="s">
        <v>667</v>
      </c>
      <c r="F645" s="41" t="n">
        <v>5.01552769915083</v>
      </c>
      <c r="G645" s="31" t="n">
        <v>72.7</v>
      </c>
      <c r="H645" s="42" t="n">
        <v>0.0947321823815848</v>
      </c>
      <c r="I645" s="31" t="n">
        <v>53.1</v>
      </c>
      <c r="J645" s="2" t="s">
        <v>2700</v>
      </c>
      <c r="K645" s="43" t="n">
        <v>0.141011604992336</v>
      </c>
      <c r="L645" s="31" t="n">
        <v>51.6</v>
      </c>
      <c r="M645" s="39" t="s">
        <v>671</v>
      </c>
      <c r="N645" s="2" t="s">
        <v>21</v>
      </c>
      <c r="O645" s="2" t="s">
        <v>21</v>
      </c>
      <c r="P645" s="2" t="s">
        <v>21</v>
      </c>
      <c r="Q645" s="2" t="s">
        <v>21</v>
      </c>
    </row>
    <row r="646" customFormat="false" ht="15" hidden="false" customHeight="false" outlineLevel="0" collapsed="false">
      <c r="A646" s="2" t="s">
        <v>697</v>
      </c>
      <c r="B646" s="2" t="s">
        <v>47</v>
      </c>
      <c r="C646" s="16"/>
      <c r="D646" s="44" t="n">
        <v>94696</v>
      </c>
      <c r="E646" s="2" t="s">
        <v>667</v>
      </c>
      <c r="F646" s="45" t="n">
        <v>1.6152741404072</v>
      </c>
      <c r="G646" s="31" t="n">
        <v>63.5</v>
      </c>
      <c r="H646" s="46" t="n">
        <v>0.0619715150835483</v>
      </c>
      <c r="I646" s="31" t="n">
        <v>36.2</v>
      </c>
      <c r="J646" s="2" t="s">
        <v>2697</v>
      </c>
      <c r="K646" s="48" t="n">
        <v>0.267241379310345</v>
      </c>
      <c r="L646" s="31" t="n">
        <v>94.3</v>
      </c>
      <c r="M646" s="34" t="s">
        <v>668</v>
      </c>
      <c r="N646" s="2" t="s">
        <v>17</v>
      </c>
      <c r="O646" s="2" t="s">
        <v>17</v>
      </c>
      <c r="P646" s="2" t="s">
        <v>17</v>
      </c>
      <c r="Q646" s="2" t="s">
        <v>17</v>
      </c>
    </row>
    <row r="647" customFormat="false" ht="15" hidden="false" customHeight="false" outlineLevel="0" collapsed="false">
      <c r="A647" s="2" t="s">
        <v>642</v>
      </c>
      <c r="B647" s="2" t="s">
        <v>46</v>
      </c>
      <c r="C647" s="13" t="s">
        <v>1916</v>
      </c>
      <c r="D647" s="35" t="n">
        <v>74440</v>
      </c>
      <c r="E647" s="2" t="s">
        <v>667</v>
      </c>
      <c r="F647" s="36" t="n">
        <v>1.16968027941967</v>
      </c>
      <c r="G647" s="31" t="n">
        <v>7.8</v>
      </c>
      <c r="H647" s="37" t="n">
        <v>0.132494561165964</v>
      </c>
      <c r="I647" s="31" t="n">
        <v>70.5</v>
      </c>
      <c r="J647" s="2" t="s">
        <v>2700</v>
      </c>
      <c r="K647" s="38" t="n">
        <v>0.123936426392679</v>
      </c>
      <c r="L647" s="31" t="n">
        <v>46.1</v>
      </c>
      <c r="M647" s="39" t="s">
        <v>671</v>
      </c>
      <c r="N647" s="2" t="s">
        <v>19</v>
      </c>
      <c r="O647" s="2" t="s">
        <v>19</v>
      </c>
      <c r="P647" s="2" t="s">
        <v>19</v>
      </c>
      <c r="Q647" s="2" t="s">
        <v>19</v>
      </c>
    </row>
    <row r="648" customFormat="false" ht="15" hidden="false" customHeight="false" outlineLevel="0" collapsed="false">
      <c r="A648" s="2" t="s">
        <v>300</v>
      </c>
      <c r="B648" s="2" t="s">
        <v>45</v>
      </c>
      <c r="C648" s="13" t="s">
        <v>994</v>
      </c>
      <c r="D648" s="35" t="n">
        <v>2254</v>
      </c>
      <c r="E648" s="2" t="s">
        <v>678</v>
      </c>
      <c r="F648" s="36" t="n">
        <v>0.670807453416149</v>
      </c>
      <c r="G648" s="31" t="n">
        <v>56.2</v>
      </c>
      <c r="H648" s="37" t="n">
        <v>0.0687529634898056</v>
      </c>
      <c r="I648" s="31" t="n">
        <v>37</v>
      </c>
      <c r="J648" s="2" t="s">
        <v>2713</v>
      </c>
      <c r="K648" s="47" t="s">
        <v>680</v>
      </c>
      <c r="L648" s="31"/>
      <c r="M648" s="39" t="s">
        <v>671</v>
      </c>
      <c r="N648" s="2" t="s">
        <v>19</v>
      </c>
      <c r="O648" s="2" t="s">
        <v>19</v>
      </c>
      <c r="P648" s="2" t="s">
        <v>19</v>
      </c>
      <c r="Q648" s="2" t="s">
        <v>2715</v>
      </c>
    </row>
    <row r="649" customFormat="false" ht="15" hidden="false" customHeight="false" outlineLevel="0" collapsed="false">
      <c r="A649" s="2" t="s">
        <v>300</v>
      </c>
      <c r="B649" s="2" t="s">
        <v>46</v>
      </c>
      <c r="C649" s="13" t="s">
        <v>1700</v>
      </c>
      <c r="D649" s="35" t="n">
        <v>63135</v>
      </c>
      <c r="E649" s="2" t="s">
        <v>667</v>
      </c>
      <c r="F649" s="36" t="n">
        <v>2.92590480715926</v>
      </c>
      <c r="G649" s="31" t="n">
        <v>46.3</v>
      </c>
      <c r="H649" s="37" t="n">
        <v>0.0517416581985374</v>
      </c>
      <c r="I649" s="31" t="n">
        <v>29</v>
      </c>
      <c r="J649" s="2" t="s">
        <v>2700</v>
      </c>
      <c r="K649" s="38" t="n">
        <v>0.19780043349121</v>
      </c>
      <c r="L649" s="31" t="n">
        <v>70.2</v>
      </c>
      <c r="M649" s="39" t="s">
        <v>671</v>
      </c>
      <c r="N649" s="2" t="s">
        <v>19</v>
      </c>
      <c r="O649" s="2" t="s">
        <v>19</v>
      </c>
      <c r="P649" s="2" t="s">
        <v>19</v>
      </c>
      <c r="Q649" s="2" t="s">
        <v>19</v>
      </c>
    </row>
    <row r="650" customFormat="false" ht="15" hidden="false" customHeight="false" outlineLevel="0" collapsed="false">
      <c r="A650" s="2" t="s">
        <v>300</v>
      </c>
      <c r="B650" s="2" t="s">
        <v>47</v>
      </c>
      <c r="C650" s="13" t="s">
        <v>2164</v>
      </c>
      <c r="D650" s="35" t="n">
        <v>15139</v>
      </c>
      <c r="E650" s="2" t="s">
        <v>667</v>
      </c>
      <c r="F650" s="36" t="n">
        <v>1.8748266067772</v>
      </c>
      <c r="G650" s="31" t="n">
        <v>70</v>
      </c>
      <c r="H650" s="37" t="n">
        <v>0.10738058664326</v>
      </c>
      <c r="I650" s="31" t="n">
        <v>57.4</v>
      </c>
      <c r="J650" s="2" t="s">
        <v>2697</v>
      </c>
      <c r="K650" s="38" t="n">
        <v>0.0424403183023873</v>
      </c>
      <c r="L650" s="31" t="n">
        <v>27</v>
      </c>
      <c r="M650" s="39" t="s">
        <v>671</v>
      </c>
      <c r="N650" s="2" t="s">
        <v>19</v>
      </c>
      <c r="O650" s="2" t="s">
        <v>19</v>
      </c>
      <c r="P650" s="2" t="s">
        <v>19</v>
      </c>
      <c r="Q650" s="2" t="s">
        <v>19</v>
      </c>
    </row>
    <row r="651" customFormat="false" ht="15" hidden="false" customHeight="false" outlineLevel="0" collapsed="false">
      <c r="A651" s="2" t="s">
        <v>2335</v>
      </c>
      <c r="B651" s="2" t="s">
        <v>45</v>
      </c>
      <c r="C651" s="16"/>
      <c r="D651" s="29"/>
      <c r="E651" s="2"/>
      <c r="F651" s="30"/>
      <c r="G651" s="31"/>
      <c r="H651" s="32"/>
      <c r="I651" s="31"/>
      <c r="J651" s="2"/>
      <c r="K651" s="33"/>
      <c r="L651" s="31"/>
      <c r="M651" s="34" t="s">
        <v>668</v>
      </c>
      <c r="N651" s="2"/>
      <c r="O651" s="2"/>
      <c r="P651" s="2"/>
      <c r="Q651" s="2"/>
    </row>
    <row r="652" customFormat="false" ht="15" hidden="false" customHeight="false" outlineLevel="0" collapsed="false">
      <c r="A652" s="2" t="s">
        <v>2335</v>
      </c>
      <c r="B652" s="2" t="s">
        <v>46</v>
      </c>
      <c r="C652" s="14" t="s">
        <v>2860</v>
      </c>
      <c r="D652" s="40" t="n">
        <v>27060</v>
      </c>
      <c r="E652" s="2" t="s">
        <v>667</v>
      </c>
      <c r="F652" s="41" t="n">
        <v>2.67039911308204</v>
      </c>
      <c r="G652" s="31" t="n">
        <v>41.4</v>
      </c>
      <c r="H652" s="42" t="n">
        <v>0.0815347721822542</v>
      </c>
      <c r="I652" s="31" t="n">
        <v>46.5</v>
      </c>
      <c r="J652" s="2" t="s">
        <v>2700</v>
      </c>
      <c r="K652" s="33"/>
      <c r="L652" s="31"/>
      <c r="M652" s="34" t="s">
        <v>668</v>
      </c>
      <c r="N652" s="2" t="s">
        <v>21</v>
      </c>
      <c r="O652" s="2" t="s">
        <v>21</v>
      </c>
      <c r="P652" s="2" t="s">
        <v>21</v>
      </c>
      <c r="Q652" s="2"/>
    </row>
    <row r="653" customFormat="false" ht="15" hidden="false" customHeight="false" outlineLevel="0" collapsed="false">
      <c r="A653" s="2" t="s">
        <v>2335</v>
      </c>
      <c r="B653" s="2" t="s">
        <v>47</v>
      </c>
      <c r="C653" s="13" t="s">
        <v>2336</v>
      </c>
      <c r="D653" s="35" t="n">
        <v>8279</v>
      </c>
      <c r="E653" s="2" t="s">
        <v>678</v>
      </c>
      <c r="F653" s="36" t="n">
        <v>1.17792003865201</v>
      </c>
      <c r="G653" s="31" t="n">
        <v>47.7</v>
      </c>
      <c r="H653" s="37" t="n">
        <v>0.292583918813427</v>
      </c>
      <c r="I653" s="31" t="n">
        <v>100</v>
      </c>
      <c r="J653" s="2" t="s">
        <v>2706</v>
      </c>
      <c r="K653" s="38" t="n">
        <v>0.0552147239263804</v>
      </c>
      <c r="L653" s="31" t="n">
        <v>34.3</v>
      </c>
      <c r="M653" s="39" t="s">
        <v>671</v>
      </c>
      <c r="N653" s="2" t="s">
        <v>19</v>
      </c>
      <c r="O653" s="2" t="s">
        <v>19</v>
      </c>
      <c r="P653" s="2" t="s">
        <v>19</v>
      </c>
      <c r="Q653" s="2" t="s">
        <v>19</v>
      </c>
    </row>
    <row r="654" customFormat="false" ht="15" hidden="false" customHeight="false" outlineLevel="0" collapsed="false">
      <c r="A654" s="2" t="s">
        <v>1878</v>
      </c>
      <c r="B654" s="2" t="s">
        <v>45</v>
      </c>
      <c r="C654" s="16"/>
      <c r="D654" s="29"/>
      <c r="E654" s="2"/>
      <c r="F654" s="30"/>
      <c r="G654" s="31"/>
      <c r="H654" s="32"/>
      <c r="I654" s="31"/>
      <c r="J654" s="2"/>
      <c r="K654" s="33"/>
      <c r="L654" s="31"/>
      <c r="M654" s="34" t="s">
        <v>668</v>
      </c>
      <c r="N654" s="2"/>
      <c r="O654" s="2"/>
      <c r="P654" s="2"/>
      <c r="Q654" s="2"/>
    </row>
    <row r="655" customFormat="false" ht="15" hidden="false" customHeight="false" outlineLevel="0" collapsed="false">
      <c r="A655" s="2" t="s">
        <v>1878</v>
      </c>
      <c r="B655" s="2" t="s">
        <v>46</v>
      </c>
      <c r="C655" s="14" t="s">
        <v>1879</v>
      </c>
      <c r="D655" s="40" t="n">
        <v>334280</v>
      </c>
      <c r="E655" s="2" t="s">
        <v>670</v>
      </c>
      <c r="F655" s="41" t="n">
        <v>1.5943819552471</v>
      </c>
      <c r="G655" s="31" t="n">
        <v>16.9</v>
      </c>
      <c r="H655" s="42" t="n">
        <v>0.151895244658856</v>
      </c>
      <c r="I655" s="31" t="n">
        <v>84.1</v>
      </c>
      <c r="J655" s="2" t="s">
        <v>2705</v>
      </c>
      <c r="K655" s="43" t="n">
        <v>0.173860427591771</v>
      </c>
      <c r="L655" s="31" t="n">
        <v>65</v>
      </c>
      <c r="M655" s="39" t="s">
        <v>671</v>
      </c>
      <c r="N655" s="2" t="s">
        <v>21</v>
      </c>
      <c r="O655" s="2" t="s">
        <v>21</v>
      </c>
      <c r="P655" s="2" t="s">
        <v>21</v>
      </c>
      <c r="Q655" s="2" t="s">
        <v>21</v>
      </c>
    </row>
    <row r="656" customFormat="false" ht="15" hidden="false" customHeight="false" outlineLevel="0" collapsed="false">
      <c r="A656" s="2" t="s">
        <v>1878</v>
      </c>
      <c r="B656" s="2" t="s">
        <v>47</v>
      </c>
      <c r="C656" s="14" t="s">
        <v>2230</v>
      </c>
      <c r="D656" s="35" t="n">
        <v>44671</v>
      </c>
      <c r="E656" s="2" t="s">
        <v>667</v>
      </c>
      <c r="F656" s="36" t="n">
        <v>1.57321304649549</v>
      </c>
      <c r="G656" s="31" t="n">
        <v>61.4</v>
      </c>
      <c r="H656" s="37" t="n">
        <v>-0.0870613721362735</v>
      </c>
      <c r="I656" s="31" t="n">
        <v>0.7</v>
      </c>
      <c r="J656" s="2" t="s">
        <v>2697</v>
      </c>
      <c r="K656" s="38" t="n">
        <v>0.0402654867256637</v>
      </c>
      <c r="L656" s="31" t="n">
        <v>25.7</v>
      </c>
      <c r="M656" s="39" t="s">
        <v>671</v>
      </c>
      <c r="N656" s="2" t="s">
        <v>19</v>
      </c>
      <c r="O656" s="2" t="s">
        <v>19</v>
      </c>
      <c r="P656" s="2" t="s">
        <v>19</v>
      </c>
      <c r="Q656" s="2" t="s">
        <v>19</v>
      </c>
    </row>
    <row r="657" customFormat="false" ht="15" hidden="false" customHeight="false" outlineLevel="0" collapsed="false">
      <c r="A657" s="2" t="s">
        <v>120</v>
      </c>
      <c r="B657" s="2" t="s">
        <v>45</v>
      </c>
      <c r="C657" s="13" t="s">
        <v>766</v>
      </c>
      <c r="D657" s="35" t="n">
        <v>19938</v>
      </c>
      <c r="E657" s="2" t="s">
        <v>667</v>
      </c>
      <c r="F657" s="36" t="n">
        <v>1.41719329922761</v>
      </c>
      <c r="G657" s="31" t="n">
        <v>87.4</v>
      </c>
      <c r="H657" s="37" t="n">
        <v>0.0743614613643712</v>
      </c>
      <c r="I657" s="31" t="n">
        <v>41.7</v>
      </c>
      <c r="J657" s="2" t="s">
        <v>2704</v>
      </c>
      <c r="K657" s="38" t="n">
        <v>0.0146871008939975</v>
      </c>
      <c r="L657" s="31" t="n">
        <v>3.9</v>
      </c>
      <c r="M657" s="39" t="s">
        <v>671</v>
      </c>
      <c r="N657" s="2" t="s">
        <v>19</v>
      </c>
      <c r="O657" s="2" t="s">
        <v>19</v>
      </c>
      <c r="P657" s="2" t="s">
        <v>19</v>
      </c>
      <c r="Q657" s="2" t="s">
        <v>19</v>
      </c>
    </row>
    <row r="658" customFormat="false" ht="15" hidden="false" customHeight="false" outlineLevel="0" collapsed="false">
      <c r="A658" s="2" t="s">
        <v>2861</v>
      </c>
      <c r="B658" s="2" t="s">
        <v>46</v>
      </c>
      <c r="C658" s="15" t="s">
        <v>2862</v>
      </c>
      <c r="D658" s="44" t="n">
        <v>48684</v>
      </c>
      <c r="E658" s="2" t="s">
        <v>667</v>
      </c>
      <c r="F658" s="45" t="n">
        <v>1.73516966559855</v>
      </c>
      <c r="G658" s="31" t="n">
        <v>20.7</v>
      </c>
      <c r="H658" s="46" t="n">
        <v>0.0781291522721233</v>
      </c>
      <c r="I658" s="31" t="n">
        <v>44.4</v>
      </c>
      <c r="J658" s="2" t="s">
        <v>2700</v>
      </c>
      <c r="K658" s="33"/>
      <c r="L658" s="31"/>
      <c r="M658" s="34" t="s">
        <v>668</v>
      </c>
      <c r="N658" s="2" t="s">
        <v>17</v>
      </c>
      <c r="O658" s="2" t="s">
        <v>17</v>
      </c>
      <c r="P658" s="2" t="s">
        <v>17</v>
      </c>
      <c r="Q658" s="2"/>
    </row>
    <row r="659" customFormat="false" ht="15" hidden="false" customHeight="false" outlineLevel="0" collapsed="false">
      <c r="A659" s="2" t="s">
        <v>2609</v>
      </c>
      <c r="B659" s="2" t="s">
        <v>45</v>
      </c>
      <c r="C659" s="14" t="s">
        <v>2863</v>
      </c>
      <c r="D659" s="40" t="n">
        <v>124680</v>
      </c>
      <c r="E659" s="2" t="s">
        <v>670</v>
      </c>
      <c r="F659" s="41" t="n">
        <v>0.561557587423805</v>
      </c>
      <c r="G659" s="31" t="n">
        <v>45.9</v>
      </c>
      <c r="H659" s="42" t="n">
        <v>0.0628249936066831</v>
      </c>
      <c r="I659" s="31" t="n">
        <v>41.3</v>
      </c>
      <c r="J659" s="2" t="s">
        <v>2698</v>
      </c>
      <c r="K659" s="33"/>
      <c r="L659" s="31"/>
      <c r="M659" s="34" t="s">
        <v>668</v>
      </c>
      <c r="N659" s="2" t="s">
        <v>21</v>
      </c>
      <c r="O659" s="2" t="s">
        <v>21</v>
      </c>
      <c r="P659" s="2" t="s">
        <v>21</v>
      </c>
      <c r="Q659" s="2"/>
    </row>
    <row r="660" customFormat="false" ht="15" hidden="false" customHeight="false" outlineLevel="0" collapsed="false">
      <c r="A660" s="2" t="s">
        <v>2609</v>
      </c>
      <c r="B660" s="2" t="s">
        <v>46</v>
      </c>
      <c r="C660" s="16"/>
      <c r="D660" s="29"/>
      <c r="E660" s="2"/>
      <c r="F660" s="30"/>
      <c r="G660" s="31"/>
      <c r="H660" s="32"/>
      <c r="I660" s="31"/>
      <c r="J660" s="2"/>
      <c r="K660" s="33"/>
      <c r="L660" s="31"/>
      <c r="M660" s="34" t="s">
        <v>668</v>
      </c>
      <c r="N660" s="2"/>
      <c r="O660" s="2"/>
      <c r="P660" s="2"/>
      <c r="Q660" s="2"/>
    </row>
    <row r="661" customFormat="false" ht="15" hidden="false" customHeight="false" outlineLevel="0" collapsed="false">
      <c r="A661" s="2" t="s">
        <v>2609</v>
      </c>
      <c r="B661" s="2" t="s">
        <v>47</v>
      </c>
      <c r="C661" s="13" t="s">
        <v>2610</v>
      </c>
      <c r="D661" s="35" t="n">
        <v>10755</v>
      </c>
      <c r="E661" s="2" t="s">
        <v>667</v>
      </c>
      <c r="F661" s="36" t="n">
        <v>0.528777312877731</v>
      </c>
      <c r="G661" s="31" t="n">
        <v>12.5</v>
      </c>
      <c r="H661" s="37" t="n">
        <v>0.0288912273988329</v>
      </c>
      <c r="I661" s="31" t="n">
        <v>20.6</v>
      </c>
      <c r="J661" s="2" t="s">
        <v>2697</v>
      </c>
      <c r="K661" s="38" t="n">
        <v>0.198653198653199</v>
      </c>
      <c r="L661" s="31" t="n">
        <v>82.3</v>
      </c>
      <c r="M661" s="39" t="s">
        <v>671</v>
      </c>
      <c r="N661" s="2" t="s">
        <v>19</v>
      </c>
      <c r="O661" s="2" t="s">
        <v>19</v>
      </c>
      <c r="P661" s="2" t="s">
        <v>19</v>
      </c>
      <c r="Q661" s="2" t="s">
        <v>19</v>
      </c>
    </row>
    <row r="662" customFormat="false" ht="15" hidden="false" customHeight="false" outlineLevel="0" collapsed="false">
      <c r="A662" s="2" t="s">
        <v>2864</v>
      </c>
      <c r="B662" s="2" t="s">
        <v>46</v>
      </c>
      <c r="C662" s="14" t="s">
        <v>2865</v>
      </c>
      <c r="D662" s="40" t="n">
        <v>10460</v>
      </c>
      <c r="E662" s="2" t="s">
        <v>667</v>
      </c>
      <c r="F662" s="30"/>
      <c r="G662" s="31"/>
      <c r="H662" s="42" t="n">
        <v>0.0895833333333333</v>
      </c>
      <c r="I662" s="31" t="n">
        <v>50.2</v>
      </c>
      <c r="J662" s="2" t="s">
        <v>2700</v>
      </c>
      <c r="K662" s="43" t="n">
        <v>0.263552479815456</v>
      </c>
      <c r="L662" s="31" t="n">
        <v>85.5</v>
      </c>
      <c r="M662" s="34" t="s">
        <v>668</v>
      </c>
      <c r="N662" s="2" t="s">
        <v>21</v>
      </c>
      <c r="O662" s="2"/>
      <c r="P662" s="2" t="s">
        <v>21</v>
      </c>
      <c r="Q662" s="2" t="s">
        <v>21</v>
      </c>
    </row>
    <row r="663" customFormat="false" ht="15" hidden="false" customHeight="false" outlineLevel="0" collapsed="false">
      <c r="A663" s="2" t="s">
        <v>2864</v>
      </c>
      <c r="B663" s="2" t="s">
        <v>47</v>
      </c>
      <c r="C663" s="16"/>
      <c r="D663" s="29"/>
      <c r="E663" s="2"/>
      <c r="F663" s="30"/>
      <c r="G663" s="31"/>
      <c r="H663" s="32"/>
      <c r="I663" s="31"/>
      <c r="J663" s="2"/>
      <c r="K663" s="33"/>
      <c r="L663" s="31"/>
      <c r="M663" s="34" t="s">
        <v>668</v>
      </c>
      <c r="N663" s="2"/>
      <c r="O663" s="2"/>
      <c r="P663" s="2"/>
      <c r="Q663" s="2"/>
    </row>
    <row r="664" customFormat="false" ht="15" hidden="false" customHeight="false" outlineLevel="0" collapsed="false">
      <c r="A664" s="2" t="s">
        <v>1240</v>
      </c>
      <c r="B664" s="2" t="s">
        <v>45</v>
      </c>
      <c r="C664" s="15" t="s">
        <v>1241</v>
      </c>
      <c r="D664" s="44" t="n">
        <v>16366</v>
      </c>
      <c r="E664" s="2" t="s">
        <v>667</v>
      </c>
      <c r="F664" s="45" t="n">
        <v>0.338628864719541</v>
      </c>
      <c r="G664" s="31" t="n">
        <v>23.1</v>
      </c>
      <c r="H664" s="46" t="n">
        <v>0.105885532806271</v>
      </c>
      <c r="I664" s="31" t="n">
        <v>57.5</v>
      </c>
      <c r="J664" s="2" t="s">
        <v>2704</v>
      </c>
      <c r="K664" s="47" t="s">
        <v>680</v>
      </c>
      <c r="L664" s="31"/>
      <c r="M664" s="39" t="s">
        <v>671</v>
      </c>
      <c r="N664" s="2" t="s">
        <v>17</v>
      </c>
      <c r="O664" s="2" t="s">
        <v>17</v>
      </c>
      <c r="P664" s="2" t="s">
        <v>17</v>
      </c>
      <c r="Q664" s="2" t="s">
        <v>2866</v>
      </c>
    </row>
    <row r="665" customFormat="false" ht="15" hidden="false" customHeight="false" outlineLevel="0" collapsed="false">
      <c r="A665" s="2" t="s">
        <v>1240</v>
      </c>
      <c r="B665" s="2" t="s">
        <v>46</v>
      </c>
      <c r="C665" s="15" t="s">
        <v>2867</v>
      </c>
      <c r="D665" s="44" t="n">
        <v>229373</v>
      </c>
      <c r="E665" s="2" t="s">
        <v>670</v>
      </c>
      <c r="F665" s="45" t="n">
        <v>7.024667245055</v>
      </c>
      <c r="G665" s="31" t="n">
        <v>87.7</v>
      </c>
      <c r="H665" s="46" t="n">
        <v>0.0661123221581323</v>
      </c>
      <c r="I665" s="31" t="n">
        <v>40.4</v>
      </c>
      <c r="J665" s="2" t="s">
        <v>2705</v>
      </c>
      <c r="K665" s="33"/>
      <c r="L665" s="31"/>
      <c r="M665" s="34" t="s">
        <v>668</v>
      </c>
      <c r="N665" s="2" t="s">
        <v>17</v>
      </c>
      <c r="O665" s="2" t="s">
        <v>17</v>
      </c>
      <c r="P665" s="2" t="s">
        <v>17</v>
      </c>
      <c r="Q665" s="2"/>
    </row>
    <row r="666" customFormat="false" ht="15" hidden="false" customHeight="false" outlineLevel="0" collapsed="false">
      <c r="A666" s="2" t="s">
        <v>1240</v>
      </c>
      <c r="B666" s="2" t="s">
        <v>47</v>
      </c>
      <c r="C666" s="13" t="s">
        <v>2446</v>
      </c>
      <c r="D666" s="35" t="n">
        <v>23230</v>
      </c>
      <c r="E666" s="2" t="s">
        <v>667</v>
      </c>
      <c r="F666" s="36" t="n">
        <v>0.925226000860956</v>
      </c>
      <c r="G666" s="31" t="n">
        <v>33.3</v>
      </c>
      <c r="H666" s="37" t="n">
        <v>0.0218624906523556</v>
      </c>
      <c r="I666" s="31" t="n">
        <v>17</v>
      </c>
      <c r="J666" s="2" t="s">
        <v>2697</v>
      </c>
      <c r="K666" s="38" t="n">
        <v>0.117852975495916</v>
      </c>
      <c r="L666" s="31" t="n">
        <v>62.5</v>
      </c>
      <c r="M666" s="39" t="s">
        <v>671</v>
      </c>
      <c r="N666" s="2" t="s">
        <v>19</v>
      </c>
      <c r="O666" s="2" t="s">
        <v>19</v>
      </c>
      <c r="P666" s="2" t="s">
        <v>19</v>
      </c>
      <c r="Q666" s="2" t="s">
        <v>19</v>
      </c>
    </row>
    <row r="667" customFormat="false" ht="15" hidden="false" customHeight="false" outlineLevel="0" collapsed="false">
      <c r="A667" s="2" t="s">
        <v>724</v>
      </c>
      <c r="B667" s="2" t="s">
        <v>45</v>
      </c>
      <c r="C667" s="14" t="s">
        <v>725</v>
      </c>
      <c r="D667" s="40" t="n">
        <v>63010</v>
      </c>
      <c r="E667" s="2" t="s">
        <v>667</v>
      </c>
      <c r="F667" s="41" t="n">
        <v>1.94856372004444</v>
      </c>
      <c r="G667" s="31" t="n">
        <v>92.9</v>
      </c>
      <c r="H667" s="42" t="n">
        <v>0.0366897005593945</v>
      </c>
      <c r="I667" s="31" t="n">
        <v>21.8</v>
      </c>
      <c r="J667" s="2" t="s">
        <v>2704</v>
      </c>
      <c r="K667" s="47" t="s">
        <v>680</v>
      </c>
      <c r="L667" s="31"/>
      <c r="M667" s="39" t="s">
        <v>671</v>
      </c>
      <c r="N667" s="2" t="s">
        <v>21</v>
      </c>
      <c r="O667" s="2" t="s">
        <v>21</v>
      </c>
      <c r="P667" s="2" t="s">
        <v>21</v>
      </c>
      <c r="Q667" s="2" t="s">
        <v>2711</v>
      </c>
    </row>
    <row r="668" customFormat="false" ht="15" hidden="false" customHeight="false" outlineLevel="0" collapsed="false">
      <c r="A668" s="2" t="s">
        <v>724</v>
      </c>
      <c r="B668" s="2" t="s">
        <v>46</v>
      </c>
      <c r="C668" s="16"/>
      <c r="D668" s="29"/>
      <c r="E668" s="2"/>
      <c r="F668" s="30"/>
      <c r="G668" s="31"/>
      <c r="H668" s="32"/>
      <c r="I668" s="31"/>
      <c r="J668" s="2"/>
      <c r="K668" s="33"/>
      <c r="L668" s="31"/>
      <c r="M668" s="34" t="s">
        <v>668</v>
      </c>
      <c r="N668" s="2"/>
      <c r="O668" s="2"/>
      <c r="P668" s="2"/>
      <c r="Q668" s="2"/>
    </row>
    <row r="669" customFormat="false" ht="15" hidden="false" customHeight="false" outlineLevel="0" collapsed="false">
      <c r="A669" s="2" t="s">
        <v>724</v>
      </c>
      <c r="B669" s="2" t="s">
        <v>47</v>
      </c>
      <c r="C669" s="13" t="s">
        <v>2655</v>
      </c>
      <c r="D669" s="35" t="n">
        <v>9718</v>
      </c>
      <c r="E669" s="2" t="s">
        <v>678</v>
      </c>
      <c r="F669" s="36" t="n">
        <v>0.285861288330932</v>
      </c>
      <c r="G669" s="31" t="n">
        <v>4.2</v>
      </c>
      <c r="H669" s="37" t="n">
        <v>0.100441626089911</v>
      </c>
      <c r="I669" s="31" t="n">
        <v>48</v>
      </c>
      <c r="J669" s="2" t="s">
        <v>2706</v>
      </c>
      <c r="K669" s="38" t="n">
        <v>0.156716417910448</v>
      </c>
      <c r="L669" s="31" t="n">
        <v>72.8</v>
      </c>
      <c r="M669" s="39" t="s">
        <v>671</v>
      </c>
      <c r="N669" s="2" t="s">
        <v>19</v>
      </c>
      <c r="O669" s="2" t="s">
        <v>19</v>
      </c>
      <c r="P669" s="2" t="s">
        <v>19</v>
      </c>
      <c r="Q669" s="2" t="s">
        <v>19</v>
      </c>
    </row>
    <row r="670" customFormat="false" ht="15" hidden="false" customHeight="false" outlineLevel="0" collapsed="false">
      <c r="A670" s="2" t="s">
        <v>1277</v>
      </c>
      <c r="B670" s="2" t="s">
        <v>45</v>
      </c>
      <c r="C670" s="13" t="s">
        <v>1278</v>
      </c>
      <c r="D670" s="35" t="n">
        <v>86358</v>
      </c>
      <c r="E670" s="2" t="s">
        <v>667</v>
      </c>
      <c r="F670" s="36" t="n">
        <v>0.278723453530652</v>
      </c>
      <c r="G670" s="31" t="n">
        <v>16.9</v>
      </c>
      <c r="H670" s="37" t="n">
        <v>0.145741843896356</v>
      </c>
      <c r="I670" s="31" t="n">
        <v>76.2</v>
      </c>
      <c r="J670" s="2" t="s">
        <v>2704</v>
      </c>
      <c r="K670" s="47" t="s">
        <v>680</v>
      </c>
      <c r="L670" s="31"/>
      <c r="M670" s="39" t="s">
        <v>671</v>
      </c>
      <c r="N670" s="2" t="s">
        <v>19</v>
      </c>
      <c r="O670" s="2" t="s">
        <v>19</v>
      </c>
      <c r="P670" s="2" t="s">
        <v>19</v>
      </c>
      <c r="Q670" s="2" t="s">
        <v>2715</v>
      </c>
    </row>
    <row r="671" customFormat="false" ht="15" hidden="false" customHeight="false" outlineLevel="0" collapsed="false">
      <c r="A671" s="2" t="s">
        <v>1277</v>
      </c>
      <c r="B671" s="2" t="s">
        <v>46</v>
      </c>
      <c r="C671" s="15" t="s">
        <v>2868</v>
      </c>
      <c r="D671" s="44" t="n">
        <v>12295</v>
      </c>
      <c r="E671" s="2" t="s">
        <v>667</v>
      </c>
      <c r="F671" s="45" t="n">
        <v>5.48499389995933</v>
      </c>
      <c r="G671" s="31" t="n">
        <v>77.4</v>
      </c>
      <c r="H671" s="46" t="n">
        <v>0.127671283133083</v>
      </c>
      <c r="I671" s="31" t="n">
        <v>68.5</v>
      </c>
      <c r="J671" s="2" t="s">
        <v>2700</v>
      </c>
      <c r="K671" s="33"/>
      <c r="L671" s="31"/>
      <c r="M671" s="34" t="s">
        <v>668</v>
      </c>
      <c r="N671" s="2" t="s">
        <v>17</v>
      </c>
      <c r="O671" s="2" t="s">
        <v>17</v>
      </c>
      <c r="P671" s="2" t="s">
        <v>17</v>
      </c>
      <c r="Q671" s="2"/>
    </row>
    <row r="672" customFormat="false" ht="15" hidden="false" customHeight="false" outlineLevel="0" collapsed="false">
      <c r="A672" s="2" t="s">
        <v>1277</v>
      </c>
      <c r="B672" s="2" t="s">
        <v>47</v>
      </c>
      <c r="C672" s="13" t="s">
        <v>2118</v>
      </c>
      <c r="D672" s="35" t="n">
        <v>32514</v>
      </c>
      <c r="E672" s="2" t="s">
        <v>667</v>
      </c>
      <c r="F672" s="36" t="n">
        <v>2.13695638801747</v>
      </c>
      <c r="G672" s="31" t="n">
        <v>76.8</v>
      </c>
      <c r="H672" s="37" t="n">
        <v>0.0799481848075199</v>
      </c>
      <c r="I672" s="31" t="n">
        <v>44.3</v>
      </c>
      <c r="J672" s="2" t="s">
        <v>2697</v>
      </c>
      <c r="K672" s="38" t="n">
        <v>0.0253559586502828</v>
      </c>
      <c r="L672" s="31" t="n">
        <v>15.2</v>
      </c>
      <c r="M672" s="39" t="s">
        <v>671</v>
      </c>
      <c r="N672" s="2" t="s">
        <v>19</v>
      </c>
      <c r="O672" s="2" t="s">
        <v>19</v>
      </c>
      <c r="P672" s="2" t="s">
        <v>19</v>
      </c>
      <c r="Q672" s="2" t="s">
        <v>19</v>
      </c>
    </row>
    <row r="673" customFormat="false" ht="15" hidden="false" customHeight="false" outlineLevel="0" collapsed="false">
      <c r="A673" s="2" t="s">
        <v>378</v>
      </c>
      <c r="B673" s="2" t="s">
        <v>45</v>
      </c>
      <c r="C673" s="13" t="s">
        <v>974</v>
      </c>
      <c r="D673" s="35" t="n">
        <v>280789</v>
      </c>
      <c r="E673" s="2" t="s">
        <v>670</v>
      </c>
      <c r="F673" s="36" t="n">
        <v>0.702374380762779</v>
      </c>
      <c r="G673" s="31" t="n">
        <v>58.3</v>
      </c>
      <c r="H673" s="37" t="n">
        <v>0.0710719149212113</v>
      </c>
      <c r="I673" s="31" t="n">
        <v>47.1</v>
      </c>
      <c r="J673" s="2" t="s">
        <v>2698</v>
      </c>
      <c r="K673" s="38" t="n">
        <v>0.03447754423106</v>
      </c>
      <c r="L673" s="31" t="n">
        <v>7.2</v>
      </c>
      <c r="M673" s="39" t="s">
        <v>671</v>
      </c>
      <c r="N673" s="2" t="s">
        <v>19</v>
      </c>
      <c r="O673" s="2" t="s">
        <v>19</v>
      </c>
      <c r="P673" s="2" t="s">
        <v>19</v>
      </c>
      <c r="Q673" s="2" t="s">
        <v>19</v>
      </c>
    </row>
    <row r="674" customFormat="false" ht="15" hidden="false" customHeight="false" outlineLevel="0" collapsed="false">
      <c r="A674" s="2" t="s">
        <v>378</v>
      </c>
      <c r="B674" s="2" t="s">
        <v>46</v>
      </c>
      <c r="C674" s="14" t="s">
        <v>1950</v>
      </c>
      <c r="D674" s="40" t="n">
        <v>12480</v>
      </c>
      <c r="E674" s="2" t="s">
        <v>667</v>
      </c>
      <c r="F674" s="41" t="n">
        <v>0.662900641025641</v>
      </c>
      <c r="G674" s="31" t="n">
        <v>2.7</v>
      </c>
      <c r="H674" s="42" t="n">
        <v>0.0740103270223752</v>
      </c>
      <c r="I674" s="31" t="n">
        <v>41.9</v>
      </c>
      <c r="J674" s="2" t="s">
        <v>2700</v>
      </c>
      <c r="K674" s="43" t="n">
        <v>0.312684365781711</v>
      </c>
      <c r="L674" s="31" t="n">
        <v>93.5</v>
      </c>
      <c r="M674" s="39" t="s">
        <v>671</v>
      </c>
      <c r="N674" s="2" t="s">
        <v>21</v>
      </c>
      <c r="O674" s="2" t="s">
        <v>21</v>
      </c>
      <c r="P674" s="2" t="s">
        <v>21</v>
      </c>
      <c r="Q674" s="2" t="s">
        <v>21</v>
      </c>
    </row>
    <row r="675" customFormat="false" ht="15" hidden="false" customHeight="false" outlineLevel="0" collapsed="false">
      <c r="A675" s="2" t="s">
        <v>378</v>
      </c>
      <c r="B675" s="2" t="s">
        <v>47</v>
      </c>
      <c r="C675" s="13" t="s">
        <v>2067</v>
      </c>
      <c r="D675" s="35" t="n">
        <v>50164</v>
      </c>
      <c r="E675" s="2" t="s">
        <v>667</v>
      </c>
      <c r="F675" s="36" t="n">
        <v>2.71621082848258</v>
      </c>
      <c r="G675" s="31" t="n">
        <v>85.7</v>
      </c>
      <c r="H675" s="37" t="n">
        <v>0.115573642893678</v>
      </c>
      <c r="I675" s="31" t="n">
        <v>61.3</v>
      </c>
      <c r="J675" s="2" t="s">
        <v>2697</v>
      </c>
      <c r="K675" s="38" t="n">
        <v>0.0765460030165913</v>
      </c>
      <c r="L675" s="31" t="n">
        <v>42.5</v>
      </c>
      <c r="M675" s="39" t="s">
        <v>671</v>
      </c>
      <c r="N675" s="2" t="s">
        <v>19</v>
      </c>
      <c r="O675" s="2" t="s">
        <v>19</v>
      </c>
      <c r="P675" s="2" t="s">
        <v>19</v>
      </c>
      <c r="Q675" s="2" t="s">
        <v>19</v>
      </c>
    </row>
    <row r="676" customFormat="false" ht="15" hidden="false" customHeight="false" outlineLevel="0" collapsed="false">
      <c r="A676" s="2" t="s">
        <v>2437</v>
      </c>
      <c r="B676" s="2" t="s">
        <v>45</v>
      </c>
      <c r="C676" s="16"/>
      <c r="D676" s="29"/>
      <c r="E676" s="2"/>
      <c r="F676" s="30"/>
      <c r="G676" s="31"/>
      <c r="H676" s="32"/>
      <c r="I676" s="31"/>
      <c r="J676" s="2"/>
      <c r="K676" s="33"/>
      <c r="L676" s="31"/>
      <c r="M676" s="34" t="s">
        <v>668</v>
      </c>
      <c r="N676" s="2"/>
      <c r="O676" s="2"/>
      <c r="P676" s="2"/>
      <c r="Q676" s="2"/>
    </row>
    <row r="677" customFormat="false" ht="15" hidden="false" customHeight="false" outlineLevel="0" collapsed="false">
      <c r="A677" s="2" t="s">
        <v>2437</v>
      </c>
      <c r="B677" s="2" t="s">
        <v>46</v>
      </c>
      <c r="C677" s="14" t="s">
        <v>2869</v>
      </c>
      <c r="D677" s="40" t="n">
        <v>10970</v>
      </c>
      <c r="E677" s="2" t="s">
        <v>667</v>
      </c>
      <c r="F677" s="41" t="n">
        <v>1.33755697356427</v>
      </c>
      <c r="G677" s="31" t="n">
        <v>11.4</v>
      </c>
      <c r="H677" s="32"/>
      <c r="I677" s="31"/>
      <c r="J677" s="2"/>
      <c r="K677" s="33"/>
      <c r="L677" s="31"/>
      <c r="M677" s="34" t="s">
        <v>668</v>
      </c>
      <c r="N677" s="2" t="s">
        <v>21</v>
      </c>
      <c r="O677" s="2" t="s">
        <v>21</v>
      </c>
      <c r="P677" s="2"/>
      <c r="Q677" s="2"/>
    </row>
    <row r="678" customFormat="false" ht="15" hidden="false" customHeight="false" outlineLevel="0" collapsed="false">
      <c r="A678" s="2" t="s">
        <v>2437</v>
      </c>
      <c r="B678" s="2" t="s">
        <v>47</v>
      </c>
      <c r="C678" s="13" t="s">
        <v>2438</v>
      </c>
      <c r="D678" s="35" t="n">
        <v>129088</v>
      </c>
      <c r="E678" s="2" t="s">
        <v>670</v>
      </c>
      <c r="F678" s="36" t="n">
        <v>0.932689328210213</v>
      </c>
      <c r="G678" s="31" t="n">
        <v>34</v>
      </c>
      <c r="H678" s="37" t="n">
        <v>0.181464566496737</v>
      </c>
      <c r="I678" s="31" t="n">
        <v>88.6</v>
      </c>
      <c r="J678" s="2" t="s">
        <v>2701</v>
      </c>
      <c r="K678" s="38" t="n">
        <v>0.161338768504613</v>
      </c>
      <c r="L678" s="31" t="n">
        <v>73.3</v>
      </c>
      <c r="M678" s="39" t="s">
        <v>671</v>
      </c>
      <c r="N678" s="2" t="s">
        <v>19</v>
      </c>
      <c r="O678" s="2" t="s">
        <v>19</v>
      </c>
      <c r="P678" s="2" t="s">
        <v>19</v>
      </c>
      <c r="Q678" s="2" t="s">
        <v>19</v>
      </c>
    </row>
    <row r="679" customFormat="false" ht="15" hidden="false" customHeight="false" outlineLevel="0" collapsed="false">
      <c r="A679" s="2" t="s">
        <v>1152</v>
      </c>
      <c r="B679" s="2" t="s">
        <v>45</v>
      </c>
      <c r="C679" s="13" t="s">
        <v>1153</v>
      </c>
      <c r="D679" s="35" t="n">
        <v>22369</v>
      </c>
      <c r="E679" s="2" t="s">
        <v>667</v>
      </c>
      <c r="F679" s="36" t="n">
        <v>0.44217443783808</v>
      </c>
      <c r="G679" s="31" t="n">
        <v>35.5</v>
      </c>
      <c r="H679" s="37" t="n">
        <v>0.140054023750064</v>
      </c>
      <c r="I679" s="31" t="n">
        <v>73.4</v>
      </c>
      <c r="J679" s="2" t="s">
        <v>2704</v>
      </c>
      <c r="K679" s="38" t="n">
        <v>0.0161001788908766</v>
      </c>
      <c r="L679" s="31" t="n">
        <v>4.1</v>
      </c>
      <c r="M679" s="39" t="s">
        <v>671</v>
      </c>
      <c r="N679" s="2" t="s">
        <v>19</v>
      </c>
      <c r="O679" s="2" t="s">
        <v>19</v>
      </c>
      <c r="P679" s="2" t="s">
        <v>19</v>
      </c>
      <c r="Q679" s="2" t="s">
        <v>19</v>
      </c>
    </row>
    <row r="680" customFormat="false" ht="15" hidden="false" customHeight="false" outlineLevel="0" collapsed="false">
      <c r="A680" s="2" t="s">
        <v>1152</v>
      </c>
      <c r="B680" s="2" t="s">
        <v>46</v>
      </c>
      <c r="C680" s="14" t="s">
        <v>2870</v>
      </c>
      <c r="D680" s="40" t="n">
        <v>57070</v>
      </c>
      <c r="E680" s="2" t="s">
        <v>667</v>
      </c>
      <c r="F680" s="41" t="n">
        <v>3.11336954617137</v>
      </c>
      <c r="G680" s="31" t="n">
        <v>49.5</v>
      </c>
      <c r="H680" s="32"/>
      <c r="I680" s="31"/>
      <c r="J680" s="2"/>
      <c r="K680" s="43" t="n">
        <v>0.163715033205876</v>
      </c>
      <c r="L680" s="31" t="n">
        <v>62.2</v>
      </c>
      <c r="M680" s="34" t="s">
        <v>668</v>
      </c>
      <c r="N680" s="2" t="s">
        <v>21</v>
      </c>
      <c r="O680" s="2" t="s">
        <v>21</v>
      </c>
      <c r="P680" s="2"/>
      <c r="Q680" s="2" t="s">
        <v>21</v>
      </c>
    </row>
    <row r="681" customFormat="false" ht="15" hidden="false" customHeight="false" outlineLevel="0" collapsed="false">
      <c r="A681" s="2" t="s">
        <v>1152</v>
      </c>
      <c r="B681" s="2" t="s">
        <v>47</v>
      </c>
      <c r="C681" s="13" t="s">
        <v>2027</v>
      </c>
      <c r="D681" s="35" t="n">
        <v>8681</v>
      </c>
      <c r="E681" s="2" t="s">
        <v>678</v>
      </c>
      <c r="F681" s="36" t="n">
        <v>3.30514917636217</v>
      </c>
      <c r="G681" s="31" t="n">
        <v>90.9</v>
      </c>
      <c r="H681" s="37" t="n">
        <v>0.096362717858045</v>
      </c>
      <c r="I681" s="31" t="n">
        <v>46.7</v>
      </c>
      <c r="J681" s="2" t="s">
        <v>2706</v>
      </c>
      <c r="K681" s="38" t="n">
        <v>0.0777777777777778</v>
      </c>
      <c r="L681" s="31" t="n">
        <v>43.4</v>
      </c>
      <c r="M681" s="39" t="s">
        <v>671</v>
      </c>
      <c r="N681" s="2" t="s">
        <v>19</v>
      </c>
      <c r="O681" s="2" t="s">
        <v>19</v>
      </c>
      <c r="P681" s="2" t="s">
        <v>19</v>
      </c>
      <c r="Q681" s="2" t="s">
        <v>19</v>
      </c>
    </row>
    <row r="682" customFormat="false" ht="15" hidden="false" customHeight="false" outlineLevel="0" collapsed="false">
      <c r="A682" s="2" t="s">
        <v>2267</v>
      </c>
      <c r="B682" s="2" t="s">
        <v>46</v>
      </c>
      <c r="C682" s="16"/>
      <c r="D682" s="44" t="n">
        <v>3917</v>
      </c>
      <c r="E682" s="2" t="s">
        <v>678</v>
      </c>
      <c r="F682" s="45" t="n">
        <v>2.83022721470513</v>
      </c>
      <c r="G682" s="31" t="n">
        <v>45.2</v>
      </c>
      <c r="H682" s="46" t="n">
        <v>0.116272442291251</v>
      </c>
      <c r="I682" s="31" t="n">
        <v>43.8</v>
      </c>
      <c r="J682" s="2" t="s">
        <v>2720</v>
      </c>
      <c r="K682" s="33"/>
      <c r="L682" s="31"/>
      <c r="M682" s="34" t="s">
        <v>668</v>
      </c>
      <c r="N682" s="2" t="s">
        <v>17</v>
      </c>
      <c r="O682" s="2" t="s">
        <v>17</v>
      </c>
      <c r="P682" s="2" t="s">
        <v>17</v>
      </c>
      <c r="Q682" s="2"/>
    </row>
    <row r="683" customFormat="false" ht="15" hidden="false" customHeight="false" outlineLevel="0" collapsed="false">
      <c r="A683" s="2" t="s">
        <v>2267</v>
      </c>
      <c r="B683" s="2" t="s">
        <v>47</v>
      </c>
      <c r="C683" s="14" t="s">
        <v>2268</v>
      </c>
      <c r="D683" s="40" t="n">
        <v>99720</v>
      </c>
      <c r="E683" s="2" t="s">
        <v>667</v>
      </c>
      <c r="F683" s="41" t="n">
        <v>1.43276173285199</v>
      </c>
      <c r="G683" s="31" t="n">
        <v>56.8</v>
      </c>
      <c r="H683" s="42" t="n">
        <v>0.0481395837712844</v>
      </c>
      <c r="I683" s="31" t="n">
        <v>29.4</v>
      </c>
      <c r="J683" s="2" t="s">
        <v>2697</v>
      </c>
      <c r="K683" s="43" t="n">
        <v>0.269324654190399</v>
      </c>
      <c r="L683" s="31" t="n">
        <v>94.9</v>
      </c>
      <c r="M683" s="39" t="s">
        <v>671</v>
      </c>
      <c r="N683" s="2" t="s">
        <v>21</v>
      </c>
      <c r="O683" s="2" t="s">
        <v>21</v>
      </c>
      <c r="P683" s="2" t="s">
        <v>21</v>
      </c>
      <c r="Q683" s="2" t="s">
        <v>21</v>
      </c>
    </row>
    <row r="684" customFormat="false" ht="15" hidden="false" customHeight="false" outlineLevel="0" collapsed="false">
      <c r="A684" s="2" t="s">
        <v>252</v>
      </c>
      <c r="B684" s="2" t="s">
        <v>47</v>
      </c>
      <c r="C684" s="13" t="s">
        <v>2215</v>
      </c>
      <c r="D684" s="35" t="n">
        <v>66815</v>
      </c>
      <c r="E684" s="2" t="s">
        <v>667</v>
      </c>
      <c r="F684" s="36" t="n">
        <v>1.62219561475717</v>
      </c>
      <c r="G684" s="31" t="n">
        <v>63.7</v>
      </c>
      <c r="H684" s="37" t="n">
        <v>0.170037649943087</v>
      </c>
      <c r="I684" s="31" t="n">
        <v>86.2</v>
      </c>
      <c r="J684" s="2" t="s">
        <v>2697</v>
      </c>
      <c r="K684" s="38" t="n">
        <v>0.306811240073305</v>
      </c>
      <c r="L684" s="31" t="n">
        <v>96.4</v>
      </c>
      <c r="M684" s="39" t="s">
        <v>671</v>
      </c>
      <c r="N684" s="2" t="s">
        <v>19</v>
      </c>
      <c r="O684" s="2" t="s">
        <v>19</v>
      </c>
      <c r="P684" s="2" t="s">
        <v>19</v>
      </c>
      <c r="Q684" s="2" t="s">
        <v>19</v>
      </c>
    </row>
    <row r="685" customFormat="false" ht="15" hidden="false" customHeight="false" outlineLevel="0" collapsed="false">
      <c r="A685" s="2" t="s">
        <v>1267</v>
      </c>
      <c r="B685" s="2" t="s">
        <v>45</v>
      </c>
      <c r="C685" s="13" t="s">
        <v>1268</v>
      </c>
      <c r="D685" s="35" t="n">
        <v>3325</v>
      </c>
      <c r="E685" s="2" t="s">
        <v>678</v>
      </c>
      <c r="F685" s="36" t="n">
        <v>0.301052631578947</v>
      </c>
      <c r="G685" s="31" t="n">
        <v>18.6</v>
      </c>
      <c r="H685" s="37" t="n">
        <v>0.156924147529576</v>
      </c>
      <c r="I685" s="31" t="n">
        <v>75.9</v>
      </c>
      <c r="J685" s="2" t="s">
        <v>2713</v>
      </c>
      <c r="K685" s="38" t="n">
        <v>0.0666666666666667</v>
      </c>
      <c r="L685" s="31" t="n">
        <v>19.1</v>
      </c>
      <c r="M685" s="39" t="s">
        <v>671</v>
      </c>
      <c r="N685" s="2" t="s">
        <v>19</v>
      </c>
      <c r="O685" s="2" t="s">
        <v>19</v>
      </c>
      <c r="P685" s="2" t="s">
        <v>19</v>
      </c>
      <c r="Q685" s="2" t="s">
        <v>19</v>
      </c>
    </row>
    <row r="686" customFormat="false" ht="15" hidden="false" customHeight="false" outlineLevel="0" collapsed="false">
      <c r="A686" s="2" t="s">
        <v>1267</v>
      </c>
      <c r="B686" s="2" t="s">
        <v>46</v>
      </c>
      <c r="C686" s="14" t="s">
        <v>2871</v>
      </c>
      <c r="D686" s="40" t="n">
        <v>107250</v>
      </c>
      <c r="E686" s="2" t="s">
        <v>670</v>
      </c>
      <c r="F686" s="41" t="n">
        <v>5.66074592074592</v>
      </c>
      <c r="G686" s="31" t="n">
        <v>79.9</v>
      </c>
      <c r="H686" s="42" t="n">
        <v>0.0492075914693798</v>
      </c>
      <c r="I686" s="31" t="n">
        <v>30.5</v>
      </c>
      <c r="J686" s="2" t="s">
        <v>2705</v>
      </c>
      <c r="K686" s="33"/>
      <c r="L686" s="31"/>
      <c r="M686" s="34" t="s">
        <v>668</v>
      </c>
      <c r="N686" s="2" t="s">
        <v>21</v>
      </c>
      <c r="O686" s="2" t="s">
        <v>21</v>
      </c>
      <c r="P686" s="2" t="s">
        <v>21</v>
      </c>
      <c r="Q686" s="2"/>
    </row>
    <row r="687" customFormat="false" ht="15" hidden="false" customHeight="false" outlineLevel="0" collapsed="false">
      <c r="A687" s="2" t="s">
        <v>191</v>
      </c>
      <c r="B687" s="2" t="s">
        <v>47</v>
      </c>
      <c r="C687" s="13" t="s">
        <v>2148</v>
      </c>
      <c r="D687" s="35" t="n">
        <v>631718</v>
      </c>
      <c r="E687" s="2" t="s">
        <v>670</v>
      </c>
      <c r="F687" s="36" t="n">
        <v>1.95924922196296</v>
      </c>
      <c r="G687" s="31" t="n">
        <v>72.4</v>
      </c>
      <c r="H687" s="37" t="n">
        <v>-0.0473075177163781</v>
      </c>
      <c r="I687" s="31" t="n">
        <v>4.8</v>
      </c>
      <c r="J687" s="2" t="s">
        <v>2701</v>
      </c>
      <c r="K687" s="38" t="n">
        <v>0.0965544007934797</v>
      </c>
      <c r="L687" s="31" t="n">
        <v>52.8</v>
      </c>
      <c r="M687" s="39" t="s">
        <v>671</v>
      </c>
      <c r="N687" s="2" t="s">
        <v>19</v>
      </c>
      <c r="O687" s="2" t="s">
        <v>19</v>
      </c>
      <c r="P687" s="2" t="s">
        <v>19</v>
      </c>
      <c r="Q687" s="2" t="s">
        <v>19</v>
      </c>
    </row>
    <row r="688" customFormat="false" ht="15" hidden="false" customHeight="false" outlineLevel="0" collapsed="false">
      <c r="A688" s="2" t="s">
        <v>1736</v>
      </c>
      <c r="B688" s="2" t="s">
        <v>45</v>
      </c>
      <c r="C688" s="16"/>
      <c r="D688" s="40" t="n">
        <v>76940</v>
      </c>
      <c r="E688" s="2" t="s">
        <v>667</v>
      </c>
      <c r="F688" s="41" t="n">
        <v>1.24322848973226</v>
      </c>
      <c r="G688" s="31" t="n">
        <v>84</v>
      </c>
      <c r="H688" s="42" t="n">
        <v>0.0775910364145658</v>
      </c>
      <c r="I688" s="31" t="n">
        <v>44</v>
      </c>
      <c r="J688" s="2" t="s">
        <v>2704</v>
      </c>
      <c r="K688" s="43" t="n">
        <v>0.00958792329661363</v>
      </c>
      <c r="L688" s="31" t="n">
        <v>2.5</v>
      </c>
      <c r="M688" s="34" t="s">
        <v>668</v>
      </c>
      <c r="N688" s="2" t="s">
        <v>21</v>
      </c>
      <c r="O688" s="2" t="s">
        <v>21</v>
      </c>
      <c r="P688" s="2" t="s">
        <v>21</v>
      </c>
      <c r="Q688" s="2" t="s">
        <v>21</v>
      </c>
    </row>
    <row r="689" customFormat="false" ht="15" hidden="false" customHeight="false" outlineLevel="0" collapsed="false">
      <c r="A689" s="2" t="s">
        <v>1736</v>
      </c>
      <c r="B689" s="2" t="s">
        <v>46</v>
      </c>
      <c r="C689" s="14" t="s">
        <v>1737</v>
      </c>
      <c r="D689" s="40" t="n">
        <v>48500</v>
      </c>
      <c r="E689" s="2" t="s">
        <v>667</v>
      </c>
      <c r="F689" s="41" t="n">
        <v>2.6020618556701</v>
      </c>
      <c r="G689" s="31" t="n">
        <v>40.2</v>
      </c>
      <c r="H689" s="42" t="n">
        <v>0.030161427357689</v>
      </c>
      <c r="I689" s="31" t="n">
        <v>20.3</v>
      </c>
      <c r="J689" s="2" t="s">
        <v>2700</v>
      </c>
      <c r="K689" s="43" t="n">
        <v>0.0355719104569151</v>
      </c>
      <c r="L689" s="31" t="n">
        <v>8.5</v>
      </c>
      <c r="M689" s="39" t="s">
        <v>671</v>
      </c>
      <c r="N689" s="2" t="s">
        <v>21</v>
      </c>
      <c r="O689" s="2" t="s">
        <v>21</v>
      </c>
      <c r="P689" s="2" t="s">
        <v>21</v>
      </c>
      <c r="Q689" s="2" t="s">
        <v>21</v>
      </c>
    </row>
    <row r="690" customFormat="false" ht="15" hidden="false" customHeight="false" outlineLevel="0" collapsed="false">
      <c r="A690" s="2" t="s">
        <v>1736</v>
      </c>
      <c r="B690" s="2" t="s">
        <v>47</v>
      </c>
      <c r="C690" s="16"/>
      <c r="D690" s="29"/>
      <c r="E690" s="2"/>
      <c r="F690" s="30"/>
      <c r="G690" s="31"/>
      <c r="H690" s="32"/>
      <c r="I690" s="31"/>
      <c r="J690" s="2"/>
      <c r="K690" s="33"/>
      <c r="L690" s="31"/>
      <c r="M690" s="34" t="s">
        <v>668</v>
      </c>
      <c r="N690" s="2"/>
      <c r="O690" s="2"/>
      <c r="P690" s="2"/>
      <c r="Q690" s="2"/>
    </row>
    <row r="691" customFormat="false" ht="15" hidden="false" customHeight="false" outlineLevel="0" collapsed="false">
      <c r="A691" s="2" t="s">
        <v>2872</v>
      </c>
      <c r="B691" s="2" t="s">
        <v>47</v>
      </c>
      <c r="C691" s="16"/>
      <c r="D691" s="29"/>
      <c r="E691" s="2"/>
      <c r="F691" s="30"/>
      <c r="G691" s="31"/>
      <c r="H691" s="32"/>
      <c r="I691" s="31"/>
      <c r="J691" s="2"/>
      <c r="K691" s="33"/>
      <c r="L691" s="31"/>
      <c r="M691" s="34" t="s">
        <v>668</v>
      </c>
      <c r="N691" s="2"/>
      <c r="O691" s="2"/>
      <c r="P691" s="2"/>
      <c r="Q691" s="2"/>
    </row>
    <row r="692" customFormat="false" ht="15" hidden="false" customHeight="false" outlineLevel="0" collapsed="false">
      <c r="A692" s="2" t="s">
        <v>2403</v>
      </c>
      <c r="B692" s="2" t="s">
        <v>45</v>
      </c>
      <c r="C692" s="16"/>
      <c r="D692" s="29"/>
      <c r="E692" s="2"/>
      <c r="F692" s="30"/>
      <c r="G692" s="31"/>
      <c r="H692" s="32"/>
      <c r="I692" s="31"/>
      <c r="J692" s="2"/>
      <c r="K692" s="33"/>
      <c r="L692" s="31"/>
      <c r="M692" s="34" t="s">
        <v>668</v>
      </c>
      <c r="N692" s="2"/>
      <c r="O692" s="2"/>
      <c r="P692" s="2"/>
      <c r="Q692" s="2"/>
    </row>
    <row r="693" customFormat="false" ht="15" hidden="false" customHeight="false" outlineLevel="0" collapsed="false">
      <c r="A693" s="2" t="s">
        <v>2403</v>
      </c>
      <c r="B693" s="2" t="s">
        <v>46</v>
      </c>
      <c r="C693" s="16"/>
      <c r="D693" s="29"/>
      <c r="E693" s="2"/>
      <c r="F693" s="30"/>
      <c r="G693" s="31"/>
      <c r="H693" s="32"/>
      <c r="I693" s="31"/>
      <c r="J693" s="2"/>
      <c r="K693" s="33"/>
      <c r="L693" s="31"/>
      <c r="M693" s="34" t="s">
        <v>668</v>
      </c>
      <c r="N693" s="2"/>
      <c r="O693" s="2"/>
      <c r="P693" s="2"/>
      <c r="Q693" s="2"/>
    </row>
    <row r="694" customFormat="false" ht="15" hidden="false" customHeight="false" outlineLevel="0" collapsed="false">
      <c r="A694" s="2" t="s">
        <v>2403</v>
      </c>
      <c r="B694" s="2" t="s">
        <v>47</v>
      </c>
      <c r="C694" s="13" t="s">
        <v>2404</v>
      </c>
      <c r="D694" s="35" t="n">
        <v>323115</v>
      </c>
      <c r="E694" s="2" t="s">
        <v>670</v>
      </c>
      <c r="F694" s="36" t="n">
        <v>1.00778051158256</v>
      </c>
      <c r="G694" s="31" t="n">
        <v>38.2</v>
      </c>
      <c r="H694" s="37" t="n">
        <v>0.0693082085699535</v>
      </c>
      <c r="I694" s="31" t="n">
        <v>44.6</v>
      </c>
      <c r="J694" s="2" t="s">
        <v>2701</v>
      </c>
      <c r="K694" s="38" t="n">
        <v>0.029435345321269</v>
      </c>
      <c r="L694" s="31" t="n">
        <v>18.7</v>
      </c>
      <c r="M694" s="39" t="s">
        <v>671</v>
      </c>
      <c r="N694" s="2" t="s">
        <v>19</v>
      </c>
      <c r="O694" s="2" t="s">
        <v>19</v>
      </c>
      <c r="P694" s="2" t="s">
        <v>19</v>
      </c>
      <c r="Q694" s="2" t="s">
        <v>19</v>
      </c>
    </row>
    <row r="695" customFormat="false" ht="15" hidden="false" customHeight="false" outlineLevel="0" collapsed="false">
      <c r="A695" s="2" t="s">
        <v>452</v>
      </c>
      <c r="B695" s="2" t="s">
        <v>45</v>
      </c>
      <c r="C695" s="14" t="s">
        <v>1275</v>
      </c>
      <c r="D695" s="40" t="n">
        <v>243210</v>
      </c>
      <c r="E695" s="2" t="s">
        <v>670</v>
      </c>
      <c r="F695" s="41" t="n">
        <v>0.281456354590683</v>
      </c>
      <c r="G695" s="31" t="n">
        <v>17.1</v>
      </c>
      <c r="H695" s="42" t="n">
        <v>0.0825210308452397</v>
      </c>
      <c r="I695" s="31" t="n">
        <v>52.9</v>
      </c>
      <c r="J695" s="2" t="s">
        <v>2698</v>
      </c>
      <c r="K695" s="43" t="n">
        <v>0.0717299578059072</v>
      </c>
      <c r="L695" s="31" t="n">
        <v>22.7</v>
      </c>
      <c r="M695" s="39" t="s">
        <v>671</v>
      </c>
      <c r="N695" s="2" t="s">
        <v>21</v>
      </c>
      <c r="O695" s="2" t="s">
        <v>21</v>
      </c>
      <c r="P695" s="2" t="s">
        <v>21</v>
      </c>
      <c r="Q695" s="2" t="s">
        <v>21</v>
      </c>
    </row>
    <row r="696" customFormat="false" ht="15" hidden="false" customHeight="false" outlineLevel="0" collapsed="false">
      <c r="A696" s="2" t="s">
        <v>452</v>
      </c>
      <c r="B696" s="2" t="s">
        <v>46</v>
      </c>
      <c r="C696" s="13" t="s">
        <v>1731</v>
      </c>
      <c r="D696" s="35" t="n">
        <v>154067</v>
      </c>
      <c r="E696" s="2" t="s">
        <v>670</v>
      </c>
      <c r="F696" s="36" t="n">
        <v>2.6600699695587</v>
      </c>
      <c r="G696" s="31" t="n">
        <v>41.2</v>
      </c>
      <c r="H696" s="37" t="n">
        <v>0.0618865791795324</v>
      </c>
      <c r="I696" s="31" t="n">
        <v>37.1</v>
      </c>
      <c r="J696" s="2" t="s">
        <v>2705</v>
      </c>
      <c r="K696" s="38" t="n">
        <v>0.104755525787006</v>
      </c>
      <c r="L696" s="31" t="n">
        <v>35</v>
      </c>
      <c r="M696" s="39" t="s">
        <v>671</v>
      </c>
      <c r="N696" s="2" t="s">
        <v>19</v>
      </c>
      <c r="O696" s="2" t="s">
        <v>19</v>
      </c>
      <c r="P696" s="2" t="s">
        <v>19</v>
      </c>
      <c r="Q696" s="2" t="s">
        <v>19</v>
      </c>
    </row>
    <row r="697" customFormat="false" ht="15" hidden="false" customHeight="false" outlineLevel="0" collapsed="false">
      <c r="A697" s="2" t="s">
        <v>452</v>
      </c>
      <c r="B697" s="2" t="s">
        <v>47</v>
      </c>
      <c r="C697" s="13" t="s">
        <v>2201</v>
      </c>
      <c r="D697" s="35" t="n">
        <v>32500</v>
      </c>
      <c r="E697" s="2" t="s">
        <v>667</v>
      </c>
      <c r="F697" s="36" t="n">
        <v>1.69843076923077</v>
      </c>
      <c r="G697" s="31" t="n">
        <v>65.2</v>
      </c>
      <c r="H697" s="42" t="n">
        <v>-0.0697607379648314</v>
      </c>
      <c r="I697" s="31" t="n">
        <v>1.1</v>
      </c>
      <c r="J697" s="2" t="s">
        <v>2697</v>
      </c>
      <c r="K697" s="38" t="n">
        <v>0.151929260450161</v>
      </c>
      <c r="L697" s="31" t="n">
        <v>71.4</v>
      </c>
      <c r="M697" s="39" t="s">
        <v>671</v>
      </c>
      <c r="N697" s="2" t="s">
        <v>19</v>
      </c>
      <c r="O697" s="2" t="s">
        <v>19</v>
      </c>
      <c r="P697" s="2" t="s">
        <v>21</v>
      </c>
      <c r="Q697" s="2" t="s">
        <v>19</v>
      </c>
    </row>
    <row r="698" customFormat="false" ht="15" hidden="false" customHeight="false" outlineLevel="0" collapsed="false">
      <c r="A698" s="2" t="s">
        <v>298</v>
      </c>
      <c r="B698" s="2" t="s">
        <v>45</v>
      </c>
      <c r="C698" s="14" t="s">
        <v>1050</v>
      </c>
      <c r="D698" s="40" t="n">
        <v>172590</v>
      </c>
      <c r="E698" s="2" t="s">
        <v>670</v>
      </c>
      <c r="F698" s="41" t="n">
        <v>0.592322846051336</v>
      </c>
      <c r="G698" s="31" t="n">
        <v>48.5</v>
      </c>
      <c r="H698" s="42" t="n">
        <v>-0.0493527953731754</v>
      </c>
      <c r="I698" s="31" t="n">
        <v>5.8</v>
      </c>
      <c r="J698" s="2" t="s">
        <v>2698</v>
      </c>
      <c r="K698" s="47" t="s">
        <v>680</v>
      </c>
      <c r="L698" s="31"/>
      <c r="M698" s="39" t="s">
        <v>671</v>
      </c>
      <c r="N698" s="2" t="s">
        <v>21</v>
      </c>
      <c r="O698" s="2" t="s">
        <v>21</v>
      </c>
      <c r="P698" s="2" t="s">
        <v>21</v>
      </c>
      <c r="Q698" s="2" t="s">
        <v>2711</v>
      </c>
    </row>
    <row r="699" customFormat="false" ht="15" hidden="false" customHeight="false" outlineLevel="0" collapsed="false">
      <c r="A699" s="2" t="s">
        <v>298</v>
      </c>
      <c r="B699" s="2" t="s">
        <v>46</v>
      </c>
      <c r="C699" s="14" t="s">
        <v>1638</v>
      </c>
      <c r="D699" s="40" t="n">
        <v>22210</v>
      </c>
      <c r="E699" s="2" t="s">
        <v>667</v>
      </c>
      <c r="F699" s="41" t="n">
        <v>3.56929311121117</v>
      </c>
      <c r="G699" s="31" t="n">
        <v>56</v>
      </c>
      <c r="H699" s="42" t="n">
        <v>0.106075697211155</v>
      </c>
      <c r="I699" s="31" t="n">
        <v>58.5</v>
      </c>
      <c r="J699" s="2" t="s">
        <v>2700</v>
      </c>
      <c r="K699" s="43" t="n">
        <v>0.257194244604317</v>
      </c>
      <c r="L699" s="31" t="n">
        <v>85</v>
      </c>
      <c r="M699" s="39" t="s">
        <v>671</v>
      </c>
      <c r="N699" s="2" t="s">
        <v>21</v>
      </c>
      <c r="O699" s="2" t="s">
        <v>21</v>
      </c>
      <c r="P699" s="2" t="s">
        <v>21</v>
      </c>
      <c r="Q699" s="2" t="s">
        <v>21</v>
      </c>
    </row>
    <row r="700" customFormat="false" ht="15" hidden="false" customHeight="false" outlineLevel="0" collapsed="false">
      <c r="A700" s="2" t="s">
        <v>298</v>
      </c>
      <c r="B700" s="2" t="s">
        <v>47</v>
      </c>
      <c r="C700" s="13" t="s">
        <v>2179</v>
      </c>
      <c r="D700" s="35" t="n">
        <v>9535</v>
      </c>
      <c r="E700" s="2" t="s">
        <v>678</v>
      </c>
      <c r="F700" s="36" t="n">
        <v>1.80723649711589</v>
      </c>
      <c r="G700" s="31" t="n">
        <v>68.3</v>
      </c>
      <c r="H700" s="37" t="n">
        <v>0.0588561910049972</v>
      </c>
      <c r="I700" s="31" t="n">
        <v>32</v>
      </c>
      <c r="J700" s="2" t="s">
        <v>2706</v>
      </c>
      <c r="K700" s="38" t="n">
        <v>0.149338374291115</v>
      </c>
      <c r="L700" s="31" t="n">
        <v>70.9</v>
      </c>
      <c r="M700" s="39" t="s">
        <v>671</v>
      </c>
      <c r="N700" s="2" t="s">
        <v>19</v>
      </c>
      <c r="O700" s="2" t="s">
        <v>19</v>
      </c>
      <c r="P700" s="2" t="s">
        <v>19</v>
      </c>
      <c r="Q700" s="2" t="s">
        <v>19</v>
      </c>
    </row>
    <row r="701" customFormat="false" ht="15" hidden="false" customHeight="false" outlineLevel="0" collapsed="false">
      <c r="A701" s="2" t="s">
        <v>2685</v>
      </c>
      <c r="B701" s="2" t="s">
        <v>45</v>
      </c>
      <c r="C701" s="16"/>
      <c r="D701" s="29"/>
      <c r="E701" s="2"/>
      <c r="F701" s="30"/>
      <c r="G701" s="31"/>
      <c r="H701" s="32"/>
      <c r="I701" s="31"/>
      <c r="J701" s="2"/>
      <c r="K701" s="33"/>
      <c r="L701" s="31"/>
      <c r="M701" s="34" t="s">
        <v>668</v>
      </c>
      <c r="N701" s="2"/>
      <c r="O701" s="2"/>
      <c r="P701" s="2"/>
      <c r="Q701" s="2"/>
    </row>
    <row r="702" customFormat="false" ht="15" hidden="false" customHeight="false" outlineLevel="0" collapsed="false">
      <c r="A702" s="2" t="s">
        <v>2685</v>
      </c>
      <c r="B702" s="2" t="s">
        <v>46</v>
      </c>
      <c r="C702" s="14" t="s">
        <v>2873</v>
      </c>
      <c r="D702" s="40" t="n">
        <v>28010</v>
      </c>
      <c r="E702" s="2" t="s">
        <v>667</v>
      </c>
      <c r="F702" s="41" t="n">
        <v>4.73759371652981</v>
      </c>
      <c r="G702" s="31" t="n">
        <v>70.8</v>
      </c>
      <c r="H702" s="46" t="n">
        <v>-0.220226176711131</v>
      </c>
      <c r="I702" s="31" t="n">
        <v>0.4</v>
      </c>
      <c r="J702" s="2" t="s">
        <v>2700</v>
      </c>
      <c r="K702" s="33"/>
      <c r="L702" s="31"/>
      <c r="M702" s="34" t="s">
        <v>668</v>
      </c>
      <c r="N702" s="2" t="s">
        <v>21</v>
      </c>
      <c r="O702" s="2" t="s">
        <v>21</v>
      </c>
      <c r="P702" s="2" t="s">
        <v>17</v>
      </c>
      <c r="Q702" s="2"/>
    </row>
    <row r="703" customFormat="false" ht="15" hidden="false" customHeight="false" outlineLevel="0" collapsed="false">
      <c r="A703" s="2" t="s">
        <v>2685</v>
      </c>
      <c r="B703" s="2" t="s">
        <v>47</v>
      </c>
      <c r="C703" s="13" t="s">
        <v>2686</v>
      </c>
      <c r="D703" s="35" t="n">
        <v>19615</v>
      </c>
      <c r="E703" s="2" t="s">
        <v>667</v>
      </c>
      <c r="F703" s="36" t="n">
        <v>0.123323986744838</v>
      </c>
      <c r="G703" s="31" t="n">
        <v>0.2</v>
      </c>
      <c r="H703" s="37" t="n">
        <v>0.081014053458253</v>
      </c>
      <c r="I703" s="31" t="n">
        <v>44.7</v>
      </c>
      <c r="J703" s="2" t="s">
        <v>2697</v>
      </c>
      <c r="K703" s="38" t="n">
        <v>0.178571428571429</v>
      </c>
      <c r="L703" s="31" t="n">
        <v>78.9</v>
      </c>
      <c r="M703" s="39" t="s">
        <v>671</v>
      </c>
      <c r="N703" s="2" t="s">
        <v>19</v>
      </c>
      <c r="O703" s="2" t="s">
        <v>19</v>
      </c>
      <c r="P703" s="2" t="s">
        <v>19</v>
      </c>
      <c r="Q703" s="2" t="s">
        <v>19</v>
      </c>
    </row>
    <row r="704" customFormat="false" ht="15" hidden="false" customHeight="false" outlineLevel="0" collapsed="false">
      <c r="A704" s="2" t="s">
        <v>482</v>
      </c>
      <c r="B704" s="2" t="s">
        <v>45</v>
      </c>
      <c r="C704" s="14" t="s">
        <v>1089</v>
      </c>
      <c r="D704" s="40" t="n">
        <v>67630</v>
      </c>
      <c r="E704" s="2" t="s">
        <v>667</v>
      </c>
      <c r="F704" s="41" t="n">
        <v>0.518793434866184</v>
      </c>
      <c r="G704" s="31" t="n">
        <v>43.4</v>
      </c>
      <c r="H704" s="42" t="n">
        <v>0.0767393727113517</v>
      </c>
      <c r="I704" s="31" t="n">
        <v>42.9</v>
      </c>
      <c r="J704" s="2" t="s">
        <v>2704</v>
      </c>
      <c r="K704" s="43" t="n">
        <v>0.125628140703518</v>
      </c>
      <c r="L704" s="31" t="n">
        <v>46.5</v>
      </c>
      <c r="M704" s="39" t="s">
        <v>671</v>
      </c>
      <c r="N704" s="2" t="s">
        <v>21</v>
      </c>
      <c r="O704" s="2" t="s">
        <v>21</v>
      </c>
      <c r="P704" s="2" t="s">
        <v>21</v>
      </c>
      <c r="Q704" s="2" t="s">
        <v>21</v>
      </c>
    </row>
    <row r="705" customFormat="false" ht="15" hidden="false" customHeight="false" outlineLevel="0" collapsed="false">
      <c r="A705" s="2" t="s">
        <v>482</v>
      </c>
      <c r="B705" s="2" t="s">
        <v>46</v>
      </c>
      <c r="C705" s="14" t="s">
        <v>1677</v>
      </c>
      <c r="D705" s="40" t="n">
        <v>168060</v>
      </c>
      <c r="E705" s="2" t="s">
        <v>670</v>
      </c>
      <c r="F705" s="41" t="n">
        <v>3.13820064262763</v>
      </c>
      <c r="G705" s="31" t="n">
        <v>50.3</v>
      </c>
      <c r="H705" s="42" t="n">
        <v>0.0268850054992057</v>
      </c>
      <c r="I705" s="31" t="n">
        <v>20.5</v>
      </c>
      <c r="J705" s="2" t="s">
        <v>2705</v>
      </c>
      <c r="K705" s="43" t="n">
        <v>0.215528367146766</v>
      </c>
      <c r="L705" s="31" t="n">
        <v>74.9</v>
      </c>
      <c r="M705" s="39" t="s">
        <v>671</v>
      </c>
      <c r="N705" s="2" t="s">
        <v>21</v>
      </c>
      <c r="O705" s="2" t="s">
        <v>21</v>
      </c>
      <c r="P705" s="2" t="s">
        <v>21</v>
      </c>
      <c r="Q705" s="2" t="s">
        <v>21</v>
      </c>
    </row>
    <row r="706" customFormat="false" ht="15" hidden="false" customHeight="false" outlineLevel="0" collapsed="false">
      <c r="A706" s="2" t="s">
        <v>482</v>
      </c>
      <c r="B706" s="2" t="s">
        <v>47</v>
      </c>
      <c r="C706" s="13" t="s">
        <v>2546</v>
      </c>
      <c r="D706" s="35" t="n">
        <v>125742</v>
      </c>
      <c r="E706" s="2" t="s">
        <v>670</v>
      </c>
      <c r="F706" s="36" t="n">
        <v>0.677546086430946</v>
      </c>
      <c r="G706" s="31" t="n">
        <v>20</v>
      </c>
      <c r="H706" s="37" t="n">
        <v>0.169279696479384</v>
      </c>
      <c r="I706" s="31" t="n">
        <v>83.7</v>
      </c>
      <c r="J706" s="2" t="s">
        <v>2701</v>
      </c>
      <c r="K706" s="38" t="n">
        <v>0.217328519855596</v>
      </c>
      <c r="L706" s="31" t="n">
        <v>86.1</v>
      </c>
      <c r="M706" s="39" t="s">
        <v>671</v>
      </c>
      <c r="N706" s="2" t="s">
        <v>19</v>
      </c>
      <c r="O706" s="2" t="s">
        <v>19</v>
      </c>
      <c r="P706" s="2" t="s">
        <v>19</v>
      </c>
      <c r="Q706" s="2" t="s">
        <v>19</v>
      </c>
    </row>
    <row r="707" customFormat="false" ht="15" hidden="false" customHeight="false" outlineLevel="0" collapsed="false">
      <c r="A707" s="2" t="s">
        <v>2874</v>
      </c>
      <c r="B707" s="2" t="s">
        <v>45</v>
      </c>
      <c r="C707" s="16"/>
      <c r="D707" s="40" t="n">
        <v>36590</v>
      </c>
      <c r="E707" s="2" t="s">
        <v>667</v>
      </c>
      <c r="F707" s="41" t="n">
        <v>0.869007925662749</v>
      </c>
      <c r="G707" s="31" t="n">
        <v>69</v>
      </c>
      <c r="H707" s="42" t="n">
        <v>0.103770739064857</v>
      </c>
      <c r="I707" s="31" t="n">
        <v>57.1</v>
      </c>
      <c r="J707" s="2" t="s">
        <v>2704</v>
      </c>
      <c r="K707" s="43" t="n">
        <v>0.191640729212984</v>
      </c>
      <c r="L707" s="31" t="n">
        <v>68</v>
      </c>
      <c r="M707" s="34" t="s">
        <v>668</v>
      </c>
      <c r="N707" s="2" t="s">
        <v>21</v>
      </c>
      <c r="O707" s="2" t="s">
        <v>21</v>
      </c>
      <c r="P707" s="2" t="s">
        <v>21</v>
      </c>
      <c r="Q707" s="2" t="s">
        <v>21</v>
      </c>
    </row>
    <row r="708" customFormat="false" ht="15" hidden="false" customHeight="false" outlineLevel="0" collapsed="false">
      <c r="A708" s="2" t="s">
        <v>968</v>
      </c>
      <c r="B708" s="2" t="s">
        <v>45</v>
      </c>
      <c r="C708" s="13" t="s">
        <v>969</v>
      </c>
      <c r="D708" s="35" t="n">
        <v>131571</v>
      </c>
      <c r="E708" s="2" t="s">
        <v>670</v>
      </c>
      <c r="F708" s="36" t="n">
        <v>0.709943680598308</v>
      </c>
      <c r="G708" s="31" t="n">
        <v>59.2</v>
      </c>
      <c r="H708" s="37" t="n">
        <v>0.0787337662337662</v>
      </c>
      <c r="I708" s="31" t="n">
        <v>50.7</v>
      </c>
      <c r="J708" s="2" t="s">
        <v>2698</v>
      </c>
      <c r="K708" s="43" t="n">
        <v>0.164102564102564</v>
      </c>
      <c r="L708" s="31" t="n">
        <v>59.4</v>
      </c>
      <c r="M708" s="39" t="s">
        <v>671</v>
      </c>
      <c r="N708" s="2" t="s">
        <v>19</v>
      </c>
      <c r="O708" s="2" t="s">
        <v>19</v>
      </c>
      <c r="P708" s="2" t="s">
        <v>19</v>
      </c>
      <c r="Q708" s="2" t="s">
        <v>21</v>
      </c>
    </row>
    <row r="709" customFormat="false" ht="15" hidden="false" customHeight="false" outlineLevel="0" collapsed="false">
      <c r="A709" s="2" t="s">
        <v>968</v>
      </c>
      <c r="B709" s="2" t="s">
        <v>46</v>
      </c>
      <c r="C709" s="16"/>
      <c r="D709" s="29"/>
      <c r="E709" s="2"/>
      <c r="F709" s="30"/>
      <c r="G709" s="31"/>
      <c r="H709" s="32"/>
      <c r="I709" s="31"/>
      <c r="J709" s="2"/>
      <c r="K709" s="33"/>
      <c r="L709" s="31"/>
      <c r="M709" s="34" t="s">
        <v>668</v>
      </c>
      <c r="N709" s="2"/>
      <c r="O709" s="2"/>
      <c r="P709" s="2"/>
      <c r="Q709" s="2"/>
    </row>
    <row r="710" customFormat="false" ht="15" hidden="false" customHeight="false" outlineLevel="0" collapsed="false">
      <c r="A710" s="2" t="s">
        <v>968</v>
      </c>
      <c r="B710" s="2" t="s">
        <v>47</v>
      </c>
      <c r="C710" s="13" t="s">
        <v>2480</v>
      </c>
      <c r="D710" s="35" t="n">
        <v>6450</v>
      </c>
      <c r="E710" s="2" t="s">
        <v>678</v>
      </c>
      <c r="F710" s="36" t="n">
        <v>0.836279069767442</v>
      </c>
      <c r="G710" s="31" t="n">
        <v>28.5</v>
      </c>
      <c r="H710" s="37" t="n">
        <v>0.171449328005812</v>
      </c>
      <c r="I710" s="31" t="n">
        <v>85.3</v>
      </c>
      <c r="J710" s="2" t="s">
        <v>2706</v>
      </c>
      <c r="K710" s="38" t="n">
        <v>0.10062893081761</v>
      </c>
      <c r="L710" s="31" t="n">
        <v>55.6</v>
      </c>
      <c r="M710" s="39" t="s">
        <v>671</v>
      </c>
      <c r="N710" s="2" t="s">
        <v>19</v>
      </c>
      <c r="O710" s="2" t="s">
        <v>19</v>
      </c>
      <c r="P710" s="2" t="s">
        <v>19</v>
      </c>
      <c r="Q710" s="2" t="s">
        <v>19</v>
      </c>
    </row>
    <row r="711" customFormat="false" ht="15" hidden="false" customHeight="false" outlineLevel="0" collapsed="false">
      <c r="A711" s="2" t="s">
        <v>1622</v>
      </c>
      <c r="B711" s="2" t="s">
        <v>45</v>
      </c>
      <c r="C711" s="14" t="s">
        <v>2875</v>
      </c>
      <c r="D711" s="40" t="n">
        <v>16320</v>
      </c>
      <c r="E711" s="2" t="s">
        <v>667</v>
      </c>
      <c r="F711" s="41" t="n">
        <v>0.271323529411765</v>
      </c>
      <c r="G711" s="31" t="n">
        <v>15.4</v>
      </c>
      <c r="H711" s="32"/>
      <c r="I711" s="31"/>
      <c r="J711" s="2"/>
      <c r="K711" s="47" t="s">
        <v>680</v>
      </c>
      <c r="L711" s="31"/>
      <c r="M711" s="34" t="s">
        <v>668</v>
      </c>
      <c r="N711" s="2" t="s">
        <v>21</v>
      </c>
      <c r="O711" s="2" t="s">
        <v>21</v>
      </c>
      <c r="P711" s="2"/>
      <c r="Q711" s="2" t="s">
        <v>2711</v>
      </c>
    </row>
    <row r="712" customFormat="false" ht="15" hidden="false" customHeight="false" outlineLevel="0" collapsed="false">
      <c r="A712" s="2" t="s">
        <v>1622</v>
      </c>
      <c r="B712" s="2" t="s">
        <v>46</v>
      </c>
      <c r="C712" s="13" t="s">
        <v>1623</v>
      </c>
      <c r="D712" s="35" t="n">
        <v>19216</v>
      </c>
      <c r="E712" s="2" t="s">
        <v>667</v>
      </c>
      <c r="F712" s="36" t="n">
        <v>3.77752914238135</v>
      </c>
      <c r="G712" s="31" t="n">
        <v>59.2</v>
      </c>
      <c r="H712" s="37" t="n">
        <v>0.13502658003544</v>
      </c>
      <c r="I712" s="31" t="n">
        <v>71.8</v>
      </c>
      <c r="J712" s="2" t="s">
        <v>2700</v>
      </c>
      <c r="K712" s="38" t="n">
        <v>0.0495430495430495</v>
      </c>
      <c r="L712" s="31" t="n">
        <v>13.2</v>
      </c>
      <c r="M712" s="39" t="s">
        <v>671</v>
      </c>
      <c r="N712" s="2" t="s">
        <v>19</v>
      </c>
      <c r="O712" s="2" t="s">
        <v>19</v>
      </c>
      <c r="P712" s="2" t="s">
        <v>19</v>
      </c>
      <c r="Q712" s="2" t="s">
        <v>19</v>
      </c>
    </row>
    <row r="713" customFormat="false" ht="15" hidden="false" customHeight="false" outlineLevel="0" collapsed="false">
      <c r="A713" s="2" t="s">
        <v>1622</v>
      </c>
      <c r="B713" s="2" t="s">
        <v>47</v>
      </c>
      <c r="C713" s="14" t="s">
        <v>2083</v>
      </c>
      <c r="D713" s="40" t="n">
        <v>23970</v>
      </c>
      <c r="E713" s="2" t="s">
        <v>667</v>
      </c>
      <c r="F713" s="41" t="n">
        <v>2.51051314142678</v>
      </c>
      <c r="G713" s="31" t="n">
        <v>82.9</v>
      </c>
      <c r="H713" s="42" t="n">
        <v>0.117482517482518</v>
      </c>
      <c r="I713" s="31" t="n">
        <v>63.8</v>
      </c>
      <c r="J713" s="2" t="s">
        <v>2697</v>
      </c>
      <c r="K713" s="43" t="n">
        <v>0.0328929630628202</v>
      </c>
      <c r="L713" s="31" t="n">
        <v>20.8</v>
      </c>
      <c r="M713" s="39" t="s">
        <v>671</v>
      </c>
      <c r="N713" s="2" t="s">
        <v>21</v>
      </c>
      <c r="O713" s="2" t="s">
        <v>21</v>
      </c>
      <c r="P713" s="2" t="s">
        <v>21</v>
      </c>
      <c r="Q713" s="2" t="s">
        <v>21</v>
      </c>
    </row>
    <row r="714" customFormat="false" ht="15" hidden="false" customHeight="false" outlineLevel="0" collapsed="false">
      <c r="A714" s="2" t="s">
        <v>448</v>
      </c>
      <c r="B714" s="2" t="s">
        <v>45</v>
      </c>
      <c r="C714" s="15" t="s">
        <v>902</v>
      </c>
      <c r="D714" s="44" t="n">
        <v>225775</v>
      </c>
      <c r="E714" s="2" t="s">
        <v>670</v>
      </c>
      <c r="F714" s="45" t="n">
        <v>0.865494408149707</v>
      </c>
      <c r="G714" s="31" t="n">
        <v>68.6</v>
      </c>
      <c r="H714" s="46" t="n">
        <v>0.118744766142579</v>
      </c>
      <c r="I714" s="31" t="n">
        <v>65.9</v>
      </c>
      <c r="J714" s="2" t="s">
        <v>2698</v>
      </c>
      <c r="K714" s="47" t="s">
        <v>680</v>
      </c>
      <c r="L714" s="31"/>
      <c r="M714" s="39" t="s">
        <v>671</v>
      </c>
      <c r="N714" s="2" t="s">
        <v>17</v>
      </c>
      <c r="O714" s="2" t="s">
        <v>17</v>
      </c>
      <c r="P714" s="2" t="s">
        <v>17</v>
      </c>
      <c r="Q714" s="2" t="s">
        <v>2866</v>
      </c>
    </row>
    <row r="715" customFormat="false" ht="15" hidden="false" customHeight="false" outlineLevel="0" collapsed="false">
      <c r="A715" s="2" t="s">
        <v>448</v>
      </c>
      <c r="B715" s="2" t="s">
        <v>46</v>
      </c>
      <c r="C715" s="13" t="s">
        <v>1889</v>
      </c>
      <c r="D715" s="35" t="n">
        <v>148314</v>
      </c>
      <c r="E715" s="2" t="s">
        <v>670</v>
      </c>
      <c r="F715" s="36" t="n">
        <v>1.46508084199738</v>
      </c>
      <c r="G715" s="31" t="n">
        <v>14</v>
      </c>
      <c r="H715" s="37" t="n">
        <v>0.0956598825397998</v>
      </c>
      <c r="I715" s="31" t="n">
        <v>62.9</v>
      </c>
      <c r="J715" s="2" t="s">
        <v>2705</v>
      </c>
      <c r="K715" s="38" t="n">
        <v>0.0757504024240129</v>
      </c>
      <c r="L715" s="31" t="n">
        <v>22.8</v>
      </c>
      <c r="M715" s="39" t="s">
        <v>671</v>
      </c>
      <c r="N715" s="2" t="s">
        <v>19</v>
      </c>
      <c r="O715" s="2" t="s">
        <v>19</v>
      </c>
      <c r="P715" s="2" t="s">
        <v>19</v>
      </c>
      <c r="Q715" s="2" t="s">
        <v>19</v>
      </c>
    </row>
    <row r="716" customFormat="false" ht="15" hidden="false" customHeight="false" outlineLevel="0" collapsed="false">
      <c r="A716" s="2" t="s">
        <v>352</v>
      </c>
      <c r="B716" s="2" t="s">
        <v>45</v>
      </c>
      <c r="C716" s="14" t="s">
        <v>1228</v>
      </c>
      <c r="D716" s="40" t="n">
        <v>163920</v>
      </c>
      <c r="E716" s="2" t="s">
        <v>670</v>
      </c>
      <c r="F716" s="41" t="n">
        <v>0.347309663250366</v>
      </c>
      <c r="G716" s="31" t="n">
        <v>24.1</v>
      </c>
      <c r="H716" s="42" t="n">
        <v>0.0925086643561717</v>
      </c>
      <c r="I716" s="31" t="n">
        <v>57.2</v>
      </c>
      <c r="J716" s="2" t="s">
        <v>2698</v>
      </c>
      <c r="K716" s="43" t="n">
        <v>0.123132735808792</v>
      </c>
      <c r="L716" s="31" t="n">
        <v>44.8</v>
      </c>
      <c r="M716" s="39" t="s">
        <v>671</v>
      </c>
      <c r="N716" s="2" t="s">
        <v>21</v>
      </c>
      <c r="O716" s="2" t="s">
        <v>21</v>
      </c>
      <c r="P716" s="2" t="s">
        <v>21</v>
      </c>
      <c r="Q716" s="2" t="s">
        <v>21</v>
      </c>
    </row>
    <row r="717" customFormat="false" ht="15" hidden="false" customHeight="false" outlineLevel="0" collapsed="false">
      <c r="A717" s="2" t="s">
        <v>352</v>
      </c>
      <c r="B717" s="2" t="s">
        <v>46</v>
      </c>
      <c r="C717" s="13" t="s">
        <v>1694</v>
      </c>
      <c r="D717" s="35" t="n">
        <v>208259</v>
      </c>
      <c r="E717" s="2" t="s">
        <v>670</v>
      </c>
      <c r="F717" s="36" t="n">
        <v>2.96988365448792</v>
      </c>
      <c r="G717" s="31" t="n">
        <v>47.1</v>
      </c>
      <c r="H717" s="37" t="n">
        <v>0.0828324528929745</v>
      </c>
      <c r="I717" s="31" t="n">
        <v>50.3</v>
      </c>
      <c r="J717" s="2" t="s">
        <v>2705</v>
      </c>
      <c r="K717" s="38" t="n">
        <v>0.162878232389891</v>
      </c>
      <c r="L717" s="31" t="n">
        <v>61.7</v>
      </c>
      <c r="M717" s="39" t="s">
        <v>671</v>
      </c>
      <c r="N717" s="2" t="s">
        <v>19</v>
      </c>
      <c r="O717" s="2" t="s">
        <v>19</v>
      </c>
      <c r="P717" s="2" t="s">
        <v>19</v>
      </c>
      <c r="Q717" s="2" t="s">
        <v>19</v>
      </c>
    </row>
    <row r="718" customFormat="false" ht="15" hidden="false" customHeight="false" outlineLevel="0" collapsed="false">
      <c r="A718" s="2" t="s">
        <v>352</v>
      </c>
      <c r="B718" s="2" t="s">
        <v>47</v>
      </c>
      <c r="C718" s="13" t="s">
        <v>2069</v>
      </c>
      <c r="D718" s="35" t="n">
        <v>820481</v>
      </c>
      <c r="E718" s="2" t="s">
        <v>670</v>
      </c>
      <c r="F718" s="36" t="n">
        <v>2.70532163450464</v>
      </c>
      <c r="G718" s="31" t="n">
        <v>85.4</v>
      </c>
      <c r="H718" s="37" t="n">
        <v>0.290123291785317</v>
      </c>
      <c r="I718" s="31" t="n">
        <v>97.6</v>
      </c>
      <c r="J718" s="2" t="s">
        <v>2701</v>
      </c>
      <c r="K718" s="38" t="n">
        <v>0.000272497384025113</v>
      </c>
      <c r="L718" s="31" t="n">
        <v>1.3</v>
      </c>
      <c r="M718" s="39" t="s">
        <v>671</v>
      </c>
      <c r="N718" s="2" t="s">
        <v>19</v>
      </c>
      <c r="O718" s="2" t="s">
        <v>19</v>
      </c>
      <c r="P718" s="2" t="s">
        <v>19</v>
      </c>
      <c r="Q718" s="2" t="s">
        <v>19</v>
      </c>
    </row>
    <row r="719" customFormat="false" ht="15" hidden="false" customHeight="false" outlineLevel="0" collapsed="false">
      <c r="A719" s="2" t="s">
        <v>2663</v>
      </c>
      <c r="B719" s="2" t="s">
        <v>46</v>
      </c>
      <c r="C719" s="14" t="s">
        <v>2876</v>
      </c>
      <c r="D719" s="40" t="n">
        <v>433350</v>
      </c>
      <c r="E719" s="2" t="s">
        <v>670</v>
      </c>
      <c r="F719" s="41" t="n">
        <v>2.41919003115265</v>
      </c>
      <c r="G719" s="31" t="n">
        <v>36.4</v>
      </c>
      <c r="H719" s="42" t="n">
        <v>0.0486388384754991</v>
      </c>
      <c r="I719" s="31" t="n">
        <v>29.8</v>
      </c>
      <c r="J719" s="2" t="s">
        <v>2705</v>
      </c>
      <c r="K719" s="33"/>
      <c r="L719" s="31"/>
      <c r="M719" s="34" t="s">
        <v>668</v>
      </c>
      <c r="N719" s="2" t="s">
        <v>21</v>
      </c>
      <c r="O719" s="2" t="s">
        <v>21</v>
      </c>
      <c r="P719" s="2" t="s">
        <v>21</v>
      </c>
      <c r="Q719" s="2"/>
    </row>
    <row r="720" customFormat="false" ht="15" hidden="false" customHeight="false" outlineLevel="0" collapsed="false">
      <c r="A720" s="2" t="s">
        <v>2663</v>
      </c>
      <c r="B720" s="2" t="s">
        <v>47</v>
      </c>
      <c r="C720" s="13" t="s">
        <v>2664</v>
      </c>
      <c r="D720" s="35" t="n">
        <v>48113</v>
      </c>
      <c r="E720" s="2" t="s">
        <v>667</v>
      </c>
      <c r="F720" s="36" t="n">
        <v>0.259805042296261</v>
      </c>
      <c r="G720" s="31" t="n">
        <v>3.2</v>
      </c>
      <c r="H720" s="37" t="n">
        <v>0.0542080238392603</v>
      </c>
      <c r="I720" s="31" t="n">
        <v>32.3</v>
      </c>
      <c r="J720" s="2" t="s">
        <v>2697</v>
      </c>
      <c r="K720" s="38" t="n">
        <v>0.310606060606061</v>
      </c>
      <c r="L720" s="31" t="n">
        <v>96.6</v>
      </c>
      <c r="M720" s="39" t="s">
        <v>671</v>
      </c>
      <c r="N720" s="2" t="s">
        <v>19</v>
      </c>
      <c r="O720" s="2" t="s">
        <v>19</v>
      </c>
      <c r="P720" s="2" t="s">
        <v>19</v>
      </c>
      <c r="Q720" s="2" t="s">
        <v>19</v>
      </c>
    </row>
    <row r="721" customFormat="false" ht="15" hidden="false" customHeight="false" outlineLevel="0" collapsed="false">
      <c r="A721" s="2" t="s">
        <v>2877</v>
      </c>
      <c r="B721" s="2" t="s">
        <v>45</v>
      </c>
      <c r="C721" s="16"/>
      <c r="D721" s="29"/>
      <c r="E721" s="2"/>
      <c r="F721" s="30"/>
      <c r="G721" s="31"/>
      <c r="H721" s="32"/>
      <c r="I721" s="31"/>
      <c r="J721" s="2"/>
      <c r="K721" s="33"/>
      <c r="L721" s="31"/>
      <c r="M721" s="34" t="s">
        <v>668</v>
      </c>
      <c r="N721" s="2"/>
      <c r="O721" s="2"/>
      <c r="P721" s="2"/>
      <c r="Q721" s="2"/>
    </row>
    <row r="722" customFormat="false" ht="15" hidden="false" customHeight="false" outlineLevel="0" collapsed="false">
      <c r="A722" s="2" t="s">
        <v>2877</v>
      </c>
      <c r="B722" s="2" t="s">
        <v>46</v>
      </c>
      <c r="C722" s="16"/>
      <c r="D722" s="29"/>
      <c r="E722" s="2"/>
      <c r="F722" s="30"/>
      <c r="G722" s="31"/>
      <c r="H722" s="32"/>
      <c r="I722" s="31"/>
      <c r="J722" s="2"/>
      <c r="K722" s="33"/>
      <c r="L722" s="31"/>
      <c r="M722" s="34" t="s">
        <v>668</v>
      </c>
      <c r="N722" s="2"/>
      <c r="O722" s="2"/>
      <c r="P722" s="2"/>
      <c r="Q722" s="2"/>
    </row>
    <row r="723" customFormat="false" ht="15" hidden="false" customHeight="false" outlineLevel="0" collapsed="false">
      <c r="A723" s="2" t="s">
        <v>2571</v>
      </c>
      <c r="B723" s="2" t="s">
        <v>45</v>
      </c>
      <c r="C723" s="16"/>
      <c r="D723" s="29"/>
      <c r="E723" s="2"/>
      <c r="F723" s="30"/>
      <c r="G723" s="31"/>
      <c r="H723" s="32"/>
      <c r="I723" s="31"/>
      <c r="J723" s="2"/>
      <c r="K723" s="33"/>
      <c r="L723" s="31"/>
      <c r="M723" s="34" t="s">
        <v>668</v>
      </c>
      <c r="N723" s="2"/>
      <c r="O723" s="2"/>
      <c r="P723" s="2"/>
      <c r="Q723" s="2"/>
    </row>
    <row r="724" customFormat="false" ht="15" hidden="false" customHeight="false" outlineLevel="0" collapsed="false">
      <c r="A724" s="2" t="s">
        <v>2571</v>
      </c>
      <c r="B724" s="2" t="s">
        <v>46</v>
      </c>
      <c r="C724" s="16"/>
      <c r="D724" s="29"/>
      <c r="E724" s="2"/>
      <c r="F724" s="30"/>
      <c r="G724" s="31"/>
      <c r="H724" s="32"/>
      <c r="I724" s="31"/>
      <c r="J724" s="2"/>
      <c r="K724" s="33"/>
      <c r="L724" s="31"/>
      <c r="M724" s="34" t="s">
        <v>668</v>
      </c>
      <c r="N724" s="2"/>
      <c r="O724" s="2"/>
      <c r="P724" s="2"/>
      <c r="Q724" s="2"/>
    </row>
    <row r="725" customFormat="false" ht="15" hidden="false" customHeight="false" outlineLevel="0" collapsed="false">
      <c r="A725" s="2" t="s">
        <v>2571</v>
      </c>
      <c r="B725" s="2" t="s">
        <v>47</v>
      </c>
      <c r="C725" s="13" t="s">
        <v>2572</v>
      </c>
      <c r="D725" s="35" t="n">
        <v>67549</v>
      </c>
      <c r="E725" s="2" t="s">
        <v>667</v>
      </c>
      <c r="F725" s="36" t="n">
        <v>0.601533701461162</v>
      </c>
      <c r="G725" s="31" t="n">
        <v>16.5</v>
      </c>
      <c r="H725" s="37" t="n">
        <v>0.087640485621357</v>
      </c>
      <c r="I725" s="31" t="n">
        <v>49.3</v>
      </c>
      <c r="J725" s="2" t="s">
        <v>2697</v>
      </c>
      <c r="K725" s="38" t="n">
        <v>0.0049730625777041</v>
      </c>
      <c r="L725" s="31" t="n">
        <v>5</v>
      </c>
      <c r="M725" s="39" t="s">
        <v>671</v>
      </c>
      <c r="N725" s="2" t="s">
        <v>19</v>
      </c>
      <c r="O725" s="2" t="s">
        <v>19</v>
      </c>
      <c r="P725" s="2" t="s">
        <v>19</v>
      </c>
      <c r="Q725" s="2" t="s">
        <v>19</v>
      </c>
    </row>
    <row r="726" customFormat="false" ht="15" hidden="false" customHeight="false" outlineLevel="0" collapsed="false">
      <c r="A726" s="2" t="s">
        <v>266</v>
      </c>
      <c r="B726" s="2" t="s">
        <v>45</v>
      </c>
      <c r="C726" s="13" t="s">
        <v>1193</v>
      </c>
      <c r="D726" s="35" t="n">
        <v>24216</v>
      </c>
      <c r="E726" s="2" t="s">
        <v>667</v>
      </c>
      <c r="F726" s="36" t="n">
        <v>0.401635282457879</v>
      </c>
      <c r="G726" s="31" t="n">
        <v>29.5</v>
      </c>
      <c r="H726" s="37" t="n">
        <v>0.138611999247696</v>
      </c>
      <c r="I726" s="31" t="n">
        <v>73</v>
      </c>
      <c r="J726" s="2" t="s">
        <v>2704</v>
      </c>
      <c r="K726" s="38" t="n">
        <v>0.107266435986159</v>
      </c>
      <c r="L726" s="31" t="n">
        <v>38.7</v>
      </c>
      <c r="M726" s="39" t="s">
        <v>671</v>
      </c>
      <c r="N726" s="2" t="s">
        <v>19</v>
      </c>
      <c r="O726" s="2" t="s">
        <v>19</v>
      </c>
      <c r="P726" s="2" t="s">
        <v>19</v>
      </c>
      <c r="Q726" s="2" t="s">
        <v>19</v>
      </c>
    </row>
    <row r="727" customFormat="false" ht="15" hidden="false" customHeight="false" outlineLevel="0" collapsed="false">
      <c r="A727" s="2" t="s">
        <v>266</v>
      </c>
      <c r="B727" s="2" t="s">
        <v>46</v>
      </c>
      <c r="C727" s="13" t="s">
        <v>1405</v>
      </c>
      <c r="D727" s="35" t="n">
        <v>22502</v>
      </c>
      <c r="E727" s="2" t="s">
        <v>667</v>
      </c>
      <c r="F727" s="36" t="n">
        <v>9.80761710070216</v>
      </c>
      <c r="G727" s="31" t="n">
        <v>95.8</v>
      </c>
      <c r="H727" s="37" t="n">
        <v>0.186939550585505</v>
      </c>
      <c r="I727" s="31" t="n">
        <v>91.3</v>
      </c>
      <c r="J727" s="2" t="s">
        <v>2700</v>
      </c>
      <c r="K727" s="38" t="n">
        <v>0.431929376728356</v>
      </c>
      <c r="L727" s="31" t="n">
        <v>98.7</v>
      </c>
      <c r="M727" s="39" t="s">
        <v>671</v>
      </c>
      <c r="N727" s="2" t="s">
        <v>19</v>
      </c>
      <c r="O727" s="2" t="s">
        <v>19</v>
      </c>
      <c r="P727" s="2" t="s">
        <v>19</v>
      </c>
      <c r="Q727" s="2" t="s">
        <v>19</v>
      </c>
    </row>
    <row r="728" customFormat="false" ht="15" hidden="false" customHeight="false" outlineLevel="0" collapsed="false">
      <c r="A728" s="2" t="s">
        <v>1466</v>
      </c>
      <c r="B728" s="2" t="s">
        <v>45</v>
      </c>
      <c r="C728" s="14" t="s">
        <v>2878</v>
      </c>
      <c r="D728" s="40" t="n">
        <v>442170</v>
      </c>
      <c r="E728" s="2" t="s">
        <v>670</v>
      </c>
      <c r="F728" s="41" t="n">
        <v>1.16552004884999</v>
      </c>
      <c r="G728" s="31" t="n">
        <v>81.2</v>
      </c>
      <c r="H728" s="42" t="n">
        <v>-0.0758088788562829</v>
      </c>
      <c r="I728" s="31" t="n">
        <v>4.3</v>
      </c>
      <c r="J728" s="2" t="s">
        <v>2698</v>
      </c>
      <c r="K728" s="33"/>
      <c r="L728" s="31"/>
      <c r="M728" s="34" t="s">
        <v>668</v>
      </c>
      <c r="N728" s="2" t="s">
        <v>21</v>
      </c>
      <c r="O728" s="2" t="s">
        <v>21</v>
      </c>
      <c r="P728" s="2" t="s">
        <v>21</v>
      </c>
      <c r="Q728" s="2"/>
    </row>
    <row r="729" customFormat="false" ht="15" hidden="false" customHeight="false" outlineLevel="0" collapsed="false">
      <c r="A729" s="2" t="s">
        <v>1466</v>
      </c>
      <c r="B729" s="2" t="s">
        <v>46</v>
      </c>
      <c r="C729" s="14" t="s">
        <v>1467</v>
      </c>
      <c r="D729" s="40" t="n">
        <v>2142140</v>
      </c>
      <c r="E729" s="2" t="s">
        <v>752</v>
      </c>
      <c r="F729" s="41" t="n">
        <v>6.90202554454891</v>
      </c>
      <c r="G729" s="31" t="n">
        <v>86.5</v>
      </c>
      <c r="H729" s="42" t="n">
        <v>0.0240898768973348</v>
      </c>
      <c r="I729" s="31" t="n">
        <v>25</v>
      </c>
      <c r="J729" s="2" t="s">
        <v>2751</v>
      </c>
      <c r="K729" s="43" t="n">
        <v>0.113377588311797</v>
      </c>
      <c r="L729" s="31" t="n">
        <v>37.8</v>
      </c>
      <c r="M729" s="39" t="s">
        <v>671</v>
      </c>
      <c r="N729" s="2" t="s">
        <v>21</v>
      </c>
      <c r="O729" s="2" t="s">
        <v>21</v>
      </c>
      <c r="P729" s="2" t="s">
        <v>21</v>
      </c>
      <c r="Q729" s="2" t="s">
        <v>21</v>
      </c>
    </row>
    <row r="730" customFormat="false" ht="15" hidden="false" customHeight="false" outlineLevel="0" collapsed="false">
      <c r="A730" s="2" t="s">
        <v>1466</v>
      </c>
      <c r="B730" s="2" t="s">
        <v>47</v>
      </c>
      <c r="C730" s="16"/>
      <c r="D730" s="29"/>
      <c r="E730" s="2"/>
      <c r="F730" s="30"/>
      <c r="G730" s="31"/>
      <c r="H730" s="32"/>
      <c r="I730" s="31"/>
      <c r="J730" s="2"/>
      <c r="K730" s="33"/>
      <c r="L730" s="31"/>
      <c r="M730" s="34" t="s">
        <v>668</v>
      </c>
      <c r="N730" s="2"/>
      <c r="O730" s="2"/>
      <c r="P730" s="2"/>
      <c r="Q730" s="2"/>
    </row>
    <row r="731" customFormat="false" ht="15" hidden="false" customHeight="false" outlineLevel="0" collapsed="false">
      <c r="A731" s="2" t="s">
        <v>580</v>
      </c>
      <c r="B731" s="2" t="s">
        <v>45</v>
      </c>
      <c r="C731" s="13" t="s">
        <v>1232</v>
      </c>
      <c r="D731" s="35" t="n">
        <v>156604</v>
      </c>
      <c r="E731" s="2" t="s">
        <v>670</v>
      </c>
      <c r="F731" s="36" t="n">
        <v>0.342117698143087</v>
      </c>
      <c r="G731" s="31" t="n">
        <v>23.7</v>
      </c>
      <c r="H731" s="37" t="n">
        <v>0.198304358472086</v>
      </c>
      <c r="I731" s="31" t="n">
        <v>92.8</v>
      </c>
      <c r="J731" s="2" t="s">
        <v>2698</v>
      </c>
      <c r="K731" s="38" t="n">
        <v>0.13903743315508</v>
      </c>
      <c r="L731" s="31" t="n">
        <v>51.7</v>
      </c>
      <c r="M731" s="39" t="s">
        <v>671</v>
      </c>
      <c r="N731" s="2" t="s">
        <v>19</v>
      </c>
      <c r="O731" s="2" t="s">
        <v>19</v>
      </c>
      <c r="P731" s="2" t="s">
        <v>19</v>
      </c>
      <c r="Q731" s="2" t="s">
        <v>19</v>
      </c>
    </row>
    <row r="732" customFormat="false" ht="15" hidden="false" customHeight="false" outlineLevel="0" collapsed="false">
      <c r="A732" s="2" t="s">
        <v>1825</v>
      </c>
      <c r="B732" s="2" t="s">
        <v>45</v>
      </c>
      <c r="C732" s="14" t="s">
        <v>2879</v>
      </c>
      <c r="D732" s="40" t="n">
        <v>86450</v>
      </c>
      <c r="E732" s="2" t="s">
        <v>667</v>
      </c>
      <c r="F732" s="41" t="n">
        <v>1.37912087912088</v>
      </c>
      <c r="G732" s="31" t="n">
        <v>86.8</v>
      </c>
      <c r="H732" s="42" t="n">
        <v>0.160558464223386</v>
      </c>
      <c r="I732" s="31" t="n">
        <v>81.7</v>
      </c>
      <c r="J732" s="2" t="s">
        <v>2704</v>
      </c>
      <c r="K732" s="33"/>
      <c r="L732" s="31"/>
      <c r="M732" s="34" t="s">
        <v>668</v>
      </c>
      <c r="N732" s="2" t="s">
        <v>21</v>
      </c>
      <c r="O732" s="2" t="s">
        <v>21</v>
      </c>
      <c r="P732" s="2" t="s">
        <v>21</v>
      </c>
      <c r="Q732" s="2"/>
    </row>
    <row r="733" customFormat="false" ht="15" hidden="false" customHeight="false" outlineLevel="0" collapsed="false">
      <c r="A733" s="2" t="s">
        <v>1825</v>
      </c>
      <c r="B733" s="2" t="s">
        <v>46</v>
      </c>
      <c r="C733" s="14" t="s">
        <v>1826</v>
      </c>
      <c r="D733" s="40" t="n">
        <v>132680</v>
      </c>
      <c r="E733" s="2" t="s">
        <v>670</v>
      </c>
      <c r="F733" s="41" t="n">
        <v>1.92489448296654</v>
      </c>
      <c r="G733" s="31" t="n">
        <v>24.7</v>
      </c>
      <c r="H733" s="42" t="n">
        <v>0.113087248322148</v>
      </c>
      <c r="I733" s="31" t="n">
        <v>66.9</v>
      </c>
      <c r="J733" s="2" t="s">
        <v>2705</v>
      </c>
      <c r="K733" s="43" t="n">
        <v>0.00342911197824288</v>
      </c>
      <c r="L733" s="31" t="n">
        <v>0.5</v>
      </c>
      <c r="M733" s="39" t="s">
        <v>671</v>
      </c>
      <c r="N733" s="2" t="s">
        <v>21</v>
      </c>
      <c r="O733" s="2" t="s">
        <v>21</v>
      </c>
      <c r="P733" s="2" t="s">
        <v>21</v>
      </c>
      <c r="Q733" s="2" t="s">
        <v>21</v>
      </c>
    </row>
    <row r="734" customFormat="false" ht="15" hidden="false" customHeight="false" outlineLevel="0" collapsed="false">
      <c r="A734" s="2" t="s">
        <v>1825</v>
      </c>
      <c r="B734" s="2" t="s">
        <v>47</v>
      </c>
      <c r="C734" s="13" t="s">
        <v>2880</v>
      </c>
      <c r="D734" s="35" t="n">
        <v>61488</v>
      </c>
      <c r="E734" s="2" t="s">
        <v>667</v>
      </c>
      <c r="F734" s="30"/>
      <c r="G734" s="31"/>
      <c r="H734" s="37" t="n">
        <v>0.172651854677219</v>
      </c>
      <c r="I734" s="31" t="n">
        <v>88.3</v>
      </c>
      <c r="J734" s="2" t="s">
        <v>2697</v>
      </c>
      <c r="K734" s="38" t="n">
        <v>0.0988451086956522</v>
      </c>
      <c r="L734" s="31" t="n">
        <v>53.9</v>
      </c>
      <c r="M734" s="34" t="s">
        <v>668</v>
      </c>
      <c r="N734" s="2" t="s">
        <v>19</v>
      </c>
      <c r="O734" s="2"/>
      <c r="P734" s="2" t="s">
        <v>19</v>
      </c>
      <c r="Q734" s="2" t="s">
        <v>19</v>
      </c>
    </row>
    <row r="735" customFormat="false" ht="15" hidden="false" customHeight="false" outlineLevel="0" collapsed="false">
      <c r="A735" s="2" t="s">
        <v>918</v>
      </c>
      <c r="B735" s="2" t="s">
        <v>45</v>
      </c>
      <c r="C735" s="14" t="s">
        <v>919</v>
      </c>
      <c r="D735" s="40" t="n">
        <v>43420</v>
      </c>
      <c r="E735" s="2" t="s">
        <v>667</v>
      </c>
      <c r="F735" s="41" t="n">
        <v>0.839797328420083</v>
      </c>
      <c r="G735" s="31" t="n">
        <v>66.9</v>
      </c>
      <c r="H735" s="42" t="n">
        <v>0.010002326122354</v>
      </c>
      <c r="I735" s="31" t="n">
        <v>10.7</v>
      </c>
      <c r="J735" s="2" t="s">
        <v>2704</v>
      </c>
      <c r="K735" s="43" t="n">
        <v>0.0765907305577376</v>
      </c>
      <c r="L735" s="31" t="n">
        <v>24.3</v>
      </c>
      <c r="M735" s="39" t="s">
        <v>671</v>
      </c>
      <c r="N735" s="2" t="s">
        <v>21</v>
      </c>
      <c r="O735" s="2" t="s">
        <v>21</v>
      </c>
      <c r="P735" s="2" t="s">
        <v>21</v>
      </c>
      <c r="Q735" s="2" t="s">
        <v>21</v>
      </c>
    </row>
    <row r="736" customFormat="false" ht="15" hidden="false" customHeight="false" outlineLevel="0" collapsed="false">
      <c r="A736" s="2" t="s">
        <v>918</v>
      </c>
      <c r="B736" s="2" t="s">
        <v>46</v>
      </c>
      <c r="C736" s="14" t="s">
        <v>1690</v>
      </c>
      <c r="D736" s="40" t="n">
        <v>152950</v>
      </c>
      <c r="E736" s="2" t="s">
        <v>670</v>
      </c>
      <c r="F736" s="41" t="n">
        <v>3.03332461588755</v>
      </c>
      <c r="G736" s="31" t="n">
        <v>47.8</v>
      </c>
      <c r="H736" s="42" t="n">
        <v>0.118627952899876</v>
      </c>
      <c r="I736" s="31" t="n">
        <v>70.9</v>
      </c>
      <c r="J736" s="2" t="s">
        <v>2705</v>
      </c>
      <c r="K736" s="43" t="n">
        <v>0.194423866927066</v>
      </c>
      <c r="L736" s="31" t="n">
        <v>69.9</v>
      </c>
      <c r="M736" s="39" t="s">
        <v>671</v>
      </c>
      <c r="N736" s="2" t="s">
        <v>21</v>
      </c>
      <c r="O736" s="2" t="s">
        <v>21</v>
      </c>
      <c r="P736" s="2" t="s">
        <v>21</v>
      </c>
      <c r="Q736" s="2" t="s">
        <v>21</v>
      </c>
    </row>
    <row r="737" customFormat="false" ht="15" hidden="false" customHeight="false" outlineLevel="0" collapsed="false">
      <c r="A737" s="2" t="s">
        <v>918</v>
      </c>
      <c r="B737" s="2" t="s">
        <v>47</v>
      </c>
      <c r="C737" s="16"/>
      <c r="D737" s="29"/>
      <c r="E737" s="2"/>
      <c r="F737" s="30"/>
      <c r="G737" s="31"/>
      <c r="H737" s="32"/>
      <c r="I737" s="31"/>
      <c r="J737" s="2"/>
      <c r="K737" s="33"/>
      <c r="L737" s="31"/>
      <c r="M737" s="34" t="s">
        <v>668</v>
      </c>
      <c r="N737" s="2"/>
      <c r="O737" s="2"/>
      <c r="P737" s="2"/>
      <c r="Q737" s="2"/>
    </row>
    <row r="738" customFormat="false" ht="15" hidden="false" customHeight="false" outlineLevel="0" collapsed="false">
      <c r="A738" s="2" t="s">
        <v>470</v>
      </c>
      <c r="B738" s="2" t="s">
        <v>45</v>
      </c>
      <c r="C738" s="13" t="s">
        <v>1372</v>
      </c>
      <c r="D738" s="35" t="n">
        <v>34380</v>
      </c>
      <c r="E738" s="2" t="s">
        <v>667</v>
      </c>
      <c r="F738" s="36" t="n">
        <v>0.0597731239092496</v>
      </c>
      <c r="G738" s="31" t="n">
        <v>0.4</v>
      </c>
      <c r="H738" s="37" t="n">
        <v>0.23611260921152</v>
      </c>
      <c r="I738" s="31" t="n">
        <v>96.4</v>
      </c>
      <c r="J738" s="2" t="s">
        <v>2704</v>
      </c>
      <c r="K738" s="38" t="n">
        <v>0.109756097560976</v>
      </c>
      <c r="L738" s="31" t="n">
        <v>39.8</v>
      </c>
      <c r="M738" s="39" t="s">
        <v>671</v>
      </c>
      <c r="N738" s="2" t="s">
        <v>19</v>
      </c>
      <c r="O738" s="2" t="s">
        <v>19</v>
      </c>
      <c r="P738" s="2" t="s">
        <v>19</v>
      </c>
      <c r="Q738" s="2" t="s">
        <v>19</v>
      </c>
    </row>
    <row r="739" customFormat="false" ht="15" hidden="false" customHeight="false" outlineLevel="0" collapsed="false">
      <c r="A739" s="2" t="s">
        <v>470</v>
      </c>
      <c r="B739" s="2" t="s">
        <v>46</v>
      </c>
      <c r="C739" s="13" t="s">
        <v>1719</v>
      </c>
      <c r="D739" s="35" t="n">
        <v>58298</v>
      </c>
      <c r="E739" s="2" t="s">
        <v>667</v>
      </c>
      <c r="F739" s="36" t="n">
        <v>2.72455315791279</v>
      </c>
      <c r="G739" s="31" t="n">
        <v>42.7</v>
      </c>
      <c r="H739" s="37" t="n">
        <v>0.104756490430169</v>
      </c>
      <c r="I739" s="31" t="n">
        <v>57.3</v>
      </c>
      <c r="J739" s="2" t="s">
        <v>2700</v>
      </c>
      <c r="K739" s="38" t="n">
        <v>0.0609717370593839</v>
      </c>
      <c r="L739" s="31" t="n">
        <v>18.1</v>
      </c>
      <c r="M739" s="39" t="s">
        <v>671</v>
      </c>
      <c r="N739" s="2" t="s">
        <v>19</v>
      </c>
      <c r="O739" s="2" t="s">
        <v>19</v>
      </c>
      <c r="P739" s="2" t="s">
        <v>19</v>
      </c>
      <c r="Q739" s="2" t="s">
        <v>19</v>
      </c>
    </row>
    <row r="740" customFormat="false" ht="15" hidden="false" customHeight="false" outlineLevel="0" collapsed="false">
      <c r="A740" s="2" t="s">
        <v>470</v>
      </c>
      <c r="B740" s="2" t="s">
        <v>47</v>
      </c>
      <c r="C740" s="13" t="s">
        <v>2141</v>
      </c>
      <c r="D740" s="35" t="n">
        <v>476009</v>
      </c>
      <c r="E740" s="2" t="s">
        <v>670</v>
      </c>
      <c r="F740" s="36" t="n">
        <v>1.98682167774139</v>
      </c>
      <c r="G740" s="31" t="n">
        <v>73.8</v>
      </c>
      <c r="H740" s="37" t="n">
        <v>-0.118314085407077</v>
      </c>
      <c r="I740" s="31" t="n">
        <v>2.4</v>
      </c>
      <c r="J740" s="2" t="s">
        <v>2701</v>
      </c>
      <c r="K740" s="38" t="n">
        <v>0.0678737067427756</v>
      </c>
      <c r="L740" s="31" t="n">
        <v>38.7</v>
      </c>
      <c r="M740" s="39" t="s">
        <v>671</v>
      </c>
      <c r="N740" s="2" t="s">
        <v>19</v>
      </c>
      <c r="O740" s="2" t="s">
        <v>19</v>
      </c>
      <c r="P740" s="2" t="s">
        <v>19</v>
      </c>
      <c r="Q740" s="2" t="s">
        <v>19</v>
      </c>
    </row>
    <row r="741" customFormat="false" ht="15" hidden="false" customHeight="false" outlineLevel="0" collapsed="false">
      <c r="A741" s="2" t="s">
        <v>2239</v>
      </c>
      <c r="B741" s="2" t="s">
        <v>45</v>
      </c>
      <c r="C741" s="16"/>
      <c r="D741" s="29"/>
      <c r="E741" s="2"/>
      <c r="F741" s="30"/>
      <c r="G741" s="31"/>
      <c r="H741" s="32"/>
      <c r="I741" s="31"/>
      <c r="J741" s="2"/>
      <c r="K741" s="33"/>
      <c r="L741" s="31"/>
      <c r="M741" s="34" t="s">
        <v>668</v>
      </c>
      <c r="N741" s="2"/>
      <c r="O741" s="2"/>
      <c r="P741" s="2"/>
      <c r="Q741" s="2"/>
    </row>
    <row r="742" customFormat="false" ht="15" hidden="false" customHeight="false" outlineLevel="0" collapsed="false">
      <c r="A742" s="2" t="s">
        <v>2239</v>
      </c>
      <c r="B742" s="2" t="s">
        <v>46</v>
      </c>
      <c r="C742" s="15" t="s">
        <v>2881</v>
      </c>
      <c r="D742" s="44" t="n">
        <v>19994</v>
      </c>
      <c r="E742" s="2" t="s">
        <v>667</v>
      </c>
      <c r="F742" s="45" t="n">
        <v>6.8593578073422</v>
      </c>
      <c r="G742" s="31" t="n">
        <v>85.6</v>
      </c>
      <c r="H742" s="46" t="n">
        <v>0.0353684428564031</v>
      </c>
      <c r="I742" s="31" t="n">
        <v>23.2</v>
      </c>
      <c r="J742" s="2" t="s">
        <v>2700</v>
      </c>
      <c r="K742" s="33"/>
      <c r="L742" s="31"/>
      <c r="M742" s="34" t="s">
        <v>668</v>
      </c>
      <c r="N742" s="2" t="s">
        <v>17</v>
      </c>
      <c r="O742" s="2" t="s">
        <v>17</v>
      </c>
      <c r="P742" s="2" t="s">
        <v>17</v>
      </c>
      <c r="Q742" s="2"/>
    </row>
    <row r="743" customFormat="false" ht="15" hidden="false" customHeight="false" outlineLevel="0" collapsed="false">
      <c r="A743" s="2" t="s">
        <v>2239</v>
      </c>
      <c r="B743" s="2" t="s">
        <v>47</v>
      </c>
      <c r="C743" s="13" t="s">
        <v>2240</v>
      </c>
      <c r="D743" s="35" t="n">
        <v>798</v>
      </c>
      <c r="E743" s="2" t="s">
        <v>678</v>
      </c>
      <c r="F743" s="36" t="n">
        <v>1.53258145363409</v>
      </c>
      <c r="G743" s="31" t="n">
        <v>60.3</v>
      </c>
      <c r="H743" s="37" t="n">
        <v>0.161572052401747</v>
      </c>
      <c r="I743" s="31" t="n">
        <v>81.3</v>
      </c>
      <c r="J743" s="2" t="s">
        <v>2706</v>
      </c>
      <c r="K743" s="38" t="n">
        <v>0.166666666666667</v>
      </c>
      <c r="L743" s="31" t="n">
        <v>75.8</v>
      </c>
      <c r="M743" s="39" t="s">
        <v>671</v>
      </c>
      <c r="N743" s="2" t="s">
        <v>19</v>
      </c>
      <c r="O743" s="2" t="s">
        <v>19</v>
      </c>
      <c r="P743" s="2" t="s">
        <v>19</v>
      </c>
      <c r="Q743" s="2" t="s">
        <v>19</v>
      </c>
    </row>
    <row r="744" customFormat="false" ht="15" hidden="false" customHeight="false" outlineLevel="0" collapsed="false">
      <c r="A744" s="2" t="s">
        <v>2161</v>
      </c>
      <c r="B744" s="2" t="s">
        <v>45</v>
      </c>
      <c r="C744" s="16"/>
      <c r="D744" s="29"/>
      <c r="E744" s="2"/>
      <c r="F744" s="30"/>
      <c r="G744" s="31"/>
      <c r="H744" s="32"/>
      <c r="I744" s="31"/>
      <c r="J744" s="2"/>
      <c r="K744" s="33"/>
      <c r="L744" s="31"/>
      <c r="M744" s="34" t="s">
        <v>668</v>
      </c>
      <c r="N744" s="2"/>
      <c r="O744" s="2"/>
      <c r="P744" s="2"/>
      <c r="Q744" s="2"/>
    </row>
    <row r="745" customFormat="false" ht="15" hidden="false" customHeight="false" outlineLevel="0" collapsed="false">
      <c r="A745" s="2" t="s">
        <v>2161</v>
      </c>
      <c r="B745" s="2" t="s">
        <v>46</v>
      </c>
      <c r="C745" s="14" t="s">
        <v>2882</v>
      </c>
      <c r="D745" s="40" t="n">
        <v>90030</v>
      </c>
      <c r="E745" s="2" t="s">
        <v>667</v>
      </c>
      <c r="F745" s="30"/>
      <c r="G745" s="31"/>
      <c r="H745" s="42" t="n">
        <v>0.0445527323355378</v>
      </c>
      <c r="I745" s="31" t="n">
        <v>25.7</v>
      </c>
      <c r="J745" s="2" t="s">
        <v>2700</v>
      </c>
      <c r="K745" s="33"/>
      <c r="L745" s="31"/>
      <c r="M745" s="34" t="s">
        <v>668</v>
      </c>
      <c r="N745" s="2" t="s">
        <v>21</v>
      </c>
      <c r="O745" s="2"/>
      <c r="P745" s="2" t="s">
        <v>21</v>
      </c>
      <c r="Q745" s="2"/>
    </row>
    <row r="746" customFormat="false" ht="15" hidden="false" customHeight="false" outlineLevel="0" collapsed="false">
      <c r="A746" s="2" t="s">
        <v>2161</v>
      </c>
      <c r="B746" s="2" t="s">
        <v>47</v>
      </c>
      <c r="C746" s="13" t="s">
        <v>2162</v>
      </c>
      <c r="D746" s="35" t="n">
        <v>27314</v>
      </c>
      <c r="E746" s="2" t="s">
        <v>667</v>
      </c>
      <c r="F746" s="36" t="n">
        <v>1.90243098777184</v>
      </c>
      <c r="G746" s="31" t="n">
        <v>70.3</v>
      </c>
      <c r="H746" s="37" t="n">
        <v>0.0351701659971197</v>
      </c>
      <c r="I746" s="31" t="n">
        <v>23.4</v>
      </c>
      <c r="J746" s="2" t="s">
        <v>2697</v>
      </c>
      <c r="K746" s="38" t="n">
        <v>0.193150684931507</v>
      </c>
      <c r="L746" s="31" t="n">
        <v>81.3</v>
      </c>
      <c r="M746" s="39" t="s">
        <v>671</v>
      </c>
      <c r="N746" s="2" t="s">
        <v>19</v>
      </c>
      <c r="O746" s="2" t="s">
        <v>19</v>
      </c>
      <c r="P746" s="2" t="s">
        <v>19</v>
      </c>
      <c r="Q746" s="2" t="s">
        <v>19</v>
      </c>
    </row>
    <row r="747" customFormat="false" ht="15" hidden="false" customHeight="false" outlineLevel="0" collapsed="false">
      <c r="A747" s="2" t="s">
        <v>1126</v>
      </c>
      <c r="B747" s="2" t="s">
        <v>45</v>
      </c>
      <c r="C747" s="14" t="s">
        <v>1127</v>
      </c>
      <c r="D747" s="40" t="n">
        <v>12600</v>
      </c>
      <c r="E747" s="2" t="s">
        <v>667</v>
      </c>
      <c r="F747" s="41" t="n">
        <v>0.482936507936508</v>
      </c>
      <c r="G747" s="31" t="n">
        <v>38.9</v>
      </c>
      <c r="H747" s="42" t="n">
        <v>0.0956521739130435</v>
      </c>
      <c r="I747" s="31" t="n">
        <v>53.2</v>
      </c>
      <c r="J747" s="2" t="s">
        <v>2704</v>
      </c>
      <c r="K747" s="43" t="n">
        <v>0.0113207547169811</v>
      </c>
      <c r="L747" s="31" t="n">
        <v>2.8</v>
      </c>
      <c r="M747" s="39" t="s">
        <v>671</v>
      </c>
      <c r="N747" s="2" t="s">
        <v>21</v>
      </c>
      <c r="O747" s="2" t="s">
        <v>21</v>
      </c>
      <c r="P747" s="2" t="s">
        <v>21</v>
      </c>
      <c r="Q747" s="2" t="s">
        <v>21</v>
      </c>
    </row>
    <row r="748" customFormat="false" ht="15" hidden="false" customHeight="false" outlineLevel="0" collapsed="false">
      <c r="A748" s="2" t="s">
        <v>1126</v>
      </c>
      <c r="B748" s="2" t="s">
        <v>46</v>
      </c>
      <c r="C748" s="16"/>
      <c r="D748" s="29"/>
      <c r="E748" s="2"/>
      <c r="F748" s="30"/>
      <c r="G748" s="31"/>
      <c r="H748" s="32"/>
      <c r="I748" s="31"/>
      <c r="J748" s="2"/>
      <c r="K748" s="33"/>
      <c r="L748" s="31"/>
      <c r="M748" s="34" t="s">
        <v>668</v>
      </c>
      <c r="N748" s="2"/>
      <c r="O748" s="2"/>
      <c r="P748" s="2"/>
      <c r="Q748" s="2"/>
    </row>
    <row r="749" customFormat="false" ht="15" hidden="false" customHeight="false" outlineLevel="0" collapsed="false">
      <c r="A749" s="2" t="s">
        <v>1126</v>
      </c>
      <c r="B749" s="2" t="s">
        <v>47</v>
      </c>
      <c r="C749" s="15" t="s">
        <v>2062</v>
      </c>
      <c r="D749" s="44" t="n">
        <v>970324</v>
      </c>
      <c r="E749" s="2" t="s">
        <v>670</v>
      </c>
      <c r="F749" s="45" t="n">
        <v>2.75383583215503</v>
      </c>
      <c r="G749" s="31" t="n">
        <v>86.3</v>
      </c>
      <c r="H749" s="46" t="n">
        <v>-0.0251781720860048</v>
      </c>
      <c r="I749" s="31" t="n">
        <v>8.4</v>
      </c>
      <c r="J749" s="2" t="s">
        <v>2701</v>
      </c>
      <c r="K749" s="48" t="n">
        <v>0.163736168420009</v>
      </c>
      <c r="L749" s="31" t="n">
        <v>74.7</v>
      </c>
      <c r="M749" s="39" t="s">
        <v>671</v>
      </c>
      <c r="N749" s="2" t="s">
        <v>17</v>
      </c>
      <c r="O749" s="2" t="s">
        <v>17</v>
      </c>
      <c r="P749" s="2" t="s">
        <v>17</v>
      </c>
      <c r="Q749" s="2" t="s">
        <v>17</v>
      </c>
    </row>
    <row r="750" customFormat="false" ht="15" hidden="false" customHeight="false" outlineLevel="0" collapsed="false">
      <c r="A750" s="2" t="s">
        <v>1849</v>
      </c>
      <c r="B750" s="2" t="s">
        <v>45</v>
      </c>
      <c r="C750" s="16"/>
      <c r="D750" s="40" t="n">
        <v>7430</v>
      </c>
      <c r="E750" s="2" t="s">
        <v>678</v>
      </c>
      <c r="F750" s="41" t="n">
        <v>0.907402422611036</v>
      </c>
      <c r="G750" s="31" t="n">
        <v>71.8</v>
      </c>
      <c r="H750" s="42" t="n">
        <v>0.0830903790087464</v>
      </c>
      <c r="I750" s="31" t="n">
        <v>51.9</v>
      </c>
      <c r="J750" s="2" t="s">
        <v>2713</v>
      </c>
      <c r="K750" s="43" t="n">
        <v>0.275058275058275</v>
      </c>
      <c r="L750" s="31" t="n">
        <v>86.5</v>
      </c>
      <c r="M750" s="34" t="s">
        <v>668</v>
      </c>
      <c r="N750" s="2" t="s">
        <v>21</v>
      </c>
      <c r="O750" s="2" t="s">
        <v>21</v>
      </c>
      <c r="P750" s="2" t="s">
        <v>21</v>
      </c>
      <c r="Q750" s="2" t="s">
        <v>21</v>
      </c>
    </row>
    <row r="751" customFormat="false" ht="15" hidden="false" customHeight="false" outlineLevel="0" collapsed="false">
      <c r="A751" s="2" t="s">
        <v>1849</v>
      </c>
      <c r="B751" s="2" t="s">
        <v>46</v>
      </c>
      <c r="C751" s="13" t="s">
        <v>1850</v>
      </c>
      <c r="D751" s="35" t="n">
        <v>12529</v>
      </c>
      <c r="E751" s="2" t="s">
        <v>667</v>
      </c>
      <c r="F751" s="36" t="n">
        <v>1.7568840290526</v>
      </c>
      <c r="G751" s="31" t="n">
        <v>21.4</v>
      </c>
      <c r="H751" s="37" t="n">
        <v>0.110333215171925</v>
      </c>
      <c r="I751" s="31" t="n">
        <v>59.8</v>
      </c>
      <c r="J751" s="2" t="s">
        <v>2700</v>
      </c>
      <c r="K751" s="38" t="n">
        <v>0.15203426124197</v>
      </c>
      <c r="L751" s="31" t="n">
        <v>57.8</v>
      </c>
      <c r="M751" s="39" t="s">
        <v>671</v>
      </c>
      <c r="N751" s="2" t="s">
        <v>19</v>
      </c>
      <c r="O751" s="2" t="s">
        <v>19</v>
      </c>
      <c r="P751" s="2" t="s">
        <v>19</v>
      </c>
      <c r="Q751" s="2" t="s">
        <v>19</v>
      </c>
    </row>
    <row r="752" customFormat="false" ht="15" hidden="false" customHeight="false" outlineLevel="0" collapsed="false">
      <c r="A752" s="2" t="s">
        <v>2883</v>
      </c>
      <c r="B752" s="2" t="s">
        <v>47</v>
      </c>
      <c r="C752" s="16"/>
      <c r="D752" s="29"/>
      <c r="E752" s="2"/>
      <c r="F752" s="30"/>
      <c r="G752" s="31"/>
      <c r="H752" s="32"/>
      <c r="I752" s="31"/>
      <c r="J752" s="2"/>
      <c r="K752" s="33"/>
      <c r="L752" s="31"/>
      <c r="M752" s="34" t="s">
        <v>668</v>
      </c>
      <c r="N752" s="2"/>
      <c r="O752" s="2"/>
      <c r="P752" s="2"/>
      <c r="Q752" s="2"/>
    </row>
    <row r="753" customFormat="false" ht="15" hidden="false" customHeight="false" outlineLevel="0" collapsed="false">
      <c r="A753" s="2" t="s">
        <v>258</v>
      </c>
      <c r="B753" s="2" t="s">
        <v>45</v>
      </c>
      <c r="C753" s="13" t="s">
        <v>1215</v>
      </c>
      <c r="D753" s="35" t="n">
        <v>10734</v>
      </c>
      <c r="E753" s="2" t="s">
        <v>667</v>
      </c>
      <c r="F753" s="36" t="n">
        <v>0.359604993478666</v>
      </c>
      <c r="G753" s="31" t="n">
        <v>25.6</v>
      </c>
      <c r="H753" s="37" t="n">
        <v>0.213292641573415</v>
      </c>
      <c r="I753" s="31" t="n">
        <v>94.4</v>
      </c>
      <c r="J753" s="2" t="s">
        <v>2704</v>
      </c>
      <c r="K753" s="38" t="n">
        <v>0.351648351648352</v>
      </c>
      <c r="L753" s="31" t="n">
        <v>96.1</v>
      </c>
      <c r="M753" s="39" t="s">
        <v>671</v>
      </c>
      <c r="N753" s="2" t="s">
        <v>19</v>
      </c>
      <c r="O753" s="2" t="s">
        <v>19</v>
      </c>
      <c r="P753" s="2" t="s">
        <v>19</v>
      </c>
      <c r="Q753" s="2" t="s">
        <v>19</v>
      </c>
    </row>
    <row r="754" customFormat="false" ht="15" hidden="false" customHeight="false" outlineLevel="0" collapsed="false">
      <c r="A754" s="2" t="s">
        <v>258</v>
      </c>
      <c r="B754" s="2" t="s">
        <v>46</v>
      </c>
      <c r="C754" s="14" t="s">
        <v>1442</v>
      </c>
      <c r="D754" s="40" t="n">
        <v>836050</v>
      </c>
      <c r="E754" s="2" t="s">
        <v>670</v>
      </c>
      <c r="F754" s="41" t="n">
        <v>7.62126069015011</v>
      </c>
      <c r="G754" s="31" t="n">
        <v>89.9</v>
      </c>
      <c r="H754" s="42" t="n">
        <v>0.0560186939497284</v>
      </c>
      <c r="I754" s="31" t="n">
        <v>34.4</v>
      </c>
      <c r="J754" s="2" t="s">
        <v>2705</v>
      </c>
      <c r="K754" s="43" t="n">
        <v>0.283379388982461</v>
      </c>
      <c r="L754" s="31" t="n">
        <v>88.3</v>
      </c>
      <c r="M754" s="39" t="s">
        <v>671</v>
      </c>
      <c r="N754" s="2" t="s">
        <v>21</v>
      </c>
      <c r="O754" s="2" t="s">
        <v>21</v>
      </c>
      <c r="P754" s="2" t="s">
        <v>21</v>
      </c>
      <c r="Q754" s="2" t="s">
        <v>21</v>
      </c>
    </row>
    <row r="755" customFormat="false" ht="15" hidden="false" customHeight="false" outlineLevel="0" collapsed="false">
      <c r="A755" s="2" t="s">
        <v>258</v>
      </c>
      <c r="B755" s="2" t="s">
        <v>47</v>
      </c>
      <c r="C755" s="13" t="s">
        <v>2143</v>
      </c>
      <c r="D755" s="35" t="n">
        <v>27715</v>
      </c>
      <c r="E755" s="2" t="s">
        <v>667</v>
      </c>
      <c r="F755" s="36" t="n">
        <v>1.97629442540141</v>
      </c>
      <c r="G755" s="31" t="n">
        <v>73.4</v>
      </c>
      <c r="H755" s="37" t="n">
        <v>0.124568878068574</v>
      </c>
      <c r="I755" s="31" t="n">
        <v>67.7</v>
      </c>
      <c r="J755" s="2" t="s">
        <v>2697</v>
      </c>
      <c r="K755" s="38" t="n">
        <v>0.0351758793969849</v>
      </c>
      <c r="L755" s="31" t="n">
        <v>22.1</v>
      </c>
      <c r="M755" s="39" t="s">
        <v>671</v>
      </c>
      <c r="N755" s="2" t="s">
        <v>19</v>
      </c>
      <c r="O755" s="2" t="s">
        <v>19</v>
      </c>
      <c r="P755" s="2" t="s">
        <v>19</v>
      </c>
      <c r="Q755" s="2" t="s">
        <v>19</v>
      </c>
    </row>
    <row r="756" customFormat="false" ht="15" hidden="false" customHeight="false" outlineLevel="0" collapsed="false">
      <c r="A756" s="2" t="s">
        <v>2884</v>
      </c>
      <c r="B756" s="2" t="s">
        <v>47</v>
      </c>
      <c r="C756" s="16"/>
      <c r="D756" s="29"/>
      <c r="E756" s="2"/>
      <c r="F756" s="30"/>
      <c r="G756" s="31"/>
      <c r="H756" s="32"/>
      <c r="I756" s="31"/>
      <c r="J756" s="2"/>
      <c r="K756" s="33"/>
      <c r="L756" s="31"/>
      <c r="M756" s="34" t="s">
        <v>668</v>
      </c>
      <c r="N756" s="2"/>
      <c r="O756" s="2"/>
      <c r="P756" s="2"/>
      <c r="Q756" s="2"/>
    </row>
    <row r="757" customFormat="false" ht="15" hidden="false" customHeight="false" outlineLevel="0" collapsed="false">
      <c r="A757" s="2" t="s">
        <v>1075</v>
      </c>
      <c r="B757" s="2" t="s">
        <v>45</v>
      </c>
      <c r="C757" s="14" t="s">
        <v>1076</v>
      </c>
      <c r="D757" s="40" t="n">
        <v>62940</v>
      </c>
      <c r="E757" s="2" t="s">
        <v>667</v>
      </c>
      <c r="F757" s="41" t="n">
        <v>0.551731808071179</v>
      </c>
      <c r="G757" s="31" t="n">
        <v>45.1</v>
      </c>
      <c r="H757" s="42" t="n">
        <v>0.00784627702161729</v>
      </c>
      <c r="I757" s="31" t="n">
        <v>10.3</v>
      </c>
      <c r="J757" s="2" t="s">
        <v>2704</v>
      </c>
      <c r="K757" s="43" t="n">
        <v>0.0333485609867519</v>
      </c>
      <c r="L757" s="31" t="n">
        <v>6.6</v>
      </c>
      <c r="M757" s="39" t="s">
        <v>671</v>
      </c>
      <c r="N757" s="2" t="s">
        <v>21</v>
      </c>
      <c r="O757" s="2" t="s">
        <v>21</v>
      </c>
      <c r="P757" s="2" t="s">
        <v>21</v>
      </c>
      <c r="Q757" s="2" t="s">
        <v>21</v>
      </c>
    </row>
    <row r="758" customFormat="false" ht="15" hidden="false" customHeight="false" outlineLevel="0" collapsed="false">
      <c r="A758" s="2" t="s">
        <v>1075</v>
      </c>
      <c r="B758" s="2" t="s">
        <v>46</v>
      </c>
      <c r="C758" s="15" t="s">
        <v>2885</v>
      </c>
      <c r="D758" s="44" t="n">
        <v>23172</v>
      </c>
      <c r="E758" s="2" t="s">
        <v>667</v>
      </c>
      <c r="F758" s="45" t="n">
        <v>1.73157258760573</v>
      </c>
      <c r="G758" s="31" t="n">
        <v>20.3</v>
      </c>
      <c r="H758" s="46" t="n">
        <v>0.0525072674418605</v>
      </c>
      <c r="I758" s="31" t="n">
        <v>29.9</v>
      </c>
      <c r="J758" s="2" t="s">
        <v>2700</v>
      </c>
      <c r="K758" s="33"/>
      <c r="L758" s="31"/>
      <c r="M758" s="34" t="s">
        <v>668</v>
      </c>
      <c r="N758" s="2" t="s">
        <v>17</v>
      </c>
      <c r="O758" s="2" t="s">
        <v>17</v>
      </c>
      <c r="P758" s="2" t="s">
        <v>17</v>
      </c>
      <c r="Q758" s="2"/>
    </row>
    <row r="759" customFormat="false" ht="15" hidden="false" customHeight="false" outlineLevel="0" collapsed="false">
      <c r="A759" s="2" t="s">
        <v>1075</v>
      </c>
      <c r="B759" s="2" t="s">
        <v>47</v>
      </c>
      <c r="C759" s="13" t="s">
        <v>2226</v>
      </c>
      <c r="D759" s="35" t="n">
        <v>77424</v>
      </c>
      <c r="E759" s="2" t="s">
        <v>667</v>
      </c>
      <c r="F759" s="36" t="n">
        <v>1.58839636288489</v>
      </c>
      <c r="G759" s="31" t="n">
        <v>62.2</v>
      </c>
      <c r="H759" s="37" t="n">
        <v>-0.0264316072730931</v>
      </c>
      <c r="I759" s="31" t="n">
        <v>6</v>
      </c>
      <c r="J759" s="2" t="s">
        <v>2697</v>
      </c>
      <c r="K759" s="38" t="n">
        <v>0.169153720359771</v>
      </c>
      <c r="L759" s="31" t="n">
        <v>76.8</v>
      </c>
      <c r="M759" s="39" t="s">
        <v>671</v>
      </c>
      <c r="N759" s="2" t="s">
        <v>19</v>
      </c>
      <c r="O759" s="2" t="s">
        <v>19</v>
      </c>
      <c r="P759" s="2" t="s">
        <v>19</v>
      </c>
      <c r="Q759" s="2" t="s">
        <v>19</v>
      </c>
    </row>
    <row r="760" customFormat="false" ht="15" hidden="false" customHeight="false" outlineLevel="0" collapsed="false">
      <c r="A760" s="2" t="s">
        <v>1485</v>
      </c>
      <c r="B760" s="2" t="s">
        <v>45</v>
      </c>
      <c r="C760" s="16"/>
      <c r="D760" s="29"/>
      <c r="E760" s="2"/>
      <c r="F760" s="30"/>
      <c r="G760" s="31"/>
      <c r="H760" s="32"/>
      <c r="I760" s="31"/>
      <c r="J760" s="2"/>
      <c r="K760" s="33"/>
      <c r="L760" s="31"/>
      <c r="M760" s="34" t="s">
        <v>668</v>
      </c>
      <c r="N760" s="2"/>
      <c r="O760" s="2"/>
      <c r="P760" s="2"/>
      <c r="Q760" s="2"/>
    </row>
    <row r="761" customFormat="false" ht="15" hidden="false" customHeight="false" outlineLevel="0" collapsed="false">
      <c r="A761" s="2" t="s">
        <v>1485</v>
      </c>
      <c r="B761" s="2" t="s">
        <v>46</v>
      </c>
      <c r="C761" s="14" t="s">
        <v>1486</v>
      </c>
      <c r="D761" s="40" t="n">
        <v>18720</v>
      </c>
      <c r="E761" s="2" t="s">
        <v>667</v>
      </c>
      <c r="F761" s="41" t="n">
        <v>6.60037393162393</v>
      </c>
      <c r="G761" s="31" t="n">
        <v>84.1</v>
      </c>
      <c r="H761" s="42" t="n">
        <v>0.0481522956326988</v>
      </c>
      <c r="I761" s="31" t="n">
        <v>27.4</v>
      </c>
      <c r="J761" s="2" t="s">
        <v>2700</v>
      </c>
      <c r="K761" s="43" t="n">
        <v>0.119942196531792</v>
      </c>
      <c r="L761" s="31" t="n">
        <v>42</v>
      </c>
      <c r="M761" s="39" t="s">
        <v>671</v>
      </c>
      <c r="N761" s="2" t="s">
        <v>21</v>
      </c>
      <c r="O761" s="2" t="s">
        <v>21</v>
      </c>
      <c r="P761" s="2" t="s">
        <v>21</v>
      </c>
      <c r="Q761" s="2" t="s">
        <v>21</v>
      </c>
    </row>
    <row r="762" customFormat="false" ht="15" hidden="false" customHeight="false" outlineLevel="0" collapsed="false">
      <c r="A762" s="2" t="s">
        <v>1485</v>
      </c>
      <c r="B762" s="2" t="s">
        <v>47</v>
      </c>
      <c r="C762" s="13" t="s">
        <v>2538</v>
      </c>
      <c r="D762" s="35" t="n">
        <v>9906</v>
      </c>
      <c r="E762" s="2" t="s">
        <v>678</v>
      </c>
      <c r="F762" s="36" t="n">
        <v>0.71582879063194</v>
      </c>
      <c r="G762" s="31" t="n">
        <v>21.5</v>
      </c>
      <c r="H762" s="37" t="n">
        <v>0.233623910336239</v>
      </c>
      <c r="I762" s="31" t="n">
        <v>94.7</v>
      </c>
      <c r="J762" s="2" t="s">
        <v>2706</v>
      </c>
      <c r="K762" s="38" t="n">
        <v>0.0561797752808989</v>
      </c>
      <c r="L762" s="31" t="n">
        <v>34.7</v>
      </c>
      <c r="M762" s="39" t="s">
        <v>671</v>
      </c>
      <c r="N762" s="2" t="s">
        <v>19</v>
      </c>
      <c r="O762" s="2" t="s">
        <v>19</v>
      </c>
      <c r="P762" s="2" t="s">
        <v>19</v>
      </c>
      <c r="Q762" s="2" t="s">
        <v>19</v>
      </c>
    </row>
    <row r="763" customFormat="false" ht="15" hidden="false" customHeight="false" outlineLevel="0" collapsed="false">
      <c r="A763" s="2" t="s">
        <v>2430</v>
      </c>
      <c r="B763" s="2" t="s">
        <v>46</v>
      </c>
      <c r="C763" s="14" t="s">
        <v>2886</v>
      </c>
      <c r="D763" s="40" t="n">
        <v>1750</v>
      </c>
      <c r="E763" s="2" t="s">
        <v>678</v>
      </c>
      <c r="F763" s="41" t="n">
        <v>1.53485714285714</v>
      </c>
      <c r="G763" s="31" t="n">
        <v>15</v>
      </c>
      <c r="H763" s="32"/>
      <c r="I763" s="31"/>
      <c r="J763" s="2"/>
      <c r="K763" s="43" t="n">
        <v>0.00684931506849315</v>
      </c>
      <c r="L763" s="31" t="n">
        <v>1.3</v>
      </c>
      <c r="M763" s="34" t="s">
        <v>668</v>
      </c>
      <c r="N763" s="2" t="s">
        <v>21</v>
      </c>
      <c r="O763" s="2" t="s">
        <v>21</v>
      </c>
      <c r="P763" s="2"/>
      <c r="Q763" s="2" t="s">
        <v>21</v>
      </c>
    </row>
    <row r="764" customFormat="false" ht="15" hidden="false" customHeight="false" outlineLevel="0" collapsed="false">
      <c r="A764" s="2" t="s">
        <v>2430</v>
      </c>
      <c r="B764" s="2" t="s">
        <v>47</v>
      </c>
      <c r="C764" s="13" t="s">
        <v>2431</v>
      </c>
      <c r="D764" s="35" t="n">
        <v>209310</v>
      </c>
      <c r="E764" s="2" t="s">
        <v>670</v>
      </c>
      <c r="F764" s="36" t="n">
        <v>0.938540920166261</v>
      </c>
      <c r="G764" s="31" t="n">
        <v>34.6</v>
      </c>
      <c r="H764" s="37" t="n">
        <v>0.0931681560131822</v>
      </c>
      <c r="I764" s="31" t="n">
        <v>53.6</v>
      </c>
      <c r="J764" s="2" t="s">
        <v>2701</v>
      </c>
      <c r="K764" s="38" t="n">
        <v>0.107223258506464</v>
      </c>
      <c r="L764" s="31" t="n">
        <v>58.1</v>
      </c>
      <c r="M764" s="39" t="s">
        <v>671</v>
      </c>
      <c r="N764" s="2" t="s">
        <v>19</v>
      </c>
      <c r="O764" s="2" t="s">
        <v>19</v>
      </c>
      <c r="P764" s="2" t="s">
        <v>19</v>
      </c>
      <c r="Q764" s="2" t="s">
        <v>19</v>
      </c>
    </row>
    <row r="765" customFormat="false" ht="15" hidden="false" customHeight="false" outlineLevel="0" collapsed="false">
      <c r="A765" s="2" t="s">
        <v>2887</v>
      </c>
      <c r="B765" s="2" t="s">
        <v>46</v>
      </c>
      <c r="C765" s="14" t="s">
        <v>2888</v>
      </c>
      <c r="D765" s="40" t="n">
        <v>92840</v>
      </c>
      <c r="E765" s="2" t="s">
        <v>667</v>
      </c>
      <c r="F765" s="41" t="n">
        <v>0.832033606204222</v>
      </c>
      <c r="G765" s="31" t="n">
        <v>4</v>
      </c>
      <c r="H765" s="32"/>
      <c r="I765" s="31"/>
      <c r="J765" s="2"/>
      <c r="K765" s="33"/>
      <c r="L765" s="31"/>
      <c r="M765" s="34" t="s">
        <v>668</v>
      </c>
      <c r="N765" s="2" t="s">
        <v>21</v>
      </c>
      <c r="O765" s="2" t="s">
        <v>21</v>
      </c>
      <c r="P765" s="2"/>
      <c r="Q765" s="2"/>
    </row>
    <row r="766" customFormat="false" ht="15" hidden="false" customHeight="false" outlineLevel="0" collapsed="false">
      <c r="A766" s="2" t="s">
        <v>984</v>
      </c>
      <c r="B766" s="2" t="s">
        <v>45</v>
      </c>
      <c r="C766" s="13" t="s">
        <v>985</v>
      </c>
      <c r="D766" s="35" t="n">
        <v>7236</v>
      </c>
      <c r="E766" s="2" t="s">
        <v>678</v>
      </c>
      <c r="F766" s="36" t="n">
        <v>0.683526810392482</v>
      </c>
      <c r="G766" s="31" t="n">
        <v>57.3</v>
      </c>
      <c r="H766" s="37" t="n">
        <v>0.0920615756112285</v>
      </c>
      <c r="I766" s="31" t="n">
        <v>61.1</v>
      </c>
      <c r="J766" s="2" t="s">
        <v>2713</v>
      </c>
      <c r="K766" s="38" t="n">
        <v>0.0480349344978166</v>
      </c>
      <c r="L766" s="31" t="n">
        <v>12.7</v>
      </c>
      <c r="M766" s="39" t="s">
        <v>671</v>
      </c>
      <c r="N766" s="2" t="s">
        <v>19</v>
      </c>
      <c r="O766" s="2" t="s">
        <v>19</v>
      </c>
      <c r="P766" s="2" t="s">
        <v>19</v>
      </c>
      <c r="Q766" s="2" t="s">
        <v>19</v>
      </c>
    </row>
    <row r="767" customFormat="false" ht="15" hidden="false" customHeight="false" outlineLevel="0" collapsed="false">
      <c r="A767" s="2" t="s">
        <v>984</v>
      </c>
      <c r="B767" s="2" t="s">
        <v>46</v>
      </c>
      <c r="C767" s="14" t="s">
        <v>1746</v>
      </c>
      <c r="D767" s="40" t="n">
        <v>113240</v>
      </c>
      <c r="E767" s="2" t="s">
        <v>670</v>
      </c>
      <c r="F767" s="41" t="n">
        <v>2.48514659131049</v>
      </c>
      <c r="G767" s="31" t="n">
        <v>38.1</v>
      </c>
      <c r="H767" s="42" t="n">
        <v>0.138090452261307</v>
      </c>
      <c r="I767" s="31" t="n">
        <v>78.8</v>
      </c>
      <c r="J767" s="2" t="s">
        <v>2705</v>
      </c>
      <c r="K767" s="43" t="n">
        <v>0.0628562625173317</v>
      </c>
      <c r="L767" s="31" t="n">
        <v>19.2</v>
      </c>
      <c r="M767" s="39" t="s">
        <v>671</v>
      </c>
      <c r="N767" s="2" t="s">
        <v>21</v>
      </c>
      <c r="O767" s="2" t="s">
        <v>21</v>
      </c>
      <c r="P767" s="2" t="s">
        <v>21</v>
      </c>
      <c r="Q767" s="2" t="s">
        <v>21</v>
      </c>
    </row>
    <row r="768" customFormat="false" ht="15" hidden="false" customHeight="false" outlineLevel="0" collapsed="false">
      <c r="A768" s="2" t="s">
        <v>984</v>
      </c>
      <c r="B768" s="2" t="s">
        <v>47</v>
      </c>
      <c r="C768" s="16"/>
      <c r="D768" s="35" t="n">
        <v>146491</v>
      </c>
      <c r="E768" s="2" t="s">
        <v>670</v>
      </c>
      <c r="F768" s="36" t="n">
        <v>1.46260179806268</v>
      </c>
      <c r="G768" s="31" t="n">
        <v>57.6</v>
      </c>
      <c r="H768" s="37" t="n">
        <v>0.10887304326763</v>
      </c>
      <c r="I768" s="31" t="n">
        <v>62.7</v>
      </c>
      <c r="J768" s="2" t="s">
        <v>2701</v>
      </c>
      <c r="K768" s="38" t="n">
        <v>0.00358989086731763</v>
      </c>
      <c r="L768" s="31" t="n">
        <v>3.4</v>
      </c>
      <c r="M768" s="34" t="s">
        <v>668</v>
      </c>
      <c r="N768" s="2" t="s">
        <v>19</v>
      </c>
      <c r="O768" s="2" t="s">
        <v>19</v>
      </c>
      <c r="P768" s="2" t="s">
        <v>19</v>
      </c>
      <c r="Q768" s="2" t="s">
        <v>19</v>
      </c>
    </row>
    <row r="769" customFormat="false" ht="15" hidden="false" customHeight="false" outlineLevel="0" collapsed="false">
      <c r="A769" s="2" t="s">
        <v>735</v>
      </c>
      <c r="B769" s="2" t="s">
        <v>45</v>
      </c>
      <c r="C769" s="13" t="s">
        <v>736</v>
      </c>
      <c r="D769" s="40" t="n">
        <v>539540</v>
      </c>
      <c r="E769" s="2" t="s">
        <v>670</v>
      </c>
      <c r="F769" s="41" t="n">
        <v>1.79995366423249</v>
      </c>
      <c r="G769" s="31" t="n">
        <v>91</v>
      </c>
      <c r="H769" s="42" t="n">
        <v>0.0419048354704156</v>
      </c>
      <c r="I769" s="31" t="n">
        <v>27.5</v>
      </c>
      <c r="J769" s="2" t="s">
        <v>2698</v>
      </c>
      <c r="K769" s="38" t="n">
        <v>0.133056163384391</v>
      </c>
      <c r="L769" s="31" t="n">
        <v>49.7</v>
      </c>
      <c r="M769" s="39" t="s">
        <v>671</v>
      </c>
      <c r="N769" s="2" t="s">
        <v>21</v>
      </c>
      <c r="O769" s="2" t="s">
        <v>21</v>
      </c>
      <c r="P769" s="2" t="s">
        <v>21</v>
      </c>
      <c r="Q769" s="2" t="s">
        <v>19</v>
      </c>
    </row>
    <row r="770" customFormat="false" ht="15" hidden="false" customHeight="false" outlineLevel="0" collapsed="false">
      <c r="A770" s="2" t="s">
        <v>735</v>
      </c>
      <c r="B770" s="2" t="s">
        <v>46</v>
      </c>
      <c r="C770" s="15" t="s">
        <v>2889</v>
      </c>
      <c r="D770" s="44" t="n">
        <v>2368864</v>
      </c>
      <c r="E770" s="2" t="s">
        <v>752</v>
      </c>
      <c r="F770" s="45" t="n">
        <v>1.54626479190025</v>
      </c>
      <c r="G770" s="31" t="n">
        <v>15.6</v>
      </c>
      <c r="H770" s="46" t="n">
        <v>0.146782000152978</v>
      </c>
      <c r="I770" s="31" t="n">
        <v>75</v>
      </c>
      <c r="J770" s="2" t="s">
        <v>2751</v>
      </c>
      <c r="K770" s="33"/>
      <c r="L770" s="31"/>
      <c r="M770" s="34" t="s">
        <v>668</v>
      </c>
      <c r="N770" s="2" t="s">
        <v>17</v>
      </c>
      <c r="O770" s="2" t="s">
        <v>17</v>
      </c>
      <c r="P770" s="2" t="s">
        <v>17</v>
      </c>
      <c r="Q770" s="2"/>
    </row>
    <row r="771" customFormat="false" ht="15" hidden="false" customHeight="false" outlineLevel="0" collapsed="false">
      <c r="A771" s="2" t="s">
        <v>735</v>
      </c>
      <c r="B771" s="2" t="s">
        <v>47</v>
      </c>
      <c r="C771" s="13" t="s">
        <v>1990</v>
      </c>
      <c r="D771" s="35" t="n">
        <v>237384</v>
      </c>
      <c r="E771" s="2" t="s">
        <v>670</v>
      </c>
      <c r="F771" s="36" t="n">
        <v>4.48810787584673</v>
      </c>
      <c r="G771" s="31" t="n">
        <v>96.4</v>
      </c>
      <c r="H771" s="37" t="n">
        <v>0.14251061249242</v>
      </c>
      <c r="I771" s="31" t="n">
        <v>78.3</v>
      </c>
      <c r="J771" s="2" t="s">
        <v>2701</v>
      </c>
      <c r="K771" s="38" t="n">
        <v>0.00116132457362798</v>
      </c>
      <c r="L771" s="31" t="n">
        <v>2.1</v>
      </c>
      <c r="M771" s="39" t="s">
        <v>671</v>
      </c>
      <c r="N771" s="2" t="s">
        <v>19</v>
      </c>
      <c r="O771" s="2" t="s">
        <v>19</v>
      </c>
      <c r="P771" s="2" t="s">
        <v>19</v>
      </c>
      <c r="Q771" s="2" t="s">
        <v>19</v>
      </c>
    </row>
    <row r="772" customFormat="false" ht="15" hidden="false" customHeight="false" outlineLevel="0" collapsed="false">
      <c r="A772" s="2" t="s">
        <v>372</v>
      </c>
      <c r="B772" s="2" t="s">
        <v>45</v>
      </c>
      <c r="C772" s="13" t="s">
        <v>1060</v>
      </c>
      <c r="D772" s="35" t="n">
        <v>10484</v>
      </c>
      <c r="E772" s="2" t="s">
        <v>667</v>
      </c>
      <c r="F772" s="36" t="n">
        <v>0.581171308660817</v>
      </c>
      <c r="G772" s="31" t="n">
        <v>47.2</v>
      </c>
      <c r="H772" s="37" t="n">
        <v>0.185436454093171</v>
      </c>
      <c r="I772" s="31" t="n">
        <v>88.5</v>
      </c>
      <c r="J772" s="2" t="s">
        <v>2704</v>
      </c>
      <c r="K772" s="38" t="n">
        <v>0.239685658153242</v>
      </c>
      <c r="L772" s="31" t="n">
        <v>79.8</v>
      </c>
      <c r="M772" s="39" t="s">
        <v>671</v>
      </c>
      <c r="N772" s="2" t="s">
        <v>19</v>
      </c>
      <c r="O772" s="2" t="s">
        <v>19</v>
      </c>
      <c r="P772" s="2" t="s">
        <v>19</v>
      </c>
      <c r="Q772" s="2" t="s">
        <v>19</v>
      </c>
    </row>
    <row r="773" customFormat="false" ht="15" hidden="false" customHeight="false" outlineLevel="0" collapsed="false">
      <c r="A773" s="2" t="s">
        <v>372</v>
      </c>
      <c r="B773" s="2" t="s">
        <v>47</v>
      </c>
      <c r="C773" s="13" t="s">
        <v>2306</v>
      </c>
      <c r="D773" s="35" t="n">
        <v>8488</v>
      </c>
      <c r="E773" s="2" t="s">
        <v>678</v>
      </c>
      <c r="F773" s="36" t="n">
        <v>1.25871819038643</v>
      </c>
      <c r="G773" s="31" t="n">
        <v>51.3</v>
      </c>
      <c r="H773" s="37" t="n">
        <v>0.0416001963431096</v>
      </c>
      <c r="I773" s="31" t="n">
        <v>22.7</v>
      </c>
      <c r="J773" s="2" t="s">
        <v>2706</v>
      </c>
      <c r="K773" s="38" t="n">
        <v>0.0279329608938548</v>
      </c>
      <c r="L773" s="31" t="n">
        <v>17.7</v>
      </c>
      <c r="M773" s="39" t="s">
        <v>671</v>
      </c>
      <c r="N773" s="2" t="s">
        <v>19</v>
      </c>
      <c r="O773" s="2" t="s">
        <v>19</v>
      </c>
      <c r="P773" s="2" t="s">
        <v>19</v>
      </c>
      <c r="Q773" s="2" t="s">
        <v>19</v>
      </c>
    </row>
    <row r="774" customFormat="false" ht="15" hidden="false" customHeight="false" outlineLevel="0" collapsed="false">
      <c r="A774" s="2" t="s">
        <v>2890</v>
      </c>
      <c r="B774" s="2" t="s">
        <v>45</v>
      </c>
      <c r="C774" s="16"/>
      <c r="D774" s="29"/>
      <c r="E774" s="2"/>
      <c r="F774" s="30"/>
      <c r="G774" s="31"/>
      <c r="H774" s="32"/>
      <c r="I774" s="31"/>
      <c r="J774" s="2"/>
      <c r="K774" s="33"/>
      <c r="L774" s="31"/>
      <c r="M774" s="34" t="s">
        <v>668</v>
      </c>
      <c r="N774" s="2"/>
      <c r="O774" s="2"/>
      <c r="P774" s="2"/>
      <c r="Q774" s="2"/>
    </row>
    <row r="775" customFormat="false" ht="15" hidden="false" customHeight="false" outlineLevel="0" collapsed="false">
      <c r="A775" s="2" t="s">
        <v>2890</v>
      </c>
      <c r="B775" s="2" t="s">
        <v>46</v>
      </c>
      <c r="C775" s="16"/>
      <c r="D775" s="29"/>
      <c r="E775" s="2"/>
      <c r="F775" s="30"/>
      <c r="G775" s="31"/>
      <c r="H775" s="32"/>
      <c r="I775" s="31"/>
      <c r="J775" s="2"/>
      <c r="K775" s="33"/>
      <c r="L775" s="31"/>
      <c r="M775" s="34" t="s">
        <v>668</v>
      </c>
      <c r="N775" s="2"/>
      <c r="O775" s="2"/>
      <c r="P775" s="2"/>
      <c r="Q775" s="2"/>
    </row>
    <row r="776" customFormat="false" ht="15" hidden="false" customHeight="false" outlineLevel="0" collapsed="false">
      <c r="A776" s="2" t="s">
        <v>2890</v>
      </c>
      <c r="B776" s="2" t="s">
        <v>47</v>
      </c>
      <c r="C776" s="14" t="s">
        <v>2891</v>
      </c>
      <c r="D776" s="40" t="n">
        <v>91030</v>
      </c>
      <c r="E776" s="2" t="s">
        <v>667</v>
      </c>
      <c r="F776" s="41" t="n">
        <v>7.59726463803142</v>
      </c>
      <c r="G776" s="31" t="n">
        <v>99.2</v>
      </c>
      <c r="H776" s="42" t="n">
        <v>0.0379703534777651</v>
      </c>
      <c r="I776" s="31" t="n">
        <v>25.5</v>
      </c>
      <c r="J776" s="2" t="s">
        <v>2697</v>
      </c>
      <c r="K776" s="33"/>
      <c r="L776" s="31"/>
      <c r="M776" s="34" t="s">
        <v>668</v>
      </c>
      <c r="N776" s="2" t="s">
        <v>21</v>
      </c>
      <c r="O776" s="2" t="s">
        <v>21</v>
      </c>
      <c r="P776" s="2" t="s">
        <v>21</v>
      </c>
      <c r="Q776" s="2"/>
    </row>
    <row r="777" customFormat="false" ht="15" hidden="false" customHeight="false" outlineLevel="0" collapsed="false">
      <c r="A777" s="2" t="s">
        <v>550</v>
      </c>
      <c r="B777" s="2" t="s">
        <v>45</v>
      </c>
      <c r="C777" s="14" t="s">
        <v>1159</v>
      </c>
      <c r="D777" s="40" t="n">
        <v>116090</v>
      </c>
      <c r="E777" s="2" t="s">
        <v>670</v>
      </c>
      <c r="F777" s="41" t="n">
        <v>0.426910155913515</v>
      </c>
      <c r="G777" s="31" t="n">
        <v>34</v>
      </c>
      <c r="H777" s="42" t="n">
        <v>0.0461385960169415</v>
      </c>
      <c r="I777" s="31" t="n">
        <v>30.4</v>
      </c>
      <c r="J777" s="2" t="s">
        <v>2698</v>
      </c>
      <c r="K777" s="43" t="n">
        <v>0.298391899940441</v>
      </c>
      <c r="L777" s="31" t="n">
        <v>90.9</v>
      </c>
      <c r="M777" s="39" t="s">
        <v>671</v>
      </c>
      <c r="N777" s="2" t="s">
        <v>21</v>
      </c>
      <c r="O777" s="2" t="s">
        <v>21</v>
      </c>
      <c r="P777" s="2" t="s">
        <v>21</v>
      </c>
      <c r="Q777" s="2" t="s">
        <v>21</v>
      </c>
    </row>
    <row r="778" customFormat="false" ht="15" hidden="false" customHeight="false" outlineLevel="0" collapsed="false">
      <c r="A778" s="2" t="s">
        <v>550</v>
      </c>
      <c r="B778" s="2" t="s">
        <v>46</v>
      </c>
      <c r="C778" s="14" t="s">
        <v>1851</v>
      </c>
      <c r="D778" s="40" t="n">
        <v>75280</v>
      </c>
      <c r="E778" s="2" t="s">
        <v>667</v>
      </c>
      <c r="F778" s="41" t="n">
        <v>1.75417109458023</v>
      </c>
      <c r="G778" s="31" t="n">
        <v>21.1</v>
      </c>
      <c r="H778" s="42" t="n">
        <v>0.146163215590743</v>
      </c>
      <c r="I778" s="31" t="n">
        <v>78</v>
      </c>
      <c r="J778" s="2" t="s">
        <v>2700</v>
      </c>
      <c r="K778" s="43" t="n">
        <v>0.280728709394206</v>
      </c>
      <c r="L778" s="31" t="n">
        <v>87.8</v>
      </c>
      <c r="M778" s="39" t="s">
        <v>671</v>
      </c>
      <c r="N778" s="2" t="s">
        <v>21</v>
      </c>
      <c r="O778" s="2" t="s">
        <v>21</v>
      </c>
      <c r="P778" s="2" t="s">
        <v>21</v>
      </c>
      <c r="Q778" s="2" t="s">
        <v>21</v>
      </c>
    </row>
    <row r="779" customFormat="false" ht="15" hidden="false" customHeight="false" outlineLevel="0" collapsed="false">
      <c r="A779" s="2" t="s">
        <v>550</v>
      </c>
      <c r="B779" s="2" t="s">
        <v>47</v>
      </c>
      <c r="C779" s="13" t="s">
        <v>2428</v>
      </c>
      <c r="D779" s="35" t="n">
        <v>276997</v>
      </c>
      <c r="E779" s="2" t="s">
        <v>670</v>
      </c>
      <c r="F779" s="36" t="n">
        <v>0.939930757372824</v>
      </c>
      <c r="G779" s="31" t="n">
        <v>34.8</v>
      </c>
      <c r="H779" s="37" t="n">
        <v>0.0421256583897667</v>
      </c>
      <c r="I779" s="31" t="n">
        <v>30.7</v>
      </c>
      <c r="J779" s="2" t="s">
        <v>2701</v>
      </c>
      <c r="K779" s="38" t="n">
        <v>0.119327965746731</v>
      </c>
      <c r="L779" s="31" t="n">
        <v>63.2</v>
      </c>
      <c r="M779" s="39" t="s">
        <v>671</v>
      </c>
      <c r="N779" s="2" t="s">
        <v>19</v>
      </c>
      <c r="O779" s="2" t="s">
        <v>19</v>
      </c>
      <c r="P779" s="2" t="s">
        <v>19</v>
      </c>
      <c r="Q779" s="2" t="s">
        <v>19</v>
      </c>
    </row>
    <row r="780" customFormat="false" ht="15" hidden="false" customHeight="false" outlineLevel="0" collapsed="false">
      <c r="A780" s="2" t="s">
        <v>979</v>
      </c>
      <c r="B780" s="2" t="s">
        <v>45</v>
      </c>
      <c r="C780" s="13" t="s">
        <v>980</v>
      </c>
      <c r="D780" s="35" t="n">
        <v>242652</v>
      </c>
      <c r="E780" s="2" t="s">
        <v>670</v>
      </c>
      <c r="F780" s="36" t="n">
        <v>0.694809851144849</v>
      </c>
      <c r="G780" s="31" t="n">
        <v>57.9</v>
      </c>
      <c r="H780" s="37" t="n">
        <v>0.0743849954837681</v>
      </c>
      <c r="I780" s="31" t="n">
        <v>49.3</v>
      </c>
      <c r="J780" s="2" t="s">
        <v>2698</v>
      </c>
      <c r="K780" s="38" t="n">
        <v>0.231652253769037</v>
      </c>
      <c r="L780" s="31" t="n">
        <v>78.5</v>
      </c>
      <c r="M780" s="39" t="s">
        <v>671</v>
      </c>
      <c r="N780" s="2" t="s">
        <v>19</v>
      </c>
      <c r="O780" s="2" t="s">
        <v>19</v>
      </c>
      <c r="P780" s="2" t="s">
        <v>19</v>
      </c>
      <c r="Q780" s="2" t="s">
        <v>19</v>
      </c>
    </row>
    <row r="781" customFormat="false" ht="15" hidden="false" customHeight="false" outlineLevel="0" collapsed="false">
      <c r="A781" s="2" t="s">
        <v>979</v>
      </c>
      <c r="B781" s="2" t="s">
        <v>46</v>
      </c>
      <c r="C781" s="15" t="s">
        <v>2892</v>
      </c>
      <c r="D781" s="29"/>
      <c r="E781" s="2"/>
      <c r="F781" s="30"/>
      <c r="G781" s="31"/>
      <c r="H781" s="32"/>
      <c r="I781" s="31"/>
      <c r="J781" s="2"/>
      <c r="K781" s="33"/>
      <c r="L781" s="31"/>
      <c r="M781" s="34" t="s">
        <v>668</v>
      </c>
      <c r="N781" s="2"/>
      <c r="O781" s="2"/>
      <c r="P781" s="2"/>
      <c r="Q781" s="2"/>
    </row>
    <row r="782" customFormat="false" ht="15" hidden="false" customHeight="false" outlineLevel="0" collapsed="false">
      <c r="A782" s="2" t="s">
        <v>979</v>
      </c>
      <c r="B782" s="2" t="s">
        <v>47</v>
      </c>
      <c r="C782" s="13" t="s">
        <v>2299</v>
      </c>
      <c r="D782" s="35" t="n">
        <v>22547</v>
      </c>
      <c r="E782" s="2" t="s">
        <v>667</v>
      </c>
      <c r="F782" s="36" t="n">
        <v>1.2838958619772</v>
      </c>
      <c r="G782" s="31" t="n">
        <v>52.3</v>
      </c>
      <c r="H782" s="37" t="n">
        <v>0.124650837988827</v>
      </c>
      <c r="I782" s="31" t="n">
        <v>68.1</v>
      </c>
      <c r="J782" s="2" t="s">
        <v>2697</v>
      </c>
      <c r="K782" s="38" t="n">
        <v>0.0488245931283906</v>
      </c>
      <c r="L782" s="31" t="n">
        <v>30.3</v>
      </c>
      <c r="M782" s="39" t="s">
        <v>671</v>
      </c>
      <c r="N782" s="2" t="s">
        <v>19</v>
      </c>
      <c r="O782" s="2" t="s">
        <v>19</v>
      </c>
      <c r="P782" s="2" t="s">
        <v>19</v>
      </c>
      <c r="Q782" s="2" t="s">
        <v>19</v>
      </c>
    </row>
    <row r="783" customFormat="false" ht="15" hidden="false" customHeight="false" outlineLevel="0" collapsed="false">
      <c r="A783" s="2" t="s">
        <v>1846</v>
      </c>
      <c r="B783" s="2" t="s">
        <v>45</v>
      </c>
      <c r="C783" s="14" t="s">
        <v>2893</v>
      </c>
      <c r="D783" s="40" t="n">
        <v>3350</v>
      </c>
      <c r="E783" s="2" t="s">
        <v>678</v>
      </c>
      <c r="F783" s="41" t="n">
        <v>0.703582089552239</v>
      </c>
      <c r="G783" s="31" t="n">
        <v>58.5</v>
      </c>
      <c r="H783" s="42" t="n">
        <v>0.318897637795276</v>
      </c>
      <c r="I783" s="31" t="n">
        <v>100</v>
      </c>
      <c r="J783" s="2" t="s">
        <v>2713</v>
      </c>
      <c r="K783" s="33"/>
      <c r="L783" s="31"/>
      <c r="M783" s="34" t="s">
        <v>668</v>
      </c>
      <c r="N783" s="2" t="s">
        <v>21</v>
      </c>
      <c r="O783" s="2" t="s">
        <v>21</v>
      </c>
      <c r="P783" s="2" t="s">
        <v>21</v>
      </c>
      <c r="Q783" s="2"/>
    </row>
    <row r="784" customFormat="false" ht="15" hidden="false" customHeight="false" outlineLevel="0" collapsed="false">
      <c r="A784" s="2" t="s">
        <v>1846</v>
      </c>
      <c r="B784" s="2" t="s">
        <v>46</v>
      </c>
      <c r="C784" s="14" t="s">
        <v>1847</v>
      </c>
      <c r="D784" s="40" t="n">
        <v>301450</v>
      </c>
      <c r="E784" s="2" t="s">
        <v>670</v>
      </c>
      <c r="F784" s="41" t="n">
        <v>1.77077127218444</v>
      </c>
      <c r="G784" s="31" t="n">
        <v>21.6</v>
      </c>
      <c r="H784" s="42" t="n">
        <v>0.167867658453433</v>
      </c>
      <c r="I784" s="31" t="n">
        <v>89.4</v>
      </c>
      <c r="J784" s="2" t="s">
        <v>2705</v>
      </c>
      <c r="K784" s="43" t="n">
        <v>0.274629434828345</v>
      </c>
      <c r="L784" s="31" t="n">
        <v>86.5</v>
      </c>
      <c r="M784" s="39" t="s">
        <v>671</v>
      </c>
      <c r="N784" s="2" t="s">
        <v>21</v>
      </c>
      <c r="O784" s="2" t="s">
        <v>21</v>
      </c>
      <c r="P784" s="2" t="s">
        <v>21</v>
      </c>
      <c r="Q784" s="2" t="s">
        <v>21</v>
      </c>
    </row>
    <row r="785" customFormat="false" ht="15" hidden="false" customHeight="false" outlineLevel="0" collapsed="false">
      <c r="A785" s="2" t="s">
        <v>1846</v>
      </c>
      <c r="B785" s="2" t="s">
        <v>47</v>
      </c>
      <c r="C785" s="13" t="s">
        <v>2559</v>
      </c>
      <c r="D785" s="35" t="n">
        <v>115950</v>
      </c>
      <c r="E785" s="2" t="s">
        <v>670</v>
      </c>
      <c r="F785" s="36" t="n">
        <v>0.633980163863734</v>
      </c>
      <c r="G785" s="31" t="n">
        <v>18.1</v>
      </c>
      <c r="H785" s="37" t="n">
        <v>0.0496347325445608</v>
      </c>
      <c r="I785" s="31" t="n">
        <v>35.5</v>
      </c>
      <c r="J785" s="2" t="s">
        <v>2701</v>
      </c>
      <c r="K785" s="38" t="n">
        <v>0.0357142857142857</v>
      </c>
      <c r="L785" s="31" t="n">
        <v>23</v>
      </c>
      <c r="M785" s="39" t="s">
        <v>671</v>
      </c>
      <c r="N785" s="2" t="s">
        <v>19</v>
      </c>
      <c r="O785" s="2" t="s">
        <v>19</v>
      </c>
      <c r="P785" s="2" t="s">
        <v>19</v>
      </c>
      <c r="Q785" s="2" t="s">
        <v>19</v>
      </c>
    </row>
    <row r="786" customFormat="false" ht="15" hidden="false" customHeight="false" outlineLevel="0" collapsed="false">
      <c r="A786" s="2" t="s">
        <v>676</v>
      </c>
      <c r="B786" s="2" t="s">
        <v>45</v>
      </c>
      <c r="C786" s="13" t="s">
        <v>677</v>
      </c>
      <c r="D786" s="35" t="n">
        <v>8081</v>
      </c>
      <c r="E786" s="2" t="s">
        <v>678</v>
      </c>
      <c r="F786" s="36" t="n">
        <v>3.34772924143052</v>
      </c>
      <c r="G786" s="31" t="n">
        <v>98.9</v>
      </c>
      <c r="H786" s="37" t="n">
        <v>0.0570307390451275</v>
      </c>
      <c r="I786" s="31" t="n">
        <v>31.5</v>
      </c>
      <c r="J786" s="2" t="s">
        <v>2713</v>
      </c>
      <c r="K786" s="38" t="n">
        <v>0.0599475458973398</v>
      </c>
      <c r="L786" s="31" t="n">
        <v>17.4</v>
      </c>
      <c r="M786" s="39" t="s">
        <v>671</v>
      </c>
      <c r="N786" s="2" t="s">
        <v>19</v>
      </c>
      <c r="O786" s="2" t="s">
        <v>19</v>
      </c>
      <c r="P786" s="2" t="s">
        <v>19</v>
      </c>
      <c r="Q786" s="2" t="s">
        <v>19</v>
      </c>
    </row>
    <row r="787" customFormat="false" ht="15" hidden="false" customHeight="false" outlineLevel="0" collapsed="false">
      <c r="A787" s="2" t="s">
        <v>676</v>
      </c>
      <c r="B787" s="2" t="s">
        <v>46</v>
      </c>
      <c r="C787" s="16"/>
      <c r="D787" s="29"/>
      <c r="E787" s="2"/>
      <c r="F787" s="30"/>
      <c r="G787" s="31"/>
      <c r="H787" s="32"/>
      <c r="I787" s="31"/>
      <c r="J787" s="2"/>
      <c r="K787" s="33"/>
      <c r="L787" s="31"/>
      <c r="M787" s="34" t="s">
        <v>668</v>
      </c>
      <c r="N787" s="2"/>
      <c r="O787" s="2"/>
      <c r="P787" s="2"/>
      <c r="Q787" s="2"/>
    </row>
    <row r="788" customFormat="false" ht="15" hidden="false" customHeight="false" outlineLevel="0" collapsed="false">
      <c r="A788" s="2" t="s">
        <v>676</v>
      </c>
      <c r="B788" s="2" t="s">
        <v>47</v>
      </c>
      <c r="C788" s="13" t="s">
        <v>2599</v>
      </c>
      <c r="D788" s="35" t="n">
        <v>125890</v>
      </c>
      <c r="E788" s="2" t="s">
        <v>670</v>
      </c>
      <c r="F788" s="36" t="n">
        <v>0.549908650409087</v>
      </c>
      <c r="G788" s="31" t="n">
        <v>13.7</v>
      </c>
      <c r="H788" s="37" t="n">
        <v>0.044999128406478</v>
      </c>
      <c r="I788" s="31" t="n">
        <v>31.3</v>
      </c>
      <c r="J788" s="2" t="s">
        <v>2701</v>
      </c>
      <c r="K788" s="38" t="n">
        <v>0.221655328798186</v>
      </c>
      <c r="L788" s="31" t="n">
        <v>87.6</v>
      </c>
      <c r="M788" s="39" t="s">
        <v>671</v>
      </c>
      <c r="N788" s="2" t="s">
        <v>19</v>
      </c>
      <c r="O788" s="2" t="s">
        <v>19</v>
      </c>
      <c r="P788" s="2" t="s">
        <v>19</v>
      </c>
      <c r="Q788" s="2" t="s">
        <v>19</v>
      </c>
    </row>
    <row r="789" customFormat="false" ht="15" hidden="false" customHeight="false" outlineLevel="0" collapsed="false">
      <c r="A789" s="2" t="s">
        <v>177</v>
      </c>
      <c r="B789" s="2" t="s">
        <v>46</v>
      </c>
      <c r="C789" s="13" t="s">
        <v>1411</v>
      </c>
      <c r="D789" s="35" t="n">
        <v>12208</v>
      </c>
      <c r="E789" s="2" t="s">
        <v>667</v>
      </c>
      <c r="F789" s="36" t="n">
        <v>9.21502293577982</v>
      </c>
      <c r="G789" s="31" t="n">
        <v>94.3</v>
      </c>
      <c r="H789" s="37" t="n">
        <v>0.0379187213059004</v>
      </c>
      <c r="I789" s="31" t="n">
        <v>24.5</v>
      </c>
      <c r="J789" s="2" t="s">
        <v>2700</v>
      </c>
      <c r="K789" s="38" t="n">
        <v>0.162009741092028</v>
      </c>
      <c r="L789" s="31" t="n">
        <v>61.4</v>
      </c>
      <c r="M789" s="39" t="s">
        <v>671</v>
      </c>
      <c r="N789" s="2" t="s">
        <v>19</v>
      </c>
      <c r="O789" s="2" t="s">
        <v>19</v>
      </c>
      <c r="P789" s="2" t="s">
        <v>19</v>
      </c>
      <c r="Q789" s="2" t="s">
        <v>19</v>
      </c>
    </row>
    <row r="790" customFormat="false" ht="15" hidden="false" customHeight="false" outlineLevel="0" collapsed="false">
      <c r="A790" s="2" t="s">
        <v>177</v>
      </c>
      <c r="B790" s="2" t="s">
        <v>47</v>
      </c>
      <c r="C790" s="13" t="s">
        <v>2284</v>
      </c>
      <c r="D790" s="35" t="n">
        <v>107042</v>
      </c>
      <c r="E790" s="2" t="s">
        <v>670</v>
      </c>
      <c r="F790" s="36" t="n">
        <v>1.37209693391379</v>
      </c>
      <c r="G790" s="31" t="n">
        <v>54.6</v>
      </c>
      <c r="H790" s="37" t="n">
        <v>0.165476242323941</v>
      </c>
      <c r="I790" s="31" t="n">
        <v>82.5</v>
      </c>
      <c r="J790" s="2" t="s">
        <v>2701</v>
      </c>
      <c r="K790" s="38" t="n">
        <v>0.0840100398641665</v>
      </c>
      <c r="L790" s="31" t="n">
        <v>46.5</v>
      </c>
      <c r="M790" s="39" t="s">
        <v>671</v>
      </c>
      <c r="N790" s="2" t="s">
        <v>19</v>
      </c>
      <c r="O790" s="2" t="s">
        <v>19</v>
      </c>
      <c r="P790" s="2" t="s">
        <v>19</v>
      </c>
      <c r="Q790" s="2" t="s">
        <v>19</v>
      </c>
    </row>
    <row r="791" customFormat="false" ht="15" hidden="false" customHeight="false" outlineLevel="0" collapsed="false">
      <c r="A791" s="2" t="s">
        <v>805</v>
      </c>
      <c r="B791" s="2" t="s">
        <v>45</v>
      </c>
      <c r="C791" s="13" t="s">
        <v>806</v>
      </c>
      <c r="D791" s="35" t="n">
        <v>79114</v>
      </c>
      <c r="E791" s="2" t="s">
        <v>667</v>
      </c>
      <c r="F791" s="36" t="n">
        <v>1.21505675354552</v>
      </c>
      <c r="G791" s="31" t="n">
        <v>83.1</v>
      </c>
      <c r="H791" s="37" t="n">
        <v>0.0439406734930856</v>
      </c>
      <c r="I791" s="31" t="n">
        <v>25.8</v>
      </c>
      <c r="J791" s="2" t="s">
        <v>2704</v>
      </c>
      <c r="K791" s="38" t="n">
        <v>0.249720795175341</v>
      </c>
      <c r="L791" s="31" t="n">
        <v>80.9</v>
      </c>
      <c r="M791" s="39" t="s">
        <v>671</v>
      </c>
      <c r="N791" s="2" t="s">
        <v>19</v>
      </c>
      <c r="O791" s="2" t="s">
        <v>19</v>
      </c>
      <c r="P791" s="2" t="s">
        <v>19</v>
      </c>
      <c r="Q791" s="2" t="s">
        <v>19</v>
      </c>
    </row>
    <row r="792" customFormat="false" ht="15" hidden="false" customHeight="false" outlineLevel="0" collapsed="false">
      <c r="A792" s="2" t="s">
        <v>805</v>
      </c>
      <c r="B792" s="2" t="s">
        <v>46</v>
      </c>
      <c r="C792" s="16"/>
      <c r="D792" s="29"/>
      <c r="E792" s="2"/>
      <c r="F792" s="30"/>
      <c r="G792" s="31"/>
      <c r="H792" s="32"/>
      <c r="I792" s="31"/>
      <c r="J792" s="2"/>
      <c r="K792" s="33"/>
      <c r="L792" s="31"/>
      <c r="M792" s="34" t="s">
        <v>668</v>
      </c>
      <c r="N792" s="2"/>
      <c r="O792" s="2"/>
      <c r="P792" s="2"/>
      <c r="Q792" s="2"/>
    </row>
    <row r="793" customFormat="false" ht="15" hidden="false" customHeight="false" outlineLevel="0" collapsed="false">
      <c r="A793" s="2" t="s">
        <v>212</v>
      </c>
      <c r="B793" s="2" t="s">
        <v>46</v>
      </c>
      <c r="C793" s="13" t="s">
        <v>1569</v>
      </c>
      <c r="D793" s="35" t="n">
        <v>85521</v>
      </c>
      <c r="E793" s="2" t="s">
        <v>667</v>
      </c>
      <c r="F793" s="36" t="n">
        <v>4.56639889617755</v>
      </c>
      <c r="G793" s="31" t="n">
        <v>69.1</v>
      </c>
      <c r="H793" s="37" t="n">
        <v>0.196399093478078</v>
      </c>
      <c r="I793" s="31" t="n">
        <v>93.8</v>
      </c>
      <c r="J793" s="2" t="s">
        <v>2700</v>
      </c>
      <c r="K793" s="38" t="n">
        <v>0.0244079090316506</v>
      </c>
      <c r="L793" s="31" t="n">
        <v>3.9</v>
      </c>
      <c r="M793" s="39" t="s">
        <v>671</v>
      </c>
      <c r="N793" s="2" t="s">
        <v>19</v>
      </c>
      <c r="O793" s="2" t="s">
        <v>19</v>
      </c>
      <c r="P793" s="2" t="s">
        <v>19</v>
      </c>
      <c r="Q793" s="2" t="s">
        <v>19</v>
      </c>
    </row>
    <row r="794" customFormat="false" ht="15" hidden="false" customHeight="false" outlineLevel="0" collapsed="false">
      <c r="A794" s="2" t="s">
        <v>2894</v>
      </c>
      <c r="B794" s="2" t="s">
        <v>45</v>
      </c>
      <c r="C794" s="15" t="s">
        <v>2895</v>
      </c>
      <c r="D794" s="44" t="n">
        <v>57159</v>
      </c>
      <c r="E794" s="2" t="s">
        <v>667</v>
      </c>
      <c r="F794" s="45" t="n">
        <v>1.11581728161794</v>
      </c>
      <c r="G794" s="31" t="n">
        <v>80.1</v>
      </c>
      <c r="H794" s="32"/>
      <c r="I794" s="31"/>
      <c r="J794" s="2"/>
      <c r="K794" s="33"/>
      <c r="L794" s="31"/>
      <c r="M794" s="34" t="s">
        <v>668</v>
      </c>
      <c r="N794" s="2" t="s">
        <v>17</v>
      </c>
      <c r="O794" s="2" t="s">
        <v>17</v>
      </c>
      <c r="P794" s="2"/>
      <c r="Q794" s="2"/>
    </row>
    <row r="795" customFormat="false" ht="15" hidden="false" customHeight="false" outlineLevel="0" collapsed="false">
      <c r="A795" s="2" t="s">
        <v>2894</v>
      </c>
      <c r="B795" s="2" t="s">
        <v>46</v>
      </c>
      <c r="C795" s="14" t="s">
        <v>2896</v>
      </c>
      <c r="D795" s="40" t="n">
        <v>216940</v>
      </c>
      <c r="E795" s="2" t="s">
        <v>670</v>
      </c>
      <c r="F795" s="41" t="n">
        <v>5.05391352447681</v>
      </c>
      <c r="G795" s="31" t="n">
        <v>73.4</v>
      </c>
      <c r="H795" s="32"/>
      <c r="I795" s="31"/>
      <c r="J795" s="2"/>
      <c r="K795" s="33"/>
      <c r="L795" s="31"/>
      <c r="M795" s="34" t="s">
        <v>668</v>
      </c>
      <c r="N795" s="2" t="s">
        <v>21</v>
      </c>
      <c r="O795" s="2" t="s">
        <v>21</v>
      </c>
      <c r="P795" s="2"/>
      <c r="Q795" s="2"/>
    </row>
    <row r="796" customFormat="false" ht="15" hidden="false" customHeight="false" outlineLevel="0" collapsed="false">
      <c r="A796" s="2" t="s">
        <v>2894</v>
      </c>
      <c r="B796" s="2" t="s">
        <v>47</v>
      </c>
      <c r="C796" s="16"/>
      <c r="D796" s="29"/>
      <c r="E796" s="2"/>
      <c r="F796" s="30"/>
      <c r="G796" s="31"/>
      <c r="H796" s="32"/>
      <c r="I796" s="31"/>
      <c r="J796" s="2"/>
      <c r="K796" s="33"/>
      <c r="L796" s="31"/>
      <c r="M796" s="34" t="s">
        <v>668</v>
      </c>
      <c r="N796" s="2"/>
      <c r="O796" s="2"/>
      <c r="P796" s="2"/>
      <c r="Q796" s="2"/>
    </row>
    <row r="797" customFormat="false" ht="15" hidden="false" customHeight="false" outlineLevel="0" collapsed="false">
      <c r="A797" s="2" t="s">
        <v>165</v>
      </c>
      <c r="B797" s="2" t="s">
        <v>45</v>
      </c>
      <c r="C797" s="13" t="s">
        <v>844</v>
      </c>
      <c r="D797" s="35" t="n">
        <v>137090</v>
      </c>
      <c r="E797" s="2" t="s">
        <v>670</v>
      </c>
      <c r="F797" s="36" t="n">
        <v>1.01592384564884</v>
      </c>
      <c r="G797" s="31" t="n">
        <v>75.9</v>
      </c>
      <c r="H797" s="37" t="n">
        <v>0.0270067797879912</v>
      </c>
      <c r="I797" s="31" t="n">
        <v>23.2</v>
      </c>
      <c r="J797" s="2" t="s">
        <v>2698</v>
      </c>
      <c r="K797" s="38" t="n">
        <v>0.132355338223309</v>
      </c>
      <c r="L797" s="31" t="n">
        <v>49.2</v>
      </c>
      <c r="M797" s="39" t="s">
        <v>671</v>
      </c>
      <c r="N797" s="2" t="s">
        <v>19</v>
      </c>
      <c r="O797" s="2" t="s">
        <v>19</v>
      </c>
      <c r="P797" s="2" t="s">
        <v>19</v>
      </c>
      <c r="Q797" s="2" t="s">
        <v>19</v>
      </c>
    </row>
    <row r="798" customFormat="false" ht="15" hidden="false" customHeight="false" outlineLevel="0" collapsed="false">
      <c r="A798" s="2" t="s">
        <v>2897</v>
      </c>
      <c r="B798" s="2" t="s">
        <v>45</v>
      </c>
      <c r="C798" s="16"/>
      <c r="D798" s="29"/>
      <c r="E798" s="2"/>
      <c r="F798" s="30"/>
      <c r="G798" s="31"/>
      <c r="H798" s="32"/>
      <c r="I798" s="31"/>
      <c r="J798" s="2"/>
      <c r="K798" s="33"/>
      <c r="L798" s="31"/>
      <c r="M798" s="34" t="s">
        <v>668</v>
      </c>
      <c r="N798" s="2"/>
      <c r="O798" s="2"/>
      <c r="P798" s="2"/>
      <c r="Q798" s="2"/>
    </row>
    <row r="799" customFormat="false" ht="15" hidden="false" customHeight="false" outlineLevel="0" collapsed="false">
      <c r="A799" s="2" t="s">
        <v>1430</v>
      </c>
      <c r="B799" s="2" t="s">
        <v>45</v>
      </c>
      <c r="C799" s="14" t="s">
        <v>2898</v>
      </c>
      <c r="D799" s="29"/>
      <c r="E799" s="2"/>
      <c r="F799" s="30"/>
      <c r="G799" s="31"/>
      <c r="H799" s="32"/>
      <c r="I799" s="31"/>
      <c r="J799" s="2"/>
      <c r="K799" s="47" t="s">
        <v>680</v>
      </c>
      <c r="L799" s="31"/>
      <c r="M799" s="34" t="s">
        <v>668</v>
      </c>
      <c r="N799" s="2"/>
      <c r="O799" s="2"/>
      <c r="P799" s="2"/>
      <c r="Q799" s="2" t="s">
        <v>2711</v>
      </c>
    </row>
    <row r="800" customFormat="false" ht="15" hidden="false" customHeight="false" outlineLevel="0" collapsed="false">
      <c r="A800" s="2" t="s">
        <v>1430</v>
      </c>
      <c r="B800" s="2" t="s">
        <v>46</v>
      </c>
      <c r="C800" s="13" t="s">
        <v>1431</v>
      </c>
      <c r="D800" s="35" t="n">
        <v>19010</v>
      </c>
      <c r="E800" s="2" t="s">
        <v>667</v>
      </c>
      <c r="F800" s="36" t="n">
        <v>8.14860599684377</v>
      </c>
      <c r="G800" s="31" t="n">
        <v>90.9</v>
      </c>
      <c r="H800" s="37" t="n">
        <v>0.0561697872104006</v>
      </c>
      <c r="I800" s="31" t="n">
        <v>32.4</v>
      </c>
      <c r="J800" s="2" t="s">
        <v>2700</v>
      </c>
      <c r="K800" s="38" t="n">
        <v>0.241955756661639</v>
      </c>
      <c r="L800" s="31" t="n">
        <v>81.3</v>
      </c>
      <c r="M800" s="39" t="s">
        <v>671</v>
      </c>
      <c r="N800" s="2" t="s">
        <v>19</v>
      </c>
      <c r="O800" s="2" t="s">
        <v>19</v>
      </c>
      <c r="P800" s="2" t="s">
        <v>19</v>
      </c>
      <c r="Q800" s="2" t="s">
        <v>19</v>
      </c>
    </row>
    <row r="801" customFormat="false" ht="15" hidden="false" customHeight="false" outlineLevel="0" collapsed="false">
      <c r="A801" s="2" t="s">
        <v>1430</v>
      </c>
      <c r="B801" s="2" t="s">
        <v>47</v>
      </c>
      <c r="C801" s="14" t="s">
        <v>2899</v>
      </c>
      <c r="D801" s="40" t="n">
        <v>576960</v>
      </c>
      <c r="E801" s="2" t="s">
        <v>670</v>
      </c>
      <c r="F801" s="30"/>
      <c r="G801" s="31"/>
      <c r="H801" s="42" t="n">
        <v>0.0388562785840326</v>
      </c>
      <c r="I801" s="31" t="n">
        <v>29.5</v>
      </c>
      <c r="J801" s="2" t="s">
        <v>2701</v>
      </c>
      <c r="K801" s="43" t="n">
        <v>0.0204540698890981</v>
      </c>
      <c r="L801" s="31" t="n">
        <v>12.8</v>
      </c>
      <c r="M801" s="34" t="s">
        <v>668</v>
      </c>
      <c r="N801" s="2" t="s">
        <v>21</v>
      </c>
      <c r="O801" s="2"/>
      <c r="P801" s="2" t="s">
        <v>21</v>
      </c>
      <c r="Q801" s="2" t="s">
        <v>21</v>
      </c>
    </row>
    <row r="802" customFormat="false" ht="15" hidden="false" customHeight="false" outlineLevel="0" collapsed="false">
      <c r="A802" s="2" t="s">
        <v>2900</v>
      </c>
      <c r="B802" s="2" t="s">
        <v>46</v>
      </c>
      <c r="C802" s="14" t="s">
        <v>2901</v>
      </c>
      <c r="D802" s="40" t="n">
        <v>89110</v>
      </c>
      <c r="E802" s="2" t="s">
        <v>667</v>
      </c>
      <c r="F802" s="30"/>
      <c r="G802" s="31"/>
      <c r="H802" s="42" t="n">
        <v>0.244031830238727</v>
      </c>
      <c r="I802" s="31" t="n">
        <v>97.9</v>
      </c>
      <c r="J802" s="2" t="s">
        <v>2700</v>
      </c>
      <c r="K802" s="33"/>
      <c r="L802" s="31"/>
      <c r="M802" s="34" t="s">
        <v>668</v>
      </c>
      <c r="N802" s="2" t="s">
        <v>21</v>
      </c>
      <c r="O802" s="2"/>
      <c r="P802" s="2" t="s">
        <v>21</v>
      </c>
      <c r="Q802" s="2"/>
    </row>
    <row r="803" customFormat="false" ht="15" hidden="false" customHeight="false" outlineLevel="0" collapsed="false">
      <c r="A803" s="2" t="s">
        <v>1770</v>
      </c>
      <c r="B803" s="2" t="s">
        <v>45</v>
      </c>
      <c r="C803" s="16"/>
      <c r="D803" s="29"/>
      <c r="E803" s="2"/>
      <c r="F803" s="30"/>
      <c r="G803" s="31"/>
      <c r="H803" s="32"/>
      <c r="I803" s="31"/>
      <c r="J803" s="2"/>
      <c r="K803" s="33"/>
      <c r="L803" s="31"/>
      <c r="M803" s="34" t="s">
        <v>668</v>
      </c>
      <c r="N803" s="2"/>
      <c r="O803" s="2"/>
      <c r="P803" s="2"/>
      <c r="Q803" s="2"/>
    </row>
    <row r="804" customFormat="false" ht="15" hidden="false" customHeight="false" outlineLevel="0" collapsed="false">
      <c r="A804" s="2" t="s">
        <v>1770</v>
      </c>
      <c r="B804" s="2" t="s">
        <v>46</v>
      </c>
      <c r="C804" s="13" t="s">
        <v>1771</v>
      </c>
      <c r="D804" s="35" t="n">
        <v>22098</v>
      </c>
      <c r="E804" s="2" t="s">
        <v>667</v>
      </c>
      <c r="F804" s="36" t="n">
        <v>2.37369897728301</v>
      </c>
      <c r="G804" s="31" t="n">
        <v>34.5</v>
      </c>
      <c r="H804" s="37" t="n">
        <v>-0.0165554072096128</v>
      </c>
      <c r="I804" s="31" t="n">
        <v>9.5</v>
      </c>
      <c r="J804" s="2" t="s">
        <v>2700</v>
      </c>
      <c r="K804" s="38" t="n">
        <v>0.11924882629108</v>
      </c>
      <c r="L804" s="31" t="n">
        <v>41.5</v>
      </c>
      <c r="M804" s="39" t="s">
        <v>671</v>
      </c>
      <c r="N804" s="2" t="s">
        <v>19</v>
      </c>
      <c r="O804" s="2" t="s">
        <v>19</v>
      </c>
      <c r="P804" s="2" t="s">
        <v>19</v>
      </c>
      <c r="Q804" s="2" t="s">
        <v>19</v>
      </c>
    </row>
    <row r="805" customFormat="false" ht="15" hidden="false" customHeight="false" outlineLevel="0" collapsed="false">
      <c r="A805" s="2" t="s">
        <v>1770</v>
      </c>
      <c r="B805" s="2" t="s">
        <v>47</v>
      </c>
      <c r="C805" s="13" t="s">
        <v>2095</v>
      </c>
      <c r="D805" s="35" t="n">
        <v>310666</v>
      </c>
      <c r="E805" s="2" t="s">
        <v>670</v>
      </c>
      <c r="F805" s="36" t="n">
        <v>2.39355771149724</v>
      </c>
      <c r="G805" s="31" t="n">
        <v>80.6</v>
      </c>
      <c r="H805" s="37" t="n">
        <v>0.0119347756692139</v>
      </c>
      <c r="I805" s="31" t="n">
        <v>18.1</v>
      </c>
      <c r="J805" s="2" t="s">
        <v>2701</v>
      </c>
      <c r="K805" s="38" t="n">
        <v>0.0134789363063145</v>
      </c>
      <c r="L805" s="31" t="n">
        <v>8.8</v>
      </c>
      <c r="M805" s="39" t="s">
        <v>671</v>
      </c>
      <c r="N805" s="2" t="s">
        <v>19</v>
      </c>
      <c r="O805" s="2" t="s">
        <v>19</v>
      </c>
      <c r="P805" s="2" t="s">
        <v>19</v>
      </c>
      <c r="Q805" s="2" t="s">
        <v>19</v>
      </c>
    </row>
    <row r="806" customFormat="false" ht="15" hidden="false" customHeight="false" outlineLevel="0" collapsed="false">
      <c r="A806" s="2" t="s">
        <v>2902</v>
      </c>
      <c r="B806" s="2" t="s">
        <v>46</v>
      </c>
      <c r="C806" s="14" t="s">
        <v>2903</v>
      </c>
      <c r="D806" s="40" t="n">
        <v>2560</v>
      </c>
      <c r="E806" s="2" t="s">
        <v>678</v>
      </c>
      <c r="F806" s="41" t="n">
        <v>0.509765625</v>
      </c>
      <c r="G806" s="31" t="n">
        <v>0.6</v>
      </c>
      <c r="H806" s="32"/>
      <c r="I806" s="31"/>
      <c r="J806" s="2"/>
      <c r="K806" s="43" t="n">
        <v>0.0303030303030303</v>
      </c>
      <c r="L806" s="31" t="n">
        <v>6.5</v>
      </c>
      <c r="M806" s="34" t="s">
        <v>668</v>
      </c>
      <c r="N806" s="2" t="s">
        <v>21</v>
      </c>
      <c r="O806" s="2" t="s">
        <v>21</v>
      </c>
      <c r="P806" s="2"/>
      <c r="Q806" s="2" t="s">
        <v>21</v>
      </c>
    </row>
    <row r="807" customFormat="false" ht="15" hidden="false" customHeight="false" outlineLevel="0" collapsed="false">
      <c r="A807" s="2" t="s">
        <v>1391</v>
      </c>
      <c r="B807" s="2" t="s">
        <v>45</v>
      </c>
      <c r="C807" s="14" t="s">
        <v>2904</v>
      </c>
      <c r="D807" s="29"/>
      <c r="E807" s="2"/>
      <c r="F807" s="30"/>
      <c r="G807" s="31"/>
      <c r="H807" s="32"/>
      <c r="I807" s="31"/>
      <c r="J807" s="2"/>
      <c r="K807" s="43" t="n">
        <v>0.15546218487395</v>
      </c>
      <c r="L807" s="31" t="n">
        <v>57.5</v>
      </c>
      <c r="M807" s="34" t="s">
        <v>668</v>
      </c>
      <c r="N807" s="2"/>
      <c r="O807" s="2"/>
      <c r="P807" s="2"/>
      <c r="Q807" s="2" t="s">
        <v>21</v>
      </c>
    </row>
    <row r="808" customFormat="false" ht="15" hidden="false" customHeight="false" outlineLevel="0" collapsed="false">
      <c r="A808" s="2" t="s">
        <v>1391</v>
      </c>
      <c r="B808" s="2" t="s">
        <v>46</v>
      </c>
      <c r="C808" s="14" t="s">
        <v>1392</v>
      </c>
      <c r="D808" s="40" t="n">
        <v>29140</v>
      </c>
      <c r="E808" s="2" t="s">
        <v>667</v>
      </c>
      <c r="F808" s="41" t="n">
        <v>10.3932738503775</v>
      </c>
      <c r="G808" s="31" t="n">
        <v>97.3</v>
      </c>
      <c r="H808" s="42" t="n">
        <v>0.0760709010339734</v>
      </c>
      <c r="I808" s="31" t="n">
        <v>43.2</v>
      </c>
      <c r="J808" s="2" t="s">
        <v>2700</v>
      </c>
      <c r="K808" s="43" t="n">
        <v>0.0282945736434109</v>
      </c>
      <c r="L808" s="31" t="n">
        <v>6</v>
      </c>
      <c r="M808" s="39" t="s">
        <v>671</v>
      </c>
      <c r="N808" s="2" t="s">
        <v>21</v>
      </c>
      <c r="O808" s="2" t="s">
        <v>21</v>
      </c>
      <c r="P808" s="2" t="s">
        <v>21</v>
      </c>
      <c r="Q808" s="2" t="s">
        <v>21</v>
      </c>
    </row>
    <row r="809" customFormat="false" ht="15" hidden="false" customHeight="false" outlineLevel="0" collapsed="false">
      <c r="A809" s="2" t="s">
        <v>396</v>
      </c>
      <c r="B809" s="2" t="s">
        <v>45</v>
      </c>
      <c r="C809" s="14" t="s">
        <v>867</v>
      </c>
      <c r="D809" s="40" t="n">
        <v>40920</v>
      </c>
      <c r="E809" s="2" t="s">
        <v>667</v>
      </c>
      <c r="F809" s="41" t="n">
        <v>0.94574780058651</v>
      </c>
      <c r="G809" s="31" t="n">
        <v>73.5</v>
      </c>
      <c r="H809" s="42" t="n">
        <v>0.109544468546638</v>
      </c>
      <c r="I809" s="31" t="n">
        <v>59.1</v>
      </c>
      <c r="J809" s="2" t="s">
        <v>2704</v>
      </c>
      <c r="K809" s="43" t="n">
        <v>0.182247721903476</v>
      </c>
      <c r="L809" s="31" t="n">
        <v>64.9</v>
      </c>
      <c r="M809" s="39" t="s">
        <v>671</v>
      </c>
      <c r="N809" s="2" t="s">
        <v>21</v>
      </c>
      <c r="O809" s="2" t="s">
        <v>21</v>
      </c>
      <c r="P809" s="2" t="s">
        <v>21</v>
      </c>
      <c r="Q809" s="2" t="s">
        <v>21</v>
      </c>
    </row>
    <row r="810" customFormat="false" ht="15" hidden="false" customHeight="false" outlineLevel="0" collapsed="false">
      <c r="A810" s="2" t="s">
        <v>396</v>
      </c>
      <c r="B810" s="2" t="s">
        <v>46</v>
      </c>
      <c r="C810" s="14" t="s">
        <v>1868</v>
      </c>
      <c r="D810" s="40" t="n">
        <v>115600</v>
      </c>
      <c r="E810" s="2" t="s">
        <v>670</v>
      </c>
      <c r="F810" s="41" t="n">
        <v>1.61793252595156</v>
      </c>
      <c r="G810" s="31" t="n">
        <v>18</v>
      </c>
      <c r="H810" s="42" t="n">
        <v>0.0559970768247008</v>
      </c>
      <c r="I810" s="31" t="n">
        <v>33.8</v>
      </c>
      <c r="J810" s="2" t="s">
        <v>2705</v>
      </c>
      <c r="K810" s="43" t="n">
        <v>0.168294849023091</v>
      </c>
      <c r="L810" s="31" t="n">
        <v>63</v>
      </c>
      <c r="M810" s="39" t="s">
        <v>671</v>
      </c>
      <c r="N810" s="2" t="s">
        <v>21</v>
      </c>
      <c r="O810" s="2" t="s">
        <v>21</v>
      </c>
      <c r="P810" s="2" t="s">
        <v>21</v>
      </c>
      <c r="Q810" s="2" t="s">
        <v>21</v>
      </c>
    </row>
    <row r="811" customFormat="false" ht="15" hidden="false" customHeight="false" outlineLevel="0" collapsed="false">
      <c r="A811" s="2" t="s">
        <v>396</v>
      </c>
      <c r="B811" s="2" t="s">
        <v>47</v>
      </c>
      <c r="C811" s="13" t="s">
        <v>2316</v>
      </c>
      <c r="D811" s="35" t="n">
        <v>19172</v>
      </c>
      <c r="E811" s="2" t="s">
        <v>667</v>
      </c>
      <c r="F811" s="36" t="n">
        <v>1.22778009597329</v>
      </c>
      <c r="G811" s="31" t="n">
        <v>49.8</v>
      </c>
      <c r="H811" s="37" t="n">
        <v>0.103487970530678</v>
      </c>
      <c r="I811" s="31" t="n">
        <v>55.7</v>
      </c>
      <c r="J811" s="2" t="s">
        <v>2697</v>
      </c>
      <c r="K811" s="38" t="n">
        <v>0.0160951714485654</v>
      </c>
      <c r="L811" s="31" t="n">
        <v>10.5</v>
      </c>
      <c r="M811" s="39" t="s">
        <v>671</v>
      </c>
      <c r="N811" s="2" t="s">
        <v>19</v>
      </c>
      <c r="O811" s="2" t="s">
        <v>19</v>
      </c>
      <c r="P811" s="2" t="s">
        <v>19</v>
      </c>
      <c r="Q811" s="2" t="s">
        <v>19</v>
      </c>
    </row>
    <row r="812" customFormat="false" ht="15" hidden="false" customHeight="false" outlineLevel="0" collapsed="false">
      <c r="A812" s="2" t="s">
        <v>2123</v>
      </c>
      <c r="B812" s="2" t="s">
        <v>45</v>
      </c>
      <c r="C812" s="14" t="s">
        <v>2905</v>
      </c>
      <c r="D812" s="40" t="n">
        <v>37770</v>
      </c>
      <c r="E812" s="2" t="s">
        <v>667</v>
      </c>
      <c r="F812" s="41" t="n">
        <v>0.160232989144824</v>
      </c>
      <c r="G812" s="31" t="n">
        <v>5.6</v>
      </c>
      <c r="H812" s="42" t="n">
        <v>0.0503337041156841</v>
      </c>
      <c r="I812" s="31" t="n">
        <v>28.2</v>
      </c>
      <c r="J812" s="2" t="s">
        <v>2704</v>
      </c>
      <c r="K812" s="33"/>
      <c r="L812" s="31"/>
      <c r="M812" s="34" t="s">
        <v>668</v>
      </c>
      <c r="N812" s="2" t="s">
        <v>21</v>
      </c>
      <c r="O812" s="2" t="s">
        <v>21</v>
      </c>
      <c r="P812" s="2" t="s">
        <v>21</v>
      </c>
      <c r="Q812" s="2"/>
    </row>
    <row r="813" customFormat="false" ht="15" hidden="false" customHeight="false" outlineLevel="0" collapsed="false">
      <c r="A813" s="2" t="s">
        <v>2123</v>
      </c>
      <c r="B813" s="2" t="s">
        <v>46</v>
      </c>
      <c r="C813" s="15" t="s">
        <v>2906</v>
      </c>
      <c r="D813" s="44" t="n">
        <v>126357</v>
      </c>
      <c r="E813" s="2" t="s">
        <v>670</v>
      </c>
      <c r="F813" s="30"/>
      <c r="G813" s="31"/>
      <c r="H813" s="46" t="n">
        <v>-0.00914344863279565</v>
      </c>
      <c r="I813" s="31" t="n">
        <v>7.9</v>
      </c>
      <c r="J813" s="2" t="s">
        <v>2705</v>
      </c>
      <c r="K813" s="33"/>
      <c r="L813" s="31"/>
      <c r="M813" s="34" t="s">
        <v>668</v>
      </c>
      <c r="N813" s="2" t="s">
        <v>17</v>
      </c>
      <c r="O813" s="2"/>
      <c r="P813" s="2" t="s">
        <v>17</v>
      </c>
      <c r="Q813" s="2"/>
    </row>
    <row r="814" customFormat="false" ht="15" hidden="false" customHeight="false" outlineLevel="0" collapsed="false">
      <c r="A814" s="2" t="s">
        <v>2123</v>
      </c>
      <c r="B814" s="2" t="s">
        <v>47</v>
      </c>
      <c r="C814" s="13" t="s">
        <v>2124</v>
      </c>
      <c r="D814" s="35" t="n">
        <v>503960</v>
      </c>
      <c r="E814" s="2" t="s">
        <v>670</v>
      </c>
      <c r="F814" s="36" t="n">
        <v>2.1028156996587</v>
      </c>
      <c r="G814" s="31" t="n">
        <v>76</v>
      </c>
      <c r="H814" s="37" t="n">
        <v>0.0108555244429824</v>
      </c>
      <c r="I814" s="31" t="n">
        <v>16.3</v>
      </c>
      <c r="J814" s="2" t="s">
        <v>2701</v>
      </c>
      <c r="K814" s="38" t="n">
        <v>0.148148148148148</v>
      </c>
      <c r="L814" s="31" t="n">
        <v>70.7</v>
      </c>
      <c r="M814" s="39" t="s">
        <v>671</v>
      </c>
      <c r="N814" s="2" t="s">
        <v>19</v>
      </c>
      <c r="O814" s="2" t="s">
        <v>19</v>
      </c>
      <c r="P814" s="2" t="s">
        <v>19</v>
      </c>
      <c r="Q814" s="2" t="s">
        <v>19</v>
      </c>
    </row>
    <row r="815" customFormat="false" ht="15" hidden="false" customHeight="false" outlineLevel="0" collapsed="false">
      <c r="A815" s="2" t="s">
        <v>498</v>
      </c>
      <c r="B815" s="2" t="s">
        <v>45</v>
      </c>
      <c r="C815" s="14" t="s">
        <v>1139</v>
      </c>
      <c r="D815" s="40" t="n">
        <v>842150</v>
      </c>
      <c r="E815" s="2" t="s">
        <v>670</v>
      </c>
      <c r="F815" s="41" t="n">
        <v>0.469459122484118</v>
      </c>
      <c r="G815" s="31" t="n">
        <v>37.4</v>
      </c>
      <c r="H815" s="42" t="n">
        <v>0.0815930749274357</v>
      </c>
      <c r="I815" s="31" t="n">
        <v>52.2</v>
      </c>
      <c r="J815" s="2" t="s">
        <v>2698</v>
      </c>
      <c r="K815" s="43" t="n">
        <v>0.123064467159194</v>
      </c>
      <c r="L815" s="31" t="n">
        <v>44.5</v>
      </c>
      <c r="M815" s="39" t="s">
        <v>671</v>
      </c>
      <c r="N815" s="2" t="s">
        <v>21</v>
      </c>
      <c r="O815" s="2" t="s">
        <v>21</v>
      </c>
      <c r="P815" s="2" t="s">
        <v>21</v>
      </c>
      <c r="Q815" s="2" t="s">
        <v>21</v>
      </c>
    </row>
    <row r="816" customFormat="false" ht="15" hidden="false" customHeight="false" outlineLevel="0" collapsed="false">
      <c r="A816" s="2" t="s">
        <v>498</v>
      </c>
      <c r="B816" s="2" t="s">
        <v>46</v>
      </c>
      <c r="C816" s="13" t="s">
        <v>1819</v>
      </c>
      <c r="D816" s="35" t="n">
        <v>123044</v>
      </c>
      <c r="E816" s="2" t="s">
        <v>670</v>
      </c>
      <c r="F816" s="36" t="n">
        <v>1.98542797698384</v>
      </c>
      <c r="G816" s="31" t="n">
        <v>26.2</v>
      </c>
      <c r="H816" s="37" t="n">
        <v>0.0499620271527191</v>
      </c>
      <c r="I816" s="31" t="n">
        <v>31.1</v>
      </c>
      <c r="J816" s="2" t="s">
        <v>2705</v>
      </c>
      <c r="K816" s="38" t="n">
        <v>0.0855814522542363</v>
      </c>
      <c r="L816" s="31" t="n">
        <v>26.7</v>
      </c>
      <c r="M816" s="39" t="s">
        <v>671</v>
      </c>
      <c r="N816" s="2" t="s">
        <v>19</v>
      </c>
      <c r="O816" s="2" t="s">
        <v>19</v>
      </c>
      <c r="P816" s="2" t="s">
        <v>19</v>
      </c>
      <c r="Q816" s="2" t="s">
        <v>19</v>
      </c>
    </row>
    <row r="817" customFormat="false" ht="15" hidden="false" customHeight="false" outlineLevel="0" collapsed="false">
      <c r="A817" s="2" t="s">
        <v>498</v>
      </c>
      <c r="B817" s="2" t="s">
        <v>47</v>
      </c>
      <c r="C817" s="13" t="s">
        <v>2361</v>
      </c>
      <c r="D817" s="35" t="n">
        <v>33231</v>
      </c>
      <c r="E817" s="2" t="s">
        <v>667</v>
      </c>
      <c r="F817" s="36" t="n">
        <v>1.11037886310975</v>
      </c>
      <c r="G817" s="31" t="n">
        <v>44.3</v>
      </c>
      <c r="H817" s="37" t="n">
        <v>0.116220483020389</v>
      </c>
      <c r="I817" s="31" t="n">
        <v>62.4</v>
      </c>
      <c r="J817" s="2" t="s">
        <v>2697</v>
      </c>
      <c r="K817" s="38" t="n">
        <v>0.209619952494062</v>
      </c>
      <c r="L817" s="31" t="n">
        <v>85</v>
      </c>
      <c r="M817" s="39" t="s">
        <v>671</v>
      </c>
      <c r="N817" s="2" t="s">
        <v>19</v>
      </c>
      <c r="O817" s="2" t="s">
        <v>19</v>
      </c>
      <c r="P817" s="2" t="s">
        <v>19</v>
      </c>
      <c r="Q817" s="2" t="s">
        <v>19</v>
      </c>
    </row>
    <row r="818" customFormat="false" ht="15" hidden="false" customHeight="false" outlineLevel="0" collapsed="false">
      <c r="A818" s="2" t="s">
        <v>858</v>
      </c>
      <c r="B818" s="2" t="s">
        <v>45</v>
      </c>
      <c r="C818" s="14" t="s">
        <v>859</v>
      </c>
      <c r="D818" s="40" t="n">
        <v>17530</v>
      </c>
      <c r="E818" s="2" t="s">
        <v>667</v>
      </c>
      <c r="F818" s="41" t="n">
        <v>0.965601825442099</v>
      </c>
      <c r="G818" s="31" t="n">
        <v>74.4</v>
      </c>
      <c r="H818" s="42" t="n">
        <v>0.0269478617457528</v>
      </c>
      <c r="I818" s="31" t="n">
        <v>15.9</v>
      </c>
      <c r="J818" s="2" t="s">
        <v>2704</v>
      </c>
      <c r="K818" s="43" t="n">
        <v>0.0754214729370009</v>
      </c>
      <c r="L818" s="31" t="n">
        <v>23.8</v>
      </c>
      <c r="M818" s="39" t="s">
        <v>671</v>
      </c>
      <c r="N818" s="2" t="s">
        <v>21</v>
      </c>
      <c r="O818" s="2" t="s">
        <v>21</v>
      </c>
      <c r="P818" s="2" t="s">
        <v>21</v>
      </c>
      <c r="Q818" s="2" t="s">
        <v>21</v>
      </c>
    </row>
    <row r="819" customFormat="false" ht="15" hidden="false" customHeight="false" outlineLevel="0" collapsed="false">
      <c r="A819" s="2" t="s">
        <v>858</v>
      </c>
      <c r="B819" s="2" t="s">
        <v>46</v>
      </c>
      <c r="C819" s="14" t="s">
        <v>2907</v>
      </c>
      <c r="D819" s="29"/>
      <c r="E819" s="2"/>
      <c r="F819" s="30"/>
      <c r="G819" s="31"/>
      <c r="H819" s="32"/>
      <c r="I819" s="31"/>
      <c r="J819" s="2"/>
      <c r="K819" s="43" t="n">
        <v>0.141705069124424</v>
      </c>
      <c r="L819" s="31" t="n">
        <v>52.5</v>
      </c>
      <c r="M819" s="34" t="s">
        <v>668</v>
      </c>
      <c r="N819" s="2"/>
      <c r="O819" s="2"/>
      <c r="P819" s="2"/>
      <c r="Q819" s="2" t="s">
        <v>21</v>
      </c>
    </row>
    <row r="820" customFormat="false" ht="15" hidden="false" customHeight="false" outlineLevel="0" collapsed="false">
      <c r="A820" s="2" t="s">
        <v>858</v>
      </c>
      <c r="B820" s="2" t="s">
        <v>47</v>
      </c>
      <c r="C820" s="13" t="s">
        <v>2450</v>
      </c>
      <c r="D820" s="35" t="n">
        <v>49204</v>
      </c>
      <c r="E820" s="2" t="s">
        <v>667</v>
      </c>
      <c r="F820" s="36" t="n">
        <v>0.91112511177953</v>
      </c>
      <c r="G820" s="31" t="n">
        <v>32.5</v>
      </c>
      <c r="H820" s="37" t="n">
        <v>0.170687604092315</v>
      </c>
      <c r="I820" s="31" t="n">
        <v>87.2</v>
      </c>
      <c r="J820" s="2" t="s">
        <v>2697</v>
      </c>
      <c r="K820" s="38" t="n">
        <v>0.0519893899204244</v>
      </c>
      <c r="L820" s="31" t="n">
        <v>32.6</v>
      </c>
      <c r="M820" s="39" t="s">
        <v>671</v>
      </c>
      <c r="N820" s="2" t="s">
        <v>19</v>
      </c>
      <c r="O820" s="2" t="s">
        <v>19</v>
      </c>
      <c r="P820" s="2" t="s">
        <v>19</v>
      </c>
      <c r="Q820" s="2" t="s">
        <v>19</v>
      </c>
    </row>
    <row r="821" customFormat="false" ht="15" hidden="false" customHeight="false" outlineLevel="0" collapsed="false">
      <c r="A821" s="2" t="s">
        <v>2669</v>
      </c>
      <c r="B821" s="2" t="s">
        <v>45</v>
      </c>
      <c r="C821" s="14" t="s">
        <v>2908</v>
      </c>
      <c r="D821" s="40" t="n">
        <v>10600</v>
      </c>
      <c r="E821" s="2" t="s">
        <v>667</v>
      </c>
      <c r="F821" s="41" t="n">
        <v>0.852452830188679</v>
      </c>
      <c r="G821" s="31" t="n">
        <v>67.3</v>
      </c>
      <c r="H821" s="32"/>
      <c r="I821" s="31"/>
      <c r="J821" s="2"/>
      <c r="K821" s="47" t="s">
        <v>680</v>
      </c>
      <c r="L821" s="31"/>
      <c r="M821" s="34" t="s">
        <v>668</v>
      </c>
      <c r="N821" s="2" t="s">
        <v>21</v>
      </c>
      <c r="O821" s="2" t="s">
        <v>21</v>
      </c>
      <c r="P821" s="2"/>
      <c r="Q821" s="2" t="s">
        <v>2711</v>
      </c>
    </row>
    <row r="822" customFormat="false" ht="15" hidden="false" customHeight="false" outlineLevel="0" collapsed="false">
      <c r="A822" s="2" t="s">
        <v>2669</v>
      </c>
      <c r="B822" s="2" t="s">
        <v>46</v>
      </c>
      <c r="C822" s="15" t="s">
        <v>2909</v>
      </c>
      <c r="D822" s="44" t="n">
        <v>78796</v>
      </c>
      <c r="E822" s="2" t="s">
        <v>667</v>
      </c>
      <c r="F822" s="45" t="n">
        <v>5.55733793593583</v>
      </c>
      <c r="G822" s="31" t="n">
        <v>78.2</v>
      </c>
      <c r="H822" s="46" t="n">
        <v>0.120821598247561</v>
      </c>
      <c r="I822" s="31" t="n">
        <v>64.7</v>
      </c>
      <c r="J822" s="2" t="s">
        <v>2700</v>
      </c>
      <c r="K822" s="33"/>
      <c r="L822" s="31"/>
      <c r="M822" s="34" t="s">
        <v>668</v>
      </c>
      <c r="N822" s="2" t="s">
        <v>17</v>
      </c>
      <c r="O822" s="2" t="s">
        <v>17</v>
      </c>
      <c r="P822" s="2" t="s">
        <v>17</v>
      </c>
      <c r="Q822" s="2"/>
    </row>
    <row r="823" customFormat="false" ht="15" hidden="false" customHeight="false" outlineLevel="0" collapsed="false">
      <c r="A823" s="2" t="s">
        <v>2669</v>
      </c>
      <c r="B823" s="2" t="s">
        <v>47</v>
      </c>
      <c r="C823" s="13" t="s">
        <v>2670</v>
      </c>
      <c r="D823" s="35" t="n">
        <v>243361</v>
      </c>
      <c r="E823" s="2" t="s">
        <v>670</v>
      </c>
      <c r="F823" s="36" t="n">
        <v>0.245963815073081</v>
      </c>
      <c r="G823" s="31" t="n">
        <v>2.5</v>
      </c>
      <c r="H823" s="37" t="n">
        <v>0.112085471569644</v>
      </c>
      <c r="I823" s="31" t="n">
        <v>64.5</v>
      </c>
      <c r="J823" s="2" t="s">
        <v>2701</v>
      </c>
      <c r="K823" s="38" t="n">
        <v>0.165977249224405</v>
      </c>
      <c r="L823" s="31" t="n">
        <v>75.4</v>
      </c>
      <c r="M823" s="39" t="s">
        <v>671</v>
      </c>
      <c r="N823" s="2" t="s">
        <v>19</v>
      </c>
      <c r="O823" s="2" t="s">
        <v>19</v>
      </c>
      <c r="P823" s="2" t="s">
        <v>19</v>
      </c>
      <c r="Q823" s="2" t="s">
        <v>19</v>
      </c>
    </row>
    <row r="824" customFormat="false" ht="15" hidden="false" customHeight="false" outlineLevel="0" collapsed="false">
      <c r="A824" s="2" t="s">
        <v>1666</v>
      </c>
      <c r="B824" s="2" t="s">
        <v>45</v>
      </c>
      <c r="C824" s="15" t="s">
        <v>2910</v>
      </c>
      <c r="D824" s="40" t="n">
        <v>55040</v>
      </c>
      <c r="E824" s="2" t="s">
        <v>667</v>
      </c>
      <c r="F824" s="41" t="n">
        <v>0.223019622093023</v>
      </c>
      <c r="G824" s="31" t="n">
        <v>11.1</v>
      </c>
      <c r="H824" s="42" t="n">
        <v>0.127175916444809</v>
      </c>
      <c r="I824" s="31" t="n">
        <v>65.5</v>
      </c>
      <c r="J824" s="2" t="s">
        <v>2704</v>
      </c>
      <c r="K824" s="33"/>
      <c r="L824" s="31"/>
      <c r="M824" s="34" t="s">
        <v>668</v>
      </c>
      <c r="N824" s="2" t="s">
        <v>21</v>
      </c>
      <c r="O824" s="2" t="s">
        <v>21</v>
      </c>
      <c r="P824" s="2" t="s">
        <v>21</v>
      </c>
      <c r="Q824" s="2"/>
    </row>
    <row r="825" customFormat="false" ht="15" hidden="false" customHeight="false" outlineLevel="0" collapsed="false">
      <c r="A825" s="2" t="s">
        <v>1666</v>
      </c>
      <c r="B825" s="2" t="s">
        <v>46</v>
      </c>
      <c r="C825" s="15" t="s">
        <v>1667</v>
      </c>
      <c r="D825" s="40" t="n">
        <v>65500</v>
      </c>
      <c r="E825" s="2" t="s">
        <v>667</v>
      </c>
      <c r="F825" s="41" t="n">
        <v>3.3187786259542</v>
      </c>
      <c r="G825" s="31" t="n">
        <v>52.4</v>
      </c>
      <c r="H825" s="42" t="n">
        <v>-0.0370479270802705</v>
      </c>
      <c r="I825" s="31" t="n">
        <v>5.4</v>
      </c>
      <c r="J825" s="2" t="s">
        <v>2700</v>
      </c>
      <c r="K825" s="43" t="n">
        <v>0.115799645675632</v>
      </c>
      <c r="L825" s="31" t="n">
        <v>39.4</v>
      </c>
      <c r="M825" s="39" t="s">
        <v>671</v>
      </c>
      <c r="N825" s="2" t="s">
        <v>21</v>
      </c>
      <c r="O825" s="2" t="s">
        <v>21</v>
      </c>
      <c r="P825" s="2" t="s">
        <v>21</v>
      </c>
      <c r="Q825" s="2" t="s">
        <v>21</v>
      </c>
    </row>
    <row r="826" customFormat="false" ht="15" hidden="false" customHeight="false" outlineLevel="0" collapsed="false">
      <c r="A826" s="2" t="s">
        <v>1666</v>
      </c>
      <c r="B826" s="2" t="s">
        <v>47</v>
      </c>
      <c r="C826" s="13" t="s">
        <v>2028</v>
      </c>
      <c r="D826" s="35" t="n">
        <v>11283</v>
      </c>
      <c r="E826" s="2" t="s">
        <v>667</v>
      </c>
      <c r="F826" s="36" t="n">
        <v>3.28955065142249</v>
      </c>
      <c r="G826" s="31" t="n">
        <v>90.7</v>
      </c>
      <c r="H826" s="37" t="n">
        <v>0.103363974183454</v>
      </c>
      <c r="I826" s="31" t="n">
        <v>55.3</v>
      </c>
      <c r="J826" s="2" t="s">
        <v>2697</v>
      </c>
      <c r="K826" s="38" t="n">
        <v>0.0300240192153723</v>
      </c>
      <c r="L826" s="31" t="n">
        <v>19.4</v>
      </c>
      <c r="M826" s="39" t="s">
        <v>671</v>
      </c>
      <c r="N826" s="2" t="s">
        <v>19</v>
      </c>
      <c r="O826" s="2" t="s">
        <v>19</v>
      </c>
      <c r="P826" s="2" t="s">
        <v>19</v>
      </c>
      <c r="Q826" s="2" t="s">
        <v>19</v>
      </c>
    </row>
    <row r="827" customFormat="false" ht="15" hidden="false" customHeight="false" outlineLevel="0" collapsed="false">
      <c r="A827" s="2" t="s">
        <v>1304</v>
      </c>
      <c r="B827" s="2" t="s">
        <v>45</v>
      </c>
      <c r="C827" s="13" t="s">
        <v>1305</v>
      </c>
      <c r="D827" s="35" t="n">
        <v>211367</v>
      </c>
      <c r="E827" s="2" t="s">
        <v>670</v>
      </c>
      <c r="F827" s="36" t="n">
        <v>0.241234440570193</v>
      </c>
      <c r="G827" s="31" t="n">
        <v>12.4</v>
      </c>
      <c r="H827" s="37" t="n">
        <v>0.224095394736842</v>
      </c>
      <c r="I827" s="31" t="n">
        <v>97.1</v>
      </c>
      <c r="J827" s="2" t="s">
        <v>2698</v>
      </c>
      <c r="K827" s="38" t="n">
        <v>0.134045653229723</v>
      </c>
      <c r="L827" s="31" t="n">
        <v>50.6</v>
      </c>
      <c r="M827" s="39" t="s">
        <v>671</v>
      </c>
      <c r="N827" s="2" t="s">
        <v>19</v>
      </c>
      <c r="O827" s="2" t="s">
        <v>19</v>
      </c>
      <c r="P827" s="2" t="s">
        <v>19</v>
      </c>
      <c r="Q827" s="2" t="s">
        <v>19</v>
      </c>
    </row>
    <row r="828" customFormat="false" ht="15" hidden="false" customHeight="false" outlineLevel="0" collapsed="false">
      <c r="A828" s="2" t="s">
        <v>1304</v>
      </c>
      <c r="B828" s="2" t="s">
        <v>46</v>
      </c>
      <c r="C828" s="14" t="s">
        <v>2911</v>
      </c>
      <c r="D828" s="40" t="n">
        <v>663260</v>
      </c>
      <c r="E828" s="2" t="s">
        <v>670</v>
      </c>
      <c r="F828" s="41" t="n">
        <v>0.657533998733528</v>
      </c>
      <c r="G828" s="31" t="n">
        <v>2.5</v>
      </c>
      <c r="H828" s="42" t="n">
        <v>0.0037683308866928</v>
      </c>
      <c r="I828" s="31" t="n">
        <v>11.3</v>
      </c>
      <c r="J828" s="2" t="s">
        <v>2705</v>
      </c>
      <c r="K828" s="33"/>
      <c r="L828" s="31"/>
      <c r="M828" s="34" t="s">
        <v>668</v>
      </c>
      <c r="N828" s="2" t="s">
        <v>21</v>
      </c>
      <c r="O828" s="2" t="s">
        <v>21</v>
      </c>
      <c r="P828" s="2" t="s">
        <v>21</v>
      </c>
      <c r="Q828" s="2"/>
    </row>
    <row r="829" customFormat="false" ht="15" hidden="false" customHeight="false" outlineLevel="0" collapsed="false">
      <c r="A829" s="2" t="s">
        <v>1304</v>
      </c>
      <c r="B829" s="2" t="s">
        <v>47</v>
      </c>
      <c r="C829" s="13" t="s">
        <v>2615</v>
      </c>
      <c r="D829" s="35" t="n">
        <v>520369</v>
      </c>
      <c r="E829" s="2" t="s">
        <v>670</v>
      </c>
      <c r="F829" s="36" t="n">
        <v>0.502547230907299</v>
      </c>
      <c r="G829" s="31" t="n">
        <v>11.6</v>
      </c>
      <c r="H829" s="37" t="n">
        <v>0.165121736054202</v>
      </c>
      <c r="I829" s="31" t="n">
        <v>81.9</v>
      </c>
      <c r="J829" s="2" t="s">
        <v>2701</v>
      </c>
      <c r="K829" s="38" t="n">
        <v>0.0420736730610804</v>
      </c>
      <c r="L829" s="31" t="n">
        <v>26.9</v>
      </c>
      <c r="M829" s="39" t="s">
        <v>671</v>
      </c>
      <c r="N829" s="2" t="s">
        <v>19</v>
      </c>
      <c r="O829" s="2" t="s">
        <v>19</v>
      </c>
      <c r="P829" s="2" t="s">
        <v>19</v>
      </c>
      <c r="Q829" s="2" t="s">
        <v>19</v>
      </c>
    </row>
    <row r="830" customFormat="false" ht="15" hidden="false" customHeight="false" outlineLevel="0" collapsed="false">
      <c r="A830" s="2" t="s">
        <v>714</v>
      </c>
      <c r="B830" s="2" t="s">
        <v>45</v>
      </c>
      <c r="C830" s="13" t="s">
        <v>715</v>
      </c>
      <c r="D830" s="35" t="n">
        <v>870805</v>
      </c>
      <c r="E830" s="2" t="s">
        <v>670</v>
      </c>
      <c r="F830" s="36" t="n">
        <v>2.17885519720259</v>
      </c>
      <c r="G830" s="31" t="n">
        <v>94.4</v>
      </c>
      <c r="H830" s="37" t="n">
        <v>0.149160370822474</v>
      </c>
      <c r="I830" s="31" t="n">
        <v>78.3</v>
      </c>
      <c r="J830" s="2" t="s">
        <v>2698</v>
      </c>
      <c r="K830" s="38" t="n">
        <v>0.14895663414484</v>
      </c>
      <c r="L830" s="31" t="n">
        <v>54.7</v>
      </c>
      <c r="M830" s="39" t="s">
        <v>671</v>
      </c>
      <c r="N830" s="2" t="s">
        <v>19</v>
      </c>
      <c r="O830" s="2" t="s">
        <v>19</v>
      </c>
      <c r="P830" s="2" t="s">
        <v>19</v>
      </c>
      <c r="Q830" s="2" t="s">
        <v>19</v>
      </c>
    </row>
    <row r="831" customFormat="false" ht="15" hidden="false" customHeight="false" outlineLevel="0" collapsed="false">
      <c r="A831" s="2" t="s">
        <v>714</v>
      </c>
      <c r="B831" s="2" t="s">
        <v>46</v>
      </c>
      <c r="C831" s="13" t="s">
        <v>2912</v>
      </c>
      <c r="D831" s="29"/>
      <c r="E831" s="2"/>
      <c r="F831" s="30"/>
      <c r="G831" s="31"/>
      <c r="H831" s="32"/>
      <c r="I831" s="31"/>
      <c r="J831" s="2"/>
      <c r="K831" s="33"/>
      <c r="L831" s="31"/>
      <c r="M831" s="34" t="s">
        <v>668</v>
      </c>
      <c r="N831" s="2"/>
      <c r="O831" s="2"/>
      <c r="P831" s="2"/>
      <c r="Q831" s="2"/>
    </row>
    <row r="832" customFormat="false" ht="15" hidden="false" customHeight="false" outlineLevel="0" collapsed="false">
      <c r="A832" s="2" t="s">
        <v>714</v>
      </c>
      <c r="B832" s="2" t="s">
        <v>47</v>
      </c>
      <c r="C832" s="13" t="s">
        <v>2913</v>
      </c>
      <c r="D832" s="35" t="n">
        <v>6179</v>
      </c>
      <c r="E832" s="2" t="s">
        <v>678</v>
      </c>
      <c r="F832" s="36" t="n">
        <v>2.51917786049523</v>
      </c>
      <c r="G832" s="31" t="n">
        <v>83.1</v>
      </c>
      <c r="H832" s="37" t="n">
        <v>0.247526751463759</v>
      </c>
      <c r="I832" s="31" t="n">
        <v>96</v>
      </c>
      <c r="J832" s="2" t="s">
        <v>2706</v>
      </c>
      <c r="K832" s="33"/>
      <c r="L832" s="31"/>
      <c r="M832" s="34" t="s">
        <v>668</v>
      </c>
      <c r="N832" s="2" t="s">
        <v>19</v>
      </c>
      <c r="O832" s="2" t="s">
        <v>19</v>
      </c>
      <c r="P832" s="2" t="s">
        <v>19</v>
      </c>
      <c r="Q832" s="2"/>
    </row>
    <row r="833" customFormat="false" ht="15" hidden="false" customHeight="false" outlineLevel="0" collapsed="false">
      <c r="A833" s="2" t="s">
        <v>2155</v>
      </c>
      <c r="B833" s="2" t="s">
        <v>45</v>
      </c>
      <c r="C833" s="15" t="s">
        <v>2914</v>
      </c>
      <c r="D833" s="44" t="n">
        <v>4317</v>
      </c>
      <c r="E833" s="2" t="s">
        <v>678</v>
      </c>
      <c r="F833" s="45" t="n">
        <v>0.328237201760482</v>
      </c>
      <c r="G833" s="31" t="n">
        <v>21.4</v>
      </c>
      <c r="H833" s="46" t="n">
        <v>0.214345991561181</v>
      </c>
      <c r="I833" s="31" t="n">
        <v>94.4</v>
      </c>
      <c r="J833" s="2" t="s">
        <v>2713</v>
      </c>
      <c r="K833" s="33"/>
      <c r="L833" s="31"/>
      <c r="M833" s="34" t="s">
        <v>668</v>
      </c>
      <c r="N833" s="2" t="s">
        <v>17</v>
      </c>
      <c r="O833" s="2" t="s">
        <v>17</v>
      </c>
      <c r="P833" s="2" t="s">
        <v>17</v>
      </c>
      <c r="Q833" s="2"/>
    </row>
    <row r="834" customFormat="false" ht="15" hidden="false" customHeight="false" outlineLevel="0" collapsed="false">
      <c r="A834" s="2" t="s">
        <v>2155</v>
      </c>
      <c r="B834" s="2" t="s">
        <v>46</v>
      </c>
      <c r="C834" s="14" t="s">
        <v>2915</v>
      </c>
      <c r="D834" s="40" t="n">
        <v>15930</v>
      </c>
      <c r="E834" s="2" t="s">
        <v>667</v>
      </c>
      <c r="F834" s="41" t="n">
        <v>2.90006277463905</v>
      </c>
      <c r="G834" s="31" t="n">
        <v>45.7</v>
      </c>
      <c r="H834" s="42" t="n">
        <v>0.158545454545455</v>
      </c>
      <c r="I834" s="31" t="n">
        <v>83</v>
      </c>
      <c r="J834" s="2" t="s">
        <v>2700</v>
      </c>
      <c r="K834" s="33"/>
      <c r="L834" s="31"/>
      <c r="M834" s="34" t="s">
        <v>668</v>
      </c>
      <c r="N834" s="2" t="s">
        <v>21</v>
      </c>
      <c r="O834" s="2" t="s">
        <v>21</v>
      </c>
      <c r="P834" s="2" t="s">
        <v>21</v>
      </c>
      <c r="Q834" s="2"/>
    </row>
    <row r="835" customFormat="false" ht="15" hidden="false" customHeight="false" outlineLevel="0" collapsed="false">
      <c r="A835" s="2" t="s">
        <v>2155</v>
      </c>
      <c r="B835" s="2" t="s">
        <v>47</v>
      </c>
      <c r="C835" s="13" t="s">
        <v>2156</v>
      </c>
      <c r="D835" s="35" t="n">
        <v>101839</v>
      </c>
      <c r="E835" s="2" t="s">
        <v>670</v>
      </c>
      <c r="F835" s="36" t="n">
        <v>1.93452410176848</v>
      </c>
      <c r="G835" s="31" t="n">
        <v>71.1</v>
      </c>
      <c r="H835" s="37" t="n">
        <v>0.0476940012139543</v>
      </c>
      <c r="I835" s="31" t="n">
        <v>32.5</v>
      </c>
      <c r="J835" s="2" t="s">
        <v>2701</v>
      </c>
      <c r="K835" s="43" t="n">
        <v>0.251758921759769</v>
      </c>
      <c r="L835" s="31" t="n">
        <v>92.4</v>
      </c>
      <c r="M835" s="39" t="s">
        <v>671</v>
      </c>
      <c r="N835" s="2" t="s">
        <v>19</v>
      </c>
      <c r="O835" s="2" t="s">
        <v>19</v>
      </c>
      <c r="P835" s="2" t="s">
        <v>19</v>
      </c>
      <c r="Q835" s="2" t="s">
        <v>21</v>
      </c>
    </row>
    <row r="836" customFormat="false" ht="15" hidden="false" customHeight="false" outlineLevel="0" collapsed="false">
      <c r="A836" s="2" t="s">
        <v>900</v>
      </c>
      <c r="B836" s="2" t="s">
        <v>45</v>
      </c>
      <c r="C836" s="13" t="s">
        <v>901</v>
      </c>
      <c r="D836" s="35" t="n">
        <v>190946</v>
      </c>
      <c r="E836" s="2" t="s">
        <v>670</v>
      </c>
      <c r="F836" s="36" t="n">
        <v>0.866841934368879</v>
      </c>
      <c r="G836" s="31" t="n">
        <v>68.8</v>
      </c>
      <c r="H836" s="37" t="n">
        <v>0.0452370786393843</v>
      </c>
      <c r="I836" s="31" t="n">
        <v>29.7</v>
      </c>
      <c r="J836" s="2" t="s">
        <v>2698</v>
      </c>
      <c r="K836" s="38" t="n">
        <v>0.127891156462585</v>
      </c>
      <c r="L836" s="31" t="n">
        <v>47.5</v>
      </c>
      <c r="M836" s="39" t="s">
        <v>671</v>
      </c>
      <c r="N836" s="2" t="s">
        <v>19</v>
      </c>
      <c r="O836" s="2" t="s">
        <v>19</v>
      </c>
      <c r="P836" s="2" t="s">
        <v>19</v>
      </c>
      <c r="Q836" s="2" t="s">
        <v>19</v>
      </c>
    </row>
    <row r="837" customFormat="false" ht="15" hidden="false" customHeight="false" outlineLevel="0" collapsed="false">
      <c r="A837" s="2" t="s">
        <v>900</v>
      </c>
      <c r="B837" s="2" t="s">
        <v>46</v>
      </c>
      <c r="C837" s="14" t="s">
        <v>2916</v>
      </c>
      <c r="D837" s="40" t="n">
        <v>49410</v>
      </c>
      <c r="E837" s="2" t="s">
        <v>667</v>
      </c>
      <c r="F837" s="41" t="n">
        <v>3.70313701679822</v>
      </c>
      <c r="G837" s="31" t="n">
        <v>58.1</v>
      </c>
      <c r="H837" s="42" t="n">
        <v>0.0510529674537333</v>
      </c>
      <c r="I837" s="31" t="n">
        <v>28.6</v>
      </c>
      <c r="J837" s="2" t="s">
        <v>2700</v>
      </c>
      <c r="K837" s="33"/>
      <c r="L837" s="31"/>
      <c r="M837" s="34" t="s">
        <v>668</v>
      </c>
      <c r="N837" s="2" t="s">
        <v>21</v>
      </c>
      <c r="O837" s="2" t="s">
        <v>21</v>
      </c>
      <c r="P837" s="2" t="s">
        <v>21</v>
      </c>
      <c r="Q837" s="2"/>
    </row>
    <row r="838" customFormat="false" ht="15" hidden="false" customHeight="false" outlineLevel="0" collapsed="false">
      <c r="A838" s="2" t="s">
        <v>900</v>
      </c>
      <c r="B838" s="2" t="s">
        <v>47</v>
      </c>
      <c r="C838" s="13" t="s">
        <v>2254</v>
      </c>
      <c r="D838" s="35" t="n">
        <v>82851</v>
      </c>
      <c r="E838" s="2" t="s">
        <v>667</v>
      </c>
      <c r="F838" s="36" t="n">
        <v>1.47462311861052</v>
      </c>
      <c r="G838" s="31" t="n">
        <v>58.2</v>
      </c>
      <c r="H838" s="42" t="n">
        <v>-0.00997535500528107</v>
      </c>
      <c r="I838" s="31" t="n">
        <v>8.9</v>
      </c>
      <c r="J838" s="2" t="s">
        <v>2697</v>
      </c>
      <c r="K838" s="38" t="n">
        <v>0.0209599027946537</v>
      </c>
      <c r="L838" s="31" t="n">
        <v>13.1</v>
      </c>
      <c r="M838" s="39" t="s">
        <v>671</v>
      </c>
      <c r="N838" s="2" t="s">
        <v>19</v>
      </c>
      <c r="O838" s="2" t="s">
        <v>19</v>
      </c>
      <c r="P838" s="2" t="s">
        <v>21</v>
      </c>
      <c r="Q838" s="2" t="s">
        <v>19</v>
      </c>
    </row>
    <row r="839" customFormat="false" ht="15" hidden="false" customHeight="false" outlineLevel="0" collapsed="false">
      <c r="A839" s="2" t="s">
        <v>540</v>
      </c>
      <c r="B839" s="2" t="s">
        <v>47</v>
      </c>
      <c r="C839" s="13" t="s">
        <v>2457</v>
      </c>
      <c r="D839" s="35" t="n">
        <v>355955</v>
      </c>
      <c r="E839" s="2" t="s">
        <v>670</v>
      </c>
      <c r="F839" s="36" t="n">
        <v>0.891300866682586</v>
      </c>
      <c r="G839" s="31" t="n">
        <v>31.6</v>
      </c>
      <c r="H839" s="37" t="n">
        <v>0.0843327616511967</v>
      </c>
      <c r="I839" s="31" t="n">
        <v>50.6</v>
      </c>
      <c r="J839" s="2" t="s">
        <v>2701</v>
      </c>
      <c r="K839" s="38" t="n">
        <v>0.221910112359551</v>
      </c>
      <c r="L839" s="31" t="n">
        <v>87.8</v>
      </c>
      <c r="M839" s="39" t="s">
        <v>671</v>
      </c>
      <c r="N839" s="2" t="s">
        <v>19</v>
      </c>
      <c r="O839" s="2" t="s">
        <v>19</v>
      </c>
      <c r="P839" s="2" t="s">
        <v>19</v>
      </c>
      <c r="Q839" s="2" t="s">
        <v>19</v>
      </c>
    </row>
    <row r="840" customFormat="false" ht="15" hidden="false" customHeight="false" outlineLevel="0" collapsed="false">
      <c r="A840" s="2" t="s">
        <v>193</v>
      </c>
      <c r="B840" s="2" t="s">
        <v>46</v>
      </c>
      <c r="C840" s="14" t="s">
        <v>1556</v>
      </c>
      <c r="D840" s="40" t="n">
        <v>13030</v>
      </c>
      <c r="E840" s="2" t="s">
        <v>667</v>
      </c>
      <c r="F840" s="41" t="n">
        <v>4.92233307751343</v>
      </c>
      <c r="G840" s="31" t="n">
        <v>71.9</v>
      </c>
      <c r="H840" s="42" t="n">
        <v>0.056772100567721</v>
      </c>
      <c r="I840" s="31" t="n">
        <v>33.6</v>
      </c>
      <c r="J840" s="2" t="s">
        <v>2700</v>
      </c>
      <c r="K840" s="43" t="n">
        <v>0.0507726269315673</v>
      </c>
      <c r="L840" s="31" t="n">
        <v>13.7</v>
      </c>
      <c r="M840" s="39" t="s">
        <v>671</v>
      </c>
      <c r="N840" s="2" t="s">
        <v>21</v>
      </c>
      <c r="O840" s="2" t="s">
        <v>21</v>
      </c>
      <c r="P840" s="2" t="s">
        <v>21</v>
      </c>
      <c r="Q840" s="2" t="s">
        <v>21</v>
      </c>
    </row>
    <row r="841" customFormat="false" ht="15" hidden="false" customHeight="false" outlineLevel="0" collapsed="false">
      <c r="A841" s="2" t="s">
        <v>1645</v>
      </c>
      <c r="B841" s="2" t="s">
        <v>45</v>
      </c>
      <c r="C841" s="13" t="s">
        <v>2917</v>
      </c>
      <c r="D841" s="35" t="n">
        <v>2114</v>
      </c>
      <c r="E841" s="2" t="s">
        <v>678</v>
      </c>
      <c r="F841" s="36" t="n">
        <v>0.221854304635762</v>
      </c>
      <c r="G841" s="31" t="n">
        <v>10.7</v>
      </c>
      <c r="H841" s="37" t="n">
        <v>0.0449826989619377</v>
      </c>
      <c r="I841" s="31" t="n">
        <v>24.1</v>
      </c>
      <c r="J841" s="2" t="s">
        <v>2713</v>
      </c>
      <c r="K841" s="33"/>
      <c r="L841" s="31"/>
      <c r="M841" s="34" t="s">
        <v>668</v>
      </c>
      <c r="N841" s="2" t="s">
        <v>19</v>
      </c>
      <c r="O841" s="2" t="s">
        <v>19</v>
      </c>
      <c r="P841" s="2" t="s">
        <v>19</v>
      </c>
      <c r="Q841" s="2"/>
    </row>
    <row r="842" customFormat="false" ht="15" hidden="false" customHeight="false" outlineLevel="0" collapsed="false">
      <c r="A842" s="2" t="s">
        <v>1645</v>
      </c>
      <c r="B842" s="2" t="s">
        <v>46</v>
      </c>
      <c r="C842" s="14" t="s">
        <v>1646</v>
      </c>
      <c r="D842" s="40" t="n">
        <v>110340</v>
      </c>
      <c r="E842" s="2" t="s">
        <v>670</v>
      </c>
      <c r="F842" s="41" t="n">
        <v>3.48381366684792</v>
      </c>
      <c r="G842" s="31" t="n">
        <v>54.8</v>
      </c>
      <c r="H842" s="42" t="n">
        <v>0.140818858560794</v>
      </c>
      <c r="I842" s="31" t="n">
        <v>79.5</v>
      </c>
      <c r="J842" s="2" t="s">
        <v>2705</v>
      </c>
      <c r="K842" s="43" t="n">
        <v>0.341663585951941</v>
      </c>
      <c r="L842" s="31" t="n">
        <v>95.3</v>
      </c>
      <c r="M842" s="39" t="s">
        <v>671</v>
      </c>
      <c r="N842" s="2" t="s">
        <v>21</v>
      </c>
      <c r="O842" s="2" t="s">
        <v>21</v>
      </c>
      <c r="P842" s="2" t="s">
        <v>21</v>
      </c>
      <c r="Q842" s="2" t="s">
        <v>21</v>
      </c>
    </row>
    <row r="843" customFormat="false" ht="15" hidden="false" customHeight="false" outlineLevel="0" collapsed="false">
      <c r="A843" s="2" t="s">
        <v>1645</v>
      </c>
      <c r="B843" s="2" t="s">
        <v>47</v>
      </c>
      <c r="C843" s="13" t="s">
        <v>2133</v>
      </c>
      <c r="D843" s="35" t="n">
        <v>39202</v>
      </c>
      <c r="E843" s="2" t="s">
        <v>667</v>
      </c>
      <c r="F843" s="36" t="n">
        <v>2.03114637008316</v>
      </c>
      <c r="G843" s="31" t="n">
        <v>74.9</v>
      </c>
      <c r="H843" s="37" t="n">
        <v>0.0600005407890112</v>
      </c>
      <c r="I843" s="31" t="n">
        <v>35.1</v>
      </c>
      <c r="J843" s="2" t="s">
        <v>2697</v>
      </c>
      <c r="K843" s="38" t="n">
        <v>0.0684483753124399</v>
      </c>
      <c r="L843" s="31" t="n">
        <v>39.6</v>
      </c>
      <c r="M843" s="39" t="s">
        <v>671</v>
      </c>
      <c r="N843" s="2" t="s">
        <v>19</v>
      </c>
      <c r="O843" s="2" t="s">
        <v>19</v>
      </c>
      <c r="P843" s="2" t="s">
        <v>19</v>
      </c>
      <c r="Q843" s="2" t="s">
        <v>19</v>
      </c>
    </row>
    <row r="844" customFormat="false" ht="15" hidden="false" customHeight="false" outlineLevel="0" collapsed="false">
      <c r="A844" s="2" t="s">
        <v>1384</v>
      </c>
      <c r="B844" s="2" t="s">
        <v>45</v>
      </c>
      <c r="C844" s="16"/>
      <c r="D844" s="29"/>
      <c r="E844" s="2"/>
      <c r="F844" s="30"/>
      <c r="G844" s="31"/>
      <c r="H844" s="32"/>
      <c r="I844" s="31"/>
      <c r="J844" s="2"/>
      <c r="K844" s="33"/>
      <c r="L844" s="31"/>
      <c r="M844" s="34" t="s">
        <v>668</v>
      </c>
      <c r="N844" s="2"/>
      <c r="O844" s="2"/>
      <c r="P844" s="2"/>
      <c r="Q844" s="2"/>
    </row>
    <row r="845" customFormat="false" ht="15" hidden="false" customHeight="false" outlineLevel="0" collapsed="false">
      <c r="A845" s="2" t="s">
        <v>1384</v>
      </c>
      <c r="B845" s="2" t="s">
        <v>46</v>
      </c>
      <c r="C845" s="13" t="s">
        <v>1385</v>
      </c>
      <c r="D845" s="35" t="n">
        <v>191635</v>
      </c>
      <c r="E845" s="2" t="s">
        <v>670</v>
      </c>
      <c r="F845" s="36" t="n">
        <v>11.8337464450648</v>
      </c>
      <c r="G845" s="31" t="n">
        <v>98.3</v>
      </c>
      <c r="H845" s="37" t="n">
        <v>-0.0460177519800477</v>
      </c>
      <c r="I845" s="31" t="n">
        <v>2.6</v>
      </c>
      <c r="J845" s="2" t="s">
        <v>2705</v>
      </c>
      <c r="K845" s="38" t="n">
        <v>0.312990305231064</v>
      </c>
      <c r="L845" s="31" t="n">
        <v>93.8</v>
      </c>
      <c r="M845" s="39" t="s">
        <v>671</v>
      </c>
      <c r="N845" s="2" t="s">
        <v>19</v>
      </c>
      <c r="O845" s="2" t="s">
        <v>19</v>
      </c>
      <c r="P845" s="2" t="s">
        <v>19</v>
      </c>
      <c r="Q845" s="2" t="s">
        <v>19</v>
      </c>
    </row>
    <row r="846" customFormat="false" ht="15" hidden="false" customHeight="false" outlineLevel="0" collapsed="false">
      <c r="A846" s="2" t="s">
        <v>1384</v>
      </c>
      <c r="B846" s="2" t="s">
        <v>47</v>
      </c>
      <c r="C846" s="14" t="s">
        <v>2146</v>
      </c>
      <c r="D846" s="40" t="n">
        <v>299930</v>
      </c>
      <c r="E846" s="2" t="s">
        <v>670</v>
      </c>
      <c r="F846" s="41" t="n">
        <v>1.96302137165339</v>
      </c>
      <c r="G846" s="31" t="n">
        <v>72.8</v>
      </c>
      <c r="H846" s="42" t="n">
        <v>0.0288487925356751</v>
      </c>
      <c r="I846" s="31" t="n">
        <v>25.9</v>
      </c>
      <c r="J846" s="2" t="s">
        <v>2701</v>
      </c>
      <c r="K846" s="43" t="n">
        <v>0.026204203654556</v>
      </c>
      <c r="L846" s="31" t="n">
        <v>16</v>
      </c>
      <c r="M846" s="39" t="s">
        <v>671</v>
      </c>
      <c r="N846" s="2" t="s">
        <v>21</v>
      </c>
      <c r="O846" s="2" t="s">
        <v>21</v>
      </c>
      <c r="P846" s="2" t="s">
        <v>21</v>
      </c>
      <c r="Q846" s="2" t="s">
        <v>21</v>
      </c>
    </row>
    <row r="847" customFormat="false" ht="15" hidden="false" customHeight="false" outlineLevel="0" collapsed="false">
      <c r="A847" s="2" t="s">
        <v>2918</v>
      </c>
      <c r="B847" s="2" t="s">
        <v>45</v>
      </c>
      <c r="C847" s="14" t="s">
        <v>2919</v>
      </c>
      <c r="D847" s="40" t="n">
        <v>3690</v>
      </c>
      <c r="E847" s="2" t="s">
        <v>678</v>
      </c>
      <c r="F847" s="41" t="n">
        <v>0.404065040650407</v>
      </c>
      <c r="G847" s="31" t="n">
        <v>29.7</v>
      </c>
      <c r="H847" s="32"/>
      <c r="I847" s="31"/>
      <c r="J847" s="2"/>
      <c r="K847" s="33"/>
      <c r="L847" s="31"/>
      <c r="M847" s="34" t="s">
        <v>668</v>
      </c>
      <c r="N847" s="2" t="s">
        <v>21</v>
      </c>
      <c r="O847" s="2" t="s">
        <v>21</v>
      </c>
      <c r="P847" s="2"/>
      <c r="Q847" s="2"/>
    </row>
    <row r="848" customFormat="false" ht="15" hidden="false" customHeight="false" outlineLevel="0" collapsed="false">
      <c r="A848" s="2" t="s">
        <v>520</v>
      </c>
      <c r="B848" s="2" t="s">
        <v>47</v>
      </c>
      <c r="C848" s="13" t="s">
        <v>2447</v>
      </c>
      <c r="D848" s="35" t="n">
        <v>545995</v>
      </c>
      <c r="E848" s="2" t="s">
        <v>670</v>
      </c>
      <c r="F848" s="36" t="n">
        <v>0.915242813578879</v>
      </c>
      <c r="G848" s="31" t="n">
        <v>33.1</v>
      </c>
      <c r="H848" s="37" t="n">
        <v>0.0327240331836563</v>
      </c>
      <c r="I848" s="31" t="n">
        <v>27.1</v>
      </c>
      <c r="J848" s="2" t="s">
        <v>2701</v>
      </c>
      <c r="K848" s="38" t="n">
        <v>0.014689592062804</v>
      </c>
      <c r="L848" s="31" t="n">
        <v>9.5</v>
      </c>
      <c r="M848" s="39" t="s">
        <v>671</v>
      </c>
      <c r="N848" s="2" t="s">
        <v>19</v>
      </c>
      <c r="O848" s="2" t="s">
        <v>19</v>
      </c>
      <c r="P848" s="2" t="s">
        <v>19</v>
      </c>
      <c r="Q848" s="2" t="s">
        <v>19</v>
      </c>
    </row>
    <row r="849" customFormat="false" ht="15" hidden="false" customHeight="false" outlineLevel="0" collapsed="false">
      <c r="A849" s="2" t="s">
        <v>628</v>
      </c>
      <c r="B849" s="2" t="s">
        <v>46</v>
      </c>
      <c r="C849" s="14" t="s">
        <v>1902</v>
      </c>
      <c r="D849" s="40" t="n">
        <v>3480</v>
      </c>
      <c r="E849" s="2" t="s">
        <v>678</v>
      </c>
      <c r="F849" s="41" t="n">
        <v>1.35201149425287</v>
      </c>
      <c r="G849" s="31" t="n">
        <v>11.6</v>
      </c>
      <c r="H849" s="42" t="n">
        <v>0.156146179401993</v>
      </c>
      <c r="I849" s="31" t="n">
        <v>77.1</v>
      </c>
      <c r="J849" s="2" t="s">
        <v>2720</v>
      </c>
      <c r="K849" s="43" t="n">
        <v>0.0266666666666667</v>
      </c>
      <c r="L849" s="31" t="n">
        <v>4.7</v>
      </c>
      <c r="M849" s="39" t="s">
        <v>671</v>
      </c>
      <c r="N849" s="2" t="s">
        <v>21</v>
      </c>
      <c r="O849" s="2" t="s">
        <v>21</v>
      </c>
      <c r="P849" s="2" t="s">
        <v>21</v>
      </c>
      <c r="Q849" s="2" t="s">
        <v>21</v>
      </c>
    </row>
    <row r="850" customFormat="false" ht="15" hidden="false" customHeight="false" outlineLevel="0" collapsed="false">
      <c r="A850" s="2" t="s">
        <v>476</v>
      </c>
      <c r="B850" s="2" t="s">
        <v>46</v>
      </c>
      <c r="C850" s="14" t="s">
        <v>1745</v>
      </c>
      <c r="D850" s="40" t="n">
        <v>85280</v>
      </c>
      <c r="E850" s="2" t="s">
        <v>667</v>
      </c>
      <c r="F850" s="41" t="n">
        <v>2.48653846153846</v>
      </c>
      <c r="G850" s="31" t="n">
        <v>38.3</v>
      </c>
      <c r="H850" s="42" t="n">
        <v>0.0903976473596727</v>
      </c>
      <c r="I850" s="31" t="n">
        <v>51</v>
      </c>
      <c r="J850" s="2" t="s">
        <v>2700</v>
      </c>
      <c r="K850" s="43" t="n">
        <v>0.182111692844677</v>
      </c>
      <c r="L850" s="31" t="n">
        <v>66.8</v>
      </c>
      <c r="M850" s="39" t="s">
        <v>671</v>
      </c>
      <c r="N850" s="2" t="s">
        <v>21</v>
      </c>
      <c r="O850" s="2" t="s">
        <v>21</v>
      </c>
      <c r="P850" s="2" t="s">
        <v>21</v>
      </c>
      <c r="Q850" s="2" t="s">
        <v>21</v>
      </c>
    </row>
    <row r="851" customFormat="false" ht="15" hidden="false" customHeight="false" outlineLevel="0" collapsed="false">
      <c r="A851" s="2" t="s">
        <v>2920</v>
      </c>
      <c r="B851" s="2" t="s">
        <v>45</v>
      </c>
      <c r="C851" s="15" t="s">
        <v>2921</v>
      </c>
      <c r="D851" s="44" t="n">
        <v>637220</v>
      </c>
      <c r="E851" s="2" t="s">
        <v>670</v>
      </c>
      <c r="F851" s="45" t="n">
        <v>0.143787075107498</v>
      </c>
      <c r="G851" s="31" t="n">
        <v>4.3</v>
      </c>
      <c r="H851" s="46" t="n">
        <v>-0.136734895705621</v>
      </c>
      <c r="I851" s="31" t="n">
        <v>0.7</v>
      </c>
      <c r="J851" s="2" t="s">
        <v>2698</v>
      </c>
      <c r="K851" s="33"/>
      <c r="L851" s="31"/>
      <c r="M851" s="34" t="s">
        <v>668</v>
      </c>
      <c r="N851" s="2" t="s">
        <v>17</v>
      </c>
      <c r="O851" s="2" t="s">
        <v>17</v>
      </c>
      <c r="P851" s="2" t="s">
        <v>17</v>
      </c>
      <c r="Q851" s="2"/>
    </row>
    <row r="852" customFormat="false" ht="15" hidden="false" customHeight="false" outlineLevel="0" collapsed="false">
      <c r="A852" s="2" t="s">
        <v>2920</v>
      </c>
      <c r="B852" s="2" t="s">
        <v>47</v>
      </c>
      <c r="C852" s="16"/>
      <c r="D852" s="29"/>
      <c r="E852" s="2"/>
      <c r="F852" s="30"/>
      <c r="G852" s="31"/>
      <c r="H852" s="32"/>
      <c r="I852" s="31"/>
      <c r="J852" s="2"/>
      <c r="K852" s="33"/>
      <c r="L852" s="31"/>
      <c r="M852" s="34" t="s">
        <v>668</v>
      </c>
      <c r="N852" s="2"/>
      <c r="O852" s="2"/>
      <c r="P852" s="2"/>
      <c r="Q852" s="2"/>
    </row>
    <row r="853" customFormat="false" ht="15" hidden="false" customHeight="false" outlineLevel="0" collapsed="false">
      <c r="A853" s="2" t="s">
        <v>380</v>
      </c>
      <c r="B853" s="2" t="s">
        <v>46</v>
      </c>
      <c r="C853" s="13" t="s">
        <v>1685</v>
      </c>
      <c r="D853" s="35" t="n">
        <v>16063</v>
      </c>
      <c r="E853" s="2" t="s">
        <v>667</v>
      </c>
      <c r="F853" s="36" t="n">
        <v>3.08174064620557</v>
      </c>
      <c r="G853" s="31" t="n">
        <v>48.8</v>
      </c>
      <c r="H853" s="37" t="n">
        <v>-0.0113860167405219</v>
      </c>
      <c r="I853" s="31" t="n">
        <v>10.4</v>
      </c>
      <c r="J853" s="2" t="s">
        <v>2700</v>
      </c>
      <c r="K853" s="38" t="n">
        <v>0.093151948351395</v>
      </c>
      <c r="L853" s="31" t="n">
        <v>29.3</v>
      </c>
      <c r="M853" s="39" t="s">
        <v>671</v>
      </c>
      <c r="N853" s="2" t="s">
        <v>19</v>
      </c>
      <c r="O853" s="2" t="s">
        <v>19</v>
      </c>
      <c r="P853" s="2" t="s">
        <v>19</v>
      </c>
      <c r="Q853" s="2" t="s">
        <v>19</v>
      </c>
    </row>
    <row r="854" customFormat="false" ht="15" hidden="false" customHeight="false" outlineLevel="0" collapsed="false">
      <c r="A854" s="2" t="s">
        <v>2922</v>
      </c>
      <c r="B854" s="2" t="s">
        <v>46</v>
      </c>
      <c r="C854" s="16"/>
      <c r="D854" s="29"/>
      <c r="E854" s="2"/>
      <c r="F854" s="30"/>
      <c r="G854" s="31"/>
      <c r="H854" s="32"/>
      <c r="I854" s="31"/>
      <c r="J854" s="2"/>
      <c r="K854" s="33"/>
      <c r="L854" s="31"/>
      <c r="M854" s="34" t="s">
        <v>668</v>
      </c>
      <c r="N854" s="2"/>
      <c r="O854" s="2"/>
      <c r="P854" s="2"/>
      <c r="Q854" s="2"/>
    </row>
    <row r="855" customFormat="false" ht="15" hidden="false" customHeight="false" outlineLevel="0" collapsed="false">
      <c r="A855" s="2" t="s">
        <v>2922</v>
      </c>
      <c r="B855" s="2" t="s">
        <v>47</v>
      </c>
      <c r="C855" s="13" t="s">
        <v>2923</v>
      </c>
      <c r="D855" s="29"/>
      <c r="E855" s="2"/>
      <c r="F855" s="30"/>
      <c r="G855" s="31"/>
      <c r="H855" s="32"/>
      <c r="I855" s="31"/>
      <c r="J855" s="2"/>
      <c r="K855" s="38" t="n">
        <v>0.0134115674769489</v>
      </c>
      <c r="L855" s="31" t="n">
        <v>8.6</v>
      </c>
      <c r="M855" s="34" t="s">
        <v>668</v>
      </c>
      <c r="N855" s="2"/>
      <c r="O855" s="2"/>
      <c r="P855" s="2"/>
      <c r="Q855" s="2" t="s">
        <v>19</v>
      </c>
    </row>
    <row r="856" customFormat="false" ht="15" hidden="false" customHeight="false" outlineLevel="0" collapsed="false">
      <c r="A856" s="2" t="s">
        <v>1692</v>
      </c>
      <c r="B856" s="2" t="s">
        <v>45</v>
      </c>
      <c r="C856" s="13" t="s">
        <v>2924</v>
      </c>
      <c r="D856" s="35" t="n">
        <v>18992</v>
      </c>
      <c r="E856" s="2" t="s">
        <v>667</v>
      </c>
      <c r="F856" s="36" t="n">
        <v>1.90295914069082</v>
      </c>
      <c r="G856" s="31" t="n">
        <v>91.9</v>
      </c>
      <c r="H856" s="37" t="n">
        <v>0.0120430565917084</v>
      </c>
      <c r="I856" s="31" t="n">
        <v>11.5</v>
      </c>
      <c r="J856" s="2" t="s">
        <v>2704</v>
      </c>
      <c r="K856" s="33"/>
      <c r="L856" s="31"/>
      <c r="M856" s="34" t="s">
        <v>668</v>
      </c>
      <c r="N856" s="2" t="s">
        <v>19</v>
      </c>
      <c r="O856" s="2" t="s">
        <v>19</v>
      </c>
      <c r="P856" s="2" t="s">
        <v>19</v>
      </c>
      <c r="Q856" s="2"/>
    </row>
    <row r="857" customFormat="false" ht="15" hidden="false" customHeight="false" outlineLevel="0" collapsed="false">
      <c r="A857" s="2" t="s">
        <v>1692</v>
      </c>
      <c r="B857" s="2" t="s">
        <v>46</v>
      </c>
      <c r="C857" s="14" t="s">
        <v>1693</v>
      </c>
      <c r="D857" s="40" t="n">
        <v>109640</v>
      </c>
      <c r="E857" s="2" t="s">
        <v>670</v>
      </c>
      <c r="F857" s="41" t="n">
        <v>3.00175118569865</v>
      </c>
      <c r="G857" s="31" t="n">
        <v>47.6</v>
      </c>
      <c r="H857" s="42" t="n">
        <v>0.276516474560484</v>
      </c>
      <c r="I857" s="31" t="n">
        <v>100</v>
      </c>
      <c r="J857" s="2" t="s">
        <v>2705</v>
      </c>
      <c r="K857" s="43" t="n">
        <v>0.199321113374067</v>
      </c>
      <c r="L857" s="31" t="n">
        <v>71</v>
      </c>
      <c r="M857" s="39" t="s">
        <v>671</v>
      </c>
      <c r="N857" s="2" t="s">
        <v>21</v>
      </c>
      <c r="O857" s="2" t="s">
        <v>21</v>
      </c>
      <c r="P857" s="2" t="s">
        <v>21</v>
      </c>
      <c r="Q857" s="2" t="s">
        <v>21</v>
      </c>
    </row>
    <row r="858" customFormat="false" ht="15" hidden="false" customHeight="false" outlineLevel="0" collapsed="false">
      <c r="A858" s="2" t="s">
        <v>1692</v>
      </c>
      <c r="B858" s="2" t="s">
        <v>47</v>
      </c>
      <c r="C858" s="16"/>
      <c r="D858" s="29"/>
      <c r="E858" s="2"/>
      <c r="F858" s="30"/>
      <c r="G858" s="31"/>
      <c r="H858" s="32"/>
      <c r="I858" s="31"/>
      <c r="J858" s="2"/>
      <c r="K858" s="33"/>
      <c r="L858" s="31"/>
      <c r="M858" s="34" t="s">
        <v>668</v>
      </c>
      <c r="N858" s="2"/>
      <c r="O858" s="2"/>
      <c r="P858" s="2"/>
      <c r="Q858" s="2"/>
    </row>
    <row r="859" customFormat="false" ht="15" hidden="false" customHeight="false" outlineLevel="0" collapsed="false">
      <c r="A859" s="2" t="s">
        <v>1409</v>
      </c>
      <c r="B859" s="2" t="s">
        <v>45</v>
      </c>
      <c r="C859" s="14" t="s">
        <v>2925</v>
      </c>
      <c r="D859" s="40" t="n">
        <v>12640</v>
      </c>
      <c r="E859" s="2" t="s">
        <v>667</v>
      </c>
      <c r="F859" s="41" t="n">
        <v>1.81985759493671</v>
      </c>
      <c r="G859" s="31" t="n">
        <v>91.7</v>
      </c>
      <c r="H859" s="32"/>
      <c r="I859" s="31"/>
      <c r="J859" s="2"/>
      <c r="K859" s="43" t="n">
        <v>0.36231884057971</v>
      </c>
      <c r="L859" s="31" t="n">
        <v>97.8</v>
      </c>
      <c r="M859" s="34" t="s">
        <v>668</v>
      </c>
      <c r="N859" s="2" t="s">
        <v>21</v>
      </c>
      <c r="O859" s="2" t="s">
        <v>21</v>
      </c>
      <c r="P859" s="2"/>
      <c r="Q859" s="2" t="s">
        <v>21</v>
      </c>
    </row>
    <row r="860" customFormat="false" ht="15" hidden="false" customHeight="false" outlineLevel="0" collapsed="false">
      <c r="A860" s="2" t="s">
        <v>1409</v>
      </c>
      <c r="B860" s="2" t="s">
        <v>46</v>
      </c>
      <c r="C860" s="14" t="s">
        <v>1410</v>
      </c>
      <c r="D860" s="40" t="n">
        <v>105120</v>
      </c>
      <c r="E860" s="2" t="s">
        <v>670</v>
      </c>
      <c r="F860" s="41" t="n">
        <v>9.24146689497717</v>
      </c>
      <c r="G860" s="31" t="n">
        <v>94.5</v>
      </c>
      <c r="H860" s="42" t="n">
        <v>0.149732035436946</v>
      </c>
      <c r="I860" s="31" t="n">
        <v>82.1</v>
      </c>
      <c r="J860" s="2" t="s">
        <v>2705</v>
      </c>
      <c r="K860" s="43" t="n">
        <v>0.174632387462675</v>
      </c>
      <c r="L860" s="31" t="n">
        <v>65.3</v>
      </c>
      <c r="M860" s="39" t="s">
        <v>671</v>
      </c>
      <c r="N860" s="2" t="s">
        <v>21</v>
      </c>
      <c r="O860" s="2" t="s">
        <v>21</v>
      </c>
      <c r="P860" s="2" t="s">
        <v>21</v>
      </c>
      <c r="Q860" s="2" t="s">
        <v>21</v>
      </c>
    </row>
    <row r="861" customFormat="false" ht="15" hidden="false" customHeight="false" outlineLevel="0" collapsed="false">
      <c r="A861" s="2" t="s">
        <v>2209</v>
      </c>
      <c r="B861" s="2" t="s">
        <v>45</v>
      </c>
      <c r="C861" s="16"/>
      <c r="D861" s="29"/>
      <c r="E861" s="2"/>
      <c r="F861" s="30"/>
      <c r="G861" s="31"/>
      <c r="H861" s="32"/>
      <c r="I861" s="31"/>
      <c r="J861" s="2"/>
      <c r="K861" s="33"/>
      <c r="L861" s="31"/>
      <c r="M861" s="34" t="s">
        <v>668</v>
      </c>
      <c r="N861" s="2"/>
      <c r="O861" s="2"/>
      <c r="P861" s="2"/>
      <c r="Q861" s="2"/>
    </row>
    <row r="862" customFormat="false" ht="15" hidden="false" customHeight="false" outlineLevel="0" collapsed="false">
      <c r="A862" s="2" t="s">
        <v>2209</v>
      </c>
      <c r="B862" s="2" t="s">
        <v>46</v>
      </c>
      <c r="C862" s="15" t="s">
        <v>2926</v>
      </c>
      <c r="D862" s="29"/>
      <c r="E862" s="2"/>
      <c r="F862" s="30"/>
      <c r="G862" s="31"/>
      <c r="H862" s="32"/>
      <c r="I862" s="31"/>
      <c r="J862" s="2"/>
      <c r="K862" s="33"/>
      <c r="L862" s="31"/>
      <c r="M862" s="34" t="s">
        <v>668</v>
      </c>
      <c r="N862" s="2"/>
      <c r="O862" s="2"/>
      <c r="P862" s="2"/>
      <c r="Q862" s="2"/>
    </row>
    <row r="863" customFormat="false" ht="15" hidden="false" customHeight="false" outlineLevel="0" collapsed="false">
      <c r="A863" s="2" t="s">
        <v>2209</v>
      </c>
      <c r="B863" s="2" t="s">
        <v>47</v>
      </c>
      <c r="C863" s="13" t="s">
        <v>2210</v>
      </c>
      <c r="D863" s="35" t="n">
        <v>194520</v>
      </c>
      <c r="E863" s="2" t="s">
        <v>670</v>
      </c>
      <c r="F863" s="36" t="n">
        <v>1.65274521900062</v>
      </c>
      <c r="G863" s="31" t="n">
        <v>64.3</v>
      </c>
      <c r="H863" s="37" t="n">
        <v>6.8999309588596</v>
      </c>
      <c r="I863" s="31" t="n">
        <v>100</v>
      </c>
      <c r="J863" s="2" t="s">
        <v>2701</v>
      </c>
      <c r="K863" s="38" t="n">
        <v>0.035851704313974</v>
      </c>
      <c r="L863" s="31" t="n">
        <v>23.2</v>
      </c>
      <c r="M863" s="39" t="s">
        <v>671</v>
      </c>
      <c r="N863" s="2" t="s">
        <v>19</v>
      </c>
      <c r="O863" s="2" t="s">
        <v>19</v>
      </c>
      <c r="P863" s="2" t="s">
        <v>19</v>
      </c>
      <c r="Q863" s="2" t="s">
        <v>19</v>
      </c>
    </row>
    <row r="864" customFormat="false" ht="15" hidden="false" customHeight="false" outlineLevel="0" collapsed="false">
      <c r="A864" s="2" t="s">
        <v>488</v>
      </c>
      <c r="B864" s="2" t="s">
        <v>45</v>
      </c>
      <c r="C864" s="13" t="s">
        <v>1282</v>
      </c>
      <c r="D864" s="35" t="n">
        <v>139458</v>
      </c>
      <c r="E864" s="2" t="s">
        <v>670</v>
      </c>
      <c r="F864" s="36" t="n">
        <v>0.275366060032411</v>
      </c>
      <c r="G864" s="31" t="n">
        <v>16.2</v>
      </c>
      <c r="H864" s="37" t="n">
        <v>0.0137460292075861</v>
      </c>
      <c r="I864" s="31" t="n">
        <v>16.7</v>
      </c>
      <c r="J864" s="2" t="s">
        <v>2698</v>
      </c>
      <c r="K864" s="38" t="n">
        <v>0.108115543328748</v>
      </c>
      <c r="L864" s="31" t="n">
        <v>39.2</v>
      </c>
      <c r="M864" s="39" t="s">
        <v>671</v>
      </c>
      <c r="N864" s="2" t="s">
        <v>19</v>
      </c>
      <c r="O864" s="2" t="s">
        <v>19</v>
      </c>
      <c r="P864" s="2" t="s">
        <v>19</v>
      </c>
      <c r="Q864" s="2" t="s">
        <v>19</v>
      </c>
    </row>
    <row r="865" customFormat="false" ht="15" hidden="false" customHeight="false" outlineLevel="0" collapsed="false">
      <c r="A865" s="2" t="s">
        <v>488</v>
      </c>
      <c r="B865" s="2" t="s">
        <v>47</v>
      </c>
      <c r="C865" s="13" t="s">
        <v>2251</v>
      </c>
      <c r="D865" s="35" t="n">
        <v>28917</v>
      </c>
      <c r="E865" s="2" t="s">
        <v>667</v>
      </c>
      <c r="F865" s="36" t="n">
        <v>1.5089047964865</v>
      </c>
      <c r="G865" s="31" t="n">
        <v>58.7</v>
      </c>
      <c r="H865" s="37" t="n">
        <v>-0.0274115431185255</v>
      </c>
      <c r="I865" s="31" t="n">
        <v>5.7</v>
      </c>
      <c r="J865" s="2" t="s">
        <v>2697</v>
      </c>
      <c r="K865" s="38" t="n">
        <v>0.121225777377197</v>
      </c>
      <c r="L865" s="31" t="n">
        <v>63.6</v>
      </c>
      <c r="M865" s="39" t="s">
        <v>671</v>
      </c>
      <c r="N865" s="2" t="s">
        <v>19</v>
      </c>
      <c r="O865" s="2" t="s">
        <v>19</v>
      </c>
      <c r="P865" s="2" t="s">
        <v>19</v>
      </c>
      <c r="Q865" s="2" t="s">
        <v>19</v>
      </c>
    </row>
    <row r="866" customFormat="false" ht="15" hidden="false" customHeight="false" outlineLevel="0" collapsed="false">
      <c r="A866" s="2" t="s">
        <v>1940</v>
      </c>
      <c r="B866" s="2" t="s">
        <v>46</v>
      </c>
      <c r="C866" s="14" t="s">
        <v>1941</v>
      </c>
      <c r="D866" s="40" t="n">
        <v>499820</v>
      </c>
      <c r="E866" s="2" t="s">
        <v>670</v>
      </c>
      <c r="F866" s="41" t="n">
        <v>0.957032531711416</v>
      </c>
      <c r="G866" s="31" t="n">
        <v>4.9</v>
      </c>
      <c r="H866" s="42" t="n">
        <v>0.113160063250262</v>
      </c>
      <c r="I866" s="31" t="n">
        <v>67.5</v>
      </c>
      <c r="J866" s="2" t="s">
        <v>2705</v>
      </c>
      <c r="K866" s="43" t="n">
        <v>0.0779691749773346</v>
      </c>
      <c r="L866" s="31" t="n">
        <v>23.8</v>
      </c>
      <c r="M866" s="39" t="s">
        <v>671</v>
      </c>
      <c r="N866" s="2" t="s">
        <v>21</v>
      </c>
      <c r="O866" s="2" t="s">
        <v>21</v>
      </c>
      <c r="P866" s="2" t="s">
        <v>21</v>
      </c>
      <c r="Q866" s="2" t="s">
        <v>21</v>
      </c>
    </row>
    <row r="867" customFormat="false" ht="15" hidden="false" customHeight="false" outlineLevel="0" collapsed="false">
      <c r="A867" s="2" t="s">
        <v>2927</v>
      </c>
      <c r="B867" s="2" t="s">
        <v>46</v>
      </c>
      <c r="C867" s="15" t="s">
        <v>2928</v>
      </c>
      <c r="D867" s="44" t="n">
        <v>9040</v>
      </c>
      <c r="E867" s="2" t="s">
        <v>678</v>
      </c>
      <c r="F867" s="45" t="n">
        <v>5.09203539823009</v>
      </c>
      <c r="G867" s="31" t="n">
        <v>73.8</v>
      </c>
      <c r="H867" s="46" t="n">
        <v>0.229262986129997</v>
      </c>
      <c r="I867" s="31" t="n">
        <v>95.8</v>
      </c>
      <c r="J867" s="2" t="s">
        <v>2720</v>
      </c>
      <c r="K867" s="33"/>
      <c r="L867" s="31"/>
      <c r="M867" s="34" t="s">
        <v>668</v>
      </c>
      <c r="N867" s="2" t="s">
        <v>17</v>
      </c>
      <c r="O867" s="2" t="s">
        <v>17</v>
      </c>
      <c r="P867" s="2" t="s">
        <v>17</v>
      </c>
      <c r="Q867" s="2"/>
    </row>
    <row r="868" customFormat="false" ht="15" hidden="false" customHeight="false" outlineLevel="0" collapsed="false">
      <c r="A868" s="2" t="s">
        <v>2017</v>
      </c>
      <c r="B868" s="2" t="s">
        <v>45</v>
      </c>
      <c r="C868" s="16"/>
      <c r="D868" s="29"/>
      <c r="E868" s="2"/>
      <c r="F868" s="30"/>
      <c r="G868" s="31"/>
      <c r="H868" s="32"/>
      <c r="I868" s="31"/>
      <c r="J868" s="2"/>
      <c r="K868" s="33"/>
      <c r="L868" s="31"/>
      <c r="M868" s="34" t="s">
        <v>668</v>
      </c>
      <c r="N868" s="2"/>
      <c r="O868" s="2"/>
      <c r="P868" s="2"/>
      <c r="Q868" s="2"/>
    </row>
    <row r="869" customFormat="false" ht="15" hidden="false" customHeight="false" outlineLevel="0" collapsed="false">
      <c r="A869" s="2" t="s">
        <v>2017</v>
      </c>
      <c r="B869" s="2" t="s">
        <v>47</v>
      </c>
      <c r="C869" s="13" t="s">
        <v>2018</v>
      </c>
      <c r="D869" s="35" t="n">
        <v>111543</v>
      </c>
      <c r="E869" s="2" t="s">
        <v>670</v>
      </c>
      <c r="F869" s="36" t="n">
        <v>3.49403369104292</v>
      </c>
      <c r="G869" s="31" t="n">
        <v>92.2</v>
      </c>
      <c r="H869" s="37" t="n">
        <v>0.195082230674452</v>
      </c>
      <c r="I869" s="31" t="n">
        <v>89.8</v>
      </c>
      <c r="J869" s="2" t="s">
        <v>2701</v>
      </c>
      <c r="K869" s="38" t="n">
        <v>0.128917232393883</v>
      </c>
      <c r="L869" s="31" t="n">
        <v>65</v>
      </c>
      <c r="M869" s="39" t="s">
        <v>671</v>
      </c>
      <c r="N869" s="2" t="s">
        <v>19</v>
      </c>
      <c r="O869" s="2" t="s">
        <v>19</v>
      </c>
      <c r="P869" s="2" t="s">
        <v>19</v>
      </c>
      <c r="Q869" s="2" t="s">
        <v>19</v>
      </c>
    </row>
    <row r="870" customFormat="false" ht="15" hidden="false" customHeight="false" outlineLevel="0" collapsed="false">
      <c r="A870" s="2" t="s">
        <v>2213</v>
      </c>
      <c r="B870" s="2" t="s">
        <v>45</v>
      </c>
      <c r="C870" s="16"/>
      <c r="D870" s="29"/>
      <c r="E870" s="2"/>
      <c r="F870" s="30"/>
      <c r="G870" s="31"/>
      <c r="H870" s="32"/>
      <c r="I870" s="31"/>
      <c r="J870" s="2"/>
      <c r="K870" s="33"/>
      <c r="L870" s="31"/>
      <c r="M870" s="34" t="s">
        <v>668</v>
      </c>
      <c r="N870" s="2"/>
      <c r="O870" s="2"/>
      <c r="P870" s="2"/>
      <c r="Q870" s="2"/>
    </row>
    <row r="871" customFormat="false" ht="15" hidden="false" customHeight="false" outlineLevel="0" collapsed="false">
      <c r="A871" s="2" t="s">
        <v>2213</v>
      </c>
      <c r="B871" s="2" t="s">
        <v>46</v>
      </c>
      <c r="C871" s="16"/>
      <c r="D871" s="29"/>
      <c r="E871" s="2"/>
      <c r="F871" s="30"/>
      <c r="G871" s="31"/>
      <c r="H871" s="32"/>
      <c r="I871" s="31"/>
      <c r="J871" s="2"/>
      <c r="K871" s="33"/>
      <c r="L871" s="31"/>
      <c r="M871" s="34" t="s">
        <v>668</v>
      </c>
      <c r="N871" s="2"/>
      <c r="O871" s="2"/>
      <c r="P871" s="2"/>
      <c r="Q871" s="2"/>
    </row>
    <row r="872" customFormat="false" ht="15" hidden="false" customHeight="false" outlineLevel="0" collapsed="false">
      <c r="A872" s="2" t="s">
        <v>2213</v>
      </c>
      <c r="B872" s="2" t="s">
        <v>47</v>
      </c>
      <c r="C872" s="13" t="s">
        <v>2214</v>
      </c>
      <c r="D872" s="35" t="n">
        <v>789293</v>
      </c>
      <c r="E872" s="2" t="s">
        <v>670</v>
      </c>
      <c r="F872" s="36" t="n">
        <v>1.64067082819688</v>
      </c>
      <c r="G872" s="31" t="n">
        <v>63.9</v>
      </c>
      <c r="H872" s="37" t="n">
        <v>0.165011557229689</v>
      </c>
      <c r="I872" s="31" t="n">
        <v>81.3</v>
      </c>
      <c r="J872" s="2" t="s">
        <v>2701</v>
      </c>
      <c r="K872" s="38" t="n">
        <v>0.215123576530729</v>
      </c>
      <c r="L872" s="31" t="n">
        <v>85.5</v>
      </c>
      <c r="M872" s="39" t="s">
        <v>671</v>
      </c>
      <c r="N872" s="2" t="s">
        <v>19</v>
      </c>
      <c r="O872" s="2" t="s">
        <v>19</v>
      </c>
      <c r="P872" s="2" t="s">
        <v>19</v>
      </c>
      <c r="Q872" s="2" t="s">
        <v>19</v>
      </c>
    </row>
    <row r="873" customFormat="false" ht="15" hidden="false" customHeight="false" outlineLevel="0" collapsed="false">
      <c r="A873" s="2" t="s">
        <v>152</v>
      </c>
      <c r="B873" s="2" t="s">
        <v>47</v>
      </c>
      <c r="C873" s="13" t="s">
        <v>2107</v>
      </c>
      <c r="D873" s="35" t="n">
        <v>130530</v>
      </c>
      <c r="E873" s="2" t="s">
        <v>670</v>
      </c>
      <c r="F873" s="36" t="n">
        <v>2.2149161112388</v>
      </c>
      <c r="G873" s="31" t="n">
        <v>78.7</v>
      </c>
      <c r="H873" s="37" t="n">
        <v>0.0751882176570402</v>
      </c>
      <c r="I873" s="31" t="n">
        <v>47</v>
      </c>
      <c r="J873" s="2" t="s">
        <v>2701</v>
      </c>
      <c r="K873" s="38" t="n">
        <v>0.31385152561203</v>
      </c>
      <c r="L873" s="31" t="n">
        <v>97</v>
      </c>
      <c r="M873" s="39" t="s">
        <v>671</v>
      </c>
      <c r="N873" s="2" t="s">
        <v>19</v>
      </c>
      <c r="O873" s="2" t="s">
        <v>19</v>
      </c>
      <c r="P873" s="2" t="s">
        <v>19</v>
      </c>
      <c r="Q873" s="2" t="s">
        <v>19</v>
      </c>
    </row>
    <row r="874" customFormat="false" ht="15" hidden="false" customHeight="false" outlineLevel="0" collapsed="false">
      <c r="A874" s="2" t="s">
        <v>1929</v>
      </c>
      <c r="B874" s="2" t="s">
        <v>45</v>
      </c>
      <c r="C874" s="15" t="s">
        <v>2929</v>
      </c>
      <c r="D874" s="44" t="n">
        <v>23155</v>
      </c>
      <c r="E874" s="2" t="s">
        <v>667</v>
      </c>
      <c r="F874" s="45" t="n">
        <v>0.517382854675016</v>
      </c>
      <c r="G874" s="31" t="n">
        <v>43.2</v>
      </c>
      <c r="H874" s="46" t="n">
        <v>0.180775114737379</v>
      </c>
      <c r="I874" s="31" t="n">
        <v>86.9</v>
      </c>
      <c r="J874" s="2" t="s">
        <v>2704</v>
      </c>
      <c r="K874" s="33"/>
      <c r="L874" s="31"/>
      <c r="M874" s="34" t="s">
        <v>668</v>
      </c>
      <c r="N874" s="2" t="s">
        <v>17</v>
      </c>
      <c r="O874" s="2" t="s">
        <v>17</v>
      </c>
      <c r="P874" s="2" t="s">
        <v>17</v>
      </c>
      <c r="Q874" s="2"/>
    </row>
    <row r="875" customFormat="false" ht="15" hidden="false" customHeight="false" outlineLevel="0" collapsed="false">
      <c r="A875" s="2" t="s">
        <v>1929</v>
      </c>
      <c r="B875" s="2" t="s">
        <v>46</v>
      </c>
      <c r="C875" s="13" t="s">
        <v>1930</v>
      </c>
      <c r="D875" s="35" t="n">
        <v>45016</v>
      </c>
      <c r="E875" s="2" t="s">
        <v>667</v>
      </c>
      <c r="F875" s="36" t="n">
        <v>1.05789052781233</v>
      </c>
      <c r="G875" s="31" t="n">
        <v>6.6</v>
      </c>
      <c r="H875" s="37" t="n">
        <v>0.0567136150234742</v>
      </c>
      <c r="I875" s="31" t="n">
        <v>33.2</v>
      </c>
      <c r="J875" s="2" t="s">
        <v>2700</v>
      </c>
      <c r="K875" s="38" t="n">
        <v>0.13708579210168</v>
      </c>
      <c r="L875" s="31" t="n">
        <v>50.8</v>
      </c>
      <c r="M875" s="39" t="s">
        <v>671</v>
      </c>
      <c r="N875" s="2" t="s">
        <v>19</v>
      </c>
      <c r="O875" s="2" t="s">
        <v>19</v>
      </c>
      <c r="P875" s="2" t="s">
        <v>19</v>
      </c>
      <c r="Q875" s="2" t="s">
        <v>19</v>
      </c>
    </row>
    <row r="876" customFormat="false" ht="15" hidden="false" customHeight="false" outlineLevel="0" collapsed="false">
      <c r="A876" s="2" t="s">
        <v>830</v>
      </c>
      <c r="B876" s="2" t="s">
        <v>45</v>
      </c>
      <c r="C876" s="13" t="s">
        <v>831</v>
      </c>
      <c r="D876" s="35" t="n">
        <v>5145</v>
      </c>
      <c r="E876" s="2" t="s">
        <v>678</v>
      </c>
      <c r="F876" s="36" t="n">
        <v>1.06433430515063</v>
      </c>
      <c r="G876" s="31" t="n">
        <v>78.6</v>
      </c>
      <c r="H876" s="37" t="n">
        <v>0.0408658709285859</v>
      </c>
      <c r="I876" s="31" t="n">
        <v>20.4</v>
      </c>
      <c r="J876" s="2" t="s">
        <v>2713</v>
      </c>
      <c r="K876" s="38" t="n">
        <v>0.0884353741496599</v>
      </c>
      <c r="L876" s="31" t="n">
        <v>29.8</v>
      </c>
      <c r="M876" s="39" t="s">
        <v>671</v>
      </c>
      <c r="N876" s="2" t="s">
        <v>19</v>
      </c>
      <c r="O876" s="2" t="s">
        <v>19</v>
      </c>
      <c r="P876" s="2" t="s">
        <v>19</v>
      </c>
      <c r="Q876" s="2" t="s">
        <v>19</v>
      </c>
    </row>
    <row r="877" customFormat="false" ht="15" hidden="false" customHeight="false" outlineLevel="0" collapsed="false">
      <c r="A877" s="2" t="s">
        <v>830</v>
      </c>
      <c r="B877" s="2" t="s">
        <v>46</v>
      </c>
      <c r="C877" s="16"/>
      <c r="D877" s="44" t="n">
        <v>283650</v>
      </c>
      <c r="E877" s="2" t="s">
        <v>670</v>
      </c>
      <c r="F877" s="45" t="n">
        <v>6.45598096245373</v>
      </c>
      <c r="G877" s="31" t="n">
        <v>83.7</v>
      </c>
      <c r="H877" s="46" t="n">
        <v>0.0554261517968105</v>
      </c>
      <c r="I877" s="31" t="n">
        <v>32.5</v>
      </c>
      <c r="J877" s="2" t="s">
        <v>2705</v>
      </c>
      <c r="K877" s="33"/>
      <c r="L877" s="31"/>
      <c r="M877" s="34" t="s">
        <v>668</v>
      </c>
      <c r="N877" s="2" t="s">
        <v>17</v>
      </c>
      <c r="O877" s="2" t="s">
        <v>17</v>
      </c>
      <c r="P877" s="2" t="s">
        <v>17</v>
      </c>
      <c r="Q877" s="2"/>
    </row>
    <row r="878" customFormat="false" ht="15" hidden="false" customHeight="false" outlineLevel="0" collapsed="false">
      <c r="A878" s="2" t="s">
        <v>830</v>
      </c>
      <c r="B878" s="2" t="s">
        <v>47</v>
      </c>
      <c r="C878" s="15" t="s">
        <v>2930</v>
      </c>
      <c r="D878" s="44" t="n">
        <v>58466</v>
      </c>
      <c r="E878" s="2" t="s">
        <v>667</v>
      </c>
      <c r="F878" s="30"/>
      <c r="G878" s="31"/>
      <c r="H878" s="46" t="n">
        <v>0.0519062269480578</v>
      </c>
      <c r="I878" s="31" t="n">
        <v>30.5</v>
      </c>
      <c r="J878" s="2" t="s">
        <v>2697</v>
      </c>
      <c r="K878" s="48" t="n">
        <v>0.0693233706932337</v>
      </c>
      <c r="L878" s="31" t="n">
        <v>40</v>
      </c>
      <c r="M878" s="34" t="s">
        <v>668</v>
      </c>
      <c r="N878" s="2" t="s">
        <v>17</v>
      </c>
      <c r="O878" s="2"/>
      <c r="P878" s="2" t="s">
        <v>17</v>
      </c>
      <c r="Q878" s="2" t="s">
        <v>17</v>
      </c>
    </row>
    <row r="879" customFormat="false" ht="15" hidden="false" customHeight="false" outlineLevel="0" collapsed="false">
      <c r="A879" s="2" t="s">
        <v>508</v>
      </c>
      <c r="B879" s="2" t="s">
        <v>45</v>
      </c>
      <c r="C879" s="13" t="s">
        <v>1134</v>
      </c>
      <c r="D879" s="35" t="n">
        <v>7886</v>
      </c>
      <c r="E879" s="2" t="s">
        <v>678</v>
      </c>
      <c r="F879" s="36" t="n">
        <v>0.473750951052498</v>
      </c>
      <c r="G879" s="31" t="n">
        <v>38</v>
      </c>
      <c r="H879" s="37" t="n">
        <v>-0.048159324079662</v>
      </c>
      <c r="I879" s="31" t="n">
        <v>1.9</v>
      </c>
      <c r="J879" s="2" t="s">
        <v>2713</v>
      </c>
      <c r="K879" s="38" t="n">
        <v>0.215686274509804</v>
      </c>
      <c r="L879" s="31" t="n">
        <v>74.9</v>
      </c>
      <c r="M879" s="39" t="s">
        <v>671</v>
      </c>
      <c r="N879" s="2" t="s">
        <v>19</v>
      </c>
      <c r="O879" s="2" t="s">
        <v>19</v>
      </c>
      <c r="P879" s="2" t="s">
        <v>19</v>
      </c>
      <c r="Q879" s="2" t="s">
        <v>19</v>
      </c>
    </row>
    <row r="880" customFormat="false" ht="15" hidden="false" customHeight="false" outlineLevel="0" collapsed="false">
      <c r="A880" s="2" t="s">
        <v>508</v>
      </c>
      <c r="B880" s="2" t="s">
        <v>46</v>
      </c>
      <c r="C880" s="13" t="s">
        <v>1818</v>
      </c>
      <c r="D880" s="35" t="n">
        <v>429096</v>
      </c>
      <c r="E880" s="2" t="s">
        <v>670</v>
      </c>
      <c r="F880" s="36" t="n">
        <v>1.99769748494509</v>
      </c>
      <c r="G880" s="31" t="n">
        <v>26.4</v>
      </c>
      <c r="H880" s="37" t="n">
        <v>0.0382795032859397</v>
      </c>
      <c r="I880" s="31" t="n">
        <v>26.5</v>
      </c>
      <c r="J880" s="2" t="s">
        <v>2705</v>
      </c>
      <c r="K880" s="38" t="n">
        <v>0.315296860099601</v>
      </c>
      <c r="L880" s="31" t="n">
        <v>94</v>
      </c>
      <c r="M880" s="39" t="s">
        <v>671</v>
      </c>
      <c r="N880" s="2" t="s">
        <v>19</v>
      </c>
      <c r="O880" s="2" t="s">
        <v>19</v>
      </c>
      <c r="P880" s="2" t="s">
        <v>19</v>
      </c>
      <c r="Q880" s="2" t="s">
        <v>19</v>
      </c>
    </row>
    <row r="881" customFormat="false" ht="15" hidden="false" customHeight="false" outlineLevel="0" collapsed="false">
      <c r="A881" s="2" t="s">
        <v>508</v>
      </c>
      <c r="B881" s="2" t="s">
        <v>47</v>
      </c>
      <c r="C881" s="13" t="s">
        <v>2388</v>
      </c>
      <c r="D881" s="40" t="n">
        <v>82900</v>
      </c>
      <c r="E881" s="2" t="s">
        <v>667</v>
      </c>
      <c r="F881" s="41" t="n">
        <v>1.0489384800965</v>
      </c>
      <c r="G881" s="31" t="n">
        <v>40.5</v>
      </c>
      <c r="H881" s="42" t="n">
        <v>0.0860736276693305</v>
      </c>
      <c r="I881" s="31" t="n">
        <v>48.6</v>
      </c>
      <c r="J881" s="2" t="s">
        <v>2697</v>
      </c>
      <c r="K881" s="38" t="n">
        <v>0.0910687405920723</v>
      </c>
      <c r="L881" s="31" t="n">
        <v>49.5</v>
      </c>
      <c r="M881" s="39" t="s">
        <v>671</v>
      </c>
      <c r="N881" s="2" t="s">
        <v>21</v>
      </c>
      <c r="O881" s="2" t="s">
        <v>21</v>
      </c>
      <c r="P881" s="2" t="s">
        <v>21</v>
      </c>
      <c r="Q881" s="2" t="s">
        <v>19</v>
      </c>
    </row>
    <row r="882" customFormat="false" ht="15" hidden="false" customHeight="false" outlineLevel="0" collapsed="false">
      <c r="A882" s="2" t="s">
        <v>821</v>
      </c>
      <c r="B882" s="2" t="s">
        <v>45</v>
      </c>
      <c r="C882" s="13" t="s">
        <v>822</v>
      </c>
      <c r="D882" s="35" t="n">
        <v>106301</v>
      </c>
      <c r="E882" s="2" t="s">
        <v>670</v>
      </c>
      <c r="F882" s="36" t="n">
        <v>1.13648977902372</v>
      </c>
      <c r="G882" s="31" t="n">
        <v>80.6</v>
      </c>
      <c r="H882" s="37" t="n">
        <v>-0.00548242536510521</v>
      </c>
      <c r="I882" s="31" t="n">
        <v>11.6</v>
      </c>
      <c r="J882" s="2" t="s">
        <v>2698</v>
      </c>
      <c r="K882" s="38" t="n">
        <v>0.20254045589003</v>
      </c>
      <c r="L882" s="31" t="n">
        <v>71.8</v>
      </c>
      <c r="M882" s="39" t="s">
        <v>671</v>
      </c>
      <c r="N882" s="2" t="s">
        <v>19</v>
      </c>
      <c r="O882" s="2" t="s">
        <v>19</v>
      </c>
      <c r="P882" s="2" t="s">
        <v>19</v>
      </c>
      <c r="Q882" s="2" t="s">
        <v>19</v>
      </c>
    </row>
    <row r="883" customFormat="false" ht="15" hidden="false" customHeight="false" outlineLevel="0" collapsed="false">
      <c r="A883" s="2" t="s">
        <v>821</v>
      </c>
      <c r="B883" s="2" t="s">
        <v>46</v>
      </c>
      <c r="C883" s="16"/>
      <c r="D883" s="29"/>
      <c r="E883" s="2"/>
      <c r="F883" s="30"/>
      <c r="G883" s="31"/>
      <c r="H883" s="32"/>
      <c r="I883" s="31"/>
      <c r="J883" s="2"/>
      <c r="K883" s="33"/>
      <c r="L883" s="31"/>
      <c r="M883" s="34" t="s">
        <v>668</v>
      </c>
      <c r="N883" s="2"/>
      <c r="O883" s="2"/>
      <c r="P883" s="2"/>
      <c r="Q883" s="2"/>
    </row>
    <row r="884" customFormat="false" ht="15" hidden="false" customHeight="false" outlineLevel="0" collapsed="false">
      <c r="A884" s="2" t="s">
        <v>821</v>
      </c>
      <c r="B884" s="2" t="s">
        <v>47</v>
      </c>
      <c r="C884" s="15" t="s">
        <v>2076</v>
      </c>
      <c r="D884" s="44" t="n">
        <v>61875</v>
      </c>
      <c r="E884" s="2" t="s">
        <v>667</v>
      </c>
      <c r="F884" s="45" t="n">
        <v>2.60559191919192</v>
      </c>
      <c r="G884" s="31" t="n">
        <v>84.2</v>
      </c>
      <c r="H884" s="46" t="n">
        <v>0.0682285102636259</v>
      </c>
      <c r="I884" s="31" t="n">
        <v>38.3</v>
      </c>
      <c r="J884" s="2" t="s">
        <v>2697</v>
      </c>
      <c r="K884" s="48" t="n">
        <v>0.0873220738992551</v>
      </c>
      <c r="L884" s="31" t="n">
        <v>48.2</v>
      </c>
      <c r="M884" s="39" t="s">
        <v>671</v>
      </c>
      <c r="N884" s="2" t="s">
        <v>17</v>
      </c>
      <c r="O884" s="2" t="s">
        <v>17</v>
      </c>
      <c r="P884" s="2" t="s">
        <v>17</v>
      </c>
      <c r="Q884" s="2" t="s">
        <v>17</v>
      </c>
    </row>
    <row r="885" customFormat="false" ht="15" hidden="false" customHeight="false" outlineLevel="0" collapsed="false">
      <c r="A885" s="2" t="s">
        <v>218</v>
      </c>
      <c r="B885" s="2" t="s">
        <v>45</v>
      </c>
      <c r="C885" s="13" t="s">
        <v>764</v>
      </c>
      <c r="D885" s="35" t="n">
        <v>221280</v>
      </c>
      <c r="E885" s="2" t="s">
        <v>670</v>
      </c>
      <c r="F885" s="36" t="n">
        <v>1.47062093275488</v>
      </c>
      <c r="G885" s="31" t="n">
        <v>87.8</v>
      </c>
      <c r="H885" s="37" t="n">
        <v>0.175464411497538</v>
      </c>
      <c r="I885" s="31" t="n">
        <v>89.1</v>
      </c>
      <c r="J885" s="2" t="s">
        <v>2698</v>
      </c>
      <c r="K885" s="38" t="n">
        <v>0.0997395763417188</v>
      </c>
      <c r="L885" s="31" t="n">
        <v>34.5</v>
      </c>
      <c r="M885" s="39" t="s">
        <v>671</v>
      </c>
      <c r="N885" s="2" t="s">
        <v>19</v>
      </c>
      <c r="O885" s="2" t="s">
        <v>19</v>
      </c>
      <c r="P885" s="2" t="s">
        <v>19</v>
      </c>
      <c r="Q885" s="2" t="s">
        <v>19</v>
      </c>
    </row>
    <row r="886" customFormat="false" ht="15" hidden="false" customHeight="false" outlineLevel="0" collapsed="false">
      <c r="A886" s="2" t="s">
        <v>218</v>
      </c>
      <c r="B886" s="2" t="s">
        <v>46</v>
      </c>
      <c r="C886" s="14" t="s">
        <v>1832</v>
      </c>
      <c r="D886" s="40" t="n">
        <v>674090</v>
      </c>
      <c r="E886" s="2" t="s">
        <v>670</v>
      </c>
      <c r="F886" s="41" t="n">
        <v>1.839551098518</v>
      </c>
      <c r="G886" s="31" t="n">
        <v>23.3</v>
      </c>
      <c r="H886" s="42" t="n">
        <v>0.133114809211632</v>
      </c>
      <c r="I886" s="31" t="n">
        <v>76.8</v>
      </c>
      <c r="J886" s="2" t="s">
        <v>2705</v>
      </c>
      <c r="K886" s="43" t="n">
        <v>0.0960337807268889</v>
      </c>
      <c r="L886" s="31" t="n">
        <v>31.1</v>
      </c>
      <c r="M886" s="39" t="s">
        <v>671</v>
      </c>
      <c r="N886" s="2" t="s">
        <v>21</v>
      </c>
      <c r="O886" s="2" t="s">
        <v>21</v>
      </c>
      <c r="P886" s="2" t="s">
        <v>21</v>
      </c>
      <c r="Q886" s="2" t="s">
        <v>21</v>
      </c>
    </row>
    <row r="887" customFormat="false" ht="15" hidden="false" customHeight="false" outlineLevel="0" collapsed="false">
      <c r="A887" s="2" t="s">
        <v>218</v>
      </c>
      <c r="B887" s="2" t="s">
        <v>47</v>
      </c>
      <c r="C887" s="15" t="s">
        <v>2011</v>
      </c>
      <c r="D887" s="44" t="n">
        <v>95175</v>
      </c>
      <c r="E887" s="2" t="s">
        <v>667</v>
      </c>
      <c r="F887" s="45" t="n">
        <v>3.59510375623851</v>
      </c>
      <c r="G887" s="31" t="n">
        <v>93.2</v>
      </c>
      <c r="H887" s="46" t="n">
        <v>0.142077158456831</v>
      </c>
      <c r="I887" s="31" t="n">
        <v>74.1</v>
      </c>
      <c r="J887" s="2" t="s">
        <v>2697</v>
      </c>
      <c r="K887" s="48" t="n">
        <v>0.0816910785619174</v>
      </c>
      <c r="L887" s="31" t="n">
        <v>45.1</v>
      </c>
      <c r="M887" s="39" t="s">
        <v>671</v>
      </c>
      <c r="N887" s="2" t="s">
        <v>17</v>
      </c>
      <c r="O887" s="2" t="s">
        <v>17</v>
      </c>
      <c r="P887" s="2" t="s">
        <v>17</v>
      </c>
      <c r="Q887" s="2" t="s">
        <v>17</v>
      </c>
    </row>
    <row r="888" customFormat="false" ht="15" hidden="false" customHeight="false" outlineLevel="0" collapsed="false">
      <c r="A888" s="2" t="s">
        <v>362</v>
      </c>
      <c r="B888" s="2" t="s">
        <v>46</v>
      </c>
      <c r="C888" s="14" t="s">
        <v>1671</v>
      </c>
      <c r="D888" s="40" t="n">
        <v>77740</v>
      </c>
      <c r="E888" s="2" t="s">
        <v>667</v>
      </c>
      <c r="F888" s="41" t="n">
        <v>3.18727810650888</v>
      </c>
      <c r="G888" s="31" t="n">
        <v>51.4</v>
      </c>
      <c r="H888" s="42" t="n">
        <v>0.141556534508076</v>
      </c>
      <c r="I888" s="31" t="n">
        <v>75.5</v>
      </c>
      <c r="J888" s="2" t="s">
        <v>2700</v>
      </c>
      <c r="K888" s="43" t="n">
        <v>0.0718639553347334</v>
      </c>
      <c r="L888" s="31" t="n">
        <v>22</v>
      </c>
      <c r="M888" s="39" t="s">
        <v>671</v>
      </c>
      <c r="N888" s="2" t="s">
        <v>21</v>
      </c>
      <c r="O888" s="2" t="s">
        <v>21</v>
      </c>
      <c r="P888" s="2" t="s">
        <v>21</v>
      </c>
      <c r="Q888" s="2" t="s">
        <v>21</v>
      </c>
    </row>
    <row r="889" customFormat="false" ht="15" hidden="false" customHeight="false" outlineLevel="0" collapsed="false">
      <c r="A889" s="2" t="s">
        <v>246</v>
      </c>
      <c r="B889" s="2" t="s">
        <v>45</v>
      </c>
      <c r="C889" s="13" t="s">
        <v>751</v>
      </c>
      <c r="D889" s="35" t="n">
        <v>2505441</v>
      </c>
      <c r="E889" s="2" t="s">
        <v>752</v>
      </c>
      <c r="F889" s="36" t="n">
        <v>1.6993878522783</v>
      </c>
      <c r="G889" s="31" t="n">
        <v>89.5</v>
      </c>
      <c r="H889" s="37" t="n">
        <v>0.0377242674148564</v>
      </c>
      <c r="I889" s="31" t="n">
        <v>12.5</v>
      </c>
      <c r="J889" s="2" t="s">
        <v>2712</v>
      </c>
      <c r="K889" s="38" t="n">
        <v>0.123154701718908</v>
      </c>
      <c r="L889" s="31" t="n">
        <v>45</v>
      </c>
      <c r="M889" s="39" t="s">
        <v>671</v>
      </c>
      <c r="N889" s="2" t="s">
        <v>19</v>
      </c>
      <c r="O889" s="2" t="s">
        <v>19</v>
      </c>
      <c r="P889" s="2" t="s">
        <v>19</v>
      </c>
      <c r="Q889" s="2" t="s">
        <v>19</v>
      </c>
    </row>
    <row r="890" customFormat="false" ht="15" hidden="false" customHeight="false" outlineLevel="0" collapsed="false">
      <c r="A890" s="2" t="s">
        <v>246</v>
      </c>
      <c r="B890" s="2" t="s">
        <v>46</v>
      </c>
      <c r="C890" s="14" t="s">
        <v>1610</v>
      </c>
      <c r="D890" s="40" t="n">
        <v>37940</v>
      </c>
      <c r="E890" s="2" t="s">
        <v>667</v>
      </c>
      <c r="F890" s="41" t="n">
        <v>4.0032946758039</v>
      </c>
      <c r="G890" s="31" t="n">
        <v>63</v>
      </c>
      <c r="H890" s="42" t="n">
        <v>-0.0246786632390746</v>
      </c>
      <c r="I890" s="31" t="n">
        <v>7.5</v>
      </c>
      <c r="J890" s="2" t="s">
        <v>2700</v>
      </c>
      <c r="K890" s="43" t="n">
        <v>0.213769786383894</v>
      </c>
      <c r="L890" s="31" t="n">
        <v>74.4</v>
      </c>
      <c r="M890" s="39" t="s">
        <v>671</v>
      </c>
      <c r="N890" s="2" t="s">
        <v>21</v>
      </c>
      <c r="O890" s="2" t="s">
        <v>21</v>
      </c>
      <c r="P890" s="2" t="s">
        <v>21</v>
      </c>
      <c r="Q890" s="2" t="s">
        <v>21</v>
      </c>
    </row>
    <row r="891" customFormat="false" ht="15" hidden="false" customHeight="false" outlineLevel="0" collapsed="false">
      <c r="A891" s="2" t="s">
        <v>246</v>
      </c>
      <c r="B891" s="2" t="s">
        <v>47</v>
      </c>
      <c r="C891" s="13" t="s">
        <v>2372</v>
      </c>
      <c r="D891" s="35" t="n">
        <v>283844</v>
      </c>
      <c r="E891" s="2" t="s">
        <v>670</v>
      </c>
      <c r="F891" s="36" t="n">
        <v>1.07363904116346</v>
      </c>
      <c r="G891" s="31" t="n">
        <v>42.4</v>
      </c>
      <c r="H891" s="37" t="n">
        <v>0.116147019154015</v>
      </c>
      <c r="I891" s="31" t="n">
        <v>66.9</v>
      </c>
      <c r="J891" s="2" t="s">
        <v>2701</v>
      </c>
      <c r="K891" s="38" t="n">
        <v>0.109320332664181</v>
      </c>
      <c r="L891" s="31" t="n">
        <v>59.4</v>
      </c>
      <c r="M891" s="39" t="s">
        <v>671</v>
      </c>
      <c r="N891" s="2" t="s">
        <v>19</v>
      </c>
      <c r="O891" s="2" t="s">
        <v>19</v>
      </c>
      <c r="P891" s="2" t="s">
        <v>19</v>
      </c>
      <c r="Q891" s="2" t="s">
        <v>19</v>
      </c>
    </row>
    <row r="892" customFormat="false" ht="15" hidden="false" customHeight="false" outlineLevel="0" collapsed="false">
      <c r="A892" s="2" t="s">
        <v>161</v>
      </c>
      <c r="B892" s="2" t="s">
        <v>45</v>
      </c>
      <c r="C892" s="13" t="s">
        <v>685</v>
      </c>
      <c r="D892" s="35" t="n">
        <v>120643</v>
      </c>
      <c r="E892" s="2" t="s">
        <v>670</v>
      </c>
      <c r="F892" s="36" t="n">
        <v>2.90517477184752</v>
      </c>
      <c r="G892" s="31" t="n">
        <v>98.1</v>
      </c>
      <c r="H892" s="37" t="n">
        <v>0.155484680439426</v>
      </c>
      <c r="I892" s="31" t="n">
        <v>81.9</v>
      </c>
      <c r="J892" s="2" t="s">
        <v>2698</v>
      </c>
      <c r="K892" s="38" t="n">
        <v>0.0778244527968163</v>
      </c>
      <c r="L892" s="31" t="n">
        <v>24.9</v>
      </c>
      <c r="M892" s="39" t="s">
        <v>671</v>
      </c>
      <c r="N892" s="2" t="s">
        <v>19</v>
      </c>
      <c r="O892" s="2" t="s">
        <v>19</v>
      </c>
      <c r="P892" s="2" t="s">
        <v>19</v>
      </c>
      <c r="Q892" s="2" t="s">
        <v>19</v>
      </c>
    </row>
    <row r="893" customFormat="false" ht="15" hidden="false" customHeight="false" outlineLevel="0" collapsed="false">
      <c r="A893" s="2" t="s">
        <v>161</v>
      </c>
      <c r="B893" s="2" t="s">
        <v>47</v>
      </c>
      <c r="C893" s="13" t="s">
        <v>2283</v>
      </c>
      <c r="D893" s="35" t="n">
        <v>29746</v>
      </c>
      <c r="E893" s="2" t="s">
        <v>667</v>
      </c>
      <c r="F893" s="36" t="n">
        <v>1.38418610905668</v>
      </c>
      <c r="G893" s="31" t="n">
        <v>54.8</v>
      </c>
      <c r="H893" s="37" t="n">
        <v>0.037711494854352</v>
      </c>
      <c r="I893" s="31" t="n">
        <v>24.8</v>
      </c>
      <c r="J893" s="2" t="s">
        <v>2697</v>
      </c>
      <c r="K893" s="38" t="n">
        <v>0.00423728813559322</v>
      </c>
      <c r="L893" s="31" t="n">
        <v>4.4</v>
      </c>
      <c r="M893" s="39" t="s">
        <v>671</v>
      </c>
      <c r="N893" s="2" t="s">
        <v>19</v>
      </c>
      <c r="O893" s="2" t="s">
        <v>19</v>
      </c>
      <c r="P893" s="2" t="s">
        <v>19</v>
      </c>
      <c r="Q893" s="2" t="s">
        <v>19</v>
      </c>
    </row>
    <row r="894" customFormat="false" ht="15" hidden="false" customHeight="false" outlineLevel="0" collapsed="false">
      <c r="A894" s="2" t="s">
        <v>865</v>
      </c>
      <c r="B894" s="2" t="s">
        <v>45</v>
      </c>
      <c r="C894" s="15" t="s">
        <v>866</v>
      </c>
      <c r="D894" s="35" t="n">
        <v>106595</v>
      </c>
      <c r="E894" s="2" t="s">
        <v>670</v>
      </c>
      <c r="F894" s="36" t="n">
        <v>0.94835592663821</v>
      </c>
      <c r="G894" s="31" t="n">
        <v>73.7</v>
      </c>
      <c r="H894" s="37" t="n">
        <v>0.0639710139141197</v>
      </c>
      <c r="I894" s="31" t="n">
        <v>42.8</v>
      </c>
      <c r="J894" s="2" t="s">
        <v>2698</v>
      </c>
      <c r="K894" s="38" t="n">
        <v>0.101538461538462</v>
      </c>
      <c r="L894" s="31" t="n">
        <v>35.1</v>
      </c>
      <c r="M894" s="39" t="s">
        <v>671</v>
      </c>
      <c r="N894" s="2" t="s">
        <v>19</v>
      </c>
      <c r="O894" s="2" t="s">
        <v>19</v>
      </c>
      <c r="P894" s="2" t="s">
        <v>19</v>
      </c>
      <c r="Q894" s="2" t="s">
        <v>19</v>
      </c>
    </row>
    <row r="895" customFormat="false" ht="15" hidden="false" customHeight="false" outlineLevel="0" collapsed="false">
      <c r="A895" s="2" t="s">
        <v>865</v>
      </c>
      <c r="B895" s="2" t="s">
        <v>46</v>
      </c>
      <c r="C895" s="14" t="s">
        <v>2931</v>
      </c>
      <c r="D895" s="40" t="n">
        <v>201010</v>
      </c>
      <c r="E895" s="2" t="s">
        <v>670</v>
      </c>
      <c r="F895" s="41" t="n">
        <v>5.31532262076514</v>
      </c>
      <c r="G895" s="31" t="n">
        <v>75.5</v>
      </c>
      <c r="H895" s="42" t="n">
        <v>0.024150405054262</v>
      </c>
      <c r="I895" s="31" t="n">
        <v>17.9</v>
      </c>
      <c r="J895" s="2" t="s">
        <v>2705</v>
      </c>
      <c r="K895" s="33"/>
      <c r="L895" s="31"/>
      <c r="M895" s="34" t="s">
        <v>668</v>
      </c>
      <c r="N895" s="2" t="s">
        <v>21</v>
      </c>
      <c r="O895" s="2" t="s">
        <v>21</v>
      </c>
      <c r="P895" s="2" t="s">
        <v>21</v>
      </c>
      <c r="Q895" s="2"/>
    </row>
    <row r="896" customFormat="false" ht="15" hidden="false" customHeight="false" outlineLevel="0" collapsed="false">
      <c r="A896" s="2" t="s">
        <v>865</v>
      </c>
      <c r="B896" s="2" t="s">
        <v>47</v>
      </c>
      <c r="C896" s="13" t="s">
        <v>2149</v>
      </c>
      <c r="D896" s="35" t="n">
        <v>12804</v>
      </c>
      <c r="E896" s="2" t="s">
        <v>667</v>
      </c>
      <c r="F896" s="36" t="n">
        <v>1.95118712902218</v>
      </c>
      <c r="G896" s="31" t="n">
        <v>72.1</v>
      </c>
      <c r="H896" s="37" t="n">
        <v>0.179439941046426</v>
      </c>
      <c r="I896" s="31" t="n">
        <v>89.7</v>
      </c>
      <c r="J896" s="2" t="s">
        <v>2697</v>
      </c>
      <c r="K896" s="38" t="n">
        <v>0.252189141856392</v>
      </c>
      <c r="L896" s="31" t="n">
        <v>92.6</v>
      </c>
      <c r="M896" s="39" t="s">
        <v>671</v>
      </c>
      <c r="N896" s="2" t="s">
        <v>19</v>
      </c>
      <c r="O896" s="2" t="s">
        <v>19</v>
      </c>
      <c r="P896" s="2" t="s">
        <v>19</v>
      </c>
      <c r="Q896" s="2" t="s">
        <v>19</v>
      </c>
    </row>
    <row r="897" customFormat="false" ht="15" hidden="false" customHeight="false" outlineLevel="0" collapsed="false">
      <c r="A897" s="2" t="s">
        <v>2932</v>
      </c>
      <c r="B897" s="2" t="s">
        <v>45</v>
      </c>
      <c r="C897" s="16"/>
      <c r="D897" s="29"/>
      <c r="E897" s="2"/>
      <c r="F897" s="30"/>
      <c r="G897" s="31"/>
      <c r="H897" s="32"/>
      <c r="I897" s="31"/>
      <c r="J897" s="2"/>
      <c r="K897" s="33"/>
      <c r="L897" s="31"/>
      <c r="M897" s="34" t="s">
        <v>668</v>
      </c>
      <c r="N897" s="2"/>
      <c r="O897" s="2"/>
      <c r="P897" s="2"/>
      <c r="Q897" s="2"/>
    </row>
    <row r="898" customFormat="false" ht="15" hidden="false" customHeight="false" outlineLevel="0" collapsed="false">
      <c r="A898" s="2" t="s">
        <v>2932</v>
      </c>
      <c r="B898" s="2" t="s">
        <v>46</v>
      </c>
      <c r="C898" s="16"/>
      <c r="D898" s="29"/>
      <c r="E898" s="2"/>
      <c r="F898" s="30"/>
      <c r="G898" s="31"/>
      <c r="H898" s="32"/>
      <c r="I898" s="31"/>
      <c r="J898" s="2"/>
      <c r="K898" s="33"/>
      <c r="L898" s="31"/>
      <c r="M898" s="34" t="s">
        <v>668</v>
      </c>
      <c r="N898" s="2"/>
      <c r="O898" s="2"/>
      <c r="P898" s="2"/>
      <c r="Q898" s="2"/>
    </row>
    <row r="899" customFormat="false" ht="15" hidden="false" customHeight="false" outlineLevel="0" collapsed="false">
      <c r="A899" s="2" t="s">
        <v>2932</v>
      </c>
      <c r="B899" s="2" t="s">
        <v>47</v>
      </c>
      <c r="C899" s="16"/>
      <c r="D899" s="29"/>
      <c r="E899" s="2"/>
      <c r="F899" s="30"/>
      <c r="G899" s="31"/>
      <c r="H899" s="32"/>
      <c r="I899" s="31"/>
      <c r="J899" s="2"/>
      <c r="K899" s="33"/>
      <c r="L899" s="31"/>
      <c r="M899" s="34" t="s">
        <v>668</v>
      </c>
      <c r="N899" s="2"/>
      <c r="O899" s="2"/>
      <c r="P899" s="2"/>
      <c r="Q899" s="2"/>
    </row>
    <row r="900" customFormat="false" ht="15" hidden="false" customHeight="false" outlineLevel="0" collapsed="false">
      <c r="A900" s="2" t="s">
        <v>1748</v>
      </c>
      <c r="B900" s="2" t="s">
        <v>45</v>
      </c>
      <c r="C900" s="16"/>
      <c r="D900" s="29"/>
      <c r="E900" s="2"/>
      <c r="F900" s="30"/>
      <c r="G900" s="31"/>
      <c r="H900" s="32"/>
      <c r="I900" s="31"/>
      <c r="J900" s="2"/>
      <c r="K900" s="33"/>
      <c r="L900" s="31"/>
      <c r="M900" s="34" t="s">
        <v>668</v>
      </c>
      <c r="N900" s="2"/>
      <c r="O900" s="2"/>
      <c r="P900" s="2"/>
      <c r="Q900" s="2"/>
    </row>
    <row r="901" customFormat="false" ht="15" hidden="false" customHeight="false" outlineLevel="0" collapsed="false">
      <c r="A901" s="2" t="s">
        <v>1748</v>
      </c>
      <c r="B901" s="2" t="s">
        <v>46</v>
      </c>
      <c r="C901" s="14" t="s">
        <v>1749</v>
      </c>
      <c r="D901" s="40" t="n">
        <v>109850</v>
      </c>
      <c r="E901" s="2" t="s">
        <v>670</v>
      </c>
      <c r="F901" s="41" t="n">
        <v>2.47385525716887</v>
      </c>
      <c r="G901" s="31" t="n">
        <v>37.8</v>
      </c>
      <c r="H901" s="42" t="n">
        <v>0.14845791949817</v>
      </c>
      <c r="I901" s="31" t="n">
        <v>81.5</v>
      </c>
      <c r="J901" s="2" t="s">
        <v>2705</v>
      </c>
      <c r="K901" s="43" t="n">
        <v>0.0934348631405639</v>
      </c>
      <c r="L901" s="31" t="n">
        <v>29.5</v>
      </c>
      <c r="M901" s="39" t="s">
        <v>671</v>
      </c>
      <c r="N901" s="2" t="s">
        <v>21</v>
      </c>
      <c r="O901" s="2" t="s">
        <v>21</v>
      </c>
      <c r="P901" s="2" t="s">
        <v>21</v>
      </c>
      <c r="Q901" s="2" t="s">
        <v>21</v>
      </c>
    </row>
    <row r="902" customFormat="false" ht="15" hidden="false" customHeight="false" outlineLevel="0" collapsed="false">
      <c r="A902" s="2" t="s">
        <v>1748</v>
      </c>
      <c r="B902" s="2" t="s">
        <v>47</v>
      </c>
      <c r="C902" s="13" t="s">
        <v>2086</v>
      </c>
      <c r="D902" s="35" t="n">
        <v>58886</v>
      </c>
      <c r="E902" s="2" t="s">
        <v>667</v>
      </c>
      <c r="F902" s="36" t="n">
        <v>2.46710593349862</v>
      </c>
      <c r="G902" s="31" t="n">
        <v>82.1</v>
      </c>
      <c r="H902" s="37" t="n">
        <v>0.172000636891967</v>
      </c>
      <c r="I902" s="31" t="n">
        <v>87.9</v>
      </c>
      <c r="J902" s="2" t="s">
        <v>2697</v>
      </c>
      <c r="K902" s="38" t="n">
        <v>0.0231458186575425</v>
      </c>
      <c r="L902" s="31" t="n">
        <v>14.5</v>
      </c>
      <c r="M902" s="39" t="s">
        <v>671</v>
      </c>
      <c r="N902" s="2" t="s">
        <v>19</v>
      </c>
      <c r="O902" s="2" t="s">
        <v>19</v>
      </c>
      <c r="P902" s="2" t="s">
        <v>19</v>
      </c>
      <c r="Q902" s="2" t="s">
        <v>19</v>
      </c>
    </row>
    <row r="903" customFormat="false" ht="15" hidden="false" customHeight="false" outlineLevel="0" collapsed="false">
      <c r="A903" s="2" t="s">
        <v>1234</v>
      </c>
      <c r="B903" s="2" t="s">
        <v>45</v>
      </c>
      <c r="C903" s="14" t="s">
        <v>1235</v>
      </c>
      <c r="D903" s="40" t="n">
        <v>135560</v>
      </c>
      <c r="E903" s="2" t="s">
        <v>670</v>
      </c>
      <c r="F903" s="41" t="n">
        <v>0.341848627913839</v>
      </c>
      <c r="G903" s="31" t="n">
        <v>23.5</v>
      </c>
      <c r="H903" s="42" t="n">
        <v>0.159425248032843</v>
      </c>
      <c r="I903" s="31" t="n">
        <v>83.3</v>
      </c>
      <c r="J903" s="2" t="s">
        <v>2698</v>
      </c>
      <c r="K903" s="43" t="n">
        <v>0.143187066974596</v>
      </c>
      <c r="L903" s="31" t="n">
        <v>53.6</v>
      </c>
      <c r="M903" s="39" t="s">
        <v>671</v>
      </c>
      <c r="N903" s="2" t="s">
        <v>21</v>
      </c>
      <c r="O903" s="2" t="s">
        <v>21</v>
      </c>
      <c r="P903" s="2" t="s">
        <v>21</v>
      </c>
      <c r="Q903" s="2" t="s">
        <v>21</v>
      </c>
    </row>
    <row r="904" customFormat="false" ht="15" hidden="false" customHeight="false" outlineLevel="0" collapsed="false">
      <c r="A904" s="2" t="s">
        <v>1234</v>
      </c>
      <c r="B904" s="2" t="s">
        <v>46</v>
      </c>
      <c r="C904" s="14" t="s">
        <v>2933</v>
      </c>
      <c r="D904" s="40" t="n">
        <v>11690</v>
      </c>
      <c r="E904" s="2" t="s">
        <v>667</v>
      </c>
      <c r="F904" s="41" t="n">
        <v>5.63447390932421</v>
      </c>
      <c r="G904" s="31" t="n">
        <v>79.1</v>
      </c>
      <c r="H904" s="32"/>
      <c r="I904" s="31"/>
      <c r="J904" s="2"/>
      <c r="K904" s="43" t="n">
        <v>0.179646936656283</v>
      </c>
      <c r="L904" s="31" t="n">
        <v>66.1</v>
      </c>
      <c r="M904" s="34" t="s">
        <v>668</v>
      </c>
      <c r="N904" s="2" t="s">
        <v>21</v>
      </c>
      <c r="O904" s="2" t="s">
        <v>21</v>
      </c>
      <c r="P904" s="2"/>
      <c r="Q904" s="2" t="s">
        <v>21</v>
      </c>
    </row>
    <row r="905" customFormat="false" ht="15" hidden="false" customHeight="false" outlineLevel="0" collapsed="false">
      <c r="A905" s="2" t="s">
        <v>1234</v>
      </c>
      <c r="B905" s="2" t="s">
        <v>47</v>
      </c>
      <c r="C905" s="16"/>
      <c r="D905" s="29"/>
      <c r="E905" s="2"/>
      <c r="F905" s="30"/>
      <c r="G905" s="31"/>
      <c r="H905" s="32"/>
      <c r="I905" s="31"/>
      <c r="J905" s="2"/>
      <c r="K905" s="33"/>
      <c r="L905" s="31"/>
      <c r="M905" s="34" t="s">
        <v>668</v>
      </c>
      <c r="N905" s="2"/>
      <c r="O905" s="2"/>
      <c r="P905" s="2"/>
      <c r="Q905" s="2"/>
    </row>
    <row r="906" customFormat="false" ht="15" hidden="false" customHeight="false" outlineLevel="0" collapsed="false">
      <c r="A906" s="2" t="s">
        <v>199</v>
      </c>
      <c r="B906" s="2" t="s">
        <v>45</v>
      </c>
      <c r="C906" s="13" t="s">
        <v>922</v>
      </c>
      <c r="D906" s="35" t="n">
        <v>19502</v>
      </c>
      <c r="E906" s="2" t="s">
        <v>667</v>
      </c>
      <c r="F906" s="36" t="n">
        <v>0.825351246026049</v>
      </c>
      <c r="G906" s="31" t="n">
        <v>66</v>
      </c>
      <c r="H906" s="37" t="n">
        <v>0.0422745978301534</v>
      </c>
      <c r="I906" s="31" t="n">
        <v>25</v>
      </c>
      <c r="J906" s="2" t="s">
        <v>2704</v>
      </c>
      <c r="K906" s="47" t="s">
        <v>680</v>
      </c>
      <c r="L906" s="31"/>
      <c r="M906" s="39" t="s">
        <v>671</v>
      </c>
      <c r="N906" s="2" t="s">
        <v>19</v>
      </c>
      <c r="O906" s="2" t="s">
        <v>19</v>
      </c>
      <c r="P906" s="2" t="s">
        <v>19</v>
      </c>
      <c r="Q906" s="2" t="s">
        <v>2715</v>
      </c>
    </row>
    <row r="907" customFormat="false" ht="15" hidden="false" customHeight="false" outlineLevel="0" collapsed="false">
      <c r="A907" s="2" t="s">
        <v>199</v>
      </c>
      <c r="B907" s="2" t="s">
        <v>46</v>
      </c>
      <c r="C907" s="14" t="s">
        <v>1592</v>
      </c>
      <c r="D907" s="40" t="n">
        <v>442540</v>
      </c>
      <c r="E907" s="2" t="s">
        <v>670</v>
      </c>
      <c r="F907" s="41" t="n">
        <v>4.23423193383649</v>
      </c>
      <c r="G907" s="31" t="n">
        <v>65.8</v>
      </c>
      <c r="H907" s="42" t="n">
        <v>0.0805254419376892</v>
      </c>
      <c r="I907" s="31" t="n">
        <v>49</v>
      </c>
      <c r="J907" s="2" t="s">
        <v>2705</v>
      </c>
      <c r="K907" s="43" t="n">
        <v>0.114962903208687</v>
      </c>
      <c r="L907" s="31" t="n">
        <v>38.6</v>
      </c>
      <c r="M907" s="39" t="s">
        <v>671</v>
      </c>
      <c r="N907" s="2" t="s">
        <v>21</v>
      </c>
      <c r="O907" s="2" t="s">
        <v>21</v>
      </c>
      <c r="P907" s="2" t="s">
        <v>21</v>
      </c>
      <c r="Q907" s="2" t="s">
        <v>21</v>
      </c>
    </row>
    <row r="908" customFormat="false" ht="15" hidden="false" customHeight="false" outlineLevel="0" collapsed="false">
      <c r="A908" s="2" t="s">
        <v>199</v>
      </c>
      <c r="B908" s="2" t="s">
        <v>47</v>
      </c>
      <c r="C908" s="13" t="s">
        <v>2096</v>
      </c>
      <c r="D908" s="35" t="n">
        <v>98330</v>
      </c>
      <c r="E908" s="2" t="s">
        <v>667</v>
      </c>
      <c r="F908" s="36" t="n">
        <v>2.3549883046883</v>
      </c>
      <c r="G908" s="31" t="n">
        <v>80.4</v>
      </c>
      <c r="H908" s="37" t="n">
        <v>0.160345519341059</v>
      </c>
      <c r="I908" s="31" t="n">
        <v>81.2</v>
      </c>
      <c r="J908" s="2" t="s">
        <v>2697</v>
      </c>
      <c r="K908" s="38" t="n">
        <v>0.0430974071478627</v>
      </c>
      <c r="L908" s="31" t="n">
        <v>27.4</v>
      </c>
      <c r="M908" s="39" t="s">
        <v>671</v>
      </c>
      <c r="N908" s="2" t="s">
        <v>19</v>
      </c>
      <c r="O908" s="2" t="s">
        <v>19</v>
      </c>
      <c r="P908" s="2" t="s">
        <v>19</v>
      </c>
      <c r="Q908" s="2" t="s">
        <v>19</v>
      </c>
    </row>
    <row r="909" customFormat="false" ht="15" hidden="false" customHeight="false" outlineLevel="0" collapsed="false">
      <c r="A909" s="2" t="s">
        <v>2092</v>
      </c>
      <c r="B909" s="2" t="s">
        <v>45</v>
      </c>
      <c r="C909" s="14" t="s">
        <v>2934</v>
      </c>
      <c r="D909" s="40" t="n">
        <v>4910</v>
      </c>
      <c r="E909" s="2" t="s">
        <v>678</v>
      </c>
      <c r="F909" s="41" t="n">
        <v>0.227494908350306</v>
      </c>
      <c r="G909" s="31" t="n">
        <v>11.3</v>
      </c>
      <c r="H909" s="32"/>
      <c r="I909" s="31"/>
      <c r="J909" s="2"/>
      <c r="K909" s="43" t="n">
        <v>0.223404255319149</v>
      </c>
      <c r="L909" s="31" t="n">
        <v>76</v>
      </c>
      <c r="M909" s="34" t="s">
        <v>668</v>
      </c>
      <c r="N909" s="2" t="s">
        <v>21</v>
      </c>
      <c r="O909" s="2" t="s">
        <v>21</v>
      </c>
      <c r="P909" s="2"/>
      <c r="Q909" s="2" t="s">
        <v>21</v>
      </c>
    </row>
    <row r="910" customFormat="false" ht="15" hidden="false" customHeight="false" outlineLevel="0" collapsed="false">
      <c r="A910" s="2" t="s">
        <v>2092</v>
      </c>
      <c r="B910" s="2" t="s">
        <v>46</v>
      </c>
      <c r="C910" s="14" t="s">
        <v>2935</v>
      </c>
      <c r="D910" s="29"/>
      <c r="E910" s="2"/>
      <c r="F910" s="30"/>
      <c r="G910" s="31"/>
      <c r="H910" s="32"/>
      <c r="I910" s="31"/>
      <c r="J910" s="2"/>
      <c r="K910" s="33"/>
      <c r="L910" s="31"/>
      <c r="M910" s="34" t="s">
        <v>668</v>
      </c>
      <c r="N910" s="2"/>
      <c r="O910" s="2"/>
      <c r="P910" s="2"/>
      <c r="Q910" s="2"/>
    </row>
    <row r="911" customFormat="false" ht="15" hidden="false" customHeight="false" outlineLevel="0" collapsed="false">
      <c r="A911" s="2" t="s">
        <v>2092</v>
      </c>
      <c r="B911" s="2" t="s">
        <v>47</v>
      </c>
      <c r="C911" s="13" t="s">
        <v>2093</v>
      </c>
      <c r="D911" s="35" t="n">
        <v>493743</v>
      </c>
      <c r="E911" s="2" t="s">
        <v>670</v>
      </c>
      <c r="F911" s="36" t="n">
        <v>2.41991076329183</v>
      </c>
      <c r="G911" s="31" t="n">
        <v>81</v>
      </c>
      <c r="H911" s="37" t="n">
        <v>0.290369201096601</v>
      </c>
      <c r="I911" s="31" t="n">
        <v>98.2</v>
      </c>
      <c r="J911" s="2" t="s">
        <v>2701</v>
      </c>
      <c r="K911" s="38" t="n">
        <v>0.0889832158573153</v>
      </c>
      <c r="L911" s="31" t="n">
        <v>48.8</v>
      </c>
      <c r="M911" s="39" t="s">
        <v>671</v>
      </c>
      <c r="N911" s="2" t="s">
        <v>19</v>
      </c>
      <c r="O911" s="2" t="s">
        <v>19</v>
      </c>
      <c r="P911" s="2" t="s">
        <v>19</v>
      </c>
      <c r="Q911" s="2" t="s">
        <v>19</v>
      </c>
    </row>
    <row r="912" customFormat="false" ht="15" hidden="false" customHeight="false" outlineLevel="0" collapsed="false">
      <c r="A912" s="2" t="s">
        <v>2936</v>
      </c>
      <c r="B912" s="2" t="s">
        <v>45</v>
      </c>
      <c r="C912" s="16"/>
      <c r="D912" s="29"/>
      <c r="E912" s="2"/>
      <c r="F912" s="30"/>
      <c r="G912" s="31"/>
      <c r="H912" s="32"/>
      <c r="I912" s="31"/>
      <c r="J912" s="2"/>
      <c r="K912" s="33"/>
      <c r="L912" s="31"/>
      <c r="M912" s="34" t="s">
        <v>668</v>
      </c>
      <c r="N912" s="2"/>
      <c r="O912" s="2"/>
      <c r="P912" s="2"/>
      <c r="Q912" s="2"/>
    </row>
    <row r="913" customFormat="false" ht="15" hidden="false" customHeight="false" outlineLevel="0" collapsed="false">
      <c r="A913" s="2" t="s">
        <v>1739</v>
      </c>
      <c r="B913" s="2" t="s">
        <v>45</v>
      </c>
      <c r="C913" s="15" t="s">
        <v>2937</v>
      </c>
      <c r="D913" s="29"/>
      <c r="E913" s="2"/>
      <c r="F913" s="30"/>
      <c r="G913" s="31"/>
      <c r="H913" s="32"/>
      <c r="I913" s="31"/>
      <c r="J913" s="2"/>
      <c r="K913" s="33"/>
      <c r="L913" s="31"/>
      <c r="M913" s="34" t="s">
        <v>668</v>
      </c>
      <c r="N913" s="2"/>
      <c r="O913" s="2"/>
      <c r="P913" s="2"/>
      <c r="Q913" s="2"/>
    </row>
    <row r="914" customFormat="false" ht="15" hidden="false" customHeight="false" outlineLevel="0" collapsed="false">
      <c r="A914" s="2" t="s">
        <v>1739</v>
      </c>
      <c r="B914" s="2" t="s">
        <v>46</v>
      </c>
      <c r="C914" s="13" t="s">
        <v>1740</v>
      </c>
      <c r="D914" s="35" t="n">
        <v>86561</v>
      </c>
      <c r="E914" s="2" t="s">
        <v>667</v>
      </c>
      <c r="F914" s="36" t="n">
        <v>2.59957717678862</v>
      </c>
      <c r="G914" s="31" t="n">
        <v>40</v>
      </c>
      <c r="H914" s="37" t="n">
        <v>0.0597446162510253</v>
      </c>
      <c r="I914" s="31" t="n">
        <v>35.3</v>
      </c>
      <c r="J914" s="2" t="s">
        <v>2700</v>
      </c>
      <c r="K914" s="38" t="n">
        <v>0.186935704514364</v>
      </c>
      <c r="L914" s="31" t="n">
        <v>68.7</v>
      </c>
      <c r="M914" s="39" t="s">
        <v>671</v>
      </c>
      <c r="N914" s="2" t="s">
        <v>19</v>
      </c>
      <c r="O914" s="2" t="s">
        <v>19</v>
      </c>
      <c r="P914" s="2" t="s">
        <v>19</v>
      </c>
      <c r="Q914" s="2" t="s">
        <v>19</v>
      </c>
    </row>
    <row r="915" customFormat="false" ht="15" hidden="false" customHeight="false" outlineLevel="0" collapsed="false">
      <c r="A915" s="2" t="s">
        <v>1739</v>
      </c>
      <c r="B915" s="2" t="s">
        <v>47</v>
      </c>
      <c r="C915" s="13" t="s">
        <v>2365</v>
      </c>
      <c r="D915" s="35" t="n">
        <v>14133</v>
      </c>
      <c r="E915" s="2" t="s">
        <v>667</v>
      </c>
      <c r="F915" s="36" t="n">
        <v>1.08908228967664</v>
      </c>
      <c r="G915" s="31" t="n">
        <v>43.5</v>
      </c>
      <c r="H915" s="37" t="n">
        <v>0.0723878898247212</v>
      </c>
      <c r="I915" s="31" t="n">
        <v>39.4</v>
      </c>
      <c r="J915" s="2" t="s">
        <v>2697</v>
      </c>
      <c r="K915" s="38" t="n">
        <v>0.125838926174497</v>
      </c>
      <c r="L915" s="31" t="n">
        <v>64.2</v>
      </c>
      <c r="M915" s="39" t="s">
        <v>671</v>
      </c>
      <c r="N915" s="2" t="s">
        <v>19</v>
      </c>
      <c r="O915" s="2" t="s">
        <v>19</v>
      </c>
      <c r="P915" s="2" t="s">
        <v>19</v>
      </c>
      <c r="Q915" s="2" t="s">
        <v>19</v>
      </c>
    </row>
    <row r="916" customFormat="false" ht="15" hidden="false" customHeight="false" outlineLevel="0" collapsed="false">
      <c r="A916" s="2" t="s">
        <v>2098</v>
      </c>
      <c r="B916" s="2" t="s">
        <v>45</v>
      </c>
      <c r="C916" s="13" t="s">
        <v>2938</v>
      </c>
      <c r="D916" s="35" t="n">
        <v>23647</v>
      </c>
      <c r="E916" s="2" t="s">
        <v>667</v>
      </c>
      <c r="F916" s="36" t="n">
        <v>1.33661775278048</v>
      </c>
      <c r="G916" s="31" t="n">
        <v>86.1</v>
      </c>
      <c r="H916" s="37" t="n">
        <v>0.0427746174538078</v>
      </c>
      <c r="I916" s="31" t="n">
        <v>25.4</v>
      </c>
      <c r="J916" s="2" t="s">
        <v>2704</v>
      </c>
      <c r="K916" s="33"/>
      <c r="L916" s="31"/>
      <c r="M916" s="34" t="s">
        <v>668</v>
      </c>
      <c r="N916" s="2" t="s">
        <v>19</v>
      </c>
      <c r="O916" s="2" t="s">
        <v>19</v>
      </c>
      <c r="P916" s="2" t="s">
        <v>19</v>
      </c>
      <c r="Q916" s="2"/>
    </row>
    <row r="917" customFormat="false" ht="15" hidden="false" customHeight="false" outlineLevel="0" collapsed="false">
      <c r="A917" s="2" t="s">
        <v>2098</v>
      </c>
      <c r="B917" s="2" t="s">
        <v>46</v>
      </c>
      <c r="C917" s="14" t="s">
        <v>2939</v>
      </c>
      <c r="D917" s="40" t="n">
        <v>12880</v>
      </c>
      <c r="E917" s="2" t="s">
        <v>667</v>
      </c>
      <c r="F917" s="41" t="n">
        <v>3.67717391304348</v>
      </c>
      <c r="G917" s="31" t="n">
        <v>57.5</v>
      </c>
      <c r="H917" s="42" t="n">
        <v>0.171974522292994</v>
      </c>
      <c r="I917" s="31" t="n">
        <v>86.3</v>
      </c>
      <c r="J917" s="2" t="s">
        <v>2700</v>
      </c>
      <c r="K917" s="33"/>
      <c r="L917" s="31"/>
      <c r="M917" s="34" t="s">
        <v>668</v>
      </c>
      <c r="N917" s="2" t="s">
        <v>21</v>
      </c>
      <c r="O917" s="2" t="s">
        <v>21</v>
      </c>
      <c r="P917" s="2" t="s">
        <v>21</v>
      </c>
      <c r="Q917" s="2"/>
    </row>
    <row r="918" customFormat="false" ht="15" hidden="false" customHeight="false" outlineLevel="0" collapsed="false">
      <c r="A918" s="2" t="s">
        <v>2098</v>
      </c>
      <c r="B918" s="2" t="s">
        <v>47</v>
      </c>
      <c r="C918" s="13" t="s">
        <v>2099</v>
      </c>
      <c r="D918" s="35" t="n">
        <v>2527</v>
      </c>
      <c r="E918" s="2" t="s">
        <v>678</v>
      </c>
      <c r="F918" s="36" t="n">
        <v>2.35061337554412</v>
      </c>
      <c r="G918" s="31" t="n">
        <v>80.2</v>
      </c>
      <c r="H918" s="37" t="n">
        <v>0.147593097184378</v>
      </c>
      <c r="I918" s="31" t="n">
        <v>74.7</v>
      </c>
      <c r="J918" s="2" t="s">
        <v>2706</v>
      </c>
      <c r="K918" s="38" t="n">
        <v>0.101910828025478</v>
      </c>
      <c r="L918" s="31" t="n">
        <v>56.4</v>
      </c>
      <c r="M918" s="39" t="s">
        <v>671</v>
      </c>
      <c r="N918" s="2" t="s">
        <v>19</v>
      </c>
      <c r="O918" s="2" t="s">
        <v>19</v>
      </c>
      <c r="P918" s="2" t="s">
        <v>19</v>
      </c>
      <c r="Q918" s="2" t="s">
        <v>19</v>
      </c>
    </row>
    <row r="919" customFormat="false" ht="15" hidden="false" customHeight="false" outlineLevel="0" collapsed="false">
      <c r="A919" s="2" t="s">
        <v>876</v>
      </c>
      <c r="B919" s="2" t="s">
        <v>45</v>
      </c>
      <c r="C919" s="14" t="s">
        <v>877</v>
      </c>
      <c r="D919" s="40" t="n">
        <v>38700</v>
      </c>
      <c r="E919" s="2" t="s">
        <v>667</v>
      </c>
      <c r="F919" s="41" t="n">
        <v>0.930697674418605</v>
      </c>
      <c r="G919" s="31" t="n">
        <v>72.6</v>
      </c>
      <c r="H919" s="42" t="n">
        <v>0.162511264644037</v>
      </c>
      <c r="I919" s="31" t="n">
        <v>82.5</v>
      </c>
      <c r="J919" s="2" t="s">
        <v>2704</v>
      </c>
      <c r="K919" s="43" t="n">
        <v>0.309906858594412</v>
      </c>
      <c r="L919" s="31" t="n">
        <v>93.1</v>
      </c>
      <c r="M919" s="39" t="s">
        <v>671</v>
      </c>
      <c r="N919" s="2" t="s">
        <v>21</v>
      </c>
      <c r="O919" s="2" t="s">
        <v>21</v>
      </c>
      <c r="P919" s="2" t="s">
        <v>21</v>
      </c>
      <c r="Q919" s="2" t="s">
        <v>21</v>
      </c>
    </row>
    <row r="920" customFormat="false" ht="15" hidden="false" customHeight="false" outlineLevel="0" collapsed="false">
      <c r="A920" s="2" t="s">
        <v>876</v>
      </c>
      <c r="B920" s="2" t="s">
        <v>46</v>
      </c>
      <c r="C920" s="14" t="s">
        <v>1587</v>
      </c>
      <c r="D920" s="40" t="n">
        <v>55920</v>
      </c>
      <c r="E920" s="2" t="s">
        <v>667</v>
      </c>
      <c r="F920" s="41" t="n">
        <v>4.34032546494993</v>
      </c>
      <c r="G920" s="31" t="n">
        <v>67</v>
      </c>
      <c r="H920" s="42" t="n">
        <v>0.192578374920026</v>
      </c>
      <c r="I920" s="31" t="n">
        <v>92.9</v>
      </c>
      <c r="J920" s="2" t="s">
        <v>2700</v>
      </c>
      <c r="K920" s="43" t="n">
        <v>0.218798038210966</v>
      </c>
      <c r="L920" s="31" t="n">
        <v>75.9</v>
      </c>
      <c r="M920" s="39" t="s">
        <v>671</v>
      </c>
      <c r="N920" s="2" t="s">
        <v>21</v>
      </c>
      <c r="O920" s="2" t="s">
        <v>21</v>
      </c>
      <c r="P920" s="2" t="s">
        <v>21</v>
      </c>
      <c r="Q920" s="2" t="s">
        <v>21</v>
      </c>
    </row>
    <row r="921" customFormat="false" ht="15" hidden="false" customHeight="false" outlineLevel="0" collapsed="false">
      <c r="A921" s="2" t="s">
        <v>876</v>
      </c>
      <c r="B921" s="2" t="s">
        <v>47</v>
      </c>
      <c r="C921" s="16"/>
      <c r="D921" s="29"/>
      <c r="E921" s="2"/>
      <c r="F921" s="30"/>
      <c r="G921" s="31"/>
      <c r="H921" s="32"/>
      <c r="I921" s="31"/>
      <c r="J921" s="2"/>
      <c r="K921" s="33"/>
      <c r="L921" s="31"/>
      <c r="M921" s="34" t="s">
        <v>668</v>
      </c>
      <c r="N921" s="2"/>
      <c r="O921" s="2"/>
      <c r="P921" s="2"/>
      <c r="Q921" s="2"/>
    </row>
    <row r="922" customFormat="false" ht="15" hidden="false" customHeight="false" outlineLevel="0" collapsed="false">
      <c r="A922" s="2" t="s">
        <v>622</v>
      </c>
      <c r="B922" s="2" t="s">
        <v>45</v>
      </c>
      <c r="C922" s="14" t="s">
        <v>1331</v>
      </c>
      <c r="D922" s="40" t="n">
        <v>41620</v>
      </c>
      <c r="E922" s="2" t="s">
        <v>667</v>
      </c>
      <c r="F922" s="41" t="n">
        <v>0.201369533877943</v>
      </c>
      <c r="G922" s="31" t="n">
        <v>7.9</v>
      </c>
      <c r="H922" s="42" t="n">
        <v>0.134987728388328</v>
      </c>
      <c r="I922" s="31" t="n">
        <v>70.2</v>
      </c>
      <c r="J922" s="2" t="s">
        <v>2704</v>
      </c>
      <c r="K922" s="43" t="n">
        <v>0.223512336719884</v>
      </c>
      <c r="L922" s="31" t="n">
        <v>76.5</v>
      </c>
      <c r="M922" s="39" t="s">
        <v>671</v>
      </c>
      <c r="N922" s="2" t="s">
        <v>21</v>
      </c>
      <c r="O922" s="2" t="s">
        <v>21</v>
      </c>
      <c r="P922" s="2" t="s">
        <v>21</v>
      </c>
      <c r="Q922" s="2" t="s">
        <v>21</v>
      </c>
    </row>
    <row r="923" customFormat="false" ht="15" hidden="false" customHeight="false" outlineLevel="0" collapsed="false">
      <c r="A923" s="2" t="s">
        <v>622</v>
      </c>
      <c r="B923" s="2" t="s">
        <v>46</v>
      </c>
      <c r="C923" s="13" t="s">
        <v>1853</v>
      </c>
      <c r="D923" s="35" t="n">
        <v>152533</v>
      </c>
      <c r="E923" s="2" t="s">
        <v>670</v>
      </c>
      <c r="F923" s="36" t="n">
        <v>1.73243167052376</v>
      </c>
      <c r="G923" s="31" t="n">
        <v>20.5</v>
      </c>
      <c r="H923" s="37" t="n">
        <v>0.0886427383611799</v>
      </c>
      <c r="I923" s="31" t="n">
        <v>54.3</v>
      </c>
      <c r="J923" s="2" t="s">
        <v>2705</v>
      </c>
      <c r="K923" s="38" t="n">
        <v>0.100235685567725</v>
      </c>
      <c r="L923" s="31" t="n">
        <v>32.6</v>
      </c>
      <c r="M923" s="39" t="s">
        <v>671</v>
      </c>
      <c r="N923" s="2" t="s">
        <v>19</v>
      </c>
      <c r="O923" s="2" t="s">
        <v>19</v>
      </c>
      <c r="P923" s="2" t="s">
        <v>19</v>
      </c>
      <c r="Q923" s="2" t="s">
        <v>19</v>
      </c>
    </row>
    <row r="924" customFormat="false" ht="15" hidden="false" customHeight="false" outlineLevel="0" collapsed="false">
      <c r="A924" s="2" t="s">
        <v>622</v>
      </c>
      <c r="B924" s="2" t="s">
        <v>47</v>
      </c>
      <c r="C924" s="13" t="s">
        <v>2614</v>
      </c>
      <c r="D924" s="35" t="n">
        <v>209207</v>
      </c>
      <c r="E924" s="2" t="s">
        <v>670</v>
      </c>
      <c r="F924" s="36" t="n">
        <v>0.503491756967979</v>
      </c>
      <c r="G924" s="31" t="n">
        <v>11.8</v>
      </c>
      <c r="H924" s="37" t="n">
        <v>-0.0363831492450692</v>
      </c>
      <c r="I924" s="31" t="n">
        <v>7.2</v>
      </c>
      <c r="J924" s="2" t="s">
        <v>2701</v>
      </c>
      <c r="K924" s="38" t="n">
        <v>0.0830726451164407</v>
      </c>
      <c r="L924" s="31" t="n">
        <v>46.1</v>
      </c>
      <c r="M924" s="39" t="s">
        <v>671</v>
      </c>
      <c r="N924" s="2" t="s">
        <v>19</v>
      </c>
      <c r="O924" s="2" t="s">
        <v>19</v>
      </c>
      <c r="P924" s="2" t="s">
        <v>19</v>
      </c>
      <c r="Q924" s="2" t="s">
        <v>19</v>
      </c>
    </row>
    <row r="925" customFormat="false" ht="15" hidden="false" customHeight="false" outlineLevel="0" collapsed="false">
      <c r="A925" s="2" t="s">
        <v>2940</v>
      </c>
      <c r="B925" s="2" t="s">
        <v>45</v>
      </c>
      <c r="C925" s="16"/>
      <c r="D925" s="29"/>
      <c r="E925" s="2"/>
      <c r="F925" s="30"/>
      <c r="G925" s="31"/>
      <c r="H925" s="32"/>
      <c r="I925" s="31"/>
      <c r="J925" s="2"/>
      <c r="K925" s="33"/>
      <c r="L925" s="31"/>
      <c r="M925" s="34" t="s">
        <v>668</v>
      </c>
      <c r="N925" s="2"/>
      <c r="O925" s="2"/>
      <c r="P925" s="2"/>
      <c r="Q925" s="2"/>
    </row>
    <row r="926" customFormat="false" ht="15" hidden="false" customHeight="false" outlineLevel="0" collapsed="false">
      <c r="A926" s="2" t="s">
        <v>2940</v>
      </c>
      <c r="B926" s="2" t="s">
        <v>46</v>
      </c>
      <c r="C926" s="15" t="s">
        <v>2941</v>
      </c>
      <c r="D926" s="44" t="n">
        <v>195966</v>
      </c>
      <c r="E926" s="2" t="s">
        <v>670</v>
      </c>
      <c r="F926" s="45" t="n">
        <v>1.03176061153465</v>
      </c>
      <c r="G926" s="31" t="n">
        <v>5.9</v>
      </c>
      <c r="H926" s="46" t="n">
        <v>0.0372577768132665</v>
      </c>
      <c r="I926" s="31" t="n">
        <v>24.5</v>
      </c>
      <c r="J926" s="2" t="s">
        <v>2705</v>
      </c>
      <c r="K926" s="33"/>
      <c r="L926" s="31"/>
      <c r="M926" s="34" t="s">
        <v>668</v>
      </c>
      <c r="N926" s="2" t="s">
        <v>17</v>
      </c>
      <c r="O926" s="2" t="s">
        <v>17</v>
      </c>
      <c r="P926" s="2" t="s">
        <v>17</v>
      </c>
      <c r="Q926" s="2"/>
    </row>
    <row r="927" customFormat="false" ht="15" hidden="false" customHeight="false" outlineLevel="0" collapsed="false">
      <c r="A927" s="2" t="s">
        <v>76</v>
      </c>
      <c r="B927" s="2" t="s">
        <v>46</v>
      </c>
      <c r="C927" s="14" t="s">
        <v>1379</v>
      </c>
      <c r="D927" s="40" t="n">
        <v>29820</v>
      </c>
      <c r="E927" s="2" t="s">
        <v>667</v>
      </c>
      <c r="F927" s="41" t="n">
        <v>12.3997317236754</v>
      </c>
      <c r="G927" s="31" t="n">
        <v>98.7</v>
      </c>
      <c r="H927" s="42" t="n">
        <v>0.0156675749318801</v>
      </c>
      <c r="I927" s="31" t="n">
        <v>14.9</v>
      </c>
      <c r="J927" s="2" t="s">
        <v>2700</v>
      </c>
      <c r="K927" s="43" t="n">
        <v>0.280287884846062</v>
      </c>
      <c r="L927" s="31" t="n">
        <v>87.6</v>
      </c>
      <c r="M927" s="39" t="s">
        <v>671</v>
      </c>
      <c r="N927" s="2" t="s">
        <v>21</v>
      </c>
      <c r="O927" s="2" t="s">
        <v>21</v>
      </c>
      <c r="P927" s="2" t="s">
        <v>21</v>
      </c>
      <c r="Q927" s="2" t="s">
        <v>21</v>
      </c>
    </row>
    <row r="928" customFormat="false" ht="15" hidden="false" customHeight="false" outlineLevel="0" collapsed="false">
      <c r="A928" s="2" t="s">
        <v>1056</v>
      </c>
      <c r="B928" s="2" t="s">
        <v>45</v>
      </c>
      <c r="C928" s="14" t="s">
        <v>1057</v>
      </c>
      <c r="D928" s="40" t="n">
        <v>96910</v>
      </c>
      <c r="E928" s="2" t="s">
        <v>667</v>
      </c>
      <c r="F928" s="41" t="n">
        <v>0.586874419564544</v>
      </c>
      <c r="G928" s="31" t="n">
        <v>47.9</v>
      </c>
      <c r="H928" s="42" t="n">
        <v>0.0348104644954618</v>
      </c>
      <c r="I928" s="31" t="n">
        <v>20.2</v>
      </c>
      <c r="J928" s="2" t="s">
        <v>2704</v>
      </c>
      <c r="K928" s="43" t="n">
        <v>0.0208667736757624</v>
      </c>
      <c r="L928" s="31" t="n">
        <v>4.7</v>
      </c>
      <c r="M928" s="39" t="s">
        <v>671</v>
      </c>
      <c r="N928" s="2" t="s">
        <v>21</v>
      </c>
      <c r="O928" s="2" t="s">
        <v>21</v>
      </c>
      <c r="P928" s="2" t="s">
        <v>21</v>
      </c>
      <c r="Q928" s="2" t="s">
        <v>21</v>
      </c>
    </row>
    <row r="929" customFormat="false" ht="15" hidden="false" customHeight="false" outlineLevel="0" collapsed="false">
      <c r="A929" s="2" t="s">
        <v>1056</v>
      </c>
      <c r="B929" s="2" t="s">
        <v>46</v>
      </c>
      <c r="C929" s="14" t="s">
        <v>2942</v>
      </c>
      <c r="D929" s="40" t="n">
        <v>73720</v>
      </c>
      <c r="E929" s="2" t="s">
        <v>667</v>
      </c>
      <c r="F929" s="41" t="n">
        <v>0.644262072707542</v>
      </c>
      <c r="G929" s="31" t="n">
        <v>2.3</v>
      </c>
      <c r="H929" s="42" t="n">
        <v>0.248010834603013</v>
      </c>
      <c r="I929" s="31" t="n">
        <v>98.3</v>
      </c>
      <c r="J929" s="2" t="s">
        <v>2700</v>
      </c>
      <c r="K929" s="33"/>
      <c r="L929" s="31"/>
      <c r="M929" s="34" t="s">
        <v>668</v>
      </c>
      <c r="N929" s="2" t="s">
        <v>21</v>
      </c>
      <c r="O929" s="2" t="s">
        <v>21</v>
      </c>
      <c r="P929" s="2" t="s">
        <v>21</v>
      </c>
      <c r="Q929" s="2"/>
    </row>
    <row r="930" customFormat="false" ht="15" hidden="false" customHeight="false" outlineLevel="0" collapsed="false">
      <c r="A930" s="2" t="s">
        <v>1056</v>
      </c>
      <c r="B930" s="2" t="s">
        <v>47</v>
      </c>
      <c r="C930" s="13" t="s">
        <v>2448</v>
      </c>
      <c r="D930" s="35" t="n">
        <v>123027</v>
      </c>
      <c r="E930" s="2" t="s">
        <v>670</v>
      </c>
      <c r="F930" s="36" t="n">
        <v>0.913840051370837</v>
      </c>
      <c r="G930" s="31" t="n">
        <v>32.9</v>
      </c>
      <c r="H930" s="37" t="n">
        <v>0.0392724999577624</v>
      </c>
      <c r="I930" s="31" t="n">
        <v>30.1</v>
      </c>
      <c r="J930" s="2" t="s">
        <v>2701</v>
      </c>
      <c r="K930" s="38" t="n">
        <v>0.227104633456602</v>
      </c>
      <c r="L930" s="31" t="n">
        <v>88.8</v>
      </c>
      <c r="M930" s="39" t="s">
        <v>671</v>
      </c>
      <c r="N930" s="2" t="s">
        <v>19</v>
      </c>
      <c r="O930" s="2" t="s">
        <v>19</v>
      </c>
      <c r="P930" s="2" t="s">
        <v>19</v>
      </c>
      <c r="Q930" s="2" t="s">
        <v>19</v>
      </c>
    </row>
    <row r="931" customFormat="false" ht="15" hidden="false" customHeight="false" outlineLevel="0" collapsed="false">
      <c r="A931" s="2" t="s">
        <v>1697</v>
      </c>
      <c r="B931" s="2" t="s">
        <v>45</v>
      </c>
      <c r="C931" s="15" t="s">
        <v>2943</v>
      </c>
      <c r="D931" s="44" t="n">
        <v>23859</v>
      </c>
      <c r="E931" s="2" t="s">
        <v>667</v>
      </c>
      <c r="F931" s="45" t="n">
        <v>0.869860430026405</v>
      </c>
      <c r="G931" s="31" t="n">
        <v>69.2</v>
      </c>
      <c r="H931" s="46" t="n">
        <v>0.0242551730059243</v>
      </c>
      <c r="I931" s="31" t="n">
        <v>14.7</v>
      </c>
      <c r="J931" s="2" t="s">
        <v>2704</v>
      </c>
      <c r="K931" s="33"/>
      <c r="L931" s="31"/>
      <c r="M931" s="34" t="s">
        <v>668</v>
      </c>
      <c r="N931" s="2" t="s">
        <v>17</v>
      </c>
      <c r="O931" s="2" t="s">
        <v>17</v>
      </c>
      <c r="P931" s="2" t="s">
        <v>17</v>
      </c>
      <c r="Q931" s="2"/>
    </row>
    <row r="932" customFormat="false" ht="15" hidden="false" customHeight="false" outlineLevel="0" collapsed="false">
      <c r="A932" s="2" t="s">
        <v>1697</v>
      </c>
      <c r="B932" s="2" t="s">
        <v>46</v>
      </c>
      <c r="C932" s="14" t="s">
        <v>1698</v>
      </c>
      <c r="D932" s="40" t="n">
        <v>2100</v>
      </c>
      <c r="E932" s="2" t="s">
        <v>678</v>
      </c>
      <c r="F932" s="41" t="n">
        <v>2.95571428571429</v>
      </c>
      <c r="G932" s="31" t="n">
        <v>46.7</v>
      </c>
      <c r="H932" s="46" t="n">
        <v>0.031</v>
      </c>
      <c r="I932" s="31" t="n">
        <v>10.4</v>
      </c>
      <c r="J932" s="2" t="s">
        <v>2720</v>
      </c>
      <c r="K932" s="43" t="n">
        <v>0.151685393258427</v>
      </c>
      <c r="L932" s="31" t="n">
        <v>57.5</v>
      </c>
      <c r="M932" s="39" t="s">
        <v>671</v>
      </c>
      <c r="N932" s="2" t="s">
        <v>21</v>
      </c>
      <c r="O932" s="2" t="s">
        <v>21</v>
      </c>
      <c r="P932" s="2" t="s">
        <v>17</v>
      </c>
      <c r="Q932" s="2" t="s">
        <v>21</v>
      </c>
    </row>
    <row r="933" customFormat="false" ht="15" hidden="false" customHeight="false" outlineLevel="0" collapsed="false">
      <c r="A933" s="2" t="s">
        <v>1697</v>
      </c>
      <c r="B933" s="2" t="s">
        <v>47</v>
      </c>
      <c r="C933" s="13" t="s">
        <v>2579</v>
      </c>
      <c r="D933" s="35" t="n">
        <v>7997</v>
      </c>
      <c r="E933" s="2" t="s">
        <v>678</v>
      </c>
      <c r="F933" s="36" t="n">
        <v>0.586594973114918</v>
      </c>
      <c r="G933" s="31" t="n">
        <v>15.6</v>
      </c>
      <c r="H933" s="37" t="n">
        <v>0.0174300254452926</v>
      </c>
      <c r="I933" s="31" t="n">
        <v>10.7</v>
      </c>
      <c r="J933" s="2" t="s">
        <v>2706</v>
      </c>
      <c r="K933" s="38" t="n">
        <v>0.0779816513761468</v>
      </c>
      <c r="L933" s="31" t="n">
        <v>43.6</v>
      </c>
      <c r="M933" s="39" t="s">
        <v>671</v>
      </c>
      <c r="N933" s="2" t="s">
        <v>19</v>
      </c>
      <c r="O933" s="2" t="s">
        <v>19</v>
      </c>
      <c r="P933" s="2" t="s">
        <v>19</v>
      </c>
      <c r="Q933" s="2" t="s">
        <v>19</v>
      </c>
    </row>
    <row r="934" customFormat="false" ht="15" hidden="false" customHeight="false" outlineLevel="0" collapsed="false">
      <c r="A934" s="2" t="s">
        <v>2594</v>
      </c>
      <c r="B934" s="2" t="s">
        <v>45</v>
      </c>
      <c r="C934" s="16"/>
      <c r="D934" s="29"/>
      <c r="E934" s="2"/>
      <c r="F934" s="30"/>
      <c r="G934" s="31"/>
      <c r="H934" s="32"/>
      <c r="I934" s="31"/>
      <c r="J934" s="2"/>
      <c r="K934" s="33"/>
      <c r="L934" s="31"/>
      <c r="M934" s="34" t="s">
        <v>668</v>
      </c>
      <c r="N934" s="2"/>
      <c r="O934" s="2"/>
      <c r="P934" s="2"/>
      <c r="Q934" s="2"/>
    </row>
    <row r="935" customFormat="false" ht="15" hidden="false" customHeight="false" outlineLevel="0" collapsed="false">
      <c r="A935" s="2" t="s">
        <v>2594</v>
      </c>
      <c r="B935" s="2" t="s">
        <v>46</v>
      </c>
      <c r="C935" s="14" t="s">
        <v>2944</v>
      </c>
      <c r="D935" s="40" t="n">
        <v>11550</v>
      </c>
      <c r="E935" s="2" t="s">
        <v>667</v>
      </c>
      <c r="F935" s="41" t="n">
        <v>2.43272727272727</v>
      </c>
      <c r="G935" s="31" t="n">
        <v>37.2</v>
      </c>
      <c r="H935" s="46" t="n">
        <v>-0.00499569336778639</v>
      </c>
      <c r="I935" s="31" t="n">
        <v>11.2</v>
      </c>
      <c r="J935" s="2" t="s">
        <v>2700</v>
      </c>
      <c r="K935" s="33"/>
      <c r="L935" s="31"/>
      <c r="M935" s="34" t="s">
        <v>668</v>
      </c>
      <c r="N935" s="2" t="s">
        <v>21</v>
      </c>
      <c r="O935" s="2" t="s">
        <v>21</v>
      </c>
      <c r="P935" s="2" t="s">
        <v>17</v>
      </c>
      <c r="Q935" s="2"/>
    </row>
    <row r="936" customFormat="false" ht="15" hidden="false" customHeight="false" outlineLevel="0" collapsed="false">
      <c r="A936" s="2" t="s">
        <v>2594</v>
      </c>
      <c r="B936" s="2" t="s">
        <v>47</v>
      </c>
      <c r="C936" s="13" t="s">
        <v>2595</v>
      </c>
      <c r="D936" s="35" t="n">
        <v>160421</v>
      </c>
      <c r="E936" s="2" t="s">
        <v>670</v>
      </c>
      <c r="F936" s="36" t="n">
        <v>0.562145853722393</v>
      </c>
      <c r="G936" s="31" t="n">
        <v>14.1</v>
      </c>
      <c r="H936" s="37" t="n">
        <v>0.0770847321068887</v>
      </c>
      <c r="I936" s="31" t="n">
        <v>47.6</v>
      </c>
      <c r="J936" s="2" t="s">
        <v>2701</v>
      </c>
      <c r="K936" s="38" t="n">
        <v>0.101356350184957</v>
      </c>
      <c r="L936" s="31" t="n">
        <v>56</v>
      </c>
      <c r="M936" s="39" t="s">
        <v>671</v>
      </c>
      <c r="N936" s="2" t="s">
        <v>19</v>
      </c>
      <c r="O936" s="2" t="s">
        <v>19</v>
      </c>
      <c r="P936" s="2" t="s">
        <v>19</v>
      </c>
      <c r="Q936" s="2" t="s">
        <v>19</v>
      </c>
    </row>
    <row r="937" customFormat="false" ht="15" hidden="false" customHeight="false" outlineLevel="0" collapsed="false">
      <c r="A937" s="2" t="s">
        <v>646</v>
      </c>
      <c r="B937" s="2" t="s">
        <v>47</v>
      </c>
      <c r="C937" s="13" t="s">
        <v>2647</v>
      </c>
      <c r="D937" s="35" t="n">
        <v>24710</v>
      </c>
      <c r="E937" s="2" t="s">
        <v>667</v>
      </c>
      <c r="F937" s="36" t="n">
        <v>0.326750303520842</v>
      </c>
      <c r="G937" s="31" t="n">
        <v>5.1</v>
      </c>
      <c r="H937" s="37" t="n">
        <v>0.092396109637489</v>
      </c>
      <c r="I937" s="31" t="n">
        <v>52.8</v>
      </c>
      <c r="J937" s="2" t="s">
        <v>2697</v>
      </c>
      <c r="K937" s="38" t="n">
        <v>0.0357142857142857</v>
      </c>
      <c r="L937" s="31" t="n">
        <v>23</v>
      </c>
      <c r="M937" s="39" t="s">
        <v>671</v>
      </c>
      <c r="N937" s="2" t="s">
        <v>19</v>
      </c>
      <c r="O937" s="2" t="s">
        <v>19</v>
      </c>
      <c r="P937" s="2" t="s">
        <v>19</v>
      </c>
      <c r="Q937" s="2" t="s">
        <v>19</v>
      </c>
    </row>
    <row r="938" customFormat="false" ht="15" hidden="false" customHeight="false" outlineLevel="0" collapsed="false">
      <c r="A938" s="2" t="s">
        <v>101</v>
      </c>
      <c r="B938" s="2" t="s">
        <v>45</v>
      </c>
      <c r="C938" s="13" t="s">
        <v>692</v>
      </c>
      <c r="D938" s="35" t="n">
        <v>60689</v>
      </c>
      <c r="E938" s="2" t="s">
        <v>667</v>
      </c>
      <c r="F938" s="36" t="n">
        <v>2.46077542882565</v>
      </c>
      <c r="G938" s="31" t="n">
        <v>96.6</v>
      </c>
      <c r="H938" s="37" t="n">
        <v>0.144751485428652</v>
      </c>
      <c r="I938" s="31" t="n">
        <v>75.4</v>
      </c>
      <c r="J938" s="2" t="s">
        <v>2704</v>
      </c>
      <c r="K938" s="38" t="n">
        <v>0.156148272603171</v>
      </c>
      <c r="L938" s="31" t="n">
        <v>58.3</v>
      </c>
      <c r="M938" s="39" t="s">
        <v>671</v>
      </c>
      <c r="N938" s="2" t="s">
        <v>19</v>
      </c>
      <c r="O938" s="2" t="s">
        <v>19</v>
      </c>
      <c r="P938" s="2" t="s">
        <v>19</v>
      </c>
      <c r="Q938" s="2" t="s">
        <v>19</v>
      </c>
    </row>
    <row r="939" customFormat="false" ht="15" hidden="false" customHeight="false" outlineLevel="0" collapsed="false">
      <c r="A939" s="2" t="s">
        <v>490</v>
      </c>
      <c r="B939" s="2" t="s">
        <v>45</v>
      </c>
      <c r="C939" s="13" t="s">
        <v>1209</v>
      </c>
      <c r="D939" s="35" t="n">
        <v>23077</v>
      </c>
      <c r="E939" s="2" t="s">
        <v>667</v>
      </c>
      <c r="F939" s="36" t="n">
        <v>0.376565411448629</v>
      </c>
      <c r="G939" s="31" t="n">
        <v>27.4</v>
      </c>
      <c r="H939" s="37" t="n">
        <v>-0.0106323687031083</v>
      </c>
      <c r="I939" s="31" t="n">
        <v>7.5</v>
      </c>
      <c r="J939" s="2" t="s">
        <v>2704</v>
      </c>
      <c r="K939" s="38" t="n">
        <v>0.0934579439252336</v>
      </c>
      <c r="L939" s="31" t="n">
        <v>32.9</v>
      </c>
      <c r="M939" s="39" t="s">
        <v>671</v>
      </c>
      <c r="N939" s="2" t="s">
        <v>19</v>
      </c>
      <c r="O939" s="2" t="s">
        <v>19</v>
      </c>
      <c r="P939" s="2" t="s">
        <v>19</v>
      </c>
      <c r="Q939" s="2" t="s">
        <v>19</v>
      </c>
    </row>
    <row r="940" customFormat="false" ht="15" hidden="false" customHeight="false" outlineLevel="0" collapsed="false">
      <c r="A940" s="2" t="s">
        <v>490</v>
      </c>
      <c r="B940" s="2" t="s">
        <v>46</v>
      </c>
      <c r="C940" s="13" t="s">
        <v>1802</v>
      </c>
      <c r="D940" s="35" t="n">
        <v>31333</v>
      </c>
      <c r="E940" s="2" t="s">
        <v>667</v>
      </c>
      <c r="F940" s="36" t="n">
        <v>2.10662879392334</v>
      </c>
      <c r="G940" s="31" t="n">
        <v>29.2</v>
      </c>
      <c r="H940" s="37" t="n">
        <v>0.0573327934129716</v>
      </c>
      <c r="I940" s="31" t="n">
        <v>34.4</v>
      </c>
      <c r="J940" s="2" t="s">
        <v>2700</v>
      </c>
      <c r="K940" s="38" t="n">
        <v>0.122460658082976</v>
      </c>
      <c r="L940" s="31" t="n">
        <v>44</v>
      </c>
      <c r="M940" s="39" t="s">
        <v>671</v>
      </c>
      <c r="N940" s="2" t="s">
        <v>19</v>
      </c>
      <c r="O940" s="2" t="s">
        <v>19</v>
      </c>
      <c r="P940" s="2" t="s">
        <v>19</v>
      </c>
      <c r="Q940" s="2" t="s">
        <v>19</v>
      </c>
    </row>
    <row r="941" customFormat="false" ht="15" hidden="false" customHeight="false" outlineLevel="0" collapsed="false">
      <c r="A941" s="2" t="s">
        <v>490</v>
      </c>
      <c r="B941" s="2" t="s">
        <v>47</v>
      </c>
      <c r="C941" s="13" t="s">
        <v>2276</v>
      </c>
      <c r="D941" s="35" t="n">
        <v>417055</v>
      </c>
      <c r="E941" s="2" t="s">
        <v>670</v>
      </c>
      <c r="F941" s="36" t="n">
        <v>1.40441908141612</v>
      </c>
      <c r="G941" s="31" t="n">
        <v>55.7</v>
      </c>
      <c r="H941" s="37" t="n">
        <v>-0.0442475645276983</v>
      </c>
      <c r="I941" s="31" t="n">
        <v>6</v>
      </c>
      <c r="J941" s="2" t="s">
        <v>2701</v>
      </c>
      <c r="K941" s="38" t="n">
        <v>0.0335028417588992</v>
      </c>
      <c r="L941" s="31" t="n">
        <v>21.1</v>
      </c>
      <c r="M941" s="39" t="s">
        <v>671</v>
      </c>
      <c r="N941" s="2" t="s">
        <v>19</v>
      </c>
      <c r="O941" s="2" t="s">
        <v>19</v>
      </c>
      <c r="P941" s="2" t="s">
        <v>19</v>
      </c>
      <c r="Q941" s="2" t="s">
        <v>19</v>
      </c>
    </row>
    <row r="942" customFormat="false" ht="15" hidden="false" customHeight="false" outlineLevel="0" collapsed="false">
      <c r="A942" s="2" t="s">
        <v>965</v>
      </c>
      <c r="B942" s="2" t="s">
        <v>45</v>
      </c>
      <c r="C942" s="13" t="s">
        <v>966</v>
      </c>
      <c r="D942" s="35" t="n">
        <v>4635</v>
      </c>
      <c r="E942" s="2" t="s">
        <v>678</v>
      </c>
      <c r="F942" s="36" t="n">
        <v>0.710895361380798</v>
      </c>
      <c r="G942" s="31" t="n">
        <v>59.4</v>
      </c>
      <c r="H942" s="37" t="n">
        <v>0.0716763005780347</v>
      </c>
      <c r="I942" s="31" t="n">
        <v>42.6</v>
      </c>
      <c r="J942" s="2" t="s">
        <v>2713</v>
      </c>
      <c r="K942" s="38" t="n">
        <v>0.0246913580246914</v>
      </c>
      <c r="L942" s="31" t="n">
        <v>5.5</v>
      </c>
      <c r="M942" s="39" t="s">
        <v>671</v>
      </c>
      <c r="N942" s="2" t="s">
        <v>19</v>
      </c>
      <c r="O942" s="2" t="s">
        <v>19</v>
      </c>
      <c r="P942" s="2" t="s">
        <v>19</v>
      </c>
      <c r="Q942" s="2" t="s">
        <v>19</v>
      </c>
    </row>
    <row r="943" customFormat="false" ht="15" hidden="false" customHeight="false" outlineLevel="0" collapsed="false">
      <c r="A943" s="2" t="s">
        <v>965</v>
      </c>
      <c r="B943" s="2" t="s">
        <v>46</v>
      </c>
      <c r="C943" s="14" t="s">
        <v>2945</v>
      </c>
      <c r="D943" s="29"/>
      <c r="E943" s="2"/>
      <c r="F943" s="30"/>
      <c r="G943" s="31"/>
      <c r="H943" s="32"/>
      <c r="I943" s="31"/>
      <c r="J943" s="2"/>
      <c r="K943" s="43" t="n">
        <v>0.0443765720445562</v>
      </c>
      <c r="L943" s="31" t="n">
        <v>11.1</v>
      </c>
      <c r="M943" s="34" t="s">
        <v>668</v>
      </c>
      <c r="N943" s="2"/>
      <c r="O943" s="2"/>
      <c r="P943" s="2"/>
      <c r="Q943" s="2" t="s">
        <v>21</v>
      </c>
    </row>
    <row r="944" customFormat="false" ht="15" hidden="false" customHeight="false" outlineLevel="0" collapsed="false">
      <c r="A944" s="2" t="s">
        <v>965</v>
      </c>
      <c r="B944" s="2" t="s">
        <v>47</v>
      </c>
      <c r="C944" s="13" t="s">
        <v>2573</v>
      </c>
      <c r="D944" s="35" t="n">
        <v>894591</v>
      </c>
      <c r="E944" s="2" t="s">
        <v>670</v>
      </c>
      <c r="F944" s="36" t="n">
        <v>0.599712047181338</v>
      </c>
      <c r="G944" s="31" t="n">
        <v>16.3</v>
      </c>
      <c r="H944" s="37" t="n">
        <v>0.0743205268618861</v>
      </c>
      <c r="I944" s="31" t="n">
        <v>45.8</v>
      </c>
      <c r="J944" s="2" t="s">
        <v>2701</v>
      </c>
      <c r="K944" s="38" t="n">
        <v>0.0914083387528001</v>
      </c>
      <c r="L944" s="31" t="n">
        <v>49.9</v>
      </c>
      <c r="M944" s="39" t="s">
        <v>671</v>
      </c>
      <c r="N944" s="2" t="s">
        <v>19</v>
      </c>
      <c r="O944" s="2" t="s">
        <v>19</v>
      </c>
      <c r="P944" s="2" t="s">
        <v>19</v>
      </c>
      <c r="Q944" s="2" t="s">
        <v>19</v>
      </c>
    </row>
    <row r="945" customFormat="false" ht="15" hidden="false" customHeight="false" outlineLevel="0" collapsed="false">
      <c r="A945" s="2" t="s">
        <v>95</v>
      </c>
      <c r="B945" s="2" t="s">
        <v>47</v>
      </c>
      <c r="C945" s="13" t="s">
        <v>1984</v>
      </c>
      <c r="D945" s="35" t="n">
        <v>32201</v>
      </c>
      <c r="E945" s="2" t="s">
        <v>667</v>
      </c>
      <c r="F945" s="36" t="n">
        <v>4.83612310176703</v>
      </c>
      <c r="G945" s="31" t="n">
        <v>97.1</v>
      </c>
      <c r="H945" s="37" t="n">
        <v>0.140827605753561</v>
      </c>
      <c r="I945" s="31" t="n">
        <v>73.8</v>
      </c>
      <c r="J945" s="2" t="s">
        <v>2697</v>
      </c>
      <c r="K945" s="38" t="n">
        <v>0.259984338292874</v>
      </c>
      <c r="L945" s="31" t="n">
        <v>93.9</v>
      </c>
      <c r="M945" s="39" t="s">
        <v>671</v>
      </c>
      <c r="N945" s="2" t="s">
        <v>19</v>
      </c>
      <c r="O945" s="2" t="s">
        <v>19</v>
      </c>
      <c r="P945" s="2" t="s">
        <v>19</v>
      </c>
      <c r="Q945" s="2" t="s">
        <v>19</v>
      </c>
    </row>
    <row r="946" customFormat="false" ht="15" hidden="false" customHeight="false" outlineLevel="0" collapsed="false">
      <c r="A946" s="2" t="s">
        <v>624</v>
      </c>
      <c r="B946" s="2" t="s">
        <v>47</v>
      </c>
      <c r="C946" s="13" t="s">
        <v>2612</v>
      </c>
      <c r="D946" s="35" t="n">
        <v>124351</v>
      </c>
      <c r="E946" s="2" t="s">
        <v>670</v>
      </c>
      <c r="F946" s="36" t="n">
        <v>0.519022766202121</v>
      </c>
      <c r="G946" s="31" t="n">
        <v>12.2</v>
      </c>
      <c r="H946" s="37" t="n">
        <v>0.0474838687939081</v>
      </c>
      <c r="I946" s="31" t="n">
        <v>31.9</v>
      </c>
      <c r="J946" s="2" t="s">
        <v>2701</v>
      </c>
      <c r="K946" s="38" t="n">
        <v>0.115884556069619</v>
      </c>
      <c r="L946" s="31" t="n">
        <v>61.5</v>
      </c>
      <c r="M946" s="39" t="s">
        <v>671</v>
      </c>
      <c r="N946" s="2" t="s">
        <v>19</v>
      </c>
      <c r="O946" s="2" t="s">
        <v>19</v>
      </c>
      <c r="P946" s="2" t="s">
        <v>19</v>
      </c>
      <c r="Q946" s="2" t="s">
        <v>19</v>
      </c>
    </row>
    <row r="947" customFormat="false" ht="15" hidden="false" customHeight="false" outlineLevel="0" collapsed="false">
      <c r="A947" s="2" t="s">
        <v>2352</v>
      </c>
      <c r="B947" s="2" t="s">
        <v>45</v>
      </c>
      <c r="C947" s="15" t="s">
        <v>2946</v>
      </c>
      <c r="D947" s="29"/>
      <c r="E947" s="2"/>
      <c r="F947" s="30"/>
      <c r="G947" s="31"/>
      <c r="H947" s="32"/>
      <c r="I947" s="31"/>
      <c r="J947" s="2"/>
      <c r="K947" s="33"/>
      <c r="L947" s="31"/>
      <c r="M947" s="34" t="s">
        <v>668</v>
      </c>
      <c r="N947" s="2"/>
      <c r="O947" s="2"/>
      <c r="P947" s="2"/>
      <c r="Q947" s="2"/>
    </row>
    <row r="948" customFormat="false" ht="15" hidden="false" customHeight="false" outlineLevel="0" collapsed="false">
      <c r="A948" s="2" t="s">
        <v>2352</v>
      </c>
      <c r="B948" s="2" t="s">
        <v>46</v>
      </c>
      <c r="C948" s="13" t="s">
        <v>2947</v>
      </c>
      <c r="D948" s="35" t="n">
        <v>75762</v>
      </c>
      <c r="E948" s="2" t="s">
        <v>667</v>
      </c>
      <c r="F948" s="36" t="n">
        <v>3.79249491829677</v>
      </c>
      <c r="G948" s="31" t="n">
        <v>59.6</v>
      </c>
      <c r="H948" s="37" t="n">
        <v>0.015889617442375</v>
      </c>
      <c r="I948" s="31" t="n">
        <v>15.4</v>
      </c>
      <c r="J948" s="2" t="s">
        <v>2700</v>
      </c>
      <c r="K948" s="33"/>
      <c r="L948" s="31"/>
      <c r="M948" s="34" t="s">
        <v>668</v>
      </c>
      <c r="N948" s="2" t="s">
        <v>19</v>
      </c>
      <c r="O948" s="2" t="s">
        <v>19</v>
      </c>
      <c r="P948" s="2" t="s">
        <v>19</v>
      </c>
      <c r="Q948" s="2"/>
    </row>
    <row r="949" customFormat="false" ht="15" hidden="false" customHeight="false" outlineLevel="0" collapsed="false">
      <c r="A949" s="2" t="s">
        <v>2352</v>
      </c>
      <c r="B949" s="2" t="s">
        <v>47</v>
      </c>
      <c r="C949" s="13" t="s">
        <v>2353</v>
      </c>
      <c r="D949" s="35" t="n">
        <v>825883</v>
      </c>
      <c r="E949" s="2" t="s">
        <v>670</v>
      </c>
      <c r="F949" s="36" t="n">
        <v>1.135688711355</v>
      </c>
      <c r="G949" s="31" t="n">
        <v>45.8</v>
      </c>
      <c r="H949" s="37" t="n">
        <v>0.0875352906474517</v>
      </c>
      <c r="I949" s="31" t="n">
        <v>51.8</v>
      </c>
      <c r="J949" s="2" t="s">
        <v>2701</v>
      </c>
      <c r="K949" s="38" t="n">
        <v>0.048383552435982</v>
      </c>
      <c r="L949" s="31" t="n">
        <v>29.7</v>
      </c>
      <c r="M949" s="39" t="s">
        <v>671</v>
      </c>
      <c r="N949" s="2" t="s">
        <v>19</v>
      </c>
      <c r="O949" s="2" t="s">
        <v>19</v>
      </c>
      <c r="P949" s="2" t="s">
        <v>19</v>
      </c>
      <c r="Q949" s="2" t="s">
        <v>19</v>
      </c>
    </row>
    <row r="950" customFormat="false" ht="15" hidden="false" customHeight="false" outlineLevel="0" collapsed="false">
      <c r="A950" s="2" t="s">
        <v>572</v>
      </c>
      <c r="B950" s="2" t="s">
        <v>45</v>
      </c>
      <c r="C950" s="13" t="s">
        <v>1210</v>
      </c>
      <c r="D950" s="35" t="n">
        <v>96734</v>
      </c>
      <c r="E950" s="2" t="s">
        <v>667</v>
      </c>
      <c r="F950" s="36" t="n">
        <v>0.375876113879298</v>
      </c>
      <c r="G950" s="31" t="n">
        <v>27.1</v>
      </c>
      <c r="H950" s="37" t="n">
        <v>0.121267618694362</v>
      </c>
      <c r="I950" s="31" t="n">
        <v>61.5</v>
      </c>
      <c r="J950" s="2" t="s">
        <v>2704</v>
      </c>
      <c r="K950" s="38" t="n">
        <v>0.0684410646387833</v>
      </c>
      <c r="L950" s="31" t="n">
        <v>19.9</v>
      </c>
      <c r="M950" s="39" t="s">
        <v>671</v>
      </c>
      <c r="N950" s="2" t="s">
        <v>19</v>
      </c>
      <c r="O950" s="2" t="s">
        <v>19</v>
      </c>
      <c r="P950" s="2" t="s">
        <v>19</v>
      </c>
      <c r="Q950" s="2" t="s">
        <v>19</v>
      </c>
    </row>
    <row r="951" customFormat="false" ht="15" hidden="false" customHeight="false" outlineLevel="0" collapsed="false">
      <c r="A951" s="2" t="s">
        <v>572</v>
      </c>
      <c r="B951" s="2" t="s">
        <v>46</v>
      </c>
      <c r="C951" s="13" t="s">
        <v>1942</v>
      </c>
      <c r="D951" s="35" t="n">
        <v>110175</v>
      </c>
      <c r="E951" s="2" t="s">
        <v>670</v>
      </c>
      <c r="F951" s="36" t="n">
        <v>0.788028137054686</v>
      </c>
      <c r="G951" s="31" t="n">
        <v>3.6</v>
      </c>
      <c r="H951" s="37" t="n">
        <v>0.028788331528032</v>
      </c>
      <c r="I951" s="31" t="n">
        <v>21.2</v>
      </c>
      <c r="J951" s="2" t="s">
        <v>2705</v>
      </c>
      <c r="K951" s="38" t="n">
        <v>0.0861575178997613</v>
      </c>
      <c r="L951" s="31" t="n">
        <v>26.9</v>
      </c>
      <c r="M951" s="39" t="s">
        <v>671</v>
      </c>
      <c r="N951" s="2" t="s">
        <v>19</v>
      </c>
      <c r="O951" s="2" t="s">
        <v>19</v>
      </c>
      <c r="P951" s="2" t="s">
        <v>19</v>
      </c>
      <c r="Q951" s="2" t="s">
        <v>19</v>
      </c>
    </row>
    <row r="952" customFormat="false" ht="15" hidden="false" customHeight="false" outlineLevel="0" collapsed="false">
      <c r="A952" s="2" t="s">
        <v>572</v>
      </c>
      <c r="B952" s="2" t="s">
        <v>47</v>
      </c>
      <c r="C952" s="13" t="s">
        <v>2341</v>
      </c>
      <c r="D952" s="35" t="n">
        <v>204370</v>
      </c>
      <c r="E952" s="2" t="s">
        <v>670</v>
      </c>
      <c r="F952" s="36" t="n">
        <v>1.16607134119489</v>
      </c>
      <c r="G952" s="31" t="n">
        <v>47.1</v>
      </c>
      <c r="H952" s="37" t="n">
        <v>0.200686207119399</v>
      </c>
      <c r="I952" s="31" t="n">
        <v>90.4</v>
      </c>
      <c r="J952" s="2" t="s">
        <v>2701</v>
      </c>
      <c r="K952" s="38" t="n">
        <v>0.0995270102066219</v>
      </c>
      <c r="L952" s="31" t="n">
        <v>54.3</v>
      </c>
      <c r="M952" s="39" t="s">
        <v>671</v>
      </c>
      <c r="N952" s="2" t="s">
        <v>19</v>
      </c>
      <c r="O952" s="2" t="s">
        <v>19</v>
      </c>
      <c r="P952" s="2" t="s">
        <v>19</v>
      </c>
      <c r="Q952" s="2" t="s">
        <v>19</v>
      </c>
    </row>
    <row r="953" customFormat="false" ht="15" hidden="false" customHeight="false" outlineLevel="0" collapsed="false">
      <c r="A953" s="2" t="s">
        <v>792</v>
      </c>
      <c r="B953" s="2" t="s">
        <v>45</v>
      </c>
      <c r="C953" s="14" t="s">
        <v>793</v>
      </c>
      <c r="D953" s="40" t="n">
        <v>71800</v>
      </c>
      <c r="E953" s="2" t="s">
        <v>667</v>
      </c>
      <c r="F953" s="41" t="n">
        <v>1.28186629526462</v>
      </c>
      <c r="G953" s="31" t="n">
        <v>84.4</v>
      </c>
      <c r="H953" s="42" t="n">
        <v>0.0724421209858103</v>
      </c>
      <c r="I953" s="31" t="n">
        <v>40.5</v>
      </c>
      <c r="J953" s="2" t="s">
        <v>2704</v>
      </c>
      <c r="K953" s="47" t="s">
        <v>680</v>
      </c>
      <c r="L953" s="31"/>
      <c r="M953" s="39" t="s">
        <v>671</v>
      </c>
      <c r="N953" s="2" t="s">
        <v>21</v>
      </c>
      <c r="O953" s="2" t="s">
        <v>21</v>
      </c>
      <c r="P953" s="2" t="s">
        <v>21</v>
      </c>
      <c r="Q953" s="2" t="s">
        <v>2711</v>
      </c>
    </row>
    <row r="954" customFormat="false" ht="15" hidden="false" customHeight="false" outlineLevel="0" collapsed="false">
      <c r="A954" s="2" t="s">
        <v>792</v>
      </c>
      <c r="B954" s="2" t="s">
        <v>46</v>
      </c>
      <c r="C954" s="14" t="s">
        <v>2948</v>
      </c>
      <c r="D954" s="40" t="n">
        <v>74640</v>
      </c>
      <c r="E954" s="2" t="s">
        <v>667</v>
      </c>
      <c r="F954" s="41" t="n">
        <v>2.86095927116827</v>
      </c>
      <c r="G954" s="31" t="n">
        <v>45.5</v>
      </c>
      <c r="H954" s="42" t="n">
        <v>0.0142682429677945</v>
      </c>
      <c r="I954" s="31" t="n">
        <v>14.5</v>
      </c>
      <c r="J954" s="2" t="s">
        <v>2700</v>
      </c>
      <c r="K954" s="33"/>
      <c r="L954" s="31"/>
      <c r="M954" s="34" t="s">
        <v>668</v>
      </c>
      <c r="N954" s="2" t="s">
        <v>21</v>
      </c>
      <c r="O954" s="2" t="s">
        <v>21</v>
      </c>
      <c r="P954" s="2" t="s">
        <v>21</v>
      </c>
      <c r="Q954" s="2"/>
    </row>
    <row r="955" customFormat="false" ht="15" hidden="false" customHeight="false" outlineLevel="0" collapsed="false">
      <c r="A955" s="2" t="s">
        <v>792</v>
      </c>
      <c r="B955" s="2" t="s">
        <v>47</v>
      </c>
      <c r="C955" s="13" t="s">
        <v>2654</v>
      </c>
      <c r="D955" s="35" t="n">
        <v>448201</v>
      </c>
      <c r="E955" s="2" t="s">
        <v>670</v>
      </c>
      <c r="F955" s="36" t="n">
        <v>0.300722220610842</v>
      </c>
      <c r="G955" s="31" t="n">
        <v>4.4</v>
      </c>
      <c r="H955" s="37" t="n">
        <v>0.0485313108249738</v>
      </c>
      <c r="I955" s="31" t="n">
        <v>34.3</v>
      </c>
      <c r="J955" s="2" t="s">
        <v>2701</v>
      </c>
      <c r="K955" s="38" t="n">
        <v>0.0120020429009193</v>
      </c>
      <c r="L955" s="31" t="n">
        <v>7.8</v>
      </c>
      <c r="M955" s="39" t="s">
        <v>671</v>
      </c>
      <c r="N955" s="2" t="s">
        <v>19</v>
      </c>
      <c r="O955" s="2" t="s">
        <v>19</v>
      </c>
      <c r="P955" s="2" t="s">
        <v>19</v>
      </c>
      <c r="Q955" s="2" t="s">
        <v>19</v>
      </c>
    </row>
    <row r="956" customFormat="false" ht="15" hidden="false" customHeight="false" outlineLevel="0" collapsed="false">
      <c r="A956" s="2" t="s">
        <v>552</v>
      </c>
      <c r="B956" s="2" t="s">
        <v>45</v>
      </c>
      <c r="C956" s="14" t="s">
        <v>1248</v>
      </c>
      <c r="D956" s="40" t="n">
        <v>332110</v>
      </c>
      <c r="E956" s="2" t="s">
        <v>670</v>
      </c>
      <c r="F956" s="41" t="n">
        <v>0.33506368371925</v>
      </c>
      <c r="G956" s="31" t="n">
        <v>22.2</v>
      </c>
      <c r="H956" s="42" t="n">
        <v>0.0220341591014002</v>
      </c>
      <c r="I956" s="31" t="n">
        <v>22.5</v>
      </c>
      <c r="J956" s="2" t="s">
        <v>2698</v>
      </c>
      <c r="K956" s="43" t="n">
        <v>0.257352941176471</v>
      </c>
      <c r="L956" s="31" t="n">
        <v>83.7</v>
      </c>
      <c r="M956" s="39" t="s">
        <v>671</v>
      </c>
      <c r="N956" s="2" t="s">
        <v>21</v>
      </c>
      <c r="O956" s="2" t="s">
        <v>21</v>
      </c>
      <c r="P956" s="2" t="s">
        <v>21</v>
      </c>
      <c r="Q956" s="2" t="s">
        <v>21</v>
      </c>
    </row>
    <row r="957" customFormat="false" ht="15" hidden="false" customHeight="false" outlineLevel="0" collapsed="false">
      <c r="A957" s="2" t="s">
        <v>552</v>
      </c>
      <c r="B957" s="2" t="s">
        <v>46</v>
      </c>
      <c r="C957" s="13" t="s">
        <v>1935</v>
      </c>
      <c r="D957" s="35" t="n">
        <v>11444</v>
      </c>
      <c r="E957" s="2" t="s">
        <v>667</v>
      </c>
      <c r="F957" s="36" t="n">
        <v>0.996067808458581</v>
      </c>
      <c r="G957" s="31" t="n">
        <v>5.7</v>
      </c>
      <c r="H957" s="37" t="n">
        <v>-0.0895783611774065</v>
      </c>
      <c r="I957" s="31" t="n">
        <v>2.1</v>
      </c>
      <c r="J957" s="2" t="s">
        <v>2700</v>
      </c>
      <c r="K957" s="38" t="n">
        <v>0.117206982543641</v>
      </c>
      <c r="L957" s="31" t="n">
        <v>40.4</v>
      </c>
      <c r="M957" s="39" t="s">
        <v>671</v>
      </c>
      <c r="N957" s="2" t="s">
        <v>19</v>
      </c>
      <c r="O957" s="2" t="s">
        <v>19</v>
      </c>
      <c r="P957" s="2" t="s">
        <v>19</v>
      </c>
      <c r="Q957" s="2" t="s">
        <v>19</v>
      </c>
    </row>
    <row r="958" customFormat="false" ht="15" hidden="false" customHeight="false" outlineLevel="0" collapsed="false">
      <c r="A958" s="2" t="s">
        <v>552</v>
      </c>
      <c r="B958" s="2" t="s">
        <v>47</v>
      </c>
      <c r="C958" s="13" t="s">
        <v>2235</v>
      </c>
      <c r="D958" s="35" t="n">
        <v>17676</v>
      </c>
      <c r="E958" s="2" t="s">
        <v>667</v>
      </c>
      <c r="F958" s="36" t="n">
        <v>1.55889341479973</v>
      </c>
      <c r="G958" s="31" t="n">
        <v>60.8</v>
      </c>
      <c r="H958" s="37" t="n">
        <v>0.109743847312908</v>
      </c>
      <c r="I958" s="31" t="n">
        <v>59.6</v>
      </c>
      <c r="J958" s="2" t="s">
        <v>2697</v>
      </c>
      <c r="K958" s="38" t="n">
        <v>0.105691056910569</v>
      </c>
      <c r="L958" s="31" t="n">
        <v>57.7</v>
      </c>
      <c r="M958" s="39" t="s">
        <v>671</v>
      </c>
      <c r="N958" s="2" t="s">
        <v>19</v>
      </c>
      <c r="O958" s="2" t="s">
        <v>19</v>
      </c>
      <c r="P958" s="2" t="s">
        <v>19</v>
      </c>
      <c r="Q958" s="2" t="s">
        <v>19</v>
      </c>
    </row>
    <row r="959" customFormat="false" ht="15" hidden="false" customHeight="false" outlineLevel="0" collapsed="false">
      <c r="A959" s="2" t="s">
        <v>1505</v>
      </c>
      <c r="B959" s="2" t="s">
        <v>45</v>
      </c>
      <c r="C959" s="15" t="s">
        <v>2949</v>
      </c>
      <c r="D959" s="44" t="n">
        <v>98927</v>
      </c>
      <c r="E959" s="2" t="s">
        <v>667</v>
      </c>
      <c r="F959" s="45" t="n">
        <v>0.430347630070658</v>
      </c>
      <c r="G959" s="31" t="n">
        <v>34.4</v>
      </c>
      <c r="H959" s="46" t="n">
        <v>0.0703489315661347</v>
      </c>
      <c r="I959" s="31" t="n">
        <v>38.9</v>
      </c>
      <c r="J959" s="2" t="s">
        <v>2704</v>
      </c>
      <c r="K959" s="33"/>
      <c r="L959" s="31"/>
      <c r="M959" s="34" t="s">
        <v>668</v>
      </c>
      <c r="N959" s="2" t="s">
        <v>17</v>
      </c>
      <c r="O959" s="2" t="s">
        <v>17</v>
      </c>
      <c r="P959" s="2" t="s">
        <v>17</v>
      </c>
      <c r="Q959" s="2"/>
    </row>
    <row r="960" customFormat="false" ht="15" hidden="false" customHeight="false" outlineLevel="0" collapsed="false">
      <c r="A960" s="2" t="s">
        <v>1505</v>
      </c>
      <c r="B960" s="2" t="s">
        <v>46</v>
      </c>
      <c r="C960" s="14" t="s">
        <v>1506</v>
      </c>
      <c r="D960" s="40" t="n">
        <v>59040</v>
      </c>
      <c r="E960" s="2" t="s">
        <v>667</v>
      </c>
      <c r="F960" s="41" t="n">
        <v>6.02730352303523</v>
      </c>
      <c r="G960" s="31" t="n">
        <v>80.8</v>
      </c>
      <c r="H960" s="42" t="n">
        <v>0.0886962935644477</v>
      </c>
      <c r="I960" s="31" t="n">
        <v>48.5</v>
      </c>
      <c r="J960" s="2" t="s">
        <v>2700</v>
      </c>
      <c r="K960" s="43" t="n">
        <v>0.251238525426199</v>
      </c>
      <c r="L960" s="31" t="n">
        <v>83.2</v>
      </c>
      <c r="M960" s="39" t="s">
        <v>671</v>
      </c>
      <c r="N960" s="2" t="s">
        <v>21</v>
      </c>
      <c r="O960" s="2" t="s">
        <v>21</v>
      </c>
      <c r="P960" s="2" t="s">
        <v>21</v>
      </c>
      <c r="Q960" s="2" t="s">
        <v>21</v>
      </c>
    </row>
    <row r="961" customFormat="false" ht="15" hidden="false" customHeight="false" outlineLevel="0" collapsed="false">
      <c r="A961" s="2" t="s">
        <v>1505</v>
      </c>
      <c r="B961" s="2" t="s">
        <v>47</v>
      </c>
      <c r="C961" s="14" t="s">
        <v>2381</v>
      </c>
      <c r="D961" s="40" t="n">
        <v>38900</v>
      </c>
      <c r="E961" s="2" t="s">
        <v>667</v>
      </c>
      <c r="F961" s="41" t="n">
        <v>1.06046272493573</v>
      </c>
      <c r="G961" s="31" t="n">
        <v>41.4</v>
      </c>
      <c r="H961" s="42" t="n">
        <v>0.0663377192982456</v>
      </c>
      <c r="I961" s="31" t="n">
        <v>37.9</v>
      </c>
      <c r="J961" s="2" t="s">
        <v>2697</v>
      </c>
      <c r="K961" s="43" t="n">
        <v>0.0729613733905579</v>
      </c>
      <c r="L961" s="31" t="n">
        <v>40.4</v>
      </c>
      <c r="M961" s="39" t="s">
        <v>671</v>
      </c>
      <c r="N961" s="2" t="s">
        <v>21</v>
      </c>
      <c r="O961" s="2" t="s">
        <v>21</v>
      </c>
      <c r="P961" s="2" t="s">
        <v>21</v>
      </c>
      <c r="Q961" s="2" t="s">
        <v>21</v>
      </c>
    </row>
    <row r="962" customFormat="false" ht="15" hidden="false" customHeight="false" outlineLevel="0" collapsed="false">
      <c r="A962" s="2" t="s">
        <v>316</v>
      </c>
      <c r="B962" s="2" t="s">
        <v>45</v>
      </c>
      <c r="C962" s="14" t="s">
        <v>712</v>
      </c>
      <c r="D962" s="40" t="n">
        <v>28870</v>
      </c>
      <c r="E962" s="2" t="s">
        <v>667</v>
      </c>
      <c r="F962" s="41" t="n">
        <v>2.18229996536197</v>
      </c>
      <c r="G962" s="31" t="n">
        <v>94.7</v>
      </c>
      <c r="H962" s="42" t="n">
        <v>0.193961952026468</v>
      </c>
      <c r="I962" s="31" t="n">
        <v>90.9</v>
      </c>
      <c r="J962" s="2" t="s">
        <v>2704</v>
      </c>
      <c r="K962" s="43" t="n">
        <v>0.156117199731604</v>
      </c>
      <c r="L962" s="31" t="n">
        <v>58</v>
      </c>
      <c r="M962" s="39" t="s">
        <v>671</v>
      </c>
      <c r="N962" s="2" t="s">
        <v>21</v>
      </c>
      <c r="O962" s="2" t="s">
        <v>21</v>
      </c>
      <c r="P962" s="2" t="s">
        <v>21</v>
      </c>
      <c r="Q962" s="2" t="s">
        <v>21</v>
      </c>
    </row>
    <row r="963" customFormat="false" ht="15" hidden="false" customHeight="false" outlineLevel="0" collapsed="false">
      <c r="A963" s="2" t="s">
        <v>316</v>
      </c>
      <c r="B963" s="2" t="s">
        <v>46</v>
      </c>
      <c r="C963" s="13" t="s">
        <v>1711</v>
      </c>
      <c r="D963" s="35" t="n">
        <v>136246</v>
      </c>
      <c r="E963" s="2" t="s">
        <v>670</v>
      </c>
      <c r="F963" s="36" t="n">
        <v>2.8005372634793</v>
      </c>
      <c r="G963" s="31" t="n">
        <v>44</v>
      </c>
      <c r="H963" s="37" t="n">
        <v>0.0629934775145898</v>
      </c>
      <c r="I963" s="31" t="n">
        <v>37.7</v>
      </c>
      <c r="J963" s="2" t="s">
        <v>2705</v>
      </c>
      <c r="K963" s="38" t="n">
        <v>0.0368122977346278</v>
      </c>
      <c r="L963" s="31" t="n">
        <v>8.8</v>
      </c>
      <c r="M963" s="39" t="s">
        <v>671</v>
      </c>
      <c r="N963" s="2" t="s">
        <v>19</v>
      </c>
      <c r="O963" s="2" t="s">
        <v>19</v>
      </c>
      <c r="P963" s="2" t="s">
        <v>19</v>
      </c>
      <c r="Q963" s="2" t="s">
        <v>19</v>
      </c>
    </row>
    <row r="964" customFormat="false" ht="15" hidden="false" customHeight="false" outlineLevel="0" collapsed="false">
      <c r="A964" s="2" t="s">
        <v>316</v>
      </c>
      <c r="B964" s="2" t="s">
        <v>47</v>
      </c>
      <c r="C964" s="13" t="s">
        <v>2464</v>
      </c>
      <c r="D964" s="35" t="n">
        <v>35190</v>
      </c>
      <c r="E964" s="2" t="s">
        <v>667</v>
      </c>
      <c r="F964" s="36" t="n">
        <v>0.864961636828645</v>
      </c>
      <c r="G964" s="31" t="n">
        <v>30.2</v>
      </c>
      <c r="H964" s="37" t="n">
        <v>0.164499156160032</v>
      </c>
      <c r="I964" s="31" t="n">
        <v>83</v>
      </c>
      <c r="J964" s="2" t="s">
        <v>2697</v>
      </c>
      <c r="K964" s="38" t="n">
        <v>0.165980230642504</v>
      </c>
      <c r="L964" s="31" t="n">
        <v>75.6</v>
      </c>
      <c r="M964" s="39" t="s">
        <v>671</v>
      </c>
      <c r="N964" s="2" t="s">
        <v>19</v>
      </c>
      <c r="O964" s="2" t="s">
        <v>19</v>
      </c>
      <c r="P964" s="2" t="s">
        <v>19</v>
      </c>
      <c r="Q964" s="2" t="s">
        <v>19</v>
      </c>
    </row>
    <row r="965" customFormat="false" ht="15" hidden="false" customHeight="false" outlineLevel="0" collapsed="false">
      <c r="A965" s="2" t="s">
        <v>1947</v>
      </c>
      <c r="B965" s="2" t="s">
        <v>45</v>
      </c>
      <c r="C965" s="14" t="s">
        <v>2950</v>
      </c>
      <c r="D965" s="40" t="n">
        <v>120660</v>
      </c>
      <c r="E965" s="2" t="s">
        <v>670</v>
      </c>
      <c r="F965" s="41" t="n">
        <v>0.417719211006133</v>
      </c>
      <c r="G965" s="31" t="n">
        <v>32.3</v>
      </c>
      <c r="H965" s="42" t="n">
        <v>0.0956142740397712</v>
      </c>
      <c r="I965" s="31" t="n">
        <v>58</v>
      </c>
      <c r="J965" s="2" t="s">
        <v>2698</v>
      </c>
      <c r="K965" s="33"/>
      <c r="L965" s="31"/>
      <c r="M965" s="34" t="s">
        <v>668</v>
      </c>
      <c r="N965" s="2" t="s">
        <v>21</v>
      </c>
      <c r="O965" s="2" t="s">
        <v>21</v>
      </c>
      <c r="P965" s="2" t="s">
        <v>21</v>
      </c>
      <c r="Q965" s="2"/>
    </row>
    <row r="966" customFormat="false" ht="15" hidden="false" customHeight="false" outlineLevel="0" collapsed="false">
      <c r="A966" s="2" t="s">
        <v>1947</v>
      </c>
      <c r="B966" s="2" t="s">
        <v>46</v>
      </c>
      <c r="C966" s="13" t="s">
        <v>1948</v>
      </c>
      <c r="D966" s="35" t="n">
        <v>63015</v>
      </c>
      <c r="E966" s="2" t="s">
        <v>667</v>
      </c>
      <c r="F966" s="36" t="n">
        <v>0.750630802189955</v>
      </c>
      <c r="G966" s="31" t="n">
        <v>3.2</v>
      </c>
      <c r="H966" s="37" t="n">
        <v>0.176816628382542</v>
      </c>
      <c r="I966" s="31" t="n">
        <v>88.8</v>
      </c>
      <c r="J966" s="2" t="s">
        <v>2700</v>
      </c>
      <c r="K966" s="38" t="n">
        <v>0.0422778257118205</v>
      </c>
      <c r="L966" s="31" t="n">
        <v>10.4</v>
      </c>
      <c r="M966" s="39" t="s">
        <v>671</v>
      </c>
      <c r="N966" s="2" t="s">
        <v>19</v>
      </c>
      <c r="O966" s="2" t="s">
        <v>19</v>
      </c>
      <c r="P966" s="2" t="s">
        <v>19</v>
      </c>
      <c r="Q966" s="2" t="s">
        <v>19</v>
      </c>
    </row>
    <row r="967" customFormat="false" ht="15" hidden="false" customHeight="false" outlineLevel="0" collapsed="false">
      <c r="A967" s="2" t="s">
        <v>1947</v>
      </c>
      <c r="B967" s="2" t="s">
        <v>47</v>
      </c>
      <c r="C967" s="16"/>
      <c r="D967" s="29"/>
      <c r="E967" s="2"/>
      <c r="F967" s="30"/>
      <c r="G967" s="31"/>
      <c r="H967" s="32"/>
      <c r="I967" s="31"/>
      <c r="J967" s="2"/>
      <c r="K967" s="33"/>
      <c r="L967" s="31"/>
      <c r="M967" s="34" t="s">
        <v>668</v>
      </c>
      <c r="N967" s="2"/>
      <c r="O967" s="2"/>
      <c r="P967" s="2"/>
      <c r="Q967" s="2"/>
    </row>
    <row r="968" customFormat="false" ht="15" hidden="false" customHeight="false" outlineLevel="0" collapsed="false">
      <c r="A968" s="2" t="s">
        <v>1551</v>
      </c>
      <c r="B968" s="2" t="s">
        <v>45</v>
      </c>
      <c r="C968" s="16"/>
      <c r="D968" s="29"/>
      <c r="E968" s="2"/>
      <c r="F968" s="30"/>
      <c r="G968" s="31"/>
      <c r="H968" s="32"/>
      <c r="I968" s="31"/>
      <c r="J968" s="2"/>
      <c r="K968" s="33"/>
      <c r="L968" s="31"/>
      <c r="M968" s="34" t="s">
        <v>668</v>
      </c>
      <c r="N968" s="2"/>
      <c r="O968" s="2"/>
      <c r="P968" s="2"/>
      <c r="Q968" s="2"/>
    </row>
    <row r="969" customFormat="false" ht="15" hidden="false" customHeight="false" outlineLevel="0" collapsed="false">
      <c r="A969" s="2" t="s">
        <v>1551</v>
      </c>
      <c r="B969" s="2" t="s">
        <v>46</v>
      </c>
      <c r="C969" s="14" t="s">
        <v>1552</v>
      </c>
      <c r="D969" s="40" t="n">
        <v>424950</v>
      </c>
      <c r="E969" s="2" t="s">
        <v>670</v>
      </c>
      <c r="F969" s="41" t="n">
        <v>5.00261677844452</v>
      </c>
      <c r="G969" s="31" t="n">
        <v>72.5</v>
      </c>
      <c r="H969" s="42" t="n">
        <v>0.0935972000617634</v>
      </c>
      <c r="I969" s="31" t="n">
        <v>60.3</v>
      </c>
      <c r="J969" s="2" t="s">
        <v>2705</v>
      </c>
      <c r="K969" s="43" t="n">
        <v>0.0334646844587737</v>
      </c>
      <c r="L969" s="31" t="n">
        <v>7.8</v>
      </c>
      <c r="M969" s="39" t="s">
        <v>671</v>
      </c>
      <c r="N969" s="2" t="s">
        <v>21</v>
      </c>
      <c r="O969" s="2" t="s">
        <v>21</v>
      </c>
      <c r="P969" s="2" t="s">
        <v>21</v>
      </c>
      <c r="Q969" s="2" t="s">
        <v>21</v>
      </c>
    </row>
    <row r="970" customFormat="false" ht="15" hidden="false" customHeight="false" outlineLevel="0" collapsed="false">
      <c r="A970" s="2" t="s">
        <v>1551</v>
      </c>
      <c r="B970" s="2" t="s">
        <v>47</v>
      </c>
      <c r="C970" s="13" t="s">
        <v>2542</v>
      </c>
      <c r="D970" s="35" t="n">
        <v>195135</v>
      </c>
      <c r="E970" s="2" t="s">
        <v>670</v>
      </c>
      <c r="F970" s="36" t="n">
        <v>0.702652010146821</v>
      </c>
      <c r="G970" s="31" t="n">
        <v>20.7</v>
      </c>
      <c r="H970" s="37" t="n">
        <v>0.125787506057739</v>
      </c>
      <c r="I970" s="31" t="n">
        <v>69.9</v>
      </c>
      <c r="J970" s="2" t="s">
        <v>2701</v>
      </c>
      <c r="K970" s="38" t="n">
        <v>0.013520280420631</v>
      </c>
      <c r="L970" s="31" t="n">
        <v>9</v>
      </c>
      <c r="M970" s="39" t="s">
        <v>671</v>
      </c>
      <c r="N970" s="2" t="s">
        <v>19</v>
      </c>
      <c r="O970" s="2" t="s">
        <v>19</v>
      </c>
      <c r="P970" s="2" t="s">
        <v>19</v>
      </c>
      <c r="Q970" s="2" t="s">
        <v>19</v>
      </c>
    </row>
    <row r="971" customFormat="false" ht="15" hidden="false" customHeight="false" outlineLevel="0" collapsed="false">
      <c r="A971" s="2" t="s">
        <v>2478</v>
      </c>
      <c r="B971" s="2" t="s">
        <v>45</v>
      </c>
      <c r="C971" s="14" t="s">
        <v>2951</v>
      </c>
      <c r="D971" s="40" t="n">
        <v>4490</v>
      </c>
      <c r="E971" s="2" t="s">
        <v>678</v>
      </c>
      <c r="F971" s="41" t="n">
        <v>0.495991091314031</v>
      </c>
      <c r="G971" s="31" t="n">
        <v>40.4</v>
      </c>
      <c r="H971" s="32"/>
      <c r="I971" s="31"/>
      <c r="J971" s="2"/>
      <c r="K971" s="33"/>
      <c r="L971" s="31"/>
      <c r="M971" s="34" t="s">
        <v>668</v>
      </c>
      <c r="N971" s="2" t="s">
        <v>21</v>
      </c>
      <c r="O971" s="2" t="s">
        <v>21</v>
      </c>
      <c r="P971" s="2"/>
      <c r="Q971" s="2"/>
    </row>
    <row r="972" customFormat="false" ht="15" hidden="false" customHeight="false" outlineLevel="0" collapsed="false">
      <c r="A972" s="2" t="s">
        <v>2478</v>
      </c>
      <c r="B972" s="2" t="s">
        <v>46</v>
      </c>
      <c r="C972" s="14" t="s">
        <v>2952</v>
      </c>
      <c r="D972" s="40" t="n">
        <v>121380</v>
      </c>
      <c r="E972" s="2" t="s">
        <v>670</v>
      </c>
      <c r="F972" s="41" t="n">
        <v>5.51903114186851</v>
      </c>
      <c r="G972" s="31" t="n">
        <v>78</v>
      </c>
      <c r="H972" s="42" t="n">
        <v>0.118606580038706</v>
      </c>
      <c r="I972" s="31" t="n">
        <v>70.2</v>
      </c>
      <c r="J972" s="2" t="s">
        <v>2705</v>
      </c>
      <c r="K972" s="33"/>
      <c r="L972" s="31"/>
      <c r="M972" s="34" t="s">
        <v>668</v>
      </c>
      <c r="N972" s="2" t="s">
        <v>21</v>
      </c>
      <c r="O972" s="2" t="s">
        <v>21</v>
      </c>
      <c r="P972" s="2" t="s">
        <v>21</v>
      </c>
      <c r="Q972" s="2"/>
    </row>
    <row r="973" customFormat="false" ht="15" hidden="false" customHeight="false" outlineLevel="0" collapsed="false">
      <c r="A973" s="2" t="s">
        <v>2478</v>
      </c>
      <c r="B973" s="2" t="s">
        <v>47</v>
      </c>
      <c r="C973" s="13" t="s">
        <v>2479</v>
      </c>
      <c r="D973" s="35" t="n">
        <v>106982</v>
      </c>
      <c r="E973" s="2" t="s">
        <v>670</v>
      </c>
      <c r="F973" s="36" t="n">
        <v>0.841702342450132</v>
      </c>
      <c r="G973" s="31" t="n">
        <v>28.7</v>
      </c>
      <c r="H973" s="37" t="n">
        <v>0.17774891012374</v>
      </c>
      <c r="I973" s="31" t="n">
        <v>86.7</v>
      </c>
      <c r="J973" s="2" t="s">
        <v>2701</v>
      </c>
      <c r="K973" s="38" t="n">
        <v>0.116247955998216</v>
      </c>
      <c r="L973" s="31" t="n">
        <v>61.7</v>
      </c>
      <c r="M973" s="39" t="s">
        <v>671</v>
      </c>
      <c r="N973" s="2" t="s">
        <v>19</v>
      </c>
      <c r="O973" s="2" t="s">
        <v>19</v>
      </c>
      <c r="P973" s="2" t="s">
        <v>19</v>
      </c>
      <c r="Q973" s="2" t="s">
        <v>19</v>
      </c>
    </row>
    <row r="974" customFormat="false" ht="15" hidden="false" customHeight="false" outlineLevel="0" collapsed="false">
      <c r="A974" s="2" t="s">
        <v>2220</v>
      </c>
      <c r="B974" s="2" t="s">
        <v>46</v>
      </c>
      <c r="C974" s="14" t="s">
        <v>2953</v>
      </c>
      <c r="D974" s="40" t="n">
        <v>77850</v>
      </c>
      <c r="E974" s="2" t="s">
        <v>667</v>
      </c>
      <c r="F974" s="41" t="n">
        <v>3.76344251766217</v>
      </c>
      <c r="G974" s="31" t="n">
        <v>59</v>
      </c>
      <c r="H974" s="42" t="n">
        <v>0.134178321678322</v>
      </c>
      <c r="I974" s="31" t="n">
        <v>71</v>
      </c>
      <c r="J974" s="2" t="s">
        <v>2700</v>
      </c>
      <c r="K974" s="33"/>
      <c r="L974" s="31"/>
      <c r="M974" s="34" t="s">
        <v>668</v>
      </c>
      <c r="N974" s="2" t="s">
        <v>21</v>
      </c>
      <c r="O974" s="2" t="s">
        <v>21</v>
      </c>
      <c r="P974" s="2" t="s">
        <v>21</v>
      </c>
      <c r="Q974" s="2"/>
    </row>
    <row r="975" customFormat="false" ht="15" hidden="false" customHeight="false" outlineLevel="0" collapsed="false">
      <c r="A975" s="2" t="s">
        <v>2220</v>
      </c>
      <c r="B975" s="2" t="s">
        <v>47</v>
      </c>
      <c r="C975" s="13" t="s">
        <v>2221</v>
      </c>
      <c r="D975" s="35" t="n">
        <v>70086</v>
      </c>
      <c r="E975" s="2" t="s">
        <v>667</v>
      </c>
      <c r="F975" s="36" t="n">
        <v>1.60274519875581</v>
      </c>
      <c r="G975" s="31" t="n">
        <v>62.7</v>
      </c>
      <c r="H975" s="37" t="n">
        <v>-0.039272936628696</v>
      </c>
      <c r="I975" s="31" t="n">
        <v>3.5</v>
      </c>
      <c r="J975" s="2" t="s">
        <v>2697</v>
      </c>
      <c r="K975" s="38" t="n">
        <v>0.0605391073795846</v>
      </c>
      <c r="L975" s="31" t="n">
        <v>36</v>
      </c>
      <c r="M975" s="39" t="s">
        <v>671</v>
      </c>
      <c r="N975" s="2" t="s">
        <v>19</v>
      </c>
      <c r="O975" s="2" t="s">
        <v>19</v>
      </c>
      <c r="P975" s="2" t="s">
        <v>19</v>
      </c>
      <c r="Q975" s="2" t="s">
        <v>19</v>
      </c>
    </row>
    <row r="976" customFormat="false" ht="15" hidden="false" customHeight="false" outlineLevel="0" collapsed="false">
      <c r="A976" s="2" t="s">
        <v>2954</v>
      </c>
      <c r="B976" s="2" t="s">
        <v>46</v>
      </c>
      <c r="C976" s="16"/>
      <c r="D976" s="29"/>
      <c r="E976" s="2"/>
      <c r="F976" s="30"/>
      <c r="G976" s="31"/>
      <c r="H976" s="32"/>
      <c r="I976" s="31"/>
      <c r="J976" s="2"/>
      <c r="K976" s="33"/>
      <c r="L976" s="31"/>
      <c r="M976" s="34" t="s">
        <v>668</v>
      </c>
      <c r="N976" s="2"/>
      <c r="O976" s="2"/>
      <c r="P976" s="2"/>
      <c r="Q976" s="2"/>
    </row>
    <row r="977" customFormat="false" ht="15" hidden="false" customHeight="false" outlineLevel="0" collapsed="false">
      <c r="A977" s="2" t="s">
        <v>432</v>
      </c>
      <c r="B977" s="2" t="s">
        <v>45</v>
      </c>
      <c r="C977" s="13" t="s">
        <v>1352</v>
      </c>
      <c r="D977" s="35" t="n">
        <v>77585</v>
      </c>
      <c r="E977" s="2" t="s">
        <v>667</v>
      </c>
      <c r="F977" s="36" t="n">
        <v>0.14241154862409</v>
      </c>
      <c r="G977" s="31" t="n">
        <v>4.1</v>
      </c>
      <c r="H977" s="37" t="n">
        <v>-0.00919481514590384</v>
      </c>
      <c r="I977" s="31" t="n">
        <v>7.9</v>
      </c>
      <c r="J977" s="2" t="s">
        <v>2704</v>
      </c>
      <c r="K977" s="43" t="n">
        <v>0.0191815856777494</v>
      </c>
      <c r="L977" s="31" t="n">
        <v>4.4</v>
      </c>
      <c r="M977" s="39" t="s">
        <v>671</v>
      </c>
      <c r="N977" s="2" t="s">
        <v>19</v>
      </c>
      <c r="O977" s="2" t="s">
        <v>19</v>
      </c>
      <c r="P977" s="2" t="s">
        <v>19</v>
      </c>
      <c r="Q977" s="2" t="s">
        <v>21</v>
      </c>
    </row>
    <row r="978" customFormat="false" ht="15" hidden="false" customHeight="false" outlineLevel="0" collapsed="false">
      <c r="A978" s="2" t="s">
        <v>432</v>
      </c>
      <c r="B978" s="2" t="s">
        <v>46</v>
      </c>
      <c r="C978" s="13" t="s">
        <v>1618</v>
      </c>
      <c r="D978" s="35" t="n">
        <v>74045</v>
      </c>
      <c r="E978" s="2" t="s">
        <v>667</v>
      </c>
      <c r="F978" s="36" t="n">
        <v>3.80524005672226</v>
      </c>
      <c r="G978" s="31" t="n">
        <v>60.3</v>
      </c>
      <c r="H978" s="37" t="n">
        <v>0.137718570418856</v>
      </c>
      <c r="I978" s="31" t="n">
        <v>73.9</v>
      </c>
      <c r="J978" s="2" t="s">
        <v>2700</v>
      </c>
      <c r="K978" s="38" t="n">
        <v>0.210883392226148</v>
      </c>
      <c r="L978" s="31" t="n">
        <v>74.1</v>
      </c>
      <c r="M978" s="39" t="s">
        <v>671</v>
      </c>
      <c r="N978" s="2" t="s">
        <v>19</v>
      </c>
      <c r="O978" s="2" t="s">
        <v>19</v>
      </c>
      <c r="P978" s="2" t="s">
        <v>19</v>
      </c>
      <c r="Q978" s="2" t="s">
        <v>19</v>
      </c>
    </row>
    <row r="979" customFormat="false" ht="15" hidden="false" customHeight="false" outlineLevel="0" collapsed="false">
      <c r="A979" s="2" t="s">
        <v>432</v>
      </c>
      <c r="B979" s="2" t="s">
        <v>47</v>
      </c>
      <c r="C979" s="14" t="s">
        <v>2206</v>
      </c>
      <c r="D979" s="40" t="n">
        <v>8780</v>
      </c>
      <c r="E979" s="2" t="s">
        <v>678</v>
      </c>
      <c r="F979" s="41" t="n">
        <v>1.674715261959</v>
      </c>
      <c r="G979" s="31" t="n">
        <v>64.6</v>
      </c>
      <c r="H979" s="42" t="n">
        <v>0.0591073582629674</v>
      </c>
      <c r="I979" s="31" t="n">
        <v>36</v>
      </c>
      <c r="J979" s="2" t="s">
        <v>2706</v>
      </c>
      <c r="K979" s="48" t="n">
        <v>0.134275618374558</v>
      </c>
      <c r="L979" s="31" t="n">
        <v>67.2</v>
      </c>
      <c r="M979" s="39" t="s">
        <v>671</v>
      </c>
      <c r="N979" s="2" t="s">
        <v>21</v>
      </c>
      <c r="O979" s="2" t="s">
        <v>21</v>
      </c>
      <c r="P979" s="2" t="s">
        <v>21</v>
      </c>
      <c r="Q979" s="2" t="s">
        <v>17</v>
      </c>
    </row>
    <row r="980" customFormat="false" ht="15" hidden="false" customHeight="false" outlineLevel="0" collapsed="false">
      <c r="A980" s="2" t="s">
        <v>342</v>
      </c>
      <c r="B980" s="2" t="s">
        <v>45</v>
      </c>
      <c r="C980" s="13" t="s">
        <v>1226</v>
      </c>
      <c r="D980" s="35" t="n">
        <v>9950</v>
      </c>
      <c r="E980" s="2" t="s">
        <v>678</v>
      </c>
      <c r="F980" s="36" t="n">
        <v>0.348442211055276</v>
      </c>
      <c r="G980" s="31" t="n">
        <v>24.6</v>
      </c>
      <c r="H980" s="37" t="n">
        <v>0.0663380130746973</v>
      </c>
      <c r="I980" s="31" t="n">
        <v>35.2</v>
      </c>
      <c r="J980" s="2" t="s">
        <v>2713</v>
      </c>
      <c r="K980" s="38" t="n">
        <v>0.307262569832402</v>
      </c>
      <c r="L980" s="31" t="n">
        <v>92</v>
      </c>
      <c r="M980" s="39" t="s">
        <v>671</v>
      </c>
      <c r="N980" s="2" t="s">
        <v>19</v>
      </c>
      <c r="O980" s="2" t="s">
        <v>19</v>
      </c>
      <c r="P980" s="2" t="s">
        <v>19</v>
      </c>
      <c r="Q980" s="2" t="s">
        <v>19</v>
      </c>
    </row>
    <row r="981" customFormat="false" ht="15" hidden="false" customHeight="false" outlineLevel="0" collapsed="false">
      <c r="A981" s="2" t="s">
        <v>342</v>
      </c>
      <c r="B981" s="2" t="s">
        <v>47</v>
      </c>
      <c r="C981" s="13" t="s">
        <v>2090</v>
      </c>
      <c r="D981" s="35" t="n">
        <v>107555</v>
      </c>
      <c r="E981" s="2" t="s">
        <v>670</v>
      </c>
      <c r="F981" s="36" t="n">
        <v>2.42969643438241</v>
      </c>
      <c r="G981" s="31" t="n">
        <v>81.4</v>
      </c>
      <c r="H981" s="37" t="n">
        <v>0.0213180134839996</v>
      </c>
      <c r="I981" s="31" t="n">
        <v>22.3</v>
      </c>
      <c r="J981" s="2" t="s">
        <v>2701</v>
      </c>
      <c r="K981" s="38" t="n">
        <v>0.26914092914612</v>
      </c>
      <c r="L981" s="31" t="n">
        <v>94.7</v>
      </c>
      <c r="M981" s="39" t="s">
        <v>671</v>
      </c>
      <c r="N981" s="2" t="s">
        <v>19</v>
      </c>
      <c r="O981" s="2" t="s">
        <v>19</v>
      </c>
      <c r="P981" s="2" t="s">
        <v>19</v>
      </c>
      <c r="Q981" s="2" t="s">
        <v>19</v>
      </c>
    </row>
    <row r="982" customFormat="false" ht="15" hidden="false" customHeight="false" outlineLevel="0" collapsed="false">
      <c r="A982" s="2" t="s">
        <v>2527</v>
      </c>
      <c r="B982" s="2" t="s">
        <v>45</v>
      </c>
      <c r="C982" s="14" t="s">
        <v>2955</v>
      </c>
      <c r="D982" s="40" t="n">
        <v>3010</v>
      </c>
      <c r="E982" s="2" t="s">
        <v>678</v>
      </c>
      <c r="F982" s="30"/>
      <c r="G982" s="31"/>
      <c r="H982" s="42" t="n">
        <v>0.166666666666667</v>
      </c>
      <c r="I982" s="31" t="n">
        <v>83.3</v>
      </c>
      <c r="J982" s="2" t="s">
        <v>2713</v>
      </c>
      <c r="K982" s="43" t="n">
        <v>0.0963855421686747</v>
      </c>
      <c r="L982" s="31" t="n">
        <v>33.7</v>
      </c>
      <c r="M982" s="34" t="s">
        <v>668</v>
      </c>
      <c r="N982" s="2" t="s">
        <v>21</v>
      </c>
      <c r="O982" s="2"/>
      <c r="P982" s="2" t="s">
        <v>21</v>
      </c>
      <c r="Q982" s="2" t="s">
        <v>21</v>
      </c>
    </row>
    <row r="983" customFormat="false" ht="15" hidden="false" customHeight="false" outlineLevel="0" collapsed="false">
      <c r="A983" s="2" t="s">
        <v>2527</v>
      </c>
      <c r="B983" s="2" t="s">
        <v>47</v>
      </c>
      <c r="C983" s="13" t="s">
        <v>2528</v>
      </c>
      <c r="D983" s="35" t="n">
        <v>3013</v>
      </c>
      <c r="E983" s="2" t="s">
        <v>678</v>
      </c>
      <c r="F983" s="36" t="n">
        <v>0.737802854298042</v>
      </c>
      <c r="G983" s="31" t="n">
        <v>23.2</v>
      </c>
      <c r="H983" s="37" t="n">
        <v>0.0590509666080844</v>
      </c>
      <c r="I983" s="31" t="n">
        <v>34.7</v>
      </c>
      <c r="J983" s="2" t="s">
        <v>2706</v>
      </c>
      <c r="K983" s="38" t="n">
        <v>0.252808988764045</v>
      </c>
      <c r="L983" s="31" t="n">
        <v>92.8</v>
      </c>
      <c r="M983" s="39" t="s">
        <v>671</v>
      </c>
      <c r="N983" s="2" t="s">
        <v>19</v>
      </c>
      <c r="O983" s="2" t="s">
        <v>19</v>
      </c>
      <c r="P983" s="2" t="s">
        <v>19</v>
      </c>
      <c r="Q983" s="2" t="s">
        <v>19</v>
      </c>
    </row>
    <row r="984" customFormat="false" ht="15" hidden="false" customHeight="false" outlineLevel="0" collapsed="false">
      <c r="A984" s="2" t="s">
        <v>568</v>
      </c>
      <c r="B984" s="2" t="s">
        <v>45</v>
      </c>
      <c r="C984" s="14" t="s">
        <v>1264</v>
      </c>
      <c r="D984" s="40" t="n">
        <v>1820240</v>
      </c>
      <c r="E984" s="2" t="s">
        <v>752</v>
      </c>
      <c r="F984" s="41" t="n">
        <v>0.306734276798664</v>
      </c>
      <c r="G984" s="31" t="n">
        <v>19</v>
      </c>
      <c r="H984" s="42" t="n">
        <v>0.149061618195706</v>
      </c>
      <c r="I984" s="31" t="n">
        <v>75</v>
      </c>
      <c r="J984" s="2" t="s">
        <v>2712</v>
      </c>
      <c r="K984" s="43" t="n">
        <v>0.0702783753830106</v>
      </c>
      <c r="L984" s="31" t="n">
        <v>21</v>
      </c>
      <c r="M984" s="39" t="s">
        <v>671</v>
      </c>
      <c r="N984" s="2" t="s">
        <v>21</v>
      </c>
      <c r="O984" s="2" t="s">
        <v>21</v>
      </c>
      <c r="P984" s="2" t="s">
        <v>21</v>
      </c>
      <c r="Q984" s="2" t="s">
        <v>21</v>
      </c>
    </row>
    <row r="985" customFormat="false" ht="15" hidden="false" customHeight="false" outlineLevel="0" collapsed="false">
      <c r="A985" s="2" t="s">
        <v>568</v>
      </c>
      <c r="B985" s="2" t="s">
        <v>46</v>
      </c>
      <c r="C985" s="14" t="s">
        <v>1810</v>
      </c>
      <c r="D985" s="40" t="n">
        <v>52290</v>
      </c>
      <c r="E985" s="2" t="s">
        <v>667</v>
      </c>
      <c r="F985" s="41" t="n">
        <v>2.05945687511953</v>
      </c>
      <c r="G985" s="31" t="n">
        <v>27.7</v>
      </c>
      <c r="H985" s="42" t="n">
        <v>0.127182582453115</v>
      </c>
      <c r="I985" s="31" t="n">
        <v>67.6</v>
      </c>
      <c r="J985" s="2" t="s">
        <v>2700</v>
      </c>
      <c r="K985" s="43" t="n">
        <v>0.151008492569002</v>
      </c>
      <c r="L985" s="31" t="n">
        <v>57.3</v>
      </c>
      <c r="M985" s="39" t="s">
        <v>671</v>
      </c>
      <c r="N985" s="2" t="s">
        <v>21</v>
      </c>
      <c r="O985" s="2" t="s">
        <v>21</v>
      </c>
      <c r="P985" s="2" t="s">
        <v>21</v>
      </c>
      <c r="Q985" s="2" t="s">
        <v>21</v>
      </c>
    </row>
    <row r="986" customFormat="false" ht="15" hidden="false" customHeight="false" outlineLevel="0" collapsed="false">
      <c r="A986" s="2" t="s">
        <v>568</v>
      </c>
      <c r="B986" s="2" t="s">
        <v>47</v>
      </c>
      <c r="C986" s="13" t="s">
        <v>2449</v>
      </c>
      <c r="D986" s="35" t="n">
        <v>19796</v>
      </c>
      <c r="E986" s="2" t="s">
        <v>667</v>
      </c>
      <c r="F986" s="36" t="n">
        <v>0.911345726409376</v>
      </c>
      <c r="G986" s="31" t="n">
        <v>32.7</v>
      </c>
      <c r="H986" s="37" t="n">
        <v>0.165155974102413</v>
      </c>
      <c r="I986" s="31" t="n">
        <v>84</v>
      </c>
      <c r="J986" s="2" t="s">
        <v>2697</v>
      </c>
      <c r="K986" s="38" t="n">
        <v>0.0935114503816794</v>
      </c>
      <c r="L986" s="31" t="n">
        <v>51</v>
      </c>
      <c r="M986" s="39" t="s">
        <v>671</v>
      </c>
      <c r="N986" s="2" t="s">
        <v>19</v>
      </c>
      <c r="O986" s="2" t="s">
        <v>19</v>
      </c>
      <c r="P986" s="2" t="s">
        <v>19</v>
      </c>
      <c r="Q986" s="2" t="s">
        <v>19</v>
      </c>
    </row>
    <row r="987" customFormat="false" ht="15" hidden="false" customHeight="false" outlineLevel="0" collapsed="false">
      <c r="A987" s="2" t="s">
        <v>386</v>
      </c>
      <c r="B987" s="2" t="s">
        <v>45</v>
      </c>
      <c r="C987" s="13" t="s">
        <v>753</v>
      </c>
      <c r="D987" s="35" t="n">
        <v>25812</v>
      </c>
      <c r="E987" s="2" t="s">
        <v>667</v>
      </c>
      <c r="F987" s="36" t="n">
        <v>1.68843948551062</v>
      </c>
      <c r="G987" s="31" t="n">
        <v>89.3</v>
      </c>
      <c r="H987" s="37" t="n">
        <v>0.249128919860627</v>
      </c>
      <c r="I987" s="31" t="n">
        <v>98</v>
      </c>
      <c r="J987" s="2" t="s">
        <v>2704</v>
      </c>
      <c r="K987" s="38" t="n">
        <v>0.0589887640449438</v>
      </c>
      <c r="L987" s="31" t="n">
        <v>16.6</v>
      </c>
      <c r="M987" s="39" t="s">
        <v>671</v>
      </c>
      <c r="N987" s="2" t="s">
        <v>19</v>
      </c>
      <c r="O987" s="2" t="s">
        <v>19</v>
      </c>
      <c r="P987" s="2" t="s">
        <v>19</v>
      </c>
      <c r="Q987" s="2" t="s">
        <v>19</v>
      </c>
    </row>
    <row r="988" customFormat="false" ht="15" hidden="false" customHeight="false" outlineLevel="0" collapsed="false">
      <c r="A988" s="2" t="s">
        <v>386</v>
      </c>
      <c r="B988" s="2" t="s">
        <v>47</v>
      </c>
      <c r="C988" s="13" t="s">
        <v>2637</v>
      </c>
      <c r="D988" s="35" t="n">
        <v>312140</v>
      </c>
      <c r="E988" s="2" t="s">
        <v>670</v>
      </c>
      <c r="F988" s="36" t="n">
        <v>0.385093227397963</v>
      </c>
      <c r="G988" s="31" t="n">
        <v>7.2</v>
      </c>
      <c r="H988" s="37" t="n">
        <v>-0.0189829656169464</v>
      </c>
      <c r="I988" s="31" t="n">
        <v>9.6</v>
      </c>
      <c r="J988" s="2" t="s">
        <v>2701</v>
      </c>
      <c r="K988" s="38" t="n">
        <v>0.0795825179386823</v>
      </c>
      <c r="L988" s="31" t="n">
        <v>43.8</v>
      </c>
      <c r="M988" s="39" t="s">
        <v>671</v>
      </c>
      <c r="N988" s="2" t="s">
        <v>19</v>
      </c>
      <c r="O988" s="2" t="s">
        <v>19</v>
      </c>
      <c r="P988" s="2" t="s">
        <v>19</v>
      </c>
      <c r="Q988" s="2" t="s">
        <v>19</v>
      </c>
    </row>
    <row r="989" customFormat="false" ht="15" hidden="false" customHeight="false" outlineLevel="0" collapsed="false">
      <c r="A989" s="2" t="s">
        <v>1019</v>
      </c>
      <c r="B989" s="2" t="s">
        <v>45</v>
      </c>
      <c r="C989" s="13" t="s">
        <v>1020</v>
      </c>
      <c r="D989" s="35" t="n">
        <v>21852</v>
      </c>
      <c r="E989" s="2" t="s">
        <v>667</v>
      </c>
      <c r="F989" s="36" t="n">
        <v>0.633122826285924</v>
      </c>
      <c r="G989" s="31" t="n">
        <v>52.4</v>
      </c>
      <c r="H989" s="37" t="n">
        <v>0.132756207557929</v>
      </c>
      <c r="I989" s="31" t="n">
        <v>69.4</v>
      </c>
      <c r="J989" s="2" t="s">
        <v>2704</v>
      </c>
      <c r="K989" s="38" t="n">
        <v>0.458559256390395</v>
      </c>
      <c r="L989" s="31" t="n">
        <v>99.7</v>
      </c>
      <c r="M989" s="39" t="s">
        <v>671</v>
      </c>
      <c r="N989" s="2" t="s">
        <v>19</v>
      </c>
      <c r="O989" s="2" t="s">
        <v>19</v>
      </c>
      <c r="P989" s="2" t="s">
        <v>19</v>
      </c>
      <c r="Q989" s="2" t="s">
        <v>19</v>
      </c>
    </row>
    <row r="990" customFormat="false" ht="15" hidden="false" customHeight="false" outlineLevel="0" collapsed="false">
      <c r="A990" s="2" t="s">
        <v>1019</v>
      </c>
      <c r="B990" s="2" t="s">
        <v>46</v>
      </c>
      <c r="C990" s="16"/>
      <c r="D990" s="29"/>
      <c r="E990" s="2"/>
      <c r="F990" s="30"/>
      <c r="G990" s="31"/>
      <c r="H990" s="32"/>
      <c r="I990" s="31"/>
      <c r="J990" s="2"/>
      <c r="K990" s="33"/>
      <c r="L990" s="31"/>
      <c r="M990" s="34" t="s">
        <v>668</v>
      </c>
      <c r="N990" s="2"/>
      <c r="O990" s="2"/>
      <c r="P990" s="2"/>
      <c r="Q990" s="2"/>
    </row>
    <row r="991" customFormat="false" ht="15" hidden="false" customHeight="false" outlineLevel="0" collapsed="false">
      <c r="A991" s="2" t="s">
        <v>1019</v>
      </c>
      <c r="B991" s="2" t="s">
        <v>47</v>
      </c>
      <c r="C991" s="13" t="s">
        <v>2665</v>
      </c>
      <c r="D991" s="35" t="n">
        <v>305983</v>
      </c>
      <c r="E991" s="2" t="s">
        <v>670</v>
      </c>
      <c r="F991" s="36" t="n">
        <v>0.259105898040087</v>
      </c>
      <c r="G991" s="31" t="n">
        <v>3</v>
      </c>
      <c r="H991" s="37" t="n">
        <v>0.112936606373189</v>
      </c>
      <c r="I991" s="31" t="n">
        <v>65.7</v>
      </c>
      <c r="J991" s="2" t="s">
        <v>2701</v>
      </c>
      <c r="K991" s="38" t="n">
        <v>0.0591325431034483</v>
      </c>
      <c r="L991" s="31" t="n">
        <v>35.8</v>
      </c>
      <c r="M991" s="39" t="s">
        <v>671</v>
      </c>
      <c r="N991" s="2" t="s">
        <v>19</v>
      </c>
      <c r="O991" s="2" t="s">
        <v>19</v>
      </c>
      <c r="P991" s="2" t="s">
        <v>19</v>
      </c>
      <c r="Q991" s="2" t="s">
        <v>19</v>
      </c>
    </row>
    <row r="992" customFormat="false" ht="15" hidden="false" customHeight="false" outlineLevel="0" collapsed="false">
      <c r="A992" s="2" t="s">
        <v>1203</v>
      </c>
      <c r="B992" s="2" t="s">
        <v>45</v>
      </c>
      <c r="C992" s="13" t="s">
        <v>1204</v>
      </c>
      <c r="D992" s="35" t="n">
        <v>4673</v>
      </c>
      <c r="E992" s="2" t="s">
        <v>678</v>
      </c>
      <c r="F992" s="36" t="n">
        <v>0.389043441044297</v>
      </c>
      <c r="G992" s="31" t="n">
        <v>28.2</v>
      </c>
      <c r="H992" s="37" t="n">
        <v>0.0243314335817624</v>
      </c>
      <c r="I992" s="31" t="n">
        <v>16.7</v>
      </c>
      <c r="J992" s="2" t="s">
        <v>2713</v>
      </c>
      <c r="K992" s="38" t="n">
        <v>0.145454545454545</v>
      </c>
      <c r="L992" s="31" t="n">
        <v>53.9</v>
      </c>
      <c r="M992" s="39" t="s">
        <v>671</v>
      </c>
      <c r="N992" s="2" t="s">
        <v>19</v>
      </c>
      <c r="O992" s="2" t="s">
        <v>19</v>
      </c>
      <c r="P992" s="2" t="s">
        <v>19</v>
      </c>
      <c r="Q992" s="2" t="s">
        <v>19</v>
      </c>
    </row>
    <row r="993" customFormat="false" ht="15" hidden="false" customHeight="false" outlineLevel="0" collapsed="false">
      <c r="A993" s="2" t="s">
        <v>1203</v>
      </c>
      <c r="B993" s="2" t="s">
        <v>46</v>
      </c>
      <c r="C993" s="16"/>
      <c r="D993" s="29"/>
      <c r="E993" s="2"/>
      <c r="F993" s="30"/>
      <c r="G993" s="31"/>
      <c r="H993" s="32"/>
      <c r="I993" s="31"/>
      <c r="J993" s="2"/>
      <c r="K993" s="33"/>
      <c r="L993" s="31"/>
      <c r="M993" s="34" t="s">
        <v>668</v>
      </c>
      <c r="N993" s="2"/>
      <c r="O993" s="2"/>
      <c r="P993" s="2"/>
      <c r="Q993" s="2"/>
    </row>
    <row r="994" customFormat="false" ht="15" hidden="false" customHeight="false" outlineLevel="0" collapsed="false">
      <c r="A994" s="2" t="s">
        <v>1203</v>
      </c>
      <c r="B994" s="2" t="s">
        <v>47</v>
      </c>
      <c r="C994" s="16"/>
      <c r="D994" s="29"/>
      <c r="E994" s="2"/>
      <c r="F994" s="30"/>
      <c r="G994" s="31"/>
      <c r="H994" s="32"/>
      <c r="I994" s="31"/>
      <c r="J994" s="2"/>
      <c r="K994" s="33"/>
      <c r="L994" s="31"/>
      <c r="M994" s="34" t="s">
        <v>668</v>
      </c>
      <c r="N994" s="2"/>
      <c r="O994" s="2"/>
      <c r="P994" s="2"/>
      <c r="Q994" s="2"/>
    </row>
    <row r="995" customFormat="false" ht="15" hidden="false" customHeight="false" outlineLevel="0" collapsed="false">
      <c r="A995" s="2" t="s">
        <v>2956</v>
      </c>
      <c r="B995" s="2" t="s">
        <v>45</v>
      </c>
      <c r="C995" s="16"/>
      <c r="D995" s="29"/>
      <c r="E995" s="2"/>
      <c r="F995" s="30"/>
      <c r="G995" s="31"/>
      <c r="H995" s="32"/>
      <c r="I995" s="31"/>
      <c r="J995" s="2"/>
      <c r="K995" s="33"/>
      <c r="L995" s="31"/>
      <c r="M995" s="34" t="s">
        <v>668</v>
      </c>
      <c r="N995" s="2"/>
      <c r="O995" s="2"/>
      <c r="P995" s="2"/>
      <c r="Q995" s="2"/>
    </row>
    <row r="996" customFormat="false" ht="15" hidden="false" customHeight="false" outlineLevel="0" collapsed="false">
      <c r="A996" s="2" t="s">
        <v>2956</v>
      </c>
      <c r="B996" s="2" t="s">
        <v>46</v>
      </c>
      <c r="C996" s="14" t="s">
        <v>2957</v>
      </c>
      <c r="D996" s="29"/>
      <c r="E996" s="2"/>
      <c r="F996" s="30"/>
      <c r="G996" s="31"/>
      <c r="H996" s="32"/>
      <c r="I996" s="31"/>
      <c r="J996" s="2"/>
      <c r="K996" s="43" t="n">
        <v>0.110721036997029</v>
      </c>
      <c r="L996" s="31" t="n">
        <v>36.5</v>
      </c>
      <c r="M996" s="34" t="s">
        <v>668</v>
      </c>
      <c r="N996" s="2"/>
      <c r="O996" s="2"/>
      <c r="P996" s="2"/>
      <c r="Q996" s="2" t="s">
        <v>21</v>
      </c>
    </row>
    <row r="997" customFormat="false" ht="15" hidden="false" customHeight="false" outlineLevel="0" collapsed="false">
      <c r="A997" s="2" t="s">
        <v>2956</v>
      </c>
      <c r="B997" s="2" t="s">
        <v>47</v>
      </c>
      <c r="C997" s="16"/>
      <c r="D997" s="29"/>
      <c r="E997" s="2"/>
      <c r="F997" s="30"/>
      <c r="G997" s="31"/>
      <c r="H997" s="32"/>
      <c r="I997" s="31"/>
      <c r="J997" s="2"/>
      <c r="K997" s="33"/>
      <c r="L997" s="31"/>
      <c r="M997" s="34" t="s">
        <v>668</v>
      </c>
      <c r="N997" s="2"/>
      <c r="O997" s="2"/>
      <c r="P997" s="2"/>
      <c r="Q997" s="2"/>
    </row>
    <row r="998" customFormat="false" ht="15" hidden="false" customHeight="false" outlineLevel="0" collapsed="false">
      <c r="A998" s="2" t="s">
        <v>2672</v>
      </c>
      <c r="B998" s="2" t="s">
        <v>46</v>
      </c>
      <c r="C998" s="14" t="s">
        <v>2958</v>
      </c>
      <c r="D998" s="40" t="n">
        <v>335350</v>
      </c>
      <c r="E998" s="2" t="s">
        <v>670</v>
      </c>
      <c r="F998" s="41" t="n">
        <v>3.08576114507231</v>
      </c>
      <c r="G998" s="31" t="n">
        <v>49</v>
      </c>
      <c r="H998" s="32"/>
      <c r="I998" s="31"/>
      <c r="J998" s="2"/>
      <c r="K998" s="43" t="n">
        <v>0.161065587940394</v>
      </c>
      <c r="L998" s="31" t="n">
        <v>61.1</v>
      </c>
      <c r="M998" s="34" t="s">
        <v>668</v>
      </c>
      <c r="N998" s="2" t="s">
        <v>21</v>
      </c>
      <c r="O998" s="2" t="s">
        <v>21</v>
      </c>
      <c r="P998" s="2"/>
      <c r="Q998" s="2" t="s">
        <v>21</v>
      </c>
    </row>
    <row r="999" customFormat="false" ht="15" hidden="false" customHeight="false" outlineLevel="0" collapsed="false">
      <c r="A999" s="2" t="s">
        <v>2672</v>
      </c>
      <c r="B999" s="2" t="s">
        <v>47</v>
      </c>
      <c r="C999" s="13" t="s">
        <v>2673</v>
      </c>
      <c r="D999" s="35" t="n">
        <v>41643</v>
      </c>
      <c r="E999" s="2" t="s">
        <v>667</v>
      </c>
      <c r="F999" s="36" t="n">
        <v>0.242057488653555</v>
      </c>
      <c r="G999" s="31" t="n">
        <v>2.3</v>
      </c>
      <c r="H999" s="37" t="n">
        <v>0.0373147340889276</v>
      </c>
      <c r="I999" s="31" t="n">
        <v>24.5</v>
      </c>
      <c r="J999" s="2" t="s">
        <v>2697</v>
      </c>
      <c r="K999" s="38" t="n">
        <v>0.209302325581395</v>
      </c>
      <c r="L999" s="31" t="n">
        <v>84.8</v>
      </c>
      <c r="M999" s="39" t="s">
        <v>671</v>
      </c>
      <c r="N999" s="2" t="s">
        <v>19</v>
      </c>
      <c r="O999" s="2" t="s">
        <v>19</v>
      </c>
      <c r="P999" s="2" t="s">
        <v>19</v>
      </c>
      <c r="Q999" s="2" t="s">
        <v>19</v>
      </c>
    </row>
    <row r="1000" customFormat="false" ht="15" hidden="false" customHeight="false" outlineLevel="0" collapsed="false">
      <c r="A1000" s="2" t="s">
        <v>1721</v>
      </c>
      <c r="B1000" s="2" t="s">
        <v>45</v>
      </c>
      <c r="C1000" s="16"/>
      <c r="D1000" s="29"/>
      <c r="E1000" s="2"/>
      <c r="F1000" s="30"/>
      <c r="G1000" s="31"/>
      <c r="H1000" s="32"/>
      <c r="I1000" s="31"/>
      <c r="J1000" s="2"/>
      <c r="K1000" s="33"/>
      <c r="L1000" s="31"/>
      <c r="M1000" s="34" t="s">
        <v>668</v>
      </c>
      <c r="N1000" s="2"/>
      <c r="O1000" s="2"/>
      <c r="P1000" s="2"/>
      <c r="Q1000" s="2"/>
    </row>
    <row r="1001" customFormat="false" ht="15" hidden="false" customHeight="false" outlineLevel="0" collapsed="false">
      <c r="A1001" s="2" t="s">
        <v>1721</v>
      </c>
      <c r="B1001" s="2" t="s">
        <v>46</v>
      </c>
      <c r="C1001" s="13" t="s">
        <v>1722</v>
      </c>
      <c r="D1001" s="35" t="n">
        <v>82622</v>
      </c>
      <c r="E1001" s="2" t="s">
        <v>667</v>
      </c>
      <c r="F1001" s="36" t="n">
        <v>2.69798600856915</v>
      </c>
      <c r="G1001" s="31" t="n">
        <v>42.5</v>
      </c>
      <c r="H1001" s="37" t="n">
        <v>0.107221827635652</v>
      </c>
      <c r="I1001" s="31" t="n">
        <v>58.9</v>
      </c>
      <c r="J1001" s="2" t="s">
        <v>2700</v>
      </c>
      <c r="K1001" s="38" t="n">
        <v>0.182990249187432</v>
      </c>
      <c r="L1001" s="31" t="n">
        <v>67.6</v>
      </c>
      <c r="M1001" s="39" t="s">
        <v>671</v>
      </c>
      <c r="N1001" s="2" t="s">
        <v>19</v>
      </c>
      <c r="O1001" s="2" t="s">
        <v>19</v>
      </c>
      <c r="P1001" s="2" t="s">
        <v>19</v>
      </c>
      <c r="Q1001" s="2" t="s">
        <v>19</v>
      </c>
    </row>
    <row r="1002" customFormat="false" ht="15" hidden="false" customHeight="false" outlineLevel="0" collapsed="false">
      <c r="A1002" s="2" t="s">
        <v>2005</v>
      </c>
      <c r="B1002" s="2" t="s">
        <v>45</v>
      </c>
      <c r="C1002" s="14" t="s">
        <v>2959</v>
      </c>
      <c r="D1002" s="40" t="n">
        <v>6180</v>
      </c>
      <c r="E1002" s="2" t="s">
        <v>678</v>
      </c>
      <c r="F1002" s="41" t="n">
        <v>0.648705501618123</v>
      </c>
      <c r="G1002" s="31" t="n">
        <v>53.6</v>
      </c>
      <c r="H1002" s="32"/>
      <c r="I1002" s="31"/>
      <c r="J1002" s="2"/>
      <c r="K1002" s="43" t="n">
        <v>0.0816326530612245</v>
      </c>
      <c r="L1002" s="31" t="n">
        <v>27.6</v>
      </c>
      <c r="M1002" s="34" t="s">
        <v>668</v>
      </c>
      <c r="N1002" s="2" t="s">
        <v>21</v>
      </c>
      <c r="O1002" s="2" t="s">
        <v>21</v>
      </c>
      <c r="P1002" s="2"/>
      <c r="Q1002" s="2" t="s">
        <v>21</v>
      </c>
    </row>
    <row r="1003" customFormat="false" ht="15" hidden="false" customHeight="false" outlineLevel="0" collapsed="false">
      <c r="A1003" s="2" t="s">
        <v>2005</v>
      </c>
      <c r="B1003" s="2" t="s">
        <v>46</v>
      </c>
      <c r="C1003" s="16"/>
      <c r="D1003" s="29"/>
      <c r="E1003" s="2"/>
      <c r="F1003" s="30"/>
      <c r="G1003" s="31"/>
      <c r="H1003" s="32"/>
      <c r="I1003" s="31"/>
      <c r="J1003" s="2"/>
      <c r="K1003" s="33"/>
      <c r="L1003" s="31"/>
      <c r="M1003" s="34" t="s">
        <v>668</v>
      </c>
      <c r="N1003" s="2"/>
      <c r="O1003" s="2"/>
      <c r="P1003" s="2"/>
      <c r="Q1003" s="2"/>
    </row>
    <row r="1004" customFormat="false" ht="15" hidden="false" customHeight="false" outlineLevel="0" collapsed="false">
      <c r="A1004" s="2" t="s">
        <v>2005</v>
      </c>
      <c r="B1004" s="2" t="s">
        <v>47</v>
      </c>
      <c r="C1004" s="13" t="s">
        <v>2006</v>
      </c>
      <c r="D1004" s="35" t="n">
        <v>430154</v>
      </c>
      <c r="E1004" s="2" t="s">
        <v>670</v>
      </c>
      <c r="F1004" s="36" t="n">
        <v>3.83884376293142</v>
      </c>
      <c r="G1004" s="31" t="n">
        <v>94.1</v>
      </c>
      <c r="H1004" s="37" t="n">
        <v>0.096945463076774</v>
      </c>
      <c r="I1004" s="31" t="n">
        <v>56</v>
      </c>
      <c r="J1004" s="2" t="s">
        <v>2701</v>
      </c>
      <c r="K1004" s="38" t="n">
        <v>0.214164073051853</v>
      </c>
      <c r="L1004" s="31" t="n">
        <v>85.1</v>
      </c>
      <c r="M1004" s="39" t="s">
        <v>671</v>
      </c>
      <c r="N1004" s="2" t="s">
        <v>19</v>
      </c>
      <c r="O1004" s="2" t="s">
        <v>19</v>
      </c>
      <c r="P1004" s="2" t="s">
        <v>19</v>
      </c>
      <c r="Q1004" s="2" t="s">
        <v>19</v>
      </c>
    </row>
    <row r="1005" customFormat="false" ht="15" hidden="false" customHeight="false" outlineLevel="0" collapsed="false">
      <c r="A1005" s="2" t="s">
        <v>224</v>
      </c>
      <c r="B1005" s="2" t="s">
        <v>45</v>
      </c>
      <c r="C1005" s="14" t="s">
        <v>1175</v>
      </c>
      <c r="D1005" s="40" t="n">
        <v>201780</v>
      </c>
      <c r="E1005" s="2" t="s">
        <v>670</v>
      </c>
      <c r="F1005" s="41" t="n">
        <v>0.415477252453167</v>
      </c>
      <c r="G1005" s="31" t="n">
        <v>31.6</v>
      </c>
      <c r="H1005" s="42" t="n">
        <v>0.0957371707846864</v>
      </c>
      <c r="I1005" s="31" t="n">
        <v>58.7</v>
      </c>
      <c r="J1005" s="2" t="s">
        <v>2698</v>
      </c>
      <c r="K1005" s="47" t="s">
        <v>680</v>
      </c>
      <c r="L1005" s="31"/>
      <c r="M1005" s="39" t="s">
        <v>671</v>
      </c>
      <c r="N1005" s="2" t="s">
        <v>21</v>
      </c>
      <c r="O1005" s="2" t="s">
        <v>21</v>
      </c>
      <c r="P1005" s="2" t="s">
        <v>21</v>
      </c>
      <c r="Q1005" s="2" t="s">
        <v>2711</v>
      </c>
    </row>
    <row r="1006" customFormat="false" ht="15" hidden="false" customHeight="false" outlineLevel="0" collapsed="false">
      <c r="A1006" s="2" t="s">
        <v>224</v>
      </c>
      <c r="B1006" s="2" t="s">
        <v>46</v>
      </c>
      <c r="C1006" s="14" t="s">
        <v>1529</v>
      </c>
      <c r="D1006" s="40" t="n">
        <v>27450</v>
      </c>
      <c r="E1006" s="2" t="s">
        <v>667</v>
      </c>
      <c r="F1006" s="41" t="n">
        <v>5.40462659380692</v>
      </c>
      <c r="G1006" s="31" t="n">
        <v>76.5</v>
      </c>
      <c r="H1006" s="42" t="n">
        <v>0.0342878673700075</v>
      </c>
      <c r="I1006" s="31" t="n">
        <v>22.4</v>
      </c>
      <c r="J1006" s="2" t="s">
        <v>2700</v>
      </c>
      <c r="K1006" s="43" t="n">
        <v>0.291829716589589</v>
      </c>
      <c r="L1006" s="31" t="n">
        <v>89.1</v>
      </c>
      <c r="M1006" s="39" t="s">
        <v>671</v>
      </c>
      <c r="N1006" s="2" t="s">
        <v>21</v>
      </c>
      <c r="O1006" s="2" t="s">
        <v>21</v>
      </c>
      <c r="P1006" s="2" t="s">
        <v>21</v>
      </c>
      <c r="Q1006" s="2" t="s">
        <v>21</v>
      </c>
    </row>
    <row r="1007" customFormat="false" ht="15" hidden="false" customHeight="false" outlineLevel="0" collapsed="false">
      <c r="A1007" s="2" t="s">
        <v>224</v>
      </c>
      <c r="B1007" s="2" t="s">
        <v>47</v>
      </c>
      <c r="C1007" s="14" t="s">
        <v>2003</v>
      </c>
      <c r="D1007" s="40" t="n">
        <v>20080</v>
      </c>
      <c r="E1007" s="2" t="s">
        <v>667</v>
      </c>
      <c r="F1007" s="41" t="n">
        <v>3.86035856573705</v>
      </c>
      <c r="G1007" s="31" t="n">
        <v>94.3</v>
      </c>
      <c r="H1007" s="42" t="n">
        <v>0.0308008213552361</v>
      </c>
      <c r="I1007" s="31" t="n">
        <v>21.3</v>
      </c>
      <c r="J1007" s="2" t="s">
        <v>2697</v>
      </c>
      <c r="K1007" s="43" t="n">
        <v>0.0735356386732534</v>
      </c>
      <c r="L1007" s="31" t="n">
        <v>41</v>
      </c>
      <c r="M1007" s="39" t="s">
        <v>671</v>
      </c>
      <c r="N1007" s="2" t="s">
        <v>21</v>
      </c>
      <c r="O1007" s="2" t="s">
        <v>21</v>
      </c>
      <c r="P1007" s="2" t="s">
        <v>21</v>
      </c>
      <c r="Q1007" s="2" t="s">
        <v>21</v>
      </c>
    </row>
    <row r="1008" customFormat="false" ht="15" hidden="false" customHeight="false" outlineLevel="0" collapsed="false">
      <c r="A1008" s="2" t="s">
        <v>2532</v>
      </c>
      <c r="B1008" s="2" t="s">
        <v>45</v>
      </c>
      <c r="C1008" s="16"/>
      <c r="D1008" s="29"/>
      <c r="E1008" s="2"/>
      <c r="F1008" s="30"/>
      <c r="G1008" s="31"/>
      <c r="H1008" s="32"/>
      <c r="I1008" s="31"/>
      <c r="J1008" s="2"/>
      <c r="K1008" s="33"/>
      <c r="L1008" s="31"/>
      <c r="M1008" s="34" t="s">
        <v>668</v>
      </c>
      <c r="N1008" s="2"/>
      <c r="O1008" s="2"/>
      <c r="P1008" s="2"/>
      <c r="Q1008" s="2"/>
    </row>
    <row r="1009" customFormat="false" ht="15" hidden="false" customHeight="false" outlineLevel="0" collapsed="false">
      <c r="A1009" s="2" t="s">
        <v>2532</v>
      </c>
      <c r="B1009" s="2" t="s">
        <v>46</v>
      </c>
      <c r="C1009" s="14" t="s">
        <v>2960</v>
      </c>
      <c r="D1009" s="40" t="n">
        <v>23750</v>
      </c>
      <c r="E1009" s="2" t="s">
        <v>667</v>
      </c>
      <c r="F1009" s="41" t="n">
        <v>2.62665263157895</v>
      </c>
      <c r="G1009" s="31" t="n">
        <v>40.6</v>
      </c>
      <c r="H1009" s="32"/>
      <c r="I1009" s="31"/>
      <c r="J1009" s="2"/>
      <c r="K1009" s="43" t="n">
        <v>0.122848821816256</v>
      </c>
      <c r="L1009" s="31" t="n">
        <v>44.8</v>
      </c>
      <c r="M1009" s="34" t="s">
        <v>668</v>
      </c>
      <c r="N1009" s="2" t="s">
        <v>21</v>
      </c>
      <c r="O1009" s="2" t="s">
        <v>21</v>
      </c>
      <c r="P1009" s="2"/>
      <c r="Q1009" s="2" t="s">
        <v>21</v>
      </c>
    </row>
    <row r="1010" customFormat="false" ht="15" hidden="false" customHeight="false" outlineLevel="0" collapsed="false">
      <c r="A1010" s="2" t="s">
        <v>2532</v>
      </c>
      <c r="B1010" s="2" t="s">
        <v>47</v>
      </c>
      <c r="C1010" s="13" t="s">
        <v>2533</v>
      </c>
      <c r="D1010" s="35" t="n">
        <v>253713</v>
      </c>
      <c r="E1010" s="2" t="s">
        <v>670</v>
      </c>
      <c r="F1010" s="36" t="n">
        <v>0.729521151852684</v>
      </c>
      <c r="G1010" s="31" t="n">
        <v>22.6</v>
      </c>
      <c r="H1010" s="37" t="n">
        <v>-0.125432177069366</v>
      </c>
      <c r="I1010" s="31" t="n">
        <v>1.8</v>
      </c>
      <c r="J1010" s="2" t="s">
        <v>2701</v>
      </c>
      <c r="K1010" s="38" t="n">
        <v>0.138396401164329</v>
      </c>
      <c r="L1010" s="31" t="n">
        <v>68.2</v>
      </c>
      <c r="M1010" s="39" t="s">
        <v>671</v>
      </c>
      <c r="N1010" s="2" t="s">
        <v>19</v>
      </c>
      <c r="O1010" s="2" t="s">
        <v>19</v>
      </c>
      <c r="P1010" s="2" t="s">
        <v>19</v>
      </c>
      <c r="Q1010" s="2" t="s">
        <v>19</v>
      </c>
    </row>
    <row r="1011" customFormat="false" ht="15" hidden="false" customHeight="false" outlineLevel="0" collapsed="false">
      <c r="A1011" s="2" t="s">
        <v>961</v>
      </c>
      <c r="B1011" s="2" t="s">
        <v>45</v>
      </c>
      <c r="C1011" s="14" t="s">
        <v>962</v>
      </c>
      <c r="D1011" s="40" t="n">
        <v>16430</v>
      </c>
      <c r="E1011" s="2" t="s">
        <v>667</v>
      </c>
      <c r="F1011" s="41" t="n">
        <v>0.724528301886792</v>
      </c>
      <c r="G1011" s="31" t="n">
        <v>60.3</v>
      </c>
      <c r="H1011" s="42" t="n">
        <v>0.194040697674419</v>
      </c>
      <c r="I1011" s="31" t="n">
        <v>91.3</v>
      </c>
      <c r="J1011" s="2" t="s">
        <v>2704</v>
      </c>
      <c r="K1011" s="47" t="s">
        <v>680</v>
      </c>
      <c r="L1011" s="31"/>
      <c r="M1011" s="39" t="s">
        <v>671</v>
      </c>
      <c r="N1011" s="2" t="s">
        <v>21</v>
      </c>
      <c r="O1011" s="2" t="s">
        <v>21</v>
      </c>
      <c r="P1011" s="2" t="s">
        <v>21</v>
      </c>
      <c r="Q1011" s="2" t="s">
        <v>2711</v>
      </c>
    </row>
    <row r="1012" customFormat="false" ht="15" hidden="false" customHeight="false" outlineLevel="0" collapsed="false">
      <c r="A1012" s="2" t="s">
        <v>961</v>
      </c>
      <c r="B1012" s="2" t="s">
        <v>46</v>
      </c>
      <c r="C1012" s="13" t="s">
        <v>1886</v>
      </c>
      <c r="D1012" s="35" t="n">
        <v>2324694</v>
      </c>
      <c r="E1012" s="2" t="s">
        <v>752</v>
      </c>
      <c r="F1012" s="36" t="n">
        <v>1.50265712390534</v>
      </c>
      <c r="G1012" s="31" t="n">
        <v>14.6</v>
      </c>
      <c r="H1012" s="37" t="n">
        <v>0.129597703383505</v>
      </c>
      <c r="I1012" s="31" t="n">
        <v>62.5</v>
      </c>
      <c r="J1012" s="2" t="s">
        <v>2751</v>
      </c>
      <c r="K1012" s="38" t="n">
        <v>0.0262049917477854</v>
      </c>
      <c r="L1012" s="31" t="n">
        <v>4.4</v>
      </c>
      <c r="M1012" s="39" t="s">
        <v>671</v>
      </c>
      <c r="N1012" s="2" t="s">
        <v>19</v>
      </c>
      <c r="O1012" s="2" t="s">
        <v>19</v>
      </c>
      <c r="P1012" s="2" t="s">
        <v>19</v>
      </c>
      <c r="Q1012" s="2" t="s">
        <v>19</v>
      </c>
    </row>
    <row r="1013" customFormat="false" ht="15" hidden="false" customHeight="false" outlineLevel="0" collapsed="false">
      <c r="A1013" s="2" t="s">
        <v>961</v>
      </c>
      <c r="B1013" s="2" t="s">
        <v>47</v>
      </c>
      <c r="C1013" s="15" t="s">
        <v>2961</v>
      </c>
      <c r="D1013" s="44" t="n">
        <v>23042</v>
      </c>
      <c r="E1013" s="2" t="s">
        <v>667</v>
      </c>
      <c r="F1013" s="30"/>
      <c r="G1013" s="31"/>
      <c r="H1013" s="46" t="n">
        <v>0.0639516091794801</v>
      </c>
      <c r="I1013" s="31" t="n">
        <v>36.5</v>
      </c>
      <c r="J1013" s="2" t="s">
        <v>2697</v>
      </c>
      <c r="K1013" s="48" t="n">
        <v>0.113895216400911</v>
      </c>
      <c r="L1013" s="31" t="n">
        <v>60.8</v>
      </c>
      <c r="M1013" s="34" t="s">
        <v>668</v>
      </c>
      <c r="N1013" s="2" t="s">
        <v>17</v>
      </c>
      <c r="O1013" s="2"/>
      <c r="P1013" s="2" t="s">
        <v>17</v>
      </c>
      <c r="Q1013" s="2" t="s">
        <v>17</v>
      </c>
    </row>
    <row r="1014" customFormat="false" ht="15" hidden="false" customHeight="false" outlineLevel="0" collapsed="false">
      <c r="A1014" s="2" t="s">
        <v>1200</v>
      </c>
      <c r="B1014" s="2" t="s">
        <v>45</v>
      </c>
      <c r="C1014" s="13" t="s">
        <v>1201</v>
      </c>
      <c r="D1014" s="35" t="n">
        <v>5774</v>
      </c>
      <c r="E1014" s="2" t="s">
        <v>678</v>
      </c>
      <c r="F1014" s="36" t="n">
        <v>0.390197436785591</v>
      </c>
      <c r="G1014" s="31" t="n">
        <v>28.4</v>
      </c>
      <c r="H1014" s="37" t="n">
        <v>0.0782446311858077</v>
      </c>
      <c r="I1014" s="31" t="n">
        <v>48.1</v>
      </c>
      <c r="J1014" s="2" t="s">
        <v>2713</v>
      </c>
      <c r="K1014" s="47" t="s">
        <v>680</v>
      </c>
      <c r="L1014" s="31"/>
      <c r="M1014" s="39" t="s">
        <v>671</v>
      </c>
      <c r="N1014" s="2" t="s">
        <v>19</v>
      </c>
      <c r="O1014" s="2" t="s">
        <v>19</v>
      </c>
      <c r="P1014" s="2" t="s">
        <v>19</v>
      </c>
      <c r="Q1014" s="2" t="s">
        <v>2715</v>
      </c>
    </row>
    <row r="1015" customFormat="false" ht="15" hidden="false" customHeight="false" outlineLevel="0" collapsed="false">
      <c r="A1015" s="2" t="s">
        <v>1200</v>
      </c>
      <c r="B1015" s="2" t="s">
        <v>46</v>
      </c>
      <c r="C1015" s="14" t="s">
        <v>2962</v>
      </c>
      <c r="D1015" s="40" t="n">
        <v>6300</v>
      </c>
      <c r="E1015" s="2" t="s">
        <v>678</v>
      </c>
      <c r="F1015" s="30"/>
      <c r="G1015" s="31"/>
      <c r="H1015" s="32"/>
      <c r="I1015" s="31"/>
      <c r="J1015" s="2"/>
      <c r="K1015" s="43" t="n">
        <v>0.145901639344262</v>
      </c>
      <c r="L1015" s="31" t="n">
        <v>54.9</v>
      </c>
      <c r="M1015" s="34" t="s">
        <v>668</v>
      </c>
      <c r="N1015" s="2" t="s">
        <v>21</v>
      </c>
      <c r="O1015" s="2"/>
      <c r="P1015" s="2"/>
      <c r="Q1015" s="2" t="s">
        <v>21</v>
      </c>
    </row>
    <row r="1016" customFormat="false" ht="15" hidden="false" customHeight="false" outlineLevel="0" collapsed="false">
      <c r="A1016" s="2" t="s">
        <v>1200</v>
      </c>
      <c r="B1016" s="2" t="s">
        <v>47</v>
      </c>
      <c r="C1016" s="13" t="s">
        <v>2629</v>
      </c>
      <c r="D1016" s="35" t="n">
        <v>53438</v>
      </c>
      <c r="E1016" s="2" t="s">
        <v>667</v>
      </c>
      <c r="F1016" s="36" t="n">
        <v>0.43575732624724</v>
      </c>
      <c r="G1016" s="31" t="n">
        <v>9.3</v>
      </c>
      <c r="H1016" s="37" t="n">
        <v>0.1299585553582</v>
      </c>
      <c r="I1016" s="31" t="n">
        <v>69.9</v>
      </c>
      <c r="J1016" s="2" t="s">
        <v>2697</v>
      </c>
      <c r="K1016" s="43" t="n">
        <v>0.052536231884058</v>
      </c>
      <c r="L1016" s="31" t="n">
        <v>33.1</v>
      </c>
      <c r="M1016" s="39" t="s">
        <v>671</v>
      </c>
      <c r="N1016" s="2" t="s">
        <v>19</v>
      </c>
      <c r="O1016" s="2" t="s">
        <v>19</v>
      </c>
      <c r="P1016" s="2" t="s">
        <v>19</v>
      </c>
      <c r="Q1016" s="2" t="s">
        <v>21</v>
      </c>
    </row>
    <row r="1017" customFormat="false" ht="15" hidden="false" customHeight="false" outlineLevel="0" collapsed="false">
      <c r="A1017" s="2" t="s">
        <v>1840</v>
      </c>
      <c r="B1017" s="2" t="s">
        <v>45</v>
      </c>
      <c r="C1017" s="14" t="s">
        <v>2963</v>
      </c>
      <c r="D1017" s="40" t="n">
        <v>173420</v>
      </c>
      <c r="E1017" s="2" t="s">
        <v>670</v>
      </c>
      <c r="F1017" s="41" t="n">
        <v>0.416624380117634</v>
      </c>
      <c r="G1017" s="31" t="n">
        <v>31.8</v>
      </c>
      <c r="H1017" s="42" t="n">
        <v>0.0651025672521803</v>
      </c>
      <c r="I1017" s="31" t="n">
        <v>44.9</v>
      </c>
      <c r="J1017" s="2" t="s">
        <v>2698</v>
      </c>
      <c r="K1017" s="33"/>
      <c r="L1017" s="31"/>
      <c r="M1017" s="34" t="s">
        <v>668</v>
      </c>
      <c r="N1017" s="2" t="s">
        <v>21</v>
      </c>
      <c r="O1017" s="2" t="s">
        <v>21</v>
      </c>
      <c r="P1017" s="2" t="s">
        <v>21</v>
      </c>
      <c r="Q1017" s="2"/>
    </row>
    <row r="1018" customFormat="false" ht="15" hidden="false" customHeight="false" outlineLevel="0" collapsed="false">
      <c r="A1018" s="2" t="s">
        <v>1840</v>
      </c>
      <c r="B1018" s="2" t="s">
        <v>46</v>
      </c>
      <c r="C1018" s="14" t="s">
        <v>1841</v>
      </c>
      <c r="D1018" s="40" t="n">
        <v>4380</v>
      </c>
      <c r="E1018" s="2" t="s">
        <v>678</v>
      </c>
      <c r="F1018" s="41" t="n">
        <v>1.79155251141553</v>
      </c>
      <c r="G1018" s="31" t="n">
        <v>22.2</v>
      </c>
      <c r="H1018" s="42" t="n">
        <v>0.11734693877551</v>
      </c>
      <c r="I1018" s="31" t="n">
        <v>45.8</v>
      </c>
      <c r="J1018" s="2" t="s">
        <v>2720</v>
      </c>
      <c r="K1018" s="43" t="n">
        <v>0.175879396984925</v>
      </c>
      <c r="L1018" s="31" t="n">
        <v>65.8</v>
      </c>
      <c r="M1018" s="39" t="s">
        <v>671</v>
      </c>
      <c r="N1018" s="2" t="s">
        <v>21</v>
      </c>
      <c r="O1018" s="2" t="s">
        <v>21</v>
      </c>
      <c r="P1018" s="2" t="s">
        <v>21</v>
      </c>
      <c r="Q1018" s="2" t="s">
        <v>21</v>
      </c>
    </row>
    <row r="1019" customFormat="false" ht="15" hidden="false" customHeight="false" outlineLevel="0" collapsed="false">
      <c r="A1019" s="2" t="s">
        <v>1840</v>
      </c>
      <c r="B1019" s="2" t="s">
        <v>47</v>
      </c>
      <c r="C1019" s="13" t="s">
        <v>2522</v>
      </c>
      <c r="D1019" s="35" t="n">
        <v>5547</v>
      </c>
      <c r="E1019" s="2" t="s">
        <v>678</v>
      </c>
      <c r="F1019" s="36" t="n">
        <v>0.752298539751217</v>
      </c>
      <c r="G1019" s="31" t="n">
        <v>24.1</v>
      </c>
      <c r="H1019" s="37" t="n">
        <v>0.0241875923190547</v>
      </c>
      <c r="I1019" s="31" t="n">
        <v>16</v>
      </c>
      <c r="J1019" s="2" t="s">
        <v>2706</v>
      </c>
      <c r="K1019" s="38" t="n">
        <v>0.41866028708134</v>
      </c>
      <c r="L1019" s="31" t="n">
        <v>99.2</v>
      </c>
      <c r="M1019" s="39" t="s">
        <v>671</v>
      </c>
      <c r="N1019" s="2" t="s">
        <v>19</v>
      </c>
      <c r="O1019" s="2" t="s">
        <v>19</v>
      </c>
      <c r="P1019" s="2" t="s">
        <v>19</v>
      </c>
      <c r="Q1019" s="2" t="s">
        <v>19</v>
      </c>
    </row>
    <row r="1020" customFormat="false" ht="15" hidden="false" customHeight="false" outlineLevel="0" collapsed="false">
      <c r="A1020" s="2" t="s">
        <v>442</v>
      </c>
      <c r="B1020" s="2" t="s">
        <v>45</v>
      </c>
      <c r="C1020" s="14" t="s">
        <v>1100</v>
      </c>
      <c r="D1020" s="40" t="n">
        <v>22020</v>
      </c>
      <c r="E1020" s="2" t="s">
        <v>667</v>
      </c>
      <c r="F1020" s="41" t="n">
        <v>0.505086285195277</v>
      </c>
      <c r="G1020" s="31" t="n">
        <v>42.1</v>
      </c>
      <c r="H1020" s="42" t="n">
        <v>0.135051546391753</v>
      </c>
      <c r="I1020" s="31" t="n">
        <v>70.6</v>
      </c>
      <c r="J1020" s="2" t="s">
        <v>2704</v>
      </c>
      <c r="K1020" s="47" t="s">
        <v>680</v>
      </c>
      <c r="L1020" s="31"/>
      <c r="M1020" s="39" t="s">
        <v>671</v>
      </c>
      <c r="N1020" s="2" t="s">
        <v>21</v>
      </c>
      <c r="O1020" s="2" t="s">
        <v>21</v>
      </c>
      <c r="P1020" s="2" t="s">
        <v>21</v>
      </c>
      <c r="Q1020" s="2" t="s">
        <v>2711</v>
      </c>
    </row>
    <row r="1021" customFormat="false" ht="15" hidden="false" customHeight="false" outlineLevel="0" collapsed="false">
      <c r="A1021" s="2" t="s">
        <v>442</v>
      </c>
      <c r="B1021" s="2" t="s">
        <v>46</v>
      </c>
      <c r="C1021" s="13" t="s">
        <v>1703</v>
      </c>
      <c r="D1021" s="35" t="n">
        <v>87097</v>
      </c>
      <c r="E1021" s="2" t="s">
        <v>667</v>
      </c>
      <c r="F1021" s="36" t="n">
        <v>2.81560788546104</v>
      </c>
      <c r="G1021" s="31" t="n">
        <v>44.8</v>
      </c>
      <c r="H1021" s="37" t="n">
        <v>0.0743299083519384</v>
      </c>
      <c r="I1021" s="31" t="n">
        <v>42.3</v>
      </c>
      <c r="J1021" s="2" t="s">
        <v>2700</v>
      </c>
      <c r="K1021" s="38" t="n">
        <v>0.121429910630586</v>
      </c>
      <c r="L1021" s="31" t="n">
        <v>42.5</v>
      </c>
      <c r="M1021" s="39" t="s">
        <v>671</v>
      </c>
      <c r="N1021" s="2" t="s">
        <v>19</v>
      </c>
      <c r="O1021" s="2" t="s">
        <v>19</v>
      </c>
      <c r="P1021" s="2" t="s">
        <v>19</v>
      </c>
      <c r="Q1021" s="2" t="s">
        <v>19</v>
      </c>
    </row>
    <row r="1022" customFormat="false" ht="15" hidden="false" customHeight="false" outlineLevel="0" collapsed="false">
      <c r="A1022" s="2" t="s">
        <v>442</v>
      </c>
      <c r="B1022" s="2" t="s">
        <v>47</v>
      </c>
      <c r="C1022" s="13" t="s">
        <v>2400</v>
      </c>
      <c r="D1022" s="35" t="n">
        <v>7992</v>
      </c>
      <c r="E1022" s="2" t="s">
        <v>678</v>
      </c>
      <c r="F1022" s="36" t="n">
        <v>1.01751751751752</v>
      </c>
      <c r="G1022" s="31" t="n">
        <v>38.6</v>
      </c>
      <c r="H1022" s="37" t="n">
        <v>0.150424643731107</v>
      </c>
      <c r="I1022" s="31" t="n">
        <v>77.3</v>
      </c>
      <c r="J1022" s="2" t="s">
        <v>2706</v>
      </c>
      <c r="K1022" s="38" t="n">
        <v>0.0736040609137056</v>
      </c>
      <c r="L1022" s="31" t="n">
        <v>41.1</v>
      </c>
      <c r="M1022" s="39" t="s">
        <v>671</v>
      </c>
      <c r="N1022" s="2" t="s">
        <v>19</v>
      </c>
      <c r="O1022" s="2" t="s">
        <v>19</v>
      </c>
      <c r="P1022" s="2" t="s">
        <v>19</v>
      </c>
      <c r="Q1022" s="2" t="s">
        <v>19</v>
      </c>
    </row>
    <row r="1023" customFormat="false" ht="15" hidden="false" customHeight="false" outlineLevel="0" collapsed="false">
      <c r="A1023" s="2" t="s">
        <v>360</v>
      </c>
      <c r="B1023" s="2" t="s">
        <v>45</v>
      </c>
      <c r="C1023" s="13" t="s">
        <v>1212</v>
      </c>
      <c r="D1023" s="35" t="n">
        <v>22560</v>
      </c>
      <c r="E1023" s="2" t="s">
        <v>667</v>
      </c>
      <c r="F1023" s="36" t="n">
        <v>0.369015957446809</v>
      </c>
      <c r="G1023" s="31" t="n">
        <v>26.7</v>
      </c>
      <c r="H1023" s="37" t="n">
        <v>0.0779301447751923</v>
      </c>
      <c r="I1023" s="31" t="n">
        <v>44.4</v>
      </c>
      <c r="J1023" s="2" t="s">
        <v>2704</v>
      </c>
      <c r="K1023" s="38" t="n">
        <v>0.032</v>
      </c>
      <c r="L1023" s="31" t="n">
        <v>6.1</v>
      </c>
      <c r="M1023" s="39" t="s">
        <v>671</v>
      </c>
      <c r="N1023" s="2" t="s">
        <v>19</v>
      </c>
      <c r="O1023" s="2" t="s">
        <v>19</v>
      </c>
      <c r="P1023" s="2" t="s">
        <v>19</v>
      </c>
      <c r="Q1023" s="2" t="s">
        <v>19</v>
      </c>
    </row>
    <row r="1024" customFormat="false" ht="15" hidden="false" customHeight="false" outlineLevel="0" collapsed="false">
      <c r="A1024" s="2" t="s">
        <v>360</v>
      </c>
      <c r="B1024" s="2" t="s">
        <v>47</v>
      </c>
      <c r="C1024" s="13" t="s">
        <v>2120</v>
      </c>
      <c r="D1024" s="35" t="n">
        <v>368776</v>
      </c>
      <c r="E1024" s="2" t="s">
        <v>670</v>
      </c>
      <c r="F1024" s="36" t="n">
        <v>2.1237987287676</v>
      </c>
      <c r="G1024" s="31" t="n">
        <v>76.4</v>
      </c>
      <c r="H1024" s="37" t="n">
        <v>0.0510720891987334</v>
      </c>
      <c r="I1024" s="31" t="n">
        <v>36.7</v>
      </c>
      <c r="J1024" s="2" t="s">
        <v>2701</v>
      </c>
      <c r="K1024" s="38" t="n">
        <v>0.0277603602576526</v>
      </c>
      <c r="L1024" s="31" t="n">
        <v>17.5</v>
      </c>
      <c r="M1024" s="39" t="s">
        <v>671</v>
      </c>
      <c r="N1024" s="2" t="s">
        <v>19</v>
      </c>
      <c r="O1024" s="2" t="s">
        <v>19</v>
      </c>
      <c r="P1024" s="2" t="s">
        <v>19</v>
      </c>
      <c r="Q1024" s="2" t="s">
        <v>19</v>
      </c>
    </row>
    <row r="1025" customFormat="false" ht="15" hidden="false" customHeight="false" outlineLevel="0" collapsed="false">
      <c r="A1025" s="2" t="s">
        <v>1365</v>
      </c>
      <c r="B1025" s="2" t="s">
        <v>45</v>
      </c>
      <c r="C1025" s="14" t="s">
        <v>1366</v>
      </c>
      <c r="D1025" s="40" t="n">
        <v>3460</v>
      </c>
      <c r="E1025" s="2" t="s">
        <v>678</v>
      </c>
      <c r="F1025" s="41" t="n">
        <v>0.0907514450867052</v>
      </c>
      <c r="G1025" s="31" t="n">
        <v>2.4</v>
      </c>
      <c r="H1025" s="42" t="n">
        <v>0.189003436426117</v>
      </c>
      <c r="I1025" s="31" t="n">
        <v>92.6</v>
      </c>
      <c r="J1025" s="2" t="s">
        <v>2713</v>
      </c>
      <c r="K1025" s="43" t="n">
        <v>0.176470588235294</v>
      </c>
      <c r="L1025" s="31" t="n">
        <v>63</v>
      </c>
      <c r="M1025" s="39" t="s">
        <v>671</v>
      </c>
      <c r="N1025" s="2" t="s">
        <v>21</v>
      </c>
      <c r="O1025" s="2" t="s">
        <v>21</v>
      </c>
      <c r="P1025" s="2" t="s">
        <v>21</v>
      </c>
      <c r="Q1025" s="2" t="s">
        <v>21</v>
      </c>
    </row>
    <row r="1026" customFormat="false" ht="15" hidden="false" customHeight="false" outlineLevel="0" collapsed="false">
      <c r="A1026" s="2" t="s">
        <v>1365</v>
      </c>
      <c r="B1026" s="2" t="s">
        <v>47</v>
      </c>
      <c r="C1026" s="16"/>
      <c r="D1026" s="29"/>
      <c r="E1026" s="2"/>
      <c r="F1026" s="30"/>
      <c r="G1026" s="31"/>
      <c r="H1026" s="32"/>
      <c r="I1026" s="31"/>
      <c r="J1026" s="2"/>
      <c r="K1026" s="33"/>
      <c r="L1026" s="31"/>
      <c r="M1026" s="34" t="s">
        <v>668</v>
      </c>
      <c r="N1026" s="2"/>
      <c r="O1026" s="2"/>
      <c r="P1026" s="2"/>
      <c r="Q1026" s="2"/>
    </row>
    <row r="1027" customFormat="false" ht="15" hidden="false" customHeight="false" outlineLevel="0" collapsed="false">
      <c r="A1027" s="2" t="s">
        <v>354</v>
      </c>
      <c r="B1027" s="2" t="s">
        <v>45</v>
      </c>
      <c r="C1027" s="14" t="s">
        <v>705</v>
      </c>
      <c r="D1027" s="40" t="n">
        <v>36050</v>
      </c>
      <c r="E1027" s="2" t="s">
        <v>667</v>
      </c>
      <c r="F1027" s="41" t="n">
        <v>2.28884882108183</v>
      </c>
      <c r="G1027" s="31" t="n">
        <v>95.3</v>
      </c>
      <c r="H1027" s="42" t="n">
        <v>0.0314735336194564</v>
      </c>
      <c r="I1027" s="31" t="n">
        <v>17.9</v>
      </c>
      <c r="J1027" s="2" t="s">
        <v>2704</v>
      </c>
      <c r="K1027" s="47" t="s">
        <v>680</v>
      </c>
      <c r="L1027" s="31"/>
      <c r="M1027" s="39" t="s">
        <v>671</v>
      </c>
      <c r="N1027" s="2" t="s">
        <v>21</v>
      </c>
      <c r="O1027" s="2" t="s">
        <v>21</v>
      </c>
      <c r="P1027" s="2" t="s">
        <v>21</v>
      </c>
      <c r="Q1027" s="2" t="s">
        <v>2711</v>
      </c>
    </row>
    <row r="1028" customFormat="false" ht="15" hidden="false" customHeight="false" outlineLevel="0" collapsed="false">
      <c r="A1028" s="2" t="s">
        <v>354</v>
      </c>
      <c r="B1028" s="2" t="s">
        <v>46</v>
      </c>
      <c r="C1028" s="14" t="s">
        <v>1907</v>
      </c>
      <c r="D1028" s="40" t="n">
        <v>201650</v>
      </c>
      <c r="E1028" s="2" t="s">
        <v>670</v>
      </c>
      <c r="F1028" s="41" t="n">
        <v>1.26632779568559</v>
      </c>
      <c r="G1028" s="31" t="n">
        <v>10.6</v>
      </c>
      <c r="H1028" s="42" t="n">
        <v>0.0857742838681887</v>
      </c>
      <c r="I1028" s="31" t="n">
        <v>52.3</v>
      </c>
      <c r="J1028" s="2" t="s">
        <v>2705</v>
      </c>
      <c r="K1028" s="43" t="n">
        <v>0.180831914376064</v>
      </c>
      <c r="L1028" s="31" t="n">
        <v>66.3</v>
      </c>
      <c r="M1028" s="39" t="s">
        <v>671</v>
      </c>
      <c r="N1028" s="2" t="s">
        <v>21</v>
      </c>
      <c r="O1028" s="2" t="s">
        <v>21</v>
      </c>
      <c r="P1028" s="2" t="s">
        <v>21</v>
      </c>
      <c r="Q1028" s="2" t="s">
        <v>21</v>
      </c>
    </row>
    <row r="1029" customFormat="false" ht="15" hidden="false" customHeight="false" outlineLevel="0" collapsed="false">
      <c r="A1029" s="2" t="s">
        <v>354</v>
      </c>
      <c r="B1029" s="2" t="s">
        <v>47</v>
      </c>
      <c r="C1029" s="14" t="s">
        <v>2310</v>
      </c>
      <c r="D1029" s="40" t="n">
        <v>260040</v>
      </c>
      <c r="E1029" s="2" t="s">
        <v>670</v>
      </c>
      <c r="F1029" s="41" t="n">
        <v>1.24111290570681</v>
      </c>
      <c r="G1029" s="31" t="n">
        <v>50.6</v>
      </c>
      <c r="H1029" s="46" t="n">
        <v>-0.0129046360960461</v>
      </c>
      <c r="I1029" s="31" t="n">
        <v>10.2</v>
      </c>
      <c r="J1029" s="2" t="s">
        <v>2701</v>
      </c>
      <c r="K1029" s="43" t="n">
        <v>0.0415556295802798</v>
      </c>
      <c r="L1029" s="31" t="n">
        <v>26.5</v>
      </c>
      <c r="M1029" s="39" t="s">
        <v>671</v>
      </c>
      <c r="N1029" s="2" t="s">
        <v>21</v>
      </c>
      <c r="O1029" s="2" t="s">
        <v>21</v>
      </c>
      <c r="P1029" s="2" t="s">
        <v>17</v>
      </c>
      <c r="Q1029" s="2" t="s">
        <v>21</v>
      </c>
    </row>
    <row r="1030" customFormat="false" ht="15" hidden="false" customHeight="false" outlineLevel="0" collapsed="false">
      <c r="A1030" s="2" t="s">
        <v>870</v>
      </c>
      <c r="B1030" s="2" t="s">
        <v>45</v>
      </c>
      <c r="C1030" s="14" t="s">
        <v>871</v>
      </c>
      <c r="D1030" s="40" t="n">
        <v>106100</v>
      </c>
      <c r="E1030" s="2" t="s">
        <v>670</v>
      </c>
      <c r="F1030" s="41" t="n">
        <v>0.938642789820924</v>
      </c>
      <c r="G1030" s="31" t="n">
        <v>73.1</v>
      </c>
      <c r="H1030" s="42" t="n">
        <v>0.0887634684453566</v>
      </c>
      <c r="I1030" s="31" t="n">
        <v>53.6</v>
      </c>
      <c r="J1030" s="2" t="s">
        <v>2698</v>
      </c>
      <c r="K1030" s="47" t="s">
        <v>680</v>
      </c>
      <c r="L1030" s="31"/>
      <c r="M1030" s="39" t="s">
        <v>671</v>
      </c>
      <c r="N1030" s="2" t="s">
        <v>21</v>
      </c>
      <c r="O1030" s="2" t="s">
        <v>21</v>
      </c>
      <c r="P1030" s="2" t="s">
        <v>21</v>
      </c>
      <c r="Q1030" s="2" t="s">
        <v>2711</v>
      </c>
    </row>
    <row r="1031" customFormat="false" ht="15" hidden="false" customHeight="false" outlineLevel="0" collapsed="false">
      <c r="A1031" s="2" t="s">
        <v>870</v>
      </c>
      <c r="B1031" s="2" t="s">
        <v>46</v>
      </c>
      <c r="C1031" s="16"/>
      <c r="D1031" s="29"/>
      <c r="E1031" s="2"/>
      <c r="F1031" s="30"/>
      <c r="G1031" s="31"/>
      <c r="H1031" s="32"/>
      <c r="I1031" s="31"/>
      <c r="J1031" s="2"/>
      <c r="K1031" s="33"/>
      <c r="L1031" s="31"/>
      <c r="M1031" s="34" t="s">
        <v>668</v>
      </c>
      <c r="N1031" s="2"/>
      <c r="O1031" s="2"/>
      <c r="P1031" s="2"/>
      <c r="Q1031" s="2"/>
    </row>
    <row r="1032" customFormat="false" ht="15" hidden="false" customHeight="false" outlineLevel="0" collapsed="false">
      <c r="A1032" s="2" t="s">
        <v>870</v>
      </c>
      <c r="B1032" s="2" t="s">
        <v>47</v>
      </c>
      <c r="C1032" s="13" t="s">
        <v>2364</v>
      </c>
      <c r="D1032" s="35" t="n">
        <v>441546</v>
      </c>
      <c r="E1032" s="2" t="s">
        <v>670</v>
      </c>
      <c r="F1032" s="36" t="n">
        <v>1.0964112459404</v>
      </c>
      <c r="G1032" s="31" t="n">
        <v>43.7</v>
      </c>
      <c r="H1032" s="37" t="n">
        <v>0.186224572036494</v>
      </c>
      <c r="I1032" s="31" t="n">
        <v>89.2</v>
      </c>
      <c r="J1032" s="2" t="s">
        <v>2701</v>
      </c>
      <c r="K1032" s="38" t="n">
        <v>0.0631076028250935</v>
      </c>
      <c r="L1032" s="31" t="n">
        <v>37.3</v>
      </c>
      <c r="M1032" s="39" t="s">
        <v>671</v>
      </c>
      <c r="N1032" s="2" t="s">
        <v>19</v>
      </c>
      <c r="O1032" s="2" t="s">
        <v>19</v>
      </c>
      <c r="P1032" s="2" t="s">
        <v>19</v>
      </c>
      <c r="Q1032" s="2" t="s">
        <v>19</v>
      </c>
    </row>
    <row r="1033" customFormat="false" ht="15" hidden="false" customHeight="false" outlineLevel="0" collapsed="false">
      <c r="A1033" s="2" t="s">
        <v>89</v>
      </c>
      <c r="B1033" s="2" t="s">
        <v>47</v>
      </c>
      <c r="C1033" s="13" t="s">
        <v>1974</v>
      </c>
      <c r="D1033" s="35" t="n">
        <v>373531</v>
      </c>
      <c r="E1033" s="2" t="s">
        <v>670</v>
      </c>
      <c r="F1033" s="36" t="n">
        <v>6.6944590944259</v>
      </c>
      <c r="G1033" s="31" t="n">
        <v>98.3</v>
      </c>
      <c r="H1033" s="37" t="n">
        <v>-0.0082071679296483</v>
      </c>
      <c r="I1033" s="31" t="n">
        <v>12</v>
      </c>
      <c r="J1033" s="2" t="s">
        <v>2701</v>
      </c>
      <c r="K1033" s="38" t="n">
        <v>0.0483500922741219</v>
      </c>
      <c r="L1033" s="31" t="n">
        <v>29.5</v>
      </c>
      <c r="M1033" s="39" t="s">
        <v>671</v>
      </c>
      <c r="N1033" s="2" t="s">
        <v>19</v>
      </c>
      <c r="O1033" s="2" t="s">
        <v>19</v>
      </c>
      <c r="P1033" s="2" t="s">
        <v>19</v>
      </c>
      <c r="Q1033" s="2" t="s">
        <v>19</v>
      </c>
    </row>
    <row r="1034" customFormat="false" ht="15" hidden="false" customHeight="false" outlineLevel="0" collapsed="false">
      <c r="A1034" s="2" t="s">
        <v>1123</v>
      </c>
      <c r="B1034" s="2" t="s">
        <v>45</v>
      </c>
      <c r="C1034" s="14" t="s">
        <v>1124</v>
      </c>
      <c r="D1034" s="40" t="n">
        <v>103240</v>
      </c>
      <c r="E1034" s="2" t="s">
        <v>670</v>
      </c>
      <c r="F1034" s="41" t="n">
        <v>0.48561604029446</v>
      </c>
      <c r="G1034" s="31" t="n">
        <v>39.3</v>
      </c>
      <c r="H1034" s="42" t="n">
        <v>0.169593293304634</v>
      </c>
      <c r="I1034" s="31" t="n">
        <v>87.7</v>
      </c>
      <c r="J1034" s="2" t="s">
        <v>2698</v>
      </c>
      <c r="K1034" s="43" t="n">
        <v>0.35637309550353</v>
      </c>
      <c r="L1034" s="31" t="n">
        <v>97</v>
      </c>
      <c r="M1034" s="39" t="s">
        <v>671</v>
      </c>
      <c r="N1034" s="2" t="s">
        <v>21</v>
      </c>
      <c r="O1034" s="2" t="s">
        <v>21</v>
      </c>
      <c r="P1034" s="2" t="s">
        <v>21</v>
      </c>
      <c r="Q1034" s="2" t="s">
        <v>21</v>
      </c>
    </row>
    <row r="1035" customFormat="false" ht="15" hidden="false" customHeight="false" outlineLevel="0" collapsed="false">
      <c r="A1035" s="2" t="s">
        <v>1123</v>
      </c>
      <c r="B1035" s="2" t="s">
        <v>46</v>
      </c>
      <c r="C1035" s="16"/>
      <c r="D1035" s="29"/>
      <c r="E1035" s="2"/>
      <c r="F1035" s="30"/>
      <c r="G1035" s="31"/>
      <c r="H1035" s="32"/>
      <c r="I1035" s="31"/>
      <c r="J1035" s="2"/>
      <c r="K1035" s="33"/>
      <c r="L1035" s="31"/>
      <c r="M1035" s="34" t="s">
        <v>668</v>
      </c>
      <c r="N1035" s="2"/>
      <c r="O1035" s="2"/>
      <c r="P1035" s="2"/>
      <c r="Q1035" s="2"/>
    </row>
    <row r="1036" customFormat="false" ht="15" hidden="false" customHeight="false" outlineLevel="0" collapsed="false">
      <c r="A1036" s="2" t="s">
        <v>1123</v>
      </c>
      <c r="B1036" s="2" t="s">
        <v>47</v>
      </c>
      <c r="C1036" s="13" t="s">
        <v>2627</v>
      </c>
      <c r="D1036" s="35" t="n">
        <v>515749</v>
      </c>
      <c r="E1036" s="2" t="s">
        <v>670</v>
      </c>
      <c r="F1036" s="36" t="n">
        <v>0.44761696096357</v>
      </c>
      <c r="G1036" s="31" t="n">
        <v>9.9</v>
      </c>
      <c r="H1036" s="37" t="n">
        <v>0.109457348999497</v>
      </c>
      <c r="I1036" s="31" t="n">
        <v>63.3</v>
      </c>
      <c r="J1036" s="2" t="s">
        <v>2701</v>
      </c>
      <c r="K1036" s="38" t="n">
        <v>0.190554172671296</v>
      </c>
      <c r="L1036" s="31" t="n">
        <v>80.6</v>
      </c>
      <c r="M1036" s="39" t="s">
        <v>671</v>
      </c>
      <c r="N1036" s="2" t="s">
        <v>19</v>
      </c>
      <c r="O1036" s="2" t="s">
        <v>19</v>
      </c>
      <c r="P1036" s="2" t="s">
        <v>19</v>
      </c>
      <c r="Q1036" s="2" t="s">
        <v>19</v>
      </c>
    </row>
    <row r="1037" customFormat="false" ht="15" hidden="false" customHeight="false" outlineLevel="0" collapsed="false">
      <c r="A1037" s="2" t="s">
        <v>2964</v>
      </c>
      <c r="B1037" s="2" t="s">
        <v>46</v>
      </c>
      <c r="C1037" s="16"/>
      <c r="D1037" s="29"/>
      <c r="E1037" s="2"/>
      <c r="F1037" s="30"/>
      <c r="G1037" s="31"/>
      <c r="H1037" s="32"/>
      <c r="I1037" s="31"/>
      <c r="J1037" s="2"/>
      <c r="K1037" s="33"/>
      <c r="L1037" s="31"/>
      <c r="M1037" s="34" t="s">
        <v>668</v>
      </c>
      <c r="N1037" s="2"/>
      <c r="O1037" s="2"/>
      <c r="P1037" s="2"/>
      <c r="Q1037" s="2"/>
    </row>
    <row r="1038" customFormat="false" ht="15" hidden="false" customHeight="false" outlineLevel="0" collapsed="false">
      <c r="A1038" s="2" t="s">
        <v>2042</v>
      </c>
      <c r="B1038" s="2" t="s">
        <v>45</v>
      </c>
      <c r="C1038" s="13" t="s">
        <v>2965</v>
      </c>
      <c r="D1038" s="35" t="n">
        <v>180032</v>
      </c>
      <c r="E1038" s="2" t="s">
        <v>670</v>
      </c>
      <c r="F1038" s="36" t="n">
        <v>0.337589984002844</v>
      </c>
      <c r="G1038" s="31" t="n">
        <v>22.9</v>
      </c>
      <c r="H1038" s="37" t="n">
        <v>0.0997342781222321</v>
      </c>
      <c r="I1038" s="31" t="n">
        <v>59.4</v>
      </c>
      <c r="J1038" s="2" t="s">
        <v>2698</v>
      </c>
      <c r="K1038" s="33"/>
      <c r="L1038" s="31"/>
      <c r="M1038" s="34" t="s">
        <v>668</v>
      </c>
      <c r="N1038" s="2" t="s">
        <v>19</v>
      </c>
      <c r="O1038" s="2" t="s">
        <v>19</v>
      </c>
      <c r="P1038" s="2" t="s">
        <v>19</v>
      </c>
      <c r="Q1038" s="2"/>
    </row>
    <row r="1039" customFormat="false" ht="15" hidden="false" customHeight="false" outlineLevel="0" collapsed="false">
      <c r="A1039" s="2" t="s">
        <v>2042</v>
      </c>
      <c r="B1039" s="2" t="s">
        <v>46</v>
      </c>
      <c r="C1039" s="15" t="s">
        <v>2966</v>
      </c>
      <c r="D1039" s="44" t="n">
        <v>34666</v>
      </c>
      <c r="E1039" s="2" t="s">
        <v>667</v>
      </c>
      <c r="F1039" s="30"/>
      <c r="G1039" s="31"/>
      <c r="H1039" s="46" t="n">
        <v>0.184150298889838</v>
      </c>
      <c r="I1039" s="31" t="n">
        <v>90.9</v>
      </c>
      <c r="J1039" s="2" t="s">
        <v>2700</v>
      </c>
      <c r="K1039" s="33"/>
      <c r="L1039" s="31"/>
      <c r="M1039" s="34" t="s">
        <v>668</v>
      </c>
      <c r="N1039" s="2" t="s">
        <v>17</v>
      </c>
      <c r="O1039" s="2"/>
      <c r="P1039" s="2" t="s">
        <v>17</v>
      </c>
      <c r="Q1039" s="2"/>
    </row>
    <row r="1040" customFormat="false" ht="15" hidden="false" customHeight="false" outlineLevel="0" collapsed="false">
      <c r="A1040" s="2" t="s">
        <v>2042</v>
      </c>
      <c r="B1040" s="2" t="s">
        <v>47</v>
      </c>
      <c r="C1040" s="13" t="s">
        <v>2043</v>
      </c>
      <c r="D1040" s="35" t="n">
        <v>29032</v>
      </c>
      <c r="E1040" s="2" t="s">
        <v>667</v>
      </c>
      <c r="F1040" s="36" t="n">
        <v>2.94750620005511</v>
      </c>
      <c r="G1040" s="31" t="n">
        <v>89</v>
      </c>
      <c r="H1040" s="37" t="n">
        <v>0.0911004209260373</v>
      </c>
      <c r="I1040" s="31" t="n">
        <v>51.4</v>
      </c>
      <c r="J1040" s="2" t="s">
        <v>2697</v>
      </c>
      <c r="K1040" s="38" t="n">
        <v>0.256983240223464</v>
      </c>
      <c r="L1040" s="31" t="n">
        <v>93.3</v>
      </c>
      <c r="M1040" s="39" t="s">
        <v>671</v>
      </c>
      <c r="N1040" s="2" t="s">
        <v>19</v>
      </c>
      <c r="O1040" s="2" t="s">
        <v>19</v>
      </c>
      <c r="P1040" s="2" t="s">
        <v>19</v>
      </c>
      <c r="Q1040" s="2" t="s">
        <v>19</v>
      </c>
    </row>
    <row r="1041" customFormat="false" ht="15" hidden="false" customHeight="false" outlineLevel="0" collapsed="false">
      <c r="A1041" s="2" t="s">
        <v>1187</v>
      </c>
      <c r="B1041" s="2" t="s">
        <v>45</v>
      </c>
      <c r="C1041" s="13" t="s">
        <v>1188</v>
      </c>
      <c r="D1041" s="35" t="n">
        <v>12635</v>
      </c>
      <c r="E1041" s="2" t="s">
        <v>667</v>
      </c>
      <c r="F1041" s="36" t="n">
        <v>0.408547685001979</v>
      </c>
      <c r="G1041" s="31" t="n">
        <v>30.3</v>
      </c>
      <c r="H1041" s="46" t="n">
        <v>0.0413271734565309</v>
      </c>
      <c r="I1041" s="31" t="n">
        <v>24.2</v>
      </c>
      <c r="J1041" s="2" t="s">
        <v>2704</v>
      </c>
      <c r="K1041" s="38" t="n">
        <v>0.0697674418604651</v>
      </c>
      <c r="L1041" s="31" t="n">
        <v>20.6</v>
      </c>
      <c r="M1041" s="39" t="s">
        <v>671</v>
      </c>
      <c r="N1041" s="2" t="s">
        <v>19</v>
      </c>
      <c r="O1041" s="2" t="s">
        <v>19</v>
      </c>
      <c r="P1041" s="2" t="s">
        <v>17</v>
      </c>
      <c r="Q1041" s="2" t="s">
        <v>19</v>
      </c>
    </row>
    <row r="1042" customFormat="false" ht="15" hidden="false" customHeight="false" outlineLevel="0" collapsed="false">
      <c r="A1042" s="2" t="s">
        <v>1187</v>
      </c>
      <c r="B1042" s="2" t="s">
        <v>46</v>
      </c>
      <c r="C1042" s="14" t="s">
        <v>2967</v>
      </c>
      <c r="D1042" s="44" t="n">
        <v>136886</v>
      </c>
      <c r="E1042" s="2" t="s">
        <v>670</v>
      </c>
      <c r="F1042" s="45" t="n">
        <v>9.10817030229534</v>
      </c>
      <c r="G1042" s="31" t="n">
        <v>94.1</v>
      </c>
      <c r="H1042" s="32"/>
      <c r="I1042" s="31"/>
      <c r="J1042" s="2"/>
      <c r="K1042" s="33"/>
      <c r="L1042" s="31"/>
      <c r="M1042" s="34" t="s">
        <v>668</v>
      </c>
      <c r="N1042" s="2" t="s">
        <v>17</v>
      </c>
      <c r="O1042" s="2" t="s">
        <v>17</v>
      </c>
      <c r="P1042" s="2" t="s">
        <v>2968</v>
      </c>
      <c r="Q1042" s="2"/>
    </row>
    <row r="1043" customFormat="false" ht="15" hidden="false" customHeight="false" outlineLevel="0" collapsed="false">
      <c r="A1043" s="2" t="s">
        <v>1187</v>
      </c>
      <c r="B1043" s="2" t="s">
        <v>47</v>
      </c>
      <c r="C1043" s="13" t="s">
        <v>2186</v>
      </c>
      <c r="D1043" s="35" t="n">
        <v>31294</v>
      </c>
      <c r="E1043" s="2" t="s">
        <v>667</v>
      </c>
      <c r="F1043" s="36" t="n">
        <v>1.77110628235445</v>
      </c>
      <c r="G1043" s="31" t="n">
        <v>67.3</v>
      </c>
      <c r="H1043" s="37" t="n">
        <v>0.122252106867492</v>
      </c>
      <c r="I1043" s="31" t="n">
        <v>67</v>
      </c>
      <c r="J1043" s="2" t="s">
        <v>2697</v>
      </c>
      <c r="K1043" s="38" t="n">
        <v>0.00384368994234465</v>
      </c>
      <c r="L1043" s="31" t="n">
        <v>3.8</v>
      </c>
      <c r="M1043" s="39" t="s">
        <v>671</v>
      </c>
      <c r="N1043" s="2" t="s">
        <v>19</v>
      </c>
      <c r="O1043" s="2" t="s">
        <v>19</v>
      </c>
      <c r="P1043" s="2" t="s">
        <v>19</v>
      </c>
      <c r="Q1043" s="2" t="s">
        <v>19</v>
      </c>
    </row>
    <row r="1044" customFormat="false" ht="15" hidden="false" customHeight="false" outlineLevel="0" collapsed="false">
      <c r="A1044" s="2" t="s">
        <v>1279</v>
      </c>
      <c r="B1044" s="2" t="s">
        <v>45</v>
      </c>
      <c r="C1044" s="14" t="s">
        <v>1280</v>
      </c>
      <c r="D1044" s="40" t="n">
        <v>32120</v>
      </c>
      <c r="E1044" s="2" t="s">
        <v>667</v>
      </c>
      <c r="F1044" s="41" t="n">
        <v>0.278455790784558</v>
      </c>
      <c r="G1044" s="31" t="n">
        <v>16.7</v>
      </c>
      <c r="H1044" s="42" t="n">
        <v>0.197167349981364</v>
      </c>
      <c r="I1044" s="31" t="n">
        <v>92.1</v>
      </c>
      <c r="J1044" s="2" t="s">
        <v>2704</v>
      </c>
      <c r="K1044" s="43" t="n">
        <v>0.102719033232628</v>
      </c>
      <c r="L1044" s="31" t="n">
        <v>35.9</v>
      </c>
      <c r="M1044" s="39" t="s">
        <v>671</v>
      </c>
      <c r="N1044" s="2" t="s">
        <v>21</v>
      </c>
      <c r="O1044" s="2" t="s">
        <v>21</v>
      </c>
      <c r="P1044" s="2" t="s">
        <v>21</v>
      </c>
      <c r="Q1044" s="2" t="s">
        <v>21</v>
      </c>
    </row>
    <row r="1045" customFormat="false" ht="15" hidden="false" customHeight="false" outlineLevel="0" collapsed="false">
      <c r="A1045" s="2" t="s">
        <v>318</v>
      </c>
      <c r="B1045" s="2" t="s">
        <v>45</v>
      </c>
      <c r="C1045" s="14" t="s">
        <v>990</v>
      </c>
      <c r="D1045" s="40" t="n">
        <v>55200</v>
      </c>
      <c r="E1045" s="2" t="s">
        <v>667</v>
      </c>
      <c r="F1045" s="41" t="n">
        <v>0.672083333333333</v>
      </c>
      <c r="G1045" s="31" t="n">
        <v>56.6</v>
      </c>
      <c r="H1045" s="42" t="n">
        <v>0.289719626168224</v>
      </c>
      <c r="I1045" s="31" t="n">
        <v>99.2</v>
      </c>
      <c r="J1045" s="2" t="s">
        <v>2704</v>
      </c>
      <c r="K1045" s="43" t="n">
        <v>0.254752851711027</v>
      </c>
      <c r="L1045" s="31" t="n">
        <v>83.4</v>
      </c>
      <c r="M1045" s="39" t="s">
        <v>671</v>
      </c>
      <c r="N1045" s="2" t="s">
        <v>21</v>
      </c>
      <c r="O1045" s="2" t="s">
        <v>21</v>
      </c>
      <c r="P1045" s="2" t="s">
        <v>21</v>
      </c>
      <c r="Q1045" s="2" t="s">
        <v>21</v>
      </c>
    </row>
    <row r="1046" customFormat="false" ht="15" hidden="false" customHeight="false" outlineLevel="0" collapsed="false">
      <c r="A1046" s="2" t="s">
        <v>318</v>
      </c>
      <c r="B1046" s="2" t="s">
        <v>46</v>
      </c>
      <c r="C1046" s="13" t="s">
        <v>1588</v>
      </c>
      <c r="D1046" s="35" t="n">
        <v>85637</v>
      </c>
      <c r="E1046" s="2" t="s">
        <v>667</v>
      </c>
      <c r="F1046" s="36" t="n">
        <v>4.32336490068545</v>
      </c>
      <c r="G1046" s="31" t="n">
        <v>66.8</v>
      </c>
      <c r="H1046" s="37" t="n">
        <v>-0.0422095715292302</v>
      </c>
      <c r="I1046" s="31" t="n">
        <v>5</v>
      </c>
      <c r="J1046" s="2" t="s">
        <v>2700</v>
      </c>
      <c r="K1046" s="38" t="n">
        <v>0.0766866330390921</v>
      </c>
      <c r="L1046" s="31" t="n">
        <v>23.3</v>
      </c>
      <c r="M1046" s="39" t="s">
        <v>671</v>
      </c>
      <c r="N1046" s="2" t="s">
        <v>19</v>
      </c>
      <c r="O1046" s="2" t="s">
        <v>19</v>
      </c>
      <c r="P1046" s="2" t="s">
        <v>19</v>
      </c>
      <c r="Q1046" s="2" t="s">
        <v>19</v>
      </c>
    </row>
    <row r="1047" customFormat="false" ht="15" hidden="false" customHeight="false" outlineLevel="0" collapsed="false">
      <c r="A1047" s="2" t="s">
        <v>318</v>
      </c>
      <c r="B1047" s="2" t="s">
        <v>47</v>
      </c>
      <c r="C1047" s="13" t="s">
        <v>2356</v>
      </c>
      <c r="D1047" s="35" t="n">
        <v>6778</v>
      </c>
      <c r="E1047" s="2" t="s">
        <v>678</v>
      </c>
      <c r="F1047" s="36" t="n">
        <v>1.1159634110357</v>
      </c>
      <c r="G1047" s="31" t="n">
        <v>45.1</v>
      </c>
      <c r="H1047" s="37" t="n">
        <v>0.114986017437079</v>
      </c>
      <c r="I1047" s="31" t="n">
        <v>54.7</v>
      </c>
      <c r="J1047" s="2" t="s">
        <v>2706</v>
      </c>
      <c r="K1047" s="38" t="n">
        <v>0.0487804878048781</v>
      </c>
      <c r="L1047" s="31" t="n">
        <v>30.1</v>
      </c>
      <c r="M1047" s="39" t="s">
        <v>671</v>
      </c>
      <c r="N1047" s="2" t="s">
        <v>19</v>
      </c>
      <c r="O1047" s="2" t="s">
        <v>19</v>
      </c>
      <c r="P1047" s="2" t="s">
        <v>19</v>
      </c>
      <c r="Q1047" s="2" t="s">
        <v>19</v>
      </c>
    </row>
    <row r="1048" customFormat="false" ht="15" hidden="false" customHeight="false" outlineLevel="0" collapsed="false">
      <c r="A1048" s="2" t="s">
        <v>324</v>
      </c>
      <c r="B1048" s="2" t="s">
        <v>46</v>
      </c>
      <c r="C1048" s="14" t="s">
        <v>1837</v>
      </c>
      <c r="D1048" s="40" t="n">
        <v>712210</v>
      </c>
      <c r="E1048" s="2" t="s">
        <v>670</v>
      </c>
      <c r="F1048" s="41" t="n">
        <v>1.82289633675461</v>
      </c>
      <c r="G1048" s="31" t="n">
        <v>22.6</v>
      </c>
      <c r="H1048" s="42" t="n">
        <v>0.0103702652858562</v>
      </c>
      <c r="I1048" s="31" t="n">
        <v>14.6</v>
      </c>
      <c r="J1048" s="2" t="s">
        <v>2705</v>
      </c>
      <c r="K1048" s="43" t="n">
        <v>0.132850656139311</v>
      </c>
      <c r="L1048" s="31" t="n">
        <v>49.2</v>
      </c>
      <c r="M1048" s="39" t="s">
        <v>671</v>
      </c>
      <c r="N1048" s="2" t="s">
        <v>21</v>
      </c>
      <c r="O1048" s="2" t="s">
        <v>21</v>
      </c>
      <c r="P1048" s="2" t="s">
        <v>21</v>
      </c>
      <c r="Q1048" s="2" t="s">
        <v>21</v>
      </c>
    </row>
    <row r="1049" customFormat="false" ht="15" hidden="false" customHeight="false" outlineLevel="0" collapsed="false">
      <c r="A1049" s="2" t="s">
        <v>324</v>
      </c>
      <c r="B1049" s="2" t="s">
        <v>47</v>
      </c>
      <c r="C1049" s="13" t="s">
        <v>2040</v>
      </c>
      <c r="D1049" s="35" t="n">
        <v>53154</v>
      </c>
      <c r="E1049" s="2" t="s">
        <v>667</v>
      </c>
      <c r="F1049" s="36" t="n">
        <v>3.06486811905031</v>
      </c>
      <c r="G1049" s="31" t="n">
        <v>89.2</v>
      </c>
      <c r="H1049" s="37" t="n">
        <v>-0.0228145969298649</v>
      </c>
      <c r="I1049" s="31" t="n">
        <v>7.4</v>
      </c>
      <c r="J1049" s="2" t="s">
        <v>2697</v>
      </c>
      <c r="K1049" s="38" t="n">
        <v>0.121786283891547</v>
      </c>
      <c r="L1049" s="31" t="n">
        <v>63.8</v>
      </c>
      <c r="M1049" s="39" t="s">
        <v>671</v>
      </c>
      <c r="N1049" s="2" t="s">
        <v>19</v>
      </c>
      <c r="O1049" s="2" t="s">
        <v>19</v>
      </c>
      <c r="P1049" s="2" t="s">
        <v>19</v>
      </c>
      <c r="Q1049" s="2" t="s">
        <v>19</v>
      </c>
    </row>
    <row r="1050" customFormat="false" ht="15" hidden="false" customHeight="false" outlineLevel="0" collapsed="false">
      <c r="A1050" s="2" t="s">
        <v>1654</v>
      </c>
      <c r="B1050" s="2" t="s">
        <v>45</v>
      </c>
      <c r="C1050" s="16"/>
      <c r="D1050" s="29"/>
      <c r="E1050" s="2"/>
      <c r="F1050" s="30"/>
      <c r="G1050" s="31"/>
      <c r="H1050" s="32"/>
      <c r="I1050" s="31"/>
      <c r="J1050" s="2"/>
      <c r="K1050" s="33"/>
      <c r="L1050" s="31"/>
      <c r="M1050" s="34" t="s">
        <v>668</v>
      </c>
      <c r="N1050" s="2"/>
      <c r="O1050" s="2"/>
      <c r="P1050" s="2"/>
      <c r="Q1050" s="2"/>
    </row>
    <row r="1051" customFormat="false" ht="15" hidden="false" customHeight="false" outlineLevel="0" collapsed="false">
      <c r="A1051" s="2" t="s">
        <v>1654</v>
      </c>
      <c r="B1051" s="2" t="s">
        <v>46</v>
      </c>
      <c r="C1051" s="14" t="s">
        <v>1655</v>
      </c>
      <c r="D1051" s="40" t="n">
        <v>97360</v>
      </c>
      <c r="E1051" s="2" t="s">
        <v>667</v>
      </c>
      <c r="F1051" s="41" t="n">
        <v>3.39612777321282</v>
      </c>
      <c r="G1051" s="31" t="n">
        <v>53.5</v>
      </c>
      <c r="H1051" s="42" t="n">
        <v>0.0847910863509749</v>
      </c>
      <c r="I1051" s="31" t="n">
        <v>47.3</v>
      </c>
      <c r="J1051" s="2" t="s">
        <v>2700</v>
      </c>
      <c r="K1051" s="43" t="n">
        <v>0.0268164435946463</v>
      </c>
      <c r="L1051" s="31" t="n">
        <v>4.9</v>
      </c>
      <c r="M1051" s="39" t="s">
        <v>671</v>
      </c>
      <c r="N1051" s="2" t="s">
        <v>21</v>
      </c>
      <c r="O1051" s="2" t="s">
        <v>21</v>
      </c>
      <c r="P1051" s="2" t="s">
        <v>21</v>
      </c>
      <c r="Q1051" s="2" t="s">
        <v>21</v>
      </c>
    </row>
    <row r="1052" customFormat="false" ht="15" hidden="false" customHeight="false" outlineLevel="0" collapsed="false">
      <c r="A1052" s="2" t="s">
        <v>1654</v>
      </c>
      <c r="B1052" s="2" t="s">
        <v>47</v>
      </c>
      <c r="C1052" s="13" t="s">
        <v>1986</v>
      </c>
      <c r="D1052" s="35" t="n">
        <v>19040</v>
      </c>
      <c r="E1052" s="2" t="s">
        <v>667</v>
      </c>
      <c r="F1052" s="36" t="n">
        <v>4.76260504201681</v>
      </c>
      <c r="G1052" s="31" t="n">
        <v>96.8</v>
      </c>
      <c r="H1052" s="37" t="n">
        <v>0.234679981842941</v>
      </c>
      <c r="I1052" s="31" t="n">
        <v>97.5</v>
      </c>
      <c r="J1052" s="2" t="s">
        <v>2697</v>
      </c>
      <c r="K1052" s="38" t="n">
        <v>0.145706206280697</v>
      </c>
      <c r="L1052" s="31" t="n">
        <v>70.1</v>
      </c>
      <c r="M1052" s="39" t="s">
        <v>671</v>
      </c>
      <c r="N1052" s="2" t="s">
        <v>19</v>
      </c>
      <c r="O1052" s="2" t="s">
        <v>19</v>
      </c>
      <c r="P1052" s="2" t="s">
        <v>19</v>
      </c>
      <c r="Q1052" s="2" t="s">
        <v>19</v>
      </c>
    </row>
    <row r="1053" customFormat="false" ht="15" hidden="false" customHeight="false" outlineLevel="0" collapsed="false">
      <c r="A1053" s="2" t="s">
        <v>240</v>
      </c>
      <c r="B1053" s="2" t="s">
        <v>45</v>
      </c>
      <c r="C1053" s="13" t="s">
        <v>814</v>
      </c>
      <c r="D1053" s="35" t="n">
        <v>20080</v>
      </c>
      <c r="E1053" s="2" t="s">
        <v>667</v>
      </c>
      <c r="F1053" s="36" t="n">
        <v>1.19198207171315</v>
      </c>
      <c r="G1053" s="31" t="n">
        <v>82.1</v>
      </c>
      <c r="H1053" s="37" t="n">
        <v>0.0505938366556794</v>
      </c>
      <c r="I1053" s="31" t="n">
        <v>28.6</v>
      </c>
      <c r="J1053" s="2" t="s">
        <v>2704</v>
      </c>
      <c r="K1053" s="38" t="n">
        <v>0.179505300353357</v>
      </c>
      <c r="L1053" s="31" t="n">
        <v>63.8</v>
      </c>
      <c r="M1053" s="39" t="s">
        <v>671</v>
      </c>
      <c r="N1053" s="2" t="s">
        <v>19</v>
      </c>
      <c r="O1053" s="2" t="s">
        <v>19</v>
      </c>
      <c r="P1053" s="2" t="s">
        <v>19</v>
      </c>
      <c r="Q1053" s="2" t="s">
        <v>19</v>
      </c>
    </row>
    <row r="1054" customFormat="false" ht="15" hidden="false" customHeight="false" outlineLevel="0" collapsed="false">
      <c r="A1054" s="2" t="s">
        <v>240</v>
      </c>
      <c r="B1054" s="2" t="s">
        <v>46</v>
      </c>
      <c r="C1054" s="13" t="s">
        <v>1397</v>
      </c>
      <c r="D1054" s="35" t="n">
        <v>15286</v>
      </c>
      <c r="E1054" s="2" t="s">
        <v>667</v>
      </c>
      <c r="F1054" s="36" t="n">
        <v>10.2355750359806</v>
      </c>
      <c r="G1054" s="31" t="n">
        <v>96.6</v>
      </c>
      <c r="H1054" s="37" t="n">
        <v>0.0696990902729181</v>
      </c>
      <c r="I1054" s="31" t="n">
        <v>40.2</v>
      </c>
      <c r="J1054" s="2" t="s">
        <v>2700</v>
      </c>
      <c r="K1054" s="38" t="n">
        <v>0.39872</v>
      </c>
      <c r="L1054" s="31" t="n">
        <v>97.9</v>
      </c>
      <c r="M1054" s="39" t="s">
        <v>671</v>
      </c>
      <c r="N1054" s="2" t="s">
        <v>19</v>
      </c>
      <c r="O1054" s="2" t="s">
        <v>19</v>
      </c>
      <c r="P1054" s="2" t="s">
        <v>19</v>
      </c>
      <c r="Q1054" s="2" t="s">
        <v>19</v>
      </c>
    </row>
    <row r="1055" customFormat="false" ht="15" hidden="false" customHeight="false" outlineLevel="0" collapsed="false">
      <c r="A1055" s="2" t="s">
        <v>240</v>
      </c>
      <c r="B1055" s="2" t="s">
        <v>47</v>
      </c>
      <c r="C1055" s="13" t="s">
        <v>2568</v>
      </c>
      <c r="D1055" s="35" t="n">
        <v>13484</v>
      </c>
      <c r="E1055" s="2" t="s">
        <v>667</v>
      </c>
      <c r="F1055" s="36" t="n">
        <v>0.612577870068229</v>
      </c>
      <c r="G1055" s="31" t="n">
        <v>17.1</v>
      </c>
      <c r="H1055" s="42" t="n">
        <v>0.0812101910828025</v>
      </c>
      <c r="I1055" s="31" t="n">
        <v>45.4</v>
      </c>
      <c r="J1055" s="2" t="s">
        <v>2697</v>
      </c>
      <c r="K1055" s="38" t="n">
        <v>0.131086142322097</v>
      </c>
      <c r="L1055" s="31" t="n">
        <v>65.5</v>
      </c>
      <c r="M1055" s="39" t="s">
        <v>671</v>
      </c>
      <c r="N1055" s="2" t="s">
        <v>19</v>
      </c>
      <c r="O1055" s="2" t="s">
        <v>19</v>
      </c>
      <c r="P1055" s="2" t="s">
        <v>21</v>
      </c>
      <c r="Q1055" s="2" t="s">
        <v>19</v>
      </c>
    </row>
    <row r="1056" customFormat="false" ht="15" hidden="false" customHeight="false" outlineLevel="0" collapsed="false">
      <c r="A1056" s="2" t="s">
        <v>464</v>
      </c>
      <c r="B1056" s="2" t="s">
        <v>45</v>
      </c>
      <c r="C1056" s="13" t="s">
        <v>790</v>
      </c>
      <c r="D1056" s="35" t="n">
        <v>80518</v>
      </c>
      <c r="E1056" s="2" t="s">
        <v>667</v>
      </c>
      <c r="F1056" s="36" t="n">
        <v>1.28654462356243</v>
      </c>
      <c r="G1056" s="31" t="n">
        <v>84.8</v>
      </c>
      <c r="H1056" s="37" t="n">
        <v>0.0675240304938681</v>
      </c>
      <c r="I1056" s="31" t="n">
        <v>34.9</v>
      </c>
      <c r="J1056" s="2" t="s">
        <v>2704</v>
      </c>
      <c r="K1056" s="38" t="n">
        <v>0.207082995404163</v>
      </c>
      <c r="L1056" s="31" t="n">
        <v>73.2</v>
      </c>
      <c r="M1056" s="39" t="s">
        <v>671</v>
      </c>
      <c r="N1056" s="2" t="s">
        <v>19</v>
      </c>
      <c r="O1056" s="2" t="s">
        <v>19</v>
      </c>
      <c r="P1056" s="2" t="s">
        <v>19</v>
      </c>
      <c r="Q1056" s="2" t="s">
        <v>19</v>
      </c>
    </row>
    <row r="1057" customFormat="false" ht="15" hidden="false" customHeight="false" outlineLevel="0" collapsed="false">
      <c r="A1057" s="2" t="s">
        <v>464</v>
      </c>
      <c r="B1057" s="2" t="s">
        <v>46</v>
      </c>
      <c r="C1057" s="14" t="s">
        <v>1867</v>
      </c>
      <c r="D1057" s="40" t="n">
        <v>157120</v>
      </c>
      <c r="E1057" s="2" t="s">
        <v>670</v>
      </c>
      <c r="F1057" s="41" t="n">
        <v>1.62914969450102</v>
      </c>
      <c r="G1057" s="31" t="n">
        <v>18.4</v>
      </c>
      <c r="H1057" s="42" t="n">
        <v>0.179225457820474</v>
      </c>
      <c r="I1057" s="31" t="n">
        <v>92.1</v>
      </c>
      <c r="J1057" s="2" t="s">
        <v>2705</v>
      </c>
      <c r="K1057" s="43" t="n">
        <v>0.204238534563444</v>
      </c>
      <c r="L1057" s="31" t="n">
        <v>72.5</v>
      </c>
      <c r="M1057" s="39" t="s">
        <v>671</v>
      </c>
      <c r="N1057" s="2" t="s">
        <v>21</v>
      </c>
      <c r="O1057" s="2" t="s">
        <v>21</v>
      </c>
      <c r="P1057" s="2" t="s">
        <v>21</v>
      </c>
      <c r="Q1057" s="2" t="s">
        <v>21</v>
      </c>
    </row>
    <row r="1058" customFormat="false" ht="15" hidden="false" customHeight="false" outlineLevel="0" collapsed="false">
      <c r="A1058" s="2" t="s">
        <v>464</v>
      </c>
      <c r="B1058" s="2" t="s">
        <v>47</v>
      </c>
      <c r="C1058" s="13" t="s">
        <v>2569</v>
      </c>
      <c r="D1058" s="35" t="n">
        <v>250972</v>
      </c>
      <c r="E1058" s="2" t="s">
        <v>670</v>
      </c>
      <c r="F1058" s="36" t="n">
        <v>0.609848907447843</v>
      </c>
      <c r="G1058" s="31" t="n">
        <v>16.7</v>
      </c>
      <c r="H1058" s="37" t="n">
        <v>0.0677115240623511</v>
      </c>
      <c r="I1058" s="31" t="n">
        <v>43.4</v>
      </c>
      <c r="J1058" s="2" t="s">
        <v>2701</v>
      </c>
      <c r="K1058" s="38" t="n">
        <v>0.0863301559792028</v>
      </c>
      <c r="L1058" s="31" t="n">
        <v>47.8</v>
      </c>
      <c r="M1058" s="39" t="s">
        <v>671</v>
      </c>
      <c r="N1058" s="2" t="s">
        <v>19</v>
      </c>
      <c r="O1058" s="2" t="s">
        <v>19</v>
      </c>
      <c r="P1058" s="2" t="s">
        <v>19</v>
      </c>
      <c r="Q1058" s="2" t="s">
        <v>19</v>
      </c>
    </row>
    <row r="1059" customFormat="false" ht="15" hidden="false" customHeight="false" outlineLevel="0" collapsed="false">
      <c r="A1059" s="2" t="s">
        <v>929</v>
      </c>
      <c r="B1059" s="2" t="s">
        <v>45</v>
      </c>
      <c r="C1059" s="13" t="s">
        <v>930</v>
      </c>
      <c r="D1059" s="35" t="n">
        <v>289008</v>
      </c>
      <c r="E1059" s="2" t="s">
        <v>670</v>
      </c>
      <c r="F1059" s="36" t="n">
        <v>0.810050240823783</v>
      </c>
      <c r="G1059" s="31" t="n">
        <v>65</v>
      </c>
      <c r="H1059" s="37" t="n">
        <v>0.1548494341794</v>
      </c>
      <c r="I1059" s="31" t="n">
        <v>80.4</v>
      </c>
      <c r="J1059" s="2" t="s">
        <v>2698</v>
      </c>
      <c r="K1059" s="38" t="n">
        <v>0.112168558196346</v>
      </c>
      <c r="L1059" s="31" t="n">
        <v>40.6</v>
      </c>
      <c r="M1059" s="39" t="s">
        <v>671</v>
      </c>
      <c r="N1059" s="2" t="s">
        <v>19</v>
      </c>
      <c r="O1059" s="2" t="s">
        <v>19</v>
      </c>
      <c r="P1059" s="2" t="s">
        <v>19</v>
      </c>
      <c r="Q1059" s="2" t="s">
        <v>19</v>
      </c>
    </row>
    <row r="1060" customFormat="false" ht="15" hidden="false" customHeight="false" outlineLevel="0" collapsed="false">
      <c r="A1060" s="2" t="s">
        <v>929</v>
      </c>
      <c r="B1060" s="2" t="s">
        <v>46</v>
      </c>
      <c r="C1060" s="14" t="s">
        <v>2969</v>
      </c>
      <c r="D1060" s="40" t="n">
        <v>419760</v>
      </c>
      <c r="E1060" s="2" t="s">
        <v>670</v>
      </c>
      <c r="F1060" s="41" t="n">
        <v>6.0780279207166</v>
      </c>
      <c r="G1060" s="31" t="n">
        <v>81.4</v>
      </c>
      <c r="H1060" s="42" t="n">
        <v>0.0725948639325412</v>
      </c>
      <c r="I1060" s="31" t="n">
        <v>46.4</v>
      </c>
      <c r="J1060" s="2" t="s">
        <v>2705</v>
      </c>
      <c r="K1060" s="33"/>
      <c r="L1060" s="31"/>
      <c r="M1060" s="34" t="s">
        <v>668</v>
      </c>
      <c r="N1060" s="2" t="s">
        <v>21</v>
      </c>
      <c r="O1060" s="2" t="s">
        <v>21</v>
      </c>
      <c r="P1060" s="2" t="s">
        <v>21</v>
      </c>
      <c r="Q1060" s="2"/>
    </row>
    <row r="1061" customFormat="false" ht="15" hidden="false" customHeight="false" outlineLevel="0" collapsed="false">
      <c r="A1061" s="2" t="s">
        <v>929</v>
      </c>
      <c r="B1061" s="2" t="s">
        <v>47</v>
      </c>
      <c r="C1061" s="13" t="s">
        <v>2350</v>
      </c>
      <c r="D1061" s="35" t="n">
        <v>179474</v>
      </c>
      <c r="E1061" s="2" t="s">
        <v>670</v>
      </c>
      <c r="F1061" s="36" t="n">
        <v>1.15033375307844</v>
      </c>
      <c r="G1061" s="31" t="n">
        <v>46.2</v>
      </c>
      <c r="H1061" s="37" t="n">
        <v>0.130231620842097</v>
      </c>
      <c r="I1061" s="31" t="n">
        <v>71.7</v>
      </c>
      <c r="J1061" s="2" t="s">
        <v>2701</v>
      </c>
      <c r="K1061" s="38" t="n">
        <v>0.161634349030471</v>
      </c>
      <c r="L1061" s="31" t="n">
        <v>73.5</v>
      </c>
      <c r="M1061" s="39" t="s">
        <v>671</v>
      </c>
      <c r="N1061" s="2" t="s">
        <v>19</v>
      </c>
      <c r="O1061" s="2" t="s">
        <v>19</v>
      </c>
      <c r="P1061" s="2" t="s">
        <v>19</v>
      </c>
      <c r="Q1061" s="2" t="s">
        <v>19</v>
      </c>
    </row>
    <row r="1062" customFormat="false" ht="15" hidden="false" customHeight="false" outlineLevel="0" collapsed="false">
      <c r="A1062" s="2" t="s">
        <v>494</v>
      </c>
      <c r="B1062" s="2" t="s">
        <v>46</v>
      </c>
      <c r="C1062" s="13" t="s">
        <v>1755</v>
      </c>
      <c r="D1062" s="35" t="n">
        <v>30485</v>
      </c>
      <c r="E1062" s="2" t="s">
        <v>667</v>
      </c>
      <c r="F1062" s="36" t="n">
        <v>2.42174840085288</v>
      </c>
      <c r="G1062" s="31" t="n">
        <v>36.6</v>
      </c>
      <c r="H1062" s="37" t="n">
        <v>0.172184411889107</v>
      </c>
      <c r="I1062" s="31" t="n">
        <v>86.7</v>
      </c>
      <c r="J1062" s="2" t="s">
        <v>2700</v>
      </c>
      <c r="K1062" s="38" t="n">
        <v>0.110146500271297</v>
      </c>
      <c r="L1062" s="31" t="n">
        <v>36.3</v>
      </c>
      <c r="M1062" s="39" t="s">
        <v>671</v>
      </c>
      <c r="N1062" s="2" t="s">
        <v>19</v>
      </c>
      <c r="O1062" s="2" t="s">
        <v>19</v>
      </c>
      <c r="P1062" s="2" t="s">
        <v>19</v>
      </c>
      <c r="Q1062" s="2" t="s">
        <v>19</v>
      </c>
    </row>
    <row r="1063" customFormat="false" ht="15" hidden="false" customHeight="false" outlineLevel="0" collapsed="false">
      <c r="A1063" s="2" t="s">
        <v>284</v>
      </c>
      <c r="B1063" s="2" t="s">
        <v>47</v>
      </c>
      <c r="C1063" s="13" t="s">
        <v>2244</v>
      </c>
      <c r="D1063" s="35" t="n">
        <v>63906</v>
      </c>
      <c r="E1063" s="2" t="s">
        <v>667</v>
      </c>
      <c r="F1063" s="36" t="n">
        <v>1.52370669420712</v>
      </c>
      <c r="G1063" s="31" t="n">
        <v>59.9</v>
      </c>
      <c r="H1063" s="37" t="n">
        <v>-0.0257934693130888</v>
      </c>
      <c r="I1063" s="31" t="n">
        <v>6.4</v>
      </c>
      <c r="J1063" s="2" t="s">
        <v>2697</v>
      </c>
      <c r="K1063" s="38" t="n">
        <v>0.0264999255620069</v>
      </c>
      <c r="L1063" s="31" t="n">
        <v>16.2</v>
      </c>
      <c r="M1063" s="39" t="s">
        <v>671</v>
      </c>
      <c r="N1063" s="2" t="s">
        <v>19</v>
      </c>
      <c r="O1063" s="2" t="s">
        <v>19</v>
      </c>
      <c r="P1063" s="2" t="s">
        <v>19</v>
      </c>
      <c r="Q1063" s="2" t="s">
        <v>19</v>
      </c>
    </row>
    <row r="1064" customFormat="false" ht="15" hidden="false" customHeight="false" outlineLevel="0" collapsed="false">
      <c r="A1064" s="2" t="s">
        <v>1767</v>
      </c>
      <c r="B1064" s="2" t="s">
        <v>45</v>
      </c>
      <c r="C1064" s="14" t="s">
        <v>2970</v>
      </c>
      <c r="D1064" s="40" t="n">
        <v>216500</v>
      </c>
      <c r="E1064" s="2" t="s">
        <v>670</v>
      </c>
      <c r="F1064" s="30"/>
      <c r="G1064" s="31"/>
      <c r="H1064" s="42" t="n">
        <v>0.120484421902495</v>
      </c>
      <c r="I1064" s="31" t="n">
        <v>66.7</v>
      </c>
      <c r="J1064" s="2" t="s">
        <v>2698</v>
      </c>
      <c r="K1064" s="43" t="n">
        <v>0.289553461696026</v>
      </c>
      <c r="L1064" s="31" t="n">
        <v>89.2</v>
      </c>
      <c r="M1064" s="34" t="s">
        <v>668</v>
      </c>
      <c r="N1064" s="2" t="s">
        <v>21</v>
      </c>
      <c r="O1064" s="2"/>
      <c r="P1064" s="2" t="s">
        <v>21</v>
      </c>
      <c r="Q1064" s="2" t="s">
        <v>21</v>
      </c>
    </row>
    <row r="1065" customFormat="false" ht="15" hidden="false" customHeight="false" outlineLevel="0" collapsed="false">
      <c r="A1065" s="2" t="s">
        <v>1767</v>
      </c>
      <c r="B1065" s="2" t="s">
        <v>46</v>
      </c>
      <c r="C1065" s="13" t="s">
        <v>1768</v>
      </c>
      <c r="D1065" s="35" t="n">
        <v>207067</v>
      </c>
      <c r="E1065" s="2" t="s">
        <v>670</v>
      </c>
      <c r="F1065" s="36" t="n">
        <v>2.37428465182767</v>
      </c>
      <c r="G1065" s="31" t="n">
        <v>34.7</v>
      </c>
      <c r="H1065" s="37" t="n">
        <v>0.0699146412037037</v>
      </c>
      <c r="I1065" s="31" t="n">
        <v>43</v>
      </c>
      <c r="J1065" s="2" t="s">
        <v>2705</v>
      </c>
      <c r="K1065" s="38" t="n">
        <v>0.14917077942288</v>
      </c>
      <c r="L1065" s="31" t="n">
        <v>57</v>
      </c>
      <c r="M1065" s="39" t="s">
        <v>671</v>
      </c>
      <c r="N1065" s="2" t="s">
        <v>19</v>
      </c>
      <c r="O1065" s="2" t="s">
        <v>19</v>
      </c>
      <c r="P1065" s="2" t="s">
        <v>19</v>
      </c>
      <c r="Q1065" s="2" t="s">
        <v>19</v>
      </c>
    </row>
    <row r="1066" customFormat="false" ht="15" hidden="false" customHeight="false" outlineLevel="0" collapsed="false">
      <c r="A1066" s="2" t="s">
        <v>1767</v>
      </c>
      <c r="B1066" s="2" t="s">
        <v>47</v>
      </c>
      <c r="C1066" s="13" t="s">
        <v>2293</v>
      </c>
      <c r="D1066" s="35" t="n">
        <v>160207</v>
      </c>
      <c r="E1066" s="2" t="s">
        <v>670</v>
      </c>
      <c r="F1066" s="36" t="n">
        <v>1.33731360052932</v>
      </c>
      <c r="G1066" s="31" t="n">
        <v>53.6</v>
      </c>
      <c r="H1066" s="37" t="n">
        <v>0.02972708925197</v>
      </c>
      <c r="I1066" s="31" t="n">
        <v>26.5</v>
      </c>
      <c r="J1066" s="2" t="s">
        <v>2701</v>
      </c>
      <c r="K1066" s="38" t="n">
        <v>0.039028384279476</v>
      </c>
      <c r="L1066" s="31" t="n">
        <v>25</v>
      </c>
      <c r="M1066" s="39" t="s">
        <v>671</v>
      </c>
      <c r="N1066" s="2" t="s">
        <v>19</v>
      </c>
      <c r="O1066" s="2" t="s">
        <v>19</v>
      </c>
      <c r="P1066" s="2" t="s">
        <v>19</v>
      </c>
      <c r="Q1066" s="2" t="s">
        <v>19</v>
      </c>
    </row>
    <row r="1067" customFormat="false" ht="15" hidden="false" customHeight="false" outlineLevel="0" collapsed="false">
      <c r="A1067" s="2" t="s">
        <v>1307</v>
      </c>
      <c r="B1067" s="2" t="s">
        <v>45</v>
      </c>
      <c r="C1067" s="14" t="s">
        <v>1308</v>
      </c>
      <c r="D1067" s="40" t="n">
        <v>52900</v>
      </c>
      <c r="E1067" s="2" t="s">
        <v>667</v>
      </c>
      <c r="F1067" s="41" t="n">
        <v>0.234952741020794</v>
      </c>
      <c r="G1067" s="31" t="n">
        <v>12.2</v>
      </c>
      <c r="H1067" s="42" t="n">
        <v>0.0676084762865792</v>
      </c>
      <c r="I1067" s="31" t="n">
        <v>35.3</v>
      </c>
      <c r="J1067" s="2" t="s">
        <v>2704</v>
      </c>
      <c r="K1067" s="43" t="n">
        <v>0.197802197802198</v>
      </c>
      <c r="L1067" s="31" t="n">
        <v>69.9</v>
      </c>
      <c r="M1067" s="39" t="s">
        <v>671</v>
      </c>
      <c r="N1067" s="2" t="s">
        <v>21</v>
      </c>
      <c r="O1067" s="2" t="s">
        <v>21</v>
      </c>
      <c r="P1067" s="2" t="s">
        <v>21</v>
      </c>
      <c r="Q1067" s="2" t="s">
        <v>21</v>
      </c>
    </row>
    <row r="1068" customFormat="false" ht="15" hidden="false" customHeight="false" outlineLevel="0" collapsed="false">
      <c r="A1068" s="2" t="s">
        <v>1307</v>
      </c>
      <c r="B1068" s="2" t="s">
        <v>46</v>
      </c>
      <c r="C1068" s="16"/>
      <c r="D1068" s="29"/>
      <c r="E1068" s="2"/>
      <c r="F1068" s="30"/>
      <c r="G1068" s="31"/>
      <c r="H1068" s="32"/>
      <c r="I1068" s="31"/>
      <c r="J1068" s="2"/>
      <c r="K1068" s="33"/>
      <c r="L1068" s="31"/>
      <c r="M1068" s="34" t="s">
        <v>668</v>
      </c>
      <c r="N1068" s="2"/>
      <c r="O1068" s="2"/>
      <c r="P1068" s="2"/>
      <c r="Q1068" s="2"/>
    </row>
    <row r="1069" customFormat="false" ht="15" hidden="false" customHeight="false" outlineLevel="0" collapsed="false">
      <c r="A1069" s="2" t="s">
        <v>1307</v>
      </c>
      <c r="B1069" s="2" t="s">
        <v>47</v>
      </c>
      <c r="C1069" s="13" t="s">
        <v>2029</v>
      </c>
      <c r="D1069" s="35" t="n">
        <v>21535</v>
      </c>
      <c r="E1069" s="2" t="s">
        <v>667</v>
      </c>
      <c r="F1069" s="36" t="n">
        <v>3.27856977014163</v>
      </c>
      <c r="G1069" s="31" t="n">
        <v>90.5</v>
      </c>
      <c r="H1069" s="37" t="n">
        <v>0.191556465445693</v>
      </c>
      <c r="I1069" s="31" t="n">
        <v>91.8</v>
      </c>
      <c r="J1069" s="2" t="s">
        <v>2697</v>
      </c>
      <c r="K1069" s="38" t="n">
        <v>0.0812121212121212</v>
      </c>
      <c r="L1069" s="31" t="n">
        <v>44.6</v>
      </c>
      <c r="M1069" s="39" t="s">
        <v>671</v>
      </c>
      <c r="N1069" s="2" t="s">
        <v>19</v>
      </c>
      <c r="O1069" s="2" t="s">
        <v>19</v>
      </c>
      <c r="P1069" s="2" t="s">
        <v>19</v>
      </c>
      <c r="Q1069" s="2" t="s">
        <v>19</v>
      </c>
    </row>
    <row r="1070" customFormat="false" ht="15" hidden="false" customHeight="false" outlineLevel="0" collapsed="false">
      <c r="A1070" s="2" t="s">
        <v>1403</v>
      </c>
      <c r="B1070" s="2" t="s">
        <v>46</v>
      </c>
      <c r="C1070" s="13" t="s">
        <v>1404</v>
      </c>
      <c r="D1070" s="35" t="n">
        <v>59329</v>
      </c>
      <c r="E1070" s="2" t="s">
        <v>667</v>
      </c>
      <c r="F1070" s="36" t="n">
        <v>9.83279677729272</v>
      </c>
      <c r="G1070" s="31" t="n">
        <v>96</v>
      </c>
      <c r="H1070" s="37" t="n">
        <v>0.0349044097125314</v>
      </c>
      <c r="I1070" s="31" t="n">
        <v>22.8</v>
      </c>
      <c r="J1070" s="2" t="s">
        <v>2700</v>
      </c>
      <c r="K1070" s="38" t="n">
        <v>0.237462494642092</v>
      </c>
      <c r="L1070" s="31" t="n">
        <v>80.1</v>
      </c>
      <c r="M1070" s="39" t="s">
        <v>671</v>
      </c>
      <c r="N1070" s="2" t="s">
        <v>19</v>
      </c>
      <c r="O1070" s="2" t="s">
        <v>19</v>
      </c>
      <c r="P1070" s="2" t="s">
        <v>19</v>
      </c>
      <c r="Q1070" s="2" t="s">
        <v>19</v>
      </c>
    </row>
    <row r="1071" customFormat="false" ht="15" hidden="false" customHeight="false" outlineLevel="0" collapsed="false">
      <c r="A1071" s="2" t="s">
        <v>1403</v>
      </c>
      <c r="B1071" s="2" t="s">
        <v>47</v>
      </c>
      <c r="C1071" s="14" t="s">
        <v>2971</v>
      </c>
      <c r="D1071" s="40" t="n">
        <v>26340</v>
      </c>
      <c r="E1071" s="2" t="s">
        <v>667</v>
      </c>
      <c r="F1071" s="41" t="n">
        <v>1.19111617312073</v>
      </c>
      <c r="G1071" s="31" t="n">
        <v>48.9</v>
      </c>
      <c r="H1071" s="32"/>
      <c r="I1071" s="31"/>
      <c r="J1071" s="2"/>
      <c r="K1071" s="43" t="n">
        <v>0.0277551020408163</v>
      </c>
      <c r="L1071" s="31" t="n">
        <v>17.3</v>
      </c>
      <c r="M1071" s="34" t="s">
        <v>668</v>
      </c>
      <c r="N1071" s="2" t="s">
        <v>21</v>
      </c>
      <c r="O1071" s="2" t="s">
        <v>21</v>
      </c>
      <c r="P1071" s="2"/>
      <c r="Q1071" s="2" t="s">
        <v>21</v>
      </c>
    </row>
    <row r="1072" customFormat="false" ht="15" hidden="false" customHeight="false" outlineLevel="0" collapsed="false">
      <c r="A1072" s="2" t="s">
        <v>1394</v>
      </c>
      <c r="B1072" s="2" t="s">
        <v>45</v>
      </c>
      <c r="C1072" s="14" t="s">
        <v>2972</v>
      </c>
      <c r="D1072" s="40" t="n">
        <v>145410</v>
      </c>
      <c r="E1072" s="2" t="s">
        <v>670</v>
      </c>
      <c r="F1072" s="41" t="n">
        <v>0.64987965064301</v>
      </c>
      <c r="G1072" s="31" t="n">
        <v>54.1</v>
      </c>
      <c r="H1072" s="42" t="n">
        <v>0.160217027048592</v>
      </c>
      <c r="I1072" s="31" t="n">
        <v>84.8</v>
      </c>
      <c r="J1072" s="2" t="s">
        <v>2698</v>
      </c>
      <c r="K1072" s="33"/>
      <c r="L1072" s="31"/>
      <c r="M1072" s="34" t="s">
        <v>668</v>
      </c>
      <c r="N1072" s="2" t="s">
        <v>21</v>
      </c>
      <c r="O1072" s="2" t="s">
        <v>21</v>
      </c>
      <c r="P1072" s="2" t="s">
        <v>21</v>
      </c>
      <c r="Q1072" s="2"/>
    </row>
    <row r="1073" customFormat="false" ht="15" hidden="false" customHeight="false" outlineLevel="0" collapsed="false">
      <c r="A1073" s="2" t="s">
        <v>1394</v>
      </c>
      <c r="B1073" s="2" t="s">
        <v>46</v>
      </c>
      <c r="C1073" s="13" t="s">
        <v>1395</v>
      </c>
      <c r="D1073" s="35" t="n">
        <v>33881</v>
      </c>
      <c r="E1073" s="2" t="s">
        <v>667</v>
      </c>
      <c r="F1073" s="36" t="n">
        <v>10.3777928632567</v>
      </c>
      <c r="G1073" s="31" t="n">
        <v>97</v>
      </c>
      <c r="H1073" s="37" t="n">
        <v>0.0735424588086185</v>
      </c>
      <c r="I1073" s="31" t="n">
        <v>41.5</v>
      </c>
      <c r="J1073" s="2" t="s">
        <v>2700</v>
      </c>
      <c r="K1073" s="38" t="n">
        <v>0.12736642827093</v>
      </c>
      <c r="L1073" s="31" t="n">
        <v>48.2</v>
      </c>
      <c r="M1073" s="39" t="s">
        <v>671</v>
      </c>
      <c r="N1073" s="2" t="s">
        <v>19</v>
      </c>
      <c r="O1073" s="2" t="s">
        <v>19</v>
      </c>
      <c r="P1073" s="2" t="s">
        <v>19</v>
      </c>
      <c r="Q1073" s="2" t="s">
        <v>19</v>
      </c>
    </row>
    <row r="1074" customFormat="false" ht="15" hidden="false" customHeight="false" outlineLevel="0" collapsed="false">
      <c r="A1074" s="2" t="s">
        <v>1394</v>
      </c>
      <c r="B1074" s="2" t="s">
        <v>47</v>
      </c>
      <c r="C1074" s="13" t="s">
        <v>2015</v>
      </c>
      <c r="D1074" s="35" t="n">
        <v>28508</v>
      </c>
      <c r="E1074" s="2" t="s">
        <v>667</v>
      </c>
      <c r="F1074" s="36" t="n">
        <v>3.50438473410972</v>
      </c>
      <c r="G1074" s="31" t="n">
        <v>92.4</v>
      </c>
      <c r="H1074" s="37" t="n">
        <v>0.00731422917918095</v>
      </c>
      <c r="I1074" s="31" t="n">
        <v>12.8</v>
      </c>
      <c r="J1074" s="2" t="s">
        <v>2697</v>
      </c>
      <c r="K1074" s="38" t="n">
        <v>0.133462282398453</v>
      </c>
      <c r="L1074" s="31" t="n">
        <v>66.7</v>
      </c>
      <c r="M1074" s="39" t="s">
        <v>671</v>
      </c>
      <c r="N1074" s="2" t="s">
        <v>19</v>
      </c>
      <c r="O1074" s="2" t="s">
        <v>19</v>
      </c>
      <c r="P1074" s="2" t="s">
        <v>19</v>
      </c>
      <c r="Q1074" s="2" t="s">
        <v>19</v>
      </c>
    </row>
    <row r="1075" customFormat="false" ht="15" hidden="false" customHeight="false" outlineLevel="0" collapsed="false">
      <c r="A1075" s="2" t="s">
        <v>1471</v>
      </c>
      <c r="B1075" s="2" t="s">
        <v>45</v>
      </c>
      <c r="C1075" s="14" t="s">
        <v>2973</v>
      </c>
      <c r="D1075" s="40" t="n">
        <v>36950</v>
      </c>
      <c r="E1075" s="2" t="s">
        <v>667</v>
      </c>
      <c r="F1075" s="41" t="n">
        <v>0.290581867388363</v>
      </c>
      <c r="G1075" s="31" t="n">
        <v>17.7</v>
      </c>
      <c r="H1075" s="32"/>
      <c r="I1075" s="31"/>
      <c r="J1075" s="2"/>
      <c r="K1075" s="43" t="n">
        <v>0.153571428571429</v>
      </c>
      <c r="L1075" s="31" t="n">
        <v>56.6</v>
      </c>
      <c r="M1075" s="34" t="s">
        <v>668</v>
      </c>
      <c r="N1075" s="2" t="s">
        <v>21</v>
      </c>
      <c r="O1075" s="2" t="s">
        <v>21</v>
      </c>
      <c r="P1075" s="2"/>
      <c r="Q1075" s="2" t="s">
        <v>21</v>
      </c>
    </row>
    <row r="1076" customFormat="false" ht="15" hidden="false" customHeight="false" outlineLevel="0" collapsed="false">
      <c r="A1076" s="2" t="s">
        <v>1471</v>
      </c>
      <c r="B1076" s="2" t="s">
        <v>46</v>
      </c>
      <c r="C1076" s="13" t="s">
        <v>1472</v>
      </c>
      <c r="D1076" s="35" t="n">
        <v>374713</v>
      </c>
      <c r="E1076" s="2" t="s">
        <v>670</v>
      </c>
      <c r="F1076" s="36" t="n">
        <v>6.79761844398246</v>
      </c>
      <c r="G1076" s="31" t="n">
        <v>85.4</v>
      </c>
      <c r="H1076" s="37" t="n">
        <v>0.0930568358167159</v>
      </c>
      <c r="I1076" s="31" t="n">
        <v>58.9</v>
      </c>
      <c r="J1076" s="2" t="s">
        <v>2705</v>
      </c>
      <c r="K1076" s="38" t="n">
        <v>0.307046196920205</v>
      </c>
      <c r="L1076" s="31" t="n">
        <v>92.2</v>
      </c>
      <c r="M1076" s="39" t="s">
        <v>671</v>
      </c>
      <c r="N1076" s="2" t="s">
        <v>19</v>
      </c>
      <c r="O1076" s="2" t="s">
        <v>19</v>
      </c>
      <c r="P1076" s="2" t="s">
        <v>19</v>
      </c>
      <c r="Q1076" s="2" t="s">
        <v>19</v>
      </c>
    </row>
    <row r="1077" customFormat="false" ht="15" hidden="false" customHeight="false" outlineLevel="0" collapsed="false">
      <c r="A1077" s="2" t="s">
        <v>1471</v>
      </c>
      <c r="B1077" s="2" t="s">
        <v>47</v>
      </c>
      <c r="C1077" s="13" t="s">
        <v>2490</v>
      </c>
      <c r="D1077" s="35" t="n">
        <v>44419</v>
      </c>
      <c r="E1077" s="2" t="s">
        <v>667</v>
      </c>
      <c r="F1077" s="36" t="n">
        <v>0.821045048290146</v>
      </c>
      <c r="G1077" s="31" t="n">
        <v>27.4</v>
      </c>
      <c r="H1077" s="37" t="n">
        <v>0.0759634716469249</v>
      </c>
      <c r="I1077" s="31" t="n">
        <v>42.6</v>
      </c>
      <c r="J1077" s="2" t="s">
        <v>2697</v>
      </c>
      <c r="K1077" s="38" t="n">
        <v>0.0638621388748099</v>
      </c>
      <c r="L1077" s="31" t="n">
        <v>37.7</v>
      </c>
      <c r="M1077" s="39" t="s">
        <v>671</v>
      </c>
      <c r="N1077" s="2" t="s">
        <v>19</v>
      </c>
      <c r="O1077" s="2" t="s">
        <v>19</v>
      </c>
      <c r="P1077" s="2" t="s">
        <v>19</v>
      </c>
      <c r="Q1077" s="2" t="s">
        <v>19</v>
      </c>
    </row>
    <row r="1078" customFormat="false" ht="15" hidden="false" customHeight="false" outlineLevel="0" collapsed="false">
      <c r="A1078" s="2" t="s">
        <v>2974</v>
      </c>
      <c r="B1078" s="2" t="s">
        <v>45</v>
      </c>
      <c r="C1078" s="16"/>
      <c r="D1078" s="29"/>
      <c r="E1078" s="2"/>
      <c r="F1078" s="30"/>
      <c r="G1078" s="31"/>
      <c r="H1078" s="32"/>
      <c r="I1078" s="31"/>
      <c r="J1078" s="2"/>
      <c r="K1078" s="33"/>
      <c r="L1078" s="31"/>
      <c r="M1078" s="34" t="s">
        <v>668</v>
      </c>
      <c r="N1078" s="2"/>
      <c r="O1078" s="2"/>
      <c r="P1078" s="2"/>
      <c r="Q1078" s="2"/>
    </row>
    <row r="1079" customFormat="false" ht="15" hidden="false" customHeight="false" outlineLevel="0" collapsed="false">
      <c r="A1079" s="2" t="s">
        <v>2974</v>
      </c>
      <c r="B1079" s="2" t="s">
        <v>46</v>
      </c>
      <c r="C1079" s="14" t="s">
        <v>2975</v>
      </c>
      <c r="D1079" s="40" t="n">
        <v>16490</v>
      </c>
      <c r="E1079" s="2" t="s">
        <v>667</v>
      </c>
      <c r="F1079" s="41" t="n">
        <v>2.92540933899333</v>
      </c>
      <c r="G1079" s="31" t="n">
        <v>46.1</v>
      </c>
      <c r="H1079" s="32"/>
      <c r="I1079" s="31"/>
      <c r="J1079" s="2"/>
      <c r="K1079" s="43" t="n">
        <v>0.186261558784676</v>
      </c>
      <c r="L1079" s="31" t="n">
        <v>68.4</v>
      </c>
      <c r="M1079" s="34" t="s">
        <v>668</v>
      </c>
      <c r="N1079" s="2" t="s">
        <v>21</v>
      </c>
      <c r="O1079" s="2" t="s">
        <v>21</v>
      </c>
      <c r="P1079" s="2"/>
      <c r="Q1079" s="2" t="s">
        <v>21</v>
      </c>
    </row>
    <row r="1080" customFormat="false" ht="15" hidden="false" customHeight="false" outlineLevel="0" collapsed="false">
      <c r="A1080" s="2" t="s">
        <v>2974</v>
      </c>
      <c r="B1080" s="2" t="s">
        <v>47</v>
      </c>
      <c r="C1080" s="16"/>
      <c r="D1080" s="29"/>
      <c r="E1080" s="2"/>
      <c r="F1080" s="30"/>
      <c r="G1080" s="31"/>
      <c r="H1080" s="32"/>
      <c r="I1080" s="31"/>
      <c r="J1080" s="2"/>
      <c r="K1080" s="33"/>
      <c r="L1080" s="31"/>
      <c r="M1080" s="34" t="s">
        <v>668</v>
      </c>
      <c r="N1080" s="2"/>
      <c r="O1080" s="2"/>
      <c r="P1080" s="2"/>
      <c r="Q1080" s="2"/>
    </row>
    <row r="1081" customFormat="false" ht="15" hidden="false" customHeight="false" outlineLevel="0" collapsed="false">
      <c r="A1081" s="2" t="s">
        <v>582</v>
      </c>
      <c r="B1081" s="2" t="s">
        <v>45</v>
      </c>
      <c r="C1081" s="13" t="s">
        <v>1347</v>
      </c>
      <c r="D1081" s="35" t="n">
        <v>57137</v>
      </c>
      <c r="E1081" s="2" t="s">
        <v>667</v>
      </c>
      <c r="F1081" s="36" t="n">
        <v>0.155415930132839</v>
      </c>
      <c r="G1081" s="31" t="n">
        <v>4.9</v>
      </c>
      <c r="H1081" s="37" t="n">
        <v>0.172690515772838</v>
      </c>
      <c r="I1081" s="31" t="n">
        <v>85.7</v>
      </c>
      <c r="J1081" s="2" t="s">
        <v>2704</v>
      </c>
      <c r="K1081" s="38" t="n">
        <v>0.0437601296596434</v>
      </c>
      <c r="L1081" s="31" t="n">
        <v>11.3</v>
      </c>
      <c r="M1081" s="39" t="s">
        <v>671</v>
      </c>
      <c r="N1081" s="2" t="s">
        <v>19</v>
      </c>
      <c r="O1081" s="2" t="s">
        <v>19</v>
      </c>
      <c r="P1081" s="2" t="s">
        <v>19</v>
      </c>
      <c r="Q1081" s="2" t="s">
        <v>19</v>
      </c>
    </row>
    <row r="1082" customFormat="false" ht="15" hidden="false" customHeight="false" outlineLevel="0" collapsed="false">
      <c r="A1082" s="2" t="s">
        <v>582</v>
      </c>
      <c r="B1082" s="2" t="s">
        <v>47</v>
      </c>
      <c r="C1082" s="13" t="s">
        <v>2382</v>
      </c>
      <c r="D1082" s="35" t="n">
        <v>78842</v>
      </c>
      <c r="E1082" s="2" t="s">
        <v>667</v>
      </c>
      <c r="F1082" s="36" t="n">
        <v>1.05805281448974</v>
      </c>
      <c r="G1082" s="31" t="n">
        <v>41.3</v>
      </c>
      <c r="H1082" s="37" t="n">
        <v>0.153065403065403</v>
      </c>
      <c r="I1082" s="31" t="n">
        <v>78.7</v>
      </c>
      <c r="J1082" s="2" t="s">
        <v>2697</v>
      </c>
      <c r="K1082" s="38" t="n">
        <v>0.225161488772685</v>
      </c>
      <c r="L1082" s="31" t="n">
        <v>88.2</v>
      </c>
      <c r="M1082" s="39" t="s">
        <v>671</v>
      </c>
      <c r="N1082" s="2" t="s">
        <v>19</v>
      </c>
      <c r="O1082" s="2" t="s">
        <v>19</v>
      </c>
      <c r="P1082" s="2" t="s">
        <v>19</v>
      </c>
      <c r="Q1082" s="2" t="s">
        <v>19</v>
      </c>
    </row>
    <row r="1083" customFormat="false" ht="15" hidden="false" customHeight="false" outlineLevel="0" collapsed="false">
      <c r="A1083" s="2" t="s">
        <v>1197</v>
      </c>
      <c r="B1083" s="2" t="s">
        <v>45</v>
      </c>
      <c r="C1083" s="14" t="s">
        <v>1198</v>
      </c>
      <c r="D1083" s="40" t="n">
        <v>96890</v>
      </c>
      <c r="E1083" s="2" t="s">
        <v>667</v>
      </c>
      <c r="F1083" s="41" t="n">
        <v>0.391268448756322</v>
      </c>
      <c r="G1083" s="31" t="n">
        <v>28.6</v>
      </c>
      <c r="H1083" s="42" t="n">
        <v>0.171442389070245</v>
      </c>
      <c r="I1083" s="31" t="n">
        <v>85.3</v>
      </c>
      <c r="J1083" s="2" t="s">
        <v>2704</v>
      </c>
      <c r="K1083" s="43" t="n">
        <v>0.0933293448997906</v>
      </c>
      <c r="L1083" s="31" t="n">
        <v>32.3</v>
      </c>
      <c r="M1083" s="39" t="s">
        <v>671</v>
      </c>
      <c r="N1083" s="2" t="s">
        <v>21</v>
      </c>
      <c r="O1083" s="2" t="s">
        <v>21</v>
      </c>
      <c r="P1083" s="2" t="s">
        <v>21</v>
      </c>
      <c r="Q1083" s="2" t="s">
        <v>21</v>
      </c>
    </row>
    <row r="1084" customFormat="false" ht="15" hidden="false" customHeight="false" outlineLevel="0" collapsed="false">
      <c r="A1084" s="2" t="s">
        <v>1197</v>
      </c>
      <c r="B1084" s="2" t="s">
        <v>46</v>
      </c>
      <c r="C1084" s="16"/>
      <c r="D1084" s="29"/>
      <c r="E1084" s="2"/>
      <c r="F1084" s="30"/>
      <c r="G1084" s="31"/>
      <c r="H1084" s="32"/>
      <c r="I1084" s="31"/>
      <c r="J1084" s="2"/>
      <c r="K1084" s="33"/>
      <c r="L1084" s="31"/>
      <c r="M1084" s="34" t="s">
        <v>668</v>
      </c>
      <c r="N1084" s="2"/>
      <c r="O1084" s="2"/>
      <c r="P1084" s="2"/>
      <c r="Q1084" s="2"/>
    </row>
    <row r="1085" customFormat="false" ht="15" hidden="false" customHeight="false" outlineLevel="0" collapsed="false">
      <c r="A1085" s="2" t="s">
        <v>1197</v>
      </c>
      <c r="B1085" s="2" t="s">
        <v>47</v>
      </c>
      <c r="C1085" s="13" t="s">
        <v>2030</v>
      </c>
      <c r="D1085" s="35" t="n">
        <v>850</v>
      </c>
      <c r="E1085" s="2" t="s">
        <v>678</v>
      </c>
      <c r="F1085" s="36" t="n">
        <v>3.26</v>
      </c>
      <c r="G1085" s="31" t="n">
        <v>90.3</v>
      </c>
      <c r="H1085" s="37" t="n">
        <v>0.14247311827957</v>
      </c>
      <c r="I1085" s="31" t="n">
        <v>73.3</v>
      </c>
      <c r="J1085" s="2" t="s">
        <v>2706</v>
      </c>
      <c r="K1085" s="38" t="n">
        <v>0.0492957746478873</v>
      </c>
      <c r="L1085" s="31" t="n">
        <v>31</v>
      </c>
      <c r="M1085" s="39" t="s">
        <v>671</v>
      </c>
      <c r="N1085" s="2" t="s">
        <v>19</v>
      </c>
      <c r="O1085" s="2" t="s">
        <v>19</v>
      </c>
      <c r="P1085" s="2" t="s">
        <v>19</v>
      </c>
      <c r="Q1085" s="2" t="s">
        <v>19</v>
      </c>
    </row>
    <row r="1086" customFormat="false" ht="15" hidden="false" customHeight="false" outlineLevel="0" collapsed="false">
      <c r="A1086" s="2" t="s">
        <v>1354</v>
      </c>
      <c r="B1086" s="2" t="s">
        <v>45</v>
      </c>
      <c r="C1086" s="13" t="s">
        <v>1355</v>
      </c>
      <c r="D1086" s="35" t="n">
        <v>51921</v>
      </c>
      <c r="E1086" s="2" t="s">
        <v>667</v>
      </c>
      <c r="F1086" s="36" t="n">
        <v>0.135340228423952</v>
      </c>
      <c r="G1086" s="31" t="n">
        <v>3.8</v>
      </c>
      <c r="H1086" s="37" t="n">
        <v>0.161933534743202</v>
      </c>
      <c r="I1086" s="31" t="n">
        <v>82.1</v>
      </c>
      <c r="J1086" s="2" t="s">
        <v>2704</v>
      </c>
      <c r="K1086" s="47" t="s">
        <v>680</v>
      </c>
      <c r="L1086" s="31"/>
      <c r="M1086" s="39" t="s">
        <v>671</v>
      </c>
      <c r="N1086" s="2" t="s">
        <v>19</v>
      </c>
      <c r="O1086" s="2" t="s">
        <v>19</v>
      </c>
      <c r="P1086" s="2" t="s">
        <v>19</v>
      </c>
      <c r="Q1086" s="2" t="s">
        <v>2715</v>
      </c>
    </row>
    <row r="1087" customFormat="false" ht="15" hidden="false" customHeight="false" outlineLevel="0" collapsed="false">
      <c r="A1087" s="2" t="s">
        <v>1354</v>
      </c>
      <c r="B1087" s="2" t="s">
        <v>46</v>
      </c>
      <c r="C1087" s="16"/>
      <c r="D1087" s="29"/>
      <c r="E1087" s="2"/>
      <c r="F1087" s="30"/>
      <c r="G1087" s="31"/>
      <c r="H1087" s="32"/>
      <c r="I1087" s="31"/>
      <c r="J1087" s="2"/>
      <c r="K1087" s="33"/>
      <c r="L1087" s="31"/>
      <c r="M1087" s="34" t="s">
        <v>668</v>
      </c>
      <c r="N1087" s="2"/>
      <c r="O1087" s="2"/>
      <c r="P1087" s="2"/>
      <c r="Q1087" s="2"/>
    </row>
    <row r="1088" customFormat="false" ht="15" hidden="false" customHeight="false" outlineLevel="0" collapsed="false">
      <c r="A1088" s="2" t="s">
        <v>1354</v>
      </c>
      <c r="B1088" s="2" t="s">
        <v>47</v>
      </c>
      <c r="C1088" s="13" t="s">
        <v>2288</v>
      </c>
      <c r="D1088" s="35" t="n">
        <v>36905</v>
      </c>
      <c r="E1088" s="2" t="s">
        <v>667</v>
      </c>
      <c r="F1088" s="36" t="n">
        <v>1.36046606150928</v>
      </c>
      <c r="G1088" s="31" t="n">
        <v>54.2</v>
      </c>
      <c r="H1088" s="37" t="n">
        <v>0.0377358490566038</v>
      </c>
      <c r="I1088" s="31" t="n">
        <v>25.2</v>
      </c>
      <c r="J1088" s="2" t="s">
        <v>2697</v>
      </c>
      <c r="K1088" s="38" t="n">
        <v>0.00422705314009662</v>
      </c>
      <c r="L1088" s="31" t="n">
        <v>4.2</v>
      </c>
      <c r="M1088" s="39" t="s">
        <v>671</v>
      </c>
      <c r="N1088" s="2" t="s">
        <v>19</v>
      </c>
      <c r="O1088" s="2" t="s">
        <v>19</v>
      </c>
      <c r="P1088" s="2" t="s">
        <v>19</v>
      </c>
      <c r="Q1088" s="2" t="s">
        <v>19</v>
      </c>
    </row>
    <row r="1089" customFormat="false" ht="15" hidden="false" customHeight="false" outlineLevel="0" collapsed="false">
      <c r="A1089" s="2" t="s">
        <v>2976</v>
      </c>
      <c r="B1089" s="2" t="s">
        <v>46</v>
      </c>
      <c r="C1089" s="16"/>
      <c r="D1089" s="29"/>
      <c r="E1089" s="2"/>
      <c r="F1089" s="30"/>
      <c r="G1089" s="31"/>
      <c r="H1089" s="32"/>
      <c r="I1089" s="31"/>
      <c r="J1089" s="2"/>
      <c r="K1089" s="33"/>
      <c r="L1089" s="31"/>
      <c r="M1089" s="34" t="s">
        <v>668</v>
      </c>
      <c r="N1089" s="2"/>
      <c r="O1089" s="2"/>
      <c r="P1089" s="2"/>
      <c r="Q1089" s="2"/>
    </row>
    <row r="1090" customFormat="false" ht="15" hidden="false" customHeight="false" outlineLevel="0" collapsed="false">
      <c r="A1090" s="2" t="s">
        <v>2377</v>
      </c>
      <c r="B1090" s="2" t="s">
        <v>45</v>
      </c>
      <c r="C1090" s="16"/>
      <c r="D1090" s="44" t="n">
        <v>8936</v>
      </c>
      <c r="E1090" s="2" t="s">
        <v>678</v>
      </c>
      <c r="F1090" s="30"/>
      <c r="G1090" s="31"/>
      <c r="H1090" s="46" t="n">
        <v>0.0807934204160619</v>
      </c>
      <c r="I1090" s="31" t="n">
        <v>50</v>
      </c>
      <c r="J1090" s="2" t="s">
        <v>2713</v>
      </c>
      <c r="K1090" s="33"/>
      <c r="L1090" s="31"/>
      <c r="M1090" s="34" t="s">
        <v>668</v>
      </c>
      <c r="N1090" s="2" t="s">
        <v>17</v>
      </c>
      <c r="O1090" s="2"/>
      <c r="P1090" s="2" t="s">
        <v>17</v>
      </c>
      <c r="Q1090" s="2"/>
    </row>
    <row r="1091" customFormat="false" ht="15" hidden="false" customHeight="false" outlineLevel="0" collapsed="false">
      <c r="A1091" s="2" t="s">
        <v>2377</v>
      </c>
      <c r="B1091" s="2" t="s">
        <v>46</v>
      </c>
      <c r="C1091" s="16"/>
      <c r="D1091" s="29"/>
      <c r="E1091" s="2"/>
      <c r="F1091" s="30"/>
      <c r="G1091" s="31"/>
      <c r="H1091" s="32"/>
      <c r="I1091" s="31"/>
      <c r="J1091" s="2"/>
      <c r="K1091" s="33"/>
      <c r="L1091" s="31"/>
      <c r="M1091" s="34" t="s">
        <v>668</v>
      </c>
      <c r="N1091" s="2"/>
      <c r="O1091" s="2"/>
      <c r="P1091" s="2"/>
      <c r="Q1091" s="2"/>
    </row>
    <row r="1092" customFormat="false" ht="15" hidden="false" customHeight="false" outlineLevel="0" collapsed="false">
      <c r="A1092" s="2" t="s">
        <v>2377</v>
      </c>
      <c r="B1092" s="2" t="s">
        <v>47</v>
      </c>
      <c r="C1092" s="13" t="s">
        <v>2378</v>
      </c>
      <c r="D1092" s="35" t="n">
        <v>40546</v>
      </c>
      <c r="E1092" s="2" t="s">
        <v>667</v>
      </c>
      <c r="F1092" s="36" t="n">
        <v>1.06964928722932</v>
      </c>
      <c r="G1092" s="31" t="n">
        <v>42</v>
      </c>
      <c r="H1092" s="37" t="n">
        <v>0.154170224879021</v>
      </c>
      <c r="I1092" s="31" t="n">
        <v>79.1</v>
      </c>
      <c r="J1092" s="2" t="s">
        <v>2697</v>
      </c>
      <c r="K1092" s="38" t="n">
        <v>0.0372372372372372</v>
      </c>
      <c r="L1092" s="31" t="n">
        <v>24.4</v>
      </c>
      <c r="M1092" s="39" t="s">
        <v>671</v>
      </c>
      <c r="N1092" s="2" t="s">
        <v>19</v>
      </c>
      <c r="O1092" s="2" t="s">
        <v>19</v>
      </c>
      <c r="P1092" s="2" t="s">
        <v>19</v>
      </c>
      <c r="Q1092" s="2" t="s">
        <v>19</v>
      </c>
    </row>
    <row r="1093" customFormat="false" ht="15" hidden="false" customHeight="false" outlineLevel="0" collapsed="false">
      <c r="A1093" s="2" t="s">
        <v>326</v>
      </c>
      <c r="B1093" s="2" t="s">
        <v>47</v>
      </c>
      <c r="C1093" s="13" t="s">
        <v>2277</v>
      </c>
      <c r="D1093" s="35" t="n">
        <v>937637</v>
      </c>
      <c r="E1093" s="2" t="s">
        <v>670</v>
      </c>
      <c r="F1093" s="36" t="n">
        <v>1.39895716572618</v>
      </c>
      <c r="G1093" s="31" t="n">
        <v>55.5</v>
      </c>
      <c r="H1093" s="37" t="n">
        <v>0.112502343329165</v>
      </c>
      <c r="I1093" s="31" t="n">
        <v>65.1</v>
      </c>
      <c r="J1093" s="2" t="s">
        <v>2701</v>
      </c>
      <c r="K1093" s="38" t="n">
        <v>0.0364445475540183</v>
      </c>
      <c r="L1093" s="31" t="n">
        <v>23.8</v>
      </c>
      <c r="M1093" s="39" t="s">
        <v>671</v>
      </c>
      <c r="N1093" s="2" t="s">
        <v>19</v>
      </c>
      <c r="O1093" s="2" t="s">
        <v>19</v>
      </c>
      <c r="P1093" s="2" t="s">
        <v>19</v>
      </c>
      <c r="Q1093" s="2" t="s">
        <v>19</v>
      </c>
    </row>
    <row r="1094" customFormat="false" ht="15" hidden="false" customHeight="false" outlineLevel="0" collapsed="false">
      <c r="A1094" s="2" t="s">
        <v>1501</v>
      </c>
      <c r="B1094" s="2" t="s">
        <v>45</v>
      </c>
      <c r="C1094" s="16"/>
      <c r="D1094" s="29"/>
      <c r="E1094" s="2"/>
      <c r="F1094" s="30"/>
      <c r="G1094" s="31"/>
      <c r="H1094" s="32"/>
      <c r="I1094" s="31"/>
      <c r="J1094" s="2"/>
      <c r="K1094" s="33"/>
      <c r="L1094" s="31"/>
      <c r="M1094" s="34" t="s">
        <v>668</v>
      </c>
      <c r="N1094" s="2"/>
      <c r="O1094" s="2"/>
      <c r="P1094" s="2"/>
      <c r="Q1094" s="2"/>
    </row>
    <row r="1095" customFormat="false" ht="15" hidden="false" customHeight="false" outlineLevel="0" collapsed="false">
      <c r="A1095" s="2" t="s">
        <v>1501</v>
      </c>
      <c r="B1095" s="2" t="s">
        <v>46</v>
      </c>
      <c r="C1095" s="14" t="s">
        <v>1502</v>
      </c>
      <c r="D1095" s="40" t="n">
        <v>122670</v>
      </c>
      <c r="E1095" s="2" t="s">
        <v>670</v>
      </c>
      <c r="F1095" s="41" t="n">
        <v>6.07913100187495</v>
      </c>
      <c r="G1095" s="31" t="n">
        <v>81.6</v>
      </c>
      <c r="H1095" s="42" t="n">
        <v>0.0633668515950069</v>
      </c>
      <c r="I1095" s="31" t="n">
        <v>38.4</v>
      </c>
      <c r="J1095" s="2" t="s">
        <v>2705</v>
      </c>
      <c r="K1095" s="43" t="n">
        <v>0.218675264776221</v>
      </c>
      <c r="L1095" s="31" t="n">
        <v>75.6</v>
      </c>
      <c r="M1095" s="39" t="s">
        <v>671</v>
      </c>
      <c r="N1095" s="2" t="s">
        <v>21</v>
      </c>
      <c r="O1095" s="2" t="s">
        <v>21</v>
      </c>
      <c r="P1095" s="2" t="s">
        <v>21</v>
      </c>
      <c r="Q1095" s="2" t="s">
        <v>21</v>
      </c>
    </row>
    <row r="1096" customFormat="false" ht="15" hidden="false" customHeight="false" outlineLevel="0" collapsed="false">
      <c r="A1096" s="2" t="s">
        <v>1501</v>
      </c>
      <c r="B1096" s="2" t="s">
        <v>47</v>
      </c>
      <c r="C1096" s="13" t="s">
        <v>2380</v>
      </c>
      <c r="D1096" s="35" t="n">
        <v>2665</v>
      </c>
      <c r="E1096" s="2" t="s">
        <v>678</v>
      </c>
      <c r="F1096" s="36" t="n">
        <v>1.06078799249531</v>
      </c>
      <c r="G1096" s="31" t="n">
        <v>41.6</v>
      </c>
      <c r="H1096" s="37" t="n">
        <v>0.14083904109589</v>
      </c>
      <c r="I1096" s="31" t="n">
        <v>72</v>
      </c>
      <c r="J1096" s="2" t="s">
        <v>2706</v>
      </c>
      <c r="K1096" s="38" t="n">
        <v>0.0964912280701754</v>
      </c>
      <c r="L1096" s="31" t="n">
        <v>52.6</v>
      </c>
      <c r="M1096" s="39" t="s">
        <v>671</v>
      </c>
      <c r="N1096" s="2" t="s">
        <v>19</v>
      </c>
      <c r="O1096" s="2" t="s">
        <v>19</v>
      </c>
      <c r="P1096" s="2" t="s">
        <v>19</v>
      </c>
      <c r="Q1096" s="2" t="s">
        <v>19</v>
      </c>
    </row>
    <row r="1097" customFormat="false" ht="15" hidden="false" customHeight="false" outlineLevel="0" collapsed="false">
      <c r="A1097" s="2" t="s">
        <v>454</v>
      </c>
      <c r="B1097" s="2" t="s">
        <v>46</v>
      </c>
      <c r="C1097" s="13" t="s">
        <v>1732</v>
      </c>
      <c r="D1097" s="35" t="n">
        <v>311023</v>
      </c>
      <c r="E1097" s="2" t="s">
        <v>670</v>
      </c>
      <c r="F1097" s="36" t="n">
        <v>2.63375377383666</v>
      </c>
      <c r="G1097" s="31" t="n">
        <v>41</v>
      </c>
      <c r="H1097" s="37" t="n">
        <v>0.0242643789827271</v>
      </c>
      <c r="I1097" s="31" t="n">
        <v>18.5</v>
      </c>
      <c r="J1097" s="2" t="s">
        <v>2705</v>
      </c>
      <c r="K1097" s="38" t="n">
        <v>0.122671459526649</v>
      </c>
      <c r="L1097" s="31" t="n">
        <v>44.6</v>
      </c>
      <c r="M1097" s="39" t="s">
        <v>671</v>
      </c>
      <c r="N1097" s="2" t="s">
        <v>19</v>
      </c>
      <c r="O1097" s="2" t="s">
        <v>19</v>
      </c>
      <c r="P1097" s="2" t="s">
        <v>19</v>
      </c>
      <c r="Q1097" s="2" t="s">
        <v>19</v>
      </c>
    </row>
    <row r="1098" customFormat="false" ht="15" hidden="false" customHeight="false" outlineLevel="0" collapsed="false">
      <c r="A1098" s="2" t="s">
        <v>222</v>
      </c>
      <c r="B1098" s="2" t="s">
        <v>45</v>
      </c>
      <c r="C1098" s="13" t="s">
        <v>1059</v>
      </c>
      <c r="D1098" s="35" t="n">
        <v>89749</v>
      </c>
      <c r="E1098" s="2" t="s">
        <v>667</v>
      </c>
      <c r="F1098" s="36" t="n">
        <v>0.585187578691685</v>
      </c>
      <c r="G1098" s="31" t="n">
        <v>47.4</v>
      </c>
      <c r="H1098" s="37" t="n">
        <v>0.0913855582848943</v>
      </c>
      <c r="I1098" s="31" t="n">
        <v>51.6</v>
      </c>
      <c r="J1098" s="2" t="s">
        <v>2704</v>
      </c>
      <c r="K1098" s="38" t="n">
        <v>0.152375077112893</v>
      </c>
      <c r="L1098" s="31" t="n">
        <v>56.1</v>
      </c>
      <c r="M1098" s="39" t="s">
        <v>671</v>
      </c>
      <c r="N1098" s="2" t="s">
        <v>19</v>
      </c>
      <c r="O1098" s="2" t="s">
        <v>19</v>
      </c>
      <c r="P1098" s="2" t="s">
        <v>19</v>
      </c>
      <c r="Q1098" s="2" t="s">
        <v>19</v>
      </c>
    </row>
    <row r="1099" customFormat="false" ht="15" hidden="false" customHeight="false" outlineLevel="0" collapsed="false">
      <c r="A1099" s="2" t="s">
        <v>222</v>
      </c>
      <c r="B1099" s="2" t="s">
        <v>46</v>
      </c>
      <c r="C1099" s="14" t="s">
        <v>1598</v>
      </c>
      <c r="D1099" s="40" t="n">
        <v>152560</v>
      </c>
      <c r="E1099" s="2" t="s">
        <v>670</v>
      </c>
      <c r="F1099" s="41" t="n">
        <v>4.18871919244887</v>
      </c>
      <c r="G1099" s="31" t="n">
        <v>64.9</v>
      </c>
      <c r="H1099" s="42" t="n">
        <v>-0.0404427951443487</v>
      </c>
      <c r="I1099" s="31" t="n">
        <v>3.3</v>
      </c>
      <c r="J1099" s="2" t="s">
        <v>2705</v>
      </c>
      <c r="K1099" s="43" t="n">
        <v>0.164094762008259</v>
      </c>
      <c r="L1099" s="31" t="n">
        <v>62.7</v>
      </c>
      <c r="M1099" s="39" t="s">
        <v>671</v>
      </c>
      <c r="N1099" s="2" t="s">
        <v>21</v>
      </c>
      <c r="O1099" s="2" t="s">
        <v>21</v>
      </c>
      <c r="P1099" s="2" t="s">
        <v>21</v>
      </c>
      <c r="Q1099" s="2" t="s">
        <v>21</v>
      </c>
    </row>
    <row r="1100" customFormat="false" ht="15" hidden="false" customHeight="false" outlineLevel="0" collapsed="false">
      <c r="A1100" s="2" t="s">
        <v>222</v>
      </c>
      <c r="B1100" s="2" t="s">
        <v>47</v>
      </c>
      <c r="C1100" s="13" t="s">
        <v>2025</v>
      </c>
      <c r="D1100" s="35" t="n">
        <v>28341</v>
      </c>
      <c r="E1100" s="2" t="s">
        <v>667</v>
      </c>
      <c r="F1100" s="36" t="n">
        <v>3.34709431565576</v>
      </c>
      <c r="G1100" s="31" t="n">
        <v>91.3</v>
      </c>
      <c r="H1100" s="37" t="n">
        <v>0.165576804441703</v>
      </c>
      <c r="I1100" s="31" t="n">
        <v>84.4</v>
      </c>
      <c r="J1100" s="2" t="s">
        <v>2697</v>
      </c>
      <c r="K1100" s="38" t="n">
        <v>0.00232078390923156</v>
      </c>
      <c r="L1100" s="31" t="n">
        <v>2.9</v>
      </c>
      <c r="M1100" s="39" t="s">
        <v>671</v>
      </c>
      <c r="N1100" s="2" t="s">
        <v>19</v>
      </c>
      <c r="O1100" s="2" t="s">
        <v>19</v>
      </c>
      <c r="P1100" s="2" t="s">
        <v>19</v>
      </c>
      <c r="Q1100" s="2" t="s">
        <v>19</v>
      </c>
    </row>
    <row r="1101" customFormat="false" ht="15" hidden="false" customHeight="false" outlineLevel="0" collapsed="false">
      <c r="A1101" s="2" t="s">
        <v>758</v>
      </c>
      <c r="B1101" s="2" t="s">
        <v>45</v>
      </c>
      <c r="C1101" s="14" t="s">
        <v>759</v>
      </c>
      <c r="D1101" s="40" t="n">
        <v>65660</v>
      </c>
      <c r="E1101" s="2" t="s">
        <v>667</v>
      </c>
      <c r="F1101" s="41" t="n">
        <v>1.54401462077368</v>
      </c>
      <c r="G1101" s="31" t="n">
        <v>88.7</v>
      </c>
      <c r="H1101" s="42" t="n">
        <v>0.15031534688157</v>
      </c>
      <c r="I1101" s="31" t="n">
        <v>77.4</v>
      </c>
      <c r="J1101" s="2" t="s">
        <v>2704</v>
      </c>
      <c r="K1101" s="43" t="n">
        <v>0.141657488986784</v>
      </c>
      <c r="L1101" s="31" t="n">
        <v>52.8</v>
      </c>
      <c r="M1101" s="39" t="s">
        <v>671</v>
      </c>
      <c r="N1101" s="2" t="s">
        <v>21</v>
      </c>
      <c r="O1101" s="2" t="s">
        <v>21</v>
      </c>
      <c r="P1101" s="2" t="s">
        <v>21</v>
      </c>
      <c r="Q1101" s="2" t="s">
        <v>21</v>
      </c>
    </row>
    <row r="1102" customFormat="false" ht="15" hidden="false" customHeight="false" outlineLevel="0" collapsed="false">
      <c r="A1102" s="2" t="s">
        <v>758</v>
      </c>
      <c r="B1102" s="2" t="s">
        <v>46</v>
      </c>
      <c r="C1102" s="14" t="s">
        <v>2977</v>
      </c>
      <c r="D1102" s="40" t="n">
        <v>64460</v>
      </c>
      <c r="E1102" s="2" t="s">
        <v>667</v>
      </c>
      <c r="F1102" s="41" t="n">
        <v>0.570834626124729</v>
      </c>
      <c r="G1102" s="31" t="n">
        <v>1.7</v>
      </c>
      <c r="H1102" s="32"/>
      <c r="I1102" s="31"/>
      <c r="J1102" s="2"/>
      <c r="K1102" s="33"/>
      <c r="L1102" s="31"/>
      <c r="M1102" s="34" t="s">
        <v>668</v>
      </c>
      <c r="N1102" s="2" t="s">
        <v>21</v>
      </c>
      <c r="O1102" s="2" t="s">
        <v>21</v>
      </c>
      <c r="P1102" s="2"/>
      <c r="Q1102" s="2"/>
    </row>
    <row r="1103" customFormat="false" ht="15" hidden="false" customHeight="false" outlineLevel="0" collapsed="false">
      <c r="A1103" s="2" t="s">
        <v>758</v>
      </c>
      <c r="B1103" s="2" t="s">
        <v>47</v>
      </c>
      <c r="C1103" s="16"/>
      <c r="D1103" s="29"/>
      <c r="E1103" s="2"/>
      <c r="F1103" s="30"/>
      <c r="G1103" s="31"/>
      <c r="H1103" s="32"/>
      <c r="I1103" s="31"/>
      <c r="J1103" s="2"/>
      <c r="K1103" s="33"/>
      <c r="L1103" s="31"/>
      <c r="M1103" s="34" t="s">
        <v>668</v>
      </c>
      <c r="N1103" s="2"/>
      <c r="O1103" s="2"/>
      <c r="P1103" s="2"/>
      <c r="Q1103" s="2"/>
    </row>
    <row r="1104" customFormat="false" ht="15" hidden="false" customHeight="false" outlineLevel="0" collapsed="false">
      <c r="A1104" s="2" t="s">
        <v>1136</v>
      </c>
      <c r="B1104" s="2" t="s">
        <v>45</v>
      </c>
      <c r="C1104" s="14" t="s">
        <v>1137</v>
      </c>
      <c r="D1104" s="40" t="n">
        <v>135400</v>
      </c>
      <c r="E1104" s="2" t="s">
        <v>670</v>
      </c>
      <c r="F1104" s="41" t="n">
        <v>0.473737075332349</v>
      </c>
      <c r="G1104" s="31" t="n">
        <v>37.8</v>
      </c>
      <c r="H1104" s="42" t="n">
        <v>0.124864999584614</v>
      </c>
      <c r="I1104" s="31" t="n">
        <v>68.1</v>
      </c>
      <c r="J1104" s="2" t="s">
        <v>2698</v>
      </c>
      <c r="K1104" s="43" t="n">
        <v>0.225275827482447</v>
      </c>
      <c r="L1104" s="31" t="n">
        <v>77.3</v>
      </c>
      <c r="M1104" s="39" t="s">
        <v>671</v>
      </c>
      <c r="N1104" s="2" t="s">
        <v>21</v>
      </c>
      <c r="O1104" s="2" t="s">
        <v>21</v>
      </c>
      <c r="P1104" s="2" t="s">
        <v>21</v>
      </c>
      <c r="Q1104" s="2" t="s">
        <v>21</v>
      </c>
    </row>
    <row r="1105" customFormat="false" ht="15" hidden="false" customHeight="false" outlineLevel="0" collapsed="false">
      <c r="A1105" s="2" t="s">
        <v>1136</v>
      </c>
      <c r="B1105" s="2" t="s">
        <v>46</v>
      </c>
      <c r="C1105" s="14" t="s">
        <v>2978</v>
      </c>
      <c r="D1105" s="40" t="n">
        <v>46310</v>
      </c>
      <c r="E1105" s="2" t="s">
        <v>667</v>
      </c>
      <c r="F1105" s="41" t="n">
        <v>2.11308572662492</v>
      </c>
      <c r="G1105" s="31" t="n">
        <v>29.8</v>
      </c>
      <c r="H1105" s="32"/>
      <c r="I1105" s="31"/>
      <c r="J1105" s="2"/>
      <c r="K1105" s="43" t="n">
        <v>0.294201468815083</v>
      </c>
      <c r="L1105" s="31" t="n">
        <v>89.6</v>
      </c>
      <c r="M1105" s="34" t="s">
        <v>668</v>
      </c>
      <c r="N1105" s="2" t="s">
        <v>21</v>
      </c>
      <c r="O1105" s="2" t="s">
        <v>21</v>
      </c>
      <c r="P1105" s="2"/>
      <c r="Q1105" s="2" t="s">
        <v>21</v>
      </c>
    </row>
    <row r="1106" customFormat="false" ht="15" hidden="false" customHeight="false" outlineLevel="0" collapsed="false">
      <c r="A1106" s="2" t="s">
        <v>1136</v>
      </c>
      <c r="B1106" s="2" t="s">
        <v>47</v>
      </c>
      <c r="C1106" s="13" t="s">
        <v>2398</v>
      </c>
      <c r="D1106" s="35" t="n">
        <v>16160</v>
      </c>
      <c r="E1106" s="2" t="s">
        <v>667</v>
      </c>
      <c r="F1106" s="36" t="n">
        <v>1.02636138613861</v>
      </c>
      <c r="G1106" s="31" t="n">
        <v>39.2</v>
      </c>
      <c r="H1106" s="37" t="n">
        <v>0.161336687028387</v>
      </c>
      <c r="I1106" s="31" t="n">
        <v>81.6</v>
      </c>
      <c r="J1106" s="2" t="s">
        <v>2697</v>
      </c>
      <c r="K1106" s="38" t="n">
        <v>0.104828462515883</v>
      </c>
      <c r="L1106" s="31" t="n">
        <v>57.3</v>
      </c>
      <c r="M1106" s="39" t="s">
        <v>671</v>
      </c>
      <c r="N1106" s="2" t="s">
        <v>19</v>
      </c>
      <c r="O1106" s="2" t="s">
        <v>19</v>
      </c>
      <c r="P1106" s="2" t="s">
        <v>19</v>
      </c>
      <c r="Q1106" s="2" t="s">
        <v>19</v>
      </c>
    </row>
    <row r="1107" customFormat="false" ht="15" hidden="false" customHeight="false" outlineLevel="0" collapsed="false">
      <c r="A1107" s="2" t="s">
        <v>270</v>
      </c>
      <c r="B1107" s="2" t="s">
        <v>45</v>
      </c>
      <c r="C1107" s="13" t="s">
        <v>1272</v>
      </c>
      <c r="D1107" s="35" t="n">
        <v>42422</v>
      </c>
      <c r="E1107" s="2" t="s">
        <v>667</v>
      </c>
      <c r="F1107" s="36" t="n">
        <v>0.29166470227712</v>
      </c>
      <c r="G1107" s="31" t="n">
        <v>17.9</v>
      </c>
      <c r="H1107" s="37" t="n">
        <v>0.103274297157421</v>
      </c>
      <c r="I1107" s="31" t="n">
        <v>55.6</v>
      </c>
      <c r="J1107" s="2" t="s">
        <v>2704</v>
      </c>
      <c r="K1107" s="38" t="n">
        <v>0.185265438786566</v>
      </c>
      <c r="L1107" s="31" t="n">
        <v>66.3</v>
      </c>
      <c r="M1107" s="39" t="s">
        <v>671</v>
      </c>
      <c r="N1107" s="2" t="s">
        <v>19</v>
      </c>
      <c r="O1107" s="2" t="s">
        <v>19</v>
      </c>
      <c r="P1107" s="2" t="s">
        <v>19</v>
      </c>
      <c r="Q1107" s="2" t="s">
        <v>19</v>
      </c>
    </row>
    <row r="1108" customFormat="false" ht="15" hidden="false" customHeight="false" outlineLevel="0" collapsed="false">
      <c r="A1108" s="2" t="s">
        <v>270</v>
      </c>
      <c r="B1108" s="2" t="s">
        <v>46</v>
      </c>
      <c r="C1108" s="14" t="s">
        <v>1377</v>
      </c>
      <c r="D1108" s="40" t="n">
        <v>775100</v>
      </c>
      <c r="E1108" s="2" t="s">
        <v>670</v>
      </c>
      <c r="F1108" s="41" t="n">
        <v>13.8642626757838</v>
      </c>
      <c r="G1108" s="31" t="n">
        <v>99.2</v>
      </c>
      <c r="H1108" s="42" t="n">
        <v>0.0906302325908624</v>
      </c>
      <c r="I1108" s="31" t="n">
        <v>56.3</v>
      </c>
      <c r="J1108" s="2" t="s">
        <v>2705</v>
      </c>
      <c r="K1108" s="43" t="n">
        <v>0.0833992961843272</v>
      </c>
      <c r="L1108" s="31" t="n">
        <v>25.1</v>
      </c>
      <c r="M1108" s="39" t="s">
        <v>671</v>
      </c>
      <c r="N1108" s="2" t="s">
        <v>21</v>
      </c>
      <c r="O1108" s="2" t="s">
        <v>21</v>
      </c>
      <c r="P1108" s="2" t="s">
        <v>21</v>
      </c>
      <c r="Q1108" s="2" t="s">
        <v>21</v>
      </c>
    </row>
    <row r="1109" customFormat="false" ht="15" hidden="false" customHeight="false" outlineLevel="0" collapsed="false">
      <c r="A1109" s="2" t="s">
        <v>270</v>
      </c>
      <c r="B1109" s="2" t="s">
        <v>47</v>
      </c>
      <c r="C1109" s="13" t="s">
        <v>2180</v>
      </c>
      <c r="D1109" s="35" t="n">
        <v>979150</v>
      </c>
      <c r="E1109" s="2" t="s">
        <v>670</v>
      </c>
      <c r="F1109" s="36" t="n">
        <v>1.80410355920952</v>
      </c>
      <c r="G1109" s="31" t="n">
        <v>68.1</v>
      </c>
      <c r="H1109" s="37" t="n">
        <v>-0.0254324167763178</v>
      </c>
      <c r="I1109" s="31" t="n">
        <v>7.8</v>
      </c>
      <c r="J1109" s="2" t="s">
        <v>2701</v>
      </c>
      <c r="K1109" s="38" t="n">
        <v>0.118610120754278</v>
      </c>
      <c r="L1109" s="31" t="n">
        <v>63</v>
      </c>
      <c r="M1109" s="39" t="s">
        <v>671</v>
      </c>
      <c r="N1109" s="2" t="s">
        <v>19</v>
      </c>
      <c r="O1109" s="2" t="s">
        <v>19</v>
      </c>
      <c r="P1109" s="2" t="s">
        <v>19</v>
      </c>
      <c r="Q1109" s="2" t="s">
        <v>19</v>
      </c>
    </row>
    <row r="1110" customFormat="false" ht="15" hidden="false" customHeight="false" outlineLevel="0" collapsed="false">
      <c r="A1110" s="2" t="s">
        <v>2601</v>
      </c>
      <c r="B1110" s="2" t="s">
        <v>45</v>
      </c>
      <c r="C1110" s="15" t="s">
        <v>2979</v>
      </c>
      <c r="D1110" s="44" t="n">
        <v>941133</v>
      </c>
      <c r="E1110" s="2" t="s">
        <v>670</v>
      </c>
      <c r="F1110" s="30"/>
      <c r="G1110" s="31"/>
      <c r="H1110" s="46" t="n">
        <v>0.123287556783054</v>
      </c>
      <c r="I1110" s="31" t="n">
        <v>67.4</v>
      </c>
      <c r="J1110" s="2" t="s">
        <v>2698</v>
      </c>
      <c r="K1110" s="33"/>
      <c r="L1110" s="31"/>
      <c r="M1110" s="34" t="s">
        <v>668</v>
      </c>
      <c r="N1110" s="2" t="s">
        <v>17</v>
      </c>
      <c r="O1110" s="2"/>
      <c r="P1110" s="2" t="s">
        <v>17</v>
      </c>
      <c r="Q1110" s="2"/>
    </row>
    <row r="1111" customFormat="false" ht="15" hidden="false" customHeight="false" outlineLevel="0" collapsed="false">
      <c r="A1111" s="2" t="s">
        <v>2601</v>
      </c>
      <c r="B1111" s="2" t="s">
        <v>46</v>
      </c>
      <c r="C1111" s="14" t="s">
        <v>2980</v>
      </c>
      <c r="D1111" s="40" t="n">
        <v>61200</v>
      </c>
      <c r="E1111" s="2" t="s">
        <v>667</v>
      </c>
      <c r="F1111" s="30"/>
      <c r="G1111" s="31"/>
      <c r="H1111" s="42" t="n">
        <v>-0.0444964871194379</v>
      </c>
      <c r="I1111" s="31" t="n">
        <v>4.6</v>
      </c>
      <c r="J1111" s="2" t="s">
        <v>2700</v>
      </c>
      <c r="K1111" s="43" t="n">
        <v>0.0911139651537548</v>
      </c>
      <c r="L1111" s="31" t="n">
        <v>28.5</v>
      </c>
      <c r="M1111" s="34" t="s">
        <v>668</v>
      </c>
      <c r="N1111" s="2" t="s">
        <v>21</v>
      </c>
      <c r="O1111" s="2"/>
      <c r="P1111" s="2" t="s">
        <v>21</v>
      </c>
      <c r="Q1111" s="2" t="s">
        <v>21</v>
      </c>
    </row>
    <row r="1112" customFormat="false" ht="15" hidden="false" customHeight="false" outlineLevel="0" collapsed="false">
      <c r="A1112" s="2" t="s">
        <v>2601</v>
      </c>
      <c r="B1112" s="2" t="s">
        <v>47</v>
      </c>
      <c r="C1112" s="13" t="s">
        <v>2602</v>
      </c>
      <c r="D1112" s="35" t="n">
        <v>65015</v>
      </c>
      <c r="E1112" s="2" t="s">
        <v>667</v>
      </c>
      <c r="F1112" s="36" t="n">
        <v>0.548011997231408</v>
      </c>
      <c r="G1112" s="31" t="n">
        <v>13.5</v>
      </c>
      <c r="H1112" s="37" t="n">
        <v>0.0104126194731525</v>
      </c>
      <c r="I1112" s="31" t="n">
        <v>13.5</v>
      </c>
      <c r="J1112" s="2" t="s">
        <v>2697</v>
      </c>
      <c r="K1112" s="38" t="n">
        <v>0.0167064439140812</v>
      </c>
      <c r="L1112" s="31" t="n">
        <v>10.7</v>
      </c>
      <c r="M1112" s="39" t="s">
        <v>671</v>
      </c>
      <c r="N1112" s="2" t="s">
        <v>19</v>
      </c>
      <c r="O1112" s="2" t="s">
        <v>19</v>
      </c>
      <c r="P1112" s="2" t="s">
        <v>19</v>
      </c>
      <c r="Q1112" s="2" t="s">
        <v>19</v>
      </c>
    </row>
    <row r="1113" customFormat="false" ht="15" hidden="false" customHeight="false" outlineLevel="0" collapsed="false">
      <c r="A1113" s="2" t="s">
        <v>532</v>
      </c>
      <c r="B1113" s="2" t="s">
        <v>47</v>
      </c>
      <c r="C1113" s="13" t="s">
        <v>2454</v>
      </c>
      <c r="D1113" s="35" t="n">
        <v>39841</v>
      </c>
      <c r="E1113" s="2" t="s">
        <v>667</v>
      </c>
      <c r="F1113" s="36" t="n">
        <v>0.906754348535428</v>
      </c>
      <c r="G1113" s="31" t="n">
        <v>32.1</v>
      </c>
      <c r="H1113" s="37" t="n">
        <v>0.145975953517805</v>
      </c>
      <c r="I1113" s="31" t="n">
        <v>75.9</v>
      </c>
      <c r="J1113" s="2" t="s">
        <v>2697</v>
      </c>
      <c r="K1113" s="38" t="n">
        <v>0.165572574762947</v>
      </c>
      <c r="L1113" s="31" t="n">
        <v>75</v>
      </c>
      <c r="M1113" s="39" t="s">
        <v>671</v>
      </c>
      <c r="N1113" s="2" t="s">
        <v>19</v>
      </c>
      <c r="O1113" s="2" t="s">
        <v>19</v>
      </c>
      <c r="P1113" s="2" t="s">
        <v>19</v>
      </c>
      <c r="Q1113" s="2" t="s">
        <v>19</v>
      </c>
    </row>
    <row r="1114" customFormat="false" ht="15" hidden="false" customHeight="false" outlineLevel="0" collapsed="false">
      <c r="A1114" s="2" t="s">
        <v>264</v>
      </c>
      <c r="B1114" s="2" t="s">
        <v>46</v>
      </c>
      <c r="C1114" s="13" t="s">
        <v>1611</v>
      </c>
      <c r="D1114" s="35" t="n">
        <v>332430</v>
      </c>
      <c r="E1114" s="2" t="s">
        <v>670</v>
      </c>
      <c r="F1114" s="36" t="n">
        <v>3.99495833709352</v>
      </c>
      <c r="G1114" s="31" t="n">
        <v>62.6</v>
      </c>
      <c r="H1114" s="37" t="n">
        <v>0.0258412126299158</v>
      </c>
      <c r="I1114" s="31" t="n">
        <v>19.2</v>
      </c>
      <c r="J1114" s="2" t="s">
        <v>2705</v>
      </c>
      <c r="K1114" s="38" t="n">
        <v>0.198519720166278</v>
      </c>
      <c r="L1114" s="31" t="n">
        <v>70.5</v>
      </c>
      <c r="M1114" s="39" t="s">
        <v>671</v>
      </c>
      <c r="N1114" s="2" t="s">
        <v>19</v>
      </c>
      <c r="O1114" s="2" t="s">
        <v>19</v>
      </c>
      <c r="P1114" s="2" t="s">
        <v>19</v>
      </c>
      <c r="Q1114" s="2" t="s">
        <v>19</v>
      </c>
    </row>
    <row r="1115" customFormat="false" ht="15" hidden="false" customHeight="false" outlineLevel="0" collapsed="false">
      <c r="A1115" s="2" t="s">
        <v>404</v>
      </c>
      <c r="B1115" s="2" t="s">
        <v>45</v>
      </c>
      <c r="C1115" s="14" t="s">
        <v>1068</v>
      </c>
      <c r="D1115" s="40" t="n">
        <v>19460</v>
      </c>
      <c r="E1115" s="2" t="s">
        <v>667</v>
      </c>
      <c r="F1115" s="41" t="n">
        <v>0.561613566289825</v>
      </c>
      <c r="G1115" s="31" t="n">
        <v>46.2</v>
      </c>
      <c r="H1115" s="42" t="n">
        <v>-0.0313588850174216</v>
      </c>
      <c r="I1115" s="31" t="n">
        <v>5.6</v>
      </c>
      <c r="J1115" s="2" t="s">
        <v>2704</v>
      </c>
      <c r="K1115" s="43" t="n">
        <v>0.179966044142615</v>
      </c>
      <c r="L1115" s="31" t="n">
        <v>64.4</v>
      </c>
      <c r="M1115" s="39" t="s">
        <v>671</v>
      </c>
      <c r="N1115" s="2" t="s">
        <v>21</v>
      </c>
      <c r="O1115" s="2" t="s">
        <v>21</v>
      </c>
      <c r="P1115" s="2" t="s">
        <v>21</v>
      </c>
      <c r="Q1115" s="2" t="s">
        <v>21</v>
      </c>
    </row>
    <row r="1116" customFormat="false" ht="15" hidden="false" customHeight="false" outlineLevel="0" collapsed="false">
      <c r="A1116" s="2" t="s">
        <v>404</v>
      </c>
      <c r="B1116" s="2" t="s">
        <v>46</v>
      </c>
      <c r="C1116" s="14" t="s">
        <v>1648</v>
      </c>
      <c r="D1116" s="40" t="n">
        <v>6710</v>
      </c>
      <c r="E1116" s="2" t="s">
        <v>678</v>
      </c>
      <c r="F1116" s="41" t="n">
        <v>3.46542473919523</v>
      </c>
      <c r="G1116" s="31" t="n">
        <v>54.3</v>
      </c>
      <c r="H1116" s="42" t="n">
        <v>0.202508960573477</v>
      </c>
      <c r="I1116" s="31" t="n">
        <v>87.5</v>
      </c>
      <c r="J1116" s="2" t="s">
        <v>2720</v>
      </c>
      <c r="K1116" s="43" t="n">
        <v>0.0543559195830231</v>
      </c>
      <c r="L1116" s="31" t="n">
        <v>15</v>
      </c>
      <c r="M1116" s="39" t="s">
        <v>671</v>
      </c>
      <c r="N1116" s="2" t="s">
        <v>21</v>
      </c>
      <c r="O1116" s="2" t="s">
        <v>21</v>
      </c>
      <c r="P1116" s="2" t="s">
        <v>21</v>
      </c>
      <c r="Q1116" s="2" t="s">
        <v>21</v>
      </c>
    </row>
    <row r="1117" customFormat="false" ht="15" hidden="false" customHeight="false" outlineLevel="0" collapsed="false">
      <c r="A1117" s="2" t="s">
        <v>404</v>
      </c>
      <c r="B1117" s="2" t="s">
        <v>47</v>
      </c>
      <c r="C1117" s="13" t="s">
        <v>2397</v>
      </c>
      <c r="D1117" s="35" t="n">
        <v>5149</v>
      </c>
      <c r="E1117" s="2" t="s">
        <v>678</v>
      </c>
      <c r="F1117" s="36" t="n">
        <v>1.02816080792387</v>
      </c>
      <c r="G1117" s="31" t="n">
        <v>39.4</v>
      </c>
      <c r="H1117" s="37" t="n">
        <v>0.0248805732484076</v>
      </c>
      <c r="I1117" s="31" t="n">
        <v>17.3</v>
      </c>
      <c r="J1117" s="2" t="s">
        <v>2706</v>
      </c>
      <c r="K1117" s="38" t="n">
        <v>0.16793893129771</v>
      </c>
      <c r="L1117" s="31" t="n">
        <v>76.2</v>
      </c>
      <c r="M1117" s="39" t="s">
        <v>671</v>
      </c>
      <c r="N1117" s="2" t="s">
        <v>19</v>
      </c>
      <c r="O1117" s="2" t="s">
        <v>19</v>
      </c>
      <c r="P1117" s="2" t="s">
        <v>19</v>
      </c>
      <c r="Q1117" s="2" t="s">
        <v>19</v>
      </c>
    </row>
    <row r="1118" customFormat="false" ht="15" hidden="false" customHeight="false" outlineLevel="0" collapsed="false">
      <c r="A1118" s="2" t="s">
        <v>2368</v>
      </c>
      <c r="B1118" s="2" t="s">
        <v>45</v>
      </c>
      <c r="C1118" s="13" t="s">
        <v>2981</v>
      </c>
      <c r="D1118" s="29"/>
      <c r="E1118" s="2"/>
      <c r="F1118" s="30"/>
      <c r="G1118" s="31"/>
      <c r="H1118" s="32"/>
      <c r="I1118" s="31"/>
      <c r="J1118" s="2"/>
      <c r="K1118" s="38" t="n">
        <v>0.0509641873278237</v>
      </c>
      <c r="L1118" s="31" t="n">
        <v>13.3</v>
      </c>
      <c r="M1118" s="34" t="s">
        <v>668</v>
      </c>
      <c r="N1118" s="2"/>
      <c r="O1118" s="2"/>
      <c r="P1118" s="2"/>
      <c r="Q1118" s="2" t="s">
        <v>19</v>
      </c>
    </row>
    <row r="1119" customFormat="false" ht="15" hidden="false" customHeight="false" outlineLevel="0" collapsed="false">
      <c r="A1119" s="2" t="s">
        <v>2368</v>
      </c>
      <c r="B1119" s="2" t="s">
        <v>46</v>
      </c>
      <c r="C1119" s="14" t="s">
        <v>2982</v>
      </c>
      <c r="D1119" s="40" t="n">
        <v>157770</v>
      </c>
      <c r="E1119" s="2" t="s">
        <v>670</v>
      </c>
      <c r="F1119" s="41" t="n">
        <v>1.78393230652215</v>
      </c>
      <c r="G1119" s="31" t="n">
        <v>22</v>
      </c>
      <c r="H1119" s="32"/>
      <c r="I1119" s="31"/>
      <c r="J1119" s="2"/>
      <c r="K1119" s="43" t="n">
        <v>0.156357783398482</v>
      </c>
      <c r="L1119" s="31" t="n">
        <v>59.3</v>
      </c>
      <c r="M1119" s="34" t="s">
        <v>668</v>
      </c>
      <c r="N1119" s="2" t="s">
        <v>21</v>
      </c>
      <c r="O1119" s="2" t="s">
        <v>21</v>
      </c>
      <c r="P1119" s="2"/>
      <c r="Q1119" s="2" t="s">
        <v>21</v>
      </c>
    </row>
    <row r="1120" customFormat="false" ht="15" hidden="false" customHeight="false" outlineLevel="0" collapsed="false">
      <c r="A1120" s="2" t="s">
        <v>2368</v>
      </c>
      <c r="B1120" s="2" t="s">
        <v>47</v>
      </c>
      <c r="C1120" s="13" t="s">
        <v>2369</v>
      </c>
      <c r="D1120" s="40" t="n">
        <v>277350</v>
      </c>
      <c r="E1120" s="2" t="s">
        <v>670</v>
      </c>
      <c r="F1120" s="41" t="n">
        <v>1.08267892554534</v>
      </c>
      <c r="G1120" s="31" t="n">
        <v>43.2</v>
      </c>
      <c r="H1120" s="42" t="n">
        <v>0.019781593558113</v>
      </c>
      <c r="I1120" s="31" t="n">
        <v>21.7</v>
      </c>
      <c r="J1120" s="2" t="s">
        <v>2701</v>
      </c>
      <c r="K1120" s="38" t="n">
        <v>0.0273174925746444</v>
      </c>
      <c r="L1120" s="31" t="n">
        <v>16.6</v>
      </c>
      <c r="M1120" s="39" t="s">
        <v>671</v>
      </c>
      <c r="N1120" s="2" t="s">
        <v>21</v>
      </c>
      <c r="O1120" s="2" t="s">
        <v>21</v>
      </c>
      <c r="P1120" s="2" t="s">
        <v>21</v>
      </c>
      <c r="Q1120" s="2" t="s">
        <v>19</v>
      </c>
    </row>
    <row r="1121" customFormat="false" ht="15" hidden="false" customHeight="false" outlineLevel="0" collapsed="false">
      <c r="A1121" s="2" t="s">
        <v>594</v>
      </c>
      <c r="B1121" s="2" t="s">
        <v>45</v>
      </c>
      <c r="C1121" s="14" t="s">
        <v>1309</v>
      </c>
      <c r="D1121" s="40" t="n">
        <v>264360</v>
      </c>
      <c r="E1121" s="2" t="s">
        <v>670</v>
      </c>
      <c r="F1121" s="41" t="n">
        <v>0.234502193977909</v>
      </c>
      <c r="G1121" s="31" t="n">
        <v>12</v>
      </c>
      <c r="H1121" s="42" t="n">
        <v>0.070933765444602</v>
      </c>
      <c r="I1121" s="31" t="n">
        <v>46.4</v>
      </c>
      <c r="J1121" s="2" t="s">
        <v>2698</v>
      </c>
      <c r="K1121" s="43" t="n">
        <v>0.331825037707391</v>
      </c>
      <c r="L1121" s="31" t="n">
        <v>94.2</v>
      </c>
      <c r="M1121" s="39" t="s">
        <v>671</v>
      </c>
      <c r="N1121" s="2" t="s">
        <v>21</v>
      </c>
      <c r="O1121" s="2" t="s">
        <v>21</v>
      </c>
      <c r="P1121" s="2" t="s">
        <v>21</v>
      </c>
      <c r="Q1121" s="2" t="s">
        <v>21</v>
      </c>
    </row>
    <row r="1122" customFormat="false" ht="15" hidden="false" customHeight="false" outlineLevel="0" collapsed="false">
      <c r="A1122" s="2" t="s">
        <v>594</v>
      </c>
      <c r="B1122" s="2" t="s">
        <v>47</v>
      </c>
      <c r="C1122" s="13" t="s">
        <v>2461</v>
      </c>
      <c r="D1122" s="35" t="n">
        <v>132024</v>
      </c>
      <c r="E1122" s="2" t="s">
        <v>670</v>
      </c>
      <c r="F1122" s="36" t="n">
        <v>0.882695570502333</v>
      </c>
      <c r="G1122" s="31" t="n">
        <v>30.8</v>
      </c>
      <c r="H1122" s="37" t="n">
        <v>0.173452790443431</v>
      </c>
      <c r="I1122" s="31" t="n">
        <v>84.3</v>
      </c>
      <c r="J1122" s="2" t="s">
        <v>2701</v>
      </c>
      <c r="K1122" s="38" t="n">
        <v>0.0816051256111954</v>
      </c>
      <c r="L1122" s="31" t="n">
        <v>44.8</v>
      </c>
      <c r="M1122" s="39" t="s">
        <v>671</v>
      </c>
      <c r="N1122" s="2" t="s">
        <v>19</v>
      </c>
      <c r="O1122" s="2" t="s">
        <v>19</v>
      </c>
      <c r="P1122" s="2" t="s">
        <v>19</v>
      </c>
      <c r="Q1122" s="2" t="s">
        <v>19</v>
      </c>
    </row>
    <row r="1123" customFormat="false" ht="15" hidden="false" customHeight="false" outlineLevel="0" collapsed="false">
      <c r="A1123" s="2" t="s">
        <v>1724</v>
      </c>
      <c r="B1123" s="2" t="s">
        <v>45</v>
      </c>
      <c r="C1123" s="14" t="s">
        <v>2983</v>
      </c>
      <c r="D1123" s="29"/>
      <c r="E1123" s="2"/>
      <c r="F1123" s="30"/>
      <c r="G1123" s="31"/>
      <c r="H1123" s="32"/>
      <c r="I1123" s="31"/>
      <c r="J1123" s="2"/>
      <c r="K1123" s="33"/>
      <c r="L1123" s="31"/>
      <c r="M1123" s="34" t="s">
        <v>668</v>
      </c>
      <c r="N1123" s="2"/>
      <c r="O1123" s="2"/>
      <c r="P1123" s="2"/>
      <c r="Q1123" s="2"/>
    </row>
    <row r="1124" customFormat="false" ht="15" hidden="false" customHeight="false" outlineLevel="0" collapsed="false">
      <c r="A1124" s="2" t="s">
        <v>1724</v>
      </c>
      <c r="B1124" s="2" t="s">
        <v>46</v>
      </c>
      <c r="C1124" s="14" t="s">
        <v>1725</v>
      </c>
      <c r="D1124" s="40" t="n">
        <v>120360</v>
      </c>
      <c r="E1124" s="2" t="s">
        <v>670</v>
      </c>
      <c r="F1124" s="41" t="n">
        <v>2.69343635759389</v>
      </c>
      <c r="G1124" s="31" t="n">
        <v>42.3</v>
      </c>
      <c r="H1124" s="42" t="n">
        <v>0.0712950600801068</v>
      </c>
      <c r="I1124" s="31" t="n">
        <v>45</v>
      </c>
      <c r="J1124" s="2" t="s">
        <v>2705</v>
      </c>
      <c r="K1124" s="43" t="n">
        <v>0.296698729367059</v>
      </c>
      <c r="L1124" s="31" t="n">
        <v>90.2</v>
      </c>
      <c r="M1124" s="39" t="s">
        <v>671</v>
      </c>
      <c r="N1124" s="2" t="s">
        <v>21</v>
      </c>
      <c r="O1124" s="2" t="s">
        <v>21</v>
      </c>
      <c r="P1124" s="2" t="s">
        <v>21</v>
      </c>
      <c r="Q1124" s="2" t="s">
        <v>21</v>
      </c>
    </row>
    <row r="1125" customFormat="false" ht="15" hidden="false" customHeight="false" outlineLevel="0" collapsed="false">
      <c r="A1125" s="2" t="s">
        <v>304</v>
      </c>
      <c r="B1125" s="2" t="s">
        <v>45</v>
      </c>
      <c r="C1125" s="14" t="s">
        <v>1211</v>
      </c>
      <c r="D1125" s="40" t="n">
        <v>74320</v>
      </c>
      <c r="E1125" s="2" t="s">
        <v>667</v>
      </c>
      <c r="F1125" s="41" t="n">
        <v>0.371811087190528</v>
      </c>
      <c r="G1125" s="31" t="n">
        <v>26.9</v>
      </c>
      <c r="H1125" s="42" t="n">
        <v>0.153141970519783</v>
      </c>
      <c r="I1125" s="31" t="n">
        <v>78.2</v>
      </c>
      <c r="J1125" s="2" t="s">
        <v>2704</v>
      </c>
      <c r="K1125" s="47" t="s">
        <v>680</v>
      </c>
      <c r="L1125" s="31"/>
      <c r="M1125" s="39" t="s">
        <v>671</v>
      </c>
      <c r="N1125" s="2" t="s">
        <v>21</v>
      </c>
      <c r="O1125" s="2" t="s">
        <v>21</v>
      </c>
      <c r="P1125" s="2" t="s">
        <v>21</v>
      </c>
      <c r="Q1125" s="2" t="s">
        <v>2711</v>
      </c>
    </row>
    <row r="1126" customFormat="false" ht="15" hidden="false" customHeight="false" outlineLevel="0" collapsed="false">
      <c r="A1126" s="2" t="s">
        <v>304</v>
      </c>
      <c r="B1126" s="2" t="s">
        <v>46</v>
      </c>
      <c r="C1126" s="13" t="s">
        <v>1458</v>
      </c>
      <c r="D1126" s="35" t="n">
        <v>11233</v>
      </c>
      <c r="E1126" s="2" t="s">
        <v>667</v>
      </c>
      <c r="F1126" s="36" t="n">
        <v>7.0679248642393</v>
      </c>
      <c r="G1126" s="31" t="n">
        <v>87.9</v>
      </c>
      <c r="H1126" s="37" t="n">
        <v>-0.0765373232489313</v>
      </c>
      <c r="I1126" s="31" t="n">
        <v>2.9</v>
      </c>
      <c r="J1126" s="2" t="s">
        <v>2700</v>
      </c>
      <c r="K1126" s="38" t="n">
        <v>0.0685140737508182</v>
      </c>
      <c r="L1126" s="31" t="n">
        <v>21.2</v>
      </c>
      <c r="M1126" s="39" t="s">
        <v>671</v>
      </c>
      <c r="N1126" s="2" t="s">
        <v>19</v>
      </c>
      <c r="O1126" s="2" t="s">
        <v>19</v>
      </c>
      <c r="P1126" s="2" t="s">
        <v>19</v>
      </c>
      <c r="Q1126" s="2" t="s">
        <v>19</v>
      </c>
    </row>
    <row r="1127" customFormat="false" ht="15" hidden="false" customHeight="false" outlineLevel="0" collapsed="false">
      <c r="A1127" s="2" t="s">
        <v>304</v>
      </c>
      <c r="B1127" s="2" t="s">
        <v>47</v>
      </c>
      <c r="C1127" s="13" t="s">
        <v>2261</v>
      </c>
      <c r="D1127" s="35" t="n">
        <v>209687</v>
      </c>
      <c r="E1127" s="2" t="s">
        <v>670</v>
      </c>
      <c r="F1127" s="36" t="n">
        <v>1.4602812763786</v>
      </c>
      <c r="G1127" s="31" t="n">
        <v>57.4</v>
      </c>
      <c r="H1127" s="37" t="n">
        <v>0.127258554417655</v>
      </c>
      <c r="I1127" s="31" t="n">
        <v>70.5</v>
      </c>
      <c r="J1127" s="2" t="s">
        <v>2701</v>
      </c>
      <c r="K1127" s="38" t="n">
        <v>0.191206267729299</v>
      </c>
      <c r="L1127" s="31" t="n">
        <v>80.8</v>
      </c>
      <c r="M1127" s="39" t="s">
        <v>671</v>
      </c>
      <c r="N1127" s="2" t="s">
        <v>19</v>
      </c>
      <c r="O1127" s="2" t="s">
        <v>19</v>
      </c>
      <c r="P1127" s="2" t="s">
        <v>19</v>
      </c>
      <c r="Q1127" s="2" t="s">
        <v>19</v>
      </c>
    </row>
    <row r="1128" customFormat="false" ht="15" hidden="false" customHeight="false" outlineLevel="0" collapsed="false">
      <c r="A1128" s="2" t="s">
        <v>1120</v>
      </c>
      <c r="B1128" s="2" t="s">
        <v>45</v>
      </c>
      <c r="C1128" s="13" t="s">
        <v>1121</v>
      </c>
      <c r="D1128" s="35" t="n">
        <v>7294</v>
      </c>
      <c r="E1128" s="2" t="s">
        <v>678</v>
      </c>
      <c r="F1128" s="36" t="n">
        <v>0.487112695366054</v>
      </c>
      <c r="G1128" s="31" t="n">
        <v>39.5</v>
      </c>
      <c r="H1128" s="37" t="n">
        <v>0.141649710439818</v>
      </c>
      <c r="I1128" s="31" t="n">
        <v>70.4</v>
      </c>
      <c r="J1128" s="2" t="s">
        <v>2713</v>
      </c>
      <c r="K1128" s="38" t="n">
        <v>0.106837606837607</v>
      </c>
      <c r="L1128" s="31" t="n">
        <v>38.4</v>
      </c>
      <c r="M1128" s="39" t="s">
        <v>671</v>
      </c>
      <c r="N1128" s="2" t="s">
        <v>19</v>
      </c>
      <c r="O1128" s="2" t="s">
        <v>19</v>
      </c>
      <c r="P1128" s="2" t="s">
        <v>19</v>
      </c>
      <c r="Q1128" s="2" t="s">
        <v>19</v>
      </c>
    </row>
    <row r="1129" customFormat="false" ht="15" hidden="false" customHeight="false" outlineLevel="0" collapsed="false">
      <c r="A1129" s="2" t="s">
        <v>1120</v>
      </c>
      <c r="B1129" s="2" t="s">
        <v>46</v>
      </c>
      <c r="C1129" s="16"/>
      <c r="D1129" s="29"/>
      <c r="E1129" s="2"/>
      <c r="F1129" s="30"/>
      <c r="G1129" s="31"/>
      <c r="H1129" s="32"/>
      <c r="I1129" s="31"/>
      <c r="J1129" s="2"/>
      <c r="K1129" s="33"/>
      <c r="L1129" s="31"/>
      <c r="M1129" s="34" t="s">
        <v>668</v>
      </c>
      <c r="N1129" s="2"/>
      <c r="O1129" s="2"/>
      <c r="P1129" s="2"/>
      <c r="Q1129" s="2"/>
    </row>
    <row r="1130" customFormat="false" ht="15" hidden="false" customHeight="false" outlineLevel="0" collapsed="false">
      <c r="A1130" s="2" t="s">
        <v>1120</v>
      </c>
      <c r="B1130" s="2" t="s">
        <v>47</v>
      </c>
      <c r="C1130" s="13" t="s">
        <v>2401</v>
      </c>
      <c r="D1130" s="35" t="n">
        <v>221634</v>
      </c>
      <c r="E1130" s="2" t="s">
        <v>670</v>
      </c>
      <c r="F1130" s="36" t="n">
        <v>1.01248003465172</v>
      </c>
      <c r="G1130" s="31" t="n">
        <v>38.4</v>
      </c>
      <c r="H1130" s="37" t="n">
        <v>0.0222263219795678</v>
      </c>
      <c r="I1130" s="31" t="n">
        <v>22.9</v>
      </c>
      <c r="J1130" s="2" t="s">
        <v>2701</v>
      </c>
      <c r="K1130" s="43" t="n">
        <v>0.0066246223965234</v>
      </c>
      <c r="L1130" s="31" t="n">
        <v>5.3</v>
      </c>
      <c r="M1130" s="39" t="s">
        <v>671</v>
      </c>
      <c r="N1130" s="2" t="s">
        <v>19</v>
      </c>
      <c r="O1130" s="2" t="s">
        <v>19</v>
      </c>
      <c r="P1130" s="2" t="s">
        <v>19</v>
      </c>
      <c r="Q1130" s="2" t="s">
        <v>21</v>
      </c>
    </row>
    <row r="1131" customFormat="false" ht="15" hidden="false" customHeight="false" outlineLevel="0" collapsed="false">
      <c r="A1131" s="2" t="s">
        <v>2126</v>
      </c>
      <c r="B1131" s="2" t="s">
        <v>45</v>
      </c>
      <c r="C1131" s="16"/>
      <c r="D1131" s="29"/>
      <c r="E1131" s="2"/>
      <c r="F1131" s="30"/>
      <c r="G1131" s="31"/>
      <c r="H1131" s="32"/>
      <c r="I1131" s="31"/>
      <c r="J1131" s="2"/>
      <c r="K1131" s="33"/>
      <c r="L1131" s="31"/>
      <c r="M1131" s="34" t="s">
        <v>668</v>
      </c>
      <c r="N1131" s="2"/>
      <c r="O1131" s="2"/>
      <c r="P1131" s="2"/>
      <c r="Q1131" s="2"/>
    </row>
    <row r="1132" customFormat="false" ht="15" hidden="false" customHeight="false" outlineLevel="0" collapsed="false">
      <c r="A1132" s="2" t="s">
        <v>2126</v>
      </c>
      <c r="B1132" s="2" t="s">
        <v>46</v>
      </c>
      <c r="C1132" s="16"/>
      <c r="D1132" s="29"/>
      <c r="E1132" s="2"/>
      <c r="F1132" s="30"/>
      <c r="G1132" s="31"/>
      <c r="H1132" s="32"/>
      <c r="I1132" s="31"/>
      <c r="J1132" s="2"/>
      <c r="K1132" s="33"/>
      <c r="L1132" s="31"/>
      <c r="M1132" s="34" t="s">
        <v>668</v>
      </c>
      <c r="N1132" s="2"/>
      <c r="O1132" s="2"/>
      <c r="P1132" s="2"/>
      <c r="Q1132" s="2"/>
    </row>
    <row r="1133" customFormat="false" ht="15" hidden="false" customHeight="false" outlineLevel="0" collapsed="false">
      <c r="A1133" s="2" t="s">
        <v>2126</v>
      </c>
      <c r="B1133" s="2" t="s">
        <v>47</v>
      </c>
      <c r="C1133" s="13" t="s">
        <v>2127</v>
      </c>
      <c r="D1133" s="35" t="n">
        <v>74413</v>
      </c>
      <c r="E1133" s="2" t="s">
        <v>667</v>
      </c>
      <c r="F1133" s="36" t="n">
        <v>2.08174646903095</v>
      </c>
      <c r="G1133" s="31" t="n">
        <v>75.9</v>
      </c>
      <c r="H1133" s="37" t="n">
        <v>0.0537099971679411</v>
      </c>
      <c r="I1133" s="31" t="n">
        <v>31.2</v>
      </c>
      <c r="J1133" s="2" t="s">
        <v>2697</v>
      </c>
      <c r="K1133" s="38" t="n">
        <v>0.0634351620947631</v>
      </c>
      <c r="L1133" s="31" t="n">
        <v>37.5</v>
      </c>
      <c r="M1133" s="39" t="s">
        <v>671</v>
      </c>
      <c r="N1133" s="2" t="s">
        <v>19</v>
      </c>
      <c r="O1133" s="2" t="s">
        <v>19</v>
      </c>
      <c r="P1133" s="2" t="s">
        <v>19</v>
      </c>
      <c r="Q1133" s="2" t="s">
        <v>19</v>
      </c>
    </row>
    <row r="1134" customFormat="false" ht="15" hidden="false" customHeight="false" outlineLevel="0" collapsed="false">
      <c r="A1134" s="2" t="s">
        <v>2504</v>
      </c>
      <c r="B1134" s="2" t="s">
        <v>45</v>
      </c>
      <c r="C1134" s="14" t="s">
        <v>2984</v>
      </c>
      <c r="D1134" s="40" t="n">
        <v>6130</v>
      </c>
      <c r="E1134" s="2" t="s">
        <v>678</v>
      </c>
      <c r="F1134" s="30"/>
      <c r="G1134" s="31"/>
      <c r="H1134" s="32"/>
      <c r="I1134" s="31"/>
      <c r="J1134" s="2"/>
      <c r="K1134" s="43" t="n">
        <v>0.146067415730337</v>
      </c>
      <c r="L1134" s="31" t="n">
        <v>54.1</v>
      </c>
      <c r="M1134" s="34" t="s">
        <v>668</v>
      </c>
      <c r="N1134" s="2" t="s">
        <v>21</v>
      </c>
      <c r="O1134" s="2"/>
      <c r="P1134" s="2"/>
      <c r="Q1134" s="2" t="s">
        <v>21</v>
      </c>
    </row>
    <row r="1135" customFormat="false" ht="15" hidden="false" customHeight="false" outlineLevel="0" collapsed="false">
      <c r="A1135" s="2" t="s">
        <v>2504</v>
      </c>
      <c r="B1135" s="2" t="s">
        <v>46</v>
      </c>
      <c r="C1135" s="16"/>
      <c r="D1135" s="40" t="n">
        <v>450980</v>
      </c>
      <c r="E1135" s="2" t="s">
        <v>670</v>
      </c>
      <c r="F1135" s="41" t="n">
        <v>4.12297219388886</v>
      </c>
      <c r="G1135" s="31" t="n">
        <v>64.1</v>
      </c>
      <c r="H1135" s="42" t="n">
        <v>0.11755959756158</v>
      </c>
      <c r="I1135" s="31" t="n">
        <v>69.5</v>
      </c>
      <c r="J1135" s="2" t="s">
        <v>2705</v>
      </c>
      <c r="K1135" s="43" t="n">
        <v>0.117019476123522</v>
      </c>
      <c r="L1135" s="31" t="n">
        <v>40.2</v>
      </c>
      <c r="M1135" s="34" t="s">
        <v>668</v>
      </c>
      <c r="N1135" s="2" t="s">
        <v>21</v>
      </c>
      <c r="O1135" s="2" t="s">
        <v>21</v>
      </c>
      <c r="P1135" s="2" t="s">
        <v>21</v>
      </c>
      <c r="Q1135" s="2" t="s">
        <v>21</v>
      </c>
    </row>
    <row r="1136" customFormat="false" ht="15" hidden="false" customHeight="false" outlineLevel="0" collapsed="false">
      <c r="A1136" s="2" t="s">
        <v>2504</v>
      </c>
      <c r="B1136" s="2" t="s">
        <v>47</v>
      </c>
      <c r="C1136" s="13" t="s">
        <v>2505</v>
      </c>
      <c r="D1136" s="35" t="n">
        <v>24962</v>
      </c>
      <c r="E1136" s="2" t="s">
        <v>667</v>
      </c>
      <c r="F1136" s="45" t="n">
        <v>0.788871149877341</v>
      </c>
      <c r="G1136" s="31" t="n">
        <v>26</v>
      </c>
      <c r="H1136" s="37" t="n">
        <v>0.126647409279653</v>
      </c>
      <c r="I1136" s="31" t="n">
        <v>68.8</v>
      </c>
      <c r="J1136" s="2" t="s">
        <v>2697</v>
      </c>
      <c r="K1136" s="38" t="n">
        <v>0.00181488203266788</v>
      </c>
      <c r="L1136" s="31" t="n">
        <v>2.3</v>
      </c>
      <c r="M1136" s="39" t="s">
        <v>671</v>
      </c>
      <c r="N1136" s="2" t="s">
        <v>19</v>
      </c>
      <c r="O1136" s="2" t="s">
        <v>17</v>
      </c>
      <c r="P1136" s="2" t="s">
        <v>19</v>
      </c>
      <c r="Q1136" s="2" t="s">
        <v>19</v>
      </c>
    </row>
    <row r="1137" customFormat="false" ht="15" hidden="false" customHeight="false" outlineLevel="0" collapsed="false">
      <c r="A1137" s="2" t="s">
        <v>382</v>
      </c>
      <c r="B1137" s="2" t="s">
        <v>45</v>
      </c>
      <c r="C1137" s="14" t="s">
        <v>1292</v>
      </c>
      <c r="D1137" s="40" t="n">
        <v>165130</v>
      </c>
      <c r="E1137" s="2" t="s">
        <v>670</v>
      </c>
      <c r="F1137" s="41" t="n">
        <v>0.263041240234966</v>
      </c>
      <c r="G1137" s="31" t="n">
        <v>14.5</v>
      </c>
      <c r="H1137" s="42" t="n">
        <v>0.0688717716357046</v>
      </c>
      <c r="I1137" s="31" t="n">
        <v>45.7</v>
      </c>
      <c r="J1137" s="2" t="s">
        <v>2698</v>
      </c>
      <c r="K1137" s="43" t="n">
        <v>0.0455445544554455</v>
      </c>
      <c r="L1137" s="31" t="n">
        <v>11.6</v>
      </c>
      <c r="M1137" s="39" t="s">
        <v>671</v>
      </c>
      <c r="N1137" s="2" t="s">
        <v>21</v>
      </c>
      <c r="O1137" s="2" t="s">
        <v>21</v>
      </c>
      <c r="P1137" s="2" t="s">
        <v>21</v>
      </c>
      <c r="Q1137" s="2" t="s">
        <v>21</v>
      </c>
    </row>
    <row r="1138" customFormat="false" ht="15" hidden="false" customHeight="false" outlineLevel="0" collapsed="false">
      <c r="A1138" s="2" t="s">
        <v>382</v>
      </c>
      <c r="B1138" s="2" t="s">
        <v>47</v>
      </c>
      <c r="C1138" s="13" t="s">
        <v>2084</v>
      </c>
      <c r="D1138" s="35" t="n">
        <v>190970</v>
      </c>
      <c r="E1138" s="2" t="s">
        <v>670</v>
      </c>
      <c r="F1138" s="36" t="n">
        <v>2.48824422684191</v>
      </c>
      <c r="G1138" s="31" t="n">
        <v>82.7</v>
      </c>
      <c r="H1138" s="37" t="n">
        <v>0.103037584257008</v>
      </c>
      <c r="I1138" s="31" t="n">
        <v>57.8</v>
      </c>
      <c r="J1138" s="2" t="s">
        <v>2701</v>
      </c>
      <c r="K1138" s="38" t="n">
        <v>0.154065797641217</v>
      </c>
      <c r="L1138" s="31" t="n">
        <v>72</v>
      </c>
      <c r="M1138" s="39" t="s">
        <v>671</v>
      </c>
      <c r="N1138" s="2" t="s">
        <v>19</v>
      </c>
      <c r="O1138" s="2" t="s">
        <v>19</v>
      </c>
      <c r="P1138" s="2" t="s">
        <v>19</v>
      </c>
      <c r="Q1138" s="2" t="s">
        <v>19</v>
      </c>
    </row>
    <row r="1139" customFormat="false" ht="15" hidden="false" customHeight="false" outlineLevel="0" collapsed="false">
      <c r="A1139" s="2" t="s">
        <v>440</v>
      </c>
      <c r="B1139" s="2" t="s">
        <v>45</v>
      </c>
      <c r="C1139" s="14" t="s">
        <v>1115</v>
      </c>
      <c r="D1139" s="40" t="n">
        <v>25960</v>
      </c>
      <c r="E1139" s="2" t="s">
        <v>667</v>
      </c>
      <c r="F1139" s="41" t="n">
        <v>0.492411402157165</v>
      </c>
      <c r="G1139" s="31" t="n">
        <v>40</v>
      </c>
      <c r="H1139" s="42" t="n">
        <v>0.198522622345337</v>
      </c>
      <c r="I1139" s="31" t="n">
        <v>92.5</v>
      </c>
      <c r="J1139" s="2" t="s">
        <v>2704</v>
      </c>
      <c r="K1139" s="43" t="n">
        <v>0.178256611165524</v>
      </c>
      <c r="L1139" s="31" t="n">
        <v>63.3</v>
      </c>
      <c r="M1139" s="39" t="s">
        <v>671</v>
      </c>
      <c r="N1139" s="2" t="s">
        <v>21</v>
      </c>
      <c r="O1139" s="2" t="s">
        <v>21</v>
      </c>
      <c r="P1139" s="2" t="s">
        <v>21</v>
      </c>
      <c r="Q1139" s="2" t="s">
        <v>21</v>
      </c>
    </row>
    <row r="1140" customFormat="false" ht="15" hidden="false" customHeight="false" outlineLevel="0" collapsed="false">
      <c r="A1140" s="2" t="s">
        <v>440</v>
      </c>
      <c r="B1140" s="2" t="s">
        <v>46</v>
      </c>
      <c r="C1140" s="14" t="s">
        <v>1490</v>
      </c>
      <c r="D1140" s="40" t="n">
        <v>45890</v>
      </c>
      <c r="E1140" s="2" t="s">
        <v>667</v>
      </c>
      <c r="F1140" s="41" t="n">
        <v>6.42259751579865</v>
      </c>
      <c r="G1140" s="31" t="n">
        <v>83.5</v>
      </c>
      <c r="H1140" s="42" t="n">
        <v>0.0612858464384829</v>
      </c>
      <c r="I1140" s="31" t="n">
        <v>36.1</v>
      </c>
      <c r="J1140" s="2" t="s">
        <v>2700</v>
      </c>
      <c r="K1140" s="43" t="n">
        <v>0.264053563955921</v>
      </c>
      <c r="L1140" s="31" t="n">
        <v>85.8</v>
      </c>
      <c r="M1140" s="39" t="s">
        <v>671</v>
      </c>
      <c r="N1140" s="2" t="s">
        <v>21</v>
      </c>
      <c r="O1140" s="2" t="s">
        <v>21</v>
      </c>
      <c r="P1140" s="2" t="s">
        <v>21</v>
      </c>
      <c r="Q1140" s="2" t="s">
        <v>21</v>
      </c>
    </row>
    <row r="1141" customFormat="false" ht="15" hidden="false" customHeight="false" outlineLevel="0" collapsed="false">
      <c r="A1141" s="2" t="s">
        <v>440</v>
      </c>
      <c r="B1141" s="2" t="s">
        <v>47</v>
      </c>
      <c r="C1141" s="13" t="s">
        <v>2658</v>
      </c>
      <c r="D1141" s="35" t="n">
        <v>627</v>
      </c>
      <c r="E1141" s="2" t="s">
        <v>678</v>
      </c>
      <c r="F1141" s="36" t="n">
        <v>0.263157894736842</v>
      </c>
      <c r="G1141" s="31" t="n">
        <v>3.6</v>
      </c>
      <c r="H1141" s="37" t="n">
        <v>0.045</v>
      </c>
      <c r="I1141" s="31" t="n">
        <v>28</v>
      </c>
      <c r="J1141" s="2" t="s">
        <v>2706</v>
      </c>
      <c r="K1141" s="38" t="n">
        <v>0</v>
      </c>
      <c r="L1141" s="31" t="n">
        <v>0.7</v>
      </c>
      <c r="M1141" s="39" t="s">
        <v>671</v>
      </c>
      <c r="N1141" s="2" t="s">
        <v>19</v>
      </c>
      <c r="O1141" s="2" t="s">
        <v>19</v>
      </c>
      <c r="P1141" s="2" t="s">
        <v>19</v>
      </c>
      <c r="Q1141" s="2" t="s">
        <v>19</v>
      </c>
    </row>
    <row r="1142" customFormat="false" ht="15" hidden="false" customHeight="false" outlineLevel="0" collapsed="false">
      <c r="A1142" s="2" t="s">
        <v>2374</v>
      </c>
      <c r="B1142" s="2" t="s">
        <v>45</v>
      </c>
      <c r="C1142" s="14" t="s">
        <v>2985</v>
      </c>
      <c r="D1142" s="40" t="n">
        <v>16190</v>
      </c>
      <c r="E1142" s="2" t="s">
        <v>667</v>
      </c>
      <c r="F1142" s="41" t="n">
        <v>1.09561457689932</v>
      </c>
      <c r="G1142" s="31" t="n">
        <v>79.7</v>
      </c>
      <c r="H1142" s="42" t="n">
        <v>0.153955808980756</v>
      </c>
      <c r="I1142" s="31" t="n">
        <v>79</v>
      </c>
      <c r="J1142" s="2" t="s">
        <v>2704</v>
      </c>
      <c r="K1142" s="33"/>
      <c r="L1142" s="31"/>
      <c r="M1142" s="34" t="s">
        <v>668</v>
      </c>
      <c r="N1142" s="2" t="s">
        <v>21</v>
      </c>
      <c r="O1142" s="2" t="s">
        <v>21</v>
      </c>
      <c r="P1142" s="2" t="s">
        <v>21</v>
      </c>
      <c r="Q1142" s="2"/>
    </row>
    <row r="1143" customFormat="false" ht="15" hidden="false" customHeight="false" outlineLevel="0" collapsed="false">
      <c r="A1143" s="2" t="s">
        <v>2374</v>
      </c>
      <c r="B1143" s="2" t="s">
        <v>46</v>
      </c>
      <c r="C1143" s="14" t="s">
        <v>2986</v>
      </c>
      <c r="D1143" s="40" t="n">
        <v>3480</v>
      </c>
      <c r="E1143" s="2" t="s">
        <v>678</v>
      </c>
      <c r="F1143" s="41" t="n">
        <v>13.9977011494253</v>
      </c>
      <c r="G1143" s="31" t="n">
        <v>99.4</v>
      </c>
      <c r="H1143" s="32"/>
      <c r="I1143" s="31"/>
      <c r="J1143" s="2"/>
      <c r="K1143" s="43" t="n">
        <v>0.121887597818354</v>
      </c>
      <c r="L1143" s="31" t="n">
        <v>43.5</v>
      </c>
      <c r="M1143" s="34" t="s">
        <v>668</v>
      </c>
      <c r="N1143" s="2" t="s">
        <v>21</v>
      </c>
      <c r="O1143" s="2" t="s">
        <v>21</v>
      </c>
      <c r="P1143" s="2"/>
      <c r="Q1143" s="2" t="s">
        <v>21</v>
      </c>
    </row>
    <row r="1144" customFormat="false" ht="15" hidden="false" customHeight="false" outlineLevel="0" collapsed="false">
      <c r="A1144" s="2" t="s">
        <v>2374</v>
      </c>
      <c r="B1144" s="2" t="s">
        <v>47</v>
      </c>
      <c r="C1144" s="13" t="s">
        <v>2375</v>
      </c>
      <c r="D1144" s="35" t="n">
        <v>108023</v>
      </c>
      <c r="E1144" s="2" t="s">
        <v>670</v>
      </c>
      <c r="F1144" s="36" t="n">
        <v>1.07191061162901</v>
      </c>
      <c r="G1144" s="31" t="n">
        <v>42.2</v>
      </c>
      <c r="H1144" s="37" t="n">
        <v>0.101893220719342</v>
      </c>
      <c r="I1144" s="31" t="n">
        <v>57.2</v>
      </c>
      <c r="J1144" s="2" t="s">
        <v>2701</v>
      </c>
      <c r="K1144" s="38" t="n">
        <v>0.113403614457831</v>
      </c>
      <c r="L1144" s="31" t="n">
        <v>60.4</v>
      </c>
      <c r="M1144" s="39" t="s">
        <v>671</v>
      </c>
      <c r="N1144" s="2" t="s">
        <v>19</v>
      </c>
      <c r="O1144" s="2" t="s">
        <v>19</v>
      </c>
      <c r="P1144" s="2" t="s">
        <v>19</v>
      </c>
      <c r="Q1144" s="2" t="s">
        <v>19</v>
      </c>
    </row>
    <row r="1145" customFormat="false" ht="15" hidden="false" customHeight="false" outlineLevel="0" collapsed="false">
      <c r="A1145" s="2" t="s">
        <v>1025</v>
      </c>
      <c r="B1145" s="2" t="s">
        <v>45</v>
      </c>
      <c r="C1145" s="14" t="s">
        <v>1026</v>
      </c>
      <c r="D1145" s="40" t="n">
        <v>6800</v>
      </c>
      <c r="E1145" s="2" t="s">
        <v>678</v>
      </c>
      <c r="F1145" s="41" t="n">
        <v>0.624852941176471</v>
      </c>
      <c r="G1145" s="31" t="n">
        <v>51.7</v>
      </c>
      <c r="H1145" s="42" t="n">
        <v>0.168384879725086</v>
      </c>
      <c r="I1145" s="31" t="n">
        <v>85.2</v>
      </c>
      <c r="J1145" s="2" t="s">
        <v>2713</v>
      </c>
      <c r="K1145" s="43" t="n">
        <v>0.254545454545455</v>
      </c>
      <c r="L1145" s="31" t="n">
        <v>83.1</v>
      </c>
      <c r="M1145" s="39" t="s">
        <v>671</v>
      </c>
      <c r="N1145" s="2" t="s">
        <v>21</v>
      </c>
      <c r="O1145" s="2" t="s">
        <v>21</v>
      </c>
      <c r="P1145" s="2" t="s">
        <v>21</v>
      </c>
      <c r="Q1145" s="2" t="s">
        <v>21</v>
      </c>
    </row>
    <row r="1146" customFormat="false" ht="15" hidden="false" customHeight="false" outlineLevel="0" collapsed="false">
      <c r="A1146" s="2" t="s">
        <v>1025</v>
      </c>
      <c r="B1146" s="2" t="s">
        <v>46</v>
      </c>
      <c r="C1146" s="14" t="s">
        <v>2987</v>
      </c>
      <c r="D1146" s="40" t="n">
        <v>37380</v>
      </c>
      <c r="E1146" s="2" t="s">
        <v>667</v>
      </c>
      <c r="F1146" s="41" t="n">
        <v>3.97255216693419</v>
      </c>
      <c r="G1146" s="31" t="n">
        <v>61.9</v>
      </c>
      <c r="H1146" s="42" t="n">
        <v>0.0132827324478178</v>
      </c>
      <c r="I1146" s="31" t="n">
        <v>14.1</v>
      </c>
      <c r="J1146" s="2" t="s">
        <v>2700</v>
      </c>
      <c r="K1146" s="33"/>
      <c r="L1146" s="31"/>
      <c r="M1146" s="34" t="s">
        <v>668</v>
      </c>
      <c r="N1146" s="2" t="s">
        <v>21</v>
      </c>
      <c r="O1146" s="2" t="s">
        <v>21</v>
      </c>
      <c r="P1146" s="2" t="s">
        <v>21</v>
      </c>
      <c r="Q1146" s="2"/>
    </row>
    <row r="1147" customFormat="false" ht="15" hidden="false" customHeight="false" outlineLevel="0" collapsed="false">
      <c r="A1147" s="2" t="s">
        <v>1025</v>
      </c>
      <c r="B1147" s="2" t="s">
        <v>47</v>
      </c>
      <c r="C1147" s="13" t="s">
        <v>2229</v>
      </c>
      <c r="D1147" s="35" t="n">
        <v>26582</v>
      </c>
      <c r="E1147" s="2" t="s">
        <v>667</v>
      </c>
      <c r="F1147" s="36" t="n">
        <v>1.5761041306147</v>
      </c>
      <c r="G1147" s="31" t="n">
        <v>61.6</v>
      </c>
      <c r="H1147" s="37" t="n">
        <v>0.162868016973621</v>
      </c>
      <c r="I1147" s="31" t="n">
        <v>82.3</v>
      </c>
      <c r="J1147" s="2" t="s">
        <v>2697</v>
      </c>
      <c r="K1147" s="38" t="n">
        <v>0.146838156484459</v>
      </c>
      <c r="L1147" s="31" t="n">
        <v>70.5</v>
      </c>
      <c r="M1147" s="39" t="s">
        <v>671</v>
      </c>
      <c r="N1147" s="2" t="s">
        <v>19</v>
      </c>
      <c r="O1147" s="2" t="s">
        <v>19</v>
      </c>
      <c r="P1147" s="2" t="s">
        <v>19</v>
      </c>
      <c r="Q1147" s="2" t="s">
        <v>19</v>
      </c>
    </row>
    <row r="1148" customFormat="false" ht="15" hidden="false" customHeight="false" outlineLevel="0" collapsed="false">
      <c r="A1148" s="2" t="s">
        <v>450</v>
      </c>
      <c r="B1148" s="2" t="s">
        <v>45</v>
      </c>
      <c r="C1148" s="13" t="s">
        <v>1105</v>
      </c>
      <c r="D1148" s="35" t="n">
        <v>277430</v>
      </c>
      <c r="E1148" s="2" t="s">
        <v>670</v>
      </c>
      <c r="F1148" s="36" t="n">
        <v>0.501124608009228</v>
      </c>
      <c r="G1148" s="31" t="n">
        <v>41.2</v>
      </c>
      <c r="H1148" s="37" t="n">
        <v>0.145250243556084</v>
      </c>
      <c r="I1148" s="31" t="n">
        <v>76.1</v>
      </c>
      <c r="J1148" s="2" t="s">
        <v>2698</v>
      </c>
      <c r="K1148" s="38" t="n">
        <v>0.152571758813331</v>
      </c>
      <c r="L1148" s="31" t="n">
        <v>56.4</v>
      </c>
      <c r="M1148" s="39" t="s">
        <v>671</v>
      </c>
      <c r="N1148" s="2" t="s">
        <v>19</v>
      </c>
      <c r="O1148" s="2" t="s">
        <v>19</v>
      </c>
      <c r="P1148" s="2" t="s">
        <v>19</v>
      </c>
      <c r="Q1148" s="2" t="s">
        <v>19</v>
      </c>
    </row>
    <row r="1149" customFormat="false" ht="15" hidden="false" customHeight="false" outlineLevel="0" collapsed="false">
      <c r="A1149" s="2" t="s">
        <v>1843</v>
      </c>
      <c r="B1149" s="2" t="s">
        <v>45</v>
      </c>
      <c r="C1149" s="16"/>
      <c r="D1149" s="29"/>
      <c r="E1149" s="2"/>
      <c r="F1149" s="30"/>
      <c r="G1149" s="31"/>
      <c r="H1149" s="32"/>
      <c r="I1149" s="31"/>
      <c r="J1149" s="2"/>
      <c r="K1149" s="33"/>
      <c r="L1149" s="31"/>
      <c r="M1149" s="34" t="s">
        <v>668</v>
      </c>
      <c r="N1149" s="2"/>
      <c r="O1149" s="2"/>
      <c r="P1149" s="2"/>
      <c r="Q1149" s="2"/>
    </row>
    <row r="1150" customFormat="false" ht="15" hidden="false" customHeight="false" outlineLevel="0" collapsed="false">
      <c r="A1150" s="2" t="s">
        <v>1843</v>
      </c>
      <c r="B1150" s="2" t="s">
        <v>46</v>
      </c>
      <c r="C1150" s="14" t="s">
        <v>1844</v>
      </c>
      <c r="D1150" s="40" t="n">
        <v>156410</v>
      </c>
      <c r="E1150" s="2" t="s">
        <v>670</v>
      </c>
      <c r="F1150" s="41" t="n">
        <v>1.77500159836328</v>
      </c>
      <c r="G1150" s="31" t="n">
        <v>21.8</v>
      </c>
      <c r="H1150" s="42" t="n">
        <v>0.0505776464266523</v>
      </c>
      <c r="I1150" s="31" t="n">
        <v>31.8</v>
      </c>
      <c r="J1150" s="2" t="s">
        <v>2705</v>
      </c>
      <c r="K1150" s="43" t="n">
        <v>0.297917123437843</v>
      </c>
      <c r="L1150" s="31" t="n">
        <v>90.9</v>
      </c>
      <c r="M1150" s="39" t="s">
        <v>671</v>
      </c>
      <c r="N1150" s="2" t="s">
        <v>21</v>
      </c>
      <c r="O1150" s="2" t="s">
        <v>21</v>
      </c>
      <c r="P1150" s="2" t="s">
        <v>21</v>
      </c>
      <c r="Q1150" s="2" t="s">
        <v>21</v>
      </c>
    </row>
    <row r="1151" customFormat="false" ht="15" hidden="false" customHeight="false" outlineLevel="0" collapsed="false">
      <c r="A1151" s="2" t="s">
        <v>1843</v>
      </c>
      <c r="B1151" s="2" t="s">
        <v>47</v>
      </c>
      <c r="C1151" s="13" t="s">
        <v>2519</v>
      </c>
      <c r="D1151" s="35" t="n">
        <v>64610</v>
      </c>
      <c r="E1151" s="2" t="s">
        <v>667</v>
      </c>
      <c r="F1151" s="36" t="n">
        <v>0.75896919981427</v>
      </c>
      <c r="G1151" s="31" t="n">
        <v>24.7</v>
      </c>
      <c r="H1151" s="37" t="n">
        <v>0.0599448782728526</v>
      </c>
      <c r="I1151" s="31" t="n">
        <v>34.8</v>
      </c>
      <c r="J1151" s="2" t="s">
        <v>2697</v>
      </c>
      <c r="K1151" s="38" t="n">
        <v>0.0309977397481434</v>
      </c>
      <c r="L1151" s="31" t="n">
        <v>20</v>
      </c>
      <c r="M1151" s="39" t="s">
        <v>671</v>
      </c>
      <c r="N1151" s="2" t="s">
        <v>19</v>
      </c>
      <c r="O1151" s="2" t="s">
        <v>19</v>
      </c>
      <c r="P1151" s="2" t="s">
        <v>19</v>
      </c>
      <c r="Q1151" s="2" t="s">
        <v>19</v>
      </c>
    </row>
    <row r="1152" customFormat="false" ht="15" hidden="false" customHeight="false" outlineLevel="0" collapsed="false">
      <c r="A1152" s="2" t="s">
        <v>436</v>
      </c>
      <c r="B1152" s="2" t="s">
        <v>45</v>
      </c>
      <c r="C1152" s="13" t="s">
        <v>1208</v>
      </c>
      <c r="D1152" s="35" t="n">
        <v>1355837</v>
      </c>
      <c r="E1152" s="2" t="s">
        <v>752</v>
      </c>
      <c r="F1152" s="36" t="n">
        <v>0.377566772407008</v>
      </c>
      <c r="G1152" s="31" t="n">
        <v>27.6</v>
      </c>
      <c r="H1152" s="37" t="n">
        <v>0.118296323117618</v>
      </c>
      <c r="I1152" s="31" t="n">
        <v>56.2</v>
      </c>
      <c r="J1152" s="2" t="s">
        <v>2712</v>
      </c>
      <c r="K1152" s="38" t="n">
        <v>0.122171618593219</v>
      </c>
      <c r="L1152" s="31" t="n">
        <v>44.2</v>
      </c>
      <c r="M1152" s="39" t="s">
        <v>671</v>
      </c>
      <c r="N1152" s="2" t="s">
        <v>19</v>
      </c>
      <c r="O1152" s="2" t="s">
        <v>19</v>
      </c>
      <c r="P1152" s="2" t="s">
        <v>19</v>
      </c>
      <c r="Q1152" s="2" t="s">
        <v>19</v>
      </c>
    </row>
    <row r="1153" customFormat="false" ht="15" hidden="false" customHeight="false" outlineLevel="0" collapsed="false">
      <c r="A1153" s="2" t="s">
        <v>436</v>
      </c>
      <c r="B1153" s="2" t="s">
        <v>46</v>
      </c>
      <c r="C1153" s="13" t="s">
        <v>1734</v>
      </c>
      <c r="D1153" s="35" t="n">
        <v>1596</v>
      </c>
      <c r="E1153" s="2" t="s">
        <v>678</v>
      </c>
      <c r="F1153" s="36" t="n">
        <v>2.61967418546366</v>
      </c>
      <c r="G1153" s="31" t="n">
        <v>40.4</v>
      </c>
      <c r="H1153" s="37" t="n">
        <v>0.0445026178010471</v>
      </c>
      <c r="I1153" s="31" t="n">
        <v>16.7</v>
      </c>
      <c r="J1153" s="2" t="s">
        <v>2720</v>
      </c>
      <c r="K1153" s="38" t="n">
        <v>0.03125</v>
      </c>
      <c r="L1153" s="31" t="n">
        <v>6.7</v>
      </c>
      <c r="M1153" s="39" t="s">
        <v>671</v>
      </c>
      <c r="N1153" s="2" t="s">
        <v>19</v>
      </c>
      <c r="O1153" s="2" t="s">
        <v>19</v>
      </c>
      <c r="P1153" s="2" t="s">
        <v>19</v>
      </c>
      <c r="Q1153" s="2" t="s">
        <v>19</v>
      </c>
    </row>
    <row r="1154" customFormat="false" ht="15" hidden="false" customHeight="false" outlineLevel="0" collapsed="false">
      <c r="A1154" s="2" t="s">
        <v>436</v>
      </c>
      <c r="B1154" s="2" t="s">
        <v>47</v>
      </c>
      <c r="C1154" s="13" t="s">
        <v>2237</v>
      </c>
      <c r="D1154" s="35" t="n">
        <v>3434</v>
      </c>
      <c r="E1154" s="2" t="s">
        <v>678</v>
      </c>
      <c r="F1154" s="36" t="n">
        <v>1.5387303436226</v>
      </c>
      <c r="G1154" s="31" t="n">
        <v>60.5</v>
      </c>
      <c r="H1154" s="37" t="n">
        <v>0.112406867508908</v>
      </c>
      <c r="I1154" s="31" t="n">
        <v>52</v>
      </c>
      <c r="J1154" s="2" t="s">
        <v>2706</v>
      </c>
      <c r="K1154" s="38" t="n">
        <v>0.0847457627118644</v>
      </c>
      <c r="L1154" s="31" t="n">
        <v>47</v>
      </c>
      <c r="M1154" s="39" t="s">
        <v>671</v>
      </c>
      <c r="N1154" s="2" t="s">
        <v>19</v>
      </c>
      <c r="O1154" s="2" t="s">
        <v>19</v>
      </c>
      <c r="P1154" s="2" t="s">
        <v>19</v>
      </c>
      <c r="Q1154" s="2" t="s">
        <v>19</v>
      </c>
    </row>
    <row r="1155" customFormat="false" ht="15" hidden="false" customHeight="false" outlineLevel="0" collapsed="false">
      <c r="A1155" s="2" t="s">
        <v>2988</v>
      </c>
      <c r="B1155" s="2" t="s">
        <v>47</v>
      </c>
      <c r="C1155" s="16"/>
      <c r="D1155" s="29"/>
      <c r="E1155" s="2"/>
      <c r="F1155" s="30"/>
      <c r="G1155" s="31"/>
      <c r="H1155" s="32"/>
      <c r="I1155" s="31"/>
      <c r="J1155" s="2"/>
      <c r="K1155" s="33"/>
      <c r="L1155" s="31"/>
      <c r="M1155" s="34" t="s">
        <v>668</v>
      </c>
      <c r="N1155" s="2"/>
      <c r="O1155" s="2"/>
      <c r="P1155" s="2"/>
      <c r="Q1155" s="2"/>
    </row>
    <row r="1156" customFormat="false" ht="15" hidden="false" customHeight="false" outlineLevel="0" collapsed="false">
      <c r="A1156" s="2" t="s">
        <v>2989</v>
      </c>
      <c r="B1156" s="2" t="s">
        <v>45</v>
      </c>
      <c r="C1156" s="14" t="s">
        <v>2990</v>
      </c>
      <c r="D1156" s="40" t="n">
        <v>52200</v>
      </c>
      <c r="E1156" s="2" t="s">
        <v>667</v>
      </c>
      <c r="F1156" s="41" t="n">
        <v>0.187452107279694</v>
      </c>
      <c r="G1156" s="31" t="n">
        <v>6.8</v>
      </c>
      <c r="H1156" s="42" t="n">
        <v>0.121374865735768</v>
      </c>
      <c r="I1156" s="31" t="n">
        <v>61.9</v>
      </c>
      <c r="J1156" s="2" t="s">
        <v>2704</v>
      </c>
      <c r="K1156" s="33"/>
      <c r="L1156" s="31"/>
      <c r="M1156" s="34" t="s">
        <v>668</v>
      </c>
      <c r="N1156" s="2" t="s">
        <v>21</v>
      </c>
      <c r="O1156" s="2" t="s">
        <v>21</v>
      </c>
      <c r="P1156" s="2" t="s">
        <v>21</v>
      </c>
      <c r="Q1156" s="2"/>
    </row>
    <row r="1157" customFormat="false" ht="15" hidden="false" customHeight="false" outlineLevel="0" collapsed="false">
      <c r="A1157" s="2" t="s">
        <v>484</v>
      </c>
      <c r="B1157" s="2" t="s">
        <v>45</v>
      </c>
      <c r="C1157" s="13" t="s">
        <v>1168</v>
      </c>
      <c r="D1157" s="35" t="n">
        <v>82977</v>
      </c>
      <c r="E1157" s="2" t="s">
        <v>667</v>
      </c>
      <c r="F1157" s="36" t="n">
        <v>0.418405100208492</v>
      </c>
      <c r="G1157" s="31" t="n">
        <v>32.7</v>
      </c>
      <c r="H1157" s="37" t="n">
        <v>0.0572338663438874</v>
      </c>
      <c r="I1157" s="31" t="n">
        <v>31.3</v>
      </c>
      <c r="J1157" s="2" t="s">
        <v>2704</v>
      </c>
      <c r="K1157" s="38" t="n">
        <v>0.413359788359788</v>
      </c>
      <c r="L1157" s="31" t="n">
        <v>98.9</v>
      </c>
      <c r="M1157" s="39" t="s">
        <v>671</v>
      </c>
      <c r="N1157" s="2" t="s">
        <v>19</v>
      </c>
      <c r="O1157" s="2" t="s">
        <v>19</v>
      </c>
      <c r="P1157" s="2" t="s">
        <v>19</v>
      </c>
      <c r="Q1157" s="2" t="s">
        <v>19</v>
      </c>
    </row>
    <row r="1158" customFormat="false" ht="15" hidden="false" customHeight="false" outlineLevel="0" collapsed="false">
      <c r="A1158" s="2" t="s">
        <v>484</v>
      </c>
      <c r="B1158" s="2" t="s">
        <v>46</v>
      </c>
      <c r="C1158" s="13" t="s">
        <v>1537</v>
      </c>
      <c r="D1158" s="35" t="n">
        <v>460261</v>
      </c>
      <c r="E1158" s="2" t="s">
        <v>670</v>
      </c>
      <c r="F1158" s="36" t="n">
        <v>5.2533910107526</v>
      </c>
      <c r="G1158" s="31" t="n">
        <v>75.3</v>
      </c>
      <c r="H1158" s="37" t="n">
        <v>0.127231448577188</v>
      </c>
      <c r="I1158" s="31" t="n">
        <v>72.8</v>
      </c>
      <c r="J1158" s="2" t="s">
        <v>2705</v>
      </c>
      <c r="K1158" s="38" t="n">
        <v>0.128498328591365</v>
      </c>
      <c r="L1158" s="31" t="n">
        <v>48.4</v>
      </c>
      <c r="M1158" s="39" t="s">
        <v>671</v>
      </c>
      <c r="N1158" s="2" t="s">
        <v>19</v>
      </c>
      <c r="O1158" s="2" t="s">
        <v>19</v>
      </c>
      <c r="P1158" s="2" t="s">
        <v>19</v>
      </c>
      <c r="Q1158" s="2" t="s">
        <v>19</v>
      </c>
    </row>
    <row r="1159" customFormat="false" ht="15" hidden="false" customHeight="false" outlineLevel="0" collapsed="false">
      <c r="A1159" s="2" t="s">
        <v>484</v>
      </c>
      <c r="B1159" s="2" t="s">
        <v>47</v>
      </c>
      <c r="C1159" s="13" t="s">
        <v>2644</v>
      </c>
      <c r="D1159" s="35" t="n">
        <v>12822</v>
      </c>
      <c r="E1159" s="2" t="s">
        <v>667</v>
      </c>
      <c r="F1159" s="36" t="n">
        <v>0.333177351427234</v>
      </c>
      <c r="G1159" s="31" t="n">
        <v>5.7</v>
      </c>
      <c r="H1159" s="37" t="n">
        <v>0.219516834696595</v>
      </c>
      <c r="I1159" s="31" t="n">
        <v>96.1</v>
      </c>
      <c r="J1159" s="2" t="s">
        <v>2697</v>
      </c>
      <c r="K1159" s="38" t="n">
        <v>0.117647058823529</v>
      </c>
      <c r="L1159" s="31" t="n">
        <v>62.3</v>
      </c>
      <c r="M1159" s="39" t="s">
        <v>671</v>
      </c>
      <c r="N1159" s="2" t="s">
        <v>19</v>
      </c>
      <c r="O1159" s="2" t="s">
        <v>19</v>
      </c>
      <c r="P1159" s="2" t="s">
        <v>19</v>
      </c>
      <c r="Q1159" s="2" t="s">
        <v>19</v>
      </c>
    </row>
    <row r="1160" customFormat="false" ht="15" hidden="false" customHeight="false" outlineLevel="0" collapsed="false">
      <c r="A1160" s="2" t="s">
        <v>1688</v>
      </c>
      <c r="B1160" s="2" t="s">
        <v>45</v>
      </c>
      <c r="C1160" s="14" t="s">
        <v>2991</v>
      </c>
      <c r="D1160" s="29"/>
      <c r="E1160" s="2"/>
      <c r="F1160" s="30"/>
      <c r="G1160" s="31"/>
      <c r="H1160" s="32"/>
      <c r="I1160" s="31"/>
      <c r="J1160" s="2"/>
      <c r="K1160" s="43" t="n">
        <v>0.0407762756214566</v>
      </c>
      <c r="L1160" s="31" t="n">
        <v>10.2</v>
      </c>
      <c r="M1160" s="34" t="s">
        <v>668</v>
      </c>
      <c r="N1160" s="2"/>
      <c r="O1160" s="2"/>
      <c r="P1160" s="2"/>
      <c r="Q1160" s="2" t="s">
        <v>21</v>
      </c>
    </row>
    <row r="1161" customFormat="false" ht="15" hidden="false" customHeight="false" outlineLevel="0" collapsed="false">
      <c r="A1161" s="2" t="s">
        <v>1688</v>
      </c>
      <c r="B1161" s="2" t="s">
        <v>46</v>
      </c>
      <c r="C1161" s="13" t="s">
        <v>1689</v>
      </c>
      <c r="D1161" s="35" t="n">
        <v>4345</v>
      </c>
      <c r="E1161" s="2" t="s">
        <v>678</v>
      </c>
      <c r="F1161" s="36" t="n">
        <v>3.03590333716916</v>
      </c>
      <c r="G1161" s="31" t="n">
        <v>48</v>
      </c>
      <c r="H1161" s="37" t="n">
        <v>0.0218720602069614</v>
      </c>
      <c r="I1161" s="31" t="n">
        <v>6.2</v>
      </c>
      <c r="J1161" s="2" t="s">
        <v>2720</v>
      </c>
      <c r="K1161" s="38" t="n">
        <v>0.141148325358852</v>
      </c>
      <c r="L1161" s="31" t="n">
        <v>51.8</v>
      </c>
      <c r="M1161" s="39" t="s">
        <v>671</v>
      </c>
      <c r="N1161" s="2" t="s">
        <v>19</v>
      </c>
      <c r="O1161" s="2" t="s">
        <v>19</v>
      </c>
      <c r="P1161" s="2" t="s">
        <v>19</v>
      </c>
      <c r="Q1161" s="2" t="s">
        <v>19</v>
      </c>
    </row>
    <row r="1162" customFormat="false" ht="15" hidden="false" customHeight="false" outlineLevel="0" collapsed="false">
      <c r="A1162" s="2" t="s">
        <v>1688</v>
      </c>
      <c r="B1162" s="2" t="s">
        <v>47</v>
      </c>
      <c r="C1162" s="13" t="s">
        <v>2139</v>
      </c>
      <c r="D1162" s="35" t="n">
        <v>50578</v>
      </c>
      <c r="E1162" s="2" t="s">
        <v>667</v>
      </c>
      <c r="F1162" s="36" t="n">
        <v>2.00446834592115</v>
      </c>
      <c r="G1162" s="31" t="n">
        <v>74.1</v>
      </c>
      <c r="H1162" s="37" t="n">
        <v>0.106570109611219</v>
      </c>
      <c r="I1162" s="31" t="n">
        <v>56.4</v>
      </c>
      <c r="J1162" s="2" t="s">
        <v>2697</v>
      </c>
      <c r="K1162" s="38" t="n">
        <v>0.345258103241297</v>
      </c>
      <c r="L1162" s="31" t="n">
        <v>98.1</v>
      </c>
      <c r="M1162" s="39" t="s">
        <v>671</v>
      </c>
      <c r="N1162" s="2" t="s">
        <v>19</v>
      </c>
      <c r="O1162" s="2" t="s">
        <v>19</v>
      </c>
      <c r="P1162" s="2" t="s">
        <v>19</v>
      </c>
      <c r="Q1162" s="2" t="s">
        <v>19</v>
      </c>
    </row>
    <row r="1163" customFormat="false" ht="15" hidden="false" customHeight="false" outlineLevel="0" collapsed="false">
      <c r="A1163" s="2" t="s">
        <v>1129</v>
      </c>
      <c r="B1163" s="2" t="s">
        <v>45</v>
      </c>
      <c r="C1163" s="14" t="s">
        <v>1130</v>
      </c>
      <c r="D1163" s="40" t="n">
        <v>293110</v>
      </c>
      <c r="E1163" s="2" t="s">
        <v>670</v>
      </c>
      <c r="F1163" s="41" t="n">
        <v>0.480403261574153</v>
      </c>
      <c r="G1163" s="31" t="n">
        <v>38.7</v>
      </c>
      <c r="H1163" s="42" t="n">
        <v>0.107245391356905</v>
      </c>
      <c r="I1163" s="31" t="n">
        <v>62.3</v>
      </c>
      <c r="J1163" s="2" t="s">
        <v>2698</v>
      </c>
      <c r="K1163" s="43" t="n">
        <v>0.135322425409047</v>
      </c>
      <c r="L1163" s="31" t="n">
        <v>51.1</v>
      </c>
      <c r="M1163" s="39" t="s">
        <v>671</v>
      </c>
      <c r="N1163" s="2" t="s">
        <v>21</v>
      </c>
      <c r="O1163" s="2" t="s">
        <v>21</v>
      </c>
      <c r="P1163" s="2" t="s">
        <v>21</v>
      </c>
      <c r="Q1163" s="2" t="s">
        <v>21</v>
      </c>
    </row>
    <row r="1164" customFormat="false" ht="15" hidden="false" customHeight="false" outlineLevel="0" collapsed="false">
      <c r="A1164" s="2" t="s">
        <v>1129</v>
      </c>
      <c r="B1164" s="2" t="s">
        <v>46</v>
      </c>
      <c r="C1164" s="14" t="s">
        <v>1784</v>
      </c>
      <c r="D1164" s="35" t="n">
        <v>45137</v>
      </c>
      <c r="E1164" s="2" t="s">
        <v>667</v>
      </c>
      <c r="F1164" s="36" t="n">
        <v>2.23074196335601</v>
      </c>
      <c r="G1164" s="31" t="n">
        <v>31.7</v>
      </c>
      <c r="H1164" s="37" t="n">
        <v>0.101466604846385</v>
      </c>
      <c r="I1164" s="31" t="n">
        <v>55.6</v>
      </c>
      <c r="J1164" s="2" t="s">
        <v>2700</v>
      </c>
      <c r="K1164" s="38" t="n">
        <v>0.0885873902633679</v>
      </c>
      <c r="L1164" s="31" t="n">
        <v>27.5</v>
      </c>
      <c r="M1164" s="39" t="s">
        <v>671</v>
      </c>
      <c r="N1164" s="2" t="s">
        <v>19</v>
      </c>
      <c r="O1164" s="2" t="s">
        <v>19</v>
      </c>
      <c r="P1164" s="2" t="s">
        <v>19</v>
      </c>
      <c r="Q1164" s="2" t="s">
        <v>19</v>
      </c>
    </row>
    <row r="1165" customFormat="false" ht="15" hidden="false" customHeight="false" outlineLevel="0" collapsed="false">
      <c r="A1165" s="2" t="s">
        <v>1129</v>
      </c>
      <c r="B1165" s="2" t="s">
        <v>47</v>
      </c>
      <c r="C1165" s="16"/>
      <c r="D1165" s="29"/>
      <c r="E1165" s="2"/>
      <c r="F1165" s="30"/>
      <c r="G1165" s="31"/>
      <c r="H1165" s="32"/>
      <c r="I1165" s="31"/>
      <c r="J1165" s="2"/>
      <c r="K1165" s="33"/>
      <c r="L1165" s="31"/>
      <c r="M1165" s="34" t="s">
        <v>668</v>
      </c>
      <c r="N1165" s="2"/>
      <c r="O1165" s="2"/>
      <c r="P1165" s="2"/>
      <c r="Q1165" s="2"/>
    </row>
    <row r="1166" customFormat="false" ht="15" hidden="false" customHeight="false" outlineLevel="0" collapsed="false">
      <c r="A1166" s="2" t="s">
        <v>1042</v>
      </c>
      <c r="B1166" s="2" t="s">
        <v>45</v>
      </c>
      <c r="C1166" s="14" t="s">
        <v>1043</v>
      </c>
      <c r="D1166" s="40" t="n">
        <v>105650</v>
      </c>
      <c r="E1166" s="2" t="s">
        <v>670</v>
      </c>
      <c r="F1166" s="41" t="n">
        <v>0.601438712730715</v>
      </c>
      <c r="G1166" s="31" t="n">
        <v>49.8</v>
      </c>
      <c r="H1166" s="42" t="n">
        <v>0.0442819017495305</v>
      </c>
      <c r="I1166" s="31" t="n">
        <v>29</v>
      </c>
      <c r="J1166" s="2" t="s">
        <v>2698</v>
      </c>
      <c r="K1166" s="43" t="n">
        <v>0.292110874200426</v>
      </c>
      <c r="L1166" s="31" t="n">
        <v>89.8</v>
      </c>
      <c r="M1166" s="39" t="s">
        <v>671</v>
      </c>
      <c r="N1166" s="2" t="s">
        <v>21</v>
      </c>
      <c r="O1166" s="2" t="s">
        <v>21</v>
      </c>
      <c r="P1166" s="2" t="s">
        <v>21</v>
      </c>
      <c r="Q1166" s="2" t="s">
        <v>21</v>
      </c>
    </row>
    <row r="1167" customFormat="false" ht="15" hidden="false" customHeight="false" outlineLevel="0" collapsed="false">
      <c r="A1167" s="2" t="s">
        <v>1042</v>
      </c>
      <c r="B1167" s="2" t="s">
        <v>46</v>
      </c>
      <c r="C1167" s="16"/>
      <c r="D1167" s="29"/>
      <c r="E1167" s="2"/>
      <c r="F1167" s="30"/>
      <c r="G1167" s="31"/>
      <c r="H1167" s="32"/>
      <c r="I1167" s="31"/>
      <c r="J1167" s="2"/>
      <c r="K1167" s="33"/>
      <c r="L1167" s="31"/>
      <c r="M1167" s="34" t="s">
        <v>668</v>
      </c>
      <c r="N1167" s="2"/>
      <c r="O1167" s="2"/>
      <c r="P1167" s="2"/>
      <c r="Q1167" s="2"/>
    </row>
    <row r="1168" customFormat="false" ht="15" hidden="false" customHeight="false" outlineLevel="0" collapsed="false">
      <c r="A1168" s="2" t="s">
        <v>1042</v>
      </c>
      <c r="B1168" s="2" t="s">
        <v>47</v>
      </c>
      <c r="C1168" s="13" t="s">
        <v>2363</v>
      </c>
      <c r="D1168" s="35" t="n">
        <v>76501</v>
      </c>
      <c r="E1168" s="2" t="s">
        <v>667</v>
      </c>
      <c r="F1168" s="36" t="n">
        <v>1.10029934249226</v>
      </c>
      <c r="G1168" s="31" t="n">
        <v>43.9</v>
      </c>
      <c r="H1168" s="37" t="n">
        <v>0.0238219509910199</v>
      </c>
      <c r="I1168" s="31" t="n">
        <v>17.7</v>
      </c>
      <c r="J1168" s="2" t="s">
        <v>2697</v>
      </c>
      <c r="K1168" s="38" t="n">
        <v>0.0359581247155212</v>
      </c>
      <c r="L1168" s="31" t="n">
        <v>23.4</v>
      </c>
      <c r="M1168" s="39" t="s">
        <v>671</v>
      </c>
      <c r="N1168" s="2" t="s">
        <v>19</v>
      </c>
      <c r="O1168" s="2" t="s">
        <v>19</v>
      </c>
      <c r="P1168" s="2" t="s">
        <v>19</v>
      </c>
      <c r="Q1168" s="2" t="s">
        <v>19</v>
      </c>
    </row>
    <row r="1169" customFormat="false" ht="15" hidden="false" customHeight="false" outlineLevel="0" collapsed="false">
      <c r="A1169" s="2" t="s">
        <v>538</v>
      </c>
      <c r="B1169" s="2" t="s">
        <v>45</v>
      </c>
      <c r="C1169" s="14" t="s">
        <v>1335</v>
      </c>
      <c r="D1169" s="40" t="n">
        <v>32740</v>
      </c>
      <c r="E1169" s="2" t="s">
        <v>667</v>
      </c>
      <c r="F1169" s="41" t="n">
        <v>0.193372021991448</v>
      </c>
      <c r="G1169" s="31" t="n">
        <v>7.3</v>
      </c>
      <c r="H1169" s="42" t="n">
        <v>0.019620056057303</v>
      </c>
      <c r="I1169" s="31" t="n">
        <v>13.1</v>
      </c>
      <c r="J1169" s="2" t="s">
        <v>2704</v>
      </c>
      <c r="K1169" s="43" t="n">
        <v>0.0622222222222222</v>
      </c>
      <c r="L1169" s="31" t="n">
        <v>18.5</v>
      </c>
      <c r="M1169" s="39" t="s">
        <v>671</v>
      </c>
      <c r="N1169" s="2" t="s">
        <v>21</v>
      </c>
      <c r="O1169" s="2" t="s">
        <v>21</v>
      </c>
      <c r="P1169" s="2" t="s">
        <v>21</v>
      </c>
      <c r="Q1169" s="2" t="s">
        <v>21</v>
      </c>
    </row>
    <row r="1170" customFormat="false" ht="15" hidden="false" customHeight="false" outlineLevel="0" collapsed="false">
      <c r="A1170" s="2" t="s">
        <v>538</v>
      </c>
      <c r="B1170" s="2" t="s">
        <v>46</v>
      </c>
      <c r="C1170" s="13" t="s">
        <v>1733</v>
      </c>
      <c r="D1170" s="35" t="n">
        <v>2402</v>
      </c>
      <c r="E1170" s="2" t="s">
        <v>678</v>
      </c>
      <c r="F1170" s="36" t="n">
        <v>2.62822647793505</v>
      </c>
      <c r="G1170" s="31" t="n">
        <v>40.8</v>
      </c>
      <c r="H1170" s="37" t="n">
        <v>0.0243070362473348</v>
      </c>
      <c r="I1170" s="31" t="n">
        <v>8.3</v>
      </c>
      <c r="J1170" s="2" t="s">
        <v>2720</v>
      </c>
      <c r="K1170" s="38" t="n">
        <v>0.042483660130719</v>
      </c>
      <c r="L1170" s="31" t="n">
        <v>10.6</v>
      </c>
      <c r="M1170" s="39" t="s">
        <v>671</v>
      </c>
      <c r="N1170" s="2" t="s">
        <v>19</v>
      </c>
      <c r="O1170" s="2" t="s">
        <v>19</v>
      </c>
      <c r="P1170" s="2" t="s">
        <v>19</v>
      </c>
      <c r="Q1170" s="2" t="s">
        <v>19</v>
      </c>
    </row>
    <row r="1171" customFormat="false" ht="15" hidden="false" customHeight="false" outlineLevel="0" collapsed="false">
      <c r="A1171" s="2" t="s">
        <v>538</v>
      </c>
      <c r="B1171" s="2" t="s">
        <v>47</v>
      </c>
      <c r="C1171" s="13" t="s">
        <v>2340</v>
      </c>
      <c r="D1171" s="35" t="n">
        <v>10579</v>
      </c>
      <c r="E1171" s="2" t="s">
        <v>667</v>
      </c>
      <c r="F1171" s="36" t="n">
        <v>1.16844692314964</v>
      </c>
      <c r="G1171" s="31" t="n">
        <v>47.3</v>
      </c>
      <c r="H1171" s="37" t="n">
        <v>0.0747739510311897</v>
      </c>
      <c r="I1171" s="31" t="n">
        <v>41.1</v>
      </c>
      <c r="J1171" s="2" t="s">
        <v>2697</v>
      </c>
      <c r="K1171" s="38" t="n">
        <v>0.0734265734265734</v>
      </c>
      <c r="L1171" s="31" t="n">
        <v>40.8</v>
      </c>
      <c r="M1171" s="39" t="s">
        <v>671</v>
      </c>
      <c r="N1171" s="2" t="s">
        <v>19</v>
      </c>
      <c r="O1171" s="2" t="s">
        <v>19</v>
      </c>
      <c r="P1171" s="2" t="s">
        <v>19</v>
      </c>
      <c r="Q1171" s="2" t="s">
        <v>19</v>
      </c>
    </row>
    <row r="1172" customFormat="false" ht="15" hidden="false" customHeight="false" outlineLevel="0" collapsed="false">
      <c r="A1172" s="2" t="s">
        <v>952</v>
      </c>
      <c r="B1172" s="2" t="s">
        <v>45</v>
      </c>
      <c r="C1172" s="14" t="s">
        <v>953</v>
      </c>
      <c r="D1172" s="40" t="n">
        <v>43590</v>
      </c>
      <c r="E1172" s="2" t="s">
        <v>667</v>
      </c>
      <c r="F1172" s="41" t="n">
        <v>0.756549667354898</v>
      </c>
      <c r="G1172" s="31" t="n">
        <v>62</v>
      </c>
      <c r="H1172" s="42" t="n">
        <v>0.132501948558067</v>
      </c>
      <c r="I1172" s="31" t="n">
        <v>69</v>
      </c>
      <c r="J1172" s="2" t="s">
        <v>2704</v>
      </c>
      <c r="K1172" s="43" t="n">
        <v>0.121492128678987</v>
      </c>
      <c r="L1172" s="31" t="n">
        <v>43.9</v>
      </c>
      <c r="M1172" s="39" t="s">
        <v>671</v>
      </c>
      <c r="N1172" s="2" t="s">
        <v>21</v>
      </c>
      <c r="O1172" s="2" t="s">
        <v>21</v>
      </c>
      <c r="P1172" s="2" t="s">
        <v>21</v>
      </c>
      <c r="Q1172" s="2" t="s">
        <v>21</v>
      </c>
    </row>
    <row r="1173" customFormat="false" ht="15" hidden="false" customHeight="false" outlineLevel="0" collapsed="false">
      <c r="A1173" s="2" t="s">
        <v>952</v>
      </c>
      <c r="B1173" s="2" t="s">
        <v>46</v>
      </c>
      <c r="C1173" s="15" t="s">
        <v>2992</v>
      </c>
      <c r="D1173" s="44" t="n">
        <v>158679</v>
      </c>
      <c r="E1173" s="2" t="s">
        <v>670</v>
      </c>
      <c r="F1173" s="45" t="n">
        <v>3.06688975856919</v>
      </c>
      <c r="G1173" s="31" t="n">
        <v>48.4</v>
      </c>
      <c r="H1173" s="46" t="n">
        <v>0.0317498504512471</v>
      </c>
      <c r="I1173" s="31" t="n">
        <v>22.5</v>
      </c>
      <c r="J1173" s="2" t="s">
        <v>2705</v>
      </c>
      <c r="K1173" s="33"/>
      <c r="L1173" s="31"/>
      <c r="M1173" s="34" t="s">
        <v>668</v>
      </c>
      <c r="N1173" s="2" t="s">
        <v>17</v>
      </c>
      <c r="O1173" s="2" t="s">
        <v>17</v>
      </c>
      <c r="P1173" s="2" t="s">
        <v>17</v>
      </c>
      <c r="Q1173" s="2"/>
    </row>
    <row r="1174" customFormat="false" ht="15" hidden="false" customHeight="false" outlineLevel="0" collapsed="false">
      <c r="A1174" s="2" t="s">
        <v>952</v>
      </c>
      <c r="B1174" s="2" t="s">
        <v>47</v>
      </c>
      <c r="C1174" s="13" t="s">
        <v>2993</v>
      </c>
      <c r="D1174" s="35" t="n">
        <v>8104</v>
      </c>
      <c r="E1174" s="2" t="s">
        <v>678</v>
      </c>
      <c r="F1174" s="30"/>
      <c r="G1174" s="31"/>
      <c r="H1174" s="37" t="n">
        <v>0.0210406954768804</v>
      </c>
      <c r="I1174" s="31" t="n">
        <v>14.7</v>
      </c>
      <c r="J1174" s="2" t="s">
        <v>2706</v>
      </c>
      <c r="K1174" s="38" t="n">
        <v>0.0104529616724739</v>
      </c>
      <c r="L1174" s="31" t="n">
        <v>6.9</v>
      </c>
      <c r="M1174" s="34" t="s">
        <v>668</v>
      </c>
      <c r="N1174" s="2" t="s">
        <v>19</v>
      </c>
      <c r="O1174" s="2"/>
      <c r="P1174" s="2" t="s">
        <v>19</v>
      </c>
      <c r="Q1174" s="2" t="s">
        <v>19</v>
      </c>
    </row>
    <row r="1175" customFormat="false" ht="15" hidden="false" customHeight="false" outlineLevel="0" collapsed="false">
      <c r="A1175" s="2" t="s">
        <v>909</v>
      </c>
      <c r="B1175" s="2" t="s">
        <v>45</v>
      </c>
      <c r="C1175" s="14" t="s">
        <v>910</v>
      </c>
      <c r="D1175" s="40" t="n">
        <v>37230</v>
      </c>
      <c r="E1175" s="2" t="s">
        <v>667</v>
      </c>
      <c r="F1175" s="41" t="n">
        <v>0.857453666398066</v>
      </c>
      <c r="G1175" s="31" t="n">
        <v>67.7</v>
      </c>
      <c r="H1175" s="42" t="n">
        <v>-0.148639378001372</v>
      </c>
      <c r="I1175" s="31" t="n">
        <v>0.4</v>
      </c>
      <c r="J1175" s="2" t="s">
        <v>2704</v>
      </c>
      <c r="K1175" s="43" t="n">
        <v>0.0796156485929993</v>
      </c>
      <c r="L1175" s="31" t="n">
        <v>26</v>
      </c>
      <c r="M1175" s="39" t="s">
        <v>671</v>
      </c>
      <c r="N1175" s="2" t="s">
        <v>21</v>
      </c>
      <c r="O1175" s="2" t="s">
        <v>21</v>
      </c>
      <c r="P1175" s="2" t="s">
        <v>21</v>
      </c>
      <c r="Q1175" s="2" t="s">
        <v>21</v>
      </c>
    </row>
    <row r="1176" customFormat="false" ht="15" hidden="false" customHeight="false" outlineLevel="0" collapsed="false">
      <c r="A1176" s="2" t="s">
        <v>909</v>
      </c>
      <c r="B1176" s="2" t="s">
        <v>46</v>
      </c>
      <c r="C1176" s="13" t="s">
        <v>1519</v>
      </c>
      <c r="D1176" s="35" t="n">
        <v>6391</v>
      </c>
      <c r="E1176" s="2" t="s">
        <v>678</v>
      </c>
      <c r="F1176" s="36" t="n">
        <v>5.55953684869348</v>
      </c>
      <c r="G1176" s="31" t="n">
        <v>78.4</v>
      </c>
      <c r="H1176" s="42" t="n">
        <v>0.145756457564576</v>
      </c>
      <c r="I1176" s="31" t="n">
        <v>64.6</v>
      </c>
      <c r="J1176" s="2" t="s">
        <v>2720</v>
      </c>
      <c r="K1176" s="38" t="n">
        <v>0.00461361014994233</v>
      </c>
      <c r="L1176" s="31" t="n">
        <v>0.8</v>
      </c>
      <c r="M1176" s="39" t="s">
        <v>671</v>
      </c>
      <c r="N1176" s="2" t="s">
        <v>19</v>
      </c>
      <c r="O1176" s="2" t="s">
        <v>19</v>
      </c>
      <c r="P1176" s="2" t="s">
        <v>21</v>
      </c>
      <c r="Q1176" s="2" t="s">
        <v>19</v>
      </c>
    </row>
    <row r="1177" customFormat="false" ht="15" hidden="false" customHeight="false" outlineLevel="0" collapsed="false">
      <c r="A1177" s="2" t="s">
        <v>909</v>
      </c>
      <c r="B1177" s="2" t="s">
        <v>47</v>
      </c>
      <c r="C1177" s="16"/>
      <c r="D1177" s="29"/>
      <c r="E1177" s="2"/>
      <c r="F1177" s="30"/>
      <c r="G1177" s="31"/>
      <c r="H1177" s="32"/>
      <c r="I1177" s="31"/>
      <c r="J1177" s="2"/>
      <c r="K1177" s="33"/>
      <c r="L1177" s="31"/>
      <c r="M1177" s="34" t="s">
        <v>668</v>
      </c>
      <c r="N1177" s="2"/>
      <c r="O1177" s="2"/>
      <c r="P1177" s="2"/>
      <c r="Q1177" s="2"/>
    </row>
    <row r="1178" customFormat="false" ht="15" hidden="false" customHeight="false" outlineLevel="0" collapsed="false">
      <c r="A1178" s="2" t="s">
        <v>707</v>
      </c>
      <c r="B1178" s="2" t="s">
        <v>45</v>
      </c>
      <c r="C1178" s="13" t="s">
        <v>708</v>
      </c>
      <c r="D1178" s="35" t="n">
        <v>267523</v>
      </c>
      <c r="E1178" s="2" t="s">
        <v>670</v>
      </c>
      <c r="F1178" s="36" t="n">
        <v>2.24223337806469</v>
      </c>
      <c r="G1178" s="31" t="n">
        <v>95.1</v>
      </c>
      <c r="H1178" s="37" t="n">
        <v>-0.113263770575484</v>
      </c>
      <c r="I1178" s="31" t="n">
        <v>2.9</v>
      </c>
      <c r="J1178" s="2" t="s">
        <v>2698</v>
      </c>
      <c r="K1178" s="38" t="n">
        <v>0.190797699424856</v>
      </c>
      <c r="L1178" s="31" t="n">
        <v>67.1</v>
      </c>
      <c r="M1178" s="39" t="s">
        <v>671</v>
      </c>
      <c r="N1178" s="2" t="s">
        <v>19</v>
      </c>
      <c r="O1178" s="2" t="s">
        <v>19</v>
      </c>
      <c r="P1178" s="2" t="s">
        <v>19</v>
      </c>
      <c r="Q1178" s="2" t="s">
        <v>19</v>
      </c>
    </row>
    <row r="1179" customFormat="false" ht="15" hidden="false" customHeight="false" outlineLevel="0" collapsed="false">
      <c r="A1179" s="2" t="s">
        <v>707</v>
      </c>
      <c r="B1179" s="2" t="s">
        <v>46</v>
      </c>
      <c r="C1179" s="14" t="s">
        <v>1854</v>
      </c>
      <c r="D1179" s="40" t="n">
        <v>114110</v>
      </c>
      <c r="E1179" s="2" t="s">
        <v>670</v>
      </c>
      <c r="F1179" s="41" t="n">
        <v>1.71765839978968</v>
      </c>
      <c r="G1179" s="31" t="n">
        <v>20.1</v>
      </c>
      <c r="H1179" s="42" t="n">
        <v>0.0690462806820311</v>
      </c>
      <c r="I1179" s="31" t="n">
        <v>41.7</v>
      </c>
      <c r="J1179" s="2" t="s">
        <v>2705</v>
      </c>
      <c r="K1179" s="43" t="n">
        <v>0.0923649202446252</v>
      </c>
      <c r="L1179" s="31" t="n">
        <v>28.8</v>
      </c>
      <c r="M1179" s="39" t="s">
        <v>671</v>
      </c>
      <c r="N1179" s="2" t="s">
        <v>21</v>
      </c>
      <c r="O1179" s="2" t="s">
        <v>21</v>
      </c>
      <c r="P1179" s="2" t="s">
        <v>21</v>
      </c>
      <c r="Q1179" s="2" t="s">
        <v>21</v>
      </c>
    </row>
    <row r="1180" customFormat="false" ht="15" hidden="false" customHeight="false" outlineLevel="0" collapsed="false">
      <c r="A1180" s="2" t="s">
        <v>707</v>
      </c>
      <c r="B1180" s="2" t="s">
        <v>47</v>
      </c>
      <c r="C1180" s="13" t="s">
        <v>2994</v>
      </c>
      <c r="D1180" s="35" t="n">
        <v>78023</v>
      </c>
      <c r="E1180" s="2" t="s">
        <v>667</v>
      </c>
      <c r="F1180" s="36" t="n">
        <v>0.405547082270613</v>
      </c>
      <c r="G1180" s="31" t="n">
        <v>7.6</v>
      </c>
      <c r="H1180" s="37" t="n">
        <v>0.133396281231842</v>
      </c>
      <c r="I1180" s="31" t="n">
        <v>70.9</v>
      </c>
      <c r="J1180" s="2" t="s">
        <v>2697</v>
      </c>
      <c r="K1180" s="33"/>
      <c r="L1180" s="31"/>
      <c r="M1180" s="34" t="s">
        <v>668</v>
      </c>
      <c r="N1180" s="2" t="s">
        <v>19</v>
      </c>
      <c r="O1180" s="2" t="s">
        <v>19</v>
      </c>
      <c r="P1180" s="2" t="s">
        <v>19</v>
      </c>
      <c r="Q1180" s="2"/>
    </row>
    <row r="1181" customFormat="false" ht="15" hidden="false" customHeight="false" outlineLevel="0" collapsed="false">
      <c r="A1181" s="2" t="s">
        <v>2513</v>
      </c>
      <c r="B1181" s="2" t="s">
        <v>45</v>
      </c>
      <c r="C1181" s="16"/>
      <c r="D1181" s="29"/>
      <c r="E1181" s="2"/>
      <c r="F1181" s="30"/>
      <c r="G1181" s="31"/>
      <c r="H1181" s="32"/>
      <c r="I1181" s="31"/>
      <c r="J1181" s="2"/>
      <c r="K1181" s="33"/>
      <c r="L1181" s="31"/>
      <c r="M1181" s="34" t="s">
        <v>668</v>
      </c>
      <c r="N1181" s="2"/>
      <c r="O1181" s="2"/>
      <c r="P1181" s="2"/>
      <c r="Q1181" s="2"/>
    </row>
    <row r="1182" customFormat="false" ht="15" hidden="false" customHeight="false" outlineLevel="0" collapsed="false">
      <c r="A1182" s="2" t="s">
        <v>2513</v>
      </c>
      <c r="B1182" s="2" t="s">
        <v>46</v>
      </c>
      <c r="C1182" s="16"/>
      <c r="D1182" s="29"/>
      <c r="E1182" s="2"/>
      <c r="F1182" s="30"/>
      <c r="G1182" s="31"/>
      <c r="H1182" s="32"/>
      <c r="I1182" s="31"/>
      <c r="J1182" s="2"/>
      <c r="K1182" s="33"/>
      <c r="L1182" s="31"/>
      <c r="M1182" s="34" t="s">
        <v>668</v>
      </c>
      <c r="N1182" s="2"/>
      <c r="O1182" s="2"/>
      <c r="P1182" s="2"/>
      <c r="Q1182" s="2"/>
    </row>
    <row r="1183" customFormat="false" ht="15" hidden="false" customHeight="false" outlineLevel="0" collapsed="false">
      <c r="A1183" s="2" t="s">
        <v>2513</v>
      </c>
      <c r="B1183" s="2" t="s">
        <v>47</v>
      </c>
      <c r="C1183" s="13" t="s">
        <v>2514</v>
      </c>
      <c r="D1183" s="35" t="n">
        <v>207690</v>
      </c>
      <c r="E1183" s="2" t="s">
        <v>670</v>
      </c>
      <c r="F1183" s="36" t="n">
        <v>0.780730897009967</v>
      </c>
      <c r="G1183" s="31" t="n">
        <v>25.5</v>
      </c>
      <c r="H1183" s="37" t="n">
        <v>0.0368687751179451</v>
      </c>
      <c r="I1183" s="31" t="n">
        <v>28.3</v>
      </c>
      <c r="J1183" s="2" t="s">
        <v>2701</v>
      </c>
      <c r="K1183" s="38" t="n">
        <v>0.0181407447973713</v>
      </c>
      <c r="L1183" s="31" t="n">
        <v>11.6</v>
      </c>
      <c r="M1183" s="39" t="s">
        <v>671</v>
      </c>
      <c r="N1183" s="2" t="s">
        <v>19</v>
      </c>
      <c r="O1183" s="2" t="s">
        <v>19</v>
      </c>
      <c r="P1183" s="2" t="s">
        <v>19</v>
      </c>
      <c r="Q1183" s="2" t="s">
        <v>19</v>
      </c>
    </row>
    <row r="1184" customFormat="false" ht="15" hidden="false" customHeight="false" outlineLevel="0" collapsed="false">
      <c r="A1184" s="2" t="s">
        <v>976</v>
      </c>
      <c r="B1184" s="2" t="s">
        <v>45</v>
      </c>
      <c r="C1184" s="13" t="s">
        <v>977</v>
      </c>
      <c r="D1184" s="35" t="n">
        <v>12933</v>
      </c>
      <c r="E1184" s="2" t="s">
        <v>667</v>
      </c>
      <c r="F1184" s="36" t="n">
        <v>0.698832444135158</v>
      </c>
      <c r="G1184" s="31" t="n">
        <v>58.1</v>
      </c>
      <c r="H1184" s="37" t="n">
        <v>0.154525977504017</v>
      </c>
      <c r="I1184" s="31" t="n">
        <v>79.8</v>
      </c>
      <c r="J1184" s="2" t="s">
        <v>2704</v>
      </c>
      <c r="K1184" s="38" t="n">
        <v>0.0835117773019272</v>
      </c>
      <c r="L1184" s="31" t="n">
        <v>28.2</v>
      </c>
      <c r="M1184" s="39" t="s">
        <v>671</v>
      </c>
      <c r="N1184" s="2" t="s">
        <v>19</v>
      </c>
      <c r="O1184" s="2" t="s">
        <v>19</v>
      </c>
      <c r="P1184" s="2" t="s">
        <v>19</v>
      </c>
      <c r="Q1184" s="2" t="s">
        <v>19</v>
      </c>
    </row>
    <row r="1185" customFormat="false" ht="15" hidden="false" customHeight="false" outlineLevel="0" collapsed="false">
      <c r="A1185" s="2" t="s">
        <v>976</v>
      </c>
      <c r="B1185" s="2" t="s">
        <v>46</v>
      </c>
      <c r="C1185" s="14" t="s">
        <v>2995</v>
      </c>
      <c r="D1185" s="40" t="n">
        <v>384650</v>
      </c>
      <c r="E1185" s="2" t="s">
        <v>670</v>
      </c>
      <c r="F1185" s="41" t="n">
        <v>3.18457298843104</v>
      </c>
      <c r="G1185" s="31" t="n">
        <v>50.7</v>
      </c>
      <c r="H1185" s="42" t="n">
        <v>0.0760042519861251</v>
      </c>
      <c r="I1185" s="31" t="n">
        <v>48.3</v>
      </c>
      <c r="J1185" s="2" t="s">
        <v>2705</v>
      </c>
      <c r="K1185" s="33"/>
      <c r="L1185" s="31"/>
      <c r="M1185" s="34" t="s">
        <v>668</v>
      </c>
      <c r="N1185" s="2" t="s">
        <v>21</v>
      </c>
      <c r="O1185" s="2" t="s">
        <v>21</v>
      </c>
      <c r="P1185" s="2" t="s">
        <v>21</v>
      </c>
      <c r="Q1185" s="2"/>
    </row>
    <row r="1186" customFormat="false" ht="15" hidden="false" customHeight="false" outlineLevel="0" collapsed="false">
      <c r="A1186" s="2" t="s">
        <v>976</v>
      </c>
      <c r="B1186" s="2" t="s">
        <v>47</v>
      </c>
      <c r="C1186" s="13" t="s">
        <v>2304</v>
      </c>
      <c r="D1186" s="35" t="n">
        <v>29239</v>
      </c>
      <c r="E1186" s="2" t="s">
        <v>667</v>
      </c>
      <c r="F1186" s="36" t="n">
        <v>1.27562502137556</v>
      </c>
      <c r="G1186" s="31" t="n">
        <v>51.7</v>
      </c>
      <c r="H1186" s="37" t="n">
        <v>0.0819641799881587</v>
      </c>
      <c r="I1186" s="31" t="n">
        <v>46.5</v>
      </c>
      <c r="J1186" s="2" t="s">
        <v>2697</v>
      </c>
      <c r="K1186" s="38" t="n">
        <v>0.0311926605504587</v>
      </c>
      <c r="L1186" s="31" t="n">
        <v>20.2</v>
      </c>
      <c r="M1186" s="39" t="s">
        <v>671</v>
      </c>
      <c r="N1186" s="2" t="s">
        <v>19</v>
      </c>
      <c r="O1186" s="2" t="s">
        <v>19</v>
      </c>
      <c r="P1186" s="2" t="s">
        <v>19</v>
      </c>
      <c r="Q1186" s="2" t="s">
        <v>19</v>
      </c>
    </row>
    <row r="1187" customFormat="false" ht="15" hidden="false" customHeight="false" outlineLevel="0" collapsed="false">
      <c r="A1187" s="2" t="s">
        <v>296</v>
      </c>
      <c r="B1187" s="2" t="s">
        <v>45</v>
      </c>
      <c r="C1187" s="13" t="s">
        <v>1150</v>
      </c>
      <c r="D1187" s="35" t="n">
        <v>9393</v>
      </c>
      <c r="E1187" s="2" t="s">
        <v>678</v>
      </c>
      <c r="F1187" s="36" t="n">
        <v>0.442670073458959</v>
      </c>
      <c r="G1187" s="31" t="n">
        <v>35.7</v>
      </c>
      <c r="H1187" s="37" t="n">
        <v>0.0714041291205658</v>
      </c>
      <c r="I1187" s="31" t="n">
        <v>40.7</v>
      </c>
      <c r="J1187" s="2" t="s">
        <v>2713</v>
      </c>
      <c r="K1187" s="38" t="n">
        <v>0.113636363636364</v>
      </c>
      <c r="L1187" s="31" t="n">
        <v>40.9</v>
      </c>
      <c r="M1187" s="39" t="s">
        <v>671</v>
      </c>
      <c r="N1187" s="2" t="s">
        <v>19</v>
      </c>
      <c r="O1187" s="2" t="s">
        <v>19</v>
      </c>
      <c r="P1187" s="2" t="s">
        <v>19</v>
      </c>
      <c r="Q1187" s="2" t="s">
        <v>19</v>
      </c>
    </row>
    <row r="1188" customFormat="false" ht="15" hidden="false" customHeight="false" outlineLevel="0" collapsed="false">
      <c r="A1188" s="2" t="s">
        <v>296</v>
      </c>
      <c r="B1188" s="2" t="s">
        <v>46</v>
      </c>
      <c r="C1188" s="13" t="s">
        <v>1407</v>
      </c>
      <c r="D1188" s="35" t="n">
        <v>65589</v>
      </c>
      <c r="E1188" s="2" t="s">
        <v>667</v>
      </c>
      <c r="F1188" s="36" t="n">
        <v>9.49747671103386</v>
      </c>
      <c r="G1188" s="31" t="n">
        <v>94.9</v>
      </c>
      <c r="H1188" s="37" t="n">
        <v>0.0126291087060567</v>
      </c>
      <c r="I1188" s="31" t="n">
        <v>13.7</v>
      </c>
      <c r="J1188" s="2" t="s">
        <v>2700</v>
      </c>
      <c r="K1188" s="38" t="n">
        <v>0.496476852808189</v>
      </c>
      <c r="L1188" s="31" t="n">
        <v>99.7</v>
      </c>
      <c r="M1188" s="39" t="s">
        <v>671</v>
      </c>
      <c r="N1188" s="2" t="s">
        <v>19</v>
      </c>
      <c r="O1188" s="2" t="s">
        <v>19</v>
      </c>
      <c r="P1188" s="2" t="s">
        <v>19</v>
      </c>
      <c r="Q1188" s="2" t="s">
        <v>19</v>
      </c>
    </row>
    <row r="1189" customFormat="false" ht="15" hidden="false" customHeight="false" outlineLevel="0" collapsed="false">
      <c r="A1189" s="2" t="s">
        <v>296</v>
      </c>
      <c r="B1189" s="2" t="s">
        <v>47</v>
      </c>
      <c r="C1189" s="13" t="s">
        <v>2366</v>
      </c>
      <c r="D1189" s="35" t="n">
        <v>43575</v>
      </c>
      <c r="E1189" s="2" t="s">
        <v>667</v>
      </c>
      <c r="F1189" s="36" t="n">
        <v>1.08885829030407</v>
      </c>
      <c r="G1189" s="31" t="n">
        <v>43.3</v>
      </c>
      <c r="H1189" s="37" t="n">
        <v>0.0927625639482396</v>
      </c>
      <c r="I1189" s="31" t="n">
        <v>53.5</v>
      </c>
      <c r="J1189" s="2" t="s">
        <v>2697</v>
      </c>
      <c r="K1189" s="38" t="n">
        <v>0.0335820895522388</v>
      </c>
      <c r="L1189" s="31" t="n">
        <v>21.3</v>
      </c>
      <c r="M1189" s="39" t="s">
        <v>671</v>
      </c>
      <c r="N1189" s="2" t="s">
        <v>19</v>
      </c>
      <c r="O1189" s="2" t="s">
        <v>19</v>
      </c>
      <c r="P1189" s="2" t="s">
        <v>19</v>
      </c>
      <c r="Q1189" s="2" t="s">
        <v>19</v>
      </c>
    </row>
    <row r="1190" customFormat="false" ht="15" hidden="false" customHeight="false" outlineLevel="0" collapsed="false">
      <c r="A1190" s="2" t="s">
        <v>1066</v>
      </c>
      <c r="B1190" s="2" t="s">
        <v>45</v>
      </c>
      <c r="C1190" s="13" t="s">
        <v>1067</v>
      </c>
      <c r="D1190" s="35" t="n">
        <v>129688</v>
      </c>
      <c r="E1190" s="2" t="s">
        <v>670</v>
      </c>
      <c r="F1190" s="36" t="n">
        <v>0.562203133674665</v>
      </c>
      <c r="G1190" s="31" t="n">
        <v>46.4</v>
      </c>
      <c r="H1190" s="37" t="n">
        <v>0.114761425857638</v>
      </c>
      <c r="I1190" s="31" t="n">
        <v>65.2</v>
      </c>
      <c r="J1190" s="2" t="s">
        <v>2698</v>
      </c>
      <c r="K1190" s="38" t="n">
        <v>0.0602975724353955</v>
      </c>
      <c r="L1190" s="31" t="n">
        <v>17.7</v>
      </c>
      <c r="M1190" s="39" t="s">
        <v>671</v>
      </c>
      <c r="N1190" s="2" t="s">
        <v>19</v>
      </c>
      <c r="O1190" s="2" t="s">
        <v>19</v>
      </c>
      <c r="P1190" s="2" t="s">
        <v>19</v>
      </c>
      <c r="Q1190" s="2" t="s">
        <v>19</v>
      </c>
    </row>
    <row r="1191" customFormat="false" ht="15" hidden="false" customHeight="false" outlineLevel="0" collapsed="false">
      <c r="A1191" s="2" t="s">
        <v>1066</v>
      </c>
      <c r="B1191" s="2" t="s">
        <v>46</v>
      </c>
      <c r="C1191" s="13" t="s">
        <v>2996</v>
      </c>
      <c r="D1191" s="29"/>
      <c r="E1191" s="2"/>
      <c r="F1191" s="30"/>
      <c r="G1191" s="31"/>
      <c r="H1191" s="32"/>
      <c r="I1191" s="31"/>
      <c r="J1191" s="2"/>
      <c r="K1191" s="38" t="n">
        <v>0.285845588235294</v>
      </c>
      <c r="L1191" s="31" t="n">
        <v>88.6</v>
      </c>
      <c r="M1191" s="34" t="s">
        <v>668</v>
      </c>
      <c r="N1191" s="2"/>
      <c r="O1191" s="2"/>
      <c r="P1191" s="2"/>
      <c r="Q1191" s="2" t="s">
        <v>19</v>
      </c>
    </row>
    <row r="1192" customFormat="false" ht="15" hidden="false" customHeight="false" outlineLevel="0" collapsed="false">
      <c r="A1192" s="2" t="s">
        <v>1066</v>
      </c>
      <c r="B1192" s="2" t="s">
        <v>47</v>
      </c>
      <c r="C1192" s="13" t="s">
        <v>2050</v>
      </c>
      <c r="D1192" s="35" t="n">
        <v>1827</v>
      </c>
      <c r="E1192" s="2" t="s">
        <v>678</v>
      </c>
      <c r="F1192" s="36" t="n">
        <v>2.88998357963875</v>
      </c>
      <c r="G1192" s="31" t="n">
        <v>88</v>
      </c>
      <c r="H1192" s="37" t="n">
        <v>0.0791494388659185</v>
      </c>
      <c r="I1192" s="31" t="n">
        <v>42.7</v>
      </c>
      <c r="J1192" s="2" t="s">
        <v>2706</v>
      </c>
      <c r="K1192" s="38" t="n">
        <v>0.165898617511521</v>
      </c>
      <c r="L1192" s="31" t="n">
        <v>75.2</v>
      </c>
      <c r="M1192" s="39" t="s">
        <v>671</v>
      </c>
      <c r="N1192" s="2" t="s">
        <v>19</v>
      </c>
      <c r="O1192" s="2" t="s">
        <v>19</v>
      </c>
      <c r="P1192" s="2" t="s">
        <v>19</v>
      </c>
      <c r="Q1192" s="2" t="s">
        <v>19</v>
      </c>
    </row>
    <row r="1193" customFormat="false" ht="15" hidden="false" customHeight="false" outlineLevel="0" collapsed="false">
      <c r="A1193" s="2" t="s">
        <v>2997</v>
      </c>
      <c r="B1193" s="2" t="s">
        <v>46</v>
      </c>
      <c r="C1193" s="16"/>
      <c r="D1193" s="29"/>
      <c r="E1193" s="2"/>
      <c r="F1193" s="30"/>
      <c r="G1193" s="31"/>
      <c r="H1193" s="32"/>
      <c r="I1193" s="31"/>
      <c r="J1193" s="2"/>
      <c r="K1193" s="33"/>
      <c r="L1193" s="31"/>
      <c r="M1193" s="34" t="s">
        <v>668</v>
      </c>
      <c r="N1193" s="2"/>
      <c r="O1193" s="2"/>
      <c r="P1193" s="2"/>
      <c r="Q1193" s="2"/>
    </row>
    <row r="1194" customFormat="false" ht="15" hidden="false" customHeight="false" outlineLevel="0" collapsed="false">
      <c r="A1194" s="2" t="s">
        <v>2420</v>
      </c>
      <c r="B1194" s="2" t="s">
        <v>46</v>
      </c>
      <c r="C1194" s="16"/>
      <c r="D1194" s="44" t="n">
        <v>55043</v>
      </c>
      <c r="E1194" s="2" t="s">
        <v>667</v>
      </c>
      <c r="F1194" s="45" t="n">
        <v>0.86795777846411</v>
      </c>
      <c r="G1194" s="31" t="n">
        <v>4.7</v>
      </c>
      <c r="H1194" s="32"/>
      <c r="I1194" s="31"/>
      <c r="J1194" s="2"/>
      <c r="K1194" s="33"/>
      <c r="L1194" s="31"/>
      <c r="M1194" s="34" t="s">
        <v>668</v>
      </c>
      <c r="N1194" s="2" t="s">
        <v>17</v>
      </c>
      <c r="O1194" s="2" t="s">
        <v>17</v>
      </c>
      <c r="P1194" s="2"/>
      <c r="Q1194" s="2"/>
    </row>
    <row r="1195" customFormat="false" ht="15" hidden="false" customHeight="false" outlineLevel="0" collapsed="false">
      <c r="A1195" s="2" t="s">
        <v>2420</v>
      </c>
      <c r="B1195" s="2" t="s">
        <v>47</v>
      </c>
      <c r="C1195" s="13" t="s">
        <v>2421</v>
      </c>
      <c r="D1195" s="35" t="n">
        <v>1321</v>
      </c>
      <c r="E1195" s="2" t="s">
        <v>678</v>
      </c>
      <c r="F1195" s="36" t="n">
        <v>0.956850870552612</v>
      </c>
      <c r="G1195" s="31" t="n">
        <v>35.7</v>
      </c>
      <c r="H1195" s="37" t="n">
        <v>0.125212947189097</v>
      </c>
      <c r="I1195" s="31" t="n">
        <v>61.3</v>
      </c>
      <c r="J1195" s="2" t="s">
        <v>2706</v>
      </c>
      <c r="K1195" s="38" t="n">
        <v>0.0576923076923077</v>
      </c>
      <c r="L1195" s="31" t="n">
        <v>35.2</v>
      </c>
      <c r="M1195" s="39" t="s">
        <v>671</v>
      </c>
      <c r="N1195" s="2" t="s">
        <v>19</v>
      </c>
      <c r="O1195" s="2" t="s">
        <v>19</v>
      </c>
      <c r="P1195" s="2" t="s">
        <v>19</v>
      </c>
      <c r="Q1195" s="2" t="s">
        <v>19</v>
      </c>
    </row>
    <row r="1196" customFormat="false" ht="15" hidden="false" customHeight="false" outlineLevel="0" collapsed="false">
      <c r="A1196" s="2" t="s">
        <v>812</v>
      </c>
      <c r="B1196" s="2" t="s">
        <v>45</v>
      </c>
      <c r="C1196" s="13" t="s">
        <v>813</v>
      </c>
      <c r="D1196" s="35" t="n">
        <v>6026</v>
      </c>
      <c r="E1196" s="2" t="s">
        <v>678</v>
      </c>
      <c r="F1196" s="36" t="n">
        <v>1.19332890806505</v>
      </c>
      <c r="G1196" s="31" t="n">
        <v>82.3</v>
      </c>
      <c r="H1196" s="37" t="n">
        <v>0.182960345504515</v>
      </c>
      <c r="I1196" s="31" t="n">
        <v>90.7</v>
      </c>
      <c r="J1196" s="2" t="s">
        <v>2713</v>
      </c>
      <c r="K1196" s="38" t="n">
        <v>0.115479115479116</v>
      </c>
      <c r="L1196" s="31" t="n">
        <v>41.4</v>
      </c>
      <c r="M1196" s="39" t="s">
        <v>671</v>
      </c>
      <c r="N1196" s="2" t="s">
        <v>19</v>
      </c>
      <c r="O1196" s="2" t="s">
        <v>19</v>
      </c>
      <c r="P1196" s="2" t="s">
        <v>19</v>
      </c>
      <c r="Q1196" s="2" t="s">
        <v>19</v>
      </c>
    </row>
    <row r="1197" customFormat="false" ht="15" hidden="false" customHeight="false" outlineLevel="0" collapsed="false">
      <c r="A1197" s="2" t="s">
        <v>812</v>
      </c>
      <c r="B1197" s="2" t="s">
        <v>46</v>
      </c>
      <c r="C1197" s="15" t="s">
        <v>2998</v>
      </c>
      <c r="D1197" s="44" t="n">
        <v>136392</v>
      </c>
      <c r="E1197" s="2" t="s">
        <v>670</v>
      </c>
      <c r="F1197" s="45" t="n">
        <v>2.41565487711889</v>
      </c>
      <c r="G1197" s="31" t="n">
        <v>36.2</v>
      </c>
      <c r="H1197" s="46" t="n">
        <v>0.075790918340787</v>
      </c>
      <c r="I1197" s="31" t="n">
        <v>47.7</v>
      </c>
      <c r="J1197" s="2" t="s">
        <v>2705</v>
      </c>
      <c r="K1197" s="33"/>
      <c r="L1197" s="31"/>
      <c r="M1197" s="34" t="s">
        <v>668</v>
      </c>
      <c r="N1197" s="2" t="s">
        <v>17</v>
      </c>
      <c r="O1197" s="2" t="s">
        <v>17</v>
      </c>
      <c r="P1197" s="2" t="s">
        <v>17</v>
      </c>
      <c r="Q1197" s="2"/>
    </row>
    <row r="1198" customFormat="false" ht="15" hidden="false" customHeight="false" outlineLevel="0" collapsed="false">
      <c r="A1198" s="2" t="s">
        <v>812</v>
      </c>
      <c r="B1198" s="2" t="s">
        <v>47</v>
      </c>
      <c r="C1198" s="13" t="s">
        <v>2541</v>
      </c>
      <c r="D1198" s="35" t="n">
        <v>3964</v>
      </c>
      <c r="E1198" s="2" t="s">
        <v>678</v>
      </c>
      <c r="F1198" s="36" t="n">
        <v>0.703329969727548</v>
      </c>
      <c r="G1198" s="31" t="n">
        <v>20.9</v>
      </c>
      <c r="H1198" s="37" t="n">
        <v>0.000757384498863923</v>
      </c>
      <c r="I1198" s="31" t="n">
        <v>5.3</v>
      </c>
      <c r="J1198" s="2" t="s">
        <v>2706</v>
      </c>
      <c r="K1198" s="38" t="n">
        <v>0.16969696969697</v>
      </c>
      <c r="L1198" s="31" t="n">
        <v>77.1</v>
      </c>
      <c r="M1198" s="39" t="s">
        <v>671</v>
      </c>
      <c r="N1198" s="2" t="s">
        <v>19</v>
      </c>
      <c r="O1198" s="2" t="s">
        <v>19</v>
      </c>
      <c r="P1198" s="2" t="s">
        <v>19</v>
      </c>
      <c r="Q1198" s="2" t="s">
        <v>19</v>
      </c>
    </row>
    <row r="1199" customFormat="false" ht="15" hidden="false" customHeight="false" outlineLevel="0" collapsed="false">
      <c r="A1199" s="2" t="s">
        <v>1084</v>
      </c>
      <c r="B1199" s="2" t="s">
        <v>45</v>
      </c>
      <c r="C1199" s="13" t="s">
        <v>1085</v>
      </c>
      <c r="D1199" s="35" t="n">
        <v>249998</v>
      </c>
      <c r="E1199" s="2" t="s">
        <v>670</v>
      </c>
      <c r="F1199" s="36" t="n">
        <v>0.535524284194274</v>
      </c>
      <c r="G1199" s="31" t="n">
        <v>44.4</v>
      </c>
      <c r="H1199" s="37" t="n">
        <v>0.0572885828836297</v>
      </c>
      <c r="I1199" s="31" t="n">
        <v>38.4</v>
      </c>
      <c r="J1199" s="2" t="s">
        <v>2698</v>
      </c>
      <c r="K1199" s="38" t="n">
        <v>0.233922996878252</v>
      </c>
      <c r="L1199" s="31" t="n">
        <v>79</v>
      </c>
      <c r="M1199" s="39" t="s">
        <v>671</v>
      </c>
      <c r="N1199" s="2" t="s">
        <v>19</v>
      </c>
      <c r="O1199" s="2" t="s">
        <v>19</v>
      </c>
      <c r="P1199" s="2" t="s">
        <v>19</v>
      </c>
      <c r="Q1199" s="2" t="s">
        <v>19</v>
      </c>
    </row>
    <row r="1200" customFormat="false" ht="15" hidden="false" customHeight="false" outlineLevel="0" collapsed="false">
      <c r="A1200" s="2" t="s">
        <v>1084</v>
      </c>
      <c r="B1200" s="2" t="s">
        <v>46</v>
      </c>
      <c r="C1200" s="16"/>
      <c r="D1200" s="29"/>
      <c r="E1200" s="2"/>
      <c r="F1200" s="30"/>
      <c r="G1200" s="31"/>
      <c r="H1200" s="32"/>
      <c r="I1200" s="31"/>
      <c r="J1200" s="2"/>
      <c r="K1200" s="33"/>
      <c r="L1200" s="31"/>
      <c r="M1200" s="34" t="s">
        <v>668</v>
      </c>
      <c r="N1200" s="2"/>
      <c r="O1200" s="2"/>
      <c r="P1200" s="2"/>
      <c r="Q1200" s="2"/>
    </row>
    <row r="1201" customFormat="false" ht="15" hidden="false" customHeight="false" outlineLevel="0" collapsed="false">
      <c r="A1201" s="2" t="s">
        <v>1084</v>
      </c>
      <c r="B1201" s="2" t="s">
        <v>47</v>
      </c>
      <c r="C1201" s="13" t="s">
        <v>2999</v>
      </c>
      <c r="D1201" s="35" t="n">
        <v>201786</v>
      </c>
      <c r="E1201" s="2" t="s">
        <v>670</v>
      </c>
      <c r="F1201" s="36" t="n">
        <v>0.320676360104269</v>
      </c>
      <c r="G1201" s="31" t="n">
        <v>4.9</v>
      </c>
      <c r="H1201" s="32"/>
      <c r="I1201" s="31"/>
      <c r="J1201" s="2"/>
      <c r="K1201" s="38" t="n">
        <v>0.0679397723099523</v>
      </c>
      <c r="L1201" s="31" t="n">
        <v>39</v>
      </c>
      <c r="M1201" s="34" t="s">
        <v>668</v>
      </c>
      <c r="N1201" s="2" t="s">
        <v>19</v>
      </c>
      <c r="O1201" s="2" t="s">
        <v>19</v>
      </c>
      <c r="P1201" s="2"/>
      <c r="Q1201" s="2" t="s">
        <v>19</v>
      </c>
    </row>
    <row r="1202" customFormat="false" ht="15" hidden="false" customHeight="false" outlineLevel="0" collapsed="false">
      <c r="A1202" s="2" t="s">
        <v>1350</v>
      </c>
      <c r="B1202" s="2" t="s">
        <v>45</v>
      </c>
      <c r="C1202" s="13" t="s">
        <v>1351</v>
      </c>
      <c r="D1202" s="35" t="n">
        <v>116729</v>
      </c>
      <c r="E1202" s="2" t="s">
        <v>670</v>
      </c>
      <c r="F1202" s="36" t="n">
        <v>0.145670741632328</v>
      </c>
      <c r="G1202" s="31" t="n">
        <v>4.5</v>
      </c>
      <c r="H1202" s="37" t="n">
        <v>0.0804439178807457</v>
      </c>
      <c r="I1202" s="31" t="n">
        <v>51.4</v>
      </c>
      <c r="J1202" s="2" t="s">
        <v>2698</v>
      </c>
      <c r="K1202" s="38" t="n">
        <v>0.00758725341426404</v>
      </c>
      <c r="L1202" s="31" t="n">
        <v>2.2</v>
      </c>
      <c r="M1202" s="39" t="s">
        <v>671</v>
      </c>
      <c r="N1202" s="2" t="s">
        <v>19</v>
      </c>
      <c r="O1202" s="2" t="s">
        <v>19</v>
      </c>
      <c r="P1202" s="2" t="s">
        <v>19</v>
      </c>
      <c r="Q1202" s="2" t="s">
        <v>19</v>
      </c>
    </row>
    <row r="1203" customFormat="false" ht="15" hidden="false" customHeight="false" outlineLevel="0" collapsed="false">
      <c r="A1203" s="2" t="s">
        <v>1350</v>
      </c>
      <c r="B1203" s="2" t="s">
        <v>46</v>
      </c>
      <c r="C1203" s="14" t="s">
        <v>3000</v>
      </c>
      <c r="D1203" s="40" t="n">
        <v>710</v>
      </c>
      <c r="E1203" s="2" t="s">
        <v>678</v>
      </c>
      <c r="F1203" s="41" t="n">
        <v>0.542253521126761</v>
      </c>
      <c r="G1203" s="31" t="n">
        <v>1.5</v>
      </c>
      <c r="H1203" s="32"/>
      <c r="I1203" s="31"/>
      <c r="J1203" s="2"/>
      <c r="K1203" s="43" t="n">
        <v>0.148148148148148</v>
      </c>
      <c r="L1203" s="31" t="n">
        <v>56.2</v>
      </c>
      <c r="M1203" s="34" t="s">
        <v>668</v>
      </c>
      <c r="N1203" s="2" t="s">
        <v>21</v>
      </c>
      <c r="O1203" s="2" t="s">
        <v>21</v>
      </c>
      <c r="P1203" s="2"/>
      <c r="Q1203" s="2" t="s">
        <v>21</v>
      </c>
    </row>
    <row r="1204" customFormat="false" ht="15" hidden="false" customHeight="false" outlineLevel="0" collapsed="false">
      <c r="A1204" s="2" t="s">
        <v>1350</v>
      </c>
      <c r="B1204" s="2" t="s">
        <v>47</v>
      </c>
      <c r="C1204" s="16"/>
      <c r="D1204" s="29"/>
      <c r="E1204" s="2"/>
      <c r="F1204" s="30"/>
      <c r="G1204" s="31"/>
      <c r="H1204" s="32"/>
      <c r="I1204" s="31"/>
      <c r="J1204" s="2"/>
      <c r="K1204" s="33"/>
      <c r="L1204" s="31"/>
      <c r="M1204" s="34" t="s">
        <v>668</v>
      </c>
      <c r="N1204" s="2"/>
      <c r="O1204" s="2"/>
      <c r="P1204" s="2"/>
      <c r="Q1204" s="2"/>
    </row>
    <row r="1205" customFormat="false" ht="15" hidden="false" customHeight="false" outlineLevel="0" collapsed="false">
      <c r="A1205" s="2" t="s">
        <v>2314</v>
      </c>
      <c r="B1205" s="2" t="s">
        <v>45</v>
      </c>
      <c r="C1205" s="16"/>
      <c r="D1205" s="29"/>
      <c r="E1205" s="2"/>
      <c r="F1205" s="30"/>
      <c r="G1205" s="31"/>
      <c r="H1205" s="32"/>
      <c r="I1205" s="31"/>
      <c r="J1205" s="2"/>
      <c r="K1205" s="33"/>
      <c r="L1205" s="31"/>
      <c r="M1205" s="34" t="s">
        <v>668</v>
      </c>
      <c r="N1205" s="2"/>
      <c r="O1205" s="2"/>
      <c r="P1205" s="2"/>
      <c r="Q1205" s="2"/>
    </row>
    <row r="1206" customFormat="false" ht="15" hidden="false" customHeight="false" outlineLevel="0" collapsed="false">
      <c r="A1206" s="2" t="s">
        <v>2314</v>
      </c>
      <c r="B1206" s="2" t="s">
        <v>47</v>
      </c>
      <c r="C1206" s="13" t="s">
        <v>2315</v>
      </c>
      <c r="D1206" s="35" t="n">
        <v>49308</v>
      </c>
      <c r="E1206" s="2" t="s">
        <v>667</v>
      </c>
      <c r="F1206" s="36" t="n">
        <v>1.23087531435061</v>
      </c>
      <c r="G1206" s="31" t="n">
        <v>50</v>
      </c>
      <c r="H1206" s="37" t="n">
        <v>-0.00918316085602331</v>
      </c>
      <c r="I1206" s="31" t="n">
        <v>9.2</v>
      </c>
      <c r="J1206" s="2" t="s">
        <v>2697</v>
      </c>
      <c r="K1206" s="38" t="n">
        <v>0.0481203007518797</v>
      </c>
      <c r="L1206" s="31" t="n">
        <v>29.3</v>
      </c>
      <c r="M1206" s="39" t="s">
        <v>671</v>
      </c>
      <c r="N1206" s="2" t="s">
        <v>19</v>
      </c>
      <c r="O1206" s="2" t="s">
        <v>19</v>
      </c>
      <c r="P1206" s="2" t="s">
        <v>19</v>
      </c>
      <c r="Q1206" s="2" t="s">
        <v>19</v>
      </c>
    </row>
    <row r="1207" customFormat="false" ht="15" hidden="false" customHeight="false" outlineLevel="0" collapsed="false">
      <c r="A1207" s="2" t="s">
        <v>3001</v>
      </c>
      <c r="B1207" s="2" t="s">
        <v>45</v>
      </c>
      <c r="C1207" s="15" t="s">
        <v>3002</v>
      </c>
      <c r="D1207" s="44" t="n">
        <v>670</v>
      </c>
      <c r="E1207" s="2" t="s">
        <v>678</v>
      </c>
      <c r="F1207" s="45" t="n">
        <v>0.0582089552238806</v>
      </c>
      <c r="G1207" s="31" t="n">
        <v>0.2</v>
      </c>
      <c r="H1207" s="46" t="n">
        <v>0.046875</v>
      </c>
      <c r="I1207" s="31" t="n">
        <v>25.9</v>
      </c>
      <c r="J1207" s="2" t="s">
        <v>2713</v>
      </c>
      <c r="K1207" s="33"/>
      <c r="L1207" s="31"/>
      <c r="M1207" s="34" t="s">
        <v>668</v>
      </c>
      <c r="N1207" s="2" t="s">
        <v>17</v>
      </c>
      <c r="O1207" s="2" t="s">
        <v>17</v>
      </c>
      <c r="P1207" s="2" t="s">
        <v>17</v>
      </c>
      <c r="Q1207" s="2"/>
    </row>
    <row r="1208" customFormat="false" ht="15" hidden="false" customHeight="false" outlineLevel="0" collapsed="false">
      <c r="A1208" s="2" t="s">
        <v>2331</v>
      </c>
      <c r="B1208" s="2" t="s">
        <v>45</v>
      </c>
      <c r="C1208" s="16"/>
      <c r="D1208" s="29"/>
      <c r="E1208" s="2"/>
      <c r="F1208" s="30"/>
      <c r="G1208" s="31"/>
      <c r="H1208" s="32"/>
      <c r="I1208" s="31"/>
      <c r="J1208" s="2"/>
      <c r="K1208" s="33"/>
      <c r="L1208" s="31"/>
      <c r="M1208" s="34" t="s">
        <v>668</v>
      </c>
      <c r="N1208" s="2"/>
      <c r="O1208" s="2"/>
      <c r="P1208" s="2"/>
      <c r="Q1208" s="2"/>
    </row>
    <row r="1209" customFormat="false" ht="15" hidden="false" customHeight="false" outlineLevel="0" collapsed="false">
      <c r="A1209" s="2" t="s">
        <v>2331</v>
      </c>
      <c r="B1209" s="2" t="s">
        <v>46</v>
      </c>
      <c r="C1209" s="16"/>
      <c r="D1209" s="40" t="n">
        <v>7690</v>
      </c>
      <c r="E1209" s="2" t="s">
        <v>678</v>
      </c>
      <c r="F1209" s="41" t="n">
        <v>5.79336801040312</v>
      </c>
      <c r="G1209" s="31" t="n">
        <v>80.1</v>
      </c>
      <c r="H1209" s="42" t="n">
        <v>0.151197604790419</v>
      </c>
      <c r="I1209" s="31" t="n">
        <v>68.8</v>
      </c>
      <c r="J1209" s="2" t="s">
        <v>2720</v>
      </c>
      <c r="K1209" s="43" t="n">
        <v>0.0397629044208447</v>
      </c>
      <c r="L1209" s="31" t="n">
        <v>9.3</v>
      </c>
      <c r="M1209" s="34" t="s">
        <v>668</v>
      </c>
      <c r="N1209" s="2" t="s">
        <v>21</v>
      </c>
      <c r="O1209" s="2" t="s">
        <v>21</v>
      </c>
      <c r="P1209" s="2" t="s">
        <v>21</v>
      </c>
      <c r="Q1209" s="2" t="s">
        <v>21</v>
      </c>
    </row>
    <row r="1210" customFormat="false" ht="15" hidden="false" customHeight="false" outlineLevel="0" collapsed="false">
      <c r="A1210" s="2" t="s">
        <v>2331</v>
      </c>
      <c r="B1210" s="2" t="s">
        <v>47</v>
      </c>
      <c r="C1210" s="13" t="s">
        <v>2332</v>
      </c>
      <c r="D1210" s="35" t="n">
        <v>83131</v>
      </c>
      <c r="E1210" s="2" t="s">
        <v>667</v>
      </c>
      <c r="F1210" s="36" t="n">
        <v>1.18097941802697</v>
      </c>
      <c r="G1210" s="31" t="n">
        <v>48.1</v>
      </c>
      <c r="H1210" s="37" t="n">
        <v>0.294331044576269</v>
      </c>
      <c r="I1210" s="31" t="n">
        <v>100</v>
      </c>
      <c r="J1210" s="2" t="s">
        <v>2697</v>
      </c>
      <c r="K1210" s="38" t="n">
        <v>0.0473763684409211</v>
      </c>
      <c r="L1210" s="31" t="n">
        <v>29.1</v>
      </c>
      <c r="M1210" s="39" t="s">
        <v>671</v>
      </c>
      <c r="N1210" s="2" t="s">
        <v>19</v>
      </c>
      <c r="O1210" s="2" t="s">
        <v>19</v>
      </c>
      <c r="P1210" s="2" t="s">
        <v>19</v>
      </c>
      <c r="Q1210" s="2" t="s">
        <v>19</v>
      </c>
    </row>
    <row r="1211" customFormat="false" ht="15" hidden="false" customHeight="false" outlineLevel="0" collapsed="false">
      <c r="A1211" s="2" t="s">
        <v>1144</v>
      </c>
      <c r="B1211" s="2" t="s">
        <v>45</v>
      </c>
      <c r="C1211" s="14" t="s">
        <v>1145</v>
      </c>
      <c r="D1211" s="40" t="n">
        <v>61680</v>
      </c>
      <c r="E1211" s="2" t="s">
        <v>667</v>
      </c>
      <c r="F1211" s="41" t="n">
        <v>0.459695201037614</v>
      </c>
      <c r="G1211" s="31" t="n">
        <v>37</v>
      </c>
      <c r="H1211" s="42" t="n">
        <v>0.0693481276005548</v>
      </c>
      <c r="I1211" s="31" t="n">
        <v>37.3</v>
      </c>
      <c r="J1211" s="2" t="s">
        <v>2704</v>
      </c>
      <c r="K1211" s="43" t="n">
        <v>0.170309653916211</v>
      </c>
      <c r="L1211" s="31" t="n">
        <v>61</v>
      </c>
      <c r="M1211" s="39" t="s">
        <v>671</v>
      </c>
      <c r="N1211" s="2" t="s">
        <v>21</v>
      </c>
      <c r="O1211" s="2" t="s">
        <v>21</v>
      </c>
      <c r="P1211" s="2" t="s">
        <v>21</v>
      </c>
      <c r="Q1211" s="2" t="s">
        <v>21</v>
      </c>
    </row>
    <row r="1212" customFormat="false" ht="15" hidden="false" customHeight="false" outlineLevel="0" collapsed="false">
      <c r="A1212" s="2" t="s">
        <v>1144</v>
      </c>
      <c r="B1212" s="2" t="s">
        <v>46</v>
      </c>
      <c r="C1212" s="14" t="s">
        <v>3003</v>
      </c>
      <c r="D1212" s="40" t="n">
        <v>314080</v>
      </c>
      <c r="E1212" s="2" t="s">
        <v>670</v>
      </c>
      <c r="F1212" s="30"/>
      <c r="G1212" s="31"/>
      <c r="H1212" s="42" t="n">
        <v>0.182129549474952</v>
      </c>
      <c r="I1212" s="31" t="n">
        <v>93.4</v>
      </c>
      <c r="J1212" s="2" t="s">
        <v>2705</v>
      </c>
      <c r="K1212" s="43" t="n">
        <v>0.282324838935655</v>
      </c>
      <c r="L1212" s="31" t="n">
        <v>88.1</v>
      </c>
      <c r="M1212" s="34" t="s">
        <v>668</v>
      </c>
      <c r="N1212" s="2" t="s">
        <v>21</v>
      </c>
      <c r="O1212" s="2"/>
      <c r="P1212" s="2" t="s">
        <v>21</v>
      </c>
      <c r="Q1212" s="2" t="s">
        <v>21</v>
      </c>
    </row>
    <row r="1213" customFormat="false" ht="15" hidden="false" customHeight="false" outlineLevel="0" collapsed="false">
      <c r="A1213" s="2" t="s">
        <v>1144</v>
      </c>
      <c r="B1213" s="2" t="s">
        <v>47</v>
      </c>
      <c r="C1213" s="13" t="s">
        <v>2228</v>
      </c>
      <c r="D1213" s="35" t="n">
        <v>20626</v>
      </c>
      <c r="E1213" s="2" t="s">
        <v>667</v>
      </c>
      <c r="F1213" s="36" t="n">
        <v>1.57970522641327</v>
      </c>
      <c r="G1213" s="31" t="n">
        <v>61.8</v>
      </c>
      <c r="H1213" s="37" t="n">
        <v>0.185197954375682</v>
      </c>
      <c r="I1213" s="31" t="n">
        <v>90.8</v>
      </c>
      <c r="J1213" s="2" t="s">
        <v>2697</v>
      </c>
      <c r="K1213" s="38" t="n">
        <v>0.0411663807890223</v>
      </c>
      <c r="L1213" s="31" t="n">
        <v>25.9</v>
      </c>
      <c r="M1213" s="39" t="s">
        <v>671</v>
      </c>
      <c r="N1213" s="2" t="s">
        <v>19</v>
      </c>
      <c r="O1213" s="2" t="s">
        <v>19</v>
      </c>
      <c r="P1213" s="2" t="s">
        <v>19</v>
      </c>
      <c r="Q1213" s="2" t="s">
        <v>19</v>
      </c>
    </row>
    <row r="1214" customFormat="false" ht="15" hidden="false" customHeight="false" outlineLevel="0" collapsed="false">
      <c r="A1214" s="2" t="s">
        <v>3004</v>
      </c>
      <c r="B1214" s="2" t="s">
        <v>45</v>
      </c>
      <c r="C1214" s="14" t="s">
        <v>3005</v>
      </c>
      <c r="D1214" s="40" t="n">
        <v>2460</v>
      </c>
      <c r="E1214" s="2" t="s">
        <v>678</v>
      </c>
      <c r="F1214" s="41" t="n">
        <v>0.503658536585366</v>
      </c>
      <c r="G1214" s="31" t="n">
        <v>41.7</v>
      </c>
      <c r="H1214" s="32"/>
      <c r="I1214" s="31"/>
      <c r="J1214" s="2"/>
      <c r="K1214" s="43" t="n">
        <v>0.101123595505618</v>
      </c>
      <c r="L1214" s="31" t="n">
        <v>34.8</v>
      </c>
      <c r="M1214" s="34" t="s">
        <v>668</v>
      </c>
      <c r="N1214" s="2" t="s">
        <v>21</v>
      </c>
      <c r="O1214" s="2" t="s">
        <v>21</v>
      </c>
      <c r="P1214" s="2"/>
      <c r="Q1214" s="2" t="s">
        <v>21</v>
      </c>
    </row>
    <row r="1215" customFormat="false" ht="15" hidden="false" customHeight="false" outlineLevel="0" collapsed="false">
      <c r="A1215" s="2" t="s">
        <v>2135</v>
      </c>
      <c r="B1215" s="2" t="s">
        <v>45</v>
      </c>
      <c r="C1215" s="16"/>
      <c r="D1215" s="29"/>
      <c r="E1215" s="2"/>
      <c r="F1215" s="30"/>
      <c r="G1215" s="31"/>
      <c r="H1215" s="32"/>
      <c r="I1215" s="31"/>
      <c r="J1215" s="2"/>
      <c r="K1215" s="33"/>
      <c r="L1215" s="31"/>
      <c r="M1215" s="34" t="s">
        <v>668</v>
      </c>
      <c r="N1215" s="2"/>
      <c r="O1215" s="2"/>
      <c r="P1215" s="2"/>
      <c r="Q1215" s="2"/>
    </row>
    <row r="1216" customFormat="false" ht="15" hidden="false" customHeight="false" outlineLevel="0" collapsed="false">
      <c r="A1216" s="2" t="s">
        <v>2135</v>
      </c>
      <c r="B1216" s="2" t="s">
        <v>46</v>
      </c>
      <c r="C1216" s="16"/>
      <c r="D1216" s="44" t="n">
        <v>37397</v>
      </c>
      <c r="E1216" s="2" t="s">
        <v>667</v>
      </c>
      <c r="F1216" s="30"/>
      <c r="G1216" s="31"/>
      <c r="H1216" s="46" t="n">
        <v>0.0708109036765548</v>
      </c>
      <c r="I1216" s="31" t="n">
        <v>40.7</v>
      </c>
      <c r="J1216" s="2" t="s">
        <v>2700</v>
      </c>
      <c r="K1216" s="33"/>
      <c r="L1216" s="31"/>
      <c r="M1216" s="34" t="s">
        <v>668</v>
      </c>
      <c r="N1216" s="2" t="s">
        <v>17</v>
      </c>
      <c r="O1216" s="2"/>
      <c r="P1216" s="2" t="s">
        <v>17</v>
      </c>
      <c r="Q1216" s="2"/>
    </row>
    <row r="1217" customFormat="false" ht="15" hidden="false" customHeight="false" outlineLevel="0" collapsed="false">
      <c r="A1217" s="2" t="s">
        <v>2135</v>
      </c>
      <c r="B1217" s="2" t="s">
        <v>47</v>
      </c>
      <c r="C1217" s="13" t="s">
        <v>2136</v>
      </c>
      <c r="D1217" s="35" t="n">
        <v>33862</v>
      </c>
      <c r="E1217" s="2" t="s">
        <v>667</v>
      </c>
      <c r="F1217" s="36" t="n">
        <v>2.02025869706456</v>
      </c>
      <c r="G1217" s="31" t="n">
        <v>74.7</v>
      </c>
      <c r="H1217" s="37" t="n">
        <v>0.147436549083393</v>
      </c>
      <c r="I1217" s="31" t="n">
        <v>76.6</v>
      </c>
      <c r="J1217" s="2" t="s">
        <v>2697</v>
      </c>
      <c r="K1217" s="38" t="n">
        <v>0.16757560733763</v>
      </c>
      <c r="L1217" s="31" t="n">
        <v>76</v>
      </c>
      <c r="M1217" s="39" t="s">
        <v>671</v>
      </c>
      <c r="N1217" s="2" t="s">
        <v>19</v>
      </c>
      <c r="O1217" s="2" t="s">
        <v>19</v>
      </c>
      <c r="P1217" s="2" t="s">
        <v>19</v>
      </c>
      <c r="Q1217" s="2" t="s">
        <v>19</v>
      </c>
    </row>
    <row r="1218" customFormat="false" ht="15" hidden="false" customHeight="false" outlineLevel="0" collapsed="false">
      <c r="A1218" s="2" t="s">
        <v>1455</v>
      </c>
      <c r="B1218" s="2" t="s">
        <v>45</v>
      </c>
      <c r="C1218" s="16"/>
      <c r="D1218" s="29"/>
      <c r="E1218" s="2"/>
      <c r="F1218" s="30"/>
      <c r="G1218" s="31"/>
      <c r="H1218" s="32"/>
      <c r="I1218" s="31"/>
      <c r="J1218" s="2"/>
      <c r="K1218" s="33"/>
      <c r="L1218" s="31"/>
      <c r="M1218" s="34" t="s">
        <v>668</v>
      </c>
      <c r="N1218" s="2"/>
      <c r="O1218" s="2"/>
      <c r="P1218" s="2"/>
      <c r="Q1218" s="2"/>
    </row>
    <row r="1219" customFormat="false" ht="15" hidden="false" customHeight="false" outlineLevel="0" collapsed="false">
      <c r="A1219" s="2" t="s">
        <v>1455</v>
      </c>
      <c r="B1219" s="2" t="s">
        <v>46</v>
      </c>
      <c r="C1219" s="13" t="s">
        <v>1456</v>
      </c>
      <c r="D1219" s="35" t="n">
        <v>114469</v>
      </c>
      <c r="E1219" s="2" t="s">
        <v>670</v>
      </c>
      <c r="F1219" s="36" t="n">
        <v>7.25711764757271</v>
      </c>
      <c r="G1219" s="31" t="n">
        <v>88.4</v>
      </c>
      <c r="H1219" s="37" t="n">
        <v>0.0554710335352641</v>
      </c>
      <c r="I1219" s="31" t="n">
        <v>33.1</v>
      </c>
      <c r="J1219" s="2" t="s">
        <v>2705</v>
      </c>
      <c r="K1219" s="38" t="n">
        <v>0.0273823446384643</v>
      </c>
      <c r="L1219" s="31" t="n">
        <v>5.2</v>
      </c>
      <c r="M1219" s="39" t="s">
        <v>671</v>
      </c>
      <c r="N1219" s="2" t="s">
        <v>19</v>
      </c>
      <c r="O1219" s="2" t="s">
        <v>19</v>
      </c>
      <c r="P1219" s="2" t="s">
        <v>19</v>
      </c>
      <c r="Q1219" s="2" t="s">
        <v>19</v>
      </c>
    </row>
    <row r="1220" customFormat="false" ht="15" hidden="false" customHeight="false" outlineLevel="0" collapsed="false">
      <c r="A1220" s="2" t="s">
        <v>1455</v>
      </c>
      <c r="B1220" s="2" t="s">
        <v>47</v>
      </c>
      <c r="C1220" s="13" t="s">
        <v>2589</v>
      </c>
      <c r="D1220" s="35" t="n">
        <v>30879</v>
      </c>
      <c r="E1220" s="2" t="s">
        <v>667</v>
      </c>
      <c r="F1220" s="36" t="n">
        <v>0.569804721655494</v>
      </c>
      <c r="G1220" s="31" t="n">
        <v>14.4</v>
      </c>
      <c r="H1220" s="37" t="n">
        <v>0.0886687350162177</v>
      </c>
      <c r="I1220" s="31" t="n">
        <v>49.6</v>
      </c>
      <c r="J1220" s="2" t="s">
        <v>2697</v>
      </c>
      <c r="K1220" s="38" t="n">
        <v>0.255294117647059</v>
      </c>
      <c r="L1220" s="31" t="n">
        <v>93.1</v>
      </c>
      <c r="M1220" s="39" t="s">
        <v>671</v>
      </c>
      <c r="N1220" s="2" t="s">
        <v>19</v>
      </c>
      <c r="O1220" s="2" t="s">
        <v>19</v>
      </c>
      <c r="P1220" s="2" t="s">
        <v>19</v>
      </c>
      <c r="Q1220" s="2" t="s">
        <v>19</v>
      </c>
    </row>
    <row r="1221" customFormat="false" ht="15" hidden="false" customHeight="false" outlineLevel="0" collapsed="false">
      <c r="A1221" s="2" t="s">
        <v>290</v>
      </c>
      <c r="B1221" s="2" t="s">
        <v>45</v>
      </c>
      <c r="C1221" s="14" t="s">
        <v>996</v>
      </c>
      <c r="D1221" s="40" t="n">
        <v>92640</v>
      </c>
      <c r="E1221" s="2" t="s">
        <v>667</v>
      </c>
      <c r="F1221" s="41" t="n">
        <v>0.664302677029361</v>
      </c>
      <c r="G1221" s="31" t="n">
        <v>55.8</v>
      </c>
      <c r="H1221" s="42" t="n">
        <v>0.145683898095474</v>
      </c>
      <c r="I1221" s="31" t="n">
        <v>75.8</v>
      </c>
      <c r="J1221" s="2" t="s">
        <v>2704</v>
      </c>
      <c r="K1221" s="47" t="s">
        <v>680</v>
      </c>
      <c r="L1221" s="31"/>
      <c r="M1221" s="39" t="s">
        <v>671</v>
      </c>
      <c r="N1221" s="2" t="s">
        <v>21</v>
      </c>
      <c r="O1221" s="2" t="s">
        <v>21</v>
      </c>
      <c r="P1221" s="2" t="s">
        <v>21</v>
      </c>
      <c r="Q1221" s="2" t="s">
        <v>2711</v>
      </c>
    </row>
    <row r="1222" customFormat="false" ht="15" hidden="false" customHeight="false" outlineLevel="0" collapsed="false">
      <c r="A1222" s="2" t="s">
        <v>290</v>
      </c>
      <c r="B1222" s="2" t="s">
        <v>46</v>
      </c>
      <c r="C1222" s="14" t="s">
        <v>1426</v>
      </c>
      <c r="D1222" s="40" t="n">
        <v>26110</v>
      </c>
      <c r="E1222" s="2" t="s">
        <v>667</v>
      </c>
      <c r="F1222" s="41" t="n">
        <v>8.36265798544619</v>
      </c>
      <c r="G1222" s="31" t="n">
        <v>91.5</v>
      </c>
      <c r="H1222" s="46" t="n">
        <v>0.12375634943957</v>
      </c>
      <c r="I1222" s="31" t="n">
        <v>65.6</v>
      </c>
      <c r="J1222" s="2" t="s">
        <v>2700</v>
      </c>
      <c r="K1222" s="43" t="n">
        <v>0.122491064063789</v>
      </c>
      <c r="L1222" s="31" t="n">
        <v>44.3</v>
      </c>
      <c r="M1222" s="39" t="s">
        <v>671</v>
      </c>
      <c r="N1222" s="2" t="s">
        <v>21</v>
      </c>
      <c r="O1222" s="2" t="s">
        <v>21</v>
      </c>
      <c r="P1222" s="2" t="s">
        <v>17</v>
      </c>
      <c r="Q1222" s="2" t="s">
        <v>21</v>
      </c>
    </row>
    <row r="1223" customFormat="false" ht="15" hidden="false" customHeight="false" outlineLevel="0" collapsed="false">
      <c r="A1223" s="2" t="s">
        <v>290</v>
      </c>
      <c r="B1223" s="2" t="s">
        <v>47</v>
      </c>
      <c r="C1223" s="13" t="s">
        <v>2462</v>
      </c>
      <c r="D1223" s="35" t="n">
        <v>25015</v>
      </c>
      <c r="E1223" s="2" t="s">
        <v>667</v>
      </c>
      <c r="F1223" s="36" t="n">
        <v>0.881431141315211</v>
      </c>
      <c r="G1223" s="31" t="n">
        <v>30.6</v>
      </c>
      <c r="H1223" s="42" t="n">
        <v>0.103492884864166</v>
      </c>
      <c r="I1223" s="31" t="n">
        <v>56</v>
      </c>
      <c r="J1223" s="2" t="s">
        <v>2697</v>
      </c>
      <c r="K1223" s="38" t="n">
        <v>0.0072992700729927</v>
      </c>
      <c r="L1223" s="31" t="n">
        <v>5.7</v>
      </c>
      <c r="M1223" s="39" t="s">
        <v>671</v>
      </c>
      <c r="N1223" s="2" t="s">
        <v>19</v>
      </c>
      <c r="O1223" s="2" t="s">
        <v>19</v>
      </c>
      <c r="P1223" s="2" t="s">
        <v>21</v>
      </c>
      <c r="Q1223" s="2" t="s">
        <v>19</v>
      </c>
    </row>
    <row r="1224" customFormat="false" ht="15" hidden="false" customHeight="false" outlineLevel="0" collapsed="false">
      <c r="A1224" s="2" t="s">
        <v>3006</v>
      </c>
      <c r="B1224" s="2" t="s">
        <v>45</v>
      </c>
      <c r="C1224" s="14" t="s">
        <v>3007</v>
      </c>
      <c r="D1224" s="40" t="n">
        <v>96190</v>
      </c>
      <c r="E1224" s="2" t="s">
        <v>667</v>
      </c>
      <c r="F1224" s="41" t="n">
        <v>0.0747790830647677</v>
      </c>
      <c r="G1224" s="31" t="n">
        <v>1.1</v>
      </c>
      <c r="H1224" s="42" t="n">
        <v>0.0157338965153115</v>
      </c>
      <c r="I1224" s="31" t="n">
        <v>12.3</v>
      </c>
      <c r="J1224" s="2" t="s">
        <v>2704</v>
      </c>
      <c r="K1224" s="33"/>
      <c r="L1224" s="31"/>
      <c r="M1224" s="34" t="s">
        <v>668</v>
      </c>
      <c r="N1224" s="2" t="s">
        <v>21</v>
      </c>
      <c r="O1224" s="2" t="s">
        <v>21</v>
      </c>
      <c r="P1224" s="2" t="s">
        <v>21</v>
      </c>
      <c r="Q1224" s="2"/>
    </row>
    <row r="1225" customFormat="false" ht="15" hidden="false" customHeight="false" outlineLevel="0" collapsed="false">
      <c r="A1225" s="2" t="s">
        <v>3006</v>
      </c>
      <c r="B1225" s="2" t="s">
        <v>46</v>
      </c>
      <c r="C1225" s="15" t="s">
        <v>3008</v>
      </c>
      <c r="D1225" s="44" t="n">
        <v>63410</v>
      </c>
      <c r="E1225" s="2" t="s">
        <v>667</v>
      </c>
      <c r="F1225" s="45" t="n">
        <v>1.17077747989276</v>
      </c>
      <c r="G1225" s="31" t="n">
        <v>8</v>
      </c>
      <c r="H1225" s="32"/>
      <c r="I1225" s="31"/>
      <c r="J1225" s="2"/>
      <c r="K1225" s="33"/>
      <c r="L1225" s="31"/>
      <c r="M1225" s="34" t="s">
        <v>668</v>
      </c>
      <c r="N1225" s="2" t="s">
        <v>17</v>
      </c>
      <c r="O1225" s="2" t="s">
        <v>17</v>
      </c>
      <c r="P1225" s="2"/>
      <c r="Q1225" s="2"/>
    </row>
    <row r="1226" customFormat="false" ht="15" hidden="false" customHeight="false" outlineLevel="0" collapsed="false">
      <c r="A1226" s="2" t="s">
        <v>274</v>
      </c>
      <c r="B1226" s="2" t="s">
        <v>45</v>
      </c>
      <c r="C1226" s="14" t="s">
        <v>954</v>
      </c>
      <c r="D1226" s="40" t="n">
        <v>45580</v>
      </c>
      <c r="E1226" s="2" t="s">
        <v>667</v>
      </c>
      <c r="F1226" s="41" t="n">
        <v>0.75010969723563</v>
      </c>
      <c r="G1226" s="31" t="n">
        <v>61.3</v>
      </c>
      <c r="H1226" s="46" t="n">
        <v>-0.00508307582068162</v>
      </c>
      <c r="I1226" s="31" t="n">
        <v>8.3</v>
      </c>
      <c r="J1226" s="2" t="s">
        <v>2704</v>
      </c>
      <c r="K1226" s="43" t="n">
        <v>0.0395417590539542</v>
      </c>
      <c r="L1226" s="31" t="n">
        <v>9.7</v>
      </c>
      <c r="M1226" s="39" t="s">
        <v>671</v>
      </c>
      <c r="N1226" s="2" t="s">
        <v>21</v>
      </c>
      <c r="O1226" s="2" t="s">
        <v>21</v>
      </c>
      <c r="P1226" s="2" t="s">
        <v>17</v>
      </c>
      <c r="Q1226" s="2" t="s">
        <v>21</v>
      </c>
    </row>
    <row r="1227" customFormat="false" ht="15" hidden="false" customHeight="false" outlineLevel="0" collapsed="false">
      <c r="A1227" s="2" t="s">
        <v>861</v>
      </c>
      <c r="B1227" s="2" t="s">
        <v>45</v>
      </c>
      <c r="C1227" s="13" t="s">
        <v>862</v>
      </c>
      <c r="D1227" s="35" t="n">
        <v>4102</v>
      </c>
      <c r="E1227" s="2" t="s">
        <v>678</v>
      </c>
      <c r="F1227" s="36" t="n">
        <v>0.955631399317406</v>
      </c>
      <c r="G1227" s="31" t="n">
        <v>74.1</v>
      </c>
      <c r="H1227" s="37" t="n">
        <v>-0.0339142722562412</v>
      </c>
      <c r="I1227" s="31" t="n">
        <v>3.7</v>
      </c>
      <c r="J1227" s="2" t="s">
        <v>2713</v>
      </c>
      <c r="K1227" s="38" t="n">
        <v>0.205</v>
      </c>
      <c r="L1227" s="31" t="n">
        <v>72.7</v>
      </c>
      <c r="M1227" s="39" t="s">
        <v>671</v>
      </c>
      <c r="N1227" s="2" t="s">
        <v>19</v>
      </c>
      <c r="O1227" s="2" t="s">
        <v>19</v>
      </c>
      <c r="P1227" s="2" t="s">
        <v>19</v>
      </c>
      <c r="Q1227" s="2" t="s">
        <v>19</v>
      </c>
    </row>
    <row r="1228" customFormat="false" ht="15" hidden="false" customHeight="false" outlineLevel="0" collapsed="false">
      <c r="A1228" s="2" t="s">
        <v>861</v>
      </c>
      <c r="B1228" s="2" t="s">
        <v>46</v>
      </c>
      <c r="C1228" s="16"/>
      <c r="D1228" s="29"/>
      <c r="E1228" s="2"/>
      <c r="F1228" s="30"/>
      <c r="G1228" s="31"/>
      <c r="H1228" s="32"/>
      <c r="I1228" s="31"/>
      <c r="J1228" s="2"/>
      <c r="K1228" s="33"/>
      <c r="L1228" s="31"/>
      <c r="M1228" s="34" t="s">
        <v>668</v>
      </c>
      <c r="N1228" s="2"/>
      <c r="O1228" s="2"/>
      <c r="P1228" s="2"/>
      <c r="Q1228" s="2"/>
    </row>
    <row r="1229" customFormat="false" ht="15" hidden="false" customHeight="false" outlineLevel="0" collapsed="false">
      <c r="A1229" s="2" t="s">
        <v>861</v>
      </c>
      <c r="B1229" s="2" t="s">
        <v>47</v>
      </c>
      <c r="C1229" s="13" t="s">
        <v>2642</v>
      </c>
      <c r="D1229" s="35" t="n">
        <v>10144</v>
      </c>
      <c r="E1229" s="2" t="s">
        <v>667</v>
      </c>
      <c r="F1229" s="36" t="n">
        <v>0.342468454258675</v>
      </c>
      <c r="G1229" s="31" t="n">
        <v>6.1</v>
      </c>
      <c r="H1229" s="37" t="n">
        <v>0.032258064516129</v>
      </c>
      <c r="I1229" s="31" t="n">
        <v>22</v>
      </c>
      <c r="J1229" s="2" t="s">
        <v>2697</v>
      </c>
      <c r="K1229" s="38" t="n">
        <v>0.106870229007634</v>
      </c>
      <c r="L1229" s="31" t="n">
        <v>57.9</v>
      </c>
      <c r="M1229" s="39" t="s">
        <v>671</v>
      </c>
      <c r="N1229" s="2" t="s">
        <v>19</v>
      </c>
      <c r="O1229" s="2" t="s">
        <v>19</v>
      </c>
      <c r="P1229" s="2" t="s">
        <v>19</v>
      </c>
      <c r="Q1229" s="2" t="s">
        <v>19</v>
      </c>
    </row>
    <row r="1230" customFormat="false" ht="15" hidden="false" customHeight="false" outlineLevel="0" collapsed="false">
      <c r="A1230" s="2" t="s">
        <v>999</v>
      </c>
      <c r="B1230" s="2" t="s">
        <v>45</v>
      </c>
      <c r="C1230" s="14" t="s">
        <v>1000</v>
      </c>
      <c r="D1230" s="40" t="n">
        <v>316090</v>
      </c>
      <c r="E1230" s="2" t="s">
        <v>670</v>
      </c>
      <c r="F1230" s="41" t="n">
        <v>0.655189977538043</v>
      </c>
      <c r="G1230" s="31" t="n">
        <v>54.9</v>
      </c>
      <c r="H1230" s="42" t="n">
        <v>0.102819063568488</v>
      </c>
      <c r="I1230" s="31" t="n">
        <v>60.1</v>
      </c>
      <c r="J1230" s="2" t="s">
        <v>2698</v>
      </c>
      <c r="K1230" s="43" t="n">
        <v>0.0762073548958795</v>
      </c>
      <c r="L1230" s="31" t="n">
        <v>24</v>
      </c>
      <c r="M1230" s="39" t="s">
        <v>671</v>
      </c>
      <c r="N1230" s="2" t="s">
        <v>21</v>
      </c>
      <c r="O1230" s="2" t="s">
        <v>21</v>
      </c>
      <c r="P1230" s="2" t="s">
        <v>21</v>
      </c>
      <c r="Q1230" s="2" t="s">
        <v>21</v>
      </c>
    </row>
    <row r="1231" customFormat="false" ht="15" hidden="false" customHeight="false" outlineLevel="0" collapsed="false">
      <c r="A1231" s="2" t="s">
        <v>999</v>
      </c>
      <c r="B1231" s="2" t="s">
        <v>46</v>
      </c>
      <c r="C1231" s="14" t="s">
        <v>3009</v>
      </c>
      <c r="D1231" s="40" t="n">
        <v>183440</v>
      </c>
      <c r="E1231" s="2" t="s">
        <v>670</v>
      </c>
      <c r="F1231" s="41" t="n">
        <v>5.02505996511121</v>
      </c>
      <c r="G1231" s="31" t="n">
        <v>73.2</v>
      </c>
      <c r="H1231" s="32"/>
      <c r="I1231" s="31"/>
      <c r="J1231" s="2"/>
      <c r="K1231" s="43" t="n">
        <v>0.129374285247509</v>
      </c>
      <c r="L1231" s="31" t="n">
        <v>49</v>
      </c>
      <c r="M1231" s="34" t="s">
        <v>668</v>
      </c>
      <c r="N1231" s="2" t="s">
        <v>21</v>
      </c>
      <c r="O1231" s="2" t="s">
        <v>21</v>
      </c>
      <c r="P1231" s="2"/>
      <c r="Q1231" s="2" t="s">
        <v>21</v>
      </c>
    </row>
    <row r="1232" customFormat="false" ht="15" hidden="false" customHeight="false" outlineLevel="0" collapsed="false">
      <c r="A1232" s="2" t="s">
        <v>999</v>
      </c>
      <c r="B1232" s="2" t="s">
        <v>47</v>
      </c>
      <c r="C1232" s="13" t="s">
        <v>2188</v>
      </c>
      <c r="D1232" s="35" t="n">
        <v>20832</v>
      </c>
      <c r="E1232" s="2" t="s">
        <v>667</v>
      </c>
      <c r="F1232" s="36" t="n">
        <v>1.74251152073733</v>
      </c>
      <c r="G1232" s="31" t="n">
        <v>66.9</v>
      </c>
      <c r="H1232" s="37" t="n">
        <v>0.238451935081149</v>
      </c>
      <c r="I1232" s="31" t="n">
        <v>97.9</v>
      </c>
      <c r="J1232" s="2" t="s">
        <v>2697</v>
      </c>
      <c r="K1232" s="38" t="n">
        <v>0.0821484992101106</v>
      </c>
      <c r="L1232" s="31" t="n">
        <v>45.5</v>
      </c>
      <c r="M1232" s="39" t="s">
        <v>671</v>
      </c>
      <c r="N1232" s="2" t="s">
        <v>19</v>
      </c>
      <c r="O1232" s="2" t="s">
        <v>19</v>
      </c>
      <c r="P1232" s="2" t="s">
        <v>19</v>
      </c>
      <c r="Q1232" s="2" t="s">
        <v>19</v>
      </c>
    </row>
    <row r="1233" customFormat="false" ht="15" hidden="false" customHeight="false" outlineLevel="0" collapsed="false">
      <c r="A1233" s="2" t="s">
        <v>292</v>
      </c>
      <c r="B1233" s="2" t="s">
        <v>47</v>
      </c>
      <c r="C1233" s="13" t="s">
        <v>2250</v>
      </c>
      <c r="D1233" s="35" t="n">
        <v>8273</v>
      </c>
      <c r="E1233" s="2" t="s">
        <v>678</v>
      </c>
      <c r="F1233" s="36" t="n">
        <v>1.51057657439865</v>
      </c>
      <c r="G1233" s="31" t="n">
        <v>59.1</v>
      </c>
      <c r="H1233" s="37" t="n">
        <v>0.110767991407089</v>
      </c>
      <c r="I1233" s="31" t="n">
        <v>50.7</v>
      </c>
      <c r="J1233" s="2" t="s">
        <v>2706</v>
      </c>
      <c r="K1233" s="38" t="n">
        <v>0.0302760463045414</v>
      </c>
      <c r="L1233" s="31" t="n">
        <v>19.8</v>
      </c>
      <c r="M1233" s="39" t="s">
        <v>671</v>
      </c>
      <c r="N1233" s="2" t="s">
        <v>19</v>
      </c>
      <c r="O1233" s="2" t="s">
        <v>19</v>
      </c>
      <c r="P1233" s="2" t="s">
        <v>19</v>
      </c>
      <c r="Q1233" s="2" t="s">
        <v>19</v>
      </c>
    </row>
    <row r="1234" customFormat="false" ht="15" hidden="false" customHeight="false" outlineLevel="0" collapsed="false">
      <c r="A1234" s="2" t="s">
        <v>1420</v>
      </c>
      <c r="B1234" s="2" t="s">
        <v>46</v>
      </c>
      <c r="C1234" s="14" t="s">
        <v>1421</v>
      </c>
      <c r="D1234" s="40" t="n">
        <v>146250</v>
      </c>
      <c r="E1234" s="2" t="s">
        <v>670</v>
      </c>
      <c r="F1234" s="41" t="n">
        <v>8.42114188034188</v>
      </c>
      <c r="G1234" s="31" t="n">
        <v>92.2</v>
      </c>
      <c r="H1234" s="42" t="n">
        <v>0.18401878238342</v>
      </c>
      <c r="I1234" s="31" t="n">
        <v>94</v>
      </c>
      <c r="J1234" s="2" t="s">
        <v>2705</v>
      </c>
      <c r="K1234" s="43" t="n">
        <v>0.084508512316185</v>
      </c>
      <c r="L1234" s="31" t="n">
        <v>25.9</v>
      </c>
      <c r="M1234" s="39" t="s">
        <v>671</v>
      </c>
      <c r="N1234" s="2" t="s">
        <v>21</v>
      </c>
      <c r="O1234" s="2" t="s">
        <v>21</v>
      </c>
      <c r="P1234" s="2" t="s">
        <v>21</v>
      </c>
      <c r="Q1234" s="2" t="s">
        <v>21</v>
      </c>
    </row>
    <row r="1235" customFormat="false" ht="15" hidden="false" customHeight="false" outlineLevel="0" collapsed="false">
      <c r="A1235" s="2" t="s">
        <v>1420</v>
      </c>
      <c r="B1235" s="2" t="s">
        <v>47</v>
      </c>
      <c r="C1235" s="16"/>
      <c r="D1235" s="44" t="n">
        <v>27783</v>
      </c>
      <c r="E1235" s="2" t="s">
        <v>667</v>
      </c>
      <c r="F1235" s="30"/>
      <c r="G1235" s="31"/>
      <c r="H1235" s="32"/>
      <c r="I1235" s="31"/>
      <c r="J1235" s="2"/>
      <c r="K1235" s="48" t="n">
        <v>0.0931174089068826</v>
      </c>
      <c r="L1235" s="31" t="n">
        <v>50.9</v>
      </c>
      <c r="M1235" s="34" t="s">
        <v>668</v>
      </c>
      <c r="N1235" s="2" t="s">
        <v>17</v>
      </c>
      <c r="O1235" s="2"/>
      <c r="P1235" s="2"/>
      <c r="Q1235" s="2" t="s">
        <v>17</v>
      </c>
    </row>
    <row r="1236" customFormat="false" ht="15" hidden="false" customHeight="false" outlineLevel="0" collapsed="false">
      <c r="A1236" s="2" t="s">
        <v>906</v>
      </c>
      <c r="B1236" s="2" t="s">
        <v>45</v>
      </c>
      <c r="C1236" s="14" t="s">
        <v>907</v>
      </c>
      <c r="D1236" s="40" t="n">
        <v>146480</v>
      </c>
      <c r="E1236" s="2" t="s">
        <v>670</v>
      </c>
      <c r="F1236" s="41" t="n">
        <v>0.860588476242491</v>
      </c>
      <c r="G1236" s="31" t="n">
        <v>67.9</v>
      </c>
      <c r="H1236" s="42" t="n">
        <v>0.0568542568542569</v>
      </c>
      <c r="I1236" s="31" t="n">
        <v>36.2</v>
      </c>
      <c r="J1236" s="2" t="s">
        <v>2698</v>
      </c>
      <c r="K1236" s="43" t="n">
        <v>0.0675822190097579</v>
      </c>
      <c r="L1236" s="31" t="n">
        <v>19.6</v>
      </c>
      <c r="M1236" s="39" t="s">
        <v>671</v>
      </c>
      <c r="N1236" s="2" t="s">
        <v>21</v>
      </c>
      <c r="O1236" s="2" t="s">
        <v>21</v>
      </c>
      <c r="P1236" s="2" t="s">
        <v>21</v>
      </c>
      <c r="Q1236" s="2" t="s">
        <v>21</v>
      </c>
    </row>
    <row r="1237" customFormat="false" ht="15" hidden="false" customHeight="false" outlineLevel="0" collapsed="false">
      <c r="A1237" s="2" t="s">
        <v>906</v>
      </c>
      <c r="B1237" s="2" t="s">
        <v>46</v>
      </c>
      <c r="C1237" s="15" t="s">
        <v>3010</v>
      </c>
      <c r="D1237" s="44" t="n">
        <v>13060</v>
      </c>
      <c r="E1237" s="2" t="s">
        <v>667</v>
      </c>
      <c r="F1237" s="45" t="n">
        <v>1.55842266462481</v>
      </c>
      <c r="G1237" s="31" t="n">
        <v>16.1</v>
      </c>
      <c r="H1237" s="46" t="n">
        <v>0.126250431183167</v>
      </c>
      <c r="I1237" s="31" t="n">
        <v>67.2</v>
      </c>
      <c r="J1237" s="2" t="s">
        <v>2700</v>
      </c>
      <c r="K1237" s="33"/>
      <c r="L1237" s="31"/>
      <c r="M1237" s="34" t="s">
        <v>668</v>
      </c>
      <c r="N1237" s="2" t="s">
        <v>17</v>
      </c>
      <c r="O1237" s="2" t="s">
        <v>17</v>
      </c>
      <c r="P1237" s="2" t="s">
        <v>17</v>
      </c>
      <c r="Q1237" s="2"/>
    </row>
    <row r="1238" customFormat="false" ht="15" hidden="false" customHeight="false" outlineLevel="0" collapsed="false">
      <c r="A1238" s="2" t="s">
        <v>906</v>
      </c>
      <c r="B1238" s="2" t="s">
        <v>47</v>
      </c>
      <c r="C1238" s="13" t="s">
        <v>2588</v>
      </c>
      <c r="D1238" s="35" t="n">
        <v>76389</v>
      </c>
      <c r="E1238" s="2" t="s">
        <v>667</v>
      </c>
      <c r="F1238" s="36" t="n">
        <v>0.572935893911427</v>
      </c>
      <c r="G1238" s="31" t="n">
        <v>14.6</v>
      </c>
      <c r="H1238" s="37" t="n">
        <v>0.107970121111031</v>
      </c>
      <c r="I1238" s="31" t="n">
        <v>58.2</v>
      </c>
      <c r="J1238" s="2" t="s">
        <v>2697</v>
      </c>
      <c r="K1238" s="38" t="n">
        <v>0.49239093676023</v>
      </c>
      <c r="L1238" s="31" t="n">
        <v>100</v>
      </c>
      <c r="M1238" s="39" t="s">
        <v>671</v>
      </c>
      <c r="N1238" s="2" t="s">
        <v>19</v>
      </c>
      <c r="O1238" s="2" t="s">
        <v>19</v>
      </c>
      <c r="P1238" s="2" t="s">
        <v>19</v>
      </c>
      <c r="Q1238" s="2" t="s">
        <v>19</v>
      </c>
    </row>
    <row r="1239" customFormat="false" ht="15" hidden="false" customHeight="false" outlineLevel="0" collapsed="false">
      <c r="A1239" s="2" t="s">
        <v>242</v>
      </c>
      <c r="B1239" s="2" t="s">
        <v>46</v>
      </c>
      <c r="C1239" s="14" t="s">
        <v>1597</v>
      </c>
      <c r="D1239" s="35" t="n">
        <v>500717</v>
      </c>
      <c r="E1239" s="2" t="s">
        <v>670</v>
      </c>
      <c r="F1239" s="36" t="n">
        <v>4.18960011343733</v>
      </c>
      <c r="G1239" s="31" t="n">
        <v>65.1</v>
      </c>
      <c r="H1239" s="37" t="n">
        <v>0.0186512433145017</v>
      </c>
      <c r="I1239" s="31" t="n">
        <v>15.9</v>
      </c>
      <c r="J1239" s="2" t="s">
        <v>2705</v>
      </c>
      <c r="K1239" s="38" t="n">
        <v>0.135737692315084</v>
      </c>
      <c r="L1239" s="31" t="n">
        <v>50.5</v>
      </c>
      <c r="M1239" s="39" t="s">
        <v>671</v>
      </c>
      <c r="N1239" s="2" t="s">
        <v>19</v>
      </c>
      <c r="O1239" s="2" t="s">
        <v>19</v>
      </c>
      <c r="P1239" s="2" t="s">
        <v>19</v>
      </c>
      <c r="Q1239" s="2" t="s">
        <v>19</v>
      </c>
    </row>
    <row r="1240" customFormat="false" ht="15" hidden="false" customHeight="false" outlineLevel="0" collapsed="false">
      <c r="A1240" s="2" t="s">
        <v>3011</v>
      </c>
      <c r="B1240" s="2" t="s">
        <v>47</v>
      </c>
      <c r="C1240" s="16"/>
      <c r="D1240" s="29"/>
      <c r="E1240" s="2"/>
      <c r="F1240" s="30"/>
      <c r="G1240" s="31"/>
      <c r="H1240" s="32"/>
      <c r="I1240" s="31"/>
      <c r="J1240" s="2"/>
      <c r="K1240" s="33"/>
      <c r="L1240" s="31"/>
      <c r="M1240" s="34" t="s">
        <v>668</v>
      </c>
      <c r="N1240" s="2"/>
      <c r="O1240" s="2"/>
      <c r="P1240" s="2"/>
      <c r="Q1240" s="2"/>
    </row>
    <row r="1241" customFormat="false" ht="15" hidden="false" customHeight="false" outlineLevel="0" collapsed="false">
      <c r="A1241" s="2" t="s">
        <v>434</v>
      </c>
      <c r="B1241" s="2" t="s">
        <v>45</v>
      </c>
      <c r="C1241" s="13" t="s">
        <v>1274</v>
      </c>
      <c r="D1241" s="35" t="n">
        <v>79640</v>
      </c>
      <c r="E1241" s="2" t="s">
        <v>667</v>
      </c>
      <c r="F1241" s="36" t="n">
        <v>0.286978905072828</v>
      </c>
      <c r="G1241" s="31" t="n">
        <v>17.3</v>
      </c>
      <c r="H1241" s="37" t="n">
        <v>-0.0619220938313486</v>
      </c>
      <c r="I1241" s="31" t="n">
        <v>2.4</v>
      </c>
      <c r="J1241" s="2" t="s">
        <v>2704</v>
      </c>
      <c r="K1241" s="38" t="n">
        <v>0.253791257805531</v>
      </c>
      <c r="L1241" s="31" t="n">
        <v>82.9</v>
      </c>
      <c r="M1241" s="39" t="s">
        <v>671</v>
      </c>
      <c r="N1241" s="2" t="s">
        <v>19</v>
      </c>
      <c r="O1241" s="2" t="s">
        <v>19</v>
      </c>
      <c r="P1241" s="2" t="s">
        <v>19</v>
      </c>
      <c r="Q1241" s="2" t="s">
        <v>19</v>
      </c>
    </row>
    <row r="1242" customFormat="false" ht="15" hidden="false" customHeight="false" outlineLevel="0" collapsed="false">
      <c r="A1242" s="2" t="s">
        <v>434</v>
      </c>
      <c r="B1242" s="2" t="s">
        <v>46</v>
      </c>
      <c r="C1242" s="13" t="s">
        <v>1643</v>
      </c>
      <c r="D1242" s="35" t="n">
        <v>180192</v>
      </c>
      <c r="E1242" s="2" t="s">
        <v>670</v>
      </c>
      <c r="F1242" s="36" t="n">
        <v>3.48973872313976</v>
      </c>
      <c r="G1242" s="31" t="n">
        <v>55</v>
      </c>
      <c r="H1242" s="37" t="n">
        <v>0.161809459947387</v>
      </c>
      <c r="I1242" s="31" t="n">
        <v>87.4</v>
      </c>
      <c r="J1242" s="2" t="s">
        <v>2705</v>
      </c>
      <c r="K1242" s="38" t="n">
        <v>0.116210758215532</v>
      </c>
      <c r="L1242" s="31" t="n">
        <v>39.6</v>
      </c>
      <c r="M1242" s="39" t="s">
        <v>671</v>
      </c>
      <c r="N1242" s="2" t="s">
        <v>19</v>
      </c>
      <c r="O1242" s="2" t="s">
        <v>19</v>
      </c>
      <c r="P1242" s="2" t="s">
        <v>19</v>
      </c>
      <c r="Q1242" s="2" t="s">
        <v>19</v>
      </c>
    </row>
    <row r="1243" customFormat="false" ht="15" hidden="false" customHeight="false" outlineLevel="0" collapsed="false">
      <c r="A1243" s="2" t="s">
        <v>434</v>
      </c>
      <c r="B1243" s="2" t="s">
        <v>47</v>
      </c>
      <c r="C1243" s="13" t="s">
        <v>2270</v>
      </c>
      <c r="D1243" s="35" t="n">
        <v>44334</v>
      </c>
      <c r="E1243" s="2" t="s">
        <v>667</v>
      </c>
      <c r="F1243" s="36" t="n">
        <v>1.4261740424956</v>
      </c>
      <c r="G1243" s="31" t="n">
        <v>56.5</v>
      </c>
      <c r="H1243" s="37" t="n">
        <v>0.0646718378521169</v>
      </c>
      <c r="I1243" s="31" t="n">
        <v>37.2</v>
      </c>
      <c r="J1243" s="2" t="s">
        <v>2697</v>
      </c>
      <c r="K1243" s="38" t="n">
        <v>0.017931858936043</v>
      </c>
      <c r="L1243" s="31" t="n">
        <v>11.2</v>
      </c>
      <c r="M1243" s="39" t="s">
        <v>671</v>
      </c>
      <c r="N1243" s="2" t="s">
        <v>19</v>
      </c>
      <c r="O1243" s="2" t="s">
        <v>19</v>
      </c>
      <c r="P1243" s="2" t="s">
        <v>19</v>
      </c>
      <c r="Q1243" s="2" t="s">
        <v>19</v>
      </c>
    </row>
    <row r="1244" customFormat="false" ht="15" hidden="false" customHeight="false" outlineLevel="0" collapsed="false">
      <c r="A1244" s="2" t="s">
        <v>234</v>
      </c>
      <c r="B1244" s="2" t="s">
        <v>47</v>
      </c>
      <c r="C1244" s="13" t="s">
        <v>2191</v>
      </c>
      <c r="D1244" s="35" t="n">
        <v>24643</v>
      </c>
      <c r="E1244" s="2" t="s">
        <v>667</v>
      </c>
      <c r="F1244" s="36" t="n">
        <v>1.72580448808992</v>
      </c>
      <c r="G1244" s="31" t="n">
        <v>66.3</v>
      </c>
      <c r="H1244" s="37" t="n">
        <v>0.0488168198842356</v>
      </c>
      <c r="I1244" s="31" t="n">
        <v>29.8</v>
      </c>
      <c r="J1244" s="2" t="s">
        <v>2697</v>
      </c>
      <c r="K1244" s="38" t="n">
        <v>0.207484865162356</v>
      </c>
      <c r="L1244" s="31" t="n">
        <v>84.6</v>
      </c>
      <c r="M1244" s="39" t="s">
        <v>671</v>
      </c>
      <c r="N1244" s="2" t="s">
        <v>19</v>
      </c>
      <c r="O1244" s="2" t="s">
        <v>19</v>
      </c>
      <c r="P1244" s="2" t="s">
        <v>19</v>
      </c>
      <c r="Q1244" s="2" t="s">
        <v>19</v>
      </c>
    </row>
    <row r="1245" customFormat="false" ht="15" hidden="false" customHeight="false" outlineLevel="0" collapsed="false">
      <c r="A1245" s="2" t="s">
        <v>3012</v>
      </c>
      <c r="B1245" s="2" t="s">
        <v>45</v>
      </c>
      <c r="C1245" s="16"/>
      <c r="D1245" s="40" t="n">
        <v>39950</v>
      </c>
      <c r="E1245" s="2" t="s">
        <v>667</v>
      </c>
      <c r="F1245" s="41" t="n">
        <v>1.04588235294118</v>
      </c>
      <c r="G1245" s="31" t="n">
        <v>77.6</v>
      </c>
      <c r="H1245" s="42" t="n">
        <v>0.0975274725274725</v>
      </c>
      <c r="I1245" s="31" t="n">
        <v>54</v>
      </c>
      <c r="J1245" s="2" t="s">
        <v>2704</v>
      </c>
      <c r="K1245" s="43" t="n">
        <v>0.231452991452991</v>
      </c>
      <c r="L1245" s="31" t="n">
        <v>78.2</v>
      </c>
      <c r="M1245" s="34" t="s">
        <v>668</v>
      </c>
      <c r="N1245" s="2" t="s">
        <v>21</v>
      </c>
      <c r="O1245" s="2" t="s">
        <v>21</v>
      </c>
      <c r="P1245" s="2" t="s">
        <v>21</v>
      </c>
      <c r="Q1245" s="2" t="s">
        <v>21</v>
      </c>
    </row>
    <row r="1246" customFormat="false" ht="15" hidden="false" customHeight="false" outlineLevel="0" collapsed="false">
      <c r="A1246" s="2" t="s">
        <v>3012</v>
      </c>
      <c r="B1246" s="2" t="s">
        <v>46</v>
      </c>
      <c r="C1246" s="16"/>
      <c r="D1246" s="29"/>
      <c r="E1246" s="2"/>
      <c r="F1246" s="30"/>
      <c r="G1246" s="31"/>
      <c r="H1246" s="32"/>
      <c r="I1246" s="31"/>
      <c r="J1246" s="2"/>
      <c r="K1246" s="33"/>
      <c r="L1246" s="31"/>
      <c r="M1246" s="34" t="s">
        <v>668</v>
      </c>
      <c r="N1246" s="2"/>
      <c r="O1246" s="2"/>
      <c r="P1246" s="2"/>
      <c r="Q1246" s="2"/>
    </row>
    <row r="1247" customFormat="false" ht="15" hidden="false" customHeight="false" outlineLevel="0" collapsed="false">
      <c r="A1247" s="2" t="s">
        <v>2319</v>
      </c>
      <c r="B1247" s="2" t="s">
        <v>45</v>
      </c>
      <c r="C1247" s="16"/>
      <c r="D1247" s="29"/>
      <c r="E1247" s="2"/>
      <c r="F1247" s="30"/>
      <c r="G1247" s="31"/>
      <c r="H1247" s="32"/>
      <c r="I1247" s="31"/>
      <c r="J1247" s="2"/>
      <c r="K1247" s="33"/>
      <c r="L1247" s="31"/>
      <c r="M1247" s="34" t="s">
        <v>668</v>
      </c>
      <c r="N1247" s="2"/>
      <c r="O1247" s="2"/>
      <c r="P1247" s="2"/>
      <c r="Q1247" s="2"/>
    </row>
    <row r="1248" customFormat="false" ht="15" hidden="false" customHeight="false" outlineLevel="0" collapsed="false">
      <c r="A1248" s="2" t="s">
        <v>2319</v>
      </c>
      <c r="B1248" s="2" t="s">
        <v>47</v>
      </c>
      <c r="C1248" s="13" t="s">
        <v>2320</v>
      </c>
      <c r="D1248" s="35" t="n">
        <v>2475</v>
      </c>
      <c r="E1248" s="2" t="s">
        <v>678</v>
      </c>
      <c r="F1248" s="36" t="n">
        <v>1.2</v>
      </c>
      <c r="G1248" s="31" t="n">
        <v>49.4</v>
      </c>
      <c r="H1248" s="37" t="n">
        <v>0.254434870755195</v>
      </c>
      <c r="I1248" s="31" t="n">
        <v>98.7</v>
      </c>
      <c r="J1248" s="2" t="s">
        <v>2706</v>
      </c>
      <c r="K1248" s="43" t="n">
        <v>0.0256410256410256</v>
      </c>
      <c r="L1248" s="31" t="n">
        <v>15.6</v>
      </c>
      <c r="M1248" s="39" t="s">
        <v>671</v>
      </c>
      <c r="N1248" s="2" t="s">
        <v>19</v>
      </c>
      <c r="O1248" s="2" t="s">
        <v>19</v>
      </c>
      <c r="P1248" s="2" t="s">
        <v>19</v>
      </c>
      <c r="Q1248" s="2" t="s">
        <v>21</v>
      </c>
    </row>
    <row r="1249" customFormat="false" ht="15" hidden="false" customHeight="false" outlineLevel="0" collapsed="false">
      <c r="A1249" s="2" t="s">
        <v>1926</v>
      </c>
      <c r="B1249" s="2" t="s">
        <v>45</v>
      </c>
      <c r="C1249" s="16"/>
      <c r="D1249" s="29"/>
      <c r="E1249" s="2"/>
      <c r="F1249" s="30"/>
      <c r="G1249" s="31"/>
      <c r="H1249" s="32"/>
      <c r="I1249" s="31"/>
      <c r="J1249" s="2"/>
      <c r="K1249" s="33"/>
      <c r="L1249" s="31"/>
      <c r="M1249" s="34" t="s">
        <v>668</v>
      </c>
      <c r="N1249" s="2"/>
      <c r="O1249" s="2"/>
      <c r="P1249" s="2"/>
      <c r="Q1249" s="2"/>
    </row>
    <row r="1250" customFormat="false" ht="15" hidden="false" customHeight="false" outlineLevel="0" collapsed="false">
      <c r="A1250" s="2" t="s">
        <v>1926</v>
      </c>
      <c r="B1250" s="2" t="s">
        <v>46</v>
      </c>
      <c r="C1250" s="14" t="s">
        <v>1927</v>
      </c>
      <c r="D1250" s="40" t="n">
        <v>63900</v>
      </c>
      <c r="E1250" s="2" t="s">
        <v>667</v>
      </c>
      <c r="F1250" s="41" t="n">
        <v>1.06206572769953</v>
      </c>
      <c r="G1250" s="31" t="n">
        <v>6.8</v>
      </c>
      <c r="H1250" s="42" t="n">
        <v>0.019789339291414</v>
      </c>
      <c r="I1250" s="31" t="n">
        <v>17</v>
      </c>
      <c r="J1250" s="2" t="s">
        <v>2700</v>
      </c>
      <c r="K1250" s="43" t="n">
        <v>0.142832499568742</v>
      </c>
      <c r="L1250" s="31" t="n">
        <v>53.6</v>
      </c>
      <c r="M1250" s="39" t="s">
        <v>671</v>
      </c>
      <c r="N1250" s="2" t="s">
        <v>21</v>
      </c>
      <c r="O1250" s="2" t="s">
        <v>21</v>
      </c>
      <c r="P1250" s="2" t="s">
        <v>21</v>
      </c>
      <c r="Q1250" s="2" t="s">
        <v>21</v>
      </c>
    </row>
    <row r="1251" customFormat="false" ht="15" hidden="false" customHeight="false" outlineLevel="0" collapsed="false">
      <c r="A1251" s="2" t="s">
        <v>1814</v>
      </c>
      <c r="B1251" s="2" t="s">
        <v>45</v>
      </c>
      <c r="C1251" s="16"/>
      <c r="D1251" s="29"/>
      <c r="E1251" s="2"/>
      <c r="F1251" s="30"/>
      <c r="G1251" s="31"/>
      <c r="H1251" s="32"/>
      <c r="I1251" s="31"/>
      <c r="J1251" s="2"/>
      <c r="K1251" s="33"/>
      <c r="L1251" s="31"/>
      <c r="M1251" s="34" t="s">
        <v>668</v>
      </c>
      <c r="N1251" s="2"/>
      <c r="O1251" s="2"/>
      <c r="P1251" s="2"/>
      <c r="Q1251" s="2"/>
    </row>
    <row r="1252" customFormat="false" ht="15" hidden="false" customHeight="false" outlineLevel="0" collapsed="false">
      <c r="A1252" s="2" t="s">
        <v>1814</v>
      </c>
      <c r="B1252" s="2" t="s">
        <v>46</v>
      </c>
      <c r="C1252" s="14" t="s">
        <v>1815</v>
      </c>
      <c r="D1252" s="40" t="n">
        <v>73830</v>
      </c>
      <c r="E1252" s="2" t="s">
        <v>667</v>
      </c>
      <c r="F1252" s="41" t="n">
        <v>2.02122443451172</v>
      </c>
      <c r="G1252" s="31" t="n">
        <v>27.1</v>
      </c>
      <c r="H1252" s="42" t="n">
        <v>0.0676789587852495</v>
      </c>
      <c r="I1252" s="31" t="n">
        <v>38.6</v>
      </c>
      <c r="J1252" s="2" t="s">
        <v>2700</v>
      </c>
      <c r="K1252" s="43" t="n">
        <v>0.0486764521390039</v>
      </c>
      <c r="L1252" s="31" t="n">
        <v>13</v>
      </c>
      <c r="M1252" s="39" t="s">
        <v>671</v>
      </c>
      <c r="N1252" s="2" t="s">
        <v>21</v>
      </c>
      <c r="O1252" s="2" t="s">
        <v>21</v>
      </c>
      <c r="P1252" s="2" t="s">
        <v>21</v>
      </c>
      <c r="Q1252" s="2" t="s">
        <v>21</v>
      </c>
    </row>
    <row r="1253" customFormat="false" ht="15" hidden="false" customHeight="false" outlineLevel="0" collapsed="false">
      <c r="A1253" s="2" t="s">
        <v>1814</v>
      </c>
      <c r="B1253" s="2" t="s">
        <v>47</v>
      </c>
      <c r="C1253" s="13" t="s">
        <v>2151</v>
      </c>
      <c r="D1253" s="35" t="n">
        <v>5912</v>
      </c>
      <c r="E1253" s="2" t="s">
        <v>678</v>
      </c>
      <c r="F1253" s="36" t="n">
        <v>1.94350473612991</v>
      </c>
      <c r="G1253" s="31" t="n">
        <v>71.7</v>
      </c>
      <c r="H1253" s="37" t="n">
        <v>0.200162403572879</v>
      </c>
      <c r="I1253" s="31" t="n">
        <v>92</v>
      </c>
      <c r="J1253" s="2" t="s">
        <v>2706</v>
      </c>
      <c r="K1253" s="38" t="n">
        <v>0.0737327188940092</v>
      </c>
      <c r="L1253" s="31" t="n">
        <v>41.3</v>
      </c>
      <c r="M1253" s="39" t="s">
        <v>671</v>
      </c>
      <c r="N1253" s="2" t="s">
        <v>19</v>
      </c>
      <c r="O1253" s="2" t="s">
        <v>19</v>
      </c>
      <c r="P1253" s="2" t="s">
        <v>19</v>
      </c>
      <c r="Q1253" s="2" t="s">
        <v>19</v>
      </c>
    </row>
    <row r="1254" customFormat="false" ht="15" hidden="false" customHeight="false" outlineLevel="0" collapsed="false">
      <c r="A1254" s="2" t="s">
        <v>472</v>
      </c>
      <c r="B1254" s="2" t="s">
        <v>45</v>
      </c>
      <c r="C1254" s="13" t="s">
        <v>1367</v>
      </c>
      <c r="D1254" s="35" t="n">
        <v>76305</v>
      </c>
      <c r="E1254" s="2" t="s">
        <v>667</v>
      </c>
      <c r="F1254" s="36" t="n">
        <v>0.0804534434178625</v>
      </c>
      <c r="G1254" s="31" t="n">
        <v>1.7</v>
      </c>
      <c r="H1254" s="42" t="n">
        <v>0.178127458693942</v>
      </c>
      <c r="I1254" s="31" t="n">
        <v>86.1</v>
      </c>
      <c r="J1254" s="2" t="s">
        <v>2704</v>
      </c>
      <c r="K1254" s="38" t="n">
        <v>0.187755102040816</v>
      </c>
      <c r="L1254" s="31" t="n">
        <v>66.6</v>
      </c>
      <c r="M1254" s="39" t="s">
        <v>671</v>
      </c>
      <c r="N1254" s="2" t="s">
        <v>19</v>
      </c>
      <c r="O1254" s="2" t="s">
        <v>19</v>
      </c>
      <c r="P1254" s="2" t="s">
        <v>21</v>
      </c>
      <c r="Q1254" s="2" t="s">
        <v>19</v>
      </c>
    </row>
    <row r="1255" customFormat="false" ht="15" hidden="false" customHeight="false" outlineLevel="0" collapsed="false">
      <c r="A1255" s="2" t="s">
        <v>472</v>
      </c>
      <c r="B1255" s="2" t="s">
        <v>46</v>
      </c>
      <c r="C1255" s="14" t="s">
        <v>1468</v>
      </c>
      <c r="D1255" s="40" t="n">
        <v>601550</v>
      </c>
      <c r="E1255" s="2" t="s">
        <v>670</v>
      </c>
      <c r="F1255" s="41" t="n">
        <v>6.89769428975148</v>
      </c>
      <c r="G1255" s="31" t="n">
        <v>86.3</v>
      </c>
      <c r="H1255" s="42" t="n">
        <v>0.20931588364192</v>
      </c>
      <c r="I1255" s="31" t="n">
        <v>98</v>
      </c>
      <c r="J1255" s="2" t="s">
        <v>2705</v>
      </c>
      <c r="K1255" s="43" t="n">
        <v>0.133562938951918</v>
      </c>
      <c r="L1255" s="31" t="n">
        <v>49.5</v>
      </c>
      <c r="M1255" s="39" t="s">
        <v>671</v>
      </c>
      <c r="N1255" s="2" t="s">
        <v>21</v>
      </c>
      <c r="O1255" s="2" t="s">
        <v>21</v>
      </c>
      <c r="P1255" s="2" t="s">
        <v>21</v>
      </c>
      <c r="Q1255" s="2" t="s">
        <v>21</v>
      </c>
    </row>
    <row r="1256" customFormat="false" ht="15" hidden="false" customHeight="false" outlineLevel="0" collapsed="false">
      <c r="A1256" s="2" t="s">
        <v>472</v>
      </c>
      <c r="B1256" s="2" t="s">
        <v>47</v>
      </c>
      <c r="C1256" s="13" t="s">
        <v>2482</v>
      </c>
      <c r="D1256" s="35" t="n">
        <v>10905</v>
      </c>
      <c r="E1256" s="2" t="s">
        <v>667</v>
      </c>
      <c r="F1256" s="36" t="n">
        <v>0.828977533241632</v>
      </c>
      <c r="G1256" s="31" t="n">
        <v>28.1</v>
      </c>
      <c r="H1256" s="37" t="n">
        <v>0.0895194325107403</v>
      </c>
      <c r="I1256" s="31" t="n">
        <v>50.4</v>
      </c>
      <c r="J1256" s="2" t="s">
        <v>2697</v>
      </c>
      <c r="K1256" s="38" t="n">
        <v>0.140969162995595</v>
      </c>
      <c r="L1256" s="31" t="n">
        <v>68.6</v>
      </c>
      <c r="M1256" s="39" t="s">
        <v>671</v>
      </c>
      <c r="N1256" s="2" t="s">
        <v>19</v>
      </c>
      <c r="O1256" s="2" t="s">
        <v>19</v>
      </c>
      <c r="P1256" s="2" t="s">
        <v>19</v>
      </c>
      <c r="Q1256" s="2" t="s">
        <v>19</v>
      </c>
    </row>
    <row r="1257" customFormat="false" ht="15" hidden="false" customHeight="false" outlineLevel="0" collapsed="false">
      <c r="A1257" s="2" t="s">
        <v>1359</v>
      </c>
      <c r="B1257" s="2" t="s">
        <v>45</v>
      </c>
      <c r="C1257" s="14" t="s">
        <v>1360</v>
      </c>
      <c r="D1257" s="40" t="n">
        <v>1086020</v>
      </c>
      <c r="E1257" s="2" t="s">
        <v>752</v>
      </c>
      <c r="F1257" s="41" t="n">
        <v>0.126424006924366</v>
      </c>
      <c r="G1257" s="31" t="n">
        <v>3.4</v>
      </c>
      <c r="H1257" s="42" t="n">
        <v>0.100703383130967</v>
      </c>
      <c r="I1257" s="31" t="n">
        <v>43.8</v>
      </c>
      <c r="J1257" s="2" t="s">
        <v>2712</v>
      </c>
      <c r="K1257" s="43" t="n">
        <v>0.275655644241733</v>
      </c>
      <c r="L1257" s="31" t="n">
        <v>86.7</v>
      </c>
      <c r="M1257" s="39" t="s">
        <v>671</v>
      </c>
      <c r="N1257" s="2" t="s">
        <v>21</v>
      </c>
      <c r="O1257" s="2" t="s">
        <v>21</v>
      </c>
      <c r="P1257" s="2" t="s">
        <v>21</v>
      </c>
      <c r="Q1257" s="2" t="s">
        <v>21</v>
      </c>
    </row>
    <row r="1258" customFormat="false" ht="15" hidden="false" customHeight="false" outlineLevel="0" collapsed="false">
      <c r="A1258" s="2" t="s">
        <v>1359</v>
      </c>
      <c r="B1258" s="2" t="s">
        <v>46</v>
      </c>
      <c r="C1258" s="16"/>
      <c r="D1258" s="29"/>
      <c r="E1258" s="2"/>
      <c r="F1258" s="30"/>
      <c r="G1258" s="31"/>
      <c r="H1258" s="32"/>
      <c r="I1258" s="31"/>
      <c r="J1258" s="2"/>
      <c r="K1258" s="33"/>
      <c r="L1258" s="31"/>
      <c r="M1258" s="34" t="s">
        <v>668</v>
      </c>
      <c r="N1258" s="2"/>
      <c r="O1258" s="2"/>
      <c r="P1258" s="2"/>
      <c r="Q1258" s="2"/>
    </row>
    <row r="1259" customFormat="false" ht="15" hidden="false" customHeight="false" outlineLevel="0" collapsed="false">
      <c r="A1259" s="2" t="s">
        <v>524</v>
      </c>
      <c r="B1259" s="2" t="s">
        <v>45</v>
      </c>
      <c r="C1259" s="14" t="s">
        <v>1336</v>
      </c>
      <c r="D1259" s="40" t="n">
        <v>45390</v>
      </c>
      <c r="E1259" s="2" t="s">
        <v>667</v>
      </c>
      <c r="F1259" s="41" t="n">
        <v>0.185503414849086</v>
      </c>
      <c r="G1259" s="31" t="n">
        <v>6.6</v>
      </c>
      <c r="H1259" s="42" t="n">
        <v>0.083810888252149</v>
      </c>
      <c r="I1259" s="31" t="n">
        <v>47.6</v>
      </c>
      <c r="J1259" s="2" t="s">
        <v>2704</v>
      </c>
      <c r="K1259" s="43" t="n">
        <v>0.0953488372093023</v>
      </c>
      <c r="L1259" s="31" t="n">
        <v>33.1</v>
      </c>
      <c r="M1259" s="39" t="s">
        <v>671</v>
      </c>
      <c r="N1259" s="2" t="s">
        <v>21</v>
      </c>
      <c r="O1259" s="2" t="s">
        <v>21</v>
      </c>
      <c r="P1259" s="2" t="s">
        <v>21</v>
      </c>
      <c r="Q1259" s="2" t="s">
        <v>21</v>
      </c>
    </row>
    <row r="1260" customFormat="false" ht="15" hidden="false" customHeight="false" outlineLevel="0" collapsed="false">
      <c r="A1260" s="2" t="s">
        <v>524</v>
      </c>
      <c r="B1260" s="2" t="s">
        <v>46</v>
      </c>
      <c r="C1260" s="13" t="s">
        <v>1593</v>
      </c>
      <c r="D1260" s="35" t="n">
        <v>20954</v>
      </c>
      <c r="E1260" s="2" t="s">
        <v>667</v>
      </c>
      <c r="F1260" s="36" t="n">
        <v>4.21876491362031</v>
      </c>
      <c r="G1260" s="31" t="n">
        <v>65.5</v>
      </c>
      <c r="H1260" s="37" t="n">
        <v>0.0771049655597821</v>
      </c>
      <c r="I1260" s="31" t="n">
        <v>43.6</v>
      </c>
      <c r="J1260" s="2" t="s">
        <v>2700</v>
      </c>
      <c r="K1260" s="38" t="n">
        <v>0.0996939221687801</v>
      </c>
      <c r="L1260" s="31" t="n">
        <v>32.4</v>
      </c>
      <c r="M1260" s="39" t="s">
        <v>671</v>
      </c>
      <c r="N1260" s="2" t="s">
        <v>19</v>
      </c>
      <c r="O1260" s="2" t="s">
        <v>19</v>
      </c>
      <c r="P1260" s="2" t="s">
        <v>19</v>
      </c>
      <c r="Q1260" s="2" t="s">
        <v>19</v>
      </c>
    </row>
    <row r="1261" customFormat="false" ht="15" hidden="false" customHeight="false" outlineLevel="0" collapsed="false">
      <c r="A1261" s="2" t="s">
        <v>524</v>
      </c>
      <c r="B1261" s="2" t="s">
        <v>47</v>
      </c>
      <c r="C1261" s="13" t="s">
        <v>2496</v>
      </c>
      <c r="D1261" s="35" t="n">
        <v>28605</v>
      </c>
      <c r="E1261" s="2" t="s">
        <v>667</v>
      </c>
      <c r="F1261" s="36" t="n">
        <v>0.799021150148575</v>
      </c>
      <c r="G1261" s="31" t="n">
        <v>26.6</v>
      </c>
      <c r="H1261" s="37" t="n">
        <v>0.00115497690046199</v>
      </c>
      <c r="I1261" s="31" t="n">
        <v>11</v>
      </c>
      <c r="J1261" s="2" t="s">
        <v>2697</v>
      </c>
      <c r="K1261" s="43" t="n">
        <v>0.108135421930268</v>
      </c>
      <c r="L1261" s="31" t="n">
        <v>58.7</v>
      </c>
      <c r="M1261" s="39" t="s">
        <v>671</v>
      </c>
      <c r="N1261" s="2" t="s">
        <v>19</v>
      </c>
      <c r="O1261" s="2" t="s">
        <v>19</v>
      </c>
      <c r="P1261" s="2" t="s">
        <v>19</v>
      </c>
      <c r="Q1261" s="2" t="s">
        <v>21</v>
      </c>
    </row>
    <row r="1262" customFormat="false" ht="15" hidden="false" customHeight="false" outlineLevel="0" collapsed="false">
      <c r="A1262" s="2" t="s">
        <v>486</v>
      </c>
      <c r="B1262" s="2" t="s">
        <v>45</v>
      </c>
      <c r="C1262" s="14" t="s">
        <v>1138</v>
      </c>
      <c r="D1262" s="40" t="n">
        <v>322720</v>
      </c>
      <c r="E1262" s="2" t="s">
        <v>670</v>
      </c>
      <c r="F1262" s="41" t="n">
        <v>0.473478557263262</v>
      </c>
      <c r="G1262" s="31" t="n">
        <v>37.6</v>
      </c>
      <c r="H1262" s="42" t="n">
        <v>0.1509272467903</v>
      </c>
      <c r="I1262" s="31" t="n">
        <v>79.7</v>
      </c>
      <c r="J1262" s="2" t="s">
        <v>2698</v>
      </c>
      <c r="K1262" s="43" t="n">
        <v>0.0354706684856753</v>
      </c>
      <c r="L1262" s="31" t="n">
        <v>7.7</v>
      </c>
      <c r="M1262" s="39" t="s">
        <v>671</v>
      </c>
      <c r="N1262" s="2" t="s">
        <v>21</v>
      </c>
      <c r="O1262" s="2" t="s">
        <v>21</v>
      </c>
      <c r="P1262" s="2" t="s">
        <v>21</v>
      </c>
      <c r="Q1262" s="2" t="s">
        <v>21</v>
      </c>
    </row>
    <row r="1263" customFormat="false" ht="15" hidden="false" customHeight="false" outlineLevel="0" collapsed="false">
      <c r="A1263" s="2" t="s">
        <v>474</v>
      </c>
      <c r="B1263" s="2" t="s">
        <v>45</v>
      </c>
      <c r="C1263" s="13" t="s">
        <v>1149</v>
      </c>
      <c r="D1263" s="35" t="n">
        <v>18301</v>
      </c>
      <c r="E1263" s="2" t="s">
        <v>667</v>
      </c>
      <c r="F1263" s="36" t="n">
        <v>0.443199825146167</v>
      </c>
      <c r="G1263" s="31" t="n">
        <v>35.9</v>
      </c>
      <c r="H1263" s="37" t="n">
        <v>0.213996683250415</v>
      </c>
      <c r="I1263" s="31" t="n">
        <v>94.8</v>
      </c>
      <c r="J1263" s="2" t="s">
        <v>2704</v>
      </c>
      <c r="K1263" s="38" t="n">
        <v>0.0489642184557439</v>
      </c>
      <c r="L1263" s="31" t="n">
        <v>13</v>
      </c>
      <c r="M1263" s="39" t="s">
        <v>671</v>
      </c>
      <c r="N1263" s="2" t="s">
        <v>19</v>
      </c>
      <c r="O1263" s="2" t="s">
        <v>19</v>
      </c>
      <c r="P1263" s="2" t="s">
        <v>19</v>
      </c>
      <c r="Q1263" s="2" t="s">
        <v>19</v>
      </c>
    </row>
    <row r="1264" customFormat="false" ht="15" hidden="false" customHeight="false" outlineLevel="0" collapsed="false">
      <c r="A1264" s="2" t="s">
        <v>474</v>
      </c>
      <c r="B1264" s="2" t="s">
        <v>47</v>
      </c>
      <c r="C1264" s="13" t="s">
        <v>2384</v>
      </c>
      <c r="D1264" s="35" t="n">
        <v>13915</v>
      </c>
      <c r="E1264" s="2" t="s">
        <v>667</v>
      </c>
      <c r="F1264" s="36" t="n">
        <v>1.05777937477542</v>
      </c>
      <c r="G1264" s="31" t="n">
        <v>40.9</v>
      </c>
      <c r="H1264" s="37" t="n">
        <v>0.179837205358657</v>
      </c>
      <c r="I1264" s="31" t="n">
        <v>90.1</v>
      </c>
      <c r="J1264" s="2" t="s">
        <v>2697</v>
      </c>
      <c r="K1264" s="38" t="n">
        <v>0.247159090909091</v>
      </c>
      <c r="L1264" s="31" t="n">
        <v>91.8</v>
      </c>
      <c r="M1264" s="39" t="s">
        <v>671</v>
      </c>
      <c r="N1264" s="2" t="s">
        <v>19</v>
      </c>
      <c r="O1264" s="2" t="s">
        <v>19</v>
      </c>
      <c r="P1264" s="2" t="s">
        <v>19</v>
      </c>
      <c r="Q1264" s="2" t="s">
        <v>19</v>
      </c>
    </row>
    <row r="1265" customFormat="false" ht="15" hidden="false" customHeight="false" outlineLevel="0" collapsed="false">
      <c r="A1265" s="2" t="s">
        <v>294</v>
      </c>
      <c r="B1265" s="2" t="s">
        <v>46</v>
      </c>
      <c r="C1265" s="14" t="s">
        <v>1778</v>
      </c>
      <c r="D1265" s="40" t="n">
        <v>30570</v>
      </c>
      <c r="E1265" s="2" t="s">
        <v>667</v>
      </c>
      <c r="F1265" s="41" t="n">
        <v>2.27455021262676</v>
      </c>
      <c r="G1265" s="31" t="n">
        <v>32.8</v>
      </c>
      <c r="H1265" s="42" t="n">
        <v>0.104008667388949</v>
      </c>
      <c r="I1265" s="31" t="n">
        <v>56.8</v>
      </c>
      <c r="J1265" s="2" t="s">
        <v>2700</v>
      </c>
      <c r="K1265" s="43" t="n">
        <v>0.381849980567431</v>
      </c>
      <c r="L1265" s="31" t="n">
        <v>97.2</v>
      </c>
      <c r="M1265" s="39" t="s">
        <v>671</v>
      </c>
      <c r="N1265" s="2" t="s">
        <v>21</v>
      </c>
      <c r="O1265" s="2" t="s">
        <v>21</v>
      </c>
      <c r="P1265" s="2" t="s">
        <v>21</v>
      </c>
      <c r="Q1265" s="2" t="s">
        <v>21</v>
      </c>
    </row>
    <row r="1266" customFormat="false" ht="15" hidden="false" customHeight="false" outlineLevel="0" collapsed="false">
      <c r="A1266" s="2" t="s">
        <v>294</v>
      </c>
      <c r="B1266" s="2" t="s">
        <v>47</v>
      </c>
      <c r="C1266" s="13" t="s">
        <v>2070</v>
      </c>
      <c r="D1266" s="35" t="n">
        <v>1281972</v>
      </c>
      <c r="E1266" s="2" t="s">
        <v>752</v>
      </c>
      <c r="F1266" s="36" t="n">
        <v>2.68824904132072</v>
      </c>
      <c r="G1266" s="31" t="n">
        <v>85.2</v>
      </c>
      <c r="H1266" s="37" t="n">
        <v>0.0742551068035688</v>
      </c>
      <c r="I1266" s="31" t="n">
        <v>70</v>
      </c>
      <c r="J1266" s="2" t="s">
        <v>2738</v>
      </c>
      <c r="K1266" s="38" t="n">
        <v>0.268167149661294</v>
      </c>
      <c r="L1266" s="31" t="n">
        <v>94.5</v>
      </c>
      <c r="M1266" s="39" t="s">
        <v>671</v>
      </c>
      <c r="N1266" s="2" t="s">
        <v>19</v>
      </c>
      <c r="O1266" s="2" t="s">
        <v>19</v>
      </c>
      <c r="P1266" s="2" t="s">
        <v>19</v>
      </c>
      <c r="Q1266" s="2" t="s">
        <v>19</v>
      </c>
    </row>
    <row r="1267" customFormat="false" ht="15" hidden="false" customHeight="false" outlineLevel="0" collapsed="false">
      <c r="A1267" s="2" t="s">
        <v>424</v>
      </c>
      <c r="B1267" s="2" t="s">
        <v>45</v>
      </c>
      <c r="C1267" s="13" t="s">
        <v>1087</v>
      </c>
      <c r="D1267" s="35" t="n">
        <v>65971</v>
      </c>
      <c r="E1267" s="2" t="s">
        <v>667</v>
      </c>
      <c r="F1267" s="36" t="n">
        <v>0.522183989934971</v>
      </c>
      <c r="G1267" s="31" t="n">
        <v>44</v>
      </c>
      <c r="H1267" s="37" t="n">
        <v>0.0750415539549588</v>
      </c>
      <c r="I1267" s="31" t="n">
        <v>42.1</v>
      </c>
      <c r="J1267" s="2" t="s">
        <v>2704</v>
      </c>
      <c r="K1267" s="38" t="n">
        <v>0.273593073593074</v>
      </c>
      <c r="L1267" s="31" t="n">
        <v>86.2</v>
      </c>
      <c r="M1267" s="39" t="s">
        <v>671</v>
      </c>
      <c r="N1267" s="2" t="s">
        <v>19</v>
      </c>
      <c r="O1267" s="2" t="s">
        <v>19</v>
      </c>
      <c r="P1267" s="2" t="s">
        <v>19</v>
      </c>
      <c r="Q1267" s="2" t="s">
        <v>19</v>
      </c>
    </row>
    <row r="1268" customFormat="false" ht="15" hidden="false" customHeight="false" outlineLevel="0" collapsed="false">
      <c r="A1268" s="2" t="s">
        <v>510</v>
      </c>
      <c r="B1268" s="2" t="s">
        <v>46</v>
      </c>
      <c r="C1268" s="14" t="s">
        <v>1954</v>
      </c>
      <c r="D1268" s="40" t="n">
        <v>39700</v>
      </c>
      <c r="E1268" s="2" t="s">
        <v>667</v>
      </c>
      <c r="F1268" s="41" t="n">
        <v>0.624861460957179</v>
      </c>
      <c r="G1268" s="31" t="n">
        <v>1.9</v>
      </c>
      <c r="H1268" s="42" t="n">
        <v>0.155413271245634</v>
      </c>
      <c r="I1268" s="31" t="n">
        <v>81.3</v>
      </c>
      <c r="J1268" s="2" t="s">
        <v>2700</v>
      </c>
      <c r="K1268" s="43" t="n">
        <v>0.310192837465565</v>
      </c>
      <c r="L1268" s="31" t="n">
        <v>93.3</v>
      </c>
      <c r="M1268" s="39" t="s">
        <v>671</v>
      </c>
      <c r="N1268" s="2" t="s">
        <v>21</v>
      </c>
      <c r="O1268" s="2" t="s">
        <v>21</v>
      </c>
      <c r="P1268" s="2" t="s">
        <v>21</v>
      </c>
      <c r="Q1268" s="2" t="s">
        <v>21</v>
      </c>
    </row>
    <row r="1269" customFormat="false" ht="15" hidden="false" customHeight="false" outlineLevel="0" collapsed="false">
      <c r="A1269" s="2" t="s">
        <v>510</v>
      </c>
      <c r="B1269" s="2" t="s">
        <v>47</v>
      </c>
      <c r="C1269" s="13" t="s">
        <v>2187</v>
      </c>
      <c r="D1269" s="35" t="n">
        <v>216031</v>
      </c>
      <c r="E1269" s="2" t="s">
        <v>670</v>
      </c>
      <c r="F1269" s="36" t="n">
        <v>1.76964880040365</v>
      </c>
      <c r="G1269" s="31" t="n">
        <v>67.1</v>
      </c>
      <c r="H1269" s="37" t="n">
        <v>0.0593182107936882</v>
      </c>
      <c r="I1269" s="31" t="n">
        <v>38.6</v>
      </c>
      <c r="J1269" s="2" t="s">
        <v>2701</v>
      </c>
      <c r="K1269" s="38" t="n">
        <v>0.188348161207003</v>
      </c>
      <c r="L1269" s="31" t="n">
        <v>80.4</v>
      </c>
      <c r="M1269" s="39" t="s">
        <v>671</v>
      </c>
      <c r="N1269" s="2" t="s">
        <v>19</v>
      </c>
      <c r="O1269" s="2" t="s">
        <v>19</v>
      </c>
      <c r="P1269" s="2" t="s">
        <v>19</v>
      </c>
      <c r="Q1269" s="2" t="s">
        <v>19</v>
      </c>
    </row>
    <row r="1270" customFormat="false" ht="15" hidden="false" customHeight="false" outlineLevel="0" collapsed="false">
      <c r="A1270" s="2" t="s">
        <v>1567</v>
      </c>
      <c r="B1270" s="2" t="s">
        <v>45</v>
      </c>
      <c r="C1270" s="14" t="s">
        <v>3013</v>
      </c>
      <c r="D1270" s="40" t="n">
        <v>91840</v>
      </c>
      <c r="E1270" s="2" t="s">
        <v>667</v>
      </c>
      <c r="F1270" s="41" t="n">
        <v>0.114525261324042</v>
      </c>
      <c r="G1270" s="31" t="n">
        <v>2.8</v>
      </c>
      <c r="H1270" s="42" t="n">
        <v>0.0846817054446675</v>
      </c>
      <c r="I1270" s="31" t="n">
        <v>48.8</v>
      </c>
      <c r="J1270" s="2" t="s">
        <v>2704</v>
      </c>
      <c r="K1270" s="33"/>
      <c r="L1270" s="31"/>
      <c r="M1270" s="34" t="s">
        <v>668</v>
      </c>
      <c r="N1270" s="2" t="s">
        <v>21</v>
      </c>
      <c r="O1270" s="2" t="s">
        <v>21</v>
      </c>
      <c r="P1270" s="2" t="s">
        <v>21</v>
      </c>
      <c r="Q1270" s="2"/>
    </row>
    <row r="1271" customFormat="false" ht="15" hidden="false" customHeight="false" outlineLevel="0" collapsed="false">
      <c r="A1271" s="2" t="s">
        <v>1567</v>
      </c>
      <c r="B1271" s="2" t="s">
        <v>46</v>
      </c>
      <c r="C1271" s="13" t="s">
        <v>1568</v>
      </c>
      <c r="D1271" s="35" t="n">
        <v>72000</v>
      </c>
      <c r="E1271" s="2" t="s">
        <v>667</v>
      </c>
      <c r="F1271" s="36" t="n">
        <v>4.569</v>
      </c>
      <c r="G1271" s="31" t="n">
        <v>69.3</v>
      </c>
      <c r="H1271" s="37" t="n">
        <v>0.159382950629609</v>
      </c>
      <c r="I1271" s="31" t="n">
        <v>83.4</v>
      </c>
      <c r="J1271" s="2" t="s">
        <v>2700</v>
      </c>
      <c r="K1271" s="38" t="n">
        <v>0.0537398921832884</v>
      </c>
      <c r="L1271" s="31" t="n">
        <v>14.8</v>
      </c>
      <c r="M1271" s="39" t="s">
        <v>671</v>
      </c>
      <c r="N1271" s="2" t="s">
        <v>19</v>
      </c>
      <c r="O1271" s="2" t="s">
        <v>19</v>
      </c>
      <c r="P1271" s="2" t="s">
        <v>19</v>
      </c>
      <c r="Q1271" s="2" t="s">
        <v>19</v>
      </c>
    </row>
    <row r="1272" customFormat="false" ht="15" hidden="false" customHeight="false" outlineLevel="0" collapsed="false">
      <c r="A1272" s="2" t="s">
        <v>1567</v>
      </c>
      <c r="B1272" s="2" t="s">
        <v>47</v>
      </c>
      <c r="C1272" s="16"/>
      <c r="D1272" s="29"/>
      <c r="E1272" s="2"/>
      <c r="F1272" s="30"/>
      <c r="G1272" s="31"/>
      <c r="H1272" s="32"/>
      <c r="I1272" s="31"/>
      <c r="J1272" s="2"/>
      <c r="K1272" s="33"/>
      <c r="L1272" s="31"/>
      <c r="M1272" s="34" t="s">
        <v>668</v>
      </c>
      <c r="N1272" s="2"/>
      <c r="O1272" s="2"/>
      <c r="P1272" s="2"/>
      <c r="Q1272" s="2"/>
    </row>
    <row r="1273" customFormat="false" ht="15" hidden="false" customHeight="false" outlineLevel="0" collapsed="false">
      <c r="A1273" s="2" t="s">
        <v>2475</v>
      </c>
      <c r="B1273" s="2" t="s">
        <v>45</v>
      </c>
      <c r="C1273" s="14" t="s">
        <v>3014</v>
      </c>
      <c r="D1273" s="40" t="n">
        <v>3140</v>
      </c>
      <c r="E1273" s="2" t="s">
        <v>678</v>
      </c>
      <c r="F1273" s="41" t="n">
        <v>0.759554140127389</v>
      </c>
      <c r="G1273" s="31" t="n">
        <v>62.4</v>
      </c>
      <c r="H1273" s="32"/>
      <c r="I1273" s="31"/>
      <c r="J1273" s="2"/>
      <c r="K1273" s="43" t="n">
        <v>0.106666666666667</v>
      </c>
      <c r="L1273" s="31" t="n">
        <v>38.1</v>
      </c>
      <c r="M1273" s="34" t="s">
        <v>668</v>
      </c>
      <c r="N1273" s="2" t="s">
        <v>21</v>
      </c>
      <c r="O1273" s="2" t="s">
        <v>21</v>
      </c>
      <c r="P1273" s="2"/>
      <c r="Q1273" s="2" t="s">
        <v>21</v>
      </c>
    </row>
    <row r="1274" customFormat="false" ht="15" hidden="false" customHeight="false" outlineLevel="0" collapsed="false">
      <c r="A1274" s="2" t="s">
        <v>2475</v>
      </c>
      <c r="B1274" s="2" t="s">
        <v>46</v>
      </c>
      <c r="C1274" s="14" t="s">
        <v>3015</v>
      </c>
      <c r="D1274" s="40" t="n">
        <v>30760</v>
      </c>
      <c r="E1274" s="2" t="s">
        <v>667</v>
      </c>
      <c r="F1274" s="41" t="n">
        <v>9.29411573472042</v>
      </c>
      <c r="G1274" s="31" t="n">
        <v>94.7</v>
      </c>
      <c r="H1274" s="42" t="n">
        <v>0.119359534206696</v>
      </c>
      <c r="I1274" s="31" t="n">
        <v>63.1</v>
      </c>
      <c r="J1274" s="2" t="s">
        <v>2700</v>
      </c>
      <c r="K1274" s="33"/>
      <c r="L1274" s="31"/>
      <c r="M1274" s="34" t="s">
        <v>668</v>
      </c>
      <c r="N1274" s="2" t="s">
        <v>21</v>
      </c>
      <c r="O1274" s="2" t="s">
        <v>21</v>
      </c>
      <c r="P1274" s="2" t="s">
        <v>21</v>
      </c>
      <c r="Q1274" s="2"/>
    </row>
    <row r="1275" customFormat="false" ht="15" hidden="false" customHeight="false" outlineLevel="0" collapsed="false">
      <c r="A1275" s="2" t="s">
        <v>2475</v>
      </c>
      <c r="B1275" s="2" t="s">
        <v>47</v>
      </c>
      <c r="C1275" s="13" t="s">
        <v>2476</v>
      </c>
      <c r="D1275" s="35" t="n">
        <v>20189</v>
      </c>
      <c r="E1275" s="2" t="s">
        <v>667</v>
      </c>
      <c r="F1275" s="36" t="n">
        <v>0.844618356530784</v>
      </c>
      <c r="G1275" s="31" t="n">
        <v>29.1</v>
      </c>
      <c r="H1275" s="37" t="n">
        <v>0.0746260712194603</v>
      </c>
      <c r="I1275" s="31" t="n">
        <v>40.8</v>
      </c>
      <c r="J1275" s="2" t="s">
        <v>2697</v>
      </c>
      <c r="K1275" s="38" t="n">
        <v>0.204081632653061</v>
      </c>
      <c r="L1275" s="31" t="n">
        <v>83.6</v>
      </c>
      <c r="M1275" s="39" t="s">
        <v>671</v>
      </c>
      <c r="N1275" s="2" t="s">
        <v>19</v>
      </c>
      <c r="O1275" s="2" t="s">
        <v>19</v>
      </c>
      <c r="P1275" s="2" t="s">
        <v>19</v>
      </c>
      <c r="Q1275" s="2" t="s">
        <v>19</v>
      </c>
    </row>
    <row r="1276" customFormat="false" ht="15" hidden="false" customHeight="false" outlineLevel="0" collapsed="false">
      <c r="A1276" s="2" t="s">
        <v>3016</v>
      </c>
      <c r="B1276" s="2" t="s">
        <v>46</v>
      </c>
      <c r="C1276" s="14" t="s">
        <v>3017</v>
      </c>
      <c r="D1276" s="40" t="n">
        <v>43390</v>
      </c>
      <c r="E1276" s="2" t="s">
        <v>667</v>
      </c>
      <c r="F1276" s="41" t="n">
        <v>2.18398248444342</v>
      </c>
      <c r="G1276" s="31" t="n">
        <v>30.7</v>
      </c>
      <c r="H1276" s="42" t="n">
        <v>0.193672627235213</v>
      </c>
      <c r="I1276" s="31" t="n">
        <v>93.4</v>
      </c>
      <c r="J1276" s="2" t="s">
        <v>2700</v>
      </c>
      <c r="K1276" s="33"/>
      <c r="L1276" s="31"/>
      <c r="M1276" s="34" t="s">
        <v>668</v>
      </c>
      <c r="N1276" s="2" t="s">
        <v>21</v>
      </c>
      <c r="O1276" s="2" t="s">
        <v>21</v>
      </c>
      <c r="P1276" s="2" t="s">
        <v>21</v>
      </c>
      <c r="Q1276" s="2"/>
    </row>
    <row r="1277" customFormat="false" ht="15" hidden="false" customHeight="false" outlineLevel="0" collapsed="false">
      <c r="A1277" s="2" t="s">
        <v>731</v>
      </c>
      <c r="B1277" s="2" t="s">
        <v>45</v>
      </c>
      <c r="C1277" s="14" t="s">
        <v>732</v>
      </c>
      <c r="D1277" s="40" t="n">
        <v>13130</v>
      </c>
      <c r="E1277" s="2" t="s">
        <v>667</v>
      </c>
      <c r="F1277" s="41" t="n">
        <v>1.92901751713633</v>
      </c>
      <c r="G1277" s="31" t="n">
        <v>92.3</v>
      </c>
      <c r="H1277" s="42" t="n">
        <v>0.0771123872026251</v>
      </c>
      <c r="I1277" s="31" t="n">
        <v>43.7</v>
      </c>
      <c r="J1277" s="2" t="s">
        <v>2704</v>
      </c>
      <c r="K1277" s="43" t="n">
        <v>0.155656108597285</v>
      </c>
      <c r="L1277" s="31" t="n">
        <v>57.7</v>
      </c>
      <c r="M1277" s="39" t="s">
        <v>671</v>
      </c>
      <c r="N1277" s="2" t="s">
        <v>21</v>
      </c>
      <c r="O1277" s="2" t="s">
        <v>21</v>
      </c>
      <c r="P1277" s="2" t="s">
        <v>21</v>
      </c>
      <c r="Q1277" s="2" t="s">
        <v>21</v>
      </c>
    </row>
    <row r="1278" customFormat="false" ht="15" hidden="false" customHeight="false" outlineLevel="0" collapsed="false">
      <c r="A1278" s="2" t="s">
        <v>731</v>
      </c>
      <c r="B1278" s="2" t="s">
        <v>46</v>
      </c>
      <c r="C1278" s="16"/>
      <c r="D1278" s="29"/>
      <c r="E1278" s="2"/>
      <c r="F1278" s="30"/>
      <c r="G1278" s="31"/>
      <c r="H1278" s="32"/>
      <c r="I1278" s="31"/>
      <c r="J1278" s="2"/>
      <c r="K1278" s="33"/>
      <c r="L1278" s="31"/>
      <c r="M1278" s="34" t="s">
        <v>668</v>
      </c>
      <c r="N1278" s="2"/>
      <c r="O1278" s="2"/>
      <c r="P1278" s="2"/>
      <c r="Q1278" s="2"/>
    </row>
    <row r="1279" customFormat="false" ht="15" hidden="false" customHeight="false" outlineLevel="0" collapsed="false">
      <c r="A1279" s="2" t="s">
        <v>731</v>
      </c>
      <c r="B1279" s="2" t="s">
        <v>47</v>
      </c>
      <c r="C1279" s="14" t="s">
        <v>2611</v>
      </c>
      <c r="D1279" s="40" t="n">
        <v>391980</v>
      </c>
      <c r="E1279" s="2" t="s">
        <v>670</v>
      </c>
      <c r="F1279" s="41" t="n">
        <v>0.520886269707638</v>
      </c>
      <c r="G1279" s="31" t="n">
        <v>12.4</v>
      </c>
      <c r="H1279" s="42" t="n">
        <v>0.127837721191196</v>
      </c>
      <c r="I1279" s="31" t="n">
        <v>71.1</v>
      </c>
      <c r="J1279" s="2" t="s">
        <v>2701</v>
      </c>
      <c r="K1279" s="43" t="n">
        <v>0.0956670467502851</v>
      </c>
      <c r="L1279" s="31" t="n">
        <v>52.4</v>
      </c>
      <c r="M1279" s="39" t="s">
        <v>671</v>
      </c>
      <c r="N1279" s="2" t="s">
        <v>21</v>
      </c>
      <c r="O1279" s="2" t="s">
        <v>21</v>
      </c>
      <c r="P1279" s="2" t="s">
        <v>21</v>
      </c>
      <c r="Q1279" s="2" t="s">
        <v>21</v>
      </c>
    </row>
    <row r="1280" customFormat="false" ht="15" hidden="false" customHeight="false" outlineLevel="0" collapsed="false">
      <c r="A1280" s="2" t="s">
        <v>548</v>
      </c>
      <c r="B1280" s="2" t="s">
        <v>45</v>
      </c>
      <c r="C1280" s="14" t="s">
        <v>1214</v>
      </c>
      <c r="D1280" s="40" t="n">
        <v>32770</v>
      </c>
      <c r="E1280" s="2" t="s">
        <v>667</v>
      </c>
      <c r="F1280" s="41" t="n">
        <v>0.364144034177601</v>
      </c>
      <c r="G1280" s="31" t="n">
        <v>26.3</v>
      </c>
      <c r="H1280" s="42" t="n">
        <v>0.0923333333333333</v>
      </c>
      <c r="I1280" s="31" t="n">
        <v>52.4</v>
      </c>
      <c r="J1280" s="2" t="s">
        <v>2704</v>
      </c>
      <c r="K1280" s="43" t="n">
        <v>0.151428571428571</v>
      </c>
      <c r="L1280" s="31" t="n">
        <v>55.5</v>
      </c>
      <c r="M1280" s="39" t="s">
        <v>671</v>
      </c>
      <c r="N1280" s="2" t="s">
        <v>21</v>
      </c>
      <c r="O1280" s="2" t="s">
        <v>21</v>
      </c>
      <c r="P1280" s="2" t="s">
        <v>21</v>
      </c>
      <c r="Q1280" s="2" t="s">
        <v>21</v>
      </c>
    </row>
    <row r="1281" customFormat="false" ht="15" hidden="false" customHeight="false" outlineLevel="0" collapsed="false">
      <c r="A1281" s="2" t="s">
        <v>548</v>
      </c>
      <c r="B1281" s="2" t="s">
        <v>46</v>
      </c>
      <c r="C1281" s="14" t="s">
        <v>1726</v>
      </c>
      <c r="D1281" s="40" t="n">
        <v>17730</v>
      </c>
      <c r="E1281" s="2" t="s">
        <v>667</v>
      </c>
      <c r="F1281" s="41" t="n">
        <v>2.6922165820643</v>
      </c>
      <c r="G1281" s="31" t="n">
        <v>42.1</v>
      </c>
      <c r="H1281" s="42" t="n">
        <v>0.201219512195122</v>
      </c>
      <c r="I1281" s="31" t="n">
        <v>94.2</v>
      </c>
      <c r="J1281" s="2" t="s">
        <v>2700</v>
      </c>
      <c r="K1281" s="43" t="n">
        <v>0.0275641025641026</v>
      </c>
      <c r="L1281" s="31" t="n">
        <v>5.4</v>
      </c>
      <c r="M1281" s="39" t="s">
        <v>671</v>
      </c>
      <c r="N1281" s="2" t="s">
        <v>21</v>
      </c>
      <c r="O1281" s="2" t="s">
        <v>21</v>
      </c>
      <c r="P1281" s="2" t="s">
        <v>21</v>
      </c>
      <c r="Q1281" s="2" t="s">
        <v>21</v>
      </c>
    </row>
    <row r="1282" customFormat="false" ht="15" hidden="false" customHeight="false" outlineLevel="0" collapsed="false">
      <c r="A1282" s="2" t="s">
        <v>548</v>
      </c>
      <c r="B1282" s="2" t="s">
        <v>47</v>
      </c>
      <c r="C1282" s="13" t="s">
        <v>2537</v>
      </c>
      <c r="D1282" s="35" t="n">
        <v>420755</v>
      </c>
      <c r="E1282" s="2" t="s">
        <v>670</v>
      </c>
      <c r="F1282" s="36" t="n">
        <v>0.719924896911504</v>
      </c>
      <c r="G1282" s="31" t="n">
        <v>21.9</v>
      </c>
      <c r="H1282" s="37" t="n">
        <v>-0.00328562426861104</v>
      </c>
      <c r="I1282" s="31" t="n">
        <v>13.3</v>
      </c>
      <c r="J1282" s="2" t="s">
        <v>2701</v>
      </c>
      <c r="K1282" s="38" t="n">
        <v>0.105207571695507</v>
      </c>
      <c r="L1282" s="31" t="n">
        <v>57.5</v>
      </c>
      <c r="M1282" s="39" t="s">
        <v>671</v>
      </c>
      <c r="N1282" s="2" t="s">
        <v>19</v>
      </c>
      <c r="O1282" s="2" t="s">
        <v>19</v>
      </c>
      <c r="P1282" s="2" t="s">
        <v>19</v>
      </c>
      <c r="Q1282" s="2" t="s">
        <v>19</v>
      </c>
    </row>
    <row r="1283" customFormat="false" ht="15" hidden="false" customHeight="false" outlineLevel="0" collapsed="false">
      <c r="A1283" s="2" t="s">
        <v>2652</v>
      </c>
      <c r="B1283" s="2" t="s">
        <v>46</v>
      </c>
      <c r="C1283" s="16"/>
      <c r="D1283" s="29"/>
      <c r="E1283" s="2"/>
      <c r="F1283" s="30"/>
      <c r="G1283" s="31"/>
      <c r="H1283" s="32"/>
      <c r="I1283" s="31"/>
      <c r="J1283" s="2"/>
      <c r="K1283" s="33"/>
      <c r="L1283" s="31"/>
      <c r="M1283" s="34" t="s">
        <v>668</v>
      </c>
      <c r="N1283" s="2"/>
      <c r="O1283" s="2"/>
      <c r="P1283" s="2"/>
      <c r="Q1283" s="2"/>
    </row>
    <row r="1284" customFormat="false" ht="15" hidden="false" customHeight="false" outlineLevel="0" collapsed="false">
      <c r="A1284" s="2" t="s">
        <v>2652</v>
      </c>
      <c r="B1284" s="2" t="s">
        <v>47</v>
      </c>
      <c r="C1284" s="13" t="s">
        <v>2653</v>
      </c>
      <c r="D1284" s="35" t="n">
        <v>130469</v>
      </c>
      <c r="E1284" s="2" t="s">
        <v>670</v>
      </c>
      <c r="F1284" s="36" t="n">
        <v>0.305160612865892</v>
      </c>
      <c r="G1284" s="31" t="n">
        <v>4.6</v>
      </c>
      <c r="H1284" s="37" t="n">
        <v>0.121320464448704</v>
      </c>
      <c r="I1284" s="31" t="n">
        <v>68.7</v>
      </c>
      <c r="J1284" s="2" t="s">
        <v>2701</v>
      </c>
      <c r="K1284" s="38" t="n">
        <v>0.229253339172323</v>
      </c>
      <c r="L1284" s="31" t="n">
        <v>89.1</v>
      </c>
      <c r="M1284" s="39" t="s">
        <v>671</v>
      </c>
      <c r="N1284" s="2" t="s">
        <v>19</v>
      </c>
      <c r="O1284" s="2" t="s">
        <v>19</v>
      </c>
      <c r="P1284" s="2" t="s">
        <v>19</v>
      </c>
      <c r="Q1284" s="2" t="s">
        <v>19</v>
      </c>
    </row>
    <row r="1285" customFormat="false" ht="15" hidden="false" customHeight="false" outlineLevel="0" collapsed="false">
      <c r="A1285" s="2" t="s">
        <v>3018</v>
      </c>
      <c r="B1285" s="2" t="s">
        <v>45</v>
      </c>
      <c r="C1285" s="16"/>
      <c r="D1285" s="29"/>
      <c r="E1285" s="2"/>
      <c r="F1285" s="30"/>
      <c r="G1285" s="31"/>
      <c r="H1285" s="32"/>
      <c r="I1285" s="31"/>
      <c r="J1285" s="2"/>
      <c r="K1285" s="33"/>
      <c r="L1285" s="31"/>
      <c r="M1285" s="34" t="s">
        <v>668</v>
      </c>
      <c r="N1285" s="2"/>
      <c r="O1285" s="2"/>
      <c r="P1285" s="2"/>
      <c r="Q1285" s="2"/>
    </row>
    <row r="1286" customFormat="false" ht="15" hidden="false" customHeight="false" outlineLevel="0" collapsed="false">
      <c r="A1286" s="2" t="s">
        <v>3018</v>
      </c>
      <c r="B1286" s="2" t="s">
        <v>47</v>
      </c>
      <c r="C1286" s="14" t="s">
        <v>3019</v>
      </c>
      <c r="D1286" s="40" t="n">
        <v>2060</v>
      </c>
      <c r="E1286" s="2" t="s">
        <v>678</v>
      </c>
      <c r="F1286" s="41" t="n">
        <v>0.456796116504854</v>
      </c>
      <c r="G1286" s="31" t="n">
        <v>10.1</v>
      </c>
      <c r="H1286" s="32"/>
      <c r="I1286" s="31"/>
      <c r="J1286" s="2"/>
      <c r="K1286" s="43" t="n">
        <v>0.2</v>
      </c>
      <c r="L1286" s="31" t="n">
        <v>82.5</v>
      </c>
      <c r="M1286" s="34" t="s">
        <v>668</v>
      </c>
      <c r="N1286" s="2" t="s">
        <v>21</v>
      </c>
      <c r="O1286" s="2" t="s">
        <v>21</v>
      </c>
      <c r="P1286" s="2"/>
      <c r="Q1286" s="2" t="s">
        <v>21</v>
      </c>
    </row>
    <row r="1287" customFormat="false" ht="15" hidden="false" customHeight="false" outlineLevel="0" collapsed="false">
      <c r="A1287" s="2" t="s">
        <v>2386</v>
      </c>
      <c r="B1287" s="2" t="s">
        <v>45</v>
      </c>
      <c r="C1287" s="14" t="s">
        <v>3020</v>
      </c>
      <c r="D1287" s="40" t="n">
        <v>726520</v>
      </c>
      <c r="E1287" s="2" t="s">
        <v>670</v>
      </c>
      <c r="F1287" s="30"/>
      <c r="G1287" s="31"/>
      <c r="H1287" s="42" t="n">
        <v>0.19420747242632</v>
      </c>
      <c r="I1287" s="31" t="n">
        <v>91.3</v>
      </c>
      <c r="J1287" s="2" t="s">
        <v>2698</v>
      </c>
      <c r="K1287" s="43" t="n">
        <v>0.0903663371065578</v>
      </c>
      <c r="L1287" s="31" t="n">
        <v>30.9</v>
      </c>
      <c r="M1287" s="34" t="s">
        <v>668</v>
      </c>
      <c r="N1287" s="2" t="s">
        <v>21</v>
      </c>
      <c r="O1287" s="2"/>
      <c r="P1287" s="2" t="s">
        <v>21</v>
      </c>
      <c r="Q1287" s="2" t="s">
        <v>21</v>
      </c>
    </row>
    <row r="1288" customFormat="false" ht="15" hidden="false" customHeight="false" outlineLevel="0" collapsed="false">
      <c r="A1288" s="2" t="s">
        <v>2386</v>
      </c>
      <c r="B1288" s="2" t="s">
        <v>46</v>
      </c>
      <c r="C1288" s="16"/>
      <c r="D1288" s="29"/>
      <c r="E1288" s="2"/>
      <c r="F1288" s="30"/>
      <c r="G1288" s="31"/>
      <c r="H1288" s="32"/>
      <c r="I1288" s="31"/>
      <c r="J1288" s="2"/>
      <c r="K1288" s="33"/>
      <c r="L1288" s="31"/>
      <c r="M1288" s="34" t="s">
        <v>668</v>
      </c>
      <c r="N1288" s="2"/>
      <c r="O1288" s="2"/>
      <c r="P1288" s="2"/>
      <c r="Q1288" s="2"/>
    </row>
    <row r="1289" customFormat="false" ht="15" hidden="false" customHeight="false" outlineLevel="0" collapsed="false">
      <c r="A1289" s="2" t="s">
        <v>2386</v>
      </c>
      <c r="B1289" s="2" t="s">
        <v>47</v>
      </c>
      <c r="C1289" s="13" t="s">
        <v>2387</v>
      </c>
      <c r="D1289" s="35" t="n">
        <v>23344</v>
      </c>
      <c r="E1289" s="2" t="s">
        <v>667</v>
      </c>
      <c r="F1289" s="36" t="n">
        <v>1.05586017820425</v>
      </c>
      <c r="G1289" s="31" t="n">
        <v>40.7</v>
      </c>
      <c r="H1289" s="37" t="n">
        <v>0.0869808157943751</v>
      </c>
      <c r="I1289" s="31" t="n">
        <v>48.9</v>
      </c>
      <c r="J1289" s="2" t="s">
        <v>2697</v>
      </c>
      <c r="K1289" s="38" t="n">
        <v>0.177364864864865</v>
      </c>
      <c r="L1289" s="31" t="n">
        <v>78.7</v>
      </c>
      <c r="M1289" s="39" t="s">
        <v>671</v>
      </c>
      <c r="N1289" s="2" t="s">
        <v>19</v>
      </c>
      <c r="O1289" s="2" t="s">
        <v>19</v>
      </c>
      <c r="P1289" s="2" t="s">
        <v>19</v>
      </c>
      <c r="Q1289" s="2" t="s">
        <v>19</v>
      </c>
    </row>
    <row r="1290" customFormat="false" ht="15" hidden="false" customHeight="false" outlineLevel="0" collapsed="false">
      <c r="A1290" s="2" t="s">
        <v>1525</v>
      </c>
      <c r="B1290" s="2" t="s">
        <v>45</v>
      </c>
      <c r="C1290" s="13" t="s">
        <v>3021</v>
      </c>
      <c r="D1290" s="35" t="n">
        <v>14768</v>
      </c>
      <c r="E1290" s="2" t="s">
        <v>667</v>
      </c>
      <c r="F1290" s="36" t="n">
        <v>1.07455308775731</v>
      </c>
      <c r="G1290" s="31" t="n">
        <v>78.8</v>
      </c>
      <c r="H1290" s="37" t="n">
        <v>0.13026174804837</v>
      </c>
      <c r="I1290" s="31" t="n">
        <v>67.5</v>
      </c>
      <c r="J1290" s="2" t="s">
        <v>2704</v>
      </c>
      <c r="K1290" s="33"/>
      <c r="L1290" s="31"/>
      <c r="M1290" s="34" t="s">
        <v>668</v>
      </c>
      <c r="N1290" s="2" t="s">
        <v>19</v>
      </c>
      <c r="O1290" s="2" t="s">
        <v>19</v>
      </c>
      <c r="P1290" s="2" t="s">
        <v>19</v>
      </c>
      <c r="Q1290" s="2"/>
    </row>
    <row r="1291" customFormat="false" ht="15" hidden="false" customHeight="false" outlineLevel="0" collapsed="false">
      <c r="A1291" s="2" t="s">
        <v>1525</v>
      </c>
      <c r="B1291" s="2" t="s">
        <v>46</v>
      </c>
      <c r="C1291" s="13" t="s">
        <v>1526</v>
      </c>
      <c r="D1291" s="35" t="n">
        <v>202079</v>
      </c>
      <c r="E1291" s="2" t="s">
        <v>670</v>
      </c>
      <c r="F1291" s="36" t="n">
        <v>5.43158863612746</v>
      </c>
      <c r="G1291" s="31" t="n">
        <v>77.2</v>
      </c>
      <c r="H1291" s="37" t="n">
        <v>0.0657894042878616</v>
      </c>
      <c r="I1291" s="31" t="n">
        <v>39.7</v>
      </c>
      <c r="J1291" s="2" t="s">
        <v>2705</v>
      </c>
      <c r="K1291" s="38" t="n">
        <v>0.121806569343066</v>
      </c>
      <c r="L1291" s="31" t="n">
        <v>43.3</v>
      </c>
      <c r="M1291" s="39" t="s">
        <v>671</v>
      </c>
      <c r="N1291" s="2" t="s">
        <v>19</v>
      </c>
      <c r="O1291" s="2" t="s">
        <v>19</v>
      </c>
      <c r="P1291" s="2" t="s">
        <v>19</v>
      </c>
      <c r="Q1291" s="2" t="s">
        <v>19</v>
      </c>
    </row>
    <row r="1292" customFormat="false" ht="15" hidden="false" customHeight="false" outlineLevel="0" collapsed="false">
      <c r="A1292" s="2" t="s">
        <v>1525</v>
      </c>
      <c r="B1292" s="2" t="s">
        <v>47</v>
      </c>
      <c r="C1292" s="13" t="s">
        <v>2354</v>
      </c>
      <c r="D1292" s="35" t="n">
        <v>8381</v>
      </c>
      <c r="E1292" s="2" t="s">
        <v>678</v>
      </c>
      <c r="F1292" s="36" t="n">
        <v>1.12409020403293</v>
      </c>
      <c r="G1292" s="31" t="n">
        <v>45.4</v>
      </c>
      <c r="H1292" s="37" t="n">
        <v>0.18828867148731</v>
      </c>
      <c r="I1292" s="31" t="n">
        <v>86.7</v>
      </c>
      <c r="J1292" s="2" t="s">
        <v>2706</v>
      </c>
      <c r="K1292" s="38" t="n">
        <v>0.0199600798403194</v>
      </c>
      <c r="L1292" s="31" t="n">
        <v>12.6</v>
      </c>
      <c r="M1292" s="39" t="s">
        <v>671</v>
      </c>
      <c r="N1292" s="2" t="s">
        <v>19</v>
      </c>
      <c r="O1292" s="2" t="s">
        <v>19</v>
      </c>
      <c r="P1292" s="2" t="s">
        <v>19</v>
      </c>
      <c r="Q1292" s="2" t="s">
        <v>19</v>
      </c>
    </row>
    <row r="1293" customFormat="false" ht="15" hidden="false" customHeight="false" outlineLevel="0" collapsed="false">
      <c r="A1293" s="2" t="s">
        <v>456</v>
      </c>
      <c r="B1293" s="2" t="s">
        <v>45</v>
      </c>
      <c r="C1293" s="14" t="s">
        <v>1291</v>
      </c>
      <c r="D1293" s="40" t="n">
        <v>39000</v>
      </c>
      <c r="E1293" s="2" t="s">
        <v>667</v>
      </c>
      <c r="F1293" s="41" t="n">
        <v>0.265974358974359</v>
      </c>
      <c r="G1293" s="31" t="n">
        <v>14.7</v>
      </c>
      <c r="H1293" s="42" t="n">
        <v>0.129452649869679</v>
      </c>
      <c r="I1293" s="31" t="n">
        <v>66.7</v>
      </c>
      <c r="J1293" s="2" t="s">
        <v>2704</v>
      </c>
      <c r="K1293" s="43" t="n">
        <v>0.243675099866844</v>
      </c>
      <c r="L1293" s="31" t="n">
        <v>80.4</v>
      </c>
      <c r="M1293" s="39" t="s">
        <v>671</v>
      </c>
      <c r="N1293" s="2" t="s">
        <v>21</v>
      </c>
      <c r="O1293" s="2" t="s">
        <v>21</v>
      </c>
      <c r="P1293" s="2" t="s">
        <v>21</v>
      </c>
      <c r="Q1293" s="2" t="s">
        <v>21</v>
      </c>
    </row>
    <row r="1294" customFormat="false" ht="15" hidden="false" customHeight="false" outlineLevel="0" collapsed="false">
      <c r="A1294" s="2" t="s">
        <v>456</v>
      </c>
      <c r="B1294" s="2" t="s">
        <v>46</v>
      </c>
      <c r="C1294" s="13" t="s">
        <v>1869</v>
      </c>
      <c r="D1294" s="35" t="n">
        <v>1060</v>
      </c>
      <c r="E1294" s="2" t="s">
        <v>678</v>
      </c>
      <c r="F1294" s="36" t="n">
        <v>1.61603773584906</v>
      </c>
      <c r="G1294" s="31" t="n">
        <v>17.8</v>
      </c>
      <c r="H1294" s="37" t="n">
        <v>0.118143459915612</v>
      </c>
      <c r="I1294" s="31" t="n">
        <v>47.9</v>
      </c>
      <c r="J1294" s="2" t="s">
        <v>2720</v>
      </c>
      <c r="K1294" s="38" t="n">
        <v>0.2</v>
      </c>
      <c r="L1294" s="31" t="n">
        <v>71.2</v>
      </c>
      <c r="M1294" s="39" t="s">
        <v>671</v>
      </c>
      <c r="N1294" s="2" t="s">
        <v>19</v>
      </c>
      <c r="O1294" s="2" t="s">
        <v>19</v>
      </c>
      <c r="P1294" s="2" t="s">
        <v>19</v>
      </c>
      <c r="Q1294" s="2" t="s">
        <v>19</v>
      </c>
    </row>
    <row r="1295" customFormat="false" ht="15" hidden="false" customHeight="false" outlineLevel="0" collapsed="false">
      <c r="A1295" s="2" t="s">
        <v>456</v>
      </c>
      <c r="B1295" s="2" t="s">
        <v>47</v>
      </c>
      <c r="C1295" s="13" t="s">
        <v>2034</v>
      </c>
      <c r="D1295" s="35" t="n">
        <v>1018277</v>
      </c>
      <c r="E1295" s="2" t="s">
        <v>752</v>
      </c>
      <c r="F1295" s="36" t="n">
        <v>3.20123600945519</v>
      </c>
      <c r="G1295" s="31" t="n">
        <v>89.9</v>
      </c>
      <c r="H1295" s="37" t="n">
        <v>-0.0252914954450995</v>
      </c>
      <c r="I1295" s="31" t="n">
        <v>20</v>
      </c>
      <c r="J1295" s="2" t="s">
        <v>2738</v>
      </c>
      <c r="K1295" s="38" t="n">
        <v>0.0639797254647033</v>
      </c>
      <c r="L1295" s="31" t="n">
        <v>37.9</v>
      </c>
      <c r="M1295" s="39" t="s">
        <v>671</v>
      </c>
      <c r="N1295" s="2" t="s">
        <v>19</v>
      </c>
      <c r="O1295" s="2" t="s">
        <v>19</v>
      </c>
      <c r="P1295" s="2" t="s">
        <v>19</v>
      </c>
      <c r="Q1295" s="2" t="s">
        <v>19</v>
      </c>
    </row>
    <row r="1296" customFormat="false" ht="15" hidden="false" customHeight="false" outlineLevel="0" collapsed="false">
      <c r="A1296" s="2" t="s">
        <v>236</v>
      </c>
      <c r="B1296" s="2" t="s">
        <v>45</v>
      </c>
      <c r="C1296" s="13" t="s">
        <v>893</v>
      </c>
      <c r="D1296" s="35" t="n">
        <v>65444</v>
      </c>
      <c r="E1296" s="2" t="s">
        <v>667</v>
      </c>
      <c r="F1296" s="36" t="n">
        <v>0.893007762361714</v>
      </c>
      <c r="G1296" s="31" t="n">
        <v>70.3</v>
      </c>
      <c r="H1296" s="37" t="n">
        <v>0.133131330620726</v>
      </c>
      <c r="I1296" s="31" t="n">
        <v>69.8</v>
      </c>
      <c r="J1296" s="2" t="s">
        <v>2704</v>
      </c>
      <c r="K1296" s="38" t="n">
        <v>0.251197445449707</v>
      </c>
      <c r="L1296" s="31" t="n">
        <v>81.8</v>
      </c>
      <c r="M1296" s="39" t="s">
        <v>671</v>
      </c>
      <c r="N1296" s="2" t="s">
        <v>19</v>
      </c>
      <c r="O1296" s="2" t="s">
        <v>19</v>
      </c>
      <c r="P1296" s="2" t="s">
        <v>19</v>
      </c>
      <c r="Q1296" s="2" t="s">
        <v>19</v>
      </c>
    </row>
    <row r="1297" customFormat="false" ht="15" hidden="false" customHeight="false" outlineLevel="0" collapsed="false">
      <c r="A1297" s="2" t="s">
        <v>236</v>
      </c>
      <c r="B1297" s="2" t="s">
        <v>46</v>
      </c>
      <c r="C1297" s="13" t="s">
        <v>1615</v>
      </c>
      <c r="D1297" s="35" t="n">
        <v>7853</v>
      </c>
      <c r="E1297" s="2" t="s">
        <v>678</v>
      </c>
      <c r="F1297" s="36" t="n">
        <v>3.83827836495607</v>
      </c>
      <c r="G1297" s="31" t="n">
        <v>61.1</v>
      </c>
      <c r="H1297" s="37" t="n">
        <v>0.126524171567924</v>
      </c>
      <c r="I1297" s="31" t="n">
        <v>54.2</v>
      </c>
      <c r="J1297" s="2" t="s">
        <v>2720</v>
      </c>
      <c r="K1297" s="38" t="n">
        <v>0.106060606060606</v>
      </c>
      <c r="L1297" s="31" t="n">
        <v>35.2</v>
      </c>
      <c r="M1297" s="39" t="s">
        <v>671</v>
      </c>
      <c r="N1297" s="2" t="s">
        <v>19</v>
      </c>
      <c r="O1297" s="2" t="s">
        <v>19</v>
      </c>
      <c r="P1297" s="2" t="s">
        <v>19</v>
      </c>
      <c r="Q1297" s="2" t="s">
        <v>19</v>
      </c>
    </row>
    <row r="1298" customFormat="false" ht="15" hidden="false" customHeight="false" outlineLevel="0" collapsed="false">
      <c r="A1298" s="2" t="s">
        <v>2577</v>
      </c>
      <c r="B1298" s="2" t="s">
        <v>45</v>
      </c>
      <c r="C1298" s="16"/>
      <c r="D1298" s="40" t="n">
        <v>14410</v>
      </c>
      <c r="E1298" s="2" t="s">
        <v>667</v>
      </c>
      <c r="F1298" s="41" t="n">
        <v>1.21394864677307</v>
      </c>
      <c r="G1298" s="31" t="n">
        <v>82.9</v>
      </c>
      <c r="H1298" s="42" t="n">
        <v>0.181147540983607</v>
      </c>
      <c r="I1298" s="31" t="n">
        <v>87.3</v>
      </c>
      <c r="J1298" s="2" t="s">
        <v>2704</v>
      </c>
      <c r="K1298" s="47" t="s">
        <v>680</v>
      </c>
      <c r="L1298" s="31"/>
      <c r="M1298" s="34" t="s">
        <v>668</v>
      </c>
      <c r="N1298" s="2" t="s">
        <v>21</v>
      </c>
      <c r="O1298" s="2" t="s">
        <v>21</v>
      </c>
      <c r="P1298" s="2" t="s">
        <v>21</v>
      </c>
      <c r="Q1298" s="2" t="s">
        <v>2711</v>
      </c>
    </row>
    <row r="1299" customFormat="false" ht="15" hidden="false" customHeight="false" outlineLevel="0" collapsed="false">
      <c r="A1299" s="2" t="s">
        <v>2577</v>
      </c>
      <c r="B1299" s="2" t="s">
        <v>47</v>
      </c>
      <c r="C1299" s="13" t="s">
        <v>2578</v>
      </c>
      <c r="D1299" s="35" t="n">
        <v>375632</v>
      </c>
      <c r="E1299" s="2" t="s">
        <v>670</v>
      </c>
      <c r="F1299" s="36" t="n">
        <v>0.587641627976317</v>
      </c>
      <c r="G1299" s="31" t="n">
        <v>15.8</v>
      </c>
      <c r="H1299" s="37" t="n">
        <v>0.036100445739</v>
      </c>
      <c r="I1299" s="31" t="n">
        <v>27.7</v>
      </c>
      <c r="J1299" s="2" t="s">
        <v>2701</v>
      </c>
      <c r="K1299" s="38" t="n">
        <v>0.205259949490551</v>
      </c>
      <c r="L1299" s="31" t="n">
        <v>84</v>
      </c>
      <c r="M1299" s="39" t="s">
        <v>671</v>
      </c>
      <c r="N1299" s="2" t="s">
        <v>19</v>
      </c>
      <c r="O1299" s="2" t="s">
        <v>19</v>
      </c>
      <c r="P1299" s="2" t="s">
        <v>19</v>
      </c>
      <c r="Q1299" s="2" t="s">
        <v>19</v>
      </c>
    </row>
    <row r="1300" customFormat="false" ht="15" hidden="false" customHeight="false" outlineLevel="0" collapsed="false">
      <c r="A1300" s="2" t="s">
        <v>1673</v>
      </c>
      <c r="B1300" s="2" t="s">
        <v>45</v>
      </c>
      <c r="C1300" s="15" t="s">
        <v>3022</v>
      </c>
      <c r="D1300" s="44" t="n">
        <v>13585</v>
      </c>
      <c r="E1300" s="2" t="s">
        <v>667</v>
      </c>
      <c r="F1300" s="45" t="n">
        <v>1.04011777695988</v>
      </c>
      <c r="G1300" s="31" t="n">
        <v>77.4</v>
      </c>
      <c r="H1300" s="46" t="n">
        <v>0.245758826226502</v>
      </c>
      <c r="I1300" s="31" t="n">
        <v>97.6</v>
      </c>
      <c r="J1300" s="2" t="s">
        <v>2704</v>
      </c>
      <c r="K1300" s="33"/>
      <c r="L1300" s="31"/>
      <c r="M1300" s="34" t="s">
        <v>668</v>
      </c>
      <c r="N1300" s="2" t="s">
        <v>17</v>
      </c>
      <c r="O1300" s="2" t="s">
        <v>17</v>
      </c>
      <c r="P1300" s="2" t="s">
        <v>17</v>
      </c>
      <c r="Q1300" s="2"/>
    </row>
    <row r="1301" customFormat="false" ht="15" hidden="false" customHeight="false" outlineLevel="0" collapsed="false">
      <c r="A1301" s="2" t="s">
        <v>1673</v>
      </c>
      <c r="B1301" s="2" t="s">
        <v>46</v>
      </c>
      <c r="C1301" s="14" t="s">
        <v>1674</v>
      </c>
      <c r="D1301" s="40" t="n">
        <v>34670</v>
      </c>
      <c r="E1301" s="2" t="s">
        <v>667</v>
      </c>
      <c r="F1301" s="41" t="n">
        <v>3.18722238246323</v>
      </c>
      <c r="G1301" s="31" t="n">
        <v>51.2</v>
      </c>
      <c r="H1301" s="42" t="n">
        <v>0.175652763648695</v>
      </c>
      <c r="I1301" s="31" t="n">
        <v>88.4</v>
      </c>
      <c r="J1301" s="2" t="s">
        <v>2700</v>
      </c>
      <c r="K1301" s="43" t="n">
        <v>0.277850589777195</v>
      </c>
      <c r="L1301" s="31" t="n">
        <v>87.3</v>
      </c>
      <c r="M1301" s="39" t="s">
        <v>671</v>
      </c>
      <c r="N1301" s="2" t="s">
        <v>21</v>
      </c>
      <c r="O1301" s="2" t="s">
        <v>21</v>
      </c>
      <c r="P1301" s="2" t="s">
        <v>21</v>
      </c>
      <c r="Q1301" s="2" t="s">
        <v>21</v>
      </c>
    </row>
    <row r="1302" customFormat="false" ht="15" hidden="false" customHeight="false" outlineLevel="0" collapsed="false">
      <c r="A1302" s="2" t="s">
        <v>1673</v>
      </c>
      <c r="B1302" s="2" t="s">
        <v>47</v>
      </c>
      <c r="C1302" s="13" t="s">
        <v>2026</v>
      </c>
      <c r="D1302" s="35" t="n">
        <v>8195</v>
      </c>
      <c r="E1302" s="2" t="s">
        <v>678</v>
      </c>
      <c r="F1302" s="36" t="n">
        <v>3.32361195851129</v>
      </c>
      <c r="G1302" s="31" t="n">
        <v>91.1</v>
      </c>
      <c r="H1302" s="37" t="n">
        <v>0.149368863955119</v>
      </c>
      <c r="I1302" s="31" t="n">
        <v>76</v>
      </c>
      <c r="J1302" s="2" t="s">
        <v>2706</v>
      </c>
      <c r="K1302" s="38" t="n">
        <v>0.15460729746444</v>
      </c>
      <c r="L1302" s="31" t="n">
        <v>72.2</v>
      </c>
      <c r="M1302" s="39" t="s">
        <v>671</v>
      </c>
      <c r="N1302" s="2" t="s">
        <v>19</v>
      </c>
      <c r="O1302" s="2" t="s">
        <v>19</v>
      </c>
      <c r="P1302" s="2" t="s">
        <v>19</v>
      </c>
      <c r="Q1302" s="2" t="s">
        <v>19</v>
      </c>
    </row>
    <row r="1303" customFormat="false" ht="15" hidden="false" customHeight="false" outlineLevel="0" collapsed="false">
      <c r="A1303" s="2" t="s">
        <v>738</v>
      </c>
      <c r="B1303" s="2" t="s">
        <v>45</v>
      </c>
      <c r="C1303" s="13" t="s">
        <v>739</v>
      </c>
      <c r="D1303" s="35" t="n">
        <v>9513</v>
      </c>
      <c r="E1303" s="2" t="s">
        <v>678</v>
      </c>
      <c r="F1303" s="36" t="n">
        <v>1.78492589088616</v>
      </c>
      <c r="G1303" s="31" t="n">
        <v>90.8</v>
      </c>
      <c r="H1303" s="37" t="n">
        <v>0.145178764897075</v>
      </c>
      <c r="I1303" s="31" t="n">
        <v>72.2</v>
      </c>
      <c r="J1303" s="2" t="s">
        <v>2713</v>
      </c>
      <c r="K1303" s="38" t="n">
        <v>0.0716049382716049</v>
      </c>
      <c r="L1303" s="31" t="n">
        <v>22.4</v>
      </c>
      <c r="M1303" s="39" t="s">
        <v>671</v>
      </c>
      <c r="N1303" s="2" t="s">
        <v>19</v>
      </c>
      <c r="O1303" s="2" t="s">
        <v>19</v>
      </c>
      <c r="P1303" s="2" t="s">
        <v>19</v>
      </c>
      <c r="Q1303" s="2" t="s">
        <v>19</v>
      </c>
    </row>
    <row r="1304" customFormat="false" ht="15" hidden="false" customHeight="false" outlineLevel="0" collapsed="false">
      <c r="A1304" s="2" t="s">
        <v>738</v>
      </c>
      <c r="B1304" s="2" t="s">
        <v>46</v>
      </c>
      <c r="C1304" s="14" t="s">
        <v>3023</v>
      </c>
      <c r="D1304" s="40" t="n">
        <v>8620</v>
      </c>
      <c r="E1304" s="2" t="s">
        <v>678</v>
      </c>
      <c r="F1304" s="41" t="n">
        <v>0.532598607888631</v>
      </c>
      <c r="G1304" s="31" t="n">
        <v>1.1</v>
      </c>
      <c r="H1304" s="32"/>
      <c r="I1304" s="31"/>
      <c r="J1304" s="2"/>
      <c r="K1304" s="43" t="n">
        <v>0.147368421052632</v>
      </c>
      <c r="L1304" s="31" t="n">
        <v>55.7</v>
      </c>
      <c r="M1304" s="34" t="s">
        <v>668</v>
      </c>
      <c r="N1304" s="2" t="s">
        <v>21</v>
      </c>
      <c r="O1304" s="2" t="s">
        <v>21</v>
      </c>
      <c r="P1304" s="2"/>
      <c r="Q1304" s="2" t="s">
        <v>21</v>
      </c>
    </row>
    <row r="1305" customFormat="false" ht="15" hidden="false" customHeight="false" outlineLevel="0" collapsed="false">
      <c r="A1305" s="2" t="s">
        <v>3024</v>
      </c>
      <c r="B1305" s="2" t="s">
        <v>45</v>
      </c>
      <c r="C1305" s="15" t="s">
        <v>3025</v>
      </c>
      <c r="D1305" s="44" t="n">
        <v>2160</v>
      </c>
      <c r="E1305" s="2" t="s">
        <v>678</v>
      </c>
      <c r="F1305" s="45" t="n">
        <v>0.725</v>
      </c>
      <c r="G1305" s="31" t="n">
        <v>60.5</v>
      </c>
      <c r="H1305" s="46" t="n">
        <v>0.0881612090680101</v>
      </c>
      <c r="I1305" s="31" t="n">
        <v>55.6</v>
      </c>
      <c r="J1305" s="2" t="s">
        <v>2713</v>
      </c>
      <c r="K1305" s="33"/>
      <c r="L1305" s="31"/>
      <c r="M1305" s="34" t="s">
        <v>668</v>
      </c>
      <c r="N1305" s="2" t="s">
        <v>17</v>
      </c>
      <c r="O1305" s="2" t="s">
        <v>17</v>
      </c>
      <c r="P1305" s="2" t="s">
        <v>17</v>
      </c>
      <c r="Q1305" s="2"/>
    </row>
    <row r="1306" customFormat="false" ht="15" hidden="false" customHeight="false" outlineLevel="0" collapsed="false">
      <c r="A1306" s="2" t="s">
        <v>2556</v>
      </c>
      <c r="B1306" s="2" t="s">
        <v>46</v>
      </c>
      <c r="C1306" s="16"/>
      <c r="D1306" s="29"/>
      <c r="E1306" s="2"/>
      <c r="F1306" s="30"/>
      <c r="G1306" s="31"/>
      <c r="H1306" s="32"/>
      <c r="I1306" s="31"/>
      <c r="J1306" s="2"/>
      <c r="K1306" s="33"/>
      <c r="L1306" s="31"/>
      <c r="M1306" s="34" t="s">
        <v>668</v>
      </c>
      <c r="N1306" s="2"/>
      <c r="O1306" s="2"/>
      <c r="P1306" s="2"/>
      <c r="Q1306" s="2"/>
    </row>
    <row r="1307" customFormat="false" ht="15" hidden="false" customHeight="false" outlineLevel="0" collapsed="false">
      <c r="A1307" s="2" t="s">
        <v>2556</v>
      </c>
      <c r="B1307" s="2" t="s">
        <v>47</v>
      </c>
      <c r="C1307" s="13" t="s">
        <v>2557</v>
      </c>
      <c r="D1307" s="35" t="n">
        <v>86822</v>
      </c>
      <c r="E1307" s="2" t="s">
        <v>667</v>
      </c>
      <c r="F1307" s="36" t="n">
        <v>0.655605722052015</v>
      </c>
      <c r="G1307" s="31" t="n">
        <v>18.6</v>
      </c>
      <c r="H1307" s="37" t="n">
        <v>0.130642010678474</v>
      </c>
      <c r="I1307" s="31" t="n">
        <v>70.2</v>
      </c>
      <c r="J1307" s="2" t="s">
        <v>2697</v>
      </c>
      <c r="K1307" s="38" t="n">
        <v>0.0230442692540934</v>
      </c>
      <c r="L1307" s="31" t="n">
        <v>14.1</v>
      </c>
      <c r="M1307" s="39" t="s">
        <v>671</v>
      </c>
      <c r="N1307" s="2" t="s">
        <v>19</v>
      </c>
      <c r="O1307" s="2" t="s">
        <v>19</v>
      </c>
      <c r="P1307" s="2" t="s">
        <v>19</v>
      </c>
      <c r="Q1307" s="2" t="s">
        <v>19</v>
      </c>
    </row>
    <row r="1308" customFormat="false" ht="15" hidden="false" customHeight="false" outlineLevel="0" collapsed="false">
      <c r="A1308" s="2" t="s">
        <v>414</v>
      </c>
      <c r="B1308" s="2" t="s">
        <v>45</v>
      </c>
      <c r="C1308" s="14" t="s">
        <v>959</v>
      </c>
      <c r="D1308" s="40" t="n">
        <v>10880</v>
      </c>
      <c r="E1308" s="2" t="s">
        <v>667</v>
      </c>
      <c r="F1308" s="41" t="n">
        <v>0.728768382352941</v>
      </c>
      <c r="G1308" s="31" t="n">
        <v>60.7</v>
      </c>
      <c r="H1308" s="42" t="n">
        <v>0.153764581124072</v>
      </c>
      <c r="I1308" s="31" t="n">
        <v>78.6</v>
      </c>
      <c r="J1308" s="2" t="s">
        <v>2704</v>
      </c>
      <c r="K1308" s="43" t="n">
        <v>0.037593984962406</v>
      </c>
      <c r="L1308" s="31" t="n">
        <v>8.8</v>
      </c>
      <c r="M1308" s="39" t="s">
        <v>671</v>
      </c>
      <c r="N1308" s="2" t="s">
        <v>21</v>
      </c>
      <c r="O1308" s="2" t="s">
        <v>21</v>
      </c>
      <c r="P1308" s="2" t="s">
        <v>21</v>
      </c>
      <c r="Q1308" s="2" t="s">
        <v>21</v>
      </c>
    </row>
    <row r="1309" customFormat="false" ht="15" hidden="false" customHeight="false" outlineLevel="0" collapsed="false">
      <c r="A1309" s="2" t="s">
        <v>414</v>
      </c>
      <c r="B1309" s="2" t="s">
        <v>46</v>
      </c>
      <c r="C1309" s="14" t="s">
        <v>1641</v>
      </c>
      <c r="D1309" s="40" t="n">
        <v>66260</v>
      </c>
      <c r="E1309" s="2" t="s">
        <v>667</v>
      </c>
      <c r="F1309" s="41" t="n">
        <v>3.52712043465137</v>
      </c>
      <c r="G1309" s="31" t="n">
        <v>55.4</v>
      </c>
      <c r="H1309" s="42" t="n">
        <v>0.128982790935423</v>
      </c>
      <c r="I1309" s="31" t="n">
        <v>69.3</v>
      </c>
      <c r="J1309" s="2" t="s">
        <v>2700</v>
      </c>
      <c r="K1309" s="43" t="n">
        <v>0.158715040263226</v>
      </c>
      <c r="L1309" s="31" t="n">
        <v>60.1</v>
      </c>
      <c r="M1309" s="39" t="s">
        <v>671</v>
      </c>
      <c r="N1309" s="2" t="s">
        <v>21</v>
      </c>
      <c r="O1309" s="2" t="s">
        <v>21</v>
      </c>
      <c r="P1309" s="2" t="s">
        <v>21</v>
      </c>
      <c r="Q1309" s="2" t="s">
        <v>21</v>
      </c>
    </row>
    <row r="1310" customFormat="false" ht="15" hidden="false" customHeight="false" outlineLevel="0" collapsed="false">
      <c r="A1310" s="2" t="s">
        <v>414</v>
      </c>
      <c r="B1310" s="2" t="s">
        <v>47</v>
      </c>
      <c r="C1310" s="13" t="s">
        <v>2540</v>
      </c>
      <c r="D1310" s="35" t="n">
        <v>10370</v>
      </c>
      <c r="E1310" s="2" t="s">
        <v>667</v>
      </c>
      <c r="F1310" s="36" t="n">
        <v>0.712246865959499</v>
      </c>
      <c r="G1310" s="31" t="n">
        <v>21.1</v>
      </c>
      <c r="H1310" s="37" t="n">
        <v>0.173607967406066</v>
      </c>
      <c r="I1310" s="31" t="n">
        <v>88.7</v>
      </c>
      <c r="J1310" s="2" t="s">
        <v>2697</v>
      </c>
      <c r="K1310" s="38" t="n">
        <v>0.098159509202454</v>
      </c>
      <c r="L1310" s="31" t="n">
        <v>53.5</v>
      </c>
      <c r="M1310" s="39" t="s">
        <v>671</v>
      </c>
      <c r="N1310" s="2" t="s">
        <v>19</v>
      </c>
      <c r="O1310" s="2" t="s">
        <v>19</v>
      </c>
      <c r="P1310" s="2" t="s">
        <v>19</v>
      </c>
      <c r="Q1310" s="2" t="s">
        <v>19</v>
      </c>
    </row>
    <row r="1311" customFormat="false" ht="15" hidden="false" customHeight="false" outlineLevel="0" collapsed="false">
      <c r="A1311" s="2" t="s">
        <v>3026</v>
      </c>
      <c r="B1311" s="2" t="s">
        <v>45</v>
      </c>
      <c r="C1311" s="15" t="s">
        <v>3027</v>
      </c>
      <c r="D1311" s="44" t="n">
        <v>176297</v>
      </c>
      <c r="E1311" s="2" t="s">
        <v>670</v>
      </c>
      <c r="F1311" s="30"/>
      <c r="G1311" s="31"/>
      <c r="H1311" s="46" t="n">
        <v>0.0154655208165334</v>
      </c>
      <c r="I1311" s="31" t="n">
        <v>18.8</v>
      </c>
      <c r="J1311" s="2" t="s">
        <v>2698</v>
      </c>
      <c r="K1311" s="33"/>
      <c r="L1311" s="31"/>
      <c r="M1311" s="34" t="s">
        <v>668</v>
      </c>
      <c r="N1311" s="2" t="s">
        <v>17</v>
      </c>
      <c r="O1311" s="2"/>
      <c r="P1311" s="2" t="s">
        <v>17</v>
      </c>
      <c r="Q1311" s="2"/>
    </row>
    <row r="1312" customFormat="false" ht="15" hidden="false" customHeight="false" outlineLevel="0" collapsed="false">
      <c r="A1312" s="2" t="s">
        <v>3026</v>
      </c>
      <c r="B1312" s="2" t="s">
        <v>46</v>
      </c>
      <c r="C1312" s="14" t="s">
        <v>3028</v>
      </c>
      <c r="D1312" s="40" t="n">
        <v>5940</v>
      </c>
      <c r="E1312" s="2" t="s">
        <v>678</v>
      </c>
      <c r="F1312" s="41" t="n">
        <v>3.73552188552189</v>
      </c>
      <c r="G1312" s="31" t="n">
        <v>58.8</v>
      </c>
      <c r="H1312" s="32"/>
      <c r="I1312" s="31"/>
      <c r="J1312" s="2"/>
      <c r="K1312" s="43" t="n">
        <v>0.248490945674044</v>
      </c>
      <c r="L1312" s="31" t="n">
        <v>82.1</v>
      </c>
      <c r="M1312" s="34" t="s">
        <v>668</v>
      </c>
      <c r="N1312" s="2" t="s">
        <v>21</v>
      </c>
      <c r="O1312" s="2" t="s">
        <v>21</v>
      </c>
      <c r="P1312" s="2"/>
      <c r="Q1312" s="2" t="s">
        <v>21</v>
      </c>
    </row>
    <row r="1313" customFormat="false" ht="15" hidden="false" customHeight="false" outlineLevel="0" collapsed="false">
      <c r="A1313" s="2" t="s">
        <v>3026</v>
      </c>
      <c r="B1313" s="2" t="s">
        <v>47</v>
      </c>
      <c r="C1313" s="14" t="s">
        <v>3029</v>
      </c>
      <c r="D1313" s="40" t="n">
        <v>21230</v>
      </c>
      <c r="E1313" s="2" t="s">
        <v>667</v>
      </c>
      <c r="F1313" s="41" t="n">
        <v>2.64149788035798</v>
      </c>
      <c r="G1313" s="31" t="n">
        <v>84.6</v>
      </c>
      <c r="H1313" s="32"/>
      <c r="I1313" s="31"/>
      <c r="J1313" s="2"/>
      <c r="K1313" s="43" t="n">
        <v>0.0949568378009996</v>
      </c>
      <c r="L1313" s="31" t="n">
        <v>51.8</v>
      </c>
      <c r="M1313" s="34" t="s">
        <v>668</v>
      </c>
      <c r="N1313" s="2" t="s">
        <v>21</v>
      </c>
      <c r="O1313" s="2" t="s">
        <v>21</v>
      </c>
      <c r="P1313" s="2"/>
      <c r="Q1313" s="2" t="s">
        <v>21</v>
      </c>
    </row>
    <row r="1314" customFormat="false" ht="15" hidden="false" customHeight="false" outlineLevel="0" collapsed="false">
      <c r="A1314" s="2" t="s">
        <v>3030</v>
      </c>
      <c r="B1314" s="2" t="s">
        <v>45</v>
      </c>
      <c r="C1314" s="16"/>
      <c r="D1314" s="29"/>
      <c r="E1314" s="2"/>
      <c r="F1314" s="30"/>
      <c r="G1314" s="31"/>
      <c r="H1314" s="32"/>
      <c r="I1314" s="31"/>
      <c r="J1314" s="2"/>
      <c r="K1314" s="33"/>
      <c r="L1314" s="31"/>
      <c r="M1314" s="34" t="s">
        <v>668</v>
      </c>
      <c r="N1314" s="2"/>
      <c r="O1314" s="2"/>
      <c r="P1314" s="2"/>
      <c r="Q1314" s="2"/>
    </row>
    <row r="1315" customFormat="false" ht="15" hidden="false" customHeight="false" outlineLevel="0" collapsed="false">
      <c r="A1315" s="2" t="s">
        <v>3030</v>
      </c>
      <c r="B1315" s="2" t="s">
        <v>46</v>
      </c>
      <c r="C1315" s="15" t="s">
        <v>3031</v>
      </c>
      <c r="D1315" s="29"/>
      <c r="E1315" s="2"/>
      <c r="F1315" s="30"/>
      <c r="G1315" s="31"/>
      <c r="H1315" s="32"/>
      <c r="I1315" s="31"/>
      <c r="J1315" s="2"/>
      <c r="K1315" s="33"/>
      <c r="L1315" s="31"/>
      <c r="M1315" s="34" t="s">
        <v>668</v>
      </c>
      <c r="N1315" s="2"/>
      <c r="O1315" s="2"/>
      <c r="P1315" s="2"/>
      <c r="Q1315" s="2"/>
    </row>
    <row r="1316" customFormat="false" ht="15" hidden="false" customHeight="false" outlineLevel="0" collapsed="false">
      <c r="A1316" s="2" t="s">
        <v>3030</v>
      </c>
      <c r="B1316" s="2" t="s">
        <v>47</v>
      </c>
      <c r="C1316" s="16"/>
      <c r="D1316" s="29"/>
      <c r="E1316" s="2"/>
      <c r="F1316" s="30"/>
      <c r="G1316" s="31"/>
      <c r="H1316" s="32"/>
      <c r="I1316" s="31"/>
      <c r="J1316" s="2"/>
      <c r="K1316" s="33"/>
      <c r="L1316" s="31"/>
      <c r="M1316" s="34" t="s">
        <v>668</v>
      </c>
      <c r="N1316" s="2"/>
      <c r="O1316" s="2"/>
      <c r="P1316" s="2"/>
      <c r="Q1316" s="2"/>
    </row>
    <row r="1317" customFormat="false" ht="15" hidden="false" customHeight="false" outlineLevel="0" collapsed="false">
      <c r="A1317" s="2" t="s">
        <v>163</v>
      </c>
      <c r="B1317" s="2" t="s">
        <v>46</v>
      </c>
      <c r="C1317" s="13" t="s">
        <v>1530</v>
      </c>
      <c r="D1317" s="35" t="n">
        <v>376911</v>
      </c>
      <c r="E1317" s="2" t="s">
        <v>670</v>
      </c>
      <c r="F1317" s="36" t="n">
        <v>5.3714616978544</v>
      </c>
      <c r="G1317" s="31" t="n">
        <v>76.3</v>
      </c>
      <c r="H1317" s="37" t="n">
        <v>0.271921358476304</v>
      </c>
      <c r="I1317" s="31" t="n">
        <v>99.3</v>
      </c>
      <c r="J1317" s="2" t="s">
        <v>2705</v>
      </c>
      <c r="K1317" s="38" t="n">
        <v>0.0174675116316381</v>
      </c>
      <c r="L1317" s="31" t="n">
        <v>3.1</v>
      </c>
      <c r="M1317" s="39" t="s">
        <v>671</v>
      </c>
      <c r="N1317" s="2" t="s">
        <v>19</v>
      </c>
      <c r="O1317" s="2" t="s">
        <v>19</v>
      </c>
      <c r="P1317" s="2" t="s">
        <v>19</v>
      </c>
      <c r="Q1317" s="2" t="s">
        <v>19</v>
      </c>
    </row>
    <row r="1318" customFormat="false" ht="15" hidden="false" customHeight="false" outlineLevel="0" collapsed="false">
      <c r="A1318" s="2" t="s">
        <v>987</v>
      </c>
      <c r="B1318" s="2" t="s">
        <v>45</v>
      </c>
      <c r="C1318" s="14" t="s">
        <v>988</v>
      </c>
      <c r="D1318" s="40" t="n">
        <v>62190</v>
      </c>
      <c r="E1318" s="2" t="s">
        <v>667</v>
      </c>
      <c r="F1318" s="41" t="n">
        <v>0.680977649139733</v>
      </c>
      <c r="G1318" s="31" t="n">
        <v>57.1</v>
      </c>
      <c r="H1318" s="42" t="n">
        <v>0.0344311377245509</v>
      </c>
      <c r="I1318" s="31" t="n">
        <v>19.8</v>
      </c>
      <c r="J1318" s="2" t="s">
        <v>2704</v>
      </c>
      <c r="K1318" s="43" t="n">
        <v>0.0433622414943296</v>
      </c>
      <c r="L1318" s="31" t="n">
        <v>11</v>
      </c>
      <c r="M1318" s="39" t="s">
        <v>671</v>
      </c>
      <c r="N1318" s="2" t="s">
        <v>21</v>
      </c>
      <c r="O1318" s="2" t="s">
        <v>21</v>
      </c>
      <c r="P1318" s="2" t="s">
        <v>21</v>
      </c>
      <c r="Q1318" s="2" t="s">
        <v>21</v>
      </c>
    </row>
    <row r="1319" customFormat="false" ht="15" hidden="false" customHeight="false" outlineLevel="0" collapsed="false">
      <c r="A1319" s="2" t="s">
        <v>987</v>
      </c>
      <c r="B1319" s="2" t="s">
        <v>46</v>
      </c>
      <c r="C1319" s="14" t="s">
        <v>3032</v>
      </c>
      <c r="D1319" s="40" t="n">
        <v>205200</v>
      </c>
      <c r="E1319" s="2" t="s">
        <v>670</v>
      </c>
      <c r="F1319" s="41" t="n">
        <v>3.60123781676413</v>
      </c>
      <c r="G1319" s="31" t="n">
        <v>56.4</v>
      </c>
      <c r="H1319" s="42" t="n">
        <v>0.0723804546642279</v>
      </c>
      <c r="I1319" s="31" t="n">
        <v>45.7</v>
      </c>
      <c r="J1319" s="2" t="s">
        <v>2705</v>
      </c>
      <c r="K1319" s="33"/>
      <c r="L1319" s="31"/>
      <c r="M1319" s="34" t="s">
        <v>668</v>
      </c>
      <c r="N1319" s="2" t="s">
        <v>21</v>
      </c>
      <c r="O1319" s="2" t="s">
        <v>21</v>
      </c>
      <c r="P1319" s="2" t="s">
        <v>21</v>
      </c>
      <c r="Q1319" s="2"/>
    </row>
    <row r="1320" customFormat="false" ht="15" hidden="false" customHeight="false" outlineLevel="0" collapsed="false">
      <c r="A1320" s="2" t="s">
        <v>987</v>
      </c>
      <c r="B1320" s="2" t="s">
        <v>47</v>
      </c>
      <c r="C1320" s="13" t="s">
        <v>2063</v>
      </c>
      <c r="D1320" s="35" t="n">
        <v>109210</v>
      </c>
      <c r="E1320" s="2" t="s">
        <v>670</v>
      </c>
      <c r="F1320" s="36" t="n">
        <v>2.75116747550591</v>
      </c>
      <c r="G1320" s="31" t="n">
        <v>86.1</v>
      </c>
      <c r="H1320" s="37" t="n">
        <v>0.277982563922532</v>
      </c>
      <c r="I1320" s="31" t="n">
        <v>97</v>
      </c>
      <c r="J1320" s="2" t="s">
        <v>2701</v>
      </c>
      <c r="K1320" s="38" t="n">
        <v>0.326693227091634</v>
      </c>
      <c r="L1320" s="31" t="n">
        <v>97.5</v>
      </c>
      <c r="M1320" s="39" t="s">
        <v>671</v>
      </c>
      <c r="N1320" s="2" t="s">
        <v>19</v>
      </c>
      <c r="O1320" s="2" t="s">
        <v>19</v>
      </c>
      <c r="P1320" s="2" t="s">
        <v>19</v>
      </c>
      <c r="Q1320" s="2" t="s">
        <v>19</v>
      </c>
    </row>
    <row r="1321" customFormat="false" ht="15" hidden="false" customHeight="false" outlineLevel="0" collapsed="false">
      <c r="A1321" s="2" t="s">
        <v>3033</v>
      </c>
      <c r="B1321" s="2" t="s">
        <v>45</v>
      </c>
      <c r="C1321" s="15" t="s">
        <v>3034</v>
      </c>
      <c r="D1321" s="29"/>
      <c r="E1321" s="2"/>
      <c r="F1321" s="30"/>
      <c r="G1321" s="31"/>
      <c r="H1321" s="32"/>
      <c r="I1321" s="31"/>
      <c r="J1321" s="2"/>
      <c r="K1321" s="33"/>
      <c r="L1321" s="31"/>
      <c r="M1321" s="34" t="s">
        <v>668</v>
      </c>
      <c r="N1321" s="2"/>
      <c r="O1321" s="2"/>
      <c r="P1321" s="2"/>
      <c r="Q1321" s="2"/>
    </row>
    <row r="1322" customFormat="false" ht="15" hidden="false" customHeight="false" outlineLevel="0" collapsed="false">
      <c r="A1322" s="2" t="s">
        <v>3033</v>
      </c>
      <c r="B1322" s="2" t="s">
        <v>47</v>
      </c>
      <c r="C1322" s="16"/>
      <c r="D1322" s="29"/>
      <c r="E1322" s="2"/>
      <c r="F1322" s="30"/>
      <c r="G1322" s="31"/>
      <c r="H1322" s="32"/>
      <c r="I1322" s="31"/>
      <c r="J1322" s="2"/>
      <c r="K1322" s="33"/>
      <c r="L1322" s="31"/>
      <c r="M1322" s="34" t="s">
        <v>668</v>
      </c>
      <c r="N1322" s="2"/>
      <c r="O1322" s="2"/>
      <c r="P1322" s="2"/>
      <c r="Q1322" s="2"/>
    </row>
    <row r="1323" customFormat="false" ht="15" hidden="false" customHeight="false" outlineLevel="0" collapsed="false">
      <c r="A1323" s="2" t="s">
        <v>320</v>
      </c>
      <c r="B1323" s="2" t="s">
        <v>45</v>
      </c>
      <c r="C1323" s="14" t="s">
        <v>1040</v>
      </c>
      <c r="D1323" s="40" t="n">
        <v>6100</v>
      </c>
      <c r="E1323" s="2" t="s">
        <v>678</v>
      </c>
      <c r="F1323" s="41" t="n">
        <v>0.607049180327869</v>
      </c>
      <c r="G1323" s="31" t="n">
        <v>50</v>
      </c>
      <c r="H1323" s="42" t="n">
        <v>0.161904761904762</v>
      </c>
      <c r="I1323" s="31" t="n">
        <v>81.5</v>
      </c>
      <c r="J1323" s="2" t="s">
        <v>2713</v>
      </c>
      <c r="K1323" s="43" t="n">
        <v>0.125</v>
      </c>
      <c r="L1323" s="31" t="n">
        <v>45.9</v>
      </c>
      <c r="M1323" s="39" t="s">
        <v>671</v>
      </c>
      <c r="N1323" s="2" t="s">
        <v>21</v>
      </c>
      <c r="O1323" s="2" t="s">
        <v>21</v>
      </c>
      <c r="P1323" s="2" t="s">
        <v>21</v>
      </c>
      <c r="Q1323" s="2" t="s">
        <v>21</v>
      </c>
    </row>
    <row r="1324" customFormat="false" ht="15" hidden="false" customHeight="false" outlineLevel="0" collapsed="false">
      <c r="A1324" s="2" t="s">
        <v>320</v>
      </c>
      <c r="B1324" s="2" t="s">
        <v>46</v>
      </c>
      <c r="C1324" s="13" t="s">
        <v>1804</v>
      </c>
      <c r="D1324" s="35" t="n">
        <v>3065</v>
      </c>
      <c r="E1324" s="2" t="s">
        <v>678</v>
      </c>
      <c r="F1324" s="36" t="n">
        <v>2.0952691680261</v>
      </c>
      <c r="G1324" s="31" t="n">
        <v>28.5</v>
      </c>
      <c r="H1324" s="37" t="n">
        <v>0.205269366889501</v>
      </c>
      <c r="I1324" s="31" t="n">
        <v>89.6</v>
      </c>
      <c r="J1324" s="2" t="s">
        <v>2720</v>
      </c>
      <c r="K1324" s="38" t="n">
        <v>0.226640159045726</v>
      </c>
      <c r="L1324" s="31" t="n">
        <v>77.2</v>
      </c>
      <c r="M1324" s="39" t="s">
        <v>671</v>
      </c>
      <c r="N1324" s="2" t="s">
        <v>19</v>
      </c>
      <c r="O1324" s="2" t="s">
        <v>19</v>
      </c>
      <c r="P1324" s="2" t="s">
        <v>19</v>
      </c>
      <c r="Q1324" s="2" t="s">
        <v>19</v>
      </c>
    </row>
    <row r="1325" customFormat="false" ht="15" hidden="false" customHeight="false" outlineLevel="0" collapsed="false">
      <c r="A1325" s="2" t="s">
        <v>320</v>
      </c>
      <c r="B1325" s="2" t="s">
        <v>47</v>
      </c>
      <c r="C1325" s="13" t="s">
        <v>2036</v>
      </c>
      <c r="D1325" s="35" t="n">
        <v>27275</v>
      </c>
      <c r="E1325" s="2" t="s">
        <v>667</v>
      </c>
      <c r="F1325" s="36" t="n">
        <v>3.12051329055912</v>
      </c>
      <c r="G1325" s="31" t="n">
        <v>89.5</v>
      </c>
      <c r="H1325" s="42" t="n">
        <v>0.145969498910675</v>
      </c>
      <c r="I1325" s="31" t="n">
        <v>75.5</v>
      </c>
      <c r="J1325" s="2" t="s">
        <v>2697</v>
      </c>
      <c r="K1325" s="38" t="n">
        <v>0.0494053064958829</v>
      </c>
      <c r="L1325" s="31" t="n">
        <v>31.2</v>
      </c>
      <c r="M1325" s="39" t="s">
        <v>671</v>
      </c>
      <c r="N1325" s="2" t="s">
        <v>19</v>
      </c>
      <c r="O1325" s="2" t="s">
        <v>19</v>
      </c>
      <c r="P1325" s="2" t="s">
        <v>21</v>
      </c>
      <c r="Q1325" s="2" t="s">
        <v>19</v>
      </c>
    </row>
    <row r="1326" customFormat="false" ht="15" hidden="false" customHeight="false" outlineLevel="0" collapsed="false">
      <c r="A1326" s="2" t="s">
        <v>516</v>
      </c>
      <c r="B1326" s="2" t="s">
        <v>45</v>
      </c>
      <c r="C1326" s="13" t="s">
        <v>1039</v>
      </c>
      <c r="D1326" s="35" t="n">
        <v>22453</v>
      </c>
      <c r="E1326" s="2" t="s">
        <v>667</v>
      </c>
      <c r="F1326" s="36" t="n">
        <v>0.609094553066405</v>
      </c>
      <c r="G1326" s="31" t="n">
        <v>50.2</v>
      </c>
      <c r="H1326" s="37" t="n">
        <v>0.0651328273244782</v>
      </c>
      <c r="I1326" s="31" t="n">
        <v>33.7</v>
      </c>
      <c r="J1326" s="2" t="s">
        <v>2704</v>
      </c>
      <c r="K1326" s="38" t="n">
        <v>0.123910939012585</v>
      </c>
      <c r="L1326" s="31" t="n">
        <v>45.3</v>
      </c>
      <c r="M1326" s="39" t="s">
        <v>671</v>
      </c>
      <c r="N1326" s="2" t="s">
        <v>19</v>
      </c>
      <c r="O1326" s="2" t="s">
        <v>19</v>
      </c>
      <c r="P1326" s="2" t="s">
        <v>19</v>
      </c>
      <c r="Q1326" s="2" t="s">
        <v>19</v>
      </c>
    </row>
    <row r="1327" customFormat="false" ht="15" hidden="false" customHeight="false" outlineLevel="0" collapsed="false">
      <c r="A1327" s="2" t="s">
        <v>516</v>
      </c>
      <c r="B1327" s="2" t="s">
        <v>46</v>
      </c>
      <c r="C1327" s="13" t="s">
        <v>1881</v>
      </c>
      <c r="D1327" s="35" t="n">
        <v>18578</v>
      </c>
      <c r="E1327" s="2" t="s">
        <v>667</v>
      </c>
      <c r="F1327" s="36" t="n">
        <v>1.56346215954355</v>
      </c>
      <c r="G1327" s="31" t="n">
        <v>16.5</v>
      </c>
      <c r="H1327" s="37" t="n">
        <v>0.210214318285454</v>
      </c>
      <c r="I1327" s="31" t="n">
        <v>95.4</v>
      </c>
      <c r="J1327" s="2" t="s">
        <v>2700</v>
      </c>
      <c r="K1327" s="38" t="n">
        <v>0.119027661357921</v>
      </c>
      <c r="L1327" s="31" t="n">
        <v>41.2</v>
      </c>
      <c r="M1327" s="39" t="s">
        <v>671</v>
      </c>
      <c r="N1327" s="2" t="s">
        <v>19</v>
      </c>
      <c r="O1327" s="2" t="s">
        <v>19</v>
      </c>
      <c r="P1327" s="2" t="s">
        <v>19</v>
      </c>
      <c r="Q1327" s="2" t="s">
        <v>19</v>
      </c>
    </row>
    <row r="1328" customFormat="false" ht="15" hidden="false" customHeight="false" outlineLevel="0" collapsed="false">
      <c r="A1328" s="2" t="s">
        <v>596</v>
      </c>
      <c r="B1328" s="2" t="s">
        <v>45</v>
      </c>
      <c r="C1328" s="14" t="s">
        <v>1253</v>
      </c>
      <c r="D1328" s="40" t="n">
        <v>76930</v>
      </c>
      <c r="E1328" s="2" t="s">
        <v>667</v>
      </c>
      <c r="F1328" s="41" t="n">
        <v>0.322773950344469</v>
      </c>
      <c r="G1328" s="31" t="n">
        <v>21.2</v>
      </c>
      <c r="H1328" s="42" t="n">
        <v>0.125201111598654</v>
      </c>
      <c r="I1328" s="31" t="n">
        <v>64.7</v>
      </c>
      <c r="J1328" s="2" t="s">
        <v>2704</v>
      </c>
      <c r="K1328" s="43" t="n">
        <v>0.173027989821883</v>
      </c>
      <c r="L1328" s="31" t="n">
        <v>61.9</v>
      </c>
      <c r="M1328" s="39" t="s">
        <v>671</v>
      </c>
      <c r="N1328" s="2" t="s">
        <v>21</v>
      </c>
      <c r="O1328" s="2" t="s">
        <v>21</v>
      </c>
      <c r="P1328" s="2" t="s">
        <v>21</v>
      </c>
      <c r="Q1328" s="2" t="s">
        <v>21</v>
      </c>
    </row>
    <row r="1329" customFormat="false" ht="15" hidden="false" customHeight="false" outlineLevel="0" collapsed="false">
      <c r="A1329" s="2" t="s">
        <v>1546</v>
      </c>
      <c r="B1329" s="2" t="s">
        <v>45</v>
      </c>
      <c r="C1329" s="16"/>
      <c r="D1329" s="29"/>
      <c r="E1329" s="2"/>
      <c r="F1329" s="30"/>
      <c r="G1329" s="31"/>
      <c r="H1329" s="32"/>
      <c r="I1329" s="31"/>
      <c r="J1329" s="2"/>
      <c r="K1329" s="33"/>
      <c r="L1329" s="31"/>
      <c r="M1329" s="34" t="s">
        <v>668</v>
      </c>
      <c r="N1329" s="2"/>
      <c r="O1329" s="2"/>
      <c r="P1329" s="2"/>
      <c r="Q1329" s="2"/>
    </row>
    <row r="1330" customFormat="false" ht="15" hidden="false" customHeight="false" outlineLevel="0" collapsed="false">
      <c r="A1330" s="2" t="s">
        <v>1546</v>
      </c>
      <c r="B1330" s="2" t="s">
        <v>46</v>
      </c>
      <c r="C1330" s="14" t="s">
        <v>1547</v>
      </c>
      <c r="D1330" s="40" t="n">
        <v>158730</v>
      </c>
      <c r="E1330" s="2" t="s">
        <v>670</v>
      </c>
      <c r="F1330" s="41" t="n">
        <v>5.07270837270837</v>
      </c>
      <c r="G1330" s="31" t="n">
        <v>73.6</v>
      </c>
      <c r="H1330" s="42" t="n">
        <v>0.12870653487876</v>
      </c>
      <c r="I1330" s="31" t="n">
        <v>73.5</v>
      </c>
      <c r="J1330" s="2" t="s">
        <v>2705</v>
      </c>
      <c r="K1330" s="43" t="n">
        <v>0.240055189568394</v>
      </c>
      <c r="L1330" s="31" t="n">
        <v>80.8</v>
      </c>
      <c r="M1330" s="39" t="s">
        <v>671</v>
      </c>
      <c r="N1330" s="2" t="s">
        <v>21</v>
      </c>
      <c r="O1330" s="2" t="s">
        <v>21</v>
      </c>
      <c r="P1330" s="2" t="s">
        <v>21</v>
      </c>
      <c r="Q1330" s="2" t="s">
        <v>21</v>
      </c>
    </row>
    <row r="1331" customFormat="false" ht="15" hidden="false" customHeight="false" outlineLevel="0" collapsed="false">
      <c r="A1331" s="2" t="s">
        <v>1546</v>
      </c>
      <c r="B1331" s="2" t="s">
        <v>47</v>
      </c>
      <c r="C1331" s="13" t="s">
        <v>2639</v>
      </c>
      <c r="D1331" s="35" t="n">
        <v>120862</v>
      </c>
      <c r="E1331" s="2" t="s">
        <v>670</v>
      </c>
      <c r="F1331" s="36" t="n">
        <v>0.364763118267115</v>
      </c>
      <c r="G1331" s="31" t="n">
        <v>6.7</v>
      </c>
      <c r="H1331" s="37" t="n">
        <v>0.0109660312335321</v>
      </c>
      <c r="I1331" s="31" t="n">
        <v>16.9</v>
      </c>
      <c r="J1331" s="2" t="s">
        <v>2701</v>
      </c>
      <c r="K1331" s="38" t="n">
        <v>0.0299741602067184</v>
      </c>
      <c r="L1331" s="31" t="n">
        <v>19.2</v>
      </c>
      <c r="M1331" s="39" t="s">
        <v>671</v>
      </c>
      <c r="N1331" s="2" t="s">
        <v>19</v>
      </c>
      <c r="O1331" s="2" t="s">
        <v>19</v>
      </c>
      <c r="P1331" s="2" t="s">
        <v>19</v>
      </c>
      <c r="Q1331" s="2" t="s">
        <v>19</v>
      </c>
    </row>
    <row r="1332" customFormat="false" ht="15" hidden="false" customHeight="false" outlineLevel="0" collapsed="false">
      <c r="A1332" s="2" t="s">
        <v>1488</v>
      </c>
      <c r="B1332" s="2" t="s">
        <v>45</v>
      </c>
      <c r="C1332" s="15" t="s">
        <v>3035</v>
      </c>
      <c r="D1332" s="44" t="n">
        <v>30452</v>
      </c>
      <c r="E1332" s="2" t="s">
        <v>667</v>
      </c>
      <c r="F1332" s="30"/>
      <c r="G1332" s="31"/>
      <c r="H1332" s="32"/>
      <c r="I1332" s="31"/>
      <c r="J1332" s="2"/>
      <c r="K1332" s="33"/>
      <c r="L1332" s="31"/>
      <c r="M1332" s="34" t="s">
        <v>668</v>
      </c>
      <c r="N1332" s="2" t="s">
        <v>17</v>
      </c>
      <c r="O1332" s="2"/>
      <c r="P1332" s="2"/>
      <c r="Q1332" s="2"/>
    </row>
    <row r="1333" customFormat="false" ht="15" hidden="false" customHeight="false" outlineLevel="0" collapsed="false">
      <c r="A1333" s="2" t="s">
        <v>1488</v>
      </c>
      <c r="B1333" s="2" t="s">
        <v>46</v>
      </c>
      <c r="C1333" s="13" t="s">
        <v>1489</v>
      </c>
      <c r="D1333" s="35" t="n">
        <v>405240</v>
      </c>
      <c r="E1333" s="2" t="s">
        <v>670</v>
      </c>
      <c r="F1333" s="36" t="n">
        <v>6.5253504096338</v>
      </c>
      <c r="G1333" s="31" t="n">
        <v>83.9</v>
      </c>
      <c r="H1333" s="37" t="n">
        <v>0.199978679679958</v>
      </c>
      <c r="I1333" s="31" t="n">
        <v>96</v>
      </c>
      <c r="J1333" s="2" t="s">
        <v>2705</v>
      </c>
      <c r="K1333" s="38" t="n">
        <v>0.0578100869646915</v>
      </c>
      <c r="L1333" s="31" t="n">
        <v>16.6</v>
      </c>
      <c r="M1333" s="39" t="s">
        <v>671</v>
      </c>
      <c r="N1333" s="2" t="s">
        <v>19</v>
      </c>
      <c r="O1333" s="2" t="s">
        <v>19</v>
      </c>
      <c r="P1333" s="2" t="s">
        <v>19</v>
      </c>
      <c r="Q1333" s="2" t="s">
        <v>19</v>
      </c>
    </row>
    <row r="1334" customFormat="false" ht="15" hidden="false" customHeight="false" outlineLevel="0" collapsed="false">
      <c r="A1334" s="2" t="s">
        <v>1488</v>
      </c>
      <c r="B1334" s="2" t="s">
        <v>47</v>
      </c>
      <c r="C1334" s="13" t="s">
        <v>3036</v>
      </c>
      <c r="D1334" s="40" t="n">
        <v>218400</v>
      </c>
      <c r="E1334" s="2" t="s">
        <v>670</v>
      </c>
      <c r="F1334" s="30"/>
      <c r="G1334" s="31"/>
      <c r="H1334" s="42" t="n">
        <v>6.01123595505618</v>
      </c>
      <c r="I1334" s="31" t="n">
        <v>98.8</v>
      </c>
      <c r="J1334" s="2" t="s">
        <v>2701</v>
      </c>
      <c r="K1334" s="38" t="n">
        <v>0.0110707204230007</v>
      </c>
      <c r="L1334" s="31" t="n">
        <v>7</v>
      </c>
      <c r="M1334" s="34" t="s">
        <v>668</v>
      </c>
      <c r="N1334" s="2" t="s">
        <v>21</v>
      </c>
      <c r="O1334" s="2" t="s">
        <v>3037</v>
      </c>
      <c r="P1334" s="2" t="s">
        <v>21</v>
      </c>
      <c r="Q1334" s="2" t="s">
        <v>19</v>
      </c>
    </row>
    <row r="1335" customFormat="false" ht="15" hidden="false" customHeight="false" outlineLevel="0" collapsed="false">
      <c r="A1335" s="2" t="s">
        <v>1036</v>
      </c>
      <c r="B1335" s="2" t="s">
        <v>45</v>
      </c>
      <c r="C1335" s="13" t="s">
        <v>1037</v>
      </c>
      <c r="D1335" s="35" t="n">
        <v>30967</v>
      </c>
      <c r="E1335" s="2" t="s">
        <v>667</v>
      </c>
      <c r="F1335" s="36" t="n">
        <v>0.610327122420641</v>
      </c>
      <c r="G1335" s="31" t="n">
        <v>50.6</v>
      </c>
      <c r="H1335" s="37" t="n">
        <v>0.160160347669714</v>
      </c>
      <c r="I1335" s="31" t="n">
        <v>81.3</v>
      </c>
      <c r="J1335" s="2" t="s">
        <v>2704</v>
      </c>
      <c r="K1335" s="43" t="n">
        <v>0.0704323570432357</v>
      </c>
      <c r="L1335" s="31" t="n">
        <v>21.5</v>
      </c>
      <c r="M1335" s="39" t="s">
        <v>671</v>
      </c>
      <c r="N1335" s="2" t="s">
        <v>19</v>
      </c>
      <c r="O1335" s="2" t="s">
        <v>19</v>
      </c>
      <c r="P1335" s="2" t="s">
        <v>19</v>
      </c>
      <c r="Q1335" s="2" t="s">
        <v>21</v>
      </c>
    </row>
    <row r="1336" customFormat="false" ht="15" hidden="false" customHeight="false" outlineLevel="0" collapsed="false">
      <c r="A1336" s="2" t="s">
        <v>1036</v>
      </c>
      <c r="B1336" s="2" t="s">
        <v>46</v>
      </c>
      <c r="C1336" s="16"/>
      <c r="D1336" s="40" t="n">
        <v>53280</v>
      </c>
      <c r="E1336" s="2" t="s">
        <v>667</v>
      </c>
      <c r="F1336" s="41" t="n">
        <v>2.27111486486487</v>
      </c>
      <c r="G1336" s="31" t="n">
        <v>32.3</v>
      </c>
      <c r="H1336" s="42" t="n">
        <v>0.188224799286352</v>
      </c>
      <c r="I1336" s="31" t="n">
        <v>91.7</v>
      </c>
      <c r="J1336" s="2" t="s">
        <v>2700</v>
      </c>
      <c r="K1336" s="43" t="n">
        <v>0.220466218885816</v>
      </c>
      <c r="L1336" s="31" t="n">
        <v>76.2</v>
      </c>
      <c r="M1336" s="34" t="s">
        <v>668</v>
      </c>
      <c r="N1336" s="2" t="s">
        <v>21</v>
      </c>
      <c r="O1336" s="2" t="s">
        <v>21</v>
      </c>
      <c r="P1336" s="2" t="s">
        <v>21</v>
      </c>
      <c r="Q1336" s="2" t="s">
        <v>21</v>
      </c>
    </row>
    <row r="1337" customFormat="false" ht="15" hidden="false" customHeight="false" outlineLevel="0" collapsed="false">
      <c r="A1337" s="2" t="s">
        <v>1036</v>
      </c>
      <c r="B1337" s="2" t="s">
        <v>47</v>
      </c>
      <c r="C1337" s="13" t="s">
        <v>2544</v>
      </c>
      <c r="D1337" s="35" t="n">
        <v>194395</v>
      </c>
      <c r="E1337" s="2" t="s">
        <v>670</v>
      </c>
      <c r="F1337" s="36" t="n">
        <v>0.69242521669796</v>
      </c>
      <c r="G1337" s="31" t="n">
        <v>20.3</v>
      </c>
      <c r="H1337" s="37" t="n">
        <v>-0.0472094379665436</v>
      </c>
      <c r="I1337" s="31" t="n">
        <v>5.4</v>
      </c>
      <c r="J1337" s="2" t="s">
        <v>2701</v>
      </c>
      <c r="K1337" s="38" t="n">
        <v>0.101540002504069</v>
      </c>
      <c r="L1337" s="31" t="n">
        <v>56.2</v>
      </c>
      <c r="M1337" s="39" t="s">
        <v>671</v>
      </c>
      <c r="N1337" s="2" t="s">
        <v>19</v>
      </c>
      <c r="O1337" s="2" t="s">
        <v>19</v>
      </c>
      <c r="P1337" s="2" t="s">
        <v>19</v>
      </c>
      <c r="Q1337" s="2" t="s">
        <v>19</v>
      </c>
    </row>
    <row r="1338" customFormat="false" ht="15" hidden="false" customHeight="false" outlineLevel="0" collapsed="false">
      <c r="A1338" s="2" t="s">
        <v>1969</v>
      </c>
      <c r="B1338" s="2" t="s">
        <v>45</v>
      </c>
      <c r="C1338" s="14" t="s">
        <v>3038</v>
      </c>
      <c r="D1338" s="40" t="n">
        <v>402760</v>
      </c>
      <c r="E1338" s="2" t="s">
        <v>670</v>
      </c>
      <c r="F1338" s="41" t="n">
        <v>0.628431323865329</v>
      </c>
      <c r="G1338" s="31" t="n">
        <v>51.9</v>
      </c>
      <c r="H1338" s="42" t="n">
        <v>0.231192492281356</v>
      </c>
      <c r="I1338" s="31" t="n">
        <v>97.8</v>
      </c>
      <c r="J1338" s="2" t="s">
        <v>2698</v>
      </c>
      <c r="K1338" s="33"/>
      <c r="L1338" s="31"/>
      <c r="M1338" s="34" t="s">
        <v>668</v>
      </c>
      <c r="N1338" s="2" t="s">
        <v>21</v>
      </c>
      <c r="O1338" s="2" t="s">
        <v>21</v>
      </c>
      <c r="P1338" s="2" t="s">
        <v>21</v>
      </c>
      <c r="Q1338" s="2"/>
    </row>
    <row r="1339" customFormat="false" ht="15" hidden="false" customHeight="false" outlineLevel="0" collapsed="false">
      <c r="A1339" s="2" t="s">
        <v>1969</v>
      </c>
      <c r="B1339" s="2" t="s">
        <v>46</v>
      </c>
      <c r="C1339" s="16"/>
      <c r="D1339" s="29"/>
      <c r="E1339" s="2"/>
      <c r="F1339" s="30"/>
      <c r="G1339" s="31"/>
      <c r="H1339" s="32"/>
      <c r="I1339" s="31"/>
      <c r="J1339" s="2"/>
      <c r="K1339" s="33"/>
      <c r="L1339" s="31"/>
      <c r="M1339" s="34" t="s">
        <v>668</v>
      </c>
      <c r="N1339" s="2"/>
      <c r="O1339" s="2"/>
      <c r="P1339" s="2"/>
      <c r="Q1339" s="2"/>
    </row>
    <row r="1340" customFormat="false" ht="15" hidden="false" customHeight="false" outlineLevel="0" collapsed="false">
      <c r="A1340" s="2" t="s">
        <v>1969</v>
      </c>
      <c r="B1340" s="2" t="s">
        <v>47</v>
      </c>
      <c r="C1340" s="13" t="s">
        <v>1970</v>
      </c>
      <c r="D1340" s="35" t="n">
        <v>91973</v>
      </c>
      <c r="E1340" s="2" t="s">
        <v>667</v>
      </c>
      <c r="F1340" s="36" t="n">
        <v>7.45158905330912</v>
      </c>
      <c r="G1340" s="31" t="n">
        <v>99</v>
      </c>
      <c r="H1340" s="37" t="n">
        <v>0.0237536036687853</v>
      </c>
      <c r="I1340" s="31" t="n">
        <v>17.4</v>
      </c>
      <c r="J1340" s="2" t="s">
        <v>2697</v>
      </c>
      <c r="K1340" s="38" t="n">
        <v>0.0467753366406804</v>
      </c>
      <c r="L1340" s="31" t="n">
        <v>28.8</v>
      </c>
      <c r="M1340" s="39" t="s">
        <v>671</v>
      </c>
      <c r="N1340" s="2" t="s">
        <v>19</v>
      </c>
      <c r="O1340" s="2" t="s">
        <v>19</v>
      </c>
      <c r="P1340" s="2" t="s">
        <v>19</v>
      </c>
      <c r="Q1340" s="2" t="s">
        <v>19</v>
      </c>
    </row>
    <row r="1341" customFormat="false" ht="15" hidden="false" customHeight="false" outlineLevel="0" collapsed="false">
      <c r="A1341" s="2" t="s">
        <v>167</v>
      </c>
      <c r="B1341" s="2" t="s">
        <v>45</v>
      </c>
      <c r="C1341" s="13" t="s">
        <v>848</v>
      </c>
      <c r="D1341" s="35" t="n">
        <v>8967</v>
      </c>
      <c r="E1341" s="2" t="s">
        <v>678</v>
      </c>
      <c r="F1341" s="36" t="n">
        <v>0.999107839857254</v>
      </c>
      <c r="G1341" s="31" t="n">
        <v>75.4</v>
      </c>
      <c r="H1341" s="37" t="n">
        <v>0.108816619265488</v>
      </c>
      <c r="I1341" s="31" t="n">
        <v>66.7</v>
      </c>
      <c r="J1341" s="2" t="s">
        <v>2713</v>
      </c>
      <c r="K1341" s="38" t="n">
        <v>0.308943089430894</v>
      </c>
      <c r="L1341" s="31" t="n">
        <v>92.8</v>
      </c>
      <c r="M1341" s="39" t="s">
        <v>671</v>
      </c>
      <c r="N1341" s="2" t="s">
        <v>19</v>
      </c>
      <c r="O1341" s="2" t="s">
        <v>19</v>
      </c>
      <c r="P1341" s="2" t="s">
        <v>19</v>
      </c>
      <c r="Q1341" s="2" t="s">
        <v>19</v>
      </c>
    </row>
    <row r="1342" customFormat="false" ht="15" hidden="false" customHeight="false" outlineLevel="0" collapsed="false">
      <c r="A1342" s="2" t="s">
        <v>410</v>
      </c>
      <c r="B1342" s="2" t="s">
        <v>46</v>
      </c>
      <c r="C1342" s="14" t="s">
        <v>1457</v>
      </c>
      <c r="D1342" s="40" t="n">
        <v>46480</v>
      </c>
      <c r="E1342" s="2" t="s">
        <v>667</v>
      </c>
      <c r="F1342" s="41" t="n">
        <v>7.2171256454389</v>
      </c>
      <c r="G1342" s="31" t="n">
        <v>88.2</v>
      </c>
      <c r="H1342" s="42" t="n">
        <v>0.1208102242585</v>
      </c>
      <c r="I1342" s="31" t="n">
        <v>64.3</v>
      </c>
      <c r="J1342" s="2" t="s">
        <v>2700</v>
      </c>
      <c r="K1342" s="43" t="n">
        <v>0.217936627687665</v>
      </c>
      <c r="L1342" s="31" t="n">
        <v>75.4</v>
      </c>
      <c r="M1342" s="39" t="s">
        <v>671</v>
      </c>
      <c r="N1342" s="2" t="s">
        <v>21</v>
      </c>
      <c r="O1342" s="2" t="s">
        <v>21</v>
      </c>
      <c r="P1342" s="2" t="s">
        <v>21</v>
      </c>
      <c r="Q1342" s="2" t="s">
        <v>21</v>
      </c>
    </row>
    <row r="1343" customFormat="false" ht="15" hidden="false" customHeight="false" outlineLevel="0" collapsed="false">
      <c r="A1343" s="2" t="s">
        <v>410</v>
      </c>
      <c r="B1343" s="2" t="s">
        <v>47</v>
      </c>
      <c r="C1343" s="14" t="s">
        <v>2656</v>
      </c>
      <c r="D1343" s="40" t="n">
        <v>19230</v>
      </c>
      <c r="E1343" s="2" t="s">
        <v>667</v>
      </c>
      <c r="F1343" s="41" t="n">
        <v>0.270826833073323</v>
      </c>
      <c r="G1343" s="31" t="n">
        <v>4</v>
      </c>
      <c r="H1343" s="42" t="n">
        <v>0.162636033857316</v>
      </c>
      <c r="I1343" s="31" t="n">
        <v>81.9</v>
      </c>
      <c r="J1343" s="2" t="s">
        <v>2697</v>
      </c>
      <c r="K1343" s="43" t="n">
        <v>0.0170575692963753</v>
      </c>
      <c r="L1343" s="31" t="n">
        <v>10.9</v>
      </c>
      <c r="M1343" s="39" t="s">
        <v>671</v>
      </c>
      <c r="N1343" s="2" t="s">
        <v>21</v>
      </c>
      <c r="O1343" s="2" t="s">
        <v>21</v>
      </c>
      <c r="P1343" s="2" t="s">
        <v>21</v>
      </c>
      <c r="Q1343" s="2" t="s">
        <v>21</v>
      </c>
    </row>
    <row r="1344" customFormat="false" ht="15" hidden="false" customHeight="false" outlineLevel="0" collapsed="false">
      <c r="A1344" s="2" t="s">
        <v>1399</v>
      </c>
      <c r="B1344" s="2" t="s">
        <v>45</v>
      </c>
      <c r="C1344" s="16"/>
      <c r="D1344" s="29"/>
      <c r="E1344" s="2"/>
      <c r="F1344" s="30"/>
      <c r="G1344" s="31"/>
      <c r="H1344" s="32"/>
      <c r="I1344" s="31"/>
      <c r="J1344" s="2"/>
      <c r="K1344" s="33"/>
      <c r="L1344" s="31"/>
      <c r="M1344" s="34" t="s">
        <v>668</v>
      </c>
      <c r="N1344" s="2"/>
      <c r="O1344" s="2"/>
      <c r="P1344" s="2"/>
      <c r="Q1344" s="2"/>
    </row>
    <row r="1345" customFormat="false" ht="15" hidden="false" customHeight="false" outlineLevel="0" collapsed="false">
      <c r="A1345" s="2" t="s">
        <v>1399</v>
      </c>
      <c r="B1345" s="2" t="s">
        <v>46</v>
      </c>
      <c r="C1345" s="14" t="s">
        <v>1400</v>
      </c>
      <c r="D1345" s="40" t="n">
        <v>1091790</v>
      </c>
      <c r="E1345" s="2" t="s">
        <v>752</v>
      </c>
      <c r="F1345" s="41" t="n">
        <v>10.0371161120728</v>
      </c>
      <c r="G1345" s="31" t="n">
        <v>96.4</v>
      </c>
      <c r="H1345" s="42" t="n">
        <v>0.077863997156735</v>
      </c>
      <c r="I1345" s="31" t="n">
        <v>50</v>
      </c>
      <c r="J1345" s="2" t="s">
        <v>2751</v>
      </c>
      <c r="K1345" s="43" t="n">
        <v>0.277069403711324</v>
      </c>
      <c r="L1345" s="31" t="n">
        <v>86.8</v>
      </c>
      <c r="M1345" s="39" t="s">
        <v>671</v>
      </c>
      <c r="N1345" s="2" t="s">
        <v>21</v>
      </c>
      <c r="O1345" s="2" t="s">
        <v>21</v>
      </c>
      <c r="P1345" s="2" t="s">
        <v>21</v>
      </c>
      <c r="Q1345" s="2" t="s">
        <v>21</v>
      </c>
    </row>
    <row r="1346" customFormat="false" ht="15" hidden="false" customHeight="false" outlineLevel="0" collapsed="false">
      <c r="A1346" s="2" t="s">
        <v>1399</v>
      </c>
      <c r="B1346" s="2" t="s">
        <v>47</v>
      </c>
      <c r="C1346" s="13" t="s">
        <v>2113</v>
      </c>
      <c r="D1346" s="35" t="n">
        <v>38938</v>
      </c>
      <c r="E1346" s="2" t="s">
        <v>667</v>
      </c>
      <c r="F1346" s="36" t="n">
        <v>2.18511479788382</v>
      </c>
      <c r="G1346" s="31" t="n">
        <v>77.9</v>
      </c>
      <c r="H1346" s="37" t="n">
        <v>0.0542304047651279</v>
      </c>
      <c r="I1346" s="31" t="n">
        <v>32.6</v>
      </c>
      <c r="J1346" s="2" t="s">
        <v>2697</v>
      </c>
      <c r="K1346" s="38" t="n">
        <v>0.000683293474547318</v>
      </c>
      <c r="L1346" s="31" t="n">
        <v>1.7</v>
      </c>
      <c r="M1346" s="39" t="s">
        <v>671</v>
      </c>
      <c r="N1346" s="2" t="s">
        <v>19</v>
      </c>
      <c r="O1346" s="2" t="s">
        <v>19</v>
      </c>
      <c r="P1346" s="2" t="s">
        <v>19</v>
      </c>
      <c r="Q1346" s="2" t="s">
        <v>19</v>
      </c>
    </row>
    <row r="1347" customFormat="false" ht="15" hidden="false" customHeight="false" outlineLevel="0" collapsed="false">
      <c r="A1347" s="2" t="s">
        <v>1651</v>
      </c>
      <c r="B1347" s="2" t="s">
        <v>45</v>
      </c>
      <c r="C1347" s="15" t="s">
        <v>3039</v>
      </c>
      <c r="D1347" s="44" t="n">
        <v>686</v>
      </c>
      <c r="E1347" s="2" t="s">
        <v>678</v>
      </c>
      <c r="F1347" s="45" t="n">
        <v>0.0816326530612245</v>
      </c>
      <c r="G1347" s="31" t="n">
        <v>1.9</v>
      </c>
      <c r="H1347" s="46" t="n">
        <v>0.0958466453674121</v>
      </c>
      <c r="I1347" s="31" t="n">
        <v>64.8</v>
      </c>
      <c r="J1347" s="2" t="s">
        <v>2713</v>
      </c>
      <c r="K1347" s="33"/>
      <c r="L1347" s="31"/>
      <c r="M1347" s="34" t="s">
        <v>668</v>
      </c>
      <c r="N1347" s="2" t="s">
        <v>17</v>
      </c>
      <c r="O1347" s="2" t="s">
        <v>17</v>
      </c>
      <c r="P1347" s="2" t="s">
        <v>17</v>
      </c>
      <c r="Q1347" s="2"/>
    </row>
    <row r="1348" customFormat="false" ht="15" hidden="false" customHeight="false" outlineLevel="0" collapsed="false">
      <c r="A1348" s="2" t="s">
        <v>1651</v>
      </c>
      <c r="B1348" s="2" t="s">
        <v>46</v>
      </c>
      <c r="C1348" s="14" t="s">
        <v>1652</v>
      </c>
      <c r="D1348" s="40" t="n">
        <v>1029970</v>
      </c>
      <c r="E1348" s="2" t="s">
        <v>752</v>
      </c>
      <c r="F1348" s="41" t="n">
        <v>3.4240948765498</v>
      </c>
      <c r="G1348" s="31" t="n">
        <v>53.7</v>
      </c>
      <c r="H1348" s="42" t="n">
        <v>0.177323853504641</v>
      </c>
      <c r="I1348" s="31" t="n">
        <v>100</v>
      </c>
      <c r="J1348" s="2" t="s">
        <v>2751</v>
      </c>
      <c r="K1348" s="43" t="n">
        <v>0.112782006492927</v>
      </c>
      <c r="L1348" s="31" t="n">
        <v>37.6</v>
      </c>
      <c r="M1348" s="39" t="s">
        <v>671</v>
      </c>
      <c r="N1348" s="2" t="s">
        <v>21</v>
      </c>
      <c r="O1348" s="2" t="s">
        <v>21</v>
      </c>
      <c r="P1348" s="2" t="s">
        <v>21</v>
      </c>
      <c r="Q1348" s="2" t="s">
        <v>21</v>
      </c>
    </row>
    <row r="1349" customFormat="false" ht="15" hidden="false" customHeight="false" outlineLevel="0" collapsed="false">
      <c r="A1349" s="2" t="s">
        <v>2170</v>
      </c>
      <c r="B1349" s="2" t="s">
        <v>45</v>
      </c>
      <c r="C1349" s="14" t="s">
        <v>3040</v>
      </c>
      <c r="D1349" s="40" t="n">
        <v>97670</v>
      </c>
      <c r="E1349" s="2" t="s">
        <v>667</v>
      </c>
      <c r="F1349" s="41" t="n">
        <v>0.565885123374629</v>
      </c>
      <c r="G1349" s="31" t="n">
        <v>46.8</v>
      </c>
      <c r="H1349" s="42" t="n">
        <v>0.0332169681582566</v>
      </c>
      <c r="I1349" s="31" t="n">
        <v>19.4</v>
      </c>
      <c r="J1349" s="2" t="s">
        <v>2704</v>
      </c>
      <c r="K1349" s="33"/>
      <c r="L1349" s="31"/>
      <c r="M1349" s="34" t="s">
        <v>668</v>
      </c>
      <c r="N1349" s="2" t="s">
        <v>21</v>
      </c>
      <c r="O1349" s="2" t="s">
        <v>21</v>
      </c>
      <c r="P1349" s="2" t="s">
        <v>21</v>
      </c>
      <c r="Q1349" s="2"/>
    </row>
    <row r="1350" customFormat="false" ht="15" hidden="false" customHeight="false" outlineLevel="0" collapsed="false">
      <c r="A1350" s="2" t="s">
        <v>2170</v>
      </c>
      <c r="B1350" s="2" t="s">
        <v>46</v>
      </c>
      <c r="C1350" s="15" t="s">
        <v>3041</v>
      </c>
      <c r="D1350" s="40" t="n">
        <v>35820</v>
      </c>
      <c r="E1350" s="2" t="s">
        <v>667</v>
      </c>
      <c r="F1350" s="41" t="n">
        <v>1.85616973757677</v>
      </c>
      <c r="G1350" s="31" t="n">
        <v>24.1</v>
      </c>
      <c r="H1350" s="42" t="n">
        <v>-0.0167444413944551</v>
      </c>
      <c r="I1350" s="31" t="n">
        <v>9.1</v>
      </c>
      <c r="J1350" s="2" t="s">
        <v>2700</v>
      </c>
      <c r="K1350" s="33"/>
      <c r="L1350" s="31"/>
      <c r="M1350" s="34" t="s">
        <v>668</v>
      </c>
      <c r="N1350" s="2" t="s">
        <v>21</v>
      </c>
      <c r="O1350" s="2" t="s">
        <v>21</v>
      </c>
      <c r="P1350" s="2" t="s">
        <v>21</v>
      </c>
      <c r="Q1350" s="2"/>
    </row>
    <row r="1351" customFormat="false" ht="15" hidden="false" customHeight="false" outlineLevel="0" collapsed="false">
      <c r="A1351" s="2" t="s">
        <v>2170</v>
      </c>
      <c r="B1351" s="2" t="s">
        <v>47</v>
      </c>
      <c r="C1351" s="13" t="s">
        <v>2171</v>
      </c>
      <c r="D1351" s="35" t="n">
        <v>11474</v>
      </c>
      <c r="E1351" s="2" t="s">
        <v>667</v>
      </c>
      <c r="F1351" s="36" t="n">
        <v>1.85244901516472</v>
      </c>
      <c r="G1351" s="31" t="n">
        <v>69.4</v>
      </c>
      <c r="H1351" s="37" t="n">
        <v>0.127001276888321</v>
      </c>
      <c r="I1351" s="31" t="n">
        <v>69.1</v>
      </c>
      <c r="J1351" s="2" t="s">
        <v>2697</v>
      </c>
      <c r="K1351" s="38" t="n">
        <v>0.112328767123288</v>
      </c>
      <c r="L1351" s="31" t="n">
        <v>60</v>
      </c>
      <c r="M1351" s="39" t="s">
        <v>671</v>
      </c>
      <c r="N1351" s="2" t="s">
        <v>19</v>
      </c>
      <c r="O1351" s="2" t="s">
        <v>19</v>
      </c>
      <c r="P1351" s="2" t="s">
        <v>19</v>
      </c>
      <c r="Q1351" s="2" t="s">
        <v>19</v>
      </c>
    </row>
    <row r="1352" customFormat="false" ht="15" hidden="false" customHeight="false" outlineLevel="0" collapsed="false">
      <c r="A1352" s="2" t="s">
        <v>1180</v>
      </c>
      <c r="B1352" s="2" t="s">
        <v>45</v>
      </c>
      <c r="C1352" s="14" t="s">
        <v>1181</v>
      </c>
      <c r="D1352" s="40" t="n">
        <v>133290</v>
      </c>
      <c r="E1352" s="2" t="s">
        <v>670</v>
      </c>
      <c r="F1352" s="41" t="n">
        <v>0.413046740190562</v>
      </c>
      <c r="G1352" s="31" t="n">
        <v>31.2</v>
      </c>
      <c r="H1352" s="42" t="n">
        <v>0.0113817436831323</v>
      </c>
      <c r="I1352" s="31" t="n">
        <v>15.9</v>
      </c>
      <c r="J1352" s="2" t="s">
        <v>2698</v>
      </c>
      <c r="K1352" s="43" t="n">
        <v>0.109097127222982</v>
      </c>
      <c r="L1352" s="31" t="n">
        <v>39.5</v>
      </c>
      <c r="M1352" s="39" t="s">
        <v>671</v>
      </c>
      <c r="N1352" s="2" t="s">
        <v>21</v>
      </c>
      <c r="O1352" s="2" t="s">
        <v>21</v>
      </c>
      <c r="P1352" s="2" t="s">
        <v>21</v>
      </c>
      <c r="Q1352" s="2" t="s">
        <v>21</v>
      </c>
    </row>
    <row r="1353" customFormat="false" ht="15" hidden="false" customHeight="false" outlineLevel="0" collapsed="false">
      <c r="A1353" s="2" t="s">
        <v>1180</v>
      </c>
      <c r="B1353" s="2" t="s">
        <v>46</v>
      </c>
      <c r="C1353" s="14" t="s">
        <v>3042</v>
      </c>
      <c r="D1353" s="40" t="n">
        <v>54040</v>
      </c>
      <c r="E1353" s="2" t="s">
        <v>667</v>
      </c>
      <c r="F1353" s="41" t="n">
        <v>3.97710954848261</v>
      </c>
      <c r="G1353" s="31" t="n">
        <v>62.4</v>
      </c>
      <c r="H1353" s="42" t="n">
        <v>0.0468810538550949</v>
      </c>
      <c r="I1353" s="31" t="n">
        <v>26.6</v>
      </c>
      <c r="J1353" s="2" t="s">
        <v>2700</v>
      </c>
      <c r="K1353" s="33"/>
      <c r="L1353" s="31"/>
      <c r="M1353" s="34" t="s">
        <v>668</v>
      </c>
      <c r="N1353" s="2" t="s">
        <v>21</v>
      </c>
      <c r="O1353" s="2" t="s">
        <v>21</v>
      </c>
      <c r="P1353" s="2" t="s">
        <v>21</v>
      </c>
      <c r="Q1353" s="2"/>
    </row>
    <row r="1354" customFormat="false" ht="15" hidden="false" customHeight="false" outlineLevel="0" collapsed="false">
      <c r="A1354" s="2" t="s">
        <v>1180</v>
      </c>
      <c r="B1354" s="2" t="s">
        <v>47</v>
      </c>
      <c r="C1354" s="13" t="s">
        <v>2200</v>
      </c>
      <c r="D1354" s="35" t="n">
        <v>156280</v>
      </c>
      <c r="E1354" s="2" t="s">
        <v>670</v>
      </c>
      <c r="F1354" s="36" t="n">
        <v>1.69888021499872</v>
      </c>
      <c r="G1354" s="31" t="n">
        <v>65.4</v>
      </c>
      <c r="H1354" s="37" t="n">
        <v>0.140588394140873</v>
      </c>
      <c r="I1354" s="31" t="n">
        <v>75.3</v>
      </c>
      <c r="J1354" s="2" t="s">
        <v>2701</v>
      </c>
      <c r="K1354" s="38" t="n">
        <v>0.0858749030757302</v>
      </c>
      <c r="L1354" s="31" t="n">
        <v>47.6</v>
      </c>
      <c r="M1354" s="39" t="s">
        <v>671</v>
      </c>
      <c r="N1354" s="2" t="s">
        <v>19</v>
      </c>
      <c r="O1354" s="2" t="s">
        <v>19</v>
      </c>
      <c r="P1354" s="2" t="s">
        <v>19</v>
      </c>
      <c r="Q1354" s="2" t="s">
        <v>19</v>
      </c>
    </row>
    <row r="1355" customFormat="false" ht="15" hidden="false" customHeight="false" outlineLevel="0" collapsed="false">
      <c r="A1355" s="2" t="s">
        <v>1107</v>
      </c>
      <c r="B1355" s="2" t="s">
        <v>45</v>
      </c>
      <c r="C1355" s="14" t="s">
        <v>1108</v>
      </c>
      <c r="D1355" s="40" t="n">
        <v>21930</v>
      </c>
      <c r="E1355" s="2" t="s">
        <v>667</v>
      </c>
      <c r="F1355" s="41" t="n">
        <v>0.500911992704058</v>
      </c>
      <c r="G1355" s="31" t="n">
        <v>41</v>
      </c>
      <c r="H1355" s="42" t="n">
        <v>0.103673880221439</v>
      </c>
      <c r="I1355" s="31" t="n">
        <v>56.7</v>
      </c>
      <c r="J1355" s="2" t="s">
        <v>2704</v>
      </c>
      <c r="K1355" s="43" t="n">
        <v>0.308673469387755</v>
      </c>
      <c r="L1355" s="31" t="n">
        <v>92.5</v>
      </c>
      <c r="M1355" s="39" t="s">
        <v>671</v>
      </c>
      <c r="N1355" s="2" t="s">
        <v>21</v>
      </c>
      <c r="O1355" s="2" t="s">
        <v>21</v>
      </c>
      <c r="P1355" s="2" t="s">
        <v>21</v>
      </c>
      <c r="Q1355" s="2" t="s">
        <v>21</v>
      </c>
    </row>
    <row r="1356" customFormat="false" ht="15" hidden="false" customHeight="false" outlineLevel="0" collapsed="false">
      <c r="A1356" s="2" t="s">
        <v>1107</v>
      </c>
      <c r="B1356" s="2" t="s">
        <v>46</v>
      </c>
      <c r="C1356" s="16"/>
      <c r="D1356" s="29"/>
      <c r="E1356" s="2"/>
      <c r="F1356" s="30"/>
      <c r="G1356" s="31"/>
      <c r="H1356" s="32"/>
      <c r="I1356" s="31"/>
      <c r="J1356" s="2"/>
      <c r="K1356" s="33"/>
      <c r="L1356" s="31"/>
      <c r="M1356" s="34" t="s">
        <v>668</v>
      </c>
      <c r="N1356" s="2"/>
      <c r="O1356" s="2"/>
      <c r="P1356" s="2"/>
      <c r="Q1356" s="2"/>
    </row>
    <row r="1357" customFormat="false" ht="15" hidden="false" customHeight="false" outlineLevel="0" collapsed="false">
      <c r="A1357" s="2" t="s">
        <v>1107</v>
      </c>
      <c r="B1357" s="2" t="s">
        <v>47</v>
      </c>
      <c r="C1357" s="13" t="s">
        <v>1972</v>
      </c>
      <c r="D1357" s="35" t="n">
        <v>3500</v>
      </c>
      <c r="E1357" s="2" t="s">
        <v>678</v>
      </c>
      <c r="F1357" s="36" t="n">
        <v>6.85571428571429</v>
      </c>
      <c r="G1357" s="31" t="n">
        <v>98.7</v>
      </c>
      <c r="H1357" s="37" t="n">
        <v>0.165501165501166</v>
      </c>
      <c r="I1357" s="31" t="n">
        <v>84</v>
      </c>
      <c r="J1357" s="2" t="s">
        <v>2706</v>
      </c>
      <c r="K1357" s="38" t="n">
        <v>0.0627853881278539</v>
      </c>
      <c r="L1357" s="31" t="n">
        <v>37.1</v>
      </c>
      <c r="M1357" s="39" t="s">
        <v>671</v>
      </c>
      <c r="N1357" s="2" t="s">
        <v>19</v>
      </c>
      <c r="O1357" s="2" t="s">
        <v>19</v>
      </c>
      <c r="P1357" s="2" t="s">
        <v>19</v>
      </c>
      <c r="Q1357" s="2" t="s">
        <v>19</v>
      </c>
    </row>
    <row r="1358" customFormat="false" ht="15" hidden="false" customHeight="false" outlineLevel="0" collapsed="false">
      <c r="A1358" s="2" t="s">
        <v>522</v>
      </c>
      <c r="B1358" s="2" t="s">
        <v>45</v>
      </c>
      <c r="C1358" s="13" t="s">
        <v>1286</v>
      </c>
      <c r="D1358" s="35" t="n">
        <v>20468</v>
      </c>
      <c r="E1358" s="2" t="s">
        <v>667</v>
      </c>
      <c r="F1358" s="36" t="n">
        <v>0.273304670705492</v>
      </c>
      <c r="G1358" s="31" t="n">
        <v>15.8</v>
      </c>
      <c r="H1358" s="37" t="n">
        <v>-0.00102494021182098</v>
      </c>
      <c r="I1358" s="31" t="n">
        <v>9.1</v>
      </c>
      <c r="J1358" s="2" t="s">
        <v>2704</v>
      </c>
      <c r="K1358" s="38" t="n">
        <v>0.141752577319588</v>
      </c>
      <c r="L1358" s="31" t="n">
        <v>53</v>
      </c>
      <c r="M1358" s="39" t="s">
        <v>671</v>
      </c>
      <c r="N1358" s="2" t="s">
        <v>19</v>
      </c>
      <c r="O1358" s="2" t="s">
        <v>19</v>
      </c>
      <c r="P1358" s="2" t="s">
        <v>19</v>
      </c>
      <c r="Q1358" s="2" t="s">
        <v>19</v>
      </c>
    </row>
    <row r="1359" customFormat="false" ht="15" hidden="false" customHeight="false" outlineLevel="0" collapsed="false">
      <c r="A1359" s="2" t="s">
        <v>522</v>
      </c>
      <c r="B1359" s="2" t="s">
        <v>46</v>
      </c>
      <c r="C1359" s="13" t="s">
        <v>1937</v>
      </c>
      <c r="D1359" s="35" t="n">
        <v>22013</v>
      </c>
      <c r="E1359" s="2" t="s">
        <v>667</v>
      </c>
      <c r="F1359" s="36" t="n">
        <v>0.979057829464407</v>
      </c>
      <c r="G1359" s="31" t="n">
        <v>5.3</v>
      </c>
      <c r="H1359" s="37" t="n">
        <v>0.0808700775802809</v>
      </c>
      <c r="I1359" s="31" t="n">
        <v>45.6</v>
      </c>
      <c r="J1359" s="2" t="s">
        <v>2700</v>
      </c>
      <c r="K1359" s="38" t="n">
        <v>0.124497991967872</v>
      </c>
      <c r="L1359" s="31" t="n">
        <v>46.9</v>
      </c>
      <c r="M1359" s="39" t="s">
        <v>671</v>
      </c>
      <c r="N1359" s="2" t="s">
        <v>19</v>
      </c>
      <c r="O1359" s="2" t="s">
        <v>19</v>
      </c>
      <c r="P1359" s="2" t="s">
        <v>19</v>
      </c>
      <c r="Q1359" s="2" t="s">
        <v>19</v>
      </c>
    </row>
    <row r="1360" customFormat="false" ht="15" hidden="false" customHeight="false" outlineLevel="0" collapsed="false">
      <c r="A1360" s="2" t="s">
        <v>522</v>
      </c>
      <c r="B1360" s="2" t="s">
        <v>47</v>
      </c>
      <c r="C1360" s="13" t="s">
        <v>2112</v>
      </c>
      <c r="D1360" s="35" t="n">
        <v>34153</v>
      </c>
      <c r="E1360" s="2" t="s">
        <v>667</v>
      </c>
      <c r="F1360" s="36" t="n">
        <v>2.18718706994993</v>
      </c>
      <c r="G1360" s="31" t="n">
        <v>78.1</v>
      </c>
      <c r="H1360" s="37" t="n">
        <v>0.0848765922302341</v>
      </c>
      <c r="I1360" s="31" t="n">
        <v>47.9</v>
      </c>
      <c r="J1360" s="2" t="s">
        <v>2697</v>
      </c>
      <c r="K1360" s="38" t="n">
        <v>0.131703131703132</v>
      </c>
      <c r="L1360" s="31" t="n">
        <v>65.9</v>
      </c>
      <c r="M1360" s="39" t="s">
        <v>671</v>
      </c>
      <c r="N1360" s="2" t="s">
        <v>19</v>
      </c>
      <c r="O1360" s="2" t="s">
        <v>19</v>
      </c>
      <c r="P1360" s="2" t="s">
        <v>19</v>
      </c>
      <c r="Q1360" s="2" t="s">
        <v>19</v>
      </c>
    </row>
    <row r="1361" customFormat="false" ht="15" hidden="false" customHeight="false" outlineLevel="0" collapsed="false">
      <c r="A1361" s="2" t="s">
        <v>1543</v>
      </c>
      <c r="B1361" s="2" t="s">
        <v>45</v>
      </c>
      <c r="C1361" s="15" t="s">
        <v>3043</v>
      </c>
      <c r="D1361" s="44" t="n">
        <v>14935</v>
      </c>
      <c r="E1361" s="2" t="s">
        <v>667</v>
      </c>
      <c r="F1361" s="30"/>
      <c r="G1361" s="31"/>
      <c r="H1361" s="46" t="n">
        <v>0.226391854163245</v>
      </c>
      <c r="I1361" s="31" t="n">
        <v>95.6</v>
      </c>
      <c r="J1361" s="2" t="s">
        <v>2704</v>
      </c>
      <c r="K1361" s="33"/>
      <c r="L1361" s="31"/>
      <c r="M1361" s="34" t="s">
        <v>668</v>
      </c>
      <c r="N1361" s="2" t="s">
        <v>17</v>
      </c>
      <c r="O1361" s="2"/>
      <c r="P1361" s="2" t="s">
        <v>17</v>
      </c>
      <c r="Q1361" s="2"/>
    </row>
    <row r="1362" customFormat="false" ht="15" hidden="false" customHeight="false" outlineLevel="0" collapsed="false">
      <c r="A1362" s="2" t="s">
        <v>1543</v>
      </c>
      <c r="B1362" s="2" t="s">
        <v>46</v>
      </c>
      <c r="C1362" s="14" t="s">
        <v>1544</v>
      </c>
      <c r="D1362" s="40" t="n">
        <v>27330</v>
      </c>
      <c r="E1362" s="2" t="s">
        <v>667</v>
      </c>
      <c r="F1362" s="41" t="n">
        <v>5.11522136845957</v>
      </c>
      <c r="G1362" s="31" t="n">
        <v>74</v>
      </c>
      <c r="H1362" s="42" t="n">
        <v>0.0539915156189742</v>
      </c>
      <c r="I1362" s="31" t="n">
        <v>30.7</v>
      </c>
      <c r="J1362" s="2" t="s">
        <v>2700</v>
      </c>
      <c r="K1362" s="43" t="n">
        <v>0.214481003111153</v>
      </c>
      <c r="L1362" s="31" t="n">
        <v>74.6</v>
      </c>
      <c r="M1362" s="39" t="s">
        <v>671</v>
      </c>
      <c r="N1362" s="2" t="s">
        <v>21</v>
      </c>
      <c r="O1362" s="2" t="s">
        <v>21</v>
      </c>
      <c r="P1362" s="2" t="s">
        <v>21</v>
      </c>
      <c r="Q1362" s="2" t="s">
        <v>21</v>
      </c>
    </row>
    <row r="1363" customFormat="false" ht="15" hidden="false" customHeight="false" outlineLevel="0" collapsed="false">
      <c r="A1363" s="2" t="s">
        <v>1543</v>
      </c>
      <c r="B1363" s="2" t="s">
        <v>47</v>
      </c>
      <c r="C1363" s="13" t="s">
        <v>2308</v>
      </c>
      <c r="D1363" s="35" t="n">
        <v>210286</v>
      </c>
      <c r="E1363" s="2" t="s">
        <v>670</v>
      </c>
      <c r="F1363" s="36" t="n">
        <v>1.25292696613184</v>
      </c>
      <c r="G1363" s="31" t="n">
        <v>51</v>
      </c>
      <c r="H1363" s="37" t="n">
        <v>0.079186681446812</v>
      </c>
      <c r="I1363" s="31" t="n">
        <v>50</v>
      </c>
      <c r="J1363" s="2" t="s">
        <v>2701</v>
      </c>
      <c r="K1363" s="38" t="n">
        <v>0.0929643247540495</v>
      </c>
      <c r="L1363" s="31" t="n">
        <v>50.7</v>
      </c>
      <c r="M1363" s="39" t="s">
        <v>671</v>
      </c>
      <c r="N1363" s="2" t="s">
        <v>19</v>
      </c>
      <c r="O1363" s="2" t="s">
        <v>19</v>
      </c>
      <c r="P1363" s="2" t="s">
        <v>19</v>
      </c>
      <c r="Q1363" s="2" t="s">
        <v>19</v>
      </c>
    </row>
    <row r="1364" customFormat="false" ht="15" hidden="false" customHeight="false" outlineLevel="0" collapsed="false">
      <c r="A1364" s="2" t="s">
        <v>2224</v>
      </c>
      <c r="B1364" s="2" t="s">
        <v>45</v>
      </c>
      <c r="C1364" s="16"/>
      <c r="D1364" s="29"/>
      <c r="E1364" s="2"/>
      <c r="F1364" s="30"/>
      <c r="G1364" s="31"/>
      <c r="H1364" s="32"/>
      <c r="I1364" s="31"/>
      <c r="J1364" s="2"/>
      <c r="K1364" s="33"/>
      <c r="L1364" s="31"/>
      <c r="M1364" s="34" t="s">
        <v>668</v>
      </c>
      <c r="N1364" s="2"/>
      <c r="O1364" s="2"/>
      <c r="P1364" s="2"/>
      <c r="Q1364" s="2"/>
    </row>
    <row r="1365" customFormat="false" ht="15" hidden="false" customHeight="false" outlineLevel="0" collapsed="false">
      <c r="A1365" s="2" t="s">
        <v>2224</v>
      </c>
      <c r="B1365" s="2" t="s">
        <v>46</v>
      </c>
      <c r="C1365" s="16"/>
      <c r="D1365" s="29"/>
      <c r="E1365" s="2"/>
      <c r="F1365" s="30"/>
      <c r="G1365" s="31"/>
      <c r="H1365" s="32"/>
      <c r="I1365" s="31"/>
      <c r="J1365" s="2"/>
      <c r="K1365" s="33"/>
      <c r="L1365" s="31"/>
      <c r="M1365" s="34" t="s">
        <v>668</v>
      </c>
      <c r="N1365" s="2"/>
      <c r="O1365" s="2"/>
      <c r="P1365" s="2"/>
      <c r="Q1365" s="2"/>
    </row>
    <row r="1366" customFormat="false" ht="15" hidden="false" customHeight="false" outlineLevel="0" collapsed="false">
      <c r="A1366" s="2" t="s">
        <v>2224</v>
      </c>
      <c r="B1366" s="2" t="s">
        <v>47</v>
      </c>
      <c r="C1366" s="13" t="s">
        <v>2225</v>
      </c>
      <c r="D1366" s="35" t="n">
        <v>1087719</v>
      </c>
      <c r="E1366" s="2" t="s">
        <v>752</v>
      </c>
      <c r="F1366" s="36" t="n">
        <v>1.59216304946406</v>
      </c>
      <c r="G1366" s="31" t="n">
        <v>62.4</v>
      </c>
      <c r="H1366" s="37" t="n">
        <v>0.102702521867131</v>
      </c>
      <c r="I1366" s="31" t="n">
        <v>80</v>
      </c>
      <c r="J1366" s="2" t="s">
        <v>2738</v>
      </c>
      <c r="K1366" s="38" t="n">
        <v>0.19656596851038</v>
      </c>
      <c r="L1366" s="31" t="n">
        <v>81.9</v>
      </c>
      <c r="M1366" s="39" t="s">
        <v>671</v>
      </c>
      <c r="N1366" s="2" t="s">
        <v>19</v>
      </c>
      <c r="O1366" s="2" t="s">
        <v>19</v>
      </c>
      <c r="P1366" s="2" t="s">
        <v>19</v>
      </c>
      <c r="Q1366" s="2" t="s">
        <v>19</v>
      </c>
    </row>
    <row r="1367" customFormat="false" ht="15" hidden="false" customHeight="false" outlineLevel="0" collapsed="false">
      <c r="A1367" s="2" t="s">
        <v>2394</v>
      </c>
      <c r="B1367" s="2" t="s">
        <v>45</v>
      </c>
      <c r="C1367" s="16"/>
      <c r="D1367" s="29"/>
      <c r="E1367" s="2"/>
      <c r="F1367" s="30"/>
      <c r="G1367" s="31"/>
      <c r="H1367" s="32"/>
      <c r="I1367" s="31"/>
      <c r="J1367" s="2"/>
      <c r="K1367" s="33"/>
      <c r="L1367" s="31"/>
      <c r="M1367" s="34" t="s">
        <v>668</v>
      </c>
      <c r="N1367" s="2"/>
      <c r="O1367" s="2"/>
      <c r="P1367" s="2"/>
      <c r="Q1367" s="2"/>
    </row>
    <row r="1368" customFormat="false" ht="15" hidden="false" customHeight="false" outlineLevel="0" collapsed="false">
      <c r="A1368" s="2" t="s">
        <v>2394</v>
      </c>
      <c r="B1368" s="2" t="s">
        <v>46</v>
      </c>
      <c r="C1368" s="16"/>
      <c r="D1368" s="29"/>
      <c r="E1368" s="2"/>
      <c r="F1368" s="30"/>
      <c r="G1368" s="31"/>
      <c r="H1368" s="32"/>
      <c r="I1368" s="31"/>
      <c r="J1368" s="2"/>
      <c r="K1368" s="33"/>
      <c r="L1368" s="31"/>
      <c r="M1368" s="34" t="s">
        <v>668</v>
      </c>
      <c r="N1368" s="2"/>
      <c r="O1368" s="2"/>
      <c r="P1368" s="2"/>
      <c r="Q1368" s="2"/>
    </row>
    <row r="1369" customFormat="false" ht="15" hidden="false" customHeight="false" outlineLevel="0" collapsed="false">
      <c r="A1369" s="2" t="s">
        <v>2394</v>
      </c>
      <c r="B1369" s="2" t="s">
        <v>47</v>
      </c>
      <c r="C1369" s="14" t="s">
        <v>2395</v>
      </c>
      <c r="D1369" s="44" t="n">
        <v>7484</v>
      </c>
      <c r="E1369" s="2" t="s">
        <v>678</v>
      </c>
      <c r="F1369" s="45" t="n">
        <v>1.04142169962587</v>
      </c>
      <c r="G1369" s="31" t="n">
        <v>39.7</v>
      </c>
      <c r="H1369" s="46" t="n">
        <v>-0.0267880364109233</v>
      </c>
      <c r="I1369" s="31" t="n">
        <v>4</v>
      </c>
      <c r="J1369" s="2" t="s">
        <v>2706</v>
      </c>
      <c r="K1369" s="43" t="n">
        <v>0.112987012987013</v>
      </c>
      <c r="L1369" s="31" t="n">
        <v>60.2</v>
      </c>
      <c r="M1369" s="39" t="s">
        <v>671</v>
      </c>
      <c r="N1369" s="2" t="s">
        <v>17</v>
      </c>
      <c r="O1369" s="2" t="s">
        <v>17</v>
      </c>
      <c r="P1369" s="2" t="s">
        <v>17</v>
      </c>
      <c r="Q1369" s="2" t="s">
        <v>21</v>
      </c>
    </row>
    <row r="1370" customFormat="false" ht="15" hidden="false" customHeight="false" outlineLevel="0" collapsed="false">
      <c r="A1370" s="2" t="s">
        <v>652</v>
      </c>
      <c r="B1370" s="2" t="s">
        <v>46</v>
      </c>
      <c r="C1370" s="14" t="s">
        <v>1949</v>
      </c>
      <c r="D1370" s="40" t="n">
        <v>544920</v>
      </c>
      <c r="E1370" s="2" t="s">
        <v>670</v>
      </c>
      <c r="F1370" s="41" t="n">
        <v>0.727196652719665</v>
      </c>
      <c r="G1370" s="31" t="n">
        <v>3</v>
      </c>
      <c r="H1370" s="42" t="n">
        <v>0.00475716340303131</v>
      </c>
      <c r="I1370" s="31" t="n">
        <v>12.6</v>
      </c>
      <c r="J1370" s="2" t="s">
        <v>2705</v>
      </c>
      <c r="K1370" s="43" t="n">
        <v>0.14863865048831</v>
      </c>
      <c r="L1370" s="31" t="n">
        <v>56.5</v>
      </c>
      <c r="M1370" s="39" t="s">
        <v>671</v>
      </c>
      <c r="N1370" s="2" t="s">
        <v>21</v>
      </c>
      <c r="O1370" s="2" t="s">
        <v>21</v>
      </c>
      <c r="P1370" s="2" t="s">
        <v>21</v>
      </c>
      <c r="Q1370" s="2" t="s">
        <v>21</v>
      </c>
    </row>
    <row r="1371" customFormat="false" ht="15" hidden="false" customHeight="false" outlineLevel="0" collapsed="false">
      <c r="A1371" s="2" t="s">
        <v>1595</v>
      </c>
      <c r="B1371" s="2" t="s">
        <v>45</v>
      </c>
      <c r="C1371" s="16"/>
      <c r="D1371" s="40" t="n">
        <v>40860</v>
      </c>
      <c r="E1371" s="2" t="s">
        <v>667</v>
      </c>
      <c r="F1371" s="41" t="n">
        <v>1.08509544787078</v>
      </c>
      <c r="G1371" s="31" t="n">
        <v>79.5</v>
      </c>
      <c r="H1371" s="42" t="n">
        <v>0.129665468620404</v>
      </c>
      <c r="I1371" s="31" t="n">
        <v>67.1</v>
      </c>
      <c r="J1371" s="2" t="s">
        <v>2704</v>
      </c>
      <c r="K1371" s="43" t="n">
        <v>0.343428225317989</v>
      </c>
      <c r="L1371" s="31" t="n">
        <v>95.3</v>
      </c>
      <c r="M1371" s="34" t="s">
        <v>668</v>
      </c>
      <c r="N1371" s="2" t="s">
        <v>21</v>
      </c>
      <c r="O1371" s="2" t="s">
        <v>21</v>
      </c>
      <c r="P1371" s="2" t="s">
        <v>21</v>
      </c>
      <c r="Q1371" s="2" t="s">
        <v>21</v>
      </c>
    </row>
    <row r="1372" customFormat="false" ht="15" hidden="false" customHeight="false" outlineLevel="0" collapsed="false">
      <c r="A1372" s="2" t="s">
        <v>1595</v>
      </c>
      <c r="B1372" s="2" t="s">
        <v>46</v>
      </c>
      <c r="C1372" s="14" t="s">
        <v>1596</v>
      </c>
      <c r="D1372" s="40" t="n">
        <v>14790</v>
      </c>
      <c r="E1372" s="2" t="s">
        <v>667</v>
      </c>
      <c r="F1372" s="41" t="n">
        <v>4.2132521974307</v>
      </c>
      <c r="G1372" s="31" t="n">
        <v>65.3</v>
      </c>
      <c r="H1372" s="42" t="n">
        <v>0.0923190546528804</v>
      </c>
      <c r="I1372" s="31" t="n">
        <v>51.9</v>
      </c>
      <c r="J1372" s="2" t="s">
        <v>2700</v>
      </c>
      <c r="K1372" s="43" t="n">
        <v>0.121889498102067</v>
      </c>
      <c r="L1372" s="31" t="n">
        <v>43.8</v>
      </c>
      <c r="M1372" s="39" t="s">
        <v>671</v>
      </c>
      <c r="N1372" s="2" t="s">
        <v>21</v>
      </c>
      <c r="O1372" s="2" t="s">
        <v>21</v>
      </c>
      <c r="P1372" s="2" t="s">
        <v>21</v>
      </c>
      <c r="Q1372" s="2" t="s">
        <v>21</v>
      </c>
    </row>
    <row r="1373" customFormat="false" ht="15" hidden="false" customHeight="false" outlineLevel="0" collapsed="false">
      <c r="A1373" s="2" t="s">
        <v>1595</v>
      </c>
      <c r="B1373" s="2" t="s">
        <v>47</v>
      </c>
      <c r="C1373" s="13" t="s">
        <v>2574</v>
      </c>
      <c r="D1373" s="35" t="n">
        <v>1039689</v>
      </c>
      <c r="E1373" s="2" t="s">
        <v>752</v>
      </c>
      <c r="F1373" s="36" t="n">
        <v>0.592011649637536</v>
      </c>
      <c r="G1373" s="31" t="n">
        <v>16.2</v>
      </c>
      <c r="H1373" s="37" t="n">
        <v>0.137408296374739</v>
      </c>
      <c r="I1373" s="31" t="n">
        <v>90</v>
      </c>
      <c r="J1373" s="2" t="s">
        <v>2738</v>
      </c>
      <c r="K1373" s="38" t="n">
        <v>0.0513292527651219</v>
      </c>
      <c r="L1373" s="31" t="n">
        <v>32</v>
      </c>
      <c r="M1373" s="39" t="s">
        <v>671</v>
      </c>
      <c r="N1373" s="2" t="s">
        <v>19</v>
      </c>
      <c r="O1373" s="2" t="s">
        <v>19</v>
      </c>
      <c r="P1373" s="2" t="s">
        <v>19</v>
      </c>
      <c r="Q1373" s="2" t="s">
        <v>19</v>
      </c>
    </row>
    <row r="1374" customFormat="false" ht="15" hidden="false" customHeight="false" outlineLevel="0" collapsed="false">
      <c r="A1374" s="2" t="s">
        <v>634</v>
      </c>
      <c r="B1374" s="2" t="s">
        <v>47</v>
      </c>
      <c r="C1374" s="13" t="s">
        <v>2628</v>
      </c>
      <c r="D1374" s="35" t="n">
        <v>8371</v>
      </c>
      <c r="E1374" s="2" t="s">
        <v>678</v>
      </c>
      <c r="F1374" s="36" t="n">
        <v>0.436865368534225</v>
      </c>
      <c r="G1374" s="31" t="n">
        <v>9.5</v>
      </c>
      <c r="H1374" s="37" t="n">
        <v>0.190415244596132</v>
      </c>
      <c r="I1374" s="31" t="n">
        <v>88</v>
      </c>
      <c r="J1374" s="2" t="s">
        <v>2706</v>
      </c>
      <c r="K1374" s="38" t="n">
        <v>0.0866141732283465</v>
      </c>
      <c r="L1374" s="31" t="n">
        <v>48</v>
      </c>
      <c r="M1374" s="39" t="s">
        <v>671</v>
      </c>
      <c r="N1374" s="2" t="s">
        <v>19</v>
      </c>
      <c r="O1374" s="2" t="s">
        <v>19</v>
      </c>
      <c r="P1374" s="2" t="s">
        <v>19</v>
      </c>
      <c r="Q1374" s="2" t="s">
        <v>19</v>
      </c>
    </row>
    <row r="1375" customFormat="false" ht="15" hidden="false" customHeight="false" outlineLevel="0" collapsed="false">
      <c r="A1375" s="2" t="s">
        <v>2624</v>
      </c>
      <c r="B1375" s="2" t="s">
        <v>46</v>
      </c>
      <c r="C1375" s="14" t="s">
        <v>3044</v>
      </c>
      <c r="D1375" s="40" t="n">
        <v>12060</v>
      </c>
      <c r="E1375" s="2" t="s">
        <v>667</v>
      </c>
      <c r="F1375" s="41" t="n">
        <v>9.52976782752902</v>
      </c>
      <c r="G1375" s="31" t="n">
        <v>95.1</v>
      </c>
      <c r="H1375" s="42" t="n">
        <v>0.122905027932961</v>
      </c>
      <c r="I1375" s="31" t="n">
        <v>65.1</v>
      </c>
      <c r="J1375" s="2" t="s">
        <v>2700</v>
      </c>
      <c r="K1375" s="33"/>
      <c r="L1375" s="31"/>
      <c r="M1375" s="34" t="s">
        <v>668</v>
      </c>
      <c r="N1375" s="2" t="s">
        <v>21</v>
      </c>
      <c r="O1375" s="2" t="s">
        <v>21</v>
      </c>
      <c r="P1375" s="2" t="s">
        <v>21</v>
      </c>
      <c r="Q1375" s="2"/>
    </row>
    <row r="1376" customFormat="false" ht="15" hidden="false" customHeight="false" outlineLevel="0" collapsed="false">
      <c r="A1376" s="2" t="s">
        <v>2624</v>
      </c>
      <c r="B1376" s="2" t="s">
        <v>47</v>
      </c>
      <c r="C1376" s="13" t="s">
        <v>2625</v>
      </c>
      <c r="D1376" s="35" t="n">
        <v>95257</v>
      </c>
      <c r="E1376" s="2" t="s">
        <v>667</v>
      </c>
      <c r="F1376" s="36" t="n">
        <v>0.472133281543614</v>
      </c>
      <c r="G1376" s="31" t="n">
        <v>10.5</v>
      </c>
      <c r="H1376" s="37" t="n">
        <v>0.194954588790205</v>
      </c>
      <c r="I1376" s="31" t="n">
        <v>92.6</v>
      </c>
      <c r="J1376" s="2" t="s">
        <v>2697</v>
      </c>
      <c r="K1376" s="38" t="n">
        <v>0.220982142857143</v>
      </c>
      <c r="L1376" s="31" t="n">
        <v>86.9</v>
      </c>
      <c r="M1376" s="39" t="s">
        <v>671</v>
      </c>
      <c r="N1376" s="2" t="s">
        <v>19</v>
      </c>
      <c r="O1376" s="2" t="s">
        <v>19</v>
      </c>
      <c r="P1376" s="2" t="s">
        <v>19</v>
      </c>
      <c r="Q1376" s="2" t="s">
        <v>19</v>
      </c>
    </row>
    <row r="1377" customFormat="false" ht="15" hidden="false" customHeight="false" outlineLevel="0" collapsed="false">
      <c r="A1377" s="2" t="s">
        <v>1781</v>
      </c>
      <c r="B1377" s="2" t="s">
        <v>45</v>
      </c>
      <c r="C1377" s="14" t="s">
        <v>3045</v>
      </c>
      <c r="D1377" s="40" t="n">
        <v>24690</v>
      </c>
      <c r="E1377" s="2" t="s">
        <v>667</v>
      </c>
      <c r="F1377" s="41" t="n">
        <v>0.0701903604698258</v>
      </c>
      <c r="G1377" s="31" t="n">
        <v>0.6</v>
      </c>
      <c r="H1377" s="42" t="n">
        <v>0.212076583210604</v>
      </c>
      <c r="I1377" s="31" t="n">
        <v>94</v>
      </c>
      <c r="J1377" s="2" t="s">
        <v>2704</v>
      </c>
      <c r="K1377" s="33"/>
      <c r="L1377" s="31"/>
      <c r="M1377" s="34" t="s">
        <v>668</v>
      </c>
      <c r="N1377" s="2" t="s">
        <v>21</v>
      </c>
      <c r="O1377" s="2" t="s">
        <v>21</v>
      </c>
      <c r="P1377" s="2" t="s">
        <v>21</v>
      </c>
      <c r="Q1377" s="2"/>
    </row>
    <row r="1378" customFormat="false" ht="15" hidden="false" customHeight="false" outlineLevel="0" collapsed="false">
      <c r="A1378" s="2" t="s">
        <v>1781</v>
      </c>
      <c r="B1378" s="2" t="s">
        <v>46</v>
      </c>
      <c r="C1378" s="13" t="s">
        <v>1782</v>
      </c>
      <c r="D1378" s="35" t="n">
        <v>77450</v>
      </c>
      <c r="E1378" s="2" t="s">
        <v>667</v>
      </c>
      <c r="F1378" s="36" t="n">
        <v>2.26608134280181</v>
      </c>
      <c r="G1378" s="31" t="n">
        <v>32.1</v>
      </c>
      <c r="H1378" s="37" t="n">
        <v>6.45619471883272E-005</v>
      </c>
      <c r="I1378" s="31" t="n">
        <v>11.6</v>
      </c>
      <c r="J1378" s="2" t="s">
        <v>2700</v>
      </c>
      <c r="K1378" s="38" t="n">
        <v>0.13910835214447</v>
      </c>
      <c r="L1378" s="31" t="n">
        <v>51.3</v>
      </c>
      <c r="M1378" s="39" t="s">
        <v>671</v>
      </c>
      <c r="N1378" s="2" t="s">
        <v>19</v>
      </c>
      <c r="O1378" s="2" t="s">
        <v>19</v>
      </c>
      <c r="P1378" s="2" t="s">
        <v>19</v>
      </c>
      <c r="Q1378" s="2" t="s">
        <v>19</v>
      </c>
    </row>
    <row r="1379" customFormat="false" ht="15" hidden="false" customHeight="false" outlineLevel="0" collapsed="false">
      <c r="A1379" s="2" t="s">
        <v>1781</v>
      </c>
      <c r="B1379" s="2" t="s">
        <v>47</v>
      </c>
      <c r="C1379" s="13" t="s">
        <v>2494</v>
      </c>
      <c r="D1379" s="35" t="n">
        <v>15904</v>
      </c>
      <c r="E1379" s="2" t="s">
        <v>667</v>
      </c>
      <c r="F1379" s="36" t="n">
        <v>0.805394869215292</v>
      </c>
      <c r="G1379" s="31" t="n">
        <v>27</v>
      </c>
      <c r="H1379" s="37" t="n">
        <v>0.0267269205939316</v>
      </c>
      <c r="I1379" s="31" t="n">
        <v>19.1</v>
      </c>
      <c r="J1379" s="2" t="s">
        <v>2697</v>
      </c>
      <c r="K1379" s="38" t="n">
        <v>0.134228187919463</v>
      </c>
      <c r="L1379" s="31" t="n">
        <v>67</v>
      </c>
      <c r="M1379" s="39" t="s">
        <v>671</v>
      </c>
      <c r="N1379" s="2" t="s">
        <v>19</v>
      </c>
      <c r="O1379" s="2" t="s">
        <v>19</v>
      </c>
      <c r="P1379" s="2" t="s">
        <v>19</v>
      </c>
      <c r="Q1379" s="2" t="s">
        <v>19</v>
      </c>
    </row>
    <row r="1380" customFormat="false" ht="15" hidden="false" customHeight="false" outlineLevel="0" collapsed="false">
      <c r="A1380" s="2" t="s">
        <v>1032</v>
      </c>
      <c r="B1380" s="2" t="s">
        <v>45</v>
      </c>
      <c r="C1380" s="13" t="s">
        <v>1033</v>
      </c>
      <c r="D1380" s="35" t="n">
        <v>858793</v>
      </c>
      <c r="E1380" s="2" t="s">
        <v>670</v>
      </c>
      <c r="F1380" s="36" t="n">
        <v>0.623019749811654</v>
      </c>
      <c r="G1380" s="31" t="n">
        <v>51.1</v>
      </c>
      <c r="H1380" s="37" t="n">
        <v>-0.0912608805148576</v>
      </c>
      <c r="I1380" s="31" t="n">
        <v>3.6</v>
      </c>
      <c r="J1380" s="2" t="s">
        <v>2698</v>
      </c>
      <c r="K1380" s="38" t="n">
        <v>0.102346178177517</v>
      </c>
      <c r="L1380" s="31" t="n">
        <v>35.6</v>
      </c>
      <c r="M1380" s="39" t="s">
        <v>671</v>
      </c>
      <c r="N1380" s="2" t="s">
        <v>19</v>
      </c>
      <c r="O1380" s="2" t="s">
        <v>19</v>
      </c>
      <c r="P1380" s="2" t="s">
        <v>19</v>
      </c>
      <c r="Q1380" s="2" t="s">
        <v>19</v>
      </c>
    </row>
    <row r="1381" customFormat="false" ht="15" hidden="false" customHeight="false" outlineLevel="0" collapsed="false">
      <c r="A1381" s="2" t="s">
        <v>1032</v>
      </c>
      <c r="B1381" s="2" t="s">
        <v>46</v>
      </c>
      <c r="C1381" s="13" t="s">
        <v>1425</v>
      </c>
      <c r="D1381" s="35" t="n">
        <v>885856</v>
      </c>
      <c r="E1381" s="2" t="s">
        <v>670</v>
      </c>
      <c r="F1381" s="36" t="n">
        <v>8.37270504461222</v>
      </c>
      <c r="G1381" s="31" t="n">
        <v>91.8</v>
      </c>
      <c r="H1381" s="37" t="n">
        <v>0.0267722814508819</v>
      </c>
      <c r="I1381" s="31" t="n">
        <v>19.9</v>
      </c>
      <c r="J1381" s="2" t="s">
        <v>2705</v>
      </c>
      <c r="K1381" s="38" t="n">
        <v>0.0645961288822584</v>
      </c>
      <c r="L1381" s="31" t="n">
        <v>20.2</v>
      </c>
      <c r="M1381" s="39" t="s">
        <v>671</v>
      </c>
      <c r="N1381" s="2" t="s">
        <v>19</v>
      </c>
      <c r="O1381" s="2" t="s">
        <v>19</v>
      </c>
      <c r="P1381" s="2" t="s">
        <v>19</v>
      </c>
      <c r="Q1381" s="2" t="s">
        <v>19</v>
      </c>
    </row>
    <row r="1382" customFormat="false" ht="15" hidden="false" customHeight="false" outlineLevel="0" collapsed="false">
      <c r="A1382" s="2" t="s">
        <v>1032</v>
      </c>
      <c r="B1382" s="2" t="s">
        <v>47</v>
      </c>
      <c r="C1382" s="16"/>
      <c r="D1382" s="29"/>
      <c r="E1382" s="2"/>
      <c r="F1382" s="30"/>
      <c r="G1382" s="31"/>
      <c r="H1382" s="32"/>
      <c r="I1382" s="31"/>
      <c r="J1382" s="2"/>
      <c r="K1382" s="33"/>
      <c r="L1382" s="31"/>
      <c r="M1382" s="34" t="s">
        <v>668</v>
      </c>
      <c r="N1382" s="2"/>
      <c r="O1382" s="2"/>
      <c r="P1382" s="2"/>
      <c r="Q1382" s="2"/>
    </row>
    <row r="1383" customFormat="false" ht="15" hidden="false" customHeight="false" outlineLevel="0" collapsed="false">
      <c r="A1383" s="2" t="s">
        <v>3046</v>
      </c>
      <c r="B1383" s="2" t="s">
        <v>46</v>
      </c>
      <c r="C1383" s="14" t="s">
        <v>3047</v>
      </c>
      <c r="D1383" s="40" t="n">
        <v>120070</v>
      </c>
      <c r="E1383" s="2" t="s">
        <v>670</v>
      </c>
      <c r="F1383" s="41" t="n">
        <v>3.79039726826018</v>
      </c>
      <c r="G1383" s="31" t="n">
        <v>59.4</v>
      </c>
      <c r="H1383" s="42" t="n">
        <v>0.0656785302209994</v>
      </c>
      <c r="I1383" s="31" t="n">
        <v>39.1</v>
      </c>
      <c r="J1383" s="2" t="s">
        <v>2705</v>
      </c>
      <c r="K1383" s="33"/>
      <c r="L1383" s="31"/>
      <c r="M1383" s="34" t="s">
        <v>668</v>
      </c>
      <c r="N1383" s="2" t="s">
        <v>21</v>
      </c>
      <c r="O1383" s="2" t="s">
        <v>21</v>
      </c>
      <c r="P1383" s="2" t="s">
        <v>21</v>
      </c>
      <c r="Q1383" s="2"/>
    </row>
    <row r="1384" customFormat="false" ht="15" hidden="false" customHeight="false" outlineLevel="0" collapsed="false">
      <c r="A1384" s="2" t="s">
        <v>1509</v>
      </c>
      <c r="B1384" s="2" t="s">
        <v>45</v>
      </c>
      <c r="C1384" s="16"/>
      <c r="D1384" s="29"/>
      <c r="E1384" s="2"/>
      <c r="F1384" s="30"/>
      <c r="G1384" s="31"/>
      <c r="H1384" s="32"/>
      <c r="I1384" s="31"/>
      <c r="J1384" s="2"/>
      <c r="K1384" s="33"/>
      <c r="L1384" s="31"/>
      <c r="M1384" s="34" t="s">
        <v>668</v>
      </c>
      <c r="N1384" s="2"/>
      <c r="O1384" s="2"/>
      <c r="P1384" s="2"/>
      <c r="Q1384" s="2"/>
    </row>
    <row r="1385" customFormat="false" ht="15" hidden="false" customHeight="false" outlineLevel="0" collapsed="false">
      <c r="A1385" s="2" t="s">
        <v>1509</v>
      </c>
      <c r="B1385" s="2" t="s">
        <v>46</v>
      </c>
      <c r="C1385" s="13" t="s">
        <v>1510</v>
      </c>
      <c r="D1385" s="35" t="n">
        <v>4855</v>
      </c>
      <c r="E1385" s="2" t="s">
        <v>678</v>
      </c>
      <c r="F1385" s="36" t="n">
        <v>5.94459320288363</v>
      </c>
      <c r="G1385" s="31" t="n">
        <v>80.3</v>
      </c>
      <c r="H1385" s="37" t="n">
        <v>0.0465617589997844</v>
      </c>
      <c r="I1385" s="31" t="n">
        <v>18.8</v>
      </c>
      <c r="J1385" s="2" t="s">
        <v>2720</v>
      </c>
      <c r="K1385" s="38" t="n">
        <v>0.296713615023474</v>
      </c>
      <c r="L1385" s="31" t="n">
        <v>90.4</v>
      </c>
      <c r="M1385" s="39" t="s">
        <v>671</v>
      </c>
      <c r="N1385" s="2" t="s">
        <v>19</v>
      </c>
      <c r="O1385" s="2" t="s">
        <v>19</v>
      </c>
      <c r="P1385" s="2" t="s">
        <v>19</v>
      </c>
      <c r="Q1385" s="2" t="s">
        <v>19</v>
      </c>
    </row>
    <row r="1386" customFormat="false" ht="15" hidden="false" customHeight="false" outlineLevel="0" collapsed="false">
      <c r="A1386" s="2" t="s">
        <v>1509</v>
      </c>
      <c r="B1386" s="2" t="s">
        <v>47</v>
      </c>
      <c r="C1386" s="13" t="s">
        <v>2442</v>
      </c>
      <c r="D1386" s="35" t="n">
        <v>42439</v>
      </c>
      <c r="E1386" s="2" t="s">
        <v>667</v>
      </c>
      <c r="F1386" s="36" t="n">
        <v>0.928886166026532</v>
      </c>
      <c r="G1386" s="31" t="n">
        <v>33.7</v>
      </c>
      <c r="H1386" s="37" t="n">
        <v>0.229153995423871</v>
      </c>
      <c r="I1386" s="31" t="n">
        <v>96.8</v>
      </c>
      <c r="J1386" s="2" t="s">
        <v>2697</v>
      </c>
      <c r="K1386" s="38" t="n">
        <v>0.0188295165394402</v>
      </c>
      <c r="L1386" s="31" t="n">
        <v>12.2</v>
      </c>
      <c r="M1386" s="39" t="s">
        <v>671</v>
      </c>
      <c r="N1386" s="2" t="s">
        <v>19</v>
      </c>
      <c r="O1386" s="2" t="s">
        <v>19</v>
      </c>
      <c r="P1386" s="2" t="s">
        <v>19</v>
      </c>
      <c r="Q1386" s="2" t="s">
        <v>19</v>
      </c>
    </row>
    <row r="1387" customFormat="false" ht="15" hidden="false" customHeight="false" outlineLevel="0" collapsed="false">
      <c r="A1387" s="2" t="s">
        <v>802</v>
      </c>
      <c r="B1387" s="2" t="s">
        <v>45</v>
      </c>
      <c r="C1387" s="13" t="s">
        <v>803</v>
      </c>
      <c r="D1387" s="35" t="n">
        <v>24453</v>
      </c>
      <c r="E1387" s="2" t="s">
        <v>667</v>
      </c>
      <c r="F1387" s="36" t="n">
        <v>1.2157608473398</v>
      </c>
      <c r="G1387" s="31" t="n">
        <v>83.3</v>
      </c>
      <c r="H1387" s="37" t="n">
        <v>0.0395357734982783</v>
      </c>
      <c r="I1387" s="31" t="n">
        <v>23.8</v>
      </c>
      <c r="J1387" s="2" t="s">
        <v>2704</v>
      </c>
      <c r="K1387" s="47" t="s">
        <v>680</v>
      </c>
      <c r="L1387" s="31"/>
      <c r="M1387" s="39" t="s">
        <v>671</v>
      </c>
      <c r="N1387" s="2" t="s">
        <v>19</v>
      </c>
      <c r="O1387" s="2" t="s">
        <v>19</v>
      </c>
      <c r="P1387" s="2" t="s">
        <v>19</v>
      </c>
      <c r="Q1387" s="2" t="s">
        <v>2715</v>
      </c>
    </row>
    <row r="1388" customFormat="false" ht="15" hidden="false" customHeight="false" outlineLevel="0" collapsed="false">
      <c r="A1388" s="2" t="s">
        <v>802</v>
      </c>
      <c r="B1388" s="2" t="s">
        <v>46</v>
      </c>
      <c r="C1388" s="15" t="s">
        <v>3048</v>
      </c>
      <c r="D1388" s="44" t="n">
        <v>8422</v>
      </c>
      <c r="E1388" s="2" t="s">
        <v>678</v>
      </c>
      <c r="F1388" s="30"/>
      <c r="G1388" s="31"/>
      <c r="H1388" s="32"/>
      <c r="I1388" s="31"/>
      <c r="J1388" s="2"/>
      <c r="K1388" s="33"/>
      <c r="L1388" s="31"/>
      <c r="M1388" s="34" t="s">
        <v>668</v>
      </c>
      <c r="N1388" s="2" t="s">
        <v>17</v>
      </c>
      <c r="O1388" s="2"/>
      <c r="P1388" s="2"/>
      <c r="Q1388" s="2"/>
    </row>
    <row r="1389" customFormat="false" ht="15" hidden="false" customHeight="false" outlineLevel="0" collapsed="false">
      <c r="A1389" s="2" t="s">
        <v>802</v>
      </c>
      <c r="B1389" s="2" t="s">
        <v>47</v>
      </c>
      <c r="C1389" s="13" t="s">
        <v>3049</v>
      </c>
      <c r="D1389" s="35" t="n">
        <v>16437</v>
      </c>
      <c r="E1389" s="2" t="s">
        <v>667</v>
      </c>
      <c r="F1389" s="36" t="n">
        <v>1.32353835858125</v>
      </c>
      <c r="G1389" s="31" t="n">
        <v>53.2</v>
      </c>
      <c r="H1389" s="37" t="n">
        <v>0.196201149843534</v>
      </c>
      <c r="I1389" s="31" t="n">
        <v>92.9</v>
      </c>
      <c r="J1389" s="2" t="s">
        <v>2697</v>
      </c>
      <c r="K1389" s="33"/>
      <c r="L1389" s="31"/>
      <c r="M1389" s="34" t="s">
        <v>668</v>
      </c>
      <c r="N1389" s="2" t="s">
        <v>19</v>
      </c>
      <c r="O1389" s="2" t="s">
        <v>19</v>
      </c>
      <c r="P1389" s="2" t="s">
        <v>19</v>
      </c>
      <c r="Q1389" s="2"/>
    </row>
    <row r="1390" customFormat="false" ht="15" hidden="false" customHeight="false" outlineLevel="0" collapsed="false">
      <c r="A1390" s="2" t="s">
        <v>268</v>
      </c>
      <c r="B1390" s="2" t="s">
        <v>45</v>
      </c>
      <c r="C1390" s="14" t="s">
        <v>794</v>
      </c>
      <c r="D1390" s="40" t="n">
        <v>4560</v>
      </c>
      <c r="E1390" s="2" t="s">
        <v>678</v>
      </c>
      <c r="F1390" s="41" t="n">
        <v>1.27828947368421</v>
      </c>
      <c r="G1390" s="31" t="n">
        <v>84.2</v>
      </c>
      <c r="H1390" s="46" t="n">
        <v>0.0593942262186465</v>
      </c>
      <c r="I1390" s="31" t="n">
        <v>33.3</v>
      </c>
      <c r="J1390" s="2" t="s">
        <v>2713</v>
      </c>
      <c r="K1390" s="47" t="s">
        <v>680</v>
      </c>
      <c r="L1390" s="31"/>
      <c r="M1390" s="39" t="s">
        <v>671</v>
      </c>
      <c r="N1390" s="2" t="s">
        <v>21</v>
      </c>
      <c r="O1390" s="2" t="s">
        <v>21</v>
      </c>
      <c r="P1390" s="2" t="s">
        <v>17</v>
      </c>
      <c r="Q1390" s="2" t="s">
        <v>2711</v>
      </c>
    </row>
    <row r="1391" customFormat="false" ht="15" hidden="false" customHeight="false" outlineLevel="0" collapsed="false">
      <c r="A1391" s="2" t="s">
        <v>268</v>
      </c>
      <c r="B1391" s="2" t="s">
        <v>46</v>
      </c>
      <c r="C1391" s="13" t="s">
        <v>1378</v>
      </c>
      <c r="D1391" s="35" t="n">
        <v>2246</v>
      </c>
      <c r="E1391" s="2" t="s">
        <v>678</v>
      </c>
      <c r="F1391" s="36" t="n">
        <v>12.5338379341051</v>
      </c>
      <c r="G1391" s="31" t="n">
        <v>98.9</v>
      </c>
      <c r="H1391" s="37" t="n">
        <v>0.230684931506849</v>
      </c>
      <c r="I1391" s="31" t="n">
        <v>97.9</v>
      </c>
      <c r="J1391" s="2" t="s">
        <v>2720</v>
      </c>
      <c r="K1391" s="38" t="n">
        <v>0.235849056603774</v>
      </c>
      <c r="L1391" s="31" t="n">
        <v>79.3</v>
      </c>
      <c r="M1391" s="39" t="s">
        <v>671</v>
      </c>
      <c r="N1391" s="2" t="s">
        <v>19</v>
      </c>
      <c r="O1391" s="2" t="s">
        <v>19</v>
      </c>
      <c r="P1391" s="2" t="s">
        <v>19</v>
      </c>
      <c r="Q1391" s="2" t="s">
        <v>19</v>
      </c>
    </row>
    <row r="1392" customFormat="false" ht="15" hidden="false" customHeight="false" outlineLevel="0" collapsed="false">
      <c r="A1392" s="2" t="s">
        <v>268</v>
      </c>
      <c r="B1392" s="2" t="s">
        <v>47</v>
      </c>
      <c r="C1392" s="13" t="s">
        <v>2675</v>
      </c>
      <c r="D1392" s="35" t="n">
        <v>30599</v>
      </c>
      <c r="E1392" s="2" t="s">
        <v>667</v>
      </c>
      <c r="F1392" s="36" t="n">
        <v>0.230497728683944</v>
      </c>
      <c r="G1392" s="31" t="n">
        <v>1.9</v>
      </c>
      <c r="H1392" s="37" t="n">
        <v>0.170850233412413</v>
      </c>
      <c r="I1392" s="31" t="n">
        <v>87.6</v>
      </c>
      <c r="J1392" s="2" t="s">
        <v>2697</v>
      </c>
      <c r="K1392" s="38" t="n">
        <v>0.015625</v>
      </c>
      <c r="L1392" s="31" t="n">
        <v>10.1</v>
      </c>
      <c r="M1392" s="39" t="s">
        <v>671</v>
      </c>
      <c r="N1392" s="2" t="s">
        <v>19</v>
      </c>
      <c r="O1392" s="2" t="s">
        <v>19</v>
      </c>
      <c r="P1392" s="2" t="s">
        <v>19</v>
      </c>
      <c r="Q1392" s="2" t="s">
        <v>19</v>
      </c>
    </row>
    <row r="1393" customFormat="false" ht="15" hidden="false" customHeight="false" outlineLevel="0" collapsed="false">
      <c r="A1393" s="2" t="s">
        <v>1002</v>
      </c>
      <c r="B1393" s="2" t="s">
        <v>45</v>
      </c>
      <c r="C1393" s="13" t="s">
        <v>1003</v>
      </c>
      <c r="D1393" s="35" t="n">
        <v>206248</v>
      </c>
      <c r="E1393" s="2" t="s">
        <v>670</v>
      </c>
      <c r="F1393" s="36" t="n">
        <v>0.654319072184943</v>
      </c>
      <c r="G1393" s="31" t="n">
        <v>54.7</v>
      </c>
      <c r="H1393" s="37" t="n">
        <v>0.244159181531371</v>
      </c>
      <c r="I1393" s="31" t="n">
        <v>99.3</v>
      </c>
      <c r="J1393" s="2" t="s">
        <v>2698</v>
      </c>
      <c r="K1393" s="38" t="n">
        <v>0.224671358385341</v>
      </c>
      <c r="L1393" s="31" t="n">
        <v>76.8</v>
      </c>
      <c r="M1393" s="39" t="s">
        <v>671</v>
      </c>
      <c r="N1393" s="2" t="s">
        <v>19</v>
      </c>
      <c r="O1393" s="2" t="s">
        <v>19</v>
      </c>
      <c r="P1393" s="2" t="s">
        <v>19</v>
      </c>
      <c r="Q1393" s="2" t="s">
        <v>19</v>
      </c>
    </row>
    <row r="1394" customFormat="false" ht="15" hidden="false" customHeight="false" outlineLevel="0" collapsed="false">
      <c r="A1394" s="2" t="s">
        <v>1002</v>
      </c>
      <c r="B1394" s="2" t="s">
        <v>46</v>
      </c>
      <c r="C1394" s="15" t="s">
        <v>3050</v>
      </c>
      <c r="D1394" s="29"/>
      <c r="E1394" s="2"/>
      <c r="F1394" s="30"/>
      <c r="G1394" s="31"/>
      <c r="H1394" s="32"/>
      <c r="I1394" s="31"/>
      <c r="J1394" s="2"/>
      <c r="K1394" s="33"/>
      <c r="L1394" s="31"/>
      <c r="M1394" s="34" t="s">
        <v>668</v>
      </c>
      <c r="N1394" s="2"/>
      <c r="O1394" s="2"/>
      <c r="P1394" s="2"/>
      <c r="Q1394" s="2"/>
    </row>
    <row r="1395" customFormat="false" ht="15" hidden="false" customHeight="false" outlineLevel="0" collapsed="false">
      <c r="A1395" s="2" t="s">
        <v>1002</v>
      </c>
      <c r="B1395" s="2" t="s">
        <v>47</v>
      </c>
      <c r="C1395" s="13" t="s">
        <v>2303</v>
      </c>
      <c r="D1395" s="35" t="n">
        <v>388471</v>
      </c>
      <c r="E1395" s="2" t="s">
        <v>670</v>
      </c>
      <c r="F1395" s="36" t="n">
        <v>1.27671306223631</v>
      </c>
      <c r="G1395" s="31" t="n">
        <v>51.9</v>
      </c>
      <c r="H1395" s="37" t="n">
        <v>0.0627580150520749</v>
      </c>
      <c r="I1395" s="31" t="n">
        <v>40.4</v>
      </c>
      <c r="J1395" s="2" t="s">
        <v>2701</v>
      </c>
      <c r="K1395" s="38" t="n">
        <v>0.0515148119092981</v>
      </c>
      <c r="L1395" s="31" t="n">
        <v>32.2</v>
      </c>
      <c r="M1395" s="39" t="s">
        <v>671</v>
      </c>
      <c r="N1395" s="2" t="s">
        <v>19</v>
      </c>
      <c r="O1395" s="2" t="s">
        <v>19</v>
      </c>
      <c r="P1395" s="2" t="s">
        <v>19</v>
      </c>
      <c r="Q1395" s="2" t="s">
        <v>19</v>
      </c>
    </row>
    <row r="1396" customFormat="false" ht="15" hidden="false" customHeight="false" outlineLevel="0" collapsed="false">
      <c r="A1396" s="2" t="s">
        <v>2129</v>
      </c>
      <c r="B1396" s="2" t="s">
        <v>45</v>
      </c>
      <c r="C1396" s="15" t="s">
        <v>3051</v>
      </c>
      <c r="D1396" s="44" t="n">
        <v>3782</v>
      </c>
      <c r="E1396" s="2" t="s">
        <v>678</v>
      </c>
      <c r="F1396" s="45" t="n">
        <v>2.41750396615547</v>
      </c>
      <c r="G1396" s="31" t="n">
        <v>96.2</v>
      </c>
      <c r="H1396" s="32"/>
      <c r="I1396" s="31"/>
      <c r="J1396" s="2"/>
      <c r="K1396" s="33"/>
      <c r="L1396" s="31"/>
      <c r="M1396" s="34" t="s">
        <v>668</v>
      </c>
      <c r="N1396" s="2" t="s">
        <v>17</v>
      </c>
      <c r="O1396" s="2" t="s">
        <v>17</v>
      </c>
      <c r="P1396" s="2"/>
      <c r="Q1396" s="2"/>
    </row>
    <row r="1397" customFormat="false" ht="15" hidden="false" customHeight="false" outlineLevel="0" collapsed="false">
      <c r="A1397" s="2" t="s">
        <v>2129</v>
      </c>
      <c r="B1397" s="2" t="s">
        <v>46</v>
      </c>
      <c r="C1397" s="16"/>
      <c r="D1397" s="29"/>
      <c r="E1397" s="2"/>
      <c r="F1397" s="30"/>
      <c r="G1397" s="31"/>
      <c r="H1397" s="32"/>
      <c r="I1397" s="31"/>
      <c r="J1397" s="2"/>
      <c r="K1397" s="33"/>
      <c r="L1397" s="31"/>
      <c r="M1397" s="34" t="s">
        <v>668</v>
      </c>
      <c r="N1397" s="2"/>
      <c r="O1397" s="2"/>
      <c r="P1397" s="2"/>
      <c r="Q1397" s="2"/>
    </row>
    <row r="1398" customFormat="false" ht="15" hidden="false" customHeight="false" outlineLevel="0" collapsed="false">
      <c r="A1398" s="2" t="s">
        <v>2129</v>
      </c>
      <c r="B1398" s="2" t="s">
        <v>47</v>
      </c>
      <c r="C1398" s="13" t="s">
        <v>2130</v>
      </c>
      <c r="D1398" s="40" t="n">
        <v>9770</v>
      </c>
      <c r="E1398" s="2" t="s">
        <v>678</v>
      </c>
      <c r="F1398" s="41" t="n">
        <v>2.07676560900717</v>
      </c>
      <c r="G1398" s="31" t="n">
        <v>75.7</v>
      </c>
      <c r="H1398" s="46" t="n">
        <v>0.136016001882574</v>
      </c>
      <c r="I1398" s="31" t="n">
        <v>65.3</v>
      </c>
      <c r="J1398" s="2" t="s">
        <v>2706</v>
      </c>
      <c r="K1398" s="38" t="n">
        <v>0</v>
      </c>
      <c r="L1398" s="31" t="n">
        <v>0.7</v>
      </c>
      <c r="M1398" s="39" t="s">
        <v>671</v>
      </c>
      <c r="N1398" s="2" t="s">
        <v>21</v>
      </c>
      <c r="O1398" s="2" t="s">
        <v>21</v>
      </c>
      <c r="P1398" s="2" t="s">
        <v>17</v>
      </c>
      <c r="Q1398" s="2" t="s">
        <v>19</v>
      </c>
    </row>
    <row r="1399" customFormat="false" ht="15" hidden="false" customHeight="false" outlineLevel="0" collapsed="false">
      <c r="A1399" s="2" t="s">
        <v>286</v>
      </c>
      <c r="B1399" s="2" t="s">
        <v>45</v>
      </c>
      <c r="C1399" s="13" t="s">
        <v>763</v>
      </c>
      <c r="D1399" s="35" t="n">
        <v>10633</v>
      </c>
      <c r="E1399" s="2" t="s">
        <v>667</v>
      </c>
      <c r="F1399" s="36" t="n">
        <v>1.47390200319759</v>
      </c>
      <c r="G1399" s="31" t="n">
        <v>88</v>
      </c>
      <c r="H1399" s="37" t="n">
        <v>0.14345628562211</v>
      </c>
      <c r="I1399" s="31" t="n">
        <v>74.6</v>
      </c>
      <c r="J1399" s="2" t="s">
        <v>2704</v>
      </c>
      <c r="K1399" s="38" t="n">
        <v>0.152284263959391</v>
      </c>
      <c r="L1399" s="31" t="n">
        <v>55.8</v>
      </c>
      <c r="M1399" s="39" t="s">
        <v>671</v>
      </c>
      <c r="N1399" s="2" t="s">
        <v>19</v>
      </c>
      <c r="O1399" s="2" t="s">
        <v>19</v>
      </c>
      <c r="P1399" s="2" t="s">
        <v>19</v>
      </c>
      <c r="Q1399" s="2" t="s">
        <v>19</v>
      </c>
    </row>
    <row r="1400" customFormat="false" ht="15" hidden="false" customHeight="false" outlineLevel="0" collapsed="false">
      <c r="A1400" s="2" t="s">
        <v>286</v>
      </c>
      <c r="B1400" s="2" t="s">
        <v>46</v>
      </c>
      <c r="C1400" s="14" t="s">
        <v>1565</v>
      </c>
      <c r="D1400" s="40" t="n">
        <v>5380</v>
      </c>
      <c r="E1400" s="2" t="s">
        <v>678</v>
      </c>
      <c r="F1400" s="41" t="n">
        <v>4.58197026022305</v>
      </c>
      <c r="G1400" s="31" t="n">
        <v>69.6</v>
      </c>
      <c r="H1400" s="42" t="n">
        <v>0.172113289760349</v>
      </c>
      <c r="I1400" s="31" t="n">
        <v>81.2</v>
      </c>
      <c r="J1400" s="2" t="s">
        <v>2720</v>
      </c>
      <c r="K1400" s="43" t="n">
        <v>0.0600198412698413</v>
      </c>
      <c r="L1400" s="31" t="n">
        <v>17.4</v>
      </c>
      <c r="M1400" s="39" t="s">
        <v>671</v>
      </c>
      <c r="N1400" s="2" t="s">
        <v>21</v>
      </c>
      <c r="O1400" s="2" t="s">
        <v>21</v>
      </c>
      <c r="P1400" s="2" t="s">
        <v>21</v>
      </c>
      <c r="Q1400" s="2" t="s">
        <v>21</v>
      </c>
    </row>
    <row r="1401" customFormat="false" ht="15" hidden="false" customHeight="false" outlineLevel="0" collapsed="false">
      <c r="A1401" s="2" t="s">
        <v>286</v>
      </c>
      <c r="B1401" s="2" t="s">
        <v>47</v>
      </c>
      <c r="C1401" s="13" t="s">
        <v>2536</v>
      </c>
      <c r="D1401" s="35" t="n">
        <v>320800</v>
      </c>
      <c r="E1401" s="2" t="s">
        <v>670</v>
      </c>
      <c r="F1401" s="36" t="n">
        <v>0.723893391521197</v>
      </c>
      <c r="G1401" s="31" t="n">
        <v>22.1</v>
      </c>
      <c r="H1401" s="37" t="n">
        <v>-0.0107863754941443</v>
      </c>
      <c r="I1401" s="31" t="n">
        <v>11.4</v>
      </c>
      <c r="J1401" s="2" t="s">
        <v>2701</v>
      </c>
      <c r="K1401" s="38" t="n">
        <v>0.100261500059432</v>
      </c>
      <c r="L1401" s="31" t="n">
        <v>55</v>
      </c>
      <c r="M1401" s="39" t="s">
        <v>671</v>
      </c>
      <c r="N1401" s="2" t="s">
        <v>19</v>
      </c>
      <c r="O1401" s="2" t="s">
        <v>19</v>
      </c>
      <c r="P1401" s="2" t="s">
        <v>19</v>
      </c>
      <c r="Q1401" s="2" t="s">
        <v>19</v>
      </c>
    </row>
    <row r="1402" customFormat="false" ht="15" hidden="false" customHeight="false" outlineLevel="0" collapsed="false">
      <c r="A1402" s="2" t="s">
        <v>2348</v>
      </c>
      <c r="B1402" s="2" t="s">
        <v>45</v>
      </c>
      <c r="C1402" s="16"/>
      <c r="D1402" s="29"/>
      <c r="E1402" s="2"/>
      <c r="F1402" s="30"/>
      <c r="G1402" s="31"/>
      <c r="H1402" s="32"/>
      <c r="I1402" s="31"/>
      <c r="J1402" s="2"/>
      <c r="K1402" s="33"/>
      <c r="L1402" s="31"/>
      <c r="M1402" s="34" t="s">
        <v>668</v>
      </c>
      <c r="N1402" s="2"/>
      <c r="O1402" s="2"/>
      <c r="P1402" s="2"/>
      <c r="Q1402" s="2"/>
    </row>
    <row r="1403" customFormat="false" ht="15" hidden="false" customHeight="false" outlineLevel="0" collapsed="false">
      <c r="A1403" s="2" t="s">
        <v>2348</v>
      </c>
      <c r="B1403" s="2" t="s">
        <v>46</v>
      </c>
      <c r="C1403" s="16"/>
      <c r="D1403" s="29"/>
      <c r="E1403" s="2"/>
      <c r="F1403" s="30"/>
      <c r="G1403" s="31"/>
      <c r="H1403" s="32"/>
      <c r="I1403" s="31"/>
      <c r="J1403" s="2"/>
      <c r="K1403" s="33"/>
      <c r="L1403" s="31"/>
      <c r="M1403" s="34" t="s">
        <v>668</v>
      </c>
      <c r="N1403" s="2"/>
      <c r="O1403" s="2"/>
      <c r="P1403" s="2"/>
      <c r="Q1403" s="2"/>
    </row>
    <row r="1404" customFormat="false" ht="15" hidden="false" customHeight="false" outlineLevel="0" collapsed="false">
      <c r="A1404" s="2" t="s">
        <v>2348</v>
      </c>
      <c r="B1404" s="2" t="s">
        <v>47</v>
      </c>
      <c r="C1404" s="13" t="s">
        <v>2349</v>
      </c>
      <c r="D1404" s="35" t="n">
        <v>39206</v>
      </c>
      <c r="E1404" s="2" t="s">
        <v>667</v>
      </c>
      <c r="F1404" s="36" t="n">
        <v>1.15426210273938</v>
      </c>
      <c r="G1404" s="31" t="n">
        <v>46.4</v>
      </c>
      <c r="H1404" s="37" t="n">
        <v>0.0540097319676318</v>
      </c>
      <c r="I1404" s="31" t="n">
        <v>31.6</v>
      </c>
      <c r="J1404" s="2" t="s">
        <v>2697</v>
      </c>
      <c r="K1404" s="38" t="n">
        <v>0.153734590282814</v>
      </c>
      <c r="L1404" s="31" t="n">
        <v>71.8</v>
      </c>
      <c r="M1404" s="39" t="s">
        <v>671</v>
      </c>
      <c r="N1404" s="2" t="s">
        <v>19</v>
      </c>
      <c r="O1404" s="2" t="s">
        <v>19</v>
      </c>
      <c r="P1404" s="2" t="s">
        <v>19</v>
      </c>
      <c r="Q1404" s="2" t="s">
        <v>19</v>
      </c>
    </row>
    <row r="1405" customFormat="false" ht="15" hidden="false" customHeight="false" outlineLevel="0" collapsed="false">
      <c r="A1405" s="2" t="s">
        <v>3052</v>
      </c>
      <c r="B1405" s="2" t="s">
        <v>46</v>
      </c>
      <c r="C1405" s="14" t="s">
        <v>3053</v>
      </c>
      <c r="D1405" s="40" t="n">
        <v>40960</v>
      </c>
      <c r="E1405" s="2" t="s">
        <v>667</v>
      </c>
      <c r="F1405" s="41" t="n">
        <v>5.19521484375</v>
      </c>
      <c r="G1405" s="31" t="n">
        <v>74.8</v>
      </c>
      <c r="H1405" s="32"/>
      <c r="I1405" s="31"/>
      <c r="J1405" s="2"/>
      <c r="K1405" s="43" t="n">
        <v>0.156476819459884</v>
      </c>
      <c r="L1405" s="31" t="n">
        <v>59.6</v>
      </c>
      <c r="M1405" s="34" t="s">
        <v>668</v>
      </c>
      <c r="N1405" s="2" t="s">
        <v>21</v>
      </c>
      <c r="O1405" s="2" t="s">
        <v>21</v>
      </c>
      <c r="P1405" s="2"/>
      <c r="Q1405" s="2" t="s">
        <v>21</v>
      </c>
    </row>
    <row r="1406" customFormat="false" ht="15" hidden="false" customHeight="false" outlineLevel="0" collapsed="false">
      <c r="A1406" s="2" t="s">
        <v>2444</v>
      </c>
      <c r="B1406" s="2" t="s">
        <v>45</v>
      </c>
      <c r="C1406" s="16"/>
      <c r="D1406" s="29"/>
      <c r="E1406" s="2"/>
      <c r="F1406" s="30"/>
      <c r="G1406" s="31"/>
      <c r="H1406" s="32"/>
      <c r="I1406" s="31"/>
      <c r="J1406" s="2"/>
      <c r="K1406" s="33"/>
      <c r="L1406" s="31"/>
      <c r="M1406" s="34" t="s">
        <v>668</v>
      </c>
      <c r="N1406" s="2"/>
      <c r="O1406" s="2"/>
      <c r="P1406" s="2"/>
      <c r="Q1406" s="2"/>
    </row>
    <row r="1407" customFormat="false" ht="15" hidden="false" customHeight="false" outlineLevel="0" collapsed="false">
      <c r="A1407" s="2" t="s">
        <v>2444</v>
      </c>
      <c r="B1407" s="2" t="s">
        <v>46</v>
      </c>
      <c r="C1407" s="16"/>
      <c r="D1407" s="29"/>
      <c r="E1407" s="2"/>
      <c r="F1407" s="30"/>
      <c r="G1407" s="31"/>
      <c r="H1407" s="32"/>
      <c r="I1407" s="31"/>
      <c r="J1407" s="2"/>
      <c r="K1407" s="33"/>
      <c r="L1407" s="31"/>
      <c r="M1407" s="34" t="s">
        <v>668</v>
      </c>
      <c r="N1407" s="2"/>
      <c r="O1407" s="2"/>
      <c r="P1407" s="2"/>
      <c r="Q1407" s="2"/>
    </row>
    <row r="1408" customFormat="false" ht="15" hidden="false" customHeight="false" outlineLevel="0" collapsed="false">
      <c r="A1408" s="2" t="s">
        <v>2444</v>
      </c>
      <c r="B1408" s="2" t="s">
        <v>47</v>
      </c>
      <c r="C1408" s="13" t="s">
        <v>2445</v>
      </c>
      <c r="D1408" s="35" t="n">
        <v>9764</v>
      </c>
      <c r="E1408" s="2" t="s">
        <v>678</v>
      </c>
      <c r="F1408" s="36" t="n">
        <v>0.925850061450225</v>
      </c>
      <c r="G1408" s="31" t="n">
        <v>33.5</v>
      </c>
      <c r="H1408" s="37" t="n">
        <v>0.137067660416909</v>
      </c>
      <c r="I1408" s="31" t="n">
        <v>66.7</v>
      </c>
      <c r="J1408" s="2" t="s">
        <v>2706</v>
      </c>
      <c r="K1408" s="43" t="n">
        <v>0.0796703296703297</v>
      </c>
      <c r="L1408" s="31" t="n">
        <v>44</v>
      </c>
      <c r="M1408" s="39" t="s">
        <v>671</v>
      </c>
      <c r="N1408" s="2" t="s">
        <v>19</v>
      </c>
      <c r="O1408" s="2" t="s">
        <v>19</v>
      </c>
      <c r="P1408" s="2" t="s">
        <v>19</v>
      </c>
      <c r="Q1408" s="2" t="s">
        <v>21</v>
      </c>
    </row>
    <row r="1409" customFormat="false" ht="15" hidden="false" customHeight="false" outlineLevel="0" collapsed="false">
      <c r="A1409" s="2" t="s">
        <v>314</v>
      </c>
      <c r="B1409" s="2" t="s">
        <v>47</v>
      </c>
      <c r="C1409" s="13" t="s">
        <v>2269</v>
      </c>
      <c r="D1409" s="35" t="n">
        <v>205851</v>
      </c>
      <c r="E1409" s="2" t="s">
        <v>670</v>
      </c>
      <c r="F1409" s="36" t="n">
        <v>1.43200664558346</v>
      </c>
      <c r="G1409" s="31" t="n">
        <v>56.7</v>
      </c>
      <c r="H1409" s="37" t="n">
        <v>0.0664694515104574</v>
      </c>
      <c r="I1409" s="31" t="n">
        <v>42.2</v>
      </c>
      <c r="J1409" s="2" t="s">
        <v>2701</v>
      </c>
      <c r="K1409" s="43" t="n">
        <v>0.130410986167778</v>
      </c>
      <c r="L1409" s="31" t="n">
        <v>65.3</v>
      </c>
      <c r="M1409" s="39" t="s">
        <v>671</v>
      </c>
      <c r="N1409" s="2" t="s">
        <v>19</v>
      </c>
      <c r="O1409" s="2" t="s">
        <v>19</v>
      </c>
      <c r="P1409" s="2" t="s">
        <v>19</v>
      </c>
      <c r="Q1409" s="2" t="s">
        <v>21</v>
      </c>
    </row>
    <row r="1410" customFormat="false" ht="15" hidden="false" customHeight="false" outlineLevel="0" collapsed="false">
      <c r="A1410" s="2" t="s">
        <v>850</v>
      </c>
      <c r="B1410" s="2" t="s">
        <v>45</v>
      </c>
      <c r="C1410" s="13" t="s">
        <v>851</v>
      </c>
      <c r="D1410" s="35" t="n">
        <v>13235</v>
      </c>
      <c r="E1410" s="2" t="s">
        <v>667</v>
      </c>
      <c r="F1410" s="36" t="n">
        <v>0.997279939554212</v>
      </c>
      <c r="G1410" s="31" t="n">
        <v>75.2</v>
      </c>
      <c r="H1410" s="37" t="n">
        <v>0.010151121966112</v>
      </c>
      <c r="I1410" s="31" t="n">
        <v>11.1</v>
      </c>
      <c r="J1410" s="2" t="s">
        <v>2704</v>
      </c>
      <c r="K1410" s="38" t="n">
        <v>0.0425531914893617</v>
      </c>
      <c r="L1410" s="31" t="n">
        <v>10.8</v>
      </c>
      <c r="M1410" s="39" t="s">
        <v>671</v>
      </c>
      <c r="N1410" s="2" t="s">
        <v>19</v>
      </c>
      <c r="O1410" s="2" t="s">
        <v>19</v>
      </c>
      <c r="P1410" s="2" t="s">
        <v>19</v>
      </c>
      <c r="Q1410" s="2" t="s">
        <v>19</v>
      </c>
    </row>
    <row r="1411" customFormat="false" ht="15" hidden="false" customHeight="false" outlineLevel="0" collapsed="false">
      <c r="A1411" s="2" t="s">
        <v>850</v>
      </c>
      <c r="B1411" s="2" t="s">
        <v>46</v>
      </c>
      <c r="C1411" s="15" t="s">
        <v>3054</v>
      </c>
      <c r="D1411" s="44" t="n">
        <v>105153</v>
      </c>
      <c r="E1411" s="2" t="s">
        <v>670</v>
      </c>
      <c r="F1411" s="30"/>
      <c r="G1411" s="31"/>
      <c r="H1411" s="46" t="n">
        <v>0.114038712138067</v>
      </c>
      <c r="I1411" s="31" t="n">
        <v>68.2</v>
      </c>
      <c r="J1411" s="2" t="s">
        <v>2705</v>
      </c>
      <c r="K1411" s="33"/>
      <c r="L1411" s="31"/>
      <c r="M1411" s="34" t="s">
        <v>668</v>
      </c>
      <c r="N1411" s="2" t="s">
        <v>17</v>
      </c>
      <c r="O1411" s="2"/>
      <c r="P1411" s="2" t="s">
        <v>17</v>
      </c>
      <c r="Q1411" s="2"/>
    </row>
    <row r="1412" customFormat="false" ht="15" hidden="false" customHeight="false" outlineLevel="0" collapsed="false">
      <c r="A1412" s="2" t="s">
        <v>850</v>
      </c>
      <c r="B1412" s="2" t="s">
        <v>47</v>
      </c>
      <c r="C1412" s="15" t="s">
        <v>3055</v>
      </c>
      <c r="D1412" s="44" t="n">
        <v>89904</v>
      </c>
      <c r="E1412" s="2" t="s">
        <v>667</v>
      </c>
      <c r="F1412" s="30"/>
      <c r="G1412" s="31"/>
      <c r="H1412" s="46" t="n">
        <v>0.00631296171927468</v>
      </c>
      <c r="I1412" s="31" t="n">
        <v>12.1</v>
      </c>
      <c r="J1412" s="2" t="s">
        <v>2697</v>
      </c>
      <c r="K1412" s="48" t="n">
        <v>0.0381922342457034</v>
      </c>
      <c r="L1412" s="31" t="n">
        <v>24.8</v>
      </c>
      <c r="M1412" s="34" t="s">
        <v>668</v>
      </c>
      <c r="N1412" s="2" t="s">
        <v>17</v>
      </c>
      <c r="O1412" s="2"/>
      <c r="P1412" s="2" t="s">
        <v>17</v>
      </c>
      <c r="Q1412" s="2" t="s">
        <v>17</v>
      </c>
    </row>
    <row r="1413" customFormat="false" ht="15" hidden="false" customHeight="false" outlineLevel="0" collapsed="false">
      <c r="A1413" s="2" t="s">
        <v>1183</v>
      </c>
      <c r="B1413" s="2" t="s">
        <v>45</v>
      </c>
      <c r="C1413" s="13" t="s">
        <v>1184</v>
      </c>
      <c r="D1413" s="35" t="n">
        <v>28938</v>
      </c>
      <c r="E1413" s="2" t="s">
        <v>667</v>
      </c>
      <c r="F1413" s="36" t="n">
        <v>0.411915128896261</v>
      </c>
      <c r="G1413" s="31" t="n">
        <v>30.8</v>
      </c>
      <c r="H1413" s="37" t="n">
        <v>0.10185431976545</v>
      </c>
      <c r="I1413" s="31" t="n">
        <v>55.2</v>
      </c>
      <c r="J1413" s="2" t="s">
        <v>2704</v>
      </c>
      <c r="K1413" s="38" t="n">
        <v>0.172455089820359</v>
      </c>
      <c r="L1413" s="31" t="n">
        <v>61.6</v>
      </c>
      <c r="M1413" s="39" t="s">
        <v>671</v>
      </c>
      <c r="N1413" s="2" t="s">
        <v>19</v>
      </c>
      <c r="O1413" s="2" t="s">
        <v>19</v>
      </c>
      <c r="P1413" s="2" t="s">
        <v>19</v>
      </c>
      <c r="Q1413" s="2" t="s">
        <v>19</v>
      </c>
    </row>
    <row r="1414" customFormat="false" ht="15" hidden="false" customHeight="false" outlineLevel="0" collapsed="false">
      <c r="A1414" s="2" t="s">
        <v>1183</v>
      </c>
      <c r="B1414" s="2" t="s">
        <v>46</v>
      </c>
      <c r="C1414" s="14" t="s">
        <v>3056</v>
      </c>
      <c r="D1414" s="40" t="n">
        <v>163370</v>
      </c>
      <c r="E1414" s="2" t="s">
        <v>670</v>
      </c>
      <c r="F1414" s="30"/>
      <c r="G1414" s="31"/>
      <c r="H1414" s="42" t="n">
        <v>0.207197221606444</v>
      </c>
      <c r="I1414" s="31" t="n">
        <v>96.7</v>
      </c>
      <c r="J1414" s="2" t="s">
        <v>2705</v>
      </c>
      <c r="K1414" s="33"/>
      <c r="L1414" s="31"/>
      <c r="M1414" s="34" t="s">
        <v>668</v>
      </c>
      <c r="N1414" s="2" t="s">
        <v>21</v>
      </c>
      <c r="O1414" s="2"/>
      <c r="P1414" s="2" t="s">
        <v>21</v>
      </c>
      <c r="Q1414" s="2"/>
    </row>
    <row r="1415" customFormat="false" ht="15" hidden="false" customHeight="false" outlineLevel="0" collapsed="false">
      <c r="A1415" s="2" t="s">
        <v>1976</v>
      </c>
      <c r="B1415" s="2" t="s">
        <v>46</v>
      </c>
      <c r="C1415" s="16"/>
      <c r="D1415" s="29"/>
      <c r="E1415" s="2"/>
      <c r="F1415" s="30"/>
      <c r="G1415" s="31"/>
      <c r="H1415" s="32"/>
      <c r="I1415" s="31"/>
      <c r="J1415" s="2"/>
      <c r="K1415" s="33"/>
      <c r="L1415" s="31"/>
      <c r="M1415" s="34" t="s">
        <v>668</v>
      </c>
      <c r="N1415" s="2"/>
      <c r="O1415" s="2"/>
      <c r="P1415" s="2"/>
      <c r="Q1415" s="2"/>
    </row>
    <row r="1416" customFormat="false" ht="15" hidden="false" customHeight="false" outlineLevel="0" collapsed="false">
      <c r="A1416" s="2" t="s">
        <v>1976</v>
      </c>
      <c r="B1416" s="2" t="s">
        <v>47</v>
      </c>
      <c r="C1416" s="13" t="s">
        <v>1977</v>
      </c>
      <c r="D1416" s="35" t="n">
        <v>37608</v>
      </c>
      <c r="E1416" s="2" t="s">
        <v>667</v>
      </c>
      <c r="F1416" s="36" t="n">
        <v>5.75582322910019</v>
      </c>
      <c r="G1416" s="31" t="n">
        <v>98.1</v>
      </c>
      <c r="H1416" s="37" t="n">
        <v>0.0924618736383442</v>
      </c>
      <c r="I1416" s="31" t="n">
        <v>53.2</v>
      </c>
      <c r="J1416" s="2" t="s">
        <v>2697</v>
      </c>
      <c r="K1416" s="38" t="n">
        <v>0.0799749544626594</v>
      </c>
      <c r="L1416" s="31" t="n">
        <v>44.2</v>
      </c>
      <c r="M1416" s="39" t="s">
        <v>671</v>
      </c>
      <c r="N1416" s="2" t="s">
        <v>19</v>
      </c>
      <c r="O1416" s="2" t="s">
        <v>19</v>
      </c>
      <c r="P1416" s="2" t="s">
        <v>19</v>
      </c>
      <c r="Q1416" s="2" t="s">
        <v>19</v>
      </c>
    </row>
    <row r="1417" customFormat="false" ht="15" hidden="false" customHeight="false" outlineLevel="0" collapsed="false">
      <c r="A1417" s="2" t="s">
        <v>1262</v>
      </c>
      <c r="B1417" s="2" t="s">
        <v>45</v>
      </c>
      <c r="C1417" s="14" t="s">
        <v>1263</v>
      </c>
      <c r="D1417" s="40" t="n">
        <v>55910</v>
      </c>
      <c r="E1417" s="2" t="s">
        <v>667</v>
      </c>
      <c r="F1417" s="41" t="n">
        <v>0.308227508495797</v>
      </c>
      <c r="G1417" s="31" t="n">
        <v>19.4</v>
      </c>
      <c r="H1417" s="42" t="n">
        <v>0.0501502629601803</v>
      </c>
      <c r="I1417" s="31" t="n">
        <v>27.8</v>
      </c>
      <c r="J1417" s="2" t="s">
        <v>2704</v>
      </c>
      <c r="K1417" s="43" t="n">
        <v>0.0592592592592593</v>
      </c>
      <c r="L1417" s="31" t="n">
        <v>17.1</v>
      </c>
      <c r="M1417" s="39" t="s">
        <v>671</v>
      </c>
      <c r="N1417" s="2" t="s">
        <v>21</v>
      </c>
      <c r="O1417" s="2" t="s">
        <v>21</v>
      </c>
      <c r="P1417" s="2" t="s">
        <v>21</v>
      </c>
      <c r="Q1417" s="2" t="s">
        <v>21</v>
      </c>
    </row>
    <row r="1418" customFormat="false" ht="15" hidden="false" customHeight="false" outlineLevel="0" collapsed="false">
      <c r="A1418" s="2" t="s">
        <v>1262</v>
      </c>
      <c r="B1418" s="2" t="s">
        <v>46</v>
      </c>
      <c r="C1418" s="16"/>
      <c r="D1418" s="29"/>
      <c r="E1418" s="2"/>
      <c r="F1418" s="30"/>
      <c r="G1418" s="31"/>
      <c r="H1418" s="32"/>
      <c r="I1418" s="31"/>
      <c r="J1418" s="2"/>
      <c r="K1418" s="33"/>
      <c r="L1418" s="31"/>
      <c r="M1418" s="34" t="s">
        <v>668</v>
      </c>
      <c r="N1418" s="2"/>
      <c r="O1418" s="2"/>
      <c r="P1418" s="2"/>
      <c r="Q1418" s="2"/>
    </row>
    <row r="1419" customFormat="false" ht="15" hidden="false" customHeight="false" outlineLevel="0" collapsed="false">
      <c r="A1419" s="2" t="s">
        <v>1262</v>
      </c>
      <c r="B1419" s="2" t="s">
        <v>47</v>
      </c>
      <c r="C1419" s="13" t="s">
        <v>2617</v>
      </c>
      <c r="D1419" s="35" t="n">
        <v>234035</v>
      </c>
      <c r="E1419" s="2" t="s">
        <v>670</v>
      </c>
      <c r="F1419" s="36" t="n">
        <v>0.499933770589869</v>
      </c>
      <c r="G1419" s="31" t="n">
        <v>11.2</v>
      </c>
      <c r="H1419" s="37" t="n">
        <v>0.205135995221372</v>
      </c>
      <c r="I1419" s="31" t="n">
        <v>92.2</v>
      </c>
      <c r="J1419" s="2" t="s">
        <v>2701</v>
      </c>
      <c r="K1419" s="38" t="n">
        <v>0.132142857142857</v>
      </c>
      <c r="L1419" s="31" t="n">
        <v>66.1</v>
      </c>
      <c r="M1419" s="39" t="s">
        <v>671</v>
      </c>
      <c r="N1419" s="2" t="s">
        <v>19</v>
      </c>
      <c r="O1419" s="2" t="s">
        <v>19</v>
      </c>
      <c r="P1419" s="2" t="s">
        <v>19</v>
      </c>
      <c r="Q1419" s="2" t="s">
        <v>19</v>
      </c>
    </row>
    <row r="1420" customFormat="false" ht="15" hidden="false" customHeight="false" outlineLevel="0" collapsed="false">
      <c r="A1420" s="2" t="s">
        <v>1110</v>
      </c>
      <c r="B1420" s="2" t="s">
        <v>45</v>
      </c>
      <c r="C1420" s="14" t="s">
        <v>1111</v>
      </c>
      <c r="D1420" s="40" t="n">
        <v>16940</v>
      </c>
      <c r="E1420" s="2" t="s">
        <v>667</v>
      </c>
      <c r="F1420" s="41" t="n">
        <v>0.497992916174734</v>
      </c>
      <c r="G1420" s="31" t="n">
        <v>40.6</v>
      </c>
      <c r="H1420" s="42" t="n">
        <v>0.0379901960784314</v>
      </c>
      <c r="I1420" s="31" t="n">
        <v>22.2</v>
      </c>
      <c r="J1420" s="2" t="s">
        <v>2704</v>
      </c>
      <c r="K1420" s="43" t="n">
        <v>0.419475655430712</v>
      </c>
      <c r="L1420" s="31" t="n">
        <v>99.2</v>
      </c>
      <c r="M1420" s="39" t="s">
        <v>671</v>
      </c>
      <c r="N1420" s="2" t="s">
        <v>21</v>
      </c>
      <c r="O1420" s="2" t="s">
        <v>21</v>
      </c>
      <c r="P1420" s="2" t="s">
        <v>21</v>
      </c>
      <c r="Q1420" s="2" t="s">
        <v>21</v>
      </c>
    </row>
    <row r="1421" customFormat="false" ht="15" hidden="false" customHeight="false" outlineLevel="0" collapsed="false">
      <c r="A1421" s="2" t="s">
        <v>1110</v>
      </c>
      <c r="B1421" s="2" t="s">
        <v>46</v>
      </c>
      <c r="C1421" s="14" t="s">
        <v>3057</v>
      </c>
      <c r="D1421" s="29"/>
      <c r="E1421" s="2"/>
      <c r="F1421" s="30"/>
      <c r="G1421" s="31"/>
      <c r="H1421" s="32"/>
      <c r="I1421" s="31"/>
      <c r="J1421" s="2"/>
      <c r="K1421" s="43" t="n">
        <v>0.145214521452145</v>
      </c>
      <c r="L1421" s="31" t="n">
        <v>54.4</v>
      </c>
      <c r="M1421" s="34" t="s">
        <v>668</v>
      </c>
      <c r="N1421" s="2"/>
      <c r="O1421" s="2"/>
      <c r="P1421" s="2"/>
      <c r="Q1421" s="2" t="s">
        <v>21</v>
      </c>
    </row>
    <row r="1422" customFormat="false" ht="15" hidden="false" customHeight="false" outlineLevel="0" collapsed="false">
      <c r="A1422" s="2" t="s">
        <v>1110</v>
      </c>
      <c r="B1422" s="2" t="s">
        <v>47</v>
      </c>
      <c r="C1422" s="13" t="s">
        <v>2427</v>
      </c>
      <c r="D1422" s="35" t="n">
        <v>56523</v>
      </c>
      <c r="E1422" s="2" t="s">
        <v>667</v>
      </c>
      <c r="F1422" s="36" t="n">
        <v>0.944606620313855</v>
      </c>
      <c r="G1422" s="31" t="n">
        <v>35</v>
      </c>
      <c r="H1422" s="37" t="n">
        <v>0.107100186073842</v>
      </c>
      <c r="I1422" s="31" t="n">
        <v>57.1</v>
      </c>
      <c r="J1422" s="2" t="s">
        <v>2697</v>
      </c>
      <c r="K1422" s="38" t="n">
        <v>0.243846739406242</v>
      </c>
      <c r="L1422" s="31" t="n">
        <v>91.4</v>
      </c>
      <c r="M1422" s="39" t="s">
        <v>671</v>
      </c>
      <c r="N1422" s="2" t="s">
        <v>19</v>
      </c>
      <c r="O1422" s="2" t="s">
        <v>19</v>
      </c>
      <c r="P1422" s="2" t="s">
        <v>19</v>
      </c>
      <c r="Q1422" s="2" t="s">
        <v>19</v>
      </c>
    </row>
    <row r="1423" customFormat="false" ht="15" hidden="false" customHeight="false" outlineLevel="0" collapsed="false">
      <c r="A1423" s="2" t="s">
        <v>2328</v>
      </c>
      <c r="B1423" s="2" t="s">
        <v>46</v>
      </c>
      <c r="C1423" s="16"/>
      <c r="D1423" s="44" t="n">
        <v>275108</v>
      </c>
      <c r="E1423" s="2" t="s">
        <v>670</v>
      </c>
      <c r="F1423" s="45" t="n">
        <v>6.32061590357242</v>
      </c>
      <c r="G1423" s="31" t="n">
        <v>82.9</v>
      </c>
      <c r="H1423" s="46" t="n">
        <v>0.036629525937593</v>
      </c>
      <c r="I1423" s="31" t="n">
        <v>23.8</v>
      </c>
      <c r="J1423" s="2" t="s">
        <v>2705</v>
      </c>
      <c r="K1423" s="33"/>
      <c r="L1423" s="31"/>
      <c r="M1423" s="34" t="s">
        <v>668</v>
      </c>
      <c r="N1423" s="2" t="s">
        <v>17</v>
      </c>
      <c r="O1423" s="2" t="s">
        <v>17</v>
      </c>
      <c r="P1423" s="2" t="s">
        <v>17</v>
      </c>
      <c r="Q1423" s="2"/>
    </row>
    <row r="1424" customFormat="false" ht="15" hidden="false" customHeight="false" outlineLevel="0" collapsed="false">
      <c r="A1424" s="2" t="s">
        <v>2328</v>
      </c>
      <c r="B1424" s="2" t="s">
        <v>47</v>
      </c>
      <c r="C1424" s="13" t="s">
        <v>2329</v>
      </c>
      <c r="D1424" s="35" t="n">
        <v>109291</v>
      </c>
      <c r="E1424" s="2" t="s">
        <v>670</v>
      </c>
      <c r="F1424" s="36" t="n">
        <v>1.18308003403757</v>
      </c>
      <c r="G1424" s="31" t="n">
        <v>48.3</v>
      </c>
      <c r="H1424" s="37" t="n">
        <v>0.16046039987683</v>
      </c>
      <c r="I1424" s="31" t="n">
        <v>80.1</v>
      </c>
      <c r="J1424" s="2" t="s">
        <v>2701</v>
      </c>
      <c r="K1424" s="38" t="n">
        <v>0.0298303229337712</v>
      </c>
      <c r="L1424" s="31" t="n">
        <v>18.9</v>
      </c>
      <c r="M1424" s="39" t="s">
        <v>671</v>
      </c>
      <c r="N1424" s="2" t="s">
        <v>19</v>
      </c>
      <c r="O1424" s="2" t="s">
        <v>19</v>
      </c>
      <c r="P1424" s="2" t="s">
        <v>19</v>
      </c>
      <c r="Q1424" s="2" t="s">
        <v>19</v>
      </c>
    </row>
    <row r="1425" customFormat="false" ht="15" hidden="false" customHeight="false" outlineLevel="0" collapsed="false">
      <c r="A1425" s="2" t="s">
        <v>3058</v>
      </c>
      <c r="B1425" s="2" t="s">
        <v>46</v>
      </c>
      <c r="C1425" s="14" t="s">
        <v>3059</v>
      </c>
      <c r="D1425" s="40" t="n">
        <v>37700</v>
      </c>
      <c r="E1425" s="2" t="s">
        <v>667</v>
      </c>
      <c r="F1425" s="41" t="n">
        <v>4.75994694960212</v>
      </c>
      <c r="G1425" s="31" t="n">
        <v>71</v>
      </c>
      <c r="H1425" s="42" t="n">
        <v>0.181818181818182</v>
      </c>
      <c r="I1425" s="31" t="n">
        <v>90</v>
      </c>
      <c r="J1425" s="2" t="s">
        <v>2700</v>
      </c>
      <c r="K1425" s="33"/>
      <c r="L1425" s="31"/>
      <c r="M1425" s="34" t="s">
        <v>668</v>
      </c>
      <c r="N1425" s="2" t="s">
        <v>21</v>
      </c>
      <c r="O1425" s="2" t="s">
        <v>21</v>
      </c>
      <c r="P1425" s="2" t="s">
        <v>21</v>
      </c>
      <c r="Q1425" s="2"/>
    </row>
    <row r="1426" customFormat="false" ht="15" hidden="false" customHeight="false" outlineLevel="0" collapsed="false">
      <c r="A1426" s="2" t="s">
        <v>366</v>
      </c>
      <c r="B1426" s="2" t="s">
        <v>45</v>
      </c>
      <c r="C1426" s="14" t="s">
        <v>885</v>
      </c>
      <c r="D1426" s="40" t="n">
        <v>3693110</v>
      </c>
      <c r="E1426" s="2" t="s">
        <v>752</v>
      </c>
      <c r="F1426" s="41" t="n">
        <v>0.90436948804666</v>
      </c>
      <c r="G1426" s="31" t="n">
        <v>71.4</v>
      </c>
      <c r="H1426" s="42" t="n">
        <v>0.132730741390521</v>
      </c>
      <c r="I1426" s="31" t="n">
        <v>68.8</v>
      </c>
      <c r="J1426" s="2" t="s">
        <v>2712</v>
      </c>
      <c r="K1426" s="43" t="n">
        <v>0.0729792482948774</v>
      </c>
      <c r="L1426" s="31" t="n">
        <v>22.9</v>
      </c>
      <c r="M1426" s="39" t="s">
        <v>671</v>
      </c>
      <c r="N1426" s="2" t="s">
        <v>21</v>
      </c>
      <c r="O1426" s="2" t="s">
        <v>21</v>
      </c>
      <c r="P1426" s="2" t="s">
        <v>21</v>
      </c>
      <c r="Q1426" s="2" t="s">
        <v>21</v>
      </c>
    </row>
    <row r="1427" customFormat="false" ht="15" hidden="false" customHeight="false" outlineLevel="0" collapsed="false">
      <c r="A1427" s="2" t="s">
        <v>366</v>
      </c>
      <c r="B1427" s="2" t="s">
        <v>46</v>
      </c>
      <c r="C1427" s="13" t="s">
        <v>1798</v>
      </c>
      <c r="D1427" s="35" t="n">
        <v>115859</v>
      </c>
      <c r="E1427" s="2" t="s">
        <v>670</v>
      </c>
      <c r="F1427" s="36" t="n">
        <v>2.1681354059676</v>
      </c>
      <c r="G1427" s="31" t="n">
        <v>30.2</v>
      </c>
      <c r="H1427" s="37" t="n">
        <v>0.17861466312652</v>
      </c>
      <c r="I1427" s="31" t="n">
        <v>91.4</v>
      </c>
      <c r="J1427" s="2" t="s">
        <v>2705</v>
      </c>
      <c r="K1427" s="38" t="n">
        <v>0.473447098976109</v>
      </c>
      <c r="L1427" s="31" t="n">
        <v>99.5</v>
      </c>
      <c r="M1427" s="39" t="s">
        <v>671</v>
      </c>
      <c r="N1427" s="2" t="s">
        <v>19</v>
      </c>
      <c r="O1427" s="2" t="s">
        <v>19</v>
      </c>
      <c r="P1427" s="2" t="s">
        <v>19</v>
      </c>
      <c r="Q1427" s="2" t="s">
        <v>19</v>
      </c>
    </row>
    <row r="1428" customFormat="false" ht="15" hidden="false" customHeight="false" outlineLevel="0" collapsed="false">
      <c r="A1428" s="2" t="s">
        <v>683</v>
      </c>
      <c r="B1428" s="2" t="s">
        <v>45</v>
      </c>
      <c r="C1428" s="14" t="s">
        <v>684</v>
      </c>
      <c r="D1428" s="40" t="n">
        <v>9870</v>
      </c>
      <c r="E1428" s="2" t="s">
        <v>678</v>
      </c>
      <c r="F1428" s="41" t="n">
        <v>2.92046605876393</v>
      </c>
      <c r="G1428" s="31" t="n">
        <v>98.3</v>
      </c>
      <c r="H1428" s="42" t="n">
        <v>0.0751633986928105</v>
      </c>
      <c r="I1428" s="31" t="n">
        <v>44.4</v>
      </c>
      <c r="J1428" s="2" t="s">
        <v>2713</v>
      </c>
      <c r="K1428" s="43" t="n">
        <v>0.344</v>
      </c>
      <c r="L1428" s="31" t="n">
        <v>95.6</v>
      </c>
      <c r="M1428" s="39" t="s">
        <v>671</v>
      </c>
      <c r="N1428" s="2" t="s">
        <v>21</v>
      </c>
      <c r="O1428" s="2" t="s">
        <v>21</v>
      </c>
      <c r="P1428" s="2" t="s">
        <v>21</v>
      </c>
      <c r="Q1428" s="2" t="s">
        <v>21</v>
      </c>
    </row>
    <row r="1429" customFormat="false" ht="15" hidden="false" customHeight="false" outlineLevel="0" collapsed="false">
      <c r="A1429" s="2" t="s">
        <v>683</v>
      </c>
      <c r="B1429" s="2" t="s">
        <v>46</v>
      </c>
      <c r="C1429" s="16"/>
      <c r="D1429" s="29"/>
      <c r="E1429" s="2"/>
      <c r="F1429" s="30"/>
      <c r="G1429" s="31"/>
      <c r="H1429" s="32"/>
      <c r="I1429" s="31"/>
      <c r="J1429" s="2"/>
      <c r="K1429" s="33"/>
      <c r="L1429" s="31"/>
      <c r="M1429" s="34" t="s">
        <v>668</v>
      </c>
      <c r="N1429" s="2"/>
      <c r="O1429" s="2"/>
      <c r="P1429" s="2"/>
      <c r="Q1429" s="2"/>
    </row>
    <row r="1430" customFormat="false" ht="15" hidden="false" customHeight="false" outlineLevel="0" collapsed="false">
      <c r="A1430" s="2" t="s">
        <v>683</v>
      </c>
      <c r="B1430" s="2" t="s">
        <v>47</v>
      </c>
      <c r="C1430" s="16"/>
      <c r="D1430" s="29"/>
      <c r="E1430" s="2"/>
      <c r="F1430" s="30"/>
      <c r="G1430" s="31"/>
      <c r="H1430" s="32"/>
      <c r="I1430" s="31"/>
      <c r="J1430" s="2"/>
      <c r="K1430" s="33"/>
      <c r="L1430" s="31"/>
      <c r="M1430" s="34" t="s">
        <v>668</v>
      </c>
      <c r="N1430" s="2"/>
      <c r="O1430" s="2"/>
      <c r="P1430" s="2"/>
      <c r="Q1430" s="2"/>
    </row>
    <row r="1431" customFormat="false" ht="15" hidden="false" customHeight="false" outlineLevel="0" collapsed="false">
      <c r="A1431" s="2" t="s">
        <v>187</v>
      </c>
      <c r="B1431" s="2" t="s">
        <v>45</v>
      </c>
      <c r="C1431" s="13" t="s">
        <v>1049</v>
      </c>
      <c r="D1431" s="35" t="n">
        <v>615382</v>
      </c>
      <c r="E1431" s="2" t="s">
        <v>670</v>
      </c>
      <c r="F1431" s="36" t="n">
        <v>0.595521155964913</v>
      </c>
      <c r="G1431" s="31" t="n">
        <v>48.9</v>
      </c>
      <c r="H1431" s="42" t="n">
        <v>-0.04861807470544</v>
      </c>
      <c r="I1431" s="31" t="n">
        <v>7.2</v>
      </c>
      <c r="J1431" s="2" t="s">
        <v>2698</v>
      </c>
      <c r="K1431" s="38" t="n">
        <v>0.151137879461579</v>
      </c>
      <c r="L1431" s="31" t="n">
        <v>55</v>
      </c>
      <c r="M1431" s="39" t="s">
        <v>671</v>
      </c>
      <c r="N1431" s="2" t="s">
        <v>19</v>
      </c>
      <c r="O1431" s="2" t="s">
        <v>19</v>
      </c>
      <c r="P1431" s="2" t="s">
        <v>21</v>
      </c>
      <c r="Q1431" s="2" t="s">
        <v>19</v>
      </c>
    </row>
    <row r="1432" customFormat="false" ht="15" hidden="false" customHeight="false" outlineLevel="0" collapsed="false">
      <c r="A1432" s="2" t="s">
        <v>187</v>
      </c>
      <c r="B1432" s="2" t="s">
        <v>46</v>
      </c>
      <c r="C1432" s="13" t="s">
        <v>1528</v>
      </c>
      <c r="D1432" s="35" t="n">
        <v>23387</v>
      </c>
      <c r="E1432" s="2" t="s">
        <v>667</v>
      </c>
      <c r="F1432" s="36" t="n">
        <v>5.42733142344037</v>
      </c>
      <c r="G1432" s="31" t="n">
        <v>76.7</v>
      </c>
      <c r="H1432" s="37" t="n">
        <v>0.102900259372789</v>
      </c>
      <c r="I1432" s="31" t="n">
        <v>56.4</v>
      </c>
      <c r="J1432" s="2" t="s">
        <v>2700</v>
      </c>
      <c r="K1432" s="43" t="n">
        <v>0.0481198215423837</v>
      </c>
      <c r="L1432" s="31" t="n">
        <v>12.2</v>
      </c>
      <c r="M1432" s="39" t="s">
        <v>671</v>
      </c>
      <c r="N1432" s="2" t="s">
        <v>19</v>
      </c>
      <c r="O1432" s="2" t="s">
        <v>19</v>
      </c>
      <c r="P1432" s="2" t="s">
        <v>19</v>
      </c>
      <c r="Q1432" s="2" t="s">
        <v>21</v>
      </c>
    </row>
    <row r="1433" customFormat="false" ht="15" hidden="false" customHeight="false" outlineLevel="0" collapsed="false">
      <c r="A1433" s="2" t="s">
        <v>187</v>
      </c>
      <c r="B1433" s="2" t="s">
        <v>47</v>
      </c>
      <c r="C1433" s="13" t="s">
        <v>2012</v>
      </c>
      <c r="D1433" s="35" t="n">
        <v>52479</v>
      </c>
      <c r="E1433" s="2" t="s">
        <v>667</v>
      </c>
      <c r="F1433" s="36" t="n">
        <v>3.59421863983689</v>
      </c>
      <c r="G1433" s="31" t="n">
        <v>93</v>
      </c>
      <c r="H1433" s="37" t="n">
        <v>0.055809274720853</v>
      </c>
      <c r="I1433" s="31" t="n">
        <v>33.3</v>
      </c>
      <c r="J1433" s="2" t="s">
        <v>2697</v>
      </c>
      <c r="K1433" s="38" t="n">
        <v>0.33686187467987</v>
      </c>
      <c r="L1433" s="31" t="n">
        <v>97.7</v>
      </c>
      <c r="M1433" s="39" t="s">
        <v>671</v>
      </c>
      <c r="N1433" s="2" t="s">
        <v>19</v>
      </c>
      <c r="O1433" s="2" t="s">
        <v>19</v>
      </c>
      <c r="P1433" s="2" t="s">
        <v>19</v>
      </c>
      <c r="Q1433" s="2" t="s">
        <v>19</v>
      </c>
    </row>
    <row r="1434" customFormat="false" ht="15" hidden="false" customHeight="false" outlineLevel="0" collapsed="false">
      <c r="A1434" s="2" t="s">
        <v>546</v>
      </c>
      <c r="B1434" s="2" t="s">
        <v>45</v>
      </c>
      <c r="C1434" s="14" t="s">
        <v>1363</v>
      </c>
      <c r="D1434" s="40" t="n">
        <v>9660</v>
      </c>
      <c r="E1434" s="2" t="s">
        <v>678</v>
      </c>
      <c r="F1434" s="41" t="n">
        <v>0.107246376811594</v>
      </c>
      <c r="G1434" s="31" t="n">
        <v>2.6</v>
      </c>
      <c r="H1434" s="42" t="n">
        <v>0.169491525423729</v>
      </c>
      <c r="I1434" s="31" t="n">
        <v>87</v>
      </c>
      <c r="J1434" s="2" t="s">
        <v>2713</v>
      </c>
      <c r="K1434" s="43" t="n">
        <v>0</v>
      </c>
      <c r="L1434" s="31" t="n">
        <v>1</v>
      </c>
      <c r="M1434" s="39" t="s">
        <v>671</v>
      </c>
      <c r="N1434" s="2" t="s">
        <v>21</v>
      </c>
      <c r="O1434" s="2" t="s">
        <v>21</v>
      </c>
      <c r="P1434" s="2" t="s">
        <v>21</v>
      </c>
      <c r="Q1434" s="2" t="s">
        <v>21</v>
      </c>
    </row>
    <row r="1435" customFormat="false" ht="15" hidden="false" customHeight="false" outlineLevel="0" collapsed="false">
      <c r="A1435" s="2" t="s">
        <v>546</v>
      </c>
      <c r="B1435" s="2" t="s">
        <v>46</v>
      </c>
      <c r="C1435" s="13" t="s">
        <v>1915</v>
      </c>
      <c r="D1435" s="35" t="n">
        <v>175451</v>
      </c>
      <c r="E1435" s="2" t="s">
        <v>670</v>
      </c>
      <c r="F1435" s="36" t="n">
        <v>1.1890271357815</v>
      </c>
      <c r="G1435" s="31" t="n">
        <v>8.2</v>
      </c>
      <c r="H1435" s="37" t="n">
        <v>0.0744024837569886</v>
      </c>
      <c r="I1435" s="31" t="n">
        <v>47</v>
      </c>
      <c r="J1435" s="2" t="s">
        <v>2705</v>
      </c>
      <c r="K1435" s="38" t="n">
        <v>0.163982699917181</v>
      </c>
      <c r="L1435" s="31" t="n">
        <v>62.4</v>
      </c>
      <c r="M1435" s="39" t="s">
        <v>671</v>
      </c>
      <c r="N1435" s="2" t="s">
        <v>19</v>
      </c>
      <c r="O1435" s="2" t="s">
        <v>19</v>
      </c>
      <c r="P1435" s="2" t="s">
        <v>19</v>
      </c>
      <c r="Q1435" s="2" t="s">
        <v>19</v>
      </c>
    </row>
    <row r="1436" customFormat="false" ht="15" hidden="false" customHeight="false" outlineLevel="0" collapsed="false">
      <c r="A1436" s="2" t="s">
        <v>546</v>
      </c>
      <c r="B1436" s="2" t="s">
        <v>47</v>
      </c>
      <c r="C1436" s="13" t="s">
        <v>2102</v>
      </c>
      <c r="D1436" s="35" t="n">
        <v>69726</v>
      </c>
      <c r="E1436" s="2" t="s">
        <v>667</v>
      </c>
      <c r="F1436" s="36" t="n">
        <v>2.26327338439033</v>
      </c>
      <c r="G1436" s="31" t="n">
        <v>79.7</v>
      </c>
      <c r="H1436" s="37" t="n">
        <v>0.170685023505709</v>
      </c>
      <c r="I1436" s="31" t="n">
        <v>86.9</v>
      </c>
      <c r="J1436" s="2" t="s">
        <v>2697</v>
      </c>
      <c r="K1436" s="38" t="n">
        <v>0.219899944413563</v>
      </c>
      <c r="L1436" s="31" t="n">
        <v>86.7</v>
      </c>
      <c r="M1436" s="39" t="s">
        <v>671</v>
      </c>
      <c r="N1436" s="2" t="s">
        <v>19</v>
      </c>
      <c r="O1436" s="2" t="s">
        <v>19</v>
      </c>
      <c r="P1436" s="2" t="s">
        <v>19</v>
      </c>
      <c r="Q1436" s="2" t="s">
        <v>19</v>
      </c>
    </row>
    <row r="1437" customFormat="false" ht="15" hidden="false" customHeight="false" outlineLevel="0" collapsed="false">
      <c r="A1437" s="2" t="s">
        <v>334</v>
      </c>
      <c r="B1437" s="2" t="s">
        <v>45</v>
      </c>
      <c r="C1437" s="13" t="s">
        <v>687</v>
      </c>
      <c r="D1437" s="35" t="n">
        <v>41042</v>
      </c>
      <c r="E1437" s="2" t="s">
        <v>667</v>
      </c>
      <c r="F1437" s="36" t="n">
        <v>2.70720237805175</v>
      </c>
      <c r="G1437" s="31" t="n">
        <v>97.4</v>
      </c>
      <c r="H1437" s="37" t="n">
        <v>0.0357341139655782</v>
      </c>
      <c r="I1437" s="31" t="n">
        <v>20.6</v>
      </c>
      <c r="J1437" s="2" t="s">
        <v>2704</v>
      </c>
      <c r="K1437" s="38" t="n">
        <v>0.305342315525615</v>
      </c>
      <c r="L1437" s="31" t="n">
        <v>91.7</v>
      </c>
      <c r="M1437" s="39" t="s">
        <v>671</v>
      </c>
      <c r="N1437" s="2" t="s">
        <v>19</v>
      </c>
      <c r="O1437" s="2" t="s">
        <v>19</v>
      </c>
      <c r="P1437" s="2" t="s">
        <v>19</v>
      </c>
      <c r="Q1437" s="2" t="s">
        <v>19</v>
      </c>
    </row>
    <row r="1438" customFormat="false" ht="15" hidden="false" customHeight="false" outlineLevel="0" collapsed="false">
      <c r="A1438" s="2" t="s">
        <v>334</v>
      </c>
      <c r="B1438" s="2" t="s">
        <v>47</v>
      </c>
      <c r="C1438" s="13" t="s">
        <v>2616</v>
      </c>
      <c r="D1438" s="35" t="n">
        <v>29455</v>
      </c>
      <c r="E1438" s="2" t="s">
        <v>667</v>
      </c>
      <c r="F1438" s="36" t="n">
        <v>0.502291631301986</v>
      </c>
      <c r="G1438" s="31" t="n">
        <v>11.4</v>
      </c>
      <c r="H1438" s="37" t="n">
        <v>0.0449111355493278</v>
      </c>
      <c r="I1438" s="31" t="n">
        <v>27.7</v>
      </c>
      <c r="J1438" s="2" t="s">
        <v>2697</v>
      </c>
      <c r="K1438" s="38" t="n">
        <v>0.0290964777947933</v>
      </c>
      <c r="L1438" s="31" t="n">
        <v>18.5</v>
      </c>
      <c r="M1438" s="39" t="s">
        <v>671</v>
      </c>
      <c r="N1438" s="2" t="s">
        <v>19</v>
      </c>
      <c r="O1438" s="2" t="s">
        <v>19</v>
      </c>
      <c r="P1438" s="2" t="s">
        <v>19</v>
      </c>
      <c r="Q1438" s="2" t="s">
        <v>19</v>
      </c>
    </row>
    <row r="1439" customFormat="false" ht="15" hidden="false" customHeight="false" outlineLevel="0" collapsed="false">
      <c r="A1439" s="2" t="s">
        <v>3060</v>
      </c>
      <c r="B1439" s="2" t="s">
        <v>47</v>
      </c>
      <c r="C1439" s="16"/>
      <c r="D1439" s="29"/>
      <c r="E1439" s="2"/>
      <c r="F1439" s="30"/>
      <c r="G1439" s="31"/>
      <c r="H1439" s="32"/>
      <c r="I1439" s="31"/>
      <c r="J1439" s="2"/>
      <c r="K1439" s="33"/>
      <c r="L1439" s="31"/>
      <c r="M1439" s="34" t="s">
        <v>668</v>
      </c>
      <c r="N1439" s="2"/>
      <c r="O1439" s="2"/>
      <c r="P1439" s="2"/>
      <c r="Q1439" s="2"/>
    </row>
    <row r="1440" customFormat="false" ht="15" hidden="false" customHeight="false" outlineLevel="0" collapsed="false">
      <c r="A1440" s="2" t="s">
        <v>614</v>
      </c>
      <c r="B1440" s="2" t="s">
        <v>46</v>
      </c>
      <c r="C1440" s="13" t="s">
        <v>1882</v>
      </c>
      <c r="D1440" s="35" t="n">
        <v>375815</v>
      </c>
      <c r="E1440" s="2" t="s">
        <v>670</v>
      </c>
      <c r="F1440" s="36" t="n">
        <v>1.55920067054269</v>
      </c>
      <c r="G1440" s="31" t="n">
        <v>16.3</v>
      </c>
      <c r="H1440" s="37" t="n">
        <v>-0.10144986443385</v>
      </c>
      <c r="I1440" s="31" t="n">
        <v>0.7</v>
      </c>
      <c r="J1440" s="2" t="s">
        <v>2705</v>
      </c>
      <c r="K1440" s="38" t="n">
        <v>0.234257702417884</v>
      </c>
      <c r="L1440" s="31" t="n">
        <v>78.8</v>
      </c>
      <c r="M1440" s="39" t="s">
        <v>671</v>
      </c>
      <c r="N1440" s="2" t="s">
        <v>19</v>
      </c>
      <c r="O1440" s="2" t="s">
        <v>19</v>
      </c>
      <c r="P1440" s="2" t="s">
        <v>19</v>
      </c>
      <c r="Q1440" s="2" t="s">
        <v>19</v>
      </c>
    </row>
    <row r="1441" customFormat="false" ht="15" hidden="false" customHeight="false" outlineLevel="0" collapsed="false">
      <c r="A1441" s="2" t="s">
        <v>3061</v>
      </c>
      <c r="B1441" s="2" t="s">
        <v>45</v>
      </c>
      <c r="C1441" s="14" t="s">
        <v>3062</v>
      </c>
      <c r="D1441" s="40" t="n">
        <v>24560</v>
      </c>
      <c r="E1441" s="2" t="s">
        <v>667</v>
      </c>
      <c r="F1441" s="30"/>
      <c r="G1441" s="31"/>
      <c r="H1441" s="42" t="n">
        <v>0.140733859730609</v>
      </c>
      <c r="I1441" s="31" t="n">
        <v>73.8</v>
      </c>
      <c r="J1441" s="2" t="s">
        <v>2704</v>
      </c>
      <c r="K1441" s="33"/>
      <c r="L1441" s="31"/>
      <c r="M1441" s="34" t="s">
        <v>668</v>
      </c>
      <c r="N1441" s="2" t="s">
        <v>21</v>
      </c>
      <c r="O1441" s="2"/>
      <c r="P1441" s="2" t="s">
        <v>21</v>
      </c>
      <c r="Q1441" s="2"/>
    </row>
    <row r="1442" customFormat="false" ht="15" hidden="false" customHeight="false" outlineLevel="0" collapsed="false">
      <c r="A1442" s="2" t="s">
        <v>536</v>
      </c>
      <c r="B1442" s="2" t="s">
        <v>46</v>
      </c>
      <c r="C1442" s="13" t="s">
        <v>1906</v>
      </c>
      <c r="D1442" s="35" t="n">
        <v>175762</v>
      </c>
      <c r="E1442" s="2" t="s">
        <v>670</v>
      </c>
      <c r="F1442" s="36" t="n">
        <v>1.28355389674674</v>
      </c>
      <c r="G1442" s="31" t="n">
        <v>10.8</v>
      </c>
      <c r="H1442" s="37" t="n">
        <v>0.0938159278597522</v>
      </c>
      <c r="I1442" s="31" t="n">
        <v>60.9</v>
      </c>
      <c r="J1442" s="2" t="s">
        <v>2705</v>
      </c>
      <c r="K1442" s="38" t="n">
        <v>0.133786505538771</v>
      </c>
      <c r="L1442" s="31" t="n">
        <v>49.7</v>
      </c>
      <c r="M1442" s="39" t="s">
        <v>671</v>
      </c>
      <c r="N1442" s="2" t="s">
        <v>19</v>
      </c>
      <c r="O1442" s="2" t="s">
        <v>19</v>
      </c>
      <c r="P1442" s="2" t="s">
        <v>19</v>
      </c>
      <c r="Q1442" s="2" t="s">
        <v>19</v>
      </c>
    </row>
    <row r="1443" customFormat="false" ht="15" hidden="false" customHeight="false" outlineLevel="0" collapsed="false">
      <c r="A1443" s="2" t="s">
        <v>536</v>
      </c>
      <c r="B1443" s="2" t="s">
        <v>47</v>
      </c>
      <c r="C1443" s="13" t="s">
        <v>2296</v>
      </c>
      <c r="D1443" s="35" t="n">
        <v>117289</v>
      </c>
      <c r="E1443" s="2" t="s">
        <v>670</v>
      </c>
      <c r="F1443" s="36" t="n">
        <v>1.31329451184681</v>
      </c>
      <c r="G1443" s="31" t="n">
        <v>52.9</v>
      </c>
      <c r="H1443" s="37" t="n">
        <v>0.0971842843779233</v>
      </c>
      <c r="I1443" s="31" t="n">
        <v>56.6</v>
      </c>
      <c r="J1443" s="2" t="s">
        <v>2701</v>
      </c>
      <c r="K1443" s="38" t="n">
        <v>0.073003932296119</v>
      </c>
      <c r="L1443" s="31" t="n">
        <v>40.6</v>
      </c>
      <c r="M1443" s="39" t="s">
        <v>671</v>
      </c>
      <c r="N1443" s="2" t="s">
        <v>19</v>
      </c>
      <c r="O1443" s="2" t="s">
        <v>19</v>
      </c>
      <c r="P1443" s="2" t="s">
        <v>19</v>
      </c>
      <c r="Q1443" s="2" t="s">
        <v>19</v>
      </c>
    </row>
    <row r="1444" customFormat="false" ht="15" hidden="false" customHeight="false" outlineLevel="0" collapsed="false">
      <c r="A1444" s="2" t="s">
        <v>616</v>
      </c>
      <c r="B1444" s="2" t="s">
        <v>47</v>
      </c>
      <c r="C1444" s="13" t="s">
        <v>2575</v>
      </c>
      <c r="D1444" s="35" t="n">
        <v>84170</v>
      </c>
      <c r="E1444" s="2" t="s">
        <v>667</v>
      </c>
      <c r="F1444" s="36" t="n">
        <v>0.589117262682666</v>
      </c>
      <c r="G1444" s="31" t="n">
        <v>16</v>
      </c>
      <c r="H1444" s="37" t="n">
        <v>0.0452135255622198</v>
      </c>
      <c r="I1444" s="31" t="n">
        <v>28</v>
      </c>
      <c r="J1444" s="2" t="s">
        <v>2697</v>
      </c>
      <c r="K1444" s="38" t="n">
        <v>0.0280886047042704</v>
      </c>
      <c r="L1444" s="31" t="n">
        <v>17.9</v>
      </c>
      <c r="M1444" s="39" t="s">
        <v>671</v>
      </c>
      <c r="N1444" s="2" t="s">
        <v>19</v>
      </c>
      <c r="O1444" s="2" t="s">
        <v>19</v>
      </c>
      <c r="P1444" s="2" t="s">
        <v>19</v>
      </c>
      <c r="Q1444" s="2" t="s">
        <v>19</v>
      </c>
    </row>
    <row r="1445" customFormat="false" ht="15" hidden="false" customHeight="false" outlineLevel="0" collapsed="false">
      <c r="A1445" s="2" t="s">
        <v>2264</v>
      </c>
      <c r="B1445" s="2" t="s">
        <v>45</v>
      </c>
      <c r="C1445" s="15" t="s">
        <v>3063</v>
      </c>
      <c r="D1445" s="44" t="n">
        <v>44765</v>
      </c>
      <c r="E1445" s="2" t="s">
        <v>667</v>
      </c>
      <c r="F1445" s="45" t="n">
        <v>0.378241930079303</v>
      </c>
      <c r="G1445" s="31" t="n">
        <v>27.8</v>
      </c>
      <c r="H1445" s="46" t="n">
        <v>0.15615072703324</v>
      </c>
      <c r="I1445" s="31" t="n">
        <v>80.2</v>
      </c>
      <c r="J1445" s="2" t="s">
        <v>2704</v>
      </c>
      <c r="K1445" s="33"/>
      <c r="L1445" s="31"/>
      <c r="M1445" s="34" t="s">
        <v>668</v>
      </c>
      <c r="N1445" s="2" t="s">
        <v>17</v>
      </c>
      <c r="O1445" s="2" t="s">
        <v>17</v>
      </c>
      <c r="P1445" s="2" t="s">
        <v>17</v>
      </c>
      <c r="Q1445" s="2"/>
    </row>
    <row r="1446" customFormat="false" ht="15" hidden="false" customHeight="false" outlineLevel="0" collapsed="false">
      <c r="A1446" s="2" t="s">
        <v>2264</v>
      </c>
      <c r="B1446" s="2" t="s">
        <v>47</v>
      </c>
      <c r="C1446" s="13" t="s">
        <v>2265</v>
      </c>
      <c r="D1446" s="35" t="n">
        <v>89305</v>
      </c>
      <c r="E1446" s="2" t="s">
        <v>667</v>
      </c>
      <c r="F1446" s="36" t="n">
        <v>1.44954929735177</v>
      </c>
      <c r="G1446" s="31" t="n">
        <v>57</v>
      </c>
      <c r="H1446" s="37" t="n">
        <v>-0.0951324295296573</v>
      </c>
      <c r="I1446" s="31" t="n">
        <v>0.4</v>
      </c>
      <c r="J1446" s="2" t="s">
        <v>2697</v>
      </c>
      <c r="K1446" s="38" t="n">
        <v>0.171588967537222</v>
      </c>
      <c r="L1446" s="31" t="n">
        <v>77.5</v>
      </c>
      <c r="M1446" s="39" t="s">
        <v>671</v>
      </c>
      <c r="N1446" s="2" t="s">
        <v>19</v>
      </c>
      <c r="O1446" s="2" t="s">
        <v>19</v>
      </c>
      <c r="P1446" s="2" t="s">
        <v>19</v>
      </c>
      <c r="Q1446" s="2" t="s">
        <v>19</v>
      </c>
    </row>
    <row r="1447" customFormat="false" ht="15" hidden="false" customHeight="false" outlineLevel="0" collapsed="false">
      <c r="A1447" s="2" t="s">
        <v>3064</v>
      </c>
      <c r="B1447" s="2" t="s">
        <v>45</v>
      </c>
      <c r="C1447" s="16"/>
      <c r="D1447" s="29"/>
      <c r="E1447" s="2"/>
      <c r="F1447" s="30"/>
      <c r="G1447" s="31"/>
      <c r="H1447" s="32"/>
      <c r="I1447" s="31"/>
      <c r="J1447" s="2"/>
      <c r="K1447" s="33"/>
      <c r="L1447" s="31"/>
      <c r="M1447" s="34" t="s">
        <v>668</v>
      </c>
      <c r="N1447" s="2"/>
      <c r="O1447" s="2"/>
      <c r="P1447" s="2"/>
      <c r="Q1447" s="2"/>
    </row>
    <row r="1448" customFormat="false" ht="15" hidden="false" customHeight="false" outlineLevel="0" collapsed="false">
      <c r="A1448" s="2" t="s">
        <v>1170</v>
      </c>
      <c r="B1448" s="2" t="s">
        <v>45</v>
      </c>
      <c r="C1448" s="14" t="s">
        <v>1171</v>
      </c>
      <c r="D1448" s="40" t="n">
        <v>344260</v>
      </c>
      <c r="E1448" s="2" t="s">
        <v>670</v>
      </c>
      <c r="F1448" s="41" t="n">
        <v>0.418372741532563</v>
      </c>
      <c r="G1448" s="31" t="n">
        <v>32.5</v>
      </c>
      <c r="H1448" s="42" t="n">
        <v>0.114182147711826</v>
      </c>
      <c r="I1448" s="31" t="n">
        <v>64.5</v>
      </c>
      <c r="J1448" s="2" t="s">
        <v>2698</v>
      </c>
      <c r="K1448" s="43" t="n">
        <v>0.132793522267207</v>
      </c>
      <c r="L1448" s="31" t="n">
        <v>49.4</v>
      </c>
      <c r="M1448" s="39" t="s">
        <v>671</v>
      </c>
      <c r="N1448" s="2" t="s">
        <v>21</v>
      </c>
      <c r="O1448" s="2" t="s">
        <v>21</v>
      </c>
      <c r="P1448" s="2" t="s">
        <v>21</v>
      </c>
      <c r="Q1448" s="2" t="s">
        <v>21</v>
      </c>
    </row>
    <row r="1449" customFormat="false" ht="15" hidden="false" customHeight="false" outlineLevel="0" collapsed="false">
      <c r="A1449" s="2" t="s">
        <v>1170</v>
      </c>
      <c r="B1449" s="2" t="s">
        <v>46</v>
      </c>
      <c r="C1449" s="13" t="s">
        <v>1934</v>
      </c>
      <c r="D1449" s="35" t="n">
        <v>264497</v>
      </c>
      <c r="E1449" s="2" t="s">
        <v>670</v>
      </c>
      <c r="F1449" s="41" t="n">
        <v>1.03416112123127</v>
      </c>
      <c r="G1449" s="31" t="n">
        <v>6.1</v>
      </c>
      <c r="H1449" s="37" t="n">
        <v>0.214988860561795</v>
      </c>
      <c r="I1449" s="31" t="n">
        <v>98.7</v>
      </c>
      <c r="J1449" s="2" t="s">
        <v>2705</v>
      </c>
      <c r="K1449" s="38" t="n">
        <v>0.15997695410025</v>
      </c>
      <c r="L1449" s="31" t="n">
        <v>60.6</v>
      </c>
      <c r="M1449" s="39" t="s">
        <v>671</v>
      </c>
      <c r="N1449" s="2" t="s">
        <v>19</v>
      </c>
      <c r="O1449" s="2" t="s">
        <v>21</v>
      </c>
      <c r="P1449" s="2" t="s">
        <v>19</v>
      </c>
      <c r="Q1449" s="2" t="s">
        <v>19</v>
      </c>
    </row>
    <row r="1450" customFormat="false" ht="15" hidden="false" customHeight="false" outlineLevel="0" collapsed="false">
      <c r="A1450" s="2" t="s">
        <v>1170</v>
      </c>
      <c r="B1450" s="2" t="s">
        <v>47</v>
      </c>
      <c r="C1450" s="13" t="s">
        <v>3065</v>
      </c>
      <c r="D1450" s="29"/>
      <c r="E1450" s="2"/>
      <c r="F1450" s="30"/>
      <c r="G1450" s="31"/>
      <c r="H1450" s="32"/>
      <c r="I1450" s="31"/>
      <c r="J1450" s="2"/>
      <c r="K1450" s="38" t="n">
        <v>0.127086007702182</v>
      </c>
      <c r="L1450" s="31" t="n">
        <v>64.6</v>
      </c>
      <c r="M1450" s="34" t="s">
        <v>668</v>
      </c>
      <c r="N1450" s="2"/>
      <c r="O1450" s="2"/>
      <c r="P1450" s="2"/>
      <c r="Q1450" s="2" t="s">
        <v>19</v>
      </c>
    </row>
    <row r="1451" customFormat="false" ht="15" hidden="false" customHeight="false" outlineLevel="0" collapsed="false">
      <c r="A1451" s="2" t="s">
        <v>827</v>
      </c>
      <c r="B1451" s="2" t="s">
        <v>45</v>
      </c>
      <c r="C1451" s="13" t="s">
        <v>828</v>
      </c>
      <c r="D1451" s="35" t="n">
        <v>126015</v>
      </c>
      <c r="E1451" s="2" t="s">
        <v>670</v>
      </c>
      <c r="F1451" s="41" t="n">
        <v>1.08271140294683</v>
      </c>
      <c r="G1451" s="31" t="n">
        <v>79.1</v>
      </c>
      <c r="H1451" s="37" t="n">
        <v>0.057252644914465</v>
      </c>
      <c r="I1451" s="31" t="n">
        <v>37.7</v>
      </c>
      <c r="J1451" s="2" t="s">
        <v>2698</v>
      </c>
      <c r="K1451" s="38" t="n">
        <v>0.163641743933715</v>
      </c>
      <c r="L1451" s="31" t="n">
        <v>58.8</v>
      </c>
      <c r="M1451" s="39" t="s">
        <v>671</v>
      </c>
      <c r="N1451" s="2" t="s">
        <v>19</v>
      </c>
      <c r="O1451" s="2" t="s">
        <v>21</v>
      </c>
      <c r="P1451" s="2" t="s">
        <v>19</v>
      </c>
      <c r="Q1451" s="2" t="s">
        <v>19</v>
      </c>
    </row>
    <row r="1452" customFormat="false" ht="15" hidden="false" customHeight="false" outlineLevel="0" collapsed="false">
      <c r="A1452" s="2" t="s">
        <v>827</v>
      </c>
      <c r="B1452" s="2" t="s">
        <v>46</v>
      </c>
      <c r="C1452" s="14" t="s">
        <v>3066</v>
      </c>
      <c r="D1452" s="40" t="n">
        <v>47100</v>
      </c>
      <c r="E1452" s="2" t="s">
        <v>667</v>
      </c>
      <c r="F1452" s="41" t="n">
        <v>5.33021231422505</v>
      </c>
      <c r="G1452" s="31" t="n">
        <v>75.7</v>
      </c>
      <c r="H1452" s="42" t="n">
        <v>0.0999532928538066</v>
      </c>
      <c r="I1452" s="31" t="n">
        <v>55.2</v>
      </c>
      <c r="J1452" s="2" t="s">
        <v>2700</v>
      </c>
      <c r="K1452" s="33"/>
      <c r="L1452" s="31"/>
      <c r="M1452" s="34" t="s">
        <v>668</v>
      </c>
      <c r="N1452" s="2" t="s">
        <v>21</v>
      </c>
      <c r="O1452" s="2" t="s">
        <v>21</v>
      </c>
      <c r="P1452" s="2" t="s">
        <v>21</v>
      </c>
      <c r="Q1452" s="2"/>
    </row>
    <row r="1453" customFormat="false" ht="15" hidden="false" customHeight="false" outlineLevel="0" collapsed="false">
      <c r="A1453" s="2" t="s">
        <v>827</v>
      </c>
      <c r="B1453" s="2" t="s">
        <v>47</v>
      </c>
      <c r="C1453" s="13" t="s">
        <v>2106</v>
      </c>
      <c r="D1453" s="35" t="n">
        <v>15834</v>
      </c>
      <c r="E1453" s="2" t="s">
        <v>667</v>
      </c>
      <c r="F1453" s="36" t="n">
        <v>2.21858027030441</v>
      </c>
      <c r="G1453" s="31" t="n">
        <v>78.9</v>
      </c>
      <c r="H1453" s="37" t="n">
        <v>0.154586553886539</v>
      </c>
      <c r="I1453" s="31" t="n">
        <v>79.4</v>
      </c>
      <c r="J1453" s="2" t="s">
        <v>2697</v>
      </c>
      <c r="K1453" s="38" t="n">
        <v>0.0626808100289296</v>
      </c>
      <c r="L1453" s="31" t="n">
        <v>37</v>
      </c>
      <c r="M1453" s="39" t="s">
        <v>671</v>
      </c>
      <c r="N1453" s="2" t="s">
        <v>19</v>
      </c>
      <c r="O1453" s="2" t="s">
        <v>19</v>
      </c>
      <c r="P1453" s="2" t="s">
        <v>19</v>
      </c>
      <c r="Q1453" s="2" t="s">
        <v>19</v>
      </c>
    </row>
    <row r="1454" customFormat="false" ht="15" hidden="false" customHeight="false" outlineLevel="0" collapsed="false">
      <c r="A1454" s="2" t="s">
        <v>189</v>
      </c>
      <c r="B1454" s="2" t="s">
        <v>46</v>
      </c>
      <c r="C1454" s="13" t="s">
        <v>1591</v>
      </c>
      <c r="D1454" s="35" t="n">
        <v>23781</v>
      </c>
      <c r="E1454" s="2" t="s">
        <v>667</v>
      </c>
      <c r="F1454" s="36" t="n">
        <v>4.31525167150246</v>
      </c>
      <c r="G1454" s="31" t="n">
        <v>66.2</v>
      </c>
      <c r="H1454" s="37" t="n">
        <v>0.124344002647629</v>
      </c>
      <c r="I1454" s="31" t="n">
        <v>66</v>
      </c>
      <c r="J1454" s="2" t="s">
        <v>2700</v>
      </c>
      <c r="K1454" s="38" t="n">
        <v>0.380377592076756</v>
      </c>
      <c r="L1454" s="31" t="n">
        <v>96.9</v>
      </c>
      <c r="M1454" s="39" t="s">
        <v>671</v>
      </c>
      <c r="N1454" s="2" t="s">
        <v>19</v>
      </c>
      <c r="O1454" s="2" t="s">
        <v>19</v>
      </c>
      <c r="P1454" s="2" t="s">
        <v>19</v>
      </c>
      <c r="Q1454" s="2" t="s">
        <v>19</v>
      </c>
    </row>
    <row r="1455" customFormat="false" ht="15" hidden="false" customHeight="false" outlineLevel="0" collapsed="false">
      <c r="A1455" s="2" t="s">
        <v>189</v>
      </c>
      <c r="B1455" s="2" t="s">
        <v>47</v>
      </c>
      <c r="C1455" s="14" t="s">
        <v>2105</v>
      </c>
      <c r="D1455" s="40" t="n">
        <v>55200</v>
      </c>
      <c r="E1455" s="2" t="s">
        <v>667</v>
      </c>
      <c r="F1455" s="41" t="n">
        <v>2.2229347826087</v>
      </c>
      <c r="G1455" s="31" t="n">
        <v>79.1</v>
      </c>
      <c r="H1455" s="42" t="n">
        <v>0.0248793167471222</v>
      </c>
      <c r="I1455" s="31" t="n">
        <v>18.4</v>
      </c>
      <c r="J1455" s="2" t="s">
        <v>2697</v>
      </c>
      <c r="K1455" s="43" t="n">
        <v>0.0463887257780388</v>
      </c>
      <c r="L1455" s="31" t="n">
        <v>28.4</v>
      </c>
      <c r="M1455" s="39" t="s">
        <v>671</v>
      </c>
      <c r="N1455" s="2" t="s">
        <v>21</v>
      </c>
      <c r="O1455" s="2" t="s">
        <v>21</v>
      </c>
      <c r="P1455" s="2" t="s">
        <v>21</v>
      </c>
      <c r="Q1455" s="2" t="s">
        <v>21</v>
      </c>
    </row>
    <row r="1456" customFormat="false" ht="15" hidden="false" customHeight="false" outlineLevel="0" collapsed="false">
      <c r="A1456" s="2" t="s">
        <v>244</v>
      </c>
      <c r="B1456" s="2" t="s">
        <v>45</v>
      </c>
      <c r="C1456" s="14" t="s">
        <v>1086</v>
      </c>
      <c r="D1456" s="40" t="n">
        <v>16180</v>
      </c>
      <c r="E1456" s="2" t="s">
        <v>667</v>
      </c>
      <c r="F1456" s="41" t="n">
        <v>0.532632880098888</v>
      </c>
      <c r="G1456" s="31" t="n">
        <v>44.2</v>
      </c>
      <c r="H1456" s="42" t="n">
        <v>0.137034434293746</v>
      </c>
      <c r="I1456" s="31" t="n">
        <v>71.4</v>
      </c>
      <c r="J1456" s="2" t="s">
        <v>2704</v>
      </c>
      <c r="K1456" s="43" t="n">
        <v>0.0534682080924856</v>
      </c>
      <c r="L1456" s="31" t="n">
        <v>14.6</v>
      </c>
      <c r="M1456" s="39" t="s">
        <v>671</v>
      </c>
      <c r="N1456" s="2" t="s">
        <v>21</v>
      </c>
      <c r="O1456" s="2" t="s">
        <v>21</v>
      </c>
      <c r="P1456" s="2" t="s">
        <v>21</v>
      </c>
      <c r="Q1456" s="2" t="s">
        <v>21</v>
      </c>
    </row>
    <row r="1457" customFormat="false" ht="15" hidden="false" customHeight="false" outlineLevel="0" collapsed="false">
      <c r="A1457" s="2" t="s">
        <v>244</v>
      </c>
      <c r="B1457" s="2" t="s">
        <v>46</v>
      </c>
      <c r="C1457" s="14" t="s">
        <v>1469</v>
      </c>
      <c r="D1457" s="40" t="n">
        <v>74380</v>
      </c>
      <c r="E1457" s="2" t="s">
        <v>667</v>
      </c>
      <c r="F1457" s="41" t="n">
        <v>6.89095186878193</v>
      </c>
      <c r="G1457" s="31" t="n">
        <v>85.8</v>
      </c>
      <c r="H1457" s="42" t="n">
        <v>0.171523074499921</v>
      </c>
      <c r="I1457" s="31" t="n">
        <v>85.5</v>
      </c>
      <c r="J1457" s="2" t="s">
        <v>2700</v>
      </c>
      <c r="K1457" s="43" t="n">
        <v>0.0229418650019508</v>
      </c>
      <c r="L1457" s="31" t="n">
        <v>3.6</v>
      </c>
      <c r="M1457" s="39" t="s">
        <v>671</v>
      </c>
      <c r="N1457" s="2" t="s">
        <v>21</v>
      </c>
      <c r="O1457" s="2" t="s">
        <v>21</v>
      </c>
      <c r="P1457" s="2" t="s">
        <v>21</v>
      </c>
      <c r="Q1457" s="2" t="s">
        <v>21</v>
      </c>
    </row>
    <row r="1458" customFormat="false" ht="15" hidden="false" customHeight="false" outlineLevel="0" collapsed="false">
      <c r="A1458" s="2" t="s">
        <v>3067</v>
      </c>
      <c r="B1458" s="2" t="s">
        <v>46</v>
      </c>
      <c r="C1458" s="16"/>
      <c r="D1458" s="29"/>
      <c r="E1458" s="2"/>
      <c r="F1458" s="30"/>
      <c r="G1458" s="31"/>
      <c r="H1458" s="32"/>
      <c r="I1458" s="31"/>
      <c r="J1458" s="2"/>
      <c r="K1458" s="33"/>
      <c r="L1458" s="31"/>
      <c r="M1458" s="34" t="s">
        <v>668</v>
      </c>
      <c r="N1458" s="2"/>
      <c r="O1458" s="2"/>
      <c r="P1458" s="2"/>
      <c r="Q1458" s="2"/>
    </row>
    <row r="1459" customFormat="false" ht="15" hidden="false" customHeight="false" outlineLevel="0" collapsed="false">
      <c r="A1459" s="2" t="s">
        <v>3067</v>
      </c>
      <c r="B1459" s="2" t="s">
        <v>47</v>
      </c>
      <c r="C1459" s="16"/>
      <c r="D1459" s="29"/>
      <c r="E1459" s="2"/>
      <c r="F1459" s="30"/>
      <c r="G1459" s="31"/>
      <c r="H1459" s="32"/>
      <c r="I1459" s="31"/>
      <c r="J1459" s="2"/>
      <c r="K1459" s="33"/>
      <c r="L1459" s="31"/>
      <c r="M1459" s="34" t="s">
        <v>668</v>
      </c>
      <c r="N1459" s="2"/>
      <c r="O1459" s="2"/>
      <c r="P1459" s="2"/>
      <c r="Q1459" s="2"/>
    </row>
    <row r="1460" customFormat="false" ht="15" hidden="false" customHeight="false" outlineLevel="0" collapsed="false">
      <c r="A1460" s="2" t="s">
        <v>137</v>
      </c>
      <c r="B1460" s="2" t="s">
        <v>45</v>
      </c>
      <c r="C1460" s="14" t="s">
        <v>720</v>
      </c>
      <c r="D1460" s="40" t="n">
        <v>51930</v>
      </c>
      <c r="E1460" s="2" t="s">
        <v>667</v>
      </c>
      <c r="F1460" s="41" t="n">
        <v>1.9946081263239</v>
      </c>
      <c r="G1460" s="31" t="n">
        <v>93.6</v>
      </c>
      <c r="H1460" s="42" t="n">
        <v>0.0689584191025113</v>
      </c>
      <c r="I1460" s="31" t="n">
        <v>36.9</v>
      </c>
      <c r="J1460" s="2" t="s">
        <v>2704</v>
      </c>
      <c r="K1460" s="43" t="n">
        <v>0.0479233226837061</v>
      </c>
      <c r="L1460" s="31" t="n">
        <v>12.4</v>
      </c>
      <c r="M1460" s="39" t="s">
        <v>671</v>
      </c>
      <c r="N1460" s="2" t="s">
        <v>21</v>
      </c>
      <c r="O1460" s="2" t="s">
        <v>21</v>
      </c>
      <c r="P1460" s="2" t="s">
        <v>21</v>
      </c>
      <c r="Q1460" s="2" t="s">
        <v>21</v>
      </c>
    </row>
    <row r="1461" customFormat="false" ht="15" hidden="false" customHeight="false" outlineLevel="0" collapsed="false">
      <c r="A1461" s="2" t="s">
        <v>137</v>
      </c>
      <c r="B1461" s="2" t="s">
        <v>46</v>
      </c>
      <c r="C1461" s="13" t="s">
        <v>1560</v>
      </c>
      <c r="D1461" s="35" t="n">
        <v>60738</v>
      </c>
      <c r="E1461" s="2" t="s">
        <v>667</v>
      </c>
      <c r="F1461" s="36" t="n">
        <v>4.82972768283447</v>
      </c>
      <c r="G1461" s="31" t="n">
        <v>71.2</v>
      </c>
      <c r="H1461" s="37" t="n">
        <v>-0.154125757259244</v>
      </c>
      <c r="I1461" s="31" t="n">
        <v>0.8</v>
      </c>
      <c r="J1461" s="2" t="s">
        <v>2700</v>
      </c>
      <c r="K1461" s="38" t="n">
        <v>0.0979676915059927</v>
      </c>
      <c r="L1461" s="31" t="n">
        <v>31.6</v>
      </c>
      <c r="M1461" s="39" t="s">
        <v>671</v>
      </c>
      <c r="N1461" s="2" t="s">
        <v>19</v>
      </c>
      <c r="O1461" s="2" t="s">
        <v>19</v>
      </c>
      <c r="P1461" s="2" t="s">
        <v>19</v>
      </c>
      <c r="Q1461" s="2" t="s">
        <v>19</v>
      </c>
    </row>
    <row r="1462" customFormat="false" ht="15" hidden="false" customHeight="false" outlineLevel="0" collapsed="false">
      <c r="A1462" s="2" t="s">
        <v>117</v>
      </c>
      <c r="B1462" s="2" t="s">
        <v>45</v>
      </c>
      <c r="C1462" s="14" t="s">
        <v>765</v>
      </c>
      <c r="D1462" s="40" t="n">
        <v>655120</v>
      </c>
      <c r="E1462" s="2" t="s">
        <v>670</v>
      </c>
      <c r="F1462" s="41" t="n">
        <v>1.46177341555746</v>
      </c>
      <c r="G1462" s="31" t="n">
        <v>87.6</v>
      </c>
      <c r="H1462" s="42" t="n">
        <v>-0.00261859813653249</v>
      </c>
      <c r="I1462" s="31" t="n">
        <v>12.3</v>
      </c>
      <c r="J1462" s="2" t="s">
        <v>2698</v>
      </c>
      <c r="K1462" s="43" t="n">
        <v>0.343132116823098</v>
      </c>
      <c r="L1462" s="31" t="n">
        <v>95</v>
      </c>
      <c r="M1462" s="39" t="s">
        <v>671</v>
      </c>
      <c r="N1462" s="2" t="s">
        <v>21</v>
      </c>
      <c r="O1462" s="2" t="s">
        <v>21</v>
      </c>
      <c r="P1462" s="2" t="s">
        <v>21</v>
      </c>
      <c r="Q1462" s="2" t="s">
        <v>21</v>
      </c>
    </row>
    <row r="1463" customFormat="false" ht="15" hidden="false" customHeight="false" outlineLevel="0" collapsed="false">
      <c r="A1463" s="2" t="s">
        <v>2492</v>
      </c>
      <c r="B1463" s="2" t="s">
        <v>45</v>
      </c>
      <c r="C1463" s="16"/>
      <c r="D1463" s="29"/>
      <c r="E1463" s="2"/>
      <c r="F1463" s="30"/>
      <c r="G1463" s="31"/>
      <c r="H1463" s="32"/>
      <c r="I1463" s="31"/>
      <c r="J1463" s="2"/>
      <c r="K1463" s="33"/>
      <c r="L1463" s="31"/>
      <c r="M1463" s="34" t="s">
        <v>668</v>
      </c>
      <c r="N1463" s="2"/>
      <c r="O1463" s="2"/>
      <c r="P1463" s="2"/>
      <c r="Q1463" s="2"/>
    </row>
    <row r="1464" customFormat="false" ht="15" hidden="false" customHeight="false" outlineLevel="0" collapsed="false">
      <c r="A1464" s="2" t="s">
        <v>2492</v>
      </c>
      <c r="B1464" s="2" t="s">
        <v>46</v>
      </c>
      <c r="C1464" s="16"/>
      <c r="D1464" s="29"/>
      <c r="E1464" s="2"/>
      <c r="F1464" s="30"/>
      <c r="G1464" s="31"/>
      <c r="H1464" s="32"/>
      <c r="I1464" s="31"/>
      <c r="J1464" s="2"/>
      <c r="K1464" s="33"/>
      <c r="L1464" s="31"/>
      <c r="M1464" s="34" t="s">
        <v>668</v>
      </c>
      <c r="N1464" s="2"/>
      <c r="O1464" s="2"/>
      <c r="P1464" s="2"/>
      <c r="Q1464" s="2"/>
    </row>
    <row r="1465" customFormat="false" ht="15" hidden="false" customHeight="false" outlineLevel="0" collapsed="false">
      <c r="A1465" s="2" t="s">
        <v>2492</v>
      </c>
      <c r="B1465" s="2" t="s">
        <v>47</v>
      </c>
      <c r="C1465" s="13" t="s">
        <v>2493</v>
      </c>
      <c r="D1465" s="35" t="n">
        <v>16785</v>
      </c>
      <c r="E1465" s="2" t="s">
        <v>667</v>
      </c>
      <c r="F1465" s="36" t="n">
        <v>0.816085790884719</v>
      </c>
      <c r="G1465" s="31" t="n">
        <v>27.2</v>
      </c>
      <c r="H1465" s="37" t="n">
        <v>0.102680331099724</v>
      </c>
      <c r="I1465" s="31" t="n">
        <v>55</v>
      </c>
      <c r="J1465" s="2" t="s">
        <v>2697</v>
      </c>
      <c r="K1465" s="38" t="n">
        <v>0.0940892641737033</v>
      </c>
      <c r="L1465" s="31" t="n">
        <v>51.4</v>
      </c>
      <c r="M1465" s="39" t="s">
        <v>671</v>
      </c>
      <c r="N1465" s="2" t="s">
        <v>19</v>
      </c>
      <c r="O1465" s="2" t="s">
        <v>19</v>
      </c>
      <c r="P1465" s="2" t="s">
        <v>19</v>
      </c>
      <c r="Q1465" s="2" t="s">
        <v>19</v>
      </c>
    </row>
    <row r="1466" customFormat="false" ht="15" hidden="false" customHeight="false" outlineLevel="0" collapsed="false">
      <c r="A1466" s="2" t="s">
        <v>306</v>
      </c>
      <c r="B1466" s="2" t="s">
        <v>45</v>
      </c>
      <c r="C1466" s="14" t="s">
        <v>1093</v>
      </c>
      <c r="D1466" s="40" t="n">
        <v>131100</v>
      </c>
      <c r="E1466" s="2" t="s">
        <v>670</v>
      </c>
      <c r="F1466" s="41" t="n">
        <v>0.516376811594203</v>
      </c>
      <c r="G1466" s="31" t="n">
        <v>42.7</v>
      </c>
      <c r="H1466" s="42" t="n">
        <v>0.0490517724253821</v>
      </c>
      <c r="I1466" s="31" t="n">
        <v>31.9</v>
      </c>
      <c r="J1466" s="2" t="s">
        <v>2698</v>
      </c>
      <c r="K1466" s="43" t="n">
        <v>0.216261998870695</v>
      </c>
      <c r="L1466" s="31" t="n">
        <v>75.1</v>
      </c>
      <c r="M1466" s="39" t="s">
        <v>671</v>
      </c>
      <c r="N1466" s="2" t="s">
        <v>21</v>
      </c>
      <c r="O1466" s="2" t="s">
        <v>21</v>
      </c>
      <c r="P1466" s="2" t="s">
        <v>21</v>
      </c>
      <c r="Q1466" s="2" t="s">
        <v>21</v>
      </c>
    </row>
    <row r="1467" customFormat="false" ht="15" hidden="false" customHeight="false" outlineLevel="0" collapsed="false">
      <c r="A1467" s="2" t="s">
        <v>306</v>
      </c>
      <c r="B1467" s="2" t="s">
        <v>46</v>
      </c>
      <c r="C1467" s="14" t="s">
        <v>1627</v>
      </c>
      <c r="D1467" s="40" t="n">
        <v>46260</v>
      </c>
      <c r="E1467" s="2" t="s">
        <v>667</v>
      </c>
      <c r="F1467" s="41" t="n">
        <v>3.71154345006485</v>
      </c>
      <c r="G1467" s="31" t="n">
        <v>58.4</v>
      </c>
      <c r="H1467" s="42" t="n">
        <v>0.016479894528675</v>
      </c>
      <c r="I1467" s="31" t="n">
        <v>16.2</v>
      </c>
      <c r="J1467" s="2" t="s">
        <v>2700</v>
      </c>
      <c r="K1467" s="43" t="n">
        <v>0.224900924702774</v>
      </c>
      <c r="L1467" s="31" t="n">
        <v>76.9</v>
      </c>
      <c r="M1467" s="39" t="s">
        <v>671</v>
      </c>
      <c r="N1467" s="2" t="s">
        <v>21</v>
      </c>
      <c r="O1467" s="2" t="s">
        <v>21</v>
      </c>
      <c r="P1467" s="2" t="s">
        <v>21</v>
      </c>
      <c r="Q1467" s="2" t="s">
        <v>21</v>
      </c>
    </row>
    <row r="1468" customFormat="false" ht="15" hidden="false" customHeight="false" outlineLevel="0" collapsed="false">
      <c r="A1468" s="2" t="s">
        <v>306</v>
      </c>
      <c r="B1468" s="2" t="s">
        <v>47</v>
      </c>
      <c r="C1468" s="13" t="s">
        <v>2157</v>
      </c>
      <c r="D1468" s="35" t="n">
        <v>677730</v>
      </c>
      <c r="E1468" s="2" t="s">
        <v>670</v>
      </c>
      <c r="F1468" s="36" t="n">
        <v>1.90982544671182</v>
      </c>
      <c r="G1468" s="31" t="n">
        <v>70.9</v>
      </c>
      <c r="H1468" s="37" t="n">
        <v>0.105270882938126</v>
      </c>
      <c r="I1468" s="31" t="n">
        <v>61.4</v>
      </c>
      <c r="J1468" s="2" t="s">
        <v>2701</v>
      </c>
      <c r="K1468" s="38" t="n">
        <v>0.150539369352757</v>
      </c>
      <c r="L1468" s="31" t="n">
        <v>71</v>
      </c>
      <c r="M1468" s="39" t="s">
        <v>671</v>
      </c>
      <c r="N1468" s="2" t="s">
        <v>19</v>
      </c>
      <c r="O1468" s="2" t="s">
        <v>19</v>
      </c>
      <c r="P1468" s="2" t="s">
        <v>19</v>
      </c>
      <c r="Q1468" s="2" t="s">
        <v>19</v>
      </c>
    </row>
    <row r="1469" customFormat="false" ht="15" hidden="false" customHeight="false" outlineLevel="0" collapsed="false">
      <c r="A1469" s="2" t="s">
        <v>1324</v>
      </c>
      <c r="B1469" s="2" t="s">
        <v>45</v>
      </c>
      <c r="C1469" s="13" t="s">
        <v>1325</v>
      </c>
      <c r="D1469" s="35" t="n">
        <v>17615</v>
      </c>
      <c r="E1469" s="2" t="s">
        <v>667</v>
      </c>
      <c r="F1469" s="36" t="n">
        <v>0.208515469770082</v>
      </c>
      <c r="G1469" s="31" t="n">
        <v>9</v>
      </c>
      <c r="H1469" s="37" t="n">
        <v>0.125055885546401</v>
      </c>
      <c r="I1469" s="31" t="n">
        <v>64.3</v>
      </c>
      <c r="J1469" s="2" t="s">
        <v>2704</v>
      </c>
      <c r="K1469" s="38" t="n">
        <v>0.193548387096774</v>
      </c>
      <c r="L1469" s="31" t="n">
        <v>68.5</v>
      </c>
      <c r="M1469" s="39" t="s">
        <v>671</v>
      </c>
      <c r="N1469" s="2" t="s">
        <v>19</v>
      </c>
      <c r="O1469" s="2" t="s">
        <v>19</v>
      </c>
      <c r="P1469" s="2" t="s">
        <v>19</v>
      </c>
      <c r="Q1469" s="2" t="s">
        <v>19</v>
      </c>
    </row>
    <row r="1470" customFormat="false" ht="15" hidden="false" customHeight="false" outlineLevel="0" collapsed="false">
      <c r="A1470" s="2" t="s">
        <v>1324</v>
      </c>
      <c r="B1470" s="2" t="s">
        <v>46</v>
      </c>
      <c r="C1470" s="13" t="s">
        <v>1918</v>
      </c>
      <c r="D1470" s="35" t="n">
        <v>2417</v>
      </c>
      <c r="E1470" s="2" t="s">
        <v>678</v>
      </c>
      <c r="F1470" s="36" t="n">
        <v>1.15142738932561</v>
      </c>
      <c r="G1470" s="31" t="n">
        <v>7.4</v>
      </c>
      <c r="H1470" s="37" t="n">
        <v>-0.0254032258064516</v>
      </c>
      <c r="I1470" s="31" t="n">
        <v>4.2</v>
      </c>
      <c r="J1470" s="2" t="s">
        <v>2720</v>
      </c>
      <c r="K1470" s="38" t="n">
        <v>0.277272727272727</v>
      </c>
      <c r="L1470" s="31" t="n">
        <v>87</v>
      </c>
      <c r="M1470" s="39" t="s">
        <v>671</v>
      </c>
      <c r="N1470" s="2" t="s">
        <v>19</v>
      </c>
      <c r="O1470" s="2" t="s">
        <v>19</v>
      </c>
      <c r="P1470" s="2" t="s">
        <v>19</v>
      </c>
      <c r="Q1470" s="2" t="s">
        <v>19</v>
      </c>
    </row>
    <row r="1471" customFormat="false" ht="15" hidden="false" customHeight="false" outlineLevel="0" collapsed="false">
      <c r="A1471" s="2" t="s">
        <v>1324</v>
      </c>
      <c r="B1471" s="2" t="s">
        <v>47</v>
      </c>
      <c r="C1471" s="14" t="s">
        <v>3068</v>
      </c>
      <c r="D1471" s="40" t="n">
        <v>150280</v>
      </c>
      <c r="E1471" s="2" t="s">
        <v>670</v>
      </c>
      <c r="F1471" s="41" t="n">
        <v>0.395920947564546</v>
      </c>
      <c r="G1471" s="31" t="n">
        <v>7.4</v>
      </c>
      <c r="H1471" s="42" t="n">
        <v>0.0598772833062981</v>
      </c>
      <c r="I1471" s="31" t="n">
        <v>39.2</v>
      </c>
      <c r="J1471" s="2" t="s">
        <v>2701</v>
      </c>
      <c r="K1471" s="33"/>
      <c r="L1471" s="31"/>
      <c r="M1471" s="34" t="s">
        <v>668</v>
      </c>
      <c r="N1471" s="2" t="s">
        <v>21</v>
      </c>
      <c r="O1471" s="2" t="s">
        <v>21</v>
      </c>
      <c r="P1471" s="2" t="s">
        <v>21</v>
      </c>
      <c r="Q1471" s="2"/>
    </row>
    <row r="1472" customFormat="false" ht="15" hidden="false" customHeight="false" outlineLevel="0" collapsed="false">
      <c r="A1472" s="2" t="s">
        <v>3069</v>
      </c>
      <c r="B1472" s="2" t="s">
        <v>45</v>
      </c>
      <c r="C1472" s="14" t="s">
        <v>3070</v>
      </c>
      <c r="D1472" s="40" t="n">
        <v>66200</v>
      </c>
      <c r="E1472" s="2" t="s">
        <v>667</v>
      </c>
      <c r="F1472" s="41" t="n">
        <v>0.19356495468278</v>
      </c>
      <c r="G1472" s="31" t="n">
        <v>7.5</v>
      </c>
      <c r="H1472" s="32"/>
      <c r="I1472" s="31"/>
      <c r="J1472" s="2"/>
      <c r="K1472" s="43" t="n">
        <v>0.0697674418604651</v>
      </c>
      <c r="L1472" s="31" t="n">
        <v>20.6</v>
      </c>
      <c r="M1472" s="34" t="s">
        <v>668</v>
      </c>
      <c r="N1472" s="2" t="s">
        <v>21</v>
      </c>
      <c r="O1472" s="2" t="s">
        <v>21</v>
      </c>
      <c r="P1472" s="2"/>
      <c r="Q1472" s="2" t="s">
        <v>21</v>
      </c>
    </row>
    <row r="1473" customFormat="false" ht="15" hidden="false" customHeight="false" outlineLevel="0" collapsed="false">
      <c r="A1473" s="2" t="s">
        <v>3071</v>
      </c>
      <c r="B1473" s="2" t="s">
        <v>46</v>
      </c>
      <c r="C1473" s="16"/>
      <c r="D1473" s="29"/>
      <c r="E1473" s="2"/>
      <c r="F1473" s="30"/>
      <c r="G1473" s="31"/>
      <c r="H1473" s="32"/>
      <c r="I1473" s="31"/>
      <c r="J1473" s="2"/>
      <c r="K1473" s="33"/>
      <c r="L1473" s="31"/>
      <c r="M1473" s="34" t="s">
        <v>668</v>
      </c>
      <c r="N1473" s="2"/>
      <c r="O1473" s="2"/>
      <c r="P1473" s="2"/>
      <c r="Q1473" s="2"/>
    </row>
    <row r="1474" customFormat="false" ht="15" hidden="false" customHeight="false" outlineLevel="0" collapsed="false">
      <c r="A1474" s="2" t="s">
        <v>408</v>
      </c>
      <c r="B1474" s="2" t="s">
        <v>45</v>
      </c>
      <c r="C1474" s="13" t="s">
        <v>903</v>
      </c>
      <c r="D1474" s="35" t="n">
        <v>2449</v>
      </c>
      <c r="E1474" s="2" t="s">
        <v>678</v>
      </c>
      <c r="F1474" s="36" t="n">
        <v>0.864026133115557</v>
      </c>
      <c r="G1474" s="31" t="n">
        <v>68.4</v>
      </c>
      <c r="H1474" s="37" t="n">
        <v>0.160113690194221</v>
      </c>
      <c r="I1474" s="31" t="n">
        <v>79.6</v>
      </c>
      <c r="J1474" s="2" t="s">
        <v>2713</v>
      </c>
      <c r="K1474" s="38" t="n">
        <v>0.0848484848484849</v>
      </c>
      <c r="L1474" s="31" t="n">
        <v>29</v>
      </c>
      <c r="M1474" s="39" t="s">
        <v>671</v>
      </c>
      <c r="N1474" s="2" t="s">
        <v>19</v>
      </c>
      <c r="O1474" s="2" t="s">
        <v>19</v>
      </c>
      <c r="P1474" s="2" t="s">
        <v>19</v>
      </c>
      <c r="Q1474" s="2" t="s">
        <v>19</v>
      </c>
    </row>
    <row r="1475" customFormat="false" ht="15" hidden="false" customHeight="false" outlineLevel="0" collapsed="false">
      <c r="A1475" s="2" t="s">
        <v>408</v>
      </c>
      <c r="B1475" s="2" t="s">
        <v>47</v>
      </c>
      <c r="C1475" s="13" t="s">
        <v>2523</v>
      </c>
      <c r="D1475" s="35" t="n">
        <v>57198</v>
      </c>
      <c r="E1475" s="2" t="s">
        <v>667</v>
      </c>
      <c r="F1475" s="36" t="n">
        <v>0.748207979299976</v>
      </c>
      <c r="G1475" s="31" t="n">
        <v>23.8</v>
      </c>
      <c r="H1475" s="37" t="n">
        <v>0.0358203549438609</v>
      </c>
      <c r="I1475" s="31" t="n">
        <v>24.1</v>
      </c>
      <c r="J1475" s="2" t="s">
        <v>2697</v>
      </c>
      <c r="K1475" s="38" t="n">
        <v>0.0607446113651208</v>
      </c>
      <c r="L1475" s="31" t="n">
        <v>36.2</v>
      </c>
      <c r="M1475" s="39" t="s">
        <v>671</v>
      </c>
      <c r="N1475" s="2" t="s">
        <v>19</v>
      </c>
      <c r="O1475" s="2" t="s">
        <v>19</v>
      </c>
      <c r="P1475" s="2" t="s">
        <v>19</v>
      </c>
      <c r="Q1475" s="2" t="s">
        <v>19</v>
      </c>
    </row>
    <row r="1476" customFormat="false" ht="15" hidden="false" customHeight="false" outlineLevel="0" collapsed="false">
      <c r="A1476" s="2" t="s">
        <v>883</v>
      </c>
      <c r="B1476" s="2" t="s">
        <v>45</v>
      </c>
      <c r="C1476" s="15" t="s">
        <v>884</v>
      </c>
      <c r="D1476" s="44" t="n">
        <v>76469</v>
      </c>
      <c r="E1476" s="2" t="s">
        <v>667</v>
      </c>
      <c r="F1476" s="45" t="n">
        <v>0.904784945533484</v>
      </c>
      <c r="G1476" s="31" t="n">
        <v>71.6</v>
      </c>
      <c r="H1476" s="46" t="n">
        <v>0.169072007338328</v>
      </c>
      <c r="I1476" s="31" t="n">
        <v>84.5</v>
      </c>
      <c r="J1476" s="2" t="s">
        <v>2704</v>
      </c>
      <c r="K1476" s="47" t="s">
        <v>680</v>
      </c>
      <c r="L1476" s="31"/>
      <c r="M1476" s="39" t="s">
        <v>671</v>
      </c>
      <c r="N1476" s="2" t="s">
        <v>17</v>
      </c>
      <c r="O1476" s="2" t="s">
        <v>17</v>
      </c>
      <c r="P1476" s="2" t="s">
        <v>17</v>
      </c>
      <c r="Q1476" s="2" t="s">
        <v>2866</v>
      </c>
    </row>
    <row r="1477" customFormat="false" ht="15" hidden="false" customHeight="false" outlineLevel="0" collapsed="false">
      <c r="A1477" s="2" t="s">
        <v>883</v>
      </c>
      <c r="B1477" s="2" t="s">
        <v>46</v>
      </c>
      <c r="C1477" s="14" t="s">
        <v>1441</v>
      </c>
      <c r="D1477" s="40" t="n">
        <v>238870</v>
      </c>
      <c r="E1477" s="2" t="s">
        <v>670</v>
      </c>
      <c r="F1477" s="41" t="n">
        <v>7.75920375099426</v>
      </c>
      <c r="G1477" s="31" t="n">
        <v>90.1</v>
      </c>
      <c r="H1477" s="42" t="n">
        <v>0.0706378019810856</v>
      </c>
      <c r="I1477" s="31" t="n">
        <v>43.7</v>
      </c>
      <c r="J1477" s="2" t="s">
        <v>2705</v>
      </c>
      <c r="K1477" s="43" t="n">
        <v>0.124226165910029</v>
      </c>
      <c r="L1477" s="31" t="n">
        <v>46.6</v>
      </c>
      <c r="M1477" s="39" t="s">
        <v>671</v>
      </c>
      <c r="N1477" s="2" t="s">
        <v>21</v>
      </c>
      <c r="O1477" s="2" t="s">
        <v>21</v>
      </c>
      <c r="P1477" s="2" t="s">
        <v>21</v>
      </c>
      <c r="Q1477" s="2" t="s">
        <v>21</v>
      </c>
    </row>
    <row r="1478" customFormat="false" ht="15" hidden="false" customHeight="false" outlineLevel="0" collapsed="false">
      <c r="A1478" s="2" t="s">
        <v>883</v>
      </c>
      <c r="B1478" s="2" t="s">
        <v>47</v>
      </c>
      <c r="C1478" s="15" t="s">
        <v>3072</v>
      </c>
      <c r="D1478" s="44" t="n">
        <v>849457</v>
      </c>
      <c r="E1478" s="2" t="s">
        <v>670</v>
      </c>
      <c r="F1478" s="30"/>
      <c r="G1478" s="31"/>
      <c r="H1478" s="46" t="n">
        <v>-0.0205414218376703</v>
      </c>
      <c r="I1478" s="31" t="n">
        <v>9</v>
      </c>
      <c r="J1478" s="2" t="s">
        <v>2701</v>
      </c>
      <c r="K1478" s="33"/>
      <c r="L1478" s="31"/>
      <c r="M1478" s="34" t="s">
        <v>668</v>
      </c>
      <c r="N1478" s="2" t="s">
        <v>17</v>
      </c>
      <c r="O1478" s="2"/>
      <c r="P1478" s="2" t="s">
        <v>17</v>
      </c>
      <c r="Q1478" s="2"/>
    </row>
    <row r="1479" customFormat="false" ht="15" hidden="false" customHeight="false" outlineLevel="0" collapsed="false">
      <c r="A1479" s="2" t="s">
        <v>1223</v>
      </c>
      <c r="B1479" s="2" t="s">
        <v>45</v>
      </c>
      <c r="C1479" s="14" t="s">
        <v>1224</v>
      </c>
      <c r="D1479" s="40" t="n">
        <v>5920</v>
      </c>
      <c r="E1479" s="2" t="s">
        <v>678</v>
      </c>
      <c r="F1479" s="41" t="n">
        <v>0.352533783783784</v>
      </c>
      <c r="G1479" s="31" t="n">
        <v>25</v>
      </c>
      <c r="H1479" s="42" t="n">
        <v>0.174603174603175</v>
      </c>
      <c r="I1479" s="31" t="n">
        <v>88.9</v>
      </c>
      <c r="J1479" s="2" t="s">
        <v>2713</v>
      </c>
      <c r="K1479" s="43" t="n">
        <v>0.103174603174603</v>
      </c>
      <c r="L1479" s="31" t="n">
        <v>36.2</v>
      </c>
      <c r="M1479" s="39" t="s">
        <v>671</v>
      </c>
      <c r="N1479" s="2" t="s">
        <v>21</v>
      </c>
      <c r="O1479" s="2" t="s">
        <v>21</v>
      </c>
      <c r="P1479" s="2" t="s">
        <v>21</v>
      </c>
      <c r="Q1479" s="2" t="s">
        <v>21</v>
      </c>
    </row>
    <row r="1480" customFormat="false" ht="15" hidden="false" customHeight="false" outlineLevel="0" collapsed="false">
      <c r="A1480" s="2" t="s">
        <v>1223</v>
      </c>
      <c r="B1480" s="2" t="s">
        <v>46</v>
      </c>
      <c r="C1480" s="14" t="s">
        <v>3073</v>
      </c>
      <c r="D1480" s="40" t="n">
        <v>41410</v>
      </c>
      <c r="E1480" s="2" t="s">
        <v>667</v>
      </c>
      <c r="F1480" s="41" t="n">
        <v>2.57326732673267</v>
      </c>
      <c r="G1480" s="31" t="n">
        <v>39.5</v>
      </c>
      <c r="H1480" s="42" t="n">
        <v>0.104855923159018</v>
      </c>
      <c r="I1480" s="31" t="n">
        <v>57.7</v>
      </c>
      <c r="J1480" s="2" t="s">
        <v>2700</v>
      </c>
      <c r="K1480" s="33"/>
      <c r="L1480" s="31"/>
      <c r="M1480" s="34" t="s">
        <v>668</v>
      </c>
      <c r="N1480" s="2" t="s">
        <v>21</v>
      </c>
      <c r="O1480" s="2" t="s">
        <v>21</v>
      </c>
      <c r="P1480" s="2" t="s">
        <v>21</v>
      </c>
      <c r="Q1480" s="2"/>
    </row>
    <row r="1481" customFormat="false" ht="15" hidden="false" customHeight="false" outlineLevel="0" collapsed="false">
      <c r="A1481" s="2" t="s">
        <v>1223</v>
      </c>
      <c r="B1481" s="2" t="s">
        <v>47</v>
      </c>
      <c r="C1481" s="13" t="s">
        <v>2217</v>
      </c>
      <c r="D1481" s="35" t="n">
        <v>16711</v>
      </c>
      <c r="E1481" s="2" t="s">
        <v>667</v>
      </c>
      <c r="F1481" s="36" t="n">
        <v>1.61384716653701</v>
      </c>
      <c r="G1481" s="31" t="n">
        <v>63.1</v>
      </c>
      <c r="H1481" s="37" t="n">
        <v>-0.00310207003519656</v>
      </c>
      <c r="I1481" s="31" t="n">
        <v>10.3</v>
      </c>
      <c r="J1481" s="2" t="s">
        <v>2697</v>
      </c>
      <c r="K1481" s="38" t="n">
        <v>0.24236641221374</v>
      </c>
      <c r="L1481" s="31" t="n">
        <v>91</v>
      </c>
      <c r="M1481" s="39" t="s">
        <v>671</v>
      </c>
      <c r="N1481" s="2" t="s">
        <v>19</v>
      </c>
      <c r="O1481" s="2" t="s">
        <v>19</v>
      </c>
      <c r="P1481" s="2" t="s">
        <v>19</v>
      </c>
      <c r="Q1481" s="2" t="s">
        <v>19</v>
      </c>
    </row>
    <row r="1482" customFormat="false" ht="15" hidden="false" customHeight="false" outlineLevel="0" collapsed="false">
      <c r="A1482" s="2" t="s">
        <v>590</v>
      </c>
      <c r="B1482" s="2" t="s">
        <v>45</v>
      </c>
      <c r="C1482" s="13" t="s">
        <v>1147</v>
      </c>
      <c r="D1482" s="35" t="n">
        <v>368806</v>
      </c>
      <c r="E1482" s="2" t="s">
        <v>670</v>
      </c>
      <c r="F1482" s="36" t="n">
        <v>0.44410611541027</v>
      </c>
      <c r="G1482" s="31" t="n">
        <v>36.3</v>
      </c>
      <c r="H1482" s="37" t="n">
        <v>0.157023911856792</v>
      </c>
      <c r="I1482" s="31" t="n">
        <v>82.6</v>
      </c>
      <c r="J1482" s="2" t="s">
        <v>2698</v>
      </c>
      <c r="K1482" s="38" t="n">
        <v>0.0459433040078201</v>
      </c>
      <c r="L1482" s="31" t="n">
        <v>11.9</v>
      </c>
      <c r="M1482" s="39" t="s">
        <v>671</v>
      </c>
      <c r="N1482" s="2" t="s">
        <v>19</v>
      </c>
      <c r="O1482" s="2" t="s">
        <v>19</v>
      </c>
      <c r="P1482" s="2" t="s">
        <v>19</v>
      </c>
      <c r="Q1482" s="2" t="s">
        <v>19</v>
      </c>
    </row>
    <row r="1483" customFormat="false" ht="15" hidden="false" customHeight="false" outlineLevel="0" collapsed="false">
      <c r="A1483" s="2" t="s">
        <v>590</v>
      </c>
      <c r="B1483" s="2" t="s">
        <v>46</v>
      </c>
      <c r="C1483" s="13" t="s">
        <v>1917</v>
      </c>
      <c r="D1483" s="35" t="n">
        <v>29950</v>
      </c>
      <c r="E1483" s="2" t="s">
        <v>667</v>
      </c>
      <c r="F1483" s="36" t="n">
        <v>1.16584307178631</v>
      </c>
      <c r="G1483" s="31" t="n">
        <v>7.6</v>
      </c>
      <c r="H1483" s="37" t="n">
        <v>-0.0259529075061793</v>
      </c>
      <c r="I1483" s="31" t="n">
        <v>7.1</v>
      </c>
      <c r="J1483" s="2" t="s">
        <v>2700</v>
      </c>
      <c r="K1483" s="38" t="n">
        <v>0.158110882956879</v>
      </c>
      <c r="L1483" s="31" t="n">
        <v>59.8</v>
      </c>
      <c r="M1483" s="39" t="s">
        <v>671</v>
      </c>
      <c r="N1483" s="2" t="s">
        <v>19</v>
      </c>
      <c r="O1483" s="2" t="s">
        <v>19</v>
      </c>
      <c r="P1483" s="2" t="s">
        <v>19</v>
      </c>
      <c r="Q1483" s="2" t="s">
        <v>19</v>
      </c>
    </row>
    <row r="1484" customFormat="false" ht="15" hidden="false" customHeight="false" outlineLevel="0" collapsed="false">
      <c r="A1484" s="2" t="s">
        <v>1317</v>
      </c>
      <c r="B1484" s="2" t="s">
        <v>45</v>
      </c>
      <c r="C1484" s="14" t="s">
        <v>1318</v>
      </c>
      <c r="D1484" s="40" t="n">
        <v>142310</v>
      </c>
      <c r="E1484" s="2" t="s">
        <v>670</v>
      </c>
      <c r="F1484" s="41" t="n">
        <v>0.213126273627995</v>
      </c>
      <c r="G1484" s="31" t="n">
        <v>9.6</v>
      </c>
      <c r="H1484" s="42" t="n">
        <v>0.0518885357380442</v>
      </c>
      <c r="I1484" s="31" t="n">
        <v>32.6</v>
      </c>
      <c r="J1484" s="2" t="s">
        <v>2698</v>
      </c>
      <c r="K1484" s="43" t="n">
        <v>0.360162601626016</v>
      </c>
      <c r="L1484" s="31" t="n">
        <v>97.2</v>
      </c>
      <c r="M1484" s="39" t="s">
        <v>671</v>
      </c>
      <c r="N1484" s="2" t="s">
        <v>21</v>
      </c>
      <c r="O1484" s="2" t="s">
        <v>21</v>
      </c>
      <c r="P1484" s="2" t="s">
        <v>21</v>
      </c>
      <c r="Q1484" s="2" t="s">
        <v>21</v>
      </c>
    </row>
    <row r="1485" customFormat="false" ht="15" hidden="false" customHeight="false" outlineLevel="0" collapsed="false">
      <c r="A1485" s="2" t="s">
        <v>1317</v>
      </c>
      <c r="B1485" s="2" t="s">
        <v>46</v>
      </c>
      <c r="C1485" s="14" t="s">
        <v>3074</v>
      </c>
      <c r="D1485" s="40" t="n">
        <v>3750</v>
      </c>
      <c r="E1485" s="2" t="s">
        <v>678</v>
      </c>
      <c r="F1485" s="30"/>
      <c r="G1485" s="31"/>
      <c r="H1485" s="32"/>
      <c r="I1485" s="31"/>
      <c r="J1485" s="2"/>
      <c r="K1485" s="43" t="n">
        <v>0.0547945205479452</v>
      </c>
      <c r="L1485" s="31" t="n">
        <v>15.5</v>
      </c>
      <c r="M1485" s="34" t="s">
        <v>668</v>
      </c>
      <c r="N1485" s="2" t="s">
        <v>21</v>
      </c>
      <c r="O1485" s="2"/>
      <c r="P1485" s="2"/>
      <c r="Q1485" s="2" t="s">
        <v>21</v>
      </c>
    </row>
    <row r="1486" customFormat="false" ht="15" hidden="false" customHeight="false" outlineLevel="0" collapsed="false">
      <c r="A1486" s="2" t="s">
        <v>1317</v>
      </c>
      <c r="B1486" s="2" t="s">
        <v>47</v>
      </c>
      <c r="C1486" s="14" t="s">
        <v>2371</v>
      </c>
      <c r="D1486" s="40" t="n">
        <v>231810</v>
      </c>
      <c r="E1486" s="2" t="s">
        <v>670</v>
      </c>
      <c r="F1486" s="41" t="n">
        <v>1.0738492731116</v>
      </c>
      <c r="G1486" s="31" t="n">
        <v>42.6</v>
      </c>
      <c r="H1486" s="42" t="n">
        <v>0.0186763930391985</v>
      </c>
      <c r="I1486" s="31" t="n">
        <v>21.1</v>
      </c>
      <c r="J1486" s="2" t="s">
        <v>2701</v>
      </c>
      <c r="K1486" s="43" t="n">
        <v>0.00709749719835637</v>
      </c>
      <c r="L1486" s="31" t="n">
        <v>5.5</v>
      </c>
      <c r="M1486" s="39" t="s">
        <v>671</v>
      </c>
      <c r="N1486" s="2" t="s">
        <v>21</v>
      </c>
      <c r="O1486" s="2" t="s">
        <v>21</v>
      </c>
      <c r="P1486" s="2" t="s">
        <v>21</v>
      </c>
      <c r="Q1486" s="2" t="s">
        <v>21</v>
      </c>
    </row>
    <row r="1487" customFormat="false" ht="15" hidden="false" customHeight="false" outlineLevel="0" collapsed="false">
      <c r="A1487" s="2" t="s">
        <v>1932</v>
      </c>
      <c r="B1487" s="2" t="s">
        <v>45</v>
      </c>
      <c r="C1487" s="16"/>
      <c r="D1487" s="29"/>
      <c r="E1487" s="2"/>
      <c r="F1487" s="30"/>
      <c r="G1487" s="31"/>
      <c r="H1487" s="32"/>
      <c r="I1487" s="31"/>
      <c r="J1487" s="2"/>
      <c r="K1487" s="33"/>
      <c r="L1487" s="31"/>
      <c r="M1487" s="34" t="s">
        <v>668</v>
      </c>
      <c r="N1487" s="2"/>
      <c r="O1487" s="2"/>
      <c r="P1487" s="2"/>
      <c r="Q1487" s="2"/>
    </row>
    <row r="1488" customFormat="false" ht="15" hidden="false" customHeight="false" outlineLevel="0" collapsed="false">
      <c r="A1488" s="2" t="s">
        <v>1932</v>
      </c>
      <c r="B1488" s="2" t="s">
        <v>46</v>
      </c>
      <c r="C1488" s="13" t="s">
        <v>1933</v>
      </c>
      <c r="D1488" s="35" t="n">
        <v>57036</v>
      </c>
      <c r="E1488" s="2" t="s">
        <v>667</v>
      </c>
      <c r="F1488" s="36" t="n">
        <v>1.04391962970755</v>
      </c>
      <c r="G1488" s="31" t="n">
        <v>6.3</v>
      </c>
      <c r="H1488" s="37" t="n">
        <v>-0.0338776339860424</v>
      </c>
      <c r="I1488" s="31" t="n">
        <v>6.2</v>
      </c>
      <c r="J1488" s="2" t="s">
        <v>2700</v>
      </c>
      <c r="K1488" s="38" t="n">
        <v>0.0547862733293197</v>
      </c>
      <c r="L1488" s="31" t="n">
        <v>15.3</v>
      </c>
      <c r="M1488" s="39" t="s">
        <v>671</v>
      </c>
      <c r="N1488" s="2" t="s">
        <v>19</v>
      </c>
      <c r="O1488" s="2" t="s">
        <v>19</v>
      </c>
      <c r="P1488" s="2" t="s">
        <v>19</v>
      </c>
      <c r="Q1488" s="2" t="s">
        <v>19</v>
      </c>
    </row>
    <row r="1489" customFormat="false" ht="15" hidden="false" customHeight="false" outlineLevel="0" collapsed="false">
      <c r="A1489" s="2" t="s">
        <v>1932</v>
      </c>
      <c r="B1489" s="2" t="s">
        <v>47</v>
      </c>
      <c r="C1489" s="13" t="s">
        <v>2683</v>
      </c>
      <c r="D1489" s="35" t="n">
        <v>166080</v>
      </c>
      <c r="E1489" s="2" t="s">
        <v>670</v>
      </c>
      <c r="F1489" s="36" t="n">
        <v>0.180641859344894</v>
      </c>
      <c r="G1489" s="31" t="n">
        <v>0.4</v>
      </c>
      <c r="H1489" s="37" t="n">
        <v>0.059988128745668</v>
      </c>
      <c r="I1489" s="31" t="n">
        <v>39.8</v>
      </c>
      <c r="J1489" s="2" t="s">
        <v>2701</v>
      </c>
      <c r="K1489" s="38" t="n">
        <v>0.491</v>
      </c>
      <c r="L1489" s="31" t="n">
        <v>99.8</v>
      </c>
      <c r="M1489" s="39" t="s">
        <v>671</v>
      </c>
      <c r="N1489" s="2" t="s">
        <v>19</v>
      </c>
      <c r="O1489" s="2" t="s">
        <v>19</v>
      </c>
      <c r="P1489" s="2" t="s">
        <v>19</v>
      </c>
      <c r="Q1489" s="2" t="s">
        <v>19</v>
      </c>
    </row>
    <row r="1490" customFormat="false" ht="15" hidden="false" customHeight="false" outlineLevel="0" collapsed="false">
      <c r="A1490" s="2" t="s">
        <v>3075</v>
      </c>
      <c r="B1490" s="2" t="s">
        <v>46</v>
      </c>
      <c r="C1490" s="15" t="s">
        <v>3076</v>
      </c>
      <c r="D1490" s="44" t="n">
        <v>36303</v>
      </c>
      <c r="E1490" s="2" t="s">
        <v>667</v>
      </c>
      <c r="F1490" s="45" t="n">
        <v>4.31074566840206</v>
      </c>
      <c r="G1490" s="31" t="n">
        <v>66</v>
      </c>
      <c r="H1490" s="46" t="n">
        <v>-0.0168449559918754</v>
      </c>
      <c r="I1490" s="31" t="n">
        <v>8.7</v>
      </c>
      <c r="J1490" s="2" t="s">
        <v>2700</v>
      </c>
      <c r="K1490" s="33"/>
      <c r="L1490" s="31"/>
      <c r="M1490" s="34" t="s">
        <v>668</v>
      </c>
      <c r="N1490" s="2" t="s">
        <v>17</v>
      </c>
      <c r="O1490" s="2" t="s">
        <v>17</v>
      </c>
      <c r="P1490" s="2" t="s">
        <v>17</v>
      </c>
      <c r="Q1490" s="2"/>
    </row>
    <row r="1491" customFormat="false" ht="15" hidden="false" customHeight="false" outlineLevel="0" collapsed="false">
      <c r="A1491" s="2" t="s">
        <v>1625</v>
      </c>
      <c r="B1491" s="2" t="s">
        <v>45</v>
      </c>
      <c r="C1491" s="14" t="s">
        <v>3077</v>
      </c>
      <c r="D1491" s="40" t="n">
        <v>1379050</v>
      </c>
      <c r="E1491" s="2" t="s">
        <v>752</v>
      </c>
      <c r="F1491" s="41" t="n">
        <v>0.49996519343026</v>
      </c>
      <c r="G1491" s="31" t="n">
        <v>40.8</v>
      </c>
      <c r="H1491" s="42" t="n">
        <v>0.222594572550688</v>
      </c>
      <c r="I1491" s="31" t="n">
        <v>93.8</v>
      </c>
      <c r="J1491" s="2" t="s">
        <v>2712</v>
      </c>
      <c r="K1491" s="33"/>
      <c r="L1491" s="31"/>
      <c r="M1491" s="34" t="s">
        <v>668</v>
      </c>
      <c r="N1491" s="2" t="s">
        <v>21</v>
      </c>
      <c r="O1491" s="2" t="s">
        <v>21</v>
      </c>
      <c r="P1491" s="2" t="s">
        <v>21</v>
      </c>
      <c r="Q1491" s="2"/>
    </row>
    <row r="1492" customFormat="false" ht="15" hidden="false" customHeight="false" outlineLevel="0" collapsed="false">
      <c r="A1492" s="2" t="s">
        <v>1625</v>
      </c>
      <c r="B1492" s="2" t="s">
        <v>46</v>
      </c>
      <c r="C1492" s="13" t="s">
        <v>1626</v>
      </c>
      <c r="D1492" s="35" t="n">
        <v>24650</v>
      </c>
      <c r="E1492" s="2" t="s">
        <v>667</v>
      </c>
      <c r="F1492" s="36" t="n">
        <v>3.72519269776876</v>
      </c>
      <c r="G1492" s="31" t="n">
        <v>58.6</v>
      </c>
      <c r="H1492" s="37" t="n">
        <v>0.135526073337019</v>
      </c>
      <c r="I1492" s="31" t="n">
        <v>72.6</v>
      </c>
      <c r="J1492" s="2" t="s">
        <v>2700</v>
      </c>
      <c r="K1492" s="38" t="n">
        <v>0.152456950860983</v>
      </c>
      <c r="L1492" s="31" t="n">
        <v>58</v>
      </c>
      <c r="M1492" s="39" t="s">
        <v>671</v>
      </c>
      <c r="N1492" s="2" t="s">
        <v>19</v>
      </c>
      <c r="O1492" s="2" t="s">
        <v>19</v>
      </c>
      <c r="P1492" s="2" t="s">
        <v>19</v>
      </c>
      <c r="Q1492" s="2" t="s">
        <v>19</v>
      </c>
    </row>
    <row r="1493" customFormat="false" ht="15" hidden="false" customHeight="false" outlineLevel="0" collapsed="false">
      <c r="A1493" s="2" t="s">
        <v>1625</v>
      </c>
      <c r="B1493" s="2" t="s">
        <v>47</v>
      </c>
      <c r="C1493" s="13" t="s">
        <v>2305</v>
      </c>
      <c r="D1493" s="35" t="n">
        <v>37454</v>
      </c>
      <c r="E1493" s="2" t="s">
        <v>667</v>
      </c>
      <c r="F1493" s="36" t="n">
        <v>1.26864954343995</v>
      </c>
      <c r="G1493" s="31" t="n">
        <v>51.5</v>
      </c>
      <c r="H1493" s="37" t="n">
        <v>0.0719212386594545</v>
      </c>
      <c r="I1493" s="31" t="n">
        <v>39</v>
      </c>
      <c r="J1493" s="2" t="s">
        <v>2697</v>
      </c>
      <c r="K1493" s="38" t="n">
        <v>0.102379235760635</v>
      </c>
      <c r="L1493" s="31" t="n">
        <v>56.6</v>
      </c>
      <c r="M1493" s="39" t="s">
        <v>671</v>
      </c>
      <c r="N1493" s="2" t="s">
        <v>19</v>
      </c>
      <c r="O1493" s="2" t="s">
        <v>19</v>
      </c>
      <c r="P1493" s="2" t="s">
        <v>19</v>
      </c>
      <c r="Q1493" s="2" t="s">
        <v>19</v>
      </c>
    </row>
    <row r="1494" customFormat="false" ht="15" hidden="false" customHeight="false" outlineLevel="0" collapsed="false">
      <c r="A1494" s="2" t="s">
        <v>302</v>
      </c>
      <c r="B1494" s="2" t="s">
        <v>45</v>
      </c>
      <c r="C1494" s="14" t="s">
        <v>1189</v>
      </c>
      <c r="D1494" s="40" t="n">
        <v>621980</v>
      </c>
      <c r="E1494" s="2" t="s">
        <v>670</v>
      </c>
      <c r="F1494" s="41" t="n">
        <v>0.407029164924917</v>
      </c>
      <c r="G1494" s="31" t="n">
        <v>30.1</v>
      </c>
      <c r="H1494" s="42" t="n">
        <v>-0.118184138146142</v>
      </c>
      <c r="I1494" s="31" t="n">
        <v>1.4</v>
      </c>
      <c r="J1494" s="2" t="s">
        <v>2698</v>
      </c>
      <c r="K1494" s="43" t="n">
        <v>0.294960982396709</v>
      </c>
      <c r="L1494" s="31" t="n">
        <v>90.3</v>
      </c>
      <c r="M1494" s="39" t="s">
        <v>671</v>
      </c>
      <c r="N1494" s="2" t="s">
        <v>21</v>
      </c>
      <c r="O1494" s="2" t="s">
        <v>21</v>
      </c>
      <c r="P1494" s="2" t="s">
        <v>21</v>
      </c>
      <c r="Q1494" s="2" t="s">
        <v>21</v>
      </c>
    </row>
    <row r="1495" customFormat="false" ht="15" hidden="false" customHeight="false" outlineLevel="0" collapsed="false">
      <c r="A1495" s="2" t="s">
        <v>302</v>
      </c>
      <c r="B1495" s="2" t="s">
        <v>46</v>
      </c>
      <c r="C1495" s="14" t="s">
        <v>1428</v>
      </c>
      <c r="D1495" s="40" t="n">
        <v>31320</v>
      </c>
      <c r="E1495" s="2" t="s">
        <v>667</v>
      </c>
      <c r="F1495" s="41" t="n">
        <v>8.15067049808429</v>
      </c>
      <c r="G1495" s="31" t="n">
        <v>91.1</v>
      </c>
      <c r="H1495" s="46" t="n">
        <v>0.00227768197052029</v>
      </c>
      <c r="I1495" s="31" t="n">
        <v>12</v>
      </c>
      <c r="J1495" s="2" t="s">
        <v>2700</v>
      </c>
      <c r="K1495" s="43" t="n">
        <v>0.119278853892794</v>
      </c>
      <c r="L1495" s="31" t="n">
        <v>41.7</v>
      </c>
      <c r="M1495" s="39" t="s">
        <v>671</v>
      </c>
      <c r="N1495" s="2" t="s">
        <v>21</v>
      </c>
      <c r="O1495" s="2" t="s">
        <v>21</v>
      </c>
      <c r="P1495" s="2" t="s">
        <v>17</v>
      </c>
      <c r="Q1495" s="2" t="s">
        <v>21</v>
      </c>
    </row>
    <row r="1496" customFormat="false" ht="15" hidden="false" customHeight="false" outlineLevel="0" collapsed="false">
      <c r="A1496" s="2" t="s">
        <v>302</v>
      </c>
      <c r="B1496" s="2" t="s">
        <v>47</v>
      </c>
      <c r="C1496" s="13" t="s">
        <v>2307</v>
      </c>
      <c r="D1496" s="35" t="n">
        <v>6131</v>
      </c>
      <c r="E1496" s="2" t="s">
        <v>678</v>
      </c>
      <c r="F1496" s="36" t="n">
        <v>1.25835915837547</v>
      </c>
      <c r="G1496" s="31" t="n">
        <v>51.1</v>
      </c>
      <c r="H1496" s="37" t="n">
        <v>0.124541452677916</v>
      </c>
      <c r="I1496" s="31" t="n">
        <v>60</v>
      </c>
      <c r="J1496" s="2" t="s">
        <v>2706</v>
      </c>
      <c r="K1496" s="38" t="n">
        <v>0.0491228070175439</v>
      </c>
      <c r="L1496" s="31" t="n">
        <v>30.7</v>
      </c>
      <c r="M1496" s="39" t="s">
        <v>671</v>
      </c>
      <c r="N1496" s="2" t="s">
        <v>19</v>
      </c>
      <c r="O1496" s="2" t="s">
        <v>19</v>
      </c>
      <c r="P1496" s="2" t="s">
        <v>19</v>
      </c>
      <c r="Q1496" s="2" t="s">
        <v>19</v>
      </c>
    </row>
    <row r="1497" customFormat="false" ht="15" hidden="false" customHeight="false" outlineLevel="0" collapsed="false">
      <c r="A1497" s="2" t="s">
        <v>122</v>
      </c>
      <c r="B1497" s="2" t="s">
        <v>47</v>
      </c>
      <c r="C1497" s="13" t="s">
        <v>2059</v>
      </c>
      <c r="D1497" s="35" t="n">
        <v>34113</v>
      </c>
      <c r="E1497" s="2" t="s">
        <v>667</v>
      </c>
      <c r="F1497" s="36" t="n">
        <v>2.79532729457978</v>
      </c>
      <c r="G1497" s="31" t="n">
        <v>86.9</v>
      </c>
      <c r="H1497" s="37" t="n">
        <v>0.140026066905056</v>
      </c>
      <c r="I1497" s="31" t="n">
        <v>72.7</v>
      </c>
      <c r="J1497" s="2" t="s">
        <v>2697</v>
      </c>
      <c r="K1497" s="38" t="n">
        <v>0.203042328042328</v>
      </c>
      <c r="L1497" s="31" t="n">
        <v>83</v>
      </c>
      <c r="M1497" s="39" t="s">
        <v>671</v>
      </c>
      <c r="N1497" s="2" t="s">
        <v>19</v>
      </c>
      <c r="O1497" s="2" t="s">
        <v>19</v>
      </c>
      <c r="P1497" s="2" t="s">
        <v>19</v>
      </c>
      <c r="Q1497" s="2" t="s">
        <v>19</v>
      </c>
    </row>
    <row r="1498" customFormat="false" ht="15" hidden="false" customHeight="false" outlineLevel="0" collapsed="false">
      <c r="A1498" s="2" t="s">
        <v>496</v>
      </c>
      <c r="B1498" s="2" t="s">
        <v>45</v>
      </c>
      <c r="C1498" s="13" t="s">
        <v>1315</v>
      </c>
      <c r="D1498" s="35" t="n">
        <v>24599</v>
      </c>
      <c r="E1498" s="2" t="s">
        <v>667</v>
      </c>
      <c r="F1498" s="36" t="n">
        <v>0.216309606081548</v>
      </c>
      <c r="G1498" s="31" t="n">
        <v>9.8</v>
      </c>
      <c r="H1498" s="37" t="n">
        <v>0.101513523195415</v>
      </c>
      <c r="I1498" s="31" t="n">
        <v>54.8</v>
      </c>
      <c r="J1498" s="2" t="s">
        <v>2704</v>
      </c>
      <c r="K1498" s="38" t="n">
        <v>0.0821917808219178</v>
      </c>
      <c r="L1498" s="31" t="n">
        <v>27.9</v>
      </c>
      <c r="M1498" s="39" t="s">
        <v>671</v>
      </c>
      <c r="N1498" s="2" t="s">
        <v>19</v>
      </c>
      <c r="O1498" s="2" t="s">
        <v>19</v>
      </c>
      <c r="P1498" s="2" t="s">
        <v>19</v>
      </c>
      <c r="Q1498" s="2" t="s">
        <v>19</v>
      </c>
    </row>
    <row r="1499" customFormat="false" ht="15" hidden="false" customHeight="false" outlineLevel="0" collapsed="false">
      <c r="A1499" s="2" t="s">
        <v>496</v>
      </c>
      <c r="B1499" s="2" t="s">
        <v>47</v>
      </c>
      <c r="C1499" s="13" t="s">
        <v>2222</v>
      </c>
      <c r="D1499" s="35" t="n">
        <v>12490</v>
      </c>
      <c r="E1499" s="2" t="s">
        <v>667</v>
      </c>
      <c r="F1499" s="36" t="n">
        <v>1.60272217774219</v>
      </c>
      <c r="G1499" s="31" t="n">
        <v>62.5</v>
      </c>
      <c r="H1499" s="37" t="n">
        <v>0.208514755684567</v>
      </c>
      <c r="I1499" s="31" t="n">
        <v>94.7</v>
      </c>
      <c r="J1499" s="2" t="s">
        <v>2697</v>
      </c>
      <c r="K1499" s="38" t="n">
        <v>0.298603651987111</v>
      </c>
      <c r="L1499" s="31" t="n">
        <v>95.6</v>
      </c>
      <c r="M1499" s="39" t="s">
        <v>671</v>
      </c>
      <c r="N1499" s="2" t="s">
        <v>19</v>
      </c>
      <c r="O1499" s="2" t="s">
        <v>19</v>
      </c>
      <c r="P1499" s="2" t="s">
        <v>19</v>
      </c>
      <c r="Q1499" s="2" t="s">
        <v>19</v>
      </c>
    </row>
    <row r="1500" customFormat="false" ht="15" hidden="false" customHeight="false" outlineLevel="0" collapsed="false">
      <c r="A1500" s="2" t="s">
        <v>2279</v>
      </c>
      <c r="B1500" s="2" t="s">
        <v>45</v>
      </c>
      <c r="C1500" s="16"/>
      <c r="D1500" s="40" t="n">
        <v>19740</v>
      </c>
      <c r="E1500" s="2" t="s">
        <v>667</v>
      </c>
      <c r="F1500" s="41" t="n">
        <v>0.833586626139818</v>
      </c>
      <c r="G1500" s="31" t="n">
        <v>66.5</v>
      </c>
      <c r="H1500" s="42" t="n">
        <v>0.136442141623489</v>
      </c>
      <c r="I1500" s="31" t="n">
        <v>71</v>
      </c>
      <c r="J1500" s="2" t="s">
        <v>2704</v>
      </c>
      <c r="K1500" s="43" t="n">
        <v>0.288100208768267</v>
      </c>
      <c r="L1500" s="31" t="n">
        <v>88.4</v>
      </c>
      <c r="M1500" s="34" t="s">
        <v>668</v>
      </c>
      <c r="N1500" s="2" t="s">
        <v>21</v>
      </c>
      <c r="O1500" s="2" t="s">
        <v>21</v>
      </c>
      <c r="P1500" s="2" t="s">
        <v>21</v>
      </c>
      <c r="Q1500" s="2" t="s">
        <v>21</v>
      </c>
    </row>
    <row r="1501" customFormat="false" ht="15" hidden="false" customHeight="false" outlineLevel="0" collapsed="false">
      <c r="A1501" s="2" t="s">
        <v>2279</v>
      </c>
      <c r="B1501" s="2" t="s">
        <v>46</v>
      </c>
      <c r="C1501" s="16"/>
      <c r="D1501" s="29"/>
      <c r="E1501" s="2"/>
      <c r="F1501" s="30"/>
      <c r="G1501" s="31"/>
      <c r="H1501" s="32"/>
      <c r="I1501" s="31"/>
      <c r="J1501" s="2"/>
      <c r="K1501" s="33"/>
      <c r="L1501" s="31"/>
      <c r="M1501" s="34" t="s">
        <v>668</v>
      </c>
      <c r="N1501" s="2"/>
      <c r="O1501" s="2"/>
      <c r="P1501" s="2"/>
      <c r="Q1501" s="2"/>
    </row>
    <row r="1502" customFormat="false" ht="15" hidden="false" customHeight="false" outlineLevel="0" collapsed="false">
      <c r="A1502" s="2" t="s">
        <v>2279</v>
      </c>
      <c r="B1502" s="2" t="s">
        <v>47</v>
      </c>
      <c r="C1502" s="13" t="s">
        <v>2280</v>
      </c>
      <c r="D1502" s="35" t="n">
        <v>16529</v>
      </c>
      <c r="E1502" s="2" t="s">
        <v>667</v>
      </c>
      <c r="F1502" s="36" t="n">
        <v>1.39252223364995</v>
      </c>
      <c r="G1502" s="31" t="n">
        <v>55.3</v>
      </c>
      <c r="H1502" s="37" t="n">
        <v>0.114715403291071</v>
      </c>
      <c r="I1502" s="31" t="n">
        <v>61</v>
      </c>
      <c r="J1502" s="2" t="s">
        <v>2697</v>
      </c>
      <c r="K1502" s="38" t="n">
        <v>0.0518796992481203</v>
      </c>
      <c r="L1502" s="31" t="n">
        <v>32.4</v>
      </c>
      <c r="M1502" s="39" t="s">
        <v>671</v>
      </c>
      <c r="N1502" s="2" t="s">
        <v>19</v>
      </c>
      <c r="O1502" s="2" t="s">
        <v>19</v>
      </c>
      <c r="P1502" s="2" t="s">
        <v>19</v>
      </c>
      <c r="Q1502" s="2" t="s">
        <v>19</v>
      </c>
    </row>
    <row r="1503" customFormat="false" ht="15" hidden="false" customHeight="false" outlineLevel="0" collapsed="false">
      <c r="A1503" s="2" t="s">
        <v>2605</v>
      </c>
      <c r="B1503" s="2" t="s">
        <v>45</v>
      </c>
      <c r="C1503" s="16"/>
      <c r="D1503" s="29"/>
      <c r="E1503" s="2"/>
      <c r="F1503" s="30"/>
      <c r="G1503" s="31"/>
      <c r="H1503" s="32"/>
      <c r="I1503" s="31"/>
      <c r="J1503" s="2"/>
      <c r="K1503" s="33"/>
      <c r="L1503" s="31"/>
      <c r="M1503" s="34" t="s">
        <v>668</v>
      </c>
      <c r="N1503" s="2"/>
      <c r="O1503" s="2"/>
      <c r="P1503" s="2"/>
      <c r="Q1503" s="2"/>
    </row>
    <row r="1504" customFormat="false" ht="15" hidden="false" customHeight="false" outlineLevel="0" collapsed="false">
      <c r="A1504" s="2" t="s">
        <v>2605</v>
      </c>
      <c r="B1504" s="2" t="s">
        <v>46</v>
      </c>
      <c r="C1504" s="16"/>
      <c r="D1504" s="29"/>
      <c r="E1504" s="2"/>
      <c r="F1504" s="30"/>
      <c r="G1504" s="31"/>
      <c r="H1504" s="32"/>
      <c r="I1504" s="31"/>
      <c r="J1504" s="2"/>
      <c r="K1504" s="33"/>
      <c r="L1504" s="31"/>
      <c r="M1504" s="34" t="s">
        <v>668</v>
      </c>
      <c r="N1504" s="2"/>
      <c r="O1504" s="2"/>
      <c r="P1504" s="2"/>
      <c r="Q1504" s="2"/>
    </row>
    <row r="1505" customFormat="false" ht="15" hidden="false" customHeight="false" outlineLevel="0" collapsed="false">
      <c r="A1505" s="2" t="s">
        <v>2605</v>
      </c>
      <c r="B1505" s="2" t="s">
        <v>47</v>
      </c>
      <c r="C1505" s="13" t="s">
        <v>2606</v>
      </c>
      <c r="D1505" s="35" t="n">
        <v>10262</v>
      </c>
      <c r="E1505" s="2" t="s">
        <v>667</v>
      </c>
      <c r="F1505" s="36" t="n">
        <v>0.539465991034886</v>
      </c>
      <c r="G1505" s="31" t="n">
        <v>12.9</v>
      </c>
      <c r="H1505" s="37" t="n">
        <v>0.0575020610057708</v>
      </c>
      <c r="I1505" s="31" t="n">
        <v>34</v>
      </c>
      <c r="J1505" s="2" t="s">
        <v>2697</v>
      </c>
      <c r="K1505" s="38" t="n">
        <v>0.314685314685315</v>
      </c>
      <c r="L1505" s="31" t="n">
        <v>97.1</v>
      </c>
      <c r="M1505" s="39" t="s">
        <v>671</v>
      </c>
      <c r="N1505" s="2" t="s">
        <v>19</v>
      </c>
      <c r="O1505" s="2" t="s">
        <v>19</v>
      </c>
      <c r="P1505" s="2" t="s">
        <v>19</v>
      </c>
      <c r="Q1505" s="2" t="s">
        <v>19</v>
      </c>
    </row>
    <row r="1506" customFormat="false" ht="15" hidden="false" customHeight="false" outlineLevel="0" collapsed="false">
      <c r="A1506" s="2" t="s">
        <v>554</v>
      </c>
      <c r="B1506" s="2" t="s">
        <v>46</v>
      </c>
      <c r="C1506" s="14" t="s">
        <v>1776</v>
      </c>
      <c r="D1506" s="40" t="n">
        <v>14550</v>
      </c>
      <c r="E1506" s="2" t="s">
        <v>667</v>
      </c>
      <c r="F1506" s="41" t="n">
        <v>2.333264604811</v>
      </c>
      <c r="G1506" s="31" t="n">
        <v>33.6</v>
      </c>
      <c r="H1506" s="42" t="n">
        <v>0.120092378752887</v>
      </c>
      <c r="I1506" s="31" t="n">
        <v>63.9</v>
      </c>
      <c r="J1506" s="2" t="s">
        <v>2700</v>
      </c>
      <c r="K1506" s="43" t="n">
        <v>0.0782885753299955</v>
      </c>
      <c r="L1506" s="31" t="n">
        <v>24.1</v>
      </c>
      <c r="M1506" s="39" t="s">
        <v>671</v>
      </c>
      <c r="N1506" s="2" t="s">
        <v>21</v>
      </c>
      <c r="O1506" s="2" t="s">
        <v>21</v>
      </c>
      <c r="P1506" s="2" t="s">
        <v>21</v>
      </c>
      <c r="Q1506" s="2" t="s">
        <v>21</v>
      </c>
    </row>
    <row r="1507" customFormat="false" ht="15" hidden="false" customHeight="false" outlineLevel="0" collapsed="false">
      <c r="A1507" s="2" t="s">
        <v>554</v>
      </c>
      <c r="B1507" s="2" t="s">
        <v>47</v>
      </c>
      <c r="C1507" s="13" t="s">
        <v>2521</v>
      </c>
      <c r="D1507" s="35" t="n">
        <v>109653</v>
      </c>
      <c r="E1507" s="2" t="s">
        <v>670</v>
      </c>
      <c r="F1507" s="36" t="n">
        <v>0.753066491568858</v>
      </c>
      <c r="G1507" s="31" t="n">
        <v>24.3</v>
      </c>
      <c r="H1507" s="37" t="n">
        <v>0.144663082624354</v>
      </c>
      <c r="I1507" s="31" t="n">
        <v>78.9</v>
      </c>
      <c r="J1507" s="2" t="s">
        <v>2701</v>
      </c>
      <c r="K1507" s="38" t="n">
        <v>0.0121203052521323</v>
      </c>
      <c r="L1507" s="31" t="n">
        <v>8</v>
      </c>
      <c r="M1507" s="39" t="s">
        <v>671</v>
      </c>
      <c r="N1507" s="2" t="s">
        <v>19</v>
      </c>
      <c r="O1507" s="2" t="s">
        <v>19</v>
      </c>
      <c r="P1507" s="2" t="s">
        <v>19</v>
      </c>
      <c r="Q1507" s="2" t="s">
        <v>19</v>
      </c>
    </row>
    <row r="1508" customFormat="false" ht="15" hidden="false" customHeight="false" outlineLevel="0" collapsed="false">
      <c r="A1508" s="2" t="s">
        <v>460</v>
      </c>
      <c r="B1508" s="2" t="s">
        <v>45</v>
      </c>
      <c r="C1508" s="14" t="s">
        <v>943</v>
      </c>
      <c r="D1508" s="40" t="n">
        <v>17970</v>
      </c>
      <c r="E1508" s="2" t="s">
        <v>667</v>
      </c>
      <c r="F1508" s="41" t="n">
        <v>0.775570395102949</v>
      </c>
      <c r="G1508" s="31" t="n">
        <v>63.5</v>
      </c>
      <c r="H1508" s="42" t="n">
        <v>0.0297994269340974</v>
      </c>
      <c r="I1508" s="31" t="n">
        <v>17.5</v>
      </c>
      <c r="J1508" s="2" t="s">
        <v>2704</v>
      </c>
      <c r="K1508" s="43" t="n">
        <v>0.0372057706909643</v>
      </c>
      <c r="L1508" s="31" t="n">
        <v>8.3</v>
      </c>
      <c r="M1508" s="39" t="s">
        <v>671</v>
      </c>
      <c r="N1508" s="2" t="s">
        <v>21</v>
      </c>
      <c r="O1508" s="2" t="s">
        <v>21</v>
      </c>
      <c r="P1508" s="2" t="s">
        <v>21</v>
      </c>
      <c r="Q1508" s="2" t="s">
        <v>21</v>
      </c>
    </row>
    <row r="1509" customFormat="false" ht="15" hidden="false" customHeight="false" outlineLevel="0" collapsed="false">
      <c r="A1509" s="2" t="s">
        <v>460</v>
      </c>
      <c r="B1509" s="2" t="s">
        <v>46</v>
      </c>
      <c r="C1509" s="14" t="s">
        <v>1636</v>
      </c>
      <c r="D1509" s="40" t="n">
        <v>18340</v>
      </c>
      <c r="E1509" s="2" t="s">
        <v>667</v>
      </c>
      <c r="F1509" s="41" t="n">
        <v>3.6113413304253</v>
      </c>
      <c r="G1509" s="31" t="n">
        <v>56.7</v>
      </c>
      <c r="H1509" s="42" t="n">
        <v>0.241706161137441</v>
      </c>
      <c r="I1509" s="31" t="n">
        <v>97.5</v>
      </c>
      <c r="J1509" s="2" t="s">
        <v>2700</v>
      </c>
      <c r="K1509" s="43" t="n">
        <v>0.0058187863674148</v>
      </c>
      <c r="L1509" s="31" t="n">
        <v>1</v>
      </c>
      <c r="M1509" s="39" t="s">
        <v>671</v>
      </c>
      <c r="N1509" s="2" t="s">
        <v>21</v>
      </c>
      <c r="O1509" s="2" t="s">
        <v>21</v>
      </c>
      <c r="P1509" s="2" t="s">
        <v>21</v>
      </c>
      <c r="Q1509" s="2" t="s">
        <v>21</v>
      </c>
    </row>
    <row r="1510" customFormat="false" ht="15" hidden="false" customHeight="false" outlineLevel="0" collapsed="false">
      <c r="A1510" s="2" t="s">
        <v>460</v>
      </c>
      <c r="B1510" s="2" t="s">
        <v>47</v>
      </c>
      <c r="C1510" s="13" t="s">
        <v>2677</v>
      </c>
      <c r="D1510" s="35" t="n">
        <v>179929</v>
      </c>
      <c r="E1510" s="2" t="s">
        <v>670</v>
      </c>
      <c r="F1510" s="36" t="n">
        <v>0.22056477832923</v>
      </c>
      <c r="G1510" s="31" t="n">
        <v>1.5</v>
      </c>
      <c r="H1510" s="37" t="n">
        <v>0.0145876329352325</v>
      </c>
      <c r="I1510" s="31" t="n">
        <v>19.9</v>
      </c>
      <c r="J1510" s="2" t="s">
        <v>2701</v>
      </c>
      <c r="K1510" s="38" t="n">
        <v>0.288237504697482</v>
      </c>
      <c r="L1510" s="31" t="n">
        <v>95.2</v>
      </c>
      <c r="M1510" s="39" t="s">
        <v>671</v>
      </c>
      <c r="N1510" s="2" t="s">
        <v>19</v>
      </c>
      <c r="O1510" s="2" t="s">
        <v>19</v>
      </c>
      <c r="P1510" s="2" t="s">
        <v>19</v>
      </c>
      <c r="Q1510" s="2" t="s">
        <v>19</v>
      </c>
    </row>
    <row r="1511" customFormat="false" ht="15" hidden="false" customHeight="false" outlineLevel="0" collapsed="false">
      <c r="A1511" s="2" t="s">
        <v>560</v>
      </c>
      <c r="B1511" s="2" t="s">
        <v>46</v>
      </c>
      <c r="C1511" s="13" t="s">
        <v>1811</v>
      </c>
      <c r="D1511" s="35" t="n">
        <v>16905</v>
      </c>
      <c r="E1511" s="2" t="s">
        <v>667</v>
      </c>
      <c r="F1511" s="36" t="n">
        <v>2.05696539485359</v>
      </c>
      <c r="G1511" s="31" t="n">
        <v>27.5</v>
      </c>
      <c r="H1511" s="37" t="n">
        <v>0.0448084054388134</v>
      </c>
      <c r="I1511" s="31" t="n">
        <v>26.1</v>
      </c>
      <c r="J1511" s="2" t="s">
        <v>2700</v>
      </c>
      <c r="K1511" s="38" t="n">
        <v>0.204588910133843</v>
      </c>
      <c r="L1511" s="31" t="n">
        <v>72.8</v>
      </c>
      <c r="M1511" s="39" t="s">
        <v>671</v>
      </c>
      <c r="N1511" s="2" t="s">
        <v>19</v>
      </c>
      <c r="O1511" s="2" t="s">
        <v>19</v>
      </c>
      <c r="P1511" s="2" t="s">
        <v>19</v>
      </c>
      <c r="Q1511" s="2" t="s">
        <v>19</v>
      </c>
    </row>
    <row r="1512" customFormat="false" ht="15" hidden="false" customHeight="false" outlineLevel="0" collapsed="false">
      <c r="A1512" s="2" t="s">
        <v>2597</v>
      </c>
      <c r="B1512" s="2" t="s">
        <v>45</v>
      </c>
      <c r="C1512" s="16"/>
      <c r="D1512" s="29"/>
      <c r="E1512" s="2"/>
      <c r="F1512" s="30"/>
      <c r="G1512" s="31"/>
      <c r="H1512" s="32"/>
      <c r="I1512" s="31"/>
      <c r="J1512" s="2"/>
      <c r="K1512" s="33"/>
      <c r="L1512" s="31"/>
      <c r="M1512" s="34" t="s">
        <v>668</v>
      </c>
      <c r="N1512" s="2"/>
      <c r="O1512" s="2"/>
      <c r="P1512" s="2"/>
      <c r="Q1512" s="2"/>
    </row>
    <row r="1513" customFormat="false" ht="15" hidden="false" customHeight="false" outlineLevel="0" collapsed="false">
      <c r="A1513" s="2" t="s">
        <v>2597</v>
      </c>
      <c r="B1513" s="2" t="s">
        <v>47</v>
      </c>
      <c r="C1513" s="13" t="s">
        <v>2598</v>
      </c>
      <c r="D1513" s="35" t="n">
        <v>27508</v>
      </c>
      <c r="E1513" s="2" t="s">
        <v>667</v>
      </c>
      <c r="F1513" s="36" t="n">
        <v>0.560927730114876</v>
      </c>
      <c r="G1513" s="31" t="n">
        <v>13.9</v>
      </c>
      <c r="H1513" s="37" t="n">
        <v>0.0753713838936669</v>
      </c>
      <c r="I1513" s="31" t="n">
        <v>41.5</v>
      </c>
      <c r="J1513" s="2" t="s">
        <v>2697</v>
      </c>
      <c r="K1513" s="38" t="n">
        <v>0.0646672914714152</v>
      </c>
      <c r="L1513" s="31" t="n">
        <v>38.1</v>
      </c>
      <c r="M1513" s="39" t="s">
        <v>671</v>
      </c>
      <c r="N1513" s="2" t="s">
        <v>19</v>
      </c>
      <c r="O1513" s="2" t="s">
        <v>19</v>
      </c>
      <c r="P1513" s="2" t="s">
        <v>19</v>
      </c>
      <c r="Q1513" s="2" t="s">
        <v>19</v>
      </c>
    </row>
    <row r="1514" customFormat="false" ht="15" hidden="false" customHeight="false" outlineLevel="0" collapsed="false">
      <c r="A1514" s="2" t="s">
        <v>310</v>
      </c>
      <c r="B1514" s="2" t="s">
        <v>45</v>
      </c>
      <c r="C1514" s="14" t="s">
        <v>970</v>
      </c>
      <c r="D1514" s="40" t="n">
        <v>26230</v>
      </c>
      <c r="E1514" s="2" t="s">
        <v>667</v>
      </c>
      <c r="F1514" s="41" t="n">
        <v>0.706481128478841</v>
      </c>
      <c r="G1514" s="31" t="n">
        <v>59</v>
      </c>
      <c r="H1514" s="42" t="n">
        <v>0.187415119963785</v>
      </c>
      <c r="I1514" s="31" t="n">
        <v>89.3</v>
      </c>
      <c r="J1514" s="2" t="s">
        <v>2704</v>
      </c>
      <c r="K1514" s="43" t="n">
        <v>0.0910834132310642</v>
      </c>
      <c r="L1514" s="31" t="n">
        <v>31.8</v>
      </c>
      <c r="M1514" s="39" t="s">
        <v>671</v>
      </c>
      <c r="N1514" s="2" t="s">
        <v>21</v>
      </c>
      <c r="O1514" s="2" t="s">
        <v>21</v>
      </c>
      <c r="P1514" s="2" t="s">
        <v>21</v>
      </c>
      <c r="Q1514" s="2" t="s">
        <v>21</v>
      </c>
    </row>
    <row r="1515" customFormat="false" ht="15" hidden="false" customHeight="false" outlineLevel="0" collapsed="false">
      <c r="A1515" s="2" t="s">
        <v>310</v>
      </c>
      <c r="B1515" s="2" t="s">
        <v>46</v>
      </c>
      <c r="C1515" s="13" t="s">
        <v>1443</v>
      </c>
      <c r="D1515" s="35" t="n">
        <v>126981</v>
      </c>
      <c r="E1515" s="2" t="s">
        <v>670</v>
      </c>
      <c r="F1515" s="36" t="n">
        <v>7.6137217378978</v>
      </c>
      <c r="G1515" s="31" t="n">
        <v>89.6</v>
      </c>
      <c r="H1515" s="37" t="n">
        <v>-0.00297581658291457</v>
      </c>
      <c r="I1515" s="31" t="n">
        <v>9.9</v>
      </c>
      <c r="J1515" s="2" t="s">
        <v>2705</v>
      </c>
      <c r="K1515" s="38" t="n">
        <v>0.205528756403172</v>
      </c>
      <c r="L1515" s="31" t="n">
        <v>73.3</v>
      </c>
      <c r="M1515" s="39" t="s">
        <v>671</v>
      </c>
      <c r="N1515" s="2" t="s">
        <v>19</v>
      </c>
      <c r="O1515" s="2" t="s">
        <v>19</v>
      </c>
      <c r="P1515" s="2" t="s">
        <v>19</v>
      </c>
      <c r="Q1515" s="2" t="s">
        <v>19</v>
      </c>
    </row>
    <row r="1516" customFormat="false" ht="15" hidden="false" customHeight="false" outlineLevel="0" collapsed="false">
      <c r="A1516" s="2" t="s">
        <v>310</v>
      </c>
      <c r="B1516" s="2" t="s">
        <v>47</v>
      </c>
      <c r="C1516" s="13" t="s">
        <v>2535</v>
      </c>
      <c r="D1516" s="35" t="n">
        <v>48167</v>
      </c>
      <c r="E1516" s="2" t="s">
        <v>667</v>
      </c>
      <c r="F1516" s="36" t="n">
        <v>0.726534764465298</v>
      </c>
      <c r="G1516" s="31" t="n">
        <v>22.2</v>
      </c>
      <c r="H1516" s="37" t="n">
        <v>0.164607461495684</v>
      </c>
      <c r="I1516" s="31" t="n">
        <v>83.3</v>
      </c>
      <c r="J1516" s="2" t="s">
        <v>2697</v>
      </c>
      <c r="K1516" s="38" t="n">
        <v>0.391849529780564</v>
      </c>
      <c r="L1516" s="31" t="n">
        <v>98.3</v>
      </c>
      <c r="M1516" s="39" t="s">
        <v>671</v>
      </c>
      <c r="N1516" s="2" t="s">
        <v>19</v>
      </c>
      <c r="O1516" s="2" t="s">
        <v>19</v>
      </c>
      <c r="P1516" s="2" t="s">
        <v>19</v>
      </c>
      <c r="Q1516" s="2" t="s">
        <v>19</v>
      </c>
    </row>
    <row r="1517" customFormat="false" ht="15" hidden="false" customHeight="false" outlineLevel="0" collapsed="false">
      <c r="A1517" s="2" t="s">
        <v>220</v>
      </c>
      <c r="B1517" s="2" t="s">
        <v>45</v>
      </c>
      <c r="C1517" s="13" t="s">
        <v>1330</v>
      </c>
      <c r="D1517" s="35" t="n">
        <v>80067</v>
      </c>
      <c r="E1517" s="2" t="s">
        <v>667</v>
      </c>
      <c r="F1517" s="36" t="n">
        <v>0.20229307954588</v>
      </c>
      <c r="G1517" s="31" t="n">
        <v>8.1</v>
      </c>
      <c r="H1517" s="37" t="n">
        <v>0.0292049617584678</v>
      </c>
      <c r="I1517" s="31" t="n">
        <v>17.1</v>
      </c>
      <c r="J1517" s="2" t="s">
        <v>2704</v>
      </c>
      <c r="K1517" s="47" t="s">
        <v>680</v>
      </c>
      <c r="L1517" s="31"/>
      <c r="M1517" s="39" t="s">
        <v>671</v>
      </c>
      <c r="N1517" s="2" t="s">
        <v>19</v>
      </c>
      <c r="O1517" s="2" t="s">
        <v>19</v>
      </c>
      <c r="P1517" s="2" t="s">
        <v>19</v>
      </c>
      <c r="Q1517" s="2" t="s">
        <v>2715</v>
      </c>
    </row>
    <row r="1518" customFormat="false" ht="15" hidden="false" customHeight="false" outlineLevel="0" collapsed="false">
      <c r="A1518" s="2" t="s">
        <v>220</v>
      </c>
      <c r="B1518" s="2" t="s">
        <v>46</v>
      </c>
      <c r="C1518" s="14" t="s">
        <v>1401</v>
      </c>
      <c r="D1518" s="40" t="n">
        <v>170160</v>
      </c>
      <c r="E1518" s="2" t="s">
        <v>670</v>
      </c>
      <c r="F1518" s="41" t="n">
        <v>10.0220909732017</v>
      </c>
      <c r="G1518" s="31" t="n">
        <v>96.2</v>
      </c>
      <c r="H1518" s="42" t="n">
        <v>0.179864096519207</v>
      </c>
      <c r="I1518" s="31" t="n">
        <v>92.7</v>
      </c>
      <c r="J1518" s="2" t="s">
        <v>2705</v>
      </c>
      <c r="K1518" s="43" t="n">
        <v>0.0325188420008438</v>
      </c>
      <c r="L1518" s="31" t="n">
        <v>7.3</v>
      </c>
      <c r="M1518" s="39" t="s">
        <v>671</v>
      </c>
      <c r="N1518" s="2" t="s">
        <v>21</v>
      </c>
      <c r="O1518" s="2" t="s">
        <v>21</v>
      </c>
      <c r="P1518" s="2" t="s">
        <v>21</v>
      </c>
      <c r="Q1518" s="2" t="s">
        <v>21</v>
      </c>
    </row>
    <row r="1519" customFormat="false" ht="15" hidden="false" customHeight="false" outlineLevel="0" collapsed="false">
      <c r="A1519" s="2" t="s">
        <v>220</v>
      </c>
      <c r="B1519" s="2" t="s">
        <v>47</v>
      </c>
      <c r="C1519" s="13" t="s">
        <v>1966</v>
      </c>
      <c r="D1519" s="35" t="n">
        <v>151716</v>
      </c>
      <c r="E1519" s="2" t="s">
        <v>670</v>
      </c>
      <c r="F1519" s="36" t="n">
        <v>7.98544649213003</v>
      </c>
      <c r="G1519" s="31" t="n">
        <v>99.6</v>
      </c>
      <c r="H1519" s="37" t="n">
        <v>-0.125667062389783</v>
      </c>
      <c r="I1519" s="31" t="n">
        <v>1.2</v>
      </c>
      <c r="J1519" s="2" t="s">
        <v>2701</v>
      </c>
      <c r="K1519" s="38" t="n">
        <v>0.122594717757061</v>
      </c>
      <c r="L1519" s="31" t="n">
        <v>64</v>
      </c>
      <c r="M1519" s="39" t="s">
        <v>671</v>
      </c>
      <c r="N1519" s="2" t="s">
        <v>19</v>
      </c>
      <c r="O1519" s="2" t="s">
        <v>19</v>
      </c>
      <c r="P1519" s="2" t="s">
        <v>19</v>
      </c>
      <c r="Q1519" s="2" t="s">
        <v>19</v>
      </c>
    </row>
    <row r="1520" customFormat="false" ht="15" hidden="false" customHeight="false" outlineLevel="0" collapsed="false">
      <c r="A1520" s="2" t="s">
        <v>3078</v>
      </c>
      <c r="B1520" s="2" t="s">
        <v>46</v>
      </c>
      <c r="C1520" s="16"/>
      <c r="D1520" s="29"/>
      <c r="E1520" s="2"/>
      <c r="F1520" s="30"/>
      <c r="G1520" s="31"/>
      <c r="H1520" s="32"/>
      <c r="I1520" s="31"/>
      <c r="J1520" s="2"/>
      <c r="K1520" s="33"/>
      <c r="L1520" s="31"/>
      <c r="M1520" s="34" t="s">
        <v>668</v>
      </c>
      <c r="N1520" s="2"/>
      <c r="O1520" s="2"/>
      <c r="P1520" s="2"/>
      <c r="Q1520" s="2"/>
    </row>
    <row r="1521" customFormat="false" ht="15" hidden="false" customHeight="false" outlineLevel="0" collapsed="false">
      <c r="A1521" s="2" t="s">
        <v>2488</v>
      </c>
      <c r="B1521" s="2" t="s">
        <v>45</v>
      </c>
      <c r="C1521" s="16"/>
      <c r="D1521" s="35" t="n">
        <v>10826</v>
      </c>
      <c r="E1521" s="2" t="s">
        <v>667</v>
      </c>
      <c r="F1521" s="36" t="n">
        <v>0.891280251246998</v>
      </c>
      <c r="G1521" s="31" t="n">
        <v>70.1</v>
      </c>
      <c r="H1521" s="37" t="n">
        <v>0.0171944000751668</v>
      </c>
      <c r="I1521" s="31" t="n">
        <v>12.7</v>
      </c>
      <c r="J1521" s="2" t="s">
        <v>2704</v>
      </c>
      <c r="K1521" s="38" t="n">
        <v>0.0385144429160935</v>
      </c>
      <c r="L1521" s="31" t="n">
        <v>9.1</v>
      </c>
      <c r="M1521" s="34" t="s">
        <v>668</v>
      </c>
      <c r="N1521" s="2" t="s">
        <v>19</v>
      </c>
      <c r="O1521" s="2" t="s">
        <v>19</v>
      </c>
      <c r="P1521" s="2" t="s">
        <v>19</v>
      </c>
      <c r="Q1521" s="2" t="s">
        <v>19</v>
      </c>
    </row>
    <row r="1522" customFormat="false" ht="15" hidden="false" customHeight="false" outlineLevel="0" collapsed="false">
      <c r="A1522" s="2" t="s">
        <v>2488</v>
      </c>
      <c r="B1522" s="2" t="s">
        <v>46</v>
      </c>
      <c r="C1522" s="14" t="s">
        <v>3079</v>
      </c>
      <c r="D1522" s="40" t="n">
        <v>28710</v>
      </c>
      <c r="E1522" s="2" t="s">
        <v>667</v>
      </c>
      <c r="F1522" s="41" t="n">
        <v>2.49223267154302</v>
      </c>
      <c r="G1522" s="31" t="n">
        <v>38.5</v>
      </c>
      <c r="H1522" s="32"/>
      <c r="I1522" s="31"/>
      <c r="J1522" s="2"/>
      <c r="K1522" s="43" t="n">
        <v>0.0632331902718169</v>
      </c>
      <c r="L1522" s="31" t="n">
        <v>19.7</v>
      </c>
      <c r="M1522" s="34" t="s">
        <v>668</v>
      </c>
      <c r="N1522" s="2" t="s">
        <v>21</v>
      </c>
      <c r="O1522" s="2" t="s">
        <v>21</v>
      </c>
      <c r="P1522" s="2"/>
      <c r="Q1522" s="2" t="s">
        <v>21</v>
      </c>
    </row>
    <row r="1523" customFormat="false" ht="15" hidden="false" customHeight="false" outlineLevel="0" collapsed="false">
      <c r="A1523" s="2" t="s">
        <v>2488</v>
      </c>
      <c r="B1523" s="2" t="s">
        <v>47</v>
      </c>
      <c r="C1523" s="13" t="s">
        <v>2489</v>
      </c>
      <c r="D1523" s="35" t="n">
        <v>46715</v>
      </c>
      <c r="E1523" s="2" t="s">
        <v>667</v>
      </c>
      <c r="F1523" s="36" t="n">
        <v>0.823654072567698</v>
      </c>
      <c r="G1523" s="31" t="n">
        <v>27.6</v>
      </c>
      <c r="H1523" s="42" t="n">
        <v>0.090327006631603</v>
      </c>
      <c r="I1523" s="31" t="n">
        <v>50.7</v>
      </c>
      <c r="J1523" s="2" t="s">
        <v>2697</v>
      </c>
      <c r="K1523" s="38" t="n">
        <v>0.235111111111111</v>
      </c>
      <c r="L1523" s="31" t="n">
        <v>89.9</v>
      </c>
      <c r="M1523" s="39" t="s">
        <v>671</v>
      </c>
      <c r="N1523" s="2" t="s">
        <v>19</v>
      </c>
      <c r="O1523" s="2" t="s">
        <v>19</v>
      </c>
      <c r="P1523" s="2" t="s">
        <v>21</v>
      </c>
      <c r="Q1523" s="2" t="s">
        <v>19</v>
      </c>
    </row>
    <row r="1524" customFormat="false" ht="15" hidden="false" customHeight="false" outlineLevel="0" collapsed="false">
      <c r="A1524" s="2" t="s">
        <v>2301</v>
      </c>
      <c r="B1524" s="2" t="s">
        <v>45</v>
      </c>
      <c r="C1524" s="14" t="s">
        <v>3080</v>
      </c>
      <c r="D1524" s="40" t="n">
        <v>1120</v>
      </c>
      <c r="E1524" s="2" t="s">
        <v>678</v>
      </c>
      <c r="F1524" s="30"/>
      <c r="G1524" s="31"/>
      <c r="H1524" s="32"/>
      <c r="I1524" s="31"/>
      <c r="J1524" s="2"/>
      <c r="K1524" s="33"/>
      <c r="L1524" s="31"/>
      <c r="M1524" s="34" t="s">
        <v>668</v>
      </c>
      <c r="N1524" s="2" t="s">
        <v>21</v>
      </c>
      <c r="O1524" s="2"/>
      <c r="P1524" s="2"/>
      <c r="Q1524" s="2"/>
    </row>
    <row r="1525" customFormat="false" ht="15" hidden="false" customHeight="false" outlineLevel="0" collapsed="false">
      <c r="A1525" s="2" t="s">
        <v>2301</v>
      </c>
      <c r="B1525" s="2" t="s">
        <v>47</v>
      </c>
      <c r="C1525" s="13" t="s">
        <v>2302</v>
      </c>
      <c r="D1525" s="35" t="n">
        <v>201272</v>
      </c>
      <c r="E1525" s="2" t="s">
        <v>670</v>
      </c>
      <c r="F1525" s="36" t="n">
        <v>1.28074943360229</v>
      </c>
      <c r="G1525" s="31" t="n">
        <v>52.1</v>
      </c>
      <c r="H1525" s="37" t="n">
        <v>0.103622226852512</v>
      </c>
      <c r="I1525" s="31" t="n">
        <v>59</v>
      </c>
      <c r="J1525" s="2" t="s">
        <v>2701</v>
      </c>
      <c r="K1525" s="38" t="n">
        <v>0.0253583241455347</v>
      </c>
      <c r="L1525" s="31" t="n">
        <v>15.4</v>
      </c>
      <c r="M1525" s="39" t="s">
        <v>671</v>
      </c>
      <c r="N1525" s="2" t="s">
        <v>19</v>
      </c>
      <c r="O1525" s="2" t="s">
        <v>19</v>
      </c>
      <c r="P1525" s="2" t="s">
        <v>19</v>
      </c>
      <c r="Q1525" s="2" t="s">
        <v>19</v>
      </c>
    </row>
    <row r="1526" customFormat="false" ht="15" hidden="false" customHeight="false" outlineLevel="0" collapsed="false">
      <c r="A1526" s="2" t="s">
        <v>932</v>
      </c>
      <c r="B1526" s="2" t="s">
        <v>45</v>
      </c>
      <c r="C1526" s="13" t="s">
        <v>933</v>
      </c>
      <c r="D1526" s="35" t="n">
        <v>4258</v>
      </c>
      <c r="E1526" s="2" t="s">
        <v>678</v>
      </c>
      <c r="F1526" s="36" t="n">
        <v>0.796618130577736</v>
      </c>
      <c r="G1526" s="31" t="n">
        <v>64.5</v>
      </c>
      <c r="H1526" s="37" t="n">
        <v>0.0102016607354686</v>
      </c>
      <c r="I1526" s="31" t="n">
        <v>13</v>
      </c>
      <c r="J1526" s="2" t="s">
        <v>2713</v>
      </c>
      <c r="K1526" s="38" t="n">
        <v>0.132231404958678</v>
      </c>
      <c r="L1526" s="31" t="n">
        <v>48.6</v>
      </c>
      <c r="M1526" s="39" t="s">
        <v>671</v>
      </c>
      <c r="N1526" s="2" t="s">
        <v>19</v>
      </c>
      <c r="O1526" s="2" t="s">
        <v>19</v>
      </c>
      <c r="P1526" s="2" t="s">
        <v>19</v>
      </c>
      <c r="Q1526" s="2" t="s">
        <v>19</v>
      </c>
    </row>
    <row r="1527" customFormat="false" ht="15" hidden="false" customHeight="false" outlineLevel="0" collapsed="false">
      <c r="A1527" s="2" t="s">
        <v>932</v>
      </c>
      <c r="B1527" s="2" t="s">
        <v>46</v>
      </c>
      <c r="C1527" s="14" t="s">
        <v>3081</v>
      </c>
      <c r="D1527" s="40" t="n">
        <v>11160</v>
      </c>
      <c r="E1527" s="2" t="s">
        <v>667</v>
      </c>
      <c r="F1527" s="41" t="n">
        <v>3.13790322580645</v>
      </c>
      <c r="G1527" s="31" t="n">
        <v>50.1</v>
      </c>
      <c r="H1527" s="32"/>
      <c r="I1527" s="31"/>
      <c r="J1527" s="2"/>
      <c r="K1527" s="43" t="n">
        <v>0.239074550128535</v>
      </c>
      <c r="L1527" s="31" t="n">
        <v>80.3</v>
      </c>
      <c r="M1527" s="34" t="s">
        <v>668</v>
      </c>
      <c r="N1527" s="2" t="s">
        <v>21</v>
      </c>
      <c r="O1527" s="2" t="s">
        <v>21</v>
      </c>
      <c r="P1527" s="2"/>
      <c r="Q1527" s="2" t="s">
        <v>21</v>
      </c>
    </row>
    <row r="1528" customFormat="false" ht="15" hidden="false" customHeight="false" outlineLevel="0" collapsed="false">
      <c r="A1528" s="2" t="s">
        <v>932</v>
      </c>
      <c r="B1528" s="2" t="s">
        <v>47</v>
      </c>
      <c r="C1528" s="13" t="s">
        <v>2646</v>
      </c>
      <c r="D1528" s="35" t="n">
        <v>21273</v>
      </c>
      <c r="E1528" s="2" t="s">
        <v>667</v>
      </c>
      <c r="F1528" s="36" t="n">
        <v>0.32929065011987</v>
      </c>
      <c r="G1528" s="31" t="n">
        <v>5.3</v>
      </c>
      <c r="H1528" s="37" t="n">
        <v>0.00254488901456242</v>
      </c>
      <c r="I1528" s="31" t="n">
        <v>11.3</v>
      </c>
      <c r="J1528" s="2" t="s">
        <v>2697</v>
      </c>
      <c r="K1528" s="38" t="n">
        <v>0.25</v>
      </c>
      <c r="L1528" s="31" t="n">
        <v>92.2</v>
      </c>
      <c r="M1528" s="39" t="s">
        <v>671</v>
      </c>
      <c r="N1528" s="2" t="s">
        <v>19</v>
      </c>
      <c r="O1528" s="2" t="s">
        <v>19</v>
      </c>
      <c r="P1528" s="2" t="s">
        <v>19</v>
      </c>
      <c r="Q1528" s="2" t="s">
        <v>19</v>
      </c>
    </row>
    <row r="1529" customFormat="false" ht="15" hidden="false" customHeight="false" outlineLevel="0" collapsed="false">
      <c r="A1529" s="2" t="s">
        <v>276</v>
      </c>
      <c r="B1529" s="2" t="s">
        <v>45</v>
      </c>
      <c r="C1529" s="13" t="s">
        <v>1287</v>
      </c>
      <c r="D1529" s="35" t="n">
        <v>372974</v>
      </c>
      <c r="E1529" s="2" t="s">
        <v>670</v>
      </c>
      <c r="F1529" s="36" t="n">
        <v>0.273246928740341</v>
      </c>
      <c r="G1529" s="31" t="n">
        <v>15.6</v>
      </c>
      <c r="H1529" s="37" t="n">
        <v>0.19879533562181</v>
      </c>
      <c r="I1529" s="31" t="n">
        <v>93.5</v>
      </c>
      <c r="J1529" s="2" t="s">
        <v>2698</v>
      </c>
      <c r="K1529" s="38" t="n">
        <v>0.104989953114535</v>
      </c>
      <c r="L1529" s="31" t="n">
        <v>37.3</v>
      </c>
      <c r="M1529" s="39" t="s">
        <v>671</v>
      </c>
      <c r="N1529" s="2" t="s">
        <v>19</v>
      </c>
      <c r="O1529" s="2" t="s">
        <v>19</v>
      </c>
      <c r="P1529" s="2" t="s">
        <v>19</v>
      </c>
      <c r="Q1529" s="2" t="s">
        <v>19</v>
      </c>
    </row>
    <row r="1530" customFormat="false" ht="15" hidden="false" customHeight="false" outlineLevel="0" collapsed="false">
      <c r="A1530" s="2" t="s">
        <v>276</v>
      </c>
      <c r="B1530" s="2" t="s">
        <v>46</v>
      </c>
      <c r="C1530" s="14" t="s">
        <v>1561</v>
      </c>
      <c r="D1530" s="40" t="n">
        <v>29110</v>
      </c>
      <c r="E1530" s="2" t="s">
        <v>667</v>
      </c>
      <c r="F1530" s="41" t="n">
        <v>4.71700446581931</v>
      </c>
      <c r="G1530" s="31" t="n">
        <v>70.4</v>
      </c>
      <c r="H1530" s="42" t="n">
        <v>0.105163249810175</v>
      </c>
      <c r="I1530" s="31" t="n">
        <v>58.1</v>
      </c>
      <c r="J1530" s="2" t="s">
        <v>2700</v>
      </c>
      <c r="K1530" s="43" t="n">
        <v>0.103551775887944</v>
      </c>
      <c r="L1530" s="31" t="n">
        <v>33.9</v>
      </c>
      <c r="M1530" s="39" t="s">
        <v>671</v>
      </c>
      <c r="N1530" s="2" t="s">
        <v>21</v>
      </c>
      <c r="O1530" s="2" t="s">
        <v>21</v>
      </c>
      <c r="P1530" s="2" t="s">
        <v>21</v>
      </c>
      <c r="Q1530" s="2" t="s">
        <v>21</v>
      </c>
    </row>
    <row r="1531" customFormat="false" ht="15" hidden="false" customHeight="false" outlineLevel="0" collapsed="false">
      <c r="A1531" s="2" t="s">
        <v>276</v>
      </c>
      <c r="B1531" s="2" t="s">
        <v>47</v>
      </c>
      <c r="C1531" s="13" t="s">
        <v>1979</v>
      </c>
      <c r="D1531" s="35" t="n">
        <v>23373</v>
      </c>
      <c r="E1531" s="2" t="s">
        <v>667</v>
      </c>
      <c r="F1531" s="36" t="n">
        <v>5.4608308732298</v>
      </c>
      <c r="G1531" s="31" t="n">
        <v>97.7</v>
      </c>
      <c r="H1531" s="37" t="n">
        <v>0.116082513609015</v>
      </c>
      <c r="I1531" s="31" t="n">
        <v>62.1</v>
      </c>
      <c r="J1531" s="2" t="s">
        <v>2697</v>
      </c>
      <c r="K1531" s="38" t="n">
        <v>0.132941019125318</v>
      </c>
      <c r="L1531" s="31" t="n">
        <v>66.3</v>
      </c>
      <c r="M1531" s="39" t="s">
        <v>671</v>
      </c>
      <c r="N1531" s="2" t="s">
        <v>19</v>
      </c>
      <c r="O1531" s="2" t="s">
        <v>19</v>
      </c>
      <c r="P1531" s="2" t="s">
        <v>19</v>
      </c>
      <c r="Q1531" s="2" t="s">
        <v>19</v>
      </c>
    </row>
    <row r="1532" customFormat="false" ht="15" hidden="false" customHeight="false" outlineLevel="0" collapsed="false">
      <c r="A1532" s="2" t="s">
        <v>462</v>
      </c>
      <c r="B1532" s="2" t="s">
        <v>45</v>
      </c>
      <c r="C1532" s="13" t="s">
        <v>1167</v>
      </c>
      <c r="D1532" s="35" t="n">
        <v>22348</v>
      </c>
      <c r="E1532" s="2" t="s">
        <v>667</v>
      </c>
      <c r="F1532" s="36" t="n">
        <v>0.41887417218543</v>
      </c>
      <c r="G1532" s="31" t="n">
        <v>32.9</v>
      </c>
      <c r="H1532" s="37" t="n">
        <v>0.123692679002414</v>
      </c>
      <c r="I1532" s="31" t="n">
        <v>63.5</v>
      </c>
      <c r="J1532" s="2" t="s">
        <v>2704</v>
      </c>
      <c r="K1532" s="38" t="n">
        <v>0.0712435233160622</v>
      </c>
      <c r="L1532" s="31" t="n">
        <v>21.8</v>
      </c>
      <c r="M1532" s="39" t="s">
        <v>671</v>
      </c>
      <c r="N1532" s="2" t="s">
        <v>19</v>
      </c>
      <c r="O1532" s="2" t="s">
        <v>19</v>
      </c>
      <c r="P1532" s="2" t="s">
        <v>19</v>
      </c>
      <c r="Q1532" s="2" t="s">
        <v>19</v>
      </c>
    </row>
    <row r="1533" customFormat="false" ht="15" hidden="false" customHeight="false" outlineLevel="0" collapsed="false">
      <c r="A1533" s="2" t="s">
        <v>462</v>
      </c>
      <c r="B1533" s="2" t="s">
        <v>47</v>
      </c>
      <c r="C1533" s="13" t="s">
        <v>2333</v>
      </c>
      <c r="D1533" s="35" t="n">
        <v>30904</v>
      </c>
      <c r="E1533" s="2" t="s">
        <v>667</v>
      </c>
      <c r="F1533" s="36" t="n">
        <v>1.17987962723272</v>
      </c>
      <c r="G1533" s="31" t="n">
        <v>47.9</v>
      </c>
      <c r="H1533" s="37" t="n">
        <v>0.156630113402448</v>
      </c>
      <c r="I1533" s="31" t="n">
        <v>79.8</v>
      </c>
      <c r="J1533" s="2" t="s">
        <v>2697</v>
      </c>
      <c r="K1533" s="38" t="n">
        <v>0.11516654854713</v>
      </c>
      <c r="L1533" s="31" t="n">
        <v>61.1</v>
      </c>
      <c r="M1533" s="39" t="s">
        <v>671</v>
      </c>
      <c r="N1533" s="2" t="s">
        <v>19</v>
      </c>
      <c r="O1533" s="2" t="s">
        <v>19</v>
      </c>
      <c r="P1533" s="2" t="s">
        <v>19</v>
      </c>
      <c r="Q1533" s="2" t="s">
        <v>19</v>
      </c>
    </row>
    <row r="1534" customFormat="false" ht="15" hidden="false" customHeight="false" outlineLevel="0" collapsed="false">
      <c r="A1534" s="2" t="s">
        <v>179</v>
      </c>
      <c r="B1534" s="2" t="s">
        <v>45</v>
      </c>
      <c r="C1534" s="13" t="s">
        <v>823</v>
      </c>
      <c r="D1534" s="35" t="n">
        <v>30971</v>
      </c>
      <c r="E1534" s="2" t="s">
        <v>667</v>
      </c>
      <c r="F1534" s="36" t="n">
        <v>1.11969261567273</v>
      </c>
      <c r="G1534" s="31" t="n">
        <v>80.3</v>
      </c>
      <c r="H1534" s="37" t="n">
        <v>0.000452240204154149</v>
      </c>
      <c r="I1534" s="31" t="n">
        <v>9.5</v>
      </c>
      <c r="J1534" s="2" t="s">
        <v>2704</v>
      </c>
      <c r="K1534" s="38" t="n">
        <v>0.114649681528662</v>
      </c>
      <c r="L1534" s="31" t="n">
        <v>41.2</v>
      </c>
      <c r="M1534" s="39" t="s">
        <v>671</v>
      </c>
      <c r="N1534" s="2" t="s">
        <v>19</v>
      </c>
      <c r="O1534" s="2" t="s">
        <v>19</v>
      </c>
      <c r="P1534" s="2" t="s">
        <v>19</v>
      </c>
      <c r="Q1534" s="2" t="s">
        <v>19</v>
      </c>
    </row>
    <row r="1535" customFormat="false" ht="15" hidden="false" customHeight="false" outlineLevel="0" collapsed="false">
      <c r="A1535" s="2" t="s">
        <v>179</v>
      </c>
      <c r="B1535" s="2" t="s">
        <v>46</v>
      </c>
      <c r="C1535" s="14" t="s">
        <v>1460</v>
      </c>
      <c r="D1535" s="40" t="n">
        <v>7310</v>
      </c>
      <c r="E1535" s="2" t="s">
        <v>678</v>
      </c>
      <c r="F1535" s="41" t="n">
        <v>6.97195622435021</v>
      </c>
      <c r="G1535" s="31" t="n">
        <v>87.1</v>
      </c>
      <c r="H1535" s="42" t="n">
        <v>0.091044776119403</v>
      </c>
      <c r="I1535" s="31" t="n">
        <v>37.5</v>
      </c>
      <c r="J1535" s="2" t="s">
        <v>2720</v>
      </c>
      <c r="K1535" s="43" t="n">
        <v>0.0814380044020543</v>
      </c>
      <c r="L1535" s="31" t="n">
        <v>24.6</v>
      </c>
      <c r="M1535" s="39" t="s">
        <v>671</v>
      </c>
      <c r="N1535" s="2" t="s">
        <v>21</v>
      </c>
      <c r="O1535" s="2" t="s">
        <v>21</v>
      </c>
      <c r="P1535" s="2" t="s">
        <v>21</v>
      </c>
      <c r="Q1535" s="2" t="s">
        <v>21</v>
      </c>
    </row>
    <row r="1536" customFormat="false" ht="15" hidden="false" customHeight="false" outlineLevel="0" collapsed="false">
      <c r="A1536" s="2" t="s">
        <v>179</v>
      </c>
      <c r="B1536" s="2" t="s">
        <v>47</v>
      </c>
      <c r="C1536" s="13" t="s">
        <v>2282</v>
      </c>
      <c r="D1536" s="35" t="n">
        <v>217983</v>
      </c>
      <c r="E1536" s="2" t="s">
        <v>670</v>
      </c>
      <c r="F1536" s="36" t="n">
        <v>1.38781923360996</v>
      </c>
      <c r="G1536" s="31" t="n">
        <v>54.9</v>
      </c>
      <c r="H1536" s="37" t="n">
        <v>0.0646040389734073</v>
      </c>
      <c r="I1536" s="31" t="n">
        <v>41</v>
      </c>
      <c r="J1536" s="2" t="s">
        <v>2701</v>
      </c>
      <c r="K1536" s="38" t="n">
        <v>0.230605846060484</v>
      </c>
      <c r="L1536" s="31" t="n">
        <v>89.7</v>
      </c>
      <c r="M1536" s="39" t="s">
        <v>671</v>
      </c>
      <c r="N1536" s="2" t="s">
        <v>19</v>
      </c>
      <c r="O1536" s="2" t="s">
        <v>19</v>
      </c>
      <c r="P1536" s="2" t="s">
        <v>19</v>
      </c>
      <c r="Q1536" s="2" t="s">
        <v>19</v>
      </c>
    </row>
    <row r="1537" customFormat="false" ht="15" hidden="false" customHeight="false" outlineLevel="0" collapsed="false">
      <c r="A1537" s="2" t="s">
        <v>1584</v>
      </c>
      <c r="B1537" s="2" t="s">
        <v>45</v>
      </c>
      <c r="C1537" s="16"/>
      <c r="D1537" s="29"/>
      <c r="E1537" s="2"/>
      <c r="F1537" s="30"/>
      <c r="G1537" s="31"/>
      <c r="H1537" s="32"/>
      <c r="I1537" s="31"/>
      <c r="J1537" s="2"/>
      <c r="K1537" s="33"/>
      <c r="L1537" s="31"/>
      <c r="M1537" s="34" t="s">
        <v>668</v>
      </c>
      <c r="N1537" s="2"/>
      <c r="O1537" s="2"/>
      <c r="P1537" s="2"/>
      <c r="Q1537" s="2"/>
    </row>
    <row r="1538" customFormat="false" ht="15" hidden="false" customHeight="false" outlineLevel="0" collapsed="false">
      <c r="A1538" s="2" t="s">
        <v>1584</v>
      </c>
      <c r="B1538" s="2" t="s">
        <v>46</v>
      </c>
      <c r="C1538" s="13" t="s">
        <v>1585</v>
      </c>
      <c r="D1538" s="35" t="n">
        <v>49012</v>
      </c>
      <c r="E1538" s="2" t="s">
        <v>667</v>
      </c>
      <c r="F1538" s="36" t="n">
        <v>4.35670856116869</v>
      </c>
      <c r="G1538" s="31" t="n">
        <v>67.4</v>
      </c>
      <c r="H1538" s="37" t="n">
        <v>0.131185376661743</v>
      </c>
      <c r="I1538" s="31" t="n">
        <v>70.1</v>
      </c>
      <c r="J1538" s="2" t="s">
        <v>2700</v>
      </c>
      <c r="K1538" s="38" t="n">
        <v>0.323153409090909</v>
      </c>
      <c r="L1538" s="31" t="n">
        <v>94.3</v>
      </c>
      <c r="M1538" s="39" t="s">
        <v>671</v>
      </c>
      <c r="N1538" s="2" t="s">
        <v>19</v>
      </c>
      <c r="O1538" s="2" t="s">
        <v>19</v>
      </c>
      <c r="P1538" s="2" t="s">
        <v>19</v>
      </c>
      <c r="Q1538" s="2" t="s">
        <v>19</v>
      </c>
    </row>
    <row r="1539" customFormat="false" ht="15" hidden="false" customHeight="false" outlineLevel="0" collapsed="false">
      <c r="A1539" s="2" t="s">
        <v>1584</v>
      </c>
      <c r="B1539" s="2" t="s">
        <v>47</v>
      </c>
      <c r="C1539" s="13" t="s">
        <v>2399</v>
      </c>
      <c r="D1539" s="35" t="n">
        <v>186250</v>
      </c>
      <c r="E1539" s="2" t="s">
        <v>670</v>
      </c>
      <c r="F1539" s="36" t="n">
        <v>1.02574496644295</v>
      </c>
      <c r="G1539" s="31" t="n">
        <v>39</v>
      </c>
      <c r="H1539" s="37" t="n">
        <v>0.176191979791601</v>
      </c>
      <c r="I1539" s="31" t="n">
        <v>85.5</v>
      </c>
      <c r="J1539" s="2" t="s">
        <v>2701</v>
      </c>
      <c r="K1539" s="38" t="n">
        <v>0.0589165261382799</v>
      </c>
      <c r="L1539" s="31" t="n">
        <v>35.4</v>
      </c>
      <c r="M1539" s="39" t="s">
        <v>671</v>
      </c>
      <c r="N1539" s="2" t="s">
        <v>19</v>
      </c>
      <c r="O1539" s="2" t="s">
        <v>19</v>
      </c>
      <c r="P1539" s="2" t="s">
        <v>19</v>
      </c>
      <c r="Q1539" s="2" t="s">
        <v>19</v>
      </c>
    </row>
    <row r="1540" customFormat="false" ht="15" hidden="false" customHeight="false" outlineLevel="0" collapsed="false">
      <c r="A1540" s="2" t="s">
        <v>1512</v>
      </c>
      <c r="B1540" s="2" t="s">
        <v>45</v>
      </c>
      <c r="C1540" s="16"/>
      <c r="D1540" s="29"/>
      <c r="E1540" s="2"/>
      <c r="F1540" s="30"/>
      <c r="G1540" s="31"/>
      <c r="H1540" s="32"/>
      <c r="I1540" s="31"/>
      <c r="J1540" s="2"/>
      <c r="K1540" s="33"/>
      <c r="L1540" s="31"/>
      <c r="M1540" s="34" t="s">
        <v>668</v>
      </c>
      <c r="N1540" s="2"/>
      <c r="O1540" s="2"/>
      <c r="P1540" s="2"/>
      <c r="Q1540" s="2"/>
    </row>
    <row r="1541" customFormat="false" ht="15" hidden="false" customHeight="false" outlineLevel="0" collapsed="false">
      <c r="A1541" s="2" t="s">
        <v>1512</v>
      </c>
      <c r="B1541" s="2" t="s">
        <v>46</v>
      </c>
      <c r="C1541" s="14" t="s">
        <v>1513</v>
      </c>
      <c r="D1541" s="40" t="n">
        <v>187870</v>
      </c>
      <c r="E1541" s="2" t="s">
        <v>670</v>
      </c>
      <c r="F1541" s="41" t="n">
        <v>5.6462926491723</v>
      </c>
      <c r="G1541" s="31" t="n">
        <v>79.7</v>
      </c>
      <c r="H1541" s="42" t="n">
        <v>0.0201455256298871</v>
      </c>
      <c r="I1541" s="31" t="n">
        <v>16.6</v>
      </c>
      <c r="J1541" s="2" t="s">
        <v>2705</v>
      </c>
      <c r="K1541" s="43" t="n">
        <v>0.0615051769432854</v>
      </c>
      <c r="L1541" s="31" t="n">
        <v>18.7</v>
      </c>
      <c r="M1541" s="39" t="s">
        <v>671</v>
      </c>
      <c r="N1541" s="2" t="s">
        <v>21</v>
      </c>
      <c r="O1541" s="2" t="s">
        <v>21</v>
      </c>
      <c r="P1541" s="2" t="s">
        <v>21</v>
      </c>
      <c r="Q1541" s="2" t="s">
        <v>21</v>
      </c>
    </row>
    <row r="1542" customFormat="false" ht="15" hidden="false" customHeight="false" outlineLevel="0" collapsed="false">
      <c r="A1542" s="2" t="s">
        <v>1512</v>
      </c>
      <c r="B1542" s="2" t="s">
        <v>47</v>
      </c>
      <c r="C1542" s="13" t="s">
        <v>2137</v>
      </c>
      <c r="D1542" s="35" t="n">
        <v>77480</v>
      </c>
      <c r="E1542" s="2" t="s">
        <v>667</v>
      </c>
      <c r="F1542" s="36" t="n">
        <v>2.01595250387197</v>
      </c>
      <c r="G1542" s="31" t="n">
        <v>74.5</v>
      </c>
      <c r="H1542" s="37" t="n">
        <v>0.186596422445479</v>
      </c>
      <c r="I1542" s="31" t="n">
        <v>91.5</v>
      </c>
      <c r="J1542" s="2" t="s">
        <v>2697</v>
      </c>
      <c r="K1542" s="38" t="n">
        <v>0.143265271825897</v>
      </c>
      <c r="L1542" s="31" t="n">
        <v>69.1</v>
      </c>
      <c r="M1542" s="39" t="s">
        <v>671</v>
      </c>
      <c r="N1542" s="2" t="s">
        <v>19</v>
      </c>
      <c r="O1542" s="2" t="s">
        <v>19</v>
      </c>
      <c r="P1542" s="2" t="s">
        <v>19</v>
      </c>
      <c r="Q1542" s="2" t="s">
        <v>19</v>
      </c>
    </row>
    <row r="1543" customFormat="false" ht="15" hidden="false" customHeight="false" outlineLevel="0" collapsed="false">
      <c r="A1543" s="2" t="s">
        <v>1416</v>
      </c>
      <c r="B1543" s="2" t="s">
        <v>45</v>
      </c>
      <c r="C1543" s="14" t="s">
        <v>3082</v>
      </c>
      <c r="D1543" s="40" t="n">
        <v>16560</v>
      </c>
      <c r="E1543" s="2" t="s">
        <v>667</v>
      </c>
      <c r="F1543" s="41" t="n">
        <v>0.333635265700483</v>
      </c>
      <c r="G1543" s="31" t="n">
        <v>22</v>
      </c>
      <c r="H1543" s="42" t="n">
        <v>0.0454545454545455</v>
      </c>
      <c r="I1543" s="31" t="n">
        <v>27</v>
      </c>
      <c r="J1543" s="2" t="s">
        <v>2704</v>
      </c>
      <c r="K1543" s="33"/>
      <c r="L1543" s="31"/>
      <c r="M1543" s="34" t="s">
        <v>668</v>
      </c>
      <c r="N1543" s="2" t="s">
        <v>21</v>
      </c>
      <c r="O1543" s="2" t="s">
        <v>21</v>
      </c>
      <c r="P1543" s="2" t="s">
        <v>21</v>
      </c>
      <c r="Q1543" s="2"/>
    </row>
    <row r="1544" customFormat="false" ht="15" hidden="false" customHeight="false" outlineLevel="0" collapsed="false">
      <c r="A1544" s="2" t="s">
        <v>1416</v>
      </c>
      <c r="B1544" s="2" t="s">
        <v>46</v>
      </c>
      <c r="C1544" s="14" t="s">
        <v>1417</v>
      </c>
      <c r="D1544" s="40" t="n">
        <v>60850</v>
      </c>
      <c r="E1544" s="2" t="s">
        <v>667</v>
      </c>
      <c r="F1544" s="41" t="n">
        <v>8.84534100246508</v>
      </c>
      <c r="G1544" s="31" t="n">
        <v>93.4</v>
      </c>
      <c r="H1544" s="42" t="n">
        <v>0.145303971390928</v>
      </c>
      <c r="I1544" s="31" t="n">
        <v>77.2</v>
      </c>
      <c r="J1544" s="2" t="s">
        <v>2700</v>
      </c>
      <c r="K1544" s="43" t="n">
        <v>0.265780650763405</v>
      </c>
      <c r="L1544" s="31" t="n">
        <v>86</v>
      </c>
      <c r="M1544" s="39" t="s">
        <v>671</v>
      </c>
      <c r="N1544" s="2" t="s">
        <v>21</v>
      </c>
      <c r="O1544" s="2" t="s">
        <v>21</v>
      </c>
      <c r="P1544" s="2" t="s">
        <v>21</v>
      </c>
      <c r="Q1544" s="2" t="s">
        <v>21</v>
      </c>
    </row>
    <row r="1545" customFormat="false" ht="15" hidden="false" customHeight="false" outlineLevel="0" collapsed="false">
      <c r="A1545" s="2" t="s">
        <v>3083</v>
      </c>
      <c r="B1545" s="2" t="s">
        <v>45</v>
      </c>
      <c r="C1545" s="15" t="s">
        <v>3084</v>
      </c>
      <c r="D1545" s="44" t="n">
        <v>28356</v>
      </c>
      <c r="E1545" s="2" t="s">
        <v>667</v>
      </c>
      <c r="F1545" s="45" t="n">
        <v>0.770983213429257</v>
      </c>
      <c r="G1545" s="31" t="n">
        <v>63</v>
      </c>
      <c r="H1545" s="46" t="n">
        <v>0.0257189365165491</v>
      </c>
      <c r="I1545" s="31" t="n">
        <v>15.5</v>
      </c>
      <c r="J1545" s="2" t="s">
        <v>2704</v>
      </c>
      <c r="K1545" s="33"/>
      <c r="L1545" s="31"/>
      <c r="M1545" s="34" t="s">
        <v>668</v>
      </c>
      <c r="N1545" s="2" t="s">
        <v>17</v>
      </c>
      <c r="O1545" s="2" t="s">
        <v>17</v>
      </c>
      <c r="P1545" s="2" t="s">
        <v>17</v>
      </c>
      <c r="Q1545" s="2"/>
    </row>
    <row r="1546" customFormat="false" ht="15" hidden="false" customHeight="false" outlineLevel="0" collapsed="false">
      <c r="A1546" s="2" t="s">
        <v>402</v>
      </c>
      <c r="B1546" s="2" t="s">
        <v>45</v>
      </c>
      <c r="C1546" s="14" t="s">
        <v>1064</v>
      </c>
      <c r="D1546" s="40" t="n">
        <v>125520</v>
      </c>
      <c r="E1546" s="2" t="s">
        <v>670</v>
      </c>
      <c r="F1546" s="41" t="n">
        <v>0.564706819630338</v>
      </c>
      <c r="G1546" s="31" t="n">
        <v>46.6</v>
      </c>
      <c r="H1546" s="42" t="n">
        <v>0.0199073697895507</v>
      </c>
      <c r="I1546" s="31" t="n">
        <v>21</v>
      </c>
      <c r="J1546" s="2" t="s">
        <v>2698</v>
      </c>
      <c r="K1546" s="43" t="n">
        <v>0.308142940831869</v>
      </c>
      <c r="L1546" s="31" t="n">
        <v>92.3</v>
      </c>
      <c r="M1546" s="39" t="s">
        <v>671</v>
      </c>
      <c r="N1546" s="2" t="s">
        <v>21</v>
      </c>
      <c r="O1546" s="2" t="s">
        <v>21</v>
      </c>
      <c r="P1546" s="2" t="s">
        <v>21</v>
      </c>
      <c r="Q1546" s="2" t="s">
        <v>21</v>
      </c>
    </row>
    <row r="1547" customFormat="false" ht="15" hidden="false" customHeight="false" outlineLevel="0" collapsed="false">
      <c r="A1547" s="2" t="s">
        <v>2484</v>
      </c>
      <c r="B1547" s="2" t="s">
        <v>46</v>
      </c>
      <c r="C1547" s="15" t="s">
        <v>3085</v>
      </c>
      <c r="D1547" s="44" t="n">
        <v>135603</v>
      </c>
      <c r="E1547" s="2" t="s">
        <v>670</v>
      </c>
      <c r="F1547" s="45" t="n">
        <v>0.833882731208012</v>
      </c>
      <c r="G1547" s="31" t="n">
        <v>4.4</v>
      </c>
      <c r="H1547" s="46" t="n">
        <v>0.15429403202329</v>
      </c>
      <c r="I1547" s="31" t="n">
        <v>85.4</v>
      </c>
      <c r="J1547" s="2" t="s">
        <v>2705</v>
      </c>
      <c r="K1547" s="33"/>
      <c r="L1547" s="31"/>
      <c r="M1547" s="34" t="s">
        <v>668</v>
      </c>
      <c r="N1547" s="2" t="s">
        <v>17</v>
      </c>
      <c r="O1547" s="2" t="s">
        <v>17</v>
      </c>
      <c r="P1547" s="2" t="s">
        <v>17</v>
      </c>
      <c r="Q1547" s="2"/>
    </row>
    <row r="1548" customFormat="false" ht="15" hidden="false" customHeight="false" outlineLevel="0" collapsed="false">
      <c r="A1548" s="2" t="s">
        <v>2484</v>
      </c>
      <c r="B1548" s="2" t="s">
        <v>47</v>
      </c>
      <c r="C1548" s="13" t="s">
        <v>2485</v>
      </c>
      <c r="D1548" s="35" t="n">
        <v>24191</v>
      </c>
      <c r="E1548" s="2" t="s">
        <v>667</v>
      </c>
      <c r="F1548" s="36" t="n">
        <v>0.828531271960647</v>
      </c>
      <c r="G1548" s="31" t="n">
        <v>27.9</v>
      </c>
      <c r="H1548" s="37" t="n">
        <v>0.14812529663028</v>
      </c>
      <c r="I1548" s="31" t="n">
        <v>77</v>
      </c>
      <c r="J1548" s="2" t="s">
        <v>2697</v>
      </c>
      <c r="K1548" s="38" t="n">
        <v>0.0672097759674134</v>
      </c>
      <c r="L1548" s="31" t="n">
        <v>38.5</v>
      </c>
      <c r="M1548" s="39" t="s">
        <v>671</v>
      </c>
      <c r="N1548" s="2" t="s">
        <v>19</v>
      </c>
      <c r="O1548" s="2" t="s">
        <v>19</v>
      </c>
      <c r="P1548" s="2" t="s">
        <v>19</v>
      </c>
      <c r="Q1548" s="2" t="s">
        <v>19</v>
      </c>
    </row>
    <row r="1549" customFormat="false" ht="15" hidden="false" customHeight="false" outlineLevel="0" collapsed="false">
      <c r="A1549" s="2" t="s">
        <v>606</v>
      </c>
      <c r="B1549" s="2" t="s">
        <v>45</v>
      </c>
      <c r="C1549" s="13" t="s">
        <v>1293</v>
      </c>
      <c r="D1549" s="35" t="n">
        <v>17756</v>
      </c>
      <c r="E1549" s="2" t="s">
        <v>667</v>
      </c>
      <c r="F1549" s="36" t="n">
        <v>0.262446496958775</v>
      </c>
      <c r="G1549" s="31" t="n">
        <v>14.3</v>
      </c>
      <c r="H1549" s="37" t="n">
        <v>0.0288561826399351</v>
      </c>
      <c r="I1549" s="31" t="n">
        <v>16.7</v>
      </c>
      <c r="J1549" s="2" t="s">
        <v>2704</v>
      </c>
      <c r="K1549" s="38" t="n">
        <v>0.301158301158301</v>
      </c>
      <c r="L1549" s="31" t="n">
        <v>91.2</v>
      </c>
      <c r="M1549" s="39" t="s">
        <v>671</v>
      </c>
      <c r="N1549" s="2" t="s">
        <v>19</v>
      </c>
      <c r="O1549" s="2" t="s">
        <v>19</v>
      </c>
      <c r="P1549" s="2" t="s">
        <v>19</v>
      </c>
      <c r="Q1549" s="2" t="s">
        <v>19</v>
      </c>
    </row>
    <row r="1550" customFormat="false" ht="15" hidden="false" customHeight="false" outlineLevel="0" collapsed="false">
      <c r="A1550" s="2" t="s">
        <v>606</v>
      </c>
      <c r="B1550" s="2" t="s">
        <v>46</v>
      </c>
      <c r="C1550" s="14" t="s">
        <v>1744</v>
      </c>
      <c r="D1550" s="40" t="n">
        <v>11290</v>
      </c>
      <c r="E1550" s="2" t="s">
        <v>667</v>
      </c>
      <c r="F1550" s="41" t="n">
        <v>2.49486271036315</v>
      </c>
      <c r="G1550" s="31" t="n">
        <v>38.7</v>
      </c>
      <c r="H1550" s="42" t="n">
        <v>-0.0776143790849673</v>
      </c>
      <c r="I1550" s="31" t="n">
        <v>2.5</v>
      </c>
      <c r="J1550" s="2" t="s">
        <v>2700</v>
      </c>
      <c r="K1550" s="43" t="n">
        <v>0.148760330578512</v>
      </c>
      <c r="L1550" s="31" t="n">
        <v>56.7</v>
      </c>
      <c r="M1550" s="39" t="s">
        <v>671</v>
      </c>
      <c r="N1550" s="2" t="s">
        <v>21</v>
      </c>
      <c r="O1550" s="2" t="s">
        <v>21</v>
      </c>
      <c r="P1550" s="2" t="s">
        <v>21</v>
      </c>
      <c r="Q1550" s="2" t="s">
        <v>21</v>
      </c>
    </row>
    <row r="1551" customFormat="false" ht="15" hidden="false" customHeight="false" outlineLevel="0" collapsed="false">
      <c r="A1551" s="2" t="s">
        <v>606</v>
      </c>
      <c r="B1551" s="2" t="s">
        <v>47</v>
      </c>
      <c r="C1551" s="13" t="s">
        <v>2681</v>
      </c>
      <c r="D1551" s="35" t="n">
        <v>11890</v>
      </c>
      <c r="E1551" s="2" t="s">
        <v>667</v>
      </c>
      <c r="F1551" s="36" t="n">
        <v>0.206307821698907</v>
      </c>
      <c r="G1551" s="31" t="n">
        <v>0.8</v>
      </c>
      <c r="H1551" s="37" t="n">
        <v>0.0812039647176503</v>
      </c>
      <c r="I1551" s="31" t="n">
        <v>45</v>
      </c>
      <c r="J1551" s="2" t="s">
        <v>2697</v>
      </c>
      <c r="K1551" s="38" t="n">
        <v>0.204225352112676</v>
      </c>
      <c r="L1551" s="31" t="n">
        <v>83.8</v>
      </c>
      <c r="M1551" s="39" t="s">
        <v>671</v>
      </c>
      <c r="N1551" s="2" t="s">
        <v>19</v>
      </c>
      <c r="O1551" s="2" t="s">
        <v>19</v>
      </c>
      <c r="P1551" s="2" t="s">
        <v>19</v>
      </c>
      <c r="Q1551" s="2" t="s">
        <v>19</v>
      </c>
    </row>
    <row r="1552" customFormat="false" ht="15" hidden="false" customHeight="false" outlineLevel="0" collapsed="false">
      <c r="A1552" s="2" t="s">
        <v>1338</v>
      </c>
      <c r="B1552" s="2" t="s">
        <v>45</v>
      </c>
      <c r="C1552" s="14" t="s">
        <v>1339</v>
      </c>
      <c r="D1552" s="40" t="n">
        <v>4340</v>
      </c>
      <c r="E1552" s="2" t="s">
        <v>678</v>
      </c>
      <c r="F1552" s="41" t="n">
        <v>0.183179723502304</v>
      </c>
      <c r="G1552" s="31" t="n">
        <v>6.4</v>
      </c>
      <c r="H1552" s="42" t="n">
        <v>0.154255319148936</v>
      </c>
      <c r="I1552" s="31" t="n">
        <v>74.1</v>
      </c>
      <c r="J1552" s="2" t="s">
        <v>2713</v>
      </c>
      <c r="K1552" s="43" t="n">
        <v>0</v>
      </c>
      <c r="L1552" s="31" t="n">
        <v>1</v>
      </c>
      <c r="M1552" s="39" t="s">
        <v>671</v>
      </c>
      <c r="N1552" s="2" t="s">
        <v>21</v>
      </c>
      <c r="O1552" s="2" t="s">
        <v>21</v>
      </c>
      <c r="P1552" s="2" t="s">
        <v>21</v>
      </c>
      <c r="Q1552" s="2" t="s">
        <v>21</v>
      </c>
    </row>
    <row r="1553" customFormat="false" ht="15" hidden="false" customHeight="false" outlineLevel="0" collapsed="false">
      <c r="A1553" s="2" t="s">
        <v>1338</v>
      </c>
      <c r="B1553" s="2" t="s">
        <v>46</v>
      </c>
      <c r="C1553" s="13" t="s">
        <v>1639</v>
      </c>
      <c r="D1553" s="35" t="n">
        <v>67245</v>
      </c>
      <c r="E1553" s="2" t="s">
        <v>667</v>
      </c>
      <c r="F1553" s="36" t="n">
        <v>3.55340917540338</v>
      </c>
      <c r="G1553" s="31" t="n">
        <v>55.8</v>
      </c>
      <c r="H1553" s="37" t="n">
        <v>0.0295491081681084</v>
      </c>
      <c r="I1553" s="31" t="n">
        <v>19.9</v>
      </c>
      <c r="J1553" s="2" t="s">
        <v>2700</v>
      </c>
      <c r="K1553" s="38" t="n">
        <v>0.134967365009813</v>
      </c>
      <c r="L1553" s="31" t="n">
        <v>50</v>
      </c>
      <c r="M1553" s="39" t="s">
        <v>671</v>
      </c>
      <c r="N1553" s="2" t="s">
        <v>19</v>
      </c>
      <c r="O1553" s="2" t="s">
        <v>19</v>
      </c>
      <c r="P1553" s="2" t="s">
        <v>19</v>
      </c>
      <c r="Q1553" s="2" t="s">
        <v>19</v>
      </c>
    </row>
    <row r="1554" customFormat="false" ht="15" hidden="false" customHeight="false" outlineLevel="0" collapsed="false">
      <c r="A1554" s="2" t="s">
        <v>1338</v>
      </c>
      <c r="B1554" s="2" t="s">
        <v>47</v>
      </c>
      <c r="C1554" s="16"/>
      <c r="D1554" s="35" t="n">
        <v>11950</v>
      </c>
      <c r="E1554" s="2" t="s">
        <v>667</v>
      </c>
      <c r="F1554" s="36" t="n">
        <v>0.539497907949791</v>
      </c>
      <c r="G1554" s="31" t="n">
        <v>13.1</v>
      </c>
      <c r="H1554" s="37" t="n">
        <v>-0.0636997571103972</v>
      </c>
      <c r="I1554" s="31" t="n">
        <v>2.1</v>
      </c>
      <c r="J1554" s="2" t="s">
        <v>2697</v>
      </c>
      <c r="K1554" s="38" t="n">
        <v>0.0445544554455446</v>
      </c>
      <c r="L1554" s="31" t="n">
        <v>28</v>
      </c>
      <c r="M1554" s="34" t="s">
        <v>668</v>
      </c>
      <c r="N1554" s="2" t="s">
        <v>19</v>
      </c>
      <c r="O1554" s="2" t="s">
        <v>19</v>
      </c>
      <c r="P1554" s="2" t="s">
        <v>19</v>
      </c>
      <c r="Q1554" s="2" t="s">
        <v>19</v>
      </c>
    </row>
    <row r="1555" customFormat="false" ht="15" hidden="false" customHeight="false" outlineLevel="0" collapsed="false">
      <c r="A1555" s="2" t="s">
        <v>1388</v>
      </c>
      <c r="B1555" s="2" t="s">
        <v>45</v>
      </c>
      <c r="C1555" s="14" t="s">
        <v>3086</v>
      </c>
      <c r="D1555" s="40" t="n">
        <v>32990</v>
      </c>
      <c r="E1555" s="2" t="s">
        <v>667</v>
      </c>
      <c r="F1555" s="41" t="n">
        <v>0.363352531070021</v>
      </c>
      <c r="G1555" s="31" t="n">
        <v>26.1</v>
      </c>
      <c r="H1555" s="32"/>
      <c r="I1555" s="31"/>
      <c r="J1555" s="2"/>
      <c r="K1555" s="47" t="s">
        <v>680</v>
      </c>
      <c r="L1555" s="31"/>
      <c r="M1555" s="34" t="s">
        <v>668</v>
      </c>
      <c r="N1555" s="2" t="s">
        <v>21</v>
      </c>
      <c r="O1555" s="2" t="s">
        <v>21</v>
      </c>
      <c r="P1555" s="2"/>
      <c r="Q1555" s="2" t="s">
        <v>2711</v>
      </c>
    </row>
    <row r="1556" customFormat="false" ht="15" hidden="false" customHeight="false" outlineLevel="0" collapsed="false">
      <c r="A1556" s="2" t="s">
        <v>1388</v>
      </c>
      <c r="B1556" s="2" t="s">
        <v>46</v>
      </c>
      <c r="C1556" s="14" t="s">
        <v>1389</v>
      </c>
      <c r="D1556" s="40" t="n">
        <v>75450</v>
      </c>
      <c r="E1556" s="2" t="s">
        <v>667</v>
      </c>
      <c r="F1556" s="41" t="n">
        <v>10.41774685222</v>
      </c>
      <c r="G1556" s="31" t="n">
        <v>97.5</v>
      </c>
      <c r="H1556" s="42" t="n">
        <v>0.150327793871017</v>
      </c>
      <c r="I1556" s="31" t="n">
        <v>79.7</v>
      </c>
      <c r="J1556" s="2" t="s">
        <v>2700</v>
      </c>
      <c r="K1556" s="43" t="n">
        <v>0.251528563022845</v>
      </c>
      <c r="L1556" s="31" t="n">
        <v>83.7</v>
      </c>
      <c r="M1556" s="39" t="s">
        <v>671</v>
      </c>
      <c r="N1556" s="2" t="s">
        <v>21</v>
      </c>
      <c r="O1556" s="2" t="s">
        <v>21</v>
      </c>
      <c r="P1556" s="2" t="s">
        <v>21</v>
      </c>
      <c r="Q1556" s="2" t="s">
        <v>21</v>
      </c>
    </row>
    <row r="1557" customFormat="false" ht="15" hidden="false" customHeight="false" outlineLevel="0" collapsed="false">
      <c r="A1557" s="2" t="s">
        <v>1388</v>
      </c>
      <c r="B1557" s="2" t="s">
        <v>47</v>
      </c>
      <c r="C1557" s="13" t="s">
        <v>2548</v>
      </c>
      <c r="D1557" s="35" t="n">
        <v>42630</v>
      </c>
      <c r="E1557" s="2" t="s">
        <v>667</v>
      </c>
      <c r="F1557" s="36" t="n">
        <v>0.6660567675346</v>
      </c>
      <c r="G1557" s="31" t="n">
        <v>19.6</v>
      </c>
      <c r="H1557" s="37" t="n">
        <v>-0.00504131074079261</v>
      </c>
      <c r="I1557" s="31" t="n">
        <v>9.6</v>
      </c>
      <c r="J1557" s="2" t="s">
        <v>2697</v>
      </c>
      <c r="K1557" s="38" t="n">
        <v>0.173092698933552</v>
      </c>
      <c r="L1557" s="31" t="n">
        <v>77.9</v>
      </c>
      <c r="M1557" s="39" t="s">
        <v>671</v>
      </c>
      <c r="N1557" s="2" t="s">
        <v>19</v>
      </c>
      <c r="O1557" s="2" t="s">
        <v>19</v>
      </c>
      <c r="P1557" s="2" t="s">
        <v>19</v>
      </c>
      <c r="Q1557" s="2" t="s">
        <v>19</v>
      </c>
    </row>
    <row r="1558" customFormat="false" ht="15" hidden="false" customHeight="false" outlineLevel="0" collapsed="false">
      <c r="A1558" s="2" t="s">
        <v>780</v>
      </c>
      <c r="B1558" s="2" t="s">
        <v>45</v>
      </c>
      <c r="C1558" s="13" t="s">
        <v>781</v>
      </c>
      <c r="D1558" s="35" t="n">
        <v>44770</v>
      </c>
      <c r="E1558" s="2" t="s">
        <v>667</v>
      </c>
      <c r="F1558" s="36" t="n">
        <v>1.33533616260889</v>
      </c>
      <c r="G1558" s="31" t="n">
        <v>85.9</v>
      </c>
      <c r="H1558" s="37" t="n">
        <v>0.130527006893765</v>
      </c>
      <c r="I1558" s="31" t="n">
        <v>67.9</v>
      </c>
      <c r="J1558" s="2" t="s">
        <v>2704</v>
      </c>
      <c r="K1558" s="38" t="n">
        <v>0.0703738611372919</v>
      </c>
      <c r="L1558" s="31" t="n">
        <v>21.3</v>
      </c>
      <c r="M1558" s="39" t="s">
        <v>671</v>
      </c>
      <c r="N1558" s="2" t="s">
        <v>19</v>
      </c>
      <c r="O1558" s="2" t="s">
        <v>19</v>
      </c>
      <c r="P1558" s="2" t="s">
        <v>19</v>
      </c>
      <c r="Q1558" s="2" t="s">
        <v>19</v>
      </c>
    </row>
    <row r="1559" customFormat="false" ht="15" hidden="false" customHeight="false" outlineLevel="0" collapsed="false">
      <c r="A1559" s="2" t="s">
        <v>780</v>
      </c>
      <c r="B1559" s="2" t="s">
        <v>46</v>
      </c>
      <c r="C1559" s="14" t="s">
        <v>1909</v>
      </c>
      <c r="D1559" s="40" t="n">
        <v>60050</v>
      </c>
      <c r="E1559" s="2" t="s">
        <v>667</v>
      </c>
      <c r="F1559" s="41" t="n">
        <v>1.24579517069109</v>
      </c>
      <c r="G1559" s="31" t="n">
        <v>9.9</v>
      </c>
      <c r="H1559" s="42" t="n">
        <v>0.127487795719114</v>
      </c>
      <c r="I1559" s="31" t="n">
        <v>68</v>
      </c>
      <c r="J1559" s="2" t="s">
        <v>2700</v>
      </c>
      <c r="K1559" s="43" t="n">
        <v>0.112259970457903</v>
      </c>
      <c r="L1559" s="31" t="n">
        <v>37.3</v>
      </c>
      <c r="M1559" s="39" t="s">
        <v>671</v>
      </c>
      <c r="N1559" s="2" t="s">
        <v>21</v>
      </c>
      <c r="O1559" s="2" t="s">
        <v>21</v>
      </c>
      <c r="P1559" s="2" t="s">
        <v>21</v>
      </c>
      <c r="Q1559" s="2" t="s">
        <v>21</v>
      </c>
    </row>
    <row r="1560" customFormat="false" ht="15" hidden="false" customHeight="false" outlineLevel="0" collapsed="false">
      <c r="A1560" s="2" t="s">
        <v>780</v>
      </c>
      <c r="B1560" s="2" t="s">
        <v>47</v>
      </c>
      <c r="C1560" s="13" t="s">
        <v>3087</v>
      </c>
      <c r="D1560" s="44" t="n">
        <v>505676</v>
      </c>
      <c r="E1560" s="2" t="s">
        <v>670</v>
      </c>
      <c r="F1560" s="30"/>
      <c r="G1560" s="31"/>
      <c r="H1560" s="46" t="n">
        <v>0.0150528828107279</v>
      </c>
      <c r="I1560" s="31" t="n">
        <v>20.5</v>
      </c>
      <c r="J1560" s="2" t="s">
        <v>2701</v>
      </c>
      <c r="K1560" s="38" t="n">
        <v>0.0129271582733813</v>
      </c>
      <c r="L1560" s="31" t="n">
        <v>8.2</v>
      </c>
      <c r="M1560" s="34" t="s">
        <v>668</v>
      </c>
      <c r="N1560" s="2" t="s">
        <v>17</v>
      </c>
      <c r="O1560" s="2"/>
      <c r="P1560" s="2" t="s">
        <v>17</v>
      </c>
      <c r="Q1560" s="2" t="s">
        <v>19</v>
      </c>
    </row>
    <row r="1561" customFormat="false" ht="15" hidden="false" customHeight="false" outlineLevel="0" collapsed="false">
      <c r="A1561" s="2" t="s">
        <v>1008</v>
      </c>
      <c r="B1561" s="2" t="s">
        <v>45</v>
      </c>
      <c r="C1561" s="13" t="s">
        <v>1009</v>
      </c>
      <c r="D1561" s="35" t="n">
        <v>2644</v>
      </c>
      <c r="E1561" s="2" t="s">
        <v>678</v>
      </c>
      <c r="F1561" s="36" t="n">
        <v>0.648638426626324</v>
      </c>
      <c r="G1561" s="31" t="n">
        <v>53.4</v>
      </c>
      <c r="H1561" s="37" t="n">
        <v>-0.0261510128913444</v>
      </c>
      <c r="I1561" s="31" t="n">
        <v>5.6</v>
      </c>
      <c r="J1561" s="2" t="s">
        <v>2713</v>
      </c>
      <c r="K1561" s="38" t="n">
        <v>0.171052631578947</v>
      </c>
      <c r="L1561" s="31" t="n">
        <v>61.3</v>
      </c>
      <c r="M1561" s="39" t="s">
        <v>671</v>
      </c>
      <c r="N1561" s="2" t="s">
        <v>19</v>
      </c>
      <c r="O1561" s="2" t="s">
        <v>19</v>
      </c>
      <c r="P1561" s="2" t="s">
        <v>19</v>
      </c>
      <c r="Q1561" s="2" t="s">
        <v>19</v>
      </c>
    </row>
    <row r="1562" customFormat="false" ht="15" hidden="false" customHeight="false" outlineLevel="0" collapsed="false">
      <c r="A1562" s="2" t="s">
        <v>1008</v>
      </c>
      <c r="B1562" s="2" t="s">
        <v>47</v>
      </c>
      <c r="C1562" s="16"/>
      <c r="D1562" s="35" t="n">
        <v>22142</v>
      </c>
      <c r="E1562" s="2" t="s">
        <v>667</v>
      </c>
      <c r="F1562" s="36" t="n">
        <v>2.42945533375486</v>
      </c>
      <c r="G1562" s="31" t="n">
        <v>81.2</v>
      </c>
      <c r="H1562" s="37" t="n">
        <v>0.122250380131779</v>
      </c>
      <c r="I1562" s="31" t="n">
        <v>66.7</v>
      </c>
      <c r="J1562" s="2" t="s">
        <v>2697</v>
      </c>
      <c r="K1562" s="38" t="n">
        <v>0.0033358042994811</v>
      </c>
      <c r="L1562" s="31" t="n">
        <v>3</v>
      </c>
      <c r="M1562" s="34" t="s">
        <v>668</v>
      </c>
      <c r="N1562" s="2" t="s">
        <v>19</v>
      </c>
      <c r="O1562" s="2" t="s">
        <v>19</v>
      </c>
      <c r="P1562" s="2" t="s">
        <v>19</v>
      </c>
      <c r="Q1562" s="2" t="s">
        <v>19</v>
      </c>
    </row>
    <row r="1563" customFormat="false" ht="15" hidden="false" customHeight="false" outlineLevel="0" collapsed="false">
      <c r="A1563" s="2" t="s">
        <v>1728</v>
      </c>
      <c r="B1563" s="2" t="s">
        <v>45</v>
      </c>
      <c r="C1563" s="14" t="s">
        <v>3088</v>
      </c>
      <c r="D1563" s="44" t="n">
        <v>53732</v>
      </c>
      <c r="E1563" s="2" t="s">
        <v>667</v>
      </c>
      <c r="F1563" s="30"/>
      <c r="G1563" s="31"/>
      <c r="H1563" s="46" t="n">
        <v>0.0546232507016821</v>
      </c>
      <c r="I1563" s="31" t="n">
        <v>30.2</v>
      </c>
      <c r="J1563" s="2" t="s">
        <v>2704</v>
      </c>
      <c r="K1563" s="47" t="s">
        <v>680</v>
      </c>
      <c r="L1563" s="31"/>
      <c r="M1563" s="34" t="s">
        <v>668</v>
      </c>
      <c r="N1563" s="2" t="s">
        <v>17</v>
      </c>
      <c r="O1563" s="2"/>
      <c r="P1563" s="2" t="s">
        <v>17</v>
      </c>
      <c r="Q1563" s="2" t="s">
        <v>2711</v>
      </c>
    </row>
    <row r="1564" customFormat="false" ht="15" hidden="false" customHeight="false" outlineLevel="0" collapsed="false">
      <c r="A1564" s="2" t="s">
        <v>1728</v>
      </c>
      <c r="B1564" s="2" t="s">
        <v>46</v>
      </c>
      <c r="C1564" s="14" t="s">
        <v>1729</v>
      </c>
      <c r="D1564" s="40" t="n">
        <v>18360</v>
      </c>
      <c r="E1564" s="2" t="s">
        <v>667</v>
      </c>
      <c r="F1564" s="41" t="n">
        <v>2.68839869281046</v>
      </c>
      <c r="G1564" s="31" t="n">
        <v>41.9</v>
      </c>
      <c r="H1564" s="42" t="n">
        <v>0.134734239802225</v>
      </c>
      <c r="I1564" s="31" t="n">
        <v>71.4</v>
      </c>
      <c r="J1564" s="2" t="s">
        <v>2700</v>
      </c>
      <c r="K1564" s="43" t="n">
        <v>0.126143172500788</v>
      </c>
      <c r="L1564" s="31" t="n">
        <v>47.7</v>
      </c>
      <c r="M1564" s="39" t="s">
        <v>671</v>
      </c>
      <c r="N1564" s="2" t="s">
        <v>21</v>
      </c>
      <c r="O1564" s="2" t="s">
        <v>21</v>
      </c>
      <c r="P1564" s="2" t="s">
        <v>21</v>
      </c>
      <c r="Q1564" s="2" t="s">
        <v>21</v>
      </c>
    </row>
    <row r="1565" customFormat="false" ht="15" hidden="false" customHeight="false" outlineLevel="0" collapsed="false">
      <c r="A1565" s="2" t="s">
        <v>1728</v>
      </c>
      <c r="B1565" s="2" t="s">
        <v>47</v>
      </c>
      <c r="C1565" s="15" t="s">
        <v>3089</v>
      </c>
      <c r="D1565" s="44" t="n">
        <v>30689</v>
      </c>
      <c r="E1565" s="2" t="s">
        <v>667</v>
      </c>
      <c r="F1565" s="30"/>
      <c r="G1565" s="31"/>
      <c r="H1565" s="32"/>
      <c r="I1565" s="31"/>
      <c r="J1565" s="2"/>
      <c r="K1565" s="48" t="n">
        <v>0.203193033381713</v>
      </c>
      <c r="L1565" s="31" t="n">
        <v>83.2</v>
      </c>
      <c r="M1565" s="34" t="s">
        <v>668</v>
      </c>
      <c r="N1565" s="2" t="s">
        <v>17</v>
      </c>
      <c r="O1565" s="2"/>
      <c r="P1565" s="2"/>
      <c r="Q1565" s="2" t="s">
        <v>17</v>
      </c>
    </row>
    <row r="1566" customFormat="false" ht="15" hidden="false" customHeight="false" outlineLevel="0" collapsed="false">
      <c r="A1566" s="2" t="s">
        <v>446</v>
      </c>
      <c r="B1566" s="2" t="s">
        <v>45</v>
      </c>
      <c r="C1566" s="14" t="s">
        <v>1343</v>
      </c>
      <c r="D1566" s="40" t="n">
        <v>59760</v>
      </c>
      <c r="E1566" s="2" t="s">
        <v>667</v>
      </c>
      <c r="F1566" s="41" t="n">
        <v>0.182095046854083</v>
      </c>
      <c r="G1566" s="31" t="n">
        <v>6</v>
      </c>
      <c r="H1566" s="42" t="n">
        <v>0.272301469022781</v>
      </c>
      <c r="I1566" s="31" t="n">
        <v>98.8</v>
      </c>
      <c r="J1566" s="2" t="s">
        <v>2704</v>
      </c>
      <c r="K1566" s="43" t="n">
        <v>0.289002557544757</v>
      </c>
      <c r="L1566" s="31" t="n">
        <v>88.7</v>
      </c>
      <c r="M1566" s="39" t="s">
        <v>671</v>
      </c>
      <c r="N1566" s="2" t="s">
        <v>21</v>
      </c>
      <c r="O1566" s="2" t="s">
        <v>21</v>
      </c>
      <c r="P1566" s="2" t="s">
        <v>21</v>
      </c>
      <c r="Q1566" s="2" t="s">
        <v>21</v>
      </c>
    </row>
    <row r="1567" customFormat="false" ht="15" hidden="false" customHeight="false" outlineLevel="0" collapsed="false">
      <c r="A1567" s="2" t="s">
        <v>446</v>
      </c>
      <c r="B1567" s="2" t="s">
        <v>46</v>
      </c>
      <c r="C1567" s="14" t="s">
        <v>1461</v>
      </c>
      <c r="D1567" s="40" t="n">
        <v>45730</v>
      </c>
      <c r="E1567" s="2" t="s">
        <v>667</v>
      </c>
      <c r="F1567" s="41" t="n">
        <v>6.96781106494642</v>
      </c>
      <c r="G1567" s="31" t="n">
        <v>86.9</v>
      </c>
      <c r="H1567" s="42" t="n">
        <v>0.0561200923787529</v>
      </c>
      <c r="I1567" s="31" t="n">
        <v>32</v>
      </c>
      <c r="J1567" s="2" t="s">
        <v>2700</v>
      </c>
      <c r="K1567" s="43" t="n">
        <v>0.142626215974367</v>
      </c>
      <c r="L1567" s="31" t="n">
        <v>53.4</v>
      </c>
      <c r="M1567" s="39" t="s">
        <v>671</v>
      </c>
      <c r="N1567" s="2" t="s">
        <v>21</v>
      </c>
      <c r="O1567" s="2" t="s">
        <v>21</v>
      </c>
      <c r="P1567" s="2" t="s">
        <v>21</v>
      </c>
      <c r="Q1567" s="2" t="s">
        <v>21</v>
      </c>
    </row>
    <row r="1568" customFormat="false" ht="15" hidden="false" customHeight="false" outlineLevel="0" collapsed="false">
      <c r="A1568" s="2" t="s">
        <v>446</v>
      </c>
      <c r="B1568" s="2" t="s">
        <v>47</v>
      </c>
      <c r="C1568" s="13" t="s">
        <v>2459</v>
      </c>
      <c r="D1568" s="35" t="n">
        <v>358884</v>
      </c>
      <c r="E1568" s="2" t="s">
        <v>670</v>
      </c>
      <c r="F1568" s="36" t="n">
        <v>0.890426990336711</v>
      </c>
      <c r="G1568" s="31" t="n">
        <v>31.2</v>
      </c>
      <c r="H1568" s="37" t="n">
        <v>0.206904785125051</v>
      </c>
      <c r="I1568" s="31" t="n">
        <v>92.8</v>
      </c>
      <c r="J1568" s="2" t="s">
        <v>2701</v>
      </c>
      <c r="K1568" s="38" t="n">
        <v>0.153637055561596</v>
      </c>
      <c r="L1568" s="31" t="n">
        <v>71.6</v>
      </c>
      <c r="M1568" s="39" t="s">
        <v>671</v>
      </c>
      <c r="N1568" s="2" t="s">
        <v>19</v>
      </c>
      <c r="O1568" s="2" t="s">
        <v>19</v>
      </c>
      <c r="P1568" s="2" t="s">
        <v>19</v>
      </c>
      <c r="Q1568" s="2" t="s">
        <v>19</v>
      </c>
    </row>
    <row r="1569" customFormat="false" ht="15" hidden="false" customHeight="false" outlineLevel="0" collapsed="false">
      <c r="A1569" s="2" t="s">
        <v>2452</v>
      </c>
      <c r="B1569" s="2" t="s">
        <v>45</v>
      </c>
      <c r="C1569" s="15" t="s">
        <v>3090</v>
      </c>
      <c r="D1569" s="29"/>
      <c r="E1569" s="2"/>
      <c r="F1569" s="30"/>
      <c r="G1569" s="31"/>
      <c r="H1569" s="32"/>
      <c r="I1569" s="31"/>
      <c r="J1569" s="2"/>
      <c r="K1569" s="47" t="s">
        <v>680</v>
      </c>
      <c r="L1569" s="31"/>
      <c r="M1569" s="34" t="s">
        <v>668</v>
      </c>
      <c r="N1569" s="2"/>
      <c r="O1569" s="2"/>
      <c r="P1569" s="2"/>
      <c r="Q1569" s="2" t="s">
        <v>2866</v>
      </c>
    </row>
    <row r="1570" customFormat="false" ht="15" hidden="false" customHeight="false" outlineLevel="0" collapsed="false">
      <c r="A1570" s="2" t="s">
        <v>2452</v>
      </c>
      <c r="B1570" s="2" t="s">
        <v>46</v>
      </c>
      <c r="C1570" s="15" t="s">
        <v>3091</v>
      </c>
      <c r="D1570" s="44" t="n">
        <v>527994</v>
      </c>
      <c r="E1570" s="2" t="s">
        <v>670</v>
      </c>
      <c r="F1570" s="45" t="n">
        <v>3.19713292196502</v>
      </c>
      <c r="G1570" s="31" t="n">
        <v>51.6</v>
      </c>
      <c r="H1570" s="46" t="n">
        <v>0.101449214895601</v>
      </c>
      <c r="I1570" s="31" t="n">
        <v>64.9</v>
      </c>
      <c r="J1570" s="2" t="s">
        <v>2705</v>
      </c>
      <c r="K1570" s="33"/>
      <c r="L1570" s="31"/>
      <c r="M1570" s="34" t="s">
        <v>668</v>
      </c>
      <c r="N1570" s="2" t="s">
        <v>17</v>
      </c>
      <c r="O1570" s="2" t="s">
        <v>17</v>
      </c>
      <c r="P1570" s="2" t="s">
        <v>17</v>
      </c>
      <c r="Q1570" s="2"/>
    </row>
    <row r="1571" customFormat="false" ht="15" hidden="false" customHeight="false" outlineLevel="0" collapsed="false">
      <c r="A1571" s="2" t="s">
        <v>2452</v>
      </c>
      <c r="B1571" s="2" t="s">
        <v>47</v>
      </c>
      <c r="C1571" s="13" t="s">
        <v>2453</v>
      </c>
      <c r="D1571" s="35" t="n">
        <v>56430</v>
      </c>
      <c r="E1571" s="2" t="s">
        <v>667</v>
      </c>
      <c r="F1571" s="36" t="n">
        <v>0.907442849548113</v>
      </c>
      <c r="G1571" s="31" t="n">
        <v>32.3</v>
      </c>
      <c r="H1571" s="37" t="n">
        <v>0.121244635193133</v>
      </c>
      <c r="I1571" s="31" t="n">
        <v>66.3</v>
      </c>
      <c r="J1571" s="2" t="s">
        <v>2697</v>
      </c>
      <c r="K1571" s="38" t="n">
        <v>0.168461193360251</v>
      </c>
      <c r="L1571" s="31" t="n">
        <v>76.4</v>
      </c>
      <c r="M1571" s="39" t="s">
        <v>671</v>
      </c>
      <c r="N1571" s="2" t="s">
        <v>19</v>
      </c>
      <c r="O1571" s="2" t="s">
        <v>19</v>
      </c>
      <c r="P1571" s="2" t="s">
        <v>19</v>
      </c>
      <c r="Q1571" s="2" t="s">
        <v>19</v>
      </c>
    </row>
    <row r="1572" customFormat="false" ht="15" hidden="false" customHeight="false" outlineLevel="0" collapsed="false">
      <c r="A1572" s="2" t="s">
        <v>278</v>
      </c>
      <c r="B1572" s="2" t="s">
        <v>47</v>
      </c>
      <c r="C1572" s="13" t="s">
        <v>2231</v>
      </c>
      <c r="D1572" s="35" t="n">
        <v>33263</v>
      </c>
      <c r="E1572" s="2" t="s">
        <v>667</v>
      </c>
      <c r="F1572" s="36" t="n">
        <v>1.56949162733367</v>
      </c>
      <c r="G1572" s="31" t="n">
        <v>61.2</v>
      </c>
      <c r="H1572" s="37" t="n">
        <v>0.0209951195555419</v>
      </c>
      <c r="I1572" s="31" t="n">
        <v>16</v>
      </c>
      <c r="J1572" s="2" t="s">
        <v>2697</v>
      </c>
      <c r="K1572" s="38" t="n">
        <v>0.141822968081606</v>
      </c>
      <c r="L1572" s="31" t="n">
        <v>69</v>
      </c>
      <c r="M1572" s="39" t="s">
        <v>671</v>
      </c>
      <c r="N1572" s="2" t="s">
        <v>19</v>
      </c>
      <c r="O1572" s="2" t="s">
        <v>19</v>
      </c>
      <c r="P1572" s="2" t="s">
        <v>19</v>
      </c>
      <c r="Q1572" s="2" t="s">
        <v>19</v>
      </c>
    </row>
    <row r="1573" customFormat="false" ht="15" hidden="false" customHeight="false" outlineLevel="0" collapsed="false">
      <c r="A1573" s="2" t="s">
        <v>3092</v>
      </c>
      <c r="B1573" s="2" t="s">
        <v>45</v>
      </c>
      <c r="C1573" s="14" t="s">
        <v>3093</v>
      </c>
      <c r="D1573" s="40" t="n">
        <v>241370</v>
      </c>
      <c r="E1573" s="2" t="s">
        <v>670</v>
      </c>
      <c r="F1573" s="41" t="n">
        <v>0.721092099266686</v>
      </c>
      <c r="G1573" s="31" t="n">
        <v>60</v>
      </c>
      <c r="H1573" s="42" t="n">
        <v>0.146378532415103</v>
      </c>
      <c r="I1573" s="31" t="n">
        <v>76.8</v>
      </c>
      <c r="J1573" s="2" t="s">
        <v>2698</v>
      </c>
      <c r="K1573" s="33"/>
      <c r="L1573" s="31"/>
      <c r="M1573" s="34" t="s">
        <v>668</v>
      </c>
      <c r="N1573" s="2" t="s">
        <v>21</v>
      </c>
      <c r="O1573" s="2" t="s">
        <v>21</v>
      </c>
      <c r="P1573" s="2" t="s">
        <v>21</v>
      </c>
      <c r="Q1573" s="2"/>
    </row>
    <row r="1574" customFormat="false" ht="15" hidden="false" customHeight="false" outlineLevel="0" collapsed="false">
      <c r="A1574" s="2" t="s">
        <v>2174</v>
      </c>
      <c r="B1574" s="2" t="s">
        <v>45</v>
      </c>
      <c r="C1574" s="16"/>
      <c r="D1574" s="29"/>
      <c r="E1574" s="2"/>
      <c r="F1574" s="30"/>
      <c r="G1574" s="31"/>
      <c r="H1574" s="32"/>
      <c r="I1574" s="31"/>
      <c r="J1574" s="2"/>
      <c r="K1574" s="33"/>
      <c r="L1574" s="31"/>
      <c r="M1574" s="34" t="s">
        <v>668</v>
      </c>
      <c r="N1574" s="2"/>
      <c r="O1574" s="2"/>
      <c r="P1574" s="2"/>
      <c r="Q1574" s="2"/>
    </row>
    <row r="1575" customFormat="false" ht="15" hidden="false" customHeight="false" outlineLevel="0" collapsed="false">
      <c r="A1575" s="2" t="s">
        <v>2174</v>
      </c>
      <c r="B1575" s="2" t="s">
        <v>46</v>
      </c>
      <c r="C1575" s="16"/>
      <c r="D1575" s="29"/>
      <c r="E1575" s="2"/>
      <c r="F1575" s="30"/>
      <c r="G1575" s="31"/>
      <c r="H1575" s="32"/>
      <c r="I1575" s="31"/>
      <c r="J1575" s="2"/>
      <c r="K1575" s="33"/>
      <c r="L1575" s="31"/>
      <c r="M1575" s="34" t="s">
        <v>668</v>
      </c>
      <c r="N1575" s="2"/>
      <c r="O1575" s="2"/>
      <c r="P1575" s="2"/>
      <c r="Q1575" s="2"/>
    </row>
    <row r="1576" customFormat="false" ht="15" hidden="false" customHeight="false" outlineLevel="0" collapsed="false">
      <c r="A1576" s="2" t="s">
        <v>2174</v>
      </c>
      <c r="B1576" s="2" t="s">
        <v>47</v>
      </c>
      <c r="C1576" s="13" t="s">
        <v>2175</v>
      </c>
      <c r="D1576" s="35" t="n">
        <v>784</v>
      </c>
      <c r="E1576" s="2" t="s">
        <v>678</v>
      </c>
      <c r="F1576" s="36" t="n">
        <v>1.8469387755102</v>
      </c>
      <c r="G1576" s="31" t="n">
        <v>69</v>
      </c>
      <c r="H1576" s="37" t="n">
        <v>0.0537634408602151</v>
      </c>
      <c r="I1576" s="31" t="n">
        <v>29.3</v>
      </c>
      <c r="J1576" s="2" t="s">
        <v>2706</v>
      </c>
      <c r="K1576" s="38" t="n">
        <v>0.05</v>
      </c>
      <c r="L1576" s="31" t="n">
        <v>31.8</v>
      </c>
      <c r="M1576" s="39" t="s">
        <v>671</v>
      </c>
      <c r="N1576" s="2" t="s">
        <v>19</v>
      </c>
      <c r="O1576" s="2" t="s">
        <v>19</v>
      </c>
      <c r="P1576" s="2" t="s">
        <v>19</v>
      </c>
      <c r="Q1576" s="2" t="s">
        <v>19</v>
      </c>
    </row>
    <row r="1577" customFormat="false" ht="15" hidden="false" customHeight="false" outlineLevel="0" collapsed="false">
      <c r="A1577" s="2" t="s">
        <v>748</v>
      </c>
      <c r="B1577" s="2" t="s">
        <v>45</v>
      </c>
      <c r="C1577" s="13" t="s">
        <v>749</v>
      </c>
      <c r="D1577" s="35" t="n">
        <v>26790</v>
      </c>
      <c r="E1577" s="2" t="s">
        <v>667</v>
      </c>
      <c r="F1577" s="36" t="n">
        <v>1.71799178798059</v>
      </c>
      <c r="G1577" s="31" t="n">
        <v>90</v>
      </c>
      <c r="H1577" s="37" t="n">
        <v>0.211449760332821</v>
      </c>
      <c r="I1577" s="31" t="n">
        <v>93.7</v>
      </c>
      <c r="J1577" s="2" t="s">
        <v>2704</v>
      </c>
      <c r="K1577" s="38" t="n">
        <v>0.0808448652585579</v>
      </c>
      <c r="L1577" s="31" t="n">
        <v>26.5</v>
      </c>
      <c r="M1577" s="39" t="s">
        <v>671</v>
      </c>
      <c r="N1577" s="2" t="s">
        <v>19</v>
      </c>
      <c r="O1577" s="2" t="s">
        <v>19</v>
      </c>
      <c r="P1577" s="2" t="s">
        <v>19</v>
      </c>
      <c r="Q1577" s="2" t="s">
        <v>19</v>
      </c>
    </row>
    <row r="1578" customFormat="false" ht="15" hidden="false" customHeight="false" outlineLevel="0" collapsed="false">
      <c r="A1578" s="2" t="s">
        <v>748</v>
      </c>
      <c r="B1578" s="2" t="s">
        <v>46</v>
      </c>
      <c r="C1578" s="14" t="s">
        <v>3094</v>
      </c>
      <c r="D1578" s="40" t="n">
        <v>29680</v>
      </c>
      <c r="E1578" s="2" t="s">
        <v>667</v>
      </c>
      <c r="F1578" s="41" t="n">
        <v>1.8466307277628</v>
      </c>
      <c r="G1578" s="31" t="n">
        <v>23.5</v>
      </c>
      <c r="H1578" s="42" t="n">
        <v>0.293809938971229</v>
      </c>
      <c r="I1578" s="31" t="n">
        <v>100</v>
      </c>
      <c r="J1578" s="2" t="s">
        <v>2700</v>
      </c>
      <c r="K1578" s="33"/>
      <c r="L1578" s="31"/>
      <c r="M1578" s="34" t="s">
        <v>668</v>
      </c>
      <c r="N1578" s="2" t="s">
        <v>21</v>
      </c>
      <c r="O1578" s="2" t="s">
        <v>21</v>
      </c>
      <c r="P1578" s="2" t="s">
        <v>21</v>
      </c>
      <c r="Q1578" s="2"/>
    </row>
    <row r="1579" customFormat="false" ht="15" hidden="false" customHeight="false" outlineLevel="0" collapsed="false">
      <c r="A1579" s="2" t="s">
        <v>748</v>
      </c>
      <c r="B1579" s="2" t="s">
        <v>47</v>
      </c>
      <c r="C1579" s="16"/>
      <c r="D1579" s="29"/>
      <c r="E1579" s="2"/>
      <c r="F1579" s="30"/>
      <c r="G1579" s="31"/>
      <c r="H1579" s="32"/>
      <c r="I1579" s="31"/>
      <c r="J1579" s="2"/>
      <c r="K1579" s="33"/>
      <c r="L1579" s="31"/>
      <c r="M1579" s="34" t="s">
        <v>668</v>
      </c>
      <c r="N1579" s="2"/>
      <c r="O1579" s="2"/>
      <c r="P1579" s="2"/>
      <c r="Q1579" s="2"/>
    </row>
    <row r="1580" customFormat="false" ht="15" hidden="false" customHeight="false" outlineLevel="0" collapsed="false">
      <c r="A1580" s="2" t="s">
        <v>506</v>
      </c>
      <c r="B1580" s="2" t="s">
        <v>45</v>
      </c>
      <c r="C1580" s="14" t="s">
        <v>1154</v>
      </c>
      <c r="D1580" s="40" t="n">
        <v>68000</v>
      </c>
      <c r="E1580" s="2" t="s">
        <v>667</v>
      </c>
      <c r="F1580" s="41" t="n">
        <v>0.44075</v>
      </c>
      <c r="G1580" s="31" t="n">
        <v>35.3</v>
      </c>
      <c r="H1580" s="42" t="n">
        <v>-0.0306486101211689</v>
      </c>
      <c r="I1580" s="31" t="n">
        <v>6</v>
      </c>
      <c r="J1580" s="2" t="s">
        <v>2704</v>
      </c>
      <c r="K1580" s="43" t="n">
        <v>0.194662480376766</v>
      </c>
      <c r="L1580" s="31" t="n">
        <v>69.1</v>
      </c>
      <c r="M1580" s="39" t="s">
        <v>671</v>
      </c>
      <c r="N1580" s="2" t="s">
        <v>21</v>
      </c>
      <c r="O1580" s="2" t="s">
        <v>21</v>
      </c>
      <c r="P1580" s="2" t="s">
        <v>21</v>
      </c>
      <c r="Q1580" s="2" t="s">
        <v>21</v>
      </c>
    </row>
    <row r="1581" customFormat="false" ht="15" hidden="false" customHeight="false" outlineLevel="0" collapsed="false">
      <c r="A1581" s="2" t="s">
        <v>3095</v>
      </c>
      <c r="B1581" s="2" t="s">
        <v>47</v>
      </c>
      <c r="C1581" s="15" t="s">
        <v>3096</v>
      </c>
      <c r="D1581" s="44" t="n">
        <v>632164</v>
      </c>
      <c r="E1581" s="2" t="s">
        <v>670</v>
      </c>
      <c r="F1581" s="30"/>
      <c r="G1581" s="31"/>
      <c r="H1581" s="46" t="n">
        <v>0.117802037691277</v>
      </c>
      <c r="I1581" s="31" t="n">
        <v>67.5</v>
      </c>
      <c r="J1581" s="2" t="s">
        <v>2701</v>
      </c>
      <c r="K1581" s="48" t="n">
        <v>0.0486257609547345</v>
      </c>
      <c r="L1581" s="31" t="n">
        <v>29.9</v>
      </c>
      <c r="M1581" s="34" t="s">
        <v>668</v>
      </c>
      <c r="N1581" s="2" t="s">
        <v>17</v>
      </c>
      <c r="O1581" s="2"/>
      <c r="P1581" s="2" t="s">
        <v>17</v>
      </c>
      <c r="Q1581" s="2" t="s">
        <v>17</v>
      </c>
    </row>
    <row r="1582" customFormat="false" ht="15" hidden="false" customHeight="false" outlineLevel="0" collapsed="false">
      <c r="A1582" s="2" t="s">
        <v>2411</v>
      </c>
      <c r="B1582" s="2" t="s">
        <v>45</v>
      </c>
      <c r="C1582" s="16"/>
      <c r="D1582" s="29"/>
      <c r="E1582" s="2"/>
      <c r="F1582" s="30"/>
      <c r="G1582" s="31"/>
      <c r="H1582" s="32"/>
      <c r="I1582" s="31"/>
      <c r="J1582" s="2"/>
      <c r="K1582" s="33"/>
      <c r="L1582" s="31"/>
      <c r="M1582" s="34" t="s">
        <v>668</v>
      </c>
      <c r="N1582" s="2"/>
      <c r="O1582" s="2"/>
      <c r="P1582" s="2"/>
      <c r="Q1582" s="2"/>
    </row>
    <row r="1583" customFormat="false" ht="15" hidden="false" customHeight="false" outlineLevel="0" collapsed="false">
      <c r="A1583" s="2" t="s">
        <v>2411</v>
      </c>
      <c r="B1583" s="2" t="s">
        <v>46</v>
      </c>
      <c r="C1583" s="16"/>
      <c r="D1583" s="29"/>
      <c r="E1583" s="2"/>
      <c r="F1583" s="30"/>
      <c r="G1583" s="31"/>
      <c r="H1583" s="32"/>
      <c r="I1583" s="31"/>
      <c r="J1583" s="2"/>
      <c r="K1583" s="33"/>
      <c r="L1583" s="31"/>
      <c r="M1583" s="34" t="s">
        <v>668</v>
      </c>
      <c r="N1583" s="2"/>
      <c r="O1583" s="2"/>
      <c r="P1583" s="2"/>
      <c r="Q1583" s="2"/>
    </row>
    <row r="1584" customFormat="false" ht="15" hidden="false" customHeight="false" outlineLevel="0" collapsed="false">
      <c r="A1584" s="2" t="s">
        <v>2411</v>
      </c>
      <c r="B1584" s="2" t="s">
        <v>47</v>
      </c>
      <c r="C1584" s="13" t="s">
        <v>2412</v>
      </c>
      <c r="D1584" s="35" t="n">
        <v>44243</v>
      </c>
      <c r="E1584" s="2" t="s">
        <v>667</v>
      </c>
      <c r="F1584" s="36" t="n">
        <v>0.994032954365662</v>
      </c>
      <c r="G1584" s="31" t="n">
        <v>36.9</v>
      </c>
      <c r="H1584" s="37" t="n">
        <v>0.145153358353824</v>
      </c>
      <c r="I1584" s="31" t="n">
        <v>75.2</v>
      </c>
      <c r="J1584" s="2" t="s">
        <v>2697</v>
      </c>
      <c r="K1584" s="43" t="n">
        <v>0.219458264234384</v>
      </c>
      <c r="L1584" s="31" t="n">
        <v>86.3</v>
      </c>
      <c r="M1584" s="39" t="s">
        <v>671</v>
      </c>
      <c r="N1584" s="2" t="s">
        <v>19</v>
      </c>
      <c r="O1584" s="2" t="s">
        <v>19</v>
      </c>
      <c r="P1584" s="2" t="s">
        <v>19</v>
      </c>
      <c r="Q1584" s="2" t="s">
        <v>21</v>
      </c>
    </row>
    <row r="1585" customFormat="false" ht="15" hidden="false" customHeight="false" outlineLevel="0" collapsed="false">
      <c r="A1585" s="2" t="s">
        <v>787</v>
      </c>
      <c r="B1585" s="2" t="s">
        <v>45</v>
      </c>
      <c r="C1585" s="14" t="s">
        <v>788</v>
      </c>
      <c r="D1585" s="40" t="n">
        <v>79680</v>
      </c>
      <c r="E1585" s="2" t="s">
        <v>667</v>
      </c>
      <c r="F1585" s="41" t="n">
        <v>1.31784638554217</v>
      </c>
      <c r="G1585" s="31" t="n">
        <v>85.3</v>
      </c>
      <c r="H1585" s="42" t="n">
        <v>0.129091682017855</v>
      </c>
      <c r="I1585" s="31" t="n">
        <v>66.3</v>
      </c>
      <c r="J1585" s="2" t="s">
        <v>2704</v>
      </c>
      <c r="K1585" s="43" t="n">
        <v>0.216647301151368</v>
      </c>
      <c r="L1585" s="31" t="n">
        <v>75.4</v>
      </c>
      <c r="M1585" s="39" t="s">
        <v>671</v>
      </c>
      <c r="N1585" s="2" t="s">
        <v>21</v>
      </c>
      <c r="O1585" s="2" t="s">
        <v>21</v>
      </c>
      <c r="P1585" s="2" t="s">
        <v>21</v>
      </c>
      <c r="Q1585" s="2" t="s">
        <v>21</v>
      </c>
    </row>
    <row r="1586" customFormat="false" ht="15" hidden="false" customHeight="false" outlineLevel="0" collapsed="false">
      <c r="A1586" s="2" t="s">
        <v>787</v>
      </c>
      <c r="B1586" s="2" t="s">
        <v>46</v>
      </c>
      <c r="C1586" s="13" t="s">
        <v>1686</v>
      </c>
      <c r="D1586" s="35" t="n">
        <v>344671</v>
      </c>
      <c r="E1586" s="2" t="s">
        <v>670</v>
      </c>
      <c r="F1586" s="36" t="n">
        <v>3.0742853329697</v>
      </c>
      <c r="G1586" s="31" t="n">
        <v>48.6</v>
      </c>
      <c r="H1586" s="37" t="n">
        <v>0.128840082271102</v>
      </c>
      <c r="I1586" s="31" t="n">
        <v>74.2</v>
      </c>
      <c r="J1586" s="2" t="s">
        <v>2705</v>
      </c>
      <c r="K1586" s="38" t="n">
        <v>0.23205312275664</v>
      </c>
      <c r="L1586" s="31" t="n">
        <v>78.2</v>
      </c>
      <c r="M1586" s="39" t="s">
        <v>671</v>
      </c>
      <c r="N1586" s="2" t="s">
        <v>19</v>
      </c>
      <c r="O1586" s="2" t="s">
        <v>19</v>
      </c>
      <c r="P1586" s="2" t="s">
        <v>19</v>
      </c>
      <c r="Q1586" s="2" t="s">
        <v>19</v>
      </c>
    </row>
    <row r="1587" customFormat="false" ht="15" hidden="false" customHeight="false" outlineLevel="0" collapsed="false">
      <c r="A1587" s="2" t="s">
        <v>787</v>
      </c>
      <c r="B1587" s="2" t="s">
        <v>47</v>
      </c>
      <c r="C1587" s="16"/>
      <c r="D1587" s="29"/>
      <c r="E1587" s="2"/>
      <c r="F1587" s="30"/>
      <c r="G1587" s="31"/>
      <c r="H1587" s="32"/>
      <c r="I1587" s="31"/>
      <c r="J1587" s="2"/>
      <c r="K1587" s="33"/>
      <c r="L1587" s="31"/>
      <c r="M1587" s="34" t="s">
        <v>668</v>
      </c>
      <c r="N1587" s="2"/>
      <c r="O1587" s="2"/>
      <c r="P1587" s="2"/>
      <c r="Q1587" s="2"/>
    </row>
    <row r="1588" customFormat="false" ht="15" hidden="false" customHeight="false" outlineLevel="0" collapsed="false">
      <c r="A1588" s="2" t="s">
        <v>1631</v>
      </c>
      <c r="B1588" s="2" t="s">
        <v>45</v>
      </c>
      <c r="C1588" s="14" t="s">
        <v>3097</v>
      </c>
      <c r="D1588" s="40" t="n">
        <v>16870</v>
      </c>
      <c r="E1588" s="2" t="s">
        <v>667</v>
      </c>
      <c r="F1588" s="41" t="n">
        <v>0.806401896858328</v>
      </c>
      <c r="G1588" s="31" t="n">
        <v>64.7</v>
      </c>
      <c r="H1588" s="42" t="n">
        <v>0.164251207729469</v>
      </c>
      <c r="I1588" s="31" t="n">
        <v>82.9</v>
      </c>
      <c r="J1588" s="2" t="s">
        <v>2704</v>
      </c>
      <c r="K1588" s="33"/>
      <c r="L1588" s="31"/>
      <c r="M1588" s="34" t="s">
        <v>668</v>
      </c>
      <c r="N1588" s="2" t="s">
        <v>21</v>
      </c>
      <c r="O1588" s="2" t="s">
        <v>21</v>
      </c>
      <c r="P1588" s="2" t="s">
        <v>21</v>
      </c>
      <c r="Q1588" s="2"/>
    </row>
    <row r="1589" customFormat="false" ht="15" hidden="false" customHeight="false" outlineLevel="0" collapsed="false">
      <c r="A1589" s="2" t="s">
        <v>1631</v>
      </c>
      <c r="B1589" s="2" t="s">
        <v>46</v>
      </c>
      <c r="C1589" s="14" t="s">
        <v>1632</v>
      </c>
      <c r="D1589" s="35" t="n">
        <v>47044</v>
      </c>
      <c r="E1589" s="2" t="s">
        <v>667</v>
      </c>
      <c r="F1589" s="36" t="n">
        <v>3.64707507864978</v>
      </c>
      <c r="G1589" s="31" t="n">
        <v>57.1</v>
      </c>
      <c r="H1589" s="37" t="n">
        <v>0.0312821974263981</v>
      </c>
      <c r="I1589" s="31" t="n">
        <v>21.2</v>
      </c>
      <c r="J1589" s="2" t="s">
        <v>2700</v>
      </c>
      <c r="K1589" s="38" t="n">
        <v>0.094244710756029</v>
      </c>
      <c r="L1589" s="31" t="n">
        <v>30.1</v>
      </c>
      <c r="M1589" s="39" t="s">
        <v>671</v>
      </c>
      <c r="N1589" s="2" t="s">
        <v>19</v>
      </c>
      <c r="O1589" s="2" t="s">
        <v>19</v>
      </c>
      <c r="P1589" s="2" t="s">
        <v>19</v>
      </c>
      <c r="Q1589" s="2" t="s">
        <v>19</v>
      </c>
    </row>
    <row r="1590" customFormat="false" ht="15" hidden="false" customHeight="false" outlineLevel="0" collapsed="false">
      <c r="A1590" s="2" t="s">
        <v>1631</v>
      </c>
      <c r="B1590" s="2" t="s">
        <v>47</v>
      </c>
      <c r="C1590" s="13" t="s">
        <v>2172</v>
      </c>
      <c r="D1590" s="35" t="n">
        <v>26916</v>
      </c>
      <c r="E1590" s="2" t="s">
        <v>667</v>
      </c>
      <c r="F1590" s="36" t="n">
        <v>1.84982909793431</v>
      </c>
      <c r="G1590" s="31" t="n">
        <v>69.2</v>
      </c>
      <c r="H1590" s="37" t="n">
        <v>0.243118418621836</v>
      </c>
      <c r="I1590" s="31" t="n">
        <v>98.2</v>
      </c>
      <c r="J1590" s="2" t="s">
        <v>2697</v>
      </c>
      <c r="K1590" s="38" t="n">
        <v>0.109011627906977</v>
      </c>
      <c r="L1590" s="31" t="n">
        <v>59.2</v>
      </c>
      <c r="M1590" s="39" t="s">
        <v>671</v>
      </c>
      <c r="N1590" s="2" t="s">
        <v>19</v>
      </c>
      <c r="O1590" s="2" t="s">
        <v>19</v>
      </c>
      <c r="P1590" s="2" t="s">
        <v>19</v>
      </c>
      <c r="Q1590" s="2" t="s">
        <v>19</v>
      </c>
    </row>
    <row r="1591" customFormat="false" ht="15" hidden="false" customHeight="false" outlineLevel="0" collapsed="false">
      <c r="A1591" s="2" t="s">
        <v>1571</v>
      </c>
      <c r="B1591" s="2" t="s">
        <v>46</v>
      </c>
      <c r="C1591" s="13" t="s">
        <v>1572</v>
      </c>
      <c r="D1591" s="35" t="n">
        <v>97678</v>
      </c>
      <c r="E1591" s="2" t="s">
        <v>667</v>
      </c>
      <c r="F1591" s="36" t="n">
        <v>4.51384139724401</v>
      </c>
      <c r="G1591" s="31" t="n">
        <v>68.9</v>
      </c>
      <c r="H1591" s="37" t="n">
        <v>0.174692130075043</v>
      </c>
      <c r="I1591" s="31" t="n">
        <v>88</v>
      </c>
      <c r="J1591" s="2" t="s">
        <v>2700</v>
      </c>
      <c r="K1591" s="38" t="n">
        <v>0.10454888162855</v>
      </c>
      <c r="L1591" s="31" t="n">
        <v>34.7</v>
      </c>
      <c r="M1591" s="39" t="s">
        <v>671</v>
      </c>
      <c r="N1591" s="2" t="s">
        <v>19</v>
      </c>
      <c r="O1591" s="2" t="s">
        <v>19</v>
      </c>
      <c r="P1591" s="2" t="s">
        <v>19</v>
      </c>
      <c r="Q1591" s="2" t="s">
        <v>19</v>
      </c>
    </row>
    <row r="1592" customFormat="false" ht="15" hidden="false" customHeight="false" outlineLevel="0" collapsed="false">
      <c r="A1592" s="2" t="s">
        <v>1571</v>
      </c>
      <c r="B1592" s="2" t="s">
        <v>47</v>
      </c>
      <c r="C1592" s="13" t="s">
        <v>3098</v>
      </c>
      <c r="D1592" s="35" t="n">
        <v>47310</v>
      </c>
      <c r="E1592" s="2" t="s">
        <v>667</v>
      </c>
      <c r="F1592" s="36" t="n">
        <v>4.44561403508772</v>
      </c>
      <c r="G1592" s="31" t="n">
        <v>96.2</v>
      </c>
      <c r="H1592" s="37" t="n">
        <v>-0.0680770594492377</v>
      </c>
      <c r="I1592" s="31" t="n">
        <v>1.4</v>
      </c>
      <c r="J1592" s="2" t="s">
        <v>2697</v>
      </c>
      <c r="K1592" s="33"/>
      <c r="L1592" s="31"/>
      <c r="M1592" s="34" t="s">
        <v>668</v>
      </c>
      <c r="N1592" s="2" t="s">
        <v>19</v>
      </c>
      <c r="O1592" s="2" t="s">
        <v>19</v>
      </c>
      <c r="P1592" s="2" t="s">
        <v>19</v>
      </c>
      <c r="Q1592" s="2"/>
    </row>
    <row r="1593" customFormat="false" ht="15" hidden="false" customHeight="false" outlineLevel="0" collapsed="false">
      <c r="A1593" s="2" t="s">
        <v>370</v>
      </c>
      <c r="B1593" s="2" t="s">
        <v>45</v>
      </c>
      <c r="C1593" s="13" t="s">
        <v>852</v>
      </c>
      <c r="D1593" s="35" t="n">
        <v>51999</v>
      </c>
      <c r="E1593" s="2" t="s">
        <v>667</v>
      </c>
      <c r="F1593" s="36" t="n">
        <v>0.990595972999481</v>
      </c>
      <c r="G1593" s="31" t="n">
        <v>75</v>
      </c>
      <c r="H1593" s="37" t="n">
        <v>0.191680990030939</v>
      </c>
      <c r="I1593" s="31" t="n">
        <v>90.1</v>
      </c>
      <c r="J1593" s="2" t="s">
        <v>2704</v>
      </c>
      <c r="K1593" s="38" t="n">
        <v>0.167428110722924</v>
      </c>
      <c r="L1593" s="31" t="n">
        <v>60.5</v>
      </c>
      <c r="M1593" s="39" t="s">
        <v>671</v>
      </c>
      <c r="N1593" s="2" t="s">
        <v>19</v>
      </c>
      <c r="O1593" s="2" t="s">
        <v>19</v>
      </c>
      <c r="P1593" s="2" t="s">
        <v>19</v>
      </c>
      <c r="Q1593" s="2" t="s">
        <v>19</v>
      </c>
    </row>
    <row r="1594" customFormat="false" ht="15" hidden="false" customHeight="false" outlineLevel="0" collapsed="false">
      <c r="A1594" s="2" t="s">
        <v>370</v>
      </c>
      <c r="B1594" s="2" t="s">
        <v>46</v>
      </c>
      <c r="C1594" s="14" t="s">
        <v>1861</v>
      </c>
      <c r="D1594" s="40" t="n">
        <v>8120</v>
      </c>
      <c r="E1594" s="2" t="s">
        <v>678</v>
      </c>
      <c r="F1594" s="41" t="n">
        <v>1.7006157635468</v>
      </c>
      <c r="G1594" s="31" t="n">
        <v>19.5</v>
      </c>
      <c r="H1594" s="42" t="n">
        <v>0.153409090909091</v>
      </c>
      <c r="I1594" s="31" t="n">
        <v>75</v>
      </c>
      <c r="J1594" s="2" t="s">
        <v>2720</v>
      </c>
      <c r="K1594" s="43" t="n">
        <v>0.249701314217443</v>
      </c>
      <c r="L1594" s="31" t="n">
        <v>82.6</v>
      </c>
      <c r="M1594" s="39" t="s">
        <v>671</v>
      </c>
      <c r="N1594" s="2" t="s">
        <v>21</v>
      </c>
      <c r="O1594" s="2" t="s">
        <v>21</v>
      </c>
      <c r="P1594" s="2" t="s">
        <v>21</v>
      </c>
      <c r="Q1594" s="2" t="s">
        <v>21</v>
      </c>
    </row>
    <row r="1595" customFormat="false" ht="15" hidden="false" customHeight="false" outlineLevel="0" collapsed="false">
      <c r="A1595" s="2" t="s">
        <v>370</v>
      </c>
      <c r="B1595" s="2" t="s">
        <v>47</v>
      </c>
      <c r="C1595" s="13" t="s">
        <v>2275</v>
      </c>
      <c r="D1595" s="35" t="n">
        <v>42168</v>
      </c>
      <c r="E1595" s="2" t="s">
        <v>667</v>
      </c>
      <c r="F1595" s="36" t="n">
        <v>1.40476190476191</v>
      </c>
      <c r="G1595" s="31" t="n">
        <v>55.9</v>
      </c>
      <c r="H1595" s="37" t="n">
        <v>-0.0414838724342509</v>
      </c>
      <c r="I1595" s="31" t="n">
        <v>3.2</v>
      </c>
      <c r="J1595" s="2" t="s">
        <v>2697</v>
      </c>
      <c r="K1595" s="38" t="n">
        <v>0.0274691358024691</v>
      </c>
      <c r="L1595" s="31" t="n">
        <v>17</v>
      </c>
      <c r="M1595" s="39" t="s">
        <v>671</v>
      </c>
      <c r="N1595" s="2" t="s">
        <v>19</v>
      </c>
      <c r="O1595" s="2" t="s">
        <v>19</v>
      </c>
      <c r="P1595" s="2" t="s">
        <v>19</v>
      </c>
      <c r="Q1595" s="2" t="s">
        <v>19</v>
      </c>
    </row>
    <row r="1596" customFormat="false" ht="15" hidden="false" customHeight="false" outlineLevel="0" collapsed="false">
      <c r="A1596" s="2" t="s">
        <v>2586</v>
      </c>
      <c r="B1596" s="2" t="s">
        <v>45</v>
      </c>
      <c r="C1596" s="16"/>
      <c r="D1596" s="44" t="n">
        <v>15781</v>
      </c>
      <c r="E1596" s="2" t="s">
        <v>667</v>
      </c>
      <c r="F1596" s="45" t="n">
        <v>1.06032570813003</v>
      </c>
      <c r="G1596" s="31" t="n">
        <v>78.4</v>
      </c>
      <c r="H1596" s="32"/>
      <c r="I1596" s="31"/>
      <c r="J1596" s="2"/>
      <c r="K1596" s="47" t="s">
        <v>680</v>
      </c>
      <c r="L1596" s="31"/>
      <c r="M1596" s="34" t="s">
        <v>668</v>
      </c>
      <c r="N1596" s="2" t="s">
        <v>17</v>
      </c>
      <c r="O1596" s="2" t="s">
        <v>17</v>
      </c>
      <c r="P1596" s="2"/>
      <c r="Q1596" s="2" t="s">
        <v>2866</v>
      </c>
    </row>
    <row r="1597" customFormat="false" ht="15" hidden="false" customHeight="false" outlineLevel="0" collapsed="false">
      <c r="A1597" s="2" t="s">
        <v>2586</v>
      </c>
      <c r="B1597" s="2" t="s">
        <v>46</v>
      </c>
      <c r="C1597" s="13" t="s">
        <v>3099</v>
      </c>
      <c r="D1597" s="35" t="n">
        <v>588462</v>
      </c>
      <c r="E1597" s="2" t="s">
        <v>670</v>
      </c>
      <c r="F1597" s="30"/>
      <c r="G1597" s="31"/>
      <c r="H1597" s="37" t="n">
        <v>-0.0389193391388423</v>
      </c>
      <c r="I1597" s="31" t="n">
        <v>4</v>
      </c>
      <c r="J1597" s="2" t="s">
        <v>2705</v>
      </c>
      <c r="K1597" s="38" t="n">
        <v>0.18268561435678</v>
      </c>
      <c r="L1597" s="31" t="n">
        <v>67.4</v>
      </c>
      <c r="M1597" s="34" t="s">
        <v>668</v>
      </c>
      <c r="N1597" s="2" t="s">
        <v>19</v>
      </c>
      <c r="O1597" s="2"/>
      <c r="P1597" s="2" t="s">
        <v>19</v>
      </c>
      <c r="Q1597" s="2" t="s">
        <v>19</v>
      </c>
    </row>
    <row r="1598" customFormat="false" ht="15" hidden="false" customHeight="false" outlineLevel="0" collapsed="false">
      <c r="A1598" s="2" t="s">
        <v>2586</v>
      </c>
      <c r="B1598" s="2" t="s">
        <v>47</v>
      </c>
      <c r="C1598" s="13" t="s">
        <v>2587</v>
      </c>
      <c r="D1598" s="35" t="n">
        <v>86434</v>
      </c>
      <c r="E1598" s="2" t="s">
        <v>667</v>
      </c>
      <c r="F1598" s="36" t="n">
        <v>0.574276326445612</v>
      </c>
      <c r="G1598" s="31" t="n">
        <v>14.8</v>
      </c>
      <c r="H1598" s="37" t="n">
        <v>0.0384084001105278</v>
      </c>
      <c r="I1598" s="31" t="n">
        <v>25.9</v>
      </c>
      <c r="J1598" s="2" t="s">
        <v>2697</v>
      </c>
      <c r="K1598" s="38" t="n">
        <v>0.258376094174464</v>
      </c>
      <c r="L1598" s="31" t="n">
        <v>93.7</v>
      </c>
      <c r="M1598" s="39" t="s">
        <v>671</v>
      </c>
      <c r="N1598" s="2" t="s">
        <v>19</v>
      </c>
      <c r="O1598" s="2" t="s">
        <v>19</v>
      </c>
      <c r="P1598" s="2" t="s">
        <v>19</v>
      </c>
      <c r="Q1598" s="2" t="s">
        <v>19</v>
      </c>
    </row>
    <row r="1599" customFormat="false" ht="15" hidden="false" customHeight="false" outlineLevel="0" collapsed="false">
      <c r="A1599" s="2" t="s">
        <v>1102</v>
      </c>
      <c r="B1599" s="2" t="s">
        <v>45</v>
      </c>
      <c r="C1599" s="13" t="s">
        <v>1103</v>
      </c>
      <c r="D1599" s="35" t="n">
        <v>182187</v>
      </c>
      <c r="E1599" s="2" t="s">
        <v>670</v>
      </c>
      <c r="F1599" s="36" t="n">
        <v>0.505057989867554</v>
      </c>
      <c r="G1599" s="31" t="n">
        <v>41.9</v>
      </c>
      <c r="H1599" s="37" t="n">
        <v>0.236096316550082</v>
      </c>
      <c r="I1599" s="31" t="n">
        <v>98.6</v>
      </c>
      <c r="J1599" s="2" t="s">
        <v>2698</v>
      </c>
      <c r="K1599" s="38" t="n">
        <v>0.282025819265144</v>
      </c>
      <c r="L1599" s="31" t="n">
        <v>87.6</v>
      </c>
      <c r="M1599" s="39" t="s">
        <v>671</v>
      </c>
      <c r="N1599" s="2" t="s">
        <v>19</v>
      </c>
      <c r="O1599" s="2" t="s">
        <v>19</v>
      </c>
      <c r="P1599" s="2" t="s">
        <v>19</v>
      </c>
      <c r="Q1599" s="2" t="s">
        <v>19</v>
      </c>
    </row>
    <row r="1600" customFormat="false" ht="15" hidden="false" customHeight="false" outlineLevel="0" collapsed="false">
      <c r="A1600" s="2" t="s">
        <v>1102</v>
      </c>
      <c r="B1600" s="2" t="s">
        <v>46</v>
      </c>
      <c r="C1600" s="14" t="s">
        <v>3100</v>
      </c>
      <c r="D1600" s="40" t="n">
        <v>49430</v>
      </c>
      <c r="E1600" s="2" t="s">
        <v>667</v>
      </c>
      <c r="F1600" s="41" t="n">
        <v>1.96075257940522</v>
      </c>
      <c r="G1600" s="31" t="n">
        <v>25.4</v>
      </c>
      <c r="H1600" s="32"/>
      <c r="I1600" s="31"/>
      <c r="J1600" s="2"/>
      <c r="K1600" s="43" t="n">
        <v>0.261938202247191</v>
      </c>
      <c r="L1600" s="31" t="n">
        <v>85.2</v>
      </c>
      <c r="M1600" s="34" t="s">
        <v>668</v>
      </c>
      <c r="N1600" s="2" t="s">
        <v>21</v>
      </c>
      <c r="O1600" s="2" t="s">
        <v>21</v>
      </c>
      <c r="P1600" s="2"/>
      <c r="Q1600" s="2" t="s">
        <v>21</v>
      </c>
    </row>
    <row r="1601" customFormat="false" ht="15" hidden="false" customHeight="false" outlineLevel="0" collapsed="false">
      <c r="A1601" s="2" t="s">
        <v>1102</v>
      </c>
      <c r="B1601" s="2" t="s">
        <v>47</v>
      </c>
      <c r="C1601" s="14" t="s">
        <v>3101</v>
      </c>
      <c r="D1601" s="40" t="n">
        <v>282950</v>
      </c>
      <c r="E1601" s="2" t="s">
        <v>670</v>
      </c>
      <c r="F1601" s="30"/>
      <c r="G1601" s="31"/>
      <c r="H1601" s="42" t="n">
        <v>0.104841858648965</v>
      </c>
      <c r="I1601" s="31" t="n">
        <v>59.6</v>
      </c>
      <c r="J1601" s="2" t="s">
        <v>2701</v>
      </c>
      <c r="K1601" s="33"/>
      <c r="L1601" s="31"/>
      <c r="M1601" s="34" t="s">
        <v>668</v>
      </c>
      <c r="N1601" s="2" t="s">
        <v>21</v>
      </c>
      <c r="O1601" s="2"/>
      <c r="P1601" s="2" t="s">
        <v>21</v>
      </c>
      <c r="Q1601" s="2"/>
    </row>
    <row r="1602" customFormat="false" ht="15" hidden="false" customHeight="false" outlineLevel="0" collapsed="false">
      <c r="A1602" s="2" t="s">
        <v>640</v>
      </c>
      <c r="B1602" s="2" t="s">
        <v>47</v>
      </c>
      <c r="C1602" s="13" t="s">
        <v>2634</v>
      </c>
      <c r="D1602" s="35" t="n">
        <v>618897</v>
      </c>
      <c r="E1602" s="2" t="s">
        <v>670</v>
      </c>
      <c r="F1602" s="36" t="n">
        <v>0.416368151727994</v>
      </c>
      <c r="G1602" s="31" t="n">
        <v>8.2</v>
      </c>
      <c r="H1602" s="37" t="n">
        <v>0.231246232535377</v>
      </c>
      <c r="I1602" s="31" t="n">
        <v>94.6</v>
      </c>
      <c r="J1602" s="2" t="s">
        <v>2701</v>
      </c>
      <c r="K1602" s="38" t="n">
        <v>0.0370114147353857</v>
      </c>
      <c r="L1602" s="31" t="n">
        <v>24.2</v>
      </c>
      <c r="M1602" s="39" t="s">
        <v>671</v>
      </c>
      <c r="N1602" s="2" t="s">
        <v>19</v>
      </c>
      <c r="O1602" s="2" t="s">
        <v>19</v>
      </c>
      <c r="P1602" s="2" t="s">
        <v>19</v>
      </c>
      <c r="Q1602" s="2" t="s">
        <v>19</v>
      </c>
    </row>
    <row r="1603" customFormat="false" ht="15" hidden="false" customHeight="false" outlineLevel="0" collapsed="false">
      <c r="A1603" s="2" t="s">
        <v>422</v>
      </c>
      <c r="B1603" s="2" t="s">
        <v>45</v>
      </c>
      <c r="C1603" s="14" t="s">
        <v>1069</v>
      </c>
      <c r="D1603" s="40" t="n">
        <v>39790</v>
      </c>
      <c r="E1603" s="2" t="s">
        <v>667</v>
      </c>
      <c r="F1603" s="41" t="n">
        <v>0.555968836391053</v>
      </c>
      <c r="G1603" s="31" t="n">
        <v>45.7</v>
      </c>
      <c r="H1603" s="42" t="n">
        <v>0.0451799317047544</v>
      </c>
      <c r="I1603" s="31" t="n">
        <v>26.2</v>
      </c>
      <c r="J1603" s="2" t="s">
        <v>2704</v>
      </c>
      <c r="K1603" s="43" t="n">
        <v>0.202518891687657</v>
      </c>
      <c r="L1603" s="31" t="n">
        <v>71.5</v>
      </c>
      <c r="M1603" s="39" t="s">
        <v>671</v>
      </c>
      <c r="N1603" s="2" t="s">
        <v>21</v>
      </c>
      <c r="O1603" s="2" t="s">
        <v>21</v>
      </c>
      <c r="P1603" s="2" t="s">
        <v>21</v>
      </c>
      <c r="Q1603" s="2" t="s">
        <v>21</v>
      </c>
    </row>
    <row r="1604" customFormat="false" ht="15" hidden="false" customHeight="false" outlineLevel="0" collapsed="false">
      <c r="A1604" s="2" t="s">
        <v>422</v>
      </c>
      <c r="B1604" s="2" t="s">
        <v>46</v>
      </c>
      <c r="C1604" s="14" t="s">
        <v>1520</v>
      </c>
      <c r="D1604" s="40" t="n">
        <v>77930</v>
      </c>
      <c r="E1604" s="2" t="s">
        <v>667</v>
      </c>
      <c r="F1604" s="41" t="n">
        <v>5.50210445271397</v>
      </c>
      <c r="G1604" s="31" t="n">
        <v>77.8</v>
      </c>
      <c r="H1604" s="42" t="n">
        <v>0.0572513905847239</v>
      </c>
      <c r="I1604" s="31" t="n">
        <v>34</v>
      </c>
      <c r="J1604" s="2" t="s">
        <v>2700</v>
      </c>
      <c r="K1604" s="43" t="n">
        <v>0.0128089482229839</v>
      </c>
      <c r="L1604" s="31" t="n">
        <v>2.6</v>
      </c>
      <c r="M1604" s="39" t="s">
        <v>671</v>
      </c>
      <c r="N1604" s="2" t="s">
        <v>21</v>
      </c>
      <c r="O1604" s="2" t="s">
        <v>21</v>
      </c>
      <c r="P1604" s="2" t="s">
        <v>21</v>
      </c>
      <c r="Q1604" s="2" t="s">
        <v>21</v>
      </c>
    </row>
    <row r="1605" customFormat="false" ht="15" hidden="false" customHeight="false" outlineLevel="0" collapsed="false">
      <c r="A1605" s="2" t="s">
        <v>422</v>
      </c>
      <c r="B1605" s="2" t="s">
        <v>47</v>
      </c>
      <c r="C1605" s="13" t="s">
        <v>2633</v>
      </c>
      <c r="D1605" s="35" t="n">
        <v>95307</v>
      </c>
      <c r="E1605" s="2" t="s">
        <v>667</v>
      </c>
      <c r="F1605" s="36" t="n">
        <v>0.416905368965553</v>
      </c>
      <c r="G1605" s="31" t="n">
        <v>8.4</v>
      </c>
      <c r="H1605" s="37" t="n">
        <v>0.224207470585213</v>
      </c>
      <c r="I1605" s="31" t="n">
        <v>96.5</v>
      </c>
      <c r="J1605" s="2" t="s">
        <v>2697</v>
      </c>
      <c r="K1605" s="38" t="n">
        <v>0.00761697497279652</v>
      </c>
      <c r="L1605" s="31" t="n">
        <v>5.9</v>
      </c>
      <c r="M1605" s="39" t="s">
        <v>671</v>
      </c>
      <c r="N1605" s="2" t="s">
        <v>19</v>
      </c>
      <c r="O1605" s="2" t="s">
        <v>19</v>
      </c>
      <c r="P1605" s="2" t="s">
        <v>19</v>
      </c>
      <c r="Q1605" s="2" t="s">
        <v>19</v>
      </c>
    </row>
    <row r="1606" customFormat="false" ht="15" hidden="false" customHeight="false" outlineLevel="0" collapsed="false">
      <c r="A1606" s="2" t="s">
        <v>1014</v>
      </c>
      <c r="B1606" s="2" t="s">
        <v>45</v>
      </c>
      <c r="C1606" s="14" t="s">
        <v>1015</v>
      </c>
      <c r="D1606" s="40" t="n">
        <v>19320</v>
      </c>
      <c r="E1606" s="2" t="s">
        <v>667</v>
      </c>
      <c r="F1606" s="41" t="n">
        <v>0.640010351966874</v>
      </c>
      <c r="G1606" s="31" t="n">
        <v>53</v>
      </c>
      <c r="H1606" s="42" t="n">
        <v>0.0216816499206769</v>
      </c>
      <c r="I1606" s="31" t="n">
        <v>14.3</v>
      </c>
      <c r="J1606" s="2" t="s">
        <v>2704</v>
      </c>
      <c r="K1606" s="43" t="n">
        <v>0.142857142857143</v>
      </c>
      <c r="L1606" s="31" t="n">
        <v>53.3</v>
      </c>
      <c r="M1606" s="39" t="s">
        <v>671</v>
      </c>
      <c r="N1606" s="2" t="s">
        <v>21</v>
      </c>
      <c r="O1606" s="2" t="s">
        <v>21</v>
      </c>
      <c r="P1606" s="2" t="s">
        <v>21</v>
      </c>
      <c r="Q1606" s="2" t="s">
        <v>21</v>
      </c>
    </row>
    <row r="1607" customFormat="false" ht="15" hidden="false" customHeight="false" outlineLevel="0" collapsed="false">
      <c r="A1607" s="2" t="s">
        <v>1014</v>
      </c>
      <c r="B1607" s="2" t="s">
        <v>46</v>
      </c>
      <c r="C1607" s="16"/>
      <c r="D1607" s="40" t="n">
        <v>9630</v>
      </c>
      <c r="E1607" s="2" t="s">
        <v>678</v>
      </c>
      <c r="F1607" s="41" t="n">
        <v>10.8115264797508</v>
      </c>
      <c r="G1607" s="31" t="n">
        <v>97.9</v>
      </c>
      <c r="H1607" s="42" t="n">
        <v>0.153293413173653</v>
      </c>
      <c r="I1607" s="31" t="n">
        <v>72.9</v>
      </c>
      <c r="J1607" s="2" t="s">
        <v>2720</v>
      </c>
      <c r="K1607" s="43" t="n">
        <v>0.0679180044455421</v>
      </c>
      <c r="L1607" s="31" t="n">
        <v>20.7</v>
      </c>
      <c r="M1607" s="34" t="s">
        <v>668</v>
      </c>
      <c r="N1607" s="2" t="s">
        <v>21</v>
      </c>
      <c r="O1607" s="2" t="s">
        <v>21</v>
      </c>
      <c r="P1607" s="2" t="s">
        <v>21</v>
      </c>
      <c r="Q1607" s="2" t="s">
        <v>21</v>
      </c>
    </row>
    <row r="1608" customFormat="false" ht="15" hidden="false" customHeight="false" outlineLevel="0" collapsed="false">
      <c r="A1608" s="2" t="s">
        <v>1014</v>
      </c>
      <c r="B1608" s="2" t="s">
        <v>47</v>
      </c>
      <c r="C1608" s="13" t="s">
        <v>3102</v>
      </c>
      <c r="D1608" s="35" t="n">
        <v>103975</v>
      </c>
      <c r="E1608" s="2" t="s">
        <v>670</v>
      </c>
      <c r="F1608" s="36" t="n">
        <v>2.47768213512864</v>
      </c>
      <c r="G1608" s="31" t="n">
        <v>82.3</v>
      </c>
      <c r="H1608" s="37" t="n">
        <v>0.00785150002423302</v>
      </c>
      <c r="I1608" s="31" t="n">
        <v>15.1</v>
      </c>
      <c r="J1608" s="2" t="s">
        <v>2701</v>
      </c>
      <c r="K1608" s="33"/>
      <c r="L1608" s="31"/>
      <c r="M1608" s="34" t="s">
        <v>668</v>
      </c>
      <c r="N1608" s="2" t="s">
        <v>19</v>
      </c>
      <c r="O1608" s="2" t="s">
        <v>19</v>
      </c>
      <c r="P1608" s="2" t="s">
        <v>19</v>
      </c>
      <c r="Q1608" s="2"/>
    </row>
    <row r="1609" customFormat="false" ht="15" hidden="false" customHeight="false" outlineLevel="0" collapsed="false">
      <c r="A1609" s="2" t="s">
        <v>376</v>
      </c>
      <c r="B1609" s="2" t="s">
        <v>45</v>
      </c>
      <c r="C1609" s="13" t="s">
        <v>1295</v>
      </c>
      <c r="D1609" s="35" t="n">
        <v>105065</v>
      </c>
      <c r="E1609" s="2" t="s">
        <v>670</v>
      </c>
      <c r="F1609" s="36" t="n">
        <v>0.260153238471423</v>
      </c>
      <c r="G1609" s="31" t="n">
        <v>13.9</v>
      </c>
      <c r="H1609" s="37" t="n">
        <v>0.134856340462303</v>
      </c>
      <c r="I1609" s="31" t="n">
        <v>71</v>
      </c>
      <c r="J1609" s="2" t="s">
        <v>2698</v>
      </c>
      <c r="K1609" s="38" t="n">
        <v>0.368178324365872</v>
      </c>
      <c r="L1609" s="31" t="n">
        <v>98.3</v>
      </c>
      <c r="M1609" s="39" t="s">
        <v>671</v>
      </c>
      <c r="N1609" s="2" t="s">
        <v>19</v>
      </c>
      <c r="O1609" s="2" t="s">
        <v>19</v>
      </c>
      <c r="P1609" s="2" t="s">
        <v>19</v>
      </c>
      <c r="Q1609" s="2" t="s">
        <v>19</v>
      </c>
    </row>
    <row r="1610" customFormat="false" ht="15" hidden="false" customHeight="false" outlineLevel="0" collapsed="false">
      <c r="A1610" s="2" t="s">
        <v>376</v>
      </c>
      <c r="B1610" s="2" t="s">
        <v>46</v>
      </c>
      <c r="C1610" s="13" t="s">
        <v>1507</v>
      </c>
      <c r="D1610" s="35" t="n">
        <v>320198</v>
      </c>
      <c r="E1610" s="2" t="s">
        <v>670</v>
      </c>
      <c r="F1610" s="36" t="n">
        <v>5.97073061043479</v>
      </c>
      <c r="G1610" s="31" t="n">
        <v>80.5</v>
      </c>
      <c r="H1610" s="37" t="n">
        <v>0.02396188100606</v>
      </c>
      <c r="I1610" s="31" t="n">
        <v>17.2</v>
      </c>
      <c r="J1610" s="2" t="s">
        <v>2705</v>
      </c>
      <c r="K1610" s="38" t="n">
        <v>0.266886434091604</v>
      </c>
      <c r="L1610" s="31" t="n">
        <v>86.3</v>
      </c>
      <c r="M1610" s="39" t="s">
        <v>671</v>
      </c>
      <c r="N1610" s="2" t="s">
        <v>19</v>
      </c>
      <c r="O1610" s="2" t="s">
        <v>19</v>
      </c>
      <c r="P1610" s="2" t="s">
        <v>19</v>
      </c>
      <c r="Q1610" s="2" t="s">
        <v>19</v>
      </c>
    </row>
    <row r="1611" customFormat="false" ht="15" hidden="false" customHeight="false" outlineLevel="0" collapsed="false">
      <c r="A1611" s="2" t="s">
        <v>376</v>
      </c>
      <c r="B1611" s="2" t="s">
        <v>47</v>
      </c>
      <c r="C1611" s="13" t="s">
        <v>2295</v>
      </c>
      <c r="D1611" s="35" t="n">
        <v>40684</v>
      </c>
      <c r="E1611" s="2" t="s">
        <v>667</v>
      </c>
      <c r="F1611" s="36" t="n">
        <v>1.31951135581555</v>
      </c>
      <c r="G1611" s="31" t="n">
        <v>53</v>
      </c>
      <c r="H1611" s="37" t="n">
        <v>0.0145635910224439</v>
      </c>
      <c r="I1611" s="31" t="n">
        <v>14.5</v>
      </c>
      <c r="J1611" s="2" t="s">
        <v>2697</v>
      </c>
      <c r="K1611" s="38" t="n">
        <v>0.0886932972241029</v>
      </c>
      <c r="L1611" s="31" t="n">
        <v>48.6</v>
      </c>
      <c r="M1611" s="39" t="s">
        <v>671</v>
      </c>
      <c r="N1611" s="2" t="s">
        <v>19</v>
      </c>
      <c r="O1611" s="2" t="s">
        <v>19</v>
      </c>
      <c r="P1611" s="2" t="s">
        <v>19</v>
      </c>
      <c r="Q1611" s="2" t="s">
        <v>19</v>
      </c>
    </row>
    <row r="1612" customFormat="false" ht="15" hidden="false" customHeight="false" outlineLevel="0" collapsed="false">
      <c r="A1612" s="2" t="s">
        <v>1284</v>
      </c>
      <c r="B1612" s="2" t="s">
        <v>45</v>
      </c>
      <c r="C1612" s="14" t="s">
        <v>1285</v>
      </c>
      <c r="D1612" s="40" t="n">
        <v>93510</v>
      </c>
      <c r="E1612" s="2" t="s">
        <v>667</v>
      </c>
      <c r="F1612" s="41" t="n">
        <v>0.274612340926104</v>
      </c>
      <c r="G1612" s="31" t="n">
        <v>16</v>
      </c>
      <c r="H1612" s="42" t="n">
        <v>0.0381925169312757</v>
      </c>
      <c r="I1612" s="31" t="n">
        <v>22.6</v>
      </c>
      <c r="J1612" s="2" t="s">
        <v>2704</v>
      </c>
      <c r="K1612" s="43" t="n">
        <v>0.271551724137931</v>
      </c>
      <c r="L1612" s="31" t="n">
        <v>85.9</v>
      </c>
      <c r="M1612" s="39" t="s">
        <v>671</v>
      </c>
      <c r="N1612" s="2" t="s">
        <v>21</v>
      </c>
      <c r="O1612" s="2" t="s">
        <v>21</v>
      </c>
      <c r="P1612" s="2" t="s">
        <v>21</v>
      </c>
      <c r="Q1612" s="2" t="s">
        <v>21</v>
      </c>
    </row>
    <row r="1613" customFormat="false" ht="15" hidden="false" customHeight="false" outlineLevel="0" collapsed="false">
      <c r="A1613" s="2" t="s">
        <v>1284</v>
      </c>
      <c r="B1613" s="2" t="s">
        <v>46</v>
      </c>
      <c r="C1613" s="14" t="s">
        <v>3103</v>
      </c>
      <c r="D1613" s="40" t="n">
        <v>14310</v>
      </c>
      <c r="E1613" s="2" t="s">
        <v>667</v>
      </c>
      <c r="F1613" s="41" t="n">
        <v>8.65087351502446</v>
      </c>
      <c r="G1613" s="31" t="n">
        <v>93</v>
      </c>
      <c r="H1613" s="32"/>
      <c r="I1613" s="31"/>
      <c r="J1613" s="2"/>
      <c r="K1613" s="33"/>
      <c r="L1613" s="31"/>
      <c r="M1613" s="34" t="s">
        <v>668</v>
      </c>
      <c r="N1613" s="2" t="s">
        <v>21</v>
      </c>
      <c r="O1613" s="2" t="s">
        <v>21</v>
      </c>
      <c r="P1613" s="2"/>
      <c r="Q1613" s="2"/>
    </row>
    <row r="1614" customFormat="false" ht="15" hidden="false" customHeight="false" outlineLevel="0" collapsed="false">
      <c r="A1614" s="2" t="s">
        <v>1284</v>
      </c>
      <c r="B1614" s="2" t="s">
        <v>47</v>
      </c>
      <c r="C1614" s="13" t="s">
        <v>2094</v>
      </c>
      <c r="D1614" s="35" t="n">
        <v>186923</v>
      </c>
      <c r="E1614" s="2" t="s">
        <v>670</v>
      </c>
      <c r="F1614" s="36" t="n">
        <v>2.41151704177656</v>
      </c>
      <c r="G1614" s="31" t="n">
        <v>80.8</v>
      </c>
      <c r="H1614" s="37" t="n">
        <v>0.0890410160801678</v>
      </c>
      <c r="I1614" s="31" t="n">
        <v>52.4</v>
      </c>
      <c r="J1614" s="2" t="s">
        <v>2701</v>
      </c>
      <c r="K1614" s="38" t="n">
        <v>0.240185483554054</v>
      </c>
      <c r="L1614" s="31" t="n">
        <v>90.7</v>
      </c>
      <c r="M1614" s="39" t="s">
        <v>671</v>
      </c>
      <c r="N1614" s="2" t="s">
        <v>19</v>
      </c>
      <c r="O1614" s="2" t="s">
        <v>19</v>
      </c>
      <c r="P1614" s="2" t="s">
        <v>19</v>
      </c>
      <c r="Q1614" s="2" t="s">
        <v>19</v>
      </c>
    </row>
    <row r="1615" customFormat="false" ht="15" hidden="false" customHeight="false" outlineLevel="0" collapsed="false">
      <c r="A1615" s="2" t="s">
        <v>1899</v>
      </c>
      <c r="B1615" s="2" t="s">
        <v>45</v>
      </c>
      <c r="C1615" s="14" t="s">
        <v>3104</v>
      </c>
      <c r="D1615" s="40" t="n">
        <v>88100</v>
      </c>
      <c r="E1615" s="2" t="s">
        <v>667</v>
      </c>
      <c r="F1615" s="41" t="n">
        <v>0.895664018161181</v>
      </c>
      <c r="G1615" s="31" t="n">
        <v>70.5</v>
      </c>
      <c r="H1615" s="42" t="n">
        <v>-0.110640016151827</v>
      </c>
      <c r="I1615" s="31" t="n">
        <v>0.8</v>
      </c>
      <c r="J1615" s="2" t="s">
        <v>2704</v>
      </c>
      <c r="K1615" s="33"/>
      <c r="L1615" s="31"/>
      <c r="M1615" s="34" t="s">
        <v>668</v>
      </c>
      <c r="N1615" s="2" t="s">
        <v>21</v>
      </c>
      <c r="O1615" s="2" t="s">
        <v>21</v>
      </c>
      <c r="P1615" s="2" t="s">
        <v>21</v>
      </c>
      <c r="Q1615" s="2"/>
    </row>
    <row r="1616" customFormat="false" ht="15" hidden="false" customHeight="false" outlineLevel="0" collapsed="false">
      <c r="A1616" s="2" t="s">
        <v>1899</v>
      </c>
      <c r="B1616" s="2" t="s">
        <v>46</v>
      </c>
      <c r="C1616" s="14" t="s">
        <v>1900</v>
      </c>
      <c r="D1616" s="40" t="n">
        <v>48960</v>
      </c>
      <c r="E1616" s="2" t="s">
        <v>667</v>
      </c>
      <c r="F1616" s="41" t="n">
        <v>1.38374183006536</v>
      </c>
      <c r="G1616" s="31" t="n">
        <v>12.3</v>
      </c>
      <c r="H1616" s="42" t="n">
        <v>0.0522243713733075</v>
      </c>
      <c r="I1616" s="31" t="n">
        <v>29.5</v>
      </c>
      <c r="J1616" s="2" t="s">
        <v>2700</v>
      </c>
      <c r="K1616" s="43" t="n">
        <v>0.09472</v>
      </c>
      <c r="L1616" s="31" t="n">
        <v>30.3</v>
      </c>
      <c r="M1616" s="39" t="s">
        <v>671</v>
      </c>
      <c r="N1616" s="2" t="s">
        <v>21</v>
      </c>
      <c r="O1616" s="2" t="s">
        <v>21</v>
      </c>
      <c r="P1616" s="2" t="s">
        <v>21</v>
      </c>
      <c r="Q1616" s="2" t="s">
        <v>21</v>
      </c>
    </row>
    <row r="1617" customFormat="false" ht="15" hidden="false" customHeight="false" outlineLevel="0" collapsed="false">
      <c r="A1617" s="2" t="s">
        <v>1899</v>
      </c>
      <c r="B1617" s="2" t="s">
        <v>47</v>
      </c>
      <c r="C1617" s="16"/>
      <c r="D1617" s="29"/>
      <c r="E1617" s="2"/>
      <c r="F1617" s="30"/>
      <c r="G1617" s="31"/>
      <c r="H1617" s="32"/>
      <c r="I1617" s="31"/>
      <c r="J1617" s="2"/>
      <c r="K1617" s="33"/>
      <c r="L1617" s="31"/>
      <c r="M1617" s="34" t="s">
        <v>668</v>
      </c>
      <c r="N1617" s="2"/>
      <c r="O1617" s="2"/>
      <c r="P1617" s="2"/>
      <c r="Q1617" s="2"/>
    </row>
    <row r="1618" customFormat="false" ht="15" hidden="false" customHeight="false" outlineLevel="0" collapsed="false">
      <c r="A1618" s="2" t="s">
        <v>3105</v>
      </c>
      <c r="B1618" s="2" t="s">
        <v>46</v>
      </c>
      <c r="C1618" s="14" t="s">
        <v>3106</v>
      </c>
      <c r="D1618" s="40" t="n">
        <v>170000</v>
      </c>
      <c r="E1618" s="2" t="s">
        <v>670</v>
      </c>
      <c r="F1618" s="41" t="n">
        <v>4.96435294117647</v>
      </c>
      <c r="G1618" s="31" t="n">
        <v>72.1</v>
      </c>
      <c r="H1618" s="42" t="n">
        <v>0.0956432070121165</v>
      </c>
      <c r="I1618" s="31" t="n">
        <v>62.3</v>
      </c>
      <c r="J1618" s="2" t="s">
        <v>2705</v>
      </c>
      <c r="K1618" s="33"/>
      <c r="L1618" s="31"/>
      <c r="M1618" s="34" t="s">
        <v>668</v>
      </c>
      <c r="N1618" s="2" t="s">
        <v>21</v>
      </c>
      <c r="O1618" s="2" t="s">
        <v>21</v>
      </c>
      <c r="P1618" s="2" t="s">
        <v>21</v>
      </c>
      <c r="Q1618" s="2"/>
    </row>
    <row r="1619" customFormat="false" ht="15" hidden="false" customHeight="false" outlineLevel="0" collapsed="false">
      <c r="A1619" s="2" t="s">
        <v>3107</v>
      </c>
      <c r="B1619" s="2" t="s">
        <v>46</v>
      </c>
      <c r="C1619" s="16"/>
      <c r="D1619" s="29"/>
      <c r="E1619" s="2"/>
      <c r="F1619" s="30"/>
      <c r="G1619" s="31"/>
      <c r="H1619" s="32"/>
      <c r="I1619" s="31"/>
      <c r="J1619" s="2"/>
      <c r="K1619" s="33"/>
      <c r="L1619" s="31"/>
      <c r="M1619" s="34" t="s">
        <v>668</v>
      </c>
      <c r="N1619" s="2"/>
      <c r="O1619" s="2"/>
      <c r="P1619" s="2"/>
      <c r="Q1619" s="2"/>
    </row>
    <row r="1620" customFormat="false" ht="15" hidden="false" customHeight="false" outlineLevel="0" collapsed="false">
      <c r="A1620" s="2" t="s">
        <v>1959</v>
      </c>
      <c r="B1620" s="2" t="s">
        <v>45</v>
      </c>
      <c r="C1620" s="16"/>
      <c r="D1620" s="29"/>
      <c r="E1620" s="2"/>
      <c r="F1620" s="30"/>
      <c r="G1620" s="31"/>
      <c r="H1620" s="32"/>
      <c r="I1620" s="31"/>
      <c r="J1620" s="2"/>
      <c r="K1620" s="33"/>
      <c r="L1620" s="31"/>
      <c r="M1620" s="34" t="s">
        <v>668</v>
      </c>
      <c r="N1620" s="2"/>
      <c r="O1620" s="2"/>
      <c r="P1620" s="2"/>
      <c r="Q1620" s="2"/>
    </row>
    <row r="1621" customFormat="false" ht="15" hidden="false" customHeight="false" outlineLevel="0" collapsed="false">
      <c r="A1621" s="2" t="s">
        <v>1959</v>
      </c>
      <c r="B1621" s="2" t="s">
        <v>46</v>
      </c>
      <c r="C1621" s="14" t="s">
        <v>1960</v>
      </c>
      <c r="D1621" s="40" t="n">
        <v>133140</v>
      </c>
      <c r="E1621" s="2" t="s">
        <v>670</v>
      </c>
      <c r="F1621" s="41" t="n">
        <v>0.316659155775875</v>
      </c>
      <c r="G1621" s="31" t="n">
        <v>0.4</v>
      </c>
      <c r="H1621" s="42" t="n">
        <v>0.092834277271608</v>
      </c>
      <c r="I1621" s="31" t="n">
        <v>58.3</v>
      </c>
      <c r="J1621" s="2" t="s">
        <v>2705</v>
      </c>
      <c r="K1621" s="43" t="n">
        <v>0.0415982484948002</v>
      </c>
      <c r="L1621" s="31" t="n">
        <v>10.1</v>
      </c>
      <c r="M1621" s="39" t="s">
        <v>671</v>
      </c>
      <c r="N1621" s="2" t="s">
        <v>21</v>
      </c>
      <c r="O1621" s="2" t="s">
        <v>21</v>
      </c>
      <c r="P1621" s="2" t="s">
        <v>21</v>
      </c>
      <c r="Q1621" s="2" t="s">
        <v>21</v>
      </c>
    </row>
    <row r="1622" customFormat="false" ht="15" hidden="false" customHeight="false" outlineLevel="0" collapsed="false">
      <c r="A1622" s="2" t="s">
        <v>1959</v>
      </c>
      <c r="B1622" s="2" t="s">
        <v>47</v>
      </c>
      <c r="C1622" s="13" t="s">
        <v>2089</v>
      </c>
      <c r="D1622" s="35" t="n">
        <v>27478</v>
      </c>
      <c r="E1622" s="2" t="s">
        <v>667</v>
      </c>
      <c r="F1622" s="36" t="n">
        <v>2.44366402212679</v>
      </c>
      <c r="G1622" s="31" t="n">
        <v>81.6</v>
      </c>
      <c r="H1622" s="37" t="n">
        <v>-0.0669292675472851</v>
      </c>
      <c r="I1622" s="31" t="n">
        <v>1.8</v>
      </c>
      <c r="J1622" s="2" t="s">
        <v>2697</v>
      </c>
      <c r="K1622" s="38" t="n">
        <v>0.405849582172702</v>
      </c>
      <c r="L1622" s="31" t="n">
        <v>98.9</v>
      </c>
      <c r="M1622" s="39" t="s">
        <v>671</v>
      </c>
      <c r="N1622" s="2" t="s">
        <v>19</v>
      </c>
      <c r="O1622" s="2" t="s">
        <v>19</v>
      </c>
      <c r="P1622" s="2" t="s">
        <v>19</v>
      </c>
      <c r="Q1622" s="2" t="s">
        <v>19</v>
      </c>
    </row>
    <row r="1623" customFormat="false" ht="15" hidden="false" customHeight="false" outlineLevel="0" collapsed="false">
      <c r="A1623" s="2" t="s">
        <v>3108</v>
      </c>
      <c r="B1623" s="2" t="s">
        <v>45</v>
      </c>
      <c r="C1623" s="16"/>
      <c r="D1623" s="29"/>
      <c r="E1623" s="2"/>
      <c r="F1623" s="30"/>
      <c r="G1623" s="31"/>
      <c r="H1623" s="32"/>
      <c r="I1623" s="31"/>
      <c r="J1623" s="2"/>
      <c r="K1623" s="33"/>
      <c r="L1623" s="31"/>
      <c r="M1623" s="34" t="s">
        <v>668</v>
      </c>
      <c r="N1623" s="2"/>
      <c r="O1623" s="2"/>
      <c r="P1623" s="2"/>
      <c r="Q1623" s="2"/>
    </row>
    <row r="1624" customFormat="false" ht="15" hidden="false" customHeight="false" outlineLevel="0" collapsed="false">
      <c r="A1624" s="2" t="s">
        <v>3108</v>
      </c>
      <c r="B1624" s="2" t="s">
        <v>46</v>
      </c>
      <c r="C1624" s="14" t="s">
        <v>3109</v>
      </c>
      <c r="D1624" s="40" t="n">
        <v>21320</v>
      </c>
      <c r="E1624" s="2" t="s">
        <v>667</v>
      </c>
      <c r="F1624" s="41" t="n">
        <v>1.92359287054409</v>
      </c>
      <c r="G1624" s="31" t="n">
        <v>24.5</v>
      </c>
      <c r="H1624" s="32"/>
      <c r="I1624" s="31"/>
      <c r="J1624" s="2"/>
      <c r="K1624" s="43" t="n">
        <v>0.124643874643875</v>
      </c>
      <c r="L1624" s="31" t="n">
        <v>47.2</v>
      </c>
      <c r="M1624" s="34" t="s">
        <v>668</v>
      </c>
      <c r="N1624" s="2" t="s">
        <v>21</v>
      </c>
      <c r="O1624" s="2" t="s">
        <v>21</v>
      </c>
      <c r="P1624" s="2"/>
      <c r="Q1624" s="2" t="s">
        <v>21</v>
      </c>
    </row>
    <row r="1625" customFormat="false" ht="15" hidden="false" customHeight="false" outlineLevel="0" collapsed="false">
      <c r="A1625" s="2" t="s">
        <v>3108</v>
      </c>
      <c r="B1625" s="2" t="s">
        <v>47</v>
      </c>
      <c r="C1625" s="16"/>
      <c r="D1625" s="29"/>
      <c r="E1625" s="2"/>
      <c r="F1625" s="30"/>
      <c r="G1625" s="31"/>
      <c r="H1625" s="32"/>
      <c r="I1625" s="31"/>
      <c r="J1625" s="2"/>
      <c r="K1625" s="33"/>
      <c r="L1625" s="31"/>
      <c r="M1625" s="34" t="s">
        <v>668</v>
      </c>
      <c r="N1625" s="2"/>
      <c r="O1625" s="2"/>
      <c r="P1625" s="2"/>
      <c r="Q1625" s="2"/>
    </row>
    <row r="1626" customFormat="false" ht="15" hidden="false" customHeight="false" outlineLevel="0" collapsed="false">
      <c r="A1626" s="2" t="s">
        <v>3110</v>
      </c>
      <c r="B1626" s="2" t="s">
        <v>46</v>
      </c>
      <c r="C1626" s="16"/>
      <c r="D1626" s="29"/>
      <c r="E1626" s="2"/>
      <c r="F1626" s="30"/>
      <c r="G1626" s="31"/>
      <c r="H1626" s="32"/>
      <c r="I1626" s="31"/>
      <c r="J1626" s="2"/>
      <c r="K1626" s="33"/>
      <c r="L1626" s="31"/>
      <c r="M1626" s="34" t="s">
        <v>668</v>
      </c>
      <c r="N1626" s="2"/>
      <c r="O1626" s="2"/>
      <c r="P1626" s="2"/>
      <c r="Q1626" s="2"/>
    </row>
    <row r="1627" customFormat="false" ht="15" hidden="false" customHeight="false" outlineLevel="0" collapsed="false">
      <c r="A1627" s="2" t="s">
        <v>1923</v>
      </c>
      <c r="B1627" s="2" t="s">
        <v>45</v>
      </c>
      <c r="C1627" s="16"/>
      <c r="D1627" s="29"/>
      <c r="E1627" s="2"/>
      <c r="F1627" s="30"/>
      <c r="G1627" s="31"/>
      <c r="H1627" s="32"/>
      <c r="I1627" s="31"/>
      <c r="J1627" s="2"/>
      <c r="K1627" s="33"/>
      <c r="L1627" s="31"/>
      <c r="M1627" s="34" t="s">
        <v>668</v>
      </c>
      <c r="N1627" s="2"/>
      <c r="O1627" s="2"/>
      <c r="P1627" s="2"/>
      <c r="Q1627" s="2"/>
    </row>
    <row r="1628" customFormat="false" ht="15" hidden="false" customHeight="false" outlineLevel="0" collapsed="false">
      <c r="A1628" s="2" t="s">
        <v>1923</v>
      </c>
      <c r="B1628" s="2" t="s">
        <v>46</v>
      </c>
      <c r="C1628" s="13" t="s">
        <v>1924</v>
      </c>
      <c r="D1628" s="35" t="n">
        <v>362366</v>
      </c>
      <c r="E1628" s="2" t="s">
        <v>670</v>
      </c>
      <c r="F1628" s="36" t="n">
        <v>1.06424995722557</v>
      </c>
      <c r="G1628" s="31" t="n">
        <v>7</v>
      </c>
      <c r="H1628" s="37" t="n">
        <v>-0.00586005015061646</v>
      </c>
      <c r="I1628" s="31" t="n">
        <v>8.6</v>
      </c>
      <c r="J1628" s="2" t="s">
        <v>2705</v>
      </c>
      <c r="K1628" s="38" t="n">
        <v>0.09959040374488</v>
      </c>
      <c r="L1628" s="31" t="n">
        <v>32.1</v>
      </c>
      <c r="M1628" s="39" t="s">
        <v>671</v>
      </c>
      <c r="N1628" s="2" t="s">
        <v>19</v>
      </c>
      <c r="O1628" s="2" t="s">
        <v>19</v>
      </c>
      <c r="P1628" s="2" t="s">
        <v>19</v>
      </c>
      <c r="Q1628" s="2" t="s">
        <v>19</v>
      </c>
    </row>
    <row r="1629" customFormat="false" ht="15" hidden="false" customHeight="false" outlineLevel="0" collapsed="false">
      <c r="A1629" s="2" t="s">
        <v>1923</v>
      </c>
      <c r="B1629" s="2" t="s">
        <v>47</v>
      </c>
      <c r="C1629" s="13" t="s">
        <v>2471</v>
      </c>
      <c r="D1629" s="35" t="n">
        <v>32576</v>
      </c>
      <c r="E1629" s="2" t="s">
        <v>667</v>
      </c>
      <c r="F1629" s="36" t="n">
        <v>0.847648575638507</v>
      </c>
      <c r="G1629" s="31" t="n">
        <v>29.7</v>
      </c>
      <c r="H1629" s="37" t="n">
        <v>0.181102933178638</v>
      </c>
      <c r="I1629" s="31" t="n">
        <v>90.4</v>
      </c>
      <c r="J1629" s="2" t="s">
        <v>2697</v>
      </c>
      <c r="K1629" s="38" t="n">
        <v>0.0913673597983617</v>
      </c>
      <c r="L1629" s="31" t="n">
        <v>49.7</v>
      </c>
      <c r="M1629" s="39" t="s">
        <v>671</v>
      </c>
      <c r="N1629" s="2" t="s">
        <v>19</v>
      </c>
      <c r="O1629" s="2" t="s">
        <v>19</v>
      </c>
      <c r="P1629" s="2" t="s">
        <v>19</v>
      </c>
      <c r="Q1629" s="2" t="s">
        <v>19</v>
      </c>
    </row>
    <row r="1630" customFormat="false" ht="15" hidden="false" customHeight="false" outlineLevel="0" collapsed="false">
      <c r="A1630" s="2" t="s">
        <v>195</v>
      </c>
      <c r="B1630" s="2" t="s">
        <v>45</v>
      </c>
      <c r="C1630" s="14" t="s">
        <v>982</v>
      </c>
      <c r="D1630" s="40" t="n">
        <v>26030</v>
      </c>
      <c r="E1630" s="2" t="s">
        <v>667</v>
      </c>
      <c r="F1630" s="41" t="n">
        <v>0.689204763734153</v>
      </c>
      <c r="G1630" s="31" t="n">
        <v>57.5</v>
      </c>
      <c r="H1630" s="42" t="n">
        <v>0.131247283789657</v>
      </c>
      <c r="I1630" s="31" t="n">
        <v>68.3</v>
      </c>
      <c r="J1630" s="2" t="s">
        <v>2704</v>
      </c>
      <c r="K1630" s="43" t="n">
        <v>0.251295336787565</v>
      </c>
      <c r="L1630" s="31" t="n">
        <v>82</v>
      </c>
      <c r="M1630" s="39" t="s">
        <v>671</v>
      </c>
      <c r="N1630" s="2" t="s">
        <v>21</v>
      </c>
      <c r="O1630" s="2" t="s">
        <v>21</v>
      </c>
      <c r="P1630" s="2" t="s">
        <v>21</v>
      </c>
      <c r="Q1630" s="2" t="s">
        <v>21</v>
      </c>
    </row>
    <row r="1631" customFormat="false" ht="15" hidden="false" customHeight="false" outlineLevel="0" collapsed="false">
      <c r="A1631" s="2" t="s">
        <v>195</v>
      </c>
      <c r="B1631" s="2" t="s">
        <v>46</v>
      </c>
      <c r="C1631" s="14" t="s">
        <v>1620</v>
      </c>
      <c r="D1631" s="40" t="n">
        <v>21490</v>
      </c>
      <c r="E1631" s="2" t="s">
        <v>667</v>
      </c>
      <c r="F1631" s="41" t="n">
        <v>3.80134946486738</v>
      </c>
      <c r="G1631" s="31" t="n">
        <v>59.8</v>
      </c>
      <c r="H1631" s="42" t="n">
        <v>0.125130890052356</v>
      </c>
      <c r="I1631" s="31" t="n">
        <v>66.4</v>
      </c>
      <c r="J1631" s="2" t="s">
        <v>2700</v>
      </c>
      <c r="K1631" s="43" t="n">
        <v>0.146644106034969</v>
      </c>
      <c r="L1631" s="31" t="n">
        <v>55.2</v>
      </c>
      <c r="M1631" s="39" t="s">
        <v>671</v>
      </c>
      <c r="N1631" s="2" t="s">
        <v>21</v>
      </c>
      <c r="O1631" s="2" t="s">
        <v>21</v>
      </c>
      <c r="P1631" s="2" t="s">
        <v>21</v>
      </c>
      <c r="Q1631" s="2" t="s">
        <v>21</v>
      </c>
    </row>
    <row r="1632" customFormat="false" ht="15" hidden="false" customHeight="false" outlineLevel="0" collapsed="false">
      <c r="A1632" s="2" t="s">
        <v>195</v>
      </c>
      <c r="B1632" s="2" t="s">
        <v>47</v>
      </c>
      <c r="C1632" s="13" t="s">
        <v>1983</v>
      </c>
      <c r="D1632" s="35" t="n">
        <v>6002</v>
      </c>
      <c r="E1632" s="2" t="s">
        <v>678</v>
      </c>
      <c r="F1632" s="36" t="n">
        <v>4.89336887704099</v>
      </c>
      <c r="G1632" s="31" t="n">
        <v>97.3</v>
      </c>
      <c r="H1632" s="37" t="n">
        <v>0.0555750967288076</v>
      </c>
      <c r="I1632" s="31" t="n">
        <v>30.7</v>
      </c>
      <c r="J1632" s="2" t="s">
        <v>2706</v>
      </c>
      <c r="K1632" s="38" t="n">
        <v>0.0268681780016793</v>
      </c>
      <c r="L1632" s="31" t="n">
        <v>16.4</v>
      </c>
      <c r="M1632" s="39" t="s">
        <v>671</v>
      </c>
      <c r="N1632" s="2" t="s">
        <v>19</v>
      </c>
      <c r="O1632" s="2" t="s">
        <v>19</v>
      </c>
      <c r="P1632" s="2" t="s">
        <v>19</v>
      </c>
      <c r="Q1632" s="2" t="s">
        <v>19</v>
      </c>
    </row>
    <row r="1633" customFormat="false" ht="15" hidden="false" customHeight="false" outlineLevel="0" collapsed="false">
      <c r="A1633" s="2" t="s">
        <v>197</v>
      </c>
      <c r="B1633" s="2" t="s">
        <v>45</v>
      </c>
      <c r="C1633" s="14" t="s">
        <v>832</v>
      </c>
      <c r="D1633" s="40" t="n">
        <v>49850</v>
      </c>
      <c r="E1633" s="2" t="s">
        <v>667</v>
      </c>
      <c r="F1633" s="41" t="n">
        <v>1.0545035105316</v>
      </c>
      <c r="G1633" s="31" t="n">
        <v>78</v>
      </c>
      <c r="H1633" s="42" t="n">
        <v>0.11049231454667</v>
      </c>
      <c r="I1633" s="31" t="n">
        <v>59.5</v>
      </c>
      <c r="J1633" s="2" t="s">
        <v>2704</v>
      </c>
      <c r="K1633" s="43" t="n">
        <v>0.0671011344436399</v>
      </c>
      <c r="L1633" s="31" t="n">
        <v>19.3</v>
      </c>
      <c r="M1633" s="39" t="s">
        <v>671</v>
      </c>
      <c r="N1633" s="2" t="s">
        <v>21</v>
      </c>
      <c r="O1633" s="2" t="s">
        <v>21</v>
      </c>
      <c r="P1633" s="2" t="s">
        <v>21</v>
      </c>
      <c r="Q1633" s="2" t="s">
        <v>21</v>
      </c>
    </row>
    <row r="1634" customFormat="false" ht="15" hidden="false" customHeight="false" outlineLevel="0" collapsed="false">
      <c r="A1634" s="2" t="s">
        <v>197</v>
      </c>
      <c r="B1634" s="2" t="s">
        <v>46</v>
      </c>
      <c r="C1634" s="13" t="s">
        <v>1606</v>
      </c>
      <c r="D1634" s="35" t="n">
        <v>15823</v>
      </c>
      <c r="E1634" s="2" t="s">
        <v>667</v>
      </c>
      <c r="F1634" s="36" t="n">
        <v>4.06970865196233</v>
      </c>
      <c r="G1634" s="31" t="n">
        <v>63.4</v>
      </c>
      <c r="H1634" s="37" t="n">
        <v>0.142950014446692</v>
      </c>
      <c r="I1634" s="31" t="n">
        <v>75.9</v>
      </c>
      <c r="J1634" s="2" t="s">
        <v>2700</v>
      </c>
      <c r="K1634" s="38" t="n">
        <v>0.115644904458599</v>
      </c>
      <c r="L1634" s="31" t="n">
        <v>39.1</v>
      </c>
      <c r="M1634" s="39" t="s">
        <v>671</v>
      </c>
      <c r="N1634" s="2" t="s">
        <v>19</v>
      </c>
      <c r="O1634" s="2" t="s">
        <v>19</v>
      </c>
      <c r="P1634" s="2" t="s">
        <v>19</v>
      </c>
      <c r="Q1634" s="2" t="s">
        <v>19</v>
      </c>
    </row>
    <row r="1635" customFormat="false" ht="15" hidden="false" customHeight="false" outlineLevel="0" collapsed="false">
      <c r="A1635" s="2" t="s">
        <v>256</v>
      </c>
      <c r="B1635" s="2" t="s">
        <v>45</v>
      </c>
      <c r="C1635" s="13" t="s">
        <v>921</v>
      </c>
      <c r="D1635" s="35" t="n">
        <v>35425</v>
      </c>
      <c r="E1635" s="2" t="s">
        <v>667</v>
      </c>
      <c r="F1635" s="36" t="n">
        <v>0.831841919548342</v>
      </c>
      <c r="G1635" s="31" t="n">
        <v>66.2</v>
      </c>
      <c r="H1635" s="37" t="n">
        <v>0.206450294588428</v>
      </c>
      <c r="I1635" s="31" t="n">
        <v>93.3</v>
      </c>
      <c r="J1635" s="2" t="s">
        <v>2704</v>
      </c>
      <c r="K1635" s="38" t="n">
        <v>0.109785202863962</v>
      </c>
      <c r="L1635" s="31" t="n">
        <v>40.1</v>
      </c>
      <c r="M1635" s="39" t="s">
        <v>671</v>
      </c>
      <c r="N1635" s="2" t="s">
        <v>19</v>
      </c>
      <c r="O1635" s="2" t="s">
        <v>19</v>
      </c>
      <c r="P1635" s="2" t="s">
        <v>19</v>
      </c>
      <c r="Q1635" s="2" t="s">
        <v>19</v>
      </c>
    </row>
    <row r="1636" customFormat="false" ht="15" hidden="false" customHeight="false" outlineLevel="0" collapsed="false">
      <c r="A1636" s="2" t="s">
        <v>256</v>
      </c>
      <c r="B1636" s="2" t="s">
        <v>46</v>
      </c>
      <c r="C1636" s="13" t="s">
        <v>1741</v>
      </c>
      <c r="D1636" s="35" t="n">
        <v>62963</v>
      </c>
      <c r="E1636" s="2" t="s">
        <v>667</v>
      </c>
      <c r="F1636" s="36" t="n">
        <v>2.59590553182028</v>
      </c>
      <c r="G1636" s="31" t="n">
        <v>39.7</v>
      </c>
      <c r="H1636" s="37" t="n">
        <v>0.0540033814888595</v>
      </c>
      <c r="I1636" s="31" t="n">
        <v>31.1</v>
      </c>
      <c r="J1636" s="2" t="s">
        <v>2700</v>
      </c>
      <c r="K1636" s="38" t="n">
        <v>0.0834757834757835</v>
      </c>
      <c r="L1636" s="31" t="n">
        <v>25.4</v>
      </c>
      <c r="M1636" s="39" t="s">
        <v>671</v>
      </c>
      <c r="N1636" s="2" t="s">
        <v>19</v>
      </c>
      <c r="O1636" s="2" t="s">
        <v>19</v>
      </c>
      <c r="P1636" s="2" t="s">
        <v>19</v>
      </c>
      <c r="Q1636" s="2" t="s">
        <v>19</v>
      </c>
    </row>
    <row r="1637" customFormat="false" ht="15" hidden="false" customHeight="false" outlineLevel="0" collapsed="false">
      <c r="A1637" s="2" t="s">
        <v>256</v>
      </c>
      <c r="B1637" s="2" t="s">
        <v>47</v>
      </c>
      <c r="C1637" s="13" t="s">
        <v>2082</v>
      </c>
      <c r="D1637" s="35" t="n">
        <v>155996</v>
      </c>
      <c r="E1637" s="2" t="s">
        <v>670</v>
      </c>
      <c r="F1637" s="36" t="n">
        <v>2.52155183466243</v>
      </c>
      <c r="G1637" s="31" t="n">
        <v>83.3</v>
      </c>
      <c r="H1637" s="37" t="n">
        <v>0.0505488585089905</v>
      </c>
      <c r="I1637" s="31" t="n">
        <v>36.1</v>
      </c>
      <c r="J1637" s="2" t="s">
        <v>2701</v>
      </c>
      <c r="K1637" s="38" t="n">
        <v>0.00840075877821223</v>
      </c>
      <c r="L1637" s="31" t="n">
        <v>6.5</v>
      </c>
      <c r="M1637" s="39" t="s">
        <v>671</v>
      </c>
      <c r="N1637" s="2" t="s">
        <v>19</v>
      </c>
      <c r="O1637" s="2" t="s">
        <v>19</v>
      </c>
      <c r="P1637" s="2" t="s">
        <v>19</v>
      </c>
      <c r="Q1637" s="2" t="s">
        <v>19</v>
      </c>
    </row>
    <row r="1638" customFormat="false" ht="15" hidden="false" customHeight="false" outlineLevel="0" collapsed="false">
      <c r="A1638" s="2" t="s">
        <v>2233</v>
      </c>
      <c r="B1638" s="2" t="s">
        <v>45</v>
      </c>
      <c r="C1638" s="16"/>
      <c r="D1638" s="29"/>
      <c r="E1638" s="2"/>
      <c r="F1638" s="30"/>
      <c r="G1638" s="31"/>
      <c r="H1638" s="32"/>
      <c r="I1638" s="31"/>
      <c r="J1638" s="2"/>
      <c r="K1638" s="33"/>
      <c r="L1638" s="31"/>
      <c r="M1638" s="34" t="s">
        <v>668</v>
      </c>
      <c r="N1638" s="2"/>
      <c r="O1638" s="2"/>
      <c r="P1638" s="2"/>
      <c r="Q1638" s="2"/>
    </row>
    <row r="1639" customFormat="false" ht="15" hidden="false" customHeight="false" outlineLevel="0" collapsed="false">
      <c r="A1639" s="2" t="s">
        <v>2233</v>
      </c>
      <c r="B1639" s="2" t="s">
        <v>46</v>
      </c>
      <c r="C1639" s="15" t="s">
        <v>3111</v>
      </c>
      <c r="D1639" s="44" t="n">
        <v>3055</v>
      </c>
      <c r="E1639" s="2" t="s">
        <v>678</v>
      </c>
      <c r="F1639" s="45" t="n">
        <v>4.16530278232406</v>
      </c>
      <c r="G1639" s="31" t="n">
        <v>64.5</v>
      </c>
      <c r="H1639" s="46" t="n">
        <v>0.0530851430541193</v>
      </c>
      <c r="I1639" s="31" t="n">
        <v>20.8</v>
      </c>
      <c r="J1639" s="2" t="s">
        <v>2720</v>
      </c>
      <c r="K1639" s="33"/>
      <c r="L1639" s="31"/>
      <c r="M1639" s="34" t="s">
        <v>668</v>
      </c>
      <c r="N1639" s="2" t="s">
        <v>17</v>
      </c>
      <c r="O1639" s="2" t="s">
        <v>17</v>
      </c>
      <c r="P1639" s="2" t="s">
        <v>17</v>
      </c>
      <c r="Q1639" s="2"/>
    </row>
    <row r="1640" customFormat="false" ht="15" hidden="false" customHeight="false" outlineLevel="0" collapsed="false">
      <c r="A1640" s="2" t="s">
        <v>2233</v>
      </c>
      <c r="B1640" s="2" t="s">
        <v>47</v>
      </c>
      <c r="C1640" s="13" t="s">
        <v>2234</v>
      </c>
      <c r="D1640" s="35" t="n">
        <v>8305</v>
      </c>
      <c r="E1640" s="2" t="s">
        <v>678</v>
      </c>
      <c r="F1640" s="36" t="n">
        <v>1.56917519566526</v>
      </c>
      <c r="G1640" s="31" t="n">
        <v>61</v>
      </c>
      <c r="H1640" s="37" t="n">
        <v>0.0134228187919463</v>
      </c>
      <c r="I1640" s="31" t="n">
        <v>8</v>
      </c>
      <c r="J1640" s="2" t="s">
        <v>2706</v>
      </c>
      <c r="K1640" s="38" t="n">
        <v>0.230263157894737</v>
      </c>
      <c r="L1640" s="31" t="n">
        <v>89.5</v>
      </c>
      <c r="M1640" s="39" t="s">
        <v>671</v>
      </c>
      <c r="N1640" s="2" t="s">
        <v>19</v>
      </c>
      <c r="O1640" s="2" t="s">
        <v>19</v>
      </c>
      <c r="P1640" s="2" t="s">
        <v>19</v>
      </c>
      <c r="Q1640" s="2" t="s">
        <v>19</v>
      </c>
    </row>
    <row r="1641" customFormat="false" ht="15" hidden="false" customHeight="false" outlineLevel="0" collapsed="false">
      <c r="A1641" s="2" t="s">
        <v>1095</v>
      </c>
      <c r="B1641" s="2" t="s">
        <v>45</v>
      </c>
      <c r="C1641" s="13" t="s">
        <v>1096</v>
      </c>
      <c r="D1641" s="35" t="n">
        <v>25315</v>
      </c>
      <c r="E1641" s="2" t="s">
        <v>667</v>
      </c>
      <c r="F1641" s="36" t="n">
        <v>0.51111988939364</v>
      </c>
      <c r="G1641" s="31" t="n">
        <v>42.5</v>
      </c>
      <c r="H1641" s="37" t="n">
        <v>-0.00369947656342241</v>
      </c>
      <c r="I1641" s="31" t="n">
        <v>8.7</v>
      </c>
      <c r="J1641" s="2" t="s">
        <v>2704</v>
      </c>
      <c r="K1641" s="38" t="n">
        <v>0.238035264483627</v>
      </c>
      <c r="L1641" s="31" t="n">
        <v>79.6</v>
      </c>
      <c r="M1641" s="39" t="s">
        <v>671</v>
      </c>
      <c r="N1641" s="2" t="s">
        <v>19</v>
      </c>
      <c r="O1641" s="2" t="s">
        <v>19</v>
      </c>
      <c r="P1641" s="2" t="s">
        <v>19</v>
      </c>
      <c r="Q1641" s="2" t="s">
        <v>19</v>
      </c>
    </row>
    <row r="1642" customFormat="false" ht="15" hidden="false" customHeight="false" outlineLevel="0" collapsed="false">
      <c r="A1642" s="2" t="s">
        <v>1095</v>
      </c>
      <c r="B1642" s="2" t="s">
        <v>46</v>
      </c>
      <c r="C1642" s="14" t="s">
        <v>3112</v>
      </c>
      <c r="D1642" s="40" t="n">
        <v>22400</v>
      </c>
      <c r="E1642" s="2" t="s">
        <v>667</v>
      </c>
      <c r="F1642" s="41" t="n">
        <v>1.36763392857143</v>
      </c>
      <c r="G1642" s="31" t="n">
        <v>11.8</v>
      </c>
      <c r="H1642" s="42" t="n">
        <v>0.0270518110958276</v>
      </c>
      <c r="I1642" s="31" t="n">
        <v>19.1</v>
      </c>
      <c r="J1642" s="2" t="s">
        <v>2700</v>
      </c>
      <c r="K1642" s="33"/>
      <c r="L1642" s="31"/>
      <c r="M1642" s="34" t="s">
        <v>668</v>
      </c>
      <c r="N1642" s="2" t="s">
        <v>21</v>
      </c>
      <c r="O1642" s="2" t="s">
        <v>21</v>
      </c>
      <c r="P1642" s="2" t="s">
        <v>21</v>
      </c>
      <c r="Q1642" s="2"/>
    </row>
    <row r="1643" customFormat="false" ht="15" hidden="false" customHeight="false" outlineLevel="0" collapsed="false">
      <c r="A1643" s="2" t="s">
        <v>1095</v>
      </c>
      <c r="B1643" s="2" t="s">
        <v>47</v>
      </c>
      <c r="C1643" s="15" t="s">
        <v>3113</v>
      </c>
      <c r="D1643" s="44" t="n">
        <v>415233</v>
      </c>
      <c r="E1643" s="2" t="s">
        <v>670</v>
      </c>
      <c r="F1643" s="45" t="n">
        <v>0.718030599687405</v>
      </c>
      <c r="G1643" s="31" t="n">
        <v>21.7</v>
      </c>
      <c r="H1643" s="32"/>
      <c r="I1643" s="31"/>
      <c r="J1643" s="2"/>
      <c r="K1643" s="48" t="n">
        <v>0.201756156641098</v>
      </c>
      <c r="L1643" s="31" t="n">
        <v>82.9</v>
      </c>
      <c r="M1643" s="34" t="s">
        <v>668</v>
      </c>
      <c r="N1643" s="2" t="s">
        <v>17</v>
      </c>
      <c r="O1643" s="2" t="s">
        <v>17</v>
      </c>
      <c r="P1643" s="2"/>
      <c r="Q1643" s="2" t="s">
        <v>17</v>
      </c>
    </row>
    <row r="1644" customFormat="false" ht="15" hidden="false" customHeight="false" outlineLevel="0" collapsed="false">
      <c r="A1644" s="2" t="s">
        <v>3114</v>
      </c>
      <c r="B1644" s="2" t="s">
        <v>47</v>
      </c>
      <c r="C1644" s="14" t="s">
        <v>3115</v>
      </c>
      <c r="D1644" s="40" t="n">
        <v>56390</v>
      </c>
      <c r="E1644" s="2" t="s">
        <v>667</v>
      </c>
      <c r="F1644" s="30"/>
      <c r="G1644" s="31"/>
      <c r="H1644" s="42" t="n">
        <v>0.0581722649652843</v>
      </c>
      <c r="I1644" s="31" t="n">
        <v>34.4</v>
      </c>
      <c r="J1644" s="2" t="s">
        <v>2697</v>
      </c>
      <c r="K1644" s="43" t="n">
        <v>0.137772675086108</v>
      </c>
      <c r="L1644" s="31" t="n">
        <v>68</v>
      </c>
      <c r="M1644" s="34" t="s">
        <v>668</v>
      </c>
      <c r="N1644" s="2" t="s">
        <v>21</v>
      </c>
      <c r="O1644" s="2"/>
      <c r="P1644" s="2" t="s">
        <v>21</v>
      </c>
      <c r="Q1644" s="2" t="s">
        <v>21</v>
      </c>
    </row>
    <row r="1645" customFormat="false" ht="15" hidden="false" customHeight="false" outlineLevel="0" collapsed="false">
      <c r="A1645" s="2" t="s">
        <v>344</v>
      </c>
      <c r="B1645" s="2" t="s">
        <v>45</v>
      </c>
      <c r="C1645" s="13" t="s">
        <v>1300</v>
      </c>
      <c r="D1645" s="35" t="n">
        <v>5712</v>
      </c>
      <c r="E1645" s="2" t="s">
        <v>678</v>
      </c>
      <c r="F1645" s="36" t="n">
        <v>0.245448179271709</v>
      </c>
      <c r="G1645" s="31" t="n">
        <v>13</v>
      </c>
      <c r="H1645" s="37" t="n">
        <v>0.231034482758621</v>
      </c>
      <c r="I1645" s="31" t="n">
        <v>96.3</v>
      </c>
      <c r="J1645" s="2" t="s">
        <v>2713</v>
      </c>
      <c r="K1645" s="38" t="n">
        <v>0.09</v>
      </c>
      <c r="L1645" s="31" t="n">
        <v>30.7</v>
      </c>
      <c r="M1645" s="39" t="s">
        <v>671</v>
      </c>
      <c r="N1645" s="2" t="s">
        <v>19</v>
      </c>
      <c r="O1645" s="2" t="s">
        <v>19</v>
      </c>
      <c r="P1645" s="2" t="s">
        <v>19</v>
      </c>
      <c r="Q1645" s="2" t="s">
        <v>19</v>
      </c>
    </row>
    <row r="1646" customFormat="false" ht="15" hidden="false" customHeight="false" outlineLevel="0" collapsed="false">
      <c r="A1646" s="2" t="s">
        <v>344</v>
      </c>
      <c r="B1646" s="2" t="s">
        <v>46</v>
      </c>
      <c r="C1646" s="13" t="s">
        <v>1495</v>
      </c>
      <c r="D1646" s="35" t="n">
        <v>13262</v>
      </c>
      <c r="E1646" s="2" t="s">
        <v>667</v>
      </c>
      <c r="F1646" s="36" t="n">
        <v>6.20125169657669</v>
      </c>
      <c r="G1646" s="31" t="n">
        <v>82.2</v>
      </c>
      <c r="H1646" s="37" t="n">
        <v>0.00561116166211708</v>
      </c>
      <c r="I1646" s="31" t="n">
        <v>12.4</v>
      </c>
      <c r="J1646" s="2" t="s">
        <v>2700</v>
      </c>
      <c r="K1646" s="38" t="n">
        <v>0.239340738086707</v>
      </c>
      <c r="L1646" s="31" t="n">
        <v>80.6</v>
      </c>
      <c r="M1646" s="39" t="s">
        <v>671</v>
      </c>
      <c r="N1646" s="2" t="s">
        <v>19</v>
      </c>
      <c r="O1646" s="2" t="s">
        <v>19</v>
      </c>
      <c r="P1646" s="2" t="s">
        <v>19</v>
      </c>
      <c r="Q1646" s="2" t="s">
        <v>19</v>
      </c>
    </row>
    <row r="1647" customFormat="false" ht="15" hidden="false" customHeight="false" outlineLevel="0" collapsed="false">
      <c r="A1647" s="2" t="s">
        <v>344</v>
      </c>
      <c r="B1647" s="2" t="s">
        <v>47</v>
      </c>
      <c r="C1647" s="13" t="s">
        <v>2216</v>
      </c>
      <c r="D1647" s="35" t="n">
        <v>109721</v>
      </c>
      <c r="E1647" s="2" t="s">
        <v>670</v>
      </c>
      <c r="F1647" s="36" t="n">
        <v>1.61517849819087</v>
      </c>
      <c r="G1647" s="31" t="n">
        <v>63.3</v>
      </c>
      <c r="H1647" s="37" t="n">
        <v>0.0940700190453399</v>
      </c>
      <c r="I1647" s="31" t="n">
        <v>54.2</v>
      </c>
      <c r="J1647" s="2" t="s">
        <v>2701</v>
      </c>
      <c r="K1647" s="38" t="n">
        <v>0.0498938428874735</v>
      </c>
      <c r="L1647" s="31" t="n">
        <v>31.6</v>
      </c>
      <c r="M1647" s="39" t="s">
        <v>671</v>
      </c>
      <c r="N1647" s="2" t="s">
        <v>19</v>
      </c>
      <c r="O1647" s="2" t="s">
        <v>19</v>
      </c>
      <c r="P1647" s="2" t="s">
        <v>19</v>
      </c>
      <c r="Q1647" s="2" t="s">
        <v>19</v>
      </c>
    </row>
    <row r="1648" customFormat="false" ht="15" hidden="false" customHeight="false" outlineLevel="0" collapsed="false">
      <c r="A1648" s="2" t="s">
        <v>201</v>
      </c>
      <c r="B1648" s="2" t="s">
        <v>45</v>
      </c>
      <c r="C1648" s="13" t="s">
        <v>815</v>
      </c>
      <c r="D1648" s="35" t="n">
        <v>38554</v>
      </c>
      <c r="E1648" s="2" t="s">
        <v>667</v>
      </c>
      <c r="F1648" s="36" t="n">
        <v>1.19108263733984</v>
      </c>
      <c r="G1648" s="31" t="n">
        <v>81.8</v>
      </c>
      <c r="H1648" s="37" t="n">
        <v>0.233017781757708</v>
      </c>
      <c r="I1648" s="31" t="n">
        <v>96</v>
      </c>
      <c r="J1648" s="2" t="s">
        <v>2704</v>
      </c>
      <c r="K1648" s="38" t="n">
        <v>0.0934065934065934</v>
      </c>
      <c r="L1648" s="31" t="n">
        <v>32.6</v>
      </c>
      <c r="M1648" s="39" t="s">
        <v>671</v>
      </c>
      <c r="N1648" s="2" t="s">
        <v>19</v>
      </c>
      <c r="O1648" s="2" t="s">
        <v>19</v>
      </c>
      <c r="P1648" s="2" t="s">
        <v>19</v>
      </c>
      <c r="Q1648" s="2" t="s">
        <v>19</v>
      </c>
    </row>
    <row r="1649" customFormat="false" ht="15" hidden="false" customHeight="false" outlineLevel="0" collapsed="false">
      <c r="A1649" s="2" t="s">
        <v>201</v>
      </c>
      <c r="B1649" s="2" t="s">
        <v>46</v>
      </c>
      <c r="C1649" s="14" t="s">
        <v>1640</v>
      </c>
      <c r="D1649" s="40" t="n">
        <v>131260</v>
      </c>
      <c r="E1649" s="2" t="s">
        <v>670</v>
      </c>
      <c r="F1649" s="41" t="n">
        <v>3.5442632942252</v>
      </c>
      <c r="G1649" s="31" t="n">
        <v>55.6</v>
      </c>
      <c r="H1649" s="42" t="n">
        <v>0.0407548366634951</v>
      </c>
      <c r="I1649" s="31" t="n">
        <v>27.8</v>
      </c>
      <c r="J1649" s="2" t="s">
        <v>2705</v>
      </c>
      <c r="K1649" s="43" t="n">
        <v>0.249194282480872</v>
      </c>
      <c r="L1649" s="31" t="n">
        <v>82.4</v>
      </c>
      <c r="M1649" s="39" t="s">
        <v>671</v>
      </c>
      <c r="N1649" s="2" t="s">
        <v>21</v>
      </c>
      <c r="O1649" s="2" t="s">
        <v>21</v>
      </c>
      <c r="P1649" s="2" t="s">
        <v>21</v>
      </c>
      <c r="Q1649" s="2" t="s">
        <v>21</v>
      </c>
    </row>
    <row r="1650" customFormat="false" ht="15" hidden="false" customHeight="false" outlineLevel="0" collapsed="false">
      <c r="A1650" s="2" t="s">
        <v>201</v>
      </c>
      <c r="B1650" s="2" t="s">
        <v>47</v>
      </c>
      <c r="C1650" s="13" t="s">
        <v>2138</v>
      </c>
      <c r="D1650" s="35" t="n">
        <v>3634</v>
      </c>
      <c r="E1650" s="2" t="s">
        <v>678</v>
      </c>
      <c r="F1650" s="36" t="n">
        <v>2.015685195377</v>
      </c>
      <c r="G1650" s="31" t="n">
        <v>74.3</v>
      </c>
      <c r="H1650" s="37" t="n">
        <v>0.0732427643236858</v>
      </c>
      <c r="I1650" s="31" t="n">
        <v>38.7</v>
      </c>
      <c r="J1650" s="2" t="s">
        <v>2706</v>
      </c>
      <c r="K1650" s="38" t="n">
        <v>0.0392609699769053</v>
      </c>
      <c r="L1650" s="31" t="n">
        <v>25.3</v>
      </c>
      <c r="M1650" s="39" t="s">
        <v>671</v>
      </c>
      <c r="N1650" s="2" t="s">
        <v>19</v>
      </c>
      <c r="O1650" s="2" t="s">
        <v>19</v>
      </c>
      <c r="P1650" s="2" t="s">
        <v>19</v>
      </c>
      <c r="Q1650" s="2" t="s">
        <v>19</v>
      </c>
    </row>
    <row r="1651" customFormat="false" ht="15" hidden="false" customHeight="false" outlineLevel="0" collapsed="false">
      <c r="A1651" s="2" t="s">
        <v>330</v>
      </c>
      <c r="B1651" s="2" t="s">
        <v>45</v>
      </c>
      <c r="C1651" s="14" t="s">
        <v>963</v>
      </c>
      <c r="D1651" s="40" t="n">
        <v>24200</v>
      </c>
      <c r="E1651" s="2" t="s">
        <v>667</v>
      </c>
      <c r="F1651" s="41" t="n">
        <v>0.720247933884298</v>
      </c>
      <c r="G1651" s="31" t="n">
        <v>59.8</v>
      </c>
      <c r="H1651" s="42" t="n">
        <v>-0.0861027190332326</v>
      </c>
      <c r="I1651" s="31" t="n">
        <v>1.6</v>
      </c>
      <c r="J1651" s="2" t="s">
        <v>2704</v>
      </c>
      <c r="K1651" s="43" t="n">
        <v>0.19674039580908</v>
      </c>
      <c r="L1651" s="31" t="n">
        <v>69.6</v>
      </c>
      <c r="M1651" s="39" t="s">
        <v>671</v>
      </c>
      <c r="N1651" s="2" t="s">
        <v>21</v>
      </c>
      <c r="O1651" s="2" t="s">
        <v>21</v>
      </c>
      <c r="P1651" s="2" t="s">
        <v>21</v>
      </c>
      <c r="Q1651" s="2" t="s">
        <v>21</v>
      </c>
    </row>
    <row r="1652" customFormat="false" ht="15" hidden="false" customHeight="false" outlineLevel="0" collapsed="false">
      <c r="A1652" s="2" t="s">
        <v>330</v>
      </c>
      <c r="B1652" s="2" t="s">
        <v>46</v>
      </c>
      <c r="C1652" s="14" t="s">
        <v>1599</v>
      </c>
      <c r="D1652" s="40" t="n">
        <v>334890</v>
      </c>
      <c r="E1652" s="2" t="s">
        <v>670</v>
      </c>
      <c r="F1652" s="41" t="n">
        <v>4.17543671056168</v>
      </c>
      <c r="G1652" s="31" t="n">
        <v>64.7</v>
      </c>
      <c r="H1652" s="42" t="n">
        <v>0.0983240956347775</v>
      </c>
      <c r="I1652" s="31" t="n">
        <v>63.6</v>
      </c>
      <c r="J1652" s="2" t="s">
        <v>2705</v>
      </c>
      <c r="K1652" s="43" t="n">
        <v>0.0927841379945367</v>
      </c>
      <c r="L1652" s="31" t="n">
        <v>29</v>
      </c>
      <c r="M1652" s="39" t="s">
        <v>671</v>
      </c>
      <c r="N1652" s="2" t="s">
        <v>21</v>
      </c>
      <c r="O1652" s="2" t="s">
        <v>21</v>
      </c>
      <c r="P1652" s="2" t="s">
        <v>21</v>
      </c>
      <c r="Q1652" s="2" t="s">
        <v>21</v>
      </c>
    </row>
    <row r="1653" customFormat="false" ht="15" hidden="false" customHeight="false" outlineLevel="0" collapsed="false">
      <c r="A1653" s="2" t="s">
        <v>330</v>
      </c>
      <c r="B1653" s="2" t="s">
        <v>47</v>
      </c>
      <c r="C1653" s="13" t="s">
        <v>2379</v>
      </c>
      <c r="D1653" s="35" t="n">
        <v>250983</v>
      </c>
      <c r="E1653" s="2" t="s">
        <v>670</v>
      </c>
      <c r="F1653" s="36" t="n">
        <v>1.06112366176195</v>
      </c>
      <c r="G1653" s="31" t="n">
        <v>41.8</v>
      </c>
      <c r="H1653" s="37" t="n">
        <v>0.17377213248155</v>
      </c>
      <c r="I1653" s="31" t="n">
        <v>84.9</v>
      </c>
      <c r="J1653" s="2" t="s">
        <v>2701</v>
      </c>
      <c r="K1653" s="38" t="n">
        <v>0.0524663677130045</v>
      </c>
      <c r="L1653" s="31" t="n">
        <v>33</v>
      </c>
      <c r="M1653" s="39" t="s">
        <v>671</v>
      </c>
      <c r="N1653" s="2" t="s">
        <v>19</v>
      </c>
      <c r="O1653" s="2" t="s">
        <v>19</v>
      </c>
      <c r="P1653" s="2" t="s">
        <v>19</v>
      </c>
      <c r="Q1653" s="2" t="s">
        <v>19</v>
      </c>
    </row>
    <row r="1654" customFormat="false" ht="15" hidden="false" customHeight="false" outlineLevel="0" collapsed="false">
      <c r="A1654" s="2" t="s">
        <v>1864</v>
      </c>
      <c r="B1654" s="2" t="s">
        <v>45</v>
      </c>
      <c r="C1654" s="16"/>
      <c r="D1654" s="29"/>
      <c r="E1654" s="2"/>
      <c r="F1654" s="30"/>
      <c r="G1654" s="31"/>
      <c r="H1654" s="32"/>
      <c r="I1654" s="31"/>
      <c r="J1654" s="2"/>
      <c r="K1654" s="33"/>
      <c r="L1654" s="31"/>
      <c r="M1654" s="34" t="s">
        <v>668</v>
      </c>
      <c r="N1654" s="2"/>
      <c r="O1654" s="2"/>
      <c r="P1654" s="2"/>
      <c r="Q1654" s="2"/>
    </row>
    <row r="1655" customFormat="false" ht="15" hidden="false" customHeight="false" outlineLevel="0" collapsed="false">
      <c r="A1655" s="2" t="s">
        <v>1864</v>
      </c>
      <c r="B1655" s="2" t="s">
        <v>46</v>
      </c>
      <c r="C1655" s="14" t="s">
        <v>1865</v>
      </c>
      <c r="D1655" s="40" t="n">
        <v>46850</v>
      </c>
      <c r="E1655" s="2" t="s">
        <v>667</v>
      </c>
      <c r="F1655" s="41" t="n">
        <v>1.64473852721451</v>
      </c>
      <c r="G1655" s="31" t="n">
        <v>18.8</v>
      </c>
      <c r="H1655" s="42" t="n">
        <v>0.0249398381098228</v>
      </c>
      <c r="I1655" s="31" t="n">
        <v>18.3</v>
      </c>
      <c r="J1655" s="2" t="s">
        <v>2700</v>
      </c>
      <c r="K1655" s="43" t="n">
        <v>0.123023915687069</v>
      </c>
      <c r="L1655" s="31" t="n">
        <v>45.1</v>
      </c>
      <c r="M1655" s="39" t="s">
        <v>671</v>
      </c>
      <c r="N1655" s="2" t="s">
        <v>21</v>
      </c>
      <c r="O1655" s="2" t="s">
        <v>21</v>
      </c>
      <c r="P1655" s="2" t="s">
        <v>21</v>
      </c>
      <c r="Q1655" s="2" t="s">
        <v>21</v>
      </c>
    </row>
    <row r="1656" customFormat="false" ht="15" hidden="false" customHeight="false" outlineLevel="0" collapsed="false">
      <c r="A1656" s="2" t="s">
        <v>1864</v>
      </c>
      <c r="B1656" s="2" t="s">
        <v>47</v>
      </c>
      <c r="C1656" s="13" t="s">
        <v>3116</v>
      </c>
      <c r="D1656" s="35" t="n">
        <v>256642</v>
      </c>
      <c r="E1656" s="2" t="s">
        <v>670</v>
      </c>
      <c r="F1656" s="36" t="n">
        <v>1.1326478129067</v>
      </c>
      <c r="G1656" s="31" t="n">
        <v>45.6</v>
      </c>
      <c r="H1656" s="32"/>
      <c r="I1656" s="31"/>
      <c r="J1656" s="2"/>
      <c r="K1656" s="38" t="n">
        <v>0.0182262854480871</v>
      </c>
      <c r="L1656" s="31" t="n">
        <v>11.8</v>
      </c>
      <c r="M1656" s="34" t="s">
        <v>668</v>
      </c>
      <c r="N1656" s="2" t="s">
        <v>19</v>
      </c>
      <c r="O1656" s="2" t="s">
        <v>19</v>
      </c>
      <c r="P1656" s="2"/>
      <c r="Q1656" s="2" t="s">
        <v>19</v>
      </c>
    </row>
    <row r="1657" customFormat="false" ht="15" hidden="false" customHeight="false" outlineLevel="0" collapsed="false">
      <c r="A1657" s="2" t="s">
        <v>2510</v>
      </c>
      <c r="B1657" s="2" t="s">
        <v>46</v>
      </c>
      <c r="C1657" s="14" t="s">
        <v>3117</v>
      </c>
      <c r="D1657" s="40" t="n">
        <v>21210</v>
      </c>
      <c r="E1657" s="2" t="s">
        <v>667</v>
      </c>
      <c r="F1657" s="41" t="n">
        <v>6.9996699669967</v>
      </c>
      <c r="G1657" s="31" t="n">
        <v>87.5</v>
      </c>
      <c r="H1657" s="42" t="n">
        <v>0.14524838012959</v>
      </c>
      <c r="I1657" s="31" t="n">
        <v>76.8</v>
      </c>
      <c r="J1657" s="2" t="s">
        <v>2700</v>
      </c>
      <c r="K1657" s="33"/>
      <c r="L1657" s="31"/>
      <c r="M1657" s="34" t="s">
        <v>668</v>
      </c>
      <c r="N1657" s="2" t="s">
        <v>21</v>
      </c>
      <c r="O1657" s="2" t="s">
        <v>21</v>
      </c>
      <c r="P1657" s="2" t="s">
        <v>21</v>
      </c>
      <c r="Q1657" s="2"/>
    </row>
    <row r="1658" customFormat="false" ht="15" hidden="false" customHeight="false" outlineLevel="0" collapsed="false">
      <c r="A1658" s="2" t="s">
        <v>2510</v>
      </c>
      <c r="B1658" s="2" t="s">
        <v>47</v>
      </c>
      <c r="C1658" s="13" t="s">
        <v>2511</v>
      </c>
      <c r="D1658" s="35" t="n">
        <v>1396088</v>
      </c>
      <c r="E1658" s="2" t="s">
        <v>752</v>
      </c>
      <c r="F1658" s="36" t="n">
        <v>0.784295832354408</v>
      </c>
      <c r="G1658" s="31" t="n">
        <v>25.7</v>
      </c>
      <c r="H1658" s="37" t="n">
        <v>0.0455473424850405</v>
      </c>
      <c r="I1658" s="31" t="n">
        <v>40</v>
      </c>
      <c r="J1658" s="2" t="s">
        <v>2738</v>
      </c>
      <c r="K1658" s="38" t="n">
        <v>0.113699734605436</v>
      </c>
      <c r="L1658" s="31" t="n">
        <v>60.6</v>
      </c>
      <c r="M1658" s="39" t="s">
        <v>671</v>
      </c>
      <c r="N1658" s="2" t="s">
        <v>19</v>
      </c>
      <c r="O1658" s="2" t="s">
        <v>19</v>
      </c>
      <c r="P1658" s="2" t="s">
        <v>19</v>
      </c>
      <c r="Q1658" s="2" t="s">
        <v>19</v>
      </c>
    </row>
    <row r="1659" customFormat="false" ht="15" hidden="false" customHeight="false" outlineLevel="0" collapsed="false">
      <c r="A1659" s="2" t="s">
        <v>1098</v>
      </c>
      <c r="B1659" s="2" t="s">
        <v>45</v>
      </c>
      <c r="C1659" s="14" t="s">
        <v>1099</v>
      </c>
      <c r="D1659" s="40" t="n">
        <v>1308790</v>
      </c>
      <c r="E1659" s="2" t="s">
        <v>752</v>
      </c>
      <c r="F1659" s="41" t="n">
        <v>0.507610846659892</v>
      </c>
      <c r="G1659" s="31" t="n">
        <v>42.3</v>
      </c>
      <c r="H1659" s="42" t="n">
        <v>0.0861598214063421</v>
      </c>
      <c r="I1659" s="31" t="n">
        <v>25</v>
      </c>
      <c r="J1659" s="2" t="s">
        <v>2712</v>
      </c>
      <c r="K1659" s="43" t="n">
        <v>0.120322592974812</v>
      </c>
      <c r="L1659" s="31" t="n">
        <v>42.3</v>
      </c>
      <c r="M1659" s="39" t="s">
        <v>671</v>
      </c>
      <c r="N1659" s="2" t="s">
        <v>21</v>
      </c>
      <c r="O1659" s="2" t="s">
        <v>21</v>
      </c>
      <c r="P1659" s="2" t="s">
        <v>21</v>
      </c>
      <c r="Q1659" s="2" t="s">
        <v>21</v>
      </c>
    </row>
    <row r="1660" customFormat="false" ht="15" hidden="false" customHeight="false" outlineLevel="0" collapsed="false">
      <c r="A1660" s="2" t="s">
        <v>1098</v>
      </c>
      <c r="B1660" s="2" t="s">
        <v>46</v>
      </c>
      <c r="C1660" s="16"/>
      <c r="D1660" s="29"/>
      <c r="E1660" s="2"/>
      <c r="F1660" s="30"/>
      <c r="G1660" s="31"/>
      <c r="H1660" s="32"/>
      <c r="I1660" s="31"/>
      <c r="J1660" s="2"/>
      <c r="K1660" s="33"/>
      <c r="L1660" s="31"/>
      <c r="M1660" s="34" t="s">
        <v>668</v>
      </c>
      <c r="N1660" s="2"/>
      <c r="O1660" s="2"/>
      <c r="P1660" s="2"/>
      <c r="Q1660" s="2"/>
    </row>
    <row r="1661" customFormat="false" ht="15" hidden="false" customHeight="false" outlineLevel="0" collapsed="false">
      <c r="A1661" s="2" t="s">
        <v>1098</v>
      </c>
      <c r="B1661" s="2" t="s">
        <v>47</v>
      </c>
      <c r="C1661" s="13" t="s">
        <v>2085</v>
      </c>
      <c r="D1661" s="35" t="n">
        <v>6772</v>
      </c>
      <c r="E1661" s="2" t="s">
        <v>678</v>
      </c>
      <c r="F1661" s="36" t="n">
        <v>2.48552864737153</v>
      </c>
      <c r="G1661" s="31" t="n">
        <v>82.5</v>
      </c>
      <c r="H1661" s="37" t="n">
        <v>0.113083497698882</v>
      </c>
      <c r="I1661" s="31" t="n">
        <v>53.3</v>
      </c>
      <c r="J1661" s="2" t="s">
        <v>2706</v>
      </c>
      <c r="K1661" s="38" t="n">
        <v>0.242334905660377</v>
      </c>
      <c r="L1661" s="31" t="n">
        <v>90.9</v>
      </c>
      <c r="M1661" s="39" t="s">
        <v>671</v>
      </c>
      <c r="N1661" s="2" t="s">
        <v>19</v>
      </c>
      <c r="O1661" s="2" t="s">
        <v>19</v>
      </c>
      <c r="P1661" s="2" t="s">
        <v>19</v>
      </c>
      <c r="Q1661" s="2" t="s">
        <v>19</v>
      </c>
    </row>
    <row r="1662" customFormat="false" ht="15" hidden="false" customHeight="false" outlineLevel="0" collapsed="false">
      <c r="A1662" s="2" t="s">
        <v>630</v>
      </c>
      <c r="B1662" s="2" t="s">
        <v>46</v>
      </c>
      <c r="C1662" s="13" t="s">
        <v>1908</v>
      </c>
      <c r="D1662" s="35" t="n">
        <v>278658</v>
      </c>
      <c r="E1662" s="2" t="s">
        <v>670</v>
      </c>
      <c r="F1662" s="36" t="n">
        <v>1.25196477402407</v>
      </c>
      <c r="G1662" s="31" t="n">
        <v>10.1</v>
      </c>
      <c r="H1662" s="37" t="n">
        <v>0.151812507750176</v>
      </c>
      <c r="I1662" s="31" t="n">
        <v>83.4</v>
      </c>
      <c r="J1662" s="2" t="s">
        <v>2705</v>
      </c>
      <c r="K1662" s="38" t="n">
        <v>0.0472495584153419</v>
      </c>
      <c r="L1662" s="31" t="n">
        <v>11.7</v>
      </c>
      <c r="M1662" s="39" t="s">
        <v>671</v>
      </c>
      <c r="N1662" s="2" t="s">
        <v>19</v>
      </c>
      <c r="O1662" s="2" t="s">
        <v>19</v>
      </c>
      <c r="P1662" s="2" t="s">
        <v>19</v>
      </c>
      <c r="Q1662" s="2" t="s">
        <v>19</v>
      </c>
    </row>
    <row r="1663" customFormat="false" ht="15" hidden="false" customHeight="false" outlineLevel="0" collapsed="false">
      <c r="A1663" s="2" t="s">
        <v>185</v>
      </c>
      <c r="B1663" s="2" t="s">
        <v>45</v>
      </c>
      <c r="C1663" s="14" t="s">
        <v>721</v>
      </c>
      <c r="D1663" s="40" t="n">
        <v>23570</v>
      </c>
      <c r="E1663" s="2" t="s">
        <v>667</v>
      </c>
      <c r="F1663" s="41" t="n">
        <v>1.95714891811625</v>
      </c>
      <c r="G1663" s="31" t="n">
        <v>93.4</v>
      </c>
      <c r="H1663" s="42" t="n">
        <v>0.128291048348492</v>
      </c>
      <c r="I1663" s="31" t="n">
        <v>65.9</v>
      </c>
      <c r="J1663" s="2" t="s">
        <v>2704</v>
      </c>
      <c r="K1663" s="43" t="n">
        <v>0.166788055353241</v>
      </c>
      <c r="L1663" s="31" t="n">
        <v>59.9</v>
      </c>
      <c r="M1663" s="39" t="s">
        <v>671</v>
      </c>
      <c r="N1663" s="2" t="s">
        <v>21</v>
      </c>
      <c r="O1663" s="2" t="s">
        <v>21</v>
      </c>
      <c r="P1663" s="2" t="s">
        <v>21</v>
      </c>
      <c r="Q1663" s="2" t="s">
        <v>21</v>
      </c>
    </row>
    <row r="1664" customFormat="false" ht="15" hidden="false" customHeight="false" outlineLevel="0" collapsed="false">
      <c r="A1664" s="2" t="s">
        <v>185</v>
      </c>
      <c r="B1664" s="2" t="s">
        <v>46</v>
      </c>
      <c r="C1664" s="13" t="s">
        <v>1750</v>
      </c>
      <c r="D1664" s="40" t="n">
        <v>8240</v>
      </c>
      <c r="E1664" s="2" t="s">
        <v>678</v>
      </c>
      <c r="F1664" s="41" t="n">
        <v>2.45424757281553</v>
      </c>
      <c r="G1664" s="31" t="n">
        <v>37.6</v>
      </c>
      <c r="H1664" s="42" t="n">
        <v>0.119565217391304</v>
      </c>
      <c r="I1664" s="31" t="n">
        <v>50</v>
      </c>
      <c r="J1664" s="2" t="s">
        <v>2720</v>
      </c>
      <c r="K1664" s="38" t="n">
        <v>0.210571923743501</v>
      </c>
      <c r="L1664" s="31" t="n">
        <v>73.8</v>
      </c>
      <c r="M1664" s="39" t="s">
        <v>671</v>
      </c>
      <c r="N1664" s="2" t="s">
        <v>21</v>
      </c>
      <c r="O1664" s="2" t="s">
        <v>21</v>
      </c>
      <c r="P1664" s="2" t="s">
        <v>21</v>
      </c>
      <c r="Q1664" s="2" t="s">
        <v>19</v>
      </c>
    </row>
    <row r="1665" customFormat="false" ht="15" hidden="false" customHeight="false" outlineLevel="0" collapsed="false">
      <c r="A1665" s="2" t="s">
        <v>185</v>
      </c>
      <c r="B1665" s="2" t="s">
        <v>47</v>
      </c>
      <c r="C1665" s="13" t="s">
        <v>2035</v>
      </c>
      <c r="D1665" s="35" t="n">
        <v>9294</v>
      </c>
      <c r="E1665" s="2" t="s">
        <v>678</v>
      </c>
      <c r="F1665" s="36" t="n">
        <v>3.13621691413815</v>
      </c>
      <c r="G1665" s="31" t="n">
        <v>89.7</v>
      </c>
      <c r="H1665" s="37" t="n">
        <v>0.0277562755722658</v>
      </c>
      <c r="I1665" s="31" t="n">
        <v>18.7</v>
      </c>
      <c r="J1665" s="2" t="s">
        <v>2706</v>
      </c>
      <c r="K1665" s="38" t="n">
        <v>0.027355623100304</v>
      </c>
      <c r="L1665" s="31" t="n">
        <v>16.8</v>
      </c>
      <c r="M1665" s="39" t="s">
        <v>671</v>
      </c>
      <c r="N1665" s="2" t="s">
        <v>19</v>
      </c>
      <c r="O1665" s="2" t="s">
        <v>19</v>
      </c>
      <c r="P1665" s="2" t="s">
        <v>19</v>
      </c>
      <c r="Q1665" s="2" t="s">
        <v>19</v>
      </c>
    </row>
    <row r="1666" customFormat="false" ht="15" hidden="false" customHeight="false" outlineLevel="0" collapsed="false">
      <c r="A1666" s="2" t="s">
        <v>1439</v>
      </c>
      <c r="B1666" s="2" t="s">
        <v>45</v>
      </c>
      <c r="C1666" s="14" t="s">
        <v>3118</v>
      </c>
      <c r="D1666" s="29"/>
      <c r="E1666" s="2"/>
      <c r="F1666" s="30"/>
      <c r="G1666" s="31"/>
      <c r="H1666" s="32"/>
      <c r="I1666" s="31"/>
      <c r="J1666" s="2"/>
      <c r="K1666" s="43" t="n">
        <v>0.0690789473684211</v>
      </c>
      <c r="L1666" s="31" t="n">
        <v>20.2</v>
      </c>
      <c r="M1666" s="34" t="s">
        <v>668</v>
      </c>
      <c r="N1666" s="2"/>
      <c r="O1666" s="2"/>
      <c r="P1666" s="2"/>
      <c r="Q1666" s="2" t="s">
        <v>21</v>
      </c>
    </row>
    <row r="1667" customFormat="false" ht="15" hidden="false" customHeight="false" outlineLevel="0" collapsed="false">
      <c r="A1667" s="2" t="s">
        <v>1439</v>
      </c>
      <c r="B1667" s="2" t="s">
        <v>46</v>
      </c>
      <c r="C1667" s="13" t="s">
        <v>1440</v>
      </c>
      <c r="D1667" s="35" t="n">
        <v>201666</v>
      </c>
      <c r="E1667" s="2" t="s">
        <v>670</v>
      </c>
      <c r="F1667" s="36" t="n">
        <v>7.96053871252467</v>
      </c>
      <c r="G1667" s="31" t="n">
        <v>90.3</v>
      </c>
      <c r="H1667" s="37" t="n">
        <v>-0.0568995431013922</v>
      </c>
      <c r="I1667" s="31" t="n">
        <v>1.3</v>
      </c>
      <c r="J1667" s="2" t="s">
        <v>2705</v>
      </c>
      <c r="K1667" s="38" t="n">
        <v>0.199211482236201</v>
      </c>
      <c r="L1667" s="31" t="n">
        <v>70.7</v>
      </c>
      <c r="M1667" s="39" t="s">
        <v>671</v>
      </c>
      <c r="N1667" s="2" t="s">
        <v>19</v>
      </c>
      <c r="O1667" s="2" t="s">
        <v>19</v>
      </c>
      <c r="P1667" s="2" t="s">
        <v>19</v>
      </c>
      <c r="Q1667" s="2" t="s">
        <v>19</v>
      </c>
    </row>
    <row r="1668" customFormat="false" ht="15" hidden="false" customHeight="false" outlineLevel="0" collapsed="false">
      <c r="A1668" s="2" t="s">
        <v>1439</v>
      </c>
      <c r="B1668" s="2" t="s">
        <v>47</v>
      </c>
      <c r="C1668" s="15" t="s">
        <v>2297</v>
      </c>
      <c r="D1668" s="44" t="n">
        <v>60771</v>
      </c>
      <c r="E1668" s="2" t="s">
        <v>667</v>
      </c>
      <c r="F1668" s="45" t="n">
        <v>1.29787234042553</v>
      </c>
      <c r="G1668" s="31" t="n">
        <v>52.7</v>
      </c>
      <c r="H1668" s="46" t="n">
        <v>0.072839615146968</v>
      </c>
      <c r="I1668" s="31" t="n">
        <v>39.7</v>
      </c>
      <c r="J1668" s="2" t="s">
        <v>2697</v>
      </c>
      <c r="K1668" s="48" t="n">
        <v>0.135297538282613</v>
      </c>
      <c r="L1668" s="31" t="n">
        <v>67.4</v>
      </c>
      <c r="M1668" s="39" t="s">
        <v>671</v>
      </c>
      <c r="N1668" s="2" t="s">
        <v>17</v>
      </c>
      <c r="O1668" s="2" t="s">
        <v>17</v>
      </c>
      <c r="P1668" s="2" t="s">
        <v>17</v>
      </c>
      <c r="Q1668" s="2" t="s">
        <v>17</v>
      </c>
    </row>
    <row r="1669" customFormat="false" ht="15" hidden="false" customHeight="false" outlineLevel="0" collapsed="false">
      <c r="A1669" s="2" t="s">
        <v>1535</v>
      </c>
      <c r="B1669" s="2" t="s">
        <v>45</v>
      </c>
      <c r="C1669" s="16"/>
      <c r="D1669" s="29"/>
      <c r="E1669" s="2"/>
      <c r="F1669" s="30"/>
      <c r="G1669" s="31"/>
      <c r="H1669" s="32"/>
      <c r="I1669" s="31"/>
      <c r="J1669" s="2"/>
      <c r="K1669" s="33"/>
      <c r="L1669" s="31"/>
      <c r="M1669" s="34" t="s">
        <v>668</v>
      </c>
      <c r="N1669" s="2"/>
      <c r="O1669" s="2"/>
      <c r="P1669" s="2"/>
      <c r="Q1669" s="2"/>
    </row>
    <row r="1670" customFormat="false" ht="15" hidden="false" customHeight="false" outlineLevel="0" collapsed="false">
      <c r="A1670" s="2" t="s">
        <v>1535</v>
      </c>
      <c r="B1670" s="2" t="s">
        <v>46</v>
      </c>
      <c r="C1670" s="14" t="s">
        <v>1536</v>
      </c>
      <c r="D1670" s="40" t="n">
        <v>5100</v>
      </c>
      <c r="E1670" s="2" t="s">
        <v>678</v>
      </c>
      <c r="F1670" s="41" t="n">
        <v>5.3378431372549</v>
      </c>
      <c r="G1670" s="31" t="n">
        <v>75.9</v>
      </c>
      <c r="H1670" s="42" t="n">
        <v>0.120879120879121</v>
      </c>
      <c r="I1670" s="31" t="n">
        <v>52.1</v>
      </c>
      <c r="J1670" s="2" t="s">
        <v>2720</v>
      </c>
      <c r="K1670" s="43" t="n">
        <v>0.0691144708423326</v>
      </c>
      <c r="L1670" s="31" t="n">
        <v>21.5</v>
      </c>
      <c r="M1670" s="39" t="s">
        <v>671</v>
      </c>
      <c r="N1670" s="2" t="s">
        <v>21</v>
      </c>
      <c r="O1670" s="2" t="s">
        <v>21</v>
      </c>
      <c r="P1670" s="2" t="s">
        <v>21</v>
      </c>
      <c r="Q1670" s="2" t="s">
        <v>21</v>
      </c>
    </row>
    <row r="1671" customFormat="false" ht="15" hidden="false" customHeight="false" outlineLevel="0" collapsed="false">
      <c r="A1671" s="2" t="s">
        <v>1535</v>
      </c>
      <c r="B1671" s="2" t="s">
        <v>47</v>
      </c>
      <c r="C1671" s="13" t="s">
        <v>2405</v>
      </c>
      <c r="D1671" s="35" t="n">
        <v>138016</v>
      </c>
      <c r="E1671" s="2" t="s">
        <v>670</v>
      </c>
      <c r="F1671" s="36" t="n">
        <v>1.00756434036633</v>
      </c>
      <c r="G1671" s="31" t="n">
        <v>38</v>
      </c>
      <c r="H1671" s="37" t="n">
        <v>0.119623590492415</v>
      </c>
      <c r="I1671" s="31" t="n">
        <v>68.1</v>
      </c>
      <c r="J1671" s="2" t="s">
        <v>2701</v>
      </c>
      <c r="K1671" s="38" t="n">
        <v>0.0746725633611158</v>
      </c>
      <c r="L1671" s="31" t="n">
        <v>41.7</v>
      </c>
      <c r="M1671" s="39" t="s">
        <v>671</v>
      </c>
      <c r="N1671" s="2" t="s">
        <v>19</v>
      </c>
      <c r="O1671" s="2" t="s">
        <v>19</v>
      </c>
      <c r="P1671" s="2" t="s">
        <v>19</v>
      </c>
      <c r="Q1671" s="2" t="s">
        <v>19</v>
      </c>
    </row>
    <row r="1672" customFormat="false" ht="15" hidden="false" customHeight="false" outlineLevel="0" collapsed="false">
      <c r="A1672" s="2" t="s">
        <v>340</v>
      </c>
      <c r="B1672" s="2" t="s">
        <v>45</v>
      </c>
      <c r="C1672" s="14" t="s">
        <v>997</v>
      </c>
      <c r="D1672" s="40" t="n">
        <v>73750</v>
      </c>
      <c r="E1672" s="2" t="s">
        <v>667</v>
      </c>
      <c r="F1672" s="41" t="n">
        <v>0.662020338983051</v>
      </c>
      <c r="G1672" s="31" t="n">
        <v>55.6</v>
      </c>
      <c r="H1672" s="42" t="n">
        <v>0.19220821209182</v>
      </c>
      <c r="I1672" s="31" t="n">
        <v>90.5</v>
      </c>
      <c r="J1672" s="2" t="s">
        <v>2704</v>
      </c>
      <c r="K1672" s="43" t="n">
        <v>0.283319362950545</v>
      </c>
      <c r="L1672" s="31" t="n">
        <v>87.8</v>
      </c>
      <c r="M1672" s="39" t="s">
        <v>671</v>
      </c>
      <c r="N1672" s="2" t="s">
        <v>21</v>
      </c>
      <c r="O1672" s="2" t="s">
        <v>21</v>
      </c>
      <c r="P1672" s="2" t="s">
        <v>21</v>
      </c>
      <c r="Q1672" s="2" t="s">
        <v>21</v>
      </c>
    </row>
    <row r="1673" customFormat="false" ht="15" hidden="false" customHeight="false" outlineLevel="0" collapsed="false">
      <c r="A1673" s="2" t="s">
        <v>340</v>
      </c>
      <c r="B1673" s="2" t="s">
        <v>46</v>
      </c>
      <c r="C1673" s="13" t="s">
        <v>1777</v>
      </c>
      <c r="D1673" s="35" t="n">
        <v>9623</v>
      </c>
      <c r="E1673" s="2" t="s">
        <v>678</v>
      </c>
      <c r="F1673" s="36" t="n">
        <v>2.29138522290346</v>
      </c>
      <c r="G1673" s="31" t="n">
        <v>33</v>
      </c>
      <c r="H1673" s="37" t="n">
        <v>0.0627277747101049</v>
      </c>
      <c r="I1673" s="31" t="n">
        <v>27.1</v>
      </c>
      <c r="J1673" s="2" t="s">
        <v>2720</v>
      </c>
      <c r="K1673" s="38" t="n">
        <v>0.33167495854063</v>
      </c>
      <c r="L1673" s="31" t="n">
        <v>95.1</v>
      </c>
      <c r="M1673" s="39" t="s">
        <v>671</v>
      </c>
      <c r="N1673" s="2" t="s">
        <v>19</v>
      </c>
      <c r="O1673" s="2" t="s">
        <v>19</v>
      </c>
      <c r="P1673" s="2" t="s">
        <v>19</v>
      </c>
      <c r="Q1673" s="2" t="s">
        <v>19</v>
      </c>
    </row>
    <row r="1674" customFormat="false" ht="15" hidden="false" customHeight="false" outlineLevel="0" collapsed="false">
      <c r="A1674" s="2" t="s">
        <v>340</v>
      </c>
      <c r="B1674" s="2" t="s">
        <v>47</v>
      </c>
      <c r="C1674" s="13" t="s">
        <v>2152</v>
      </c>
      <c r="D1674" s="35" t="n">
        <v>8604</v>
      </c>
      <c r="E1674" s="2" t="s">
        <v>678</v>
      </c>
      <c r="F1674" s="36" t="n">
        <v>1.94246861924686</v>
      </c>
      <c r="G1674" s="31" t="n">
        <v>71.5</v>
      </c>
      <c r="H1674" s="37" t="n">
        <v>-0.0637649619151251</v>
      </c>
      <c r="I1674" s="31" t="n">
        <v>2.7</v>
      </c>
      <c r="J1674" s="2" t="s">
        <v>2706</v>
      </c>
      <c r="K1674" s="38" t="n">
        <v>0.186456400742115</v>
      </c>
      <c r="L1674" s="31" t="n">
        <v>79.8</v>
      </c>
      <c r="M1674" s="39" t="s">
        <v>671</v>
      </c>
      <c r="N1674" s="2" t="s">
        <v>19</v>
      </c>
      <c r="O1674" s="2" t="s">
        <v>19</v>
      </c>
      <c r="P1674" s="2" t="s">
        <v>19</v>
      </c>
      <c r="Q1674" s="2" t="s">
        <v>19</v>
      </c>
    </row>
    <row r="1675" customFormat="false" ht="15" hidden="false" customHeight="false" outlineLevel="0" collapsed="false">
      <c r="A1675" s="2" t="s">
        <v>3119</v>
      </c>
      <c r="B1675" s="2" t="s">
        <v>47</v>
      </c>
      <c r="C1675" s="15" t="s">
        <v>3120</v>
      </c>
      <c r="D1675" s="44" t="n">
        <v>36989</v>
      </c>
      <c r="E1675" s="2" t="s">
        <v>667</v>
      </c>
      <c r="F1675" s="45" t="n">
        <v>0.417448430614507</v>
      </c>
      <c r="G1675" s="31" t="n">
        <v>8.6</v>
      </c>
      <c r="H1675" s="46" t="n">
        <v>0.107919487210208</v>
      </c>
      <c r="I1675" s="31" t="n">
        <v>57.8</v>
      </c>
      <c r="J1675" s="2" t="s">
        <v>2697</v>
      </c>
      <c r="K1675" s="33"/>
      <c r="L1675" s="31"/>
      <c r="M1675" s="34" t="s">
        <v>668</v>
      </c>
      <c r="N1675" s="2" t="s">
        <v>17</v>
      </c>
      <c r="O1675" s="2" t="s">
        <v>17</v>
      </c>
      <c r="P1675" s="2" t="s">
        <v>17</v>
      </c>
      <c r="Q1675" s="2"/>
    </row>
    <row r="1676" customFormat="false" ht="15" hidden="false" customHeight="false" outlineLevel="0" collapsed="false">
      <c r="A1676" s="2" t="s">
        <v>2425</v>
      </c>
      <c r="B1676" s="2" t="s">
        <v>45</v>
      </c>
      <c r="C1676" s="14" t="s">
        <v>3121</v>
      </c>
      <c r="D1676" s="40" t="n">
        <v>341020</v>
      </c>
      <c r="E1676" s="2" t="s">
        <v>670</v>
      </c>
      <c r="F1676" s="41" t="n">
        <v>0.321004633159346</v>
      </c>
      <c r="G1676" s="31" t="n">
        <v>20.7</v>
      </c>
      <c r="H1676" s="42" t="n">
        <v>0.215107785497951</v>
      </c>
      <c r="I1676" s="31" t="n">
        <v>95.7</v>
      </c>
      <c r="J1676" s="2" t="s">
        <v>2698</v>
      </c>
      <c r="K1676" s="33"/>
      <c r="L1676" s="31"/>
      <c r="M1676" s="34" t="s">
        <v>668</v>
      </c>
      <c r="N1676" s="2" t="s">
        <v>21</v>
      </c>
      <c r="O1676" s="2" t="s">
        <v>21</v>
      </c>
      <c r="P1676" s="2" t="s">
        <v>21</v>
      </c>
      <c r="Q1676" s="2"/>
    </row>
    <row r="1677" customFormat="false" ht="15" hidden="false" customHeight="false" outlineLevel="0" collapsed="false">
      <c r="A1677" s="2" t="s">
        <v>2425</v>
      </c>
      <c r="B1677" s="2" t="s">
        <v>47</v>
      </c>
      <c r="C1677" s="13" t="s">
        <v>2426</v>
      </c>
      <c r="D1677" s="35" t="n">
        <v>205616</v>
      </c>
      <c r="E1677" s="2" t="s">
        <v>670</v>
      </c>
      <c r="F1677" s="36" t="n">
        <v>0.945048050735351</v>
      </c>
      <c r="G1677" s="31" t="n">
        <v>35.2</v>
      </c>
      <c r="H1677" s="37" t="n">
        <v>0.0652519674025106</v>
      </c>
      <c r="I1677" s="31" t="n">
        <v>41.6</v>
      </c>
      <c r="J1677" s="2" t="s">
        <v>2701</v>
      </c>
      <c r="K1677" s="38" t="n">
        <v>0.0324804935583379</v>
      </c>
      <c r="L1677" s="31" t="n">
        <v>20.4</v>
      </c>
      <c r="M1677" s="39" t="s">
        <v>671</v>
      </c>
      <c r="N1677" s="2" t="s">
        <v>19</v>
      </c>
      <c r="O1677" s="2" t="s">
        <v>19</v>
      </c>
      <c r="P1677" s="2" t="s">
        <v>19</v>
      </c>
      <c r="Q1677" s="2" t="s">
        <v>19</v>
      </c>
    </row>
    <row r="1678" customFormat="false" ht="15" hidden="false" customHeight="false" outlineLevel="0" collapsed="false">
      <c r="A1678" s="2" t="s">
        <v>744</v>
      </c>
      <c r="B1678" s="2" t="s">
        <v>45</v>
      </c>
      <c r="C1678" s="13" t="s">
        <v>745</v>
      </c>
      <c r="D1678" s="35" t="n">
        <v>62685</v>
      </c>
      <c r="E1678" s="2" t="s">
        <v>667</v>
      </c>
      <c r="F1678" s="36" t="n">
        <v>1.76319693706628</v>
      </c>
      <c r="G1678" s="31" t="n">
        <v>90.4</v>
      </c>
      <c r="H1678" s="37" t="n">
        <v>0.138071895424837</v>
      </c>
      <c r="I1678" s="31" t="n">
        <v>72.6</v>
      </c>
      <c r="J1678" s="2" t="s">
        <v>2704</v>
      </c>
      <c r="K1678" s="38" t="n">
        <v>0.361371841155235</v>
      </c>
      <c r="L1678" s="31" t="n">
        <v>97.5</v>
      </c>
      <c r="M1678" s="39" t="s">
        <v>671</v>
      </c>
      <c r="N1678" s="2" t="s">
        <v>19</v>
      </c>
      <c r="O1678" s="2" t="s">
        <v>19</v>
      </c>
      <c r="P1678" s="2" t="s">
        <v>19</v>
      </c>
      <c r="Q1678" s="2" t="s">
        <v>19</v>
      </c>
    </row>
    <row r="1679" customFormat="false" ht="15" hidden="false" customHeight="false" outlineLevel="0" collapsed="false">
      <c r="A1679" s="2" t="s">
        <v>744</v>
      </c>
      <c r="B1679" s="2" t="s">
        <v>46</v>
      </c>
      <c r="C1679" s="14" t="s">
        <v>3122</v>
      </c>
      <c r="D1679" s="40" t="n">
        <v>78250</v>
      </c>
      <c r="E1679" s="2" t="s">
        <v>667</v>
      </c>
      <c r="F1679" s="41" t="n">
        <v>2.54976357827476</v>
      </c>
      <c r="G1679" s="31" t="n">
        <v>39.3</v>
      </c>
      <c r="H1679" s="42" t="n">
        <v>0.190476190476191</v>
      </c>
      <c r="I1679" s="31" t="n">
        <v>92.1</v>
      </c>
      <c r="J1679" s="2" t="s">
        <v>2700</v>
      </c>
      <c r="K1679" s="33"/>
      <c r="L1679" s="31"/>
      <c r="M1679" s="34" t="s">
        <v>668</v>
      </c>
      <c r="N1679" s="2" t="s">
        <v>21</v>
      </c>
      <c r="O1679" s="2" t="s">
        <v>21</v>
      </c>
      <c r="P1679" s="2" t="s">
        <v>21</v>
      </c>
      <c r="Q1679" s="2"/>
    </row>
    <row r="1680" customFormat="false" ht="15" hidden="false" customHeight="false" outlineLevel="0" collapsed="false">
      <c r="A1680" s="2" t="s">
        <v>2038</v>
      </c>
      <c r="B1680" s="2" t="s">
        <v>46</v>
      </c>
      <c r="C1680" s="14" t="s">
        <v>3123</v>
      </c>
      <c r="D1680" s="40" t="n">
        <v>5020</v>
      </c>
      <c r="E1680" s="2" t="s">
        <v>678</v>
      </c>
      <c r="F1680" s="41" t="n">
        <v>6.32808764940239</v>
      </c>
      <c r="G1680" s="31" t="n">
        <v>83.1</v>
      </c>
      <c r="H1680" s="42" t="n">
        <v>0.183962264150943</v>
      </c>
      <c r="I1680" s="31" t="n">
        <v>83.3</v>
      </c>
      <c r="J1680" s="2" t="s">
        <v>2720</v>
      </c>
      <c r="K1680" s="33"/>
      <c r="L1680" s="31"/>
      <c r="M1680" s="34" t="s">
        <v>668</v>
      </c>
      <c r="N1680" s="2" t="s">
        <v>21</v>
      </c>
      <c r="O1680" s="2" t="s">
        <v>21</v>
      </c>
      <c r="P1680" s="2" t="s">
        <v>21</v>
      </c>
      <c r="Q1680" s="2"/>
    </row>
    <row r="1681" customFormat="false" ht="15" hidden="false" customHeight="false" outlineLevel="0" collapsed="false">
      <c r="A1681" s="2" t="s">
        <v>2038</v>
      </c>
      <c r="B1681" s="2" t="s">
        <v>47</v>
      </c>
      <c r="C1681" s="13" t="s">
        <v>2039</v>
      </c>
      <c r="D1681" s="35" t="n">
        <v>31907</v>
      </c>
      <c r="E1681" s="2" t="s">
        <v>667</v>
      </c>
      <c r="F1681" s="36" t="n">
        <v>3.07421568934717</v>
      </c>
      <c r="G1681" s="31" t="n">
        <v>89.4</v>
      </c>
      <c r="H1681" s="37" t="n">
        <v>0.166575262330445</v>
      </c>
      <c r="I1681" s="31" t="n">
        <v>84.8</v>
      </c>
      <c r="J1681" s="2" t="s">
        <v>2697</v>
      </c>
      <c r="K1681" s="38" t="n">
        <v>0.0256704102681641</v>
      </c>
      <c r="L1681" s="31" t="n">
        <v>15.8</v>
      </c>
      <c r="M1681" s="39" t="s">
        <v>671</v>
      </c>
      <c r="N1681" s="2" t="s">
        <v>19</v>
      </c>
      <c r="O1681" s="2" t="s">
        <v>19</v>
      </c>
      <c r="P1681" s="2" t="s">
        <v>19</v>
      </c>
      <c r="Q1681" s="2" t="s">
        <v>19</v>
      </c>
    </row>
    <row r="1682" customFormat="false" ht="15" hidden="false" customHeight="false" outlineLevel="0" collapsed="false">
      <c r="A1682" s="2" t="s">
        <v>3124</v>
      </c>
      <c r="B1682" s="2" t="s">
        <v>45</v>
      </c>
      <c r="C1682" s="16"/>
      <c r="D1682" s="29"/>
      <c r="E1682" s="2"/>
      <c r="F1682" s="30"/>
      <c r="G1682" s="31"/>
      <c r="H1682" s="32"/>
      <c r="I1682" s="31"/>
      <c r="J1682" s="2"/>
      <c r="K1682" s="33"/>
      <c r="L1682" s="31"/>
      <c r="M1682" s="34" t="s">
        <v>668</v>
      </c>
      <c r="N1682" s="2"/>
      <c r="O1682" s="2"/>
      <c r="P1682" s="2"/>
      <c r="Q1682" s="2"/>
    </row>
    <row r="1683" customFormat="false" ht="15" hidden="false" customHeight="false" outlineLevel="0" collapsed="false">
      <c r="A1683" s="2" t="s">
        <v>3124</v>
      </c>
      <c r="B1683" s="2" t="s">
        <v>46</v>
      </c>
      <c r="C1683" s="16"/>
      <c r="D1683" s="29"/>
      <c r="E1683" s="2"/>
      <c r="F1683" s="30"/>
      <c r="G1683" s="31"/>
      <c r="H1683" s="32"/>
      <c r="I1683" s="31"/>
      <c r="J1683" s="2"/>
      <c r="K1683" s="33"/>
      <c r="L1683" s="31"/>
      <c r="M1683" s="34" t="s">
        <v>668</v>
      </c>
      <c r="N1683" s="2"/>
      <c r="O1683" s="2"/>
      <c r="P1683" s="2"/>
      <c r="Q1683" s="2"/>
    </row>
    <row r="1684" customFormat="false" ht="15" hidden="false" customHeight="false" outlineLevel="0" collapsed="false">
      <c r="A1684" s="2" t="s">
        <v>3124</v>
      </c>
      <c r="B1684" s="2" t="s">
        <v>47</v>
      </c>
      <c r="C1684" s="16"/>
      <c r="D1684" s="29"/>
      <c r="E1684" s="2"/>
      <c r="F1684" s="30"/>
      <c r="G1684" s="31"/>
      <c r="H1684" s="32"/>
      <c r="I1684" s="31"/>
      <c r="J1684" s="2"/>
      <c r="K1684" s="33"/>
      <c r="L1684" s="31"/>
      <c r="M1684" s="34" t="s">
        <v>668</v>
      </c>
      <c r="N1684" s="2"/>
      <c r="O1684" s="2"/>
      <c r="P1684" s="2"/>
      <c r="Q1684" s="2"/>
    </row>
    <row r="1685" customFormat="false" ht="15" hidden="false" customHeight="false" outlineLevel="0" collapsed="false">
      <c r="A1685" s="2" t="s">
        <v>2021</v>
      </c>
      <c r="B1685" s="2" t="s">
        <v>45</v>
      </c>
      <c r="C1685" s="16"/>
      <c r="D1685" s="29"/>
      <c r="E1685" s="2"/>
      <c r="F1685" s="30"/>
      <c r="G1685" s="31"/>
      <c r="H1685" s="32"/>
      <c r="I1685" s="31"/>
      <c r="J1685" s="2"/>
      <c r="K1685" s="33"/>
      <c r="L1685" s="31"/>
      <c r="M1685" s="34" t="s">
        <v>668</v>
      </c>
      <c r="N1685" s="2"/>
      <c r="O1685" s="2"/>
      <c r="P1685" s="2"/>
      <c r="Q1685" s="2"/>
    </row>
    <row r="1686" customFormat="false" ht="15" hidden="false" customHeight="false" outlineLevel="0" collapsed="false">
      <c r="A1686" s="2" t="s">
        <v>2021</v>
      </c>
      <c r="B1686" s="2" t="s">
        <v>46</v>
      </c>
      <c r="C1686" s="14" t="s">
        <v>3125</v>
      </c>
      <c r="D1686" s="40" t="n">
        <v>22520</v>
      </c>
      <c r="E1686" s="2" t="s">
        <v>667</v>
      </c>
      <c r="F1686" s="30"/>
      <c r="G1686" s="31"/>
      <c r="H1686" s="42" t="n">
        <v>0.152507676560901</v>
      </c>
      <c r="I1686" s="31" t="n">
        <v>80.1</v>
      </c>
      <c r="J1686" s="2" t="s">
        <v>2700</v>
      </c>
      <c r="K1686" s="43" t="n">
        <v>0.217007291773647</v>
      </c>
      <c r="L1686" s="31" t="n">
        <v>75.1</v>
      </c>
      <c r="M1686" s="34" t="s">
        <v>668</v>
      </c>
      <c r="N1686" s="2" t="s">
        <v>21</v>
      </c>
      <c r="O1686" s="2"/>
      <c r="P1686" s="2" t="s">
        <v>21</v>
      </c>
      <c r="Q1686" s="2" t="s">
        <v>21</v>
      </c>
    </row>
    <row r="1687" customFormat="false" ht="15" hidden="false" customHeight="false" outlineLevel="0" collapsed="false">
      <c r="A1687" s="2" t="s">
        <v>2021</v>
      </c>
      <c r="B1687" s="2" t="s">
        <v>47</v>
      </c>
      <c r="C1687" s="13" t="s">
        <v>2022</v>
      </c>
      <c r="D1687" s="35" t="n">
        <v>44543</v>
      </c>
      <c r="E1687" s="2" t="s">
        <v>667</v>
      </c>
      <c r="F1687" s="36" t="n">
        <v>3.46682980490762</v>
      </c>
      <c r="G1687" s="31" t="n">
        <v>91.8</v>
      </c>
      <c r="H1687" s="37" t="n">
        <v>0.219253825308625</v>
      </c>
      <c r="I1687" s="31" t="n">
        <v>95.7</v>
      </c>
      <c r="J1687" s="2" t="s">
        <v>2697</v>
      </c>
      <c r="K1687" s="38" t="n">
        <v>0.192287163063784</v>
      </c>
      <c r="L1687" s="31" t="n">
        <v>81.1</v>
      </c>
      <c r="M1687" s="39" t="s">
        <v>671</v>
      </c>
      <c r="N1687" s="2" t="s">
        <v>19</v>
      </c>
      <c r="O1687" s="2" t="s">
        <v>19</v>
      </c>
      <c r="P1687" s="2" t="s">
        <v>19</v>
      </c>
      <c r="Q1687" s="2" t="s">
        <v>19</v>
      </c>
    </row>
    <row r="1688" customFormat="false" ht="15" hidden="false" customHeight="false" outlineLevel="0" collapsed="false">
      <c r="A1688" s="2" t="s">
        <v>232</v>
      </c>
      <c r="B1688" s="2" t="s">
        <v>46</v>
      </c>
      <c r="C1688" s="13" t="s">
        <v>1589</v>
      </c>
      <c r="D1688" s="35" t="n">
        <v>53857</v>
      </c>
      <c r="E1688" s="2" t="s">
        <v>667</v>
      </c>
      <c r="F1688" s="36" t="n">
        <v>4.32075681898361</v>
      </c>
      <c r="G1688" s="31" t="n">
        <v>66.6</v>
      </c>
      <c r="H1688" s="37" t="n">
        <v>0.174609059780594</v>
      </c>
      <c r="I1688" s="31" t="n">
        <v>87.6</v>
      </c>
      <c r="J1688" s="2" t="s">
        <v>2700</v>
      </c>
      <c r="K1688" s="38" t="n">
        <v>0.055880062305296</v>
      </c>
      <c r="L1688" s="31" t="n">
        <v>16.1</v>
      </c>
      <c r="M1688" s="39" t="s">
        <v>671</v>
      </c>
      <c r="N1688" s="2" t="s">
        <v>19</v>
      </c>
      <c r="O1688" s="2" t="s">
        <v>19</v>
      </c>
      <c r="P1688" s="2" t="s">
        <v>19</v>
      </c>
      <c r="Q1688" s="2" t="s">
        <v>19</v>
      </c>
    </row>
    <row r="1689" customFormat="false" ht="15" hidden="false" customHeight="false" outlineLevel="0" collapsed="false">
      <c r="A1689" s="2" t="s">
        <v>1952</v>
      </c>
      <c r="B1689" s="2" t="s">
        <v>45</v>
      </c>
      <c r="C1689" s="16"/>
      <c r="D1689" s="29"/>
      <c r="E1689" s="2"/>
      <c r="F1689" s="30"/>
      <c r="G1689" s="31"/>
      <c r="H1689" s="32"/>
      <c r="I1689" s="31"/>
      <c r="J1689" s="2"/>
      <c r="K1689" s="33"/>
      <c r="L1689" s="31"/>
      <c r="M1689" s="34" t="s">
        <v>668</v>
      </c>
      <c r="N1689" s="2"/>
      <c r="O1689" s="2"/>
      <c r="P1689" s="2"/>
      <c r="Q1689" s="2"/>
    </row>
    <row r="1690" customFormat="false" ht="15" hidden="false" customHeight="false" outlineLevel="0" collapsed="false">
      <c r="A1690" s="2" t="s">
        <v>1952</v>
      </c>
      <c r="B1690" s="2" t="s">
        <v>46</v>
      </c>
      <c r="C1690" s="14" t="s">
        <v>1953</v>
      </c>
      <c r="D1690" s="40" t="n">
        <v>264610</v>
      </c>
      <c r="E1690" s="2" t="s">
        <v>670</v>
      </c>
      <c r="F1690" s="41" t="n">
        <v>0.630206719322777</v>
      </c>
      <c r="G1690" s="31" t="n">
        <v>2.1</v>
      </c>
      <c r="H1690" s="42" t="n">
        <v>0.0919407419634383</v>
      </c>
      <c r="I1690" s="31" t="n">
        <v>57.6</v>
      </c>
      <c r="J1690" s="2" t="s">
        <v>2705</v>
      </c>
      <c r="K1690" s="43" t="n">
        <v>0.102258469259724</v>
      </c>
      <c r="L1690" s="31" t="n">
        <v>33.4</v>
      </c>
      <c r="M1690" s="39" t="s">
        <v>671</v>
      </c>
      <c r="N1690" s="2" t="s">
        <v>21</v>
      </c>
      <c r="O1690" s="2" t="s">
        <v>21</v>
      </c>
      <c r="P1690" s="2" t="s">
        <v>21</v>
      </c>
      <c r="Q1690" s="2" t="s">
        <v>21</v>
      </c>
    </row>
    <row r="1691" customFormat="false" ht="15" hidden="false" customHeight="false" outlineLevel="0" collapsed="false">
      <c r="A1691" s="2" t="s">
        <v>514</v>
      </c>
      <c r="B1691" s="2" t="s">
        <v>46</v>
      </c>
      <c r="C1691" s="14" t="s">
        <v>1772</v>
      </c>
      <c r="D1691" s="40" t="n">
        <v>221760</v>
      </c>
      <c r="E1691" s="2" t="s">
        <v>670</v>
      </c>
      <c r="F1691" s="41" t="n">
        <v>2.37186598124098</v>
      </c>
      <c r="G1691" s="31" t="n">
        <v>34</v>
      </c>
      <c r="H1691" s="42" t="n">
        <v>0.0175277599339268</v>
      </c>
      <c r="I1691" s="31" t="n">
        <v>15.2</v>
      </c>
      <c r="J1691" s="2" t="s">
        <v>2705</v>
      </c>
      <c r="K1691" s="43" t="n">
        <v>0.120918367346939</v>
      </c>
      <c r="L1691" s="31" t="n">
        <v>42.2</v>
      </c>
      <c r="M1691" s="39" t="s">
        <v>671</v>
      </c>
      <c r="N1691" s="2" t="s">
        <v>21</v>
      </c>
      <c r="O1691" s="2" t="s">
        <v>21</v>
      </c>
      <c r="P1691" s="2" t="s">
        <v>21</v>
      </c>
      <c r="Q1691" s="2" t="s">
        <v>21</v>
      </c>
    </row>
    <row r="1692" customFormat="false" ht="15" hidden="false" customHeight="false" outlineLevel="0" collapsed="false">
      <c r="A1692" s="2" t="s">
        <v>1601</v>
      </c>
      <c r="B1692" s="2" t="s">
        <v>45</v>
      </c>
      <c r="C1692" s="16"/>
      <c r="D1692" s="29"/>
      <c r="E1692" s="2"/>
      <c r="F1692" s="30"/>
      <c r="G1692" s="31"/>
      <c r="H1692" s="32"/>
      <c r="I1692" s="31"/>
      <c r="J1692" s="2"/>
      <c r="K1692" s="33"/>
      <c r="L1692" s="31"/>
      <c r="M1692" s="34" t="s">
        <v>668</v>
      </c>
      <c r="N1692" s="2"/>
      <c r="O1692" s="2"/>
      <c r="P1692" s="2"/>
      <c r="Q1692" s="2"/>
    </row>
    <row r="1693" customFormat="false" ht="15" hidden="false" customHeight="false" outlineLevel="0" collapsed="false">
      <c r="A1693" s="2" t="s">
        <v>1601</v>
      </c>
      <c r="B1693" s="2" t="s">
        <v>46</v>
      </c>
      <c r="C1693" s="14" t="s">
        <v>1602</v>
      </c>
      <c r="D1693" s="40" t="n">
        <v>28480</v>
      </c>
      <c r="E1693" s="2" t="s">
        <v>667</v>
      </c>
      <c r="F1693" s="41" t="n">
        <v>4.10874297752809</v>
      </c>
      <c r="G1693" s="31" t="n">
        <v>63.8</v>
      </c>
      <c r="H1693" s="42" t="n">
        <v>0.0207885304659498</v>
      </c>
      <c r="I1693" s="31" t="n">
        <v>17.4</v>
      </c>
      <c r="J1693" s="2" t="s">
        <v>2700</v>
      </c>
      <c r="K1693" s="43" t="n">
        <v>0.188967923768622</v>
      </c>
      <c r="L1693" s="31" t="n">
        <v>69.4</v>
      </c>
      <c r="M1693" s="39" t="s">
        <v>671</v>
      </c>
      <c r="N1693" s="2" t="s">
        <v>21</v>
      </c>
      <c r="O1693" s="2" t="s">
        <v>21</v>
      </c>
      <c r="P1693" s="2" t="s">
        <v>21</v>
      </c>
      <c r="Q1693" s="2" t="s">
        <v>21</v>
      </c>
    </row>
    <row r="1694" customFormat="false" ht="15" hidden="false" customHeight="false" outlineLevel="0" collapsed="false">
      <c r="A1694" s="2" t="s">
        <v>1601</v>
      </c>
      <c r="B1694" s="2" t="s">
        <v>47</v>
      </c>
      <c r="C1694" s="16"/>
      <c r="D1694" s="29"/>
      <c r="E1694" s="2"/>
      <c r="F1694" s="30"/>
      <c r="G1694" s="31"/>
      <c r="H1694" s="32"/>
      <c r="I1694" s="31"/>
      <c r="J1694" s="2"/>
      <c r="K1694" s="33"/>
      <c r="L1694" s="31"/>
      <c r="M1694" s="34" t="s">
        <v>668</v>
      </c>
      <c r="N1694" s="2"/>
      <c r="O1694" s="2"/>
      <c r="P1694" s="2"/>
      <c r="Q1694" s="2"/>
    </row>
    <row r="1695" customFormat="false" ht="15" hidden="false" customHeight="false" outlineLevel="0" collapsed="false">
      <c r="A1695" s="2" t="s">
        <v>140</v>
      </c>
      <c r="B1695" s="2" t="s">
        <v>45</v>
      </c>
      <c r="C1695" s="13" t="s">
        <v>853</v>
      </c>
      <c r="D1695" s="35" t="n">
        <v>111343</v>
      </c>
      <c r="E1695" s="2" t="s">
        <v>670</v>
      </c>
      <c r="F1695" s="36" t="n">
        <v>0.986779590993596</v>
      </c>
      <c r="G1695" s="31" t="n">
        <v>74.8</v>
      </c>
      <c r="H1695" s="37" t="n">
        <v>0.0316223478180302</v>
      </c>
      <c r="I1695" s="31" t="n">
        <v>23.9</v>
      </c>
      <c r="J1695" s="2" t="s">
        <v>2698</v>
      </c>
      <c r="K1695" s="38" t="n">
        <v>0.289338300514458</v>
      </c>
      <c r="L1695" s="31" t="n">
        <v>89</v>
      </c>
      <c r="M1695" s="39" t="s">
        <v>671</v>
      </c>
      <c r="N1695" s="2" t="s">
        <v>19</v>
      </c>
      <c r="O1695" s="2" t="s">
        <v>19</v>
      </c>
      <c r="P1695" s="2" t="s">
        <v>19</v>
      </c>
      <c r="Q1695" s="2" t="s">
        <v>19</v>
      </c>
    </row>
    <row r="1696" customFormat="false" ht="15" hidden="false" customHeight="false" outlineLevel="0" collapsed="false">
      <c r="A1696" s="2" t="s">
        <v>140</v>
      </c>
      <c r="B1696" s="2" t="s">
        <v>46</v>
      </c>
      <c r="C1696" s="13" t="s">
        <v>1418</v>
      </c>
      <c r="D1696" s="35" t="n">
        <v>75054</v>
      </c>
      <c r="E1696" s="2" t="s">
        <v>667</v>
      </c>
      <c r="F1696" s="36" t="n">
        <v>8.83582487275828</v>
      </c>
      <c r="G1696" s="31" t="n">
        <v>93.2</v>
      </c>
      <c r="H1696" s="37" t="n">
        <v>0.228842281055062</v>
      </c>
      <c r="I1696" s="31" t="n">
        <v>97.1</v>
      </c>
      <c r="J1696" s="2" t="s">
        <v>2700</v>
      </c>
      <c r="K1696" s="38" t="n">
        <v>0.343328427765514</v>
      </c>
      <c r="L1696" s="31" t="n">
        <v>95.6</v>
      </c>
      <c r="M1696" s="39" t="s">
        <v>671</v>
      </c>
      <c r="N1696" s="2" t="s">
        <v>19</v>
      </c>
      <c r="O1696" s="2" t="s">
        <v>19</v>
      </c>
      <c r="P1696" s="2" t="s">
        <v>19</v>
      </c>
      <c r="Q1696" s="2" t="s">
        <v>19</v>
      </c>
    </row>
    <row r="1697" customFormat="false" ht="15" hidden="false" customHeight="false" outlineLevel="0" collapsed="false">
      <c r="A1697" s="2" t="s">
        <v>140</v>
      </c>
      <c r="B1697" s="2" t="s">
        <v>47</v>
      </c>
      <c r="C1697" s="13" t="s">
        <v>2115</v>
      </c>
      <c r="D1697" s="35" t="n">
        <v>6255</v>
      </c>
      <c r="E1697" s="2" t="s">
        <v>678</v>
      </c>
      <c r="F1697" s="36" t="n">
        <v>2.17234212629896</v>
      </c>
      <c r="G1697" s="31" t="n">
        <v>77.6</v>
      </c>
      <c r="H1697" s="37" t="n">
        <v>0.0205580029368576</v>
      </c>
      <c r="I1697" s="31" t="n">
        <v>13.3</v>
      </c>
      <c r="J1697" s="2" t="s">
        <v>2706</v>
      </c>
      <c r="K1697" s="38" t="n">
        <v>0.0448833034111311</v>
      </c>
      <c r="L1697" s="31" t="n">
        <v>28.2</v>
      </c>
      <c r="M1697" s="39" t="s">
        <v>671</v>
      </c>
      <c r="N1697" s="2" t="s">
        <v>19</v>
      </c>
      <c r="O1697" s="2" t="s">
        <v>19</v>
      </c>
      <c r="P1697" s="2" t="s">
        <v>19</v>
      </c>
      <c r="Q1697" s="2" t="s">
        <v>19</v>
      </c>
    </row>
    <row r="1698" customFormat="false" ht="15" hidden="false" customHeight="false" outlineLevel="0" collapsed="false">
      <c r="A1698" s="2" t="s">
        <v>113</v>
      </c>
      <c r="B1698" s="2" t="s">
        <v>47</v>
      </c>
      <c r="C1698" s="13" t="s">
        <v>2044</v>
      </c>
      <c r="D1698" s="35" t="n">
        <v>52423</v>
      </c>
      <c r="E1698" s="2" t="s">
        <v>667</v>
      </c>
      <c r="F1698" s="36" t="n">
        <v>2.94237262270378</v>
      </c>
      <c r="G1698" s="31" t="n">
        <v>88.8</v>
      </c>
      <c r="H1698" s="37" t="n">
        <v>0.0858119304059652</v>
      </c>
      <c r="I1698" s="31" t="n">
        <v>48.2</v>
      </c>
      <c r="J1698" s="2" t="s">
        <v>2697</v>
      </c>
      <c r="K1698" s="38" t="n">
        <v>0.221396874397067</v>
      </c>
      <c r="L1698" s="31" t="n">
        <v>87.4</v>
      </c>
      <c r="M1698" s="39" t="s">
        <v>671</v>
      </c>
      <c r="N1698" s="2" t="s">
        <v>19</v>
      </c>
      <c r="O1698" s="2" t="s">
        <v>19</v>
      </c>
      <c r="P1698" s="2" t="s">
        <v>19</v>
      </c>
      <c r="Q1698" s="2" t="s">
        <v>19</v>
      </c>
    </row>
    <row r="1699" customFormat="false" ht="15" hidden="false" customHeight="false" outlineLevel="0" collapsed="false">
      <c r="A1699" s="2" t="s">
        <v>1988</v>
      </c>
      <c r="B1699" s="2" t="s">
        <v>46</v>
      </c>
      <c r="C1699" s="16"/>
      <c r="D1699" s="29"/>
      <c r="E1699" s="2"/>
      <c r="F1699" s="30"/>
      <c r="G1699" s="31"/>
      <c r="H1699" s="32"/>
      <c r="I1699" s="31"/>
      <c r="J1699" s="2"/>
      <c r="K1699" s="33"/>
      <c r="L1699" s="31"/>
      <c r="M1699" s="34" t="s">
        <v>668</v>
      </c>
      <c r="N1699" s="2"/>
      <c r="O1699" s="2"/>
      <c r="P1699" s="2"/>
      <c r="Q1699" s="2"/>
    </row>
    <row r="1700" customFormat="false" ht="15" hidden="false" customHeight="false" outlineLevel="0" collapsed="false">
      <c r="A1700" s="2" t="s">
        <v>1988</v>
      </c>
      <c r="B1700" s="2" t="s">
        <v>47</v>
      </c>
      <c r="C1700" s="13" t="s">
        <v>1989</v>
      </c>
      <c r="D1700" s="35" t="n">
        <v>367231</v>
      </c>
      <c r="E1700" s="2" t="s">
        <v>670</v>
      </c>
      <c r="F1700" s="36" t="n">
        <v>4.72706824859557</v>
      </c>
      <c r="G1700" s="31" t="n">
        <v>96.6</v>
      </c>
      <c r="H1700" s="37" t="n">
        <v>0.0261346045300354</v>
      </c>
      <c r="I1700" s="31" t="n">
        <v>24.7</v>
      </c>
      <c r="J1700" s="2" t="s">
        <v>2701</v>
      </c>
      <c r="K1700" s="38" t="n">
        <v>0.143785929373118</v>
      </c>
      <c r="L1700" s="31" t="n">
        <v>69.3</v>
      </c>
      <c r="M1700" s="39" t="s">
        <v>671</v>
      </c>
      <c r="N1700" s="2" t="s">
        <v>19</v>
      </c>
      <c r="O1700" s="2" t="s">
        <v>19</v>
      </c>
      <c r="P1700" s="2" t="s">
        <v>19</v>
      </c>
      <c r="Q1700" s="2" t="s">
        <v>19</v>
      </c>
    </row>
    <row r="1701" customFormat="false" ht="15" hidden="false" customHeight="false" outlineLevel="0" collapsed="false">
      <c r="A1701" s="2" t="s">
        <v>80</v>
      </c>
      <c r="B1701" s="2" t="s">
        <v>45</v>
      </c>
      <c r="C1701" s="14" t="s">
        <v>679</v>
      </c>
      <c r="D1701" s="40" t="n">
        <v>2370</v>
      </c>
      <c r="E1701" s="2" t="s">
        <v>678</v>
      </c>
      <c r="F1701" s="41" t="n">
        <v>3.28691983122363</v>
      </c>
      <c r="G1701" s="31" t="n">
        <v>98.7</v>
      </c>
      <c r="H1701" s="46" t="n">
        <v>-0.00525464834276475</v>
      </c>
      <c r="I1701" s="31" t="n">
        <v>9.3</v>
      </c>
      <c r="J1701" s="2" t="s">
        <v>2713</v>
      </c>
      <c r="K1701" s="47" t="s">
        <v>680</v>
      </c>
      <c r="L1701" s="31"/>
      <c r="M1701" s="39" t="s">
        <v>671</v>
      </c>
      <c r="N1701" s="2" t="s">
        <v>21</v>
      </c>
      <c r="O1701" s="2" t="s">
        <v>21</v>
      </c>
      <c r="P1701" s="2" t="s">
        <v>17</v>
      </c>
      <c r="Q1701" s="2" t="s">
        <v>2711</v>
      </c>
    </row>
    <row r="1702" customFormat="false" ht="15" hidden="false" customHeight="false" outlineLevel="0" collapsed="false">
      <c r="A1702" s="2" t="s">
        <v>2256</v>
      </c>
      <c r="B1702" s="2" t="s">
        <v>45</v>
      </c>
      <c r="C1702" s="14" t="s">
        <v>3126</v>
      </c>
      <c r="D1702" s="40" t="n">
        <v>67340</v>
      </c>
      <c r="E1702" s="2" t="s">
        <v>667</v>
      </c>
      <c r="F1702" s="30"/>
      <c r="G1702" s="31"/>
      <c r="H1702" s="42" t="n">
        <v>0.0933593115765546</v>
      </c>
      <c r="I1702" s="31" t="n">
        <v>52.8</v>
      </c>
      <c r="J1702" s="2" t="s">
        <v>2704</v>
      </c>
      <c r="K1702" s="43" t="n">
        <v>0.198996655518395</v>
      </c>
      <c r="L1702" s="31" t="n">
        <v>70.7</v>
      </c>
      <c r="M1702" s="34" t="s">
        <v>668</v>
      </c>
      <c r="N1702" s="2" t="s">
        <v>21</v>
      </c>
      <c r="O1702" s="2"/>
      <c r="P1702" s="2" t="s">
        <v>21</v>
      </c>
      <c r="Q1702" s="2" t="s">
        <v>21</v>
      </c>
    </row>
    <row r="1703" customFormat="false" ht="15" hidden="false" customHeight="false" outlineLevel="0" collapsed="false">
      <c r="A1703" s="2" t="s">
        <v>2256</v>
      </c>
      <c r="B1703" s="2" t="s">
        <v>46</v>
      </c>
      <c r="C1703" s="16"/>
      <c r="D1703" s="29"/>
      <c r="E1703" s="2"/>
      <c r="F1703" s="30"/>
      <c r="G1703" s="31"/>
      <c r="H1703" s="32"/>
      <c r="I1703" s="31"/>
      <c r="J1703" s="2"/>
      <c r="K1703" s="33"/>
      <c r="L1703" s="31"/>
      <c r="M1703" s="34" t="s">
        <v>668</v>
      </c>
      <c r="N1703" s="2"/>
      <c r="O1703" s="2"/>
      <c r="P1703" s="2"/>
      <c r="Q1703" s="2"/>
    </row>
    <row r="1704" customFormat="false" ht="15" hidden="false" customHeight="false" outlineLevel="0" collapsed="false">
      <c r="A1704" s="2" t="s">
        <v>2256</v>
      </c>
      <c r="B1704" s="2" t="s">
        <v>47</v>
      </c>
      <c r="C1704" s="13" t="s">
        <v>2257</v>
      </c>
      <c r="D1704" s="35" t="n">
        <v>162241</v>
      </c>
      <c r="E1704" s="2" t="s">
        <v>670</v>
      </c>
      <c r="F1704" s="36" t="n">
        <v>1.46986889873706</v>
      </c>
      <c r="G1704" s="31" t="n">
        <v>58</v>
      </c>
      <c r="H1704" s="37" t="n">
        <v>0.0111623558741041</v>
      </c>
      <c r="I1704" s="31" t="n">
        <v>17.5</v>
      </c>
      <c r="J1704" s="2" t="s">
        <v>2701</v>
      </c>
      <c r="K1704" s="38" t="n">
        <v>0.133044249531881</v>
      </c>
      <c r="L1704" s="31" t="n">
        <v>66.5</v>
      </c>
      <c r="M1704" s="39" t="s">
        <v>671</v>
      </c>
      <c r="N1704" s="2" t="s">
        <v>19</v>
      </c>
      <c r="O1704" s="2" t="s">
        <v>19</v>
      </c>
      <c r="P1704" s="2" t="s">
        <v>19</v>
      </c>
      <c r="Q1704" s="2" t="s">
        <v>19</v>
      </c>
    </row>
    <row r="1705" customFormat="false" ht="15" hidden="false" customHeight="false" outlineLevel="0" collapsed="false">
      <c r="A1705" s="2" t="s">
        <v>438</v>
      </c>
      <c r="B1705" s="2" t="s">
        <v>46</v>
      </c>
      <c r="C1705" s="14" t="s">
        <v>1743</v>
      </c>
      <c r="D1705" s="40" t="n">
        <v>33730</v>
      </c>
      <c r="E1705" s="2" t="s">
        <v>667</v>
      </c>
      <c r="F1705" s="45" t="n">
        <v>2.50747722454592</v>
      </c>
      <c r="G1705" s="31" t="n">
        <v>38.9</v>
      </c>
      <c r="H1705" s="42" t="n">
        <v>0.101927474681477</v>
      </c>
      <c r="I1705" s="31" t="n">
        <v>56</v>
      </c>
      <c r="J1705" s="2" t="s">
        <v>2700</v>
      </c>
      <c r="K1705" s="43" t="n">
        <v>0.307739557739558</v>
      </c>
      <c r="L1705" s="31" t="n">
        <v>92.7</v>
      </c>
      <c r="M1705" s="39" t="s">
        <v>671</v>
      </c>
      <c r="N1705" s="2" t="s">
        <v>21</v>
      </c>
      <c r="O1705" s="2" t="s">
        <v>17</v>
      </c>
      <c r="P1705" s="2" t="s">
        <v>21</v>
      </c>
      <c r="Q1705" s="2" t="s">
        <v>21</v>
      </c>
    </row>
    <row r="1706" customFormat="false" ht="15" hidden="false" customHeight="false" outlineLevel="0" collapsed="false">
      <c r="A1706" s="2" t="s">
        <v>438</v>
      </c>
      <c r="B1706" s="2" t="s">
        <v>47</v>
      </c>
      <c r="C1706" s="13" t="s">
        <v>2345</v>
      </c>
      <c r="D1706" s="35" t="n">
        <v>38608</v>
      </c>
      <c r="E1706" s="2" t="s">
        <v>667</v>
      </c>
      <c r="F1706" s="36" t="n">
        <v>1.16333402403647</v>
      </c>
      <c r="G1706" s="31" t="n">
        <v>46.8</v>
      </c>
      <c r="H1706" s="37" t="n">
        <v>0.12108717114815</v>
      </c>
      <c r="I1706" s="31" t="n">
        <v>66</v>
      </c>
      <c r="J1706" s="2" t="s">
        <v>2697</v>
      </c>
      <c r="K1706" s="38" t="n">
        <v>0.155671902268761</v>
      </c>
      <c r="L1706" s="31" t="n">
        <v>72.6</v>
      </c>
      <c r="M1706" s="39" t="s">
        <v>671</v>
      </c>
      <c r="N1706" s="2" t="s">
        <v>19</v>
      </c>
      <c r="O1706" s="2" t="s">
        <v>19</v>
      </c>
      <c r="P1706" s="2" t="s">
        <v>19</v>
      </c>
      <c r="Q1706" s="2" t="s">
        <v>19</v>
      </c>
    </row>
    <row r="1707" customFormat="false" ht="15" hidden="false" customHeight="false" outlineLevel="0" collapsed="false">
      <c r="A1707" s="2" t="s">
        <v>183</v>
      </c>
      <c r="B1707" s="2" t="s">
        <v>45</v>
      </c>
      <c r="C1707" s="13" t="s">
        <v>958</v>
      </c>
      <c r="D1707" s="35" t="n">
        <v>7239674</v>
      </c>
      <c r="E1707" s="2" t="s">
        <v>752</v>
      </c>
      <c r="F1707" s="36" t="n">
        <v>0.735670418308891</v>
      </c>
      <c r="G1707" s="31" t="n">
        <v>60.9</v>
      </c>
      <c r="H1707" s="37" t="n">
        <v>0.0612323455903371</v>
      </c>
      <c r="I1707" s="31" t="n">
        <v>18.8</v>
      </c>
      <c r="J1707" s="2" t="s">
        <v>2712</v>
      </c>
      <c r="K1707" s="38" t="n">
        <v>0.0603880902304689</v>
      </c>
      <c r="L1707" s="31" t="n">
        <v>18</v>
      </c>
      <c r="M1707" s="39" t="s">
        <v>671</v>
      </c>
      <c r="N1707" s="2" t="s">
        <v>19</v>
      </c>
      <c r="O1707" s="2" t="s">
        <v>19</v>
      </c>
      <c r="P1707" s="2" t="s">
        <v>19</v>
      </c>
      <c r="Q1707" s="2" t="s">
        <v>19</v>
      </c>
    </row>
    <row r="1708" customFormat="false" ht="15" hidden="false" customHeight="false" outlineLevel="0" collapsed="false">
      <c r="A1708" s="2" t="s">
        <v>183</v>
      </c>
      <c r="B1708" s="2" t="s">
        <v>47</v>
      </c>
      <c r="C1708" s="13" t="s">
        <v>2060</v>
      </c>
      <c r="D1708" s="35" t="n">
        <v>13086</v>
      </c>
      <c r="E1708" s="2" t="s">
        <v>667</v>
      </c>
      <c r="F1708" s="36" t="n">
        <v>2.79084517805288</v>
      </c>
      <c r="G1708" s="31" t="n">
        <v>86.7</v>
      </c>
      <c r="H1708" s="37" t="n">
        <v>0.216057987175913</v>
      </c>
      <c r="I1708" s="31" t="n">
        <v>95.4</v>
      </c>
      <c r="J1708" s="2" t="s">
        <v>2697</v>
      </c>
      <c r="K1708" s="38" t="n">
        <v>0.0681044267877412</v>
      </c>
      <c r="L1708" s="31" t="n">
        <v>39.2</v>
      </c>
      <c r="M1708" s="39" t="s">
        <v>671</v>
      </c>
      <c r="N1708" s="2" t="s">
        <v>19</v>
      </c>
      <c r="O1708" s="2" t="s">
        <v>19</v>
      </c>
      <c r="P1708" s="2" t="s">
        <v>19</v>
      </c>
      <c r="Q1708" s="2" t="s">
        <v>19</v>
      </c>
    </row>
    <row r="1709" customFormat="false" ht="15" hidden="false" customHeight="false" outlineLevel="0" collapsed="false">
      <c r="A1709" s="2" t="s">
        <v>2032</v>
      </c>
      <c r="B1709" s="2" t="s">
        <v>46</v>
      </c>
      <c r="C1709" s="14" t="s">
        <v>3127</v>
      </c>
      <c r="D1709" s="29"/>
      <c r="E1709" s="2"/>
      <c r="F1709" s="30"/>
      <c r="G1709" s="31"/>
      <c r="H1709" s="32"/>
      <c r="I1709" s="31"/>
      <c r="J1709" s="2"/>
      <c r="K1709" s="43" t="n">
        <v>0.141705069124424</v>
      </c>
      <c r="L1709" s="31" t="n">
        <v>52.5</v>
      </c>
      <c r="M1709" s="34" t="s">
        <v>668</v>
      </c>
      <c r="N1709" s="2"/>
      <c r="O1709" s="2"/>
      <c r="P1709" s="2"/>
      <c r="Q1709" s="2" t="s">
        <v>21</v>
      </c>
    </row>
    <row r="1710" customFormat="false" ht="15" hidden="false" customHeight="false" outlineLevel="0" collapsed="false">
      <c r="A1710" s="2" t="s">
        <v>2032</v>
      </c>
      <c r="B1710" s="2" t="s">
        <v>47</v>
      </c>
      <c r="C1710" s="15" t="s">
        <v>2033</v>
      </c>
      <c r="D1710" s="44" t="n">
        <v>3840</v>
      </c>
      <c r="E1710" s="2" t="s">
        <v>678</v>
      </c>
      <c r="F1710" s="45" t="n">
        <v>3.25390625</v>
      </c>
      <c r="G1710" s="31" t="n">
        <v>90.1</v>
      </c>
      <c r="H1710" s="46" t="n">
        <v>0.0783487784330244</v>
      </c>
      <c r="I1710" s="31" t="n">
        <v>41.3</v>
      </c>
      <c r="J1710" s="2" t="s">
        <v>2706</v>
      </c>
      <c r="K1710" s="48" t="n">
        <v>0.163706563706564</v>
      </c>
      <c r="L1710" s="31" t="n">
        <v>74.5</v>
      </c>
      <c r="M1710" s="39" t="s">
        <v>671</v>
      </c>
      <c r="N1710" s="2" t="s">
        <v>17</v>
      </c>
      <c r="O1710" s="2" t="s">
        <v>17</v>
      </c>
      <c r="P1710" s="2" t="s">
        <v>17</v>
      </c>
      <c r="Q1710" s="2" t="s">
        <v>17</v>
      </c>
    </row>
    <row r="1711" customFormat="false" ht="15" hidden="false" customHeight="false" outlineLevel="0" collapsed="false">
      <c r="A1711" s="2" t="s">
        <v>1758</v>
      </c>
      <c r="B1711" s="2" t="s">
        <v>45</v>
      </c>
      <c r="C1711" s="16"/>
      <c r="D1711" s="40" t="n">
        <v>63830</v>
      </c>
      <c r="E1711" s="2" t="s">
        <v>667</v>
      </c>
      <c r="F1711" s="41" t="n">
        <v>7.28345605514648</v>
      </c>
      <c r="G1711" s="31" t="n">
        <v>99.8</v>
      </c>
      <c r="H1711" s="42" t="n">
        <v>0.0965469850541144</v>
      </c>
      <c r="I1711" s="31" t="n">
        <v>53.6</v>
      </c>
      <c r="J1711" s="2" t="s">
        <v>2704</v>
      </c>
      <c r="K1711" s="43" t="n">
        <v>0.0405873954721599</v>
      </c>
      <c r="L1711" s="31" t="n">
        <v>9.9</v>
      </c>
      <c r="M1711" s="34" t="s">
        <v>668</v>
      </c>
      <c r="N1711" s="2" t="s">
        <v>21</v>
      </c>
      <c r="O1711" s="2" t="s">
        <v>21</v>
      </c>
      <c r="P1711" s="2" t="s">
        <v>21</v>
      </c>
      <c r="Q1711" s="2" t="s">
        <v>21</v>
      </c>
    </row>
    <row r="1712" customFormat="false" ht="15" hidden="false" customHeight="false" outlineLevel="0" collapsed="false">
      <c r="A1712" s="2" t="s">
        <v>1758</v>
      </c>
      <c r="B1712" s="2" t="s">
        <v>46</v>
      </c>
      <c r="C1712" s="13" t="s">
        <v>1759</v>
      </c>
      <c r="D1712" s="35" t="n">
        <v>9405</v>
      </c>
      <c r="E1712" s="2" t="s">
        <v>678</v>
      </c>
      <c r="F1712" s="36" t="n">
        <v>2.39415204678363</v>
      </c>
      <c r="G1712" s="31" t="n">
        <v>35.5</v>
      </c>
      <c r="H1712" s="37" t="n">
        <v>0.195044472681067</v>
      </c>
      <c r="I1712" s="31" t="n">
        <v>85.4</v>
      </c>
      <c r="J1712" s="2" t="s">
        <v>2720</v>
      </c>
      <c r="K1712" s="38" t="n">
        <v>0.221411192214112</v>
      </c>
      <c r="L1712" s="31" t="n">
        <v>76.4</v>
      </c>
      <c r="M1712" s="39" t="s">
        <v>671</v>
      </c>
      <c r="N1712" s="2" t="s">
        <v>19</v>
      </c>
      <c r="O1712" s="2" t="s">
        <v>19</v>
      </c>
      <c r="P1712" s="2" t="s">
        <v>19</v>
      </c>
      <c r="Q1712" s="2" t="s">
        <v>19</v>
      </c>
    </row>
    <row r="1713" customFormat="false" ht="15" hidden="false" customHeight="false" outlineLevel="0" collapsed="false">
      <c r="A1713" s="2" t="s">
        <v>1758</v>
      </c>
      <c r="B1713" s="2" t="s">
        <v>47</v>
      </c>
      <c r="C1713" s="16"/>
      <c r="D1713" s="29"/>
      <c r="E1713" s="2"/>
      <c r="F1713" s="30"/>
      <c r="G1713" s="31"/>
      <c r="H1713" s="32"/>
      <c r="I1713" s="31"/>
      <c r="J1713" s="2"/>
      <c r="K1713" s="33"/>
      <c r="L1713" s="31"/>
      <c r="M1713" s="34" t="s">
        <v>668</v>
      </c>
      <c r="N1713" s="2"/>
      <c r="O1713" s="2"/>
      <c r="P1713" s="2"/>
      <c r="Q1713" s="2"/>
    </row>
    <row r="1714" customFormat="false" ht="15" hidden="false" customHeight="false" outlineLevel="0" collapsed="false">
      <c r="A1714" s="2" t="s">
        <v>226</v>
      </c>
      <c r="B1714" s="2" t="s">
        <v>46</v>
      </c>
      <c r="C1714" s="14" t="s">
        <v>1586</v>
      </c>
      <c r="D1714" s="40" t="n">
        <v>5120</v>
      </c>
      <c r="E1714" s="2" t="s">
        <v>678</v>
      </c>
      <c r="F1714" s="41" t="n">
        <v>4.341796875</v>
      </c>
      <c r="G1714" s="31" t="n">
        <v>67.2</v>
      </c>
      <c r="H1714" s="46" t="n">
        <v>0.0566117448246726</v>
      </c>
      <c r="I1714" s="31" t="n">
        <v>22.9</v>
      </c>
      <c r="J1714" s="2" t="s">
        <v>2720</v>
      </c>
      <c r="K1714" s="43" t="n">
        <v>0.451086956521739</v>
      </c>
      <c r="L1714" s="31" t="n">
        <v>99.2</v>
      </c>
      <c r="M1714" s="39" t="s">
        <v>671</v>
      </c>
      <c r="N1714" s="2" t="s">
        <v>21</v>
      </c>
      <c r="O1714" s="2" t="s">
        <v>21</v>
      </c>
      <c r="P1714" s="2" t="s">
        <v>17</v>
      </c>
      <c r="Q1714" s="2" t="s">
        <v>21</v>
      </c>
    </row>
    <row r="1715" customFormat="false" ht="15" hidden="false" customHeight="false" outlineLevel="0" collapsed="false">
      <c r="A1715" s="2" t="s">
        <v>3128</v>
      </c>
      <c r="B1715" s="2" t="s">
        <v>45</v>
      </c>
      <c r="C1715" s="16"/>
      <c r="D1715" s="29"/>
      <c r="E1715" s="2"/>
      <c r="F1715" s="30"/>
      <c r="G1715" s="31"/>
      <c r="H1715" s="32"/>
      <c r="I1715" s="31"/>
      <c r="J1715" s="2"/>
      <c r="K1715" s="33"/>
      <c r="L1715" s="31"/>
      <c r="M1715" s="34" t="s">
        <v>668</v>
      </c>
      <c r="N1715" s="2"/>
      <c r="O1715" s="2"/>
      <c r="P1715" s="2"/>
      <c r="Q1715" s="2"/>
    </row>
    <row r="1716" customFormat="false" ht="15" hidden="false" customHeight="false" outlineLevel="0" collapsed="false">
      <c r="A1716" s="2" t="s">
        <v>2501</v>
      </c>
      <c r="B1716" s="2" t="s">
        <v>45</v>
      </c>
      <c r="C1716" s="14" t="s">
        <v>3129</v>
      </c>
      <c r="D1716" s="29"/>
      <c r="E1716" s="2"/>
      <c r="F1716" s="30"/>
      <c r="G1716" s="31"/>
      <c r="H1716" s="32"/>
      <c r="I1716" s="31"/>
      <c r="J1716" s="2"/>
      <c r="K1716" s="43" t="n">
        <v>0.237383177570093</v>
      </c>
      <c r="L1716" s="31" t="n">
        <v>79.3</v>
      </c>
      <c r="M1716" s="34" t="s">
        <v>668</v>
      </c>
      <c r="N1716" s="2"/>
      <c r="O1716" s="2"/>
      <c r="P1716" s="2"/>
      <c r="Q1716" s="2" t="s">
        <v>21</v>
      </c>
    </row>
    <row r="1717" customFormat="false" ht="15" hidden="false" customHeight="false" outlineLevel="0" collapsed="false">
      <c r="A1717" s="2" t="s">
        <v>2501</v>
      </c>
      <c r="B1717" s="2" t="s">
        <v>46</v>
      </c>
      <c r="C1717" s="13" t="s">
        <v>3130</v>
      </c>
      <c r="D1717" s="35" t="n">
        <v>468231</v>
      </c>
      <c r="E1717" s="2" t="s">
        <v>670</v>
      </c>
      <c r="F1717" s="36" t="n">
        <v>9.58058949535593</v>
      </c>
      <c r="G1717" s="31" t="n">
        <v>95.3</v>
      </c>
      <c r="H1717" s="46" t="n">
        <v>0.173408826361246</v>
      </c>
      <c r="I1717" s="31" t="n">
        <v>90.1</v>
      </c>
      <c r="J1717" s="2" t="s">
        <v>2705</v>
      </c>
      <c r="K1717" s="33"/>
      <c r="L1717" s="31"/>
      <c r="M1717" s="34" t="s">
        <v>668</v>
      </c>
      <c r="N1717" s="2" t="s">
        <v>19</v>
      </c>
      <c r="O1717" s="2" t="s">
        <v>19</v>
      </c>
      <c r="P1717" s="2" t="s">
        <v>17</v>
      </c>
      <c r="Q1717" s="2"/>
    </row>
    <row r="1718" customFormat="false" ht="15" hidden="false" customHeight="false" outlineLevel="0" collapsed="false">
      <c r="A1718" s="2" t="s">
        <v>2501</v>
      </c>
      <c r="B1718" s="2" t="s">
        <v>47</v>
      </c>
      <c r="C1718" s="13" t="s">
        <v>2502</v>
      </c>
      <c r="D1718" s="35" t="n">
        <v>248173</v>
      </c>
      <c r="E1718" s="2" t="s">
        <v>670</v>
      </c>
      <c r="F1718" s="36" t="n">
        <v>0.790549334536795</v>
      </c>
      <c r="G1718" s="31" t="n">
        <v>26.2</v>
      </c>
      <c r="H1718" s="37" t="n">
        <v>0.20135251575676</v>
      </c>
      <c r="I1718" s="31" t="n">
        <v>91</v>
      </c>
      <c r="J1718" s="2" t="s">
        <v>2701</v>
      </c>
      <c r="K1718" s="38" t="n">
        <v>0.16243216576221</v>
      </c>
      <c r="L1718" s="31" t="n">
        <v>74.1</v>
      </c>
      <c r="M1718" s="39" t="s">
        <v>671</v>
      </c>
      <c r="N1718" s="2" t="s">
        <v>19</v>
      </c>
      <c r="O1718" s="2" t="s">
        <v>19</v>
      </c>
      <c r="P1718" s="2" t="s">
        <v>19</v>
      </c>
      <c r="Q1718" s="2" t="s">
        <v>19</v>
      </c>
    </row>
    <row r="1719" customFormat="false" ht="15" hidden="false" customHeight="false" outlineLevel="0" collapsed="false">
      <c r="A1719" s="2" t="s">
        <v>1679</v>
      </c>
      <c r="B1719" s="2" t="s">
        <v>45</v>
      </c>
      <c r="C1719" s="16"/>
      <c r="D1719" s="29"/>
      <c r="E1719" s="2"/>
      <c r="F1719" s="30"/>
      <c r="G1719" s="31"/>
      <c r="H1719" s="32"/>
      <c r="I1719" s="31"/>
      <c r="J1719" s="2"/>
      <c r="K1719" s="33"/>
      <c r="L1719" s="31"/>
      <c r="M1719" s="34" t="s">
        <v>668</v>
      </c>
      <c r="N1719" s="2"/>
      <c r="O1719" s="2"/>
      <c r="P1719" s="2"/>
      <c r="Q1719" s="2"/>
    </row>
    <row r="1720" customFormat="false" ht="15" hidden="false" customHeight="false" outlineLevel="0" collapsed="false">
      <c r="A1720" s="2" t="s">
        <v>1679</v>
      </c>
      <c r="B1720" s="2" t="s">
        <v>46</v>
      </c>
      <c r="C1720" s="13" t="s">
        <v>1680</v>
      </c>
      <c r="D1720" s="35" t="n">
        <v>124201</v>
      </c>
      <c r="E1720" s="2" t="s">
        <v>670</v>
      </c>
      <c r="F1720" s="36" t="n">
        <v>3.13720501445238</v>
      </c>
      <c r="G1720" s="31" t="n">
        <v>49.9</v>
      </c>
      <c r="H1720" s="37" t="n">
        <v>0.084525982134281</v>
      </c>
      <c r="I1720" s="31" t="n">
        <v>51</v>
      </c>
      <c r="J1720" s="2" t="s">
        <v>2705</v>
      </c>
      <c r="K1720" s="38" t="n">
        <v>0.17134703196347</v>
      </c>
      <c r="L1720" s="31" t="n">
        <v>64</v>
      </c>
      <c r="M1720" s="39" t="s">
        <v>671</v>
      </c>
      <c r="N1720" s="2" t="s">
        <v>19</v>
      </c>
      <c r="O1720" s="2" t="s">
        <v>19</v>
      </c>
      <c r="P1720" s="2" t="s">
        <v>19</v>
      </c>
      <c r="Q1720" s="2" t="s">
        <v>19</v>
      </c>
    </row>
    <row r="1721" customFormat="false" ht="15" hidden="false" customHeight="false" outlineLevel="0" collapsed="false">
      <c r="A1721" s="2" t="s">
        <v>1679</v>
      </c>
      <c r="B1721" s="2" t="s">
        <v>47</v>
      </c>
      <c r="C1721" s="13" t="s">
        <v>2640</v>
      </c>
      <c r="D1721" s="35" t="n">
        <v>55202</v>
      </c>
      <c r="E1721" s="2" t="s">
        <v>667</v>
      </c>
      <c r="F1721" s="36" t="n">
        <v>0.362867287417123</v>
      </c>
      <c r="G1721" s="31" t="n">
        <v>6.5</v>
      </c>
      <c r="H1721" s="37" t="n">
        <v>-0.0241651788081812</v>
      </c>
      <c r="I1721" s="31" t="n">
        <v>7.1</v>
      </c>
      <c r="J1721" s="2" t="s">
        <v>2697</v>
      </c>
      <c r="K1721" s="38" t="n">
        <v>0.0327868852459016</v>
      </c>
      <c r="L1721" s="31" t="n">
        <v>20.6</v>
      </c>
      <c r="M1721" s="39" t="s">
        <v>671</v>
      </c>
      <c r="N1721" s="2" t="s">
        <v>19</v>
      </c>
      <c r="O1721" s="2" t="s">
        <v>19</v>
      </c>
      <c r="P1721" s="2" t="s">
        <v>19</v>
      </c>
      <c r="Q1721" s="2" t="s">
        <v>19</v>
      </c>
    </row>
    <row r="1722" customFormat="false" ht="15" hidden="false" customHeight="false" outlineLevel="0" collapsed="false">
      <c r="A1722" s="2" t="s">
        <v>2056</v>
      </c>
      <c r="B1722" s="2" t="s">
        <v>46</v>
      </c>
      <c r="C1722" s="16"/>
      <c r="D1722" s="29"/>
      <c r="E1722" s="2"/>
      <c r="F1722" s="30"/>
      <c r="G1722" s="31"/>
      <c r="H1722" s="32"/>
      <c r="I1722" s="31"/>
      <c r="J1722" s="2"/>
      <c r="K1722" s="33"/>
      <c r="L1722" s="31"/>
      <c r="M1722" s="34" t="s">
        <v>668</v>
      </c>
      <c r="N1722" s="2"/>
      <c r="O1722" s="2"/>
      <c r="P1722" s="2"/>
      <c r="Q1722" s="2"/>
    </row>
    <row r="1723" customFormat="false" ht="15" hidden="false" customHeight="false" outlineLevel="0" collapsed="false">
      <c r="A1723" s="2" t="s">
        <v>2056</v>
      </c>
      <c r="B1723" s="2" t="s">
        <v>47</v>
      </c>
      <c r="C1723" s="13" t="s">
        <v>2057</v>
      </c>
      <c r="D1723" s="35" t="n">
        <v>46497</v>
      </c>
      <c r="E1723" s="2" t="s">
        <v>667</v>
      </c>
      <c r="F1723" s="36" t="n">
        <v>2.828311503968</v>
      </c>
      <c r="G1723" s="31" t="n">
        <v>87.3</v>
      </c>
      <c r="H1723" s="37" t="n">
        <v>0.173988789577337</v>
      </c>
      <c r="I1723" s="31" t="n">
        <v>89</v>
      </c>
      <c r="J1723" s="2" t="s">
        <v>2697</v>
      </c>
      <c r="K1723" s="38" t="n">
        <v>0.0288582183186951</v>
      </c>
      <c r="L1723" s="31" t="n">
        <v>18.3</v>
      </c>
      <c r="M1723" s="39" t="s">
        <v>671</v>
      </c>
      <c r="N1723" s="2" t="s">
        <v>19</v>
      </c>
      <c r="O1723" s="2" t="s">
        <v>19</v>
      </c>
      <c r="P1723" s="2" t="s">
        <v>19</v>
      </c>
      <c r="Q1723" s="2" t="s">
        <v>19</v>
      </c>
    </row>
    <row r="1724" customFormat="false" ht="15" hidden="false" customHeight="false" outlineLevel="0" collapsed="false">
      <c r="A1724" s="2" t="s">
        <v>2619</v>
      </c>
      <c r="B1724" s="2" t="s">
        <v>45</v>
      </c>
      <c r="C1724" s="16"/>
      <c r="D1724" s="29"/>
      <c r="E1724" s="2"/>
      <c r="F1724" s="30"/>
      <c r="G1724" s="31"/>
      <c r="H1724" s="32"/>
      <c r="I1724" s="31"/>
      <c r="J1724" s="2"/>
      <c r="K1724" s="33"/>
      <c r="L1724" s="31"/>
      <c r="M1724" s="34" t="s">
        <v>668</v>
      </c>
      <c r="N1724" s="2"/>
      <c r="O1724" s="2"/>
      <c r="P1724" s="2"/>
      <c r="Q1724" s="2"/>
    </row>
    <row r="1725" customFormat="false" ht="15" hidden="false" customHeight="false" outlineLevel="0" collapsed="false">
      <c r="A1725" s="2" t="s">
        <v>2619</v>
      </c>
      <c r="B1725" s="2" t="s">
        <v>46</v>
      </c>
      <c r="C1725" s="15" t="s">
        <v>3131</v>
      </c>
      <c r="D1725" s="29"/>
      <c r="E1725" s="2"/>
      <c r="F1725" s="30"/>
      <c r="G1725" s="31"/>
      <c r="H1725" s="32"/>
      <c r="I1725" s="31"/>
      <c r="J1725" s="2"/>
      <c r="K1725" s="33"/>
      <c r="L1725" s="31"/>
      <c r="M1725" s="34" t="s">
        <v>668</v>
      </c>
      <c r="N1725" s="2"/>
      <c r="O1725" s="2"/>
      <c r="P1725" s="2"/>
      <c r="Q1725" s="2"/>
    </row>
    <row r="1726" customFormat="false" ht="15" hidden="false" customHeight="false" outlineLevel="0" collapsed="false">
      <c r="A1726" s="2" t="s">
        <v>2619</v>
      </c>
      <c r="B1726" s="2" t="s">
        <v>47</v>
      </c>
      <c r="C1726" s="13" t="s">
        <v>2620</v>
      </c>
      <c r="D1726" s="35" t="n">
        <v>60806</v>
      </c>
      <c r="E1726" s="2" t="s">
        <v>667</v>
      </c>
      <c r="F1726" s="36" t="n">
        <v>0.490609479327698</v>
      </c>
      <c r="G1726" s="31" t="n">
        <v>11</v>
      </c>
      <c r="H1726" s="37" t="n">
        <v>0.138923748337673</v>
      </c>
      <c r="I1726" s="31" t="n">
        <v>71.6</v>
      </c>
      <c r="J1726" s="2" t="s">
        <v>2697</v>
      </c>
      <c r="K1726" s="38" t="n">
        <v>0.1</v>
      </c>
      <c r="L1726" s="31" t="n">
        <v>54.8</v>
      </c>
      <c r="M1726" s="39" t="s">
        <v>671</v>
      </c>
      <c r="N1726" s="2" t="s">
        <v>19</v>
      </c>
      <c r="O1726" s="2" t="s">
        <v>19</v>
      </c>
      <c r="P1726" s="2" t="s">
        <v>19</v>
      </c>
      <c r="Q1726" s="2" t="s">
        <v>19</v>
      </c>
    </row>
    <row r="1727" customFormat="false" ht="15" hidden="false" customHeight="false" outlineLevel="0" collapsed="false">
      <c r="A1727" s="2" t="s">
        <v>1436</v>
      </c>
      <c r="B1727" s="2" t="s">
        <v>45</v>
      </c>
      <c r="C1727" s="16"/>
      <c r="D1727" s="29"/>
      <c r="E1727" s="2"/>
      <c r="F1727" s="30"/>
      <c r="G1727" s="31"/>
      <c r="H1727" s="32"/>
      <c r="I1727" s="31"/>
      <c r="J1727" s="2"/>
      <c r="K1727" s="33"/>
      <c r="L1727" s="31"/>
      <c r="M1727" s="34" t="s">
        <v>668</v>
      </c>
      <c r="N1727" s="2"/>
      <c r="O1727" s="2"/>
      <c r="P1727" s="2"/>
      <c r="Q1727" s="2"/>
    </row>
    <row r="1728" customFormat="false" ht="15" hidden="false" customHeight="false" outlineLevel="0" collapsed="false">
      <c r="A1728" s="2" t="s">
        <v>1436</v>
      </c>
      <c r="B1728" s="2" t="s">
        <v>46</v>
      </c>
      <c r="C1728" s="13" t="s">
        <v>1437</v>
      </c>
      <c r="D1728" s="35" t="n">
        <v>72455</v>
      </c>
      <c r="E1728" s="2" t="s">
        <v>667</v>
      </c>
      <c r="F1728" s="36" t="n">
        <v>8.05261196604789</v>
      </c>
      <c r="G1728" s="31" t="n">
        <v>90.5</v>
      </c>
      <c r="H1728" s="37" t="n">
        <v>0.0775259510425032</v>
      </c>
      <c r="I1728" s="31" t="n">
        <v>44</v>
      </c>
      <c r="J1728" s="2" t="s">
        <v>2700</v>
      </c>
      <c r="K1728" s="38" t="n">
        <v>0.121479801708681</v>
      </c>
      <c r="L1728" s="31" t="n">
        <v>42.7</v>
      </c>
      <c r="M1728" s="39" t="s">
        <v>671</v>
      </c>
      <c r="N1728" s="2" t="s">
        <v>19</v>
      </c>
      <c r="O1728" s="2" t="s">
        <v>19</v>
      </c>
      <c r="P1728" s="2" t="s">
        <v>19</v>
      </c>
      <c r="Q1728" s="2" t="s">
        <v>19</v>
      </c>
    </row>
    <row r="1729" customFormat="false" ht="15" hidden="false" customHeight="false" outlineLevel="0" collapsed="false">
      <c r="A1729" s="2" t="s">
        <v>1436</v>
      </c>
      <c r="B1729" s="2" t="s">
        <v>47</v>
      </c>
      <c r="C1729" s="13" t="s">
        <v>2262</v>
      </c>
      <c r="D1729" s="35" t="n">
        <v>441711</v>
      </c>
      <c r="E1729" s="2" t="s">
        <v>670</v>
      </c>
      <c r="F1729" s="36" t="n">
        <v>1.45863924602285</v>
      </c>
      <c r="G1729" s="31" t="n">
        <v>57.2</v>
      </c>
      <c r="H1729" s="37" t="n">
        <v>0.22955364723239</v>
      </c>
      <c r="I1729" s="31" t="n">
        <v>94</v>
      </c>
      <c r="J1729" s="2" t="s">
        <v>2701</v>
      </c>
      <c r="K1729" s="38" t="n">
        <v>0.169192172604114</v>
      </c>
      <c r="L1729" s="31" t="n">
        <v>77</v>
      </c>
      <c r="M1729" s="39" t="s">
        <v>671</v>
      </c>
      <c r="N1729" s="2" t="s">
        <v>19</v>
      </c>
      <c r="O1729" s="2" t="s">
        <v>19</v>
      </c>
      <c r="P1729" s="2" t="s">
        <v>19</v>
      </c>
      <c r="Q1729" s="2" t="s">
        <v>19</v>
      </c>
    </row>
    <row r="1730" customFormat="false" ht="15" hidden="false" customHeight="false" outlineLevel="0" collapsed="false">
      <c r="A1730" s="2" t="s">
        <v>1381</v>
      </c>
      <c r="B1730" s="2" t="s">
        <v>45</v>
      </c>
      <c r="C1730" s="14" t="s">
        <v>3132</v>
      </c>
      <c r="D1730" s="40" t="n">
        <v>1358160</v>
      </c>
      <c r="E1730" s="2" t="s">
        <v>752</v>
      </c>
      <c r="F1730" s="30"/>
      <c r="G1730" s="31"/>
      <c r="H1730" s="42" t="n">
        <v>0.126253202975346</v>
      </c>
      <c r="I1730" s="31" t="n">
        <v>62.5</v>
      </c>
      <c r="J1730" s="2" t="s">
        <v>2712</v>
      </c>
      <c r="K1730" s="43" t="n">
        <v>0.277794630668891</v>
      </c>
      <c r="L1730" s="31" t="n">
        <v>87</v>
      </c>
      <c r="M1730" s="34" t="s">
        <v>668</v>
      </c>
      <c r="N1730" s="2" t="s">
        <v>21</v>
      </c>
      <c r="O1730" s="2"/>
      <c r="P1730" s="2" t="s">
        <v>21</v>
      </c>
      <c r="Q1730" s="2" t="s">
        <v>21</v>
      </c>
    </row>
    <row r="1731" customFormat="false" ht="15" hidden="false" customHeight="false" outlineLevel="0" collapsed="false">
      <c r="A1731" s="2" t="s">
        <v>1381</v>
      </c>
      <c r="B1731" s="2" t="s">
        <v>46</v>
      </c>
      <c r="C1731" s="13" t="s">
        <v>1382</v>
      </c>
      <c r="D1731" s="35" t="n">
        <v>140380</v>
      </c>
      <c r="E1731" s="2" t="s">
        <v>670</v>
      </c>
      <c r="F1731" s="36" t="n">
        <v>12.0775395355464</v>
      </c>
      <c r="G1731" s="31" t="n">
        <v>98.5</v>
      </c>
      <c r="H1731" s="37" t="n">
        <v>0.0697738218618545</v>
      </c>
      <c r="I1731" s="31" t="n">
        <v>42.4</v>
      </c>
      <c r="J1731" s="2" t="s">
        <v>2705</v>
      </c>
      <c r="K1731" s="38" t="n">
        <v>0.154492946227765</v>
      </c>
      <c r="L1731" s="31" t="n">
        <v>59.1</v>
      </c>
      <c r="M1731" s="39" t="s">
        <v>671</v>
      </c>
      <c r="N1731" s="2" t="s">
        <v>19</v>
      </c>
      <c r="O1731" s="2" t="s">
        <v>19</v>
      </c>
      <c r="P1731" s="2" t="s">
        <v>19</v>
      </c>
      <c r="Q1731" s="2" t="s">
        <v>19</v>
      </c>
    </row>
    <row r="1732" customFormat="false" ht="15" hidden="false" customHeight="false" outlineLevel="0" collapsed="false">
      <c r="A1732" s="2" t="s">
        <v>254</v>
      </c>
      <c r="B1732" s="2" t="s">
        <v>46</v>
      </c>
      <c r="C1732" s="13" t="s">
        <v>1628</v>
      </c>
      <c r="D1732" s="35" t="n">
        <v>184753</v>
      </c>
      <c r="E1732" s="2" t="s">
        <v>670</v>
      </c>
      <c r="F1732" s="36" t="n">
        <v>3.70274907579309</v>
      </c>
      <c r="G1732" s="31" t="n">
        <v>57.9</v>
      </c>
      <c r="H1732" s="37" t="n">
        <v>0.0908055002863503</v>
      </c>
      <c r="I1732" s="31" t="n">
        <v>57</v>
      </c>
      <c r="J1732" s="2" t="s">
        <v>2705</v>
      </c>
      <c r="K1732" s="38" t="n">
        <v>0.29724978023358</v>
      </c>
      <c r="L1732" s="31" t="n">
        <v>90.7</v>
      </c>
      <c r="M1732" s="39" t="s">
        <v>671</v>
      </c>
      <c r="N1732" s="2" t="s">
        <v>19</v>
      </c>
      <c r="O1732" s="2" t="s">
        <v>19</v>
      </c>
      <c r="P1732" s="2" t="s">
        <v>19</v>
      </c>
      <c r="Q1732" s="2" t="s">
        <v>19</v>
      </c>
    </row>
    <row r="1733" customFormat="false" ht="15" hidden="false" customHeight="false" outlineLevel="0" collapsed="false">
      <c r="A1733" s="2" t="s">
        <v>254</v>
      </c>
      <c r="B1733" s="2" t="s">
        <v>47</v>
      </c>
      <c r="C1733" s="14" t="s">
        <v>2176</v>
      </c>
      <c r="D1733" s="40" t="n">
        <v>27580</v>
      </c>
      <c r="E1733" s="2" t="s">
        <v>667</v>
      </c>
      <c r="F1733" s="41" t="n">
        <v>1.82868020304569</v>
      </c>
      <c r="G1733" s="31" t="n">
        <v>68.8</v>
      </c>
      <c r="H1733" s="42" t="n">
        <v>0.0781860828772479</v>
      </c>
      <c r="I1733" s="31" t="n">
        <v>43.3</v>
      </c>
      <c r="J1733" s="2" t="s">
        <v>2697</v>
      </c>
      <c r="K1733" s="43" t="n">
        <v>0.203805708562844</v>
      </c>
      <c r="L1733" s="31" t="n">
        <v>83.4</v>
      </c>
      <c r="M1733" s="39" t="s">
        <v>671</v>
      </c>
      <c r="N1733" s="2" t="s">
        <v>21</v>
      </c>
      <c r="O1733" s="2" t="s">
        <v>21</v>
      </c>
      <c r="P1733" s="2" t="s">
        <v>21</v>
      </c>
      <c r="Q1733" s="2" t="s">
        <v>21</v>
      </c>
    </row>
    <row r="1734" customFormat="false" ht="15" hidden="false" customHeight="false" outlineLevel="0" collapsed="false">
      <c r="A1734" s="2" t="s">
        <v>458</v>
      </c>
      <c r="B1734" s="2" t="s">
        <v>45</v>
      </c>
      <c r="C1734" s="13" t="s">
        <v>1362</v>
      </c>
      <c r="D1734" s="35" t="n">
        <v>14246</v>
      </c>
      <c r="E1734" s="2" t="s">
        <v>667</v>
      </c>
      <c r="F1734" s="36" t="n">
        <v>0.115190228836165</v>
      </c>
      <c r="G1734" s="31" t="n">
        <v>3</v>
      </c>
      <c r="H1734" s="37" t="n">
        <v>0.141140660044857</v>
      </c>
      <c r="I1734" s="31" t="n">
        <v>74.2</v>
      </c>
      <c r="J1734" s="2" t="s">
        <v>2704</v>
      </c>
      <c r="K1734" s="38" t="n">
        <v>0.202247191011236</v>
      </c>
      <c r="L1734" s="31" t="n">
        <v>71.3</v>
      </c>
      <c r="M1734" s="39" t="s">
        <v>671</v>
      </c>
      <c r="N1734" s="2" t="s">
        <v>19</v>
      </c>
      <c r="O1734" s="2" t="s">
        <v>19</v>
      </c>
      <c r="P1734" s="2" t="s">
        <v>19</v>
      </c>
      <c r="Q1734" s="2" t="s">
        <v>19</v>
      </c>
    </row>
    <row r="1735" customFormat="false" ht="15" hidden="false" customHeight="false" outlineLevel="0" collapsed="false">
      <c r="A1735" s="2" t="s">
        <v>458</v>
      </c>
      <c r="B1735" s="2" t="s">
        <v>46</v>
      </c>
      <c r="C1735" s="14" t="s">
        <v>1514</v>
      </c>
      <c r="D1735" s="40" t="n">
        <v>285010</v>
      </c>
      <c r="E1735" s="2" t="s">
        <v>670</v>
      </c>
      <c r="F1735" s="41" t="n">
        <v>5.64319497561489</v>
      </c>
      <c r="G1735" s="31" t="n">
        <v>79.5</v>
      </c>
      <c r="H1735" s="42" t="n">
        <v>0.0933747650285802</v>
      </c>
      <c r="I1735" s="31" t="n">
        <v>59.6</v>
      </c>
      <c r="J1735" s="2" t="s">
        <v>2705</v>
      </c>
      <c r="K1735" s="43" t="n">
        <v>0.145396526469973</v>
      </c>
      <c r="L1735" s="31" t="n">
        <v>54.7</v>
      </c>
      <c r="M1735" s="39" t="s">
        <v>671</v>
      </c>
      <c r="N1735" s="2" t="s">
        <v>21</v>
      </c>
      <c r="O1735" s="2" t="s">
        <v>21</v>
      </c>
      <c r="P1735" s="2" t="s">
        <v>21</v>
      </c>
      <c r="Q1735" s="2" t="s">
        <v>21</v>
      </c>
    </row>
    <row r="1736" customFormat="false" ht="15" hidden="false" customHeight="false" outlineLevel="0" collapsed="false">
      <c r="A1736" s="2" t="s">
        <v>458</v>
      </c>
      <c r="B1736" s="2" t="s">
        <v>47</v>
      </c>
      <c r="C1736" s="13" t="s">
        <v>2396</v>
      </c>
      <c r="D1736" s="35" t="n">
        <v>3888</v>
      </c>
      <c r="E1736" s="2" t="s">
        <v>678</v>
      </c>
      <c r="F1736" s="36" t="n">
        <v>1.04063786008231</v>
      </c>
      <c r="G1736" s="31" t="n">
        <v>39.5</v>
      </c>
      <c r="H1736" s="37" t="n">
        <v>0.192638036809816</v>
      </c>
      <c r="I1736" s="31" t="n">
        <v>89.3</v>
      </c>
      <c r="J1736" s="2" t="s">
        <v>2706</v>
      </c>
      <c r="K1736" s="38" t="n">
        <v>0.404624277456647</v>
      </c>
      <c r="L1736" s="31" t="n">
        <v>98.7</v>
      </c>
      <c r="M1736" s="39" t="s">
        <v>671</v>
      </c>
      <c r="N1736" s="2" t="s">
        <v>19</v>
      </c>
      <c r="O1736" s="2" t="s">
        <v>19</v>
      </c>
      <c r="P1736" s="2" t="s">
        <v>19</v>
      </c>
      <c r="Q1736" s="2" t="s">
        <v>19</v>
      </c>
    </row>
    <row r="1737" customFormat="false" ht="15" hidden="false" customHeight="false" outlineLevel="0" collapsed="false">
      <c r="A1737" s="2" t="s">
        <v>3133</v>
      </c>
      <c r="B1737" s="2" t="s">
        <v>46</v>
      </c>
      <c r="C1737" s="16"/>
      <c r="D1737" s="29"/>
      <c r="E1737" s="2"/>
      <c r="F1737" s="30"/>
      <c r="G1737" s="31"/>
      <c r="H1737" s="32"/>
      <c r="I1737" s="31"/>
      <c r="J1737" s="2"/>
      <c r="K1737" s="33"/>
      <c r="L1737" s="31"/>
      <c r="M1737" s="34" t="s">
        <v>668</v>
      </c>
      <c r="N1737" s="2"/>
      <c r="O1737" s="2"/>
      <c r="P1737" s="2"/>
      <c r="Q1737" s="2"/>
    </row>
    <row r="1738" customFormat="false" ht="15" hidden="false" customHeight="false" outlineLevel="0" collapsed="false">
      <c r="A1738" s="2" t="s">
        <v>2517</v>
      </c>
      <c r="B1738" s="2" t="s">
        <v>45</v>
      </c>
      <c r="C1738" s="16"/>
      <c r="D1738" s="29"/>
      <c r="E1738" s="2"/>
      <c r="F1738" s="30"/>
      <c r="G1738" s="31"/>
      <c r="H1738" s="32"/>
      <c r="I1738" s="31"/>
      <c r="J1738" s="2"/>
      <c r="K1738" s="33"/>
      <c r="L1738" s="31"/>
      <c r="M1738" s="34" t="s">
        <v>668</v>
      </c>
      <c r="N1738" s="2"/>
      <c r="O1738" s="2"/>
      <c r="P1738" s="2"/>
      <c r="Q1738" s="2"/>
    </row>
    <row r="1739" customFormat="false" ht="15" hidden="false" customHeight="false" outlineLevel="0" collapsed="false">
      <c r="A1739" s="2" t="s">
        <v>2517</v>
      </c>
      <c r="B1739" s="2" t="s">
        <v>46</v>
      </c>
      <c r="C1739" s="15" t="s">
        <v>3134</v>
      </c>
      <c r="D1739" s="44" t="n">
        <v>20153</v>
      </c>
      <c r="E1739" s="2" t="s">
        <v>667</v>
      </c>
      <c r="F1739" s="45" t="n">
        <v>4.46866471493078</v>
      </c>
      <c r="G1739" s="31" t="n">
        <v>68.5</v>
      </c>
      <c r="H1739" s="46" t="n">
        <v>0.139617733544447</v>
      </c>
      <c r="I1739" s="31" t="n">
        <v>75.1</v>
      </c>
      <c r="J1739" s="2" t="s">
        <v>2700</v>
      </c>
      <c r="K1739" s="33"/>
      <c r="L1739" s="31"/>
      <c r="M1739" s="34" t="s">
        <v>668</v>
      </c>
      <c r="N1739" s="2" t="s">
        <v>17</v>
      </c>
      <c r="O1739" s="2" t="s">
        <v>17</v>
      </c>
      <c r="P1739" s="2" t="s">
        <v>17</v>
      </c>
      <c r="Q1739" s="2"/>
    </row>
    <row r="1740" customFormat="false" ht="15" hidden="false" customHeight="false" outlineLevel="0" collapsed="false">
      <c r="A1740" s="2" t="s">
        <v>2517</v>
      </c>
      <c r="B1740" s="2" t="s">
        <v>47</v>
      </c>
      <c r="C1740" s="13" t="s">
        <v>2518</v>
      </c>
      <c r="D1740" s="35" t="n">
        <v>20513</v>
      </c>
      <c r="E1740" s="2" t="s">
        <v>667</v>
      </c>
      <c r="F1740" s="36" t="n">
        <v>0.762199580753668</v>
      </c>
      <c r="G1740" s="31" t="n">
        <v>24.9</v>
      </c>
      <c r="H1740" s="37" t="n">
        <v>0.0613100165562914</v>
      </c>
      <c r="I1740" s="31" t="n">
        <v>35.8</v>
      </c>
      <c r="J1740" s="2" t="s">
        <v>2697</v>
      </c>
      <c r="K1740" s="38" t="n">
        <v>0.0302439024390244</v>
      </c>
      <c r="L1740" s="31" t="n">
        <v>19.6</v>
      </c>
      <c r="M1740" s="39" t="s">
        <v>671</v>
      </c>
      <c r="N1740" s="2" t="s">
        <v>19</v>
      </c>
      <c r="O1740" s="2" t="s">
        <v>19</v>
      </c>
      <c r="P1740" s="2" t="s">
        <v>19</v>
      </c>
      <c r="Q1740" s="2" t="s">
        <v>19</v>
      </c>
    </row>
    <row r="1741" customFormat="false" ht="15" hidden="false" customHeight="false" outlineLevel="0" collapsed="false">
      <c r="A1741" s="2" t="s">
        <v>3135</v>
      </c>
      <c r="B1741" s="2" t="s">
        <v>45</v>
      </c>
      <c r="C1741" s="16"/>
      <c r="D1741" s="29"/>
      <c r="E1741" s="2"/>
      <c r="F1741" s="30"/>
      <c r="G1741" s="31"/>
      <c r="H1741" s="32"/>
      <c r="I1741" s="31"/>
      <c r="J1741" s="2"/>
      <c r="K1741" s="33"/>
      <c r="L1741" s="31"/>
      <c r="M1741" s="34" t="s">
        <v>668</v>
      </c>
      <c r="N1741" s="2"/>
      <c r="O1741" s="2"/>
      <c r="P1741" s="2"/>
      <c r="Q1741" s="2"/>
    </row>
    <row r="1742" customFormat="false" ht="15" hidden="false" customHeight="false" outlineLevel="0" collapsed="false">
      <c r="A1742" s="2" t="s">
        <v>3135</v>
      </c>
      <c r="B1742" s="2" t="s">
        <v>46</v>
      </c>
      <c r="C1742" s="14" t="s">
        <v>3136</v>
      </c>
      <c r="D1742" s="40" t="n">
        <v>34160</v>
      </c>
      <c r="E1742" s="2" t="s">
        <v>667</v>
      </c>
      <c r="F1742" s="41" t="n">
        <v>1.6269906323185</v>
      </c>
      <c r="G1742" s="31" t="n">
        <v>18.2</v>
      </c>
      <c r="H1742" s="32"/>
      <c r="I1742" s="31"/>
      <c r="J1742" s="2"/>
      <c r="K1742" s="33"/>
      <c r="L1742" s="31"/>
      <c r="M1742" s="34" t="s">
        <v>668</v>
      </c>
      <c r="N1742" s="2" t="s">
        <v>21</v>
      </c>
      <c r="O1742" s="2" t="s">
        <v>21</v>
      </c>
      <c r="P1742" s="2"/>
      <c r="Q1742" s="2"/>
    </row>
    <row r="1743" customFormat="false" ht="15" hidden="false" customHeight="false" outlineLevel="0" collapsed="false">
      <c r="A1743" s="2" t="s">
        <v>3135</v>
      </c>
      <c r="B1743" s="2" t="s">
        <v>47</v>
      </c>
      <c r="C1743" s="13" t="s">
        <v>3137</v>
      </c>
      <c r="D1743" s="35" t="n">
        <v>183758</v>
      </c>
      <c r="E1743" s="2" t="s">
        <v>670</v>
      </c>
      <c r="F1743" s="36" t="n">
        <v>0.364795002122357</v>
      </c>
      <c r="G1743" s="31" t="n">
        <v>6.8</v>
      </c>
      <c r="H1743" s="37" t="n">
        <v>0.14656700027454</v>
      </c>
      <c r="I1743" s="31" t="n">
        <v>79.5</v>
      </c>
      <c r="J1743" s="2" t="s">
        <v>2701</v>
      </c>
      <c r="K1743" s="33"/>
      <c r="L1743" s="31"/>
      <c r="M1743" s="34" t="s">
        <v>668</v>
      </c>
      <c r="N1743" s="2" t="s">
        <v>19</v>
      </c>
      <c r="O1743" s="2" t="s">
        <v>19</v>
      </c>
      <c r="P1743" s="2" t="s">
        <v>19</v>
      </c>
      <c r="Q1743" s="2"/>
    </row>
    <row r="1744" customFormat="false" ht="15" hidden="false" customHeight="false" outlineLevel="0" collapsed="false">
      <c r="A1744" s="2" t="s">
        <v>1493</v>
      </c>
      <c r="B1744" s="2" t="s">
        <v>46</v>
      </c>
      <c r="C1744" s="14" t="s">
        <v>1494</v>
      </c>
      <c r="D1744" s="40" t="n">
        <v>18510</v>
      </c>
      <c r="E1744" s="2" t="s">
        <v>667</v>
      </c>
      <c r="F1744" s="41" t="n">
        <v>6.2290113452188</v>
      </c>
      <c r="G1744" s="31" t="n">
        <v>82.5</v>
      </c>
      <c r="H1744" s="42" t="n">
        <v>0.0487252124645892</v>
      </c>
      <c r="I1744" s="31" t="n">
        <v>27.8</v>
      </c>
      <c r="J1744" s="2" t="s">
        <v>2700</v>
      </c>
      <c r="K1744" s="43" t="n">
        <v>0.153934028273597</v>
      </c>
      <c r="L1744" s="31" t="n">
        <v>58.5</v>
      </c>
      <c r="M1744" s="39" t="s">
        <v>671</v>
      </c>
      <c r="N1744" s="2" t="s">
        <v>21</v>
      </c>
      <c r="O1744" s="2" t="s">
        <v>21</v>
      </c>
      <c r="P1744" s="2" t="s">
        <v>21</v>
      </c>
      <c r="Q1744" s="2" t="s">
        <v>21</v>
      </c>
    </row>
    <row r="1745" customFormat="false" ht="15" hidden="false" customHeight="false" outlineLevel="0" collapsed="false">
      <c r="A1745" s="2" t="s">
        <v>1493</v>
      </c>
      <c r="B1745" s="2" t="s">
        <v>47</v>
      </c>
      <c r="C1745" s="16"/>
      <c r="D1745" s="29"/>
      <c r="E1745" s="2"/>
      <c r="F1745" s="30"/>
      <c r="G1745" s="31"/>
      <c r="H1745" s="32"/>
      <c r="I1745" s="31"/>
      <c r="J1745" s="2"/>
      <c r="K1745" s="33"/>
      <c r="L1745" s="31"/>
      <c r="M1745" s="34" t="s">
        <v>668</v>
      </c>
      <c r="N1745" s="2"/>
      <c r="O1745" s="2"/>
      <c r="P1745" s="2"/>
      <c r="Q1745" s="2"/>
    </row>
    <row r="1746" customFormat="false" ht="15" hidden="false" customHeight="false" outlineLevel="0" collapsed="false">
      <c r="A1746" s="2" t="s">
        <v>128</v>
      </c>
      <c r="B1746" s="2" t="s">
        <v>45</v>
      </c>
      <c r="C1746" s="14" t="s">
        <v>782</v>
      </c>
      <c r="D1746" s="40" t="n">
        <v>19040</v>
      </c>
      <c r="E1746" s="2" t="s">
        <v>667</v>
      </c>
      <c r="F1746" s="41" t="n">
        <v>1.32384453781513</v>
      </c>
      <c r="G1746" s="31" t="n">
        <v>85.7</v>
      </c>
      <c r="H1746" s="46" t="n">
        <v>-0.0961375412152614</v>
      </c>
      <c r="I1746" s="31" t="n">
        <v>1.2</v>
      </c>
      <c r="J1746" s="2" t="s">
        <v>2704</v>
      </c>
      <c r="K1746" s="43" t="n">
        <v>0.339015151515152</v>
      </c>
      <c r="L1746" s="31" t="n">
        <v>94.5</v>
      </c>
      <c r="M1746" s="39" t="s">
        <v>671</v>
      </c>
      <c r="N1746" s="2" t="s">
        <v>21</v>
      </c>
      <c r="O1746" s="2" t="s">
        <v>21</v>
      </c>
      <c r="P1746" s="2" t="s">
        <v>17</v>
      </c>
      <c r="Q1746" s="2" t="s">
        <v>21</v>
      </c>
    </row>
    <row r="1747" customFormat="false" ht="15" hidden="false" customHeight="false" outlineLevel="0" collapsed="false">
      <c r="A1747" s="2" t="s">
        <v>128</v>
      </c>
      <c r="B1747" s="2" t="s">
        <v>46</v>
      </c>
      <c r="C1747" s="13" t="s">
        <v>1548</v>
      </c>
      <c r="D1747" s="35" t="n">
        <v>99558</v>
      </c>
      <c r="E1747" s="2" t="s">
        <v>667</v>
      </c>
      <c r="F1747" s="36" t="n">
        <v>5.01806986882019</v>
      </c>
      <c r="G1747" s="31" t="n">
        <v>72.9</v>
      </c>
      <c r="H1747" s="37" t="n">
        <v>0.155836767864399</v>
      </c>
      <c r="I1747" s="31" t="n">
        <v>82.2</v>
      </c>
      <c r="J1747" s="2" t="s">
        <v>2700</v>
      </c>
      <c r="K1747" s="38" t="n">
        <v>0.0481820076829159</v>
      </c>
      <c r="L1747" s="31" t="n">
        <v>12.4</v>
      </c>
      <c r="M1747" s="39" t="s">
        <v>671</v>
      </c>
      <c r="N1747" s="2" t="s">
        <v>19</v>
      </c>
      <c r="O1747" s="2" t="s">
        <v>19</v>
      </c>
      <c r="P1747" s="2" t="s">
        <v>19</v>
      </c>
      <c r="Q1747" s="2" t="s">
        <v>19</v>
      </c>
    </row>
    <row r="1748" customFormat="false" ht="15" hidden="false" customHeight="false" outlineLevel="0" collapsed="false">
      <c r="A1748" s="2" t="s">
        <v>128</v>
      </c>
      <c r="B1748" s="2" t="s">
        <v>47</v>
      </c>
      <c r="C1748" s="15" t="s">
        <v>1985</v>
      </c>
      <c r="D1748" s="44" t="n">
        <v>45716</v>
      </c>
      <c r="E1748" s="2" t="s">
        <v>667</v>
      </c>
      <c r="F1748" s="45" t="n">
        <v>4.78252690524105</v>
      </c>
      <c r="G1748" s="31" t="n">
        <v>97</v>
      </c>
      <c r="H1748" s="46" t="n">
        <v>0.0600811594202899</v>
      </c>
      <c r="I1748" s="31" t="n">
        <v>35.5</v>
      </c>
      <c r="J1748" s="2" t="s">
        <v>2697</v>
      </c>
      <c r="K1748" s="48" t="n">
        <v>0.0230545151893467</v>
      </c>
      <c r="L1748" s="31" t="n">
        <v>14.3</v>
      </c>
      <c r="M1748" s="39" t="s">
        <v>671</v>
      </c>
      <c r="N1748" s="2" t="s">
        <v>17</v>
      </c>
      <c r="O1748" s="2" t="s">
        <v>17</v>
      </c>
      <c r="P1748" s="2" t="s">
        <v>17</v>
      </c>
      <c r="Q1748" s="2" t="s">
        <v>17</v>
      </c>
    </row>
    <row r="1749" customFormat="false" ht="15" hidden="false" customHeight="false" outlineLevel="0" collapsed="false">
      <c r="A1749" s="2" t="s">
        <v>1956</v>
      </c>
      <c r="B1749" s="2" t="s">
        <v>45</v>
      </c>
      <c r="C1749" s="15" t="s">
        <v>3138</v>
      </c>
      <c r="D1749" s="44" t="n">
        <v>9461</v>
      </c>
      <c r="E1749" s="2" t="s">
        <v>678</v>
      </c>
      <c r="F1749" s="45" t="n">
        <v>2.5202409893246</v>
      </c>
      <c r="G1749" s="31" t="n">
        <v>96.8</v>
      </c>
      <c r="H1749" s="46" t="n">
        <v>0.232703583061889</v>
      </c>
      <c r="I1749" s="31" t="n">
        <v>98.1</v>
      </c>
      <c r="J1749" s="2" t="s">
        <v>2713</v>
      </c>
      <c r="K1749" s="33"/>
      <c r="L1749" s="31"/>
      <c r="M1749" s="34" t="s">
        <v>668</v>
      </c>
      <c r="N1749" s="2" t="s">
        <v>17</v>
      </c>
      <c r="O1749" s="2" t="s">
        <v>17</v>
      </c>
      <c r="P1749" s="2" t="s">
        <v>17</v>
      </c>
      <c r="Q1749" s="2"/>
    </row>
    <row r="1750" customFormat="false" ht="15" hidden="false" customHeight="false" outlineLevel="0" collapsed="false">
      <c r="A1750" s="2" t="s">
        <v>1956</v>
      </c>
      <c r="B1750" s="2" t="s">
        <v>46</v>
      </c>
      <c r="C1750" s="14" t="s">
        <v>1957</v>
      </c>
      <c r="D1750" s="40" t="n">
        <v>142590</v>
      </c>
      <c r="E1750" s="2" t="s">
        <v>670</v>
      </c>
      <c r="F1750" s="41" t="n">
        <v>0.514418963461673</v>
      </c>
      <c r="G1750" s="31" t="n">
        <v>0.8</v>
      </c>
      <c r="H1750" s="42" t="n">
        <v>0.129515209125475</v>
      </c>
      <c r="I1750" s="31" t="n">
        <v>75.5</v>
      </c>
      <c r="J1750" s="2" t="s">
        <v>2705</v>
      </c>
      <c r="K1750" s="43" t="n">
        <v>0.188556253017866</v>
      </c>
      <c r="L1750" s="31" t="n">
        <v>69.2</v>
      </c>
      <c r="M1750" s="39" t="s">
        <v>671</v>
      </c>
      <c r="N1750" s="2" t="s">
        <v>21</v>
      </c>
      <c r="O1750" s="2" t="s">
        <v>21</v>
      </c>
      <c r="P1750" s="2" t="s">
        <v>21</v>
      </c>
      <c r="Q1750" s="2" t="s">
        <v>21</v>
      </c>
    </row>
    <row r="1751" customFormat="false" ht="15" hidden="false" customHeight="false" outlineLevel="0" collapsed="false">
      <c r="A1751" s="2" t="s">
        <v>1956</v>
      </c>
      <c r="B1751" s="2" t="s">
        <v>47</v>
      </c>
      <c r="C1751" s="13" t="s">
        <v>2678</v>
      </c>
      <c r="D1751" s="35" t="n">
        <v>286338</v>
      </c>
      <c r="E1751" s="2" t="s">
        <v>670</v>
      </c>
      <c r="F1751" s="36" t="n">
        <v>0.219562195726729</v>
      </c>
      <c r="G1751" s="31" t="n">
        <v>1.3</v>
      </c>
      <c r="H1751" s="37" t="n">
        <v>-0.073906251516063</v>
      </c>
      <c r="I1751" s="31" t="n">
        <v>3</v>
      </c>
      <c r="J1751" s="2" t="s">
        <v>2701</v>
      </c>
      <c r="K1751" s="38" t="n">
        <v>0.13351842503786</v>
      </c>
      <c r="L1751" s="31" t="n">
        <v>66.9</v>
      </c>
      <c r="M1751" s="39" t="s">
        <v>671</v>
      </c>
      <c r="N1751" s="2" t="s">
        <v>19</v>
      </c>
      <c r="O1751" s="2" t="s">
        <v>19</v>
      </c>
      <c r="P1751" s="2" t="s">
        <v>19</v>
      </c>
      <c r="Q1751" s="2" t="s">
        <v>19</v>
      </c>
    </row>
    <row r="1752" customFormat="false" ht="15" hidden="false" customHeight="false" outlineLevel="0" collapsed="false">
      <c r="A1752" s="2" t="s">
        <v>374</v>
      </c>
      <c r="B1752" s="2" t="s">
        <v>45</v>
      </c>
      <c r="C1752" s="13" t="s">
        <v>726</v>
      </c>
      <c r="D1752" s="35" t="n">
        <v>23669</v>
      </c>
      <c r="E1752" s="2" t="s">
        <v>667</v>
      </c>
      <c r="F1752" s="36" t="n">
        <v>1.94009041362119</v>
      </c>
      <c r="G1752" s="31" t="n">
        <v>92.7</v>
      </c>
      <c r="H1752" s="37" t="n">
        <v>0.195585189675203</v>
      </c>
      <c r="I1752" s="31" t="n">
        <v>91.7</v>
      </c>
      <c r="J1752" s="2" t="s">
        <v>2704</v>
      </c>
      <c r="K1752" s="38" t="n">
        <v>0.250913520097442</v>
      </c>
      <c r="L1752" s="31" t="n">
        <v>81.5</v>
      </c>
      <c r="M1752" s="39" t="s">
        <v>671</v>
      </c>
      <c r="N1752" s="2" t="s">
        <v>19</v>
      </c>
      <c r="O1752" s="2" t="s">
        <v>19</v>
      </c>
      <c r="P1752" s="2" t="s">
        <v>19</v>
      </c>
      <c r="Q1752" s="2" t="s">
        <v>19</v>
      </c>
    </row>
    <row r="1753" customFormat="false" ht="15" hidden="false" customHeight="false" outlineLevel="0" collapsed="false">
      <c r="A1753" s="2" t="s">
        <v>374</v>
      </c>
      <c r="B1753" s="2" t="s">
        <v>46</v>
      </c>
      <c r="C1753" s="13" t="s">
        <v>1936</v>
      </c>
      <c r="D1753" s="35" t="n">
        <v>65441</v>
      </c>
      <c r="E1753" s="2" t="s">
        <v>667</v>
      </c>
      <c r="F1753" s="36" t="n">
        <v>0.988569856817592</v>
      </c>
      <c r="G1753" s="31" t="n">
        <v>5.5</v>
      </c>
      <c r="H1753" s="37" t="n">
        <v>0.128098603689019</v>
      </c>
      <c r="I1753" s="31" t="n">
        <v>68.9</v>
      </c>
      <c r="J1753" s="2" t="s">
        <v>2700</v>
      </c>
      <c r="K1753" s="38" t="n">
        <v>0.24046502141546</v>
      </c>
      <c r="L1753" s="31" t="n">
        <v>81.1</v>
      </c>
      <c r="M1753" s="39" t="s">
        <v>671</v>
      </c>
      <c r="N1753" s="2" t="s">
        <v>19</v>
      </c>
      <c r="O1753" s="2" t="s">
        <v>19</v>
      </c>
      <c r="P1753" s="2" t="s">
        <v>19</v>
      </c>
      <c r="Q1753" s="2" t="s">
        <v>19</v>
      </c>
    </row>
    <row r="1754" customFormat="false" ht="15" hidden="false" customHeight="false" outlineLevel="0" collapsed="false">
      <c r="A1754" s="2" t="s">
        <v>3139</v>
      </c>
      <c r="B1754" s="2" t="s">
        <v>45</v>
      </c>
      <c r="C1754" s="14" t="s">
        <v>3140</v>
      </c>
      <c r="D1754" s="40" t="n">
        <v>552760</v>
      </c>
      <c r="E1754" s="2" t="s">
        <v>670</v>
      </c>
      <c r="F1754" s="41" t="n">
        <v>1.16406758810334</v>
      </c>
      <c r="G1754" s="31" t="n">
        <v>80.8</v>
      </c>
      <c r="H1754" s="42" t="n">
        <v>-0.0356426315881296</v>
      </c>
      <c r="I1754" s="31" t="n">
        <v>8</v>
      </c>
      <c r="J1754" s="2" t="s">
        <v>2698</v>
      </c>
      <c r="K1754" s="33"/>
      <c r="L1754" s="31"/>
      <c r="M1754" s="34" t="s">
        <v>668</v>
      </c>
      <c r="N1754" s="2" t="s">
        <v>21</v>
      </c>
      <c r="O1754" s="2" t="s">
        <v>21</v>
      </c>
      <c r="P1754" s="2" t="s">
        <v>21</v>
      </c>
      <c r="Q1754" s="2"/>
    </row>
    <row r="1755" customFormat="false" ht="15" hidden="false" customHeight="false" outlineLevel="0" collapsed="false">
      <c r="A1755" s="2" t="s">
        <v>3139</v>
      </c>
      <c r="B1755" s="2" t="s">
        <v>46</v>
      </c>
      <c r="C1755" s="15" t="s">
        <v>3141</v>
      </c>
      <c r="D1755" s="29"/>
      <c r="E1755" s="2"/>
      <c r="F1755" s="30"/>
      <c r="G1755" s="31"/>
      <c r="H1755" s="32"/>
      <c r="I1755" s="31"/>
      <c r="J1755" s="2"/>
      <c r="K1755" s="33"/>
      <c r="L1755" s="31"/>
      <c r="M1755" s="34" t="s">
        <v>668</v>
      </c>
      <c r="N1755" s="2"/>
      <c r="O1755" s="2"/>
      <c r="P1755" s="2"/>
      <c r="Q1755" s="2"/>
    </row>
    <row r="1756" customFormat="false" ht="15" hidden="false" customHeight="false" outlineLevel="0" collapsed="false">
      <c r="A1756" s="2" t="s">
        <v>3139</v>
      </c>
      <c r="B1756" s="2" t="s">
        <v>47</v>
      </c>
      <c r="C1756" s="16"/>
      <c r="D1756" s="29"/>
      <c r="E1756" s="2"/>
      <c r="F1756" s="30"/>
      <c r="G1756" s="31"/>
      <c r="H1756" s="32"/>
      <c r="I1756" s="31"/>
      <c r="J1756" s="2"/>
      <c r="K1756" s="33"/>
      <c r="L1756" s="31"/>
      <c r="M1756" s="34" t="s">
        <v>668</v>
      </c>
      <c r="N1756" s="2"/>
      <c r="O1756" s="2"/>
      <c r="P1756" s="2"/>
      <c r="Q1756" s="2"/>
    </row>
    <row r="1757" customFormat="false" ht="15" hidden="false" customHeight="false" outlineLevel="0" collapsed="false">
      <c r="A1757" s="2" t="s">
        <v>1141</v>
      </c>
      <c r="B1757" s="2" t="s">
        <v>45</v>
      </c>
      <c r="C1757" s="14" t="s">
        <v>1142</v>
      </c>
      <c r="D1757" s="40" t="n">
        <v>271960</v>
      </c>
      <c r="E1757" s="2" t="s">
        <v>670</v>
      </c>
      <c r="F1757" s="41" t="n">
        <v>0.461604647742315</v>
      </c>
      <c r="G1757" s="31" t="n">
        <v>37.2</v>
      </c>
      <c r="H1757" s="42" t="n">
        <v>0.172746873652436</v>
      </c>
      <c r="I1757" s="31" t="n">
        <v>88.4</v>
      </c>
      <c r="J1757" s="2" t="s">
        <v>2698</v>
      </c>
      <c r="K1757" s="43" t="n">
        <v>0.103308575286968</v>
      </c>
      <c r="L1757" s="31" t="n">
        <v>36.5</v>
      </c>
      <c r="M1757" s="39" t="s">
        <v>671</v>
      </c>
      <c r="N1757" s="2" t="s">
        <v>21</v>
      </c>
      <c r="O1757" s="2" t="s">
        <v>21</v>
      </c>
      <c r="P1757" s="2" t="s">
        <v>21</v>
      </c>
      <c r="Q1757" s="2" t="s">
        <v>21</v>
      </c>
    </row>
    <row r="1758" customFormat="false" ht="15" hidden="false" customHeight="false" outlineLevel="0" collapsed="false">
      <c r="A1758" s="2" t="s">
        <v>1141</v>
      </c>
      <c r="B1758" s="2" t="s">
        <v>46</v>
      </c>
      <c r="C1758" s="16"/>
      <c r="D1758" s="29"/>
      <c r="E1758" s="2"/>
      <c r="F1758" s="30"/>
      <c r="G1758" s="31"/>
      <c r="H1758" s="32"/>
      <c r="I1758" s="31"/>
      <c r="J1758" s="2"/>
      <c r="K1758" s="33"/>
      <c r="L1758" s="31"/>
      <c r="M1758" s="34" t="s">
        <v>668</v>
      </c>
      <c r="N1758" s="2"/>
      <c r="O1758" s="2"/>
      <c r="P1758" s="2"/>
      <c r="Q1758" s="2"/>
    </row>
    <row r="1759" customFormat="false" ht="15" hidden="false" customHeight="false" outlineLevel="0" collapsed="false">
      <c r="A1759" s="2" t="s">
        <v>1141</v>
      </c>
      <c r="B1759" s="2" t="s">
        <v>47</v>
      </c>
      <c r="C1759" s="13" t="s">
        <v>2211</v>
      </c>
      <c r="D1759" s="35" t="n">
        <v>2511</v>
      </c>
      <c r="E1759" s="2" t="s">
        <v>678</v>
      </c>
      <c r="F1759" s="36" t="n">
        <v>1.64476304261251</v>
      </c>
      <c r="G1759" s="31" t="n">
        <v>64.1</v>
      </c>
      <c r="H1759" s="37" t="n">
        <v>0.15448275862069</v>
      </c>
      <c r="I1759" s="31" t="n">
        <v>80</v>
      </c>
      <c r="J1759" s="2" t="s">
        <v>2706</v>
      </c>
      <c r="K1759" s="38" t="n">
        <v>0.201550387596899</v>
      </c>
      <c r="L1759" s="31" t="n">
        <v>82.7</v>
      </c>
      <c r="M1759" s="39" t="s">
        <v>671</v>
      </c>
      <c r="N1759" s="2" t="s">
        <v>19</v>
      </c>
      <c r="O1759" s="2" t="s">
        <v>19</v>
      </c>
      <c r="P1759" s="2" t="s">
        <v>19</v>
      </c>
      <c r="Q1759" s="2" t="s">
        <v>19</v>
      </c>
    </row>
    <row r="1760" customFormat="false" ht="15" hidden="false" customHeight="false" outlineLevel="0" collapsed="false">
      <c r="A1760" s="2" t="s">
        <v>2184</v>
      </c>
      <c r="B1760" s="2" t="s">
        <v>45</v>
      </c>
      <c r="C1760" s="16"/>
      <c r="D1760" s="29"/>
      <c r="E1760" s="2"/>
      <c r="F1760" s="30"/>
      <c r="G1760" s="31"/>
      <c r="H1760" s="32"/>
      <c r="I1760" s="31"/>
      <c r="J1760" s="2"/>
      <c r="K1760" s="33"/>
      <c r="L1760" s="31"/>
      <c r="M1760" s="34" t="s">
        <v>668</v>
      </c>
      <c r="N1760" s="2"/>
      <c r="O1760" s="2"/>
      <c r="P1760" s="2"/>
      <c r="Q1760" s="2"/>
    </row>
    <row r="1761" customFormat="false" ht="15" hidden="false" customHeight="false" outlineLevel="0" collapsed="false">
      <c r="A1761" s="2" t="s">
        <v>2184</v>
      </c>
      <c r="B1761" s="2" t="s">
        <v>46</v>
      </c>
      <c r="C1761" s="13" t="s">
        <v>3142</v>
      </c>
      <c r="D1761" s="35" t="n">
        <v>63243</v>
      </c>
      <c r="E1761" s="2" t="s">
        <v>667</v>
      </c>
      <c r="F1761" s="36" t="n">
        <v>1.26083519124646</v>
      </c>
      <c r="G1761" s="31" t="n">
        <v>10.4</v>
      </c>
      <c r="H1761" s="37" t="n">
        <v>0.119444198601646</v>
      </c>
      <c r="I1761" s="31" t="n">
        <v>63.5</v>
      </c>
      <c r="J1761" s="2" t="s">
        <v>2700</v>
      </c>
      <c r="K1761" s="33"/>
      <c r="L1761" s="31"/>
      <c r="M1761" s="34" t="s">
        <v>668</v>
      </c>
      <c r="N1761" s="2" t="s">
        <v>19</v>
      </c>
      <c r="O1761" s="2" t="s">
        <v>19</v>
      </c>
      <c r="P1761" s="2" t="s">
        <v>19</v>
      </c>
      <c r="Q1761" s="2"/>
    </row>
    <row r="1762" customFormat="false" ht="15" hidden="false" customHeight="false" outlineLevel="0" collapsed="false">
      <c r="A1762" s="2" t="s">
        <v>2184</v>
      </c>
      <c r="B1762" s="2" t="s">
        <v>47</v>
      </c>
      <c r="C1762" s="13" t="s">
        <v>2185</v>
      </c>
      <c r="D1762" s="35" t="n">
        <v>11212</v>
      </c>
      <c r="E1762" s="2" t="s">
        <v>667</v>
      </c>
      <c r="F1762" s="36" t="n">
        <v>1.77604352479486</v>
      </c>
      <c r="G1762" s="31" t="n">
        <v>67.5</v>
      </c>
      <c r="H1762" s="37" t="n">
        <v>0.249387118341877</v>
      </c>
      <c r="I1762" s="31" t="n">
        <v>98.9</v>
      </c>
      <c r="J1762" s="2" t="s">
        <v>2697</v>
      </c>
      <c r="K1762" s="38" t="n">
        <v>0.15678776290631</v>
      </c>
      <c r="L1762" s="31" t="n">
        <v>73</v>
      </c>
      <c r="M1762" s="39" t="s">
        <v>671</v>
      </c>
      <c r="N1762" s="2" t="s">
        <v>19</v>
      </c>
      <c r="O1762" s="2" t="s">
        <v>19</v>
      </c>
      <c r="P1762" s="2" t="s">
        <v>19</v>
      </c>
      <c r="Q1762" s="2" t="s">
        <v>19</v>
      </c>
    </row>
    <row r="1763" customFormat="false" ht="15" hidden="false" customHeight="false" outlineLevel="0" collapsed="false">
      <c r="A1763" s="2" t="s">
        <v>1920</v>
      </c>
      <c r="B1763" s="2" t="s">
        <v>45</v>
      </c>
      <c r="C1763" s="14" t="s">
        <v>3143</v>
      </c>
      <c r="D1763" s="40" t="n">
        <v>153910</v>
      </c>
      <c r="E1763" s="2" t="s">
        <v>670</v>
      </c>
      <c r="F1763" s="41" t="n">
        <v>0.474647521278669</v>
      </c>
      <c r="G1763" s="31" t="n">
        <v>38.2</v>
      </c>
      <c r="H1763" s="42" t="n">
        <v>0.139736374407583</v>
      </c>
      <c r="I1763" s="31" t="n">
        <v>73.9</v>
      </c>
      <c r="J1763" s="2" t="s">
        <v>2698</v>
      </c>
      <c r="K1763" s="33"/>
      <c r="L1763" s="31"/>
      <c r="M1763" s="34" t="s">
        <v>668</v>
      </c>
      <c r="N1763" s="2" t="s">
        <v>21</v>
      </c>
      <c r="O1763" s="2" t="s">
        <v>21</v>
      </c>
      <c r="P1763" s="2" t="s">
        <v>21</v>
      </c>
      <c r="Q1763" s="2"/>
    </row>
    <row r="1764" customFormat="false" ht="15" hidden="false" customHeight="false" outlineLevel="0" collapsed="false">
      <c r="A1764" s="2" t="s">
        <v>1920</v>
      </c>
      <c r="B1764" s="2" t="s">
        <v>46</v>
      </c>
      <c r="C1764" s="14" t="s">
        <v>1921</v>
      </c>
      <c r="D1764" s="40" t="n">
        <v>125400</v>
      </c>
      <c r="E1764" s="2" t="s">
        <v>670</v>
      </c>
      <c r="F1764" s="41" t="n">
        <v>1.11174641148325</v>
      </c>
      <c r="G1764" s="31" t="n">
        <v>7.2</v>
      </c>
      <c r="H1764" s="42" t="n">
        <v>0.0377358490566038</v>
      </c>
      <c r="I1764" s="31" t="n">
        <v>25.2</v>
      </c>
      <c r="J1764" s="2" t="s">
        <v>2705</v>
      </c>
      <c r="K1764" s="43" t="n">
        <v>0.24633714377717</v>
      </c>
      <c r="L1764" s="31" t="n">
        <v>81.6</v>
      </c>
      <c r="M1764" s="39" t="s">
        <v>671</v>
      </c>
      <c r="N1764" s="2" t="s">
        <v>21</v>
      </c>
      <c r="O1764" s="2" t="s">
        <v>21</v>
      </c>
      <c r="P1764" s="2" t="s">
        <v>21</v>
      </c>
      <c r="Q1764" s="2" t="s">
        <v>21</v>
      </c>
    </row>
    <row r="1765" customFormat="false" ht="15" hidden="false" customHeight="false" outlineLevel="0" collapsed="false">
      <c r="A1765" s="2" t="s">
        <v>1920</v>
      </c>
      <c r="B1765" s="2" t="s">
        <v>47</v>
      </c>
      <c r="C1765" s="15" t="s">
        <v>2432</v>
      </c>
      <c r="D1765" s="44" t="n">
        <v>111663</v>
      </c>
      <c r="E1765" s="2" t="s">
        <v>670</v>
      </c>
      <c r="F1765" s="45" t="n">
        <v>0.93667553262943</v>
      </c>
      <c r="G1765" s="31" t="n">
        <v>34.4</v>
      </c>
      <c r="H1765" s="46" t="n">
        <v>0.00108479317207868</v>
      </c>
      <c r="I1765" s="31" t="n">
        <v>14.5</v>
      </c>
      <c r="J1765" s="2" t="s">
        <v>2701</v>
      </c>
      <c r="K1765" s="48" t="n">
        <v>0.0473467520585544</v>
      </c>
      <c r="L1765" s="31" t="n">
        <v>29</v>
      </c>
      <c r="M1765" s="39" t="s">
        <v>671</v>
      </c>
      <c r="N1765" s="2" t="s">
        <v>17</v>
      </c>
      <c r="O1765" s="2" t="s">
        <v>17</v>
      </c>
      <c r="P1765" s="2" t="s">
        <v>17</v>
      </c>
      <c r="Q1765" s="2" t="s">
        <v>17</v>
      </c>
    </row>
    <row r="1766" customFormat="false" ht="15" hidden="false" customHeight="false" outlineLevel="0" collapsed="false">
      <c r="A1766" s="2" t="s">
        <v>1558</v>
      </c>
      <c r="B1766" s="2" t="s">
        <v>45</v>
      </c>
      <c r="C1766" s="15" t="s">
        <v>3144</v>
      </c>
      <c r="D1766" s="29"/>
      <c r="E1766" s="2"/>
      <c r="F1766" s="30"/>
      <c r="G1766" s="31"/>
      <c r="H1766" s="32"/>
      <c r="I1766" s="31"/>
      <c r="J1766" s="2"/>
      <c r="K1766" s="33"/>
      <c r="L1766" s="31"/>
      <c r="M1766" s="34" t="s">
        <v>668</v>
      </c>
      <c r="N1766" s="2"/>
      <c r="O1766" s="2"/>
      <c r="P1766" s="2"/>
      <c r="Q1766" s="2"/>
    </row>
    <row r="1767" customFormat="false" ht="15" hidden="false" customHeight="false" outlineLevel="0" collapsed="false">
      <c r="A1767" s="2" t="s">
        <v>1558</v>
      </c>
      <c r="B1767" s="2" t="s">
        <v>46</v>
      </c>
      <c r="C1767" s="14" t="s">
        <v>1559</v>
      </c>
      <c r="D1767" s="40" t="n">
        <v>9940</v>
      </c>
      <c r="E1767" s="2" t="s">
        <v>678</v>
      </c>
      <c r="F1767" s="41" t="n">
        <v>4.8489939637827</v>
      </c>
      <c r="G1767" s="31" t="n">
        <v>71.5</v>
      </c>
      <c r="H1767" s="42" t="n">
        <v>0.138602520045819</v>
      </c>
      <c r="I1767" s="31" t="n">
        <v>60.4</v>
      </c>
      <c r="J1767" s="2" t="s">
        <v>2720</v>
      </c>
      <c r="K1767" s="43" t="n">
        <v>0.159240321402484</v>
      </c>
      <c r="L1767" s="31" t="n">
        <v>60.4</v>
      </c>
      <c r="M1767" s="39" t="s">
        <v>671</v>
      </c>
      <c r="N1767" s="2" t="s">
        <v>21</v>
      </c>
      <c r="O1767" s="2" t="s">
        <v>21</v>
      </c>
      <c r="P1767" s="2" t="s">
        <v>21</v>
      </c>
      <c r="Q1767" s="2" t="s">
        <v>21</v>
      </c>
    </row>
    <row r="1768" customFormat="false" ht="15" hidden="false" customHeight="false" outlineLevel="0" collapsed="false">
      <c r="A1768" s="2" t="s">
        <v>1558</v>
      </c>
      <c r="B1768" s="2" t="s">
        <v>47</v>
      </c>
      <c r="C1768" s="16"/>
      <c r="D1768" s="29"/>
      <c r="E1768" s="2"/>
      <c r="F1768" s="30"/>
      <c r="G1768" s="31"/>
      <c r="H1768" s="32"/>
      <c r="I1768" s="31"/>
      <c r="J1768" s="2"/>
      <c r="K1768" s="33"/>
      <c r="L1768" s="31"/>
      <c r="M1768" s="34" t="s">
        <v>668</v>
      </c>
      <c r="N1768" s="2"/>
      <c r="O1768" s="2"/>
      <c r="P1768" s="2"/>
      <c r="Q1768" s="2"/>
    </row>
    <row r="1769" customFormat="false" ht="15" hidden="false" customHeight="false" outlineLevel="0" collapsed="false">
      <c r="A1769" s="2" t="s">
        <v>1894</v>
      </c>
      <c r="B1769" s="2" t="s">
        <v>45</v>
      </c>
      <c r="C1769" s="16"/>
      <c r="D1769" s="29"/>
      <c r="E1769" s="2"/>
      <c r="F1769" s="30"/>
      <c r="G1769" s="31"/>
      <c r="H1769" s="32"/>
      <c r="I1769" s="31"/>
      <c r="J1769" s="2"/>
      <c r="K1769" s="33"/>
      <c r="L1769" s="31"/>
      <c r="M1769" s="34" t="s">
        <v>668</v>
      </c>
      <c r="N1769" s="2"/>
      <c r="O1769" s="2"/>
      <c r="P1769" s="2"/>
      <c r="Q1769" s="2"/>
    </row>
    <row r="1770" customFormat="false" ht="15" hidden="false" customHeight="false" outlineLevel="0" collapsed="false">
      <c r="A1770" s="2" t="s">
        <v>1894</v>
      </c>
      <c r="B1770" s="2" t="s">
        <v>46</v>
      </c>
      <c r="C1770" s="14" t="s">
        <v>1895</v>
      </c>
      <c r="D1770" s="40" t="n">
        <v>16530</v>
      </c>
      <c r="E1770" s="2" t="s">
        <v>667</v>
      </c>
      <c r="F1770" s="41" t="n">
        <v>1.41923774954628</v>
      </c>
      <c r="G1770" s="31" t="n">
        <v>13.1</v>
      </c>
      <c r="H1770" s="42" t="n">
        <v>0.0889328063241107</v>
      </c>
      <c r="I1770" s="31" t="n">
        <v>49</v>
      </c>
      <c r="J1770" s="2" t="s">
        <v>2700</v>
      </c>
      <c r="K1770" s="43" t="n">
        <v>0.141205615194055</v>
      </c>
      <c r="L1770" s="31" t="n">
        <v>52.1</v>
      </c>
      <c r="M1770" s="39" t="s">
        <v>671</v>
      </c>
      <c r="N1770" s="2" t="s">
        <v>21</v>
      </c>
      <c r="O1770" s="2" t="s">
        <v>21</v>
      </c>
      <c r="P1770" s="2" t="s">
        <v>21</v>
      </c>
      <c r="Q1770" s="2" t="s">
        <v>21</v>
      </c>
    </row>
    <row r="1771" customFormat="false" ht="15" hidden="false" customHeight="false" outlineLevel="0" collapsed="false">
      <c r="A1771" s="2" t="s">
        <v>1894</v>
      </c>
      <c r="B1771" s="2" t="s">
        <v>47</v>
      </c>
      <c r="C1771" s="13" t="s">
        <v>2144</v>
      </c>
      <c r="D1771" s="35" t="n">
        <v>55559</v>
      </c>
      <c r="E1771" s="2" t="s">
        <v>667</v>
      </c>
      <c r="F1771" s="36" t="n">
        <v>1.97337965046167</v>
      </c>
      <c r="G1771" s="31" t="n">
        <v>73.2</v>
      </c>
      <c r="H1771" s="37" t="n">
        <v>0.00461087805583683</v>
      </c>
      <c r="I1771" s="31" t="n">
        <v>11.7</v>
      </c>
      <c r="J1771" s="2" t="s">
        <v>2697</v>
      </c>
      <c r="K1771" s="38" t="n">
        <v>0.0437135720233139</v>
      </c>
      <c r="L1771" s="31" t="n">
        <v>27.6</v>
      </c>
      <c r="M1771" s="39" t="s">
        <v>671</v>
      </c>
      <c r="N1771" s="2" t="s">
        <v>19</v>
      </c>
      <c r="O1771" s="2" t="s">
        <v>19</v>
      </c>
      <c r="P1771" s="2" t="s">
        <v>19</v>
      </c>
      <c r="Q1771" s="2" t="s">
        <v>19</v>
      </c>
    </row>
    <row r="1772" customFormat="false" ht="15" hidden="false" customHeight="false" outlineLevel="0" collapsed="false">
      <c r="A1772" s="2" t="s">
        <v>132</v>
      </c>
      <c r="B1772" s="2" t="s">
        <v>45</v>
      </c>
      <c r="C1772" s="14" t="s">
        <v>789</v>
      </c>
      <c r="D1772" s="40" t="n">
        <v>38360</v>
      </c>
      <c r="E1772" s="2" t="s">
        <v>667</v>
      </c>
      <c r="F1772" s="41" t="n">
        <v>1.28915537017727</v>
      </c>
      <c r="G1772" s="31" t="n">
        <v>85</v>
      </c>
      <c r="H1772" s="42" t="n">
        <v>0.101033295063146</v>
      </c>
      <c r="I1772" s="31" t="n">
        <v>54.4</v>
      </c>
      <c r="J1772" s="2" t="s">
        <v>2704</v>
      </c>
      <c r="K1772" s="43" t="n">
        <v>0.127107652399481</v>
      </c>
      <c r="L1772" s="31" t="n">
        <v>47.2</v>
      </c>
      <c r="M1772" s="39" t="s">
        <v>671</v>
      </c>
      <c r="N1772" s="2" t="s">
        <v>21</v>
      </c>
      <c r="O1772" s="2" t="s">
        <v>21</v>
      </c>
      <c r="P1772" s="2" t="s">
        <v>21</v>
      </c>
      <c r="Q1772" s="2" t="s">
        <v>21</v>
      </c>
    </row>
    <row r="1773" customFormat="false" ht="15" hidden="false" customHeight="false" outlineLevel="0" collapsed="false">
      <c r="A1773" s="2" t="s">
        <v>808</v>
      </c>
      <c r="B1773" s="2" t="s">
        <v>45</v>
      </c>
      <c r="C1773" s="14" t="s">
        <v>809</v>
      </c>
      <c r="D1773" s="40" t="n">
        <v>277550</v>
      </c>
      <c r="E1773" s="2" t="s">
        <v>670</v>
      </c>
      <c r="F1773" s="41" t="n">
        <v>1.19875337776977</v>
      </c>
      <c r="G1773" s="31" t="n">
        <v>82.7</v>
      </c>
      <c r="H1773" s="42" t="n">
        <v>0.165099487868357</v>
      </c>
      <c r="I1773" s="31" t="n">
        <v>87</v>
      </c>
      <c r="J1773" s="2" t="s">
        <v>2698</v>
      </c>
      <c r="K1773" s="43" t="n">
        <v>0.134255620185505</v>
      </c>
      <c r="L1773" s="31" t="n">
        <v>50.8</v>
      </c>
      <c r="M1773" s="39" t="s">
        <v>671</v>
      </c>
      <c r="N1773" s="2" t="s">
        <v>21</v>
      </c>
      <c r="O1773" s="2" t="s">
        <v>21</v>
      </c>
      <c r="P1773" s="2" t="s">
        <v>21</v>
      </c>
      <c r="Q1773" s="2" t="s">
        <v>21</v>
      </c>
    </row>
    <row r="1774" customFormat="false" ht="15" hidden="false" customHeight="false" outlineLevel="0" collapsed="false">
      <c r="A1774" s="2" t="s">
        <v>808</v>
      </c>
      <c r="B1774" s="2" t="s">
        <v>46</v>
      </c>
      <c r="C1774" s="14" t="s">
        <v>3145</v>
      </c>
      <c r="D1774" s="40" t="n">
        <v>41370</v>
      </c>
      <c r="E1774" s="2" t="s">
        <v>667</v>
      </c>
      <c r="F1774" s="41" t="n">
        <v>1.22646845540247</v>
      </c>
      <c r="G1774" s="31" t="n">
        <v>9.7</v>
      </c>
      <c r="H1774" s="32"/>
      <c r="I1774" s="31"/>
      <c r="J1774" s="2"/>
      <c r="K1774" s="43" t="n">
        <v>0.397980501392758</v>
      </c>
      <c r="L1774" s="31" t="n">
        <v>97.7</v>
      </c>
      <c r="M1774" s="34" t="s">
        <v>668</v>
      </c>
      <c r="N1774" s="2" t="s">
        <v>21</v>
      </c>
      <c r="O1774" s="2" t="s">
        <v>21</v>
      </c>
      <c r="P1774" s="2"/>
      <c r="Q1774" s="2" t="s">
        <v>21</v>
      </c>
    </row>
    <row r="1775" customFormat="false" ht="15" hidden="false" customHeight="false" outlineLevel="0" collapsed="false">
      <c r="A1775" s="2" t="s">
        <v>98</v>
      </c>
      <c r="B1775" s="2" t="s">
        <v>45</v>
      </c>
      <c r="C1775" s="13" t="s">
        <v>691</v>
      </c>
      <c r="D1775" s="35" t="n">
        <v>6147</v>
      </c>
      <c r="E1775" s="2" t="s">
        <v>678</v>
      </c>
      <c r="F1775" s="36" t="n">
        <v>2.55018708312998</v>
      </c>
      <c r="G1775" s="31" t="n">
        <v>97</v>
      </c>
      <c r="H1775" s="37" t="n">
        <v>0.00539744847890088</v>
      </c>
      <c r="I1775" s="31" t="n">
        <v>11.1</v>
      </c>
      <c r="J1775" s="2" t="s">
        <v>2713</v>
      </c>
      <c r="K1775" s="38" t="n">
        <v>0.328149300155521</v>
      </c>
      <c r="L1775" s="31" t="n">
        <v>93.6</v>
      </c>
      <c r="M1775" s="39" t="s">
        <v>671</v>
      </c>
      <c r="N1775" s="2" t="s">
        <v>19</v>
      </c>
      <c r="O1775" s="2" t="s">
        <v>19</v>
      </c>
      <c r="P1775" s="2" t="s">
        <v>19</v>
      </c>
      <c r="Q1775" s="2" t="s">
        <v>19</v>
      </c>
    </row>
    <row r="1776" customFormat="false" ht="15" hidden="false" customHeight="false" outlineLevel="0" collapsed="false">
      <c r="A1776" s="2" t="s">
        <v>216</v>
      </c>
      <c r="B1776" s="2" t="s">
        <v>46</v>
      </c>
      <c r="C1776" s="14" t="s">
        <v>1573</v>
      </c>
      <c r="D1776" s="40" t="n">
        <v>25880</v>
      </c>
      <c r="E1776" s="2" t="s">
        <v>667</v>
      </c>
      <c r="F1776" s="41" t="n">
        <v>4.49938176197836</v>
      </c>
      <c r="G1776" s="31" t="n">
        <v>68.7</v>
      </c>
      <c r="H1776" s="42" t="n">
        <v>0.224219489120151</v>
      </c>
      <c r="I1776" s="31" t="n">
        <v>96.3</v>
      </c>
      <c r="J1776" s="2" t="s">
        <v>2700</v>
      </c>
      <c r="K1776" s="43" t="n">
        <v>0.147209226417147</v>
      </c>
      <c r="L1776" s="31" t="n">
        <v>55.4</v>
      </c>
      <c r="M1776" s="39" t="s">
        <v>671</v>
      </c>
      <c r="N1776" s="2" t="s">
        <v>21</v>
      </c>
      <c r="O1776" s="2" t="s">
        <v>21</v>
      </c>
      <c r="P1776" s="2" t="s">
        <v>21</v>
      </c>
      <c r="Q1776" s="2" t="s">
        <v>21</v>
      </c>
    </row>
    <row r="1777" customFormat="false" ht="15" hidden="false" customHeight="false" outlineLevel="0" collapsed="false">
      <c r="A1777" s="2" t="s">
        <v>492</v>
      </c>
      <c r="B1777" s="2" t="s">
        <v>45</v>
      </c>
      <c r="C1777" s="14" t="s">
        <v>1368</v>
      </c>
      <c r="D1777" s="40" t="n">
        <v>91680</v>
      </c>
      <c r="E1777" s="2" t="s">
        <v>667</v>
      </c>
      <c r="F1777" s="41" t="n">
        <v>0.0784358638743456</v>
      </c>
      <c r="G1777" s="31" t="n">
        <v>1.3</v>
      </c>
      <c r="H1777" s="42" t="n">
        <v>0.0364006330544879</v>
      </c>
      <c r="I1777" s="31" t="n">
        <v>21.4</v>
      </c>
      <c r="J1777" s="2" t="s">
        <v>2704</v>
      </c>
      <c r="K1777" s="43" t="n">
        <v>0.296587926509186</v>
      </c>
      <c r="L1777" s="31" t="n">
        <v>90.6</v>
      </c>
      <c r="M1777" s="39" t="s">
        <v>671</v>
      </c>
      <c r="N1777" s="2" t="s">
        <v>21</v>
      </c>
      <c r="O1777" s="2" t="s">
        <v>21</v>
      </c>
      <c r="P1777" s="2" t="s">
        <v>21</v>
      </c>
      <c r="Q1777" s="2" t="s">
        <v>21</v>
      </c>
    </row>
    <row r="1778" customFormat="false" ht="15" hidden="false" customHeight="false" outlineLevel="0" collapsed="false">
      <c r="A1778" s="2" t="s">
        <v>492</v>
      </c>
      <c r="B1778" s="2" t="s">
        <v>47</v>
      </c>
      <c r="C1778" s="13" t="s">
        <v>2145</v>
      </c>
      <c r="D1778" s="35" t="n">
        <v>36653</v>
      </c>
      <c r="E1778" s="2" t="s">
        <v>667</v>
      </c>
      <c r="F1778" s="36" t="n">
        <v>1.96742422175538</v>
      </c>
      <c r="G1778" s="31" t="n">
        <v>73</v>
      </c>
      <c r="H1778" s="37" t="n">
        <v>0.116482378384965</v>
      </c>
      <c r="I1778" s="31" t="n">
        <v>62.8</v>
      </c>
      <c r="J1778" s="2" t="s">
        <v>2697</v>
      </c>
      <c r="K1778" s="38" t="n">
        <v>0.0830557406173662</v>
      </c>
      <c r="L1778" s="31" t="n">
        <v>45.9</v>
      </c>
      <c r="M1778" s="39" t="s">
        <v>671</v>
      </c>
      <c r="N1778" s="2" t="s">
        <v>19</v>
      </c>
      <c r="O1778" s="2" t="s">
        <v>19</v>
      </c>
      <c r="P1778" s="2" t="s">
        <v>19</v>
      </c>
      <c r="Q1778" s="2" t="s">
        <v>19</v>
      </c>
    </row>
    <row r="1779" customFormat="false" ht="15" hidden="false" customHeight="false" outlineLevel="0" collapsed="false">
      <c r="A1779" s="2" t="s">
        <v>972</v>
      </c>
      <c r="B1779" s="2" t="s">
        <v>45</v>
      </c>
      <c r="C1779" s="13" t="s">
        <v>973</v>
      </c>
      <c r="D1779" s="35" t="n">
        <v>88097</v>
      </c>
      <c r="E1779" s="2" t="s">
        <v>667</v>
      </c>
      <c r="F1779" s="36" t="n">
        <v>0.704371317979046</v>
      </c>
      <c r="G1779" s="31" t="n">
        <v>58.8</v>
      </c>
      <c r="H1779" s="37" t="n">
        <v>0.0321851200937317</v>
      </c>
      <c r="I1779" s="31" t="n">
        <v>18.7</v>
      </c>
      <c r="J1779" s="2" t="s">
        <v>2704</v>
      </c>
      <c r="K1779" s="38" t="n">
        <v>0.0843904157857646</v>
      </c>
      <c r="L1779" s="31" t="n">
        <v>28.7</v>
      </c>
      <c r="M1779" s="39" t="s">
        <v>671</v>
      </c>
      <c r="N1779" s="2" t="s">
        <v>19</v>
      </c>
      <c r="O1779" s="2" t="s">
        <v>19</v>
      </c>
      <c r="P1779" s="2" t="s">
        <v>19</v>
      </c>
      <c r="Q1779" s="2" t="s">
        <v>19</v>
      </c>
    </row>
    <row r="1780" customFormat="false" ht="15" hidden="false" customHeight="false" outlineLevel="0" collapsed="false">
      <c r="A1780" s="2" t="s">
        <v>972</v>
      </c>
      <c r="B1780" s="2" t="s">
        <v>46</v>
      </c>
      <c r="C1780" s="16"/>
      <c r="D1780" s="29"/>
      <c r="E1780" s="2"/>
      <c r="F1780" s="30"/>
      <c r="G1780" s="31"/>
      <c r="H1780" s="32"/>
      <c r="I1780" s="31"/>
      <c r="J1780" s="2"/>
      <c r="K1780" s="33"/>
      <c r="L1780" s="31"/>
      <c r="M1780" s="34" t="s">
        <v>668</v>
      </c>
      <c r="N1780" s="2"/>
      <c r="O1780" s="2"/>
      <c r="P1780" s="2"/>
      <c r="Q1780" s="2"/>
    </row>
    <row r="1781" customFormat="false" ht="15" hidden="false" customHeight="false" outlineLevel="0" collapsed="false">
      <c r="A1781" s="2" t="s">
        <v>972</v>
      </c>
      <c r="B1781" s="2" t="s">
        <v>47</v>
      </c>
      <c r="C1781" s="13" t="s">
        <v>2002</v>
      </c>
      <c r="D1781" s="35" t="n">
        <v>39802</v>
      </c>
      <c r="E1781" s="2" t="s">
        <v>667</v>
      </c>
      <c r="F1781" s="36" t="n">
        <v>3.91188884980654</v>
      </c>
      <c r="G1781" s="31" t="n">
        <v>94.5</v>
      </c>
      <c r="H1781" s="37" t="n">
        <v>0.0560360838418679</v>
      </c>
      <c r="I1781" s="31" t="n">
        <v>33.7</v>
      </c>
      <c r="J1781" s="2" t="s">
        <v>2697</v>
      </c>
      <c r="K1781" s="38" t="n">
        <v>0.141393442622951</v>
      </c>
      <c r="L1781" s="31" t="n">
        <v>68.8</v>
      </c>
      <c r="M1781" s="39" t="s">
        <v>671</v>
      </c>
      <c r="N1781" s="2" t="s">
        <v>19</v>
      </c>
      <c r="O1781" s="2" t="s">
        <v>19</v>
      </c>
      <c r="P1781" s="2" t="s">
        <v>19</v>
      </c>
      <c r="Q1781" s="2" t="s">
        <v>19</v>
      </c>
    </row>
    <row r="1782" customFormat="false" ht="15" hidden="false" customHeight="false" outlineLevel="0" collapsed="false">
      <c r="A1782" s="2" t="s">
        <v>1856</v>
      </c>
      <c r="B1782" s="2" t="s">
        <v>45</v>
      </c>
      <c r="C1782" s="15" t="s">
        <v>3146</v>
      </c>
      <c r="D1782" s="44" t="n">
        <v>203960</v>
      </c>
      <c r="E1782" s="2" t="s">
        <v>670</v>
      </c>
      <c r="F1782" s="45" t="n">
        <v>0.655427534810747</v>
      </c>
      <c r="G1782" s="31" t="n">
        <v>55.3</v>
      </c>
      <c r="H1782" s="46" t="n">
        <v>0.00877908845858991</v>
      </c>
      <c r="I1782" s="31" t="n">
        <v>15.2</v>
      </c>
      <c r="J1782" s="2" t="s">
        <v>2698</v>
      </c>
      <c r="K1782" s="33"/>
      <c r="L1782" s="31"/>
      <c r="M1782" s="34" t="s">
        <v>668</v>
      </c>
      <c r="N1782" s="2" t="s">
        <v>17</v>
      </c>
      <c r="O1782" s="2" t="s">
        <v>17</v>
      </c>
      <c r="P1782" s="2" t="s">
        <v>17</v>
      </c>
      <c r="Q1782" s="2"/>
    </row>
    <row r="1783" customFormat="false" ht="15" hidden="false" customHeight="false" outlineLevel="0" collapsed="false">
      <c r="A1783" s="2" t="s">
        <v>1856</v>
      </c>
      <c r="B1783" s="2" t="s">
        <v>46</v>
      </c>
      <c r="C1783" s="15" t="s">
        <v>1857</v>
      </c>
      <c r="D1783" s="40" t="n">
        <v>24920</v>
      </c>
      <c r="E1783" s="2" t="s">
        <v>667</v>
      </c>
      <c r="F1783" s="41" t="n">
        <v>1.71416532905297</v>
      </c>
      <c r="G1783" s="31" t="n">
        <v>19.9</v>
      </c>
      <c r="H1783" s="42" t="n">
        <v>0.0939420544337138</v>
      </c>
      <c r="I1783" s="31" t="n">
        <v>52.7</v>
      </c>
      <c r="J1783" s="2" t="s">
        <v>2700</v>
      </c>
      <c r="K1783" s="43" t="n">
        <v>0.0982085732565579</v>
      </c>
      <c r="L1783" s="31" t="n">
        <v>31.9</v>
      </c>
      <c r="M1783" s="39" t="s">
        <v>671</v>
      </c>
      <c r="N1783" s="2" t="s">
        <v>21</v>
      </c>
      <c r="O1783" s="2" t="s">
        <v>21</v>
      </c>
      <c r="P1783" s="2" t="s">
        <v>21</v>
      </c>
      <c r="Q1783" s="2" t="s">
        <v>21</v>
      </c>
    </row>
    <row r="1784" customFormat="false" ht="15" hidden="false" customHeight="false" outlineLevel="0" collapsed="false">
      <c r="A1784" s="2" t="s">
        <v>1856</v>
      </c>
      <c r="B1784" s="2" t="s">
        <v>47</v>
      </c>
      <c r="C1784" s="13" t="s">
        <v>2317</v>
      </c>
      <c r="D1784" s="35" t="n">
        <v>16904</v>
      </c>
      <c r="E1784" s="2" t="s">
        <v>667</v>
      </c>
      <c r="F1784" s="36" t="n">
        <v>1.2250354945575</v>
      </c>
      <c r="G1784" s="31" t="n">
        <v>49.6</v>
      </c>
      <c r="H1784" s="37" t="n">
        <v>0.21454231929875</v>
      </c>
      <c r="I1784" s="31" t="n">
        <v>95</v>
      </c>
      <c r="J1784" s="2" t="s">
        <v>2697</v>
      </c>
      <c r="K1784" s="38" t="n">
        <v>0.00466666666666667</v>
      </c>
      <c r="L1784" s="31" t="n">
        <v>4.8</v>
      </c>
      <c r="M1784" s="39" t="s">
        <v>671</v>
      </c>
      <c r="N1784" s="2" t="s">
        <v>19</v>
      </c>
      <c r="O1784" s="2" t="s">
        <v>19</v>
      </c>
      <c r="P1784" s="2" t="s">
        <v>19</v>
      </c>
      <c r="Q1784" s="2" t="s">
        <v>19</v>
      </c>
    </row>
    <row r="1785" customFormat="false" ht="15" hidden="false" customHeight="false" outlineLevel="0" collapsed="false">
      <c r="A1785" s="2" t="s">
        <v>3147</v>
      </c>
      <c r="B1785" s="2" t="s">
        <v>45</v>
      </c>
      <c r="C1785" s="16"/>
      <c r="D1785" s="29"/>
      <c r="E1785" s="2"/>
      <c r="F1785" s="30"/>
      <c r="G1785" s="31"/>
      <c r="H1785" s="32"/>
      <c r="I1785" s="31"/>
      <c r="J1785" s="2"/>
      <c r="K1785" s="33"/>
      <c r="L1785" s="31"/>
      <c r="M1785" s="34" t="s">
        <v>668</v>
      </c>
      <c r="N1785" s="2"/>
      <c r="O1785" s="2"/>
      <c r="P1785" s="2"/>
      <c r="Q1785" s="2"/>
    </row>
    <row r="1786" customFormat="false" ht="15" hidden="false" customHeight="false" outlineLevel="0" collapsed="false">
      <c r="A1786" s="2" t="s">
        <v>3147</v>
      </c>
      <c r="B1786" s="2" t="s">
        <v>47</v>
      </c>
      <c r="C1786" s="16"/>
      <c r="D1786" s="29"/>
      <c r="E1786" s="2"/>
      <c r="F1786" s="30"/>
      <c r="G1786" s="31"/>
      <c r="H1786" s="32"/>
      <c r="I1786" s="31"/>
      <c r="J1786" s="2"/>
      <c r="K1786" s="33"/>
      <c r="L1786" s="31"/>
      <c r="M1786" s="34" t="s">
        <v>668</v>
      </c>
      <c r="N1786" s="2"/>
      <c r="O1786" s="2"/>
      <c r="P1786" s="2"/>
      <c r="Q1786" s="2"/>
    </row>
    <row r="1787" customFormat="false" ht="15" hidden="false" customHeight="false" outlineLevel="0" collapsed="false">
      <c r="A1787" s="2" t="s">
        <v>2416</v>
      </c>
      <c r="B1787" s="2" t="s">
        <v>45</v>
      </c>
      <c r="C1787" s="16"/>
      <c r="D1787" s="29"/>
      <c r="E1787" s="2"/>
      <c r="F1787" s="30"/>
      <c r="G1787" s="31"/>
      <c r="H1787" s="32"/>
      <c r="I1787" s="31"/>
      <c r="J1787" s="2"/>
      <c r="K1787" s="33"/>
      <c r="L1787" s="31"/>
      <c r="M1787" s="34" t="s">
        <v>668</v>
      </c>
      <c r="N1787" s="2"/>
      <c r="O1787" s="2"/>
      <c r="P1787" s="2"/>
      <c r="Q1787" s="2"/>
    </row>
    <row r="1788" customFormat="false" ht="15" hidden="false" customHeight="false" outlineLevel="0" collapsed="false">
      <c r="A1788" s="2" t="s">
        <v>2416</v>
      </c>
      <c r="B1788" s="2" t="s">
        <v>47</v>
      </c>
      <c r="C1788" s="14" t="s">
        <v>2417</v>
      </c>
      <c r="D1788" s="40" t="n">
        <v>50570</v>
      </c>
      <c r="E1788" s="2" t="s">
        <v>667</v>
      </c>
      <c r="F1788" s="41" t="n">
        <v>0.986335772196955</v>
      </c>
      <c r="G1788" s="31" t="n">
        <v>36.1</v>
      </c>
      <c r="H1788" s="42" t="n">
        <v>0.116828621908127</v>
      </c>
      <c r="I1788" s="31" t="n">
        <v>63.1</v>
      </c>
      <c r="J1788" s="2" t="s">
        <v>2697</v>
      </c>
      <c r="K1788" s="43" t="n">
        <v>0.236166365280289</v>
      </c>
      <c r="L1788" s="31" t="n">
        <v>90.1</v>
      </c>
      <c r="M1788" s="39" t="s">
        <v>671</v>
      </c>
      <c r="N1788" s="2" t="s">
        <v>21</v>
      </c>
      <c r="O1788" s="2" t="s">
        <v>21</v>
      </c>
      <c r="P1788" s="2" t="s">
        <v>21</v>
      </c>
      <c r="Q1788" s="2" t="s">
        <v>21</v>
      </c>
    </row>
    <row r="1789" customFormat="false" ht="15" hidden="false" customHeight="false" outlineLevel="0" collapsed="false">
      <c r="A1789" s="2" t="s">
        <v>1829</v>
      </c>
      <c r="B1789" s="2" t="s">
        <v>45</v>
      </c>
      <c r="C1789" s="14" t="s">
        <v>3148</v>
      </c>
      <c r="D1789" s="40" t="n">
        <v>22270</v>
      </c>
      <c r="E1789" s="2" t="s">
        <v>667</v>
      </c>
      <c r="F1789" s="41" t="n">
        <v>0.0797036371800629</v>
      </c>
      <c r="G1789" s="31" t="n">
        <v>1.5</v>
      </c>
      <c r="H1789" s="42" t="n">
        <v>0.112943528235882</v>
      </c>
      <c r="I1789" s="31" t="n">
        <v>59.9</v>
      </c>
      <c r="J1789" s="2" t="s">
        <v>2704</v>
      </c>
      <c r="K1789" s="33"/>
      <c r="L1789" s="31"/>
      <c r="M1789" s="34" t="s">
        <v>668</v>
      </c>
      <c r="N1789" s="2" t="s">
        <v>21</v>
      </c>
      <c r="O1789" s="2" t="s">
        <v>21</v>
      </c>
      <c r="P1789" s="2" t="s">
        <v>21</v>
      </c>
      <c r="Q1789" s="2"/>
    </row>
    <row r="1790" customFormat="false" ht="15" hidden="false" customHeight="false" outlineLevel="0" collapsed="false">
      <c r="A1790" s="2" t="s">
        <v>1829</v>
      </c>
      <c r="B1790" s="2" t="s">
        <v>46</v>
      </c>
      <c r="C1790" s="14" t="s">
        <v>1830</v>
      </c>
      <c r="D1790" s="40" t="n">
        <v>13900</v>
      </c>
      <c r="E1790" s="2" t="s">
        <v>667</v>
      </c>
      <c r="F1790" s="41" t="n">
        <v>1.85517985611511</v>
      </c>
      <c r="G1790" s="31" t="n">
        <v>23.9</v>
      </c>
      <c r="H1790" s="42" t="n">
        <v>0.137479541734861</v>
      </c>
      <c r="I1790" s="31" t="n">
        <v>73.4</v>
      </c>
      <c r="J1790" s="2" t="s">
        <v>2700</v>
      </c>
      <c r="K1790" s="43" t="n">
        <v>0.0476190476190476</v>
      </c>
      <c r="L1790" s="31" t="n">
        <v>11.9</v>
      </c>
      <c r="M1790" s="39" t="s">
        <v>671</v>
      </c>
      <c r="N1790" s="2" t="s">
        <v>21</v>
      </c>
      <c r="O1790" s="2" t="s">
        <v>21</v>
      </c>
      <c r="P1790" s="2" t="s">
        <v>21</v>
      </c>
      <c r="Q1790" s="2" t="s">
        <v>21</v>
      </c>
    </row>
    <row r="1791" customFormat="false" ht="15" hidden="false" customHeight="false" outlineLevel="0" collapsed="false">
      <c r="A1791" s="2" t="s">
        <v>1829</v>
      </c>
      <c r="B1791" s="2" t="s">
        <v>47</v>
      </c>
      <c r="C1791" s="14" t="s">
        <v>2322</v>
      </c>
      <c r="D1791" s="40" t="n">
        <v>13120</v>
      </c>
      <c r="E1791" s="2" t="s">
        <v>667</v>
      </c>
      <c r="F1791" s="41" t="n">
        <v>1.19146341463415</v>
      </c>
      <c r="G1791" s="31" t="n">
        <v>49</v>
      </c>
      <c r="H1791" s="42" t="n">
        <v>0.142857142857143</v>
      </c>
      <c r="I1791" s="31" t="n">
        <v>74.5</v>
      </c>
      <c r="J1791" s="2" t="s">
        <v>2697</v>
      </c>
      <c r="K1791" s="43" t="n">
        <v>0.0417276720351391</v>
      </c>
      <c r="L1791" s="31" t="n">
        <v>26.7</v>
      </c>
      <c r="M1791" s="39" t="s">
        <v>671</v>
      </c>
      <c r="N1791" s="2" t="s">
        <v>21</v>
      </c>
      <c r="O1791" s="2" t="s">
        <v>21</v>
      </c>
      <c r="P1791" s="2" t="s">
        <v>21</v>
      </c>
      <c r="Q1791" s="2" t="s">
        <v>21</v>
      </c>
    </row>
    <row r="1792" customFormat="false" ht="15" hidden="false" customHeight="false" outlineLevel="0" collapsed="false">
      <c r="A1792" s="2" t="s">
        <v>1370</v>
      </c>
      <c r="B1792" s="2" t="s">
        <v>45</v>
      </c>
      <c r="C1792" s="14" t="s">
        <v>1371</v>
      </c>
      <c r="D1792" s="40" t="n">
        <v>93730</v>
      </c>
      <c r="E1792" s="2" t="s">
        <v>667</v>
      </c>
      <c r="F1792" s="41" t="n">
        <v>0.0710978342046303</v>
      </c>
      <c r="G1792" s="31" t="n">
        <v>0.9</v>
      </c>
      <c r="H1792" s="42" t="n">
        <v>0.168848983663799</v>
      </c>
      <c r="I1792" s="31" t="n">
        <v>84.1</v>
      </c>
      <c r="J1792" s="2" t="s">
        <v>2704</v>
      </c>
      <c r="K1792" s="43" t="n">
        <v>0.0555555555555556</v>
      </c>
      <c r="L1792" s="31" t="n">
        <v>15.9</v>
      </c>
      <c r="M1792" s="39" t="s">
        <v>671</v>
      </c>
      <c r="N1792" s="2" t="s">
        <v>21</v>
      </c>
      <c r="O1792" s="2" t="s">
        <v>21</v>
      </c>
      <c r="P1792" s="2" t="s">
        <v>21</v>
      </c>
      <c r="Q1792" s="2" t="s">
        <v>21</v>
      </c>
    </row>
    <row r="1793" customFormat="false" ht="15" hidden="false" customHeight="false" outlineLevel="0" collapsed="false">
      <c r="A1793" s="2" t="s">
        <v>1370</v>
      </c>
      <c r="B1793" s="2" t="s">
        <v>46</v>
      </c>
      <c r="C1793" s="16"/>
      <c r="D1793" s="29"/>
      <c r="E1793" s="2"/>
      <c r="F1793" s="30"/>
      <c r="G1793" s="31"/>
      <c r="H1793" s="32"/>
      <c r="I1793" s="31"/>
      <c r="J1793" s="2"/>
      <c r="K1793" s="33"/>
      <c r="L1793" s="31"/>
      <c r="M1793" s="34" t="s">
        <v>668</v>
      </c>
      <c r="N1793" s="2"/>
      <c r="O1793" s="2"/>
      <c r="P1793" s="2"/>
      <c r="Q1793" s="2"/>
    </row>
    <row r="1794" customFormat="false" ht="15" hidden="false" customHeight="false" outlineLevel="0" collapsed="false">
      <c r="A1794" s="2" t="s">
        <v>1370</v>
      </c>
      <c r="B1794" s="2" t="s">
        <v>47</v>
      </c>
      <c r="C1794" s="15" t="s">
        <v>3149</v>
      </c>
      <c r="D1794" s="44" t="n">
        <v>27972</v>
      </c>
      <c r="E1794" s="2" t="s">
        <v>667</v>
      </c>
      <c r="F1794" s="30"/>
      <c r="G1794" s="31"/>
      <c r="H1794" s="46" t="n">
        <v>0.0639786991251427</v>
      </c>
      <c r="I1794" s="31" t="n">
        <v>36.9</v>
      </c>
      <c r="J1794" s="2" t="s">
        <v>2697</v>
      </c>
      <c r="K1794" s="33"/>
      <c r="L1794" s="31"/>
      <c r="M1794" s="34" t="s">
        <v>668</v>
      </c>
      <c r="N1794" s="2" t="s">
        <v>17</v>
      </c>
      <c r="O1794" s="2"/>
      <c r="P1794" s="2" t="s">
        <v>17</v>
      </c>
      <c r="Q1794" s="2"/>
    </row>
    <row r="1795" customFormat="false" ht="15" hidden="false" customHeight="false" outlineLevel="0" collapsed="false">
      <c r="A1795" s="2" t="s">
        <v>466</v>
      </c>
      <c r="B1795" s="2" t="s">
        <v>45</v>
      </c>
      <c r="C1795" s="14" t="s">
        <v>1252</v>
      </c>
      <c r="D1795" s="40" t="n">
        <v>26140</v>
      </c>
      <c r="E1795" s="2" t="s">
        <v>667</v>
      </c>
      <c r="F1795" s="41" t="n">
        <v>0.329533282325937</v>
      </c>
      <c r="G1795" s="31" t="n">
        <v>21.6</v>
      </c>
      <c r="H1795" s="42" t="n">
        <v>-0.0528985507246377</v>
      </c>
      <c r="I1795" s="31" t="n">
        <v>3.6</v>
      </c>
      <c r="J1795" s="2" t="s">
        <v>2704</v>
      </c>
      <c r="K1795" s="43" t="n">
        <v>0.301320528211285</v>
      </c>
      <c r="L1795" s="31" t="n">
        <v>91.4</v>
      </c>
      <c r="M1795" s="39" t="s">
        <v>671</v>
      </c>
      <c r="N1795" s="2" t="s">
        <v>21</v>
      </c>
      <c r="O1795" s="2" t="s">
        <v>21</v>
      </c>
      <c r="P1795" s="2" t="s">
        <v>21</v>
      </c>
      <c r="Q1795" s="2" t="s">
        <v>21</v>
      </c>
    </row>
    <row r="1796" customFormat="false" ht="15" hidden="false" customHeight="false" outlineLevel="0" collapsed="false">
      <c r="A1796" s="2" t="s">
        <v>466</v>
      </c>
      <c r="B1796" s="2" t="s">
        <v>46</v>
      </c>
      <c r="C1796" s="14" t="s">
        <v>1897</v>
      </c>
      <c r="D1796" s="40" t="n">
        <v>71930</v>
      </c>
      <c r="E1796" s="2" t="s">
        <v>667</v>
      </c>
      <c r="F1796" s="41" t="n">
        <v>1.39867927151397</v>
      </c>
      <c r="G1796" s="31" t="n">
        <v>12.7</v>
      </c>
      <c r="H1796" s="42" t="n">
        <v>0.0676859136113997</v>
      </c>
      <c r="I1796" s="31" t="n">
        <v>39</v>
      </c>
      <c r="J1796" s="2" t="s">
        <v>2700</v>
      </c>
      <c r="K1796" s="43" t="n">
        <v>0.115415788620522</v>
      </c>
      <c r="L1796" s="31" t="n">
        <v>38.9</v>
      </c>
      <c r="M1796" s="39" t="s">
        <v>671</v>
      </c>
      <c r="N1796" s="2" t="s">
        <v>21</v>
      </c>
      <c r="O1796" s="2" t="s">
        <v>21</v>
      </c>
      <c r="P1796" s="2" t="s">
        <v>21</v>
      </c>
      <c r="Q1796" s="2" t="s">
        <v>21</v>
      </c>
    </row>
    <row r="1797" customFormat="false" ht="15" hidden="false" customHeight="false" outlineLevel="0" collapsed="false">
      <c r="A1797" s="2" t="s">
        <v>466</v>
      </c>
      <c r="B1797" s="2" t="s">
        <v>47</v>
      </c>
      <c r="C1797" s="13" t="s">
        <v>2080</v>
      </c>
      <c r="D1797" s="35" t="n">
        <v>163778</v>
      </c>
      <c r="E1797" s="2" t="s">
        <v>670</v>
      </c>
      <c r="F1797" s="36" t="n">
        <v>2.58173869506283</v>
      </c>
      <c r="G1797" s="31" t="n">
        <v>83.8</v>
      </c>
      <c r="H1797" s="37" t="n">
        <v>0.106638017243709</v>
      </c>
      <c r="I1797" s="31" t="n">
        <v>62</v>
      </c>
      <c r="J1797" s="2" t="s">
        <v>2701</v>
      </c>
      <c r="K1797" s="38" t="n">
        <v>0.0921244752692097</v>
      </c>
      <c r="L1797" s="31" t="n">
        <v>50.3</v>
      </c>
      <c r="M1797" s="39" t="s">
        <v>671</v>
      </c>
      <c r="N1797" s="2" t="s">
        <v>19</v>
      </c>
      <c r="O1797" s="2" t="s">
        <v>19</v>
      </c>
      <c r="P1797" s="2" t="s">
        <v>19</v>
      </c>
      <c r="Q1797" s="2" t="s">
        <v>19</v>
      </c>
    </row>
    <row r="1798" customFormat="false" ht="15" hidden="false" customHeight="false" outlineLevel="0" collapsed="false">
      <c r="A1798" s="2" t="s">
        <v>3150</v>
      </c>
      <c r="B1798" s="2" t="s">
        <v>45</v>
      </c>
      <c r="C1798" s="16"/>
      <c r="D1798" s="29"/>
      <c r="E1798" s="2"/>
      <c r="F1798" s="30"/>
      <c r="G1798" s="31"/>
      <c r="H1798" s="32"/>
      <c r="I1798" s="31"/>
      <c r="J1798" s="2"/>
      <c r="K1798" s="33"/>
      <c r="L1798" s="31"/>
      <c r="M1798" s="34" t="s">
        <v>668</v>
      </c>
      <c r="N1798" s="2"/>
      <c r="O1798" s="2"/>
      <c r="P1798" s="2"/>
      <c r="Q1798" s="2"/>
    </row>
    <row r="1799" customFormat="false" ht="15" hidden="false" customHeight="false" outlineLevel="0" collapsed="false">
      <c r="A1799" s="2" t="s">
        <v>3150</v>
      </c>
      <c r="B1799" s="2" t="s">
        <v>46</v>
      </c>
      <c r="C1799" s="16"/>
      <c r="D1799" s="29"/>
      <c r="E1799" s="2"/>
      <c r="F1799" s="30"/>
      <c r="G1799" s="31"/>
      <c r="H1799" s="32"/>
      <c r="I1799" s="31"/>
      <c r="J1799" s="2"/>
      <c r="K1799" s="33"/>
      <c r="L1799" s="31"/>
      <c r="M1799" s="34" t="s">
        <v>668</v>
      </c>
      <c r="N1799" s="2"/>
      <c r="O1799" s="2"/>
      <c r="P1799" s="2"/>
      <c r="Q1799" s="2"/>
    </row>
    <row r="1800" customFormat="false" ht="15" hidden="false" customHeight="false" outlineLevel="0" collapsed="false">
      <c r="A1800" s="2" t="s">
        <v>2469</v>
      </c>
      <c r="B1800" s="2" t="s">
        <v>45</v>
      </c>
      <c r="C1800" s="16"/>
      <c r="D1800" s="29"/>
      <c r="E1800" s="2"/>
      <c r="F1800" s="30"/>
      <c r="G1800" s="31"/>
      <c r="H1800" s="32"/>
      <c r="I1800" s="31"/>
      <c r="J1800" s="2"/>
      <c r="K1800" s="33"/>
      <c r="L1800" s="31"/>
      <c r="M1800" s="34" t="s">
        <v>668</v>
      </c>
      <c r="N1800" s="2"/>
      <c r="O1800" s="2"/>
      <c r="P1800" s="2"/>
      <c r="Q1800" s="2"/>
    </row>
    <row r="1801" customFormat="false" ht="15" hidden="false" customHeight="false" outlineLevel="0" collapsed="false">
      <c r="A1801" s="2" t="s">
        <v>2469</v>
      </c>
      <c r="B1801" s="2" t="s">
        <v>46</v>
      </c>
      <c r="C1801" s="15" t="s">
        <v>3151</v>
      </c>
      <c r="D1801" s="44" t="n">
        <v>25675</v>
      </c>
      <c r="E1801" s="2" t="s">
        <v>667</v>
      </c>
      <c r="F1801" s="45" t="n">
        <v>8.60510223953262</v>
      </c>
      <c r="G1801" s="31" t="n">
        <v>92.8</v>
      </c>
      <c r="H1801" s="46" t="n">
        <v>0.192466675955599</v>
      </c>
      <c r="I1801" s="31" t="n">
        <v>92.5</v>
      </c>
      <c r="J1801" s="2" t="s">
        <v>2700</v>
      </c>
      <c r="K1801" s="33"/>
      <c r="L1801" s="31"/>
      <c r="M1801" s="34" t="s">
        <v>668</v>
      </c>
      <c r="N1801" s="2" t="s">
        <v>17</v>
      </c>
      <c r="O1801" s="2" t="s">
        <v>17</v>
      </c>
      <c r="P1801" s="2" t="s">
        <v>17</v>
      </c>
      <c r="Q1801" s="2"/>
    </row>
    <row r="1802" customFormat="false" ht="15" hidden="false" customHeight="false" outlineLevel="0" collapsed="false">
      <c r="A1802" s="2" t="s">
        <v>2469</v>
      </c>
      <c r="B1802" s="2" t="s">
        <v>47</v>
      </c>
      <c r="C1802" s="13" t="s">
        <v>2470</v>
      </c>
      <c r="D1802" s="35" t="n">
        <v>43348</v>
      </c>
      <c r="E1802" s="2" t="s">
        <v>667</v>
      </c>
      <c r="F1802" s="36" t="n">
        <v>0.857294454184738</v>
      </c>
      <c r="G1802" s="31" t="n">
        <v>29.8</v>
      </c>
      <c r="H1802" s="37" t="n">
        <v>0.143927798596084</v>
      </c>
      <c r="I1802" s="31" t="n">
        <v>74.8</v>
      </c>
      <c r="J1802" s="2" t="s">
        <v>2697</v>
      </c>
      <c r="K1802" s="38" t="n">
        <v>0.0411960132890366</v>
      </c>
      <c r="L1802" s="31" t="n">
        <v>26.1</v>
      </c>
      <c r="M1802" s="39" t="s">
        <v>671</v>
      </c>
      <c r="N1802" s="2" t="s">
        <v>19</v>
      </c>
      <c r="O1802" s="2" t="s">
        <v>19</v>
      </c>
      <c r="P1802" s="2" t="s">
        <v>19</v>
      </c>
      <c r="Q1802" s="2" t="s">
        <v>19</v>
      </c>
    </row>
    <row r="1803" customFormat="false" ht="15" hidden="false" customHeight="false" outlineLevel="0" collapsed="false">
      <c r="A1803" s="2" t="s">
        <v>338</v>
      </c>
      <c r="B1803" s="2" t="s">
        <v>45</v>
      </c>
      <c r="C1803" s="13" t="s">
        <v>1038</v>
      </c>
      <c r="D1803" s="35" t="n">
        <v>312627</v>
      </c>
      <c r="E1803" s="2" t="s">
        <v>670</v>
      </c>
      <c r="F1803" s="36" t="n">
        <v>0.609317173500689</v>
      </c>
      <c r="G1803" s="31" t="n">
        <v>50.4</v>
      </c>
      <c r="H1803" s="37" t="n">
        <v>0.0557122065045977</v>
      </c>
      <c r="I1803" s="31" t="n">
        <v>35.5</v>
      </c>
      <c r="J1803" s="2" t="s">
        <v>2698</v>
      </c>
      <c r="K1803" s="47" t="s">
        <v>680</v>
      </c>
      <c r="L1803" s="31"/>
      <c r="M1803" s="39" t="s">
        <v>671</v>
      </c>
      <c r="N1803" s="2" t="s">
        <v>19</v>
      </c>
      <c r="O1803" s="2" t="s">
        <v>19</v>
      </c>
      <c r="P1803" s="2" t="s">
        <v>19</v>
      </c>
      <c r="Q1803" s="2" t="s">
        <v>2715</v>
      </c>
    </row>
    <row r="1804" customFormat="false" ht="15" hidden="false" customHeight="false" outlineLevel="0" collapsed="false">
      <c r="A1804" s="2" t="s">
        <v>338</v>
      </c>
      <c r="B1804" s="2" t="s">
        <v>46</v>
      </c>
      <c r="C1804" s="14" t="s">
        <v>1406</v>
      </c>
      <c r="D1804" s="40" t="n">
        <v>15300</v>
      </c>
      <c r="E1804" s="2" t="s">
        <v>667</v>
      </c>
      <c r="F1804" s="41" t="n">
        <v>9.67130718954248</v>
      </c>
      <c r="G1804" s="31" t="n">
        <v>95.6</v>
      </c>
      <c r="H1804" s="42" t="n">
        <v>0.0588235294117647</v>
      </c>
      <c r="I1804" s="31" t="n">
        <v>34.9</v>
      </c>
      <c r="J1804" s="2" t="s">
        <v>2700</v>
      </c>
      <c r="K1804" s="43" t="n">
        <v>0.420128689327179</v>
      </c>
      <c r="L1804" s="31" t="n">
        <v>98.4</v>
      </c>
      <c r="M1804" s="39" t="s">
        <v>671</v>
      </c>
      <c r="N1804" s="2" t="s">
        <v>21</v>
      </c>
      <c r="O1804" s="2" t="s">
        <v>21</v>
      </c>
      <c r="P1804" s="2" t="s">
        <v>21</v>
      </c>
      <c r="Q1804" s="2" t="s">
        <v>21</v>
      </c>
    </row>
    <row r="1805" customFormat="false" ht="15" hidden="false" customHeight="false" outlineLevel="0" collapsed="false">
      <c r="A1805" s="2" t="s">
        <v>338</v>
      </c>
      <c r="B1805" s="2" t="s">
        <v>47</v>
      </c>
      <c r="C1805" s="13" t="s">
        <v>2584</v>
      </c>
      <c r="D1805" s="35" t="n">
        <v>42796</v>
      </c>
      <c r="E1805" s="2" t="s">
        <v>667</v>
      </c>
      <c r="F1805" s="36" t="n">
        <v>0.574820076642677</v>
      </c>
      <c r="G1805" s="31" t="n">
        <v>15</v>
      </c>
      <c r="H1805" s="37" t="n">
        <v>0.170568927789934</v>
      </c>
      <c r="I1805" s="31" t="n">
        <v>86.5</v>
      </c>
      <c r="J1805" s="2" t="s">
        <v>2697</v>
      </c>
      <c r="K1805" s="38" t="n">
        <v>0.0544943820224719</v>
      </c>
      <c r="L1805" s="31" t="n">
        <v>33.9</v>
      </c>
      <c r="M1805" s="39" t="s">
        <v>671</v>
      </c>
      <c r="N1805" s="2" t="s">
        <v>19</v>
      </c>
      <c r="O1805" s="2" t="s">
        <v>19</v>
      </c>
      <c r="P1805" s="2" t="s">
        <v>19</v>
      </c>
      <c r="Q1805" s="2" t="s">
        <v>19</v>
      </c>
    </row>
    <row r="1806" customFormat="false" ht="15" hidden="false" customHeight="false" outlineLevel="0" collapsed="false">
      <c r="A1806" s="2" t="s">
        <v>3152</v>
      </c>
      <c r="B1806" s="2" t="s">
        <v>45</v>
      </c>
      <c r="C1806" s="16"/>
      <c r="D1806" s="29"/>
      <c r="E1806" s="2"/>
      <c r="F1806" s="30"/>
      <c r="G1806" s="31"/>
      <c r="H1806" s="32"/>
      <c r="I1806" s="31"/>
      <c r="J1806" s="2"/>
      <c r="K1806" s="33"/>
      <c r="L1806" s="31"/>
      <c r="M1806" s="34" t="s">
        <v>668</v>
      </c>
      <c r="N1806" s="2"/>
      <c r="O1806" s="2"/>
      <c r="P1806" s="2"/>
      <c r="Q1806" s="2"/>
    </row>
    <row r="1807" customFormat="false" ht="15" hidden="false" customHeight="false" outlineLevel="0" collapsed="false">
      <c r="A1807" s="2" t="s">
        <v>3152</v>
      </c>
      <c r="B1807" s="2" t="s">
        <v>46</v>
      </c>
      <c r="C1807" s="14" t="s">
        <v>3153</v>
      </c>
      <c r="D1807" s="29"/>
      <c r="E1807" s="2"/>
      <c r="F1807" s="30"/>
      <c r="G1807" s="31"/>
      <c r="H1807" s="32"/>
      <c r="I1807" s="31"/>
      <c r="J1807" s="2"/>
      <c r="K1807" s="43" t="n">
        <v>0.126674937965261</v>
      </c>
      <c r="L1807" s="31" t="n">
        <v>47.9</v>
      </c>
      <c r="M1807" s="34" t="s">
        <v>668</v>
      </c>
      <c r="N1807" s="2"/>
      <c r="O1807" s="2"/>
      <c r="P1807" s="2"/>
      <c r="Q1807" s="2" t="s">
        <v>21</v>
      </c>
    </row>
    <row r="1808" customFormat="false" ht="15" hidden="false" customHeight="false" outlineLevel="0" collapsed="false">
      <c r="A1808" s="2" t="s">
        <v>1433</v>
      </c>
      <c r="B1808" s="2" t="s">
        <v>45</v>
      </c>
      <c r="C1808" s="13" t="s">
        <v>3154</v>
      </c>
      <c r="D1808" s="44" t="n">
        <v>39545</v>
      </c>
      <c r="E1808" s="2" t="s">
        <v>667</v>
      </c>
      <c r="F1808" s="30"/>
      <c r="G1808" s="31"/>
      <c r="H1808" s="46" t="n">
        <v>0.0665641772527443</v>
      </c>
      <c r="I1808" s="31" t="n">
        <v>34.1</v>
      </c>
      <c r="J1808" s="2" t="s">
        <v>2704</v>
      </c>
      <c r="K1808" s="38" t="n">
        <v>0.139778325123153</v>
      </c>
      <c r="L1808" s="31" t="n">
        <v>51.9</v>
      </c>
      <c r="M1808" s="34" t="s">
        <v>668</v>
      </c>
      <c r="N1808" s="2" t="s">
        <v>17</v>
      </c>
      <c r="O1808" s="2" t="s">
        <v>3155</v>
      </c>
      <c r="P1808" s="2" t="s">
        <v>17</v>
      </c>
      <c r="Q1808" s="2" t="s">
        <v>19</v>
      </c>
    </row>
    <row r="1809" customFormat="false" ht="15" hidden="false" customHeight="false" outlineLevel="0" collapsed="false">
      <c r="A1809" s="2" t="s">
        <v>1433</v>
      </c>
      <c r="B1809" s="2" t="s">
        <v>46</v>
      </c>
      <c r="C1809" s="13" t="s">
        <v>1434</v>
      </c>
      <c r="D1809" s="35" t="n">
        <v>16602</v>
      </c>
      <c r="E1809" s="2" t="s">
        <v>667</v>
      </c>
      <c r="F1809" s="36" t="n">
        <v>8.09643416455849</v>
      </c>
      <c r="G1809" s="31" t="n">
        <v>90.7</v>
      </c>
      <c r="H1809" s="37" t="n">
        <v>0.0250046304871272</v>
      </c>
      <c r="I1809" s="31" t="n">
        <v>18.7</v>
      </c>
      <c r="J1809" s="2" t="s">
        <v>2700</v>
      </c>
      <c r="K1809" s="38" t="n">
        <v>0.102317128577919</v>
      </c>
      <c r="L1809" s="31" t="n">
        <v>33.7</v>
      </c>
      <c r="M1809" s="39" t="s">
        <v>671</v>
      </c>
      <c r="N1809" s="2" t="s">
        <v>19</v>
      </c>
      <c r="O1809" s="2" t="s">
        <v>19</v>
      </c>
      <c r="P1809" s="2" t="s">
        <v>19</v>
      </c>
      <c r="Q1809" s="2" t="s">
        <v>19</v>
      </c>
    </row>
    <row r="1810" customFormat="false" ht="15" hidden="false" customHeight="false" outlineLevel="0" collapsed="false">
      <c r="A1810" s="2" t="s">
        <v>1433</v>
      </c>
      <c r="B1810" s="2" t="s">
        <v>47</v>
      </c>
      <c r="C1810" s="13" t="s">
        <v>2192</v>
      </c>
      <c r="D1810" s="35" t="n">
        <v>11271</v>
      </c>
      <c r="E1810" s="2" t="s">
        <v>667</v>
      </c>
      <c r="F1810" s="36" t="n">
        <v>1.72451424008517</v>
      </c>
      <c r="G1810" s="31" t="n">
        <v>66.2</v>
      </c>
      <c r="H1810" s="37" t="n">
        <v>0.159687210618376</v>
      </c>
      <c r="I1810" s="31" t="n">
        <v>80.9</v>
      </c>
      <c r="J1810" s="2" t="s">
        <v>2697</v>
      </c>
      <c r="K1810" s="38" t="n">
        <v>0.082378223495702</v>
      </c>
      <c r="L1810" s="31" t="n">
        <v>45.7</v>
      </c>
      <c r="M1810" s="39" t="s">
        <v>671</v>
      </c>
      <c r="N1810" s="2" t="s">
        <v>19</v>
      </c>
      <c r="O1810" s="2" t="s">
        <v>19</v>
      </c>
      <c r="P1810" s="2" t="s">
        <v>19</v>
      </c>
      <c r="Q1810" s="2" t="s">
        <v>19</v>
      </c>
    </row>
    <row r="1811" customFormat="false" ht="15" hidden="false" customHeight="false" outlineLevel="0" collapsed="false">
      <c r="A1811" s="2" t="s">
        <v>768</v>
      </c>
      <c r="B1811" s="2" t="s">
        <v>45</v>
      </c>
      <c r="C1811" s="14" t="s">
        <v>769</v>
      </c>
      <c r="D1811" s="40" t="n">
        <v>126640</v>
      </c>
      <c r="E1811" s="2" t="s">
        <v>670</v>
      </c>
      <c r="F1811" s="41" t="n">
        <v>1.40388502842704</v>
      </c>
      <c r="G1811" s="31" t="n">
        <v>87.2</v>
      </c>
      <c r="H1811" s="42" t="n">
        <v>0.0912537699267557</v>
      </c>
      <c r="I1811" s="31" t="n">
        <v>55.8</v>
      </c>
      <c r="J1811" s="2" t="s">
        <v>2698</v>
      </c>
      <c r="K1811" s="43" t="n">
        <v>0.211840968020743</v>
      </c>
      <c r="L1811" s="31" t="n">
        <v>74.3</v>
      </c>
      <c r="M1811" s="39" t="s">
        <v>671</v>
      </c>
      <c r="N1811" s="2" t="s">
        <v>21</v>
      </c>
      <c r="O1811" s="2" t="s">
        <v>21</v>
      </c>
      <c r="P1811" s="2" t="s">
        <v>21</v>
      </c>
      <c r="Q1811" s="2" t="s">
        <v>21</v>
      </c>
    </row>
    <row r="1812" customFormat="false" ht="15" hidden="false" customHeight="false" outlineLevel="0" collapsed="false">
      <c r="A1812" s="2" t="s">
        <v>768</v>
      </c>
      <c r="B1812" s="2" t="s">
        <v>46</v>
      </c>
      <c r="C1812" s="16"/>
      <c r="D1812" s="29"/>
      <c r="E1812" s="2"/>
      <c r="F1812" s="30"/>
      <c r="G1812" s="31"/>
      <c r="H1812" s="32"/>
      <c r="I1812" s="31"/>
      <c r="J1812" s="2"/>
      <c r="K1812" s="33"/>
      <c r="L1812" s="31"/>
      <c r="M1812" s="34" t="s">
        <v>668</v>
      </c>
      <c r="N1812" s="2"/>
      <c r="O1812" s="2"/>
      <c r="P1812" s="2"/>
      <c r="Q1812" s="2"/>
    </row>
    <row r="1813" customFormat="false" ht="15" hidden="false" customHeight="false" outlineLevel="0" collapsed="false">
      <c r="A1813" s="2" t="s">
        <v>768</v>
      </c>
      <c r="B1813" s="2" t="s">
        <v>47</v>
      </c>
      <c r="C1813" s="13" t="s">
        <v>2525</v>
      </c>
      <c r="D1813" s="35" t="n">
        <v>30114</v>
      </c>
      <c r="E1813" s="2" t="s">
        <v>667</v>
      </c>
      <c r="F1813" s="36" t="n">
        <v>0.743840074384008</v>
      </c>
      <c r="G1813" s="31" t="n">
        <v>23.4</v>
      </c>
      <c r="H1813" s="37" t="n">
        <v>0.146588486140725</v>
      </c>
      <c r="I1813" s="31" t="n">
        <v>76.2</v>
      </c>
      <c r="J1813" s="2" t="s">
        <v>2697</v>
      </c>
      <c r="K1813" s="38" t="n">
        <v>0.0817409766454352</v>
      </c>
      <c r="L1813" s="31" t="n">
        <v>45.3</v>
      </c>
      <c r="M1813" s="39" t="s">
        <v>671</v>
      </c>
      <c r="N1813" s="2" t="s">
        <v>19</v>
      </c>
      <c r="O1813" s="2" t="s">
        <v>19</v>
      </c>
      <c r="P1813" s="2" t="s">
        <v>19</v>
      </c>
      <c r="Q1813" s="2" t="s">
        <v>19</v>
      </c>
    </row>
    <row r="1814" customFormat="false" ht="15" hidden="false" customHeight="false" outlineLevel="0" collapsed="false">
      <c r="A1814" s="2" t="s">
        <v>2507</v>
      </c>
      <c r="B1814" s="2" t="s">
        <v>45</v>
      </c>
      <c r="C1814" s="15" t="s">
        <v>3156</v>
      </c>
      <c r="D1814" s="44" t="n">
        <v>102747</v>
      </c>
      <c r="E1814" s="2" t="s">
        <v>670</v>
      </c>
      <c r="F1814" s="45" t="n">
        <v>0.18849212142447</v>
      </c>
      <c r="G1814" s="31" t="n">
        <v>7.1</v>
      </c>
      <c r="H1814" s="46" t="n">
        <v>0.127032007546673</v>
      </c>
      <c r="I1814" s="31" t="n">
        <v>68.8</v>
      </c>
      <c r="J1814" s="2" t="s">
        <v>2698</v>
      </c>
      <c r="K1814" s="33"/>
      <c r="L1814" s="31"/>
      <c r="M1814" s="34" t="s">
        <v>668</v>
      </c>
      <c r="N1814" s="2" t="s">
        <v>17</v>
      </c>
      <c r="O1814" s="2" t="s">
        <v>17</v>
      </c>
      <c r="P1814" s="2" t="s">
        <v>17</v>
      </c>
      <c r="Q1814" s="2"/>
    </row>
    <row r="1815" customFormat="false" ht="15" hidden="false" customHeight="false" outlineLevel="0" collapsed="false">
      <c r="A1815" s="2" t="s">
        <v>2507</v>
      </c>
      <c r="B1815" s="2" t="s">
        <v>46</v>
      </c>
      <c r="C1815" s="15" t="s">
        <v>3157</v>
      </c>
      <c r="D1815" s="44" t="n">
        <v>22405</v>
      </c>
      <c r="E1815" s="2" t="s">
        <v>667</v>
      </c>
      <c r="F1815" s="45" t="n">
        <v>3.70274492300826</v>
      </c>
      <c r="G1815" s="31" t="n">
        <v>57.7</v>
      </c>
      <c r="H1815" s="46" t="n">
        <v>0.270773070160513</v>
      </c>
      <c r="I1815" s="31" t="n">
        <v>99.2</v>
      </c>
      <c r="J1815" s="2" t="s">
        <v>2700</v>
      </c>
      <c r="K1815" s="33"/>
      <c r="L1815" s="31"/>
      <c r="M1815" s="34" t="s">
        <v>668</v>
      </c>
      <c r="N1815" s="2" t="s">
        <v>17</v>
      </c>
      <c r="O1815" s="2" t="s">
        <v>17</v>
      </c>
      <c r="P1815" s="2" t="s">
        <v>17</v>
      </c>
      <c r="Q1815" s="2"/>
    </row>
    <row r="1816" customFormat="false" ht="15" hidden="false" customHeight="false" outlineLevel="0" collapsed="false">
      <c r="A1816" s="2" t="s">
        <v>2507</v>
      </c>
      <c r="B1816" s="2" t="s">
        <v>47</v>
      </c>
      <c r="C1816" s="13" t="s">
        <v>2508</v>
      </c>
      <c r="D1816" s="35" t="n">
        <v>61947</v>
      </c>
      <c r="E1816" s="2" t="s">
        <v>667</v>
      </c>
      <c r="F1816" s="36" t="n">
        <v>0.787867047637497</v>
      </c>
      <c r="G1816" s="31" t="n">
        <v>25.9</v>
      </c>
      <c r="H1816" s="37" t="n">
        <v>0.152245080168149</v>
      </c>
      <c r="I1816" s="31" t="n">
        <v>78.4</v>
      </c>
      <c r="J1816" s="2" t="s">
        <v>2697</v>
      </c>
      <c r="K1816" s="38" t="n">
        <v>0.0856334041047417</v>
      </c>
      <c r="L1816" s="31" t="n">
        <v>47.4</v>
      </c>
      <c r="M1816" s="39" t="s">
        <v>671</v>
      </c>
      <c r="N1816" s="2" t="s">
        <v>19</v>
      </c>
      <c r="O1816" s="2" t="s">
        <v>19</v>
      </c>
      <c r="P1816" s="2" t="s">
        <v>19</v>
      </c>
      <c r="Q1816" s="2" t="s">
        <v>19</v>
      </c>
    </row>
    <row r="1817" customFormat="false" ht="15" hidden="false" customHeight="false" outlineLevel="0" collapsed="false">
      <c r="A1817" s="2" t="s">
        <v>1884</v>
      </c>
      <c r="B1817" s="2" t="s">
        <v>46</v>
      </c>
      <c r="C1817" s="13" t="s">
        <v>1885</v>
      </c>
      <c r="D1817" s="35" t="n">
        <v>29096</v>
      </c>
      <c r="E1817" s="2" t="s">
        <v>667</v>
      </c>
      <c r="F1817" s="36" t="n">
        <v>1.55169095408304</v>
      </c>
      <c r="G1817" s="31" t="n">
        <v>15.9</v>
      </c>
      <c r="H1817" s="37" t="n">
        <v>0.171761105070275</v>
      </c>
      <c r="I1817" s="31" t="n">
        <v>85.9</v>
      </c>
      <c r="J1817" s="2" t="s">
        <v>2700</v>
      </c>
      <c r="K1817" s="38" t="n">
        <v>0.4156162464986</v>
      </c>
      <c r="L1817" s="31" t="n">
        <v>98.2</v>
      </c>
      <c r="M1817" s="39" t="s">
        <v>671</v>
      </c>
      <c r="N1817" s="2" t="s">
        <v>19</v>
      </c>
      <c r="O1817" s="2" t="s">
        <v>19</v>
      </c>
      <c r="P1817" s="2" t="s">
        <v>19</v>
      </c>
      <c r="Q1817" s="2" t="s">
        <v>19</v>
      </c>
    </row>
    <row r="1818" customFormat="false" ht="15" hidden="false" customHeight="false" outlineLevel="0" collapsed="false">
      <c r="A1818" s="2" t="s">
        <v>1884</v>
      </c>
      <c r="B1818" s="2" t="s">
        <v>47</v>
      </c>
      <c r="C1818" s="16"/>
      <c r="D1818" s="29"/>
      <c r="E1818" s="2"/>
      <c r="F1818" s="30"/>
      <c r="G1818" s="31"/>
      <c r="H1818" s="32"/>
      <c r="I1818" s="31"/>
      <c r="J1818" s="2"/>
      <c r="K1818" s="33"/>
      <c r="L1818" s="31"/>
      <c r="M1818" s="34" t="s">
        <v>668</v>
      </c>
      <c r="N1818" s="2"/>
      <c r="O1818" s="2"/>
      <c r="P1818" s="2"/>
      <c r="Q1818" s="2"/>
    </row>
    <row r="1819" customFormat="false" ht="15" hidden="false" customHeight="false" outlineLevel="0" collapsed="false">
      <c r="A1819" s="2" t="s">
        <v>1445</v>
      </c>
      <c r="B1819" s="2" t="s">
        <v>45</v>
      </c>
      <c r="C1819" s="14" t="s">
        <v>3158</v>
      </c>
      <c r="D1819" s="40" t="n">
        <v>19560</v>
      </c>
      <c r="E1819" s="2" t="s">
        <v>667</v>
      </c>
      <c r="F1819" s="41" t="n">
        <v>2.04458077709611</v>
      </c>
      <c r="G1819" s="31" t="n">
        <v>94</v>
      </c>
      <c r="H1819" s="32"/>
      <c r="I1819" s="31"/>
      <c r="J1819" s="2"/>
      <c r="K1819" s="33"/>
      <c r="L1819" s="31"/>
      <c r="M1819" s="34" t="s">
        <v>668</v>
      </c>
      <c r="N1819" s="2" t="s">
        <v>21</v>
      </c>
      <c r="O1819" s="2" t="s">
        <v>21</v>
      </c>
      <c r="P1819" s="2"/>
      <c r="Q1819" s="2"/>
    </row>
    <row r="1820" customFormat="false" ht="15" hidden="false" customHeight="false" outlineLevel="0" collapsed="false">
      <c r="A1820" s="2" t="s">
        <v>1445</v>
      </c>
      <c r="B1820" s="2" t="s">
        <v>46</v>
      </c>
      <c r="C1820" s="14" t="s">
        <v>1446</v>
      </c>
      <c r="D1820" s="40" t="n">
        <v>12310</v>
      </c>
      <c r="E1820" s="2" t="s">
        <v>667</v>
      </c>
      <c r="F1820" s="41" t="n">
        <v>7.51941510966694</v>
      </c>
      <c r="G1820" s="31" t="n">
        <v>89.4</v>
      </c>
      <c r="H1820" s="42" t="n">
        <v>0.17799043062201</v>
      </c>
      <c r="I1820" s="31" t="n">
        <v>89.2</v>
      </c>
      <c r="J1820" s="2" t="s">
        <v>2700</v>
      </c>
      <c r="K1820" s="43" t="n">
        <v>0.181445412608919</v>
      </c>
      <c r="L1820" s="31" t="n">
        <v>66.6</v>
      </c>
      <c r="M1820" s="39" t="s">
        <v>671</v>
      </c>
      <c r="N1820" s="2" t="s">
        <v>21</v>
      </c>
      <c r="O1820" s="2" t="s">
        <v>21</v>
      </c>
      <c r="P1820" s="2" t="s">
        <v>21</v>
      </c>
      <c r="Q1820" s="2" t="s">
        <v>21</v>
      </c>
    </row>
    <row r="1821" customFormat="false" ht="15" hidden="false" customHeight="false" outlineLevel="0" collapsed="false">
      <c r="A1821" s="2" t="s">
        <v>3159</v>
      </c>
      <c r="B1821" s="2" t="s">
        <v>46</v>
      </c>
      <c r="C1821" s="14" t="s">
        <v>3160</v>
      </c>
      <c r="D1821" s="40" t="n">
        <v>14880</v>
      </c>
      <c r="E1821" s="2" t="s">
        <v>667</v>
      </c>
      <c r="F1821" s="41" t="n">
        <v>3.81438172043011</v>
      </c>
      <c r="G1821" s="31" t="n">
        <v>60.5</v>
      </c>
      <c r="H1821" s="42" t="n">
        <v>0.0798258345428157</v>
      </c>
      <c r="I1821" s="31" t="n">
        <v>44.8</v>
      </c>
      <c r="J1821" s="2" t="s">
        <v>2700</v>
      </c>
      <c r="K1821" s="33"/>
      <c r="L1821" s="31"/>
      <c r="M1821" s="34" t="s">
        <v>668</v>
      </c>
      <c r="N1821" s="2" t="s">
        <v>21</v>
      </c>
      <c r="O1821" s="2" t="s">
        <v>21</v>
      </c>
      <c r="P1821" s="2" t="s">
        <v>21</v>
      </c>
      <c r="Q1821" s="2"/>
    </row>
    <row r="1822" customFormat="false" ht="15" hidden="false" customHeight="false" outlineLevel="0" collapsed="false">
      <c r="A1822" s="2" t="s">
        <v>1220</v>
      </c>
      <c r="B1822" s="2" t="s">
        <v>45</v>
      </c>
      <c r="C1822" s="14" t="s">
        <v>1221</v>
      </c>
      <c r="D1822" s="40" t="n">
        <v>21640</v>
      </c>
      <c r="E1822" s="2" t="s">
        <v>667</v>
      </c>
      <c r="F1822" s="41" t="n">
        <v>0.352818853974122</v>
      </c>
      <c r="G1822" s="31" t="n">
        <v>25.2</v>
      </c>
      <c r="H1822" s="42" t="n">
        <v>0.113168724279835</v>
      </c>
      <c r="I1822" s="31" t="n">
        <v>60.3</v>
      </c>
      <c r="J1822" s="2" t="s">
        <v>2704</v>
      </c>
      <c r="K1822" s="43" t="n">
        <v>0.21021021021021</v>
      </c>
      <c r="L1822" s="31" t="n">
        <v>74</v>
      </c>
      <c r="M1822" s="39" t="s">
        <v>671</v>
      </c>
      <c r="N1822" s="2" t="s">
        <v>21</v>
      </c>
      <c r="O1822" s="2" t="s">
        <v>21</v>
      </c>
      <c r="P1822" s="2" t="s">
        <v>21</v>
      </c>
      <c r="Q1822" s="2" t="s">
        <v>21</v>
      </c>
    </row>
    <row r="1823" customFormat="false" ht="15" hidden="false" customHeight="false" outlineLevel="0" collapsed="false">
      <c r="A1823" s="2" t="s">
        <v>1220</v>
      </c>
      <c r="B1823" s="2" t="s">
        <v>46</v>
      </c>
      <c r="C1823" s="16"/>
      <c r="D1823" s="29"/>
      <c r="E1823" s="2"/>
      <c r="F1823" s="30"/>
      <c r="G1823" s="31"/>
      <c r="H1823" s="32"/>
      <c r="I1823" s="31"/>
      <c r="J1823" s="2"/>
      <c r="K1823" s="33"/>
      <c r="L1823" s="31"/>
      <c r="M1823" s="34" t="s">
        <v>668</v>
      </c>
      <c r="N1823" s="2"/>
      <c r="O1823" s="2"/>
      <c r="P1823" s="2"/>
      <c r="Q1823" s="2"/>
    </row>
    <row r="1824" customFormat="false" ht="15" hidden="false" customHeight="false" outlineLevel="0" collapsed="false">
      <c r="A1824" s="2" t="s">
        <v>1220</v>
      </c>
      <c r="B1824" s="2" t="s">
        <v>47</v>
      </c>
      <c r="C1824" s="13" t="s">
        <v>1991</v>
      </c>
      <c r="D1824" s="35" t="n">
        <v>1722778</v>
      </c>
      <c r="E1824" s="2" t="s">
        <v>752</v>
      </c>
      <c r="F1824" s="36" t="n">
        <v>4.35791088579028</v>
      </c>
      <c r="G1824" s="31" t="n">
        <v>96</v>
      </c>
      <c r="H1824" s="37" t="n">
        <v>0.0283620969590465</v>
      </c>
      <c r="I1824" s="31" t="n">
        <v>30</v>
      </c>
      <c r="J1824" s="2" t="s">
        <v>2738</v>
      </c>
      <c r="K1824" s="38" t="n">
        <v>0.257081221914141</v>
      </c>
      <c r="L1824" s="31" t="n">
        <v>93.5</v>
      </c>
      <c r="M1824" s="39" t="s">
        <v>671</v>
      </c>
      <c r="N1824" s="2" t="s">
        <v>19</v>
      </c>
      <c r="O1824" s="2" t="s">
        <v>19</v>
      </c>
      <c r="P1824" s="2" t="s">
        <v>19</v>
      </c>
      <c r="Q1824" s="2" t="s">
        <v>19</v>
      </c>
    </row>
    <row r="1825" customFormat="false" ht="15" hidden="false" customHeight="false" outlineLevel="0" collapsed="false">
      <c r="A1825" s="2" t="s">
        <v>818</v>
      </c>
      <c r="B1825" s="2" t="s">
        <v>45</v>
      </c>
      <c r="C1825" s="14" t="s">
        <v>819</v>
      </c>
      <c r="D1825" s="40" t="n">
        <v>95770</v>
      </c>
      <c r="E1825" s="2" t="s">
        <v>667</v>
      </c>
      <c r="F1825" s="41" t="n">
        <v>1.1640806097943</v>
      </c>
      <c r="G1825" s="31" t="n">
        <v>81</v>
      </c>
      <c r="H1825" s="42" t="n">
        <v>0.1236653760413</v>
      </c>
      <c r="I1825" s="31" t="n">
        <v>63.1</v>
      </c>
      <c r="J1825" s="2" t="s">
        <v>2704</v>
      </c>
      <c r="K1825" s="43" t="n">
        <v>0.0791800643086817</v>
      </c>
      <c r="L1825" s="31" t="n">
        <v>25.4</v>
      </c>
      <c r="M1825" s="39" t="s">
        <v>671</v>
      </c>
      <c r="N1825" s="2" t="s">
        <v>21</v>
      </c>
      <c r="O1825" s="2" t="s">
        <v>21</v>
      </c>
      <c r="P1825" s="2" t="s">
        <v>21</v>
      </c>
      <c r="Q1825" s="2" t="s">
        <v>21</v>
      </c>
    </row>
    <row r="1826" customFormat="false" ht="15" hidden="false" customHeight="false" outlineLevel="0" collapsed="false">
      <c r="A1826" s="2" t="s">
        <v>818</v>
      </c>
      <c r="B1826" s="2" t="s">
        <v>46</v>
      </c>
      <c r="C1826" s="16"/>
      <c r="D1826" s="29"/>
      <c r="E1826" s="2"/>
      <c r="F1826" s="30"/>
      <c r="G1826" s="31"/>
      <c r="H1826" s="32"/>
      <c r="I1826" s="31"/>
      <c r="J1826" s="2"/>
      <c r="K1826" s="33"/>
      <c r="L1826" s="31"/>
      <c r="M1826" s="34" t="s">
        <v>668</v>
      </c>
      <c r="N1826" s="2"/>
      <c r="O1826" s="2"/>
      <c r="P1826" s="2"/>
      <c r="Q1826" s="2"/>
    </row>
    <row r="1827" customFormat="false" ht="15" hidden="false" customHeight="false" outlineLevel="0" collapsed="false">
      <c r="A1827" s="2" t="s">
        <v>818</v>
      </c>
      <c r="B1827" s="2" t="s">
        <v>47</v>
      </c>
      <c r="C1827" s="13" t="s">
        <v>2281</v>
      </c>
      <c r="D1827" s="35" t="n">
        <v>40776</v>
      </c>
      <c r="E1827" s="2" t="s">
        <v>667</v>
      </c>
      <c r="F1827" s="36" t="n">
        <v>1.3900824014126</v>
      </c>
      <c r="G1827" s="31" t="n">
        <v>55.1</v>
      </c>
      <c r="H1827" s="37" t="n">
        <v>0.253412025082995</v>
      </c>
      <c r="I1827" s="31" t="n">
        <v>99.3</v>
      </c>
      <c r="J1827" s="2" t="s">
        <v>2697</v>
      </c>
      <c r="K1827" s="38" t="n">
        <v>0.0443151298119964</v>
      </c>
      <c r="L1827" s="31" t="n">
        <v>27.8</v>
      </c>
      <c r="M1827" s="39" t="s">
        <v>671</v>
      </c>
      <c r="N1827" s="2" t="s">
        <v>19</v>
      </c>
      <c r="O1827" s="2" t="s">
        <v>19</v>
      </c>
      <c r="P1827" s="2" t="s">
        <v>19</v>
      </c>
      <c r="Q1827" s="2" t="s">
        <v>19</v>
      </c>
    </row>
    <row r="1828" customFormat="false" ht="15" hidden="false" customHeight="false" outlineLevel="0" collapsed="false">
      <c r="A1828" s="2" t="s">
        <v>1313</v>
      </c>
      <c r="B1828" s="2" t="s">
        <v>45</v>
      </c>
      <c r="C1828" s="13" t="s">
        <v>1314</v>
      </c>
      <c r="D1828" s="35" t="n">
        <v>220002</v>
      </c>
      <c r="E1828" s="2" t="s">
        <v>670</v>
      </c>
      <c r="F1828" s="36" t="n">
        <v>0.222411614439869</v>
      </c>
      <c r="G1828" s="31" t="n">
        <v>10.9</v>
      </c>
      <c r="H1828" s="37" t="n">
        <v>-0.114370020892626</v>
      </c>
      <c r="I1828" s="31" t="n">
        <v>2.2</v>
      </c>
      <c r="J1828" s="2" t="s">
        <v>2698</v>
      </c>
      <c r="K1828" s="38" t="n">
        <v>0.121041214750542</v>
      </c>
      <c r="L1828" s="31" t="n">
        <v>43.1</v>
      </c>
      <c r="M1828" s="39" t="s">
        <v>671</v>
      </c>
      <c r="N1828" s="2" t="s">
        <v>19</v>
      </c>
      <c r="O1828" s="2" t="s">
        <v>19</v>
      </c>
      <c r="P1828" s="2" t="s">
        <v>19</v>
      </c>
      <c r="Q1828" s="2" t="s">
        <v>19</v>
      </c>
    </row>
    <row r="1829" customFormat="false" ht="15" hidden="false" customHeight="false" outlineLevel="0" collapsed="false">
      <c r="A1829" s="2" t="s">
        <v>1313</v>
      </c>
      <c r="B1829" s="2" t="s">
        <v>46</v>
      </c>
      <c r="C1829" s="16"/>
      <c r="D1829" s="29"/>
      <c r="E1829" s="2"/>
      <c r="F1829" s="30"/>
      <c r="G1829" s="31"/>
      <c r="H1829" s="32"/>
      <c r="I1829" s="31"/>
      <c r="J1829" s="2"/>
      <c r="K1829" s="33"/>
      <c r="L1829" s="31"/>
      <c r="M1829" s="34" t="s">
        <v>668</v>
      </c>
      <c r="N1829" s="2"/>
      <c r="O1829" s="2"/>
      <c r="P1829" s="2"/>
      <c r="Q1829" s="2"/>
    </row>
    <row r="1830" customFormat="false" ht="15" hidden="false" customHeight="false" outlineLevel="0" collapsed="false">
      <c r="A1830" s="2" t="s">
        <v>1313</v>
      </c>
      <c r="B1830" s="2" t="s">
        <v>47</v>
      </c>
      <c r="C1830" s="13" t="s">
        <v>2408</v>
      </c>
      <c r="D1830" s="35" t="n">
        <v>19338</v>
      </c>
      <c r="E1830" s="2" t="s">
        <v>667</v>
      </c>
      <c r="F1830" s="36" t="n">
        <v>1.00201675457648</v>
      </c>
      <c r="G1830" s="31" t="n">
        <v>37.5</v>
      </c>
      <c r="H1830" s="37" t="n">
        <v>0.139473219020682</v>
      </c>
      <c r="I1830" s="31" t="n">
        <v>72.3</v>
      </c>
      <c r="J1830" s="2" t="s">
        <v>2697</v>
      </c>
      <c r="K1830" s="38" t="n">
        <v>0.144773616545556</v>
      </c>
      <c r="L1830" s="31" t="n">
        <v>69.9</v>
      </c>
      <c r="M1830" s="39" t="s">
        <v>671</v>
      </c>
      <c r="N1830" s="2" t="s">
        <v>19</v>
      </c>
      <c r="O1830" s="2" t="s">
        <v>19</v>
      </c>
      <c r="P1830" s="2" t="s">
        <v>19</v>
      </c>
      <c r="Q1830" s="2" t="s">
        <v>19</v>
      </c>
    </row>
    <row r="1831" customFormat="false" ht="15" hidden="false" customHeight="false" outlineLevel="0" collapsed="false">
      <c r="A1831" s="2" t="s">
        <v>3161</v>
      </c>
      <c r="B1831" s="2" t="s">
        <v>46</v>
      </c>
      <c r="C1831" s="15" t="s">
        <v>3162</v>
      </c>
      <c r="D1831" s="44" t="n">
        <v>28622</v>
      </c>
      <c r="E1831" s="2" t="s">
        <v>667</v>
      </c>
      <c r="F1831" s="45" t="n">
        <v>1.93878834463001</v>
      </c>
      <c r="G1831" s="31" t="n">
        <v>24.9</v>
      </c>
      <c r="H1831" s="46" t="n">
        <v>0.0991973578094397</v>
      </c>
      <c r="I1831" s="31" t="n">
        <v>54.4</v>
      </c>
      <c r="J1831" s="2" t="s">
        <v>2700</v>
      </c>
      <c r="K1831" s="33"/>
      <c r="L1831" s="31"/>
      <c r="M1831" s="34" t="s">
        <v>668</v>
      </c>
      <c r="N1831" s="2" t="s">
        <v>17</v>
      </c>
      <c r="O1831" s="2" t="s">
        <v>17</v>
      </c>
      <c r="P1831" s="2" t="s">
        <v>17</v>
      </c>
      <c r="Q1831" s="2"/>
    </row>
    <row r="1832" customFormat="false" ht="15" hidden="false" customHeight="false" outlineLevel="0" collapsed="false">
      <c r="A1832" s="2" t="s">
        <v>2052</v>
      </c>
      <c r="B1832" s="2" t="s">
        <v>45</v>
      </c>
      <c r="C1832" s="15" t="s">
        <v>3163</v>
      </c>
      <c r="D1832" s="44" t="n">
        <v>10783</v>
      </c>
      <c r="E1832" s="2" t="s">
        <v>667</v>
      </c>
      <c r="F1832" s="30"/>
      <c r="G1832" s="31"/>
      <c r="H1832" s="46" t="n">
        <v>0.121593509465363</v>
      </c>
      <c r="I1832" s="31" t="n">
        <v>62.3</v>
      </c>
      <c r="J1832" s="2" t="s">
        <v>2704</v>
      </c>
      <c r="K1832" s="33"/>
      <c r="L1832" s="31"/>
      <c r="M1832" s="34" t="s">
        <v>668</v>
      </c>
      <c r="N1832" s="2" t="s">
        <v>17</v>
      </c>
      <c r="O1832" s="2"/>
      <c r="P1832" s="2" t="s">
        <v>17</v>
      </c>
      <c r="Q1832" s="2"/>
    </row>
    <row r="1833" customFormat="false" ht="15" hidden="false" customHeight="false" outlineLevel="0" collapsed="false">
      <c r="A1833" s="2" t="s">
        <v>2052</v>
      </c>
      <c r="B1833" s="2" t="s">
        <v>46</v>
      </c>
      <c r="C1833" s="16"/>
      <c r="D1833" s="29"/>
      <c r="E1833" s="2"/>
      <c r="F1833" s="30"/>
      <c r="G1833" s="31"/>
      <c r="H1833" s="32"/>
      <c r="I1833" s="31"/>
      <c r="J1833" s="2"/>
      <c r="K1833" s="33"/>
      <c r="L1833" s="31"/>
      <c r="M1833" s="34" t="s">
        <v>668</v>
      </c>
      <c r="N1833" s="2"/>
      <c r="O1833" s="2"/>
      <c r="P1833" s="2"/>
      <c r="Q1833" s="2"/>
    </row>
    <row r="1834" customFormat="false" ht="15" hidden="false" customHeight="false" outlineLevel="0" collapsed="false">
      <c r="A1834" s="2" t="s">
        <v>2052</v>
      </c>
      <c r="B1834" s="2" t="s">
        <v>47</v>
      </c>
      <c r="C1834" s="14" t="s">
        <v>2053</v>
      </c>
      <c r="D1834" s="40" t="n">
        <v>36450</v>
      </c>
      <c r="E1834" s="2" t="s">
        <v>667</v>
      </c>
      <c r="F1834" s="41" t="n">
        <v>2.83939643347051</v>
      </c>
      <c r="G1834" s="31" t="n">
        <v>87.8</v>
      </c>
      <c r="H1834" s="42" t="n">
        <v>0.112977099236641</v>
      </c>
      <c r="I1834" s="31" t="n">
        <v>60.6</v>
      </c>
      <c r="J1834" s="2" t="s">
        <v>2697</v>
      </c>
      <c r="K1834" s="43" t="n">
        <v>0.191272315103429</v>
      </c>
      <c r="L1834" s="31" t="n">
        <v>81</v>
      </c>
      <c r="M1834" s="39" t="s">
        <v>671</v>
      </c>
      <c r="N1834" s="2" t="s">
        <v>21</v>
      </c>
      <c r="O1834" s="2" t="s">
        <v>21</v>
      </c>
      <c r="P1834" s="2" t="s">
        <v>21</v>
      </c>
      <c r="Q1834" s="2" t="s">
        <v>21</v>
      </c>
    </row>
    <row r="1835" customFormat="false" ht="15" hidden="false" customHeight="false" outlineLevel="0" collapsed="false">
      <c r="A1835" s="2" t="s">
        <v>2324</v>
      </c>
      <c r="B1835" s="2" t="s">
        <v>45</v>
      </c>
      <c r="C1835" s="14" t="s">
        <v>3164</v>
      </c>
      <c r="D1835" s="40" t="n">
        <v>23860</v>
      </c>
      <c r="E1835" s="2" t="s">
        <v>667</v>
      </c>
      <c r="F1835" s="41" t="n">
        <v>0.363160100586756</v>
      </c>
      <c r="G1835" s="31" t="n">
        <v>25.9</v>
      </c>
      <c r="H1835" s="32"/>
      <c r="I1835" s="31"/>
      <c r="J1835" s="2"/>
      <c r="K1835" s="43" t="n">
        <v>0.0546218487394958</v>
      </c>
      <c r="L1835" s="31" t="n">
        <v>15.2</v>
      </c>
      <c r="M1835" s="34" t="s">
        <v>668</v>
      </c>
      <c r="N1835" s="2" t="s">
        <v>21</v>
      </c>
      <c r="O1835" s="2" t="s">
        <v>21</v>
      </c>
      <c r="P1835" s="2"/>
      <c r="Q1835" s="2" t="s">
        <v>21</v>
      </c>
    </row>
    <row r="1836" customFormat="false" ht="15" hidden="false" customHeight="false" outlineLevel="0" collapsed="false">
      <c r="A1836" s="2" t="s">
        <v>2324</v>
      </c>
      <c r="B1836" s="2" t="s">
        <v>46</v>
      </c>
      <c r="C1836" s="15" t="s">
        <v>3165</v>
      </c>
      <c r="D1836" s="29"/>
      <c r="E1836" s="2"/>
      <c r="F1836" s="30"/>
      <c r="G1836" s="31"/>
      <c r="H1836" s="32"/>
      <c r="I1836" s="31"/>
      <c r="J1836" s="2"/>
      <c r="K1836" s="33"/>
      <c r="L1836" s="31"/>
      <c r="M1836" s="34" t="s">
        <v>668</v>
      </c>
      <c r="N1836" s="2"/>
      <c r="O1836" s="2"/>
      <c r="P1836" s="2"/>
      <c r="Q1836" s="2"/>
    </row>
    <row r="1837" customFormat="false" ht="15" hidden="false" customHeight="false" outlineLevel="0" collapsed="false">
      <c r="A1837" s="2" t="s">
        <v>2324</v>
      </c>
      <c r="B1837" s="2" t="s">
        <v>47</v>
      </c>
      <c r="C1837" s="13" t="s">
        <v>2325</v>
      </c>
      <c r="D1837" s="35" t="n">
        <v>80009</v>
      </c>
      <c r="E1837" s="2" t="s">
        <v>667</v>
      </c>
      <c r="F1837" s="36" t="n">
        <v>1.18416678123711</v>
      </c>
      <c r="G1837" s="31" t="n">
        <v>48.7</v>
      </c>
      <c r="H1837" s="37" t="n">
        <v>-0.0295234283080431</v>
      </c>
      <c r="I1837" s="31" t="n">
        <v>5</v>
      </c>
      <c r="J1837" s="2" t="s">
        <v>2697</v>
      </c>
      <c r="K1837" s="38" t="n">
        <v>0.136738578680203</v>
      </c>
      <c r="L1837" s="31" t="n">
        <v>67.8</v>
      </c>
      <c r="M1837" s="39" t="s">
        <v>671</v>
      </c>
      <c r="N1837" s="2" t="s">
        <v>19</v>
      </c>
      <c r="O1837" s="2" t="s">
        <v>19</v>
      </c>
      <c r="P1837" s="2" t="s">
        <v>19</v>
      </c>
      <c r="Q1837" s="2" t="s">
        <v>19</v>
      </c>
    </row>
    <row r="1838" customFormat="false" ht="15" hidden="false" customHeight="false" outlineLevel="0" collapsed="false">
      <c r="A1838" s="2" t="s">
        <v>1081</v>
      </c>
      <c r="B1838" s="2" t="s">
        <v>45</v>
      </c>
      <c r="C1838" s="14" t="s">
        <v>1082</v>
      </c>
      <c r="D1838" s="40" t="n">
        <v>55400</v>
      </c>
      <c r="E1838" s="2" t="s">
        <v>667</v>
      </c>
      <c r="F1838" s="41" t="n">
        <v>0.545667870036101</v>
      </c>
      <c r="G1838" s="31" t="n">
        <v>44.7</v>
      </c>
      <c r="H1838" s="42" t="n">
        <v>0.0845732184808144</v>
      </c>
      <c r="I1838" s="31" t="n">
        <v>48.4</v>
      </c>
      <c r="J1838" s="2" t="s">
        <v>2704</v>
      </c>
      <c r="K1838" s="43" t="n">
        <v>0.0809302325581395</v>
      </c>
      <c r="L1838" s="31" t="n">
        <v>26.8</v>
      </c>
      <c r="M1838" s="39" t="s">
        <v>671</v>
      </c>
      <c r="N1838" s="2" t="s">
        <v>21</v>
      </c>
      <c r="O1838" s="2" t="s">
        <v>21</v>
      </c>
      <c r="P1838" s="2" t="s">
        <v>21</v>
      </c>
      <c r="Q1838" s="2" t="s">
        <v>21</v>
      </c>
    </row>
    <row r="1839" customFormat="false" ht="15" hidden="false" customHeight="false" outlineLevel="0" collapsed="false">
      <c r="A1839" s="2" t="s">
        <v>1081</v>
      </c>
      <c r="B1839" s="2" t="s">
        <v>46</v>
      </c>
      <c r="C1839" s="14" t="s">
        <v>3166</v>
      </c>
      <c r="D1839" s="40" t="n">
        <v>47420</v>
      </c>
      <c r="E1839" s="2" t="s">
        <v>667</v>
      </c>
      <c r="F1839" s="30"/>
      <c r="G1839" s="31"/>
      <c r="H1839" s="42" t="n">
        <v>0.0658574960665318</v>
      </c>
      <c r="I1839" s="31" t="n">
        <v>36.9</v>
      </c>
      <c r="J1839" s="2" t="s">
        <v>2700</v>
      </c>
      <c r="K1839" s="33"/>
      <c r="L1839" s="31"/>
      <c r="M1839" s="34" t="s">
        <v>668</v>
      </c>
      <c r="N1839" s="2" t="s">
        <v>21</v>
      </c>
      <c r="O1839" s="2"/>
      <c r="P1839" s="2" t="s">
        <v>21</v>
      </c>
      <c r="Q1839" s="2"/>
    </row>
    <row r="1840" customFormat="false" ht="15" hidden="false" customHeight="false" outlineLevel="0" collapsed="false">
      <c r="A1840" s="2" t="s">
        <v>1081</v>
      </c>
      <c r="B1840" s="2" t="s">
        <v>47</v>
      </c>
      <c r="C1840" s="14" t="s">
        <v>2205</v>
      </c>
      <c r="D1840" s="44" t="n">
        <v>7061</v>
      </c>
      <c r="E1840" s="2" t="s">
        <v>678</v>
      </c>
      <c r="F1840" s="45" t="n">
        <v>1.68205636595383</v>
      </c>
      <c r="G1840" s="31" t="n">
        <v>64.8</v>
      </c>
      <c r="H1840" s="46" t="n">
        <v>0.133750802825947</v>
      </c>
      <c r="I1840" s="31" t="n">
        <v>64</v>
      </c>
      <c r="J1840" s="2" t="s">
        <v>2706</v>
      </c>
      <c r="K1840" s="43" t="n">
        <v>0.117924528301887</v>
      </c>
      <c r="L1840" s="31" t="n">
        <v>62.7</v>
      </c>
      <c r="M1840" s="39" t="s">
        <v>671</v>
      </c>
      <c r="N1840" s="2" t="s">
        <v>17</v>
      </c>
      <c r="O1840" s="2" t="s">
        <v>17</v>
      </c>
      <c r="P1840" s="2" t="s">
        <v>17</v>
      </c>
      <c r="Q1840" s="2" t="s">
        <v>21</v>
      </c>
    </row>
    <row r="1841" customFormat="false" ht="15" hidden="false" customHeight="false" outlineLevel="0" collapsed="false">
      <c r="A1841" s="2" t="s">
        <v>1713</v>
      </c>
      <c r="B1841" s="2" t="s">
        <v>45</v>
      </c>
      <c r="C1841" s="16"/>
      <c r="D1841" s="29"/>
      <c r="E1841" s="2"/>
      <c r="F1841" s="30"/>
      <c r="G1841" s="31"/>
      <c r="H1841" s="32"/>
      <c r="I1841" s="31"/>
      <c r="J1841" s="2"/>
      <c r="K1841" s="33"/>
      <c r="L1841" s="31"/>
      <c r="M1841" s="34" t="s">
        <v>668</v>
      </c>
      <c r="N1841" s="2"/>
      <c r="O1841" s="2"/>
      <c r="P1841" s="2"/>
      <c r="Q1841" s="2"/>
    </row>
    <row r="1842" customFormat="false" ht="15" hidden="false" customHeight="false" outlineLevel="0" collapsed="false">
      <c r="A1842" s="2" t="s">
        <v>1713</v>
      </c>
      <c r="B1842" s="2" t="s">
        <v>46</v>
      </c>
      <c r="C1842" s="14" t="s">
        <v>1714</v>
      </c>
      <c r="D1842" s="40" t="n">
        <v>102800</v>
      </c>
      <c r="E1842" s="2" t="s">
        <v>670</v>
      </c>
      <c r="F1842" s="41" t="n">
        <v>2.79593385214008</v>
      </c>
      <c r="G1842" s="31" t="n">
        <v>43.8</v>
      </c>
      <c r="H1842" s="42" t="n">
        <v>0.115935735996526</v>
      </c>
      <c r="I1842" s="31" t="n">
        <v>68.9</v>
      </c>
      <c r="J1842" s="2" t="s">
        <v>2705</v>
      </c>
      <c r="K1842" s="43" t="n">
        <v>0.359378259962445</v>
      </c>
      <c r="L1842" s="31" t="n">
        <v>96.4</v>
      </c>
      <c r="M1842" s="39" t="s">
        <v>671</v>
      </c>
      <c r="N1842" s="2" t="s">
        <v>21</v>
      </c>
      <c r="O1842" s="2" t="s">
        <v>21</v>
      </c>
      <c r="P1842" s="2" t="s">
        <v>21</v>
      </c>
      <c r="Q1842" s="2" t="s">
        <v>21</v>
      </c>
    </row>
    <row r="1843" customFormat="false" ht="15" hidden="false" customHeight="false" outlineLevel="0" collapsed="false">
      <c r="A1843" s="2" t="s">
        <v>1713</v>
      </c>
      <c r="B1843" s="2" t="s">
        <v>47</v>
      </c>
      <c r="C1843" s="14" t="s">
        <v>2481</v>
      </c>
      <c r="D1843" s="40" t="n">
        <v>53530</v>
      </c>
      <c r="E1843" s="2" t="s">
        <v>667</v>
      </c>
      <c r="F1843" s="41" t="n">
        <v>0.831104053801607</v>
      </c>
      <c r="G1843" s="31" t="n">
        <v>28.3</v>
      </c>
      <c r="H1843" s="42" t="n">
        <v>0.0155568203376968</v>
      </c>
      <c r="I1843" s="31" t="n">
        <v>14.9</v>
      </c>
      <c r="J1843" s="2" t="s">
        <v>2697</v>
      </c>
      <c r="K1843" s="43" t="n">
        <v>0.0229034531360113</v>
      </c>
      <c r="L1843" s="31" t="n">
        <v>13.9</v>
      </c>
      <c r="M1843" s="39" t="s">
        <v>671</v>
      </c>
      <c r="N1843" s="2" t="s">
        <v>21</v>
      </c>
      <c r="O1843" s="2" t="s">
        <v>21</v>
      </c>
      <c r="P1843" s="2" t="s">
        <v>21</v>
      </c>
      <c r="Q1843" s="2" t="s">
        <v>21</v>
      </c>
    </row>
    <row r="1844" customFormat="false" ht="15" hidden="false" customHeight="false" outlineLevel="0" collapsed="false">
      <c r="A1844" s="2" t="s">
        <v>694</v>
      </c>
      <c r="B1844" s="2" t="s">
        <v>45</v>
      </c>
      <c r="C1844" s="14" t="s">
        <v>695</v>
      </c>
      <c r="D1844" s="40" t="n">
        <v>11790</v>
      </c>
      <c r="E1844" s="2" t="s">
        <v>667</v>
      </c>
      <c r="F1844" s="41" t="n">
        <v>2.43070398642918</v>
      </c>
      <c r="G1844" s="31" t="n">
        <v>96.4</v>
      </c>
      <c r="H1844" s="42" t="n">
        <v>0.0886426592797784</v>
      </c>
      <c r="I1844" s="31" t="n">
        <v>50.4</v>
      </c>
      <c r="J1844" s="2" t="s">
        <v>2704</v>
      </c>
      <c r="K1844" s="43" t="n">
        <v>0.146191646191646</v>
      </c>
      <c r="L1844" s="31" t="n">
        <v>54.4</v>
      </c>
      <c r="M1844" s="39" t="s">
        <v>671</v>
      </c>
      <c r="N1844" s="2" t="s">
        <v>21</v>
      </c>
      <c r="O1844" s="2" t="s">
        <v>21</v>
      </c>
      <c r="P1844" s="2" t="s">
        <v>21</v>
      </c>
      <c r="Q1844" s="2" t="s">
        <v>21</v>
      </c>
    </row>
    <row r="1845" customFormat="false" ht="15" hidden="false" customHeight="false" outlineLevel="0" collapsed="false">
      <c r="A1845" s="2" t="s">
        <v>694</v>
      </c>
      <c r="B1845" s="2" t="s">
        <v>46</v>
      </c>
      <c r="C1845" s="14" t="s">
        <v>3167</v>
      </c>
      <c r="D1845" s="40" t="n">
        <v>7280</v>
      </c>
      <c r="E1845" s="2" t="s">
        <v>678</v>
      </c>
      <c r="F1845" s="41" t="n">
        <v>2.39436813186813</v>
      </c>
      <c r="G1845" s="31" t="n">
        <v>35.7</v>
      </c>
      <c r="H1845" s="32"/>
      <c r="I1845" s="31"/>
      <c r="J1845" s="2"/>
      <c r="K1845" s="43" t="n">
        <v>0.193588162762022</v>
      </c>
      <c r="L1845" s="31" t="n">
        <v>69.7</v>
      </c>
      <c r="M1845" s="34" t="s">
        <v>668</v>
      </c>
      <c r="N1845" s="2" t="s">
        <v>21</v>
      </c>
      <c r="O1845" s="2" t="s">
        <v>21</v>
      </c>
      <c r="P1845" s="2"/>
      <c r="Q1845" s="2" t="s">
        <v>21</v>
      </c>
    </row>
    <row r="1846" customFormat="false" ht="15" hidden="false" customHeight="false" outlineLevel="0" collapsed="false">
      <c r="A1846" s="2" t="s">
        <v>694</v>
      </c>
      <c r="B1846" s="2" t="s">
        <v>47</v>
      </c>
      <c r="C1846" s="13" t="s">
        <v>2409</v>
      </c>
      <c r="D1846" s="35" t="n">
        <v>6839</v>
      </c>
      <c r="E1846" s="2" t="s">
        <v>678</v>
      </c>
      <c r="F1846" s="36" t="n">
        <v>0.99780669688551</v>
      </c>
      <c r="G1846" s="31" t="n">
        <v>37.1</v>
      </c>
      <c r="H1846" s="37" t="n">
        <v>-0.0825060370270996</v>
      </c>
      <c r="I1846" s="31" t="n">
        <v>1.3</v>
      </c>
      <c r="J1846" s="2" t="s">
        <v>2706</v>
      </c>
      <c r="K1846" s="38" t="n">
        <v>0.0771276595744681</v>
      </c>
      <c r="L1846" s="31" t="n">
        <v>42.9</v>
      </c>
      <c r="M1846" s="39" t="s">
        <v>671</v>
      </c>
      <c r="N1846" s="2" t="s">
        <v>19</v>
      </c>
      <c r="O1846" s="2" t="s">
        <v>19</v>
      </c>
      <c r="P1846" s="2" t="s">
        <v>19</v>
      </c>
      <c r="Q1846" s="2" t="s">
        <v>19</v>
      </c>
    </row>
    <row r="1847" customFormat="false" ht="15" hidden="false" customHeight="false" outlineLevel="0" collapsed="false">
      <c r="A1847" s="2" t="s">
        <v>1963</v>
      </c>
      <c r="B1847" s="2" t="s">
        <v>45</v>
      </c>
      <c r="C1847" s="14" t="s">
        <v>3168</v>
      </c>
      <c r="D1847" s="40" t="n">
        <v>64260</v>
      </c>
      <c r="E1847" s="2" t="s">
        <v>667</v>
      </c>
      <c r="F1847" s="41" t="n">
        <v>1.03755057578587</v>
      </c>
      <c r="G1847" s="31" t="n">
        <v>76.9</v>
      </c>
      <c r="H1847" s="42" t="n">
        <v>0.0693959061407888</v>
      </c>
      <c r="I1847" s="31" t="n">
        <v>37.7</v>
      </c>
      <c r="J1847" s="2" t="s">
        <v>2704</v>
      </c>
      <c r="K1847" s="33"/>
      <c r="L1847" s="31"/>
      <c r="M1847" s="34" t="s">
        <v>668</v>
      </c>
      <c r="N1847" s="2" t="s">
        <v>21</v>
      </c>
      <c r="O1847" s="2" t="s">
        <v>21</v>
      </c>
      <c r="P1847" s="2" t="s">
        <v>21</v>
      </c>
      <c r="Q1847" s="2"/>
    </row>
    <row r="1848" customFormat="false" ht="15" hidden="false" customHeight="false" outlineLevel="0" collapsed="false">
      <c r="A1848" s="2" t="s">
        <v>1963</v>
      </c>
      <c r="B1848" s="2" t="s">
        <v>46</v>
      </c>
      <c r="C1848" s="14" t="s">
        <v>3169</v>
      </c>
      <c r="D1848" s="40" t="n">
        <v>335810</v>
      </c>
      <c r="E1848" s="2" t="s">
        <v>670</v>
      </c>
      <c r="F1848" s="41" t="n">
        <v>10.5812215240761</v>
      </c>
      <c r="G1848" s="31" t="n">
        <v>97.7</v>
      </c>
      <c r="H1848" s="42" t="n">
        <v>0.0294288954967659</v>
      </c>
      <c r="I1848" s="31" t="n">
        <v>21.9</v>
      </c>
      <c r="J1848" s="2" t="s">
        <v>2705</v>
      </c>
      <c r="K1848" s="33"/>
      <c r="L1848" s="31"/>
      <c r="M1848" s="34" t="s">
        <v>668</v>
      </c>
      <c r="N1848" s="2" t="s">
        <v>21</v>
      </c>
      <c r="O1848" s="2" t="s">
        <v>21</v>
      </c>
      <c r="P1848" s="2" t="s">
        <v>21</v>
      </c>
      <c r="Q1848" s="2"/>
    </row>
    <row r="1849" customFormat="false" ht="15" hidden="false" customHeight="false" outlineLevel="0" collapsed="false">
      <c r="A1849" s="2" t="s">
        <v>1963</v>
      </c>
      <c r="B1849" s="2" t="s">
        <v>47</v>
      </c>
      <c r="C1849" s="13" t="s">
        <v>1964</v>
      </c>
      <c r="D1849" s="35" t="n">
        <v>19983</v>
      </c>
      <c r="E1849" s="2" t="s">
        <v>667</v>
      </c>
      <c r="F1849" s="36" t="n">
        <v>10.0219186308362</v>
      </c>
      <c r="G1849" s="31" t="n">
        <v>100</v>
      </c>
      <c r="H1849" s="37" t="n">
        <v>0.0908942024238454</v>
      </c>
      <c r="I1849" s="31" t="n">
        <v>51.1</v>
      </c>
      <c r="J1849" s="2" t="s">
        <v>2697</v>
      </c>
      <c r="K1849" s="38" t="n">
        <v>0.107698607698608</v>
      </c>
      <c r="L1849" s="31" t="n">
        <v>58.3</v>
      </c>
      <c r="M1849" s="39" t="s">
        <v>671</v>
      </c>
      <c r="N1849" s="2" t="s">
        <v>19</v>
      </c>
      <c r="O1849" s="2" t="s">
        <v>19</v>
      </c>
      <c r="P1849" s="2" t="s">
        <v>19</v>
      </c>
      <c r="Q1849" s="2" t="s">
        <v>19</v>
      </c>
    </row>
    <row r="1850" customFormat="false" ht="15" hidden="false" customHeight="false" outlineLevel="0" collapsed="false">
      <c r="A1850" s="2" t="s">
        <v>837</v>
      </c>
      <c r="B1850" s="2" t="s">
        <v>45</v>
      </c>
      <c r="C1850" s="14" t="s">
        <v>838</v>
      </c>
      <c r="D1850" s="40" t="n">
        <v>15810</v>
      </c>
      <c r="E1850" s="2" t="s">
        <v>667</v>
      </c>
      <c r="F1850" s="41" t="n">
        <v>1.0382036685642</v>
      </c>
      <c r="G1850" s="31" t="n">
        <v>77.1</v>
      </c>
      <c r="H1850" s="42" t="n">
        <v>0.0873452544704264</v>
      </c>
      <c r="I1850" s="31" t="n">
        <v>50</v>
      </c>
      <c r="J1850" s="2" t="s">
        <v>2704</v>
      </c>
      <c r="K1850" s="43" t="n">
        <v>0.174079754601227</v>
      </c>
      <c r="L1850" s="31" t="n">
        <v>62.2</v>
      </c>
      <c r="M1850" s="39" t="s">
        <v>671</v>
      </c>
      <c r="N1850" s="2" t="s">
        <v>21</v>
      </c>
      <c r="O1850" s="2" t="s">
        <v>21</v>
      </c>
      <c r="P1850" s="2" t="s">
        <v>21</v>
      </c>
      <c r="Q1850" s="2" t="s">
        <v>21</v>
      </c>
    </row>
    <row r="1851" customFormat="false" ht="15" hidden="false" customHeight="false" outlineLevel="0" collapsed="false">
      <c r="A1851" s="2" t="s">
        <v>837</v>
      </c>
      <c r="B1851" s="2" t="s">
        <v>46</v>
      </c>
      <c r="C1851" s="14" t="s">
        <v>1491</v>
      </c>
      <c r="D1851" s="40" t="n">
        <v>20040</v>
      </c>
      <c r="E1851" s="2" t="s">
        <v>667</v>
      </c>
      <c r="F1851" s="41" t="n">
        <v>6.39126746506986</v>
      </c>
      <c r="G1851" s="31" t="n">
        <v>83.3</v>
      </c>
      <c r="H1851" s="42" t="n">
        <v>0.137989778534923</v>
      </c>
      <c r="I1851" s="31" t="n">
        <v>74.3</v>
      </c>
      <c r="J1851" s="2" t="s">
        <v>2700</v>
      </c>
      <c r="K1851" s="43" t="n">
        <v>0.13763753373469</v>
      </c>
      <c r="L1851" s="31" t="n">
        <v>51</v>
      </c>
      <c r="M1851" s="39" t="s">
        <v>671</v>
      </c>
      <c r="N1851" s="2" t="s">
        <v>21</v>
      </c>
      <c r="O1851" s="2" t="s">
        <v>21</v>
      </c>
      <c r="P1851" s="2" t="s">
        <v>21</v>
      </c>
      <c r="Q1851" s="2" t="s">
        <v>21</v>
      </c>
    </row>
    <row r="1852" customFormat="false" ht="15" hidden="false" customHeight="false" outlineLevel="0" collapsed="false">
      <c r="A1852" s="2" t="s">
        <v>837</v>
      </c>
      <c r="B1852" s="2" t="s">
        <v>47</v>
      </c>
      <c r="C1852" s="14" t="s">
        <v>3170</v>
      </c>
      <c r="D1852" s="40" t="n">
        <v>103180</v>
      </c>
      <c r="E1852" s="2" t="s">
        <v>670</v>
      </c>
      <c r="F1852" s="41" t="n">
        <v>1.07652645861601</v>
      </c>
      <c r="G1852" s="31" t="n">
        <v>42.8</v>
      </c>
      <c r="H1852" s="32"/>
      <c r="I1852" s="31"/>
      <c r="J1852" s="2"/>
      <c r="K1852" s="43" t="n">
        <v>0.14434250764526</v>
      </c>
      <c r="L1852" s="31" t="n">
        <v>69.7</v>
      </c>
      <c r="M1852" s="34" t="s">
        <v>668</v>
      </c>
      <c r="N1852" s="2" t="s">
        <v>21</v>
      </c>
      <c r="O1852" s="2" t="s">
        <v>21</v>
      </c>
      <c r="P1852" s="2"/>
      <c r="Q1852" s="2" t="s">
        <v>21</v>
      </c>
    </row>
    <row r="1853" customFormat="false" ht="15" hidden="false" customHeight="false" outlineLevel="0" collapsed="false">
      <c r="A1853" s="2" t="s">
        <v>2203</v>
      </c>
      <c r="B1853" s="2" t="s">
        <v>45</v>
      </c>
      <c r="C1853" s="15" t="s">
        <v>3171</v>
      </c>
      <c r="D1853" s="44" t="n">
        <v>122981</v>
      </c>
      <c r="E1853" s="2" t="s">
        <v>670</v>
      </c>
      <c r="F1853" s="45" t="n">
        <v>0.221058537497662</v>
      </c>
      <c r="G1853" s="31" t="n">
        <v>10.3</v>
      </c>
      <c r="H1853" s="46" t="n">
        <v>0.00824759171961468</v>
      </c>
      <c r="I1853" s="31" t="n">
        <v>14.5</v>
      </c>
      <c r="J1853" s="2" t="s">
        <v>2698</v>
      </c>
      <c r="K1853" s="33"/>
      <c r="L1853" s="31"/>
      <c r="M1853" s="34" t="s">
        <v>668</v>
      </c>
      <c r="N1853" s="2" t="s">
        <v>17</v>
      </c>
      <c r="O1853" s="2" t="s">
        <v>17</v>
      </c>
      <c r="P1853" s="2" t="s">
        <v>17</v>
      </c>
      <c r="Q1853" s="2"/>
    </row>
    <row r="1854" customFormat="false" ht="15" hidden="false" customHeight="false" outlineLevel="0" collapsed="false">
      <c r="A1854" s="2" t="s">
        <v>2203</v>
      </c>
      <c r="B1854" s="2" t="s">
        <v>46</v>
      </c>
      <c r="C1854" s="16"/>
      <c r="D1854" s="29"/>
      <c r="E1854" s="2"/>
      <c r="F1854" s="30"/>
      <c r="G1854" s="31"/>
      <c r="H1854" s="32"/>
      <c r="I1854" s="31"/>
      <c r="J1854" s="2"/>
      <c r="K1854" s="33"/>
      <c r="L1854" s="31"/>
      <c r="M1854" s="34" t="s">
        <v>668</v>
      </c>
      <c r="N1854" s="2"/>
      <c r="O1854" s="2"/>
      <c r="P1854" s="2"/>
      <c r="Q1854" s="2"/>
    </row>
    <row r="1855" customFormat="false" ht="15" hidden="false" customHeight="false" outlineLevel="0" collapsed="false">
      <c r="A1855" s="2" t="s">
        <v>2203</v>
      </c>
      <c r="B1855" s="2" t="s">
        <v>47</v>
      </c>
      <c r="C1855" s="13" t="s">
        <v>2204</v>
      </c>
      <c r="D1855" s="35" t="n">
        <v>142865</v>
      </c>
      <c r="E1855" s="2" t="s">
        <v>670</v>
      </c>
      <c r="F1855" s="36" t="n">
        <v>1.69775662338571</v>
      </c>
      <c r="G1855" s="31" t="n">
        <v>65</v>
      </c>
      <c r="H1855" s="37" t="n">
        <v>0.0121000021252931</v>
      </c>
      <c r="I1855" s="31" t="n">
        <v>18.7</v>
      </c>
      <c r="J1855" s="2" t="s">
        <v>2701</v>
      </c>
      <c r="K1855" s="38" t="n">
        <v>0.0299047725121123</v>
      </c>
      <c r="L1855" s="31" t="n">
        <v>19</v>
      </c>
      <c r="M1855" s="39" t="s">
        <v>671</v>
      </c>
      <c r="N1855" s="2" t="s">
        <v>19</v>
      </c>
      <c r="O1855" s="2" t="s">
        <v>19</v>
      </c>
      <c r="P1855" s="2" t="s">
        <v>19</v>
      </c>
      <c r="Q1855" s="2" t="s">
        <v>19</v>
      </c>
    </row>
    <row r="1856" customFormat="false" ht="15" hidden="false" customHeight="false" outlineLevel="0" collapsed="false">
      <c r="A1856" s="2" t="s">
        <v>1357</v>
      </c>
      <c r="B1856" s="2" t="s">
        <v>45</v>
      </c>
      <c r="C1856" s="13" t="s">
        <v>1358</v>
      </c>
      <c r="D1856" s="35" t="n">
        <v>1069298</v>
      </c>
      <c r="E1856" s="2" t="s">
        <v>752</v>
      </c>
      <c r="F1856" s="36" t="n">
        <v>0.126775697700735</v>
      </c>
      <c r="G1856" s="31" t="n">
        <v>3.6</v>
      </c>
      <c r="H1856" s="37" t="n">
        <v>6.95821797505284</v>
      </c>
      <c r="I1856" s="31" t="n">
        <v>100</v>
      </c>
      <c r="J1856" s="2" t="s">
        <v>2712</v>
      </c>
      <c r="K1856" s="38" t="n">
        <v>0.205904503690315</v>
      </c>
      <c r="L1856" s="31" t="n">
        <v>72.9</v>
      </c>
      <c r="M1856" s="39" t="s">
        <v>671</v>
      </c>
      <c r="N1856" s="2" t="s">
        <v>19</v>
      </c>
      <c r="O1856" s="2" t="s">
        <v>19</v>
      </c>
      <c r="P1856" s="2" t="s">
        <v>19</v>
      </c>
      <c r="Q1856" s="2" t="s">
        <v>19</v>
      </c>
    </row>
    <row r="1857" customFormat="false" ht="15" hidden="false" customHeight="false" outlineLevel="0" collapsed="false">
      <c r="A1857" s="2" t="s">
        <v>1357</v>
      </c>
      <c r="B1857" s="2" t="s">
        <v>46</v>
      </c>
      <c r="C1857" s="14" t="s">
        <v>1375</v>
      </c>
      <c r="D1857" s="40" t="n">
        <v>51090</v>
      </c>
      <c r="E1857" s="2" t="s">
        <v>667</v>
      </c>
      <c r="F1857" s="41" t="n">
        <v>16.2027011156782</v>
      </c>
      <c r="G1857" s="31" t="n">
        <v>99.8</v>
      </c>
      <c r="H1857" s="46" t="n">
        <v>0.0527799824554075</v>
      </c>
      <c r="I1857" s="31" t="n">
        <v>30.3</v>
      </c>
      <c r="J1857" s="2" t="s">
        <v>2700</v>
      </c>
      <c r="K1857" s="43" t="n">
        <v>0.0293543875147232</v>
      </c>
      <c r="L1857" s="31" t="n">
        <v>6.2</v>
      </c>
      <c r="M1857" s="39" t="s">
        <v>671</v>
      </c>
      <c r="N1857" s="2" t="s">
        <v>21</v>
      </c>
      <c r="O1857" s="2" t="s">
        <v>21</v>
      </c>
      <c r="P1857" s="2" t="s">
        <v>17</v>
      </c>
      <c r="Q1857" s="2" t="s">
        <v>21</v>
      </c>
    </row>
    <row r="1858" customFormat="false" ht="15" hidden="false" customHeight="false" outlineLevel="0" collapsed="false">
      <c r="A1858" s="2" t="s">
        <v>1357</v>
      </c>
      <c r="B1858" s="2" t="s">
        <v>47</v>
      </c>
      <c r="C1858" s="16"/>
      <c r="D1858" s="29"/>
      <c r="E1858" s="2"/>
      <c r="F1858" s="30"/>
      <c r="G1858" s="31"/>
      <c r="H1858" s="32"/>
      <c r="I1858" s="31"/>
      <c r="J1858" s="2"/>
      <c r="K1858" s="33"/>
      <c r="L1858" s="31"/>
      <c r="M1858" s="34" t="s">
        <v>668</v>
      </c>
      <c r="N1858" s="2"/>
      <c r="O1858" s="2"/>
      <c r="P1858" s="2"/>
      <c r="Q1858" s="2"/>
    </row>
    <row r="1859" customFormat="false" ht="15" hidden="false" customHeight="false" outlineLevel="0" collapsed="false">
      <c r="A1859" s="2" t="s">
        <v>504</v>
      </c>
      <c r="B1859" s="2" t="s">
        <v>45</v>
      </c>
      <c r="C1859" s="13" t="s">
        <v>1088</v>
      </c>
      <c r="D1859" s="35" t="n">
        <v>13147</v>
      </c>
      <c r="E1859" s="2" t="s">
        <v>667</v>
      </c>
      <c r="F1859" s="36" t="n">
        <v>0.521411728911539</v>
      </c>
      <c r="G1859" s="31" t="n">
        <v>43.8</v>
      </c>
      <c r="H1859" s="37" t="n">
        <v>0.149414233257563</v>
      </c>
      <c r="I1859" s="31" t="n">
        <v>77</v>
      </c>
      <c r="J1859" s="2" t="s">
        <v>2704</v>
      </c>
      <c r="K1859" s="38" t="n">
        <v>0.203821656050955</v>
      </c>
      <c r="L1859" s="31" t="n">
        <v>72.1</v>
      </c>
      <c r="M1859" s="39" t="s">
        <v>671</v>
      </c>
      <c r="N1859" s="2" t="s">
        <v>19</v>
      </c>
      <c r="O1859" s="2" t="s">
        <v>19</v>
      </c>
      <c r="P1859" s="2" t="s">
        <v>19</v>
      </c>
      <c r="Q1859" s="2" t="s">
        <v>19</v>
      </c>
    </row>
    <row r="1860" customFormat="false" ht="15" hidden="false" customHeight="false" outlineLevel="0" collapsed="false">
      <c r="A1860" s="2" t="s">
        <v>504</v>
      </c>
      <c r="B1860" s="2" t="s">
        <v>46</v>
      </c>
      <c r="C1860" s="14" t="s">
        <v>1852</v>
      </c>
      <c r="D1860" s="40" t="n">
        <v>66830</v>
      </c>
      <c r="E1860" s="2" t="s">
        <v>667</v>
      </c>
      <c r="F1860" s="41" t="n">
        <v>1.75139907227293</v>
      </c>
      <c r="G1860" s="31" t="n">
        <v>20.9</v>
      </c>
      <c r="H1860" s="42" t="n">
        <v>0.0276795325234507</v>
      </c>
      <c r="I1860" s="31" t="n">
        <v>19.5</v>
      </c>
      <c r="J1860" s="2" t="s">
        <v>2700</v>
      </c>
      <c r="K1860" s="43" t="n">
        <v>0.0850267834367826</v>
      </c>
      <c r="L1860" s="31" t="n">
        <v>26.2</v>
      </c>
      <c r="M1860" s="39" t="s">
        <v>671</v>
      </c>
      <c r="N1860" s="2" t="s">
        <v>21</v>
      </c>
      <c r="O1860" s="2" t="s">
        <v>21</v>
      </c>
      <c r="P1860" s="2" t="s">
        <v>21</v>
      </c>
      <c r="Q1860" s="2" t="s">
        <v>21</v>
      </c>
    </row>
    <row r="1861" customFormat="false" ht="15" hidden="false" customHeight="false" outlineLevel="0" collapsed="false">
      <c r="A1861" s="2" t="s">
        <v>504</v>
      </c>
      <c r="B1861" s="2" t="s">
        <v>47</v>
      </c>
      <c r="C1861" s="13" t="s">
        <v>2383</v>
      </c>
      <c r="D1861" s="35" t="n">
        <v>1413</v>
      </c>
      <c r="E1861" s="2" t="s">
        <v>678</v>
      </c>
      <c r="F1861" s="36" t="n">
        <v>1.05803255484784</v>
      </c>
      <c r="G1861" s="31" t="n">
        <v>41.1</v>
      </c>
      <c r="H1861" s="37" t="n">
        <v>0.020216606498195</v>
      </c>
      <c r="I1861" s="31" t="n">
        <v>12</v>
      </c>
      <c r="J1861" s="2" t="s">
        <v>2706</v>
      </c>
      <c r="K1861" s="38" t="n">
        <v>0.0114942528735632</v>
      </c>
      <c r="L1861" s="31" t="n">
        <v>7.2</v>
      </c>
      <c r="M1861" s="39" t="s">
        <v>671</v>
      </c>
      <c r="N1861" s="2" t="s">
        <v>19</v>
      </c>
      <c r="O1861" s="2" t="s">
        <v>19</v>
      </c>
      <c r="P1861" s="2" t="s">
        <v>19</v>
      </c>
      <c r="Q1861" s="2" t="s">
        <v>19</v>
      </c>
    </row>
    <row r="1862" customFormat="false" ht="15" hidden="false" customHeight="false" outlineLevel="0" collapsed="false">
      <c r="A1862" s="2" t="s">
        <v>444</v>
      </c>
      <c r="B1862" s="2" t="s">
        <v>45</v>
      </c>
      <c r="C1862" s="13" t="s">
        <v>1104</v>
      </c>
      <c r="D1862" s="35" t="n">
        <v>2925</v>
      </c>
      <c r="E1862" s="2" t="s">
        <v>678</v>
      </c>
      <c r="F1862" s="36" t="n">
        <v>0.501196581196581</v>
      </c>
      <c r="G1862" s="31" t="n">
        <v>41.5</v>
      </c>
      <c r="H1862" s="37" t="n">
        <v>0.0442699036058551</v>
      </c>
      <c r="I1862" s="31" t="n">
        <v>22.2</v>
      </c>
      <c r="J1862" s="2" t="s">
        <v>2713</v>
      </c>
      <c r="K1862" s="47" t="s">
        <v>680</v>
      </c>
      <c r="L1862" s="31"/>
      <c r="M1862" s="39" t="s">
        <v>671</v>
      </c>
      <c r="N1862" s="2" t="s">
        <v>19</v>
      </c>
      <c r="O1862" s="2" t="s">
        <v>19</v>
      </c>
      <c r="P1862" s="2" t="s">
        <v>19</v>
      </c>
      <c r="Q1862" s="2" t="s">
        <v>2715</v>
      </c>
    </row>
    <row r="1863" customFormat="false" ht="15" hidden="false" customHeight="false" outlineLevel="0" collapsed="false">
      <c r="A1863" s="2" t="s">
        <v>91</v>
      </c>
      <c r="B1863" s="2" t="s">
        <v>46</v>
      </c>
      <c r="C1863" s="14" t="s">
        <v>1386</v>
      </c>
      <c r="D1863" s="40" t="n">
        <v>31260</v>
      </c>
      <c r="E1863" s="2" t="s">
        <v>667</v>
      </c>
      <c r="F1863" s="41" t="n">
        <v>10.8836532309661</v>
      </c>
      <c r="G1863" s="31" t="n">
        <v>98.1</v>
      </c>
      <c r="H1863" s="42" t="n">
        <v>0.0831600831600832</v>
      </c>
      <c r="I1863" s="31" t="n">
        <v>46.9</v>
      </c>
      <c r="J1863" s="2" t="s">
        <v>2700</v>
      </c>
      <c r="K1863" s="43" t="n">
        <v>0.230787638452072</v>
      </c>
      <c r="L1863" s="31" t="n">
        <v>78</v>
      </c>
      <c r="M1863" s="39" t="s">
        <v>671</v>
      </c>
      <c r="N1863" s="2" t="s">
        <v>21</v>
      </c>
      <c r="O1863" s="2" t="s">
        <v>21</v>
      </c>
      <c r="P1863" s="2" t="s">
        <v>21</v>
      </c>
      <c r="Q1863" s="2" t="s">
        <v>21</v>
      </c>
    </row>
    <row r="1864" customFormat="false" ht="15" hidden="false" customHeight="false" outlineLevel="0" collapsed="false">
      <c r="A1864" s="2" t="s">
        <v>574</v>
      </c>
      <c r="B1864" s="2" t="s">
        <v>45</v>
      </c>
      <c r="C1864" s="14" t="s">
        <v>981</v>
      </c>
      <c r="D1864" s="40" t="n">
        <v>75300</v>
      </c>
      <c r="E1864" s="2" t="s">
        <v>667</v>
      </c>
      <c r="F1864" s="41" t="n">
        <v>0.690863213811421</v>
      </c>
      <c r="G1864" s="31" t="n">
        <v>57.7</v>
      </c>
      <c r="H1864" s="42" t="n">
        <v>0.0604140261934939</v>
      </c>
      <c r="I1864" s="31" t="n">
        <v>31.7</v>
      </c>
      <c r="J1864" s="2" t="s">
        <v>2704</v>
      </c>
      <c r="K1864" s="43" t="n">
        <v>0.181473044798785</v>
      </c>
      <c r="L1864" s="31" t="n">
        <v>64.6</v>
      </c>
      <c r="M1864" s="39" t="s">
        <v>671</v>
      </c>
      <c r="N1864" s="2" t="s">
        <v>21</v>
      </c>
      <c r="O1864" s="2" t="s">
        <v>21</v>
      </c>
      <c r="P1864" s="2" t="s">
        <v>21</v>
      </c>
      <c r="Q1864" s="2" t="s">
        <v>21</v>
      </c>
    </row>
    <row r="1865" customFormat="false" ht="15" hidden="false" customHeight="false" outlineLevel="0" collapsed="false">
      <c r="A1865" s="2" t="s">
        <v>574</v>
      </c>
      <c r="B1865" s="2" t="s">
        <v>46</v>
      </c>
      <c r="C1865" s="14" t="s">
        <v>1901</v>
      </c>
      <c r="D1865" s="40" t="n">
        <v>146070</v>
      </c>
      <c r="E1865" s="2" t="s">
        <v>670</v>
      </c>
      <c r="F1865" s="41" t="n">
        <v>1.37421784076128</v>
      </c>
      <c r="G1865" s="31" t="n">
        <v>12.1</v>
      </c>
      <c r="H1865" s="42" t="n">
        <v>0.0689352360043908</v>
      </c>
      <c r="I1865" s="31" t="n">
        <v>41.1</v>
      </c>
      <c r="J1865" s="2" t="s">
        <v>2705</v>
      </c>
      <c r="K1865" s="43" t="n">
        <v>0.303309075930249</v>
      </c>
      <c r="L1865" s="31" t="n">
        <v>91.5</v>
      </c>
      <c r="M1865" s="39" t="s">
        <v>671</v>
      </c>
      <c r="N1865" s="2" t="s">
        <v>21</v>
      </c>
      <c r="O1865" s="2" t="s">
        <v>21</v>
      </c>
      <c r="P1865" s="2" t="s">
        <v>21</v>
      </c>
      <c r="Q1865" s="2" t="s">
        <v>21</v>
      </c>
    </row>
    <row r="1866" customFormat="false" ht="15" hidden="false" customHeight="false" outlineLevel="0" collapsed="false">
      <c r="A1866" s="2" t="s">
        <v>574</v>
      </c>
      <c r="B1866" s="2" t="s">
        <v>47</v>
      </c>
      <c r="C1866" s="13" t="s">
        <v>2635</v>
      </c>
      <c r="D1866" s="35" t="n">
        <v>135932</v>
      </c>
      <c r="E1866" s="2" t="s">
        <v>670</v>
      </c>
      <c r="F1866" s="36" t="n">
        <v>0.414023188064621</v>
      </c>
      <c r="G1866" s="31" t="n">
        <v>8</v>
      </c>
      <c r="H1866" s="37" t="n">
        <v>0.168995794669809</v>
      </c>
      <c r="I1866" s="31" t="n">
        <v>83.1</v>
      </c>
      <c r="J1866" s="2" t="s">
        <v>2701</v>
      </c>
      <c r="K1866" s="38" t="n">
        <v>0.0832991382847764</v>
      </c>
      <c r="L1866" s="31" t="n">
        <v>46.3</v>
      </c>
      <c r="M1866" s="39" t="s">
        <v>671</v>
      </c>
      <c r="N1866" s="2" t="s">
        <v>19</v>
      </c>
      <c r="O1866" s="2" t="s">
        <v>19</v>
      </c>
      <c r="P1866" s="2" t="s">
        <v>19</v>
      </c>
      <c r="Q1866" s="2" t="s">
        <v>19</v>
      </c>
    </row>
    <row r="1867" customFormat="false" ht="15" hidden="false" customHeight="false" outlineLevel="0" collapsed="false">
      <c r="A1867" s="2" t="s">
        <v>1613</v>
      </c>
      <c r="B1867" s="2" t="s">
        <v>45</v>
      </c>
      <c r="C1867" s="15" t="s">
        <v>3172</v>
      </c>
      <c r="D1867" s="44" t="n">
        <v>9526</v>
      </c>
      <c r="E1867" s="2" t="s">
        <v>678</v>
      </c>
      <c r="F1867" s="45" t="n">
        <v>0.308209111904262</v>
      </c>
      <c r="G1867" s="31" t="n">
        <v>19.2</v>
      </c>
      <c r="H1867" s="32"/>
      <c r="I1867" s="31"/>
      <c r="J1867" s="2"/>
      <c r="K1867" s="47" t="s">
        <v>680</v>
      </c>
      <c r="L1867" s="31"/>
      <c r="M1867" s="34" t="s">
        <v>668</v>
      </c>
      <c r="N1867" s="2" t="s">
        <v>17</v>
      </c>
      <c r="O1867" s="2" t="s">
        <v>17</v>
      </c>
      <c r="P1867" s="2"/>
      <c r="Q1867" s="2" t="s">
        <v>2866</v>
      </c>
    </row>
    <row r="1868" customFormat="false" ht="15" hidden="false" customHeight="false" outlineLevel="0" collapsed="false">
      <c r="A1868" s="2" t="s">
        <v>1613</v>
      </c>
      <c r="B1868" s="2" t="s">
        <v>46</v>
      </c>
      <c r="C1868" s="14" t="s">
        <v>1614</v>
      </c>
      <c r="D1868" s="40" t="n">
        <v>27180</v>
      </c>
      <c r="E1868" s="2" t="s">
        <v>667</v>
      </c>
      <c r="F1868" s="41" t="n">
        <v>3.97498160412068</v>
      </c>
      <c r="G1868" s="31" t="n">
        <v>62.2</v>
      </c>
      <c r="H1868" s="42" t="n">
        <v>0.138190954773869</v>
      </c>
      <c r="I1868" s="31" t="n">
        <v>74.7</v>
      </c>
      <c r="J1868" s="2" t="s">
        <v>2700</v>
      </c>
      <c r="K1868" s="43" t="n">
        <v>0.171734475374732</v>
      </c>
      <c r="L1868" s="31" t="n">
        <v>64.5</v>
      </c>
      <c r="M1868" s="39" t="s">
        <v>671</v>
      </c>
      <c r="N1868" s="2" t="s">
        <v>21</v>
      </c>
      <c r="O1868" s="2" t="s">
        <v>21</v>
      </c>
      <c r="P1868" s="2" t="s">
        <v>21</v>
      </c>
      <c r="Q1868" s="2" t="s">
        <v>21</v>
      </c>
    </row>
    <row r="1869" customFormat="false" ht="15" hidden="false" customHeight="false" outlineLevel="0" collapsed="false">
      <c r="A1869" s="2" t="s">
        <v>1613</v>
      </c>
      <c r="B1869" s="2" t="s">
        <v>47</v>
      </c>
      <c r="C1869" s="16"/>
      <c r="D1869" s="29"/>
      <c r="E1869" s="2"/>
      <c r="F1869" s="30"/>
      <c r="G1869" s="31"/>
      <c r="H1869" s="32"/>
      <c r="I1869" s="31"/>
      <c r="J1869" s="2"/>
      <c r="K1869" s="33"/>
      <c r="L1869" s="31"/>
      <c r="M1869" s="34" t="s">
        <v>668</v>
      </c>
      <c r="N1869" s="2"/>
      <c r="O1869" s="2"/>
      <c r="P1869" s="2"/>
      <c r="Q1869" s="2"/>
    </row>
    <row r="1870" customFormat="false" ht="15" hidden="false" customHeight="false" outlineLevel="0" collapsed="false">
      <c r="A1870" s="2" t="s">
        <v>570</v>
      </c>
      <c r="B1870" s="2" t="s">
        <v>45</v>
      </c>
      <c r="C1870" s="13" t="s">
        <v>1047</v>
      </c>
      <c r="D1870" s="35" t="n">
        <v>155999</v>
      </c>
      <c r="E1870" s="2" t="s">
        <v>670</v>
      </c>
      <c r="F1870" s="36" t="n">
        <v>0.597010237245111</v>
      </c>
      <c r="G1870" s="31" t="n">
        <v>49.4</v>
      </c>
      <c r="H1870" s="37" t="n">
        <v>0.161692209165512</v>
      </c>
      <c r="I1870" s="31" t="n">
        <v>86.2</v>
      </c>
      <c r="J1870" s="2" t="s">
        <v>2698</v>
      </c>
      <c r="K1870" s="38" t="n">
        <v>0.0126134100464705</v>
      </c>
      <c r="L1870" s="31" t="n">
        <v>3.6</v>
      </c>
      <c r="M1870" s="39" t="s">
        <v>671</v>
      </c>
      <c r="N1870" s="2" t="s">
        <v>19</v>
      </c>
      <c r="O1870" s="2" t="s">
        <v>19</v>
      </c>
      <c r="P1870" s="2" t="s">
        <v>19</v>
      </c>
      <c r="Q1870" s="2" t="s">
        <v>19</v>
      </c>
    </row>
    <row r="1871" customFormat="false" ht="15" hidden="false" customHeight="false" outlineLevel="0" collapsed="false">
      <c r="A1871" s="2" t="s">
        <v>570</v>
      </c>
      <c r="B1871" s="2" t="s">
        <v>47</v>
      </c>
      <c r="C1871" s="13" t="s">
        <v>2666</v>
      </c>
      <c r="D1871" s="35" t="n">
        <v>421826</v>
      </c>
      <c r="E1871" s="2" t="s">
        <v>670</v>
      </c>
      <c r="F1871" s="36" t="n">
        <v>0.254657133510025</v>
      </c>
      <c r="G1871" s="31" t="n">
        <v>2.9</v>
      </c>
      <c r="H1871" s="37" t="n">
        <v>0.037761054130984</v>
      </c>
      <c r="I1871" s="31" t="n">
        <v>28.9</v>
      </c>
      <c r="J1871" s="2" t="s">
        <v>2701</v>
      </c>
      <c r="K1871" s="38" t="n">
        <v>0.214442013129103</v>
      </c>
      <c r="L1871" s="31" t="n">
        <v>85.3</v>
      </c>
      <c r="M1871" s="39" t="s">
        <v>671</v>
      </c>
      <c r="N1871" s="2" t="s">
        <v>19</v>
      </c>
      <c r="O1871" s="2" t="s">
        <v>19</v>
      </c>
      <c r="P1871" s="2" t="s">
        <v>19</v>
      </c>
      <c r="Q1871" s="2" t="s">
        <v>19</v>
      </c>
    </row>
    <row r="1872" customFormat="false" ht="15" hidden="false" customHeight="false" outlineLevel="0" collapsed="false">
      <c r="A1872" s="2" t="s">
        <v>3173</v>
      </c>
      <c r="B1872" s="2" t="s">
        <v>45</v>
      </c>
      <c r="C1872" s="15" t="s">
        <v>3174</v>
      </c>
      <c r="D1872" s="44" t="n">
        <v>133710</v>
      </c>
      <c r="E1872" s="2" t="s">
        <v>670</v>
      </c>
      <c r="F1872" s="45" t="n">
        <v>0.655373569665694</v>
      </c>
      <c r="G1872" s="31" t="n">
        <v>55.1</v>
      </c>
      <c r="H1872" s="46" t="n">
        <v>0.0905843202505628</v>
      </c>
      <c r="I1872" s="31" t="n">
        <v>54.3</v>
      </c>
      <c r="J1872" s="2" t="s">
        <v>2698</v>
      </c>
      <c r="K1872" s="33"/>
      <c r="L1872" s="31"/>
      <c r="M1872" s="34" t="s">
        <v>668</v>
      </c>
      <c r="N1872" s="2" t="s">
        <v>17</v>
      </c>
      <c r="O1872" s="2" t="s">
        <v>17</v>
      </c>
      <c r="P1872" s="2" t="s">
        <v>17</v>
      </c>
      <c r="Q1872" s="2"/>
    </row>
    <row r="1873" customFormat="false" ht="15" hidden="false" customHeight="false" outlineLevel="0" collapsed="false">
      <c r="A1873" s="2" t="s">
        <v>3173</v>
      </c>
      <c r="B1873" s="2" t="s">
        <v>46</v>
      </c>
      <c r="C1873" s="14" t="s">
        <v>3175</v>
      </c>
      <c r="D1873" s="40" t="n">
        <v>80290</v>
      </c>
      <c r="E1873" s="2" t="s">
        <v>667</v>
      </c>
      <c r="F1873" s="41" t="n">
        <v>2.31284095155063</v>
      </c>
      <c r="G1873" s="31" t="n">
        <v>33.4</v>
      </c>
      <c r="H1873" s="42" t="n">
        <v>0.145527179340848</v>
      </c>
      <c r="I1873" s="31" t="n">
        <v>77.6</v>
      </c>
      <c r="J1873" s="2" t="s">
        <v>2700</v>
      </c>
      <c r="K1873" s="33"/>
      <c r="L1873" s="31"/>
      <c r="M1873" s="34" t="s">
        <v>668</v>
      </c>
      <c r="N1873" s="2" t="s">
        <v>21</v>
      </c>
      <c r="O1873" s="2" t="s">
        <v>21</v>
      </c>
      <c r="P1873" s="2" t="s">
        <v>21</v>
      </c>
      <c r="Q1873" s="2"/>
    </row>
    <row r="1874" customFormat="false" ht="15" hidden="false" customHeight="false" outlineLevel="0" collapsed="false">
      <c r="A1874" s="2" t="s">
        <v>3173</v>
      </c>
      <c r="B1874" s="2" t="s">
        <v>47</v>
      </c>
      <c r="C1874" s="16"/>
      <c r="D1874" s="29"/>
      <c r="E1874" s="2"/>
      <c r="F1874" s="30"/>
      <c r="G1874" s="31"/>
      <c r="H1874" s="32"/>
      <c r="I1874" s="31"/>
      <c r="J1874" s="2"/>
      <c r="K1874" s="33"/>
      <c r="L1874" s="31"/>
      <c r="M1874" s="34" t="s">
        <v>668</v>
      </c>
      <c r="N1874" s="2"/>
      <c r="O1874" s="2"/>
      <c r="P1874" s="2"/>
      <c r="Q1874" s="2"/>
    </row>
    <row r="1875" customFormat="false" ht="15" hidden="false" customHeight="false" outlineLevel="0" collapsed="false">
      <c r="A1875" s="2" t="s">
        <v>1250</v>
      </c>
      <c r="B1875" s="2" t="s">
        <v>45</v>
      </c>
      <c r="C1875" s="13" t="s">
        <v>1251</v>
      </c>
      <c r="D1875" s="35" t="n">
        <v>8261</v>
      </c>
      <c r="E1875" s="2" t="s">
        <v>678</v>
      </c>
      <c r="F1875" s="36" t="n">
        <v>0.330710567727878</v>
      </c>
      <c r="G1875" s="31" t="n">
        <v>21.8</v>
      </c>
      <c r="H1875" s="37" t="n">
        <v>0.070910033704952</v>
      </c>
      <c r="I1875" s="31" t="n">
        <v>38.9</v>
      </c>
      <c r="J1875" s="2" t="s">
        <v>2713</v>
      </c>
      <c r="K1875" s="38" t="n">
        <v>0.121212121212121</v>
      </c>
      <c r="L1875" s="31" t="n">
        <v>43.5</v>
      </c>
      <c r="M1875" s="39" t="s">
        <v>671</v>
      </c>
      <c r="N1875" s="2" t="s">
        <v>19</v>
      </c>
      <c r="O1875" s="2" t="s">
        <v>19</v>
      </c>
      <c r="P1875" s="2" t="s">
        <v>19</v>
      </c>
      <c r="Q1875" s="2" t="s">
        <v>19</v>
      </c>
    </row>
    <row r="1876" customFormat="false" ht="15" hidden="false" customHeight="false" outlineLevel="0" collapsed="false">
      <c r="A1876" s="2" t="s">
        <v>1250</v>
      </c>
      <c r="B1876" s="2" t="s">
        <v>46</v>
      </c>
      <c r="C1876" s="14" t="s">
        <v>3176</v>
      </c>
      <c r="D1876" s="29"/>
      <c r="E1876" s="2"/>
      <c r="F1876" s="30"/>
      <c r="G1876" s="31"/>
      <c r="H1876" s="32"/>
      <c r="I1876" s="31"/>
      <c r="J1876" s="2"/>
      <c r="K1876" s="33"/>
      <c r="L1876" s="31"/>
      <c r="M1876" s="34" t="s">
        <v>668</v>
      </c>
      <c r="N1876" s="2"/>
      <c r="O1876" s="2"/>
      <c r="P1876" s="2"/>
      <c r="Q1876" s="2"/>
    </row>
    <row r="1877" customFormat="false" ht="15" hidden="false" customHeight="false" outlineLevel="0" collapsed="false">
      <c r="A1877" s="2" t="s">
        <v>1250</v>
      </c>
      <c r="B1877" s="2" t="s">
        <v>47</v>
      </c>
      <c r="C1877" s="13" t="s">
        <v>2117</v>
      </c>
      <c r="D1877" s="35" t="n">
        <v>16199</v>
      </c>
      <c r="E1877" s="2" t="s">
        <v>667</v>
      </c>
      <c r="F1877" s="36" t="n">
        <v>2.14618186307797</v>
      </c>
      <c r="G1877" s="31" t="n">
        <v>77.2</v>
      </c>
      <c r="H1877" s="37" t="n">
        <v>0.206449690921278</v>
      </c>
      <c r="I1877" s="31" t="n">
        <v>94.3</v>
      </c>
      <c r="J1877" s="2" t="s">
        <v>2697</v>
      </c>
      <c r="K1877" s="38" t="n">
        <v>0.0856015779092702</v>
      </c>
      <c r="L1877" s="31" t="n">
        <v>47.2</v>
      </c>
      <c r="M1877" s="39" t="s">
        <v>671</v>
      </c>
      <c r="N1877" s="2" t="s">
        <v>19</v>
      </c>
      <c r="O1877" s="2" t="s">
        <v>19</v>
      </c>
      <c r="P1877" s="2" t="s">
        <v>19</v>
      </c>
      <c r="Q1877" s="2" t="s">
        <v>19</v>
      </c>
    </row>
    <row r="1878" customFormat="false" ht="15" hidden="false" customHeight="false" outlineLevel="0" collapsed="false">
      <c r="A1878" s="2" t="s">
        <v>159</v>
      </c>
      <c r="B1878" s="2" t="s">
        <v>47</v>
      </c>
      <c r="C1878" s="13" t="s">
        <v>2119</v>
      </c>
      <c r="D1878" s="35" t="n">
        <v>5082</v>
      </c>
      <c r="E1878" s="2" t="s">
        <v>678</v>
      </c>
      <c r="F1878" s="36" t="n">
        <v>2.13616686343959</v>
      </c>
      <c r="G1878" s="31" t="n">
        <v>76.6</v>
      </c>
      <c r="H1878" s="37" t="n">
        <v>0.117168608485381</v>
      </c>
      <c r="I1878" s="31" t="n">
        <v>56</v>
      </c>
      <c r="J1878" s="2" t="s">
        <v>2706</v>
      </c>
      <c r="K1878" s="38" t="n">
        <v>0.0171232876712329</v>
      </c>
      <c r="L1878" s="31" t="n">
        <v>11</v>
      </c>
      <c r="M1878" s="39" t="s">
        <v>671</v>
      </c>
      <c r="N1878" s="2" t="s">
        <v>19</v>
      </c>
      <c r="O1878" s="2" t="s">
        <v>19</v>
      </c>
      <c r="P1878" s="2" t="s">
        <v>19</v>
      </c>
      <c r="Q1878" s="2" t="s">
        <v>19</v>
      </c>
    </row>
    <row r="1879" customFormat="false" ht="15" hidden="false" customHeight="false" outlineLevel="0" collapsed="false">
      <c r="A1879" s="2" t="s">
        <v>1321</v>
      </c>
      <c r="B1879" s="2" t="s">
        <v>45</v>
      </c>
      <c r="C1879" s="14" t="s">
        <v>1322</v>
      </c>
      <c r="D1879" s="40" t="n">
        <v>180250</v>
      </c>
      <c r="E1879" s="2" t="s">
        <v>670</v>
      </c>
      <c r="F1879" s="41" t="n">
        <v>0.20873786407767</v>
      </c>
      <c r="G1879" s="31" t="n">
        <v>9.2</v>
      </c>
      <c r="H1879" s="42" t="n">
        <v>0.106642927308448</v>
      </c>
      <c r="I1879" s="31" t="n">
        <v>61.6</v>
      </c>
      <c r="J1879" s="2" t="s">
        <v>2698</v>
      </c>
      <c r="K1879" s="43" t="n">
        <v>0.105218855218855</v>
      </c>
      <c r="L1879" s="31" t="n">
        <v>37.8</v>
      </c>
      <c r="M1879" s="39" t="s">
        <v>671</v>
      </c>
      <c r="N1879" s="2" t="s">
        <v>21</v>
      </c>
      <c r="O1879" s="2" t="s">
        <v>21</v>
      </c>
      <c r="P1879" s="2" t="s">
        <v>21</v>
      </c>
      <c r="Q1879" s="2" t="s">
        <v>21</v>
      </c>
    </row>
    <row r="1880" customFormat="false" ht="15" hidden="false" customHeight="false" outlineLevel="0" collapsed="false">
      <c r="A1880" s="2" t="s">
        <v>1321</v>
      </c>
      <c r="B1880" s="2" t="s">
        <v>46</v>
      </c>
      <c r="C1880" s="14" t="s">
        <v>3177</v>
      </c>
      <c r="D1880" s="40" t="n">
        <v>26900</v>
      </c>
      <c r="E1880" s="2" t="s">
        <v>667</v>
      </c>
      <c r="F1880" s="41" t="n">
        <v>3.05847583643123</v>
      </c>
      <c r="G1880" s="31" t="n">
        <v>48.2</v>
      </c>
      <c r="H1880" s="42" t="n">
        <v>0.11065235342692</v>
      </c>
      <c r="I1880" s="31" t="n">
        <v>60.2</v>
      </c>
      <c r="J1880" s="2" t="s">
        <v>2700</v>
      </c>
      <c r="K1880" s="33"/>
      <c r="L1880" s="31"/>
      <c r="M1880" s="34" t="s">
        <v>668</v>
      </c>
      <c r="N1880" s="2" t="s">
        <v>21</v>
      </c>
      <c r="O1880" s="2" t="s">
        <v>21</v>
      </c>
      <c r="P1880" s="2" t="s">
        <v>21</v>
      </c>
      <c r="Q1880" s="2"/>
    </row>
    <row r="1881" customFormat="false" ht="15" hidden="false" customHeight="false" outlineLevel="0" collapsed="false">
      <c r="A1881" s="2" t="s">
        <v>1321</v>
      </c>
      <c r="B1881" s="2" t="s">
        <v>47</v>
      </c>
      <c r="C1881" s="13" t="s">
        <v>2008</v>
      </c>
      <c r="D1881" s="35" t="n">
        <v>455047</v>
      </c>
      <c r="E1881" s="2" t="s">
        <v>670</v>
      </c>
      <c r="F1881" s="36" t="n">
        <v>3.70181102171864</v>
      </c>
      <c r="G1881" s="31" t="n">
        <v>93.7</v>
      </c>
      <c r="H1881" s="37" t="n">
        <v>-0.0477120243760542</v>
      </c>
      <c r="I1881" s="31" t="n">
        <v>4.2</v>
      </c>
      <c r="J1881" s="2" t="s">
        <v>2701</v>
      </c>
      <c r="K1881" s="38" t="n">
        <v>0.0158364503234713</v>
      </c>
      <c r="L1881" s="31" t="n">
        <v>10.3</v>
      </c>
      <c r="M1881" s="39" t="s">
        <v>671</v>
      </c>
      <c r="N1881" s="2" t="s">
        <v>19</v>
      </c>
      <c r="O1881" s="2" t="s">
        <v>19</v>
      </c>
      <c r="P1881" s="2" t="s">
        <v>19</v>
      </c>
      <c r="Q1881" s="2" t="s">
        <v>19</v>
      </c>
    </row>
    <row r="1882" customFormat="false" ht="15" hidden="false" customHeight="false" outlineLevel="0" collapsed="false">
      <c r="A1882" s="2" t="s">
        <v>3178</v>
      </c>
      <c r="B1882" s="2" t="s">
        <v>47</v>
      </c>
      <c r="C1882" s="16"/>
      <c r="D1882" s="29"/>
      <c r="E1882" s="2"/>
      <c r="F1882" s="30"/>
      <c r="G1882" s="31"/>
      <c r="H1882" s="32"/>
      <c r="I1882" s="31"/>
      <c r="J1882" s="2"/>
      <c r="K1882" s="33"/>
      <c r="L1882" s="31"/>
      <c r="M1882" s="34" t="s">
        <v>668</v>
      </c>
      <c r="N1882" s="2"/>
      <c r="O1882" s="2"/>
      <c r="P1882" s="2"/>
      <c r="Q1882" s="2"/>
    </row>
    <row r="1883" customFormat="false" ht="15" hidden="false" customHeight="false" outlineLevel="0" collapsed="false">
      <c r="A1883" s="2" t="s">
        <v>700</v>
      </c>
      <c r="B1883" s="2" t="s">
        <v>45</v>
      </c>
      <c r="C1883" s="13" t="s">
        <v>701</v>
      </c>
      <c r="D1883" s="35" t="n">
        <v>343431</v>
      </c>
      <c r="E1883" s="2" t="s">
        <v>670</v>
      </c>
      <c r="F1883" s="36" t="n">
        <v>2.30648077779816</v>
      </c>
      <c r="G1883" s="31" t="n">
        <v>95.7</v>
      </c>
      <c r="H1883" s="37" t="n">
        <v>0.276486373976004</v>
      </c>
      <c r="I1883" s="31" t="n">
        <v>100</v>
      </c>
      <c r="J1883" s="2" t="s">
        <v>2698</v>
      </c>
      <c r="K1883" s="38" t="n">
        <v>0.252726750861079</v>
      </c>
      <c r="L1883" s="31" t="n">
        <v>82.3</v>
      </c>
      <c r="M1883" s="39" t="s">
        <v>671</v>
      </c>
      <c r="N1883" s="2" t="s">
        <v>19</v>
      </c>
      <c r="O1883" s="2" t="s">
        <v>19</v>
      </c>
      <c r="P1883" s="2" t="s">
        <v>19</v>
      </c>
      <c r="Q1883" s="2" t="s">
        <v>19</v>
      </c>
    </row>
    <row r="1884" customFormat="false" ht="15" hidden="false" customHeight="false" outlineLevel="0" collapsed="false">
      <c r="A1884" s="2" t="s">
        <v>700</v>
      </c>
      <c r="B1884" s="2" t="s">
        <v>46</v>
      </c>
      <c r="C1884" s="14" t="s">
        <v>3179</v>
      </c>
      <c r="D1884" s="40" t="n">
        <v>81970</v>
      </c>
      <c r="E1884" s="2" t="s">
        <v>667</v>
      </c>
      <c r="F1884" s="41" t="n">
        <v>2.10581920214713</v>
      </c>
      <c r="G1884" s="31" t="n">
        <v>29</v>
      </c>
      <c r="H1884" s="32"/>
      <c r="I1884" s="31"/>
      <c r="J1884" s="2"/>
      <c r="K1884" s="43" t="n">
        <v>0.0340192696562389</v>
      </c>
      <c r="L1884" s="31" t="n">
        <v>8</v>
      </c>
      <c r="M1884" s="34" t="s">
        <v>668</v>
      </c>
      <c r="N1884" s="2" t="s">
        <v>21</v>
      </c>
      <c r="O1884" s="2" t="s">
        <v>21</v>
      </c>
      <c r="P1884" s="2"/>
      <c r="Q1884" s="2" t="s">
        <v>21</v>
      </c>
    </row>
    <row r="1885" customFormat="false" ht="15" hidden="false" customHeight="false" outlineLevel="0" collapsed="false">
      <c r="A1885" s="2" t="s">
        <v>700</v>
      </c>
      <c r="B1885" s="2" t="s">
        <v>47</v>
      </c>
      <c r="C1885" s="13" t="s">
        <v>2087</v>
      </c>
      <c r="D1885" s="35" t="n">
        <v>71646</v>
      </c>
      <c r="E1885" s="2" t="s">
        <v>667</v>
      </c>
      <c r="F1885" s="36" t="n">
        <v>2.46329173994361</v>
      </c>
      <c r="G1885" s="31" t="n">
        <v>81.9</v>
      </c>
      <c r="H1885" s="37" t="n">
        <v>0.0189435958699548</v>
      </c>
      <c r="I1885" s="31" t="n">
        <v>15.6</v>
      </c>
      <c r="J1885" s="2" t="s">
        <v>2697</v>
      </c>
      <c r="K1885" s="38" t="n">
        <v>0.0953087335434823</v>
      </c>
      <c r="L1885" s="31" t="n">
        <v>52</v>
      </c>
      <c r="M1885" s="39" t="s">
        <v>671</v>
      </c>
      <c r="N1885" s="2" t="s">
        <v>19</v>
      </c>
      <c r="O1885" s="2" t="s">
        <v>19</v>
      </c>
      <c r="P1885" s="2" t="s">
        <v>19</v>
      </c>
      <c r="Q1885" s="2" t="s">
        <v>19</v>
      </c>
    </row>
    <row r="1886" customFormat="false" ht="15" hidden="false" customHeight="false" outlineLevel="0" collapsed="false">
      <c r="A1886" s="2" t="s">
        <v>418</v>
      </c>
      <c r="B1886" s="2" t="s">
        <v>45</v>
      </c>
      <c r="C1886" s="14" t="s">
        <v>886</v>
      </c>
      <c r="D1886" s="40" t="n">
        <v>84880</v>
      </c>
      <c r="E1886" s="2" t="s">
        <v>667</v>
      </c>
      <c r="F1886" s="41" t="n">
        <v>0.903828934967012</v>
      </c>
      <c r="G1886" s="31" t="n">
        <v>71.2</v>
      </c>
      <c r="H1886" s="42" t="n">
        <v>0.0821009688934217</v>
      </c>
      <c r="I1886" s="31" t="n">
        <v>46.8</v>
      </c>
      <c r="J1886" s="2" t="s">
        <v>2704</v>
      </c>
      <c r="K1886" s="43" t="n">
        <v>0.0814581458145815</v>
      </c>
      <c r="L1886" s="31" t="n">
        <v>27.3</v>
      </c>
      <c r="M1886" s="39" t="s">
        <v>671</v>
      </c>
      <c r="N1886" s="2" t="s">
        <v>21</v>
      </c>
      <c r="O1886" s="2" t="s">
        <v>21</v>
      </c>
      <c r="P1886" s="2" t="s">
        <v>21</v>
      </c>
      <c r="Q1886" s="2" t="s">
        <v>21</v>
      </c>
    </row>
    <row r="1887" customFormat="false" ht="15" hidden="false" customHeight="false" outlineLevel="0" collapsed="false">
      <c r="A1887" s="2" t="s">
        <v>418</v>
      </c>
      <c r="B1887" s="2" t="s">
        <v>46</v>
      </c>
      <c r="C1887" s="14" t="s">
        <v>1779</v>
      </c>
      <c r="D1887" s="40" t="n">
        <v>95810</v>
      </c>
      <c r="E1887" s="2" t="s">
        <v>667</v>
      </c>
      <c r="F1887" s="41" t="n">
        <v>2.27360400793237</v>
      </c>
      <c r="G1887" s="31" t="n">
        <v>32.6</v>
      </c>
      <c r="H1887" s="42" t="n">
        <v>0.0370169931810802</v>
      </c>
      <c r="I1887" s="31" t="n">
        <v>23.7</v>
      </c>
      <c r="J1887" s="2" t="s">
        <v>2700</v>
      </c>
      <c r="K1887" s="43" t="n">
        <v>0.142196045435423</v>
      </c>
      <c r="L1887" s="31" t="n">
        <v>52.8</v>
      </c>
      <c r="M1887" s="39" t="s">
        <v>671</v>
      </c>
      <c r="N1887" s="2" t="s">
        <v>21</v>
      </c>
      <c r="O1887" s="2" t="s">
        <v>21</v>
      </c>
      <c r="P1887" s="2" t="s">
        <v>21</v>
      </c>
      <c r="Q1887" s="2" t="s">
        <v>21</v>
      </c>
    </row>
    <row r="1888" customFormat="false" ht="15" hidden="false" customHeight="false" outlineLevel="0" collapsed="false">
      <c r="A1888" s="2" t="s">
        <v>418</v>
      </c>
      <c r="B1888" s="2" t="s">
        <v>47</v>
      </c>
      <c r="C1888" s="13" t="s">
        <v>2473</v>
      </c>
      <c r="D1888" s="35" t="n">
        <v>131572</v>
      </c>
      <c r="E1888" s="2" t="s">
        <v>670</v>
      </c>
      <c r="F1888" s="36" t="n">
        <v>0.844868209041437</v>
      </c>
      <c r="G1888" s="31" t="n">
        <v>29.3</v>
      </c>
      <c r="H1888" s="37" t="n">
        <v>0.0906619140382144</v>
      </c>
      <c r="I1888" s="31" t="n">
        <v>53</v>
      </c>
      <c r="J1888" s="2" t="s">
        <v>2701</v>
      </c>
      <c r="K1888" s="38" t="n">
        <v>0.00222160510969175</v>
      </c>
      <c r="L1888" s="31" t="n">
        <v>2.7</v>
      </c>
      <c r="M1888" s="39" t="s">
        <v>671</v>
      </c>
      <c r="N1888" s="2" t="s">
        <v>19</v>
      </c>
      <c r="O1888" s="2" t="s">
        <v>19</v>
      </c>
      <c r="P1888" s="2" t="s">
        <v>19</v>
      </c>
      <c r="Q1888" s="2" t="s">
        <v>19</v>
      </c>
    </row>
  </sheetData>
  <autoFilter ref="A4:Q18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24"/>
    <col collapsed="false" customWidth="true" hidden="false" outlineLevel="0" max="5" min="5" style="0" width="15"/>
    <col collapsed="false" customWidth="true" hidden="false" outlineLevel="0" max="6" min="6" style="0" width="24"/>
    <col collapsed="false" customWidth="true" hidden="false" outlineLevel="0" max="8" min="7" style="0" width="11"/>
    <col collapsed="false" customWidth="true" hidden="false" outlineLevel="0" max="12" min="9" style="0" width="12"/>
  </cols>
  <sheetData>
    <row r="1" customFormat="false" ht="17.35" hidden="false" customHeight="false" outlineLevel="0" collapsed="false">
      <c r="A1" s="1" t="s">
        <v>3180</v>
      </c>
      <c r="B1" s="2"/>
      <c r="C1" s="2"/>
      <c r="D1" s="2"/>
      <c r="E1" s="2"/>
      <c r="F1" s="2"/>
      <c r="G1" s="2"/>
      <c r="H1" s="2"/>
      <c r="I1" s="2"/>
      <c r="J1" s="2"/>
      <c r="K1" s="2"/>
      <c r="L1" s="2"/>
    </row>
    <row r="2" customFormat="false" ht="15" hidden="false" customHeight="false" outlineLevel="0" collapsed="false">
      <c r="A2" s="3" t="s">
        <v>3181</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31.5" hidden="false" customHeight="true" outlineLevel="0" collapsed="false">
      <c r="A4" s="8" t="s">
        <v>56</v>
      </c>
      <c r="B4" s="8" t="s">
        <v>3182</v>
      </c>
      <c r="C4" s="8" t="s">
        <v>3183</v>
      </c>
      <c r="D4" s="8" t="s">
        <v>3184</v>
      </c>
      <c r="E4" s="8" t="s">
        <v>3185</v>
      </c>
      <c r="F4" s="8" t="s">
        <v>3</v>
      </c>
      <c r="G4" s="8" t="s">
        <v>3186</v>
      </c>
      <c r="H4" s="8" t="s">
        <v>3187</v>
      </c>
      <c r="I4" s="8" t="s">
        <v>3188</v>
      </c>
      <c r="J4" s="8" t="s">
        <v>3189</v>
      </c>
      <c r="K4" s="8" t="s">
        <v>3190</v>
      </c>
      <c r="L4" s="8" t="s">
        <v>3191</v>
      </c>
    </row>
    <row r="5" customFormat="false" ht="15" hidden="false" customHeight="false" outlineLevel="0" collapsed="false">
      <c r="A5" s="2" t="s">
        <v>2660</v>
      </c>
      <c r="B5" s="13" t="s">
        <v>2659</v>
      </c>
      <c r="C5" s="13" t="s">
        <v>138</v>
      </c>
      <c r="D5" s="14" t="s">
        <v>3192</v>
      </c>
      <c r="E5" s="13" t="s">
        <v>115</v>
      </c>
      <c r="F5" s="2" t="s">
        <v>129</v>
      </c>
      <c r="G5" s="2" t="s">
        <v>3193</v>
      </c>
      <c r="H5" s="34" t="s">
        <v>668</v>
      </c>
      <c r="I5" s="2" t="s">
        <v>19</v>
      </c>
      <c r="J5" s="2" t="s">
        <v>19</v>
      </c>
      <c r="K5" s="2" t="s">
        <v>21</v>
      </c>
      <c r="L5" s="2" t="s">
        <v>19</v>
      </c>
    </row>
    <row r="6" customFormat="false" ht="15" hidden="false" customHeight="false" outlineLevel="0" collapsed="false">
      <c r="A6" s="2" t="s">
        <v>1206</v>
      </c>
      <c r="B6" s="13" t="s">
        <v>1205</v>
      </c>
      <c r="C6" s="13" t="s">
        <v>72</v>
      </c>
      <c r="D6" s="13" t="s">
        <v>3194</v>
      </c>
      <c r="E6" s="13" t="s">
        <v>99</v>
      </c>
      <c r="F6" s="2" t="s">
        <v>129</v>
      </c>
      <c r="G6" s="2" t="s">
        <v>3195</v>
      </c>
      <c r="H6" s="34" t="s">
        <v>668</v>
      </c>
      <c r="I6" s="2" t="s">
        <v>19</v>
      </c>
      <c r="J6" s="2" t="s">
        <v>19</v>
      </c>
      <c r="K6" s="2" t="s">
        <v>19</v>
      </c>
      <c r="L6" s="2" t="s">
        <v>19</v>
      </c>
    </row>
    <row r="7" customFormat="false" ht="15" hidden="false" customHeight="false" outlineLevel="0" collapsed="false">
      <c r="A7" s="2" t="s">
        <v>1998</v>
      </c>
      <c r="B7" s="13" t="s">
        <v>1997</v>
      </c>
      <c r="C7" s="13" t="s">
        <v>102</v>
      </c>
      <c r="D7" s="13" t="s">
        <v>3196</v>
      </c>
      <c r="E7" s="13" t="s">
        <v>73</v>
      </c>
      <c r="F7" s="2" t="s">
        <v>129</v>
      </c>
      <c r="G7" s="2" t="s">
        <v>3193</v>
      </c>
      <c r="H7" s="34" t="s">
        <v>668</v>
      </c>
      <c r="I7" s="2" t="s">
        <v>19</v>
      </c>
      <c r="J7" s="2" t="s">
        <v>19</v>
      </c>
      <c r="K7" s="2" t="s">
        <v>19</v>
      </c>
      <c r="L7" s="2" t="s">
        <v>19</v>
      </c>
    </row>
    <row r="8" customFormat="false" ht="15" hidden="false" customHeight="false" outlineLevel="0" collapsed="false">
      <c r="A8" s="2" t="s">
        <v>1578</v>
      </c>
      <c r="B8" s="13" t="s">
        <v>1577</v>
      </c>
      <c r="C8" s="13" t="s">
        <v>87</v>
      </c>
      <c r="D8" s="13" t="s">
        <v>3197</v>
      </c>
      <c r="E8" s="13" t="s">
        <v>99</v>
      </c>
      <c r="F8" s="2" t="s">
        <v>129</v>
      </c>
      <c r="G8" s="2" t="s">
        <v>3195</v>
      </c>
      <c r="H8" s="34" t="s">
        <v>668</v>
      </c>
      <c r="I8" s="2" t="s">
        <v>19</v>
      </c>
      <c r="J8" s="2" t="s">
        <v>19</v>
      </c>
      <c r="K8" s="2" t="s">
        <v>19</v>
      </c>
      <c r="L8" s="2" t="s">
        <v>19</v>
      </c>
    </row>
    <row r="9" customFormat="false" ht="15" hidden="false" customHeight="false" outlineLevel="0" collapsed="false">
      <c r="A9" s="2" t="s">
        <v>1787</v>
      </c>
      <c r="B9" s="13" t="s">
        <v>1786</v>
      </c>
      <c r="C9" s="13" t="s">
        <v>105</v>
      </c>
      <c r="D9" s="13" t="s">
        <v>3198</v>
      </c>
      <c r="E9" s="13" t="s">
        <v>96</v>
      </c>
      <c r="F9" s="2" t="s">
        <v>129</v>
      </c>
      <c r="G9" s="2" t="s">
        <v>3195</v>
      </c>
      <c r="H9" s="34" t="s">
        <v>668</v>
      </c>
      <c r="I9" s="2" t="s">
        <v>19</v>
      </c>
      <c r="J9" s="2" t="s">
        <v>19</v>
      </c>
      <c r="K9" s="2" t="s">
        <v>19</v>
      </c>
      <c r="L9" s="2" t="s">
        <v>19</v>
      </c>
    </row>
    <row r="10" customFormat="false" ht="15" hidden="false" customHeight="false" outlineLevel="0" collapsed="false">
      <c r="A10" s="2" t="s">
        <v>2707</v>
      </c>
      <c r="B10" s="16"/>
      <c r="C10" s="16"/>
      <c r="D10" s="16"/>
      <c r="E10" s="16"/>
      <c r="F10" s="2" t="s">
        <v>157</v>
      </c>
      <c r="G10" s="2" t="s">
        <v>3199</v>
      </c>
      <c r="H10" s="34" t="s">
        <v>668</v>
      </c>
      <c r="I10" s="2"/>
      <c r="J10" s="2"/>
      <c r="K10" s="2"/>
      <c r="L10" s="2"/>
    </row>
    <row r="11" customFormat="false" ht="15" hidden="false" customHeight="false" outlineLevel="0" collapsed="false">
      <c r="A11" s="2" t="s">
        <v>774</v>
      </c>
      <c r="B11" s="13" t="s">
        <v>773</v>
      </c>
      <c r="C11" s="13" t="s">
        <v>102</v>
      </c>
      <c r="D11" s="13" t="s">
        <v>3200</v>
      </c>
      <c r="E11" s="13" t="s">
        <v>73</v>
      </c>
      <c r="F11" s="2" t="s">
        <v>129</v>
      </c>
      <c r="G11" s="2" t="s">
        <v>3195</v>
      </c>
      <c r="H11" s="34" t="s">
        <v>668</v>
      </c>
      <c r="I11" s="2" t="s">
        <v>19</v>
      </c>
      <c r="J11" s="2" t="s">
        <v>19</v>
      </c>
      <c r="K11" s="2" t="s">
        <v>19</v>
      </c>
      <c r="L11" s="2" t="s">
        <v>19</v>
      </c>
    </row>
    <row r="12" customFormat="false" ht="15" hidden="false" customHeight="false" outlineLevel="0" collapsed="false">
      <c r="A12" s="2" t="s">
        <v>2709</v>
      </c>
      <c r="B12" s="15" t="s">
        <v>3201</v>
      </c>
      <c r="C12" s="15" t="s">
        <v>92</v>
      </c>
      <c r="D12" s="16"/>
      <c r="E12" s="15" t="s">
        <v>99</v>
      </c>
      <c r="F12" s="2" t="s">
        <v>46</v>
      </c>
      <c r="G12" s="2" t="s">
        <v>3202</v>
      </c>
      <c r="H12" s="34" t="s">
        <v>668</v>
      </c>
      <c r="I12" s="2" t="s">
        <v>17</v>
      </c>
      <c r="J12" s="2" t="s">
        <v>17</v>
      </c>
      <c r="K12" s="2"/>
      <c r="L12" s="2" t="s">
        <v>17</v>
      </c>
    </row>
    <row r="13" customFormat="false" ht="15" hidden="false" customHeight="false" outlineLevel="0" collapsed="false">
      <c r="A13" s="2" t="s">
        <v>1156</v>
      </c>
      <c r="B13" s="13" t="s">
        <v>1155</v>
      </c>
      <c r="C13" s="13" t="s">
        <v>102</v>
      </c>
      <c r="D13" s="13" t="s">
        <v>3203</v>
      </c>
      <c r="E13" s="13" t="s">
        <v>96</v>
      </c>
      <c r="F13" s="2" t="s">
        <v>129</v>
      </c>
      <c r="G13" s="2" t="s">
        <v>3195</v>
      </c>
      <c r="H13" s="34" t="s">
        <v>668</v>
      </c>
      <c r="I13" s="2" t="s">
        <v>19</v>
      </c>
      <c r="J13" s="2" t="s">
        <v>19</v>
      </c>
      <c r="K13" s="2" t="s">
        <v>19</v>
      </c>
      <c r="L13" s="2" t="s">
        <v>19</v>
      </c>
    </row>
    <row r="14" customFormat="false" ht="15" hidden="false" customHeight="false" outlineLevel="0" collapsed="false">
      <c r="A14" s="2" t="s">
        <v>924</v>
      </c>
      <c r="B14" s="13" t="s">
        <v>923</v>
      </c>
      <c r="C14" s="13" t="s">
        <v>87</v>
      </c>
      <c r="D14" s="13" t="s">
        <v>3204</v>
      </c>
      <c r="E14" s="13" t="s">
        <v>170</v>
      </c>
      <c r="F14" s="2" t="s">
        <v>125</v>
      </c>
      <c r="G14" s="2" t="s">
        <v>3205</v>
      </c>
      <c r="H14" s="34" t="s">
        <v>668</v>
      </c>
      <c r="I14" s="2" t="s">
        <v>19</v>
      </c>
      <c r="J14" s="2" t="s">
        <v>19</v>
      </c>
      <c r="K14" s="2" t="s">
        <v>19</v>
      </c>
      <c r="L14" s="2" t="s">
        <v>19</v>
      </c>
    </row>
    <row r="15" customFormat="false" ht="15" hidden="false" customHeight="false" outlineLevel="0" collapsed="false">
      <c r="A15" s="2" t="s">
        <v>1297</v>
      </c>
      <c r="B15" s="13" t="s">
        <v>1296</v>
      </c>
      <c r="C15" s="13" t="s">
        <v>72</v>
      </c>
      <c r="D15" s="13" t="s">
        <v>3206</v>
      </c>
      <c r="E15" s="13" t="s">
        <v>108</v>
      </c>
      <c r="F15" s="2" t="s">
        <v>129</v>
      </c>
      <c r="G15" s="2" t="s">
        <v>3195</v>
      </c>
      <c r="H15" s="34" t="s">
        <v>668</v>
      </c>
      <c r="I15" s="2" t="s">
        <v>19</v>
      </c>
      <c r="J15" s="2" t="s">
        <v>19</v>
      </c>
      <c r="K15" s="2" t="s">
        <v>19</v>
      </c>
      <c r="L15" s="2" t="s">
        <v>19</v>
      </c>
    </row>
    <row r="16" customFormat="false" ht="15" hidden="false" customHeight="false" outlineLevel="0" collapsed="false">
      <c r="A16" s="2" t="s">
        <v>172</v>
      </c>
      <c r="B16" s="13" t="s">
        <v>171</v>
      </c>
      <c r="C16" s="15" t="s">
        <v>72</v>
      </c>
      <c r="D16" s="13" t="s">
        <v>3207</v>
      </c>
      <c r="E16" s="13" t="s">
        <v>73</v>
      </c>
      <c r="F16" s="2" t="s">
        <v>47</v>
      </c>
      <c r="G16" s="2" t="s">
        <v>3208</v>
      </c>
      <c r="H16" s="39" t="s">
        <v>671</v>
      </c>
      <c r="I16" s="2" t="s">
        <v>19</v>
      </c>
      <c r="J16" s="2" t="s">
        <v>17</v>
      </c>
      <c r="K16" s="2" t="s">
        <v>19</v>
      </c>
      <c r="L16" s="2" t="s">
        <v>19</v>
      </c>
    </row>
    <row r="17" customFormat="false" ht="15" hidden="false" customHeight="false" outlineLevel="0" collapsed="false">
      <c r="A17" s="2" t="s">
        <v>1554</v>
      </c>
      <c r="B17" s="14" t="s">
        <v>1553</v>
      </c>
      <c r="C17" s="14" t="s">
        <v>87</v>
      </c>
      <c r="D17" s="14" t="s">
        <v>3209</v>
      </c>
      <c r="E17" s="14" t="s">
        <v>99</v>
      </c>
      <c r="F17" s="2" t="s">
        <v>175</v>
      </c>
      <c r="G17" s="2" t="s">
        <v>3205</v>
      </c>
      <c r="H17" s="34" t="s">
        <v>668</v>
      </c>
      <c r="I17" s="2" t="s">
        <v>21</v>
      </c>
      <c r="J17" s="2" t="s">
        <v>21</v>
      </c>
      <c r="K17" s="2" t="s">
        <v>21</v>
      </c>
      <c r="L17" s="2" t="s">
        <v>21</v>
      </c>
    </row>
    <row r="18" customFormat="false" ht="15" hidden="false" customHeight="false" outlineLevel="0" collapsed="false">
      <c r="A18" s="2" t="s">
        <v>873</v>
      </c>
      <c r="B18" s="13" t="s">
        <v>872</v>
      </c>
      <c r="C18" s="13" t="s">
        <v>133</v>
      </c>
      <c r="D18" s="13" t="s">
        <v>3210</v>
      </c>
      <c r="E18" s="13" t="s">
        <v>82</v>
      </c>
      <c r="F18" s="2" t="s">
        <v>129</v>
      </c>
      <c r="G18" s="2" t="s">
        <v>3195</v>
      </c>
      <c r="H18" s="34" t="s">
        <v>668</v>
      </c>
      <c r="I18" s="2" t="s">
        <v>19</v>
      </c>
      <c r="J18" s="2" t="s">
        <v>19</v>
      </c>
      <c r="K18" s="2" t="s">
        <v>19</v>
      </c>
      <c r="L18" s="2" t="s">
        <v>19</v>
      </c>
    </row>
    <row r="19" customFormat="false" ht="15" hidden="false" customHeight="false" outlineLevel="0" collapsed="false">
      <c r="A19" s="2" t="s">
        <v>430</v>
      </c>
      <c r="B19" s="13" t="s">
        <v>429</v>
      </c>
      <c r="C19" s="13" t="s">
        <v>133</v>
      </c>
      <c r="D19" s="13" t="s">
        <v>3211</v>
      </c>
      <c r="E19" s="13" t="s">
        <v>73</v>
      </c>
      <c r="F19" s="2" t="s">
        <v>47</v>
      </c>
      <c r="G19" s="2" t="s">
        <v>3208</v>
      </c>
      <c r="H19" s="39" t="s">
        <v>671</v>
      </c>
      <c r="I19" s="2" t="s">
        <v>19</v>
      </c>
      <c r="J19" s="2" t="s">
        <v>19</v>
      </c>
      <c r="K19" s="2" t="s">
        <v>19</v>
      </c>
      <c r="L19" s="2" t="s">
        <v>19</v>
      </c>
    </row>
    <row r="20" customFormat="false" ht="15" hidden="false" customHeight="false" outlineLevel="0" collapsed="false">
      <c r="A20" s="2" t="s">
        <v>935</v>
      </c>
      <c r="B20" s="13" t="s">
        <v>934</v>
      </c>
      <c r="C20" s="13" t="s">
        <v>72</v>
      </c>
      <c r="D20" s="13" t="s">
        <v>3212</v>
      </c>
      <c r="E20" s="13" t="s">
        <v>73</v>
      </c>
      <c r="F20" s="2" t="s">
        <v>129</v>
      </c>
      <c r="G20" s="2" t="s">
        <v>3195</v>
      </c>
      <c r="H20" s="34" t="s">
        <v>668</v>
      </c>
      <c r="I20" s="2" t="s">
        <v>19</v>
      </c>
      <c r="J20" s="2" t="s">
        <v>19</v>
      </c>
      <c r="K20" s="2" t="s">
        <v>19</v>
      </c>
      <c r="L20" s="2" t="s">
        <v>19</v>
      </c>
    </row>
    <row r="21" customFormat="false" ht="15" hidden="false" customHeight="false" outlineLevel="0" collapsed="false">
      <c r="A21" s="2" t="s">
        <v>2259</v>
      </c>
      <c r="B21" s="13" t="s">
        <v>2258</v>
      </c>
      <c r="C21" s="13" t="s">
        <v>102</v>
      </c>
      <c r="D21" s="13" t="s">
        <v>3213</v>
      </c>
      <c r="E21" s="13" t="s">
        <v>82</v>
      </c>
      <c r="F21" s="2" t="s">
        <v>129</v>
      </c>
      <c r="G21" s="2" t="s">
        <v>3193</v>
      </c>
      <c r="H21" s="34" t="s">
        <v>668</v>
      </c>
      <c r="I21" s="2" t="s">
        <v>19</v>
      </c>
      <c r="J21" s="2" t="s">
        <v>19</v>
      </c>
      <c r="K21" s="2" t="s">
        <v>19</v>
      </c>
      <c r="L21" s="2" t="s">
        <v>19</v>
      </c>
    </row>
    <row r="22" customFormat="false" ht="15" hidden="false" customHeight="false" outlineLevel="0" collapsed="false">
      <c r="A22" s="2" t="s">
        <v>530</v>
      </c>
      <c r="B22" s="13" t="s">
        <v>529</v>
      </c>
      <c r="C22" s="13" t="s">
        <v>92</v>
      </c>
      <c r="D22" s="13" t="s">
        <v>3214</v>
      </c>
      <c r="E22" s="13" t="s">
        <v>82</v>
      </c>
      <c r="F22" s="2" t="s">
        <v>129</v>
      </c>
      <c r="G22" s="2" t="s">
        <v>3215</v>
      </c>
      <c r="H22" s="39" t="s">
        <v>671</v>
      </c>
      <c r="I22" s="2" t="s">
        <v>19</v>
      </c>
      <c r="J22" s="2" t="s">
        <v>19</v>
      </c>
      <c r="K22" s="2" t="s">
        <v>19</v>
      </c>
      <c r="L22" s="2" t="s">
        <v>19</v>
      </c>
    </row>
    <row r="23" customFormat="false" ht="15" hidden="false" customHeight="false" outlineLevel="0" collapsed="false">
      <c r="A23" s="2" t="s">
        <v>1498</v>
      </c>
      <c r="B23" s="13" t="s">
        <v>1497</v>
      </c>
      <c r="C23" s="13" t="s">
        <v>102</v>
      </c>
      <c r="D23" s="13" t="s">
        <v>3216</v>
      </c>
      <c r="E23" s="13" t="s">
        <v>82</v>
      </c>
      <c r="F23" s="2" t="s">
        <v>129</v>
      </c>
      <c r="G23" s="2" t="s">
        <v>3195</v>
      </c>
      <c r="H23" s="34" t="s">
        <v>668</v>
      </c>
      <c r="I23" s="2" t="s">
        <v>19</v>
      </c>
      <c r="J23" s="2" t="s">
        <v>19</v>
      </c>
      <c r="K23" s="2" t="s">
        <v>19</v>
      </c>
      <c r="L23" s="2" t="s">
        <v>19</v>
      </c>
    </row>
    <row r="24" customFormat="false" ht="15" hidden="false" customHeight="false" outlineLevel="0" collapsed="false">
      <c r="A24" s="2" t="s">
        <v>394</v>
      </c>
      <c r="B24" s="13" t="s">
        <v>393</v>
      </c>
      <c r="C24" s="13" t="s">
        <v>105</v>
      </c>
      <c r="D24" s="13" t="s">
        <v>3217</v>
      </c>
      <c r="E24" s="13" t="s">
        <v>73</v>
      </c>
      <c r="F24" s="2" t="s">
        <v>157</v>
      </c>
      <c r="G24" s="2" t="s">
        <v>3218</v>
      </c>
      <c r="H24" s="39" t="s">
        <v>671</v>
      </c>
      <c r="I24" s="2" t="s">
        <v>19</v>
      </c>
      <c r="J24" s="2" t="s">
        <v>19</v>
      </c>
      <c r="K24" s="2" t="s">
        <v>19</v>
      </c>
      <c r="L24" s="2" t="s">
        <v>19</v>
      </c>
    </row>
    <row r="25" customFormat="false" ht="15" hidden="false" customHeight="false" outlineLevel="0" collapsed="false">
      <c r="A25" s="2" t="s">
        <v>206</v>
      </c>
      <c r="B25" s="13" t="s">
        <v>205</v>
      </c>
      <c r="C25" s="13" t="s">
        <v>77</v>
      </c>
      <c r="D25" s="13" t="s">
        <v>3219</v>
      </c>
      <c r="E25" s="13" t="s">
        <v>108</v>
      </c>
      <c r="F25" s="2" t="s">
        <v>129</v>
      </c>
      <c r="G25" s="2" t="s">
        <v>3215</v>
      </c>
      <c r="H25" s="39" t="s">
        <v>671</v>
      </c>
      <c r="I25" s="2" t="s">
        <v>19</v>
      </c>
      <c r="J25" s="2" t="s">
        <v>19</v>
      </c>
      <c r="K25" s="2" t="s">
        <v>19</v>
      </c>
      <c r="L25" s="2" t="s">
        <v>19</v>
      </c>
    </row>
    <row r="26" customFormat="false" ht="15" hidden="false" customHeight="false" outlineLevel="0" collapsed="false">
      <c r="A26" s="2" t="s">
        <v>1482</v>
      </c>
      <c r="B26" s="13" t="s">
        <v>1481</v>
      </c>
      <c r="C26" s="13" t="s">
        <v>72</v>
      </c>
      <c r="D26" s="13" t="s">
        <v>3220</v>
      </c>
      <c r="E26" s="13" t="s">
        <v>73</v>
      </c>
      <c r="F26" s="2" t="s">
        <v>129</v>
      </c>
      <c r="G26" s="2" t="s">
        <v>3195</v>
      </c>
      <c r="H26" s="34" t="s">
        <v>668</v>
      </c>
      <c r="I26" s="2" t="s">
        <v>19</v>
      </c>
      <c r="J26" s="2" t="s">
        <v>19</v>
      </c>
      <c r="K26" s="2" t="s">
        <v>19</v>
      </c>
      <c r="L26" s="2" t="s">
        <v>19</v>
      </c>
    </row>
    <row r="27" customFormat="false" ht="15" hidden="false" customHeight="false" outlineLevel="0" collapsed="false">
      <c r="A27" s="2" t="s">
        <v>636</v>
      </c>
      <c r="B27" s="14" t="s">
        <v>635</v>
      </c>
      <c r="C27" s="14" t="s">
        <v>77</v>
      </c>
      <c r="D27" s="16"/>
      <c r="E27" s="14" t="s">
        <v>93</v>
      </c>
      <c r="F27" s="2" t="s">
        <v>46</v>
      </c>
      <c r="G27" s="2" t="s">
        <v>3208</v>
      </c>
      <c r="H27" s="39" t="s">
        <v>671</v>
      </c>
      <c r="I27" s="2" t="s">
        <v>21</v>
      </c>
      <c r="J27" s="2" t="s">
        <v>21</v>
      </c>
      <c r="K27" s="2"/>
      <c r="L27" s="2" t="s">
        <v>21</v>
      </c>
    </row>
    <row r="28" customFormat="false" ht="15" hidden="false" customHeight="false" outlineLevel="0" collapsed="false">
      <c r="A28" s="2" t="s">
        <v>703</v>
      </c>
      <c r="B28" s="13" t="s">
        <v>702</v>
      </c>
      <c r="C28" s="16"/>
      <c r="D28" s="13" t="s">
        <v>3221</v>
      </c>
      <c r="E28" s="13" t="s">
        <v>118</v>
      </c>
      <c r="F28" s="2" t="s">
        <v>129</v>
      </c>
      <c r="G28" s="2" t="s">
        <v>3193</v>
      </c>
      <c r="H28" s="34" t="s">
        <v>668</v>
      </c>
      <c r="I28" s="2" t="s">
        <v>19</v>
      </c>
      <c r="J28" s="2"/>
      <c r="K28" s="2" t="s">
        <v>19</v>
      </c>
      <c r="L28" s="2" t="s">
        <v>19</v>
      </c>
    </row>
    <row r="29" customFormat="false" ht="15" hidden="false" customHeight="false" outlineLevel="0" collapsed="false">
      <c r="A29" s="2" t="s">
        <v>364</v>
      </c>
      <c r="B29" s="13" t="s">
        <v>363</v>
      </c>
      <c r="C29" s="13" t="s">
        <v>87</v>
      </c>
      <c r="D29" s="13" t="s">
        <v>3222</v>
      </c>
      <c r="E29" s="13" t="s">
        <v>73</v>
      </c>
      <c r="F29" s="2" t="s">
        <v>125</v>
      </c>
      <c r="G29" s="2" t="s">
        <v>3218</v>
      </c>
      <c r="H29" s="39" t="s">
        <v>671</v>
      </c>
      <c r="I29" s="2" t="s">
        <v>19</v>
      </c>
      <c r="J29" s="2" t="s">
        <v>19</v>
      </c>
      <c r="K29" s="2" t="s">
        <v>19</v>
      </c>
      <c r="L29" s="2" t="s">
        <v>19</v>
      </c>
    </row>
    <row r="30" customFormat="false" ht="15" hidden="false" customHeight="false" outlineLevel="0" collapsed="false">
      <c r="A30" s="2" t="s">
        <v>1078</v>
      </c>
      <c r="B30" s="13" t="s">
        <v>1077</v>
      </c>
      <c r="C30" s="13" t="s">
        <v>133</v>
      </c>
      <c r="D30" s="13" t="s">
        <v>3223</v>
      </c>
      <c r="E30" s="13" t="s">
        <v>96</v>
      </c>
      <c r="F30" s="2" t="s">
        <v>129</v>
      </c>
      <c r="G30" s="2" t="s">
        <v>3193</v>
      </c>
      <c r="H30" s="34" t="s">
        <v>668</v>
      </c>
      <c r="I30" s="2" t="s">
        <v>19</v>
      </c>
      <c r="J30" s="2" t="s">
        <v>19</v>
      </c>
      <c r="K30" s="2" t="s">
        <v>19</v>
      </c>
      <c r="L30" s="2" t="s">
        <v>19</v>
      </c>
    </row>
    <row r="31" customFormat="false" ht="15" hidden="false" customHeight="false" outlineLevel="0" collapsed="false">
      <c r="A31" s="2" t="s">
        <v>755</v>
      </c>
      <c r="B31" s="14" t="s">
        <v>754</v>
      </c>
      <c r="C31" s="14" t="s">
        <v>114</v>
      </c>
      <c r="D31" s="15" t="s">
        <v>3224</v>
      </c>
      <c r="E31" s="14" t="s">
        <v>73</v>
      </c>
      <c r="F31" s="2" t="s">
        <v>157</v>
      </c>
      <c r="G31" s="2" t="s">
        <v>3205</v>
      </c>
      <c r="H31" s="34" t="s">
        <v>668</v>
      </c>
      <c r="I31" s="2" t="s">
        <v>21</v>
      </c>
      <c r="J31" s="2" t="s">
        <v>21</v>
      </c>
      <c r="K31" s="2" t="s">
        <v>17</v>
      </c>
      <c r="L31" s="2" t="s">
        <v>21</v>
      </c>
    </row>
    <row r="32" customFormat="false" ht="15" hidden="false" customHeight="false" outlineLevel="0" collapsed="false">
      <c r="A32" s="2" t="s">
        <v>2197</v>
      </c>
      <c r="B32" s="13" t="s">
        <v>2196</v>
      </c>
      <c r="C32" s="13" t="s">
        <v>133</v>
      </c>
      <c r="D32" s="13" t="s">
        <v>3225</v>
      </c>
      <c r="E32" s="13" t="s">
        <v>115</v>
      </c>
      <c r="F32" s="2" t="s">
        <v>175</v>
      </c>
      <c r="G32" s="2" t="s">
        <v>3205</v>
      </c>
      <c r="H32" s="34" t="s">
        <v>668</v>
      </c>
      <c r="I32" s="2" t="s">
        <v>19</v>
      </c>
      <c r="J32" s="2" t="s">
        <v>19</v>
      </c>
      <c r="K32" s="2" t="s">
        <v>19</v>
      </c>
      <c r="L32" s="2" t="s">
        <v>19</v>
      </c>
    </row>
    <row r="33" customFormat="false" ht="15" hidden="false" customHeight="false" outlineLevel="0" collapsed="false">
      <c r="A33" s="2" t="s">
        <v>2434</v>
      </c>
      <c r="B33" s="13" t="s">
        <v>2433</v>
      </c>
      <c r="C33" s="13" t="s">
        <v>92</v>
      </c>
      <c r="D33" s="13" t="s">
        <v>3226</v>
      </c>
      <c r="E33" s="13" t="s">
        <v>93</v>
      </c>
      <c r="F33" s="2" t="s">
        <v>157</v>
      </c>
      <c r="G33" s="2" t="s">
        <v>3205</v>
      </c>
      <c r="H33" s="34" t="s">
        <v>668</v>
      </c>
      <c r="I33" s="2" t="s">
        <v>19</v>
      </c>
      <c r="J33" s="2" t="s">
        <v>19</v>
      </c>
      <c r="K33" s="2" t="s">
        <v>19</v>
      </c>
      <c r="L33" s="2" t="s">
        <v>19</v>
      </c>
    </row>
    <row r="34" customFormat="false" ht="15" hidden="false" customHeight="false" outlineLevel="0" collapsed="false">
      <c r="A34" s="2" t="s">
        <v>1761</v>
      </c>
      <c r="B34" s="13" t="s">
        <v>1760</v>
      </c>
      <c r="C34" s="13" t="s">
        <v>138</v>
      </c>
      <c r="D34" s="13" t="s">
        <v>3227</v>
      </c>
      <c r="E34" s="13" t="s">
        <v>108</v>
      </c>
      <c r="F34" s="2" t="s">
        <v>129</v>
      </c>
      <c r="G34" s="2" t="s">
        <v>3195</v>
      </c>
      <c r="H34" s="34" t="s">
        <v>668</v>
      </c>
      <c r="I34" s="2" t="s">
        <v>19</v>
      </c>
      <c r="J34" s="2" t="s">
        <v>19</v>
      </c>
      <c r="K34" s="2" t="s">
        <v>19</v>
      </c>
      <c r="L34" s="2" t="s">
        <v>19</v>
      </c>
    </row>
    <row r="35" customFormat="false" ht="15" hidden="false" customHeight="false" outlineLevel="0" collapsed="false">
      <c r="A35" s="2" t="s">
        <v>214</v>
      </c>
      <c r="B35" s="14" t="s">
        <v>213</v>
      </c>
      <c r="C35" s="13" t="s">
        <v>105</v>
      </c>
      <c r="D35" s="13" t="s">
        <v>3228</v>
      </c>
      <c r="E35" s="13" t="s">
        <v>93</v>
      </c>
      <c r="F35" s="2" t="s">
        <v>157</v>
      </c>
      <c r="G35" s="2" t="s">
        <v>3218</v>
      </c>
      <c r="H35" s="39" t="s">
        <v>671</v>
      </c>
      <c r="I35" s="2" t="s">
        <v>21</v>
      </c>
      <c r="J35" s="2" t="s">
        <v>19</v>
      </c>
      <c r="K35" s="2" t="s">
        <v>19</v>
      </c>
      <c r="L35" s="2" t="s">
        <v>19</v>
      </c>
    </row>
    <row r="36" customFormat="false" ht="15" hidden="false" customHeight="false" outlineLevel="0" collapsed="false">
      <c r="A36" s="2" t="s">
        <v>626</v>
      </c>
      <c r="B36" s="14" t="s">
        <v>625</v>
      </c>
      <c r="C36" s="14" t="s">
        <v>102</v>
      </c>
      <c r="D36" s="15" t="s">
        <v>3229</v>
      </c>
      <c r="E36" s="14" t="s">
        <v>170</v>
      </c>
      <c r="F36" s="2" t="s">
        <v>47</v>
      </c>
      <c r="G36" s="2" t="s">
        <v>3208</v>
      </c>
      <c r="H36" s="39" t="s">
        <v>671</v>
      </c>
      <c r="I36" s="2" t="s">
        <v>21</v>
      </c>
      <c r="J36" s="2" t="s">
        <v>21</v>
      </c>
      <c r="K36" s="2" t="s">
        <v>17</v>
      </c>
      <c r="L36" s="2" t="s">
        <v>21</v>
      </c>
    </row>
    <row r="37" customFormat="false" ht="15" hidden="false" customHeight="false" outlineLevel="0" collapsed="false">
      <c r="A37" s="2" t="s">
        <v>564</v>
      </c>
      <c r="B37" s="14" t="s">
        <v>563</v>
      </c>
      <c r="C37" s="14" t="s">
        <v>133</v>
      </c>
      <c r="D37" s="14" t="s">
        <v>3230</v>
      </c>
      <c r="E37" s="14" t="s">
        <v>170</v>
      </c>
      <c r="F37" s="2" t="s">
        <v>46</v>
      </c>
      <c r="G37" s="2" t="s">
        <v>3208</v>
      </c>
      <c r="H37" s="39" t="s">
        <v>671</v>
      </c>
      <c r="I37" s="2" t="s">
        <v>21</v>
      </c>
      <c r="J37" s="2" t="s">
        <v>21</v>
      </c>
      <c r="K37" s="2" t="s">
        <v>21</v>
      </c>
      <c r="L37" s="2" t="s">
        <v>21</v>
      </c>
    </row>
    <row r="38" customFormat="false" ht="15" hidden="false" customHeight="false" outlineLevel="0" collapsed="false">
      <c r="A38" s="2" t="s">
        <v>618</v>
      </c>
      <c r="B38" s="13" t="s">
        <v>617</v>
      </c>
      <c r="C38" s="13" t="s">
        <v>81</v>
      </c>
      <c r="D38" s="13" t="s">
        <v>3231</v>
      </c>
      <c r="E38" s="13" t="s">
        <v>111</v>
      </c>
      <c r="F38" s="2" t="s">
        <v>157</v>
      </c>
      <c r="G38" s="2" t="s">
        <v>3218</v>
      </c>
      <c r="H38" s="39" t="s">
        <v>671</v>
      </c>
      <c r="I38" s="2" t="s">
        <v>19</v>
      </c>
      <c r="J38" s="2" t="s">
        <v>19</v>
      </c>
      <c r="K38" s="2" t="s">
        <v>19</v>
      </c>
      <c r="L38" s="2" t="s">
        <v>19</v>
      </c>
    </row>
    <row r="39" customFormat="false" ht="15" hidden="false" customHeight="false" outlineLevel="0" collapsed="false">
      <c r="A39" s="2" t="s">
        <v>1904</v>
      </c>
      <c r="B39" s="13" t="s">
        <v>1903</v>
      </c>
      <c r="C39" s="13" t="s">
        <v>81</v>
      </c>
      <c r="D39" s="13" t="s">
        <v>3232</v>
      </c>
      <c r="E39" s="13" t="s">
        <v>108</v>
      </c>
      <c r="F39" s="2" t="s">
        <v>129</v>
      </c>
      <c r="G39" s="2" t="s">
        <v>3195</v>
      </c>
      <c r="H39" s="34" t="s">
        <v>668</v>
      </c>
      <c r="I39" s="2" t="s">
        <v>19</v>
      </c>
      <c r="J39" s="2" t="s">
        <v>19</v>
      </c>
      <c r="K39" s="2" t="s">
        <v>19</v>
      </c>
      <c r="L39" s="2" t="s">
        <v>19</v>
      </c>
    </row>
    <row r="40" customFormat="false" ht="15" hidden="false" customHeight="false" outlineLevel="0" collapsed="false">
      <c r="A40" s="2" t="s">
        <v>1790</v>
      </c>
      <c r="B40" s="13" t="s">
        <v>1789</v>
      </c>
      <c r="C40" s="13" t="s">
        <v>138</v>
      </c>
      <c r="D40" s="14" t="s">
        <v>3233</v>
      </c>
      <c r="E40" s="13" t="s">
        <v>115</v>
      </c>
      <c r="F40" s="2" t="s">
        <v>129</v>
      </c>
      <c r="G40" s="2" t="s">
        <v>3195</v>
      </c>
      <c r="H40" s="34" t="s">
        <v>668</v>
      </c>
      <c r="I40" s="2" t="s">
        <v>19</v>
      </c>
      <c r="J40" s="2" t="s">
        <v>19</v>
      </c>
      <c r="K40" s="2" t="s">
        <v>21</v>
      </c>
      <c r="L40" s="2" t="s">
        <v>19</v>
      </c>
    </row>
    <row r="41" customFormat="false" ht="15" hidden="false" customHeight="false" outlineLevel="0" collapsed="false">
      <c r="A41" s="2" t="s">
        <v>2338</v>
      </c>
      <c r="B41" s="13" t="s">
        <v>2337</v>
      </c>
      <c r="C41" s="13" t="s">
        <v>92</v>
      </c>
      <c r="D41" s="16"/>
      <c r="E41" s="13" t="s">
        <v>73</v>
      </c>
      <c r="F41" s="2" t="s">
        <v>129</v>
      </c>
      <c r="G41" s="2" t="s">
        <v>3193</v>
      </c>
      <c r="H41" s="34" t="s">
        <v>668</v>
      </c>
      <c r="I41" s="2" t="s">
        <v>19</v>
      </c>
      <c r="J41" s="2" t="s">
        <v>19</v>
      </c>
      <c r="K41" s="2"/>
      <c r="L41" s="2" t="s">
        <v>19</v>
      </c>
    </row>
    <row r="42" customFormat="false" ht="15" hidden="false" customHeight="false" outlineLevel="0" collapsed="false">
      <c r="A42" s="2" t="s">
        <v>2167</v>
      </c>
      <c r="B42" s="13" t="s">
        <v>2166</v>
      </c>
      <c r="C42" s="13" t="s">
        <v>87</v>
      </c>
      <c r="D42" s="13" t="s">
        <v>3234</v>
      </c>
      <c r="E42" s="13" t="s">
        <v>108</v>
      </c>
      <c r="F42" s="2" t="s">
        <v>129</v>
      </c>
      <c r="G42" s="2" t="s">
        <v>3193</v>
      </c>
      <c r="H42" s="34" t="s">
        <v>668</v>
      </c>
      <c r="I42" s="2" t="s">
        <v>19</v>
      </c>
      <c r="J42" s="2" t="s">
        <v>19</v>
      </c>
      <c r="K42" s="2" t="s">
        <v>19</v>
      </c>
      <c r="L42" s="2" t="s">
        <v>19</v>
      </c>
    </row>
    <row r="43" customFormat="false" ht="15" hidden="false" customHeight="false" outlineLevel="0" collapsed="false">
      <c r="A43" s="2" t="s">
        <v>1117</v>
      </c>
      <c r="B43" s="13" t="s">
        <v>1116</v>
      </c>
      <c r="C43" s="13" t="s">
        <v>114</v>
      </c>
      <c r="D43" s="13" t="s">
        <v>3235</v>
      </c>
      <c r="E43" s="13" t="s">
        <v>99</v>
      </c>
      <c r="F43" s="2" t="s">
        <v>129</v>
      </c>
      <c r="G43" s="2" t="s">
        <v>3195</v>
      </c>
      <c r="H43" s="34" t="s">
        <v>668</v>
      </c>
      <c r="I43" s="2" t="s">
        <v>19</v>
      </c>
      <c r="J43" s="2" t="s">
        <v>19</v>
      </c>
      <c r="K43" s="2" t="s">
        <v>19</v>
      </c>
      <c r="L43" s="2" t="s">
        <v>19</v>
      </c>
    </row>
    <row r="44" customFormat="false" ht="15" hidden="false" customHeight="false" outlineLevel="0" collapsed="false">
      <c r="A44" s="2" t="s">
        <v>142</v>
      </c>
      <c r="B44" s="13" t="s">
        <v>141</v>
      </c>
      <c r="C44" s="13" t="s">
        <v>105</v>
      </c>
      <c r="D44" s="13" t="s">
        <v>3236</v>
      </c>
      <c r="E44" s="13" t="s">
        <v>82</v>
      </c>
      <c r="F44" s="2" t="s">
        <v>47</v>
      </c>
      <c r="G44" s="2" t="s">
        <v>3208</v>
      </c>
      <c r="H44" s="39" t="s">
        <v>671</v>
      </c>
      <c r="I44" s="2" t="s">
        <v>19</v>
      </c>
      <c r="J44" s="2" t="s">
        <v>19</v>
      </c>
      <c r="K44" s="2" t="s">
        <v>19</v>
      </c>
      <c r="L44" s="2" t="s">
        <v>19</v>
      </c>
    </row>
    <row r="45" customFormat="false" ht="15" hidden="false" customHeight="false" outlineLevel="0" collapsed="false">
      <c r="A45" s="2" t="s">
        <v>2552</v>
      </c>
      <c r="B45" s="13" t="s">
        <v>2551</v>
      </c>
      <c r="C45" s="13" t="s">
        <v>138</v>
      </c>
      <c r="D45" s="13" t="s">
        <v>3237</v>
      </c>
      <c r="E45" s="13" t="s">
        <v>99</v>
      </c>
      <c r="F45" s="2" t="s">
        <v>175</v>
      </c>
      <c r="G45" s="2" t="s">
        <v>3205</v>
      </c>
      <c r="H45" s="34" t="s">
        <v>668</v>
      </c>
      <c r="I45" s="2" t="s">
        <v>19</v>
      </c>
      <c r="J45" s="2" t="s">
        <v>19</v>
      </c>
      <c r="K45" s="2" t="s">
        <v>19</v>
      </c>
      <c r="L45" s="2" t="s">
        <v>19</v>
      </c>
    </row>
    <row r="46" customFormat="false" ht="15" hidden="false" customHeight="false" outlineLevel="0" collapsed="false">
      <c r="A46" s="2" t="s">
        <v>2726</v>
      </c>
      <c r="B46" s="15" t="s">
        <v>3238</v>
      </c>
      <c r="C46" s="16"/>
      <c r="D46" s="15" t="s">
        <v>3239</v>
      </c>
      <c r="E46" s="15" t="s">
        <v>115</v>
      </c>
      <c r="F46" s="2" t="s">
        <v>47</v>
      </c>
      <c r="G46" s="2" t="s">
        <v>3202</v>
      </c>
      <c r="H46" s="34" t="s">
        <v>668</v>
      </c>
      <c r="I46" s="2" t="s">
        <v>17</v>
      </c>
      <c r="J46" s="2"/>
      <c r="K46" s="2" t="s">
        <v>17</v>
      </c>
      <c r="L46" s="2" t="s">
        <v>17</v>
      </c>
    </row>
    <row r="47" customFormat="false" ht="15" hidden="false" customHeight="false" outlineLevel="0" collapsed="false">
      <c r="A47" s="2" t="s">
        <v>2728</v>
      </c>
      <c r="B47" s="13" t="s">
        <v>3240</v>
      </c>
      <c r="C47" s="14" t="s">
        <v>105</v>
      </c>
      <c r="D47" s="14" t="s">
        <v>3241</v>
      </c>
      <c r="E47" s="13" t="s">
        <v>82</v>
      </c>
      <c r="F47" s="2" t="s">
        <v>125</v>
      </c>
      <c r="G47" s="2" t="s">
        <v>3199</v>
      </c>
      <c r="H47" s="34" t="s">
        <v>668</v>
      </c>
      <c r="I47" s="2" t="s">
        <v>19</v>
      </c>
      <c r="J47" s="2" t="s">
        <v>21</v>
      </c>
      <c r="K47" s="2" t="s">
        <v>21</v>
      </c>
      <c r="L47" s="2" t="s">
        <v>19</v>
      </c>
    </row>
    <row r="48" customFormat="false" ht="15" hidden="false" customHeight="false" outlineLevel="0" collapsed="false">
      <c r="A48" s="2" t="s">
        <v>1604</v>
      </c>
      <c r="B48" s="13" t="s">
        <v>1603</v>
      </c>
      <c r="C48" s="13" t="s">
        <v>138</v>
      </c>
      <c r="D48" s="13" t="s">
        <v>3242</v>
      </c>
      <c r="E48" s="13" t="s">
        <v>108</v>
      </c>
      <c r="F48" s="2" t="s">
        <v>129</v>
      </c>
      <c r="G48" s="2" t="s">
        <v>3195</v>
      </c>
      <c r="H48" s="34" t="s">
        <v>668</v>
      </c>
      <c r="I48" s="2" t="s">
        <v>19</v>
      </c>
      <c r="J48" s="2" t="s">
        <v>19</v>
      </c>
      <c r="K48" s="2" t="s">
        <v>19</v>
      </c>
      <c r="L48" s="2" t="s">
        <v>19</v>
      </c>
    </row>
    <row r="49" customFormat="false" ht="15" hidden="false" customHeight="false" outlineLevel="0" collapsed="false">
      <c r="A49" s="2" t="s">
        <v>1575</v>
      </c>
      <c r="B49" s="13" t="s">
        <v>1574</v>
      </c>
      <c r="C49" s="13" t="s">
        <v>77</v>
      </c>
      <c r="D49" s="13" t="s">
        <v>3243</v>
      </c>
      <c r="E49" s="13" t="s">
        <v>170</v>
      </c>
      <c r="F49" s="2" t="s">
        <v>129</v>
      </c>
      <c r="G49" s="2" t="s">
        <v>3195</v>
      </c>
      <c r="H49" s="34" t="s">
        <v>668</v>
      </c>
      <c r="I49" s="2" t="s">
        <v>19</v>
      </c>
      <c r="J49" s="2" t="s">
        <v>19</v>
      </c>
      <c r="K49" s="2" t="s">
        <v>19</v>
      </c>
      <c r="L49" s="2" t="s">
        <v>19</v>
      </c>
    </row>
    <row r="50" customFormat="false" ht="15" hidden="false" customHeight="false" outlineLevel="0" collapsed="false">
      <c r="A50" s="2" t="s">
        <v>1423</v>
      </c>
      <c r="B50" s="13" t="s">
        <v>1422</v>
      </c>
      <c r="C50" s="13" t="s">
        <v>81</v>
      </c>
      <c r="D50" s="13" t="s">
        <v>3244</v>
      </c>
      <c r="E50" s="13" t="s">
        <v>118</v>
      </c>
      <c r="F50" s="2" t="s">
        <v>129</v>
      </c>
      <c r="G50" s="2" t="s">
        <v>3193</v>
      </c>
      <c r="H50" s="34" t="s">
        <v>668</v>
      </c>
      <c r="I50" s="2" t="s">
        <v>19</v>
      </c>
      <c r="J50" s="2" t="s">
        <v>19</v>
      </c>
      <c r="K50" s="2" t="s">
        <v>19</v>
      </c>
      <c r="L50" s="2" t="s">
        <v>19</v>
      </c>
    </row>
    <row r="51" customFormat="false" ht="15" hidden="false" customHeight="false" outlineLevel="0" collapsed="false">
      <c r="A51" s="2" t="s">
        <v>71</v>
      </c>
      <c r="B51" s="13" t="s">
        <v>70</v>
      </c>
      <c r="C51" s="13" t="s">
        <v>72</v>
      </c>
      <c r="D51" s="13" t="s">
        <v>3245</v>
      </c>
      <c r="E51" s="13" t="s">
        <v>73</v>
      </c>
      <c r="F51" s="2" t="s">
        <v>47</v>
      </c>
      <c r="G51" s="2" t="s">
        <v>3208</v>
      </c>
      <c r="H51" s="39" t="s">
        <v>671</v>
      </c>
      <c r="I51" s="2" t="s">
        <v>19</v>
      </c>
      <c r="J51" s="2" t="s">
        <v>19</v>
      </c>
      <c r="K51" s="2" t="s">
        <v>19</v>
      </c>
      <c r="L51" s="2" t="s">
        <v>19</v>
      </c>
    </row>
    <row r="52" customFormat="false" ht="15" hidden="false" customHeight="false" outlineLevel="0" collapsed="false">
      <c r="A52" s="2" t="s">
        <v>1708</v>
      </c>
      <c r="B52" s="13" t="s">
        <v>1707</v>
      </c>
      <c r="C52" s="13" t="s">
        <v>102</v>
      </c>
      <c r="D52" s="13" t="s">
        <v>3246</v>
      </c>
      <c r="E52" s="13" t="s">
        <v>118</v>
      </c>
      <c r="F52" s="2" t="s">
        <v>129</v>
      </c>
      <c r="G52" s="2" t="s">
        <v>3193</v>
      </c>
      <c r="H52" s="34" t="s">
        <v>668</v>
      </c>
      <c r="I52" s="2" t="s">
        <v>19</v>
      </c>
      <c r="J52" s="2" t="s">
        <v>19</v>
      </c>
      <c r="K52" s="2" t="s">
        <v>19</v>
      </c>
      <c r="L52" s="2" t="s">
        <v>19</v>
      </c>
    </row>
    <row r="53" customFormat="false" ht="15" hidden="false" customHeight="false" outlineLevel="0" collapsed="false">
      <c r="A53" s="2" t="s">
        <v>542</v>
      </c>
      <c r="B53" s="13" t="s">
        <v>541</v>
      </c>
      <c r="C53" s="13" t="s">
        <v>87</v>
      </c>
      <c r="D53" s="13" t="s">
        <v>3247</v>
      </c>
      <c r="E53" s="13" t="s">
        <v>96</v>
      </c>
      <c r="F53" s="2" t="s">
        <v>47</v>
      </c>
      <c r="G53" s="2" t="s">
        <v>3208</v>
      </c>
      <c r="H53" s="39" t="s">
        <v>671</v>
      </c>
      <c r="I53" s="2" t="s">
        <v>19</v>
      </c>
      <c r="J53" s="2" t="s">
        <v>19</v>
      </c>
      <c r="K53" s="2" t="s">
        <v>19</v>
      </c>
      <c r="L53" s="2" t="s">
        <v>19</v>
      </c>
    </row>
    <row r="54" customFormat="false" ht="15" hidden="false" customHeight="false" outlineLevel="0" collapsed="false">
      <c r="A54" s="2" t="s">
        <v>2736</v>
      </c>
      <c r="B54" s="13" t="s">
        <v>3248</v>
      </c>
      <c r="C54" s="13" t="s">
        <v>133</v>
      </c>
      <c r="D54" s="13" t="s">
        <v>3249</v>
      </c>
      <c r="E54" s="13" t="s">
        <v>99</v>
      </c>
      <c r="F54" s="2" t="s">
        <v>45</v>
      </c>
      <c r="G54" s="2" t="s">
        <v>3202</v>
      </c>
      <c r="H54" s="34" t="s">
        <v>668</v>
      </c>
      <c r="I54" s="2" t="s">
        <v>19</v>
      </c>
      <c r="J54" s="2" t="s">
        <v>19</v>
      </c>
      <c r="K54" s="2" t="s">
        <v>19</v>
      </c>
      <c r="L54" s="2" t="s">
        <v>19</v>
      </c>
    </row>
    <row r="55" customFormat="false" ht="15" hidden="false" customHeight="false" outlineLevel="0" collapsed="false">
      <c r="A55" s="2" t="s">
        <v>1237</v>
      </c>
      <c r="B55" s="13" t="s">
        <v>1236</v>
      </c>
      <c r="C55" s="13" t="s">
        <v>138</v>
      </c>
      <c r="D55" s="13" t="s">
        <v>3250</v>
      </c>
      <c r="E55" s="13" t="s">
        <v>170</v>
      </c>
      <c r="F55" s="2" t="s">
        <v>129</v>
      </c>
      <c r="G55" s="2" t="s">
        <v>3195</v>
      </c>
      <c r="H55" s="34" t="s">
        <v>668</v>
      </c>
      <c r="I55" s="2" t="s">
        <v>19</v>
      </c>
      <c r="J55" s="2" t="s">
        <v>19</v>
      </c>
      <c r="K55" s="2" t="s">
        <v>19</v>
      </c>
      <c r="L55" s="2" t="s">
        <v>19</v>
      </c>
    </row>
    <row r="56" customFormat="false" ht="15" hidden="false" customHeight="false" outlineLevel="0" collapsed="false">
      <c r="A56" s="2" t="s">
        <v>528</v>
      </c>
      <c r="B56" s="13" t="s">
        <v>527</v>
      </c>
      <c r="C56" s="13" t="s">
        <v>138</v>
      </c>
      <c r="D56" s="13" t="s">
        <v>3251</v>
      </c>
      <c r="E56" s="13" t="s">
        <v>93</v>
      </c>
      <c r="F56" s="2" t="s">
        <v>175</v>
      </c>
      <c r="G56" s="2" t="s">
        <v>3218</v>
      </c>
      <c r="H56" s="39" t="s">
        <v>671</v>
      </c>
      <c r="I56" s="2" t="s">
        <v>19</v>
      </c>
      <c r="J56" s="2" t="s">
        <v>19</v>
      </c>
      <c r="K56" s="2" t="s">
        <v>19</v>
      </c>
      <c r="L56" s="2" t="s">
        <v>19</v>
      </c>
    </row>
    <row r="57" customFormat="false" ht="15" hidden="false" customHeight="false" outlineLevel="0" collapsed="false">
      <c r="A57" s="2" t="s">
        <v>602</v>
      </c>
      <c r="B57" s="13" t="s">
        <v>601</v>
      </c>
      <c r="C57" s="13" t="s">
        <v>81</v>
      </c>
      <c r="D57" s="13" t="s">
        <v>3252</v>
      </c>
      <c r="E57" s="13" t="s">
        <v>96</v>
      </c>
      <c r="F57" s="2" t="s">
        <v>47</v>
      </c>
      <c r="G57" s="2" t="s">
        <v>3208</v>
      </c>
      <c r="H57" s="39" t="s">
        <v>671</v>
      </c>
      <c r="I57" s="2" t="s">
        <v>19</v>
      </c>
      <c r="J57" s="2" t="s">
        <v>19</v>
      </c>
      <c r="K57" s="2" t="s">
        <v>19</v>
      </c>
      <c r="L57" s="2" t="s">
        <v>19</v>
      </c>
    </row>
    <row r="58" customFormat="false" ht="15" hidden="false" customHeight="false" outlineLevel="0" collapsed="false">
      <c r="A58" s="2" t="s">
        <v>210</v>
      </c>
      <c r="B58" s="13" t="s">
        <v>209</v>
      </c>
      <c r="C58" s="13" t="s">
        <v>81</v>
      </c>
      <c r="D58" s="13" t="s">
        <v>3253</v>
      </c>
      <c r="E58" s="13" t="s">
        <v>82</v>
      </c>
      <c r="F58" s="2" t="s">
        <v>157</v>
      </c>
      <c r="G58" s="2" t="s">
        <v>3218</v>
      </c>
      <c r="H58" s="39" t="s">
        <v>671</v>
      </c>
      <c r="I58" s="2" t="s">
        <v>19</v>
      </c>
      <c r="J58" s="2" t="s">
        <v>19</v>
      </c>
      <c r="K58" s="2" t="s">
        <v>19</v>
      </c>
      <c r="L58" s="2" t="s">
        <v>19</v>
      </c>
    </row>
    <row r="59" customFormat="false" ht="15" hidden="false" customHeight="false" outlineLevel="0" collapsed="false">
      <c r="A59" s="2" t="s">
        <v>2466</v>
      </c>
      <c r="B59" s="13" t="s">
        <v>2465</v>
      </c>
      <c r="C59" s="13" t="s">
        <v>87</v>
      </c>
      <c r="D59" s="13" t="s">
        <v>3254</v>
      </c>
      <c r="E59" s="13" t="s">
        <v>82</v>
      </c>
      <c r="F59" s="2" t="s">
        <v>129</v>
      </c>
      <c r="G59" s="2" t="s">
        <v>3193</v>
      </c>
      <c r="H59" s="34" t="s">
        <v>668</v>
      </c>
      <c r="I59" s="2" t="s">
        <v>19</v>
      </c>
      <c r="J59" s="2" t="s">
        <v>19</v>
      </c>
      <c r="K59" s="2" t="s">
        <v>19</v>
      </c>
      <c r="L59" s="2" t="s">
        <v>19</v>
      </c>
    </row>
    <row r="60" customFormat="false" ht="15" hidden="false" customHeight="false" outlineLevel="0" collapsed="false">
      <c r="A60" s="2" t="s">
        <v>2343</v>
      </c>
      <c r="B60" s="13" t="s">
        <v>2342</v>
      </c>
      <c r="C60" s="13" t="s">
        <v>114</v>
      </c>
      <c r="D60" s="13" t="s">
        <v>3255</v>
      </c>
      <c r="E60" s="13" t="s">
        <v>96</v>
      </c>
      <c r="F60" s="2" t="s">
        <v>129</v>
      </c>
      <c r="G60" s="2" t="s">
        <v>3193</v>
      </c>
      <c r="H60" s="34" t="s">
        <v>668</v>
      </c>
      <c r="I60" s="2" t="s">
        <v>19</v>
      </c>
      <c r="J60" s="2" t="s">
        <v>19</v>
      </c>
      <c r="K60" s="2" t="s">
        <v>19</v>
      </c>
      <c r="L60" s="2" t="s">
        <v>19</v>
      </c>
    </row>
    <row r="61" customFormat="false" ht="15" hidden="false" customHeight="false" outlineLevel="0" collapsed="false">
      <c r="A61" s="2" t="s">
        <v>2109</v>
      </c>
      <c r="B61" s="13" t="s">
        <v>2108</v>
      </c>
      <c r="C61" s="13" t="s">
        <v>81</v>
      </c>
      <c r="D61" s="13" t="s">
        <v>3256</v>
      </c>
      <c r="E61" s="13" t="s">
        <v>73</v>
      </c>
      <c r="F61" s="2" t="s">
        <v>129</v>
      </c>
      <c r="G61" s="2" t="s">
        <v>3193</v>
      </c>
      <c r="H61" s="34" t="s">
        <v>668</v>
      </c>
      <c r="I61" s="2" t="s">
        <v>19</v>
      </c>
      <c r="J61" s="2" t="s">
        <v>19</v>
      </c>
      <c r="K61" s="2" t="s">
        <v>19</v>
      </c>
      <c r="L61" s="2" t="s">
        <v>19</v>
      </c>
    </row>
    <row r="62" customFormat="false" ht="15" hidden="false" customHeight="false" outlineLevel="0" collapsed="false">
      <c r="A62" s="2" t="s">
        <v>888</v>
      </c>
      <c r="B62" s="13" t="s">
        <v>887</v>
      </c>
      <c r="C62" s="13" t="s">
        <v>102</v>
      </c>
      <c r="D62" s="13" t="s">
        <v>3257</v>
      </c>
      <c r="E62" s="13" t="s">
        <v>118</v>
      </c>
      <c r="F62" s="2" t="s">
        <v>129</v>
      </c>
      <c r="G62" s="2" t="s">
        <v>3195</v>
      </c>
      <c r="H62" s="34" t="s">
        <v>668</v>
      </c>
      <c r="I62" s="2" t="s">
        <v>19</v>
      </c>
      <c r="J62" s="2" t="s">
        <v>19</v>
      </c>
      <c r="K62" s="2" t="s">
        <v>19</v>
      </c>
      <c r="L62" s="2" t="s">
        <v>19</v>
      </c>
    </row>
    <row r="63" customFormat="false" ht="15" hidden="false" customHeight="false" outlineLevel="0" collapsed="false">
      <c r="A63" s="2" t="s">
        <v>1045</v>
      </c>
      <c r="B63" s="13" t="s">
        <v>1044</v>
      </c>
      <c r="C63" s="13" t="s">
        <v>114</v>
      </c>
      <c r="D63" s="13" t="s">
        <v>3258</v>
      </c>
      <c r="E63" s="13" t="s">
        <v>111</v>
      </c>
      <c r="F63" s="2" t="s">
        <v>129</v>
      </c>
      <c r="G63" s="2" t="s">
        <v>3193</v>
      </c>
      <c r="H63" s="34" t="s">
        <v>668</v>
      </c>
      <c r="I63" s="2" t="s">
        <v>19</v>
      </c>
      <c r="J63" s="2" t="s">
        <v>19</v>
      </c>
      <c r="K63" s="2" t="s">
        <v>19</v>
      </c>
      <c r="L63" s="2" t="s">
        <v>19</v>
      </c>
    </row>
    <row r="64" customFormat="false" ht="15" hidden="false" customHeight="false" outlineLevel="0" collapsed="false">
      <c r="A64" s="2" t="s">
        <v>280</v>
      </c>
      <c r="B64" s="14" t="s">
        <v>279</v>
      </c>
      <c r="C64" s="14" t="s">
        <v>72</v>
      </c>
      <c r="D64" s="14" t="s">
        <v>3259</v>
      </c>
      <c r="E64" s="14" t="s">
        <v>73</v>
      </c>
      <c r="F64" s="2" t="s">
        <v>46</v>
      </c>
      <c r="G64" s="2" t="s">
        <v>3208</v>
      </c>
      <c r="H64" s="39" t="s">
        <v>671</v>
      </c>
      <c r="I64" s="2" t="s">
        <v>21</v>
      </c>
      <c r="J64" s="2" t="s">
        <v>21</v>
      </c>
      <c r="K64" s="2" t="s">
        <v>21</v>
      </c>
      <c r="L64" s="2" t="s">
        <v>21</v>
      </c>
    </row>
    <row r="65" customFormat="false" ht="15" hidden="false" customHeight="false" outlineLevel="0" collapsed="false">
      <c r="A65" s="2" t="s">
        <v>1091</v>
      </c>
      <c r="B65" s="13" t="s">
        <v>1090</v>
      </c>
      <c r="C65" s="13" t="s">
        <v>138</v>
      </c>
      <c r="D65" s="13" t="s">
        <v>3260</v>
      </c>
      <c r="E65" s="13" t="s">
        <v>115</v>
      </c>
      <c r="F65" s="2" t="s">
        <v>129</v>
      </c>
      <c r="G65" s="2" t="s">
        <v>3193</v>
      </c>
      <c r="H65" s="34" t="s">
        <v>668</v>
      </c>
      <c r="I65" s="2" t="s">
        <v>19</v>
      </c>
      <c r="J65" s="2" t="s">
        <v>19</v>
      </c>
      <c r="K65" s="2" t="s">
        <v>19</v>
      </c>
      <c r="L65" s="2" t="s">
        <v>19</v>
      </c>
    </row>
    <row r="66" customFormat="false" ht="15" hidden="false" customHeight="false" outlineLevel="0" collapsed="false">
      <c r="A66" s="2" t="s">
        <v>1341</v>
      </c>
      <c r="B66" s="13" t="s">
        <v>1340</v>
      </c>
      <c r="C66" s="13" t="s">
        <v>81</v>
      </c>
      <c r="D66" s="13" t="s">
        <v>3261</v>
      </c>
      <c r="E66" s="13" t="s">
        <v>73</v>
      </c>
      <c r="F66" s="2" t="s">
        <v>129</v>
      </c>
      <c r="G66" s="2" t="s">
        <v>3195</v>
      </c>
      <c r="H66" s="34" t="s">
        <v>668</v>
      </c>
      <c r="I66" s="2" t="s">
        <v>19</v>
      </c>
      <c r="J66" s="2" t="s">
        <v>19</v>
      </c>
      <c r="K66" s="2" t="s">
        <v>19</v>
      </c>
      <c r="L66" s="2" t="s">
        <v>19</v>
      </c>
    </row>
    <row r="67" customFormat="false" ht="15" hidden="false" customHeight="false" outlineLevel="0" collapsed="false">
      <c r="A67" s="2" t="s">
        <v>1451</v>
      </c>
      <c r="B67" s="14" t="s">
        <v>1450</v>
      </c>
      <c r="C67" s="14" t="s">
        <v>138</v>
      </c>
      <c r="D67" s="16"/>
      <c r="E67" s="14" t="s">
        <v>115</v>
      </c>
      <c r="F67" s="2" t="s">
        <v>175</v>
      </c>
      <c r="G67" s="2" t="s">
        <v>3205</v>
      </c>
      <c r="H67" s="34" t="s">
        <v>668</v>
      </c>
      <c r="I67" s="2" t="s">
        <v>21</v>
      </c>
      <c r="J67" s="2" t="s">
        <v>21</v>
      </c>
      <c r="K67" s="2"/>
      <c r="L67" s="2" t="s">
        <v>21</v>
      </c>
    </row>
    <row r="68" customFormat="false" ht="15" hidden="false" customHeight="false" outlineLevel="0" collapsed="false">
      <c r="A68" s="2" t="s">
        <v>2745</v>
      </c>
      <c r="B68" s="13" t="s">
        <v>3262</v>
      </c>
      <c r="C68" s="13" t="s">
        <v>77</v>
      </c>
      <c r="D68" s="13" t="s">
        <v>3263</v>
      </c>
      <c r="E68" s="13" t="s">
        <v>108</v>
      </c>
      <c r="F68" s="2" t="s">
        <v>46</v>
      </c>
      <c r="G68" s="2" t="s">
        <v>3202</v>
      </c>
      <c r="H68" s="34" t="s">
        <v>668</v>
      </c>
      <c r="I68" s="2" t="s">
        <v>19</v>
      </c>
      <c r="J68" s="2" t="s">
        <v>19</v>
      </c>
      <c r="K68" s="2" t="s">
        <v>19</v>
      </c>
      <c r="L68" s="2" t="s">
        <v>19</v>
      </c>
    </row>
    <row r="69" customFormat="false" ht="15" hidden="false" customHeight="false" outlineLevel="0" collapsed="false">
      <c r="A69" s="2" t="s">
        <v>86</v>
      </c>
      <c r="B69" s="14" t="s">
        <v>85</v>
      </c>
      <c r="C69" s="14" t="s">
        <v>87</v>
      </c>
      <c r="D69" s="15" t="s">
        <v>3264</v>
      </c>
      <c r="E69" s="14" t="s">
        <v>82</v>
      </c>
      <c r="F69" s="2" t="s">
        <v>45</v>
      </c>
      <c r="G69" s="2" t="s">
        <v>3208</v>
      </c>
      <c r="H69" s="39" t="s">
        <v>671</v>
      </c>
      <c r="I69" s="2" t="s">
        <v>21</v>
      </c>
      <c r="J69" s="2" t="s">
        <v>21</v>
      </c>
      <c r="K69" s="2" t="s">
        <v>17</v>
      </c>
      <c r="L69" s="2" t="s">
        <v>21</v>
      </c>
    </row>
    <row r="70" customFormat="false" ht="15" hidden="false" customHeight="false" outlineLevel="0" collapsed="false">
      <c r="A70" s="2" t="s">
        <v>322</v>
      </c>
      <c r="B70" s="13" t="s">
        <v>321</v>
      </c>
      <c r="C70" s="13" t="s">
        <v>102</v>
      </c>
      <c r="D70" s="13" t="s">
        <v>3265</v>
      </c>
      <c r="E70" s="13" t="s">
        <v>93</v>
      </c>
      <c r="F70" s="2" t="s">
        <v>45</v>
      </c>
      <c r="G70" s="2" t="s">
        <v>3208</v>
      </c>
      <c r="H70" s="39" t="s">
        <v>671</v>
      </c>
      <c r="I70" s="2" t="s">
        <v>19</v>
      </c>
      <c r="J70" s="2" t="s">
        <v>19</v>
      </c>
      <c r="K70" s="2" t="s">
        <v>19</v>
      </c>
      <c r="L70" s="2" t="s">
        <v>19</v>
      </c>
    </row>
    <row r="71" customFormat="false" ht="15" hidden="false" customHeight="false" outlineLevel="0" collapsed="false">
      <c r="A71" s="2" t="s">
        <v>1774</v>
      </c>
      <c r="B71" s="13" t="s">
        <v>1773</v>
      </c>
      <c r="C71" s="13" t="s">
        <v>92</v>
      </c>
      <c r="D71" s="13" t="s">
        <v>3266</v>
      </c>
      <c r="E71" s="13" t="s">
        <v>115</v>
      </c>
      <c r="F71" s="2" t="s">
        <v>129</v>
      </c>
      <c r="G71" s="2" t="s">
        <v>3195</v>
      </c>
      <c r="H71" s="34" t="s">
        <v>668</v>
      </c>
      <c r="I71" s="2" t="s">
        <v>19</v>
      </c>
      <c r="J71" s="2" t="s">
        <v>19</v>
      </c>
      <c r="K71" s="2" t="s">
        <v>19</v>
      </c>
      <c r="L71" s="2" t="s">
        <v>19</v>
      </c>
    </row>
    <row r="72" customFormat="false" ht="15" hidden="false" customHeight="false" outlineLevel="0" collapsed="false">
      <c r="A72" s="2" t="s">
        <v>412</v>
      </c>
      <c r="B72" s="14" t="s">
        <v>411</v>
      </c>
      <c r="C72" s="14" t="s">
        <v>81</v>
      </c>
      <c r="D72" s="15" t="s">
        <v>3267</v>
      </c>
      <c r="E72" s="14" t="s">
        <v>99</v>
      </c>
      <c r="F72" s="2" t="s">
        <v>157</v>
      </c>
      <c r="G72" s="2" t="s">
        <v>3218</v>
      </c>
      <c r="H72" s="39" t="s">
        <v>671</v>
      </c>
      <c r="I72" s="2" t="s">
        <v>21</v>
      </c>
      <c r="J72" s="2" t="s">
        <v>21</v>
      </c>
      <c r="K72" s="2" t="s">
        <v>17</v>
      </c>
      <c r="L72" s="2" t="s">
        <v>21</v>
      </c>
    </row>
    <row r="73" customFormat="false" ht="15" hidden="false" customHeight="false" outlineLevel="0" collapsed="false">
      <c r="A73" s="2" t="s">
        <v>2747</v>
      </c>
      <c r="B73" s="14" t="s">
        <v>3268</v>
      </c>
      <c r="C73" s="14" t="s">
        <v>72</v>
      </c>
      <c r="D73" s="14" t="s">
        <v>3269</v>
      </c>
      <c r="E73" s="16"/>
      <c r="F73" s="2" t="s">
        <v>46</v>
      </c>
      <c r="G73" s="2" t="s">
        <v>3202</v>
      </c>
      <c r="H73" s="34" t="s">
        <v>668</v>
      </c>
      <c r="I73" s="2" t="s">
        <v>21</v>
      </c>
      <c r="J73" s="2" t="s">
        <v>21</v>
      </c>
      <c r="K73" s="2" t="s">
        <v>21</v>
      </c>
      <c r="L73" s="2"/>
    </row>
    <row r="74" customFormat="false" ht="15" hidden="false" customHeight="false" outlineLevel="0" collapsed="false">
      <c r="A74" s="2" t="s">
        <v>1944</v>
      </c>
      <c r="B74" s="13" t="s">
        <v>1943</v>
      </c>
      <c r="C74" s="13" t="s">
        <v>105</v>
      </c>
      <c r="D74" s="13" t="s">
        <v>3270</v>
      </c>
      <c r="E74" s="13" t="s">
        <v>108</v>
      </c>
      <c r="F74" s="2" t="s">
        <v>129</v>
      </c>
      <c r="G74" s="2" t="s">
        <v>3195</v>
      </c>
      <c r="H74" s="34" t="s">
        <v>668</v>
      </c>
      <c r="I74" s="2" t="s">
        <v>19</v>
      </c>
      <c r="J74" s="2" t="s">
        <v>19</v>
      </c>
      <c r="K74" s="2" t="s">
        <v>19</v>
      </c>
      <c r="L74" s="2" t="s">
        <v>19</v>
      </c>
    </row>
    <row r="75" customFormat="false" ht="15" hidden="false" customHeight="false" outlineLevel="0" collapsed="false">
      <c r="A75" s="2" t="s">
        <v>956</v>
      </c>
      <c r="B75" s="13" t="s">
        <v>955</v>
      </c>
      <c r="C75" s="13" t="s">
        <v>77</v>
      </c>
      <c r="D75" s="13" t="s">
        <v>3271</v>
      </c>
      <c r="E75" s="13" t="s">
        <v>99</v>
      </c>
      <c r="F75" s="2" t="s">
        <v>129</v>
      </c>
      <c r="G75" s="2" t="s">
        <v>3193</v>
      </c>
      <c r="H75" s="34" t="s">
        <v>668</v>
      </c>
      <c r="I75" s="2" t="s">
        <v>19</v>
      </c>
      <c r="J75" s="2" t="s">
        <v>19</v>
      </c>
      <c r="K75" s="2" t="s">
        <v>19</v>
      </c>
      <c r="L75" s="2" t="s">
        <v>19</v>
      </c>
    </row>
    <row r="76" customFormat="false" ht="15" hidden="false" customHeight="false" outlineLevel="0" collapsed="false">
      <c r="A76" s="2" t="s">
        <v>2286</v>
      </c>
      <c r="B76" s="14" t="s">
        <v>2285</v>
      </c>
      <c r="C76" s="13" t="s">
        <v>72</v>
      </c>
      <c r="D76" s="13" t="s">
        <v>3272</v>
      </c>
      <c r="E76" s="13" t="s">
        <v>170</v>
      </c>
      <c r="F76" s="2" t="s">
        <v>129</v>
      </c>
      <c r="G76" s="2" t="s">
        <v>3193</v>
      </c>
      <c r="H76" s="34" t="s">
        <v>668</v>
      </c>
      <c r="I76" s="2" t="s">
        <v>21</v>
      </c>
      <c r="J76" s="2" t="s">
        <v>19</v>
      </c>
      <c r="K76" s="2" t="s">
        <v>19</v>
      </c>
      <c r="L76" s="2" t="s">
        <v>19</v>
      </c>
    </row>
    <row r="77" customFormat="false" ht="15" hidden="false" customHeight="false" outlineLevel="0" collapsed="false">
      <c r="A77" s="2" t="s">
        <v>358</v>
      </c>
      <c r="B77" s="13" t="s">
        <v>357</v>
      </c>
      <c r="C77" s="13" t="s">
        <v>72</v>
      </c>
      <c r="D77" s="13" t="s">
        <v>3273</v>
      </c>
      <c r="E77" s="13" t="s">
        <v>170</v>
      </c>
      <c r="F77" s="2" t="s">
        <v>129</v>
      </c>
      <c r="G77" s="2" t="s">
        <v>3215</v>
      </c>
      <c r="H77" s="39" t="s">
        <v>671</v>
      </c>
      <c r="I77" s="2" t="s">
        <v>19</v>
      </c>
      <c r="J77" s="2" t="s">
        <v>19</v>
      </c>
      <c r="K77" s="2" t="s">
        <v>19</v>
      </c>
      <c r="L77" s="2" t="s">
        <v>19</v>
      </c>
    </row>
    <row r="78" customFormat="false" ht="15" hidden="false" customHeight="false" outlineLevel="0" collapsed="false">
      <c r="A78" s="2" t="s">
        <v>632</v>
      </c>
      <c r="B78" s="13" t="s">
        <v>631</v>
      </c>
      <c r="C78" s="13" t="s">
        <v>77</v>
      </c>
      <c r="D78" s="13" t="s">
        <v>3274</v>
      </c>
      <c r="E78" s="13" t="s">
        <v>118</v>
      </c>
      <c r="F78" s="2" t="s">
        <v>129</v>
      </c>
      <c r="G78" s="2" t="s">
        <v>3215</v>
      </c>
      <c r="H78" s="39" t="s">
        <v>671</v>
      </c>
      <c r="I78" s="2" t="s">
        <v>19</v>
      </c>
      <c r="J78" s="2" t="s">
        <v>19</v>
      </c>
      <c r="K78" s="2" t="s">
        <v>19</v>
      </c>
      <c r="L78" s="2" t="s">
        <v>19</v>
      </c>
    </row>
    <row r="79" customFormat="false" ht="15" hidden="false" customHeight="false" outlineLevel="0" collapsed="false">
      <c r="A79" s="2" t="s">
        <v>604</v>
      </c>
      <c r="B79" s="13" t="s">
        <v>603</v>
      </c>
      <c r="C79" s="13" t="s">
        <v>87</v>
      </c>
      <c r="D79" s="13" t="s">
        <v>3275</v>
      </c>
      <c r="E79" s="13" t="s">
        <v>118</v>
      </c>
      <c r="F79" s="2" t="s">
        <v>45</v>
      </c>
      <c r="G79" s="2" t="s">
        <v>3208</v>
      </c>
      <c r="H79" s="39" t="s">
        <v>671</v>
      </c>
      <c r="I79" s="2" t="s">
        <v>19</v>
      </c>
      <c r="J79" s="2" t="s">
        <v>19</v>
      </c>
      <c r="K79" s="2" t="s">
        <v>19</v>
      </c>
      <c r="L79" s="2" t="s">
        <v>19</v>
      </c>
    </row>
    <row r="80" customFormat="false" ht="15" hidden="false" customHeight="false" outlineLevel="0" collapsed="false">
      <c r="A80" s="2" t="s">
        <v>2755</v>
      </c>
      <c r="B80" s="13" t="s">
        <v>3276</v>
      </c>
      <c r="C80" s="13" t="s">
        <v>77</v>
      </c>
      <c r="D80" s="13" t="s">
        <v>3277</v>
      </c>
      <c r="E80" s="13" t="s">
        <v>93</v>
      </c>
      <c r="F80" s="2" t="s">
        <v>175</v>
      </c>
      <c r="G80" s="2" t="s">
        <v>3199</v>
      </c>
      <c r="H80" s="34" t="s">
        <v>668</v>
      </c>
      <c r="I80" s="2" t="s">
        <v>19</v>
      </c>
      <c r="J80" s="2" t="s">
        <v>19</v>
      </c>
      <c r="K80" s="2" t="s">
        <v>19</v>
      </c>
      <c r="L80" s="2" t="s">
        <v>19</v>
      </c>
    </row>
    <row r="81" customFormat="false" ht="15" hidden="false" customHeight="false" outlineLevel="0" collapsed="false">
      <c r="A81" s="2" t="s">
        <v>1310</v>
      </c>
      <c r="B81" s="16"/>
      <c r="C81" s="14" t="s">
        <v>77</v>
      </c>
      <c r="D81" s="14" t="s">
        <v>3278</v>
      </c>
      <c r="E81" s="14" t="s">
        <v>99</v>
      </c>
      <c r="F81" s="2" t="s">
        <v>45</v>
      </c>
      <c r="G81" s="2" t="s">
        <v>3208</v>
      </c>
      <c r="H81" s="34" t="s">
        <v>668</v>
      </c>
      <c r="I81" s="2"/>
      <c r="J81" s="2" t="s">
        <v>21</v>
      </c>
      <c r="K81" s="2" t="s">
        <v>21</v>
      </c>
      <c r="L81" s="2" t="s">
        <v>21</v>
      </c>
    </row>
    <row r="82" customFormat="false" ht="15" hidden="false" customHeight="false" outlineLevel="0" collapsed="false">
      <c r="A82" s="2" t="s">
        <v>203</v>
      </c>
      <c r="B82" s="13" t="s">
        <v>202</v>
      </c>
      <c r="C82" s="13" t="s">
        <v>92</v>
      </c>
      <c r="D82" s="13" t="s">
        <v>3279</v>
      </c>
      <c r="E82" s="13" t="s">
        <v>96</v>
      </c>
      <c r="F82" s="2" t="s">
        <v>129</v>
      </c>
      <c r="G82" s="2" t="s">
        <v>3215</v>
      </c>
      <c r="H82" s="39" t="s">
        <v>671</v>
      </c>
      <c r="I82" s="2" t="s">
        <v>19</v>
      </c>
      <c r="J82" s="2" t="s">
        <v>19</v>
      </c>
      <c r="K82" s="2" t="s">
        <v>19</v>
      </c>
      <c r="L82" s="2" t="s">
        <v>19</v>
      </c>
    </row>
    <row r="83" customFormat="false" ht="15" hidden="false" customHeight="false" outlineLevel="0" collapsed="false">
      <c r="A83" s="2" t="s">
        <v>1540</v>
      </c>
      <c r="B83" s="14" t="s">
        <v>1539</v>
      </c>
      <c r="C83" s="14" t="s">
        <v>133</v>
      </c>
      <c r="D83" s="15" t="s">
        <v>3280</v>
      </c>
      <c r="E83" s="14" t="s">
        <v>82</v>
      </c>
      <c r="F83" s="2" t="s">
        <v>125</v>
      </c>
      <c r="G83" s="2" t="s">
        <v>3205</v>
      </c>
      <c r="H83" s="34" t="s">
        <v>668</v>
      </c>
      <c r="I83" s="2" t="s">
        <v>21</v>
      </c>
      <c r="J83" s="2" t="s">
        <v>21</v>
      </c>
      <c r="K83" s="2" t="s">
        <v>17</v>
      </c>
      <c r="L83" s="2" t="s">
        <v>21</v>
      </c>
    </row>
    <row r="84" customFormat="false" ht="15" hidden="false" customHeight="false" outlineLevel="0" collapsed="false">
      <c r="A84" s="2" t="s">
        <v>1161</v>
      </c>
      <c r="B84" s="14" t="s">
        <v>1160</v>
      </c>
      <c r="C84" s="14" t="s">
        <v>114</v>
      </c>
      <c r="D84" s="14" t="s">
        <v>3281</v>
      </c>
      <c r="E84" s="14" t="s">
        <v>82</v>
      </c>
      <c r="F84" s="2" t="s">
        <v>157</v>
      </c>
      <c r="G84" s="2" t="s">
        <v>3205</v>
      </c>
      <c r="H84" s="34" t="s">
        <v>668</v>
      </c>
      <c r="I84" s="2" t="s">
        <v>21</v>
      </c>
      <c r="J84" s="2" t="s">
        <v>21</v>
      </c>
      <c r="K84" s="2" t="s">
        <v>21</v>
      </c>
      <c r="L84" s="2" t="s">
        <v>21</v>
      </c>
    </row>
    <row r="85" customFormat="false" ht="15" hidden="false" customHeight="false" outlineLevel="0" collapsed="false">
      <c r="A85" s="2" t="s">
        <v>2758</v>
      </c>
      <c r="B85" s="13" t="s">
        <v>3282</v>
      </c>
      <c r="C85" s="13" t="s">
        <v>114</v>
      </c>
      <c r="D85" s="13" t="s">
        <v>3283</v>
      </c>
      <c r="E85" s="13" t="s">
        <v>93</v>
      </c>
      <c r="F85" s="2" t="s">
        <v>125</v>
      </c>
      <c r="G85" s="2" t="s">
        <v>3199</v>
      </c>
      <c r="H85" s="34" t="s">
        <v>668</v>
      </c>
      <c r="I85" s="2" t="s">
        <v>19</v>
      </c>
      <c r="J85" s="2" t="s">
        <v>19</v>
      </c>
      <c r="K85" s="2" t="s">
        <v>19</v>
      </c>
      <c r="L85" s="2" t="s">
        <v>19</v>
      </c>
    </row>
    <row r="86" customFormat="false" ht="15" hidden="false" customHeight="false" outlineLevel="0" collapsed="false">
      <c r="A86" s="2" t="s">
        <v>181</v>
      </c>
      <c r="B86" s="13" t="s">
        <v>180</v>
      </c>
      <c r="C86" s="13" t="s">
        <v>102</v>
      </c>
      <c r="D86" s="13" t="s">
        <v>3284</v>
      </c>
      <c r="E86" s="14" t="s">
        <v>93</v>
      </c>
      <c r="F86" s="2" t="s">
        <v>45</v>
      </c>
      <c r="G86" s="2" t="s">
        <v>3208</v>
      </c>
      <c r="H86" s="39" t="s">
        <v>671</v>
      </c>
      <c r="I86" s="2" t="s">
        <v>19</v>
      </c>
      <c r="J86" s="2" t="s">
        <v>19</v>
      </c>
      <c r="K86" s="2" t="s">
        <v>19</v>
      </c>
      <c r="L86" s="2" t="s">
        <v>21</v>
      </c>
    </row>
    <row r="87" customFormat="false" ht="15" hidden="false" customHeight="false" outlineLevel="0" collapsed="false">
      <c r="A87" s="2" t="s">
        <v>1217</v>
      </c>
      <c r="B87" s="13" t="s">
        <v>1216</v>
      </c>
      <c r="C87" s="13" t="s">
        <v>77</v>
      </c>
      <c r="D87" s="13" t="s">
        <v>3285</v>
      </c>
      <c r="E87" s="13" t="s">
        <v>99</v>
      </c>
      <c r="F87" s="2" t="s">
        <v>129</v>
      </c>
      <c r="G87" s="2" t="s">
        <v>3195</v>
      </c>
      <c r="H87" s="34" t="s">
        <v>668</v>
      </c>
      <c r="I87" s="2" t="s">
        <v>19</v>
      </c>
      <c r="J87" s="2" t="s">
        <v>19</v>
      </c>
      <c r="K87" s="2" t="s">
        <v>19</v>
      </c>
      <c r="L87" s="2" t="s">
        <v>19</v>
      </c>
    </row>
    <row r="88" customFormat="false" ht="15" hidden="false" customHeight="false" outlineLevel="0" collapsed="false">
      <c r="A88" s="2" t="s">
        <v>588</v>
      </c>
      <c r="B88" s="13" t="s">
        <v>587</v>
      </c>
      <c r="C88" s="13" t="s">
        <v>72</v>
      </c>
      <c r="D88" s="13" t="s">
        <v>3286</v>
      </c>
      <c r="E88" s="13" t="s">
        <v>96</v>
      </c>
      <c r="F88" s="2" t="s">
        <v>129</v>
      </c>
      <c r="G88" s="2" t="s">
        <v>3215</v>
      </c>
      <c r="H88" s="39" t="s">
        <v>671</v>
      </c>
      <c r="I88" s="2" t="s">
        <v>19</v>
      </c>
      <c r="J88" s="2" t="s">
        <v>19</v>
      </c>
      <c r="K88" s="2" t="s">
        <v>19</v>
      </c>
      <c r="L88" s="2" t="s">
        <v>19</v>
      </c>
    </row>
    <row r="89" customFormat="false" ht="15" hidden="false" customHeight="false" outlineLevel="0" collapsed="false">
      <c r="A89" s="2" t="s">
        <v>1581</v>
      </c>
      <c r="B89" s="13" t="s">
        <v>1580</v>
      </c>
      <c r="C89" s="13" t="s">
        <v>105</v>
      </c>
      <c r="D89" s="14" t="s">
        <v>3287</v>
      </c>
      <c r="E89" s="13" t="s">
        <v>96</v>
      </c>
      <c r="F89" s="2" t="s">
        <v>129</v>
      </c>
      <c r="G89" s="2" t="s">
        <v>3195</v>
      </c>
      <c r="H89" s="34" t="s">
        <v>668</v>
      </c>
      <c r="I89" s="2" t="s">
        <v>19</v>
      </c>
      <c r="J89" s="2" t="s">
        <v>19</v>
      </c>
      <c r="K89" s="2" t="s">
        <v>21</v>
      </c>
      <c r="L89" s="2" t="s">
        <v>19</v>
      </c>
    </row>
    <row r="90" customFormat="false" ht="15" hidden="false" customHeight="false" outlineLevel="0" collapsed="false">
      <c r="A90" s="2" t="s">
        <v>1243</v>
      </c>
      <c r="B90" s="13" t="s">
        <v>1242</v>
      </c>
      <c r="C90" s="13" t="s">
        <v>133</v>
      </c>
      <c r="D90" s="13" t="s">
        <v>3288</v>
      </c>
      <c r="E90" s="13" t="s">
        <v>170</v>
      </c>
      <c r="F90" s="2" t="s">
        <v>129</v>
      </c>
      <c r="G90" s="2" t="s">
        <v>3195</v>
      </c>
      <c r="H90" s="34" t="s">
        <v>668</v>
      </c>
      <c r="I90" s="2" t="s">
        <v>19</v>
      </c>
      <c r="J90" s="2" t="s">
        <v>19</v>
      </c>
      <c r="K90" s="2" t="s">
        <v>19</v>
      </c>
      <c r="L90" s="2" t="s">
        <v>19</v>
      </c>
    </row>
    <row r="91" customFormat="false" ht="15" hidden="false" customHeight="false" outlineLevel="0" collapsed="false">
      <c r="A91" s="2" t="s">
        <v>328</v>
      </c>
      <c r="B91" s="13" t="s">
        <v>327</v>
      </c>
      <c r="C91" s="13" t="s">
        <v>77</v>
      </c>
      <c r="D91" s="13" t="s">
        <v>3289</v>
      </c>
      <c r="E91" s="13" t="s">
        <v>170</v>
      </c>
      <c r="F91" s="2" t="s">
        <v>129</v>
      </c>
      <c r="G91" s="2" t="s">
        <v>3215</v>
      </c>
      <c r="H91" s="39" t="s">
        <v>671</v>
      </c>
      <c r="I91" s="2" t="s">
        <v>19</v>
      </c>
      <c r="J91" s="2" t="s">
        <v>19</v>
      </c>
      <c r="K91" s="2" t="s">
        <v>19</v>
      </c>
      <c r="L91" s="2" t="s">
        <v>19</v>
      </c>
    </row>
    <row r="92" customFormat="false" ht="15" hidden="false" customHeight="false" outlineLevel="0" collapsed="false">
      <c r="A92" s="2" t="s">
        <v>1981</v>
      </c>
      <c r="B92" s="14" t="s">
        <v>1980</v>
      </c>
      <c r="C92" s="14" t="s">
        <v>133</v>
      </c>
      <c r="D92" s="14" t="s">
        <v>3290</v>
      </c>
      <c r="E92" s="14" t="s">
        <v>82</v>
      </c>
      <c r="F92" s="2" t="s">
        <v>129</v>
      </c>
      <c r="G92" s="2" t="s">
        <v>3193</v>
      </c>
      <c r="H92" s="34" t="s">
        <v>668</v>
      </c>
      <c r="I92" s="2" t="s">
        <v>21</v>
      </c>
      <c r="J92" s="2" t="s">
        <v>21</v>
      </c>
      <c r="K92" s="2" t="s">
        <v>21</v>
      </c>
      <c r="L92" s="2" t="s">
        <v>21</v>
      </c>
    </row>
    <row r="93" customFormat="false" ht="15" hidden="false" customHeight="false" outlineLevel="0" collapsed="false">
      <c r="A93" s="2" t="s">
        <v>426</v>
      </c>
      <c r="B93" s="14" t="s">
        <v>425</v>
      </c>
      <c r="C93" s="14" t="s">
        <v>102</v>
      </c>
      <c r="D93" s="14" t="s">
        <v>3291</v>
      </c>
      <c r="E93" s="14" t="s">
        <v>170</v>
      </c>
      <c r="F93" s="2" t="s">
        <v>125</v>
      </c>
      <c r="G93" s="2" t="s">
        <v>3218</v>
      </c>
      <c r="H93" s="39" t="s">
        <v>671</v>
      </c>
      <c r="I93" s="2" t="s">
        <v>21</v>
      </c>
      <c r="J93" s="2" t="s">
        <v>21</v>
      </c>
      <c r="K93" s="2" t="s">
        <v>21</v>
      </c>
      <c r="L93" s="2" t="s">
        <v>21</v>
      </c>
    </row>
    <row r="94" customFormat="false" ht="15" hidden="false" customHeight="false" outlineLevel="0" collapsed="false">
      <c r="A94" s="2" t="s">
        <v>584</v>
      </c>
      <c r="B94" s="13" t="s">
        <v>583</v>
      </c>
      <c r="C94" s="13" t="s">
        <v>81</v>
      </c>
      <c r="D94" s="13" t="s">
        <v>3292</v>
      </c>
      <c r="E94" s="13" t="s">
        <v>82</v>
      </c>
      <c r="F94" s="2" t="s">
        <v>46</v>
      </c>
      <c r="G94" s="2" t="s">
        <v>3208</v>
      </c>
      <c r="H94" s="39" t="s">
        <v>671</v>
      </c>
      <c r="I94" s="2" t="s">
        <v>19</v>
      </c>
      <c r="J94" s="2" t="s">
        <v>19</v>
      </c>
      <c r="K94" s="2" t="s">
        <v>19</v>
      </c>
      <c r="L94" s="2" t="s">
        <v>19</v>
      </c>
    </row>
    <row r="95" customFormat="false" ht="15" hidden="false" customHeight="false" outlineLevel="0" collapsed="false">
      <c r="A95" s="2" t="s">
        <v>406</v>
      </c>
      <c r="B95" s="13" t="s">
        <v>405</v>
      </c>
      <c r="C95" s="13" t="s">
        <v>92</v>
      </c>
      <c r="D95" s="13" t="s">
        <v>3293</v>
      </c>
      <c r="E95" s="13" t="s">
        <v>93</v>
      </c>
      <c r="F95" s="2" t="s">
        <v>129</v>
      </c>
      <c r="G95" s="2" t="s">
        <v>3215</v>
      </c>
      <c r="H95" s="39" t="s">
        <v>671</v>
      </c>
      <c r="I95" s="2" t="s">
        <v>19</v>
      </c>
      <c r="J95" s="2" t="s">
        <v>19</v>
      </c>
      <c r="K95" s="2" t="s">
        <v>19</v>
      </c>
      <c r="L95" s="2" t="s">
        <v>19</v>
      </c>
    </row>
    <row r="96" customFormat="false" ht="15" hidden="false" customHeight="false" outlineLevel="0" collapsed="false">
      <c r="A96" s="2" t="s">
        <v>1875</v>
      </c>
      <c r="B96" s="13" t="s">
        <v>1874</v>
      </c>
      <c r="C96" s="13" t="s">
        <v>92</v>
      </c>
      <c r="D96" s="13" t="s">
        <v>3294</v>
      </c>
      <c r="E96" s="13" t="s">
        <v>93</v>
      </c>
      <c r="F96" s="2" t="s">
        <v>125</v>
      </c>
      <c r="G96" s="2" t="s">
        <v>3205</v>
      </c>
      <c r="H96" s="34" t="s">
        <v>668</v>
      </c>
      <c r="I96" s="2" t="s">
        <v>19</v>
      </c>
      <c r="J96" s="2" t="s">
        <v>19</v>
      </c>
      <c r="K96" s="2" t="s">
        <v>19</v>
      </c>
      <c r="L96" s="2" t="s">
        <v>19</v>
      </c>
    </row>
    <row r="97" customFormat="false" ht="15" hidden="false" customHeight="false" outlineLevel="0" collapsed="false">
      <c r="A97" s="2" t="s">
        <v>2764</v>
      </c>
      <c r="B97" s="14" t="s">
        <v>3295</v>
      </c>
      <c r="C97" s="14" t="s">
        <v>81</v>
      </c>
      <c r="D97" s="14" t="s">
        <v>3296</v>
      </c>
      <c r="E97" s="15" t="s">
        <v>82</v>
      </c>
      <c r="F97" s="2" t="s">
        <v>129</v>
      </c>
      <c r="G97" s="2" t="s">
        <v>3297</v>
      </c>
      <c r="H97" s="34" t="s">
        <v>668</v>
      </c>
      <c r="I97" s="2" t="s">
        <v>21</v>
      </c>
      <c r="J97" s="2" t="s">
        <v>21</v>
      </c>
      <c r="K97" s="2" t="s">
        <v>21</v>
      </c>
      <c r="L97" s="2" t="s">
        <v>17</v>
      </c>
    </row>
    <row r="98" customFormat="false" ht="15" hidden="false" customHeight="false" outlineLevel="0" collapsed="false">
      <c r="A98" s="2" t="s">
        <v>578</v>
      </c>
      <c r="B98" s="13" t="s">
        <v>577</v>
      </c>
      <c r="C98" s="13" t="s">
        <v>77</v>
      </c>
      <c r="D98" s="16"/>
      <c r="E98" s="13" t="s">
        <v>73</v>
      </c>
      <c r="F98" s="2" t="s">
        <v>45</v>
      </c>
      <c r="G98" s="2" t="s">
        <v>3208</v>
      </c>
      <c r="H98" s="39" t="s">
        <v>671</v>
      </c>
      <c r="I98" s="2" t="s">
        <v>19</v>
      </c>
      <c r="J98" s="2" t="s">
        <v>19</v>
      </c>
      <c r="K98" s="2"/>
      <c r="L98" s="2" t="s">
        <v>19</v>
      </c>
    </row>
    <row r="99" customFormat="false" ht="15" hidden="false" customHeight="false" outlineLevel="0" collapsed="false">
      <c r="A99" s="2" t="s">
        <v>1413</v>
      </c>
      <c r="B99" s="13" t="s">
        <v>1412</v>
      </c>
      <c r="C99" s="13" t="s">
        <v>87</v>
      </c>
      <c r="D99" s="13" t="s">
        <v>3298</v>
      </c>
      <c r="E99" s="13" t="s">
        <v>73</v>
      </c>
      <c r="F99" s="2" t="s">
        <v>129</v>
      </c>
      <c r="G99" s="2" t="s">
        <v>3195</v>
      </c>
      <c r="H99" s="34" t="s">
        <v>668</v>
      </c>
      <c r="I99" s="2" t="s">
        <v>19</v>
      </c>
      <c r="J99" s="2" t="s">
        <v>19</v>
      </c>
      <c r="K99" s="2" t="s">
        <v>19</v>
      </c>
      <c r="L99" s="2" t="s">
        <v>19</v>
      </c>
    </row>
    <row r="100" customFormat="false" ht="15" hidden="false" customHeight="false" outlineLevel="0" collapsed="false">
      <c r="A100" s="2" t="s">
        <v>2768</v>
      </c>
      <c r="B100" s="13" t="s">
        <v>3299</v>
      </c>
      <c r="C100" s="13" t="s">
        <v>138</v>
      </c>
      <c r="D100" s="13" t="s">
        <v>3300</v>
      </c>
      <c r="E100" s="13" t="s">
        <v>93</v>
      </c>
      <c r="F100" s="2" t="s">
        <v>45</v>
      </c>
      <c r="G100" s="2" t="s">
        <v>3202</v>
      </c>
      <c r="H100" s="34" t="s">
        <v>668</v>
      </c>
      <c r="I100" s="2" t="s">
        <v>19</v>
      </c>
      <c r="J100" s="2" t="s">
        <v>19</v>
      </c>
      <c r="K100" s="2" t="s">
        <v>19</v>
      </c>
      <c r="L100" s="2" t="s">
        <v>19</v>
      </c>
    </row>
    <row r="101" customFormat="false" ht="15" hidden="false" customHeight="false" outlineLevel="0" collapsed="false">
      <c r="A101" s="2" t="s">
        <v>1682</v>
      </c>
      <c r="B101" s="13" t="s">
        <v>1681</v>
      </c>
      <c r="C101" s="13" t="s">
        <v>133</v>
      </c>
      <c r="D101" s="13" t="s">
        <v>3301</v>
      </c>
      <c r="E101" s="13" t="s">
        <v>82</v>
      </c>
      <c r="F101" s="2" t="s">
        <v>129</v>
      </c>
      <c r="G101" s="2" t="s">
        <v>3195</v>
      </c>
      <c r="H101" s="34" t="s">
        <v>668</v>
      </c>
      <c r="I101" s="2" t="s">
        <v>19</v>
      </c>
      <c r="J101" s="2" t="s">
        <v>19</v>
      </c>
      <c r="K101" s="2" t="s">
        <v>19</v>
      </c>
      <c r="L101" s="2" t="s">
        <v>19</v>
      </c>
    </row>
    <row r="102" customFormat="false" ht="15" hidden="false" customHeight="false" outlineLevel="0" collapsed="false">
      <c r="A102" s="2" t="s">
        <v>1764</v>
      </c>
      <c r="B102" s="13" t="s">
        <v>1763</v>
      </c>
      <c r="C102" s="13" t="s">
        <v>102</v>
      </c>
      <c r="D102" s="13" t="s">
        <v>3302</v>
      </c>
      <c r="E102" s="13" t="s">
        <v>115</v>
      </c>
      <c r="F102" s="2" t="s">
        <v>129</v>
      </c>
      <c r="G102" s="2" t="s">
        <v>3195</v>
      </c>
      <c r="H102" s="34" t="s">
        <v>668</v>
      </c>
      <c r="I102" s="2" t="s">
        <v>19</v>
      </c>
      <c r="J102" s="2" t="s">
        <v>19</v>
      </c>
      <c r="K102" s="2" t="s">
        <v>19</v>
      </c>
      <c r="L102" s="2" t="s">
        <v>19</v>
      </c>
    </row>
    <row r="103" customFormat="false" ht="15" hidden="false" customHeight="false" outlineLevel="0" collapsed="false">
      <c r="A103" s="2" t="s">
        <v>2390</v>
      </c>
      <c r="B103" s="13" t="s">
        <v>2389</v>
      </c>
      <c r="C103" s="13" t="s">
        <v>87</v>
      </c>
      <c r="D103" s="13" t="s">
        <v>3303</v>
      </c>
      <c r="E103" s="13" t="s">
        <v>118</v>
      </c>
      <c r="F103" s="2" t="s">
        <v>129</v>
      </c>
      <c r="G103" s="2" t="s">
        <v>3193</v>
      </c>
      <c r="H103" s="34" t="s">
        <v>668</v>
      </c>
      <c r="I103" s="2" t="s">
        <v>19</v>
      </c>
      <c r="J103" s="2" t="s">
        <v>19</v>
      </c>
      <c r="K103" s="2" t="s">
        <v>19</v>
      </c>
      <c r="L103" s="2" t="s">
        <v>19</v>
      </c>
    </row>
    <row r="104" customFormat="false" ht="15" hidden="false" customHeight="false" outlineLevel="0" collapsed="false">
      <c r="A104" s="2" t="s">
        <v>2770</v>
      </c>
      <c r="B104" s="14" t="s">
        <v>3304</v>
      </c>
      <c r="C104" s="14" t="s">
        <v>102</v>
      </c>
      <c r="D104" s="16"/>
      <c r="E104" s="14" t="s">
        <v>108</v>
      </c>
      <c r="F104" s="2" t="s">
        <v>175</v>
      </c>
      <c r="G104" s="2" t="s">
        <v>3199</v>
      </c>
      <c r="H104" s="34" t="s">
        <v>668</v>
      </c>
      <c r="I104" s="2" t="s">
        <v>21</v>
      </c>
      <c r="J104" s="2" t="s">
        <v>21</v>
      </c>
      <c r="K104" s="2"/>
      <c r="L104" s="2" t="s">
        <v>21</v>
      </c>
    </row>
    <row r="105" customFormat="false" ht="15" hidden="false" customHeight="false" outlineLevel="0" collapsed="false">
      <c r="A105" s="2" t="s">
        <v>2772</v>
      </c>
      <c r="B105" s="14" t="s">
        <v>3305</v>
      </c>
      <c r="C105" s="14" t="s">
        <v>133</v>
      </c>
      <c r="D105" s="14" t="s">
        <v>3306</v>
      </c>
      <c r="E105" s="14" t="s">
        <v>108</v>
      </c>
      <c r="F105" s="2" t="s">
        <v>129</v>
      </c>
      <c r="G105" s="2" t="s">
        <v>3297</v>
      </c>
      <c r="H105" s="34" t="s">
        <v>668</v>
      </c>
      <c r="I105" s="2" t="s">
        <v>21</v>
      </c>
      <c r="J105" s="2" t="s">
        <v>21</v>
      </c>
      <c r="K105" s="2" t="s">
        <v>21</v>
      </c>
      <c r="L105" s="2" t="s">
        <v>21</v>
      </c>
    </row>
    <row r="106" customFormat="false" ht="15" hidden="false" customHeight="false" outlineLevel="0" collapsed="false">
      <c r="A106" s="2" t="s">
        <v>1289</v>
      </c>
      <c r="B106" s="13" t="s">
        <v>1288</v>
      </c>
      <c r="C106" s="13" t="s">
        <v>77</v>
      </c>
      <c r="D106" s="13" t="s">
        <v>3307</v>
      </c>
      <c r="E106" s="13" t="s">
        <v>115</v>
      </c>
      <c r="F106" s="2" t="s">
        <v>129</v>
      </c>
      <c r="G106" s="2" t="s">
        <v>3195</v>
      </c>
      <c r="H106" s="34" t="s">
        <v>668</v>
      </c>
      <c r="I106" s="2" t="s">
        <v>19</v>
      </c>
      <c r="J106" s="2" t="s">
        <v>19</v>
      </c>
      <c r="K106" s="2" t="s">
        <v>19</v>
      </c>
      <c r="L106" s="2" t="s">
        <v>19</v>
      </c>
    </row>
    <row r="107" customFormat="false" ht="15" hidden="false" customHeight="false" outlineLevel="0" collapsed="false">
      <c r="A107" s="2" t="s">
        <v>2775</v>
      </c>
      <c r="B107" s="16"/>
      <c r="C107" s="15" t="s">
        <v>105</v>
      </c>
      <c r="D107" s="15" t="s">
        <v>3308</v>
      </c>
      <c r="E107" s="15" t="s">
        <v>115</v>
      </c>
      <c r="F107" s="2" t="s">
        <v>46</v>
      </c>
      <c r="G107" s="2" t="s">
        <v>3202</v>
      </c>
      <c r="H107" s="34" t="s">
        <v>668</v>
      </c>
      <c r="I107" s="2"/>
      <c r="J107" s="2" t="s">
        <v>17</v>
      </c>
      <c r="K107" s="2" t="s">
        <v>17</v>
      </c>
      <c r="L107" s="2" t="s">
        <v>17</v>
      </c>
    </row>
    <row r="108" customFormat="false" ht="15" hidden="false" customHeight="false" outlineLevel="0" collapsed="false">
      <c r="A108" s="2" t="s">
        <v>777</v>
      </c>
      <c r="B108" s="14" t="s">
        <v>776</v>
      </c>
      <c r="C108" s="14" t="s">
        <v>87</v>
      </c>
      <c r="D108" s="15" t="s">
        <v>3309</v>
      </c>
      <c r="E108" s="14" t="s">
        <v>82</v>
      </c>
      <c r="F108" s="2" t="s">
        <v>129</v>
      </c>
      <c r="G108" s="2" t="s">
        <v>3193</v>
      </c>
      <c r="H108" s="34" t="s">
        <v>668</v>
      </c>
      <c r="I108" s="2" t="s">
        <v>21</v>
      </c>
      <c r="J108" s="2" t="s">
        <v>21</v>
      </c>
      <c r="K108" s="2" t="s">
        <v>17</v>
      </c>
      <c r="L108" s="2" t="s">
        <v>21</v>
      </c>
    </row>
    <row r="109" customFormat="false" ht="15" hidden="false" customHeight="false" outlineLevel="0" collapsed="false">
      <c r="A109" s="2" t="s">
        <v>710</v>
      </c>
      <c r="B109" s="14" t="s">
        <v>709</v>
      </c>
      <c r="C109" s="14" t="s">
        <v>102</v>
      </c>
      <c r="D109" s="16"/>
      <c r="E109" s="14" t="s">
        <v>118</v>
      </c>
      <c r="F109" s="2" t="s">
        <v>157</v>
      </c>
      <c r="G109" s="2" t="s">
        <v>3205</v>
      </c>
      <c r="H109" s="34" t="s">
        <v>668</v>
      </c>
      <c r="I109" s="2" t="s">
        <v>21</v>
      </c>
      <c r="J109" s="2" t="s">
        <v>21</v>
      </c>
      <c r="K109" s="2"/>
      <c r="L109" s="2" t="s">
        <v>21</v>
      </c>
    </row>
    <row r="110" customFormat="false" ht="15" hidden="false" customHeight="false" outlineLevel="0" collapsed="false">
      <c r="A110" s="2" t="s">
        <v>390</v>
      </c>
      <c r="B110" s="13" t="s">
        <v>389</v>
      </c>
      <c r="C110" s="13" t="s">
        <v>133</v>
      </c>
      <c r="D110" s="13" t="s">
        <v>3310</v>
      </c>
      <c r="E110" s="13" t="s">
        <v>93</v>
      </c>
      <c r="F110" s="2" t="s">
        <v>129</v>
      </c>
      <c r="G110" s="2" t="s">
        <v>3215</v>
      </c>
      <c r="H110" s="39" t="s">
        <v>671</v>
      </c>
      <c r="I110" s="2" t="s">
        <v>19</v>
      </c>
      <c r="J110" s="2" t="s">
        <v>19</v>
      </c>
      <c r="K110" s="2" t="s">
        <v>19</v>
      </c>
      <c r="L110" s="2" t="s">
        <v>19</v>
      </c>
    </row>
    <row r="111" customFormat="false" ht="15" hidden="false" customHeight="false" outlineLevel="0" collapsed="false">
      <c r="A111" s="2" t="s">
        <v>150</v>
      </c>
      <c r="B111" s="13" t="s">
        <v>149</v>
      </c>
      <c r="C111" s="13" t="s">
        <v>72</v>
      </c>
      <c r="D111" s="13" t="s">
        <v>3311</v>
      </c>
      <c r="E111" s="13" t="s">
        <v>99</v>
      </c>
      <c r="F111" s="2" t="s">
        <v>47</v>
      </c>
      <c r="G111" s="2" t="s">
        <v>3208</v>
      </c>
      <c r="H111" s="39" t="s">
        <v>671</v>
      </c>
      <c r="I111" s="2" t="s">
        <v>19</v>
      </c>
      <c r="J111" s="2" t="s">
        <v>19</v>
      </c>
      <c r="K111" s="2" t="s">
        <v>19</v>
      </c>
      <c r="L111" s="2" t="s">
        <v>19</v>
      </c>
    </row>
    <row r="112" customFormat="false" ht="15" hidden="false" customHeight="false" outlineLevel="0" collapsed="false">
      <c r="A112" s="2" t="s">
        <v>250</v>
      </c>
      <c r="B112" s="13" t="s">
        <v>249</v>
      </c>
      <c r="C112" s="13" t="s">
        <v>77</v>
      </c>
      <c r="D112" s="13" t="s">
        <v>3312</v>
      </c>
      <c r="E112" s="13" t="s">
        <v>115</v>
      </c>
      <c r="F112" s="2" t="s">
        <v>129</v>
      </c>
      <c r="G112" s="2" t="s">
        <v>3215</v>
      </c>
      <c r="H112" s="39" t="s">
        <v>671</v>
      </c>
      <c r="I112" s="2" t="s">
        <v>19</v>
      </c>
      <c r="J112" s="2" t="s">
        <v>19</v>
      </c>
      <c r="K112" s="2" t="s">
        <v>19</v>
      </c>
      <c r="L112" s="2" t="s">
        <v>19</v>
      </c>
    </row>
    <row r="113" customFormat="false" ht="15" hidden="false" customHeight="false" outlineLevel="0" collapsed="false">
      <c r="A113" s="2" t="s">
        <v>654</v>
      </c>
      <c r="B113" s="13" t="s">
        <v>653</v>
      </c>
      <c r="C113" s="13" t="s">
        <v>138</v>
      </c>
      <c r="D113" s="13" t="s">
        <v>3313</v>
      </c>
      <c r="E113" s="13" t="s">
        <v>99</v>
      </c>
      <c r="F113" s="2" t="s">
        <v>47</v>
      </c>
      <c r="G113" s="2" t="s">
        <v>3208</v>
      </c>
      <c r="H113" s="39" t="s">
        <v>671</v>
      </c>
      <c r="I113" s="2" t="s">
        <v>19</v>
      </c>
      <c r="J113" s="2" t="s">
        <v>19</v>
      </c>
      <c r="K113" s="2" t="s">
        <v>19</v>
      </c>
      <c r="L113" s="2" t="s">
        <v>19</v>
      </c>
    </row>
    <row r="114" customFormat="false" ht="15" hidden="false" customHeight="false" outlineLevel="0" collapsed="false">
      <c r="A114" s="2" t="s">
        <v>534</v>
      </c>
      <c r="B114" s="13" t="s">
        <v>533</v>
      </c>
      <c r="C114" s="13" t="s">
        <v>81</v>
      </c>
      <c r="D114" s="13" t="s">
        <v>3314</v>
      </c>
      <c r="E114" s="13" t="s">
        <v>99</v>
      </c>
      <c r="F114" s="2" t="s">
        <v>157</v>
      </c>
      <c r="G114" s="2" t="s">
        <v>3218</v>
      </c>
      <c r="H114" s="39" t="s">
        <v>671</v>
      </c>
      <c r="I114" s="2" t="s">
        <v>19</v>
      </c>
      <c r="J114" s="2" t="s">
        <v>19</v>
      </c>
      <c r="K114" s="2" t="s">
        <v>19</v>
      </c>
      <c r="L114" s="2" t="s">
        <v>19</v>
      </c>
    </row>
    <row r="115" customFormat="false" ht="15" hidden="false" customHeight="false" outlineLevel="0" collapsed="false">
      <c r="A115" s="2" t="s">
        <v>1479</v>
      </c>
      <c r="B115" s="14" t="s">
        <v>1478</v>
      </c>
      <c r="C115" s="14" t="s">
        <v>87</v>
      </c>
      <c r="D115" s="16"/>
      <c r="E115" s="14" t="s">
        <v>115</v>
      </c>
      <c r="F115" s="2" t="s">
        <v>129</v>
      </c>
      <c r="G115" s="2" t="s">
        <v>3193</v>
      </c>
      <c r="H115" s="34" t="s">
        <v>668</v>
      </c>
      <c r="I115" s="2" t="s">
        <v>21</v>
      </c>
      <c r="J115" s="2" t="s">
        <v>21</v>
      </c>
      <c r="K115" s="2"/>
      <c r="L115" s="2" t="s">
        <v>21</v>
      </c>
    </row>
    <row r="116" customFormat="false" ht="15" hidden="false" customHeight="false" outlineLevel="0" collapsed="false">
      <c r="A116" s="2" t="s">
        <v>1071</v>
      </c>
      <c r="B116" s="13" t="s">
        <v>1070</v>
      </c>
      <c r="C116" s="13" t="s">
        <v>81</v>
      </c>
      <c r="D116" s="13" t="s">
        <v>3315</v>
      </c>
      <c r="E116" s="13" t="s">
        <v>99</v>
      </c>
      <c r="F116" s="2" t="s">
        <v>129</v>
      </c>
      <c r="G116" s="2" t="s">
        <v>3195</v>
      </c>
      <c r="H116" s="34" t="s">
        <v>668</v>
      </c>
      <c r="I116" s="2" t="s">
        <v>19</v>
      </c>
      <c r="J116" s="2" t="s">
        <v>19</v>
      </c>
      <c r="K116" s="2" t="s">
        <v>19</v>
      </c>
      <c r="L116" s="2" t="s">
        <v>19</v>
      </c>
    </row>
    <row r="117" customFormat="false" ht="15" hidden="false" customHeight="false" outlineLevel="0" collapsed="false">
      <c r="A117" s="2" t="s">
        <v>610</v>
      </c>
      <c r="B117" s="13" t="s">
        <v>609</v>
      </c>
      <c r="C117" s="13" t="s">
        <v>114</v>
      </c>
      <c r="D117" s="13" t="s">
        <v>3316</v>
      </c>
      <c r="E117" s="13" t="s">
        <v>118</v>
      </c>
      <c r="F117" s="2" t="s">
        <v>46</v>
      </c>
      <c r="G117" s="2" t="s">
        <v>3208</v>
      </c>
      <c r="H117" s="39" t="s">
        <v>671</v>
      </c>
      <c r="I117" s="2" t="s">
        <v>19</v>
      </c>
      <c r="J117" s="2" t="s">
        <v>19</v>
      </c>
      <c r="K117" s="2" t="s">
        <v>19</v>
      </c>
      <c r="L117" s="2" t="s">
        <v>19</v>
      </c>
    </row>
    <row r="118" customFormat="false" ht="15" hidden="false" customHeight="false" outlineLevel="0" collapsed="false">
      <c r="A118" s="2" t="s">
        <v>1113</v>
      </c>
      <c r="B118" s="13" t="s">
        <v>1112</v>
      </c>
      <c r="C118" s="13" t="s">
        <v>77</v>
      </c>
      <c r="D118" s="14" t="s">
        <v>3317</v>
      </c>
      <c r="E118" s="13" t="s">
        <v>170</v>
      </c>
      <c r="F118" s="2" t="s">
        <v>129</v>
      </c>
      <c r="G118" s="2" t="s">
        <v>3195</v>
      </c>
      <c r="H118" s="34" t="s">
        <v>668</v>
      </c>
      <c r="I118" s="2" t="s">
        <v>19</v>
      </c>
      <c r="J118" s="2" t="s">
        <v>19</v>
      </c>
      <c r="K118" s="2" t="s">
        <v>21</v>
      </c>
      <c r="L118" s="2" t="s">
        <v>19</v>
      </c>
    </row>
    <row r="119" customFormat="false" ht="15" hidden="false" customHeight="false" outlineLevel="0" collapsed="false">
      <c r="A119" s="2" t="s">
        <v>262</v>
      </c>
      <c r="B119" s="13" t="s">
        <v>261</v>
      </c>
      <c r="C119" s="13" t="s">
        <v>81</v>
      </c>
      <c r="D119" s="13" t="s">
        <v>3318</v>
      </c>
      <c r="E119" s="13" t="s">
        <v>82</v>
      </c>
      <c r="F119" s="2" t="s">
        <v>129</v>
      </c>
      <c r="G119" s="2" t="s">
        <v>3215</v>
      </c>
      <c r="H119" s="39" t="s">
        <v>671</v>
      </c>
      <c r="I119" s="2" t="s">
        <v>19</v>
      </c>
      <c r="J119" s="2" t="s">
        <v>19</v>
      </c>
      <c r="K119" s="2" t="s">
        <v>19</v>
      </c>
      <c r="L119" s="2" t="s">
        <v>19</v>
      </c>
    </row>
    <row r="120" customFormat="false" ht="15" hidden="false" customHeight="false" outlineLevel="0" collapsed="false">
      <c r="A120" s="2" t="s">
        <v>2780</v>
      </c>
      <c r="B120" s="14" t="s">
        <v>3319</v>
      </c>
      <c r="C120" s="14" t="s">
        <v>77</v>
      </c>
      <c r="D120" s="14" t="s">
        <v>3320</v>
      </c>
      <c r="E120" s="16"/>
      <c r="F120" s="2" t="s">
        <v>45</v>
      </c>
      <c r="G120" s="2" t="s">
        <v>3202</v>
      </c>
      <c r="H120" s="34" t="s">
        <v>668</v>
      </c>
      <c r="I120" s="2" t="s">
        <v>21</v>
      </c>
      <c r="J120" s="2" t="s">
        <v>21</v>
      </c>
      <c r="K120" s="2" t="s">
        <v>21</v>
      </c>
      <c r="L120" s="2"/>
    </row>
    <row r="121" customFormat="false" ht="15" hidden="false" customHeight="false" outlineLevel="0" collapsed="false">
      <c r="A121" s="2" t="s">
        <v>1891</v>
      </c>
      <c r="B121" s="13" t="s">
        <v>1890</v>
      </c>
      <c r="C121" s="13" t="s">
        <v>102</v>
      </c>
      <c r="D121" s="13" t="s">
        <v>3321</v>
      </c>
      <c r="E121" s="13" t="s">
        <v>93</v>
      </c>
      <c r="F121" s="2" t="s">
        <v>129</v>
      </c>
      <c r="G121" s="2" t="s">
        <v>3195</v>
      </c>
      <c r="H121" s="34" t="s">
        <v>668</v>
      </c>
      <c r="I121" s="2" t="s">
        <v>19</v>
      </c>
      <c r="J121" s="2" t="s">
        <v>19</v>
      </c>
      <c r="K121" s="2" t="s">
        <v>19</v>
      </c>
      <c r="L121" s="2" t="s">
        <v>19</v>
      </c>
    </row>
    <row r="122" customFormat="false" ht="15" hidden="false" customHeight="false" outlineLevel="0" collapsed="false">
      <c r="A122" s="2" t="s">
        <v>282</v>
      </c>
      <c r="B122" s="13" t="s">
        <v>281</v>
      </c>
      <c r="C122" s="13" t="s">
        <v>92</v>
      </c>
      <c r="D122" s="13" t="s">
        <v>3322</v>
      </c>
      <c r="E122" s="13" t="s">
        <v>115</v>
      </c>
      <c r="F122" s="2" t="s">
        <v>47</v>
      </c>
      <c r="G122" s="2" t="s">
        <v>3208</v>
      </c>
      <c r="H122" s="39" t="s">
        <v>671</v>
      </c>
      <c r="I122" s="2" t="s">
        <v>19</v>
      </c>
      <c r="J122" s="2" t="s">
        <v>19</v>
      </c>
      <c r="K122" s="2" t="s">
        <v>19</v>
      </c>
      <c r="L122" s="2" t="s">
        <v>19</v>
      </c>
    </row>
    <row r="123" customFormat="false" ht="15" hidden="false" customHeight="false" outlineLevel="0" collapsed="false">
      <c r="A123" s="2" t="s">
        <v>648</v>
      </c>
      <c r="B123" s="14" t="s">
        <v>647</v>
      </c>
      <c r="C123" s="14" t="s">
        <v>105</v>
      </c>
      <c r="D123" s="16"/>
      <c r="E123" s="14" t="s">
        <v>118</v>
      </c>
      <c r="F123" s="2" t="s">
        <v>45</v>
      </c>
      <c r="G123" s="2" t="s">
        <v>3208</v>
      </c>
      <c r="H123" s="39" t="s">
        <v>671</v>
      </c>
      <c r="I123" s="2" t="s">
        <v>21</v>
      </c>
      <c r="J123" s="2" t="s">
        <v>21</v>
      </c>
      <c r="K123" s="2"/>
      <c r="L123" s="2" t="s">
        <v>21</v>
      </c>
    </row>
    <row r="124" customFormat="false" ht="15" hidden="false" customHeight="false" outlineLevel="0" collapsed="false">
      <c r="A124" s="2" t="s">
        <v>135</v>
      </c>
      <c r="B124" s="14" t="s">
        <v>134</v>
      </c>
      <c r="C124" s="14" t="s">
        <v>77</v>
      </c>
      <c r="D124" s="16"/>
      <c r="E124" s="14" t="s">
        <v>108</v>
      </c>
      <c r="F124" s="2" t="s">
        <v>47</v>
      </c>
      <c r="G124" s="2" t="s">
        <v>3208</v>
      </c>
      <c r="H124" s="39" t="s">
        <v>671</v>
      </c>
      <c r="I124" s="2" t="s">
        <v>21</v>
      </c>
      <c r="J124" s="2" t="s">
        <v>21</v>
      </c>
      <c r="K124" s="2"/>
      <c r="L124" s="2" t="s">
        <v>21</v>
      </c>
    </row>
    <row r="125" customFormat="false" ht="15" hidden="false" customHeight="false" outlineLevel="0" collapsed="false">
      <c r="A125" s="2" t="s">
        <v>1663</v>
      </c>
      <c r="B125" s="14" t="s">
        <v>1662</v>
      </c>
      <c r="C125" s="14" t="s">
        <v>102</v>
      </c>
      <c r="D125" s="14" t="s">
        <v>3323</v>
      </c>
      <c r="E125" s="14" t="s">
        <v>115</v>
      </c>
      <c r="F125" s="2" t="s">
        <v>125</v>
      </c>
      <c r="G125" s="2" t="s">
        <v>3205</v>
      </c>
      <c r="H125" s="34" t="s">
        <v>668</v>
      </c>
      <c r="I125" s="2" t="s">
        <v>21</v>
      </c>
      <c r="J125" s="2" t="s">
        <v>21</v>
      </c>
      <c r="K125" s="2" t="s">
        <v>21</v>
      </c>
      <c r="L125" s="2" t="s">
        <v>21</v>
      </c>
    </row>
    <row r="126" customFormat="false" ht="15" hidden="false" customHeight="false" outlineLevel="0" collapsed="false">
      <c r="A126" s="2" t="s">
        <v>2440</v>
      </c>
      <c r="B126" s="13" t="s">
        <v>2439</v>
      </c>
      <c r="C126" s="13" t="s">
        <v>114</v>
      </c>
      <c r="D126" s="13" t="s">
        <v>3324</v>
      </c>
      <c r="E126" s="13" t="s">
        <v>96</v>
      </c>
      <c r="F126" s="2" t="s">
        <v>129</v>
      </c>
      <c r="G126" s="2" t="s">
        <v>3193</v>
      </c>
      <c r="H126" s="34" t="s">
        <v>668</v>
      </c>
      <c r="I126" s="2" t="s">
        <v>19</v>
      </c>
      <c r="J126" s="2" t="s">
        <v>19</v>
      </c>
      <c r="K126" s="2" t="s">
        <v>19</v>
      </c>
      <c r="L126" s="2" t="s">
        <v>19</v>
      </c>
    </row>
    <row r="127" customFormat="false" ht="15" hidden="false" customHeight="false" outlineLevel="0" collapsed="false">
      <c r="A127" s="2" t="s">
        <v>1993</v>
      </c>
      <c r="B127" s="13" t="s">
        <v>1992</v>
      </c>
      <c r="C127" s="13" t="s">
        <v>87</v>
      </c>
      <c r="D127" s="13" t="s">
        <v>3325</v>
      </c>
      <c r="E127" s="13" t="s">
        <v>170</v>
      </c>
      <c r="F127" s="2" t="s">
        <v>129</v>
      </c>
      <c r="G127" s="2" t="s">
        <v>3193</v>
      </c>
      <c r="H127" s="34" t="s">
        <v>668</v>
      </c>
      <c r="I127" s="2" t="s">
        <v>19</v>
      </c>
      <c r="J127" s="2" t="s">
        <v>19</v>
      </c>
      <c r="K127" s="2" t="s">
        <v>19</v>
      </c>
      <c r="L127" s="2" t="s">
        <v>19</v>
      </c>
    </row>
    <row r="128" customFormat="false" ht="15" hidden="false" customHeight="false" outlineLevel="0" collapsed="false">
      <c r="A128" s="2" t="s">
        <v>638</v>
      </c>
      <c r="B128" s="13" t="s">
        <v>637</v>
      </c>
      <c r="C128" s="13" t="s">
        <v>105</v>
      </c>
      <c r="D128" s="13" t="s">
        <v>3326</v>
      </c>
      <c r="E128" s="13" t="s">
        <v>115</v>
      </c>
      <c r="F128" s="2" t="s">
        <v>47</v>
      </c>
      <c r="G128" s="2" t="s">
        <v>3208</v>
      </c>
      <c r="H128" s="39" t="s">
        <v>671</v>
      </c>
      <c r="I128" s="2" t="s">
        <v>19</v>
      </c>
      <c r="J128" s="2" t="s">
        <v>19</v>
      </c>
      <c r="K128" s="2" t="s">
        <v>19</v>
      </c>
      <c r="L128" s="2" t="s">
        <v>19</v>
      </c>
    </row>
    <row r="129" customFormat="false" ht="15" hidden="false" customHeight="false" outlineLevel="0" collapsed="false">
      <c r="A129" s="2" t="s">
        <v>1871</v>
      </c>
      <c r="B129" s="13" t="s">
        <v>1870</v>
      </c>
      <c r="C129" s="13" t="s">
        <v>138</v>
      </c>
      <c r="D129" s="13" t="s">
        <v>3327</v>
      </c>
      <c r="E129" s="13" t="s">
        <v>118</v>
      </c>
      <c r="F129" s="2" t="s">
        <v>129</v>
      </c>
      <c r="G129" s="2" t="s">
        <v>3195</v>
      </c>
      <c r="H129" s="34" t="s">
        <v>668</v>
      </c>
      <c r="I129" s="2" t="s">
        <v>19</v>
      </c>
      <c r="J129" s="2" t="s">
        <v>19</v>
      </c>
      <c r="K129" s="2" t="s">
        <v>19</v>
      </c>
      <c r="L129" s="2" t="s">
        <v>19</v>
      </c>
    </row>
    <row r="130" customFormat="false" ht="15" hidden="false" customHeight="false" outlineLevel="0" collapsed="false">
      <c r="A130" s="2" t="s">
        <v>2564</v>
      </c>
      <c r="B130" s="13" t="s">
        <v>2563</v>
      </c>
      <c r="C130" s="13" t="s">
        <v>77</v>
      </c>
      <c r="D130" s="13" t="s">
        <v>3328</v>
      </c>
      <c r="E130" s="13" t="s">
        <v>73</v>
      </c>
      <c r="F130" s="2" t="s">
        <v>175</v>
      </c>
      <c r="G130" s="2" t="s">
        <v>3205</v>
      </c>
      <c r="H130" s="34" t="s">
        <v>668</v>
      </c>
      <c r="I130" s="2" t="s">
        <v>19</v>
      </c>
      <c r="J130" s="2" t="s">
        <v>19</v>
      </c>
      <c r="K130" s="2" t="s">
        <v>19</v>
      </c>
      <c r="L130" s="2" t="s">
        <v>19</v>
      </c>
    </row>
    <row r="131" customFormat="false" ht="15" hidden="false" customHeight="false" outlineLevel="0" collapsed="false">
      <c r="A131" s="2" t="s">
        <v>586</v>
      </c>
      <c r="B131" s="13" t="s">
        <v>585</v>
      </c>
      <c r="C131" s="13" t="s">
        <v>138</v>
      </c>
      <c r="D131" s="13" t="s">
        <v>3329</v>
      </c>
      <c r="E131" s="13" t="s">
        <v>108</v>
      </c>
      <c r="F131" s="2" t="s">
        <v>47</v>
      </c>
      <c r="G131" s="2" t="s">
        <v>3208</v>
      </c>
      <c r="H131" s="39" t="s">
        <v>671</v>
      </c>
      <c r="I131" s="2" t="s">
        <v>19</v>
      </c>
      <c r="J131" s="2" t="s">
        <v>19</v>
      </c>
      <c r="K131" s="2" t="s">
        <v>19</v>
      </c>
      <c r="L131" s="2" t="s">
        <v>19</v>
      </c>
    </row>
    <row r="132" customFormat="false" ht="15" hidden="false" customHeight="false" outlineLevel="0" collapsed="false">
      <c r="A132" s="2" t="s">
        <v>1859</v>
      </c>
      <c r="B132" s="13" t="s">
        <v>1858</v>
      </c>
      <c r="C132" s="13" t="s">
        <v>92</v>
      </c>
      <c r="D132" s="13" t="s">
        <v>3330</v>
      </c>
      <c r="E132" s="13" t="s">
        <v>93</v>
      </c>
      <c r="F132" s="2" t="s">
        <v>129</v>
      </c>
      <c r="G132" s="2" t="s">
        <v>3195</v>
      </c>
      <c r="H132" s="34" t="s">
        <v>668</v>
      </c>
      <c r="I132" s="2" t="s">
        <v>19</v>
      </c>
      <c r="J132" s="2" t="s">
        <v>19</v>
      </c>
      <c r="K132" s="2" t="s">
        <v>19</v>
      </c>
      <c r="L132" s="2" t="s">
        <v>19</v>
      </c>
    </row>
    <row r="133" customFormat="false" ht="15" hidden="false" customHeight="false" outlineLevel="0" collapsed="false">
      <c r="A133" s="2" t="s">
        <v>891</v>
      </c>
      <c r="B133" s="13" t="s">
        <v>890</v>
      </c>
      <c r="C133" s="13" t="s">
        <v>105</v>
      </c>
      <c r="D133" s="13" t="s">
        <v>3331</v>
      </c>
      <c r="E133" s="13" t="s">
        <v>111</v>
      </c>
      <c r="F133" s="2" t="s">
        <v>129</v>
      </c>
      <c r="G133" s="2" t="s">
        <v>3195</v>
      </c>
      <c r="H133" s="34" t="s">
        <v>668</v>
      </c>
      <c r="I133" s="2" t="s">
        <v>19</v>
      </c>
      <c r="J133" s="2" t="s">
        <v>19</v>
      </c>
      <c r="K133" s="2" t="s">
        <v>19</v>
      </c>
      <c r="L133" s="2" t="s">
        <v>19</v>
      </c>
    </row>
    <row r="134" customFormat="false" ht="15" hidden="false" customHeight="false" outlineLevel="0" collapsed="false">
      <c r="A134" s="2" t="s">
        <v>1191</v>
      </c>
      <c r="B134" s="13" t="s">
        <v>1190</v>
      </c>
      <c r="C134" s="13" t="s">
        <v>105</v>
      </c>
      <c r="D134" s="13" t="s">
        <v>3332</v>
      </c>
      <c r="E134" s="13" t="s">
        <v>96</v>
      </c>
      <c r="F134" s="2" t="s">
        <v>129</v>
      </c>
      <c r="G134" s="2" t="s">
        <v>3195</v>
      </c>
      <c r="H134" s="34" t="s">
        <v>668</v>
      </c>
      <c r="I134" s="2" t="s">
        <v>19</v>
      </c>
      <c r="J134" s="2" t="s">
        <v>19</v>
      </c>
      <c r="K134" s="2" t="s">
        <v>19</v>
      </c>
      <c r="L134" s="2" t="s">
        <v>19</v>
      </c>
    </row>
    <row r="135" customFormat="false" ht="15" hidden="false" customHeight="false" outlineLevel="0" collapsed="false">
      <c r="A135" s="2" t="s">
        <v>2786</v>
      </c>
      <c r="B135" s="13" t="s">
        <v>3333</v>
      </c>
      <c r="C135" s="13" t="s">
        <v>138</v>
      </c>
      <c r="D135" s="13" t="s">
        <v>3334</v>
      </c>
      <c r="E135" s="13" t="s">
        <v>82</v>
      </c>
      <c r="F135" s="2" t="s">
        <v>47</v>
      </c>
      <c r="G135" s="2" t="s">
        <v>3202</v>
      </c>
      <c r="H135" s="34" t="s">
        <v>668</v>
      </c>
      <c r="I135" s="2" t="s">
        <v>19</v>
      </c>
      <c r="J135" s="2" t="s">
        <v>19</v>
      </c>
      <c r="K135" s="2" t="s">
        <v>19</v>
      </c>
      <c r="L135" s="2" t="s">
        <v>19</v>
      </c>
    </row>
    <row r="136" customFormat="false" ht="15" hidden="false" customHeight="false" outlineLevel="0" collapsed="false">
      <c r="A136" s="2" t="s">
        <v>1270</v>
      </c>
      <c r="B136" s="13" t="s">
        <v>1269</v>
      </c>
      <c r="C136" s="13" t="s">
        <v>92</v>
      </c>
      <c r="D136" s="13" t="s">
        <v>3335</v>
      </c>
      <c r="E136" s="13" t="s">
        <v>111</v>
      </c>
      <c r="F136" s="2" t="s">
        <v>129</v>
      </c>
      <c r="G136" s="2" t="s">
        <v>3195</v>
      </c>
      <c r="H136" s="34" t="s">
        <v>668</v>
      </c>
      <c r="I136" s="2" t="s">
        <v>19</v>
      </c>
      <c r="J136" s="2" t="s">
        <v>19</v>
      </c>
      <c r="K136" s="2" t="s">
        <v>19</v>
      </c>
      <c r="L136" s="2" t="s">
        <v>19</v>
      </c>
    </row>
    <row r="137" customFormat="false" ht="15" hidden="false" customHeight="false" outlineLevel="0" collapsed="false">
      <c r="A137" s="2" t="s">
        <v>148</v>
      </c>
      <c r="B137" s="13" t="s">
        <v>147</v>
      </c>
      <c r="C137" s="13" t="s">
        <v>92</v>
      </c>
      <c r="D137" s="13" t="s">
        <v>3336</v>
      </c>
      <c r="E137" s="13" t="s">
        <v>99</v>
      </c>
      <c r="F137" s="2" t="s">
        <v>47</v>
      </c>
      <c r="G137" s="2" t="s">
        <v>3208</v>
      </c>
      <c r="H137" s="39" t="s">
        <v>671</v>
      </c>
      <c r="I137" s="2" t="s">
        <v>19</v>
      </c>
      <c r="J137" s="2" t="s">
        <v>19</v>
      </c>
      <c r="K137" s="2" t="s">
        <v>19</v>
      </c>
      <c r="L137" s="2" t="s">
        <v>19</v>
      </c>
    </row>
    <row r="138" customFormat="false" ht="15" hidden="false" customHeight="false" outlineLevel="0" collapsed="false">
      <c r="A138" s="2" t="s">
        <v>1835</v>
      </c>
      <c r="B138" s="13" t="s">
        <v>1834</v>
      </c>
      <c r="C138" s="13" t="s">
        <v>81</v>
      </c>
      <c r="D138" s="13" t="s">
        <v>3337</v>
      </c>
      <c r="E138" s="13" t="s">
        <v>111</v>
      </c>
      <c r="F138" s="2" t="s">
        <v>129</v>
      </c>
      <c r="G138" s="2" t="s">
        <v>3195</v>
      </c>
      <c r="H138" s="34" t="s">
        <v>668</v>
      </c>
      <c r="I138" s="2" t="s">
        <v>19</v>
      </c>
      <c r="J138" s="2" t="s">
        <v>19</v>
      </c>
      <c r="K138" s="2" t="s">
        <v>19</v>
      </c>
      <c r="L138" s="2" t="s">
        <v>19</v>
      </c>
    </row>
    <row r="139" customFormat="false" ht="15" hidden="false" customHeight="false" outlineLevel="0" collapsed="false">
      <c r="A139" s="2" t="s">
        <v>398</v>
      </c>
      <c r="B139" s="13" t="s">
        <v>397</v>
      </c>
      <c r="C139" s="13" t="s">
        <v>138</v>
      </c>
      <c r="D139" s="16"/>
      <c r="E139" s="14" t="s">
        <v>108</v>
      </c>
      <c r="F139" s="2" t="s">
        <v>175</v>
      </c>
      <c r="G139" s="2" t="s">
        <v>3218</v>
      </c>
      <c r="H139" s="39" t="s">
        <v>671</v>
      </c>
      <c r="I139" s="2" t="s">
        <v>19</v>
      </c>
      <c r="J139" s="2" t="s">
        <v>19</v>
      </c>
      <c r="K139" s="2"/>
      <c r="L139" s="2" t="s">
        <v>21</v>
      </c>
    </row>
    <row r="140" customFormat="false" ht="15" hidden="false" customHeight="false" outlineLevel="0" collapsed="false">
      <c r="A140" s="2" t="s">
        <v>650</v>
      </c>
      <c r="B140" s="14" t="s">
        <v>649</v>
      </c>
      <c r="C140" s="14" t="s">
        <v>102</v>
      </c>
      <c r="D140" s="14" t="s">
        <v>3338</v>
      </c>
      <c r="E140" s="14" t="s">
        <v>170</v>
      </c>
      <c r="F140" s="2" t="s">
        <v>45</v>
      </c>
      <c r="G140" s="2" t="s">
        <v>3208</v>
      </c>
      <c r="H140" s="39" t="s">
        <v>671</v>
      </c>
      <c r="I140" s="2" t="s">
        <v>21</v>
      </c>
      <c r="J140" s="2" t="s">
        <v>21</v>
      </c>
      <c r="K140" s="2" t="s">
        <v>21</v>
      </c>
      <c r="L140" s="2" t="s">
        <v>21</v>
      </c>
    </row>
    <row r="141" customFormat="false" ht="15" hidden="false" customHeight="false" outlineLevel="0" collapsed="false">
      <c r="A141" s="2" t="s">
        <v>110</v>
      </c>
      <c r="B141" s="13" t="s">
        <v>109</v>
      </c>
      <c r="C141" s="13" t="s">
        <v>102</v>
      </c>
      <c r="D141" s="14" t="s">
        <v>3339</v>
      </c>
      <c r="E141" s="13" t="s">
        <v>111</v>
      </c>
      <c r="F141" s="2" t="s">
        <v>45</v>
      </c>
      <c r="G141" s="2" t="s">
        <v>3208</v>
      </c>
      <c r="H141" s="39" t="s">
        <v>671</v>
      </c>
      <c r="I141" s="2" t="s">
        <v>19</v>
      </c>
      <c r="J141" s="2" t="s">
        <v>19</v>
      </c>
      <c r="K141" s="2" t="s">
        <v>21</v>
      </c>
      <c r="L141" s="2" t="s">
        <v>19</v>
      </c>
    </row>
    <row r="142" customFormat="false" ht="15" hidden="false" customHeight="false" outlineLevel="0" collapsed="false">
      <c r="A142" s="2" t="s">
        <v>948</v>
      </c>
      <c r="B142" s="13" t="s">
        <v>947</v>
      </c>
      <c r="C142" s="13" t="s">
        <v>114</v>
      </c>
      <c r="D142" s="13" t="s">
        <v>3340</v>
      </c>
      <c r="E142" s="13" t="s">
        <v>170</v>
      </c>
      <c r="F142" s="2" t="s">
        <v>125</v>
      </c>
      <c r="G142" s="2" t="s">
        <v>3205</v>
      </c>
      <c r="H142" s="34" t="s">
        <v>668</v>
      </c>
      <c r="I142" s="2" t="s">
        <v>19</v>
      </c>
      <c r="J142" s="2" t="s">
        <v>19</v>
      </c>
      <c r="K142" s="2" t="s">
        <v>19</v>
      </c>
      <c r="L142" s="2" t="s">
        <v>19</v>
      </c>
    </row>
    <row r="143" customFormat="false" ht="15" hidden="false" customHeight="false" outlineLevel="0" collapsed="false">
      <c r="A143" s="2" t="s">
        <v>350</v>
      </c>
      <c r="B143" s="13" t="s">
        <v>349</v>
      </c>
      <c r="C143" s="13" t="s">
        <v>81</v>
      </c>
      <c r="D143" s="13" t="s">
        <v>3341</v>
      </c>
      <c r="E143" s="13" t="s">
        <v>115</v>
      </c>
      <c r="F143" s="2" t="s">
        <v>129</v>
      </c>
      <c r="G143" s="2" t="s">
        <v>3215</v>
      </c>
      <c r="H143" s="39" t="s">
        <v>671</v>
      </c>
      <c r="I143" s="2" t="s">
        <v>19</v>
      </c>
      <c r="J143" s="2" t="s">
        <v>19</v>
      </c>
      <c r="K143" s="2" t="s">
        <v>19</v>
      </c>
      <c r="L143" s="2" t="s">
        <v>19</v>
      </c>
    </row>
    <row r="144" customFormat="false" ht="15" hidden="false" customHeight="false" outlineLevel="0" collapsed="false">
      <c r="A144" s="2" t="s">
        <v>2065</v>
      </c>
      <c r="B144" s="13" t="s">
        <v>2064</v>
      </c>
      <c r="C144" s="13" t="s">
        <v>114</v>
      </c>
      <c r="D144" s="15" t="s">
        <v>3342</v>
      </c>
      <c r="E144" s="13" t="s">
        <v>118</v>
      </c>
      <c r="F144" s="2" t="s">
        <v>157</v>
      </c>
      <c r="G144" s="2" t="s">
        <v>3205</v>
      </c>
      <c r="H144" s="34" t="s">
        <v>668</v>
      </c>
      <c r="I144" s="2" t="s">
        <v>19</v>
      </c>
      <c r="J144" s="2" t="s">
        <v>19</v>
      </c>
      <c r="K144" s="2" t="s">
        <v>17</v>
      </c>
      <c r="L144" s="2" t="s">
        <v>19</v>
      </c>
    </row>
    <row r="145" customFormat="false" ht="15" hidden="false" customHeight="false" outlineLevel="0" collapsed="false">
      <c r="A145" s="2" t="s">
        <v>562</v>
      </c>
      <c r="B145" s="13" t="s">
        <v>561</v>
      </c>
      <c r="C145" s="13" t="s">
        <v>92</v>
      </c>
      <c r="D145" s="13" t="s">
        <v>3343</v>
      </c>
      <c r="E145" s="13" t="s">
        <v>82</v>
      </c>
      <c r="F145" s="2" t="s">
        <v>46</v>
      </c>
      <c r="G145" s="2" t="s">
        <v>3208</v>
      </c>
      <c r="H145" s="39" t="s">
        <v>671</v>
      </c>
      <c r="I145" s="2" t="s">
        <v>19</v>
      </c>
      <c r="J145" s="2" t="s">
        <v>19</v>
      </c>
      <c r="K145" s="2" t="s">
        <v>19</v>
      </c>
      <c r="L145" s="2" t="s">
        <v>19</v>
      </c>
    </row>
    <row r="146" customFormat="false" ht="15" hidden="false" customHeight="false" outlineLevel="0" collapsed="false">
      <c r="A146" s="2" t="s">
        <v>2791</v>
      </c>
      <c r="B146" s="16"/>
      <c r="C146" s="16"/>
      <c r="D146" s="16"/>
      <c r="E146" s="16"/>
      <c r="F146" s="2" t="s">
        <v>46</v>
      </c>
      <c r="G146" s="2" t="s">
        <v>3202</v>
      </c>
      <c r="H146" s="34" t="s">
        <v>668</v>
      </c>
      <c r="I146" s="2"/>
      <c r="J146" s="2"/>
      <c r="K146" s="2"/>
      <c r="L146" s="2"/>
    </row>
    <row r="147" customFormat="false" ht="15" hidden="false" customHeight="false" outlineLevel="0" collapsed="false">
      <c r="A147" s="2" t="s">
        <v>2792</v>
      </c>
      <c r="B147" s="13" t="s">
        <v>3344</v>
      </c>
      <c r="C147" s="13" t="s">
        <v>138</v>
      </c>
      <c r="D147" s="13" t="s">
        <v>3345</v>
      </c>
      <c r="E147" s="13" t="s">
        <v>115</v>
      </c>
      <c r="F147" s="2" t="s">
        <v>45</v>
      </c>
      <c r="G147" s="2" t="s">
        <v>3202</v>
      </c>
      <c r="H147" s="34" t="s">
        <v>668</v>
      </c>
      <c r="I147" s="2" t="s">
        <v>19</v>
      </c>
      <c r="J147" s="2" t="s">
        <v>19</v>
      </c>
      <c r="K147" s="2" t="s">
        <v>19</v>
      </c>
      <c r="L147" s="2" t="s">
        <v>19</v>
      </c>
    </row>
    <row r="148" customFormat="false" ht="15" hidden="false" customHeight="false" outlineLevel="0" collapsed="false">
      <c r="A148" s="2" t="s">
        <v>608</v>
      </c>
      <c r="B148" s="14" t="s">
        <v>607</v>
      </c>
      <c r="C148" s="14" t="s">
        <v>81</v>
      </c>
      <c r="D148" s="15" t="s">
        <v>3346</v>
      </c>
      <c r="E148" s="14" t="s">
        <v>111</v>
      </c>
      <c r="F148" s="2" t="s">
        <v>45</v>
      </c>
      <c r="G148" s="2" t="s">
        <v>3208</v>
      </c>
      <c r="H148" s="39" t="s">
        <v>671</v>
      </c>
      <c r="I148" s="2" t="s">
        <v>21</v>
      </c>
      <c r="J148" s="2" t="s">
        <v>21</v>
      </c>
      <c r="K148" s="2" t="s">
        <v>17</v>
      </c>
      <c r="L148" s="2" t="s">
        <v>21</v>
      </c>
    </row>
    <row r="149" customFormat="false" ht="15" hidden="false" customHeight="false" outlineLevel="0" collapsed="false">
      <c r="A149" s="2" t="s">
        <v>2273</v>
      </c>
      <c r="B149" s="13" t="s">
        <v>2272</v>
      </c>
      <c r="C149" s="13" t="s">
        <v>138</v>
      </c>
      <c r="D149" s="13" t="s">
        <v>3347</v>
      </c>
      <c r="E149" s="13" t="s">
        <v>73</v>
      </c>
      <c r="F149" s="2" t="s">
        <v>129</v>
      </c>
      <c r="G149" s="2" t="s">
        <v>3193</v>
      </c>
      <c r="H149" s="34" t="s">
        <v>668</v>
      </c>
      <c r="I149" s="2" t="s">
        <v>19</v>
      </c>
      <c r="J149" s="2" t="s">
        <v>19</v>
      </c>
      <c r="K149" s="2" t="s">
        <v>19</v>
      </c>
      <c r="L149" s="2" t="s">
        <v>19</v>
      </c>
    </row>
    <row r="150" customFormat="false" ht="15" hidden="false" customHeight="false" outlineLevel="0" collapsed="false">
      <c r="A150" s="2" t="s">
        <v>841</v>
      </c>
      <c r="B150" s="13" t="s">
        <v>840</v>
      </c>
      <c r="C150" s="13" t="s">
        <v>92</v>
      </c>
      <c r="D150" s="13" t="s">
        <v>3348</v>
      </c>
      <c r="E150" s="13" t="s">
        <v>108</v>
      </c>
      <c r="F150" s="2" t="s">
        <v>129</v>
      </c>
      <c r="G150" s="2" t="s">
        <v>3195</v>
      </c>
      <c r="H150" s="34" t="s">
        <v>668</v>
      </c>
      <c r="I150" s="2" t="s">
        <v>19</v>
      </c>
      <c r="J150" s="2" t="s">
        <v>19</v>
      </c>
      <c r="K150" s="2" t="s">
        <v>19</v>
      </c>
      <c r="L150" s="2" t="s">
        <v>19</v>
      </c>
    </row>
    <row r="151" customFormat="false" ht="15" hidden="false" customHeight="false" outlineLevel="0" collapsed="false">
      <c r="A151" s="2" t="s">
        <v>272</v>
      </c>
      <c r="B151" s="13" t="s">
        <v>271</v>
      </c>
      <c r="C151" s="13" t="s">
        <v>92</v>
      </c>
      <c r="D151" s="13" t="s">
        <v>3349</v>
      </c>
      <c r="E151" s="13" t="s">
        <v>93</v>
      </c>
      <c r="F151" s="2" t="s">
        <v>125</v>
      </c>
      <c r="G151" s="2" t="s">
        <v>3218</v>
      </c>
      <c r="H151" s="39" t="s">
        <v>671</v>
      </c>
      <c r="I151" s="2" t="s">
        <v>19</v>
      </c>
      <c r="J151" s="2" t="s">
        <v>19</v>
      </c>
      <c r="K151" s="2" t="s">
        <v>19</v>
      </c>
      <c r="L151" s="2" t="s">
        <v>19</v>
      </c>
    </row>
    <row r="152" customFormat="false" ht="15" hidden="false" customHeight="false" outlineLevel="0" collapsed="false">
      <c r="A152" s="2" t="s">
        <v>146</v>
      </c>
      <c r="B152" s="14" t="s">
        <v>145</v>
      </c>
      <c r="C152" s="14" t="s">
        <v>81</v>
      </c>
      <c r="D152" s="15" t="s">
        <v>3350</v>
      </c>
      <c r="E152" s="14" t="s">
        <v>115</v>
      </c>
      <c r="F152" s="2" t="s">
        <v>129</v>
      </c>
      <c r="G152" s="2" t="s">
        <v>3215</v>
      </c>
      <c r="H152" s="39" t="s">
        <v>671</v>
      </c>
      <c r="I152" s="2" t="s">
        <v>21</v>
      </c>
      <c r="J152" s="2" t="s">
        <v>21</v>
      </c>
      <c r="K152" s="2" t="s">
        <v>17</v>
      </c>
      <c r="L152" s="2" t="s">
        <v>21</v>
      </c>
    </row>
    <row r="153" customFormat="false" ht="15" hidden="false" customHeight="false" outlineLevel="0" collapsed="false">
      <c r="A153" s="2" t="s">
        <v>992</v>
      </c>
      <c r="B153" s="13" t="s">
        <v>991</v>
      </c>
      <c r="C153" s="13" t="s">
        <v>92</v>
      </c>
      <c r="D153" s="13" t="s">
        <v>3351</v>
      </c>
      <c r="E153" s="13" t="s">
        <v>115</v>
      </c>
      <c r="F153" s="2" t="s">
        <v>129</v>
      </c>
      <c r="G153" s="2" t="s">
        <v>3195</v>
      </c>
      <c r="H153" s="34" t="s">
        <v>668</v>
      </c>
      <c r="I153" s="2" t="s">
        <v>19</v>
      </c>
      <c r="J153" s="2" t="s">
        <v>19</v>
      </c>
      <c r="K153" s="2" t="s">
        <v>19</v>
      </c>
      <c r="L153" s="2" t="s">
        <v>19</v>
      </c>
    </row>
    <row r="154" customFormat="false" ht="15" hidden="false" customHeight="false" outlineLevel="0" collapsed="false">
      <c r="A154" s="2" t="s">
        <v>2649</v>
      </c>
      <c r="B154" s="13" t="s">
        <v>2648</v>
      </c>
      <c r="C154" s="13" t="s">
        <v>133</v>
      </c>
      <c r="D154" s="13" t="s">
        <v>3352</v>
      </c>
      <c r="E154" s="13" t="s">
        <v>115</v>
      </c>
      <c r="F154" s="2" t="s">
        <v>157</v>
      </c>
      <c r="G154" s="2" t="s">
        <v>3205</v>
      </c>
      <c r="H154" s="34" t="s">
        <v>668</v>
      </c>
      <c r="I154" s="2" t="s">
        <v>19</v>
      </c>
      <c r="J154" s="2" t="s">
        <v>19</v>
      </c>
      <c r="K154" s="2" t="s">
        <v>19</v>
      </c>
      <c r="L154" s="2" t="s">
        <v>19</v>
      </c>
    </row>
    <row r="155" customFormat="false" ht="15" hidden="false" customHeight="false" outlineLevel="0" collapsed="false">
      <c r="A155" s="2" t="s">
        <v>368</v>
      </c>
      <c r="B155" s="13" t="s">
        <v>367</v>
      </c>
      <c r="C155" s="13" t="s">
        <v>102</v>
      </c>
      <c r="D155" s="13" t="s">
        <v>3353</v>
      </c>
      <c r="E155" s="13" t="s">
        <v>170</v>
      </c>
      <c r="F155" s="2" t="s">
        <v>47</v>
      </c>
      <c r="G155" s="2" t="s">
        <v>3208</v>
      </c>
      <c r="H155" s="39" t="s">
        <v>671</v>
      </c>
      <c r="I155" s="2" t="s">
        <v>19</v>
      </c>
      <c r="J155" s="2" t="s">
        <v>19</v>
      </c>
      <c r="K155" s="2" t="s">
        <v>19</v>
      </c>
      <c r="L155" s="2" t="s">
        <v>19</v>
      </c>
    </row>
    <row r="156" customFormat="false" ht="15" hidden="false" customHeight="false" outlineLevel="0" collapsed="false">
      <c r="A156" s="2" t="s">
        <v>384</v>
      </c>
      <c r="B156" s="13" t="s">
        <v>383</v>
      </c>
      <c r="C156" s="13" t="s">
        <v>81</v>
      </c>
      <c r="D156" s="13" t="s">
        <v>3354</v>
      </c>
      <c r="E156" s="13" t="s">
        <v>99</v>
      </c>
      <c r="F156" s="2" t="s">
        <v>129</v>
      </c>
      <c r="G156" s="2" t="s">
        <v>3215</v>
      </c>
      <c r="H156" s="39" t="s">
        <v>671</v>
      </c>
      <c r="I156" s="2" t="s">
        <v>19</v>
      </c>
      <c r="J156" s="2" t="s">
        <v>19</v>
      </c>
      <c r="K156" s="2" t="s">
        <v>19</v>
      </c>
      <c r="L156" s="2" t="s">
        <v>19</v>
      </c>
    </row>
    <row r="157" customFormat="false" ht="15" hidden="false" customHeight="false" outlineLevel="0" collapsed="false">
      <c r="A157" s="2" t="s">
        <v>796</v>
      </c>
      <c r="B157" s="14" t="s">
        <v>795</v>
      </c>
      <c r="C157" s="14" t="s">
        <v>138</v>
      </c>
      <c r="D157" s="16"/>
      <c r="E157" s="16"/>
      <c r="F157" s="2" t="s">
        <v>129</v>
      </c>
      <c r="G157" s="2" t="s">
        <v>3193</v>
      </c>
      <c r="H157" s="34" t="s">
        <v>668</v>
      </c>
      <c r="I157" s="2" t="s">
        <v>21</v>
      </c>
      <c r="J157" s="2" t="s">
        <v>21</v>
      </c>
      <c r="K157" s="2"/>
      <c r="L157" s="2"/>
    </row>
    <row r="158" customFormat="false" ht="15" hidden="false" customHeight="false" outlineLevel="0" collapsed="false">
      <c r="A158" s="2" t="s">
        <v>332</v>
      </c>
      <c r="B158" s="13" t="s">
        <v>331</v>
      </c>
      <c r="C158" s="13" t="s">
        <v>87</v>
      </c>
      <c r="D158" s="13" t="s">
        <v>3355</v>
      </c>
      <c r="E158" s="13" t="s">
        <v>82</v>
      </c>
      <c r="F158" s="2" t="s">
        <v>129</v>
      </c>
      <c r="G158" s="2" t="s">
        <v>3215</v>
      </c>
      <c r="H158" s="39" t="s">
        <v>671</v>
      </c>
      <c r="I158" s="2" t="s">
        <v>19</v>
      </c>
      <c r="J158" s="2" t="s">
        <v>19</v>
      </c>
      <c r="K158" s="2" t="s">
        <v>19</v>
      </c>
      <c r="L158" s="2" t="s">
        <v>19</v>
      </c>
    </row>
    <row r="159" customFormat="false" ht="15" hidden="false" customHeight="false" outlineLevel="0" collapsed="false">
      <c r="A159" s="2" t="s">
        <v>512</v>
      </c>
      <c r="B159" s="13" t="s">
        <v>511</v>
      </c>
      <c r="C159" s="13" t="s">
        <v>72</v>
      </c>
      <c r="D159" s="13" t="s">
        <v>3356</v>
      </c>
      <c r="E159" s="13" t="s">
        <v>93</v>
      </c>
      <c r="F159" s="2" t="s">
        <v>45</v>
      </c>
      <c r="G159" s="2" t="s">
        <v>3208</v>
      </c>
      <c r="H159" s="39" t="s">
        <v>671</v>
      </c>
      <c r="I159" s="2" t="s">
        <v>19</v>
      </c>
      <c r="J159" s="2" t="s">
        <v>19</v>
      </c>
      <c r="K159" s="2" t="s">
        <v>19</v>
      </c>
      <c r="L159" s="2" t="s">
        <v>19</v>
      </c>
    </row>
    <row r="160" customFormat="false" ht="15" hidden="false" customHeight="false" outlineLevel="0" collapsed="false">
      <c r="A160" s="2" t="s">
        <v>526</v>
      </c>
      <c r="B160" s="13" t="s">
        <v>525</v>
      </c>
      <c r="C160" s="13" t="s">
        <v>72</v>
      </c>
      <c r="D160" s="13" t="s">
        <v>3357</v>
      </c>
      <c r="E160" s="13" t="s">
        <v>115</v>
      </c>
      <c r="F160" s="2" t="s">
        <v>157</v>
      </c>
      <c r="G160" s="2" t="s">
        <v>3218</v>
      </c>
      <c r="H160" s="39" t="s">
        <v>671</v>
      </c>
      <c r="I160" s="2" t="s">
        <v>19</v>
      </c>
      <c r="J160" s="2" t="s">
        <v>19</v>
      </c>
      <c r="K160" s="2" t="s">
        <v>19</v>
      </c>
      <c r="L160" s="2" t="s">
        <v>19</v>
      </c>
    </row>
    <row r="161" customFormat="false" ht="15" hidden="false" customHeight="false" outlineLevel="0" collapsed="false">
      <c r="A161" s="2" t="s">
        <v>761</v>
      </c>
      <c r="B161" s="14" t="s">
        <v>760</v>
      </c>
      <c r="C161" s="14" t="s">
        <v>138</v>
      </c>
      <c r="D161" s="14" t="s">
        <v>3358</v>
      </c>
      <c r="E161" s="14" t="s">
        <v>118</v>
      </c>
      <c r="F161" s="2" t="s">
        <v>129</v>
      </c>
      <c r="G161" s="2" t="s">
        <v>3195</v>
      </c>
      <c r="H161" s="34" t="s">
        <v>668</v>
      </c>
      <c r="I161" s="2" t="s">
        <v>21</v>
      </c>
      <c r="J161" s="2" t="s">
        <v>21</v>
      </c>
      <c r="K161" s="2" t="s">
        <v>21</v>
      </c>
      <c r="L161" s="2" t="s">
        <v>21</v>
      </c>
    </row>
    <row r="162" customFormat="false" ht="15" hidden="false" customHeight="false" outlineLevel="0" collapsed="false">
      <c r="A162" s="2" t="s">
        <v>598</v>
      </c>
      <c r="B162" s="13" t="s">
        <v>597</v>
      </c>
      <c r="C162" s="13" t="s">
        <v>72</v>
      </c>
      <c r="D162" s="13" t="s">
        <v>3359</v>
      </c>
      <c r="E162" s="13" t="s">
        <v>96</v>
      </c>
      <c r="F162" s="2" t="s">
        <v>129</v>
      </c>
      <c r="G162" s="2" t="s">
        <v>3215</v>
      </c>
      <c r="H162" s="39" t="s">
        <v>671</v>
      </c>
      <c r="I162" s="2" t="s">
        <v>19</v>
      </c>
      <c r="J162" s="2" t="s">
        <v>19</v>
      </c>
      <c r="K162" s="2" t="s">
        <v>19</v>
      </c>
      <c r="L162" s="2" t="s">
        <v>19</v>
      </c>
    </row>
    <row r="163" customFormat="false" ht="15" hidden="false" customHeight="false" outlineLevel="0" collapsed="false">
      <c r="A163" s="2" t="s">
        <v>2194</v>
      </c>
      <c r="B163" s="13" t="s">
        <v>2193</v>
      </c>
      <c r="C163" s="13" t="s">
        <v>72</v>
      </c>
      <c r="D163" s="13" t="s">
        <v>3360</v>
      </c>
      <c r="E163" s="13" t="s">
        <v>73</v>
      </c>
      <c r="F163" s="2" t="s">
        <v>129</v>
      </c>
      <c r="G163" s="2" t="s">
        <v>3193</v>
      </c>
      <c r="H163" s="34" t="s">
        <v>668</v>
      </c>
      <c r="I163" s="2" t="s">
        <v>19</v>
      </c>
      <c r="J163" s="2" t="s">
        <v>19</v>
      </c>
      <c r="K163" s="2" t="s">
        <v>19</v>
      </c>
      <c r="L163" s="2" t="s">
        <v>19</v>
      </c>
    </row>
    <row r="164" customFormat="false" ht="15" hidden="false" customHeight="false" outlineLevel="0" collapsed="false">
      <c r="A164" s="2" t="s">
        <v>2796</v>
      </c>
      <c r="B164" s="14" t="s">
        <v>3361</v>
      </c>
      <c r="C164" s="14" t="s">
        <v>87</v>
      </c>
      <c r="D164" s="16"/>
      <c r="E164" s="14" t="s">
        <v>82</v>
      </c>
      <c r="F164" s="2" t="s">
        <v>129</v>
      </c>
      <c r="G164" s="2" t="s">
        <v>3297</v>
      </c>
      <c r="H164" s="34" t="s">
        <v>668</v>
      </c>
      <c r="I164" s="2" t="s">
        <v>21</v>
      </c>
      <c r="J164" s="2" t="s">
        <v>21</v>
      </c>
      <c r="K164" s="2"/>
      <c r="L164" s="2" t="s">
        <v>21</v>
      </c>
    </row>
    <row r="165" customFormat="false" ht="15" hidden="false" customHeight="false" outlineLevel="0" collapsed="false">
      <c r="A165" s="2" t="s">
        <v>1800</v>
      </c>
      <c r="B165" s="13" t="s">
        <v>1799</v>
      </c>
      <c r="C165" s="13" t="s">
        <v>77</v>
      </c>
      <c r="D165" s="13" t="s">
        <v>3362</v>
      </c>
      <c r="E165" s="13" t="s">
        <v>118</v>
      </c>
      <c r="F165" s="2" t="s">
        <v>129</v>
      </c>
      <c r="G165" s="2" t="s">
        <v>3193</v>
      </c>
      <c r="H165" s="34" t="s">
        <v>668</v>
      </c>
      <c r="I165" s="2" t="s">
        <v>19</v>
      </c>
      <c r="J165" s="2" t="s">
        <v>19</v>
      </c>
      <c r="K165" s="2" t="s">
        <v>19</v>
      </c>
      <c r="L165" s="2" t="s">
        <v>19</v>
      </c>
    </row>
    <row r="166" customFormat="false" ht="15" hidden="false" customHeight="false" outlineLevel="0" collapsed="false">
      <c r="A166" s="2" t="s">
        <v>644</v>
      </c>
      <c r="B166" s="14" t="s">
        <v>643</v>
      </c>
      <c r="C166" s="13" t="s">
        <v>77</v>
      </c>
      <c r="D166" s="13" t="s">
        <v>3363</v>
      </c>
      <c r="E166" s="13" t="s">
        <v>111</v>
      </c>
      <c r="F166" s="2" t="s">
        <v>47</v>
      </c>
      <c r="G166" s="2" t="s">
        <v>3208</v>
      </c>
      <c r="H166" s="39" t="s">
        <v>671</v>
      </c>
      <c r="I166" s="2" t="s">
        <v>21</v>
      </c>
      <c r="J166" s="2" t="s">
        <v>19</v>
      </c>
      <c r="K166" s="2" t="s">
        <v>19</v>
      </c>
      <c r="L166" s="2" t="s">
        <v>19</v>
      </c>
    </row>
    <row r="167" customFormat="false" ht="15" hidden="false" customHeight="false" outlineLevel="0" collapsed="false">
      <c r="A167" s="2" t="s">
        <v>784</v>
      </c>
      <c r="B167" s="13" t="s">
        <v>783</v>
      </c>
      <c r="C167" s="13" t="s">
        <v>77</v>
      </c>
      <c r="D167" s="13" t="s">
        <v>3364</v>
      </c>
      <c r="E167" s="13" t="s">
        <v>82</v>
      </c>
      <c r="F167" s="2" t="s">
        <v>129</v>
      </c>
      <c r="G167" s="2" t="s">
        <v>3193</v>
      </c>
      <c r="H167" s="34" t="s">
        <v>668</v>
      </c>
      <c r="I167" s="2" t="s">
        <v>19</v>
      </c>
      <c r="J167" s="2" t="s">
        <v>19</v>
      </c>
      <c r="K167" s="2" t="s">
        <v>19</v>
      </c>
      <c r="L167" s="2" t="s">
        <v>19</v>
      </c>
    </row>
    <row r="168" customFormat="false" ht="15" hidden="false" customHeight="false" outlineLevel="0" collapsed="false">
      <c r="A168" s="2" t="s">
        <v>897</v>
      </c>
      <c r="B168" s="13" t="s">
        <v>896</v>
      </c>
      <c r="C168" s="13" t="s">
        <v>102</v>
      </c>
      <c r="D168" s="13" t="s">
        <v>3365</v>
      </c>
      <c r="E168" s="13" t="s">
        <v>96</v>
      </c>
      <c r="F168" s="2" t="s">
        <v>129</v>
      </c>
      <c r="G168" s="2" t="s">
        <v>3195</v>
      </c>
      <c r="H168" s="34" t="s">
        <v>668</v>
      </c>
      <c r="I168" s="2" t="s">
        <v>19</v>
      </c>
      <c r="J168" s="2" t="s">
        <v>19</v>
      </c>
      <c r="K168" s="2" t="s">
        <v>19</v>
      </c>
      <c r="L168" s="2" t="s">
        <v>19</v>
      </c>
    </row>
    <row r="169" customFormat="false" ht="15" hidden="false" customHeight="false" outlineLevel="0" collapsed="false">
      <c r="A169" s="2" t="s">
        <v>1011</v>
      </c>
      <c r="B169" s="13" t="s">
        <v>1010</v>
      </c>
      <c r="C169" s="13" t="s">
        <v>77</v>
      </c>
      <c r="D169" s="13" t="s">
        <v>3366</v>
      </c>
      <c r="E169" s="13" t="s">
        <v>170</v>
      </c>
      <c r="F169" s="2" t="s">
        <v>129</v>
      </c>
      <c r="G169" s="2" t="s">
        <v>3195</v>
      </c>
      <c r="H169" s="34" t="s">
        <v>668</v>
      </c>
      <c r="I169" s="2" t="s">
        <v>19</v>
      </c>
      <c r="J169" s="2" t="s">
        <v>19</v>
      </c>
      <c r="K169" s="2" t="s">
        <v>19</v>
      </c>
      <c r="L169" s="2" t="s">
        <v>19</v>
      </c>
    </row>
    <row r="170" customFormat="false" ht="15" hidden="false" customHeight="false" outlineLevel="0" collapsed="false">
      <c r="A170" s="2" t="s">
        <v>544</v>
      </c>
      <c r="B170" s="13" t="s">
        <v>543</v>
      </c>
      <c r="C170" s="13" t="s">
        <v>133</v>
      </c>
      <c r="D170" s="13" t="s">
        <v>3367</v>
      </c>
      <c r="E170" s="13" t="s">
        <v>115</v>
      </c>
      <c r="F170" s="2" t="s">
        <v>47</v>
      </c>
      <c r="G170" s="2" t="s">
        <v>3208</v>
      </c>
      <c r="H170" s="39" t="s">
        <v>671</v>
      </c>
      <c r="I170" s="2" t="s">
        <v>19</v>
      </c>
      <c r="J170" s="2" t="s">
        <v>19</v>
      </c>
      <c r="K170" s="2" t="s">
        <v>19</v>
      </c>
      <c r="L170" s="2" t="s">
        <v>19</v>
      </c>
    </row>
    <row r="171" customFormat="false" ht="15" hidden="false" customHeight="false" outlineLevel="0" collapsed="false">
      <c r="A171" s="2" t="s">
        <v>1230</v>
      </c>
      <c r="B171" s="13" t="s">
        <v>1229</v>
      </c>
      <c r="C171" s="13" t="s">
        <v>81</v>
      </c>
      <c r="D171" s="13" t="s">
        <v>3368</v>
      </c>
      <c r="E171" s="13" t="s">
        <v>118</v>
      </c>
      <c r="F171" s="2" t="s">
        <v>129</v>
      </c>
      <c r="G171" s="2" t="s">
        <v>3195</v>
      </c>
      <c r="H171" s="34" t="s">
        <v>668</v>
      </c>
      <c r="I171" s="2" t="s">
        <v>19</v>
      </c>
      <c r="J171" s="2" t="s">
        <v>19</v>
      </c>
      <c r="K171" s="2" t="s">
        <v>19</v>
      </c>
      <c r="L171" s="2" t="s">
        <v>19</v>
      </c>
    </row>
    <row r="172" customFormat="false" ht="15" hidden="false" customHeight="false" outlineLevel="0" collapsed="false">
      <c r="A172" s="2" t="s">
        <v>938</v>
      </c>
      <c r="B172" s="13" t="s">
        <v>937</v>
      </c>
      <c r="C172" s="13" t="s">
        <v>133</v>
      </c>
      <c r="D172" s="13" t="s">
        <v>3369</v>
      </c>
      <c r="E172" s="13" t="s">
        <v>111</v>
      </c>
      <c r="F172" s="2" t="s">
        <v>129</v>
      </c>
      <c r="G172" s="2" t="s">
        <v>3195</v>
      </c>
      <c r="H172" s="34" t="s">
        <v>668</v>
      </c>
      <c r="I172" s="2" t="s">
        <v>19</v>
      </c>
      <c r="J172" s="2" t="s">
        <v>19</v>
      </c>
      <c r="K172" s="2" t="s">
        <v>19</v>
      </c>
      <c r="L172" s="2" t="s">
        <v>19</v>
      </c>
    </row>
    <row r="173" customFormat="false" ht="15" hidden="false" customHeight="false" outlineLevel="0" collapsed="false">
      <c r="A173" s="2" t="s">
        <v>468</v>
      </c>
      <c r="B173" s="13" t="s">
        <v>467</v>
      </c>
      <c r="C173" s="13" t="s">
        <v>133</v>
      </c>
      <c r="D173" s="13" t="s">
        <v>3370</v>
      </c>
      <c r="E173" s="13" t="s">
        <v>96</v>
      </c>
      <c r="F173" s="2" t="s">
        <v>157</v>
      </c>
      <c r="G173" s="2" t="s">
        <v>3218</v>
      </c>
      <c r="H173" s="39" t="s">
        <v>671</v>
      </c>
      <c r="I173" s="2" t="s">
        <v>19</v>
      </c>
      <c r="J173" s="2" t="s">
        <v>19</v>
      </c>
      <c r="K173" s="2" t="s">
        <v>19</v>
      </c>
      <c r="L173" s="2" t="s">
        <v>19</v>
      </c>
    </row>
    <row r="174" customFormat="false" ht="15" hidden="false" customHeight="false" outlineLevel="0" collapsed="false">
      <c r="A174" s="2" t="s">
        <v>356</v>
      </c>
      <c r="B174" s="13" t="s">
        <v>355</v>
      </c>
      <c r="C174" s="13" t="s">
        <v>81</v>
      </c>
      <c r="D174" s="13" t="s">
        <v>3371</v>
      </c>
      <c r="E174" s="13" t="s">
        <v>118</v>
      </c>
      <c r="F174" s="2" t="s">
        <v>129</v>
      </c>
      <c r="G174" s="2" t="s">
        <v>3215</v>
      </c>
      <c r="H174" s="39" t="s">
        <v>671</v>
      </c>
      <c r="I174" s="2" t="s">
        <v>19</v>
      </c>
      <c r="J174" s="2" t="s">
        <v>19</v>
      </c>
      <c r="K174" s="2" t="s">
        <v>19</v>
      </c>
      <c r="L174" s="2" t="s">
        <v>19</v>
      </c>
    </row>
    <row r="175" customFormat="false" ht="15" hidden="false" customHeight="false" outlineLevel="0" collapsed="false">
      <c r="A175" s="2" t="s">
        <v>1476</v>
      </c>
      <c r="B175" s="13" t="s">
        <v>1475</v>
      </c>
      <c r="C175" s="13" t="s">
        <v>77</v>
      </c>
      <c r="D175" s="13" t="s">
        <v>3372</v>
      </c>
      <c r="E175" s="13" t="s">
        <v>82</v>
      </c>
      <c r="F175" s="2" t="s">
        <v>129</v>
      </c>
      <c r="G175" s="2" t="s">
        <v>3195</v>
      </c>
      <c r="H175" s="34" t="s">
        <v>668</v>
      </c>
      <c r="I175" s="2" t="s">
        <v>19</v>
      </c>
      <c r="J175" s="2" t="s">
        <v>19</v>
      </c>
      <c r="K175" s="2" t="s">
        <v>19</v>
      </c>
      <c r="L175" s="2" t="s">
        <v>19</v>
      </c>
    </row>
    <row r="176" customFormat="false" ht="15" hidden="false" customHeight="false" outlineLevel="0" collapsed="false">
      <c r="A176" s="2" t="s">
        <v>1258</v>
      </c>
      <c r="B176" s="13" t="s">
        <v>1257</v>
      </c>
      <c r="C176" s="13" t="s">
        <v>105</v>
      </c>
      <c r="D176" s="13" t="s">
        <v>3373</v>
      </c>
      <c r="E176" s="13" t="s">
        <v>93</v>
      </c>
      <c r="F176" s="2" t="s">
        <v>129</v>
      </c>
      <c r="G176" s="2" t="s">
        <v>3195</v>
      </c>
      <c r="H176" s="34" t="s">
        <v>668</v>
      </c>
      <c r="I176" s="2" t="s">
        <v>19</v>
      </c>
      <c r="J176" s="2" t="s">
        <v>19</v>
      </c>
      <c r="K176" s="2" t="s">
        <v>19</v>
      </c>
      <c r="L176" s="2" t="s">
        <v>19</v>
      </c>
    </row>
    <row r="177" customFormat="false" ht="15" hidden="false" customHeight="false" outlineLevel="0" collapsed="false">
      <c r="A177" s="2" t="s">
        <v>2072</v>
      </c>
      <c r="B177" s="13" t="s">
        <v>2071</v>
      </c>
      <c r="C177" s="13" t="s">
        <v>105</v>
      </c>
      <c r="D177" s="16"/>
      <c r="E177" s="13" t="s">
        <v>115</v>
      </c>
      <c r="F177" s="2" t="s">
        <v>129</v>
      </c>
      <c r="G177" s="2" t="s">
        <v>3193</v>
      </c>
      <c r="H177" s="34" t="s">
        <v>668</v>
      </c>
      <c r="I177" s="2" t="s">
        <v>19</v>
      </c>
      <c r="J177" s="2" t="s">
        <v>19</v>
      </c>
      <c r="K177" s="2"/>
      <c r="L177" s="2" t="s">
        <v>19</v>
      </c>
    </row>
    <row r="178" customFormat="false" ht="15" hidden="false" customHeight="false" outlineLevel="0" collapsed="false">
      <c r="A178" s="2" t="s">
        <v>416</v>
      </c>
      <c r="B178" s="13" t="s">
        <v>415</v>
      </c>
      <c r="C178" s="13" t="s">
        <v>77</v>
      </c>
      <c r="D178" s="13" t="s">
        <v>3374</v>
      </c>
      <c r="E178" s="13" t="s">
        <v>93</v>
      </c>
      <c r="F178" s="2" t="s">
        <v>129</v>
      </c>
      <c r="G178" s="2" t="s">
        <v>3215</v>
      </c>
      <c r="H178" s="39" t="s">
        <v>671</v>
      </c>
      <c r="I178" s="2" t="s">
        <v>19</v>
      </c>
      <c r="J178" s="2" t="s">
        <v>19</v>
      </c>
      <c r="K178" s="2" t="s">
        <v>19</v>
      </c>
      <c r="L178" s="2" t="s">
        <v>19</v>
      </c>
    </row>
    <row r="179" customFormat="false" ht="15" hidden="false" customHeight="false" outlineLevel="0" collapsed="false">
      <c r="A179" s="2" t="s">
        <v>1177</v>
      </c>
      <c r="B179" s="13" t="s">
        <v>1176</v>
      </c>
      <c r="C179" s="13" t="s">
        <v>102</v>
      </c>
      <c r="D179" s="13" t="s">
        <v>3375</v>
      </c>
      <c r="E179" s="13" t="s">
        <v>96</v>
      </c>
      <c r="F179" s="2" t="s">
        <v>129</v>
      </c>
      <c r="G179" s="2" t="s">
        <v>3195</v>
      </c>
      <c r="H179" s="34" t="s">
        <v>668</v>
      </c>
      <c r="I179" s="2" t="s">
        <v>19</v>
      </c>
      <c r="J179" s="2" t="s">
        <v>19</v>
      </c>
      <c r="K179" s="2" t="s">
        <v>19</v>
      </c>
      <c r="L179" s="2" t="s">
        <v>19</v>
      </c>
    </row>
    <row r="180" customFormat="false" ht="15" hidden="false" customHeight="false" outlineLevel="0" collapsed="false">
      <c r="A180" s="2" t="s">
        <v>1669</v>
      </c>
      <c r="B180" s="13" t="s">
        <v>1668</v>
      </c>
      <c r="C180" s="13" t="s">
        <v>105</v>
      </c>
      <c r="D180" s="13" t="s">
        <v>3376</v>
      </c>
      <c r="E180" s="13" t="s">
        <v>108</v>
      </c>
      <c r="F180" s="2" t="s">
        <v>129</v>
      </c>
      <c r="G180" s="2" t="s">
        <v>3195</v>
      </c>
      <c r="H180" s="34" t="s">
        <v>668</v>
      </c>
      <c r="I180" s="2" t="s">
        <v>19</v>
      </c>
      <c r="J180" s="2" t="s">
        <v>19</v>
      </c>
      <c r="K180" s="2" t="s">
        <v>19</v>
      </c>
      <c r="L180" s="2" t="s">
        <v>19</v>
      </c>
    </row>
    <row r="181" customFormat="false" ht="15" hidden="false" customHeight="false" outlineLevel="0" collapsed="false">
      <c r="A181" s="2" t="s">
        <v>174</v>
      </c>
      <c r="B181" s="13" t="s">
        <v>173</v>
      </c>
      <c r="C181" s="13" t="s">
        <v>92</v>
      </c>
      <c r="D181" s="13" t="s">
        <v>3377</v>
      </c>
      <c r="E181" s="13" t="s">
        <v>82</v>
      </c>
      <c r="F181" s="2" t="s">
        <v>175</v>
      </c>
      <c r="G181" s="2" t="s">
        <v>3218</v>
      </c>
      <c r="H181" s="39" t="s">
        <v>671</v>
      </c>
      <c r="I181" s="2" t="s">
        <v>19</v>
      </c>
      <c r="J181" s="2" t="s">
        <v>19</v>
      </c>
      <c r="K181" s="2" t="s">
        <v>19</v>
      </c>
      <c r="L181" s="2" t="s">
        <v>19</v>
      </c>
    </row>
    <row r="182" customFormat="false" ht="15" hidden="false" customHeight="false" outlineLevel="0" collapsed="false">
      <c r="A182" s="2" t="s">
        <v>104</v>
      </c>
      <c r="B182" s="13" t="s">
        <v>103</v>
      </c>
      <c r="C182" s="13" t="s">
        <v>105</v>
      </c>
      <c r="D182" s="13" t="s">
        <v>3378</v>
      </c>
      <c r="E182" s="13" t="s">
        <v>99</v>
      </c>
      <c r="F182" s="2" t="s">
        <v>47</v>
      </c>
      <c r="G182" s="2" t="s">
        <v>3208</v>
      </c>
      <c r="H182" s="39" t="s">
        <v>671</v>
      </c>
      <c r="I182" s="2" t="s">
        <v>19</v>
      </c>
      <c r="J182" s="2" t="s">
        <v>19</v>
      </c>
      <c r="K182" s="2" t="s">
        <v>19</v>
      </c>
      <c r="L182" s="2" t="s">
        <v>19</v>
      </c>
    </row>
    <row r="183" customFormat="false" ht="15" hidden="false" customHeight="false" outlineLevel="0" collapsed="false">
      <c r="A183" s="2" t="s">
        <v>500</v>
      </c>
      <c r="B183" s="13" t="s">
        <v>499</v>
      </c>
      <c r="C183" s="13" t="s">
        <v>133</v>
      </c>
      <c r="D183" s="13" t="s">
        <v>3379</v>
      </c>
      <c r="E183" s="13" t="s">
        <v>170</v>
      </c>
      <c r="F183" s="2" t="s">
        <v>46</v>
      </c>
      <c r="G183" s="2" t="s">
        <v>3208</v>
      </c>
      <c r="H183" s="39" t="s">
        <v>671</v>
      </c>
      <c r="I183" s="2" t="s">
        <v>19</v>
      </c>
      <c r="J183" s="2" t="s">
        <v>19</v>
      </c>
      <c r="K183" s="2" t="s">
        <v>19</v>
      </c>
      <c r="L183" s="2" t="s">
        <v>19</v>
      </c>
    </row>
    <row r="184" customFormat="false" ht="15" hidden="false" customHeight="false" outlineLevel="0" collapsed="false">
      <c r="A184" s="2" t="s">
        <v>2591</v>
      </c>
      <c r="B184" s="13" t="s">
        <v>2590</v>
      </c>
      <c r="C184" s="13" t="s">
        <v>72</v>
      </c>
      <c r="D184" s="13" t="s">
        <v>3380</v>
      </c>
      <c r="E184" s="13" t="s">
        <v>108</v>
      </c>
      <c r="F184" s="2" t="s">
        <v>129</v>
      </c>
      <c r="G184" s="2" t="s">
        <v>3193</v>
      </c>
      <c r="H184" s="34" t="s">
        <v>668</v>
      </c>
      <c r="I184" s="2" t="s">
        <v>19</v>
      </c>
      <c r="J184" s="2" t="s">
        <v>19</v>
      </c>
      <c r="K184" s="2" t="s">
        <v>19</v>
      </c>
      <c r="L184" s="2" t="s">
        <v>19</v>
      </c>
    </row>
    <row r="185" customFormat="false" ht="15" hidden="false" customHeight="false" outlineLevel="0" collapsed="false">
      <c r="A185" s="2" t="s">
        <v>154</v>
      </c>
      <c r="B185" s="13" t="s">
        <v>153</v>
      </c>
      <c r="C185" s="13" t="s">
        <v>77</v>
      </c>
      <c r="D185" s="13" t="s">
        <v>3381</v>
      </c>
      <c r="E185" s="13" t="s">
        <v>73</v>
      </c>
      <c r="F185" s="2" t="s">
        <v>47</v>
      </c>
      <c r="G185" s="2" t="s">
        <v>3208</v>
      </c>
      <c r="H185" s="39" t="s">
        <v>671</v>
      </c>
      <c r="I185" s="2" t="s">
        <v>19</v>
      </c>
      <c r="J185" s="2" t="s">
        <v>19</v>
      </c>
      <c r="K185" s="2" t="s">
        <v>19</v>
      </c>
      <c r="L185" s="2" t="s">
        <v>19</v>
      </c>
    </row>
    <row r="186" customFormat="false" ht="15" hidden="false" customHeight="false" outlineLevel="0" collapsed="false">
      <c r="A186" s="2" t="s">
        <v>288</v>
      </c>
      <c r="B186" s="13" t="s">
        <v>287</v>
      </c>
      <c r="C186" s="13" t="s">
        <v>81</v>
      </c>
      <c r="D186" s="13" t="s">
        <v>3382</v>
      </c>
      <c r="E186" s="13" t="s">
        <v>96</v>
      </c>
      <c r="F186" s="2" t="s">
        <v>175</v>
      </c>
      <c r="G186" s="2" t="s">
        <v>3218</v>
      </c>
      <c r="H186" s="39" t="s">
        <v>671</v>
      </c>
      <c r="I186" s="2" t="s">
        <v>19</v>
      </c>
      <c r="J186" s="2" t="s">
        <v>19</v>
      </c>
      <c r="K186" s="2" t="s">
        <v>19</v>
      </c>
      <c r="L186" s="2" t="s">
        <v>19</v>
      </c>
    </row>
    <row r="187" customFormat="false" ht="15" hidden="false" customHeight="false" outlineLevel="0" collapsed="false">
      <c r="A187" s="2" t="s">
        <v>1132</v>
      </c>
      <c r="B187" s="13" t="s">
        <v>1131</v>
      </c>
      <c r="C187" s="13" t="s">
        <v>133</v>
      </c>
      <c r="D187" s="13" t="s">
        <v>3383</v>
      </c>
      <c r="E187" s="13" t="s">
        <v>111</v>
      </c>
      <c r="F187" s="2" t="s">
        <v>129</v>
      </c>
      <c r="G187" s="2" t="s">
        <v>3195</v>
      </c>
      <c r="H187" s="34" t="s">
        <v>668</v>
      </c>
      <c r="I187" s="2" t="s">
        <v>19</v>
      </c>
      <c r="J187" s="2" t="s">
        <v>19</v>
      </c>
      <c r="K187" s="2" t="s">
        <v>19</v>
      </c>
      <c r="L187" s="2" t="s">
        <v>19</v>
      </c>
    </row>
    <row r="188" customFormat="false" ht="15" hidden="false" customHeight="false" outlineLevel="0" collapsed="false">
      <c r="A188" s="2" t="s">
        <v>1532</v>
      </c>
      <c r="B188" s="13" t="s">
        <v>1531</v>
      </c>
      <c r="C188" s="13" t="s">
        <v>105</v>
      </c>
      <c r="D188" s="13" t="s">
        <v>3384</v>
      </c>
      <c r="E188" s="13" t="s">
        <v>170</v>
      </c>
      <c r="F188" s="2" t="s">
        <v>129</v>
      </c>
      <c r="G188" s="2" t="s">
        <v>3193</v>
      </c>
      <c r="H188" s="34" t="s">
        <v>668</v>
      </c>
      <c r="I188" s="2" t="s">
        <v>19</v>
      </c>
      <c r="J188" s="2" t="s">
        <v>19</v>
      </c>
      <c r="K188" s="2" t="s">
        <v>19</v>
      </c>
      <c r="L188" s="2" t="s">
        <v>19</v>
      </c>
    </row>
    <row r="189" customFormat="false" ht="15" hidden="false" customHeight="false" outlineLevel="0" collapsed="false">
      <c r="A189" s="2" t="s">
        <v>248</v>
      </c>
      <c r="B189" s="13" t="s">
        <v>247</v>
      </c>
      <c r="C189" s="13" t="s">
        <v>72</v>
      </c>
      <c r="D189" s="14" t="s">
        <v>3385</v>
      </c>
      <c r="E189" s="13" t="s">
        <v>99</v>
      </c>
      <c r="F189" s="2" t="s">
        <v>157</v>
      </c>
      <c r="G189" s="2" t="s">
        <v>3218</v>
      </c>
      <c r="H189" s="39" t="s">
        <v>671</v>
      </c>
      <c r="I189" s="2" t="s">
        <v>19</v>
      </c>
      <c r="J189" s="2" t="s">
        <v>19</v>
      </c>
      <c r="K189" s="2" t="s">
        <v>21</v>
      </c>
      <c r="L189" s="2" t="s">
        <v>19</v>
      </c>
    </row>
    <row r="190" customFormat="false" ht="15" hidden="false" customHeight="false" outlineLevel="0" collapsed="false">
      <c r="A190" s="2" t="s">
        <v>518</v>
      </c>
      <c r="B190" s="13" t="s">
        <v>517</v>
      </c>
      <c r="C190" s="13" t="s">
        <v>105</v>
      </c>
      <c r="D190" s="13" t="s">
        <v>3386</v>
      </c>
      <c r="E190" s="13" t="s">
        <v>108</v>
      </c>
      <c r="F190" s="2" t="s">
        <v>125</v>
      </c>
      <c r="G190" s="2" t="s">
        <v>3218</v>
      </c>
      <c r="H190" s="39" t="s">
        <v>671</v>
      </c>
      <c r="I190" s="2" t="s">
        <v>19</v>
      </c>
      <c r="J190" s="2" t="s">
        <v>19</v>
      </c>
      <c r="K190" s="2" t="s">
        <v>19</v>
      </c>
      <c r="L190" s="2" t="s">
        <v>19</v>
      </c>
    </row>
    <row r="191" customFormat="false" ht="15" hidden="false" customHeight="false" outlineLevel="0" collapsed="false">
      <c r="A191" s="2" t="s">
        <v>717</v>
      </c>
      <c r="B191" s="13" t="s">
        <v>716</v>
      </c>
      <c r="C191" s="13" t="s">
        <v>105</v>
      </c>
      <c r="D191" s="13" t="s">
        <v>3387</v>
      </c>
      <c r="E191" s="13" t="s">
        <v>82</v>
      </c>
      <c r="F191" s="2" t="s">
        <v>129</v>
      </c>
      <c r="G191" s="2" t="s">
        <v>3195</v>
      </c>
      <c r="H191" s="34" t="s">
        <v>668</v>
      </c>
      <c r="I191" s="2" t="s">
        <v>19</v>
      </c>
      <c r="J191" s="2" t="s">
        <v>19</v>
      </c>
      <c r="K191" s="2" t="s">
        <v>19</v>
      </c>
      <c r="L191" s="2" t="s">
        <v>19</v>
      </c>
    </row>
    <row r="192" customFormat="false" ht="15" hidden="false" customHeight="false" outlineLevel="0" collapsed="false">
      <c r="A192" s="2" t="s">
        <v>308</v>
      </c>
      <c r="B192" s="13" t="s">
        <v>307</v>
      </c>
      <c r="C192" s="13" t="s">
        <v>77</v>
      </c>
      <c r="D192" s="13" t="s">
        <v>3388</v>
      </c>
      <c r="E192" s="13" t="s">
        <v>73</v>
      </c>
      <c r="F192" s="2" t="s">
        <v>129</v>
      </c>
      <c r="G192" s="2" t="s">
        <v>3215</v>
      </c>
      <c r="H192" s="39" t="s">
        <v>671</v>
      </c>
      <c r="I192" s="2" t="s">
        <v>19</v>
      </c>
      <c r="J192" s="2" t="s">
        <v>19</v>
      </c>
      <c r="K192" s="2" t="s">
        <v>19</v>
      </c>
      <c r="L192" s="2" t="s">
        <v>19</v>
      </c>
    </row>
    <row r="193" customFormat="false" ht="15" hidden="false" customHeight="false" outlineLevel="0" collapsed="false">
      <c r="A193" s="2" t="s">
        <v>1752</v>
      </c>
      <c r="B193" s="13" t="s">
        <v>1751</v>
      </c>
      <c r="C193" s="13" t="s">
        <v>105</v>
      </c>
      <c r="D193" s="14" t="s">
        <v>3389</v>
      </c>
      <c r="E193" s="13" t="s">
        <v>93</v>
      </c>
      <c r="F193" s="2" t="s">
        <v>129</v>
      </c>
      <c r="G193" s="2" t="s">
        <v>3195</v>
      </c>
      <c r="H193" s="34" t="s">
        <v>668</v>
      </c>
      <c r="I193" s="2" t="s">
        <v>19</v>
      </c>
      <c r="J193" s="2" t="s">
        <v>19</v>
      </c>
      <c r="K193" s="2" t="s">
        <v>21</v>
      </c>
      <c r="L193" s="2" t="s">
        <v>19</v>
      </c>
    </row>
    <row r="194" customFormat="false" ht="15" hidden="false" customHeight="false" outlineLevel="0" collapsed="false">
      <c r="A194" s="2" t="s">
        <v>238</v>
      </c>
      <c r="B194" s="13" t="s">
        <v>237</v>
      </c>
      <c r="C194" s="13" t="s">
        <v>77</v>
      </c>
      <c r="D194" s="13" t="s">
        <v>3390</v>
      </c>
      <c r="E194" s="13" t="s">
        <v>96</v>
      </c>
      <c r="F194" s="2" t="s">
        <v>45</v>
      </c>
      <c r="G194" s="2" t="s">
        <v>3208</v>
      </c>
      <c r="H194" s="39" t="s">
        <v>671</v>
      </c>
      <c r="I194" s="2" t="s">
        <v>19</v>
      </c>
      <c r="J194" s="2" t="s">
        <v>19</v>
      </c>
      <c r="K194" s="2" t="s">
        <v>19</v>
      </c>
      <c r="L194" s="2" t="s">
        <v>19</v>
      </c>
    </row>
    <row r="195" customFormat="false" ht="15" hidden="false" customHeight="false" outlineLevel="0" collapsed="false">
      <c r="A195" s="2" t="s">
        <v>2810</v>
      </c>
      <c r="B195" s="13" t="s">
        <v>3391</v>
      </c>
      <c r="C195" s="13" t="s">
        <v>77</v>
      </c>
      <c r="D195" s="13" t="s">
        <v>3392</v>
      </c>
      <c r="E195" s="13" t="s">
        <v>170</v>
      </c>
      <c r="F195" s="2" t="s">
        <v>46</v>
      </c>
      <c r="G195" s="2" t="s">
        <v>3202</v>
      </c>
      <c r="H195" s="34" t="s">
        <v>668</v>
      </c>
      <c r="I195" s="2" t="s">
        <v>19</v>
      </c>
      <c r="J195" s="2" t="s">
        <v>19</v>
      </c>
      <c r="K195" s="2" t="s">
        <v>19</v>
      </c>
      <c r="L195" s="2" t="s">
        <v>19</v>
      </c>
    </row>
    <row r="196" customFormat="false" ht="15" hidden="false" customHeight="false" outlineLevel="0" collapsed="false">
      <c r="A196" s="2" t="s">
        <v>566</v>
      </c>
      <c r="B196" s="13" t="s">
        <v>565</v>
      </c>
      <c r="C196" s="13" t="s">
        <v>81</v>
      </c>
      <c r="D196" s="13" t="s">
        <v>3393</v>
      </c>
      <c r="E196" s="13" t="s">
        <v>96</v>
      </c>
      <c r="F196" s="2" t="s">
        <v>175</v>
      </c>
      <c r="G196" s="2" t="s">
        <v>3218</v>
      </c>
      <c r="H196" s="39" t="s">
        <v>671</v>
      </c>
      <c r="I196" s="2" t="s">
        <v>19</v>
      </c>
      <c r="J196" s="2" t="s">
        <v>19</v>
      </c>
      <c r="K196" s="2" t="s">
        <v>19</v>
      </c>
      <c r="L196" s="2" t="s">
        <v>19</v>
      </c>
    </row>
    <row r="197" customFormat="false" ht="15" hidden="false" customHeight="false" outlineLevel="0" collapsed="false">
      <c r="A197" s="2" t="s">
        <v>855</v>
      </c>
      <c r="B197" s="13" t="s">
        <v>854</v>
      </c>
      <c r="C197" s="13" t="s">
        <v>133</v>
      </c>
      <c r="D197" s="14" t="s">
        <v>3394</v>
      </c>
      <c r="E197" s="13" t="s">
        <v>82</v>
      </c>
      <c r="F197" s="2" t="s">
        <v>129</v>
      </c>
      <c r="G197" s="2" t="s">
        <v>3195</v>
      </c>
      <c r="H197" s="34" t="s">
        <v>668</v>
      </c>
      <c r="I197" s="2" t="s">
        <v>19</v>
      </c>
      <c r="J197" s="2" t="s">
        <v>19</v>
      </c>
      <c r="K197" s="2" t="s">
        <v>21</v>
      </c>
      <c r="L197" s="2" t="s">
        <v>19</v>
      </c>
    </row>
    <row r="198" customFormat="false" ht="15" hidden="false" customHeight="false" outlineLevel="0" collapsed="false">
      <c r="A198" s="2" t="s">
        <v>392</v>
      </c>
      <c r="B198" s="13" t="s">
        <v>391</v>
      </c>
      <c r="C198" s="13" t="s">
        <v>105</v>
      </c>
      <c r="D198" s="13" t="s">
        <v>3395</v>
      </c>
      <c r="E198" s="13" t="s">
        <v>111</v>
      </c>
      <c r="F198" s="2" t="s">
        <v>45</v>
      </c>
      <c r="G198" s="2" t="s">
        <v>3208</v>
      </c>
      <c r="H198" s="39" t="s">
        <v>671</v>
      </c>
      <c r="I198" s="2" t="s">
        <v>19</v>
      </c>
      <c r="J198" s="2" t="s">
        <v>19</v>
      </c>
      <c r="K198" s="2" t="s">
        <v>19</v>
      </c>
      <c r="L198" s="2" t="s">
        <v>19</v>
      </c>
    </row>
    <row r="199" customFormat="false" ht="15" hidden="false" customHeight="false" outlineLevel="0" collapsed="false">
      <c r="A199" s="2" t="s">
        <v>2811</v>
      </c>
      <c r="B199" s="13" t="s">
        <v>3396</v>
      </c>
      <c r="C199" s="13" t="s">
        <v>102</v>
      </c>
      <c r="D199" s="13" t="s">
        <v>3397</v>
      </c>
      <c r="E199" s="13" t="s">
        <v>96</v>
      </c>
      <c r="F199" s="2" t="s">
        <v>46</v>
      </c>
      <c r="G199" s="2" t="s">
        <v>3202</v>
      </c>
      <c r="H199" s="34" t="s">
        <v>668</v>
      </c>
      <c r="I199" s="2" t="s">
        <v>19</v>
      </c>
      <c r="J199" s="2" t="s">
        <v>19</v>
      </c>
      <c r="K199" s="2" t="s">
        <v>19</v>
      </c>
      <c r="L199" s="2" t="s">
        <v>19</v>
      </c>
    </row>
    <row r="200" customFormat="false" ht="15" hidden="false" customHeight="false" outlineLevel="0" collapsed="false">
      <c r="A200" s="2" t="s">
        <v>348</v>
      </c>
      <c r="B200" s="14" t="s">
        <v>347</v>
      </c>
      <c r="C200" s="14" t="s">
        <v>105</v>
      </c>
      <c r="D200" s="14" t="s">
        <v>3398</v>
      </c>
      <c r="E200" s="14" t="s">
        <v>99</v>
      </c>
      <c r="F200" s="2" t="s">
        <v>125</v>
      </c>
      <c r="G200" s="2" t="s">
        <v>3218</v>
      </c>
      <c r="H200" s="39" t="s">
        <v>671</v>
      </c>
      <c r="I200" s="2" t="s">
        <v>21</v>
      </c>
      <c r="J200" s="2" t="s">
        <v>21</v>
      </c>
      <c r="K200" s="2" t="s">
        <v>21</v>
      </c>
      <c r="L200" s="2" t="s">
        <v>21</v>
      </c>
    </row>
    <row r="201" customFormat="false" ht="15" hidden="false" customHeight="false" outlineLevel="0" collapsed="false">
      <c r="A201" s="2" t="s">
        <v>592</v>
      </c>
      <c r="B201" s="13" t="s">
        <v>591</v>
      </c>
      <c r="C201" s="13" t="s">
        <v>105</v>
      </c>
      <c r="D201" s="13" t="s">
        <v>3399</v>
      </c>
      <c r="E201" s="13" t="s">
        <v>73</v>
      </c>
      <c r="F201" s="2" t="s">
        <v>129</v>
      </c>
      <c r="G201" s="2" t="s">
        <v>3215</v>
      </c>
      <c r="H201" s="39" t="s">
        <v>671</v>
      </c>
      <c r="I201" s="2" t="s">
        <v>19</v>
      </c>
      <c r="J201" s="2" t="s">
        <v>19</v>
      </c>
      <c r="K201" s="2" t="s">
        <v>19</v>
      </c>
      <c r="L201" s="2" t="s">
        <v>19</v>
      </c>
    </row>
    <row r="202" customFormat="false" ht="15" hidden="false" customHeight="false" outlineLevel="0" collapsed="false">
      <c r="A202" s="2" t="s">
        <v>2812</v>
      </c>
      <c r="B202" s="13" t="s">
        <v>3400</v>
      </c>
      <c r="C202" s="13" t="s">
        <v>105</v>
      </c>
      <c r="D202" s="13" t="s">
        <v>3401</v>
      </c>
      <c r="E202" s="13" t="s">
        <v>111</v>
      </c>
      <c r="F202" s="2" t="s">
        <v>157</v>
      </c>
      <c r="G202" s="2" t="s">
        <v>3199</v>
      </c>
      <c r="H202" s="34" t="s">
        <v>668</v>
      </c>
      <c r="I202" s="2" t="s">
        <v>19</v>
      </c>
      <c r="J202" s="2" t="s">
        <v>19</v>
      </c>
      <c r="K202" s="2" t="s">
        <v>19</v>
      </c>
      <c r="L202" s="2" t="s">
        <v>19</v>
      </c>
    </row>
    <row r="203" customFormat="false" ht="15" hidden="false" customHeight="false" outlineLevel="0" collapsed="false">
      <c r="A203" s="2" t="s">
        <v>502</v>
      </c>
      <c r="B203" s="13" t="s">
        <v>501</v>
      </c>
      <c r="C203" s="13" t="s">
        <v>81</v>
      </c>
      <c r="D203" s="13" t="s">
        <v>3402</v>
      </c>
      <c r="E203" s="13" t="s">
        <v>93</v>
      </c>
      <c r="F203" s="2" t="s">
        <v>47</v>
      </c>
      <c r="G203" s="2" t="s">
        <v>3208</v>
      </c>
      <c r="H203" s="39" t="s">
        <v>671</v>
      </c>
      <c r="I203" s="2" t="s">
        <v>19</v>
      </c>
      <c r="J203" s="2" t="s">
        <v>19</v>
      </c>
      <c r="K203" s="2" t="s">
        <v>19</v>
      </c>
      <c r="L203" s="2" t="s">
        <v>19</v>
      </c>
    </row>
    <row r="204" customFormat="false" ht="15" hidden="false" customHeight="false" outlineLevel="0" collapsed="false">
      <c r="A204" s="2" t="s">
        <v>620</v>
      </c>
      <c r="B204" s="13" t="s">
        <v>619</v>
      </c>
      <c r="C204" s="13" t="s">
        <v>105</v>
      </c>
      <c r="D204" s="13" t="s">
        <v>3403</v>
      </c>
      <c r="E204" s="13" t="s">
        <v>118</v>
      </c>
      <c r="F204" s="2" t="s">
        <v>47</v>
      </c>
      <c r="G204" s="2" t="s">
        <v>3208</v>
      </c>
      <c r="H204" s="39" t="s">
        <v>671</v>
      </c>
      <c r="I204" s="2" t="s">
        <v>19</v>
      </c>
      <c r="J204" s="2" t="s">
        <v>19</v>
      </c>
      <c r="K204" s="2" t="s">
        <v>19</v>
      </c>
      <c r="L204" s="2" t="s">
        <v>19</v>
      </c>
    </row>
    <row r="205" customFormat="false" ht="15" hidden="false" customHeight="false" outlineLevel="0" collapsed="false">
      <c r="A205" s="2" t="s">
        <v>1808</v>
      </c>
      <c r="B205" s="13" t="s">
        <v>1807</v>
      </c>
      <c r="C205" s="13" t="s">
        <v>102</v>
      </c>
      <c r="D205" s="13" t="s">
        <v>3404</v>
      </c>
      <c r="E205" s="13" t="s">
        <v>82</v>
      </c>
      <c r="F205" s="2" t="s">
        <v>129</v>
      </c>
      <c r="G205" s="2" t="s">
        <v>3195</v>
      </c>
      <c r="H205" s="34" t="s">
        <v>668</v>
      </c>
      <c r="I205" s="2" t="s">
        <v>19</v>
      </c>
      <c r="J205" s="2" t="s">
        <v>19</v>
      </c>
      <c r="K205" s="2" t="s">
        <v>19</v>
      </c>
      <c r="L205" s="2" t="s">
        <v>19</v>
      </c>
    </row>
    <row r="206" customFormat="false" ht="15" hidden="false" customHeight="false" outlineLevel="0" collapsed="false">
      <c r="A206" s="2" t="s">
        <v>945</v>
      </c>
      <c r="B206" s="13" t="s">
        <v>944</v>
      </c>
      <c r="C206" s="13" t="s">
        <v>92</v>
      </c>
      <c r="D206" s="13" t="s">
        <v>3405</v>
      </c>
      <c r="E206" s="13" t="s">
        <v>111</v>
      </c>
      <c r="F206" s="2" t="s">
        <v>129</v>
      </c>
      <c r="G206" s="2" t="s">
        <v>3195</v>
      </c>
      <c r="H206" s="34" t="s">
        <v>668</v>
      </c>
      <c r="I206" s="2" t="s">
        <v>19</v>
      </c>
      <c r="J206" s="2" t="s">
        <v>19</v>
      </c>
      <c r="K206" s="2" t="s">
        <v>19</v>
      </c>
      <c r="L206" s="2" t="s">
        <v>19</v>
      </c>
    </row>
    <row r="207" customFormat="false" ht="15" hidden="false" customHeight="false" outlineLevel="0" collapsed="false">
      <c r="A207" s="2" t="s">
        <v>260</v>
      </c>
      <c r="B207" s="13" t="s">
        <v>259</v>
      </c>
      <c r="C207" s="13" t="s">
        <v>114</v>
      </c>
      <c r="D207" s="13" t="s">
        <v>3406</v>
      </c>
      <c r="E207" s="13" t="s">
        <v>118</v>
      </c>
      <c r="F207" s="2" t="s">
        <v>129</v>
      </c>
      <c r="G207" s="2" t="s">
        <v>3215</v>
      </c>
      <c r="H207" s="39" t="s">
        <v>671</v>
      </c>
      <c r="I207" s="2" t="s">
        <v>19</v>
      </c>
      <c r="J207" s="2" t="s">
        <v>19</v>
      </c>
      <c r="K207" s="2" t="s">
        <v>19</v>
      </c>
      <c r="L207" s="2" t="s">
        <v>19</v>
      </c>
    </row>
    <row r="208" customFormat="false" ht="15" hidden="false" customHeight="false" outlineLevel="0" collapsed="false">
      <c r="A208" s="2" t="s">
        <v>2242</v>
      </c>
      <c r="B208" s="13" t="s">
        <v>2241</v>
      </c>
      <c r="C208" s="13" t="s">
        <v>87</v>
      </c>
      <c r="D208" s="13" t="s">
        <v>3407</v>
      </c>
      <c r="E208" s="13" t="s">
        <v>111</v>
      </c>
      <c r="F208" s="2" t="s">
        <v>129</v>
      </c>
      <c r="G208" s="2" t="s">
        <v>3193</v>
      </c>
      <c r="H208" s="34" t="s">
        <v>668</v>
      </c>
      <c r="I208" s="2" t="s">
        <v>19</v>
      </c>
      <c r="J208" s="2" t="s">
        <v>19</v>
      </c>
      <c r="K208" s="2" t="s">
        <v>19</v>
      </c>
      <c r="L208" s="2" t="s">
        <v>19</v>
      </c>
    </row>
    <row r="209" customFormat="false" ht="15" hidden="false" customHeight="false" outlineLevel="0" collapsed="false">
      <c r="A209" s="2" t="s">
        <v>673</v>
      </c>
      <c r="B209" s="13" t="s">
        <v>672</v>
      </c>
      <c r="C209" s="13" t="s">
        <v>105</v>
      </c>
      <c r="D209" s="13" t="s">
        <v>3408</v>
      </c>
      <c r="E209" s="13" t="s">
        <v>73</v>
      </c>
      <c r="F209" s="2" t="s">
        <v>129</v>
      </c>
      <c r="G209" s="2" t="s">
        <v>3195</v>
      </c>
      <c r="H209" s="34" t="s">
        <v>668</v>
      </c>
      <c r="I209" s="2" t="s">
        <v>19</v>
      </c>
      <c r="J209" s="2" t="s">
        <v>19</v>
      </c>
      <c r="K209" s="2" t="s">
        <v>19</v>
      </c>
      <c r="L209" s="2" t="s">
        <v>19</v>
      </c>
    </row>
    <row r="210" customFormat="false" ht="15" hidden="false" customHeight="false" outlineLevel="0" collapsed="false">
      <c r="A210" s="2" t="s">
        <v>1634</v>
      </c>
      <c r="B210" s="13" t="s">
        <v>1633</v>
      </c>
      <c r="C210" s="13" t="s">
        <v>81</v>
      </c>
      <c r="D210" s="13" t="s">
        <v>3409</v>
      </c>
      <c r="E210" s="13" t="s">
        <v>93</v>
      </c>
      <c r="F210" s="2" t="s">
        <v>125</v>
      </c>
      <c r="G210" s="2" t="s">
        <v>3205</v>
      </c>
      <c r="H210" s="34" t="s">
        <v>668</v>
      </c>
      <c r="I210" s="2" t="s">
        <v>19</v>
      </c>
      <c r="J210" s="2" t="s">
        <v>19</v>
      </c>
      <c r="K210" s="2" t="s">
        <v>19</v>
      </c>
      <c r="L210" s="2" t="s">
        <v>19</v>
      </c>
    </row>
    <row r="211" customFormat="false" ht="15" hidden="false" customHeight="false" outlineLevel="0" collapsed="false">
      <c r="A211" s="2" t="s">
        <v>2817</v>
      </c>
      <c r="B211" s="13" t="s">
        <v>3410</v>
      </c>
      <c r="C211" s="13" t="s">
        <v>105</v>
      </c>
      <c r="D211" s="13" t="s">
        <v>3411</v>
      </c>
      <c r="E211" s="13" t="s">
        <v>115</v>
      </c>
      <c r="F211" s="2" t="s">
        <v>46</v>
      </c>
      <c r="G211" s="2" t="s">
        <v>3202</v>
      </c>
      <c r="H211" s="34" t="s">
        <v>668</v>
      </c>
      <c r="I211" s="2" t="s">
        <v>19</v>
      </c>
      <c r="J211" s="2" t="s">
        <v>19</v>
      </c>
      <c r="K211" s="2" t="s">
        <v>19</v>
      </c>
      <c r="L211" s="2" t="s">
        <v>19</v>
      </c>
    </row>
    <row r="212" customFormat="false" ht="15" hidden="false" customHeight="false" outlineLevel="0" collapsed="false">
      <c r="A212" s="2" t="s">
        <v>834</v>
      </c>
      <c r="B212" s="13" t="s">
        <v>833</v>
      </c>
      <c r="C212" s="13" t="s">
        <v>102</v>
      </c>
      <c r="D212" s="13" t="s">
        <v>3412</v>
      </c>
      <c r="E212" s="13" t="s">
        <v>82</v>
      </c>
      <c r="F212" s="2" t="s">
        <v>129</v>
      </c>
      <c r="G212" s="2" t="s">
        <v>3193</v>
      </c>
      <c r="H212" s="34" t="s">
        <v>668</v>
      </c>
      <c r="I212" s="2" t="s">
        <v>19</v>
      </c>
      <c r="J212" s="2" t="s">
        <v>19</v>
      </c>
      <c r="K212" s="2" t="s">
        <v>19</v>
      </c>
      <c r="L212" s="2" t="s">
        <v>19</v>
      </c>
    </row>
    <row r="213" customFormat="false" ht="15" hidden="false" customHeight="false" outlineLevel="0" collapsed="false">
      <c r="A213" s="2" t="s">
        <v>1062</v>
      </c>
      <c r="B213" s="13" t="s">
        <v>1061</v>
      </c>
      <c r="C213" s="13" t="s">
        <v>138</v>
      </c>
      <c r="D213" s="13" t="s">
        <v>3413</v>
      </c>
      <c r="E213" s="13" t="s">
        <v>118</v>
      </c>
      <c r="F213" s="2" t="s">
        <v>125</v>
      </c>
      <c r="G213" s="2" t="s">
        <v>3205</v>
      </c>
      <c r="H213" s="34" t="s">
        <v>668</v>
      </c>
      <c r="I213" s="2" t="s">
        <v>19</v>
      </c>
      <c r="J213" s="2" t="s">
        <v>19</v>
      </c>
      <c r="K213" s="2" t="s">
        <v>19</v>
      </c>
      <c r="L213" s="2" t="s">
        <v>19</v>
      </c>
    </row>
    <row r="214" customFormat="false" ht="15" hidden="false" customHeight="false" outlineLevel="0" collapsed="false">
      <c r="A214" s="2" t="s">
        <v>771</v>
      </c>
      <c r="B214" s="14" t="s">
        <v>770</v>
      </c>
      <c r="C214" s="14" t="s">
        <v>133</v>
      </c>
      <c r="D214" s="14" t="s">
        <v>3414</v>
      </c>
      <c r="E214" s="14" t="s">
        <v>118</v>
      </c>
      <c r="F214" s="2" t="s">
        <v>129</v>
      </c>
      <c r="G214" s="2" t="s">
        <v>3195</v>
      </c>
      <c r="H214" s="34" t="s">
        <v>668</v>
      </c>
      <c r="I214" s="2" t="s">
        <v>21</v>
      </c>
      <c r="J214" s="2" t="s">
        <v>21</v>
      </c>
      <c r="K214" s="2" t="s">
        <v>21</v>
      </c>
      <c r="L214" s="2" t="s">
        <v>21</v>
      </c>
    </row>
    <row r="215" customFormat="false" ht="15" hidden="false" customHeight="false" outlineLevel="0" collapsed="false">
      <c r="A215" s="2" t="s">
        <v>741</v>
      </c>
      <c r="B215" s="14" t="s">
        <v>740</v>
      </c>
      <c r="C215" s="14" t="s">
        <v>92</v>
      </c>
      <c r="D215" s="14" t="s">
        <v>3415</v>
      </c>
      <c r="E215" s="14" t="s">
        <v>96</v>
      </c>
      <c r="F215" s="2" t="s">
        <v>129</v>
      </c>
      <c r="G215" s="2" t="s">
        <v>3195</v>
      </c>
      <c r="H215" s="34" t="s">
        <v>668</v>
      </c>
      <c r="I215" s="2" t="s">
        <v>21</v>
      </c>
      <c r="J215" s="2" t="s">
        <v>21</v>
      </c>
      <c r="K215" s="2" t="s">
        <v>21</v>
      </c>
      <c r="L215" s="2" t="s">
        <v>21</v>
      </c>
    </row>
    <row r="216" customFormat="false" ht="15" hidden="false" customHeight="false" outlineLevel="0" collapsed="false">
      <c r="A216" s="2" t="s">
        <v>1173</v>
      </c>
      <c r="B216" s="13" t="s">
        <v>1172</v>
      </c>
      <c r="C216" s="13" t="s">
        <v>114</v>
      </c>
      <c r="D216" s="13" t="s">
        <v>3416</v>
      </c>
      <c r="E216" s="13" t="s">
        <v>118</v>
      </c>
      <c r="F216" s="2" t="s">
        <v>129</v>
      </c>
      <c r="G216" s="2" t="s">
        <v>3195</v>
      </c>
      <c r="H216" s="34" t="s">
        <v>668</v>
      </c>
      <c r="I216" s="2" t="s">
        <v>19</v>
      </c>
      <c r="J216" s="2" t="s">
        <v>19</v>
      </c>
      <c r="K216" s="2" t="s">
        <v>19</v>
      </c>
      <c r="L216" s="2" t="s">
        <v>19</v>
      </c>
    </row>
    <row r="217" customFormat="false" ht="15" hidden="false" customHeight="false" outlineLevel="0" collapsed="false">
      <c r="A217" s="2" t="s">
        <v>230</v>
      </c>
      <c r="B217" s="13" t="s">
        <v>229</v>
      </c>
      <c r="C217" s="13" t="s">
        <v>105</v>
      </c>
      <c r="D217" s="13" t="s">
        <v>3417</v>
      </c>
      <c r="E217" s="13" t="s">
        <v>118</v>
      </c>
      <c r="F217" s="2" t="s">
        <v>45</v>
      </c>
      <c r="G217" s="2" t="s">
        <v>3208</v>
      </c>
      <c r="H217" s="39" t="s">
        <v>671</v>
      </c>
      <c r="I217" s="2" t="s">
        <v>19</v>
      </c>
      <c r="J217" s="2" t="s">
        <v>19</v>
      </c>
      <c r="K217" s="2" t="s">
        <v>19</v>
      </c>
      <c r="L217" s="2" t="s">
        <v>19</v>
      </c>
    </row>
    <row r="218" customFormat="false" ht="15" hidden="false" customHeight="false" outlineLevel="0" collapsed="false">
      <c r="A218" s="2" t="s">
        <v>208</v>
      </c>
      <c r="B218" s="13" t="s">
        <v>207</v>
      </c>
      <c r="C218" s="13" t="s">
        <v>81</v>
      </c>
      <c r="D218" s="13" t="s">
        <v>3418</v>
      </c>
      <c r="E218" s="13" t="s">
        <v>111</v>
      </c>
      <c r="F218" s="2" t="s">
        <v>129</v>
      </c>
      <c r="G218" s="2" t="s">
        <v>3215</v>
      </c>
      <c r="H218" s="39" t="s">
        <v>671</v>
      </c>
      <c r="I218" s="2" t="s">
        <v>19</v>
      </c>
      <c r="J218" s="2" t="s">
        <v>19</v>
      </c>
      <c r="K218" s="2" t="s">
        <v>19</v>
      </c>
      <c r="L218" s="2" t="s">
        <v>19</v>
      </c>
    </row>
    <row r="219" customFormat="false" ht="15" hidden="false" customHeight="false" outlineLevel="0" collapsed="false">
      <c r="A219" s="2" t="s">
        <v>1660</v>
      </c>
      <c r="B219" s="13" t="s">
        <v>1659</v>
      </c>
      <c r="C219" s="13" t="s">
        <v>105</v>
      </c>
      <c r="D219" s="13" t="s">
        <v>3419</v>
      </c>
      <c r="E219" s="13" t="s">
        <v>99</v>
      </c>
      <c r="F219" s="2" t="s">
        <v>129</v>
      </c>
      <c r="G219" s="2" t="s">
        <v>3195</v>
      </c>
      <c r="H219" s="34" t="s">
        <v>668</v>
      </c>
      <c r="I219" s="2" t="s">
        <v>19</v>
      </c>
      <c r="J219" s="2" t="s">
        <v>19</v>
      </c>
      <c r="K219" s="2" t="s">
        <v>19</v>
      </c>
      <c r="L219" s="2" t="s">
        <v>19</v>
      </c>
    </row>
    <row r="220" customFormat="false" ht="15" hidden="false" customHeight="false" outlineLevel="0" collapsed="false">
      <c r="A220" s="2" t="s">
        <v>728</v>
      </c>
      <c r="B220" s="13" t="s">
        <v>727</v>
      </c>
      <c r="C220" s="13" t="s">
        <v>114</v>
      </c>
      <c r="D220" s="13" t="s">
        <v>3420</v>
      </c>
      <c r="E220" s="13" t="s">
        <v>170</v>
      </c>
      <c r="F220" s="2" t="s">
        <v>129</v>
      </c>
      <c r="G220" s="2" t="s">
        <v>3195</v>
      </c>
      <c r="H220" s="34" t="s">
        <v>668</v>
      </c>
      <c r="I220" s="2" t="s">
        <v>19</v>
      </c>
      <c r="J220" s="2" t="s">
        <v>19</v>
      </c>
      <c r="K220" s="2" t="s">
        <v>19</v>
      </c>
      <c r="L220" s="2" t="s">
        <v>19</v>
      </c>
    </row>
    <row r="221" customFormat="false" ht="15" hidden="false" customHeight="false" outlineLevel="0" collapsed="false">
      <c r="A221" s="2" t="s">
        <v>124</v>
      </c>
      <c r="B221" s="13" t="s">
        <v>123</v>
      </c>
      <c r="C221" s="13" t="s">
        <v>92</v>
      </c>
      <c r="D221" s="13" t="s">
        <v>3421</v>
      </c>
      <c r="E221" s="13" t="s">
        <v>99</v>
      </c>
      <c r="F221" s="2" t="s">
        <v>125</v>
      </c>
      <c r="G221" s="2" t="s">
        <v>3218</v>
      </c>
      <c r="H221" s="39" t="s">
        <v>671</v>
      </c>
      <c r="I221" s="2" t="s">
        <v>19</v>
      </c>
      <c r="J221" s="2" t="s">
        <v>19</v>
      </c>
      <c r="K221" s="2" t="s">
        <v>19</v>
      </c>
      <c r="L221" s="2" t="s">
        <v>19</v>
      </c>
    </row>
    <row r="222" customFormat="false" ht="15" hidden="false" customHeight="false" outlineLevel="0" collapsed="false">
      <c r="A222" s="2" t="s">
        <v>2581</v>
      </c>
      <c r="B222" s="13" t="s">
        <v>2580</v>
      </c>
      <c r="C222" s="13" t="s">
        <v>81</v>
      </c>
      <c r="D222" s="13" t="s">
        <v>3422</v>
      </c>
      <c r="E222" s="13" t="s">
        <v>118</v>
      </c>
      <c r="F222" s="2" t="s">
        <v>129</v>
      </c>
      <c r="G222" s="2" t="s">
        <v>3193</v>
      </c>
      <c r="H222" s="34" t="s">
        <v>668</v>
      </c>
      <c r="I222" s="2" t="s">
        <v>19</v>
      </c>
      <c r="J222" s="2" t="s">
        <v>19</v>
      </c>
      <c r="K222" s="2" t="s">
        <v>19</v>
      </c>
      <c r="L222" s="2" t="s">
        <v>19</v>
      </c>
    </row>
    <row r="223" customFormat="false" ht="15" hidden="false" customHeight="false" outlineLevel="0" collapsed="false">
      <c r="A223" s="2" t="s">
        <v>1517</v>
      </c>
      <c r="B223" s="13" t="s">
        <v>1516</v>
      </c>
      <c r="C223" s="13" t="s">
        <v>77</v>
      </c>
      <c r="D223" s="13" t="s">
        <v>3423</v>
      </c>
      <c r="E223" s="13" t="s">
        <v>93</v>
      </c>
      <c r="F223" s="2" t="s">
        <v>129</v>
      </c>
      <c r="G223" s="2" t="s">
        <v>3195</v>
      </c>
      <c r="H223" s="34" t="s">
        <v>668</v>
      </c>
      <c r="I223" s="2" t="s">
        <v>19</v>
      </c>
      <c r="J223" s="2" t="s">
        <v>19</v>
      </c>
      <c r="K223" s="2" t="s">
        <v>19</v>
      </c>
      <c r="L223" s="2" t="s">
        <v>19</v>
      </c>
    </row>
    <row r="224" customFormat="false" ht="15" hidden="false" customHeight="false" outlineLevel="0" collapsed="false">
      <c r="A224" s="2" t="s">
        <v>2825</v>
      </c>
      <c r="B224" s="13" t="s">
        <v>3424</v>
      </c>
      <c r="C224" s="13" t="s">
        <v>72</v>
      </c>
      <c r="D224" s="13" t="s">
        <v>3425</v>
      </c>
      <c r="E224" s="13" t="s">
        <v>118</v>
      </c>
      <c r="F224" s="2" t="s">
        <v>46</v>
      </c>
      <c r="G224" s="2" t="s">
        <v>3202</v>
      </c>
      <c r="H224" s="34" t="s">
        <v>668</v>
      </c>
      <c r="I224" s="2" t="s">
        <v>19</v>
      </c>
      <c r="J224" s="2" t="s">
        <v>19</v>
      </c>
      <c r="K224" s="2" t="s">
        <v>19</v>
      </c>
      <c r="L224" s="2" t="s">
        <v>19</v>
      </c>
    </row>
    <row r="225" customFormat="false" ht="15" hidden="false" customHeight="false" outlineLevel="0" collapsed="false">
      <c r="A225" s="2" t="s">
        <v>2290</v>
      </c>
      <c r="B225" s="13" t="s">
        <v>2289</v>
      </c>
      <c r="C225" s="13" t="s">
        <v>87</v>
      </c>
      <c r="D225" s="13" t="s">
        <v>3426</v>
      </c>
      <c r="E225" s="13" t="s">
        <v>170</v>
      </c>
      <c r="F225" s="2" t="s">
        <v>129</v>
      </c>
      <c r="G225" s="2" t="s">
        <v>3193</v>
      </c>
      <c r="H225" s="34" t="s">
        <v>668</v>
      </c>
      <c r="I225" s="2" t="s">
        <v>19</v>
      </c>
      <c r="J225" s="2" t="s">
        <v>19</v>
      </c>
      <c r="K225" s="2" t="s">
        <v>19</v>
      </c>
      <c r="L225" s="2" t="s">
        <v>19</v>
      </c>
    </row>
    <row r="226" customFormat="false" ht="15" hidden="false" customHeight="false" outlineLevel="0" collapsed="false">
      <c r="A226" s="2" t="s">
        <v>1246</v>
      </c>
      <c r="B226" s="14" t="s">
        <v>1245</v>
      </c>
      <c r="C226" s="14" t="s">
        <v>138</v>
      </c>
      <c r="D226" s="14" t="s">
        <v>3427</v>
      </c>
      <c r="E226" s="14" t="s">
        <v>73</v>
      </c>
      <c r="F226" s="2" t="s">
        <v>125</v>
      </c>
      <c r="G226" s="2" t="s">
        <v>3205</v>
      </c>
      <c r="H226" s="34" t="s">
        <v>668</v>
      </c>
      <c r="I226" s="2" t="s">
        <v>21</v>
      </c>
      <c r="J226" s="2" t="s">
        <v>21</v>
      </c>
      <c r="K226" s="2" t="s">
        <v>21</v>
      </c>
      <c r="L226" s="2" t="s">
        <v>21</v>
      </c>
    </row>
    <row r="227" customFormat="false" ht="15" hidden="false" customHeight="false" outlineLevel="0" collapsed="false">
      <c r="A227" s="2" t="s">
        <v>1522</v>
      </c>
      <c r="B227" s="13" t="s">
        <v>1521</v>
      </c>
      <c r="C227" s="13" t="s">
        <v>87</v>
      </c>
      <c r="D227" s="13" t="s">
        <v>3428</v>
      </c>
      <c r="E227" s="13" t="s">
        <v>108</v>
      </c>
      <c r="F227" s="2" t="s">
        <v>129</v>
      </c>
      <c r="G227" s="2" t="s">
        <v>3195</v>
      </c>
      <c r="H227" s="34" t="s">
        <v>668</v>
      </c>
      <c r="I227" s="2" t="s">
        <v>19</v>
      </c>
      <c r="J227" s="2" t="s">
        <v>19</v>
      </c>
      <c r="K227" s="2" t="s">
        <v>19</v>
      </c>
      <c r="L227" s="2" t="s">
        <v>19</v>
      </c>
    </row>
    <row r="228" customFormat="false" ht="15" hidden="false" customHeight="false" outlineLevel="0" collapsed="false">
      <c r="A228" s="2" t="s">
        <v>1657</v>
      </c>
      <c r="B228" s="13" t="s">
        <v>1656</v>
      </c>
      <c r="C228" s="13" t="s">
        <v>92</v>
      </c>
      <c r="D228" s="16"/>
      <c r="E228" s="13" t="s">
        <v>99</v>
      </c>
      <c r="F228" s="2" t="s">
        <v>175</v>
      </c>
      <c r="G228" s="2" t="s">
        <v>3205</v>
      </c>
      <c r="H228" s="34" t="s">
        <v>668</v>
      </c>
      <c r="I228" s="2" t="s">
        <v>19</v>
      </c>
      <c r="J228" s="2" t="s">
        <v>19</v>
      </c>
      <c r="K228" s="2"/>
      <c r="L228" s="2" t="s">
        <v>19</v>
      </c>
    </row>
    <row r="229" customFormat="false" ht="15" hidden="false" customHeight="false" outlineLevel="0" collapsed="false">
      <c r="A229" s="2" t="s">
        <v>846</v>
      </c>
      <c r="B229" s="13" t="s">
        <v>845</v>
      </c>
      <c r="C229" s="13" t="s">
        <v>87</v>
      </c>
      <c r="D229" s="13" t="s">
        <v>3429</v>
      </c>
      <c r="E229" s="13" t="s">
        <v>170</v>
      </c>
      <c r="F229" s="2" t="s">
        <v>129</v>
      </c>
      <c r="G229" s="2" t="s">
        <v>3195</v>
      </c>
      <c r="H229" s="34" t="s">
        <v>668</v>
      </c>
      <c r="I229" s="2" t="s">
        <v>19</v>
      </c>
      <c r="J229" s="2" t="s">
        <v>19</v>
      </c>
      <c r="K229" s="2" t="s">
        <v>19</v>
      </c>
      <c r="L229" s="2" t="s">
        <v>19</v>
      </c>
    </row>
    <row r="230" customFormat="false" ht="15" hidden="false" customHeight="false" outlineLevel="0" collapsed="false">
      <c r="A230" s="2" t="s">
        <v>1796</v>
      </c>
      <c r="B230" s="13" t="s">
        <v>1795</v>
      </c>
      <c r="C230" s="13" t="s">
        <v>77</v>
      </c>
      <c r="D230" s="13" t="s">
        <v>3430</v>
      </c>
      <c r="E230" s="13" t="s">
        <v>73</v>
      </c>
      <c r="F230" s="2" t="s">
        <v>129</v>
      </c>
      <c r="G230" s="2" t="s">
        <v>3193</v>
      </c>
      <c r="H230" s="34" t="s">
        <v>668</v>
      </c>
      <c r="I230" s="2" t="s">
        <v>19</v>
      </c>
      <c r="J230" s="2" t="s">
        <v>19</v>
      </c>
      <c r="K230" s="2" t="s">
        <v>19</v>
      </c>
      <c r="L230" s="2" t="s">
        <v>19</v>
      </c>
    </row>
    <row r="231" customFormat="false" ht="15" hidden="false" customHeight="false" outlineLevel="0" collapsed="false">
      <c r="A231" s="2" t="s">
        <v>915</v>
      </c>
      <c r="B231" s="13" t="s">
        <v>914</v>
      </c>
      <c r="C231" s="13" t="s">
        <v>138</v>
      </c>
      <c r="D231" s="13" t="s">
        <v>3431</v>
      </c>
      <c r="E231" s="13" t="s">
        <v>111</v>
      </c>
      <c r="F231" s="2" t="s">
        <v>129</v>
      </c>
      <c r="G231" s="2" t="s">
        <v>3195</v>
      </c>
      <c r="H231" s="34" t="s">
        <v>668</v>
      </c>
      <c r="I231" s="2" t="s">
        <v>19</v>
      </c>
      <c r="J231" s="2" t="s">
        <v>19</v>
      </c>
      <c r="K231" s="2" t="s">
        <v>19</v>
      </c>
      <c r="L231" s="2" t="s">
        <v>19</v>
      </c>
    </row>
    <row r="232" customFormat="false" ht="15" hidden="false" customHeight="false" outlineLevel="0" collapsed="false">
      <c r="A232" s="2" t="s">
        <v>941</v>
      </c>
      <c r="B232" s="14" t="s">
        <v>940</v>
      </c>
      <c r="C232" s="13" t="s">
        <v>77</v>
      </c>
      <c r="D232" s="13" t="s">
        <v>3432</v>
      </c>
      <c r="E232" s="13" t="s">
        <v>118</v>
      </c>
      <c r="F232" s="2" t="s">
        <v>129</v>
      </c>
      <c r="G232" s="2" t="s">
        <v>3195</v>
      </c>
      <c r="H232" s="34" t="s">
        <v>668</v>
      </c>
      <c r="I232" s="2" t="s">
        <v>21</v>
      </c>
      <c r="J232" s="2" t="s">
        <v>19</v>
      </c>
      <c r="K232" s="2" t="s">
        <v>19</v>
      </c>
      <c r="L232" s="2" t="s">
        <v>19</v>
      </c>
    </row>
    <row r="233" customFormat="false" ht="15" hidden="false" customHeight="false" outlineLevel="0" collapsed="false">
      <c r="A233" s="2" t="s">
        <v>1022</v>
      </c>
      <c r="B233" s="13" t="s">
        <v>1021</v>
      </c>
      <c r="C233" s="13" t="s">
        <v>81</v>
      </c>
      <c r="D233" s="14" t="s">
        <v>3433</v>
      </c>
      <c r="E233" s="13" t="s">
        <v>108</v>
      </c>
      <c r="F233" s="2" t="s">
        <v>129</v>
      </c>
      <c r="G233" s="2" t="s">
        <v>3195</v>
      </c>
      <c r="H233" s="34" t="s">
        <v>668</v>
      </c>
      <c r="I233" s="2" t="s">
        <v>19</v>
      </c>
      <c r="J233" s="2" t="s">
        <v>19</v>
      </c>
      <c r="K233" s="2" t="s">
        <v>21</v>
      </c>
      <c r="L233" s="2" t="s">
        <v>19</v>
      </c>
    </row>
    <row r="234" customFormat="false" ht="15" hidden="false" customHeight="false" outlineLevel="0" collapsed="false">
      <c r="A234" s="2" t="s">
        <v>558</v>
      </c>
      <c r="B234" s="13" t="s">
        <v>557</v>
      </c>
      <c r="C234" s="13" t="s">
        <v>92</v>
      </c>
      <c r="D234" s="13" t="s">
        <v>3434</v>
      </c>
      <c r="E234" s="13" t="s">
        <v>82</v>
      </c>
      <c r="F234" s="2" t="s">
        <v>125</v>
      </c>
      <c r="G234" s="2" t="s">
        <v>3218</v>
      </c>
      <c r="H234" s="39" t="s">
        <v>671</v>
      </c>
      <c r="I234" s="2" t="s">
        <v>19</v>
      </c>
      <c r="J234" s="2" t="s">
        <v>19</v>
      </c>
      <c r="K234" s="2" t="s">
        <v>19</v>
      </c>
      <c r="L234" s="2" t="s">
        <v>19</v>
      </c>
    </row>
    <row r="235" customFormat="false" ht="15" hidden="false" customHeight="false" outlineLevel="0" collapsed="false">
      <c r="A235" s="2" t="s">
        <v>665</v>
      </c>
      <c r="B235" s="13" t="s">
        <v>664</v>
      </c>
      <c r="C235" s="13" t="s">
        <v>87</v>
      </c>
      <c r="D235" s="13" t="s">
        <v>3435</v>
      </c>
      <c r="E235" s="13" t="s">
        <v>115</v>
      </c>
      <c r="F235" s="2" t="s">
        <v>129</v>
      </c>
      <c r="G235" s="2" t="s">
        <v>3193</v>
      </c>
      <c r="H235" s="34" t="s">
        <v>668</v>
      </c>
      <c r="I235" s="2" t="s">
        <v>19</v>
      </c>
      <c r="J235" s="2" t="s">
        <v>19</v>
      </c>
      <c r="K235" s="2" t="s">
        <v>19</v>
      </c>
      <c r="L235" s="2" t="s">
        <v>19</v>
      </c>
    </row>
    <row r="236" customFormat="false" ht="15" hidden="false" customHeight="false" outlineLevel="0" collapsed="false">
      <c r="A236" s="2" t="s">
        <v>799</v>
      </c>
      <c r="B236" s="13" t="s">
        <v>798</v>
      </c>
      <c r="C236" s="13" t="s">
        <v>81</v>
      </c>
      <c r="D236" s="13" t="s">
        <v>3436</v>
      </c>
      <c r="E236" s="13" t="s">
        <v>170</v>
      </c>
      <c r="F236" s="2" t="s">
        <v>129</v>
      </c>
      <c r="G236" s="2" t="s">
        <v>3195</v>
      </c>
      <c r="H236" s="34" t="s">
        <v>668</v>
      </c>
      <c r="I236" s="2" t="s">
        <v>19</v>
      </c>
      <c r="J236" s="2" t="s">
        <v>19</v>
      </c>
      <c r="K236" s="2" t="s">
        <v>19</v>
      </c>
      <c r="L236" s="2" t="s">
        <v>19</v>
      </c>
    </row>
    <row r="237" customFormat="false" ht="15" hidden="false" customHeight="false" outlineLevel="0" collapsed="false">
      <c r="A237" s="2" t="s">
        <v>2833</v>
      </c>
      <c r="B237" s="13" t="s">
        <v>3437</v>
      </c>
      <c r="C237" s="13" t="s">
        <v>77</v>
      </c>
      <c r="D237" s="13" t="s">
        <v>3438</v>
      </c>
      <c r="E237" s="13" t="s">
        <v>73</v>
      </c>
      <c r="F237" s="2" t="s">
        <v>125</v>
      </c>
      <c r="G237" s="2" t="s">
        <v>3199</v>
      </c>
      <c r="H237" s="34" t="s">
        <v>668</v>
      </c>
      <c r="I237" s="2" t="s">
        <v>19</v>
      </c>
      <c r="J237" s="2" t="s">
        <v>19</v>
      </c>
      <c r="K237" s="2" t="s">
        <v>19</v>
      </c>
      <c r="L237" s="2" t="s">
        <v>19</v>
      </c>
    </row>
    <row r="238" customFormat="false" ht="15" hidden="false" customHeight="false" outlineLevel="0" collapsed="false">
      <c r="A238" s="2" t="s">
        <v>169</v>
      </c>
      <c r="B238" s="13" t="s">
        <v>168</v>
      </c>
      <c r="C238" s="13" t="s">
        <v>92</v>
      </c>
      <c r="D238" s="13" t="s">
        <v>3439</v>
      </c>
      <c r="E238" s="13" t="s">
        <v>170</v>
      </c>
      <c r="F238" s="2" t="s">
        <v>46</v>
      </c>
      <c r="G238" s="2" t="s">
        <v>3208</v>
      </c>
      <c r="H238" s="39" t="s">
        <v>671</v>
      </c>
      <c r="I238" s="2" t="s">
        <v>19</v>
      </c>
      <c r="J238" s="2" t="s">
        <v>19</v>
      </c>
      <c r="K238" s="2" t="s">
        <v>19</v>
      </c>
      <c r="L238" s="2" t="s">
        <v>19</v>
      </c>
    </row>
    <row r="239" customFormat="false" ht="15" hidden="false" customHeight="false" outlineLevel="0" collapsed="false">
      <c r="A239" s="2" t="s">
        <v>2078</v>
      </c>
      <c r="B239" s="13" t="s">
        <v>2077</v>
      </c>
      <c r="C239" s="13" t="s">
        <v>77</v>
      </c>
      <c r="D239" s="13" t="s">
        <v>3440</v>
      </c>
      <c r="E239" s="13" t="s">
        <v>170</v>
      </c>
      <c r="F239" s="2" t="s">
        <v>157</v>
      </c>
      <c r="G239" s="2" t="s">
        <v>3205</v>
      </c>
      <c r="H239" s="34" t="s">
        <v>668</v>
      </c>
      <c r="I239" s="2" t="s">
        <v>19</v>
      </c>
      <c r="J239" s="2" t="s">
        <v>19</v>
      </c>
      <c r="K239" s="2" t="s">
        <v>19</v>
      </c>
      <c r="L239" s="2" t="s">
        <v>19</v>
      </c>
    </row>
    <row r="240" customFormat="false" ht="15" hidden="false" customHeight="false" outlineLevel="0" collapsed="false">
      <c r="A240" s="2" t="s">
        <v>1463</v>
      </c>
      <c r="B240" s="13" t="s">
        <v>1462</v>
      </c>
      <c r="C240" s="13" t="s">
        <v>72</v>
      </c>
      <c r="D240" s="13" t="s">
        <v>3441</v>
      </c>
      <c r="E240" s="13" t="s">
        <v>118</v>
      </c>
      <c r="F240" s="2" t="s">
        <v>129</v>
      </c>
      <c r="G240" s="2" t="s">
        <v>3195</v>
      </c>
      <c r="H240" s="34" t="s">
        <v>668</v>
      </c>
      <c r="I240" s="2" t="s">
        <v>19</v>
      </c>
      <c r="J240" s="2" t="s">
        <v>19</v>
      </c>
      <c r="K240" s="2" t="s">
        <v>19</v>
      </c>
      <c r="L240" s="2" t="s">
        <v>19</v>
      </c>
    </row>
    <row r="241" customFormat="false" ht="15" hidden="false" customHeight="false" outlineLevel="0" collapsed="false">
      <c r="A241" s="2" t="s">
        <v>556</v>
      </c>
      <c r="B241" s="13" t="s">
        <v>555</v>
      </c>
      <c r="C241" s="13" t="s">
        <v>72</v>
      </c>
      <c r="D241" s="13" t="s">
        <v>3442</v>
      </c>
      <c r="E241" s="13" t="s">
        <v>111</v>
      </c>
      <c r="F241" s="2" t="s">
        <v>129</v>
      </c>
      <c r="G241" s="2" t="s">
        <v>3215</v>
      </c>
      <c r="H241" s="39" t="s">
        <v>671</v>
      </c>
      <c r="I241" s="2" t="s">
        <v>19</v>
      </c>
      <c r="J241" s="2" t="s">
        <v>19</v>
      </c>
      <c r="K241" s="2" t="s">
        <v>19</v>
      </c>
      <c r="L241" s="2" t="s">
        <v>19</v>
      </c>
    </row>
    <row r="242" customFormat="false" ht="15" hidden="false" customHeight="false" outlineLevel="0" collapsed="false">
      <c r="A242" s="2" t="s">
        <v>2561</v>
      </c>
      <c r="B242" s="13" t="s">
        <v>2560</v>
      </c>
      <c r="C242" s="13" t="s">
        <v>92</v>
      </c>
      <c r="D242" s="16"/>
      <c r="E242" s="13" t="s">
        <v>115</v>
      </c>
      <c r="F242" s="2" t="s">
        <v>129</v>
      </c>
      <c r="G242" s="2" t="s">
        <v>3193</v>
      </c>
      <c r="H242" s="34" t="s">
        <v>668</v>
      </c>
      <c r="I242" s="2" t="s">
        <v>19</v>
      </c>
      <c r="J242" s="2" t="s">
        <v>19</v>
      </c>
      <c r="K242" s="2"/>
      <c r="L242" s="2" t="s">
        <v>19</v>
      </c>
    </row>
    <row r="243" customFormat="false" ht="15" hidden="false" customHeight="false" outlineLevel="0" collapsed="false">
      <c r="A243" s="2" t="s">
        <v>388</v>
      </c>
      <c r="B243" s="13" t="s">
        <v>387</v>
      </c>
      <c r="C243" s="13" t="s">
        <v>138</v>
      </c>
      <c r="D243" s="13" t="s">
        <v>3443</v>
      </c>
      <c r="E243" s="13" t="s">
        <v>111</v>
      </c>
      <c r="F243" s="2" t="s">
        <v>129</v>
      </c>
      <c r="G243" s="2" t="s">
        <v>3215</v>
      </c>
      <c r="H243" s="39" t="s">
        <v>671</v>
      </c>
      <c r="I243" s="2" t="s">
        <v>19</v>
      </c>
      <c r="J243" s="2" t="s">
        <v>19</v>
      </c>
      <c r="K243" s="2" t="s">
        <v>19</v>
      </c>
      <c r="L243" s="2" t="s">
        <v>19</v>
      </c>
    </row>
    <row r="244" customFormat="false" ht="15" hidden="false" customHeight="false" outlineLevel="0" collapsed="false">
      <c r="A244" s="2" t="s">
        <v>2359</v>
      </c>
      <c r="B244" s="13" t="s">
        <v>2358</v>
      </c>
      <c r="C244" s="13" t="s">
        <v>102</v>
      </c>
      <c r="D244" s="16"/>
      <c r="E244" s="13" t="s">
        <v>108</v>
      </c>
      <c r="F244" s="2" t="s">
        <v>129</v>
      </c>
      <c r="G244" s="2" t="s">
        <v>3193</v>
      </c>
      <c r="H244" s="34" t="s">
        <v>668</v>
      </c>
      <c r="I244" s="2" t="s">
        <v>19</v>
      </c>
      <c r="J244" s="2" t="s">
        <v>19</v>
      </c>
      <c r="K244" s="2"/>
      <c r="L244" s="2" t="s">
        <v>19</v>
      </c>
    </row>
    <row r="245" customFormat="false" ht="15" hidden="false" customHeight="false" outlineLevel="0" collapsed="false">
      <c r="A245" s="2" t="s">
        <v>1333</v>
      </c>
      <c r="B245" s="14" t="s">
        <v>1332</v>
      </c>
      <c r="C245" s="14" t="s">
        <v>105</v>
      </c>
      <c r="D245" s="14" t="s">
        <v>3444</v>
      </c>
      <c r="E245" s="14" t="s">
        <v>93</v>
      </c>
      <c r="F245" s="2" t="s">
        <v>125</v>
      </c>
      <c r="G245" s="2" t="s">
        <v>3205</v>
      </c>
      <c r="H245" s="34" t="s">
        <v>668</v>
      </c>
      <c r="I245" s="2" t="s">
        <v>21</v>
      </c>
      <c r="J245" s="2" t="s">
        <v>21</v>
      </c>
      <c r="K245" s="2" t="s">
        <v>21</v>
      </c>
      <c r="L245" s="2" t="s">
        <v>21</v>
      </c>
    </row>
    <row r="246" customFormat="false" ht="15" hidden="false" customHeight="false" outlineLevel="0" collapsed="false">
      <c r="A246" s="2" t="s">
        <v>576</v>
      </c>
      <c r="B246" s="13" t="s">
        <v>575</v>
      </c>
      <c r="C246" s="13" t="s">
        <v>102</v>
      </c>
      <c r="D246" s="13" t="s">
        <v>3445</v>
      </c>
      <c r="E246" s="13" t="s">
        <v>115</v>
      </c>
      <c r="F246" s="2" t="s">
        <v>129</v>
      </c>
      <c r="G246" s="2" t="s">
        <v>3215</v>
      </c>
      <c r="H246" s="39" t="s">
        <v>671</v>
      </c>
      <c r="I246" s="2" t="s">
        <v>19</v>
      </c>
      <c r="J246" s="2" t="s">
        <v>19</v>
      </c>
      <c r="K246" s="2" t="s">
        <v>19</v>
      </c>
      <c r="L246" s="2" t="s">
        <v>19</v>
      </c>
    </row>
    <row r="247" customFormat="false" ht="15" hidden="false" customHeight="false" outlineLevel="0" collapsed="false">
      <c r="A247" s="2" t="s">
        <v>478</v>
      </c>
      <c r="B247" s="13" t="s">
        <v>477</v>
      </c>
      <c r="C247" s="13" t="s">
        <v>138</v>
      </c>
      <c r="D247" s="13" t="s">
        <v>3446</v>
      </c>
      <c r="E247" s="13" t="s">
        <v>111</v>
      </c>
      <c r="F247" s="2" t="s">
        <v>129</v>
      </c>
      <c r="G247" s="2" t="s">
        <v>3215</v>
      </c>
      <c r="H247" s="39" t="s">
        <v>671</v>
      </c>
      <c r="I247" s="2" t="s">
        <v>19</v>
      </c>
      <c r="J247" s="2" t="s">
        <v>19</v>
      </c>
      <c r="K247" s="2" t="s">
        <v>19</v>
      </c>
      <c r="L247" s="2" t="s">
        <v>19</v>
      </c>
    </row>
    <row r="248" customFormat="false" ht="15" hidden="false" customHeight="false" outlineLevel="0" collapsed="false">
      <c r="A248" s="2" t="s">
        <v>336</v>
      </c>
      <c r="B248" s="13" t="s">
        <v>335</v>
      </c>
      <c r="C248" s="13" t="s">
        <v>105</v>
      </c>
      <c r="D248" s="13" t="s">
        <v>3447</v>
      </c>
      <c r="E248" s="13" t="s">
        <v>93</v>
      </c>
      <c r="F248" s="2" t="s">
        <v>47</v>
      </c>
      <c r="G248" s="2" t="s">
        <v>3208</v>
      </c>
      <c r="H248" s="39" t="s">
        <v>671</v>
      </c>
      <c r="I248" s="2" t="s">
        <v>19</v>
      </c>
      <c r="J248" s="2" t="s">
        <v>19</v>
      </c>
      <c r="K248" s="2" t="s">
        <v>19</v>
      </c>
      <c r="L248" s="2" t="s">
        <v>19</v>
      </c>
    </row>
    <row r="249" customFormat="false" ht="15" hidden="false" customHeight="false" outlineLevel="0" collapsed="false">
      <c r="A249" s="2" t="s">
        <v>600</v>
      </c>
      <c r="B249" s="13" t="s">
        <v>599</v>
      </c>
      <c r="C249" s="13" t="s">
        <v>114</v>
      </c>
      <c r="D249" s="13" t="s">
        <v>3448</v>
      </c>
      <c r="E249" s="13" t="s">
        <v>170</v>
      </c>
      <c r="F249" s="2" t="s">
        <v>45</v>
      </c>
      <c r="G249" s="2" t="s">
        <v>3208</v>
      </c>
      <c r="H249" s="39" t="s">
        <v>671</v>
      </c>
      <c r="I249" s="2" t="s">
        <v>19</v>
      </c>
      <c r="J249" s="2" t="s">
        <v>19</v>
      </c>
      <c r="K249" s="2" t="s">
        <v>19</v>
      </c>
      <c r="L249" s="2" t="s">
        <v>19</v>
      </c>
    </row>
    <row r="250" customFormat="false" ht="15" hidden="false" customHeight="false" outlineLevel="0" collapsed="false">
      <c r="A250" s="2" t="s">
        <v>1164</v>
      </c>
      <c r="B250" s="13" t="s">
        <v>1163</v>
      </c>
      <c r="C250" s="13" t="s">
        <v>87</v>
      </c>
      <c r="D250" s="13" t="s">
        <v>3449</v>
      </c>
      <c r="E250" s="13" t="s">
        <v>73</v>
      </c>
      <c r="F250" s="2" t="s">
        <v>129</v>
      </c>
      <c r="G250" s="2" t="s">
        <v>3195</v>
      </c>
      <c r="H250" s="34" t="s">
        <v>668</v>
      </c>
      <c r="I250" s="2" t="s">
        <v>19</v>
      </c>
      <c r="J250" s="2" t="s">
        <v>19</v>
      </c>
      <c r="K250" s="2" t="s">
        <v>19</v>
      </c>
      <c r="L250" s="2" t="s">
        <v>19</v>
      </c>
    </row>
    <row r="251" customFormat="false" ht="15" hidden="false" customHeight="false" outlineLevel="0" collapsed="false">
      <c r="A251" s="2" t="s">
        <v>689</v>
      </c>
      <c r="B251" s="13" t="s">
        <v>688</v>
      </c>
      <c r="C251" s="13" t="s">
        <v>92</v>
      </c>
      <c r="D251" s="13" t="s">
        <v>3450</v>
      </c>
      <c r="E251" s="13" t="s">
        <v>170</v>
      </c>
      <c r="F251" s="2" t="s">
        <v>125</v>
      </c>
      <c r="G251" s="2" t="s">
        <v>3205</v>
      </c>
      <c r="H251" s="34" t="s">
        <v>668</v>
      </c>
      <c r="I251" s="2" t="s">
        <v>19</v>
      </c>
      <c r="J251" s="2" t="s">
        <v>19</v>
      </c>
      <c r="K251" s="2" t="s">
        <v>19</v>
      </c>
      <c r="L251" s="2" t="s">
        <v>19</v>
      </c>
    </row>
    <row r="252" customFormat="false" ht="15" hidden="false" customHeight="false" outlineLevel="0" collapsed="false">
      <c r="A252" s="2" t="s">
        <v>2840</v>
      </c>
      <c r="B252" s="13" t="s">
        <v>3451</v>
      </c>
      <c r="C252" s="13" t="s">
        <v>87</v>
      </c>
      <c r="D252" s="13" t="s">
        <v>3452</v>
      </c>
      <c r="E252" s="13" t="s">
        <v>82</v>
      </c>
      <c r="F252" s="2" t="s">
        <v>129</v>
      </c>
      <c r="G252" s="2" t="s">
        <v>3297</v>
      </c>
      <c r="H252" s="34" t="s">
        <v>668</v>
      </c>
      <c r="I252" s="2" t="s">
        <v>19</v>
      </c>
      <c r="J252" s="2" t="s">
        <v>19</v>
      </c>
      <c r="K252" s="2" t="s">
        <v>19</v>
      </c>
      <c r="L252" s="2" t="s">
        <v>19</v>
      </c>
    </row>
    <row r="253" customFormat="false" ht="15" hidden="false" customHeight="false" outlineLevel="0" collapsed="false">
      <c r="A253" s="2" t="s">
        <v>428</v>
      </c>
      <c r="B253" s="13" t="s">
        <v>427</v>
      </c>
      <c r="C253" s="13" t="s">
        <v>87</v>
      </c>
      <c r="D253" s="13" t="s">
        <v>3453</v>
      </c>
      <c r="E253" s="13" t="s">
        <v>170</v>
      </c>
      <c r="F253" s="2" t="s">
        <v>175</v>
      </c>
      <c r="G253" s="2" t="s">
        <v>3218</v>
      </c>
      <c r="H253" s="39" t="s">
        <v>671</v>
      </c>
      <c r="I253" s="2" t="s">
        <v>19</v>
      </c>
      <c r="J253" s="2" t="s">
        <v>19</v>
      </c>
      <c r="K253" s="2" t="s">
        <v>19</v>
      </c>
      <c r="L253" s="2" t="s">
        <v>19</v>
      </c>
    </row>
    <row r="254" customFormat="false" ht="15" hidden="false" customHeight="false" outlineLevel="0" collapsed="false">
      <c r="A254" s="2" t="s">
        <v>144</v>
      </c>
      <c r="B254" s="13" t="s">
        <v>143</v>
      </c>
      <c r="C254" s="13" t="s">
        <v>114</v>
      </c>
      <c r="D254" s="13" t="s">
        <v>3454</v>
      </c>
      <c r="E254" s="13" t="s">
        <v>96</v>
      </c>
      <c r="F254" s="2" t="s">
        <v>45</v>
      </c>
      <c r="G254" s="2" t="s">
        <v>3208</v>
      </c>
      <c r="H254" s="39" t="s">
        <v>671</v>
      </c>
      <c r="I254" s="2" t="s">
        <v>19</v>
      </c>
      <c r="J254" s="2" t="s">
        <v>19</v>
      </c>
      <c r="K254" s="2" t="s">
        <v>19</v>
      </c>
      <c r="L254" s="2" t="s">
        <v>19</v>
      </c>
    </row>
    <row r="255" customFormat="false" ht="15" hidden="false" customHeight="false" outlineLevel="0" collapsed="false">
      <c r="A255" s="2" t="s">
        <v>2246</v>
      </c>
      <c r="B255" s="13" t="s">
        <v>2245</v>
      </c>
      <c r="C255" s="13" t="s">
        <v>77</v>
      </c>
      <c r="D255" s="14" t="s">
        <v>3455</v>
      </c>
      <c r="E255" s="13" t="s">
        <v>73</v>
      </c>
      <c r="F255" s="2" t="s">
        <v>129</v>
      </c>
      <c r="G255" s="2" t="s">
        <v>3193</v>
      </c>
      <c r="H255" s="34" t="s">
        <v>668</v>
      </c>
      <c r="I255" s="2" t="s">
        <v>19</v>
      </c>
      <c r="J255" s="2" t="s">
        <v>19</v>
      </c>
      <c r="K255" s="2" t="s">
        <v>21</v>
      </c>
      <c r="L255" s="2" t="s">
        <v>19</v>
      </c>
    </row>
    <row r="256" customFormat="false" ht="15" hidden="false" customHeight="false" outlineLevel="0" collapsed="false">
      <c r="A256" s="2" t="s">
        <v>1608</v>
      </c>
      <c r="B256" s="13" t="s">
        <v>1607</v>
      </c>
      <c r="C256" s="13" t="s">
        <v>114</v>
      </c>
      <c r="D256" s="13" t="s">
        <v>3456</v>
      </c>
      <c r="E256" s="13" t="s">
        <v>108</v>
      </c>
      <c r="F256" s="2" t="s">
        <v>129</v>
      </c>
      <c r="G256" s="2" t="s">
        <v>3195</v>
      </c>
      <c r="H256" s="34" t="s">
        <v>668</v>
      </c>
      <c r="I256" s="2" t="s">
        <v>19</v>
      </c>
      <c r="J256" s="2" t="s">
        <v>19</v>
      </c>
      <c r="K256" s="2" t="s">
        <v>19</v>
      </c>
      <c r="L256" s="2" t="s">
        <v>19</v>
      </c>
    </row>
    <row r="257" customFormat="false" ht="15" hidden="false" customHeight="false" outlineLevel="0" collapsed="false">
      <c r="A257" s="2" t="s">
        <v>2498</v>
      </c>
      <c r="B257" s="13" t="s">
        <v>2497</v>
      </c>
      <c r="C257" s="13" t="s">
        <v>77</v>
      </c>
      <c r="D257" s="13" t="s">
        <v>3457</v>
      </c>
      <c r="E257" s="13" t="s">
        <v>115</v>
      </c>
      <c r="F257" s="2" t="s">
        <v>175</v>
      </c>
      <c r="G257" s="2" t="s">
        <v>3205</v>
      </c>
      <c r="H257" s="34" t="s">
        <v>668</v>
      </c>
      <c r="I257" s="2" t="s">
        <v>19</v>
      </c>
      <c r="J257" s="2" t="s">
        <v>19</v>
      </c>
      <c r="K257" s="2" t="s">
        <v>19</v>
      </c>
      <c r="L257" s="2" t="s">
        <v>19</v>
      </c>
    </row>
    <row r="258" customFormat="false" ht="15" hidden="false" customHeight="false" outlineLevel="0" collapsed="false">
      <c r="A258" s="2" t="s">
        <v>2845</v>
      </c>
      <c r="B258" s="15" t="s">
        <v>3458</v>
      </c>
      <c r="C258" s="15" t="s">
        <v>114</v>
      </c>
      <c r="D258" s="16"/>
      <c r="E258" s="15" t="s">
        <v>115</v>
      </c>
      <c r="F258" s="2" t="s">
        <v>47</v>
      </c>
      <c r="G258" s="2" t="s">
        <v>3202</v>
      </c>
      <c r="H258" s="34" t="s">
        <v>668</v>
      </c>
      <c r="I258" s="2" t="s">
        <v>17</v>
      </c>
      <c r="J258" s="2" t="s">
        <v>17</v>
      </c>
      <c r="K258" s="2"/>
      <c r="L258" s="2" t="s">
        <v>17</v>
      </c>
    </row>
    <row r="259" customFormat="false" ht="15" hidden="false" customHeight="false" outlineLevel="0" collapsed="false">
      <c r="A259" s="2" t="s">
        <v>912</v>
      </c>
      <c r="B259" s="13" t="s">
        <v>911</v>
      </c>
      <c r="C259" s="13" t="s">
        <v>77</v>
      </c>
      <c r="D259" s="13" t="s">
        <v>3459</v>
      </c>
      <c r="E259" s="13" t="s">
        <v>99</v>
      </c>
      <c r="F259" s="2" t="s">
        <v>129</v>
      </c>
      <c r="G259" s="2" t="s">
        <v>3195</v>
      </c>
      <c r="H259" s="34" t="s">
        <v>668</v>
      </c>
      <c r="I259" s="2" t="s">
        <v>19</v>
      </c>
      <c r="J259" s="2" t="s">
        <v>19</v>
      </c>
      <c r="K259" s="2" t="s">
        <v>19</v>
      </c>
      <c r="L259" s="2" t="s">
        <v>19</v>
      </c>
    </row>
    <row r="260" customFormat="false" ht="15" hidden="false" customHeight="false" outlineLevel="0" collapsed="false">
      <c r="A260" s="2" t="s">
        <v>2047</v>
      </c>
      <c r="B260" s="13" t="s">
        <v>2046</v>
      </c>
      <c r="C260" s="13" t="s">
        <v>105</v>
      </c>
      <c r="D260" s="13" t="s">
        <v>3460</v>
      </c>
      <c r="E260" s="13" t="s">
        <v>108</v>
      </c>
      <c r="F260" s="2" t="s">
        <v>157</v>
      </c>
      <c r="G260" s="2" t="s">
        <v>3205</v>
      </c>
      <c r="H260" s="34" t="s">
        <v>668</v>
      </c>
      <c r="I260" s="2" t="s">
        <v>19</v>
      </c>
      <c r="J260" s="2" t="s">
        <v>19</v>
      </c>
      <c r="K260" s="2" t="s">
        <v>19</v>
      </c>
      <c r="L260" s="2" t="s">
        <v>19</v>
      </c>
    </row>
    <row r="261" customFormat="false" ht="15" hidden="false" customHeight="false" outlineLevel="0" collapsed="false">
      <c r="A261" s="2" t="s">
        <v>612</v>
      </c>
      <c r="B261" s="14" t="s">
        <v>611</v>
      </c>
      <c r="C261" s="15" t="s">
        <v>105</v>
      </c>
      <c r="D261" s="14" t="s">
        <v>3461</v>
      </c>
      <c r="E261" s="14" t="s">
        <v>115</v>
      </c>
      <c r="F261" s="2" t="s">
        <v>45</v>
      </c>
      <c r="G261" s="2" t="s">
        <v>3208</v>
      </c>
      <c r="H261" s="39" t="s">
        <v>671</v>
      </c>
      <c r="I261" s="2" t="s">
        <v>21</v>
      </c>
      <c r="J261" s="2" t="s">
        <v>17</v>
      </c>
      <c r="K261" s="2" t="s">
        <v>21</v>
      </c>
      <c r="L261" s="2" t="s">
        <v>21</v>
      </c>
    </row>
    <row r="262" customFormat="false" ht="15" hidden="false" customHeight="false" outlineLevel="0" collapsed="false">
      <c r="A262" s="2" t="s">
        <v>480</v>
      </c>
      <c r="B262" s="13" t="s">
        <v>479</v>
      </c>
      <c r="C262" s="13" t="s">
        <v>133</v>
      </c>
      <c r="D262" s="13" t="s">
        <v>3462</v>
      </c>
      <c r="E262" s="13" t="s">
        <v>93</v>
      </c>
      <c r="F262" s="2" t="s">
        <v>129</v>
      </c>
      <c r="G262" s="2" t="s">
        <v>3215</v>
      </c>
      <c r="H262" s="39" t="s">
        <v>671</v>
      </c>
      <c r="I262" s="2" t="s">
        <v>19</v>
      </c>
      <c r="J262" s="2" t="s">
        <v>19</v>
      </c>
      <c r="K262" s="2" t="s">
        <v>19</v>
      </c>
      <c r="L262" s="2" t="s">
        <v>19</v>
      </c>
    </row>
    <row r="263" customFormat="false" ht="15" hidden="false" customHeight="false" outlineLevel="0" collapsed="false">
      <c r="A263" s="2" t="s">
        <v>156</v>
      </c>
      <c r="B263" s="13" t="s">
        <v>155</v>
      </c>
      <c r="C263" s="13" t="s">
        <v>138</v>
      </c>
      <c r="D263" s="13" t="s">
        <v>3463</v>
      </c>
      <c r="E263" s="13" t="s">
        <v>108</v>
      </c>
      <c r="F263" s="2" t="s">
        <v>157</v>
      </c>
      <c r="G263" s="2" t="s">
        <v>3218</v>
      </c>
      <c r="H263" s="39" t="s">
        <v>671</v>
      </c>
      <c r="I263" s="2" t="s">
        <v>19</v>
      </c>
      <c r="J263" s="2" t="s">
        <v>19</v>
      </c>
      <c r="K263" s="2" t="s">
        <v>19</v>
      </c>
      <c r="L263" s="2" t="s">
        <v>19</v>
      </c>
    </row>
    <row r="264" customFormat="false" ht="15" hidden="false" customHeight="false" outlineLevel="0" collapsed="false">
      <c r="A264" s="2" t="s">
        <v>420</v>
      </c>
      <c r="B264" s="13" t="s">
        <v>419</v>
      </c>
      <c r="C264" s="13" t="s">
        <v>87</v>
      </c>
      <c r="D264" s="13" t="s">
        <v>3464</v>
      </c>
      <c r="E264" s="13" t="s">
        <v>108</v>
      </c>
      <c r="F264" s="2" t="s">
        <v>129</v>
      </c>
      <c r="G264" s="2" t="s">
        <v>3215</v>
      </c>
      <c r="H264" s="39" t="s">
        <v>671</v>
      </c>
      <c r="I264" s="2" t="s">
        <v>19</v>
      </c>
      <c r="J264" s="2" t="s">
        <v>19</v>
      </c>
      <c r="K264" s="2" t="s">
        <v>19</v>
      </c>
      <c r="L264" s="2" t="s">
        <v>19</v>
      </c>
    </row>
    <row r="265" customFormat="false" ht="15" hidden="false" customHeight="false" outlineLevel="0" collapsed="false">
      <c r="A265" s="2" t="s">
        <v>2848</v>
      </c>
      <c r="B265" s="16"/>
      <c r="C265" s="16"/>
      <c r="D265" s="16"/>
      <c r="E265" s="16"/>
      <c r="F265" s="2" t="s">
        <v>157</v>
      </c>
      <c r="G265" s="2" t="s">
        <v>3199</v>
      </c>
      <c r="H265" s="34" t="s">
        <v>668</v>
      </c>
      <c r="I265" s="2"/>
      <c r="J265" s="2"/>
      <c r="K265" s="2"/>
      <c r="L265" s="2"/>
    </row>
    <row r="266" customFormat="false" ht="15" hidden="false" customHeight="false" outlineLevel="0" collapsed="false">
      <c r="A266" s="2" t="s">
        <v>400</v>
      </c>
      <c r="B266" s="13" t="s">
        <v>399</v>
      </c>
      <c r="C266" s="13" t="s">
        <v>87</v>
      </c>
      <c r="D266" s="13" t="s">
        <v>3465</v>
      </c>
      <c r="E266" s="13" t="s">
        <v>115</v>
      </c>
      <c r="F266" s="2" t="s">
        <v>125</v>
      </c>
      <c r="G266" s="2" t="s">
        <v>3218</v>
      </c>
      <c r="H266" s="39" t="s">
        <v>671</v>
      </c>
      <c r="I266" s="2" t="s">
        <v>19</v>
      </c>
      <c r="J266" s="2" t="s">
        <v>19</v>
      </c>
      <c r="K266" s="2" t="s">
        <v>19</v>
      </c>
      <c r="L266" s="2" t="s">
        <v>19</v>
      </c>
    </row>
    <row r="267" customFormat="false" ht="15" hidden="false" customHeight="false" outlineLevel="0" collapsed="false">
      <c r="A267" s="2" t="s">
        <v>312</v>
      </c>
      <c r="B267" s="13" t="s">
        <v>311</v>
      </c>
      <c r="C267" s="13" t="s">
        <v>114</v>
      </c>
      <c r="D267" s="13" t="s">
        <v>3466</v>
      </c>
      <c r="E267" s="13" t="s">
        <v>99</v>
      </c>
      <c r="F267" s="2" t="s">
        <v>129</v>
      </c>
      <c r="G267" s="2" t="s">
        <v>3215</v>
      </c>
      <c r="H267" s="39" t="s">
        <v>671</v>
      </c>
      <c r="I267" s="2" t="s">
        <v>19</v>
      </c>
      <c r="J267" s="2" t="s">
        <v>19</v>
      </c>
      <c r="K267" s="2" t="s">
        <v>19</v>
      </c>
      <c r="L267" s="2" t="s">
        <v>19</v>
      </c>
    </row>
    <row r="268" customFormat="false" ht="15" hidden="false" customHeight="false" outlineLevel="0" collapsed="false">
      <c r="A268" s="2" t="s">
        <v>1028</v>
      </c>
      <c r="B268" s="13" t="s">
        <v>1027</v>
      </c>
      <c r="C268" s="13" t="s">
        <v>133</v>
      </c>
      <c r="D268" s="13" t="s">
        <v>3467</v>
      </c>
      <c r="E268" s="13" t="s">
        <v>99</v>
      </c>
      <c r="F268" s="2" t="s">
        <v>129</v>
      </c>
      <c r="G268" s="2" t="s">
        <v>3195</v>
      </c>
      <c r="H268" s="34" t="s">
        <v>668</v>
      </c>
      <c r="I268" s="2" t="s">
        <v>19</v>
      </c>
      <c r="J268" s="2" t="s">
        <v>19</v>
      </c>
      <c r="K268" s="2" t="s">
        <v>19</v>
      </c>
      <c r="L268" s="2" t="s">
        <v>19</v>
      </c>
    </row>
    <row r="269" customFormat="false" ht="15" hidden="false" customHeight="false" outlineLevel="0" collapsed="false">
      <c r="A269" s="2" t="s">
        <v>1705</v>
      </c>
      <c r="B269" s="13" t="s">
        <v>1704</v>
      </c>
      <c r="C269" s="13" t="s">
        <v>92</v>
      </c>
      <c r="D269" s="13" t="s">
        <v>3468</v>
      </c>
      <c r="E269" s="13" t="s">
        <v>73</v>
      </c>
      <c r="F269" s="2" t="s">
        <v>129</v>
      </c>
      <c r="G269" s="2" t="s">
        <v>3195</v>
      </c>
      <c r="H269" s="34" t="s">
        <v>668</v>
      </c>
      <c r="I269" s="2" t="s">
        <v>19</v>
      </c>
      <c r="J269" s="2" t="s">
        <v>19</v>
      </c>
      <c r="K269" s="2" t="s">
        <v>19</v>
      </c>
      <c r="L269" s="2" t="s">
        <v>19</v>
      </c>
    </row>
    <row r="270" customFormat="false" ht="15" hidden="false" customHeight="false" outlineLevel="0" collapsed="false">
      <c r="A270" s="2" t="s">
        <v>1793</v>
      </c>
      <c r="B270" s="13" t="s">
        <v>1792</v>
      </c>
      <c r="C270" s="13" t="s">
        <v>114</v>
      </c>
      <c r="D270" s="13" t="s">
        <v>3469</v>
      </c>
      <c r="E270" s="13" t="s">
        <v>108</v>
      </c>
      <c r="F270" s="2" t="s">
        <v>129</v>
      </c>
      <c r="G270" s="2" t="s">
        <v>3195</v>
      </c>
      <c r="H270" s="34" t="s">
        <v>668</v>
      </c>
      <c r="I270" s="2" t="s">
        <v>19</v>
      </c>
      <c r="J270" s="2" t="s">
        <v>19</v>
      </c>
      <c r="K270" s="2" t="s">
        <v>19</v>
      </c>
      <c r="L270" s="2" t="s">
        <v>19</v>
      </c>
    </row>
    <row r="271" customFormat="false" ht="15" hidden="false" customHeight="false" outlineLevel="0" collapsed="false">
      <c r="A271" s="2" t="s">
        <v>880</v>
      </c>
      <c r="B271" s="13" t="s">
        <v>879</v>
      </c>
      <c r="C271" s="13" t="s">
        <v>81</v>
      </c>
      <c r="D271" s="13" t="s">
        <v>3470</v>
      </c>
      <c r="E271" s="13" t="s">
        <v>96</v>
      </c>
      <c r="F271" s="2" t="s">
        <v>129</v>
      </c>
      <c r="G271" s="2" t="s">
        <v>3195</v>
      </c>
      <c r="H271" s="34" t="s">
        <v>668</v>
      </c>
      <c r="I271" s="2" t="s">
        <v>19</v>
      </c>
      <c r="J271" s="2" t="s">
        <v>19</v>
      </c>
      <c r="K271" s="2" t="s">
        <v>19</v>
      </c>
      <c r="L271" s="2" t="s">
        <v>19</v>
      </c>
    </row>
    <row r="272" customFormat="false" ht="15" hidden="false" customHeight="false" outlineLevel="0" collapsed="false">
      <c r="A272" s="2" t="s">
        <v>2851</v>
      </c>
      <c r="B272" s="14" t="s">
        <v>3471</v>
      </c>
      <c r="C272" s="14" t="s">
        <v>72</v>
      </c>
      <c r="D272" s="16"/>
      <c r="E272" s="16"/>
      <c r="F272" s="2" t="s">
        <v>46</v>
      </c>
      <c r="G272" s="2" t="s">
        <v>3202</v>
      </c>
      <c r="H272" s="34" t="s">
        <v>668</v>
      </c>
      <c r="I272" s="2" t="s">
        <v>21</v>
      </c>
      <c r="J272" s="2" t="s">
        <v>21</v>
      </c>
      <c r="K272" s="2"/>
      <c r="L272" s="2"/>
    </row>
    <row r="273" customFormat="false" ht="15" hidden="false" customHeight="false" outlineLevel="0" collapsed="false">
      <c r="A273" s="2" t="s">
        <v>2853</v>
      </c>
      <c r="B273" s="13" t="s">
        <v>3472</v>
      </c>
      <c r="C273" s="13" t="s">
        <v>133</v>
      </c>
      <c r="D273" s="14" t="s">
        <v>3473</v>
      </c>
      <c r="E273" s="13" t="s">
        <v>108</v>
      </c>
      <c r="F273" s="2" t="s">
        <v>45</v>
      </c>
      <c r="G273" s="2" t="s">
        <v>3202</v>
      </c>
      <c r="H273" s="34" t="s">
        <v>668</v>
      </c>
      <c r="I273" s="2" t="s">
        <v>19</v>
      </c>
      <c r="J273" s="2" t="s">
        <v>19</v>
      </c>
      <c r="K273" s="2" t="s">
        <v>21</v>
      </c>
      <c r="L273" s="2" t="s">
        <v>19</v>
      </c>
    </row>
    <row r="274" customFormat="false" ht="15" hidden="false" customHeight="false" outlineLevel="0" collapsed="false">
      <c r="A274" s="2" t="s">
        <v>1448</v>
      </c>
      <c r="B274" s="13" t="s">
        <v>1447</v>
      </c>
      <c r="C274" s="13" t="s">
        <v>102</v>
      </c>
      <c r="D274" s="13" t="s">
        <v>3474</v>
      </c>
      <c r="E274" s="13" t="s">
        <v>96</v>
      </c>
      <c r="F274" s="2" t="s">
        <v>129</v>
      </c>
      <c r="G274" s="2" t="s">
        <v>3195</v>
      </c>
      <c r="H274" s="34" t="s">
        <v>668</v>
      </c>
      <c r="I274" s="2" t="s">
        <v>19</v>
      </c>
      <c r="J274" s="2" t="s">
        <v>19</v>
      </c>
      <c r="K274" s="2" t="s">
        <v>19</v>
      </c>
      <c r="L274" s="2" t="s">
        <v>19</v>
      </c>
    </row>
    <row r="275" customFormat="false" ht="15" hidden="false" customHeight="false" outlineLevel="0" collapsed="false">
      <c r="A275" s="2" t="s">
        <v>2855</v>
      </c>
      <c r="B275" s="14" t="s">
        <v>3475</v>
      </c>
      <c r="C275" s="14" t="s">
        <v>92</v>
      </c>
      <c r="D275" s="16"/>
      <c r="E275" s="14" t="s">
        <v>111</v>
      </c>
      <c r="F275" s="2" t="s">
        <v>45</v>
      </c>
      <c r="G275" s="2" t="s">
        <v>3202</v>
      </c>
      <c r="H275" s="34" t="s">
        <v>668</v>
      </c>
      <c r="I275" s="2" t="s">
        <v>21</v>
      </c>
      <c r="J275" s="2" t="s">
        <v>21</v>
      </c>
      <c r="K275" s="2"/>
      <c r="L275" s="2" t="s">
        <v>21</v>
      </c>
    </row>
    <row r="276" customFormat="false" ht="15" hidden="false" customHeight="false" outlineLevel="0" collapsed="false">
      <c r="A276" s="2" t="s">
        <v>2856</v>
      </c>
      <c r="B276" s="14" t="s">
        <v>3476</v>
      </c>
      <c r="C276" s="14" t="s">
        <v>87</v>
      </c>
      <c r="D276" s="14" t="s">
        <v>3477</v>
      </c>
      <c r="E276" s="14" t="s">
        <v>93</v>
      </c>
      <c r="F276" s="2" t="s">
        <v>125</v>
      </c>
      <c r="G276" s="2" t="s">
        <v>3199</v>
      </c>
      <c r="H276" s="34" t="s">
        <v>668</v>
      </c>
      <c r="I276" s="2" t="s">
        <v>21</v>
      </c>
      <c r="J276" s="2" t="s">
        <v>21</v>
      </c>
      <c r="K276" s="2" t="s">
        <v>21</v>
      </c>
      <c r="L276" s="2" t="s">
        <v>21</v>
      </c>
    </row>
    <row r="277" customFormat="false" ht="15" hidden="false" customHeight="false" outlineLevel="0" collapsed="false">
      <c r="A277" s="2" t="s">
        <v>1053</v>
      </c>
      <c r="B277" s="13" t="s">
        <v>1052</v>
      </c>
      <c r="C277" s="13" t="s">
        <v>77</v>
      </c>
      <c r="D277" s="13" t="s">
        <v>3478</v>
      </c>
      <c r="E277" s="13" t="s">
        <v>93</v>
      </c>
      <c r="F277" s="2" t="s">
        <v>129</v>
      </c>
      <c r="G277" s="2" t="s">
        <v>3195</v>
      </c>
      <c r="H277" s="34" t="s">
        <v>668</v>
      </c>
      <c r="I277" s="2" t="s">
        <v>19</v>
      </c>
      <c r="J277" s="2" t="s">
        <v>19</v>
      </c>
      <c r="K277" s="2" t="s">
        <v>19</v>
      </c>
      <c r="L277" s="2" t="s">
        <v>19</v>
      </c>
    </row>
    <row r="278" customFormat="false" ht="15" hidden="false" customHeight="false" outlineLevel="0" collapsed="false">
      <c r="A278" s="2" t="s">
        <v>107</v>
      </c>
      <c r="B278" s="13" t="s">
        <v>106</v>
      </c>
      <c r="C278" s="13" t="s">
        <v>77</v>
      </c>
      <c r="D278" s="13" t="s">
        <v>3479</v>
      </c>
      <c r="E278" s="13" t="s">
        <v>108</v>
      </c>
      <c r="F278" s="2" t="s">
        <v>47</v>
      </c>
      <c r="G278" s="2" t="s">
        <v>3208</v>
      </c>
      <c r="H278" s="39" t="s">
        <v>671</v>
      </c>
      <c r="I278" s="2" t="s">
        <v>19</v>
      </c>
      <c r="J278" s="2" t="s">
        <v>19</v>
      </c>
      <c r="K278" s="2" t="s">
        <v>19</v>
      </c>
      <c r="L278" s="2" t="s">
        <v>19</v>
      </c>
    </row>
    <row r="279" customFormat="false" ht="15" hidden="false" customHeight="false" outlineLevel="0" collapsed="false">
      <c r="A279" s="2" t="s">
        <v>346</v>
      </c>
      <c r="B279" s="14" t="s">
        <v>345</v>
      </c>
      <c r="C279" s="14" t="s">
        <v>92</v>
      </c>
      <c r="D279" s="14" t="s">
        <v>3480</v>
      </c>
      <c r="E279" s="16"/>
      <c r="F279" s="2" t="s">
        <v>45</v>
      </c>
      <c r="G279" s="2" t="s">
        <v>3208</v>
      </c>
      <c r="H279" s="39" t="s">
        <v>671</v>
      </c>
      <c r="I279" s="2" t="s">
        <v>21</v>
      </c>
      <c r="J279" s="2" t="s">
        <v>21</v>
      </c>
      <c r="K279" s="2" t="s">
        <v>21</v>
      </c>
      <c r="L279" s="2"/>
    </row>
    <row r="280" customFormat="false" ht="15" hidden="false" customHeight="false" outlineLevel="0" collapsed="false">
      <c r="A280" s="2" t="s">
        <v>2859</v>
      </c>
      <c r="B280" s="16"/>
      <c r="C280" s="16"/>
      <c r="D280" s="16"/>
      <c r="E280" s="16"/>
      <c r="F280" s="2" t="s">
        <v>175</v>
      </c>
      <c r="G280" s="2" t="s">
        <v>3199</v>
      </c>
      <c r="H280" s="34" t="s">
        <v>668</v>
      </c>
      <c r="I280" s="2"/>
      <c r="J280" s="2"/>
      <c r="K280" s="2"/>
      <c r="L280" s="2"/>
    </row>
    <row r="281" customFormat="false" ht="15" hidden="false" customHeight="false" outlineLevel="0" collapsed="false">
      <c r="A281" s="2" t="s">
        <v>1327</v>
      </c>
      <c r="B281" s="14" t="s">
        <v>1326</v>
      </c>
      <c r="C281" s="14" t="s">
        <v>92</v>
      </c>
      <c r="D281" s="14" t="s">
        <v>3481</v>
      </c>
      <c r="E281" s="16"/>
      <c r="F281" s="2" t="s">
        <v>129</v>
      </c>
      <c r="G281" s="2" t="s">
        <v>3195</v>
      </c>
      <c r="H281" s="34" t="s">
        <v>668</v>
      </c>
      <c r="I281" s="2" t="s">
        <v>21</v>
      </c>
      <c r="J281" s="2" t="s">
        <v>21</v>
      </c>
      <c r="K281" s="2" t="s">
        <v>21</v>
      </c>
      <c r="L281" s="2"/>
    </row>
    <row r="282" customFormat="false" ht="15" hidden="false" customHeight="false" outlineLevel="0" collapsed="false">
      <c r="A282" s="2" t="s">
        <v>228</v>
      </c>
      <c r="B282" s="13" t="s">
        <v>227</v>
      </c>
      <c r="C282" s="13" t="s">
        <v>105</v>
      </c>
      <c r="D282" s="13" t="s">
        <v>3482</v>
      </c>
      <c r="E282" s="13" t="s">
        <v>99</v>
      </c>
      <c r="F282" s="2" t="s">
        <v>129</v>
      </c>
      <c r="G282" s="2" t="s">
        <v>3215</v>
      </c>
      <c r="H282" s="39" t="s">
        <v>671</v>
      </c>
      <c r="I282" s="2" t="s">
        <v>19</v>
      </c>
      <c r="J282" s="2" t="s">
        <v>19</v>
      </c>
      <c r="K282" s="2" t="s">
        <v>19</v>
      </c>
      <c r="L282" s="2" t="s">
        <v>19</v>
      </c>
    </row>
    <row r="283" customFormat="false" ht="15" hidden="false" customHeight="false" outlineLevel="0" collapsed="false">
      <c r="A283" s="2" t="s">
        <v>697</v>
      </c>
      <c r="B283" s="14" t="s">
        <v>696</v>
      </c>
      <c r="C283" s="14" t="s">
        <v>77</v>
      </c>
      <c r="D283" s="14" t="s">
        <v>3483</v>
      </c>
      <c r="E283" s="14" t="s">
        <v>111</v>
      </c>
      <c r="F283" s="2" t="s">
        <v>129</v>
      </c>
      <c r="G283" s="2" t="s">
        <v>3195</v>
      </c>
      <c r="H283" s="34" t="s">
        <v>668</v>
      </c>
      <c r="I283" s="2" t="s">
        <v>21</v>
      </c>
      <c r="J283" s="2" t="s">
        <v>21</v>
      </c>
      <c r="K283" s="2" t="s">
        <v>21</v>
      </c>
      <c r="L283" s="2" t="s">
        <v>21</v>
      </c>
    </row>
    <row r="284" customFormat="false" ht="15" hidden="false" customHeight="false" outlineLevel="0" collapsed="false">
      <c r="A284" s="2" t="s">
        <v>642</v>
      </c>
      <c r="B284" s="13" t="s">
        <v>641</v>
      </c>
      <c r="C284" s="13" t="s">
        <v>114</v>
      </c>
      <c r="D284" s="13" t="s">
        <v>3484</v>
      </c>
      <c r="E284" s="13" t="s">
        <v>108</v>
      </c>
      <c r="F284" s="2" t="s">
        <v>46</v>
      </c>
      <c r="G284" s="2" t="s">
        <v>3208</v>
      </c>
      <c r="H284" s="39" t="s">
        <v>671</v>
      </c>
      <c r="I284" s="2" t="s">
        <v>19</v>
      </c>
      <c r="J284" s="2" t="s">
        <v>19</v>
      </c>
      <c r="K284" s="2" t="s">
        <v>19</v>
      </c>
      <c r="L284" s="2" t="s">
        <v>19</v>
      </c>
    </row>
    <row r="285" customFormat="false" ht="15" hidden="false" customHeight="false" outlineLevel="0" collapsed="false">
      <c r="A285" s="2" t="s">
        <v>300</v>
      </c>
      <c r="B285" s="13" t="s">
        <v>299</v>
      </c>
      <c r="C285" s="13" t="s">
        <v>138</v>
      </c>
      <c r="D285" s="13" t="s">
        <v>3485</v>
      </c>
      <c r="E285" s="13" t="s">
        <v>73</v>
      </c>
      <c r="F285" s="2" t="s">
        <v>129</v>
      </c>
      <c r="G285" s="2" t="s">
        <v>3215</v>
      </c>
      <c r="H285" s="39" t="s">
        <v>671</v>
      </c>
      <c r="I285" s="2" t="s">
        <v>19</v>
      </c>
      <c r="J285" s="2" t="s">
        <v>19</v>
      </c>
      <c r="K285" s="2" t="s">
        <v>19</v>
      </c>
      <c r="L285" s="2" t="s">
        <v>19</v>
      </c>
    </row>
    <row r="286" customFormat="false" ht="15" hidden="false" customHeight="false" outlineLevel="0" collapsed="false">
      <c r="A286" s="2" t="s">
        <v>2335</v>
      </c>
      <c r="B286" s="13" t="s">
        <v>2334</v>
      </c>
      <c r="C286" s="13" t="s">
        <v>102</v>
      </c>
      <c r="D286" s="14" t="s">
        <v>3486</v>
      </c>
      <c r="E286" s="13" t="s">
        <v>115</v>
      </c>
      <c r="F286" s="2" t="s">
        <v>129</v>
      </c>
      <c r="G286" s="2" t="s">
        <v>3193</v>
      </c>
      <c r="H286" s="34" t="s">
        <v>668</v>
      </c>
      <c r="I286" s="2" t="s">
        <v>19</v>
      </c>
      <c r="J286" s="2" t="s">
        <v>19</v>
      </c>
      <c r="K286" s="2" t="s">
        <v>21</v>
      </c>
      <c r="L286" s="2" t="s">
        <v>19</v>
      </c>
    </row>
    <row r="287" customFormat="false" ht="15" hidden="false" customHeight="false" outlineLevel="0" collapsed="false">
      <c r="A287" s="2" t="s">
        <v>1878</v>
      </c>
      <c r="B287" s="13" t="s">
        <v>1877</v>
      </c>
      <c r="C287" s="13" t="s">
        <v>102</v>
      </c>
      <c r="D287" s="14" t="s">
        <v>3487</v>
      </c>
      <c r="E287" s="14" t="s">
        <v>118</v>
      </c>
      <c r="F287" s="2" t="s">
        <v>129</v>
      </c>
      <c r="G287" s="2" t="s">
        <v>3195</v>
      </c>
      <c r="H287" s="34" t="s">
        <v>668</v>
      </c>
      <c r="I287" s="2" t="s">
        <v>19</v>
      </c>
      <c r="J287" s="2" t="s">
        <v>19</v>
      </c>
      <c r="K287" s="2" t="s">
        <v>21</v>
      </c>
      <c r="L287" s="2" t="s">
        <v>21</v>
      </c>
    </row>
    <row r="288" customFormat="false" ht="15" hidden="false" customHeight="false" outlineLevel="0" collapsed="false">
      <c r="A288" s="2" t="s">
        <v>120</v>
      </c>
      <c r="B288" s="13" t="s">
        <v>119</v>
      </c>
      <c r="C288" s="13" t="s">
        <v>105</v>
      </c>
      <c r="D288" s="13" t="s">
        <v>3488</v>
      </c>
      <c r="E288" s="13" t="s">
        <v>108</v>
      </c>
      <c r="F288" s="2" t="s">
        <v>45</v>
      </c>
      <c r="G288" s="2" t="s">
        <v>3208</v>
      </c>
      <c r="H288" s="39" t="s">
        <v>671</v>
      </c>
      <c r="I288" s="2" t="s">
        <v>19</v>
      </c>
      <c r="J288" s="2" t="s">
        <v>19</v>
      </c>
      <c r="K288" s="2" t="s">
        <v>19</v>
      </c>
      <c r="L288" s="2" t="s">
        <v>19</v>
      </c>
    </row>
    <row r="289" customFormat="false" ht="15" hidden="false" customHeight="false" outlineLevel="0" collapsed="false">
      <c r="A289" s="2" t="s">
        <v>2861</v>
      </c>
      <c r="B289" s="16"/>
      <c r="C289" s="15" t="s">
        <v>105</v>
      </c>
      <c r="D289" s="15" t="s">
        <v>3489</v>
      </c>
      <c r="E289" s="16"/>
      <c r="F289" s="2" t="s">
        <v>46</v>
      </c>
      <c r="G289" s="2" t="s">
        <v>3202</v>
      </c>
      <c r="H289" s="34" t="s">
        <v>668</v>
      </c>
      <c r="I289" s="2"/>
      <c r="J289" s="2" t="s">
        <v>17</v>
      </c>
      <c r="K289" s="2" t="s">
        <v>17</v>
      </c>
      <c r="L289" s="2"/>
    </row>
    <row r="290" customFormat="false" ht="15" hidden="false" customHeight="false" outlineLevel="0" collapsed="false">
      <c r="A290" s="2" t="s">
        <v>2609</v>
      </c>
      <c r="B290" s="13" t="s">
        <v>2608</v>
      </c>
      <c r="C290" s="13" t="s">
        <v>81</v>
      </c>
      <c r="D290" s="13" t="s">
        <v>3490</v>
      </c>
      <c r="E290" s="13" t="s">
        <v>96</v>
      </c>
      <c r="F290" s="2" t="s">
        <v>129</v>
      </c>
      <c r="G290" s="2" t="s">
        <v>3193</v>
      </c>
      <c r="H290" s="34" t="s">
        <v>668</v>
      </c>
      <c r="I290" s="2" t="s">
        <v>19</v>
      </c>
      <c r="J290" s="2" t="s">
        <v>19</v>
      </c>
      <c r="K290" s="2" t="s">
        <v>19</v>
      </c>
      <c r="L290" s="2" t="s">
        <v>19</v>
      </c>
    </row>
    <row r="291" customFormat="false" ht="15" hidden="false" customHeight="false" outlineLevel="0" collapsed="false">
      <c r="A291" s="2" t="s">
        <v>2864</v>
      </c>
      <c r="B291" s="14" t="s">
        <v>3491</v>
      </c>
      <c r="C291" s="14" t="s">
        <v>92</v>
      </c>
      <c r="D291" s="14" t="s">
        <v>3492</v>
      </c>
      <c r="E291" s="14" t="s">
        <v>118</v>
      </c>
      <c r="F291" s="2" t="s">
        <v>175</v>
      </c>
      <c r="G291" s="2" t="s">
        <v>3199</v>
      </c>
      <c r="H291" s="34" t="s">
        <v>668</v>
      </c>
      <c r="I291" s="2" t="s">
        <v>21</v>
      </c>
      <c r="J291" s="2" t="s">
        <v>21</v>
      </c>
      <c r="K291" s="2" t="s">
        <v>21</v>
      </c>
      <c r="L291" s="2" t="s">
        <v>21</v>
      </c>
    </row>
    <row r="292" customFormat="false" ht="15" hidden="false" customHeight="false" outlineLevel="0" collapsed="false">
      <c r="A292" s="2" t="s">
        <v>1240</v>
      </c>
      <c r="B292" s="13" t="s">
        <v>1239</v>
      </c>
      <c r="C292" s="13" t="s">
        <v>87</v>
      </c>
      <c r="D292" s="13" t="s">
        <v>3493</v>
      </c>
      <c r="E292" s="13" t="s">
        <v>111</v>
      </c>
      <c r="F292" s="2" t="s">
        <v>129</v>
      </c>
      <c r="G292" s="2" t="s">
        <v>3195</v>
      </c>
      <c r="H292" s="34" t="s">
        <v>668</v>
      </c>
      <c r="I292" s="2" t="s">
        <v>19</v>
      </c>
      <c r="J292" s="2" t="s">
        <v>19</v>
      </c>
      <c r="K292" s="2" t="s">
        <v>19</v>
      </c>
      <c r="L292" s="2" t="s">
        <v>19</v>
      </c>
    </row>
    <row r="293" customFormat="false" ht="15" hidden="false" customHeight="false" outlineLevel="0" collapsed="false">
      <c r="A293" s="2" t="s">
        <v>724</v>
      </c>
      <c r="B293" s="13" t="s">
        <v>723</v>
      </c>
      <c r="C293" s="13" t="s">
        <v>72</v>
      </c>
      <c r="D293" s="13" t="s">
        <v>3494</v>
      </c>
      <c r="E293" s="13" t="s">
        <v>73</v>
      </c>
      <c r="F293" s="2" t="s">
        <v>129</v>
      </c>
      <c r="G293" s="2" t="s">
        <v>3195</v>
      </c>
      <c r="H293" s="34" t="s">
        <v>668</v>
      </c>
      <c r="I293" s="2" t="s">
        <v>19</v>
      </c>
      <c r="J293" s="2" t="s">
        <v>19</v>
      </c>
      <c r="K293" s="2" t="s">
        <v>19</v>
      </c>
      <c r="L293" s="2" t="s">
        <v>19</v>
      </c>
    </row>
    <row r="294" customFormat="false" ht="15" hidden="false" customHeight="false" outlineLevel="0" collapsed="false">
      <c r="A294" s="2" t="s">
        <v>1277</v>
      </c>
      <c r="B294" s="13" t="s">
        <v>1276</v>
      </c>
      <c r="C294" s="13" t="s">
        <v>72</v>
      </c>
      <c r="D294" s="13" t="s">
        <v>3495</v>
      </c>
      <c r="E294" s="13" t="s">
        <v>82</v>
      </c>
      <c r="F294" s="2" t="s">
        <v>129</v>
      </c>
      <c r="G294" s="2" t="s">
        <v>3195</v>
      </c>
      <c r="H294" s="34" t="s">
        <v>668</v>
      </c>
      <c r="I294" s="2" t="s">
        <v>19</v>
      </c>
      <c r="J294" s="2" t="s">
        <v>19</v>
      </c>
      <c r="K294" s="2" t="s">
        <v>19</v>
      </c>
      <c r="L294" s="2" t="s">
        <v>19</v>
      </c>
    </row>
    <row r="295" customFormat="false" ht="15" hidden="false" customHeight="false" outlineLevel="0" collapsed="false">
      <c r="A295" s="2" t="s">
        <v>378</v>
      </c>
      <c r="B295" s="13" t="s">
        <v>377</v>
      </c>
      <c r="C295" s="13" t="s">
        <v>105</v>
      </c>
      <c r="D295" s="13" t="s">
        <v>3496</v>
      </c>
      <c r="E295" s="13" t="s">
        <v>96</v>
      </c>
      <c r="F295" s="2" t="s">
        <v>129</v>
      </c>
      <c r="G295" s="2" t="s">
        <v>3215</v>
      </c>
      <c r="H295" s="39" t="s">
        <v>671</v>
      </c>
      <c r="I295" s="2" t="s">
        <v>19</v>
      </c>
      <c r="J295" s="2" t="s">
        <v>19</v>
      </c>
      <c r="K295" s="2" t="s">
        <v>19</v>
      </c>
      <c r="L295" s="2" t="s">
        <v>19</v>
      </c>
    </row>
    <row r="296" customFormat="false" ht="15" hidden="false" customHeight="false" outlineLevel="0" collapsed="false">
      <c r="A296" s="2" t="s">
        <v>2437</v>
      </c>
      <c r="B296" s="13" t="s">
        <v>2436</v>
      </c>
      <c r="C296" s="13" t="s">
        <v>114</v>
      </c>
      <c r="D296" s="14" t="s">
        <v>3497</v>
      </c>
      <c r="E296" s="13" t="s">
        <v>108</v>
      </c>
      <c r="F296" s="2" t="s">
        <v>129</v>
      </c>
      <c r="G296" s="2" t="s">
        <v>3193</v>
      </c>
      <c r="H296" s="34" t="s">
        <v>668</v>
      </c>
      <c r="I296" s="2" t="s">
        <v>19</v>
      </c>
      <c r="J296" s="2" t="s">
        <v>19</v>
      </c>
      <c r="K296" s="2" t="s">
        <v>21</v>
      </c>
      <c r="L296" s="2" t="s">
        <v>19</v>
      </c>
    </row>
    <row r="297" customFormat="false" ht="15" hidden="false" customHeight="false" outlineLevel="0" collapsed="false">
      <c r="A297" s="2" t="s">
        <v>1152</v>
      </c>
      <c r="B297" s="13" t="s">
        <v>1151</v>
      </c>
      <c r="C297" s="13" t="s">
        <v>92</v>
      </c>
      <c r="D297" s="13" t="s">
        <v>3498</v>
      </c>
      <c r="E297" s="13" t="s">
        <v>115</v>
      </c>
      <c r="F297" s="2" t="s">
        <v>129</v>
      </c>
      <c r="G297" s="2" t="s">
        <v>3195</v>
      </c>
      <c r="H297" s="34" t="s">
        <v>668</v>
      </c>
      <c r="I297" s="2" t="s">
        <v>19</v>
      </c>
      <c r="J297" s="2" t="s">
        <v>19</v>
      </c>
      <c r="K297" s="2" t="s">
        <v>19</v>
      </c>
      <c r="L297" s="2" t="s">
        <v>19</v>
      </c>
    </row>
    <row r="298" customFormat="false" ht="15" hidden="false" customHeight="false" outlineLevel="0" collapsed="false">
      <c r="A298" s="2" t="s">
        <v>2267</v>
      </c>
      <c r="B298" s="14" t="s">
        <v>2266</v>
      </c>
      <c r="C298" s="14" t="s">
        <v>92</v>
      </c>
      <c r="D298" s="14" t="s">
        <v>3499</v>
      </c>
      <c r="E298" s="14" t="s">
        <v>108</v>
      </c>
      <c r="F298" s="2" t="s">
        <v>175</v>
      </c>
      <c r="G298" s="2" t="s">
        <v>3205</v>
      </c>
      <c r="H298" s="34" t="s">
        <v>668</v>
      </c>
      <c r="I298" s="2" t="s">
        <v>21</v>
      </c>
      <c r="J298" s="2" t="s">
        <v>21</v>
      </c>
      <c r="K298" s="2" t="s">
        <v>21</v>
      </c>
      <c r="L298" s="2" t="s">
        <v>21</v>
      </c>
    </row>
    <row r="299" customFormat="false" ht="15" hidden="false" customHeight="false" outlineLevel="0" collapsed="false">
      <c r="A299" s="2" t="s">
        <v>252</v>
      </c>
      <c r="B299" s="13" t="s">
        <v>251</v>
      </c>
      <c r="C299" s="13" t="s">
        <v>77</v>
      </c>
      <c r="D299" s="13" t="s">
        <v>3500</v>
      </c>
      <c r="E299" s="13" t="s">
        <v>73</v>
      </c>
      <c r="F299" s="2" t="s">
        <v>47</v>
      </c>
      <c r="G299" s="2" t="s">
        <v>3208</v>
      </c>
      <c r="H299" s="39" t="s">
        <v>671</v>
      </c>
      <c r="I299" s="2" t="s">
        <v>19</v>
      </c>
      <c r="J299" s="2" t="s">
        <v>19</v>
      </c>
      <c r="K299" s="2" t="s">
        <v>19</v>
      </c>
      <c r="L299" s="2" t="s">
        <v>19</v>
      </c>
    </row>
    <row r="300" customFormat="false" ht="15" hidden="false" customHeight="false" outlineLevel="0" collapsed="false">
      <c r="A300" s="2" t="s">
        <v>1267</v>
      </c>
      <c r="B300" s="13" t="s">
        <v>1266</v>
      </c>
      <c r="C300" s="13" t="s">
        <v>138</v>
      </c>
      <c r="D300" s="13" t="s">
        <v>3501</v>
      </c>
      <c r="E300" s="13" t="s">
        <v>73</v>
      </c>
      <c r="F300" s="2" t="s">
        <v>125</v>
      </c>
      <c r="G300" s="2" t="s">
        <v>3205</v>
      </c>
      <c r="H300" s="34" t="s">
        <v>668</v>
      </c>
      <c r="I300" s="2" t="s">
        <v>19</v>
      </c>
      <c r="J300" s="2" t="s">
        <v>19</v>
      </c>
      <c r="K300" s="2" t="s">
        <v>19</v>
      </c>
      <c r="L300" s="2" t="s">
        <v>19</v>
      </c>
    </row>
    <row r="301" customFormat="false" ht="15" hidden="false" customHeight="false" outlineLevel="0" collapsed="false">
      <c r="A301" s="2" t="s">
        <v>191</v>
      </c>
      <c r="B301" s="13" t="s">
        <v>190</v>
      </c>
      <c r="C301" s="13" t="s">
        <v>102</v>
      </c>
      <c r="D301" s="13" t="s">
        <v>3502</v>
      </c>
      <c r="E301" s="13" t="s">
        <v>96</v>
      </c>
      <c r="F301" s="2" t="s">
        <v>47</v>
      </c>
      <c r="G301" s="2" t="s">
        <v>3208</v>
      </c>
      <c r="H301" s="39" t="s">
        <v>671</v>
      </c>
      <c r="I301" s="2" t="s">
        <v>19</v>
      </c>
      <c r="J301" s="2" t="s">
        <v>19</v>
      </c>
      <c r="K301" s="2" t="s">
        <v>19</v>
      </c>
      <c r="L301" s="2" t="s">
        <v>19</v>
      </c>
    </row>
    <row r="302" customFormat="false" ht="15" hidden="false" customHeight="false" outlineLevel="0" collapsed="false">
      <c r="A302" s="2" t="s">
        <v>1736</v>
      </c>
      <c r="B302" s="14" t="s">
        <v>1735</v>
      </c>
      <c r="C302" s="14" t="s">
        <v>77</v>
      </c>
      <c r="D302" s="14" t="s">
        <v>3503</v>
      </c>
      <c r="E302" s="14" t="s">
        <v>118</v>
      </c>
      <c r="F302" s="2" t="s">
        <v>129</v>
      </c>
      <c r="G302" s="2" t="s">
        <v>3193</v>
      </c>
      <c r="H302" s="34" t="s">
        <v>668</v>
      </c>
      <c r="I302" s="2" t="s">
        <v>21</v>
      </c>
      <c r="J302" s="2" t="s">
        <v>21</v>
      </c>
      <c r="K302" s="2" t="s">
        <v>21</v>
      </c>
      <c r="L302" s="2" t="s">
        <v>21</v>
      </c>
    </row>
    <row r="303" customFormat="false" ht="15" hidden="false" customHeight="false" outlineLevel="0" collapsed="false">
      <c r="A303" s="2" t="s">
        <v>2872</v>
      </c>
      <c r="B303" s="16"/>
      <c r="C303" s="16"/>
      <c r="D303" s="16"/>
      <c r="E303" s="16"/>
      <c r="F303" s="2" t="s">
        <v>47</v>
      </c>
      <c r="G303" s="2" t="s">
        <v>3202</v>
      </c>
      <c r="H303" s="34" t="s">
        <v>668</v>
      </c>
      <c r="I303" s="2"/>
      <c r="J303" s="2"/>
      <c r="K303" s="2"/>
      <c r="L303" s="2"/>
    </row>
    <row r="304" customFormat="false" ht="15" hidden="false" customHeight="false" outlineLevel="0" collapsed="false">
      <c r="A304" s="2" t="s">
        <v>2403</v>
      </c>
      <c r="B304" s="13" t="s">
        <v>2402</v>
      </c>
      <c r="C304" s="13" t="s">
        <v>114</v>
      </c>
      <c r="D304" s="13" t="s">
        <v>3504</v>
      </c>
      <c r="E304" s="13" t="s">
        <v>99</v>
      </c>
      <c r="F304" s="2" t="s">
        <v>129</v>
      </c>
      <c r="G304" s="2" t="s">
        <v>3193</v>
      </c>
      <c r="H304" s="34" t="s">
        <v>668</v>
      </c>
      <c r="I304" s="2" t="s">
        <v>19</v>
      </c>
      <c r="J304" s="2" t="s">
        <v>19</v>
      </c>
      <c r="K304" s="2" t="s">
        <v>19</v>
      </c>
      <c r="L304" s="2" t="s">
        <v>19</v>
      </c>
    </row>
    <row r="305" customFormat="false" ht="15" hidden="false" customHeight="false" outlineLevel="0" collapsed="false">
      <c r="A305" s="2" t="s">
        <v>452</v>
      </c>
      <c r="B305" s="13" t="s">
        <v>451</v>
      </c>
      <c r="C305" s="13" t="s">
        <v>72</v>
      </c>
      <c r="D305" s="13" t="s">
        <v>3505</v>
      </c>
      <c r="E305" s="13" t="s">
        <v>82</v>
      </c>
      <c r="F305" s="2" t="s">
        <v>129</v>
      </c>
      <c r="G305" s="2" t="s">
        <v>3215</v>
      </c>
      <c r="H305" s="39" t="s">
        <v>671</v>
      </c>
      <c r="I305" s="2" t="s">
        <v>19</v>
      </c>
      <c r="J305" s="2" t="s">
        <v>19</v>
      </c>
      <c r="K305" s="2" t="s">
        <v>19</v>
      </c>
      <c r="L305" s="2" t="s">
        <v>19</v>
      </c>
    </row>
    <row r="306" customFormat="false" ht="15" hidden="false" customHeight="false" outlineLevel="0" collapsed="false">
      <c r="A306" s="2" t="s">
        <v>298</v>
      </c>
      <c r="B306" s="13" t="s">
        <v>297</v>
      </c>
      <c r="C306" s="13" t="s">
        <v>102</v>
      </c>
      <c r="D306" s="13" t="s">
        <v>3506</v>
      </c>
      <c r="E306" s="13" t="s">
        <v>96</v>
      </c>
      <c r="F306" s="2" t="s">
        <v>129</v>
      </c>
      <c r="G306" s="2" t="s">
        <v>3215</v>
      </c>
      <c r="H306" s="39" t="s">
        <v>671</v>
      </c>
      <c r="I306" s="2" t="s">
        <v>19</v>
      </c>
      <c r="J306" s="2" t="s">
        <v>19</v>
      </c>
      <c r="K306" s="2" t="s">
        <v>19</v>
      </c>
      <c r="L306" s="2" t="s">
        <v>19</v>
      </c>
    </row>
    <row r="307" customFormat="false" ht="15" hidden="false" customHeight="false" outlineLevel="0" collapsed="false">
      <c r="A307" s="2" t="s">
        <v>2685</v>
      </c>
      <c r="B307" s="13" t="s">
        <v>2684</v>
      </c>
      <c r="C307" s="13" t="s">
        <v>87</v>
      </c>
      <c r="D307" s="13" t="s">
        <v>3507</v>
      </c>
      <c r="E307" s="14" t="s">
        <v>108</v>
      </c>
      <c r="F307" s="2" t="s">
        <v>129</v>
      </c>
      <c r="G307" s="2" t="s">
        <v>3193</v>
      </c>
      <c r="H307" s="34" t="s">
        <v>668</v>
      </c>
      <c r="I307" s="2" t="s">
        <v>19</v>
      </c>
      <c r="J307" s="2" t="s">
        <v>19</v>
      </c>
      <c r="K307" s="2" t="s">
        <v>19</v>
      </c>
      <c r="L307" s="2" t="s">
        <v>21</v>
      </c>
    </row>
    <row r="308" customFormat="false" ht="15" hidden="false" customHeight="false" outlineLevel="0" collapsed="false">
      <c r="A308" s="2" t="s">
        <v>482</v>
      </c>
      <c r="B308" s="13" t="s">
        <v>481</v>
      </c>
      <c r="C308" s="13" t="s">
        <v>72</v>
      </c>
      <c r="D308" s="13" t="s">
        <v>3508</v>
      </c>
      <c r="E308" s="13" t="s">
        <v>170</v>
      </c>
      <c r="F308" s="2" t="s">
        <v>129</v>
      </c>
      <c r="G308" s="2" t="s">
        <v>3215</v>
      </c>
      <c r="H308" s="39" t="s">
        <v>671</v>
      </c>
      <c r="I308" s="2" t="s">
        <v>19</v>
      </c>
      <c r="J308" s="2" t="s">
        <v>19</v>
      </c>
      <c r="K308" s="2" t="s">
        <v>19</v>
      </c>
      <c r="L308" s="2" t="s">
        <v>19</v>
      </c>
    </row>
    <row r="309" customFormat="false" ht="15" hidden="false" customHeight="false" outlineLevel="0" collapsed="false">
      <c r="A309" s="2" t="s">
        <v>2874</v>
      </c>
      <c r="B309" s="14" t="s">
        <v>3509</v>
      </c>
      <c r="C309" s="14" t="s">
        <v>105</v>
      </c>
      <c r="D309" s="16"/>
      <c r="E309" s="14" t="s">
        <v>96</v>
      </c>
      <c r="F309" s="2" t="s">
        <v>45</v>
      </c>
      <c r="G309" s="2" t="s">
        <v>3202</v>
      </c>
      <c r="H309" s="34" t="s">
        <v>668</v>
      </c>
      <c r="I309" s="2" t="s">
        <v>21</v>
      </c>
      <c r="J309" s="2" t="s">
        <v>21</v>
      </c>
      <c r="K309" s="2"/>
      <c r="L309" s="2" t="s">
        <v>21</v>
      </c>
    </row>
    <row r="310" customFormat="false" ht="15" hidden="false" customHeight="false" outlineLevel="0" collapsed="false">
      <c r="A310" s="2" t="s">
        <v>968</v>
      </c>
      <c r="B310" s="13" t="s">
        <v>967</v>
      </c>
      <c r="C310" s="13" t="s">
        <v>114</v>
      </c>
      <c r="D310" s="13" t="s">
        <v>3510</v>
      </c>
      <c r="E310" s="13" t="s">
        <v>73</v>
      </c>
      <c r="F310" s="2" t="s">
        <v>129</v>
      </c>
      <c r="G310" s="2" t="s">
        <v>3195</v>
      </c>
      <c r="H310" s="34" t="s">
        <v>668</v>
      </c>
      <c r="I310" s="2" t="s">
        <v>19</v>
      </c>
      <c r="J310" s="2" t="s">
        <v>19</v>
      </c>
      <c r="K310" s="2" t="s">
        <v>19</v>
      </c>
      <c r="L310" s="2" t="s">
        <v>19</v>
      </c>
    </row>
    <row r="311" customFormat="false" ht="15" hidden="false" customHeight="false" outlineLevel="0" collapsed="false">
      <c r="A311" s="2" t="s">
        <v>1622</v>
      </c>
      <c r="B311" s="13" t="s">
        <v>1621</v>
      </c>
      <c r="C311" s="13" t="s">
        <v>133</v>
      </c>
      <c r="D311" s="13" t="s">
        <v>3511</v>
      </c>
      <c r="E311" s="13" t="s">
        <v>93</v>
      </c>
      <c r="F311" s="2" t="s">
        <v>129</v>
      </c>
      <c r="G311" s="2" t="s">
        <v>3195</v>
      </c>
      <c r="H311" s="34" t="s">
        <v>668</v>
      </c>
      <c r="I311" s="2" t="s">
        <v>19</v>
      </c>
      <c r="J311" s="2" t="s">
        <v>19</v>
      </c>
      <c r="K311" s="2" t="s">
        <v>19</v>
      </c>
      <c r="L311" s="2" t="s">
        <v>19</v>
      </c>
    </row>
    <row r="312" customFormat="false" ht="15" hidden="false" customHeight="false" outlineLevel="0" collapsed="false">
      <c r="A312" s="2" t="s">
        <v>448</v>
      </c>
      <c r="B312" s="13" t="s">
        <v>447</v>
      </c>
      <c r="C312" s="13" t="s">
        <v>102</v>
      </c>
      <c r="D312" s="13" t="s">
        <v>3512</v>
      </c>
      <c r="E312" s="13" t="s">
        <v>118</v>
      </c>
      <c r="F312" s="2" t="s">
        <v>125</v>
      </c>
      <c r="G312" s="2" t="s">
        <v>3218</v>
      </c>
      <c r="H312" s="39" t="s">
        <v>671</v>
      </c>
      <c r="I312" s="2" t="s">
        <v>19</v>
      </c>
      <c r="J312" s="2" t="s">
        <v>19</v>
      </c>
      <c r="K312" s="2" t="s">
        <v>19</v>
      </c>
      <c r="L312" s="2" t="s">
        <v>19</v>
      </c>
    </row>
    <row r="313" customFormat="false" ht="15" hidden="false" customHeight="false" outlineLevel="0" collapsed="false">
      <c r="A313" s="2" t="s">
        <v>352</v>
      </c>
      <c r="B313" s="13" t="s">
        <v>351</v>
      </c>
      <c r="C313" s="13" t="s">
        <v>77</v>
      </c>
      <c r="D313" s="13" t="s">
        <v>3513</v>
      </c>
      <c r="E313" s="13" t="s">
        <v>108</v>
      </c>
      <c r="F313" s="2" t="s">
        <v>129</v>
      </c>
      <c r="G313" s="2" t="s">
        <v>3215</v>
      </c>
      <c r="H313" s="39" t="s">
        <v>671</v>
      </c>
      <c r="I313" s="2" t="s">
        <v>19</v>
      </c>
      <c r="J313" s="2" t="s">
        <v>19</v>
      </c>
      <c r="K313" s="2" t="s">
        <v>19</v>
      </c>
      <c r="L313" s="2" t="s">
        <v>19</v>
      </c>
    </row>
    <row r="314" customFormat="false" ht="15" hidden="false" customHeight="false" outlineLevel="0" collapsed="false">
      <c r="A314" s="2" t="s">
        <v>2663</v>
      </c>
      <c r="B314" s="13" t="s">
        <v>2662</v>
      </c>
      <c r="C314" s="13" t="s">
        <v>81</v>
      </c>
      <c r="D314" s="13" t="s">
        <v>3514</v>
      </c>
      <c r="E314" s="13" t="s">
        <v>108</v>
      </c>
      <c r="F314" s="2" t="s">
        <v>175</v>
      </c>
      <c r="G314" s="2" t="s">
        <v>3205</v>
      </c>
      <c r="H314" s="34" t="s">
        <v>668</v>
      </c>
      <c r="I314" s="2" t="s">
        <v>19</v>
      </c>
      <c r="J314" s="2" t="s">
        <v>19</v>
      </c>
      <c r="K314" s="2" t="s">
        <v>19</v>
      </c>
      <c r="L314" s="2" t="s">
        <v>19</v>
      </c>
    </row>
    <row r="315" customFormat="false" ht="15" hidden="false" customHeight="false" outlineLevel="0" collapsed="false">
      <c r="A315" s="2" t="s">
        <v>2877</v>
      </c>
      <c r="B315" s="16"/>
      <c r="C315" s="16"/>
      <c r="D315" s="16"/>
      <c r="E315" s="16"/>
      <c r="F315" s="2" t="s">
        <v>125</v>
      </c>
      <c r="G315" s="2" t="s">
        <v>3199</v>
      </c>
      <c r="H315" s="34" t="s">
        <v>668</v>
      </c>
      <c r="I315" s="2"/>
      <c r="J315" s="2"/>
      <c r="K315" s="2"/>
      <c r="L315" s="2"/>
    </row>
    <row r="316" customFormat="false" ht="15" hidden="false" customHeight="false" outlineLevel="0" collapsed="false">
      <c r="A316" s="2" t="s">
        <v>2571</v>
      </c>
      <c r="B316" s="13" t="s">
        <v>2570</v>
      </c>
      <c r="C316" s="13" t="s">
        <v>114</v>
      </c>
      <c r="D316" s="16"/>
      <c r="E316" s="13" t="s">
        <v>99</v>
      </c>
      <c r="F316" s="2" t="s">
        <v>129</v>
      </c>
      <c r="G316" s="2" t="s">
        <v>3193</v>
      </c>
      <c r="H316" s="34" t="s">
        <v>668</v>
      </c>
      <c r="I316" s="2" t="s">
        <v>19</v>
      </c>
      <c r="J316" s="2" t="s">
        <v>19</v>
      </c>
      <c r="K316" s="2"/>
      <c r="L316" s="2" t="s">
        <v>19</v>
      </c>
    </row>
    <row r="317" customFormat="false" ht="15" hidden="false" customHeight="false" outlineLevel="0" collapsed="false">
      <c r="A317" s="2" t="s">
        <v>266</v>
      </c>
      <c r="B317" s="13" t="s">
        <v>265</v>
      </c>
      <c r="C317" s="13" t="s">
        <v>138</v>
      </c>
      <c r="D317" s="13" t="s">
        <v>3515</v>
      </c>
      <c r="E317" s="13" t="s">
        <v>73</v>
      </c>
      <c r="F317" s="2" t="s">
        <v>125</v>
      </c>
      <c r="G317" s="2" t="s">
        <v>3218</v>
      </c>
      <c r="H317" s="39" t="s">
        <v>671</v>
      </c>
      <c r="I317" s="2" t="s">
        <v>19</v>
      </c>
      <c r="J317" s="2" t="s">
        <v>19</v>
      </c>
      <c r="K317" s="2" t="s">
        <v>19</v>
      </c>
      <c r="L317" s="2" t="s">
        <v>19</v>
      </c>
    </row>
    <row r="318" customFormat="false" ht="15" hidden="false" customHeight="false" outlineLevel="0" collapsed="false">
      <c r="A318" s="2" t="s">
        <v>1466</v>
      </c>
      <c r="B318" s="14" t="s">
        <v>1465</v>
      </c>
      <c r="C318" s="14" t="s">
        <v>138</v>
      </c>
      <c r="D318" s="14" t="s">
        <v>3516</v>
      </c>
      <c r="E318" s="14" t="s">
        <v>115</v>
      </c>
      <c r="F318" s="2" t="s">
        <v>129</v>
      </c>
      <c r="G318" s="2" t="s">
        <v>3193</v>
      </c>
      <c r="H318" s="34" t="s">
        <v>668</v>
      </c>
      <c r="I318" s="2" t="s">
        <v>21</v>
      </c>
      <c r="J318" s="2" t="s">
        <v>21</v>
      </c>
      <c r="K318" s="2" t="s">
        <v>21</v>
      </c>
      <c r="L318" s="2" t="s">
        <v>21</v>
      </c>
    </row>
    <row r="319" customFormat="false" ht="15" hidden="false" customHeight="false" outlineLevel="0" collapsed="false">
      <c r="A319" s="2" t="s">
        <v>580</v>
      </c>
      <c r="B319" s="13" t="s">
        <v>579</v>
      </c>
      <c r="C319" s="13" t="s">
        <v>138</v>
      </c>
      <c r="D319" s="14" t="s">
        <v>3517</v>
      </c>
      <c r="E319" s="13" t="s">
        <v>93</v>
      </c>
      <c r="F319" s="2" t="s">
        <v>45</v>
      </c>
      <c r="G319" s="2" t="s">
        <v>3208</v>
      </c>
      <c r="H319" s="39" t="s">
        <v>671</v>
      </c>
      <c r="I319" s="2" t="s">
        <v>19</v>
      </c>
      <c r="J319" s="2" t="s">
        <v>19</v>
      </c>
      <c r="K319" s="2" t="s">
        <v>21</v>
      </c>
      <c r="L319" s="2" t="s">
        <v>19</v>
      </c>
    </row>
    <row r="320" customFormat="false" ht="15" hidden="false" customHeight="false" outlineLevel="0" collapsed="false">
      <c r="A320" s="2" t="s">
        <v>1825</v>
      </c>
      <c r="B320" s="13" t="s">
        <v>1824</v>
      </c>
      <c r="C320" s="13" t="s">
        <v>102</v>
      </c>
      <c r="D320" s="13" t="s">
        <v>3518</v>
      </c>
      <c r="E320" s="13" t="s">
        <v>96</v>
      </c>
      <c r="F320" s="2" t="s">
        <v>129</v>
      </c>
      <c r="G320" s="2" t="s">
        <v>3193</v>
      </c>
      <c r="H320" s="34" t="s">
        <v>668</v>
      </c>
      <c r="I320" s="2" t="s">
        <v>19</v>
      </c>
      <c r="J320" s="2" t="s">
        <v>19</v>
      </c>
      <c r="K320" s="2" t="s">
        <v>19</v>
      </c>
      <c r="L320" s="2" t="s">
        <v>19</v>
      </c>
    </row>
    <row r="321" customFormat="false" ht="15" hidden="false" customHeight="false" outlineLevel="0" collapsed="false">
      <c r="A321" s="2" t="s">
        <v>918</v>
      </c>
      <c r="B321" s="14" t="s">
        <v>917</v>
      </c>
      <c r="C321" s="14" t="s">
        <v>77</v>
      </c>
      <c r="D321" s="14" t="s">
        <v>3519</v>
      </c>
      <c r="E321" s="14" t="s">
        <v>170</v>
      </c>
      <c r="F321" s="2" t="s">
        <v>129</v>
      </c>
      <c r="G321" s="2" t="s">
        <v>3195</v>
      </c>
      <c r="H321" s="34" t="s">
        <v>668</v>
      </c>
      <c r="I321" s="2" t="s">
        <v>21</v>
      </c>
      <c r="J321" s="2" t="s">
        <v>21</v>
      </c>
      <c r="K321" s="2" t="s">
        <v>21</v>
      </c>
      <c r="L321" s="2" t="s">
        <v>21</v>
      </c>
    </row>
    <row r="322" customFormat="false" ht="15" hidden="false" customHeight="false" outlineLevel="0" collapsed="false">
      <c r="A322" s="2" t="s">
        <v>470</v>
      </c>
      <c r="B322" s="13" t="s">
        <v>469</v>
      </c>
      <c r="C322" s="13" t="s">
        <v>102</v>
      </c>
      <c r="D322" s="13" t="s">
        <v>3520</v>
      </c>
      <c r="E322" s="13" t="s">
        <v>170</v>
      </c>
      <c r="F322" s="2" t="s">
        <v>129</v>
      </c>
      <c r="G322" s="2" t="s">
        <v>3215</v>
      </c>
      <c r="H322" s="39" t="s">
        <v>671</v>
      </c>
      <c r="I322" s="2" t="s">
        <v>19</v>
      </c>
      <c r="J322" s="2" t="s">
        <v>19</v>
      </c>
      <c r="K322" s="2" t="s">
        <v>19</v>
      </c>
      <c r="L322" s="2" t="s">
        <v>19</v>
      </c>
    </row>
    <row r="323" customFormat="false" ht="15" hidden="false" customHeight="false" outlineLevel="0" collapsed="false">
      <c r="A323" s="2" t="s">
        <v>2239</v>
      </c>
      <c r="B323" s="13" t="s">
        <v>2238</v>
      </c>
      <c r="C323" s="13" t="s">
        <v>138</v>
      </c>
      <c r="D323" s="13" t="s">
        <v>3521</v>
      </c>
      <c r="E323" s="13" t="s">
        <v>99</v>
      </c>
      <c r="F323" s="2" t="s">
        <v>129</v>
      </c>
      <c r="G323" s="2" t="s">
        <v>3193</v>
      </c>
      <c r="H323" s="34" t="s">
        <v>668</v>
      </c>
      <c r="I323" s="2" t="s">
        <v>19</v>
      </c>
      <c r="J323" s="2" t="s">
        <v>19</v>
      </c>
      <c r="K323" s="2" t="s">
        <v>19</v>
      </c>
      <c r="L323" s="2" t="s">
        <v>19</v>
      </c>
    </row>
    <row r="324" customFormat="false" ht="15" hidden="false" customHeight="false" outlineLevel="0" collapsed="false">
      <c r="A324" s="2" t="s">
        <v>2161</v>
      </c>
      <c r="B324" s="13" t="s">
        <v>2160</v>
      </c>
      <c r="C324" s="13" t="s">
        <v>72</v>
      </c>
      <c r="D324" s="13" t="s">
        <v>3522</v>
      </c>
      <c r="E324" s="13" t="s">
        <v>118</v>
      </c>
      <c r="F324" s="2" t="s">
        <v>129</v>
      </c>
      <c r="G324" s="2" t="s">
        <v>3193</v>
      </c>
      <c r="H324" s="34" t="s">
        <v>668</v>
      </c>
      <c r="I324" s="2" t="s">
        <v>19</v>
      </c>
      <c r="J324" s="2" t="s">
        <v>19</v>
      </c>
      <c r="K324" s="2" t="s">
        <v>19</v>
      </c>
      <c r="L324" s="2" t="s">
        <v>19</v>
      </c>
    </row>
    <row r="325" customFormat="false" ht="15" hidden="false" customHeight="false" outlineLevel="0" collapsed="false">
      <c r="A325" s="2" t="s">
        <v>1126</v>
      </c>
      <c r="B325" s="14" t="s">
        <v>1125</v>
      </c>
      <c r="C325" s="14" t="s">
        <v>105</v>
      </c>
      <c r="D325" s="15" t="s">
        <v>3523</v>
      </c>
      <c r="E325" s="14" t="s">
        <v>73</v>
      </c>
      <c r="F325" s="2" t="s">
        <v>129</v>
      </c>
      <c r="G325" s="2" t="s">
        <v>3195</v>
      </c>
      <c r="H325" s="34" t="s">
        <v>668</v>
      </c>
      <c r="I325" s="2" t="s">
        <v>21</v>
      </c>
      <c r="J325" s="2" t="s">
        <v>21</v>
      </c>
      <c r="K325" s="2" t="s">
        <v>17</v>
      </c>
      <c r="L325" s="2" t="s">
        <v>21</v>
      </c>
    </row>
    <row r="326" customFormat="false" ht="15" hidden="false" customHeight="false" outlineLevel="0" collapsed="false">
      <c r="A326" s="2" t="s">
        <v>1849</v>
      </c>
      <c r="B326" s="13" t="s">
        <v>1848</v>
      </c>
      <c r="C326" s="13" t="s">
        <v>92</v>
      </c>
      <c r="D326" s="16"/>
      <c r="E326" s="13" t="s">
        <v>96</v>
      </c>
      <c r="F326" s="2" t="s">
        <v>125</v>
      </c>
      <c r="G326" s="2" t="s">
        <v>3205</v>
      </c>
      <c r="H326" s="34" t="s">
        <v>668</v>
      </c>
      <c r="I326" s="2" t="s">
        <v>19</v>
      </c>
      <c r="J326" s="2" t="s">
        <v>19</v>
      </c>
      <c r="K326" s="2"/>
      <c r="L326" s="2" t="s">
        <v>19</v>
      </c>
    </row>
    <row r="327" customFormat="false" ht="15" hidden="false" customHeight="false" outlineLevel="0" collapsed="false">
      <c r="A327" s="2" t="s">
        <v>2883</v>
      </c>
      <c r="B327" s="15" t="s">
        <v>3524</v>
      </c>
      <c r="C327" s="16"/>
      <c r="D327" s="16"/>
      <c r="E327" s="16"/>
      <c r="F327" s="2" t="s">
        <v>47</v>
      </c>
      <c r="G327" s="2" t="s">
        <v>3202</v>
      </c>
      <c r="H327" s="34" t="s">
        <v>668</v>
      </c>
      <c r="I327" s="2" t="s">
        <v>17</v>
      </c>
      <c r="J327" s="2"/>
      <c r="K327" s="2"/>
      <c r="L327" s="2"/>
    </row>
    <row r="328" customFormat="false" ht="15" hidden="false" customHeight="false" outlineLevel="0" collapsed="false">
      <c r="A328" s="2" t="s">
        <v>258</v>
      </c>
      <c r="B328" s="13" t="s">
        <v>257</v>
      </c>
      <c r="C328" s="13" t="s">
        <v>72</v>
      </c>
      <c r="D328" s="13" t="s">
        <v>3525</v>
      </c>
      <c r="E328" s="13" t="s">
        <v>170</v>
      </c>
      <c r="F328" s="2" t="s">
        <v>129</v>
      </c>
      <c r="G328" s="2" t="s">
        <v>3215</v>
      </c>
      <c r="H328" s="39" t="s">
        <v>671</v>
      </c>
      <c r="I328" s="2" t="s">
        <v>19</v>
      </c>
      <c r="J328" s="2" t="s">
        <v>19</v>
      </c>
      <c r="K328" s="2" t="s">
        <v>19</v>
      </c>
      <c r="L328" s="2" t="s">
        <v>19</v>
      </c>
    </row>
    <row r="329" customFormat="false" ht="15" hidden="false" customHeight="false" outlineLevel="0" collapsed="false">
      <c r="A329" s="2" t="s">
        <v>2884</v>
      </c>
      <c r="B329" s="13" t="s">
        <v>3526</v>
      </c>
      <c r="C329" s="13" t="s">
        <v>102</v>
      </c>
      <c r="D329" s="13" t="s">
        <v>3527</v>
      </c>
      <c r="E329" s="13" t="s">
        <v>93</v>
      </c>
      <c r="F329" s="2" t="s">
        <v>47</v>
      </c>
      <c r="G329" s="2" t="s">
        <v>3202</v>
      </c>
      <c r="H329" s="34" t="s">
        <v>668</v>
      </c>
      <c r="I329" s="2" t="s">
        <v>19</v>
      </c>
      <c r="J329" s="2" t="s">
        <v>19</v>
      </c>
      <c r="K329" s="2" t="s">
        <v>19</v>
      </c>
      <c r="L329" s="2" t="s">
        <v>19</v>
      </c>
    </row>
    <row r="330" customFormat="false" ht="15" hidden="false" customHeight="false" outlineLevel="0" collapsed="false">
      <c r="A330" s="2" t="s">
        <v>1075</v>
      </c>
      <c r="B330" s="13" t="s">
        <v>1074</v>
      </c>
      <c r="C330" s="14" t="s">
        <v>72</v>
      </c>
      <c r="D330" s="13" t="s">
        <v>3528</v>
      </c>
      <c r="E330" s="13" t="s">
        <v>108</v>
      </c>
      <c r="F330" s="2" t="s">
        <v>129</v>
      </c>
      <c r="G330" s="2" t="s">
        <v>3195</v>
      </c>
      <c r="H330" s="34" t="s">
        <v>668</v>
      </c>
      <c r="I330" s="2" t="s">
        <v>19</v>
      </c>
      <c r="J330" s="2" t="s">
        <v>21</v>
      </c>
      <c r="K330" s="2" t="s">
        <v>19</v>
      </c>
      <c r="L330" s="2" t="s">
        <v>19</v>
      </c>
    </row>
    <row r="331" customFormat="false" ht="15" hidden="false" customHeight="false" outlineLevel="0" collapsed="false">
      <c r="A331" s="2" t="s">
        <v>1485</v>
      </c>
      <c r="B331" s="13" t="s">
        <v>1484</v>
      </c>
      <c r="C331" s="13" t="s">
        <v>102</v>
      </c>
      <c r="D331" s="13" t="s">
        <v>3529</v>
      </c>
      <c r="E331" s="13" t="s">
        <v>99</v>
      </c>
      <c r="F331" s="2" t="s">
        <v>129</v>
      </c>
      <c r="G331" s="2" t="s">
        <v>3195</v>
      </c>
      <c r="H331" s="34" t="s">
        <v>668</v>
      </c>
      <c r="I331" s="2" t="s">
        <v>19</v>
      </c>
      <c r="J331" s="2" t="s">
        <v>19</v>
      </c>
      <c r="K331" s="2" t="s">
        <v>19</v>
      </c>
      <c r="L331" s="2" t="s">
        <v>19</v>
      </c>
    </row>
    <row r="332" customFormat="false" ht="15" hidden="false" customHeight="false" outlineLevel="0" collapsed="false">
      <c r="A332" s="2" t="s">
        <v>2430</v>
      </c>
      <c r="B332" s="13" t="s">
        <v>2429</v>
      </c>
      <c r="C332" s="13" t="s">
        <v>114</v>
      </c>
      <c r="D332" s="13" t="s">
        <v>3530</v>
      </c>
      <c r="E332" s="13" t="s">
        <v>99</v>
      </c>
      <c r="F332" s="2" t="s">
        <v>175</v>
      </c>
      <c r="G332" s="2" t="s">
        <v>3205</v>
      </c>
      <c r="H332" s="34" t="s">
        <v>668</v>
      </c>
      <c r="I332" s="2" t="s">
        <v>19</v>
      </c>
      <c r="J332" s="2" t="s">
        <v>19</v>
      </c>
      <c r="K332" s="2" t="s">
        <v>19</v>
      </c>
      <c r="L332" s="2" t="s">
        <v>19</v>
      </c>
    </row>
    <row r="333" customFormat="false" ht="15" hidden="false" customHeight="false" outlineLevel="0" collapsed="false">
      <c r="A333" s="2" t="s">
        <v>2887</v>
      </c>
      <c r="B333" s="14" t="s">
        <v>3531</v>
      </c>
      <c r="C333" s="14" t="s">
        <v>92</v>
      </c>
      <c r="D333" s="16"/>
      <c r="E333" s="14" t="s">
        <v>99</v>
      </c>
      <c r="F333" s="2" t="s">
        <v>46</v>
      </c>
      <c r="G333" s="2" t="s">
        <v>3202</v>
      </c>
      <c r="H333" s="34" t="s">
        <v>668</v>
      </c>
      <c r="I333" s="2" t="s">
        <v>21</v>
      </c>
      <c r="J333" s="2" t="s">
        <v>21</v>
      </c>
      <c r="K333" s="2"/>
      <c r="L333" s="2" t="s">
        <v>21</v>
      </c>
    </row>
    <row r="334" customFormat="false" ht="15" hidden="false" customHeight="false" outlineLevel="0" collapsed="false">
      <c r="A334" s="2" t="s">
        <v>984</v>
      </c>
      <c r="B334" s="13" t="s">
        <v>983</v>
      </c>
      <c r="C334" s="13" t="s">
        <v>87</v>
      </c>
      <c r="D334" s="13" t="s">
        <v>3532</v>
      </c>
      <c r="E334" s="13" t="s">
        <v>108</v>
      </c>
      <c r="F334" s="2" t="s">
        <v>129</v>
      </c>
      <c r="G334" s="2" t="s">
        <v>3195</v>
      </c>
      <c r="H334" s="34" t="s">
        <v>668</v>
      </c>
      <c r="I334" s="2" t="s">
        <v>19</v>
      </c>
      <c r="J334" s="2" t="s">
        <v>19</v>
      </c>
      <c r="K334" s="2" t="s">
        <v>19</v>
      </c>
      <c r="L334" s="2" t="s">
        <v>19</v>
      </c>
    </row>
    <row r="335" customFormat="false" ht="15" hidden="false" customHeight="false" outlineLevel="0" collapsed="false">
      <c r="A335" s="2" t="s">
        <v>735</v>
      </c>
      <c r="B335" s="13" t="s">
        <v>734</v>
      </c>
      <c r="C335" s="13" t="s">
        <v>105</v>
      </c>
      <c r="D335" s="13" t="s">
        <v>3533</v>
      </c>
      <c r="E335" s="13" t="s">
        <v>99</v>
      </c>
      <c r="F335" s="2" t="s">
        <v>129</v>
      </c>
      <c r="G335" s="2" t="s">
        <v>3195</v>
      </c>
      <c r="H335" s="34" t="s">
        <v>668</v>
      </c>
      <c r="I335" s="2" t="s">
        <v>19</v>
      </c>
      <c r="J335" s="2" t="s">
        <v>19</v>
      </c>
      <c r="K335" s="2" t="s">
        <v>19</v>
      </c>
      <c r="L335" s="2" t="s">
        <v>19</v>
      </c>
    </row>
    <row r="336" customFormat="false" ht="15" hidden="false" customHeight="false" outlineLevel="0" collapsed="false">
      <c r="A336" s="2" t="s">
        <v>372</v>
      </c>
      <c r="B336" s="13" t="s">
        <v>371</v>
      </c>
      <c r="C336" s="13" t="s">
        <v>72</v>
      </c>
      <c r="D336" s="13" t="s">
        <v>3534</v>
      </c>
      <c r="E336" s="13" t="s">
        <v>115</v>
      </c>
      <c r="F336" s="2" t="s">
        <v>157</v>
      </c>
      <c r="G336" s="2" t="s">
        <v>3218</v>
      </c>
      <c r="H336" s="39" t="s">
        <v>671</v>
      </c>
      <c r="I336" s="2" t="s">
        <v>19</v>
      </c>
      <c r="J336" s="2" t="s">
        <v>19</v>
      </c>
      <c r="K336" s="2" t="s">
        <v>19</v>
      </c>
      <c r="L336" s="2" t="s">
        <v>19</v>
      </c>
    </row>
    <row r="337" customFormat="false" ht="15" hidden="false" customHeight="false" outlineLevel="0" collapsed="false">
      <c r="A337" s="2" t="s">
        <v>2890</v>
      </c>
      <c r="B337" s="14" t="s">
        <v>3535</v>
      </c>
      <c r="C337" s="14" t="s">
        <v>81</v>
      </c>
      <c r="D337" s="16"/>
      <c r="E337" s="14" t="s">
        <v>115</v>
      </c>
      <c r="F337" s="2" t="s">
        <v>129</v>
      </c>
      <c r="G337" s="2" t="s">
        <v>3297</v>
      </c>
      <c r="H337" s="34" t="s">
        <v>668</v>
      </c>
      <c r="I337" s="2" t="s">
        <v>21</v>
      </c>
      <c r="J337" s="2" t="s">
        <v>21</v>
      </c>
      <c r="K337" s="2"/>
      <c r="L337" s="2" t="s">
        <v>21</v>
      </c>
    </row>
    <row r="338" customFormat="false" ht="15" hidden="false" customHeight="false" outlineLevel="0" collapsed="false">
      <c r="A338" s="2" t="s">
        <v>550</v>
      </c>
      <c r="B338" s="13" t="s">
        <v>549</v>
      </c>
      <c r="C338" s="13" t="s">
        <v>114</v>
      </c>
      <c r="D338" s="14" t="s">
        <v>3536</v>
      </c>
      <c r="E338" s="13" t="s">
        <v>115</v>
      </c>
      <c r="F338" s="2" t="s">
        <v>129</v>
      </c>
      <c r="G338" s="2" t="s">
        <v>3215</v>
      </c>
      <c r="H338" s="39" t="s">
        <v>671</v>
      </c>
      <c r="I338" s="2" t="s">
        <v>19</v>
      </c>
      <c r="J338" s="2" t="s">
        <v>19</v>
      </c>
      <c r="K338" s="2" t="s">
        <v>21</v>
      </c>
      <c r="L338" s="2" t="s">
        <v>19</v>
      </c>
    </row>
    <row r="339" customFormat="false" ht="15" hidden="false" customHeight="false" outlineLevel="0" collapsed="false">
      <c r="A339" s="2" t="s">
        <v>979</v>
      </c>
      <c r="B339" s="13" t="s">
        <v>978</v>
      </c>
      <c r="C339" s="13" t="s">
        <v>133</v>
      </c>
      <c r="D339" s="13" t="s">
        <v>3537</v>
      </c>
      <c r="E339" s="13" t="s">
        <v>99</v>
      </c>
      <c r="F339" s="2" t="s">
        <v>129</v>
      </c>
      <c r="G339" s="2" t="s">
        <v>3195</v>
      </c>
      <c r="H339" s="34" t="s">
        <v>668</v>
      </c>
      <c r="I339" s="2" t="s">
        <v>19</v>
      </c>
      <c r="J339" s="2" t="s">
        <v>19</v>
      </c>
      <c r="K339" s="2" t="s">
        <v>19</v>
      </c>
      <c r="L339" s="2" t="s">
        <v>19</v>
      </c>
    </row>
    <row r="340" customFormat="false" ht="15" hidden="false" customHeight="false" outlineLevel="0" collapsed="false">
      <c r="A340" s="2" t="s">
        <v>1846</v>
      </c>
      <c r="B340" s="13" t="s">
        <v>1845</v>
      </c>
      <c r="C340" s="13" t="s">
        <v>105</v>
      </c>
      <c r="D340" s="13" t="s">
        <v>3538</v>
      </c>
      <c r="E340" s="13" t="s">
        <v>93</v>
      </c>
      <c r="F340" s="2" t="s">
        <v>129</v>
      </c>
      <c r="G340" s="2" t="s">
        <v>3195</v>
      </c>
      <c r="H340" s="34" t="s">
        <v>668</v>
      </c>
      <c r="I340" s="2" t="s">
        <v>19</v>
      </c>
      <c r="J340" s="2" t="s">
        <v>19</v>
      </c>
      <c r="K340" s="2" t="s">
        <v>19</v>
      </c>
      <c r="L340" s="2" t="s">
        <v>19</v>
      </c>
    </row>
    <row r="341" customFormat="false" ht="15" hidden="false" customHeight="false" outlineLevel="0" collapsed="false">
      <c r="A341" s="2" t="s">
        <v>676</v>
      </c>
      <c r="B341" s="13" t="s">
        <v>675</v>
      </c>
      <c r="C341" s="13" t="s">
        <v>72</v>
      </c>
      <c r="D341" s="13" t="s">
        <v>3539</v>
      </c>
      <c r="E341" s="13" t="s">
        <v>108</v>
      </c>
      <c r="F341" s="2" t="s">
        <v>129</v>
      </c>
      <c r="G341" s="2" t="s">
        <v>3195</v>
      </c>
      <c r="H341" s="34" t="s">
        <v>668</v>
      </c>
      <c r="I341" s="2" t="s">
        <v>19</v>
      </c>
      <c r="J341" s="2" t="s">
        <v>19</v>
      </c>
      <c r="K341" s="2" t="s">
        <v>19</v>
      </c>
      <c r="L341" s="2" t="s">
        <v>19</v>
      </c>
    </row>
    <row r="342" customFormat="false" ht="15" hidden="false" customHeight="false" outlineLevel="0" collapsed="false">
      <c r="A342" s="2" t="s">
        <v>177</v>
      </c>
      <c r="B342" s="13" t="s">
        <v>176</v>
      </c>
      <c r="C342" s="13" t="s">
        <v>105</v>
      </c>
      <c r="D342" s="13" t="s">
        <v>3540</v>
      </c>
      <c r="E342" s="13" t="s">
        <v>170</v>
      </c>
      <c r="F342" s="2" t="s">
        <v>175</v>
      </c>
      <c r="G342" s="2" t="s">
        <v>3218</v>
      </c>
      <c r="H342" s="39" t="s">
        <v>671</v>
      </c>
      <c r="I342" s="2" t="s">
        <v>19</v>
      </c>
      <c r="J342" s="2" t="s">
        <v>19</v>
      </c>
      <c r="K342" s="2" t="s">
        <v>19</v>
      </c>
      <c r="L342" s="2" t="s">
        <v>19</v>
      </c>
    </row>
    <row r="343" customFormat="false" ht="15" hidden="false" customHeight="false" outlineLevel="0" collapsed="false">
      <c r="A343" s="2" t="s">
        <v>805</v>
      </c>
      <c r="B343" s="13" t="s">
        <v>804</v>
      </c>
      <c r="C343" s="13" t="s">
        <v>105</v>
      </c>
      <c r="D343" s="13" t="s">
        <v>3541</v>
      </c>
      <c r="E343" s="13" t="s">
        <v>93</v>
      </c>
      <c r="F343" s="2" t="s">
        <v>125</v>
      </c>
      <c r="G343" s="2" t="s">
        <v>3205</v>
      </c>
      <c r="H343" s="34" t="s">
        <v>668</v>
      </c>
      <c r="I343" s="2" t="s">
        <v>19</v>
      </c>
      <c r="J343" s="2" t="s">
        <v>19</v>
      </c>
      <c r="K343" s="2" t="s">
        <v>19</v>
      </c>
      <c r="L343" s="2" t="s">
        <v>19</v>
      </c>
    </row>
    <row r="344" customFormat="false" ht="15" hidden="false" customHeight="false" outlineLevel="0" collapsed="false">
      <c r="A344" s="2" t="s">
        <v>212</v>
      </c>
      <c r="B344" s="13" t="s">
        <v>211</v>
      </c>
      <c r="C344" s="13" t="s">
        <v>105</v>
      </c>
      <c r="D344" s="13" t="s">
        <v>3542</v>
      </c>
      <c r="E344" s="13" t="s">
        <v>115</v>
      </c>
      <c r="F344" s="2" t="s">
        <v>46</v>
      </c>
      <c r="G344" s="2" t="s">
        <v>3208</v>
      </c>
      <c r="H344" s="39" t="s">
        <v>671</v>
      </c>
      <c r="I344" s="2" t="s">
        <v>19</v>
      </c>
      <c r="J344" s="2" t="s">
        <v>19</v>
      </c>
      <c r="K344" s="2" t="s">
        <v>19</v>
      </c>
      <c r="L344" s="2" t="s">
        <v>19</v>
      </c>
    </row>
    <row r="345" customFormat="false" ht="15" hidden="false" customHeight="false" outlineLevel="0" collapsed="false">
      <c r="A345" s="2" t="s">
        <v>2894</v>
      </c>
      <c r="B345" s="14" t="s">
        <v>3543</v>
      </c>
      <c r="C345" s="14" t="s">
        <v>133</v>
      </c>
      <c r="D345" s="14" t="s">
        <v>3544</v>
      </c>
      <c r="E345" s="14" t="s">
        <v>96</v>
      </c>
      <c r="F345" s="2" t="s">
        <v>129</v>
      </c>
      <c r="G345" s="2" t="s">
        <v>3297</v>
      </c>
      <c r="H345" s="34" t="s">
        <v>668</v>
      </c>
      <c r="I345" s="2" t="s">
        <v>21</v>
      </c>
      <c r="J345" s="2" t="s">
        <v>21</v>
      </c>
      <c r="K345" s="2" t="s">
        <v>21</v>
      </c>
      <c r="L345" s="2" t="s">
        <v>21</v>
      </c>
    </row>
    <row r="346" customFormat="false" ht="15" hidden="false" customHeight="false" outlineLevel="0" collapsed="false">
      <c r="A346" s="2" t="s">
        <v>165</v>
      </c>
      <c r="B346" s="13" t="s">
        <v>164</v>
      </c>
      <c r="C346" s="13" t="s">
        <v>102</v>
      </c>
      <c r="D346" s="13" t="s">
        <v>3545</v>
      </c>
      <c r="E346" s="13" t="s">
        <v>99</v>
      </c>
      <c r="F346" s="2" t="s">
        <v>45</v>
      </c>
      <c r="G346" s="2" t="s">
        <v>3208</v>
      </c>
      <c r="H346" s="39" t="s">
        <v>671</v>
      </c>
      <c r="I346" s="2" t="s">
        <v>19</v>
      </c>
      <c r="J346" s="2" t="s">
        <v>19</v>
      </c>
      <c r="K346" s="2" t="s">
        <v>19</v>
      </c>
      <c r="L346" s="2" t="s">
        <v>19</v>
      </c>
    </row>
    <row r="347" customFormat="false" ht="15" hidden="false" customHeight="false" outlineLevel="0" collapsed="false">
      <c r="A347" s="2" t="s">
        <v>2897</v>
      </c>
      <c r="B347" s="13" t="s">
        <v>3546</v>
      </c>
      <c r="C347" s="14" t="s">
        <v>133</v>
      </c>
      <c r="D347" s="13" t="s">
        <v>3547</v>
      </c>
      <c r="E347" s="13" t="s">
        <v>108</v>
      </c>
      <c r="F347" s="2" t="s">
        <v>45</v>
      </c>
      <c r="G347" s="2" t="s">
        <v>3202</v>
      </c>
      <c r="H347" s="34" t="s">
        <v>668</v>
      </c>
      <c r="I347" s="2" t="s">
        <v>19</v>
      </c>
      <c r="J347" s="2" t="s">
        <v>21</v>
      </c>
      <c r="K347" s="2" t="s">
        <v>19</v>
      </c>
      <c r="L347" s="2" t="s">
        <v>19</v>
      </c>
    </row>
    <row r="348" customFormat="false" ht="15" hidden="false" customHeight="false" outlineLevel="0" collapsed="false">
      <c r="A348" s="2" t="s">
        <v>1430</v>
      </c>
      <c r="B348" s="13" t="s">
        <v>1429</v>
      </c>
      <c r="C348" s="13" t="s">
        <v>92</v>
      </c>
      <c r="D348" s="16"/>
      <c r="E348" s="13" t="s">
        <v>93</v>
      </c>
      <c r="F348" s="2" t="s">
        <v>129</v>
      </c>
      <c r="G348" s="2" t="s">
        <v>3193</v>
      </c>
      <c r="H348" s="34" t="s">
        <v>668</v>
      </c>
      <c r="I348" s="2" t="s">
        <v>19</v>
      </c>
      <c r="J348" s="2" t="s">
        <v>19</v>
      </c>
      <c r="K348" s="2"/>
      <c r="L348" s="2" t="s">
        <v>19</v>
      </c>
    </row>
    <row r="349" customFormat="false" ht="15" hidden="false" customHeight="false" outlineLevel="0" collapsed="false">
      <c r="A349" s="2" t="s">
        <v>2900</v>
      </c>
      <c r="B349" s="14" t="s">
        <v>3548</v>
      </c>
      <c r="C349" s="14" t="s">
        <v>102</v>
      </c>
      <c r="D349" s="14" t="s">
        <v>3549</v>
      </c>
      <c r="E349" s="14" t="s">
        <v>99</v>
      </c>
      <c r="F349" s="2" t="s">
        <v>46</v>
      </c>
      <c r="G349" s="2" t="s">
        <v>3202</v>
      </c>
      <c r="H349" s="34" t="s">
        <v>668</v>
      </c>
      <c r="I349" s="2" t="s">
        <v>21</v>
      </c>
      <c r="J349" s="2" t="s">
        <v>21</v>
      </c>
      <c r="K349" s="2" t="s">
        <v>21</v>
      </c>
      <c r="L349" s="2" t="s">
        <v>21</v>
      </c>
    </row>
    <row r="350" customFormat="false" ht="15" hidden="false" customHeight="false" outlineLevel="0" collapsed="false">
      <c r="A350" s="2" t="s">
        <v>1770</v>
      </c>
      <c r="B350" s="13" t="s">
        <v>1769</v>
      </c>
      <c r="C350" s="13" t="s">
        <v>138</v>
      </c>
      <c r="D350" s="13" t="s">
        <v>3550</v>
      </c>
      <c r="E350" s="13" t="s">
        <v>111</v>
      </c>
      <c r="F350" s="2" t="s">
        <v>129</v>
      </c>
      <c r="G350" s="2" t="s">
        <v>3195</v>
      </c>
      <c r="H350" s="34" t="s">
        <v>668</v>
      </c>
      <c r="I350" s="2" t="s">
        <v>19</v>
      </c>
      <c r="J350" s="2" t="s">
        <v>19</v>
      </c>
      <c r="K350" s="2" t="s">
        <v>19</v>
      </c>
      <c r="L350" s="2" t="s">
        <v>19</v>
      </c>
    </row>
    <row r="351" customFormat="false" ht="15" hidden="false" customHeight="false" outlineLevel="0" collapsed="false">
      <c r="A351" s="2" t="s">
        <v>2902</v>
      </c>
      <c r="B351" s="13" t="s">
        <v>3551</v>
      </c>
      <c r="C351" s="13" t="s">
        <v>87</v>
      </c>
      <c r="D351" s="13" t="s">
        <v>3552</v>
      </c>
      <c r="E351" s="13" t="s">
        <v>118</v>
      </c>
      <c r="F351" s="2" t="s">
        <v>46</v>
      </c>
      <c r="G351" s="2" t="s">
        <v>3202</v>
      </c>
      <c r="H351" s="34" t="s">
        <v>668</v>
      </c>
      <c r="I351" s="2" t="s">
        <v>19</v>
      </c>
      <c r="J351" s="2" t="s">
        <v>19</v>
      </c>
      <c r="K351" s="2" t="s">
        <v>19</v>
      </c>
      <c r="L351" s="2" t="s">
        <v>19</v>
      </c>
    </row>
    <row r="352" customFormat="false" ht="15" hidden="false" customHeight="false" outlineLevel="0" collapsed="false">
      <c r="A352" s="2" t="s">
        <v>1391</v>
      </c>
      <c r="B352" s="14" t="s">
        <v>1390</v>
      </c>
      <c r="C352" s="14" t="s">
        <v>81</v>
      </c>
      <c r="D352" s="14" t="s">
        <v>3553</v>
      </c>
      <c r="E352" s="14" t="s">
        <v>111</v>
      </c>
      <c r="F352" s="2" t="s">
        <v>125</v>
      </c>
      <c r="G352" s="2" t="s">
        <v>3205</v>
      </c>
      <c r="H352" s="34" t="s">
        <v>668</v>
      </c>
      <c r="I352" s="2" t="s">
        <v>21</v>
      </c>
      <c r="J352" s="2" t="s">
        <v>21</v>
      </c>
      <c r="K352" s="2" t="s">
        <v>21</v>
      </c>
      <c r="L352" s="2" t="s">
        <v>21</v>
      </c>
    </row>
    <row r="353" customFormat="false" ht="15" hidden="false" customHeight="false" outlineLevel="0" collapsed="false">
      <c r="A353" s="2" t="s">
        <v>396</v>
      </c>
      <c r="B353" s="13" t="s">
        <v>395</v>
      </c>
      <c r="C353" s="13" t="s">
        <v>105</v>
      </c>
      <c r="D353" s="13" t="s">
        <v>3554</v>
      </c>
      <c r="E353" s="13" t="s">
        <v>73</v>
      </c>
      <c r="F353" s="2" t="s">
        <v>129</v>
      </c>
      <c r="G353" s="2" t="s">
        <v>3215</v>
      </c>
      <c r="H353" s="39" t="s">
        <v>671</v>
      </c>
      <c r="I353" s="2" t="s">
        <v>19</v>
      </c>
      <c r="J353" s="2" t="s">
        <v>19</v>
      </c>
      <c r="K353" s="2" t="s">
        <v>19</v>
      </c>
      <c r="L353" s="2" t="s">
        <v>19</v>
      </c>
    </row>
    <row r="354" customFormat="false" ht="15" hidden="false" customHeight="false" outlineLevel="0" collapsed="false">
      <c r="A354" s="2" t="s">
        <v>2123</v>
      </c>
      <c r="B354" s="13" t="s">
        <v>2122</v>
      </c>
      <c r="C354" s="13" t="s">
        <v>92</v>
      </c>
      <c r="D354" s="13" t="s">
        <v>3555</v>
      </c>
      <c r="E354" s="14" t="s">
        <v>115</v>
      </c>
      <c r="F354" s="2" t="s">
        <v>129</v>
      </c>
      <c r="G354" s="2" t="s">
        <v>3193</v>
      </c>
      <c r="H354" s="34" t="s">
        <v>668</v>
      </c>
      <c r="I354" s="2" t="s">
        <v>19</v>
      </c>
      <c r="J354" s="2" t="s">
        <v>19</v>
      </c>
      <c r="K354" s="2" t="s">
        <v>19</v>
      </c>
      <c r="L354" s="2" t="s">
        <v>21</v>
      </c>
    </row>
    <row r="355" customFormat="false" ht="15" hidden="false" customHeight="false" outlineLevel="0" collapsed="false">
      <c r="A355" s="2" t="s">
        <v>498</v>
      </c>
      <c r="B355" s="13" t="s">
        <v>497</v>
      </c>
      <c r="C355" s="13" t="s">
        <v>81</v>
      </c>
      <c r="D355" s="13" t="s">
        <v>3556</v>
      </c>
      <c r="E355" s="13" t="s">
        <v>82</v>
      </c>
      <c r="F355" s="2" t="s">
        <v>129</v>
      </c>
      <c r="G355" s="2" t="s">
        <v>3215</v>
      </c>
      <c r="H355" s="39" t="s">
        <v>671</v>
      </c>
      <c r="I355" s="2" t="s">
        <v>19</v>
      </c>
      <c r="J355" s="2" t="s">
        <v>19</v>
      </c>
      <c r="K355" s="2" t="s">
        <v>19</v>
      </c>
      <c r="L355" s="2" t="s">
        <v>19</v>
      </c>
    </row>
    <row r="356" customFormat="false" ht="15" hidden="false" customHeight="false" outlineLevel="0" collapsed="false">
      <c r="A356" s="2" t="s">
        <v>858</v>
      </c>
      <c r="B356" s="13" t="s">
        <v>857</v>
      </c>
      <c r="C356" s="13" t="s">
        <v>81</v>
      </c>
      <c r="D356" s="13" t="s">
        <v>3557</v>
      </c>
      <c r="E356" s="13" t="s">
        <v>99</v>
      </c>
      <c r="F356" s="2" t="s">
        <v>129</v>
      </c>
      <c r="G356" s="2" t="s">
        <v>3195</v>
      </c>
      <c r="H356" s="34" t="s">
        <v>668</v>
      </c>
      <c r="I356" s="2" t="s">
        <v>19</v>
      </c>
      <c r="J356" s="2" t="s">
        <v>19</v>
      </c>
      <c r="K356" s="2" t="s">
        <v>19</v>
      </c>
      <c r="L356" s="2" t="s">
        <v>19</v>
      </c>
    </row>
    <row r="357" customFormat="false" ht="15" hidden="false" customHeight="false" outlineLevel="0" collapsed="false">
      <c r="A357" s="2" t="s">
        <v>2669</v>
      </c>
      <c r="B357" s="13" t="s">
        <v>2668</v>
      </c>
      <c r="C357" s="13" t="s">
        <v>105</v>
      </c>
      <c r="D357" s="13" t="s">
        <v>3558</v>
      </c>
      <c r="E357" s="13" t="s">
        <v>115</v>
      </c>
      <c r="F357" s="2" t="s">
        <v>129</v>
      </c>
      <c r="G357" s="2" t="s">
        <v>3193</v>
      </c>
      <c r="H357" s="34" t="s">
        <v>668</v>
      </c>
      <c r="I357" s="2" t="s">
        <v>19</v>
      </c>
      <c r="J357" s="2" t="s">
        <v>19</v>
      </c>
      <c r="K357" s="2" t="s">
        <v>19</v>
      </c>
      <c r="L357" s="2" t="s">
        <v>19</v>
      </c>
    </row>
    <row r="358" customFormat="false" ht="15" hidden="false" customHeight="false" outlineLevel="0" collapsed="false">
      <c r="A358" s="2" t="s">
        <v>1666</v>
      </c>
      <c r="B358" s="13" t="s">
        <v>1665</v>
      </c>
      <c r="C358" s="13" t="s">
        <v>105</v>
      </c>
      <c r="D358" s="13" t="s">
        <v>3559</v>
      </c>
      <c r="E358" s="14" t="s">
        <v>118</v>
      </c>
      <c r="F358" s="2" t="s">
        <v>129</v>
      </c>
      <c r="G358" s="2" t="s">
        <v>3195</v>
      </c>
      <c r="H358" s="34" t="s">
        <v>668</v>
      </c>
      <c r="I358" s="2" t="s">
        <v>19</v>
      </c>
      <c r="J358" s="2" t="s">
        <v>19</v>
      </c>
      <c r="K358" s="2" t="s">
        <v>19</v>
      </c>
      <c r="L358" s="2" t="s">
        <v>21</v>
      </c>
    </row>
    <row r="359" customFormat="false" ht="15" hidden="false" customHeight="false" outlineLevel="0" collapsed="false">
      <c r="A359" s="2" t="s">
        <v>1304</v>
      </c>
      <c r="B359" s="13" t="s">
        <v>1303</v>
      </c>
      <c r="C359" s="13" t="s">
        <v>105</v>
      </c>
      <c r="D359" s="13" t="s">
        <v>3560</v>
      </c>
      <c r="E359" s="13" t="s">
        <v>93</v>
      </c>
      <c r="F359" s="2" t="s">
        <v>129</v>
      </c>
      <c r="G359" s="2" t="s">
        <v>3195</v>
      </c>
      <c r="H359" s="34" t="s">
        <v>668</v>
      </c>
      <c r="I359" s="2" t="s">
        <v>19</v>
      </c>
      <c r="J359" s="2" t="s">
        <v>19</v>
      </c>
      <c r="K359" s="2" t="s">
        <v>19</v>
      </c>
      <c r="L359" s="2" t="s">
        <v>19</v>
      </c>
    </row>
    <row r="360" customFormat="false" ht="15" hidden="false" customHeight="false" outlineLevel="0" collapsed="false">
      <c r="A360" s="2" t="s">
        <v>714</v>
      </c>
      <c r="B360" s="13" t="s">
        <v>713</v>
      </c>
      <c r="C360" s="13" t="s">
        <v>81</v>
      </c>
      <c r="D360" s="13" t="s">
        <v>3561</v>
      </c>
      <c r="E360" s="13" t="s">
        <v>108</v>
      </c>
      <c r="F360" s="2" t="s">
        <v>129</v>
      </c>
      <c r="G360" s="2" t="s">
        <v>3193</v>
      </c>
      <c r="H360" s="34" t="s">
        <v>668</v>
      </c>
      <c r="I360" s="2" t="s">
        <v>19</v>
      </c>
      <c r="J360" s="2" t="s">
        <v>19</v>
      </c>
      <c r="K360" s="2" t="s">
        <v>19</v>
      </c>
      <c r="L360" s="2" t="s">
        <v>19</v>
      </c>
    </row>
    <row r="361" customFormat="false" ht="15" hidden="false" customHeight="false" outlineLevel="0" collapsed="false">
      <c r="A361" s="2" t="s">
        <v>2155</v>
      </c>
      <c r="B361" s="13" t="s">
        <v>2154</v>
      </c>
      <c r="C361" s="13" t="s">
        <v>114</v>
      </c>
      <c r="D361" s="13" t="s">
        <v>3562</v>
      </c>
      <c r="E361" s="13" t="s">
        <v>115</v>
      </c>
      <c r="F361" s="2" t="s">
        <v>129</v>
      </c>
      <c r="G361" s="2" t="s">
        <v>3193</v>
      </c>
      <c r="H361" s="34" t="s">
        <v>668</v>
      </c>
      <c r="I361" s="2" t="s">
        <v>19</v>
      </c>
      <c r="J361" s="2" t="s">
        <v>19</v>
      </c>
      <c r="K361" s="2" t="s">
        <v>19</v>
      </c>
      <c r="L361" s="2" t="s">
        <v>19</v>
      </c>
    </row>
    <row r="362" customFormat="false" ht="15" hidden="false" customHeight="false" outlineLevel="0" collapsed="false">
      <c r="A362" s="2" t="s">
        <v>900</v>
      </c>
      <c r="B362" s="13" t="s">
        <v>899</v>
      </c>
      <c r="C362" s="13" t="s">
        <v>87</v>
      </c>
      <c r="D362" s="13" t="s">
        <v>3563</v>
      </c>
      <c r="E362" s="13" t="s">
        <v>118</v>
      </c>
      <c r="F362" s="2" t="s">
        <v>129</v>
      </c>
      <c r="G362" s="2" t="s">
        <v>3195</v>
      </c>
      <c r="H362" s="34" t="s">
        <v>668</v>
      </c>
      <c r="I362" s="2" t="s">
        <v>19</v>
      </c>
      <c r="J362" s="2" t="s">
        <v>19</v>
      </c>
      <c r="K362" s="2" t="s">
        <v>19</v>
      </c>
      <c r="L362" s="2" t="s">
        <v>19</v>
      </c>
    </row>
    <row r="363" customFormat="false" ht="15" hidden="false" customHeight="false" outlineLevel="0" collapsed="false">
      <c r="A363" s="2" t="s">
        <v>540</v>
      </c>
      <c r="B363" s="13" t="s">
        <v>539</v>
      </c>
      <c r="C363" s="13" t="s">
        <v>114</v>
      </c>
      <c r="D363" s="13" t="s">
        <v>3564</v>
      </c>
      <c r="E363" s="13" t="s">
        <v>111</v>
      </c>
      <c r="F363" s="2" t="s">
        <v>47</v>
      </c>
      <c r="G363" s="2" t="s">
        <v>3208</v>
      </c>
      <c r="H363" s="39" t="s">
        <v>671</v>
      </c>
      <c r="I363" s="2" t="s">
        <v>19</v>
      </c>
      <c r="J363" s="2" t="s">
        <v>19</v>
      </c>
      <c r="K363" s="2" t="s">
        <v>19</v>
      </c>
      <c r="L363" s="2" t="s">
        <v>19</v>
      </c>
    </row>
    <row r="364" customFormat="false" ht="15" hidden="false" customHeight="false" outlineLevel="0" collapsed="false">
      <c r="A364" s="2" t="s">
        <v>193</v>
      </c>
      <c r="B364" s="13" t="s">
        <v>192</v>
      </c>
      <c r="C364" s="13" t="s">
        <v>92</v>
      </c>
      <c r="D364" s="13" t="s">
        <v>3565</v>
      </c>
      <c r="E364" s="13" t="s">
        <v>73</v>
      </c>
      <c r="F364" s="2" t="s">
        <v>46</v>
      </c>
      <c r="G364" s="2" t="s">
        <v>3208</v>
      </c>
      <c r="H364" s="39" t="s">
        <v>671</v>
      </c>
      <c r="I364" s="2" t="s">
        <v>19</v>
      </c>
      <c r="J364" s="2" t="s">
        <v>19</v>
      </c>
      <c r="K364" s="2" t="s">
        <v>19</v>
      </c>
      <c r="L364" s="2" t="s">
        <v>19</v>
      </c>
    </row>
    <row r="365" customFormat="false" ht="15" hidden="false" customHeight="false" outlineLevel="0" collapsed="false">
      <c r="A365" s="2" t="s">
        <v>1645</v>
      </c>
      <c r="B365" s="13" t="s">
        <v>1644</v>
      </c>
      <c r="C365" s="13" t="s">
        <v>92</v>
      </c>
      <c r="D365" s="13" t="s">
        <v>3566</v>
      </c>
      <c r="E365" s="13" t="s">
        <v>111</v>
      </c>
      <c r="F365" s="2" t="s">
        <v>129</v>
      </c>
      <c r="G365" s="2" t="s">
        <v>3195</v>
      </c>
      <c r="H365" s="34" t="s">
        <v>668</v>
      </c>
      <c r="I365" s="2" t="s">
        <v>19</v>
      </c>
      <c r="J365" s="2" t="s">
        <v>19</v>
      </c>
      <c r="K365" s="2" t="s">
        <v>19</v>
      </c>
      <c r="L365" s="2" t="s">
        <v>19</v>
      </c>
    </row>
    <row r="366" customFormat="false" ht="15" hidden="false" customHeight="false" outlineLevel="0" collapsed="false">
      <c r="A366" s="2" t="s">
        <v>1384</v>
      </c>
      <c r="B366" s="13" t="s">
        <v>1383</v>
      </c>
      <c r="C366" s="13" t="s">
        <v>81</v>
      </c>
      <c r="D366" s="13" t="s">
        <v>3567</v>
      </c>
      <c r="E366" s="13" t="s">
        <v>73</v>
      </c>
      <c r="F366" s="2" t="s">
        <v>129</v>
      </c>
      <c r="G366" s="2" t="s">
        <v>3195</v>
      </c>
      <c r="H366" s="34" t="s">
        <v>668</v>
      </c>
      <c r="I366" s="2" t="s">
        <v>19</v>
      </c>
      <c r="J366" s="2" t="s">
        <v>19</v>
      </c>
      <c r="K366" s="2" t="s">
        <v>19</v>
      </c>
      <c r="L366" s="2" t="s">
        <v>19</v>
      </c>
    </row>
    <row r="367" customFormat="false" ht="15" hidden="false" customHeight="false" outlineLevel="0" collapsed="false">
      <c r="A367" s="2" t="s">
        <v>2918</v>
      </c>
      <c r="B367" s="14" t="s">
        <v>3568</v>
      </c>
      <c r="C367" s="14" t="s">
        <v>81</v>
      </c>
      <c r="D367" s="14" t="s">
        <v>3569</v>
      </c>
      <c r="E367" s="14" t="s">
        <v>82</v>
      </c>
      <c r="F367" s="2" t="s">
        <v>45</v>
      </c>
      <c r="G367" s="2" t="s">
        <v>3202</v>
      </c>
      <c r="H367" s="34" t="s">
        <v>668</v>
      </c>
      <c r="I367" s="2" t="s">
        <v>21</v>
      </c>
      <c r="J367" s="2" t="s">
        <v>21</v>
      </c>
      <c r="K367" s="2" t="s">
        <v>21</v>
      </c>
      <c r="L367" s="2" t="s">
        <v>21</v>
      </c>
    </row>
    <row r="368" customFormat="false" ht="15" hidden="false" customHeight="false" outlineLevel="0" collapsed="false">
      <c r="A368" s="2" t="s">
        <v>520</v>
      </c>
      <c r="B368" s="13" t="s">
        <v>519</v>
      </c>
      <c r="C368" s="13" t="s">
        <v>87</v>
      </c>
      <c r="D368" s="13" t="s">
        <v>3570</v>
      </c>
      <c r="E368" s="13" t="s">
        <v>99</v>
      </c>
      <c r="F368" s="2" t="s">
        <v>47</v>
      </c>
      <c r="G368" s="2" t="s">
        <v>3208</v>
      </c>
      <c r="H368" s="39" t="s">
        <v>671</v>
      </c>
      <c r="I368" s="2" t="s">
        <v>19</v>
      </c>
      <c r="J368" s="2" t="s">
        <v>19</v>
      </c>
      <c r="K368" s="2" t="s">
        <v>19</v>
      </c>
      <c r="L368" s="2" t="s">
        <v>19</v>
      </c>
    </row>
    <row r="369" customFormat="false" ht="15" hidden="false" customHeight="false" outlineLevel="0" collapsed="false">
      <c r="A369" s="2" t="s">
        <v>628</v>
      </c>
      <c r="B369" s="13" t="s">
        <v>627</v>
      </c>
      <c r="C369" s="13" t="s">
        <v>81</v>
      </c>
      <c r="D369" s="13" t="s">
        <v>3571</v>
      </c>
      <c r="E369" s="13" t="s">
        <v>111</v>
      </c>
      <c r="F369" s="2" t="s">
        <v>46</v>
      </c>
      <c r="G369" s="2" t="s">
        <v>3208</v>
      </c>
      <c r="H369" s="39" t="s">
        <v>671</v>
      </c>
      <c r="I369" s="2" t="s">
        <v>19</v>
      </c>
      <c r="J369" s="2" t="s">
        <v>19</v>
      </c>
      <c r="K369" s="2" t="s">
        <v>19</v>
      </c>
      <c r="L369" s="2" t="s">
        <v>19</v>
      </c>
    </row>
    <row r="370" customFormat="false" ht="15" hidden="false" customHeight="false" outlineLevel="0" collapsed="false">
      <c r="A370" s="2" t="s">
        <v>476</v>
      </c>
      <c r="B370" s="14" t="s">
        <v>475</v>
      </c>
      <c r="C370" s="14" t="s">
        <v>133</v>
      </c>
      <c r="D370" s="14" t="s">
        <v>3572</v>
      </c>
      <c r="E370" s="14" t="s">
        <v>170</v>
      </c>
      <c r="F370" s="2" t="s">
        <v>46</v>
      </c>
      <c r="G370" s="2" t="s">
        <v>3208</v>
      </c>
      <c r="H370" s="39" t="s">
        <v>671</v>
      </c>
      <c r="I370" s="2" t="s">
        <v>21</v>
      </c>
      <c r="J370" s="2" t="s">
        <v>21</v>
      </c>
      <c r="K370" s="2" t="s">
        <v>21</v>
      </c>
      <c r="L370" s="2" t="s">
        <v>21</v>
      </c>
    </row>
    <row r="371" customFormat="false" ht="15" hidden="false" customHeight="false" outlineLevel="0" collapsed="false">
      <c r="A371" s="2" t="s">
        <v>2920</v>
      </c>
      <c r="B371" s="13" t="s">
        <v>3573</v>
      </c>
      <c r="C371" s="13" t="s">
        <v>92</v>
      </c>
      <c r="D371" s="13" t="s">
        <v>3574</v>
      </c>
      <c r="E371" s="13" t="s">
        <v>118</v>
      </c>
      <c r="F371" s="2" t="s">
        <v>157</v>
      </c>
      <c r="G371" s="2" t="s">
        <v>3199</v>
      </c>
      <c r="H371" s="34" t="s">
        <v>668</v>
      </c>
      <c r="I371" s="2" t="s">
        <v>19</v>
      </c>
      <c r="J371" s="2" t="s">
        <v>19</v>
      </c>
      <c r="K371" s="2" t="s">
        <v>19</v>
      </c>
      <c r="L371" s="2" t="s">
        <v>19</v>
      </c>
    </row>
    <row r="372" customFormat="false" ht="15" hidden="false" customHeight="false" outlineLevel="0" collapsed="false">
      <c r="A372" s="2" t="s">
        <v>380</v>
      </c>
      <c r="B372" s="13" t="s">
        <v>379</v>
      </c>
      <c r="C372" s="13" t="s">
        <v>77</v>
      </c>
      <c r="D372" s="13" t="s">
        <v>3575</v>
      </c>
      <c r="E372" s="13" t="s">
        <v>82</v>
      </c>
      <c r="F372" s="2" t="s">
        <v>46</v>
      </c>
      <c r="G372" s="2" t="s">
        <v>3208</v>
      </c>
      <c r="H372" s="39" t="s">
        <v>671</v>
      </c>
      <c r="I372" s="2" t="s">
        <v>19</v>
      </c>
      <c r="J372" s="2" t="s">
        <v>19</v>
      </c>
      <c r="K372" s="2" t="s">
        <v>19</v>
      </c>
      <c r="L372" s="2" t="s">
        <v>19</v>
      </c>
    </row>
    <row r="373" customFormat="false" ht="15" hidden="false" customHeight="false" outlineLevel="0" collapsed="false">
      <c r="A373" s="2" t="s">
        <v>2922</v>
      </c>
      <c r="B373" s="13" t="s">
        <v>3576</v>
      </c>
      <c r="C373" s="13" t="s">
        <v>138</v>
      </c>
      <c r="D373" s="13" t="s">
        <v>3577</v>
      </c>
      <c r="E373" s="13" t="s">
        <v>82</v>
      </c>
      <c r="F373" s="2" t="s">
        <v>175</v>
      </c>
      <c r="G373" s="2" t="s">
        <v>3199</v>
      </c>
      <c r="H373" s="34" t="s">
        <v>668</v>
      </c>
      <c r="I373" s="2" t="s">
        <v>19</v>
      </c>
      <c r="J373" s="2" t="s">
        <v>19</v>
      </c>
      <c r="K373" s="2" t="s">
        <v>19</v>
      </c>
      <c r="L373" s="2" t="s">
        <v>19</v>
      </c>
    </row>
    <row r="374" customFormat="false" ht="15" hidden="false" customHeight="false" outlineLevel="0" collapsed="false">
      <c r="A374" s="2" t="s">
        <v>1692</v>
      </c>
      <c r="B374" s="13" t="s">
        <v>1691</v>
      </c>
      <c r="C374" s="13" t="s">
        <v>114</v>
      </c>
      <c r="D374" s="13" t="s">
        <v>3578</v>
      </c>
      <c r="E374" s="13" t="s">
        <v>82</v>
      </c>
      <c r="F374" s="2" t="s">
        <v>129</v>
      </c>
      <c r="G374" s="2" t="s">
        <v>3193</v>
      </c>
      <c r="H374" s="34" t="s">
        <v>668</v>
      </c>
      <c r="I374" s="2" t="s">
        <v>19</v>
      </c>
      <c r="J374" s="2" t="s">
        <v>19</v>
      </c>
      <c r="K374" s="2" t="s">
        <v>19</v>
      </c>
      <c r="L374" s="2" t="s">
        <v>19</v>
      </c>
    </row>
    <row r="375" customFormat="false" ht="15" hidden="false" customHeight="false" outlineLevel="0" collapsed="false">
      <c r="A375" s="2" t="s">
        <v>1409</v>
      </c>
      <c r="B375" s="13" t="s">
        <v>1408</v>
      </c>
      <c r="C375" s="13" t="s">
        <v>102</v>
      </c>
      <c r="D375" s="13" t="s">
        <v>3579</v>
      </c>
      <c r="E375" s="13" t="s">
        <v>170</v>
      </c>
      <c r="F375" s="2" t="s">
        <v>125</v>
      </c>
      <c r="G375" s="2" t="s">
        <v>3205</v>
      </c>
      <c r="H375" s="34" t="s">
        <v>668</v>
      </c>
      <c r="I375" s="2" t="s">
        <v>19</v>
      </c>
      <c r="J375" s="2" t="s">
        <v>19</v>
      </c>
      <c r="K375" s="2" t="s">
        <v>19</v>
      </c>
      <c r="L375" s="2" t="s">
        <v>19</v>
      </c>
    </row>
    <row r="376" customFormat="false" ht="15" hidden="false" customHeight="false" outlineLevel="0" collapsed="false">
      <c r="A376" s="2" t="s">
        <v>2209</v>
      </c>
      <c r="B376" s="13" t="s">
        <v>2208</v>
      </c>
      <c r="C376" s="13" t="s">
        <v>81</v>
      </c>
      <c r="D376" s="13" t="s">
        <v>3580</v>
      </c>
      <c r="E376" s="15" t="s">
        <v>170</v>
      </c>
      <c r="F376" s="2" t="s">
        <v>129</v>
      </c>
      <c r="G376" s="2" t="s">
        <v>3193</v>
      </c>
      <c r="H376" s="34" t="s">
        <v>668</v>
      </c>
      <c r="I376" s="2" t="s">
        <v>19</v>
      </c>
      <c r="J376" s="2" t="s">
        <v>19</v>
      </c>
      <c r="K376" s="2" t="s">
        <v>19</v>
      </c>
      <c r="L376" s="2" t="s">
        <v>17</v>
      </c>
    </row>
    <row r="377" customFormat="false" ht="15" hidden="false" customHeight="false" outlineLevel="0" collapsed="false">
      <c r="A377" s="2" t="s">
        <v>488</v>
      </c>
      <c r="B377" s="13" t="s">
        <v>487</v>
      </c>
      <c r="C377" s="13" t="s">
        <v>114</v>
      </c>
      <c r="D377" s="13" t="s">
        <v>3581</v>
      </c>
      <c r="E377" s="13" t="s">
        <v>170</v>
      </c>
      <c r="F377" s="2" t="s">
        <v>157</v>
      </c>
      <c r="G377" s="2" t="s">
        <v>3218</v>
      </c>
      <c r="H377" s="39" t="s">
        <v>671</v>
      </c>
      <c r="I377" s="2" t="s">
        <v>19</v>
      </c>
      <c r="J377" s="2" t="s">
        <v>19</v>
      </c>
      <c r="K377" s="2" t="s">
        <v>19</v>
      </c>
      <c r="L377" s="2" t="s">
        <v>19</v>
      </c>
    </row>
    <row r="378" customFormat="false" ht="15" hidden="false" customHeight="false" outlineLevel="0" collapsed="false">
      <c r="A378" s="2" t="s">
        <v>1940</v>
      </c>
      <c r="B378" s="14" t="s">
        <v>1939</v>
      </c>
      <c r="C378" s="16"/>
      <c r="D378" s="16"/>
      <c r="E378" s="14" t="s">
        <v>170</v>
      </c>
      <c r="F378" s="2" t="s">
        <v>46</v>
      </c>
      <c r="G378" s="2" t="s">
        <v>3208</v>
      </c>
      <c r="H378" s="34" t="s">
        <v>668</v>
      </c>
      <c r="I378" s="2" t="s">
        <v>21</v>
      </c>
      <c r="J378" s="2"/>
      <c r="K378" s="2"/>
      <c r="L378" s="2" t="s">
        <v>21</v>
      </c>
    </row>
    <row r="379" customFormat="false" ht="15" hidden="false" customHeight="false" outlineLevel="0" collapsed="false">
      <c r="A379" s="2" t="s">
        <v>2927</v>
      </c>
      <c r="B379" s="13" t="s">
        <v>3582</v>
      </c>
      <c r="C379" s="13" t="s">
        <v>92</v>
      </c>
      <c r="D379" s="13" t="s">
        <v>3583</v>
      </c>
      <c r="E379" s="13" t="s">
        <v>170</v>
      </c>
      <c r="F379" s="2" t="s">
        <v>46</v>
      </c>
      <c r="G379" s="2" t="s">
        <v>3202</v>
      </c>
      <c r="H379" s="34" t="s">
        <v>668</v>
      </c>
      <c r="I379" s="2" t="s">
        <v>19</v>
      </c>
      <c r="J379" s="2" t="s">
        <v>19</v>
      </c>
      <c r="K379" s="2" t="s">
        <v>19</v>
      </c>
      <c r="L379" s="2" t="s">
        <v>19</v>
      </c>
    </row>
    <row r="380" customFormat="false" ht="15" hidden="false" customHeight="false" outlineLevel="0" collapsed="false">
      <c r="A380" s="2" t="s">
        <v>2017</v>
      </c>
      <c r="B380" s="13" t="s">
        <v>2016</v>
      </c>
      <c r="C380" s="13" t="s">
        <v>114</v>
      </c>
      <c r="D380" s="13" t="s">
        <v>3584</v>
      </c>
      <c r="E380" s="13" t="s">
        <v>99</v>
      </c>
      <c r="F380" s="2" t="s">
        <v>157</v>
      </c>
      <c r="G380" s="2" t="s">
        <v>3205</v>
      </c>
      <c r="H380" s="34" t="s">
        <v>668</v>
      </c>
      <c r="I380" s="2" t="s">
        <v>19</v>
      </c>
      <c r="J380" s="2" t="s">
        <v>19</v>
      </c>
      <c r="K380" s="2" t="s">
        <v>19</v>
      </c>
      <c r="L380" s="2" t="s">
        <v>19</v>
      </c>
    </row>
    <row r="381" customFormat="false" ht="15" hidden="false" customHeight="false" outlineLevel="0" collapsed="false">
      <c r="A381" s="2" t="s">
        <v>2213</v>
      </c>
      <c r="B381" s="13" t="s">
        <v>2212</v>
      </c>
      <c r="C381" s="13" t="s">
        <v>87</v>
      </c>
      <c r="D381" s="13" t="s">
        <v>3585</v>
      </c>
      <c r="E381" s="13" t="s">
        <v>108</v>
      </c>
      <c r="F381" s="2" t="s">
        <v>129</v>
      </c>
      <c r="G381" s="2" t="s">
        <v>3193</v>
      </c>
      <c r="H381" s="34" t="s">
        <v>668</v>
      </c>
      <c r="I381" s="2" t="s">
        <v>19</v>
      </c>
      <c r="J381" s="2" t="s">
        <v>19</v>
      </c>
      <c r="K381" s="2" t="s">
        <v>19</v>
      </c>
      <c r="L381" s="2" t="s">
        <v>19</v>
      </c>
    </row>
    <row r="382" customFormat="false" ht="15" hidden="false" customHeight="false" outlineLevel="0" collapsed="false">
      <c r="A382" s="2" t="s">
        <v>152</v>
      </c>
      <c r="B382" s="13" t="s">
        <v>151</v>
      </c>
      <c r="C382" s="13" t="s">
        <v>87</v>
      </c>
      <c r="D382" s="13" t="s">
        <v>3586</v>
      </c>
      <c r="E382" s="13" t="s">
        <v>108</v>
      </c>
      <c r="F382" s="2" t="s">
        <v>47</v>
      </c>
      <c r="G382" s="2" t="s">
        <v>3208</v>
      </c>
      <c r="H382" s="39" t="s">
        <v>671</v>
      </c>
      <c r="I382" s="2" t="s">
        <v>19</v>
      </c>
      <c r="J382" s="2" t="s">
        <v>19</v>
      </c>
      <c r="K382" s="2" t="s">
        <v>19</v>
      </c>
      <c r="L382" s="2" t="s">
        <v>19</v>
      </c>
    </row>
    <row r="383" customFormat="false" ht="15" hidden="false" customHeight="false" outlineLevel="0" collapsed="false">
      <c r="A383" s="2" t="s">
        <v>1929</v>
      </c>
      <c r="B383" s="13" t="s">
        <v>1928</v>
      </c>
      <c r="C383" s="13" t="s">
        <v>105</v>
      </c>
      <c r="D383" s="13" t="s">
        <v>3587</v>
      </c>
      <c r="E383" s="13" t="s">
        <v>73</v>
      </c>
      <c r="F383" s="2" t="s">
        <v>125</v>
      </c>
      <c r="G383" s="2" t="s">
        <v>3205</v>
      </c>
      <c r="H383" s="34" t="s">
        <v>668</v>
      </c>
      <c r="I383" s="2" t="s">
        <v>19</v>
      </c>
      <c r="J383" s="2" t="s">
        <v>19</v>
      </c>
      <c r="K383" s="2" t="s">
        <v>19</v>
      </c>
      <c r="L383" s="2" t="s">
        <v>19</v>
      </c>
    </row>
    <row r="384" customFormat="false" ht="15" hidden="false" customHeight="false" outlineLevel="0" collapsed="false">
      <c r="A384" s="2" t="s">
        <v>830</v>
      </c>
      <c r="B384" s="13" t="s">
        <v>829</v>
      </c>
      <c r="C384" s="13" t="s">
        <v>81</v>
      </c>
      <c r="D384" s="13" t="s">
        <v>3588</v>
      </c>
      <c r="E384" s="13" t="s">
        <v>108</v>
      </c>
      <c r="F384" s="2" t="s">
        <v>129</v>
      </c>
      <c r="G384" s="2" t="s">
        <v>3193</v>
      </c>
      <c r="H384" s="34" t="s">
        <v>668</v>
      </c>
      <c r="I384" s="2" t="s">
        <v>19</v>
      </c>
      <c r="J384" s="2" t="s">
        <v>19</v>
      </c>
      <c r="K384" s="2" t="s">
        <v>19</v>
      </c>
      <c r="L384" s="2" t="s">
        <v>19</v>
      </c>
    </row>
    <row r="385" customFormat="false" ht="15" hidden="false" customHeight="false" outlineLevel="0" collapsed="false">
      <c r="A385" s="2" t="s">
        <v>508</v>
      </c>
      <c r="B385" s="13" t="s">
        <v>507</v>
      </c>
      <c r="C385" s="13" t="s">
        <v>92</v>
      </c>
      <c r="D385" s="13" t="s">
        <v>3589</v>
      </c>
      <c r="E385" s="13" t="s">
        <v>118</v>
      </c>
      <c r="F385" s="2" t="s">
        <v>129</v>
      </c>
      <c r="G385" s="2" t="s">
        <v>3215</v>
      </c>
      <c r="H385" s="39" t="s">
        <v>671</v>
      </c>
      <c r="I385" s="2" t="s">
        <v>19</v>
      </c>
      <c r="J385" s="2" t="s">
        <v>19</v>
      </c>
      <c r="K385" s="2" t="s">
        <v>19</v>
      </c>
      <c r="L385" s="2" t="s">
        <v>19</v>
      </c>
    </row>
    <row r="386" customFormat="false" ht="15" hidden="false" customHeight="false" outlineLevel="0" collapsed="false">
      <c r="A386" s="2" t="s">
        <v>821</v>
      </c>
      <c r="B386" s="13" t="s">
        <v>820</v>
      </c>
      <c r="C386" s="13" t="s">
        <v>92</v>
      </c>
      <c r="D386" s="13" t="s">
        <v>3590</v>
      </c>
      <c r="E386" s="13" t="s">
        <v>99</v>
      </c>
      <c r="F386" s="2" t="s">
        <v>129</v>
      </c>
      <c r="G386" s="2" t="s">
        <v>3195</v>
      </c>
      <c r="H386" s="34" t="s">
        <v>668</v>
      </c>
      <c r="I386" s="2" t="s">
        <v>19</v>
      </c>
      <c r="J386" s="2" t="s">
        <v>19</v>
      </c>
      <c r="K386" s="2" t="s">
        <v>19</v>
      </c>
      <c r="L386" s="2" t="s">
        <v>19</v>
      </c>
    </row>
    <row r="387" customFormat="false" ht="15" hidden="false" customHeight="false" outlineLevel="0" collapsed="false">
      <c r="A387" s="2" t="s">
        <v>218</v>
      </c>
      <c r="B387" s="13" t="s">
        <v>217</v>
      </c>
      <c r="C387" s="13" t="s">
        <v>133</v>
      </c>
      <c r="D387" s="14" t="s">
        <v>3591</v>
      </c>
      <c r="E387" s="13" t="s">
        <v>82</v>
      </c>
      <c r="F387" s="2" t="s">
        <v>129</v>
      </c>
      <c r="G387" s="2" t="s">
        <v>3215</v>
      </c>
      <c r="H387" s="39" t="s">
        <v>671</v>
      </c>
      <c r="I387" s="2" t="s">
        <v>19</v>
      </c>
      <c r="J387" s="2" t="s">
        <v>19</v>
      </c>
      <c r="K387" s="2" t="s">
        <v>21</v>
      </c>
      <c r="L387" s="2" t="s">
        <v>19</v>
      </c>
    </row>
    <row r="388" customFormat="false" ht="15" hidden="false" customHeight="false" outlineLevel="0" collapsed="false">
      <c r="A388" s="2" t="s">
        <v>362</v>
      </c>
      <c r="B388" s="14" t="s">
        <v>361</v>
      </c>
      <c r="C388" s="14" t="s">
        <v>114</v>
      </c>
      <c r="D388" s="16"/>
      <c r="E388" s="14" t="s">
        <v>73</v>
      </c>
      <c r="F388" s="2" t="s">
        <v>46</v>
      </c>
      <c r="G388" s="2" t="s">
        <v>3208</v>
      </c>
      <c r="H388" s="39" t="s">
        <v>671</v>
      </c>
      <c r="I388" s="2" t="s">
        <v>21</v>
      </c>
      <c r="J388" s="2" t="s">
        <v>21</v>
      </c>
      <c r="K388" s="2"/>
      <c r="L388" s="2" t="s">
        <v>21</v>
      </c>
    </row>
    <row r="389" customFormat="false" ht="15" hidden="false" customHeight="false" outlineLevel="0" collapsed="false">
      <c r="A389" s="2" t="s">
        <v>246</v>
      </c>
      <c r="B389" s="13" t="s">
        <v>245</v>
      </c>
      <c r="C389" s="13" t="s">
        <v>138</v>
      </c>
      <c r="D389" s="13" t="s">
        <v>3592</v>
      </c>
      <c r="E389" s="13" t="s">
        <v>118</v>
      </c>
      <c r="F389" s="2" t="s">
        <v>129</v>
      </c>
      <c r="G389" s="2" t="s">
        <v>3215</v>
      </c>
      <c r="H389" s="39" t="s">
        <v>671</v>
      </c>
      <c r="I389" s="2" t="s">
        <v>19</v>
      </c>
      <c r="J389" s="2" t="s">
        <v>19</v>
      </c>
      <c r="K389" s="2" t="s">
        <v>19</v>
      </c>
      <c r="L389" s="2" t="s">
        <v>19</v>
      </c>
    </row>
    <row r="390" customFormat="false" ht="15" hidden="false" customHeight="false" outlineLevel="0" collapsed="false">
      <c r="A390" s="2" t="s">
        <v>161</v>
      </c>
      <c r="B390" s="13" t="s">
        <v>160</v>
      </c>
      <c r="C390" s="13" t="s">
        <v>77</v>
      </c>
      <c r="D390" s="13" t="s">
        <v>3593</v>
      </c>
      <c r="E390" s="13" t="s">
        <v>99</v>
      </c>
      <c r="F390" s="2" t="s">
        <v>157</v>
      </c>
      <c r="G390" s="2" t="s">
        <v>3218</v>
      </c>
      <c r="H390" s="39" t="s">
        <v>671</v>
      </c>
      <c r="I390" s="2" t="s">
        <v>19</v>
      </c>
      <c r="J390" s="2" t="s">
        <v>19</v>
      </c>
      <c r="K390" s="2" t="s">
        <v>19</v>
      </c>
      <c r="L390" s="2" t="s">
        <v>19</v>
      </c>
    </row>
    <row r="391" customFormat="false" ht="15" hidden="false" customHeight="false" outlineLevel="0" collapsed="false">
      <c r="A391" s="2" t="s">
        <v>865</v>
      </c>
      <c r="B391" s="13" t="s">
        <v>864</v>
      </c>
      <c r="C391" s="13" t="s">
        <v>105</v>
      </c>
      <c r="D391" s="13" t="s">
        <v>3594</v>
      </c>
      <c r="E391" s="13" t="s">
        <v>96</v>
      </c>
      <c r="F391" s="2" t="s">
        <v>129</v>
      </c>
      <c r="G391" s="2" t="s">
        <v>3195</v>
      </c>
      <c r="H391" s="34" t="s">
        <v>668</v>
      </c>
      <c r="I391" s="2" t="s">
        <v>19</v>
      </c>
      <c r="J391" s="2" t="s">
        <v>19</v>
      </c>
      <c r="K391" s="2" t="s">
        <v>19</v>
      </c>
      <c r="L391" s="2" t="s">
        <v>19</v>
      </c>
    </row>
    <row r="392" customFormat="false" ht="15" hidden="false" customHeight="false" outlineLevel="0" collapsed="false">
      <c r="A392" s="2" t="s">
        <v>2932</v>
      </c>
      <c r="B392" s="16"/>
      <c r="C392" s="16"/>
      <c r="D392" s="16"/>
      <c r="E392" s="16"/>
      <c r="F392" s="2" t="s">
        <v>129</v>
      </c>
      <c r="G392" s="2" t="s">
        <v>3297</v>
      </c>
      <c r="H392" s="34" t="s">
        <v>668</v>
      </c>
      <c r="I392" s="2"/>
      <c r="J392" s="2"/>
      <c r="K392" s="2"/>
      <c r="L392" s="2"/>
    </row>
    <row r="393" customFormat="false" ht="15" hidden="false" customHeight="false" outlineLevel="0" collapsed="false">
      <c r="A393" s="2" t="s">
        <v>1748</v>
      </c>
      <c r="B393" s="13" t="s">
        <v>1747</v>
      </c>
      <c r="C393" s="13" t="s">
        <v>87</v>
      </c>
      <c r="D393" s="13" t="s">
        <v>3595</v>
      </c>
      <c r="E393" s="13" t="s">
        <v>108</v>
      </c>
      <c r="F393" s="2" t="s">
        <v>129</v>
      </c>
      <c r="G393" s="2" t="s">
        <v>3195</v>
      </c>
      <c r="H393" s="34" t="s">
        <v>668</v>
      </c>
      <c r="I393" s="2" t="s">
        <v>19</v>
      </c>
      <c r="J393" s="2" t="s">
        <v>19</v>
      </c>
      <c r="K393" s="2" t="s">
        <v>19</v>
      </c>
      <c r="L393" s="2" t="s">
        <v>19</v>
      </c>
    </row>
    <row r="394" customFormat="false" ht="15" hidden="false" customHeight="false" outlineLevel="0" collapsed="false">
      <c r="A394" s="2" t="s">
        <v>1234</v>
      </c>
      <c r="B394" s="14" t="s">
        <v>1233</v>
      </c>
      <c r="C394" s="14" t="s">
        <v>138</v>
      </c>
      <c r="D394" s="14" t="s">
        <v>3596</v>
      </c>
      <c r="E394" s="14" t="s">
        <v>170</v>
      </c>
      <c r="F394" s="2" t="s">
        <v>129</v>
      </c>
      <c r="G394" s="2" t="s">
        <v>3193</v>
      </c>
      <c r="H394" s="34" t="s">
        <v>668</v>
      </c>
      <c r="I394" s="2" t="s">
        <v>21</v>
      </c>
      <c r="J394" s="2" t="s">
        <v>21</v>
      </c>
      <c r="K394" s="2" t="s">
        <v>21</v>
      </c>
      <c r="L394" s="2" t="s">
        <v>21</v>
      </c>
    </row>
    <row r="395" customFormat="false" ht="15" hidden="false" customHeight="false" outlineLevel="0" collapsed="false">
      <c r="A395" s="2" t="s">
        <v>199</v>
      </c>
      <c r="B395" s="13" t="s">
        <v>198</v>
      </c>
      <c r="C395" s="13" t="s">
        <v>92</v>
      </c>
      <c r="D395" s="13" t="s">
        <v>3597</v>
      </c>
      <c r="E395" s="13" t="s">
        <v>82</v>
      </c>
      <c r="F395" s="2" t="s">
        <v>129</v>
      </c>
      <c r="G395" s="2" t="s">
        <v>3215</v>
      </c>
      <c r="H395" s="39" t="s">
        <v>671</v>
      </c>
      <c r="I395" s="2" t="s">
        <v>19</v>
      </c>
      <c r="J395" s="2" t="s">
        <v>19</v>
      </c>
      <c r="K395" s="2" t="s">
        <v>19</v>
      </c>
      <c r="L395" s="2" t="s">
        <v>19</v>
      </c>
    </row>
    <row r="396" customFormat="false" ht="15" hidden="false" customHeight="false" outlineLevel="0" collapsed="false">
      <c r="A396" s="2" t="s">
        <v>2092</v>
      </c>
      <c r="B396" s="13" t="s">
        <v>2091</v>
      </c>
      <c r="C396" s="13" t="s">
        <v>81</v>
      </c>
      <c r="D396" s="13" t="s">
        <v>3598</v>
      </c>
      <c r="E396" s="13" t="s">
        <v>96</v>
      </c>
      <c r="F396" s="2" t="s">
        <v>129</v>
      </c>
      <c r="G396" s="2" t="s">
        <v>3193</v>
      </c>
      <c r="H396" s="34" t="s">
        <v>668</v>
      </c>
      <c r="I396" s="2" t="s">
        <v>19</v>
      </c>
      <c r="J396" s="2" t="s">
        <v>19</v>
      </c>
      <c r="K396" s="2" t="s">
        <v>19</v>
      </c>
      <c r="L396" s="2" t="s">
        <v>19</v>
      </c>
    </row>
    <row r="397" customFormat="false" ht="15" hidden="false" customHeight="false" outlineLevel="0" collapsed="false">
      <c r="A397" s="2" t="s">
        <v>2936</v>
      </c>
      <c r="B397" s="14" t="s">
        <v>3599</v>
      </c>
      <c r="C397" s="14" t="s">
        <v>72</v>
      </c>
      <c r="D397" s="16"/>
      <c r="E397" s="14" t="s">
        <v>73</v>
      </c>
      <c r="F397" s="2" t="s">
        <v>45</v>
      </c>
      <c r="G397" s="2" t="s">
        <v>3202</v>
      </c>
      <c r="H397" s="34" t="s">
        <v>668</v>
      </c>
      <c r="I397" s="2" t="s">
        <v>21</v>
      </c>
      <c r="J397" s="2" t="s">
        <v>21</v>
      </c>
      <c r="K397" s="2"/>
      <c r="L397" s="2" t="s">
        <v>21</v>
      </c>
    </row>
    <row r="398" customFormat="false" ht="15" hidden="false" customHeight="false" outlineLevel="0" collapsed="false">
      <c r="A398" s="2" t="s">
        <v>1739</v>
      </c>
      <c r="B398" s="13" t="s">
        <v>1738</v>
      </c>
      <c r="C398" s="13" t="s">
        <v>102</v>
      </c>
      <c r="D398" s="13" t="s">
        <v>3600</v>
      </c>
      <c r="E398" s="13" t="s">
        <v>108</v>
      </c>
      <c r="F398" s="2" t="s">
        <v>129</v>
      </c>
      <c r="G398" s="2" t="s">
        <v>3195</v>
      </c>
      <c r="H398" s="34" t="s">
        <v>668</v>
      </c>
      <c r="I398" s="2" t="s">
        <v>19</v>
      </c>
      <c r="J398" s="2" t="s">
        <v>19</v>
      </c>
      <c r="K398" s="2" t="s">
        <v>19</v>
      </c>
      <c r="L398" s="2" t="s">
        <v>19</v>
      </c>
    </row>
    <row r="399" customFormat="false" ht="15" hidden="false" customHeight="false" outlineLevel="0" collapsed="false">
      <c r="A399" s="2" t="s">
        <v>2098</v>
      </c>
      <c r="B399" s="13" t="s">
        <v>2097</v>
      </c>
      <c r="C399" s="13" t="s">
        <v>102</v>
      </c>
      <c r="D399" s="13" t="s">
        <v>3601</v>
      </c>
      <c r="E399" s="13" t="s">
        <v>108</v>
      </c>
      <c r="F399" s="2" t="s">
        <v>129</v>
      </c>
      <c r="G399" s="2" t="s">
        <v>3193</v>
      </c>
      <c r="H399" s="34" t="s">
        <v>668</v>
      </c>
      <c r="I399" s="2" t="s">
        <v>19</v>
      </c>
      <c r="J399" s="2" t="s">
        <v>19</v>
      </c>
      <c r="K399" s="2" t="s">
        <v>19</v>
      </c>
      <c r="L399" s="2" t="s">
        <v>19</v>
      </c>
    </row>
    <row r="400" customFormat="false" ht="15" hidden="false" customHeight="false" outlineLevel="0" collapsed="false">
      <c r="A400" s="2" t="s">
        <v>876</v>
      </c>
      <c r="B400" s="14" t="s">
        <v>875</v>
      </c>
      <c r="C400" s="14" t="s">
        <v>81</v>
      </c>
      <c r="D400" s="14" t="s">
        <v>3602</v>
      </c>
      <c r="E400" s="14" t="s">
        <v>170</v>
      </c>
      <c r="F400" s="2" t="s">
        <v>129</v>
      </c>
      <c r="G400" s="2" t="s">
        <v>3195</v>
      </c>
      <c r="H400" s="34" t="s">
        <v>668</v>
      </c>
      <c r="I400" s="2" t="s">
        <v>21</v>
      </c>
      <c r="J400" s="2" t="s">
        <v>21</v>
      </c>
      <c r="K400" s="2" t="s">
        <v>21</v>
      </c>
      <c r="L400" s="2" t="s">
        <v>21</v>
      </c>
    </row>
    <row r="401" customFormat="false" ht="15" hidden="false" customHeight="false" outlineLevel="0" collapsed="false">
      <c r="A401" s="2" t="s">
        <v>622</v>
      </c>
      <c r="B401" s="13" t="s">
        <v>621</v>
      </c>
      <c r="C401" s="13" t="s">
        <v>72</v>
      </c>
      <c r="D401" s="13" t="s">
        <v>3603</v>
      </c>
      <c r="E401" s="13" t="s">
        <v>118</v>
      </c>
      <c r="F401" s="2" t="s">
        <v>129</v>
      </c>
      <c r="G401" s="2" t="s">
        <v>3215</v>
      </c>
      <c r="H401" s="39" t="s">
        <v>671</v>
      </c>
      <c r="I401" s="2" t="s">
        <v>19</v>
      </c>
      <c r="J401" s="2" t="s">
        <v>19</v>
      </c>
      <c r="K401" s="2" t="s">
        <v>19</v>
      </c>
      <c r="L401" s="2" t="s">
        <v>19</v>
      </c>
    </row>
    <row r="402" customFormat="false" ht="15" hidden="false" customHeight="false" outlineLevel="0" collapsed="false">
      <c r="A402" s="2" t="s">
        <v>2940</v>
      </c>
      <c r="B402" s="15" t="s">
        <v>3604</v>
      </c>
      <c r="C402" s="15" t="s">
        <v>114</v>
      </c>
      <c r="D402" s="15" t="s">
        <v>3605</v>
      </c>
      <c r="E402" s="15" t="s">
        <v>118</v>
      </c>
      <c r="F402" s="2" t="s">
        <v>125</v>
      </c>
      <c r="G402" s="2" t="s">
        <v>3199</v>
      </c>
      <c r="H402" s="34" t="s">
        <v>668</v>
      </c>
      <c r="I402" s="2" t="s">
        <v>17</v>
      </c>
      <c r="J402" s="2" t="s">
        <v>17</v>
      </c>
      <c r="K402" s="2" t="s">
        <v>17</v>
      </c>
      <c r="L402" s="2" t="s">
        <v>17</v>
      </c>
    </row>
    <row r="403" customFormat="false" ht="15" hidden="false" customHeight="false" outlineLevel="0" collapsed="false">
      <c r="A403" s="2" t="s">
        <v>76</v>
      </c>
      <c r="B403" s="14" t="s">
        <v>75</v>
      </c>
      <c r="C403" s="14" t="s">
        <v>77</v>
      </c>
      <c r="D403" s="14" t="s">
        <v>3606</v>
      </c>
      <c r="E403" s="14" t="s">
        <v>73</v>
      </c>
      <c r="F403" s="2" t="s">
        <v>46</v>
      </c>
      <c r="G403" s="2" t="s">
        <v>3208</v>
      </c>
      <c r="H403" s="39" t="s">
        <v>671</v>
      </c>
      <c r="I403" s="2" t="s">
        <v>21</v>
      </c>
      <c r="J403" s="2" t="s">
        <v>21</v>
      </c>
      <c r="K403" s="2" t="s">
        <v>21</v>
      </c>
      <c r="L403" s="2" t="s">
        <v>21</v>
      </c>
    </row>
    <row r="404" customFormat="false" ht="15" hidden="false" customHeight="false" outlineLevel="0" collapsed="false">
      <c r="A404" s="2" t="s">
        <v>1056</v>
      </c>
      <c r="B404" s="13" t="s">
        <v>1055</v>
      </c>
      <c r="C404" s="13" t="s">
        <v>138</v>
      </c>
      <c r="D404" s="13" t="s">
        <v>3607</v>
      </c>
      <c r="E404" s="13" t="s">
        <v>115</v>
      </c>
      <c r="F404" s="2" t="s">
        <v>129</v>
      </c>
      <c r="G404" s="2" t="s">
        <v>3195</v>
      </c>
      <c r="H404" s="34" t="s">
        <v>668</v>
      </c>
      <c r="I404" s="2" t="s">
        <v>19</v>
      </c>
      <c r="J404" s="2" t="s">
        <v>19</v>
      </c>
      <c r="K404" s="2" t="s">
        <v>19</v>
      </c>
      <c r="L404" s="2" t="s">
        <v>19</v>
      </c>
    </row>
    <row r="405" customFormat="false" ht="15" hidden="false" customHeight="false" outlineLevel="0" collapsed="false">
      <c r="A405" s="2" t="s">
        <v>1697</v>
      </c>
      <c r="B405" s="13" t="s">
        <v>1696</v>
      </c>
      <c r="C405" s="13" t="s">
        <v>72</v>
      </c>
      <c r="D405" s="13" t="s">
        <v>3608</v>
      </c>
      <c r="E405" s="13" t="s">
        <v>73</v>
      </c>
      <c r="F405" s="2" t="s">
        <v>129</v>
      </c>
      <c r="G405" s="2" t="s">
        <v>3195</v>
      </c>
      <c r="H405" s="34" t="s">
        <v>668</v>
      </c>
      <c r="I405" s="2" t="s">
        <v>19</v>
      </c>
      <c r="J405" s="2" t="s">
        <v>19</v>
      </c>
      <c r="K405" s="2" t="s">
        <v>19</v>
      </c>
      <c r="L405" s="2" t="s">
        <v>19</v>
      </c>
    </row>
    <row r="406" customFormat="false" ht="15" hidden="false" customHeight="false" outlineLevel="0" collapsed="false">
      <c r="A406" s="2" t="s">
        <v>2594</v>
      </c>
      <c r="B406" s="13" t="s">
        <v>2593</v>
      </c>
      <c r="C406" s="13" t="s">
        <v>138</v>
      </c>
      <c r="D406" s="13" t="s">
        <v>3609</v>
      </c>
      <c r="E406" s="13" t="s">
        <v>73</v>
      </c>
      <c r="F406" s="2" t="s">
        <v>129</v>
      </c>
      <c r="G406" s="2" t="s">
        <v>3193</v>
      </c>
      <c r="H406" s="34" t="s">
        <v>668</v>
      </c>
      <c r="I406" s="2" t="s">
        <v>19</v>
      </c>
      <c r="J406" s="2" t="s">
        <v>19</v>
      </c>
      <c r="K406" s="2" t="s">
        <v>19</v>
      </c>
      <c r="L406" s="2" t="s">
        <v>19</v>
      </c>
    </row>
    <row r="407" customFormat="false" ht="15" hidden="false" customHeight="false" outlineLevel="0" collapsed="false">
      <c r="A407" s="2" t="s">
        <v>646</v>
      </c>
      <c r="B407" s="13" t="s">
        <v>645</v>
      </c>
      <c r="C407" s="13" t="s">
        <v>87</v>
      </c>
      <c r="D407" s="13" t="s">
        <v>3610</v>
      </c>
      <c r="E407" s="13" t="s">
        <v>93</v>
      </c>
      <c r="F407" s="2" t="s">
        <v>47</v>
      </c>
      <c r="G407" s="2" t="s">
        <v>3208</v>
      </c>
      <c r="H407" s="39" t="s">
        <v>671</v>
      </c>
      <c r="I407" s="2" t="s">
        <v>19</v>
      </c>
      <c r="J407" s="2" t="s">
        <v>19</v>
      </c>
      <c r="K407" s="2" t="s">
        <v>19</v>
      </c>
      <c r="L407" s="2" t="s">
        <v>19</v>
      </c>
    </row>
    <row r="408" customFormat="false" ht="15" hidden="false" customHeight="false" outlineLevel="0" collapsed="false">
      <c r="A408" s="2" t="s">
        <v>101</v>
      </c>
      <c r="B408" s="13" t="s">
        <v>100</v>
      </c>
      <c r="C408" s="13" t="s">
        <v>102</v>
      </c>
      <c r="D408" s="13" t="s">
        <v>3611</v>
      </c>
      <c r="E408" s="13" t="s">
        <v>99</v>
      </c>
      <c r="F408" s="2" t="s">
        <v>45</v>
      </c>
      <c r="G408" s="2" t="s">
        <v>3208</v>
      </c>
      <c r="H408" s="39" t="s">
        <v>671</v>
      </c>
      <c r="I408" s="2" t="s">
        <v>19</v>
      </c>
      <c r="J408" s="2" t="s">
        <v>19</v>
      </c>
      <c r="K408" s="2" t="s">
        <v>19</v>
      </c>
      <c r="L408" s="2" t="s">
        <v>19</v>
      </c>
    </row>
    <row r="409" customFormat="false" ht="15" hidden="false" customHeight="false" outlineLevel="0" collapsed="false">
      <c r="A409" s="2" t="s">
        <v>490</v>
      </c>
      <c r="B409" s="13" t="s">
        <v>489</v>
      </c>
      <c r="C409" s="13" t="s">
        <v>138</v>
      </c>
      <c r="D409" s="13" t="s">
        <v>3612</v>
      </c>
      <c r="E409" s="13" t="s">
        <v>82</v>
      </c>
      <c r="F409" s="2" t="s">
        <v>129</v>
      </c>
      <c r="G409" s="2" t="s">
        <v>3215</v>
      </c>
      <c r="H409" s="39" t="s">
        <v>671</v>
      </c>
      <c r="I409" s="2" t="s">
        <v>19</v>
      </c>
      <c r="J409" s="2" t="s">
        <v>19</v>
      </c>
      <c r="K409" s="2" t="s">
        <v>19</v>
      </c>
      <c r="L409" s="2" t="s">
        <v>19</v>
      </c>
    </row>
    <row r="410" customFormat="false" ht="15" hidden="false" customHeight="false" outlineLevel="0" collapsed="false">
      <c r="A410" s="2" t="s">
        <v>965</v>
      </c>
      <c r="B410" s="13" t="s">
        <v>964</v>
      </c>
      <c r="C410" s="13" t="s">
        <v>72</v>
      </c>
      <c r="D410" s="13" t="s">
        <v>3613</v>
      </c>
      <c r="E410" s="13" t="s">
        <v>111</v>
      </c>
      <c r="F410" s="2" t="s">
        <v>129</v>
      </c>
      <c r="G410" s="2" t="s">
        <v>3195</v>
      </c>
      <c r="H410" s="34" t="s">
        <v>668</v>
      </c>
      <c r="I410" s="2" t="s">
        <v>19</v>
      </c>
      <c r="J410" s="2" t="s">
        <v>19</v>
      </c>
      <c r="K410" s="2" t="s">
        <v>19</v>
      </c>
      <c r="L410" s="2" t="s">
        <v>19</v>
      </c>
    </row>
    <row r="411" customFormat="false" ht="15" hidden="false" customHeight="false" outlineLevel="0" collapsed="false">
      <c r="A411" s="2" t="s">
        <v>95</v>
      </c>
      <c r="B411" s="13" t="s">
        <v>94</v>
      </c>
      <c r="C411" s="13" t="s">
        <v>92</v>
      </c>
      <c r="D411" s="13" t="s">
        <v>3614</v>
      </c>
      <c r="E411" s="13" t="s">
        <v>96</v>
      </c>
      <c r="F411" s="2" t="s">
        <v>47</v>
      </c>
      <c r="G411" s="2" t="s">
        <v>3208</v>
      </c>
      <c r="H411" s="39" t="s">
        <v>671</v>
      </c>
      <c r="I411" s="2" t="s">
        <v>19</v>
      </c>
      <c r="J411" s="2" t="s">
        <v>19</v>
      </c>
      <c r="K411" s="2" t="s">
        <v>19</v>
      </c>
      <c r="L411" s="2" t="s">
        <v>19</v>
      </c>
    </row>
    <row r="412" customFormat="false" ht="15" hidden="false" customHeight="false" outlineLevel="0" collapsed="false">
      <c r="A412" s="2" t="s">
        <v>624</v>
      </c>
      <c r="B412" s="13" t="s">
        <v>623</v>
      </c>
      <c r="C412" s="13" t="s">
        <v>72</v>
      </c>
      <c r="D412" s="13" t="s">
        <v>3615</v>
      </c>
      <c r="E412" s="13" t="s">
        <v>108</v>
      </c>
      <c r="F412" s="2" t="s">
        <v>47</v>
      </c>
      <c r="G412" s="2" t="s">
        <v>3208</v>
      </c>
      <c r="H412" s="39" t="s">
        <v>671</v>
      </c>
      <c r="I412" s="2" t="s">
        <v>19</v>
      </c>
      <c r="J412" s="2" t="s">
        <v>19</v>
      </c>
      <c r="K412" s="2" t="s">
        <v>19</v>
      </c>
      <c r="L412" s="2" t="s">
        <v>19</v>
      </c>
    </row>
    <row r="413" customFormat="false" ht="15" hidden="false" customHeight="false" outlineLevel="0" collapsed="false">
      <c r="A413" s="2" t="s">
        <v>2352</v>
      </c>
      <c r="B413" s="13" t="s">
        <v>2351</v>
      </c>
      <c r="C413" s="13" t="s">
        <v>138</v>
      </c>
      <c r="D413" s="13" t="s">
        <v>3616</v>
      </c>
      <c r="E413" s="13" t="s">
        <v>108</v>
      </c>
      <c r="F413" s="2" t="s">
        <v>129</v>
      </c>
      <c r="G413" s="2" t="s">
        <v>3193</v>
      </c>
      <c r="H413" s="34" t="s">
        <v>668</v>
      </c>
      <c r="I413" s="2" t="s">
        <v>19</v>
      </c>
      <c r="J413" s="2" t="s">
        <v>19</v>
      </c>
      <c r="K413" s="2" t="s">
        <v>19</v>
      </c>
      <c r="L413" s="2" t="s">
        <v>19</v>
      </c>
    </row>
    <row r="414" customFormat="false" ht="15" hidden="false" customHeight="false" outlineLevel="0" collapsed="false">
      <c r="A414" s="2" t="s">
        <v>572</v>
      </c>
      <c r="B414" s="13" t="s">
        <v>571</v>
      </c>
      <c r="C414" s="13" t="s">
        <v>72</v>
      </c>
      <c r="D414" s="13" t="s">
        <v>3617</v>
      </c>
      <c r="E414" s="13" t="s">
        <v>111</v>
      </c>
      <c r="F414" s="2" t="s">
        <v>129</v>
      </c>
      <c r="G414" s="2" t="s">
        <v>3215</v>
      </c>
      <c r="H414" s="39" t="s">
        <v>671</v>
      </c>
      <c r="I414" s="2" t="s">
        <v>19</v>
      </c>
      <c r="J414" s="2" t="s">
        <v>19</v>
      </c>
      <c r="K414" s="2" t="s">
        <v>19</v>
      </c>
      <c r="L414" s="2" t="s">
        <v>19</v>
      </c>
    </row>
    <row r="415" customFormat="false" ht="15" hidden="false" customHeight="false" outlineLevel="0" collapsed="false">
      <c r="A415" s="2" t="s">
        <v>792</v>
      </c>
      <c r="B415" s="13" t="s">
        <v>791</v>
      </c>
      <c r="C415" s="13" t="s">
        <v>102</v>
      </c>
      <c r="D415" s="13" t="s">
        <v>3618</v>
      </c>
      <c r="E415" s="13" t="s">
        <v>108</v>
      </c>
      <c r="F415" s="2" t="s">
        <v>129</v>
      </c>
      <c r="G415" s="2" t="s">
        <v>3195</v>
      </c>
      <c r="H415" s="34" t="s">
        <v>668</v>
      </c>
      <c r="I415" s="2" t="s">
        <v>19</v>
      </c>
      <c r="J415" s="2" t="s">
        <v>19</v>
      </c>
      <c r="K415" s="2" t="s">
        <v>19</v>
      </c>
      <c r="L415" s="2" t="s">
        <v>19</v>
      </c>
    </row>
    <row r="416" customFormat="false" ht="15" hidden="false" customHeight="false" outlineLevel="0" collapsed="false">
      <c r="A416" s="2" t="s">
        <v>552</v>
      </c>
      <c r="B416" s="13" t="s">
        <v>551</v>
      </c>
      <c r="C416" s="13" t="s">
        <v>114</v>
      </c>
      <c r="D416" s="13" t="s">
        <v>3619</v>
      </c>
      <c r="E416" s="13" t="s">
        <v>93</v>
      </c>
      <c r="F416" s="2" t="s">
        <v>129</v>
      </c>
      <c r="G416" s="2" t="s">
        <v>3215</v>
      </c>
      <c r="H416" s="39" t="s">
        <v>671</v>
      </c>
      <c r="I416" s="2" t="s">
        <v>19</v>
      </c>
      <c r="J416" s="2" t="s">
        <v>19</v>
      </c>
      <c r="K416" s="2" t="s">
        <v>19</v>
      </c>
      <c r="L416" s="2" t="s">
        <v>19</v>
      </c>
    </row>
    <row r="417" customFormat="false" ht="15" hidden="false" customHeight="false" outlineLevel="0" collapsed="false">
      <c r="A417" s="2" t="s">
        <v>1505</v>
      </c>
      <c r="B417" s="14" t="s">
        <v>1504</v>
      </c>
      <c r="C417" s="14" t="s">
        <v>87</v>
      </c>
      <c r="D417" s="14" t="s">
        <v>3620</v>
      </c>
      <c r="E417" s="15" t="s">
        <v>111</v>
      </c>
      <c r="F417" s="2" t="s">
        <v>129</v>
      </c>
      <c r="G417" s="2" t="s">
        <v>3195</v>
      </c>
      <c r="H417" s="34" t="s">
        <v>668</v>
      </c>
      <c r="I417" s="2" t="s">
        <v>21</v>
      </c>
      <c r="J417" s="2" t="s">
        <v>21</v>
      </c>
      <c r="K417" s="2" t="s">
        <v>21</v>
      </c>
      <c r="L417" s="2" t="s">
        <v>17</v>
      </c>
    </row>
    <row r="418" customFormat="false" ht="15" hidden="false" customHeight="false" outlineLevel="0" collapsed="false">
      <c r="A418" s="2" t="s">
        <v>316</v>
      </c>
      <c r="B418" s="13" t="s">
        <v>315</v>
      </c>
      <c r="C418" s="13" t="s">
        <v>102</v>
      </c>
      <c r="D418" s="13" t="s">
        <v>3621</v>
      </c>
      <c r="E418" s="13" t="s">
        <v>118</v>
      </c>
      <c r="F418" s="2" t="s">
        <v>129</v>
      </c>
      <c r="G418" s="2" t="s">
        <v>3215</v>
      </c>
      <c r="H418" s="39" t="s">
        <v>671</v>
      </c>
      <c r="I418" s="2" t="s">
        <v>19</v>
      </c>
      <c r="J418" s="2" t="s">
        <v>19</v>
      </c>
      <c r="K418" s="2" t="s">
        <v>19</v>
      </c>
      <c r="L418" s="2" t="s">
        <v>19</v>
      </c>
    </row>
    <row r="419" customFormat="false" ht="15" hidden="false" customHeight="false" outlineLevel="0" collapsed="false">
      <c r="A419" s="2" t="s">
        <v>1947</v>
      </c>
      <c r="B419" s="13" t="s">
        <v>1946</v>
      </c>
      <c r="C419" s="13" t="s">
        <v>114</v>
      </c>
      <c r="D419" s="13" t="s">
        <v>3622</v>
      </c>
      <c r="E419" s="13" t="s">
        <v>108</v>
      </c>
      <c r="F419" s="2" t="s">
        <v>129</v>
      </c>
      <c r="G419" s="2" t="s">
        <v>3193</v>
      </c>
      <c r="H419" s="34" t="s">
        <v>668</v>
      </c>
      <c r="I419" s="2" t="s">
        <v>19</v>
      </c>
      <c r="J419" s="2" t="s">
        <v>19</v>
      </c>
      <c r="K419" s="2" t="s">
        <v>19</v>
      </c>
      <c r="L419" s="2" t="s">
        <v>19</v>
      </c>
    </row>
    <row r="420" customFormat="false" ht="15" hidden="false" customHeight="false" outlineLevel="0" collapsed="false">
      <c r="A420" s="2" t="s">
        <v>1551</v>
      </c>
      <c r="B420" s="13" t="s">
        <v>1550</v>
      </c>
      <c r="C420" s="13" t="s">
        <v>77</v>
      </c>
      <c r="D420" s="13" t="s">
        <v>3623</v>
      </c>
      <c r="E420" s="13" t="s">
        <v>73</v>
      </c>
      <c r="F420" s="2" t="s">
        <v>129</v>
      </c>
      <c r="G420" s="2" t="s">
        <v>3195</v>
      </c>
      <c r="H420" s="34" t="s">
        <v>668</v>
      </c>
      <c r="I420" s="2" t="s">
        <v>19</v>
      </c>
      <c r="J420" s="2" t="s">
        <v>19</v>
      </c>
      <c r="K420" s="2" t="s">
        <v>19</v>
      </c>
      <c r="L420" s="2" t="s">
        <v>19</v>
      </c>
    </row>
    <row r="421" customFormat="false" ht="15" hidden="false" customHeight="false" outlineLevel="0" collapsed="false">
      <c r="A421" s="2" t="s">
        <v>2478</v>
      </c>
      <c r="B421" s="13" t="s">
        <v>2477</v>
      </c>
      <c r="C421" s="13" t="s">
        <v>92</v>
      </c>
      <c r="D421" s="14" t="s">
        <v>3624</v>
      </c>
      <c r="E421" s="13" t="s">
        <v>96</v>
      </c>
      <c r="F421" s="2" t="s">
        <v>129</v>
      </c>
      <c r="G421" s="2" t="s">
        <v>3193</v>
      </c>
      <c r="H421" s="34" t="s">
        <v>668</v>
      </c>
      <c r="I421" s="2" t="s">
        <v>19</v>
      </c>
      <c r="J421" s="2" t="s">
        <v>19</v>
      </c>
      <c r="K421" s="2" t="s">
        <v>21</v>
      </c>
      <c r="L421" s="2" t="s">
        <v>19</v>
      </c>
    </row>
    <row r="422" customFormat="false" ht="15" hidden="false" customHeight="false" outlineLevel="0" collapsed="false">
      <c r="A422" s="2" t="s">
        <v>2220</v>
      </c>
      <c r="B422" s="13" t="s">
        <v>2219</v>
      </c>
      <c r="C422" s="13" t="s">
        <v>114</v>
      </c>
      <c r="D422" s="13" t="s">
        <v>3625</v>
      </c>
      <c r="E422" s="13" t="s">
        <v>170</v>
      </c>
      <c r="F422" s="2" t="s">
        <v>175</v>
      </c>
      <c r="G422" s="2" t="s">
        <v>3205</v>
      </c>
      <c r="H422" s="34" t="s">
        <v>668</v>
      </c>
      <c r="I422" s="2" t="s">
        <v>19</v>
      </c>
      <c r="J422" s="2" t="s">
        <v>19</v>
      </c>
      <c r="K422" s="2" t="s">
        <v>19</v>
      </c>
      <c r="L422" s="2" t="s">
        <v>19</v>
      </c>
    </row>
    <row r="423" customFormat="false" ht="15" hidden="false" customHeight="false" outlineLevel="0" collapsed="false">
      <c r="A423" s="2" t="s">
        <v>2954</v>
      </c>
      <c r="B423" s="13" t="s">
        <v>3626</v>
      </c>
      <c r="C423" s="13" t="s">
        <v>72</v>
      </c>
      <c r="D423" s="13" t="s">
        <v>3627</v>
      </c>
      <c r="E423" s="13" t="s">
        <v>108</v>
      </c>
      <c r="F423" s="2" t="s">
        <v>46</v>
      </c>
      <c r="G423" s="2" t="s">
        <v>3202</v>
      </c>
      <c r="H423" s="34" t="s">
        <v>668</v>
      </c>
      <c r="I423" s="2" t="s">
        <v>19</v>
      </c>
      <c r="J423" s="2" t="s">
        <v>19</v>
      </c>
      <c r="K423" s="2" t="s">
        <v>19</v>
      </c>
      <c r="L423" s="2" t="s">
        <v>19</v>
      </c>
    </row>
    <row r="424" customFormat="false" ht="15" hidden="false" customHeight="false" outlineLevel="0" collapsed="false">
      <c r="A424" s="2" t="s">
        <v>432</v>
      </c>
      <c r="B424" s="13" t="s">
        <v>431</v>
      </c>
      <c r="C424" s="13" t="s">
        <v>105</v>
      </c>
      <c r="D424" s="13" t="s">
        <v>3628</v>
      </c>
      <c r="E424" s="13" t="s">
        <v>82</v>
      </c>
      <c r="F424" s="2" t="s">
        <v>129</v>
      </c>
      <c r="G424" s="2" t="s">
        <v>3215</v>
      </c>
      <c r="H424" s="39" t="s">
        <v>671</v>
      </c>
      <c r="I424" s="2" t="s">
        <v>19</v>
      </c>
      <c r="J424" s="2" t="s">
        <v>19</v>
      </c>
      <c r="K424" s="2" t="s">
        <v>19</v>
      </c>
      <c r="L424" s="2" t="s">
        <v>19</v>
      </c>
    </row>
    <row r="425" customFormat="false" ht="15" hidden="false" customHeight="false" outlineLevel="0" collapsed="false">
      <c r="A425" s="2" t="s">
        <v>342</v>
      </c>
      <c r="B425" s="13" t="s">
        <v>341</v>
      </c>
      <c r="C425" s="13" t="s">
        <v>138</v>
      </c>
      <c r="D425" s="13" t="s">
        <v>3629</v>
      </c>
      <c r="E425" s="13" t="s">
        <v>93</v>
      </c>
      <c r="F425" s="2" t="s">
        <v>157</v>
      </c>
      <c r="G425" s="2" t="s">
        <v>3218</v>
      </c>
      <c r="H425" s="39" t="s">
        <v>671</v>
      </c>
      <c r="I425" s="2" t="s">
        <v>19</v>
      </c>
      <c r="J425" s="2" t="s">
        <v>19</v>
      </c>
      <c r="K425" s="2" t="s">
        <v>19</v>
      </c>
      <c r="L425" s="2" t="s">
        <v>19</v>
      </c>
    </row>
    <row r="426" customFormat="false" ht="15" hidden="false" customHeight="false" outlineLevel="0" collapsed="false">
      <c r="A426" s="2" t="s">
        <v>2527</v>
      </c>
      <c r="B426" s="13" t="s">
        <v>2526</v>
      </c>
      <c r="C426" s="13" t="s">
        <v>92</v>
      </c>
      <c r="D426" s="13" t="s">
        <v>3630</v>
      </c>
      <c r="E426" s="13" t="s">
        <v>99</v>
      </c>
      <c r="F426" s="2" t="s">
        <v>157</v>
      </c>
      <c r="G426" s="2" t="s">
        <v>3205</v>
      </c>
      <c r="H426" s="34" t="s">
        <v>668</v>
      </c>
      <c r="I426" s="2" t="s">
        <v>19</v>
      </c>
      <c r="J426" s="2" t="s">
        <v>19</v>
      </c>
      <c r="K426" s="2" t="s">
        <v>19</v>
      </c>
      <c r="L426" s="2" t="s">
        <v>19</v>
      </c>
    </row>
    <row r="427" customFormat="false" ht="15" hidden="false" customHeight="false" outlineLevel="0" collapsed="false">
      <c r="A427" s="2" t="s">
        <v>568</v>
      </c>
      <c r="B427" s="13" t="s">
        <v>567</v>
      </c>
      <c r="C427" s="13" t="s">
        <v>72</v>
      </c>
      <c r="D427" s="13" t="s">
        <v>3631</v>
      </c>
      <c r="E427" s="13" t="s">
        <v>118</v>
      </c>
      <c r="F427" s="2" t="s">
        <v>129</v>
      </c>
      <c r="G427" s="2" t="s">
        <v>3215</v>
      </c>
      <c r="H427" s="39" t="s">
        <v>671</v>
      </c>
      <c r="I427" s="2" t="s">
        <v>19</v>
      </c>
      <c r="J427" s="2" t="s">
        <v>19</v>
      </c>
      <c r="K427" s="2" t="s">
        <v>19</v>
      </c>
      <c r="L427" s="2" t="s">
        <v>19</v>
      </c>
    </row>
    <row r="428" customFormat="false" ht="15" hidden="false" customHeight="false" outlineLevel="0" collapsed="false">
      <c r="A428" s="2" t="s">
        <v>386</v>
      </c>
      <c r="B428" s="13" t="s">
        <v>385</v>
      </c>
      <c r="C428" s="13" t="s">
        <v>105</v>
      </c>
      <c r="D428" s="13" t="s">
        <v>3632</v>
      </c>
      <c r="E428" s="13" t="s">
        <v>170</v>
      </c>
      <c r="F428" s="2" t="s">
        <v>157</v>
      </c>
      <c r="G428" s="2" t="s">
        <v>3218</v>
      </c>
      <c r="H428" s="39" t="s">
        <v>671</v>
      </c>
      <c r="I428" s="2" t="s">
        <v>19</v>
      </c>
      <c r="J428" s="2" t="s">
        <v>19</v>
      </c>
      <c r="K428" s="2" t="s">
        <v>19</v>
      </c>
      <c r="L428" s="2" t="s">
        <v>19</v>
      </c>
    </row>
    <row r="429" customFormat="false" ht="15" hidden="false" customHeight="false" outlineLevel="0" collapsed="false">
      <c r="A429" s="2" t="s">
        <v>1019</v>
      </c>
      <c r="B429" s="13" t="s">
        <v>1018</v>
      </c>
      <c r="C429" s="13" t="s">
        <v>72</v>
      </c>
      <c r="D429" s="13" t="s">
        <v>3633</v>
      </c>
      <c r="E429" s="13" t="s">
        <v>170</v>
      </c>
      <c r="F429" s="2" t="s">
        <v>129</v>
      </c>
      <c r="G429" s="2" t="s">
        <v>3195</v>
      </c>
      <c r="H429" s="34" t="s">
        <v>668</v>
      </c>
      <c r="I429" s="2" t="s">
        <v>19</v>
      </c>
      <c r="J429" s="2" t="s">
        <v>19</v>
      </c>
      <c r="K429" s="2" t="s">
        <v>19</v>
      </c>
      <c r="L429" s="2" t="s">
        <v>19</v>
      </c>
    </row>
    <row r="430" customFormat="false" ht="15" hidden="false" customHeight="false" outlineLevel="0" collapsed="false">
      <c r="A430" s="2" t="s">
        <v>1203</v>
      </c>
      <c r="B430" s="13" t="s">
        <v>1202</v>
      </c>
      <c r="C430" s="13" t="s">
        <v>81</v>
      </c>
      <c r="D430" s="15" t="s">
        <v>3634</v>
      </c>
      <c r="E430" s="13" t="s">
        <v>118</v>
      </c>
      <c r="F430" s="2" t="s">
        <v>129</v>
      </c>
      <c r="G430" s="2" t="s">
        <v>3193</v>
      </c>
      <c r="H430" s="34" t="s">
        <v>668</v>
      </c>
      <c r="I430" s="2" t="s">
        <v>19</v>
      </c>
      <c r="J430" s="2" t="s">
        <v>19</v>
      </c>
      <c r="K430" s="2" t="s">
        <v>17</v>
      </c>
      <c r="L430" s="2" t="s">
        <v>19</v>
      </c>
    </row>
    <row r="431" customFormat="false" ht="15" hidden="false" customHeight="false" outlineLevel="0" collapsed="false">
      <c r="A431" s="2" t="s">
        <v>2956</v>
      </c>
      <c r="B431" s="14" t="s">
        <v>3635</v>
      </c>
      <c r="C431" s="14" t="s">
        <v>133</v>
      </c>
      <c r="D431" s="14" t="s">
        <v>3636</v>
      </c>
      <c r="E431" s="14" t="s">
        <v>115</v>
      </c>
      <c r="F431" s="2" t="s">
        <v>129</v>
      </c>
      <c r="G431" s="2" t="s">
        <v>3297</v>
      </c>
      <c r="H431" s="34" t="s">
        <v>668</v>
      </c>
      <c r="I431" s="2" t="s">
        <v>21</v>
      </c>
      <c r="J431" s="2" t="s">
        <v>21</v>
      </c>
      <c r="K431" s="2" t="s">
        <v>21</v>
      </c>
      <c r="L431" s="2" t="s">
        <v>21</v>
      </c>
    </row>
    <row r="432" customFormat="false" ht="15" hidden="false" customHeight="false" outlineLevel="0" collapsed="false">
      <c r="A432" s="2" t="s">
        <v>2672</v>
      </c>
      <c r="B432" s="13" t="s">
        <v>2671</v>
      </c>
      <c r="C432" s="13" t="s">
        <v>77</v>
      </c>
      <c r="D432" s="13" t="s">
        <v>3637</v>
      </c>
      <c r="E432" s="13" t="s">
        <v>96</v>
      </c>
      <c r="F432" s="2" t="s">
        <v>175</v>
      </c>
      <c r="G432" s="2" t="s">
        <v>3205</v>
      </c>
      <c r="H432" s="34" t="s">
        <v>668</v>
      </c>
      <c r="I432" s="2" t="s">
        <v>19</v>
      </c>
      <c r="J432" s="2" t="s">
        <v>19</v>
      </c>
      <c r="K432" s="2" t="s">
        <v>19</v>
      </c>
      <c r="L432" s="2" t="s">
        <v>19</v>
      </c>
    </row>
    <row r="433" customFormat="false" ht="15" hidden="false" customHeight="false" outlineLevel="0" collapsed="false">
      <c r="A433" s="2" t="s">
        <v>1721</v>
      </c>
      <c r="B433" s="13" t="s">
        <v>1720</v>
      </c>
      <c r="C433" s="13" t="s">
        <v>81</v>
      </c>
      <c r="D433" s="13" t="s">
        <v>3638</v>
      </c>
      <c r="E433" s="13" t="s">
        <v>82</v>
      </c>
      <c r="F433" s="2" t="s">
        <v>125</v>
      </c>
      <c r="G433" s="2" t="s">
        <v>3205</v>
      </c>
      <c r="H433" s="34" t="s">
        <v>668</v>
      </c>
      <c r="I433" s="2" t="s">
        <v>19</v>
      </c>
      <c r="J433" s="2" t="s">
        <v>19</v>
      </c>
      <c r="K433" s="2" t="s">
        <v>19</v>
      </c>
      <c r="L433" s="2" t="s">
        <v>19</v>
      </c>
    </row>
    <row r="434" customFormat="false" ht="15" hidden="false" customHeight="false" outlineLevel="0" collapsed="false">
      <c r="A434" s="2" t="s">
        <v>2005</v>
      </c>
      <c r="B434" s="13" t="s">
        <v>2004</v>
      </c>
      <c r="C434" s="13" t="s">
        <v>102</v>
      </c>
      <c r="D434" s="13" t="s">
        <v>3639</v>
      </c>
      <c r="E434" s="14" t="s">
        <v>96</v>
      </c>
      <c r="F434" s="2" t="s">
        <v>129</v>
      </c>
      <c r="G434" s="2" t="s">
        <v>3193</v>
      </c>
      <c r="H434" s="34" t="s">
        <v>668</v>
      </c>
      <c r="I434" s="2" t="s">
        <v>19</v>
      </c>
      <c r="J434" s="2" t="s">
        <v>19</v>
      </c>
      <c r="K434" s="2" t="s">
        <v>19</v>
      </c>
      <c r="L434" s="2" t="s">
        <v>21</v>
      </c>
    </row>
    <row r="435" customFormat="false" ht="15" hidden="false" customHeight="false" outlineLevel="0" collapsed="false">
      <c r="A435" s="2" t="s">
        <v>224</v>
      </c>
      <c r="B435" s="14" t="s">
        <v>223</v>
      </c>
      <c r="C435" s="14" t="s">
        <v>105</v>
      </c>
      <c r="D435" s="14" t="s">
        <v>3640</v>
      </c>
      <c r="E435" s="14" t="s">
        <v>108</v>
      </c>
      <c r="F435" s="2" t="s">
        <v>129</v>
      </c>
      <c r="G435" s="2" t="s">
        <v>3215</v>
      </c>
      <c r="H435" s="39" t="s">
        <v>671</v>
      </c>
      <c r="I435" s="2" t="s">
        <v>21</v>
      </c>
      <c r="J435" s="2" t="s">
        <v>21</v>
      </c>
      <c r="K435" s="2" t="s">
        <v>21</v>
      </c>
      <c r="L435" s="2" t="s">
        <v>21</v>
      </c>
    </row>
    <row r="436" customFormat="false" ht="15" hidden="false" customHeight="false" outlineLevel="0" collapsed="false">
      <c r="A436" s="2" t="s">
        <v>2532</v>
      </c>
      <c r="B436" s="13" t="s">
        <v>2531</v>
      </c>
      <c r="C436" s="13" t="s">
        <v>77</v>
      </c>
      <c r="D436" s="13" t="s">
        <v>3641</v>
      </c>
      <c r="E436" s="13" t="s">
        <v>118</v>
      </c>
      <c r="F436" s="2" t="s">
        <v>129</v>
      </c>
      <c r="G436" s="2" t="s">
        <v>3193</v>
      </c>
      <c r="H436" s="34" t="s">
        <v>668</v>
      </c>
      <c r="I436" s="2" t="s">
        <v>19</v>
      </c>
      <c r="J436" s="2" t="s">
        <v>19</v>
      </c>
      <c r="K436" s="2" t="s">
        <v>19</v>
      </c>
      <c r="L436" s="2" t="s">
        <v>19</v>
      </c>
    </row>
    <row r="437" customFormat="false" ht="15" hidden="false" customHeight="false" outlineLevel="0" collapsed="false">
      <c r="A437" s="2" t="s">
        <v>961</v>
      </c>
      <c r="B437" s="13" t="s">
        <v>960</v>
      </c>
      <c r="C437" s="13" t="s">
        <v>77</v>
      </c>
      <c r="D437" s="13" t="s">
        <v>3642</v>
      </c>
      <c r="E437" s="13" t="s">
        <v>82</v>
      </c>
      <c r="F437" s="2" t="s">
        <v>129</v>
      </c>
      <c r="G437" s="2" t="s">
        <v>3195</v>
      </c>
      <c r="H437" s="34" t="s">
        <v>668</v>
      </c>
      <c r="I437" s="2" t="s">
        <v>19</v>
      </c>
      <c r="J437" s="2" t="s">
        <v>19</v>
      </c>
      <c r="K437" s="2" t="s">
        <v>19</v>
      </c>
      <c r="L437" s="2" t="s">
        <v>19</v>
      </c>
    </row>
    <row r="438" customFormat="false" ht="15" hidden="false" customHeight="false" outlineLevel="0" collapsed="false">
      <c r="A438" s="2" t="s">
        <v>1200</v>
      </c>
      <c r="B438" s="13" t="s">
        <v>1199</v>
      </c>
      <c r="C438" s="13" t="s">
        <v>81</v>
      </c>
      <c r="D438" s="13" t="s">
        <v>3643</v>
      </c>
      <c r="E438" s="13" t="s">
        <v>108</v>
      </c>
      <c r="F438" s="2" t="s">
        <v>129</v>
      </c>
      <c r="G438" s="2" t="s">
        <v>3195</v>
      </c>
      <c r="H438" s="34" t="s">
        <v>668</v>
      </c>
      <c r="I438" s="2" t="s">
        <v>19</v>
      </c>
      <c r="J438" s="2" t="s">
        <v>19</v>
      </c>
      <c r="K438" s="2" t="s">
        <v>19</v>
      </c>
      <c r="L438" s="2" t="s">
        <v>19</v>
      </c>
    </row>
    <row r="439" customFormat="false" ht="15" hidden="false" customHeight="false" outlineLevel="0" collapsed="false">
      <c r="A439" s="2" t="s">
        <v>1840</v>
      </c>
      <c r="B439" s="13" t="s">
        <v>1839</v>
      </c>
      <c r="C439" s="13" t="s">
        <v>138</v>
      </c>
      <c r="D439" s="14" t="s">
        <v>3644</v>
      </c>
      <c r="E439" s="13" t="s">
        <v>82</v>
      </c>
      <c r="F439" s="2" t="s">
        <v>129</v>
      </c>
      <c r="G439" s="2" t="s">
        <v>3195</v>
      </c>
      <c r="H439" s="34" t="s">
        <v>668</v>
      </c>
      <c r="I439" s="2" t="s">
        <v>19</v>
      </c>
      <c r="J439" s="2" t="s">
        <v>19</v>
      </c>
      <c r="K439" s="2" t="s">
        <v>21</v>
      </c>
      <c r="L439" s="2" t="s">
        <v>19</v>
      </c>
    </row>
    <row r="440" customFormat="false" ht="15" hidden="false" customHeight="false" outlineLevel="0" collapsed="false">
      <c r="A440" s="2" t="s">
        <v>442</v>
      </c>
      <c r="B440" s="13" t="s">
        <v>441</v>
      </c>
      <c r="C440" s="13" t="s">
        <v>114</v>
      </c>
      <c r="D440" s="13" t="s">
        <v>3645</v>
      </c>
      <c r="E440" s="13" t="s">
        <v>99</v>
      </c>
      <c r="F440" s="2" t="s">
        <v>129</v>
      </c>
      <c r="G440" s="2" t="s">
        <v>3215</v>
      </c>
      <c r="H440" s="39" t="s">
        <v>671</v>
      </c>
      <c r="I440" s="2" t="s">
        <v>19</v>
      </c>
      <c r="J440" s="2" t="s">
        <v>19</v>
      </c>
      <c r="K440" s="2" t="s">
        <v>19</v>
      </c>
      <c r="L440" s="2" t="s">
        <v>19</v>
      </c>
    </row>
    <row r="441" customFormat="false" ht="15" hidden="false" customHeight="false" outlineLevel="0" collapsed="false">
      <c r="A441" s="2" t="s">
        <v>360</v>
      </c>
      <c r="B441" s="13" t="s">
        <v>359</v>
      </c>
      <c r="C441" s="13" t="s">
        <v>114</v>
      </c>
      <c r="D441" s="13" t="s">
        <v>3646</v>
      </c>
      <c r="E441" s="13" t="s">
        <v>170</v>
      </c>
      <c r="F441" s="2" t="s">
        <v>157</v>
      </c>
      <c r="G441" s="2" t="s">
        <v>3218</v>
      </c>
      <c r="H441" s="39" t="s">
        <v>671</v>
      </c>
      <c r="I441" s="2" t="s">
        <v>19</v>
      </c>
      <c r="J441" s="2" t="s">
        <v>19</v>
      </c>
      <c r="K441" s="2" t="s">
        <v>19</v>
      </c>
      <c r="L441" s="2" t="s">
        <v>19</v>
      </c>
    </row>
    <row r="442" customFormat="false" ht="15" hidden="false" customHeight="false" outlineLevel="0" collapsed="false">
      <c r="A442" s="2" t="s">
        <v>1365</v>
      </c>
      <c r="B442" s="14" t="s">
        <v>1364</v>
      </c>
      <c r="C442" s="14" t="s">
        <v>114</v>
      </c>
      <c r="D442" s="14" t="s">
        <v>3647</v>
      </c>
      <c r="E442" s="16"/>
      <c r="F442" s="2" t="s">
        <v>157</v>
      </c>
      <c r="G442" s="2" t="s">
        <v>3205</v>
      </c>
      <c r="H442" s="34" t="s">
        <v>668</v>
      </c>
      <c r="I442" s="2" t="s">
        <v>21</v>
      </c>
      <c r="J442" s="2" t="s">
        <v>21</v>
      </c>
      <c r="K442" s="2" t="s">
        <v>21</v>
      </c>
      <c r="L442" s="2"/>
    </row>
    <row r="443" customFormat="false" ht="15" hidden="false" customHeight="false" outlineLevel="0" collapsed="false">
      <c r="A443" s="2" t="s">
        <v>354</v>
      </c>
      <c r="B443" s="14" t="s">
        <v>353</v>
      </c>
      <c r="C443" s="14" t="s">
        <v>114</v>
      </c>
      <c r="D443" s="14" t="s">
        <v>3648</v>
      </c>
      <c r="E443" s="14" t="s">
        <v>115</v>
      </c>
      <c r="F443" s="2" t="s">
        <v>129</v>
      </c>
      <c r="G443" s="2" t="s">
        <v>3215</v>
      </c>
      <c r="H443" s="39" t="s">
        <v>671</v>
      </c>
      <c r="I443" s="2" t="s">
        <v>21</v>
      </c>
      <c r="J443" s="2" t="s">
        <v>21</v>
      </c>
      <c r="K443" s="2" t="s">
        <v>21</v>
      </c>
      <c r="L443" s="2" t="s">
        <v>21</v>
      </c>
    </row>
    <row r="444" customFormat="false" ht="15" hidden="false" customHeight="false" outlineLevel="0" collapsed="false">
      <c r="A444" s="2" t="s">
        <v>870</v>
      </c>
      <c r="B444" s="13" t="s">
        <v>869</v>
      </c>
      <c r="C444" s="13" t="s">
        <v>105</v>
      </c>
      <c r="D444" s="13" t="s">
        <v>3649</v>
      </c>
      <c r="E444" s="13" t="s">
        <v>73</v>
      </c>
      <c r="F444" s="2" t="s">
        <v>129</v>
      </c>
      <c r="G444" s="2" t="s">
        <v>3195</v>
      </c>
      <c r="H444" s="34" t="s">
        <v>668</v>
      </c>
      <c r="I444" s="2" t="s">
        <v>19</v>
      </c>
      <c r="J444" s="2" t="s">
        <v>19</v>
      </c>
      <c r="K444" s="2" t="s">
        <v>19</v>
      </c>
      <c r="L444" s="2" t="s">
        <v>19</v>
      </c>
    </row>
    <row r="445" customFormat="false" ht="15" hidden="false" customHeight="false" outlineLevel="0" collapsed="false">
      <c r="A445" s="2" t="s">
        <v>89</v>
      </c>
      <c r="B445" s="13" t="s">
        <v>88</v>
      </c>
      <c r="C445" s="13" t="s">
        <v>77</v>
      </c>
      <c r="D445" s="13" t="s">
        <v>3650</v>
      </c>
      <c r="E445" s="13" t="s">
        <v>82</v>
      </c>
      <c r="F445" s="2" t="s">
        <v>47</v>
      </c>
      <c r="G445" s="2" t="s">
        <v>3208</v>
      </c>
      <c r="H445" s="39" t="s">
        <v>671</v>
      </c>
      <c r="I445" s="2" t="s">
        <v>19</v>
      </c>
      <c r="J445" s="2" t="s">
        <v>19</v>
      </c>
      <c r="K445" s="2" t="s">
        <v>19</v>
      </c>
      <c r="L445" s="2" t="s">
        <v>19</v>
      </c>
    </row>
    <row r="446" customFormat="false" ht="15" hidden="false" customHeight="false" outlineLevel="0" collapsed="false">
      <c r="A446" s="2" t="s">
        <v>1123</v>
      </c>
      <c r="B446" s="13" t="s">
        <v>1122</v>
      </c>
      <c r="C446" s="13" t="s">
        <v>87</v>
      </c>
      <c r="D446" s="13" t="s">
        <v>3651</v>
      </c>
      <c r="E446" s="13" t="s">
        <v>118</v>
      </c>
      <c r="F446" s="2" t="s">
        <v>129</v>
      </c>
      <c r="G446" s="2" t="s">
        <v>3195</v>
      </c>
      <c r="H446" s="34" t="s">
        <v>668</v>
      </c>
      <c r="I446" s="2" t="s">
        <v>19</v>
      </c>
      <c r="J446" s="2" t="s">
        <v>19</v>
      </c>
      <c r="K446" s="2" t="s">
        <v>19</v>
      </c>
      <c r="L446" s="2" t="s">
        <v>19</v>
      </c>
    </row>
    <row r="447" customFormat="false" ht="15" hidden="false" customHeight="false" outlineLevel="0" collapsed="false">
      <c r="A447" s="2" t="s">
        <v>2964</v>
      </c>
      <c r="B447" s="16"/>
      <c r="C447" s="16"/>
      <c r="D447" s="16"/>
      <c r="E447" s="16"/>
      <c r="F447" s="2" t="s">
        <v>46</v>
      </c>
      <c r="G447" s="2" t="s">
        <v>3202</v>
      </c>
      <c r="H447" s="34" t="s">
        <v>668</v>
      </c>
      <c r="I447" s="2"/>
      <c r="J447" s="2"/>
      <c r="K447" s="2"/>
      <c r="L447" s="2"/>
    </row>
    <row r="448" customFormat="false" ht="15" hidden="false" customHeight="false" outlineLevel="0" collapsed="false">
      <c r="A448" s="2" t="s">
        <v>2042</v>
      </c>
      <c r="B448" s="13" t="s">
        <v>2041</v>
      </c>
      <c r="C448" s="13" t="s">
        <v>81</v>
      </c>
      <c r="D448" s="13" t="s">
        <v>3652</v>
      </c>
      <c r="E448" s="13" t="s">
        <v>118</v>
      </c>
      <c r="F448" s="2" t="s">
        <v>129</v>
      </c>
      <c r="G448" s="2" t="s">
        <v>3193</v>
      </c>
      <c r="H448" s="34" t="s">
        <v>668</v>
      </c>
      <c r="I448" s="2" t="s">
        <v>19</v>
      </c>
      <c r="J448" s="2" t="s">
        <v>19</v>
      </c>
      <c r="K448" s="2" t="s">
        <v>19</v>
      </c>
      <c r="L448" s="2" t="s">
        <v>19</v>
      </c>
    </row>
    <row r="449" customFormat="false" ht="15" hidden="false" customHeight="false" outlineLevel="0" collapsed="false">
      <c r="A449" s="2" t="s">
        <v>1187</v>
      </c>
      <c r="B449" s="13" t="s">
        <v>1186</v>
      </c>
      <c r="C449" s="13" t="s">
        <v>77</v>
      </c>
      <c r="D449" s="13" t="s">
        <v>3653</v>
      </c>
      <c r="E449" s="13" t="s">
        <v>96</v>
      </c>
      <c r="F449" s="2" t="s">
        <v>129</v>
      </c>
      <c r="G449" s="2" t="s">
        <v>3195</v>
      </c>
      <c r="H449" s="34" t="s">
        <v>668</v>
      </c>
      <c r="I449" s="2" t="s">
        <v>19</v>
      </c>
      <c r="J449" s="2" t="s">
        <v>19</v>
      </c>
      <c r="K449" s="2" t="s">
        <v>19</v>
      </c>
      <c r="L449" s="2" t="s">
        <v>19</v>
      </c>
    </row>
    <row r="450" customFormat="false" ht="15" hidden="false" customHeight="false" outlineLevel="0" collapsed="false">
      <c r="A450" s="2" t="s">
        <v>1279</v>
      </c>
      <c r="B450" s="16"/>
      <c r="C450" s="16"/>
      <c r="D450" s="16"/>
      <c r="E450" s="16"/>
      <c r="F450" s="2" t="s">
        <v>45</v>
      </c>
      <c r="G450" s="2" t="s">
        <v>3208</v>
      </c>
      <c r="H450" s="34" t="s">
        <v>668</v>
      </c>
      <c r="I450" s="2"/>
      <c r="J450" s="2"/>
      <c r="K450" s="2"/>
      <c r="L450" s="2"/>
    </row>
    <row r="451" customFormat="false" ht="15" hidden="false" customHeight="false" outlineLevel="0" collapsed="false">
      <c r="A451" s="2" t="s">
        <v>318</v>
      </c>
      <c r="B451" s="13" t="s">
        <v>317</v>
      </c>
      <c r="C451" s="13" t="s">
        <v>77</v>
      </c>
      <c r="D451" s="13" t="s">
        <v>3654</v>
      </c>
      <c r="E451" s="13" t="s">
        <v>115</v>
      </c>
      <c r="F451" s="2" t="s">
        <v>129</v>
      </c>
      <c r="G451" s="2" t="s">
        <v>3215</v>
      </c>
      <c r="H451" s="39" t="s">
        <v>671</v>
      </c>
      <c r="I451" s="2" t="s">
        <v>19</v>
      </c>
      <c r="J451" s="2" t="s">
        <v>19</v>
      </c>
      <c r="K451" s="2" t="s">
        <v>19</v>
      </c>
      <c r="L451" s="2" t="s">
        <v>19</v>
      </c>
    </row>
    <row r="452" customFormat="false" ht="15" hidden="false" customHeight="false" outlineLevel="0" collapsed="false">
      <c r="A452" s="2" t="s">
        <v>324</v>
      </c>
      <c r="B452" s="13" t="s">
        <v>323</v>
      </c>
      <c r="C452" s="13" t="s">
        <v>105</v>
      </c>
      <c r="D452" s="14" t="s">
        <v>3655</v>
      </c>
      <c r="E452" s="13" t="s">
        <v>96</v>
      </c>
      <c r="F452" s="2" t="s">
        <v>175</v>
      </c>
      <c r="G452" s="2" t="s">
        <v>3218</v>
      </c>
      <c r="H452" s="39" t="s">
        <v>671</v>
      </c>
      <c r="I452" s="2" t="s">
        <v>19</v>
      </c>
      <c r="J452" s="2" t="s">
        <v>19</v>
      </c>
      <c r="K452" s="2" t="s">
        <v>21</v>
      </c>
      <c r="L452" s="2" t="s">
        <v>19</v>
      </c>
    </row>
    <row r="453" customFormat="false" ht="15" hidden="false" customHeight="false" outlineLevel="0" collapsed="false">
      <c r="A453" s="2" t="s">
        <v>1654</v>
      </c>
      <c r="B453" s="13" t="s">
        <v>1653</v>
      </c>
      <c r="C453" s="13" t="s">
        <v>87</v>
      </c>
      <c r="D453" s="14" t="s">
        <v>3656</v>
      </c>
      <c r="E453" s="13" t="s">
        <v>108</v>
      </c>
      <c r="F453" s="2" t="s">
        <v>129</v>
      </c>
      <c r="G453" s="2" t="s">
        <v>3195</v>
      </c>
      <c r="H453" s="34" t="s">
        <v>668</v>
      </c>
      <c r="I453" s="2" t="s">
        <v>19</v>
      </c>
      <c r="J453" s="2" t="s">
        <v>19</v>
      </c>
      <c r="K453" s="2" t="s">
        <v>21</v>
      </c>
      <c r="L453" s="2" t="s">
        <v>19</v>
      </c>
    </row>
    <row r="454" customFormat="false" ht="15" hidden="false" customHeight="false" outlineLevel="0" collapsed="false">
      <c r="A454" s="2" t="s">
        <v>240</v>
      </c>
      <c r="B454" s="13" t="s">
        <v>239</v>
      </c>
      <c r="C454" s="13" t="s">
        <v>92</v>
      </c>
      <c r="D454" s="13" t="s">
        <v>3657</v>
      </c>
      <c r="E454" s="13" t="s">
        <v>99</v>
      </c>
      <c r="F454" s="2" t="s">
        <v>129</v>
      </c>
      <c r="G454" s="2" t="s">
        <v>3215</v>
      </c>
      <c r="H454" s="39" t="s">
        <v>671</v>
      </c>
      <c r="I454" s="2" t="s">
        <v>19</v>
      </c>
      <c r="J454" s="2" t="s">
        <v>19</v>
      </c>
      <c r="K454" s="2" t="s">
        <v>19</v>
      </c>
      <c r="L454" s="2" t="s">
        <v>19</v>
      </c>
    </row>
    <row r="455" customFormat="false" ht="15" hidden="false" customHeight="false" outlineLevel="0" collapsed="false">
      <c r="A455" s="2" t="s">
        <v>464</v>
      </c>
      <c r="B455" s="13" t="s">
        <v>463</v>
      </c>
      <c r="C455" s="13" t="s">
        <v>92</v>
      </c>
      <c r="D455" s="13" t="s">
        <v>3658</v>
      </c>
      <c r="E455" s="13" t="s">
        <v>93</v>
      </c>
      <c r="F455" s="2" t="s">
        <v>129</v>
      </c>
      <c r="G455" s="2" t="s">
        <v>3215</v>
      </c>
      <c r="H455" s="39" t="s">
        <v>671</v>
      </c>
      <c r="I455" s="2" t="s">
        <v>19</v>
      </c>
      <c r="J455" s="2" t="s">
        <v>19</v>
      </c>
      <c r="K455" s="2" t="s">
        <v>19</v>
      </c>
      <c r="L455" s="2" t="s">
        <v>19</v>
      </c>
    </row>
    <row r="456" customFormat="false" ht="15" hidden="false" customHeight="false" outlineLevel="0" collapsed="false">
      <c r="A456" s="2" t="s">
        <v>929</v>
      </c>
      <c r="B456" s="13" t="s">
        <v>928</v>
      </c>
      <c r="C456" s="13" t="s">
        <v>72</v>
      </c>
      <c r="D456" s="13" t="s">
        <v>3659</v>
      </c>
      <c r="E456" s="13" t="s">
        <v>118</v>
      </c>
      <c r="F456" s="2" t="s">
        <v>129</v>
      </c>
      <c r="G456" s="2" t="s">
        <v>3195</v>
      </c>
      <c r="H456" s="34" t="s">
        <v>668</v>
      </c>
      <c r="I456" s="2" t="s">
        <v>19</v>
      </c>
      <c r="J456" s="2" t="s">
        <v>19</v>
      </c>
      <c r="K456" s="2" t="s">
        <v>19</v>
      </c>
      <c r="L456" s="2" t="s">
        <v>19</v>
      </c>
    </row>
    <row r="457" customFormat="false" ht="15" hidden="false" customHeight="false" outlineLevel="0" collapsed="false">
      <c r="A457" s="2" t="s">
        <v>494</v>
      </c>
      <c r="B457" s="13" t="s">
        <v>493</v>
      </c>
      <c r="C457" s="13" t="s">
        <v>102</v>
      </c>
      <c r="D457" s="13" t="s">
        <v>3660</v>
      </c>
      <c r="E457" s="13" t="s">
        <v>82</v>
      </c>
      <c r="F457" s="2" t="s">
        <v>46</v>
      </c>
      <c r="G457" s="2" t="s">
        <v>3208</v>
      </c>
      <c r="H457" s="39" t="s">
        <v>671</v>
      </c>
      <c r="I457" s="2" t="s">
        <v>19</v>
      </c>
      <c r="J457" s="2" t="s">
        <v>19</v>
      </c>
      <c r="K457" s="2" t="s">
        <v>19</v>
      </c>
      <c r="L457" s="2" t="s">
        <v>19</v>
      </c>
    </row>
    <row r="458" customFormat="false" ht="15" hidden="false" customHeight="false" outlineLevel="0" collapsed="false">
      <c r="A458" s="2" t="s">
        <v>284</v>
      </c>
      <c r="B458" s="13" t="s">
        <v>283</v>
      </c>
      <c r="C458" s="13" t="s">
        <v>81</v>
      </c>
      <c r="D458" s="13" t="s">
        <v>3661</v>
      </c>
      <c r="E458" s="13" t="s">
        <v>111</v>
      </c>
      <c r="F458" s="2" t="s">
        <v>47</v>
      </c>
      <c r="G458" s="2" t="s">
        <v>3208</v>
      </c>
      <c r="H458" s="39" t="s">
        <v>671</v>
      </c>
      <c r="I458" s="2" t="s">
        <v>19</v>
      </c>
      <c r="J458" s="2" t="s">
        <v>19</v>
      </c>
      <c r="K458" s="2" t="s">
        <v>19</v>
      </c>
      <c r="L458" s="2" t="s">
        <v>19</v>
      </c>
    </row>
    <row r="459" customFormat="false" ht="15" hidden="false" customHeight="false" outlineLevel="0" collapsed="false">
      <c r="A459" s="2" t="s">
        <v>1767</v>
      </c>
      <c r="B459" s="13" t="s">
        <v>1766</v>
      </c>
      <c r="C459" s="13" t="s">
        <v>133</v>
      </c>
      <c r="D459" s="13" t="s">
        <v>3662</v>
      </c>
      <c r="E459" s="13" t="s">
        <v>93</v>
      </c>
      <c r="F459" s="2" t="s">
        <v>129</v>
      </c>
      <c r="G459" s="2" t="s">
        <v>3195</v>
      </c>
      <c r="H459" s="34" t="s">
        <v>668</v>
      </c>
      <c r="I459" s="2" t="s">
        <v>19</v>
      </c>
      <c r="J459" s="2" t="s">
        <v>19</v>
      </c>
      <c r="K459" s="2" t="s">
        <v>19</v>
      </c>
      <c r="L459" s="2" t="s">
        <v>19</v>
      </c>
    </row>
    <row r="460" customFormat="false" ht="15" hidden="false" customHeight="false" outlineLevel="0" collapsed="false">
      <c r="A460" s="2" t="s">
        <v>1307</v>
      </c>
      <c r="B460" s="13" t="s">
        <v>1306</v>
      </c>
      <c r="C460" s="13" t="s">
        <v>138</v>
      </c>
      <c r="D460" s="13" t="s">
        <v>3663</v>
      </c>
      <c r="E460" s="13" t="s">
        <v>73</v>
      </c>
      <c r="F460" s="2" t="s">
        <v>129</v>
      </c>
      <c r="G460" s="2" t="s">
        <v>3195</v>
      </c>
      <c r="H460" s="34" t="s">
        <v>668</v>
      </c>
      <c r="I460" s="2" t="s">
        <v>19</v>
      </c>
      <c r="J460" s="2" t="s">
        <v>19</v>
      </c>
      <c r="K460" s="2" t="s">
        <v>19</v>
      </c>
      <c r="L460" s="2" t="s">
        <v>19</v>
      </c>
    </row>
    <row r="461" customFormat="false" ht="15" hidden="false" customHeight="false" outlineLevel="0" collapsed="false">
      <c r="A461" s="2" t="s">
        <v>1403</v>
      </c>
      <c r="B461" s="13" t="s">
        <v>1402</v>
      </c>
      <c r="C461" s="13" t="s">
        <v>77</v>
      </c>
      <c r="D461" s="13" t="s">
        <v>3664</v>
      </c>
      <c r="E461" s="13" t="s">
        <v>93</v>
      </c>
      <c r="F461" s="2" t="s">
        <v>175</v>
      </c>
      <c r="G461" s="2" t="s">
        <v>3205</v>
      </c>
      <c r="H461" s="34" t="s">
        <v>668</v>
      </c>
      <c r="I461" s="2" t="s">
        <v>19</v>
      </c>
      <c r="J461" s="2" t="s">
        <v>19</v>
      </c>
      <c r="K461" s="2" t="s">
        <v>19</v>
      </c>
      <c r="L461" s="2" t="s">
        <v>19</v>
      </c>
    </row>
    <row r="462" customFormat="false" ht="15" hidden="false" customHeight="false" outlineLevel="0" collapsed="false">
      <c r="A462" s="2" t="s">
        <v>1394</v>
      </c>
      <c r="B462" s="13" t="s">
        <v>1393</v>
      </c>
      <c r="C462" s="13" t="s">
        <v>105</v>
      </c>
      <c r="D462" s="13" t="s">
        <v>3665</v>
      </c>
      <c r="E462" s="13" t="s">
        <v>82</v>
      </c>
      <c r="F462" s="2" t="s">
        <v>129</v>
      </c>
      <c r="G462" s="2" t="s">
        <v>3195</v>
      </c>
      <c r="H462" s="34" t="s">
        <v>668</v>
      </c>
      <c r="I462" s="2" t="s">
        <v>19</v>
      </c>
      <c r="J462" s="2" t="s">
        <v>19</v>
      </c>
      <c r="K462" s="2" t="s">
        <v>19</v>
      </c>
      <c r="L462" s="2" t="s">
        <v>19</v>
      </c>
    </row>
    <row r="463" customFormat="false" ht="15" hidden="false" customHeight="false" outlineLevel="0" collapsed="false">
      <c r="A463" s="2" t="s">
        <v>1471</v>
      </c>
      <c r="B463" s="13" t="s">
        <v>1470</v>
      </c>
      <c r="C463" s="13" t="s">
        <v>92</v>
      </c>
      <c r="D463" s="13" t="s">
        <v>3666</v>
      </c>
      <c r="E463" s="13" t="s">
        <v>115</v>
      </c>
      <c r="F463" s="2" t="s">
        <v>129</v>
      </c>
      <c r="G463" s="2" t="s">
        <v>3195</v>
      </c>
      <c r="H463" s="34" t="s">
        <v>668</v>
      </c>
      <c r="I463" s="2" t="s">
        <v>19</v>
      </c>
      <c r="J463" s="2" t="s">
        <v>19</v>
      </c>
      <c r="K463" s="2" t="s">
        <v>19</v>
      </c>
      <c r="L463" s="2" t="s">
        <v>19</v>
      </c>
    </row>
    <row r="464" customFormat="false" ht="15" hidden="false" customHeight="false" outlineLevel="0" collapsed="false">
      <c r="A464" s="2" t="s">
        <v>2974</v>
      </c>
      <c r="B464" s="14" t="s">
        <v>3667</v>
      </c>
      <c r="C464" s="14" t="s">
        <v>72</v>
      </c>
      <c r="D464" s="14" t="s">
        <v>3668</v>
      </c>
      <c r="E464" s="14" t="s">
        <v>73</v>
      </c>
      <c r="F464" s="2" t="s">
        <v>129</v>
      </c>
      <c r="G464" s="2" t="s">
        <v>3297</v>
      </c>
      <c r="H464" s="34" t="s">
        <v>668</v>
      </c>
      <c r="I464" s="2" t="s">
        <v>21</v>
      </c>
      <c r="J464" s="2" t="s">
        <v>21</v>
      </c>
      <c r="K464" s="2" t="s">
        <v>21</v>
      </c>
      <c r="L464" s="2" t="s">
        <v>21</v>
      </c>
    </row>
    <row r="465" customFormat="false" ht="15" hidden="false" customHeight="false" outlineLevel="0" collapsed="false">
      <c r="A465" s="2" t="s">
        <v>582</v>
      </c>
      <c r="B465" s="13" t="s">
        <v>581</v>
      </c>
      <c r="C465" s="13" t="s">
        <v>81</v>
      </c>
      <c r="D465" s="13" t="s">
        <v>3669</v>
      </c>
      <c r="E465" s="13" t="s">
        <v>93</v>
      </c>
      <c r="F465" s="2" t="s">
        <v>157</v>
      </c>
      <c r="G465" s="2" t="s">
        <v>3218</v>
      </c>
      <c r="H465" s="39" t="s">
        <v>671</v>
      </c>
      <c r="I465" s="2" t="s">
        <v>19</v>
      </c>
      <c r="J465" s="2" t="s">
        <v>19</v>
      </c>
      <c r="K465" s="2" t="s">
        <v>19</v>
      </c>
      <c r="L465" s="2" t="s">
        <v>19</v>
      </c>
    </row>
    <row r="466" customFormat="false" ht="15" hidden="false" customHeight="false" outlineLevel="0" collapsed="false">
      <c r="A466" s="2" t="s">
        <v>1197</v>
      </c>
      <c r="B466" s="13" t="s">
        <v>1196</v>
      </c>
      <c r="C466" s="13" t="s">
        <v>102</v>
      </c>
      <c r="D466" s="13" t="s">
        <v>3670</v>
      </c>
      <c r="E466" s="13" t="s">
        <v>108</v>
      </c>
      <c r="F466" s="2" t="s">
        <v>129</v>
      </c>
      <c r="G466" s="2" t="s">
        <v>3195</v>
      </c>
      <c r="H466" s="34" t="s">
        <v>668</v>
      </c>
      <c r="I466" s="2" t="s">
        <v>19</v>
      </c>
      <c r="J466" s="2" t="s">
        <v>19</v>
      </c>
      <c r="K466" s="2" t="s">
        <v>19</v>
      </c>
      <c r="L466" s="2" t="s">
        <v>19</v>
      </c>
    </row>
    <row r="467" customFormat="false" ht="15" hidden="false" customHeight="false" outlineLevel="0" collapsed="false">
      <c r="A467" s="2" t="s">
        <v>1354</v>
      </c>
      <c r="B467" s="13" t="s">
        <v>1353</v>
      </c>
      <c r="C467" s="13" t="s">
        <v>77</v>
      </c>
      <c r="D467" s="13" t="s">
        <v>3671</v>
      </c>
      <c r="E467" s="13" t="s">
        <v>93</v>
      </c>
      <c r="F467" s="2" t="s">
        <v>129</v>
      </c>
      <c r="G467" s="2" t="s">
        <v>3195</v>
      </c>
      <c r="H467" s="34" t="s">
        <v>668</v>
      </c>
      <c r="I467" s="2" t="s">
        <v>19</v>
      </c>
      <c r="J467" s="2" t="s">
        <v>19</v>
      </c>
      <c r="K467" s="2" t="s">
        <v>19</v>
      </c>
      <c r="L467" s="2" t="s">
        <v>19</v>
      </c>
    </row>
    <row r="468" customFormat="false" ht="15" hidden="false" customHeight="false" outlineLevel="0" collapsed="false">
      <c r="A468" s="2" t="s">
        <v>2976</v>
      </c>
      <c r="B468" s="16"/>
      <c r="C468" s="16"/>
      <c r="D468" s="16"/>
      <c r="E468" s="16"/>
      <c r="F468" s="2" t="s">
        <v>46</v>
      </c>
      <c r="G468" s="2" t="s">
        <v>3202</v>
      </c>
      <c r="H468" s="34" t="s">
        <v>668</v>
      </c>
      <c r="I468" s="2"/>
      <c r="J468" s="2"/>
      <c r="K468" s="2"/>
      <c r="L468" s="2"/>
    </row>
    <row r="469" customFormat="false" ht="15" hidden="false" customHeight="false" outlineLevel="0" collapsed="false">
      <c r="A469" s="2" t="s">
        <v>2377</v>
      </c>
      <c r="B469" s="13" t="s">
        <v>2376</v>
      </c>
      <c r="C469" s="13" t="s">
        <v>81</v>
      </c>
      <c r="D469" s="13" t="s">
        <v>3672</v>
      </c>
      <c r="E469" s="13" t="s">
        <v>118</v>
      </c>
      <c r="F469" s="2" t="s">
        <v>129</v>
      </c>
      <c r="G469" s="2" t="s">
        <v>3193</v>
      </c>
      <c r="H469" s="34" t="s">
        <v>668</v>
      </c>
      <c r="I469" s="2" t="s">
        <v>19</v>
      </c>
      <c r="J469" s="2" t="s">
        <v>19</v>
      </c>
      <c r="K469" s="2" t="s">
        <v>19</v>
      </c>
      <c r="L469" s="2" t="s">
        <v>19</v>
      </c>
    </row>
    <row r="470" customFormat="false" ht="15" hidden="false" customHeight="false" outlineLevel="0" collapsed="false">
      <c r="A470" s="2" t="s">
        <v>326</v>
      </c>
      <c r="B470" s="13" t="s">
        <v>325</v>
      </c>
      <c r="C470" s="13" t="s">
        <v>133</v>
      </c>
      <c r="D470" s="13" t="s">
        <v>3673</v>
      </c>
      <c r="E470" s="13" t="s">
        <v>111</v>
      </c>
      <c r="F470" s="2" t="s">
        <v>47</v>
      </c>
      <c r="G470" s="2" t="s">
        <v>3208</v>
      </c>
      <c r="H470" s="39" t="s">
        <v>671</v>
      </c>
      <c r="I470" s="2" t="s">
        <v>19</v>
      </c>
      <c r="J470" s="2" t="s">
        <v>19</v>
      </c>
      <c r="K470" s="2" t="s">
        <v>19</v>
      </c>
      <c r="L470" s="2" t="s">
        <v>19</v>
      </c>
    </row>
    <row r="471" customFormat="false" ht="15" hidden="false" customHeight="false" outlineLevel="0" collapsed="false">
      <c r="A471" s="2" t="s">
        <v>1501</v>
      </c>
      <c r="B471" s="13" t="s">
        <v>1500</v>
      </c>
      <c r="C471" s="13" t="s">
        <v>81</v>
      </c>
      <c r="D471" s="13" t="s">
        <v>3674</v>
      </c>
      <c r="E471" s="13" t="s">
        <v>170</v>
      </c>
      <c r="F471" s="2" t="s">
        <v>129</v>
      </c>
      <c r="G471" s="2" t="s">
        <v>3195</v>
      </c>
      <c r="H471" s="34" t="s">
        <v>668</v>
      </c>
      <c r="I471" s="2" t="s">
        <v>19</v>
      </c>
      <c r="J471" s="2" t="s">
        <v>19</v>
      </c>
      <c r="K471" s="2" t="s">
        <v>19</v>
      </c>
      <c r="L471" s="2" t="s">
        <v>19</v>
      </c>
    </row>
    <row r="472" customFormat="false" ht="15" hidden="false" customHeight="false" outlineLevel="0" collapsed="false">
      <c r="A472" s="2" t="s">
        <v>454</v>
      </c>
      <c r="B472" s="13" t="s">
        <v>453</v>
      </c>
      <c r="C472" s="13" t="s">
        <v>102</v>
      </c>
      <c r="D472" s="14" t="s">
        <v>3675</v>
      </c>
      <c r="E472" s="13" t="s">
        <v>111</v>
      </c>
      <c r="F472" s="2" t="s">
        <v>46</v>
      </c>
      <c r="G472" s="2" t="s">
        <v>3208</v>
      </c>
      <c r="H472" s="39" t="s">
        <v>671</v>
      </c>
      <c r="I472" s="2" t="s">
        <v>19</v>
      </c>
      <c r="J472" s="2" t="s">
        <v>19</v>
      </c>
      <c r="K472" s="2" t="s">
        <v>21</v>
      </c>
      <c r="L472" s="2" t="s">
        <v>19</v>
      </c>
    </row>
    <row r="473" customFormat="false" ht="15" hidden="false" customHeight="false" outlineLevel="0" collapsed="false">
      <c r="A473" s="2" t="s">
        <v>222</v>
      </c>
      <c r="B473" s="13" t="s">
        <v>221</v>
      </c>
      <c r="C473" s="13" t="s">
        <v>87</v>
      </c>
      <c r="D473" s="13" t="s">
        <v>3676</v>
      </c>
      <c r="E473" s="13" t="s">
        <v>96</v>
      </c>
      <c r="F473" s="2" t="s">
        <v>129</v>
      </c>
      <c r="G473" s="2" t="s">
        <v>3215</v>
      </c>
      <c r="H473" s="39" t="s">
        <v>671</v>
      </c>
      <c r="I473" s="2" t="s">
        <v>19</v>
      </c>
      <c r="J473" s="2" t="s">
        <v>19</v>
      </c>
      <c r="K473" s="2" t="s">
        <v>19</v>
      </c>
      <c r="L473" s="2" t="s">
        <v>19</v>
      </c>
    </row>
    <row r="474" customFormat="false" ht="15" hidden="false" customHeight="false" outlineLevel="0" collapsed="false">
      <c r="A474" s="2" t="s">
        <v>758</v>
      </c>
      <c r="B474" s="14" t="s">
        <v>757</v>
      </c>
      <c r="C474" s="14" t="s">
        <v>72</v>
      </c>
      <c r="D474" s="14" t="s">
        <v>3677</v>
      </c>
      <c r="E474" s="14" t="s">
        <v>118</v>
      </c>
      <c r="F474" s="2" t="s">
        <v>129</v>
      </c>
      <c r="G474" s="2" t="s">
        <v>3193</v>
      </c>
      <c r="H474" s="34" t="s">
        <v>668</v>
      </c>
      <c r="I474" s="2" t="s">
        <v>21</v>
      </c>
      <c r="J474" s="2" t="s">
        <v>21</v>
      </c>
      <c r="K474" s="2" t="s">
        <v>21</v>
      </c>
      <c r="L474" s="2" t="s">
        <v>21</v>
      </c>
    </row>
    <row r="475" customFormat="false" ht="15" hidden="false" customHeight="false" outlineLevel="0" collapsed="false">
      <c r="A475" s="2" t="s">
        <v>1136</v>
      </c>
      <c r="B475" s="13" t="s">
        <v>1135</v>
      </c>
      <c r="C475" s="13" t="s">
        <v>105</v>
      </c>
      <c r="D475" s="13" t="s">
        <v>3678</v>
      </c>
      <c r="E475" s="13" t="s">
        <v>108</v>
      </c>
      <c r="F475" s="2" t="s">
        <v>129</v>
      </c>
      <c r="G475" s="2" t="s">
        <v>3195</v>
      </c>
      <c r="H475" s="34" t="s">
        <v>668</v>
      </c>
      <c r="I475" s="2" t="s">
        <v>19</v>
      </c>
      <c r="J475" s="2" t="s">
        <v>19</v>
      </c>
      <c r="K475" s="2" t="s">
        <v>19</v>
      </c>
      <c r="L475" s="2" t="s">
        <v>19</v>
      </c>
    </row>
    <row r="476" customFormat="false" ht="15" hidden="false" customHeight="false" outlineLevel="0" collapsed="false">
      <c r="A476" s="2" t="s">
        <v>270</v>
      </c>
      <c r="B476" s="13" t="s">
        <v>269</v>
      </c>
      <c r="C476" s="13" t="s">
        <v>81</v>
      </c>
      <c r="D476" s="13" t="s">
        <v>3679</v>
      </c>
      <c r="E476" s="13" t="s">
        <v>93</v>
      </c>
      <c r="F476" s="2" t="s">
        <v>129</v>
      </c>
      <c r="G476" s="2" t="s">
        <v>3215</v>
      </c>
      <c r="H476" s="39" t="s">
        <v>671</v>
      </c>
      <c r="I476" s="2" t="s">
        <v>19</v>
      </c>
      <c r="J476" s="2" t="s">
        <v>19</v>
      </c>
      <c r="K476" s="2" t="s">
        <v>19</v>
      </c>
      <c r="L476" s="2" t="s">
        <v>19</v>
      </c>
    </row>
    <row r="477" customFormat="false" ht="15" hidden="false" customHeight="false" outlineLevel="0" collapsed="false">
      <c r="A477" s="2" t="s">
        <v>2601</v>
      </c>
      <c r="B477" s="13" t="s">
        <v>2600</v>
      </c>
      <c r="C477" s="13" t="s">
        <v>92</v>
      </c>
      <c r="D477" s="13" t="s">
        <v>3680</v>
      </c>
      <c r="E477" s="13" t="s">
        <v>96</v>
      </c>
      <c r="F477" s="2" t="s">
        <v>129</v>
      </c>
      <c r="G477" s="2" t="s">
        <v>3193</v>
      </c>
      <c r="H477" s="34" t="s">
        <v>668</v>
      </c>
      <c r="I477" s="2" t="s">
        <v>19</v>
      </c>
      <c r="J477" s="2" t="s">
        <v>19</v>
      </c>
      <c r="K477" s="2" t="s">
        <v>19</v>
      </c>
      <c r="L477" s="2" t="s">
        <v>19</v>
      </c>
    </row>
    <row r="478" customFormat="false" ht="15" hidden="false" customHeight="false" outlineLevel="0" collapsed="false">
      <c r="A478" s="2" t="s">
        <v>532</v>
      </c>
      <c r="B478" s="13" t="s">
        <v>531</v>
      </c>
      <c r="C478" s="13" t="s">
        <v>87</v>
      </c>
      <c r="D478" s="13" t="s">
        <v>3681</v>
      </c>
      <c r="E478" s="13" t="s">
        <v>170</v>
      </c>
      <c r="F478" s="2" t="s">
        <v>47</v>
      </c>
      <c r="G478" s="2" t="s">
        <v>3208</v>
      </c>
      <c r="H478" s="39" t="s">
        <v>671</v>
      </c>
      <c r="I478" s="2" t="s">
        <v>19</v>
      </c>
      <c r="J478" s="2" t="s">
        <v>19</v>
      </c>
      <c r="K478" s="2" t="s">
        <v>19</v>
      </c>
      <c r="L478" s="2" t="s">
        <v>19</v>
      </c>
    </row>
    <row r="479" customFormat="false" ht="15" hidden="false" customHeight="false" outlineLevel="0" collapsed="false">
      <c r="A479" s="2" t="s">
        <v>264</v>
      </c>
      <c r="B479" s="13" t="s">
        <v>263</v>
      </c>
      <c r="C479" s="13" t="s">
        <v>92</v>
      </c>
      <c r="D479" s="13" t="s">
        <v>3682</v>
      </c>
      <c r="E479" s="13" t="s">
        <v>115</v>
      </c>
      <c r="F479" s="2" t="s">
        <v>46</v>
      </c>
      <c r="G479" s="2" t="s">
        <v>3208</v>
      </c>
      <c r="H479" s="39" t="s">
        <v>671</v>
      </c>
      <c r="I479" s="2" t="s">
        <v>19</v>
      </c>
      <c r="J479" s="2" t="s">
        <v>19</v>
      </c>
      <c r="K479" s="2" t="s">
        <v>19</v>
      </c>
      <c r="L479" s="2" t="s">
        <v>19</v>
      </c>
    </row>
    <row r="480" customFormat="false" ht="15" hidden="false" customHeight="false" outlineLevel="0" collapsed="false">
      <c r="A480" s="2" t="s">
        <v>404</v>
      </c>
      <c r="B480" s="13" t="s">
        <v>403</v>
      </c>
      <c r="C480" s="13" t="s">
        <v>77</v>
      </c>
      <c r="D480" s="13" t="s">
        <v>3683</v>
      </c>
      <c r="E480" s="13" t="s">
        <v>115</v>
      </c>
      <c r="F480" s="2" t="s">
        <v>129</v>
      </c>
      <c r="G480" s="2" t="s">
        <v>3215</v>
      </c>
      <c r="H480" s="39" t="s">
        <v>671</v>
      </c>
      <c r="I480" s="2" t="s">
        <v>19</v>
      </c>
      <c r="J480" s="2" t="s">
        <v>19</v>
      </c>
      <c r="K480" s="2" t="s">
        <v>19</v>
      </c>
      <c r="L480" s="2" t="s">
        <v>19</v>
      </c>
    </row>
    <row r="481" customFormat="false" ht="15" hidden="false" customHeight="false" outlineLevel="0" collapsed="false">
      <c r="A481" s="2" t="s">
        <v>2368</v>
      </c>
      <c r="B481" s="13" t="s">
        <v>2367</v>
      </c>
      <c r="C481" s="13" t="s">
        <v>87</v>
      </c>
      <c r="D481" s="13" t="s">
        <v>3684</v>
      </c>
      <c r="E481" s="13" t="s">
        <v>96</v>
      </c>
      <c r="F481" s="2" t="s">
        <v>129</v>
      </c>
      <c r="G481" s="2" t="s">
        <v>3193</v>
      </c>
      <c r="H481" s="34" t="s">
        <v>668</v>
      </c>
      <c r="I481" s="2" t="s">
        <v>19</v>
      </c>
      <c r="J481" s="2" t="s">
        <v>19</v>
      </c>
      <c r="K481" s="2" t="s">
        <v>19</v>
      </c>
      <c r="L481" s="2" t="s">
        <v>19</v>
      </c>
    </row>
    <row r="482" customFormat="false" ht="15" hidden="false" customHeight="false" outlineLevel="0" collapsed="false">
      <c r="A482" s="2" t="s">
        <v>594</v>
      </c>
      <c r="B482" s="13" t="s">
        <v>593</v>
      </c>
      <c r="C482" s="13" t="s">
        <v>105</v>
      </c>
      <c r="D482" s="13" t="s">
        <v>3685</v>
      </c>
      <c r="E482" s="13" t="s">
        <v>96</v>
      </c>
      <c r="F482" s="2" t="s">
        <v>157</v>
      </c>
      <c r="G482" s="2" t="s">
        <v>3218</v>
      </c>
      <c r="H482" s="39" t="s">
        <v>671</v>
      </c>
      <c r="I482" s="2" t="s">
        <v>19</v>
      </c>
      <c r="J482" s="2" t="s">
        <v>19</v>
      </c>
      <c r="K482" s="2" t="s">
        <v>19</v>
      </c>
      <c r="L482" s="2" t="s">
        <v>19</v>
      </c>
    </row>
    <row r="483" customFormat="false" ht="15" hidden="false" customHeight="false" outlineLevel="0" collapsed="false">
      <c r="A483" s="2" t="s">
        <v>1724</v>
      </c>
      <c r="B483" s="14" t="s">
        <v>1723</v>
      </c>
      <c r="C483" s="14" t="s">
        <v>102</v>
      </c>
      <c r="D483" s="14" t="s">
        <v>3686</v>
      </c>
      <c r="E483" s="15" t="s">
        <v>111</v>
      </c>
      <c r="F483" s="2" t="s">
        <v>125</v>
      </c>
      <c r="G483" s="2" t="s">
        <v>3205</v>
      </c>
      <c r="H483" s="34" t="s">
        <v>668</v>
      </c>
      <c r="I483" s="2" t="s">
        <v>21</v>
      </c>
      <c r="J483" s="2" t="s">
        <v>21</v>
      </c>
      <c r="K483" s="2" t="s">
        <v>21</v>
      </c>
      <c r="L483" s="2" t="s">
        <v>17</v>
      </c>
    </row>
    <row r="484" customFormat="false" ht="15" hidden="false" customHeight="false" outlineLevel="0" collapsed="false">
      <c r="A484" s="2" t="s">
        <v>304</v>
      </c>
      <c r="B484" s="13" t="s">
        <v>303</v>
      </c>
      <c r="C484" s="13" t="s">
        <v>77</v>
      </c>
      <c r="D484" s="13" t="s">
        <v>3687</v>
      </c>
      <c r="E484" s="13" t="s">
        <v>82</v>
      </c>
      <c r="F484" s="2" t="s">
        <v>129</v>
      </c>
      <c r="G484" s="2" t="s">
        <v>3215</v>
      </c>
      <c r="H484" s="39" t="s">
        <v>671</v>
      </c>
      <c r="I484" s="2" t="s">
        <v>19</v>
      </c>
      <c r="J484" s="2" t="s">
        <v>19</v>
      </c>
      <c r="K484" s="2" t="s">
        <v>19</v>
      </c>
      <c r="L484" s="2" t="s">
        <v>19</v>
      </c>
    </row>
    <row r="485" customFormat="false" ht="15" hidden="false" customHeight="false" outlineLevel="0" collapsed="false">
      <c r="A485" s="2" t="s">
        <v>1120</v>
      </c>
      <c r="B485" s="13" t="s">
        <v>1119</v>
      </c>
      <c r="C485" s="13" t="s">
        <v>92</v>
      </c>
      <c r="D485" s="13" t="s">
        <v>3688</v>
      </c>
      <c r="E485" s="13" t="s">
        <v>96</v>
      </c>
      <c r="F485" s="2" t="s">
        <v>129</v>
      </c>
      <c r="G485" s="2" t="s">
        <v>3195</v>
      </c>
      <c r="H485" s="34" t="s">
        <v>668</v>
      </c>
      <c r="I485" s="2" t="s">
        <v>19</v>
      </c>
      <c r="J485" s="2" t="s">
        <v>19</v>
      </c>
      <c r="K485" s="2" t="s">
        <v>19</v>
      </c>
      <c r="L485" s="2" t="s">
        <v>19</v>
      </c>
    </row>
    <row r="486" customFormat="false" ht="15" hidden="false" customHeight="false" outlineLevel="0" collapsed="false">
      <c r="A486" s="2" t="s">
        <v>2126</v>
      </c>
      <c r="B486" s="13" t="s">
        <v>2125</v>
      </c>
      <c r="C486" s="13" t="s">
        <v>114</v>
      </c>
      <c r="D486" s="13" t="s">
        <v>3689</v>
      </c>
      <c r="E486" s="13" t="s">
        <v>73</v>
      </c>
      <c r="F486" s="2" t="s">
        <v>129</v>
      </c>
      <c r="G486" s="2" t="s">
        <v>3193</v>
      </c>
      <c r="H486" s="34" t="s">
        <v>668</v>
      </c>
      <c r="I486" s="2" t="s">
        <v>19</v>
      </c>
      <c r="J486" s="2" t="s">
        <v>19</v>
      </c>
      <c r="K486" s="2" t="s">
        <v>19</v>
      </c>
      <c r="L486" s="2" t="s">
        <v>19</v>
      </c>
    </row>
    <row r="487" customFormat="false" ht="15" hidden="false" customHeight="false" outlineLevel="0" collapsed="false">
      <c r="A487" s="2" t="s">
        <v>2504</v>
      </c>
      <c r="B487" s="13" t="s">
        <v>2503</v>
      </c>
      <c r="C487" s="13" t="s">
        <v>72</v>
      </c>
      <c r="D487" s="13" t="s">
        <v>3690</v>
      </c>
      <c r="E487" s="13" t="s">
        <v>93</v>
      </c>
      <c r="F487" s="2" t="s">
        <v>129</v>
      </c>
      <c r="G487" s="2" t="s">
        <v>3193</v>
      </c>
      <c r="H487" s="34" t="s">
        <v>668</v>
      </c>
      <c r="I487" s="2" t="s">
        <v>19</v>
      </c>
      <c r="J487" s="2" t="s">
        <v>19</v>
      </c>
      <c r="K487" s="2" t="s">
        <v>19</v>
      </c>
      <c r="L487" s="2" t="s">
        <v>19</v>
      </c>
    </row>
    <row r="488" customFormat="false" ht="15" hidden="false" customHeight="false" outlineLevel="0" collapsed="false">
      <c r="A488" s="2" t="s">
        <v>382</v>
      </c>
      <c r="B488" s="13" t="s">
        <v>381</v>
      </c>
      <c r="C488" s="13" t="s">
        <v>87</v>
      </c>
      <c r="D488" s="13" t="s">
        <v>3691</v>
      </c>
      <c r="E488" s="13" t="s">
        <v>96</v>
      </c>
      <c r="F488" s="2" t="s">
        <v>157</v>
      </c>
      <c r="G488" s="2" t="s">
        <v>3218</v>
      </c>
      <c r="H488" s="39" t="s">
        <v>671</v>
      </c>
      <c r="I488" s="2" t="s">
        <v>19</v>
      </c>
      <c r="J488" s="2" t="s">
        <v>19</v>
      </c>
      <c r="K488" s="2" t="s">
        <v>19</v>
      </c>
      <c r="L488" s="2" t="s">
        <v>19</v>
      </c>
    </row>
    <row r="489" customFormat="false" ht="15" hidden="false" customHeight="false" outlineLevel="0" collapsed="false">
      <c r="A489" s="2" t="s">
        <v>440</v>
      </c>
      <c r="B489" s="13" t="s">
        <v>439</v>
      </c>
      <c r="C489" s="13" t="s">
        <v>87</v>
      </c>
      <c r="D489" s="13" t="s">
        <v>3692</v>
      </c>
      <c r="E489" s="13" t="s">
        <v>82</v>
      </c>
      <c r="F489" s="2" t="s">
        <v>129</v>
      </c>
      <c r="G489" s="2" t="s">
        <v>3215</v>
      </c>
      <c r="H489" s="39" t="s">
        <v>671</v>
      </c>
      <c r="I489" s="2" t="s">
        <v>19</v>
      </c>
      <c r="J489" s="2" t="s">
        <v>19</v>
      </c>
      <c r="K489" s="2" t="s">
        <v>19</v>
      </c>
      <c r="L489" s="2" t="s">
        <v>19</v>
      </c>
    </row>
    <row r="490" customFormat="false" ht="15" hidden="false" customHeight="false" outlineLevel="0" collapsed="false">
      <c r="A490" s="2" t="s">
        <v>2374</v>
      </c>
      <c r="B490" s="13" t="s">
        <v>2373</v>
      </c>
      <c r="C490" s="13" t="s">
        <v>87</v>
      </c>
      <c r="D490" s="13" t="s">
        <v>3693</v>
      </c>
      <c r="E490" s="13" t="s">
        <v>96</v>
      </c>
      <c r="F490" s="2" t="s">
        <v>129</v>
      </c>
      <c r="G490" s="2" t="s">
        <v>3193</v>
      </c>
      <c r="H490" s="34" t="s">
        <v>668</v>
      </c>
      <c r="I490" s="2" t="s">
        <v>19</v>
      </c>
      <c r="J490" s="2" t="s">
        <v>19</v>
      </c>
      <c r="K490" s="2" t="s">
        <v>19</v>
      </c>
      <c r="L490" s="2" t="s">
        <v>19</v>
      </c>
    </row>
    <row r="491" customFormat="false" ht="15" hidden="false" customHeight="false" outlineLevel="0" collapsed="false">
      <c r="A491" s="2" t="s">
        <v>1025</v>
      </c>
      <c r="B491" s="13" t="s">
        <v>1024</v>
      </c>
      <c r="C491" s="13" t="s">
        <v>114</v>
      </c>
      <c r="D491" s="13" t="s">
        <v>3694</v>
      </c>
      <c r="E491" s="13" t="s">
        <v>99</v>
      </c>
      <c r="F491" s="2" t="s">
        <v>129</v>
      </c>
      <c r="G491" s="2" t="s">
        <v>3195</v>
      </c>
      <c r="H491" s="34" t="s">
        <v>668</v>
      </c>
      <c r="I491" s="2" t="s">
        <v>19</v>
      </c>
      <c r="J491" s="2" t="s">
        <v>19</v>
      </c>
      <c r="K491" s="2" t="s">
        <v>19</v>
      </c>
      <c r="L491" s="2" t="s">
        <v>19</v>
      </c>
    </row>
    <row r="492" customFormat="false" ht="15" hidden="false" customHeight="false" outlineLevel="0" collapsed="false">
      <c r="A492" s="2" t="s">
        <v>450</v>
      </c>
      <c r="B492" s="13" t="s">
        <v>449</v>
      </c>
      <c r="C492" s="13" t="s">
        <v>105</v>
      </c>
      <c r="D492" s="13" t="s">
        <v>3695</v>
      </c>
      <c r="E492" s="13" t="s">
        <v>82</v>
      </c>
      <c r="F492" s="2" t="s">
        <v>45</v>
      </c>
      <c r="G492" s="2" t="s">
        <v>3208</v>
      </c>
      <c r="H492" s="39" t="s">
        <v>671</v>
      </c>
      <c r="I492" s="2" t="s">
        <v>19</v>
      </c>
      <c r="J492" s="2" t="s">
        <v>19</v>
      </c>
      <c r="K492" s="2" t="s">
        <v>19</v>
      </c>
      <c r="L492" s="2" t="s">
        <v>19</v>
      </c>
    </row>
    <row r="493" customFormat="false" ht="15" hidden="false" customHeight="false" outlineLevel="0" collapsed="false">
      <c r="A493" s="2" t="s">
        <v>1843</v>
      </c>
      <c r="B493" s="13" t="s">
        <v>1842</v>
      </c>
      <c r="C493" s="13" t="s">
        <v>114</v>
      </c>
      <c r="D493" s="14" t="s">
        <v>3696</v>
      </c>
      <c r="E493" s="13" t="s">
        <v>108</v>
      </c>
      <c r="F493" s="2" t="s">
        <v>129</v>
      </c>
      <c r="G493" s="2" t="s">
        <v>3195</v>
      </c>
      <c r="H493" s="34" t="s">
        <v>668</v>
      </c>
      <c r="I493" s="2" t="s">
        <v>19</v>
      </c>
      <c r="J493" s="2" t="s">
        <v>19</v>
      </c>
      <c r="K493" s="2" t="s">
        <v>21</v>
      </c>
      <c r="L493" s="2" t="s">
        <v>19</v>
      </c>
    </row>
    <row r="494" customFormat="false" ht="15" hidden="false" customHeight="false" outlineLevel="0" collapsed="false">
      <c r="A494" s="2" t="s">
        <v>436</v>
      </c>
      <c r="B494" s="13" t="s">
        <v>435</v>
      </c>
      <c r="C494" s="13" t="s">
        <v>92</v>
      </c>
      <c r="D494" s="13" t="s">
        <v>3697</v>
      </c>
      <c r="E494" s="13" t="s">
        <v>73</v>
      </c>
      <c r="F494" s="2" t="s">
        <v>129</v>
      </c>
      <c r="G494" s="2" t="s">
        <v>3215</v>
      </c>
      <c r="H494" s="39" t="s">
        <v>671</v>
      </c>
      <c r="I494" s="2" t="s">
        <v>19</v>
      </c>
      <c r="J494" s="2" t="s">
        <v>19</v>
      </c>
      <c r="K494" s="2" t="s">
        <v>19</v>
      </c>
      <c r="L494" s="2" t="s">
        <v>19</v>
      </c>
    </row>
    <row r="495" customFormat="false" ht="15" hidden="false" customHeight="false" outlineLevel="0" collapsed="false">
      <c r="A495" s="2" t="s">
        <v>2988</v>
      </c>
      <c r="B495" s="13" t="s">
        <v>3698</v>
      </c>
      <c r="C495" s="13" t="s">
        <v>105</v>
      </c>
      <c r="D495" s="13" t="s">
        <v>3699</v>
      </c>
      <c r="E495" s="15" t="s">
        <v>111</v>
      </c>
      <c r="F495" s="2" t="s">
        <v>47</v>
      </c>
      <c r="G495" s="2" t="s">
        <v>3202</v>
      </c>
      <c r="H495" s="34" t="s">
        <v>668</v>
      </c>
      <c r="I495" s="2" t="s">
        <v>19</v>
      </c>
      <c r="J495" s="2" t="s">
        <v>19</v>
      </c>
      <c r="K495" s="2" t="s">
        <v>19</v>
      </c>
      <c r="L495" s="2" t="s">
        <v>17</v>
      </c>
    </row>
    <row r="496" customFormat="false" ht="15" hidden="false" customHeight="false" outlineLevel="0" collapsed="false">
      <c r="A496" s="2" t="s">
        <v>2989</v>
      </c>
      <c r="B496" s="13" t="s">
        <v>3700</v>
      </c>
      <c r="C496" s="13" t="s">
        <v>114</v>
      </c>
      <c r="D496" s="13" t="s">
        <v>3701</v>
      </c>
      <c r="E496" s="13" t="s">
        <v>93</v>
      </c>
      <c r="F496" s="2" t="s">
        <v>45</v>
      </c>
      <c r="G496" s="2" t="s">
        <v>3202</v>
      </c>
      <c r="H496" s="34" t="s">
        <v>668</v>
      </c>
      <c r="I496" s="2" t="s">
        <v>19</v>
      </c>
      <c r="J496" s="2" t="s">
        <v>19</v>
      </c>
      <c r="K496" s="2" t="s">
        <v>19</v>
      </c>
      <c r="L496" s="2" t="s">
        <v>19</v>
      </c>
    </row>
    <row r="497" customFormat="false" ht="15" hidden="false" customHeight="false" outlineLevel="0" collapsed="false">
      <c r="A497" s="2" t="s">
        <v>484</v>
      </c>
      <c r="B497" s="13" t="s">
        <v>483</v>
      </c>
      <c r="C497" s="13" t="s">
        <v>138</v>
      </c>
      <c r="D497" s="13" t="s">
        <v>3702</v>
      </c>
      <c r="E497" s="13" t="s">
        <v>118</v>
      </c>
      <c r="F497" s="2" t="s">
        <v>129</v>
      </c>
      <c r="G497" s="2" t="s">
        <v>3215</v>
      </c>
      <c r="H497" s="39" t="s">
        <v>671</v>
      </c>
      <c r="I497" s="2" t="s">
        <v>19</v>
      </c>
      <c r="J497" s="2" t="s">
        <v>19</v>
      </c>
      <c r="K497" s="2" t="s">
        <v>19</v>
      </c>
      <c r="L497" s="2" t="s">
        <v>19</v>
      </c>
    </row>
    <row r="498" customFormat="false" ht="15" hidden="false" customHeight="false" outlineLevel="0" collapsed="false">
      <c r="A498" s="2" t="s">
        <v>1688</v>
      </c>
      <c r="B498" s="13" t="s">
        <v>1687</v>
      </c>
      <c r="C498" s="13" t="s">
        <v>92</v>
      </c>
      <c r="D498" s="13" t="s">
        <v>3703</v>
      </c>
      <c r="E498" s="13" t="s">
        <v>73</v>
      </c>
      <c r="F498" s="2" t="s">
        <v>129</v>
      </c>
      <c r="G498" s="2" t="s">
        <v>3195</v>
      </c>
      <c r="H498" s="34" t="s">
        <v>668</v>
      </c>
      <c r="I498" s="2" t="s">
        <v>19</v>
      </c>
      <c r="J498" s="2" t="s">
        <v>19</v>
      </c>
      <c r="K498" s="2" t="s">
        <v>19</v>
      </c>
      <c r="L498" s="2" t="s">
        <v>19</v>
      </c>
    </row>
    <row r="499" customFormat="false" ht="15" hidden="false" customHeight="false" outlineLevel="0" collapsed="false">
      <c r="A499" s="2" t="s">
        <v>1129</v>
      </c>
      <c r="B499" s="13" t="s">
        <v>1128</v>
      </c>
      <c r="C499" s="13" t="s">
        <v>81</v>
      </c>
      <c r="D499" s="13" t="s">
        <v>3704</v>
      </c>
      <c r="E499" s="13" t="s">
        <v>108</v>
      </c>
      <c r="F499" s="2" t="s">
        <v>129</v>
      </c>
      <c r="G499" s="2" t="s">
        <v>3195</v>
      </c>
      <c r="H499" s="34" t="s">
        <v>668</v>
      </c>
      <c r="I499" s="2" t="s">
        <v>19</v>
      </c>
      <c r="J499" s="2" t="s">
        <v>19</v>
      </c>
      <c r="K499" s="2" t="s">
        <v>19</v>
      </c>
      <c r="L499" s="2" t="s">
        <v>19</v>
      </c>
    </row>
    <row r="500" customFormat="false" ht="15" hidden="false" customHeight="false" outlineLevel="0" collapsed="false">
      <c r="A500" s="2" t="s">
        <v>1042</v>
      </c>
      <c r="B500" s="13" t="s">
        <v>1041</v>
      </c>
      <c r="C500" s="13" t="s">
        <v>105</v>
      </c>
      <c r="D500" s="13" t="s">
        <v>3705</v>
      </c>
      <c r="E500" s="13" t="s">
        <v>115</v>
      </c>
      <c r="F500" s="2" t="s">
        <v>129</v>
      </c>
      <c r="G500" s="2" t="s">
        <v>3195</v>
      </c>
      <c r="H500" s="34" t="s">
        <v>668</v>
      </c>
      <c r="I500" s="2" t="s">
        <v>19</v>
      </c>
      <c r="J500" s="2" t="s">
        <v>19</v>
      </c>
      <c r="K500" s="2" t="s">
        <v>19</v>
      </c>
      <c r="L500" s="2" t="s">
        <v>19</v>
      </c>
    </row>
    <row r="501" customFormat="false" ht="15" hidden="false" customHeight="false" outlineLevel="0" collapsed="false">
      <c r="A501" s="2" t="s">
        <v>538</v>
      </c>
      <c r="B501" s="13" t="s">
        <v>537</v>
      </c>
      <c r="C501" s="13" t="s">
        <v>105</v>
      </c>
      <c r="D501" s="13" t="s">
        <v>3706</v>
      </c>
      <c r="E501" s="13" t="s">
        <v>96</v>
      </c>
      <c r="F501" s="2" t="s">
        <v>129</v>
      </c>
      <c r="G501" s="2" t="s">
        <v>3215</v>
      </c>
      <c r="H501" s="39" t="s">
        <v>671</v>
      </c>
      <c r="I501" s="2" t="s">
        <v>19</v>
      </c>
      <c r="J501" s="2" t="s">
        <v>19</v>
      </c>
      <c r="K501" s="2" t="s">
        <v>19</v>
      </c>
      <c r="L501" s="2" t="s">
        <v>19</v>
      </c>
    </row>
    <row r="502" customFormat="false" ht="15" hidden="false" customHeight="false" outlineLevel="0" collapsed="false">
      <c r="A502" s="2" t="s">
        <v>952</v>
      </c>
      <c r="B502" s="13" t="s">
        <v>951</v>
      </c>
      <c r="C502" s="14" t="s">
        <v>102</v>
      </c>
      <c r="D502" s="13" t="s">
        <v>3707</v>
      </c>
      <c r="E502" s="13" t="s">
        <v>82</v>
      </c>
      <c r="F502" s="2" t="s">
        <v>129</v>
      </c>
      <c r="G502" s="2" t="s">
        <v>3193</v>
      </c>
      <c r="H502" s="34" t="s">
        <v>668</v>
      </c>
      <c r="I502" s="2" t="s">
        <v>19</v>
      </c>
      <c r="J502" s="2" t="s">
        <v>21</v>
      </c>
      <c r="K502" s="2" t="s">
        <v>19</v>
      </c>
      <c r="L502" s="2" t="s">
        <v>19</v>
      </c>
    </row>
    <row r="503" customFormat="false" ht="15" hidden="false" customHeight="false" outlineLevel="0" collapsed="false">
      <c r="A503" s="2" t="s">
        <v>909</v>
      </c>
      <c r="B503" s="13" t="s">
        <v>908</v>
      </c>
      <c r="C503" s="13" t="s">
        <v>72</v>
      </c>
      <c r="D503" s="13" t="s">
        <v>3708</v>
      </c>
      <c r="E503" s="13" t="s">
        <v>96</v>
      </c>
      <c r="F503" s="2" t="s">
        <v>129</v>
      </c>
      <c r="G503" s="2" t="s">
        <v>3195</v>
      </c>
      <c r="H503" s="34" t="s">
        <v>668</v>
      </c>
      <c r="I503" s="2" t="s">
        <v>19</v>
      </c>
      <c r="J503" s="2" t="s">
        <v>19</v>
      </c>
      <c r="K503" s="2" t="s">
        <v>19</v>
      </c>
      <c r="L503" s="2" t="s">
        <v>19</v>
      </c>
    </row>
    <row r="504" customFormat="false" ht="15" hidden="false" customHeight="false" outlineLevel="0" collapsed="false">
      <c r="A504" s="2" t="s">
        <v>707</v>
      </c>
      <c r="B504" s="13" t="s">
        <v>706</v>
      </c>
      <c r="C504" s="13" t="s">
        <v>114</v>
      </c>
      <c r="D504" s="13" t="s">
        <v>3709</v>
      </c>
      <c r="E504" s="13" t="s">
        <v>99</v>
      </c>
      <c r="F504" s="2" t="s">
        <v>129</v>
      </c>
      <c r="G504" s="2" t="s">
        <v>3195</v>
      </c>
      <c r="H504" s="34" t="s">
        <v>668</v>
      </c>
      <c r="I504" s="2" t="s">
        <v>19</v>
      </c>
      <c r="J504" s="2" t="s">
        <v>19</v>
      </c>
      <c r="K504" s="2" t="s">
        <v>19</v>
      </c>
      <c r="L504" s="2" t="s">
        <v>19</v>
      </c>
    </row>
    <row r="505" customFormat="false" ht="15" hidden="false" customHeight="false" outlineLevel="0" collapsed="false">
      <c r="A505" s="2" t="s">
        <v>2513</v>
      </c>
      <c r="B505" s="13" t="s">
        <v>2512</v>
      </c>
      <c r="C505" s="13" t="s">
        <v>102</v>
      </c>
      <c r="D505" s="13" t="s">
        <v>3710</v>
      </c>
      <c r="E505" s="13" t="s">
        <v>170</v>
      </c>
      <c r="F505" s="2" t="s">
        <v>129</v>
      </c>
      <c r="G505" s="2" t="s">
        <v>3193</v>
      </c>
      <c r="H505" s="34" t="s">
        <v>668</v>
      </c>
      <c r="I505" s="2" t="s">
        <v>19</v>
      </c>
      <c r="J505" s="2" t="s">
        <v>19</v>
      </c>
      <c r="K505" s="2" t="s">
        <v>19</v>
      </c>
      <c r="L505" s="2" t="s">
        <v>19</v>
      </c>
    </row>
    <row r="506" customFormat="false" ht="15" hidden="false" customHeight="false" outlineLevel="0" collapsed="false">
      <c r="A506" s="2" t="s">
        <v>976</v>
      </c>
      <c r="B506" s="13" t="s">
        <v>975</v>
      </c>
      <c r="C506" s="13" t="s">
        <v>72</v>
      </c>
      <c r="D506" s="13" t="s">
        <v>3711</v>
      </c>
      <c r="E506" s="13" t="s">
        <v>99</v>
      </c>
      <c r="F506" s="2" t="s">
        <v>129</v>
      </c>
      <c r="G506" s="2" t="s">
        <v>3195</v>
      </c>
      <c r="H506" s="34" t="s">
        <v>668</v>
      </c>
      <c r="I506" s="2" t="s">
        <v>19</v>
      </c>
      <c r="J506" s="2" t="s">
        <v>19</v>
      </c>
      <c r="K506" s="2" t="s">
        <v>19</v>
      </c>
      <c r="L506" s="2" t="s">
        <v>19</v>
      </c>
    </row>
    <row r="507" customFormat="false" ht="15" hidden="false" customHeight="false" outlineLevel="0" collapsed="false">
      <c r="A507" s="2" t="s">
        <v>296</v>
      </c>
      <c r="B507" s="13" t="s">
        <v>295</v>
      </c>
      <c r="C507" s="13" t="s">
        <v>114</v>
      </c>
      <c r="D507" s="13" t="s">
        <v>3712</v>
      </c>
      <c r="E507" s="13" t="s">
        <v>108</v>
      </c>
      <c r="F507" s="2" t="s">
        <v>129</v>
      </c>
      <c r="G507" s="2" t="s">
        <v>3215</v>
      </c>
      <c r="H507" s="39" t="s">
        <v>671</v>
      </c>
      <c r="I507" s="2" t="s">
        <v>19</v>
      </c>
      <c r="J507" s="2" t="s">
        <v>19</v>
      </c>
      <c r="K507" s="2" t="s">
        <v>19</v>
      </c>
      <c r="L507" s="2" t="s">
        <v>19</v>
      </c>
    </row>
    <row r="508" customFormat="false" ht="15" hidden="false" customHeight="false" outlineLevel="0" collapsed="false">
      <c r="A508" s="2" t="s">
        <v>1066</v>
      </c>
      <c r="B508" s="13" t="s">
        <v>1065</v>
      </c>
      <c r="C508" s="13" t="s">
        <v>72</v>
      </c>
      <c r="D508" s="13" t="s">
        <v>3713</v>
      </c>
      <c r="E508" s="13" t="s">
        <v>111</v>
      </c>
      <c r="F508" s="2" t="s">
        <v>129</v>
      </c>
      <c r="G508" s="2" t="s">
        <v>3195</v>
      </c>
      <c r="H508" s="34" t="s">
        <v>668</v>
      </c>
      <c r="I508" s="2" t="s">
        <v>19</v>
      </c>
      <c r="J508" s="2" t="s">
        <v>19</v>
      </c>
      <c r="K508" s="2" t="s">
        <v>19</v>
      </c>
      <c r="L508" s="2" t="s">
        <v>19</v>
      </c>
    </row>
    <row r="509" customFormat="false" ht="15" hidden="false" customHeight="false" outlineLevel="0" collapsed="false">
      <c r="A509" s="2" t="s">
        <v>2997</v>
      </c>
      <c r="B509" s="16"/>
      <c r="C509" s="16"/>
      <c r="D509" s="16"/>
      <c r="E509" s="16"/>
      <c r="F509" s="2" t="s">
        <v>46</v>
      </c>
      <c r="G509" s="2" t="s">
        <v>3202</v>
      </c>
      <c r="H509" s="34" t="s">
        <v>668</v>
      </c>
      <c r="I509" s="2"/>
      <c r="J509" s="2"/>
      <c r="K509" s="2"/>
      <c r="L509" s="2"/>
    </row>
    <row r="510" customFormat="false" ht="15" hidden="false" customHeight="false" outlineLevel="0" collapsed="false">
      <c r="A510" s="2" t="s">
        <v>2420</v>
      </c>
      <c r="B510" s="13" t="s">
        <v>2419</v>
      </c>
      <c r="C510" s="13" t="s">
        <v>102</v>
      </c>
      <c r="D510" s="13" t="s">
        <v>3714</v>
      </c>
      <c r="E510" s="13" t="s">
        <v>73</v>
      </c>
      <c r="F510" s="2" t="s">
        <v>175</v>
      </c>
      <c r="G510" s="2" t="s">
        <v>3205</v>
      </c>
      <c r="H510" s="34" t="s">
        <v>668</v>
      </c>
      <c r="I510" s="2" t="s">
        <v>19</v>
      </c>
      <c r="J510" s="2" t="s">
        <v>19</v>
      </c>
      <c r="K510" s="2" t="s">
        <v>19</v>
      </c>
      <c r="L510" s="2" t="s">
        <v>19</v>
      </c>
    </row>
    <row r="511" customFormat="false" ht="15" hidden="false" customHeight="false" outlineLevel="0" collapsed="false">
      <c r="A511" s="2" t="s">
        <v>812</v>
      </c>
      <c r="B511" s="13" t="s">
        <v>811</v>
      </c>
      <c r="C511" s="13" t="s">
        <v>72</v>
      </c>
      <c r="D511" s="13" t="s">
        <v>3715</v>
      </c>
      <c r="E511" s="13" t="s">
        <v>82</v>
      </c>
      <c r="F511" s="2" t="s">
        <v>129</v>
      </c>
      <c r="G511" s="2" t="s">
        <v>3195</v>
      </c>
      <c r="H511" s="34" t="s">
        <v>668</v>
      </c>
      <c r="I511" s="2" t="s">
        <v>19</v>
      </c>
      <c r="J511" s="2" t="s">
        <v>19</v>
      </c>
      <c r="K511" s="2" t="s">
        <v>19</v>
      </c>
      <c r="L511" s="2" t="s">
        <v>19</v>
      </c>
    </row>
    <row r="512" customFormat="false" ht="15" hidden="false" customHeight="false" outlineLevel="0" collapsed="false">
      <c r="A512" s="2" t="s">
        <v>1084</v>
      </c>
      <c r="B512" s="13" t="s">
        <v>1083</v>
      </c>
      <c r="C512" s="13" t="s">
        <v>72</v>
      </c>
      <c r="D512" s="13" t="s">
        <v>3716</v>
      </c>
      <c r="E512" s="13" t="s">
        <v>115</v>
      </c>
      <c r="F512" s="2" t="s">
        <v>129</v>
      </c>
      <c r="G512" s="2" t="s">
        <v>3193</v>
      </c>
      <c r="H512" s="34" t="s">
        <v>668</v>
      </c>
      <c r="I512" s="2" t="s">
        <v>19</v>
      </c>
      <c r="J512" s="2" t="s">
        <v>19</v>
      </c>
      <c r="K512" s="2" t="s">
        <v>19</v>
      </c>
      <c r="L512" s="2" t="s">
        <v>19</v>
      </c>
    </row>
    <row r="513" customFormat="false" ht="15" hidden="false" customHeight="false" outlineLevel="0" collapsed="false">
      <c r="A513" s="2" t="s">
        <v>1350</v>
      </c>
      <c r="B513" s="13" t="s">
        <v>1349</v>
      </c>
      <c r="C513" s="13" t="s">
        <v>102</v>
      </c>
      <c r="D513" s="13" t="s">
        <v>3717</v>
      </c>
      <c r="E513" s="13" t="s">
        <v>108</v>
      </c>
      <c r="F513" s="2" t="s">
        <v>129</v>
      </c>
      <c r="G513" s="2" t="s">
        <v>3193</v>
      </c>
      <c r="H513" s="34" t="s">
        <v>668</v>
      </c>
      <c r="I513" s="2" t="s">
        <v>19</v>
      </c>
      <c r="J513" s="2" t="s">
        <v>19</v>
      </c>
      <c r="K513" s="2" t="s">
        <v>19</v>
      </c>
      <c r="L513" s="2" t="s">
        <v>19</v>
      </c>
    </row>
    <row r="514" customFormat="false" ht="15" hidden="false" customHeight="false" outlineLevel="0" collapsed="false">
      <c r="A514" s="2" t="s">
        <v>2314</v>
      </c>
      <c r="B514" s="13" t="s">
        <v>2313</v>
      </c>
      <c r="C514" s="13" t="s">
        <v>114</v>
      </c>
      <c r="D514" s="13" t="s">
        <v>3718</v>
      </c>
      <c r="E514" s="13" t="s">
        <v>93</v>
      </c>
      <c r="F514" s="2" t="s">
        <v>157</v>
      </c>
      <c r="G514" s="2" t="s">
        <v>3205</v>
      </c>
      <c r="H514" s="34" t="s">
        <v>668</v>
      </c>
      <c r="I514" s="2" t="s">
        <v>19</v>
      </c>
      <c r="J514" s="2" t="s">
        <v>19</v>
      </c>
      <c r="K514" s="2" t="s">
        <v>19</v>
      </c>
      <c r="L514" s="2" t="s">
        <v>19</v>
      </c>
    </row>
    <row r="515" customFormat="false" ht="15" hidden="false" customHeight="false" outlineLevel="0" collapsed="false">
      <c r="A515" s="2" t="s">
        <v>3001</v>
      </c>
      <c r="B515" s="15" t="s">
        <v>3719</v>
      </c>
      <c r="C515" s="15" t="s">
        <v>92</v>
      </c>
      <c r="D515" s="16"/>
      <c r="E515" s="16"/>
      <c r="F515" s="2" t="s">
        <v>45</v>
      </c>
      <c r="G515" s="2" t="s">
        <v>3202</v>
      </c>
      <c r="H515" s="34" t="s">
        <v>668</v>
      </c>
      <c r="I515" s="2" t="s">
        <v>17</v>
      </c>
      <c r="J515" s="2" t="s">
        <v>17</v>
      </c>
      <c r="K515" s="2"/>
      <c r="L515" s="2"/>
    </row>
    <row r="516" customFormat="false" ht="15" hidden="false" customHeight="false" outlineLevel="0" collapsed="false">
      <c r="A516" s="2" t="s">
        <v>2331</v>
      </c>
      <c r="B516" s="13" t="s">
        <v>2330</v>
      </c>
      <c r="C516" s="13" t="s">
        <v>81</v>
      </c>
      <c r="D516" s="13" t="s">
        <v>3720</v>
      </c>
      <c r="E516" s="13" t="s">
        <v>108</v>
      </c>
      <c r="F516" s="2" t="s">
        <v>129</v>
      </c>
      <c r="G516" s="2" t="s">
        <v>3193</v>
      </c>
      <c r="H516" s="34" t="s">
        <v>668</v>
      </c>
      <c r="I516" s="2" t="s">
        <v>19</v>
      </c>
      <c r="J516" s="2" t="s">
        <v>19</v>
      </c>
      <c r="K516" s="2" t="s">
        <v>19</v>
      </c>
      <c r="L516" s="2" t="s">
        <v>19</v>
      </c>
    </row>
    <row r="517" customFormat="false" ht="15" hidden="false" customHeight="false" outlineLevel="0" collapsed="false">
      <c r="A517" s="2" t="s">
        <v>1144</v>
      </c>
      <c r="B517" s="13" t="s">
        <v>1143</v>
      </c>
      <c r="C517" s="13" t="s">
        <v>114</v>
      </c>
      <c r="D517" s="13" t="s">
        <v>3721</v>
      </c>
      <c r="E517" s="13" t="s">
        <v>82</v>
      </c>
      <c r="F517" s="2" t="s">
        <v>129</v>
      </c>
      <c r="G517" s="2" t="s">
        <v>3195</v>
      </c>
      <c r="H517" s="34" t="s">
        <v>668</v>
      </c>
      <c r="I517" s="2" t="s">
        <v>19</v>
      </c>
      <c r="J517" s="2" t="s">
        <v>19</v>
      </c>
      <c r="K517" s="2" t="s">
        <v>19</v>
      </c>
      <c r="L517" s="2" t="s">
        <v>19</v>
      </c>
    </row>
    <row r="518" customFormat="false" ht="15" hidden="false" customHeight="false" outlineLevel="0" collapsed="false">
      <c r="A518" s="2" t="s">
        <v>3004</v>
      </c>
      <c r="B518" s="13" t="s">
        <v>3722</v>
      </c>
      <c r="C518" s="13" t="s">
        <v>87</v>
      </c>
      <c r="D518" s="13" t="s">
        <v>3723</v>
      </c>
      <c r="E518" s="13" t="s">
        <v>99</v>
      </c>
      <c r="F518" s="2" t="s">
        <v>45</v>
      </c>
      <c r="G518" s="2" t="s">
        <v>3202</v>
      </c>
      <c r="H518" s="34" t="s">
        <v>668</v>
      </c>
      <c r="I518" s="2" t="s">
        <v>19</v>
      </c>
      <c r="J518" s="2" t="s">
        <v>19</v>
      </c>
      <c r="K518" s="2" t="s">
        <v>19</v>
      </c>
      <c r="L518" s="2" t="s">
        <v>19</v>
      </c>
    </row>
    <row r="519" customFormat="false" ht="15" hidden="false" customHeight="false" outlineLevel="0" collapsed="false">
      <c r="A519" s="2" t="s">
        <v>2135</v>
      </c>
      <c r="B519" s="13" t="s">
        <v>2134</v>
      </c>
      <c r="C519" s="13" t="s">
        <v>133</v>
      </c>
      <c r="D519" s="13" t="s">
        <v>3724</v>
      </c>
      <c r="E519" s="13" t="s">
        <v>96</v>
      </c>
      <c r="F519" s="2" t="s">
        <v>129</v>
      </c>
      <c r="G519" s="2" t="s">
        <v>3193</v>
      </c>
      <c r="H519" s="34" t="s">
        <v>668</v>
      </c>
      <c r="I519" s="2" t="s">
        <v>19</v>
      </c>
      <c r="J519" s="2" t="s">
        <v>19</v>
      </c>
      <c r="K519" s="2" t="s">
        <v>19</v>
      </c>
      <c r="L519" s="2" t="s">
        <v>19</v>
      </c>
    </row>
    <row r="520" customFormat="false" ht="15" hidden="false" customHeight="false" outlineLevel="0" collapsed="false">
      <c r="A520" s="2" t="s">
        <v>1455</v>
      </c>
      <c r="B520" s="13" t="s">
        <v>1454</v>
      </c>
      <c r="C520" s="13" t="s">
        <v>77</v>
      </c>
      <c r="D520" s="13" t="s">
        <v>3725</v>
      </c>
      <c r="E520" s="13" t="s">
        <v>93</v>
      </c>
      <c r="F520" s="2" t="s">
        <v>129</v>
      </c>
      <c r="G520" s="2" t="s">
        <v>3195</v>
      </c>
      <c r="H520" s="34" t="s">
        <v>668</v>
      </c>
      <c r="I520" s="2" t="s">
        <v>19</v>
      </c>
      <c r="J520" s="2" t="s">
        <v>19</v>
      </c>
      <c r="K520" s="2" t="s">
        <v>19</v>
      </c>
      <c r="L520" s="2" t="s">
        <v>19</v>
      </c>
    </row>
    <row r="521" customFormat="false" ht="15" hidden="false" customHeight="false" outlineLevel="0" collapsed="false">
      <c r="A521" s="2" t="s">
        <v>290</v>
      </c>
      <c r="B521" s="13" t="s">
        <v>289</v>
      </c>
      <c r="C521" s="13" t="s">
        <v>102</v>
      </c>
      <c r="D521" s="13" t="s">
        <v>3726</v>
      </c>
      <c r="E521" s="13" t="s">
        <v>108</v>
      </c>
      <c r="F521" s="2" t="s">
        <v>129</v>
      </c>
      <c r="G521" s="2" t="s">
        <v>3215</v>
      </c>
      <c r="H521" s="39" t="s">
        <v>671</v>
      </c>
      <c r="I521" s="2" t="s">
        <v>19</v>
      </c>
      <c r="J521" s="2" t="s">
        <v>19</v>
      </c>
      <c r="K521" s="2" t="s">
        <v>19</v>
      </c>
      <c r="L521" s="2" t="s">
        <v>19</v>
      </c>
    </row>
    <row r="522" customFormat="false" ht="15" hidden="false" customHeight="false" outlineLevel="0" collapsed="false">
      <c r="A522" s="2" t="s">
        <v>3006</v>
      </c>
      <c r="B522" s="13" t="s">
        <v>3727</v>
      </c>
      <c r="C522" s="13" t="s">
        <v>133</v>
      </c>
      <c r="D522" s="13" t="s">
        <v>3728</v>
      </c>
      <c r="E522" s="13" t="s">
        <v>73</v>
      </c>
      <c r="F522" s="2" t="s">
        <v>125</v>
      </c>
      <c r="G522" s="2" t="s">
        <v>3199</v>
      </c>
      <c r="H522" s="34" t="s">
        <v>668</v>
      </c>
      <c r="I522" s="2" t="s">
        <v>19</v>
      </c>
      <c r="J522" s="2" t="s">
        <v>19</v>
      </c>
      <c r="K522" s="2" t="s">
        <v>19</v>
      </c>
      <c r="L522" s="2" t="s">
        <v>19</v>
      </c>
    </row>
    <row r="523" customFormat="false" ht="15" hidden="false" customHeight="false" outlineLevel="0" collapsed="false">
      <c r="A523" s="2" t="s">
        <v>274</v>
      </c>
      <c r="B523" s="14" t="s">
        <v>273</v>
      </c>
      <c r="C523" s="14" t="s">
        <v>72</v>
      </c>
      <c r="D523" s="14" t="s">
        <v>3729</v>
      </c>
      <c r="E523" s="14" t="s">
        <v>93</v>
      </c>
      <c r="F523" s="2" t="s">
        <v>45</v>
      </c>
      <c r="G523" s="2" t="s">
        <v>3208</v>
      </c>
      <c r="H523" s="39" t="s">
        <v>671</v>
      </c>
      <c r="I523" s="2" t="s">
        <v>21</v>
      </c>
      <c r="J523" s="2" t="s">
        <v>21</v>
      </c>
      <c r="K523" s="2" t="s">
        <v>21</v>
      </c>
      <c r="L523" s="2" t="s">
        <v>21</v>
      </c>
    </row>
    <row r="524" customFormat="false" ht="15" hidden="false" customHeight="false" outlineLevel="0" collapsed="false">
      <c r="A524" s="2" t="s">
        <v>861</v>
      </c>
      <c r="B524" s="13" t="s">
        <v>860</v>
      </c>
      <c r="C524" s="13" t="s">
        <v>102</v>
      </c>
      <c r="D524" s="13" t="s">
        <v>3730</v>
      </c>
      <c r="E524" s="13" t="s">
        <v>108</v>
      </c>
      <c r="F524" s="2" t="s">
        <v>129</v>
      </c>
      <c r="G524" s="2" t="s">
        <v>3195</v>
      </c>
      <c r="H524" s="34" t="s">
        <v>668</v>
      </c>
      <c r="I524" s="2" t="s">
        <v>19</v>
      </c>
      <c r="J524" s="2" t="s">
        <v>19</v>
      </c>
      <c r="K524" s="2" t="s">
        <v>19</v>
      </c>
      <c r="L524" s="2" t="s">
        <v>19</v>
      </c>
    </row>
    <row r="525" customFormat="false" ht="15" hidden="false" customHeight="false" outlineLevel="0" collapsed="false">
      <c r="A525" s="2" t="s">
        <v>999</v>
      </c>
      <c r="B525" s="13" t="s">
        <v>998</v>
      </c>
      <c r="C525" s="13" t="s">
        <v>92</v>
      </c>
      <c r="D525" s="13" t="s">
        <v>3731</v>
      </c>
      <c r="E525" s="13" t="s">
        <v>99</v>
      </c>
      <c r="F525" s="2" t="s">
        <v>129</v>
      </c>
      <c r="G525" s="2" t="s">
        <v>3195</v>
      </c>
      <c r="H525" s="34" t="s">
        <v>668</v>
      </c>
      <c r="I525" s="2" t="s">
        <v>19</v>
      </c>
      <c r="J525" s="2" t="s">
        <v>19</v>
      </c>
      <c r="K525" s="2" t="s">
        <v>19</v>
      </c>
      <c r="L525" s="2" t="s">
        <v>19</v>
      </c>
    </row>
    <row r="526" customFormat="false" ht="15" hidden="false" customHeight="false" outlineLevel="0" collapsed="false">
      <c r="A526" s="2" t="s">
        <v>292</v>
      </c>
      <c r="B526" s="13" t="s">
        <v>291</v>
      </c>
      <c r="C526" s="13" t="s">
        <v>77</v>
      </c>
      <c r="D526" s="13" t="s">
        <v>3732</v>
      </c>
      <c r="E526" s="13" t="s">
        <v>111</v>
      </c>
      <c r="F526" s="2" t="s">
        <v>47</v>
      </c>
      <c r="G526" s="2" t="s">
        <v>3208</v>
      </c>
      <c r="H526" s="39" t="s">
        <v>671</v>
      </c>
      <c r="I526" s="2" t="s">
        <v>19</v>
      </c>
      <c r="J526" s="2" t="s">
        <v>19</v>
      </c>
      <c r="K526" s="2" t="s">
        <v>19</v>
      </c>
      <c r="L526" s="2" t="s">
        <v>19</v>
      </c>
    </row>
    <row r="527" customFormat="false" ht="15" hidden="false" customHeight="false" outlineLevel="0" collapsed="false">
      <c r="A527" s="2" t="s">
        <v>1420</v>
      </c>
      <c r="B527" s="14" t="s">
        <v>1419</v>
      </c>
      <c r="C527" s="16"/>
      <c r="D527" s="14" t="s">
        <v>3733</v>
      </c>
      <c r="E527" s="14" t="s">
        <v>73</v>
      </c>
      <c r="F527" s="2" t="s">
        <v>175</v>
      </c>
      <c r="G527" s="2" t="s">
        <v>3205</v>
      </c>
      <c r="H527" s="34" t="s">
        <v>668</v>
      </c>
      <c r="I527" s="2" t="s">
        <v>21</v>
      </c>
      <c r="J527" s="2"/>
      <c r="K527" s="2" t="s">
        <v>21</v>
      </c>
      <c r="L527" s="2" t="s">
        <v>21</v>
      </c>
    </row>
    <row r="528" customFormat="false" ht="15" hidden="false" customHeight="false" outlineLevel="0" collapsed="false">
      <c r="A528" s="2" t="s">
        <v>906</v>
      </c>
      <c r="B528" s="13" t="s">
        <v>905</v>
      </c>
      <c r="C528" s="13" t="s">
        <v>77</v>
      </c>
      <c r="D528" s="13" t="s">
        <v>3734</v>
      </c>
      <c r="E528" s="13" t="s">
        <v>170</v>
      </c>
      <c r="F528" s="2" t="s">
        <v>129</v>
      </c>
      <c r="G528" s="2" t="s">
        <v>3195</v>
      </c>
      <c r="H528" s="34" t="s">
        <v>668</v>
      </c>
      <c r="I528" s="2" t="s">
        <v>19</v>
      </c>
      <c r="J528" s="2" t="s">
        <v>19</v>
      </c>
      <c r="K528" s="2" t="s">
        <v>19</v>
      </c>
      <c r="L528" s="2" t="s">
        <v>19</v>
      </c>
    </row>
    <row r="529" customFormat="false" ht="15" hidden="false" customHeight="false" outlineLevel="0" collapsed="false">
      <c r="A529" s="2" t="s">
        <v>242</v>
      </c>
      <c r="B529" s="13" t="s">
        <v>241</v>
      </c>
      <c r="C529" s="13" t="s">
        <v>87</v>
      </c>
      <c r="D529" s="13" t="s">
        <v>3735</v>
      </c>
      <c r="E529" s="13" t="s">
        <v>93</v>
      </c>
      <c r="F529" s="2" t="s">
        <v>46</v>
      </c>
      <c r="G529" s="2" t="s">
        <v>3208</v>
      </c>
      <c r="H529" s="39" t="s">
        <v>671</v>
      </c>
      <c r="I529" s="2" t="s">
        <v>19</v>
      </c>
      <c r="J529" s="2" t="s">
        <v>19</v>
      </c>
      <c r="K529" s="2" t="s">
        <v>19</v>
      </c>
      <c r="L529" s="2" t="s">
        <v>19</v>
      </c>
    </row>
    <row r="530" customFormat="false" ht="15" hidden="false" customHeight="false" outlineLevel="0" collapsed="false">
      <c r="A530" s="2" t="s">
        <v>3011</v>
      </c>
      <c r="B530" s="14" t="s">
        <v>3736</v>
      </c>
      <c r="C530" s="14" t="s">
        <v>87</v>
      </c>
      <c r="D530" s="16"/>
      <c r="E530" s="14" t="s">
        <v>73</v>
      </c>
      <c r="F530" s="2" t="s">
        <v>47</v>
      </c>
      <c r="G530" s="2" t="s">
        <v>3202</v>
      </c>
      <c r="H530" s="34" t="s">
        <v>668</v>
      </c>
      <c r="I530" s="2" t="s">
        <v>21</v>
      </c>
      <c r="J530" s="2" t="s">
        <v>21</v>
      </c>
      <c r="K530" s="2"/>
      <c r="L530" s="2" t="s">
        <v>21</v>
      </c>
    </row>
    <row r="531" customFormat="false" ht="15" hidden="false" customHeight="false" outlineLevel="0" collapsed="false">
      <c r="A531" s="2" t="s">
        <v>434</v>
      </c>
      <c r="B531" s="13" t="s">
        <v>433</v>
      </c>
      <c r="C531" s="13" t="s">
        <v>138</v>
      </c>
      <c r="D531" s="13" t="s">
        <v>3737</v>
      </c>
      <c r="E531" s="13" t="s">
        <v>118</v>
      </c>
      <c r="F531" s="2" t="s">
        <v>129</v>
      </c>
      <c r="G531" s="2" t="s">
        <v>3215</v>
      </c>
      <c r="H531" s="39" t="s">
        <v>671</v>
      </c>
      <c r="I531" s="2" t="s">
        <v>19</v>
      </c>
      <c r="J531" s="2" t="s">
        <v>19</v>
      </c>
      <c r="K531" s="2" t="s">
        <v>19</v>
      </c>
      <c r="L531" s="2" t="s">
        <v>19</v>
      </c>
    </row>
    <row r="532" customFormat="false" ht="15" hidden="false" customHeight="false" outlineLevel="0" collapsed="false">
      <c r="A532" s="2" t="s">
        <v>234</v>
      </c>
      <c r="B532" s="13" t="s">
        <v>233</v>
      </c>
      <c r="C532" s="13" t="s">
        <v>92</v>
      </c>
      <c r="D532" s="13" t="s">
        <v>3738</v>
      </c>
      <c r="E532" s="13" t="s">
        <v>99</v>
      </c>
      <c r="F532" s="2" t="s">
        <v>47</v>
      </c>
      <c r="G532" s="2" t="s">
        <v>3208</v>
      </c>
      <c r="H532" s="39" t="s">
        <v>671</v>
      </c>
      <c r="I532" s="2" t="s">
        <v>19</v>
      </c>
      <c r="J532" s="2" t="s">
        <v>19</v>
      </c>
      <c r="K532" s="2" t="s">
        <v>19</v>
      </c>
      <c r="L532" s="2" t="s">
        <v>19</v>
      </c>
    </row>
    <row r="533" customFormat="false" ht="15" hidden="false" customHeight="false" outlineLevel="0" collapsed="false">
      <c r="A533" s="2" t="s">
        <v>3012</v>
      </c>
      <c r="B533" s="14" t="s">
        <v>3739</v>
      </c>
      <c r="C533" s="14" t="s">
        <v>72</v>
      </c>
      <c r="D533" s="14" t="s">
        <v>3740</v>
      </c>
      <c r="E533" s="14" t="s">
        <v>115</v>
      </c>
      <c r="F533" s="2" t="s">
        <v>125</v>
      </c>
      <c r="G533" s="2" t="s">
        <v>3199</v>
      </c>
      <c r="H533" s="34" t="s">
        <v>668</v>
      </c>
      <c r="I533" s="2" t="s">
        <v>21</v>
      </c>
      <c r="J533" s="2" t="s">
        <v>21</v>
      </c>
      <c r="K533" s="2" t="s">
        <v>21</v>
      </c>
      <c r="L533" s="2" t="s">
        <v>21</v>
      </c>
    </row>
    <row r="534" customFormat="false" ht="15" hidden="false" customHeight="false" outlineLevel="0" collapsed="false">
      <c r="A534" s="2" t="s">
        <v>2319</v>
      </c>
      <c r="B534" s="13" t="s">
        <v>2318</v>
      </c>
      <c r="C534" s="13" t="s">
        <v>81</v>
      </c>
      <c r="D534" s="16"/>
      <c r="E534" s="13" t="s">
        <v>99</v>
      </c>
      <c r="F534" s="2" t="s">
        <v>157</v>
      </c>
      <c r="G534" s="2" t="s">
        <v>3205</v>
      </c>
      <c r="H534" s="34" t="s">
        <v>668</v>
      </c>
      <c r="I534" s="2" t="s">
        <v>19</v>
      </c>
      <c r="J534" s="2" t="s">
        <v>19</v>
      </c>
      <c r="K534" s="2"/>
      <c r="L534" s="2" t="s">
        <v>19</v>
      </c>
    </row>
    <row r="535" customFormat="false" ht="15" hidden="false" customHeight="false" outlineLevel="0" collapsed="false">
      <c r="A535" s="2" t="s">
        <v>1926</v>
      </c>
      <c r="B535" s="13" t="s">
        <v>1925</v>
      </c>
      <c r="C535" s="13" t="s">
        <v>77</v>
      </c>
      <c r="D535" s="13" t="s">
        <v>3741</v>
      </c>
      <c r="E535" s="13" t="s">
        <v>82</v>
      </c>
      <c r="F535" s="2" t="s">
        <v>125</v>
      </c>
      <c r="G535" s="2" t="s">
        <v>3205</v>
      </c>
      <c r="H535" s="34" t="s">
        <v>668</v>
      </c>
      <c r="I535" s="2" t="s">
        <v>19</v>
      </c>
      <c r="J535" s="2" t="s">
        <v>19</v>
      </c>
      <c r="K535" s="2" t="s">
        <v>19</v>
      </c>
      <c r="L535" s="2" t="s">
        <v>19</v>
      </c>
    </row>
    <row r="536" customFormat="false" ht="15" hidden="false" customHeight="false" outlineLevel="0" collapsed="false">
      <c r="A536" s="2" t="s">
        <v>1814</v>
      </c>
      <c r="B536" s="13" t="s">
        <v>1813</v>
      </c>
      <c r="C536" s="13" t="s">
        <v>102</v>
      </c>
      <c r="D536" s="14" t="s">
        <v>3742</v>
      </c>
      <c r="E536" s="13" t="s">
        <v>96</v>
      </c>
      <c r="F536" s="2" t="s">
        <v>129</v>
      </c>
      <c r="G536" s="2" t="s">
        <v>3195</v>
      </c>
      <c r="H536" s="34" t="s">
        <v>668</v>
      </c>
      <c r="I536" s="2" t="s">
        <v>19</v>
      </c>
      <c r="J536" s="2" t="s">
        <v>19</v>
      </c>
      <c r="K536" s="2" t="s">
        <v>21</v>
      </c>
      <c r="L536" s="2" t="s">
        <v>19</v>
      </c>
    </row>
    <row r="537" customFormat="false" ht="15" hidden="false" customHeight="false" outlineLevel="0" collapsed="false">
      <c r="A537" s="2" t="s">
        <v>472</v>
      </c>
      <c r="B537" s="13" t="s">
        <v>471</v>
      </c>
      <c r="C537" s="13" t="s">
        <v>87</v>
      </c>
      <c r="D537" s="13" t="s">
        <v>3743</v>
      </c>
      <c r="E537" s="13" t="s">
        <v>99</v>
      </c>
      <c r="F537" s="2" t="s">
        <v>129</v>
      </c>
      <c r="G537" s="2" t="s">
        <v>3215</v>
      </c>
      <c r="H537" s="39" t="s">
        <v>671</v>
      </c>
      <c r="I537" s="2" t="s">
        <v>19</v>
      </c>
      <c r="J537" s="2" t="s">
        <v>19</v>
      </c>
      <c r="K537" s="2" t="s">
        <v>19</v>
      </c>
      <c r="L537" s="2" t="s">
        <v>19</v>
      </c>
    </row>
    <row r="538" customFormat="false" ht="15" hidden="false" customHeight="false" outlineLevel="0" collapsed="false">
      <c r="A538" s="2" t="s">
        <v>1359</v>
      </c>
      <c r="B538" s="16"/>
      <c r="C538" s="14" t="s">
        <v>138</v>
      </c>
      <c r="D538" s="14" t="s">
        <v>3744</v>
      </c>
      <c r="E538" s="14" t="s">
        <v>96</v>
      </c>
      <c r="F538" s="2" t="s">
        <v>125</v>
      </c>
      <c r="G538" s="2" t="s">
        <v>3205</v>
      </c>
      <c r="H538" s="34" t="s">
        <v>668</v>
      </c>
      <c r="I538" s="2"/>
      <c r="J538" s="2" t="s">
        <v>21</v>
      </c>
      <c r="K538" s="2" t="s">
        <v>21</v>
      </c>
      <c r="L538" s="2" t="s">
        <v>21</v>
      </c>
    </row>
    <row r="539" customFormat="false" ht="15" hidden="false" customHeight="false" outlineLevel="0" collapsed="false">
      <c r="A539" s="2" t="s">
        <v>524</v>
      </c>
      <c r="B539" s="13" t="s">
        <v>523</v>
      </c>
      <c r="C539" s="13" t="s">
        <v>105</v>
      </c>
      <c r="D539" s="13" t="s">
        <v>3745</v>
      </c>
      <c r="E539" s="13" t="s">
        <v>115</v>
      </c>
      <c r="F539" s="2" t="s">
        <v>129</v>
      </c>
      <c r="G539" s="2" t="s">
        <v>3215</v>
      </c>
      <c r="H539" s="39" t="s">
        <v>671</v>
      </c>
      <c r="I539" s="2" t="s">
        <v>19</v>
      </c>
      <c r="J539" s="2" t="s">
        <v>19</v>
      </c>
      <c r="K539" s="2" t="s">
        <v>19</v>
      </c>
      <c r="L539" s="2" t="s">
        <v>19</v>
      </c>
    </row>
    <row r="540" customFormat="false" ht="15" hidden="false" customHeight="false" outlineLevel="0" collapsed="false">
      <c r="A540" s="2" t="s">
        <v>486</v>
      </c>
      <c r="B540" s="14" t="s">
        <v>485</v>
      </c>
      <c r="C540" s="14" t="s">
        <v>114</v>
      </c>
      <c r="D540" s="14" t="s">
        <v>3746</v>
      </c>
      <c r="E540" s="14" t="s">
        <v>108</v>
      </c>
      <c r="F540" s="2" t="s">
        <v>45</v>
      </c>
      <c r="G540" s="2" t="s">
        <v>3208</v>
      </c>
      <c r="H540" s="39" t="s">
        <v>671</v>
      </c>
      <c r="I540" s="2" t="s">
        <v>21</v>
      </c>
      <c r="J540" s="2" t="s">
        <v>21</v>
      </c>
      <c r="K540" s="2" t="s">
        <v>21</v>
      </c>
      <c r="L540" s="2" t="s">
        <v>21</v>
      </c>
    </row>
    <row r="541" customFormat="false" ht="15" hidden="false" customHeight="false" outlineLevel="0" collapsed="false">
      <c r="A541" s="2" t="s">
        <v>474</v>
      </c>
      <c r="B541" s="13" t="s">
        <v>473</v>
      </c>
      <c r="C541" s="13" t="s">
        <v>72</v>
      </c>
      <c r="D541" s="13" t="s">
        <v>3747</v>
      </c>
      <c r="E541" s="13" t="s">
        <v>115</v>
      </c>
      <c r="F541" s="2" t="s">
        <v>157</v>
      </c>
      <c r="G541" s="2" t="s">
        <v>3218</v>
      </c>
      <c r="H541" s="39" t="s">
        <v>671</v>
      </c>
      <c r="I541" s="2" t="s">
        <v>19</v>
      </c>
      <c r="J541" s="2" t="s">
        <v>19</v>
      </c>
      <c r="K541" s="2" t="s">
        <v>19</v>
      </c>
      <c r="L541" s="2" t="s">
        <v>19</v>
      </c>
    </row>
    <row r="542" customFormat="false" ht="15" hidden="false" customHeight="false" outlineLevel="0" collapsed="false">
      <c r="A542" s="2" t="s">
        <v>294</v>
      </c>
      <c r="B542" s="13" t="s">
        <v>293</v>
      </c>
      <c r="C542" s="13" t="s">
        <v>102</v>
      </c>
      <c r="D542" s="13" t="s">
        <v>3748</v>
      </c>
      <c r="E542" s="13" t="s">
        <v>170</v>
      </c>
      <c r="F542" s="2" t="s">
        <v>175</v>
      </c>
      <c r="G542" s="2" t="s">
        <v>3218</v>
      </c>
      <c r="H542" s="39" t="s">
        <v>671</v>
      </c>
      <c r="I542" s="2" t="s">
        <v>19</v>
      </c>
      <c r="J542" s="2" t="s">
        <v>19</v>
      </c>
      <c r="K542" s="2" t="s">
        <v>19</v>
      </c>
      <c r="L542" s="2" t="s">
        <v>19</v>
      </c>
    </row>
    <row r="543" customFormat="false" ht="15" hidden="false" customHeight="false" outlineLevel="0" collapsed="false">
      <c r="A543" s="2" t="s">
        <v>424</v>
      </c>
      <c r="B543" s="13" t="s">
        <v>423</v>
      </c>
      <c r="C543" s="13" t="s">
        <v>81</v>
      </c>
      <c r="D543" s="13" t="s">
        <v>3749</v>
      </c>
      <c r="E543" s="13" t="s">
        <v>170</v>
      </c>
      <c r="F543" s="2" t="s">
        <v>45</v>
      </c>
      <c r="G543" s="2" t="s">
        <v>3208</v>
      </c>
      <c r="H543" s="39" t="s">
        <v>671</v>
      </c>
      <c r="I543" s="2" t="s">
        <v>19</v>
      </c>
      <c r="J543" s="2" t="s">
        <v>19</v>
      </c>
      <c r="K543" s="2" t="s">
        <v>19</v>
      </c>
      <c r="L543" s="2" t="s">
        <v>19</v>
      </c>
    </row>
    <row r="544" customFormat="false" ht="15" hidden="false" customHeight="false" outlineLevel="0" collapsed="false">
      <c r="A544" s="2" t="s">
        <v>510</v>
      </c>
      <c r="B544" s="13" t="s">
        <v>509</v>
      </c>
      <c r="C544" s="13" t="s">
        <v>92</v>
      </c>
      <c r="D544" s="13" t="s">
        <v>3750</v>
      </c>
      <c r="E544" s="13" t="s">
        <v>115</v>
      </c>
      <c r="F544" s="2" t="s">
        <v>175</v>
      </c>
      <c r="G544" s="2" t="s">
        <v>3218</v>
      </c>
      <c r="H544" s="39" t="s">
        <v>671</v>
      </c>
      <c r="I544" s="2" t="s">
        <v>19</v>
      </c>
      <c r="J544" s="2" t="s">
        <v>19</v>
      </c>
      <c r="K544" s="2" t="s">
        <v>19</v>
      </c>
      <c r="L544" s="2" t="s">
        <v>19</v>
      </c>
    </row>
    <row r="545" customFormat="false" ht="15" hidden="false" customHeight="false" outlineLevel="0" collapsed="false">
      <c r="A545" s="2" t="s">
        <v>1567</v>
      </c>
      <c r="B545" s="13" t="s">
        <v>1566</v>
      </c>
      <c r="C545" s="13" t="s">
        <v>92</v>
      </c>
      <c r="D545" s="13" t="s">
        <v>3751</v>
      </c>
      <c r="E545" s="13" t="s">
        <v>99</v>
      </c>
      <c r="F545" s="2" t="s">
        <v>129</v>
      </c>
      <c r="G545" s="2" t="s">
        <v>3193</v>
      </c>
      <c r="H545" s="34" t="s">
        <v>668</v>
      </c>
      <c r="I545" s="2" t="s">
        <v>19</v>
      </c>
      <c r="J545" s="2" t="s">
        <v>19</v>
      </c>
      <c r="K545" s="2" t="s">
        <v>19</v>
      </c>
      <c r="L545" s="2" t="s">
        <v>19</v>
      </c>
    </row>
    <row r="546" customFormat="false" ht="15" hidden="false" customHeight="false" outlineLevel="0" collapsed="false">
      <c r="A546" s="2" t="s">
        <v>2475</v>
      </c>
      <c r="B546" s="13" t="s">
        <v>2474</v>
      </c>
      <c r="C546" s="13" t="s">
        <v>138</v>
      </c>
      <c r="D546" s="13" t="s">
        <v>3752</v>
      </c>
      <c r="E546" s="13" t="s">
        <v>115</v>
      </c>
      <c r="F546" s="2" t="s">
        <v>129</v>
      </c>
      <c r="G546" s="2" t="s">
        <v>3193</v>
      </c>
      <c r="H546" s="34" t="s">
        <v>668</v>
      </c>
      <c r="I546" s="2" t="s">
        <v>19</v>
      </c>
      <c r="J546" s="2" t="s">
        <v>19</v>
      </c>
      <c r="K546" s="2" t="s">
        <v>19</v>
      </c>
      <c r="L546" s="2" t="s">
        <v>19</v>
      </c>
    </row>
    <row r="547" customFormat="false" ht="15" hidden="false" customHeight="false" outlineLevel="0" collapsed="false">
      <c r="A547" s="2" t="s">
        <v>3016</v>
      </c>
      <c r="B547" s="13" t="s">
        <v>3753</v>
      </c>
      <c r="C547" s="13" t="s">
        <v>81</v>
      </c>
      <c r="D547" s="13" t="s">
        <v>3754</v>
      </c>
      <c r="E547" s="13" t="s">
        <v>111</v>
      </c>
      <c r="F547" s="2" t="s">
        <v>46</v>
      </c>
      <c r="G547" s="2" t="s">
        <v>3202</v>
      </c>
      <c r="H547" s="34" t="s">
        <v>668</v>
      </c>
      <c r="I547" s="2" t="s">
        <v>19</v>
      </c>
      <c r="J547" s="2" t="s">
        <v>19</v>
      </c>
      <c r="K547" s="2" t="s">
        <v>19</v>
      </c>
      <c r="L547" s="2" t="s">
        <v>19</v>
      </c>
    </row>
    <row r="548" customFormat="false" ht="15" hidden="false" customHeight="false" outlineLevel="0" collapsed="false">
      <c r="A548" s="2" t="s">
        <v>731</v>
      </c>
      <c r="B548" s="14" t="s">
        <v>730</v>
      </c>
      <c r="C548" s="14" t="s">
        <v>102</v>
      </c>
      <c r="D548" s="14" t="s">
        <v>3755</v>
      </c>
      <c r="E548" s="14" t="s">
        <v>108</v>
      </c>
      <c r="F548" s="2" t="s">
        <v>129</v>
      </c>
      <c r="G548" s="2" t="s">
        <v>3195</v>
      </c>
      <c r="H548" s="34" t="s">
        <v>668</v>
      </c>
      <c r="I548" s="2" t="s">
        <v>21</v>
      </c>
      <c r="J548" s="2" t="s">
        <v>21</v>
      </c>
      <c r="K548" s="2" t="s">
        <v>21</v>
      </c>
      <c r="L548" s="2" t="s">
        <v>21</v>
      </c>
    </row>
    <row r="549" customFormat="false" ht="15" hidden="false" customHeight="false" outlineLevel="0" collapsed="false">
      <c r="A549" s="2" t="s">
        <v>548</v>
      </c>
      <c r="B549" s="13" t="s">
        <v>547</v>
      </c>
      <c r="C549" s="13" t="s">
        <v>102</v>
      </c>
      <c r="D549" s="14" t="s">
        <v>3756</v>
      </c>
      <c r="E549" s="13" t="s">
        <v>170</v>
      </c>
      <c r="F549" s="2" t="s">
        <v>129</v>
      </c>
      <c r="G549" s="2" t="s">
        <v>3215</v>
      </c>
      <c r="H549" s="39" t="s">
        <v>671</v>
      </c>
      <c r="I549" s="2" t="s">
        <v>19</v>
      </c>
      <c r="J549" s="2" t="s">
        <v>19</v>
      </c>
      <c r="K549" s="2" t="s">
        <v>21</v>
      </c>
      <c r="L549" s="2" t="s">
        <v>19</v>
      </c>
    </row>
    <row r="550" customFormat="false" ht="15" hidden="false" customHeight="false" outlineLevel="0" collapsed="false">
      <c r="A550" s="2" t="s">
        <v>2652</v>
      </c>
      <c r="B550" s="13" t="s">
        <v>2651</v>
      </c>
      <c r="C550" s="13" t="s">
        <v>102</v>
      </c>
      <c r="D550" s="13" t="s">
        <v>3757</v>
      </c>
      <c r="E550" s="13" t="s">
        <v>115</v>
      </c>
      <c r="F550" s="2" t="s">
        <v>175</v>
      </c>
      <c r="G550" s="2" t="s">
        <v>3205</v>
      </c>
      <c r="H550" s="34" t="s">
        <v>668</v>
      </c>
      <c r="I550" s="2" t="s">
        <v>19</v>
      </c>
      <c r="J550" s="2" t="s">
        <v>19</v>
      </c>
      <c r="K550" s="2" t="s">
        <v>19</v>
      </c>
      <c r="L550" s="2" t="s">
        <v>19</v>
      </c>
    </row>
    <row r="551" customFormat="false" ht="15" hidden="false" customHeight="false" outlineLevel="0" collapsed="false">
      <c r="A551" s="2" t="s">
        <v>3018</v>
      </c>
      <c r="B551" s="14" t="s">
        <v>3758</v>
      </c>
      <c r="C551" s="14" t="s">
        <v>81</v>
      </c>
      <c r="D551" s="16"/>
      <c r="E551" s="14" t="s">
        <v>108</v>
      </c>
      <c r="F551" s="2" t="s">
        <v>157</v>
      </c>
      <c r="G551" s="2" t="s">
        <v>3199</v>
      </c>
      <c r="H551" s="34" t="s">
        <v>668</v>
      </c>
      <c r="I551" s="2" t="s">
        <v>21</v>
      </c>
      <c r="J551" s="2" t="s">
        <v>21</v>
      </c>
      <c r="K551" s="2"/>
      <c r="L551" s="2" t="s">
        <v>21</v>
      </c>
    </row>
    <row r="552" customFormat="false" ht="15" hidden="false" customHeight="false" outlineLevel="0" collapsed="false">
      <c r="A552" s="2" t="s">
        <v>2386</v>
      </c>
      <c r="B552" s="13" t="s">
        <v>2385</v>
      </c>
      <c r="C552" s="13" t="s">
        <v>87</v>
      </c>
      <c r="D552" s="13" t="s">
        <v>3759</v>
      </c>
      <c r="E552" s="13" t="s">
        <v>170</v>
      </c>
      <c r="F552" s="2" t="s">
        <v>129</v>
      </c>
      <c r="G552" s="2" t="s">
        <v>3193</v>
      </c>
      <c r="H552" s="34" t="s">
        <v>668</v>
      </c>
      <c r="I552" s="2" t="s">
        <v>19</v>
      </c>
      <c r="J552" s="2" t="s">
        <v>19</v>
      </c>
      <c r="K552" s="2" t="s">
        <v>19</v>
      </c>
      <c r="L552" s="2" t="s">
        <v>19</v>
      </c>
    </row>
    <row r="553" customFormat="false" ht="15" hidden="false" customHeight="false" outlineLevel="0" collapsed="false">
      <c r="A553" s="2" t="s">
        <v>1525</v>
      </c>
      <c r="B553" s="13" t="s">
        <v>1524</v>
      </c>
      <c r="C553" s="13" t="s">
        <v>92</v>
      </c>
      <c r="D553" s="13" t="s">
        <v>3760</v>
      </c>
      <c r="E553" s="13" t="s">
        <v>96</v>
      </c>
      <c r="F553" s="2" t="s">
        <v>129</v>
      </c>
      <c r="G553" s="2" t="s">
        <v>3195</v>
      </c>
      <c r="H553" s="34" t="s">
        <v>668</v>
      </c>
      <c r="I553" s="2" t="s">
        <v>19</v>
      </c>
      <c r="J553" s="2" t="s">
        <v>19</v>
      </c>
      <c r="K553" s="2" t="s">
        <v>19</v>
      </c>
      <c r="L553" s="2" t="s">
        <v>19</v>
      </c>
    </row>
    <row r="554" customFormat="false" ht="15" hidden="false" customHeight="false" outlineLevel="0" collapsed="false">
      <c r="A554" s="2" t="s">
        <v>456</v>
      </c>
      <c r="B554" s="13" t="s">
        <v>455</v>
      </c>
      <c r="C554" s="13" t="s">
        <v>87</v>
      </c>
      <c r="D554" s="13" t="s">
        <v>3761</v>
      </c>
      <c r="E554" s="13" t="s">
        <v>73</v>
      </c>
      <c r="F554" s="2" t="s">
        <v>129</v>
      </c>
      <c r="G554" s="2" t="s">
        <v>3215</v>
      </c>
      <c r="H554" s="39" t="s">
        <v>671</v>
      </c>
      <c r="I554" s="2" t="s">
        <v>19</v>
      </c>
      <c r="J554" s="2" t="s">
        <v>19</v>
      </c>
      <c r="K554" s="2" t="s">
        <v>19</v>
      </c>
      <c r="L554" s="2" t="s">
        <v>19</v>
      </c>
    </row>
    <row r="555" customFormat="false" ht="15" hidden="false" customHeight="false" outlineLevel="0" collapsed="false">
      <c r="A555" s="2" t="s">
        <v>236</v>
      </c>
      <c r="B555" s="13" t="s">
        <v>235</v>
      </c>
      <c r="C555" s="13" t="s">
        <v>133</v>
      </c>
      <c r="D555" s="13" t="s">
        <v>3762</v>
      </c>
      <c r="E555" s="13" t="s">
        <v>170</v>
      </c>
      <c r="F555" s="2" t="s">
        <v>125</v>
      </c>
      <c r="G555" s="2" t="s">
        <v>3218</v>
      </c>
      <c r="H555" s="39" t="s">
        <v>671</v>
      </c>
      <c r="I555" s="2" t="s">
        <v>19</v>
      </c>
      <c r="J555" s="2" t="s">
        <v>19</v>
      </c>
      <c r="K555" s="2" t="s">
        <v>19</v>
      </c>
      <c r="L555" s="2" t="s">
        <v>19</v>
      </c>
    </row>
    <row r="556" customFormat="false" ht="15" hidden="false" customHeight="false" outlineLevel="0" collapsed="false">
      <c r="A556" s="2" t="s">
        <v>2577</v>
      </c>
      <c r="B556" s="13" t="s">
        <v>2576</v>
      </c>
      <c r="C556" s="13" t="s">
        <v>138</v>
      </c>
      <c r="D556" s="13" t="s">
        <v>3763</v>
      </c>
      <c r="E556" s="13" t="s">
        <v>82</v>
      </c>
      <c r="F556" s="2" t="s">
        <v>157</v>
      </c>
      <c r="G556" s="2" t="s">
        <v>3205</v>
      </c>
      <c r="H556" s="34" t="s">
        <v>668</v>
      </c>
      <c r="I556" s="2" t="s">
        <v>19</v>
      </c>
      <c r="J556" s="2" t="s">
        <v>19</v>
      </c>
      <c r="K556" s="2" t="s">
        <v>19</v>
      </c>
      <c r="L556" s="2" t="s">
        <v>19</v>
      </c>
    </row>
    <row r="557" customFormat="false" ht="15" hidden="false" customHeight="false" outlineLevel="0" collapsed="false">
      <c r="A557" s="2" t="s">
        <v>1673</v>
      </c>
      <c r="B557" s="13" t="s">
        <v>1672</v>
      </c>
      <c r="C557" s="13" t="s">
        <v>114</v>
      </c>
      <c r="D557" s="13" t="s">
        <v>3764</v>
      </c>
      <c r="E557" s="13" t="s">
        <v>111</v>
      </c>
      <c r="F557" s="2" t="s">
        <v>129</v>
      </c>
      <c r="G557" s="2" t="s">
        <v>3195</v>
      </c>
      <c r="H557" s="34" t="s">
        <v>668</v>
      </c>
      <c r="I557" s="2" t="s">
        <v>19</v>
      </c>
      <c r="J557" s="2" t="s">
        <v>19</v>
      </c>
      <c r="K557" s="2" t="s">
        <v>19</v>
      </c>
      <c r="L557" s="2" t="s">
        <v>19</v>
      </c>
    </row>
    <row r="558" customFormat="false" ht="15" hidden="false" customHeight="false" outlineLevel="0" collapsed="false">
      <c r="A558" s="2" t="s">
        <v>738</v>
      </c>
      <c r="B558" s="13" t="s">
        <v>737</v>
      </c>
      <c r="C558" s="13" t="s">
        <v>102</v>
      </c>
      <c r="D558" s="13" t="s">
        <v>3765</v>
      </c>
      <c r="E558" s="13" t="s">
        <v>96</v>
      </c>
      <c r="F558" s="2" t="s">
        <v>125</v>
      </c>
      <c r="G558" s="2" t="s">
        <v>3205</v>
      </c>
      <c r="H558" s="34" t="s">
        <v>668</v>
      </c>
      <c r="I558" s="2" t="s">
        <v>19</v>
      </c>
      <c r="J558" s="2" t="s">
        <v>19</v>
      </c>
      <c r="K558" s="2" t="s">
        <v>19</v>
      </c>
      <c r="L558" s="2" t="s">
        <v>19</v>
      </c>
    </row>
    <row r="559" customFormat="false" ht="15" hidden="false" customHeight="false" outlineLevel="0" collapsed="false">
      <c r="A559" s="2" t="s">
        <v>3024</v>
      </c>
      <c r="B559" s="13" t="s">
        <v>3766</v>
      </c>
      <c r="C559" s="13" t="s">
        <v>114</v>
      </c>
      <c r="D559" s="13" t="s">
        <v>3767</v>
      </c>
      <c r="E559" s="13" t="s">
        <v>115</v>
      </c>
      <c r="F559" s="2" t="s">
        <v>45</v>
      </c>
      <c r="G559" s="2" t="s">
        <v>3202</v>
      </c>
      <c r="H559" s="34" t="s">
        <v>668</v>
      </c>
      <c r="I559" s="2" t="s">
        <v>19</v>
      </c>
      <c r="J559" s="2" t="s">
        <v>19</v>
      </c>
      <c r="K559" s="2" t="s">
        <v>19</v>
      </c>
      <c r="L559" s="2" t="s">
        <v>19</v>
      </c>
    </row>
    <row r="560" customFormat="false" ht="15" hidden="false" customHeight="false" outlineLevel="0" collapsed="false">
      <c r="A560" s="2" t="s">
        <v>2556</v>
      </c>
      <c r="B560" s="13" t="s">
        <v>2555</v>
      </c>
      <c r="C560" s="13" t="s">
        <v>138</v>
      </c>
      <c r="D560" s="16"/>
      <c r="E560" s="13" t="s">
        <v>115</v>
      </c>
      <c r="F560" s="2" t="s">
        <v>175</v>
      </c>
      <c r="G560" s="2" t="s">
        <v>3205</v>
      </c>
      <c r="H560" s="34" t="s">
        <v>668</v>
      </c>
      <c r="I560" s="2" t="s">
        <v>19</v>
      </c>
      <c r="J560" s="2" t="s">
        <v>19</v>
      </c>
      <c r="K560" s="2"/>
      <c r="L560" s="2" t="s">
        <v>19</v>
      </c>
    </row>
    <row r="561" customFormat="false" ht="15" hidden="false" customHeight="false" outlineLevel="0" collapsed="false">
      <c r="A561" s="2" t="s">
        <v>414</v>
      </c>
      <c r="B561" s="13" t="s">
        <v>413</v>
      </c>
      <c r="C561" s="13" t="s">
        <v>102</v>
      </c>
      <c r="D561" s="13" t="s">
        <v>3768</v>
      </c>
      <c r="E561" s="13" t="s">
        <v>108</v>
      </c>
      <c r="F561" s="2" t="s">
        <v>129</v>
      </c>
      <c r="G561" s="2" t="s">
        <v>3215</v>
      </c>
      <c r="H561" s="39" t="s">
        <v>671</v>
      </c>
      <c r="I561" s="2" t="s">
        <v>19</v>
      </c>
      <c r="J561" s="2" t="s">
        <v>19</v>
      </c>
      <c r="K561" s="2" t="s">
        <v>19</v>
      </c>
      <c r="L561" s="2" t="s">
        <v>19</v>
      </c>
    </row>
    <row r="562" customFormat="false" ht="15" hidden="false" customHeight="false" outlineLevel="0" collapsed="false">
      <c r="A562" s="2" t="s">
        <v>3026</v>
      </c>
      <c r="B562" s="14" t="s">
        <v>3769</v>
      </c>
      <c r="C562" s="14" t="s">
        <v>133</v>
      </c>
      <c r="D562" s="14" t="s">
        <v>3770</v>
      </c>
      <c r="E562" s="14" t="s">
        <v>108</v>
      </c>
      <c r="F562" s="2" t="s">
        <v>129</v>
      </c>
      <c r="G562" s="2" t="s">
        <v>3297</v>
      </c>
      <c r="H562" s="34" t="s">
        <v>668</v>
      </c>
      <c r="I562" s="2" t="s">
        <v>21</v>
      </c>
      <c r="J562" s="2" t="s">
        <v>21</v>
      </c>
      <c r="K562" s="2" t="s">
        <v>21</v>
      </c>
      <c r="L562" s="2" t="s">
        <v>21</v>
      </c>
    </row>
    <row r="563" customFormat="false" ht="15" hidden="false" customHeight="false" outlineLevel="0" collapsed="false">
      <c r="A563" s="2" t="s">
        <v>3030</v>
      </c>
      <c r="B563" s="15" t="s">
        <v>3771</v>
      </c>
      <c r="C563" s="16"/>
      <c r="D563" s="15" t="s">
        <v>3772</v>
      </c>
      <c r="E563" s="15" t="s">
        <v>99</v>
      </c>
      <c r="F563" s="2" t="s">
        <v>129</v>
      </c>
      <c r="G563" s="2" t="s">
        <v>3297</v>
      </c>
      <c r="H563" s="34" t="s">
        <v>668</v>
      </c>
      <c r="I563" s="2" t="s">
        <v>17</v>
      </c>
      <c r="J563" s="2"/>
      <c r="K563" s="2" t="s">
        <v>17</v>
      </c>
      <c r="L563" s="2" t="s">
        <v>17</v>
      </c>
    </row>
    <row r="564" customFormat="false" ht="15" hidden="false" customHeight="false" outlineLevel="0" collapsed="false">
      <c r="A564" s="2" t="s">
        <v>163</v>
      </c>
      <c r="B564" s="13" t="s">
        <v>162</v>
      </c>
      <c r="C564" s="13" t="s">
        <v>102</v>
      </c>
      <c r="D564" s="14" t="s">
        <v>3773</v>
      </c>
      <c r="E564" s="13" t="s">
        <v>93</v>
      </c>
      <c r="F564" s="2" t="s">
        <v>46</v>
      </c>
      <c r="G564" s="2" t="s">
        <v>3208</v>
      </c>
      <c r="H564" s="39" t="s">
        <v>671</v>
      </c>
      <c r="I564" s="2" t="s">
        <v>19</v>
      </c>
      <c r="J564" s="2" t="s">
        <v>19</v>
      </c>
      <c r="K564" s="2" t="s">
        <v>21</v>
      </c>
      <c r="L564" s="2" t="s">
        <v>19</v>
      </c>
    </row>
    <row r="565" customFormat="false" ht="15" hidden="false" customHeight="false" outlineLevel="0" collapsed="false">
      <c r="A565" s="2" t="s">
        <v>987</v>
      </c>
      <c r="B565" s="13" t="s">
        <v>986</v>
      </c>
      <c r="C565" s="13" t="s">
        <v>87</v>
      </c>
      <c r="D565" s="13" t="s">
        <v>3774</v>
      </c>
      <c r="E565" s="13" t="s">
        <v>93</v>
      </c>
      <c r="F565" s="2" t="s">
        <v>129</v>
      </c>
      <c r="G565" s="2" t="s">
        <v>3195</v>
      </c>
      <c r="H565" s="34" t="s">
        <v>668</v>
      </c>
      <c r="I565" s="2" t="s">
        <v>19</v>
      </c>
      <c r="J565" s="2" t="s">
        <v>19</v>
      </c>
      <c r="K565" s="2" t="s">
        <v>19</v>
      </c>
      <c r="L565" s="2" t="s">
        <v>19</v>
      </c>
    </row>
    <row r="566" customFormat="false" ht="15" hidden="false" customHeight="false" outlineLevel="0" collapsed="false">
      <c r="A566" s="2" t="s">
        <v>3033</v>
      </c>
      <c r="B566" s="15" t="s">
        <v>3775</v>
      </c>
      <c r="C566" s="15" t="s">
        <v>81</v>
      </c>
      <c r="D566" s="15" t="s">
        <v>3776</v>
      </c>
      <c r="E566" s="16"/>
      <c r="F566" s="2" t="s">
        <v>157</v>
      </c>
      <c r="G566" s="2" t="s">
        <v>3199</v>
      </c>
      <c r="H566" s="34" t="s">
        <v>668</v>
      </c>
      <c r="I566" s="2" t="s">
        <v>17</v>
      </c>
      <c r="J566" s="2" t="s">
        <v>17</v>
      </c>
      <c r="K566" s="2" t="s">
        <v>17</v>
      </c>
      <c r="L566" s="2"/>
    </row>
    <row r="567" customFormat="false" ht="15" hidden="false" customHeight="false" outlineLevel="0" collapsed="false">
      <c r="A567" s="2" t="s">
        <v>320</v>
      </c>
      <c r="B567" s="13" t="s">
        <v>319</v>
      </c>
      <c r="C567" s="13" t="s">
        <v>72</v>
      </c>
      <c r="D567" s="13" t="s">
        <v>3777</v>
      </c>
      <c r="E567" s="13" t="s">
        <v>99</v>
      </c>
      <c r="F567" s="2" t="s">
        <v>129</v>
      </c>
      <c r="G567" s="2" t="s">
        <v>3215</v>
      </c>
      <c r="H567" s="39" t="s">
        <v>671</v>
      </c>
      <c r="I567" s="2" t="s">
        <v>19</v>
      </c>
      <c r="J567" s="2" t="s">
        <v>19</v>
      </c>
      <c r="K567" s="2" t="s">
        <v>19</v>
      </c>
      <c r="L567" s="2" t="s">
        <v>19</v>
      </c>
    </row>
    <row r="568" customFormat="false" ht="15" hidden="false" customHeight="false" outlineLevel="0" collapsed="false">
      <c r="A568" s="2" t="s">
        <v>516</v>
      </c>
      <c r="B568" s="13" t="s">
        <v>515</v>
      </c>
      <c r="C568" s="13" t="s">
        <v>72</v>
      </c>
      <c r="D568" s="13" t="s">
        <v>3778</v>
      </c>
      <c r="E568" s="13" t="s">
        <v>93</v>
      </c>
      <c r="F568" s="2" t="s">
        <v>125</v>
      </c>
      <c r="G568" s="2" t="s">
        <v>3218</v>
      </c>
      <c r="H568" s="39" t="s">
        <v>671</v>
      </c>
      <c r="I568" s="2" t="s">
        <v>19</v>
      </c>
      <c r="J568" s="2" t="s">
        <v>19</v>
      </c>
      <c r="K568" s="2" t="s">
        <v>19</v>
      </c>
      <c r="L568" s="2" t="s">
        <v>19</v>
      </c>
    </row>
    <row r="569" customFormat="false" ht="15" hidden="false" customHeight="false" outlineLevel="0" collapsed="false">
      <c r="A569" s="2" t="s">
        <v>596</v>
      </c>
      <c r="B569" s="14" t="s">
        <v>595</v>
      </c>
      <c r="C569" s="14" t="s">
        <v>81</v>
      </c>
      <c r="D569" s="14" t="s">
        <v>3779</v>
      </c>
      <c r="E569" s="14" t="s">
        <v>73</v>
      </c>
      <c r="F569" s="2" t="s">
        <v>45</v>
      </c>
      <c r="G569" s="2" t="s">
        <v>3208</v>
      </c>
      <c r="H569" s="39" t="s">
        <v>671</v>
      </c>
      <c r="I569" s="2" t="s">
        <v>21</v>
      </c>
      <c r="J569" s="2" t="s">
        <v>21</v>
      </c>
      <c r="K569" s="2" t="s">
        <v>21</v>
      </c>
      <c r="L569" s="2" t="s">
        <v>21</v>
      </c>
    </row>
    <row r="570" customFormat="false" ht="15" hidden="false" customHeight="false" outlineLevel="0" collapsed="false">
      <c r="A570" s="2" t="s">
        <v>1546</v>
      </c>
      <c r="B570" s="13" t="s">
        <v>1545</v>
      </c>
      <c r="C570" s="13" t="s">
        <v>81</v>
      </c>
      <c r="D570" s="13" t="s">
        <v>3780</v>
      </c>
      <c r="E570" s="13" t="s">
        <v>108</v>
      </c>
      <c r="F570" s="2" t="s">
        <v>129</v>
      </c>
      <c r="G570" s="2" t="s">
        <v>3195</v>
      </c>
      <c r="H570" s="34" t="s">
        <v>668</v>
      </c>
      <c r="I570" s="2" t="s">
        <v>19</v>
      </c>
      <c r="J570" s="2" t="s">
        <v>19</v>
      </c>
      <c r="K570" s="2" t="s">
        <v>19</v>
      </c>
      <c r="L570" s="2" t="s">
        <v>19</v>
      </c>
    </row>
    <row r="571" customFormat="false" ht="15" hidden="false" customHeight="false" outlineLevel="0" collapsed="false">
      <c r="A571" s="2" t="s">
        <v>1488</v>
      </c>
      <c r="B571" s="13" t="s">
        <v>1487</v>
      </c>
      <c r="C571" s="13" t="s">
        <v>77</v>
      </c>
      <c r="D571" s="13" t="s">
        <v>3781</v>
      </c>
      <c r="E571" s="13" t="s">
        <v>115</v>
      </c>
      <c r="F571" s="2" t="s">
        <v>129</v>
      </c>
      <c r="G571" s="2" t="s">
        <v>3193</v>
      </c>
      <c r="H571" s="34" t="s">
        <v>668</v>
      </c>
      <c r="I571" s="2" t="s">
        <v>19</v>
      </c>
      <c r="J571" s="2" t="s">
        <v>19</v>
      </c>
      <c r="K571" s="2" t="s">
        <v>19</v>
      </c>
      <c r="L571" s="2" t="s">
        <v>19</v>
      </c>
    </row>
    <row r="572" customFormat="false" ht="15" hidden="false" customHeight="false" outlineLevel="0" collapsed="false">
      <c r="A572" s="2" t="s">
        <v>1036</v>
      </c>
      <c r="B572" s="13" t="s">
        <v>1035</v>
      </c>
      <c r="C572" s="13" t="s">
        <v>138</v>
      </c>
      <c r="D572" s="13" t="s">
        <v>3782</v>
      </c>
      <c r="E572" s="13" t="s">
        <v>170</v>
      </c>
      <c r="F572" s="2" t="s">
        <v>129</v>
      </c>
      <c r="G572" s="2" t="s">
        <v>3195</v>
      </c>
      <c r="H572" s="34" t="s">
        <v>668</v>
      </c>
      <c r="I572" s="2" t="s">
        <v>19</v>
      </c>
      <c r="J572" s="2" t="s">
        <v>19</v>
      </c>
      <c r="K572" s="2" t="s">
        <v>19</v>
      </c>
      <c r="L572" s="2" t="s">
        <v>19</v>
      </c>
    </row>
    <row r="573" customFormat="false" ht="15" hidden="false" customHeight="false" outlineLevel="0" collapsed="false">
      <c r="A573" s="2" t="s">
        <v>1969</v>
      </c>
      <c r="B573" s="13" t="s">
        <v>1968</v>
      </c>
      <c r="C573" s="13" t="s">
        <v>81</v>
      </c>
      <c r="D573" s="13" t="s">
        <v>3783</v>
      </c>
      <c r="E573" s="13" t="s">
        <v>73</v>
      </c>
      <c r="F573" s="2" t="s">
        <v>129</v>
      </c>
      <c r="G573" s="2" t="s">
        <v>3193</v>
      </c>
      <c r="H573" s="34" t="s">
        <v>668</v>
      </c>
      <c r="I573" s="2" t="s">
        <v>19</v>
      </c>
      <c r="J573" s="2" t="s">
        <v>19</v>
      </c>
      <c r="K573" s="2" t="s">
        <v>19</v>
      </c>
      <c r="L573" s="2" t="s">
        <v>19</v>
      </c>
    </row>
    <row r="574" customFormat="false" ht="15" hidden="false" customHeight="false" outlineLevel="0" collapsed="false">
      <c r="A574" s="2" t="s">
        <v>167</v>
      </c>
      <c r="B574" s="13" t="s">
        <v>166</v>
      </c>
      <c r="C574" s="13" t="s">
        <v>105</v>
      </c>
      <c r="D574" s="13" t="s">
        <v>3784</v>
      </c>
      <c r="E574" s="13" t="s">
        <v>93</v>
      </c>
      <c r="F574" s="2" t="s">
        <v>45</v>
      </c>
      <c r="G574" s="2" t="s">
        <v>3208</v>
      </c>
      <c r="H574" s="39" t="s">
        <v>671</v>
      </c>
      <c r="I574" s="2" t="s">
        <v>19</v>
      </c>
      <c r="J574" s="2" t="s">
        <v>19</v>
      </c>
      <c r="K574" s="2" t="s">
        <v>19</v>
      </c>
      <c r="L574" s="2" t="s">
        <v>19</v>
      </c>
    </row>
    <row r="575" customFormat="false" ht="15" hidden="false" customHeight="false" outlineLevel="0" collapsed="false">
      <c r="A575" s="2" t="s">
        <v>410</v>
      </c>
      <c r="B575" s="14" t="s">
        <v>409</v>
      </c>
      <c r="C575" s="14" t="s">
        <v>92</v>
      </c>
      <c r="D575" s="14" t="s">
        <v>3785</v>
      </c>
      <c r="E575" s="14" t="s">
        <v>73</v>
      </c>
      <c r="F575" s="2" t="s">
        <v>175</v>
      </c>
      <c r="G575" s="2" t="s">
        <v>3218</v>
      </c>
      <c r="H575" s="39" t="s">
        <v>671</v>
      </c>
      <c r="I575" s="2" t="s">
        <v>21</v>
      </c>
      <c r="J575" s="2" t="s">
        <v>21</v>
      </c>
      <c r="K575" s="2" t="s">
        <v>21</v>
      </c>
      <c r="L575" s="2" t="s">
        <v>21</v>
      </c>
    </row>
    <row r="576" customFormat="false" ht="15" hidden="false" customHeight="false" outlineLevel="0" collapsed="false">
      <c r="A576" s="2" t="s">
        <v>1399</v>
      </c>
      <c r="B576" s="13" t="s">
        <v>1398</v>
      </c>
      <c r="C576" s="13" t="s">
        <v>72</v>
      </c>
      <c r="D576" s="13" t="s">
        <v>3786</v>
      </c>
      <c r="E576" s="13" t="s">
        <v>118</v>
      </c>
      <c r="F576" s="2" t="s">
        <v>129</v>
      </c>
      <c r="G576" s="2" t="s">
        <v>3195</v>
      </c>
      <c r="H576" s="34" t="s">
        <v>668</v>
      </c>
      <c r="I576" s="2" t="s">
        <v>19</v>
      </c>
      <c r="J576" s="2" t="s">
        <v>19</v>
      </c>
      <c r="K576" s="2" t="s">
        <v>19</v>
      </c>
      <c r="L576" s="2" t="s">
        <v>19</v>
      </c>
    </row>
    <row r="577" customFormat="false" ht="15" hidden="false" customHeight="false" outlineLevel="0" collapsed="false">
      <c r="A577" s="2" t="s">
        <v>1651</v>
      </c>
      <c r="B577" s="14" t="s">
        <v>1650</v>
      </c>
      <c r="C577" s="14" t="s">
        <v>72</v>
      </c>
      <c r="D577" s="16"/>
      <c r="E577" s="16"/>
      <c r="F577" s="2" t="s">
        <v>125</v>
      </c>
      <c r="G577" s="2" t="s">
        <v>3205</v>
      </c>
      <c r="H577" s="34" t="s">
        <v>668</v>
      </c>
      <c r="I577" s="2" t="s">
        <v>21</v>
      </c>
      <c r="J577" s="2" t="s">
        <v>21</v>
      </c>
      <c r="K577" s="2"/>
      <c r="L577" s="2"/>
    </row>
    <row r="578" customFormat="false" ht="15" hidden="false" customHeight="false" outlineLevel="0" collapsed="false">
      <c r="A578" s="2" t="s">
        <v>2170</v>
      </c>
      <c r="B578" s="13" t="s">
        <v>2169</v>
      </c>
      <c r="C578" s="13" t="s">
        <v>87</v>
      </c>
      <c r="D578" s="13" t="s">
        <v>3787</v>
      </c>
      <c r="E578" s="13" t="s">
        <v>118</v>
      </c>
      <c r="F578" s="2" t="s">
        <v>129</v>
      </c>
      <c r="G578" s="2" t="s">
        <v>3193</v>
      </c>
      <c r="H578" s="34" t="s">
        <v>668</v>
      </c>
      <c r="I578" s="2" t="s">
        <v>19</v>
      </c>
      <c r="J578" s="2" t="s">
        <v>19</v>
      </c>
      <c r="K578" s="2" t="s">
        <v>19</v>
      </c>
      <c r="L578" s="2" t="s">
        <v>19</v>
      </c>
    </row>
    <row r="579" customFormat="false" ht="15" hidden="false" customHeight="false" outlineLevel="0" collapsed="false">
      <c r="A579" s="2" t="s">
        <v>1180</v>
      </c>
      <c r="B579" s="13" t="s">
        <v>1179</v>
      </c>
      <c r="C579" s="13" t="s">
        <v>81</v>
      </c>
      <c r="D579" s="13" t="s">
        <v>3788</v>
      </c>
      <c r="E579" s="14" t="s">
        <v>111</v>
      </c>
      <c r="F579" s="2" t="s">
        <v>129</v>
      </c>
      <c r="G579" s="2" t="s">
        <v>3195</v>
      </c>
      <c r="H579" s="34" t="s">
        <v>668</v>
      </c>
      <c r="I579" s="2" t="s">
        <v>19</v>
      </c>
      <c r="J579" s="2" t="s">
        <v>19</v>
      </c>
      <c r="K579" s="2" t="s">
        <v>19</v>
      </c>
      <c r="L579" s="2" t="s">
        <v>21</v>
      </c>
    </row>
    <row r="580" customFormat="false" ht="15" hidden="false" customHeight="false" outlineLevel="0" collapsed="false">
      <c r="A580" s="2" t="s">
        <v>1107</v>
      </c>
      <c r="B580" s="13" t="s">
        <v>1106</v>
      </c>
      <c r="C580" s="13" t="s">
        <v>105</v>
      </c>
      <c r="D580" s="14" t="s">
        <v>3789</v>
      </c>
      <c r="E580" s="13" t="s">
        <v>93</v>
      </c>
      <c r="F580" s="2" t="s">
        <v>129</v>
      </c>
      <c r="G580" s="2" t="s">
        <v>3195</v>
      </c>
      <c r="H580" s="34" t="s">
        <v>668</v>
      </c>
      <c r="I580" s="2" t="s">
        <v>19</v>
      </c>
      <c r="J580" s="2" t="s">
        <v>19</v>
      </c>
      <c r="K580" s="2" t="s">
        <v>21</v>
      </c>
      <c r="L580" s="2" t="s">
        <v>19</v>
      </c>
    </row>
    <row r="581" customFormat="false" ht="15" hidden="false" customHeight="false" outlineLevel="0" collapsed="false">
      <c r="A581" s="2" t="s">
        <v>522</v>
      </c>
      <c r="B581" s="13" t="s">
        <v>521</v>
      </c>
      <c r="C581" s="13" t="s">
        <v>114</v>
      </c>
      <c r="D581" s="13" t="s">
        <v>3790</v>
      </c>
      <c r="E581" s="13" t="s">
        <v>73</v>
      </c>
      <c r="F581" s="2" t="s">
        <v>129</v>
      </c>
      <c r="G581" s="2" t="s">
        <v>3215</v>
      </c>
      <c r="H581" s="39" t="s">
        <v>671</v>
      </c>
      <c r="I581" s="2" t="s">
        <v>19</v>
      </c>
      <c r="J581" s="2" t="s">
        <v>19</v>
      </c>
      <c r="K581" s="2" t="s">
        <v>19</v>
      </c>
      <c r="L581" s="2" t="s">
        <v>19</v>
      </c>
    </row>
    <row r="582" customFormat="false" ht="15" hidden="false" customHeight="false" outlineLevel="0" collapsed="false">
      <c r="A582" s="2" t="s">
        <v>1543</v>
      </c>
      <c r="B582" s="13" t="s">
        <v>1542</v>
      </c>
      <c r="C582" s="13" t="s">
        <v>133</v>
      </c>
      <c r="D582" s="13" t="s">
        <v>3791</v>
      </c>
      <c r="E582" s="13" t="s">
        <v>111</v>
      </c>
      <c r="F582" s="2" t="s">
        <v>129</v>
      </c>
      <c r="G582" s="2" t="s">
        <v>3195</v>
      </c>
      <c r="H582" s="34" t="s">
        <v>668</v>
      </c>
      <c r="I582" s="2" t="s">
        <v>19</v>
      </c>
      <c r="J582" s="2" t="s">
        <v>19</v>
      </c>
      <c r="K582" s="2" t="s">
        <v>19</v>
      </c>
      <c r="L582" s="2" t="s">
        <v>19</v>
      </c>
    </row>
    <row r="583" customFormat="false" ht="15" hidden="false" customHeight="false" outlineLevel="0" collapsed="false">
      <c r="A583" s="2" t="s">
        <v>2224</v>
      </c>
      <c r="B583" s="13" t="s">
        <v>2223</v>
      </c>
      <c r="C583" s="13" t="s">
        <v>87</v>
      </c>
      <c r="D583" s="13" t="s">
        <v>3792</v>
      </c>
      <c r="E583" s="13" t="s">
        <v>93</v>
      </c>
      <c r="F583" s="2" t="s">
        <v>129</v>
      </c>
      <c r="G583" s="2" t="s">
        <v>3193</v>
      </c>
      <c r="H583" s="34" t="s">
        <v>668</v>
      </c>
      <c r="I583" s="2" t="s">
        <v>19</v>
      </c>
      <c r="J583" s="2" t="s">
        <v>19</v>
      </c>
      <c r="K583" s="2" t="s">
        <v>19</v>
      </c>
      <c r="L583" s="2" t="s">
        <v>19</v>
      </c>
    </row>
    <row r="584" customFormat="false" ht="15" hidden="false" customHeight="false" outlineLevel="0" collapsed="false">
      <c r="A584" s="2" t="s">
        <v>2394</v>
      </c>
      <c r="B584" s="14" t="s">
        <v>2393</v>
      </c>
      <c r="C584" s="14" t="s">
        <v>87</v>
      </c>
      <c r="D584" s="14" t="s">
        <v>3793</v>
      </c>
      <c r="E584" s="14" t="s">
        <v>99</v>
      </c>
      <c r="F584" s="2" t="s">
        <v>129</v>
      </c>
      <c r="G584" s="2" t="s">
        <v>3193</v>
      </c>
      <c r="H584" s="34" t="s">
        <v>668</v>
      </c>
      <c r="I584" s="2" t="s">
        <v>21</v>
      </c>
      <c r="J584" s="2" t="s">
        <v>21</v>
      </c>
      <c r="K584" s="2" t="s">
        <v>21</v>
      </c>
      <c r="L584" s="2" t="s">
        <v>21</v>
      </c>
    </row>
    <row r="585" customFormat="false" ht="15" hidden="false" customHeight="false" outlineLevel="0" collapsed="false">
      <c r="A585" s="2" t="s">
        <v>652</v>
      </c>
      <c r="B585" s="13" t="s">
        <v>651</v>
      </c>
      <c r="C585" s="13" t="s">
        <v>72</v>
      </c>
      <c r="D585" s="14" t="s">
        <v>3794</v>
      </c>
      <c r="E585" s="13" t="s">
        <v>99</v>
      </c>
      <c r="F585" s="2" t="s">
        <v>46</v>
      </c>
      <c r="G585" s="2" t="s">
        <v>3208</v>
      </c>
      <c r="H585" s="39" t="s">
        <v>671</v>
      </c>
      <c r="I585" s="2" t="s">
        <v>19</v>
      </c>
      <c r="J585" s="2" t="s">
        <v>19</v>
      </c>
      <c r="K585" s="2" t="s">
        <v>21</v>
      </c>
      <c r="L585" s="2" t="s">
        <v>19</v>
      </c>
    </row>
    <row r="586" customFormat="false" ht="15" hidden="false" customHeight="false" outlineLevel="0" collapsed="false">
      <c r="A586" s="2" t="s">
        <v>1595</v>
      </c>
      <c r="B586" s="13" t="s">
        <v>1594</v>
      </c>
      <c r="C586" s="13" t="s">
        <v>81</v>
      </c>
      <c r="D586" s="13" t="s">
        <v>3795</v>
      </c>
      <c r="E586" s="13" t="s">
        <v>82</v>
      </c>
      <c r="F586" s="2" t="s">
        <v>129</v>
      </c>
      <c r="G586" s="2" t="s">
        <v>3195</v>
      </c>
      <c r="H586" s="34" t="s">
        <v>668</v>
      </c>
      <c r="I586" s="2" t="s">
        <v>19</v>
      </c>
      <c r="J586" s="2" t="s">
        <v>19</v>
      </c>
      <c r="K586" s="2" t="s">
        <v>19</v>
      </c>
      <c r="L586" s="2" t="s">
        <v>19</v>
      </c>
    </row>
    <row r="587" customFormat="false" ht="15" hidden="false" customHeight="false" outlineLevel="0" collapsed="false">
      <c r="A587" s="2" t="s">
        <v>634</v>
      </c>
      <c r="B587" s="13" t="s">
        <v>633</v>
      </c>
      <c r="C587" s="13" t="s">
        <v>77</v>
      </c>
      <c r="D587" s="13" t="s">
        <v>3796</v>
      </c>
      <c r="E587" s="13" t="s">
        <v>82</v>
      </c>
      <c r="F587" s="2" t="s">
        <v>47</v>
      </c>
      <c r="G587" s="2" t="s">
        <v>3208</v>
      </c>
      <c r="H587" s="39" t="s">
        <v>671</v>
      </c>
      <c r="I587" s="2" t="s">
        <v>19</v>
      </c>
      <c r="J587" s="2" t="s">
        <v>19</v>
      </c>
      <c r="K587" s="2" t="s">
        <v>19</v>
      </c>
      <c r="L587" s="2" t="s">
        <v>19</v>
      </c>
    </row>
    <row r="588" customFormat="false" ht="15" hidden="false" customHeight="false" outlineLevel="0" collapsed="false">
      <c r="A588" s="2" t="s">
        <v>2624</v>
      </c>
      <c r="B588" s="13" t="s">
        <v>2623</v>
      </c>
      <c r="C588" s="13" t="s">
        <v>92</v>
      </c>
      <c r="D588" s="13" t="s">
        <v>3797</v>
      </c>
      <c r="E588" s="13" t="s">
        <v>111</v>
      </c>
      <c r="F588" s="2" t="s">
        <v>175</v>
      </c>
      <c r="G588" s="2" t="s">
        <v>3205</v>
      </c>
      <c r="H588" s="34" t="s">
        <v>668</v>
      </c>
      <c r="I588" s="2" t="s">
        <v>19</v>
      </c>
      <c r="J588" s="2" t="s">
        <v>19</v>
      </c>
      <c r="K588" s="2" t="s">
        <v>19</v>
      </c>
      <c r="L588" s="2" t="s">
        <v>19</v>
      </c>
    </row>
    <row r="589" customFormat="false" ht="15" hidden="false" customHeight="false" outlineLevel="0" collapsed="false">
      <c r="A589" s="2" t="s">
        <v>1781</v>
      </c>
      <c r="B589" s="13" t="s">
        <v>1780</v>
      </c>
      <c r="C589" s="13" t="s">
        <v>77</v>
      </c>
      <c r="D589" s="13" t="s">
        <v>3798</v>
      </c>
      <c r="E589" s="13" t="s">
        <v>170</v>
      </c>
      <c r="F589" s="2" t="s">
        <v>129</v>
      </c>
      <c r="G589" s="2" t="s">
        <v>3195</v>
      </c>
      <c r="H589" s="34" t="s">
        <v>668</v>
      </c>
      <c r="I589" s="2" t="s">
        <v>19</v>
      </c>
      <c r="J589" s="2" t="s">
        <v>19</v>
      </c>
      <c r="K589" s="2" t="s">
        <v>19</v>
      </c>
      <c r="L589" s="2" t="s">
        <v>19</v>
      </c>
    </row>
    <row r="590" customFormat="false" ht="15" hidden="false" customHeight="false" outlineLevel="0" collapsed="false">
      <c r="A590" s="2" t="s">
        <v>1032</v>
      </c>
      <c r="B590" s="13" t="s">
        <v>1031</v>
      </c>
      <c r="C590" s="13" t="s">
        <v>72</v>
      </c>
      <c r="D590" s="13" t="s">
        <v>3799</v>
      </c>
      <c r="E590" s="13" t="s">
        <v>118</v>
      </c>
      <c r="F590" s="2" t="s">
        <v>129</v>
      </c>
      <c r="G590" s="2" t="s">
        <v>3195</v>
      </c>
      <c r="H590" s="34" t="s">
        <v>668</v>
      </c>
      <c r="I590" s="2" t="s">
        <v>19</v>
      </c>
      <c r="J590" s="2" t="s">
        <v>19</v>
      </c>
      <c r="K590" s="2" t="s">
        <v>19</v>
      </c>
      <c r="L590" s="2" t="s">
        <v>19</v>
      </c>
    </row>
    <row r="591" customFormat="false" ht="15" hidden="false" customHeight="false" outlineLevel="0" collapsed="false">
      <c r="A591" s="2" t="s">
        <v>3046</v>
      </c>
      <c r="B591" s="13" t="s">
        <v>3800</v>
      </c>
      <c r="C591" s="13" t="s">
        <v>81</v>
      </c>
      <c r="D591" s="14" t="s">
        <v>3801</v>
      </c>
      <c r="E591" s="13" t="s">
        <v>111</v>
      </c>
      <c r="F591" s="2" t="s">
        <v>46</v>
      </c>
      <c r="G591" s="2" t="s">
        <v>3202</v>
      </c>
      <c r="H591" s="34" t="s">
        <v>668</v>
      </c>
      <c r="I591" s="2" t="s">
        <v>19</v>
      </c>
      <c r="J591" s="2" t="s">
        <v>19</v>
      </c>
      <c r="K591" s="2" t="s">
        <v>21</v>
      </c>
      <c r="L591" s="2" t="s">
        <v>19</v>
      </c>
    </row>
    <row r="592" customFormat="false" ht="15" hidden="false" customHeight="false" outlineLevel="0" collapsed="false">
      <c r="A592" s="2" t="s">
        <v>1509</v>
      </c>
      <c r="B592" s="13" t="s">
        <v>1508</v>
      </c>
      <c r="C592" s="13" t="s">
        <v>92</v>
      </c>
      <c r="D592" s="13" t="s">
        <v>3802</v>
      </c>
      <c r="E592" s="13" t="s">
        <v>99</v>
      </c>
      <c r="F592" s="2" t="s">
        <v>129</v>
      </c>
      <c r="G592" s="2" t="s">
        <v>3195</v>
      </c>
      <c r="H592" s="34" t="s">
        <v>668</v>
      </c>
      <c r="I592" s="2" t="s">
        <v>19</v>
      </c>
      <c r="J592" s="2" t="s">
        <v>19</v>
      </c>
      <c r="K592" s="2" t="s">
        <v>19</v>
      </c>
      <c r="L592" s="2" t="s">
        <v>19</v>
      </c>
    </row>
    <row r="593" customFormat="false" ht="15" hidden="false" customHeight="false" outlineLevel="0" collapsed="false">
      <c r="A593" s="2" t="s">
        <v>802</v>
      </c>
      <c r="B593" s="13" t="s">
        <v>801</v>
      </c>
      <c r="C593" s="13" t="s">
        <v>87</v>
      </c>
      <c r="D593" s="13" t="s">
        <v>3803</v>
      </c>
      <c r="E593" s="13" t="s">
        <v>118</v>
      </c>
      <c r="F593" s="2" t="s">
        <v>129</v>
      </c>
      <c r="G593" s="2" t="s">
        <v>3193</v>
      </c>
      <c r="H593" s="34" t="s">
        <v>668</v>
      </c>
      <c r="I593" s="2" t="s">
        <v>19</v>
      </c>
      <c r="J593" s="2" t="s">
        <v>19</v>
      </c>
      <c r="K593" s="2" t="s">
        <v>19</v>
      </c>
      <c r="L593" s="2" t="s">
        <v>19</v>
      </c>
    </row>
    <row r="594" customFormat="false" ht="15" hidden="false" customHeight="false" outlineLevel="0" collapsed="false">
      <c r="A594" s="2" t="s">
        <v>268</v>
      </c>
      <c r="B594" s="13" t="s">
        <v>267</v>
      </c>
      <c r="C594" s="13" t="s">
        <v>114</v>
      </c>
      <c r="D594" s="13" t="s">
        <v>3804</v>
      </c>
      <c r="E594" s="13" t="s">
        <v>82</v>
      </c>
      <c r="F594" s="2" t="s">
        <v>129</v>
      </c>
      <c r="G594" s="2" t="s">
        <v>3215</v>
      </c>
      <c r="H594" s="39" t="s">
        <v>671</v>
      </c>
      <c r="I594" s="2" t="s">
        <v>19</v>
      </c>
      <c r="J594" s="2" t="s">
        <v>19</v>
      </c>
      <c r="K594" s="2" t="s">
        <v>19</v>
      </c>
      <c r="L594" s="2" t="s">
        <v>19</v>
      </c>
    </row>
    <row r="595" customFormat="false" ht="15" hidden="false" customHeight="false" outlineLevel="0" collapsed="false">
      <c r="A595" s="2" t="s">
        <v>1002</v>
      </c>
      <c r="B595" s="13" t="s">
        <v>1001</v>
      </c>
      <c r="C595" s="13" t="s">
        <v>133</v>
      </c>
      <c r="D595" s="13" t="s">
        <v>3805</v>
      </c>
      <c r="E595" s="13" t="s">
        <v>170</v>
      </c>
      <c r="F595" s="2" t="s">
        <v>129</v>
      </c>
      <c r="G595" s="2" t="s">
        <v>3195</v>
      </c>
      <c r="H595" s="34" t="s">
        <v>668</v>
      </c>
      <c r="I595" s="2" t="s">
        <v>19</v>
      </c>
      <c r="J595" s="2" t="s">
        <v>19</v>
      </c>
      <c r="K595" s="2" t="s">
        <v>19</v>
      </c>
      <c r="L595" s="2" t="s">
        <v>19</v>
      </c>
    </row>
    <row r="596" customFormat="false" ht="15" hidden="false" customHeight="false" outlineLevel="0" collapsed="false">
      <c r="A596" s="2" t="s">
        <v>2129</v>
      </c>
      <c r="B596" s="13" t="s">
        <v>2128</v>
      </c>
      <c r="C596" s="13" t="s">
        <v>77</v>
      </c>
      <c r="D596" s="13" t="s">
        <v>3806</v>
      </c>
      <c r="E596" s="13" t="s">
        <v>108</v>
      </c>
      <c r="F596" s="2" t="s">
        <v>129</v>
      </c>
      <c r="G596" s="2" t="s">
        <v>3193</v>
      </c>
      <c r="H596" s="34" t="s">
        <v>668</v>
      </c>
      <c r="I596" s="2" t="s">
        <v>19</v>
      </c>
      <c r="J596" s="2" t="s">
        <v>19</v>
      </c>
      <c r="K596" s="2" t="s">
        <v>19</v>
      </c>
      <c r="L596" s="2" t="s">
        <v>19</v>
      </c>
    </row>
    <row r="597" customFormat="false" ht="15" hidden="false" customHeight="false" outlineLevel="0" collapsed="false">
      <c r="A597" s="2" t="s">
        <v>286</v>
      </c>
      <c r="B597" s="13" t="s">
        <v>285</v>
      </c>
      <c r="C597" s="13" t="s">
        <v>114</v>
      </c>
      <c r="D597" s="13" t="s">
        <v>3807</v>
      </c>
      <c r="E597" s="13" t="s">
        <v>170</v>
      </c>
      <c r="F597" s="2" t="s">
        <v>129</v>
      </c>
      <c r="G597" s="2" t="s">
        <v>3215</v>
      </c>
      <c r="H597" s="39" t="s">
        <v>671</v>
      </c>
      <c r="I597" s="2" t="s">
        <v>19</v>
      </c>
      <c r="J597" s="2" t="s">
        <v>19</v>
      </c>
      <c r="K597" s="2" t="s">
        <v>19</v>
      </c>
      <c r="L597" s="2" t="s">
        <v>19</v>
      </c>
    </row>
    <row r="598" customFormat="false" ht="15" hidden="false" customHeight="false" outlineLevel="0" collapsed="false">
      <c r="A598" s="2" t="s">
        <v>2348</v>
      </c>
      <c r="B598" s="13" t="s">
        <v>2347</v>
      </c>
      <c r="C598" s="13" t="s">
        <v>133</v>
      </c>
      <c r="D598" s="13" t="s">
        <v>3808</v>
      </c>
      <c r="E598" s="13" t="s">
        <v>111</v>
      </c>
      <c r="F598" s="2" t="s">
        <v>129</v>
      </c>
      <c r="G598" s="2" t="s">
        <v>3193</v>
      </c>
      <c r="H598" s="34" t="s">
        <v>668</v>
      </c>
      <c r="I598" s="2" t="s">
        <v>19</v>
      </c>
      <c r="J598" s="2" t="s">
        <v>19</v>
      </c>
      <c r="K598" s="2" t="s">
        <v>19</v>
      </c>
      <c r="L598" s="2" t="s">
        <v>19</v>
      </c>
    </row>
    <row r="599" customFormat="false" ht="15" hidden="false" customHeight="false" outlineLevel="0" collapsed="false">
      <c r="A599" s="2" t="s">
        <v>3052</v>
      </c>
      <c r="B599" s="13" t="s">
        <v>3809</v>
      </c>
      <c r="C599" s="13" t="s">
        <v>92</v>
      </c>
      <c r="D599" s="13" t="s">
        <v>3810</v>
      </c>
      <c r="E599" s="13" t="s">
        <v>170</v>
      </c>
      <c r="F599" s="2" t="s">
        <v>46</v>
      </c>
      <c r="G599" s="2" t="s">
        <v>3202</v>
      </c>
      <c r="H599" s="34" t="s">
        <v>668</v>
      </c>
      <c r="I599" s="2" t="s">
        <v>19</v>
      </c>
      <c r="J599" s="2" t="s">
        <v>19</v>
      </c>
      <c r="K599" s="2" t="s">
        <v>19</v>
      </c>
      <c r="L599" s="2" t="s">
        <v>19</v>
      </c>
    </row>
    <row r="600" customFormat="false" ht="15" hidden="false" customHeight="false" outlineLevel="0" collapsed="false">
      <c r="A600" s="2" t="s">
        <v>2444</v>
      </c>
      <c r="B600" s="13" t="s">
        <v>2443</v>
      </c>
      <c r="C600" s="13" t="s">
        <v>87</v>
      </c>
      <c r="D600" s="13" t="s">
        <v>3811</v>
      </c>
      <c r="E600" s="14" t="s">
        <v>93</v>
      </c>
      <c r="F600" s="2" t="s">
        <v>129</v>
      </c>
      <c r="G600" s="2" t="s">
        <v>3193</v>
      </c>
      <c r="H600" s="34" t="s">
        <v>668</v>
      </c>
      <c r="I600" s="2" t="s">
        <v>19</v>
      </c>
      <c r="J600" s="2" t="s">
        <v>19</v>
      </c>
      <c r="K600" s="2" t="s">
        <v>19</v>
      </c>
      <c r="L600" s="2" t="s">
        <v>21</v>
      </c>
    </row>
    <row r="601" customFormat="false" ht="15" hidden="false" customHeight="false" outlineLevel="0" collapsed="false">
      <c r="A601" s="2" t="s">
        <v>314</v>
      </c>
      <c r="B601" s="13" t="s">
        <v>313</v>
      </c>
      <c r="C601" s="13" t="s">
        <v>92</v>
      </c>
      <c r="D601" s="13" t="s">
        <v>3812</v>
      </c>
      <c r="E601" s="13" t="s">
        <v>93</v>
      </c>
      <c r="F601" s="2" t="s">
        <v>47</v>
      </c>
      <c r="G601" s="2" t="s">
        <v>3208</v>
      </c>
      <c r="H601" s="39" t="s">
        <v>671</v>
      </c>
      <c r="I601" s="2" t="s">
        <v>19</v>
      </c>
      <c r="J601" s="2" t="s">
        <v>19</v>
      </c>
      <c r="K601" s="2" t="s">
        <v>19</v>
      </c>
      <c r="L601" s="2" t="s">
        <v>19</v>
      </c>
    </row>
    <row r="602" customFormat="false" ht="15" hidden="false" customHeight="false" outlineLevel="0" collapsed="false">
      <c r="A602" s="2" t="s">
        <v>850</v>
      </c>
      <c r="B602" s="13" t="s">
        <v>849</v>
      </c>
      <c r="C602" s="13" t="s">
        <v>105</v>
      </c>
      <c r="D602" s="13" t="s">
        <v>3813</v>
      </c>
      <c r="E602" s="13" t="s">
        <v>108</v>
      </c>
      <c r="F602" s="2" t="s">
        <v>129</v>
      </c>
      <c r="G602" s="2" t="s">
        <v>3193</v>
      </c>
      <c r="H602" s="34" t="s">
        <v>668</v>
      </c>
      <c r="I602" s="2" t="s">
        <v>19</v>
      </c>
      <c r="J602" s="2" t="s">
        <v>19</v>
      </c>
      <c r="K602" s="2" t="s">
        <v>19</v>
      </c>
      <c r="L602" s="2" t="s">
        <v>19</v>
      </c>
    </row>
    <row r="603" customFormat="false" ht="15" hidden="false" customHeight="false" outlineLevel="0" collapsed="false">
      <c r="A603" s="2" t="s">
        <v>1183</v>
      </c>
      <c r="B603" s="13" t="s">
        <v>1182</v>
      </c>
      <c r="C603" s="13" t="s">
        <v>87</v>
      </c>
      <c r="D603" s="14" t="s">
        <v>3814</v>
      </c>
      <c r="E603" s="13" t="s">
        <v>111</v>
      </c>
      <c r="F603" s="2" t="s">
        <v>125</v>
      </c>
      <c r="G603" s="2" t="s">
        <v>3205</v>
      </c>
      <c r="H603" s="34" t="s">
        <v>668</v>
      </c>
      <c r="I603" s="2" t="s">
        <v>19</v>
      </c>
      <c r="J603" s="2" t="s">
        <v>19</v>
      </c>
      <c r="K603" s="2" t="s">
        <v>21</v>
      </c>
      <c r="L603" s="2" t="s">
        <v>19</v>
      </c>
    </row>
    <row r="604" customFormat="false" ht="15" hidden="false" customHeight="false" outlineLevel="0" collapsed="false">
      <c r="A604" s="2" t="s">
        <v>1976</v>
      </c>
      <c r="B604" s="13" t="s">
        <v>1975</v>
      </c>
      <c r="C604" s="13" t="s">
        <v>87</v>
      </c>
      <c r="D604" s="15" t="s">
        <v>3815</v>
      </c>
      <c r="E604" s="13" t="s">
        <v>170</v>
      </c>
      <c r="F604" s="2" t="s">
        <v>175</v>
      </c>
      <c r="G604" s="2" t="s">
        <v>3205</v>
      </c>
      <c r="H604" s="34" t="s">
        <v>668</v>
      </c>
      <c r="I604" s="2" t="s">
        <v>19</v>
      </c>
      <c r="J604" s="2" t="s">
        <v>19</v>
      </c>
      <c r="K604" s="2" t="s">
        <v>17</v>
      </c>
      <c r="L604" s="2" t="s">
        <v>19</v>
      </c>
    </row>
    <row r="605" customFormat="false" ht="15" hidden="false" customHeight="false" outlineLevel="0" collapsed="false">
      <c r="A605" s="2" t="s">
        <v>1262</v>
      </c>
      <c r="B605" s="13" t="s">
        <v>1261</v>
      </c>
      <c r="C605" s="13" t="s">
        <v>102</v>
      </c>
      <c r="D605" s="13" t="s">
        <v>3816</v>
      </c>
      <c r="E605" s="13" t="s">
        <v>118</v>
      </c>
      <c r="F605" s="2" t="s">
        <v>129</v>
      </c>
      <c r="G605" s="2" t="s">
        <v>3195</v>
      </c>
      <c r="H605" s="34" t="s">
        <v>668</v>
      </c>
      <c r="I605" s="2" t="s">
        <v>19</v>
      </c>
      <c r="J605" s="2" t="s">
        <v>19</v>
      </c>
      <c r="K605" s="2" t="s">
        <v>19</v>
      </c>
      <c r="L605" s="2" t="s">
        <v>19</v>
      </c>
    </row>
    <row r="606" customFormat="false" ht="15" hidden="false" customHeight="false" outlineLevel="0" collapsed="false">
      <c r="A606" s="2" t="s">
        <v>1110</v>
      </c>
      <c r="B606" s="13" t="s">
        <v>1109</v>
      </c>
      <c r="C606" s="13" t="s">
        <v>81</v>
      </c>
      <c r="D606" s="14" t="s">
        <v>3817</v>
      </c>
      <c r="E606" s="13" t="s">
        <v>108</v>
      </c>
      <c r="F606" s="2" t="s">
        <v>129</v>
      </c>
      <c r="G606" s="2" t="s">
        <v>3195</v>
      </c>
      <c r="H606" s="34" t="s">
        <v>668</v>
      </c>
      <c r="I606" s="2" t="s">
        <v>19</v>
      </c>
      <c r="J606" s="2" t="s">
        <v>19</v>
      </c>
      <c r="K606" s="2" t="s">
        <v>21</v>
      </c>
      <c r="L606" s="2" t="s">
        <v>19</v>
      </c>
    </row>
    <row r="607" customFormat="false" ht="15" hidden="false" customHeight="false" outlineLevel="0" collapsed="false">
      <c r="A607" s="2" t="s">
        <v>2328</v>
      </c>
      <c r="B607" s="15" t="s">
        <v>2327</v>
      </c>
      <c r="C607" s="13" t="s">
        <v>138</v>
      </c>
      <c r="D607" s="13" t="s">
        <v>3818</v>
      </c>
      <c r="E607" s="13" t="s">
        <v>118</v>
      </c>
      <c r="F607" s="2" t="s">
        <v>175</v>
      </c>
      <c r="G607" s="2" t="s">
        <v>3205</v>
      </c>
      <c r="H607" s="34" t="s">
        <v>668</v>
      </c>
      <c r="I607" s="2" t="s">
        <v>17</v>
      </c>
      <c r="J607" s="2" t="s">
        <v>19</v>
      </c>
      <c r="K607" s="2" t="s">
        <v>19</v>
      </c>
      <c r="L607" s="2" t="s">
        <v>19</v>
      </c>
    </row>
    <row r="608" customFormat="false" ht="15" hidden="false" customHeight="false" outlineLevel="0" collapsed="false">
      <c r="A608" s="2" t="s">
        <v>3058</v>
      </c>
      <c r="B608" s="14" t="s">
        <v>3819</v>
      </c>
      <c r="C608" s="14" t="s">
        <v>87</v>
      </c>
      <c r="D608" s="14" t="s">
        <v>3820</v>
      </c>
      <c r="E608" s="14" t="s">
        <v>82</v>
      </c>
      <c r="F608" s="2" t="s">
        <v>46</v>
      </c>
      <c r="G608" s="2" t="s">
        <v>3202</v>
      </c>
      <c r="H608" s="34" t="s">
        <v>668</v>
      </c>
      <c r="I608" s="2" t="s">
        <v>21</v>
      </c>
      <c r="J608" s="2" t="s">
        <v>21</v>
      </c>
      <c r="K608" s="2" t="s">
        <v>21</v>
      </c>
      <c r="L608" s="2" t="s">
        <v>21</v>
      </c>
    </row>
    <row r="609" customFormat="false" ht="15" hidden="false" customHeight="false" outlineLevel="0" collapsed="false">
      <c r="A609" s="2" t="s">
        <v>366</v>
      </c>
      <c r="B609" s="13" t="s">
        <v>365</v>
      </c>
      <c r="C609" s="13" t="s">
        <v>102</v>
      </c>
      <c r="D609" s="13" t="s">
        <v>3821</v>
      </c>
      <c r="E609" s="13" t="s">
        <v>96</v>
      </c>
      <c r="F609" s="2" t="s">
        <v>125</v>
      </c>
      <c r="G609" s="2" t="s">
        <v>3218</v>
      </c>
      <c r="H609" s="39" t="s">
        <v>671</v>
      </c>
      <c r="I609" s="2" t="s">
        <v>19</v>
      </c>
      <c r="J609" s="2" t="s">
        <v>19</v>
      </c>
      <c r="K609" s="2" t="s">
        <v>19</v>
      </c>
      <c r="L609" s="2" t="s">
        <v>19</v>
      </c>
    </row>
    <row r="610" customFormat="false" ht="15" hidden="false" customHeight="false" outlineLevel="0" collapsed="false">
      <c r="A610" s="2" t="s">
        <v>683</v>
      </c>
      <c r="B610" s="14" t="s">
        <v>682</v>
      </c>
      <c r="C610" s="14" t="s">
        <v>92</v>
      </c>
      <c r="D610" s="14" t="s">
        <v>3822</v>
      </c>
      <c r="E610" s="14" t="s">
        <v>115</v>
      </c>
      <c r="F610" s="2" t="s">
        <v>129</v>
      </c>
      <c r="G610" s="2" t="s">
        <v>3193</v>
      </c>
      <c r="H610" s="34" t="s">
        <v>668</v>
      </c>
      <c r="I610" s="2" t="s">
        <v>21</v>
      </c>
      <c r="J610" s="2" t="s">
        <v>21</v>
      </c>
      <c r="K610" s="2" t="s">
        <v>21</v>
      </c>
      <c r="L610" s="2" t="s">
        <v>21</v>
      </c>
    </row>
    <row r="611" customFormat="false" ht="15" hidden="false" customHeight="false" outlineLevel="0" collapsed="false">
      <c r="A611" s="2" t="s">
        <v>187</v>
      </c>
      <c r="B611" s="13" t="s">
        <v>186</v>
      </c>
      <c r="C611" s="13" t="s">
        <v>133</v>
      </c>
      <c r="D611" s="13" t="s">
        <v>3823</v>
      </c>
      <c r="E611" s="13" t="s">
        <v>170</v>
      </c>
      <c r="F611" s="2" t="s">
        <v>129</v>
      </c>
      <c r="G611" s="2" t="s">
        <v>3215</v>
      </c>
      <c r="H611" s="39" t="s">
        <v>671</v>
      </c>
      <c r="I611" s="2" t="s">
        <v>19</v>
      </c>
      <c r="J611" s="2" t="s">
        <v>19</v>
      </c>
      <c r="K611" s="2" t="s">
        <v>19</v>
      </c>
      <c r="L611" s="2" t="s">
        <v>19</v>
      </c>
    </row>
    <row r="612" customFormat="false" ht="15" hidden="false" customHeight="false" outlineLevel="0" collapsed="false">
      <c r="A612" s="2" t="s">
        <v>546</v>
      </c>
      <c r="B612" s="13" t="s">
        <v>545</v>
      </c>
      <c r="C612" s="13" t="s">
        <v>92</v>
      </c>
      <c r="D612" s="13" t="s">
        <v>3824</v>
      </c>
      <c r="E612" s="13" t="s">
        <v>96</v>
      </c>
      <c r="F612" s="2" t="s">
        <v>129</v>
      </c>
      <c r="G612" s="2" t="s">
        <v>3215</v>
      </c>
      <c r="H612" s="39" t="s">
        <v>671</v>
      </c>
      <c r="I612" s="2" t="s">
        <v>19</v>
      </c>
      <c r="J612" s="2" t="s">
        <v>19</v>
      </c>
      <c r="K612" s="2" t="s">
        <v>19</v>
      </c>
      <c r="L612" s="2" t="s">
        <v>19</v>
      </c>
    </row>
    <row r="613" customFormat="false" ht="15" hidden="false" customHeight="false" outlineLevel="0" collapsed="false">
      <c r="A613" s="2" t="s">
        <v>334</v>
      </c>
      <c r="B613" s="13" t="s">
        <v>333</v>
      </c>
      <c r="C613" s="13" t="s">
        <v>87</v>
      </c>
      <c r="D613" s="13" t="s">
        <v>3825</v>
      </c>
      <c r="E613" s="13" t="s">
        <v>82</v>
      </c>
      <c r="F613" s="2" t="s">
        <v>157</v>
      </c>
      <c r="G613" s="2" t="s">
        <v>3218</v>
      </c>
      <c r="H613" s="39" t="s">
        <v>671</v>
      </c>
      <c r="I613" s="2" t="s">
        <v>19</v>
      </c>
      <c r="J613" s="2" t="s">
        <v>19</v>
      </c>
      <c r="K613" s="2" t="s">
        <v>19</v>
      </c>
      <c r="L613" s="2" t="s">
        <v>19</v>
      </c>
    </row>
    <row r="614" customFormat="false" ht="15" hidden="false" customHeight="false" outlineLevel="0" collapsed="false">
      <c r="A614" s="2" t="s">
        <v>3060</v>
      </c>
      <c r="B614" s="16"/>
      <c r="C614" s="16"/>
      <c r="D614" s="16"/>
      <c r="E614" s="16"/>
      <c r="F614" s="2" t="s">
        <v>47</v>
      </c>
      <c r="G614" s="2" t="s">
        <v>3202</v>
      </c>
      <c r="H614" s="34" t="s">
        <v>668</v>
      </c>
      <c r="I614" s="2"/>
      <c r="J614" s="2"/>
      <c r="K614" s="2"/>
      <c r="L614" s="2"/>
    </row>
    <row r="615" customFormat="false" ht="15" hidden="false" customHeight="false" outlineLevel="0" collapsed="false">
      <c r="A615" s="2" t="s">
        <v>614</v>
      </c>
      <c r="B615" s="13" t="s">
        <v>613</v>
      </c>
      <c r="C615" s="13" t="s">
        <v>77</v>
      </c>
      <c r="D615" s="13" t="s">
        <v>3826</v>
      </c>
      <c r="E615" s="13" t="s">
        <v>93</v>
      </c>
      <c r="F615" s="2" t="s">
        <v>46</v>
      </c>
      <c r="G615" s="2" t="s">
        <v>3208</v>
      </c>
      <c r="H615" s="39" t="s">
        <v>671</v>
      </c>
      <c r="I615" s="2" t="s">
        <v>19</v>
      </c>
      <c r="J615" s="2" t="s">
        <v>19</v>
      </c>
      <c r="K615" s="2" t="s">
        <v>19</v>
      </c>
      <c r="L615" s="2" t="s">
        <v>19</v>
      </c>
    </row>
    <row r="616" customFormat="false" ht="15" hidden="false" customHeight="false" outlineLevel="0" collapsed="false">
      <c r="A616" s="2" t="s">
        <v>3061</v>
      </c>
      <c r="B616" s="13" t="s">
        <v>3827</v>
      </c>
      <c r="C616" s="13" t="s">
        <v>81</v>
      </c>
      <c r="D616" s="13" t="s">
        <v>3828</v>
      </c>
      <c r="E616" s="14" t="s">
        <v>111</v>
      </c>
      <c r="F616" s="2" t="s">
        <v>45</v>
      </c>
      <c r="G616" s="2" t="s">
        <v>3202</v>
      </c>
      <c r="H616" s="34" t="s">
        <v>668</v>
      </c>
      <c r="I616" s="2" t="s">
        <v>19</v>
      </c>
      <c r="J616" s="2" t="s">
        <v>19</v>
      </c>
      <c r="K616" s="2" t="s">
        <v>19</v>
      </c>
      <c r="L616" s="2" t="s">
        <v>21</v>
      </c>
    </row>
    <row r="617" customFormat="false" ht="15" hidden="false" customHeight="false" outlineLevel="0" collapsed="false">
      <c r="A617" s="2" t="s">
        <v>536</v>
      </c>
      <c r="B617" s="13" t="s">
        <v>535</v>
      </c>
      <c r="C617" s="13" t="s">
        <v>133</v>
      </c>
      <c r="D617" s="13" t="s">
        <v>3829</v>
      </c>
      <c r="E617" s="13" t="s">
        <v>73</v>
      </c>
      <c r="F617" s="2" t="s">
        <v>175</v>
      </c>
      <c r="G617" s="2" t="s">
        <v>3218</v>
      </c>
      <c r="H617" s="39" t="s">
        <v>671</v>
      </c>
      <c r="I617" s="2" t="s">
        <v>19</v>
      </c>
      <c r="J617" s="2" t="s">
        <v>19</v>
      </c>
      <c r="K617" s="2" t="s">
        <v>19</v>
      </c>
      <c r="L617" s="2" t="s">
        <v>19</v>
      </c>
    </row>
    <row r="618" customFormat="false" ht="15" hidden="false" customHeight="false" outlineLevel="0" collapsed="false">
      <c r="A618" s="2" t="s">
        <v>616</v>
      </c>
      <c r="B618" s="13" t="s">
        <v>615</v>
      </c>
      <c r="C618" s="13" t="s">
        <v>114</v>
      </c>
      <c r="D618" s="13" t="s">
        <v>3830</v>
      </c>
      <c r="E618" s="13" t="s">
        <v>118</v>
      </c>
      <c r="F618" s="2" t="s">
        <v>47</v>
      </c>
      <c r="G618" s="2" t="s">
        <v>3208</v>
      </c>
      <c r="H618" s="39" t="s">
        <v>671</v>
      </c>
      <c r="I618" s="2" t="s">
        <v>19</v>
      </c>
      <c r="J618" s="2" t="s">
        <v>19</v>
      </c>
      <c r="K618" s="2" t="s">
        <v>19</v>
      </c>
      <c r="L618" s="2" t="s">
        <v>19</v>
      </c>
    </row>
    <row r="619" customFormat="false" ht="15" hidden="false" customHeight="false" outlineLevel="0" collapsed="false">
      <c r="A619" s="2" t="s">
        <v>2264</v>
      </c>
      <c r="B619" s="13" t="s">
        <v>2263</v>
      </c>
      <c r="C619" s="13" t="s">
        <v>133</v>
      </c>
      <c r="D619" s="13" t="s">
        <v>3831</v>
      </c>
      <c r="E619" s="13" t="s">
        <v>73</v>
      </c>
      <c r="F619" s="2" t="s">
        <v>157</v>
      </c>
      <c r="G619" s="2" t="s">
        <v>3205</v>
      </c>
      <c r="H619" s="34" t="s">
        <v>668</v>
      </c>
      <c r="I619" s="2" t="s">
        <v>19</v>
      </c>
      <c r="J619" s="2" t="s">
        <v>19</v>
      </c>
      <c r="K619" s="2" t="s">
        <v>19</v>
      </c>
      <c r="L619" s="2" t="s">
        <v>19</v>
      </c>
    </row>
    <row r="620" customFormat="false" ht="15" hidden="false" customHeight="false" outlineLevel="0" collapsed="false">
      <c r="A620" s="2" t="s">
        <v>3064</v>
      </c>
      <c r="B620" s="16"/>
      <c r="C620" s="16"/>
      <c r="D620" s="16"/>
      <c r="E620" s="16"/>
      <c r="F620" s="2" t="s">
        <v>45</v>
      </c>
      <c r="G620" s="2" t="s">
        <v>3202</v>
      </c>
      <c r="H620" s="34" t="s">
        <v>668</v>
      </c>
      <c r="I620" s="2"/>
      <c r="J620" s="2"/>
      <c r="K620" s="2"/>
      <c r="L620" s="2"/>
    </row>
    <row r="621" customFormat="false" ht="15" hidden="false" customHeight="false" outlineLevel="0" collapsed="false">
      <c r="A621" s="2" t="s">
        <v>1170</v>
      </c>
      <c r="B621" s="13" t="s">
        <v>1169</v>
      </c>
      <c r="C621" s="13" t="s">
        <v>102</v>
      </c>
      <c r="D621" s="13" t="s">
        <v>3832</v>
      </c>
      <c r="E621" s="13" t="s">
        <v>111</v>
      </c>
      <c r="F621" s="2" t="s">
        <v>129</v>
      </c>
      <c r="G621" s="2" t="s">
        <v>3195</v>
      </c>
      <c r="H621" s="34" t="s">
        <v>668</v>
      </c>
      <c r="I621" s="2" t="s">
        <v>19</v>
      </c>
      <c r="J621" s="2" t="s">
        <v>19</v>
      </c>
      <c r="K621" s="2" t="s">
        <v>19</v>
      </c>
      <c r="L621" s="2" t="s">
        <v>19</v>
      </c>
    </row>
    <row r="622" customFormat="false" ht="15" hidden="false" customHeight="false" outlineLevel="0" collapsed="false">
      <c r="A622" s="2" t="s">
        <v>827</v>
      </c>
      <c r="B622" s="13" t="s">
        <v>826</v>
      </c>
      <c r="C622" s="13" t="s">
        <v>138</v>
      </c>
      <c r="D622" s="13" t="s">
        <v>3833</v>
      </c>
      <c r="E622" s="13" t="s">
        <v>73</v>
      </c>
      <c r="F622" s="2" t="s">
        <v>129</v>
      </c>
      <c r="G622" s="2" t="s">
        <v>3195</v>
      </c>
      <c r="H622" s="34" t="s">
        <v>668</v>
      </c>
      <c r="I622" s="2" t="s">
        <v>19</v>
      </c>
      <c r="J622" s="2" t="s">
        <v>19</v>
      </c>
      <c r="K622" s="2" t="s">
        <v>19</v>
      </c>
      <c r="L622" s="2" t="s">
        <v>19</v>
      </c>
    </row>
    <row r="623" customFormat="false" ht="15" hidden="false" customHeight="false" outlineLevel="0" collapsed="false">
      <c r="A623" s="2" t="s">
        <v>189</v>
      </c>
      <c r="B623" s="13" t="s">
        <v>188</v>
      </c>
      <c r="C623" s="14" t="s">
        <v>133</v>
      </c>
      <c r="D623" s="13" t="s">
        <v>3834</v>
      </c>
      <c r="E623" s="13" t="s">
        <v>93</v>
      </c>
      <c r="F623" s="2" t="s">
        <v>175</v>
      </c>
      <c r="G623" s="2" t="s">
        <v>3218</v>
      </c>
      <c r="H623" s="39" t="s">
        <v>671</v>
      </c>
      <c r="I623" s="2" t="s">
        <v>19</v>
      </c>
      <c r="J623" s="2" t="s">
        <v>21</v>
      </c>
      <c r="K623" s="2" t="s">
        <v>19</v>
      </c>
      <c r="L623" s="2" t="s">
        <v>19</v>
      </c>
    </row>
    <row r="624" customFormat="false" ht="15" hidden="false" customHeight="false" outlineLevel="0" collapsed="false">
      <c r="A624" s="2" t="s">
        <v>244</v>
      </c>
      <c r="B624" s="14" t="s">
        <v>243</v>
      </c>
      <c r="C624" s="14" t="s">
        <v>102</v>
      </c>
      <c r="D624" s="14" t="s">
        <v>3835</v>
      </c>
      <c r="E624" s="14" t="s">
        <v>99</v>
      </c>
      <c r="F624" s="2" t="s">
        <v>125</v>
      </c>
      <c r="G624" s="2" t="s">
        <v>3218</v>
      </c>
      <c r="H624" s="39" t="s">
        <v>671</v>
      </c>
      <c r="I624" s="2" t="s">
        <v>21</v>
      </c>
      <c r="J624" s="2" t="s">
        <v>21</v>
      </c>
      <c r="K624" s="2" t="s">
        <v>21</v>
      </c>
      <c r="L624" s="2" t="s">
        <v>21</v>
      </c>
    </row>
    <row r="625" customFormat="false" ht="15" hidden="false" customHeight="false" outlineLevel="0" collapsed="false">
      <c r="A625" s="2" t="s">
        <v>3067</v>
      </c>
      <c r="B625" s="13" t="s">
        <v>3836</v>
      </c>
      <c r="C625" s="13" t="s">
        <v>138</v>
      </c>
      <c r="D625" s="13" t="s">
        <v>3837</v>
      </c>
      <c r="E625" s="13" t="s">
        <v>73</v>
      </c>
      <c r="F625" s="2" t="s">
        <v>175</v>
      </c>
      <c r="G625" s="2" t="s">
        <v>3199</v>
      </c>
      <c r="H625" s="34" t="s">
        <v>668</v>
      </c>
      <c r="I625" s="2" t="s">
        <v>19</v>
      </c>
      <c r="J625" s="2" t="s">
        <v>19</v>
      </c>
      <c r="K625" s="2" t="s">
        <v>19</v>
      </c>
      <c r="L625" s="2" t="s">
        <v>19</v>
      </c>
    </row>
    <row r="626" customFormat="false" ht="15" hidden="false" customHeight="false" outlineLevel="0" collapsed="false">
      <c r="A626" s="2" t="s">
        <v>137</v>
      </c>
      <c r="B626" s="13" t="s">
        <v>136</v>
      </c>
      <c r="C626" s="13" t="s">
        <v>138</v>
      </c>
      <c r="D626" s="13" t="s">
        <v>3838</v>
      </c>
      <c r="E626" s="13" t="s">
        <v>118</v>
      </c>
      <c r="F626" s="2" t="s">
        <v>125</v>
      </c>
      <c r="G626" s="2" t="s">
        <v>3218</v>
      </c>
      <c r="H626" s="39" t="s">
        <v>671</v>
      </c>
      <c r="I626" s="2" t="s">
        <v>19</v>
      </c>
      <c r="J626" s="2" t="s">
        <v>19</v>
      </c>
      <c r="K626" s="2" t="s">
        <v>19</v>
      </c>
      <c r="L626" s="2" t="s">
        <v>19</v>
      </c>
    </row>
    <row r="627" customFormat="false" ht="15" hidden="false" customHeight="false" outlineLevel="0" collapsed="false">
      <c r="A627" s="2" t="s">
        <v>117</v>
      </c>
      <c r="B627" s="14" t="s">
        <v>116</v>
      </c>
      <c r="C627" s="14" t="s">
        <v>77</v>
      </c>
      <c r="D627" s="14" t="s">
        <v>3839</v>
      </c>
      <c r="E627" s="14" t="s">
        <v>118</v>
      </c>
      <c r="F627" s="2" t="s">
        <v>45</v>
      </c>
      <c r="G627" s="2" t="s">
        <v>3208</v>
      </c>
      <c r="H627" s="39" t="s">
        <v>671</v>
      </c>
      <c r="I627" s="2" t="s">
        <v>21</v>
      </c>
      <c r="J627" s="2" t="s">
        <v>21</v>
      </c>
      <c r="K627" s="2" t="s">
        <v>21</v>
      </c>
      <c r="L627" s="2" t="s">
        <v>21</v>
      </c>
    </row>
    <row r="628" customFormat="false" ht="15" hidden="false" customHeight="false" outlineLevel="0" collapsed="false">
      <c r="A628" s="2" t="s">
        <v>2492</v>
      </c>
      <c r="B628" s="14" t="s">
        <v>2491</v>
      </c>
      <c r="C628" s="13" t="s">
        <v>133</v>
      </c>
      <c r="D628" s="13" t="s">
        <v>3840</v>
      </c>
      <c r="E628" s="13" t="s">
        <v>93</v>
      </c>
      <c r="F628" s="2" t="s">
        <v>129</v>
      </c>
      <c r="G628" s="2" t="s">
        <v>3193</v>
      </c>
      <c r="H628" s="34" t="s">
        <v>668</v>
      </c>
      <c r="I628" s="2" t="s">
        <v>21</v>
      </c>
      <c r="J628" s="2" t="s">
        <v>19</v>
      </c>
      <c r="K628" s="2" t="s">
        <v>19</v>
      </c>
      <c r="L628" s="2" t="s">
        <v>19</v>
      </c>
    </row>
    <row r="629" customFormat="false" ht="15" hidden="false" customHeight="false" outlineLevel="0" collapsed="false">
      <c r="A629" s="2" t="s">
        <v>306</v>
      </c>
      <c r="B629" s="13" t="s">
        <v>305</v>
      </c>
      <c r="C629" s="13" t="s">
        <v>87</v>
      </c>
      <c r="D629" s="13" t="s">
        <v>3841</v>
      </c>
      <c r="E629" s="13" t="s">
        <v>93</v>
      </c>
      <c r="F629" s="2" t="s">
        <v>129</v>
      </c>
      <c r="G629" s="2" t="s">
        <v>3215</v>
      </c>
      <c r="H629" s="39" t="s">
        <v>671</v>
      </c>
      <c r="I629" s="2" t="s">
        <v>19</v>
      </c>
      <c r="J629" s="2" t="s">
        <v>19</v>
      </c>
      <c r="K629" s="2" t="s">
        <v>19</v>
      </c>
      <c r="L629" s="2" t="s">
        <v>19</v>
      </c>
    </row>
    <row r="630" customFormat="false" ht="15" hidden="false" customHeight="false" outlineLevel="0" collapsed="false">
      <c r="A630" s="2" t="s">
        <v>1324</v>
      </c>
      <c r="B630" s="13" t="s">
        <v>1323</v>
      </c>
      <c r="C630" s="13" t="s">
        <v>102</v>
      </c>
      <c r="D630" s="13" t="s">
        <v>3842</v>
      </c>
      <c r="E630" s="13" t="s">
        <v>115</v>
      </c>
      <c r="F630" s="2" t="s">
        <v>129</v>
      </c>
      <c r="G630" s="2" t="s">
        <v>3195</v>
      </c>
      <c r="H630" s="34" t="s">
        <v>668</v>
      </c>
      <c r="I630" s="2" t="s">
        <v>19</v>
      </c>
      <c r="J630" s="2" t="s">
        <v>19</v>
      </c>
      <c r="K630" s="2" t="s">
        <v>19</v>
      </c>
      <c r="L630" s="2" t="s">
        <v>19</v>
      </c>
    </row>
    <row r="631" customFormat="false" ht="15" hidden="false" customHeight="false" outlineLevel="0" collapsed="false">
      <c r="A631" s="2" t="s">
        <v>3069</v>
      </c>
      <c r="B631" s="14" t="s">
        <v>3843</v>
      </c>
      <c r="C631" s="14" t="s">
        <v>81</v>
      </c>
      <c r="D631" s="14" t="s">
        <v>3844</v>
      </c>
      <c r="E631" s="14" t="s">
        <v>111</v>
      </c>
      <c r="F631" s="2" t="s">
        <v>45</v>
      </c>
      <c r="G631" s="2" t="s">
        <v>3202</v>
      </c>
      <c r="H631" s="34" t="s">
        <v>668</v>
      </c>
      <c r="I631" s="2" t="s">
        <v>21</v>
      </c>
      <c r="J631" s="2" t="s">
        <v>21</v>
      </c>
      <c r="K631" s="2" t="s">
        <v>21</v>
      </c>
      <c r="L631" s="2" t="s">
        <v>21</v>
      </c>
    </row>
    <row r="632" customFormat="false" ht="15" hidden="false" customHeight="false" outlineLevel="0" collapsed="false">
      <c r="A632" s="2" t="s">
        <v>3071</v>
      </c>
      <c r="B632" s="16"/>
      <c r="C632" s="16"/>
      <c r="D632" s="16"/>
      <c r="E632" s="16"/>
      <c r="F632" s="2" t="s">
        <v>46</v>
      </c>
      <c r="G632" s="2" t="s">
        <v>3202</v>
      </c>
      <c r="H632" s="34" t="s">
        <v>668</v>
      </c>
      <c r="I632" s="2"/>
      <c r="J632" s="2"/>
      <c r="K632" s="2"/>
      <c r="L632" s="2"/>
    </row>
    <row r="633" customFormat="false" ht="15" hidden="false" customHeight="false" outlineLevel="0" collapsed="false">
      <c r="A633" s="2" t="s">
        <v>408</v>
      </c>
      <c r="B633" s="13" t="s">
        <v>407</v>
      </c>
      <c r="C633" s="13" t="s">
        <v>72</v>
      </c>
      <c r="D633" s="13" t="s">
        <v>3845</v>
      </c>
      <c r="E633" s="13" t="s">
        <v>170</v>
      </c>
      <c r="F633" s="2" t="s">
        <v>157</v>
      </c>
      <c r="G633" s="2" t="s">
        <v>3218</v>
      </c>
      <c r="H633" s="39" t="s">
        <v>671</v>
      </c>
      <c r="I633" s="2" t="s">
        <v>19</v>
      </c>
      <c r="J633" s="2" t="s">
        <v>19</v>
      </c>
      <c r="K633" s="2" t="s">
        <v>19</v>
      </c>
      <c r="L633" s="2" t="s">
        <v>19</v>
      </c>
    </row>
    <row r="634" customFormat="false" ht="15" hidden="false" customHeight="false" outlineLevel="0" collapsed="false">
      <c r="A634" s="2" t="s">
        <v>883</v>
      </c>
      <c r="B634" s="14" t="s">
        <v>882</v>
      </c>
      <c r="C634" s="14" t="s">
        <v>87</v>
      </c>
      <c r="D634" s="14" t="s">
        <v>3846</v>
      </c>
      <c r="E634" s="14" t="s">
        <v>108</v>
      </c>
      <c r="F634" s="2" t="s">
        <v>129</v>
      </c>
      <c r="G634" s="2" t="s">
        <v>3195</v>
      </c>
      <c r="H634" s="34" t="s">
        <v>668</v>
      </c>
      <c r="I634" s="2" t="s">
        <v>21</v>
      </c>
      <c r="J634" s="2" t="s">
        <v>21</v>
      </c>
      <c r="K634" s="2" t="s">
        <v>21</v>
      </c>
      <c r="L634" s="2" t="s">
        <v>21</v>
      </c>
    </row>
    <row r="635" customFormat="false" ht="15" hidden="false" customHeight="false" outlineLevel="0" collapsed="false">
      <c r="A635" s="2" t="s">
        <v>1223</v>
      </c>
      <c r="B635" s="13" t="s">
        <v>1222</v>
      </c>
      <c r="C635" s="13" t="s">
        <v>72</v>
      </c>
      <c r="D635" s="13" t="s">
        <v>3847</v>
      </c>
      <c r="E635" s="13" t="s">
        <v>118</v>
      </c>
      <c r="F635" s="2" t="s">
        <v>129</v>
      </c>
      <c r="G635" s="2" t="s">
        <v>3195</v>
      </c>
      <c r="H635" s="34" t="s">
        <v>668</v>
      </c>
      <c r="I635" s="2" t="s">
        <v>19</v>
      </c>
      <c r="J635" s="2" t="s">
        <v>19</v>
      </c>
      <c r="K635" s="2" t="s">
        <v>19</v>
      </c>
      <c r="L635" s="2" t="s">
        <v>19</v>
      </c>
    </row>
    <row r="636" customFormat="false" ht="15" hidden="false" customHeight="false" outlineLevel="0" collapsed="false">
      <c r="A636" s="2" t="s">
        <v>590</v>
      </c>
      <c r="B636" s="13" t="s">
        <v>589</v>
      </c>
      <c r="C636" s="13" t="s">
        <v>105</v>
      </c>
      <c r="D636" s="13" t="s">
        <v>3848</v>
      </c>
      <c r="E636" s="13" t="s">
        <v>115</v>
      </c>
      <c r="F636" s="2" t="s">
        <v>125</v>
      </c>
      <c r="G636" s="2" t="s">
        <v>3218</v>
      </c>
      <c r="H636" s="39" t="s">
        <v>671</v>
      </c>
      <c r="I636" s="2" t="s">
        <v>19</v>
      </c>
      <c r="J636" s="2" t="s">
        <v>19</v>
      </c>
      <c r="K636" s="2" t="s">
        <v>19</v>
      </c>
      <c r="L636" s="2" t="s">
        <v>19</v>
      </c>
    </row>
    <row r="637" customFormat="false" ht="15" hidden="false" customHeight="false" outlineLevel="0" collapsed="false">
      <c r="A637" s="2" t="s">
        <v>1317</v>
      </c>
      <c r="B637" s="14" t="s">
        <v>1316</v>
      </c>
      <c r="C637" s="14" t="s">
        <v>77</v>
      </c>
      <c r="D637" s="14" t="s">
        <v>3849</v>
      </c>
      <c r="E637" s="14" t="s">
        <v>118</v>
      </c>
      <c r="F637" s="2" t="s">
        <v>129</v>
      </c>
      <c r="G637" s="2" t="s">
        <v>3195</v>
      </c>
      <c r="H637" s="34" t="s">
        <v>668</v>
      </c>
      <c r="I637" s="2" t="s">
        <v>21</v>
      </c>
      <c r="J637" s="2" t="s">
        <v>21</v>
      </c>
      <c r="K637" s="2" t="s">
        <v>21</v>
      </c>
      <c r="L637" s="2" t="s">
        <v>21</v>
      </c>
    </row>
    <row r="638" customFormat="false" ht="15" hidden="false" customHeight="false" outlineLevel="0" collapsed="false">
      <c r="A638" s="2" t="s">
        <v>1932</v>
      </c>
      <c r="B638" s="13" t="s">
        <v>1931</v>
      </c>
      <c r="C638" s="13" t="s">
        <v>105</v>
      </c>
      <c r="D638" s="13" t="s">
        <v>3850</v>
      </c>
      <c r="E638" s="13" t="s">
        <v>93</v>
      </c>
      <c r="F638" s="2" t="s">
        <v>129</v>
      </c>
      <c r="G638" s="2" t="s">
        <v>3195</v>
      </c>
      <c r="H638" s="34" t="s">
        <v>668</v>
      </c>
      <c r="I638" s="2" t="s">
        <v>19</v>
      </c>
      <c r="J638" s="2" t="s">
        <v>19</v>
      </c>
      <c r="K638" s="2" t="s">
        <v>19</v>
      </c>
      <c r="L638" s="2" t="s">
        <v>19</v>
      </c>
    </row>
    <row r="639" customFormat="false" ht="15" hidden="false" customHeight="false" outlineLevel="0" collapsed="false">
      <c r="A639" s="2" t="s">
        <v>3075</v>
      </c>
      <c r="B639" s="14" t="s">
        <v>3851</v>
      </c>
      <c r="C639" s="14" t="s">
        <v>114</v>
      </c>
      <c r="D639" s="14" t="s">
        <v>3852</v>
      </c>
      <c r="E639" s="15" t="s">
        <v>96</v>
      </c>
      <c r="F639" s="2" t="s">
        <v>46</v>
      </c>
      <c r="G639" s="2" t="s">
        <v>3202</v>
      </c>
      <c r="H639" s="34" t="s">
        <v>668</v>
      </c>
      <c r="I639" s="2" t="s">
        <v>21</v>
      </c>
      <c r="J639" s="2" t="s">
        <v>21</v>
      </c>
      <c r="K639" s="2" t="s">
        <v>21</v>
      </c>
      <c r="L639" s="2" t="s">
        <v>17</v>
      </c>
    </row>
    <row r="640" customFormat="false" ht="15" hidden="false" customHeight="false" outlineLevel="0" collapsed="false">
      <c r="A640" s="2" t="s">
        <v>1625</v>
      </c>
      <c r="B640" s="13" t="s">
        <v>1624</v>
      </c>
      <c r="C640" s="13" t="s">
        <v>72</v>
      </c>
      <c r="D640" s="13" t="s">
        <v>3853</v>
      </c>
      <c r="E640" s="13" t="s">
        <v>99</v>
      </c>
      <c r="F640" s="2" t="s">
        <v>129</v>
      </c>
      <c r="G640" s="2" t="s">
        <v>3195</v>
      </c>
      <c r="H640" s="34" t="s">
        <v>668</v>
      </c>
      <c r="I640" s="2" t="s">
        <v>19</v>
      </c>
      <c r="J640" s="2" t="s">
        <v>19</v>
      </c>
      <c r="K640" s="2" t="s">
        <v>19</v>
      </c>
      <c r="L640" s="2" t="s">
        <v>19</v>
      </c>
    </row>
    <row r="641" customFormat="false" ht="15" hidden="false" customHeight="false" outlineLevel="0" collapsed="false">
      <c r="A641" s="2" t="s">
        <v>302</v>
      </c>
      <c r="B641" s="13" t="s">
        <v>301</v>
      </c>
      <c r="C641" s="13" t="s">
        <v>138</v>
      </c>
      <c r="D641" s="13" t="s">
        <v>3854</v>
      </c>
      <c r="E641" s="13" t="s">
        <v>170</v>
      </c>
      <c r="F641" s="2" t="s">
        <v>129</v>
      </c>
      <c r="G641" s="2" t="s">
        <v>3215</v>
      </c>
      <c r="H641" s="39" t="s">
        <v>671</v>
      </c>
      <c r="I641" s="2" t="s">
        <v>19</v>
      </c>
      <c r="J641" s="2" t="s">
        <v>19</v>
      </c>
      <c r="K641" s="2" t="s">
        <v>19</v>
      </c>
      <c r="L641" s="2" t="s">
        <v>19</v>
      </c>
    </row>
    <row r="642" customFormat="false" ht="15" hidden="false" customHeight="false" outlineLevel="0" collapsed="false">
      <c r="A642" s="2" t="s">
        <v>122</v>
      </c>
      <c r="B642" s="13" t="s">
        <v>121</v>
      </c>
      <c r="C642" s="13" t="s">
        <v>72</v>
      </c>
      <c r="D642" s="13" t="s">
        <v>3855</v>
      </c>
      <c r="E642" s="13" t="s">
        <v>99</v>
      </c>
      <c r="F642" s="2" t="s">
        <v>47</v>
      </c>
      <c r="G642" s="2" t="s">
        <v>3208</v>
      </c>
      <c r="H642" s="39" t="s">
        <v>671</v>
      </c>
      <c r="I642" s="2" t="s">
        <v>19</v>
      </c>
      <c r="J642" s="2" t="s">
        <v>19</v>
      </c>
      <c r="K642" s="2" t="s">
        <v>19</v>
      </c>
      <c r="L642" s="2" t="s">
        <v>19</v>
      </c>
    </row>
    <row r="643" customFormat="false" ht="15" hidden="false" customHeight="false" outlineLevel="0" collapsed="false">
      <c r="A643" s="2" t="s">
        <v>496</v>
      </c>
      <c r="B643" s="13" t="s">
        <v>495</v>
      </c>
      <c r="C643" s="13" t="s">
        <v>92</v>
      </c>
      <c r="D643" s="13" t="s">
        <v>3856</v>
      </c>
      <c r="E643" s="13" t="s">
        <v>115</v>
      </c>
      <c r="F643" s="2" t="s">
        <v>157</v>
      </c>
      <c r="G643" s="2" t="s">
        <v>3218</v>
      </c>
      <c r="H643" s="39" t="s">
        <v>671</v>
      </c>
      <c r="I643" s="2" t="s">
        <v>19</v>
      </c>
      <c r="J643" s="2" t="s">
        <v>19</v>
      </c>
      <c r="K643" s="2" t="s">
        <v>19</v>
      </c>
      <c r="L643" s="2" t="s">
        <v>19</v>
      </c>
    </row>
    <row r="644" customFormat="false" ht="15" hidden="false" customHeight="false" outlineLevel="0" collapsed="false">
      <c r="A644" s="2" t="s">
        <v>2279</v>
      </c>
      <c r="B644" s="13" t="s">
        <v>2278</v>
      </c>
      <c r="C644" s="13" t="s">
        <v>92</v>
      </c>
      <c r="D644" s="13" t="s">
        <v>3857</v>
      </c>
      <c r="E644" s="14" t="s">
        <v>108</v>
      </c>
      <c r="F644" s="2" t="s">
        <v>129</v>
      </c>
      <c r="G644" s="2" t="s">
        <v>3193</v>
      </c>
      <c r="H644" s="34" t="s">
        <v>668</v>
      </c>
      <c r="I644" s="2" t="s">
        <v>19</v>
      </c>
      <c r="J644" s="2" t="s">
        <v>19</v>
      </c>
      <c r="K644" s="2" t="s">
        <v>19</v>
      </c>
      <c r="L644" s="2" t="s">
        <v>21</v>
      </c>
    </row>
    <row r="645" customFormat="false" ht="15" hidden="false" customHeight="false" outlineLevel="0" collapsed="false">
      <c r="A645" s="2" t="s">
        <v>2605</v>
      </c>
      <c r="B645" s="14" t="s">
        <v>2604</v>
      </c>
      <c r="C645" s="13" t="s">
        <v>72</v>
      </c>
      <c r="D645" s="16"/>
      <c r="E645" s="13" t="s">
        <v>93</v>
      </c>
      <c r="F645" s="2" t="s">
        <v>129</v>
      </c>
      <c r="G645" s="2" t="s">
        <v>3193</v>
      </c>
      <c r="H645" s="34" t="s">
        <v>668</v>
      </c>
      <c r="I645" s="2" t="s">
        <v>21</v>
      </c>
      <c r="J645" s="2" t="s">
        <v>19</v>
      </c>
      <c r="K645" s="2"/>
      <c r="L645" s="2" t="s">
        <v>19</v>
      </c>
    </row>
    <row r="646" customFormat="false" ht="15" hidden="false" customHeight="false" outlineLevel="0" collapsed="false">
      <c r="A646" s="2" t="s">
        <v>554</v>
      </c>
      <c r="B646" s="13" t="s">
        <v>553</v>
      </c>
      <c r="C646" s="13" t="s">
        <v>87</v>
      </c>
      <c r="D646" s="13" t="s">
        <v>3858</v>
      </c>
      <c r="E646" s="13" t="s">
        <v>93</v>
      </c>
      <c r="F646" s="2" t="s">
        <v>175</v>
      </c>
      <c r="G646" s="2" t="s">
        <v>3218</v>
      </c>
      <c r="H646" s="39" t="s">
        <v>671</v>
      </c>
      <c r="I646" s="2" t="s">
        <v>19</v>
      </c>
      <c r="J646" s="2" t="s">
        <v>19</v>
      </c>
      <c r="K646" s="2" t="s">
        <v>19</v>
      </c>
      <c r="L646" s="2" t="s">
        <v>19</v>
      </c>
    </row>
    <row r="647" customFormat="false" ht="15" hidden="false" customHeight="false" outlineLevel="0" collapsed="false">
      <c r="A647" s="2" t="s">
        <v>460</v>
      </c>
      <c r="B647" s="13" t="s">
        <v>459</v>
      </c>
      <c r="C647" s="13" t="s">
        <v>72</v>
      </c>
      <c r="D647" s="14" t="s">
        <v>3859</v>
      </c>
      <c r="E647" s="13" t="s">
        <v>111</v>
      </c>
      <c r="F647" s="2" t="s">
        <v>129</v>
      </c>
      <c r="G647" s="2" t="s">
        <v>3215</v>
      </c>
      <c r="H647" s="39" t="s">
        <v>671</v>
      </c>
      <c r="I647" s="2" t="s">
        <v>19</v>
      </c>
      <c r="J647" s="2" t="s">
        <v>19</v>
      </c>
      <c r="K647" s="2" t="s">
        <v>21</v>
      </c>
      <c r="L647" s="2" t="s">
        <v>19</v>
      </c>
    </row>
    <row r="648" customFormat="false" ht="15" hidden="false" customHeight="false" outlineLevel="0" collapsed="false">
      <c r="A648" s="2" t="s">
        <v>560</v>
      </c>
      <c r="B648" s="13" t="s">
        <v>559</v>
      </c>
      <c r="C648" s="13" t="s">
        <v>81</v>
      </c>
      <c r="D648" s="13" t="s">
        <v>3860</v>
      </c>
      <c r="E648" s="13" t="s">
        <v>111</v>
      </c>
      <c r="F648" s="2" t="s">
        <v>46</v>
      </c>
      <c r="G648" s="2" t="s">
        <v>3208</v>
      </c>
      <c r="H648" s="39" t="s">
        <v>671</v>
      </c>
      <c r="I648" s="2" t="s">
        <v>19</v>
      </c>
      <c r="J648" s="2" t="s">
        <v>19</v>
      </c>
      <c r="K648" s="2" t="s">
        <v>19</v>
      </c>
      <c r="L648" s="2" t="s">
        <v>19</v>
      </c>
    </row>
    <row r="649" customFormat="false" ht="15" hidden="false" customHeight="false" outlineLevel="0" collapsed="false">
      <c r="A649" s="2" t="s">
        <v>2597</v>
      </c>
      <c r="B649" s="13" t="s">
        <v>2596</v>
      </c>
      <c r="C649" s="13" t="s">
        <v>77</v>
      </c>
      <c r="D649" s="13" t="s">
        <v>3861</v>
      </c>
      <c r="E649" s="13" t="s">
        <v>111</v>
      </c>
      <c r="F649" s="2" t="s">
        <v>157</v>
      </c>
      <c r="G649" s="2" t="s">
        <v>3205</v>
      </c>
      <c r="H649" s="34" t="s">
        <v>668</v>
      </c>
      <c r="I649" s="2" t="s">
        <v>19</v>
      </c>
      <c r="J649" s="2" t="s">
        <v>19</v>
      </c>
      <c r="K649" s="2" t="s">
        <v>19</v>
      </c>
      <c r="L649" s="2" t="s">
        <v>19</v>
      </c>
    </row>
    <row r="650" customFormat="false" ht="15" hidden="false" customHeight="false" outlineLevel="0" collapsed="false">
      <c r="A650" s="2" t="s">
        <v>310</v>
      </c>
      <c r="B650" s="13" t="s">
        <v>309</v>
      </c>
      <c r="C650" s="13" t="s">
        <v>102</v>
      </c>
      <c r="D650" s="13" t="s">
        <v>3862</v>
      </c>
      <c r="E650" s="13" t="s">
        <v>115</v>
      </c>
      <c r="F650" s="2" t="s">
        <v>129</v>
      </c>
      <c r="G650" s="2" t="s">
        <v>3215</v>
      </c>
      <c r="H650" s="39" t="s">
        <v>671</v>
      </c>
      <c r="I650" s="2" t="s">
        <v>19</v>
      </c>
      <c r="J650" s="2" t="s">
        <v>19</v>
      </c>
      <c r="K650" s="2" t="s">
        <v>19</v>
      </c>
      <c r="L650" s="2" t="s">
        <v>19</v>
      </c>
    </row>
    <row r="651" customFormat="false" ht="15" hidden="false" customHeight="false" outlineLevel="0" collapsed="false">
      <c r="A651" s="2" t="s">
        <v>220</v>
      </c>
      <c r="B651" s="13" t="s">
        <v>219</v>
      </c>
      <c r="C651" s="13" t="s">
        <v>77</v>
      </c>
      <c r="D651" s="13" t="s">
        <v>3863</v>
      </c>
      <c r="E651" s="13" t="s">
        <v>108</v>
      </c>
      <c r="F651" s="2" t="s">
        <v>129</v>
      </c>
      <c r="G651" s="2" t="s">
        <v>3215</v>
      </c>
      <c r="H651" s="39" t="s">
        <v>671</v>
      </c>
      <c r="I651" s="2" t="s">
        <v>19</v>
      </c>
      <c r="J651" s="2" t="s">
        <v>19</v>
      </c>
      <c r="K651" s="2" t="s">
        <v>19</v>
      </c>
      <c r="L651" s="2" t="s">
        <v>19</v>
      </c>
    </row>
    <row r="652" customFormat="false" ht="15" hidden="false" customHeight="false" outlineLevel="0" collapsed="false">
      <c r="A652" s="2" t="s">
        <v>3078</v>
      </c>
      <c r="B652" s="16"/>
      <c r="C652" s="16"/>
      <c r="D652" s="16"/>
      <c r="E652" s="16"/>
      <c r="F652" s="2" t="s">
        <v>46</v>
      </c>
      <c r="G652" s="2" t="s">
        <v>3202</v>
      </c>
      <c r="H652" s="34" t="s">
        <v>668</v>
      </c>
      <c r="I652" s="2"/>
      <c r="J652" s="2"/>
      <c r="K652" s="2"/>
      <c r="L652" s="2"/>
    </row>
    <row r="653" customFormat="false" ht="15" hidden="false" customHeight="false" outlineLevel="0" collapsed="false">
      <c r="A653" s="2" t="s">
        <v>2488</v>
      </c>
      <c r="B653" s="13" t="s">
        <v>2487</v>
      </c>
      <c r="C653" s="13" t="s">
        <v>133</v>
      </c>
      <c r="D653" s="13" t="s">
        <v>3864</v>
      </c>
      <c r="E653" s="13" t="s">
        <v>118</v>
      </c>
      <c r="F653" s="2" t="s">
        <v>129</v>
      </c>
      <c r="G653" s="2" t="s">
        <v>3193</v>
      </c>
      <c r="H653" s="34" t="s">
        <v>668</v>
      </c>
      <c r="I653" s="2" t="s">
        <v>19</v>
      </c>
      <c r="J653" s="2" t="s">
        <v>19</v>
      </c>
      <c r="K653" s="2" t="s">
        <v>19</v>
      </c>
      <c r="L653" s="2" t="s">
        <v>19</v>
      </c>
    </row>
    <row r="654" customFormat="false" ht="15" hidden="false" customHeight="false" outlineLevel="0" collapsed="false">
      <c r="A654" s="2" t="s">
        <v>2301</v>
      </c>
      <c r="B654" s="13" t="s">
        <v>2300</v>
      </c>
      <c r="C654" s="13" t="s">
        <v>138</v>
      </c>
      <c r="D654" s="13" t="s">
        <v>3865</v>
      </c>
      <c r="E654" s="13" t="s">
        <v>73</v>
      </c>
      <c r="F654" s="2" t="s">
        <v>157</v>
      </c>
      <c r="G654" s="2" t="s">
        <v>3205</v>
      </c>
      <c r="H654" s="34" t="s">
        <v>668</v>
      </c>
      <c r="I654" s="2" t="s">
        <v>19</v>
      </c>
      <c r="J654" s="2" t="s">
        <v>19</v>
      </c>
      <c r="K654" s="2" t="s">
        <v>19</v>
      </c>
      <c r="L654" s="2" t="s">
        <v>19</v>
      </c>
    </row>
    <row r="655" customFormat="false" ht="15" hidden="false" customHeight="false" outlineLevel="0" collapsed="false">
      <c r="A655" s="2" t="s">
        <v>932</v>
      </c>
      <c r="B655" s="13" t="s">
        <v>931</v>
      </c>
      <c r="C655" s="13" t="s">
        <v>105</v>
      </c>
      <c r="D655" s="13" t="s">
        <v>3866</v>
      </c>
      <c r="E655" s="13" t="s">
        <v>111</v>
      </c>
      <c r="F655" s="2" t="s">
        <v>129</v>
      </c>
      <c r="G655" s="2" t="s">
        <v>3195</v>
      </c>
      <c r="H655" s="34" t="s">
        <v>668</v>
      </c>
      <c r="I655" s="2" t="s">
        <v>19</v>
      </c>
      <c r="J655" s="2" t="s">
        <v>19</v>
      </c>
      <c r="K655" s="2" t="s">
        <v>19</v>
      </c>
      <c r="L655" s="2" t="s">
        <v>19</v>
      </c>
    </row>
    <row r="656" customFormat="false" ht="15" hidden="false" customHeight="false" outlineLevel="0" collapsed="false">
      <c r="A656" s="2" t="s">
        <v>276</v>
      </c>
      <c r="B656" s="13" t="s">
        <v>275</v>
      </c>
      <c r="C656" s="13" t="s">
        <v>77</v>
      </c>
      <c r="D656" s="13" t="s">
        <v>3867</v>
      </c>
      <c r="E656" s="13" t="s">
        <v>82</v>
      </c>
      <c r="F656" s="2" t="s">
        <v>129</v>
      </c>
      <c r="G656" s="2" t="s">
        <v>3215</v>
      </c>
      <c r="H656" s="39" t="s">
        <v>671</v>
      </c>
      <c r="I656" s="2" t="s">
        <v>19</v>
      </c>
      <c r="J656" s="2" t="s">
        <v>19</v>
      </c>
      <c r="K656" s="2" t="s">
        <v>19</v>
      </c>
      <c r="L656" s="2" t="s">
        <v>19</v>
      </c>
    </row>
    <row r="657" customFormat="false" ht="15" hidden="false" customHeight="false" outlineLevel="0" collapsed="false">
      <c r="A657" s="2" t="s">
        <v>462</v>
      </c>
      <c r="B657" s="13" t="s">
        <v>461</v>
      </c>
      <c r="C657" s="13" t="s">
        <v>77</v>
      </c>
      <c r="D657" s="13" t="s">
        <v>3868</v>
      </c>
      <c r="E657" s="13" t="s">
        <v>111</v>
      </c>
      <c r="F657" s="2" t="s">
        <v>157</v>
      </c>
      <c r="G657" s="2" t="s">
        <v>3218</v>
      </c>
      <c r="H657" s="39" t="s">
        <v>671</v>
      </c>
      <c r="I657" s="2" t="s">
        <v>19</v>
      </c>
      <c r="J657" s="2" t="s">
        <v>19</v>
      </c>
      <c r="K657" s="2" t="s">
        <v>19</v>
      </c>
      <c r="L657" s="2" t="s">
        <v>19</v>
      </c>
    </row>
    <row r="658" customFormat="false" ht="15" hidden="false" customHeight="false" outlineLevel="0" collapsed="false">
      <c r="A658" s="2" t="s">
        <v>179</v>
      </c>
      <c r="B658" s="13" t="s">
        <v>178</v>
      </c>
      <c r="C658" s="13" t="s">
        <v>87</v>
      </c>
      <c r="D658" s="13" t="s">
        <v>3869</v>
      </c>
      <c r="E658" s="13" t="s">
        <v>96</v>
      </c>
      <c r="F658" s="2" t="s">
        <v>129</v>
      </c>
      <c r="G658" s="2" t="s">
        <v>3215</v>
      </c>
      <c r="H658" s="39" t="s">
        <v>671</v>
      </c>
      <c r="I658" s="2" t="s">
        <v>19</v>
      </c>
      <c r="J658" s="2" t="s">
        <v>19</v>
      </c>
      <c r="K658" s="2" t="s">
        <v>19</v>
      </c>
      <c r="L658" s="2" t="s">
        <v>19</v>
      </c>
    </row>
    <row r="659" customFormat="false" ht="15" hidden="false" customHeight="false" outlineLevel="0" collapsed="false">
      <c r="A659" s="2" t="s">
        <v>1584</v>
      </c>
      <c r="B659" s="13" t="s">
        <v>1583</v>
      </c>
      <c r="C659" s="13" t="s">
        <v>72</v>
      </c>
      <c r="D659" s="13" t="s">
        <v>3870</v>
      </c>
      <c r="E659" s="13" t="s">
        <v>82</v>
      </c>
      <c r="F659" s="2" t="s">
        <v>129</v>
      </c>
      <c r="G659" s="2" t="s">
        <v>3195</v>
      </c>
      <c r="H659" s="34" t="s">
        <v>668</v>
      </c>
      <c r="I659" s="2" t="s">
        <v>19</v>
      </c>
      <c r="J659" s="2" t="s">
        <v>19</v>
      </c>
      <c r="K659" s="2" t="s">
        <v>19</v>
      </c>
      <c r="L659" s="2" t="s">
        <v>19</v>
      </c>
    </row>
    <row r="660" customFormat="false" ht="15" hidden="false" customHeight="false" outlineLevel="0" collapsed="false">
      <c r="A660" s="2" t="s">
        <v>1512</v>
      </c>
      <c r="B660" s="13" t="s">
        <v>1511</v>
      </c>
      <c r="C660" s="13" t="s">
        <v>81</v>
      </c>
      <c r="D660" s="13" t="s">
        <v>3871</v>
      </c>
      <c r="E660" s="13" t="s">
        <v>115</v>
      </c>
      <c r="F660" s="2" t="s">
        <v>129</v>
      </c>
      <c r="G660" s="2" t="s">
        <v>3195</v>
      </c>
      <c r="H660" s="34" t="s">
        <v>668</v>
      </c>
      <c r="I660" s="2" t="s">
        <v>19</v>
      </c>
      <c r="J660" s="2" t="s">
        <v>19</v>
      </c>
      <c r="K660" s="2" t="s">
        <v>19</v>
      </c>
      <c r="L660" s="2" t="s">
        <v>19</v>
      </c>
    </row>
    <row r="661" customFormat="false" ht="15" hidden="false" customHeight="false" outlineLevel="0" collapsed="false">
      <c r="A661" s="2" t="s">
        <v>1416</v>
      </c>
      <c r="B661" s="14" t="s">
        <v>1415</v>
      </c>
      <c r="C661" s="14" t="s">
        <v>77</v>
      </c>
      <c r="D661" s="14" t="s">
        <v>3872</v>
      </c>
      <c r="E661" s="14" t="s">
        <v>118</v>
      </c>
      <c r="F661" s="2" t="s">
        <v>125</v>
      </c>
      <c r="G661" s="2" t="s">
        <v>3205</v>
      </c>
      <c r="H661" s="34" t="s">
        <v>668</v>
      </c>
      <c r="I661" s="2" t="s">
        <v>21</v>
      </c>
      <c r="J661" s="2" t="s">
        <v>21</v>
      </c>
      <c r="K661" s="2" t="s">
        <v>21</v>
      </c>
      <c r="L661" s="2" t="s">
        <v>21</v>
      </c>
    </row>
    <row r="662" customFormat="false" ht="15" hidden="false" customHeight="false" outlineLevel="0" collapsed="false">
      <c r="A662" s="2" t="s">
        <v>3083</v>
      </c>
      <c r="B662" s="13" t="s">
        <v>3873</v>
      </c>
      <c r="C662" s="13" t="s">
        <v>102</v>
      </c>
      <c r="D662" s="13" t="s">
        <v>3874</v>
      </c>
      <c r="E662" s="13" t="s">
        <v>99</v>
      </c>
      <c r="F662" s="2" t="s">
        <v>45</v>
      </c>
      <c r="G662" s="2" t="s">
        <v>3202</v>
      </c>
      <c r="H662" s="34" t="s">
        <v>668</v>
      </c>
      <c r="I662" s="2" t="s">
        <v>19</v>
      </c>
      <c r="J662" s="2" t="s">
        <v>19</v>
      </c>
      <c r="K662" s="2" t="s">
        <v>19</v>
      </c>
      <c r="L662" s="2" t="s">
        <v>19</v>
      </c>
    </row>
    <row r="663" customFormat="false" ht="15" hidden="false" customHeight="false" outlineLevel="0" collapsed="false">
      <c r="A663" s="2" t="s">
        <v>402</v>
      </c>
      <c r="B663" s="13" t="s">
        <v>401</v>
      </c>
      <c r="C663" s="13" t="s">
        <v>138</v>
      </c>
      <c r="D663" s="13" t="s">
        <v>3875</v>
      </c>
      <c r="E663" s="13" t="s">
        <v>170</v>
      </c>
      <c r="F663" s="2" t="s">
        <v>45</v>
      </c>
      <c r="G663" s="2" t="s">
        <v>3208</v>
      </c>
      <c r="H663" s="39" t="s">
        <v>671</v>
      </c>
      <c r="I663" s="2" t="s">
        <v>19</v>
      </c>
      <c r="J663" s="2" t="s">
        <v>19</v>
      </c>
      <c r="K663" s="2" t="s">
        <v>19</v>
      </c>
      <c r="L663" s="2" t="s">
        <v>19</v>
      </c>
    </row>
    <row r="664" customFormat="false" ht="15" hidden="false" customHeight="false" outlineLevel="0" collapsed="false">
      <c r="A664" s="2" t="s">
        <v>2484</v>
      </c>
      <c r="B664" s="13" t="s">
        <v>2483</v>
      </c>
      <c r="C664" s="13" t="s">
        <v>102</v>
      </c>
      <c r="D664" s="13" t="s">
        <v>3876</v>
      </c>
      <c r="E664" s="13" t="s">
        <v>111</v>
      </c>
      <c r="F664" s="2" t="s">
        <v>175</v>
      </c>
      <c r="G664" s="2" t="s">
        <v>3205</v>
      </c>
      <c r="H664" s="34" t="s">
        <v>668</v>
      </c>
      <c r="I664" s="2" t="s">
        <v>19</v>
      </c>
      <c r="J664" s="2" t="s">
        <v>19</v>
      </c>
      <c r="K664" s="2" t="s">
        <v>19</v>
      </c>
      <c r="L664" s="2" t="s">
        <v>19</v>
      </c>
    </row>
    <row r="665" customFormat="false" ht="15" hidden="false" customHeight="false" outlineLevel="0" collapsed="false">
      <c r="A665" s="2" t="s">
        <v>606</v>
      </c>
      <c r="B665" s="13" t="s">
        <v>605</v>
      </c>
      <c r="C665" s="13" t="s">
        <v>87</v>
      </c>
      <c r="D665" s="13" t="s">
        <v>3877</v>
      </c>
      <c r="E665" s="13" t="s">
        <v>170</v>
      </c>
      <c r="F665" s="2" t="s">
        <v>129</v>
      </c>
      <c r="G665" s="2" t="s">
        <v>3215</v>
      </c>
      <c r="H665" s="39" t="s">
        <v>671</v>
      </c>
      <c r="I665" s="2" t="s">
        <v>19</v>
      </c>
      <c r="J665" s="2" t="s">
        <v>19</v>
      </c>
      <c r="K665" s="2" t="s">
        <v>19</v>
      </c>
      <c r="L665" s="2" t="s">
        <v>19</v>
      </c>
    </row>
    <row r="666" customFormat="false" ht="15" hidden="false" customHeight="false" outlineLevel="0" collapsed="false">
      <c r="A666" s="2" t="s">
        <v>1338</v>
      </c>
      <c r="B666" s="13" t="s">
        <v>1337</v>
      </c>
      <c r="C666" s="13" t="s">
        <v>77</v>
      </c>
      <c r="D666" s="13" t="s">
        <v>3878</v>
      </c>
      <c r="E666" s="13" t="s">
        <v>170</v>
      </c>
      <c r="F666" s="2" t="s">
        <v>129</v>
      </c>
      <c r="G666" s="2" t="s">
        <v>3195</v>
      </c>
      <c r="H666" s="34" t="s">
        <v>668</v>
      </c>
      <c r="I666" s="2" t="s">
        <v>19</v>
      </c>
      <c r="J666" s="2" t="s">
        <v>19</v>
      </c>
      <c r="K666" s="2" t="s">
        <v>19</v>
      </c>
      <c r="L666" s="2" t="s">
        <v>19</v>
      </c>
    </row>
    <row r="667" customFormat="false" ht="15" hidden="false" customHeight="false" outlineLevel="0" collapsed="false">
      <c r="A667" s="2" t="s">
        <v>1388</v>
      </c>
      <c r="B667" s="13" t="s">
        <v>1387</v>
      </c>
      <c r="C667" s="13" t="s">
        <v>133</v>
      </c>
      <c r="D667" s="13" t="s">
        <v>3879</v>
      </c>
      <c r="E667" s="13" t="s">
        <v>93</v>
      </c>
      <c r="F667" s="2" t="s">
        <v>129</v>
      </c>
      <c r="G667" s="2" t="s">
        <v>3195</v>
      </c>
      <c r="H667" s="34" t="s">
        <v>668</v>
      </c>
      <c r="I667" s="2" t="s">
        <v>19</v>
      </c>
      <c r="J667" s="2" t="s">
        <v>19</v>
      </c>
      <c r="K667" s="2" t="s">
        <v>19</v>
      </c>
      <c r="L667" s="2" t="s">
        <v>19</v>
      </c>
    </row>
    <row r="668" customFormat="false" ht="15" hidden="false" customHeight="false" outlineLevel="0" collapsed="false">
      <c r="A668" s="2" t="s">
        <v>780</v>
      </c>
      <c r="B668" s="13" t="s">
        <v>779</v>
      </c>
      <c r="C668" s="13" t="s">
        <v>133</v>
      </c>
      <c r="D668" s="13" t="s">
        <v>3880</v>
      </c>
      <c r="E668" s="13" t="s">
        <v>96</v>
      </c>
      <c r="F668" s="2" t="s">
        <v>129</v>
      </c>
      <c r="G668" s="2" t="s">
        <v>3195</v>
      </c>
      <c r="H668" s="34" t="s">
        <v>668</v>
      </c>
      <c r="I668" s="2" t="s">
        <v>19</v>
      </c>
      <c r="J668" s="2" t="s">
        <v>19</v>
      </c>
      <c r="K668" s="2" t="s">
        <v>19</v>
      </c>
      <c r="L668" s="2" t="s">
        <v>19</v>
      </c>
    </row>
    <row r="669" customFormat="false" ht="15" hidden="false" customHeight="false" outlineLevel="0" collapsed="false">
      <c r="A669" s="2" t="s">
        <v>1008</v>
      </c>
      <c r="B669" s="13" t="s">
        <v>1007</v>
      </c>
      <c r="C669" s="13" t="s">
        <v>92</v>
      </c>
      <c r="D669" s="13" t="s">
        <v>3881</v>
      </c>
      <c r="E669" s="13" t="s">
        <v>73</v>
      </c>
      <c r="F669" s="2" t="s">
        <v>157</v>
      </c>
      <c r="G669" s="2" t="s">
        <v>3205</v>
      </c>
      <c r="H669" s="34" t="s">
        <v>668</v>
      </c>
      <c r="I669" s="2" t="s">
        <v>19</v>
      </c>
      <c r="J669" s="2" t="s">
        <v>19</v>
      </c>
      <c r="K669" s="2" t="s">
        <v>19</v>
      </c>
      <c r="L669" s="2" t="s">
        <v>19</v>
      </c>
    </row>
    <row r="670" customFormat="false" ht="15" hidden="false" customHeight="false" outlineLevel="0" collapsed="false">
      <c r="A670" s="2" t="s">
        <v>1728</v>
      </c>
      <c r="B670" s="14" t="s">
        <v>1727</v>
      </c>
      <c r="C670" s="14" t="s">
        <v>92</v>
      </c>
      <c r="D670" s="14" t="s">
        <v>3882</v>
      </c>
      <c r="E670" s="14" t="s">
        <v>115</v>
      </c>
      <c r="F670" s="2" t="s">
        <v>129</v>
      </c>
      <c r="G670" s="2" t="s">
        <v>3193</v>
      </c>
      <c r="H670" s="34" t="s">
        <v>668</v>
      </c>
      <c r="I670" s="2" t="s">
        <v>21</v>
      </c>
      <c r="J670" s="2" t="s">
        <v>21</v>
      </c>
      <c r="K670" s="2" t="s">
        <v>21</v>
      </c>
      <c r="L670" s="2" t="s">
        <v>21</v>
      </c>
    </row>
    <row r="671" customFormat="false" ht="15" hidden="false" customHeight="false" outlineLevel="0" collapsed="false">
      <c r="A671" s="2" t="s">
        <v>446</v>
      </c>
      <c r="B671" s="13" t="s">
        <v>445</v>
      </c>
      <c r="C671" s="13" t="s">
        <v>102</v>
      </c>
      <c r="D671" s="13" t="s">
        <v>3883</v>
      </c>
      <c r="E671" s="13" t="s">
        <v>96</v>
      </c>
      <c r="F671" s="2" t="s">
        <v>129</v>
      </c>
      <c r="G671" s="2" t="s">
        <v>3215</v>
      </c>
      <c r="H671" s="39" t="s">
        <v>671</v>
      </c>
      <c r="I671" s="2" t="s">
        <v>19</v>
      </c>
      <c r="J671" s="2" t="s">
        <v>19</v>
      </c>
      <c r="K671" s="2" t="s">
        <v>19</v>
      </c>
      <c r="L671" s="2" t="s">
        <v>19</v>
      </c>
    </row>
    <row r="672" customFormat="false" ht="15" hidden="false" customHeight="false" outlineLevel="0" collapsed="false">
      <c r="A672" s="2" t="s">
        <v>2452</v>
      </c>
      <c r="B672" s="13" t="s">
        <v>2451</v>
      </c>
      <c r="C672" s="13" t="s">
        <v>72</v>
      </c>
      <c r="D672" s="13" t="s">
        <v>3884</v>
      </c>
      <c r="E672" s="13" t="s">
        <v>111</v>
      </c>
      <c r="F672" s="2" t="s">
        <v>129</v>
      </c>
      <c r="G672" s="2" t="s">
        <v>3193</v>
      </c>
      <c r="H672" s="34" t="s">
        <v>668</v>
      </c>
      <c r="I672" s="2" t="s">
        <v>19</v>
      </c>
      <c r="J672" s="2" t="s">
        <v>19</v>
      </c>
      <c r="K672" s="2" t="s">
        <v>19</v>
      </c>
      <c r="L672" s="2" t="s">
        <v>19</v>
      </c>
    </row>
    <row r="673" customFormat="false" ht="15" hidden="false" customHeight="false" outlineLevel="0" collapsed="false">
      <c r="A673" s="2" t="s">
        <v>278</v>
      </c>
      <c r="B673" s="13" t="s">
        <v>277</v>
      </c>
      <c r="C673" s="13" t="s">
        <v>105</v>
      </c>
      <c r="D673" s="13" t="s">
        <v>3885</v>
      </c>
      <c r="E673" s="15" t="s">
        <v>93</v>
      </c>
      <c r="F673" s="2" t="s">
        <v>47</v>
      </c>
      <c r="G673" s="2" t="s">
        <v>3208</v>
      </c>
      <c r="H673" s="39" t="s">
        <v>671</v>
      </c>
      <c r="I673" s="2" t="s">
        <v>19</v>
      </c>
      <c r="J673" s="2" t="s">
        <v>19</v>
      </c>
      <c r="K673" s="2" t="s">
        <v>19</v>
      </c>
      <c r="L673" s="2" t="s">
        <v>17</v>
      </c>
    </row>
    <row r="674" customFormat="false" ht="15" hidden="false" customHeight="false" outlineLevel="0" collapsed="false">
      <c r="A674" s="2" t="s">
        <v>3092</v>
      </c>
      <c r="B674" s="14" t="s">
        <v>3886</v>
      </c>
      <c r="C674" s="14" t="s">
        <v>72</v>
      </c>
      <c r="D674" s="14" t="s">
        <v>3887</v>
      </c>
      <c r="E674" s="14" t="s">
        <v>82</v>
      </c>
      <c r="F674" s="2" t="s">
        <v>45</v>
      </c>
      <c r="G674" s="2" t="s">
        <v>3202</v>
      </c>
      <c r="H674" s="34" t="s">
        <v>668</v>
      </c>
      <c r="I674" s="2" t="s">
        <v>21</v>
      </c>
      <c r="J674" s="2" t="s">
        <v>21</v>
      </c>
      <c r="K674" s="2" t="s">
        <v>21</v>
      </c>
      <c r="L674" s="2" t="s">
        <v>21</v>
      </c>
    </row>
    <row r="675" customFormat="false" ht="15" hidden="false" customHeight="false" outlineLevel="0" collapsed="false">
      <c r="A675" s="2" t="s">
        <v>2174</v>
      </c>
      <c r="B675" s="13" t="s">
        <v>2173</v>
      </c>
      <c r="C675" s="13" t="s">
        <v>138</v>
      </c>
      <c r="D675" s="16"/>
      <c r="E675" s="13" t="s">
        <v>111</v>
      </c>
      <c r="F675" s="2" t="s">
        <v>129</v>
      </c>
      <c r="G675" s="2" t="s">
        <v>3193</v>
      </c>
      <c r="H675" s="34" t="s">
        <v>668</v>
      </c>
      <c r="I675" s="2" t="s">
        <v>19</v>
      </c>
      <c r="J675" s="2" t="s">
        <v>19</v>
      </c>
      <c r="K675" s="2"/>
      <c r="L675" s="2" t="s">
        <v>19</v>
      </c>
    </row>
    <row r="676" customFormat="false" ht="15" hidden="false" customHeight="false" outlineLevel="0" collapsed="false">
      <c r="A676" s="2" t="s">
        <v>748</v>
      </c>
      <c r="B676" s="13" t="s">
        <v>747</v>
      </c>
      <c r="C676" s="13" t="s">
        <v>87</v>
      </c>
      <c r="D676" s="13" t="s">
        <v>3888</v>
      </c>
      <c r="E676" s="13" t="s">
        <v>82</v>
      </c>
      <c r="F676" s="2" t="s">
        <v>129</v>
      </c>
      <c r="G676" s="2" t="s">
        <v>3193</v>
      </c>
      <c r="H676" s="34" t="s">
        <v>668</v>
      </c>
      <c r="I676" s="2" t="s">
        <v>19</v>
      </c>
      <c r="J676" s="2" t="s">
        <v>19</v>
      </c>
      <c r="K676" s="2" t="s">
        <v>19</v>
      </c>
      <c r="L676" s="2" t="s">
        <v>19</v>
      </c>
    </row>
    <row r="677" customFormat="false" ht="15" hidden="false" customHeight="false" outlineLevel="0" collapsed="false">
      <c r="A677" s="2" t="s">
        <v>506</v>
      </c>
      <c r="B677" s="14" t="s">
        <v>505</v>
      </c>
      <c r="C677" s="14" t="s">
        <v>77</v>
      </c>
      <c r="D677" s="16"/>
      <c r="E677" s="14" t="s">
        <v>115</v>
      </c>
      <c r="F677" s="2" t="s">
        <v>45</v>
      </c>
      <c r="G677" s="2" t="s">
        <v>3208</v>
      </c>
      <c r="H677" s="39" t="s">
        <v>671</v>
      </c>
      <c r="I677" s="2" t="s">
        <v>21</v>
      </c>
      <c r="J677" s="2" t="s">
        <v>21</v>
      </c>
      <c r="K677" s="2"/>
      <c r="L677" s="2" t="s">
        <v>21</v>
      </c>
    </row>
    <row r="678" customFormat="false" ht="15" hidden="false" customHeight="false" outlineLevel="0" collapsed="false">
      <c r="A678" s="2" t="s">
        <v>3095</v>
      </c>
      <c r="B678" s="14" t="s">
        <v>3889</v>
      </c>
      <c r="C678" s="14" t="s">
        <v>92</v>
      </c>
      <c r="D678" s="14" t="s">
        <v>3890</v>
      </c>
      <c r="E678" s="14" t="s">
        <v>96</v>
      </c>
      <c r="F678" s="2" t="s">
        <v>47</v>
      </c>
      <c r="G678" s="2" t="s">
        <v>3202</v>
      </c>
      <c r="H678" s="34" t="s">
        <v>668</v>
      </c>
      <c r="I678" s="2" t="s">
        <v>21</v>
      </c>
      <c r="J678" s="2" t="s">
        <v>21</v>
      </c>
      <c r="K678" s="2" t="s">
        <v>21</v>
      </c>
      <c r="L678" s="2" t="s">
        <v>21</v>
      </c>
    </row>
    <row r="679" customFormat="false" ht="15" hidden="false" customHeight="false" outlineLevel="0" collapsed="false">
      <c r="A679" s="2" t="s">
        <v>2411</v>
      </c>
      <c r="B679" s="13" t="s">
        <v>2410</v>
      </c>
      <c r="C679" s="13" t="s">
        <v>102</v>
      </c>
      <c r="D679" s="13" t="s">
        <v>3891</v>
      </c>
      <c r="E679" s="13" t="s">
        <v>99</v>
      </c>
      <c r="F679" s="2" t="s">
        <v>129</v>
      </c>
      <c r="G679" s="2" t="s">
        <v>3193</v>
      </c>
      <c r="H679" s="34" t="s">
        <v>668</v>
      </c>
      <c r="I679" s="2" t="s">
        <v>19</v>
      </c>
      <c r="J679" s="2" t="s">
        <v>19</v>
      </c>
      <c r="K679" s="2" t="s">
        <v>19</v>
      </c>
      <c r="L679" s="2" t="s">
        <v>19</v>
      </c>
    </row>
    <row r="680" customFormat="false" ht="15" hidden="false" customHeight="false" outlineLevel="0" collapsed="false">
      <c r="A680" s="2" t="s">
        <v>787</v>
      </c>
      <c r="B680" s="13" t="s">
        <v>786</v>
      </c>
      <c r="C680" s="13" t="s">
        <v>102</v>
      </c>
      <c r="D680" s="13" t="s">
        <v>3892</v>
      </c>
      <c r="E680" s="13" t="s">
        <v>73</v>
      </c>
      <c r="F680" s="2" t="s">
        <v>129</v>
      </c>
      <c r="G680" s="2" t="s">
        <v>3195</v>
      </c>
      <c r="H680" s="34" t="s">
        <v>668</v>
      </c>
      <c r="I680" s="2" t="s">
        <v>19</v>
      </c>
      <c r="J680" s="2" t="s">
        <v>19</v>
      </c>
      <c r="K680" s="2" t="s">
        <v>19</v>
      </c>
      <c r="L680" s="2" t="s">
        <v>19</v>
      </c>
    </row>
    <row r="681" customFormat="false" ht="15" hidden="false" customHeight="false" outlineLevel="0" collapsed="false">
      <c r="A681" s="2" t="s">
        <v>1631</v>
      </c>
      <c r="B681" s="13" t="s">
        <v>1630</v>
      </c>
      <c r="C681" s="13" t="s">
        <v>138</v>
      </c>
      <c r="D681" s="13" t="s">
        <v>3893</v>
      </c>
      <c r="E681" s="13" t="s">
        <v>170</v>
      </c>
      <c r="F681" s="2" t="s">
        <v>129</v>
      </c>
      <c r="G681" s="2" t="s">
        <v>3195</v>
      </c>
      <c r="H681" s="34" t="s">
        <v>668</v>
      </c>
      <c r="I681" s="2" t="s">
        <v>19</v>
      </c>
      <c r="J681" s="2" t="s">
        <v>19</v>
      </c>
      <c r="K681" s="2" t="s">
        <v>19</v>
      </c>
      <c r="L681" s="2" t="s">
        <v>19</v>
      </c>
    </row>
    <row r="682" customFormat="false" ht="15" hidden="false" customHeight="false" outlineLevel="0" collapsed="false">
      <c r="A682" s="2" t="s">
        <v>1571</v>
      </c>
      <c r="B682" s="13" t="s">
        <v>1570</v>
      </c>
      <c r="C682" s="13" t="s">
        <v>133</v>
      </c>
      <c r="D682" s="13" t="s">
        <v>3894</v>
      </c>
      <c r="E682" s="13" t="s">
        <v>115</v>
      </c>
      <c r="F682" s="2" t="s">
        <v>175</v>
      </c>
      <c r="G682" s="2" t="s">
        <v>3205</v>
      </c>
      <c r="H682" s="34" t="s">
        <v>668</v>
      </c>
      <c r="I682" s="2" t="s">
        <v>19</v>
      </c>
      <c r="J682" s="2" t="s">
        <v>19</v>
      </c>
      <c r="K682" s="2" t="s">
        <v>19</v>
      </c>
      <c r="L682" s="2" t="s">
        <v>19</v>
      </c>
    </row>
    <row r="683" customFormat="false" ht="15" hidden="false" customHeight="false" outlineLevel="0" collapsed="false">
      <c r="A683" s="2" t="s">
        <v>370</v>
      </c>
      <c r="B683" s="13" t="s">
        <v>369</v>
      </c>
      <c r="C683" s="13" t="s">
        <v>81</v>
      </c>
      <c r="D683" s="13" t="s">
        <v>3895</v>
      </c>
      <c r="E683" s="13" t="s">
        <v>108</v>
      </c>
      <c r="F683" s="2" t="s">
        <v>129</v>
      </c>
      <c r="G683" s="2" t="s">
        <v>3215</v>
      </c>
      <c r="H683" s="39" t="s">
        <v>671</v>
      </c>
      <c r="I683" s="2" t="s">
        <v>19</v>
      </c>
      <c r="J683" s="2" t="s">
        <v>19</v>
      </c>
      <c r="K683" s="2" t="s">
        <v>19</v>
      </c>
      <c r="L683" s="2" t="s">
        <v>19</v>
      </c>
    </row>
    <row r="684" customFormat="false" ht="15" hidden="false" customHeight="false" outlineLevel="0" collapsed="false">
      <c r="A684" s="2" t="s">
        <v>2586</v>
      </c>
      <c r="B684" s="13" t="s">
        <v>2585</v>
      </c>
      <c r="C684" s="13" t="s">
        <v>105</v>
      </c>
      <c r="D684" s="13" t="s">
        <v>3896</v>
      </c>
      <c r="E684" s="13" t="s">
        <v>108</v>
      </c>
      <c r="F684" s="2" t="s">
        <v>129</v>
      </c>
      <c r="G684" s="2" t="s">
        <v>3193</v>
      </c>
      <c r="H684" s="34" t="s">
        <v>668</v>
      </c>
      <c r="I684" s="2" t="s">
        <v>19</v>
      </c>
      <c r="J684" s="2" t="s">
        <v>19</v>
      </c>
      <c r="K684" s="2" t="s">
        <v>19</v>
      </c>
      <c r="L684" s="2" t="s">
        <v>19</v>
      </c>
    </row>
    <row r="685" customFormat="false" ht="15" hidden="false" customHeight="false" outlineLevel="0" collapsed="false">
      <c r="A685" s="2" t="s">
        <v>1102</v>
      </c>
      <c r="B685" s="13" t="s">
        <v>1101</v>
      </c>
      <c r="C685" s="13" t="s">
        <v>72</v>
      </c>
      <c r="D685" s="13" t="s">
        <v>3897</v>
      </c>
      <c r="E685" s="13" t="s">
        <v>111</v>
      </c>
      <c r="F685" s="2" t="s">
        <v>129</v>
      </c>
      <c r="G685" s="2" t="s">
        <v>3193</v>
      </c>
      <c r="H685" s="34" t="s">
        <v>668</v>
      </c>
      <c r="I685" s="2" t="s">
        <v>19</v>
      </c>
      <c r="J685" s="2" t="s">
        <v>19</v>
      </c>
      <c r="K685" s="2" t="s">
        <v>19</v>
      </c>
      <c r="L685" s="2" t="s">
        <v>19</v>
      </c>
    </row>
    <row r="686" customFormat="false" ht="15" hidden="false" customHeight="false" outlineLevel="0" collapsed="false">
      <c r="A686" s="2" t="s">
        <v>640</v>
      </c>
      <c r="B686" s="13" t="s">
        <v>639</v>
      </c>
      <c r="C686" s="13" t="s">
        <v>92</v>
      </c>
      <c r="D686" s="13" t="s">
        <v>3898</v>
      </c>
      <c r="E686" s="13" t="s">
        <v>115</v>
      </c>
      <c r="F686" s="2" t="s">
        <v>47</v>
      </c>
      <c r="G686" s="2" t="s">
        <v>3208</v>
      </c>
      <c r="H686" s="39" t="s">
        <v>671</v>
      </c>
      <c r="I686" s="2" t="s">
        <v>19</v>
      </c>
      <c r="J686" s="2" t="s">
        <v>19</v>
      </c>
      <c r="K686" s="2" t="s">
        <v>19</v>
      </c>
      <c r="L686" s="2" t="s">
        <v>19</v>
      </c>
    </row>
    <row r="687" customFormat="false" ht="15" hidden="false" customHeight="false" outlineLevel="0" collapsed="false">
      <c r="A687" s="2" t="s">
        <v>422</v>
      </c>
      <c r="B687" s="13" t="s">
        <v>421</v>
      </c>
      <c r="C687" s="13" t="s">
        <v>72</v>
      </c>
      <c r="D687" s="13" t="s">
        <v>3899</v>
      </c>
      <c r="E687" s="13" t="s">
        <v>99</v>
      </c>
      <c r="F687" s="2" t="s">
        <v>129</v>
      </c>
      <c r="G687" s="2" t="s">
        <v>3215</v>
      </c>
      <c r="H687" s="39" t="s">
        <v>671</v>
      </c>
      <c r="I687" s="2" t="s">
        <v>19</v>
      </c>
      <c r="J687" s="2" t="s">
        <v>19</v>
      </c>
      <c r="K687" s="2" t="s">
        <v>19</v>
      </c>
      <c r="L687" s="2" t="s">
        <v>19</v>
      </c>
    </row>
    <row r="688" customFormat="false" ht="15" hidden="false" customHeight="false" outlineLevel="0" collapsed="false">
      <c r="A688" s="2" t="s">
        <v>1014</v>
      </c>
      <c r="B688" s="13" t="s">
        <v>1013</v>
      </c>
      <c r="C688" s="13" t="s">
        <v>138</v>
      </c>
      <c r="D688" s="13" t="s">
        <v>3900</v>
      </c>
      <c r="E688" s="13" t="s">
        <v>108</v>
      </c>
      <c r="F688" s="2" t="s">
        <v>129</v>
      </c>
      <c r="G688" s="2" t="s">
        <v>3193</v>
      </c>
      <c r="H688" s="34" t="s">
        <v>668</v>
      </c>
      <c r="I688" s="2" t="s">
        <v>19</v>
      </c>
      <c r="J688" s="2" t="s">
        <v>19</v>
      </c>
      <c r="K688" s="2" t="s">
        <v>19</v>
      </c>
      <c r="L688" s="2" t="s">
        <v>19</v>
      </c>
    </row>
    <row r="689" customFormat="false" ht="15" hidden="false" customHeight="false" outlineLevel="0" collapsed="false">
      <c r="A689" s="2" t="s">
        <v>376</v>
      </c>
      <c r="B689" s="13" t="s">
        <v>375</v>
      </c>
      <c r="C689" s="13" t="s">
        <v>77</v>
      </c>
      <c r="D689" s="13" t="s">
        <v>3901</v>
      </c>
      <c r="E689" s="13" t="s">
        <v>118</v>
      </c>
      <c r="F689" s="2" t="s">
        <v>129</v>
      </c>
      <c r="G689" s="2" t="s">
        <v>3215</v>
      </c>
      <c r="H689" s="39" t="s">
        <v>671</v>
      </c>
      <c r="I689" s="2" t="s">
        <v>19</v>
      </c>
      <c r="J689" s="2" t="s">
        <v>19</v>
      </c>
      <c r="K689" s="2" t="s">
        <v>19</v>
      </c>
      <c r="L689" s="2" t="s">
        <v>19</v>
      </c>
    </row>
    <row r="690" customFormat="false" ht="15" hidden="false" customHeight="false" outlineLevel="0" collapsed="false">
      <c r="A690" s="2" t="s">
        <v>1284</v>
      </c>
      <c r="B690" s="13" t="s">
        <v>1283</v>
      </c>
      <c r="C690" s="13" t="s">
        <v>102</v>
      </c>
      <c r="D690" s="13" t="s">
        <v>3902</v>
      </c>
      <c r="E690" s="13" t="s">
        <v>111</v>
      </c>
      <c r="F690" s="2" t="s">
        <v>129</v>
      </c>
      <c r="G690" s="2" t="s">
        <v>3195</v>
      </c>
      <c r="H690" s="34" t="s">
        <v>668</v>
      </c>
      <c r="I690" s="2" t="s">
        <v>19</v>
      </c>
      <c r="J690" s="2" t="s">
        <v>19</v>
      </c>
      <c r="K690" s="2" t="s">
        <v>19</v>
      </c>
      <c r="L690" s="2" t="s">
        <v>19</v>
      </c>
    </row>
    <row r="691" customFormat="false" ht="15" hidden="false" customHeight="false" outlineLevel="0" collapsed="false">
      <c r="A691" s="2" t="s">
        <v>1899</v>
      </c>
      <c r="B691" s="14" t="s">
        <v>1898</v>
      </c>
      <c r="C691" s="14" t="s">
        <v>102</v>
      </c>
      <c r="D691" s="14" t="s">
        <v>3903</v>
      </c>
      <c r="E691" s="14" t="s">
        <v>99</v>
      </c>
      <c r="F691" s="2" t="s">
        <v>129</v>
      </c>
      <c r="G691" s="2" t="s">
        <v>3193</v>
      </c>
      <c r="H691" s="34" t="s">
        <v>668</v>
      </c>
      <c r="I691" s="2" t="s">
        <v>21</v>
      </c>
      <c r="J691" s="2" t="s">
        <v>21</v>
      </c>
      <c r="K691" s="2" t="s">
        <v>21</v>
      </c>
      <c r="L691" s="2" t="s">
        <v>21</v>
      </c>
    </row>
    <row r="692" customFormat="false" ht="15" hidden="false" customHeight="false" outlineLevel="0" collapsed="false">
      <c r="A692" s="2" t="s">
        <v>3105</v>
      </c>
      <c r="B692" s="13" t="s">
        <v>3904</v>
      </c>
      <c r="C692" s="13" t="s">
        <v>81</v>
      </c>
      <c r="D692" s="13" t="s">
        <v>3905</v>
      </c>
      <c r="E692" s="13" t="s">
        <v>111</v>
      </c>
      <c r="F692" s="2" t="s">
        <v>46</v>
      </c>
      <c r="G692" s="2" t="s">
        <v>3202</v>
      </c>
      <c r="H692" s="34" t="s">
        <v>668</v>
      </c>
      <c r="I692" s="2" t="s">
        <v>19</v>
      </c>
      <c r="J692" s="2" t="s">
        <v>19</v>
      </c>
      <c r="K692" s="2" t="s">
        <v>19</v>
      </c>
      <c r="L692" s="2" t="s">
        <v>19</v>
      </c>
    </row>
    <row r="693" customFormat="false" ht="15" hidden="false" customHeight="false" outlineLevel="0" collapsed="false">
      <c r="A693" s="2" t="s">
        <v>3107</v>
      </c>
      <c r="B693" s="16"/>
      <c r="C693" s="16"/>
      <c r="D693" s="16"/>
      <c r="E693" s="16"/>
      <c r="F693" s="2" t="s">
        <v>46</v>
      </c>
      <c r="G693" s="2" t="s">
        <v>3202</v>
      </c>
      <c r="H693" s="34" t="s">
        <v>668</v>
      </c>
      <c r="I693" s="2"/>
      <c r="J693" s="2"/>
      <c r="K693" s="2"/>
      <c r="L693" s="2"/>
    </row>
    <row r="694" customFormat="false" ht="15" hidden="false" customHeight="false" outlineLevel="0" collapsed="false">
      <c r="A694" s="2" t="s">
        <v>1959</v>
      </c>
      <c r="B694" s="13" t="s">
        <v>1958</v>
      </c>
      <c r="C694" s="13" t="s">
        <v>87</v>
      </c>
      <c r="D694" s="13" t="s">
        <v>3906</v>
      </c>
      <c r="E694" s="13" t="s">
        <v>96</v>
      </c>
      <c r="F694" s="2" t="s">
        <v>129</v>
      </c>
      <c r="G694" s="2" t="s">
        <v>3195</v>
      </c>
      <c r="H694" s="34" t="s">
        <v>668</v>
      </c>
      <c r="I694" s="2" t="s">
        <v>19</v>
      </c>
      <c r="J694" s="2" t="s">
        <v>19</v>
      </c>
      <c r="K694" s="2" t="s">
        <v>19</v>
      </c>
      <c r="L694" s="2" t="s">
        <v>19</v>
      </c>
    </row>
    <row r="695" customFormat="false" ht="15" hidden="false" customHeight="false" outlineLevel="0" collapsed="false">
      <c r="A695" s="2" t="s">
        <v>3108</v>
      </c>
      <c r="B695" s="14" t="s">
        <v>3907</v>
      </c>
      <c r="C695" s="14" t="s">
        <v>77</v>
      </c>
      <c r="D695" s="14" t="s">
        <v>3908</v>
      </c>
      <c r="E695" s="14" t="s">
        <v>111</v>
      </c>
      <c r="F695" s="2" t="s">
        <v>129</v>
      </c>
      <c r="G695" s="2" t="s">
        <v>3297</v>
      </c>
      <c r="H695" s="34" t="s">
        <v>668</v>
      </c>
      <c r="I695" s="2" t="s">
        <v>21</v>
      </c>
      <c r="J695" s="2" t="s">
        <v>21</v>
      </c>
      <c r="K695" s="2" t="s">
        <v>21</v>
      </c>
      <c r="L695" s="2" t="s">
        <v>21</v>
      </c>
    </row>
    <row r="696" customFormat="false" ht="15" hidden="false" customHeight="false" outlineLevel="0" collapsed="false">
      <c r="A696" s="2" t="s">
        <v>3110</v>
      </c>
      <c r="B696" s="13" t="s">
        <v>3909</v>
      </c>
      <c r="C696" s="13" t="s">
        <v>138</v>
      </c>
      <c r="D696" s="13" t="s">
        <v>3910</v>
      </c>
      <c r="E696" s="13" t="s">
        <v>73</v>
      </c>
      <c r="F696" s="2" t="s">
        <v>46</v>
      </c>
      <c r="G696" s="2" t="s">
        <v>3202</v>
      </c>
      <c r="H696" s="34" t="s">
        <v>668</v>
      </c>
      <c r="I696" s="2" t="s">
        <v>19</v>
      </c>
      <c r="J696" s="2" t="s">
        <v>19</v>
      </c>
      <c r="K696" s="2" t="s">
        <v>19</v>
      </c>
      <c r="L696" s="2" t="s">
        <v>19</v>
      </c>
    </row>
    <row r="697" customFormat="false" ht="15" hidden="false" customHeight="false" outlineLevel="0" collapsed="false">
      <c r="A697" s="2" t="s">
        <v>1923</v>
      </c>
      <c r="B697" s="13" t="s">
        <v>1922</v>
      </c>
      <c r="C697" s="13" t="s">
        <v>72</v>
      </c>
      <c r="D697" s="13" t="s">
        <v>3911</v>
      </c>
      <c r="E697" s="13" t="s">
        <v>108</v>
      </c>
      <c r="F697" s="2" t="s">
        <v>129</v>
      </c>
      <c r="G697" s="2" t="s">
        <v>3195</v>
      </c>
      <c r="H697" s="34" t="s">
        <v>668</v>
      </c>
      <c r="I697" s="2" t="s">
        <v>19</v>
      </c>
      <c r="J697" s="2" t="s">
        <v>19</v>
      </c>
      <c r="K697" s="2" t="s">
        <v>19</v>
      </c>
      <c r="L697" s="2" t="s">
        <v>19</v>
      </c>
    </row>
    <row r="698" customFormat="false" ht="15" hidden="false" customHeight="false" outlineLevel="0" collapsed="false">
      <c r="A698" s="2" t="s">
        <v>195</v>
      </c>
      <c r="B698" s="13" t="s">
        <v>194</v>
      </c>
      <c r="C698" s="13" t="s">
        <v>105</v>
      </c>
      <c r="D698" s="13" t="s">
        <v>3912</v>
      </c>
      <c r="E698" s="13" t="s">
        <v>111</v>
      </c>
      <c r="F698" s="2" t="s">
        <v>129</v>
      </c>
      <c r="G698" s="2" t="s">
        <v>3215</v>
      </c>
      <c r="H698" s="39" t="s">
        <v>671</v>
      </c>
      <c r="I698" s="2" t="s">
        <v>19</v>
      </c>
      <c r="J698" s="2" t="s">
        <v>19</v>
      </c>
      <c r="K698" s="2" t="s">
        <v>19</v>
      </c>
      <c r="L698" s="2" t="s">
        <v>19</v>
      </c>
    </row>
    <row r="699" customFormat="false" ht="15" hidden="false" customHeight="false" outlineLevel="0" collapsed="false">
      <c r="A699" s="2" t="s">
        <v>197</v>
      </c>
      <c r="B699" s="13" t="s">
        <v>196</v>
      </c>
      <c r="C699" s="13" t="s">
        <v>102</v>
      </c>
      <c r="D699" s="13" t="s">
        <v>3913</v>
      </c>
      <c r="E699" s="13" t="s">
        <v>118</v>
      </c>
      <c r="F699" s="2" t="s">
        <v>125</v>
      </c>
      <c r="G699" s="2" t="s">
        <v>3218</v>
      </c>
      <c r="H699" s="39" t="s">
        <v>671</v>
      </c>
      <c r="I699" s="2" t="s">
        <v>19</v>
      </c>
      <c r="J699" s="2" t="s">
        <v>19</v>
      </c>
      <c r="K699" s="2" t="s">
        <v>19</v>
      </c>
      <c r="L699" s="2" t="s">
        <v>19</v>
      </c>
    </row>
    <row r="700" customFormat="false" ht="15" hidden="false" customHeight="false" outlineLevel="0" collapsed="false">
      <c r="A700" s="2" t="s">
        <v>256</v>
      </c>
      <c r="B700" s="13" t="s">
        <v>255</v>
      </c>
      <c r="C700" s="13" t="s">
        <v>138</v>
      </c>
      <c r="D700" s="13" t="s">
        <v>3914</v>
      </c>
      <c r="E700" s="13" t="s">
        <v>108</v>
      </c>
      <c r="F700" s="2" t="s">
        <v>129</v>
      </c>
      <c r="G700" s="2" t="s">
        <v>3215</v>
      </c>
      <c r="H700" s="39" t="s">
        <v>671</v>
      </c>
      <c r="I700" s="2" t="s">
        <v>19</v>
      </c>
      <c r="J700" s="2" t="s">
        <v>19</v>
      </c>
      <c r="K700" s="2" t="s">
        <v>19</v>
      </c>
      <c r="L700" s="2" t="s">
        <v>19</v>
      </c>
    </row>
    <row r="701" customFormat="false" ht="15" hidden="false" customHeight="false" outlineLevel="0" collapsed="false">
      <c r="A701" s="2" t="s">
        <v>2233</v>
      </c>
      <c r="B701" s="13" t="s">
        <v>2232</v>
      </c>
      <c r="C701" s="13" t="s">
        <v>102</v>
      </c>
      <c r="D701" s="13" t="s">
        <v>3915</v>
      </c>
      <c r="E701" s="13" t="s">
        <v>96</v>
      </c>
      <c r="F701" s="2" t="s">
        <v>129</v>
      </c>
      <c r="G701" s="2" t="s">
        <v>3193</v>
      </c>
      <c r="H701" s="34" t="s">
        <v>668</v>
      </c>
      <c r="I701" s="2" t="s">
        <v>19</v>
      </c>
      <c r="J701" s="2" t="s">
        <v>19</v>
      </c>
      <c r="K701" s="2" t="s">
        <v>19</v>
      </c>
      <c r="L701" s="2" t="s">
        <v>19</v>
      </c>
    </row>
    <row r="702" customFormat="false" ht="15" hidden="false" customHeight="false" outlineLevel="0" collapsed="false">
      <c r="A702" s="2" t="s">
        <v>1095</v>
      </c>
      <c r="B702" s="13" t="s">
        <v>1094</v>
      </c>
      <c r="C702" s="13" t="s">
        <v>105</v>
      </c>
      <c r="D702" s="13" t="s">
        <v>3916</v>
      </c>
      <c r="E702" s="13" t="s">
        <v>82</v>
      </c>
      <c r="F702" s="2" t="s">
        <v>129</v>
      </c>
      <c r="G702" s="2" t="s">
        <v>3193</v>
      </c>
      <c r="H702" s="34" t="s">
        <v>668</v>
      </c>
      <c r="I702" s="2" t="s">
        <v>19</v>
      </c>
      <c r="J702" s="2" t="s">
        <v>19</v>
      </c>
      <c r="K702" s="2" t="s">
        <v>19</v>
      </c>
      <c r="L702" s="2" t="s">
        <v>19</v>
      </c>
    </row>
    <row r="703" customFormat="false" ht="15" hidden="false" customHeight="false" outlineLevel="0" collapsed="false">
      <c r="A703" s="2" t="s">
        <v>3114</v>
      </c>
      <c r="B703" s="14" t="s">
        <v>3917</v>
      </c>
      <c r="C703" s="14" t="s">
        <v>72</v>
      </c>
      <c r="D703" s="16"/>
      <c r="E703" s="14" t="s">
        <v>170</v>
      </c>
      <c r="F703" s="2" t="s">
        <v>47</v>
      </c>
      <c r="G703" s="2" t="s">
        <v>3202</v>
      </c>
      <c r="H703" s="34" t="s">
        <v>668</v>
      </c>
      <c r="I703" s="2" t="s">
        <v>21</v>
      </c>
      <c r="J703" s="2" t="s">
        <v>21</v>
      </c>
      <c r="K703" s="2"/>
      <c r="L703" s="2" t="s">
        <v>21</v>
      </c>
    </row>
    <row r="704" customFormat="false" ht="15" hidden="false" customHeight="false" outlineLevel="0" collapsed="false">
      <c r="A704" s="2" t="s">
        <v>344</v>
      </c>
      <c r="B704" s="13" t="s">
        <v>343</v>
      </c>
      <c r="C704" s="13" t="s">
        <v>102</v>
      </c>
      <c r="D704" s="13" t="s">
        <v>3918</v>
      </c>
      <c r="E704" s="13" t="s">
        <v>96</v>
      </c>
      <c r="F704" s="2" t="s">
        <v>129</v>
      </c>
      <c r="G704" s="2" t="s">
        <v>3215</v>
      </c>
      <c r="H704" s="39" t="s">
        <v>671</v>
      </c>
      <c r="I704" s="2" t="s">
        <v>19</v>
      </c>
      <c r="J704" s="2" t="s">
        <v>19</v>
      </c>
      <c r="K704" s="2" t="s">
        <v>19</v>
      </c>
      <c r="L704" s="2" t="s">
        <v>19</v>
      </c>
    </row>
    <row r="705" customFormat="false" ht="15" hidden="false" customHeight="false" outlineLevel="0" collapsed="false">
      <c r="A705" s="2" t="s">
        <v>201</v>
      </c>
      <c r="B705" s="13" t="s">
        <v>200</v>
      </c>
      <c r="C705" s="13" t="s">
        <v>87</v>
      </c>
      <c r="D705" s="13" t="s">
        <v>3919</v>
      </c>
      <c r="E705" s="13" t="s">
        <v>73</v>
      </c>
      <c r="F705" s="2" t="s">
        <v>129</v>
      </c>
      <c r="G705" s="2" t="s">
        <v>3215</v>
      </c>
      <c r="H705" s="39" t="s">
        <v>671</v>
      </c>
      <c r="I705" s="2" t="s">
        <v>19</v>
      </c>
      <c r="J705" s="2" t="s">
        <v>19</v>
      </c>
      <c r="K705" s="2" t="s">
        <v>19</v>
      </c>
      <c r="L705" s="2" t="s">
        <v>19</v>
      </c>
    </row>
    <row r="706" customFormat="false" ht="15" hidden="false" customHeight="false" outlineLevel="0" collapsed="false">
      <c r="A706" s="2" t="s">
        <v>330</v>
      </c>
      <c r="B706" s="13" t="s">
        <v>329</v>
      </c>
      <c r="C706" s="13" t="s">
        <v>92</v>
      </c>
      <c r="D706" s="13" t="s">
        <v>3920</v>
      </c>
      <c r="E706" s="13" t="s">
        <v>99</v>
      </c>
      <c r="F706" s="2" t="s">
        <v>129</v>
      </c>
      <c r="G706" s="2" t="s">
        <v>3215</v>
      </c>
      <c r="H706" s="39" t="s">
        <v>671</v>
      </c>
      <c r="I706" s="2" t="s">
        <v>19</v>
      </c>
      <c r="J706" s="2" t="s">
        <v>19</v>
      </c>
      <c r="K706" s="2" t="s">
        <v>19</v>
      </c>
      <c r="L706" s="2" t="s">
        <v>19</v>
      </c>
    </row>
    <row r="707" customFormat="false" ht="15" hidden="false" customHeight="false" outlineLevel="0" collapsed="false">
      <c r="A707" s="2" t="s">
        <v>1864</v>
      </c>
      <c r="B707" s="13" t="s">
        <v>1863</v>
      </c>
      <c r="C707" s="13" t="s">
        <v>77</v>
      </c>
      <c r="D707" s="13" t="s">
        <v>3921</v>
      </c>
      <c r="E707" s="13" t="s">
        <v>73</v>
      </c>
      <c r="F707" s="2" t="s">
        <v>129</v>
      </c>
      <c r="G707" s="2" t="s">
        <v>3193</v>
      </c>
      <c r="H707" s="34" t="s">
        <v>668</v>
      </c>
      <c r="I707" s="2" t="s">
        <v>19</v>
      </c>
      <c r="J707" s="2" t="s">
        <v>19</v>
      </c>
      <c r="K707" s="2" t="s">
        <v>19</v>
      </c>
      <c r="L707" s="2" t="s">
        <v>19</v>
      </c>
    </row>
    <row r="708" customFormat="false" ht="15" hidden="false" customHeight="false" outlineLevel="0" collapsed="false">
      <c r="A708" s="2" t="s">
        <v>2510</v>
      </c>
      <c r="B708" s="13" t="s">
        <v>2509</v>
      </c>
      <c r="C708" s="13" t="s">
        <v>77</v>
      </c>
      <c r="D708" s="13" t="s">
        <v>3922</v>
      </c>
      <c r="E708" s="13" t="s">
        <v>118</v>
      </c>
      <c r="F708" s="2" t="s">
        <v>175</v>
      </c>
      <c r="G708" s="2" t="s">
        <v>3205</v>
      </c>
      <c r="H708" s="34" t="s">
        <v>668</v>
      </c>
      <c r="I708" s="2" t="s">
        <v>19</v>
      </c>
      <c r="J708" s="2" t="s">
        <v>19</v>
      </c>
      <c r="K708" s="2" t="s">
        <v>19</v>
      </c>
      <c r="L708" s="2" t="s">
        <v>19</v>
      </c>
    </row>
    <row r="709" customFormat="false" ht="15" hidden="false" customHeight="false" outlineLevel="0" collapsed="false">
      <c r="A709" s="2" t="s">
        <v>1098</v>
      </c>
      <c r="B709" s="13" t="s">
        <v>1097</v>
      </c>
      <c r="C709" s="13" t="s">
        <v>92</v>
      </c>
      <c r="D709" s="13" t="s">
        <v>3923</v>
      </c>
      <c r="E709" s="13" t="s">
        <v>99</v>
      </c>
      <c r="F709" s="2" t="s">
        <v>129</v>
      </c>
      <c r="G709" s="2" t="s">
        <v>3195</v>
      </c>
      <c r="H709" s="34" t="s">
        <v>668</v>
      </c>
      <c r="I709" s="2" t="s">
        <v>19</v>
      </c>
      <c r="J709" s="2" t="s">
        <v>19</v>
      </c>
      <c r="K709" s="2" t="s">
        <v>19</v>
      </c>
      <c r="L709" s="2" t="s">
        <v>19</v>
      </c>
    </row>
    <row r="710" customFormat="false" ht="15" hidden="false" customHeight="false" outlineLevel="0" collapsed="false">
      <c r="A710" s="2" t="s">
        <v>630</v>
      </c>
      <c r="B710" s="13" t="s">
        <v>629</v>
      </c>
      <c r="C710" s="13" t="s">
        <v>87</v>
      </c>
      <c r="D710" s="13" t="s">
        <v>3924</v>
      </c>
      <c r="E710" s="13" t="s">
        <v>115</v>
      </c>
      <c r="F710" s="2" t="s">
        <v>46</v>
      </c>
      <c r="G710" s="2" t="s">
        <v>3208</v>
      </c>
      <c r="H710" s="39" t="s">
        <v>671</v>
      </c>
      <c r="I710" s="2" t="s">
        <v>19</v>
      </c>
      <c r="J710" s="2" t="s">
        <v>19</v>
      </c>
      <c r="K710" s="2" t="s">
        <v>19</v>
      </c>
      <c r="L710" s="2" t="s">
        <v>19</v>
      </c>
    </row>
    <row r="711" customFormat="false" ht="15" hidden="false" customHeight="false" outlineLevel="0" collapsed="false">
      <c r="A711" s="2" t="s">
        <v>185</v>
      </c>
      <c r="B711" s="13" t="s">
        <v>184</v>
      </c>
      <c r="C711" s="13" t="s">
        <v>138</v>
      </c>
      <c r="D711" s="13" t="s">
        <v>3925</v>
      </c>
      <c r="E711" s="13" t="s">
        <v>108</v>
      </c>
      <c r="F711" s="2" t="s">
        <v>129</v>
      </c>
      <c r="G711" s="2" t="s">
        <v>3215</v>
      </c>
      <c r="H711" s="39" t="s">
        <v>671</v>
      </c>
      <c r="I711" s="2" t="s">
        <v>19</v>
      </c>
      <c r="J711" s="2" t="s">
        <v>19</v>
      </c>
      <c r="K711" s="2" t="s">
        <v>19</v>
      </c>
      <c r="L711" s="2" t="s">
        <v>19</v>
      </c>
    </row>
    <row r="712" customFormat="false" ht="15" hidden="false" customHeight="false" outlineLevel="0" collapsed="false">
      <c r="A712" s="2" t="s">
        <v>1439</v>
      </c>
      <c r="B712" s="13" t="s">
        <v>1438</v>
      </c>
      <c r="C712" s="13" t="s">
        <v>114</v>
      </c>
      <c r="D712" s="13" t="s">
        <v>3926</v>
      </c>
      <c r="E712" s="13" t="s">
        <v>82</v>
      </c>
      <c r="F712" s="2" t="s">
        <v>129</v>
      </c>
      <c r="G712" s="2" t="s">
        <v>3195</v>
      </c>
      <c r="H712" s="34" t="s">
        <v>668</v>
      </c>
      <c r="I712" s="2" t="s">
        <v>19</v>
      </c>
      <c r="J712" s="2" t="s">
        <v>19</v>
      </c>
      <c r="K712" s="2" t="s">
        <v>19</v>
      </c>
      <c r="L712" s="2" t="s">
        <v>19</v>
      </c>
    </row>
    <row r="713" customFormat="false" ht="15" hidden="false" customHeight="false" outlineLevel="0" collapsed="false">
      <c r="A713" s="2" t="s">
        <v>1535</v>
      </c>
      <c r="B713" s="13" t="s">
        <v>1534</v>
      </c>
      <c r="C713" s="13" t="s">
        <v>133</v>
      </c>
      <c r="D713" s="13" t="s">
        <v>3927</v>
      </c>
      <c r="E713" s="13" t="s">
        <v>108</v>
      </c>
      <c r="F713" s="2" t="s">
        <v>129</v>
      </c>
      <c r="G713" s="2" t="s">
        <v>3195</v>
      </c>
      <c r="H713" s="34" t="s">
        <v>668</v>
      </c>
      <c r="I713" s="2" t="s">
        <v>19</v>
      </c>
      <c r="J713" s="2" t="s">
        <v>19</v>
      </c>
      <c r="K713" s="2" t="s">
        <v>19</v>
      </c>
      <c r="L713" s="2" t="s">
        <v>19</v>
      </c>
    </row>
    <row r="714" customFormat="false" ht="15" hidden="false" customHeight="false" outlineLevel="0" collapsed="false">
      <c r="A714" s="2" t="s">
        <v>340</v>
      </c>
      <c r="B714" s="13" t="s">
        <v>339</v>
      </c>
      <c r="C714" s="13" t="s">
        <v>114</v>
      </c>
      <c r="D714" s="13" t="s">
        <v>3928</v>
      </c>
      <c r="E714" s="13" t="s">
        <v>118</v>
      </c>
      <c r="F714" s="2" t="s">
        <v>129</v>
      </c>
      <c r="G714" s="2" t="s">
        <v>3215</v>
      </c>
      <c r="H714" s="39" t="s">
        <v>671</v>
      </c>
      <c r="I714" s="2" t="s">
        <v>19</v>
      </c>
      <c r="J714" s="2" t="s">
        <v>19</v>
      </c>
      <c r="K714" s="2" t="s">
        <v>19</v>
      </c>
      <c r="L714" s="2" t="s">
        <v>19</v>
      </c>
    </row>
    <row r="715" customFormat="false" ht="15" hidden="false" customHeight="false" outlineLevel="0" collapsed="false">
      <c r="A715" s="2" t="s">
        <v>3119</v>
      </c>
      <c r="B715" s="15" t="s">
        <v>3929</v>
      </c>
      <c r="C715" s="16"/>
      <c r="D715" s="16"/>
      <c r="E715" s="15" t="s">
        <v>108</v>
      </c>
      <c r="F715" s="2" t="s">
        <v>47</v>
      </c>
      <c r="G715" s="2" t="s">
        <v>3202</v>
      </c>
      <c r="H715" s="34" t="s">
        <v>668</v>
      </c>
      <c r="I715" s="2" t="s">
        <v>17</v>
      </c>
      <c r="J715" s="2"/>
      <c r="K715" s="2"/>
      <c r="L715" s="2" t="s">
        <v>17</v>
      </c>
    </row>
    <row r="716" customFormat="false" ht="15" hidden="false" customHeight="false" outlineLevel="0" collapsed="false">
      <c r="A716" s="2" t="s">
        <v>2425</v>
      </c>
      <c r="B716" s="13" t="s">
        <v>2424</v>
      </c>
      <c r="C716" s="13" t="s">
        <v>114</v>
      </c>
      <c r="D716" s="14" t="s">
        <v>3930</v>
      </c>
      <c r="E716" s="13" t="s">
        <v>82</v>
      </c>
      <c r="F716" s="2" t="s">
        <v>157</v>
      </c>
      <c r="G716" s="2" t="s">
        <v>3205</v>
      </c>
      <c r="H716" s="34" t="s">
        <v>668</v>
      </c>
      <c r="I716" s="2" t="s">
        <v>19</v>
      </c>
      <c r="J716" s="2" t="s">
        <v>19</v>
      </c>
      <c r="K716" s="2" t="s">
        <v>21</v>
      </c>
      <c r="L716" s="2" t="s">
        <v>19</v>
      </c>
    </row>
    <row r="717" customFormat="false" ht="15" hidden="false" customHeight="false" outlineLevel="0" collapsed="false">
      <c r="A717" s="2" t="s">
        <v>744</v>
      </c>
      <c r="B717" s="13" t="s">
        <v>743</v>
      </c>
      <c r="C717" s="13" t="s">
        <v>81</v>
      </c>
      <c r="D717" s="13" t="s">
        <v>3931</v>
      </c>
      <c r="E717" s="13" t="s">
        <v>82</v>
      </c>
      <c r="F717" s="2" t="s">
        <v>125</v>
      </c>
      <c r="G717" s="2" t="s">
        <v>3205</v>
      </c>
      <c r="H717" s="34" t="s">
        <v>668</v>
      </c>
      <c r="I717" s="2" t="s">
        <v>19</v>
      </c>
      <c r="J717" s="2" t="s">
        <v>19</v>
      </c>
      <c r="K717" s="2" t="s">
        <v>19</v>
      </c>
      <c r="L717" s="2" t="s">
        <v>19</v>
      </c>
    </row>
    <row r="718" customFormat="false" ht="15" hidden="false" customHeight="false" outlineLevel="0" collapsed="false">
      <c r="A718" s="2" t="s">
        <v>2038</v>
      </c>
      <c r="B718" s="13" t="s">
        <v>2037</v>
      </c>
      <c r="C718" s="13" t="s">
        <v>114</v>
      </c>
      <c r="D718" s="13" t="s">
        <v>3932</v>
      </c>
      <c r="E718" s="13" t="s">
        <v>99</v>
      </c>
      <c r="F718" s="2" t="s">
        <v>175</v>
      </c>
      <c r="G718" s="2" t="s">
        <v>3205</v>
      </c>
      <c r="H718" s="34" t="s">
        <v>668</v>
      </c>
      <c r="I718" s="2" t="s">
        <v>19</v>
      </c>
      <c r="J718" s="2" t="s">
        <v>19</v>
      </c>
      <c r="K718" s="2" t="s">
        <v>19</v>
      </c>
      <c r="L718" s="2" t="s">
        <v>19</v>
      </c>
    </row>
    <row r="719" customFormat="false" ht="15" hidden="false" customHeight="false" outlineLevel="0" collapsed="false">
      <c r="A719" s="2" t="s">
        <v>3124</v>
      </c>
      <c r="B719" s="16"/>
      <c r="C719" s="16"/>
      <c r="D719" s="16"/>
      <c r="E719" s="16"/>
      <c r="F719" s="2" t="s">
        <v>129</v>
      </c>
      <c r="G719" s="2" t="s">
        <v>3297</v>
      </c>
      <c r="H719" s="34" t="s">
        <v>668</v>
      </c>
      <c r="I719" s="2"/>
      <c r="J719" s="2"/>
      <c r="K719" s="2"/>
      <c r="L719" s="2"/>
    </row>
    <row r="720" customFormat="false" ht="15" hidden="false" customHeight="false" outlineLevel="0" collapsed="false">
      <c r="A720" s="2" t="s">
        <v>2021</v>
      </c>
      <c r="B720" s="13" t="s">
        <v>2020</v>
      </c>
      <c r="C720" s="13" t="s">
        <v>105</v>
      </c>
      <c r="D720" s="13" t="s">
        <v>3933</v>
      </c>
      <c r="E720" s="13" t="s">
        <v>170</v>
      </c>
      <c r="F720" s="2" t="s">
        <v>129</v>
      </c>
      <c r="G720" s="2" t="s">
        <v>3193</v>
      </c>
      <c r="H720" s="34" t="s">
        <v>668</v>
      </c>
      <c r="I720" s="2" t="s">
        <v>19</v>
      </c>
      <c r="J720" s="2" t="s">
        <v>19</v>
      </c>
      <c r="K720" s="2" t="s">
        <v>19</v>
      </c>
      <c r="L720" s="2" t="s">
        <v>19</v>
      </c>
    </row>
    <row r="721" customFormat="false" ht="15" hidden="false" customHeight="false" outlineLevel="0" collapsed="false">
      <c r="A721" s="2" t="s">
        <v>232</v>
      </c>
      <c r="B721" s="13" t="s">
        <v>231</v>
      </c>
      <c r="C721" s="13" t="s">
        <v>102</v>
      </c>
      <c r="D721" s="13" t="s">
        <v>3934</v>
      </c>
      <c r="E721" s="13" t="s">
        <v>115</v>
      </c>
      <c r="F721" s="2" t="s">
        <v>46</v>
      </c>
      <c r="G721" s="2" t="s">
        <v>3208</v>
      </c>
      <c r="H721" s="39" t="s">
        <v>671</v>
      </c>
      <c r="I721" s="2" t="s">
        <v>19</v>
      </c>
      <c r="J721" s="2" t="s">
        <v>19</v>
      </c>
      <c r="K721" s="2" t="s">
        <v>19</v>
      </c>
      <c r="L721" s="2" t="s">
        <v>19</v>
      </c>
    </row>
    <row r="722" customFormat="false" ht="15" hidden="false" customHeight="false" outlineLevel="0" collapsed="false">
      <c r="A722" s="2" t="s">
        <v>1952</v>
      </c>
      <c r="B722" s="14" t="s">
        <v>1951</v>
      </c>
      <c r="C722" s="14" t="s">
        <v>72</v>
      </c>
      <c r="D722" s="14" t="s">
        <v>3935</v>
      </c>
      <c r="E722" s="14" t="s">
        <v>118</v>
      </c>
      <c r="F722" s="2" t="s">
        <v>125</v>
      </c>
      <c r="G722" s="2" t="s">
        <v>3205</v>
      </c>
      <c r="H722" s="34" t="s">
        <v>668</v>
      </c>
      <c r="I722" s="2" t="s">
        <v>21</v>
      </c>
      <c r="J722" s="2" t="s">
        <v>21</v>
      </c>
      <c r="K722" s="2" t="s">
        <v>21</v>
      </c>
      <c r="L722" s="2" t="s">
        <v>21</v>
      </c>
    </row>
    <row r="723" customFormat="false" ht="15" hidden="false" customHeight="false" outlineLevel="0" collapsed="false">
      <c r="A723" s="2" t="s">
        <v>514</v>
      </c>
      <c r="B723" s="13" t="s">
        <v>513</v>
      </c>
      <c r="C723" s="13" t="s">
        <v>114</v>
      </c>
      <c r="D723" s="13" t="s">
        <v>3936</v>
      </c>
      <c r="E723" s="13" t="s">
        <v>82</v>
      </c>
      <c r="F723" s="2" t="s">
        <v>46</v>
      </c>
      <c r="G723" s="2" t="s">
        <v>3208</v>
      </c>
      <c r="H723" s="39" t="s">
        <v>671</v>
      </c>
      <c r="I723" s="2" t="s">
        <v>19</v>
      </c>
      <c r="J723" s="2" t="s">
        <v>19</v>
      </c>
      <c r="K723" s="2" t="s">
        <v>19</v>
      </c>
      <c r="L723" s="2" t="s">
        <v>19</v>
      </c>
    </row>
    <row r="724" customFormat="false" ht="15" hidden="false" customHeight="false" outlineLevel="0" collapsed="false">
      <c r="A724" s="2" t="s">
        <v>1601</v>
      </c>
      <c r="B724" s="14" t="s">
        <v>1600</v>
      </c>
      <c r="C724" s="16"/>
      <c r="D724" s="14" t="s">
        <v>3937</v>
      </c>
      <c r="E724" s="16"/>
      <c r="F724" s="2" t="s">
        <v>129</v>
      </c>
      <c r="G724" s="2" t="s">
        <v>3193</v>
      </c>
      <c r="H724" s="34" t="s">
        <v>668</v>
      </c>
      <c r="I724" s="2" t="s">
        <v>21</v>
      </c>
      <c r="J724" s="2"/>
      <c r="K724" s="2" t="s">
        <v>21</v>
      </c>
      <c r="L724" s="2"/>
    </row>
    <row r="725" customFormat="false" ht="15" hidden="false" customHeight="false" outlineLevel="0" collapsed="false">
      <c r="A725" s="2" t="s">
        <v>140</v>
      </c>
      <c r="B725" s="13" t="s">
        <v>139</v>
      </c>
      <c r="C725" s="13" t="s">
        <v>72</v>
      </c>
      <c r="D725" s="13" t="s">
        <v>3938</v>
      </c>
      <c r="E725" s="13" t="s">
        <v>99</v>
      </c>
      <c r="F725" s="2" t="s">
        <v>129</v>
      </c>
      <c r="G725" s="2" t="s">
        <v>3215</v>
      </c>
      <c r="H725" s="39" t="s">
        <v>671</v>
      </c>
      <c r="I725" s="2" t="s">
        <v>19</v>
      </c>
      <c r="J725" s="2" t="s">
        <v>19</v>
      </c>
      <c r="K725" s="2" t="s">
        <v>19</v>
      </c>
      <c r="L725" s="2" t="s">
        <v>19</v>
      </c>
    </row>
    <row r="726" customFormat="false" ht="15" hidden="false" customHeight="false" outlineLevel="0" collapsed="false">
      <c r="A726" s="2" t="s">
        <v>113</v>
      </c>
      <c r="B726" s="13" t="s">
        <v>112</v>
      </c>
      <c r="C726" s="13" t="s">
        <v>114</v>
      </c>
      <c r="D726" s="13" t="s">
        <v>3939</v>
      </c>
      <c r="E726" s="13" t="s">
        <v>115</v>
      </c>
      <c r="F726" s="2" t="s">
        <v>47</v>
      </c>
      <c r="G726" s="2" t="s">
        <v>3208</v>
      </c>
      <c r="H726" s="39" t="s">
        <v>671</v>
      </c>
      <c r="I726" s="2" t="s">
        <v>19</v>
      </c>
      <c r="J726" s="2" t="s">
        <v>19</v>
      </c>
      <c r="K726" s="2" t="s">
        <v>19</v>
      </c>
      <c r="L726" s="2" t="s">
        <v>19</v>
      </c>
    </row>
    <row r="727" customFormat="false" ht="15" hidden="false" customHeight="false" outlineLevel="0" collapsed="false">
      <c r="A727" s="2" t="s">
        <v>1988</v>
      </c>
      <c r="B727" s="13" t="s">
        <v>1987</v>
      </c>
      <c r="C727" s="13" t="s">
        <v>105</v>
      </c>
      <c r="D727" s="13" t="s">
        <v>3940</v>
      </c>
      <c r="E727" s="13" t="s">
        <v>115</v>
      </c>
      <c r="F727" s="2" t="s">
        <v>175</v>
      </c>
      <c r="G727" s="2" t="s">
        <v>3205</v>
      </c>
      <c r="H727" s="34" t="s">
        <v>668</v>
      </c>
      <c r="I727" s="2" t="s">
        <v>19</v>
      </c>
      <c r="J727" s="2" t="s">
        <v>19</v>
      </c>
      <c r="K727" s="2" t="s">
        <v>19</v>
      </c>
      <c r="L727" s="2" t="s">
        <v>19</v>
      </c>
    </row>
    <row r="728" customFormat="false" ht="15" hidden="false" customHeight="false" outlineLevel="0" collapsed="false">
      <c r="A728" s="2" t="s">
        <v>80</v>
      </c>
      <c r="B728" s="14" t="s">
        <v>79</v>
      </c>
      <c r="C728" s="14" t="s">
        <v>81</v>
      </c>
      <c r="D728" s="16"/>
      <c r="E728" s="14" t="s">
        <v>82</v>
      </c>
      <c r="F728" s="2" t="s">
        <v>45</v>
      </c>
      <c r="G728" s="2" t="s">
        <v>3208</v>
      </c>
      <c r="H728" s="39" t="s">
        <v>671</v>
      </c>
      <c r="I728" s="2" t="s">
        <v>21</v>
      </c>
      <c r="J728" s="2" t="s">
        <v>21</v>
      </c>
      <c r="K728" s="2"/>
      <c r="L728" s="2" t="s">
        <v>21</v>
      </c>
    </row>
    <row r="729" customFormat="false" ht="15" hidden="false" customHeight="false" outlineLevel="0" collapsed="false">
      <c r="A729" s="2" t="s">
        <v>2256</v>
      </c>
      <c r="B729" s="13" t="s">
        <v>2255</v>
      </c>
      <c r="C729" s="13" t="s">
        <v>105</v>
      </c>
      <c r="D729" s="14" t="s">
        <v>3941</v>
      </c>
      <c r="E729" s="13" t="s">
        <v>96</v>
      </c>
      <c r="F729" s="2" t="s">
        <v>129</v>
      </c>
      <c r="G729" s="2" t="s">
        <v>3193</v>
      </c>
      <c r="H729" s="34" t="s">
        <v>668</v>
      </c>
      <c r="I729" s="2" t="s">
        <v>19</v>
      </c>
      <c r="J729" s="2" t="s">
        <v>19</v>
      </c>
      <c r="K729" s="2" t="s">
        <v>21</v>
      </c>
      <c r="L729" s="2" t="s">
        <v>19</v>
      </c>
    </row>
    <row r="730" customFormat="false" ht="15" hidden="false" customHeight="false" outlineLevel="0" collapsed="false">
      <c r="A730" s="2" t="s">
        <v>438</v>
      </c>
      <c r="B730" s="13" t="s">
        <v>437</v>
      </c>
      <c r="C730" s="13" t="s">
        <v>114</v>
      </c>
      <c r="D730" s="13" t="s">
        <v>3942</v>
      </c>
      <c r="E730" s="13" t="s">
        <v>115</v>
      </c>
      <c r="F730" s="2" t="s">
        <v>175</v>
      </c>
      <c r="G730" s="2" t="s">
        <v>3218</v>
      </c>
      <c r="H730" s="39" t="s">
        <v>671</v>
      </c>
      <c r="I730" s="2" t="s">
        <v>19</v>
      </c>
      <c r="J730" s="2" t="s">
        <v>19</v>
      </c>
      <c r="K730" s="2" t="s">
        <v>19</v>
      </c>
      <c r="L730" s="2" t="s">
        <v>19</v>
      </c>
    </row>
    <row r="731" customFormat="false" ht="15" hidden="false" customHeight="false" outlineLevel="0" collapsed="false">
      <c r="A731" s="2" t="s">
        <v>183</v>
      </c>
      <c r="B731" s="13" t="s">
        <v>182</v>
      </c>
      <c r="C731" s="13" t="s">
        <v>114</v>
      </c>
      <c r="D731" s="13" t="s">
        <v>3943</v>
      </c>
      <c r="E731" s="13" t="s">
        <v>115</v>
      </c>
      <c r="F731" s="2" t="s">
        <v>157</v>
      </c>
      <c r="G731" s="2" t="s">
        <v>3218</v>
      </c>
      <c r="H731" s="39" t="s">
        <v>671</v>
      </c>
      <c r="I731" s="2" t="s">
        <v>19</v>
      </c>
      <c r="J731" s="2" t="s">
        <v>19</v>
      </c>
      <c r="K731" s="2" t="s">
        <v>19</v>
      </c>
      <c r="L731" s="2" t="s">
        <v>19</v>
      </c>
    </row>
    <row r="732" customFormat="false" ht="15" hidden="false" customHeight="false" outlineLevel="0" collapsed="false">
      <c r="A732" s="2" t="s">
        <v>2032</v>
      </c>
      <c r="B732" s="14" t="s">
        <v>2031</v>
      </c>
      <c r="C732" s="14" t="s">
        <v>72</v>
      </c>
      <c r="D732" s="14" t="s">
        <v>3944</v>
      </c>
      <c r="E732" s="14" t="s">
        <v>111</v>
      </c>
      <c r="F732" s="2" t="s">
        <v>175</v>
      </c>
      <c r="G732" s="2" t="s">
        <v>3205</v>
      </c>
      <c r="H732" s="34" t="s">
        <v>668</v>
      </c>
      <c r="I732" s="2" t="s">
        <v>21</v>
      </c>
      <c r="J732" s="2" t="s">
        <v>21</v>
      </c>
      <c r="K732" s="2" t="s">
        <v>21</v>
      </c>
      <c r="L732" s="2" t="s">
        <v>21</v>
      </c>
    </row>
    <row r="733" customFormat="false" ht="15" hidden="false" customHeight="false" outlineLevel="0" collapsed="false">
      <c r="A733" s="2" t="s">
        <v>1758</v>
      </c>
      <c r="B733" s="14" t="s">
        <v>1757</v>
      </c>
      <c r="C733" s="13" t="s">
        <v>138</v>
      </c>
      <c r="D733" s="13" t="s">
        <v>3945</v>
      </c>
      <c r="E733" s="13" t="s">
        <v>170</v>
      </c>
      <c r="F733" s="2" t="s">
        <v>129</v>
      </c>
      <c r="G733" s="2" t="s">
        <v>3193</v>
      </c>
      <c r="H733" s="34" t="s">
        <v>668</v>
      </c>
      <c r="I733" s="2" t="s">
        <v>21</v>
      </c>
      <c r="J733" s="2" t="s">
        <v>19</v>
      </c>
      <c r="K733" s="2" t="s">
        <v>19</v>
      </c>
      <c r="L733" s="2" t="s">
        <v>19</v>
      </c>
    </row>
    <row r="734" customFormat="false" ht="15" hidden="false" customHeight="false" outlineLevel="0" collapsed="false">
      <c r="A734" s="2" t="s">
        <v>226</v>
      </c>
      <c r="B734" s="14" t="s">
        <v>225</v>
      </c>
      <c r="C734" s="14" t="s">
        <v>77</v>
      </c>
      <c r="D734" s="14" t="s">
        <v>3946</v>
      </c>
      <c r="E734" s="14" t="s">
        <v>170</v>
      </c>
      <c r="F734" s="2" t="s">
        <v>46</v>
      </c>
      <c r="G734" s="2" t="s">
        <v>3208</v>
      </c>
      <c r="H734" s="39" t="s">
        <v>671</v>
      </c>
      <c r="I734" s="2" t="s">
        <v>21</v>
      </c>
      <c r="J734" s="2" t="s">
        <v>21</v>
      </c>
      <c r="K734" s="2" t="s">
        <v>21</v>
      </c>
      <c r="L734" s="2" t="s">
        <v>21</v>
      </c>
    </row>
    <row r="735" customFormat="false" ht="15" hidden="false" customHeight="false" outlineLevel="0" collapsed="false">
      <c r="A735" s="2" t="s">
        <v>3128</v>
      </c>
      <c r="B735" s="14" t="s">
        <v>3947</v>
      </c>
      <c r="C735" s="14" t="s">
        <v>87</v>
      </c>
      <c r="D735" s="14" t="s">
        <v>3948</v>
      </c>
      <c r="E735" s="14" t="s">
        <v>170</v>
      </c>
      <c r="F735" s="2" t="s">
        <v>45</v>
      </c>
      <c r="G735" s="2" t="s">
        <v>3202</v>
      </c>
      <c r="H735" s="34" t="s">
        <v>668</v>
      </c>
      <c r="I735" s="2" t="s">
        <v>21</v>
      </c>
      <c r="J735" s="2" t="s">
        <v>21</v>
      </c>
      <c r="K735" s="2" t="s">
        <v>21</v>
      </c>
      <c r="L735" s="2" t="s">
        <v>21</v>
      </c>
    </row>
    <row r="736" customFormat="false" ht="15" hidden="false" customHeight="false" outlineLevel="0" collapsed="false">
      <c r="A736" s="2" t="s">
        <v>2501</v>
      </c>
      <c r="B736" s="13" t="s">
        <v>2500</v>
      </c>
      <c r="C736" s="13" t="s">
        <v>81</v>
      </c>
      <c r="D736" s="13" t="s">
        <v>3949</v>
      </c>
      <c r="E736" s="13" t="s">
        <v>115</v>
      </c>
      <c r="F736" s="2" t="s">
        <v>129</v>
      </c>
      <c r="G736" s="2" t="s">
        <v>3193</v>
      </c>
      <c r="H736" s="34" t="s">
        <v>668</v>
      </c>
      <c r="I736" s="2" t="s">
        <v>19</v>
      </c>
      <c r="J736" s="2" t="s">
        <v>19</v>
      </c>
      <c r="K736" s="2" t="s">
        <v>19</v>
      </c>
      <c r="L736" s="2" t="s">
        <v>19</v>
      </c>
    </row>
    <row r="737" customFormat="false" ht="15" hidden="false" customHeight="false" outlineLevel="0" collapsed="false">
      <c r="A737" s="2" t="s">
        <v>1679</v>
      </c>
      <c r="B737" s="13" t="s">
        <v>1678</v>
      </c>
      <c r="C737" s="13" t="s">
        <v>92</v>
      </c>
      <c r="D737" s="13" t="s">
        <v>3950</v>
      </c>
      <c r="E737" s="13" t="s">
        <v>73</v>
      </c>
      <c r="F737" s="2" t="s">
        <v>129</v>
      </c>
      <c r="G737" s="2" t="s">
        <v>3195</v>
      </c>
      <c r="H737" s="34" t="s">
        <v>668</v>
      </c>
      <c r="I737" s="2" t="s">
        <v>19</v>
      </c>
      <c r="J737" s="2" t="s">
        <v>19</v>
      </c>
      <c r="K737" s="2" t="s">
        <v>19</v>
      </c>
      <c r="L737" s="2" t="s">
        <v>19</v>
      </c>
    </row>
    <row r="738" customFormat="false" ht="15" hidden="false" customHeight="false" outlineLevel="0" collapsed="false">
      <c r="A738" s="2" t="s">
        <v>2056</v>
      </c>
      <c r="B738" s="13" t="s">
        <v>2055</v>
      </c>
      <c r="C738" s="13" t="s">
        <v>133</v>
      </c>
      <c r="D738" s="13" t="s">
        <v>3951</v>
      </c>
      <c r="E738" s="13" t="s">
        <v>115</v>
      </c>
      <c r="F738" s="2" t="s">
        <v>175</v>
      </c>
      <c r="G738" s="2" t="s">
        <v>3205</v>
      </c>
      <c r="H738" s="34" t="s">
        <v>668</v>
      </c>
      <c r="I738" s="2" t="s">
        <v>19</v>
      </c>
      <c r="J738" s="2" t="s">
        <v>19</v>
      </c>
      <c r="K738" s="2" t="s">
        <v>19</v>
      </c>
      <c r="L738" s="2" t="s">
        <v>19</v>
      </c>
    </row>
    <row r="739" customFormat="false" ht="15" hidden="false" customHeight="false" outlineLevel="0" collapsed="false">
      <c r="A739" s="2" t="s">
        <v>2619</v>
      </c>
      <c r="B739" s="13" t="s">
        <v>2618</v>
      </c>
      <c r="C739" s="13" t="s">
        <v>114</v>
      </c>
      <c r="D739" s="13" t="s">
        <v>3952</v>
      </c>
      <c r="E739" s="13" t="s">
        <v>111</v>
      </c>
      <c r="F739" s="2" t="s">
        <v>129</v>
      </c>
      <c r="G739" s="2" t="s">
        <v>3193</v>
      </c>
      <c r="H739" s="34" t="s">
        <v>668</v>
      </c>
      <c r="I739" s="2" t="s">
        <v>19</v>
      </c>
      <c r="J739" s="2" t="s">
        <v>19</v>
      </c>
      <c r="K739" s="2" t="s">
        <v>19</v>
      </c>
      <c r="L739" s="2" t="s">
        <v>19</v>
      </c>
    </row>
    <row r="740" customFormat="false" ht="15" hidden="false" customHeight="false" outlineLevel="0" collapsed="false">
      <c r="A740" s="2" t="s">
        <v>1436</v>
      </c>
      <c r="B740" s="13" t="s">
        <v>1435</v>
      </c>
      <c r="C740" s="13" t="s">
        <v>105</v>
      </c>
      <c r="D740" s="13" t="s">
        <v>3953</v>
      </c>
      <c r="E740" s="13" t="s">
        <v>82</v>
      </c>
      <c r="F740" s="2" t="s">
        <v>129</v>
      </c>
      <c r="G740" s="2" t="s">
        <v>3195</v>
      </c>
      <c r="H740" s="34" t="s">
        <v>668</v>
      </c>
      <c r="I740" s="2" t="s">
        <v>19</v>
      </c>
      <c r="J740" s="2" t="s">
        <v>19</v>
      </c>
      <c r="K740" s="2" t="s">
        <v>19</v>
      </c>
      <c r="L740" s="2" t="s">
        <v>19</v>
      </c>
    </row>
    <row r="741" customFormat="false" ht="15" hidden="false" customHeight="false" outlineLevel="0" collapsed="false">
      <c r="A741" s="2" t="s">
        <v>1381</v>
      </c>
      <c r="B741" s="13" t="s">
        <v>1380</v>
      </c>
      <c r="C741" s="13" t="s">
        <v>114</v>
      </c>
      <c r="D741" s="13" t="s">
        <v>3954</v>
      </c>
      <c r="E741" s="13" t="s">
        <v>115</v>
      </c>
      <c r="F741" s="2" t="s">
        <v>125</v>
      </c>
      <c r="G741" s="2" t="s">
        <v>3205</v>
      </c>
      <c r="H741" s="34" t="s">
        <v>668</v>
      </c>
      <c r="I741" s="2" t="s">
        <v>19</v>
      </c>
      <c r="J741" s="2" t="s">
        <v>19</v>
      </c>
      <c r="K741" s="2" t="s">
        <v>19</v>
      </c>
      <c r="L741" s="2" t="s">
        <v>19</v>
      </c>
    </row>
    <row r="742" customFormat="false" ht="15" hidden="false" customHeight="false" outlineLevel="0" collapsed="false">
      <c r="A742" s="2" t="s">
        <v>254</v>
      </c>
      <c r="B742" s="13" t="s">
        <v>253</v>
      </c>
      <c r="C742" s="13" t="s">
        <v>102</v>
      </c>
      <c r="D742" s="13" t="s">
        <v>3955</v>
      </c>
      <c r="E742" s="13" t="s">
        <v>82</v>
      </c>
      <c r="F742" s="2" t="s">
        <v>175</v>
      </c>
      <c r="G742" s="2" t="s">
        <v>3218</v>
      </c>
      <c r="H742" s="39" t="s">
        <v>671</v>
      </c>
      <c r="I742" s="2" t="s">
        <v>19</v>
      </c>
      <c r="J742" s="2" t="s">
        <v>19</v>
      </c>
      <c r="K742" s="2" t="s">
        <v>19</v>
      </c>
      <c r="L742" s="2" t="s">
        <v>19</v>
      </c>
    </row>
    <row r="743" customFormat="false" ht="15" hidden="false" customHeight="false" outlineLevel="0" collapsed="false">
      <c r="A743" s="2" t="s">
        <v>458</v>
      </c>
      <c r="B743" s="13" t="s">
        <v>457</v>
      </c>
      <c r="C743" s="13" t="s">
        <v>92</v>
      </c>
      <c r="D743" s="13" t="s">
        <v>3956</v>
      </c>
      <c r="E743" s="13" t="s">
        <v>115</v>
      </c>
      <c r="F743" s="2" t="s">
        <v>129</v>
      </c>
      <c r="G743" s="2" t="s">
        <v>3215</v>
      </c>
      <c r="H743" s="39" t="s">
        <v>671</v>
      </c>
      <c r="I743" s="2" t="s">
        <v>19</v>
      </c>
      <c r="J743" s="2" t="s">
        <v>19</v>
      </c>
      <c r="K743" s="2" t="s">
        <v>19</v>
      </c>
      <c r="L743" s="2" t="s">
        <v>19</v>
      </c>
    </row>
    <row r="744" customFormat="false" ht="15" hidden="false" customHeight="false" outlineLevel="0" collapsed="false">
      <c r="A744" s="2" t="s">
        <v>3133</v>
      </c>
      <c r="B744" s="16"/>
      <c r="C744" s="16"/>
      <c r="D744" s="16"/>
      <c r="E744" s="16"/>
      <c r="F744" s="2" t="s">
        <v>46</v>
      </c>
      <c r="G744" s="2" t="s">
        <v>3202</v>
      </c>
      <c r="H744" s="34" t="s">
        <v>668</v>
      </c>
      <c r="I744" s="2"/>
      <c r="J744" s="2"/>
      <c r="K744" s="2"/>
      <c r="L744" s="2"/>
    </row>
    <row r="745" customFormat="false" ht="15" hidden="false" customHeight="false" outlineLevel="0" collapsed="false">
      <c r="A745" s="2" t="s">
        <v>2517</v>
      </c>
      <c r="B745" s="13" t="s">
        <v>2516</v>
      </c>
      <c r="C745" s="13" t="s">
        <v>133</v>
      </c>
      <c r="D745" s="13" t="s">
        <v>3957</v>
      </c>
      <c r="E745" s="13" t="s">
        <v>108</v>
      </c>
      <c r="F745" s="2" t="s">
        <v>129</v>
      </c>
      <c r="G745" s="2" t="s">
        <v>3193</v>
      </c>
      <c r="H745" s="34" t="s">
        <v>668</v>
      </c>
      <c r="I745" s="2" t="s">
        <v>19</v>
      </c>
      <c r="J745" s="2" t="s">
        <v>19</v>
      </c>
      <c r="K745" s="2" t="s">
        <v>19</v>
      </c>
      <c r="L745" s="2" t="s">
        <v>19</v>
      </c>
    </row>
    <row r="746" customFormat="false" ht="15" hidden="false" customHeight="false" outlineLevel="0" collapsed="false">
      <c r="A746" s="2" t="s">
        <v>3135</v>
      </c>
      <c r="B746" s="13" t="s">
        <v>3958</v>
      </c>
      <c r="C746" s="13" t="s">
        <v>72</v>
      </c>
      <c r="D746" s="13" t="s">
        <v>3959</v>
      </c>
      <c r="E746" s="13" t="s">
        <v>96</v>
      </c>
      <c r="F746" s="2" t="s">
        <v>129</v>
      </c>
      <c r="G746" s="2" t="s">
        <v>3297</v>
      </c>
      <c r="H746" s="34" t="s">
        <v>668</v>
      </c>
      <c r="I746" s="2" t="s">
        <v>19</v>
      </c>
      <c r="J746" s="2" t="s">
        <v>19</v>
      </c>
      <c r="K746" s="2" t="s">
        <v>19</v>
      </c>
      <c r="L746" s="2" t="s">
        <v>19</v>
      </c>
    </row>
    <row r="747" customFormat="false" ht="15" hidden="false" customHeight="false" outlineLevel="0" collapsed="false">
      <c r="A747" s="2" t="s">
        <v>1493</v>
      </c>
      <c r="B747" s="14" t="s">
        <v>1492</v>
      </c>
      <c r="C747" s="16"/>
      <c r="D747" s="14" t="s">
        <v>3960</v>
      </c>
      <c r="E747" s="14" t="s">
        <v>82</v>
      </c>
      <c r="F747" s="2" t="s">
        <v>175</v>
      </c>
      <c r="G747" s="2" t="s">
        <v>3205</v>
      </c>
      <c r="H747" s="34" t="s">
        <v>668</v>
      </c>
      <c r="I747" s="2" t="s">
        <v>21</v>
      </c>
      <c r="J747" s="2"/>
      <c r="K747" s="2" t="s">
        <v>21</v>
      </c>
      <c r="L747" s="2" t="s">
        <v>21</v>
      </c>
    </row>
    <row r="748" customFormat="false" ht="15" hidden="false" customHeight="false" outlineLevel="0" collapsed="false">
      <c r="A748" s="2" t="s">
        <v>128</v>
      </c>
      <c r="B748" s="13" t="s">
        <v>127</v>
      </c>
      <c r="C748" s="13" t="s">
        <v>92</v>
      </c>
      <c r="D748" s="13" t="s">
        <v>3961</v>
      </c>
      <c r="E748" s="13" t="s">
        <v>111</v>
      </c>
      <c r="F748" s="2" t="s">
        <v>129</v>
      </c>
      <c r="G748" s="2" t="s">
        <v>3215</v>
      </c>
      <c r="H748" s="39" t="s">
        <v>671</v>
      </c>
      <c r="I748" s="2" t="s">
        <v>19</v>
      </c>
      <c r="J748" s="2" t="s">
        <v>19</v>
      </c>
      <c r="K748" s="2" t="s">
        <v>19</v>
      </c>
      <c r="L748" s="2" t="s">
        <v>19</v>
      </c>
    </row>
    <row r="749" customFormat="false" ht="15" hidden="false" customHeight="false" outlineLevel="0" collapsed="false">
      <c r="A749" s="2" t="s">
        <v>1956</v>
      </c>
      <c r="B749" s="13" t="s">
        <v>1955</v>
      </c>
      <c r="C749" s="13" t="s">
        <v>133</v>
      </c>
      <c r="D749" s="13" t="s">
        <v>3962</v>
      </c>
      <c r="E749" s="13" t="s">
        <v>96</v>
      </c>
      <c r="F749" s="2" t="s">
        <v>129</v>
      </c>
      <c r="G749" s="2" t="s">
        <v>3195</v>
      </c>
      <c r="H749" s="34" t="s">
        <v>668</v>
      </c>
      <c r="I749" s="2" t="s">
        <v>19</v>
      </c>
      <c r="J749" s="2" t="s">
        <v>19</v>
      </c>
      <c r="K749" s="2" t="s">
        <v>19</v>
      </c>
      <c r="L749" s="2" t="s">
        <v>19</v>
      </c>
    </row>
    <row r="750" customFormat="false" ht="15" hidden="false" customHeight="false" outlineLevel="0" collapsed="false">
      <c r="A750" s="2" t="s">
        <v>374</v>
      </c>
      <c r="B750" s="13" t="s">
        <v>373</v>
      </c>
      <c r="C750" s="13" t="s">
        <v>102</v>
      </c>
      <c r="D750" s="13" t="s">
        <v>3963</v>
      </c>
      <c r="E750" s="13" t="s">
        <v>118</v>
      </c>
      <c r="F750" s="2" t="s">
        <v>125</v>
      </c>
      <c r="G750" s="2" t="s">
        <v>3218</v>
      </c>
      <c r="H750" s="39" t="s">
        <v>671</v>
      </c>
      <c r="I750" s="2" t="s">
        <v>19</v>
      </c>
      <c r="J750" s="2" t="s">
        <v>19</v>
      </c>
      <c r="K750" s="2" t="s">
        <v>19</v>
      </c>
      <c r="L750" s="2" t="s">
        <v>19</v>
      </c>
    </row>
    <row r="751" customFormat="false" ht="15" hidden="false" customHeight="false" outlineLevel="0" collapsed="false">
      <c r="A751" s="2" t="s">
        <v>3139</v>
      </c>
      <c r="B751" s="14" t="s">
        <v>3964</v>
      </c>
      <c r="C751" s="14" t="s">
        <v>114</v>
      </c>
      <c r="D751" s="14" t="s">
        <v>3965</v>
      </c>
      <c r="E751" s="15" t="s">
        <v>170</v>
      </c>
      <c r="F751" s="2" t="s">
        <v>129</v>
      </c>
      <c r="G751" s="2" t="s">
        <v>3297</v>
      </c>
      <c r="H751" s="34" t="s">
        <v>668</v>
      </c>
      <c r="I751" s="2" t="s">
        <v>21</v>
      </c>
      <c r="J751" s="2" t="s">
        <v>21</v>
      </c>
      <c r="K751" s="2" t="s">
        <v>21</v>
      </c>
      <c r="L751" s="2" t="s">
        <v>17</v>
      </c>
    </row>
    <row r="752" customFormat="false" ht="15" hidden="false" customHeight="false" outlineLevel="0" collapsed="false">
      <c r="A752" s="2" t="s">
        <v>1141</v>
      </c>
      <c r="B752" s="13" t="s">
        <v>1140</v>
      </c>
      <c r="C752" s="13" t="s">
        <v>105</v>
      </c>
      <c r="D752" s="14" t="s">
        <v>3966</v>
      </c>
      <c r="E752" s="13" t="s">
        <v>115</v>
      </c>
      <c r="F752" s="2" t="s">
        <v>129</v>
      </c>
      <c r="G752" s="2" t="s">
        <v>3195</v>
      </c>
      <c r="H752" s="34" t="s">
        <v>668</v>
      </c>
      <c r="I752" s="2" t="s">
        <v>19</v>
      </c>
      <c r="J752" s="2" t="s">
        <v>19</v>
      </c>
      <c r="K752" s="2" t="s">
        <v>21</v>
      </c>
      <c r="L752" s="2" t="s">
        <v>19</v>
      </c>
    </row>
    <row r="753" customFormat="false" ht="15" hidden="false" customHeight="false" outlineLevel="0" collapsed="false">
      <c r="A753" s="2" t="s">
        <v>2184</v>
      </c>
      <c r="B753" s="13" t="s">
        <v>2183</v>
      </c>
      <c r="C753" s="13" t="s">
        <v>138</v>
      </c>
      <c r="D753" s="13" t="s">
        <v>3967</v>
      </c>
      <c r="E753" s="13" t="s">
        <v>115</v>
      </c>
      <c r="F753" s="2" t="s">
        <v>129</v>
      </c>
      <c r="G753" s="2" t="s">
        <v>3193</v>
      </c>
      <c r="H753" s="34" t="s">
        <v>668</v>
      </c>
      <c r="I753" s="2" t="s">
        <v>19</v>
      </c>
      <c r="J753" s="2" t="s">
        <v>19</v>
      </c>
      <c r="K753" s="2" t="s">
        <v>19</v>
      </c>
      <c r="L753" s="2" t="s">
        <v>19</v>
      </c>
    </row>
    <row r="754" customFormat="false" ht="15" hidden="false" customHeight="false" outlineLevel="0" collapsed="false">
      <c r="A754" s="2" t="s">
        <v>1920</v>
      </c>
      <c r="B754" s="14" t="s">
        <v>1919</v>
      </c>
      <c r="C754" s="14" t="s">
        <v>72</v>
      </c>
      <c r="D754" s="14" t="s">
        <v>3968</v>
      </c>
      <c r="E754" s="14" t="s">
        <v>93</v>
      </c>
      <c r="F754" s="2" t="s">
        <v>129</v>
      </c>
      <c r="G754" s="2" t="s">
        <v>3195</v>
      </c>
      <c r="H754" s="34" t="s">
        <v>668</v>
      </c>
      <c r="I754" s="2" t="s">
        <v>21</v>
      </c>
      <c r="J754" s="2" t="s">
        <v>21</v>
      </c>
      <c r="K754" s="2" t="s">
        <v>21</v>
      </c>
      <c r="L754" s="2" t="s">
        <v>21</v>
      </c>
    </row>
    <row r="755" customFormat="false" ht="15" hidden="false" customHeight="false" outlineLevel="0" collapsed="false">
      <c r="A755" s="2" t="s">
        <v>1558</v>
      </c>
      <c r="B755" s="14" t="s">
        <v>1557</v>
      </c>
      <c r="C755" s="14" t="s">
        <v>133</v>
      </c>
      <c r="D755" s="14" t="s">
        <v>3969</v>
      </c>
      <c r="E755" s="14" t="s">
        <v>118</v>
      </c>
      <c r="F755" s="2" t="s">
        <v>129</v>
      </c>
      <c r="G755" s="2" t="s">
        <v>3193</v>
      </c>
      <c r="H755" s="34" t="s">
        <v>668</v>
      </c>
      <c r="I755" s="2" t="s">
        <v>21</v>
      </c>
      <c r="J755" s="2" t="s">
        <v>21</v>
      </c>
      <c r="K755" s="2" t="s">
        <v>21</v>
      </c>
      <c r="L755" s="2" t="s">
        <v>21</v>
      </c>
    </row>
    <row r="756" customFormat="false" ht="15" hidden="false" customHeight="false" outlineLevel="0" collapsed="false">
      <c r="A756" s="2" t="s">
        <v>1894</v>
      </c>
      <c r="B756" s="13" t="s">
        <v>1893</v>
      </c>
      <c r="C756" s="13" t="s">
        <v>138</v>
      </c>
      <c r="D756" s="13" t="s">
        <v>3970</v>
      </c>
      <c r="E756" s="13" t="s">
        <v>96</v>
      </c>
      <c r="F756" s="2" t="s">
        <v>129</v>
      </c>
      <c r="G756" s="2" t="s">
        <v>3195</v>
      </c>
      <c r="H756" s="34" t="s">
        <v>668</v>
      </c>
      <c r="I756" s="2" t="s">
        <v>19</v>
      </c>
      <c r="J756" s="2" t="s">
        <v>19</v>
      </c>
      <c r="K756" s="2" t="s">
        <v>19</v>
      </c>
      <c r="L756" s="2" t="s">
        <v>19</v>
      </c>
    </row>
    <row r="757" customFormat="false" ht="15" hidden="false" customHeight="false" outlineLevel="0" collapsed="false">
      <c r="A757" s="2" t="s">
        <v>132</v>
      </c>
      <c r="B757" s="14" t="s">
        <v>131</v>
      </c>
      <c r="C757" s="14" t="s">
        <v>133</v>
      </c>
      <c r="D757" s="14" t="s">
        <v>3971</v>
      </c>
      <c r="E757" s="14" t="s">
        <v>93</v>
      </c>
      <c r="F757" s="2" t="s">
        <v>45</v>
      </c>
      <c r="G757" s="2" t="s">
        <v>3208</v>
      </c>
      <c r="H757" s="39" t="s">
        <v>671</v>
      </c>
      <c r="I757" s="2" t="s">
        <v>21</v>
      </c>
      <c r="J757" s="2" t="s">
        <v>21</v>
      </c>
      <c r="K757" s="2" t="s">
        <v>21</v>
      </c>
      <c r="L757" s="2" t="s">
        <v>21</v>
      </c>
    </row>
    <row r="758" customFormat="false" ht="15" hidden="false" customHeight="false" outlineLevel="0" collapsed="false">
      <c r="A758" s="2" t="s">
        <v>808</v>
      </c>
      <c r="B758" s="13" t="s">
        <v>807</v>
      </c>
      <c r="C758" s="13" t="s">
        <v>81</v>
      </c>
      <c r="D758" s="13" t="s">
        <v>3972</v>
      </c>
      <c r="E758" s="13" t="s">
        <v>99</v>
      </c>
      <c r="F758" s="2" t="s">
        <v>125</v>
      </c>
      <c r="G758" s="2" t="s">
        <v>3205</v>
      </c>
      <c r="H758" s="34" t="s">
        <v>668</v>
      </c>
      <c r="I758" s="2" t="s">
        <v>19</v>
      </c>
      <c r="J758" s="2" t="s">
        <v>19</v>
      </c>
      <c r="K758" s="2" t="s">
        <v>19</v>
      </c>
      <c r="L758" s="2" t="s">
        <v>19</v>
      </c>
    </row>
    <row r="759" customFormat="false" ht="15" hidden="false" customHeight="false" outlineLevel="0" collapsed="false">
      <c r="A759" s="2" t="s">
        <v>98</v>
      </c>
      <c r="B759" s="13" t="s">
        <v>97</v>
      </c>
      <c r="C759" s="13" t="s">
        <v>77</v>
      </c>
      <c r="D759" s="13" t="s">
        <v>3973</v>
      </c>
      <c r="E759" s="13" t="s">
        <v>99</v>
      </c>
      <c r="F759" s="2" t="s">
        <v>45</v>
      </c>
      <c r="G759" s="2" t="s">
        <v>3208</v>
      </c>
      <c r="H759" s="39" t="s">
        <v>671</v>
      </c>
      <c r="I759" s="2" t="s">
        <v>19</v>
      </c>
      <c r="J759" s="2" t="s">
        <v>19</v>
      </c>
      <c r="K759" s="2" t="s">
        <v>19</v>
      </c>
      <c r="L759" s="2" t="s">
        <v>19</v>
      </c>
    </row>
    <row r="760" customFormat="false" ht="15" hidden="false" customHeight="false" outlineLevel="0" collapsed="false">
      <c r="A760" s="2" t="s">
        <v>216</v>
      </c>
      <c r="B760" s="14" t="s">
        <v>215</v>
      </c>
      <c r="C760" s="14" t="s">
        <v>102</v>
      </c>
      <c r="D760" s="15" t="s">
        <v>3974</v>
      </c>
      <c r="E760" s="14" t="s">
        <v>170</v>
      </c>
      <c r="F760" s="2" t="s">
        <v>46</v>
      </c>
      <c r="G760" s="2" t="s">
        <v>3208</v>
      </c>
      <c r="H760" s="39" t="s">
        <v>671</v>
      </c>
      <c r="I760" s="2" t="s">
        <v>21</v>
      </c>
      <c r="J760" s="2" t="s">
        <v>21</v>
      </c>
      <c r="K760" s="2" t="s">
        <v>17</v>
      </c>
      <c r="L760" s="2" t="s">
        <v>21</v>
      </c>
    </row>
    <row r="761" customFormat="false" ht="15" hidden="false" customHeight="false" outlineLevel="0" collapsed="false">
      <c r="A761" s="2" t="s">
        <v>492</v>
      </c>
      <c r="B761" s="13" t="s">
        <v>491</v>
      </c>
      <c r="C761" s="13" t="s">
        <v>92</v>
      </c>
      <c r="D761" s="13" t="s">
        <v>3975</v>
      </c>
      <c r="E761" s="13" t="s">
        <v>111</v>
      </c>
      <c r="F761" s="2" t="s">
        <v>157</v>
      </c>
      <c r="G761" s="2" t="s">
        <v>3218</v>
      </c>
      <c r="H761" s="39" t="s">
        <v>671</v>
      </c>
      <c r="I761" s="2" t="s">
        <v>19</v>
      </c>
      <c r="J761" s="2" t="s">
        <v>19</v>
      </c>
      <c r="K761" s="2" t="s">
        <v>19</v>
      </c>
      <c r="L761" s="2" t="s">
        <v>19</v>
      </c>
    </row>
    <row r="762" customFormat="false" ht="15" hidden="false" customHeight="false" outlineLevel="0" collapsed="false">
      <c r="A762" s="2" t="s">
        <v>972</v>
      </c>
      <c r="B762" s="13" t="s">
        <v>971</v>
      </c>
      <c r="C762" s="13" t="s">
        <v>87</v>
      </c>
      <c r="D762" s="13" t="s">
        <v>3976</v>
      </c>
      <c r="E762" s="13" t="s">
        <v>99</v>
      </c>
      <c r="F762" s="2" t="s">
        <v>129</v>
      </c>
      <c r="G762" s="2" t="s">
        <v>3195</v>
      </c>
      <c r="H762" s="34" t="s">
        <v>668</v>
      </c>
      <c r="I762" s="2" t="s">
        <v>19</v>
      </c>
      <c r="J762" s="2" t="s">
        <v>19</v>
      </c>
      <c r="K762" s="2" t="s">
        <v>19</v>
      </c>
      <c r="L762" s="2" t="s">
        <v>19</v>
      </c>
    </row>
    <row r="763" customFormat="false" ht="15" hidden="false" customHeight="false" outlineLevel="0" collapsed="false">
      <c r="A763" s="2" t="s">
        <v>1856</v>
      </c>
      <c r="B763" s="13" t="s">
        <v>1855</v>
      </c>
      <c r="C763" s="13" t="s">
        <v>72</v>
      </c>
      <c r="D763" s="13" t="s">
        <v>3977</v>
      </c>
      <c r="E763" s="13" t="s">
        <v>73</v>
      </c>
      <c r="F763" s="2" t="s">
        <v>129</v>
      </c>
      <c r="G763" s="2" t="s">
        <v>3195</v>
      </c>
      <c r="H763" s="34" t="s">
        <v>668</v>
      </c>
      <c r="I763" s="2" t="s">
        <v>19</v>
      </c>
      <c r="J763" s="2" t="s">
        <v>19</v>
      </c>
      <c r="K763" s="2" t="s">
        <v>19</v>
      </c>
      <c r="L763" s="2" t="s">
        <v>19</v>
      </c>
    </row>
    <row r="764" customFormat="false" ht="15" hidden="false" customHeight="false" outlineLevel="0" collapsed="false">
      <c r="A764" s="2" t="s">
        <v>3147</v>
      </c>
      <c r="B764" s="16"/>
      <c r="C764" s="16"/>
      <c r="D764" s="16"/>
      <c r="E764" s="16"/>
      <c r="F764" s="2" t="s">
        <v>157</v>
      </c>
      <c r="G764" s="2" t="s">
        <v>3199</v>
      </c>
      <c r="H764" s="34" t="s">
        <v>668</v>
      </c>
      <c r="I764" s="2"/>
      <c r="J764" s="2"/>
      <c r="K764" s="2"/>
      <c r="L764" s="2"/>
    </row>
    <row r="765" customFormat="false" ht="15" hidden="false" customHeight="false" outlineLevel="0" collapsed="false">
      <c r="A765" s="2" t="s">
        <v>2416</v>
      </c>
      <c r="B765" s="14" t="s">
        <v>2415</v>
      </c>
      <c r="C765" s="14" t="s">
        <v>102</v>
      </c>
      <c r="D765" s="16"/>
      <c r="E765" s="14" t="s">
        <v>111</v>
      </c>
      <c r="F765" s="2" t="s">
        <v>157</v>
      </c>
      <c r="G765" s="2" t="s">
        <v>3205</v>
      </c>
      <c r="H765" s="34" t="s">
        <v>668</v>
      </c>
      <c r="I765" s="2" t="s">
        <v>21</v>
      </c>
      <c r="J765" s="2" t="s">
        <v>21</v>
      </c>
      <c r="K765" s="2"/>
      <c r="L765" s="2" t="s">
        <v>21</v>
      </c>
    </row>
    <row r="766" customFormat="false" ht="15" hidden="false" customHeight="false" outlineLevel="0" collapsed="false">
      <c r="A766" s="2" t="s">
        <v>1829</v>
      </c>
      <c r="B766" s="14" t="s">
        <v>1828</v>
      </c>
      <c r="C766" s="14" t="s">
        <v>133</v>
      </c>
      <c r="D766" s="14" t="s">
        <v>3978</v>
      </c>
      <c r="E766" s="14" t="s">
        <v>108</v>
      </c>
      <c r="F766" s="2" t="s">
        <v>129</v>
      </c>
      <c r="G766" s="2" t="s">
        <v>3195</v>
      </c>
      <c r="H766" s="34" t="s">
        <v>668</v>
      </c>
      <c r="I766" s="2" t="s">
        <v>21</v>
      </c>
      <c r="J766" s="2" t="s">
        <v>21</v>
      </c>
      <c r="K766" s="2" t="s">
        <v>21</v>
      </c>
      <c r="L766" s="2" t="s">
        <v>21</v>
      </c>
    </row>
    <row r="767" customFormat="false" ht="15" hidden="false" customHeight="false" outlineLevel="0" collapsed="false">
      <c r="A767" s="2" t="s">
        <v>1370</v>
      </c>
      <c r="B767" s="14" t="s">
        <v>1369</v>
      </c>
      <c r="C767" s="14" t="s">
        <v>133</v>
      </c>
      <c r="D767" s="14" t="s">
        <v>3979</v>
      </c>
      <c r="E767" s="14" t="s">
        <v>93</v>
      </c>
      <c r="F767" s="2" t="s">
        <v>129</v>
      </c>
      <c r="G767" s="2" t="s">
        <v>3193</v>
      </c>
      <c r="H767" s="34" t="s">
        <v>668</v>
      </c>
      <c r="I767" s="2" t="s">
        <v>21</v>
      </c>
      <c r="J767" s="2" t="s">
        <v>21</v>
      </c>
      <c r="K767" s="2" t="s">
        <v>21</v>
      </c>
      <c r="L767" s="2" t="s">
        <v>21</v>
      </c>
    </row>
    <row r="768" customFormat="false" ht="15" hidden="false" customHeight="false" outlineLevel="0" collapsed="false">
      <c r="A768" s="2" t="s">
        <v>466</v>
      </c>
      <c r="B768" s="13" t="s">
        <v>465</v>
      </c>
      <c r="C768" s="13" t="s">
        <v>77</v>
      </c>
      <c r="D768" s="13" t="s">
        <v>3980</v>
      </c>
      <c r="E768" s="13" t="s">
        <v>96</v>
      </c>
      <c r="F768" s="2" t="s">
        <v>129</v>
      </c>
      <c r="G768" s="2" t="s">
        <v>3215</v>
      </c>
      <c r="H768" s="39" t="s">
        <v>671</v>
      </c>
      <c r="I768" s="2" t="s">
        <v>19</v>
      </c>
      <c r="J768" s="2" t="s">
        <v>19</v>
      </c>
      <c r="K768" s="2" t="s">
        <v>19</v>
      </c>
      <c r="L768" s="2" t="s">
        <v>19</v>
      </c>
    </row>
    <row r="769" customFormat="false" ht="15" hidden="false" customHeight="false" outlineLevel="0" collapsed="false">
      <c r="A769" s="2" t="s">
        <v>3150</v>
      </c>
      <c r="B769" s="16"/>
      <c r="C769" s="16"/>
      <c r="D769" s="16"/>
      <c r="E769" s="16"/>
      <c r="F769" s="2" t="s">
        <v>125</v>
      </c>
      <c r="G769" s="2" t="s">
        <v>3199</v>
      </c>
      <c r="H769" s="34" t="s">
        <v>668</v>
      </c>
      <c r="I769" s="2"/>
      <c r="J769" s="2"/>
      <c r="K769" s="2"/>
      <c r="L769" s="2"/>
    </row>
    <row r="770" customFormat="false" ht="15" hidden="false" customHeight="false" outlineLevel="0" collapsed="false">
      <c r="A770" s="2" t="s">
        <v>2469</v>
      </c>
      <c r="B770" s="13" t="s">
        <v>2468</v>
      </c>
      <c r="C770" s="13" t="s">
        <v>102</v>
      </c>
      <c r="D770" s="13" t="s">
        <v>3981</v>
      </c>
      <c r="E770" s="13" t="s">
        <v>73</v>
      </c>
      <c r="F770" s="2" t="s">
        <v>129</v>
      </c>
      <c r="G770" s="2" t="s">
        <v>3193</v>
      </c>
      <c r="H770" s="34" t="s">
        <v>668</v>
      </c>
      <c r="I770" s="2" t="s">
        <v>19</v>
      </c>
      <c r="J770" s="2" t="s">
        <v>19</v>
      </c>
      <c r="K770" s="2" t="s">
        <v>19</v>
      </c>
      <c r="L770" s="2" t="s">
        <v>19</v>
      </c>
    </row>
    <row r="771" customFormat="false" ht="15" hidden="false" customHeight="false" outlineLevel="0" collapsed="false">
      <c r="A771" s="2" t="s">
        <v>338</v>
      </c>
      <c r="B771" s="13" t="s">
        <v>337</v>
      </c>
      <c r="C771" s="13" t="s">
        <v>92</v>
      </c>
      <c r="D771" s="13" t="s">
        <v>3982</v>
      </c>
      <c r="E771" s="13" t="s">
        <v>111</v>
      </c>
      <c r="F771" s="2" t="s">
        <v>129</v>
      </c>
      <c r="G771" s="2" t="s">
        <v>3215</v>
      </c>
      <c r="H771" s="39" t="s">
        <v>671</v>
      </c>
      <c r="I771" s="2" t="s">
        <v>19</v>
      </c>
      <c r="J771" s="2" t="s">
        <v>19</v>
      </c>
      <c r="K771" s="2" t="s">
        <v>19</v>
      </c>
      <c r="L771" s="2" t="s">
        <v>19</v>
      </c>
    </row>
    <row r="772" customFormat="false" ht="15" hidden="false" customHeight="false" outlineLevel="0" collapsed="false">
      <c r="A772" s="2" t="s">
        <v>3152</v>
      </c>
      <c r="B772" s="14" t="s">
        <v>3983</v>
      </c>
      <c r="C772" s="14" t="s">
        <v>102</v>
      </c>
      <c r="D772" s="14" t="s">
        <v>3984</v>
      </c>
      <c r="E772" s="14" t="s">
        <v>82</v>
      </c>
      <c r="F772" s="2" t="s">
        <v>125</v>
      </c>
      <c r="G772" s="2" t="s">
        <v>3199</v>
      </c>
      <c r="H772" s="34" t="s">
        <v>668</v>
      </c>
      <c r="I772" s="2" t="s">
        <v>21</v>
      </c>
      <c r="J772" s="2" t="s">
        <v>21</v>
      </c>
      <c r="K772" s="2" t="s">
        <v>21</v>
      </c>
      <c r="L772" s="2" t="s">
        <v>21</v>
      </c>
    </row>
    <row r="773" customFormat="false" ht="15" hidden="false" customHeight="false" outlineLevel="0" collapsed="false">
      <c r="A773" s="2" t="s">
        <v>1433</v>
      </c>
      <c r="B773" s="13" t="s">
        <v>1432</v>
      </c>
      <c r="C773" s="13" t="s">
        <v>133</v>
      </c>
      <c r="D773" s="13" t="s">
        <v>3985</v>
      </c>
      <c r="E773" s="13" t="s">
        <v>73</v>
      </c>
      <c r="F773" s="2" t="s">
        <v>129</v>
      </c>
      <c r="G773" s="2" t="s">
        <v>3195</v>
      </c>
      <c r="H773" s="34" t="s">
        <v>668</v>
      </c>
      <c r="I773" s="2" t="s">
        <v>19</v>
      </c>
      <c r="J773" s="2" t="s">
        <v>19</v>
      </c>
      <c r="K773" s="2" t="s">
        <v>19</v>
      </c>
      <c r="L773" s="2" t="s">
        <v>19</v>
      </c>
    </row>
    <row r="774" customFormat="false" ht="15" hidden="false" customHeight="false" outlineLevel="0" collapsed="false">
      <c r="A774" s="2" t="s">
        <v>768</v>
      </c>
      <c r="B774" s="13" t="s">
        <v>767</v>
      </c>
      <c r="C774" s="13" t="s">
        <v>72</v>
      </c>
      <c r="D774" s="13" t="s">
        <v>3986</v>
      </c>
      <c r="E774" s="13" t="s">
        <v>115</v>
      </c>
      <c r="F774" s="2" t="s">
        <v>129</v>
      </c>
      <c r="G774" s="2" t="s">
        <v>3195</v>
      </c>
      <c r="H774" s="34" t="s">
        <v>668</v>
      </c>
      <c r="I774" s="2" t="s">
        <v>19</v>
      </c>
      <c r="J774" s="2" t="s">
        <v>19</v>
      </c>
      <c r="K774" s="2" t="s">
        <v>19</v>
      </c>
      <c r="L774" s="2" t="s">
        <v>19</v>
      </c>
    </row>
    <row r="775" customFormat="false" ht="15" hidden="false" customHeight="false" outlineLevel="0" collapsed="false">
      <c r="A775" s="2" t="s">
        <v>2507</v>
      </c>
      <c r="B775" s="13" t="s">
        <v>2506</v>
      </c>
      <c r="C775" s="13" t="s">
        <v>92</v>
      </c>
      <c r="D775" s="13" t="s">
        <v>3987</v>
      </c>
      <c r="E775" s="13" t="s">
        <v>93</v>
      </c>
      <c r="F775" s="2" t="s">
        <v>129</v>
      </c>
      <c r="G775" s="2" t="s">
        <v>3193</v>
      </c>
      <c r="H775" s="34" t="s">
        <v>668</v>
      </c>
      <c r="I775" s="2" t="s">
        <v>19</v>
      </c>
      <c r="J775" s="2" t="s">
        <v>19</v>
      </c>
      <c r="K775" s="2" t="s">
        <v>19</v>
      </c>
      <c r="L775" s="2" t="s">
        <v>19</v>
      </c>
    </row>
    <row r="776" customFormat="false" ht="15" hidden="false" customHeight="false" outlineLevel="0" collapsed="false">
      <c r="A776" s="2" t="s">
        <v>1884</v>
      </c>
      <c r="B776" s="13" t="s">
        <v>1883</v>
      </c>
      <c r="C776" s="13" t="s">
        <v>105</v>
      </c>
      <c r="D776" s="13" t="s">
        <v>3988</v>
      </c>
      <c r="E776" s="13" t="s">
        <v>170</v>
      </c>
      <c r="F776" s="2" t="s">
        <v>175</v>
      </c>
      <c r="G776" s="2" t="s">
        <v>3205</v>
      </c>
      <c r="H776" s="34" t="s">
        <v>668</v>
      </c>
      <c r="I776" s="2" t="s">
        <v>19</v>
      </c>
      <c r="J776" s="2" t="s">
        <v>19</v>
      </c>
      <c r="K776" s="2" t="s">
        <v>19</v>
      </c>
      <c r="L776" s="2" t="s">
        <v>19</v>
      </c>
    </row>
    <row r="777" customFormat="false" ht="15" hidden="false" customHeight="false" outlineLevel="0" collapsed="false">
      <c r="A777" s="2" t="s">
        <v>1445</v>
      </c>
      <c r="B777" s="14" t="s">
        <v>1444</v>
      </c>
      <c r="C777" s="14" t="s">
        <v>133</v>
      </c>
      <c r="D777" s="14" t="s">
        <v>3989</v>
      </c>
      <c r="E777" s="14" t="s">
        <v>93</v>
      </c>
      <c r="F777" s="2" t="s">
        <v>125</v>
      </c>
      <c r="G777" s="2" t="s">
        <v>3205</v>
      </c>
      <c r="H777" s="34" t="s">
        <v>668</v>
      </c>
      <c r="I777" s="2" t="s">
        <v>21</v>
      </c>
      <c r="J777" s="2" t="s">
        <v>21</v>
      </c>
      <c r="K777" s="2" t="s">
        <v>21</v>
      </c>
      <c r="L777" s="2" t="s">
        <v>21</v>
      </c>
    </row>
    <row r="778" customFormat="false" ht="15" hidden="false" customHeight="false" outlineLevel="0" collapsed="false">
      <c r="A778" s="2" t="s">
        <v>3159</v>
      </c>
      <c r="B778" s="13" t="s">
        <v>3990</v>
      </c>
      <c r="C778" s="13" t="s">
        <v>77</v>
      </c>
      <c r="D778" s="13" t="s">
        <v>3991</v>
      </c>
      <c r="E778" s="13" t="s">
        <v>96</v>
      </c>
      <c r="F778" s="2" t="s">
        <v>46</v>
      </c>
      <c r="G778" s="2" t="s">
        <v>3202</v>
      </c>
      <c r="H778" s="34" t="s">
        <v>668</v>
      </c>
      <c r="I778" s="2" t="s">
        <v>19</v>
      </c>
      <c r="J778" s="2" t="s">
        <v>19</v>
      </c>
      <c r="K778" s="2" t="s">
        <v>19</v>
      </c>
      <c r="L778" s="2" t="s">
        <v>19</v>
      </c>
    </row>
    <row r="779" customFormat="false" ht="15" hidden="false" customHeight="false" outlineLevel="0" collapsed="false">
      <c r="A779" s="2" t="s">
        <v>1220</v>
      </c>
      <c r="B779" s="13" t="s">
        <v>1219</v>
      </c>
      <c r="C779" s="13" t="s">
        <v>114</v>
      </c>
      <c r="D779" s="13" t="s">
        <v>3992</v>
      </c>
      <c r="E779" s="13" t="s">
        <v>115</v>
      </c>
      <c r="F779" s="2" t="s">
        <v>129</v>
      </c>
      <c r="G779" s="2" t="s">
        <v>3195</v>
      </c>
      <c r="H779" s="34" t="s">
        <v>668</v>
      </c>
      <c r="I779" s="2" t="s">
        <v>19</v>
      </c>
      <c r="J779" s="2" t="s">
        <v>19</v>
      </c>
      <c r="K779" s="2" t="s">
        <v>19</v>
      </c>
      <c r="L779" s="2" t="s">
        <v>19</v>
      </c>
    </row>
    <row r="780" customFormat="false" ht="15" hidden="false" customHeight="false" outlineLevel="0" collapsed="false">
      <c r="A780" s="2" t="s">
        <v>818</v>
      </c>
      <c r="B780" s="13" t="s">
        <v>817</v>
      </c>
      <c r="C780" s="13" t="s">
        <v>102</v>
      </c>
      <c r="D780" s="15" t="s">
        <v>3993</v>
      </c>
      <c r="E780" s="13" t="s">
        <v>108</v>
      </c>
      <c r="F780" s="2" t="s">
        <v>129</v>
      </c>
      <c r="G780" s="2" t="s">
        <v>3195</v>
      </c>
      <c r="H780" s="34" t="s">
        <v>668</v>
      </c>
      <c r="I780" s="2" t="s">
        <v>19</v>
      </c>
      <c r="J780" s="2" t="s">
        <v>19</v>
      </c>
      <c r="K780" s="2" t="s">
        <v>17</v>
      </c>
      <c r="L780" s="2" t="s">
        <v>19</v>
      </c>
    </row>
    <row r="781" customFormat="false" ht="15" hidden="false" customHeight="false" outlineLevel="0" collapsed="false">
      <c r="A781" s="2" t="s">
        <v>1313</v>
      </c>
      <c r="B781" s="13" t="s">
        <v>1312</v>
      </c>
      <c r="C781" s="13" t="s">
        <v>81</v>
      </c>
      <c r="D781" s="13" t="s">
        <v>3994</v>
      </c>
      <c r="E781" s="13" t="s">
        <v>118</v>
      </c>
      <c r="F781" s="2" t="s">
        <v>129</v>
      </c>
      <c r="G781" s="2" t="s">
        <v>3195</v>
      </c>
      <c r="H781" s="34" t="s">
        <v>668</v>
      </c>
      <c r="I781" s="2" t="s">
        <v>19</v>
      </c>
      <c r="J781" s="2" t="s">
        <v>19</v>
      </c>
      <c r="K781" s="2" t="s">
        <v>19</v>
      </c>
      <c r="L781" s="2" t="s">
        <v>19</v>
      </c>
    </row>
    <row r="782" customFormat="false" ht="15" hidden="false" customHeight="false" outlineLevel="0" collapsed="false">
      <c r="A782" s="2" t="s">
        <v>3161</v>
      </c>
      <c r="B782" s="13" t="s">
        <v>3995</v>
      </c>
      <c r="C782" s="13" t="s">
        <v>72</v>
      </c>
      <c r="D782" s="13" t="s">
        <v>3996</v>
      </c>
      <c r="E782" s="13" t="s">
        <v>170</v>
      </c>
      <c r="F782" s="2" t="s">
        <v>46</v>
      </c>
      <c r="G782" s="2" t="s">
        <v>3202</v>
      </c>
      <c r="H782" s="34" t="s">
        <v>668</v>
      </c>
      <c r="I782" s="2" t="s">
        <v>19</v>
      </c>
      <c r="J782" s="2" t="s">
        <v>19</v>
      </c>
      <c r="K782" s="2" t="s">
        <v>19</v>
      </c>
      <c r="L782" s="2" t="s">
        <v>19</v>
      </c>
    </row>
    <row r="783" customFormat="false" ht="15" hidden="false" customHeight="false" outlineLevel="0" collapsed="false">
      <c r="A783" s="2" t="s">
        <v>2052</v>
      </c>
      <c r="B783" s="14" t="s">
        <v>2051</v>
      </c>
      <c r="C783" s="14" t="s">
        <v>81</v>
      </c>
      <c r="D783" s="14" t="s">
        <v>3997</v>
      </c>
      <c r="E783" s="14" t="s">
        <v>96</v>
      </c>
      <c r="F783" s="2" t="s">
        <v>129</v>
      </c>
      <c r="G783" s="2" t="s">
        <v>3193</v>
      </c>
      <c r="H783" s="34" t="s">
        <v>668</v>
      </c>
      <c r="I783" s="2" t="s">
        <v>21</v>
      </c>
      <c r="J783" s="2" t="s">
        <v>21</v>
      </c>
      <c r="K783" s="2" t="s">
        <v>21</v>
      </c>
      <c r="L783" s="2" t="s">
        <v>21</v>
      </c>
    </row>
    <row r="784" customFormat="false" ht="15" hidden="false" customHeight="false" outlineLevel="0" collapsed="false">
      <c r="A784" s="2" t="s">
        <v>2324</v>
      </c>
      <c r="B784" s="13" t="s">
        <v>2323</v>
      </c>
      <c r="C784" s="13" t="s">
        <v>87</v>
      </c>
      <c r="D784" s="13" t="s">
        <v>3998</v>
      </c>
      <c r="E784" s="13" t="s">
        <v>93</v>
      </c>
      <c r="F784" s="2" t="s">
        <v>129</v>
      </c>
      <c r="G784" s="2" t="s">
        <v>3193</v>
      </c>
      <c r="H784" s="34" t="s">
        <v>668</v>
      </c>
      <c r="I784" s="2" t="s">
        <v>19</v>
      </c>
      <c r="J784" s="2" t="s">
        <v>19</v>
      </c>
      <c r="K784" s="2" t="s">
        <v>19</v>
      </c>
      <c r="L784" s="2" t="s">
        <v>19</v>
      </c>
    </row>
    <row r="785" customFormat="false" ht="15" hidden="false" customHeight="false" outlineLevel="0" collapsed="false">
      <c r="A785" s="2" t="s">
        <v>1081</v>
      </c>
      <c r="B785" s="14" t="s">
        <v>1080</v>
      </c>
      <c r="C785" s="14" t="s">
        <v>92</v>
      </c>
      <c r="D785" s="14" t="s">
        <v>3999</v>
      </c>
      <c r="E785" s="14" t="s">
        <v>99</v>
      </c>
      <c r="F785" s="2" t="s">
        <v>129</v>
      </c>
      <c r="G785" s="2" t="s">
        <v>3195</v>
      </c>
      <c r="H785" s="34" t="s">
        <v>668</v>
      </c>
      <c r="I785" s="2" t="s">
        <v>21</v>
      </c>
      <c r="J785" s="2" t="s">
        <v>21</v>
      </c>
      <c r="K785" s="2" t="s">
        <v>21</v>
      </c>
      <c r="L785" s="2" t="s">
        <v>21</v>
      </c>
    </row>
    <row r="786" customFormat="false" ht="15" hidden="false" customHeight="false" outlineLevel="0" collapsed="false">
      <c r="A786" s="2" t="s">
        <v>1713</v>
      </c>
      <c r="B786" s="14" t="s">
        <v>1712</v>
      </c>
      <c r="C786" s="14" t="s">
        <v>92</v>
      </c>
      <c r="D786" s="14" t="s">
        <v>4000</v>
      </c>
      <c r="E786" s="14" t="s">
        <v>115</v>
      </c>
      <c r="F786" s="2" t="s">
        <v>129</v>
      </c>
      <c r="G786" s="2" t="s">
        <v>3195</v>
      </c>
      <c r="H786" s="34" t="s">
        <v>668</v>
      </c>
      <c r="I786" s="2" t="s">
        <v>21</v>
      </c>
      <c r="J786" s="2" t="s">
        <v>21</v>
      </c>
      <c r="K786" s="2" t="s">
        <v>21</v>
      </c>
      <c r="L786" s="2" t="s">
        <v>21</v>
      </c>
    </row>
    <row r="787" customFormat="false" ht="15" hidden="false" customHeight="false" outlineLevel="0" collapsed="false">
      <c r="A787" s="2" t="s">
        <v>694</v>
      </c>
      <c r="B787" s="13" t="s">
        <v>693</v>
      </c>
      <c r="C787" s="13" t="s">
        <v>102</v>
      </c>
      <c r="D787" s="13" t="s">
        <v>4001</v>
      </c>
      <c r="E787" s="13" t="s">
        <v>108</v>
      </c>
      <c r="F787" s="2" t="s">
        <v>129</v>
      </c>
      <c r="G787" s="2" t="s">
        <v>3195</v>
      </c>
      <c r="H787" s="34" t="s">
        <v>668</v>
      </c>
      <c r="I787" s="2" t="s">
        <v>19</v>
      </c>
      <c r="J787" s="2" t="s">
        <v>19</v>
      </c>
      <c r="K787" s="2" t="s">
        <v>19</v>
      </c>
      <c r="L787" s="2" t="s">
        <v>19</v>
      </c>
    </row>
    <row r="788" customFormat="false" ht="15" hidden="false" customHeight="false" outlineLevel="0" collapsed="false">
      <c r="A788" s="2" t="s">
        <v>1963</v>
      </c>
      <c r="B788" s="13" t="s">
        <v>1962</v>
      </c>
      <c r="C788" s="13" t="s">
        <v>87</v>
      </c>
      <c r="D788" s="13" t="s">
        <v>4002</v>
      </c>
      <c r="E788" s="13" t="s">
        <v>99</v>
      </c>
      <c r="F788" s="2" t="s">
        <v>129</v>
      </c>
      <c r="G788" s="2" t="s">
        <v>3193</v>
      </c>
      <c r="H788" s="34" t="s">
        <v>668</v>
      </c>
      <c r="I788" s="2" t="s">
        <v>19</v>
      </c>
      <c r="J788" s="2" t="s">
        <v>19</v>
      </c>
      <c r="K788" s="2" t="s">
        <v>19</v>
      </c>
      <c r="L788" s="2" t="s">
        <v>19</v>
      </c>
    </row>
    <row r="789" customFormat="false" ht="15" hidden="false" customHeight="false" outlineLevel="0" collapsed="false">
      <c r="A789" s="2" t="s">
        <v>837</v>
      </c>
      <c r="B789" s="14" t="s">
        <v>836</v>
      </c>
      <c r="C789" s="14" t="s">
        <v>72</v>
      </c>
      <c r="D789" s="14" t="s">
        <v>4003</v>
      </c>
      <c r="E789" s="14" t="s">
        <v>115</v>
      </c>
      <c r="F789" s="2" t="s">
        <v>129</v>
      </c>
      <c r="G789" s="2" t="s">
        <v>3195</v>
      </c>
      <c r="H789" s="34" t="s">
        <v>668</v>
      </c>
      <c r="I789" s="2" t="s">
        <v>21</v>
      </c>
      <c r="J789" s="2" t="s">
        <v>21</v>
      </c>
      <c r="K789" s="2" t="s">
        <v>21</v>
      </c>
      <c r="L789" s="2" t="s">
        <v>21</v>
      </c>
    </row>
    <row r="790" customFormat="false" ht="15" hidden="false" customHeight="false" outlineLevel="0" collapsed="false">
      <c r="A790" s="2" t="s">
        <v>2203</v>
      </c>
      <c r="B790" s="13" t="s">
        <v>2202</v>
      </c>
      <c r="C790" s="13" t="s">
        <v>105</v>
      </c>
      <c r="D790" s="13" t="s">
        <v>4004</v>
      </c>
      <c r="E790" s="13" t="s">
        <v>108</v>
      </c>
      <c r="F790" s="2" t="s">
        <v>129</v>
      </c>
      <c r="G790" s="2" t="s">
        <v>3193</v>
      </c>
      <c r="H790" s="34" t="s">
        <v>668</v>
      </c>
      <c r="I790" s="2" t="s">
        <v>19</v>
      </c>
      <c r="J790" s="2" t="s">
        <v>19</v>
      </c>
      <c r="K790" s="2" t="s">
        <v>19</v>
      </c>
      <c r="L790" s="2" t="s">
        <v>19</v>
      </c>
    </row>
    <row r="791" customFormat="false" ht="15" hidden="false" customHeight="false" outlineLevel="0" collapsed="false">
      <c r="A791" s="2" t="s">
        <v>1357</v>
      </c>
      <c r="B791" s="13" t="s">
        <v>1356</v>
      </c>
      <c r="C791" s="13" t="s">
        <v>114</v>
      </c>
      <c r="D791" s="13" t="s">
        <v>4005</v>
      </c>
      <c r="E791" s="13" t="s">
        <v>93</v>
      </c>
      <c r="F791" s="2" t="s">
        <v>129</v>
      </c>
      <c r="G791" s="2" t="s">
        <v>3195</v>
      </c>
      <c r="H791" s="34" t="s">
        <v>668</v>
      </c>
      <c r="I791" s="2" t="s">
        <v>19</v>
      </c>
      <c r="J791" s="2" t="s">
        <v>19</v>
      </c>
      <c r="K791" s="2" t="s">
        <v>19</v>
      </c>
      <c r="L791" s="2" t="s">
        <v>19</v>
      </c>
    </row>
    <row r="792" customFormat="false" ht="15" hidden="false" customHeight="false" outlineLevel="0" collapsed="false">
      <c r="A792" s="2" t="s">
        <v>504</v>
      </c>
      <c r="B792" s="13" t="s">
        <v>503</v>
      </c>
      <c r="C792" s="13" t="s">
        <v>77</v>
      </c>
      <c r="D792" s="13" t="s">
        <v>4006</v>
      </c>
      <c r="E792" s="13" t="s">
        <v>118</v>
      </c>
      <c r="F792" s="2" t="s">
        <v>129</v>
      </c>
      <c r="G792" s="2" t="s">
        <v>3215</v>
      </c>
      <c r="H792" s="39" t="s">
        <v>671</v>
      </c>
      <c r="I792" s="2" t="s">
        <v>19</v>
      </c>
      <c r="J792" s="2" t="s">
        <v>19</v>
      </c>
      <c r="K792" s="2" t="s">
        <v>19</v>
      </c>
      <c r="L792" s="2" t="s">
        <v>19</v>
      </c>
    </row>
    <row r="793" customFormat="false" ht="15" hidden="false" customHeight="false" outlineLevel="0" collapsed="false">
      <c r="A793" s="2" t="s">
        <v>444</v>
      </c>
      <c r="B793" s="13" t="s">
        <v>443</v>
      </c>
      <c r="C793" s="13" t="s">
        <v>114</v>
      </c>
      <c r="D793" s="13" t="s">
        <v>4007</v>
      </c>
      <c r="E793" s="13" t="s">
        <v>111</v>
      </c>
      <c r="F793" s="2" t="s">
        <v>45</v>
      </c>
      <c r="G793" s="2" t="s">
        <v>3208</v>
      </c>
      <c r="H793" s="39" t="s">
        <v>671</v>
      </c>
      <c r="I793" s="2" t="s">
        <v>19</v>
      </c>
      <c r="J793" s="2" t="s">
        <v>19</v>
      </c>
      <c r="K793" s="2" t="s">
        <v>19</v>
      </c>
      <c r="L793" s="2" t="s">
        <v>19</v>
      </c>
    </row>
    <row r="794" customFormat="false" ht="15" hidden="false" customHeight="false" outlineLevel="0" collapsed="false">
      <c r="A794" s="2" t="s">
        <v>91</v>
      </c>
      <c r="B794" s="13" t="s">
        <v>90</v>
      </c>
      <c r="C794" s="13" t="s">
        <v>92</v>
      </c>
      <c r="D794" s="13" t="s">
        <v>4008</v>
      </c>
      <c r="E794" s="13" t="s">
        <v>93</v>
      </c>
      <c r="F794" s="2" t="s">
        <v>46</v>
      </c>
      <c r="G794" s="2" t="s">
        <v>3208</v>
      </c>
      <c r="H794" s="39" t="s">
        <v>671</v>
      </c>
      <c r="I794" s="2" t="s">
        <v>19</v>
      </c>
      <c r="J794" s="2" t="s">
        <v>19</v>
      </c>
      <c r="K794" s="2" t="s">
        <v>19</v>
      </c>
      <c r="L794" s="2" t="s">
        <v>19</v>
      </c>
    </row>
    <row r="795" customFormat="false" ht="15" hidden="false" customHeight="false" outlineLevel="0" collapsed="false">
      <c r="A795" s="2" t="s">
        <v>574</v>
      </c>
      <c r="B795" s="13" t="s">
        <v>573</v>
      </c>
      <c r="C795" s="14" t="s">
        <v>77</v>
      </c>
      <c r="D795" s="13" t="s">
        <v>4009</v>
      </c>
      <c r="E795" s="13" t="s">
        <v>99</v>
      </c>
      <c r="F795" s="2" t="s">
        <v>129</v>
      </c>
      <c r="G795" s="2" t="s">
        <v>3215</v>
      </c>
      <c r="H795" s="39" t="s">
        <v>671</v>
      </c>
      <c r="I795" s="2" t="s">
        <v>19</v>
      </c>
      <c r="J795" s="2" t="s">
        <v>21</v>
      </c>
      <c r="K795" s="2" t="s">
        <v>19</v>
      </c>
      <c r="L795" s="2" t="s">
        <v>19</v>
      </c>
    </row>
    <row r="796" customFormat="false" ht="15" hidden="false" customHeight="false" outlineLevel="0" collapsed="false">
      <c r="A796" s="2" t="s">
        <v>1613</v>
      </c>
      <c r="B796" s="14" t="s">
        <v>1612</v>
      </c>
      <c r="C796" s="14" t="s">
        <v>138</v>
      </c>
      <c r="D796" s="14" t="s">
        <v>4010</v>
      </c>
      <c r="E796" s="14" t="s">
        <v>170</v>
      </c>
      <c r="F796" s="2" t="s">
        <v>129</v>
      </c>
      <c r="G796" s="2" t="s">
        <v>3193</v>
      </c>
      <c r="H796" s="34" t="s">
        <v>668</v>
      </c>
      <c r="I796" s="2" t="s">
        <v>21</v>
      </c>
      <c r="J796" s="2" t="s">
        <v>21</v>
      </c>
      <c r="K796" s="2" t="s">
        <v>21</v>
      </c>
      <c r="L796" s="2" t="s">
        <v>21</v>
      </c>
    </row>
    <row r="797" customFormat="false" ht="15" hidden="false" customHeight="false" outlineLevel="0" collapsed="false">
      <c r="A797" s="2" t="s">
        <v>570</v>
      </c>
      <c r="B797" s="13" t="s">
        <v>569</v>
      </c>
      <c r="C797" s="13" t="s">
        <v>92</v>
      </c>
      <c r="D797" s="13" t="s">
        <v>4011</v>
      </c>
      <c r="E797" s="13" t="s">
        <v>108</v>
      </c>
      <c r="F797" s="2" t="s">
        <v>157</v>
      </c>
      <c r="G797" s="2" t="s">
        <v>3218</v>
      </c>
      <c r="H797" s="39" t="s">
        <v>671</v>
      </c>
      <c r="I797" s="2" t="s">
        <v>19</v>
      </c>
      <c r="J797" s="2" t="s">
        <v>19</v>
      </c>
      <c r="K797" s="2" t="s">
        <v>19</v>
      </c>
      <c r="L797" s="2" t="s">
        <v>19</v>
      </c>
    </row>
    <row r="798" customFormat="false" ht="15" hidden="false" customHeight="false" outlineLevel="0" collapsed="false">
      <c r="A798" s="2" t="s">
        <v>3173</v>
      </c>
      <c r="B798" s="14" t="s">
        <v>4012</v>
      </c>
      <c r="C798" s="14" t="s">
        <v>72</v>
      </c>
      <c r="D798" s="14" t="s">
        <v>4013</v>
      </c>
      <c r="E798" s="15" t="s">
        <v>73</v>
      </c>
      <c r="F798" s="2" t="s">
        <v>129</v>
      </c>
      <c r="G798" s="2" t="s">
        <v>3297</v>
      </c>
      <c r="H798" s="34" t="s">
        <v>668</v>
      </c>
      <c r="I798" s="2" t="s">
        <v>21</v>
      </c>
      <c r="J798" s="2" t="s">
        <v>21</v>
      </c>
      <c r="K798" s="2" t="s">
        <v>21</v>
      </c>
      <c r="L798" s="2" t="s">
        <v>17</v>
      </c>
    </row>
    <row r="799" customFormat="false" ht="15" hidden="false" customHeight="false" outlineLevel="0" collapsed="false">
      <c r="A799" s="2" t="s">
        <v>1250</v>
      </c>
      <c r="B799" s="13" t="s">
        <v>1249</v>
      </c>
      <c r="C799" s="13" t="s">
        <v>138</v>
      </c>
      <c r="D799" s="13" t="s">
        <v>4014</v>
      </c>
      <c r="E799" s="13" t="s">
        <v>93</v>
      </c>
      <c r="F799" s="2" t="s">
        <v>129</v>
      </c>
      <c r="G799" s="2" t="s">
        <v>3195</v>
      </c>
      <c r="H799" s="34" t="s">
        <v>668</v>
      </c>
      <c r="I799" s="2" t="s">
        <v>19</v>
      </c>
      <c r="J799" s="2" t="s">
        <v>19</v>
      </c>
      <c r="K799" s="2" t="s">
        <v>19</v>
      </c>
      <c r="L799" s="2" t="s">
        <v>19</v>
      </c>
    </row>
    <row r="800" customFormat="false" ht="15" hidden="false" customHeight="false" outlineLevel="0" collapsed="false">
      <c r="A800" s="2" t="s">
        <v>159</v>
      </c>
      <c r="B800" s="13" t="s">
        <v>158</v>
      </c>
      <c r="C800" s="13" t="s">
        <v>133</v>
      </c>
      <c r="D800" s="13" t="s">
        <v>4015</v>
      </c>
      <c r="E800" s="13" t="s">
        <v>108</v>
      </c>
      <c r="F800" s="2" t="s">
        <v>47</v>
      </c>
      <c r="G800" s="2" t="s">
        <v>3208</v>
      </c>
      <c r="H800" s="39" t="s">
        <v>671</v>
      </c>
      <c r="I800" s="2" t="s">
        <v>19</v>
      </c>
      <c r="J800" s="2" t="s">
        <v>19</v>
      </c>
      <c r="K800" s="2" t="s">
        <v>19</v>
      </c>
      <c r="L800" s="2" t="s">
        <v>19</v>
      </c>
    </row>
    <row r="801" customFormat="false" ht="15" hidden="false" customHeight="false" outlineLevel="0" collapsed="false">
      <c r="A801" s="2" t="s">
        <v>1321</v>
      </c>
      <c r="B801" s="13" t="s">
        <v>1320</v>
      </c>
      <c r="C801" s="14" t="s">
        <v>105</v>
      </c>
      <c r="D801" s="13" t="s">
        <v>4016</v>
      </c>
      <c r="E801" s="13" t="s">
        <v>108</v>
      </c>
      <c r="F801" s="2" t="s">
        <v>129</v>
      </c>
      <c r="G801" s="2" t="s">
        <v>3195</v>
      </c>
      <c r="H801" s="34" t="s">
        <v>668</v>
      </c>
      <c r="I801" s="2" t="s">
        <v>19</v>
      </c>
      <c r="J801" s="2" t="s">
        <v>21</v>
      </c>
      <c r="K801" s="2" t="s">
        <v>19</v>
      </c>
      <c r="L801" s="2" t="s">
        <v>19</v>
      </c>
    </row>
    <row r="802" customFormat="false" ht="15" hidden="false" customHeight="false" outlineLevel="0" collapsed="false">
      <c r="A802" s="2" t="s">
        <v>3178</v>
      </c>
      <c r="B802" s="16"/>
      <c r="C802" s="16"/>
      <c r="D802" s="16"/>
      <c r="E802" s="16"/>
      <c r="F802" s="2" t="s">
        <v>47</v>
      </c>
      <c r="G802" s="2" t="s">
        <v>3202</v>
      </c>
      <c r="H802" s="34" t="s">
        <v>668</v>
      </c>
      <c r="I802" s="2"/>
      <c r="J802" s="2"/>
      <c r="K802" s="2"/>
      <c r="L802" s="2"/>
    </row>
    <row r="803" customFormat="false" ht="15" hidden="false" customHeight="false" outlineLevel="0" collapsed="false">
      <c r="A803" s="2" t="s">
        <v>700</v>
      </c>
      <c r="B803" s="13" t="s">
        <v>699</v>
      </c>
      <c r="C803" s="13" t="s">
        <v>105</v>
      </c>
      <c r="D803" s="13" t="s">
        <v>4017</v>
      </c>
      <c r="E803" s="13" t="s">
        <v>108</v>
      </c>
      <c r="F803" s="2" t="s">
        <v>129</v>
      </c>
      <c r="G803" s="2" t="s">
        <v>3195</v>
      </c>
      <c r="H803" s="34" t="s">
        <v>668</v>
      </c>
      <c r="I803" s="2" t="s">
        <v>19</v>
      </c>
      <c r="J803" s="2" t="s">
        <v>19</v>
      </c>
      <c r="K803" s="2" t="s">
        <v>19</v>
      </c>
      <c r="L803" s="2" t="s">
        <v>19</v>
      </c>
    </row>
    <row r="804" customFormat="false" ht="15" hidden="false" customHeight="false" outlineLevel="0" collapsed="false">
      <c r="A804" s="2" t="s">
        <v>418</v>
      </c>
      <c r="B804" s="13" t="s">
        <v>417</v>
      </c>
      <c r="C804" s="13" t="s">
        <v>72</v>
      </c>
      <c r="D804" s="13" t="s">
        <v>4018</v>
      </c>
      <c r="E804" s="14" t="s">
        <v>170</v>
      </c>
      <c r="F804" s="2" t="s">
        <v>129</v>
      </c>
      <c r="G804" s="2" t="s">
        <v>3215</v>
      </c>
      <c r="H804" s="39" t="s">
        <v>671</v>
      </c>
      <c r="I804" s="2" t="s">
        <v>19</v>
      </c>
      <c r="J804" s="2" t="s">
        <v>19</v>
      </c>
      <c r="K804" s="2" t="s">
        <v>19</v>
      </c>
      <c r="L804" s="2" t="s">
        <v>21</v>
      </c>
    </row>
  </sheetData>
  <autoFilter ref="A4:L8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0"/>
    <col collapsed="false" customWidth="true" hidden="false" outlineLevel="0" max="4" min="4" style="0" width="22"/>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60"/>
  </cols>
  <sheetData>
    <row r="1" customFormat="false" ht="17.35" hidden="false" customHeight="false" outlineLevel="0" collapsed="false">
      <c r="A1" s="1" t="s">
        <v>4019</v>
      </c>
      <c r="B1" s="2"/>
      <c r="C1" s="2"/>
      <c r="D1" s="2"/>
      <c r="E1" s="2"/>
      <c r="F1" s="2"/>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26</v>
      </c>
      <c r="B4" s="8" t="s">
        <v>4020</v>
      </c>
      <c r="C4" s="8" t="s">
        <v>28</v>
      </c>
      <c r="D4" s="8" t="s">
        <v>4021</v>
      </c>
      <c r="E4" s="8" t="s">
        <v>4022</v>
      </c>
      <c r="F4" s="8" t="s">
        <v>4023</v>
      </c>
      <c r="G4" s="8" t="s">
        <v>4024</v>
      </c>
      <c r="H4" s="8" t="s">
        <v>4025</v>
      </c>
    </row>
    <row r="5" customFormat="false" ht="75" hidden="false" customHeight="true" outlineLevel="0" collapsed="false">
      <c r="A5" s="49" t="s">
        <v>29</v>
      </c>
      <c r="B5" s="49" t="s">
        <v>4026</v>
      </c>
      <c r="C5" s="49" t="s">
        <v>4027</v>
      </c>
      <c r="D5" s="49" t="s">
        <v>660</v>
      </c>
      <c r="E5" s="49" t="s">
        <v>4028</v>
      </c>
      <c r="F5" s="49" t="s">
        <v>4029</v>
      </c>
      <c r="G5" s="49" t="s">
        <v>4030</v>
      </c>
      <c r="H5" s="49" t="s">
        <v>4031</v>
      </c>
    </row>
    <row r="6" customFormat="false" ht="75" hidden="false" customHeight="true" outlineLevel="0" collapsed="false">
      <c r="A6" s="49" t="s">
        <v>31</v>
      </c>
      <c r="B6" s="49" t="s">
        <v>4032</v>
      </c>
      <c r="C6" s="49" t="s">
        <v>4033</v>
      </c>
      <c r="D6" s="49" t="s">
        <v>661</v>
      </c>
      <c r="E6" s="49" t="s">
        <v>4034</v>
      </c>
      <c r="F6" s="49" t="s">
        <v>4035</v>
      </c>
      <c r="G6" s="49" t="s">
        <v>4036</v>
      </c>
      <c r="H6" s="49" t="s">
        <v>4037</v>
      </c>
    </row>
    <row r="7" customFormat="false" ht="75" hidden="false" customHeight="true" outlineLevel="0" collapsed="false">
      <c r="A7" s="49" t="s">
        <v>33</v>
      </c>
      <c r="B7" s="49" t="s">
        <v>4038</v>
      </c>
      <c r="C7" s="49" t="s">
        <v>4039</v>
      </c>
      <c r="D7" s="49" t="s">
        <v>662</v>
      </c>
      <c r="E7" s="49" t="s">
        <v>4040</v>
      </c>
      <c r="F7" s="49" t="s">
        <v>4029</v>
      </c>
      <c r="G7" s="49" t="s">
        <v>4041</v>
      </c>
      <c r="H7" s="49" t="s">
        <v>4042</v>
      </c>
    </row>
    <row r="8" customFormat="false" ht="15" hidden="false" customHeight="false" outlineLevel="0" collapsed="false">
      <c r="A8" s="2"/>
      <c r="B8" s="2"/>
      <c r="C8" s="2"/>
      <c r="D8" s="2"/>
      <c r="E8" s="2"/>
      <c r="F8" s="2"/>
      <c r="G8" s="2"/>
      <c r="H8" s="2"/>
    </row>
    <row r="9" customFormat="false" ht="15" hidden="false" customHeight="false" outlineLevel="0" collapsed="false">
      <c r="A9" s="50" t="s">
        <v>4043</v>
      </c>
      <c r="B9" s="2"/>
      <c r="C9" s="2"/>
      <c r="D9" s="2"/>
      <c r="E9" s="2"/>
      <c r="F9" s="2"/>
      <c r="G9" s="2"/>
      <c r="H9" s="2"/>
    </row>
    <row r="10" customFormat="false" ht="15" hidden="false" customHeight="false" outlineLevel="0" collapsed="false">
      <c r="A10" s="50" t="s">
        <v>4044</v>
      </c>
      <c r="B10" s="2"/>
      <c r="C10" s="2"/>
      <c r="D10" s="2"/>
      <c r="E10" s="2"/>
      <c r="F10" s="2"/>
      <c r="G10" s="2"/>
      <c r="H10" s="2"/>
    </row>
    <row r="11" customFormat="false" ht="15" hidden="false" customHeight="false" outlineLevel="0" collapsed="false">
      <c r="A11" s="50" t="s">
        <v>4045</v>
      </c>
      <c r="B11" s="2"/>
      <c r="C11" s="2"/>
      <c r="D11" s="2"/>
      <c r="E11" s="2"/>
      <c r="F11" s="2"/>
      <c r="G11" s="2"/>
      <c r="H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3"/>
    <col collapsed="false" customWidth="true" hidden="false" outlineLevel="0" max="8" min="7" style="0" width="11"/>
    <col collapsed="false" customWidth="true" hidden="false" outlineLevel="0" max="10" min="9" style="0" width="10"/>
    <col collapsed="false" customWidth="true" hidden="false" outlineLevel="0" max="11" min="11" style="0" width="9"/>
    <col collapsed="false" customWidth="true" hidden="false" outlineLevel="0" max="22" min="12" style="0" width="11"/>
  </cols>
  <sheetData>
    <row r="1" customFormat="false" ht="17.35" hidden="false" customHeight="false" outlineLevel="0" collapsed="false">
      <c r="A1" s="1" t="s">
        <v>4046</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4047</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15" hidden="false" customHeight="false" outlineLevel="0" collapsed="false">
      <c r="A4" s="2" t="s">
        <v>4048</v>
      </c>
      <c r="B4" s="51" t="n">
        <v>0.25</v>
      </c>
      <c r="C4" s="51" t="n">
        <v>0.25</v>
      </c>
      <c r="D4" s="51" t="n">
        <v>0.2</v>
      </c>
      <c r="E4" s="51" t="n">
        <v>0.15</v>
      </c>
      <c r="F4" s="51" t="n">
        <v>0.15</v>
      </c>
      <c r="G4" s="9" t="n">
        <f aca="false">SUM(B4:F4)</f>
        <v>1</v>
      </c>
      <c r="H4" s="2" t="s">
        <v>4049</v>
      </c>
      <c r="I4" s="2"/>
      <c r="J4" s="2"/>
      <c r="K4" s="2"/>
      <c r="L4" s="2"/>
      <c r="M4" s="2"/>
      <c r="N4" s="2"/>
      <c r="O4" s="2"/>
      <c r="P4" s="2"/>
      <c r="Q4" s="2"/>
      <c r="R4" s="2"/>
      <c r="S4" s="2"/>
      <c r="T4" s="2"/>
      <c r="U4" s="2"/>
      <c r="V4" s="2"/>
    </row>
    <row r="5" customFormat="false" ht="15" hidden="false" customHeight="false" outlineLevel="0" collapsed="false">
      <c r="A5" s="2" t="s">
        <v>4050</v>
      </c>
      <c r="B5" s="52" t="n">
        <v>0.4</v>
      </c>
      <c r="C5" s="2"/>
      <c r="D5" s="2"/>
      <c r="E5" s="2"/>
      <c r="F5" s="2"/>
      <c r="G5" s="2"/>
      <c r="H5" s="2"/>
      <c r="I5" s="2"/>
      <c r="J5" s="2"/>
      <c r="K5" s="2"/>
      <c r="L5" s="2"/>
      <c r="M5" s="2"/>
      <c r="N5" s="2"/>
      <c r="O5" s="2"/>
      <c r="P5" s="2"/>
      <c r="Q5" s="2"/>
      <c r="R5" s="2"/>
      <c r="S5" s="2"/>
      <c r="T5" s="2"/>
      <c r="U5" s="2"/>
      <c r="V5" s="2"/>
    </row>
    <row r="6" customFormat="false" ht="15" hidden="false" customHeight="false" outlineLevel="0" collapsed="false">
      <c r="A6" s="2" t="s">
        <v>4051</v>
      </c>
      <c r="B6" s="51" t="n">
        <v>0.15</v>
      </c>
      <c r="C6" s="2" t="s">
        <v>4052</v>
      </c>
      <c r="D6" s="2"/>
      <c r="E6" s="2"/>
      <c r="F6" s="2"/>
      <c r="G6" s="2"/>
      <c r="H6" s="2"/>
      <c r="I6" s="2"/>
      <c r="J6" s="2"/>
      <c r="K6" s="2"/>
      <c r="L6" s="2"/>
      <c r="M6" s="2"/>
      <c r="N6" s="2"/>
      <c r="O6" s="2"/>
      <c r="P6" s="2"/>
      <c r="Q6" s="2"/>
      <c r="R6" s="2"/>
      <c r="S6" s="2"/>
      <c r="T6" s="2"/>
      <c r="U6" s="2"/>
      <c r="V6" s="2"/>
    </row>
    <row r="7" customFormat="false" ht="31.5" hidden="false" customHeight="true" outlineLevel="0" collapsed="false">
      <c r="A7" s="8" t="s">
        <v>4053</v>
      </c>
      <c r="B7" s="8" t="s">
        <v>4054</v>
      </c>
      <c r="C7" s="8" t="s">
        <v>4055</v>
      </c>
      <c r="D7" s="8" t="s">
        <v>4056</v>
      </c>
      <c r="E7" s="8" t="s">
        <v>4057</v>
      </c>
      <c r="F7" s="8" t="s">
        <v>4058</v>
      </c>
      <c r="G7" s="8" t="s">
        <v>4059</v>
      </c>
      <c r="H7" s="8" t="s">
        <v>4060</v>
      </c>
      <c r="I7" s="8" t="s">
        <v>4061</v>
      </c>
      <c r="J7" s="8" t="s">
        <v>4062</v>
      </c>
      <c r="K7" s="8" t="s">
        <v>4063</v>
      </c>
      <c r="L7" s="8" t="s">
        <v>4064</v>
      </c>
      <c r="M7" s="8" t="s">
        <v>4065</v>
      </c>
      <c r="N7" s="8" t="s">
        <v>4066</v>
      </c>
      <c r="O7" s="8" t="s">
        <v>4067</v>
      </c>
      <c r="P7" s="8" t="s">
        <v>4068</v>
      </c>
      <c r="Q7" s="8" t="s">
        <v>4069</v>
      </c>
      <c r="R7" s="8" t="s">
        <v>4070</v>
      </c>
      <c r="S7" s="8" t="s">
        <v>4071</v>
      </c>
      <c r="T7" s="8" t="s">
        <v>4072</v>
      </c>
      <c r="U7" s="8" t="s">
        <v>4073</v>
      </c>
      <c r="V7" s="8" t="s">
        <v>4074</v>
      </c>
    </row>
    <row r="8" customFormat="false" ht="15" hidden="false" customHeight="false" outlineLevel="0" collapsed="false">
      <c r="A8" s="2" t="s">
        <v>19</v>
      </c>
      <c r="B8" s="12" t="n">
        <v>0.4485</v>
      </c>
      <c r="C8" s="12" t="n">
        <v>0.9663</v>
      </c>
      <c r="D8" s="12" t="n">
        <v>0.8614</v>
      </c>
      <c r="E8" s="12" t="n">
        <v>0.9986</v>
      </c>
      <c r="F8" s="12" t="n">
        <v>0.9855</v>
      </c>
      <c r="G8" s="53" t="n">
        <f aca="false">SUMPRODUCT($B$4:$F$4,B8:F8)</f>
        <v>0.823595</v>
      </c>
      <c r="H8" s="53" t="n">
        <v>0.7764</v>
      </c>
      <c r="I8" s="2" t="n">
        <v>2</v>
      </c>
      <c r="J8" s="53" t="n">
        <f aca="false">IF(H8="",G8,(1-$B$6)*G8+$B$6*H8)</f>
        <v>0.81651575</v>
      </c>
      <c r="K8" s="2" t="n">
        <f aca="false">IF(J8&lt;$B$5,"excluded",COUNTIFS($J$8:$J$10,"&gt;"&amp;J8,$J$8:$J$10,"&gt;="&amp;$B$5)+1)</f>
        <v>1</v>
      </c>
      <c r="L8" s="53" t="n">
        <v>0.852</v>
      </c>
      <c r="M8" s="9" t="n">
        <v>0.6</v>
      </c>
      <c r="N8" s="31" t="n">
        <v>30</v>
      </c>
      <c r="O8" s="11" t="n">
        <v>1779</v>
      </c>
      <c r="P8" s="11" t="n">
        <v>798</v>
      </c>
      <c r="Q8" s="12" t="n">
        <v>0</v>
      </c>
      <c r="R8" s="11" t="n">
        <v>1</v>
      </c>
      <c r="S8" s="11" t="n">
        <v>1779</v>
      </c>
      <c r="T8" s="9" t="n">
        <v>0.9643</v>
      </c>
      <c r="U8" s="9" t="n">
        <v>0.9602</v>
      </c>
      <c r="V8" s="9" t="n">
        <v>0.9164</v>
      </c>
    </row>
    <row r="9" customFormat="false" ht="15" hidden="false" customHeight="false" outlineLevel="0" collapsed="false">
      <c r="A9" s="2" t="s">
        <v>21</v>
      </c>
      <c r="B9" s="12" t="n">
        <v>0.5196</v>
      </c>
      <c r="C9" s="12" t="n">
        <v>0.8963</v>
      </c>
      <c r="D9" s="12" t="n">
        <v>0.7124</v>
      </c>
      <c r="E9" s="12" t="n">
        <v>0.9969</v>
      </c>
      <c r="F9" s="12" t="n">
        <v>0.9878</v>
      </c>
      <c r="G9" s="53" t="n">
        <f aca="false">SUMPRODUCT($B$4:$F$4,B9:F9)</f>
        <v>0.79416</v>
      </c>
      <c r="H9" s="53" t="n">
        <v>0.7524</v>
      </c>
      <c r="I9" s="2" t="n">
        <v>2</v>
      </c>
      <c r="J9" s="53" t="n">
        <f aca="false">IF(H9="",G9,(1-$B$6)*G9+$B$6*H9)</f>
        <v>0.787896</v>
      </c>
      <c r="K9" s="2" t="n">
        <f aca="false">IF(J9&lt;$B$5,"excluded",COUNTIFS($J$8:$J$10,"&gt;"&amp;J9,$J$8:$J$10,"&gt;="&amp;$B$5)+1)</f>
        <v>2</v>
      </c>
      <c r="L9" s="53" t="n">
        <v>0.8513</v>
      </c>
      <c r="M9" s="9" t="n">
        <v>0.5217</v>
      </c>
      <c r="N9" s="31" t="n">
        <v>46</v>
      </c>
      <c r="O9" s="11" t="n">
        <v>2529</v>
      </c>
      <c r="P9" s="11" t="n">
        <v>1138</v>
      </c>
      <c r="Q9" s="12" t="n">
        <v>0.0099</v>
      </c>
      <c r="R9" s="11" t="n">
        <v>0</v>
      </c>
      <c r="S9" s="11" t="n">
        <v>12387</v>
      </c>
      <c r="T9" s="9" t="n">
        <v>0.8979</v>
      </c>
      <c r="U9" s="9" t="n">
        <v>0.8023</v>
      </c>
      <c r="V9" s="9" t="n">
        <v>0.7678</v>
      </c>
    </row>
    <row r="10" customFormat="false" ht="15" hidden="false" customHeight="false" outlineLevel="0" collapsed="false">
      <c r="A10" s="2" t="s">
        <v>17</v>
      </c>
      <c r="B10" s="12" t="n">
        <v>0.3063</v>
      </c>
      <c r="C10" s="12" t="n">
        <v>0.7246</v>
      </c>
      <c r="D10" s="12" t="n">
        <v>0.5655</v>
      </c>
      <c r="E10" s="12" t="n">
        <v>0.9892</v>
      </c>
      <c r="F10" s="12" t="n">
        <v>0.9788</v>
      </c>
      <c r="G10" s="53" t="n">
        <f aca="false">SUMPRODUCT($B$4:$F$4,B10:F10)</f>
        <v>0.666025</v>
      </c>
      <c r="H10" s="53" t="n">
        <v>0.5838</v>
      </c>
      <c r="I10" s="2" t="n">
        <v>2</v>
      </c>
      <c r="J10" s="53" t="n">
        <f aca="false">IF(H10="",G10,(1-$B$6)*G10+$B$6*H10)</f>
        <v>0.65369125</v>
      </c>
      <c r="K10" s="2" t="n">
        <f aca="false">IF(J10&lt;$B$5,"excluded",COUNTIFS($J$8:$J$10,"&gt;"&amp;J10,$J$8:$J$10,"&gt;="&amp;$B$5)+1)</f>
        <v>3</v>
      </c>
      <c r="L10" s="53" t="n">
        <v>0.6673</v>
      </c>
      <c r="M10" s="9" t="n">
        <v>0.3889</v>
      </c>
      <c r="N10" s="31" t="n">
        <v>36</v>
      </c>
      <c r="O10" s="11" t="n">
        <v>1938</v>
      </c>
      <c r="P10" s="11" t="n">
        <v>870</v>
      </c>
      <c r="Q10" s="12" t="n">
        <v>0.0387</v>
      </c>
      <c r="R10" s="11" t="n">
        <v>26</v>
      </c>
      <c r="S10" s="11" t="n">
        <v>3250</v>
      </c>
      <c r="T10" s="9" t="n">
        <v>0.6985</v>
      </c>
      <c r="U10" s="9" t="n">
        <v>0.7172</v>
      </c>
      <c r="V10" s="9" t="n">
        <v>0.1994</v>
      </c>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row>
    <row r="13" customFormat="false" ht="15" hidden="false" customHeight="false" outlineLevel="0" collapsed="false">
      <c r="A13" s="4" t="s">
        <v>4075</v>
      </c>
      <c r="B13" s="2"/>
      <c r="C13" s="2"/>
      <c r="D13" s="2"/>
      <c r="E13" s="2"/>
      <c r="F13" s="2"/>
      <c r="G13" s="2"/>
      <c r="H13" s="2"/>
      <c r="I13" s="2"/>
      <c r="J13" s="2"/>
      <c r="K13" s="2"/>
      <c r="L13" s="2"/>
      <c r="M13" s="2"/>
      <c r="N13" s="2"/>
      <c r="O13" s="2"/>
      <c r="P13" s="2"/>
      <c r="Q13" s="2"/>
      <c r="R13" s="2"/>
      <c r="S13" s="2"/>
      <c r="T13" s="2"/>
      <c r="U13" s="2"/>
      <c r="V13" s="2"/>
    </row>
    <row r="14" customFormat="false" ht="31.5" hidden="false" customHeight="true" outlineLevel="0" collapsed="false">
      <c r="A14" s="8" t="s">
        <v>42</v>
      </c>
      <c r="B14" s="8" t="s">
        <v>43</v>
      </c>
      <c r="C14" s="8" t="s">
        <v>19</v>
      </c>
      <c r="D14" s="8" t="s">
        <v>21</v>
      </c>
      <c r="E14" s="8" t="s">
        <v>17</v>
      </c>
      <c r="F14" s="2"/>
      <c r="G14" s="2"/>
      <c r="H14" s="2"/>
      <c r="I14" s="2"/>
      <c r="J14" s="2"/>
      <c r="K14" s="2"/>
      <c r="L14" s="2"/>
      <c r="M14" s="2"/>
      <c r="N14" s="2"/>
      <c r="O14" s="2"/>
      <c r="P14" s="2"/>
      <c r="Q14" s="2"/>
      <c r="R14" s="2"/>
      <c r="S14" s="2"/>
      <c r="T14" s="2"/>
      <c r="U14" s="2"/>
      <c r="V14" s="2"/>
    </row>
    <row r="15" customFormat="false" ht="15" hidden="false" customHeight="false" outlineLevel="0" collapsed="false">
      <c r="A15" s="2" t="s">
        <v>45</v>
      </c>
      <c r="B15" s="2" t="n">
        <v>628</v>
      </c>
      <c r="C15" s="9" t="n">
        <v>0.3201</v>
      </c>
      <c r="D15" s="54" t="n">
        <v>0.6354</v>
      </c>
      <c r="E15" s="9" t="n">
        <v>0.3073</v>
      </c>
      <c r="F15" s="2"/>
      <c r="G15" s="2"/>
      <c r="H15" s="2"/>
      <c r="I15" s="2"/>
      <c r="J15" s="2"/>
      <c r="K15" s="2"/>
      <c r="L15" s="2"/>
      <c r="M15" s="2"/>
      <c r="N15" s="2"/>
      <c r="O15" s="2"/>
      <c r="P15" s="2"/>
      <c r="Q15" s="2"/>
      <c r="R15" s="2"/>
      <c r="S15" s="2"/>
      <c r="T15" s="2"/>
      <c r="U15" s="2"/>
      <c r="V15" s="2"/>
    </row>
    <row r="16" customFormat="false" ht="15" hidden="false" customHeight="false" outlineLevel="0" collapsed="false">
      <c r="A16" s="2" t="s">
        <v>46</v>
      </c>
      <c r="B16" s="2" t="n">
        <v>632</v>
      </c>
      <c r="C16" s="9" t="n">
        <v>0.2516</v>
      </c>
      <c r="D16" s="54" t="n">
        <v>0.6266</v>
      </c>
      <c r="E16" s="9" t="n">
        <v>0.3165</v>
      </c>
      <c r="F16" s="2"/>
      <c r="G16" s="2"/>
      <c r="H16" s="2"/>
      <c r="I16" s="2"/>
      <c r="J16" s="2"/>
      <c r="K16" s="2"/>
      <c r="L16" s="2"/>
      <c r="M16" s="2"/>
      <c r="N16" s="2"/>
      <c r="O16" s="2"/>
      <c r="P16" s="2"/>
      <c r="Q16" s="2"/>
      <c r="R16" s="2"/>
      <c r="S16" s="2"/>
      <c r="T16" s="2"/>
      <c r="U16" s="2"/>
      <c r="V16" s="2"/>
    </row>
    <row r="17" customFormat="false" ht="15" hidden="false" customHeight="false" outlineLevel="0" collapsed="false">
      <c r="A17" s="2" t="s">
        <v>47</v>
      </c>
      <c r="B17" s="2" t="n">
        <v>624</v>
      </c>
      <c r="C17" s="54" t="n">
        <v>0.7772</v>
      </c>
      <c r="D17" s="9" t="n">
        <v>0.2949</v>
      </c>
      <c r="E17" s="9" t="n">
        <v>0.2949</v>
      </c>
      <c r="F17" s="2"/>
      <c r="G17" s="2"/>
      <c r="H17" s="2"/>
      <c r="I17" s="2"/>
      <c r="J17" s="2"/>
      <c r="K17" s="2"/>
      <c r="L17" s="2"/>
      <c r="M17" s="2"/>
      <c r="N17" s="2"/>
      <c r="O17" s="2"/>
      <c r="P17" s="2"/>
      <c r="Q17" s="2"/>
      <c r="R17" s="2"/>
      <c r="S17" s="2"/>
      <c r="T17" s="2"/>
      <c r="U17" s="2"/>
      <c r="V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6"/>
    <col collapsed="false" customWidth="true" hidden="false" outlineLevel="0" max="4" min="4" style="0" width="22"/>
    <col collapsed="false" customWidth="true" hidden="false" outlineLevel="0" max="5" min="5" style="0" width="46"/>
    <col collapsed="false" customWidth="true" hidden="false" outlineLevel="0" max="7" min="6" style="0" width="13"/>
  </cols>
  <sheetData>
    <row r="1" customFormat="false" ht="17.35" hidden="false" customHeight="false" outlineLevel="0" collapsed="false">
      <c r="A1" s="1" t="s">
        <v>4076</v>
      </c>
      <c r="B1" s="2"/>
      <c r="C1" s="2"/>
      <c r="D1" s="2"/>
      <c r="E1" s="2"/>
      <c r="F1" s="2"/>
      <c r="G1" s="2"/>
    </row>
    <row r="2" customFormat="false" ht="15" hidden="false" customHeight="false" outlineLevel="0" collapsed="false">
      <c r="A2" s="3" t="s">
        <v>4077</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4078</v>
      </c>
      <c r="B4" s="8" t="s">
        <v>4079</v>
      </c>
      <c r="C4" s="8" t="s">
        <v>4080</v>
      </c>
      <c r="D4" s="8" t="s">
        <v>4081</v>
      </c>
      <c r="E4" s="8" t="s">
        <v>4082</v>
      </c>
      <c r="F4" s="8" t="s">
        <v>4083</v>
      </c>
      <c r="G4" s="8" t="s">
        <v>4084</v>
      </c>
    </row>
    <row r="5" customFormat="false" ht="15" hidden="false" customHeight="false" outlineLevel="0" collapsed="false">
      <c r="A5" s="55" t="s">
        <v>4085</v>
      </c>
      <c r="B5" s="53" t="n">
        <v>0.8502</v>
      </c>
      <c r="C5" s="53" t="n">
        <v>0.8474</v>
      </c>
      <c r="D5" s="53" t="n">
        <v>0.661</v>
      </c>
      <c r="E5" s="2" t="n">
        <v>1</v>
      </c>
      <c r="F5" s="2" t="n">
        <v>2</v>
      </c>
      <c r="G5" s="2" t="n">
        <v>3</v>
      </c>
    </row>
    <row r="6" customFormat="false" ht="15" hidden="false" customHeight="false" outlineLevel="0" collapsed="false">
      <c r="A6" s="55" t="s">
        <v>4086</v>
      </c>
      <c r="B6" s="53" t="n">
        <v>0.8538</v>
      </c>
      <c r="C6" s="53" t="n">
        <v>0.8552</v>
      </c>
      <c r="D6" s="53" t="n">
        <v>0.6736</v>
      </c>
      <c r="E6" s="2" t="n">
        <v>2</v>
      </c>
      <c r="F6" s="2" t="n">
        <v>1</v>
      </c>
      <c r="G6" s="2" t="n">
        <v>3</v>
      </c>
    </row>
    <row r="7" customFormat="false" ht="15" hidden="false" customHeight="false" outlineLevel="0" collapsed="false">
      <c r="A7" s="4" t="s">
        <v>4087</v>
      </c>
      <c r="B7" s="53" t="n">
        <v>0.8236</v>
      </c>
      <c r="C7" s="53" t="n">
        <v>0.7942</v>
      </c>
      <c r="D7" s="53" t="n">
        <v>0.666</v>
      </c>
      <c r="E7" s="2" t="n">
        <v>1</v>
      </c>
      <c r="F7" s="2" t="n">
        <v>2</v>
      </c>
      <c r="G7" s="2" t="n">
        <v>3</v>
      </c>
    </row>
    <row r="8" customFormat="false" ht="15" hidden="false" customHeight="false" outlineLevel="0" collapsed="false">
      <c r="A8" s="2"/>
      <c r="B8" s="2"/>
      <c r="C8" s="2"/>
      <c r="D8" s="2"/>
      <c r="E8" s="2"/>
      <c r="F8" s="2"/>
      <c r="G8" s="2"/>
    </row>
    <row r="9" customFormat="false" ht="15" hidden="false" customHeight="false" outlineLevel="0" collapsed="false">
      <c r="A9" s="4" t="s">
        <v>4088</v>
      </c>
      <c r="B9" s="2"/>
      <c r="C9" s="2"/>
      <c r="D9" s="2"/>
      <c r="E9" s="2"/>
      <c r="F9" s="2"/>
      <c r="G9" s="2"/>
    </row>
    <row r="10" customFormat="false" ht="31.5" hidden="false" customHeight="true" outlineLevel="0" collapsed="false">
      <c r="A10" s="8" t="s">
        <v>4053</v>
      </c>
      <c r="B10" s="8" t="s">
        <v>4089</v>
      </c>
      <c r="C10" s="8" t="s">
        <v>4090</v>
      </c>
      <c r="D10" s="8" t="s">
        <v>4091</v>
      </c>
      <c r="E10" s="8" t="s">
        <v>4092</v>
      </c>
      <c r="F10" s="2"/>
      <c r="G10" s="2"/>
    </row>
    <row r="11" customFormat="false" ht="26.85" hidden="false" customHeight="false" outlineLevel="0" collapsed="false">
      <c r="A11" s="49" t="s">
        <v>19</v>
      </c>
      <c r="B11" s="49" t="s">
        <v>4093</v>
      </c>
      <c r="C11" s="49" t="s">
        <v>4094</v>
      </c>
      <c r="D11" s="49" t="s">
        <v>4095</v>
      </c>
      <c r="E11" s="49" t="s">
        <v>4096</v>
      </c>
      <c r="F11" s="2"/>
      <c r="G11" s="2"/>
    </row>
    <row r="12" customFormat="false" ht="26.85" hidden="false" customHeight="false" outlineLevel="0" collapsed="false">
      <c r="A12" s="49" t="s">
        <v>21</v>
      </c>
      <c r="B12" s="49" t="s">
        <v>4093</v>
      </c>
      <c r="C12" s="49" t="s">
        <v>4097</v>
      </c>
      <c r="D12" s="49" t="s">
        <v>4098</v>
      </c>
      <c r="E12" s="49" t="s">
        <v>4099</v>
      </c>
      <c r="F12" s="2"/>
      <c r="G12" s="2"/>
    </row>
    <row r="13" customFormat="false" ht="52.2" hidden="false" customHeight="false" outlineLevel="0" collapsed="false">
      <c r="A13" s="49" t="s">
        <v>17</v>
      </c>
      <c r="B13" s="49" t="s">
        <v>4093</v>
      </c>
      <c r="C13" s="49" t="s">
        <v>4100</v>
      </c>
      <c r="D13" s="49" t="s">
        <v>4101</v>
      </c>
      <c r="E13" s="49" t="s">
        <v>4096</v>
      </c>
      <c r="F13" s="2"/>
      <c r="G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7" min="4" style="0" width="12"/>
    <col collapsed="false" customWidth="true" hidden="false" outlineLevel="0" max="8" min="8" style="0" width="10"/>
  </cols>
  <sheetData>
    <row r="1" customFormat="false" ht="17.35" hidden="false" customHeight="false" outlineLevel="0" collapsed="false">
      <c r="A1" s="1" t="s">
        <v>4102</v>
      </c>
      <c r="B1" s="2"/>
      <c r="C1" s="2"/>
      <c r="D1" s="2"/>
      <c r="E1" s="2"/>
      <c r="F1" s="2"/>
      <c r="G1" s="2"/>
      <c r="H1" s="2"/>
    </row>
    <row r="2" customFormat="false" ht="15" hidden="false" customHeight="false" outlineLevel="0" collapsed="false">
      <c r="A2" s="3" t="s">
        <v>4103</v>
      </c>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56</v>
      </c>
      <c r="B4" s="8" t="s">
        <v>42</v>
      </c>
      <c r="C4" s="8" t="s">
        <v>4078</v>
      </c>
      <c r="D4" s="8" t="s">
        <v>658</v>
      </c>
      <c r="E4" s="10" t="s">
        <v>61</v>
      </c>
      <c r="F4" s="10" t="s">
        <v>63</v>
      </c>
      <c r="G4" s="10" t="s">
        <v>65</v>
      </c>
      <c r="H4" s="8" t="s">
        <v>36</v>
      </c>
    </row>
    <row r="5" customFormat="false" ht="15" hidden="false" customHeight="false" outlineLevel="0" collapsed="false">
      <c r="A5" s="2" t="s">
        <v>2660</v>
      </c>
      <c r="B5" s="2" t="s">
        <v>4104</v>
      </c>
      <c r="C5" s="2" t="s">
        <v>4085</v>
      </c>
      <c r="D5" s="2"/>
      <c r="E5" s="31" t="n">
        <v>20.2</v>
      </c>
      <c r="F5" s="31" t="n">
        <v>53</v>
      </c>
      <c r="G5" s="31" t="n">
        <v>0.8</v>
      </c>
      <c r="H5" s="2" t="s">
        <v>668</v>
      </c>
    </row>
    <row r="6" customFormat="false" ht="15" hidden="false" customHeight="false" outlineLevel="0" collapsed="false">
      <c r="A6" s="2" t="s">
        <v>2660</v>
      </c>
      <c r="B6" s="2" t="s">
        <v>4104</v>
      </c>
      <c r="C6" s="2" t="s">
        <v>4086</v>
      </c>
      <c r="D6" s="2"/>
      <c r="E6" s="31" t="n">
        <v>12.2</v>
      </c>
      <c r="F6" s="31" t="n">
        <v>56</v>
      </c>
      <c r="G6" s="31" t="n">
        <v>37.8</v>
      </c>
      <c r="H6" s="2" t="s">
        <v>668</v>
      </c>
    </row>
    <row r="7" customFormat="false" ht="15" hidden="false" customHeight="false" outlineLevel="0" collapsed="false">
      <c r="A7" s="2" t="s">
        <v>2660</v>
      </c>
      <c r="B7" s="2" t="s">
        <v>4104</v>
      </c>
      <c r="C7" s="2" t="s">
        <v>4087</v>
      </c>
      <c r="D7" s="2"/>
      <c r="E7" s="31" t="n">
        <v>3.4</v>
      </c>
      <c r="F7" s="31" t="n">
        <v>21.6</v>
      </c>
      <c r="G7" s="31" t="n">
        <v>0.7</v>
      </c>
      <c r="H7" s="2" t="s">
        <v>668</v>
      </c>
    </row>
    <row r="8" customFormat="false" ht="15" hidden="false" customHeight="false" outlineLevel="0" collapsed="false">
      <c r="A8" s="2" t="s">
        <v>2660</v>
      </c>
      <c r="B8" s="2" t="s">
        <v>45</v>
      </c>
      <c r="C8" s="2" t="s">
        <v>4085</v>
      </c>
      <c r="D8" s="11" t="n">
        <v>83280</v>
      </c>
      <c r="E8" s="31" t="n">
        <v>19.2</v>
      </c>
      <c r="F8" s="31" t="n">
        <v>41.2</v>
      </c>
      <c r="G8" s="2"/>
      <c r="H8" s="2" t="s">
        <v>668</v>
      </c>
    </row>
    <row r="9" customFormat="false" ht="15" hidden="false" customHeight="false" outlineLevel="0" collapsed="false">
      <c r="A9" s="2" t="s">
        <v>2660</v>
      </c>
      <c r="B9" s="2" t="s">
        <v>45</v>
      </c>
      <c r="C9" s="2" t="s">
        <v>4086</v>
      </c>
      <c r="D9" s="11" t="n">
        <v>88250</v>
      </c>
      <c r="E9" s="31" t="n">
        <v>8.5</v>
      </c>
      <c r="F9" s="31" t="n">
        <v>61.9</v>
      </c>
      <c r="G9" s="31" t="n">
        <v>6.1</v>
      </c>
      <c r="H9" s="2" t="s">
        <v>671</v>
      </c>
    </row>
    <row r="10" customFormat="false" ht="15" hidden="false" customHeight="false" outlineLevel="0" collapsed="false">
      <c r="A10" s="2" t="s">
        <v>2660</v>
      </c>
      <c r="B10" s="2" t="s">
        <v>45</v>
      </c>
      <c r="C10" s="2" t="s">
        <v>4087</v>
      </c>
      <c r="D10" s="2"/>
      <c r="E10" s="2"/>
      <c r="F10" s="2"/>
      <c r="G10" s="2"/>
      <c r="H10" s="2" t="s">
        <v>668</v>
      </c>
    </row>
    <row r="11" customFormat="false" ht="15" hidden="false" customHeight="false" outlineLevel="0" collapsed="false">
      <c r="A11" s="2" t="s">
        <v>2660</v>
      </c>
      <c r="B11" s="2" t="s">
        <v>46</v>
      </c>
      <c r="C11" s="2" t="s">
        <v>4085</v>
      </c>
      <c r="D11" s="11" t="n">
        <v>50271</v>
      </c>
      <c r="E11" s="31" t="n">
        <v>41.1</v>
      </c>
      <c r="F11" s="2"/>
      <c r="G11" s="2"/>
      <c r="H11" s="2" t="s">
        <v>668</v>
      </c>
    </row>
    <row r="12" customFormat="false" ht="15" hidden="false" customHeight="false" outlineLevel="0" collapsed="false">
      <c r="A12" s="2" t="s">
        <v>2660</v>
      </c>
      <c r="B12" s="2" t="s">
        <v>46</v>
      </c>
      <c r="C12" s="2" t="s">
        <v>4086</v>
      </c>
      <c r="D12" s="11" t="n">
        <v>51160</v>
      </c>
      <c r="E12" s="31" t="n">
        <v>15.9</v>
      </c>
      <c r="F12" s="31" t="n">
        <v>50.2</v>
      </c>
      <c r="G12" s="31" t="n">
        <v>69.5</v>
      </c>
      <c r="H12" s="2" t="s">
        <v>671</v>
      </c>
    </row>
    <row r="13" customFormat="false" ht="15" hidden="false" customHeight="false" outlineLevel="0" collapsed="false">
      <c r="A13" s="2" t="s">
        <v>2660</v>
      </c>
      <c r="B13" s="2" t="s">
        <v>46</v>
      </c>
      <c r="C13" s="2" t="s">
        <v>4087</v>
      </c>
      <c r="D13" s="2"/>
      <c r="E13" s="2"/>
      <c r="F13" s="2"/>
      <c r="G13" s="2"/>
      <c r="H13" s="2" t="s">
        <v>668</v>
      </c>
    </row>
    <row r="14" customFormat="false" ht="15" hidden="false" customHeight="false" outlineLevel="0" collapsed="false">
      <c r="A14" s="2" t="s">
        <v>2660</v>
      </c>
      <c r="B14" s="2" t="s">
        <v>47</v>
      </c>
      <c r="C14" s="2" t="s">
        <v>4085</v>
      </c>
      <c r="D14" s="11" t="n">
        <v>60988</v>
      </c>
      <c r="E14" s="31" t="n">
        <v>0.3</v>
      </c>
      <c r="F14" s="31" t="n">
        <v>64.7</v>
      </c>
      <c r="G14" s="31" t="n">
        <v>0.8</v>
      </c>
      <c r="H14" s="2" t="s">
        <v>671</v>
      </c>
    </row>
    <row r="15" customFormat="false" ht="15" hidden="false" customHeight="false" outlineLevel="0" collapsed="false">
      <c r="A15" s="2" t="s">
        <v>2660</v>
      </c>
      <c r="B15" s="2" t="s">
        <v>47</v>
      </c>
      <c r="C15" s="2" t="s">
        <v>4086</v>
      </c>
      <c r="D15" s="2"/>
      <c r="E15" s="2"/>
      <c r="F15" s="2"/>
      <c r="G15" s="2"/>
      <c r="H15" s="2" t="s">
        <v>668</v>
      </c>
    </row>
    <row r="16" customFormat="false" ht="15" hidden="false" customHeight="false" outlineLevel="0" collapsed="false">
      <c r="A16" s="2" t="s">
        <v>2660</v>
      </c>
      <c r="B16" s="2" t="s">
        <v>47</v>
      </c>
      <c r="C16" s="2" t="s">
        <v>4087</v>
      </c>
      <c r="D16" s="11" t="n">
        <v>65063</v>
      </c>
      <c r="E16" s="31" t="n">
        <v>3.4</v>
      </c>
      <c r="F16" s="31" t="n">
        <v>21.6</v>
      </c>
      <c r="G16" s="31" t="n">
        <v>0.7</v>
      </c>
      <c r="H16" s="2" t="s">
        <v>671</v>
      </c>
    </row>
    <row r="17" customFormat="false" ht="15" hidden="false" customHeight="false" outlineLevel="0" collapsed="false">
      <c r="A17" s="2" t="s">
        <v>1206</v>
      </c>
      <c r="B17" s="2" t="s">
        <v>4104</v>
      </c>
      <c r="C17" s="2" t="s">
        <v>4085</v>
      </c>
      <c r="D17" s="2"/>
      <c r="E17" s="31" t="n">
        <v>45</v>
      </c>
      <c r="F17" s="31" t="n">
        <v>33.4</v>
      </c>
      <c r="G17" s="31" t="n">
        <v>43.6</v>
      </c>
      <c r="H17" s="2" t="s">
        <v>668</v>
      </c>
    </row>
    <row r="18" customFormat="false" ht="15" hidden="false" customHeight="false" outlineLevel="0" collapsed="false">
      <c r="A18" s="2" t="s">
        <v>1206</v>
      </c>
      <c r="B18" s="2" t="s">
        <v>4104</v>
      </c>
      <c r="C18" s="2" t="s">
        <v>4087</v>
      </c>
      <c r="D18" s="2"/>
      <c r="E18" s="31" t="n">
        <v>52.6</v>
      </c>
      <c r="F18" s="31" t="n">
        <v>26.2</v>
      </c>
      <c r="G18" s="31" t="n">
        <v>36.6</v>
      </c>
      <c r="H18" s="2" t="s">
        <v>668</v>
      </c>
    </row>
    <row r="19" customFormat="false" ht="15" hidden="false" customHeight="false" outlineLevel="0" collapsed="false">
      <c r="A19" s="2" t="s">
        <v>1206</v>
      </c>
      <c r="B19" s="2" t="s">
        <v>45</v>
      </c>
      <c r="C19" s="2" t="s">
        <v>4085</v>
      </c>
      <c r="D19" s="2"/>
      <c r="E19" s="2"/>
      <c r="F19" s="2"/>
      <c r="G19" s="2"/>
      <c r="H19" s="2" t="s">
        <v>668</v>
      </c>
    </row>
    <row r="20" customFormat="false" ht="15" hidden="false" customHeight="false" outlineLevel="0" collapsed="false">
      <c r="A20" s="2" t="s">
        <v>1206</v>
      </c>
      <c r="B20" s="2" t="s">
        <v>45</v>
      </c>
      <c r="C20" s="2" t="s">
        <v>4087</v>
      </c>
      <c r="D20" s="11" t="n">
        <v>127230</v>
      </c>
      <c r="E20" s="31" t="n">
        <v>28</v>
      </c>
      <c r="F20" s="31" t="n">
        <v>5.1</v>
      </c>
      <c r="G20" s="31" t="n">
        <v>52.2</v>
      </c>
      <c r="H20" s="2" t="s">
        <v>671</v>
      </c>
    </row>
    <row r="21" customFormat="false" ht="15" hidden="false" customHeight="false" outlineLevel="0" collapsed="false">
      <c r="A21" s="2" t="s">
        <v>1206</v>
      </c>
      <c r="B21" s="2" t="s">
        <v>46</v>
      </c>
      <c r="C21" s="2" t="s">
        <v>4085</v>
      </c>
      <c r="D21" s="11" t="n">
        <v>30968</v>
      </c>
      <c r="E21" s="31" t="n">
        <v>39.7</v>
      </c>
      <c r="F21" s="31" t="n">
        <v>50.2</v>
      </c>
      <c r="G21" s="31" t="n">
        <v>32</v>
      </c>
      <c r="H21" s="2" t="s">
        <v>671</v>
      </c>
    </row>
    <row r="22" customFormat="false" ht="15" hidden="false" customHeight="false" outlineLevel="0" collapsed="false">
      <c r="A22" s="2" t="s">
        <v>1206</v>
      </c>
      <c r="B22" s="2" t="s">
        <v>46</v>
      </c>
      <c r="C22" s="2" t="s">
        <v>4087</v>
      </c>
      <c r="D22" s="11" t="n">
        <v>32581</v>
      </c>
      <c r="E22" s="31" t="n">
        <v>61.5</v>
      </c>
      <c r="F22" s="31" t="n">
        <v>62.7</v>
      </c>
      <c r="G22" s="2"/>
      <c r="H22" s="2" t="s">
        <v>668</v>
      </c>
    </row>
    <row r="23" customFormat="false" ht="15" hidden="false" customHeight="false" outlineLevel="0" collapsed="false">
      <c r="A23" s="2" t="s">
        <v>1206</v>
      </c>
      <c r="B23" s="2" t="s">
        <v>47</v>
      </c>
      <c r="C23" s="2" t="s">
        <v>4085</v>
      </c>
      <c r="D23" s="11" t="n">
        <v>425823</v>
      </c>
      <c r="E23" s="31" t="n">
        <v>50.2</v>
      </c>
      <c r="F23" s="31" t="n">
        <v>16.7</v>
      </c>
      <c r="G23" s="31" t="n">
        <v>55.2</v>
      </c>
      <c r="H23" s="2" t="s">
        <v>671</v>
      </c>
    </row>
    <row r="24" customFormat="false" ht="15" hidden="false" customHeight="false" outlineLevel="0" collapsed="false">
      <c r="A24" s="2" t="s">
        <v>1206</v>
      </c>
      <c r="B24" s="2" t="s">
        <v>47</v>
      </c>
      <c r="C24" s="2" t="s">
        <v>4087</v>
      </c>
      <c r="D24" s="11" t="n">
        <v>437824</v>
      </c>
      <c r="E24" s="31" t="n">
        <v>68.4</v>
      </c>
      <c r="F24" s="31" t="n">
        <v>10.8</v>
      </c>
      <c r="G24" s="31" t="n">
        <v>21</v>
      </c>
      <c r="H24" s="2" t="s">
        <v>671</v>
      </c>
    </row>
    <row r="25" customFormat="false" ht="15" hidden="false" customHeight="false" outlineLevel="0" collapsed="false">
      <c r="A25" s="2" t="s">
        <v>1998</v>
      </c>
      <c r="B25" s="2" t="s">
        <v>4104</v>
      </c>
      <c r="C25" s="2" t="s">
        <v>4085</v>
      </c>
      <c r="D25" s="2"/>
      <c r="E25" s="31" t="n">
        <v>73.7</v>
      </c>
      <c r="F25" s="31" t="n">
        <v>55.2</v>
      </c>
      <c r="G25" s="31" t="n">
        <v>29.6</v>
      </c>
      <c r="H25" s="2" t="s">
        <v>671</v>
      </c>
    </row>
    <row r="26" customFormat="false" ht="15" hidden="false" customHeight="false" outlineLevel="0" collapsed="false">
      <c r="A26" s="2" t="s">
        <v>1998</v>
      </c>
      <c r="B26" s="2" t="s">
        <v>4104</v>
      </c>
      <c r="C26" s="2" t="s">
        <v>4086</v>
      </c>
      <c r="D26" s="2"/>
      <c r="E26" s="31" t="n">
        <v>72.3</v>
      </c>
      <c r="F26" s="31" t="n">
        <v>55.1</v>
      </c>
      <c r="G26" s="31" t="n">
        <v>13.6</v>
      </c>
      <c r="H26" s="2" t="s">
        <v>668</v>
      </c>
    </row>
    <row r="27" customFormat="false" ht="15" hidden="false" customHeight="false" outlineLevel="0" collapsed="false">
      <c r="A27" s="2" t="s">
        <v>1998</v>
      </c>
      <c r="B27" s="2" t="s">
        <v>4104</v>
      </c>
      <c r="C27" s="2" t="s">
        <v>4087</v>
      </c>
      <c r="D27" s="2"/>
      <c r="E27" s="31" t="n">
        <v>73.9</v>
      </c>
      <c r="F27" s="31" t="n">
        <v>33.6</v>
      </c>
      <c r="G27" s="31" t="n">
        <v>12.4</v>
      </c>
      <c r="H27" s="2" t="s">
        <v>668</v>
      </c>
    </row>
    <row r="28" customFormat="false" ht="15" hidden="false" customHeight="false" outlineLevel="0" collapsed="false">
      <c r="A28" s="2" t="s">
        <v>1998</v>
      </c>
      <c r="B28" s="2" t="s">
        <v>45</v>
      </c>
      <c r="C28" s="2" t="s">
        <v>4085</v>
      </c>
      <c r="D28" s="11" t="n">
        <v>29580</v>
      </c>
      <c r="E28" s="31" t="n">
        <v>64.6</v>
      </c>
      <c r="F28" s="31" t="n">
        <v>86.5</v>
      </c>
      <c r="G28" s="2"/>
      <c r="H28" s="2" t="s">
        <v>671</v>
      </c>
    </row>
    <row r="29" customFormat="false" ht="15" hidden="false" customHeight="false" outlineLevel="0" collapsed="false">
      <c r="A29" s="2" t="s">
        <v>1998</v>
      </c>
      <c r="B29" s="2" t="s">
        <v>45</v>
      </c>
      <c r="C29" s="2" t="s">
        <v>4086</v>
      </c>
      <c r="D29" s="11" t="n">
        <v>30670</v>
      </c>
      <c r="E29" s="31" t="n">
        <v>52.2</v>
      </c>
      <c r="F29" s="31" t="n">
        <v>96.2</v>
      </c>
      <c r="G29" s="2"/>
      <c r="H29" s="2" t="s">
        <v>671</v>
      </c>
    </row>
    <row r="30" customFormat="false" ht="15" hidden="false" customHeight="false" outlineLevel="0" collapsed="false">
      <c r="A30" s="2" t="s">
        <v>1998</v>
      </c>
      <c r="B30" s="2" t="s">
        <v>45</v>
      </c>
      <c r="C30" s="2" t="s">
        <v>4087</v>
      </c>
      <c r="D30" s="2"/>
      <c r="E30" s="2"/>
      <c r="F30" s="2"/>
      <c r="G30" s="2"/>
      <c r="H30" s="2" t="s">
        <v>668</v>
      </c>
    </row>
    <row r="31" customFormat="false" ht="15" hidden="false" customHeight="false" outlineLevel="0" collapsed="false">
      <c r="A31" s="2" t="s">
        <v>1998</v>
      </c>
      <c r="B31" s="2" t="s">
        <v>46</v>
      </c>
      <c r="C31" s="2" t="s">
        <v>4085</v>
      </c>
      <c r="D31" s="11" t="n">
        <v>19350</v>
      </c>
      <c r="E31" s="31" t="n">
        <v>78.9</v>
      </c>
      <c r="F31" s="31" t="n">
        <v>60.7</v>
      </c>
      <c r="G31" s="31" t="n">
        <v>49.8</v>
      </c>
      <c r="H31" s="2" t="s">
        <v>671</v>
      </c>
    </row>
    <row r="32" customFormat="false" ht="15" hidden="false" customHeight="false" outlineLevel="0" collapsed="false">
      <c r="A32" s="2" t="s">
        <v>1998</v>
      </c>
      <c r="B32" s="2" t="s">
        <v>46</v>
      </c>
      <c r="C32" s="2" t="s">
        <v>4086</v>
      </c>
      <c r="D32" s="2"/>
      <c r="E32" s="2"/>
      <c r="F32" s="2"/>
      <c r="G32" s="2"/>
      <c r="H32" s="2" t="s">
        <v>668</v>
      </c>
    </row>
    <row r="33" customFormat="false" ht="15" hidden="false" customHeight="false" outlineLevel="0" collapsed="false">
      <c r="A33" s="2" t="s">
        <v>1998</v>
      </c>
      <c r="B33" s="2" t="s">
        <v>46</v>
      </c>
      <c r="C33" s="2" t="s">
        <v>4087</v>
      </c>
      <c r="D33" s="11" t="n">
        <v>20910</v>
      </c>
      <c r="E33" s="31" t="n">
        <v>52.6</v>
      </c>
      <c r="F33" s="31" t="n">
        <v>53.5</v>
      </c>
      <c r="G33" s="2"/>
      <c r="H33" s="2" t="s">
        <v>668</v>
      </c>
    </row>
    <row r="34" customFormat="false" ht="15" hidden="false" customHeight="false" outlineLevel="0" collapsed="false">
      <c r="A34" s="2" t="s">
        <v>1998</v>
      </c>
      <c r="B34" s="2" t="s">
        <v>47</v>
      </c>
      <c r="C34" s="2" t="s">
        <v>4085</v>
      </c>
      <c r="D34" s="11" t="n">
        <v>72522</v>
      </c>
      <c r="E34" s="31" t="n">
        <v>77.5</v>
      </c>
      <c r="F34" s="31" t="n">
        <v>18.3</v>
      </c>
      <c r="G34" s="31" t="n">
        <v>9.5</v>
      </c>
      <c r="H34" s="2" t="s">
        <v>671</v>
      </c>
    </row>
    <row r="35" customFormat="false" ht="15" hidden="false" customHeight="false" outlineLevel="0" collapsed="false">
      <c r="A35" s="2" t="s">
        <v>1998</v>
      </c>
      <c r="B35" s="2" t="s">
        <v>47</v>
      </c>
      <c r="C35" s="2" t="s">
        <v>4086</v>
      </c>
      <c r="D35" s="11" t="n">
        <v>72750</v>
      </c>
      <c r="E35" s="31" t="n">
        <v>92.4</v>
      </c>
      <c r="F35" s="31" t="n">
        <v>14</v>
      </c>
      <c r="G35" s="31" t="n">
        <v>13.6</v>
      </c>
      <c r="H35" s="2" t="s">
        <v>671</v>
      </c>
    </row>
    <row r="36" customFormat="false" ht="15" hidden="false" customHeight="false" outlineLevel="0" collapsed="false">
      <c r="A36" s="2" t="s">
        <v>1998</v>
      </c>
      <c r="B36" s="2" t="s">
        <v>47</v>
      </c>
      <c r="C36" s="2" t="s">
        <v>4087</v>
      </c>
      <c r="D36" s="11" t="n">
        <v>72282</v>
      </c>
      <c r="E36" s="31" t="n">
        <v>95.2</v>
      </c>
      <c r="F36" s="31" t="n">
        <v>13.8</v>
      </c>
      <c r="G36" s="31" t="n">
        <v>12.4</v>
      </c>
      <c r="H36" s="2" t="s">
        <v>671</v>
      </c>
    </row>
    <row r="37" customFormat="false" ht="15" hidden="false" customHeight="false" outlineLevel="0" collapsed="false">
      <c r="A37" s="2" t="s">
        <v>1578</v>
      </c>
      <c r="B37" s="2" t="s">
        <v>4104</v>
      </c>
      <c r="C37" s="2" t="s">
        <v>4085</v>
      </c>
      <c r="D37" s="2"/>
      <c r="E37" s="31" t="n">
        <v>47.9</v>
      </c>
      <c r="F37" s="31" t="n">
        <v>46.6</v>
      </c>
      <c r="G37" s="31" t="n">
        <v>82.4</v>
      </c>
      <c r="H37" s="2" t="s">
        <v>668</v>
      </c>
    </row>
    <row r="38" customFormat="false" ht="15" hidden="false" customHeight="false" outlineLevel="0" collapsed="false">
      <c r="A38" s="2" t="s">
        <v>1578</v>
      </c>
      <c r="B38" s="2" t="s">
        <v>4104</v>
      </c>
      <c r="C38" s="2" t="s">
        <v>4086</v>
      </c>
      <c r="D38" s="2"/>
      <c r="E38" s="31" t="n">
        <v>40.8</v>
      </c>
      <c r="F38" s="31" t="n">
        <v>46.7</v>
      </c>
      <c r="G38" s="31" t="n">
        <v>84.4</v>
      </c>
      <c r="H38" s="2" t="s">
        <v>668</v>
      </c>
    </row>
    <row r="39" customFormat="false" ht="15" hidden="false" customHeight="false" outlineLevel="0" collapsed="false">
      <c r="A39" s="2" t="s">
        <v>1578</v>
      </c>
      <c r="B39" s="2" t="s">
        <v>4104</v>
      </c>
      <c r="C39" s="2" t="s">
        <v>4087</v>
      </c>
      <c r="D39" s="2"/>
      <c r="E39" s="31" t="n">
        <v>51.9</v>
      </c>
      <c r="F39" s="31" t="n">
        <v>46.1</v>
      </c>
      <c r="G39" s="31" t="n">
        <v>79.5</v>
      </c>
      <c r="H39" s="2" t="s">
        <v>668</v>
      </c>
    </row>
    <row r="40" customFormat="false" ht="15" hidden="false" customHeight="false" outlineLevel="0" collapsed="false">
      <c r="A40" s="2" t="s">
        <v>1578</v>
      </c>
      <c r="B40" s="2" t="s">
        <v>45</v>
      </c>
      <c r="C40" s="2" t="s">
        <v>4085</v>
      </c>
      <c r="D40" s="11" t="n">
        <v>30410</v>
      </c>
      <c r="E40" s="31" t="n">
        <v>55.1</v>
      </c>
      <c r="F40" s="31" t="n">
        <v>51.5</v>
      </c>
      <c r="G40" s="31" t="n">
        <v>68.8</v>
      </c>
      <c r="H40" s="2" t="s">
        <v>671</v>
      </c>
    </row>
    <row r="41" customFormat="false" ht="15" hidden="false" customHeight="false" outlineLevel="0" collapsed="false">
      <c r="A41" s="2" t="s">
        <v>1578</v>
      </c>
      <c r="B41" s="2" t="s">
        <v>45</v>
      </c>
      <c r="C41" s="2" t="s">
        <v>4086</v>
      </c>
      <c r="D41" s="11" t="n">
        <v>30830</v>
      </c>
      <c r="E41" s="31" t="n">
        <v>52.4</v>
      </c>
      <c r="F41" s="31" t="n">
        <v>32</v>
      </c>
      <c r="G41" s="2"/>
      <c r="H41" s="2" t="s">
        <v>668</v>
      </c>
    </row>
    <row r="42" customFormat="false" ht="15" hidden="false" customHeight="false" outlineLevel="0" collapsed="false">
      <c r="A42" s="2" t="s">
        <v>1578</v>
      </c>
      <c r="B42" s="2" t="s">
        <v>45</v>
      </c>
      <c r="C42" s="2" t="s">
        <v>4087</v>
      </c>
      <c r="D42" s="11" t="n">
        <v>30091</v>
      </c>
      <c r="E42" s="2"/>
      <c r="F42" s="31" t="n">
        <v>32.5</v>
      </c>
      <c r="G42" s="2"/>
      <c r="H42" s="2" t="s">
        <v>668</v>
      </c>
    </row>
    <row r="43" customFormat="false" ht="15" hidden="false" customHeight="false" outlineLevel="0" collapsed="false">
      <c r="A43" s="2" t="s">
        <v>1578</v>
      </c>
      <c r="B43" s="2" t="s">
        <v>46</v>
      </c>
      <c r="C43" s="2" t="s">
        <v>4085</v>
      </c>
      <c r="D43" s="11" t="n">
        <v>251220</v>
      </c>
      <c r="E43" s="31" t="n">
        <v>40.7</v>
      </c>
      <c r="F43" s="31" t="n">
        <v>41.7</v>
      </c>
      <c r="G43" s="31" t="n">
        <v>96.1</v>
      </c>
      <c r="H43" s="2" t="s">
        <v>671</v>
      </c>
    </row>
    <row r="44" customFormat="false" ht="15" hidden="false" customHeight="false" outlineLevel="0" collapsed="false">
      <c r="A44" s="2" t="s">
        <v>1578</v>
      </c>
      <c r="B44" s="2" t="s">
        <v>46</v>
      </c>
      <c r="C44" s="2" t="s">
        <v>4086</v>
      </c>
      <c r="D44" s="11" t="n">
        <v>260580</v>
      </c>
      <c r="E44" s="31" t="n">
        <v>59.5</v>
      </c>
      <c r="F44" s="31" t="n">
        <v>38.2</v>
      </c>
      <c r="G44" s="31" t="n">
        <v>98.9</v>
      </c>
      <c r="H44" s="2" t="s">
        <v>671</v>
      </c>
    </row>
    <row r="45" customFormat="false" ht="15" hidden="false" customHeight="false" outlineLevel="0" collapsed="false">
      <c r="A45" s="2" t="s">
        <v>1578</v>
      </c>
      <c r="B45" s="2" t="s">
        <v>46</v>
      </c>
      <c r="C45" s="2" t="s">
        <v>4087</v>
      </c>
      <c r="D45" s="11" t="n">
        <v>256791</v>
      </c>
      <c r="E45" s="31" t="n">
        <v>67.9</v>
      </c>
      <c r="F45" s="31" t="n">
        <v>27.2</v>
      </c>
      <c r="G45" s="31" t="n">
        <v>100</v>
      </c>
      <c r="H45" s="2" t="s">
        <v>671</v>
      </c>
    </row>
    <row r="46" customFormat="false" ht="15" hidden="false" customHeight="false" outlineLevel="0" collapsed="false">
      <c r="A46" s="2" t="s">
        <v>1578</v>
      </c>
      <c r="B46" s="2" t="s">
        <v>47</v>
      </c>
      <c r="C46" s="2" t="s">
        <v>4085</v>
      </c>
      <c r="D46" s="2"/>
      <c r="E46" s="2"/>
      <c r="F46" s="2"/>
      <c r="G46" s="2"/>
      <c r="H46" s="2" t="s">
        <v>668</v>
      </c>
    </row>
    <row r="47" customFormat="false" ht="15" hidden="false" customHeight="false" outlineLevel="0" collapsed="false">
      <c r="A47" s="2" t="s">
        <v>1578</v>
      </c>
      <c r="B47" s="2" t="s">
        <v>47</v>
      </c>
      <c r="C47" s="2" t="s">
        <v>4086</v>
      </c>
      <c r="D47" s="11" t="n">
        <v>3745</v>
      </c>
      <c r="E47" s="31" t="n">
        <v>10.4</v>
      </c>
      <c r="F47" s="31" t="n">
        <v>70</v>
      </c>
      <c r="G47" s="31" t="n">
        <v>69.9</v>
      </c>
      <c r="H47" s="2" t="s">
        <v>671</v>
      </c>
    </row>
    <row r="48" customFormat="false" ht="15" hidden="false" customHeight="false" outlineLevel="0" collapsed="false">
      <c r="A48" s="2" t="s">
        <v>1578</v>
      </c>
      <c r="B48" s="2" t="s">
        <v>47</v>
      </c>
      <c r="C48" s="2" t="s">
        <v>4087</v>
      </c>
      <c r="D48" s="11" t="n">
        <v>3926</v>
      </c>
      <c r="E48" s="31" t="n">
        <v>35.9</v>
      </c>
      <c r="F48" s="31" t="n">
        <v>78.7</v>
      </c>
      <c r="G48" s="31" t="n">
        <v>59</v>
      </c>
      <c r="H48" s="2" t="s">
        <v>671</v>
      </c>
    </row>
    <row r="49" customFormat="false" ht="15" hidden="false" customHeight="false" outlineLevel="0" collapsed="false">
      <c r="A49" s="2" t="s">
        <v>1787</v>
      </c>
      <c r="B49" s="2" t="s">
        <v>4104</v>
      </c>
      <c r="C49" s="2" t="s">
        <v>4085</v>
      </c>
      <c r="D49" s="2"/>
      <c r="E49" s="31" t="n">
        <v>34.8</v>
      </c>
      <c r="F49" s="31" t="n">
        <v>66.2</v>
      </c>
      <c r="G49" s="31" t="n">
        <v>45.9</v>
      </c>
      <c r="H49" s="2" t="s">
        <v>668</v>
      </c>
    </row>
    <row r="50" customFormat="false" ht="15" hidden="false" customHeight="false" outlineLevel="0" collapsed="false">
      <c r="A50" s="2" t="s">
        <v>1787</v>
      </c>
      <c r="B50" s="2" t="s">
        <v>4104</v>
      </c>
      <c r="C50" s="2" t="s">
        <v>4086</v>
      </c>
      <c r="D50" s="2"/>
      <c r="E50" s="31" t="n">
        <v>26</v>
      </c>
      <c r="F50" s="31" t="n">
        <v>43.8</v>
      </c>
      <c r="G50" s="31" t="n">
        <v>53.5</v>
      </c>
      <c r="H50" s="2" t="s">
        <v>671</v>
      </c>
    </row>
    <row r="51" customFormat="false" ht="15" hidden="false" customHeight="false" outlineLevel="0" collapsed="false">
      <c r="A51" s="2" t="s">
        <v>1787</v>
      </c>
      <c r="B51" s="2" t="s">
        <v>4104</v>
      </c>
      <c r="C51" s="2" t="s">
        <v>4087</v>
      </c>
      <c r="D51" s="2"/>
      <c r="E51" s="31" t="n">
        <v>22.3</v>
      </c>
      <c r="F51" s="31" t="n">
        <v>83.5</v>
      </c>
      <c r="G51" s="31" t="n">
        <v>66.6</v>
      </c>
      <c r="H51" s="2" t="s">
        <v>668</v>
      </c>
    </row>
    <row r="52" customFormat="false" ht="15" hidden="false" customHeight="false" outlineLevel="0" collapsed="false">
      <c r="A52" s="2" t="s">
        <v>1787</v>
      </c>
      <c r="B52" s="2" t="s">
        <v>45</v>
      </c>
      <c r="C52" s="2" t="s">
        <v>4085</v>
      </c>
      <c r="D52" s="11" t="n">
        <v>38970</v>
      </c>
      <c r="E52" s="31" t="n">
        <v>18.1</v>
      </c>
      <c r="F52" s="31" t="n">
        <v>29.9</v>
      </c>
      <c r="G52" s="31" t="n">
        <v>25.1</v>
      </c>
      <c r="H52" s="2" t="s">
        <v>671</v>
      </c>
    </row>
    <row r="53" customFormat="false" ht="15" hidden="false" customHeight="false" outlineLevel="0" collapsed="false">
      <c r="A53" s="2" t="s">
        <v>1787</v>
      </c>
      <c r="B53" s="2" t="s">
        <v>45</v>
      </c>
      <c r="C53" s="2" t="s">
        <v>4086</v>
      </c>
      <c r="D53" s="11" t="n">
        <v>38700</v>
      </c>
      <c r="E53" s="31" t="n">
        <v>10</v>
      </c>
      <c r="F53" s="31" t="n">
        <v>6.9</v>
      </c>
      <c r="G53" s="31" t="n">
        <v>8.2</v>
      </c>
      <c r="H53" s="2" t="s">
        <v>671</v>
      </c>
    </row>
    <row r="54" customFormat="false" ht="15" hidden="false" customHeight="false" outlineLevel="0" collapsed="false">
      <c r="A54" s="2" t="s">
        <v>1787</v>
      </c>
      <c r="B54" s="2" t="s">
        <v>45</v>
      </c>
      <c r="C54" s="2" t="s">
        <v>4087</v>
      </c>
      <c r="D54" s="2"/>
      <c r="E54" s="2"/>
      <c r="F54" s="2"/>
      <c r="G54" s="2"/>
      <c r="H54" s="2" t="s">
        <v>668</v>
      </c>
    </row>
    <row r="55" customFormat="false" ht="15" hidden="false" customHeight="false" outlineLevel="0" collapsed="false">
      <c r="A55" s="2" t="s">
        <v>1787</v>
      </c>
      <c r="B55" s="2" t="s">
        <v>46</v>
      </c>
      <c r="C55" s="2" t="s">
        <v>4085</v>
      </c>
      <c r="D55" s="11" t="n">
        <v>290280</v>
      </c>
      <c r="E55" s="31" t="n">
        <v>69.5</v>
      </c>
      <c r="F55" s="31" t="n">
        <v>75</v>
      </c>
      <c r="G55" s="31" t="n">
        <v>89.7</v>
      </c>
      <c r="H55" s="2" t="s">
        <v>671</v>
      </c>
    </row>
    <row r="56" customFormat="false" ht="15" hidden="false" customHeight="false" outlineLevel="0" collapsed="false">
      <c r="A56" s="2" t="s">
        <v>1787</v>
      </c>
      <c r="B56" s="2" t="s">
        <v>46</v>
      </c>
      <c r="C56" s="2" t="s">
        <v>4086</v>
      </c>
      <c r="D56" s="11" t="n">
        <v>291450</v>
      </c>
      <c r="E56" s="31" t="n">
        <v>52.1</v>
      </c>
      <c r="F56" s="31" t="n">
        <v>58</v>
      </c>
      <c r="G56" s="31" t="n">
        <v>86.1</v>
      </c>
      <c r="H56" s="2" t="s">
        <v>671</v>
      </c>
    </row>
    <row r="57" customFormat="false" ht="15" hidden="false" customHeight="false" outlineLevel="0" collapsed="false">
      <c r="A57" s="2" t="s">
        <v>1787</v>
      </c>
      <c r="B57" s="2" t="s">
        <v>46</v>
      </c>
      <c r="C57" s="2" t="s">
        <v>4087</v>
      </c>
      <c r="D57" s="11" t="n">
        <v>315860</v>
      </c>
      <c r="E57" s="31" t="n">
        <v>31.3</v>
      </c>
      <c r="F57" s="31" t="n">
        <v>74.8</v>
      </c>
      <c r="G57" s="31" t="n">
        <v>56</v>
      </c>
      <c r="H57" s="2" t="s">
        <v>671</v>
      </c>
    </row>
    <row r="58" customFormat="false" ht="15" hidden="false" customHeight="false" outlineLevel="0" collapsed="false">
      <c r="A58" s="2" t="s">
        <v>1787</v>
      </c>
      <c r="B58" s="2" t="s">
        <v>47</v>
      </c>
      <c r="C58" s="2" t="s">
        <v>4085</v>
      </c>
      <c r="D58" s="11" t="n">
        <v>15810</v>
      </c>
      <c r="E58" s="31" t="n">
        <v>16.8</v>
      </c>
      <c r="F58" s="31" t="n">
        <v>93.8</v>
      </c>
      <c r="G58" s="31" t="n">
        <v>22.8</v>
      </c>
      <c r="H58" s="2" t="s">
        <v>668</v>
      </c>
    </row>
    <row r="59" customFormat="false" ht="15" hidden="false" customHeight="false" outlineLevel="0" collapsed="false">
      <c r="A59" s="2" t="s">
        <v>1787</v>
      </c>
      <c r="B59" s="2" t="s">
        <v>47</v>
      </c>
      <c r="C59" s="2" t="s">
        <v>4086</v>
      </c>
      <c r="D59" s="11" t="n">
        <v>16753</v>
      </c>
      <c r="E59" s="31" t="n">
        <v>15.9</v>
      </c>
      <c r="F59" s="31" t="n">
        <v>66.6</v>
      </c>
      <c r="G59" s="31" t="n">
        <v>66.3</v>
      </c>
      <c r="H59" s="2" t="s">
        <v>671</v>
      </c>
    </row>
    <row r="60" customFormat="false" ht="15" hidden="false" customHeight="false" outlineLevel="0" collapsed="false">
      <c r="A60" s="2" t="s">
        <v>1787</v>
      </c>
      <c r="B60" s="2" t="s">
        <v>47</v>
      </c>
      <c r="C60" s="2" t="s">
        <v>4087</v>
      </c>
      <c r="D60" s="11" t="n">
        <v>17648</v>
      </c>
      <c r="E60" s="31" t="n">
        <v>13.3</v>
      </c>
      <c r="F60" s="31" t="n">
        <v>92.2</v>
      </c>
      <c r="G60" s="31" t="n">
        <v>77.3</v>
      </c>
      <c r="H60" s="2" t="s">
        <v>671</v>
      </c>
    </row>
    <row r="61" customFormat="false" ht="15" hidden="false" customHeight="false" outlineLevel="0" collapsed="false">
      <c r="A61" s="2" t="s">
        <v>2707</v>
      </c>
      <c r="B61" s="2" t="s">
        <v>4104</v>
      </c>
      <c r="C61" s="2" t="s">
        <v>4085</v>
      </c>
      <c r="D61" s="2"/>
      <c r="E61" s="31" t="n">
        <v>32.7</v>
      </c>
      <c r="F61" s="31" t="n">
        <v>46.7</v>
      </c>
      <c r="G61" s="31" t="n">
        <v>50.8</v>
      </c>
      <c r="H61" s="2" t="s">
        <v>668</v>
      </c>
    </row>
    <row r="62" customFormat="false" ht="15" hidden="false" customHeight="false" outlineLevel="0" collapsed="false">
      <c r="A62" s="2" t="s">
        <v>2707</v>
      </c>
      <c r="B62" s="2" t="s">
        <v>4104</v>
      </c>
      <c r="C62" s="2" t="s">
        <v>4086</v>
      </c>
      <c r="D62" s="2"/>
      <c r="E62" s="31" t="n">
        <v>36.2</v>
      </c>
      <c r="F62" s="31" t="n">
        <v>51.2</v>
      </c>
      <c r="G62" s="31" t="n">
        <v>45.5</v>
      </c>
      <c r="H62" s="2" t="s">
        <v>668</v>
      </c>
    </row>
    <row r="63" customFormat="false" ht="15" hidden="false" customHeight="false" outlineLevel="0" collapsed="false">
      <c r="A63" s="2" t="s">
        <v>2707</v>
      </c>
      <c r="B63" s="2" t="s">
        <v>4104</v>
      </c>
      <c r="C63" s="2" t="s">
        <v>4087</v>
      </c>
      <c r="D63" s="2"/>
      <c r="E63" s="2"/>
      <c r="F63" s="2"/>
      <c r="G63" s="2"/>
      <c r="H63" s="2" t="s">
        <v>668</v>
      </c>
    </row>
    <row r="64" customFormat="false" ht="15" hidden="false" customHeight="false" outlineLevel="0" collapsed="false">
      <c r="A64" s="2" t="s">
        <v>2707</v>
      </c>
      <c r="B64" s="2" t="s">
        <v>45</v>
      </c>
      <c r="C64" s="2" t="s">
        <v>4085</v>
      </c>
      <c r="D64" s="2"/>
      <c r="E64" s="2"/>
      <c r="F64" s="2"/>
      <c r="G64" s="2"/>
      <c r="H64" s="2" t="s">
        <v>668</v>
      </c>
    </row>
    <row r="65" customFormat="false" ht="15" hidden="false" customHeight="false" outlineLevel="0" collapsed="false">
      <c r="A65" s="2" t="s">
        <v>2707</v>
      </c>
      <c r="B65" s="2" t="s">
        <v>45</v>
      </c>
      <c r="C65" s="2" t="s">
        <v>4086</v>
      </c>
      <c r="D65" s="2"/>
      <c r="E65" s="2"/>
      <c r="F65" s="2"/>
      <c r="G65" s="2"/>
      <c r="H65" s="2" t="s">
        <v>668</v>
      </c>
    </row>
    <row r="66" customFormat="false" ht="15" hidden="false" customHeight="false" outlineLevel="0" collapsed="false">
      <c r="A66" s="2" t="s">
        <v>2707</v>
      </c>
      <c r="B66" s="2" t="s">
        <v>45</v>
      </c>
      <c r="C66" s="2" t="s">
        <v>4087</v>
      </c>
      <c r="D66" s="2"/>
      <c r="E66" s="2"/>
      <c r="F66" s="2"/>
      <c r="G66" s="2"/>
      <c r="H66" s="2" t="s">
        <v>668</v>
      </c>
    </row>
    <row r="67" customFormat="false" ht="15" hidden="false" customHeight="false" outlineLevel="0" collapsed="false">
      <c r="A67" s="2" t="s">
        <v>2707</v>
      </c>
      <c r="B67" s="2" t="s">
        <v>47</v>
      </c>
      <c r="C67" s="2" t="s">
        <v>4085</v>
      </c>
      <c r="D67" s="11" t="n">
        <v>5029</v>
      </c>
      <c r="E67" s="31" t="n">
        <v>32.7</v>
      </c>
      <c r="F67" s="31" t="n">
        <v>46.7</v>
      </c>
      <c r="G67" s="31" t="n">
        <v>50.8</v>
      </c>
      <c r="H67" s="2" t="s">
        <v>671</v>
      </c>
    </row>
    <row r="68" customFormat="false" ht="15" hidden="false" customHeight="false" outlineLevel="0" collapsed="false">
      <c r="A68" s="2" t="s">
        <v>2707</v>
      </c>
      <c r="B68" s="2" t="s">
        <v>47</v>
      </c>
      <c r="C68" s="2" t="s">
        <v>4086</v>
      </c>
      <c r="D68" s="11" t="n">
        <v>5276</v>
      </c>
      <c r="E68" s="31" t="n">
        <v>36.2</v>
      </c>
      <c r="F68" s="31" t="n">
        <v>51.2</v>
      </c>
      <c r="G68" s="31" t="n">
        <v>45.5</v>
      </c>
      <c r="H68" s="2" t="s">
        <v>671</v>
      </c>
    </row>
    <row r="69" customFormat="false" ht="15" hidden="false" customHeight="false" outlineLevel="0" collapsed="false">
      <c r="A69" s="2" t="s">
        <v>2707</v>
      </c>
      <c r="B69" s="2" t="s">
        <v>47</v>
      </c>
      <c r="C69" s="2" t="s">
        <v>4087</v>
      </c>
      <c r="D69" s="2"/>
      <c r="E69" s="2"/>
      <c r="F69" s="2"/>
      <c r="G69" s="2"/>
      <c r="H69" s="2" t="s">
        <v>668</v>
      </c>
    </row>
    <row r="70" customFormat="false" ht="15" hidden="false" customHeight="false" outlineLevel="0" collapsed="false">
      <c r="A70" s="2" t="s">
        <v>774</v>
      </c>
      <c r="B70" s="2" t="s">
        <v>4104</v>
      </c>
      <c r="C70" s="2" t="s">
        <v>4085</v>
      </c>
      <c r="D70" s="2"/>
      <c r="E70" s="31" t="n">
        <v>85.5</v>
      </c>
      <c r="F70" s="31" t="n">
        <v>32.6</v>
      </c>
      <c r="G70" s="31" t="n">
        <v>35.7</v>
      </c>
      <c r="H70" s="2" t="s">
        <v>671</v>
      </c>
    </row>
    <row r="71" customFormat="false" ht="15" hidden="false" customHeight="false" outlineLevel="0" collapsed="false">
      <c r="A71" s="2" t="s">
        <v>774</v>
      </c>
      <c r="B71" s="2" t="s">
        <v>4104</v>
      </c>
      <c r="C71" s="2" t="s">
        <v>4086</v>
      </c>
      <c r="D71" s="2"/>
      <c r="E71" s="31" t="n">
        <v>76.8</v>
      </c>
      <c r="F71" s="31" t="n">
        <v>31.6</v>
      </c>
      <c r="G71" s="31" t="n">
        <v>37.9</v>
      </c>
      <c r="H71" s="2" t="s">
        <v>668</v>
      </c>
    </row>
    <row r="72" customFormat="false" ht="15" hidden="false" customHeight="false" outlineLevel="0" collapsed="false">
      <c r="A72" s="2" t="s">
        <v>774</v>
      </c>
      <c r="B72" s="2" t="s">
        <v>4104</v>
      </c>
      <c r="C72" s="2" t="s">
        <v>4087</v>
      </c>
      <c r="D72" s="2"/>
      <c r="E72" s="31" t="n">
        <v>85.8</v>
      </c>
      <c r="F72" s="31" t="n">
        <v>35.2</v>
      </c>
      <c r="G72" s="31" t="n">
        <v>35.7</v>
      </c>
      <c r="H72" s="2" t="s">
        <v>668</v>
      </c>
    </row>
    <row r="73" customFormat="false" ht="15" hidden="false" customHeight="false" outlineLevel="0" collapsed="false">
      <c r="A73" s="2" t="s">
        <v>774</v>
      </c>
      <c r="B73" s="2" t="s">
        <v>45</v>
      </c>
      <c r="C73" s="2" t="s">
        <v>4085</v>
      </c>
      <c r="D73" s="11" t="n">
        <v>103620</v>
      </c>
      <c r="E73" s="31" t="n">
        <v>91.6</v>
      </c>
      <c r="F73" s="31" t="n">
        <v>52.7</v>
      </c>
      <c r="G73" s="31" t="n">
        <v>48.8</v>
      </c>
      <c r="H73" s="2" t="s">
        <v>671</v>
      </c>
    </row>
    <row r="74" customFormat="false" ht="15" hidden="false" customHeight="false" outlineLevel="0" collapsed="false">
      <c r="A74" s="2" t="s">
        <v>774</v>
      </c>
      <c r="B74" s="2" t="s">
        <v>45</v>
      </c>
      <c r="C74" s="2" t="s">
        <v>4086</v>
      </c>
      <c r="D74" s="11" t="n">
        <v>110280</v>
      </c>
      <c r="E74" s="31" t="n">
        <v>64.3</v>
      </c>
      <c r="F74" s="31" t="n">
        <v>22.9</v>
      </c>
      <c r="G74" s="31" t="n">
        <v>35.9</v>
      </c>
      <c r="H74" s="2" t="s">
        <v>671</v>
      </c>
    </row>
    <row r="75" customFormat="false" ht="15" hidden="false" customHeight="false" outlineLevel="0" collapsed="false">
      <c r="A75" s="2" t="s">
        <v>774</v>
      </c>
      <c r="B75" s="2" t="s">
        <v>45</v>
      </c>
      <c r="C75" s="2" t="s">
        <v>4087</v>
      </c>
      <c r="D75" s="11" t="n">
        <v>106589</v>
      </c>
      <c r="E75" s="31" t="n">
        <v>86.5</v>
      </c>
      <c r="F75" s="31" t="n">
        <v>42</v>
      </c>
      <c r="G75" s="31" t="n">
        <v>57.2</v>
      </c>
      <c r="H75" s="2" t="s">
        <v>671</v>
      </c>
    </row>
    <row r="76" customFormat="false" ht="15" hidden="false" customHeight="false" outlineLevel="0" collapsed="false">
      <c r="A76" s="2" t="s">
        <v>774</v>
      </c>
      <c r="B76" s="2" t="s">
        <v>46</v>
      </c>
      <c r="C76" s="2" t="s">
        <v>4085</v>
      </c>
      <c r="D76" s="11" t="n">
        <v>8399</v>
      </c>
      <c r="E76" s="31" t="n">
        <v>90.2</v>
      </c>
      <c r="F76" s="31" t="n">
        <v>22.8</v>
      </c>
      <c r="G76" s="31" t="n">
        <v>52.5</v>
      </c>
      <c r="H76" s="2" t="s">
        <v>671</v>
      </c>
    </row>
    <row r="77" customFormat="false" ht="15" hidden="false" customHeight="false" outlineLevel="0" collapsed="false">
      <c r="A77" s="2" t="s">
        <v>774</v>
      </c>
      <c r="B77" s="2" t="s">
        <v>46</v>
      </c>
      <c r="C77" s="2" t="s">
        <v>4086</v>
      </c>
      <c r="D77" s="11" t="n">
        <v>8660</v>
      </c>
      <c r="E77" s="31" t="n">
        <v>85.5</v>
      </c>
      <c r="F77" s="2"/>
      <c r="G77" s="31" t="n">
        <v>54.1</v>
      </c>
      <c r="H77" s="2" t="s">
        <v>668</v>
      </c>
    </row>
    <row r="78" customFormat="false" ht="15" hidden="false" customHeight="false" outlineLevel="0" collapsed="false">
      <c r="A78" s="2" t="s">
        <v>774</v>
      </c>
      <c r="B78" s="2" t="s">
        <v>46</v>
      </c>
      <c r="C78" s="2" t="s">
        <v>4087</v>
      </c>
      <c r="D78" s="11" t="n">
        <v>8740</v>
      </c>
      <c r="E78" s="31" t="n">
        <v>82.7</v>
      </c>
      <c r="F78" s="2"/>
      <c r="G78" s="31" t="n">
        <v>47.4</v>
      </c>
      <c r="H78" s="2" t="s">
        <v>668</v>
      </c>
    </row>
    <row r="79" customFormat="false" ht="15" hidden="false" customHeight="false" outlineLevel="0" collapsed="false">
      <c r="A79" s="2" t="s">
        <v>774</v>
      </c>
      <c r="B79" s="2" t="s">
        <v>47</v>
      </c>
      <c r="C79" s="2" t="s">
        <v>4085</v>
      </c>
      <c r="D79" s="11" t="n">
        <v>54681</v>
      </c>
      <c r="E79" s="31" t="n">
        <v>74.6</v>
      </c>
      <c r="F79" s="31" t="n">
        <v>22.2</v>
      </c>
      <c r="G79" s="31" t="n">
        <v>5.8</v>
      </c>
      <c r="H79" s="2" t="s">
        <v>671</v>
      </c>
    </row>
    <row r="80" customFormat="false" ht="15" hidden="false" customHeight="false" outlineLevel="0" collapsed="false">
      <c r="A80" s="2" t="s">
        <v>774</v>
      </c>
      <c r="B80" s="2" t="s">
        <v>47</v>
      </c>
      <c r="C80" s="2" t="s">
        <v>4086</v>
      </c>
      <c r="D80" s="11" t="n">
        <v>57911</v>
      </c>
      <c r="E80" s="31" t="n">
        <v>80.6</v>
      </c>
      <c r="F80" s="31" t="n">
        <v>40.3</v>
      </c>
      <c r="G80" s="31" t="n">
        <v>23.7</v>
      </c>
      <c r="H80" s="2" t="s">
        <v>671</v>
      </c>
    </row>
    <row r="81" customFormat="false" ht="15" hidden="false" customHeight="false" outlineLevel="0" collapsed="false">
      <c r="A81" s="2" t="s">
        <v>774</v>
      </c>
      <c r="B81" s="2" t="s">
        <v>47</v>
      </c>
      <c r="C81" s="2" t="s">
        <v>4087</v>
      </c>
      <c r="D81" s="11" t="n">
        <v>57960</v>
      </c>
      <c r="E81" s="31" t="n">
        <v>88.2</v>
      </c>
      <c r="F81" s="31" t="n">
        <v>28.4</v>
      </c>
      <c r="G81" s="31" t="n">
        <v>2.5</v>
      </c>
      <c r="H81" s="2" t="s">
        <v>671</v>
      </c>
    </row>
    <row r="82" customFormat="false" ht="15" hidden="false" customHeight="false" outlineLevel="0" collapsed="false">
      <c r="A82" s="2" t="s">
        <v>2709</v>
      </c>
      <c r="B82" s="2" t="s">
        <v>4104</v>
      </c>
      <c r="C82" s="2" t="s">
        <v>4085</v>
      </c>
      <c r="D82" s="2"/>
      <c r="E82" s="2"/>
      <c r="F82" s="31" t="n">
        <v>87.8</v>
      </c>
      <c r="G82" s="31" t="n">
        <v>55.3</v>
      </c>
      <c r="H82" s="2" t="s">
        <v>668</v>
      </c>
    </row>
    <row r="83" customFormat="false" ht="15" hidden="false" customHeight="false" outlineLevel="0" collapsed="false">
      <c r="A83" s="2" t="s">
        <v>2709</v>
      </c>
      <c r="B83" s="2" t="s">
        <v>4104</v>
      </c>
      <c r="C83" s="2" t="s">
        <v>4086</v>
      </c>
      <c r="D83" s="2"/>
      <c r="E83" s="31" t="n">
        <v>50.7</v>
      </c>
      <c r="F83" s="31" t="n">
        <v>70.1</v>
      </c>
      <c r="G83" s="31" t="n">
        <v>61.1</v>
      </c>
      <c r="H83" s="2" t="s">
        <v>671</v>
      </c>
    </row>
    <row r="84" customFormat="false" ht="15" hidden="false" customHeight="false" outlineLevel="0" collapsed="false">
      <c r="A84" s="2" t="s">
        <v>2709</v>
      </c>
      <c r="B84" s="2" t="s">
        <v>4104</v>
      </c>
      <c r="C84" s="2" t="s">
        <v>4087</v>
      </c>
      <c r="D84" s="2"/>
      <c r="E84" s="2"/>
      <c r="F84" s="2"/>
      <c r="G84" s="2"/>
      <c r="H84" s="2" t="s">
        <v>668</v>
      </c>
    </row>
    <row r="85" customFormat="false" ht="15" hidden="false" customHeight="false" outlineLevel="0" collapsed="false">
      <c r="A85" s="2" t="s">
        <v>2709</v>
      </c>
      <c r="B85" s="2" t="s">
        <v>46</v>
      </c>
      <c r="C85" s="2" t="s">
        <v>4085</v>
      </c>
      <c r="D85" s="11" t="n">
        <v>477680</v>
      </c>
      <c r="E85" s="2"/>
      <c r="F85" s="31" t="n">
        <v>87.8</v>
      </c>
      <c r="G85" s="31" t="n">
        <v>55.3</v>
      </c>
      <c r="H85" s="2" t="s">
        <v>668</v>
      </c>
    </row>
    <row r="86" customFormat="false" ht="15" hidden="false" customHeight="false" outlineLevel="0" collapsed="false">
      <c r="A86" s="2" t="s">
        <v>2709</v>
      </c>
      <c r="B86" s="2" t="s">
        <v>46</v>
      </c>
      <c r="C86" s="2" t="s">
        <v>4086</v>
      </c>
      <c r="D86" s="11" t="n">
        <v>489170</v>
      </c>
      <c r="E86" s="31" t="n">
        <v>50.7</v>
      </c>
      <c r="F86" s="31" t="n">
        <v>70.1</v>
      </c>
      <c r="G86" s="31" t="n">
        <v>61.1</v>
      </c>
      <c r="H86" s="2" t="s">
        <v>671</v>
      </c>
    </row>
    <row r="87" customFormat="false" ht="15" hidden="false" customHeight="false" outlineLevel="0" collapsed="false">
      <c r="A87" s="2" t="s">
        <v>2709</v>
      </c>
      <c r="B87" s="2" t="s">
        <v>46</v>
      </c>
      <c r="C87" s="2" t="s">
        <v>4087</v>
      </c>
      <c r="D87" s="2"/>
      <c r="E87" s="2"/>
      <c r="F87" s="2"/>
      <c r="G87" s="2"/>
      <c r="H87" s="2" t="s">
        <v>668</v>
      </c>
    </row>
    <row r="88" customFormat="false" ht="15" hidden="false" customHeight="false" outlineLevel="0" collapsed="false">
      <c r="A88" s="2" t="s">
        <v>1156</v>
      </c>
      <c r="B88" s="2" t="s">
        <v>4104</v>
      </c>
      <c r="C88" s="2" t="s">
        <v>4085</v>
      </c>
      <c r="D88" s="2"/>
      <c r="E88" s="31" t="n">
        <v>25.8</v>
      </c>
      <c r="F88" s="31" t="n">
        <v>40</v>
      </c>
      <c r="G88" s="31" t="n">
        <v>46.1</v>
      </c>
      <c r="H88" s="2" t="s">
        <v>671</v>
      </c>
    </row>
    <row r="89" customFormat="false" ht="15" hidden="false" customHeight="false" outlineLevel="0" collapsed="false">
      <c r="A89" s="2" t="s">
        <v>1156</v>
      </c>
      <c r="B89" s="2" t="s">
        <v>4104</v>
      </c>
      <c r="C89" s="2" t="s">
        <v>4086</v>
      </c>
      <c r="D89" s="2"/>
      <c r="E89" s="31" t="n">
        <v>28.6</v>
      </c>
      <c r="F89" s="31" t="n">
        <v>43.8</v>
      </c>
      <c r="G89" s="31" t="n">
        <v>58</v>
      </c>
      <c r="H89" s="2" t="s">
        <v>671</v>
      </c>
    </row>
    <row r="90" customFormat="false" ht="15" hidden="false" customHeight="false" outlineLevel="0" collapsed="false">
      <c r="A90" s="2" t="s">
        <v>1156</v>
      </c>
      <c r="B90" s="2" t="s">
        <v>4104</v>
      </c>
      <c r="C90" s="2" t="s">
        <v>4087</v>
      </c>
      <c r="D90" s="2"/>
      <c r="E90" s="31" t="n">
        <v>21.6</v>
      </c>
      <c r="F90" s="31" t="n">
        <v>23.5</v>
      </c>
      <c r="G90" s="31" t="n">
        <v>68.2</v>
      </c>
      <c r="H90" s="2" t="s">
        <v>668</v>
      </c>
    </row>
    <row r="91" customFormat="false" ht="15" hidden="false" customHeight="false" outlineLevel="0" collapsed="false">
      <c r="A91" s="2" t="s">
        <v>1156</v>
      </c>
      <c r="B91" s="2" t="s">
        <v>45</v>
      </c>
      <c r="C91" s="2" t="s">
        <v>4085</v>
      </c>
      <c r="D91" s="11" t="n">
        <v>181628</v>
      </c>
      <c r="E91" s="31" t="n">
        <v>39.7</v>
      </c>
      <c r="F91" s="31" t="n">
        <v>21.2</v>
      </c>
      <c r="G91" s="31" t="n">
        <v>27.3</v>
      </c>
      <c r="H91" s="2" t="s">
        <v>671</v>
      </c>
    </row>
    <row r="92" customFormat="false" ht="15" hidden="false" customHeight="false" outlineLevel="0" collapsed="false">
      <c r="A92" s="2" t="s">
        <v>1156</v>
      </c>
      <c r="B92" s="2" t="s">
        <v>45</v>
      </c>
      <c r="C92" s="2" t="s">
        <v>4086</v>
      </c>
      <c r="D92" s="11" t="n">
        <v>182210</v>
      </c>
      <c r="E92" s="31" t="n">
        <v>53.9</v>
      </c>
      <c r="F92" s="31" t="n">
        <v>32.9</v>
      </c>
      <c r="G92" s="31" t="n">
        <v>57.3</v>
      </c>
      <c r="H92" s="2" t="s">
        <v>671</v>
      </c>
    </row>
    <row r="93" customFormat="false" ht="15" hidden="false" customHeight="false" outlineLevel="0" collapsed="false">
      <c r="A93" s="2" t="s">
        <v>1156</v>
      </c>
      <c r="B93" s="2" t="s">
        <v>45</v>
      </c>
      <c r="C93" s="2" t="s">
        <v>4087</v>
      </c>
      <c r="D93" s="11" t="n">
        <v>190902</v>
      </c>
      <c r="E93" s="31" t="n">
        <v>34.8</v>
      </c>
      <c r="F93" s="31" t="n">
        <v>39.1</v>
      </c>
      <c r="G93" s="31" t="n">
        <v>47</v>
      </c>
      <c r="H93" s="2" t="s">
        <v>671</v>
      </c>
    </row>
    <row r="94" customFormat="false" ht="15" hidden="false" customHeight="false" outlineLevel="0" collapsed="false">
      <c r="A94" s="2" t="s">
        <v>1156</v>
      </c>
      <c r="B94" s="2" t="s">
        <v>46</v>
      </c>
      <c r="C94" s="2" t="s">
        <v>4085</v>
      </c>
      <c r="D94" s="11" t="n">
        <v>77767</v>
      </c>
      <c r="E94" s="31" t="n">
        <v>5.9</v>
      </c>
      <c r="F94" s="31" t="n">
        <v>10.9</v>
      </c>
      <c r="G94" s="31" t="n">
        <v>98.6</v>
      </c>
      <c r="H94" s="2" t="s">
        <v>671</v>
      </c>
    </row>
    <row r="95" customFormat="false" ht="15" hidden="false" customHeight="false" outlineLevel="0" collapsed="false">
      <c r="A95" s="2" t="s">
        <v>1156</v>
      </c>
      <c r="B95" s="2" t="s">
        <v>46</v>
      </c>
      <c r="C95" s="2" t="s">
        <v>4086</v>
      </c>
      <c r="D95" s="11" t="n">
        <v>79800</v>
      </c>
      <c r="E95" s="31" t="n">
        <v>9.2</v>
      </c>
      <c r="F95" s="31" t="n">
        <v>3.6</v>
      </c>
      <c r="G95" s="31" t="n">
        <v>94.9</v>
      </c>
      <c r="H95" s="2" t="s">
        <v>671</v>
      </c>
    </row>
    <row r="96" customFormat="false" ht="15" hidden="false" customHeight="false" outlineLevel="0" collapsed="false">
      <c r="A96" s="2" t="s">
        <v>1156</v>
      </c>
      <c r="B96" s="2" t="s">
        <v>46</v>
      </c>
      <c r="C96" s="2" t="s">
        <v>4087</v>
      </c>
      <c r="D96" s="11" t="n">
        <v>77960</v>
      </c>
      <c r="E96" s="31" t="n">
        <v>8.5</v>
      </c>
      <c r="F96" s="31" t="n">
        <v>7.9</v>
      </c>
      <c r="G96" s="31" t="n">
        <v>89.4</v>
      </c>
      <c r="H96" s="2" t="s">
        <v>671</v>
      </c>
    </row>
    <row r="97" customFormat="false" ht="15" hidden="false" customHeight="false" outlineLevel="0" collapsed="false">
      <c r="A97" s="2" t="s">
        <v>1156</v>
      </c>
      <c r="B97" s="2" t="s">
        <v>47</v>
      </c>
      <c r="C97" s="2" t="s">
        <v>4085</v>
      </c>
      <c r="D97" s="11" t="n">
        <v>6155</v>
      </c>
      <c r="E97" s="31" t="n">
        <v>31.8</v>
      </c>
      <c r="F97" s="31" t="n">
        <v>87.8</v>
      </c>
      <c r="G97" s="31" t="n">
        <v>12.5</v>
      </c>
      <c r="H97" s="2" t="s">
        <v>671</v>
      </c>
    </row>
    <row r="98" customFormat="false" ht="15" hidden="false" customHeight="false" outlineLevel="0" collapsed="false">
      <c r="A98" s="2" t="s">
        <v>1156</v>
      </c>
      <c r="B98" s="2" t="s">
        <v>47</v>
      </c>
      <c r="C98" s="2" t="s">
        <v>4086</v>
      </c>
      <c r="D98" s="11" t="n">
        <v>6810</v>
      </c>
      <c r="E98" s="31" t="n">
        <v>22.6</v>
      </c>
      <c r="F98" s="31" t="n">
        <v>95</v>
      </c>
      <c r="G98" s="31" t="n">
        <v>21.7</v>
      </c>
      <c r="H98" s="2" t="s">
        <v>671</v>
      </c>
    </row>
    <row r="99" customFormat="false" ht="15" hidden="false" customHeight="false" outlineLevel="0" collapsed="false">
      <c r="A99" s="2" t="s">
        <v>1156</v>
      </c>
      <c r="B99" s="2" t="s">
        <v>47</v>
      </c>
      <c r="C99" s="2" t="s">
        <v>4087</v>
      </c>
      <c r="D99" s="2"/>
      <c r="E99" s="2"/>
      <c r="F99" s="2"/>
      <c r="G99" s="2"/>
      <c r="H99" s="2" t="s">
        <v>668</v>
      </c>
    </row>
    <row r="100" customFormat="false" ht="15" hidden="false" customHeight="false" outlineLevel="0" collapsed="false">
      <c r="A100" s="2" t="s">
        <v>924</v>
      </c>
      <c r="B100" s="2" t="s">
        <v>4104</v>
      </c>
      <c r="C100" s="2" t="s">
        <v>4085</v>
      </c>
      <c r="D100" s="2"/>
      <c r="E100" s="31" t="n">
        <v>53.8</v>
      </c>
      <c r="F100" s="31" t="n">
        <v>67.2</v>
      </c>
      <c r="G100" s="31" t="n">
        <v>75.1</v>
      </c>
      <c r="H100" s="2" t="s">
        <v>668</v>
      </c>
    </row>
    <row r="101" customFormat="false" ht="15" hidden="false" customHeight="false" outlineLevel="0" collapsed="false">
      <c r="A101" s="2" t="s">
        <v>924</v>
      </c>
      <c r="B101" s="2" t="s">
        <v>4104</v>
      </c>
      <c r="C101" s="2" t="s">
        <v>4086</v>
      </c>
      <c r="D101" s="2"/>
      <c r="E101" s="31" t="n">
        <v>50.7</v>
      </c>
      <c r="F101" s="31" t="n">
        <v>70</v>
      </c>
      <c r="G101" s="31" t="n">
        <v>92.3</v>
      </c>
      <c r="H101" s="2" t="s">
        <v>668</v>
      </c>
    </row>
    <row r="102" customFormat="false" ht="15" hidden="false" customHeight="false" outlineLevel="0" collapsed="false">
      <c r="A102" s="2" t="s">
        <v>924</v>
      </c>
      <c r="B102" s="2" t="s">
        <v>4104</v>
      </c>
      <c r="C102" s="2" t="s">
        <v>4087</v>
      </c>
      <c r="D102" s="2"/>
      <c r="E102" s="31" t="n">
        <v>65.6</v>
      </c>
      <c r="F102" s="31" t="n">
        <v>79</v>
      </c>
      <c r="G102" s="31" t="n">
        <v>99.4</v>
      </c>
      <c r="H102" s="2" t="s">
        <v>668</v>
      </c>
    </row>
    <row r="103" customFormat="false" ht="15" hidden="false" customHeight="false" outlineLevel="0" collapsed="false">
      <c r="A103" s="2" t="s">
        <v>924</v>
      </c>
      <c r="B103" s="2" t="s">
        <v>45</v>
      </c>
      <c r="C103" s="2" t="s">
        <v>4085</v>
      </c>
      <c r="D103" s="11" t="n">
        <v>177465</v>
      </c>
      <c r="E103" s="31" t="n">
        <v>53.8</v>
      </c>
      <c r="F103" s="31" t="n">
        <v>91.8</v>
      </c>
      <c r="G103" s="31" t="n">
        <v>75.1</v>
      </c>
      <c r="H103" s="2" t="s">
        <v>671</v>
      </c>
    </row>
    <row r="104" customFormat="false" ht="15" hidden="false" customHeight="false" outlineLevel="0" collapsed="false">
      <c r="A104" s="2" t="s">
        <v>924</v>
      </c>
      <c r="B104" s="2" t="s">
        <v>45</v>
      </c>
      <c r="C104" s="2" t="s">
        <v>4086</v>
      </c>
      <c r="D104" s="11" t="n">
        <v>182110</v>
      </c>
      <c r="E104" s="31" t="n">
        <v>50.7</v>
      </c>
      <c r="F104" s="31" t="n">
        <v>70</v>
      </c>
      <c r="G104" s="31" t="n">
        <v>92.3</v>
      </c>
      <c r="H104" s="2" t="s">
        <v>671</v>
      </c>
    </row>
    <row r="105" customFormat="false" ht="15" hidden="false" customHeight="false" outlineLevel="0" collapsed="false">
      <c r="A105" s="2" t="s">
        <v>924</v>
      </c>
      <c r="B105" s="2" t="s">
        <v>45</v>
      </c>
      <c r="C105" s="2" t="s">
        <v>4087</v>
      </c>
      <c r="D105" s="11" t="n">
        <v>192280</v>
      </c>
      <c r="E105" s="31" t="n">
        <v>65.6</v>
      </c>
      <c r="F105" s="31" t="n">
        <v>79</v>
      </c>
      <c r="G105" s="31" t="n">
        <v>99.4</v>
      </c>
      <c r="H105" s="2" t="s">
        <v>671</v>
      </c>
    </row>
    <row r="106" customFormat="false" ht="15" hidden="false" customHeight="false" outlineLevel="0" collapsed="false">
      <c r="A106" s="2" t="s">
        <v>924</v>
      </c>
      <c r="B106" s="2" t="s">
        <v>46</v>
      </c>
      <c r="C106" s="2" t="s">
        <v>4085</v>
      </c>
      <c r="D106" s="11" t="n">
        <v>31620</v>
      </c>
      <c r="E106" s="2"/>
      <c r="F106" s="31" t="n">
        <v>42.7</v>
      </c>
      <c r="G106" s="2"/>
      <c r="H106" s="2" t="s">
        <v>668</v>
      </c>
    </row>
    <row r="107" customFormat="false" ht="15" hidden="false" customHeight="false" outlineLevel="0" collapsed="false">
      <c r="A107" s="2" t="s">
        <v>924</v>
      </c>
      <c r="B107" s="2" t="s">
        <v>46</v>
      </c>
      <c r="C107" s="2" t="s">
        <v>4086</v>
      </c>
      <c r="D107" s="2"/>
      <c r="E107" s="2"/>
      <c r="F107" s="2"/>
      <c r="G107" s="2"/>
      <c r="H107" s="2" t="s">
        <v>668</v>
      </c>
    </row>
    <row r="108" customFormat="false" ht="15" hidden="false" customHeight="false" outlineLevel="0" collapsed="false">
      <c r="A108" s="2" t="s">
        <v>924</v>
      </c>
      <c r="B108" s="2" t="s">
        <v>46</v>
      </c>
      <c r="C108" s="2" t="s">
        <v>4087</v>
      </c>
      <c r="D108" s="2"/>
      <c r="E108" s="2"/>
      <c r="F108" s="2"/>
      <c r="G108" s="2"/>
      <c r="H108" s="2" t="s">
        <v>668</v>
      </c>
    </row>
    <row r="109" customFormat="false" ht="15" hidden="false" customHeight="false" outlineLevel="0" collapsed="false">
      <c r="A109" s="2" t="s">
        <v>1297</v>
      </c>
      <c r="B109" s="2" t="s">
        <v>4104</v>
      </c>
      <c r="C109" s="2" t="s">
        <v>4085</v>
      </c>
      <c r="D109" s="2"/>
      <c r="E109" s="31" t="n">
        <v>66.1</v>
      </c>
      <c r="F109" s="31" t="n">
        <v>52.1</v>
      </c>
      <c r="G109" s="31" t="n">
        <v>49.2</v>
      </c>
      <c r="H109" s="2" t="s">
        <v>668</v>
      </c>
    </row>
    <row r="110" customFormat="false" ht="15" hidden="false" customHeight="false" outlineLevel="0" collapsed="false">
      <c r="A110" s="2" t="s">
        <v>1297</v>
      </c>
      <c r="B110" s="2" t="s">
        <v>4104</v>
      </c>
      <c r="C110" s="2" t="s">
        <v>4087</v>
      </c>
      <c r="D110" s="2"/>
      <c r="E110" s="31" t="n">
        <v>62.5</v>
      </c>
      <c r="F110" s="31" t="n">
        <v>31.8</v>
      </c>
      <c r="G110" s="31" t="n">
        <v>39.6</v>
      </c>
      <c r="H110" s="2" t="s">
        <v>668</v>
      </c>
    </row>
    <row r="111" customFormat="false" ht="15" hidden="false" customHeight="false" outlineLevel="0" collapsed="false">
      <c r="A111" s="2" t="s">
        <v>1297</v>
      </c>
      <c r="B111" s="2" t="s">
        <v>45</v>
      </c>
      <c r="C111" s="2" t="s">
        <v>4085</v>
      </c>
      <c r="D111" s="11" t="n">
        <v>220740</v>
      </c>
      <c r="E111" s="31" t="n">
        <v>11.7</v>
      </c>
      <c r="F111" s="31" t="n">
        <v>76.7</v>
      </c>
      <c r="G111" s="31" t="n">
        <v>58.3</v>
      </c>
      <c r="H111" s="2" t="s">
        <v>671</v>
      </c>
    </row>
    <row r="112" customFormat="false" ht="15" hidden="false" customHeight="false" outlineLevel="0" collapsed="false">
      <c r="A112" s="2" t="s">
        <v>1297</v>
      </c>
      <c r="B112" s="2" t="s">
        <v>45</v>
      </c>
      <c r="C112" s="2" t="s">
        <v>4087</v>
      </c>
      <c r="D112" s="11" t="n">
        <v>246634</v>
      </c>
      <c r="E112" s="31" t="n">
        <v>13.7</v>
      </c>
      <c r="F112" s="31" t="n">
        <v>55.1</v>
      </c>
      <c r="G112" s="31" t="n">
        <v>47.8</v>
      </c>
      <c r="H112" s="2" t="s">
        <v>671</v>
      </c>
    </row>
    <row r="113" customFormat="false" ht="15" hidden="false" customHeight="false" outlineLevel="0" collapsed="false">
      <c r="A113" s="2" t="s">
        <v>1297</v>
      </c>
      <c r="B113" s="2" t="s">
        <v>46</v>
      </c>
      <c r="C113" s="2" t="s">
        <v>4085</v>
      </c>
      <c r="D113" s="11" t="n">
        <v>7200</v>
      </c>
      <c r="E113" s="31" t="n">
        <v>87.9</v>
      </c>
      <c r="F113" s="2"/>
      <c r="G113" s="31" t="n">
        <v>19.6</v>
      </c>
      <c r="H113" s="2" t="s">
        <v>668</v>
      </c>
    </row>
    <row r="114" customFormat="false" ht="15" hidden="false" customHeight="false" outlineLevel="0" collapsed="false">
      <c r="A114" s="2" t="s">
        <v>1297</v>
      </c>
      <c r="B114" s="2" t="s">
        <v>46</v>
      </c>
      <c r="C114" s="2" t="s">
        <v>4087</v>
      </c>
      <c r="D114" s="11" t="n">
        <v>6986</v>
      </c>
      <c r="E114" s="31" t="n">
        <v>74.4</v>
      </c>
      <c r="F114" s="2"/>
      <c r="G114" s="2"/>
      <c r="H114" s="2" t="s">
        <v>668</v>
      </c>
    </row>
    <row r="115" customFormat="false" ht="15" hidden="false" customHeight="false" outlineLevel="0" collapsed="false">
      <c r="A115" s="2" t="s">
        <v>1297</v>
      </c>
      <c r="B115" s="2" t="s">
        <v>47</v>
      </c>
      <c r="C115" s="2" t="s">
        <v>4085</v>
      </c>
      <c r="D115" s="11" t="n">
        <v>30585</v>
      </c>
      <c r="E115" s="31" t="n">
        <v>98.8</v>
      </c>
      <c r="F115" s="31" t="n">
        <v>27.5</v>
      </c>
      <c r="G115" s="31" t="n">
        <v>69.7</v>
      </c>
      <c r="H115" s="2" t="s">
        <v>671</v>
      </c>
    </row>
    <row r="116" customFormat="false" ht="15" hidden="false" customHeight="false" outlineLevel="0" collapsed="false">
      <c r="A116" s="2" t="s">
        <v>1297</v>
      </c>
      <c r="B116" s="2" t="s">
        <v>47</v>
      </c>
      <c r="C116" s="2" t="s">
        <v>4087</v>
      </c>
      <c r="D116" s="11" t="n">
        <v>31999</v>
      </c>
      <c r="E116" s="31" t="n">
        <v>99.4</v>
      </c>
      <c r="F116" s="31" t="n">
        <v>8.5</v>
      </c>
      <c r="G116" s="31" t="n">
        <v>31.4</v>
      </c>
      <c r="H116" s="2" t="s">
        <v>671</v>
      </c>
    </row>
    <row r="117" customFormat="false" ht="15" hidden="false" customHeight="false" outlineLevel="0" collapsed="false">
      <c r="A117" s="2" t="s">
        <v>172</v>
      </c>
      <c r="B117" s="2" t="s">
        <v>4104</v>
      </c>
      <c r="C117" s="2" t="s">
        <v>4085</v>
      </c>
      <c r="D117" s="2"/>
      <c r="E117" s="2"/>
      <c r="F117" s="31" t="n">
        <v>22.2</v>
      </c>
      <c r="G117" s="31" t="n">
        <v>0.8</v>
      </c>
      <c r="H117" s="2" t="s">
        <v>668</v>
      </c>
    </row>
    <row r="118" customFormat="false" ht="15" hidden="false" customHeight="false" outlineLevel="0" collapsed="false">
      <c r="A118" s="2" t="s">
        <v>172</v>
      </c>
      <c r="B118" s="2" t="s">
        <v>4104</v>
      </c>
      <c r="C118" s="2" t="s">
        <v>4086</v>
      </c>
      <c r="D118" s="2"/>
      <c r="E118" s="31" t="n">
        <v>92.8</v>
      </c>
      <c r="F118" s="31" t="n">
        <v>25</v>
      </c>
      <c r="G118" s="31" t="n">
        <v>6.3</v>
      </c>
      <c r="H118" s="2" t="s">
        <v>671</v>
      </c>
    </row>
    <row r="119" customFormat="false" ht="15" hidden="false" customHeight="false" outlineLevel="0" collapsed="false">
      <c r="A119" s="2" t="s">
        <v>172</v>
      </c>
      <c r="B119" s="2" t="s">
        <v>4104</v>
      </c>
      <c r="C119" s="2" t="s">
        <v>4087</v>
      </c>
      <c r="D119" s="2"/>
      <c r="E119" s="31" t="n">
        <v>75.1</v>
      </c>
      <c r="F119" s="31" t="n">
        <v>20</v>
      </c>
      <c r="G119" s="31" t="n">
        <v>13.7</v>
      </c>
      <c r="H119" s="2" t="s">
        <v>671</v>
      </c>
    </row>
    <row r="120" customFormat="false" ht="15" hidden="false" customHeight="false" outlineLevel="0" collapsed="false">
      <c r="A120" s="2" t="s">
        <v>172</v>
      </c>
      <c r="B120" s="2" t="s">
        <v>47</v>
      </c>
      <c r="C120" s="2" t="s">
        <v>4085</v>
      </c>
      <c r="D120" s="11" t="n">
        <v>5168</v>
      </c>
      <c r="E120" s="2"/>
      <c r="F120" s="31" t="n">
        <v>22.2</v>
      </c>
      <c r="G120" s="31" t="n">
        <v>0.8</v>
      </c>
      <c r="H120" s="2" t="s">
        <v>668</v>
      </c>
    </row>
    <row r="121" customFormat="false" ht="15" hidden="false" customHeight="false" outlineLevel="0" collapsed="false">
      <c r="A121" s="2" t="s">
        <v>172</v>
      </c>
      <c r="B121" s="2" t="s">
        <v>47</v>
      </c>
      <c r="C121" s="2" t="s">
        <v>4086</v>
      </c>
      <c r="D121" s="11" t="n">
        <v>5060</v>
      </c>
      <c r="E121" s="31" t="n">
        <v>92.8</v>
      </c>
      <c r="F121" s="31" t="n">
        <v>25</v>
      </c>
      <c r="G121" s="31" t="n">
        <v>6.3</v>
      </c>
      <c r="H121" s="2" t="s">
        <v>671</v>
      </c>
    </row>
    <row r="122" customFormat="false" ht="15" hidden="false" customHeight="false" outlineLevel="0" collapsed="false">
      <c r="A122" s="2" t="s">
        <v>172</v>
      </c>
      <c r="B122" s="2" t="s">
        <v>47</v>
      </c>
      <c r="C122" s="2" t="s">
        <v>4087</v>
      </c>
      <c r="D122" s="11" t="n">
        <v>5190</v>
      </c>
      <c r="E122" s="31" t="n">
        <v>75.1</v>
      </c>
      <c r="F122" s="31" t="n">
        <v>20</v>
      </c>
      <c r="G122" s="31" t="n">
        <v>13.7</v>
      </c>
      <c r="H122" s="2" t="s">
        <v>671</v>
      </c>
    </row>
    <row r="123" customFormat="false" ht="15" hidden="false" customHeight="false" outlineLevel="0" collapsed="false">
      <c r="A123" s="2" t="s">
        <v>1554</v>
      </c>
      <c r="B123" s="2" t="s">
        <v>4104</v>
      </c>
      <c r="C123" s="2" t="s">
        <v>4087</v>
      </c>
      <c r="D123" s="2"/>
      <c r="E123" s="31" t="n">
        <v>72.3</v>
      </c>
      <c r="F123" s="31" t="n">
        <v>51.5</v>
      </c>
      <c r="G123" s="31" t="n">
        <v>21.8</v>
      </c>
      <c r="H123" s="2" t="s">
        <v>668</v>
      </c>
    </row>
    <row r="124" customFormat="false" ht="15" hidden="false" customHeight="false" outlineLevel="0" collapsed="false">
      <c r="A124" s="2" t="s">
        <v>1554</v>
      </c>
      <c r="B124" s="2" t="s">
        <v>46</v>
      </c>
      <c r="C124" s="2" t="s">
        <v>4087</v>
      </c>
      <c r="D124" s="11" t="n">
        <v>74970</v>
      </c>
      <c r="E124" s="31" t="n">
        <v>72.3</v>
      </c>
      <c r="F124" s="31" t="n">
        <v>51.5</v>
      </c>
      <c r="G124" s="31" t="n">
        <v>21.8</v>
      </c>
      <c r="H124" s="2" t="s">
        <v>671</v>
      </c>
    </row>
    <row r="125" customFormat="false" ht="15" hidden="false" customHeight="false" outlineLevel="0" collapsed="false">
      <c r="A125" s="2" t="s">
        <v>1554</v>
      </c>
      <c r="B125" s="2" t="s">
        <v>47</v>
      </c>
      <c r="C125" s="2" t="s">
        <v>4087</v>
      </c>
      <c r="D125" s="2"/>
      <c r="E125" s="2"/>
      <c r="F125" s="2"/>
      <c r="G125" s="2"/>
      <c r="H125" s="2" t="s">
        <v>668</v>
      </c>
    </row>
    <row r="126" customFormat="false" ht="15" hidden="false" customHeight="false" outlineLevel="0" collapsed="false">
      <c r="A126" s="2" t="s">
        <v>873</v>
      </c>
      <c r="B126" s="2" t="s">
        <v>4104</v>
      </c>
      <c r="C126" s="2" t="s">
        <v>4085</v>
      </c>
      <c r="D126" s="2"/>
      <c r="E126" s="31" t="n">
        <v>48.8</v>
      </c>
      <c r="F126" s="31" t="n">
        <v>27.1</v>
      </c>
      <c r="G126" s="31" t="n">
        <v>7.1</v>
      </c>
      <c r="H126" s="2" t="s">
        <v>668</v>
      </c>
    </row>
    <row r="127" customFormat="false" ht="15" hidden="false" customHeight="false" outlineLevel="0" collapsed="false">
      <c r="A127" s="2" t="s">
        <v>873</v>
      </c>
      <c r="B127" s="2" t="s">
        <v>4104</v>
      </c>
      <c r="C127" s="2" t="s">
        <v>4086</v>
      </c>
      <c r="D127" s="2"/>
      <c r="E127" s="31" t="n">
        <v>94.7</v>
      </c>
      <c r="F127" s="31" t="n">
        <v>51.3</v>
      </c>
      <c r="G127" s="31" t="n">
        <v>30.8</v>
      </c>
      <c r="H127" s="2" t="s">
        <v>668</v>
      </c>
    </row>
    <row r="128" customFormat="false" ht="15" hidden="false" customHeight="false" outlineLevel="0" collapsed="false">
      <c r="A128" s="2" t="s">
        <v>873</v>
      </c>
      <c r="B128" s="2" t="s">
        <v>4104</v>
      </c>
      <c r="C128" s="2" t="s">
        <v>4087</v>
      </c>
      <c r="D128" s="2"/>
      <c r="E128" s="31" t="n">
        <v>54.2</v>
      </c>
      <c r="F128" s="31" t="n">
        <v>31.1</v>
      </c>
      <c r="G128" s="31" t="n">
        <v>59.6</v>
      </c>
      <c r="H128" s="2" t="s">
        <v>668</v>
      </c>
    </row>
    <row r="129" customFormat="false" ht="15" hidden="false" customHeight="false" outlineLevel="0" collapsed="false">
      <c r="A129" s="2" t="s">
        <v>873</v>
      </c>
      <c r="B129" s="2" t="s">
        <v>45</v>
      </c>
      <c r="C129" s="2" t="s">
        <v>4085</v>
      </c>
      <c r="D129" s="11" t="n">
        <v>44650</v>
      </c>
      <c r="E129" s="31" t="n">
        <v>70.9</v>
      </c>
      <c r="F129" s="31" t="n">
        <v>52.9</v>
      </c>
      <c r="G129" s="2"/>
      <c r="H129" s="2" t="s">
        <v>671</v>
      </c>
    </row>
    <row r="130" customFormat="false" ht="15" hidden="false" customHeight="false" outlineLevel="0" collapsed="false">
      <c r="A130" s="2" t="s">
        <v>873</v>
      </c>
      <c r="B130" s="2" t="s">
        <v>45</v>
      </c>
      <c r="C130" s="2" t="s">
        <v>4086</v>
      </c>
      <c r="D130" s="2"/>
      <c r="E130" s="2"/>
      <c r="F130" s="2"/>
      <c r="G130" s="2"/>
      <c r="H130" s="2" t="s">
        <v>668</v>
      </c>
    </row>
    <row r="131" customFormat="false" ht="15" hidden="false" customHeight="false" outlineLevel="0" collapsed="false">
      <c r="A131" s="2" t="s">
        <v>873</v>
      </c>
      <c r="B131" s="2" t="s">
        <v>45</v>
      </c>
      <c r="C131" s="2" t="s">
        <v>4087</v>
      </c>
      <c r="D131" s="11" t="n">
        <v>47620</v>
      </c>
      <c r="E131" s="31" t="n">
        <v>72.9</v>
      </c>
      <c r="F131" s="31" t="n">
        <v>58.3</v>
      </c>
      <c r="G131" s="2"/>
      <c r="H131" s="2" t="s">
        <v>671</v>
      </c>
    </row>
    <row r="132" customFormat="false" ht="15" hidden="false" customHeight="false" outlineLevel="0" collapsed="false">
      <c r="A132" s="2" t="s">
        <v>873</v>
      </c>
      <c r="B132" s="2" t="s">
        <v>46</v>
      </c>
      <c r="C132" s="2" t="s">
        <v>4085</v>
      </c>
      <c r="D132" s="2"/>
      <c r="E132" s="2"/>
      <c r="F132" s="2"/>
      <c r="G132" s="2"/>
      <c r="H132" s="2" t="s">
        <v>668</v>
      </c>
    </row>
    <row r="133" customFormat="false" ht="15" hidden="false" customHeight="false" outlineLevel="0" collapsed="false">
      <c r="A133" s="2" t="s">
        <v>873</v>
      </c>
      <c r="B133" s="2" t="s">
        <v>46</v>
      </c>
      <c r="C133" s="2" t="s">
        <v>4086</v>
      </c>
      <c r="D133" s="11" t="n">
        <v>29230</v>
      </c>
      <c r="E133" s="31" t="n">
        <v>94.7</v>
      </c>
      <c r="F133" s="31" t="n">
        <v>51.3</v>
      </c>
      <c r="G133" s="31" t="n">
        <v>0.9</v>
      </c>
      <c r="H133" s="2" t="s">
        <v>671</v>
      </c>
    </row>
    <row r="134" customFormat="false" ht="15" hidden="false" customHeight="false" outlineLevel="0" collapsed="false">
      <c r="A134" s="2" t="s">
        <v>873</v>
      </c>
      <c r="B134" s="2" t="s">
        <v>46</v>
      </c>
      <c r="C134" s="2" t="s">
        <v>4087</v>
      </c>
      <c r="D134" s="2"/>
      <c r="E134" s="2"/>
      <c r="F134" s="2"/>
      <c r="G134" s="2"/>
      <c r="H134" s="2" t="s">
        <v>668</v>
      </c>
    </row>
    <row r="135" customFormat="false" ht="15" hidden="false" customHeight="false" outlineLevel="0" collapsed="false">
      <c r="A135" s="2" t="s">
        <v>873</v>
      </c>
      <c r="B135" s="2" t="s">
        <v>47</v>
      </c>
      <c r="C135" s="2" t="s">
        <v>4085</v>
      </c>
      <c r="D135" s="11" t="n">
        <v>77361</v>
      </c>
      <c r="E135" s="31" t="n">
        <v>26.6</v>
      </c>
      <c r="F135" s="31" t="n">
        <v>1.3</v>
      </c>
      <c r="G135" s="31" t="n">
        <v>7.1</v>
      </c>
      <c r="H135" s="2" t="s">
        <v>671</v>
      </c>
    </row>
    <row r="136" customFormat="false" ht="15" hidden="false" customHeight="false" outlineLevel="0" collapsed="false">
      <c r="A136" s="2" t="s">
        <v>873</v>
      </c>
      <c r="B136" s="2" t="s">
        <v>47</v>
      </c>
      <c r="C136" s="2" t="s">
        <v>4086</v>
      </c>
      <c r="D136" s="2"/>
      <c r="E136" s="2"/>
      <c r="F136" s="2"/>
      <c r="G136" s="31" t="n">
        <v>60.6</v>
      </c>
      <c r="H136" s="2" t="s">
        <v>668</v>
      </c>
    </row>
    <row r="137" customFormat="false" ht="15" hidden="false" customHeight="false" outlineLevel="0" collapsed="false">
      <c r="A137" s="2" t="s">
        <v>873</v>
      </c>
      <c r="B137" s="2" t="s">
        <v>47</v>
      </c>
      <c r="C137" s="2" t="s">
        <v>4087</v>
      </c>
      <c r="D137" s="11" t="n">
        <v>75788</v>
      </c>
      <c r="E137" s="31" t="n">
        <v>35.6</v>
      </c>
      <c r="F137" s="31" t="n">
        <v>3.9</v>
      </c>
      <c r="G137" s="31" t="n">
        <v>59.6</v>
      </c>
      <c r="H137" s="2" t="s">
        <v>671</v>
      </c>
    </row>
    <row r="138" customFormat="false" ht="15" hidden="false" customHeight="false" outlineLevel="0" collapsed="false">
      <c r="A138" s="2" t="s">
        <v>430</v>
      </c>
      <c r="B138" s="2" t="s">
        <v>4104</v>
      </c>
      <c r="C138" s="2" t="s">
        <v>4085</v>
      </c>
      <c r="D138" s="2"/>
      <c r="E138" s="31" t="n">
        <v>65.2</v>
      </c>
      <c r="F138" s="2"/>
      <c r="G138" s="31" t="n">
        <v>4.9</v>
      </c>
      <c r="H138" s="2" t="s">
        <v>668</v>
      </c>
    </row>
    <row r="139" customFormat="false" ht="15" hidden="false" customHeight="false" outlineLevel="0" collapsed="false">
      <c r="A139" s="2" t="s">
        <v>430</v>
      </c>
      <c r="B139" s="2" t="s">
        <v>4104</v>
      </c>
      <c r="C139" s="2" t="s">
        <v>4086</v>
      </c>
      <c r="D139" s="2"/>
      <c r="E139" s="31" t="n">
        <v>76.4</v>
      </c>
      <c r="F139" s="31" t="n">
        <v>27.9</v>
      </c>
      <c r="G139" s="31" t="n">
        <v>0.9</v>
      </c>
      <c r="H139" s="2" t="s">
        <v>671</v>
      </c>
    </row>
    <row r="140" customFormat="false" ht="15" hidden="false" customHeight="false" outlineLevel="0" collapsed="false">
      <c r="A140" s="2" t="s">
        <v>430</v>
      </c>
      <c r="B140" s="2" t="s">
        <v>4104</v>
      </c>
      <c r="C140" s="2" t="s">
        <v>4087</v>
      </c>
      <c r="D140" s="2"/>
      <c r="E140" s="31" t="n">
        <v>43</v>
      </c>
      <c r="F140" s="31" t="n">
        <v>19.9</v>
      </c>
      <c r="G140" s="31" t="n">
        <v>11.4</v>
      </c>
      <c r="H140" s="2" t="s">
        <v>671</v>
      </c>
    </row>
    <row r="141" customFormat="false" ht="15" hidden="false" customHeight="false" outlineLevel="0" collapsed="false">
      <c r="A141" s="2" t="s">
        <v>430</v>
      </c>
      <c r="B141" s="2" t="s">
        <v>47</v>
      </c>
      <c r="C141" s="2" t="s">
        <v>4085</v>
      </c>
      <c r="D141" s="11" t="n">
        <v>12770</v>
      </c>
      <c r="E141" s="31" t="n">
        <v>65.2</v>
      </c>
      <c r="F141" s="2"/>
      <c r="G141" s="31" t="n">
        <v>4.9</v>
      </c>
      <c r="H141" s="2" t="s">
        <v>668</v>
      </c>
    </row>
    <row r="142" customFormat="false" ht="15" hidden="false" customHeight="false" outlineLevel="0" collapsed="false">
      <c r="A142" s="2" t="s">
        <v>430</v>
      </c>
      <c r="B142" s="2" t="s">
        <v>47</v>
      </c>
      <c r="C142" s="2" t="s">
        <v>4086</v>
      </c>
      <c r="D142" s="11" t="n">
        <v>12410</v>
      </c>
      <c r="E142" s="31" t="n">
        <v>76.4</v>
      </c>
      <c r="F142" s="31" t="n">
        <v>27.9</v>
      </c>
      <c r="G142" s="31" t="n">
        <v>0.9</v>
      </c>
      <c r="H142" s="2" t="s">
        <v>671</v>
      </c>
    </row>
    <row r="143" customFormat="false" ht="15" hidden="false" customHeight="false" outlineLevel="0" collapsed="false">
      <c r="A143" s="2" t="s">
        <v>430</v>
      </c>
      <c r="B143" s="2" t="s">
        <v>47</v>
      </c>
      <c r="C143" s="2" t="s">
        <v>4087</v>
      </c>
      <c r="D143" s="11" t="n">
        <v>12946</v>
      </c>
      <c r="E143" s="31" t="n">
        <v>43</v>
      </c>
      <c r="F143" s="31" t="n">
        <v>19.9</v>
      </c>
      <c r="G143" s="31" t="n">
        <v>11.4</v>
      </c>
      <c r="H143" s="2" t="s">
        <v>671</v>
      </c>
    </row>
    <row r="144" customFormat="false" ht="15" hidden="false" customHeight="false" outlineLevel="0" collapsed="false">
      <c r="A144" s="2" t="s">
        <v>935</v>
      </c>
      <c r="B144" s="2" t="s">
        <v>4104</v>
      </c>
      <c r="C144" s="2" t="s">
        <v>4085</v>
      </c>
      <c r="D144" s="2"/>
      <c r="E144" s="31" t="n">
        <v>21.9</v>
      </c>
      <c r="F144" s="31" t="n">
        <v>47</v>
      </c>
      <c r="G144" s="31" t="n">
        <v>38.2</v>
      </c>
      <c r="H144" s="2" t="s">
        <v>668</v>
      </c>
    </row>
    <row r="145" customFormat="false" ht="15" hidden="false" customHeight="false" outlineLevel="0" collapsed="false">
      <c r="A145" s="2" t="s">
        <v>935</v>
      </c>
      <c r="B145" s="2" t="s">
        <v>4104</v>
      </c>
      <c r="C145" s="2" t="s">
        <v>4086</v>
      </c>
      <c r="D145" s="2"/>
      <c r="E145" s="31" t="n">
        <v>23.8</v>
      </c>
      <c r="F145" s="31" t="n">
        <v>45.6</v>
      </c>
      <c r="G145" s="31" t="n">
        <v>25.2</v>
      </c>
      <c r="H145" s="2" t="s">
        <v>668</v>
      </c>
    </row>
    <row r="146" customFormat="false" ht="15" hidden="false" customHeight="false" outlineLevel="0" collapsed="false">
      <c r="A146" s="2" t="s">
        <v>935</v>
      </c>
      <c r="B146" s="2" t="s">
        <v>4104</v>
      </c>
      <c r="C146" s="2" t="s">
        <v>4087</v>
      </c>
      <c r="D146" s="2"/>
      <c r="E146" s="31" t="n">
        <v>37.4</v>
      </c>
      <c r="F146" s="31" t="n">
        <v>67.8</v>
      </c>
      <c r="G146" s="31" t="n">
        <v>42</v>
      </c>
      <c r="H146" s="2" t="s">
        <v>668</v>
      </c>
    </row>
    <row r="147" customFormat="false" ht="15" hidden="false" customHeight="false" outlineLevel="0" collapsed="false">
      <c r="A147" s="2" t="s">
        <v>935</v>
      </c>
      <c r="B147" s="2" t="s">
        <v>45</v>
      </c>
      <c r="C147" s="2" t="s">
        <v>4085</v>
      </c>
      <c r="D147" s="11" t="n">
        <v>2193478</v>
      </c>
      <c r="E147" s="31" t="n">
        <v>45.4</v>
      </c>
      <c r="F147" s="31" t="n">
        <v>92.9</v>
      </c>
      <c r="G147" s="31" t="n">
        <v>45.4</v>
      </c>
      <c r="H147" s="2" t="s">
        <v>671</v>
      </c>
    </row>
    <row r="148" customFormat="false" ht="15" hidden="false" customHeight="false" outlineLevel="0" collapsed="false">
      <c r="A148" s="2" t="s">
        <v>935</v>
      </c>
      <c r="B148" s="2" t="s">
        <v>45</v>
      </c>
      <c r="C148" s="2" t="s">
        <v>4086</v>
      </c>
      <c r="D148" s="11" t="n">
        <v>2281430</v>
      </c>
      <c r="E148" s="31" t="n">
        <v>56.5</v>
      </c>
      <c r="F148" s="31" t="n">
        <v>100</v>
      </c>
      <c r="G148" s="31" t="n">
        <v>28</v>
      </c>
      <c r="H148" s="2" t="s">
        <v>671</v>
      </c>
    </row>
    <row r="149" customFormat="false" ht="15" hidden="false" customHeight="false" outlineLevel="0" collapsed="false">
      <c r="A149" s="2" t="s">
        <v>935</v>
      </c>
      <c r="B149" s="2" t="s">
        <v>45</v>
      </c>
      <c r="C149" s="2" t="s">
        <v>4087</v>
      </c>
      <c r="D149" s="11" t="n">
        <v>2419860</v>
      </c>
      <c r="E149" s="31" t="n">
        <v>64.3</v>
      </c>
      <c r="F149" s="31" t="n">
        <v>81.2</v>
      </c>
      <c r="G149" s="31" t="n">
        <v>50</v>
      </c>
      <c r="H149" s="2" t="s">
        <v>671</v>
      </c>
    </row>
    <row r="150" customFormat="false" ht="15" hidden="false" customHeight="false" outlineLevel="0" collapsed="false">
      <c r="A150" s="2" t="s">
        <v>935</v>
      </c>
      <c r="B150" s="2" t="s">
        <v>46</v>
      </c>
      <c r="C150" s="2" t="s">
        <v>4085</v>
      </c>
      <c r="D150" s="11" t="n">
        <v>92190</v>
      </c>
      <c r="E150" s="31" t="n">
        <v>1.2</v>
      </c>
      <c r="F150" s="31" t="n">
        <v>21.3</v>
      </c>
      <c r="G150" s="2"/>
      <c r="H150" s="2" t="s">
        <v>668</v>
      </c>
    </row>
    <row r="151" customFormat="false" ht="15" hidden="false" customHeight="false" outlineLevel="0" collapsed="false">
      <c r="A151" s="2" t="s">
        <v>935</v>
      </c>
      <c r="B151" s="2" t="s">
        <v>46</v>
      </c>
      <c r="C151" s="2" t="s">
        <v>4086</v>
      </c>
      <c r="D151" s="11" t="n">
        <v>98580</v>
      </c>
      <c r="E151" s="31" t="n">
        <v>1.2</v>
      </c>
      <c r="F151" s="31" t="n">
        <v>8</v>
      </c>
      <c r="G151" s="2"/>
      <c r="H151" s="2" t="s">
        <v>668</v>
      </c>
    </row>
    <row r="152" customFormat="false" ht="15" hidden="false" customHeight="false" outlineLevel="0" collapsed="false">
      <c r="A152" s="2" t="s">
        <v>935</v>
      </c>
      <c r="B152" s="2" t="s">
        <v>46</v>
      </c>
      <c r="C152" s="2" t="s">
        <v>4087</v>
      </c>
      <c r="D152" s="2"/>
      <c r="E152" s="2"/>
      <c r="F152" s="2"/>
      <c r="G152" s="2"/>
      <c r="H152" s="2" t="s">
        <v>668</v>
      </c>
    </row>
    <row r="153" customFormat="false" ht="15" hidden="false" customHeight="false" outlineLevel="0" collapsed="false">
      <c r="A153" s="2" t="s">
        <v>935</v>
      </c>
      <c r="B153" s="2" t="s">
        <v>47</v>
      </c>
      <c r="C153" s="2" t="s">
        <v>4085</v>
      </c>
      <c r="D153" s="11" t="n">
        <v>12542</v>
      </c>
      <c r="E153" s="31" t="n">
        <v>19</v>
      </c>
      <c r="F153" s="31" t="n">
        <v>26.8</v>
      </c>
      <c r="G153" s="31" t="n">
        <v>30.9</v>
      </c>
      <c r="H153" s="2" t="s">
        <v>671</v>
      </c>
    </row>
    <row r="154" customFormat="false" ht="15" hidden="false" customHeight="false" outlineLevel="0" collapsed="false">
      <c r="A154" s="2" t="s">
        <v>935</v>
      </c>
      <c r="B154" s="2" t="s">
        <v>47</v>
      </c>
      <c r="C154" s="2" t="s">
        <v>4086</v>
      </c>
      <c r="D154" s="11" t="n">
        <v>12990</v>
      </c>
      <c r="E154" s="31" t="n">
        <v>13.6</v>
      </c>
      <c r="F154" s="31" t="n">
        <v>28.9</v>
      </c>
      <c r="G154" s="31" t="n">
        <v>22.4</v>
      </c>
      <c r="H154" s="2" t="s">
        <v>671</v>
      </c>
    </row>
    <row r="155" customFormat="false" ht="15" hidden="false" customHeight="false" outlineLevel="0" collapsed="false">
      <c r="A155" s="2" t="s">
        <v>935</v>
      </c>
      <c r="B155" s="2" t="s">
        <v>47</v>
      </c>
      <c r="C155" s="2" t="s">
        <v>4087</v>
      </c>
      <c r="D155" s="11" t="n">
        <v>13382</v>
      </c>
      <c r="E155" s="31" t="n">
        <v>10.6</v>
      </c>
      <c r="F155" s="31" t="n">
        <v>54.3</v>
      </c>
      <c r="G155" s="31" t="n">
        <v>34.1</v>
      </c>
      <c r="H155" s="2" t="s">
        <v>671</v>
      </c>
    </row>
    <row r="156" customFormat="false" ht="15" hidden="false" customHeight="false" outlineLevel="0" collapsed="false">
      <c r="A156" s="2" t="s">
        <v>2259</v>
      </c>
      <c r="B156" s="2" t="s">
        <v>4104</v>
      </c>
      <c r="C156" s="2" t="s">
        <v>4085</v>
      </c>
      <c r="D156" s="2"/>
      <c r="E156" s="31" t="n">
        <v>46.7</v>
      </c>
      <c r="F156" s="31" t="n">
        <v>59.6</v>
      </c>
      <c r="G156" s="31" t="n">
        <v>50.3</v>
      </c>
      <c r="H156" s="2" t="s">
        <v>668</v>
      </c>
    </row>
    <row r="157" customFormat="false" ht="15" hidden="false" customHeight="false" outlineLevel="0" collapsed="false">
      <c r="A157" s="2" t="s">
        <v>2259</v>
      </c>
      <c r="B157" s="2" t="s">
        <v>4104</v>
      </c>
      <c r="C157" s="2" t="s">
        <v>4086</v>
      </c>
      <c r="D157" s="2"/>
      <c r="E157" s="31" t="n">
        <v>21.4</v>
      </c>
      <c r="F157" s="31" t="n">
        <v>9.5</v>
      </c>
      <c r="G157" s="31" t="n">
        <v>15</v>
      </c>
      <c r="H157" s="2" t="s">
        <v>668</v>
      </c>
    </row>
    <row r="158" customFormat="false" ht="15" hidden="false" customHeight="false" outlineLevel="0" collapsed="false">
      <c r="A158" s="2" t="s">
        <v>2259</v>
      </c>
      <c r="B158" s="2" t="s">
        <v>4104</v>
      </c>
      <c r="C158" s="2" t="s">
        <v>4087</v>
      </c>
      <c r="D158" s="2"/>
      <c r="E158" s="31" t="n">
        <v>57.8</v>
      </c>
      <c r="F158" s="31" t="n">
        <v>95.2</v>
      </c>
      <c r="G158" s="31" t="n">
        <v>21.9</v>
      </c>
      <c r="H158" s="2" t="s">
        <v>668</v>
      </c>
    </row>
    <row r="159" customFormat="false" ht="15" hidden="false" customHeight="false" outlineLevel="0" collapsed="false">
      <c r="A159" s="2" t="s">
        <v>2259</v>
      </c>
      <c r="B159" s="2" t="s">
        <v>45</v>
      </c>
      <c r="C159" s="2" t="s">
        <v>4085</v>
      </c>
      <c r="D159" s="2"/>
      <c r="E159" s="2"/>
      <c r="F159" s="2"/>
      <c r="G159" s="2"/>
      <c r="H159" s="2" t="s">
        <v>668</v>
      </c>
    </row>
    <row r="160" customFormat="false" ht="15" hidden="false" customHeight="false" outlineLevel="0" collapsed="false">
      <c r="A160" s="2" t="s">
        <v>2259</v>
      </c>
      <c r="B160" s="2" t="s">
        <v>45</v>
      </c>
      <c r="C160" s="2" t="s">
        <v>4086</v>
      </c>
      <c r="D160" s="2"/>
      <c r="E160" s="2"/>
      <c r="F160" s="2"/>
      <c r="G160" s="2"/>
      <c r="H160" s="2" t="s">
        <v>668</v>
      </c>
    </row>
    <row r="161" customFormat="false" ht="15" hidden="false" customHeight="false" outlineLevel="0" collapsed="false">
      <c r="A161" s="2" t="s">
        <v>2259</v>
      </c>
      <c r="B161" s="2" t="s">
        <v>45</v>
      </c>
      <c r="C161" s="2" t="s">
        <v>4087</v>
      </c>
      <c r="D161" s="2"/>
      <c r="E161" s="2"/>
      <c r="F161" s="2"/>
      <c r="G161" s="2"/>
      <c r="H161" s="2" t="s">
        <v>668</v>
      </c>
    </row>
    <row r="162" customFormat="false" ht="15" hidden="false" customHeight="false" outlineLevel="0" collapsed="false">
      <c r="A162" s="2" t="s">
        <v>2259</v>
      </c>
      <c r="B162" s="2" t="s">
        <v>46</v>
      </c>
      <c r="C162" s="2" t="s">
        <v>4085</v>
      </c>
      <c r="D162" s="11" t="n">
        <v>12840</v>
      </c>
      <c r="E162" s="31" t="n">
        <v>23.1</v>
      </c>
      <c r="F162" s="31" t="n">
        <v>24</v>
      </c>
      <c r="G162" s="2"/>
      <c r="H162" s="2" t="s">
        <v>668</v>
      </c>
    </row>
    <row r="163" customFormat="false" ht="15" hidden="false" customHeight="false" outlineLevel="0" collapsed="false">
      <c r="A163" s="2" t="s">
        <v>2259</v>
      </c>
      <c r="B163" s="2" t="s">
        <v>46</v>
      </c>
      <c r="C163" s="2" t="s">
        <v>4086</v>
      </c>
      <c r="D163" s="11" t="n">
        <v>12610</v>
      </c>
      <c r="E163" s="31" t="n">
        <v>21.4</v>
      </c>
      <c r="F163" s="31" t="n">
        <v>9.5</v>
      </c>
      <c r="G163" s="31" t="n">
        <v>15</v>
      </c>
      <c r="H163" s="2" t="s">
        <v>671</v>
      </c>
    </row>
    <row r="164" customFormat="false" ht="15" hidden="false" customHeight="false" outlineLevel="0" collapsed="false">
      <c r="A164" s="2" t="s">
        <v>2259</v>
      </c>
      <c r="B164" s="2" t="s">
        <v>46</v>
      </c>
      <c r="C164" s="2" t="s">
        <v>4087</v>
      </c>
      <c r="D164" s="2"/>
      <c r="E164" s="2"/>
      <c r="F164" s="2"/>
      <c r="G164" s="2"/>
      <c r="H164" s="2" t="s">
        <v>668</v>
      </c>
    </row>
    <row r="165" customFormat="false" ht="15" hidden="false" customHeight="false" outlineLevel="0" collapsed="false">
      <c r="A165" s="2" t="s">
        <v>2259</v>
      </c>
      <c r="B165" s="2" t="s">
        <v>47</v>
      </c>
      <c r="C165" s="2" t="s">
        <v>4085</v>
      </c>
      <c r="D165" s="11" t="n">
        <v>876473</v>
      </c>
      <c r="E165" s="31" t="n">
        <v>70.2</v>
      </c>
      <c r="F165" s="31" t="n">
        <v>95.1</v>
      </c>
      <c r="G165" s="31" t="n">
        <v>50.3</v>
      </c>
      <c r="H165" s="2" t="s">
        <v>671</v>
      </c>
    </row>
    <row r="166" customFormat="false" ht="15" hidden="false" customHeight="false" outlineLevel="0" collapsed="false">
      <c r="A166" s="2" t="s">
        <v>2259</v>
      </c>
      <c r="B166" s="2" t="s">
        <v>47</v>
      </c>
      <c r="C166" s="2" t="s">
        <v>4086</v>
      </c>
      <c r="D166" s="2"/>
      <c r="E166" s="2"/>
      <c r="F166" s="2"/>
      <c r="G166" s="2"/>
      <c r="H166" s="2" t="s">
        <v>668</v>
      </c>
    </row>
    <row r="167" customFormat="false" ht="15" hidden="false" customHeight="false" outlineLevel="0" collapsed="false">
      <c r="A167" s="2" t="s">
        <v>2259</v>
      </c>
      <c r="B167" s="2" t="s">
        <v>47</v>
      </c>
      <c r="C167" s="2" t="s">
        <v>4087</v>
      </c>
      <c r="D167" s="11" t="n">
        <v>989610</v>
      </c>
      <c r="E167" s="31" t="n">
        <v>57.8</v>
      </c>
      <c r="F167" s="31" t="n">
        <v>95.2</v>
      </c>
      <c r="G167" s="31" t="n">
        <v>21.9</v>
      </c>
      <c r="H167" s="2" t="s">
        <v>671</v>
      </c>
    </row>
    <row r="168" customFormat="false" ht="15" hidden="false" customHeight="false" outlineLevel="0" collapsed="false">
      <c r="A168" s="2" t="s">
        <v>530</v>
      </c>
      <c r="B168" s="2" t="s">
        <v>4104</v>
      </c>
      <c r="C168" s="2" t="s">
        <v>4085</v>
      </c>
      <c r="D168" s="2"/>
      <c r="E168" s="31" t="n">
        <v>34.8</v>
      </c>
      <c r="F168" s="31" t="n">
        <v>47.7</v>
      </c>
      <c r="G168" s="31" t="n">
        <v>63.7</v>
      </c>
      <c r="H168" s="2" t="s">
        <v>671</v>
      </c>
    </row>
    <row r="169" customFormat="false" ht="15" hidden="false" customHeight="false" outlineLevel="0" collapsed="false">
      <c r="A169" s="2" t="s">
        <v>530</v>
      </c>
      <c r="B169" s="2" t="s">
        <v>4104</v>
      </c>
      <c r="C169" s="2" t="s">
        <v>4086</v>
      </c>
      <c r="D169" s="2"/>
      <c r="E169" s="31" t="n">
        <v>37.1</v>
      </c>
      <c r="F169" s="31" t="n">
        <v>34.2</v>
      </c>
      <c r="G169" s="31" t="n">
        <v>93.8</v>
      </c>
      <c r="H169" s="2" t="s">
        <v>668</v>
      </c>
    </row>
    <row r="170" customFormat="false" ht="15" hidden="false" customHeight="false" outlineLevel="0" collapsed="false">
      <c r="A170" s="2" t="s">
        <v>530</v>
      </c>
      <c r="B170" s="2" t="s">
        <v>4104</v>
      </c>
      <c r="C170" s="2" t="s">
        <v>4087</v>
      </c>
      <c r="D170" s="2"/>
      <c r="E170" s="31" t="n">
        <v>32.2</v>
      </c>
      <c r="F170" s="31" t="n">
        <v>38</v>
      </c>
      <c r="G170" s="31" t="n">
        <v>73</v>
      </c>
      <c r="H170" s="2" t="s">
        <v>671</v>
      </c>
    </row>
    <row r="171" customFormat="false" ht="15" hidden="false" customHeight="false" outlineLevel="0" collapsed="false">
      <c r="A171" s="2" t="s">
        <v>530</v>
      </c>
      <c r="B171" s="2" t="s">
        <v>45</v>
      </c>
      <c r="C171" s="2" t="s">
        <v>4085</v>
      </c>
      <c r="D171" s="11" t="n">
        <v>9246</v>
      </c>
      <c r="E171" s="31" t="n">
        <v>89.4</v>
      </c>
      <c r="F171" s="31" t="n">
        <v>45.2</v>
      </c>
      <c r="G171" s="31" t="n">
        <v>56.3</v>
      </c>
      <c r="H171" s="2" t="s">
        <v>671</v>
      </c>
    </row>
    <row r="172" customFormat="false" ht="15" hidden="false" customHeight="false" outlineLevel="0" collapsed="false">
      <c r="A172" s="2" t="s">
        <v>530</v>
      </c>
      <c r="B172" s="2" t="s">
        <v>45</v>
      </c>
      <c r="C172" s="2" t="s">
        <v>4086</v>
      </c>
      <c r="D172" s="11" t="n">
        <v>9490</v>
      </c>
      <c r="E172" s="31" t="n">
        <v>83.6</v>
      </c>
      <c r="F172" s="2"/>
      <c r="G172" s="31" t="n">
        <v>89.5</v>
      </c>
      <c r="H172" s="2" t="s">
        <v>668</v>
      </c>
    </row>
    <row r="173" customFormat="false" ht="15" hidden="false" customHeight="false" outlineLevel="0" collapsed="false">
      <c r="A173" s="2" t="s">
        <v>530</v>
      </c>
      <c r="B173" s="2" t="s">
        <v>45</v>
      </c>
      <c r="C173" s="2" t="s">
        <v>4087</v>
      </c>
      <c r="D173" s="11" t="n">
        <v>9640</v>
      </c>
      <c r="E173" s="31" t="n">
        <v>73.3</v>
      </c>
      <c r="F173" s="31" t="n">
        <v>53.7</v>
      </c>
      <c r="G173" s="31" t="n">
        <v>73.5</v>
      </c>
      <c r="H173" s="2" t="s">
        <v>671</v>
      </c>
    </row>
    <row r="174" customFormat="false" ht="15" hidden="false" customHeight="false" outlineLevel="0" collapsed="false">
      <c r="A174" s="2" t="s">
        <v>530</v>
      </c>
      <c r="B174" s="2" t="s">
        <v>46</v>
      </c>
      <c r="C174" s="2" t="s">
        <v>4085</v>
      </c>
      <c r="D174" s="11" t="n">
        <v>32160</v>
      </c>
      <c r="E174" s="31" t="n">
        <v>10</v>
      </c>
      <c r="F174" s="31" t="n">
        <v>48.7</v>
      </c>
      <c r="G174" s="31" t="n">
        <v>98.4</v>
      </c>
      <c r="H174" s="2" t="s">
        <v>671</v>
      </c>
    </row>
    <row r="175" customFormat="false" ht="15" hidden="false" customHeight="false" outlineLevel="0" collapsed="false">
      <c r="A175" s="2" t="s">
        <v>530</v>
      </c>
      <c r="B175" s="2" t="s">
        <v>46</v>
      </c>
      <c r="C175" s="2" t="s">
        <v>4086</v>
      </c>
      <c r="D175" s="11" t="n">
        <v>32640</v>
      </c>
      <c r="E175" s="31" t="n">
        <v>23.2</v>
      </c>
      <c r="F175" s="31" t="n">
        <v>55.6</v>
      </c>
      <c r="G175" s="31" t="n">
        <v>98</v>
      </c>
      <c r="H175" s="2" t="s">
        <v>671</v>
      </c>
    </row>
    <row r="176" customFormat="false" ht="15" hidden="false" customHeight="false" outlineLevel="0" collapsed="false">
      <c r="A176" s="2" t="s">
        <v>530</v>
      </c>
      <c r="B176" s="2" t="s">
        <v>46</v>
      </c>
      <c r="C176" s="2" t="s">
        <v>4087</v>
      </c>
      <c r="D176" s="11" t="n">
        <v>33950</v>
      </c>
      <c r="E176" s="31" t="n">
        <v>22.4</v>
      </c>
      <c r="F176" s="31" t="n">
        <v>31.5</v>
      </c>
      <c r="G176" s="31" t="n">
        <v>84.2</v>
      </c>
      <c r="H176" s="2" t="s">
        <v>671</v>
      </c>
    </row>
    <row r="177" customFormat="false" ht="15" hidden="false" customHeight="false" outlineLevel="0" collapsed="false">
      <c r="A177" s="2" t="s">
        <v>530</v>
      </c>
      <c r="B177" s="2" t="s">
        <v>47</v>
      </c>
      <c r="C177" s="2" t="s">
        <v>4085</v>
      </c>
      <c r="D177" s="11" t="n">
        <v>22319</v>
      </c>
      <c r="E177" s="31" t="n">
        <v>5</v>
      </c>
      <c r="F177" s="31" t="n">
        <v>49.3</v>
      </c>
      <c r="G177" s="31" t="n">
        <v>36.5</v>
      </c>
      <c r="H177" s="2" t="s">
        <v>671</v>
      </c>
    </row>
    <row r="178" customFormat="false" ht="15" hidden="false" customHeight="false" outlineLevel="0" collapsed="false">
      <c r="A178" s="2" t="s">
        <v>530</v>
      </c>
      <c r="B178" s="2" t="s">
        <v>47</v>
      </c>
      <c r="C178" s="2" t="s">
        <v>4086</v>
      </c>
      <c r="D178" s="11" t="n">
        <v>21923</v>
      </c>
      <c r="E178" s="31" t="n">
        <v>4.6</v>
      </c>
      <c r="F178" s="31" t="n">
        <v>12.7</v>
      </c>
      <c r="G178" s="2"/>
      <c r="H178" s="2" t="s">
        <v>668</v>
      </c>
    </row>
    <row r="179" customFormat="false" ht="15" hidden="false" customHeight="false" outlineLevel="0" collapsed="false">
      <c r="A179" s="2" t="s">
        <v>530</v>
      </c>
      <c r="B179" s="2" t="s">
        <v>47</v>
      </c>
      <c r="C179" s="2" t="s">
        <v>4087</v>
      </c>
      <c r="D179" s="11" t="n">
        <v>22483</v>
      </c>
      <c r="E179" s="31" t="n">
        <v>1</v>
      </c>
      <c r="F179" s="31" t="n">
        <v>28.7</v>
      </c>
      <c r="G179" s="31" t="n">
        <v>61.3</v>
      </c>
      <c r="H179" s="2" t="s">
        <v>671</v>
      </c>
    </row>
    <row r="180" customFormat="false" ht="15" hidden="false" customHeight="false" outlineLevel="0" collapsed="false">
      <c r="A180" s="2" t="s">
        <v>1498</v>
      </c>
      <c r="B180" s="2" t="s">
        <v>4104</v>
      </c>
      <c r="C180" s="2" t="s">
        <v>4085</v>
      </c>
      <c r="D180" s="2"/>
      <c r="E180" s="31" t="n">
        <v>71</v>
      </c>
      <c r="F180" s="31" t="n">
        <v>69.6</v>
      </c>
      <c r="G180" s="31" t="n">
        <v>49</v>
      </c>
      <c r="H180" s="2" t="s">
        <v>668</v>
      </c>
    </row>
    <row r="181" customFormat="false" ht="15" hidden="false" customHeight="false" outlineLevel="0" collapsed="false">
      <c r="A181" s="2" t="s">
        <v>1498</v>
      </c>
      <c r="B181" s="2" t="s">
        <v>4104</v>
      </c>
      <c r="C181" s="2" t="s">
        <v>4086</v>
      </c>
      <c r="D181" s="2"/>
      <c r="E181" s="31" t="n">
        <v>57.5</v>
      </c>
      <c r="F181" s="31" t="n">
        <v>73.2</v>
      </c>
      <c r="G181" s="31" t="n">
        <v>66</v>
      </c>
      <c r="H181" s="2" t="s">
        <v>671</v>
      </c>
    </row>
    <row r="182" customFormat="false" ht="15" hidden="false" customHeight="false" outlineLevel="0" collapsed="false">
      <c r="A182" s="2" t="s">
        <v>1498</v>
      </c>
      <c r="B182" s="2" t="s">
        <v>4104</v>
      </c>
      <c r="C182" s="2" t="s">
        <v>4087</v>
      </c>
      <c r="D182" s="2"/>
      <c r="E182" s="31" t="n">
        <v>70.2</v>
      </c>
      <c r="F182" s="31" t="n">
        <v>69.8</v>
      </c>
      <c r="G182" s="31" t="n">
        <v>75.6</v>
      </c>
      <c r="H182" s="2" t="s">
        <v>668</v>
      </c>
    </row>
    <row r="183" customFormat="false" ht="15" hidden="false" customHeight="false" outlineLevel="0" collapsed="false">
      <c r="A183" s="2" t="s">
        <v>1498</v>
      </c>
      <c r="B183" s="2" t="s">
        <v>45</v>
      </c>
      <c r="C183" s="2" t="s">
        <v>4085</v>
      </c>
      <c r="D183" s="2"/>
      <c r="E183" s="2"/>
      <c r="F183" s="2"/>
      <c r="G183" s="2"/>
      <c r="H183" s="2" t="s">
        <v>668</v>
      </c>
    </row>
    <row r="184" customFormat="false" ht="15" hidden="false" customHeight="false" outlineLevel="0" collapsed="false">
      <c r="A184" s="2" t="s">
        <v>1498</v>
      </c>
      <c r="B184" s="2" t="s">
        <v>45</v>
      </c>
      <c r="C184" s="2" t="s">
        <v>4086</v>
      </c>
      <c r="D184" s="11" t="n">
        <v>19167</v>
      </c>
      <c r="E184" s="31" t="n">
        <v>65</v>
      </c>
      <c r="F184" s="31" t="n">
        <v>53.3</v>
      </c>
      <c r="G184" s="31" t="n">
        <v>38.2</v>
      </c>
      <c r="H184" s="2" t="s">
        <v>671</v>
      </c>
    </row>
    <row r="185" customFormat="false" ht="15" hidden="false" customHeight="false" outlineLevel="0" collapsed="false">
      <c r="A185" s="2" t="s">
        <v>1498</v>
      </c>
      <c r="B185" s="2" t="s">
        <v>45</v>
      </c>
      <c r="C185" s="2" t="s">
        <v>4087</v>
      </c>
      <c r="D185" s="2"/>
      <c r="E185" s="2"/>
      <c r="F185" s="2"/>
      <c r="G185" s="2"/>
      <c r="H185" s="2" t="s">
        <v>668</v>
      </c>
    </row>
    <row r="186" customFormat="false" ht="15" hidden="false" customHeight="false" outlineLevel="0" collapsed="false">
      <c r="A186" s="2" t="s">
        <v>1498</v>
      </c>
      <c r="B186" s="2" t="s">
        <v>46</v>
      </c>
      <c r="C186" s="2" t="s">
        <v>4085</v>
      </c>
      <c r="D186" s="11" t="n">
        <v>131200</v>
      </c>
      <c r="E186" s="31" t="n">
        <v>78.1</v>
      </c>
      <c r="F186" s="31" t="n">
        <v>78.2</v>
      </c>
      <c r="G186" s="2"/>
      <c r="H186" s="2" t="s">
        <v>668</v>
      </c>
    </row>
    <row r="187" customFormat="false" ht="15" hidden="false" customHeight="false" outlineLevel="0" collapsed="false">
      <c r="A187" s="2" t="s">
        <v>1498</v>
      </c>
      <c r="B187" s="2" t="s">
        <v>46</v>
      </c>
      <c r="C187" s="2" t="s">
        <v>4086</v>
      </c>
      <c r="D187" s="11" t="n">
        <v>137760</v>
      </c>
      <c r="E187" s="31" t="n">
        <v>65.6</v>
      </c>
      <c r="F187" s="31" t="n">
        <v>98.7</v>
      </c>
      <c r="G187" s="31" t="n">
        <v>96.5</v>
      </c>
      <c r="H187" s="2" t="s">
        <v>671</v>
      </c>
    </row>
    <row r="188" customFormat="false" ht="15" hidden="false" customHeight="false" outlineLevel="0" collapsed="false">
      <c r="A188" s="2" t="s">
        <v>1498</v>
      </c>
      <c r="B188" s="2" t="s">
        <v>46</v>
      </c>
      <c r="C188" s="2" t="s">
        <v>4087</v>
      </c>
      <c r="D188" s="11" t="n">
        <v>143403</v>
      </c>
      <c r="E188" s="31" t="n">
        <v>81.8</v>
      </c>
      <c r="F188" s="31" t="n">
        <v>71.5</v>
      </c>
      <c r="G188" s="31" t="n">
        <v>97.4</v>
      </c>
      <c r="H188" s="2" t="s">
        <v>671</v>
      </c>
    </row>
    <row r="189" customFormat="false" ht="15" hidden="false" customHeight="false" outlineLevel="0" collapsed="false">
      <c r="A189" s="2" t="s">
        <v>1498</v>
      </c>
      <c r="B189" s="2" t="s">
        <v>47</v>
      </c>
      <c r="C189" s="2" t="s">
        <v>4085</v>
      </c>
      <c r="D189" s="11" t="n">
        <v>2534</v>
      </c>
      <c r="E189" s="31" t="n">
        <v>64</v>
      </c>
      <c r="F189" s="31" t="n">
        <v>61.1</v>
      </c>
      <c r="G189" s="31" t="n">
        <v>49</v>
      </c>
      <c r="H189" s="2" t="s">
        <v>671</v>
      </c>
    </row>
    <row r="190" customFormat="false" ht="15" hidden="false" customHeight="false" outlineLevel="0" collapsed="false">
      <c r="A190" s="2" t="s">
        <v>1498</v>
      </c>
      <c r="B190" s="2" t="s">
        <v>47</v>
      </c>
      <c r="C190" s="2" t="s">
        <v>4086</v>
      </c>
      <c r="D190" s="11" t="n">
        <v>2681</v>
      </c>
      <c r="E190" s="31" t="n">
        <v>42</v>
      </c>
      <c r="F190" s="31" t="n">
        <v>67.5</v>
      </c>
      <c r="G190" s="31" t="n">
        <v>63.3</v>
      </c>
      <c r="H190" s="2" t="s">
        <v>671</v>
      </c>
    </row>
    <row r="191" customFormat="false" ht="15" hidden="false" customHeight="false" outlineLevel="0" collapsed="false">
      <c r="A191" s="2" t="s">
        <v>1498</v>
      </c>
      <c r="B191" s="2" t="s">
        <v>47</v>
      </c>
      <c r="C191" s="2" t="s">
        <v>4087</v>
      </c>
      <c r="D191" s="11" t="n">
        <v>2809</v>
      </c>
      <c r="E191" s="31" t="n">
        <v>58.6</v>
      </c>
      <c r="F191" s="31" t="n">
        <v>68</v>
      </c>
      <c r="G191" s="31" t="n">
        <v>53.7</v>
      </c>
      <c r="H191" s="2" t="s">
        <v>671</v>
      </c>
    </row>
    <row r="192" customFormat="false" ht="15" hidden="false" customHeight="false" outlineLevel="0" collapsed="false">
      <c r="A192" s="2" t="s">
        <v>394</v>
      </c>
      <c r="B192" s="2" t="s">
        <v>4104</v>
      </c>
      <c r="C192" s="2" t="s">
        <v>4085</v>
      </c>
      <c r="D192" s="2"/>
      <c r="E192" s="31" t="n">
        <v>63</v>
      </c>
      <c r="F192" s="31" t="n">
        <v>31</v>
      </c>
      <c r="G192" s="31" t="n">
        <v>33.3</v>
      </c>
      <c r="H192" s="2" t="s">
        <v>671</v>
      </c>
    </row>
    <row r="193" customFormat="false" ht="15" hidden="false" customHeight="false" outlineLevel="0" collapsed="false">
      <c r="A193" s="2" t="s">
        <v>394</v>
      </c>
      <c r="B193" s="2" t="s">
        <v>4104</v>
      </c>
      <c r="C193" s="2" t="s">
        <v>4086</v>
      </c>
      <c r="D193" s="2"/>
      <c r="E193" s="31" t="n">
        <v>48.6</v>
      </c>
      <c r="F193" s="31" t="n">
        <v>29.6</v>
      </c>
      <c r="G193" s="31" t="n">
        <v>37.5</v>
      </c>
      <c r="H193" s="2" t="s">
        <v>671</v>
      </c>
    </row>
    <row r="194" customFormat="false" ht="15" hidden="false" customHeight="false" outlineLevel="0" collapsed="false">
      <c r="A194" s="2" t="s">
        <v>394</v>
      </c>
      <c r="B194" s="2" t="s">
        <v>4104</v>
      </c>
      <c r="C194" s="2" t="s">
        <v>4087</v>
      </c>
      <c r="D194" s="2"/>
      <c r="E194" s="31" t="n">
        <v>47.2</v>
      </c>
      <c r="F194" s="31" t="n">
        <v>24.7</v>
      </c>
      <c r="G194" s="31" t="n">
        <v>84.2</v>
      </c>
      <c r="H194" s="2" t="s">
        <v>671</v>
      </c>
    </row>
    <row r="195" customFormat="false" ht="15" hidden="false" customHeight="false" outlineLevel="0" collapsed="false">
      <c r="A195" s="2" t="s">
        <v>394</v>
      </c>
      <c r="B195" s="2" t="s">
        <v>45</v>
      </c>
      <c r="C195" s="2" t="s">
        <v>4085</v>
      </c>
      <c r="D195" s="11" t="n">
        <v>56795</v>
      </c>
      <c r="E195" s="31" t="n">
        <v>72.6</v>
      </c>
      <c r="F195" s="31" t="n">
        <v>44.2</v>
      </c>
      <c r="G195" s="2"/>
      <c r="H195" s="2" t="s">
        <v>671</v>
      </c>
    </row>
    <row r="196" customFormat="false" ht="15" hidden="false" customHeight="false" outlineLevel="0" collapsed="false">
      <c r="A196" s="2" t="s">
        <v>394</v>
      </c>
      <c r="B196" s="2" t="s">
        <v>45</v>
      </c>
      <c r="C196" s="2" t="s">
        <v>4086</v>
      </c>
      <c r="D196" s="11" t="n">
        <v>58280</v>
      </c>
      <c r="E196" s="31" t="n">
        <v>62.4</v>
      </c>
      <c r="F196" s="31" t="n">
        <v>23</v>
      </c>
      <c r="G196" s="2"/>
      <c r="H196" s="2" t="s">
        <v>671</v>
      </c>
    </row>
    <row r="197" customFormat="false" ht="15" hidden="false" customHeight="false" outlineLevel="0" collapsed="false">
      <c r="A197" s="2" t="s">
        <v>394</v>
      </c>
      <c r="B197" s="2" t="s">
        <v>45</v>
      </c>
      <c r="C197" s="2" t="s">
        <v>4087</v>
      </c>
      <c r="D197" s="11" t="n">
        <v>57396</v>
      </c>
      <c r="E197" s="31" t="n">
        <v>69.9</v>
      </c>
      <c r="F197" s="31" t="n">
        <v>40.1</v>
      </c>
      <c r="G197" s="2"/>
      <c r="H197" s="2" t="s">
        <v>671</v>
      </c>
    </row>
    <row r="198" customFormat="false" ht="15" hidden="false" customHeight="false" outlineLevel="0" collapsed="false">
      <c r="A198" s="2" t="s">
        <v>394</v>
      </c>
      <c r="B198" s="2" t="s">
        <v>47</v>
      </c>
      <c r="C198" s="2" t="s">
        <v>4085</v>
      </c>
      <c r="D198" s="11" t="n">
        <v>8725</v>
      </c>
      <c r="E198" s="31" t="n">
        <v>53.3</v>
      </c>
      <c r="F198" s="31" t="n">
        <v>17.8</v>
      </c>
      <c r="G198" s="31" t="n">
        <v>33.3</v>
      </c>
      <c r="H198" s="2" t="s">
        <v>671</v>
      </c>
    </row>
    <row r="199" customFormat="false" ht="15" hidden="false" customHeight="false" outlineLevel="0" collapsed="false">
      <c r="A199" s="2" t="s">
        <v>394</v>
      </c>
      <c r="B199" s="2" t="s">
        <v>47</v>
      </c>
      <c r="C199" s="2" t="s">
        <v>4086</v>
      </c>
      <c r="D199" s="11" t="n">
        <v>8780</v>
      </c>
      <c r="E199" s="31" t="n">
        <v>34.7</v>
      </c>
      <c r="F199" s="31" t="n">
        <v>36.2</v>
      </c>
      <c r="G199" s="31" t="n">
        <v>37.5</v>
      </c>
      <c r="H199" s="2" t="s">
        <v>671</v>
      </c>
    </row>
    <row r="200" customFormat="false" ht="15" hidden="false" customHeight="false" outlineLevel="0" collapsed="false">
      <c r="A200" s="2" t="s">
        <v>394</v>
      </c>
      <c r="B200" s="2" t="s">
        <v>47</v>
      </c>
      <c r="C200" s="2" t="s">
        <v>4087</v>
      </c>
      <c r="D200" s="11" t="n">
        <v>9153</v>
      </c>
      <c r="E200" s="31" t="n">
        <v>24.5</v>
      </c>
      <c r="F200" s="31" t="n">
        <v>9.3</v>
      </c>
      <c r="G200" s="31" t="n">
        <v>84.2</v>
      </c>
      <c r="H200" s="2" t="s">
        <v>671</v>
      </c>
    </row>
    <row r="201" customFormat="false" ht="15" hidden="false" customHeight="false" outlineLevel="0" collapsed="false">
      <c r="A201" s="2" t="s">
        <v>206</v>
      </c>
      <c r="B201" s="2" t="s">
        <v>4104</v>
      </c>
      <c r="C201" s="2" t="s">
        <v>4085</v>
      </c>
      <c r="D201" s="2"/>
      <c r="E201" s="31" t="n">
        <v>51.6</v>
      </c>
      <c r="F201" s="31" t="n">
        <v>43.6</v>
      </c>
      <c r="G201" s="31" t="n">
        <v>28.8</v>
      </c>
      <c r="H201" s="2" t="s">
        <v>668</v>
      </c>
    </row>
    <row r="202" customFormat="false" ht="15" hidden="false" customHeight="false" outlineLevel="0" collapsed="false">
      <c r="A202" s="2" t="s">
        <v>206</v>
      </c>
      <c r="B202" s="2" t="s">
        <v>4104</v>
      </c>
      <c r="C202" s="2" t="s">
        <v>4086</v>
      </c>
      <c r="D202" s="2"/>
      <c r="E202" s="31" t="n">
        <v>79.2</v>
      </c>
      <c r="F202" s="31" t="n">
        <v>35.5</v>
      </c>
      <c r="G202" s="31" t="n">
        <v>12.2</v>
      </c>
      <c r="H202" s="2" t="s">
        <v>668</v>
      </c>
    </row>
    <row r="203" customFormat="false" ht="15" hidden="false" customHeight="false" outlineLevel="0" collapsed="false">
      <c r="A203" s="2" t="s">
        <v>206</v>
      </c>
      <c r="B203" s="2" t="s">
        <v>4104</v>
      </c>
      <c r="C203" s="2" t="s">
        <v>4087</v>
      </c>
      <c r="D203" s="2"/>
      <c r="E203" s="31" t="n">
        <v>70.5</v>
      </c>
      <c r="F203" s="31" t="n">
        <v>53.8</v>
      </c>
      <c r="G203" s="31" t="n">
        <v>33.7</v>
      </c>
      <c r="H203" s="2" t="s">
        <v>671</v>
      </c>
    </row>
    <row r="204" customFormat="false" ht="15" hidden="false" customHeight="false" outlineLevel="0" collapsed="false">
      <c r="A204" s="2" t="s">
        <v>206</v>
      </c>
      <c r="B204" s="2" t="s">
        <v>45</v>
      </c>
      <c r="C204" s="2" t="s">
        <v>4085</v>
      </c>
      <c r="D204" s="11" t="n">
        <v>49610</v>
      </c>
      <c r="E204" s="31" t="n">
        <v>91.4</v>
      </c>
      <c r="F204" s="31" t="n">
        <v>56.9</v>
      </c>
      <c r="G204" s="31" t="n">
        <v>55.9</v>
      </c>
      <c r="H204" s="2" t="s">
        <v>671</v>
      </c>
    </row>
    <row r="205" customFormat="false" ht="15" hidden="false" customHeight="false" outlineLevel="0" collapsed="false">
      <c r="A205" s="2" t="s">
        <v>206</v>
      </c>
      <c r="B205" s="2" t="s">
        <v>45</v>
      </c>
      <c r="C205" s="2" t="s">
        <v>4086</v>
      </c>
      <c r="D205" s="11" t="n">
        <v>50410</v>
      </c>
      <c r="E205" s="31" t="n">
        <v>85.8</v>
      </c>
      <c r="F205" s="31" t="n">
        <v>26.8</v>
      </c>
      <c r="G205" s="31" t="n">
        <v>18.6</v>
      </c>
      <c r="H205" s="2" t="s">
        <v>671</v>
      </c>
    </row>
    <row r="206" customFormat="false" ht="15" hidden="false" customHeight="false" outlineLevel="0" collapsed="false">
      <c r="A206" s="2" t="s">
        <v>206</v>
      </c>
      <c r="B206" s="2" t="s">
        <v>45</v>
      </c>
      <c r="C206" s="2" t="s">
        <v>4087</v>
      </c>
      <c r="D206" s="11" t="n">
        <v>53714</v>
      </c>
      <c r="E206" s="31" t="n">
        <v>90.2</v>
      </c>
      <c r="F206" s="31" t="n">
        <v>71.8</v>
      </c>
      <c r="G206" s="31" t="n">
        <v>80.7</v>
      </c>
      <c r="H206" s="2" t="s">
        <v>671</v>
      </c>
    </row>
    <row r="207" customFormat="false" ht="15" hidden="false" customHeight="false" outlineLevel="0" collapsed="false">
      <c r="A207" s="2" t="s">
        <v>206</v>
      </c>
      <c r="B207" s="2" t="s">
        <v>46</v>
      </c>
      <c r="C207" s="2" t="s">
        <v>4085</v>
      </c>
      <c r="D207" s="2"/>
      <c r="E207" s="2"/>
      <c r="F207" s="2"/>
      <c r="G207" s="2"/>
      <c r="H207" s="2" t="s">
        <v>668</v>
      </c>
    </row>
    <row r="208" customFormat="false" ht="15" hidden="false" customHeight="false" outlineLevel="0" collapsed="false">
      <c r="A208" s="2" t="s">
        <v>206</v>
      </c>
      <c r="B208" s="2" t="s">
        <v>46</v>
      </c>
      <c r="C208" s="2" t="s">
        <v>4086</v>
      </c>
      <c r="D208" s="11" t="n">
        <v>19771</v>
      </c>
      <c r="E208" s="31" t="n">
        <v>99</v>
      </c>
      <c r="F208" s="31" t="n">
        <v>52.4</v>
      </c>
      <c r="G208" s="2"/>
      <c r="H208" s="2" t="s">
        <v>668</v>
      </c>
    </row>
    <row r="209" customFormat="false" ht="15" hidden="false" customHeight="false" outlineLevel="0" collapsed="false">
      <c r="A209" s="2" t="s">
        <v>206</v>
      </c>
      <c r="B209" s="2" t="s">
        <v>46</v>
      </c>
      <c r="C209" s="2" t="s">
        <v>4087</v>
      </c>
      <c r="D209" s="11" t="n">
        <v>21640</v>
      </c>
      <c r="E209" s="31" t="n">
        <v>100</v>
      </c>
      <c r="F209" s="31" t="n">
        <v>52.3</v>
      </c>
      <c r="G209" s="31" t="n">
        <v>16.8</v>
      </c>
      <c r="H209" s="2" t="s">
        <v>671</v>
      </c>
    </row>
    <row r="210" customFormat="false" ht="15" hidden="false" customHeight="false" outlineLevel="0" collapsed="false">
      <c r="A210" s="2" t="s">
        <v>206</v>
      </c>
      <c r="B210" s="2" t="s">
        <v>47</v>
      </c>
      <c r="C210" s="2" t="s">
        <v>4085</v>
      </c>
      <c r="D210" s="11" t="n">
        <v>111723</v>
      </c>
      <c r="E210" s="31" t="n">
        <v>11.9</v>
      </c>
      <c r="F210" s="31" t="n">
        <v>30.2</v>
      </c>
      <c r="G210" s="31" t="n">
        <v>1.8</v>
      </c>
      <c r="H210" s="2" t="s">
        <v>671</v>
      </c>
    </row>
    <row r="211" customFormat="false" ht="15" hidden="false" customHeight="false" outlineLevel="0" collapsed="false">
      <c r="A211" s="2" t="s">
        <v>206</v>
      </c>
      <c r="B211" s="2" t="s">
        <v>47</v>
      </c>
      <c r="C211" s="2" t="s">
        <v>4086</v>
      </c>
      <c r="D211" s="11" t="n">
        <v>117820</v>
      </c>
      <c r="E211" s="31" t="n">
        <v>52.9</v>
      </c>
      <c r="F211" s="31" t="n">
        <v>27.3</v>
      </c>
      <c r="G211" s="31" t="n">
        <v>5.9</v>
      </c>
      <c r="H211" s="2" t="s">
        <v>671</v>
      </c>
    </row>
    <row r="212" customFormat="false" ht="15" hidden="false" customHeight="false" outlineLevel="0" collapsed="false">
      <c r="A212" s="2" t="s">
        <v>206</v>
      </c>
      <c r="B212" s="2" t="s">
        <v>47</v>
      </c>
      <c r="C212" s="2" t="s">
        <v>4087</v>
      </c>
      <c r="D212" s="11" t="n">
        <v>122033</v>
      </c>
      <c r="E212" s="31" t="n">
        <v>21.3</v>
      </c>
      <c r="F212" s="31" t="n">
        <v>37.3</v>
      </c>
      <c r="G212" s="31" t="n">
        <v>3.6</v>
      </c>
      <c r="H212" s="2" t="s">
        <v>671</v>
      </c>
    </row>
    <row r="213" customFormat="false" ht="15" hidden="false" customHeight="false" outlineLevel="0" collapsed="false">
      <c r="A213" s="2" t="s">
        <v>1482</v>
      </c>
      <c r="B213" s="2" t="s">
        <v>4104</v>
      </c>
      <c r="C213" s="2" t="s">
        <v>4085</v>
      </c>
      <c r="D213" s="2"/>
      <c r="E213" s="31" t="n">
        <v>60.6</v>
      </c>
      <c r="F213" s="31" t="n">
        <v>53.6</v>
      </c>
      <c r="G213" s="31" t="n">
        <v>50.3</v>
      </c>
      <c r="H213" s="2" t="s">
        <v>668</v>
      </c>
    </row>
    <row r="214" customFormat="false" ht="15" hidden="false" customHeight="false" outlineLevel="0" collapsed="false">
      <c r="A214" s="2" t="s">
        <v>1482</v>
      </c>
      <c r="B214" s="2" t="s">
        <v>4104</v>
      </c>
      <c r="C214" s="2" t="s">
        <v>4087</v>
      </c>
      <c r="D214" s="2"/>
      <c r="E214" s="31" t="n">
        <v>89</v>
      </c>
      <c r="F214" s="31" t="n">
        <v>38.4</v>
      </c>
      <c r="G214" s="31" t="n">
        <v>50.8</v>
      </c>
      <c r="H214" s="2" t="s">
        <v>668</v>
      </c>
    </row>
    <row r="215" customFormat="false" ht="15" hidden="false" customHeight="false" outlineLevel="0" collapsed="false">
      <c r="A215" s="2" t="s">
        <v>1482</v>
      </c>
      <c r="B215" s="2" t="s">
        <v>45</v>
      </c>
      <c r="C215" s="2" t="s">
        <v>4085</v>
      </c>
      <c r="D215" s="11" t="n">
        <v>99440</v>
      </c>
      <c r="E215" s="31" t="n">
        <v>1.7</v>
      </c>
      <c r="F215" s="31" t="n">
        <v>27.7</v>
      </c>
      <c r="G215" s="31" t="n">
        <v>71.5</v>
      </c>
      <c r="H215" s="2" t="s">
        <v>668</v>
      </c>
    </row>
    <row r="216" customFormat="false" ht="15" hidden="false" customHeight="false" outlineLevel="0" collapsed="false">
      <c r="A216" s="2" t="s">
        <v>1482</v>
      </c>
      <c r="B216" s="2" t="s">
        <v>45</v>
      </c>
      <c r="C216" s="2" t="s">
        <v>4087</v>
      </c>
      <c r="D216" s="11" t="n">
        <v>106540</v>
      </c>
      <c r="E216" s="2"/>
      <c r="F216" s="31" t="n">
        <v>33.3</v>
      </c>
      <c r="G216" s="2"/>
      <c r="H216" s="2" t="s">
        <v>668</v>
      </c>
    </row>
    <row r="217" customFormat="false" ht="15" hidden="false" customHeight="false" outlineLevel="0" collapsed="false">
      <c r="A217" s="2" t="s">
        <v>1482</v>
      </c>
      <c r="B217" s="2" t="s">
        <v>46</v>
      </c>
      <c r="C217" s="2" t="s">
        <v>4085</v>
      </c>
      <c r="D217" s="11" t="n">
        <v>78330</v>
      </c>
      <c r="E217" s="31" t="n">
        <v>91</v>
      </c>
      <c r="F217" s="31" t="n">
        <v>65.2</v>
      </c>
      <c r="G217" s="31" t="n">
        <v>4.3</v>
      </c>
      <c r="H217" s="2" t="s">
        <v>671</v>
      </c>
    </row>
    <row r="218" customFormat="false" ht="15" hidden="false" customHeight="false" outlineLevel="0" collapsed="false">
      <c r="A218" s="2" t="s">
        <v>1482</v>
      </c>
      <c r="B218" s="2" t="s">
        <v>46</v>
      </c>
      <c r="C218" s="2" t="s">
        <v>4087</v>
      </c>
      <c r="D218" s="11" t="n">
        <v>79500</v>
      </c>
      <c r="E218" s="31" t="n">
        <v>84.4</v>
      </c>
      <c r="F218" s="31" t="n">
        <v>35.7</v>
      </c>
      <c r="G218" s="31" t="n">
        <v>22.5</v>
      </c>
      <c r="H218" s="2" t="s">
        <v>671</v>
      </c>
    </row>
    <row r="219" customFormat="false" ht="15" hidden="false" customHeight="false" outlineLevel="0" collapsed="false">
      <c r="A219" s="2" t="s">
        <v>1482</v>
      </c>
      <c r="B219" s="2" t="s">
        <v>47</v>
      </c>
      <c r="C219" s="2" t="s">
        <v>4085</v>
      </c>
      <c r="D219" s="11" t="n">
        <v>59221</v>
      </c>
      <c r="E219" s="31" t="n">
        <v>89.1</v>
      </c>
      <c r="F219" s="31" t="n">
        <v>68</v>
      </c>
      <c r="G219" s="31" t="n">
        <v>75.1</v>
      </c>
      <c r="H219" s="2" t="s">
        <v>671</v>
      </c>
    </row>
    <row r="220" customFormat="false" ht="15" hidden="false" customHeight="false" outlineLevel="0" collapsed="false">
      <c r="A220" s="2" t="s">
        <v>1482</v>
      </c>
      <c r="B220" s="2" t="s">
        <v>47</v>
      </c>
      <c r="C220" s="2" t="s">
        <v>4087</v>
      </c>
      <c r="D220" s="11" t="n">
        <v>63390</v>
      </c>
      <c r="E220" s="31" t="n">
        <v>93.5</v>
      </c>
      <c r="F220" s="31" t="n">
        <v>46.1</v>
      </c>
      <c r="G220" s="31" t="n">
        <v>79</v>
      </c>
      <c r="H220" s="2" t="s">
        <v>671</v>
      </c>
    </row>
    <row r="221" customFormat="false" ht="15" hidden="false" customHeight="false" outlineLevel="0" collapsed="false">
      <c r="A221" s="2" t="s">
        <v>636</v>
      </c>
      <c r="B221" s="2" t="s">
        <v>4104</v>
      </c>
      <c r="C221" s="2" t="s">
        <v>4087</v>
      </c>
      <c r="D221" s="2"/>
      <c r="E221" s="31" t="n">
        <v>8.9</v>
      </c>
      <c r="F221" s="31" t="n">
        <v>86.8</v>
      </c>
      <c r="G221" s="31" t="n">
        <v>46.4</v>
      </c>
      <c r="H221" s="2" t="s">
        <v>671</v>
      </c>
    </row>
    <row r="222" customFormat="false" ht="15" hidden="false" customHeight="false" outlineLevel="0" collapsed="false">
      <c r="A222" s="2" t="s">
        <v>636</v>
      </c>
      <c r="B222" s="2" t="s">
        <v>46</v>
      </c>
      <c r="C222" s="2" t="s">
        <v>4087</v>
      </c>
      <c r="D222" s="11" t="n">
        <v>219410</v>
      </c>
      <c r="E222" s="31" t="n">
        <v>8.9</v>
      </c>
      <c r="F222" s="31" t="n">
        <v>86.8</v>
      </c>
      <c r="G222" s="31" t="n">
        <v>46.4</v>
      </c>
      <c r="H222" s="2" t="s">
        <v>671</v>
      </c>
    </row>
    <row r="223" customFormat="false" ht="15" hidden="false" customHeight="false" outlineLevel="0" collapsed="false">
      <c r="A223" s="2" t="s">
        <v>703</v>
      </c>
      <c r="B223" s="2" t="s">
        <v>4104</v>
      </c>
      <c r="C223" s="2" t="s">
        <v>4085</v>
      </c>
      <c r="D223" s="2"/>
      <c r="E223" s="31" t="n">
        <v>63.7</v>
      </c>
      <c r="F223" s="31" t="n">
        <v>44.9</v>
      </c>
      <c r="G223" s="31" t="n">
        <v>76.5</v>
      </c>
      <c r="H223" s="2" t="s">
        <v>671</v>
      </c>
    </row>
    <row r="224" customFormat="false" ht="15" hidden="false" customHeight="false" outlineLevel="0" collapsed="false">
      <c r="A224" s="2" t="s">
        <v>703</v>
      </c>
      <c r="B224" s="2" t="s">
        <v>4104</v>
      </c>
      <c r="C224" s="2" t="s">
        <v>4086</v>
      </c>
      <c r="D224" s="2"/>
      <c r="E224" s="31" t="n">
        <v>72.8</v>
      </c>
      <c r="F224" s="31" t="n">
        <v>50.1</v>
      </c>
      <c r="G224" s="31" t="n">
        <v>48.7</v>
      </c>
      <c r="H224" s="2" t="s">
        <v>671</v>
      </c>
    </row>
    <row r="225" customFormat="false" ht="15" hidden="false" customHeight="false" outlineLevel="0" collapsed="false">
      <c r="A225" s="2" t="s">
        <v>703</v>
      </c>
      <c r="B225" s="2" t="s">
        <v>4104</v>
      </c>
      <c r="C225" s="2" t="s">
        <v>4087</v>
      </c>
      <c r="D225" s="2"/>
      <c r="E225" s="31" t="n">
        <v>95.5</v>
      </c>
      <c r="F225" s="31" t="n">
        <v>98.4</v>
      </c>
      <c r="G225" s="31" t="n">
        <v>67.7</v>
      </c>
      <c r="H225" s="2" t="s">
        <v>668</v>
      </c>
    </row>
    <row r="226" customFormat="false" ht="15" hidden="false" customHeight="false" outlineLevel="0" collapsed="false">
      <c r="A226" s="2" t="s">
        <v>703</v>
      </c>
      <c r="B226" s="2" t="s">
        <v>45</v>
      </c>
      <c r="C226" s="2" t="s">
        <v>4085</v>
      </c>
      <c r="D226" s="11" t="n">
        <v>30194</v>
      </c>
      <c r="E226" s="31" t="n">
        <v>92</v>
      </c>
      <c r="F226" s="31" t="n">
        <v>86.1</v>
      </c>
      <c r="G226" s="31" t="n">
        <v>80</v>
      </c>
      <c r="H226" s="2" t="s">
        <v>671</v>
      </c>
    </row>
    <row r="227" customFormat="false" ht="15" hidden="false" customHeight="false" outlineLevel="0" collapsed="false">
      <c r="A227" s="2" t="s">
        <v>703</v>
      </c>
      <c r="B227" s="2" t="s">
        <v>45</v>
      </c>
      <c r="C227" s="2" t="s">
        <v>4086</v>
      </c>
      <c r="D227" s="11" t="n">
        <v>32330</v>
      </c>
      <c r="E227" s="31" t="n">
        <v>96.8</v>
      </c>
      <c r="F227" s="31" t="n">
        <v>95.9</v>
      </c>
      <c r="G227" s="31" t="n">
        <v>43.6</v>
      </c>
      <c r="H227" s="2" t="s">
        <v>671</v>
      </c>
    </row>
    <row r="228" customFormat="false" ht="15" hidden="false" customHeight="false" outlineLevel="0" collapsed="false">
      <c r="A228" s="2" t="s">
        <v>703</v>
      </c>
      <c r="B228" s="2" t="s">
        <v>45</v>
      </c>
      <c r="C228" s="2" t="s">
        <v>4087</v>
      </c>
      <c r="D228" s="11" t="n">
        <v>34968</v>
      </c>
      <c r="E228" s="31" t="n">
        <v>95.5</v>
      </c>
      <c r="F228" s="31" t="n">
        <v>98.4</v>
      </c>
      <c r="G228" s="31" t="n">
        <v>67.7</v>
      </c>
      <c r="H228" s="2" t="s">
        <v>671</v>
      </c>
    </row>
    <row r="229" customFormat="false" ht="15" hidden="false" customHeight="false" outlineLevel="0" collapsed="false">
      <c r="A229" s="2" t="s">
        <v>703</v>
      </c>
      <c r="B229" s="2" t="s">
        <v>46</v>
      </c>
      <c r="C229" s="2" t="s">
        <v>4085</v>
      </c>
      <c r="D229" s="11" t="n">
        <v>52000</v>
      </c>
      <c r="E229" s="31" t="n">
        <v>24.5</v>
      </c>
      <c r="F229" s="31" t="n">
        <v>20.2</v>
      </c>
      <c r="G229" s="31" t="n">
        <v>90.2</v>
      </c>
      <c r="H229" s="2" t="s">
        <v>671</v>
      </c>
    </row>
    <row r="230" customFormat="false" ht="15" hidden="false" customHeight="false" outlineLevel="0" collapsed="false">
      <c r="A230" s="2" t="s">
        <v>703</v>
      </c>
      <c r="B230" s="2" t="s">
        <v>46</v>
      </c>
      <c r="C230" s="2" t="s">
        <v>4086</v>
      </c>
      <c r="D230" s="11" t="n">
        <v>51530</v>
      </c>
      <c r="E230" s="31" t="n">
        <v>34</v>
      </c>
      <c r="F230" s="31" t="n">
        <v>22.2</v>
      </c>
      <c r="G230" s="31" t="n">
        <v>81.5</v>
      </c>
      <c r="H230" s="2" t="s">
        <v>671</v>
      </c>
    </row>
    <row r="231" customFormat="false" ht="15" hidden="false" customHeight="false" outlineLevel="0" collapsed="false">
      <c r="A231" s="2" t="s">
        <v>703</v>
      </c>
      <c r="B231" s="2" t="s">
        <v>46</v>
      </c>
      <c r="C231" s="2" t="s">
        <v>4087</v>
      </c>
      <c r="D231" s="2"/>
      <c r="E231" s="2"/>
      <c r="F231" s="2"/>
      <c r="G231" s="2"/>
      <c r="H231" s="2" t="s">
        <v>668</v>
      </c>
    </row>
    <row r="232" customFormat="false" ht="15" hidden="false" customHeight="false" outlineLevel="0" collapsed="false">
      <c r="A232" s="2" t="s">
        <v>703</v>
      </c>
      <c r="B232" s="2" t="s">
        <v>47</v>
      </c>
      <c r="C232" s="2" t="s">
        <v>4085</v>
      </c>
      <c r="D232" s="11" t="n">
        <v>129034</v>
      </c>
      <c r="E232" s="31" t="n">
        <v>74.7</v>
      </c>
      <c r="F232" s="31" t="n">
        <v>28.4</v>
      </c>
      <c r="G232" s="31" t="n">
        <v>59.4</v>
      </c>
      <c r="H232" s="2" t="s">
        <v>671</v>
      </c>
    </row>
    <row r="233" customFormat="false" ht="15" hidden="false" customHeight="false" outlineLevel="0" collapsed="false">
      <c r="A233" s="2" t="s">
        <v>703</v>
      </c>
      <c r="B233" s="2" t="s">
        <v>47</v>
      </c>
      <c r="C233" s="2" t="s">
        <v>4086</v>
      </c>
      <c r="D233" s="11" t="n">
        <v>126028</v>
      </c>
      <c r="E233" s="31" t="n">
        <v>87.5</v>
      </c>
      <c r="F233" s="31" t="n">
        <v>32.3</v>
      </c>
      <c r="G233" s="31" t="n">
        <v>21.1</v>
      </c>
      <c r="H233" s="2" t="s">
        <v>671</v>
      </c>
    </row>
    <row r="234" customFormat="false" ht="15" hidden="false" customHeight="false" outlineLevel="0" collapsed="false">
      <c r="A234" s="2" t="s">
        <v>703</v>
      </c>
      <c r="B234" s="2" t="s">
        <v>47</v>
      </c>
      <c r="C234" s="2" t="s">
        <v>4087</v>
      </c>
      <c r="D234" s="2"/>
      <c r="E234" s="2"/>
      <c r="F234" s="2"/>
      <c r="G234" s="2"/>
      <c r="H234" s="2" t="s">
        <v>668</v>
      </c>
    </row>
    <row r="235" customFormat="false" ht="15" hidden="false" customHeight="false" outlineLevel="0" collapsed="false">
      <c r="A235" s="2" t="s">
        <v>364</v>
      </c>
      <c r="B235" s="2" t="s">
        <v>4104</v>
      </c>
      <c r="C235" s="2" t="s">
        <v>4085</v>
      </c>
      <c r="D235" s="2"/>
      <c r="E235" s="2"/>
      <c r="F235" s="2"/>
      <c r="G235" s="2"/>
      <c r="H235" s="2" t="s">
        <v>668</v>
      </c>
    </row>
    <row r="236" customFormat="false" ht="15" hidden="false" customHeight="false" outlineLevel="0" collapsed="false">
      <c r="A236" s="2" t="s">
        <v>364</v>
      </c>
      <c r="B236" s="2" t="s">
        <v>4104</v>
      </c>
      <c r="C236" s="2" t="s">
        <v>4086</v>
      </c>
      <c r="D236" s="2"/>
      <c r="E236" s="31" t="n">
        <v>68.4</v>
      </c>
      <c r="F236" s="31" t="n">
        <v>44.3</v>
      </c>
      <c r="G236" s="2"/>
      <c r="H236" s="2" t="s">
        <v>668</v>
      </c>
    </row>
    <row r="237" customFormat="false" ht="15" hidden="false" customHeight="false" outlineLevel="0" collapsed="false">
      <c r="A237" s="2" t="s">
        <v>364</v>
      </c>
      <c r="B237" s="2" t="s">
        <v>4104</v>
      </c>
      <c r="C237" s="2" t="s">
        <v>4087</v>
      </c>
      <c r="D237" s="2"/>
      <c r="E237" s="31" t="n">
        <v>51</v>
      </c>
      <c r="F237" s="31" t="n">
        <v>64.4</v>
      </c>
      <c r="G237" s="31" t="n">
        <v>17.6</v>
      </c>
      <c r="H237" s="2" t="s">
        <v>671</v>
      </c>
    </row>
    <row r="238" customFormat="false" ht="15" hidden="false" customHeight="false" outlineLevel="0" collapsed="false">
      <c r="A238" s="2" t="s">
        <v>364</v>
      </c>
      <c r="B238" s="2" t="s">
        <v>45</v>
      </c>
      <c r="C238" s="2" t="s">
        <v>4085</v>
      </c>
      <c r="D238" s="2"/>
      <c r="E238" s="2"/>
      <c r="F238" s="2"/>
      <c r="G238" s="2"/>
      <c r="H238" s="2" t="s">
        <v>668</v>
      </c>
    </row>
    <row r="239" customFormat="false" ht="15" hidden="false" customHeight="false" outlineLevel="0" collapsed="false">
      <c r="A239" s="2" t="s">
        <v>364</v>
      </c>
      <c r="B239" s="2" t="s">
        <v>45</v>
      </c>
      <c r="C239" s="2" t="s">
        <v>4086</v>
      </c>
      <c r="D239" s="11" t="n">
        <v>230295</v>
      </c>
      <c r="E239" s="31" t="n">
        <v>68.4</v>
      </c>
      <c r="F239" s="31" t="n">
        <v>44.3</v>
      </c>
      <c r="G239" s="2"/>
      <c r="H239" s="2" t="s">
        <v>671</v>
      </c>
    </row>
    <row r="240" customFormat="false" ht="15" hidden="false" customHeight="false" outlineLevel="0" collapsed="false">
      <c r="A240" s="2" t="s">
        <v>364</v>
      </c>
      <c r="B240" s="2" t="s">
        <v>45</v>
      </c>
      <c r="C240" s="2" t="s">
        <v>4087</v>
      </c>
      <c r="D240" s="11" t="n">
        <v>240428</v>
      </c>
      <c r="E240" s="31" t="n">
        <v>76.5</v>
      </c>
      <c r="F240" s="31" t="n">
        <v>34.1</v>
      </c>
      <c r="G240" s="2"/>
      <c r="H240" s="2" t="s">
        <v>671</v>
      </c>
    </row>
    <row r="241" customFormat="false" ht="15" hidden="false" customHeight="false" outlineLevel="0" collapsed="false">
      <c r="A241" s="2" t="s">
        <v>364</v>
      </c>
      <c r="B241" s="2" t="s">
        <v>46</v>
      </c>
      <c r="C241" s="2" t="s">
        <v>4085</v>
      </c>
      <c r="D241" s="2"/>
      <c r="E241" s="2"/>
      <c r="F241" s="2"/>
      <c r="G241" s="2"/>
      <c r="H241" s="2" t="s">
        <v>668</v>
      </c>
    </row>
    <row r="242" customFormat="false" ht="15" hidden="false" customHeight="false" outlineLevel="0" collapsed="false">
      <c r="A242" s="2" t="s">
        <v>364</v>
      </c>
      <c r="B242" s="2" t="s">
        <v>46</v>
      </c>
      <c r="C242" s="2" t="s">
        <v>4086</v>
      </c>
      <c r="D242" s="2"/>
      <c r="E242" s="2"/>
      <c r="F242" s="2"/>
      <c r="G242" s="2"/>
      <c r="H242" s="2" t="s">
        <v>668</v>
      </c>
    </row>
    <row r="243" customFormat="false" ht="15" hidden="false" customHeight="false" outlineLevel="0" collapsed="false">
      <c r="A243" s="2" t="s">
        <v>364</v>
      </c>
      <c r="B243" s="2" t="s">
        <v>46</v>
      </c>
      <c r="C243" s="2" t="s">
        <v>4087</v>
      </c>
      <c r="D243" s="11" t="n">
        <v>14288</v>
      </c>
      <c r="E243" s="31" t="n">
        <v>25.6</v>
      </c>
      <c r="F243" s="31" t="n">
        <v>94.6</v>
      </c>
      <c r="G243" s="31" t="n">
        <v>17.6</v>
      </c>
      <c r="H243" s="2" t="s">
        <v>671</v>
      </c>
    </row>
    <row r="244" customFormat="false" ht="15" hidden="false" customHeight="false" outlineLevel="0" collapsed="false">
      <c r="A244" s="2" t="s">
        <v>1078</v>
      </c>
      <c r="B244" s="2" t="s">
        <v>4104</v>
      </c>
      <c r="C244" s="2" t="s">
        <v>4085</v>
      </c>
      <c r="D244" s="2"/>
      <c r="E244" s="31" t="n">
        <v>55</v>
      </c>
      <c r="F244" s="31" t="n">
        <v>48.5</v>
      </c>
      <c r="G244" s="31" t="n">
        <v>34.7</v>
      </c>
      <c r="H244" s="2" t="s">
        <v>671</v>
      </c>
    </row>
    <row r="245" customFormat="false" ht="15" hidden="false" customHeight="false" outlineLevel="0" collapsed="false">
      <c r="A245" s="2" t="s">
        <v>1078</v>
      </c>
      <c r="B245" s="2" t="s">
        <v>4104</v>
      </c>
      <c r="C245" s="2" t="s">
        <v>4086</v>
      </c>
      <c r="D245" s="2"/>
      <c r="E245" s="31" t="n">
        <v>35</v>
      </c>
      <c r="F245" s="31" t="n">
        <v>40.6</v>
      </c>
      <c r="G245" s="31" t="n">
        <v>9.9</v>
      </c>
      <c r="H245" s="2" t="s">
        <v>668</v>
      </c>
    </row>
    <row r="246" customFormat="false" ht="15" hidden="false" customHeight="false" outlineLevel="0" collapsed="false">
      <c r="A246" s="2" t="s">
        <v>1078</v>
      </c>
      <c r="B246" s="2" t="s">
        <v>4104</v>
      </c>
      <c r="C246" s="2" t="s">
        <v>4087</v>
      </c>
      <c r="D246" s="2"/>
      <c r="E246" s="31" t="n">
        <v>44.9</v>
      </c>
      <c r="F246" s="31" t="n">
        <v>46.9</v>
      </c>
      <c r="G246" s="31" t="n">
        <v>17.5</v>
      </c>
      <c r="H246" s="2" t="s">
        <v>668</v>
      </c>
    </row>
    <row r="247" customFormat="false" ht="15" hidden="false" customHeight="false" outlineLevel="0" collapsed="false">
      <c r="A247" s="2" t="s">
        <v>1078</v>
      </c>
      <c r="B247" s="2" t="s">
        <v>45</v>
      </c>
      <c r="C247" s="2" t="s">
        <v>4085</v>
      </c>
      <c r="D247" s="11" t="n">
        <v>6200</v>
      </c>
      <c r="E247" s="31" t="n">
        <v>43.2</v>
      </c>
      <c r="F247" s="31" t="n">
        <v>82.3</v>
      </c>
      <c r="G247" s="31" t="n">
        <v>22.9</v>
      </c>
      <c r="H247" s="2" t="s">
        <v>671</v>
      </c>
    </row>
    <row r="248" customFormat="false" ht="15" hidden="false" customHeight="false" outlineLevel="0" collapsed="false">
      <c r="A248" s="2" t="s">
        <v>1078</v>
      </c>
      <c r="B248" s="2" t="s">
        <v>45</v>
      </c>
      <c r="C248" s="2" t="s">
        <v>4086</v>
      </c>
      <c r="D248" s="11" t="n">
        <v>6348</v>
      </c>
      <c r="E248" s="31" t="n">
        <v>44</v>
      </c>
      <c r="F248" s="31" t="n">
        <v>50.7</v>
      </c>
      <c r="G248" s="31" t="n">
        <v>10.7</v>
      </c>
      <c r="H248" s="2" t="s">
        <v>671</v>
      </c>
    </row>
    <row r="249" customFormat="false" ht="15" hidden="false" customHeight="false" outlineLevel="0" collapsed="false">
      <c r="A249" s="2" t="s">
        <v>1078</v>
      </c>
      <c r="B249" s="2" t="s">
        <v>45</v>
      </c>
      <c r="C249" s="2" t="s">
        <v>4087</v>
      </c>
      <c r="D249" s="11" t="n">
        <v>6589</v>
      </c>
      <c r="E249" s="31" t="n">
        <v>44.9</v>
      </c>
      <c r="F249" s="31" t="n">
        <v>68.5</v>
      </c>
      <c r="G249" s="31" t="n">
        <v>25.7</v>
      </c>
      <c r="H249" s="2" t="s">
        <v>671</v>
      </c>
    </row>
    <row r="250" customFormat="false" ht="15" hidden="false" customHeight="false" outlineLevel="0" collapsed="false">
      <c r="A250" s="2" t="s">
        <v>1078</v>
      </c>
      <c r="B250" s="2" t="s">
        <v>46</v>
      </c>
      <c r="C250" s="2" t="s">
        <v>4085</v>
      </c>
      <c r="D250" s="11" t="n">
        <v>16425</v>
      </c>
      <c r="E250" s="31" t="n">
        <v>78.3</v>
      </c>
      <c r="F250" s="31" t="n">
        <v>33.7</v>
      </c>
      <c r="G250" s="31" t="n">
        <v>66</v>
      </c>
      <c r="H250" s="2" t="s">
        <v>671</v>
      </c>
    </row>
    <row r="251" customFormat="false" ht="15" hidden="false" customHeight="false" outlineLevel="0" collapsed="false">
      <c r="A251" s="2" t="s">
        <v>1078</v>
      </c>
      <c r="B251" s="2" t="s">
        <v>46</v>
      </c>
      <c r="C251" s="2" t="s">
        <v>4086</v>
      </c>
      <c r="D251" s="2"/>
      <c r="E251" s="2"/>
      <c r="F251" s="2"/>
      <c r="G251" s="2"/>
      <c r="H251" s="2" t="s">
        <v>668</v>
      </c>
    </row>
    <row r="252" customFormat="false" ht="15" hidden="false" customHeight="false" outlineLevel="0" collapsed="false">
      <c r="A252" s="2" t="s">
        <v>1078</v>
      </c>
      <c r="B252" s="2" t="s">
        <v>46</v>
      </c>
      <c r="C252" s="2" t="s">
        <v>4087</v>
      </c>
      <c r="D252" s="2"/>
      <c r="E252" s="2"/>
      <c r="F252" s="2"/>
      <c r="G252" s="2"/>
      <c r="H252" s="2" t="s">
        <v>668</v>
      </c>
    </row>
    <row r="253" customFormat="false" ht="15" hidden="false" customHeight="false" outlineLevel="0" collapsed="false">
      <c r="A253" s="2" t="s">
        <v>1078</v>
      </c>
      <c r="B253" s="2" t="s">
        <v>47</v>
      </c>
      <c r="C253" s="2" t="s">
        <v>4085</v>
      </c>
      <c r="D253" s="11" t="n">
        <v>207205</v>
      </c>
      <c r="E253" s="31" t="n">
        <v>43.4</v>
      </c>
      <c r="F253" s="31" t="n">
        <v>29.6</v>
      </c>
      <c r="G253" s="31" t="n">
        <v>15.3</v>
      </c>
      <c r="H253" s="2" t="s">
        <v>671</v>
      </c>
    </row>
    <row r="254" customFormat="false" ht="15" hidden="false" customHeight="false" outlineLevel="0" collapsed="false">
      <c r="A254" s="2" t="s">
        <v>1078</v>
      </c>
      <c r="B254" s="2" t="s">
        <v>47</v>
      </c>
      <c r="C254" s="2" t="s">
        <v>4086</v>
      </c>
      <c r="D254" s="11" t="n">
        <v>211120</v>
      </c>
      <c r="E254" s="31" t="n">
        <v>26.1</v>
      </c>
      <c r="F254" s="31" t="n">
        <v>30.4</v>
      </c>
      <c r="G254" s="31" t="n">
        <v>9.1</v>
      </c>
      <c r="H254" s="2" t="s">
        <v>671</v>
      </c>
    </row>
    <row r="255" customFormat="false" ht="15" hidden="false" customHeight="false" outlineLevel="0" collapsed="false">
      <c r="A255" s="2" t="s">
        <v>1078</v>
      </c>
      <c r="B255" s="2" t="s">
        <v>47</v>
      </c>
      <c r="C255" s="2" t="s">
        <v>4087</v>
      </c>
      <c r="D255" s="11" t="n">
        <v>210226</v>
      </c>
      <c r="E255" s="2"/>
      <c r="F255" s="31" t="n">
        <v>25.3</v>
      </c>
      <c r="G255" s="31" t="n">
        <v>9.3</v>
      </c>
      <c r="H255" s="2" t="s">
        <v>668</v>
      </c>
    </row>
    <row r="256" customFormat="false" ht="15" hidden="false" customHeight="false" outlineLevel="0" collapsed="false">
      <c r="A256" s="2" t="s">
        <v>755</v>
      </c>
      <c r="B256" s="2" t="s">
        <v>4104</v>
      </c>
      <c r="C256" s="2" t="s">
        <v>4085</v>
      </c>
      <c r="D256" s="2"/>
      <c r="E256" s="31" t="n">
        <v>95.1</v>
      </c>
      <c r="F256" s="31" t="n">
        <v>54.3</v>
      </c>
      <c r="G256" s="2"/>
      <c r="H256" s="2" t="s">
        <v>668</v>
      </c>
    </row>
    <row r="257" customFormat="false" ht="15" hidden="false" customHeight="false" outlineLevel="0" collapsed="false">
      <c r="A257" s="2" t="s">
        <v>755</v>
      </c>
      <c r="B257" s="2" t="s">
        <v>4104</v>
      </c>
      <c r="C257" s="2" t="s">
        <v>4086</v>
      </c>
      <c r="D257" s="2"/>
      <c r="E257" s="31" t="n">
        <v>95.4</v>
      </c>
      <c r="F257" s="31" t="n">
        <v>47.8</v>
      </c>
      <c r="G257" s="31" t="n">
        <v>69</v>
      </c>
      <c r="H257" s="2" t="s">
        <v>671</v>
      </c>
    </row>
    <row r="258" customFormat="false" ht="15" hidden="false" customHeight="false" outlineLevel="0" collapsed="false">
      <c r="A258" s="2" t="s">
        <v>755</v>
      </c>
      <c r="B258" s="2" t="s">
        <v>4104</v>
      </c>
      <c r="C258" s="2" t="s">
        <v>4087</v>
      </c>
      <c r="D258" s="2"/>
      <c r="E258" s="31" t="n">
        <v>89.1</v>
      </c>
      <c r="F258" s="31" t="n">
        <v>56</v>
      </c>
      <c r="G258" s="31" t="n">
        <v>35</v>
      </c>
      <c r="H258" s="2" t="s">
        <v>668</v>
      </c>
    </row>
    <row r="259" customFormat="false" ht="15" hidden="false" customHeight="false" outlineLevel="0" collapsed="false">
      <c r="A259" s="2" t="s">
        <v>755</v>
      </c>
      <c r="B259" s="2" t="s">
        <v>45</v>
      </c>
      <c r="C259" s="2" t="s">
        <v>4085</v>
      </c>
      <c r="D259" s="11" t="n">
        <v>19360</v>
      </c>
      <c r="E259" s="31" t="n">
        <v>91.8</v>
      </c>
      <c r="F259" s="31" t="n">
        <v>61.7</v>
      </c>
      <c r="G259" s="2"/>
      <c r="H259" s="2" t="s">
        <v>671</v>
      </c>
    </row>
    <row r="260" customFormat="false" ht="15" hidden="false" customHeight="false" outlineLevel="0" collapsed="false">
      <c r="A260" s="2" t="s">
        <v>755</v>
      </c>
      <c r="B260" s="2" t="s">
        <v>45</v>
      </c>
      <c r="C260" s="2" t="s">
        <v>4086</v>
      </c>
      <c r="D260" s="11" t="n">
        <v>20130</v>
      </c>
      <c r="E260" s="31" t="n">
        <v>93.4</v>
      </c>
      <c r="F260" s="31" t="n">
        <v>50.2</v>
      </c>
      <c r="G260" s="2"/>
      <c r="H260" s="2" t="s">
        <v>671</v>
      </c>
    </row>
    <row r="261" customFormat="false" ht="15" hidden="false" customHeight="false" outlineLevel="0" collapsed="false">
      <c r="A261" s="2" t="s">
        <v>755</v>
      </c>
      <c r="B261" s="2" t="s">
        <v>45</v>
      </c>
      <c r="C261" s="2" t="s">
        <v>4087</v>
      </c>
      <c r="D261" s="11" t="n">
        <v>20550</v>
      </c>
      <c r="E261" s="31" t="n">
        <v>89.1</v>
      </c>
      <c r="F261" s="31" t="n">
        <v>56</v>
      </c>
      <c r="G261" s="2"/>
      <c r="H261" s="2" t="s">
        <v>671</v>
      </c>
    </row>
    <row r="262" customFormat="false" ht="15" hidden="false" customHeight="false" outlineLevel="0" collapsed="false">
      <c r="A262" s="2" t="s">
        <v>755</v>
      </c>
      <c r="B262" s="2" t="s">
        <v>47</v>
      </c>
      <c r="C262" s="2" t="s">
        <v>4085</v>
      </c>
      <c r="D262" s="11" t="n">
        <v>172311</v>
      </c>
      <c r="E262" s="31" t="n">
        <v>98.4</v>
      </c>
      <c r="F262" s="31" t="n">
        <v>46.9</v>
      </c>
      <c r="G262" s="2"/>
      <c r="H262" s="2" t="s">
        <v>668</v>
      </c>
    </row>
    <row r="263" customFormat="false" ht="15" hidden="false" customHeight="false" outlineLevel="0" collapsed="false">
      <c r="A263" s="2" t="s">
        <v>755</v>
      </c>
      <c r="B263" s="2" t="s">
        <v>47</v>
      </c>
      <c r="C263" s="2" t="s">
        <v>4086</v>
      </c>
      <c r="D263" s="11" t="n">
        <v>175579</v>
      </c>
      <c r="E263" s="31" t="n">
        <v>97.4</v>
      </c>
      <c r="F263" s="31" t="n">
        <v>45.3</v>
      </c>
      <c r="G263" s="31" t="n">
        <v>69</v>
      </c>
      <c r="H263" s="2" t="s">
        <v>671</v>
      </c>
    </row>
    <row r="264" customFormat="false" ht="15" hidden="false" customHeight="false" outlineLevel="0" collapsed="false">
      <c r="A264" s="2" t="s">
        <v>755</v>
      </c>
      <c r="B264" s="2" t="s">
        <v>47</v>
      </c>
      <c r="C264" s="2" t="s">
        <v>4087</v>
      </c>
      <c r="D264" s="2"/>
      <c r="E264" s="2"/>
      <c r="F264" s="2"/>
      <c r="G264" s="31" t="n">
        <v>35</v>
      </c>
      <c r="H264" s="2" t="s">
        <v>668</v>
      </c>
    </row>
    <row r="265" customFormat="false" ht="15" hidden="false" customHeight="false" outlineLevel="0" collapsed="false">
      <c r="A265" s="2" t="s">
        <v>2197</v>
      </c>
      <c r="B265" s="2" t="s">
        <v>4104</v>
      </c>
      <c r="C265" s="2" t="s">
        <v>4085</v>
      </c>
      <c r="D265" s="2"/>
      <c r="E265" s="31" t="n">
        <v>57</v>
      </c>
      <c r="F265" s="31" t="n">
        <v>45.4</v>
      </c>
      <c r="G265" s="31" t="n">
        <v>70.6</v>
      </c>
      <c r="H265" s="2" t="s">
        <v>671</v>
      </c>
    </row>
    <row r="266" customFormat="false" ht="15" hidden="false" customHeight="false" outlineLevel="0" collapsed="false">
      <c r="A266" s="2" t="s">
        <v>2197</v>
      </c>
      <c r="B266" s="2" t="s">
        <v>4104</v>
      </c>
      <c r="C266" s="2" t="s">
        <v>4086</v>
      </c>
      <c r="D266" s="2"/>
      <c r="E266" s="31" t="n">
        <v>62.4</v>
      </c>
      <c r="F266" s="31" t="n">
        <v>42</v>
      </c>
      <c r="G266" s="31" t="n">
        <v>63.6</v>
      </c>
      <c r="H266" s="2" t="s">
        <v>671</v>
      </c>
    </row>
    <row r="267" customFormat="false" ht="15" hidden="false" customHeight="false" outlineLevel="0" collapsed="false">
      <c r="A267" s="2" t="s">
        <v>2197</v>
      </c>
      <c r="B267" s="2" t="s">
        <v>4104</v>
      </c>
      <c r="C267" s="2" t="s">
        <v>4087</v>
      </c>
      <c r="D267" s="2"/>
      <c r="E267" s="31" t="n">
        <v>65.8</v>
      </c>
      <c r="F267" s="31" t="n">
        <v>40</v>
      </c>
      <c r="G267" s="31" t="n">
        <v>65.1</v>
      </c>
      <c r="H267" s="2" t="s">
        <v>668</v>
      </c>
    </row>
    <row r="268" customFormat="false" ht="15" hidden="false" customHeight="false" outlineLevel="0" collapsed="false">
      <c r="A268" s="2" t="s">
        <v>2197</v>
      </c>
      <c r="B268" s="2" t="s">
        <v>46</v>
      </c>
      <c r="C268" s="2" t="s">
        <v>4085</v>
      </c>
      <c r="D268" s="11" t="n">
        <v>11790</v>
      </c>
      <c r="E268" s="31" t="n">
        <v>46</v>
      </c>
      <c r="F268" s="31" t="n">
        <v>75.3</v>
      </c>
      <c r="G268" s="31" t="n">
        <v>73.7</v>
      </c>
      <c r="H268" s="2" t="s">
        <v>671</v>
      </c>
    </row>
    <row r="269" customFormat="false" ht="15" hidden="false" customHeight="false" outlineLevel="0" collapsed="false">
      <c r="A269" s="2" t="s">
        <v>2197</v>
      </c>
      <c r="B269" s="2" t="s">
        <v>46</v>
      </c>
      <c r="C269" s="2" t="s">
        <v>4086</v>
      </c>
      <c r="D269" s="11" t="n">
        <v>12010</v>
      </c>
      <c r="E269" s="31" t="n">
        <v>69</v>
      </c>
      <c r="F269" s="31" t="n">
        <v>57.8</v>
      </c>
      <c r="G269" s="31" t="n">
        <v>66.2</v>
      </c>
      <c r="H269" s="2" t="s">
        <v>671</v>
      </c>
    </row>
    <row r="270" customFormat="false" ht="15" hidden="false" customHeight="false" outlineLevel="0" collapsed="false">
      <c r="A270" s="2" t="s">
        <v>2197</v>
      </c>
      <c r="B270" s="2" t="s">
        <v>46</v>
      </c>
      <c r="C270" s="2" t="s">
        <v>4087</v>
      </c>
      <c r="D270" s="2"/>
      <c r="E270" s="2"/>
      <c r="F270" s="2"/>
      <c r="G270" s="2"/>
      <c r="H270" s="2" t="s">
        <v>668</v>
      </c>
    </row>
    <row r="271" customFormat="false" ht="15" hidden="false" customHeight="false" outlineLevel="0" collapsed="false">
      <c r="A271" s="2" t="s">
        <v>2197</v>
      </c>
      <c r="B271" s="2" t="s">
        <v>47</v>
      </c>
      <c r="C271" s="2" t="s">
        <v>4085</v>
      </c>
      <c r="D271" s="11" t="n">
        <v>4215</v>
      </c>
      <c r="E271" s="31" t="n">
        <v>68</v>
      </c>
      <c r="F271" s="31" t="n">
        <v>15.6</v>
      </c>
      <c r="G271" s="31" t="n">
        <v>67.5</v>
      </c>
      <c r="H271" s="2" t="s">
        <v>671</v>
      </c>
    </row>
    <row r="272" customFormat="false" ht="15" hidden="false" customHeight="false" outlineLevel="0" collapsed="false">
      <c r="A272" s="2" t="s">
        <v>2197</v>
      </c>
      <c r="B272" s="2" t="s">
        <v>47</v>
      </c>
      <c r="C272" s="2" t="s">
        <v>4086</v>
      </c>
      <c r="D272" s="11" t="n">
        <v>7447</v>
      </c>
      <c r="E272" s="31" t="n">
        <v>55.7</v>
      </c>
      <c r="F272" s="31" t="n">
        <v>26.2</v>
      </c>
      <c r="G272" s="31" t="n">
        <v>61.1</v>
      </c>
      <c r="H272" s="2" t="s">
        <v>671</v>
      </c>
    </row>
    <row r="273" customFormat="false" ht="15" hidden="false" customHeight="false" outlineLevel="0" collapsed="false">
      <c r="A273" s="2" t="s">
        <v>2197</v>
      </c>
      <c r="B273" s="2" t="s">
        <v>47</v>
      </c>
      <c r="C273" s="2" t="s">
        <v>4087</v>
      </c>
      <c r="D273" s="11" t="n">
        <v>4376</v>
      </c>
      <c r="E273" s="31" t="n">
        <v>65.8</v>
      </c>
      <c r="F273" s="31" t="n">
        <v>40</v>
      </c>
      <c r="G273" s="31" t="n">
        <v>65.1</v>
      </c>
      <c r="H273" s="2" t="s">
        <v>671</v>
      </c>
    </row>
    <row r="274" customFormat="false" ht="15" hidden="false" customHeight="false" outlineLevel="0" collapsed="false">
      <c r="A274" s="2" t="s">
        <v>2434</v>
      </c>
      <c r="B274" s="2" t="s">
        <v>4104</v>
      </c>
      <c r="C274" s="2" t="s">
        <v>4085</v>
      </c>
      <c r="D274" s="2"/>
      <c r="E274" s="31" t="n">
        <v>60.6</v>
      </c>
      <c r="F274" s="31" t="n">
        <v>38</v>
      </c>
      <c r="G274" s="31" t="n">
        <v>32.6</v>
      </c>
      <c r="H274" s="2" t="s">
        <v>671</v>
      </c>
    </row>
    <row r="275" customFormat="false" ht="15" hidden="false" customHeight="false" outlineLevel="0" collapsed="false">
      <c r="A275" s="2" t="s">
        <v>2434</v>
      </c>
      <c r="B275" s="2" t="s">
        <v>4104</v>
      </c>
      <c r="C275" s="2" t="s">
        <v>4086</v>
      </c>
      <c r="D275" s="2"/>
      <c r="E275" s="2"/>
      <c r="F275" s="31" t="n">
        <v>62.9</v>
      </c>
      <c r="G275" s="31" t="n">
        <v>77.6</v>
      </c>
      <c r="H275" s="2" t="s">
        <v>668</v>
      </c>
    </row>
    <row r="276" customFormat="false" ht="15" hidden="false" customHeight="false" outlineLevel="0" collapsed="false">
      <c r="A276" s="2" t="s">
        <v>2434</v>
      </c>
      <c r="B276" s="2" t="s">
        <v>4104</v>
      </c>
      <c r="C276" s="2" t="s">
        <v>4087</v>
      </c>
      <c r="D276" s="2"/>
      <c r="E276" s="31" t="n">
        <v>34.2</v>
      </c>
      <c r="F276" s="31" t="n">
        <v>0.6</v>
      </c>
      <c r="G276" s="31" t="n">
        <v>44.4</v>
      </c>
      <c r="H276" s="2" t="s">
        <v>668</v>
      </c>
    </row>
    <row r="277" customFormat="false" ht="15" hidden="false" customHeight="false" outlineLevel="0" collapsed="false">
      <c r="A277" s="2" t="s">
        <v>2434</v>
      </c>
      <c r="B277" s="2" t="s">
        <v>45</v>
      </c>
      <c r="C277" s="2" t="s">
        <v>4085</v>
      </c>
      <c r="D277" s="11" t="n">
        <v>285040</v>
      </c>
      <c r="E277" s="31" t="n">
        <v>90.9</v>
      </c>
      <c r="F277" s="31" t="n">
        <v>70.5</v>
      </c>
      <c r="G277" s="31" t="n">
        <v>35.6</v>
      </c>
      <c r="H277" s="2" t="s">
        <v>671</v>
      </c>
    </row>
    <row r="278" customFormat="false" ht="15" hidden="false" customHeight="false" outlineLevel="0" collapsed="false">
      <c r="A278" s="2" t="s">
        <v>2434</v>
      </c>
      <c r="B278" s="2" t="s">
        <v>45</v>
      </c>
      <c r="C278" s="2" t="s">
        <v>4086</v>
      </c>
      <c r="D278" s="11" t="n">
        <v>296963</v>
      </c>
      <c r="E278" s="2"/>
      <c r="F278" s="31" t="n">
        <v>62.9</v>
      </c>
      <c r="G278" s="31" t="n">
        <v>77.6</v>
      </c>
      <c r="H278" s="2" t="s">
        <v>668</v>
      </c>
    </row>
    <row r="279" customFormat="false" ht="15" hidden="false" customHeight="false" outlineLevel="0" collapsed="false">
      <c r="A279" s="2" t="s">
        <v>2434</v>
      </c>
      <c r="B279" s="2" t="s">
        <v>45</v>
      </c>
      <c r="C279" s="2" t="s">
        <v>4087</v>
      </c>
      <c r="D279" s="2"/>
      <c r="E279" s="2"/>
      <c r="F279" s="2"/>
      <c r="G279" s="2"/>
      <c r="H279" s="2" t="s">
        <v>668</v>
      </c>
    </row>
    <row r="280" customFormat="false" ht="15" hidden="false" customHeight="false" outlineLevel="0" collapsed="false">
      <c r="A280" s="2" t="s">
        <v>2434</v>
      </c>
      <c r="B280" s="2" t="s">
        <v>47</v>
      </c>
      <c r="C280" s="2" t="s">
        <v>4085</v>
      </c>
      <c r="D280" s="11" t="n">
        <v>552046</v>
      </c>
      <c r="E280" s="31" t="n">
        <v>30.3</v>
      </c>
      <c r="F280" s="31" t="n">
        <v>5.6</v>
      </c>
      <c r="G280" s="31" t="n">
        <v>29.5</v>
      </c>
      <c r="H280" s="2" t="s">
        <v>671</v>
      </c>
    </row>
    <row r="281" customFormat="false" ht="15" hidden="false" customHeight="false" outlineLevel="0" collapsed="false">
      <c r="A281" s="2" t="s">
        <v>2434</v>
      </c>
      <c r="B281" s="2" t="s">
        <v>47</v>
      </c>
      <c r="C281" s="2" t="s">
        <v>4086</v>
      </c>
      <c r="D281" s="2"/>
      <c r="E281" s="2"/>
      <c r="F281" s="2"/>
      <c r="G281" s="2"/>
      <c r="H281" s="2" t="s">
        <v>668</v>
      </c>
    </row>
    <row r="282" customFormat="false" ht="15" hidden="false" customHeight="false" outlineLevel="0" collapsed="false">
      <c r="A282" s="2" t="s">
        <v>2434</v>
      </c>
      <c r="B282" s="2" t="s">
        <v>47</v>
      </c>
      <c r="C282" s="2" t="s">
        <v>4087</v>
      </c>
      <c r="D282" s="11" t="n">
        <v>540355</v>
      </c>
      <c r="E282" s="31" t="n">
        <v>34.2</v>
      </c>
      <c r="F282" s="31" t="n">
        <v>0.6</v>
      </c>
      <c r="G282" s="31" t="n">
        <v>44.4</v>
      </c>
      <c r="H282" s="2" t="s">
        <v>671</v>
      </c>
    </row>
    <row r="283" customFormat="false" ht="15" hidden="false" customHeight="false" outlineLevel="0" collapsed="false">
      <c r="A283" s="2" t="s">
        <v>1761</v>
      </c>
      <c r="B283" s="2" t="s">
        <v>4104</v>
      </c>
      <c r="C283" s="2" t="s">
        <v>4085</v>
      </c>
      <c r="D283" s="2"/>
      <c r="E283" s="31" t="n">
        <v>20</v>
      </c>
      <c r="F283" s="31" t="n">
        <v>35.6</v>
      </c>
      <c r="G283" s="31" t="n">
        <v>90.6</v>
      </c>
      <c r="H283" s="2" t="s">
        <v>668</v>
      </c>
    </row>
    <row r="284" customFormat="false" ht="15" hidden="false" customHeight="false" outlineLevel="0" collapsed="false">
      <c r="A284" s="2" t="s">
        <v>1761</v>
      </c>
      <c r="B284" s="2" t="s">
        <v>4104</v>
      </c>
      <c r="C284" s="2" t="s">
        <v>4086</v>
      </c>
      <c r="D284" s="2"/>
      <c r="E284" s="31" t="n">
        <v>27.1</v>
      </c>
      <c r="F284" s="31" t="n">
        <v>48.7</v>
      </c>
      <c r="G284" s="31" t="n">
        <v>70.7</v>
      </c>
      <c r="H284" s="2" t="s">
        <v>671</v>
      </c>
    </row>
    <row r="285" customFormat="false" ht="15" hidden="false" customHeight="false" outlineLevel="0" collapsed="false">
      <c r="A285" s="2" t="s">
        <v>1761</v>
      </c>
      <c r="B285" s="2" t="s">
        <v>4104</v>
      </c>
      <c r="C285" s="2" t="s">
        <v>4087</v>
      </c>
      <c r="D285" s="2"/>
      <c r="E285" s="31" t="n">
        <v>29.7</v>
      </c>
      <c r="F285" s="31" t="n">
        <v>42.7</v>
      </c>
      <c r="G285" s="31" t="n">
        <v>94.9</v>
      </c>
      <c r="H285" s="2" t="s">
        <v>668</v>
      </c>
    </row>
    <row r="286" customFormat="false" ht="15" hidden="false" customHeight="false" outlineLevel="0" collapsed="false">
      <c r="A286" s="2" t="s">
        <v>1761</v>
      </c>
      <c r="B286" s="2" t="s">
        <v>45</v>
      </c>
      <c r="C286" s="2" t="s">
        <v>4085</v>
      </c>
      <c r="D286" s="11" t="n">
        <v>684428</v>
      </c>
      <c r="E286" s="31" t="n">
        <v>8.8</v>
      </c>
      <c r="F286" s="31" t="n">
        <v>51.4</v>
      </c>
      <c r="G286" s="31" t="n">
        <v>82</v>
      </c>
      <c r="H286" s="2" t="s">
        <v>671</v>
      </c>
    </row>
    <row r="287" customFormat="false" ht="15" hidden="false" customHeight="false" outlineLevel="0" collapsed="false">
      <c r="A287" s="2" t="s">
        <v>1761</v>
      </c>
      <c r="B287" s="2" t="s">
        <v>45</v>
      </c>
      <c r="C287" s="2" t="s">
        <v>4086</v>
      </c>
      <c r="D287" s="11" t="n">
        <v>694040</v>
      </c>
      <c r="E287" s="31" t="n">
        <v>13</v>
      </c>
      <c r="F287" s="31" t="n">
        <v>59.3</v>
      </c>
      <c r="G287" s="31" t="n">
        <v>34.5</v>
      </c>
      <c r="H287" s="2" t="s">
        <v>671</v>
      </c>
    </row>
    <row r="288" customFormat="false" ht="15" hidden="false" customHeight="false" outlineLevel="0" collapsed="false">
      <c r="A288" s="2" t="s">
        <v>1761</v>
      </c>
      <c r="B288" s="2" t="s">
        <v>45</v>
      </c>
      <c r="C288" s="2" t="s">
        <v>4087</v>
      </c>
      <c r="D288" s="11" t="n">
        <v>712616</v>
      </c>
      <c r="E288" s="31" t="n">
        <v>8.8</v>
      </c>
      <c r="F288" s="31" t="n">
        <v>31.2</v>
      </c>
      <c r="G288" s="2"/>
      <c r="H288" s="2" t="s">
        <v>668</v>
      </c>
    </row>
    <row r="289" customFormat="false" ht="15" hidden="false" customHeight="false" outlineLevel="0" collapsed="false">
      <c r="A289" s="2" t="s">
        <v>1761</v>
      </c>
      <c r="B289" s="2" t="s">
        <v>46</v>
      </c>
      <c r="C289" s="2" t="s">
        <v>4085</v>
      </c>
      <c r="D289" s="11" t="n">
        <v>27632</v>
      </c>
      <c r="E289" s="31" t="n">
        <v>31.1</v>
      </c>
      <c r="F289" s="31" t="n">
        <v>19.9</v>
      </c>
      <c r="G289" s="31" t="n">
        <v>99.3</v>
      </c>
      <c r="H289" s="2" t="s">
        <v>671</v>
      </c>
    </row>
    <row r="290" customFormat="false" ht="15" hidden="false" customHeight="false" outlineLevel="0" collapsed="false">
      <c r="A290" s="2" t="s">
        <v>1761</v>
      </c>
      <c r="B290" s="2" t="s">
        <v>46</v>
      </c>
      <c r="C290" s="2" t="s">
        <v>4086</v>
      </c>
      <c r="D290" s="11" t="n">
        <v>28401</v>
      </c>
      <c r="E290" s="31" t="n">
        <v>15.7</v>
      </c>
      <c r="F290" s="31" t="n">
        <v>38.2</v>
      </c>
      <c r="G290" s="31" t="n">
        <v>81.7</v>
      </c>
      <c r="H290" s="2" t="s">
        <v>671</v>
      </c>
    </row>
    <row r="291" customFormat="false" ht="15" hidden="false" customHeight="false" outlineLevel="0" collapsed="false">
      <c r="A291" s="2" t="s">
        <v>1761</v>
      </c>
      <c r="B291" s="2" t="s">
        <v>46</v>
      </c>
      <c r="C291" s="2" t="s">
        <v>4087</v>
      </c>
      <c r="D291" s="11" t="n">
        <v>29870</v>
      </c>
      <c r="E291" s="31" t="n">
        <v>35.3</v>
      </c>
      <c r="F291" s="31" t="n">
        <v>37.8</v>
      </c>
      <c r="G291" s="31" t="n">
        <v>93</v>
      </c>
      <c r="H291" s="2" t="s">
        <v>671</v>
      </c>
    </row>
    <row r="292" customFormat="false" ht="15" hidden="false" customHeight="false" outlineLevel="0" collapsed="false">
      <c r="A292" s="2" t="s">
        <v>1761</v>
      </c>
      <c r="B292" s="2" t="s">
        <v>47</v>
      </c>
      <c r="C292" s="2" t="s">
        <v>4085</v>
      </c>
      <c r="D292" s="2"/>
      <c r="E292" s="2"/>
      <c r="F292" s="2"/>
      <c r="G292" s="2"/>
      <c r="H292" s="2" t="s">
        <v>668</v>
      </c>
    </row>
    <row r="293" customFormat="false" ht="15" hidden="false" customHeight="false" outlineLevel="0" collapsed="false">
      <c r="A293" s="2" t="s">
        <v>1761</v>
      </c>
      <c r="B293" s="2" t="s">
        <v>47</v>
      </c>
      <c r="C293" s="2" t="s">
        <v>4086</v>
      </c>
      <c r="D293" s="11" t="n">
        <v>42090</v>
      </c>
      <c r="E293" s="31" t="n">
        <v>52.6</v>
      </c>
      <c r="F293" s="31" t="n">
        <v>48.7</v>
      </c>
      <c r="G293" s="31" t="n">
        <v>95.9</v>
      </c>
      <c r="H293" s="2" t="s">
        <v>671</v>
      </c>
    </row>
    <row r="294" customFormat="false" ht="15" hidden="false" customHeight="false" outlineLevel="0" collapsed="false">
      <c r="A294" s="2" t="s">
        <v>1761</v>
      </c>
      <c r="B294" s="2" t="s">
        <v>47</v>
      </c>
      <c r="C294" s="2" t="s">
        <v>4087</v>
      </c>
      <c r="D294" s="11" t="n">
        <v>44049</v>
      </c>
      <c r="E294" s="31" t="n">
        <v>44.9</v>
      </c>
      <c r="F294" s="31" t="n">
        <v>59.2</v>
      </c>
      <c r="G294" s="31" t="n">
        <v>96.8</v>
      </c>
      <c r="H294" s="2" t="s">
        <v>671</v>
      </c>
    </row>
    <row r="295" customFormat="false" ht="15" hidden="false" customHeight="false" outlineLevel="0" collapsed="false">
      <c r="A295" s="2" t="s">
        <v>214</v>
      </c>
      <c r="B295" s="2" t="s">
        <v>4104</v>
      </c>
      <c r="C295" s="2" t="s">
        <v>4085</v>
      </c>
      <c r="D295" s="2"/>
      <c r="E295" s="31" t="n">
        <v>72.6</v>
      </c>
      <c r="F295" s="31" t="n">
        <v>60.5</v>
      </c>
      <c r="G295" s="31" t="n">
        <v>67.4</v>
      </c>
      <c r="H295" s="2" t="s">
        <v>668</v>
      </c>
    </row>
    <row r="296" customFormat="false" ht="15" hidden="false" customHeight="false" outlineLevel="0" collapsed="false">
      <c r="A296" s="2" t="s">
        <v>214</v>
      </c>
      <c r="B296" s="2" t="s">
        <v>4104</v>
      </c>
      <c r="C296" s="2" t="s">
        <v>4086</v>
      </c>
      <c r="D296" s="2"/>
      <c r="E296" s="31" t="n">
        <v>15.9</v>
      </c>
      <c r="F296" s="31" t="n">
        <v>86.3</v>
      </c>
      <c r="G296" s="2"/>
      <c r="H296" s="2" t="s">
        <v>668</v>
      </c>
    </row>
    <row r="297" customFormat="false" ht="15" hidden="false" customHeight="false" outlineLevel="0" collapsed="false">
      <c r="A297" s="2" t="s">
        <v>214</v>
      </c>
      <c r="B297" s="2" t="s">
        <v>4104</v>
      </c>
      <c r="C297" s="2" t="s">
        <v>4087</v>
      </c>
      <c r="D297" s="2"/>
      <c r="E297" s="31" t="n">
        <v>69</v>
      </c>
      <c r="F297" s="31" t="n">
        <v>59.4</v>
      </c>
      <c r="G297" s="31" t="n">
        <v>81.3</v>
      </c>
      <c r="H297" s="2" t="s">
        <v>671</v>
      </c>
    </row>
    <row r="298" customFormat="false" ht="15" hidden="false" customHeight="false" outlineLevel="0" collapsed="false">
      <c r="A298" s="2" t="s">
        <v>214</v>
      </c>
      <c r="B298" s="2" t="s">
        <v>45</v>
      </c>
      <c r="C298" s="2" t="s">
        <v>4085</v>
      </c>
      <c r="D298" s="11" t="n">
        <v>16719</v>
      </c>
      <c r="E298" s="31" t="n">
        <v>49.5</v>
      </c>
      <c r="F298" s="2"/>
      <c r="G298" s="2"/>
      <c r="H298" s="2" t="s">
        <v>668</v>
      </c>
    </row>
    <row r="299" customFormat="false" ht="15" hidden="false" customHeight="false" outlineLevel="0" collapsed="false">
      <c r="A299" s="2" t="s">
        <v>214</v>
      </c>
      <c r="B299" s="2" t="s">
        <v>45</v>
      </c>
      <c r="C299" s="2" t="s">
        <v>4086</v>
      </c>
      <c r="D299" s="11" t="n">
        <v>17919</v>
      </c>
      <c r="E299" s="31" t="n">
        <v>15.9</v>
      </c>
      <c r="F299" s="31" t="n">
        <v>86.3</v>
      </c>
      <c r="G299" s="2"/>
      <c r="H299" s="2" t="s">
        <v>668</v>
      </c>
    </row>
    <row r="300" customFormat="false" ht="15" hidden="false" customHeight="false" outlineLevel="0" collapsed="false">
      <c r="A300" s="2" t="s">
        <v>214</v>
      </c>
      <c r="B300" s="2" t="s">
        <v>45</v>
      </c>
      <c r="C300" s="2" t="s">
        <v>4087</v>
      </c>
      <c r="D300" s="11" t="n">
        <v>19801</v>
      </c>
      <c r="E300" s="31" t="n">
        <v>45.3</v>
      </c>
      <c r="F300" s="31" t="n">
        <v>57.9</v>
      </c>
      <c r="G300" s="31" t="n">
        <v>82.6</v>
      </c>
      <c r="H300" s="2" t="s">
        <v>671</v>
      </c>
    </row>
    <row r="301" customFormat="false" ht="15" hidden="false" customHeight="false" outlineLevel="0" collapsed="false">
      <c r="A301" s="2" t="s">
        <v>214</v>
      </c>
      <c r="B301" s="2" t="s">
        <v>47</v>
      </c>
      <c r="C301" s="2" t="s">
        <v>4085</v>
      </c>
      <c r="D301" s="11" t="n">
        <v>302200</v>
      </c>
      <c r="E301" s="31" t="n">
        <v>95.8</v>
      </c>
      <c r="F301" s="31" t="n">
        <v>60.5</v>
      </c>
      <c r="G301" s="31" t="n">
        <v>67.4</v>
      </c>
      <c r="H301" s="2" t="s">
        <v>671</v>
      </c>
    </row>
    <row r="302" customFormat="false" ht="15" hidden="false" customHeight="false" outlineLevel="0" collapsed="false">
      <c r="A302" s="2" t="s">
        <v>214</v>
      </c>
      <c r="B302" s="2" t="s">
        <v>47</v>
      </c>
      <c r="C302" s="2" t="s">
        <v>4086</v>
      </c>
      <c r="D302" s="2"/>
      <c r="E302" s="2"/>
      <c r="F302" s="2"/>
      <c r="G302" s="2"/>
      <c r="H302" s="2" t="s">
        <v>668</v>
      </c>
    </row>
    <row r="303" customFormat="false" ht="15" hidden="false" customHeight="false" outlineLevel="0" collapsed="false">
      <c r="A303" s="2" t="s">
        <v>214</v>
      </c>
      <c r="B303" s="2" t="s">
        <v>47</v>
      </c>
      <c r="C303" s="2" t="s">
        <v>4087</v>
      </c>
      <c r="D303" s="11" t="n">
        <v>339600</v>
      </c>
      <c r="E303" s="31" t="n">
        <v>92.8</v>
      </c>
      <c r="F303" s="31" t="n">
        <v>60.8</v>
      </c>
      <c r="G303" s="31" t="n">
        <v>80</v>
      </c>
      <c r="H303" s="2" t="s">
        <v>671</v>
      </c>
    </row>
    <row r="304" customFormat="false" ht="15" hidden="false" customHeight="false" outlineLevel="0" collapsed="false">
      <c r="A304" s="2" t="s">
        <v>626</v>
      </c>
      <c r="B304" s="2" t="s">
        <v>4104</v>
      </c>
      <c r="C304" s="2" t="s">
        <v>4085</v>
      </c>
      <c r="D304" s="2"/>
      <c r="E304" s="31" t="n">
        <v>23.9</v>
      </c>
      <c r="F304" s="31" t="n">
        <v>10.5</v>
      </c>
      <c r="G304" s="31" t="n">
        <v>94.2</v>
      </c>
      <c r="H304" s="2" t="s">
        <v>671</v>
      </c>
    </row>
    <row r="305" customFormat="false" ht="15" hidden="false" customHeight="false" outlineLevel="0" collapsed="false">
      <c r="A305" s="2" t="s">
        <v>626</v>
      </c>
      <c r="B305" s="2" t="s">
        <v>4104</v>
      </c>
      <c r="C305" s="2" t="s">
        <v>4087</v>
      </c>
      <c r="D305" s="2"/>
      <c r="E305" s="31" t="n">
        <v>12</v>
      </c>
      <c r="F305" s="31" t="n">
        <v>24.1</v>
      </c>
      <c r="G305" s="31" t="n">
        <v>78.1</v>
      </c>
      <c r="H305" s="2" t="s">
        <v>671</v>
      </c>
    </row>
    <row r="306" customFormat="false" ht="15" hidden="false" customHeight="false" outlineLevel="0" collapsed="false">
      <c r="A306" s="2" t="s">
        <v>626</v>
      </c>
      <c r="B306" s="2" t="s">
        <v>47</v>
      </c>
      <c r="C306" s="2" t="s">
        <v>4085</v>
      </c>
      <c r="D306" s="11" t="n">
        <v>979501</v>
      </c>
      <c r="E306" s="31" t="n">
        <v>23.9</v>
      </c>
      <c r="F306" s="31" t="n">
        <v>10.5</v>
      </c>
      <c r="G306" s="31" t="n">
        <v>94.2</v>
      </c>
      <c r="H306" s="2" t="s">
        <v>671</v>
      </c>
    </row>
    <row r="307" customFormat="false" ht="15" hidden="false" customHeight="false" outlineLevel="0" collapsed="false">
      <c r="A307" s="2" t="s">
        <v>626</v>
      </c>
      <c r="B307" s="2" t="s">
        <v>47</v>
      </c>
      <c r="C307" s="2" t="s">
        <v>4087</v>
      </c>
      <c r="D307" s="11" t="n">
        <v>960330</v>
      </c>
      <c r="E307" s="31" t="n">
        <v>12</v>
      </c>
      <c r="F307" s="31" t="n">
        <v>24.1</v>
      </c>
      <c r="G307" s="31" t="n">
        <v>78.1</v>
      </c>
      <c r="H307" s="2" t="s">
        <v>671</v>
      </c>
    </row>
    <row r="308" customFormat="false" ht="15" hidden="false" customHeight="false" outlineLevel="0" collapsed="false">
      <c r="A308" s="2" t="s">
        <v>564</v>
      </c>
      <c r="B308" s="2" t="s">
        <v>4104</v>
      </c>
      <c r="C308" s="2" t="s">
        <v>4085</v>
      </c>
      <c r="D308" s="2"/>
      <c r="E308" s="31" t="n">
        <v>47.4</v>
      </c>
      <c r="F308" s="31" t="n">
        <v>63.2</v>
      </c>
      <c r="G308" s="31" t="n">
        <v>80.1</v>
      </c>
      <c r="H308" s="2" t="s">
        <v>671</v>
      </c>
    </row>
    <row r="309" customFormat="false" ht="15" hidden="false" customHeight="false" outlineLevel="0" collapsed="false">
      <c r="A309" s="2" t="s">
        <v>564</v>
      </c>
      <c r="B309" s="2" t="s">
        <v>4104</v>
      </c>
      <c r="C309" s="2" t="s">
        <v>4086</v>
      </c>
      <c r="D309" s="2"/>
      <c r="E309" s="31" t="n">
        <v>38.1</v>
      </c>
      <c r="F309" s="31" t="n">
        <v>58.5</v>
      </c>
      <c r="G309" s="31" t="n">
        <v>55</v>
      </c>
      <c r="H309" s="2" t="s">
        <v>671</v>
      </c>
    </row>
    <row r="310" customFormat="false" ht="15" hidden="false" customHeight="false" outlineLevel="0" collapsed="false">
      <c r="A310" s="2" t="s">
        <v>564</v>
      </c>
      <c r="B310" s="2" t="s">
        <v>4104</v>
      </c>
      <c r="C310" s="2" t="s">
        <v>4087</v>
      </c>
      <c r="D310" s="2"/>
      <c r="E310" s="31" t="n">
        <v>26.6</v>
      </c>
      <c r="F310" s="31" t="n">
        <v>79.2</v>
      </c>
      <c r="G310" s="31" t="n">
        <v>92</v>
      </c>
      <c r="H310" s="2" t="s">
        <v>671</v>
      </c>
    </row>
    <row r="311" customFormat="false" ht="15" hidden="false" customHeight="false" outlineLevel="0" collapsed="false">
      <c r="A311" s="2" t="s">
        <v>564</v>
      </c>
      <c r="B311" s="2" t="s">
        <v>46</v>
      </c>
      <c r="C311" s="2" t="s">
        <v>4085</v>
      </c>
      <c r="D311" s="11" t="n">
        <v>8570</v>
      </c>
      <c r="E311" s="31" t="n">
        <v>47.4</v>
      </c>
      <c r="F311" s="31" t="n">
        <v>63.2</v>
      </c>
      <c r="G311" s="31" t="n">
        <v>80.1</v>
      </c>
      <c r="H311" s="2" t="s">
        <v>671</v>
      </c>
    </row>
    <row r="312" customFormat="false" ht="15" hidden="false" customHeight="false" outlineLevel="0" collapsed="false">
      <c r="A312" s="2" t="s">
        <v>564</v>
      </c>
      <c r="B312" s="2" t="s">
        <v>46</v>
      </c>
      <c r="C312" s="2" t="s">
        <v>4086</v>
      </c>
      <c r="D312" s="11" t="n">
        <v>9120</v>
      </c>
      <c r="E312" s="31" t="n">
        <v>38.1</v>
      </c>
      <c r="F312" s="31" t="n">
        <v>58.5</v>
      </c>
      <c r="G312" s="31" t="n">
        <v>55</v>
      </c>
      <c r="H312" s="2" t="s">
        <v>671</v>
      </c>
    </row>
    <row r="313" customFormat="false" ht="15" hidden="false" customHeight="false" outlineLevel="0" collapsed="false">
      <c r="A313" s="2" t="s">
        <v>564</v>
      </c>
      <c r="B313" s="2" t="s">
        <v>46</v>
      </c>
      <c r="C313" s="2" t="s">
        <v>4087</v>
      </c>
      <c r="D313" s="11" t="n">
        <v>9470</v>
      </c>
      <c r="E313" s="31" t="n">
        <v>26.6</v>
      </c>
      <c r="F313" s="31" t="n">
        <v>79.2</v>
      </c>
      <c r="G313" s="31" t="n">
        <v>92</v>
      </c>
      <c r="H313" s="2" t="s">
        <v>671</v>
      </c>
    </row>
    <row r="314" customFormat="false" ht="15" hidden="false" customHeight="false" outlineLevel="0" collapsed="false">
      <c r="A314" s="2" t="s">
        <v>618</v>
      </c>
      <c r="B314" s="2" t="s">
        <v>4104</v>
      </c>
      <c r="C314" s="2" t="s">
        <v>4085</v>
      </c>
      <c r="D314" s="2"/>
      <c r="E314" s="31" t="n">
        <v>9.5</v>
      </c>
      <c r="F314" s="2"/>
      <c r="G314" s="31" t="n">
        <v>4.6</v>
      </c>
      <c r="H314" s="2" t="s">
        <v>668</v>
      </c>
    </row>
    <row r="315" customFormat="false" ht="15" hidden="false" customHeight="false" outlineLevel="0" collapsed="false">
      <c r="A315" s="2" t="s">
        <v>618</v>
      </c>
      <c r="B315" s="2" t="s">
        <v>4104</v>
      </c>
      <c r="C315" s="2" t="s">
        <v>4086</v>
      </c>
      <c r="D315" s="2"/>
      <c r="E315" s="31" t="n">
        <v>25.2</v>
      </c>
      <c r="F315" s="31" t="n">
        <v>45.6</v>
      </c>
      <c r="G315" s="31" t="n">
        <v>25</v>
      </c>
      <c r="H315" s="2" t="s">
        <v>671</v>
      </c>
    </row>
    <row r="316" customFormat="false" ht="15" hidden="false" customHeight="false" outlineLevel="0" collapsed="false">
      <c r="A316" s="2" t="s">
        <v>618</v>
      </c>
      <c r="B316" s="2" t="s">
        <v>4104</v>
      </c>
      <c r="C316" s="2" t="s">
        <v>4087</v>
      </c>
      <c r="D316" s="2"/>
      <c r="E316" s="31" t="n">
        <v>15.9</v>
      </c>
      <c r="F316" s="31" t="n">
        <v>48.2</v>
      </c>
      <c r="G316" s="31" t="n">
        <v>23</v>
      </c>
      <c r="H316" s="2" t="s">
        <v>671</v>
      </c>
    </row>
    <row r="317" customFormat="false" ht="15" hidden="false" customHeight="false" outlineLevel="0" collapsed="false">
      <c r="A317" s="2" t="s">
        <v>618</v>
      </c>
      <c r="B317" s="2" t="s">
        <v>45</v>
      </c>
      <c r="C317" s="2" t="s">
        <v>4085</v>
      </c>
      <c r="D317" s="11" t="n">
        <v>12980</v>
      </c>
      <c r="E317" s="31" t="n">
        <v>9.5</v>
      </c>
      <c r="F317" s="2"/>
      <c r="G317" s="31" t="n">
        <v>0.9</v>
      </c>
      <c r="H317" s="2" t="s">
        <v>668</v>
      </c>
    </row>
    <row r="318" customFormat="false" ht="15" hidden="false" customHeight="false" outlineLevel="0" collapsed="false">
      <c r="A318" s="2" t="s">
        <v>618</v>
      </c>
      <c r="B318" s="2" t="s">
        <v>45</v>
      </c>
      <c r="C318" s="2" t="s">
        <v>4086</v>
      </c>
      <c r="D318" s="11" t="n">
        <v>12800</v>
      </c>
      <c r="E318" s="31" t="n">
        <v>9.3</v>
      </c>
      <c r="F318" s="31" t="n">
        <v>2.7</v>
      </c>
      <c r="G318" s="31" t="n">
        <v>1.3</v>
      </c>
      <c r="H318" s="2" t="s">
        <v>671</v>
      </c>
    </row>
    <row r="319" customFormat="false" ht="15" hidden="false" customHeight="false" outlineLevel="0" collapsed="false">
      <c r="A319" s="2" t="s">
        <v>618</v>
      </c>
      <c r="B319" s="2" t="s">
        <v>45</v>
      </c>
      <c r="C319" s="2" t="s">
        <v>4087</v>
      </c>
      <c r="D319" s="11" t="n">
        <v>12717</v>
      </c>
      <c r="E319" s="31" t="n">
        <v>12.6</v>
      </c>
      <c r="F319" s="31" t="n">
        <v>5.2</v>
      </c>
      <c r="G319" s="31" t="n">
        <v>1</v>
      </c>
      <c r="H319" s="2" t="s">
        <v>671</v>
      </c>
    </row>
    <row r="320" customFormat="false" ht="15" hidden="false" customHeight="false" outlineLevel="0" collapsed="false">
      <c r="A320" s="2" t="s">
        <v>618</v>
      </c>
      <c r="B320" s="2" t="s">
        <v>47</v>
      </c>
      <c r="C320" s="2" t="s">
        <v>4085</v>
      </c>
      <c r="D320" s="2"/>
      <c r="E320" s="2"/>
      <c r="F320" s="2"/>
      <c r="G320" s="31" t="n">
        <v>8.3</v>
      </c>
      <c r="H320" s="2" t="s">
        <v>668</v>
      </c>
    </row>
    <row r="321" customFormat="false" ht="15" hidden="false" customHeight="false" outlineLevel="0" collapsed="false">
      <c r="A321" s="2" t="s">
        <v>618</v>
      </c>
      <c r="B321" s="2" t="s">
        <v>47</v>
      </c>
      <c r="C321" s="2" t="s">
        <v>4086</v>
      </c>
      <c r="D321" s="11" t="n">
        <v>47823</v>
      </c>
      <c r="E321" s="31" t="n">
        <v>41.1</v>
      </c>
      <c r="F321" s="31" t="n">
        <v>88.6</v>
      </c>
      <c r="G321" s="31" t="n">
        <v>48.6</v>
      </c>
      <c r="H321" s="2" t="s">
        <v>671</v>
      </c>
    </row>
    <row r="322" customFormat="false" ht="15" hidden="false" customHeight="false" outlineLevel="0" collapsed="false">
      <c r="A322" s="2" t="s">
        <v>618</v>
      </c>
      <c r="B322" s="2" t="s">
        <v>47</v>
      </c>
      <c r="C322" s="2" t="s">
        <v>4087</v>
      </c>
      <c r="D322" s="11" t="n">
        <v>50048</v>
      </c>
      <c r="E322" s="31" t="n">
        <v>19.2</v>
      </c>
      <c r="F322" s="31" t="n">
        <v>91.1</v>
      </c>
      <c r="G322" s="31" t="n">
        <v>45</v>
      </c>
      <c r="H322" s="2" t="s">
        <v>671</v>
      </c>
    </row>
    <row r="323" customFormat="false" ht="15" hidden="false" customHeight="false" outlineLevel="0" collapsed="false">
      <c r="A323" s="2" t="s">
        <v>1904</v>
      </c>
      <c r="B323" s="2" t="s">
        <v>4104</v>
      </c>
      <c r="C323" s="2" t="s">
        <v>4085</v>
      </c>
      <c r="D323" s="2"/>
      <c r="E323" s="31" t="n">
        <v>14.2</v>
      </c>
      <c r="F323" s="31" t="n">
        <v>97.8</v>
      </c>
      <c r="G323" s="31" t="n">
        <v>44.4</v>
      </c>
      <c r="H323" s="2" t="s">
        <v>668</v>
      </c>
    </row>
    <row r="324" customFormat="false" ht="15" hidden="false" customHeight="false" outlineLevel="0" collapsed="false">
      <c r="A324" s="2" t="s">
        <v>1904</v>
      </c>
      <c r="B324" s="2" t="s">
        <v>4104</v>
      </c>
      <c r="C324" s="2" t="s">
        <v>4086</v>
      </c>
      <c r="D324" s="2"/>
      <c r="E324" s="31" t="n">
        <v>42.6</v>
      </c>
      <c r="F324" s="31" t="n">
        <v>82.2</v>
      </c>
      <c r="G324" s="31" t="n">
        <v>23.2</v>
      </c>
      <c r="H324" s="2" t="s">
        <v>671</v>
      </c>
    </row>
    <row r="325" customFormat="false" ht="15" hidden="false" customHeight="false" outlineLevel="0" collapsed="false">
      <c r="A325" s="2" t="s">
        <v>1904</v>
      </c>
      <c r="B325" s="2" t="s">
        <v>4104</v>
      </c>
      <c r="C325" s="2" t="s">
        <v>4087</v>
      </c>
      <c r="D325" s="2"/>
      <c r="E325" s="31" t="n">
        <v>37.5</v>
      </c>
      <c r="F325" s="31" t="n">
        <v>91.6</v>
      </c>
      <c r="G325" s="31" t="n">
        <v>48.2</v>
      </c>
      <c r="H325" s="2" t="s">
        <v>668</v>
      </c>
    </row>
    <row r="326" customFormat="false" ht="15" hidden="false" customHeight="false" outlineLevel="0" collapsed="false">
      <c r="A326" s="2" t="s">
        <v>1904</v>
      </c>
      <c r="B326" s="2" t="s">
        <v>45</v>
      </c>
      <c r="C326" s="2" t="s">
        <v>4085</v>
      </c>
      <c r="D326" s="11" t="n">
        <v>2450</v>
      </c>
      <c r="E326" s="31" t="n">
        <v>22</v>
      </c>
      <c r="F326" s="2"/>
      <c r="G326" s="31" t="n">
        <v>73.2</v>
      </c>
      <c r="H326" s="2" t="s">
        <v>668</v>
      </c>
    </row>
    <row r="327" customFormat="false" ht="15" hidden="false" customHeight="false" outlineLevel="0" collapsed="false">
      <c r="A327" s="2" t="s">
        <v>1904</v>
      </c>
      <c r="B327" s="2" t="s">
        <v>45</v>
      </c>
      <c r="C327" s="2" t="s">
        <v>4086</v>
      </c>
      <c r="D327" s="11" t="n">
        <v>2440</v>
      </c>
      <c r="E327" s="31" t="n">
        <v>49.7</v>
      </c>
      <c r="F327" s="31" t="n">
        <v>63.4</v>
      </c>
      <c r="G327" s="31" t="n">
        <v>58</v>
      </c>
      <c r="H327" s="2" t="s">
        <v>671</v>
      </c>
    </row>
    <row r="328" customFormat="false" ht="15" hidden="false" customHeight="false" outlineLevel="0" collapsed="false">
      <c r="A328" s="2" t="s">
        <v>1904</v>
      </c>
      <c r="B328" s="2" t="s">
        <v>45</v>
      </c>
      <c r="C328" s="2" t="s">
        <v>4087</v>
      </c>
      <c r="D328" s="11" t="n">
        <v>2470</v>
      </c>
      <c r="E328" s="31" t="n">
        <v>35</v>
      </c>
      <c r="F328" s="2"/>
      <c r="G328" s="31" t="n">
        <v>84.5</v>
      </c>
      <c r="H328" s="2" t="s">
        <v>668</v>
      </c>
    </row>
    <row r="329" customFormat="false" ht="15" hidden="false" customHeight="false" outlineLevel="0" collapsed="false">
      <c r="A329" s="2" t="s">
        <v>1904</v>
      </c>
      <c r="B329" s="2" t="s">
        <v>46</v>
      </c>
      <c r="C329" s="2" t="s">
        <v>4085</v>
      </c>
      <c r="D329" s="11" t="n">
        <v>34242</v>
      </c>
      <c r="E329" s="31" t="n">
        <v>6.3</v>
      </c>
      <c r="F329" s="31" t="n">
        <v>97.8</v>
      </c>
      <c r="G329" s="31" t="n">
        <v>15.5</v>
      </c>
      <c r="H329" s="2" t="s">
        <v>671</v>
      </c>
    </row>
    <row r="330" customFormat="false" ht="15" hidden="false" customHeight="false" outlineLevel="0" collapsed="false">
      <c r="A330" s="2" t="s">
        <v>1904</v>
      </c>
      <c r="B330" s="2" t="s">
        <v>46</v>
      </c>
      <c r="C330" s="2" t="s">
        <v>4086</v>
      </c>
      <c r="D330" s="11" t="n">
        <v>36680</v>
      </c>
      <c r="E330" s="31" t="n">
        <v>16.7</v>
      </c>
      <c r="F330" s="31" t="n">
        <v>91.6</v>
      </c>
      <c r="G330" s="31" t="n">
        <v>10.6</v>
      </c>
      <c r="H330" s="2" t="s">
        <v>671</v>
      </c>
    </row>
    <row r="331" customFormat="false" ht="15" hidden="false" customHeight="false" outlineLevel="0" collapsed="false">
      <c r="A331" s="2" t="s">
        <v>1904</v>
      </c>
      <c r="B331" s="2" t="s">
        <v>46</v>
      </c>
      <c r="C331" s="2" t="s">
        <v>4087</v>
      </c>
      <c r="D331" s="11" t="n">
        <v>39770</v>
      </c>
      <c r="E331" s="31" t="n">
        <v>11</v>
      </c>
      <c r="F331" s="31" t="n">
        <v>89.6</v>
      </c>
      <c r="G331" s="31" t="n">
        <v>58.3</v>
      </c>
      <c r="H331" s="2" t="s">
        <v>671</v>
      </c>
    </row>
    <row r="332" customFormat="false" ht="15" hidden="false" customHeight="false" outlineLevel="0" collapsed="false">
      <c r="A332" s="2" t="s">
        <v>1904</v>
      </c>
      <c r="B332" s="2" t="s">
        <v>47</v>
      </c>
      <c r="C332" s="2" t="s">
        <v>4085</v>
      </c>
      <c r="D332" s="2"/>
      <c r="E332" s="2"/>
      <c r="F332" s="2"/>
      <c r="G332" s="2"/>
      <c r="H332" s="2" t="s">
        <v>668</v>
      </c>
    </row>
    <row r="333" customFormat="false" ht="15" hidden="false" customHeight="false" outlineLevel="0" collapsed="false">
      <c r="A333" s="2" t="s">
        <v>1904</v>
      </c>
      <c r="B333" s="2" t="s">
        <v>47</v>
      </c>
      <c r="C333" s="2" t="s">
        <v>4086</v>
      </c>
      <c r="D333" s="11" t="n">
        <v>93291</v>
      </c>
      <c r="E333" s="31" t="n">
        <v>61.4</v>
      </c>
      <c r="F333" s="31" t="n">
        <v>91.6</v>
      </c>
      <c r="G333" s="31" t="n">
        <v>0.9</v>
      </c>
      <c r="H333" s="2" t="s">
        <v>671</v>
      </c>
    </row>
    <row r="334" customFormat="false" ht="15" hidden="false" customHeight="false" outlineLevel="0" collapsed="false">
      <c r="A334" s="2" t="s">
        <v>1904</v>
      </c>
      <c r="B334" s="2" t="s">
        <v>47</v>
      </c>
      <c r="C334" s="2" t="s">
        <v>4087</v>
      </c>
      <c r="D334" s="11" t="n">
        <v>94960</v>
      </c>
      <c r="E334" s="31" t="n">
        <v>66.5</v>
      </c>
      <c r="F334" s="31" t="n">
        <v>93.6</v>
      </c>
      <c r="G334" s="31" t="n">
        <v>1.9</v>
      </c>
      <c r="H334" s="2" t="s">
        <v>671</v>
      </c>
    </row>
    <row r="335" customFormat="false" ht="15" hidden="false" customHeight="false" outlineLevel="0" collapsed="false">
      <c r="A335" s="2" t="s">
        <v>1790</v>
      </c>
      <c r="B335" s="2" t="s">
        <v>4104</v>
      </c>
      <c r="C335" s="2" t="s">
        <v>4085</v>
      </c>
      <c r="D335" s="2"/>
      <c r="E335" s="31" t="n">
        <v>28.7</v>
      </c>
      <c r="F335" s="31" t="n">
        <v>55.8</v>
      </c>
      <c r="G335" s="31" t="n">
        <v>40.3</v>
      </c>
      <c r="H335" s="2" t="s">
        <v>671</v>
      </c>
    </row>
    <row r="336" customFormat="false" ht="15" hidden="false" customHeight="false" outlineLevel="0" collapsed="false">
      <c r="A336" s="2" t="s">
        <v>1790</v>
      </c>
      <c r="B336" s="2" t="s">
        <v>4104</v>
      </c>
      <c r="C336" s="2" t="s">
        <v>4086</v>
      </c>
      <c r="D336" s="2"/>
      <c r="E336" s="31" t="n">
        <v>27.9</v>
      </c>
      <c r="F336" s="31" t="n">
        <v>81.2</v>
      </c>
      <c r="G336" s="31" t="n">
        <v>42.9</v>
      </c>
      <c r="H336" s="2" t="s">
        <v>668</v>
      </c>
    </row>
    <row r="337" customFormat="false" ht="15" hidden="false" customHeight="false" outlineLevel="0" collapsed="false">
      <c r="A337" s="2" t="s">
        <v>1790</v>
      </c>
      <c r="B337" s="2" t="s">
        <v>4104</v>
      </c>
      <c r="C337" s="2" t="s">
        <v>4087</v>
      </c>
      <c r="D337" s="2"/>
      <c r="E337" s="31" t="n">
        <v>31.4</v>
      </c>
      <c r="F337" s="31" t="n">
        <v>60.3</v>
      </c>
      <c r="G337" s="31" t="n">
        <v>52.5</v>
      </c>
      <c r="H337" s="2" t="s">
        <v>668</v>
      </c>
    </row>
    <row r="338" customFormat="false" ht="15" hidden="false" customHeight="false" outlineLevel="0" collapsed="false">
      <c r="A338" s="2" t="s">
        <v>1790</v>
      </c>
      <c r="B338" s="2" t="s">
        <v>45</v>
      </c>
      <c r="C338" s="2" t="s">
        <v>4085</v>
      </c>
      <c r="D338" s="11" t="n">
        <v>10460</v>
      </c>
      <c r="E338" s="31" t="n">
        <v>26.6</v>
      </c>
      <c r="F338" s="31" t="n">
        <v>35</v>
      </c>
      <c r="G338" s="31" t="n">
        <v>44.4</v>
      </c>
      <c r="H338" s="2" t="s">
        <v>671</v>
      </c>
    </row>
    <row r="339" customFormat="false" ht="15" hidden="false" customHeight="false" outlineLevel="0" collapsed="false">
      <c r="A339" s="2" t="s">
        <v>1790</v>
      </c>
      <c r="B339" s="2" t="s">
        <v>45</v>
      </c>
      <c r="C339" s="2" t="s">
        <v>4086</v>
      </c>
      <c r="D339" s="11" t="n">
        <v>10600</v>
      </c>
      <c r="E339" s="31" t="n">
        <v>28.2</v>
      </c>
      <c r="F339" s="2"/>
      <c r="G339" s="31" t="n">
        <v>13.8</v>
      </c>
      <c r="H339" s="2" t="s">
        <v>668</v>
      </c>
    </row>
    <row r="340" customFormat="false" ht="15" hidden="false" customHeight="false" outlineLevel="0" collapsed="false">
      <c r="A340" s="2" t="s">
        <v>1790</v>
      </c>
      <c r="B340" s="2" t="s">
        <v>45</v>
      </c>
      <c r="C340" s="2" t="s">
        <v>4087</v>
      </c>
      <c r="D340" s="2"/>
      <c r="E340" s="2"/>
      <c r="F340" s="2"/>
      <c r="G340" s="2"/>
      <c r="H340" s="2" t="s">
        <v>668</v>
      </c>
    </row>
    <row r="341" customFormat="false" ht="15" hidden="false" customHeight="false" outlineLevel="0" collapsed="false">
      <c r="A341" s="2" t="s">
        <v>1790</v>
      </c>
      <c r="B341" s="2" t="s">
        <v>46</v>
      </c>
      <c r="C341" s="2" t="s">
        <v>4085</v>
      </c>
      <c r="D341" s="11" t="n">
        <v>81163</v>
      </c>
      <c r="E341" s="31" t="n">
        <v>22.3</v>
      </c>
      <c r="F341" s="31" t="n">
        <v>35.6</v>
      </c>
      <c r="G341" s="31" t="n">
        <v>28.1</v>
      </c>
      <c r="H341" s="2" t="s">
        <v>671</v>
      </c>
    </row>
    <row r="342" customFormat="false" ht="15" hidden="false" customHeight="false" outlineLevel="0" collapsed="false">
      <c r="A342" s="2" t="s">
        <v>1790</v>
      </c>
      <c r="B342" s="2" t="s">
        <v>46</v>
      </c>
      <c r="C342" s="2" t="s">
        <v>4086</v>
      </c>
      <c r="D342" s="11" t="n">
        <v>79553</v>
      </c>
      <c r="E342" s="31" t="n">
        <v>29.1</v>
      </c>
      <c r="F342" s="31" t="n">
        <v>65.5</v>
      </c>
      <c r="G342" s="31" t="n">
        <v>62.3</v>
      </c>
      <c r="H342" s="2" t="s">
        <v>671</v>
      </c>
    </row>
    <row r="343" customFormat="false" ht="15" hidden="false" customHeight="false" outlineLevel="0" collapsed="false">
      <c r="A343" s="2" t="s">
        <v>1790</v>
      </c>
      <c r="B343" s="2" t="s">
        <v>46</v>
      </c>
      <c r="C343" s="2" t="s">
        <v>4087</v>
      </c>
      <c r="D343" s="11" t="n">
        <v>83018</v>
      </c>
      <c r="E343" s="31" t="n">
        <v>31.1</v>
      </c>
      <c r="F343" s="31" t="n">
        <v>22</v>
      </c>
      <c r="G343" s="31" t="n">
        <v>63.5</v>
      </c>
      <c r="H343" s="2" t="s">
        <v>671</v>
      </c>
    </row>
    <row r="344" customFormat="false" ht="15" hidden="false" customHeight="false" outlineLevel="0" collapsed="false">
      <c r="A344" s="2" t="s">
        <v>1790</v>
      </c>
      <c r="B344" s="2" t="s">
        <v>47</v>
      </c>
      <c r="C344" s="2" t="s">
        <v>4085</v>
      </c>
      <c r="D344" s="11" t="n">
        <v>22624</v>
      </c>
      <c r="E344" s="31" t="n">
        <v>37.2</v>
      </c>
      <c r="F344" s="31" t="n">
        <v>96.7</v>
      </c>
      <c r="G344" s="31" t="n">
        <v>48.3</v>
      </c>
      <c r="H344" s="2" t="s">
        <v>671</v>
      </c>
    </row>
    <row r="345" customFormat="false" ht="15" hidden="false" customHeight="false" outlineLevel="0" collapsed="false">
      <c r="A345" s="2" t="s">
        <v>1790</v>
      </c>
      <c r="B345" s="2" t="s">
        <v>47</v>
      </c>
      <c r="C345" s="2" t="s">
        <v>4086</v>
      </c>
      <c r="D345" s="11" t="n">
        <v>24492</v>
      </c>
      <c r="E345" s="31" t="n">
        <v>26.3</v>
      </c>
      <c r="F345" s="31" t="n">
        <v>96.8</v>
      </c>
      <c r="G345" s="31" t="n">
        <v>52.5</v>
      </c>
      <c r="H345" s="2" t="s">
        <v>671</v>
      </c>
    </row>
    <row r="346" customFormat="false" ht="15" hidden="false" customHeight="false" outlineLevel="0" collapsed="false">
      <c r="A346" s="2" t="s">
        <v>1790</v>
      </c>
      <c r="B346" s="2" t="s">
        <v>47</v>
      </c>
      <c r="C346" s="2" t="s">
        <v>4087</v>
      </c>
      <c r="D346" s="11" t="n">
        <v>26015</v>
      </c>
      <c r="E346" s="31" t="n">
        <v>31.7</v>
      </c>
      <c r="F346" s="31" t="n">
        <v>98.6</v>
      </c>
      <c r="G346" s="31" t="n">
        <v>41.5</v>
      </c>
      <c r="H346" s="2" t="s">
        <v>671</v>
      </c>
    </row>
    <row r="347" customFormat="false" ht="15" hidden="false" customHeight="false" outlineLevel="0" collapsed="false">
      <c r="A347" s="2" t="s">
        <v>2338</v>
      </c>
      <c r="B347" s="2" t="s">
        <v>4104</v>
      </c>
      <c r="C347" s="2" t="s">
        <v>4085</v>
      </c>
      <c r="D347" s="2"/>
      <c r="E347" s="31" t="n">
        <v>23.9</v>
      </c>
      <c r="F347" s="31" t="n">
        <v>36.3</v>
      </c>
      <c r="G347" s="31" t="n">
        <v>64.3</v>
      </c>
      <c r="H347" s="2" t="s">
        <v>671</v>
      </c>
    </row>
    <row r="348" customFormat="false" ht="15" hidden="false" customHeight="false" outlineLevel="0" collapsed="false">
      <c r="A348" s="2" t="s">
        <v>2338</v>
      </c>
      <c r="B348" s="2" t="s">
        <v>4104</v>
      </c>
      <c r="C348" s="2" t="s">
        <v>4086</v>
      </c>
      <c r="D348" s="2"/>
      <c r="E348" s="31" t="n">
        <v>16.8</v>
      </c>
      <c r="F348" s="31" t="n">
        <v>34.3</v>
      </c>
      <c r="G348" s="31" t="n">
        <v>59.5</v>
      </c>
      <c r="H348" s="2" t="s">
        <v>671</v>
      </c>
    </row>
    <row r="349" customFormat="false" ht="15" hidden="false" customHeight="false" outlineLevel="0" collapsed="false">
      <c r="A349" s="2" t="s">
        <v>2338</v>
      </c>
      <c r="B349" s="2" t="s">
        <v>4104</v>
      </c>
      <c r="C349" s="2" t="s">
        <v>4087</v>
      </c>
      <c r="D349" s="2"/>
      <c r="E349" s="31" t="n">
        <v>29.8</v>
      </c>
      <c r="F349" s="31" t="n">
        <v>34.1</v>
      </c>
      <c r="G349" s="31" t="n">
        <v>99.4</v>
      </c>
      <c r="H349" s="2" t="s">
        <v>668</v>
      </c>
    </row>
    <row r="350" customFormat="false" ht="15" hidden="false" customHeight="false" outlineLevel="0" collapsed="false">
      <c r="A350" s="2" t="s">
        <v>2338</v>
      </c>
      <c r="B350" s="2" t="s">
        <v>45</v>
      </c>
      <c r="C350" s="2" t="s">
        <v>4085</v>
      </c>
      <c r="D350" s="11" t="n">
        <v>89513</v>
      </c>
      <c r="E350" s="31" t="n">
        <v>14.9</v>
      </c>
      <c r="F350" s="31" t="n">
        <v>12</v>
      </c>
      <c r="G350" s="31" t="n">
        <v>31.2</v>
      </c>
      <c r="H350" s="2" t="s">
        <v>671</v>
      </c>
    </row>
    <row r="351" customFormat="false" ht="15" hidden="false" customHeight="false" outlineLevel="0" collapsed="false">
      <c r="A351" s="2" t="s">
        <v>2338</v>
      </c>
      <c r="B351" s="2" t="s">
        <v>45</v>
      </c>
      <c r="C351" s="2" t="s">
        <v>4086</v>
      </c>
      <c r="D351" s="11" t="n">
        <v>89620</v>
      </c>
      <c r="E351" s="31" t="n">
        <v>17</v>
      </c>
      <c r="F351" s="31" t="n">
        <v>8.2</v>
      </c>
      <c r="G351" s="31" t="n">
        <v>37.3</v>
      </c>
      <c r="H351" s="2" t="s">
        <v>671</v>
      </c>
    </row>
    <row r="352" customFormat="false" ht="15" hidden="false" customHeight="false" outlineLevel="0" collapsed="false">
      <c r="A352" s="2" t="s">
        <v>2338</v>
      </c>
      <c r="B352" s="2" t="s">
        <v>45</v>
      </c>
      <c r="C352" s="2" t="s">
        <v>4087</v>
      </c>
      <c r="D352" s="11" t="n">
        <v>89400</v>
      </c>
      <c r="E352" s="31" t="n">
        <v>29.3</v>
      </c>
      <c r="F352" s="31" t="n">
        <v>4.8</v>
      </c>
      <c r="G352" s="2"/>
      <c r="H352" s="2" t="s">
        <v>668</v>
      </c>
    </row>
    <row r="353" customFormat="false" ht="15" hidden="false" customHeight="false" outlineLevel="0" collapsed="false">
      <c r="A353" s="2" t="s">
        <v>2338</v>
      </c>
      <c r="B353" s="2" t="s">
        <v>46</v>
      </c>
      <c r="C353" s="2" t="s">
        <v>4085</v>
      </c>
      <c r="D353" s="11" t="n">
        <v>24730</v>
      </c>
      <c r="E353" s="31" t="n">
        <v>9.6</v>
      </c>
      <c r="F353" s="31" t="n">
        <v>91.4</v>
      </c>
      <c r="G353" s="31" t="n">
        <v>66.7</v>
      </c>
      <c r="H353" s="2" t="s">
        <v>671</v>
      </c>
    </row>
    <row r="354" customFormat="false" ht="15" hidden="false" customHeight="false" outlineLevel="0" collapsed="false">
      <c r="A354" s="2" t="s">
        <v>2338</v>
      </c>
      <c r="B354" s="2" t="s">
        <v>46</v>
      </c>
      <c r="C354" s="2" t="s">
        <v>4086</v>
      </c>
      <c r="D354" s="11" t="n">
        <v>26000</v>
      </c>
      <c r="E354" s="31" t="n">
        <v>10</v>
      </c>
      <c r="F354" s="31" t="n">
        <v>79.6</v>
      </c>
      <c r="G354" s="31" t="n">
        <v>54.3</v>
      </c>
      <c r="H354" s="2" t="s">
        <v>671</v>
      </c>
    </row>
    <row r="355" customFormat="false" ht="15" hidden="false" customHeight="false" outlineLevel="0" collapsed="false">
      <c r="A355" s="2" t="s">
        <v>2338</v>
      </c>
      <c r="B355" s="2" t="s">
        <v>46</v>
      </c>
      <c r="C355" s="2" t="s">
        <v>4087</v>
      </c>
      <c r="D355" s="11" t="n">
        <v>26638</v>
      </c>
      <c r="E355" s="31" t="n">
        <v>12.5</v>
      </c>
      <c r="F355" s="31" t="n">
        <v>76.3</v>
      </c>
      <c r="G355" s="2"/>
      <c r="H355" s="2" t="s">
        <v>668</v>
      </c>
    </row>
    <row r="356" customFormat="false" ht="15" hidden="false" customHeight="false" outlineLevel="0" collapsed="false">
      <c r="A356" s="2" t="s">
        <v>2338</v>
      </c>
      <c r="B356" s="2" t="s">
        <v>47</v>
      </c>
      <c r="C356" s="2" t="s">
        <v>4085</v>
      </c>
      <c r="D356" s="11" t="n">
        <v>5801</v>
      </c>
      <c r="E356" s="31" t="n">
        <v>47.1</v>
      </c>
      <c r="F356" s="31" t="n">
        <v>5.6</v>
      </c>
      <c r="G356" s="31" t="n">
        <v>95.1</v>
      </c>
      <c r="H356" s="2" t="s">
        <v>671</v>
      </c>
    </row>
    <row r="357" customFormat="false" ht="15" hidden="false" customHeight="false" outlineLevel="0" collapsed="false">
      <c r="A357" s="2" t="s">
        <v>2338</v>
      </c>
      <c r="B357" s="2" t="s">
        <v>47</v>
      </c>
      <c r="C357" s="2" t="s">
        <v>4086</v>
      </c>
      <c r="D357" s="11" t="n">
        <v>5849</v>
      </c>
      <c r="E357" s="31" t="n">
        <v>23.5</v>
      </c>
      <c r="F357" s="31" t="n">
        <v>15</v>
      </c>
      <c r="G357" s="31" t="n">
        <v>86.9</v>
      </c>
      <c r="H357" s="2" t="s">
        <v>671</v>
      </c>
    </row>
    <row r="358" customFormat="false" ht="15" hidden="false" customHeight="false" outlineLevel="0" collapsed="false">
      <c r="A358" s="2" t="s">
        <v>2338</v>
      </c>
      <c r="B358" s="2" t="s">
        <v>47</v>
      </c>
      <c r="C358" s="2" t="s">
        <v>4087</v>
      </c>
      <c r="D358" s="11" t="n">
        <v>6046</v>
      </c>
      <c r="E358" s="31" t="n">
        <v>47.5</v>
      </c>
      <c r="F358" s="31" t="n">
        <v>21.3</v>
      </c>
      <c r="G358" s="31" t="n">
        <v>99.4</v>
      </c>
      <c r="H358" s="2" t="s">
        <v>671</v>
      </c>
    </row>
    <row r="359" customFormat="false" ht="15" hidden="false" customHeight="false" outlineLevel="0" collapsed="false">
      <c r="A359" s="2" t="s">
        <v>2167</v>
      </c>
      <c r="B359" s="2" t="s">
        <v>4104</v>
      </c>
      <c r="C359" s="2" t="s">
        <v>4085</v>
      </c>
      <c r="D359" s="2"/>
      <c r="E359" s="31" t="n">
        <v>50.4</v>
      </c>
      <c r="F359" s="31" t="n">
        <v>33.7</v>
      </c>
      <c r="G359" s="31" t="n">
        <v>74.7</v>
      </c>
      <c r="H359" s="2" t="s">
        <v>668</v>
      </c>
    </row>
    <row r="360" customFormat="false" ht="15" hidden="false" customHeight="false" outlineLevel="0" collapsed="false">
      <c r="A360" s="2" t="s">
        <v>2167</v>
      </c>
      <c r="B360" s="2" t="s">
        <v>4104</v>
      </c>
      <c r="C360" s="2" t="s">
        <v>4086</v>
      </c>
      <c r="D360" s="2"/>
      <c r="E360" s="31" t="n">
        <v>57.5</v>
      </c>
      <c r="F360" s="31" t="n">
        <v>30.4</v>
      </c>
      <c r="G360" s="31" t="n">
        <v>64.8</v>
      </c>
      <c r="H360" s="2" t="s">
        <v>668</v>
      </c>
    </row>
    <row r="361" customFormat="false" ht="15" hidden="false" customHeight="false" outlineLevel="0" collapsed="false">
      <c r="A361" s="2" t="s">
        <v>2167</v>
      </c>
      <c r="B361" s="2" t="s">
        <v>4104</v>
      </c>
      <c r="C361" s="2" t="s">
        <v>4087</v>
      </c>
      <c r="D361" s="2"/>
      <c r="E361" s="31" t="n">
        <v>69.6</v>
      </c>
      <c r="F361" s="31" t="n">
        <v>38.2</v>
      </c>
      <c r="G361" s="31" t="n">
        <v>85.7</v>
      </c>
      <c r="H361" s="2" t="s">
        <v>668</v>
      </c>
    </row>
    <row r="362" customFormat="false" ht="15" hidden="false" customHeight="false" outlineLevel="0" collapsed="false">
      <c r="A362" s="2" t="s">
        <v>2167</v>
      </c>
      <c r="B362" s="2" t="s">
        <v>45</v>
      </c>
      <c r="C362" s="2" t="s">
        <v>4085</v>
      </c>
      <c r="D362" s="11" t="n">
        <v>100550</v>
      </c>
      <c r="E362" s="31" t="n">
        <v>46.2</v>
      </c>
      <c r="F362" s="31" t="n">
        <v>8.9</v>
      </c>
      <c r="G362" s="31" t="n">
        <v>61.2</v>
      </c>
      <c r="H362" s="2" t="s">
        <v>671</v>
      </c>
    </row>
    <row r="363" customFormat="false" ht="15" hidden="false" customHeight="false" outlineLevel="0" collapsed="false">
      <c r="A363" s="2" t="s">
        <v>2167</v>
      </c>
      <c r="B363" s="2" t="s">
        <v>45</v>
      </c>
      <c r="C363" s="2" t="s">
        <v>4086</v>
      </c>
      <c r="D363" s="11" t="n">
        <v>104240</v>
      </c>
      <c r="E363" s="31" t="n">
        <v>84.7</v>
      </c>
      <c r="F363" s="31" t="n">
        <v>15.7</v>
      </c>
      <c r="G363" s="31" t="n">
        <v>64.8</v>
      </c>
      <c r="H363" s="2" t="s">
        <v>671</v>
      </c>
    </row>
    <row r="364" customFormat="false" ht="15" hidden="false" customHeight="false" outlineLevel="0" collapsed="false">
      <c r="A364" s="2" t="s">
        <v>2167</v>
      </c>
      <c r="B364" s="2" t="s">
        <v>45</v>
      </c>
      <c r="C364" s="2" t="s">
        <v>4087</v>
      </c>
      <c r="D364" s="11" t="n">
        <v>103092</v>
      </c>
      <c r="E364" s="2"/>
      <c r="F364" s="31" t="n">
        <v>19.6</v>
      </c>
      <c r="G364" s="2"/>
      <c r="H364" s="2" t="s">
        <v>668</v>
      </c>
    </row>
    <row r="365" customFormat="false" ht="15" hidden="false" customHeight="false" outlineLevel="0" collapsed="false">
      <c r="A365" s="2" t="s">
        <v>2167</v>
      </c>
      <c r="B365" s="2" t="s">
        <v>46</v>
      </c>
      <c r="C365" s="2" t="s">
        <v>4085</v>
      </c>
      <c r="D365" s="11" t="n">
        <v>13290</v>
      </c>
      <c r="E365" s="31" t="n">
        <v>12.7</v>
      </c>
      <c r="F365" s="31" t="n">
        <v>34.1</v>
      </c>
      <c r="G365" s="2"/>
      <c r="H365" s="2" t="s">
        <v>668</v>
      </c>
    </row>
    <row r="366" customFormat="false" ht="15" hidden="false" customHeight="false" outlineLevel="0" collapsed="false">
      <c r="A366" s="2" t="s">
        <v>2167</v>
      </c>
      <c r="B366" s="2" t="s">
        <v>46</v>
      </c>
      <c r="C366" s="2" t="s">
        <v>4086</v>
      </c>
      <c r="D366" s="11" t="n">
        <v>13880</v>
      </c>
      <c r="E366" s="31" t="n">
        <v>8.8</v>
      </c>
      <c r="F366" s="31" t="n">
        <v>36.4</v>
      </c>
      <c r="G366" s="2"/>
      <c r="H366" s="2" t="s">
        <v>668</v>
      </c>
    </row>
    <row r="367" customFormat="false" ht="15" hidden="false" customHeight="false" outlineLevel="0" collapsed="false">
      <c r="A367" s="2" t="s">
        <v>2167</v>
      </c>
      <c r="B367" s="2" t="s">
        <v>46</v>
      </c>
      <c r="C367" s="2" t="s">
        <v>4087</v>
      </c>
      <c r="D367" s="2"/>
      <c r="E367" s="2"/>
      <c r="F367" s="2"/>
      <c r="G367" s="2"/>
      <c r="H367" s="2" t="s">
        <v>668</v>
      </c>
    </row>
    <row r="368" customFormat="false" ht="15" hidden="false" customHeight="false" outlineLevel="0" collapsed="false">
      <c r="A368" s="2" t="s">
        <v>2167</v>
      </c>
      <c r="B368" s="2" t="s">
        <v>47</v>
      </c>
      <c r="C368" s="2" t="s">
        <v>4085</v>
      </c>
      <c r="D368" s="11" t="n">
        <v>76373</v>
      </c>
      <c r="E368" s="31" t="n">
        <v>92.2</v>
      </c>
      <c r="F368" s="31" t="n">
        <v>58.2</v>
      </c>
      <c r="G368" s="31" t="n">
        <v>88.2</v>
      </c>
      <c r="H368" s="2" t="s">
        <v>671</v>
      </c>
    </row>
    <row r="369" customFormat="false" ht="15" hidden="false" customHeight="false" outlineLevel="0" collapsed="false">
      <c r="A369" s="2" t="s">
        <v>2167</v>
      </c>
      <c r="B369" s="2" t="s">
        <v>47</v>
      </c>
      <c r="C369" s="2" t="s">
        <v>4086</v>
      </c>
      <c r="D369" s="11" t="n">
        <v>79290</v>
      </c>
      <c r="E369" s="31" t="n">
        <v>79</v>
      </c>
      <c r="F369" s="31" t="n">
        <v>39</v>
      </c>
      <c r="G369" s="2"/>
      <c r="H369" s="2" t="s">
        <v>668</v>
      </c>
    </row>
    <row r="370" customFormat="false" ht="15" hidden="false" customHeight="false" outlineLevel="0" collapsed="false">
      <c r="A370" s="2" t="s">
        <v>2167</v>
      </c>
      <c r="B370" s="2" t="s">
        <v>47</v>
      </c>
      <c r="C370" s="2" t="s">
        <v>4087</v>
      </c>
      <c r="D370" s="11" t="n">
        <v>82072</v>
      </c>
      <c r="E370" s="31" t="n">
        <v>69.6</v>
      </c>
      <c r="F370" s="31" t="n">
        <v>56.7</v>
      </c>
      <c r="G370" s="31" t="n">
        <v>85.7</v>
      </c>
      <c r="H370" s="2" t="s">
        <v>671</v>
      </c>
    </row>
    <row r="371" customFormat="false" ht="15" hidden="false" customHeight="false" outlineLevel="0" collapsed="false">
      <c r="A371" s="2" t="s">
        <v>1117</v>
      </c>
      <c r="B371" s="2" t="s">
        <v>4104</v>
      </c>
      <c r="C371" s="2" t="s">
        <v>4085</v>
      </c>
      <c r="D371" s="2"/>
      <c r="E371" s="31" t="n">
        <v>34.3</v>
      </c>
      <c r="F371" s="31" t="n">
        <v>47.4</v>
      </c>
      <c r="G371" s="31" t="n">
        <v>72.5</v>
      </c>
      <c r="H371" s="2" t="s">
        <v>668</v>
      </c>
    </row>
    <row r="372" customFormat="false" ht="15" hidden="false" customHeight="false" outlineLevel="0" collapsed="false">
      <c r="A372" s="2" t="s">
        <v>1117</v>
      </c>
      <c r="B372" s="2" t="s">
        <v>4104</v>
      </c>
      <c r="C372" s="2" t="s">
        <v>4086</v>
      </c>
      <c r="D372" s="2"/>
      <c r="E372" s="31" t="n">
        <v>41.7</v>
      </c>
      <c r="F372" s="31" t="n">
        <v>58.1</v>
      </c>
      <c r="G372" s="31" t="n">
        <v>60.8</v>
      </c>
      <c r="H372" s="2" t="s">
        <v>671</v>
      </c>
    </row>
    <row r="373" customFormat="false" ht="15" hidden="false" customHeight="false" outlineLevel="0" collapsed="false">
      <c r="A373" s="2" t="s">
        <v>1117</v>
      </c>
      <c r="B373" s="2" t="s">
        <v>4104</v>
      </c>
      <c r="C373" s="2" t="s">
        <v>4087</v>
      </c>
      <c r="D373" s="2"/>
      <c r="E373" s="31" t="n">
        <v>22.4</v>
      </c>
      <c r="F373" s="31" t="n">
        <v>84.7</v>
      </c>
      <c r="G373" s="31" t="n">
        <v>54.4</v>
      </c>
      <c r="H373" s="2" t="s">
        <v>668</v>
      </c>
    </row>
    <row r="374" customFormat="false" ht="15" hidden="false" customHeight="false" outlineLevel="0" collapsed="false">
      <c r="A374" s="2" t="s">
        <v>1117</v>
      </c>
      <c r="B374" s="2" t="s">
        <v>45</v>
      </c>
      <c r="C374" s="2" t="s">
        <v>4085</v>
      </c>
      <c r="D374" s="2"/>
      <c r="E374" s="2"/>
      <c r="F374" s="2"/>
      <c r="G374" s="31" t="n">
        <v>62.7</v>
      </c>
      <c r="H374" s="2" t="s">
        <v>668</v>
      </c>
    </row>
    <row r="375" customFormat="false" ht="15" hidden="false" customHeight="false" outlineLevel="0" collapsed="false">
      <c r="A375" s="2" t="s">
        <v>1117</v>
      </c>
      <c r="B375" s="2" t="s">
        <v>45</v>
      </c>
      <c r="C375" s="2" t="s">
        <v>4086</v>
      </c>
      <c r="D375" s="11" t="n">
        <v>30990</v>
      </c>
      <c r="E375" s="31" t="n">
        <v>78.4</v>
      </c>
      <c r="F375" s="31" t="n">
        <v>94.8</v>
      </c>
      <c r="G375" s="31" t="n">
        <v>13.1</v>
      </c>
      <c r="H375" s="2" t="s">
        <v>671</v>
      </c>
    </row>
    <row r="376" customFormat="false" ht="15" hidden="false" customHeight="false" outlineLevel="0" collapsed="false">
      <c r="A376" s="2" t="s">
        <v>1117</v>
      </c>
      <c r="B376" s="2" t="s">
        <v>45</v>
      </c>
      <c r="C376" s="2" t="s">
        <v>4087</v>
      </c>
      <c r="D376" s="11" t="n">
        <v>33163</v>
      </c>
      <c r="E376" s="31" t="n">
        <v>39.7</v>
      </c>
      <c r="F376" s="31" t="n">
        <v>97.2</v>
      </c>
      <c r="G376" s="31" t="n">
        <v>37</v>
      </c>
      <c r="H376" s="2" t="s">
        <v>671</v>
      </c>
    </row>
    <row r="377" customFormat="false" ht="15" hidden="false" customHeight="false" outlineLevel="0" collapsed="false">
      <c r="A377" s="2" t="s">
        <v>1117</v>
      </c>
      <c r="B377" s="2" t="s">
        <v>46</v>
      </c>
      <c r="C377" s="2" t="s">
        <v>4085</v>
      </c>
      <c r="D377" s="11" t="n">
        <v>11190</v>
      </c>
      <c r="E377" s="31" t="n">
        <v>3.9</v>
      </c>
      <c r="F377" s="31" t="n">
        <v>68.2</v>
      </c>
      <c r="G377" s="31" t="n">
        <v>78.3</v>
      </c>
      <c r="H377" s="2" t="s">
        <v>671</v>
      </c>
    </row>
    <row r="378" customFormat="false" ht="15" hidden="false" customHeight="false" outlineLevel="0" collapsed="false">
      <c r="A378" s="2" t="s">
        <v>1117</v>
      </c>
      <c r="B378" s="2" t="s">
        <v>46</v>
      </c>
      <c r="C378" s="2" t="s">
        <v>4086</v>
      </c>
      <c r="D378" s="11" t="n">
        <v>11820</v>
      </c>
      <c r="E378" s="31" t="n">
        <v>2.8</v>
      </c>
      <c r="F378" s="31" t="n">
        <v>59.6</v>
      </c>
      <c r="G378" s="31" t="n">
        <v>87.9</v>
      </c>
      <c r="H378" s="2" t="s">
        <v>671</v>
      </c>
    </row>
    <row r="379" customFormat="false" ht="15" hidden="false" customHeight="false" outlineLevel="0" collapsed="false">
      <c r="A379" s="2" t="s">
        <v>1117</v>
      </c>
      <c r="B379" s="2" t="s">
        <v>46</v>
      </c>
      <c r="C379" s="2" t="s">
        <v>4087</v>
      </c>
      <c r="D379" s="11" t="n">
        <v>12490</v>
      </c>
      <c r="E379" s="31" t="n">
        <v>5.1</v>
      </c>
      <c r="F379" s="31" t="n">
        <v>72.2</v>
      </c>
      <c r="G379" s="31" t="n">
        <v>71.8</v>
      </c>
      <c r="H379" s="2" t="s">
        <v>671</v>
      </c>
    </row>
    <row r="380" customFormat="false" ht="15" hidden="false" customHeight="false" outlineLevel="0" collapsed="false">
      <c r="A380" s="2" t="s">
        <v>1117</v>
      </c>
      <c r="B380" s="2" t="s">
        <v>47</v>
      </c>
      <c r="C380" s="2" t="s">
        <v>4085</v>
      </c>
      <c r="D380" s="11" t="n">
        <v>6340</v>
      </c>
      <c r="E380" s="31" t="n">
        <v>64.7</v>
      </c>
      <c r="F380" s="31" t="n">
        <v>26.7</v>
      </c>
      <c r="G380" s="31" t="n">
        <v>76.5</v>
      </c>
      <c r="H380" s="2" t="s">
        <v>671</v>
      </c>
    </row>
    <row r="381" customFormat="false" ht="15" hidden="false" customHeight="false" outlineLevel="0" collapsed="false">
      <c r="A381" s="2" t="s">
        <v>1117</v>
      </c>
      <c r="B381" s="2" t="s">
        <v>47</v>
      </c>
      <c r="C381" s="2" t="s">
        <v>4086</v>
      </c>
      <c r="D381" s="11" t="n">
        <v>6330</v>
      </c>
      <c r="E381" s="31" t="n">
        <v>43.9</v>
      </c>
      <c r="F381" s="31" t="n">
        <v>20</v>
      </c>
      <c r="G381" s="31" t="n">
        <v>81.4</v>
      </c>
      <c r="H381" s="2" t="s">
        <v>671</v>
      </c>
    </row>
    <row r="382" customFormat="false" ht="15" hidden="false" customHeight="false" outlineLevel="0" collapsed="false">
      <c r="A382" s="2" t="s">
        <v>1117</v>
      </c>
      <c r="B382" s="2" t="s">
        <v>47</v>
      </c>
      <c r="C382" s="2" t="s">
        <v>4087</v>
      </c>
      <c r="D382" s="2"/>
      <c r="E382" s="2"/>
      <c r="F382" s="2"/>
      <c r="G382" s="2"/>
      <c r="H382" s="2" t="s">
        <v>668</v>
      </c>
    </row>
    <row r="383" customFormat="false" ht="15" hidden="false" customHeight="false" outlineLevel="0" collapsed="false">
      <c r="A383" s="2" t="s">
        <v>142</v>
      </c>
      <c r="B383" s="2" t="s">
        <v>4104</v>
      </c>
      <c r="C383" s="2" t="s">
        <v>4087</v>
      </c>
      <c r="D383" s="2"/>
      <c r="E383" s="31" t="n">
        <v>81.7</v>
      </c>
      <c r="F383" s="31" t="n">
        <v>48.2</v>
      </c>
      <c r="G383" s="31" t="n">
        <v>13</v>
      </c>
      <c r="H383" s="2" t="s">
        <v>671</v>
      </c>
    </row>
    <row r="384" customFormat="false" ht="15" hidden="false" customHeight="false" outlineLevel="0" collapsed="false">
      <c r="A384" s="2" t="s">
        <v>142</v>
      </c>
      <c r="B384" s="2" t="s">
        <v>47</v>
      </c>
      <c r="C384" s="2" t="s">
        <v>4087</v>
      </c>
      <c r="D384" s="11" t="n">
        <v>274515</v>
      </c>
      <c r="E384" s="31" t="n">
        <v>81.7</v>
      </c>
      <c r="F384" s="31" t="n">
        <v>48.2</v>
      </c>
      <c r="G384" s="31" t="n">
        <v>13</v>
      </c>
      <c r="H384" s="2" t="s">
        <v>671</v>
      </c>
    </row>
    <row r="385" customFormat="false" ht="15" hidden="false" customHeight="false" outlineLevel="0" collapsed="false">
      <c r="A385" s="2" t="s">
        <v>2552</v>
      </c>
      <c r="B385" s="2" t="s">
        <v>4104</v>
      </c>
      <c r="C385" s="2" t="s">
        <v>4085</v>
      </c>
      <c r="D385" s="2"/>
      <c r="E385" s="31" t="n">
        <v>69.8</v>
      </c>
      <c r="F385" s="31" t="n">
        <v>54</v>
      </c>
      <c r="G385" s="31" t="n">
        <v>50.5</v>
      </c>
      <c r="H385" s="2" t="s">
        <v>671</v>
      </c>
    </row>
    <row r="386" customFormat="false" ht="15" hidden="false" customHeight="false" outlineLevel="0" collapsed="false">
      <c r="A386" s="2" t="s">
        <v>2552</v>
      </c>
      <c r="B386" s="2" t="s">
        <v>4104</v>
      </c>
      <c r="C386" s="2" t="s">
        <v>4086</v>
      </c>
      <c r="D386" s="2"/>
      <c r="E386" s="31" t="n">
        <v>68</v>
      </c>
      <c r="F386" s="31" t="n">
        <v>67.4</v>
      </c>
      <c r="G386" s="31" t="n">
        <v>51.8</v>
      </c>
      <c r="H386" s="2" t="s">
        <v>671</v>
      </c>
    </row>
    <row r="387" customFormat="false" ht="15" hidden="false" customHeight="false" outlineLevel="0" collapsed="false">
      <c r="A387" s="2" t="s">
        <v>2552</v>
      </c>
      <c r="B387" s="2" t="s">
        <v>4104</v>
      </c>
      <c r="C387" s="2" t="s">
        <v>4087</v>
      </c>
      <c r="D387" s="2"/>
      <c r="E387" s="31" t="n">
        <v>53.9</v>
      </c>
      <c r="F387" s="31" t="n">
        <v>65</v>
      </c>
      <c r="G387" s="31" t="n">
        <v>9.7</v>
      </c>
      <c r="H387" s="2" t="s">
        <v>668</v>
      </c>
    </row>
    <row r="388" customFormat="false" ht="15" hidden="false" customHeight="false" outlineLevel="0" collapsed="false">
      <c r="A388" s="2" t="s">
        <v>2552</v>
      </c>
      <c r="B388" s="2" t="s">
        <v>46</v>
      </c>
      <c r="C388" s="2" t="s">
        <v>4085</v>
      </c>
      <c r="D388" s="11" t="n">
        <v>403736</v>
      </c>
      <c r="E388" s="31" t="n">
        <v>98</v>
      </c>
      <c r="F388" s="31" t="n">
        <v>57.1</v>
      </c>
      <c r="G388" s="31" t="n">
        <v>91.3</v>
      </c>
      <c r="H388" s="2" t="s">
        <v>671</v>
      </c>
    </row>
    <row r="389" customFormat="false" ht="15" hidden="false" customHeight="false" outlineLevel="0" collapsed="false">
      <c r="A389" s="2" t="s">
        <v>2552</v>
      </c>
      <c r="B389" s="2" t="s">
        <v>46</v>
      </c>
      <c r="C389" s="2" t="s">
        <v>4086</v>
      </c>
      <c r="D389" s="11" t="n">
        <v>410680</v>
      </c>
      <c r="E389" s="31" t="n">
        <v>99.8</v>
      </c>
      <c r="F389" s="31" t="n">
        <v>75.2</v>
      </c>
      <c r="G389" s="31" t="n">
        <v>85.2</v>
      </c>
      <c r="H389" s="2" t="s">
        <v>671</v>
      </c>
    </row>
    <row r="390" customFormat="false" ht="15" hidden="false" customHeight="false" outlineLevel="0" collapsed="false">
      <c r="A390" s="2" t="s">
        <v>2552</v>
      </c>
      <c r="B390" s="2" t="s">
        <v>46</v>
      </c>
      <c r="C390" s="2" t="s">
        <v>4087</v>
      </c>
      <c r="D390" s="11" t="n">
        <v>431660</v>
      </c>
      <c r="E390" s="31" t="n">
        <v>88.8</v>
      </c>
      <c r="F390" s="31" t="n">
        <v>86.1</v>
      </c>
      <c r="G390" s="2"/>
      <c r="H390" s="2" t="s">
        <v>668</v>
      </c>
    </row>
    <row r="391" customFormat="false" ht="15" hidden="false" customHeight="false" outlineLevel="0" collapsed="false">
      <c r="A391" s="2" t="s">
        <v>2552</v>
      </c>
      <c r="B391" s="2" t="s">
        <v>47</v>
      </c>
      <c r="C391" s="2" t="s">
        <v>4085</v>
      </c>
      <c r="D391" s="11" t="n">
        <v>20938</v>
      </c>
      <c r="E391" s="31" t="n">
        <v>41.7</v>
      </c>
      <c r="F391" s="31" t="n">
        <v>51</v>
      </c>
      <c r="G391" s="31" t="n">
        <v>9.7</v>
      </c>
      <c r="H391" s="2" t="s">
        <v>671</v>
      </c>
    </row>
    <row r="392" customFormat="false" ht="15" hidden="false" customHeight="false" outlineLevel="0" collapsed="false">
      <c r="A392" s="2" t="s">
        <v>2552</v>
      </c>
      <c r="B392" s="2" t="s">
        <v>47</v>
      </c>
      <c r="C392" s="2" t="s">
        <v>4086</v>
      </c>
      <c r="D392" s="11" t="n">
        <v>21465</v>
      </c>
      <c r="E392" s="31" t="n">
        <v>36.3</v>
      </c>
      <c r="F392" s="31" t="n">
        <v>59.7</v>
      </c>
      <c r="G392" s="31" t="n">
        <v>18.5</v>
      </c>
      <c r="H392" s="2" t="s">
        <v>671</v>
      </c>
    </row>
    <row r="393" customFormat="false" ht="15" hidden="false" customHeight="false" outlineLevel="0" collapsed="false">
      <c r="A393" s="2" t="s">
        <v>2552</v>
      </c>
      <c r="B393" s="2" t="s">
        <v>47</v>
      </c>
      <c r="C393" s="2" t="s">
        <v>4087</v>
      </c>
      <c r="D393" s="11" t="n">
        <v>22386</v>
      </c>
      <c r="E393" s="31" t="n">
        <v>19</v>
      </c>
      <c r="F393" s="31" t="n">
        <v>44</v>
      </c>
      <c r="G393" s="31" t="n">
        <v>9.7</v>
      </c>
      <c r="H393" s="2" t="s">
        <v>671</v>
      </c>
    </row>
    <row r="394" customFormat="false" ht="15" hidden="false" customHeight="false" outlineLevel="0" collapsed="false">
      <c r="A394" s="2" t="s">
        <v>2726</v>
      </c>
      <c r="B394" s="2" t="s">
        <v>4104</v>
      </c>
      <c r="C394" s="2" t="s">
        <v>4085</v>
      </c>
      <c r="D394" s="2"/>
      <c r="E394" s="31" t="n">
        <v>83.6</v>
      </c>
      <c r="F394" s="31" t="n">
        <v>10.5</v>
      </c>
      <c r="G394" s="31" t="n">
        <v>76</v>
      </c>
      <c r="H394" s="2" t="s">
        <v>671</v>
      </c>
    </row>
    <row r="395" customFormat="false" ht="15" hidden="false" customHeight="false" outlineLevel="0" collapsed="false">
      <c r="A395" s="2" t="s">
        <v>2726</v>
      </c>
      <c r="B395" s="2" t="s">
        <v>4104</v>
      </c>
      <c r="C395" s="2" t="s">
        <v>4086</v>
      </c>
      <c r="D395" s="2"/>
      <c r="E395" s="31" t="n">
        <v>75.3</v>
      </c>
      <c r="F395" s="31" t="n">
        <v>4.9</v>
      </c>
      <c r="G395" s="31" t="n">
        <v>84.1</v>
      </c>
      <c r="H395" s="2" t="s">
        <v>671</v>
      </c>
    </row>
    <row r="396" customFormat="false" ht="15" hidden="false" customHeight="false" outlineLevel="0" collapsed="false">
      <c r="A396" s="2" t="s">
        <v>2726</v>
      </c>
      <c r="B396" s="2" t="s">
        <v>4104</v>
      </c>
      <c r="C396" s="2" t="s">
        <v>4087</v>
      </c>
      <c r="D396" s="2"/>
      <c r="E396" s="2"/>
      <c r="F396" s="31" t="n">
        <v>20.9</v>
      </c>
      <c r="G396" s="2"/>
      <c r="H396" s="2" t="s">
        <v>668</v>
      </c>
    </row>
    <row r="397" customFormat="false" ht="15" hidden="false" customHeight="false" outlineLevel="0" collapsed="false">
      <c r="A397" s="2" t="s">
        <v>2726</v>
      </c>
      <c r="B397" s="2" t="s">
        <v>47</v>
      </c>
      <c r="C397" s="2" t="s">
        <v>4085</v>
      </c>
      <c r="D397" s="11" t="n">
        <v>33547</v>
      </c>
      <c r="E397" s="31" t="n">
        <v>83.6</v>
      </c>
      <c r="F397" s="31" t="n">
        <v>10.5</v>
      </c>
      <c r="G397" s="31" t="n">
        <v>76</v>
      </c>
      <c r="H397" s="2" t="s">
        <v>671</v>
      </c>
    </row>
    <row r="398" customFormat="false" ht="15" hidden="false" customHeight="false" outlineLevel="0" collapsed="false">
      <c r="A398" s="2" t="s">
        <v>2726</v>
      </c>
      <c r="B398" s="2" t="s">
        <v>47</v>
      </c>
      <c r="C398" s="2" t="s">
        <v>4086</v>
      </c>
      <c r="D398" s="11" t="n">
        <v>33240</v>
      </c>
      <c r="E398" s="31" t="n">
        <v>75.3</v>
      </c>
      <c r="F398" s="31" t="n">
        <v>4.9</v>
      </c>
      <c r="G398" s="31" t="n">
        <v>84.1</v>
      </c>
      <c r="H398" s="2" t="s">
        <v>671</v>
      </c>
    </row>
    <row r="399" customFormat="false" ht="15" hidden="false" customHeight="false" outlineLevel="0" collapsed="false">
      <c r="A399" s="2" t="s">
        <v>2726</v>
      </c>
      <c r="B399" s="2" t="s">
        <v>47</v>
      </c>
      <c r="C399" s="2" t="s">
        <v>4087</v>
      </c>
      <c r="D399" s="11" t="n">
        <v>33294</v>
      </c>
      <c r="E399" s="2"/>
      <c r="F399" s="31" t="n">
        <v>20.9</v>
      </c>
      <c r="G399" s="2"/>
      <c r="H399" s="2" t="s">
        <v>668</v>
      </c>
    </row>
    <row r="400" customFormat="false" ht="15" hidden="false" customHeight="false" outlineLevel="0" collapsed="false">
      <c r="A400" s="2" t="s">
        <v>2728</v>
      </c>
      <c r="B400" s="2" t="s">
        <v>4104</v>
      </c>
      <c r="C400" s="2" t="s">
        <v>4085</v>
      </c>
      <c r="D400" s="2"/>
      <c r="E400" s="31" t="n">
        <v>58.6</v>
      </c>
      <c r="F400" s="31" t="n">
        <v>38</v>
      </c>
      <c r="G400" s="31" t="n">
        <v>94.1</v>
      </c>
      <c r="H400" s="2" t="s">
        <v>668</v>
      </c>
    </row>
    <row r="401" customFormat="false" ht="15" hidden="false" customHeight="false" outlineLevel="0" collapsed="false">
      <c r="A401" s="2" t="s">
        <v>2728</v>
      </c>
      <c r="B401" s="2" t="s">
        <v>4104</v>
      </c>
      <c r="C401" s="2" t="s">
        <v>4086</v>
      </c>
      <c r="D401" s="2"/>
      <c r="E401" s="31" t="n">
        <v>27.9</v>
      </c>
      <c r="F401" s="31" t="n">
        <v>68</v>
      </c>
      <c r="G401" s="31" t="n">
        <v>72.6</v>
      </c>
      <c r="H401" s="2" t="s">
        <v>668</v>
      </c>
    </row>
    <row r="402" customFormat="false" ht="15" hidden="false" customHeight="false" outlineLevel="0" collapsed="false">
      <c r="A402" s="2" t="s">
        <v>2728</v>
      </c>
      <c r="B402" s="2" t="s">
        <v>4104</v>
      </c>
      <c r="C402" s="2" t="s">
        <v>4087</v>
      </c>
      <c r="D402" s="2"/>
      <c r="E402" s="31" t="n">
        <v>76.7</v>
      </c>
      <c r="F402" s="31" t="n">
        <v>84.1</v>
      </c>
      <c r="G402" s="2"/>
      <c r="H402" s="2" t="s">
        <v>668</v>
      </c>
    </row>
    <row r="403" customFormat="false" ht="15" hidden="false" customHeight="false" outlineLevel="0" collapsed="false">
      <c r="A403" s="2" t="s">
        <v>2728</v>
      </c>
      <c r="B403" s="2" t="s">
        <v>45</v>
      </c>
      <c r="C403" s="2" t="s">
        <v>4085</v>
      </c>
      <c r="D403" s="11" t="n">
        <v>636010</v>
      </c>
      <c r="E403" s="31" t="n">
        <v>82.3</v>
      </c>
      <c r="F403" s="31" t="n">
        <v>47.3</v>
      </c>
      <c r="G403" s="2"/>
      <c r="H403" s="2" t="s">
        <v>668</v>
      </c>
    </row>
    <row r="404" customFormat="false" ht="15" hidden="false" customHeight="false" outlineLevel="0" collapsed="false">
      <c r="A404" s="2" t="s">
        <v>2728</v>
      </c>
      <c r="B404" s="2" t="s">
        <v>45</v>
      </c>
      <c r="C404" s="2" t="s">
        <v>4086</v>
      </c>
      <c r="D404" s="2"/>
      <c r="E404" s="2"/>
      <c r="F404" s="2"/>
      <c r="G404" s="2"/>
      <c r="H404" s="2" t="s">
        <v>668</v>
      </c>
    </row>
    <row r="405" customFormat="false" ht="15" hidden="false" customHeight="false" outlineLevel="0" collapsed="false">
      <c r="A405" s="2" t="s">
        <v>2728</v>
      </c>
      <c r="B405" s="2" t="s">
        <v>45</v>
      </c>
      <c r="C405" s="2" t="s">
        <v>4087</v>
      </c>
      <c r="D405" s="11" t="n">
        <v>678500</v>
      </c>
      <c r="E405" s="31" t="n">
        <v>76.7</v>
      </c>
      <c r="F405" s="31" t="n">
        <v>84.1</v>
      </c>
      <c r="G405" s="2"/>
      <c r="H405" s="2" t="s">
        <v>668</v>
      </c>
    </row>
    <row r="406" customFormat="false" ht="15" hidden="false" customHeight="false" outlineLevel="0" collapsed="false">
      <c r="A406" s="2" t="s">
        <v>2728</v>
      </c>
      <c r="B406" s="2" t="s">
        <v>46</v>
      </c>
      <c r="C406" s="2" t="s">
        <v>4085</v>
      </c>
      <c r="D406" s="11" t="n">
        <v>15774</v>
      </c>
      <c r="E406" s="31" t="n">
        <v>35</v>
      </c>
      <c r="F406" s="31" t="n">
        <v>28.8</v>
      </c>
      <c r="G406" s="31" t="n">
        <v>94.1</v>
      </c>
      <c r="H406" s="2" t="s">
        <v>671</v>
      </c>
    </row>
    <row r="407" customFormat="false" ht="15" hidden="false" customHeight="false" outlineLevel="0" collapsed="false">
      <c r="A407" s="2" t="s">
        <v>2728</v>
      </c>
      <c r="B407" s="2" t="s">
        <v>46</v>
      </c>
      <c r="C407" s="2" t="s">
        <v>4086</v>
      </c>
      <c r="D407" s="11" t="n">
        <v>15780</v>
      </c>
      <c r="E407" s="31" t="n">
        <v>27.9</v>
      </c>
      <c r="F407" s="31" t="n">
        <v>68</v>
      </c>
      <c r="G407" s="31" t="n">
        <v>72.6</v>
      </c>
      <c r="H407" s="2" t="s">
        <v>671</v>
      </c>
    </row>
    <row r="408" customFormat="false" ht="15" hidden="false" customHeight="false" outlineLevel="0" collapsed="false">
      <c r="A408" s="2" t="s">
        <v>2728</v>
      </c>
      <c r="B408" s="2" t="s">
        <v>46</v>
      </c>
      <c r="C408" s="2" t="s">
        <v>4087</v>
      </c>
      <c r="D408" s="2"/>
      <c r="E408" s="2"/>
      <c r="F408" s="2"/>
      <c r="G408" s="2"/>
      <c r="H408" s="2" t="s">
        <v>668</v>
      </c>
    </row>
    <row r="409" customFormat="false" ht="15" hidden="false" customHeight="false" outlineLevel="0" collapsed="false">
      <c r="A409" s="2" t="s">
        <v>1604</v>
      </c>
      <c r="B409" s="2" t="s">
        <v>4104</v>
      </c>
      <c r="C409" s="2" t="s">
        <v>4085</v>
      </c>
      <c r="D409" s="2"/>
      <c r="E409" s="31" t="n">
        <v>70</v>
      </c>
      <c r="F409" s="31" t="n">
        <v>29.6</v>
      </c>
      <c r="G409" s="31" t="n">
        <v>63.5</v>
      </c>
      <c r="H409" s="2" t="s">
        <v>671</v>
      </c>
    </row>
    <row r="410" customFormat="false" ht="15" hidden="false" customHeight="false" outlineLevel="0" collapsed="false">
      <c r="A410" s="2" t="s">
        <v>1604</v>
      </c>
      <c r="B410" s="2" t="s">
        <v>4104</v>
      </c>
      <c r="C410" s="2" t="s">
        <v>4086</v>
      </c>
      <c r="D410" s="2"/>
      <c r="E410" s="31" t="n">
        <v>79.6</v>
      </c>
      <c r="F410" s="31" t="n">
        <v>41.1</v>
      </c>
      <c r="G410" s="2"/>
      <c r="H410" s="2" t="s">
        <v>668</v>
      </c>
    </row>
    <row r="411" customFormat="false" ht="15" hidden="false" customHeight="false" outlineLevel="0" collapsed="false">
      <c r="A411" s="2" t="s">
        <v>1604</v>
      </c>
      <c r="B411" s="2" t="s">
        <v>4104</v>
      </c>
      <c r="C411" s="2" t="s">
        <v>4087</v>
      </c>
      <c r="D411" s="2"/>
      <c r="E411" s="31" t="n">
        <v>66.3</v>
      </c>
      <c r="F411" s="31" t="n">
        <v>42.6</v>
      </c>
      <c r="G411" s="31" t="n">
        <v>60</v>
      </c>
      <c r="H411" s="2" t="s">
        <v>668</v>
      </c>
    </row>
    <row r="412" customFormat="false" ht="15" hidden="false" customHeight="false" outlineLevel="0" collapsed="false">
      <c r="A412" s="2" t="s">
        <v>1604</v>
      </c>
      <c r="B412" s="2" t="s">
        <v>45</v>
      </c>
      <c r="C412" s="2" t="s">
        <v>4085</v>
      </c>
      <c r="D412" s="11" t="n">
        <v>42644</v>
      </c>
      <c r="E412" s="31" t="n">
        <v>60.1</v>
      </c>
      <c r="F412" s="31" t="n">
        <v>22.6</v>
      </c>
      <c r="G412" s="31" t="n">
        <v>93.2</v>
      </c>
      <c r="H412" s="2" t="s">
        <v>671</v>
      </c>
    </row>
    <row r="413" customFormat="false" ht="15" hidden="false" customHeight="false" outlineLevel="0" collapsed="false">
      <c r="A413" s="2" t="s">
        <v>1604</v>
      </c>
      <c r="B413" s="2" t="s">
        <v>45</v>
      </c>
      <c r="C413" s="2" t="s">
        <v>4086</v>
      </c>
      <c r="D413" s="2"/>
      <c r="E413" s="2"/>
      <c r="F413" s="2"/>
      <c r="G413" s="2"/>
      <c r="H413" s="2" t="s">
        <v>668</v>
      </c>
    </row>
    <row r="414" customFormat="false" ht="15" hidden="false" customHeight="false" outlineLevel="0" collapsed="false">
      <c r="A414" s="2" t="s">
        <v>1604</v>
      </c>
      <c r="B414" s="2" t="s">
        <v>45</v>
      </c>
      <c r="C414" s="2" t="s">
        <v>4087</v>
      </c>
      <c r="D414" s="11" t="n">
        <v>43730</v>
      </c>
      <c r="E414" s="31" t="n">
        <v>36.5</v>
      </c>
      <c r="F414" s="2"/>
      <c r="G414" s="31" t="n">
        <v>66.9</v>
      </c>
      <c r="H414" s="2" t="s">
        <v>668</v>
      </c>
    </row>
    <row r="415" customFormat="false" ht="15" hidden="false" customHeight="false" outlineLevel="0" collapsed="false">
      <c r="A415" s="2" t="s">
        <v>1604</v>
      </c>
      <c r="B415" s="2" t="s">
        <v>46</v>
      </c>
      <c r="C415" s="2" t="s">
        <v>4085</v>
      </c>
      <c r="D415" s="11" t="n">
        <v>44960</v>
      </c>
      <c r="E415" s="31" t="n">
        <v>52.4</v>
      </c>
      <c r="F415" s="31" t="n">
        <v>58.8</v>
      </c>
      <c r="G415" s="31" t="n">
        <v>52.1</v>
      </c>
      <c r="H415" s="2" t="s">
        <v>671</v>
      </c>
    </row>
    <row r="416" customFormat="false" ht="15" hidden="false" customHeight="false" outlineLevel="0" collapsed="false">
      <c r="A416" s="2" t="s">
        <v>1604</v>
      </c>
      <c r="B416" s="2" t="s">
        <v>46</v>
      </c>
      <c r="C416" s="2" t="s">
        <v>4086</v>
      </c>
      <c r="D416" s="11" t="n">
        <v>47649</v>
      </c>
      <c r="E416" s="31" t="n">
        <v>64.8</v>
      </c>
      <c r="F416" s="31" t="n">
        <v>73.5</v>
      </c>
      <c r="G416" s="2"/>
      <c r="H416" s="2" t="s">
        <v>668</v>
      </c>
    </row>
    <row r="417" customFormat="false" ht="15" hidden="false" customHeight="false" outlineLevel="0" collapsed="false">
      <c r="A417" s="2" t="s">
        <v>1604</v>
      </c>
      <c r="B417" s="2" t="s">
        <v>46</v>
      </c>
      <c r="C417" s="2" t="s">
        <v>4087</v>
      </c>
      <c r="D417" s="11" t="n">
        <v>50354</v>
      </c>
      <c r="E417" s="31" t="n">
        <v>63.6</v>
      </c>
      <c r="F417" s="31" t="n">
        <v>81.7</v>
      </c>
      <c r="G417" s="31" t="n">
        <v>76.7</v>
      </c>
      <c r="H417" s="2" t="s">
        <v>671</v>
      </c>
    </row>
    <row r="418" customFormat="false" ht="15" hidden="false" customHeight="false" outlineLevel="0" collapsed="false">
      <c r="A418" s="2" t="s">
        <v>1604</v>
      </c>
      <c r="B418" s="2" t="s">
        <v>47</v>
      </c>
      <c r="C418" s="2" t="s">
        <v>4085</v>
      </c>
      <c r="D418" s="11" t="n">
        <v>109597</v>
      </c>
      <c r="E418" s="31" t="n">
        <v>97.4</v>
      </c>
      <c r="F418" s="31" t="n">
        <v>7.4</v>
      </c>
      <c r="G418" s="31" t="n">
        <v>45.3</v>
      </c>
      <c r="H418" s="2" t="s">
        <v>671</v>
      </c>
    </row>
    <row r="419" customFormat="false" ht="15" hidden="false" customHeight="false" outlineLevel="0" collapsed="false">
      <c r="A419" s="2" t="s">
        <v>1604</v>
      </c>
      <c r="B419" s="2" t="s">
        <v>47</v>
      </c>
      <c r="C419" s="2" t="s">
        <v>4086</v>
      </c>
      <c r="D419" s="11" t="n">
        <v>107481</v>
      </c>
      <c r="E419" s="31" t="n">
        <v>94.4</v>
      </c>
      <c r="F419" s="31" t="n">
        <v>8.7</v>
      </c>
      <c r="G419" s="2"/>
      <c r="H419" s="2" t="s">
        <v>668</v>
      </c>
    </row>
    <row r="420" customFormat="false" ht="15" hidden="false" customHeight="false" outlineLevel="0" collapsed="false">
      <c r="A420" s="2" t="s">
        <v>1604</v>
      </c>
      <c r="B420" s="2" t="s">
        <v>47</v>
      </c>
      <c r="C420" s="2" t="s">
        <v>4087</v>
      </c>
      <c r="D420" s="11" t="n">
        <v>107778</v>
      </c>
      <c r="E420" s="31" t="n">
        <v>98.9</v>
      </c>
      <c r="F420" s="31" t="n">
        <v>3.6</v>
      </c>
      <c r="G420" s="31" t="n">
        <v>36.4</v>
      </c>
      <c r="H420" s="2" t="s">
        <v>671</v>
      </c>
    </row>
    <row r="421" customFormat="false" ht="15" hidden="false" customHeight="false" outlineLevel="0" collapsed="false">
      <c r="A421" s="2" t="s">
        <v>1575</v>
      </c>
      <c r="B421" s="2" t="s">
        <v>4104</v>
      </c>
      <c r="C421" s="2" t="s">
        <v>4085</v>
      </c>
      <c r="D421" s="2"/>
      <c r="E421" s="31" t="n">
        <v>47</v>
      </c>
      <c r="F421" s="31" t="n">
        <v>48.7</v>
      </c>
      <c r="G421" s="31" t="n">
        <v>84.5</v>
      </c>
      <c r="H421" s="2" t="s">
        <v>671</v>
      </c>
    </row>
    <row r="422" customFormat="false" ht="15" hidden="false" customHeight="false" outlineLevel="0" collapsed="false">
      <c r="A422" s="2" t="s">
        <v>1575</v>
      </c>
      <c r="B422" s="2" t="s">
        <v>4104</v>
      </c>
      <c r="C422" s="2" t="s">
        <v>4086</v>
      </c>
      <c r="D422" s="2"/>
      <c r="E422" s="31" t="n">
        <v>73</v>
      </c>
      <c r="F422" s="31" t="n">
        <v>41.2</v>
      </c>
      <c r="G422" s="31" t="n">
        <v>9.3</v>
      </c>
      <c r="H422" s="2" t="s">
        <v>668</v>
      </c>
    </row>
    <row r="423" customFormat="false" ht="15" hidden="false" customHeight="false" outlineLevel="0" collapsed="false">
      <c r="A423" s="2" t="s">
        <v>1575</v>
      </c>
      <c r="B423" s="2" t="s">
        <v>4104</v>
      </c>
      <c r="C423" s="2" t="s">
        <v>4087</v>
      </c>
      <c r="D423" s="2"/>
      <c r="E423" s="31" t="n">
        <v>74.1</v>
      </c>
      <c r="F423" s="31" t="n">
        <v>44.1</v>
      </c>
      <c r="G423" s="31" t="n">
        <v>25.6</v>
      </c>
      <c r="H423" s="2" t="s">
        <v>668</v>
      </c>
    </row>
    <row r="424" customFormat="false" ht="15" hidden="false" customHeight="false" outlineLevel="0" collapsed="false">
      <c r="A424" s="2" t="s">
        <v>1575</v>
      </c>
      <c r="B424" s="2" t="s">
        <v>45</v>
      </c>
      <c r="C424" s="2" t="s">
        <v>4085</v>
      </c>
      <c r="D424" s="11" t="n">
        <v>17040</v>
      </c>
      <c r="E424" s="31" t="n">
        <v>41.5</v>
      </c>
      <c r="F424" s="31" t="n">
        <v>20.8</v>
      </c>
      <c r="G424" s="31" t="n">
        <v>76.6</v>
      </c>
      <c r="H424" s="2" t="s">
        <v>671</v>
      </c>
    </row>
    <row r="425" customFormat="false" ht="15" hidden="false" customHeight="false" outlineLevel="0" collapsed="false">
      <c r="A425" s="2" t="s">
        <v>1575</v>
      </c>
      <c r="B425" s="2" t="s">
        <v>45</v>
      </c>
      <c r="C425" s="2" t="s">
        <v>4086</v>
      </c>
      <c r="D425" s="2"/>
      <c r="E425" s="2"/>
      <c r="F425" s="2"/>
      <c r="G425" s="2"/>
      <c r="H425" s="2" t="s">
        <v>668</v>
      </c>
    </row>
    <row r="426" customFormat="false" ht="15" hidden="false" customHeight="false" outlineLevel="0" collapsed="false">
      <c r="A426" s="2" t="s">
        <v>1575</v>
      </c>
      <c r="B426" s="2" t="s">
        <v>45</v>
      </c>
      <c r="C426" s="2" t="s">
        <v>4087</v>
      </c>
      <c r="D426" s="11" t="n">
        <v>17746</v>
      </c>
      <c r="E426" s="31" t="n">
        <v>81.4</v>
      </c>
      <c r="F426" s="31" t="n">
        <v>23.4</v>
      </c>
      <c r="G426" s="2"/>
      <c r="H426" s="2" t="s">
        <v>668</v>
      </c>
    </row>
    <row r="427" customFormat="false" ht="15" hidden="false" customHeight="false" outlineLevel="0" collapsed="false">
      <c r="A427" s="2" t="s">
        <v>1575</v>
      </c>
      <c r="B427" s="2" t="s">
        <v>46</v>
      </c>
      <c r="C427" s="2" t="s">
        <v>4085</v>
      </c>
      <c r="D427" s="11" t="n">
        <v>4690</v>
      </c>
      <c r="E427" s="31" t="n">
        <v>36.6</v>
      </c>
      <c r="F427" s="31" t="n">
        <v>87.7</v>
      </c>
      <c r="G427" s="31" t="n">
        <v>87</v>
      </c>
      <c r="H427" s="2" t="s">
        <v>671</v>
      </c>
    </row>
    <row r="428" customFormat="false" ht="15" hidden="false" customHeight="false" outlineLevel="0" collapsed="false">
      <c r="A428" s="2" t="s">
        <v>1575</v>
      </c>
      <c r="B428" s="2" t="s">
        <v>46</v>
      </c>
      <c r="C428" s="2" t="s">
        <v>4086</v>
      </c>
      <c r="D428" s="11" t="n">
        <v>4830</v>
      </c>
      <c r="E428" s="31" t="n">
        <v>67.4</v>
      </c>
      <c r="F428" s="31" t="n">
        <v>64.2</v>
      </c>
      <c r="G428" s="31" t="n">
        <v>9.3</v>
      </c>
      <c r="H428" s="2" t="s">
        <v>671</v>
      </c>
    </row>
    <row r="429" customFormat="false" ht="15" hidden="false" customHeight="false" outlineLevel="0" collapsed="false">
      <c r="A429" s="2" t="s">
        <v>1575</v>
      </c>
      <c r="B429" s="2" t="s">
        <v>46</v>
      </c>
      <c r="C429" s="2" t="s">
        <v>4087</v>
      </c>
      <c r="D429" s="11" t="n">
        <v>5060</v>
      </c>
      <c r="E429" s="31" t="n">
        <v>68.3</v>
      </c>
      <c r="F429" s="31" t="n">
        <v>66.7</v>
      </c>
      <c r="G429" s="31" t="n">
        <v>9.1</v>
      </c>
      <c r="H429" s="2" t="s">
        <v>671</v>
      </c>
    </row>
    <row r="430" customFormat="false" ht="15" hidden="false" customHeight="false" outlineLevel="0" collapsed="false">
      <c r="A430" s="2" t="s">
        <v>1575</v>
      </c>
      <c r="B430" s="2" t="s">
        <v>47</v>
      </c>
      <c r="C430" s="2" t="s">
        <v>4085</v>
      </c>
      <c r="D430" s="11" t="n">
        <v>55492</v>
      </c>
      <c r="E430" s="31" t="n">
        <v>62.8</v>
      </c>
      <c r="F430" s="31" t="n">
        <v>37.6</v>
      </c>
      <c r="G430" s="31" t="n">
        <v>89.8</v>
      </c>
      <c r="H430" s="2" t="s">
        <v>671</v>
      </c>
    </row>
    <row r="431" customFormat="false" ht="15" hidden="false" customHeight="false" outlineLevel="0" collapsed="false">
      <c r="A431" s="2" t="s">
        <v>1575</v>
      </c>
      <c r="B431" s="2" t="s">
        <v>47</v>
      </c>
      <c r="C431" s="2" t="s">
        <v>4086</v>
      </c>
      <c r="D431" s="11" t="n">
        <v>55602</v>
      </c>
      <c r="E431" s="31" t="n">
        <v>78.5</v>
      </c>
      <c r="F431" s="31" t="n">
        <v>18.2</v>
      </c>
      <c r="G431" s="2"/>
      <c r="H431" s="2" t="s">
        <v>668</v>
      </c>
    </row>
    <row r="432" customFormat="false" ht="15" hidden="false" customHeight="false" outlineLevel="0" collapsed="false">
      <c r="A432" s="2" t="s">
        <v>1575</v>
      </c>
      <c r="B432" s="2" t="s">
        <v>47</v>
      </c>
      <c r="C432" s="2" t="s">
        <v>4087</v>
      </c>
      <c r="D432" s="11" t="n">
        <v>57001</v>
      </c>
      <c r="E432" s="31" t="n">
        <v>72.6</v>
      </c>
      <c r="F432" s="31" t="n">
        <v>42.2</v>
      </c>
      <c r="G432" s="31" t="n">
        <v>42.1</v>
      </c>
      <c r="H432" s="2" t="s">
        <v>671</v>
      </c>
    </row>
    <row r="433" customFormat="false" ht="15" hidden="false" customHeight="false" outlineLevel="0" collapsed="false">
      <c r="A433" s="2" t="s">
        <v>1423</v>
      </c>
      <c r="B433" s="2" t="s">
        <v>4104</v>
      </c>
      <c r="C433" s="2" t="s">
        <v>4085</v>
      </c>
      <c r="D433" s="2"/>
      <c r="E433" s="31" t="n">
        <v>70.2</v>
      </c>
      <c r="F433" s="31" t="n">
        <v>65</v>
      </c>
      <c r="G433" s="31" t="n">
        <v>37.6</v>
      </c>
      <c r="H433" s="2" t="s">
        <v>668</v>
      </c>
    </row>
    <row r="434" customFormat="false" ht="15" hidden="false" customHeight="false" outlineLevel="0" collapsed="false">
      <c r="A434" s="2" t="s">
        <v>1423</v>
      </c>
      <c r="B434" s="2" t="s">
        <v>4104</v>
      </c>
      <c r="C434" s="2" t="s">
        <v>4086</v>
      </c>
      <c r="D434" s="2"/>
      <c r="E434" s="31" t="n">
        <v>53.8</v>
      </c>
      <c r="F434" s="31" t="n">
        <v>63.4</v>
      </c>
      <c r="G434" s="31" t="n">
        <v>21.3</v>
      </c>
      <c r="H434" s="2" t="s">
        <v>668</v>
      </c>
    </row>
    <row r="435" customFormat="false" ht="15" hidden="false" customHeight="false" outlineLevel="0" collapsed="false">
      <c r="A435" s="2" t="s">
        <v>1423</v>
      </c>
      <c r="B435" s="2" t="s">
        <v>4104</v>
      </c>
      <c r="C435" s="2" t="s">
        <v>4087</v>
      </c>
      <c r="D435" s="2"/>
      <c r="E435" s="31" t="n">
        <v>71</v>
      </c>
      <c r="F435" s="31" t="n">
        <v>41</v>
      </c>
      <c r="G435" s="31" t="n">
        <v>83.9</v>
      </c>
      <c r="H435" s="2" t="s">
        <v>668</v>
      </c>
    </row>
    <row r="436" customFormat="false" ht="15" hidden="false" customHeight="false" outlineLevel="0" collapsed="false">
      <c r="A436" s="2" t="s">
        <v>1423</v>
      </c>
      <c r="B436" s="2" t="s">
        <v>45</v>
      </c>
      <c r="C436" s="2" t="s">
        <v>4085</v>
      </c>
      <c r="D436" s="11" t="n">
        <v>174920</v>
      </c>
      <c r="E436" s="31" t="n">
        <v>94.4</v>
      </c>
      <c r="F436" s="31" t="n">
        <v>73.3</v>
      </c>
      <c r="G436" s="31" t="n">
        <v>22</v>
      </c>
      <c r="H436" s="2" t="s">
        <v>671</v>
      </c>
    </row>
    <row r="437" customFormat="false" ht="15" hidden="false" customHeight="false" outlineLevel="0" collapsed="false">
      <c r="A437" s="2" t="s">
        <v>1423</v>
      </c>
      <c r="B437" s="2" t="s">
        <v>45</v>
      </c>
      <c r="C437" s="2" t="s">
        <v>4086</v>
      </c>
      <c r="D437" s="11" t="n">
        <v>180880</v>
      </c>
      <c r="E437" s="31" t="n">
        <v>95.3</v>
      </c>
      <c r="F437" s="31" t="n">
        <v>74.3</v>
      </c>
      <c r="G437" s="31" t="n">
        <v>3</v>
      </c>
      <c r="H437" s="2" t="s">
        <v>671</v>
      </c>
    </row>
    <row r="438" customFormat="false" ht="15" hidden="false" customHeight="false" outlineLevel="0" collapsed="false">
      <c r="A438" s="2" t="s">
        <v>1423</v>
      </c>
      <c r="B438" s="2" t="s">
        <v>45</v>
      </c>
      <c r="C438" s="2" t="s">
        <v>4087</v>
      </c>
      <c r="D438" s="11" t="n">
        <v>195273</v>
      </c>
      <c r="E438" s="31" t="n">
        <v>92.1</v>
      </c>
      <c r="F438" s="31" t="n">
        <v>70.3</v>
      </c>
      <c r="G438" s="2"/>
      <c r="H438" s="2" t="s">
        <v>668</v>
      </c>
    </row>
    <row r="439" customFormat="false" ht="15" hidden="false" customHeight="false" outlineLevel="0" collapsed="false">
      <c r="A439" s="2" t="s">
        <v>1423</v>
      </c>
      <c r="B439" s="2" t="s">
        <v>46</v>
      </c>
      <c r="C439" s="2" t="s">
        <v>4085</v>
      </c>
      <c r="D439" s="11" t="n">
        <v>104880</v>
      </c>
      <c r="E439" s="31" t="n">
        <v>89</v>
      </c>
      <c r="F439" s="2"/>
      <c r="G439" s="31" t="n">
        <v>53.2</v>
      </c>
      <c r="H439" s="2" t="s">
        <v>668</v>
      </c>
    </row>
    <row r="440" customFormat="false" ht="15" hidden="false" customHeight="false" outlineLevel="0" collapsed="false">
      <c r="A440" s="2" t="s">
        <v>1423</v>
      </c>
      <c r="B440" s="2" t="s">
        <v>46</v>
      </c>
      <c r="C440" s="2" t="s">
        <v>4086</v>
      </c>
      <c r="D440" s="2"/>
      <c r="E440" s="2"/>
      <c r="F440" s="2"/>
      <c r="G440" s="2"/>
      <c r="H440" s="2" t="s">
        <v>668</v>
      </c>
    </row>
    <row r="441" customFormat="false" ht="15" hidden="false" customHeight="false" outlineLevel="0" collapsed="false">
      <c r="A441" s="2" t="s">
        <v>1423</v>
      </c>
      <c r="B441" s="2" t="s">
        <v>46</v>
      </c>
      <c r="C441" s="2" t="s">
        <v>4087</v>
      </c>
      <c r="D441" s="11" t="n">
        <v>101980</v>
      </c>
      <c r="E441" s="31" t="n">
        <v>92</v>
      </c>
      <c r="F441" s="31" t="n">
        <v>7.3</v>
      </c>
      <c r="G441" s="31" t="n">
        <v>83.9</v>
      </c>
      <c r="H441" s="2" t="s">
        <v>671</v>
      </c>
    </row>
    <row r="442" customFormat="false" ht="15" hidden="false" customHeight="false" outlineLevel="0" collapsed="false">
      <c r="A442" s="2" t="s">
        <v>1423</v>
      </c>
      <c r="B442" s="2" t="s">
        <v>47</v>
      </c>
      <c r="C442" s="2" t="s">
        <v>4085</v>
      </c>
      <c r="D442" s="11" t="n">
        <v>5980</v>
      </c>
      <c r="E442" s="31" t="n">
        <v>27.2</v>
      </c>
      <c r="F442" s="31" t="n">
        <v>56.7</v>
      </c>
      <c r="G442" s="2"/>
      <c r="H442" s="2" t="s">
        <v>668</v>
      </c>
    </row>
    <row r="443" customFormat="false" ht="15" hidden="false" customHeight="false" outlineLevel="0" collapsed="false">
      <c r="A443" s="2" t="s">
        <v>1423</v>
      </c>
      <c r="B443" s="2" t="s">
        <v>47</v>
      </c>
      <c r="C443" s="2" t="s">
        <v>4086</v>
      </c>
      <c r="D443" s="11" t="n">
        <v>6000</v>
      </c>
      <c r="E443" s="31" t="n">
        <v>12.3</v>
      </c>
      <c r="F443" s="31" t="n">
        <v>52.5</v>
      </c>
      <c r="G443" s="31" t="n">
        <v>39.6</v>
      </c>
      <c r="H443" s="2" t="s">
        <v>671</v>
      </c>
    </row>
    <row r="444" customFormat="false" ht="15" hidden="false" customHeight="false" outlineLevel="0" collapsed="false">
      <c r="A444" s="2" t="s">
        <v>1423</v>
      </c>
      <c r="B444" s="2" t="s">
        <v>47</v>
      </c>
      <c r="C444" s="2" t="s">
        <v>4087</v>
      </c>
      <c r="D444" s="11" t="n">
        <v>6275</v>
      </c>
      <c r="E444" s="31" t="n">
        <v>28.9</v>
      </c>
      <c r="F444" s="31" t="n">
        <v>45.3</v>
      </c>
      <c r="G444" s="2"/>
      <c r="H444" s="2" t="s">
        <v>668</v>
      </c>
    </row>
    <row r="445" customFormat="false" ht="15" hidden="false" customHeight="false" outlineLevel="0" collapsed="false">
      <c r="A445" s="2" t="s">
        <v>71</v>
      </c>
      <c r="B445" s="2" t="s">
        <v>4104</v>
      </c>
      <c r="C445" s="2" t="s">
        <v>4085</v>
      </c>
      <c r="D445" s="2"/>
      <c r="E445" s="31" t="n">
        <v>99.3</v>
      </c>
      <c r="F445" s="31" t="n">
        <v>65.6</v>
      </c>
      <c r="G445" s="31" t="n">
        <v>48.9</v>
      </c>
      <c r="H445" s="2" t="s">
        <v>671</v>
      </c>
    </row>
    <row r="446" customFormat="false" ht="15" hidden="false" customHeight="false" outlineLevel="0" collapsed="false">
      <c r="A446" s="2" t="s">
        <v>71</v>
      </c>
      <c r="B446" s="2" t="s">
        <v>4104</v>
      </c>
      <c r="C446" s="2" t="s">
        <v>4086</v>
      </c>
      <c r="D446" s="2"/>
      <c r="E446" s="31" t="n">
        <v>98.6</v>
      </c>
      <c r="F446" s="31" t="n">
        <v>48.8</v>
      </c>
      <c r="G446" s="31" t="n">
        <v>50.4</v>
      </c>
      <c r="H446" s="2" t="s">
        <v>671</v>
      </c>
    </row>
    <row r="447" customFormat="false" ht="15" hidden="false" customHeight="false" outlineLevel="0" collapsed="false">
      <c r="A447" s="2" t="s">
        <v>71</v>
      </c>
      <c r="B447" s="2" t="s">
        <v>4104</v>
      </c>
      <c r="C447" s="2" t="s">
        <v>4087</v>
      </c>
      <c r="D447" s="2"/>
      <c r="E447" s="31" t="n">
        <v>99.8</v>
      </c>
      <c r="F447" s="31" t="n">
        <v>70.7</v>
      </c>
      <c r="G447" s="31" t="n">
        <v>53</v>
      </c>
      <c r="H447" s="2" t="s">
        <v>671</v>
      </c>
    </row>
    <row r="448" customFormat="false" ht="15" hidden="false" customHeight="false" outlineLevel="0" collapsed="false">
      <c r="A448" s="2" t="s">
        <v>71</v>
      </c>
      <c r="B448" s="2" t="s">
        <v>47</v>
      </c>
      <c r="C448" s="2" t="s">
        <v>4085</v>
      </c>
      <c r="D448" s="11" t="n">
        <v>5900</v>
      </c>
      <c r="E448" s="31" t="n">
        <v>99.3</v>
      </c>
      <c r="F448" s="31" t="n">
        <v>65.6</v>
      </c>
      <c r="G448" s="31" t="n">
        <v>48.9</v>
      </c>
      <c r="H448" s="2" t="s">
        <v>671</v>
      </c>
    </row>
    <row r="449" customFormat="false" ht="15" hidden="false" customHeight="false" outlineLevel="0" collapsed="false">
      <c r="A449" s="2" t="s">
        <v>71</v>
      </c>
      <c r="B449" s="2" t="s">
        <v>47</v>
      </c>
      <c r="C449" s="2" t="s">
        <v>4086</v>
      </c>
      <c r="D449" s="11" t="n">
        <v>6232</v>
      </c>
      <c r="E449" s="31" t="n">
        <v>98.6</v>
      </c>
      <c r="F449" s="31" t="n">
        <v>48.8</v>
      </c>
      <c r="G449" s="31" t="n">
        <v>50.4</v>
      </c>
      <c r="H449" s="2" t="s">
        <v>671</v>
      </c>
    </row>
    <row r="450" customFormat="false" ht="15" hidden="false" customHeight="false" outlineLevel="0" collapsed="false">
      <c r="A450" s="2" t="s">
        <v>71</v>
      </c>
      <c r="B450" s="2" t="s">
        <v>47</v>
      </c>
      <c r="C450" s="2" t="s">
        <v>4087</v>
      </c>
      <c r="D450" s="11" t="n">
        <v>6568</v>
      </c>
      <c r="E450" s="31" t="n">
        <v>99.8</v>
      </c>
      <c r="F450" s="31" t="n">
        <v>70.7</v>
      </c>
      <c r="G450" s="31" t="n">
        <v>53</v>
      </c>
      <c r="H450" s="2" t="s">
        <v>671</v>
      </c>
    </row>
    <row r="451" customFormat="false" ht="15" hidden="false" customHeight="false" outlineLevel="0" collapsed="false">
      <c r="A451" s="2" t="s">
        <v>1708</v>
      </c>
      <c r="B451" s="2" t="s">
        <v>4104</v>
      </c>
      <c r="C451" s="2" t="s">
        <v>4085</v>
      </c>
      <c r="D451" s="2"/>
      <c r="E451" s="31" t="n">
        <v>54.5</v>
      </c>
      <c r="F451" s="31" t="n">
        <v>36.4</v>
      </c>
      <c r="G451" s="31" t="n">
        <v>46.3</v>
      </c>
      <c r="H451" s="2" t="s">
        <v>668</v>
      </c>
    </row>
    <row r="452" customFormat="false" ht="15" hidden="false" customHeight="false" outlineLevel="0" collapsed="false">
      <c r="A452" s="2" t="s">
        <v>1708</v>
      </c>
      <c r="B452" s="2" t="s">
        <v>4104</v>
      </c>
      <c r="C452" s="2" t="s">
        <v>4086</v>
      </c>
      <c r="D452" s="2"/>
      <c r="E452" s="31" t="n">
        <v>60.6</v>
      </c>
      <c r="F452" s="31" t="n">
        <v>33.6</v>
      </c>
      <c r="G452" s="31" t="n">
        <v>56.3</v>
      </c>
      <c r="H452" s="2" t="s">
        <v>671</v>
      </c>
    </row>
    <row r="453" customFormat="false" ht="15" hidden="false" customHeight="false" outlineLevel="0" collapsed="false">
      <c r="A453" s="2" t="s">
        <v>1708</v>
      </c>
      <c r="B453" s="2" t="s">
        <v>4104</v>
      </c>
      <c r="C453" s="2" t="s">
        <v>4087</v>
      </c>
      <c r="D453" s="2"/>
      <c r="E453" s="31" t="n">
        <v>54.1</v>
      </c>
      <c r="F453" s="31" t="n">
        <v>27.4</v>
      </c>
      <c r="G453" s="31" t="n">
        <v>26.4</v>
      </c>
      <c r="H453" s="2" t="s">
        <v>668</v>
      </c>
    </row>
    <row r="454" customFormat="false" ht="15" hidden="false" customHeight="false" outlineLevel="0" collapsed="false">
      <c r="A454" s="2" t="s">
        <v>1708</v>
      </c>
      <c r="B454" s="2" t="s">
        <v>45</v>
      </c>
      <c r="C454" s="2" t="s">
        <v>4085</v>
      </c>
      <c r="D454" s="11" t="n">
        <v>16780</v>
      </c>
      <c r="E454" s="31" t="n">
        <v>97.8</v>
      </c>
      <c r="F454" s="2"/>
      <c r="G454" s="2"/>
      <c r="H454" s="2" t="s">
        <v>668</v>
      </c>
    </row>
    <row r="455" customFormat="false" ht="15" hidden="false" customHeight="false" outlineLevel="0" collapsed="false">
      <c r="A455" s="2" t="s">
        <v>1708</v>
      </c>
      <c r="B455" s="2" t="s">
        <v>45</v>
      </c>
      <c r="C455" s="2" t="s">
        <v>4086</v>
      </c>
      <c r="D455" s="11" t="n">
        <v>17620</v>
      </c>
      <c r="E455" s="31" t="n">
        <v>93</v>
      </c>
      <c r="F455" s="31" t="n">
        <v>40.2</v>
      </c>
      <c r="G455" s="31" t="n">
        <v>86.7</v>
      </c>
      <c r="H455" s="2" t="s">
        <v>671</v>
      </c>
    </row>
    <row r="456" customFormat="false" ht="15" hidden="false" customHeight="false" outlineLevel="0" collapsed="false">
      <c r="A456" s="2" t="s">
        <v>1708</v>
      </c>
      <c r="B456" s="2" t="s">
        <v>45</v>
      </c>
      <c r="C456" s="2" t="s">
        <v>4087</v>
      </c>
      <c r="D456" s="11" t="n">
        <v>17440</v>
      </c>
      <c r="E456" s="31" t="n">
        <v>99.6</v>
      </c>
      <c r="F456" s="31" t="n">
        <v>35.7</v>
      </c>
      <c r="G456" s="2"/>
      <c r="H456" s="2" t="s">
        <v>668</v>
      </c>
    </row>
    <row r="457" customFormat="false" ht="15" hidden="false" customHeight="false" outlineLevel="0" collapsed="false">
      <c r="A457" s="2" t="s">
        <v>1708</v>
      </c>
      <c r="B457" s="2" t="s">
        <v>46</v>
      </c>
      <c r="C457" s="2" t="s">
        <v>4085</v>
      </c>
      <c r="D457" s="11" t="n">
        <v>220420</v>
      </c>
      <c r="E457" s="31" t="n">
        <v>37.8</v>
      </c>
      <c r="F457" s="31" t="n">
        <v>23.7</v>
      </c>
      <c r="G457" s="31" t="n">
        <v>29.9</v>
      </c>
      <c r="H457" s="2" t="s">
        <v>671</v>
      </c>
    </row>
    <row r="458" customFormat="false" ht="15" hidden="false" customHeight="false" outlineLevel="0" collapsed="false">
      <c r="A458" s="2" t="s">
        <v>1708</v>
      </c>
      <c r="B458" s="2" t="s">
        <v>46</v>
      </c>
      <c r="C458" s="2" t="s">
        <v>4086</v>
      </c>
      <c r="D458" s="11" t="n">
        <v>219670</v>
      </c>
      <c r="E458" s="31" t="n">
        <v>35.6</v>
      </c>
      <c r="F458" s="31" t="n">
        <v>4.5</v>
      </c>
      <c r="G458" s="31" t="n">
        <v>37.7</v>
      </c>
      <c r="H458" s="2" t="s">
        <v>671</v>
      </c>
    </row>
    <row r="459" customFormat="false" ht="15" hidden="false" customHeight="false" outlineLevel="0" collapsed="false">
      <c r="A459" s="2" t="s">
        <v>1708</v>
      </c>
      <c r="B459" s="2" t="s">
        <v>46</v>
      </c>
      <c r="C459" s="2" t="s">
        <v>4087</v>
      </c>
      <c r="D459" s="11" t="n">
        <v>219056</v>
      </c>
      <c r="E459" s="31" t="n">
        <v>44.4</v>
      </c>
      <c r="F459" s="31" t="n">
        <v>6</v>
      </c>
      <c r="G459" s="31" t="n">
        <v>26.4</v>
      </c>
      <c r="H459" s="2" t="s">
        <v>671</v>
      </c>
    </row>
    <row r="460" customFormat="false" ht="15" hidden="false" customHeight="false" outlineLevel="0" collapsed="false">
      <c r="A460" s="2" t="s">
        <v>1708</v>
      </c>
      <c r="B460" s="2" t="s">
        <v>47</v>
      </c>
      <c r="C460" s="2" t="s">
        <v>4085</v>
      </c>
      <c r="D460" s="11" t="n">
        <v>86199</v>
      </c>
      <c r="E460" s="31" t="n">
        <v>27.9</v>
      </c>
      <c r="F460" s="31" t="n">
        <v>49</v>
      </c>
      <c r="G460" s="31" t="n">
        <v>62.8</v>
      </c>
      <c r="H460" s="2" t="s">
        <v>671</v>
      </c>
    </row>
    <row r="461" customFormat="false" ht="15" hidden="false" customHeight="false" outlineLevel="0" collapsed="false">
      <c r="A461" s="2" t="s">
        <v>1708</v>
      </c>
      <c r="B461" s="2" t="s">
        <v>47</v>
      </c>
      <c r="C461" s="2" t="s">
        <v>4086</v>
      </c>
      <c r="D461" s="11" t="n">
        <v>88928</v>
      </c>
      <c r="E461" s="31" t="n">
        <v>53.1</v>
      </c>
      <c r="F461" s="31" t="n">
        <v>56.2</v>
      </c>
      <c r="G461" s="31" t="n">
        <v>44.6</v>
      </c>
      <c r="H461" s="2" t="s">
        <v>671</v>
      </c>
    </row>
    <row r="462" customFormat="false" ht="15" hidden="false" customHeight="false" outlineLevel="0" collapsed="false">
      <c r="A462" s="2" t="s">
        <v>1708</v>
      </c>
      <c r="B462" s="2" t="s">
        <v>47</v>
      </c>
      <c r="C462" s="2" t="s">
        <v>4087</v>
      </c>
      <c r="D462" s="11" t="n">
        <v>93275</v>
      </c>
      <c r="E462" s="31" t="n">
        <v>18.3</v>
      </c>
      <c r="F462" s="31" t="n">
        <v>40.4</v>
      </c>
      <c r="G462" s="2"/>
      <c r="H462" s="2" t="s">
        <v>668</v>
      </c>
    </row>
    <row r="463" customFormat="false" ht="15" hidden="false" customHeight="false" outlineLevel="0" collapsed="false">
      <c r="A463" s="2" t="s">
        <v>542</v>
      </c>
      <c r="B463" s="2" t="s">
        <v>4104</v>
      </c>
      <c r="C463" s="2" t="s">
        <v>4085</v>
      </c>
      <c r="D463" s="2"/>
      <c r="E463" s="31" t="n">
        <v>55</v>
      </c>
      <c r="F463" s="31" t="n">
        <v>63.7</v>
      </c>
      <c r="G463" s="31" t="n">
        <v>97.4</v>
      </c>
      <c r="H463" s="2" t="s">
        <v>671</v>
      </c>
    </row>
    <row r="464" customFormat="false" ht="15" hidden="false" customHeight="false" outlineLevel="0" collapsed="false">
      <c r="A464" s="2" t="s">
        <v>542</v>
      </c>
      <c r="B464" s="2" t="s">
        <v>4104</v>
      </c>
      <c r="C464" s="2" t="s">
        <v>4086</v>
      </c>
      <c r="D464" s="2"/>
      <c r="E464" s="31" t="n">
        <v>43.2</v>
      </c>
      <c r="F464" s="31" t="n">
        <v>55.2</v>
      </c>
      <c r="G464" s="31" t="n">
        <v>93.2</v>
      </c>
      <c r="H464" s="2" t="s">
        <v>671</v>
      </c>
    </row>
    <row r="465" customFormat="false" ht="15" hidden="false" customHeight="false" outlineLevel="0" collapsed="false">
      <c r="A465" s="2" t="s">
        <v>542</v>
      </c>
      <c r="B465" s="2" t="s">
        <v>4104</v>
      </c>
      <c r="C465" s="2" t="s">
        <v>4087</v>
      </c>
      <c r="D465" s="2"/>
      <c r="E465" s="31" t="n">
        <v>31.4</v>
      </c>
      <c r="F465" s="31" t="n">
        <v>64.5</v>
      </c>
      <c r="G465" s="31" t="n">
        <v>81.7</v>
      </c>
      <c r="H465" s="2" t="s">
        <v>671</v>
      </c>
    </row>
    <row r="466" customFormat="false" ht="15" hidden="false" customHeight="false" outlineLevel="0" collapsed="false">
      <c r="A466" s="2" t="s">
        <v>542</v>
      </c>
      <c r="B466" s="2" t="s">
        <v>47</v>
      </c>
      <c r="C466" s="2" t="s">
        <v>4085</v>
      </c>
      <c r="D466" s="11" t="n">
        <v>15476</v>
      </c>
      <c r="E466" s="31" t="n">
        <v>55</v>
      </c>
      <c r="F466" s="31" t="n">
        <v>63.7</v>
      </c>
      <c r="G466" s="31" t="n">
        <v>97.4</v>
      </c>
      <c r="H466" s="2" t="s">
        <v>671</v>
      </c>
    </row>
    <row r="467" customFormat="false" ht="15" hidden="false" customHeight="false" outlineLevel="0" collapsed="false">
      <c r="A467" s="2" t="s">
        <v>542</v>
      </c>
      <c r="B467" s="2" t="s">
        <v>47</v>
      </c>
      <c r="C467" s="2" t="s">
        <v>4086</v>
      </c>
      <c r="D467" s="11" t="n">
        <v>15890</v>
      </c>
      <c r="E467" s="31" t="n">
        <v>43.2</v>
      </c>
      <c r="F467" s="31" t="n">
        <v>55.2</v>
      </c>
      <c r="G467" s="31" t="n">
        <v>93.2</v>
      </c>
      <c r="H467" s="2" t="s">
        <v>671</v>
      </c>
    </row>
    <row r="468" customFormat="false" ht="15" hidden="false" customHeight="false" outlineLevel="0" collapsed="false">
      <c r="A468" s="2" t="s">
        <v>542</v>
      </c>
      <c r="B468" s="2" t="s">
        <v>47</v>
      </c>
      <c r="C468" s="2" t="s">
        <v>4087</v>
      </c>
      <c r="D468" s="11" t="n">
        <v>16492</v>
      </c>
      <c r="E468" s="31" t="n">
        <v>31.4</v>
      </c>
      <c r="F468" s="31" t="n">
        <v>64.5</v>
      </c>
      <c r="G468" s="31" t="n">
        <v>81.7</v>
      </c>
      <c r="H468" s="2" t="s">
        <v>671</v>
      </c>
    </row>
    <row r="469" customFormat="false" ht="15" hidden="false" customHeight="false" outlineLevel="0" collapsed="false">
      <c r="A469" s="2" t="s">
        <v>2736</v>
      </c>
      <c r="B469" s="2" t="s">
        <v>4104</v>
      </c>
      <c r="C469" s="2" t="s">
        <v>4085</v>
      </c>
      <c r="D469" s="2"/>
      <c r="E469" s="2"/>
      <c r="F469" s="2"/>
      <c r="G469" s="2"/>
      <c r="H469" s="2" t="s">
        <v>668</v>
      </c>
    </row>
    <row r="470" customFormat="false" ht="15" hidden="false" customHeight="false" outlineLevel="0" collapsed="false">
      <c r="A470" s="2" t="s">
        <v>2736</v>
      </c>
      <c r="B470" s="2" t="s">
        <v>4104</v>
      </c>
      <c r="C470" s="2" t="s">
        <v>4086</v>
      </c>
      <c r="D470" s="2"/>
      <c r="E470" s="2"/>
      <c r="F470" s="2"/>
      <c r="G470" s="2"/>
      <c r="H470" s="2" t="s">
        <v>668</v>
      </c>
    </row>
    <row r="471" customFormat="false" ht="15" hidden="false" customHeight="false" outlineLevel="0" collapsed="false">
      <c r="A471" s="2" t="s">
        <v>2736</v>
      </c>
      <c r="B471" s="2" t="s">
        <v>4104</v>
      </c>
      <c r="C471" s="2" t="s">
        <v>4087</v>
      </c>
      <c r="D471" s="2"/>
      <c r="E471" s="2"/>
      <c r="F471" s="2"/>
      <c r="G471" s="2"/>
      <c r="H471" s="2" t="s">
        <v>668</v>
      </c>
    </row>
    <row r="472" customFormat="false" ht="15" hidden="false" customHeight="false" outlineLevel="0" collapsed="false">
      <c r="A472" s="2" t="s">
        <v>2736</v>
      </c>
      <c r="B472" s="2" t="s">
        <v>45</v>
      </c>
      <c r="C472" s="2" t="s">
        <v>4085</v>
      </c>
      <c r="D472" s="2"/>
      <c r="E472" s="2"/>
      <c r="F472" s="2"/>
      <c r="G472" s="2"/>
      <c r="H472" s="2" t="s">
        <v>668</v>
      </c>
    </row>
    <row r="473" customFormat="false" ht="15" hidden="false" customHeight="false" outlineLevel="0" collapsed="false">
      <c r="A473" s="2" t="s">
        <v>2736</v>
      </c>
      <c r="B473" s="2" t="s">
        <v>45</v>
      </c>
      <c r="C473" s="2" t="s">
        <v>4086</v>
      </c>
      <c r="D473" s="2"/>
      <c r="E473" s="2"/>
      <c r="F473" s="2"/>
      <c r="G473" s="2"/>
      <c r="H473" s="2" t="s">
        <v>668</v>
      </c>
    </row>
    <row r="474" customFormat="false" ht="15" hidden="false" customHeight="false" outlineLevel="0" collapsed="false">
      <c r="A474" s="2" t="s">
        <v>2736</v>
      </c>
      <c r="B474" s="2" t="s">
        <v>45</v>
      </c>
      <c r="C474" s="2" t="s">
        <v>4087</v>
      </c>
      <c r="D474" s="2"/>
      <c r="E474" s="2"/>
      <c r="F474" s="2"/>
      <c r="G474" s="2"/>
      <c r="H474" s="2" t="s">
        <v>668</v>
      </c>
    </row>
    <row r="475" customFormat="false" ht="15" hidden="false" customHeight="false" outlineLevel="0" collapsed="false">
      <c r="A475" s="2" t="s">
        <v>1237</v>
      </c>
      <c r="B475" s="2" t="s">
        <v>4104</v>
      </c>
      <c r="C475" s="2" t="s">
        <v>4085</v>
      </c>
      <c r="D475" s="2"/>
      <c r="E475" s="31" t="n">
        <v>51.2</v>
      </c>
      <c r="F475" s="31" t="n">
        <v>14.3</v>
      </c>
      <c r="G475" s="31" t="n">
        <v>49.7</v>
      </c>
      <c r="H475" s="2" t="s">
        <v>668</v>
      </c>
    </row>
    <row r="476" customFormat="false" ht="15" hidden="false" customHeight="false" outlineLevel="0" collapsed="false">
      <c r="A476" s="2" t="s">
        <v>1237</v>
      </c>
      <c r="B476" s="2" t="s">
        <v>4104</v>
      </c>
      <c r="C476" s="2" t="s">
        <v>4086</v>
      </c>
      <c r="D476" s="2"/>
      <c r="E476" s="31" t="n">
        <v>52.9</v>
      </c>
      <c r="F476" s="31" t="n">
        <v>22.1</v>
      </c>
      <c r="G476" s="31" t="n">
        <v>40.2</v>
      </c>
      <c r="H476" s="2" t="s">
        <v>671</v>
      </c>
    </row>
    <row r="477" customFormat="false" ht="15" hidden="false" customHeight="false" outlineLevel="0" collapsed="false">
      <c r="A477" s="2" t="s">
        <v>1237</v>
      </c>
      <c r="B477" s="2" t="s">
        <v>4104</v>
      </c>
      <c r="C477" s="2" t="s">
        <v>4087</v>
      </c>
      <c r="D477" s="2"/>
      <c r="E477" s="31" t="n">
        <v>50.8</v>
      </c>
      <c r="F477" s="31" t="n">
        <v>27.4</v>
      </c>
      <c r="G477" s="31" t="n">
        <v>55.6</v>
      </c>
      <c r="H477" s="2" t="s">
        <v>668</v>
      </c>
    </row>
    <row r="478" customFormat="false" ht="15" hidden="false" customHeight="false" outlineLevel="0" collapsed="false">
      <c r="A478" s="2" t="s">
        <v>1237</v>
      </c>
      <c r="B478" s="2" t="s">
        <v>45</v>
      </c>
      <c r="C478" s="2" t="s">
        <v>4085</v>
      </c>
      <c r="D478" s="11" t="n">
        <v>40031</v>
      </c>
      <c r="E478" s="31" t="n">
        <v>14.3</v>
      </c>
      <c r="F478" s="31" t="n">
        <v>10.6</v>
      </c>
      <c r="G478" s="31" t="n">
        <v>49.3</v>
      </c>
      <c r="H478" s="2" t="s">
        <v>671</v>
      </c>
    </row>
    <row r="479" customFormat="false" ht="15" hidden="false" customHeight="false" outlineLevel="0" collapsed="false">
      <c r="A479" s="2" t="s">
        <v>1237</v>
      </c>
      <c r="B479" s="2" t="s">
        <v>45</v>
      </c>
      <c r="C479" s="2" t="s">
        <v>4086</v>
      </c>
      <c r="D479" s="11" t="n">
        <v>41170</v>
      </c>
      <c r="E479" s="31" t="n">
        <v>25.9</v>
      </c>
      <c r="F479" s="31" t="n">
        <v>31.3</v>
      </c>
      <c r="G479" s="31" t="n">
        <v>8.9</v>
      </c>
      <c r="H479" s="2" t="s">
        <v>671</v>
      </c>
    </row>
    <row r="480" customFormat="false" ht="15" hidden="false" customHeight="false" outlineLevel="0" collapsed="false">
      <c r="A480" s="2" t="s">
        <v>1237</v>
      </c>
      <c r="B480" s="2" t="s">
        <v>45</v>
      </c>
      <c r="C480" s="2" t="s">
        <v>4087</v>
      </c>
      <c r="D480" s="11" t="n">
        <v>41055</v>
      </c>
      <c r="E480" s="31" t="n">
        <v>23.3</v>
      </c>
      <c r="F480" s="31" t="n">
        <v>39.7</v>
      </c>
      <c r="G480" s="31" t="n">
        <v>46.5</v>
      </c>
      <c r="H480" s="2" t="s">
        <v>671</v>
      </c>
    </row>
    <row r="481" customFormat="false" ht="15" hidden="false" customHeight="false" outlineLevel="0" collapsed="false">
      <c r="A481" s="2" t="s">
        <v>1237</v>
      </c>
      <c r="B481" s="2" t="s">
        <v>46</v>
      </c>
      <c r="C481" s="2" t="s">
        <v>4085</v>
      </c>
      <c r="D481" s="11" t="n">
        <v>17920</v>
      </c>
      <c r="E481" s="31" t="n">
        <v>92.6</v>
      </c>
      <c r="F481" s="2"/>
      <c r="G481" s="2"/>
      <c r="H481" s="2" t="s">
        <v>668</v>
      </c>
    </row>
    <row r="482" customFormat="false" ht="15" hidden="false" customHeight="false" outlineLevel="0" collapsed="false">
      <c r="A482" s="2" t="s">
        <v>1237</v>
      </c>
      <c r="B482" s="2" t="s">
        <v>46</v>
      </c>
      <c r="C482" s="2" t="s">
        <v>4086</v>
      </c>
      <c r="D482" s="11" t="n">
        <v>18130</v>
      </c>
      <c r="E482" s="31" t="n">
        <v>90</v>
      </c>
      <c r="F482" s="31" t="n">
        <v>9.8</v>
      </c>
      <c r="G482" s="31" t="n">
        <v>84.1</v>
      </c>
      <c r="H482" s="2" t="s">
        <v>671</v>
      </c>
    </row>
    <row r="483" customFormat="false" ht="15" hidden="false" customHeight="false" outlineLevel="0" collapsed="false">
      <c r="A483" s="2" t="s">
        <v>1237</v>
      </c>
      <c r="B483" s="2" t="s">
        <v>46</v>
      </c>
      <c r="C483" s="2" t="s">
        <v>4087</v>
      </c>
      <c r="D483" s="2"/>
      <c r="E483" s="2"/>
      <c r="F483" s="2"/>
      <c r="G483" s="2"/>
      <c r="H483" s="2" t="s">
        <v>668</v>
      </c>
    </row>
    <row r="484" customFormat="false" ht="15" hidden="false" customHeight="false" outlineLevel="0" collapsed="false">
      <c r="A484" s="2" t="s">
        <v>1237</v>
      </c>
      <c r="B484" s="2" t="s">
        <v>47</v>
      </c>
      <c r="C484" s="2" t="s">
        <v>4085</v>
      </c>
      <c r="D484" s="11" t="n">
        <v>28457</v>
      </c>
      <c r="E484" s="31" t="n">
        <v>46.7</v>
      </c>
      <c r="F484" s="31" t="n">
        <v>18</v>
      </c>
      <c r="G484" s="31" t="n">
        <v>50.1</v>
      </c>
      <c r="H484" s="2" t="s">
        <v>671</v>
      </c>
    </row>
    <row r="485" customFormat="false" ht="15" hidden="false" customHeight="false" outlineLevel="0" collapsed="false">
      <c r="A485" s="2" t="s">
        <v>1237</v>
      </c>
      <c r="B485" s="2" t="s">
        <v>47</v>
      </c>
      <c r="C485" s="2" t="s">
        <v>4086</v>
      </c>
      <c r="D485" s="11" t="n">
        <v>28140</v>
      </c>
      <c r="E485" s="31" t="n">
        <v>42.7</v>
      </c>
      <c r="F485" s="31" t="n">
        <v>25.3</v>
      </c>
      <c r="G485" s="31" t="n">
        <v>27.6</v>
      </c>
      <c r="H485" s="2" t="s">
        <v>671</v>
      </c>
    </row>
    <row r="486" customFormat="false" ht="15" hidden="false" customHeight="false" outlineLevel="0" collapsed="false">
      <c r="A486" s="2" t="s">
        <v>1237</v>
      </c>
      <c r="B486" s="2" t="s">
        <v>47</v>
      </c>
      <c r="C486" s="2" t="s">
        <v>4087</v>
      </c>
      <c r="D486" s="11" t="n">
        <v>28778</v>
      </c>
      <c r="E486" s="31" t="n">
        <v>78.3</v>
      </c>
      <c r="F486" s="31" t="n">
        <v>15.2</v>
      </c>
      <c r="G486" s="31" t="n">
        <v>64.8</v>
      </c>
      <c r="H486" s="2" t="s">
        <v>671</v>
      </c>
    </row>
    <row r="487" customFormat="false" ht="15" hidden="false" customHeight="false" outlineLevel="0" collapsed="false">
      <c r="A487" s="2" t="s">
        <v>528</v>
      </c>
      <c r="B487" s="2" t="s">
        <v>4104</v>
      </c>
      <c r="C487" s="2" t="s">
        <v>4085</v>
      </c>
      <c r="D487" s="2"/>
      <c r="E487" s="31" t="n">
        <v>28.2</v>
      </c>
      <c r="F487" s="31" t="n">
        <v>50</v>
      </c>
      <c r="G487" s="31" t="n">
        <v>48.2</v>
      </c>
      <c r="H487" s="2" t="s">
        <v>671</v>
      </c>
    </row>
    <row r="488" customFormat="false" ht="15" hidden="false" customHeight="false" outlineLevel="0" collapsed="false">
      <c r="A488" s="2" t="s">
        <v>528</v>
      </c>
      <c r="B488" s="2" t="s">
        <v>4104</v>
      </c>
      <c r="C488" s="2" t="s">
        <v>4086</v>
      </c>
      <c r="D488" s="2"/>
      <c r="E488" s="31" t="n">
        <v>51.1</v>
      </c>
      <c r="F488" s="31" t="n">
        <v>35.8</v>
      </c>
      <c r="G488" s="31" t="n">
        <v>70.3</v>
      </c>
      <c r="H488" s="2" t="s">
        <v>668</v>
      </c>
    </row>
    <row r="489" customFormat="false" ht="15" hidden="false" customHeight="false" outlineLevel="0" collapsed="false">
      <c r="A489" s="2" t="s">
        <v>528</v>
      </c>
      <c r="B489" s="2" t="s">
        <v>4104</v>
      </c>
      <c r="C489" s="2" t="s">
        <v>4087</v>
      </c>
      <c r="D489" s="2"/>
      <c r="E489" s="31" t="n">
        <v>32.3</v>
      </c>
      <c r="F489" s="31" t="n">
        <v>52.6</v>
      </c>
      <c r="G489" s="31" t="n">
        <v>60.2</v>
      </c>
      <c r="H489" s="2" t="s">
        <v>671</v>
      </c>
    </row>
    <row r="490" customFormat="false" ht="15" hidden="false" customHeight="false" outlineLevel="0" collapsed="false">
      <c r="A490" s="2" t="s">
        <v>528</v>
      </c>
      <c r="B490" s="2" t="s">
        <v>46</v>
      </c>
      <c r="C490" s="2" t="s">
        <v>4085</v>
      </c>
      <c r="D490" s="11" t="n">
        <v>430694</v>
      </c>
      <c r="E490" s="31" t="n">
        <v>20.9</v>
      </c>
      <c r="F490" s="31" t="n">
        <v>7.7</v>
      </c>
      <c r="G490" s="31" t="n">
        <v>4.8</v>
      </c>
      <c r="H490" s="2" t="s">
        <v>671</v>
      </c>
    </row>
    <row r="491" customFormat="false" ht="15" hidden="false" customHeight="false" outlineLevel="0" collapsed="false">
      <c r="A491" s="2" t="s">
        <v>528</v>
      </c>
      <c r="B491" s="2" t="s">
        <v>46</v>
      </c>
      <c r="C491" s="2" t="s">
        <v>4086</v>
      </c>
      <c r="D491" s="11" t="n">
        <v>421260</v>
      </c>
      <c r="E491" s="31" t="n">
        <v>51.1</v>
      </c>
      <c r="F491" s="31" t="n">
        <v>14.6</v>
      </c>
      <c r="G491" s="31" t="n">
        <v>50.1</v>
      </c>
      <c r="H491" s="2" t="s">
        <v>671</v>
      </c>
    </row>
    <row r="492" customFormat="false" ht="15" hidden="false" customHeight="false" outlineLevel="0" collapsed="false">
      <c r="A492" s="2" t="s">
        <v>528</v>
      </c>
      <c r="B492" s="2" t="s">
        <v>46</v>
      </c>
      <c r="C492" s="2" t="s">
        <v>4087</v>
      </c>
      <c r="D492" s="11" t="n">
        <v>430242</v>
      </c>
      <c r="E492" s="31" t="n">
        <v>28.1</v>
      </c>
      <c r="F492" s="31" t="n">
        <v>5.3</v>
      </c>
      <c r="G492" s="31" t="n">
        <v>23.1</v>
      </c>
      <c r="H492" s="2" t="s">
        <v>671</v>
      </c>
    </row>
    <row r="493" customFormat="false" ht="15" hidden="false" customHeight="false" outlineLevel="0" collapsed="false">
      <c r="A493" s="2" t="s">
        <v>528</v>
      </c>
      <c r="B493" s="2" t="s">
        <v>47</v>
      </c>
      <c r="C493" s="2" t="s">
        <v>4085</v>
      </c>
      <c r="D493" s="11" t="n">
        <v>3461477</v>
      </c>
      <c r="E493" s="31" t="n">
        <v>35.5</v>
      </c>
      <c r="F493" s="31" t="n">
        <v>92.3</v>
      </c>
      <c r="G493" s="31" t="n">
        <v>91.7</v>
      </c>
      <c r="H493" s="2" t="s">
        <v>671</v>
      </c>
    </row>
    <row r="494" customFormat="false" ht="15" hidden="false" customHeight="false" outlineLevel="0" collapsed="false">
      <c r="A494" s="2" t="s">
        <v>528</v>
      </c>
      <c r="B494" s="2" t="s">
        <v>47</v>
      </c>
      <c r="C494" s="2" t="s">
        <v>4086</v>
      </c>
      <c r="D494" s="11" t="n">
        <v>3534780</v>
      </c>
      <c r="E494" s="2"/>
      <c r="F494" s="31" t="n">
        <v>57.1</v>
      </c>
      <c r="G494" s="31" t="n">
        <v>90.5</v>
      </c>
      <c r="H494" s="2" t="s">
        <v>668</v>
      </c>
    </row>
    <row r="495" customFormat="false" ht="15" hidden="false" customHeight="false" outlineLevel="0" collapsed="false">
      <c r="A495" s="2" t="s">
        <v>528</v>
      </c>
      <c r="B495" s="2" t="s">
        <v>47</v>
      </c>
      <c r="C495" s="2" t="s">
        <v>4087</v>
      </c>
      <c r="D495" s="11" t="n">
        <v>3711684</v>
      </c>
      <c r="E495" s="31" t="n">
        <v>36.5</v>
      </c>
      <c r="F495" s="31" t="n">
        <v>100</v>
      </c>
      <c r="G495" s="31" t="n">
        <v>97.3</v>
      </c>
      <c r="H495" s="2" t="s">
        <v>671</v>
      </c>
    </row>
    <row r="496" customFormat="false" ht="15" hidden="false" customHeight="false" outlineLevel="0" collapsed="false">
      <c r="A496" s="2" t="s">
        <v>602</v>
      </c>
      <c r="B496" s="2" t="s">
        <v>4104</v>
      </c>
      <c r="C496" s="2" t="s">
        <v>4085</v>
      </c>
      <c r="D496" s="2"/>
      <c r="E496" s="31" t="n">
        <v>21.5</v>
      </c>
      <c r="F496" s="31" t="n">
        <v>52</v>
      </c>
      <c r="G496" s="31" t="n">
        <v>46.4</v>
      </c>
      <c r="H496" s="2" t="s">
        <v>671</v>
      </c>
    </row>
    <row r="497" customFormat="false" ht="15" hidden="false" customHeight="false" outlineLevel="0" collapsed="false">
      <c r="A497" s="2" t="s">
        <v>602</v>
      </c>
      <c r="B497" s="2" t="s">
        <v>4104</v>
      </c>
      <c r="C497" s="2" t="s">
        <v>4086</v>
      </c>
      <c r="D497" s="2"/>
      <c r="E497" s="31" t="n">
        <v>37.7</v>
      </c>
      <c r="F497" s="31" t="n">
        <v>48.4</v>
      </c>
      <c r="G497" s="31" t="n">
        <v>50.9</v>
      </c>
      <c r="H497" s="2" t="s">
        <v>671</v>
      </c>
    </row>
    <row r="498" customFormat="false" ht="15" hidden="false" customHeight="false" outlineLevel="0" collapsed="false">
      <c r="A498" s="2" t="s">
        <v>602</v>
      </c>
      <c r="B498" s="2" t="s">
        <v>4104</v>
      </c>
      <c r="C498" s="2" t="s">
        <v>4087</v>
      </c>
      <c r="D498" s="2"/>
      <c r="E498" s="31" t="n">
        <v>19.4</v>
      </c>
      <c r="F498" s="31" t="n">
        <v>68.4</v>
      </c>
      <c r="G498" s="31" t="n">
        <v>87</v>
      </c>
      <c r="H498" s="2" t="s">
        <v>671</v>
      </c>
    </row>
    <row r="499" customFormat="false" ht="15" hidden="false" customHeight="false" outlineLevel="0" collapsed="false">
      <c r="A499" s="2" t="s">
        <v>602</v>
      </c>
      <c r="B499" s="2" t="s">
        <v>47</v>
      </c>
      <c r="C499" s="2" t="s">
        <v>4085</v>
      </c>
      <c r="D499" s="11" t="n">
        <v>34737</v>
      </c>
      <c r="E499" s="31" t="n">
        <v>21.5</v>
      </c>
      <c r="F499" s="31" t="n">
        <v>52</v>
      </c>
      <c r="G499" s="31" t="n">
        <v>46.4</v>
      </c>
      <c r="H499" s="2" t="s">
        <v>671</v>
      </c>
    </row>
    <row r="500" customFormat="false" ht="15" hidden="false" customHeight="false" outlineLevel="0" collapsed="false">
      <c r="A500" s="2" t="s">
        <v>602</v>
      </c>
      <c r="B500" s="2" t="s">
        <v>47</v>
      </c>
      <c r="C500" s="2" t="s">
        <v>4086</v>
      </c>
      <c r="D500" s="11" t="n">
        <v>35840</v>
      </c>
      <c r="E500" s="31" t="n">
        <v>37.7</v>
      </c>
      <c r="F500" s="31" t="n">
        <v>48.4</v>
      </c>
      <c r="G500" s="31" t="n">
        <v>50.9</v>
      </c>
      <c r="H500" s="2" t="s">
        <v>671</v>
      </c>
    </row>
    <row r="501" customFormat="false" ht="15" hidden="false" customHeight="false" outlineLevel="0" collapsed="false">
      <c r="A501" s="2" t="s">
        <v>602</v>
      </c>
      <c r="B501" s="2" t="s">
        <v>47</v>
      </c>
      <c r="C501" s="2" t="s">
        <v>4087</v>
      </c>
      <c r="D501" s="11" t="n">
        <v>37493</v>
      </c>
      <c r="E501" s="31" t="n">
        <v>19.4</v>
      </c>
      <c r="F501" s="31" t="n">
        <v>68.4</v>
      </c>
      <c r="G501" s="31" t="n">
        <v>87</v>
      </c>
      <c r="H501" s="2" t="s">
        <v>671</v>
      </c>
    </row>
    <row r="502" customFormat="false" ht="15" hidden="false" customHeight="false" outlineLevel="0" collapsed="false">
      <c r="A502" s="2" t="s">
        <v>210</v>
      </c>
      <c r="B502" s="2" t="s">
        <v>4104</v>
      </c>
      <c r="C502" s="2" t="s">
        <v>4085</v>
      </c>
      <c r="D502" s="2"/>
      <c r="E502" s="31" t="n">
        <v>63.6</v>
      </c>
      <c r="F502" s="31" t="n">
        <v>61.9</v>
      </c>
      <c r="G502" s="31" t="n">
        <v>71.6</v>
      </c>
      <c r="H502" s="2" t="s">
        <v>671</v>
      </c>
    </row>
    <row r="503" customFormat="false" ht="15" hidden="false" customHeight="false" outlineLevel="0" collapsed="false">
      <c r="A503" s="2" t="s">
        <v>210</v>
      </c>
      <c r="B503" s="2" t="s">
        <v>4104</v>
      </c>
      <c r="C503" s="2" t="s">
        <v>4086</v>
      </c>
      <c r="D503" s="2"/>
      <c r="E503" s="31" t="n">
        <v>76.1</v>
      </c>
      <c r="F503" s="31" t="n">
        <v>50.6</v>
      </c>
      <c r="G503" s="31" t="n">
        <v>58.6</v>
      </c>
      <c r="H503" s="2" t="s">
        <v>671</v>
      </c>
    </row>
    <row r="504" customFormat="false" ht="15" hidden="false" customHeight="false" outlineLevel="0" collapsed="false">
      <c r="A504" s="2" t="s">
        <v>210</v>
      </c>
      <c r="B504" s="2" t="s">
        <v>4104</v>
      </c>
      <c r="C504" s="2" t="s">
        <v>4087</v>
      </c>
      <c r="D504" s="2"/>
      <c r="E504" s="31" t="n">
        <v>69.8</v>
      </c>
      <c r="F504" s="31" t="n">
        <v>67.4</v>
      </c>
      <c r="G504" s="31" t="n">
        <v>63.1</v>
      </c>
      <c r="H504" s="2" t="s">
        <v>671</v>
      </c>
    </row>
    <row r="505" customFormat="false" ht="15" hidden="false" customHeight="false" outlineLevel="0" collapsed="false">
      <c r="A505" s="2" t="s">
        <v>210</v>
      </c>
      <c r="B505" s="2" t="s">
        <v>45</v>
      </c>
      <c r="C505" s="2" t="s">
        <v>4085</v>
      </c>
      <c r="D505" s="11" t="n">
        <v>118212</v>
      </c>
      <c r="E505" s="31" t="n">
        <v>67.4</v>
      </c>
      <c r="F505" s="31" t="n">
        <v>34.9</v>
      </c>
      <c r="G505" s="31" t="n">
        <v>90</v>
      </c>
      <c r="H505" s="2" t="s">
        <v>671</v>
      </c>
    </row>
    <row r="506" customFormat="false" ht="15" hidden="false" customHeight="false" outlineLevel="0" collapsed="false">
      <c r="A506" s="2" t="s">
        <v>210</v>
      </c>
      <c r="B506" s="2" t="s">
        <v>45</v>
      </c>
      <c r="C506" s="2" t="s">
        <v>4086</v>
      </c>
      <c r="D506" s="11" t="n">
        <v>122330</v>
      </c>
      <c r="E506" s="31" t="n">
        <v>83.2</v>
      </c>
      <c r="F506" s="31" t="n">
        <v>18.6</v>
      </c>
      <c r="G506" s="31" t="n">
        <v>84.8</v>
      </c>
      <c r="H506" s="2" t="s">
        <v>671</v>
      </c>
    </row>
    <row r="507" customFormat="false" ht="15" hidden="false" customHeight="false" outlineLevel="0" collapsed="false">
      <c r="A507" s="2" t="s">
        <v>210</v>
      </c>
      <c r="B507" s="2" t="s">
        <v>45</v>
      </c>
      <c r="C507" s="2" t="s">
        <v>4087</v>
      </c>
      <c r="D507" s="11" t="n">
        <v>123740</v>
      </c>
      <c r="E507" s="31" t="n">
        <v>62.2</v>
      </c>
      <c r="F507" s="31" t="n">
        <v>44.2</v>
      </c>
      <c r="G507" s="31" t="n">
        <v>84.3</v>
      </c>
      <c r="H507" s="2" t="s">
        <v>671</v>
      </c>
    </row>
    <row r="508" customFormat="false" ht="15" hidden="false" customHeight="false" outlineLevel="0" collapsed="false">
      <c r="A508" s="2" t="s">
        <v>210</v>
      </c>
      <c r="B508" s="2" t="s">
        <v>47</v>
      </c>
      <c r="C508" s="2" t="s">
        <v>4085</v>
      </c>
      <c r="D508" s="11" t="n">
        <v>8069</v>
      </c>
      <c r="E508" s="31" t="n">
        <v>59.9</v>
      </c>
      <c r="F508" s="31" t="n">
        <v>88.9</v>
      </c>
      <c r="G508" s="31" t="n">
        <v>53.3</v>
      </c>
      <c r="H508" s="2" t="s">
        <v>671</v>
      </c>
    </row>
    <row r="509" customFormat="false" ht="15" hidden="false" customHeight="false" outlineLevel="0" collapsed="false">
      <c r="A509" s="2" t="s">
        <v>210</v>
      </c>
      <c r="B509" s="2" t="s">
        <v>47</v>
      </c>
      <c r="C509" s="2" t="s">
        <v>4086</v>
      </c>
      <c r="D509" s="11" t="n">
        <v>8420</v>
      </c>
      <c r="E509" s="31" t="n">
        <v>69</v>
      </c>
      <c r="F509" s="31" t="n">
        <v>82.5</v>
      </c>
      <c r="G509" s="31" t="n">
        <v>32.4</v>
      </c>
      <c r="H509" s="2" t="s">
        <v>671</v>
      </c>
    </row>
    <row r="510" customFormat="false" ht="15" hidden="false" customHeight="false" outlineLevel="0" collapsed="false">
      <c r="A510" s="2" t="s">
        <v>210</v>
      </c>
      <c r="B510" s="2" t="s">
        <v>47</v>
      </c>
      <c r="C510" s="2" t="s">
        <v>4087</v>
      </c>
      <c r="D510" s="11" t="n">
        <v>8941</v>
      </c>
      <c r="E510" s="31" t="n">
        <v>77.4</v>
      </c>
      <c r="F510" s="31" t="n">
        <v>90.7</v>
      </c>
      <c r="G510" s="31" t="n">
        <v>41.9</v>
      </c>
      <c r="H510" s="2" t="s">
        <v>671</v>
      </c>
    </row>
    <row r="511" customFormat="false" ht="15" hidden="false" customHeight="false" outlineLevel="0" collapsed="false">
      <c r="A511" s="2" t="s">
        <v>2466</v>
      </c>
      <c r="B511" s="2" t="s">
        <v>4104</v>
      </c>
      <c r="C511" s="2" t="s">
        <v>4085</v>
      </c>
      <c r="D511" s="2"/>
      <c r="E511" s="31" t="n">
        <v>5.1</v>
      </c>
      <c r="F511" s="31" t="n">
        <v>83.2</v>
      </c>
      <c r="G511" s="31" t="n">
        <v>41</v>
      </c>
      <c r="H511" s="2" t="s">
        <v>668</v>
      </c>
    </row>
    <row r="512" customFormat="false" ht="15" hidden="false" customHeight="false" outlineLevel="0" collapsed="false">
      <c r="A512" s="2" t="s">
        <v>2466</v>
      </c>
      <c r="B512" s="2" t="s">
        <v>4104</v>
      </c>
      <c r="C512" s="2" t="s">
        <v>4086</v>
      </c>
      <c r="D512" s="2"/>
      <c r="E512" s="31" t="n">
        <v>27.2</v>
      </c>
      <c r="F512" s="31" t="n">
        <v>61.9</v>
      </c>
      <c r="G512" s="31" t="n">
        <v>47.3</v>
      </c>
      <c r="H512" s="2" t="s">
        <v>671</v>
      </c>
    </row>
    <row r="513" customFormat="false" ht="15" hidden="false" customHeight="false" outlineLevel="0" collapsed="false">
      <c r="A513" s="2" t="s">
        <v>2466</v>
      </c>
      <c r="B513" s="2" t="s">
        <v>4104</v>
      </c>
      <c r="C513" s="2" t="s">
        <v>4087</v>
      </c>
      <c r="D513" s="2"/>
      <c r="E513" s="31" t="n">
        <v>16.9</v>
      </c>
      <c r="F513" s="31" t="n">
        <v>65.6</v>
      </c>
      <c r="G513" s="31" t="n">
        <v>47</v>
      </c>
      <c r="H513" s="2" t="s">
        <v>668</v>
      </c>
    </row>
    <row r="514" customFormat="false" ht="15" hidden="false" customHeight="false" outlineLevel="0" collapsed="false">
      <c r="A514" s="2" t="s">
        <v>2466</v>
      </c>
      <c r="B514" s="2" t="s">
        <v>45</v>
      </c>
      <c r="C514" s="2" t="s">
        <v>4085</v>
      </c>
      <c r="D514" s="2"/>
      <c r="E514" s="2"/>
      <c r="F514" s="2"/>
      <c r="G514" s="31" t="n">
        <v>72.9</v>
      </c>
      <c r="H514" s="2" t="s">
        <v>668</v>
      </c>
    </row>
    <row r="515" customFormat="false" ht="15" hidden="false" customHeight="false" outlineLevel="0" collapsed="false">
      <c r="A515" s="2" t="s">
        <v>2466</v>
      </c>
      <c r="B515" s="2" t="s">
        <v>45</v>
      </c>
      <c r="C515" s="2" t="s">
        <v>4086</v>
      </c>
      <c r="D515" s="11" t="n">
        <v>89530</v>
      </c>
      <c r="E515" s="31" t="n">
        <v>38.9</v>
      </c>
      <c r="F515" s="31" t="n">
        <v>65.6</v>
      </c>
      <c r="G515" s="31" t="n">
        <v>76</v>
      </c>
      <c r="H515" s="2" t="s">
        <v>671</v>
      </c>
    </row>
    <row r="516" customFormat="false" ht="15" hidden="false" customHeight="false" outlineLevel="0" collapsed="false">
      <c r="A516" s="2" t="s">
        <v>2466</v>
      </c>
      <c r="B516" s="2" t="s">
        <v>45</v>
      </c>
      <c r="C516" s="2" t="s">
        <v>4087</v>
      </c>
      <c r="D516" s="11" t="n">
        <v>94247</v>
      </c>
      <c r="E516" s="2"/>
      <c r="F516" s="31" t="n">
        <v>63.9</v>
      </c>
      <c r="G516" s="31" t="n">
        <v>60.2</v>
      </c>
      <c r="H516" s="2" t="s">
        <v>668</v>
      </c>
    </row>
    <row r="517" customFormat="false" ht="15" hidden="false" customHeight="false" outlineLevel="0" collapsed="false">
      <c r="A517" s="2" t="s">
        <v>2466</v>
      </c>
      <c r="B517" s="2" t="s">
        <v>46</v>
      </c>
      <c r="C517" s="2" t="s">
        <v>4085</v>
      </c>
      <c r="D517" s="11" t="n">
        <v>1141080</v>
      </c>
      <c r="E517" s="31" t="n">
        <v>5.1</v>
      </c>
      <c r="F517" s="31" t="n">
        <v>77.8</v>
      </c>
      <c r="G517" s="31" t="n">
        <v>9.4</v>
      </c>
      <c r="H517" s="2" t="s">
        <v>671</v>
      </c>
    </row>
    <row r="518" customFormat="false" ht="15" hidden="false" customHeight="false" outlineLevel="0" collapsed="false">
      <c r="A518" s="2" t="s">
        <v>2466</v>
      </c>
      <c r="B518" s="2" t="s">
        <v>46</v>
      </c>
      <c r="C518" s="2" t="s">
        <v>4086</v>
      </c>
      <c r="D518" s="11" t="n">
        <v>1201940</v>
      </c>
      <c r="E518" s="31" t="n">
        <v>3.3</v>
      </c>
      <c r="F518" s="31" t="n">
        <v>50</v>
      </c>
      <c r="G518" s="31" t="n">
        <v>11.7</v>
      </c>
      <c r="H518" s="2" t="s">
        <v>671</v>
      </c>
    </row>
    <row r="519" customFormat="false" ht="15" hidden="false" customHeight="false" outlineLevel="0" collapsed="false">
      <c r="A519" s="2" t="s">
        <v>2466</v>
      </c>
      <c r="B519" s="2" t="s">
        <v>46</v>
      </c>
      <c r="C519" s="2" t="s">
        <v>4087</v>
      </c>
      <c r="D519" s="11" t="n">
        <v>1261220</v>
      </c>
      <c r="E519" s="31" t="n">
        <v>3.8</v>
      </c>
      <c r="F519" s="2"/>
      <c r="G519" s="31" t="n">
        <v>11.4</v>
      </c>
      <c r="H519" s="2" t="s">
        <v>668</v>
      </c>
    </row>
    <row r="520" customFormat="false" ht="15" hidden="false" customHeight="false" outlineLevel="0" collapsed="false">
      <c r="A520" s="2" t="s">
        <v>2466</v>
      </c>
      <c r="B520" s="2" t="s">
        <v>47</v>
      </c>
      <c r="C520" s="2" t="s">
        <v>4085</v>
      </c>
      <c r="D520" s="11" t="n">
        <v>49796</v>
      </c>
      <c r="E520" s="2"/>
      <c r="F520" s="31" t="n">
        <v>88.6</v>
      </c>
      <c r="G520" s="31" t="n">
        <v>40.6</v>
      </c>
      <c r="H520" s="2" t="s">
        <v>668</v>
      </c>
    </row>
    <row r="521" customFormat="false" ht="15" hidden="false" customHeight="false" outlineLevel="0" collapsed="false">
      <c r="A521" s="2" t="s">
        <v>2466</v>
      </c>
      <c r="B521" s="2" t="s">
        <v>47</v>
      </c>
      <c r="C521" s="2" t="s">
        <v>4086</v>
      </c>
      <c r="D521" s="11" t="n">
        <v>51340</v>
      </c>
      <c r="E521" s="31" t="n">
        <v>39.3</v>
      </c>
      <c r="F521" s="31" t="n">
        <v>70.1</v>
      </c>
      <c r="G521" s="31" t="n">
        <v>54.3</v>
      </c>
      <c r="H521" s="2" t="s">
        <v>671</v>
      </c>
    </row>
    <row r="522" customFormat="false" ht="15" hidden="false" customHeight="false" outlineLevel="0" collapsed="false">
      <c r="A522" s="2" t="s">
        <v>2466</v>
      </c>
      <c r="B522" s="2" t="s">
        <v>47</v>
      </c>
      <c r="C522" s="2" t="s">
        <v>4087</v>
      </c>
      <c r="D522" s="11" t="n">
        <v>56393</v>
      </c>
      <c r="E522" s="31" t="n">
        <v>30</v>
      </c>
      <c r="F522" s="31" t="n">
        <v>67.4</v>
      </c>
      <c r="G522" s="31" t="n">
        <v>69.5</v>
      </c>
      <c r="H522" s="2" t="s">
        <v>671</v>
      </c>
    </row>
    <row r="523" customFormat="false" ht="15" hidden="false" customHeight="false" outlineLevel="0" collapsed="false">
      <c r="A523" s="2" t="s">
        <v>2343</v>
      </c>
      <c r="B523" s="2" t="s">
        <v>4104</v>
      </c>
      <c r="C523" s="2" t="s">
        <v>4085</v>
      </c>
      <c r="D523" s="2"/>
      <c r="E523" s="31" t="n">
        <v>55.2</v>
      </c>
      <c r="F523" s="31" t="n">
        <v>31.7</v>
      </c>
      <c r="G523" s="31" t="n">
        <v>32.9</v>
      </c>
      <c r="H523" s="2" t="s">
        <v>668</v>
      </c>
    </row>
    <row r="524" customFormat="false" ht="15" hidden="false" customHeight="false" outlineLevel="0" collapsed="false">
      <c r="A524" s="2" t="s">
        <v>2343</v>
      </c>
      <c r="B524" s="2" t="s">
        <v>4104</v>
      </c>
      <c r="C524" s="2" t="s">
        <v>4086</v>
      </c>
      <c r="D524" s="2"/>
      <c r="E524" s="31" t="n">
        <v>64.9</v>
      </c>
      <c r="F524" s="31" t="n">
        <v>30.6</v>
      </c>
      <c r="G524" s="31" t="n">
        <v>44.4</v>
      </c>
      <c r="H524" s="2" t="s">
        <v>671</v>
      </c>
    </row>
    <row r="525" customFormat="false" ht="15" hidden="false" customHeight="false" outlineLevel="0" collapsed="false">
      <c r="A525" s="2" t="s">
        <v>2343</v>
      </c>
      <c r="B525" s="2" t="s">
        <v>4104</v>
      </c>
      <c r="C525" s="2" t="s">
        <v>4087</v>
      </c>
      <c r="D525" s="2"/>
      <c r="E525" s="31" t="n">
        <v>47</v>
      </c>
      <c r="F525" s="31" t="n">
        <v>29.1</v>
      </c>
      <c r="G525" s="31" t="n">
        <v>13.5</v>
      </c>
      <c r="H525" s="2" t="s">
        <v>668</v>
      </c>
    </row>
    <row r="526" customFormat="false" ht="15" hidden="false" customHeight="false" outlineLevel="0" collapsed="false">
      <c r="A526" s="2" t="s">
        <v>2343</v>
      </c>
      <c r="B526" s="2" t="s">
        <v>45</v>
      </c>
      <c r="C526" s="2" t="s">
        <v>4085</v>
      </c>
      <c r="D526" s="11" t="n">
        <v>15830</v>
      </c>
      <c r="E526" s="31" t="n">
        <v>29.8</v>
      </c>
      <c r="F526" s="31" t="n">
        <v>29.6</v>
      </c>
      <c r="G526" s="31" t="n">
        <v>84.1</v>
      </c>
      <c r="H526" s="2" t="s">
        <v>671</v>
      </c>
    </row>
    <row r="527" customFormat="false" ht="15" hidden="false" customHeight="false" outlineLevel="0" collapsed="false">
      <c r="A527" s="2" t="s">
        <v>2343</v>
      </c>
      <c r="B527" s="2" t="s">
        <v>45</v>
      </c>
      <c r="C527" s="2" t="s">
        <v>4086</v>
      </c>
      <c r="D527" s="11" t="n">
        <v>16390</v>
      </c>
      <c r="E527" s="31" t="n">
        <v>47.1</v>
      </c>
      <c r="F527" s="31" t="n">
        <v>36.4</v>
      </c>
      <c r="G527" s="31" t="n">
        <v>68.3</v>
      </c>
      <c r="H527" s="2" t="s">
        <v>671</v>
      </c>
    </row>
    <row r="528" customFormat="false" ht="15" hidden="false" customHeight="false" outlineLevel="0" collapsed="false">
      <c r="A528" s="2" t="s">
        <v>2343</v>
      </c>
      <c r="B528" s="2" t="s">
        <v>45</v>
      </c>
      <c r="C528" s="2" t="s">
        <v>4087</v>
      </c>
      <c r="D528" s="2"/>
      <c r="E528" s="2"/>
      <c r="F528" s="2"/>
      <c r="G528" s="2"/>
      <c r="H528" s="2" t="s">
        <v>668</v>
      </c>
    </row>
    <row r="529" customFormat="false" ht="15" hidden="false" customHeight="false" outlineLevel="0" collapsed="false">
      <c r="A529" s="2" t="s">
        <v>2343</v>
      </c>
      <c r="B529" s="2" t="s">
        <v>46</v>
      </c>
      <c r="C529" s="2" t="s">
        <v>4085</v>
      </c>
      <c r="D529" s="11" t="n">
        <v>22078</v>
      </c>
      <c r="E529" s="31" t="n">
        <v>79.5</v>
      </c>
      <c r="F529" s="31" t="n">
        <v>46.4</v>
      </c>
      <c r="G529" s="31" t="n">
        <v>6.8</v>
      </c>
      <c r="H529" s="2" t="s">
        <v>668</v>
      </c>
    </row>
    <row r="530" customFormat="false" ht="15" hidden="false" customHeight="false" outlineLevel="0" collapsed="false">
      <c r="A530" s="2" t="s">
        <v>2343</v>
      </c>
      <c r="B530" s="2" t="s">
        <v>46</v>
      </c>
      <c r="C530" s="2" t="s">
        <v>4086</v>
      </c>
      <c r="D530" s="11" t="n">
        <v>23170</v>
      </c>
      <c r="E530" s="31" t="n">
        <v>84.9</v>
      </c>
      <c r="F530" s="31" t="n">
        <v>47.6</v>
      </c>
      <c r="G530" s="31" t="n">
        <v>61.6</v>
      </c>
      <c r="H530" s="2" t="s">
        <v>671</v>
      </c>
    </row>
    <row r="531" customFormat="false" ht="15" hidden="false" customHeight="false" outlineLevel="0" collapsed="false">
      <c r="A531" s="2" t="s">
        <v>2343</v>
      </c>
      <c r="B531" s="2" t="s">
        <v>46</v>
      </c>
      <c r="C531" s="2" t="s">
        <v>4087</v>
      </c>
      <c r="D531" s="2"/>
      <c r="E531" s="2"/>
      <c r="F531" s="2"/>
      <c r="G531" s="2"/>
      <c r="H531" s="2" t="s">
        <v>668</v>
      </c>
    </row>
    <row r="532" customFormat="false" ht="15" hidden="false" customHeight="false" outlineLevel="0" collapsed="false">
      <c r="A532" s="2" t="s">
        <v>2343</v>
      </c>
      <c r="B532" s="2" t="s">
        <v>47</v>
      </c>
      <c r="C532" s="2" t="s">
        <v>4085</v>
      </c>
      <c r="D532" s="11" t="n">
        <v>51809</v>
      </c>
      <c r="E532" s="31" t="n">
        <v>56.4</v>
      </c>
      <c r="F532" s="31" t="n">
        <v>19</v>
      </c>
      <c r="G532" s="31" t="n">
        <v>7.9</v>
      </c>
      <c r="H532" s="2" t="s">
        <v>671</v>
      </c>
    </row>
    <row r="533" customFormat="false" ht="15" hidden="false" customHeight="false" outlineLevel="0" collapsed="false">
      <c r="A533" s="2" t="s">
        <v>2343</v>
      </c>
      <c r="B533" s="2" t="s">
        <v>47</v>
      </c>
      <c r="C533" s="2" t="s">
        <v>4086</v>
      </c>
      <c r="D533" s="11" t="n">
        <v>49600</v>
      </c>
      <c r="E533" s="31" t="n">
        <v>62.8</v>
      </c>
      <c r="F533" s="31" t="n">
        <v>7.8</v>
      </c>
      <c r="G533" s="31" t="n">
        <v>3.2</v>
      </c>
      <c r="H533" s="2" t="s">
        <v>671</v>
      </c>
    </row>
    <row r="534" customFormat="false" ht="15" hidden="false" customHeight="false" outlineLevel="0" collapsed="false">
      <c r="A534" s="2" t="s">
        <v>2343</v>
      </c>
      <c r="B534" s="2" t="s">
        <v>47</v>
      </c>
      <c r="C534" s="2" t="s">
        <v>4087</v>
      </c>
      <c r="D534" s="11" t="n">
        <v>51037</v>
      </c>
      <c r="E534" s="31" t="n">
        <v>47</v>
      </c>
      <c r="F534" s="31" t="n">
        <v>29.1</v>
      </c>
      <c r="G534" s="31" t="n">
        <v>13.5</v>
      </c>
      <c r="H534" s="2" t="s">
        <v>671</v>
      </c>
    </row>
    <row r="535" customFormat="false" ht="15" hidden="false" customHeight="false" outlineLevel="0" collapsed="false">
      <c r="A535" s="2" t="s">
        <v>2109</v>
      </c>
      <c r="B535" s="2" t="s">
        <v>4104</v>
      </c>
      <c r="C535" s="2" t="s">
        <v>4085</v>
      </c>
      <c r="D535" s="2"/>
      <c r="E535" s="31" t="n">
        <v>65.6</v>
      </c>
      <c r="F535" s="31" t="n">
        <v>86.2</v>
      </c>
      <c r="G535" s="31" t="n">
        <v>22.9</v>
      </c>
      <c r="H535" s="2" t="s">
        <v>668</v>
      </c>
    </row>
    <row r="536" customFormat="false" ht="15" hidden="false" customHeight="false" outlineLevel="0" collapsed="false">
      <c r="A536" s="2" t="s">
        <v>2109</v>
      </c>
      <c r="B536" s="2" t="s">
        <v>4104</v>
      </c>
      <c r="C536" s="2" t="s">
        <v>4086</v>
      </c>
      <c r="D536" s="2"/>
      <c r="E536" s="31" t="n">
        <v>57.5</v>
      </c>
      <c r="F536" s="31" t="n">
        <v>74.3</v>
      </c>
      <c r="G536" s="31" t="n">
        <v>54.9</v>
      </c>
      <c r="H536" s="2" t="s">
        <v>671</v>
      </c>
    </row>
    <row r="537" customFormat="false" ht="15" hidden="false" customHeight="false" outlineLevel="0" collapsed="false">
      <c r="A537" s="2" t="s">
        <v>2109</v>
      </c>
      <c r="B537" s="2" t="s">
        <v>4104</v>
      </c>
      <c r="C537" s="2" t="s">
        <v>4087</v>
      </c>
      <c r="D537" s="2"/>
      <c r="E537" s="31" t="n">
        <v>78.5</v>
      </c>
      <c r="F537" s="31" t="n">
        <v>80.5</v>
      </c>
      <c r="G537" s="31" t="n">
        <v>34.9</v>
      </c>
      <c r="H537" s="2" t="s">
        <v>668</v>
      </c>
    </row>
    <row r="538" customFormat="false" ht="15" hidden="false" customHeight="false" outlineLevel="0" collapsed="false">
      <c r="A538" s="2" t="s">
        <v>2109</v>
      </c>
      <c r="B538" s="2" t="s">
        <v>45</v>
      </c>
      <c r="C538" s="2" t="s">
        <v>4085</v>
      </c>
      <c r="D538" s="11" t="n">
        <v>4990</v>
      </c>
      <c r="E538" s="31" t="n">
        <v>78.4</v>
      </c>
      <c r="F538" s="31" t="n">
        <v>77.4</v>
      </c>
      <c r="G538" s="2"/>
      <c r="H538" s="2" t="s">
        <v>668</v>
      </c>
    </row>
    <row r="539" customFormat="false" ht="15" hidden="false" customHeight="false" outlineLevel="0" collapsed="false">
      <c r="A539" s="2" t="s">
        <v>2109</v>
      </c>
      <c r="B539" s="2" t="s">
        <v>45</v>
      </c>
      <c r="C539" s="2" t="s">
        <v>4086</v>
      </c>
      <c r="D539" s="11" t="n">
        <v>5257</v>
      </c>
      <c r="E539" s="31" t="n">
        <v>83.9</v>
      </c>
      <c r="F539" s="31" t="n">
        <v>49.3</v>
      </c>
      <c r="G539" s="31" t="n">
        <v>73.9</v>
      </c>
      <c r="H539" s="2" t="s">
        <v>671</v>
      </c>
    </row>
    <row r="540" customFormat="false" ht="15" hidden="false" customHeight="false" outlineLevel="0" collapsed="false">
      <c r="A540" s="2" t="s">
        <v>2109</v>
      </c>
      <c r="B540" s="2" t="s">
        <v>45</v>
      </c>
      <c r="C540" s="2" t="s">
        <v>4087</v>
      </c>
      <c r="D540" s="2"/>
      <c r="E540" s="2"/>
      <c r="F540" s="2"/>
      <c r="G540" s="2"/>
      <c r="H540" s="2" t="s">
        <v>668</v>
      </c>
    </row>
    <row r="541" customFormat="false" ht="15" hidden="false" customHeight="false" outlineLevel="0" collapsed="false">
      <c r="A541" s="2" t="s">
        <v>2109</v>
      </c>
      <c r="B541" s="2" t="s">
        <v>46</v>
      </c>
      <c r="C541" s="2" t="s">
        <v>4085</v>
      </c>
      <c r="D541" s="11" t="n">
        <v>7966</v>
      </c>
      <c r="E541" s="31" t="n">
        <v>52.6</v>
      </c>
      <c r="F541" s="31" t="n">
        <v>89.5</v>
      </c>
      <c r="G541" s="2"/>
      <c r="H541" s="2" t="s">
        <v>668</v>
      </c>
    </row>
    <row r="542" customFormat="false" ht="15" hidden="false" customHeight="false" outlineLevel="0" collapsed="false">
      <c r="A542" s="2" t="s">
        <v>2109</v>
      </c>
      <c r="B542" s="2" t="s">
        <v>46</v>
      </c>
      <c r="C542" s="2" t="s">
        <v>4086</v>
      </c>
      <c r="D542" s="11" t="n">
        <v>8720</v>
      </c>
      <c r="E542" s="31" t="n">
        <v>19.1</v>
      </c>
      <c r="F542" s="31" t="n">
        <v>98.1</v>
      </c>
      <c r="G542" s="31" t="n">
        <v>47.5</v>
      </c>
      <c r="H542" s="2" t="s">
        <v>671</v>
      </c>
    </row>
    <row r="543" customFormat="false" ht="15" hidden="false" customHeight="false" outlineLevel="0" collapsed="false">
      <c r="A543" s="2" t="s">
        <v>2109</v>
      </c>
      <c r="B543" s="2" t="s">
        <v>46</v>
      </c>
      <c r="C543" s="2" t="s">
        <v>4087</v>
      </c>
      <c r="D543" s="2"/>
      <c r="E543" s="2"/>
      <c r="F543" s="2"/>
      <c r="G543" s="2"/>
      <c r="H543" s="2" t="s">
        <v>668</v>
      </c>
    </row>
    <row r="544" customFormat="false" ht="15" hidden="false" customHeight="false" outlineLevel="0" collapsed="false">
      <c r="A544" s="2" t="s">
        <v>2109</v>
      </c>
      <c r="B544" s="2" t="s">
        <v>47</v>
      </c>
      <c r="C544" s="2" t="s">
        <v>4085</v>
      </c>
      <c r="D544" s="11" t="n">
        <v>29029</v>
      </c>
      <c r="E544" s="31" t="n">
        <v>65.7</v>
      </c>
      <c r="F544" s="31" t="n">
        <v>91.8</v>
      </c>
      <c r="G544" s="31" t="n">
        <v>22.9</v>
      </c>
      <c r="H544" s="2" t="s">
        <v>671</v>
      </c>
    </row>
    <row r="545" customFormat="false" ht="15" hidden="false" customHeight="false" outlineLevel="0" collapsed="false">
      <c r="A545" s="2" t="s">
        <v>2109</v>
      </c>
      <c r="B545" s="2" t="s">
        <v>47</v>
      </c>
      <c r="C545" s="2" t="s">
        <v>4086</v>
      </c>
      <c r="D545" s="11" t="n">
        <v>31372</v>
      </c>
      <c r="E545" s="31" t="n">
        <v>69.5</v>
      </c>
      <c r="F545" s="31" t="n">
        <v>75.6</v>
      </c>
      <c r="G545" s="31" t="n">
        <v>43.2</v>
      </c>
      <c r="H545" s="2" t="s">
        <v>671</v>
      </c>
    </row>
    <row r="546" customFormat="false" ht="15" hidden="false" customHeight="false" outlineLevel="0" collapsed="false">
      <c r="A546" s="2" t="s">
        <v>2109</v>
      </c>
      <c r="B546" s="2" t="s">
        <v>47</v>
      </c>
      <c r="C546" s="2" t="s">
        <v>4087</v>
      </c>
      <c r="D546" s="11" t="n">
        <v>32070</v>
      </c>
      <c r="E546" s="31" t="n">
        <v>78.5</v>
      </c>
      <c r="F546" s="31" t="n">
        <v>80.5</v>
      </c>
      <c r="G546" s="31" t="n">
        <v>34.9</v>
      </c>
      <c r="H546" s="2" t="s">
        <v>671</v>
      </c>
    </row>
    <row r="547" customFormat="false" ht="15" hidden="false" customHeight="false" outlineLevel="0" collapsed="false">
      <c r="A547" s="2" t="s">
        <v>888</v>
      </c>
      <c r="B547" s="2" t="s">
        <v>4104</v>
      </c>
      <c r="C547" s="2" t="s">
        <v>4085</v>
      </c>
      <c r="D547" s="2"/>
      <c r="E547" s="31" t="n">
        <v>50.2</v>
      </c>
      <c r="F547" s="31" t="n">
        <v>33.9</v>
      </c>
      <c r="G547" s="31" t="n">
        <v>56.7</v>
      </c>
      <c r="H547" s="2" t="s">
        <v>671</v>
      </c>
    </row>
    <row r="548" customFormat="false" ht="15" hidden="false" customHeight="false" outlineLevel="0" collapsed="false">
      <c r="A548" s="2" t="s">
        <v>888</v>
      </c>
      <c r="B548" s="2" t="s">
        <v>4104</v>
      </c>
      <c r="C548" s="2" t="s">
        <v>4086</v>
      </c>
      <c r="D548" s="2"/>
      <c r="E548" s="31" t="n">
        <v>72.8</v>
      </c>
      <c r="F548" s="31" t="n">
        <v>2.9</v>
      </c>
      <c r="G548" s="31" t="n">
        <v>79.3</v>
      </c>
      <c r="H548" s="2" t="s">
        <v>668</v>
      </c>
    </row>
    <row r="549" customFormat="false" ht="15" hidden="false" customHeight="false" outlineLevel="0" collapsed="false">
      <c r="A549" s="2" t="s">
        <v>888</v>
      </c>
      <c r="B549" s="2" t="s">
        <v>4104</v>
      </c>
      <c r="C549" s="2" t="s">
        <v>4087</v>
      </c>
      <c r="D549" s="2"/>
      <c r="E549" s="31" t="n">
        <v>56.5</v>
      </c>
      <c r="F549" s="31" t="n">
        <v>30.2</v>
      </c>
      <c r="G549" s="31" t="n">
        <v>60.3</v>
      </c>
      <c r="H549" s="2" t="s">
        <v>668</v>
      </c>
    </row>
    <row r="550" customFormat="false" ht="15" hidden="false" customHeight="false" outlineLevel="0" collapsed="false">
      <c r="A550" s="2" t="s">
        <v>888</v>
      </c>
      <c r="B550" s="2" t="s">
        <v>45</v>
      </c>
      <c r="C550" s="2" t="s">
        <v>4085</v>
      </c>
      <c r="D550" s="11" t="n">
        <v>124870</v>
      </c>
      <c r="E550" s="31" t="n">
        <v>51.4</v>
      </c>
      <c r="F550" s="31" t="n">
        <v>14.4</v>
      </c>
      <c r="G550" s="31" t="n">
        <v>76.3</v>
      </c>
      <c r="H550" s="2" t="s">
        <v>671</v>
      </c>
    </row>
    <row r="551" customFormat="false" ht="15" hidden="false" customHeight="false" outlineLevel="0" collapsed="false">
      <c r="A551" s="2" t="s">
        <v>888</v>
      </c>
      <c r="B551" s="2" t="s">
        <v>45</v>
      </c>
      <c r="C551" s="2" t="s">
        <v>4086</v>
      </c>
      <c r="D551" s="11" t="n">
        <v>123680</v>
      </c>
      <c r="E551" s="31" t="n">
        <v>72.8</v>
      </c>
      <c r="F551" s="31" t="n">
        <v>2.9</v>
      </c>
      <c r="G551" s="31" t="n">
        <v>79.3</v>
      </c>
      <c r="H551" s="2" t="s">
        <v>671</v>
      </c>
    </row>
    <row r="552" customFormat="false" ht="15" hidden="false" customHeight="false" outlineLevel="0" collapsed="false">
      <c r="A552" s="2" t="s">
        <v>888</v>
      </c>
      <c r="B552" s="2" t="s">
        <v>45</v>
      </c>
      <c r="C552" s="2" t="s">
        <v>4087</v>
      </c>
      <c r="D552" s="11" t="n">
        <v>122270</v>
      </c>
      <c r="E552" s="31" t="n">
        <v>70.9</v>
      </c>
      <c r="F552" s="31" t="n">
        <v>17.4</v>
      </c>
      <c r="G552" s="31" t="n">
        <v>87.3</v>
      </c>
      <c r="H552" s="2" t="s">
        <v>671</v>
      </c>
    </row>
    <row r="553" customFormat="false" ht="15" hidden="false" customHeight="false" outlineLevel="0" collapsed="false">
      <c r="A553" s="2" t="s">
        <v>888</v>
      </c>
      <c r="B553" s="2" t="s">
        <v>46</v>
      </c>
      <c r="C553" s="2" t="s">
        <v>4085</v>
      </c>
      <c r="D553" s="11" t="n">
        <v>301450</v>
      </c>
      <c r="E553" s="31" t="n">
        <v>6.5</v>
      </c>
      <c r="F553" s="31" t="n">
        <v>25</v>
      </c>
      <c r="G553" s="31" t="n">
        <v>23.1</v>
      </c>
      <c r="H553" s="2" t="s">
        <v>671</v>
      </c>
    </row>
    <row r="554" customFormat="false" ht="15" hidden="false" customHeight="false" outlineLevel="0" collapsed="false">
      <c r="A554" s="2" t="s">
        <v>888</v>
      </c>
      <c r="B554" s="2" t="s">
        <v>46</v>
      </c>
      <c r="C554" s="2" t="s">
        <v>4086</v>
      </c>
      <c r="D554" s="2"/>
      <c r="E554" s="2"/>
      <c r="F554" s="2"/>
      <c r="G554" s="2"/>
      <c r="H554" s="2" t="s">
        <v>668</v>
      </c>
    </row>
    <row r="555" customFormat="false" ht="15" hidden="false" customHeight="false" outlineLevel="0" collapsed="false">
      <c r="A555" s="2" t="s">
        <v>888</v>
      </c>
      <c r="B555" s="2" t="s">
        <v>46</v>
      </c>
      <c r="C555" s="2" t="s">
        <v>4087</v>
      </c>
      <c r="D555" s="11" t="n">
        <v>306440</v>
      </c>
      <c r="E555" s="31" t="n">
        <v>11.2</v>
      </c>
      <c r="F555" s="31" t="n">
        <v>29.1</v>
      </c>
      <c r="G555" s="2"/>
      <c r="H555" s="2" t="s">
        <v>668</v>
      </c>
    </row>
    <row r="556" customFormat="false" ht="15" hidden="false" customHeight="false" outlineLevel="0" collapsed="false">
      <c r="A556" s="2" t="s">
        <v>888</v>
      </c>
      <c r="B556" s="2" t="s">
        <v>47</v>
      </c>
      <c r="C556" s="2" t="s">
        <v>4085</v>
      </c>
      <c r="D556" s="11" t="n">
        <v>102402</v>
      </c>
      <c r="E556" s="31" t="n">
        <v>92.6</v>
      </c>
      <c r="F556" s="31" t="n">
        <v>62.3</v>
      </c>
      <c r="G556" s="31" t="n">
        <v>70.7</v>
      </c>
      <c r="H556" s="2" t="s">
        <v>671</v>
      </c>
    </row>
    <row r="557" customFormat="false" ht="15" hidden="false" customHeight="false" outlineLevel="0" collapsed="false">
      <c r="A557" s="2" t="s">
        <v>888</v>
      </c>
      <c r="B557" s="2" t="s">
        <v>47</v>
      </c>
      <c r="C557" s="2" t="s">
        <v>4086</v>
      </c>
      <c r="D557" s="2"/>
      <c r="E557" s="2"/>
      <c r="F557" s="2"/>
      <c r="G557" s="2"/>
      <c r="H557" s="2" t="s">
        <v>668</v>
      </c>
    </row>
    <row r="558" customFormat="false" ht="15" hidden="false" customHeight="false" outlineLevel="0" collapsed="false">
      <c r="A558" s="2" t="s">
        <v>888</v>
      </c>
      <c r="B558" s="2" t="s">
        <v>47</v>
      </c>
      <c r="C558" s="2" t="s">
        <v>4087</v>
      </c>
      <c r="D558" s="11" t="n">
        <v>110768</v>
      </c>
      <c r="E558" s="31" t="n">
        <v>87.5</v>
      </c>
      <c r="F558" s="31" t="n">
        <v>44</v>
      </c>
      <c r="G558" s="31" t="n">
        <v>33.3</v>
      </c>
      <c r="H558" s="2" t="s">
        <v>671</v>
      </c>
    </row>
    <row r="559" customFormat="false" ht="15" hidden="false" customHeight="false" outlineLevel="0" collapsed="false">
      <c r="A559" s="2" t="s">
        <v>1045</v>
      </c>
      <c r="B559" s="2" t="s">
        <v>4104</v>
      </c>
      <c r="C559" s="2" t="s">
        <v>4085</v>
      </c>
      <c r="D559" s="2"/>
      <c r="E559" s="31" t="n">
        <v>63.5</v>
      </c>
      <c r="F559" s="31" t="n">
        <v>28.8</v>
      </c>
      <c r="G559" s="31" t="n">
        <v>32</v>
      </c>
      <c r="H559" s="2" t="s">
        <v>668</v>
      </c>
    </row>
    <row r="560" customFormat="false" ht="15" hidden="false" customHeight="false" outlineLevel="0" collapsed="false">
      <c r="A560" s="2" t="s">
        <v>1045</v>
      </c>
      <c r="B560" s="2" t="s">
        <v>4104</v>
      </c>
      <c r="C560" s="2" t="s">
        <v>4086</v>
      </c>
      <c r="D560" s="2"/>
      <c r="E560" s="31" t="n">
        <v>63.1</v>
      </c>
      <c r="F560" s="31" t="n">
        <v>38.3</v>
      </c>
      <c r="G560" s="31" t="n">
        <v>58.9</v>
      </c>
      <c r="H560" s="2" t="s">
        <v>671</v>
      </c>
    </row>
    <row r="561" customFormat="false" ht="15" hidden="false" customHeight="false" outlineLevel="0" collapsed="false">
      <c r="A561" s="2" t="s">
        <v>1045</v>
      </c>
      <c r="B561" s="2" t="s">
        <v>4104</v>
      </c>
      <c r="C561" s="2" t="s">
        <v>4087</v>
      </c>
      <c r="D561" s="2"/>
      <c r="E561" s="31" t="n">
        <v>60.6</v>
      </c>
      <c r="F561" s="31" t="n">
        <v>22.1</v>
      </c>
      <c r="G561" s="31" t="n">
        <v>52.5</v>
      </c>
      <c r="H561" s="2" t="s">
        <v>668</v>
      </c>
    </row>
    <row r="562" customFormat="false" ht="15" hidden="false" customHeight="false" outlineLevel="0" collapsed="false">
      <c r="A562" s="2" t="s">
        <v>1045</v>
      </c>
      <c r="B562" s="2" t="s">
        <v>45</v>
      </c>
      <c r="C562" s="2" t="s">
        <v>4085</v>
      </c>
      <c r="D562" s="11" t="n">
        <v>144840</v>
      </c>
      <c r="E562" s="31" t="n">
        <v>31.8</v>
      </c>
      <c r="F562" s="31" t="n">
        <v>9.6</v>
      </c>
      <c r="G562" s="31" t="n">
        <v>22.4</v>
      </c>
      <c r="H562" s="2" t="s">
        <v>671</v>
      </c>
    </row>
    <row r="563" customFormat="false" ht="15" hidden="false" customHeight="false" outlineLevel="0" collapsed="false">
      <c r="A563" s="2" t="s">
        <v>1045</v>
      </c>
      <c r="B563" s="2" t="s">
        <v>45</v>
      </c>
      <c r="C563" s="2" t="s">
        <v>4086</v>
      </c>
      <c r="D563" s="11" t="n">
        <v>146070</v>
      </c>
      <c r="E563" s="31" t="n">
        <v>28.5</v>
      </c>
      <c r="F563" s="31" t="n">
        <v>10.7</v>
      </c>
      <c r="G563" s="31" t="n">
        <v>48.3</v>
      </c>
      <c r="H563" s="2" t="s">
        <v>671</v>
      </c>
    </row>
    <row r="564" customFormat="false" ht="15" hidden="false" customHeight="false" outlineLevel="0" collapsed="false">
      <c r="A564" s="2" t="s">
        <v>1045</v>
      </c>
      <c r="B564" s="2" t="s">
        <v>45</v>
      </c>
      <c r="C564" s="2" t="s">
        <v>4087</v>
      </c>
      <c r="D564" s="11" t="n">
        <v>148843</v>
      </c>
      <c r="E564" s="31" t="n">
        <v>49.6</v>
      </c>
      <c r="F564" s="31" t="n">
        <v>10.9</v>
      </c>
      <c r="G564" s="31" t="n">
        <v>52.5</v>
      </c>
      <c r="H564" s="2" t="s">
        <v>671</v>
      </c>
    </row>
    <row r="565" customFormat="false" ht="15" hidden="false" customHeight="false" outlineLevel="0" collapsed="false">
      <c r="A565" s="2" t="s">
        <v>1045</v>
      </c>
      <c r="B565" s="2" t="s">
        <v>46</v>
      </c>
      <c r="C565" s="2" t="s">
        <v>4085</v>
      </c>
      <c r="D565" s="11" t="n">
        <v>2890</v>
      </c>
      <c r="E565" s="31" t="n">
        <v>79.6</v>
      </c>
      <c r="F565" s="2"/>
      <c r="G565" s="31" t="n">
        <v>54.6</v>
      </c>
      <c r="H565" s="2" t="s">
        <v>668</v>
      </c>
    </row>
    <row r="566" customFormat="false" ht="15" hidden="false" customHeight="false" outlineLevel="0" collapsed="false">
      <c r="A566" s="2" t="s">
        <v>1045</v>
      </c>
      <c r="B566" s="2" t="s">
        <v>46</v>
      </c>
      <c r="C566" s="2" t="s">
        <v>4086</v>
      </c>
      <c r="D566" s="11" t="n">
        <v>2990</v>
      </c>
      <c r="E566" s="31" t="n">
        <v>85.7</v>
      </c>
      <c r="F566" s="31" t="n">
        <v>45.3</v>
      </c>
      <c r="G566" s="31" t="n">
        <v>69.3</v>
      </c>
      <c r="H566" s="2" t="s">
        <v>671</v>
      </c>
    </row>
    <row r="567" customFormat="false" ht="15" hidden="false" customHeight="false" outlineLevel="0" collapsed="false">
      <c r="A567" s="2" t="s">
        <v>1045</v>
      </c>
      <c r="B567" s="2" t="s">
        <v>46</v>
      </c>
      <c r="C567" s="2" t="s">
        <v>4087</v>
      </c>
      <c r="D567" s="11" t="n">
        <v>2997</v>
      </c>
      <c r="E567" s="31" t="n">
        <v>71.7</v>
      </c>
      <c r="F567" s="31" t="n">
        <v>33.3</v>
      </c>
      <c r="G567" s="2"/>
      <c r="H567" s="2" t="s">
        <v>668</v>
      </c>
    </row>
    <row r="568" customFormat="false" ht="15" hidden="false" customHeight="false" outlineLevel="0" collapsed="false">
      <c r="A568" s="2" t="s">
        <v>1045</v>
      </c>
      <c r="B568" s="2" t="s">
        <v>47</v>
      </c>
      <c r="C568" s="2" t="s">
        <v>4085</v>
      </c>
      <c r="D568" s="11" t="n">
        <v>98606</v>
      </c>
      <c r="E568" s="31" t="n">
        <v>79.2</v>
      </c>
      <c r="F568" s="31" t="n">
        <v>48</v>
      </c>
      <c r="G568" s="31" t="n">
        <v>19</v>
      </c>
      <c r="H568" s="2" t="s">
        <v>671</v>
      </c>
    </row>
    <row r="569" customFormat="false" ht="15" hidden="false" customHeight="false" outlineLevel="0" collapsed="false">
      <c r="A569" s="2" t="s">
        <v>1045</v>
      </c>
      <c r="B569" s="2" t="s">
        <v>47</v>
      </c>
      <c r="C569" s="2" t="s">
        <v>4086</v>
      </c>
      <c r="D569" s="11" t="n">
        <v>103540</v>
      </c>
      <c r="E569" s="31" t="n">
        <v>75.1</v>
      </c>
      <c r="F569" s="31" t="n">
        <v>59</v>
      </c>
      <c r="G569" s="31" t="n">
        <v>59.1</v>
      </c>
      <c r="H569" s="2" t="s">
        <v>671</v>
      </c>
    </row>
    <row r="570" customFormat="false" ht="15" hidden="false" customHeight="false" outlineLevel="0" collapsed="false">
      <c r="A570" s="2" t="s">
        <v>1045</v>
      </c>
      <c r="B570" s="2" t="s">
        <v>47</v>
      </c>
      <c r="C570" s="2" t="s">
        <v>4087</v>
      </c>
      <c r="D570" s="2"/>
      <c r="E570" s="2"/>
      <c r="F570" s="2"/>
      <c r="G570" s="2"/>
      <c r="H570" s="2" t="s">
        <v>668</v>
      </c>
    </row>
    <row r="571" customFormat="false" ht="15" hidden="false" customHeight="false" outlineLevel="0" collapsed="false">
      <c r="A571" s="2" t="s">
        <v>280</v>
      </c>
      <c r="B571" s="2" t="s">
        <v>4104</v>
      </c>
      <c r="C571" s="2" t="s">
        <v>4085</v>
      </c>
      <c r="D571" s="2"/>
      <c r="E571" s="31" t="n">
        <v>53.8</v>
      </c>
      <c r="F571" s="31" t="n">
        <v>45.3</v>
      </c>
      <c r="G571" s="31" t="n">
        <v>74.4</v>
      </c>
      <c r="H571" s="2" t="s">
        <v>671</v>
      </c>
    </row>
    <row r="572" customFormat="false" ht="15" hidden="false" customHeight="false" outlineLevel="0" collapsed="false">
      <c r="A572" s="2" t="s">
        <v>280</v>
      </c>
      <c r="B572" s="2" t="s">
        <v>4104</v>
      </c>
      <c r="C572" s="2" t="s">
        <v>4086</v>
      </c>
      <c r="D572" s="2"/>
      <c r="E572" s="31" t="n">
        <v>58.9</v>
      </c>
      <c r="F572" s="31" t="n">
        <v>27.3</v>
      </c>
      <c r="G572" s="31" t="n">
        <v>72.4</v>
      </c>
      <c r="H572" s="2" t="s">
        <v>671</v>
      </c>
    </row>
    <row r="573" customFormat="false" ht="15" hidden="false" customHeight="false" outlineLevel="0" collapsed="false">
      <c r="A573" s="2" t="s">
        <v>280</v>
      </c>
      <c r="B573" s="2" t="s">
        <v>4104</v>
      </c>
      <c r="C573" s="2" t="s">
        <v>4087</v>
      </c>
      <c r="D573" s="2"/>
      <c r="E573" s="31" t="n">
        <v>60.7</v>
      </c>
      <c r="F573" s="31" t="n">
        <v>42.7</v>
      </c>
      <c r="G573" s="31" t="n">
        <v>48.7</v>
      </c>
      <c r="H573" s="2" t="s">
        <v>671</v>
      </c>
    </row>
    <row r="574" customFormat="false" ht="15" hidden="false" customHeight="false" outlineLevel="0" collapsed="false">
      <c r="A574" s="2" t="s">
        <v>280</v>
      </c>
      <c r="B574" s="2" t="s">
        <v>46</v>
      </c>
      <c r="C574" s="2" t="s">
        <v>4085</v>
      </c>
      <c r="D574" s="11" t="n">
        <v>11810</v>
      </c>
      <c r="E574" s="31" t="n">
        <v>53.8</v>
      </c>
      <c r="F574" s="31" t="n">
        <v>45.3</v>
      </c>
      <c r="G574" s="31" t="n">
        <v>74.4</v>
      </c>
      <c r="H574" s="2" t="s">
        <v>671</v>
      </c>
    </row>
    <row r="575" customFormat="false" ht="15" hidden="false" customHeight="false" outlineLevel="0" collapsed="false">
      <c r="A575" s="2" t="s">
        <v>280</v>
      </c>
      <c r="B575" s="2" t="s">
        <v>46</v>
      </c>
      <c r="C575" s="2" t="s">
        <v>4086</v>
      </c>
      <c r="D575" s="11" t="n">
        <v>11990</v>
      </c>
      <c r="E575" s="31" t="n">
        <v>58.9</v>
      </c>
      <c r="F575" s="31" t="n">
        <v>27.3</v>
      </c>
      <c r="G575" s="31" t="n">
        <v>72.4</v>
      </c>
      <c r="H575" s="2" t="s">
        <v>671</v>
      </c>
    </row>
    <row r="576" customFormat="false" ht="15" hidden="false" customHeight="false" outlineLevel="0" collapsed="false">
      <c r="A576" s="2" t="s">
        <v>280</v>
      </c>
      <c r="B576" s="2" t="s">
        <v>46</v>
      </c>
      <c r="C576" s="2" t="s">
        <v>4087</v>
      </c>
      <c r="D576" s="11" t="n">
        <v>12190</v>
      </c>
      <c r="E576" s="31" t="n">
        <v>60.7</v>
      </c>
      <c r="F576" s="31" t="n">
        <v>42.7</v>
      </c>
      <c r="G576" s="31" t="n">
        <v>48.7</v>
      </c>
      <c r="H576" s="2" t="s">
        <v>671</v>
      </c>
    </row>
    <row r="577" customFormat="false" ht="15" hidden="false" customHeight="false" outlineLevel="0" collapsed="false">
      <c r="A577" s="2" t="s">
        <v>1091</v>
      </c>
      <c r="B577" s="2" t="s">
        <v>4104</v>
      </c>
      <c r="C577" s="2" t="s">
        <v>4085</v>
      </c>
      <c r="D577" s="2"/>
      <c r="E577" s="31" t="n">
        <v>29.4</v>
      </c>
      <c r="F577" s="31" t="n">
        <v>44.5</v>
      </c>
      <c r="G577" s="31" t="n">
        <v>50.7</v>
      </c>
      <c r="H577" s="2" t="s">
        <v>668</v>
      </c>
    </row>
    <row r="578" customFormat="false" ht="15" hidden="false" customHeight="false" outlineLevel="0" collapsed="false">
      <c r="A578" s="2" t="s">
        <v>1091</v>
      </c>
      <c r="B578" s="2" t="s">
        <v>4104</v>
      </c>
      <c r="C578" s="2" t="s">
        <v>4086</v>
      </c>
      <c r="D578" s="2"/>
      <c r="E578" s="31" t="n">
        <v>17.2</v>
      </c>
      <c r="F578" s="31" t="n">
        <v>6.5</v>
      </c>
      <c r="G578" s="31" t="n">
        <v>15.6</v>
      </c>
      <c r="H578" s="2" t="s">
        <v>668</v>
      </c>
    </row>
    <row r="579" customFormat="false" ht="15" hidden="false" customHeight="false" outlineLevel="0" collapsed="false">
      <c r="A579" s="2" t="s">
        <v>1091</v>
      </c>
      <c r="B579" s="2" t="s">
        <v>4104</v>
      </c>
      <c r="C579" s="2" t="s">
        <v>4087</v>
      </c>
      <c r="D579" s="2"/>
      <c r="E579" s="31" t="n">
        <v>42.9</v>
      </c>
      <c r="F579" s="31" t="n">
        <v>43.5</v>
      </c>
      <c r="G579" s="31" t="n">
        <v>12.2</v>
      </c>
      <c r="H579" s="2" t="s">
        <v>668</v>
      </c>
    </row>
    <row r="580" customFormat="false" ht="15" hidden="false" customHeight="false" outlineLevel="0" collapsed="false">
      <c r="A580" s="2" t="s">
        <v>1091</v>
      </c>
      <c r="B580" s="2" t="s">
        <v>45</v>
      </c>
      <c r="C580" s="2" t="s">
        <v>4085</v>
      </c>
      <c r="D580" s="11" t="n">
        <v>235640</v>
      </c>
      <c r="E580" s="31" t="n">
        <v>29.4</v>
      </c>
      <c r="F580" s="31" t="n">
        <v>44.5</v>
      </c>
      <c r="G580" s="31" t="n">
        <v>50.7</v>
      </c>
      <c r="H580" s="2" t="s">
        <v>671</v>
      </c>
    </row>
    <row r="581" customFormat="false" ht="15" hidden="false" customHeight="false" outlineLevel="0" collapsed="false">
      <c r="A581" s="2" t="s">
        <v>1091</v>
      </c>
      <c r="B581" s="2" t="s">
        <v>45</v>
      </c>
      <c r="C581" s="2" t="s">
        <v>4086</v>
      </c>
      <c r="D581" s="11" t="n">
        <v>229816</v>
      </c>
      <c r="E581" s="31" t="n">
        <v>21.4</v>
      </c>
      <c r="F581" s="31" t="n">
        <v>8.6</v>
      </c>
      <c r="G581" s="31" t="n">
        <v>15.6</v>
      </c>
      <c r="H581" s="2" t="s">
        <v>671</v>
      </c>
    </row>
    <row r="582" customFormat="false" ht="15" hidden="false" customHeight="false" outlineLevel="0" collapsed="false">
      <c r="A582" s="2" t="s">
        <v>1091</v>
      </c>
      <c r="B582" s="2" t="s">
        <v>45</v>
      </c>
      <c r="C582" s="2" t="s">
        <v>4087</v>
      </c>
      <c r="D582" s="11" t="n">
        <v>234820</v>
      </c>
      <c r="E582" s="31" t="n">
        <v>42.9</v>
      </c>
      <c r="F582" s="31" t="n">
        <v>43.5</v>
      </c>
      <c r="G582" s="31" t="n">
        <v>12.2</v>
      </c>
      <c r="H582" s="2" t="s">
        <v>671</v>
      </c>
    </row>
    <row r="583" customFormat="false" ht="15" hidden="false" customHeight="false" outlineLevel="0" collapsed="false">
      <c r="A583" s="2" t="s">
        <v>1091</v>
      </c>
      <c r="B583" s="2" t="s">
        <v>46</v>
      </c>
      <c r="C583" s="2" t="s">
        <v>4085</v>
      </c>
      <c r="D583" s="2"/>
      <c r="E583" s="2"/>
      <c r="F583" s="2"/>
      <c r="G583" s="2"/>
      <c r="H583" s="2" t="s">
        <v>668</v>
      </c>
    </row>
    <row r="584" customFormat="false" ht="15" hidden="false" customHeight="false" outlineLevel="0" collapsed="false">
      <c r="A584" s="2" t="s">
        <v>1091</v>
      </c>
      <c r="B584" s="2" t="s">
        <v>46</v>
      </c>
      <c r="C584" s="2" t="s">
        <v>4086</v>
      </c>
      <c r="D584" s="11" t="n">
        <v>32132</v>
      </c>
      <c r="E584" s="31" t="n">
        <v>13</v>
      </c>
      <c r="F584" s="31" t="n">
        <v>4.4</v>
      </c>
      <c r="G584" s="2"/>
      <c r="H584" s="2" t="s">
        <v>668</v>
      </c>
    </row>
    <row r="585" customFormat="false" ht="15" hidden="false" customHeight="false" outlineLevel="0" collapsed="false">
      <c r="A585" s="2" t="s">
        <v>1091</v>
      </c>
      <c r="B585" s="2" t="s">
        <v>46</v>
      </c>
      <c r="C585" s="2" t="s">
        <v>4087</v>
      </c>
      <c r="D585" s="2"/>
      <c r="E585" s="2"/>
      <c r="F585" s="2"/>
      <c r="G585" s="2"/>
      <c r="H585" s="2" t="s">
        <v>668</v>
      </c>
    </row>
    <row r="586" customFormat="false" ht="15" hidden="false" customHeight="false" outlineLevel="0" collapsed="false">
      <c r="A586" s="2" t="s">
        <v>1091</v>
      </c>
      <c r="B586" s="2" t="s">
        <v>47</v>
      </c>
      <c r="C586" s="2" t="s">
        <v>4085</v>
      </c>
      <c r="D586" s="2"/>
      <c r="E586" s="2"/>
      <c r="F586" s="2"/>
      <c r="G586" s="2"/>
      <c r="H586" s="2" t="s">
        <v>668</v>
      </c>
    </row>
    <row r="587" customFormat="false" ht="15" hidden="false" customHeight="false" outlineLevel="0" collapsed="false">
      <c r="A587" s="2" t="s">
        <v>1091</v>
      </c>
      <c r="B587" s="2" t="s">
        <v>47</v>
      </c>
      <c r="C587" s="2" t="s">
        <v>4086</v>
      </c>
      <c r="D587" s="2"/>
      <c r="E587" s="2"/>
      <c r="F587" s="2"/>
      <c r="G587" s="2"/>
      <c r="H587" s="2" t="s">
        <v>668</v>
      </c>
    </row>
    <row r="588" customFormat="false" ht="15" hidden="false" customHeight="false" outlineLevel="0" collapsed="false">
      <c r="A588" s="2" t="s">
        <v>1091</v>
      </c>
      <c r="B588" s="2" t="s">
        <v>47</v>
      </c>
      <c r="C588" s="2" t="s">
        <v>4087</v>
      </c>
      <c r="D588" s="2"/>
      <c r="E588" s="2"/>
      <c r="F588" s="2"/>
      <c r="G588" s="2"/>
      <c r="H588" s="2" t="s">
        <v>668</v>
      </c>
    </row>
    <row r="589" customFormat="false" ht="15" hidden="false" customHeight="false" outlineLevel="0" collapsed="false">
      <c r="A589" s="2" t="s">
        <v>1341</v>
      </c>
      <c r="B589" s="2" t="s">
        <v>4104</v>
      </c>
      <c r="C589" s="2" t="s">
        <v>4085</v>
      </c>
      <c r="D589" s="2"/>
      <c r="E589" s="31" t="n">
        <v>27.4</v>
      </c>
      <c r="F589" s="31" t="n">
        <v>54.1</v>
      </c>
      <c r="G589" s="31" t="n">
        <v>39.2</v>
      </c>
      <c r="H589" s="2" t="s">
        <v>671</v>
      </c>
    </row>
    <row r="590" customFormat="false" ht="15" hidden="false" customHeight="false" outlineLevel="0" collapsed="false">
      <c r="A590" s="2" t="s">
        <v>1341</v>
      </c>
      <c r="B590" s="2" t="s">
        <v>4104</v>
      </c>
      <c r="C590" s="2" t="s">
        <v>4086</v>
      </c>
      <c r="D590" s="2"/>
      <c r="E590" s="31" t="n">
        <v>37.5</v>
      </c>
      <c r="F590" s="31" t="n">
        <v>67.9</v>
      </c>
      <c r="G590" s="31" t="n">
        <v>52.6</v>
      </c>
      <c r="H590" s="2" t="s">
        <v>671</v>
      </c>
    </row>
    <row r="591" customFormat="false" ht="15" hidden="false" customHeight="false" outlineLevel="0" collapsed="false">
      <c r="A591" s="2" t="s">
        <v>1341</v>
      </c>
      <c r="B591" s="2" t="s">
        <v>4104</v>
      </c>
      <c r="C591" s="2" t="s">
        <v>4087</v>
      </c>
      <c r="D591" s="2"/>
      <c r="E591" s="31" t="n">
        <v>28.6</v>
      </c>
      <c r="F591" s="31" t="n">
        <v>56.1</v>
      </c>
      <c r="G591" s="31" t="n">
        <v>33.9</v>
      </c>
      <c r="H591" s="2" t="s">
        <v>668</v>
      </c>
    </row>
    <row r="592" customFormat="false" ht="15" hidden="false" customHeight="false" outlineLevel="0" collapsed="false">
      <c r="A592" s="2" t="s">
        <v>1341</v>
      </c>
      <c r="B592" s="2" t="s">
        <v>45</v>
      </c>
      <c r="C592" s="2" t="s">
        <v>4085</v>
      </c>
      <c r="D592" s="11" t="n">
        <v>70183</v>
      </c>
      <c r="E592" s="31" t="n">
        <v>3.9</v>
      </c>
      <c r="F592" s="31" t="n">
        <v>47.1</v>
      </c>
      <c r="G592" s="31" t="n">
        <v>29</v>
      </c>
      <c r="H592" s="2" t="s">
        <v>671</v>
      </c>
    </row>
    <row r="593" customFormat="false" ht="15" hidden="false" customHeight="false" outlineLevel="0" collapsed="false">
      <c r="A593" s="2" t="s">
        <v>1341</v>
      </c>
      <c r="B593" s="2" t="s">
        <v>45</v>
      </c>
      <c r="C593" s="2" t="s">
        <v>4086</v>
      </c>
      <c r="D593" s="11" t="n">
        <v>72490</v>
      </c>
      <c r="E593" s="31" t="n">
        <v>5.1</v>
      </c>
      <c r="F593" s="31" t="n">
        <v>50.9</v>
      </c>
      <c r="G593" s="31" t="n">
        <v>62.9</v>
      </c>
      <c r="H593" s="2" t="s">
        <v>671</v>
      </c>
    </row>
    <row r="594" customFormat="false" ht="15" hidden="false" customHeight="false" outlineLevel="0" collapsed="false">
      <c r="A594" s="2" t="s">
        <v>1341</v>
      </c>
      <c r="B594" s="2" t="s">
        <v>45</v>
      </c>
      <c r="C594" s="2" t="s">
        <v>4087</v>
      </c>
      <c r="D594" s="11" t="n">
        <v>75536</v>
      </c>
      <c r="E594" s="31" t="n">
        <v>6.2</v>
      </c>
      <c r="F594" s="31" t="n">
        <v>48</v>
      </c>
      <c r="G594" s="31" t="n">
        <v>48.9</v>
      </c>
      <c r="H594" s="2" t="s">
        <v>671</v>
      </c>
    </row>
    <row r="595" customFormat="false" ht="15" hidden="false" customHeight="false" outlineLevel="0" collapsed="false">
      <c r="A595" s="2" t="s">
        <v>1341</v>
      </c>
      <c r="B595" s="2" t="s">
        <v>46</v>
      </c>
      <c r="C595" s="2" t="s">
        <v>4085</v>
      </c>
      <c r="D595" s="11" t="n">
        <v>213729</v>
      </c>
      <c r="E595" s="31" t="n">
        <v>35.4</v>
      </c>
      <c r="F595" s="31" t="n">
        <v>79.5</v>
      </c>
      <c r="G595" s="31" t="n">
        <v>14.6</v>
      </c>
      <c r="H595" s="2" t="s">
        <v>671</v>
      </c>
    </row>
    <row r="596" customFormat="false" ht="15" hidden="false" customHeight="false" outlineLevel="0" collapsed="false">
      <c r="A596" s="2" t="s">
        <v>1341</v>
      </c>
      <c r="B596" s="2" t="s">
        <v>46</v>
      </c>
      <c r="C596" s="2" t="s">
        <v>4086</v>
      </c>
      <c r="D596" s="11" t="n">
        <v>217320</v>
      </c>
      <c r="E596" s="31" t="n">
        <v>45.4</v>
      </c>
      <c r="F596" s="31" t="n">
        <v>80.9</v>
      </c>
      <c r="G596" s="31" t="n">
        <v>30</v>
      </c>
      <c r="H596" s="2" t="s">
        <v>671</v>
      </c>
    </row>
    <row r="597" customFormat="false" ht="15" hidden="false" customHeight="false" outlineLevel="0" collapsed="false">
      <c r="A597" s="2" t="s">
        <v>1341</v>
      </c>
      <c r="B597" s="2" t="s">
        <v>46</v>
      </c>
      <c r="C597" s="2" t="s">
        <v>4087</v>
      </c>
      <c r="D597" s="11" t="n">
        <v>224804</v>
      </c>
      <c r="E597" s="31" t="n">
        <v>51</v>
      </c>
      <c r="F597" s="31" t="n">
        <v>64.2</v>
      </c>
      <c r="G597" s="31" t="n">
        <v>18.9</v>
      </c>
      <c r="H597" s="2" t="s">
        <v>671</v>
      </c>
    </row>
    <row r="598" customFormat="false" ht="15" hidden="false" customHeight="false" outlineLevel="0" collapsed="false">
      <c r="A598" s="2" t="s">
        <v>1341</v>
      </c>
      <c r="B598" s="2" t="s">
        <v>47</v>
      </c>
      <c r="C598" s="2" t="s">
        <v>4085</v>
      </c>
      <c r="D598" s="11" t="n">
        <v>227522</v>
      </c>
      <c r="E598" s="31" t="n">
        <v>42.9</v>
      </c>
      <c r="F598" s="31" t="n">
        <v>35.8</v>
      </c>
      <c r="G598" s="31" t="n">
        <v>73.9</v>
      </c>
      <c r="H598" s="2" t="s">
        <v>671</v>
      </c>
    </row>
    <row r="599" customFormat="false" ht="15" hidden="false" customHeight="false" outlineLevel="0" collapsed="false">
      <c r="A599" s="2" t="s">
        <v>1341</v>
      </c>
      <c r="B599" s="2" t="s">
        <v>47</v>
      </c>
      <c r="C599" s="2" t="s">
        <v>4086</v>
      </c>
      <c r="D599" s="11" t="n">
        <v>234130</v>
      </c>
      <c r="E599" s="31" t="n">
        <v>61.9</v>
      </c>
      <c r="F599" s="31" t="n">
        <v>72</v>
      </c>
      <c r="G599" s="31" t="n">
        <v>64.9</v>
      </c>
      <c r="H599" s="2" t="s">
        <v>671</v>
      </c>
    </row>
    <row r="600" customFormat="false" ht="15" hidden="false" customHeight="false" outlineLevel="0" collapsed="false">
      <c r="A600" s="2" t="s">
        <v>1341</v>
      </c>
      <c r="B600" s="2" t="s">
        <v>47</v>
      </c>
      <c r="C600" s="2" t="s">
        <v>4087</v>
      </c>
      <c r="D600" s="2"/>
      <c r="E600" s="2"/>
      <c r="F600" s="2"/>
      <c r="G600" s="2"/>
      <c r="H600" s="2" t="s">
        <v>668</v>
      </c>
    </row>
    <row r="601" customFormat="false" ht="15" hidden="false" customHeight="false" outlineLevel="0" collapsed="false">
      <c r="A601" s="2" t="s">
        <v>1451</v>
      </c>
      <c r="B601" s="2" t="s">
        <v>4104</v>
      </c>
      <c r="C601" s="2" t="s">
        <v>4087</v>
      </c>
      <c r="D601" s="2"/>
      <c r="E601" s="31" t="n">
        <v>74</v>
      </c>
      <c r="F601" s="31" t="n">
        <v>80.5</v>
      </c>
      <c r="G601" s="31" t="n">
        <v>32.6</v>
      </c>
      <c r="H601" s="2" t="s">
        <v>668</v>
      </c>
    </row>
    <row r="602" customFormat="false" ht="15" hidden="false" customHeight="false" outlineLevel="0" collapsed="false">
      <c r="A602" s="2" t="s">
        <v>1451</v>
      </c>
      <c r="B602" s="2" t="s">
        <v>46</v>
      </c>
      <c r="C602" s="2" t="s">
        <v>4087</v>
      </c>
      <c r="D602" s="11" t="n">
        <v>79730</v>
      </c>
      <c r="E602" s="31" t="n">
        <v>89</v>
      </c>
      <c r="F602" s="31" t="n">
        <v>80.5</v>
      </c>
      <c r="G602" s="31" t="n">
        <v>30.8</v>
      </c>
      <c r="H602" s="2" t="s">
        <v>671</v>
      </c>
    </row>
    <row r="603" customFormat="false" ht="15" hidden="false" customHeight="false" outlineLevel="0" collapsed="false">
      <c r="A603" s="2" t="s">
        <v>1451</v>
      </c>
      <c r="B603" s="2" t="s">
        <v>47</v>
      </c>
      <c r="C603" s="2" t="s">
        <v>4087</v>
      </c>
      <c r="D603" s="11" t="n">
        <v>23320</v>
      </c>
      <c r="E603" s="31" t="n">
        <v>58.9</v>
      </c>
      <c r="F603" s="2"/>
      <c r="G603" s="31" t="n">
        <v>34.5</v>
      </c>
      <c r="H603" s="2" t="s">
        <v>668</v>
      </c>
    </row>
    <row r="604" customFormat="false" ht="15" hidden="false" customHeight="false" outlineLevel="0" collapsed="false">
      <c r="A604" s="2" t="s">
        <v>2745</v>
      </c>
      <c r="B604" s="2" t="s">
        <v>4104</v>
      </c>
      <c r="C604" s="2" t="s">
        <v>4085</v>
      </c>
      <c r="D604" s="2"/>
      <c r="E604" s="31" t="n">
        <v>34.6</v>
      </c>
      <c r="F604" s="31" t="n">
        <v>47.4</v>
      </c>
      <c r="G604" s="2"/>
      <c r="H604" s="2" t="s">
        <v>668</v>
      </c>
    </row>
    <row r="605" customFormat="false" ht="15" hidden="false" customHeight="false" outlineLevel="0" collapsed="false">
      <c r="A605" s="2" t="s">
        <v>2745</v>
      </c>
      <c r="B605" s="2" t="s">
        <v>4104</v>
      </c>
      <c r="C605" s="2" t="s">
        <v>4086</v>
      </c>
      <c r="D605" s="2"/>
      <c r="E605" s="31" t="n">
        <v>19.3</v>
      </c>
      <c r="F605" s="31" t="n">
        <v>30.2</v>
      </c>
      <c r="G605" s="31" t="n">
        <v>79.9</v>
      </c>
      <c r="H605" s="2" t="s">
        <v>671</v>
      </c>
    </row>
    <row r="606" customFormat="false" ht="15" hidden="false" customHeight="false" outlineLevel="0" collapsed="false">
      <c r="A606" s="2" t="s">
        <v>2745</v>
      </c>
      <c r="B606" s="2" t="s">
        <v>4104</v>
      </c>
      <c r="C606" s="2" t="s">
        <v>4087</v>
      </c>
      <c r="D606" s="2"/>
      <c r="E606" s="31" t="n">
        <v>9.1</v>
      </c>
      <c r="F606" s="31" t="n">
        <v>56.2</v>
      </c>
      <c r="G606" s="2"/>
      <c r="H606" s="2" t="s">
        <v>668</v>
      </c>
    </row>
    <row r="607" customFormat="false" ht="15" hidden="false" customHeight="false" outlineLevel="0" collapsed="false">
      <c r="A607" s="2" t="s">
        <v>2745</v>
      </c>
      <c r="B607" s="2" t="s">
        <v>46</v>
      </c>
      <c r="C607" s="2" t="s">
        <v>4085</v>
      </c>
      <c r="D607" s="11" t="n">
        <v>4920</v>
      </c>
      <c r="E607" s="31" t="n">
        <v>34.6</v>
      </c>
      <c r="F607" s="31" t="n">
        <v>47.4</v>
      </c>
      <c r="G607" s="2"/>
      <c r="H607" s="2" t="s">
        <v>668</v>
      </c>
    </row>
    <row r="608" customFormat="false" ht="15" hidden="false" customHeight="false" outlineLevel="0" collapsed="false">
      <c r="A608" s="2" t="s">
        <v>2745</v>
      </c>
      <c r="B608" s="2" t="s">
        <v>46</v>
      </c>
      <c r="C608" s="2" t="s">
        <v>4086</v>
      </c>
      <c r="D608" s="11" t="n">
        <v>5288</v>
      </c>
      <c r="E608" s="31" t="n">
        <v>19.3</v>
      </c>
      <c r="F608" s="31" t="n">
        <v>30.2</v>
      </c>
      <c r="G608" s="31" t="n">
        <v>79.9</v>
      </c>
      <c r="H608" s="2" t="s">
        <v>671</v>
      </c>
    </row>
    <row r="609" customFormat="false" ht="15" hidden="false" customHeight="false" outlineLevel="0" collapsed="false">
      <c r="A609" s="2" t="s">
        <v>2745</v>
      </c>
      <c r="B609" s="2" t="s">
        <v>46</v>
      </c>
      <c r="C609" s="2" t="s">
        <v>4087</v>
      </c>
      <c r="D609" s="11" t="n">
        <v>5320</v>
      </c>
      <c r="E609" s="31" t="n">
        <v>9.1</v>
      </c>
      <c r="F609" s="31" t="n">
        <v>56.2</v>
      </c>
      <c r="G609" s="2"/>
      <c r="H609" s="2" t="s">
        <v>668</v>
      </c>
    </row>
    <row r="610" customFormat="false" ht="15" hidden="false" customHeight="false" outlineLevel="0" collapsed="false">
      <c r="A610" s="2" t="s">
        <v>86</v>
      </c>
      <c r="B610" s="2" t="s">
        <v>4104</v>
      </c>
      <c r="C610" s="2" t="s">
        <v>4087</v>
      </c>
      <c r="D610" s="2"/>
      <c r="E610" s="31" t="n">
        <v>98.5</v>
      </c>
      <c r="F610" s="31" t="n">
        <v>49.2</v>
      </c>
      <c r="G610" s="31" t="n">
        <v>8</v>
      </c>
      <c r="H610" s="2" t="s">
        <v>671</v>
      </c>
    </row>
    <row r="611" customFormat="false" ht="15" hidden="false" customHeight="false" outlineLevel="0" collapsed="false">
      <c r="A611" s="2" t="s">
        <v>86</v>
      </c>
      <c r="B611" s="2" t="s">
        <v>45</v>
      </c>
      <c r="C611" s="2" t="s">
        <v>4087</v>
      </c>
      <c r="D611" s="11" t="n">
        <v>89664</v>
      </c>
      <c r="E611" s="31" t="n">
        <v>98.5</v>
      </c>
      <c r="F611" s="31" t="n">
        <v>49.2</v>
      </c>
      <c r="G611" s="31" t="n">
        <v>8</v>
      </c>
      <c r="H611" s="2" t="s">
        <v>671</v>
      </c>
    </row>
    <row r="612" customFormat="false" ht="15" hidden="false" customHeight="false" outlineLevel="0" collapsed="false">
      <c r="A612" s="2" t="s">
        <v>322</v>
      </c>
      <c r="B612" s="2" t="s">
        <v>4104</v>
      </c>
      <c r="C612" s="2" t="s">
        <v>4085</v>
      </c>
      <c r="D612" s="2"/>
      <c r="E612" s="31" t="n">
        <v>54.2</v>
      </c>
      <c r="F612" s="31" t="n">
        <v>74.2</v>
      </c>
      <c r="G612" s="31" t="n">
        <v>98.8</v>
      </c>
      <c r="H612" s="2" t="s">
        <v>671</v>
      </c>
    </row>
    <row r="613" customFormat="false" ht="15" hidden="false" customHeight="false" outlineLevel="0" collapsed="false">
      <c r="A613" s="2" t="s">
        <v>322</v>
      </c>
      <c r="B613" s="2" t="s">
        <v>4104</v>
      </c>
      <c r="C613" s="2" t="s">
        <v>4086</v>
      </c>
      <c r="D613" s="2"/>
      <c r="E613" s="31" t="n">
        <v>60.3</v>
      </c>
      <c r="F613" s="31" t="n">
        <v>57.7</v>
      </c>
      <c r="G613" s="31" t="n">
        <v>81.8</v>
      </c>
      <c r="H613" s="2" t="s">
        <v>671</v>
      </c>
    </row>
    <row r="614" customFormat="false" ht="15" hidden="false" customHeight="false" outlineLevel="0" collapsed="false">
      <c r="A614" s="2" t="s">
        <v>322</v>
      </c>
      <c r="B614" s="2" t="s">
        <v>4104</v>
      </c>
      <c r="C614" s="2" t="s">
        <v>4087</v>
      </c>
      <c r="D614" s="2"/>
      <c r="E614" s="31" t="n">
        <v>56</v>
      </c>
      <c r="F614" s="31" t="n">
        <v>27.8</v>
      </c>
      <c r="G614" s="31" t="n">
        <v>77.1</v>
      </c>
      <c r="H614" s="2" t="s">
        <v>671</v>
      </c>
    </row>
    <row r="615" customFormat="false" ht="15" hidden="false" customHeight="false" outlineLevel="0" collapsed="false">
      <c r="A615" s="2" t="s">
        <v>322</v>
      </c>
      <c r="B615" s="2" t="s">
        <v>45</v>
      </c>
      <c r="C615" s="2" t="s">
        <v>4085</v>
      </c>
      <c r="D615" s="11" t="n">
        <v>4360</v>
      </c>
      <c r="E615" s="31" t="n">
        <v>54.2</v>
      </c>
      <c r="F615" s="31" t="n">
        <v>74.2</v>
      </c>
      <c r="G615" s="31" t="n">
        <v>98.8</v>
      </c>
      <c r="H615" s="2" t="s">
        <v>671</v>
      </c>
    </row>
    <row r="616" customFormat="false" ht="15" hidden="false" customHeight="false" outlineLevel="0" collapsed="false">
      <c r="A616" s="2" t="s">
        <v>322</v>
      </c>
      <c r="B616" s="2" t="s">
        <v>45</v>
      </c>
      <c r="C616" s="2" t="s">
        <v>4086</v>
      </c>
      <c r="D616" s="11" t="n">
        <v>4540</v>
      </c>
      <c r="E616" s="31" t="n">
        <v>60.3</v>
      </c>
      <c r="F616" s="31" t="n">
        <v>57.7</v>
      </c>
      <c r="G616" s="31" t="n">
        <v>81.8</v>
      </c>
      <c r="H616" s="2" t="s">
        <v>671</v>
      </c>
    </row>
    <row r="617" customFormat="false" ht="15" hidden="false" customHeight="false" outlineLevel="0" collapsed="false">
      <c r="A617" s="2" t="s">
        <v>322</v>
      </c>
      <c r="B617" s="2" t="s">
        <v>45</v>
      </c>
      <c r="C617" s="2" t="s">
        <v>4087</v>
      </c>
      <c r="D617" s="11" t="n">
        <v>4759</v>
      </c>
      <c r="E617" s="31" t="n">
        <v>56</v>
      </c>
      <c r="F617" s="31" t="n">
        <v>27.8</v>
      </c>
      <c r="G617" s="31" t="n">
        <v>77.1</v>
      </c>
      <c r="H617" s="2" t="s">
        <v>671</v>
      </c>
    </row>
    <row r="618" customFormat="false" ht="15" hidden="false" customHeight="false" outlineLevel="0" collapsed="false">
      <c r="A618" s="2" t="s">
        <v>1774</v>
      </c>
      <c r="B618" s="2" t="s">
        <v>4104</v>
      </c>
      <c r="C618" s="2" t="s">
        <v>4085</v>
      </c>
      <c r="D618" s="2"/>
      <c r="E618" s="31" t="n">
        <v>25.2</v>
      </c>
      <c r="F618" s="31" t="n">
        <v>16.5</v>
      </c>
      <c r="G618" s="31" t="n">
        <v>100</v>
      </c>
      <c r="H618" s="2" t="s">
        <v>668</v>
      </c>
    </row>
    <row r="619" customFormat="false" ht="15" hidden="false" customHeight="false" outlineLevel="0" collapsed="false">
      <c r="A619" s="2" t="s">
        <v>1774</v>
      </c>
      <c r="B619" s="2" t="s">
        <v>4104</v>
      </c>
      <c r="C619" s="2" t="s">
        <v>4086</v>
      </c>
      <c r="D619" s="2"/>
      <c r="E619" s="31" t="n">
        <v>43.1</v>
      </c>
      <c r="F619" s="31" t="n">
        <v>60.1</v>
      </c>
      <c r="G619" s="31" t="n">
        <v>53.3</v>
      </c>
      <c r="H619" s="2" t="s">
        <v>668</v>
      </c>
    </row>
    <row r="620" customFormat="false" ht="15" hidden="false" customHeight="false" outlineLevel="0" collapsed="false">
      <c r="A620" s="2" t="s">
        <v>1774</v>
      </c>
      <c r="B620" s="2" t="s">
        <v>4104</v>
      </c>
      <c r="C620" s="2" t="s">
        <v>4087</v>
      </c>
      <c r="D620" s="2"/>
      <c r="E620" s="31" t="n">
        <v>46.1</v>
      </c>
      <c r="F620" s="31" t="n">
        <v>49</v>
      </c>
      <c r="G620" s="31" t="n">
        <v>56.8</v>
      </c>
      <c r="H620" s="2" t="s">
        <v>668</v>
      </c>
    </row>
    <row r="621" customFormat="false" ht="15" hidden="false" customHeight="false" outlineLevel="0" collapsed="false">
      <c r="A621" s="2" t="s">
        <v>1774</v>
      </c>
      <c r="B621" s="2" t="s">
        <v>45</v>
      </c>
      <c r="C621" s="2" t="s">
        <v>4085</v>
      </c>
      <c r="D621" s="2"/>
      <c r="E621" s="2"/>
      <c r="F621" s="2"/>
      <c r="G621" s="2"/>
      <c r="H621" s="2" t="s">
        <v>668</v>
      </c>
    </row>
    <row r="622" customFormat="false" ht="15" hidden="false" customHeight="false" outlineLevel="0" collapsed="false">
      <c r="A622" s="2" t="s">
        <v>1774</v>
      </c>
      <c r="B622" s="2" t="s">
        <v>45</v>
      </c>
      <c r="C622" s="2" t="s">
        <v>4086</v>
      </c>
      <c r="D622" s="11" t="n">
        <v>148510</v>
      </c>
      <c r="E622" s="31" t="n">
        <v>51.2</v>
      </c>
      <c r="F622" s="31" t="n">
        <v>71.4</v>
      </c>
      <c r="G622" s="2"/>
      <c r="H622" s="2" t="s">
        <v>668</v>
      </c>
    </row>
    <row r="623" customFormat="false" ht="15" hidden="false" customHeight="false" outlineLevel="0" collapsed="false">
      <c r="A623" s="2" t="s">
        <v>1774</v>
      </c>
      <c r="B623" s="2" t="s">
        <v>45</v>
      </c>
      <c r="C623" s="2" t="s">
        <v>4087</v>
      </c>
      <c r="D623" s="2"/>
      <c r="E623" s="2"/>
      <c r="F623" s="2"/>
      <c r="G623" s="2"/>
      <c r="H623" s="2" t="s">
        <v>668</v>
      </c>
    </row>
    <row r="624" customFormat="false" ht="15" hidden="false" customHeight="false" outlineLevel="0" collapsed="false">
      <c r="A624" s="2" t="s">
        <v>1774</v>
      </c>
      <c r="B624" s="2" t="s">
        <v>46</v>
      </c>
      <c r="C624" s="2" t="s">
        <v>4085</v>
      </c>
      <c r="D624" s="11" t="n">
        <v>41164</v>
      </c>
      <c r="E624" s="31" t="n">
        <v>25.2</v>
      </c>
      <c r="F624" s="31" t="n">
        <v>16.5</v>
      </c>
      <c r="G624" s="31" t="n">
        <v>100</v>
      </c>
      <c r="H624" s="2" t="s">
        <v>671</v>
      </c>
    </row>
    <row r="625" customFormat="false" ht="15" hidden="false" customHeight="false" outlineLevel="0" collapsed="false">
      <c r="A625" s="2" t="s">
        <v>1774</v>
      </c>
      <c r="B625" s="2" t="s">
        <v>46</v>
      </c>
      <c r="C625" s="2" t="s">
        <v>4086</v>
      </c>
      <c r="D625" s="11" t="n">
        <v>42370</v>
      </c>
      <c r="E625" s="31" t="n">
        <v>33</v>
      </c>
      <c r="F625" s="31" t="n">
        <v>44</v>
      </c>
      <c r="G625" s="31" t="n">
        <v>100</v>
      </c>
      <c r="H625" s="2" t="s">
        <v>671</v>
      </c>
    </row>
    <row r="626" customFormat="false" ht="15" hidden="false" customHeight="false" outlineLevel="0" collapsed="false">
      <c r="A626" s="2" t="s">
        <v>1774</v>
      </c>
      <c r="B626" s="2" t="s">
        <v>46</v>
      </c>
      <c r="C626" s="2" t="s">
        <v>4087</v>
      </c>
      <c r="D626" s="11" t="n">
        <v>44227</v>
      </c>
      <c r="E626" s="31" t="n">
        <v>33.8</v>
      </c>
      <c r="F626" s="31" t="n">
        <v>53.9</v>
      </c>
      <c r="G626" s="31" t="n">
        <v>99</v>
      </c>
      <c r="H626" s="2" t="s">
        <v>671</v>
      </c>
    </row>
    <row r="627" customFormat="false" ht="15" hidden="false" customHeight="false" outlineLevel="0" collapsed="false">
      <c r="A627" s="2" t="s">
        <v>1774</v>
      </c>
      <c r="B627" s="2" t="s">
        <v>47</v>
      </c>
      <c r="C627" s="2" t="s">
        <v>4085</v>
      </c>
      <c r="D627" s="2"/>
      <c r="E627" s="2"/>
      <c r="F627" s="2"/>
      <c r="G627" s="2"/>
      <c r="H627" s="2" t="s">
        <v>668</v>
      </c>
    </row>
    <row r="628" customFormat="false" ht="15" hidden="false" customHeight="false" outlineLevel="0" collapsed="false">
      <c r="A628" s="2" t="s">
        <v>1774</v>
      </c>
      <c r="B628" s="2" t="s">
        <v>47</v>
      </c>
      <c r="C628" s="2" t="s">
        <v>4086</v>
      </c>
      <c r="D628" s="11" t="n">
        <v>8612</v>
      </c>
      <c r="E628" s="31" t="n">
        <v>45</v>
      </c>
      <c r="F628" s="31" t="n">
        <v>65</v>
      </c>
      <c r="G628" s="31" t="n">
        <v>6.6</v>
      </c>
      <c r="H628" s="2" t="s">
        <v>671</v>
      </c>
    </row>
    <row r="629" customFormat="false" ht="15" hidden="false" customHeight="false" outlineLevel="0" collapsed="false">
      <c r="A629" s="2" t="s">
        <v>1774</v>
      </c>
      <c r="B629" s="2" t="s">
        <v>47</v>
      </c>
      <c r="C629" s="2" t="s">
        <v>4087</v>
      </c>
      <c r="D629" s="11" t="n">
        <v>8924</v>
      </c>
      <c r="E629" s="31" t="n">
        <v>58.4</v>
      </c>
      <c r="F629" s="31" t="n">
        <v>44</v>
      </c>
      <c r="G629" s="31" t="n">
        <v>14.7</v>
      </c>
      <c r="H629" s="2" t="s">
        <v>671</v>
      </c>
    </row>
    <row r="630" customFormat="false" ht="15" hidden="false" customHeight="false" outlineLevel="0" collapsed="false">
      <c r="A630" s="2" t="s">
        <v>412</v>
      </c>
      <c r="B630" s="2" t="s">
        <v>4104</v>
      </c>
      <c r="C630" s="2" t="s">
        <v>4085</v>
      </c>
      <c r="D630" s="2"/>
      <c r="E630" s="31" t="n">
        <v>25.7</v>
      </c>
      <c r="F630" s="31" t="n">
        <v>11.7</v>
      </c>
      <c r="G630" s="31" t="n">
        <v>61</v>
      </c>
      <c r="H630" s="2" t="s">
        <v>668</v>
      </c>
    </row>
    <row r="631" customFormat="false" ht="15" hidden="false" customHeight="false" outlineLevel="0" collapsed="false">
      <c r="A631" s="2" t="s">
        <v>412</v>
      </c>
      <c r="B631" s="2" t="s">
        <v>4104</v>
      </c>
      <c r="C631" s="2" t="s">
        <v>4086</v>
      </c>
      <c r="D631" s="2"/>
      <c r="E631" s="31" t="n">
        <v>57</v>
      </c>
      <c r="F631" s="31" t="n">
        <v>38.2</v>
      </c>
      <c r="G631" s="31" t="n">
        <v>39.2</v>
      </c>
      <c r="H631" s="2" t="s">
        <v>671</v>
      </c>
    </row>
    <row r="632" customFormat="false" ht="15" hidden="false" customHeight="false" outlineLevel="0" collapsed="false">
      <c r="A632" s="2" t="s">
        <v>412</v>
      </c>
      <c r="B632" s="2" t="s">
        <v>4104</v>
      </c>
      <c r="C632" s="2" t="s">
        <v>4087</v>
      </c>
      <c r="D632" s="2"/>
      <c r="E632" s="31" t="n">
        <v>46</v>
      </c>
      <c r="F632" s="31" t="n">
        <v>46</v>
      </c>
      <c r="G632" s="31" t="n">
        <v>44</v>
      </c>
      <c r="H632" s="2" t="s">
        <v>671</v>
      </c>
    </row>
    <row r="633" customFormat="false" ht="15" hidden="false" customHeight="false" outlineLevel="0" collapsed="false">
      <c r="A633" s="2" t="s">
        <v>412</v>
      </c>
      <c r="B633" s="2" t="s">
        <v>45</v>
      </c>
      <c r="C633" s="2" t="s">
        <v>4085</v>
      </c>
      <c r="D633" s="11" t="n">
        <v>67787</v>
      </c>
      <c r="E633" s="31" t="n">
        <v>25.7</v>
      </c>
      <c r="F633" s="31" t="n">
        <v>11.7</v>
      </c>
      <c r="G633" s="31" t="n">
        <v>61</v>
      </c>
      <c r="H633" s="2" t="s">
        <v>671</v>
      </c>
    </row>
    <row r="634" customFormat="false" ht="15" hidden="false" customHeight="false" outlineLevel="0" collapsed="false">
      <c r="A634" s="2" t="s">
        <v>412</v>
      </c>
      <c r="B634" s="2" t="s">
        <v>45</v>
      </c>
      <c r="C634" s="2" t="s">
        <v>4086</v>
      </c>
      <c r="D634" s="11" t="n">
        <v>68400</v>
      </c>
      <c r="E634" s="31" t="n">
        <v>49.5</v>
      </c>
      <c r="F634" s="31" t="n">
        <v>10.7</v>
      </c>
      <c r="G634" s="31" t="n">
        <v>58.7</v>
      </c>
      <c r="H634" s="2" t="s">
        <v>671</v>
      </c>
    </row>
    <row r="635" customFormat="false" ht="15" hidden="false" customHeight="false" outlineLevel="0" collapsed="false">
      <c r="A635" s="2" t="s">
        <v>412</v>
      </c>
      <c r="B635" s="2" t="s">
        <v>45</v>
      </c>
      <c r="C635" s="2" t="s">
        <v>4087</v>
      </c>
      <c r="D635" s="11" t="n">
        <v>67220</v>
      </c>
      <c r="E635" s="31" t="n">
        <v>29.1</v>
      </c>
      <c r="F635" s="31" t="n">
        <v>6.3</v>
      </c>
      <c r="G635" s="31" t="n">
        <v>64.1</v>
      </c>
      <c r="H635" s="2" t="s">
        <v>671</v>
      </c>
    </row>
    <row r="636" customFormat="false" ht="15" hidden="false" customHeight="false" outlineLevel="0" collapsed="false">
      <c r="A636" s="2" t="s">
        <v>412</v>
      </c>
      <c r="B636" s="2" t="s">
        <v>47</v>
      </c>
      <c r="C636" s="2" t="s">
        <v>4085</v>
      </c>
      <c r="D636" s="2"/>
      <c r="E636" s="2"/>
      <c r="F636" s="2"/>
      <c r="G636" s="2"/>
      <c r="H636" s="2" t="s">
        <v>668</v>
      </c>
    </row>
    <row r="637" customFormat="false" ht="15" hidden="false" customHeight="false" outlineLevel="0" collapsed="false">
      <c r="A637" s="2" t="s">
        <v>412</v>
      </c>
      <c r="B637" s="2" t="s">
        <v>47</v>
      </c>
      <c r="C637" s="2" t="s">
        <v>4086</v>
      </c>
      <c r="D637" s="11" t="n">
        <v>52290</v>
      </c>
      <c r="E637" s="31" t="n">
        <v>64.4</v>
      </c>
      <c r="F637" s="31" t="n">
        <v>65.6</v>
      </c>
      <c r="G637" s="31" t="n">
        <v>19.7</v>
      </c>
      <c r="H637" s="2" t="s">
        <v>671</v>
      </c>
    </row>
    <row r="638" customFormat="false" ht="15" hidden="false" customHeight="false" outlineLevel="0" collapsed="false">
      <c r="A638" s="2" t="s">
        <v>412</v>
      </c>
      <c r="B638" s="2" t="s">
        <v>47</v>
      </c>
      <c r="C638" s="2" t="s">
        <v>4087</v>
      </c>
      <c r="D638" s="11" t="n">
        <v>56162</v>
      </c>
      <c r="E638" s="31" t="n">
        <v>62.9</v>
      </c>
      <c r="F638" s="31" t="n">
        <v>85.8</v>
      </c>
      <c r="G638" s="31" t="n">
        <v>24</v>
      </c>
      <c r="H638" s="2" t="s">
        <v>671</v>
      </c>
    </row>
    <row r="639" customFormat="false" ht="15" hidden="false" customHeight="false" outlineLevel="0" collapsed="false">
      <c r="A639" s="2" t="s">
        <v>2747</v>
      </c>
      <c r="B639" s="2" t="s">
        <v>4104</v>
      </c>
      <c r="C639" s="2" t="s">
        <v>4085</v>
      </c>
      <c r="D639" s="2"/>
      <c r="E639" s="2"/>
      <c r="F639" s="2"/>
      <c r="G639" s="2"/>
      <c r="H639" s="2" t="s">
        <v>668</v>
      </c>
    </row>
    <row r="640" customFormat="false" ht="15" hidden="false" customHeight="false" outlineLevel="0" collapsed="false">
      <c r="A640" s="2" t="s">
        <v>2747</v>
      </c>
      <c r="B640" s="2" t="s">
        <v>4104</v>
      </c>
      <c r="C640" s="2" t="s">
        <v>4086</v>
      </c>
      <c r="D640" s="2"/>
      <c r="E640" s="2"/>
      <c r="F640" s="2"/>
      <c r="G640" s="2"/>
      <c r="H640" s="2" t="s">
        <v>668</v>
      </c>
    </row>
    <row r="641" customFormat="false" ht="15" hidden="false" customHeight="false" outlineLevel="0" collapsed="false">
      <c r="A641" s="2" t="s">
        <v>2747</v>
      </c>
      <c r="B641" s="2" t="s">
        <v>4104</v>
      </c>
      <c r="C641" s="2" t="s">
        <v>4087</v>
      </c>
      <c r="D641" s="2"/>
      <c r="E641" s="31" t="n">
        <v>61.3</v>
      </c>
      <c r="F641" s="2"/>
      <c r="G641" s="31" t="n">
        <v>9.8</v>
      </c>
      <c r="H641" s="2" t="s">
        <v>668</v>
      </c>
    </row>
    <row r="642" customFormat="false" ht="15" hidden="false" customHeight="false" outlineLevel="0" collapsed="false">
      <c r="A642" s="2" t="s">
        <v>2747</v>
      </c>
      <c r="B642" s="2" t="s">
        <v>46</v>
      </c>
      <c r="C642" s="2" t="s">
        <v>4085</v>
      </c>
      <c r="D642" s="2"/>
      <c r="E642" s="2"/>
      <c r="F642" s="2"/>
      <c r="G642" s="2"/>
      <c r="H642" s="2" t="s">
        <v>668</v>
      </c>
    </row>
    <row r="643" customFormat="false" ht="15" hidden="false" customHeight="false" outlineLevel="0" collapsed="false">
      <c r="A643" s="2" t="s">
        <v>2747</v>
      </c>
      <c r="B643" s="2" t="s">
        <v>46</v>
      </c>
      <c r="C643" s="2" t="s">
        <v>4086</v>
      </c>
      <c r="D643" s="2"/>
      <c r="E643" s="2"/>
      <c r="F643" s="2"/>
      <c r="G643" s="2"/>
      <c r="H643" s="2" t="s">
        <v>668</v>
      </c>
    </row>
    <row r="644" customFormat="false" ht="15" hidden="false" customHeight="false" outlineLevel="0" collapsed="false">
      <c r="A644" s="2" t="s">
        <v>2747</v>
      </c>
      <c r="B644" s="2" t="s">
        <v>46</v>
      </c>
      <c r="C644" s="2" t="s">
        <v>4087</v>
      </c>
      <c r="D644" s="11" t="n">
        <v>5630</v>
      </c>
      <c r="E644" s="31" t="n">
        <v>61.3</v>
      </c>
      <c r="F644" s="2"/>
      <c r="G644" s="31" t="n">
        <v>9.8</v>
      </c>
      <c r="H644" s="2" t="s">
        <v>668</v>
      </c>
    </row>
    <row r="645" customFormat="false" ht="15" hidden="false" customHeight="false" outlineLevel="0" collapsed="false">
      <c r="A645" s="2" t="s">
        <v>1944</v>
      </c>
      <c r="B645" s="2" t="s">
        <v>4104</v>
      </c>
      <c r="C645" s="2" t="s">
        <v>4085</v>
      </c>
      <c r="D645" s="2"/>
      <c r="E645" s="31" t="n">
        <v>36.2</v>
      </c>
      <c r="F645" s="31" t="n">
        <v>47.5</v>
      </c>
      <c r="G645" s="31" t="n">
        <v>71.4</v>
      </c>
      <c r="H645" s="2" t="s">
        <v>668</v>
      </c>
    </row>
    <row r="646" customFormat="false" ht="15" hidden="false" customHeight="false" outlineLevel="0" collapsed="false">
      <c r="A646" s="2" t="s">
        <v>1944</v>
      </c>
      <c r="B646" s="2" t="s">
        <v>4104</v>
      </c>
      <c r="C646" s="2" t="s">
        <v>4086</v>
      </c>
      <c r="D646" s="2"/>
      <c r="E646" s="31" t="n">
        <v>48.8</v>
      </c>
      <c r="F646" s="31" t="n">
        <v>45.4</v>
      </c>
      <c r="G646" s="31" t="n">
        <v>70.4</v>
      </c>
      <c r="H646" s="2" t="s">
        <v>668</v>
      </c>
    </row>
    <row r="647" customFormat="false" ht="15" hidden="false" customHeight="false" outlineLevel="0" collapsed="false">
      <c r="A647" s="2" t="s">
        <v>1944</v>
      </c>
      <c r="B647" s="2" t="s">
        <v>4104</v>
      </c>
      <c r="C647" s="2" t="s">
        <v>4087</v>
      </c>
      <c r="D647" s="2"/>
      <c r="E647" s="31" t="n">
        <v>38.7</v>
      </c>
      <c r="F647" s="31" t="n">
        <v>55</v>
      </c>
      <c r="G647" s="31" t="n">
        <v>53.3</v>
      </c>
      <c r="H647" s="2" t="s">
        <v>668</v>
      </c>
    </row>
    <row r="648" customFormat="false" ht="15" hidden="false" customHeight="false" outlineLevel="0" collapsed="false">
      <c r="A648" s="2" t="s">
        <v>1944</v>
      </c>
      <c r="B648" s="2" t="s">
        <v>45</v>
      </c>
      <c r="C648" s="2" t="s">
        <v>4085</v>
      </c>
      <c r="D648" s="11" t="n">
        <v>18358</v>
      </c>
      <c r="E648" s="31" t="n">
        <v>25.5</v>
      </c>
      <c r="F648" s="31" t="n">
        <v>15</v>
      </c>
      <c r="G648" s="31" t="n">
        <v>100</v>
      </c>
      <c r="H648" s="2" t="s">
        <v>671</v>
      </c>
    </row>
    <row r="649" customFormat="false" ht="15" hidden="false" customHeight="false" outlineLevel="0" collapsed="false">
      <c r="A649" s="2" t="s">
        <v>1944</v>
      </c>
      <c r="B649" s="2" t="s">
        <v>45</v>
      </c>
      <c r="C649" s="2" t="s">
        <v>4086</v>
      </c>
      <c r="D649" s="11" t="n">
        <v>18570</v>
      </c>
      <c r="E649" s="31" t="n">
        <v>16.6</v>
      </c>
      <c r="F649" s="31" t="n">
        <v>20.6</v>
      </c>
      <c r="G649" s="31" t="n">
        <v>90.9</v>
      </c>
      <c r="H649" s="2" t="s">
        <v>671</v>
      </c>
    </row>
    <row r="650" customFormat="false" ht="15" hidden="false" customHeight="false" outlineLevel="0" collapsed="false">
      <c r="A650" s="2" t="s">
        <v>1944</v>
      </c>
      <c r="B650" s="2" t="s">
        <v>45</v>
      </c>
      <c r="C650" s="2" t="s">
        <v>4087</v>
      </c>
      <c r="D650" s="2"/>
      <c r="E650" s="2"/>
      <c r="F650" s="2"/>
      <c r="G650" s="31" t="n">
        <v>95.9</v>
      </c>
      <c r="H650" s="2" t="s">
        <v>668</v>
      </c>
    </row>
    <row r="651" customFormat="false" ht="15" hidden="false" customHeight="false" outlineLevel="0" collapsed="false">
      <c r="A651" s="2" t="s">
        <v>1944</v>
      </c>
      <c r="B651" s="2" t="s">
        <v>46</v>
      </c>
      <c r="C651" s="2" t="s">
        <v>4085</v>
      </c>
      <c r="D651" s="11" t="n">
        <v>416405</v>
      </c>
      <c r="E651" s="31" t="n">
        <v>1</v>
      </c>
      <c r="F651" s="31" t="n">
        <v>62.8</v>
      </c>
      <c r="G651" s="2"/>
      <c r="H651" s="2" t="s">
        <v>668</v>
      </c>
    </row>
    <row r="652" customFormat="false" ht="15" hidden="false" customHeight="false" outlineLevel="0" collapsed="false">
      <c r="A652" s="2" t="s">
        <v>1944</v>
      </c>
      <c r="B652" s="2" t="s">
        <v>46</v>
      </c>
      <c r="C652" s="2" t="s">
        <v>4086</v>
      </c>
      <c r="D652" s="2"/>
      <c r="E652" s="2"/>
      <c r="F652" s="2"/>
      <c r="G652" s="2"/>
      <c r="H652" s="2" t="s">
        <v>668</v>
      </c>
    </row>
    <row r="653" customFormat="false" ht="15" hidden="false" customHeight="false" outlineLevel="0" collapsed="false">
      <c r="A653" s="2" t="s">
        <v>1944</v>
      </c>
      <c r="B653" s="2" t="s">
        <v>46</v>
      </c>
      <c r="C653" s="2" t="s">
        <v>4087</v>
      </c>
      <c r="D653" s="11" t="n">
        <v>431940</v>
      </c>
      <c r="E653" s="31" t="n">
        <v>3.4</v>
      </c>
      <c r="F653" s="31" t="n">
        <v>51.7</v>
      </c>
      <c r="G653" s="31" t="n">
        <v>25.6</v>
      </c>
      <c r="H653" s="2" t="s">
        <v>671</v>
      </c>
    </row>
    <row r="654" customFormat="false" ht="15" hidden="false" customHeight="false" outlineLevel="0" collapsed="false">
      <c r="A654" s="2" t="s">
        <v>1944</v>
      </c>
      <c r="B654" s="2" t="s">
        <v>47</v>
      </c>
      <c r="C654" s="2" t="s">
        <v>4085</v>
      </c>
      <c r="D654" s="11" t="n">
        <v>423617</v>
      </c>
      <c r="E654" s="31" t="n">
        <v>82</v>
      </c>
      <c r="F654" s="31" t="n">
        <v>64.8</v>
      </c>
      <c r="G654" s="31" t="n">
        <v>42.9</v>
      </c>
      <c r="H654" s="2" t="s">
        <v>671</v>
      </c>
    </row>
    <row r="655" customFormat="false" ht="15" hidden="false" customHeight="false" outlineLevel="0" collapsed="false">
      <c r="A655" s="2" t="s">
        <v>1944</v>
      </c>
      <c r="B655" s="2" t="s">
        <v>47</v>
      </c>
      <c r="C655" s="2" t="s">
        <v>4086</v>
      </c>
      <c r="D655" s="11" t="n">
        <v>446469</v>
      </c>
      <c r="E655" s="31" t="n">
        <v>81</v>
      </c>
      <c r="F655" s="31" t="n">
        <v>70.2</v>
      </c>
      <c r="G655" s="31" t="n">
        <v>49.8</v>
      </c>
      <c r="H655" s="2" t="s">
        <v>671</v>
      </c>
    </row>
    <row r="656" customFormat="false" ht="15" hidden="false" customHeight="false" outlineLevel="0" collapsed="false">
      <c r="A656" s="2" t="s">
        <v>1944</v>
      </c>
      <c r="B656" s="2" t="s">
        <v>47</v>
      </c>
      <c r="C656" s="2" t="s">
        <v>4087</v>
      </c>
      <c r="D656" s="11" t="n">
        <v>466995</v>
      </c>
      <c r="E656" s="31" t="n">
        <v>74</v>
      </c>
      <c r="F656" s="31" t="n">
        <v>58.4</v>
      </c>
      <c r="G656" s="31" t="n">
        <v>38.3</v>
      </c>
      <c r="H656" s="2" t="s">
        <v>671</v>
      </c>
    </row>
    <row r="657" customFormat="false" ht="15" hidden="false" customHeight="false" outlineLevel="0" collapsed="false">
      <c r="A657" s="2" t="s">
        <v>956</v>
      </c>
      <c r="B657" s="2" t="s">
        <v>4104</v>
      </c>
      <c r="C657" s="2" t="s">
        <v>4085</v>
      </c>
      <c r="D657" s="2"/>
      <c r="E657" s="31" t="n">
        <v>62.4</v>
      </c>
      <c r="F657" s="31" t="n">
        <v>35.6</v>
      </c>
      <c r="G657" s="31" t="n">
        <v>85.2</v>
      </c>
      <c r="H657" s="2" t="s">
        <v>668</v>
      </c>
    </row>
    <row r="658" customFormat="false" ht="15" hidden="false" customHeight="false" outlineLevel="0" collapsed="false">
      <c r="A658" s="2" t="s">
        <v>956</v>
      </c>
      <c r="B658" s="2" t="s">
        <v>4104</v>
      </c>
      <c r="C658" s="2" t="s">
        <v>4086</v>
      </c>
      <c r="D658" s="2"/>
      <c r="E658" s="31" t="n">
        <v>57.4</v>
      </c>
      <c r="F658" s="31" t="n">
        <v>23.2</v>
      </c>
      <c r="G658" s="31" t="n">
        <v>55.4</v>
      </c>
      <c r="H658" s="2" t="s">
        <v>668</v>
      </c>
    </row>
    <row r="659" customFormat="false" ht="15" hidden="false" customHeight="false" outlineLevel="0" collapsed="false">
      <c r="A659" s="2" t="s">
        <v>956</v>
      </c>
      <c r="B659" s="2" t="s">
        <v>4104</v>
      </c>
      <c r="C659" s="2" t="s">
        <v>4087</v>
      </c>
      <c r="D659" s="2"/>
      <c r="E659" s="31" t="n">
        <v>37.9</v>
      </c>
      <c r="F659" s="31" t="n">
        <v>29.4</v>
      </c>
      <c r="G659" s="31" t="n">
        <v>66</v>
      </c>
      <c r="H659" s="2" t="s">
        <v>668</v>
      </c>
    </row>
    <row r="660" customFormat="false" ht="15" hidden="false" customHeight="false" outlineLevel="0" collapsed="false">
      <c r="A660" s="2" t="s">
        <v>956</v>
      </c>
      <c r="B660" s="2" t="s">
        <v>45</v>
      </c>
      <c r="C660" s="2" t="s">
        <v>4085</v>
      </c>
      <c r="D660" s="11" t="n">
        <v>90716</v>
      </c>
      <c r="E660" s="31" t="n">
        <v>73</v>
      </c>
      <c r="F660" s="31" t="n">
        <v>48.9</v>
      </c>
      <c r="G660" s="2"/>
      <c r="H660" s="2" t="s">
        <v>668</v>
      </c>
    </row>
    <row r="661" customFormat="false" ht="15" hidden="false" customHeight="false" outlineLevel="0" collapsed="false">
      <c r="A661" s="2" t="s">
        <v>956</v>
      </c>
      <c r="B661" s="2" t="s">
        <v>45</v>
      </c>
      <c r="C661" s="2" t="s">
        <v>4086</v>
      </c>
      <c r="D661" s="11" t="n">
        <v>93060</v>
      </c>
      <c r="E661" s="31" t="n">
        <v>74.9</v>
      </c>
      <c r="F661" s="31" t="n">
        <v>38.1</v>
      </c>
      <c r="G661" s="31" t="n">
        <v>52.4</v>
      </c>
      <c r="H661" s="2" t="s">
        <v>671</v>
      </c>
    </row>
    <row r="662" customFormat="false" ht="15" hidden="false" customHeight="false" outlineLevel="0" collapsed="false">
      <c r="A662" s="2" t="s">
        <v>956</v>
      </c>
      <c r="B662" s="2" t="s">
        <v>45</v>
      </c>
      <c r="C662" s="2" t="s">
        <v>4087</v>
      </c>
      <c r="D662" s="11" t="n">
        <v>96627</v>
      </c>
      <c r="E662" s="31" t="n">
        <v>61.1</v>
      </c>
      <c r="F662" s="31" t="n">
        <v>45.6</v>
      </c>
      <c r="G662" s="31" t="n">
        <v>66</v>
      </c>
      <c r="H662" s="2" t="s">
        <v>671</v>
      </c>
    </row>
    <row r="663" customFormat="false" ht="15" hidden="false" customHeight="false" outlineLevel="0" collapsed="false">
      <c r="A663" s="2" t="s">
        <v>956</v>
      </c>
      <c r="B663" s="2" t="s">
        <v>46</v>
      </c>
      <c r="C663" s="2" t="s">
        <v>4085</v>
      </c>
      <c r="D663" s="11" t="n">
        <v>1330930</v>
      </c>
      <c r="E663" s="31" t="n">
        <v>39.9</v>
      </c>
      <c r="F663" s="31" t="n">
        <v>22.2</v>
      </c>
      <c r="G663" s="31" t="n">
        <v>91.6</v>
      </c>
      <c r="H663" s="2" t="s">
        <v>671</v>
      </c>
    </row>
    <row r="664" customFormat="false" ht="15" hidden="false" customHeight="false" outlineLevel="0" collapsed="false">
      <c r="A664" s="2" t="s">
        <v>956</v>
      </c>
      <c r="B664" s="2" t="s">
        <v>46</v>
      </c>
      <c r="C664" s="2" t="s">
        <v>4086</v>
      </c>
      <c r="D664" s="11" t="n">
        <v>1278060</v>
      </c>
      <c r="E664" s="31" t="n">
        <v>39.9</v>
      </c>
      <c r="F664" s="31" t="n">
        <v>8.3</v>
      </c>
      <c r="G664" s="31" t="n">
        <v>58.3</v>
      </c>
      <c r="H664" s="2" t="s">
        <v>671</v>
      </c>
    </row>
    <row r="665" customFormat="false" ht="15" hidden="false" customHeight="false" outlineLevel="0" collapsed="false">
      <c r="A665" s="2" t="s">
        <v>956</v>
      </c>
      <c r="B665" s="2" t="s">
        <v>46</v>
      </c>
      <c r="C665" s="2" t="s">
        <v>4087</v>
      </c>
      <c r="D665" s="11" t="n">
        <v>1311714</v>
      </c>
      <c r="E665" s="31" t="n">
        <v>15.2</v>
      </c>
      <c r="F665" s="31" t="n">
        <v>12.5</v>
      </c>
      <c r="G665" s="2"/>
      <c r="H665" s="2" t="s">
        <v>668</v>
      </c>
    </row>
    <row r="666" customFormat="false" ht="15" hidden="false" customHeight="false" outlineLevel="0" collapsed="false">
      <c r="A666" s="2" t="s">
        <v>956</v>
      </c>
      <c r="B666" s="2" t="s">
        <v>47</v>
      </c>
      <c r="C666" s="2" t="s">
        <v>4085</v>
      </c>
      <c r="D666" s="11" t="n">
        <v>14055</v>
      </c>
      <c r="E666" s="31" t="n">
        <v>74.4</v>
      </c>
      <c r="F666" s="2"/>
      <c r="G666" s="31" t="n">
        <v>78.7</v>
      </c>
      <c r="H666" s="2" t="s">
        <v>668</v>
      </c>
    </row>
    <row r="667" customFormat="false" ht="15" hidden="false" customHeight="false" outlineLevel="0" collapsed="false">
      <c r="A667" s="2" t="s">
        <v>956</v>
      </c>
      <c r="B667" s="2" t="s">
        <v>47</v>
      </c>
      <c r="C667" s="2" t="s">
        <v>4086</v>
      </c>
      <c r="D667" s="2"/>
      <c r="E667" s="2"/>
      <c r="F667" s="2"/>
      <c r="G667" s="2"/>
      <c r="H667" s="2" t="s">
        <v>668</v>
      </c>
    </row>
    <row r="668" customFormat="false" ht="15" hidden="false" customHeight="false" outlineLevel="0" collapsed="false">
      <c r="A668" s="2" t="s">
        <v>956</v>
      </c>
      <c r="B668" s="2" t="s">
        <v>47</v>
      </c>
      <c r="C668" s="2" t="s">
        <v>4087</v>
      </c>
      <c r="D668" s="11" t="n">
        <v>14494</v>
      </c>
      <c r="E668" s="31" t="n">
        <v>37.3</v>
      </c>
      <c r="F668" s="31" t="n">
        <v>30.1</v>
      </c>
      <c r="G668" s="2"/>
      <c r="H668" s="2" t="s">
        <v>668</v>
      </c>
    </row>
    <row r="669" customFormat="false" ht="15" hidden="false" customHeight="false" outlineLevel="0" collapsed="false">
      <c r="A669" s="2" t="s">
        <v>2286</v>
      </c>
      <c r="B669" s="2" t="s">
        <v>4104</v>
      </c>
      <c r="C669" s="2" t="s">
        <v>4085</v>
      </c>
      <c r="D669" s="2"/>
      <c r="E669" s="31" t="n">
        <v>77.2</v>
      </c>
      <c r="F669" s="31" t="n">
        <v>36.2</v>
      </c>
      <c r="G669" s="31" t="n">
        <v>30.4</v>
      </c>
      <c r="H669" s="2" t="s">
        <v>668</v>
      </c>
    </row>
    <row r="670" customFormat="false" ht="15" hidden="false" customHeight="false" outlineLevel="0" collapsed="false">
      <c r="A670" s="2" t="s">
        <v>2286</v>
      </c>
      <c r="B670" s="2" t="s">
        <v>4104</v>
      </c>
      <c r="C670" s="2" t="s">
        <v>4086</v>
      </c>
      <c r="D670" s="2"/>
      <c r="E670" s="31" t="n">
        <v>84.5</v>
      </c>
      <c r="F670" s="31" t="n">
        <v>26.7</v>
      </c>
      <c r="G670" s="31" t="n">
        <v>38.2</v>
      </c>
      <c r="H670" s="2" t="s">
        <v>668</v>
      </c>
    </row>
    <row r="671" customFormat="false" ht="15" hidden="false" customHeight="false" outlineLevel="0" collapsed="false">
      <c r="A671" s="2" t="s">
        <v>2286</v>
      </c>
      <c r="B671" s="2" t="s">
        <v>4104</v>
      </c>
      <c r="C671" s="2" t="s">
        <v>4087</v>
      </c>
      <c r="D671" s="2"/>
      <c r="E671" s="31" t="n">
        <v>73.5</v>
      </c>
      <c r="F671" s="31" t="n">
        <v>17.2</v>
      </c>
      <c r="G671" s="31" t="n">
        <v>78.5</v>
      </c>
      <c r="H671" s="2" t="s">
        <v>668</v>
      </c>
    </row>
    <row r="672" customFormat="false" ht="15" hidden="false" customHeight="false" outlineLevel="0" collapsed="false">
      <c r="A672" s="2" t="s">
        <v>2286</v>
      </c>
      <c r="B672" s="2" t="s">
        <v>45</v>
      </c>
      <c r="C672" s="2" t="s">
        <v>4085</v>
      </c>
      <c r="D672" s="2"/>
      <c r="E672" s="2"/>
      <c r="F672" s="2"/>
      <c r="G672" s="2"/>
      <c r="H672" s="2" t="s">
        <v>668</v>
      </c>
    </row>
    <row r="673" customFormat="false" ht="15" hidden="false" customHeight="false" outlineLevel="0" collapsed="false">
      <c r="A673" s="2" t="s">
        <v>2286</v>
      </c>
      <c r="B673" s="2" t="s">
        <v>45</v>
      </c>
      <c r="C673" s="2" t="s">
        <v>4086</v>
      </c>
      <c r="D673" s="11" t="n">
        <v>59020</v>
      </c>
      <c r="E673" s="31" t="n">
        <v>87</v>
      </c>
      <c r="F673" s="31" t="n">
        <v>16.2</v>
      </c>
      <c r="G673" s="2"/>
      <c r="H673" s="2" t="s">
        <v>671</v>
      </c>
    </row>
    <row r="674" customFormat="false" ht="15" hidden="false" customHeight="false" outlineLevel="0" collapsed="false">
      <c r="A674" s="2" t="s">
        <v>2286</v>
      </c>
      <c r="B674" s="2" t="s">
        <v>45</v>
      </c>
      <c r="C674" s="2" t="s">
        <v>4087</v>
      </c>
      <c r="D674" s="11" t="n">
        <v>60540</v>
      </c>
      <c r="E674" s="2"/>
      <c r="F674" s="31" t="n">
        <v>3.2</v>
      </c>
      <c r="G674" s="2"/>
      <c r="H674" s="2" t="s">
        <v>668</v>
      </c>
    </row>
    <row r="675" customFormat="false" ht="15" hidden="false" customHeight="false" outlineLevel="0" collapsed="false">
      <c r="A675" s="2" t="s">
        <v>2286</v>
      </c>
      <c r="B675" s="2" t="s">
        <v>46</v>
      </c>
      <c r="C675" s="2" t="s">
        <v>4085</v>
      </c>
      <c r="D675" s="11" t="n">
        <v>56650</v>
      </c>
      <c r="E675" s="31" t="n">
        <v>87.5</v>
      </c>
      <c r="F675" s="31" t="n">
        <v>14.6</v>
      </c>
      <c r="G675" s="31" t="n">
        <v>3.4</v>
      </c>
      <c r="H675" s="2" t="s">
        <v>671</v>
      </c>
    </row>
    <row r="676" customFormat="false" ht="15" hidden="false" customHeight="false" outlineLevel="0" collapsed="false">
      <c r="A676" s="2" t="s">
        <v>2286</v>
      </c>
      <c r="B676" s="2" t="s">
        <v>46</v>
      </c>
      <c r="C676" s="2" t="s">
        <v>4086</v>
      </c>
      <c r="D676" s="11" t="n">
        <v>57410</v>
      </c>
      <c r="E676" s="31" t="n">
        <v>87.8</v>
      </c>
      <c r="F676" s="31" t="n">
        <v>20.7</v>
      </c>
      <c r="G676" s="2"/>
      <c r="H676" s="2" t="s">
        <v>668</v>
      </c>
    </row>
    <row r="677" customFormat="false" ht="15" hidden="false" customHeight="false" outlineLevel="0" collapsed="false">
      <c r="A677" s="2" t="s">
        <v>2286</v>
      </c>
      <c r="B677" s="2" t="s">
        <v>46</v>
      </c>
      <c r="C677" s="2" t="s">
        <v>4087</v>
      </c>
      <c r="D677" s="11" t="n">
        <v>60680</v>
      </c>
      <c r="E677" s="31" t="n">
        <v>92.6</v>
      </c>
      <c r="F677" s="31" t="n">
        <v>16.6</v>
      </c>
      <c r="G677" s="2"/>
      <c r="H677" s="2" t="s">
        <v>668</v>
      </c>
    </row>
    <row r="678" customFormat="false" ht="15" hidden="false" customHeight="false" outlineLevel="0" collapsed="false">
      <c r="A678" s="2" t="s">
        <v>2286</v>
      </c>
      <c r="B678" s="2" t="s">
        <v>47</v>
      </c>
      <c r="C678" s="2" t="s">
        <v>4085</v>
      </c>
      <c r="D678" s="11" t="n">
        <v>35710</v>
      </c>
      <c r="E678" s="31" t="n">
        <v>67</v>
      </c>
      <c r="F678" s="31" t="n">
        <v>57.8</v>
      </c>
      <c r="G678" s="31" t="n">
        <v>57.5</v>
      </c>
      <c r="H678" s="2" t="s">
        <v>671</v>
      </c>
    </row>
    <row r="679" customFormat="false" ht="15" hidden="false" customHeight="false" outlineLevel="0" collapsed="false">
      <c r="A679" s="2" t="s">
        <v>2286</v>
      </c>
      <c r="B679" s="2" t="s">
        <v>47</v>
      </c>
      <c r="C679" s="2" t="s">
        <v>4086</v>
      </c>
      <c r="D679" s="11" t="n">
        <v>34750</v>
      </c>
      <c r="E679" s="31" t="n">
        <v>78.7</v>
      </c>
      <c r="F679" s="31" t="n">
        <v>43.2</v>
      </c>
      <c r="G679" s="31" t="n">
        <v>38.2</v>
      </c>
      <c r="H679" s="2" t="s">
        <v>671</v>
      </c>
    </row>
    <row r="680" customFormat="false" ht="15" hidden="false" customHeight="false" outlineLevel="0" collapsed="false">
      <c r="A680" s="2" t="s">
        <v>2286</v>
      </c>
      <c r="B680" s="2" t="s">
        <v>47</v>
      </c>
      <c r="C680" s="2" t="s">
        <v>4087</v>
      </c>
      <c r="D680" s="11" t="n">
        <v>36821</v>
      </c>
      <c r="E680" s="31" t="n">
        <v>54.4</v>
      </c>
      <c r="F680" s="31" t="n">
        <v>31.9</v>
      </c>
      <c r="G680" s="31" t="n">
        <v>78.5</v>
      </c>
      <c r="H680" s="2" t="s">
        <v>671</v>
      </c>
    </row>
    <row r="681" customFormat="false" ht="15" hidden="false" customHeight="false" outlineLevel="0" collapsed="false">
      <c r="A681" s="2" t="s">
        <v>358</v>
      </c>
      <c r="B681" s="2" t="s">
        <v>4104</v>
      </c>
      <c r="C681" s="2" t="s">
        <v>4085</v>
      </c>
      <c r="D681" s="2"/>
      <c r="E681" s="31" t="n">
        <v>38</v>
      </c>
      <c r="F681" s="31" t="n">
        <v>38.6</v>
      </c>
      <c r="G681" s="31" t="n">
        <v>83.1</v>
      </c>
      <c r="H681" s="2" t="s">
        <v>671</v>
      </c>
    </row>
    <row r="682" customFormat="false" ht="15" hidden="false" customHeight="false" outlineLevel="0" collapsed="false">
      <c r="A682" s="2" t="s">
        <v>358</v>
      </c>
      <c r="B682" s="2" t="s">
        <v>4104</v>
      </c>
      <c r="C682" s="2" t="s">
        <v>4086</v>
      </c>
      <c r="D682" s="2"/>
      <c r="E682" s="31" t="n">
        <v>53.2</v>
      </c>
      <c r="F682" s="31" t="n">
        <v>28.5</v>
      </c>
      <c r="G682" s="31" t="n">
        <v>93.8</v>
      </c>
      <c r="H682" s="2" t="s">
        <v>668</v>
      </c>
    </row>
    <row r="683" customFormat="false" ht="15" hidden="false" customHeight="false" outlineLevel="0" collapsed="false">
      <c r="A683" s="2" t="s">
        <v>358</v>
      </c>
      <c r="B683" s="2" t="s">
        <v>4104</v>
      </c>
      <c r="C683" s="2" t="s">
        <v>4087</v>
      </c>
      <c r="D683" s="2"/>
      <c r="E683" s="31" t="n">
        <v>51.6</v>
      </c>
      <c r="F683" s="31" t="n">
        <v>43.6</v>
      </c>
      <c r="G683" s="31" t="n">
        <v>91.4</v>
      </c>
      <c r="H683" s="2" t="s">
        <v>671</v>
      </c>
    </row>
    <row r="684" customFormat="false" ht="15" hidden="false" customHeight="false" outlineLevel="0" collapsed="false">
      <c r="A684" s="2" t="s">
        <v>358</v>
      </c>
      <c r="B684" s="2" t="s">
        <v>45</v>
      </c>
      <c r="C684" s="2" t="s">
        <v>4085</v>
      </c>
      <c r="D684" s="11" t="n">
        <v>90684</v>
      </c>
      <c r="E684" s="31" t="n">
        <v>8.6</v>
      </c>
      <c r="F684" s="31" t="n">
        <v>11.3</v>
      </c>
      <c r="G684" s="31" t="n">
        <v>86.8</v>
      </c>
      <c r="H684" s="2" t="s">
        <v>671</v>
      </c>
    </row>
    <row r="685" customFormat="false" ht="15" hidden="false" customHeight="false" outlineLevel="0" collapsed="false">
      <c r="A685" s="2" t="s">
        <v>358</v>
      </c>
      <c r="B685" s="2" t="s">
        <v>45</v>
      </c>
      <c r="C685" s="2" t="s">
        <v>4086</v>
      </c>
      <c r="D685" s="11" t="n">
        <v>93220</v>
      </c>
      <c r="E685" s="31" t="n">
        <v>31.4</v>
      </c>
      <c r="F685" s="31" t="n">
        <v>18.2</v>
      </c>
      <c r="G685" s="31" t="n">
        <v>99.3</v>
      </c>
      <c r="H685" s="2" t="s">
        <v>671</v>
      </c>
    </row>
    <row r="686" customFormat="false" ht="15" hidden="false" customHeight="false" outlineLevel="0" collapsed="false">
      <c r="A686" s="2" t="s">
        <v>358</v>
      </c>
      <c r="B686" s="2" t="s">
        <v>45</v>
      </c>
      <c r="C686" s="2" t="s">
        <v>4087</v>
      </c>
      <c r="D686" s="11" t="n">
        <v>92980</v>
      </c>
      <c r="E686" s="31" t="n">
        <v>26.5</v>
      </c>
      <c r="F686" s="31" t="n">
        <v>26.6</v>
      </c>
      <c r="G686" s="31" t="n">
        <v>100</v>
      </c>
      <c r="H686" s="2" t="s">
        <v>671</v>
      </c>
    </row>
    <row r="687" customFormat="false" ht="15" hidden="false" customHeight="false" outlineLevel="0" collapsed="false">
      <c r="A687" s="2" t="s">
        <v>358</v>
      </c>
      <c r="B687" s="2" t="s">
        <v>46</v>
      </c>
      <c r="C687" s="2" t="s">
        <v>4085</v>
      </c>
      <c r="D687" s="11" t="n">
        <v>80560</v>
      </c>
      <c r="E687" s="31" t="n">
        <v>70.5</v>
      </c>
      <c r="F687" s="31" t="n">
        <v>15.7</v>
      </c>
      <c r="G687" s="31" t="n">
        <v>78.1</v>
      </c>
      <c r="H687" s="2" t="s">
        <v>671</v>
      </c>
    </row>
    <row r="688" customFormat="false" ht="15" hidden="false" customHeight="false" outlineLevel="0" collapsed="false">
      <c r="A688" s="2" t="s">
        <v>358</v>
      </c>
      <c r="B688" s="2" t="s">
        <v>46</v>
      </c>
      <c r="C688" s="2" t="s">
        <v>4086</v>
      </c>
      <c r="D688" s="11" t="n">
        <v>83990</v>
      </c>
      <c r="E688" s="31" t="n">
        <v>78.2</v>
      </c>
      <c r="F688" s="31" t="n">
        <v>15.6</v>
      </c>
      <c r="G688" s="2"/>
      <c r="H688" s="2" t="s">
        <v>668</v>
      </c>
    </row>
    <row r="689" customFormat="false" ht="15" hidden="false" customHeight="false" outlineLevel="0" collapsed="false">
      <c r="A689" s="2" t="s">
        <v>358</v>
      </c>
      <c r="B689" s="2" t="s">
        <v>46</v>
      </c>
      <c r="C689" s="2" t="s">
        <v>4087</v>
      </c>
      <c r="D689" s="11" t="n">
        <v>84431</v>
      </c>
      <c r="E689" s="31" t="n">
        <v>66.4</v>
      </c>
      <c r="F689" s="31" t="n">
        <v>27</v>
      </c>
      <c r="G689" s="31" t="n">
        <v>89.9</v>
      </c>
      <c r="H689" s="2" t="s">
        <v>671</v>
      </c>
    </row>
    <row r="690" customFormat="false" ht="15" hidden="false" customHeight="false" outlineLevel="0" collapsed="false">
      <c r="A690" s="2" t="s">
        <v>358</v>
      </c>
      <c r="B690" s="2" t="s">
        <v>47</v>
      </c>
      <c r="C690" s="2" t="s">
        <v>4085</v>
      </c>
      <c r="D690" s="11" t="n">
        <v>182920</v>
      </c>
      <c r="E690" s="31" t="n">
        <v>34.9</v>
      </c>
      <c r="F690" s="31" t="n">
        <v>88.9</v>
      </c>
      <c r="G690" s="31" t="n">
        <v>84.5</v>
      </c>
      <c r="H690" s="2" t="s">
        <v>671</v>
      </c>
    </row>
    <row r="691" customFormat="false" ht="15" hidden="false" customHeight="false" outlineLevel="0" collapsed="false">
      <c r="A691" s="2" t="s">
        <v>358</v>
      </c>
      <c r="B691" s="2" t="s">
        <v>47</v>
      </c>
      <c r="C691" s="2" t="s">
        <v>4086</v>
      </c>
      <c r="D691" s="11" t="n">
        <v>188200</v>
      </c>
      <c r="E691" s="31" t="n">
        <v>49.9</v>
      </c>
      <c r="F691" s="31" t="n">
        <v>51.6</v>
      </c>
      <c r="G691" s="31" t="n">
        <v>88.4</v>
      </c>
      <c r="H691" s="2" t="s">
        <v>671</v>
      </c>
    </row>
    <row r="692" customFormat="false" ht="15" hidden="false" customHeight="false" outlineLevel="0" collapsed="false">
      <c r="A692" s="2" t="s">
        <v>358</v>
      </c>
      <c r="B692" s="2" t="s">
        <v>47</v>
      </c>
      <c r="C692" s="2" t="s">
        <v>4087</v>
      </c>
      <c r="D692" s="11" t="n">
        <v>197800</v>
      </c>
      <c r="E692" s="31" t="n">
        <v>62</v>
      </c>
      <c r="F692" s="31" t="n">
        <v>77.1</v>
      </c>
      <c r="G692" s="31" t="n">
        <v>84.4</v>
      </c>
      <c r="H692" s="2" t="s">
        <v>671</v>
      </c>
    </row>
    <row r="693" customFormat="false" ht="15" hidden="false" customHeight="false" outlineLevel="0" collapsed="false">
      <c r="A693" s="2" t="s">
        <v>632</v>
      </c>
      <c r="B693" s="2" t="s">
        <v>4104</v>
      </c>
      <c r="C693" s="2" t="s">
        <v>4085</v>
      </c>
      <c r="D693" s="2"/>
      <c r="E693" s="31" t="n">
        <v>6.9</v>
      </c>
      <c r="F693" s="31" t="n">
        <v>40</v>
      </c>
      <c r="G693" s="31" t="n">
        <v>30.2</v>
      </c>
      <c r="H693" s="2" t="s">
        <v>668</v>
      </c>
    </row>
    <row r="694" customFormat="false" ht="15" hidden="false" customHeight="false" outlineLevel="0" collapsed="false">
      <c r="A694" s="2" t="s">
        <v>632</v>
      </c>
      <c r="B694" s="2" t="s">
        <v>4104</v>
      </c>
      <c r="C694" s="2" t="s">
        <v>4086</v>
      </c>
      <c r="D694" s="2"/>
      <c r="E694" s="31" t="n">
        <v>8.5</v>
      </c>
      <c r="F694" s="31" t="n">
        <v>23.3</v>
      </c>
      <c r="G694" s="31" t="n">
        <v>19.1</v>
      </c>
      <c r="H694" s="2" t="s">
        <v>668</v>
      </c>
    </row>
    <row r="695" customFormat="false" ht="15" hidden="false" customHeight="false" outlineLevel="0" collapsed="false">
      <c r="A695" s="2" t="s">
        <v>632</v>
      </c>
      <c r="B695" s="2" t="s">
        <v>4104</v>
      </c>
      <c r="C695" s="2" t="s">
        <v>4087</v>
      </c>
      <c r="D695" s="2"/>
      <c r="E695" s="31" t="n">
        <v>9.6</v>
      </c>
      <c r="F695" s="31" t="n">
        <v>33.6</v>
      </c>
      <c r="G695" s="31" t="n">
        <v>46.1</v>
      </c>
      <c r="H695" s="2" t="s">
        <v>671</v>
      </c>
    </row>
    <row r="696" customFormat="false" ht="15" hidden="false" customHeight="false" outlineLevel="0" collapsed="false">
      <c r="A696" s="2" t="s">
        <v>632</v>
      </c>
      <c r="B696" s="2" t="s">
        <v>45</v>
      </c>
      <c r="C696" s="2" t="s">
        <v>4085</v>
      </c>
      <c r="D696" s="11" t="n">
        <v>4470</v>
      </c>
      <c r="E696" s="31" t="n">
        <v>14.7</v>
      </c>
      <c r="F696" s="2"/>
      <c r="G696" s="31" t="n">
        <v>0.9</v>
      </c>
      <c r="H696" s="2" t="s">
        <v>668</v>
      </c>
    </row>
    <row r="697" customFormat="false" ht="15" hidden="false" customHeight="false" outlineLevel="0" collapsed="false">
      <c r="A697" s="2" t="s">
        <v>632</v>
      </c>
      <c r="B697" s="2" t="s">
        <v>45</v>
      </c>
      <c r="C697" s="2" t="s">
        <v>4086</v>
      </c>
      <c r="D697" s="11" t="n">
        <v>4620</v>
      </c>
      <c r="E697" s="31" t="n">
        <v>2.8</v>
      </c>
      <c r="F697" s="2"/>
      <c r="G697" s="31" t="n">
        <v>1.3</v>
      </c>
      <c r="H697" s="2" t="s">
        <v>668</v>
      </c>
    </row>
    <row r="698" customFormat="false" ht="15" hidden="false" customHeight="false" outlineLevel="0" collapsed="false">
      <c r="A698" s="2" t="s">
        <v>632</v>
      </c>
      <c r="B698" s="2" t="s">
        <v>45</v>
      </c>
      <c r="C698" s="2" t="s">
        <v>4087</v>
      </c>
      <c r="D698" s="11" t="n">
        <v>4696</v>
      </c>
      <c r="E698" s="31" t="n">
        <v>14.1</v>
      </c>
      <c r="F698" s="31" t="n">
        <v>14.8</v>
      </c>
      <c r="G698" s="31" t="n">
        <v>1</v>
      </c>
      <c r="H698" s="2" t="s">
        <v>671</v>
      </c>
    </row>
    <row r="699" customFormat="false" ht="15" hidden="false" customHeight="false" outlineLevel="0" collapsed="false">
      <c r="A699" s="2" t="s">
        <v>632</v>
      </c>
      <c r="B699" s="2" t="s">
        <v>46</v>
      </c>
      <c r="C699" s="2" t="s">
        <v>4085</v>
      </c>
      <c r="D699" s="11" t="n">
        <v>19140</v>
      </c>
      <c r="E699" s="31" t="n">
        <v>4.9</v>
      </c>
      <c r="F699" s="31" t="n">
        <v>62.9</v>
      </c>
      <c r="G699" s="31" t="n">
        <v>38.6</v>
      </c>
      <c r="H699" s="2" t="s">
        <v>671</v>
      </c>
    </row>
    <row r="700" customFormat="false" ht="15" hidden="false" customHeight="false" outlineLevel="0" collapsed="false">
      <c r="A700" s="2" t="s">
        <v>632</v>
      </c>
      <c r="B700" s="2" t="s">
        <v>46</v>
      </c>
      <c r="C700" s="2" t="s">
        <v>4086</v>
      </c>
      <c r="D700" s="11" t="n">
        <v>19960</v>
      </c>
      <c r="E700" s="31" t="n">
        <v>18.3</v>
      </c>
      <c r="F700" s="31" t="n">
        <v>44.7</v>
      </c>
      <c r="G700" s="31" t="n">
        <v>27.6</v>
      </c>
      <c r="H700" s="2" t="s">
        <v>671</v>
      </c>
    </row>
    <row r="701" customFormat="false" ht="15" hidden="false" customHeight="false" outlineLevel="0" collapsed="false">
      <c r="A701" s="2" t="s">
        <v>632</v>
      </c>
      <c r="B701" s="2" t="s">
        <v>46</v>
      </c>
      <c r="C701" s="2" t="s">
        <v>4087</v>
      </c>
      <c r="D701" s="11" t="n">
        <v>20245</v>
      </c>
      <c r="E701" s="31" t="n">
        <v>12.9</v>
      </c>
      <c r="F701" s="31" t="n">
        <v>69.7</v>
      </c>
      <c r="G701" s="31" t="n">
        <v>81.9</v>
      </c>
      <c r="H701" s="2" t="s">
        <v>671</v>
      </c>
    </row>
    <row r="702" customFormat="false" ht="15" hidden="false" customHeight="false" outlineLevel="0" collapsed="false">
      <c r="A702" s="2" t="s">
        <v>632</v>
      </c>
      <c r="B702" s="2" t="s">
        <v>47</v>
      </c>
      <c r="C702" s="2" t="s">
        <v>4085</v>
      </c>
      <c r="D702" s="11" t="n">
        <v>68420</v>
      </c>
      <c r="E702" s="31" t="n">
        <v>1.2</v>
      </c>
      <c r="F702" s="31" t="n">
        <v>17</v>
      </c>
      <c r="G702" s="31" t="n">
        <v>51.1</v>
      </c>
      <c r="H702" s="2" t="s">
        <v>671</v>
      </c>
    </row>
    <row r="703" customFormat="false" ht="15" hidden="false" customHeight="false" outlineLevel="0" collapsed="false">
      <c r="A703" s="2" t="s">
        <v>632</v>
      </c>
      <c r="B703" s="2" t="s">
        <v>47</v>
      </c>
      <c r="C703" s="2" t="s">
        <v>4086</v>
      </c>
      <c r="D703" s="11" t="n">
        <v>67730</v>
      </c>
      <c r="E703" s="31" t="n">
        <v>4.4</v>
      </c>
      <c r="F703" s="31" t="n">
        <v>1.9</v>
      </c>
      <c r="G703" s="31" t="n">
        <v>28.5</v>
      </c>
      <c r="H703" s="2" t="s">
        <v>671</v>
      </c>
    </row>
    <row r="704" customFormat="false" ht="15" hidden="false" customHeight="false" outlineLevel="0" collapsed="false">
      <c r="A704" s="2" t="s">
        <v>632</v>
      </c>
      <c r="B704" s="2" t="s">
        <v>47</v>
      </c>
      <c r="C704" s="2" t="s">
        <v>4087</v>
      </c>
      <c r="D704" s="11" t="n">
        <v>69927</v>
      </c>
      <c r="E704" s="31" t="n">
        <v>1.7</v>
      </c>
      <c r="F704" s="31" t="n">
        <v>16.3</v>
      </c>
      <c r="G704" s="31" t="n">
        <v>55.4</v>
      </c>
      <c r="H704" s="2" t="s">
        <v>671</v>
      </c>
    </row>
    <row r="705" customFormat="false" ht="15" hidden="false" customHeight="false" outlineLevel="0" collapsed="false">
      <c r="A705" s="2" t="s">
        <v>604</v>
      </c>
      <c r="B705" s="2" t="s">
        <v>4104</v>
      </c>
      <c r="C705" s="2" t="s">
        <v>4085</v>
      </c>
      <c r="D705" s="2"/>
      <c r="E705" s="31" t="n">
        <v>15.3</v>
      </c>
      <c r="F705" s="31" t="n">
        <v>72.6</v>
      </c>
      <c r="G705" s="31" t="n">
        <v>30.7</v>
      </c>
      <c r="H705" s="2" t="s">
        <v>671</v>
      </c>
    </row>
    <row r="706" customFormat="false" ht="15" hidden="false" customHeight="false" outlineLevel="0" collapsed="false">
      <c r="A706" s="2" t="s">
        <v>604</v>
      </c>
      <c r="B706" s="2" t="s">
        <v>4104</v>
      </c>
      <c r="C706" s="2" t="s">
        <v>4086</v>
      </c>
      <c r="D706" s="2"/>
      <c r="E706" s="31" t="n">
        <v>28.4</v>
      </c>
      <c r="F706" s="31" t="n">
        <v>45</v>
      </c>
      <c r="G706" s="31" t="n">
        <v>84.4</v>
      </c>
      <c r="H706" s="2" t="s">
        <v>671</v>
      </c>
    </row>
    <row r="707" customFormat="false" ht="15" hidden="false" customHeight="false" outlineLevel="0" collapsed="false">
      <c r="A707" s="2" t="s">
        <v>604</v>
      </c>
      <c r="B707" s="2" t="s">
        <v>4104</v>
      </c>
      <c r="C707" s="2" t="s">
        <v>4087</v>
      </c>
      <c r="D707" s="2"/>
      <c r="E707" s="31" t="n">
        <v>18.8</v>
      </c>
      <c r="F707" s="31" t="n">
        <v>72.5</v>
      </c>
      <c r="G707" s="31" t="n">
        <v>42.5</v>
      </c>
      <c r="H707" s="2" t="s">
        <v>671</v>
      </c>
    </row>
    <row r="708" customFormat="false" ht="15" hidden="false" customHeight="false" outlineLevel="0" collapsed="false">
      <c r="A708" s="2" t="s">
        <v>604</v>
      </c>
      <c r="B708" s="2" t="s">
        <v>45</v>
      </c>
      <c r="C708" s="2" t="s">
        <v>4085</v>
      </c>
      <c r="D708" s="11" t="n">
        <v>101300</v>
      </c>
      <c r="E708" s="31" t="n">
        <v>15.3</v>
      </c>
      <c r="F708" s="31" t="n">
        <v>72.6</v>
      </c>
      <c r="G708" s="31" t="n">
        <v>30.7</v>
      </c>
      <c r="H708" s="2" t="s">
        <v>671</v>
      </c>
    </row>
    <row r="709" customFormat="false" ht="15" hidden="false" customHeight="false" outlineLevel="0" collapsed="false">
      <c r="A709" s="2" t="s">
        <v>604</v>
      </c>
      <c r="B709" s="2" t="s">
        <v>45</v>
      </c>
      <c r="C709" s="2" t="s">
        <v>4086</v>
      </c>
      <c r="D709" s="11" t="n">
        <v>103010</v>
      </c>
      <c r="E709" s="31" t="n">
        <v>28.4</v>
      </c>
      <c r="F709" s="31" t="n">
        <v>45</v>
      </c>
      <c r="G709" s="31" t="n">
        <v>84.4</v>
      </c>
      <c r="H709" s="2" t="s">
        <v>671</v>
      </c>
    </row>
    <row r="710" customFormat="false" ht="15" hidden="false" customHeight="false" outlineLevel="0" collapsed="false">
      <c r="A710" s="2" t="s">
        <v>604</v>
      </c>
      <c r="B710" s="2" t="s">
        <v>45</v>
      </c>
      <c r="C710" s="2" t="s">
        <v>4087</v>
      </c>
      <c r="D710" s="11" t="n">
        <v>109674</v>
      </c>
      <c r="E710" s="31" t="n">
        <v>18.8</v>
      </c>
      <c r="F710" s="31" t="n">
        <v>72.5</v>
      </c>
      <c r="G710" s="31" t="n">
        <v>42.5</v>
      </c>
      <c r="H710" s="2" t="s">
        <v>671</v>
      </c>
    </row>
    <row r="711" customFormat="false" ht="15" hidden="false" customHeight="false" outlineLevel="0" collapsed="false">
      <c r="A711" s="2" t="s">
        <v>2755</v>
      </c>
      <c r="B711" s="2" t="s">
        <v>4104</v>
      </c>
      <c r="C711" s="2" t="s">
        <v>4085</v>
      </c>
      <c r="D711" s="2"/>
      <c r="E711" s="2"/>
      <c r="F711" s="2"/>
      <c r="G711" s="31" t="n">
        <v>92</v>
      </c>
      <c r="H711" s="2" t="s">
        <v>668</v>
      </c>
    </row>
    <row r="712" customFormat="false" ht="15" hidden="false" customHeight="false" outlineLevel="0" collapsed="false">
      <c r="A712" s="2" t="s">
        <v>2755</v>
      </c>
      <c r="B712" s="2" t="s">
        <v>4104</v>
      </c>
      <c r="C712" s="2" t="s">
        <v>4086</v>
      </c>
      <c r="D712" s="2"/>
      <c r="E712" s="31" t="n">
        <v>29.2</v>
      </c>
      <c r="F712" s="31" t="n">
        <v>69.2</v>
      </c>
      <c r="G712" s="31" t="n">
        <v>37.1</v>
      </c>
      <c r="H712" s="2" t="s">
        <v>668</v>
      </c>
    </row>
    <row r="713" customFormat="false" ht="15" hidden="false" customHeight="false" outlineLevel="0" collapsed="false">
      <c r="A713" s="2" t="s">
        <v>2755</v>
      </c>
      <c r="B713" s="2" t="s">
        <v>4104</v>
      </c>
      <c r="C713" s="2" t="s">
        <v>4087</v>
      </c>
      <c r="D713" s="2"/>
      <c r="E713" s="31" t="n">
        <v>40.3</v>
      </c>
      <c r="F713" s="31" t="n">
        <v>72.3</v>
      </c>
      <c r="G713" s="2"/>
      <c r="H713" s="2" t="s">
        <v>668</v>
      </c>
    </row>
    <row r="714" customFormat="false" ht="15" hidden="false" customHeight="false" outlineLevel="0" collapsed="false">
      <c r="A714" s="2" t="s">
        <v>2755</v>
      </c>
      <c r="B714" s="2" t="s">
        <v>46</v>
      </c>
      <c r="C714" s="2" t="s">
        <v>4085</v>
      </c>
      <c r="D714" s="2"/>
      <c r="E714" s="2"/>
      <c r="F714" s="2"/>
      <c r="G714" s="31" t="n">
        <v>92</v>
      </c>
      <c r="H714" s="2" t="s">
        <v>668</v>
      </c>
    </row>
    <row r="715" customFormat="false" ht="15" hidden="false" customHeight="false" outlineLevel="0" collapsed="false">
      <c r="A715" s="2" t="s">
        <v>2755</v>
      </c>
      <c r="B715" s="2" t="s">
        <v>46</v>
      </c>
      <c r="C715" s="2" t="s">
        <v>4086</v>
      </c>
      <c r="D715" s="11" t="n">
        <v>50050</v>
      </c>
      <c r="E715" s="31" t="n">
        <v>30.8</v>
      </c>
      <c r="F715" s="31" t="n">
        <v>95.6</v>
      </c>
      <c r="G715" s="2"/>
      <c r="H715" s="2" t="s">
        <v>668</v>
      </c>
    </row>
    <row r="716" customFormat="false" ht="15" hidden="false" customHeight="false" outlineLevel="0" collapsed="false">
      <c r="A716" s="2" t="s">
        <v>2755</v>
      </c>
      <c r="B716" s="2" t="s">
        <v>46</v>
      </c>
      <c r="C716" s="2" t="s">
        <v>4087</v>
      </c>
      <c r="D716" s="2"/>
      <c r="E716" s="2"/>
      <c r="F716" s="2"/>
      <c r="G716" s="2"/>
      <c r="H716" s="2" t="s">
        <v>668</v>
      </c>
    </row>
    <row r="717" customFormat="false" ht="15" hidden="false" customHeight="false" outlineLevel="0" collapsed="false">
      <c r="A717" s="2" t="s">
        <v>2755</v>
      </c>
      <c r="B717" s="2" t="s">
        <v>47</v>
      </c>
      <c r="C717" s="2" t="s">
        <v>4085</v>
      </c>
      <c r="D717" s="2"/>
      <c r="E717" s="2"/>
      <c r="F717" s="2"/>
      <c r="G717" s="2"/>
      <c r="H717" s="2" t="s">
        <v>668</v>
      </c>
    </row>
    <row r="718" customFormat="false" ht="15" hidden="false" customHeight="false" outlineLevel="0" collapsed="false">
      <c r="A718" s="2" t="s">
        <v>2755</v>
      </c>
      <c r="B718" s="2" t="s">
        <v>47</v>
      </c>
      <c r="C718" s="2" t="s">
        <v>4086</v>
      </c>
      <c r="D718" s="11" t="n">
        <v>97601</v>
      </c>
      <c r="E718" s="31" t="n">
        <v>27.5</v>
      </c>
      <c r="F718" s="31" t="n">
        <v>42.9</v>
      </c>
      <c r="G718" s="31" t="n">
        <v>37.1</v>
      </c>
      <c r="H718" s="2" t="s">
        <v>671</v>
      </c>
    </row>
    <row r="719" customFormat="false" ht="15" hidden="false" customHeight="false" outlineLevel="0" collapsed="false">
      <c r="A719" s="2" t="s">
        <v>2755</v>
      </c>
      <c r="B719" s="2" t="s">
        <v>47</v>
      </c>
      <c r="C719" s="2" t="s">
        <v>4087</v>
      </c>
      <c r="D719" s="11" t="n">
        <v>100525</v>
      </c>
      <c r="E719" s="31" t="n">
        <v>40.3</v>
      </c>
      <c r="F719" s="31" t="n">
        <v>72.3</v>
      </c>
      <c r="G719" s="2"/>
      <c r="H719" s="2" t="s">
        <v>668</v>
      </c>
    </row>
    <row r="720" customFormat="false" ht="15" hidden="false" customHeight="false" outlineLevel="0" collapsed="false">
      <c r="A720" s="2" t="s">
        <v>1310</v>
      </c>
      <c r="B720" s="2" t="s">
        <v>4104</v>
      </c>
      <c r="C720" s="2" t="s">
        <v>4085</v>
      </c>
      <c r="D720" s="2"/>
      <c r="E720" s="31" t="n">
        <v>19.7</v>
      </c>
      <c r="F720" s="31" t="n">
        <v>49.6</v>
      </c>
      <c r="G720" s="31" t="n">
        <v>32.9</v>
      </c>
      <c r="H720" s="2" t="s">
        <v>671</v>
      </c>
    </row>
    <row r="721" customFormat="false" ht="15" hidden="false" customHeight="false" outlineLevel="0" collapsed="false">
      <c r="A721" s="2" t="s">
        <v>1310</v>
      </c>
      <c r="B721" s="2" t="s">
        <v>4104</v>
      </c>
      <c r="C721" s="2" t="s">
        <v>4086</v>
      </c>
      <c r="D721" s="2"/>
      <c r="E721" s="31" t="n">
        <v>21</v>
      </c>
      <c r="F721" s="31" t="n">
        <v>35.4</v>
      </c>
      <c r="G721" s="2"/>
      <c r="H721" s="2" t="s">
        <v>668</v>
      </c>
    </row>
    <row r="722" customFormat="false" ht="15" hidden="false" customHeight="false" outlineLevel="0" collapsed="false">
      <c r="A722" s="2" t="s">
        <v>1310</v>
      </c>
      <c r="B722" s="2" t="s">
        <v>4104</v>
      </c>
      <c r="C722" s="2" t="s">
        <v>4087</v>
      </c>
      <c r="D722" s="2"/>
      <c r="E722" s="31" t="n">
        <v>11.8</v>
      </c>
      <c r="F722" s="31" t="n">
        <v>68.7</v>
      </c>
      <c r="G722" s="31" t="n">
        <v>16.3</v>
      </c>
      <c r="H722" s="2" t="s">
        <v>668</v>
      </c>
    </row>
    <row r="723" customFormat="false" ht="15" hidden="false" customHeight="false" outlineLevel="0" collapsed="false">
      <c r="A723" s="2" t="s">
        <v>1310</v>
      </c>
      <c r="B723" s="2" t="s">
        <v>45</v>
      </c>
      <c r="C723" s="2" t="s">
        <v>4085</v>
      </c>
      <c r="D723" s="11" t="n">
        <v>54032</v>
      </c>
      <c r="E723" s="31" t="n">
        <v>19.7</v>
      </c>
      <c r="F723" s="31" t="n">
        <v>49.6</v>
      </c>
      <c r="G723" s="31" t="n">
        <v>32.9</v>
      </c>
      <c r="H723" s="2" t="s">
        <v>671</v>
      </c>
    </row>
    <row r="724" customFormat="false" ht="15" hidden="false" customHeight="false" outlineLevel="0" collapsed="false">
      <c r="A724" s="2" t="s">
        <v>1310</v>
      </c>
      <c r="B724" s="2" t="s">
        <v>45</v>
      </c>
      <c r="C724" s="2" t="s">
        <v>4086</v>
      </c>
      <c r="D724" s="11" t="n">
        <v>54553</v>
      </c>
      <c r="E724" s="31" t="n">
        <v>21</v>
      </c>
      <c r="F724" s="31" t="n">
        <v>35.4</v>
      </c>
      <c r="G724" s="2"/>
      <c r="H724" s="2" t="s">
        <v>668</v>
      </c>
    </row>
    <row r="725" customFormat="false" ht="15" hidden="false" customHeight="false" outlineLevel="0" collapsed="false">
      <c r="A725" s="2" t="s">
        <v>1310</v>
      </c>
      <c r="B725" s="2" t="s">
        <v>45</v>
      </c>
      <c r="C725" s="2" t="s">
        <v>4087</v>
      </c>
      <c r="D725" s="11" t="n">
        <v>56010</v>
      </c>
      <c r="E725" s="31" t="n">
        <v>11.8</v>
      </c>
      <c r="F725" s="31" t="n">
        <v>68.7</v>
      </c>
      <c r="G725" s="31" t="n">
        <v>16.3</v>
      </c>
      <c r="H725" s="2" t="s">
        <v>671</v>
      </c>
    </row>
    <row r="726" customFormat="false" ht="15" hidden="false" customHeight="false" outlineLevel="0" collapsed="false">
      <c r="A726" s="2" t="s">
        <v>203</v>
      </c>
      <c r="B726" s="2" t="s">
        <v>4104</v>
      </c>
      <c r="C726" s="2" t="s">
        <v>4085</v>
      </c>
      <c r="D726" s="2"/>
      <c r="E726" s="31" t="n">
        <v>75.1</v>
      </c>
      <c r="F726" s="31" t="n">
        <v>45.6</v>
      </c>
      <c r="G726" s="31" t="n">
        <v>29.9</v>
      </c>
      <c r="H726" s="2" t="s">
        <v>671</v>
      </c>
    </row>
    <row r="727" customFormat="false" ht="15" hidden="false" customHeight="false" outlineLevel="0" collapsed="false">
      <c r="A727" s="2" t="s">
        <v>203</v>
      </c>
      <c r="B727" s="2" t="s">
        <v>4104</v>
      </c>
      <c r="C727" s="2" t="s">
        <v>4086</v>
      </c>
      <c r="D727" s="2"/>
      <c r="E727" s="31" t="n">
        <v>72.1</v>
      </c>
      <c r="F727" s="31" t="n">
        <v>60.1</v>
      </c>
      <c r="G727" s="31" t="n">
        <v>84.5</v>
      </c>
      <c r="H727" s="2" t="s">
        <v>668</v>
      </c>
    </row>
    <row r="728" customFormat="false" ht="15" hidden="false" customHeight="false" outlineLevel="0" collapsed="false">
      <c r="A728" s="2" t="s">
        <v>203</v>
      </c>
      <c r="B728" s="2" t="s">
        <v>4104</v>
      </c>
      <c r="C728" s="2" t="s">
        <v>4087</v>
      </c>
      <c r="D728" s="2"/>
      <c r="E728" s="31" t="n">
        <v>70.5</v>
      </c>
      <c r="F728" s="31" t="n">
        <v>57.5</v>
      </c>
      <c r="G728" s="31" t="n">
        <v>43.2</v>
      </c>
      <c r="H728" s="2" t="s">
        <v>671</v>
      </c>
    </row>
    <row r="729" customFormat="false" ht="15" hidden="false" customHeight="false" outlineLevel="0" collapsed="false">
      <c r="A729" s="2" t="s">
        <v>203</v>
      </c>
      <c r="B729" s="2" t="s">
        <v>45</v>
      </c>
      <c r="C729" s="2" t="s">
        <v>4085</v>
      </c>
      <c r="D729" s="11" t="n">
        <v>197400</v>
      </c>
      <c r="E729" s="31" t="n">
        <v>94.6</v>
      </c>
      <c r="F729" s="31" t="n">
        <v>95.9</v>
      </c>
      <c r="G729" s="31" t="n">
        <v>20.7</v>
      </c>
      <c r="H729" s="2" t="s">
        <v>671</v>
      </c>
    </row>
    <row r="730" customFormat="false" ht="15" hidden="false" customHeight="false" outlineLevel="0" collapsed="false">
      <c r="A730" s="2" t="s">
        <v>203</v>
      </c>
      <c r="B730" s="2" t="s">
        <v>45</v>
      </c>
      <c r="C730" s="2" t="s">
        <v>4086</v>
      </c>
      <c r="D730" s="11" t="n">
        <v>216220</v>
      </c>
      <c r="E730" s="31" t="n">
        <v>93.2</v>
      </c>
      <c r="F730" s="31" t="n">
        <v>97.1</v>
      </c>
      <c r="G730" s="2"/>
      <c r="H730" s="2" t="s">
        <v>668</v>
      </c>
    </row>
    <row r="731" customFormat="false" ht="15" hidden="false" customHeight="false" outlineLevel="0" collapsed="false">
      <c r="A731" s="2" t="s">
        <v>203</v>
      </c>
      <c r="B731" s="2" t="s">
        <v>45</v>
      </c>
      <c r="C731" s="2" t="s">
        <v>4087</v>
      </c>
      <c r="D731" s="11" t="n">
        <v>231600</v>
      </c>
      <c r="E731" s="31" t="n">
        <v>99.4</v>
      </c>
      <c r="F731" s="31" t="n">
        <v>96.4</v>
      </c>
      <c r="G731" s="31" t="n">
        <v>8.6</v>
      </c>
      <c r="H731" s="2" t="s">
        <v>671</v>
      </c>
    </row>
    <row r="732" customFormat="false" ht="15" hidden="false" customHeight="false" outlineLevel="0" collapsed="false">
      <c r="A732" s="2" t="s">
        <v>203</v>
      </c>
      <c r="B732" s="2" t="s">
        <v>46</v>
      </c>
      <c r="C732" s="2" t="s">
        <v>4085</v>
      </c>
      <c r="D732" s="11" t="n">
        <v>52822</v>
      </c>
      <c r="E732" s="31" t="n">
        <v>89.4</v>
      </c>
      <c r="F732" s="31" t="n">
        <v>12.4</v>
      </c>
      <c r="G732" s="31" t="n">
        <v>20.3</v>
      </c>
      <c r="H732" s="2" t="s">
        <v>671</v>
      </c>
    </row>
    <row r="733" customFormat="false" ht="15" hidden="false" customHeight="false" outlineLevel="0" collapsed="false">
      <c r="A733" s="2" t="s">
        <v>203</v>
      </c>
      <c r="B733" s="2" t="s">
        <v>46</v>
      </c>
      <c r="C733" s="2" t="s">
        <v>4086</v>
      </c>
      <c r="D733" s="11" t="n">
        <v>52677</v>
      </c>
      <c r="E733" s="31" t="n">
        <v>87.2</v>
      </c>
      <c r="F733" s="31" t="n">
        <v>7.3</v>
      </c>
      <c r="G733" s="31" t="n">
        <v>75.1</v>
      </c>
      <c r="H733" s="2" t="s">
        <v>671</v>
      </c>
    </row>
    <row r="734" customFormat="false" ht="15" hidden="false" customHeight="false" outlineLevel="0" collapsed="false">
      <c r="A734" s="2" t="s">
        <v>203</v>
      </c>
      <c r="B734" s="2" t="s">
        <v>46</v>
      </c>
      <c r="C734" s="2" t="s">
        <v>4087</v>
      </c>
      <c r="D734" s="11" t="n">
        <v>54448</v>
      </c>
      <c r="E734" s="31" t="n">
        <v>88.6</v>
      </c>
      <c r="F734" s="31" t="n">
        <v>15.8</v>
      </c>
      <c r="G734" s="31" t="n">
        <v>29.8</v>
      </c>
      <c r="H734" s="2" t="s">
        <v>671</v>
      </c>
    </row>
    <row r="735" customFormat="false" ht="15" hidden="false" customHeight="false" outlineLevel="0" collapsed="false">
      <c r="A735" s="2" t="s">
        <v>203</v>
      </c>
      <c r="B735" s="2" t="s">
        <v>47</v>
      </c>
      <c r="C735" s="2" t="s">
        <v>4085</v>
      </c>
      <c r="D735" s="11" t="n">
        <v>32358</v>
      </c>
      <c r="E735" s="31" t="n">
        <v>41.2</v>
      </c>
      <c r="F735" s="31" t="n">
        <v>28.4</v>
      </c>
      <c r="G735" s="31" t="n">
        <v>48.7</v>
      </c>
      <c r="H735" s="2" t="s">
        <v>671</v>
      </c>
    </row>
    <row r="736" customFormat="false" ht="15" hidden="false" customHeight="false" outlineLevel="0" collapsed="false">
      <c r="A736" s="2" t="s">
        <v>203</v>
      </c>
      <c r="B736" s="2" t="s">
        <v>47</v>
      </c>
      <c r="C736" s="2" t="s">
        <v>4086</v>
      </c>
      <c r="D736" s="11" t="n">
        <v>33230</v>
      </c>
      <c r="E736" s="31" t="n">
        <v>35.8</v>
      </c>
      <c r="F736" s="31" t="n">
        <v>76</v>
      </c>
      <c r="G736" s="31" t="n">
        <v>93.9</v>
      </c>
      <c r="H736" s="2" t="s">
        <v>671</v>
      </c>
    </row>
    <row r="737" customFormat="false" ht="15" hidden="false" customHeight="false" outlineLevel="0" collapsed="false">
      <c r="A737" s="2" t="s">
        <v>203</v>
      </c>
      <c r="B737" s="2" t="s">
        <v>47</v>
      </c>
      <c r="C737" s="2" t="s">
        <v>4087</v>
      </c>
      <c r="D737" s="11" t="n">
        <v>34789</v>
      </c>
      <c r="E737" s="31" t="n">
        <v>23.6</v>
      </c>
      <c r="F737" s="31" t="n">
        <v>60.3</v>
      </c>
      <c r="G737" s="31" t="n">
        <v>91.2</v>
      </c>
      <c r="H737" s="2" t="s">
        <v>671</v>
      </c>
    </row>
    <row r="738" customFormat="false" ht="15" hidden="false" customHeight="false" outlineLevel="0" collapsed="false">
      <c r="A738" s="2" t="s">
        <v>1540</v>
      </c>
      <c r="B738" s="2" t="s">
        <v>4104</v>
      </c>
      <c r="C738" s="2" t="s">
        <v>4085</v>
      </c>
      <c r="D738" s="2"/>
      <c r="E738" s="31" t="n">
        <v>63.6</v>
      </c>
      <c r="F738" s="31" t="n">
        <v>32.2</v>
      </c>
      <c r="G738" s="2"/>
      <c r="H738" s="2" t="s">
        <v>668</v>
      </c>
    </row>
    <row r="739" customFormat="false" ht="15" hidden="false" customHeight="false" outlineLevel="0" collapsed="false">
      <c r="A739" s="2" t="s">
        <v>1540</v>
      </c>
      <c r="B739" s="2" t="s">
        <v>4104</v>
      </c>
      <c r="C739" s="2" t="s">
        <v>4086</v>
      </c>
      <c r="D739" s="2"/>
      <c r="E739" s="31" t="n">
        <v>63.8</v>
      </c>
      <c r="F739" s="31" t="n">
        <v>14.3</v>
      </c>
      <c r="G739" s="31" t="n">
        <v>36.1</v>
      </c>
      <c r="H739" s="2" t="s">
        <v>671</v>
      </c>
    </row>
    <row r="740" customFormat="false" ht="15" hidden="false" customHeight="false" outlineLevel="0" collapsed="false">
      <c r="A740" s="2" t="s">
        <v>1540</v>
      </c>
      <c r="B740" s="2" t="s">
        <v>4104</v>
      </c>
      <c r="C740" s="2" t="s">
        <v>4087</v>
      </c>
      <c r="D740" s="2"/>
      <c r="E740" s="31" t="n">
        <v>67.1</v>
      </c>
      <c r="F740" s="31" t="n">
        <v>22</v>
      </c>
      <c r="G740" s="31" t="n">
        <v>40.9</v>
      </c>
      <c r="H740" s="2" t="s">
        <v>668</v>
      </c>
    </row>
    <row r="741" customFormat="false" ht="15" hidden="false" customHeight="false" outlineLevel="0" collapsed="false">
      <c r="A741" s="2" t="s">
        <v>1540</v>
      </c>
      <c r="B741" s="2" t="s">
        <v>45</v>
      </c>
      <c r="C741" s="2" t="s">
        <v>4085</v>
      </c>
      <c r="D741" s="11" t="n">
        <v>1587651</v>
      </c>
      <c r="E741" s="31" t="n">
        <v>55.9</v>
      </c>
      <c r="F741" s="31" t="n">
        <v>35.7</v>
      </c>
      <c r="G741" s="2"/>
      <c r="H741" s="2" t="s">
        <v>668</v>
      </c>
    </row>
    <row r="742" customFormat="false" ht="15" hidden="false" customHeight="false" outlineLevel="0" collapsed="false">
      <c r="A742" s="2" t="s">
        <v>1540</v>
      </c>
      <c r="B742" s="2" t="s">
        <v>45</v>
      </c>
      <c r="C742" s="2" t="s">
        <v>4086</v>
      </c>
      <c r="D742" s="11" t="n">
        <v>1683510</v>
      </c>
      <c r="E742" s="31" t="n">
        <v>56</v>
      </c>
      <c r="F742" s="31" t="n">
        <v>23.5</v>
      </c>
      <c r="G742" s="31" t="n">
        <v>55.9</v>
      </c>
      <c r="H742" s="2" t="s">
        <v>671</v>
      </c>
    </row>
    <row r="743" customFormat="false" ht="15" hidden="false" customHeight="false" outlineLevel="0" collapsed="false">
      <c r="A743" s="2" t="s">
        <v>1540</v>
      </c>
      <c r="B743" s="2" t="s">
        <v>45</v>
      </c>
      <c r="C743" s="2" t="s">
        <v>4087</v>
      </c>
      <c r="D743" s="11" t="n">
        <v>1693990</v>
      </c>
      <c r="E743" s="31" t="n">
        <v>59.6</v>
      </c>
      <c r="F743" s="31" t="n">
        <v>37.5</v>
      </c>
      <c r="G743" s="2"/>
      <c r="H743" s="2" t="s">
        <v>668</v>
      </c>
    </row>
    <row r="744" customFormat="false" ht="15" hidden="false" customHeight="false" outlineLevel="0" collapsed="false">
      <c r="A744" s="2" t="s">
        <v>1540</v>
      </c>
      <c r="B744" s="2" t="s">
        <v>46</v>
      </c>
      <c r="C744" s="2" t="s">
        <v>4085</v>
      </c>
      <c r="D744" s="11" t="n">
        <v>252250</v>
      </c>
      <c r="E744" s="31" t="n">
        <v>71.4</v>
      </c>
      <c r="F744" s="31" t="n">
        <v>28.8</v>
      </c>
      <c r="G744" s="2"/>
      <c r="H744" s="2" t="s">
        <v>668</v>
      </c>
    </row>
    <row r="745" customFormat="false" ht="15" hidden="false" customHeight="false" outlineLevel="0" collapsed="false">
      <c r="A745" s="2" t="s">
        <v>1540</v>
      </c>
      <c r="B745" s="2" t="s">
        <v>46</v>
      </c>
      <c r="C745" s="2" t="s">
        <v>4086</v>
      </c>
      <c r="D745" s="11" t="n">
        <v>253310</v>
      </c>
      <c r="E745" s="31" t="n">
        <v>71.5</v>
      </c>
      <c r="F745" s="31" t="n">
        <v>5.1</v>
      </c>
      <c r="G745" s="31" t="n">
        <v>16.3</v>
      </c>
      <c r="H745" s="2" t="s">
        <v>671</v>
      </c>
    </row>
    <row r="746" customFormat="false" ht="15" hidden="false" customHeight="false" outlineLevel="0" collapsed="false">
      <c r="A746" s="2" t="s">
        <v>1540</v>
      </c>
      <c r="B746" s="2" t="s">
        <v>46</v>
      </c>
      <c r="C746" s="2" t="s">
        <v>4087</v>
      </c>
      <c r="D746" s="11" t="n">
        <v>255630</v>
      </c>
      <c r="E746" s="31" t="n">
        <v>74.6</v>
      </c>
      <c r="F746" s="31" t="n">
        <v>6.6</v>
      </c>
      <c r="G746" s="31" t="n">
        <v>40.9</v>
      </c>
      <c r="H746" s="2" t="s">
        <v>671</v>
      </c>
    </row>
    <row r="747" customFormat="false" ht="15" hidden="false" customHeight="false" outlineLevel="0" collapsed="false">
      <c r="A747" s="2" t="s">
        <v>1161</v>
      </c>
      <c r="B747" s="2" t="s">
        <v>4104</v>
      </c>
      <c r="C747" s="2" t="s">
        <v>4085</v>
      </c>
      <c r="D747" s="2"/>
      <c r="E747" s="31" t="n">
        <v>31.2</v>
      </c>
      <c r="F747" s="31" t="n">
        <v>41.4</v>
      </c>
      <c r="G747" s="31" t="n">
        <v>5.8</v>
      </c>
      <c r="H747" s="2" t="s">
        <v>671</v>
      </c>
    </row>
    <row r="748" customFormat="false" ht="15" hidden="false" customHeight="false" outlineLevel="0" collapsed="false">
      <c r="A748" s="2" t="s">
        <v>1161</v>
      </c>
      <c r="B748" s="2" t="s">
        <v>4104</v>
      </c>
      <c r="C748" s="2" t="s">
        <v>4086</v>
      </c>
      <c r="D748" s="2"/>
      <c r="E748" s="31" t="n">
        <v>46.7</v>
      </c>
      <c r="F748" s="31" t="n">
        <v>48.1</v>
      </c>
      <c r="G748" s="31" t="n">
        <v>32.3</v>
      </c>
      <c r="H748" s="2" t="s">
        <v>668</v>
      </c>
    </row>
    <row r="749" customFormat="false" ht="15" hidden="false" customHeight="false" outlineLevel="0" collapsed="false">
      <c r="A749" s="2" t="s">
        <v>1161</v>
      </c>
      <c r="B749" s="2" t="s">
        <v>4104</v>
      </c>
      <c r="C749" s="2" t="s">
        <v>4087</v>
      </c>
      <c r="D749" s="2"/>
      <c r="E749" s="31" t="n">
        <v>33.5</v>
      </c>
      <c r="F749" s="31" t="n">
        <v>32.9</v>
      </c>
      <c r="G749" s="31" t="n">
        <v>1</v>
      </c>
      <c r="H749" s="2" t="s">
        <v>668</v>
      </c>
    </row>
    <row r="750" customFormat="false" ht="15" hidden="false" customHeight="false" outlineLevel="0" collapsed="false">
      <c r="A750" s="2" t="s">
        <v>1161</v>
      </c>
      <c r="B750" s="2" t="s">
        <v>45</v>
      </c>
      <c r="C750" s="2" t="s">
        <v>4085</v>
      </c>
      <c r="D750" s="11" t="n">
        <v>24748</v>
      </c>
      <c r="E750" s="31" t="n">
        <v>14</v>
      </c>
      <c r="F750" s="31" t="n">
        <v>28.5</v>
      </c>
      <c r="G750" s="31" t="n">
        <v>0.9</v>
      </c>
      <c r="H750" s="2" t="s">
        <v>671</v>
      </c>
    </row>
    <row r="751" customFormat="false" ht="15" hidden="false" customHeight="false" outlineLevel="0" collapsed="false">
      <c r="A751" s="2" t="s">
        <v>1161</v>
      </c>
      <c r="B751" s="2" t="s">
        <v>45</v>
      </c>
      <c r="C751" s="2" t="s">
        <v>4086</v>
      </c>
      <c r="D751" s="11" t="n">
        <v>24940</v>
      </c>
      <c r="E751" s="31" t="n">
        <v>37.1</v>
      </c>
      <c r="F751" s="31" t="n">
        <v>22.7</v>
      </c>
      <c r="G751" s="2"/>
      <c r="H751" s="2" t="s">
        <v>668</v>
      </c>
    </row>
    <row r="752" customFormat="false" ht="15" hidden="false" customHeight="false" outlineLevel="0" collapsed="false">
      <c r="A752" s="2" t="s">
        <v>1161</v>
      </c>
      <c r="B752" s="2" t="s">
        <v>45</v>
      </c>
      <c r="C752" s="2" t="s">
        <v>4087</v>
      </c>
      <c r="D752" s="11" t="n">
        <v>25770</v>
      </c>
      <c r="E752" s="31" t="n">
        <v>33.5</v>
      </c>
      <c r="F752" s="31" t="n">
        <v>32.9</v>
      </c>
      <c r="G752" s="31" t="n">
        <v>1</v>
      </c>
      <c r="H752" s="2" t="s">
        <v>671</v>
      </c>
    </row>
    <row r="753" customFormat="false" ht="15" hidden="false" customHeight="false" outlineLevel="0" collapsed="false">
      <c r="A753" s="2" t="s">
        <v>1161</v>
      </c>
      <c r="B753" s="2" t="s">
        <v>47</v>
      </c>
      <c r="C753" s="2" t="s">
        <v>4085</v>
      </c>
      <c r="D753" s="11" t="n">
        <v>92223</v>
      </c>
      <c r="E753" s="31" t="n">
        <v>48.3</v>
      </c>
      <c r="F753" s="31" t="n">
        <v>54.2</v>
      </c>
      <c r="G753" s="31" t="n">
        <v>10.6</v>
      </c>
      <c r="H753" s="2" t="s">
        <v>671</v>
      </c>
    </row>
    <row r="754" customFormat="false" ht="15" hidden="false" customHeight="false" outlineLevel="0" collapsed="false">
      <c r="A754" s="2" t="s">
        <v>1161</v>
      </c>
      <c r="B754" s="2" t="s">
        <v>47</v>
      </c>
      <c r="C754" s="2" t="s">
        <v>4086</v>
      </c>
      <c r="D754" s="11" t="n">
        <v>95230</v>
      </c>
      <c r="E754" s="31" t="n">
        <v>56.3</v>
      </c>
      <c r="F754" s="31" t="n">
        <v>73.4</v>
      </c>
      <c r="G754" s="31" t="n">
        <v>32.3</v>
      </c>
      <c r="H754" s="2" t="s">
        <v>671</v>
      </c>
    </row>
    <row r="755" customFormat="false" ht="15" hidden="false" customHeight="false" outlineLevel="0" collapsed="false">
      <c r="A755" s="2" t="s">
        <v>1161</v>
      </c>
      <c r="B755" s="2" t="s">
        <v>47</v>
      </c>
      <c r="C755" s="2" t="s">
        <v>4087</v>
      </c>
      <c r="D755" s="2"/>
      <c r="E755" s="2"/>
      <c r="F755" s="2"/>
      <c r="G755" s="2"/>
      <c r="H755" s="2" t="s">
        <v>668</v>
      </c>
    </row>
    <row r="756" customFormat="false" ht="15" hidden="false" customHeight="false" outlineLevel="0" collapsed="false">
      <c r="A756" s="2" t="s">
        <v>2758</v>
      </c>
      <c r="B756" s="2" t="s">
        <v>4104</v>
      </c>
      <c r="C756" s="2" t="s">
        <v>4085</v>
      </c>
      <c r="D756" s="2"/>
      <c r="E756" s="31" t="n">
        <v>37</v>
      </c>
      <c r="F756" s="31" t="n">
        <v>73.5</v>
      </c>
      <c r="G756" s="31" t="n">
        <v>48</v>
      </c>
      <c r="H756" s="2" t="s">
        <v>671</v>
      </c>
    </row>
    <row r="757" customFormat="false" ht="15" hidden="false" customHeight="false" outlineLevel="0" collapsed="false">
      <c r="A757" s="2" t="s">
        <v>2758</v>
      </c>
      <c r="B757" s="2" t="s">
        <v>4104</v>
      </c>
      <c r="C757" s="2" t="s">
        <v>4086</v>
      </c>
      <c r="D757" s="2"/>
      <c r="E757" s="31" t="n">
        <v>33.8</v>
      </c>
      <c r="F757" s="31" t="n">
        <v>58.9</v>
      </c>
      <c r="G757" s="31" t="n">
        <v>67.6</v>
      </c>
      <c r="H757" s="2" t="s">
        <v>671</v>
      </c>
    </row>
    <row r="758" customFormat="false" ht="15" hidden="false" customHeight="false" outlineLevel="0" collapsed="false">
      <c r="A758" s="2" t="s">
        <v>2758</v>
      </c>
      <c r="B758" s="2" t="s">
        <v>4104</v>
      </c>
      <c r="C758" s="2" t="s">
        <v>4087</v>
      </c>
      <c r="D758" s="2"/>
      <c r="E758" s="31" t="n">
        <v>31</v>
      </c>
      <c r="F758" s="31" t="n">
        <v>65.1</v>
      </c>
      <c r="G758" s="2"/>
      <c r="H758" s="2" t="s">
        <v>668</v>
      </c>
    </row>
    <row r="759" customFormat="false" ht="15" hidden="false" customHeight="false" outlineLevel="0" collapsed="false">
      <c r="A759" s="2" t="s">
        <v>2758</v>
      </c>
      <c r="B759" s="2" t="s">
        <v>45</v>
      </c>
      <c r="C759" s="2" t="s">
        <v>4085</v>
      </c>
      <c r="D759" s="11" t="n">
        <v>55488</v>
      </c>
      <c r="E759" s="31" t="n">
        <v>48.6</v>
      </c>
      <c r="F759" s="31" t="n">
        <v>57.3</v>
      </c>
      <c r="G759" s="31" t="n">
        <v>41</v>
      </c>
      <c r="H759" s="2" t="s">
        <v>671</v>
      </c>
    </row>
    <row r="760" customFormat="false" ht="15" hidden="false" customHeight="false" outlineLevel="0" collapsed="false">
      <c r="A760" s="2" t="s">
        <v>2758</v>
      </c>
      <c r="B760" s="2" t="s">
        <v>45</v>
      </c>
      <c r="C760" s="2" t="s">
        <v>4086</v>
      </c>
      <c r="D760" s="11" t="n">
        <v>57810</v>
      </c>
      <c r="E760" s="31" t="n">
        <v>41</v>
      </c>
      <c r="F760" s="31" t="n">
        <v>38.8</v>
      </c>
      <c r="G760" s="31" t="n">
        <v>66.7</v>
      </c>
      <c r="H760" s="2" t="s">
        <v>671</v>
      </c>
    </row>
    <row r="761" customFormat="false" ht="15" hidden="false" customHeight="false" outlineLevel="0" collapsed="false">
      <c r="A761" s="2" t="s">
        <v>2758</v>
      </c>
      <c r="B761" s="2" t="s">
        <v>45</v>
      </c>
      <c r="C761" s="2" t="s">
        <v>4087</v>
      </c>
      <c r="D761" s="11" t="n">
        <v>59888</v>
      </c>
      <c r="E761" s="31" t="n">
        <v>31</v>
      </c>
      <c r="F761" s="31" t="n">
        <v>65.1</v>
      </c>
      <c r="G761" s="2"/>
      <c r="H761" s="2" t="s">
        <v>668</v>
      </c>
    </row>
    <row r="762" customFormat="false" ht="15" hidden="false" customHeight="false" outlineLevel="0" collapsed="false">
      <c r="A762" s="2" t="s">
        <v>2758</v>
      </c>
      <c r="B762" s="2" t="s">
        <v>46</v>
      </c>
      <c r="C762" s="2" t="s">
        <v>4085</v>
      </c>
      <c r="D762" s="11" t="n">
        <v>293230</v>
      </c>
      <c r="E762" s="31" t="n">
        <v>25.4</v>
      </c>
      <c r="F762" s="31" t="n">
        <v>89.7</v>
      </c>
      <c r="G762" s="31" t="n">
        <v>55</v>
      </c>
      <c r="H762" s="2" t="s">
        <v>671</v>
      </c>
    </row>
    <row r="763" customFormat="false" ht="15" hidden="false" customHeight="false" outlineLevel="0" collapsed="false">
      <c r="A763" s="2" t="s">
        <v>2758</v>
      </c>
      <c r="B763" s="2" t="s">
        <v>46</v>
      </c>
      <c r="C763" s="2" t="s">
        <v>4086</v>
      </c>
      <c r="D763" s="11" t="n">
        <v>314370</v>
      </c>
      <c r="E763" s="31" t="n">
        <v>26.5</v>
      </c>
      <c r="F763" s="31" t="n">
        <v>79</v>
      </c>
      <c r="G763" s="31" t="n">
        <v>68.4</v>
      </c>
      <c r="H763" s="2" t="s">
        <v>671</v>
      </c>
    </row>
    <row r="764" customFormat="false" ht="15" hidden="false" customHeight="false" outlineLevel="0" collapsed="false">
      <c r="A764" s="2" t="s">
        <v>2758</v>
      </c>
      <c r="B764" s="2" t="s">
        <v>46</v>
      </c>
      <c r="C764" s="2" t="s">
        <v>4087</v>
      </c>
      <c r="D764" s="2"/>
      <c r="E764" s="2"/>
      <c r="F764" s="2"/>
      <c r="G764" s="2"/>
      <c r="H764" s="2" t="s">
        <v>668</v>
      </c>
    </row>
    <row r="765" customFormat="false" ht="15" hidden="false" customHeight="false" outlineLevel="0" collapsed="false">
      <c r="A765" s="2" t="s">
        <v>181</v>
      </c>
      <c r="B765" s="2" t="s">
        <v>4104</v>
      </c>
      <c r="C765" s="2" t="s">
        <v>4085</v>
      </c>
      <c r="D765" s="2"/>
      <c r="E765" s="2"/>
      <c r="F765" s="2"/>
      <c r="G765" s="2"/>
      <c r="H765" s="2" t="s">
        <v>668</v>
      </c>
    </row>
    <row r="766" customFormat="false" ht="15" hidden="false" customHeight="false" outlineLevel="0" collapsed="false">
      <c r="A766" s="2" t="s">
        <v>181</v>
      </c>
      <c r="B766" s="2" t="s">
        <v>4104</v>
      </c>
      <c r="C766" s="2" t="s">
        <v>4086</v>
      </c>
      <c r="D766" s="2"/>
      <c r="E766" s="31" t="n">
        <v>56.3</v>
      </c>
      <c r="F766" s="31" t="n">
        <v>43.6</v>
      </c>
      <c r="G766" s="31" t="n">
        <v>90</v>
      </c>
      <c r="H766" s="2" t="s">
        <v>671</v>
      </c>
    </row>
    <row r="767" customFormat="false" ht="15" hidden="false" customHeight="false" outlineLevel="0" collapsed="false">
      <c r="A767" s="2" t="s">
        <v>181</v>
      </c>
      <c r="B767" s="2" t="s">
        <v>4104</v>
      </c>
      <c r="C767" s="2" t="s">
        <v>4087</v>
      </c>
      <c r="D767" s="2"/>
      <c r="E767" s="31" t="n">
        <v>73.9</v>
      </c>
      <c r="F767" s="31" t="n">
        <v>63</v>
      </c>
      <c r="G767" s="31" t="n">
        <v>93.4</v>
      </c>
      <c r="H767" s="2" t="s">
        <v>671</v>
      </c>
    </row>
    <row r="768" customFormat="false" ht="15" hidden="false" customHeight="false" outlineLevel="0" collapsed="false">
      <c r="A768" s="2" t="s">
        <v>181</v>
      </c>
      <c r="B768" s="2" t="s">
        <v>45</v>
      </c>
      <c r="C768" s="2" t="s">
        <v>4085</v>
      </c>
      <c r="D768" s="2"/>
      <c r="E768" s="2"/>
      <c r="F768" s="2"/>
      <c r="G768" s="2"/>
      <c r="H768" s="2" t="s">
        <v>668</v>
      </c>
    </row>
    <row r="769" customFormat="false" ht="15" hidden="false" customHeight="false" outlineLevel="0" collapsed="false">
      <c r="A769" s="2" t="s">
        <v>181</v>
      </c>
      <c r="B769" s="2" t="s">
        <v>45</v>
      </c>
      <c r="C769" s="2" t="s">
        <v>4086</v>
      </c>
      <c r="D769" s="11" t="n">
        <v>308810</v>
      </c>
      <c r="E769" s="31" t="n">
        <v>56.3</v>
      </c>
      <c r="F769" s="31" t="n">
        <v>43.6</v>
      </c>
      <c r="G769" s="31" t="n">
        <v>90</v>
      </c>
      <c r="H769" s="2" t="s">
        <v>671</v>
      </c>
    </row>
    <row r="770" customFormat="false" ht="15" hidden="false" customHeight="false" outlineLevel="0" collapsed="false">
      <c r="A770" s="2" t="s">
        <v>181</v>
      </c>
      <c r="B770" s="2" t="s">
        <v>45</v>
      </c>
      <c r="C770" s="2" t="s">
        <v>4087</v>
      </c>
      <c r="D770" s="11" t="n">
        <v>312722</v>
      </c>
      <c r="E770" s="31" t="n">
        <v>73.9</v>
      </c>
      <c r="F770" s="31" t="n">
        <v>63</v>
      </c>
      <c r="G770" s="31" t="n">
        <v>93.4</v>
      </c>
      <c r="H770" s="2" t="s">
        <v>671</v>
      </c>
    </row>
    <row r="771" customFormat="false" ht="15" hidden="false" customHeight="false" outlineLevel="0" collapsed="false">
      <c r="A771" s="2" t="s">
        <v>1217</v>
      </c>
      <c r="B771" s="2" t="s">
        <v>4104</v>
      </c>
      <c r="C771" s="2" t="s">
        <v>4085</v>
      </c>
      <c r="D771" s="2"/>
      <c r="E771" s="31" t="n">
        <v>45.4</v>
      </c>
      <c r="F771" s="31" t="n">
        <v>82.9</v>
      </c>
      <c r="G771" s="31" t="n">
        <v>34</v>
      </c>
      <c r="H771" s="2" t="s">
        <v>668</v>
      </c>
    </row>
    <row r="772" customFormat="false" ht="15" hidden="false" customHeight="false" outlineLevel="0" collapsed="false">
      <c r="A772" s="2" t="s">
        <v>1217</v>
      </c>
      <c r="B772" s="2" t="s">
        <v>4104</v>
      </c>
      <c r="C772" s="2" t="s">
        <v>4086</v>
      </c>
      <c r="D772" s="2"/>
      <c r="E772" s="31" t="n">
        <v>40.1</v>
      </c>
      <c r="F772" s="31" t="n">
        <v>81.4</v>
      </c>
      <c r="G772" s="31" t="n">
        <v>54.7</v>
      </c>
      <c r="H772" s="2" t="s">
        <v>668</v>
      </c>
    </row>
    <row r="773" customFormat="false" ht="15" hidden="false" customHeight="false" outlineLevel="0" collapsed="false">
      <c r="A773" s="2" t="s">
        <v>1217</v>
      </c>
      <c r="B773" s="2" t="s">
        <v>4104</v>
      </c>
      <c r="C773" s="2" t="s">
        <v>4087</v>
      </c>
      <c r="D773" s="2"/>
      <c r="E773" s="31" t="n">
        <v>28.6</v>
      </c>
      <c r="F773" s="31" t="n">
        <v>85.8</v>
      </c>
      <c r="G773" s="31" t="n">
        <v>36.8</v>
      </c>
      <c r="H773" s="2" t="s">
        <v>668</v>
      </c>
    </row>
    <row r="774" customFormat="false" ht="15" hidden="false" customHeight="false" outlineLevel="0" collapsed="false">
      <c r="A774" s="2" t="s">
        <v>1217</v>
      </c>
      <c r="B774" s="2" t="s">
        <v>45</v>
      </c>
      <c r="C774" s="2" t="s">
        <v>4085</v>
      </c>
      <c r="D774" s="11" t="n">
        <v>22980</v>
      </c>
      <c r="E774" s="31" t="n">
        <v>27.6</v>
      </c>
      <c r="F774" s="31" t="n">
        <v>89.1</v>
      </c>
      <c r="G774" s="31" t="n">
        <v>36.1</v>
      </c>
      <c r="H774" s="2" t="s">
        <v>671</v>
      </c>
    </row>
    <row r="775" customFormat="false" ht="15" hidden="false" customHeight="false" outlineLevel="0" collapsed="false">
      <c r="A775" s="2" t="s">
        <v>1217</v>
      </c>
      <c r="B775" s="2" t="s">
        <v>45</v>
      </c>
      <c r="C775" s="2" t="s">
        <v>4086</v>
      </c>
      <c r="D775" s="11" t="n">
        <v>24420</v>
      </c>
      <c r="E775" s="31" t="n">
        <v>40.3</v>
      </c>
      <c r="F775" s="31" t="n">
        <v>89</v>
      </c>
      <c r="G775" s="31" t="n">
        <v>26.6</v>
      </c>
      <c r="H775" s="2" t="s">
        <v>671</v>
      </c>
    </row>
    <row r="776" customFormat="false" ht="15" hidden="false" customHeight="false" outlineLevel="0" collapsed="false">
      <c r="A776" s="2" t="s">
        <v>1217</v>
      </c>
      <c r="B776" s="2" t="s">
        <v>45</v>
      </c>
      <c r="C776" s="2" t="s">
        <v>4087</v>
      </c>
      <c r="D776" s="11" t="n">
        <v>26340</v>
      </c>
      <c r="E776" s="31" t="n">
        <v>25.4</v>
      </c>
      <c r="F776" s="31" t="n">
        <v>88.9</v>
      </c>
      <c r="G776" s="31" t="n">
        <v>5.2</v>
      </c>
      <c r="H776" s="2" t="s">
        <v>671</v>
      </c>
    </row>
    <row r="777" customFormat="false" ht="15" hidden="false" customHeight="false" outlineLevel="0" collapsed="false">
      <c r="A777" s="2" t="s">
        <v>1217</v>
      </c>
      <c r="B777" s="2" t="s">
        <v>46</v>
      </c>
      <c r="C777" s="2" t="s">
        <v>4085</v>
      </c>
      <c r="D777" s="2"/>
      <c r="E777" s="2"/>
      <c r="F777" s="2"/>
      <c r="G777" s="2"/>
      <c r="H777" s="2" t="s">
        <v>668</v>
      </c>
    </row>
    <row r="778" customFormat="false" ht="15" hidden="false" customHeight="false" outlineLevel="0" collapsed="false">
      <c r="A778" s="2" t="s">
        <v>1217</v>
      </c>
      <c r="B778" s="2" t="s">
        <v>46</v>
      </c>
      <c r="C778" s="2" t="s">
        <v>4086</v>
      </c>
      <c r="D778" s="2"/>
      <c r="E778" s="2"/>
      <c r="F778" s="2"/>
      <c r="G778" s="2"/>
      <c r="H778" s="2" t="s">
        <v>668</v>
      </c>
    </row>
    <row r="779" customFormat="false" ht="15" hidden="false" customHeight="false" outlineLevel="0" collapsed="false">
      <c r="A779" s="2" t="s">
        <v>1217</v>
      </c>
      <c r="B779" s="2" t="s">
        <v>46</v>
      </c>
      <c r="C779" s="2" t="s">
        <v>4087</v>
      </c>
      <c r="D779" s="2"/>
      <c r="E779" s="2"/>
      <c r="F779" s="2"/>
      <c r="G779" s="2"/>
      <c r="H779" s="2" t="s">
        <v>668</v>
      </c>
    </row>
    <row r="780" customFormat="false" ht="15" hidden="false" customHeight="false" outlineLevel="0" collapsed="false">
      <c r="A780" s="2" t="s">
        <v>1217</v>
      </c>
      <c r="B780" s="2" t="s">
        <v>47</v>
      </c>
      <c r="C780" s="2" t="s">
        <v>4085</v>
      </c>
      <c r="D780" s="11" t="n">
        <v>6147</v>
      </c>
      <c r="E780" s="31" t="n">
        <v>63.1</v>
      </c>
      <c r="F780" s="31" t="n">
        <v>76.7</v>
      </c>
      <c r="G780" s="31" t="n">
        <v>31.9</v>
      </c>
      <c r="H780" s="2" t="s">
        <v>671</v>
      </c>
    </row>
    <row r="781" customFormat="false" ht="15" hidden="false" customHeight="false" outlineLevel="0" collapsed="false">
      <c r="A781" s="2" t="s">
        <v>1217</v>
      </c>
      <c r="B781" s="2" t="s">
        <v>47</v>
      </c>
      <c r="C781" s="2" t="s">
        <v>4086</v>
      </c>
      <c r="D781" s="11" t="n">
        <v>6680</v>
      </c>
      <c r="E781" s="31" t="n">
        <v>39.9</v>
      </c>
      <c r="F781" s="31" t="n">
        <v>73.8</v>
      </c>
      <c r="G781" s="31" t="n">
        <v>82.8</v>
      </c>
      <c r="H781" s="2" t="s">
        <v>671</v>
      </c>
    </row>
    <row r="782" customFormat="false" ht="15" hidden="false" customHeight="false" outlineLevel="0" collapsed="false">
      <c r="A782" s="2" t="s">
        <v>1217</v>
      </c>
      <c r="B782" s="2" t="s">
        <v>47</v>
      </c>
      <c r="C782" s="2" t="s">
        <v>4087</v>
      </c>
      <c r="D782" s="11" t="n">
        <v>7254</v>
      </c>
      <c r="E782" s="31" t="n">
        <v>31.9</v>
      </c>
      <c r="F782" s="31" t="n">
        <v>82.7</v>
      </c>
      <c r="G782" s="31" t="n">
        <v>68.4</v>
      </c>
      <c r="H782" s="2" t="s">
        <v>671</v>
      </c>
    </row>
    <row r="783" customFormat="false" ht="15" hidden="false" customHeight="false" outlineLevel="0" collapsed="false">
      <c r="A783" s="2" t="s">
        <v>588</v>
      </c>
      <c r="B783" s="2" t="s">
        <v>4104</v>
      </c>
      <c r="C783" s="2" t="s">
        <v>4085</v>
      </c>
      <c r="D783" s="2"/>
      <c r="E783" s="31" t="n">
        <v>15.9</v>
      </c>
      <c r="F783" s="31" t="n">
        <v>96.1</v>
      </c>
      <c r="G783" s="31" t="n">
        <v>30.1</v>
      </c>
      <c r="H783" s="2" t="s">
        <v>671</v>
      </c>
    </row>
    <row r="784" customFormat="false" ht="15" hidden="false" customHeight="false" outlineLevel="0" collapsed="false">
      <c r="A784" s="2" t="s">
        <v>588</v>
      </c>
      <c r="B784" s="2" t="s">
        <v>4104</v>
      </c>
      <c r="C784" s="2" t="s">
        <v>4086</v>
      </c>
      <c r="D784" s="2"/>
      <c r="E784" s="31" t="n">
        <v>33</v>
      </c>
      <c r="F784" s="31" t="n">
        <v>93.5</v>
      </c>
      <c r="G784" s="31" t="n">
        <v>28.2</v>
      </c>
      <c r="H784" s="2" t="s">
        <v>668</v>
      </c>
    </row>
    <row r="785" customFormat="false" ht="15" hidden="false" customHeight="false" outlineLevel="0" collapsed="false">
      <c r="A785" s="2" t="s">
        <v>588</v>
      </c>
      <c r="B785" s="2" t="s">
        <v>4104</v>
      </c>
      <c r="C785" s="2" t="s">
        <v>4087</v>
      </c>
      <c r="D785" s="2"/>
      <c r="E785" s="31" t="n">
        <v>22.7</v>
      </c>
      <c r="F785" s="31" t="n">
        <v>89.9</v>
      </c>
      <c r="G785" s="31" t="n">
        <v>18.1</v>
      </c>
      <c r="H785" s="2" t="s">
        <v>671</v>
      </c>
    </row>
    <row r="786" customFormat="false" ht="15" hidden="false" customHeight="false" outlineLevel="0" collapsed="false">
      <c r="A786" s="2" t="s">
        <v>588</v>
      </c>
      <c r="B786" s="2" t="s">
        <v>45</v>
      </c>
      <c r="C786" s="2" t="s">
        <v>4085</v>
      </c>
      <c r="D786" s="11" t="n">
        <v>39670</v>
      </c>
      <c r="E786" s="31" t="n">
        <v>5.8</v>
      </c>
      <c r="F786" s="31" t="n">
        <v>91.2</v>
      </c>
      <c r="G786" s="31" t="n">
        <v>42.9</v>
      </c>
      <c r="H786" s="2" t="s">
        <v>671</v>
      </c>
    </row>
    <row r="787" customFormat="false" ht="15" hidden="false" customHeight="false" outlineLevel="0" collapsed="false">
      <c r="A787" s="2" t="s">
        <v>588</v>
      </c>
      <c r="B787" s="2" t="s">
        <v>45</v>
      </c>
      <c r="C787" s="2" t="s">
        <v>4086</v>
      </c>
      <c r="D787" s="11" t="n">
        <v>42220</v>
      </c>
      <c r="E787" s="31" t="n">
        <v>23.6</v>
      </c>
      <c r="F787" s="31" t="n">
        <v>89.7</v>
      </c>
      <c r="G787" s="31" t="n">
        <v>40.1</v>
      </c>
      <c r="H787" s="2" t="s">
        <v>671</v>
      </c>
    </row>
    <row r="788" customFormat="false" ht="15" hidden="false" customHeight="false" outlineLevel="0" collapsed="false">
      <c r="A788" s="2" t="s">
        <v>588</v>
      </c>
      <c r="B788" s="2" t="s">
        <v>45</v>
      </c>
      <c r="C788" s="2" t="s">
        <v>4087</v>
      </c>
      <c r="D788" s="11" t="n">
        <v>45810</v>
      </c>
      <c r="E788" s="31" t="n">
        <v>20.9</v>
      </c>
      <c r="F788" s="31" t="n">
        <v>92.9</v>
      </c>
      <c r="G788" s="31" t="n">
        <v>42.8</v>
      </c>
      <c r="H788" s="2" t="s">
        <v>671</v>
      </c>
    </row>
    <row r="789" customFormat="false" ht="15" hidden="false" customHeight="false" outlineLevel="0" collapsed="false">
      <c r="A789" s="2" t="s">
        <v>588</v>
      </c>
      <c r="B789" s="2" t="s">
        <v>46</v>
      </c>
      <c r="C789" s="2" t="s">
        <v>4085</v>
      </c>
      <c r="D789" s="11" t="n">
        <v>10432</v>
      </c>
      <c r="E789" s="31" t="n">
        <v>21.5</v>
      </c>
      <c r="F789" s="31" t="n">
        <v>100</v>
      </c>
      <c r="G789" s="31" t="n">
        <v>21.7</v>
      </c>
      <c r="H789" s="2" t="s">
        <v>671</v>
      </c>
    </row>
    <row r="790" customFormat="false" ht="15" hidden="false" customHeight="false" outlineLevel="0" collapsed="false">
      <c r="A790" s="2" t="s">
        <v>588</v>
      </c>
      <c r="B790" s="2" t="s">
        <v>46</v>
      </c>
      <c r="C790" s="2" t="s">
        <v>4086</v>
      </c>
      <c r="D790" s="11" t="n">
        <v>11440</v>
      </c>
      <c r="E790" s="31" t="n">
        <v>43</v>
      </c>
      <c r="F790" s="31" t="n">
        <v>99.6</v>
      </c>
      <c r="G790" s="2"/>
      <c r="H790" s="2" t="s">
        <v>668</v>
      </c>
    </row>
    <row r="791" customFormat="false" ht="15" hidden="false" customHeight="false" outlineLevel="0" collapsed="false">
      <c r="A791" s="2" t="s">
        <v>588</v>
      </c>
      <c r="B791" s="2" t="s">
        <v>46</v>
      </c>
      <c r="C791" s="2" t="s">
        <v>4087</v>
      </c>
      <c r="D791" s="11" t="n">
        <v>12408</v>
      </c>
      <c r="E791" s="31" t="n">
        <v>28.8</v>
      </c>
      <c r="F791" s="31" t="n">
        <v>98.8</v>
      </c>
      <c r="G791" s="31" t="n">
        <v>4.1</v>
      </c>
      <c r="H791" s="2" t="s">
        <v>671</v>
      </c>
    </row>
    <row r="792" customFormat="false" ht="15" hidden="false" customHeight="false" outlineLevel="0" collapsed="false">
      <c r="A792" s="2" t="s">
        <v>588</v>
      </c>
      <c r="B792" s="2" t="s">
        <v>47</v>
      </c>
      <c r="C792" s="2" t="s">
        <v>4085</v>
      </c>
      <c r="D792" s="11" t="n">
        <v>22117</v>
      </c>
      <c r="E792" s="31" t="n">
        <v>20.4</v>
      </c>
      <c r="F792" s="31" t="n">
        <v>97.1</v>
      </c>
      <c r="G792" s="31" t="n">
        <v>25.7</v>
      </c>
      <c r="H792" s="2" t="s">
        <v>671</v>
      </c>
    </row>
    <row r="793" customFormat="false" ht="15" hidden="false" customHeight="false" outlineLevel="0" collapsed="false">
      <c r="A793" s="2" t="s">
        <v>588</v>
      </c>
      <c r="B793" s="2" t="s">
        <v>47</v>
      </c>
      <c r="C793" s="2" t="s">
        <v>4086</v>
      </c>
      <c r="D793" s="11" t="n">
        <v>24210</v>
      </c>
      <c r="E793" s="31" t="n">
        <v>32.3</v>
      </c>
      <c r="F793" s="31" t="n">
        <v>91.2</v>
      </c>
      <c r="G793" s="31" t="n">
        <v>16.3</v>
      </c>
      <c r="H793" s="2" t="s">
        <v>671</v>
      </c>
    </row>
    <row r="794" customFormat="false" ht="15" hidden="false" customHeight="false" outlineLevel="0" collapsed="false">
      <c r="A794" s="2" t="s">
        <v>588</v>
      </c>
      <c r="B794" s="2" t="s">
        <v>47</v>
      </c>
      <c r="C794" s="2" t="s">
        <v>4087</v>
      </c>
      <c r="D794" s="11" t="n">
        <v>25126</v>
      </c>
      <c r="E794" s="31" t="n">
        <v>18.4</v>
      </c>
      <c r="F794" s="31" t="n">
        <v>78</v>
      </c>
      <c r="G794" s="31" t="n">
        <v>7.4</v>
      </c>
      <c r="H794" s="2" t="s">
        <v>671</v>
      </c>
    </row>
    <row r="795" customFormat="false" ht="15" hidden="false" customHeight="false" outlineLevel="0" collapsed="false">
      <c r="A795" s="2" t="s">
        <v>1581</v>
      </c>
      <c r="B795" s="2" t="s">
        <v>4104</v>
      </c>
      <c r="C795" s="2" t="s">
        <v>4085</v>
      </c>
      <c r="D795" s="2"/>
      <c r="E795" s="31" t="n">
        <v>60.2</v>
      </c>
      <c r="F795" s="31" t="n">
        <v>37.2</v>
      </c>
      <c r="G795" s="31" t="n">
        <v>28.5</v>
      </c>
      <c r="H795" s="2" t="s">
        <v>668</v>
      </c>
    </row>
    <row r="796" customFormat="false" ht="15" hidden="false" customHeight="false" outlineLevel="0" collapsed="false">
      <c r="A796" s="2" t="s">
        <v>1581</v>
      </c>
      <c r="B796" s="2" t="s">
        <v>4104</v>
      </c>
      <c r="C796" s="2" t="s">
        <v>4086</v>
      </c>
      <c r="D796" s="2"/>
      <c r="E796" s="31" t="n">
        <v>65.4</v>
      </c>
      <c r="F796" s="31" t="n">
        <v>27.7</v>
      </c>
      <c r="G796" s="31" t="n">
        <v>21</v>
      </c>
      <c r="H796" s="2" t="s">
        <v>668</v>
      </c>
    </row>
    <row r="797" customFormat="false" ht="15" hidden="false" customHeight="false" outlineLevel="0" collapsed="false">
      <c r="A797" s="2" t="s">
        <v>1581</v>
      </c>
      <c r="B797" s="2" t="s">
        <v>4104</v>
      </c>
      <c r="C797" s="2" t="s">
        <v>4087</v>
      </c>
      <c r="D797" s="2"/>
      <c r="E797" s="31" t="n">
        <v>67.6</v>
      </c>
      <c r="F797" s="31" t="n">
        <v>45.9</v>
      </c>
      <c r="G797" s="31" t="n">
        <v>33.4</v>
      </c>
      <c r="H797" s="2" t="s">
        <v>668</v>
      </c>
    </row>
    <row r="798" customFormat="false" ht="15" hidden="false" customHeight="false" outlineLevel="0" collapsed="false">
      <c r="A798" s="2" t="s">
        <v>1581</v>
      </c>
      <c r="B798" s="2" t="s">
        <v>45</v>
      </c>
      <c r="C798" s="2" t="s">
        <v>4085</v>
      </c>
      <c r="D798" s="11" t="n">
        <v>348313</v>
      </c>
      <c r="E798" s="31" t="n">
        <v>35.6</v>
      </c>
      <c r="F798" s="31" t="n">
        <v>32.2</v>
      </c>
      <c r="G798" s="31" t="n">
        <v>27.8</v>
      </c>
      <c r="H798" s="2" t="s">
        <v>671</v>
      </c>
    </row>
    <row r="799" customFormat="false" ht="15" hidden="false" customHeight="false" outlineLevel="0" collapsed="false">
      <c r="A799" s="2" t="s">
        <v>1581</v>
      </c>
      <c r="B799" s="2" t="s">
        <v>45</v>
      </c>
      <c r="C799" s="2" t="s">
        <v>4086</v>
      </c>
      <c r="D799" s="11" t="n">
        <v>365030</v>
      </c>
      <c r="E799" s="31" t="n">
        <v>42.7</v>
      </c>
      <c r="F799" s="31" t="n">
        <v>26.4</v>
      </c>
      <c r="G799" s="2"/>
      <c r="H799" s="2" t="s">
        <v>668</v>
      </c>
    </row>
    <row r="800" customFormat="false" ht="15" hidden="false" customHeight="false" outlineLevel="0" collapsed="false">
      <c r="A800" s="2" t="s">
        <v>1581</v>
      </c>
      <c r="B800" s="2" t="s">
        <v>45</v>
      </c>
      <c r="C800" s="2" t="s">
        <v>4087</v>
      </c>
      <c r="D800" s="11" t="n">
        <v>371450</v>
      </c>
      <c r="E800" s="31" t="n">
        <v>48.7</v>
      </c>
      <c r="F800" s="31" t="n">
        <v>47.8</v>
      </c>
      <c r="G800" s="2"/>
      <c r="H800" s="2" t="s">
        <v>668</v>
      </c>
    </row>
    <row r="801" customFormat="false" ht="15" hidden="false" customHeight="false" outlineLevel="0" collapsed="false">
      <c r="A801" s="2" t="s">
        <v>1581</v>
      </c>
      <c r="B801" s="2" t="s">
        <v>46</v>
      </c>
      <c r="C801" s="2" t="s">
        <v>4085</v>
      </c>
      <c r="D801" s="11" t="n">
        <v>1151930</v>
      </c>
      <c r="E801" s="31" t="n">
        <v>57.7</v>
      </c>
      <c r="F801" s="2"/>
      <c r="G801" s="31" t="n">
        <v>24.4</v>
      </c>
      <c r="H801" s="2" t="s">
        <v>668</v>
      </c>
    </row>
    <row r="802" customFormat="false" ht="15" hidden="false" customHeight="false" outlineLevel="0" collapsed="false">
      <c r="A802" s="2" t="s">
        <v>1581</v>
      </c>
      <c r="B802" s="2" t="s">
        <v>46</v>
      </c>
      <c r="C802" s="2" t="s">
        <v>4086</v>
      </c>
      <c r="D802" s="11" t="n">
        <v>1180880</v>
      </c>
      <c r="E802" s="31" t="n">
        <v>64.6</v>
      </c>
      <c r="F802" s="31" t="n">
        <v>16.7</v>
      </c>
      <c r="G802" s="31" t="n">
        <v>12.6</v>
      </c>
      <c r="H802" s="2" t="s">
        <v>671</v>
      </c>
    </row>
    <row r="803" customFormat="false" ht="15" hidden="false" customHeight="false" outlineLevel="0" collapsed="false">
      <c r="A803" s="2" t="s">
        <v>1581</v>
      </c>
      <c r="B803" s="2" t="s">
        <v>46</v>
      </c>
      <c r="C803" s="2" t="s">
        <v>4087</v>
      </c>
      <c r="D803" s="11" t="n">
        <v>1205530</v>
      </c>
      <c r="E803" s="31" t="n">
        <v>67.7</v>
      </c>
      <c r="F803" s="31" t="n">
        <v>37.5</v>
      </c>
      <c r="G803" s="31" t="n">
        <v>18.4</v>
      </c>
      <c r="H803" s="2" t="s">
        <v>671</v>
      </c>
    </row>
    <row r="804" customFormat="false" ht="15" hidden="false" customHeight="false" outlineLevel="0" collapsed="false">
      <c r="A804" s="2" t="s">
        <v>1581</v>
      </c>
      <c r="B804" s="2" t="s">
        <v>47</v>
      </c>
      <c r="C804" s="2" t="s">
        <v>4085</v>
      </c>
      <c r="D804" s="11" t="n">
        <v>14513</v>
      </c>
      <c r="E804" s="31" t="n">
        <v>87.4</v>
      </c>
      <c r="F804" s="31" t="n">
        <v>42.2</v>
      </c>
      <c r="G804" s="31" t="n">
        <v>33.2</v>
      </c>
      <c r="H804" s="2" t="s">
        <v>671</v>
      </c>
    </row>
    <row r="805" customFormat="false" ht="15" hidden="false" customHeight="false" outlineLevel="0" collapsed="false">
      <c r="A805" s="2" t="s">
        <v>1581</v>
      </c>
      <c r="B805" s="2" t="s">
        <v>47</v>
      </c>
      <c r="C805" s="2" t="s">
        <v>4086</v>
      </c>
      <c r="D805" s="11" t="n">
        <v>15117</v>
      </c>
      <c r="E805" s="31" t="n">
        <v>88.9</v>
      </c>
      <c r="F805" s="31" t="n">
        <v>39.9</v>
      </c>
      <c r="G805" s="31" t="n">
        <v>29.4</v>
      </c>
      <c r="H805" s="2" t="s">
        <v>671</v>
      </c>
    </row>
    <row r="806" customFormat="false" ht="15" hidden="false" customHeight="false" outlineLevel="0" collapsed="false">
      <c r="A806" s="2" t="s">
        <v>1581</v>
      </c>
      <c r="B806" s="2" t="s">
        <v>47</v>
      </c>
      <c r="C806" s="2" t="s">
        <v>4087</v>
      </c>
      <c r="D806" s="11" t="n">
        <v>15323</v>
      </c>
      <c r="E806" s="31" t="n">
        <v>86.5</v>
      </c>
      <c r="F806" s="31" t="n">
        <v>52.5</v>
      </c>
      <c r="G806" s="31" t="n">
        <v>48.4</v>
      </c>
      <c r="H806" s="2" t="s">
        <v>671</v>
      </c>
    </row>
    <row r="807" customFormat="false" ht="15" hidden="false" customHeight="false" outlineLevel="0" collapsed="false">
      <c r="A807" s="2" t="s">
        <v>1243</v>
      </c>
      <c r="B807" s="2" t="s">
        <v>4104</v>
      </c>
      <c r="C807" s="2" t="s">
        <v>4085</v>
      </c>
      <c r="D807" s="2"/>
      <c r="E807" s="31" t="n">
        <v>71.6</v>
      </c>
      <c r="F807" s="31" t="n">
        <v>56.7</v>
      </c>
      <c r="G807" s="31" t="n">
        <v>24.7</v>
      </c>
      <c r="H807" s="2" t="s">
        <v>671</v>
      </c>
    </row>
    <row r="808" customFormat="false" ht="15" hidden="false" customHeight="false" outlineLevel="0" collapsed="false">
      <c r="A808" s="2" t="s">
        <v>1243</v>
      </c>
      <c r="B808" s="2" t="s">
        <v>4104</v>
      </c>
      <c r="C808" s="2" t="s">
        <v>4086</v>
      </c>
      <c r="D808" s="2"/>
      <c r="E808" s="31" t="n">
        <v>62.3</v>
      </c>
      <c r="F808" s="31" t="n">
        <v>51.1</v>
      </c>
      <c r="G808" s="31" t="n">
        <v>23</v>
      </c>
      <c r="H808" s="2" t="s">
        <v>668</v>
      </c>
    </row>
    <row r="809" customFormat="false" ht="15" hidden="false" customHeight="false" outlineLevel="0" collapsed="false">
      <c r="A809" s="2" t="s">
        <v>1243</v>
      </c>
      <c r="B809" s="2" t="s">
        <v>4104</v>
      </c>
      <c r="C809" s="2" t="s">
        <v>4087</v>
      </c>
      <c r="D809" s="2"/>
      <c r="E809" s="31" t="n">
        <v>55</v>
      </c>
      <c r="F809" s="31" t="n">
        <v>83.1</v>
      </c>
      <c r="G809" s="31" t="n">
        <v>41</v>
      </c>
      <c r="H809" s="2" t="s">
        <v>668</v>
      </c>
    </row>
    <row r="810" customFormat="false" ht="15" hidden="false" customHeight="false" outlineLevel="0" collapsed="false">
      <c r="A810" s="2" t="s">
        <v>1243</v>
      </c>
      <c r="B810" s="2" t="s">
        <v>45</v>
      </c>
      <c r="C810" s="2" t="s">
        <v>4085</v>
      </c>
      <c r="D810" s="11" t="n">
        <v>130410</v>
      </c>
      <c r="E810" s="31" t="n">
        <v>37.8</v>
      </c>
      <c r="F810" s="31" t="n">
        <v>60.3</v>
      </c>
      <c r="G810" s="31" t="n">
        <v>28.5</v>
      </c>
      <c r="H810" s="2" t="s">
        <v>671</v>
      </c>
    </row>
    <row r="811" customFormat="false" ht="15" hidden="false" customHeight="false" outlineLevel="0" collapsed="false">
      <c r="A811" s="2" t="s">
        <v>1243</v>
      </c>
      <c r="B811" s="2" t="s">
        <v>45</v>
      </c>
      <c r="C811" s="2" t="s">
        <v>4086</v>
      </c>
      <c r="D811" s="11" t="n">
        <v>137830</v>
      </c>
      <c r="E811" s="31" t="n">
        <v>18.7</v>
      </c>
      <c r="F811" s="31" t="n">
        <v>60.7</v>
      </c>
      <c r="G811" s="31" t="n">
        <v>44.1</v>
      </c>
      <c r="H811" s="2" t="s">
        <v>671</v>
      </c>
    </row>
    <row r="812" customFormat="false" ht="15" hidden="false" customHeight="false" outlineLevel="0" collapsed="false">
      <c r="A812" s="2" t="s">
        <v>1243</v>
      </c>
      <c r="B812" s="2" t="s">
        <v>45</v>
      </c>
      <c r="C812" s="2" t="s">
        <v>4087</v>
      </c>
      <c r="D812" s="11" t="n">
        <v>141002</v>
      </c>
      <c r="E812" s="31" t="n">
        <v>22.6</v>
      </c>
      <c r="F812" s="31" t="n">
        <v>89.9</v>
      </c>
      <c r="G812" s="31" t="n">
        <v>46.1</v>
      </c>
      <c r="H812" s="2" t="s">
        <v>671</v>
      </c>
    </row>
    <row r="813" customFormat="false" ht="15" hidden="false" customHeight="false" outlineLevel="0" collapsed="false">
      <c r="A813" s="2" t="s">
        <v>1243</v>
      </c>
      <c r="B813" s="2" t="s">
        <v>46</v>
      </c>
      <c r="C813" s="2" t="s">
        <v>4085</v>
      </c>
      <c r="D813" s="11" t="n">
        <v>108200</v>
      </c>
      <c r="E813" s="31" t="n">
        <v>93.2</v>
      </c>
      <c r="F813" s="31" t="n">
        <v>97.4</v>
      </c>
      <c r="G813" s="31" t="n">
        <v>34.7</v>
      </c>
      <c r="H813" s="2" t="s">
        <v>671</v>
      </c>
    </row>
    <row r="814" customFormat="false" ht="15" hidden="false" customHeight="false" outlineLevel="0" collapsed="false">
      <c r="A814" s="2" t="s">
        <v>1243</v>
      </c>
      <c r="B814" s="2" t="s">
        <v>46</v>
      </c>
      <c r="C814" s="2" t="s">
        <v>4086</v>
      </c>
      <c r="D814" s="11" t="n">
        <v>115745</v>
      </c>
      <c r="E814" s="31" t="n">
        <v>92.3</v>
      </c>
      <c r="F814" s="31" t="n">
        <v>78.3</v>
      </c>
      <c r="G814" s="2"/>
      <c r="H814" s="2" t="s">
        <v>668</v>
      </c>
    </row>
    <row r="815" customFormat="false" ht="15" hidden="false" customHeight="false" outlineLevel="0" collapsed="false">
      <c r="A815" s="2" t="s">
        <v>1243</v>
      </c>
      <c r="B815" s="2" t="s">
        <v>46</v>
      </c>
      <c r="C815" s="2" t="s">
        <v>4087</v>
      </c>
      <c r="D815" s="11" t="n">
        <v>120310</v>
      </c>
      <c r="E815" s="31" t="n">
        <v>87.3</v>
      </c>
      <c r="F815" s="31" t="n">
        <v>76.2</v>
      </c>
      <c r="G815" s="31" t="n">
        <v>35.8</v>
      </c>
      <c r="H815" s="2" t="s">
        <v>671</v>
      </c>
    </row>
    <row r="816" customFormat="false" ht="15" hidden="false" customHeight="false" outlineLevel="0" collapsed="false">
      <c r="A816" s="2" t="s">
        <v>1243</v>
      </c>
      <c r="B816" s="2" t="s">
        <v>47</v>
      </c>
      <c r="C816" s="2" t="s">
        <v>4085</v>
      </c>
      <c r="D816" s="11" t="n">
        <v>242096</v>
      </c>
      <c r="E816" s="31" t="n">
        <v>83.9</v>
      </c>
      <c r="F816" s="31" t="n">
        <v>12.3</v>
      </c>
      <c r="G816" s="31" t="n">
        <v>10.8</v>
      </c>
      <c r="H816" s="2" t="s">
        <v>671</v>
      </c>
    </row>
    <row r="817" customFormat="false" ht="15" hidden="false" customHeight="false" outlineLevel="0" collapsed="false">
      <c r="A817" s="2" t="s">
        <v>1243</v>
      </c>
      <c r="B817" s="2" t="s">
        <v>47</v>
      </c>
      <c r="C817" s="2" t="s">
        <v>4086</v>
      </c>
      <c r="D817" s="11" t="n">
        <v>245184</v>
      </c>
      <c r="E817" s="31" t="n">
        <v>76</v>
      </c>
      <c r="F817" s="31" t="n">
        <v>14.3</v>
      </c>
      <c r="G817" s="31" t="n">
        <v>1.8</v>
      </c>
      <c r="H817" s="2" t="s">
        <v>671</v>
      </c>
    </row>
    <row r="818" customFormat="false" ht="15" hidden="false" customHeight="false" outlineLevel="0" collapsed="false">
      <c r="A818" s="2" t="s">
        <v>1243</v>
      </c>
      <c r="B818" s="2" t="s">
        <v>47</v>
      </c>
      <c r="C818" s="2" t="s">
        <v>4087</v>
      </c>
      <c r="D818" s="2"/>
      <c r="E818" s="2"/>
      <c r="F818" s="2"/>
      <c r="G818" s="2"/>
      <c r="H818" s="2" t="s">
        <v>668</v>
      </c>
    </row>
    <row r="819" customFormat="false" ht="15" hidden="false" customHeight="false" outlineLevel="0" collapsed="false">
      <c r="A819" s="2" t="s">
        <v>328</v>
      </c>
      <c r="B819" s="2" t="s">
        <v>4104</v>
      </c>
      <c r="C819" s="2" t="s">
        <v>4085</v>
      </c>
      <c r="D819" s="2"/>
      <c r="E819" s="31" t="n">
        <v>61</v>
      </c>
      <c r="F819" s="31" t="n">
        <v>31.8</v>
      </c>
      <c r="G819" s="31" t="n">
        <v>50.1</v>
      </c>
      <c r="H819" s="2" t="s">
        <v>671</v>
      </c>
    </row>
    <row r="820" customFormat="false" ht="15" hidden="false" customHeight="false" outlineLevel="0" collapsed="false">
      <c r="A820" s="2" t="s">
        <v>328</v>
      </c>
      <c r="B820" s="2" t="s">
        <v>4104</v>
      </c>
      <c r="C820" s="2" t="s">
        <v>4086</v>
      </c>
      <c r="D820" s="2"/>
      <c r="E820" s="31" t="n">
        <v>57.8</v>
      </c>
      <c r="F820" s="31" t="n">
        <v>36.1</v>
      </c>
      <c r="G820" s="31" t="n">
        <v>44.8</v>
      </c>
      <c r="H820" s="2" t="s">
        <v>668</v>
      </c>
    </row>
    <row r="821" customFormat="false" ht="15" hidden="false" customHeight="false" outlineLevel="0" collapsed="false">
      <c r="A821" s="2" t="s">
        <v>328</v>
      </c>
      <c r="B821" s="2" t="s">
        <v>4104</v>
      </c>
      <c r="C821" s="2" t="s">
        <v>4087</v>
      </c>
      <c r="D821" s="2"/>
      <c r="E821" s="31" t="n">
        <v>55.5</v>
      </c>
      <c r="F821" s="31" t="n">
        <v>24.5</v>
      </c>
      <c r="G821" s="31" t="n">
        <v>45</v>
      </c>
      <c r="H821" s="2" t="s">
        <v>671</v>
      </c>
    </row>
    <row r="822" customFormat="false" ht="15" hidden="false" customHeight="false" outlineLevel="0" collapsed="false">
      <c r="A822" s="2" t="s">
        <v>328</v>
      </c>
      <c r="B822" s="2" t="s">
        <v>45</v>
      </c>
      <c r="C822" s="2" t="s">
        <v>4085</v>
      </c>
      <c r="D822" s="11" t="n">
        <v>30360</v>
      </c>
      <c r="E822" s="31" t="n">
        <v>47.5</v>
      </c>
      <c r="F822" s="31" t="n">
        <v>31</v>
      </c>
      <c r="G822" s="31" t="n">
        <v>83.4</v>
      </c>
      <c r="H822" s="2" t="s">
        <v>671</v>
      </c>
    </row>
    <row r="823" customFormat="false" ht="15" hidden="false" customHeight="false" outlineLevel="0" collapsed="false">
      <c r="A823" s="2" t="s">
        <v>328</v>
      </c>
      <c r="B823" s="2" t="s">
        <v>45</v>
      </c>
      <c r="C823" s="2" t="s">
        <v>4086</v>
      </c>
      <c r="D823" s="11" t="n">
        <v>31180</v>
      </c>
      <c r="E823" s="31" t="n">
        <v>36.7</v>
      </c>
      <c r="F823" s="31" t="n">
        <v>17.5</v>
      </c>
      <c r="G823" s="2"/>
      <c r="H823" s="2" t="s">
        <v>668</v>
      </c>
    </row>
    <row r="824" customFormat="false" ht="15" hidden="false" customHeight="false" outlineLevel="0" collapsed="false">
      <c r="A824" s="2" t="s">
        <v>328</v>
      </c>
      <c r="B824" s="2" t="s">
        <v>45</v>
      </c>
      <c r="C824" s="2" t="s">
        <v>4087</v>
      </c>
      <c r="D824" s="11" t="n">
        <v>31023</v>
      </c>
      <c r="E824" s="31" t="n">
        <v>56.8</v>
      </c>
      <c r="F824" s="31" t="n">
        <v>13.9</v>
      </c>
      <c r="G824" s="31" t="n">
        <v>85.1</v>
      </c>
      <c r="H824" s="2" t="s">
        <v>671</v>
      </c>
    </row>
    <row r="825" customFormat="false" ht="15" hidden="false" customHeight="false" outlineLevel="0" collapsed="false">
      <c r="A825" s="2" t="s">
        <v>328</v>
      </c>
      <c r="B825" s="2" t="s">
        <v>46</v>
      </c>
      <c r="C825" s="2" t="s">
        <v>4085</v>
      </c>
      <c r="D825" s="11" t="n">
        <v>203130</v>
      </c>
      <c r="E825" s="31" t="n">
        <v>35.6</v>
      </c>
      <c r="F825" s="31" t="n">
        <v>48.1</v>
      </c>
      <c r="G825" s="31" t="n">
        <v>61.2</v>
      </c>
      <c r="H825" s="2" t="s">
        <v>671</v>
      </c>
    </row>
    <row r="826" customFormat="false" ht="15" hidden="false" customHeight="false" outlineLevel="0" collapsed="false">
      <c r="A826" s="2" t="s">
        <v>328</v>
      </c>
      <c r="B826" s="2" t="s">
        <v>46</v>
      </c>
      <c r="C826" s="2" t="s">
        <v>4086</v>
      </c>
      <c r="D826" s="11" t="n">
        <v>211630</v>
      </c>
      <c r="E826" s="31" t="n">
        <v>41.7</v>
      </c>
      <c r="F826" s="31" t="n">
        <v>50.3</v>
      </c>
      <c r="G826" s="31" t="n">
        <v>76.6</v>
      </c>
      <c r="H826" s="2" t="s">
        <v>671</v>
      </c>
    </row>
    <row r="827" customFormat="false" ht="15" hidden="false" customHeight="false" outlineLevel="0" collapsed="false">
      <c r="A827" s="2" t="s">
        <v>328</v>
      </c>
      <c r="B827" s="2" t="s">
        <v>46</v>
      </c>
      <c r="C827" s="2" t="s">
        <v>4087</v>
      </c>
      <c r="D827" s="11" t="n">
        <v>213890</v>
      </c>
      <c r="E827" s="31" t="n">
        <v>14.2</v>
      </c>
      <c r="F827" s="31" t="n">
        <v>35.8</v>
      </c>
      <c r="G827" s="31" t="n">
        <v>45.3</v>
      </c>
      <c r="H827" s="2" t="s">
        <v>671</v>
      </c>
    </row>
    <row r="828" customFormat="false" ht="15" hidden="false" customHeight="false" outlineLevel="0" collapsed="false">
      <c r="A828" s="2" t="s">
        <v>328</v>
      </c>
      <c r="B828" s="2" t="s">
        <v>47</v>
      </c>
      <c r="C828" s="2" t="s">
        <v>4085</v>
      </c>
      <c r="D828" s="11" t="n">
        <v>34809</v>
      </c>
      <c r="E828" s="31" t="n">
        <v>100</v>
      </c>
      <c r="F828" s="31" t="n">
        <v>16.3</v>
      </c>
      <c r="G828" s="31" t="n">
        <v>5.6</v>
      </c>
      <c r="H828" s="2" t="s">
        <v>671</v>
      </c>
    </row>
    <row r="829" customFormat="false" ht="15" hidden="false" customHeight="false" outlineLevel="0" collapsed="false">
      <c r="A829" s="2" t="s">
        <v>328</v>
      </c>
      <c r="B829" s="2" t="s">
        <v>47</v>
      </c>
      <c r="C829" s="2" t="s">
        <v>4086</v>
      </c>
      <c r="D829" s="11" t="n">
        <v>35702</v>
      </c>
      <c r="E829" s="31" t="n">
        <v>94.9</v>
      </c>
      <c r="F829" s="31" t="n">
        <v>40.6</v>
      </c>
      <c r="G829" s="31" t="n">
        <v>13.1</v>
      </c>
      <c r="H829" s="2" t="s">
        <v>671</v>
      </c>
    </row>
    <row r="830" customFormat="false" ht="15" hidden="false" customHeight="false" outlineLevel="0" collapsed="false">
      <c r="A830" s="2" t="s">
        <v>328</v>
      </c>
      <c r="B830" s="2" t="s">
        <v>47</v>
      </c>
      <c r="C830" s="2" t="s">
        <v>4087</v>
      </c>
      <c r="D830" s="11" t="n">
        <v>36512</v>
      </c>
      <c r="E830" s="31" t="n">
        <v>95.6</v>
      </c>
      <c r="F830" s="31" t="n">
        <v>23.8</v>
      </c>
      <c r="G830" s="31" t="n">
        <v>4.6</v>
      </c>
      <c r="H830" s="2" t="s">
        <v>671</v>
      </c>
    </row>
    <row r="831" customFormat="false" ht="15" hidden="false" customHeight="false" outlineLevel="0" collapsed="false">
      <c r="A831" s="2" t="s">
        <v>1981</v>
      </c>
      <c r="B831" s="2" t="s">
        <v>4104</v>
      </c>
      <c r="C831" s="2" t="s">
        <v>4085</v>
      </c>
      <c r="D831" s="2"/>
      <c r="E831" s="31" t="n">
        <v>87.2</v>
      </c>
      <c r="F831" s="31" t="n">
        <v>71.2</v>
      </c>
      <c r="G831" s="31" t="n">
        <v>56.8</v>
      </c>
      <c r="H831" s="2" t="s">
        <v>668</v>
      </c>
    </row>
    <row r="832" customFormat="false" ht="15" hidden="false" customHeight="false" outlineLevel="0" collapsed="false">
      <c r="A832" s="2" t="s">
        <v>1981</v>
      </c>
      <c r="B832" s="2" t="s">
        <v>4104</v>
      </c>
      <c r="C832" s="2" t="s">
        <v>4086</v>
      </c>
      <c r="D832" s="2"/>
      <c r="E832" s="31" t="n">
        <v>58.6</v>
      </c>
      <c r="F832" s="31" t="n">
        <v>57.3</v>
      </c>
      <c r="G832" s="31" t="n">
        <v>34.9</v>
      </c>
      <c r="H832" s="2" t="s">
        <v>668</v>
      </c>
    </row>
    <row r="833" customFormat="false" ht="15" hidden="false" customHeight="false" outlineLevel="0" collapsed="false">
      <c r="A833" s="2" t="s">
        <v>1981</v>
      </c>
      <c r="B833" s="2" t="s">
        <v>4104</v>
      </c>
      <c r="C833" s="2" t="s">
        <v>4087</v>
      </c>
      <c r="D833" s="2"/>
      <c r="E833" s="31" t="n">
        <v>58.4</v>
      </c>
      <c r="F833" s="31" t="n">
        <v>63.3</v>
      </c>
      <c r="G833" s="31" t="n">
        <v>54.5</v>
      </c>
      <c r="H833" s="2" t="s">
        <v>668</v>
      </c>
    </row>
    <row r="834" customFormat="false" ht="15" hidden="false" customHeight="false" outlineLevel="0" collapsed="false">
      <c r="A834" s="2" t="s">
        <v>1981</v>
      </c>
      <c r="B834" s="2" t="s">
        <v>45</v>
      </c>
      <c r="C834" s="2" t="s">
        <v>4085</v>
      </c>
      <c r="D834" s="11" t="n">
        <v>108089</v>
      </c>
      <c r="E834" s="31" t="n">
        <v>87.2</v>
      </c>
      <c r="F834" s="31" t="n">
        <v>71.2</v>
      </c>
      <c r="G834" s="31" t="n">
        <v>56.8</v>
      </c>
      <c r="H834" s="2" t="s">
        <v>671</v>
      </c>
    </row>
    <row r="835" customFormat="false" ht="15" hidden="false" customHeight="false" outlineLevel="0" collapsed="false">
      <c r="A835" s="2" t="s">
        <v>1981</v>
      </c>
      <c r="B835" s="2" t="s">
        <v>45</v>
      </c>
      <c r="C835" s="2" t="s">
        <v>4086</v>
      </c>
      <c r="D835" s="11" t="n">
        <v>112630</v>
      </c>
      <c r="E835" s="2"/>
      <c r="F835" s="31" t="n">
        <v>47.9</v>
      </c>
      <c r="G835" s="31" t="n">
        <v>60.8</v>
      </c>
      <c r="H835" s="2" t="s">
        <v>668</v>
      </c>
    </row>
    <row r="836" customFormat="false" ht="15" hidden="false" customHeight="false" outlineLevel="0" collapsed="false">
      <c r="A836" s="2" t="s">
        <v>1981</v>
      </c>
      <c r="B836" s="2" t="s">
        <v>45</v>
      </c>
      <c r="C836" s="2" t="s">
        <v>4087</v>
      </c>
      <c r="D836" s="11" t="n">
        <v>117212</v>
      </c>
      <c r="E836" s="31" t="n">
        <v>63.9</v>
      </c>
      <c r="F836" s="31" t="n">
        <v>60.9</v>
      </c>
      <c r="G836" s="2"/>
      <c r="H836" s="2" t="s">
        <v>668</v>
      </c>
    </row>
    <row r="837" customFormat="false" ht="15" hidden="false" customHeight="false" outlineLevel="0" collapsed="false">
      <c r="A837" s="2" t="s">
        <v>1981</v>
      </c>
      <c r="B837" s="2" t="s">
        <v>46</v>
      </c>
      <c r="C837" s="2" t="s">
        <v>4085</v>
      </c>
      <c r="D837" s="2"/>
      <c r="E837" s="2"/>
      <c r="F837" s="2"/>
      <c r="G837" s="2"/>
      <c r="H837" s="2" t="s">
        <v>668</v>
      </c>
    </row>
    <row r="838" customFormat="false" ht="15" hidden="false" customHeight="false" outlineLevel="0" collapsed="false">
      <c r="A838" s="2" t="s">
        <v>1981</v>
      </c>
      <c r="B838" s="2" t="s">
        <v>46</v>
      </c>
      <c r="C838" s="2" t="s">
        <v>4086</v>
      </c>
      <c r="D838" s="11" t="n">
        <v>555680</v>
      </c>
      <c r="E838" s="31" t="n">
        <v>19.4</v>
      </c>
      <c r="F838" s="31" t="n">
        <v>91.1</v>
      </c>
      <c r="G838" s="31" t="n">
        <v>9.1</v>
      </c>
      <c r="H838" s="2" t="s">
        <v>671</v>
      </c>
    </row>
    <row r="839" customFormat="false" ht="15" hidden="false" customHeight="false" outlineLevel="0" collapsed="false">
      <c r="A839" s="2" t="s">
        <v>1981</v>
      </c>
      <c r="B839" s="2" t="s">
        <v>46</v>
      </c>
      <c r="C839" s="2" t="s">
        <v>4087</v>
      </c>
      <c r="D839" s="11" t="n">
        <v>565300</v>
      </c>
      <c r="E839" s="31" t="n">
        <v>13.7</v>
      </c>
      <c r="F839" s="31" t="n">
        <v>95.4</v>
      </c>
      <c r="G839" s="2"/>
      <c r="H839" s="2" t="s">
        <v>668</v>
      </c>
    </row>
    <row r="840" customFormat="false" ht="15" hidden="false" customHeight="false" outlineLevel="0" collapsed="false">
      <c r="A840" s="2" t="s">
        <v>1981</v>
      </c>
      <c r="B840" s="2" t="s">
        <v>47</v>
      </c>
      <c r="C840" s="2" t="s">
        <v>4085</v>
      </c>
      <c r="D840" s="2"/>
      <c r="E840" s="2"/>
      <c r="F840" s="2"/>
      <c r="G840" s="2"/>
      <c r="H840" s="2" t="s">
        <v>668</v>
      </c>
    </row>
    <row r="841" customFormat="false" ht="15" hidden="false" customHeight="false" outlineLevel="0" collapsed="false">
      <c r="A841" s="2" t="s">
        <v>1981</v>
      </c>
      <c r="B841" s="2" t="s">
        <v>47</v>
      </c>
      <c r="C841" s="2" t="s">
        <v>4086</v>
      </c>
      <c r="D841" s="11" t="n">
        <v>142140</v>
      </c>
      <c r="E841" s="31" t="n">
        <v>97.9</v>
      </c>
      <c r="F841" s="31" t="n">
        <v>32.9</v>
      </c>
      <c r="G841" s="2"/>
      <c r="H841" s="2" t="s">
        <v>668</v>
      </c>
    </row>
    <row r="842" customFormat="false" ht="15" hidden="false" customHeight="false" outlineLevel="0" collapsed="false">
      <c r="A842" s="2" t="s">
        <v>1981</v>
      </c>
      <c r="B842" s="2" t="s">
        <v>47</v>
      </c>
      <c r="C842" s="2" t="s">
        <v>4087</v>
      </c>
      <c r="D842" s="11" t="n">
        <v>141580</v>
      </c>
      <c r="E842" s="31" t="n">
        <v>97.5</v>
      </c>
      <c r="F842" s="31" t="n">
        <v>33.7</v>
      </c>
      <c r="G842" s="31" t="n">
        <v>54.5</v>
      </c>
      <c r="H842" s="2" t="s">
        <v>671</v>
      </c>
    </row>
    <row r="843" customFormat="false" ht="15" hidden="false" customHeight="false" outlineLevel="0" collapsed="false">
      <c r="A843" s="2" t="s">
        <v>426</v>
      </c>
      <c r="B843" s="2" t="s">
        <v>4104</v>
      </c>
      <c r="C843" s="2" t="s">
        <v>4085</v>
      </c>
      <c r="D843" s="2"/>
      <c r="E843" s="31" t="n">
        <v>27</v>
      </c>
      <c r="F843" s="31" t="n">
        <v>98.2</v>
      </c>
      <c r="G843" s="31" t="n">
        <v>83.8</v>
      </c>
      <c r="H843" s="2" t="s">
        <v>668</v>
      </c>
    </row>
    <row r="844" customFormat="false" ht="15" hidden="false" customHeight="false" outlineLevel="0" collapsed="false">
      <c r="A844" s="2" t="s">
        <v>426</v>
      </c>
      <c r="B844" s="2" t="s">
        <v>4104</v>
      </c>
      <c r="C844" s="2" t="s">
        <v>4086</v>
      </c>
      <c r="D844" s="2"/>
      <c r="E844" s="31" t="n">
        <v>37.3</v>
      </c>
      <c r="F844" s="31" t="n">
        <v>90.6</v>
      </c>
      <c r="G844" s="31" t="n">
        <v>66.2</v>
      </c>
      <c r="H844" s="2" t="s">
        <v>668</v>
      </c>
    </row>
    <row r="845" customFormat="false" ht="15" hidden="false" customHeight="false" outlineLevel="0" collapsed="false">
      <c r="A845" s="2" t="s">
        <v>426</v>
      </c>
      <c r="B845" s="2" t="s">
        <v>4104</v>
      </c>
      <c r="C845" s="2" t="s">
        <v>4087</v>
      </c>
      <c r="D845" s="2"/>
      <c r="E845" s="31" t="n">
        <v>43.7</v>
      </c>
      <c r="F845" s="31" t="n">
        <v>65.1</v>
      </c>
      <c r="G845" s="31" t="n">
        <v>45.5</v>
      </c>
      <c r="H845" s="2" t="s">
        <v>671</v>
      </c>
    </row>
    <row r="846" customFormat="false" ht="15" hidden="false" customHeight="false" outlineLevel="0" collapsed="false">
      <c r="A846" s="2" t="s">
        <v>426</v>
      </c>
      <c r="B846" s="2" t="s">
        <v>45</v>
      </c>
      <c r="C846" s="2" t="s">
        <v>4085</v>
      </c>
      <c r="D846" s="2"/>
      <c r="E846" s="2"/>
      <c r="F846" s="2"/>
      <c r="G846" s="2"/>
      <c r="H846" s="2" t="s">
        <v>668</v>
      </c>
    </row>
    <row r="847" customFormat="false" ht="15" hidden="false" customHeight="false" outlineLevel="0" collapsed="false">
      <c r="A847" s="2" t="s">
        <v>426</v>
      </c>
      <c r="B847" s="2" t="s">
        <v>45</v>
      </c>
      <c r="C847" s="2" t="s">
        <v>4086</v>
      </c>
      <c r="D847" s="2"/>
      <c r="E847" s="2"/>
      <c r="F847" s="2"/>
      <c r="G847" s="31" t="n">
        <v>43.1</v>
      </c>
      <c r="H847" s="2" t="s">
        <v>668</v>
      </c>
    </row>
    <row r="848" customFormat="false" ht="15" hidden="false" customHeight="false" outlineLevel="0" collapsed="false">
      <c r="A848" s="2" t="s">
        <v>426</v>
      </c>
      <c r="B848" s="2" t="s">
        <v>45</v>
      </c>
      <c r="C848" s="2" t="s">
        <v>4087</v>
      </c>
      <c r="D848" s="11" t="n">
        <v>35430</v>
      </c>
      <c r="E848" s="31" t="n">
        <v>48.3</v>
      </c>
      <c r="F848" s="31" t="n">
        <v>38.5</v>
      </c>
      <c r="G848" s="31" t="n">
        <v>13.5</v>
      </c>
      <c r="H848" s="2" t="s">
        <v>671</v>
      </c>
    </row>
    <row r="849" customFormat="false" ht="15" hidden="false" customHeight="false" outlineLevel="0" collapsed="false">
      <c r="A849" s="2" t="s">
        <v>426</v>
      </c>
      <c r="B849" s="2" t="s">
        <v>46</v>
      </c>
      <c r="C849" s="2" t="s">
        <v>4085</v>
      </c>
      <c r="D849" s="11" t="n">
        <v>5460</v>
      </c>
      <c r="E849" s="31" t="n">
        <v>27</v>
      </c>
      <c r="F849" s="31" t="n">
        <v>98.2</v>
      </c>
      <c r="G849" s="31" t="n">
        <v>83.8</v>
      </c>
      <c r="H849" s="2" t="s">
        <v>671</v>
      </c>
    </row>
    <row r="850" customFormat="false" ht="15" hidden="false" customHeight="false" outlineLevel="0" collapsed="false">
      <c r="A850" s="2" t="s">
        <v>426</v>
      </c>
      <c r="B850" s="2" t="s">
        <v>46</v>
      </c>
      <c r="C850" s="2" t="s">
        <v>4086</v>
      </c>
      <c r="D850" s="11" t="n">
        <v>6050</v>
      </c>
      <c r="E850" s="31" t="n">
        <v>37.3</v>
      </c>
      <c r="F850" s="31" t="n">
        <v>90.6</v>
      </c>
      <c r="G850" s="31" t="n">
        <v>89.2</v>
      </c>
      <c r="H850" s="2" t="s">
        <v>671</v>
      </c>
    </row>
    <row r="851" customFormat="false" ht="15" hidden="false" customHeight="false" outlineLevel="0" collapsed="false">
      <c r="A851" s="2" t="s">
        <v>426</v>
      </c>
      <c r="B851" s="2" t="s">
        <v>46</v>
      </c>
      <c r="C851" s="2" t="s">
        <v>4087</v>
      </c>
      <c r="D851" s="11" t="n">
        <v>6340</v>
      </c>
      <c r="E851" s="31" t="n">
        <v>39.1</v>
      </c>
      <c r="F851" s="31" t="n">
        <v>91.7</v>
      </c>
      <c r="G851" s="31" t="n">
        <v>77.5</v>
      </c>
      <c r="H851" s="2" t="s">
        <v>671</v>
      </c>
    </row>
    <row r="852" customFormat="false" ht="15" hidden="false" customHeight="false" outlineLevel="0" collapsed="false">
      <c r="A852" s="2" t="s">
        <v>584</v>
      </c>
      <c r="B852" s="2" t="s">
        <v>4104</v>
      </c>
      <c r="C852" s="2" t="s">
        <v>4085</v>
      </c>
      <c r="D852" s="2"/>
      <c r="E852" s="31" t="n">
        <v>65</v>
      </c>
      <c r="F852" s="31" t="n">
        <v>46.2</v>
      </c>
      <c r="G852" s="31" t="n">
        <v>81.3</v>
      </c>
      <c r="H852" s="2" t="s">
        <v>671</v>
      </c>
    </row>
    <row r="853" customFormat="false" ht="15" hidden="false" customHeight="false" outlineLevel="0" collapsed="false">
      <c r="A853" s="2" t="s">
        <v>584</v>
      </c>
      <c r="B853" s="2" t="s">
        <v>4104</v>
      </c>
      <c r="C853" s="2" t="s">
        <v>4086</v>
      </c>
      <c r="D853" s="2"/>
      <c r="E853" s="2"/>
      <c r="F853" s="31" t="n">
        <v>60.5</v>
      </c>
      <c r="G853" s="2"/>
      <c r="H853" s="2" t="s">
        <v>668</v>
      </c>
    </row>
    <row r="854" customFormat="false" ht="15" hidden="false" customHeight="false" outlineLevel="0" collapsed="false">
      <c r="A854" s="2" t="s">
        <v>584</v>
      </c>
      <c r="B854" s="2" t="s">
        <v>4104</v>
      </c>
      <c r="C854" s="2" t="s">
        <v>4087</v>
      </c>
      <c r="D854" s="2"/>
      <c r="E854" s="31" t="n">
        <v>23</v>
      </c>
      <c r="F854" s="31" t="n">
        <v>49.7</v>
      </c>
      <c r="G854" s="31" t="n">
        <v>72.3</v>
      </c>
      <c r="H854" s="2" t="s">
        <v>671</v>
      </c>
    </row>
    <row r="855" customFormat="false" ht="15" hidden="false" customHeight="false" outlineLevel="0" collapsed="false">
      <c r="A855" s="2" t="s">
        <v>584</v>
      </c>
      <c r="B855" s="2" t="s">
        <v>46</v>
      </c>
      <c r="C855" s="2" t="s">
        <v>4085</v>
      </c>
      <c r="D855" s="11" t="n">
        <v>160010</v>
      </c>
      <c r="E855" s="31" t="n">
        <v>65</v>
      </c>
      <c r="F855" s="31" t="n">
        <v>46.2</v>
      </c>
      <c r="G855" s="31" t="n">
        <v>81.3</v>
      </c>
      <c r="H855" s="2" t="s">
        <v>671</v>
      </c>
    </row>
    <row r="856" customFormat="false" ht="15" hidden="false" customHeight="false" outlineLevel="0" collapsed="false">
      <c r="A856" s="2" t="s">
        <v>584</v>
      </c>
      <c r="B856" s="2" t="s">
        <v>46</v>
      </c>
      <c r="C856" s="2" t="s">
        <v>4086</v>
      </c>
      <c r="D856" s="11" t="n">
        <v>159653</v>
      </c>
      <c r="E856" s="2"/>
      <c r="F856" s="31" t="n">
        <v>60.5</v>
      </c>
      <c r="G856" s="2"/>
      <c r="H856" s="2" t="s">
        <v>668</v>
      </c>
    </row>
    <row r="857" customFormat="false" ht="15" hidden="false" customHeight="false" outlineLevel="0" collapsed="false">
      <c r="A857" s="2" t="s">
        <v>584</v>
      </c>
      <c r="B857" s="2" t="s">
        <v>46</v>
      </c>
      <c r="C857" s="2" t="s">
        <v>4087</v>
      </c>
      <c r="D857" s="11" t="n">
        <v>168708</v>
      </c>
      <c r="E857" s="31" t="n">
        <v>23</v>
      </c>
      <c r="F857" s="31" t="n">
        <v>49.7</v>
      </c>
      <c r="G857" s="31" t="n">
        <v>72.3</v>
      </c>
      <c r="H857" s="2" t="s">
        <v>671</v>
      </c>
    </row>
    <row r="858" customFormat="false" ht="15" hidden="false" customHeight="false" outlineLevel="0" collapsed="false">
      <c r="A858" s="2" t="s">
        <v>406</v>
      </c>
      <c r="B858" s="2" t="s">
        <v>4104</v>
      </c>
      <c r="C858" s="2" t="s">
        <v>4085</v>
      </c>
      <c r="D858" s="2"/>
      <c r="E858" s="31" t="n">
        <v>36.8</v>
      </c>
      <c r="F858" s="31" t="n">
        <v>59.9</v>
      </c>
      <c r="G858" s="31" t="n">
        <v>14.6</v>
      </c>
      <c r="H858" s="2" t="s">
        <v>671</v>
      </c>
    </row>
    <row r="859" customFormat="false" ht="15" hidden="false" customHeight="false" outlineLevel="0" collapsed="false">
      <c r="A859" s="2" t="s">
        <v>406</v>
      </c>
      <c r="B859" s="2" t="s">
        <v>4104</v>
      </c>
      <c r="C859" s="2" t="s">
        <v>4086</v>
      </c>
      <c r="D859" s="2"/>
      <c r="E859" s="31" t="n">
        <v>44.6</v>
      </c>
      <c r="F859" s="31" t="n">
        <v>85.4</v>
      </c>
      <c r="G859" s="31" t="n">
        <v>22.7</v>
      </c>
      <c r="H859" s="2" t="s">
        <v>668</v>
      </c>
    </row>
    <row r="860" customFormat="false" ht="15" hidden="false" customHeight="false" outlineLevel="0" collapsed="false">
      <c r="A860" s="2" t="s">
        <v>406</v>
      </c>
      <c r="B860" s="2" t="s">
        <v>4104</v>
      </c>
      <c r="C860" s="2" t="s">
        <v>4087</v>
      </c>
      <c r="D860" s="2"/>
      <c r="E860" s="31" t="n">
        <v>46.2</v>
      </c>
      <c r="F860" s="31" t="n">
        <v>55.4</v>
      </c>
      <c r="G860" s="31" t="n">
        <v>39.4</v>
      </c>
      <c r="H860" s="2" t="s">
        <v>671</v>
      </c>
    </row>
    <row r="861" customFormat="false" ht="15" hidden="false" customHeight="false" outlineLevel="0" collapsed="false">
      <c r="A861" s="2" t="s">
        <v>406</v>
      </c>
      <c r="B861" s="2" t="s">
        <v>45</v>
      </c>
      <c r="C861" s="2" t="s">
        <v>4085</v>
      </c>
      <c r="D861" s="11" t="n">
        <v>14150</v>
      </c>
      <c r="E861" s="31" t="n">
        <v>3</v>
      </c>
      <c r="F861" s="31" t="n">
        <v>4.7</v>
      </c>
      <c r="G861" s="31" t="n">
        <v>28.3</v>
      </c>
      <c r="H861" s="2" t="s">
        <v>671</v>
      </c>
    </row>
    <row r="862" customFormat="false" ht="15" hidden="false" customHeight="false" outlineLevel="0" collapsed="false">
      <c r="A862" s="2" t="s">
        <v>406</v>
      </c>
      <c r="B862" s="2" t="s">
        <v>45</v>
      </c>
      <c r="C862" s="2" t="s">
        <v>4086</v>
      </c>
      <c r="D862" s="11" t="n">
        <v>14580</v>
      </c>
      <c r="E862" s="31" t="n">
        <v>9.6</v>
      </c>
      <c r="F862" s="2"/>
      <c r="G862" s="31" t="n">
        <v>29.8</v>
      </c>
      <c r="H862" s="2" t="s">
        <v>668</v>
      </c>
    </row>
    <row r="863" customFormat="false" ht="15" hidden="false" customHeight="false" outlineLevel="0" collapsed="false">
      <c r="A863" s="2" t="s">
        <v>406</v>
      </c>
      <c r="B863" s="2" t="s">
        <v>45</v>
      </c>
      <c r="C863" s="2" t="s">
        <v>4087</v>
      </c>
      <c r="D863" s="11" t="n">
        <v>14248</v>
      </c>
      <c r="E863" s="31" t="n">
        <v>5.3</v>
      </c>
      <c r="F863" s="31" t="n">
        <v>2.8</v>
      </c>
      <c r="G863" s="31" t="n">
        <v>65.5</v>
      </c>
      <c r="H863" s="2" t="s">
        <v>671</v>
      </c>
    </row>
    <row r="864" customFormat="false" ht="15" hidden="false" customHeight="false" outlineLevel="0" collapsed="false">
      <c r="A864" s="2" t="s">
        <v>406</v>
      </c>
      <c r="B864" s="2" t="s">
        <v>46</v>
      </c>
      <c r="C864" s="2" t="s">
        <v>4085</v>
      </c>
      <c r="D864" s="11" t="n">
        <v>72916</v>
      </c>
      <c r="E864" s="31" t="n">
        <v>42.9</v>
      </c>
      <c r="F864" s="31" t="n">
        <v>93.3</v>
      </c>
      <c r="G864" s="31" t="n">
        <v>2.7</v>
      </c>
      <c r="H864" s="2" t="s">
        <v>671</v>
      </c>
    </row>
    <row r="865" customFormat="false" ht="15" hidden="false" customHeight="false" outlineLevel="0" collapsed="false">
      <c r="A865" s="2" t="s">
        <v>406</v>
      </c>
      <c r="B865" s="2" t="s">
        <v>46</v>
      </c>
      <c r="C865" s="2" t="s">
        <v>4086</v>
      </c>
      <c r="D865" s="11" t="n">
        <v>76780</v>
      </c>
      <c r="E865" s="31" t="n">
        <v>77.6</v>
      </c>
      <c r="F865" s="31" t="n">
        <v>86.2</v>
      </c>
      <c r="G865" s="31" t="n">
        <v>26.9</v>
      </c>
      <c r="H865" s="2" t="s">
        <v>671</v>
      </c>
    </row>
    <row r="866" customFormat="false" ht="15" hidden="false" customHeight="false" outlineLevel="0" collapsed="false">
      <c r="A866" s="2" t="s">
        <v>406</v>
      </c>
      <c r="B866" s="2" t="s">
        <v>46</v>
      </c>
      <c r="C866" s="2" t="s">
        <v>4087</v>
      </c>
      <c r="D866" s="11" t="n">
        <v>81620</v>
      </c>
      <c r="E866" s="31" t="n">
        <v>77</v>
      </c>
      <c r="F866" s="31" t="n">
        <v>80.9</v>
      </c>
      <c r="G866" s="31" t="n">
        <v>28</v>
      </c>
      <c r="H866" s="2" t="s">
        <v>671</v>
      </c>
    </row>
    <row r="867" customFormat="false" ht="15" hidden="false" customHeight="false" outlineLevel="0" collapsed="false">
      <c r="A867" s="2" t="s">
        <v>406</v>
      </c>
      <c r="B867" s="2" t="s">
        <v>47</v>
      </c>
      <c r="C867" s="2" t="s">
        <v>4085</v>
      </c>
      <c r="D867" s="11" t="n">
        <v>44179</v>
      </c>
      <c r="E867" s="31" t="n">
        <v>64.5</v>
      </c>
      <c r="F867" s="31" t="n">
        <v>81.7</v>
      </c>
      <c r="G867" s="31" t="n">
        <v>12.9</v>
      </c>
      <c r="H867" s="2" t="s">
        <v>671</v>
      </c>
    </row>
    <row r="868" customFormat="false" ht="15" hidden="false" customHeight="false" outlineLevel="0" collapsed="false">
      <c r="A868" s="2" t="s">
        <v>406</v>
      </c>
      <c r="B868" s="2" t="s">
        <v>47</v>
      </c>
      <c r="C868" s="2" t="s">
        <v>4086</v>
      </c>
      <c r="D868" s="11" t="n">
        <v>45850</v>
      </c>
      <c r="E868" s="31" t="n">
        <v>46.6</v>
      </c>
      <c r="F868" s="31" t="n">
        <v>84.7</v>
      </c>
      <c r="G868" s="31" t="n">
        <v>11.5</v>
      </c>
      <c r="H868" s="2" t="s">
        <v>671</v>
      </c>
    </row>
    <row r="869" customFormat="false" ht="15" hidden="false" customHeight="false" outlineLevel="0" collapsed="false">
      <c r="A869" s="2" t="s">
        <v>406</v>
      </c>
      <c r="B869" s="2" t="s">
        <v>47</v>
      </c>
      <c r="C869" s="2" t="s">
        <v>4087</v>
      </c>
      <c r="D869" s="11" t="n">
        <v>46852</v>
      </c>
      <c r="E869" s="31" t="n">
        <v>56.3</v>
      </c>
      <c r="F869" s="31" t="n">
        <v>82.6</v>
      </c>
      <c r="G869" s="31" t="n">
        <v>24.6</v>
      </c>
      <c r="H869" s="2" t="s">
        <v>671</v>
      </c>
    </row>
    <row r="870" customFormat="false" ht="15" hidden="false" customHeight="false" outlineLevel="0" collapsed="false">
      <c r="A870" s="2" t="s">
        <v>1875</v>
      </c>
      <c r="B870" s="2" t="s">
        <v>4104</v>
      </c>
      <c r="C870" s="2" t="s">
        <v>4085</v>
      </c>
      <c r="D870" s="2"/>
      <c r="E870" s="31" t="n">
        <v>27.7</v>
      </c>
      <c r="F870" s="31" t="n">
        <v>6.4</v>
      </c>
      <c r="G870" s="31" t="n">
        <v>26</v>
      </c>
      <c r="H870" s="2" t="s">
        <v>668</v>
      </c>
    </row>
    <row r="871" customFormat="false" ht="15" hidden="false" customHeight="false" outlineLevel="0" collapsed="false">
      <c r="A871" s="2" t="s">
        <v>1875</v>
      </c>
      <c r="B871" s="2" t="s">
        <v>4104</v>
      </c>
      <c r="C871" s="2" t="s">
        <v>4086</v>
      </c>
      <c r="D871" s="2"/>
      <c r="E871" s="31" t="n">
        <v>34.7</v>
      </c>
      <c r="F871" s="31" t="n">
        <v>28.4</v>
      </c>
      <c r="G871" s="31" t="n">
        <v>4.2</v>
      </c>
      <c r="H871" s="2" t="s">
        <v>668</v>
      </c>
    </row>
    <row r="872" customFormat="false" ht="15" hidden="false" customHeight="false" outlineLevel="0" collapsed="false">
      <c r="A872" s="2" t="s">
        <v>1875</v>
      </c>
      <c r="B872" s="2" t="s">
        <v>4104</v>
      </c>
      <c r="C872" s="2" t="s">
        <v>4087</v>
      </c>
      <c r="D872" s="2"/>
      <c r="E872" s="31" t="n">
        <v>39.4</v>
      </c>
      <c r="F872" s="31" t="n">
        <v>31.5</v>
      </c>
      <c r="G872" s="31" t="n">
        <v>1.6</v>
      </c>
      <c r="H872" s="2" t="s">
        <v>668</v>
      </c>
    </row>
    <row r="873" customFormat="false" ht="15" hidden="false" customHeight="false" outlineLevel="0" collapsed="false">
      <c r="A873" s="2" t="s">
        <v>1875</v>
      </c>
      <c r="B873" s="2" t="s">
        <v>45</v>
      </c>
      <c r="C873" s="2" t="s">
        <v>4085</v>
      </c>
      <c r="D873" s="11" t="n">
        <v>3100</v>
      </c>
      <c r="E873" s="31" t="n">
        <v>53.1</v>
      </c>
      <c r="F873" s="2"/>
      <c r="G873" s="2"/>
      <c r="H873" s="2" t="s">
        <v>668</v>
      </c>
    </row>
    <row r="874" customFormat="false" ht="15" hidden="false" customHeight="false" outlineLevel="0" collapsed="false">
      <c r="A874" s="2" t="s">
        <v>1875</v>
      </c>
      <c r="B874" s="2" t="s">
        <v>45</v>
      </c>
      <c r="C874" s="2" t="s">
        <v>4086</v>
      </c>
      <c r="D874" s="11" t="n">
        <v>3222</v>
      </c>
      <c r="E874" s="31" t="n">
        <v>66.5</v>
      </c>
      <c r="F874" s="31" t="n">
        <v>46.5</v>
      </c>
      <c r="G874" s="2"/>
      <c r="H874" s="2" t="s">
        <v>668</v>
      </c>
    </row>
    <row r="875" customFormat="false" ht="15" hidden="false" customHeight="false" outlineLevel="0" collapsed="false">
      <c r="A875" s="2" t="s">
        <v>1875</v>
      </c>
      <c r="B875" s="2" t="s">
        <v>45</v>
      </c>
      <c r="C875" s="2" t="s">
        <v>4087</v>
      </c>
      <c r="D875" s="11" t="n">
        <v>3279</v>
      </c>
      <c r="E875" s="31" t="n">
        <v>61.8</v>
      </c>
      <c r="F875" s="31" t="n">
        <v>59.3</v>
      </c>
      <c r="G875" s="2"/>
      <c r="H875" s="2" t="s">
        <v>668</v>
      </c>
    </row>
    <row r="876" customFormat="false" ht="15" hidden="false" customHeight="false" outlineLevel="0" collapsed="false">
      <c r="A876" s="2" t="s">
        <v>1875</v>
      </c>
      <c r="B876" s="2" t="s">
        <v>46</v>
      </c>
      <c r="C876" s="2" t="s">
        <v>4085</v>
      </c>
      <c r="D876" s="11" t="n">
        <v>59320</v>
      </c>
      <c r="E876" s="31" t="n">
        <v>2.3</v>
      </c>
      <c r="F876" s="31" t="n">
        <v>6.4</v>
      </c>
      <c r="G876" s="31" t="n">
        <v>26</v>
      </c>
      <c r="H876" s="2" t="s">
        <v>671</v>
      </c>
    </row>
    <row r="877" customFormat="false" ht="15" hidden="false" customHeight="false" outlineLevel="0" collapsed="false">
      <c r="A877" s="2" t="s">
        <v>1875</v>
      </c>
      <c r="B877" s="2" t="s">
        <v>46</v>
      </c>
      <c r="C877" s="2" t="s">
        <v>4086</v>
      </c>
      <c r="D877" s="11" t="n">
        <v>58500</v>
      </c>
      <c r="E877" s="31" t="n">
        <v>2.9</v>
      </c>
      <c r="F877" s="31" t="n">
        <v>10.2</v>
      </c>
      <c r="G877" s="31" t="n">
        <v>4.2</v>
      </c>
      <c r="H877" s="2" t="s">
        <v>671</v>
      </c>
    </row>
    <row r="878" customFormat="false" ht="15" hidden="false" customHeight="false" outlineLevel="0" collapsed="false">
      <c r="A878" s="2" t="s">
        <v>1875</v>
      </c>
      <c r="B878" s="2" t="s">
        <v>46</v>
      </c>
      <c r="C878" s="2" t="s">
        <v>4087</v>
      </c>
      <c r="D878" s="11" t="n">
        <v>59790</v>
      </c>
      <c r="E878" s="31" t="n">
        <v>17.1</v>
      </c>
      <c r="F878" s="31" t="n">
        <v>3.7</v>
      </c>
      <c r="G878" s="31" t="n">
        <v>1.6</v>
      </c>
      <c r="H878" s="2" t="s">
        <v>671</v>
      </c>
    </row>
    <row r="879" customFormat="false" ht="15" hidden="false" customHeight="false" outlineLevel="0" collapsed="false">
      <c r="A879" s="2" t="s">
        <v>2764</v>
      </c>
      <c r="B879" s="2" t="s">
        <v>4104</v>
      </c>
      <c r="C879" s="2" t="s">
        <v>4085</v>
      </c>
      <c r="D879" s="2"/>
      <c r="E879" s="31" t="n">
        <v>29.2</v>
      </c>
      <c r="F879" s="31" t="n">
        <v>78</v>
      </c>
      <c r="G879" s="31" t="n">
        <v>68.6</v>
      </c>
      <c r="H879" s="2" t="s">
        <v>668</v>
      </c>
    </row>
    <row r="880" customFormat="false" ht="15" hidden="false" customHeight="false" outlineLevel="0" collapsed="false">
      <c r="A880" s="2" t="s">
        <v>2764</v>
      </c>
      <c r="B880" s="2" t="s">
        <v>4104</v>
      </c>
      <c r="C880" s="2" t="s">
        <v>4086</v>
      </c>
      <c r="D880" s="2"/>
      <c r="E880" s="31" t="n">
        <v>45.5</v>
      </c>
      <c r="F880" s="31" t="n">
        <v>46.3</v>
      </c>
      <c r="G880" s="31" t="n">
        <v>43.6</v>
      </c>
      <c r="H880" s="2" t="s">
        <v>668</v>
      </c>
    </row>
    <row r="881" customFormat="false" ht="15" hidden="false" customHeight="false" outlineLevel="0" collapsed="false">
      <c r="A881" s="2" t="s">
        <v>2764</v>
      </c>
      <c r="B881" s="2" t="s">
        <v>4104</v>
      </c>
      <c r="C881" s="2" t="s">
        <v>4087</v>
      </c>
      <c r="D881" s="2"/>
      <c r="E881" s="31" t="n">
        <v>33.8</v>
      </c>
      <c r="F881" s="31" t="n">
        <v>87.7</v>
      </c>
      <c r="G881" s="31" t="n">
        <v>63.7</v>
      </c>
      <c r="H881" s="2" t="s">
        <v>668</v>
      </c>
    </row>
    <row r="882" customFormat="false" ht="15" hidden="false" customHeight="false" outlineLevel="0" collapsed="false">
      <c r="A882" s="2" t="s">
        <v>2764</v>
      </c>
      <c r="B882" s="2" t="s">
        <v>45</v>
      </c>
      <c r="C882" s="2" t="s">
        <v>4085</v>
      </c>
      <c r="D882" s="11" t="n">
        <v>44740</v>
      </c>
      <c r="E882" s="31" t="n">
        <v>27.2</v>
      </c>
      <c r="F882" s="31" t="n">
        <v>92.7</v>
      </c>
      <c r="G882" s="31" t="n">
        <v>43.4</v>
      </c>
      <c r="H882" s="2" t="s">
        <v>671</v>
      </c>
    </row>
    <row r="883" customFormat="false" ht="15" hidden="false" customHeight="false" outlineLevel="0" collapsed="false">
      <c r="A883" s="2" t="s">
        <v>2764</v>
      </c>
      <c r="B883" s="2" t="s">
        <v>45</v>
      </c>
      <c r="C883" s="2" t="s">
        <v>4086</v>
      </c>
      <c r="D883" s="11" t="n">
        <v>46845</v>
      </c>
      <c r="E883" s="31" t="n">
        <v>26.1</v>
      </c>
      <c r="F883" s="31" t="n">
        <v>78.4</v>
      </c>
      <c r="G883" s="2"/>
      <c r="H883" s="2" t="s">
        <v>668</v>
      </c>
    </row>
    <row r="884" customFormat="false" ht="15" hidden="false" customHeight="false" outlineLevel="0" collapsed="false">
      <c r="A884" s="2" t="s">
        <v>2764</v>
      </c>
      <c r="B884" s="2" t="s">
        <v>45</v>
      </c>
      <c r="C884" s="2" t="s">
        <v>4087</v>
      </c>
      <c r="D884" s="11" t="n">
        <v>51090</v>
      </c>
      <c r="E884" s="31" t="n">
        <v>33.8</v>
      </c>
      <c r="F884" s="31" t="n">
        <v>87.7</v>
      </c>
      <c r="G884" s="2"/>
      <c r="H884" s="2" t="s">
        <v>668</v>
      </c>
    </row>
    <row r="885" customFormat="false" ht="15" hidden="false" customHeight="false" outlineLevel="0" collapsed="false">
      <c r="A885" s="2" t="s">
        <v>2764</v>
      </c>
      <c r="B885" s="2" t="s">
        <v>46</v>
      </c>
      <c r="C885" s="2" t="s">
        <v>4085</v>
      </c>
      <c r="D885" s="2"/>
      <c r="E885" s="2"/>
      <c r="F885" s="2"/>
      <c r="G885" s="2"/>
      <c r="H885" s="2" t="s">
        <v>668</v>
      </c>
    </row>
    <row r="886" customFormat="false" ht="15" hidden="false" customHeight="false" outlineLevel="0" collapsed="false">
      <c r="A886" s="2" t="s">
        <v>2764</v>
      </c>
      <c r="B886" s="2" t="s">
        <v>46</v>
      </c>
      <c r="C886" s="2" t="s">
        <v>4086</v>
      </c>
      <c r="D886" s="11" t="n">
        <v>978930</v>
      </c>
      <c r="E886" s="31" t="n">
        <v>73.9</v>
      </c>
      <c r="F886" s="31" t="n">
        <v>51.6</v>
      </c>
      <c r="G886" s="31" t="n">
        <v>5.7</v>
      </c>
      <c r="H886" s="2" t="s">
        <v>671</v>
      </c>
    </row>
    <row r="887" customFormat="false" ht="15" hidden="false" customHeight="false" outlineLevel="0" collapsed="false">
      <c r="A887" s="2" t="s">
        <v>2764</v>
      </c>
      <c r="B887" s="2" t="s">
        <v>46</v>
      </c>
      <c r="C887" s="2" t="s">
        <v>4087</v>
      </c>
      <c r="D887" s="2"/>
      <c r="E887" s="2"/>
      <c r="F887" s="2"/>
      <c r="G887" s="31" t="n">
        <v>63.7</v>
      </c>
      <c r="H887" s="2" t="s">
        <v>668</v>
      </c>
    </row>
    <row r="888" customFormat="false" ht="15" hidden="false" customHeight="false" outlineLevel="0" collapsed="false">
      <c r="A888" s="2" t="s">
        <v>2764</v>
      </c>
      <c r="B888" s="2" t="s">
        <v>47</v>
      </c>
      <c r="C888" s="2" t="s">
        <v>4085</v>
      </c>
      <c r="D888" s="11" t="n">
        <v>13763</v>
      </c>
      <c r="E888" s="31" t="n">
        <v>31.1</v>
      </c>
      <c r="F888" s="31" t="n">
        <v>63.4</v>
      </c>
      <c r="G888" s="31" t="n">
        <v>93.8</v>
      </c>
      <c r="H888" s="2" t="s">
        <v>671</v>
      </c>
    </row>
    <row r="889" customFormat="false" ht="15" hidden="false" customHeight="false" outlineLevel="0" collapsed="false">
      <c r="A889" s="2" t="s">
        <v>2764</v>
      </c>
      <c r="B889" s="2" t="s">
        <v>47</v>
      </c>
      <c r="C889" s="2" t="s">
        <v>4086</v>
      </c>
      <c r="D889" s="11" t="n">
        <v>13640</v>
      </c>
      <c r="E889" s="31" t="n">
        <v>36.5</v>
      </c>
      <c r="F889" s="31" t="n">
        <v>8.8</v>
      </c>
      <c r="G889" s="31" t="n">
        <v>81.5</v>
      </c>
      <c r="H889" s="2" t="s">
        <v>671</v>
      </c>
    </row>
    <row r="890" customFormat="false" ht="15" hidden="false" customHeight="false" outlineLevel="0" collapsed="false">
      <c r="A890" s="2" t="s">
        <v>2764</v>
      </c>
      <c r="B890" s="2" t="s">
        <v>47</v>
      </c>
      <c r="C890" s="2" t="s">
        <v>4087</v>
      </c>
      <c r="D890" s="2"/>
      <c r="E890" s="2"/>
      <c r="F890" s="2"/>
      <c r="G890" s="2"/>
      <c r="H890" s="2" t="s">
        <v>668</v>
      </c>
    </row>
    <row r="891" customFormat="false" ht="15" hidden="false" customHeight="false" outlineLevel="0" collapsed="false">
      <c r="A891" s="2" t="s">
        <v>578</v>
      </c>
      <c r="B891" s="2" t="s">
        <v>4104</v>
      </c>
      <c r="C891" s="2" t="s">
        <v>4085</v>
      </c>
      <c r="D891" s="2"/>
      <c r="E891" s="2"/>
      <c r="F891" s="2"/>
      <c r="G891" s="2"/>
      <c r="H891" s="2" t="s">
        <v>668</v>
      </c>
    </row>
    <row r="892" customFormat="false" ht="15" hidden="false" customHeight="false" outlineLevel="0" collapsed="false">
      <c r="A892" s="2" t="s">
        <v>578</v>
      </c>
      <c r="B892" s="2" t="s">
        <v>4104</v>
      </c>
      <c r="C892" s="2" t="s">
        <v>4086</v>
      </c>
      <c r="D892" s="2"/>
      <c r="E892" s="31" t="n">
        <v>21.9</v>
      </c>
      <c r="F892" s="31" t="n">
        <v>37.5</v>
      </c>
      <c r="G892" s="2"/>
      <c r="H892" s="2" t="s">
        <v>668</v>
      </c>
    </row>
    <row r="893" customFormat="false" ht="15" hidden="false" customHeight="false" outlineLevel="0" collapsed="false">
      <c r="A893" s="2" t="s">
        <v>578</v>
      </c>
      <c r="B893" s="2" t="s">
        <v>4104</v>
      </c>
      <c r="C893" s="2" t="s">
        <v>4087</v>
      </c>
      <c r="D893" s="2"/>
      <c r="E893" s="31" t="n">
        <v>24.4</v>
      </c>
      <c r="F893" s="31" t="n">
        <v>46</v>
      </c>
      <c r="G893" s="31" t="n">
        <v>67.4</v>
      </c>
      <c r="H893" s="2" t="s">
        <v>671</v>
      </c>
    </row>
    <row r="894" customFormat="false" ht="15" hidden="false" customHeight="false" outlineLevel="0" collapsed="false">
      <c r="A894" s="2" t="s">
        <v>578</v>
      </c>
      <c r="B894" s="2" t="s">
        <v>45</v>
      </c>
      <c r="C894" s="2" t="s">
        <v>4085</v>
      </c>
      <c r="D894" s="2"/>
      <c r="E894" s="2"/>
      <c r="F894" s="2"/>
      <c r="G894" s="2"/>
      <c r="H894" s="2" t="s">
        <v>668</v>
      </c>
    </row>
    <row r="895" customFormat="false" ht="15" hidden="false" customHeight="false" outlineLevel="0" collapsed="false">
      <c r="A895" s="2" t="s">
        <v>578</v>
      </c>
      <c r="B895" s="2" t="s">
        <v>45</v>
      </c>
      <c r="C895" s="2" t="s">
        <v>4086</v>
      </c>
      <c r="D895" s="11" t="n">
        <v>48125</v>
      </c>
      <c r="E895" s="31" t="n">
        <v>21.9</v>
      </c>
      <c r="F895" s="31" t="n">
        <v>37.5</v>
      </c>
      <c r="G895" s="2"/>
      <c r="H895" s="2" t="s">
        <v>668</v>
      </c>
    </row>
    <row r="896" customFormat="false" ht="15" hidden="false" customHeight="false" outlineLevel="0" collapsed="false">
      <c r="A896" s="2" t="s">
        <v>578</v>
      </c>
      <c r="B896" s="2" t="s">
        <v>45</v>
      </c>
      <c r="C896" s="2" t="s">
        <v>4087</v>
      </c>
      <c r="D896" s="11" t="n">
        <v>50330</v>
      </c>
      <c r="E896" s="31" t="n">
        <v>24.4</v>
      </c>
      <c r="F896" s="31" t="n">
        <v>46</v>
      </c>
      <c r="G896" s="31" t="n">
        <v>67.4</v>
      </c>
      <c r="H896" s="2" t="s">
        <v>671</v>
      </c>
    </row>
    <row r="897" customFormat="false" ht="15" hidden="false" customHeight="false" outlineLevel="0" collapsed="false">
      <c r="A897" s="2" t="s">
        <v>1413</v>
      </c>
      <c r="B897" s="2" t="s">
        <v>4104</v>
      </c>
      <c r="C897" s="2" t="s">
        <v>4085</v>
      </c>
      <c r="D897" s="2"/>
      <c r="E897" s="31" t="n">
        <v>78.8</v>
      </c>
      <c r="F897" s="31" t="n">
        <v>63</v>
      </c>
      <c r="G897" s="31" t="n">
        <v>47.1</v>
      </c>
      <c r="H897" s="2" t="s">
        <v>668</v>
      </c>
    </row>
    <row r="898" customFormat="false" ht="15" hidden="false" customHeight="false" outlineLevel="0" collapsed="false">
      <c r="A898" s="2" t="s">
        <v>1413</v>
      </c>
      <c r="B898" s="2" t="s">
        <v>4104</v>
      </c>
      <c r="C898" s="2" t="s">
        <v>4086</v>
      </c>
      <c r="D898" s="2"/>
      <c r="E898" s="31" t="n">
        <v>78.7</v>
      </c>
      <c r="F898" s="31" t="n">
        <v>62.2</v>
      </c>
      <c r="G898" s="31" t="n">
        <v>61.1</v>
      </c>
      <c r="H898" s="2" t="s">
        <v>668</v>
      </c>
    </row>
    <row r="899" customFormat="false" ht="15" hidden="false" customHeight="false" outlineLevel="0" collapsed="false">
      <c r="A899" s="2" t="s">
        <v>1413</v>
      </c>
      <c r="B899" s="2" t="s">
        <v>4104</v>
      </c>
      <c r="C899" s="2" t="s">
        <v>4087</v>
      </c>
      <c r="D899" s="2"/>
      <c r="E899" s="31" t="n">
        <v>87.7</v>
      </c>
      <c r="F899" s="31" t="n">
        <v>42</v>
      </c>
      <c r="G899" s="31" t="n">
        <v>17.2</v>
      </c>
      <c r="H899" s="2" t="s">
        <v>668</v>
      </c>
    </row>
    <row r="900" customFormat="false" ht="15" hidden="false" customHeight="false" outlineLevel="0" collapsed="false">
      <c r="A900" s="2" t="s">
        <v>1413</v>
      </c>
      <c r="B900" s="2" t="s">
        <v>45</v>
      </c>
      <c r="C900" s="2" t="s">
        <v>4085</v>
      </c>
      <c r="D900" s="11" t="n">
        <v>192460</v>
      </c>
      <c r="E900" s="31" t="n">
        <v>96.1</v>
      </c>
      <c r="F900" s="31" t="n">
        <v>56.8</v>
      </c>
      <c r="G900" s="2"/>
      <c r="H900" s="2" t="s">
        <v>668</v>
      </c>
    </row>
    <row r="901" customFormat="false" ht="15" hidden="false" customHeight="false" outlineLevel="0" collapsed="false">
      <c r="A901" s="2" t="s">
        <v>1413</v>
      </c>
      <c r="B901" s="2" t="s">
        <v>45</v>
      </c>
      <c r="C901" s="2" t="s">
        <v>4086</v>
      </c>
      <c r="D901" s="11" t="n">
        <v>196143</v>
      </c>
      <c r="E901" s="31" t="n">
        <v>97.4</v>
      </c>
      <c r="F901" s="31" t="n">
        <v>52.9</v>
      </c>
      <c r="G901" s="31" t="n">
        <v>93</v>
      </c>
      <c r="H901" s="2" t="s">
        <v>671</v>
      </c>
    </row>
    <row r="902" customFormat="false" ht="15" hidden="false" customHeight="false" outlineLevel="0" collapsed="false">
      <c r="A902" s="2" t="s">
        <v>1413</v>
      </c>
      <c r="B902" s="2" t="s">
        <v>45</v>
      </c>
      <c r="C902" s="2" t="s">
        <v>4087</v>
      </c>
      <c r="D902" s="11" t="n">
        <v>204220</v>
      </c>
      <c r="E902" s="31" t="n">
        <v>97.9</v>
      </c>
      <c r="F902" s="31" t="n">
        <v>34.8</v>
      </c>
      <c r="G902" s="2"/>
      <c r="H902" s="2" t="s">
        <v>668</v>
      </c>
    </row>
    <row r="903" customFormat="false" ht="15" hidden="false" customHeight="false" outlineLevel="0" collapsed="false">
      <c r="A903" s="2" t="s">
        <v>1413</v>
      </c>
      <c r="B903" s="2" t="s">
        <v>46</v>
      </c>
      <c r="C903" s="2" t="s">
        <v>4085</v>
      </c>
      <c r="D903" s="2"/>
      <c r="E903" s="2"/>
      <c r="F903" s="2"/>
      <c r="G903" s="2"/>
      <c r="H903" s="2" t="s">
        <v>668</v>
      </c>
    </row>
    <row r="904" customFormat="false" ht="15" hidden="false" customHeight="false" outlineLevel="0" collapsed="false">
      <c r="A904" s="2" t="s">
        <v>1413</v>
      </c>
      <c r="B904" s="2" t="s">
        <v>46</v>
      </c>
      <c r="C904" s="2" t="s">
        <v>4086</v>
      </c>
      <c r="D904" s="11" t="n">
        <v>3390</v>
      </c>
      <c r="E904" s="31" t="n">
        <v>83.3</v>
      </c>
      <c r="F904" s="2"/>
      <c r="G904" s="31" t="n">
        <v>62.5</v>
      </c>
      <c r="H904" s="2" t="s">
        <v>668</v>
      </c>
    </row>
    <row r="905" customFormat="false" ht="15" hidden="false" customHeight="false" outlineLevel="0" collapsed="false">
      <c r="A905" s="2" t="s">
        <v>1413</v>
      </c>
      <c r="B905" s="2" t="s">
        <v>46</v>
      </c>
      <c r="C905" s="2" t="s">
        <v>4087</v>
      </c>
      <c r="D905" s="11" t="n">
        <v>3409</v>
      </c>
      <c r="E905" s="31" t="n">
        <v>93.9</v>
      </c>
      <c r="F905" s="31" t="n">
        <v>31.2</v>
      </c>
      <c r="G905" s="31" t="n">
        <v>21</v>
      </c>
      <c r="H905" s="2" t="s">
        <v>671</v>
      </c>
    </row>
    <row r="906" customFormat="false" ht="15" hidden="false" customHeight="false" outlineLevel="0" collapsed="false">
      <c r="A906" s="2" t="s">
        <v>1413</v>
      </c>
      <c r="B906" s="2" t="s">
        <v>47</v>
      </c>
      <c r="C906" s="2" t="s">
        <v>4085</v>
      </c>
      <c r="D906" s="11" t="n">
        <v>1463024</v>
      </c>
      <c r="E906" s="31" t="n">
        <v>61.6</v>
      </c>
      <c r="F906" s="31" t="n">
        <v>69.2</v>
      </c>
      <c r="G906" s="31" t="n">
        <v>47.1</v>
      </c>
      <c r="H906" s="2" t="s">
        <v>671</v>
      </c>
    </row>
    <row r="907" customFormat="false" ht="15" hidden="false" customHeight="false" outlineLevel="0" collapsed="false">
      <c r="A907" s="2" t="s">
        <v>1413</v>
      </c>
      <c r="B907" s="2" t="s">
        <v>47</v>
      </c>
      <c r="C907" s="2" t="s">
        <v>4086</v>
      </c>
      <c r="D907" s="11" t="n">
        <v>1521249</v>
      </c>
      <c r="E907" s="31" t="n">
        <v>55.4</v>
      </c>
      <c r="F907" s="31" t="n">
        <v>71.4</v>
      </c>
      <c r="G907" s="31" t="n">
        <v>27.8</v>
      </c>
      <c r="H907" s="2" t="s">
        <v>671</v>
      </c>
    </row>
    <row r="908" customFormat="false" ht="15" hidden="false" customHeight="false" outlineLevel="0" collapsed="false">
      <c r="A908" s="2" t="s">
        <v>1413</v>
      </c>
      <c r="B908" s="2" t="s">
        <v>47</v>
      </c>
      <c r="C908" s="2" t="s">
        <v>4087</v>
      </c>
      <c r="D908" s="11" t="n">
        <v>1599692</v>
      </c>
      <c r="E908" s="31" t="n">
        <v>71.3</v>
      </c>
      <c r="F908" s="31" t="n">
        <v>60</v>
      </c>
      <c r="G908" s="31" t="n">
        <v>13.3</v>
      </c>
      <c r="H908" s="2" t="s">
        <v>671</v>
      </c>
    </row>
    <row r="909" customFormat="false" ht="15" hidden="false" customHeight="false" outlineLevel="0" collapsed="false">
      <c r="A909" s="2" t="s">
        <v>2768</v>
      </c>
      <c r="B909" s="2" t="s">
        <v>4104</v>
      </c>
      <c r="C909" s="2" t="s">
        <v>4085</v>
      </c>
      <c r="D909" s="2"/>
      <c r="E909" s="31" t="n">
        <v>59</v>
      </c>
      <c r="F909" s="31" t="n">
        <v>66.1</v>
      </c>
      <c r="G909" s="31" t="n">
        <v>46.3</v>
      </c>
      <c r="H909" s="2" t="s">
        <v>671</v>
      </c>
    </row>
    <row r="910" customFormat="false" ht="15" hidden="false" customHeight="false" outlineLevel="0" collapsed="false">
      <c r="A910" s="2" t="s">
        <v>2768</v>
      </c>
      <c r="B910" s="2" t="s">
        <v>4104</v>
      </c>
      <c r="C910" s="2" t="s">
        <v>4086</v>
      </c>
      <c r="D910" s="2"/>
      <c r="E910" s="31" t="n">
        <v>73.3</v>
      </c>
      <c r="F910" s="31" t="n">
        <v>68.7</v>
      </c>
      <c r="G910" s="31" t="n">
        <v>22.8</v>
      </c>
      <c r="H910" s="2" t="s">
        <v>668</v>
      </c>
    </row>
    <row r="911" customFormat="false" ht="15" hidden="false" customHeight="false" outlineLevel="0" collapsed="false">
      <c r="A911" s="2" t="s">
        <v>2768</v>
      </c>
      <c r="B911" s="2" t="s">
        <v>4104</v>
      </c>
      <c r="C911" s="2" t="s">
        <v>4087</v>
      </c>
      <c r="D911" s="2"/>
      <c r="E911" s="2"/>
      <c r="F911" s="2"/>
      <c r="G911" s="2"/>
      <c r="H911" s="2" t="s">
        <v>668</v>
      </c>
    </row>
    <row r="912" customFormat="false" ht="15" hidden="false" customHeight="false" outlineLevel="0" collapsed="false">
      <c r="A912" s="2" t="s">
        <v>2768</v>
      </c>
      <c r="B912" s="2" t="s">
        <v>45</v>
      </c>
      <c r="C912" s="2" t="s">
        <v>4085</v>
      </c>
      <c r="D912" s="11" t="n">
        <v>30270</v>
      </c>
      <c r="E912" s="31" t="n">
        <v>59</v>
      </c>
      <c r="F912" s="31" t="n">
        <v>66.1</v>
      </c>
      <c r="G912" s="31" t="n">
        <v>46.3</v>
      </c>
      <c r="H912" s="2" t="s">
        <v>671</v>
      </c>
    </row>
    <row r="913" customFormat="false" ht="15" hidden="false" customHeight="false" outlineLevel="0" collapsed="false">
      <c r="A913" s="2" t="s">
        <v>2768</v>
      </c>
      <c r="B913" s="2" t="s">
        <v>45</v>
      </c>
      <c r="C913" s="2" t="s">
        <v>4086</v>
      </c>
      <c r="D913" s="11" t="n">
        <v>30350</v>
      </c>
      <c r="E913" s="31" t="n">
        <v>73.3</v>
      </c>
      <c r="F913" s="31" t="n">
        <v>68.7</v>
      </c>
      <c r="G913" s="31" t="n">
        <v>22.8</v>
      </c>
      <c r="H913" s="2" t="s">
        <v>668</v>
      </c>
    </row>
    <row r="914" customFormat="false" ht="15" hidden="false" customHeight="false" outlineLevel="0" collapsed="false">
      <c r="A914" s="2" t="s">
        <v>2768</v>
      </c>
      <c r="B914" s="2" t="s">
        <v>45</v>
      </c>
      <c r="C914" s="2" t="s">
        <v>4087</v>
      </c>
      <c r="D914" s="2"/>
      <c r="E914" s="2"/>
      <c r="F914" s="2"/>
      <c r="G914" s="2"/>
      <c r="H914" s="2" t="s">
        <v>668</v>
      </c>
    </row>
    <row r="915" customFormat="false" ht="15" hidden="false" customHeight="false" outlineLevel="0" collapsed="false">
      <c r="A915" s="2" t="s">
        <v>1682</v>
      </c>
      <c r="B915" s="2" t="s">
        <v>4104</v>
      </c>
      <c r="C915" s="2" t="s">
        <v>4085</v>
      </c>
      <c r="D915" s="2"/>
      <c r="E915" s="31" t="n">
        <v>23.3</v>
      </c>
      <c r="F915" s="31" t="n">
        <v>37.8</v>
      </c>
      <c r="G915" s="31" t="n">
        <v>82.8</v>
      </c>
      <c r="H915" s="2" t="s">
        <v>671</v>
      </c>
    </row>
    <row r="916" customFormat="false" ht="15" hidden="false" customHeight="false" outlineLevel="0" collapsed="false">
      <c r="A916" s="2" t="s">
        <v>1682</v>
      </c>
      <c r="B916" s="2" t="s">
        <v>4104</v>
      </c>
      <c r="C916" s="2" t="s">
        <v>4086</v>
      </c>
      <c r="D916" s="2"/>
      <c r="E916" s="31" t="n">
        <v>33.9</v>
      </c>
      <c r="F916" s="31" t="n">
        <v>58.8</v>
      </c>
      <c r="G916" s="31" t="n">
        <v>69.5</v>
      </c>
      <c r="H916" s="2" t="s">
        <v>671</v>
      </c>
    </row>
    <row r="917" customFormat="false" ht="15" hidden="false" customHeight="false" outlineLevel="0" collapsed="false">
      <c r="A917" s="2" t="s">
        <v>1682</v>
      </c>
      <c r="B917" s="2" t="s">
        <v>4104</v>
      </c>
      <c r="C917" s="2" t="s">
        <v>4087</v>
      </c>
      <c r="D917" s="2"/>
      <c r="E917" s="31" t="n">
        <v>29.4</v>
      </c>
      <c r="F917" s="31" t="n">
        <v>32.3</v>
      </c>
      <c r="G917" s="31" t="n">
        <v>96.4</v>
      </c>
      <c r="H917" s="2" t="s">
        <v>668</v>
      </c>
    </row>
    <row r="918" customFormat="false" ht="15" hidden="false" customHeight="false" outlineLevel="0" collapsed="false">
      <c r="A918" s="2" t="s">
        <v>1682</v>
      </c>
      <c r="B918" s="2" t="s">
        <v>45</v>
      </c>
      <c r="C918" s="2" t="s">
        <v>4085</v>
      </c>
      <c r="D918" s="11" t="n">
        <v>24646</v>
      </c>
      <c r="E918" s="31" t="n">
        <v>3.2</v>
      </c>
      <c r="F918" s="31" t="n">
        <v>56.2</v>
      </c>
      <c r="G918" s="31" t="n">
        <v>68.5</v>
      </c>
      <c r="H918" s="2" t="s">
        <v>671</v>
      </c>
    </row>
    <row r="919" customFormat="false" ht="15" hidden="false" customHeight="false" outlineLevel="0" collapsed="false">
      <c r="A919" s="2" t="s">
        <v>1682</v>
      </c>
      <c r="B919" s="2" t="s">
        <v>45</v>
      </c>
      <c r="C919" s="2" t="s">
        <v>4086</v>
      </c>
      <c r="D919" s="11" t="n">
        <v>25760</v>
      </c>
      <c r="E919" s="31" t="n">
        <v>5.7</v>
      </c>
      <c r="F919" s="31" t="n">
        <v>59.5</v>
      </c>
      <c r="G919" s="31" t="n">
        <v>36.6</v>
      </c>
      <c r="H919" s="2" t="s">
        <v>671</v>
      </c>
    </row>
    <row r="920" customFormat="false" ht="15" hidden="false" customHeight="false" outlineLevel="0" collapsed="false">
      <c r="A920" s="2" t="s">
        <v>1682</v>
      </c>
      <c r="B920" s="2" t="s">
        <v>45</v>
      </c>
      <c r="C920" s="2" t="s">
        <v>4087</v>
      </c>
      <c r="D920" s="2"/>
      <c r="E920" s="2"/>
      <c r="F920" s="2"/>
      <c r="G920" s="2"/>
      <c r="H920" s="2" t="s">
        <v>668</v>
      </c>
    </row>
    <row r="921" customFormat="false" ht="15" hidden="false" customHeight="false" outlineLevel="0" collapsed="false">
      <c r="A921" s="2" t="s">
        <v>1682</v>
      </c>
      <c r="B921" s="2" t="s">
        <v>46</v>
      </c>
      <c r="C921" s="2" t="s">
        <v>4085</v>
      </c>
      <c r="D921" s="11" t="n">
        <v>27130</v>
      </c>
      <c r="E921" s="31" t="n">
        <v>60.9</v>
      </c>
      <c r="F921" s="31" t="n">
        <v>31.1</v>
      </c>
      <c r="G921" s="31" t="n">
        <v>88.1</v>
      </c>
      <c r="H921" s="2" t="s">
        <v>671</v>
      </c>
    </row>
    <row r="922" customFormat="false" ht="15" hidden="false" customHeight="false" outlineLevel="0" collapsed="false">
      <c r="A922" s="2" t="s">
        <v>1682</v>
      </c>
      <c r="B922" s="2" t="s">
        <v>46</v>
      </c>
      <c r="C922" s="2" t="s">
        <v>4086</v>
      </c>
      <c r="D922" s="11" t="n">
        <v>27720</v>
      </c>
      <c r="E922" s="31" t="n">
        <v>74.7</v>
      </c>
      <c r="F922" s="31" t="n">
        <v>66.2</v>
      </c>
      <c r="G922" s="31" t="n">
        <v>94.5</v>
      </c>
      <c r="H922" s="2" t="s">
        <v>671</v>
      </c>
    </row>
    <row r="923" customFormat="false" ht="15" hidden="false" customHeight="false" outlineLevel="0" collapsed="false">
      <c r="A923" s="2" t="s">
        <v>1682</v>
      </c>
      <c r="B923" s="2" t="s">
        <v>46</v>
      </c>
      <c r="C923" s="2" t="s">
        <v>4087</v>
      </c>
      <c r="D923" s="11" t="n">
        <v>29410</v>
      </c>
      <c r="E923" s="31" t="n">
        <v>49.7</v>
      </c>
      <c r="F923" s="31" t="n">
        <v>17.8</v>
      </c>
      <c r="G923" s="31" t="n">
        <v>96.6</v>
      </c>
      <c r="H923" s="2" t="s">
        <v>671</v>
      </c>
    </row>
    <row r="924" customFormat="false" ht="15" hidden="false" customHeight="false" outlineLevel="0" collapsed="false">
      <c r="A924" s="2" t="s">
        <v>1682</v>
      </c>
      <c r="B924" s="2" t="s">
        <v>47</v>
      </c>
      <c r="C924" s="2" t="s">
        <v>4085</v>
      </c>
      <c r="D924" s="11" t="n">
        <v>41477</v>
      </c>
      <c r="E924" s="31" t="n">
        <v>5.7</v>
      </c>
      <c r="F924" s="31" t="n">
        <v>26.1</v>
      </c>
      <c r="G924" s="31" t="n">
        <v>91.9</v>
      </c>
      <c r="H924" s="2" t="s">
        <v>671</v>
      </c>
    </row>
    <row r="925" customFormat="false" ht="15" hidden="false" customHeight="false" outlineLevel="0" collapsed="false">
      <c r="A925" s="2" t="s">
        <v>1682</v>
      </c>
      <c r="B925" s="2" t="s">
        <v>47</v>
      </c>
      <c r="C925" s="2" t="s">
        <v>4086</v>
      </c>
      <c r="D925" s="11" t="n">
        <v>24534</v>
      </c>
      <c r="E925" s="31" t="n">
        <v>21.3</v>
      </c>
      <c r="F925" s="31" t="n">
        <v>50.6</v>
      </c>
      <c r="G925" s="31" t="n">
        <v>77.4</v>
      </c>
      <c r="H925" s="2" t="s">
        <v>671</v>
      </c>
    </row>
    <row r="926" customFormat="false" ht="15" hidden="false" customHeight="false" outlineLevel="0" collapsed="false">
      <c r="A926" s="2" t="s">
        <v>1682</v>
      </c>
      <c r="B926" s="2" t="s">
        <v>47</v>
      </c>
      <c r="C926" s="2" t="s">
        <v>4087</v>
      </c>
      <c r="D926" s="11" t="n">
        <v>24610</v>
      </c>
      <c r="E926" s="31" t="n">
        <v>9.1</v>
      </c>
      <c r="F926" s="31" t="n">
        <v>46.8</v>
      </c>
      <c r="G926" s="31" t="n">
        <v>96.2</v>
      </c>
      <c r="H926" s="2" t="s">
        <v>671</v>
      </c>
    </row>
    <row r="927" customFormat="false" ht="15" hidden="false" customHeight="false" outlineLevel="0" collapsed="false">
      <c r="A927" s="2" t="s">
        <v>1764</v>
      </c>
      <c r="B927" s="2" t="s">
        <v>4104</v>
      </c>
      <c r="C927" s="2" t="s">
        <v>4085</v>
      </c>
      <c r="D927" s="2"/>
      <c r="E927" s="31" t="n">
        <v>56.7</v>
      </c>
      <c r="F927" s="31" t="n">
        <v>49.8</v>
      </c>
      <c r="G927" s="31" t="n">
        <v>18</v>
      </c>
      <c r="H927" s="2" t="s">
        <v>668</v>
      </c>
    </row>
    <row r="928" customFormat="false" ht="15" hidden="false" customHeight="false" outlineLevel="0" collapsed="false">
      <c r="A928" s="2" t="s">
        <v>1764</v>
      </c>
      <c r="B928" s="2" t="s">
        <v>4104</v>
      </c>
      <c r="C928" s="2" t="s">
        <v>4086</v>
      </c>
      <c r="D928" s="2"/>
      <c r="E928" s="31" t="n">
        <v>60.9</v>
      </c>
      <c r="F928" s="31" t="n">
        <v>67.6</v>
      </c>
      <c r="G928" s="31" t="n">
        <v>56.4</v>
      </c>
      <c r="H928" s="2" t="s">
        <v>671</v>
      </c>
    </row>
    <row r="929" customFormat="false" ht="15" hidden="false" customHeight="false" outlineLevel="0" collapsed="false">
      <c r="A929" s="2" t="s">
        <v>1764</v>
      </c>
      <c r="B929" s="2" t="s">
        <v>4104</v>
      </c>
      <c r="C929" s="2" t="s">
        <v>4087</v>
      </c>
      <c r="D929" s="2"/>
      <c r="E929" s="31" t="n">
        <v>51.3</v>
      </c>
      <c r="F929" s="31" t="n">
        <v>72.7</v>
      </c>
      <c r="G929" s="31" t="n">
        <v>53.3</v>
      </c>
      <c r="H929" s="2" t="s">
        <v>668</v>
      </c>
    </row>
    <row r="930" customFormat="false" ht="15" hidden="false" customHeight="false" outlineLevel="0" collapsed="false">
      <c r="A930" s="2" t="s">
        <v>1764</v>
      </c>
      <c r="B930" s="2" t="s">
        <v>45</v>
      </c>
      <c r="C930" s="2" t="s">
        <v>4085</v>
      </c>
      <c r="D930" s="11" t="n">
        <v>49793</v>
      </c>
      <c r="E930" s="31" t="n">
        <v>75.4</v>
      </c>
      <c r="F930" s="31" t="n">
        <v>20.4</v>
      </c>
      <c r="G930" s="31" t="n">
        <v>18</v>
      </c>
      <c r="H930" s="2" t="s">
        <v>671</v>
      </c>
    </row>
    <row r="931" customFormat="false" ht="15" hidden="false" customHeight="false" outlineLevel="0" collapsed="false">
      <c r="A931" s="2" t="s">
        <v>1764</v>
      </c>
      <c r="B931" s="2" t="s">
        <v>45</v>
      </c>
      <c r="C931" s="2" t="s">
        <v>4086</v>
      </c>
      <c r="D931" s="11" t="n">
        <v>50860</v>
      </c>
      <c r="E931" s="31" t="n">
        <v>78.8</v>
      </c>
      <c r="F931" s="31" t="n">
        <v>45.7</v>
      </c>
      <c r="G931" s="31" t="n">
        <v>50.1</v>
      </c>
      <c r="H931" s="2" t="s">
        <v>671</v>
      </c>
    </row>
    <row r="932" customFormat="false" ht="15" hidden="false" customHeight="false" outlineLevel="0" collapsed="false">
      <c r="A932" s="2" t="s">
        <v>1764</v>
      </c>
      <c r="B932" s="2" t="s">
        <v>45</v>
      </c>
      <c r="C932" s="2" t="s">
        <v>4087</v>
      </c>
      <c r="D932" s="2"/>
      <c r="E932" s="2"/>
      <c r="F932" s="2"/>
      <c r="G932" s="2"/>
      <c r="H932" s="2" t="s">
        <v>668</v>
      </c>
    </row>
    <row r="933" customFormat="false" ht="15" hidden="false" customHeight="false" outlineLevel="0" collapsed="false">
      <c r="A933" s="2" t="s">
        <v>1764</v>
      </c>
      <c r="B933" s="2" t="s">
        <v>46</v>
      </c>
      <c r="C933" s="2" t="s">
        <v>4085</v>
      </c>
      <c r="D933" s="11" t="n">
        <v>30530</v>
      </c>
      <c r="E933" s="31" t="n">
        <v>38</v>
      </c>
      <c r="F933" s="31" t="n">
        <v>46.8</v>
      </c>
      <c r="G933" s="2"/>
      <c r="H933" s="2" t="s">
        <v>668</v>
      </c>
    </row>
    <row r="934" customFormat="false" ht="15" hidden="false" customHeight="false" outlineLevel="0" collapsed="false">
      <c r="A934" s="2" t="s">
        <v>1764</v>
      </c>
      <c r="B934" s="2" t="s">
        <v>46</v>
      </c>
      <c r="C934" s="2" t="s">
        <v>4086</v>
      </c>
      <c r="D934" s="11" t="n">
        <v>32665</v>
      </c>
      <c r="E934" s="31" t="n">
        <v>33.6</v>
      </c>
      <c r="F934" s="31" t="n">
        <v>68.4</v>
      </c>
      <c r="G934" s="31" t="n">
        <v>62.9</v>
      </c>
      <c r="H934" s="2" t="s">
        <v>671</v>
      </c>
    </row>
    <row r="935" customFormat="false" ht="15" hidden="false" customHeight="false" outlineLevel="0" collapsed="false">
      <c r="A935" s="2" t="s">
        <v>1764</v>
      </c>
      <c r="B935" s="2" t="s">
        <v>46</v>
      </c>
      <c r="C935" s="2" t="s">
        <v>4087</v>
      </c>
      <c r="D935" s="11" t="n">
        <v>34057</v>
      </c>
      <c r="E935" s="31" t="n">
        <v>34.9</v>
      </c>
      <c r="F935" s="31" t="n">
        <v>48.1</v>
      </c>
      <c r="G935" s="31" t="n">
        <v>91.7</v>
      </c>
      <c r="H935" s="2" t="s">
        <v>671</v>
      </c>
    </row>
    <row r="936" customFormat="false" ht="15" hidden="false" customHeight="false" outlineLevel="0" collapsed="false">
      <c r="A936" s="2" t="s">
        <v>1764</v>
      </c>
      <c r="B936" s="2" t="s">
        <v>47</v>
      </c>
      <c r="C936" s="2" t="s">
        <v>4085</v>
      </c>
      <c r="D936" s="11" t="n">
        <v>4057</v>
      </c>
      <c r="E936" s="2"/>
      <c r="F936" s="31" t="n">
        <v>82.2</v>
      </c>
      <c r="G936" s="2"/>
      <c r="H936" s="2" t="s">
        <v>668</v>
      </c>
    </row>
    <row r="937" customFormat="false" ht="15" hidden="false" customHeight="false" outlineLevel="0" collapsed="false">
      <c r="A937" s="2" t="s">
        <v>1764</v>
      </c>
      <c r="B937" s="2" t="s">
        <v>47</v>
      </c>
      <c r="C937" s="2" t="s">
        <v>4086</v>
      </c>
      <c r="D937" s="11" t="n">
        <v>4480</v>
      </c>
      <c r="E937" s="31" t="n">
        <v>70.4</v>
      </c>
      <c r="F937" s="31" t="n">
        <v>88.8</v>
      </c>
      <c r="G937" s="31" t="n">
        <v>56.3</v>
      </c>
      <c r="H937" s="2" t="s">
        <v>671</v>
      </c>
    </row>
    <row r="938" customFormat="false" ht="15" hidden="false" customHeight="false" outlineLevel="0" collapsed="false">
      <c r="A938" s="2" t="s">
        <v>1764</v>
      </c>
      <c r="B938" s="2" t="s">
        <v>47</v>
      </c>
      <c r="C938" s="2" t="s">
        <v>4087</v>
      </c>
      <c r="D938" s="11" t="n">
        <v>4722</v>
      </c>
      <c r="E938" s="31" t="n">
        <v>67.7</v>
      </c>
      <c r="F938" s="31" t="n">
        <v>97.3</v>
      </c>
      <c r="G938" s="31" t="n">
        <v>14.9</v>
      </c>
      <c r="H938" s="2" t="s">
        <v>671</v>
      </c>
    </row>
    <row r="939" customFormat="false" ht="15" hidden="false" customHeight="false" outlineLevel="0" collapsed="false">
      <c r="A939" s="2" t="s">
        <v>2390</v>
      </c>
      <c r="B939" s="2" t="s">
        <v>4104</v>
      </c>
      <c r="C939" s="2" t="s">
        <v>4085</v>
      </c>
      <c r="D939" s="2"/>
      <c r="E939" s="31" t="n">
        <v>52.7</v>
      </c>
      <c r="F939" s="31" t="n">
        <v>43.1</v>
      </c>
      <c r="G939" s="31" t="n">
        <v>65.6</v>
      </c>
      <c r="H939" s="2" t="s">
        <v>668</v>
      </c>
    </row>
    <row r="940" customFormat="false" ht="15" hidden="false" customHeight="false" outlineLevel="0" collapsed="false">
      <c r="A940" s="2" t="s">
        <v>2390</v>
      </c>
      <c r="B940" s="2" t="s">
        <v>4104</v>
      </c>
      <c r="C940" s="2" t="s">
        <v>4086</v>
      </c>
      <c r="D940" s="2"/>
      <c r="E940" s="31" t="n">
        <v>44.5</v>
      </c>
      <c r="F940" s="31" t="n">
        <v>49.8</v>
      </c>
      <c r="G940" s="31" t="n">
        <v>66.2</v>
      </c>
      <c r="H940" s="2" t="s">
        <v>668</v>
      </c>
    </row>
    <row r="941" customFormat="false" ht="15" hidden="false" customHeight="false" outlineLevel="0" collapsed="false">
      <c r="A941" s="2" t="s">
        <v>2390</v>
      </c>
      <c r="B941" s="2" t="s">
        <v>4104</v>
      </c>
      <c r="C941" s="2" t="s">
        <v>4087</v>
      </c>
      <c r="D941" s="2"/>
      <c r="E941" s="31" t="n">
        <v>40.1</v>
      </c>
      <c r="F941" s="31" t="n">
        <v>33.1</v>
      </c>
      <c r="G941" s="31" t="n">
        <v>72.4</v>
      </c>
      <c r="H941" s="2" t="s">
        <v>668</v>
      </c>
    </row>
    <row r="942" customFormat="false" ht="15" hidden="false" customHeight="false" outlineLevel="0" collapsed="false">
      <c r="A942" s="2" t="s">
        <v>2390</v>
      </c>
      <c r="B942" s="2" t="s">
        <v>45</v>
      </c>
      <c r="C942" s="2" t="s">
        <v>4085</v>
      </c>
      <c r="D942" s="11" t="n">
        <v>7900</v>
      </c>
      <c r="E942" s="31" t="n">
        <v>40</v>
      </c>
      <c r="F942" s="2"/>
      <c r="G942" s="31" t="n">
        <v>64.6</v>
      </c>
      <c r="H942" s="2" t="s">
        <v>668</v>
      </c>
    </row>
    <row r="943" customFormat="false" ht="15" hidden="false" customHeight="false" outlineLevel="0" collapsed="false">
      <c r="A943" s="2" t="s">
        <v>2390</v>
      </c>
      <c r="B943" s="2" t="s">
        <v>45</v>
      </c>
      <c r="C943" s="2" t="s">
        <v>4086</v>
      </c>
      <c r="D943" s="11" t="n">
        <v>8340</v>
      </c>
      <c r="E943" s="31" t="n">
        <v>64.5</v>
      </c>
      <c r="F943" s="31" t="n">
        <v>87.3</v>
      </c>
      <c r="G943" s="31" t="n">
        <v>49</v>
      </c>
      <c r="H943" s="2" t="s">
        <v>671</v>
      </c>
    </row>
    <row r="944" customFormat="false" ht="15" hidden="false" customHeight="false" outlineLevel="0" collapsed="false">
      <c r="A944" s="2" t="s">
        <v>2390</v>
      </c>
      <c r="B944" s="2" t="s">
        <v>45</v>
      </c>
      <c r="C944" s="2" t="s">
        <v>4087</v>
      </c>
      <c r="D944" s="2"/>
      <c r="E944" s="2"/>
      <c r="F944" s="2"/>
      <c r="G944" s="2"/>
      <c r="H944" s="2" t="s">
        <v>668</v>
      </c>
    </row>
    <row r="945" customFormat="false" ht="15" hidden="false" customHeight="false" outlineLevel="0" collapsed="false">
      <c r="A945" s="2" t="s">
        <v>2390</v>
      </c>
      <c r="B945" s="2" t="s">
        <v>46</v>
      </c>
      <c r="C945" s="2" t="s">
        <v>4085</v>
      </c>
      <c r="D945" s="11" t="n">
        <v>35174</v>
      </c>
      <c r="E945" s="31" t="n">
        <v>84.3</v>
      </c>
      <c r="F945" s="31" t="n">
        <v>43.1</v>
      </c>
      <c r="G945" s="31" t="n">
        <v>77.6</v>
      </c>
      <c r="H945" s="2" t="s">
        <v>671</v>
      </c>
    </row>
    <row r="946" customFormat="false" ht="15" hidden="false" customHeight="false" outlineLevel="0" collapsed="false">
      <c r="A946" s="2" t="s">
        <v>2390</v>
      </c>
      <c r="B946" s="2" t="s">
        <v>46</v>
      </c>
      <c r="C946" s="2" t="s">
        <v>4086</v>
      </c>
      <c r="D946" s="2"/>
      <c r="E946" s="2"/>
      <c r="F946" s="2"/>
      <c r="G946" s="2"/>
      <c r="H946" s="2" t="s">
        <v>668</v>
      </c>
    </row>
    <row r="947" customFormat="false" ht="15" hidden="false" customHeight="false" outlineLevel="0" collapsed="false">
      <c r="A947" s="2" t="s">
        <v>2390</v>
      </c>
      <c r="B947" s="2" t="s">
        <v>46</v>
      </c>
      <c r="C947" s="2" t="s">
        <v>4087</v>
      </c>
      <c r="D947" s="2"/>
      <c r="E947" s="2"/>
      <c r="F947" s="2"/>
      <c r="G947" s="2"/>
      <c r="H947" s="2" t="s">
        <v>668</v>
      </c>
    </row>
    <row r="948" customFormat="false" ht="15" hidden="false" customHeight="false" outlineLevel="0" collapsed="false">
      <c r="A948" s="2" t="s">
        <v>2390</v>
      </c>
      <c r="B948" s="2" t="s">
        <v>47</v>
      </c>
      <c r="C948" s="2" t="s">
        <v>4085</v>
      </c>
      <c r="D948" s="11" t="n">
        <v>235894</v>
      </c>
      <c r="E948" s="31" t="n">
        <v>33.9</v>
      </c>
      <c r="F948" s="2"/>
      <c r="G948" s="31" t="n">
        <v>54.5</v>
      </c>
      <c r="H948" s="2" t="s">
        <v>668</v>
      </c>
    </row>
    <row r="949" customFormat="false" ht="15" hidden="false" customHeight="false" outlineLevel="0" collapsed="false">
      <c r="A949" s="2" t="s">
        <v>2390</v>
      </c>
      <c r="B949" s="2" t="s">
        <v>47</v>
      </c>
      <c r="C949" s="2" t="s">
        <v>4086</v>
      </c>
      <c r="D949" s="11" t="n">
        <v>234494</v>
      </c>
      <c r="E949" s="31" t="n">
        <v>24.5</v>
      </c>
      <c r="F949" s="31" t="n">
        <v>12.4</v>
      </c>
      <c r="G949" s="31" t="n">
        <v>83.3</v>
      </c>
      <c r="H949" s="2" t="s">
        <v>671</v>
      </c>
    </row>
    <row r="950" customFormat="false" ht="15" hidden="false" customHeight="false" outlineLevel="0" collapsed="false">
      <c r="A950" s="2" t="s">
        <v>2390</v>
      </c>
      <c r="B950" s="2" t="s">
        <v>47</v>
      </c>
      <c r="C950" s="2" t="s">
        <v>4087</v>
      </c>
      <c r="D950" s="11" t="n">
        <v>240020</v>
      </c>
      <c r="E950" s="31" t="n">
        <v>40.1</v>
      </c>
      <c r="F950" s="31" t="n">
        <v>33.1</v>
      </c>
      <c r="G950" s="31" t="n">
        <v>72.4</v>
      </c>
      <c r="H950" s="2" t="s">
        <v>671</v>
      </c>
    </row>
    <row r="951" customFormat="false" ht="15" hidden="false" customHeight="false" outlineLevel="0" collapsed="false">
      <c r="A951" s="2" t="s">
        <v>2770</v>
      </c>
      <c r="B951" s="2" t="s">
        <v>4104</v>
      </c>
      <c r="C951" s="2" t="s">
        <v>4085</v>
      </c>
      <c r="D951" s="2"/>
      <c r="E951" s="31" t="n">
        <v>93.7</v>
      </c>
      <c r="F951" s="31" t="n">
        <v>56.7</v>
      </c>
      <c r="G951" s="31" t="n">
        <v>57.5</v>
      </c>
      <c r="H951" s="2" t="s">
        <v>671</v>
      </c>
    </row>
    <row r="952" customFormat="false" ht="15" hidden="false" customHeight="false" outlineLevel="0" collapsed="false">
      <c r="A952" s="2" t="s">
        <v>2770</v>
      </c>
      <c r="B952" s="2" t="s">
        <v>4104</v>
      </c>
      <c r="C952" s="2" t="s">
        <v>4086</v>
      </c>
      <c r="D952" s="2"/>
      <c r="E952" s="31" t="n">
        <v>93.8</v>
      </c>
      <c r="F952" s="31" t="n">
        <v>71.6</v>
      </c>
      <c r="G952" s="31" t="n">
        <v>68.5</v>
      </c>
      <c r="H952" s="2" t="s">
        <v>671</v>
      </c>
    </row>
    <row r="953" customFormat="false" ht="15" hidden="false" customHeight="false" outlineLevel="0" collapsed="false">
      <c r="A953" s="2" t="s">
        <v>2770</v>
      </c>
      <c r="B953" s="2" t="s">
        <v>4104</v>
      </c>
      <c r="C953" s="2" t="s">
        <v>4087</v>
      </c>
      <c r="D953" s="2"/>
      <c r="E953" s="2"/>
      <c r="F953" s="2"/>
      <c r="G953" s="31" t="n">
        <v>68.9</v>
      </c>
      <c r="H953" s="2" t="s">
        <v>668</v>
      </c>
    </row>
    <row r="954" customFormat="false" ht="15" hidden="false" customHeight="false" outlineLevel="0" collapsed="false">
      <c r="A954" s="2" t="s">
        <v>2770</v>
      </c>
      <c r="B954" s="2" t="s">
        <v>46</v>
      </c>
      <c r="C954" s="2" t="s">
        <v>4085</v>
      </c>
      <c r="D954" s="11" t="n">
        <v>123820</v>
      </c>
      <c r="E954" s="31" t="n">
        <v>98.6</v>
      </c>
      <c r="F954" s="31" t="n">
        <v>32.7</v>
      </c>
      <c r="G954" s="31" t="n">
        <v>34</v>
      </c>
      <c r="H954" s="2" t="s">
        <v>671</v>
      </c>
    </row>
    <row r="955" customFormat="false" ht="15" hidden="false" customHeight="false" outlineLevel="0" collapsed="false">
      <c r="A955" s="2" t="s">
        <v>2770</v>
      </c>
      <c r="B955" s="2" t="s">
        <v>46</v>
      </c>
      <c r="C955" s="2" t="s">
        <v>4086</v>
      </c>
      <c r="D955" s="11" t="n">
        <v>123830</v>
      </c>
      <c r="E955" s="31" t="n">
        <v>97.8</v>
      </c>
      <c r="F955" s="31" t="n">
        <v>51</v>
      </c>
      <c r="G955" s="31" t="n">
        <v>50.6</v>
      </c>
      <c r="H955" s="2" t="s">
        <v>671</v>
      </c>
    </row>
    <row r="956" customFormat="false" ht="15" hidden="false" customHeight="false" outlineLevel="0" collapsed="false">
      <c r="A956" s="2" t="s">
        <v>2770</v>
      </c>
      <c r="B956" s="2" t="s">
        <v>46</v>
      </c>
      <c r="C956" s="2" t="s">
        <v>4087</v>
      </c>
      <c r="D956" s="2"/>
      <c r="E956" s="2"/>
      <c r="F956" s="2"/>
      <c r="G956" s="31" t="n">
        <v>68.9</v>
      </c>
      <c r="H956" s="2" t="s">
        <v>668</v>
      </c>
    </row>
    <row r="957" customFormat="false" ht="15" hidden="false" customHeight="false" outlineLevel="0" collapsed="false">
      <c r="A957" s="2" t="s">
        <v>2770</v>
      </c>
      <c r="B957" s="2" t="s">
        <v>47</v>
      </c>
      <c r="C957" s="2" t="s">
        <v>4085</v>
      </c>
      <c r="D957" s="11" t="n">
        <v>46006</v>
      </c>
      <c r="E957" s="31" t="n">
        <v>88.8</v>
      </c>
      <c r="F957" s="31" t="n">
        <v>80.7</v>
      </c>
      <c r="G957" s="31" t="n">
        <v>81</v>
      </c>
      <c r="H957" s="2" t="s">
        <v>671</v>
      </c>
    </row>
    <row r="958" customFormat="false" ht="15" hidden="false" customHeight="false" outlineLevel="0" collapsed="false">
      <c r="A958" s="2" t="s">
        <v>2770</v>
      </c>
      <c r="B958" s="2" t="s">
        <v>47</v>
      </c>
      <c r="C958" s="2" t="s">
        <v>4086</v>
      </c>
      <c r="D958" s="11" t="n">
        <v>49434</v>
      </c>
      <c r="E958" s="31" t="n">
        <v>89.9</v>
      </c>
      <c r="F958" s="31" t="n">
        <v>92.2</v>
      </c>
      <c r="G958" s="31" t="n">
        <v>86.4</v>
      </c>
      <c r="H958" s="2" t="s">
        <v>671</v>
      </c>
    </row>
    <row r="959" customFormat="false" ht="15" hidden="false" customHeight="false" outlineLevel="0" collapsed="false">
      <c r="A959" s="2" t="s">
        <v>2770</v>
      </c>
      <c r="B959" s="2" t="s">
        <v>47</v>
      </c>
      <c r="C959" s="2" t="s">
        <v>4087</v>
      </c>
      <c r="D959" s="2"/>
      <c r="E959" s="2"/>
      <c r="F959" s="2"/>
      <c r="G959" s="2"/>
      <c r="H959" s="2" t="s">
        <v>668</v>
      </c>
    </row>
    <row r="960" customFormat="false" ht="15" hidden="false" customHeight="false" outlineLevel="0" collapsed="false">
      <c r="A960" s="2" t="s">
        <v>2772</v>
      </c>
      <c r="B960" s="2" t="s">
        <v>4104</v>
      </c>
      <c r="C960" s="2" t="s">
        <v>4085</v>
      </c>
      <c r="D960" s="2"/>
      <c r="E960" s="31" t="n">
        <v>15.6</v>
      </c>
      <c r="F960" s="31" t="n">
        <v>59.8</v>
      </c>
      <c r="G960" s="31" t="n">
        <v>56.2</v>
      </c>
      <c r="H960" s="2" t="s">
        <v>668</v>
      </c>
    </row>
    <row r="961" customFormat="false" ht="15" hidden="false" customHeight="false" outlineLevel="0" collapsed="false">
      <c r="A961" s="2" t="s">
        <v>2772</v>
      </c>
      <c r="B961" s="2" t="s">
        <v>4104</v>
      </c>
      <c r="C961" s="2" t="s">
        <v>4086</v>
      </c>
      <c r="D961" s="2"/>
      <c r="E961" s="31" t="n">
        <v>41.5</v>
      </c>
      <c r="F961" s="31" t="n">
        <v>42.6</v>
      </c>
      <c r="G961" s="31" t="n">
        <v>67.4</v>
      </c>
      <c r="H961" s="2" t="s">
        <v>668</v>
      </c>
    </row>
    <row r="962" customFormat="false" ht="15" hidden="false" customHeight="false" outlineLevel="0" collapsed="false">
      <c r="A962" s="2" t="s">
        <v>2772</v>
      </c>
      <c r="B962" s="2" t="s">
        <v>4104</v>
      </c>
      <c r="C962" s="2" t="s">
        <v>4087</v>
      </c>
      <c r="D962" s="2"/>
      <c r="E962" s="31" t="n">
        <v>9.8</v>
      </c>
      <c r="F962" s="31" t="n">
        <v>50</v>
      </c>
      <c r="G962" s="31" t="n">
        <v>99</v>
      </c>
      <c r="H962" s="2" t="s">
        <v>668</v>
      </c>
    </row>
    <row r="963" customFormat="false" ht="15" hidden="false" customHeight="false" outlineLevel="0" collapsed="false">
      <c r="A963" s="2" t="s">
        <v>2772</v>
      </c>
      <c r="B963" s="2" t="s">
        <v>45</v>
      </c>
      <c r="C963" s="2" t="s">
        <v>4085</v>
      </c>
      <c r="D963" s="11" t="n">
        <v>160210</v>
      </c>
      <c r="E963" s="31" t="n">
        <v>19.6</v>
      </c>
      <c r="F963" s="31" t="n">
        <v>87.7</v>
      </c>
      <c r="G963" s="31" t="n">
        <v>14.9</v>
      </c>
      <c r="H963" s="2" t="s">
        <v>671</v>
      </c>
    </row>
    <row r="964" customFormat="false" ht="15" hidden="false" customHeight="false" outlineLevel="0" collapsed="false">
      <c r="A964" s="2" t="s">
        <v>2772</v>
      </c>
      <c r="B964" s="2" t="s">
        <v>45</v>
      </c>
      <c r="C964" s="2" t="s">
        <v>4086</v>
      </c>
      <c r="D964" s="2"/>
      <c r="E964" s="2"/>
      <c r="F964" s="2"/>
      <c r="G964" s="2"/>
      <c r="H964" s="2" t="s">
        <v>668</v>
      </c>
    </row>
    <row r="965" customFormat="false" ht="15" hidden="false" customHeight="false" outlineLevel="0" collapsed="false">
      <c r="A965" s="2" t="s">
        <v>2772</v>
      </c>
      <c r="B965" s="2" t="s">
        <v>45</v>
      </c>
      <c r="C965" s="2" t="s">
        <v>4087</v>
      </c>
      <c r="D965" s="11" t="n">
        <v>175530</v>
      </c>
      <c r="E965" s="31" t="n">
        <v>10</v>
      </c>
      <c r="F965" s="31" t="n">
        <v>50</v>
      </c>
      <c r="G965" s="2"/>
      <c r="H965" s="2" t="s">
        <v>668</v>
      </c>
    </row>
    <row r="966" customFormat="false" ht="15" hidden="false" customHeight="false" outlineLevel="0" collapsed="false">
      <c r="A966" s="2" t="s">
        <v>2772</v>
      </c>
      <c r="B966" s="2" t="s">
        <v>46</v>
      </c>
      <c r="C966" s="2" t="s">
        <v>4085</v>
      </c>
      <c r="D966" s="11" t="n">
        <v>136981</v>
      </c>
      <c r="E966" s="2"/>
      <c r="F966" s="31" t="n">
        <v>73.1</v>
      </c>
      <c r="G966" s="2"/>
      <c r="H966" s="2" t="s">
        <v>668</v>
      </c>
    </row>
    <row r="967" customFormat="false" ht="15" hidden="false" customHeight="false" outlineLevel="0" collapsed="false">
      <c r="A967" s="2" t="s">
        <v>2772</v>
      </c>
      <c r="B967" s="2" t="s">
        <v>46</v>
      </c>
      <c r="C967" s="2" t="s">
        <v>4086</v>
      </c>
      <c r="D967" s="11" t="n">
        <v>143900</v>
      </c>
      <c r="E967" s="31" t="n">
        <v>72.9</v>
      </c>
      <c r="F967" s="31" t="n">
        <v>73.2</v>
      </c>
      <c r="G967" s="31" t="n">
        <v>37.3</v>
      </c>
      <c r="H967" s="2" t="s">
        <v>671</v>
      </c>
    </row>
    <row r="968" customFormat="false" ht="15" hidden="false" customHeight="false" outlineLevel="0" collapsed="false">
      <c r="A968" s="2" t="s">
        <v>2772</v>
      </c>
      <c r="B968" s="2" t="s">
        <v>46</v>
      </c>
      <c r="C968" s="2" t="s">
        <v>4087</v>
      </c>
      <c r="D968" s="2"/>
      <c r="E968" s="2"/>
      <c r="F968" s="2"/>
      <c r="G968" s="2"/>
      <c r="H968" s="2" t="s">
        <v>668</v>
      </c>
    </row>
    <row r="969" customFormat="false" ht="15" hidden="false" customHeight="false" outlineLevel="0" collapsed="false">
      <c r="A969" s="2" t="s">
        <v>2772</v>
      </c>
      <c r="B969" s="2" t="s">
        <v>47</v>
      </c>
      <c r="C969" s="2" t="s">
        <v>4085</v>
      </c>
      <c r="D969" s="11" t="n">
        <v>14573</v>
      </c>
      <c r="E969" s="31" t="n">
        <v>11.6</v>
      </c>
      <c r="F969" s="31" t="n">
        <v>18.6</v>
      </c>
      <c r="G969" s="31" t="n">
        <v>97.5</v>
      </c>
      <c r="H969" s="2" t="s">
        <v>671</v>
      </c>
    </row>
    <row r="970" customFormat="false" ht="15" hidden="false" customHeight="false" outlineLevel="0" collapsed="false">
      <c r="A970" s="2" t="s">
        <v>2772</v>
      </c>
      <c r="B970" s="2" t="s">
        <v>47</v>
      </c>
      <c r="C970" s="2" t="s">
        <v>4086</v>
      </c>
      <c r="D970" s="11" t="n">
        <v>14778</v>
      </c>
      <c r="E970" s="31" t="n">
        <v>10.1</v>
      </c>
      <c r="F970" s="31" t="n">
        <v>12</v>
      </c>
      <c r="G970" s="31" t="n">
        <v>97.5</v>
      </c>
      <c r="H970" s="2" t="s">
        <v>671</v>
      </c>
    </row>
    <row r="971" customFormat="false" ht="15" hidden="false" customHeight="false" outlineLevel="0" collapsed="false">
      <c r="A971" s="2" t="s">
        <v>2772</v>
      </c>
      <c r="B971" s="2" t="s">
        <v>47</v>
      </c>
      <c r="C971" s="2" t="s">
        <v>4087</v>
      </c>
      <c r="D971" s="11" t="n">
        <v>14870</v>
      </c>
      <c r="E971" s="31" t="n">
        <v>9.7</v>
      </c>
      <c r="F971" s="2"/>
      <c r="G971" s="31" t="n">
        <v>99</v>
      </c>
      <c r="H971" s="2" t="s">
        <v>668</v>
      </c>
    </row>
    <row r="972" customFormat="false" ht="15" hidden="false" customHeight="false" outlineLevel="0" collapsed="false">
      <c r="A972" s="2" t="s">
        <v>1289</v>
      </c>
      <c r="B972" s="2" t="s">
        <v>4104</v>
      </c>
      <c r="C972" s="2" t="s">
        <v>4085</v>
      </c>
      <c r="D972" s="2"/>
      <c r="E972" s="31" t="n">
        <v>29</v>
      </c>
      <c r="F972" s="31" t="n">
        <v>22.1</v>
      </c>
      <c r="G972" s="31" t="n">
        <v>47.4</v>
      </c>
      <c r="H972" s="2" t="s">
        <v>668</v>
      </c>
    </row>
    <row r="973" customFormat="false" ht="15" hidden="false" customHeight="false" outlineLevel="0" collapsed="false">
      <c r="A973" s="2" t="s">
        <v>1289</v>
      </c>
      <c r="B973" s="2" t="s">
        <v>4104</v>
      </c>
      <c r="C973" s="2" t="s">
        <v>4086</v>
      </c>
      <c r="D973" s="2"/>
      <c r="E973" s="31" t="n">
        <v>20.7</v>
      </c>
      <c r="F973" s="31" t="n">
        <v>38.5</v>
      </c>
      <c r="G973" s="31" t="n">
        <v>56.9</v>
      </c>
      <c r="H973" s="2" t="s">
        <v>671</v>
      </c>
    </row>
    <row r="974" customFormat="false" ht="15" hidden="false" customHeight="false" outlineLevel="0" collapsed="false">
      <c r="A974" s="2" t="s">
        <v>1289</v>
      </c>
      <c r="B974" s="2" t="s">
        <v>4104</v>
      </c>
      <c r="C974" s="2" t="s">
        <v>4087</v>
      </c>
      <c r="D974" s="2"/>
      <c r="E974" s="31" t="n">
        <v>34.2</v>
      </c>
      <c r="F974" s="31" t="n">
        <v>34</v>
      </c>
      <c r="G974" s="31" t="n">
        <v>32.4</v>
      </c>
      <c r="H974" s="2" t="s">
        <v>668</v>
      </c>
    </row>
    <row r="975" customFormat="false" ht="15" hidden="false" customHeight="false" outlineLevel="0" collapsed="false">
      <c r="A975" s="2" t="s">
        <v>1289</v>
      </c>
      <c r="B975" s="2" t="s">
        <v>45</v>
      </c>
      <c r="C975" s="2" t="s">
        <v>4085</v>
      </c>
      <c r="D975" s="11" t="n">
        <v>169990</v>
      </c>
      <c r="E975" s="31" t="n">
        <v>25.3</v>
      </c>
      <c r="F975" s="31" t="n">
        <v>5.5</v>
      </c>
      <c r="G975" s="31" t="n">
        <v>86.1</v>
      </c>
      <c r="H975" s="2" t="s">
        <v>671</v>
      </c>
    </row>
    <row r="976" customFormat="false" ht="15" hidden="false" customHeight="false" outlineLevel="0" collapsed="false">
      <c r="A976" s="2" t="s">
        <v>1289</v>
      </c>
      <c r="B976" s="2" t="s">
        <v>45</v>
      </c>
      <c r="C976" s="2" t="s">
        <v>4086</v>
      </c>
      <c r="D976" s="11" t="n">
        <v>177829</v>
      </c>
      <c r="E976" s="31" t="n">
        <v>16.3</v>
      </c>
      <c r="F976" s="31" t="n">
        <v>13.6</v>
      </c>
      <c r="G976" s="31" t="n">
        <v>61.5</v>
      </c>
      <c r="H976" s="2" t="s">
        <v>671</v>
      </c>
    </row>
    <row r="977" customFormat="false" ht="15" hidden="false" customHeight="false" outlineLevel="0" collapsed="false">
      <c r="A977" s="2" t="s">
        <v>1289</v>
      </c>
      <c r="B977" s="2" t="s">
        <v>45</v>
      </c>
      <c r="C977" s="2" t="s">
        <v>4087</v>
      </c>
      <c r="D977" s="11" t="n">
        <v>178030</v>
      </c>
      <c r="E977" s="31" t="n">
        <v>15</v>
      </c>
      <c r="F977" s="31" t="n">
        <v>21.7</v>
      </c>
      <c r="G977" s="31" t="n">
        <v>59.7</v>
      </c>
      <c r="H977" s="2" t="s">
        <v>671</v>
      </c>
    </row>
    <row r="978" customFormat="false" ht="15" hidden="false" customHeight="false" outlineLevel="0" collapsed="false">
      <c r="A978" s="2" t="s">
        <v>1289</v>
      </c>
      <c r="B978" s="2" t="s">
        <v>46</v>
      </c>
      <c r="C978" s="2" t="s">
        <v>4085</v>
      </c>
      <c r="D978" s="11" t="n">
        <v>38687</v>
      </c>
      <c r="E978" s="31" t="n">
        <v>12.9</v>
      </c>
      <c r="F978" s="31" t="n">
        <v>39.7</v>
      </c>
      <c r="G978" s="2"/>
      <c r="H978" s="2" t="s">
        <v>668</v>
      </c>
    </row>
    <row r="979" customFormat="false" ht="15" hidden="false" customHeight="false" outlineLevel="0" collapsed="false">
      <c r="A979" s="2" t="s">
        <v>1289</v>
      </c>
      <c r="B979" s="2" t="s">
        <v>46</v>
      </c>
      <c r="C979" s="2" t="s">
        <v>4086</v>
      </c>
      <c r="D979" s="11" t="n">
        <v>40180</v>
      </c>
      <c r="E979" s="31" t="n">
        <v>5.9</v>
      </c>
      <c r="F979" s="31" t="n">
        <v>57.1</v>
      </c>
      <c r="G979" s="31" t="n">
        <v>71.3</v>
      </c>
      <c r="H979" s="2" t="s">
        <v>671</v>
      </c>
    </row>
    <row r="980" customFormat="false" ht="15" hidden="false" customHeight="false" outlineLevel="0" collapsed="false">
      <c r="A980" s="2" t="s">
        <v>1289</v>
      </c>
      <c r="B980" s="2" t="s">
        <v>46</v>
      </c>
      <c r="C980" s="2" t="s">
        <v>4087</v>
      </c>
      <c r="D980" s="2"/>
      <c r="E980" s="2"/>
      <c r="F980" s="2"/>
      <c r="G980" s="2"/>
      <c r="H980" s="2" t="s">
        <v>668</v>
      </c>
    </row>
    <row r="981" customFormat="false" ht="15" hidden="false" customHeight="false" outlineLevel="0" collapsed="false">
      <c r="A981" s="2" t="s">
        <v>1289</v>
      </c>
      <c r="B981" s="2" t="s">
        <v>47</v>
      </c>
      <c r="C981" s="2" t="s">
        <v>4085</v>
      </c>
      <c r="D981" s="11" t="n">
        <v>280263</v>
      </c>
      <c r="E981" s="31" t="n">
        <v>48.8</v>
      </c>
      <c r="F981" s="31" t="n">
        <v>21</v>
      </c>
      <c r="G981" s="31" t="n">
        <v>8.8</v>
      </c>
      <c r="H981" s="2" t="s">
        <v>671</v>
      </c>
    </row>
    <row r="982" customFormat="false" ht="15" hidden="false" customHeight="false" outlineLevel="0" collapsed="false">
      <c r="A982" s="2" t="s">
        <v>1289</v>
      </c>
      <c r="B982" s="2" t="s">
        <v>47</v>
      </c>
      <c r="C982" s="2" t="s">
        <v>4086</v>
      </c>
      <c r="D982" s="11" t="n">
        <v>291560</v>
      </c>
      <c r="E982" s="31" t="n">
        <v>40</v>
      </c>
      <c r="F982" s="31" t="n">
        <v>44.7</v>
      </c>
      <c r="G982" s="31" t="n">
        <v>37.8</v>
      </c>
      <c r="H982" s="2" t="s">
        <v>671</v>
      </c>
    </row>
    <row r="983" customFormat="false" ht="15" hidden="false" customHeight="false" outlineLevel="0" collapsed="false">
      <c r="A983" s="2" t="s">
        <v>1289</v>
      </c>
      <c r="B983" s="2" t="s">
        <v>47</v>
      </c>
      <c r="C983" s="2" t="s">
        <v>4087</v>
      </c>
      <c r="D983" s="11" t="n">
        <v>293453</v>
      </c>
      <c r="E983" s="31" t="n">
        <v>53.4</v>
      </c>
      <c r="F983" s="31" t="n">
        <v>46.4</v>
      </c>
      <c r="G983" s="31" t="n">
        <v>5.1</v>
      </c>
      <c r="H983" s="2" t="s">
        <v>671</v>
      </c>
    </row>
    <row r="984" customFormat="false" ht="15" hidden="false" customHeight="false" outlineLevel="0" collapsed="false">
      <c r="A984" s="2" t="s">
        <v>2775</v>
      </c>
      <c r="B984" s="2" t="s">
        <v>4104</v>
      </c>
      <c r="C984" s="2" t="s">
        <v>4085</v>
      </c>
      <c r="D984" s="2"/>
      <c r="E984" s="31" t="n">
        <v>70.8</v>
      </c>
      <c r="F984" s="31" t="n">
        <v>91</v>
      </c>
      <c r="G984" s="31" t="n">
        <v>81.5</v>
      </c>
      <c r="H984" s="2" t="s">
        <v>671</v>
      </c>
    </row>
    <row r="985" customFormat="false" ht="15" hidden="false" customHeight="false" outlineLevel="0" collapsed="false">
      <c r="A985" s="2" t="s">
        <v>2775</v>
      </c>
      <c r="B985" s="2" t="s">
        <v>4104</v>
      </c>
      <c r="C985" s="2" t="s">
        <v>4086</v>
      </c>
      <c r="D985" s="2"/>
      <c r="E985" s="2"/>
      <c r="F985" s="31" t="n">
        <v>89.2</v>
      </c>
      <c r="G985" s="31" t="n">
        <v>89</v>
      </c>
      <c r="H985" s="2" t="s">
        <v>668</v>
      </c>
    </row>
    <row r="986" customFormat="false" ht="15" hidden="false" customHeight="false" outlineLevel="0" collapsed="false">
      <c r="A986" s="2" t="s">
        <v>2775</v>
      </c>
      <c r="B986" s="2" t="s">
        <v>4104</v>
      </c>
      <c r="C986" s="2" t="s">
        <v>4087</v>
      </c>
      <c r="D986" s="2"/>
      <c r="E986" s="2"/>
      <c r="F986" s="31" t="n">
        <v>88.7</v>
      </c>
      <c r="G986" s="2"/>
      <c r="H986" s="2" t="s">
        <v>668</v>
      </c>
    </row>
    <row r="987" customFormat="false" ht="15" hidden="false" customHeight="false" outlineLevel="0" collapsed="false">
      <c r="A987" s="2" t="s">
        <v>2775</v>
      </c>
      <c r="B987" s="2" t="s">
        <v>46</v>
      </c>
      <c r="C987" s="2" t="s">
        <v>4085</v>
      </c>
      <c r="D987" s="11" t="n">
        <v>109690</v>
      </c>
      <c r="E987" s="31" t="n">
        <v>70.8</v>
      </c>
      <c r="F987" s="31" t="n">
        <v>91</v>
      </c>
      <c r="G987" s="31" t="n">
        <v>81.5</v>
      </c>
      <c r="H987" s="2" t="s">
        <v>671</v>
      </c>
    </row>
    <row r="988" customFormat="false" ht="15" hidden="false" customHeight="false" outlineLevel="0" collapsed="false">
      <c r="A988" s="2" t="s">
        <v>2775</v>
      </c>
      <c r="B988" s="2" t="s">
        <v>46</v>
      </c>
      <c r="C988" s="2" t="s">
        <v>4086</v>
      </c>
      <c r="D988" s="11" t="n">
        <v>114470</v>
      </c>
      <c r="E988" s="2"/>
      <c r="F988" s="31" t="n">
        <v>89.2</v>
      </c>
      <c r="G988" s="31" t="n">
        <v>89</v>
      </c>
      <c r="H988" s="2" t="s">
        <v>668</v>
      </c>
    </row>
    <row r="989" customFormat="false" ht="15" hidden="false" customHeight="false" outlineLevel="0" collapsed="false">
      <c r="A989" s="2" t="s">
        <v>2775</v>
      </c>
      <c r="B989" s="2" t="s">
        <v>46</v>
      </c>
      <c r="C989" s="2" t="s">
        <v>4087</v>
      </c>
      <c r="D989" s="11" t="n">
        <v>119808</v>
      </c>
      <c r="E989" s="2"/>
      <c r="F989" s="31" t="n">
        <v>88.7</v>
      </c>
      <c r="G989" s="2"/>
      <c r="H989" s="2" t="s">
        <v>668</v>
      </c>
    </row>
    <row r="990" customFormat="false" ht="15" hidden="false" customHeight="false" outlineLevel="0" collapsed="false">
      <c r="A990" s="2" t="s">
        <v>777</v>
      </c>
      <c r="B990" s="2" t="s">
        <v>4104</v>
      </c>
      <c r="C990" s="2" t="s">
        <v>4085</v>
      </c>
      <c r="D990" s="2"/>
      <c r="E990" s="31" t="n">
        <v>45.5</v>
      </c>
      <c r="F990" s="31" t="n">
        <v>85.3</v>
      </c>
      <c r="G990" s="31" t="n">
        <v>11.5</v>
      </c>
      <c r="H990" s="2" t="s">
        <v>668</v>
      </c>
    </row>
    <row r="991" customFormat="false" ht="15" hidden="false" customHeight="false" outlineLevel="0" collapsed="false">
      <c r="A991" s="2" t="s">
        <v>777</v>
      </c>
      <c r="B991" s="2" t="s">
        <v>4104</v>
      </c>
      <c r="C991" s="2" t="s">
        <v>4087</v>
      </c>
      <c r="D991" s="2"/>
      <c r="E991" s="31" t="n">
        <v>83.8</v>
      </c>
      <c r="F991" s="31" t="n">
        <v>62.8</v>
      </c>
      <c r="G991" s="2"/>
      <c r="H991" s="2" t="s">
        <v>668</v>
      </c>
    </row>
    <row r="992" customFormat="false" ht="15" hidden="false" customHeight="false" outlineLevel="0" collapsed="false">
      <c r="A992" s="2" t="s">
        <v>777</v>
      </c>
      <c r="B992" s="2" t="s">
        <v>45</v>
      </c>
      <c r="C992" s="2" t="s">
        <v>4085</v>
      </c>
      <c r="D992" s="2"/>
      <c r="E992" s="2"/>
      <c r="F992" s="2"/>
      <c r="G992" s="2"/>
      <c r="H992" s="2" t="s">
        <v>668</v>
      </c>
    </row>
    <row r="993" customFormat="false" ht="15" hidden="false" customHeight="false" outlineLevel="0" collapsed="false">
      <c r="A993" s="2" t="s">
        <v>777</v>
      </c>
      <c r="B993" s="2" t="s">
        <v>45</v>
      </c>
      <c r="C993" s="2" t="s">
        <v>4087</v>
      </c>
      <c r="D993" s="11" t="n">
        <v>12850</v>
      </c>
      <c r="E993" s="31" t="n">
        <v>86.3</v>
      </c>
      <c r="F993" s="31" t="n">
        <v>30.6</v>
      </c>
      <c r="G993" s="2"/>
      <c r="H993" s="2" t="s">
        <v>671</v>
      </c>
    </row>
    <row r="994" customFormat="false" ht="15" hidden="false" customHeight="false" outlineLevel="0" collapsed="false">
      <c r="A994" s="2" t="s">
        <v>777</v>
      </c>
      <c r="B994" s="2" t="s">
        <v>46</v>
      </c>
      <c r="C994" s="2" t="s">
        <v>4085</v>
      </c>
      <c r="D994" s="2"/>
      <c r="E994" s="2"/>
      <c r="F994" s="2"/>
      <c r="G994" s="2"/>
      <c r="H994" s="2" t="s">
        <v>668</v>
      </c>
    </row>
    <row r="995" customFormat="false" ht="15" hidden="false" customHeight="false" outlineLevel="0" collapsed="false">
      <c r="A995" s="2" t="s">
        <v>777</v>
      </c>
      <c r="B995" s="2" t="s">
        <v>46</v>
      </c>
      <c r="C995" s="2" t="s">
        <v>4087</v>
      </c>
      <c r="D995" s="11" t="n">
        <v>39664</v>
      </c>
      <c r="E995" s="31" t="n">
        <v>81.2</v>
      </c>
      <c r="F995" s="31" t="n">
        <v>95</v>
      </c>
      <c r="G995" s="2"/>
      <c r="H995" s="2" t="s">
        <v>668</v>
      </c>
    </row>
    <row r="996" customFormat="false" ht="15" hidden="false" customHeight="false" outlineLevel="0" collapsed="false">
      <c r="A996" s="2" t="s">
        <v>777</v>
      </c>
      <c r="B996" s="2" t="s">
        <v>47</v>
      </c>
      <c r="C996" s="2" t="s">
        <v>4085</v>
      </c>
      <c r="D996" s="11" t="n">
        <v>17373</v>
      </c>
      <c r="E996" s="31" t="n">
        <v>45.5</v>
      </c>
      <c r="F996" s="31" t="n">
        <v>85.3</v>
      </c>
      <c r="G996" s="31" t="n">
        <v>11.5</v>
      </c>
      <c r="H996" s="2" t="s">
        <v>671</v>
      </c>
    </row>
    <row r="997" customFormat="false" ht="15" hidden="false" customHeight="false" outlineLevel="0" collapsed="false">
      <c r="A997" s="2" t="s">
        <v>777</v>
      </c>
      <c r="B997" s="2" t="s">
        <v>47</v>
      </c>
      <c r="C997" s="2" t="s">
        <v>4087</v>
      </c>
      <c r="D997" s="2"/>
      <c r="E997" s="2"/>
      <c r="F997" s="2"/>
      <c r="G997" s="2"/>
      <c r="H997" s="2" t="s">
        <v>668</v>
      </c>
    </row>
    <row r="998" customFormat="false" ht="15" hidden="false" customHeight="false" outlineLevel="0" collapsed="false">
      <c r="A998" s="2" t="s">
        <v>710</v>
      </c>
      <c r="B998" s="2" t="s">
        <v>4104</v>
      </c>
      <c r="C998" s="2" t="s">
        <v>4085</v>
      </c>
      <c r="D998" s="2"/>
      <c r="E998" s="31" t="n">
        <v>63.8</v>
      </c>
      <c r="F998" s="31" t="n">
        <v>74</v>
      </c>
      <c r="G998" s="31" t="n">
        <v>69</v>
      </c>
      <c r="H998" s="2" t="s">
        <v>671</v>
      </c>
    </row>
    <row r="999" customFormat="false" ht="15" hidden="false" customHeight="false" outlineLevel="0" collapsed="false">
      <c r="A999" s="2" t="s">
        <v>710</v>
      </c>
      <c r="B999" s="2" t="s">
        <v>4104</v>
      </c>
      <c r="C999" s="2" t="s">
        <v>4086</v>
      </c>
      <c r="D999" s="2"/>
      <c r="E999" s="31" t="n">
        <v>57.7</v>
      </c>
      <c r="F999" s="31" t="n">
        <v>66.2</v>
      </c>
      <c r="G999" s="31" t="n">
        <v>59</v>
      </c>
      <c r="H999" s="2" t="s">
        <v>671</v>
      </c>
    </row>
    <row r="1000" customFormat="false" ht="15" hidden="false" customHeight="false" outlineLevel="0" collapsed="false">
      <c r="A1000" s="2" t="s">
        <v>710</v>
      </c>
      <c r="B1000" s="2" t="s">
        <v>4104</v>
      </c>
      <c r="C1000" s="2" t="s">
        <v>4087</v>
      </c>
      <c r="D1000" s="2"/>
      <c r="E1000" s="31" t="n">
        <v>94.9</v>
      </c>
      <c r="F1000" s="31" t="n">
        <v>21</v>
      </c>
      <c r="G1000" s="31" t="n">
        <v>93.9</v>
      </c>
      <c r="H1000" s="2" t="s">
        <v>668</v>
      </c>
    </row>
    <row r="1001" customFormat="false" ht="15" hidden="false" customHeight="false" outlineLevel="0" collapsed="false">
      <c r="A1001" s="2" t="s">
        <v>710</v>
      </c>
      <c r="B1001" s="2" t="s">
        <v>45</v>
      </c>
      <c r="C1001" s="2" t="s">
        <v>4085</v>
      </c>
      <c r="D1001" s="11" t="n">
        <v>40140</v>
      </c>
      <c r="E1001" s="31" t="n">
        <v>96.8</v>
      </c>
      <c r="F1001" s="31" t="n">
        <v>60.2</v>
      </c>
      <c r="G1001" s="31" t="n">
        <v>94.6</v>
      </c>
      <c r="H1001" s="2" t="s">
        <v>671</v>
      </c>
    </row>
    <row r="1002" customFormat="false" ht="15" hidden="false" customHeight="false" outlineLevel="0" collapsed="false">
      <c r="A1002" s="2" t="s">
        <v>710</v>
      </c>
      <c r="B1002" s="2" t="s">
        <v>45</v>
      </c>
      <c r="C1002" s="2" t="s">
        <v>4086</v>
      </c>
      <c r="D1002" s="11" t="n">
        <v>42010</v>
      </c>
      <c r="E1002" s="31" t="n">
        <v>96.4</v>
      </c>
      <c r="F1002" s="31" t="n">
        <v>65.3</v>
      </c>
      <c r="G1002" s="31" t="n">
        <v>98.8</v>
      </c>
      <c r="H1002" s="2" t="s">
        <v>671</v>
      </c>
    </row>
    <row r="1003" customFormat="false" ht="15" hidden="false" customHeight="false" outlineLevel="0" collapsed="false">
      <c r="A1003" s="2" t="s">
        <v>710</v>
      </c>
      <c r="B1003" s="2" t="s">
        <v>45</v>
      </c>
      <c r="C1003" s="2" t="s">
        <v>4087</v>
      </c>
      <c r="D1003" s="11" t="n">
        <v>43170</v>
      </c>
      <c r="E1003" s="31" t="n">
        <v>94.9</v>
      </c>
      <c r="F1003" s="31" t="n">
        <v>21</v>
      </c>
      <c r="G1003" s="31" t="n">
        <v>93.9</v>
      </c>
      <c r="H1003" s="2" t="s">
        <v>671</v>
      </c>
    </row>
    <row r="1004" customFormat="false" ht="15" hidden="false" customHeight="false" outlineLevel="0" collapsed="false">
      <c r="A1004" s="2" t="s">
        <v>710</v>
      </c>
      <c r="B1004" s="2" t="s">
        <v>47</v>
      </c>
      <c r="C1004" s="2" t="s">
        <v>4085</v>
      </c>
      <c r="D1004" s="11" t="n">
        <v>171483</v>
      </c>
      <c r="E1004" s="31" t="n">
        <v>30.8</v>
      </c>
      <c r="F1004" s="31" t="n">
        <v>87.7</v>
      </c>
      <c r="G1004" s="31" t="n">
        <v>43.4</v>
      </c>
      <c r="H1004" s="2" t="s">
        <v>671</v>
      </c>
    </row>
    <row r="1005" customFormat="false" ht="15" hidden="false" customHeight="false" outlineLevel="0" collapsed="false">
      <c r="A1005" s="2" t="s">
        <v>710</v>
      </c>
      <c r="B1005" s="2" t="s">
        <v>47</v>
      </c>
      <c r="C1005" s="2" t="s">
        <v>4086</v>
      </c>
      <c r="D1005" s="11" t="n">
        <v>181536</v>
      </c>
      <c r="E1005" s="31" t="n">
        <v>19</v>
      </c>
      <c r="F1005" s="31" t="n">
        <v>67.1</v>
      </c>
      <c r="G1005" s="31" t="n">
        <v>19.2</v>
      </c>
      <c r="H1005" s="2" t="s">
        <v>671</v>
      </c>
    </row>
    <row r="1006" customFormat="false" ht="15" hidden="false" customHeight="false" outlineLevel="0" collapsed="false">
      <c r="A1006" s="2" t="s">
        <v>710</v>
      </c>
      <c r="B1006" s="2" t="s">
        <v>47</v>
      </c>
      <c r="C1006" s="2" t="s">
        <v>4087</v>
      </c>
      <c r="D1006" s="2"/>
      <c r="E1006" s="2"/>
      <c r="F1006" s="2"/>
      <c r="G1006" s="2"/>
      <c r="H1006" s="2" t="s">
        <v>668</v>
      </c>
    </row>
    <row r="1007" customFormat="false" ht="15" hidden="false" customHeight="false" outlineLevel="0" collapsed="false">
      <c r="A1007" s="2" t="s">
        <v>390</v>
      </c>
      <c r="B1007" s="2" t="s">
        <v>4104</v>
      </c>
      <c r="C1007" s="2" t="s">
        <v>4085</v>
      </c>
      <c r="D1007" s="2"/>
      <c r="E1007" s="31" t="n">
        <v>64.2</v>
      </c>
      <c r="F1007" s="31" t="n">
        <v>36.4</v>
      </c>
      <c r="G1007" s="31" t="n">
        <v>56.9</v>
      </c>
      <c r="H1007" s="2" t="s">
        <v>671</v>
      </c>
    </row>
    <row r="1008" customFormat="false" ht="15" hidden="false" customHeight="false" outlineLevel="0" collapsed="false">
      <c r="A1008" s="2" t="s">
        <v>390</v>
      </c>
      <c r="B1008" s="2" t="s">
        <v>4104</v>
      </c>
      <c r="C1008" s="2" t="s">
        <v>4086</v>
      </c>
      <c r="D1008" s="2"/>
      <c r="E1008" s="31" t="n">
        <v>31.2</v>
      </c>
      <c r="F1008" s="31" t="n">
        <v>33.2</v>
      </c>
      <c r="G1008" s="31" t="n">
        <v>67.1</v>
      </c>
      <c r="H1008" s="2" t="s">
        <v>668</v>
      </c>
    </row>
    <row r="1009" customFormat="false" ht="15" hidden="false" customHeight="false" outlineLevel="0" collapsed="false">
      <c r="A1009" s="2" t="s">
        <v>390</v>
      </c>
      <c r="B1009" s="2" t="s">
        <v>4104</v>
      </c>
      <c r="C1009" s="2" t="s">
        <v>4087</v>
      </c>
      <c r="D1009" s="2"/>
      <c r="E1009" s="31" t="n">
        <v>47.7</v>
      </c>
      <c r="F1009" s="31" t="n">
        <v>57.1</v>
      </c>
      <c r="G1009" s="31" t="n">
        <v>57.7</v>
      </c>
      <c r="H1009" s="2" t="s">
        <v>671</v>
      </c>
    </row>
    <row r="1010" customFormat="false" ht="15" hidden="false" customHeight="false" outlineLevel="0" collapsed="false">
      <c r="A1010" s="2" t="s">
        <v>390</v>
      </c>
      <c r="B1010" s="2" t="s">
        <v>45</v>
      </c>
      <c r="C1010" s="2" t="s">
        <v>4085</v>
      </c>
      <c r="D1010" s="11" t="n">
        <v>84930</v>
      </c>
      <c r="E1010" s="31" t="n">
        <v>57</v>
      </c>
      <c r="F1010" s="31" t="n">
        <v>6.6</v>
      </c>
      <c r="G1010" s="31" t="n">
        <v>87.1</v>
      </c>
      <c r="H1010" s="2" t="s">
        <v>671</v>
      </c>
    </row>
    <row r="1011" customFormat="false" ht="15" hidden="false" customHeight="false" outlineLevel="0" collapsed="false">
      <c r="A1011" s="2" t="s">
        <v>390</v>
      </c>
      <c r="B1011" s="2" t="s">
        <v>45</v>
      </c>
      <c r="C1011" s="2" t="s">
        <v>4086</v>
      </c>
      <c r="D1011" s="11" t="n">
        <v>82280</v>
      </c>
      <c r="E1011" s="31" t="n">
        <v>48.6</v>
      </c>
      <c r="F1011" s="31" t="n">
        <v>19.2</v>
      </c>
      <c r="G1011" s="31" t="n">
        <v>67.1</v>
      </c>
      <c r="H1011" s="2" t="s">
        <v>671</v>
      </c>
    </row>
    <row r="1012" customFormat="false" ht="15" hidden="false" customHeight="false" outlineLevel="0" collapsed="false">
      <c r="A1012" s="2" t="s">
        <v>390</v>
      </c>
      <c r="B1012" s="2" t="s">
        <v>45</v>
      </c>
      <c r="C1012" s="2" t="s">
        <v>4087</v>
      </c>
      <c r="D1012" s="11" t="n">
        <v>83088</v>
      </c>
      <c r="E1012" s="31" t="n">
        <v>54.3</v>
      </c>
      <c r="F1012" s="31" t="n">
        <v>9.9</v>
      </c>
      <c r="G1012" s="31" t="n">
        <v>33.4</v>
      </c>
      <c r="H1012" s="2" t="s">
        <v>671</v>
      </c>
    </row>
    <row r="1013" customFormat="false" ht="15" hidden="false" customHeight="false" outlineLevel="0" collapsed="false">
      <c r="A1013" s="2" t="s">
        <v>390</v>
      </c>
      <c r="B1013" s="2" t="s">
        <v>46</v>
      </c>
      <c r="C1013" s="2" t="s">
        <v>4085</v>
      </c>
      <c r="D1013" s="11" t="n">
        <v>11810</v>
      </c>
      <c r="E1013" s="31" t="n">
        <v>70.1</v>
      </c>
      <c r="F1013" s="31" t="n">
        <v>38.6</v>
      </c>
      <c r="G1013" s="31" t="n">
        <v>51.1</v>
      </c>
      <c r="H1013" s="2" t="s">
        <v>671</v>
      </c>
    </row>
    <row r="1014" customFormat="false" ht="15" hidden="false" customHeight="false" outlineLevel="0" collapsed="false">
      <c r="A1014" s="2" t="s">
        <v>390</v>
      </c>
      <c r="B1014" s="2" t="s">
        <v>46</v>
      </c>
      <c r="C1014" s="2" t="s">
        <v>4086</v>
      </c>
      <c r="D1014" s="2"/>
      <c r="E1014" s="2"/>
      <c r="F1014" s="2"/>
      <c r="G1014" s="2"/>
      <c r="H1014" s="2" t="s">
        <v>668</v>
      </c>
    </row>
    <row r="1015" customFormat="false" ht="15" hidden="false" customHeight="false" outlineLevel="0" collapsed="false">
      <c r="A1015" s="2" t="s">
        <v>390</v>
      </c>
      <c r="B1015" s="2" t="s">
        <v>46</v>
      </c>
      <c r="C1015" s="2" t="s">
        <v>4087</v>
      </c>
      <c r="D1015" s="11" t="n">
        <v>12510</v>
      </c>
      <c r="E1015" s="31" t="n">
        <v>70</v>
      </c>
      <c r="F1015" s="31" t="n">
        <v>83.8</v>
      </c>
      <c r="G1015" s="31" t="n">
        <v>53.9</v>
      </c>
      <c r="H1015" s="2" t="s">
        <v>671</v>
      </c>
    </row>
    <row r="1016" customFormat="false" ht="15" hidden="false" customHeight="false" outlineLevel="0" collapsed="false">
      <c r="A1016" s="2" t="s">
        <v>390</v>
      </c>
      <c r="B1016" s="2" t="s">
        <v>47</v>
      </c>
      <c r="C1016" s="2" t="s">
        <v>4085</v>
      </c>
      <c r="D1016" s="11" t="n">
        <v>15885</v>
      </c>
      <c r="E1016" s="31" t="n">
        <v>65.4</v>
      </c>
      <c r="F1016" s="31" t="n">
        <v>64.1</v>
      </c>
      <c r="G1016" s="31" t="n">
        <v>32.6</v>
      </c>
      <c r="H1016" s="2" t="s">
        <v>671</v>
      </c>
    </row>
    <row r="1017" customFormat="false" ht="15" hidden="false" customHeight="false" outlineLevel="0" collapsed="false">
      <c r="A1017" s="2" t="s">
        <v>390</v>
      </c>
      <c r="B1017" s="2" t="s">
        <v>47</v>
      </c>
      <c r="C1017" s="2" t="s">
        <v>4086</v>
      </c>
      <c r="D1017" s="11" t="n">
        <v>16748</v>
      </c>
      <c r="E1017" s="31" t="n">
        <v>13.9</v>
      </c>
      <c r="F1017" s="31" t="n">
        <v>47.1</v>
      </c>
      <c r="G1017" s="2"/>
      <c r="H1017" s="2" t="s">
        <v>668</v>
      </c>
    </row>
    <row r="1018" customFormat="false" ht="15" hidden="false" customHeight="false" outlineLevel="0" collapsed="false">
      <c r="A1018" s="2" t="s">
        <v>390</v>
      </c>
      <c r="B1018" s="2" t="s">
        <v>47</v>
      </c>
      <c r="C1018" s="2" t="s">
        <v>4087</v>
      </c>
      <c r="D1018" s="11" t="n">
        <v>17680</v>
      </c>
      <c r="E1018" s="31" t="n">
        <v>18.8</v>
      </c>
      <c r="F1018" s="31" t="n">
        <v>77.7</v>
      </c>
      <c r="G1018" s="31" t="n">
        <v>85.9</v>
      </c>
      <c r="H1018" s="2" t="s">
        <v>671</v>
      </c>
    </row>
    <row r="1019" customFormat="false" ht="15" hidden="false" customHeight="false" outlineLevel="0" collapsed="false">
      <c r="A1019" s="2" t="s">
        <v>150</v>
      </c>
      <c r="B1019" s="2" t="s">
        <v>4104</v>
      </c>
      <c r="C1019" s="2" t="s">
        <v>4085</v>
      </c>
      <c r="D1019" s="2"/>
      <c r="E1019" s="31" t="n">
        <v>74</v>
      </c>
      <c r="F1019" s="31" t="n">
        <v>5.2</v>
      </c>
      <c r="G1019" s="31" t="n">
        <v>65.1</v>
      </c>
      <c r="H1019" s="2" t="s">
        <v>671</v>
      </c>
    </row>
    <row r="1020" customFormat="false" ht="15" hidden="false" customHeight="false" outlineLevel="0" collapsed="false">
      <c r="A1020" s="2" t="s">
        <v>150</v>
      </c>
      <c r="B1020" s="2" t="s">
        <v>4104</v>
      </c>
      <c r="C1020" s="2" t="s">
        <v>4086</v>
      </c>
      <c r="D1020" s="2"/>
      <c r="E1020" s="31" t="n">
        <v>76.5</v>
      </c>
      <c r="F1020" s="31" t="n">
        <v>3.2</v>
      </c>
      <c r="G1020" s="31" t="n">
        <v>65.6</v>
      </c>
      <c r="H1020" s="2" t="s">
        <v>671</v>
      </c>
    </row>
    <row r="1021" customFormat="false" ht="15" hidden="false" customHeight="false" outlineLevel="0" collapsed="false">
      <c r="A1021" s="2" t="s">
        <v>150</v>
      </c>
      <c r="B1021" s="2" t="s">
        <v>4104</v>
      </c>
      <c r="C1021" s="2" t="s">
        <v>4087</v>
      </c>
      <c r="D1021" s="2"/>
      <c r="E1021" s="31" t="n">
        <v>79.8</v>
      </c>
      <c r="F1021" s="31" t="n">
        <v>19.5</v>
      </c>
      <c r="G1021" s="31" t="n">
        <v>89.3</v>
      </c>
      <c r="H1021" s="2" t="s">
        <v>671</v>
      </c>
    </row>
    <row r="1022" customFormat="false" ht="15" hidden="false" customHeight="false" outlineLevel="0" collapsed="false">
      <c r="A1022" s="2" t="s">
        <v>150</v>
      </c>
      <c r="B1022" s="2" t="s">
        <v>47</v>
      </c>
      <c r="C1022" s="2" t="s">
        <v>4085</v>
      </c>
      <c r="D1022" s="11" t="n">
        <v>34144</v>
      </c>
      <c r="E1022" s="31" t="n">
        <v>74</v>
      </c>
      <c r="F1022" s="31" t="n">
        <v>5.2</v>
      </c>
      <c r="G1022" s="31" t="n">
        <v>65.1</v>
      </c>
      <c r="H1022" s="2" t="s">
        <v>671</v>
      </c>
    </row>
    <row r="1023" customFormat="false" ht="15" hidden="false" customHeight="false" outlineLevel="0" collapsed="false">
      <c r="A1023" s="2" t="s">
        <v>150</v>
      </c>
      <c r="B1023" s="2" t="s">
        <v>47</v>
      </c>
      <c r="C1023" s="2" t="s">
        <v>4086</v>
      </c>
      <c r="D1023" s="11" t="n">
        <v>33710</v>
      </c>
      <c r="E1023" s="31" t="n">
        <v>76.5</v>
      </c>
      <c r="F1023" s="31" t="n">
        <v>3.2</v>
      </c>
      <c r="G1023" s="31" t="n">
        <v>65.6</v>
      </c>
      <c r="H1023" s="2" t="s">
        <v>671</v>
      </c>
    </row>
    <row r="1024" customFormat="false" ht="15" hidden="false" customHeight="false" outlineLevel="0" collapsed="false">
      <c r="A1024" s="2" t="s">
        <v>150</v>
      </c>
      <c r="B1024" s="2" t="s">
        <v>47</v>
      </c>
      <c r="C1024" s="2" t="s">
        <v>4087</v>
      </c>
      <c r="D1024" s="11" t="n">
        <v>34292</v>
      </c>
      <c r="E1024" s="31" t="n">
        <v>79.8</v>
      </c>
      <c r="F1024" s="31" t="n">
        <v>19.5</v>
      </c>
      <c r="G1024" s="31" t="n">
        <v>89.3</v>
      </c>
      <c r="H1024" s="2" t="s">
        <v>671</v>
      </c>
    </row>
    <row r="1025" customFormat="false" ht="15" hidden="false" customHeight="false" outlineLevel="0" collapsed="false">
      <c r="A1025" s="2" t="s">
        <v>250</v>
      </c>
      <c r="B1025" s="2" t="s">
        <v>4104</v>
      </c>
      <c r="C1025" s="2" t="s">
        <v>4085</v>
      </c>
      <c r="D1025" s="2"/>
      <c r="E1025" s="31" t="n">
        <v>54</v>
      </c>
      <c r="F1025" s="31" t="n">
        <v>85.8</v>
      </c>
      <c r="G1025" s="31" t="n">
        <v>95.6</v>
      </c>
      <c r="H1025" s="2" t="s">
        <v>668</v>
      </c>
    </row>
    <row r="1026" customFormat="false" ht="15" hidden="false" customHeight="false" outlineLevel="0" collapsed="false">
      <c r="A1026" s="2" t="s">
        <v>250</v>
      </c>
      <c r="B1026" s="2" t="s">
        <v>4104</v>
      </c>
      <c r="C1026" s="2" t="s">
        <v>4086</v>
      </c>
      <c r="D1026" s="2"/>
      <c r="E1026" s="31" t="n">
        <v>71.8</v>
      </c>
      <c r="F1026" s="31" t="n">
        <v>48.5</v>
      </c>
      <c r="G1026" s="31" t="n">
        <v>65.8</v>
      </c>
      <c r="H1026" s="2" t="s">
        <v>671</v>
      </c>
    </row>
    <row r="1027" customFormat="false" ht="15" hidden="false" customHeight="false" outlineLevel="0" collapsed="false">
      <c r="A1027" s="2" t="s">
        <v>250</v>
      </c>
      <c r="B1027" s="2" t="s">
        <v>4104</v>
      </c>
      <c r="C1027" s="2" t="s">
        <v>4087</v>
      </c>
      <c r="D1027" s="2"/>
      <c r="E1027" s="31" t="n">
        <v>63.8</v>
      </c>
      <c r="F1027" s="31" t="n">
        <v>50.7</v>
      </c>
      <c r="G1027" s="31" t="n">
        <v>60.1</v>
      </c>
      <c r="H1027" s="2" t="s">
        <v>671</v>
      </c>
    </row>
    <row r="1028" customFormat="false" ht="15" hidden="false" customHeight="false" outlineLevel="0" collapsed="false">
      <c r="A1028" s="2" t="s">
        <v>250</v>
      </c>
      <c r="B1028" s="2" t="s">
        <v>45</v>
      </c>
      <c r="C1028" s="2" t="s">
        <v>4085</v>
      </c>
      <c r="D1028" s="11" t="n">
        <v>24120</v>
      </c>
      <c r="E1028" s="31" t="n">
        <v>63.1</v>
      </c>
      <c r="F1028" s="2"/>
      <c r="G1028" s="31" t="n">
        <v>96.1</v>
      </c>
      <c r="H1028" s="2" t="s">
        <v>668</v>
      </c>
    </row>
    <row r="1029" customFormat="false" ht="15" hidden="false" customHeight="false" outlineLevel="0" collapsed="false">
      <c r="A1029" s="2" t="s">
        <v>250</v>
      </c>
      <c r="B1029" s="2" t="s">
        <v>45</v>
      </c>
      <c r="C1029" s="2" t="s">
        <v>4086</v>
      </c>
      <c r="D1029" s="11" t="n">
        <v>24180</v>
      </c>
      <c r="E1029" s="31" t="n">
        <v>39.5</v>
      </c>
      <c r="F1029" s="31" t="n">
        <v>24.7</v>
      </c>
      <c r="G1029" s="31" t="n">
        <v>81.4</v>
      </c>
      <c r="H1029" s="2" t="s">
        <v>671</v>
      </c>
    </row>
    <row r="1030" customFormat="false" ht="15" hidden="false" customHeight="false" outlineLevel="0" collapsed="false">
      <c r="A1030" s="2" t="s">
        <v>250</v>
      </c>
      <c r="B1030" s="2" t="s">
        <v>45</v>
      </c>
      <c r="C1030" s="2" t="s">
        <v>4087</v>
      </c>
      <c r="D1030" s="11" t="n">
        <v>25108</v>
      </c>
      <c r="E1030" s="31" t="n">
        <v>36.8</v>
      </c>
      <c r="F1030" s="31" t="n">
        <v>41.3</v>
      </c>
      <c r="G1030" s="31" t="n">
        <v>68.8</v>
      </c>
      <c r="H1030" s="2" t="s">
        <v>671</v>
      </c>
    </row>
    <row r="1031" customFormat="false" ht="15" hidden="false" customHeight="false" outlineLevel="0" collapsed="false">
      <c r="A1031" s="2" t="s">
        <v>250</v>
      </c>
      <c r="B1031" s="2" t="s">
        <v>46</v>
      </c>
      <c r="C1031" s="2" t="s">
        <v>4085</v>
      </c>
      <c r="D1031" s="11" t="n">
        <v>45940</v>
      </c>
      <c r="E1031" s="31" t="n">
        <v>44.8</v>
      </c>
      <c r="F1031" s="31" t="n">
        <v>85.8</v>
      </c>
      <c r="G1031" s="31" t="n">
        <v>95</v>
      </c>
      <c r="H1031" s="2" t="s">
        <v>671</v>
      </c>
    </row>
    <row r="1032" customFormat="false" ht="15" hidden="false" customHeight="false" outlineLevel="0" collapsed="false">
      <c r="A1032" s="2" t="s">
        <v>250</v>
      </c>
      <c r="B1032" s="2" t="s">
        <v>46</v>
      </c>
      <c r="C1032" s="2" t="s">
        <v>4086</v>
      </c>
      <c r="D1032" s="11" t="n">
        <v>26690</v>
      </c>
      <c r="E1032" s="31" t="n">
        <v>80</v>
      </c>
      <c r="F1032" s="31" t="n">
        <v>100</v>
      </c>
      <c r="G1032" s="31" t="n">
        <v>78.1</v>
      </c>
      <c r="H1032" s="2" t="s">
        <v>671</v>
      </c>
    </row>
    <row r="1033" customFormat="false" ht="15" hidden="false" customHeight="false" outlineLevel="0" collapsed="false">
      <c r="A1033" s="2" t="s">
        <v>250</v>
      </c>
      <c r="B1033" s="2" t="s">
        <v>46</v>
      </c>
      <c r="C1033" s="2" t="s">
        <v>4087</v>
      </c>
      <c r="D1033" s="11" t="n">
        <v>53743</v>
      </c>
      <c r="E1033" s="31" t="n">
        <v>56.2</v>
      </c>
      <c r="F1033" s="31" t="n">
        <v>96.7</v>
      </c>
      <c r="G1033" s="31" t="n">
        <v>60.9</v>
      </c>
      <c r="H1033" s="2" t="s">
        <v>671</v>
      </c>
    </row>
    <row r="1034" customFormat="false" ht="15" hidden="false" customHeight="false" outlineLevel="0" collapsed="false">
      <c r="A1034" s="2" t="s">
        <v>250</v>
      </c>
      <c r="B1034" s="2" t="s">
        <v>47</v>
      </c>
      <c r="C1034" s="2" t="s">
        <v>4085</v>
      </c>
      <c r="D1034" s="2"/>
      <c r="E1034" s="2"/>
      <c r="F1034" s="2"/>
      <c r="G1034" s="2"/>
      <c r="H1034" s="2" t="s">
        <v>668</v>
      </c>
    </row>
    <row r="1035" customFormat="false" ht="15" hidden="false" customHeight="false" outlineLevel="0" collapsed="false">
      <c r="A1035" s="2" t="s">
        <v>250</v>
      </c>
      <c r="B1035" s="2" t="s">
        <v>47</v>
      </c>
      <c r="C1035" s="2" t="s">
        <v>4086</v>
      </c>
      <c r="D1035" s="11" t="n">
        <v>96079</v>
      </c>
      <c r="E1035" s="31" t="n">
        <v>95.8</v>
      </c>
      <c r="F1035" s="31" t="n">
        <v>20.8</v>
      </c>
      <c r="G1035" s="31" t="n">
        <v>38</v>
      </c>
      <c r="H1035" s="2" t="s">
        <v>671</v>
      </c>
    </row>
    <row r="1036" customFormat="false" ht="15" hidden="false" customHeight="false" outlineLevel="0" collapsed="false">
      <c r="A1036" s="2" t="s">
        <v>250</v>
      </c>
      <c r="B1036" s="2" t="s">
        <v>47</v>
      </c>
      <c r="C1036" s="2" t="s">
        <v>4087</v>
      </c>
      <c r="D1036" s="11" t="n">
        <v>94677</v>
      </c>
      <c r="E1036" s="31" t="n">
        <v>98.5</v>
      </c>
      <c r="F1036" s="31" t="n">
        <v>14.2</v>
      </c>
      <c r="G1036" s="31" t="n">
        <v>50.5</v>
      </c>
      <c r="H1036" s="2" t="s">
        <v>671</v>
      </c>
    </row>
    <row r="1037" customFormat="false" ht="15" hidden="false" customHeight="false" outlineLevel="0" collapsed="false">
      <c r="A1037" s="2" t="s">
        <v>654</v>
      </c>
      <c r="B1037" s="2" t="s">
        <v>4104</v>
      </c>
      <c r="C1037" s="2" t="s">
        <v>4085</v>
      </c>
      <c r="D1037" s="2"/>
      <c r="E1037" s="31" t="n">
        <v>0.2</v>
      </c>
      <c r="F1037" s="31" t="n">
        <v>34</v>
      </c>
      <c r="G1037" s="31" t="n">
        <v>6</v>
      </c>
      <c r="H1037" s="2" t="s">
        <v>671</v>
      </c>
    </row>
    <row r="1038" customFormat="false" ht="15" hidden="false" customHeight="false" outlineLevel="0" collapsed="false">
      <c r="A1038" s="2" t="s">
        <v>654</v>
      </c>
      <c r="B1038" s="2" t="s">
        <v>4104</v>
      </c>
      <c r="C1038" s="2" t="s">
        <v>4086</v>
      </c>
      <c r="D1038" s="2"/>
      <c r="E1038" s="31" t="n">
        <v>0.4</v>
      </c>
      <c r="F1038" s="31" t="n">
        <v>13.7</v>
      </c>
      <c r="G1038" s="31" t="n">
        <v>3.6</v>
      </c>
      <c r="H1038" s="2" t="s">
        <v>671</v>
      </c>
    </row>
    <row r="1039" customFormat="false" ht="15" hidden="false" customHeight="false" outlineLevel="0" collapsed="false">
      <c r="A1039" s="2" t="s">
        <v>654</v>
      </c>
      <c r="B1039" s="2" t="s">
        <v>4104</v>
      </c>
      <c r="C1039" s="2" t="s">
        <v>4087</v>
      </c>
      <c r="D1039" s="2"/>
      <c r="E1039" s="31" t="n">
        <v>0.6</v>
      </c>
      <c r="F1039" s="31" t="n">
        <v>13.9</v>
      </c>
      <c r="G1039" s="31" t="n">
        <v>6.1</v>
      </c>
      <c r="H1039" s="2" t="s">
        <v>671</v>
      </c>
    </row>
    <row r="1040" customFormat="false" ht="15" hidden="false" customHeight="false" outlineLevel="0" collapsed="false">
      <c r="A1040" s="2" t="s">
        <v>654</v>
      </c>
      <c r="B1040" s="2" t="s">
        <v>47</v>
      </c>
      <c r="C1040" s="2" t="s">
        <v>4085</v>
      </c>
      <c r="D1040" s="11" t="n">
        <v>382979</v>
      </c>
      <c r="E1040" s="31" t="n">
        <v>0.2</v>
      </c>
      <c r="F1040" s="31" t="n">
        <v>34</v>
      </c>
      <c r="G1040" s="31" t="n">
        <v>6</v>
      </c>
      <c r="H1040" s="2" t="s">
        <v>671</v>
      </c>
    </row>
    <row r="1041" customFormat="false" ht="15" hidden="false" customHeight="false" outlineLevel="0" collapsed="false">
      <c r="A1041" s="2" t="s">
        <v>654</v>
      </c>
      <c r="B1041" s="2" t="s">
        <v>47</v>
      </c>
      <c r="C1041" s="2" t="s">
        <v>4086</v>
      </c>
      <c r="D1041" s="11" t="n">
        <v>383499</v>
      </c>
      <c r="E1041" s="31" t="n">
        <v>0.4</v>
      </c>
      <c r="F1041" s="31" t="n">
        <v>13.7</v>
      </c>
      <c r="G1041" s="31" t="n">
        <v>3.6</v>
      </c>
      <c r="H1041" s="2" t="s">
        <v>671</v>
      </c>
    </row>
    <row r="1042" customFormat="false" ht="15" hidden="false" customHeight="false" outlineLevel="0" collapsed="false">
      <c r="A1042" s="2" t="s">
        <v>654</v>
      </c>
      <c r="B1042" s="2" t="s">
        <v>47</v>
      </c>
      <c r="C1042" s="2" t="s">
        <v>4087</v>
      </c>
      <c r="D1042" s="11" t="n">
        <v>389089</v>
      </c>
      <c r="E1042" s="31" t="n">
        <v>0.6</v>
      </c>
      <c r="F1042" s="31" t="n">
        <v>13.9</v>
      </c>
      <c r="G1042" s="31" t="n">
        <v>6.1</v>
      </c>
      <c r="H1042" s="2" t="s">
        <v>671</v>
      </c>
    </row>
    <row r="1043" customFormat="false" ht="15" hidden="false" customHeight="false" outlineLevel="0" collapsed="false">
      <c r="A1043" s="2" t="s">
        <v>534</v>
      </c>
      <c r="B1043" s="2" t="s">
        <v>4104</v>
      </c>
      <c r="C1043" s="2" t="s">
        <v>4085</v>
      </c>
      <c r="D1043" s="2"/>
      <c r="E1043" s="31" t="n">
        <v>29.8</v>
      </c>
      <c r="F1043" s="31" t="n">
        <v>71.2</v>
      </c>
      <c r="G1043" s="31" t="n">
        <v>8.5</v>
      </c>
      <c r="H1043" s="2" t="s">
        <v>668</v>
      </c>
    </row>
    <row r="1044" customFormat="false" ht="15" hidden="false" customHeight="false" outlineLevel="0" collapsed="false">
      <c r="A1044" s="2" t="s">
        <v>534</v>
      </c>
      <c r="B1044" s="2" t="s">
        <v>4104</v>
      </c>
      <c r="C1044" s="2" t="s">
        <v>4086</v>
      </c>
      <c r="D1044" s="2"/>
      <c r="E1044" s="31" t="n">
        <v>19.6</v>
      </c>
      <c r="F1044" s="31" t="n">
        <v>36.9</v>
      </c>
      <c r="G1044" s="31" t="n">
        <v>57</v>
      </c>
      <c r="H1044" s="2" t="s">
        <v>671</v>
      </c>
    </row>
    <row r="1045" customFormat="false" ht="15" hidden="false" customHeight="false" outlineLevel="0" collapsed="false">
      <c r="A1045" s="2" t="s">
        <v>534</v>
      </c>
      <c r="B1045" s="2" t="s">
        <v>4104</v>
      </c>
      <c r="C1045" s="2" t="s">
        <v>4087</v>
      </c>
      <c r="D1045" s="2"/>
      <c r="E1045" s="31" t="n">
        <v>32</v>
      </c>
      <c r="F1045" s="31" t="n">
        <v>36.2</v>
      </c>
      <c r="G1045" s="31" t="n">
        <v>32.4</v>
      </c>
      <c r="H1045" s="2" t="s">
        <v>671</v>
      </c>
    </row>
    <row r="1046" customFormat="false" ht="15" hidden="false" customHeight="false" outlineLevel="0" collapsed="false">
      <c r="A1046" s="2" t="s">
        <v>534</v>
      </c>
      <c r="B1046" s="2" t="s">
        <v>45</v>
      </c>
      <c r="C1046" s="2" t="s">
        <v>4085</v>
      </c>
      <c r="D1046" s="11" t="n">
        <v>680285</v>
      </c>
      <c r="E1046" s="31" t="n">
        <v>48.4</v>
      </c>
      <c r="F1046" s="31" t="n">
        <v>59.6</v>
      </c>
      <c r="G1046" s="2"/>
      <c r="H1046" s="2" t="s">
        <v>668</v>
      </c>
    </row>
    <row r="1047" customFormat="false" ht="15" hidden="false" customHeight="false" outlineLevel="0" collapsed="false">
      <c r="A1047" s="2" t="s">
        <v>534</v>
      </c>
      <c r="B1047" s="2" t="s">
        <v>45</v>
      </c>
      <c r="C1047" s="2" t="s">
        <v>4086</v>
      </c>
      <c r="D1047" s="11" t="n">
        <v>699880</v>
      </c>
      <c r="E1047" s="31" t="n">
        <v>31.9</v>
      </c>
      <c r="F1047" s="31" t="n">
        <v>30</v>
      </c>
      <c r="G1047" s="31" t="n">
        <v>77.9</v>
      </c>
      <c r="H1047" s="2" t="s">
        <v>671</v>
      </c>
    </row>
    <row r="1048" customFormat="false" ht="15" hidden="false" customHeight="false" outlineLevel="0" collapsed="false">
      <c r="A1048" s="2" t="s">
        <v>534</v>
      </c>
      <c r="B1048" s="2" t="s">
        <v>45</v>
      </c>
      <c r="C1048" s="2" t="s">
        <v>4087</v>
      </c>
      <c r="D1048" s="11" t="n">
        <v>710737</v>
      </c>
      <c r="E1048" s="31" t="n">
        <v>51.3</v>
      </c>
      <c r="F1048" s="31" t="n">
        <v>13.8</v>
      </c>
      <c r="G1048" s="31" t="n">
        <v>25.1</v>
      </c>
      <c r="H1048" s="2" t="s">
        <v>671</v>
      </c>
    </row>
    <row r="1049" customFormat="false" ht="15" hidden="false" customHeight="false" outlineLevel="0" collapsed="false">
      <c r="A1049" s="2" t="s">
        <v>534</v>
      </c>
      <c r="B1049" s="2" t="s">
        <v>47</v>
      </c>
      <c r="C1049" s="2" t="s">
        <v>4085</v>
      </c>
      <c r="D1049" s="11" t="n">
        <v>57928</v>
      </c>
      <c r="E1049" s="31" t="n">
        <v>11.1</v>
      </c>
      <c r="F1049" s="31" t="n">
        <v>82.7</v>
      </c>
      <c r="G1049" s="31" t="n">
        <v>8.5</v>
      </c>
      <c r="H1049" s="2" t="s">
        <v>671</v>
      </c>
    </row>
    <row r="1050" customFormat="false" ht="15" hidden="false" customHeight="false" outlineLevel="0" collapsed="false">
      <c r="A1050" s="2" t="s">
        <v>534</v>
      </c>
      <c r="B1050" s="2" t="s">
        <v>47</v>
      </c>
      <c r="C1050" s="2" t="s">
        <v>4086</v>
      </c>
      <c r="D1050" s="11" t="n">
        <v>61300</v>
      </c>
      <c r="E1050" s="31" t="n">
        <v>7.2</v>
      </c>
      <c r="F1050" s="31" t="n">
        <v>43.8</v>
      </c>
      <c r="G1050" s="31" t="n">
        <v>36</v>
      </c>
      <c r="H1050" s="2" t="s">
        <v>671</v>
      </c>
    </row>
    <row r="1051" customFormat="false" ht="15" hidden="false" customHeight="false" outlineLevel="0" collapsed="false">
      <c r="A1051" s="2" t="s">
        <v>534</v>
      </c>
      <c r="B1051" s="2" t="s">
        <v>47</v>
      </c>
      <c r="C1051" s="2" t="s">
        <v>4087</v>
      </c>
      <c r="D1051" s="11" t="n">
        <v>62749</v>
      </c>
      <c r="E1051" s="31" t="n">
        <v>12.7</v>
      </c>
      <c r="F1051" s="31" t="n">
        <v>58.5</v>
      </c>
      <c r="G1051" s="31" t="n">
        <v>39.8</v>
      </c>
      <c r="H1051" s="2" t="s">
        <v>671</v>
      </c>
    </row>
    <row r="1052" customFormat="false" ht="15" hidden="false" customHeight="false" outlineLevel="0" collapsed="false">
      <c r="A1052" s="2" t="s">
        <v>1479</v>
      </c>
      <c r="B1052" s="2" t="s">
        <v>4104</v>
      </c>
      <c r="C1052" s="2" t="s">
        <v>4085</v>
      </c>
      <c r="D1052" s="2"/>
      <c r="E1052" s="31" t="n">
        <v>52.4</v>
      </c>
      <c r="F1052" s="31" t="n">
        <v>53.1</v>
      </c>
      <c r="G1052" s="31" t="n">
        <v>60.6</v>
      </c>
      <c r="H1052" s="2" t="s">
        <v>668</v>
      </c>
    </row>
    <row r="1053" customFormat="false" ht="15" hidden="false" customHeight="false" outlineLevel="0" collapsed="false">
      <c r="A1053" s="2" t="s">
        <v>1479</v>
      </c>
      <c r="B1053" s="2" t="s">
        <v>4104</v>
      </c>
      <c r="C1053" s="2" t="s">
        <v>4086</v>
      </c>
      <c r="D1053" s="2"/>
      <c r="E1053" s="31" t="n">
        <v>73.6</v>
      </c>
      <c r="F1053" s="31" t="n">
        <v>100</v>
      </c>
      <c r="G1053" s="31" t="n">
        <v>63.6</v>
      </c>
      <c r="H1053" s="2" t="s">
        <v>668</v>
      </c>
    </row>
    <row r="1054" customFormat="false" ht="15" hidden="false" customHeight="false" outlineLevel="0" collapsed="false">
      <c r="A1054" s="2" t="s">
        <v>1479</v>
      </c>
      <c r="B1054" s="2" t="s">
        <v>4104</v>
      </c>
      <c r="C1054" s="2" t="s">
        <v>4087</v>
      </c>
      <c r="D1054" s="2"/>
      <c r="E1054" s="31" t="n">
        <v>50.8</v>
      </c>
      <c r="F1054" s="31" t="n">
        <v>52.3</v>
      </c>
      <c r="G1054" s="31" t="n">
        <v>67.1</v>
      </c>
      <c r="H1054" s="2" t="s">
        <v>668</v>
      </c>
    </row>
    <row r="1055" customFormat="false" ht="15" hidden="false" customHeight="false" outlineLevel="0" collapsed="false">
      <c r="A1055" s="2" t="s">
        <v>1479</v>
      </c>
      <c r="B1055" s="2" t="s">
        <v>45</v>
      </c>
      <c r="C1055" s="2" t="s">
        <v>4085</v>
      </c>
      <c r="D1055" s="2"/>
      <c r="E1055" s="2"/>
      <c r="F1055" s="2"/>
      <c r="G1055" s="2"/>
      <c r="H1055" s="2" t="s">
        <v>668</v>
      </c>
    </row>
    <row r="1056" customFormat="false" ht="15" hidden="false" customHeight="false" outlineLevel="0" collapsed="false">
      <c r="A1056" s="2" t="s">
        <v>1479</v>
      </c>
      <c r="B1056" s="2" t="s">
        <v>45</v>
      </c>
      <c r="C1056" s="2" t="s">
        <v>4086</v>
      </c>
      <c r="D1056" s="11" t="n">
        <v>28550</v>
      </c>
      <c r="E1056" s="31" t="n">
        <v>51.4</v>
      </c>
      <c r="F1056" s="2"/>
      <c r="G1056" s="31" t="n">
        <v>63.6</v>
      </c>
      <c r="H1056" s="2" t="s">
        <v>668</v>
      </c>
    </row>
    <row r="1057" customFormat="false" ht="15" hidden="false" customHeight="false" outlineLevel="0" collapsed="false">
      <c r="A1057" s="2" t="s">
        <v>1479</v>
      </c>
      <c r="B1057" s="2" t="s">
        <v>45</v>
      </c>
      <c r="C1057" s="2" t="s">
        <v>4087</v>
      </c>
      <c r="D1057" s="2"/>
      <c r="E1057" s="2"/>
      <c r="F1057" s="2"/>
      <c r="G1057" s="2"/>
      <c r="H1057" s="2" t="s">
        <v>668</v>
      </c>
    </row>
    <row r="1058" customFormat="false" ht="15" hidden="false" customHeight="false" outlineLevel="0" collapsed="false">
      <c r="A1058" s="2" t="s">
        <v>1479</v>
      </c>
      <c r="B1058" s="2" t="s">
        <v>46</v>
      </c>
      <c r="C1058" s="2" t="s">
        <v>4085</v>
      </c>
      <c r="D1058" s="11" t="n">
        <v>2554</v>
      </c>
      <c r="E1058" s="31" t="n">
        <v>95.5</v>
      </c>
      <c r="F1058" s="31" t="n">
        <v>100</v>
      </c>
      <c r="G1058" s="31" t="n">
        <v>62.8</v>
      </c>
      <c r="H1058" s="2" t="s">
        <v>671</v>
      </c>
    </row>
    <row r="1059" customFormat="false" ht="15" hidden="false" customHeight="false" outlineLevel="0" collapsed="false">
      <c r="A1059" s="2" t="s">
        <v>1479</v>
      </c>
      <c r="B1059" s="2" t="s">
        <v>46</v>
      </c>
      <c r="C1059" s="2" t="s">
        <v>4086</v>
      </c>
      <c r="D1059" s="11" t="n">
        <v>2662</v>
      </c>
      <c r="E1059" s="31" t="n">
        <v>95.9</v>
      </c>
      <c r="F1059" s="31" t="n">
        <v>100</v>
      </c>
      <c r="G1059" s="2"/>
      <c r="H1059" s="2" t="s">
        <v>668</v>
      </c>
    </row>
    <row r="1060" customFormat="false" ht="15" hidden="false" customHeight="false" outlineLevel="0" collapsed="false">
      <c r="A1060" s="2" t="s">
        <v>1479</v>
      </c>
      <c r="B1060" s="2" t="s">
        <v>46</v>
      </c>
      <c r="C1060" s="2" t="s">
        <v>4087</v>
      </c>
      <c r="D1060" s="11" t="n">
        <v>3000</v>
      </c>
      <c r="E1060" s="31" t="n">
        <v>84.6</v>
      </c>
      <c r="F1060" s="31" t="n">
        <v>100</v>
      </c>
      <c r="G1060" s="31" t="n">
        <v>67.1</v>
      </c>
      <c r="H1060" s="2" t="s">
        <v>671</v>
      </c>
    </row>
    <row r="1061" customFormat="false" ht="15" hidden="false" customHeight="false" outlineLevel="0" collapsed="false">
      <c r="A1061" s="2" t="s">
        <v>1479</v>
      </c>
      <c r="B1061" s="2" t="s">
        <v>47</v>
      </c>
      <c r="C1061" s="2" t="s">
        <v>4085</v>
      </c>
      <c r="D1061" s="11" t="n">
        <v>22162</v>
      </c>
      <c r="E1061" s="31" t="n">
        <v>9.3</v>
      </c>
      <c r="F1061" s="31" t="n">
        <v>6.2</v>
      </c>
      <c r="G1061" s="31" t="n">
        <v>58.4</v>
      </c>
      <c r="H1061" s="2" t="s">
        <v>671</v>
      </c>
    </row>
    <row r="1062" customFormat="false" ht="15" hidden="false" customHeight="false" outlineLevel="0" collapsed="false">
      <c r="A1062" s="2" t="s">
        <v>1479</v>
      </c>
      <c r="B1062" s="2" t="s">
        <v>47</v>
      </c>
      <c r="C1062" s="2" t="s">
        <v>4086</v>
      </c>
      <c r="D1062" s="2"/>
      <c r="E1062" s="2"/>
      <c r="F1062" s="2"/>
      <c r="G1062" s="2"/>
      <c r="H1062" s="2" t="s">
        <v>668</v>
      </c>
    </row>
    <row r="1063" customFormat="false" ht="15" hidden="false" customHeight="false" outlineLevel="0" collapsed="false">
      <c r="A1063" s="2" t="s">
        <v>1479</v>
      </c>
      <c r="B1063" s="2" t="s">
        <v>47</v>
      </c>
      <c r="C1063" s="2" t="s">
        <v>4087</v>
      </c>
      <c r="D1063" s="11" t="n">
        <v>22494</v>
      </c>
      <c r="E1063" s="31" t="n">
        <v>16.9</v>
      </c>
      <c r="F1063" s="31" t="n">
        <v>4.6</v>
      </c>
      <c r="G1063" s="2"/>
      <c r="H1063" s="2" t="s">
        <v>668</v>
      </c>
    </row>
    <row r="1064" customFormat="false" ht="15" hidden="false" customHeight="false" outlineLevel="0" collapsed="false">
      <c r="A1064" s="2" t="s">
        <v>1071</v>
      </c>
      <c r="B1064" s="2" t="s">
        <v>4104</v>
      </c>
      <c r="C1064" s="2" t="s">
        <v>4085</v>
      </c>
      <c r="D1064" s="2"/>
      <c r="E1064" s="31" t="n">
        <v>65</v>
      </c>
      <c r="F1064" s="31" t="n">
        <v>38.8</v>
      </c>
      <c r="G1064" s="31" t="n">
        <v>50.2</v>
      </c>
      <c r="H1064" s="2" t="s">
        <v>668</v>
      </c>
    </row>
    <row r="1065" customFormat="false" ht="15" hidden="false" customHeight="false" outlineLevel="0" collapsed="false">
      <c r="A1065" s="2" t="s">
        <v>1071</v>
      </c>
      <c r="B1065" s="2" t="s">
        <v>4104</v>
      </c>
      <c r="C1065" s="2" t="s">
        <v>4086</v>
      </c>
      <c r="D1065" s="2"/>
      <c r="E1065" s="31" t="n">
        <v>51.7</v>
      </c>
      <c r="F1065" s="31" t="n">
        <v>21.3</v>
      </c>
      <c r="G1065" s="31" t="n">
        <v>21.1</v>
      </c>
      <c r="H1065" s="2" t="s">
        <v>671</v>
      </c>
    </row>
    <row r="1066" customFormat="false" ht="15" hidden="false" customHeight="false" outlineLevel="0" collapsed="false">
      <c r="A1066" s="2" t="s">
        <v>1071</v>
      </c>
      <c r="B1066" s="2" t="s">
        <v>4104</v>
      </c>
      <c r="C1066" s="2" t="s">
        <v>4087</v>
      </c>
      <c r="D1066" s="2"/>
      <c r="E1066" s="31" t="n">
        <v>36.9</v>
      </c>
      <c r="F1066" s="31" t="n">
        <v>12.6</v>
      </c>
      <c r="G1066" s="31" t="n">
        <v>36.6</v>
      </c>
      <c r="H1066" s="2" t="s">
        <v>668</v>
      </c>
    </row>
    <row r="1067" customFormat="false" ht="15" hidden="false" customHeight="false" outlineLevel="0" collapsed="false">
      <c r="A1067" s="2" t="s">
        <v>1071</v>
      </c>
      <c r="B1067" s="2" t="s">
        <v>45</v>
      </c>
      <c r="C1067" s="2" t="s">
        <v>4085</v>
      </c>
      <c r="D1067" s="11" t="n">
        <v>39860</v>
      </c>
      <c r="E1067" s="31" t="n">
        <v>34.8</v>
      </c>
      <c r="F1067" s="31" t="n">
        <v>37.2</v>
      </c>
      <c r="G1067" s="31" t="n">
        <v>90.5</v>
      </c>
      <c r="H1067" s="2" t="s">
        <v>671</v>
      </c>
    </row>
    <row r="1068" customFormat="false" ht="15" hidden="false" customHeight="false" outlineLevel="0" collapsed="false">
      <c r="A1068" s="2" t="s">
        <v>1071</v>
      </c>
      <c r="B1068" s="2" t="s">
        <v>45</v>
      </c>
      <c r="C1068" s="2" t="s">
        <v>4086</v>
      </c>
      <c r="D1068" s="11" t="n">
        <v>41320</v>
      </c>
      <c r="E1068" s="31" t="n">
        <v>34</v>
      </c>
      <c r="F1068" s="31" t="n">
        <v>15.8</v>
      </c>
      <c r="G1068" s="31" t="n">
        <v>41</v>
      </c>
      <c r="H1068" s="2" t="s">
        <v>671</v>
      </c>
    </row>
    <row r="1069" customFormat="false" ht="15" hidden="false" customHeight="false" outlineLevel="0" collapsed="false">
      <c r="A1069" s="2" t="s">
        <v>1071</v>
      </c>
      <c r="B1069" s="2" t="s">
        <v>45</v>
      </c>
      <c r="C1069" s="2" t="s">
        <v>4087</v>
      </c>
      <c r="D1069" s="11" t="n">
        <v>41220</v>
      </c>
      <c r="E1069" s="31" t="n">
        <v>45.5</v>
      </c>
      <c r="F1069" s="31" t="n">
        <v>4.4</v>
      </c>
      <c r="G1069" s="31" t="n">
        <v>65.7</v>
      </c>
      <c r="H1069" s="2" t="s">
        <v>671</v>
      </c>
    </row>
    <row r="1070" customFormat="false" ht="15" hidden="false" customHeight="false" outlineLevel="0" collapsed="false">
      <c r="A1070" s="2" t="s">
        <v>1071</v>
      </c>
      <c r="B1070" s="2" t="s">
        <v>46</v>
      </c>
      <c r="C1070" s="2" t="s">
        <v>4085</v>
      </c>
      <c r="D1070" s="2"/>
      <c r="E1070" s="2"/>
      <c r="F1070" s="2"/>
      <c r="G1070" s="2"/>
      <c r="H1070" s="2" t="s">
        <v>668</v>
      </c>
    </row>
    <row r="1071" customFormat="false" ht="15" hidden="false" customHeight="false" outlineLevel="0" collapsed="false">
      <c r="A1071" s="2" t="s">
        <v>1071</v>
      </c>
      <c r="B1071" s="2" t="s">
        <v>46</v>
      </c>
      <c r="C1071" s="2" t="s">
        <v>4086</v>
      </c>
      <c r="D1071" s="11" t="n">
        <v>26410</v>
      </c>
      <c r="E1071" s="31" t="n">
        <v>24</v>
      </c>
      <c r="F1071" s="31" t="n">
        <v>2.2</v>
      </c>
      <c r="G1071" s="31" t="n">
        <v>7.7</v>
      </c>
      <c r="H1071" s="2" t="s">
        <v>671</v>
      </c>
    </row>
    <row r="1072" customFormat="false" ht="15" hidden="false" customHeight="false" outlineLevel="0" collapsed="false">
      <c r="A1072" s="2" t="s">
        <v>1071</v>
      </c>
      <c r="B1072" s="2" t="s">
        <v>46</v>
      </c>
      <c r="C1072" s="2" t="s">
        <v>4087</v>
      </c>
      <c r="D1072" s="11" t="n">
        <v>26490</v>
      </c>
      <c r="E1072" s="31" t="n">
        <v>28.3</v>
      </c>
      <c r="F1072" s="31" t="n">
        <v>20.7</v>
      </c>
      <c r="G1072" s="31" t="n">
        <v>7.5</v>
      </c>
      <c r="H1072" s="2" t="s">
        <v>671</v>
      </c>
    </row>
    <row r="1073" customFormat="false" ht="15" hidden="false" customHeight="false" outlineLevel="0" collapsed="false">
      <c r="A1073" s="2" t="s">
        <v>1071</v>
      </c>
      <c r="B1073" s="2" t="s">
        <v>47</v>
      </c>
      <c r="C1073" s="2" t="s">
        <v>4085</v>
      </c>
      <c r="D1073" s="11" t="n">
        <v>13093</v>
      </c>
      <c r="E1073" s="31" t="n">
        <v>95.3</v>
      </c>
      <c r="F1073" s="31" t="n">
        <v>40.5</v>
      </c>
      <c r="G1073" s="31" t="n">
        <v>9.9</v>
      </c>
      <c r="H1073" s="2" t="s">
        <v>671</v>
      </c>
    </row>
    <row r="1074" customFormat="false" ht="15" hidden="false" customHeight="false" outlineLevel="0" collapsed="false">
      <c r="A1074" s="2" t="s">
        <v>1071</v>
      </c>
      <c r="B1074" s="2" t="s">
        <v>47</v>
      </c>
      <c r="C1074" s="2" t="s">
        <v>4086</v>
      </c>
      <c r="D1074" s="11" t="n">
        <v>13935</v>
      </c>
      <c r="E1074" s="31" t="n">
        <v>97.2</v>
      </c>
      <c r="F1074" s="31" t="n">
        <v>45.8</v>
      </c>
      <c r="G1074" s="31" t="n">
        <v>14.5</v>
      </c>
      <c r="H1074" s="2" t="s">
        <v>671</v>
      </c>
    </row>
    <row r="1075" customFormat="false" ht="15" hidden="false" customHeight="false" outlineLevel="0" collapsed="false">
      <c r="A1075" s="2" t="s">
        <v>1071</v>
      </c>
      <c r="B1075" s="2" t="s">
        <v>47</v>
      </c>
      <c r="C1075" s="2" t="s">
        <v>4087</v>
      </c>
      <c r="D1075" s="2"/>
      <c r="E1075" s="2"/>
      <c r="F1075" s="2"/>
      <c r="G1075" s="2"/>
      <c r="H1075" s="2" t="s">
        <v>668</v>
      </c>
    </row>
    <row r="1076" customFormat="false" ht="15" hidden="false" customHeight="false" outlineLevel="0" collapsed="false">
      <c r="A1076" s="2" t="s">
        <v>610</v>
      </c>
      <c r="B1076" s="2" t="s">
        <v>4104</v>
      </c>
      <c r="C1076" s="2" t="s">
        <v>4087</v>
      </c>
      <c r="D1076" s="2"/>
      <c r="E1076" s="31" t="n">
        <v>16.7</v>
      </c>
      <c r="F1076" s="31" t="n">
        <v>70.8</v>
      </c>
      <c r="G1076" s="31" t="n">
        <v>79.5</v>
      </c>
      <c r="H1076" s="2" t="s">
        <v>671</v>
      </c>
    </row>
    <row r="1077" customFormat="false" ht="15" hidden="false" customHeight="false" outlineLevel="0" collapsed="false">
      <c r="A1077" s="2" t="s">
        <v>610</v>
      </c>
      <c r="B1077" s="2" t="s">
        <v>46</v>
      </c>
      <c r="C1077" s="2" t="s">
        <v>4087</v>
      </c>
      <c r="D1077" s="11" t="n">
        <v>7080</v>
      </c>
      <c r="E1077" s="31" t="n">
        <v>16.7</v>
      </c>
      <c r="F1077" s="31" t="n">
        <v>70.8</v>
      </c>
      <c r="G1077" s="31" t="n">
        <v>79.5</v>
      </c>
      <c r="H1077" s="2" t="s">
        <v>671</v>
      </c>
    </row>
    <row r="1078" customFormat="false" ht="15" hidden="false" customHeight="false" outlineLevel="0" collapsed="false">
      <c r="A1078" s="2" t="s">
        <v>1113</v>
      </c>
      <c r="B1078" s="2" t="s">
        <v>4104</v>
      </c>
      <c r="C1078" s="2" t="s">
        <v>4085</v>
      </c>
      <c r="D1078" s="2"/>
      <c r="E1078" s="31" t="n">
        <v>19.6</v>
      </c>
      <c r="F1078" s="31" t="n">
        <v>72.6</v>
      </c>
      <c r="G1078" s="31" t="n">
        <v>45.8</v>
      </c>
      <c r="H1078" s="2" t="s">
        <v>668</v>
      </c>
    </row>
    <row r="1079" customFormat="false" ht="15" hidden="false" customHeight="false" outlineLevel="0" collapsed="false">
      <c r="A1079" s="2" t="s">
        <v>1113</v>
      </c>
      <c r="B1079" s="2" t="s">
        <v>4104</v>
      </c>
      <c r="C1079" s="2" t="s">
        <v>4086</v>
      </c>
      <c r="D1079" s="2"/>
      <c r="E1079" s="31" t="n">
        <v>32.9</v>
      </c>
      <c r="F1079" s="31" t="n">
        <v>27.8</v>
      </c>
      <c r="G1079" s="31" t="n">
        <v>55.2</v>
      </c>
      <c r="H1079" s="2" t="s">
        <v>668</v>
      </c>
    </row>
    <row r="1080" customFormat="false" ht="15" hidden="false" customHeight="false" outlineLevel="0" collapsed="false">
      <c r="A1080" s="2" t="s">
        <v>1113</v>
      </c>
      <c r="B1080" s="2" t="s">
        <v>4104</v>
      </c>
      <c r="C1080" s="2" t="s">
        <v>4087</v>
      </c>
      <c r="D1080" s="2"/>
      <c r="E1080" s="31" t="n">
        <v>35.8</v>
      </c>
      <c r="F1080" s="31" t="n">
        <v>69.8</v>
      </c>
      <c r="G1080" s="31" t="n">
        <v>54.8</v>
      </c>
      <c r="H1080" s="2" t="s">
        <v>668</v>
      </c>
    </row>
    <row r="1081" customFormat="false" ht="15" hidden="false" customHeight="false" outlineLevel="0" collapsed="false">
      <c r="A1081" s="2" t="s">
        <v>1113</v>
      </c>
      <c r="B1081" s="2" t="s">
        <v>45</v>
      </c>
      <c r="C1081" s="2" t="s">
        <v>4085</v>
      </c>
      <c r="D1081" s="11" t="n">
        <v>8923</v>
      </c>
      <c r="E1081" s="31" t="n">
        <v>36.9</v>
      </c>
      <c r="F1081" s="31" t="n">
        <v>72.6</v>
      </c>
      <c r="G1081" s="31" t="n">
        <v>10.2</v>
      </c>
      <c r="H1081" s="2" t="s">
        <v>671</v>
      </c>
    </row>
    <row r="1082" customFormat="false" ht="15" hidden="false" customHeight="false" outlineLevel="0" collapsed="false">
      <c r="A1082" s="2" t="s">
        <v>1113</v>
      </c>
      <c r="B1082" s="2" t="s">
        <v>45</v>
      </c>
      <c r="C1082" s="2" t="s">
        <v>4086</v>
      </c>
      <c r="D1082" s="11" t="n">
        <v>9240</v>
      </c>
      <c r="E1082" s="31" t="n">
        <v>32.3</v>
      </c>
      <c r="F1082" s="31" t="n">
        <v>64.8</v>
      </c>
      <c r="G1082" s="31" t="n">
        <v>19.6</v>
      </c>
      <c r="H1082" s="2" t="s">
        <v>671</v>
      </c>
    </row>
    <row r="1083" customFormat="false" ht="15" hidden="false" customHeight="false" outlineLevel="0" collapsed="false">
      <c r="A1083" s="2" t="s">
        <v>1113</v>
      </c>
      <c r="B1083" s="2" t="s">
        <v>45</v>
      </c>
      <c r="C1083" s="2" t="s">
        <v>4087</v>
      </c>
      <c r="D1083" s="11" t="n">
        <v>9380</v>
      </c>
      <c r="E1083" s="31" t="n">
        <v>40.2</v>
      </c>
      <c r="F1083" s="31" t="n">
        <v>77.8</v>
      </c>
      <c r="G1083" s="31" t="n">
        <v>30.4</v>
      </c>
      <c r="H1083" s="2" t="s">
        <v>671</v>
      </c>
    </row>
    <row r="1084" customFormat="false" ht="15" hidden="false" customHeight="false" outlineLevel="0" collapsed="false">
      <c r="A1084" s="2" t="s">
        <v>1113</v>
      </c>
      <c r="B1084" s="2" t="s">
        <v>46</v>
      </c>
      <c r="C1084" s="2" t="s">
        <v>4085</v>
      </c>
      <c r="D1084" s="2"/>
      <c r="E1084" s="2"/>
      <c r="F1084" s="2"/>
      <c r="G1084" s="2"/>
      <c r="H1084" s="2" t="s">
        <v>668</v>
      </c>
    </row>
    <row r="1085" customFormat="false" ht="15" hidden="false" customHeight="false" outlineLevel="0" collapsed="false">
      <c r="A1085" s="2" t="s">
        <v>1113</v>
      </c>
      <c r="B1085" s="2" t="s">
        <v>46</v>
      </c>
      <c r="C1085" s="2" t="s">
        <v>4086</v>
      </c>
      <c r="D1085" s="11" t="n">
        <v>4910</v>
      </c>
      <c r="E1085" s="31" t="n">
        <v>63.7</v>
      </c>
      <c r="F1085" s="31" t="n">
        <v>1.9</v>
      </c>
      <c r="G1085" s="2"/>
      <c r="H1085" s="2" t="s">
        <v>668</v>
      </c>
    </row>
    <row r="1086" customFormat="false" ht="15" hidden="false" customHeight="false" outlineLevel="0" collapsed="false">
      <c r="A1086" s="2" t="s">
        <v>1113</v>
      </c>
      <c r="B1086" s="2" t="s">
        <v>46</v>
      </c>
      <c r="C1086" s="2" t="s">
        <v>4087</v>
      </c>
      <c r="D1086" s="11" t="n">
        <v>4820</v>
      </c>
      <c r="E1086" s="31" t="n">
        <v>61.7</v>
      </c>
      <c r="F1086" s="2"/>
      <c r="G1086" s="2"/>
      <c r="H1086" s="2" t="s">
        <v>668</v>
      </c>
    </row>
    <row r="1087" customFormat="false" ht="15" hidden="false" customHeight="false" outlineLevel="0" collapsed="false">
      <c r="A1087" s="2" t="s">
        <v>1113</v>
      </c>
      <c r="B1087" s="2" t="s">
        <v>47</v>
      </c>
      <c r="C1087" s="2" t="s">
        <v>4085</v>
      </c>
      <c r="D1087" s="11" t="n">
        <v>29140</v>
      </c>
      <c r="E1087" s="31" t="n">
        <v>2.2</v>
      </c>
      <c r="F1087" s="2"/>
      <c r="G1087" s="31" t="n">
        <v>81.5</v>
      </c>
      <c r="H1087" s="2" t="s">
        <v>668</v>
      </c>
    </row>
    <row r="1088" customFormat="false" ht="15" hidden="false" customHeight="false" outlineLevel="0" collapsed="false">
      <c r="A1088" s="2" t="s">
        <v>1113</v>
      </c>
      <c r="B1088" s="2" t="s">
        <v>47</v>
      </c>
      <c r="C1088" s="2" t="s">
        <v>4086</v>
      </c>
      <c r="D1088" s="11" t="n">
        <v>28985</v>
      </c>
      <c r="E1088" s="31" t="n">
        <v>2.6</v>
      </c>
      <c r="F1088" s="31" t="n">
        <v>16.6</v>
      </c>
      <c r="G1088" s="31" t="n">
        <v>90.9</v>
      </c>
      <c r="H1088" s="2" t="s">
        <v>671</v>
      </c>
    </row>
    <row r="1089" customFormat="false" ht="15" hidden="false" customHeight="false" outlineLevel="0" collapsed="false">
      <c r="A1089" s="2" t="s">
        <v>1113</v>
      </c>
      <c r="B1089" s="2" t="s">
        <v>47</v>
      </c>
      <c r="C1089" s="2" t="s">
        <v>4087</v>
      </c>
      <c r="D1089" s="11" t="n">
        <v>30013</v>
      </c>
      <c r="E1089" s="31" t="n">
        <v>5.5</v>
      </c>
      <c r="F1089" s="31" t="n">
        <v>61.7</v>
      </c>
      <c r="G1089" s="31" t="n">
        <v>79.2</v>
      </c>
      <c r="H1089" s="2" t="s">
        <v>671</v>
      </c>
    </row>
    <row r="1090" customFormat="false" ht="15" hidden="false" customHeight="false" outlineLevel="0" collapsed="false">
      <c r="A1090" s="2" t="s">
        <v>262</v>
      </c>
      <c r="B1090" s="2" t="s">
        <v>4104</v>
      </c>
      <c r="C1090" s="2" t="s">
        <v>4085</v>
      </c>
      <c r="D1090" s="2"/>
      <c r="E1090" s="31" t="n">
        <v>54.2</v>
      </c>
      <c r="F1090" s="31" t="n">
        <v>69.9</v>
      </c>
      <c r="G1090" s="31" t="n">
        <v>7.3</v>
      </c>
      <c r="H1090" s="2" t="s">
        <v>668</v>
      </c>
    </row>
    <row r="1091" customFormat="false" ht="15" hidden="false" customHeight="false" outlineLevel="0" collapsed="false">
      <c r="A1091" s="2" t="s">
        <v>262</v>
      </c>
      <c r="B1091" s="2" t="s">
        <v>4104</v>
      </c>
      <c r="C1091" s="2" t="s">
        <v>4086</v>
      </c>
      <c r="D1091" s="2"/>
      <c r="E1091" s="31" t="n">
        <v>61.9</v>
      </c>
      <c r="F1091" s="31" t="n">
        <v>60.6</v>
      </c>
      <c r="G1091" s="31" t="n">
        <v>64.4</v>
      </c>
      <c r="H1091" s="2" t="s">
        <v>668</v>
      </c>
    </row>
    <row r="1092" customFormat="false" ht="15" hidden="false" customHeight="false" outlineLevel="0" collapsed="false">
      <c r="A1092" s="2" t="s">
        <v>262</v>
      </c>
      <c r="B1092" s="2" t="s">
        <v>4104</v>
      </c>
      <c r="C1092" s="2" t="s">
        <v>4087</v>
      </c>
      <c r="D1092" s="2"/>
      <c r="E1092" s="31" t="n">
        <v>62.9</v>
      </c>
      <c r="F1092" s="31" t="n">
        <v>52.3</v>
      </c>
      <c r="G1092" s="31" t="n">
        <v>45</v>
      </c>
      <c r="H1092" s="2" t="s">
        <v>671</v>
      </c>
    </row>
    <row r="1093" customFormat="false" ht="15" hidden="false" customHeight="false" outlineLevel="0" collapsed="false">
      <c r="A1093" s="2" t="s">
        <v>262</v>
      </c>
      <c r="B1093" s="2" t="s">
        <v>45</v>
      </c>
      <c r="C1093" s="2" t="s">
        <v>4085</v>
      </c>
      <c r="D1093" s="2"/>
      <c r="E1093" s="2"/>
      <c r="F1093" s="2"/>
      <c r="G1093" s="2"/>
      <c r="H1093" s="2" t="s">
        <v>668</v>
      </c>
    </row>
    <row r="1094" customFormat="false" ht="15" hidden="false" customHeight="false" outlineLevel="0" collapsed="false">
      <c r="A1094" s="2" t="s">
        <v>262</v>
      </c>
      <c r="B1094" s="2" t="s">
        <v>45</v>
      </c>
      <c r="C1094" s="2" t="s">
        <v>4086</v>
      </c>
      <c r="D1094" s="11" t="n">
        <v>174450</v>
      </c>
      <c r="E1094" s="31" t="n">
        <v>98.9</v>
      </c>
      <c r="F1094" s="31" t="n">
        <v>95.7</v>
      </c>
      <c r="G1094" s="31" t="n">
        <v>31.9</v>
      </c>
      <c r="H1094" s="2" t="s">
        <v>671</v>
      </c>
    </row>
    <row r="1095" customFormat="false" ht="15" hidden="false" customHeight="false" outlineLevel="0" collapsed="false">
      <c r="A1095" s="2" t="s">
        <v>262</v>
      </c>
      <c r="B1095" s="2" t="s">
        <v>45</v>
      </c>
      <c r="C1095" s="2" t="s">
        <v>4087</v>
      </c>
      <c r="D1095" s="11" t="n">
        <v>190880</v>
      </c>
      <c r="E1095" s="31" t="n">
        <v>93.2</v>
      </c>
      <c r="F1095" s="31" t="n">
        <v>85.5</v>
      </c>
      <c r="G1095" s="31" t="n">
        <v>24.6</v>
      </c>
      <c r="H1095" s="2" t="s">
        <v>671</v>
      </c>
    </row>
    <row r="1096" customFormat="false" ht="15" hidden="false" customHeight="false" outlineLevel="0" collapsed="false">
      <c r="A1096" s="2" t="s">
        <v>262</v>
      </c>
      <c r="B1096" s="2" t="s">
        <v>46</v>
      </c>
      <c r="C1096" s="2" t="s">
        <v>4085</v>
      </c>
      <c r="D1096" s="11" t="n">
        <v>114960</v>
      </c>
      <c r="E1096" s="31" t="n">
        <v>54.2</v>
      </c>
      <c r="F1096" s="31" t="n">
        <v>69.9</v>
      </c>
      <c r="G1096" s="31" t="n">
        <v>7.3</v>
      </c>
      <c r="H1096" s="2" t="s">
        <v>671</v>
      </c>
    </row>
    <row r="1097" customFormat="false" ht="15" hidden="false" customHeight="false" outlineLevel="0" collapsed="false">
      <c r="A1097" s="2" t="s">
        <v>262</v>
      </c>
      <c r="B1097" s="2" t="s">
        <v>46</v>
      </c>
      <c r="C1097" s="2" t="s">
        <v>4086</v>
      </c>
      <c r="D1097" s="11" t="n">
        <v>116990</v>
      </c>
      <c r="E1097" s="2"/>
      <c r="F1097" s="2"/>
      <c r="G1097" s="2"/>
      <c r="H1097" s="2" t="s">
        <v>668</v>
      </c>
    </row>
    <row r="1098" customFormat="false" ht="15" hidden="false" customHeight="false" outlineLevel="0" collapsed="false">
      <c r="A1098" s="2" t="s">
        <v>262</v>
      </c>
      <c r="B1098" s="2" t="s">
        <v>46</v>
      </c>
      <c r="C1098" s="2" t="s">
        <v>4087</v>
      </c>
      <c r="D1098" s="11" t="n">
        <v>119520</v>
      </c>
      <c r="E1098" s="31" t="n">
        <v>70.2</v>
      </c>
      <c r="F1098" s="31" t="n">
        <v>61.6</v>
      </c>
      <c r="G1098" s="31" t="n">
        <v>14.5</v>
      </c>
      <c r="H1098" s="2" t="s">
        <v>671</v>
      </c>
    </row>
    <row r="1099" customFormat="false" ht="15" hidden="false" customHeight="false" outlineLevel="0" collapsed="false">
      <c r="A1099" s="2" t="s">
        <v>262</v>
      </c>
      <c r="B1099" s="2" t="s">
        <v>47</v>
      </c>
      <c r="C1099" s="2" t="s">
        <v>4085</v>
      </c>
      <c r="D1099" s="2"/>
      <c r="E1099" s="2"/>
      <c r="F1099" s="2"/>
      <c r="G1099" s="2"/>
      <c r="H1099" s="2" t="s">
        <v>668</v>
      </c>
    </row>
    <row r="1100" customFormat="false" ht="15" hidden="false" customHeight="false" outlineLevel="0" collapsed="false">
      <c r="A1100" s="2" t="s">
        <v>262</v>
      </c>
      <c r="B1100" s="2" t="s">
        <v>47</v>
      </c>
      <c r="C1100" s="2" t="s">
        <v>4086</v>
      </c>
      <c r="D1100" s="11" t="n">
        <v>57055</v>
      </c>
      <c r="E1100" s="31" t="n">
        <v>24.9</v>
      </c>
      <c r="F1100" s="31" t="n">
        <v>25.6</v>
      </c>
      <c r="G1100" s="31" t="n">
        <v>97</v>
      </c>
      <c r="H1100" s="2" t="s">
        <v>671</v>
      </c>
    </row>
    <row r="1101" customFormat="false" ht="15" hidden="false" customHeight="false" outlineLevel="0" collapsed="false">
      <c r="A1101" s="2" t="s">
        <v>262</v>
      </c>
      <c r="B1101" s="2" t="s">
        <v>47</v>
      </c>
      <c r="C1101" s="2" t="s">
        <v>4087</v>
      </c>
      <c r="D1101" s="11" t="n">
        <v>57057</v>
      </c>
      <c r="E1101" s="31" t="n">
        <v>25.3</v>
      </c>
      <c r="F1101" s="31" t="n">
        <v>9.9</v>
      </c>
      <c r="G1101" s="31" t="n">
        <v>95.8</v>
      </c>
      <c r="H1101" s="2" t="s">
        <v>671</v>
      </c>
    </row>
    <row r="1102" customFormat="false" ht="15" hidden="false" customHeight="false" outlineLevel="0" collapsed="false">
      <c r="A1102" s="2" t="s">
        <v>2780</v>
      </c>
      <c r="B1102" s="2" t="s">
        <v>4104</v>
      </c>
      <c r="C1102" s="2" t="s">
        <v>4085</v>
      </c>
      <c r="D1102" s="2"/>
      <c r="E1102" s="31" t="n">
        <v>38.4</v>
      </c>
      <c r="F1102" s="31" t="n">
        <v>24.2</v>
      </c>
      <c r="G1102" s="31" t="n">
        <v>7.8</v>
      </c>
      <c r="H1102" s="2" t="s">
        <v>671</v>
      </c>
    </row>
    <row r="1103" customFormat="false" ht="15" hidden="false" customHeight="false" outlineLevel="0" collapsed="false">
      <c r="A1103" s="2" t="s">
        <v>2780</v>
      </c>
      <c r="B1103" s="2" t="s">
        <v>4104</v>
      </c>
      <c r="C1103" s="2" t="s">
        <v>4086</v>
      </c>
      <c r="D1103" s="2"/>
      <c r="E1103" s="2"/>
      <c r="F1103" s="2"/>
      <c r="G1103" s="31" t="n">
        <v>13.3</v>
      </c>
      <c r="H1103" s="2" t="s">
        <v>668</v>
      </c>
    </row>
    <row r="1104" customFormat="false" ht="15" hidden="false" customHeight="false" outlineLevel="0" collapsed="false">
      <c r="A1104" s="2" t="s">
        <v>2780</v>
      </c>
      <c r="B1104" s="2" t="s">
        <v>4104</v>
      </c>
      <c r="C1104" s="2" t="s">
        <v>4087</v>
      </c>
      <c r="D1104" s="2"/>
      <c r="E1104" s="31" t="n">
        <v>61.5</v>
      </c>
      <c r="F1104" s="2"/>
      <c r="G1104" s="31" t="n">
        <v>7.5</v>
      </c>
      <c r="H1104" s="2" t="s">
        <v>668</v>
      </c>
    </row>
    <row r="1105" customFormat="false" ht="15" hidden="false" customHeight="false" outlineLevel="0" collapsed="false">
      <c r="A1105" s="2" t="s">
        <v>2780</v>
      </c>
      <c r="B1105" s="2" t="s">
        <v>45</v>
      </c>
      <c r="C1105" s="2" t="s">
        <v>4085</v>
      </c>
      <c r="D1105" s="11" t="n">
        <v>3380</v>
      </c>
      <c r="E1105" s="31" t="n">
        <v>38.4</v>
      </c>
      <c r="F1105" s="31" t="n">
        <v>24.2</v>
      </c>
      <c r="G1105" s="31" t="n">
        <v>7.8</v>
      </c>
      <c r="H1105" s="2" t="s">
        <v>671</v>
      </c>
    </row>
    <row r="1106" customFormat="false" ht="15" hidden="false" customHeight="false" outlineLevel="0" collapsed="false">
      <c r="A1106" s="2" t="s">
        <v>2780</v>
      </c>
      <c r="B1106" s="2" t="s">
        <v>45</v>
      </c>
      <c r="C1106" s="2" t="s">
        <v>4086</v>
      </c>
      <c r="D1106" s="2"/>
      <c r="E1106" s="2"/>
      <c r="F1106" s="2"/>
      <c r="G1106" s="31" t="n">
        <v>13.3</v>
      </c>
      <c r="H1106" s="2" t="s">
        <v>668</v>
      </c>
    </row>
    <row r="1107" customFormat="false" ht="15" hidden="false" customHeight="false" outlineLevel="0" collapsed="false">
      <c r="A1107" s="2" t="s">
        <v>2780</v>
      </c>
      <c r="B1107" s="2" t="s">
        <v>45</v>
      </c>
      <c r="C1107" s="2" t="s">
        <v>4087</v>
      </c>
      <c r="D1107" s="11" t="n">
        <v>3530</v>
      </c>
      <c r="E1107" s="31" t="n">
        <v>61.5</v>
      </c>
      <c r="F1107" s="2"/>
      <c r="G1107" s="31" t="n">
        <v>7.5</v>
      </c>
      <c r="H1107" s="2" t="s">
        <v>668</v>
      </c>
    </row>
    <row r="1108" customFormat="false" ht="15" hidden="false" customHeight="false" outlineLevel="0" collapsed="false">
      <c r="A1108" s="2" t="s">
        <v>1891</v>
      </c>
      <c r="B1108" s="2" t="s">
        <v>4104</v>
      </c>
      <c r="C1108" s="2" t="s">
        <v>4085</v>
      </c>
      <c r="D1108" s="2"/>
      <c r="E1108" s="31" t="n">
        <v>39.3</v>
      </c>
      <c r="F1108" s="31" t="n">
        <v>54.2</v>
      </c>
      <c r="G1108" s="31" t="n">
        <v>79</v>
      </c>
      <c r="H1108" s="2" t="s">
        <v>668</v>
      </c>
    </row>
    <row r="1109" customFormat="false" ht="15" hidden="false" customHeight="false" outlineLevel="0" collapsed="false">
      <c r="A1109" s="2" t="s">
        <v>1891</v>
      </c>
      <c r="B1109" s="2" t="s">
        <v>4104</v>
      </c>
      <c r="C1109" s="2" t="s">
        <v>4087</v>
      </c>
      <c r="D1109" s="2"/>
      <c r="E1109" s="31" t="n">
        <v>11.8</v>
      </c>
      <c r="F1109" s="31" t="n">
        <v>81.4</v>
      </c>
      <c r="G1109" s="31" t="n">
        <v>89.4</v>
      </c>
      <c r="H1109" s="2" t="s">
        <v>668</v>
      </c>
    </row>
    <row r="1110" customFormat="false" ht="15" hidden="false" customHeight="false" outlineLevel="0" collapsed="false">
      <c r="A1110" s="2" t="s">
        <v>1891</v>
      </c>
      <c r="B1110" s="2" t="s">
        <v>45</v>
      </c>
      <c r="C1110" s="2" t="s">
        <v>4085</v>
      </c>
      <c r="D1110" s="11" t="n">
        <v>3358</v>
      </c>
      <c r="E1110" s="31" t="n">
        <v>80.4</v>
      </c>
      <c r="F1110" s="31" t="n">
        <v>12.9</v>
      </c>
      <c r="G1110" s="31" t="n">
        <v>62.4</v>
      </c>
      <c r="H1110" s="2" t="s">
        <v>671</v>
      </c>
    </row>
    <row r="1111" customFormat="false" ht="15" hidden="false" customHeight="false" outlineLevel="0" collapsed="false">
      <c r="A1111" s="2" t="s">
        <v>1891</v>
      </c>
      <c r="B1111" s="2" t="s">
        <v>45</v>
      </c>
      <c r="C1111" s="2" t="s">
        <v>4087</v>
      </c>
      <c r="D1111" s="2"/>
      <c r="E1111" s="2"/>
      <c r="F1111" s="2"/>
      <c r="G1111" s="2"/>
      <c r="H1111" s="2" t="s">
        <v>668</v>
      </c>
    </row>
    <row r="1112" customFormat="false" ht="15" hidden="false" customHeight="false" outlineLevel="0" collapsed="false">
      <c r="A1112" s="2" t="s">
        <v>1891</v>
      </c>
      <c r="B1112" s="2" t="s">
        <v>46</v>
      </c>
      <c r="C1112" s="2" t="s">
        <v>4085</v>
      </c>
      <c r="D1112" s="11" t="n">
        <v>44516</v>
      </c>
      <c r="E1112" s="31" t="n">
        <v>19.6</v>
      </c>
      <c r="F1112" s="31" t="n">
        <v>76.8</v>
      </c>
      <c r="G1112" s="2"/>
      <c r="H1112" s="2" t="s">
        <v>668</v>
      </c>
    </row>
    <row r="1113" customFormat="false" ht="15" hidden="false" customHeight="false" outlineLevel="0" collapsed="false">
      <c r="A1113" s="2" t="s">
        <v>1891</v>
      </c>
      <c r="B1113" s="2" t="s">
        <v>46</v>
      </c>
      <c r="C1113" s="2" t="s">
        <v>4087</v>
      </c>
      <c r="D1113" s="11" t="n">
        <v>50980</v>
      </c>
      <c r="E1113" s="31" t="n">
        <v>13.3</v>
      </c>
      <c r="F1113" s="31" t="n">
        <v>85.1</v>
      </c>
      <c r="G1113" s="31" t="n">
        <v>83.4</v>
      </c>
      <c r="H1113" s="2" t="s">
        <v>671</v>
      </c>
    </row>
    <row r="1114" customFormat="false" ht="15" hidden="false" customHeight="false" outlineLevel="0" collapsed="false">
      <c r="A1114" s="2" t="s">
        <v>1891</v>
      </c>
      <c r="B1114" s="2" t="s">
        <v>47</v>
      </c>
      <c r="C1114" s="2" t="s">
        <v>4085</v>
      </c>
      <c r="D1114" s="11" t="n">
        <v>102277</v>
      </c>
      <c r="E1114" s="31" t="n">
        <v>17.8</v>
      </c>
      <c r="F1114" s="31" t="n">
        <v>72.8</v>
      </c>
      <c r="G1114" s="31" t="n">
        <v>95.6</v>
      </c>
      <c r="H1114" s="2" t="s">
        <v>671</v>
      </c>
    </row>
    <row r="1115" customFormat="false" ht="15" hidden="false" customHeight="false" outlineLevel="0" collapsed="false">
      <c r="A1115" s="2" t="s">
        <v>1891</v>
      </c>
      <c r="B1115" s="2" t="s">
        <v>47</v>
      </c>
      <c r="C1115" s="2" t="s">
        <v>4087</v>
      </c>
      <c r="D1115" s="11" t="n">
        <v>108784</v>
      </c>
      <c r="E1115" s="31" t="n">
        <v>10.3</v>
      </c>
      <c r="F1115" s="31" t="n">
        <v>77.7</v>
      </c>
      <c r="G1115" s="31" t="n">
        <v>95.4</v>
      </c>
      <c r="H1115" s="2" t="s">
        <v>671</v>
      </c>
    </row>
    <row r="1116" customFormat="false" ht="15" hidden="false" customHeight="false" outlineLevel="0" collapsed="false">
      <c r="A1116" s="2" t="s">
        <v>282</v>
      </c>
      <c r="B1116" s="2" t="s">
        <v>4104</v>
      </c>
      <c r="C1116" s="2" t="s">
        <v>4085</v>
      </c>
      <c r="D1116" s="2"/>
      <c r="E1116" s="2"/>
      <c r="F1116" s="2"/>
      <c r="G1116" s="2"/>
      <c r="H1116" s="2" t="s">
        <v>668</v>
      </c>
    </row>
    <row r="1117" customFormat="false" ht="15" hidden="false" customHeight="false" outlineLevel="0" collapsed="false">
      <c r="A1117" s="2" t="s">
        <v>282</v>
      </c>
      <c r="B1117" s="2" t="s">
        <v>4104</v>
      </c>
      <c r="C1117" s="2" t="s">
        <v>4086</v>
      </c>
      <c r="D1117" s="2"/>
      <c r="E1117" s="31" t="n">
        <v>87.7</v>
      </c>
      <c r="F1117" s="31" t="n">
        <v>44.5</v>
      </c>
      <c r="G1117" s="31" t="n">
        <v>85.1</v>
      </c>
      <c r="H1117" s="2" t="s">
        <v>671</v>
      </c>
    </row>
    <row r="1118" customFormat="false" ht="15" hidden="false" customHeight="false" outlineLevel="0" collapsed="false">
      <c r="A1118" s="2" t="s">
        <v>282</v>
      </c>
      <c r="B1118" s="2" t="s">
        <v>4104</v>
      </c>
      <c r="C1118" s="2" t="s">
        <v>4087</v>
      </c>
      <c r="D1118" s="2"/>
      <c r="E1118" s="31" t="n">
        <v>60.6</v>
      </c>
      <c r="F1118" s="31" t="n">
        <v>70.6</v>
      </c>
      <c r="G1118" s="31" t="n">
        <v>90.5</v>
      </c>
      <c r="H1118" s="2" t="s">
        <v>671</v>
      </c>
    </row>
    <row r="1119" customFormat="false" ht="15" hidden="false" customHeight="false" outlineLevel="0" collapsed="false">
      <c r="A1119" s="2" t="s">
        <v>282</v>
      </c>
      <c r="B1119" s="2" t="s">
        <v>47</v>
      </c>
      <c r="C1119" s="2" t="s">
        <v>4085</v>
      </c>
      <c r="D1119" s="2"/>
      <c r="E1119" s="2"/>
      <c r="F1119" s="2"/>
      <c r="G1119" s="2"/>
      <c r="H1119" s="2" t="s">
        <v>668</v>
      </c>
    </row>
    <row r="1120" customFormat="false" ht="15" hidden="false" customHeight="false" outlineLevel="0" collapsed="false">
      <c r="A1120" s="2" t="s">
        <v>282</v>
      </c>
      <c r="B1120" s="2" t="s">
        <v>47</v>
      </c>
      <c r="C1120" s="2" t="s">
        <v>4086</v>
      </c>
      <c r="D1120" s="11" t="n">
        <v>53974</v>
      </c>
      <c r="E1120" s="31" t="n">
        <v>87.7</v>
      </c>
      <c r="F1120" s="31" t="n">
        <v>44.5</v>
      </c>
      <c r="G1120" s="31" t="n">
        <v>85.1</v>
      </c>
      <c r="H1120" s="2" t="s">
        <v>671</v>
      </c>
    </row>
    <row r="1121" customFormat="false" ht="15" hidden="false" customHeight="false" outlineLevel="0" collapsed="false">
      <c r="A1121" s="2" t="s">
        <v>282</v>
      </c>
      <c r="B1121" s="2" t="s">
        <v>47</v>
      </c>
      <c r="C1121" s="2" t="s">
        <v>4087</v>
      </c>
      <c r="D1121" s="11" t="n">
        <v>58203</v>
      </c>
      <c r="E1121" s="31" t="n">
        <v>60.6</v>
      </c>
      <c r="F1121" s="31" t="n">
        <v>70.6</v>
      </c>
      <c r="G1121" s="31" t="n">
        <v>90.5</v>
      </c>
      <c r="H1121" s="2" t="s">
        <v>671</v>
      </c>
    </row>
    <row r="1122" customFormat="false" ht="15" hidden="false" customHeight="false" outlineLevel="0" collapsed="false">
      <c r="A1122" s="2" t="s">
        <v>648</v>
      </c>
      <c r="B1122" s="2" t="s">
        <v>4104</v>
      </c>
      <c r="C1122" s="2" t="s">
        <v>4085</v>
      </c>
      <c r="D1122" s="2"/>
      <c r="E1122" s="31" t="n">
        <v>13.2</v>
      </c>
      <c r="F1122" s="31" t="n">
        <v>60.9</v>
      </c>
      <c r="G1122" s="2"/>
      <c r="H1122" s="2" t="s">
        <v>671</v>
      </c>
    </row>
    <row r="1123" customFormat="false" ht="15" hidden="false" customHeight="false" outlineLevel="0" collapsed="false">
      <c r="A1123" s="2" t="s">
        <v>648</v>
      </c>
      <c r="B1123" s="2" t="s">
        <v>4104</v>
      </c>
      <c r="C1123" s="2" t="s">
        <v>4086</v>
      </c>
      <c r="D1123" s="2"/>
      <c r="E1123" s="31" t="n">
        <v>10.4</v>
      </c>
      <c r="F1123" s="31" t="n">
        <v>49.5</v>
      </c>
      <c r="G1123" s="2"/>
      <c r="H1123" s="2" t="s">
        <v>671</v>
      </c>
    </row>
    <row r="1124" customFormat="false" ht="15" hidden="false" customHeight="false" outlineLevel="0" collapsed="false">
      <c r="A1124" s="2" t="s">
        <v>648</v>
      </c>
      <c r="B1124" s="2" t="s">
        <v>4104</v>
      </c>
      <c r="C1124" s="2" t="s">
        <v>4087</v>
      </c>
      <c r="D1124" s="2"/>
      <c r="E1124" s="31" t="n">
        <v>4.7</v>
      </c>
      <c r="F1124" s="31" t="n">
        <v>19</v>
      </c>
      <c r="G1124" s="2"/>
      <c r="H1124" s="2" t="s">
        <v>671</v>
      </c>
    </row>
    <row r="1125" customFormat="false" ht="15" hidden="false" customHeight="false" outlineLevel="0" collapsed="false">
      <c r="A1125" s="2" t="s">
        <v>648</v>
      </c>
      <c r="B1125" s="2" t="s">
        <v>45</v>
      </c>
      <c r="C1125" s="2" t="s">
        <v>4085</v>
      </c>
      <c r="D1125" s="11" t="n">
        <v>36410</v>
      </c>
      <c r="E1125" s="31" t="n">
        <v>13.2</v>
      </c>
      <c r="F1125" s="31" t="n">
        <v>60.9</v>
      </c>
      <c r="G1125" s="2"/>
      <c r="H1125" s="2" t="s">
        <v>671</v>
      </c>
    </row>
    <row r="1126" customFormat="false" ht="15" hidden="false" customHeight="false" outlineLevel="0" collapsed="false">
      <c r="A1126" s="2" t="s">
        <v>648</v>
      </c>
      <c r="B1126" s="2" t="s">
        <v>45</v>
      </c>
      <c r="C1126" s="2" t="s">
        <v>4086</v>
      </c>
      <c r="D1126" s="11" t="n">
        <v>36450</v>
      </c>
      <c r="E1126" s="31" t="n">
        <v>10.4</v>
      </c>
      <c r="F1126" s="31" t="n">
        <v>49.5</v>
      </c>
      <c r="G1126" s="2"/>
      <c r="H1126" s="2" t="s">
        <v>671</v>
      </c>
    </row>
    <row r="1127" customFormat="false" ht="15" hidden="false" customHeight="false" outlineLevel="0" collapsed="false">
      <c r="A1127" s="2" t="s">
        <v>648</v>
      </c>
      <c r="B1127" s="2" t="s">
        <v>45</v>
      </c>
      <c r="C1127" s="2" t="s">
        <v>4087</v>
      </c>
      <c r="D1127" s="11" t="n">
        <v>36980</v>
      </c>
      <c r="E1127" s="31" t="n">
        <v>4.7</v>
      </c>
      <c r="F1127" s="31" t="n">
        <v>19</v>
      </c>
      <c r="G1127" s="2"/>
      <c r="H1127" s="2" t="s">
        <v>671</v>
      </c>
    </row>
    <row r="1128" customFormat="false" ht="15" hidden="false" customHeight="false" outlineLevel="0" collapsed="false">
      <c r="A1128" s="2" t="s">
        <v>135</v>
      </c>
      <c r="B1128" s="2" t="s">
        <v>4104</v>
      </c>
      <c r="C1128" s="2" t="s">
        <v>4085</v>
      </c>
      <c r="D1128" s="2"/>
      <c r="E1128" s="31" t="n">
        <v>75.3</v>
      </c>
      <c r="F1128" s="31" t="n">
        <v>35</v>
      </c>
      <c r="G1128" s="31" t="n">
        <v>18</v>
      </c>
      <c r="H1128" s="2" t="s">
        <v>671</v>
      </c>
    </row>
    <row r="1129" customFormat="false" ht="15" hidden="false" customHeight="false" outlineLevel="0" collapsed="false">
      <c r="A1129" s="2" t="s">
        <v>135</v>
      </c>
      <c r="B1129" s="2" t="s">
        <v>4104</v>
      </c>
      <c r="C1129" s="2" t="s">
        <v>4087</v>
      </c>
      <c r="D1129" s="2"/>
      <c r="E1129" s="31" t="n">
        <v>84.8</v>
      </c>
      <c r="F1129" s="31" t="n">
        <v>27.3</v>
      </c>
      <c r="G1129" s="31" t="n">
        <v>22.5</v>
      </c>
      <c r="H1129" s="2" t="s">
        <v>671</v>
      </c>
    </row>
    <row r="1130" customFormat="false" ht="15" hidden="false" customHeight="false" outlineLevel="0" collapsed="false">
      <c r="A1130" s="2" t="s">
        <v>135</v>
      </c>
      <c r="B1130" s="2" t="s">
        <v>47</v>
      </c>
      <c r="C1130" s="2" t="s">
        <v>4085</v>
      </c>
      <c r="D1130" s="11" t="n">
        <v>25136</v>
      </c>
      <c r="E1130" s="31" t="n">
        <v>75.3</v>
      </c>
      <c r="F1130" s="31" t="n">
        <v>35</v>
      </c>
      <c r="G1130" s="31" t="n">
        <v>18</v>
      </c>
      <c r="H1130" s="2" t="s">
        <v>671</v>
      </c>
    </row>
    <row r="1131" customFormat="false" ht="15" hidden="false" customHeight="false" outlineLevel="0" collapsed="false">
      <c r="A1131" s="2" t="s">
        <v>135</v>
      </c>
      <c r="B1131" s="2" t="s">
        <v>47</v>
      </c>
      <c r="C1131" s="2" t="s">
        <v>4087</v>
      </c>
      <c r="D1131" s="11" t="n">
        <v>26410</v>
      </c>
      <c r="E1131" s="31" t="n">
        <v>84.8</v>
      </c>
      <c r="F1131" s="31" t="n">
        <v>27.3</v>
      </c>
      <c r="G1131" s="31" t="n">
        <v>22.5</v>
      </c>
      <c r="H1131" s="2" t="s">
        <v>671</v>
      </c>
    </row>
    <row r="1132" customFormat="false" ht="15" hidden="false" customHeight="false" outlineLevel="0" collapsed="false">
      <c r="A1132" s="2" t="s">
        <v>1663</v>
      </c>
      <c r="B1132" s="2" t="s">
        <v>4104</v>
      </c>
      <c r="C1132" s="2" t="s">
        <v>4087</v>
      </c>
      <c r="D1132" s="2"/>
      <c r="E1132" s="31" t="n">
        <v>52.9</v>
      </c>
      <c r="F1132" s="31" t="n">
        <v>55</v>
      </c>
      <c r="G1132" s="31" t="n">
        <v>68.1</v>
      </c>
      <c r="H1132" s="2" t="s">
        <v>668</v>
      </c>
    </row>
    <row r="1133" customFormat="false" ht="15" hidden="false" customHeight="false" outlineLevel="0" collapsed="false">
      <c r="A1133" s="2" t="s">
        <v>1663</v>
      </c>
      <c r="B1133" s="2" t="s">
        <v>45</v>
      </c>
      <c r="C1133" s="2" t="s">
        <v>4087</v>
      </c>
      <c r="D1133" s="2"/>
      <c r="E1133" s="2"/>
      <c r="F1133" s="2"/>
      <c r="G1133" s="2"/>
      <c r="H1133" s="2" t="s">
        <v>668</v>
      </c>
    </row>
    <row r="1134" customFormat="false" ht="15" hidden="false" customHeight="false" outlineLevel="0" collapsed="false">
      <c r="A1134" s="2" t="s">
        <v>1663</v>
      </c>
      <c r="B1134" s="2" t="s">
        <v>46</v>
      </c>
      <c r="C1134" s="2" t="s">
        <v>4087</v>
      </c>
      <c r="D1134" s="11" t="n">
        <v>132810</v>
      </c>
      <c r="E1134" s="31" t="n">
        <v>52.9</v>
      </c>
      <c r="F1134" s="31" t="n">
        <v>55</v>
      </c>
      <c r="G1134" s="31" t="n">
        <v>68.1</v>
      </c>
      <c r="H1134" s="2" t="s">
        <v>671</v>
      </c>
    </row>
    <row r="1135" customFormat="false" ht="15" hidden="false" customHeight="false" outlineLevel="0" collapsed="false">
      <c r="A1135" s="2" t="s">
        <v>2440</v>
      </c>
      <c r="B1135" s="2" t="s">
        <v>4104</v>
      </c>
      <c r="C1135" s="2" t="s">
        <v>4085</v>
      </c>
      <c r="D1135" s="2"/>
      <c r="E1135" s="31" t="n">
        <v>46.2</v>
      </c>
      <c r="F1135" s="31" t="n">
        <v>41</v>
      </c>
      <c r="G1135" s="31" t="n">
        <v>41.6</v>
      </c>
      <c r="H1135" s="2" t="s">
        <v>668</v>
      </c>
    </row>
    <row r="1136" customFormat="false" ht="15" hidden="false" customHeight="false" outlineLevel="0" collapsed="false">
      <c r="A1136" s="2" t="s">
        <v>2440</v>
      </c>
      <c r="B1136" s="2" t="s">
        <v>4104</v>
      </c>
      <c r="C1136" s="2" t="s">
        <v>4086</v>
      </c>
      <c r="D1136" s="2"/>
      <c r="E1136" s="31" t="n">
        <v>32.4</v>
      </c>
      <c r="F1136" s="31" t="n">
        <v>31.4</v>
      </c>
      <c r="G1136" s="31" t="n">
        <v>64.5</v>
      </c>
      <c r="H1136" s="2" t="s">
        <v>668</v>
      </c>
    </row>
    <row r="1137" customFormat="false" ht="15" hidden="false" customHeight="false" outlineLevel="0" collapsed="false">
      <c r="A1137" s="2" t="s">
        <v>2440</v>
      </c>
      <c r="B1137" s="2" t="s">
        <v>4104</v>
      </c>
      <c r="C1137" s="2" t="s">
        <v>4087</v>
      </c>
      <c r="D1137" s="2"/>
      <c r="E1137" s="31" t="n">
        <v>18</v>
      </c>
      <c r="F1137" s="31" t="n">
        <v>49.4</v>
      </c>
      <c r="G1137" s="31" t="n">
        <v>46.5</v>
      </c>
      <c r="H1137" s="2" t="s">
        <v>668</v>
      </c>
    </row>
    <row r="1138" customFormat="false" ht="15" hidden="false" customHeight="false" outlineLevel="0" collapsed="false">
      <c r="A1138" s="2" t="s">
        <v>2440</v>
      </c>
      <c r="B1138" s="2" t="s">
        <v>45</v>
      </c>
      <c r="C1138" s="2" t="s">
        <v>4085</v>
      </c>
      <c r="D1138" s="2"/>
      <c r="E1138" s="2"/>
      <c r="F1138" s="2"/>
      <c r="G1138" s="2"/>
      <c r="H1138" s="2" t="s">
        <v>668</v>
      </c>
    </row>
    <row r="1139" customFormat="false" ht="15" hidden="false" customHeight="false" outlineLevel="0" collapsed="false">
      <c r="A1139" s="2" t="s">
        <v>2440</v>
      </c>
      <c r="B1139" s="2" t="s">
        <v>45</v>
      </c>
      <c r="C1139" s="2" t="s">
        <v>4086</v>
      </c>
      <c r="D1139" s="11" t="n">
        <v>10490</v>
      </c>
      <c r="E1139" s="31" t="n">
        <v>1.1</v>
      </c>
      <c r="F1139" s="31" t="n">
        <v>28.5</v>
      </c>
      <c r="G1139" s="2"/>
      <c r="H1139" s="2" t="s">
        <v>668</v>
      </c>
    </row>
    <row r="1140" customFormat="false" ht="15" hidden="false" customHeight="false" outlineLevel="0" collapsed="false">
      <c r="A1140" s="2" t="s">
        <v>2440</v>
      </c>
      <c r="B1140" s="2" t="s">
        <v>45</v>
      </c>
      <c r="C1140" s="2" t="s">
        <v>4087</v>
      </c>
      <c r="D1140" s="11" t="n">
        <v>10390</v>
      </c>
      <c r="E1140" s="31" t="n">
        <v>2.1</v>
      </c>
      <c r="F1140" s="2"/>
      <c r="G1140" s="31" t="n">
        <v>30.1</v>
      </c>
      <c r="H1140" s="2" t="s">
        <v>668</v>
      </c>
    </row>
    <row r="1141" customFormat="false" ht="15" hidden="false" customHeight="false" outlineLevel="0" collapsed="false">
      <c r="A1141" s="2" t="s">
        <v>2440</v>
      </c>
      <c r="B1141" s="2" t="s">
        <v>46</v>
      </c>
      <c r="C1141" s="2" t="s">
        <v>4085</v>
      </c>
      <c r="D1141" s="11" t="n">
        <v>615380</v>
      </c>
      <c r="E1141" s="31" t="n">
        <v>32.3</v>
      </c>
      <c r="F1141" s="31" t="n">
        <v>63.5</v>
      </c>
      <c r="G1141" s="31" t="n">
        <v>40.6</v>
      </c>
      <c r="H1141" s="2" t="s">
        <v>671</v>
      </c>
    </row>
    <row r="1142" customFormat="false" ht="15" hidden="false" customHeight="false" outlineLevel="0" collapsed="false">
      <c r="A1142" s="2" t="s">
        <v>2440</v>
      </c>
      <c r="B1142" s="2" t="s">
        <v>46</v>
      </c>
      <c r="C1142" s="2" t="s">
        <v>4086</v>
      </c>
      <c r="D1142" s="2"/>
      <c r="E1142" s="2"/>
      <c r="F1142" s="2"/>
      <c r="G1142" s="2"/>
      <c r="H1142" s="2" t="s">
        <v>668</v>
      </c>
    </row>
    <row r="1143" customFormat="false" ht="15" hidden="false" customHeight="false" outlineLevel="0" collapsed="false">
      <c r="A1143" s="2" t="s">
        <v>2440</v>
      </c>
      <c r="B1143" s="2" t="s">
        <v>46</v>
      </c>
      <c r="C1143" s="2" t="s">
        <v>4087</v>
      </c>
      <c r="D1143" s="2"/>
      <c r="E1143" s="2"/>
      <c r="F1143" s="2"/>
      <c r="G1143" s="2"/>
      <c r="H1143" s="2" t="s">
        <v>668</v>
      </c>
    </row>
    <row r="1144" customFormat="false" ht="15" hidden="false" customHeight="false" outlineLevel="0" collapsed="false">
      <c r="A1144" s="2" t="s">
        <v>2440</v>
      </c>
      <c r="B1144" s="2" t="s">
        <v>47</v>
      </c>
      <c r="C1144" s="2" t="s">
        <v>4085</v>
      </c>
      <c r="D1144" s="11" t="n">
        <v>100661</v>
      </c>
      <c r="E1144" s="31" t="n">
        <v>60</v>
      </c>
      <c r="F1144" s="31" t="n">
        <v>18.5</v>
      </c>
      <c r="G1144" s="31" t="n">
        <v>42.5</v>
      </c>
      <c r="H1144" s="2" t="s">
        <v>671</v>
      </c>
    </row>
    <row r="1145" customFormat="false" ht="15" hidden="false" customHeight="false" outlineLevel="0" collapsed="false">
      <c r="A1145" s="2" t="s">
        <v>2440</v>
      </c>
      <c r="B1145" s="2" t="s">
        <v>47</v>
      </c>
      <c r="C1145" s="2" t="s">
        <v>4086</v>
      </c>
      <c r="D1145" s="11" t="n">
        <v>100730</v>
      </c>
      <c r="E1145" s="31" t="n">
        <v>63.8</v>
      </c>
      <c r="F1145" s="31" t="n">
        <v>34.2</v>
      </c>
      <c r="G1145" s="31" t="n">
        <v>64.5</v>
      </c>
      <c r="H1145" s="2" t="s">
        <v>671</v>
      </c>
    </row>
    <row r="1146" customFormat="false" ht="15" hidden="false" customHeight="false" outlineLevel="0" collapsed="false">
      <c r="A1146" s="2" t="s">
        <v>2440</v>
      </c>
      <c r="B1146" s="2" t="s">
        <v>47</v>
      </c>
      <c r="C1146" s="2" t="s">
        <v>4087</v>
      </c>
      <c r="D1146" s="11" t="n">
        <v>105464</v>
      </c>
      <c r="E1146" s="31" t="n">
        <v>33.8</v>
      </c>
      <c r="F1146" s="31" t="n">
        <v>49.4</v>
      </c>
      <c r="G1146" s="31" t="n">
        <v>62.9</v>
      </c>
      <c r="H1146" s="2" t="s">
        <v>671</v>
      </c>
    </row>
    <row r="1147" customFormat="false" ht="15" hidden="false" customHeight="false" outlineLevel="0" collapsed="false">
      <c r="A1147" s="2" t="s">
        <v>1993</v>
      </c>
      <c r="B1147" s="2" t="s">
        <v>4104</v>
      </c>
      <c r="C1147" s="2" t="s">
        <v>4085</v>
      </c>
      <c r="D1147" s="2"/>
      <c r="E1147" s="31" t="n">
        <v>57.6</v>
      </c>
      <c r="F1147" s="31" t="n">
        <v>66.3</v>
      </c>
      <c r="G1147" s="31" t="n">
        <v>49.8</v>
      </c>
      <c r="H1147" s="2" t="s">
        <v>671</v>
      </c>
    </row>
    <row r="1148" customFormat="false" ht="15" hidden="false" customHeight="false" outlineLevel="0" collapsed="false">
      <c r="A1148" s="2" t="s">
        <v>1993</v>
      </c>
      <c r="B1148" s="2" t="s">
        <v>4104</v>
      </c>
      <c r="C1148" s="2" t="s">
        <v>4086</v>
      </c>
      <c r="D1148" s="2"/>
      <c r="E1148" s="31" t="n">
        <v>55.6</v>
      </c>
      <c r="F1148" s="31" t="n">
        <v>80.4</v>
      </c>
      <c r="G1148" s="31" t="n">
        <v>31.2</v>
      </c>
      <c r="H1148" s="2" t="s">
        <v>671</v>
      </c>
    </row>
    <row r="1149" customFormat="false" ht="15" hidden="false" customHeight="false" outlineLevel="0" collapsed="false">
      <c r="A1149" s="2" t="s">
        <v>1993</v>
      </c>
      <c r="B1149" s="2" t="s">
        <v>4104</v>
      </c>
      <c r="C1149" s="2" t="s">
        <v>4087</v>
      </c>
      <c r="D1149" s="2"/>
      <c r="E1149" s="31" t="n">
        <v>95.8</v>
      </c>
      <c r="F1149" s="31" t="n">
        <v>80.1</v>
      </c>
      <c r="G1149" s="31" t="n">
        <v>49</v>
      </c>
      <c r="H1149" s="2" t="s">
        <v>668</v>
      </c>
    </row>
    <row r="1150" customFormat="false" ht="15" hidden="false" customHeight="false" outlineLevel="0" collapsed="false">
      <c r="A1150" s="2" t="s">
        <v>1993</v>
      </c>
      <c r="B1150" s="2" t="s">
        <v>45</v>
      </c>
      <c r="C1150" s="2" t="s">
        <v>4085</v>
      </c>
      <c r="D1150" s="11" t="n">
        <v>15250</v>
      </c>
      <c r="E1150" s="31" t="n">
        <v>25</v>
      </c>
      <c r="F1150" s="31" t="n">
        <v>87.2</v>
      </c>
      <c r="G1150" s="31" t="n">
        <v>53.4</v>
      </c>
      <c r="H1150" s="2" t="s">
        <v>671</v>
      </c>
    </row>
    <row r="1151" customFormat="false" ht="15" hidden="false" customHeight="false" outlineLevel="0" collapsed="false">
      <c r="A1151" s="2" t="s">
        <v>1993</v>
      </c>
      <c r="B1151" s="2" t="s">
        <v>45</v>
      </c>
      <c r="C1151" s="2" t="s">
        <v>4086</v>
      </c>
      <c r="D1151" s="11" t="n">
        <v>16700</v>
      </c>
      <c r="E1151" s="31" t="n">
        <v>19.7</v>
      </c>
      <c r="F1151" s="31" t="n">
        <v>94.2</v>
      </c>
      <c r="G1151" s="31" t="n">
        <v>45.5</v>
      </c>
      <c r="H1151" s="2" t="s">
        <v>671</v>
      </c>
    </row>
    <row r="1152" customFormat="false" ht="15" hidden="false" customHeight="false" outlineLevel="0" collapsed="false">
      <c r="A1152" s="2" t="s">
        <v>1993</v>
      </c>
      <c r="B1152" s="2" t="s">
        <v>45</v>
      </c>
      <c r="C1152" s="2" t="s">
        <v>4087</v>
      </c>
      <c r="D1152" s="2"/>
      <c r="E1152" s="2"/>
      <c r="F1152" s="2"/>
      <c r="G1152" s="2"/>
      <c r="H1152" s="2" t="s">
        <v>668</v>
      </c>
    </row>
    <row r="1153" customFormat="false" ht="15" hidden="false" customHeight="false" outlineLevel="0" collapsed="false">
      <c r="A1153" s="2" t="s">
        <v>1993</v>
      </c>
      <c r="B1153" s="2" t="s">
        <v>46</v>
      </c>
      <c r="C1153" s="2" t="s">
        <v>4085</v>
      </c>
      <c r="D1153" s="11" t="n">
        <v>81090</v>
      </c>
      <c r="E1153" s="31" t="n">
        <v>56</v>
      </c>
      <c r="F1153" s="31" t="n">
        <v>46.1</v>
      </c>
      <c r="G1153" s="31" t="n">
        <v>73.5</v>
      </c>
      <c r="H1153" s="2" t="s">
        <v>671</v>
      </c>
    </row>
    <row r="1154" customFormat="false" ht="15" hidden="false" customHeight="false" outlineLevel="0" collapsed="false">
      <c r="A1154" s="2" t="s">
        <v>1993</v>
      </c>
      <c r="B1154" s="2" t="s">
        <v>46</v>
      </c>
      <c r="C1154" s="2" t="s">
        <v>4086</v>
      </c>
      <c r="D1154" s="11" t="n">
        <v>82620</v>
      </c>
      <c r="E1154" s="31" t="n">
        <v>56.8</v>
      </c>
      <c r="F1154" s="31" t="n">
        <v>82.9</v>
      </c>
      <c r="G1154" s="31" t="n">
        <v>15.9</v>
      </c>
      <c r="H1154" s="2" t="s">
        <v>671</v>
      </c>
    </row>
    <row r="1155" customFormat="false" ht="15" hidden="false" customHeight="false" outlineLevel="0" collapsed="false">
      <c r="A1155" s="2" t="s">
        <v>1993</v>
      </c>
      <c r="B1155" s="2" t="s">
        <v>46</v>
      </c>
      <c r="C1155" s="2" t="s">
        <v>4087</v>
      </c>
      <c r="D1155" s="2"/>
      <c r="E1155" s="2"/>
      <c r="F1155" s="2"/>
      <c r="G1155" s="2"/>
      <c r="H1155" s="2" t="s">
        <v>668</v>
      </c>
    </row>
    <row r="1156" customFormat="false" ht="15" hidden="false" customHeight="false" outlineLevel="0" collapsed="false">
      <c r="A1156" s="2" t="s">
        <v>1993</v>
      </c>
      <c r="B1156" s="2" t="s">
        <v>47</v>
      </c>
      <c r="C1156" s="2" t="s">
        <v>4085</v>
      </c>
      <c r="D1156" s="11" t="n">
        <v>85242</v>
      </c>
      <c r="E1156" s="31" t="n">
        <v>91.7</v>
      </c>
      <c r="F1156" s="31" t="n">
        <v>65.7</v>
      </c>
      <c r="G1156" s="31" t="n">
        <v>22.4</v>
      </c>
      <c r="H1156" s="2" t="s">
        <v>671</v>
      </c>
    </row>
    <row r="1157" customFormat="false" ht="15" hidden="false" customHeight="false" outlineLevel="0" collapsed="false">
      <c r="A1157" s="2" t="s">
        <v>1993</v>
      </c>
      <c r="B1157" s="2" t="s">
        <v>47</v>
      </c>
      <c r="C1157" s="2" t="s">
        <v>4086</v>
      </c>
      <c r="D1157" s="11" t="n">
        <v>90879</v>
      </c>
      <c r="E1157" s="31" t="n">
        <v>90.3</v>
      </c>
      <c r="F1157" s="31" t="n">
        <v>64</v>
      </c>
      <c r="G1157" s="31" t="n">
        <v>32.1</v>
      </c>
      <c r="H1157" s="2" t="s">
        <v>671</v>
      </c>
    </row>
    <row r="1158" customFormat="false" ht="15" hidden="false" customHeight="false" outlineLevel="0" collapsed="false">
      <c r="A1158" s="2" t="s">
        <v>1993</v>
      </c>
      <c r="B1158" s="2" t="s">
        <v>47</v>
      </c>
      <c r="C1158" s="2" t="s">
        <v>4087</v>
      </c>
      <c r="D1158" s="11" t="n">
        <v>94800</v>
      </c>
      <c r="E1158" s="31" t="n">
        <v>95.8</v>
      </c>
      <c r="F1158" s="31" t="n">
        <v>80.1</v>
      </c>
      <c r="G1158" s="31" t="n">
        <v>49</v>
      </c>
      <c r="H1158" s="2" t="s">
        <v>671</v>
      </c>
    </row>
    <row r="1159" customFormat="false" ht="15" hidden="false" customHeight="false" outlineLevel="0" collapsed="false">
      <c r="A1159" s="2" t="s">
        <v>638</v>
      </c>
      <c r="B1159" s="2" t="s">
        <v>4104</v>
      </c>
      <c r="C1159" s="2" t="s">
        <v>4087</v>
      </c>
      <c r="D1159" s="2"/>
      <c r="E1159" s="31" t="n">
        <v>8.7</v>
      </c>
      <c r="F1159" s="31" t="n">
        <v>4.3</v>
      </c>
      <c r="G1159" s="31" t="n">
        <v>32.8</v>
      </c>
      <c r="H1159" s="2" t="s">
        <v>671</v>
      </c>
    </row>
    <row r="1160" customFormat="false" ht="15" hidden="false" customHeight="false" outlineLevel="0" collapsed="false">
      <c r="A1160" s="2" t="s">
        <v>638</v>
      </c>
      <c r="B1160" s="2" t="s">
        <v>47</v>
      </c>
      <c r="C1160" s="2" t="s">
        <v>4087</v>
      </c>
      <c r="D1160" s="11" t="n">
        <v>41246</v>
      </c>
      <c r="E1160" s="31" t="n">
        <v>8.7</v>
      </c>
      <c r="F1160" s="31" t="n">
        <v>4.3</v>
      </c>
      <c r="G1160" s="31" t="n">
        <v>32.8</v>
      </c>
      <c r="H1160" s="2" t="s">
        <v>671</v>
      </c>
    </row>
    <row r="1161" customFormat="false" ht="15" hidden="false" customHeight="false" outlineLevel="0" collapsed="false">
      <c r="A1161" s="2" t="s">
        <v>1871</v>
      </c>
      <c r="B1161" s="2" t="s">
        <v>4104</v>
      </c>
      <c r="C1161" s="2" t="s">
        <v>4085</v>
      </c>
      <c r="D1161" s="2"/>
      <c r="E1161" s="31" t="n">
        <v>16.4</v>
      </c>
      <c r="F1161" s="31" t="n">
        <v>27.5</v>
      </c>
      <c r="G1161" s="31" t="n">
        <v>42.8</v>
      </c>
      <c r="H1161" s="2" t="s">
        <v>671</v>
      </c>
    </row>
    <row r="1162" customFormat="false" ht="15" hidden="false" customHeight="false" outlineLevel="0" collapsed="false">
      <c r="A1162" s="2" t="s">
        <v>1871</v>
      </c>
      <c r="B1162" s="2" t="s">
        <v>4104</v>
      </c>
      <c r="C1162" s="2" t="s">
        <v>4086</v>
      </c>
      <c r="D1162" s="2"/>
      <c r="E1162" s="31" t="n">
        <v>26.8</v>
      </c>
      <c r="F1162" s="31" t="n">
        <v>21.1</v>
      </c>
      <c r="G1162" s="31" t="n">
        <v>73.7</v>
      </c>
      <c r="H1162" s="2" t="s">
        <v>668</v>
      </c>
    </row>
    <row r="1163" customFormat="false" ht="15" hidden="false" customHeight="false" outlineLevel="0" collapsed="false">
      <c r="A1163" s="2" t="s">
        <v>1871</v>
      </c>
      <c r="B1163" s="2" t="s">
        <v>4104</v>
      </c>
      <c r="C1163" s="2" t="s">
        <v>4087</v>
      </c>
      <c r="D1163" s="2"/>
      <c r="E1163" s="31" t="n">
        <v>16.2</v>
      </c>
      <c r="F1163" s="31" t="n">
        <v>34.5</v>
      </c>
      <c r="G1163" s="31" t="n">
        <v>43.7</v>
      </c>
      <c r="H1163" s="2" t="s">
        <v>668</v>
      </c>
    </row>
    <row r="1164" customFormat="false" ht="15" hidden="false" customHeight="false" outlineLevel="0" collapsed="false">
      <c r="A1164" s="2" t="s">
        <v>1871</v>
      </c>
      <c r="B1164" s="2" t="s">
        <v>45</v>
      </c>
      <c r="C1164" s="2" t="s">
        <v>4085</v>
      </c>
      <c r="D1164" s="11" t="n">
        <v>26960</v>
      </c>
      <c r="E1164" s="31" t="n">
        <v>9.3</v>
      </c>
      <c r="F1164" s="31" t="n">
        <v>13.9</v>
      </c>
      <c r="G1164" s="31" t="n">
        <v>51.7</v>
      </c>
      <c r="H1164" s="2" t="s">
        <v>671</v>
      </c>
    </row>
    <row r="1165" customFormat="false" ht="15" hidden="false" customHeight="false" outlineLevel="0" collapsed="false">
      <c r="A1165" s="2" t="s">
        <v>1871</v>
      </c>
      <c r="B1165" s="2" t="s">
        <v>45</v>
      </c>
      <c r="C1165" s="2" t="s">
        <v>4086</v>
      </c>
      <c r="D1165" s="11" t="n">
        <v>27100</v>
      </c>
      <c r="E1165" s="31" t="n">
        <v>13.6</v>
      </c>
      <c r="F1165" s="31" t="n">
        <v>8.9</v>
      </c>
      <c r="G1165" s="31" t="n">
        <v>73.7</v>
      </c>
      <c r="H1165" s="2" t="s">
        <v>671</v>
      </c>
    </row>
    <row r="1166" customFormat="false" ht="15" hidden="false" customHeight="false" outlineLevel="0" collapsed="false">
      <c r="A1166" s="2" t="s">
        <v>1871</v>
      </c>
      <c r="B1166" s="2" t="s">
        <v>45</v>
      </c>
      <c r="C1166" s="2" t="s">
        <v>4087</v>
      </c>
      <c r="D1166" s="11" t="n">
        <v>26260</v>
      </c>
      <c r="E1166" s="31" t="n">
        <v>13.5</v>
      </c>
      <c r="F1166" s="31" t="n">
        <v>13.5</v>
      </c>
      <c r="G1166" s="2"/>
      <c r="H1166" s="2" t="s">
        <v>668</v>
      </c>
    </row>
    <row r="1167" customFormat="false" ht="15" hidden="false" customHeight="false" outlineLevel="0" collapsed="false">
      <c r="A1167" s="2" t="s">
        <v>1871</v>
      </c>
      <c r="B1167" s="2" t="s">
        <v>46</v>
      </c>
      <c r="C1167" s="2" t="s">
        <v>4085</v>
      </c>
      <c r="D1167" s="11" t="n">
        <v>1731150</v>
      </c>
      <c r="E1167" s="31" t="n">
        <v>12.5</v>
      </c>
      <c r="F1167" s="31" t="n">
        <v>66.7</v>
      </c>
      <c r="G1167" s="31" t="n">
        <v>72.4</v>
      </c>
      <c r="H1167" s="2" t="s">
        <v>671</v>
      </c>
    </row>
    <row r="1168" customFormat="false" ht="15" hidden="false" customHeight="false" outlineLevel="0" collapsed="false">
      <c r="A1168" s="2" t="s">
        <v>1871</v>
      </c>
      <c r="B1168" s="2" t="s">
        <v>46</v>
      </c>
      <c r="C1168" s="2" t="s">
        <v>4086</v>
      </c>
      <c r="D1168" s="11" t="n">
        <v>1807241</v>
      </c>
      <c r="E1168" s="31" t="n">
        <v>40.1</v>
      </c>
      <c r="F1168" s="31" t="n">
        <v>33.3</v>
      </c>
      <c r="G1168" s="2"/>
      <c r="H1168" s="2" t="s">
        <v>668</v>
      </c>
    </row>
    <row r="1169" customFormat="false" ht="15" hidden="false" customHeight="false" outlineLevel="0" collapsed="false">
      <c r="A1169" s="2" t="s">
        <v>1871</v>
      </c>
      <c r="B1169" s="2" t="s">
        <v>46</v>
      </c>
      <c r="C1169" s="2" t="s">
        <v>4087</v>
      </c>
      <c r="D1169" s="11" t="n">
        <v>1823792</v>
      </c>
      <c r="E1169" s="31" t="n">
        <v>17.5</v>
      </c>
      <c r="F1169" s="31" t="n">
        <v>87.5</v>
      </c>
      <c r="G1169" s="31" t="n">
        <v>58.8</v>
      </c>
      <c r="H1169" s="2" t="s">
        <v>671</v>
      </c>
    </row>
    <row r="1170" customFormat="false" ht="15" hidden="false" customHeight="false" outlineLevel="0" collapsed="false">
      <c r="A1170" s="2" t="s">
        <v>1871</v>
      </c>
      <c r="B1170" s="2" t="s">
        <v>47</v>
      </c>
      <c r="C1170" s="2" t="s">
        <v>4085</v>
      </c>
      <c r="D1170" s="11" t="n">
        <v>50060</v>
      </c>
      <c r="E1170" s="31" t="n">
        <v>27.5</v>
      </c>
      <c r="F1170" s="31" t="n">
        <v>2</v>
      </c>
      <c r="G1170" s="31" t="n">
        <v>4.2</v>
      </c>
      <c r="H1170" s="2" t="s">
        <v>671</v>
      </c>
    </row>
    <row r="1171" customFormat="false" ht="15" hidden="false" customHeight="false" outlineLevel="0" collapsed="false">
      <c r="A1171" s="2" t="s">
        <v>1871</v>
      </c>
      <c r="B1171" s="2" t="s">
        <v>47</v>
      </c>
      <c r="C1171" s="2" t="s">
        <v>4086</v>
      </c>
      <c r="D1171" s="2"/>
      <c r="E1171" s="2"/>
      <c r="F1171" s="2"/>
      <c r="G1171" s="2"/>
      <c r="H1171" s="2" t="s">
        <v>668</v>
      </c>
    </row>
    <row r="1172" customFormat="false" ht="15" hidden="false" customHeight="false" outlineLevel="0" collapsed="false">
      <c r="A1172" s="2" t="s">
        <v>1871</v>
      </c>
      <c r="B1172" s="2" t="s">
        <v>47</v>
      </c>
      <c r="C1172" s="2" t="s">
        <v>4087</v>
      </c>
      <c r="D1172" s="11" t="n">
        <v>49150</v>
      </c>
      <c r="E1172" s="31" t="n">
        <v>17.5</v>
      </c>
      <c r="F1172" s="31" t="n">
        <v>2.5</v>
      </c>
      <c r="G1172" s="31" t="n">
        <v>28.6</v>
      </c>
      <c r="H1172" s="2" t="s">
        <v>671</v>
      </c>
    </row>
    <row r="1173" customFormat="false" ht="15" hidden="false" customHeight="false" outlineLevel="0" collapsed="false">
      <c r="A1173" s="2" t="s">
        <v>2564</v>
      </c>
      <c r="B1173" s="2" t="s">
        <v>4104</v>
      </c>
      <c r="C1173" s="2" t="s">
        <v>4085</v>
      </c>
      <c r="D1173" s="2"/>
      <c r="E1173" s="31" t="n">
        <v>18.4</v>
      </c>
      <c r="F1173" s="31" t="n">
        <v>34.6</v>
      </c>
      <c r="G1173" s="31" t="n">
        <v>76.5</v>
      </c>
      <c r="H1173" s="2" t="s">
        <v>671</v>
      </c>
    </row>
    <row r="1174" customFormat="false" ht="15" hidden="false" customHeight="false" outlineLevel="0" collapsed="false">
      <c r="A1174" s="2" t="s">
        <v>2564</v>
      </c>
      <c r="B1174" s="2" t="s">
        <v>4104</v>
      </c>
      <c r="C1174" s="2" t="s">
        <v>4086</v>
      </c>
      <c r="D1174" s="2"/>
      <c r="E1174" s="31" t="n">
        <v>22.6</v>
      </c>
      <c r="F1174" s="31" t="n">
        <v>37.1</v>
      </c>
      <c r="G1174" s="31" t="n">
        <v>52.9</v>
      </c>
      <c r="H1174" s="2" t="s">
        <v>668</v>
      </c>
    </row>
    <row r="1175" customFormat="false" ht="15" hidden="false" customHeight="false" outlineLevel="0" collapsed="false">
      <c r="A1175" s="2" t="s">
        <v>2564</v>
      </c>
      <c r="B1175" s="2" t="s">
        <v>4104</v>
      </c>
      <c r="C1175" s="2" t="s">
        <v>4087</v>
      </c>
      <c r="D1175" s="2"/>
      <c r="E1175" s="31" t="n">
        <v>34.8</v>
      </c>
      <c r="F1175" s="31" t="n">
        <v>46.2</v>
      </c>
      <c r="G1175" s="31" t="n">
        <v>57</v>
      </c>
      <c r="H1175" s="2" t="s">
        <v>668</v>
      </c>
    </row>
    <row r="1176" customFormat="false" ht="15" hidden="false" customHeight="false" outlineLevel="0" collapsed="false">
      <c r="A1176" s="2" t="s">
        <v>2564</v>
      </c>
      <c r="B1176" s="2" t="s">
        <v>46</v>
      </c>
      <c r="C1176" s="2" t="s">
        <v>4085</v>
      </c>
      <c r="D1176" s="11" t="n">
        <v>16543</v>
      </c>
      <c r="E1176" s="31" t="n">
        <v>31.3</v>
      </c>
      <c r="F1176" s="31" t="n">
        <v>43.4</v>
      </c>
      <c r="G1176" s="31" t="n">
        <v>98.9</v>
      </c>
      <c r="H1176" s="2" t="s">
        <v>671</v>
      </c>
    </row>
    <row r="1177" customFormat="false" ht="15" hidden="false" customHeight="false" outlineLevel="0" collapsed="false">
      <c r="A1177" s="2" t="s">
        <v>2564</v>
      </c>
      <c r="B1177" s="2" t="s">
        <v>46</v>
      </c>
      <c r="C1177" s="2" t="s">
        <v>4086</v>
      </c>
      <c r="D1177" s="11" t="n">
        <v>16820</v>
      </c>
      <c r="E1177" s="31" t="n">
        <v>32</v>
      </c>
      <c r="F1177" s="31" t="n">
        <v>50.5</v>
      </c>
      <c r="G1177" s="31" t="n">
        <v>86.3</v>
      </c>
      <c r="H1177" s="2" t="s">
        <v>668</v>
      </c>
    </row>
    <row r="1178" customFormat="false" ht="15" hidden="false" customHeight="false" outlineLevel="0" collapsed="false">
      <c r="A1178" s="2" t="s">
        <v>2564</v>
      </c>
      <c r="B1178" s="2" t="s">
        <v>46</v>
      </c>
      <c r="C1178" s="2" t="s">
        <v>4087</v>
      </c>
      <c r="D1178" s="11" t="n">
        <v>17522</v>
      </c>
      <c r="E1178" s="31" t="n">
        <v>52</v>
      </c>
      <c r="F1178" s="31" t="n">
        <v>50.6</v>
      </c>
      <c r="G1178" s="2"/>
      <c r="H1178" s="2" t="s">
        <v>668</v>
      </c>
    </row>
    <row r="1179" customFormat="false" ht="15" hidden="false" customHeight="false" outlineLevel="0" collapsed="false">
      <c r="A1179" s="2" t="s">
        <v>2564</v>
      </c>
      <c r="B1179" s="2" t="s">
        <v>47</v>
      </c>
      <c r="C1179" s="2" t="s">
        <v>4085</v>
      </c>
      <c r="D1179" s="11" t="n">
        <v>26268</v>
      </c>
      <c r="E1179" s="31" t="n">
        <v>5.4</v>
      </c>
      <c r="F1179" s="31" t="n">
        <v>25.8</v>
      </c>
      <c r="G1179" s="31" t="n">
        <v>54.1</v>
      </c>
      <c r="H1179" s="2" t="s">
        <v>671</v>
      </c>
    </row>
    <row r="1180" customFormat="false" ht="15" hidden="false" customHeight="false" outlineLevel="0" collapsed="false">
      <c r="A1180" s="2" t="s">
        <v>2564</v>
      </c>
      <c r="B1180" s="2" t="s">
        <v>47</v>
      </c>
      <c r="C1180" s="2" t="s">
        <v>4086</v>
      </c>
      <c r="D1180" s="11" t="n">
        <v>26753</v>
      </c>
      <c r="E1180" s="31" t="n">
        <v>13.2</v>
      </c>
      <c r="F1180" s="31" t="n">
        <v>23.7</v>
      </c>
      <c r="G1180" s="31" t="n">
        <v>19.5</v>
      </c>
      <c r="H1180" s="2" t="s">
        <v>671</v>
      </c>
    </row>
    <row r="1181" customFormat="false" ht="15" hidden="false" customHeight="false" outlineLevel="0" collapsed="false">
      <c r="A1181" s="2" t="s">
        <v>2564</v>
      </c>
      <c r="B1181" s="2" t="s">
        <v>47</v>
      </c>
      <c r="C1181" s="2" t="s">
        <v>4087</v>
      </c>
      <c r="D1181" s="11" t="n">
        <v>27024</v>
      </c>
      <c r="E1181" s="31" t="n">
        <v>17.7</v>
      </c>
      <c r="F1181" s="31" t="n">
        <v>41.8</v>
      </c>
      <c r="G1181" s="31" t="n">
        <v>57</v>
      </c>
      <c r="H1181" s="2" t="s">
        <v>671</v>
      </c>
    </row>
    <row r="1182" customFormat="false" ht="15" hidden="false" customHeight="false" outlineLevel="0" collapsed="false">
      <c r="A1182" s="2" t="s">
        <v>586</v>
      </c>
      <c r="B1182" s="2" t="s">
        <v>4104</v>
      </c>
      <c r="C1182" s="2" t="s">
        <v>4087</v>
      </c>
      <c r="D1182" s="2"/>
      <c r="E1182" s="31" t="n">
        <v>23</v>
      </c>
      <c r="F1182" s="31" t="n">
        <v>47.5</v>
      </c>
      <c r="G1182" s="31" t="n">
        <v>54.1</v>
      </c>
      <c r="H1182" s="2" t="s">
        <v>671</v>
      </c>
    </row>
    <row r="1183" customFormat="false" ht="15" hidden="false" customHeight="false" outlineLevel="0" collapsed="false">
      <c r="A1183" s="2" t="s">
        <v>586</v>
      </c>
      <c r="B1183" s="2" t="s">
        <v>47</v>
      </c>
      <c r="C1183" s="2" t="s">
        <v>4087</v>
      </c>
      <c r="D1183" s="11" t="n">
        <v>15610</v>
      </c>
      <c r="E1183" s="31" t="n">
        <v>23</v>
      </c>
      <c r="F1183" s="31" t="n">
        <v>47.5</v>
      </c>
      <c r="G1183" s="31" t="n">
        <v>54.1</v>
      </c>
      <c r="H1183" s="2" t="s">
        <v>671</v>
      </c>
    </row>
    <row r="1184" customFormat="false" ht="15" hidden="false" customHeight="false" outlineLevel="0" collapsed="false">
      <c r="A1184" s="2" t="s">
        <v>1859</v>
      </c>
      <c r="B1184" s="2" t="s">
        <v>4104</v>
      </c>
      <c r="C1184" s="2" t="s">
        <v>4085</v>
      </c>
      <c r="D1184" s="2"/>
      <c r="E1184" s="31" t="n">
        <v>72.2</v>
      </c>
      <c r="F1184" s="31" t="n">
        <v>91.4</v>
      </c>
      <c r="G1184" s="31" t="n">
        <v>62</v>
      </c>
      <c r="H1184" s="2" t="s">
        <v>668</v>
      </c>
    </row>
    <row r="1185" customFormat="false" ht="15" hidden="false" customHeight="false" outlineLevel="0" collapsed="false">
      <c r="A1185" s="2" t="s">
        <v>1859</v>
      </c>
      <c r="B1185" s="2" t="s">
        <v>4104</v>
      </c>
      <c r="C1185" s="2" t="s">
        <v>4086</v>
      </c>
      <c r="D1185" s="2"/>
      <c r="E1185" s="31" t="n">
        <v>83.2</v>
      </c>
      <c r="F1185" s="31" t="n">
        <v>80.5</v>
      </c>
      <c r="G1185" s="31" t="n">
        <v>64.5</v>
      </c>
      <c r="H1185" s="2" t="s">
        <v>668</v>
      </c>
    </row>
    <row r="1186" customFormat="false" ht="15" hidden="false" customHeight="false" outlineLevel="0" collapsed="false">
      <c r="A1186" s="2" t="s">
        <v>1859</v>
      </c>
      <c r="B1186" s="2" t="s">
        <v>4104</v>
      </c>
      <c r="C1186" s="2" t="s">
        <v>4087</v>
      </c>
      <c r="D1186" s="2"/>
      <c r="E1186" s="31" t="n">
        <v>59.9</v>
      </c>
      <c r="F1186" s="31" t="n">
        <v>62.6</v>
      </c>
      <c r="G1186" s="31" t="n">
        <v>50.4</v>
      </c>
      <c r="H1186" s="2" t="s">
        <v>668</v>
      </c>
    </row>
    <row r="1187" customFormat="false" ht="15" hidden="false" customHeight="false" outlineLevel="0" collapsed="false">
      <c r="A1187" s="2" t="s">
        <v>1859</v>
      </c>
      <c r="B1187" s="2" t="s">
        <v>45</v>
      </c>
      <c r="C1187" s="2" t="s">
        <v>4085</v>
      </c>
      <c r="D1187" s="11" t="n">
        <v>19922</v>
      </c>
      <c r="E1187" s="31" t="n">
        <v>87.3</v>
      </c>
      <c r="F1187" s="31" t="n">
        <v>92.3</v>
      </c>
      <c r="G1187" s="31" t="n">
        <v>26.8</v>
      </c>
      <c r="H1187" s="2" t="s">
        <v>671</v>
      </c>
    </row>
    <row r="1188" customFormat="false" ht="15" hidden="false" customHeight="false" outlineLevel="0" collapsed="false">
      <c r="A1188" s="2" t="s">
        <v>1859</v>
      </c>
      <c r="B1188" s="2" t="s">
        <v>45</v>
      </c>
      <c r="C1188" s="2" t="s">
        <v>4086</v>
      </c>
      <c r="D1188" s="11" t="n">
        <v>21650</v>
      </c>
      <c r="E1188" s="31" t="n">
        <v>93.8</v>
      </c>
      <c r="F1188" s="31" t="n">
        <v>87.3</v>
      </c>
      <c r="G1188" s="31" t="n">
        <v>29.4</v>
      </c>
      <c r="H1188" s="2" t="s">
        <v>671</v>
      </c>
    </row>
    <row r="1189" customFormat="false" ht="15" hidden="false" customHeight="false" outlineLevel="0" collapsed="false">
      <c r="A1189" s="2" t="s">
        <v>1859</v>
      </c>
      <c r="B1189" s="2" t="s">
        <v>45</v>
      </c>
      <c r="C1189" s="2" t="s">
        <v>4087</v>
      </c>
      <c r="D1189" s="11" t="n">
        <v>22630</v>
      </c>
      <c r="E1189" s="31" t="n">
        <v>84.6</v>
      </c>
      <c r="F1189" s="31" t="n">
        <v>72.2</v>
      </c>
      <c r="G1189" s="2"/>
      <c r="H1189" s="2" t="s">
        <v>668</v>
      </c>
    </row>
    <row r="1190" customFormat="false" ht="15" hidden="false" customHeight="false" outlineLevel="0" collapsed="false">
      <c r="A1190" s="2" t="s">
        <v>1859</v>
      </c>
      <c r="B1190" s="2" t="s">
        <v>46</v>
      </c>
      <c r="C1190" s="2" t="s">
        <v>4085</v>
      </c>
      <c r="D1190" s="2"/>
      <c r="E1190" s="2"/>
      <c r="F1190" s="2"/>
      <c r="G1190" s="2"/>
      <c r="H1190" s="2" t="s">
        <v>668</v>
      </c>
    </row>
    <row r="1191" customFormat="false" ht="15" hidden="false" customHeight="false" outlineLevel="0" collapsed="false">
      <c r="A1191" s="2" t="s">
        <v>1859</v>
      </c>
      <c r="B1191" s="2" t="s">
        <v>46</v>
      </c>
      <c r="C1191" s="2" t="s">
        <v>4086</v>
      </c>
      <c r="D1191" s="2"/>
      <c r="E1191" s="2"/>
      <c r="F1191" s="2"/>
      <c r="G1191" s="2"/>
      <c r="H1191" s="2" t="s">
        <v>668</v>
      </c>
    </row>
    <row r="1192" customFormat="false" ht="15" hidden="false" customHeight="false" outlineLevel="0" collapsed="false">
      <c r="A1192" s="2" t="s">
        <v>1859</v>
      </c>
      <c r="B1192" s="2" t="s">
        <v>46</v>
      </c>
      <c r="C1192" s="2" t="s">
        <v>4087</v>
      </c>
      <c r="D1192" s="11" t="n">
        <v>99652</v>
      </c>
      <c r="E1192" s="31" t="n">
        <v>19.7</v>
      </c>
      <c r="F1192" s="31" t="n">
        <v>21.6</v>
      </c>
      <c r="G1192" s="31" t="n">
        <v>2.8</v>
      </c>
      <c r="H1192" s="2" t="s">
        <v>671</v>
      </c>
    </row>
    <row r="1193" customFormat="false" ht="15" hidden="false" customHeight="false" outlineLevel="0" collapsed="false">
      <c r="A1193" s="2" t="s">
        <v>1859</v>
      </c>
      <c r="B1193" s="2" t="s">
        <v>47</v>
      </c>
      <c r="C1193" s="2" t="s">
        <v>4085</v>
      </c>
      <c r="D1193" s="11" t="n">
        <v>37279</v>
      </c>
      <c r="E1193" s="31" t="n">
        <v>57.1</v>
      </c>
      <c r="F1193" s="31" t="n">
        <v>90.5</v>
      </c>
      <c r="G1193" s="31" t="n">
        <v>97.2</v>
      </c>
      <c r="H1193" s="2" t="s">
        <v>671</v>
      </c>
    </row>
    <row r="1194" customFormat="false" ht="15" hidden="false" customHeight="false" outlineLevel="0" collapsed="false">
      <c r="A1194" s="2" t="s">
        <v>1859</v>
      </c>
      <c r="B1194" s="2" t="s">
        <v>47</v>
      </c>
      <c r="C1194" s="2" t="s">
        <v>4086</v>
      </c>
      <c r="D1194" s="11" t="n">
        <v>39760</v>
      </c>
      <c r="E1194" s="31" t="n">
        <v>72.5</v>
      </c>
      <c r="F1194" s="31" t="n">
        <v>73.7</v>
      </c>
      <c r="G1194" s="31" t="n">
        <v>99.6</v>
      </c>
      <c r="H1194" s="2" t="s">
        <v>671</v>
      </c>
    </row>
    <row r="1195" customFormat="false" ht="15" hidden="false" customHeight="false" outlineLevel="0" collapsed="false">
      <c r="A1195" s="2" t="s">
        <v>1859</v>
      </c>
      <c r="B1195" s="2" t="s">
        <v>47</v>
      </c>
      <c r="C1195" s="2" t="s">
        <v>4087</v>
      </c>
      <c r="D1195" s="11" t="n">
        <v>40915</v>
      </c>
      <c r="E1195" s="31" t="n">
        <v>75.5</v>
      </c>
      <c r="F1195" s="31" t="n">
        <v>94</v>
      </c>
      <c r="G1195" s="31" t="n">
        <v>97.9</v>
      </c>
      <c r="H1195" s="2" t="s">
        <v>671</v>
      </c>
    </row>
    <row r="1196" customFormat="false" ht="15" hidden="false" customHeight="false" outlineLevel="0" collapsed="false">
      <c r="A1196" s="2" t="s">
        <v>891</v>
      </c>
      <c r="B1196" s="2" t="s">
        <v>4104</v>
      </c>
      <c r="C1196" s="2" t="s">
        <v>4085</v>
      </c>
      <c r="D1196" s="2"/>
      <c r="E1196" s="31" t="n">
        <v>35.8</v>
      </c>
      <c r="F1196" s="31" t="n">
        <v>74</v>
      </c>
      <c r="G1196" s="31" t="n">
        <v>79</v>
      </c>
      <c r="H1196" s="2" t="s">
        <v>668</v>
      </c>
    </row>
    <row r="1197" customFormat="false" ht="15" hidden="false" customHeight="false" outlineLevel="0" collapsed="false">
      <c r="A1197" s="2" t="s">
        <v>891</v>
      </c>
      <c r="B1197" s="2" t="s">
        <v>4104</v>
      </c>
      <c r="C1197" s="2" t="s">
        <v>4086</v>
      </c>
      <c r="D1197" s="2"/>
      <c r="E1197" s="31" t="n">
        <v>46.5</v>
      </c>
      <c r="F1197" s="31" t="n">
        <v>70.6</v>
      </c>
      <c r="G1197" s="31" t="n">
        <v>66.7</v>
      </c>
      <c r="H1197" s="2" t="s">
        <v>668</v>
      </c>
    </row>
    <row r="1198" customFormat="false" ht="15" hidden="false" customHeight="false" outlineLevel="0" collapsed="false">
      <c r="A1198" s="2" t="s">
        <v>891</v>
      </c>
      <c r="B1198" s="2" t="s">
        <v>4104</v>
      </c>
      <c r="C1198" s="2" t="s">
        <v>4087</v>
      </c>
      <c r="D1198" s="2"/>
      <c r="E1198" s="31" t="n">
        <v>53.9</v>
      </c>
      <c r="F1198" s="31" t="n">
        <v>59.8</v>
      </c>
      <c r="G1198" s="31" t="n">
        <v>78.9</v>
      </c>
      <c r="H1198" s="2" t="s">
        <v>668</v>
      </c>
    </row>
    <row r="1199" customFormat="false" ht="15" hidden="false" customHeight="false" outlineLevel="0" collapsed="false">
      <c r="A1199" s="2" t="s">
        <v>891</v>
      </c>
      <c r="B1199" s="2" t="s">
        <v>45</v>
      </c>
      <c r="C1199" s="2" t="s">
        <v>4085</v>
      </c>
      <c r="D1199" s="11" t="n">
        <v>196650</v>
      </c>
      <c r="E1199" s="31" t="n">
        <v>41.9</v>
      </c>
      <c r="F1199" s="31" t="n">
        <v>79.5</v>
      </c>
      <c r="G1199" s="31" t="n">
        <v>80.5</v>
      </c>
      <c r="H1199" s="2" t="s">
        <v>671</v>
      </c>
    </row>
    <row r="1200" customFormat="false" ht="15" hidden="false" customHeight="false" outlineLevel="0" collapsed="false">
      <c r="A1200" s="2" t="s">
        <v>891</v>
      </c>
      <c r="B1200" s="2" t="s">
        <v>45</v>
      </c>
      <c r="C1200" s="2" t="s">
        <v>4086</v>
      </c>
      <c r="D1200" s="11" t="n">
        <v>199080</v>
      </c>
      <c r="E1200" s="2"/>
      <c r="F1200" s="31" t="n">
        <v>66.4</v>
      </c>
      <c r="G1200" s="31" t="n">
        <v>64.6</v>
      </c>
      <c r="H1200" s="2" t="s">
        <v>668</v>
      </c>
    </row>
    <row r="1201" customFormat="false" ht="15" hidden="false" customHeight="false" outlineLevel="0" collapsed="false">
      <c r="A1201" s="2" t="s">
        <v>891</v>
      </c>
      <c r="B1201" s="2" t="s">
        <v>45</v>
      </c>
      <c r="C1201" s="2" t="s">
        <v>4087</v>
      </c>
      <c r="D1201" s="11" t="n">
        <v>207530</v>
      </c>
      <c r="E1201" s="31" t="n">
        <v>70.7</v>
      </c>
      <c r="F1201" s="31" t="n">
        <v>71.7</v>
      </c>
      <c r="G1201" s="31" t="n">
        <v>80.1</v>
      </c>
      <c r="H1201" s="2" t="s">
        <v>671</v>
      </c>
    </row>
    <row r="1202" customFormat="false" ht="15" hidden="false" customHeight="false" outlineLevel="0" collapsed="false">
      <c r="A1202" s="2" t="s">
        <v>891</v>
      </c>
      <c r="B1202" s="2" t="s">
        <v>46</v>
      </c>
      <c r="C1202" s="2" t="s">
        <v>4085</v>
      </c>
      <c r="D1202" s="11" t="n">
        <v>99328</v>
      </c>
      <c r="E1202" s="31" t="n">
        <v>25.6</v>
      </c>
      <c r="F1202" s="31" t="n">
        <v>56.2</v>
      </c>
      <c r="G1202" s="2"/>
      <c r="H1202" s="2" t="s">
        <v>668</v>
      </c>
    </row>
    <row r="1203" customFormat="false" ht="15" hidden="false" customHeight="false" outlineLevel="0" collapsed="false">
      <c r="A1203" s="2" t="s">
        <v>891</v>
      </c>
      <c r="B1203" s="2" t="s">
        <v>46</v>
      </c>
      <c r="C1203" s="2" t="s">
        <v>4086</v>
      </c>
      <c r="D1203" s="11" t="n">
        <v>101890</v>
      </c>
      <c r="E1203" s="31" t="n">
        <v>29.7</v>
      </c>
      <c r="F1203" s="31" t="n">
        <v>76.4</v>
      </c>
      <c r="G1203" s="31" t="n">
        <v>87</v>
      </c>
      <c r="H1203" s="2" t="s">
        <v>671</v>
      </c>
    </row>
    <row r="1204" customFormat="false" ht="15" hidden="false" customHeight="false" outlineLevel="0" collapsed="false">
      <c r="A1204" s="2" t="s">
        <v>891</v>
      </c>
      <c r="B1204" s="2" t="s">
        <v>46</v>
      </c>
      <c r="C1204" s="2" t="s">
        <v>4087</v>
      </c>
      <c r="D1204" s="11" t="n">
        <v>106886</v>
      </c>
      <c r="E1204" s="31" t="n">
        <v>45</v>
      </c>
      <c r="F1204" s="31" t="n">
        <v>53</v>
      </c>
      <c r="G1204" s="31" t="n">
        <v>77.7</v>
      </c>
      <c r="H1204" s="2" t="s">
        <v>671</v>
      </c>
    </row>
    <row r="1205" customFormat="false" ht="15" hidden="false" customHeight="false" outlineLevel="0" collapsed="false">
      <c r="A1205" s="2" t="s">
        <v>891</v>
      </c>
      <c r="B1205" s="2" t="s">
        <v>47</v>
      </c>
      <c r="C1205" s="2" t="s">
        <v>4085</v>
      </c>
      <c r="D1205" s="11" t="n">
        <v>140561</v>
      </c>
      <c r="E1205" s="31" t="n">
        <v>40</v>
      </c>
      <c r="F1205" s="31" t="n">
        <v>86.4</v>
      </c>
      <c r="G1205" s="31" t="n">
        <v>77.6</v>
      </c>
      <c r="H1205" s="2" t="s">
        <v>671</v>
      </c>
    </row>
    <row r="1206" customFormat="false" ht="15" hidden="false" customHeight="false" outlineLevel="0" collapsed="false">
      <c r="A1206" s="2" t="s">
        <v>891</v>
      </c>
      <c r="B1206" s="2" t="s">
        <v>47</v>
      </c>
      <c r="C1206" s="2" t="s">
        <v>4086</v>
      </c>
      <c r="D1206" s="11" t="n">
        <v>146463</v>
      </c>
      <c r="E1206" s="31" t="n">
        <v>63.3</v>
      </c>
      <c r="F1206" s="31" t="n">
        <v>68.9</v>
      </c>
      <c r="G1206" s="31" t="n">
        <v>48.4</v>
      </c>
      <c r="H1206" s="2" t="s">
        <v>671</v>
      </c>
    </row>
    <row r="1207" customFormat="false" ht="15" hidden="false" customHeight="false" outlineLevel="0" collapsed="false">
      <c r="A1207" s="2" t="s">
        <v>891</v>
      </c>
      <c r="B1207" s="2" t="s">
        <v>47</v>
      </c>
      <c r="C1207" s="2" t="s">
        <v>4087</v>
      </c>
      <c r="D1207" s="11" t="n">
        <v>152040</v>
      </c>
      <c r="E1207" s="31" t="n">
        <v>46</v>
      </c>
      <c r="F1207" s="31" t="n">
        <v>54.8</v>
      </c>
      <c r="G1207" s="2"/>
      <c r="H1207" s="2" t="s">
        <v>668</v>
      </c>
    </row>
    <row r="1208" customFormat="false" ht="15" hidden="false" customHeight="false" outlineLevel="0" collapsed="false">
      <c r="A1208" s="2" t="s">
        <v>1191</v>
      </c>
      <c r="B1208" s="2" t="s">
        <v>4104</v>
      </c>
      <c r="C1208" s="2" t="s">
        <v>4085</v>
      </c>
      <c r="D1208" s="2"/>
      <c r="E1208" s="31" t="n">
        <v>58</v>
      </c>
      <c r="F1208" s="31" t="n">
        <v>55.5</v>
      </c>
      <c r="G1208" s="31" t="n">
        <v>11.8</v>
      </c>
      <c r="H1208" s="2" t="s">
        <v>668</v>
      </c>
    </row>
    <row r="1209" customFormat="false" ht="15" hidden="false" customHeight="false" outlineLevel="0" collapsed="false">
      <c r="A1209" s="2" t="s">
        <v>1191</v>
      </c>
      <c r="B1209" s="2" t="s">
        <v>4104</v>
      </c>
      <c r="C1209" s="2" t="s">
        <v>4086</v>
      </c>
      <c r="D1209" s="2"/>
      <c r="E1209" s="31" t="n">
        <v>53.7</v>
      </c>
      <c r="F1209" s="31" t="n">
        <v>63.3</v>
      </c>
      <c r="G1209" s="31" t="n">
        <v>25.3</v>
      </c>
      <c r="H1209" s="2" t="s">
        <v>671</v>
      </c>
    </row>
    <row r="1210" customFormat="false" ht="15" hidden="false" customHeight="false" outlineLevel="0" collapsed="false">
      <c r="A1210" s="2" t="s">
        <v>1191</v>
      </c>
      <c r="B1210" s="2" t="s">
        <v>4104</v>
      </c>
      <c r="C1210" s="2" t="s">
        <v>4087</v>
      </c>
      <c r="D1210" s="2"/>
      <c r="E1210" s="31" t="n">
        <v>66.3</v>
      </c>
      <c r="F1210" s="31" t="n">
        <v>52.2</v>
      </c>
      <c r="G1210" s="31" t="n">
        <v>7.7</v>
      </c>
      <c r="H1210" s="2" t="s">
        <v>668</v>
      </c>
    </row>
    <row r="1211" customFormat="false" ht="15" hidden="false" customHeight="false" outlineLevel="0" collapsed="false">
      <c r="A1211" s="2" t="s">
        <v>1191</v>
      </c>
      <c r="B1211" s="2" t="s">
        <v>45</v>
      </c>
      <c r="C1211" s="2" t="s">
        <v>4085</v>
      </c>
      <c r="D1211" s="11" t="n">
        <v>72840</v>
      </c>
      <c r="E1211" s="31" t="n">
        <v>17.7</v>
      </c>
      <c r="F1211" s="31" t="n">
        <v>81.8</v>
      </c>
      <c r="G1211" s="31" t="n">
        <v>23.4</v>
      </c>
      <c r="H1211" s="2" t="s">
        <v>671</v>
      </c>
    </row>
    <row r="1212" customFormat="false" ht="15" hidden="false" customHeight="false" outlineLevel="0" collapsed="false">
      <c r="A1212" s="2" t="s">
        <v>1191</v>
      </c>
      <c r="B1212" s="2" t="s">
        <v>45</v>
      </c>
      <c r="C1212" s="2" t="s">
        <v>4086</v>
      </c>
      <c r="D1212" s="11" t="n">
        <v>78590</v>
      </c>
      <c r="E1212" s="31" t="n">
        <v>20.8</v>
      </c>
      <c r="F1212" s="31" t="n">
        <v>82.5</v>
      </c>
      <c r="G1212" s="31" t="n">
        <v>31.7</v>
      </c>
      <c r="H1212" s="2" t="s">
        <v>671</v>
      </c>
    </row>
    <row r="1213" customFormat="false" ht="15" hidden="false" customHeight="false" outlineLevel="0" collapsed="false">
      <c r="A1213" s="2" t="s">
        <v>1191</v>
      </c>
      <c r="B1213" s="2" t="s">
        <v>45</v>
      </c>
      <c r="C1213" s="2" t="s">
        <v>4087</v>
      </c>
      <c r="D1213" s="11" t="n">
        <v>82400</v>
      </c>
      <c r="E1213" s="31" t="n">
        <v>29.9</v>
      </c>
      <c r="F1213" s="31" t="n">
        <v>80.6</v>
      </c>
      <c r="G1213" s="31" t="n">
        <v>14.1</v>
      </c>
      <c r="H1213" s="2" t="s">
        <v>671</v>
      </c>
    </row>
    <row r="1214" customFormat="false" ht="15" hidden="false" customHeight="false" outlineLevel="0" collapsed="false">
      <c r="A1214" s="2" t="s">
        <v>1191</v>
      </c>
      <c r="B1214" s="2" t="s">
        <v>46</v>
      </c>
      <c r="C1214" s="2" t="s">
        <v>4085</v>
      </c>
      <c r="D1214" s="11" t="n">
        <v>95280</v>
      </c>
      <c r="E1214" s="31" t="n">
        <v>74</v>
      </c>
      <c r="F1214" s="31" t="n">
        <v>49.1</v>
      </c>
      <c r="G1214" s="31" t="n">
        <v>0.7</v>
      </c>
      <c r="H1214" s="2" t="s">
        <v>671</v>
      </c>
    </row>
    <row r="1215" customFormat="false" ht="15" hidden="false" customHeight="false" outlineLevel="0" collapsed="false">
      <c r="A1215" s="2" t="s">
        <v>1191</v>
      </c>
      <c r="B1215" s="2" t="s">
        <v>46</v>
      </c>
      <c r="C1215" s="2" t="s">
        <v>4086</v>
      </c>
      <c r="D1215" s="11" t="n">
        <v>97970</v>
      </c>
      <c r="E1215" s="31" t="n">
        <v>76.2</v>
      </c>
      <c r="F1215" s="31" t="n">
        <v>71.6</v>
      </c>
      <c r="G1215" s="31" t="n">
        <v>24.1</v>
      </c>
      <c r="H1215" s="2" t="s">
        <v>671</v>
      </c>
    </row>
    <row r="1216" customFormat="false" ht="15" hidden="false" customHeight="false" outlineLevel="0" collapsed="false">
      <c r="A1216" s="2" t="s">
        <v>1191</v>
      </c>
      <c r="B1216" s="2" t="s">
        <v>46</v>
      </c>
      <c r="C1216" s="2" t="s">
        <v>4087</v>
      </c>
      <c r="D1216" s="11" t="n">
        <v>102231</v>
      </c>
      <c r="E1216" s="31" t="n">
        <v>96.8</v>
      </c>
      <c r="F1216" s="31" t="n">
        <v>53.6</v>
      </c>
      <c r="G1216" s="31" t="n">
        <v>2.3</v>
      </c>
      <c r="H1216" s="2" t="s">
        <v>671</v>
      </c>
    </row>
    <row r="1217" customFormat="false" ht="15" hidden="false" customHeight="false" outlineLevel="0" collapsed="false">
      <c r="A1217" s="2" t="s">
        <v>1191</v>
      </c>
      <c r="B1217" s="2" t="s">
        <v>47</v>
      </c>
      <c r="C1217" s="2" t="s">
        <v>4085</v>
      </c>
      <c r="D1217" s="11" t="n">
        <v>21597</v>
      </c>
      <c r="E1217" s="31" t="n">
        <v>82.2</v>
      </c>
      <c r="F1217" s="31" t="n">
        <v>35.6</v>
      </c>
      <c r="G1217" s="31" t="n">
        <v>11.3</v>
      </c>
      <c r="H1217" s="2" t="s">
        <v>668</v>
      </c>
    </row>
    <row r="1218" customFormat="false" ht="15" hidden="false" customHeight="false" outlineLevel="0" collapsed="false">
      <c r="A1218" s="2" t="s">
        <v>1191</v>
      </c>
      <c r="B1218" s="2" t="s">
        <v>47</v>
      </c>
      <c r="C1218" s="2" t="s">
        <v>4086</v>
      </c>
      <c r="D1218" s="11" t="n">
        <v>22469</v>
      </c>
      <c r="E1218" s="31" t="n">
        <v>64</v>
      </c>
      <c r="F1218" s="31" t="n">
        <v>35.7</v>
      </c>
      <c r="G1218" s="31" t="n">
        <v>20.1</v>
      </c>
      <c r="H1218" s="2" t="s">
        <v>671</v>
      </c>
    </row>
    <row r="1219" customFormat="false" ht="15" hidden="false" customHeight="false" outlineLevel="0" collapsed="false">
      <c r="A1219" s="2" t="s">
        <v>1191</v>
      </c>
      <c r="B1219" s="2" t="s">
        <v>47</v>
      </c>
      <c r="C1219" s="2" t="s">
        <v>4087</v>
      </c>
      <c r="D1219" s="11" t="n">
        <v>22393</v>
      </c>
      <c r="E1219" s="31" t="n">
        <v>72.2</v>
      </c>
      <c r="F1219" s="31" t="n">
        <v>22.3</v>
      </c>
      <c r="G1219" s="31" t="n">
        <v>6.7</v>
      </c>
      <c r="H1219" s="2" t="s">
        <v>668</v>
      </c>
    </row>
    <row r="1220" customFormat="false" ht="15" hidden="false" customHeight="false" outlineLevel="0" collapsed="false">
      <c r="A1220" s="2" t="s">
        <v>2786</v>
      </c>
      <c r="B1220" s="2" t="s">
        <v>4104</v>
      </c>
      <c r="C1220" s="2" t="s">
        <v>4085</v>
      </c>
      <c r="D1220" s="2"/>
      <c r="E1220" s="31" t="n">
        <v>86.2</v>
      </c>
      <c r="F1220" s="31" t="n">
        <v>96.1</v>
      </c>
      <c r="G1220" s="31" t="n">
        <v>59.8</v>
      </c>
      <c r="H1220" s="2" t="s">
        <v>671</v>
      </c>
    </row>
    <row r="1221" customFormat="false" ht="15" hidden="false" customHeight="false" outlineLevel="0" collapsed="false">
      <c r="A1221" s="2" t="s">
        <v>2786</v>
      </c>
      <c r="B1221" s="2" t="s">
        <v>4104</v>
      </c>
      <c r="C1221" s="2" t="s">
        <v>4086</v>
      </c>
      <c r="D1221" s="2"/>
      <c r="E1221" s="31" t="n">
        <v>73.2</v>
      </c>
      <c r="F1221" s="31" t="n">
        <v>99.4</v>
      </c>
      <c r="G1221" s="31" t="n">
        <v>30.6</v>
      </c>
      <c r="H1221" s="2" t="s">
        <v>671</v>
      </c>
    </row>
    <row r="1222" customFormat="false" ht="15" hidden="false" customHeight="false" outlineLevel="0" collapsed="false">
      <c r="A1222" s="2" t="s">
        <v>2786</v>
      </c>
      <c r="B1222" s="2" t="s">
        <v>4104</v>
      </c>
      <c r="C1222" s="2" t="s">
        <v>4087</v>
      </c>
      <c r="D1222" s="2"/>
      <c r="E1222" s="31" t="n">
        <v>75.3</v>
      </c>
      <c r="F1222" s="2"/>
      <c r="G1222" s="31" t="n">
        <v>33.7</v>
      </c>
      <c r="H1222" s="2" t="s">
        <v>668</v>
      </c>
    </row>
    <row r="1223" customFormat="false" ht="15" hidden="false" customHeight="false" outlineLevel="0" collapsed="false">
      <c r="A1223" s="2" t="s">
        <v>2786</v>
      </c>
      <c r="B1223" s="2" t="s">
        <v>47</v>
      </c>
      <c r="C1223" s="2" t="s">
        <v>4085</v>
      </c>
      <c r="D1223" s="11" t="n">
        <v>10602</v>
      </c>
      <c r="E1223" s="31" t="n">
        <v>86.2</v>
      </c>
      <c r="F1223" s="31" t="n">
        <v>96.1</v>
      </c>
      <c r="G1223" s="31" t="n">
        <v>59.8</v>
      </c>
      <c r="H1223" s="2" t="s">
        <v>671</v>
      </c>
    </row>
    <row r="1224" customFormat="false" ht="15" hidden="false" customHeight="false" outlineLevel="0" collapsed="false">
      <c r="A1224" s="2" t="s">
        <v>2786</v>
      </c>
      <c r="B1224" s="2" t="s">
        <v>47</v>
      </c>
      <c r="C1224" s="2" t="s">
        <v>4086</v>
      </c>
      <c r="D1224" s="11" t="n">
        <v>11480</v>
      </c>
      <c r="E1224" s="31" t="n">
        <v>73.2</v>
      </c>
      <c r="F1224" s="31" t="n">
        <v>99.4</v>
      </c>
      <c r="G1224" s="31" t="n">
        <v>30.6</v>
      </c>
      <c r="H1224" s="2" t="s">
        <v>671</v>
      </c>
    </row>
    <row r="1225" customFormat="false" ht="15" hidden="false" customHeight="false" outlineLevel="0" collapsed="false">
      <c r="A1225" s="2" t="s">
        <v>2786</v>
      </c>
      <c r="B1225" s="2" t="s">
        <v>47</v>
      </c>
      <c r="C1225" s="2" t="s">
        <v>4087</v>
      </c>
      <c r="D1225" s="11" t="n">
        <v>11967</v>
      </c>
      <c r="E1225" s="31" t="n">
        <v>75.3</v>
      </c>
      <c r="F1225" s="2"/>
      <c r="G1225" s="31" t="n">
        <v>33.7</v>
      </c>
      <c r="H1225" s="2" t="s">
        <v>668</v>
      </c>
    </row>
    <row r="1226" customFormat="false" ht="15" hidden="false" customHeight="false" outlineLevel="0" collapsed="false">
      <c r="A1226" s="2" t="s">
        <v>1270</v>
      </c>
      <c r="B1226" s="2" t="s">
        <v>4104</v>
      </c>
      <c r="C1226" s="2" t="s">
        <v>4085</v>
      </c>
      <c r="D1226" s="2"/>
      <c r="E1226" s="31" t="n">
        <v>43.2</v>
      </c>
      <c r="F1226" s="31" t="n">
        <v>38.3</v>
      </c>
      <c r="G1226" s="31" t="n">
        <v>70</v>
      </c>
      <c r="H1226" s="2" t="s">
        <v>668</v>
      </c>
    </row>
    <row r="1227" customFormat="false" ht="15" hidden="false" customHeight="false" outlineLevel="0" collapsed="false">
      <c r="A1227" s="2" t="s">
        <v>1270</v>
      </c>
      <c r="B1227" s="2" t="s">
        <v>4104</v>
      </c>
      <c r="C1227" s="2" t="s">
        <v>4086</v>
      </c>
      <c r="D1227" s="2"/>
      <c r="E1227" s="31" t="n">
        <v>39.9</v>
      </c>
      <c r="F1227" s="31" t="n">
        <v>47.1</v>
      </c>
      <c r="G1227" s="31" t="n">
        <v>46.7</v>
      </c>
      <c r="H1227" s="2" t="s">
        <v>668</v>
      </c>
    </row>
    <row r="1228" customFormat="false" ht="15" hidden="false" customHeight="false" outlineLevel="0" collapsed="false">
      <c r="A1228" s="2" t="s">
        <v>1270</v>
      </c>
      <c r="B1228" s="2" t="s">
        <v>4104</v>
      </c>
      <c r="C1228" s="2" t="s">
        <v>4087</v>
      </c>
      <c r="D1228" s="2"/>
      <c r="E1228" s="31" t="n">
        <v>40.9</v>
      </c>
      <c r="F1228" s="31" t="n">
        <v>28.1</v>
      </c>
      <c r="G1228" s="31" t="n">
        <v>30</v>
      </c>
      <c r="H1228" s="2" t="s">
        <v>668</v>
      </c>
    </row>
    <row r="1229" customFormat="false" ht="15" hidden="false" customHeight="false" outlineLevel="0" collapsed="false">
      <c r="A1229" s="2" t="s">
        <v>1270</v>
      </c>
      <c r="B1229" s="2" t="s">
        <v>45</v>
      </c>
      <c r="C1229" s="2" t="s">
        <v>4085</v>
      </c>
      <c r="D1229" s="11" t="n">
        <v>108050</v>
      </c>
      <c r="E1229" s="31" t="n">
        <v>9.7</v>
      </c>
      <c r="F1229" s="31" t="n">
        <v>6.2</v>
      </c>
      <c r="G1229" s="2"/>
      <c r="H1229" s="2" t="s">
        <v>668</v>
      </c>
    </row>
    <row r="1230" customFormat="false" ht="15" hidden="false" customHeight="false" outlineLevel="0" collapsed="false">
      <c r="A1230" s="2" t="s">
        <v>1270</v>
      </c>
      <c r="B1230" s="2" t="s">
        <v>45</v>
      </c>
      <c r="C1230" s="2" t="s">
        <v>4086</v>
      </c>
      <c r="D1230" s="11" t="n">
        <v>106810</v>
      </c>
      <c r="E1230" s="31" t="n">
        <v>14.4</v>
      </c>
      <c r="F1230" s="31" t="n">
        <v>6.4</v>
      </c>
      <c r="G1230" s="31" t="n">
        <v>86.9</v>
      </c>
      <c r="H1230" s="2" t="s">
        <v>671</v>
      </c>
    </row>
    <row r="1231" customFormat="false" ht="15" hidden="false" customHeight="false" outlineLevel="0" collapsed="false">
      <c r="A1231" s="2" t="s">
        <v>1270</v>
      </c>
      <c r="B1231" s="2" t="s">
        <v>45</v>
      </c>
      <c r="C1231" s="2" t="s">
        <v>4087</v>
      </c>
      <c r="D1231" s="11" t="n">
        <v>105330</v>
      </c>
      <c r="E1231" s="31" t="n">
        <v>18.4</v>
      </c>
      <c r="F1231" s="31" t="n">
        <v>6.5</v>
      </c>
      <c r="G1231" s="31" t="n">
        <v>50.3</v>
      </c>
      <c r="H1231" s="2" t="s">
        <v>671</v>
      </c>
    </row>
    <row r="1232" customFormat="false" ht="15" hidden="false" customHeight="false" outlineLevel="0" collapsed="false">
      <c r="A1232" s="2" t="s">
        <v>1270</v>
      </c>
      <c r="B1232" s="2" t="s">
        <v>46</v>
      </c>
      <c r="C1232" s="2" t="s">
        <v>4085</v>
      </c>
      <c r="D1232" s="2"/>
      <c r="E1232" s="2"/>
      <c r="F1232" s="2"/>
      <c r="G1232" s="2"/>
      <c r="H1232" s="2" t="s">
        <v>668</v>
      </c>
    </row>
    <row r="1233" customFormat="false" ht="15" hidden="false" customHeight="false" outlineLevel="0" collapsed="false">
      <c r="A1233" s="2" t="s">
        <v>1270</v>
      </c>
      <c r="B1233" s="2" t="s">
        <v>46</v>
      </c>
      <c r="C1233" s="2" t="s">
        <v>4086</v>
      </c>
      <c r="D1233" s="11" t="n">
        <v>56980</v>
      </c>
      <c r="E1233" s="31" t="n">
        <v>40.3</v>
      </c>
      <c r="F1233" s="31" t="n">
        <v>66.5</v>
      </c>
      <c r="G1233" s="31" t="n">
        <v>6.4</v>
      </c>
      <c r="H1233" s="2" t="s">
        <v>671</v>
      </c>
    </row>
    <row r="1234" customFormat="false" ht="15" hidden="false" customHeight="false" outlineLevel="0" collapsed="false">
      <c r="A1234" s="2" t="s">
        <v>1270</v>
      </c>
      <c r="B1234" s="2" t="s">
        <v>46</v>
      </c>
      <c r="C1234" s="2" t="s">
        <v>4087</v>
      </c>
      <c r="D1234" s="11" t="n">
        <v>57420</v>
      </c>
      <c r="E1234" s="31" t="n">
        <v>9.3</v>
      </c>
      <c r="F1234" s="31" t="n">
        <v>39.8</v>
      </c>
      <c r="G1234" s="31" t="n">
        <v>9.6</v>
      </c>
      <c r="H1234" s="2" t="s">
        <v>671</v>
      </c>
    </row>
    <row r="1235" customFormat="false" ht="15" hidden="false" customHeight="false" outlineLevel="0" collapsed="false">
      <c r="A1235" s="2" t="s">
        <v>1270</v>
      </c>
      <c r="B1235" s="2" t="s">
        <v>47</v>
      </c>
      <c r="C1235" s="2" t="s">
        <v>4085</v>
      </c>
      <c r="D1235" s="11" t="n">
        <v>327548</v>
      </c>
      <c r="E1235" s="31" t="n">
        <v>76.6</v>
      </c>
      <c r="F1235" s="31" t="n">
        <v>70.4</v>
      </c>
      <c r="G1235" s="31" t="n">
        <v>70</v>
      </c>
      <c r="H1235" s="2" t="s">
        <v>671</v>
      </c>
    </row>
    <row r="1236" customFormat="false" ht="15" hidden="false" customHeight="false" outlineLevel="0" collapsed="false">
      <c r="A1236" s="2" t="s">
        <v>1270</v>
      </c>
      <c r="B1236" s="2" t="s">
        <v>47</v>
      </c>
      <c r="C1236" s="2" t="s">
        <v>4086</v>
      </c>
      <c r="D1236" s="11" t="n">
        <v>338040</v>
      </c>
      <c r="E1236" s="31" t="n">
        <v>65.1</v>
      </c>
      <c r="F1236" s="31" t="n">
        <v>68.3</v>
      </c>
      <c r="G1236" s="2"/>
      <c r="H1236" s="2" t="s">
        <v>668</v>
      </c>
    </row>
    <row r="1237" customFormat="false" ht="15" hidden="false" customHeight="false" outlineLevel="0" collapsed="false">
      <c r="A1237" s="2" t="s">
        <v>1270</v>
      </c>
      <c r="B1237" s="2" t="s">
        <v>47</v>
      </c>
      <c r="C1237" s="2" t="s">
        <v>4087</v>
      </c>
      <c r="D1237" s="11" t="n">
        <v>353572</v>
      </c>
      <c r="E1237" s="31" t="n">
        <v>95.1</v>
      </c>
      <c r="F1237" s="31" t="n">
        <v>38</v>
      </c>
      <c r="G1237" s="2"/>
      <c r="H1237" s="2" t="s">
        <v>668</v>
      </c>
    </row>
    <row r="1238" customFormat="false" ht="15" hidden="false" customHeight="false" outlineLevel="0" collapsed="false">
      <c r="A1238" s="2" t="s">
        <v>148</v>
      </c>
      <c r="B1238" s="2" t="s">
        <v>4104</v>
      </c>
      <c r="C1238" s="2" t="s">
        <v>4085</v>
      </c>
      <c r="D1238" s="2"/>
      <c r="E1238" s="31" t="n">
        <v>94.3</v>
      </c>
      <c r="F1238" s="31" t="n">
        <v>62.4</v>
      </c>
      <c r="G1238" s="31" t="n">
        <v>72.7</v>
      </c>
      <c r="H1238" s="2" t="s">
        <v>671</v>
      </c>
    </row>
    <row r="1239" customFormat="false" ht="15" hidden="false" customHeight="false" outlineLevel="0" collapsed="false">
      <c r="A1239" s="2" t="s">
        <v>148</v>
      </c>
      <c r="B1239" s="2" t="s">
        <v>4104</v>
      </c>
      <c r="C1239" s="2" t="s">
        <v>4086</v>
      </c>
      <c r="D1239" s="2"/>
      <c r="E1239" s="31" t="n">
        <v>86.1</v>
      </c>
      <c r="F1239" s="31" t="n">
        <v>74.7</v>
      </c>
      <c r="G1239" s="31" t="n">
        <v>68.5</v>
      </c>
      <c r="H1239" s="2" t="s">
        <v>671</v>
      </c>
    </row>
    <row r="1240" customFormat="false" ht="15" hidden="false" customHeight="false" outlineLevel="0" collapsed="false">
      <c r="A1240" s="2" t="s">
        <v>148</v>
      </c>
      <c r="B1240" s="2" t="s">
        <v>4104</v>
      </c>
      <c r="C1240" s="2" t="s">
        <v>4087</v>
      </c>
      <c r="D1240" s="2"/>
      <c r="E1240" s="31" t="n">
        <v>80</v>
      </c>
      <c r="F1240" s="31" t="n">
        <v>69.5</v>
      </c>
      <c r="G1240" s="31" t="n">
        <v>42.3</v>
      </c>
      <c r="H1240" s="2" t="s">
        <v>671</v>
      </c>
    </row>
    <row r="1241" customFormat="false" ht="15" hidden="false" customHeight="false" outlineLevel="0" collapsed="false">
      <c r="A1241" s="2" t="s">
        <v>148</v>
      </c>
      <c r="B1241" s="2" t="s">
        <v>47</v>
      </c>
      <c r="C1241" s="2" t="s">
        <v>4085</v>
      </c>
      <c r="D1241" s="11" t="n">
        <v>41809</v>
      </c>
      <c r="E1241" s="31" t="n">
        <v>94.3</v>
      </c>
      <c r="F1241" s="31" t="n">
        <v>62.4</v>
      </c>
      <c r="G1241" s="31" t="n">
        <v>72.7</v>
      </c>
      <c r="H1241" s="2" t="s">
        <v>671</v>
      </c>
    </row>
    <row r="1242" customFormat="false" ht="15" hidden="false" customHeight="false" outlineLevel="0" collapsed="false">
      <c r="A1242" s="2" t="s">
        <v>148</v>
      </c>
      <c r="B1242" s="2" t="s">
        <v>47</v>
      </c>
      <c r="C1242" s="2" t="s">
        <v>4086</v>
      </c>
      <c r="D1242" s="11" t="n">
        <v>44236</v>
      </c>
      <c r="E1242" s="31" t="n">
        <v>86.1</v>
      </c>
      <c r="F1242" s="31" t="n">
        <v>74.7</v>
      </c>
      <c r="G1242" s="31" t="n">
        <v>68.5</v>
      </c>
      <c r="H1242" s="2" t="s">
        <v>671</v>
      </c>
    </row>
    <row r="1243" customFormat="false" ht="15" hidden="false" customHeight="false" outlineLevel="0" collapsed="false">
      <c r="A1243" s="2" t="s">
        <v>148</v>
      </c>
      <c r="B1243" s="2" t="s">
        <v>47</v>
      </c>
      <c r="C1243" s="2" t="s">
        <v>4087</v>
      </c>
      <c r="D1243" s="11" t="n">
        <v>44940</v>
      </c>
      <c r="E1243" s="31" t="n">
        <v>80</v>
      </c>
      <c r="F1243" s="31" t="n">
        <v>69.5</v>
      </c>
      <c r="G1243" s="31" t="n">
        <v>42.3</v>
      </c>
      <c r="H1243" s="2" t="s">
        <v>671</v>
      </c>
    </row>
    <row r="1244" customFormat="false" ht="15" hidden="false" customHeight="false" outlineLevel="0" collapsed="false">
      <c r="A1244" s="2" t="s">
        <v>1835</v>
      </c>
      <c r="B1244" s="2" t="s">
        <v>4104</v>
      </c>
      <c r="C1244" s="2" t="s">
        <v>4085</v>
      </c>
      <c r="D1244" s="2"/>
      <c r="E1244" s="31" t="n">
        <v>41.8</v>
      </c>
      <c r="F1244" s="31" t="n">
        <v>24.1</v>
      </c>
      <c r="G1244" s="31" t="n">
        <v>65.7</v>
      </c>
      <c r="H1244" s="2" t="s">
        <v>671</v>
      </c>
    </row>
    <row r="1245" customFormat="false" ht="15" hidden="false" customHeight="false" outlineLevel="0" collapsed="false">
      <c r="A1245" s="2" t="s">
        <v>1835</v>
      </c>
      <c r="B1245" s="2" t="s">
        <v>4104</v>
      </c>
      <c r="C1245" s="2" t="s">
        <v>4086</v>
      </c>
      <c r="D1245" s="2"/>
      <c r="E1245" s="31" t="n">
        <v>40.3</v>
      </c>
      <c r="F1245" s="31" t="n">
        <v>8.7</v>
      </c>
      <c r="G1245" s="31" t="n">
        <v>56.3</v>
      </c>
      <c r="H1245" s="2" t="s">
        <v>668</v>
      </c>
    </row>
    <row r="1246" customFormat="false" ht="15" hidden="false" customHeight="false" outlineLevel="0" collapsed="false">
      <c r="A1246" s="2" t="s">
        <v>1835</v>
      </c>
      <c r="B1246" s="2" t="s">
        <v>4104</v>
      </c>
      <c r="C1246" s="2" t="s">
        <v>4087</v>
      </c>
      <c r="D1246" s="2"/>
      <c r="E1246" s="31" t="n">
        <v>58.8</v>
      </c>
      <c r="F1246" s="31" t="n">
        <v>34.2</v>
      </c>
      <c r="G1246" s="31" t="n">
        <v>63.9</v>
      </c>
      <c r="H1246" s="2" t="s">
        <v>668</v>
      </c>
    </row>
    <row r="1247" customFormat="false" ht="15" hidden="false" customHeight="false" outlineLevel="0" collapsed="false">
      <c r="A1247" s="2" t="s">
        <v>1835</v>
      </c>
      <c r="B1247" s="2" t="s">
        <v>45</v>
      </c>
      <c r="C1247" s="2" t="s">
        <v>4085</v>
      </c>
      <c r="D1247" s="11" t="n">
        <v>45641</v>
      </c>
      <c r="E1247" s="31" t="n">
        <v>14.5</v>
      </c>
      <c r="F1247" s="31" t="n">
        <v>15.3</v>
      </c>
      <c r="G1247" s="31" t="n">
        <v>57.6</v>
      </c>
      <c r="H1247" s="2" t="s">
        <v>671</v>
      </c>
    </row>
    <row r="1248" customFormat="false" ht="15" hidden="false" customHeight="false" outlineLevel="0" collapsed="false">
      <c r="A1248" s="2" t="s">
        <v>1835</v>
      </c>
      <c r="B1248" s="2" t="s">
        <v>45</v>
      </c>
      <c r="C1248" s="2" t="s">
        <v>4086</v>
      </c>
      <c r="D1248" s="11" t="n">
        <v>44290</v>
      </c>
      <c r="E1248" s="31" t="n">
        <v>19.3</v>
      </c>
      <c r="F1248" s="2"/>
      <c r="G1248" s="2"/>
      <c r="H1248" s="2" t="s">
        <v>668</v>
      </c>
    </row>
    <row r="1249" customFormat="false" ht="15" hidden="false" customHeight="false" outlineLevel="0" collapsed="false">
      <c r="A1249" s="2" t="s">
        <v>1835</v>
      </c>
      <c r="B1249" s="2" t="s">
        <v>45</v>
      </c>
      <c r="C1249" s="2" t="s">
        <v>4087</v>
      </c>
      <c r="D1249" s="2"/>
      <c r="E1249" s="2"/>
      <c r="F1249" s="2"/>
      <c r="G1249" s="2"/>
      <c r="H1249" s="2" t="s">
        <v>668</v>
      </c>
    </row>
    <row r="1250" customFormat="false" ht="15" hidden="false" customHeight="false" outlineLevel="0" collapsed="false">
      <c r="A1250" s="2" t="s">
        <v>1835</v>
      </c>
      <c r="B1250" s="2" t="s">
        <v>46</v>
      </c>
      <c r="C1250" s="2" t="s">
        <v>4085</v>
      </c>
      <c r="D1250" s="11" t="n">
        <v>47266</v>
      </c>
      <c r="E1250" s="31" t="n">
        <v>13.1</v>
      </c>
      <c r="F1250" s="31" t="n">
        <v>4.1</v>
      </c>
      <c r="G1250" s="31" t="n">
        <v>63.7</v>
      </c>
      <c r="H1250" s="2" t="s">
        <v>671</v>
      </c>
    </row>
    <row r="1251" customFormat="false" ht="15" hidden="false" customHeight="false" outlineLevel="0" collapsed="false">
      <c r="A1251" s="2" t="s">
        <v>1835</v>
      </c>
      <c r="B1251" s="2" t="s">
        <v>46</v>
      </c>
      <c r="C1251" s="2" t="s">
        <v>4086</v>
      </c>
      <c r="D1251" s="11" t="n">
        <v>47630</v>
      </c>
      <c r="E1251" s="31" t="n">
        <v>13.4</v>
      </c>
      <c r="F1251" s="31" t="n">
        <v>8.7</v>
      </c>
      <c r="G1251" s="31" t="n">
        <v>58.7</v>
      </c>
      <c r="H1251" s="2" t="s">
        <v>671</v>
      </c>
    </row>
    <row r="1252" customFormat="false" ht="15" hidden="false" customHeight="false" outlineLevel="0" collapsed="false">
      <c r="A1252" s="2" t="s">
        <v>1835</v>
      </c>
      <c r="B1252" s="2" t="s">
        <v>46</v>
      </c>
      <c r="C1252" s="2" t="s">
        <v>4087</v>
      </c>
      <c r="D1252" s="11" t="n">
        <v>46150</v>
      </c>
      <c r="E1252" s="31" t="n">
        <v>22.8</v>
      </c>
      <c r="F1252" s="31" t="n">
        <v>8.3</v>
      </c>
      <c r="G1252" s="31" t="n">
        <v>72</v>
      </c>
      <c r="H1252" s="2" t="s">
        <v>671</v>
      </c>
    </row>
    <row r="1253" customFormat="false" ht="15" hidden="false" customHeight="false" outlineLevel="0" collapsed="false">
      <c r="A1253" s="2" t="s">
        <v>1835</v>
      </c>
      <c r="B1253" s="2" t="s">
        <v>47</v>
      </c>
      <c r="C1253" s="2" t="s">
        <v>4085</v>
      </c>
      <c r="D1253" s="11" t="n">
        <v>91407</v>
      </c>
      <c r="E1253" s="31" t="n">
        <v>97.8</v>
      </c>
      <c r="F1253" s="31" t="n">
        <v>52.9</v>
      </c>
      <c r="G1253" s="31" t="n">
        <v>75.7</v>
      </c>
      <c r="H1253" s="2" t="s">
        <v>671</v>
      </c>
    </row>
    <row r="1254" customFormat="false" ht="15" hidden="false" customHeight="false" outlineLevel="0" collapsed="false">
      <c r="A1254" s="2" t="s">
        <v>1835</v>
      </c>
      <c r="B1254" s="2" t="s">
        <v>47</v>
      </c>
      <c r="C1254" s="2" t="s">
        <v>4086</v>
      </c>
      <c r="D1254" s="11" t="n">
        <v>95190</v>
      </c>
      <c r="E1254" s="31" t="n">
        <v>88.2</v>
      </c>
      <c r="F1254" s="2"/>
      <c r="G1254" s="31" t="n">
        <v>53.9</v>
      </c>
      <c r="H1254" s="2" t="s">
        <v>668</v>
      </c>
    </row>
    <row r="1255" customFormat="false" ht="15" hidden="false" customHeight="false" outlineLevel="0" collapsed="false">
      <c r="A1255" s="2" t="s">
        <v>1835</v>
      </c>
      <c r="B1255" s="2" t="s">
        <v>47</v>
      </c>
      <c r="C1255" s="2" t="s">
        <v>4087</v>
      </c>
      <c r="D1255" s="11" t="n">
        <v>102270</v>
      </c>
      <c r="E1255" s="31" t="n">
        <v>94.9</v>
      </c>
      <c r="F1255" s="31" t="n">
        <v>60.2</v>
      </c>
      <c r="G1255" s="31" t="n">
        <v>55.8</v>
      </c>
      <c r="H1255" s="2" t="s">
        <v>671</v>
      </c>
    </row>
    <row r="1256" customFormat="false" ht="15" hidden="false" customHeight="false" outlineLevel="0" collapsed="false">
      <c r="A1256" s="2" t="s">
        <v>398</v>
      </c>
      <c r="B1256" s="2" t="s">
        <v>4104</v>
      </c>
      <c r="C1256" s="2" t="s">
        <v>4085</v>
      </c>
      <c r="D1256" s="2"/>
      <c r="E1256" s="31" t="n">
        <v>54.6</v>
      </c>
      <c r="F1256" s="31" t="n">
        <v>67.5</v>
      </c>
      <c r="G1256" s="31" t="n">
        <v>32</v>
      </c>
      <c r="H1256" s="2" t="s">
        <v>671</v>
      </c>
    </row>
    <row r="1257" customFormat="false" ht="15" hidden="false" customHeight="false" outlineLevel="0" collapsed="false">
      <c r="A1257" s="2" t="s">
        <v>398</v>
      </c>
      <c r="B1257" s="2" t="s">
        <v>4104</v>
      </c>
      <c r="C1257" s="2" t="s">
        <v>4086</v>
      </c>
      <c r="D1257" s="2"/>
      <c r="E1257" s="31" t="n">
        <v>10.8</v>
      </c>
      <c r="F1257" s="31" t="n">
        <v>28</v>
      </c>
      <c r="G1257" s="31" t="n">
        <v>37.1</v>
      </c>
      <c r="H1257" s="2" t="s">
        <v>668</v>
      </c>
    </row>
    <row r="1258" customFormat="false" ht="15" hidden="false" customHeight="false" outlineLevel="0" collapsed="false">
      <c r="A1258" s="2" t="s">
        <v>398</v>
      </c>
      <c r="B1258" s="2" t="s">
        <v>4104</v>
      </c>
      <c r="C1258" s="2" t="s">
        <v>4087</v>
      </c>
      <c r="D1258" s="2"/>
      <c r="E1258" s="31" t="n">
        <v>46.8</v>
      </c>
      <c r="F1258" s="31" t="n">
        <v>47.4</v>
      </c>
      <c r="G1258" s="31" t="n">
        <v>30.3</v>
      </c>
      <c r="H1258" s="2" t="s">
        <v>671</v>
      </c>
    </row>
    <row r="1259" customFormat="false" ht="15" hidden="false" customHeight="false" outlineLevel="0" collapsed="false">
      <c r="A1259" s="2" t="s">
        <v>398</v>
      </c>
      <c r="B1259" s="2" t="s">
        <v>46</v>
      </c>
      <c r="C1259" s="2" t="s">
        <v>4085</v>
      </c>
      <c r="D1259" s="11" t="n">
        <v>95900</v>
      </c>
      <c r="E1259" s="31" t="n">
        <v>16.4</v>
      </c>
      <c r="F1259" s="31" t="n">
        <v>85</v>
      </c>
      <c r="G1259" s="31" t="n">
        <v>56.2</v>
      </c>
      <c r="H1259" s="2" t="s">
        <v>671</v>
      </c>
    </row>
    <row r="1260" customFormat="false" ht="15" hidden="false" customHeight="false" outlineLevel="0" collapsed="false">
      <c r="A1260" s="2" t="s">
        <v>398</v>
      </c>
      <c r="B1260" s="2" t="s">
        <v>46</v>
      </c>
      <c r="C1260" s="2" t="s">
        <v>4086</v>
      </c>
      <c r="D1260" s="11" t="n">
        <v>97830</v>
      </c>
      <c r="E1260" s="31" t="n">
        <v>10.8</v>
      </c>
      <c r="F1260" s="31" t="n">
        <v>28</v>
      </c>
      <c r="G1260" s="31" t="n">
        <v>37.1</v>
      </c>
      <c r="H1260" s="2" t="s">
        <v>671</v>
      </c>
    </row>
    <row r="1261" customFormat="false" ht="15" hidden="false" customHeight="false" outlineLevel="0" collapsed="false">
      <c r="A1261" s="2" t="s">
        <v>398</v>
      </c>
      <c r="B1261" s="2" t="s">
        <v>46</v>
      </c>
      <c r="C1261" s="2" t="s">
        <v>4087</v>
      </c>
      <c r="D1261" s="11" t="n">
        <v>104950</v>
      </c>
      <c r="E1261" s="31" t="n">
        <v>23.7</v>
      </c>
      <c r="F1261" s="31" t="n">
        <v>78.1</v>
      </c>
      <c r="G1261" s="31" t="n">
        <v>35.5</v>
      </c>
      <c r="H1261" s="2" t="s">
        <v>671</v>
      </c>
    </row>
    <row r="1262" customFormat="false" ht="15" hidden="false" customHeight="false" outlineLevel="0" collapsed="false">
      <c r="A1262" s="2" t="s">
        <v>398</v>
      </c>
      <c r="B1262" s="2" t="s">
        <v>47</v>
      </c>
      <c r="C1262" s="2" t="s">
        <v>4085</v>
      </c>
      <c r="D1262" s="11" t="n">
        <v>93463</v>
      </c>
      <c r="E1262" s="31" t="n">
        <v>92.7</v>
      </c>
      <c r="F1262" s="31" t="n">
        <v>50</v>
      </c>
      <c r="G1262" s="31" t="n">
        <v>7.8</v>
      </c>
      <c r="H1262" s="2" t="s">
        <v>671</v>
      </c>
    </row>
    <row r="1263" customFormat="false" ht="15" hidden="false" customHeight="false" outlineLevel="0" collapsed="false">
      <c r="A1263" s="2" t="s">
        <v>398</v>
      </c>
      <c r="B1263" s="2" t="s">
        <v>47</v>
      </c>
      <c r="C1263" s="2" t="s">
        <v>4086</v>
      </c>
      <c r="D1263" s="2"/>
      <c r="E1263" s="2"/>
      <c r="F1263" s="2"/>
      <c r="G1263" s="2"/>
      <c r="H1263" s="2" t="s">
        <v>668</v>
      </c>
    </row>
    <row r="1264" customFormat="false" ht="15" hidden="false" customHeight="false" outlineLevel="0" collapsed="false">
      <c r="A1264" s="2" t="s">
        <v>398</v>
      </c>
      <c r="B1264" s="2" t="s">
        <v>47</v>
      </c>
      <c r="C1264" s="2" t="s">
        <v>4087</v>
      </c>
      <c r="D1264" s="11" t="n">
        <v>99862</v>
      </c>
      <c r="E1264" s="31" t="n">
        <v>69.8</v>
      </c>
      <c r="F1264" s="31" t="n">
        <v>16.7</v>
      </c>
      <c r="G1264" s="31" t="n">
        <v>25.1</v>
      </c>
      <c r="H1264" s="2" t="s">
        <v>671</v>
      </c>
    </row>
    <row r="1265" customFormat="false" ht="15" hidden="false" customHeight="false" outlineLevel="0" collapsed="false">
      <c r="A1265" s="2" t="s">
        <v>650</v>
      </c>
      <c r="B1265" s="2" t="s">
        <v>4104</v>
      </c>
      <c r="C1265" s="2" t="s">
        <v>4087</v>
      </c>
      <c r="D1265" s="2"/>
      <c r="E1265" s="31" t="n">
        <v>3.2</v>
      </c>
      <c r="F1265" s="31" t="n">
        <v>6.7</v>
      </c>
      <c r="G1265" s="31" t="n">
        <v>14.4</v>
      </c>
      <c r="H1265" s="2" t="s">
        <v>671</v>
      </c>
    </row>
    <row r="1266" customFormat="false" ht="15" hidden="false" customHeight="false" outlineLevel="0" collapsed="false">
      <c r="A1266" s="2" t="s">
        <v>650</v>
      </c>
      <c r="B1266" s="2" t="s">
        <v>45</v>
      </c>
      <c r="C1266" s="2" t="s">
        <v>4087</v>
      </c>
      <c r="D1266" s="11" t="n">
        <v>54780</v>
      </c>
      <c r="E1266" s="31" t="n">
        <v>3.2</v>
      </c>
      <c r="F1266" s="31" t="n">
        <v>6.7</v>
      </c>
      <c r="G1266" s="31" t="n">
        <v>14.4</v>
      </c>
      <c r="H1266" s="2" t="s">
        <v>671</v>
      </c>
    </row>
    <row r="1267" customFormat="false" ht="15" hidden="false" customHeight="false" outlineLevel="0" collapsed="false">
      <c r="A1267" s="2" t="s">
        <v>110</v>
      </c>
      <c r="B1267" s="2" t="s">
        <v>4104</v>
      </c>
      <c r="C1267" s="2" t="s">
        <v>4085</v>
      </c>
      <c r="D1267" s="2"/>
      <c r="E1267" s="2"/>
      <c r="F1267" s="2"/>
      <c r="G1267" s="31" t="n">
        <v>12.9</v>
      </c>
      <c r="H1267" s="2" t="s">
        <v>668</v>
      </c>
    </row>
    <row r="1268" customFormat="false" ht="15" hidden="false" customHeight="false" outlineLevel="0" collapsed="false">
      <c r="A1268" s="2" t="s">
        <v>110</v>
      </c>
      <c r="B1268" s="2" t="s">
        <v>4104</v>
      </c>
      <c r="C1268" s="2" t="s">
        <v>4086</v>
      </c>
      <c r="D1268" s="2"/>
      <c r="E1268" s="31" t="n">
        <v>94.9</v>
      </c>
      <c r="F1268" s="31" t="n">
        <v>34.3</v>
      </c>
      <c r="G1268" s="31" t="n">
        <v>48.5</v>
      </c>
      <c r="H1268" s="2" t="s">
        <v>671</v>
      </c>
    </row>
    <row r="1269" customFormat="false" ht="15" hidden="false" customHeight="false" outlineLevel="0" collapsed="false">
      <c r="A1269" s="2" t="s">
        <v>110</v>
      </c>
      <c r="B1269" s="2" t="s">
        <v>4104</v>
      </c>
      <c r="C1269" s="2" t="s">
        <v>4087</v>
      </c>
      <c r="D1269" s="2"/>
      <c r="E1269" s="31" t="n">
        <v>89.7</v>
      </c>
      <c r="F1269" s="31" t="n">
        <v>9.4</v>
      </c>
      <c r="G1269" s="31" t="n">
        <v>6.9</v>
      </c>
      <c r="H1269" s="2" t="s">
        <v>671</v>
      </c>
    </row>
    <row r="1270" customFormat="false" ht="15" hidden="false" customHeight="false" outlineLevel="0" collapsed="false">
      <c r="A1270" s="2" t="s">
        <v>110</v>
      </c>
      <c r="B1270" s="2" t="s">
        <v>45</v>
      </c>
      <c r="C1270" s="2" t="s">
        <v>4085</v>
      </c>
      <c r="D1270" s="2"/>
      <c r="E1270" s="2"/>
      <c r="F1270" s="2"/>
      <c r="G1270" s="31" t="n">
        <v>12.9</v>
      </c>
      <c r="H1270" s="2" t="s">
        <v>668</v>
      </c>
    </row>
    <row r="1271" customFormat="false" ht="15" hidden="false" customHeight="false" outlineLevel="0" collapsed="false">
      <c r="A1271" s="2" t="s">
        <v>110</v>
      </c>
      <c r="B1271" s="2" t="s">
        <v>45</v>
      </c>
      <c r="C1271" s="2" t="s">
        <v>4086</v>
      </c>
      <c r="D1271" s="11" t="n">
        <v>132660</v>
      </c>
      <c r="E1271" s="31" t="n">
        <v>94.9</v>
      </c>
      <c r="F1271" s="31" t="n">
        <v>34.3</v>
      </c>
      <c r="G1271" s="31" t="n">
        <v>48.5</v>
      </c>
      <c r="H1271" s="2" t="s">
        <v>671</v>
      </c>
    </row>
    <row r="1272" customFormat="false" ht="15" hidden="false" customHeight="false" outlineLevel="0" collapsed="false">
      <c r="A1272" s="2" t="s">
        <v>110</v>
      </c>
      <c r="B1272" s="2" t="s">
        <v>45</v>
      </c>
      <c r="C1272" s="2" t="s">
        <v>4087</v>
      </c>
      <c r="D1272" s="11" t="n">
        <v>136546</v>
      </c>
      <c r="E1272" s="31" t="n">
        <v>89.7</v>
      </c>
      <c r="F1272" s="31" t="n">
        <v>9.4</v>
      </c>
      <c r="G1272" s="31" t="n">
        <v>6.9</v>
      </c>
      <c r="H1272" s="2" t="s">
        <v>671</v>
      </c>
    </row>
    <row r="1273" customFormat="false" ht="15" hidden="false" customHeight="false" outlineLevel="0" collapsed="false">
      <c r="A1273" s="2" t="s">
        <v>948</v>
      </c>
      <c r="B1273" s="2" t="s">
        <v>4104</v>
      </c>
      <c r="C1273" s="2" t="s">
        <v>4085</v>
      </c>
      <c r="D1273" s="2"/>
      <c r="E1273" s="31" t="n">
        <v>38.2</v>
      </c>
      <c r="F1273" s="31" t="n">
        <v>45.2</v>
      </c>
      <c r="G1273" s="31" t="n">
        <v>92.7</v>
      </c>
      <c r="H1273" s="2" t="s">
        <v>668</v>
      </c>
    </row>
    <row r="1274" customFormat="false" ht="15" hidden="false" customHeight="false" outlineLevel="0" collapsed="false">
      <c r="A1274" s="2" t="s">
        <v>948</v>
      </c>
      <c r="B1274" s="2" t="s">
        <v>4104</v>
      </c>
      <c r="C1274" s="2" t="s">
        <v>4086</v>
      </c>
      <c r="D1274" s="2"/>
      <c r="E1274" s="31" t="n">
        <v>29.6</v>
      </c>
      <c r="F1274" s="31" t="n">
        <v>51</v>
      </c>
      <c r="G1274" s="31" t="n">
        <v>74</v>
      </c>
      <c r="H1274" s="2" t="s">
        <v>671</v>
      </c>
    </row>
    <row r="1275" customFormat="false" ht="15" hidden="false" customHeight="false" outlineLevel="0" collapsed="false">
      <c r="A1275" s="2" t="s">
        <v>948</v>
      </c>
      <c r="B1275" s="2" t="s">
        <v>4104</v>
      </c>
      <c r="C1275" s="2" t="s">
        <v>4087</v>
      </c>
      <c r="D1275" s="2"/>
      <c r="E1275" s="31" t="n">
        <v>33.5</v>
      </c>
      <c r="F1275" s="31" t="n">
        <v>44</v>
      </c>
      <c r="G1275" s="31" t="n">
        <v>62.4</v>
      </c>
      <c r="H1275" s="2" t="s">
        <v>668</v>
      </c>
    </row>
    <row r="1276" customFormat="false" ht="15" hidden="false" customHeight="false" outlineLevel="0" collapsed="false">
      <c r="A1276" s="2" t="s">
        <v>948</v>
      </c>
      <c r="B1276" s="2" t="s">
        <v>45</v>
      </c>
      <c r="C1276" s="2" t="s">
        <v>4085</v>
      </c>
      <c r="D1276" s="11" t="n">
        <v>111440</v>
      </c>
      <c r="E1276" s="31" t="n">
        <v>69.1</v>
      </c>
      <c r="F1276" s="31" t="n">
        <v>69.2</v>
      </c>
      <c r="G1276" s="2"/>
      <c r="H1276" s="2" t="s">
        <v>668</v>
      </c>
    </row>
    <row r="1277" customFormat="false" ht="15" hidden="false" customHeight="false" outlineLevel="0" collapsed="false">
      <c r="A1277" s="2" t="s">
        <v>948</v>
      </c>
      <c r="B1277" s="2" t="s">
        <v>45</v>
      </c>
      <c r="C1277" s="2" t="s">
        <v>4086</v>
      </c>
      <c r="D1277" s="11" t="n">
        <v>117610</v>
      </c>
      <c r="E1277" s="31" t="n">
        <v>53.7</v>
      </c>
      <c r="F1277" s="31" t="n">
        <v>85</v>
      </c>
      <c r="G1277" s="31" t="n">
        <v>52</v>
      </c>
      <c r="H1277" s="2" t="s">
        <v>671</v>
      </c>
    </row>
    <row r="1278" customFormat="false" ht="15" hidden="false" customHeight="false" outlineLevel="0" collapsed="false">
      <c r="A1278" s="2" t="s">
        <v>948</v>
      </c>
      <c r="B1278" s="2" t="s">
        <v>45</v>
      </c>
      <c r="C1278" s="2" t="s">
        <v>4087</v>
      </c>
      <c r="D1278" s="11" t="n">
        <v>121139</v>
      </c>
      <c r="E1278" s="31" t="n">
        <v>62.8</v>
      </c>
      <c r="F1278" s="31" t="n">
        <v>75.4</v>
      </c>
      <c r="G1278" s="31" t="n">
        <v>62.4</v>
      </c>
      <c r="H1278" s="2" t="s">
        <v>671</v>
      </c>
    </row>
    <row r="1279" customFormat="false" ht="15" hidden="false" customHeight="false" outlineLevel="0" collapsed="false">
      <c r="A1279" s="2" t="s">
        <v>948</v>
      </c>
      <c r="B1279" s="2" t="s">
        <v>46</v>
      </c>
      <c r="C1279" s="2" t="s">
        <v>4085</v>
      </c>
      <c r="D1279" s="11" t="n">
        <v>8406</v>
      </c>
      <c r="E1279" s="31" t="n">
        <v>7.2</v>
      </c>
      <c r="F1279" s="31" t="n">
        <v>21.1</v>
      </c>
      <c r="G1279" s="31" t="n">
        <v>92.7</v>
      </c>
      <c r="H1279" s="2" t="s">
        <v>671</v>
      </c>
    </row>
    <row r="1280" customFormat="false" ht="15" hidden="false" customHeight="false" outlineLevel="0" collapsed="false">
      <c r="A1280" s="2" t="s">
        <v>948</v>
      </c>
      <c r="B1280" s="2" t="s">
        <v>46</v>
      </c>
      <c r="C1280" s="2" t="s">
        <v>4086</v>
      </c>
      <c r="D1280" s="11" t="n">
        <v>8700</v>
      </c>
      <c r="E1280" s="31" t="n">
        <v>5.5</v>
      </c>
      <c r="F1280" s="31" t="n">
        <v>17</v>
      </c>
      <c r="G1280" s="31" t="n">
        <v>96</v>
      </c>
      <c r="H1280" s="2" t="s">
        <v>671</v>
      </c>
    </row>
    <row r="1281" customFormat="false" ht="15" hidden="false" customHeight="false" outlineLevel="0" collapsed="false">
      <c r="A1281" s="2" t="s">
        <v>948</v>
      </c>
      <c r="B1281" s="2" t="s">
        <v>46</v>
      </c>
      <c r="C1281" s="2" t="s">
        <v>4087</v>
      </c>
      <c r="D1281" s="11" t="n">
        <v>8974</v>
      </c>
      <c r="E1281" s="31" t="n">
        <v>4.2</v>
      </c>
      <c r="F1281" s="31" t="n">
        <v>12.5</v>
      </c>
      <c r="G1281" s="2"/>
      <c r="H1281" s="2" t="s">
        <v>668</v>
      </c>
    </row>
    <row r="1282" customFormat="false" ht="15" hidden="false" customHeight="false" outlineLevel="0" collapsed="false">
      <c r="A1282" s="2" t="s">
        <v>350</v>
      </c>
      <c r="B1282" s="2" t="s">
        <v>4104</v>
      </c>
      <c r="C1282" s="2" t="s">
        <v>4085</v>
      </c>
      <c r="D1282" s="2"/>
      <c r="E1282" s="31" t="n">
        <v>67.1</v>
      </c>
      <c r="F1282" s="31" t="n">
        <v>47.3</v>
      </c>
      <c r="G1282" s="31" t="n">
        <v>38.3</v>
      </c>
      <c r="H1282" s="2" t="s">
        <v>671</v>
      </c>
    </row>
    <row r="1283" customFormat="false" ht="15" hidden="false" customHeight="false" outlineLevel="0" collapsed="false">
      <c r="A1283" s="2" t="s">
        <v>350</v>
      </c>
      <c r="B1283" s="2" t="s">
        <v>4104</v>
      </c>
      <c r="C1283" s="2" t="s">
        <v>4086</v>
      </c>
      <c r="D1283" s="2"/>
      <c r="E1283" s="31" t="n">
        <v>72.6</v>
      </c>
      <c r="F1283" s="31" t="n">
        <v>20.8</v>
      </c>
      <c r="G1283" s="31" t="n">
        <v>52.1</v>
      </c>
      <c r="H1283" s="2" t="s">
        <v>668</v>
      </c>
    </row>
    <row r="1284" customFormat="false" ht="15" hidden="false" customHeight="false" outlineLevel="0" collapsed="false">
      <c r="A1284" s="2" t="s">
        <v>350</v>
      </c>
      <c r="B1284" s="2" t="s">
        <v>4104</v>
      </c>
      <c r="C1284" s="2" t="s">
        <v>4087</v>
      </c>
      <c r="D1284" s="2"/>
      <c r="E1284" s="31" t="n">
        <v>52.4</v>
      </c>
      <c r="F1284" s="31" t="n">
        <v>66.2</v>
      </c>
      <c r="G1284" s="31" t="n">
        <v>55</v>
      </c>
      <c r="H1284" s="2" t="s">
        <v>671</v>
      </c>
    </row>
    <row r="1285" customFormat="false" ht="15" hidden="false" customHeight="false" outlineLevel="0" collapsed="false">
      <c r="A1285" s="2" t="s">
        <v>350</v>
      </c>
      <c r="B1285" s="2" t="s">
        <v>45</v>
      </c>
      <c r="C1285" s="2" t="s">
        <v>4085</v>
      </c>
      <c r="D1285" s="11" t="n">
        <v>91349</v>
      </c>
      <c r="E1285" s="31" t="n">
        <v>85.8</v>
      </c>
      <c r="F1285" s="31" t="n">
        <v>9.9</v>
      </c>
      <c r="G1285" s="31" t="n">
        <v>52</v>
      </c>
      <c r="H1285" s="2" t="s">
        <v>671</v>
      </c>
    </row>
    <row r="1286" customFormat="false" ht="15" hidden="false" customHeight="false" outlineLevel="0" collapsed="false">
      <c r="A1286" s="2" t="s">
        <v>350</v>
      </c>
      <c r="B1286" s="2" t="s">
        <v>45</v>
      </c>
      <c r="C1286" s="2" t="s">
        <v>4086</v>
      </c>
      <c r="D1286" s="11" t="n">
        <v>93990</v>
      </c>
      <c r="E1286" s="31" t="n">
        <v>59.2</v>
      </c>
      <c r="F1286" s="31" t="n">
        <v>13.1</v>
      </c>
      <c r="G1286" s="31" t="n">
        <v>69.7</v>
      </c>
      <c r="H1286" s="2" t="s">
        <v>671</v>
      </c>
    </row>
    <row r="1287" customFormat="false" ht="15" hidden="false" customHeight="false" outlineLevel="0" collapsed="false">
      <c r="A1287" s="2" t="s">
        <v>350</v>
      </c>
      <c r="B1287" s="2" t="s">
        <v>45</v>
      </c>
      <c r="C1287" s="2" t="s">
        <v>4087</v>
      </c>
      <c r="D1287" s="11" t="n">
        <v>91121</v>
      </c>
      <c r="E1287" s="31" t="n">
        <v>52.6</v>
      </c>
      <c r="F1287" s="31" t="n">
        <v>38.1</v>
      </c>
      <c r="G1287" s="31" t="n">
        <v>89.5</v>
      </c>
      <c r="H1287" s="2" t="s">
        <v>671</v>
      </c>
    </row>
    <row r="1288" customFormat="false" ht="15" hidden="false" customHeight="false" outlineLevel="0" collapsed="false">
      <c r="A1288" s="2" t="s">
        <v>350</v>
      </c>
      <c r="B1288" s="2" t="s">
        <v>46</v>
      </c>
      <c r="C1288" s="2" t="s">
        <v>4085</v>
      </c>
      <c r="D1288" s="11" t="n">
        <v>60360</v>
      </c>
      <c r="E1288" s="31" t="n">
        <v>20.5</v>
      </c>
      <c r="F1288" s="31" t="n">
        <v>89.9</v>
      </c>
      <c r="G1288" s="31" t="n">
        <v>37.9</v>
      </c>
      <c r="H1288" s="2" t="s">
        <v>671</v>
      </c>
    </row>
    <row r="1289" customFormat="false" ht="15" hidden="false" customHeight="false" outlineLevel="0" collapsed="false">
      <c r="A1289" s="2" t="s">
        <v>350</v>
      </c>
      <c r="B1289" s="2" t="s">
        <v>46</v>
      </c>
      <c r="C1289" s="2" t="s">
        <v>4086</v>
      </c>
      <c r="D1289" s="2"/>
      <c r="E1289" s="2"/>
      <c r="F1289" s="2"/>
      <c r="G1289" s="31" t="n">
        <v>49.7</v>
      </c>
      <c r="H1289" s="2" t="s">
        <v>668</v>
      </c>
    </row>
    <row r="1290" customFormat="false" ht="15" hidden="false" customHeight="false" outlineLevel="0" collapsed="false">
      <c r="A1290" s="2" t="s">
        <v>350</v>
      </c>
      <c r="B1290" s="2" t="s">
        <v>46</v>
      </c>
      <c r="C1290" s="2" t="s">
        <v>4087</v>
      </c>
      <c r="D1290" s="11" t="n">
        <v>65140</v>
      </c>
      <c r="E1290" s="31" t="n">
        <v>19</v>
      </c>
      <c r="F1290" s="31" t="n">
        <v>84.6</v>
      </c>
      <c r="G1290" s="31" t="n">
        <v>15.8</v>
      </c>
      <c r="H1290" s="2" t="s">
        <v>671</v>
      </c>
    </row>
    <row r="1291" customFormat="false" ht="15" hidden="false" customHeight="false" outlineLevel="0" collapsed="false">
      <c r="A1291" s="2" t="s">
        <v>350</v>
      </c>
      <c r="B1291" s="2" t="s">
        <v>47</v>
      </c>
      <c r="C1291" s="2" t="s">
        <v>4085</v>
      </c>
      <c r="D1291" s="11" t="n">
        <v>146590</v>
      </c>
      <c r="E1291" s="31" t="n">
        <v>95</v>
      </c>
      <c r="F1291" s="31" t="n">
        <v>42</v>
      </c>
      <c r="G1291" s="31" t="n">
        <v>24.9</v>
      </c>
      <c r="H1291" s="2" t="s">
        <v>671</v>
      </c>
    </row>
    <row r="1292" customFormat="false" ht="15" hidden="false" customHeight="false" outlineLevel="0" collapsed="false">
      <c r="A1292" s="2" t="s">
        <v>350</v>
      </c>
      <c r="B1292" s="2" t="s">
        <v>47</v>
      </c>
      <c r="C1292" s="2" t="s">
        <v>4086</v>
      </c>
      <c r="D1292" s="11" t="n">
        <v>150336</v>
      </c>
      <c r="E1292" s="31" t="n">
        <v>85.9</v>
      </c>
      <c r="F1292" s="31" t="n">
        <v>28.6</v>
      </c>
      <c r="G1292" s="31" t="n">
        <v>36.9</v>
      </c>
      <c r="H1292" s="2" t="s">
        <v>671</v>
      </c>
    </row>
    <row r="1293" customFormat="false" ht="15" hidden="false" customHeight="false" outlineLevel="0" collapsed="false">
      <c r="A1293" s="2" t="s">
        <v>350</v>
      </c>
      <c r="B1293" s="2" t="s">
        <v>47</v>
      </c>
      <c r="C1293" s="2" t="s">
        <v>4087</v>
      </c>
      <c r="D1293" s="11" t="n">
        <v>156255</v>
      </c>
      <c r="E1293" s="31" t="n">
        <v>85.6</v>
      </c>
      <c r="F1293" s="31" t="n">
        <v>75.9</v>
      </c>
      <c r="G1293" s="31" t="n">
        <v>59.8</v>
      </c>
      <c r="H1293" s="2" t="s">
        <v>671</v>
      </c>
    </row>
    <row r="1294" customFormat="false" ht="15" hidden="false" customHeight="false" outlineLevel="0" collapsed="false">
      <c r="A1294" s="2" t="s">
        <v>2065</v>
      </c>
      <c r="B1294" s="2" t="s">
        <v>4104</v>
      </c>
      <c r="C1294" s="2" t="s">
        <v>4085</v>
      </c>
      <c r="D1294" s="2"/>
      <c r="E1294" s="31" t="n">
        <v>53.8</v>
      </c>
      <c r="F1294" s="31" t="n">
        <v>25</v>
      </c>
      <c r="G1294" s="31" t="n">
        <v>52.3</v>
      </c>
      <c r="H1294" s="2" t="s">
        <v>671</v>
      </c>
    </row>
    <row r="1295" customFormat="false" ht="15" hidden="false" customHeight="false" outlineLevel="0" collapsed="false">
      <c r="A1295" s="2" t="s">
        <v>2065</v>
      </c>
      <c r="B1295" s="2" t="s">
        <v>4104</v>
      </c>
      <c r="C1295" s="2" t="s">
        <v>4087</v>
      </c>
      <c r="D1295" s="2"/>
      <c r="E1295" s="31" t="n">
        <v>50.6</v>
      </c>
      <c r="F1295" s="31" t="n">
        <v>34.9</v>
      </c>
      <c r="G1295" s="31" t="n">
        <v>67.6</v>
      </c>
      <c r="H1295" s="2" t="s">
        <v>668</v>
      </c>
    </row>
    <row r="1296" customFormat="false" ht="15" hidden="false" customHeight="false" outlineLevel="0" collapsed="false">
      <c r="A1296" s="2" t="s">
        <v>2065</v>
      </c>
      <c r="B1296" s="2" t="s">
        <v>45</v>
      </c>
      <c r="C1296" s="2" t="s">
        <v>4085</v>
      </c>
      <c r="D1296" s="11" t="n">
        <v>30284</v>
      </c>
      <c r="E1296" s="31" t="n">
        <v>22.7</v>
      </c>
      <c r="F1296" s="31" t="n">
        <v>17.9</v>
      </c>
      <c r="G1296" s="31" t="n">
        <v>37.8</v>
      </c>
      <c r="H1296" s="2" t="s">
        <v>671</v>
      </c>
    </row>
    <row r="1297" customFormat="false" ht="15" hidden="false" customHeight="false" outlineLevel="0" collapsed="false">
      <c r="A1297" s="2" t="s">
        <v>2065</v>
      </c>
      <c r="B1297" s="2" t="s">
        <v>45</v>
      </c>
      <c r="C1297" s="2" t="s">
        <v>4087</v>
      </c>
      <c r="D1297" s="11" t="n">
        <v>29998</v>
      </c>
      <c r="E1297" s="31" t="n">
        <v>15.2</v>
      </c>
      <c r="F1297" s="2"/>
      <c r="G1297" s="2"/>
      <c r="H1297" s="2" t="s">
        <v>668</v>
      </c>
    </row>
    <row r="1298" customFormat="false" ht="15" hidden="false" customHeight="false" outlineLevel="0" collapsed="false">
      <c r="A1298" s="2" t="s">
        <v>2065</v>
      </c>
      <c r="B1298" s="2" t="s">
        <v>47</v>
      </c>
      <c r="C1298" s="2" t="s">
        <v>4085</v>
      </c>
      <c r="D1298" s="11" t="n">
        <v>737153</v>
      </c>
      <c r="E1298" s="31" t="n">
        <v>84.8</v>
      </c>
      <c r="F1298" s="31" t="n">
        <v>32.1</v>
      </c>
      <c r="G1298" s="31" t="n">
        <v>66.8</v>
      </c>
      <c r="H1298" s="2" t="s">
        <v>671</v>
      </c>
    </row>
    <row r="1299" customFormat="false" ht="15" hidden="false" customHeight="false" outlineLevel="0" collapsed="false">
      <c r="A1299" s="2" t="s">
        <v>2065</v>
      </c>
      <c r="B1299" s="2" t="s">
        <v>47</v>
      </c>
      <c r="C1299" s="2" t="s">
        <v>4087</v>
      </c>
      <c r="D1299" s="11" t="n">
        <v>742735</v>
      </c>
      <c r="E1299" s="31" t="n">
        <v>85.9</v>
      </c>
      <c r="F1299" s="31" t="n">
        <v>34.9</v>
      </c>
      <c r="G1299" s="31" t="n">
        <v>67.6</v>
      </c>
      <c r="H1299" s="2" t="s">
        <v>671</v>
      </c>
    </row>
    <row r="1300" customFormat="false" ht="15" hidden="false" customHeight="false" outlineLevel="0" collapsed="false">
      <c r="A1300" s="2" t="s">
        <v>562</v>
      </c>
      <c r="B1300" s="2" t="s">
        <v>4104</v>
      </c>
      <c r="C1300" s="2" t="s">
        <v>4085</v>
      </c>
      <c r="D1300" s="2"/>
      <c r="E1300" s="2"/>
      <c r="F1300" s="2"/>
      <c r="G1300" s="31" t="n">
        <v>62.1</v>
      </c>
      <c r="H1300" s="2" t="s">
        <v>668</v>
      </c>
    </row>
    <row r="1301" customFormat="false" ht="15" hidden="false" customHeight="false" outlineLevel="0" collapsed="false">
      <c r="A1301" s="2" t="s">
        <v>562</v>
      </c>
      <c r="B1301" s="2" t="s">
        <v>4104</v>
      </c>
      <c r="C1301" s="2" t="s">
        <v>4087</v>
      </c>
      <c r="D1301" s="2"/>
      <c r="E1301" s="31" t="n">
        <v>26.8</v>
      </c>
      <c r="F1301" s="31" t="n">
        <v>41.7</v>
      </c>
      <c r="G1301" s="31" t="n">
        <v>27.2</v>
      </c>
      <c r="H1301" s="2" t="s">
        <v>671</v>
      </c>
    </row>
    <row r="1302" customFormat="false" ht="15" hidden="false" customHeight="false" outlineLevel="0" collapsed="false">
      <c r="A1302" s="2" t="s">
        <v>562</v>
      </c>
      <c r="B1302" s="2" t="s">
        <v>46</v>
      </c>
      <c r="C1302" s="2" t="s">
        <v>4085</v>
      </c>
      <c r="D1302" s="2"/>
      <c r="E1302" s="2"/>
      <c r="F1302" s="2"/>
      <c r="G1302" s="31" t="n">
        <v>62.1</v>
      </c>
      <c r="H1302" s="2" t="s">
        <v>668</v>
      </c>
    </row>
    <row r="1303" customFormat="false" ht="15" hidden="false" customHeight="false" outlineLevel="0" collapsed="false">
      <c r="A1303" s="2" t="s">
        <v>562</v>
      </c>
      <c r="B1303" s="2" t="s">
        <v>46</v>
      </c>
      <c r="C1303" s="2" t="s">
        <v>4087</v>
      </c>
      <c r="D1303" s="11" t="n">
        <v>3645</v>
      </c>
      <c r="E1303" s="31" t="n">
        <v>26.8</v>
      </c>
      <c r="F1303" s="31" t="n">
        <v>41.7</v>
      </c>
      <c r="G1303" s="31" t="n">
        <v>27.2</v>
      </c>
      <c r="H1303" s="2" t="s">
        <v>671</v>
      </c>
    </row>
    <row r="1304" customFormat="false" ht="15" hidden="false" customHeight="false" outlineLevel="0" collapsed="false">
      <c r="A1304" s="2" t="s">
        <v>2791</v>
      </c>
      <c r="B1304" s="2" t="s">
        <v>4104</v>
      </c>
      <c r="C1304" s="2" t="s">
        <v>4085</v>
      </c>
      <c r="D1304" s="2"/>
      <c r="E1304" s="31" t="n">
        <v>42.3</v>
      </c>
      <c r="F1304" s="31" t="n">
        <v>26.6</v>
      </c>
      <c r="G1304" s="31" t="n">
        <v>34.9</v>
      </c>
      <c r="H1304" s="2" t="s">
        <v>671</v>
      </c>
    </row>
    <row r="1305" customFormat="false" ht="15" hidden="false" customHeight="false" outlineLevel="0" collapsed="false">
      <c r="A1305" s="2" t="s">
        <v>2791</v>
      </c>
      <c r="B1305" s="2" t="s">
        <v>4104</v>
      </c>
      <c r="C1305" s="2" t="s">
        <v>4086</v>
      </c>
      <c r="D1305" s="2"/>
      <c r="E1305" s="2"/>
      <c r="F1305" s="2"/>
      <c r="G1305" s="2"/>
      <c r="H1305" s="2" t="s">
        <v>668</v>
      </c>
    </row>
    <row r="1306" customFormat="false" ht="15" hidden="false" customHeight="false" outlineLevel="0" collapsed="false">
      <c r="A1306" s="2" t="s">
        <v>2791</v>
      </c>
      <c r="B1306" s="2" t="s">
        <v>4104</v>
      </c>
      <c r="C1306" s="2" t="s">
        <v>4087</v>
      </c>
      <c r="D1306" s="2"/>
      <c r="E1306" s="2"/>
      <c r="F1306" s="2"/>
      <c r="G1306" s="2"/>
      <c r="H1306" s="2" t="s">
        <v>668</v>
      </c>
    </row>
    <row r="1307" customFormat="false" ht="15" hidden="false" customHeight="false" outlineLevel="0" collapsed="false">
      <c r="A1307" s="2" t="s">
        <v>2791</v>
      </c>
      <c r="B1307" s="2" t="s">
        <v>46</v>
      </c>
      <c r="C1307" s="2" t="s">
        <v>4085</v>
      </c>
      <c r="D1307" s="11" t="n">
        <v>44331</v>
      </c>
      <c r="E1307" s="31" t="n">
        <v>42.3</v>
      </c>
      <c r="F1307" s="31" t="n">
        <v>26.6</v>
      </c>
      <c r="G1307" s="31" t="n">
        <v>34.9</v>
      </c>
      <c r="H1307" s="2" t="s">
        <v>671</v>
      </c>
    </row>
    <row r="1308" customFormat="false" ht="15" hidden="false" customHeight="false" outlineLevel="0" collapsed="false">
      <c r="A1308" s="2" t="s">
        <v>2791</v>
      </c>
      <c r="B1308" s="2" t="s">
        <v>46</v>
      </c>
      <c r="C1308" s="2" t="s">
        <v>4086</v>
      </c>
      <c r="D1308" s="2"/>
      <c r="E1308" s="2"/>
      <c r="F1308" s="2"/>
      <c r="G1308" s="2"/>
      <c r="H1308" s="2" t="s">
        <v>668</v>
      </c>
    </row>
    <row r="1309" customFormat="false" ht="15" hidden="false" customHeight="false" outlineLevel="0" collapsed="false">
      <c r="A1309" s="2" t="s">
        <v>2791</v>
      </c>
      <c r="B1309" s="2" t="s">
        <v>46</v>
      </c>
      <c r="C1309" s="2" t="s">
        <v>4087</v>
      </c>
      <c r="D1309" s="2"/>
      <c r="E1309" s="2"/>
      <c r="F1309" s="2"/>
      <c r="G1309" s="2"/>
      <c r="H1309" s="2" t="s">
        <v>668</v>
      </c>
    </row>
    <row r="1310" customFormat="false" ht="15" hidden="false" customHeight="false" outlineLevel="0" collapsed="false">
      <c r="A1310" s="2" t="s">
        <v>2792</v>
      </c>
      <c r="B1310" s="2" t="s">
        <v>4104</v>
      </c>
      <c r="C1310" s="2" t="s">
        <v>4085</v>
      </c>
      <c r="D1310" s="2"/>
      <c r="E1310" s="31" t="n">
        <v>35.4</v>
      </c>
      <c r="F1310" s="31" t="n">
        <v>45.3</v>
      </c>
      <c r="G1310" s="31" t="n">
        <v>57.3</v>
      </c>
      <c r="H1310" s="2" t="s">
        <v>671</v>
      </c>
    </row>
    <row r="1311" customFormat="false" ht="15" hidden="false" customHeight="false" outlineLevel="0" collapsed="false">
      <c r="A1311" s="2" t="s">
        <v>2792</v>
      </c>
      <c r="B1311" s="2" t="s">
        <v>4104</v>
      </c>
      <c r="C1311" s="2" t="s">
        <v>4086</v>
      </c>
      <c r="D1311" s="2"/>
      <c r="E1311" s="31" t="n">
        <v>67.7</v>
      </c>
      <c r="F1311" s="31" t="n">
        <v>6.2</v>
      </c>
      <c r="G1311" s="31" t="n">
        <v>61.8</v>
      </c>
      <c r="H1311" s="2" t="s">
        <v>671</v>
      </c>
    </row>
    <row r="1312" customFormat="false" ht="15" hidden="false" customHeight="false" outlineLevel="0" collapsed="false">
      <c r="A1312" s="2" t="s">
        <v>2792</v>
      </c>
      <c r="B1312" s="2" t="s">
        <v>4104</v>
      </c>
      <c r="C1312" s="2" t="s">
        <v>4087</v>
      </c>
      <c r="D1312" s="2"/>
      <c r="E1312" s="31" t="n">
        <v>62.6</v>
      </c>
      <c r="F1312" s="31" t="n">
        <v>18.3</v>
      </c>
      <c r="G1312" s="2"/>
      <c r="H1312" s="2" t="s">
        <v>668</v>
      </c>
    </row>
    <row r="1313" customFormat="false" ht="15" hidden="false" customHeight="false" outlineLevel="0" collapsed="false">
      <c r="A1313" s="2" t="s">
        <v>2792</v>
      </c>
      <c r="B1313" s="2" t="s">
        <v>45</v>
      </c>
      <c r="C1313" s="2" t="s">
        <v>4085</v>
      </c>
      <c r="D1313" s="11" t="n">
        <v>40703</v>
      </c>
      <c r="E1313" s="31" t="n">
        <v>35.4</v>
      </c>
      <c r="F1313" s="31" t="n">
        <v>45.3</v>
      </c>
      <c r="G1313" s="31" t="n">
        <v>57.3</v>
      </c>
      <c r="H1313" s="2" t="s">
        <v>671</v>
      </c>
    </row>
    <row r="1314" customFormat="false" ht="15" hidden="false" customHeight="false" outlineLevel="0" collapsed="false">
      <c r="A1314" s="2" t="s">
        <v>2792</v>
      </c>
      <c r="B1314" s="2" t="s">
        <v>45</v>
      </c>
      <c r="C1314" s="2" t="s">
        <v>4086</v>
      </c>
      <c r="D1314" s="11" t="n">
        <v>43660</v>
      </c>
      <c r="E1314" s="31" t="n">
        <v>67.7</v>
      </c>
      <c r="F1314" s="31" t="n">
        <v>6.2</v>
      </c>
      <c r="G1314" s="31" t="n">
        <v>61.8</v>
      </c>
      <c r="H1314" s="2" t="s">
        <v>671</v>
      </c>
    </row>
    <row r="1315" customFormat="false" ht="15" hidden="false" customHeight="false" outlineLevel="0" collapsed="false">
      <c r="A1315" s="2" t="s">
        <v>2792</v>
      </c>
      <c r="B1315" s="2" t="s">
        <v>45</v>
      </c>
      <c r="C1315" s="2" t="s">
        <v>4087</v>
      </c>
      <c r="D1315" s="11" t="n">
        <v>42640</v>
      </c>
      <c r="E1315" s="31" t="n">
        <v>62.6</v>
      </c>
      <c r="F1315" s="31" t="n">
        <v>18.3</v>
      </c>
      <c r="G1315" s="2"/>
      <c r="H1315" s="2" t="s">
        <v>668</v>
      </c>
    </row>
    <row r="1316" customFormat="false" ht="15" hidden="false" customHeight="false" outlineLevel="0" collapsed="false">
      <c r="A1316" s="2" t="s">
        <v>608</v>
      </c>
      <c r="B1316" s="2" t="s">
        <v>4104</v>
      </c>
      <c r="C1316" s="2" t="s">
        <v>4087</v>
      </c>
      <c r="D1316" s="2"/>
      <c r="E1316" s="31" t="n">
        <v>17.5</v>
      </c>
      <c r="F1316" s="31" t="n">
        <v>26.1</v>
      </c>
      <c r="G1316" s="31" t="n">
        <v>90.1</v>
      </c>
      <c r="H1316" s="2" t="s">
        <v>671</v>
      </c>
    </row>
    <row r="1317" customFormat="false" ht="15" hidden="false" customHeight="false" outlineLevel="0" collapsed="false">
      <c r="A1317" s="2" t="s">
        <v>608</v>
      </c>
      <c r="B1317" s="2" t="s">
        <v>45</v>
      </c>
      <c r="C1317" s="2" t="s">
        <v>4087</v>
      </c>
      <c r="D1317" s="11" t="n">
        <v>233610</v>
      </c>
      <c r="E1317" s="31" t="n">
        <v>17.5</v>
      </c>
      <c r="F1317" s="31" t="n">
        <v>26.1</v>
      </c>
      <c r="G1317" s="31" t="n">
        <v>90.1</v>
      </c>
      <c r="H1317" s="2" t="s">
        <v>671</v>
      </c>
    </row>
    <row r="1318" customFormat="false" ht="15" hidden="false" customHeight="false" outlineLevel="0" collapsed="false">
      <c r="A1318" s="2" t="s">
        <v>2273</v>
      </c>
      <c r="B1318" s="2" t="s">
        <v>4104</v>
      </c>
      <c r="C1318" s="2" t="s">
        <v>4085</v>
      </c>
      <c r="D1318" s="2"/>
      <c r="E1318" s="31" t="n">
        <v>44.3</v>
      </c>
      <c r="F1318" s="31" t="n">
        <v>26.4</v>
      </c>
      <c r="G1318" s="31" t="n">
        <v>25.8</v>
      </c>
      <c r="H1318" s="2" t="s">
        <v>668</v>
      </c>
    </row>
    <row r="1319" customFormat="false" ht="15" hidden="false" customHeight="false" outlineLevel="0" collapsed="false">
      <c r="A1319" s="2" t="s">
        <v>2273</v>
      </c>
      <c r="B1319" s="2" t="s">
        <v>4104</v>
      </c>
      <c r="C1319" s="2" t="s">
        <v>4086</v>
      </c>
      <c r="D1319" s="2"/>
      <c r="E1319" s="31" t="n">
        <v>46.3</v>
      </c>
      <c r="F1319" s="31" t="n">
        <v>35.6</v>
      </c>
      <c r="G1319" s="31" t="n">
        <v>61.7</v>
      </c>
      <c r="H1319" s="2" t="s">
        <v>671</v>
      </c>
    </row>
    <row r="1320" customFormat="false" ht="15" hidden="false" customHeight="false" outlineLevel="0" collapsed="false">
      <c r="A1320" s="2" t="s">
        <v>2273</v>
      </c>
      <c r="B1320" s="2" t="s">
        <v>4104</v>
      </c>
      <c r="C1320" s="2" t="s">
        <v>4087</v>
      </c>
      <c r="D1320" s="2"/>
      <c r="E1320" s="31" t="n">
        <v>43</v>
      </c>
      <c r="F1320" s="31" t="n">
        <v>61.8</v>
      </c>
      <c r="G1320" s="31" t="n">
        <v>55.2</v>
      </c>
      <c r="H1320" s="2" t="s">
        <v>668</v>
      </c>
    </row>
    <row r="1321" customFormat="false" ht="15" hidden="false" customHeight="false" outlineLevel="0" collapsed="false">
      <c r="A1321" s="2" t="s">
        <v>2273</v>
      </c>
      <c r="B1321" s="2" t="s">
        <v>45</v>
      </c>
      <c r="C1321" s="2" t="s">
        <v>4085</v>
      </c>
      <c r="D1321" s="11" t="n">
        <v>16110</v>
      </c>
      <c r="E1321" s="31" t="n">
        <v>12.3</v>
      </c>
      <c r="F1321" s="31" t="n">
        <v>19</v>
      </c>
      <c r="G1321" s="31" t="n">
        <v>8.5</v>
      </c>
      <c r="H1321" s="2" t="s">
        <v>671</v>
      </c>
    </row>
    <row r="1322" customFormat="false" ht="15" hidden="false" customHeight="false" outlineLevel="0" collapsed="false">
      <c r="A1322" s="2" t="s">
        <v>2273</v>
      </c>
      <c r="B1322" s="2" t="s">
        <v>45</v>
      </c>
      <c r="C1322" s="2" t="s">
        <v>4086</v>
      </c>
      <c r="D1322" s="11" t="n">
        <v>17016</v>
      </c>
      <c r="E1322" s="31" t="n">
        <v>6</v>
      </c>
      <c r="F1322" s="31" t="n">
        <v>37.1</v>
      </c>
      <c r="G1322" s="31" t="n">
        <v>29.1</v>
      </c>
      <c r="H1322" s="2" t="s">
        <v>671</v>
      </c>
    </row>
    <row r="1323" customFormat="false" ht="15" hidden="false" customHeight="false" outlineLevel="0" collapsed="false">
      <c r="A1323" s="2" t="s">
        <v>2273</v>
      </c>
      <c r="B1323" s="2" t="s">
        <v>45</v>
      </c>
      <c r="C1323" s="2" t="s">
        <v>4087</v>
      </c>
      <c r="D1323" s="2"/>
      <c r="E1323" s="2"/>
      <c r="F1323" s="2"/>
      <c r="G1323" s="2"/>
      <c r="H1323" s="2" t="s">
        <v>668</v>
      </c>
    </row>
    <row r="1324" customFormat="false" ht="15" hidden="false" customHeight="false" outlineLevel="0" collapsed="false">
      <c r="A1324" s="2" t="s">
        <v>2273</v>
      </c>
      <c r="B1324" s="2" t="s">
        <v>46</v>
      </c>
      <c r="C1324" s="2" t="s">
        <v>4085</v>
      </c>
      <c r="D1324" s="2"/>
      <c r="E1324" s="2"/>
      <c r="F1324" s="2"/>
      <c r="G1324" s="2"/>
      <c r="H1324" s="2" t="s">
        <v>668</v>
      </c>
    </row>
    <row r="1325" customFormat="false" ht="15" hidden="false" customHeight="false" outlineLevel="0" collapsed="false">
      <c r="A1325" s="2" t="s">
        <v>2273</v>
      </c>
      <c r="B1325" s="2" t="s">
        <v>46</v>
      </c>
      <c r="C1325" s="2" t="s">
        <v>4086</v>
      </c>
      <c r="D1325" s="11" t="n">
        <v>11241</v>
      </c>
      <c r="E1325" s="31" t="n">
        <v>46.2</v>
      </c>
      <c r="F1325" s="31" t="n">
        <v>17.8</v>
      </c>
      <c r="G1325" s="31" t="n">
        <v>75.5</v>
      </c>
      <c r="H1325" s="2" t="s">
        <v>671</v>
      </c>
    </row>
    <row r="1326" customFormat="false" ht="15" hidden="false" customHeight="false" outlineLevel="0" collapsed="false">
      <c r="A1326" s="2" t="s">
        <v>2273</v>
      </c>
      <c r="B1326" s="2" t="s">
        <v>46</v>
      </c>
      <c r="C1326" s="2" t="s">
        <v>4087</v>
      </c>
      <c r="D1326" s="11" t="n">
        <v>11202</v>
      </c>
      <c r="E1326" s="31" t="n">
        <v>30</v>
      </c>
      <c r="F1326" s="31" t="n">
        <v>38.2</v>
      </c>
      <c r="G1326" s="2"/>
      <c r="H1326" s="2" t="s">
        <v>668</v>
      </c>
    </row>
    <row r="1327" customFormat="false" ht="15" hidden="false" customHeight="false" outlineLevel="0" collapsed="false">
      <c r="A1327" s="2" t="s">
        <v>2273</v>
      </c>
      <c r="B1327" s="2" t="s">
        <v>47</v>
      </c>
      <c r="C1327" s="2" t="s">
        <v>4085</v>
      </c>
      <c r="D1327" s="11" t="n">
        <v>14618</v>
      </c>
      <c r="E1327" s="31" t="n">
        <v>76.3</v>
      </c>
      <c r="F1327" s="31" t="n">
        <v>33.7</v>
      </c>
      <c r="G1327" s="31" t="n">
        <v>43.2</v>
      </c>
      <c r="H1327" s="2" t="s">
        <v>671</v>
      </c>
    </row>
    <row r="1328" customFormat="false" ht="15" hidden="false" customHeight="false" outlineLevel="0" collapsed="false">
      <c r="A1328" s="2" t="s">
        <v>2273</v>
      </c>
      <c r="B1328" s="2" t="s">
        <v>47</v>
      </c>
      <c r="C1328" s="2" t="s">
        <v>4086</v>
      </c>
      <c r="D1328" s="11" t="n">
        <v>14740</v>
      </c>
      <c r="E1328" s="31" t="n">
        <v>86.6</v>
      </c>
      <c r="F1328" s="31" t="n">
        <v>51.9</v>
      </c>
      <c r="G1328" s="31" t="n">
        <v>80.5</v>
      </c>
      <c r="H1328" s="2" t="s">
        <v>671</v>
      </c>
    </row>
    <row r="1329" customFormat="false" ht="15" hidden="false" customHeight="false" outlineLevel="0" collapsed="false">
      <c r="A1329" s="2" t="s">
        <v>2273</v>
      </c>
      <c r="B1329" s="2" t="s">
        <v>47</v>
      </c>
      <c r="C1329" s="2" t="s">
        <v>4087</v>
      </c>
      <c r="D1329" s="11" t="n">
        <v>15826</v>
      </c>
      <c r="E1329" s="31" t="n">
        <v>56.1</v>
      </c>
      <c r="F1329" s="31" t="n">
        <v>85.5</v>
      </c>
      <c r="G1329" s="31" t="n">
        <v>55.2</v>
      </c>
      <c r="H1329" s="2" t="s">
        <v>671</v>
      </c>
    </row>
    <row r="1330" customFormat="false" ht="15" hidden="false" customHeight="false" outlineLevel="0" collapsed="false">
      <c r="A1330" s="2" t="s">
        <v>841</v>
      </c>
      <c r="B1330" s="2" t="s">
        <v>4104</v>
      </c>
      <c r="C1330" s="2" t="s">
        <v>4085</v>
      </c>
      <c r="D1330" s="2"/>
      <c r="E1330" s="31" t="n">
        <v>42.1</v>
      </c>
      <c r="F1330" s="31" t="n">
        <v>50.4</v>
      </c>
      <c r="G1330" s="31" t="n">
        <v>62.8</v>
      </c>
      <c r="H1330" s="2" t="s">
        <v>668</v>
      </c>
    </row>
    <row r="1331" customFormat="false" ht="15" hidden="false" customHeight="false" outlineLevel="0" collapsed="false">
      <c r="A1331" s="2" t="s">
        <v>841</v>
      </c>
      <c r="B1331" s="2" t="s">
        <v>4104</v>
      </c>
      <c r="C1331" s="2" t="s">
        <v>4086</v>
      </c>
      <c r="D1331" s="2"/>
      <c r="E1331" s="31" t="n">
        <v>40.7</v>
      </c>
      <c r="F1331" s="31" t="n">
        <v>48.8</v>
      </c>
      <c r="G1331" s="31" t="n">
        <v>32.8</v>
      </c>
      <c r="H1331" s="2" t="s">
        <v>671</v>
      </c>
    </row>
    <row r="1332" customFormat="false" ht="15" hidden="false" customHeight="false" outlineLevel="0" collapsed="false">
      <c r="A1332" s="2" t="s">
        <v>841</v>
      </c>
      <c r="B1332" s="2" t="s">
        <v>4104</v>
      </c>
      <c r="C1332" s="2" t="s">
        <v>4087</v>
      </c>
      <c r="D1332" s="2"/>
      <c r="E1332" s="31" t="n">
        <v>57</v>
      </c>
      <c r="F1332" s="31" t="n">
        <v>53</v>
      </c>
      <c r="G1332" s="31" t="n">
        <v>38.5</v>
      </c>
      <c r="H1332" s="2" t="s">
        <v>668</v>
      </c>
    </row>
    <row r="1333" customFormat="false" ht="15" hidden="false" customHeight="false" outlineLevel="0" collapsed="false">
      <c r="A1333" s="2" t="s">
        <v>841</v>
      </c>
      <c r="B1333" s="2" t="s">
        <v>45</v>
      </c>
      <c r="C1333" s="2" t="s">
        <v>4085</v>
      </c>
      <c r="D1333" s="11" t="n">
        <v>13267</v>
      </c>
      <c r="E1333" s="31" t="n">
        <v>78</v>
      </c>
      <c r="F1333" s="31" t="n">
        <v>79.2</v>
      </c>
      <c r="G1333" s="2"/>
      <c r="H1333" s="2" t="s">
        <v>668</v>
      </c>
    </row>
    <row r="1334" customFormat="false" ht="15" hidden="false" customHeight="false" outlineLevel="0" collapsed="false">
      <c r="A1334" s="2" t="s">
        <v>841</v>
      </c>
      <c r="B1334" s="2" t="s">
        <v>45</v>
      </c>
      <c r="C1334" s="2" t="s">
        <v>4086</v>
      </c>
      <c r="D1334" s="11" t="n">
        <v>13890</v>
      </c>
      <c r="E1334" s="31" t="n">
        <v>66.9</v>
      </c>
      <c r="F1334" s="31" t="n">
        <v>77.3</v>
      </c>
      <c r="G1334" s="31" t="n">
        <v>24.2</v>
      </c>
      <c r="H1334" s="2" t="s">
        <v>671</v>
      </c>
    </row>
    <row r="1335" customFormat="false" ht="15" hidden="false" customHeight="false" outlineLevel="0" collapsed="false">
      <c r="A1335" s="2" t="s">
        <v>841</v>
      </c>
      <c r="B1335" s="2" t="s">
        <v>45</v>
      </c>
      <c r="C1335" s="2" t="s">
        <v>4087</v>
      </c>
      <c r="D1335" s="11" t="n">
        <v>14450</v>
      </c>
      <c r="E1335" s="31" t="n">
        <v>76.3</v>
      </c>
      <c r="F1335" s="31" t="n">
        <v>83.3</v>
      </c>
      <c r="G1335" s="31" t="n">
        <v>37.6</v>
      </c>
      <c r="H1335" s="2" t="s">
        <v>671</v>
      </c>
    </row>
    <row r="1336" customFormat="false" ht="15" hidden="false" customHeight="false" outlineLevel="0" collapsed="false">
      <c r="A1336" s="2" t="s">
        <v>841</v>
      </c>
      <c r="B1336" s="2" t="s">
        <v>46</v>
      </c>
      <c r="C1336" s="2" t="s">
        <v>4085</v>
      </c>
      <c r="D1336" s="11" t="n">
        <v>22531</v>
      </c>
      <c r="E1336" s="31" t="n">
        <v>7</v>
      </c>
      <c r="F1336" s="31" t="n">
        <v>28.5</v>
      </c>
      <c r="G1336" s="31" t="n">
        <v>60</v>
      </c>
      <c r="H1336" s="2" t="s">
        <v>671</v>
      </c>
    </row>
    <row r="1337" customFormat="false" ht="15" hidden="false" customHeight="false" outlineLevel="0" collapsed="false">
      <c r="A1337" s="2" t="s">
        <v>841</v>
      </c>
      <c r="B1337" s="2" t="s">
        <v>46</v>
      </c>
      <c r="C1337" s="2" t="s">
        <v>4086</v>
      </c>
      <c r="D1337" s="11" t="n">
        <v>22870</v>
      </c>
      <c r="E1337" s="31" t="n">
        <v>16.3</v>
      </c>
      <c r="F1337" s="31" t="n">
        <v>29.8</v>
      </c>
      <c r="G1337" s="31" t="n">
        <v>20.8</v>
      </c>
      <c r="H1337" s="2" t="s">
        <v>671</v>
      </c>
    </row>
    <row r="1338" customFormat="false" ht="15" hidden="false" customHeight="false" outlineLevel="0" collapsed="false">
      <c r="A1338" s="2" t="s">
        <v>841</v>
      </c>
      <c r="B1338" s="2" t="s">
        <v>46</v>
      </c>
      <c r="C1338" s="2" t="s">
        <v>4087</v>
      </c>
      <c r="D1338" s="2"/>
      <c r="E1338" s="2"/>
      <c r="F1338" s="2"/>
      <c r="G1338" s="2"/>
      <c r="H1338" s="2" t="s">
        <v>668</v>
      </c>
    </row>
    <row r="1339" customFormat="false" ht="15" hidden="false" customHeight="false" outlineLevel="0" collapsed="false">
      <c r="A1339" s="2" t="s">
        <v>841</v>
      </c>
      <c r="B1339" s="2" t="s">
        <v>47</v>
      </c>
      <c r="C1339" s="2" t="s">
        <v>4085</v>
      </c>
      <c r="D1339" s="11" t="n">
        <v>10426</v>
      </c>
      <c r="E1339" s="31" t="n">
        <v>41.3</v>
      </c>
      <c r="F1339" s="31" t="n">
        <v>43.5</v>
      </c>
      <c r="G1339" s="31" t="n">
        <v>65.6</v>
      </c>
      <c r="H1339" s="2" t="s">
        <v>671</v>
      </c>
    </row>
    <row r="1340" customFormat="false" ht="15" hidden="false" customHeight="false" outlineLevel="0" collapsed="false">
      <c r="A1340" s="2" t="s">
        <v>841</v>
      </c>
      <c r="B1340" s="2" t="s">
        <v>47</v>
      </c>
      <c r="C1340" s="2" t="s">
        <v>4086</v>
      </c>
      <c r="D1340" s="11" t="n">
        <v>10387</v>
      </c>
      <c r="E1340" s="31" t="n">
        <v>38.8</v>
      </c>
      <c r="F1340" s="31" t="n">
        <v>39.3</v>
      </c>
      <c r="G1340" s="31" t="n">
        <v>53.4</v>
      </c>
      <c r="H1340" s="2" t="s">
        <v>671</v>
      </c>
    </row>
    <row r="1341" customFormat="false" ht="15" hidden="false" customHeight="false" outlineLevel="0" collapsed="false">
      <c r="A1341" s="2" t="s">
        <v>841</v>
      </c>
      <c r="B1341" s="2" t="s">
        <v>47</v>
      </c>
      <c r="C1341" s="2" t="s">
        <v>4087</v>
      </c>
      <c r="D1341" s="11" t="n">
        <v>10611</v>
      </c>
      <c r="E1341" s="31" t="n">
        <v>37.6</v>
      </c>
      <c r="F1341" s="31" t="n">
        <v>22.7</v>
      </c>
      <c r="G1341" s="31" t="n">
        <v>39.4</v>
      </c>
      <c r="H1341" s="2" t="s">
        <v>671</v>
      </c>
    </row>
    <row r="1342" customFormat="false" ht="15" hidden="false" customHeight="false" outlineLevel="0" collapsed="false">
      <c r="A1342" s="2" t="s">
        <v>272</v>
      </c>
      <c r="B1342" s="2" t="s">
        <v>4104</v>
      </c>
      <c r="C1342" s="2" t="s">
        <v>4085</v>
      </c>
      <c r="D1342" s="2"/>
      <c r="E1342" s="31" t="n">
        <v>80.2</v>
      </c>
      <c r="F1342" s="31" t="n">
        <v>39.1</v>
      </c>
      <c r="G1342" s="31" t="n">
        <v>55.5</v>
      </c>
      <c r="H1342" s="2" t="s">
        <v>668</v>
      </c>
    </row>
    <row r="1343" customFormat="false" ht="15" hidden="false" customHeight="false" outlineLevel="0" collapsed="false">
      <c r="A1343" s="2" t="s">
        <v>272</v>
      </c>
      <c r="B1343" s="2" t="s">
        <v>4104</v>
      </c>
      <c r="C1343" s="2" t="s">
        <v>4086</v>
      </c>
      <c r="D1343" s="2"/>
      <c r="E1343" s="31" t="n">
        <v>60.8</v>
      </c>
      <c r="F1343" s="31" t="n">
        <v>44</v>
      </c>
      <c r="G1343" s="31" t="n">
        <v>29.4</v>
      </c>
      <c r="H1343" s="2" t="s">
        <v>668</v>
      </c>
    </row>
    <row r="1344" customFormat="false" ht="15" hidden="false" customHeight="false" outlineLevel="0" collapsed="false">
      <c r="A1344" s="2" t="s">
        <v>272</v>
      </c>
      <c r="B1344" s="2" t="s">
        <v>4104</v>
      </c>
      <c r="C1344" s="2" t="s">
        <v>4087</v>
      </c>
      <c r="D1344" s="2"/>
      <c r="E1344" s="31" t="n">
        <v>61.4</v>
      </c>
      <c r="F1344" s="31" t="n">
        <v>43.6</v>
      </c>
      <c r="G1344" s="31" t="n">
        <v>20.5</v>
      </c>
      <c r="H1344" s="2" t="s">
        <v>671</v>
      </c>
    </row>
    <row r="1345" customFormat="false" ht="15" hidden="false" customHeight="false" outlineLevel="0" collapsed="false">
      <c r="A1345" s="2" t="s">
        <v>272</v>
      </c>
      <c r="B1345" s="2" t="s">
        <v>45</v>
      </c>
      <c r="C1345" s="2" t="s">
        <v>4085</v>
      </c>
      <c r="D1345" s="11" t="n">
        <v>87350</v>
      </c>
      <c r="E1345" s="31" t="n">
        <v>85.7</v>
      </c>
      <c r="F1345" s="31" t="n">
        <v>39.1</v>
      </c>
      <c r="G1345" s="2"/>
      <c r="H1345" s="2" t="s">
        <v>671</v>
      </c>
    </row>
    <row r="1346" customFormat="false" ht="15" hidden="false" customHeight="false" outlineLevel="0" collapsed="false">
      <c r="A1346" s="2" t="s">
        <v>272</v>
      </c>
      <c r="B1346" s="2" t="s">
        <v>45</v>
      </c>
      <c r="C1346" s="2" t="s">
        <v>4086</v>
      </c>
      <c r="D1346" s="11" t="n">
        <v>91690</v>
      </c>
      <c r="E1346" s="31" t="n">
        <v>72.2</v>
      </c>
      <c r="F1346" s="31" t="n">
        <v>44</v>
      </c>
      <c r="G1346" s="2"/>
      <c r="H1346" s="2" t="s">
        <v>671</v>
      </c>
    </row>
    <row r="1347" customFormat="false" ht="15" hidden="false" customHeight="false" outlineLevel="0" collapsed="false">
      <c r="A1347" s="2" t="s">
        <v>272</v>
      </c>
      <c r="B1347" s="2" t="s">
        <v>45</v>
      </c>
      <c r="C1347" s="2" t="s">
        <v>4087</v>
      </c>
      <c r="D1347" s="11" t="n">
        <v>91873</v>
      </c>
      <c r="E1347" s="31" t="n">
        <v>79.9</v>
      </c>
      <c r="F1347" s="31" t="n">
        <v>24.6</v>
      </c>
      <c r="G1347" s="2"/>
      <c r="H1347" s="2" t="s">
        <v>671</v>
      </c>
    </row>
    <row r="1348" customFormat="false" ht="15" hidden="false" customHeight="false" outlineLevel="0" collapsed="false">
      <c r="A1348" s="2" t="s">
        <v>272</v>
      </c>
      <c r="B1348" s="2" t="s">
        <v>46</v>
      </c>
      <c r="C1348" s="2" t="s">
        <v>4085</v>
      </c>
      <c r="D1348" s="11" t="n">
        <v>2940</v>
      </c>
      <c r="E1348" s="31" t="n">
        <v>74.8</v>
      </c>
      <c r="F1348" s="2"/>
      <c r="G1348" s="31" t="n">
        <v>55.5</v>
      </c>
      <c r="H1348" s="2" t="s">
        <v>668</v>
      </c>
    </row>
    <row r="1349" customFormat="false" ht="15" hidden="false" customHeight="false" outlineLevel="0" collapsed="false">
      <c r="A1349" s="2" t="s">
        <v>272</v>
      </c>
      <c r="B1349" s="2" t="s">
        <v>46</v>
      </c>
      <c r="C1349" s="2" t="s">
        <v>4086</v>
      </c>
      <c r="D1349" s="11" t="n">
        <v>3150</v>
      </c>
      <c r="E1349" s="31" t="n">
        <v>49.5</v>
      </c>
      <c r="F1349" s="2"/>
      <c r="G1349" s="31" t="n">
        <v>29.4</v>
      </c>
      <c r="H1349" s="2" t="s">
        <v>668</v>
      </c>
    </row>
    <row r="1350" customFormat="false" ht="15" hidden="false" customHeight="false" outlineLevel="0" collapsed="false">
      <c r="A1350" s="2" t="s">
        <v>272</v>
      </c>
      <c r="B1350" s="2" t="s">
        <v>46</v>
      </c>
      <c r="C1350" s="2" t="s">
        <v>4087</v>
      </c>
      <c r="D1350" s="11" t="n">
        <v>3273</v>
      </c>
      <c r="E1350" s="31" t="n">
        <v>42.9</v>
      </c>
      <c r="F1350" s="31" t="n">
        <v>62.5</v>
      </c>
      <c r="G1350" s="31" t="n">
        <v>20.5</v>
      </c>
      <c r="H1350" s="2" t="s">
        <v>671</v>
      </c>
    </row>
    <row r="1351" customFormat="false" ht="15" hidden="false" customHeight="false" outlineLevel="0" collapsed="false">
      <c r="A1351" s="2" t="s">
        <v>146</v>
      </c>
      <c r="B1351" s="2" t="s">
        <v>4104</v>
      </c>
      <c r="C1351" s="2" t="s">
        <v>4085</v>
      </c>
      <c r="D1351" s="2"/>
      <c r="E1351" s="31" t="n">
        <v>65</v>
      </c>
      <c r="F1351" s="31" t="n">
        <v>23.4</v>
      </c>
      <c r="G1351" s="31" t="n">
        <v>32</v>
      </c>
      <c r="H1351" s="2" t="s">
        <v>668</v>
      </c>
    </row>
    <row r="1352" customFormat="false" ht="15" hidden="false" customHeight="false" outlineLevel="0" collapsed="false">
      <c r="A1352" s="2" t="s">
        <v>146</v>
      </c>
      <c r="B1352" s="2" t="s">
        <v>4104</v>
      </c>
      <c r="C1352" s="2" t="s">
        <v>4086</v>
      </c>
      <c r="D1352" s="2"/>
      <c r="E1352" s="31" t="n">
        <v>45</v>
      </c>
      <c r="F1352" s="31" t="n">
        <v>45.8</v>
      </c>
      <c r="G1352" s="31" t="n">
        <v>33.6</v>
      </c>
      <c r="H1352" s="2" t="s">
        <v>668</v>
      </c>
    </row>
    <row r="1353" customFormat="false" ht="15" hidden="false" customHeight="false" outlineLevel="0" collapsed="false">
      <c r="A1353" s="2" t="s">
        <v>146</v>
      </c>
      <c r="B1353" s="2" t="s">
        <v>4104</v>
      </c>
      <c r="C1353" s="2" t="s">
        <v>4087</v>
      </c>
      <c r="D1353" s="2"/>
      <c r="E1353" s="31" t="n">
        <v>80.7</v>
      </c>
      <c r="F1353" s="31" t="n">
        <v>40</v>
      </c>
      <c r="G1353" s="31" t="n">
        <v>29</v>
      </c>
      <c r="H1353" s="2" t="s">
        <v>671</v>
      </c>
    </row>
    <row r="1354" customFormat="false" ht="15" hidden="false" customHeight="false" outlineLevel="0" collapsed="false">
      <c r="A1354" s="2" t="s">
        <v>146</v>
      </c>
      <c r="B1354" s="2" t="s">
        <v>45</v>
      </c>
      <c r="C1354" s="2" t="s">
        <v>4085</v>
      </c>
      <c r="D1354" s="11" t="n">
        <v>19577</v>
      </c>
      <c r="E1354" s="31" t="n">
        <v>24</v>
      </c>
      <c r="F1354" s="31" t="n">
        <v>23.4</v>
      </c>
      <c r="G1354" s="31" t="n">
        <v>58.8</v>
      </c>
      <c r="H1354" s="2" t="s">
        <v>671</v>
      </c>
    </row>
    <row r="1355" customFormat="false" ht="15" hidden="false" customHeight="false" outlineLevel="0" collapsed="false">
      <c r="A1355" s="2" t="s">
        <v>146</v>
      </c>
      <c r="B1355" s="2" t="s">
        <v>45</v>
      </c>
      <c r="C1355" s="2" t="s">
        <v>4086</v>
      </c>
      <c r="D1355" s="2"/>
      <c r="E1355" s="2"/>
      <c r="F1355" s="2"/>
      <c r="G1355" s="2"/>
      <c r="H1355" s="2" t="s">
        <v>668</v>
      </c>
    </row>
    <row r="1356" customFormat="false" ht="15" hidden="false" customHeight="false" outlineLevel="0" collapsed="false">
      <c r="A1356" s="2" t="s">
        <v>146</v>
      </c>
      <c r="B1356" s="2" t="s">
        <v>45</v>
      </c>
      <c r="C1356" s="2" t="s">
        <v>4087</v>
      </c>
      <c r="D1356" s="11" t="n">
        <v>20520</v>
      </c>
      <c r="E1356" s="31" t="n">
        <v>69.7</v>
      </c>
      <c r="F1356" s="31" t="n">
        <v>47.2</v>
      </c>
      <c r="G1356" s="31" t="n">
        <v>48.1</v>
      </c>
      <c r="H1356" s="2" t="s">
        <v>671</v>
      </c>
    </row>
    <row r="1357" customFormat="false" ht="15" hidden="false" customHeight="false" outlineLevel="0" collapsed="false">
      <c r="A1357" s="2" t="s">
        <v>146</v>
      </c>
      <c r="B1357" s="2" t="s">
        <v>46</v>
      </c>
      <c r="C1357" s="2" t="s">
        <v>4085</v>
      </c>
      <c r="D1357" s="11" t="n">
        <v>14280</v>
      </c>
      <c r="E1357" s="31" t="n">
        <v>82.4</v>
      </c>
      <c r="F1357" s="2"/>
      <c r="G1357" s="2"/>
      <c r="H1357" s="2" t="s">
        <v>668</v>
      </c>
    </row>
    <row r="1358" customFormat="false" ht="15" hidden="false" customHeight="false" outlineLevel="0" collapsed="false">
      <c r="A1358" s="2" t="s">
        <v>146</v>
      </c>
      <c r="B1358" s="2" t="s">
        <v>46</v>
      </c>
      <c r="C1358" s="2" t="s">
        <v>4086</v>
      </c>
      <c r="D1358" s="11" t="n">
        <v>14950</v>
      </c>
      <c r="E1358" s="31" t="n">
        <v>45</v>
      </c>
      <c r="F1358" s="31" t="n">
        <v>45.8</v>
      </c>
      <c r="G1358" s="31" t="n">
        <v>33.6</v>
      </c>
      <c r="H1358" s="2" t="s">
        <v>671</v>
      </c>
    </row>
    <row r="1359" customFormat="false" ht="15" hidden="false" customHeight="false" outlineLevel="0" collapsed="false">
      <c r="A1359" s="2" t="s">
        <v>146</v>
      </c>
      <c r="B1359" s="2" t="s">
        <v>46</v>
      </c>
      <c r="C1359" s="2" t="s">
        <v>4087</v>
      </c>
      <c r="D1359" s="11" t="n">
        <v>14900</v>
      </c>
      <c r="E1359" s="31" t="n">
        <v>85.2</v>
      </c>
      <c r="F1359" s="31" t="n">
        <v>62.2</v>
      </c>
      <c r="G1359" s="31" t="n">
        <v>17.1</v>
      </c>
      <c r="H1359" s="2" t="s">
        <v>671</v>
      </c>
    </row>
    <row r="1360" customFormat="false" ht="15" hidden="false" customHeight="false" outlineLevel="0" collapsed="false">
      <c r="A1360" s="2" t="s">
        <v>146</v>
      </c>
      <c r="B1360" s="2" t="s">
        <v>47</v>
      </c>
      <c r="C1360" s="2" t="s">
        <v>4085</v>
      </c>
      <c r="D1360" s="11" t="n">
        <v>33540</v>
      </c>
      <c r="E1360" s="31" t="n">
        <v>88.6</v>
      </c>
      <c r="F1360" s="2"/>
      <c r="G1360" s="31" t="n">
        <v>5.1</v>
      </c>
      <c r="H1360" s="2" t="s">
        <v>668</v>
      </c>
    </row>
    <row r="1361" customFormat="false" ht="15" hidden="false" customHeight="false" outlineLevel="0" collapsed="false">
      <c r="A1361" s="2" t="s">
        <v>146</v>
      </c>
      <c r="B1361" s="2" t="s">
        <v>47</v>
      </c>
      <c r="C1361" s="2" t="s">
        <v>4086</v>
      </c>
      <c r="D1361" s="2"/>
      <c r="E1361" s="2"/>
      <c r="F1361" s="2"/>
      <c r="G1361" s="2"/>
      <c r="H1361" s="2" t="s">
        <v>668</v>
      </c>
    </row>
    <row r="1362" customFormat="false" ht="15" hidden="false" customHeight="false" outlineLevel="0" collapsed="false">
      <c r="A1362" s="2" t="s">
        <v>146</v>
      </c>
      <c r="B1362" s="2" t="s">
        <v>47</v>
      </c>
      <c r="C1362" s="2" t="s">
        <v>4087</v>
      </c>
      <c r="D1362" s="11" t="n">
        <v>33710</v>
      </c>
      <c r="E1362" s="31" t="n">
        <v>87.1</v>
      </c>
      <c r="F1362" s="31" t="n">
        <v>10.6</v>
      </c>
      <c r="G1362" s="31" t="n">
        <v>21.7</v>
      </c>
      <c r="H1362" s="2" t="s">
        <v>671</v>
      </c>
    </row>
    <row r="1363" customFormat="false" ht="15" hidden="false" customHeight="false" outlineLevel="0" collapsed="false">
      <c r="A1363" s="2" t="s">
        <v>992</v>
      </c>
      <c r="B1363" s="2" t="s">
        <v>4104</v>
      </c>
      <c r="C1363" s="2" t="s">
        <v>4085</v>
      </c>
      <c r="D1363" s="2"/>
      <c r="E1363" s="31" t="n">
        <v>68.5</v>
      </c>
      <c r="F1363" s="31" t="n">
        <v>58.9</v>
      </c>
      <c r="G1363" s="31" t="n">
        <v>52.1</v>
      </c>
      <c r="H1363" s="2" t="s">
        <v>671</v>
      </c>
    </row>
    <row r="1364" customFormat="false" ht="15" hidden="false" customHeight="false" outlineLevel="0" collapsed="false">
      <c r="A1364" s="2" t="s">
        <v>992</v>
      </c>
      <c r="B1364" s="2" t="s">
        <v>4104</v>
      </c>
      <c r="C1364" s="2" t="s">
        <v>4086</v>
      </c>
      <c r="D1364" s="2"/>
      <c r="E1364" s="31" t="n">
        <v>57.5</v>
      </c>
      <c r="F1364" s="31" t="n">
        <v>56.7</v>
      </c>
      <c r="G1364" s="31" t="n">
        <v>63.2</v>
      </c>
      <c r="H1364" s="2" t="s">
        <v>671</v>
      </c>
    </row>
    <row r="1365" customFormat="false" ht="15" hidden="false" customHeight="false" outlineLevel="0" collapsed="false">
      <c r="A1365" s="2" t="s">
        <v>992</v>
      </c>
      <c r="B1365" s="2" t="s">
        <v>4104</v>
      </c>
      <c r="C1365" s="2" t="s">
        <v>4087</v>
      </c>
      <c r="D1365" s="2"/>
      <c r="E1365" s="31" t="n">
        <v>50.2</v>
      </c>
      <c r="F1365" s="31" t="n">
        <v>73</v>
      </c>
      <c r="G1365" s="31" t="n">
        <v>20</v>
      </c>
      <c r="H1365" s="2" t="s">
        <v>668</v>
      </c>
    </row>
    <row r="1366" customFormat="false" ht="15" hidden="false" customHeight="false" outlineLevel="0" collapsed="false">
      <c r="A1366" s="2" t="s">
        <v>992</v>
      </c>
      <c r="B1366" s="2" t="s">
        <v>45</v>
      </c>
      <c r="C1366" s="2" t="s">
        <v>4085</v>
      </c>
      <c r="D1366" s="11" t="n">
        <v>96410</v>
      </c>
      <c r="E1366" s="31" t="n">
        <v>61.3</v>
      </c>
      <c r="F1366" s="31" t="n">
        <v>95.6</v>
      </c>
      <c r="G1366" s="31" t="n">
        <v>15.6</v>
      </c>
      <c r="H1366" s="2" t="s">
        <v>671</v>
      </c>
    </row>
    <row r="1367" customFormat="false" ht="15" hidden="false" customHeight="false" outlineLevel="0" collapsed="false">
      <c r="A1367" s="2" t="s">
        <v>992</v>
      </c>
      <c r="B1367" s="2" t="s">
        <v>45</v>
      </c>
      <c r="C1367" s="2" t="s">
        <v>4086</v>
      </c>
      <c r="D1367" s="11" t="n">
        <v>101987</v>
      </c>
      <c r="E1367" s="31" t="n">
        <v>29.9</v>
      </c>
      <c r="F1367" s="31" t="n">
        <v>87.9</v>
      </c>
      <c r="G1367" s="31" t="n">
        <v>6.3</v>
      </c>
      <c r="H1367" s="2" t="s">
        <v>671</v>
      </c>
    </row>
    <row r="1368" customFormat="false" ht="15" hidden="false" customHeight="false" outlineLevel="0" collapsed="false">
      <c r="A1368" s="2" t="s">
        <v>992</v>
      </c>
      <c r="B1368" s="2" t="s">
        <v>45</v>
      </c>
      <c r="C1368" s="2" t="s">
        <v>4087</v>
      </c>
      <c r="D1368" s="11" t="n">
        <v>111030</v>
      </c>
      <c r="E1368" s="31" t="n">
        <v>56.4</v>
      </c>
      <c r="F1368" s="31" t="n">
        <v>90.6</v>
      </c>
      <c r="G1368" s="31" t="n">
        <v>3.3</v>
      </c>
      <c r="H1368" s="2" t="s">
        <v>671</v>
      </c>
    </row>
    <row r="1369" customFormat="false" ht="15" hidden="false" customHeight="false" outlineLevel="0" collapsed="false">
      <c r="A1369" s="2" t="s">
        <v>992</v>
      </c>
      <c r="B1369" s="2" t="s">
        <v>46</v>
      </c>
      <c r="C1369" s="2" t="s">
        <v>4085</v>
      </c>
      <c r="D1369" s="11" t="n">
        <v>62295</v>
      </c>
      <c r="E1369" s="31" t="n">
        <v>95.7</v>
      </c>
      <c r="F1369" s="31" t="n">
        <v>4.5</v>
      </c>
      <c r="G1369" s="31" t="n">
        <v>97.7</v>
      </c>
      <c r="H1369" s="2" t="s">
        <v>671</v>
      </c>
    </row>
    <row r="1370" customFormat="false" ht="15" hidden="false" customHeight="false" outlineLevel="0" collapsed="false">
      <c r="A1370" s="2" t="s">
        <v>992</v>
      </c>
      <c r="B1370" s="2" t="s">
        <v>46</v>
      </c>
      <c r="C1370" s="2" t="s">
        <v>4086</v>
      </c>
      <c r="D1370" s="11" t="n">
        <v>62880</v>
      </c>
      <c r="E1370" s="31" t="n">
        <v>94.3</v>
      </c>
      <c r="F1370" s="31" t="n">
        <v>3.3</v>
      </c>
      <c r="G1370" s="31" t="n">
        <v>99.3</v>
      </c>
      <c r="H1370" s="2" t="s">
        <v>671</v>
      </c>
    </row>
    <row r="1371" customFormat="false" ht="15" hidden="false" customHeight="false" outlineLevel="0" collapsed="false">
      <c r="A1371" s="2" t="s">
        <v>992</v>
      </c>
      <c r="B1371" s="2" t="s">
        <v>46</v>
      </c>
      <c r="C1371" s="2" t="s">
        <v>4087</v>
      </c>
      <c r="D1371" s="2"/>
      <c r="E1371" s="2"/>
      <c r="F1371" s="2"/>
      <c r="G1371" s="2"/>
      <c r="H1371" s="2" t="s">
        <v>668</v>
      </c>
    </row>
    <row r="1372" customFormat="false" ht="15" hidden="false" customHeight="false" outlineLevel="0" collapsed="false">
      <c r="A1372" s="2" t="s">
        <v>992</v>
      </c>
      <c r="B1372" s="2" t="s">
        <v>47</v>
      </c>
      <c r="C1372" s="2" t="s">
        <v>4085</v>
      </c>
      <c r="D1372" s="11" t="n">
        <v>207278</v>
      </c>
      <c r="E1372" s="31" t="n">
        <v>48.4</v>
      </c>
      <c r="F1372" s="31" t="n">
        <v>76.5</v>
      </c>
      <c r="G1372" s="31" t="n">
        <v>43</v>
      </c>
      <c r="H1372" s="2" t="s">
        <v>671</v>
      </c>
    </row>
    <row r="1373" customFormat="false" ht="15" hidden="false" customHeight="false" outlineLevel="0" collapsed="false">
      <c r="A1373" s="2" t="s">
        <v>992</v>
      </c>
      <c r="B1373" s="2" t="s">
        <v>47</v>
      </c>
      <c r="C1373" s="2" t="s">
        <v>4086</v>
      </c>
      <c r="D1373" s="11" t="n">
        <v>216580</v>
      </c>
      <c r="E1373" s="31" t="n">
        <v>48.3</v>
      </c>
      <c r="F1373" s="31" t="n">
        <v>78.9</v>
      </c>
      <c r="G1373" s="31" t="n">
        <v>83.9</v>
      </c>
      <c r="H1373" s="2" t="s">
        <v>671</v>
      </c>
    </row>
    <row r="1374" customFormat="false" ht="15" hidden="false" customHeight="false" outlineLevel="0" collapsed="false">
      <c r="A1374" s="2" t="s">
        <v>992</v>
      </c>
      <c r="B1374" s="2" t="s">
        <v>47</v>
      </c>
      <c r="C1374" s="2" t="s">
        <v>4087</v>
      </c>
      <c r="D1374" s="11" t="n">
        <v>223242</v>
      </c>
      <c r="E1374" s="31" t="n">
        <v>44.1</v>
      </c>
      <c r="F1374" s="31" t="n">
        <v>55.4</v>
      </c>
      <c r="G1374" s="31" t="n">
        <v>36.8</v>
      </c>
      <c r="H1374" s="2" t="s">
        <v>671</v>
      </c>
    </row>
    <row r="1375" customFormat="false" ht="15" hidden="false" customHeight="false" outlineLevel="0" collapsed="false">
      <c r="A1375" s="2" t="s">
        <v>2649</v>
      </c>
      <c r="B1375" s="2" t="s">
        <v>4104</v>
      </c>
      <c r="C1375" s="2" t="s">
        <v>4085</v>
      </c>
      <c r="D1375" s="2"/>
      <c r="E1375" s="31" t="n">
        <v>40.2</v>
      </c>
      <c r="F1375" s="31" t="n">
        <v>68.6</v>
      </c>
      <c r="G1375" s="31" t="n">
        <v>51.6</v>
      </c>
      <c r="H1375" s="2" t="s">
        <v>671</v>
      </c>
    </row>
    <row r="1376" customFormat="false" ht="15" hidden="false" customHeight="false" outlineLevel="0" collapsed="false">
      <c r="A1376" s="2" t="s">
        <v>2649</v>
      </c>
      <c r="B1376" s="2" t="s">
        <v>4104</v>
      </c>
      <c r="C1376" s="2" t="s">
        <v>4086</v>
      </c>
      <c r="D1376" s="2"/>
      <c r="E1376" s="31" t="n">
        <v>47.8</v>
      </c>
      <c r="F1376" s="31" t="n">
        <v>74.6</v>
      </c>
      <c r="G1376" s="31" t="n">
        <v>40.8</v>
      </c>
      <c r="H1376" s="2" t="s">
        <v>671</v>
      </c>
    </row>
    <row r="1377" customFormat="false" ht="15" hidden="false" customHeight="false" outlineLevel="0" collapsed="false">
      <c r="A1377" s="2" t="s">
        <v>2649</v>
      </c>
      <c r="B1377" s="2" t="s">
        <v>4104</v>
      </c>
      <c r="C1377" s="2" t="s">
        <v>4087</v>
      </c>
      <c r="D1377" s="2"/>
      <c r="E1377" s="31" t="n">
        <v>4.8</v>
      </c>
      <c r="F1377" s="31" t="n">
        <v>47.2</v>
      </c>
      <c r="G1377" s="31" t="n">
        <v>54.8</v>
      </c>
      <c r="H1377" s="2" t="s">
        <v>668</v>
      </c>
    </row>
    <row r="1378" customFormat="false" ht="15" hidden="false" customHeight="false" outlineLevel="0" collapsed="false">
      <c r="A1378" s="2" t="s">
        <v>2649</v>
      </c>
      <c r="B1378" s="2" t="s">
        <v>45</v>
      </c>
      <c r="C1378" s="2" t="s">
        <v>4085</v>
      </c>
      <c r="D1378" s="11" t="n">
        <v>14440</v>
      </c>
      <c r="E1378" s="31" t="n">
        <v>74.9</v>
      </c>
      <c r="F1378" s="31" t="n">
        <v>63.9</v>
      </c>
      <c r="G1378" s="31" t="n">
        <v>58</v>
      </c>
      <c r="H1378" s="2" t="s">
        <v>671</v>
      </c>
    </row>
    <row r="1379" customFormat="false" ht="15" hidden="false" customHeight="false" outlineLevel="0" collapsed="false">
      <c r="A1379" s="2" t="s">
        <v>2649</v>
      </c>
      <c r="B1379" s="2" t="s">
        <v>45</v>
      </c>
      <c r="C1379" s="2" t="s">
        <v>4086</v>
      </c>
      <c r="D1379" s="11" t="n">
        <v>14750</v>
      </c>
      <c r="E1379" s="31" t="n">
        <v>81.5</v>
      </c>
      <c r="F1379" s="31" t="n">
        <v>73.9</v>
      </c>
      <c r="G1379" s="31" t="n">
        <v>63.4</v>
      </c>
      <c r="H1379" s="2" t="s">
        <v>671</v>
      </c>
    </row>
    <row r="1380" customFormat="false" ht="15" hidden="false" customHeight="false" outlineLevel="0" collapsed="false">
      <c r="A1380" s="2" t="s">
        <v>2649</v>
      </c>
      <c r="B1380" s="2" t="s">
        <v>45</v>
      </c>
      <c r="C1380" s="2" t="s">
        <v>4087</v>
      </c>
      <c r="D1380" s="2"/>
      <c r="E1380" s="2"/>
      <c r="F1380" s="2"/>
      <c r="G1380" s="2"/>
      <c r="H1380" s="2" t="s">
        <v>668</v>
      </c>
    </row>
    <row r="1381" customFormat="false" ht="15" hidden="false" customHeight="false" outlineLevel="0" collapsed="false">
      <c r="A1381" s="2" t="s">
        <v>2649</v>
      </c>
      <c r="B1381" s="2" t="s">
        <v>47</v>
      </c>
      <c r="C1381" s="2" t="s">
        <v>4085</v>
      </c>
      <c r="D1381" s="11" t="n">
        <v>10112</v>
      </c>
      <c r="E1381" s="31" t="n">
        <v>5.5</v>
      </c>
      <c r="F1381" s="31" t="n">
        <v>73.2</v>
      </c>
      <c r="G1381" s="31" t="n">
        <v>45.1</v>
      </c>
      <c r="H1381" s="2" t="s">
        <v>671</v>
      </c>
    </row>
    <row r="1382" customFormat="false" ht="15" hidden="false" customHeight="false" outlineLevel="0" collapsed="false">
      <c r="A1382" s="2" t="s">
        <v>2649</v>
      </c>
      <c r="B1382" s="2" t="s">
        <v>47</v>
      </c>
      <c r="C1382" s="2" t="s">
        <v>4086</v>
      </c>
      <c r="D1382" s="11" t="n">
        <v>10335</v>
      </c>
      <c r="E1382" s="31" t="n">
        <v>14.1</v>
      </c>
      <c r="F1382" s="31" t="n">
        <v>75.3</v>
      </c>
      <c r="G1382" s="31" t="n">
        <v>18.3</v>
      </c>
      <c r="H1382" s="2" t="s">
        <v>671</v>
      </c>
    </row>
    <row r="1383" customFormat="false" ht="15" hidden="false" customHeight="false" outlineLevel="0" collapsed="false">
      <c r="A1383" s="2" t="s">
        <v>2649</v>
      </c>
      <c r="B1383" s="2" t="s">
        <v>47</v>
      </c>
      <c r="C1383" s="2" t="s">
        <v>4087</v>
      </c>
      <c r="D1383" s="11" t="n">
        <v>10780</v>
      </c>
      <c r="E1383" s="31" t="n">
        <v>4.8</v>
      </c>
      <c r="F1383" s="31" t="n">
        <v>47.2</v>
      </c>
      <c r="G1383" s="31" t="n">
        <v>54.8</v>
      </c>
      <c r="H1383" s="2" t="s">
        <v>671</v>
      </c>
    </row>
    <row r="1384" customFormat="false" ht="15" hidden="false" customHeight="false" outlineLevel="0" collapsed="false">
      <c r="A1384" s="2" t="s">
        <v>368</v>
      </c>
      <c r="B1384" s="2" t="s">
        <v>4104</v>
      </c>
      <c r="C1384" s="2" t="s">
        <v>4085</v>
      </c>
      <c r="D1384" s="2"/>
      <c r="E1384" s="31" t="n">
        <v>33.6</v>
      </c>
      <c r="F1384" s="31" t="n">
        <v>7.7</v>
      </c>
      <c r="G1384" s="31" t="n">
        <v>6.2</v>
      </c>
      <c r="H1384" s="2" t="s">
        <v>671</v>
      </c>
    </row>
    <row r="1385" customFormat="false" ht="15" hidden="false" customHeight="false" outlineLevel="0" collapsed="false">
      <c r="A1385" s="2" t="s">
        <v>368</v>
      </c>
      <c r="B1385" s="2" t="s">
        <v>4104</v>
      </c>
      <c r="C1385" s="2" t="s">
        <v>4086</v>
      </c>
      <c r="D1385" s="2"/>
      <c r="E1385" s="31" t="n">
        <v>45.5</v>
      </c>
      <c r="F1385" s="31" t="n">
        <v>7.1</v>
      </c>
      <c r="G1385" s="31" t="n">
        <v>8.2</v>
      </c>
      <c r="H1385" s="2" t="s">
        <v>671</v>
      </c>
    </row>
    <row r="1386" customFormat="false" ht="15" hidden="false" customHeight="false" outlineLevel="0" collapsed="false">
      <c r="A1386" s="2" t="s">
        <v>368</v>
      </c>
      <c r="B1386" s="2" t="s">
        <v>4104</v>
      </c>
      <c r="C1386" s="2" t="s">
        <v>4087</v>
      </c>
      <c r="D1386" s="2"/>
      <c r="E1386" s="31" t="n">
        <v>50.8</v>
      </c>
      <c r="F1386" s="31" t="n">
        <v>10</v>
      </c>
      <c r="G1386" s="31" t="n">
        <v>25.5</v>
      </c>
      <c r="H1386" s="2" t="s">
        <v>671</v>
      </c>
    </row>
    <row r="1387" customFormat="false" ht="15" hidden="false" customHeight="false" outlineLevel="0" collapsed="false">
      <c r="A1387" s="2" t="s">
        <v>368</v>
      </c>
      <c r="B1387" s="2" t="s">
        <v>47</v>
      </c>
      <c r="C1387" s="2" t="s">
        <v>4085</v>
      </c>
      <c r="D1387" s="11" t="n">
        <v>2889469</v>
      </c>
      <c r="E1387" s="31" t="n">
        <v>33.6</v>
      </c>
      <c r="F1387" s="31" t="n">
        <v>7.7</v>
      </c>
      <c r="G1387" s="31" t="n">
        <v>6.2</v>
      </c>
      <c r="H1387" s="2" t="s">
        <v>671</v>
      </c>
    </row>
    <row r="1388" customFormat="false" ht="15" hidden="false" customHeight="false" outlineLevel="0" collapsed="false">
      <c r="A1388" s="2" t="s">
        <v>368</v>
      </c>
      <c r="B1388" s="2" t="s">
        <v>47</v>
      </c>
      <c r="C1388" s="2" t="s">
        <v>4086</v>
      </c>
      <c r="D1388" s="11" t="n">
        <v>2794445</v>
      </c>
      <c r="E1388" s="31" t="n">
        <v>45.5</v>
      </c>
      <c r="F1388" s="31" t="n">
        <v>7.1</v>
      </c>
      <c r="G1388" s="31" t="n">
        <v>8.2</v>
      </c>
      <c r="H1388" s="2" t="s">
        <v>671</v>
      </c>
    </row>
    <row r="1389" customFormat="false" ht="15" hidden="false" customHeight="false" outlineLevel="0" collapsed="false">
      <c r="A1389" s="2" t="s">
        <v>368</v>
      </c>
      <c r="B1389" s="2" t="s">
        <v>47</v>
      </c>
      <c r="C1389" s="2" t="s">
        <v>4087</v>
      </c>
      <c r="D1389" s="11" t="n">
        <v>2781166</v>
      </c>
      <c r="E1389" s="31" t="n">
        <v>50.8</v>
      </c>
      <c r="F1389" s="31" t="n">
        <v>10</v>
      </c>
      <c r="G1389" s="31" t="n">
        <v>25.5</v>
      </c>
      <c r="H1389" s="2" t="s">
        <v>671</v>
      </c>
    </row>
    <row r="1390" customFormat="false" ht="15" hidden="false" customHeight="false" outlineLevel="0" collapsed="false">
      <c r="A1390" s="2" t="s">
        <v>384</v>
      </c>
      <c r="B1390" s="2" t="s">
        <v>4104</v>
      </c>
      <c r="C1390" s="2" t="s">
        <v>4085</v>
      </c>
      <c r="D1390" s="2"/>
      <c r="E1390" s="31" t="n">
        <v>15.3</v>
      </c>
      <c r="F1390" s="31" t="n">
        <v>88.5</v>
      </c>
      <c r="G1390" s="31" t="n">
        <v>6.2</v>
      </c>
      <c r="H1390" s="2" t="s">
        <v>668</v>
      </c>
    </row>
    <row r="1391" customFormat="false" ht="15" hidden="false" customHeight="false" outlineLevel="0" collapsed="false">
      <c r="A1391" s="2" t="s">
        <v>384</v>
      </c>
      <c r="B1391" s="2" t="s">
        <v>4104</v>
      </c>
      <c r="C1391" s="2" t="s">
        <v>4086</v>
      </c>
      <c r="D1391" s="2"/>
      <c r="E1391" s="31" t="n">
        <v>35.3</v>
      </c>
      <c r="F1391" s="31" t="n">
        <v>56.2</v>
      </c>
      <c r="G1391" s="31" t="n">
        <v>47.8</v>
      </c>
      <c r="H1391" s="2" t="s">
        <v>671</v>
      </c>
    </row>
    <row r="1392" customFormat="false" ht="15" hidden="false" customHeight="false" outlineLevel="0" collapsed="false">
      <c r="A1392" s="2" t="s">
        <v>384</v>
      </c>
      <c r="B1392" s="2" t="s">
        <v>4104</v>
      </c>
      <c r="C1392" s="2" t="s">
        <v>4087</v>
      </c>
      <c r="D1392" s="2"/>
      <c r="E1392" s="31" t="n">
        <v>48.4</v>
      </c>
      <c r="F1392" s="31" t="n">
        <v>57.6</v>
      </c>
      <c r="G1392" s="31" t="n">
        <v>37</v>
      </c>
      <c r="H1392" s="2" t="s">
        <v>671</v>
      </c>
    </row>
    <row r="1393" customFormat="false" ht="15" hidden="false" customHeight="false" outlineLevel="0" collapsed="false">
      <c r="A1393" s="2" t="s">
        <v>384</v>
      </c>
      <c r="B1393" s="2" t="s">
        <v>45</v>
      </c>
      <c r="C1393" s="2" t="s">
        <v>4085</v>
      </c>
      <c r="D1393" s="2"/>
      <c r="E1393" s="2"/>
      <c r="F1393" s="2"/>
      <c r="G1393" s="2"/>
      <c r="H1393" s="2" t="s">
        <v>668</v>
      </c>
    </row>
    <row r="1394" customFormat="false" ht="15" hidden="false" customHeight="false" outlineLevel="0" collapsed="false">
      <c r="A1394" s="2" t="s">
        <v>384</v>
      </c>
      <c r="B1394" s="2" t="s">
        <v>45</v>
      </c>
      <c r="C1394" s="2" t="s">
        <v>4086</v>
      </c>
      <c r="D1394" s="11" t="n">
        <v>1420030</v>
      </c>
      <c r="E1394" s="31" t="n">
        <v>12.7</v>
      </c>
      <c r="F1394" s="31" t="n">
        <v>64.7</v>
      </c>
      <c r="G1394" s="31" t="n">
        <v>4</v>
      </c>
      <c r="H1394" s="2" t="s">
        <v>671</v>
      </c>
    </row>
    <row r="1395" customFormat="false" ht="15" hidden="false" customHeight="false" outlineLevel="0" collapsed="false">
      <c r="A1395" s="2" t="s">
        <v>384</v>
      </c>
      <c r="B1395" s="2" t="s">
        <v>45</v>
      </c>
      <c r="C1395" s="2" t="s">
        <v>4087</v>
      </c>
      <c r="D1395" s="11" t="n">
        <v>1455873</v>
      </c>
      <c r="E1395" s="31" t="n">
        <v>24.8</v>
      </c>
      <c r="F1395" s="31" t="n">
        <v>50</v>
      </c>
      <c r="G1395" s="31" t="n">
        <v>3</v>
      </c>
      <c r="H1395" s="2" t="s">
        <v>671</v>
      </c>
    </row>
    <row r="1396" customFormat="false" ht="15" hidden="false" customHeight="false" outlineLevel="0" collapsed="false">
      <c r="A1396" s="2" t="s">
        <v>384</v>
      </c>
      <c r="B1396" s="2" t="s">
        <v>46</v>
      </c>
      <c r="C1396" s="2" t="s">
        <v>4085</v>
      </c>
      <c r="D1396" s="11" t="n">
        <v>175144</v>
      </c>
      <c r="E1396" s="31" t="n">
        <v>15.3</v>
      </c>
      <c r="F1396" s="31" t="n">
        <v>88.5</v>
      </c>
      <c r="G1396" s="31" t="n">
        <v>6.2</v>
      </c>
      <c r="H1396" s="2" t="s">
        <v>671</v>
      </c>
    </row>
    <row r="1397" customFormat="false" ht="15" hidden="false" customHeight="false" outlineLevel="0" collapsed="false">
      <c r="A1397" s="2" t="s">
        <v>384</v>
      </c>
      <c r="B1397" s="2" t="s">
        <v>46</v>
      </c>
      <c r="C1397" s="2" t="s">
        <v>4086</v>
      </c>
      <c r="D1397" s="11" t="n">
        <v>173250</v>
      </c>
      <c r="E1397" s="31" t="n">
        <v>13.8</v>
      </c>
      <c r="F1397" s="31" t="n">
        <v>90.4</v>
      </c>
      <c r="G1397" s="31" t="n">
        <v>58.1</v>
      </c>
      <c r="H1397" s="2" t="s">
        <v>671</v>
      </c>
    </row>
    <row r="1398" customFormat="false" ht="15" hidden="false" customHeight="false" outlineLevel="0" collapsed="false">
      <c r="A1398" s="2" t="s">
        <v>384</v>
      </c>
      <c r="B1398" s="2" t="s">
        <v>46</v>
      </c>
      <c r="C1398" s="2" t="s">
        <v>4087</v>
      </c>
      <c r="D1398" s="11" t="n">
        <v>187200</v>
      </c>
      <c r="E1398" s="31" t="n">
        <v>31.9</v>
      </c>
      <c r="F1398" s="31" t="n">
        <v>82.8</v>
      </c>
      <c r="G1398" s="31" t="n">
        <v>14</v>
      </c>
      <c r="H1398" s="2" t="s">
        <v>671</v>
      </c>
    </row>
    <row r="1399" customFormat="false" ht="15" hidden="false" customHeight="false" outlineLevel="0" collapsed="false">
      <c r="A1399" s="2" t="s">
        <v>384</v>
      </c>
      <c r="B1399" s="2" t="s">
        <v>47</v>
      </c>
      <c r="C1399" s="2" t="s">
        <v>4085</v>
      </c>
      <c r="D1399" s="2"/>
      <c r="E1399" s="2"/>
      <c r="F1399" s="2"/>
      <c r="G1399" s="2"/>
      <c r="H1399" s="2" t="s">
        <v>668</v>
      </c>
    </row>
    <row r="1400" customFormat="false" ht="15" hidden="false" customHeight="false" outlineLevel="0" collapsed="false">
      <c r="A1400" s="2" t="s">
        <v>384</v>
      </c>
      <c r="B1400" s="2" t="s">
        <v>47</v>
      </c>
      <c r="C1400" s="2" t="s">
        <v>4086</v>
      </c>
      <c r="D1400" s="11" t="n">
        <v>53223</v>
      </c>
      <c r="E1400" s="31" t="n">
        <v>79.5</v>
      </c>
      <c r="F1400" s="31" t="n">
        <v>13.6</v>
      </c>
      <c r="G1400" s="31" t="n">
        <v>81.2</v>
      </c>
      <c r="H1400" s="2" t="s">
        <v>671</v>
      </c>
    </row>
    <row r="1401" customFormat="false" ht="15" hidden="false" customHeight="false" outlineLevel="0" collapsed="false">
      <c r="A1401" s="2" t="s">
        <v>384</v>
      </c>
      <c r="B1401" s="2" t="s">
        <v>47</v>
      </c>
      <c r="C1401" s="2" t="s">
        <v>4087</v>
      </c>
      <c r="D1401" s="11" t="n">
        <v>55779</v>
      </c>
      <c r="E1401" s="31" t="n">
        <v>88.6</v>
      </c>
      <c r="F1401" s="31" t="n">
        <v>40.1</v>
      </c>
      <c r="G1401" s="31" t="n">
        <v>94.1</v>
      </c>
      <c r="H1401" s="2" t="s">
        <v>671</v>
      </c>
    </row>
    <row r="1402" customFormat="false" ht="15" hidden="false" customHeight="false" outlineLevel="0" collapsed="false">
      <c r="A1402" s="2" t="s">
        <v>796</v>
      </c>
      <c r="B1402" s="2" t="s">
        <v>4104</v>
      </c>
      <c r="C1402" s="2" t="s">
        <v>4085</v>
      </c>
      <c r="D1402" s="2"/>
      <c r="E1402" s="31" t="n">
        <v>62.9</v>
      </c>
      <c r="F1402" s="31" t="n">
        <v>29.2</v>
      </c>
      <c r="G1402" s="31" t="n">
        <v>67.9</v>
      </c>
      <c r="H1402" s="2" t="s">
        <v>671</v>
      </c>
    </row>
    <row r="1403" customFormat="false" ht="15" hidden="false" customHeight="false" outlineLevel="0" collapsed="false">
      <c r="A1403" s="2" t="s">
        <v>796</v>
      </c>
      <c r="B1403" s="2" t="s">
        <v>4104</v>
      </c>
      <c r="C1403" s="2" t="s">
        <v>4086</v>
      </c>
      <c r="D1403" s="2"/>
      <c r="E1403" s="31" t="n">
        <v>65.8</v>
      </c>
      <c r="F1403" s="31" t="n">
        <v>20.8</v>
      </c>
      <c r="G1403" s="31" t="n">
        <v>54.6</v>
      </c>
      <c r="H1403" s="2" t="s">
        <v>668</v>
      </c>
    </row>
    <row r="1404" customFormat="false" ht="15" hidden="false" customHeight="false" outlineLevel="0" collapsed="false">
      <c r="A1404" s="2" t="s">
        <v>796</v>
      </c>
      <c r="B1404" s="2" t="s">
        <v>4104</v>
      </c>
      <c r="C1404" s="2" t="s">
        <v>4087</v>
      </c>
      <c r="D1404" s="2"/>
      <c r="E1404" s="31" t="n">
        <v>83.8</v>
      </c>
      <c r="F1404" s="31" t="n">
        <v>49.6</v>
      </c>
      <c r="G1404" s="31" t="n">
        <v>69.3</v>
      </c>
      <c r="H1404" s="2" t="s">
        <v>668</v>
      </c>
    </row>
    <row r="1405" customFormat="false" ht="15" hidden="false" customHeight="false" outlineLevel="0" collapsed="false">
      <c r="A1405" s="2" t="s">
        <v>796</v>
      </c>
      <c r="B1405" s="2" t="s">
        <v>45</v>
      </c>
      <c r="C1405" s="2" t="s">
        <v>4085</v>
      </c>
      <c r="D1405" s="11" t="n">
        <v>17360</v>
      </c>
      <c r="E1405" s="31" t="n">
        <v>71.7</v>
      </c>
      <c r="F1405" s="31" t="n">
        <v>40.9</v>
      </c>
      <c r="G1405" s="31" t="n">
        <v>43.2</v>
      </c>
      <c r="H1405" s="2" t="s">
        <v>671</v>
      </c>
    </row>
    <row r="1406" customFormat="false" ht="15" hidden="false" customHeight="false" outlineLevel="0" collapsed="false">
      <c r="A1406" s="2" t="s">
        <v>796</v>
      </c>
      <c r="B1406" s="2" t="s">
        <v>45</v>
      </c>
      <c r="C1406" s="2" t="s">
        <v>4086</v>
      </c>
      <c r="D1406" s="11" t="n">
        <v>17150</v>
      </c>
      <c r="E1406" s="31" t="n">
        <v>81.3</v>
      </c>
      <c r="F1406" s="31" t="n">
        <v>22</v>
      </c>
      <c r="G1406" s="31" t="n">
        <v>31</v>
      </c>
      <c r="H1406" s="2" t="s">
        <v>671</v>
      </c>
    </row>
    <row r="1407" customFormat="false" ht="15" hidden="false" customHeight="false" outlineLevel="0" collapsed="false">
      <c r="A1407" s="2" t="s">
        <v>796</v>
      </c>
      <c r="B1407" s="2" t="s">
        <v>45</v>
      </c>
      <c r="C1407" s="2" t="s">
        <v>4087</v>
      </c>
      <c r="D1407" s="11" t="n">
        <v>17320</v>
      </c>
      <c r="E1407" s="31" t="n">
        <v>83.8</v>
      </c>
      <c r="F1407" s="31" t="n">
        <v>49.6</v>
      </c>
      <c r="G1407" s="31" t="n">
        <v>69.3</v>
      </c>
      <c r="H1407" s="2" t="s">
        <v>671</v>
      </c>
    </row>
    <row r="1408" customFormat="false" ht="15" hidden="false" customHeight="false" outlineLevel="0" collapsed="false">
      <c r="A1408" s="2" t="s">
        <v>796</v>
      </c>
      <c r="B1408" s="2" t="s">
        <v>46</v>
      </c>
      <c r="C1408" s="2" t="s">
        <v>4085</v>
      </c>
      <c r="D1408" s="11" t="n">
        <v>19515</v>
      </c>
      <c r="E1408" s="31" t="n">
        <v>38.9</v>
      </c>
      <c r="F1408" s="31" t="n">
        <v>31.8</v>
      </c>
      <c r="G1408" s="31" t="n">
        <v>92.5</v>
      </c>
      <c r="H1408" s="2" t="s">
        <v>671</v>
      </c>
    </row>
    <row r="1409" customFormat="false" ht="15" hidden="false" customHeight="false" outlineLevel="0" collapsed="false">
      <c r="A1409" s="2" t="s">
        <v>796</v>
      </c>
      <c r="B1409" s="2" t="s">
        <v>46</v>
      </c>
      <c r="C1409" s="2" t="s">
        <v>4086</v>
      </c>
      <c r="D1409" s="11" t="n">
        <v>19830</v>
      </c>
      <c r="E1409" s="31" t="n">
        <v>31.2</v>
      </c>
      <c r="F1409" s="31" t="n">
        <v>29.1</v>
      </c>
      <c r="G1409" s="2"/>
      <c r="H1409" s="2" t="s">
        <v>668</v>
      </c>
    </row>
    <row r="1410" customFormat="false" ht="15" hidden="false" customHeight="false" outlineLevel="0" collapsed="false">
      <c r="A1410" s="2" t="s">
        <v>796</v>
      </c>
      <c r="B1410" s="2" t="s">
        <v>46</v>
      </c>
      <c r="C1410" s="2" t="s">
        <v>4087</v>
      </c>
      <c r="D1410" s="2"/>
      <c r="E1410" s="2"/>
      <c r="F1410" s="2"/>
      <c r="G1410" s="2"/>
      <c r="H1410" s="2" t="s">
        <v>668</v>
      </c>
    </row>
    <row r="1411" customFormat="false" ht="15" hidden="false" customHeight="false" outlineLevel="0" collapsed="false">
      <c r="A1411" s="2" t="s">
        <v>796</v>
      </c>
      <c r="B1411" s="2" t="s">
        <v>47</v>
      </c>
      <c r="C1411" s="2" t="s">
        <v>4085</v>
      </c>
      <c r="D1411" s="11" t="n">
        <v>334186</v>
      </c>
      <c r="E1411" s="31" t="n">
        <v>78</v>
      </c>
      <c r="F1411" s="31" t="n">
        <v>14.8</v>
      </c>
      <c r="G1411" s="31" t="n">
        <v>67.9</v>
      </c>
      <c r="H1411" s="2" t="s">
        <v>671</v>
      </c>
    </row>
    <row r="1412" customFormat="false" ht="15" hidden="false" customHeight="false" outlineLevel="0" collapsed="false">
      <c r="A1412" s="2" t="s">
        <v>796</v>
      </c>
      <c r="B1412" s="2" t="s">
        <v>47</v>
      </c>
      <c r="C1412" s="2" t="s">
        <v>4086</v>
      </c>
      <c r="D1412" s="11" t="n">
        <v>333180</v>
      </c>
      <c r="E1412" s="31" t="n">
        <v>84.8</v>
      </c>
      <c r="F1412" s="31" t="n">
        <v>11.2</v>
      </c>
      <c r="G1412" s="31" t="n">
        <v>78.1</v>
      </c>
      <c r="H1412" s="2" t="s">
        <v>671</v>
      </c>
    </row>
    <row r="1413" customFormat="false" ht="15" hidden="false" customHeight="false" outlineLevel="0" collapsed="false">
      <c r="A1413" s="2" t="s">
        <v>796</v>
      </c>
      <c r="B1413" s="2" t="s">
        <v>47</v>
      </c>
      <c r="C1413" s="2" t="s">
        <v>4087</v>
      </c>
      <c r="D1413" s="2"/>
      <c r="E1413" s="2"/>
      <c r="F1413" s="2"/>
      <c r="G1413" s="2"/>
      <c r="H1413" s="2" t="s">
        <v>668</v>
      </c>
    </row>
    <row r="1414" customFormat="false" ht="15" hidden="false" customHeight="false" outlineLevel="0" collapsed="false">
      <c r="A1414" s="2" t="s">
        <v>332</v>
      </c>
      <c r="B1414" s="2" t="s">
        <v>4104</v>
      </c>
      <c r="C1414" s="2" t="s">
        <v>4085</v>
      </c>
      <c r="D1414" s="2"/>
      <c r="E1414" s="31" t="n">
        <v>33.4</v>
      </c>
      <c r="F1414" s="31" t="n">
        <v>73.4</v>
      </c>
      <c r="G1414" s="31" t="n">
        <v>56.2</v>
      </c>
      <c r="H1414" s="2" t="s">
        <v>668</v>
      </c>
    </row>
    <row r="1415" customFormat="false" ht="15" hidden="false" customHeight="false" outlineLevel="0" collapsed="false">
      <c r="A1415" s="2" t="s">
        <v>332</v>
      </c>
      <c r="B1415" s="2" t="s">
        <v>4104</v>
      </c>
      <c r="C1415" s="2" t="s">
        <v>4086</v>
      </c>
      <c r="D1415" s="2"/>
      <c r="E1415" s="31" t="n">
        <v>77.4</v>
      </c>
      <c r="F1415" s="31" t="n">
        <v>60.8</v>
      </c>
      <c r="G1415" s="31" t="n">
        <v>79.4</v>
      </c>
      <c r="H1415" s="2" t="s">
        <v>668</v>
      </c>
    </row>
    <row r="1416" customFormat="false" ht="15" hidden="false" customHeight="false" outlineLevel="0" collapsed="false">
      <c r="A1416" s="2" t="s">
        <v>332</v>
      </c>
      <c r="B1416" s="2" t="s">
        <v>4104</v>
      </c>
      <c r="C1416" s="2" t="s">
        <v>4087</v>
      </c>
      <c r="D1416" s="2"/>
      <c r="E1416" s="31" t="n">
        <v>54.7</v>
      </c>
      <c r="F1416" s="31" t="n">
        <v>64.9</v>
      </c>
      <c r="G1416" s="31" t="n">
        <v>61</v>
      </c>
      <c r="H1416" s="2" t="s">
        <v>671</v>
      </c>
    </row>
    <row r="1417" customFormat="false" ht="15" hidden="false" customHeight="false" outlineLevel="0" collapsed="false">
      <c r="A1417" s="2" t="s">
        <v>332</v>
      </c>
      <c r="B1417" s="2" t="s">
        <v>45</v>
      </c>
      <c r="C1417" s="2" t="s">
        <v>4085</v>
      </c>
      <c r="D1417" s="11" t="n">
        <v>211057</v>
      </c>
      <c r="E1417" s="31" t="n">
        <v>43.6</v>
      </c>
      <c r="F1417" s="31" t="n">
        <v>62.3</v>
      </c>
      <c r="G1417" s="31" t="n">
        <v>72.2</v>
      </c>
      <c r="H1417" s="2" t="s">
        <v>671</v>
      </c>
    </row>
    <row r="1418" customFormat="false" ht="15" hidden="false" customHeight="false" outlineLevel="0" collapsed="false">
      <c r="A1418" s="2" t="s">
        <v>332</v>
      </c>
      <c r="B1418" s="2" t="s">
        <v>45</v>
      </c>
      <c r="C1418" s="2" t="s">
        <v>4086</v>
      </c>
      <c r="D1418" s="11" t="n">
        <v>217030</v>
      </c>
      <c r="E1418" s="2"/>
      <c r="F1418" s="31" t="n">
        <v>35.7</v>
      </c>
      <c r="G1418" s="31" t="n">
        <v>70.2</v>
      </c>
      <c r="H1418" s="2" t="s">
        <v>668</v>
      </c>
    </row>
    <row r="1419" customFormat="false" ht="15" hidden="false" customHeight="false" outlineLevel="0" collapsed="false">
      <c r="A1419" s="2" t="s">
        <v>332</v>
      </c>
      <c r="B1419" s="2" t="s">
        <v>45</v>
      </c>
      <c r="C1419" s="2" t="s">
        <v>4087</v>
      </c>
      <c r="D1419" s="11" t="n">
        <v>234802</v>
      </c>
      <c r="E1419" s="31" t="n">
        <v>53.8</v>
      </c>
      <c r="F1419" s="31" t="n">
        <v>28.3</v>
      </c>
      <c r="G1419" s="31" t="n">
        <v>75.7</v>
      </c>
      <c r="H1419" s="2" t="s">
        <v>671</v>
      </c>
    </row>
    <row r="1420" customFormat="false" ht="15" hidden="false" customHeight="false" outlineLevel="0" collapsed="false">
      <c r="A1420" s="2" t="s">
        <v>332</v>
      </c>
      <c r="B1420" s="2" t="s">
        <v>46</v>
      </c>
      <c r="C1420" s="2" t="s">
        <v>4085</v>
      </c>
      <c r="D1420" s="11" t="n">
        <v>9970</v>
      </c>
      <c r="E1420" s="31" t="n">
        <v>28.2</v>
      </c>
      <c r="F1420" s="31" t="n">
        <v>91.2</v>
      </c>
      <c r="G1420" s="2"/>
      <c r="H1420" s="2" t="s">
        <v>668</v>
      </c>
    </row>
    <row r="1421" customFormat="false" ht="15" hidden="false" customHeight="false" outlineLevel="0" collapsed="false">
      <c r="A1421" s="2" t="s">
        <v>332</v>
      </c>
      <c r="B1421" s="2" t="s">
        <v>46</v>
      </c>
      <c r="C1421" s="2" t="s">
        <v>4086</v>
      </c>
      <c r="D1421" s="2"/>
      <c r="E1421" s="2"/>
      <c r="F1421" s="2"/>
      <c r="G1421" s="2"/>
      <c r="H1421" s="2" t="s">
        <v>668</v>
      </c>
    </row>
    <row r="1422" customFormat="false" ht="15" hidden="false" customHeight="false" outlineLevel="0" collapsed="false">
      <c r="A1422" s="2" t="s">
        <v>332</v>
      </c>
      <c r="B1422" s="2" t="s">
        <v>46</v>
      </c>
      <c r="C1422" s="2" t="s">
        <v>4087</v>
      </c>
      <c r="D1422" s="11" t="n">
        <v>11190</v>
      </c>
      <c r="E1422" s="31" t="n">
        <v>41.6</v>
      </c>
      <c r="F1422" s="31" t="n">
        <v>82.6</v>
      </c>
      <c r="G1422" s="31" t="n">
        <v>27.7</v>
      </c>
      <c r="H1422" s="2" t="s">
        <v>671</v>
      </c>
    </row>
    <row r="1423" customFormat="false" ht="15" hidden="false" customHeight="false" outlineLevel="0" collapsed="false">
      <c r="A1423" s="2" t="s">
        <v>332</v>
      </c>
      <c r="B1423" s="2" t="s">
        <v>47</v>
      </c>
      <c r="C1423" s="2" t="s">
        <v>4085</v>
      </c>
      <c r="D1423" s="11" t="n">
        <v>9778</v>
      </c>
      <c r="E1423" s="31" t="n">
        <v>28.5</v>
      </c>
      <c r="F1423" s="31" t="n">
        <v>66.7</v>
      </c>
      <c r="G1423" s="31" t="n">
        <v>40.2</v>
      </c>
      <c r="H1423" s="2" t="s">
        <v>671</v>
      </c>
    </row>
    <row r="1424" customFormat="false" ht="15" hidden="false" customHeight="false" outlineLevel="0" collapsed="false">
      <c r="A1424" s="2" t="s">
        <v>332</v>
      </c>
      <c r="B1424" s="2" t="s">
        <v>47</v>
      </c>
      <c r="C1424" s="2" t="s">
        <v>4086</v>
      </c>
      <c r="D1424" s="11" t="n">
        <v>10520</v>
      </c>
      <c r="E1424" s="31" t="n">
        <v>77.4</v>
      </c>
      <c r="F1424" s="31" t="n">
        <v>86</v>
      </c>
      <c r="G1424" s="31" t="n">
        <v>88.7</v>
      </c>
      <c r="H1424" s="2" t="s">
        <v>671</v>
      </c>
    </row>
    <row r="1425" customFormat="false" ht="15" hidden="false" customHeight="false" outlineLevel="0" collapsed="false">
      <c r="A1425" s="2" t="s">
        <v>332</v>
      </c>
      <c r="B1425" s="2" t="s">
        <v>47</v>
      </c>
      <c r="C1425" s="2" t="s">
        <v>4087</v>
      </c>
      <c r="D1425" s="11" t="n">
        <v>11123</v>
      </c>
      <c r="E1425" s="31" t="n">
        <v>68.6</v>
      </c>
      <c r="F1425" s="31" t="n">
        <v>83.7</v>
      </c>
      <c r="G1425" s="31" t="n">
        <v>79.6</v>
      </c>
      <c r="H1425" s="2" t="s">
        <v>671</v>
      </c>
    </row>
    <row r="1426" customFormat="false" ht="15" hidden="false" customHeight="false" outlineLevel="0" collapsed="false">
      <c r="A1426" s="2" t="s">
        <v>512</v>
      </c>
      <c r="B1426" s="2" t="s">
        <v>4104</v>
      </c>
      <c r="C1426" s="2" t="s">
        <v>4085</v>
      </c>
      <c r="D1426" s="2"/>
      <c r="E1426" s="31" t="n">
        <v>32.2</v>
      </c>
      <c r="F1426" s="31" t="n">
        <v>55.5</v>
      </c>
      <c r="G1426" s="2"/>
      <c r="H1426" s="2" t="s">
        <v>671</v>
      </c>
    </row>
    <row r="1427" customFormat="false" ht="15" hidden="false" customHeight="false" outlineLevel="0" collapsed="false">
      <c r="A1427" s="2" t="s">
        <v>512</v>
      </c>
      <c r="B1427" s="2" t="s">
        <v>4104</v>
      </c>
      <c r="C1427" s="2" t="s">
        <v>4086</v>
      </c>
      <c r="D1427" s="2"/>
      <c r="E1427" s="31" t="n">
        <v>48.8</v>
      </c>
      <c r="F1427" s="31" t="n">
        <v>24.4</v>
      </c>
      <c r="G1427" s="2"/>
      <c r="H1427" s="2" t="s">
        <v>671</v>
      </c>
    </row>
    <row r="1428" customFormat="false" ht="15" hidden="false" customHeight="false" outlineLevel="0" collapsed="false">
      <c r="A1428" s="2" t="s">
        <v>512</v>
      </c>
      <c r="B1428" s="2" t="s">
        <v>4104</v>
      </c>
      <c r="C1428" s="2" t="s">
        <v>4087</v>
      </c>
      <c r="D1428" s="2"/>
      <c r="E1428" s="31" t="n">
        <v>34.2</v>
      </c>
      <c r="F1428" s="31" t="n">
        <v>33.3</v>
      </c>
      <c r="G1428" s="2"/>
      <c r="H1428" s="2" t="s">
        <v>671</v>
      </c>
    </row>
    <row r="1429" customFormat="false" ht="15" hidden="false" customHeight="false" outlineLevel="0" collapsed="false">
      <c r="A1429" s="2" t="s">
        <v>512</v>
      </c>
      <c r="B1429" s="2" t="s">
        <v>45</v>
      </c>
      <c r="C1429" s="2" t="s">
        <v>4085</v>
      </c>
      <c r="D1429" s="11" t="n">
        <v>85990</v>
      </c>
      <c r="E1429" s="31" t="n">
        <v>32.2</v>
      </c>
      <c r="F1429" s="31" t="n">
        <v>55.5</v>
      </c>
      <c r="G1429" s="2"/>
      <c r="H1429" s="2" t="s">
        <v>671</v>
      </c>
    </row>
    <row r="1430" customFormat="false" ht="15" hidden="false" customHeight="false" outlineLevel="0" collapsed="false">
      <c r="A1430" s="2" t="s">
        <v>512</v>
      </c>
      <c r="B1430" s="2" t="s">
        <v>45</v>
      </c>
      <c r="C1430" s="2" t="s">
        <v>4086</v>
      </c>
      <c r="D1430" s="11" t="n">
        <v>86110</v>
      </c>
      <c r="E1430" s="31" t="n">
        <v>48.8</v>
      </c>
      <c r="F1430" s="31" t="n">
        <v>24.4</v>
      </c>
      <c r="G1430" s="2"/>
      <c r="H1430" s="2" t="s">
        <v>671</v>
      </c>
    </row>
    <row r="1431" customFormat="false" ht="15" hidden="false" customHeight="false" outlineLevel="0" collapsed="false">
      <c r="A1431" s="2" t="s">
        <v>512</v>
      </c>
      <c r="B1431" s="2" t="s">
        <v>45</v>
      </c>
      <c r="C1431" s="2" t="s">
        <v>4087</v>
      </c>
      <c r="D1431" s="11" t="n">
        <v>88908</v>
      </c>
      <c r="E1431" s="31" t="n">
        <v>34.2</v>
      </c>
      <c r="F1431" s="31" t="n">
        <v>33.3</v>
      </c>
      <c r="G1431" s="2"/>
      <c r="H1431" s="2" t="s">
        <v>671</v>
      </c>
    </row>
    <row r="1432" customFormat="false" ht="15" hidden="false" customHeight="false" outlineLevel="0" collapsed="false">
      <c r="A1432" s="2" t="s">
        <v>526</v>
      </c>
      <c r="B1432" s="2" t="s">
        <v>4104</v>
      </c>
      <c r="C1432" s="2" t="s">
        <v>4085</v>
      </c>
      <c r="D1432" s="2"/>
      <c r="E1432" s="31" t="n">
        <v>36.7</v>
      </c>
      <c r="F1432" s="31" t="n">
        <v>13.3</v>
      </c>
      <c r="G1432" s="31" t="n">
        <v>88.4</v>
      </c>
      <c r="H1432" s="2" t="s">
        <v>668</v>
      </c>
    </row>
    <row r="1433" customFormat="false" ht="15" hidden="false" customHeight="false" outlineLevel="0" collapsed="false">
      <c r="A1433" s="2" t="s">
        <v>526</v>
      </c>
      <c r="B1433" s="2" t="s">
        <v>4104</v>
      </c>
      <c r="C1433" s="2" t="s">
        <v>4086</v>
      </c>
      <c r="D1433" s="2"/>
      <c r="E1433" s="31" t="n">
        <v>37.2</v>
      </c>
      <c r="F1433" s="31" t="n">
        <v>27.1</v>
      </c>
      <c r="G1433" s="31" t="n">
        <v>38</v>
      </c>
      <c r="H1433" s="2" t="s">
        <v>671</v>
      </c>
    </row>
    <row r="1434" customFormat="false" ht="15" hidden="false" customHeight="false" outlineLevel="0" collapsed="false">
      <c r="A1434" s="2" t="s">
        <v>526</v>
      </c>
      <c r="B1434" s="2" t="s">
        <v>4104</v>
      </c>
      <c r="C1434" s="2" t="s">
        <v>4087</v>
      </c>
      <c r="D1434" s="2"/>
      <c r="E1434" s="31" t="n">
        <v>32.4</v>
      </c>
      <c r="F1434" s="31" t="n">
        <v>35.2</v>
      </c>
      <c r="G1434" s="31" t="n">
        <v>51.8</v>
      </c>
      <c r="H1434" s="2" t="s">
        <v>671</v>
      </c>
    </row>
    <row r="1435" customFormat="false" ht="15" hidden="false" customHeight="false" outlineLevel="0" collapsed="false">
      <c r="A1435" s="2" t="s">
        <v>526</v>
      </c>
      <c r="B1435" s="2" t="s">
        <v>45</v>
      </c>
      <c r="C1435" s="2" t="s">
        <v>4085</v>
      </c>
      <c r="D1435" s="2"/>
      <c r="E1435" s="2"/>
      <c r="F1435" s="2"/>
      <c r="G1435" s="2"/>
      <c r="H1435" s="2" t="s">
        <v>668</v>
      </c>
    </row>
    <row r="1436" customFormat="false" ht="15" hidden="false" customHeight="false" outlineLevel="0" collapsed="false">
      <c r="A1436" s="2" t="s">
        <v>526</v>
      </c>
      <c r="B1436" s="2" t="s">
        <v>45</v>
      </c>
      <c r="C1436" s="2" t="s">
        <v>4086</v>
      </c>
      <c r="D1436" s="11" t="n">
        <v>64690</v>
      </c>
      <c r="E1436" s="31" t="n">
        <v>20</v>
      </c>
      <c r="F1436" s="31" t="n">
        <v>46.7</v>
      </c>
      <c r="G1436" s="31" t="n">
        <v>21.2</v>
      </c>
      <c r="H1436" s="2" t="s">
        <v>671</v>
      </c>
    </row>
    <row r="1437" customFormat="false" ht="15" hidden="false" customHeight="false" outlineLevel="0" collapsed="false">
      <c r="A1437" s="2" t="s">
        <v>526</v>
      </c>
      <c r="B1437" s="2" t="s">
        <v>45</v>
      </c>
      <c r="C1437" s="2" t="s">
        <v>4087</v>
      </c>
      <c r="D1437" s="11" t="n">
        <v>67473</v>
      </c>
      <c r="E1437" s="31" t="n">
        <v>19.7</v>
      </c>
      <c r="F1437" s="31" t="n">
        <v>45.2</v>
      </c>
      <c r="G1437" s="31" t="n">
        <v>41.7</v>
      </c>
      <c r="H1437" s="2" t="s">
        <v>671</v>
      </c>
    </row>
    <row r="1438" customFormat="false" ht="15" hidden="false" customHeight="false" outlineLevel="0" collapsed="false">
      <c r="A1438" s="2" t="s">
        <v>526</v>
      </c>
      <c r="B1438" s="2" t="s">
        <v>47</v>
      </c>
      <c r="C1438" s="2" t="s">
        <v>4085</v>
      </c>
      <c r="D1438" s="11" t="n">
        <v>9416</v>
      </c>
      <c r="E1438" s="31" t="n">
        <v>36.7</v>
      </c>
      <c r="F1438" s="31" t="n">
        <v>13.3</v>
      </c>
      <c r="G1438" s="31" t="n">
        <v>88.4</v>
      </c>
      <c r="H1438" s="2" t="s">
        <v>671</v>
      </c>
    </row>
    <row r="1439" customFormat="false" ht="15" hidden="false" customHeight="false" outlineLevel="0" collapsed="false">
      <c r="A1439" s="2" t="s">
        <v>526</v>
      </c>
      <c r="B1439" s="2" t="s">
        <v>47</v>
      </c>
      <c r="C1439" s="2" t="s">
        <v>4086</v>
      </c>
      <c r="D1439" s="11" t="n">
        <v>9051</v>
      </c>
      <c r="E1439" s="31" t="n">
        <v>54.3</v>
      </c>
      <c r="F1439" s="31" t="n">
        <v>7.5</v>
      </c>
      <c r="G1439" s="31" t="n">
        <v>54.7</v>
      </c>
      <c r="H1439" s="2" t="s">
        <v>671</v>
      </c>
    </row>
    <row r="1440" customFormat="false" ht="15" hidden="false" customHeight="false" outlineLevel="0" collapsed="false">
      <c r="A1440" s="2" t="s">
        <v>526</v>
      </c>
      <c r="B1440" s="2" t="s">
        <v>47</v>
      </c>
      <c r="C1440" s="2" t="s">
        <v>4087</v>
      </c>
      <c r="D1440" s="11" t="n">
        <v>8837</v>
      </c>
      <c r="E1440" s="31" t="n">
        <v>45.2</v>
      </c>
      <c r="F1440" s="31" t="n">
        <v>25.3</v>
      </c>
      <c r="G1440" s="31" t="n">
        <v>61.9</v>
      </c>
      <c r="H1440" s="2" t="s">
        <v>671</v>
      </c>
    </row>
    <row r="1441" customFormat="false" ht="15" hidden="false" customHeight="false" outlineLevel="0" collapsed="false">
      <c r="A1441" s="2" t="s">
        <v>761</v>
      </c>
      <c r="B1441" s="2" t="s">
        <v>4104</v>
      </c>
      <c r="C1441" s="2" t="s">
        <v>4085</v>
      </c>
      <c r="D1441" s="2"/>
      <c r="E1441" s="31" t="n">
        <v>63.3</v>
      </c>
      <c r="F1441" s="31" t="n">
        <v>84.4</v>
      </c>
      <c r="G1441" s="31" t="n">
        <v>43</v>
      </c>
      <c r="H1441" s="2" t="s">
        <v>668</v>
      </c>
    </row>
    <row r="1442" customFormat="false" ht="15" hidden="false" customHeight="false" outlineLevel="0" collapsed="false">
      <c r="A1442" s="2" t="s">
        <v>761</v>
      </c>
      <c r="B1442" s="2" t="s">
        <v>4104</v>
      </c>
      <c r="C1442" s="2" t="s">
        <v>4086</v>
      </c>
      <c r="D1442" s="2"/>
      <c r="E1442" s="31" t="n">
        <v>64</v>
      </c>
      <c r="F1442" s="31" t="n">
        <v>74.3</v>
      </c>
      <c r="G1442" s="31" t="n">
        <v>41.2</v>
      </c>
      <c r="H1442" s="2" t="s">
        <v>668</v>
      </c>
    </row>
    <row r="1443" customFormat="false" ht="15" hidden="false" customHeight="false" outlineLevel="0" collapsed="false">
      <c r="A1443" s="2" t="s">
        <v>761</v>
      </c>
      <c r="B1443" s="2" t="s">
        <v>4104</v>
      </c>
      <c r="C1443" s="2" t="s">
        <v>4087</v>
      </c>
      <c r="D1443" s="2"/>
      <c r="E1443" s="31" t="n">
        <v>72.9</v>
      </c>
      <c r="F1443" s="31" t="n">
        <v>44.6</v>
      </c>
      <c r="G1443" s="31" t="n">
        <v>45.9</v>
      </c>
      <c r="H1443" s="2" t="s">
        <v>668</v>
      </c>
    </row>
    <row r="1444" customFormat="false" ht="15" hidden="false" customHeight="false" outlineLevel="0" collapsed="false">
      <c r="A1444" s="2" t="s">
        <v>761</v>
      </c>
      <c r="B1444" s="2" t="s">
        <v>45</v>
      </c>
      <c r="C1444" s="2" t="s">
        <v>4085</v>
      </c>
      <c r="D1444" s="11" t="n">
        <v>82090</v>
      </c>
      <c r="E1444" s="31" t="n">
        <v>91.2</v>
      </c>
      <c r="F1444" s="2"/>
      <c r="G1444" s="2"/>
      <c r="H1444" s="2" t="s">
        <v>668</v>
      </c>
    </row>
    <row r="1445" customFormat="false" ht="15" hidden="false" customHeight="false" outlineLevel="0" collapsed="false">
      <c r="A1445" s="2" t="s">
        <v>761</v>
      </c>
      <c r="B1445" s="2" t="s">
        <v>45</v>
      </c>
      <c r="C1445" s="2" t="s">
        <v>4086</v>
      </c>
      <c r="D1445" s="11" t="n">
        <v>84833</v>
      </c>
      <c r="E1445" s="31" t="n">
        <v>90.4</v>
      </c>
      <c r="F1445" s="31" t="n">
        <v>54</v>
      </c>
      <c r="G1445" s="2"/>
      <c r="H1445" s="2" t="s">
        <v>671</v>
      </c>
    </row>
    <row r="1446" customFormat="false" ht="15" hidden="false" customHeight="false" outlineLevel="0" collapsed="false">
      <c r="A1446" s="2" t="s">
        <v>761</v>
      </c>
      <c r="B1446" s="2" t="s">
        <v>45</v>
      </c>
      <c r="C1446" s="2" t="s">
        <v>4087</v>
      </c>
      <c r="D1446" s="11" t="n">
        <v>89770</v>
      </c>
      <c r="E1446" s="31" t="n">
        <v>88.5</v>
      </c>
      <c r="F1446" s="31" t="n">
        <v>29.8</v>
      </c>
      <c r="G1446" s="2"/>
      <c r="H1446" s="2" t="s">
        <v>671</v>
      </c>
    </row>
    <row r="1447" customFormat="false" ht="15" hidden="false" customHeight="false" outlineLevel="0" collapsed="false">
      <c r="A1447" s="2" t="s">
        <v>761</v>
      </c>
      <c r="B1447" s="2" t="s">
        <v>46</v>
      </c>
      <c r="C1447" s="2" t="s">
        <v>4085</v>
      </c>
      <c r="D1447" s="11" t="n">
        <v>24550</v>
      </c>
      <c r="E1447" s="31" t="n">
        <v>42.7</v>
      </c>
      <c r="F1447" s="31" t="n">
        <v>69.3</v>
      </c>
      <c r="G1447" s="31" t="n">
        <v>35.4</v>
      </c>
      <c r="H1447" s="2" t="s">
        <v>671</v>
      </c>
    </row>
    <row r="1448" customFormat="false" ht="15" hidden="false" customHeight="false" outlineLevel="0" collapsed="false">
      <c r="A1448" s="2" t="s">
        <v>761</v>
      </c>
      <c r="B1448" s="2" t="s">
        <v>46</v>
      </c>
      <c r="C1448" s="2" t="s">
        <v>4086</v>
      </c>
      <c r="D1448" s="11" t="n">
        <v>25380</v>
      </c>
      <c r="E1448" s="2"/>
      <c r="F1448" s="31" t="n">
        <v>69.5</v>
      </c>
      <c r="G1448" s="31" t="n">
        <v>23.8</v>
      </c>
      <c r="H1448" s="2" t="s">
        <v>668</v>
      </c>
    </row>
    <row r="1449" customFormat="false" ht="15" hidden="false" customHeight="false" outlineLevel="0" collapsed="false">
      <c r="A1449" s="2" t="s">
        <v>761</v>
      </c>
      <c r="B1449" s="2" t="s">
        <v>46</v>
      </c>
      <c r="C1449" s="2" t="s">
        <v>4087</v>
      </c>
      <c r="D1449" s="11" t="n">
        <v>26480</v>
      </c>
      <c r="E1449" s="31" t="n">
        <v>57.3</v>
      </c>
      <c r="F1449" s="31" t="n">
        <v>59.3</v>
      </c>
      <c r="G1449" s="31" t="n">
        <v>45.9</v>
      </c>
      <c r="H1449" s="2" t="s">
        <v>671</v>
      </c>
    </row>
    <row r="1450" customFormat="false" ht="15" hidden="false" customHeight="false" outlineLevel="0" collapsed="false">
      <c r="A1450" s="2" t="s">
        <v>761</v>
      </c>
      <c r="B1450" s="2" t="s">
        <v>47</v>
      </c>
      <c r="C1450" s="2" t="s">
        <v>4085</v>
      </c>
      <c r="D1450" s="11" t="n">
        <v>192744</v>
      </c>
      <c r="E1450" s="31" t="n">
        <v>55.9</v>
      </c>
      <c r="F1450" s="31" t="n">
        <v>99.4</v>
      </c>
      <c r="G1450" s="31" t="n">
        <v>50.6</v>
      </c>
      <c r="H1450" s="2" t="s">
        <v>671</v>
      </c>
    </row>
    <row r="1451" customFormat="false" ht="15" hidden="false" customHeight="false" outlineLevel="0" collapsed="false">
      <c r="A1451" s="2" t="s">
        <v>761</v>
      </c>
      <c r="B1451" s="2" t="s">
        <v>47</v>
      </c>
      <c r="C1451" s="2" t="s">
        <v>4086</v>
      </c>
      <c r="D1451" s="11" t="n">
        <v>207730</v>
      </c>
      <c r="E1451" s="31" t="n">
        <v>37.6</v>
      </c>
      <c r="F1451" s="31" t="n">
        <v>99.4</v>
      </c>
      <c r="G1451" s="31" t="n">
        <v>58.6</v>
      </c>
      <c r="H1451" s="2" t="s">
        <v>671</v>
      </c>
    </row>
    <row r="1452" customFormat="false" ht="15" hidden="false" customHeight="false" outlineLevel="0" collapsed="false">
      <c r="A1452" s="2" t="s">
        <v>761</v>
      </c>
      <c r="B1452" s="2" t="s">
        <v>47</v>
      </c>
      <c r="C1452" s="2" t="s">
        <v>4087</v>
      </c>
      <c r="D1452" s="2"/>
      <c r="E1452" s="2"/>
      <c r="F1452" s="2"/>
      <c r="G1452" s="2"/>
      <c r="H1452" s="2" t="s">
        <v>668</v>
      </c>
    </row>
    <row r="1453" customFormat="false" ht="15" hidden="false" customHeight="false" outlineLevel="0" collapsed="false">
      <c r="A1453" s="2" t="s">
        <v>598</v>
      </c>
      <c r="B1453" s="2" t="s">
        <v>4104</v>
      </c>
      <c r="C1453" s="2" t="s">
        <v>4085</v>
      </c>
      <c r="D1453" s="2"/>
      <c r="E1453" s="31" t="n">
        <v>14</v>
      </c>
      <c r="F1453" s="31" t="n">
        <v>80.2</v>
      </c>
      <c r="G1453" s="31" t="n">
        <v>3</v>
      </c>
      <c r="H1453" s="2" t="s">
        <v>668</v>
      </c>
    </row>
    <row r="1454" customFormat="false" ht="15" hidden="false" customHeight="false" outlineLevel="0" collapsed="false">
      <c r="A1454" s="2" t="s">
        <v>598</v>
      </c>
      <c r="B1454" s="2" t="s">
        <v>4104</v>
      </c>
      <c r="C1454" s="2" t="s">
        <v>4086</v>
      </c>
      <c r="D1454" s="2"/>
      <c r="E1454" s="31" t="n">
        <v>19.3</v>
      </c>
      <c r="F1454" s="31" t="n">
        <v>82</v>
      </c>
      <c r="G1454" s="31" t="n">
        <v>19.8</v>
      </c>
      <c r="H1454" s="2" t="s">
        <v>671</v>
      </c>
    </row>
    <row r="1455" customFormat="false" ht="15" hidden="false" customHeight="false" outlineLevel="0" collapsed="false">
      <c r="A1455" s="2" t="s">
        <v>598</v>
      </c>
      <c r="B1455" s="2" t="s">
        <v>4104</v>
      </c>
      <c r="C1455" s="2" t="s">
        <v>4087</v>
      </c>
      <c r="D1455" s="2"/>
      <c r="E1455" s="31" t="n">
        <v>20.8</v>
      </c>
      <c r="F1455" s="31" t="n">
        <v>64.8</v>
      </c>
      <c r="G1455" s="31" t="n">
        <v>30.3</v>
      </c>
      <c r="H1455" s="2" t="s">
        <v>671</v>
      </c>
    </row>
    <row r="1456" customFormat="false" ht="15" hidden="false" customHeight="false" outlineLevel="0" collapsed="false">
      <c r="A1456" s="2" t="s">
        <v>598</v>
      </c>
      <c r="B1456" s="2" t="s">
        <v>45</v>
      </c>
      <c r="C1456" s="2" t="s">
        <v>4085</v>
      </c>
      <c r="D1456" s="11" t="n">
        <v>29180</v>
      </c>
      <c r="E1456" s="31" t="n">
        <v>12.5</v>
      </c>
      <c r="F1456" s="2"/>
      <c r="G1456" s="31" t="n">
        <v>2.2</v>
      </c>
      <c r="H1456" s="2" t="s">
        <v>668</v>
      </c>
    </row>
    <row r="1457" customFormat="false" ht="15" hidden="false" customHeight="false" outlineLevel="0" collapsed="false">
      <c r="A1457" s="2" t="s">
        <v>598</v>
      </c>
      <c r="B1457" s="2" t="s">
        <v>45</v>
      </c>
      <c r="C1457" s="2" t="s">
        <v>4086</v>
      </c>
      <c r="D1457" s="11" t="n">
        <v>29430</v>
      </c>
      <c r="E1457" s="31" t="n">
        <v>8.7</v>
      </c>
      <c r="F1457" s="31" t="n">
        <v>66</v>
      </c>
      <c r="G1457" s="31" t="n">
        <v>3.5</v>
      </c>
      <c r="H1457" s="2" t="s">
        <v>671</v>
      </c>
    </row>
    <row r="1458" customFormat="false" ht="15" hidden="false" customHeight="false" outlineLevel="0" collapsed="false">
      <c r="A1458" s="2" t="s">
        <v>598</v>
      </c>
      <c r="B1458" s="2" t="s">
        <v>45</v>
      </c>
      <c r="C1458" s="2" t="s">
        <v>4087</v>
      </c>
      <c r="D1458" s="11" t="n">
        <v>30290</v>
      </c>
      <c r="E1458" s="31" t="n">
        <v>5.1</v>
      </c>
      <c r="F1458" s="31" t="n">
        <v>34.5</v>
      </c>
      <c r="G1458" s="31" t="n">
        <v>15.5</v>
      </c>
      <c r="H1458" s="2" t="s">
        <v>671</v>
      </c>
    </row>
    <row r="1459" customFormat="false" ht="15" hidden="false" customHeight="false" outlineLevel="0" collapsed="false">
      <c r="A1459" s="2" t="s">
        <v>598</v>
      </c>
      <c r="B1459" s="2" t="s">
        <v>46</v>
      </c>
      <c r="C1459" s="2" t="s">
        <v>4085</v>
      </c>
      <c r="D1459" s="2"/>
      <c r="E1459" s="2"/>
      <c r="F1459" s="2"/>
      <c r="G1459" s="2"/>
      <c r="H1459" s="2" t="s">
        <v>668</v>
      </c>
    </row>
    <row r="1460" customFormat="false" ht="15" hidden="false" customHeight="false" outlineLevel="0" collapsed="false">
      <c r="A1460" s="2" t="s">
        <v>598</v>
      </c>
      <c r="B1460" s="2" t="s">
        <v>46</v>
      </c>
      <c r="C1460" s="2" t="s">
        <v>4086</v>
      </c>
      <c r="D1460" s="11" t="n">
        <v>125650</v>
      </c>
      <c r="E1460" s="31" t="n">
        <v>37.9</v>
      </c>
      <c r="F1460" s="31" t="n">
        <v>99.4</v>
      </c>
      <c r="G1460" s="31" t="n">
        <v>26.7</v>
      </c>
      <c r="H1460" s="2" t="s">
        <v>671</v>
      </c>
    </row>
    <row r="1461" customFormat="false" ht="15" hidden="false" customHeight="false" outlineLevel="0" collapsed="false">
      <c r="A1461" s="2" t="s">
        <v>598</v>
      </c>
      <c r="B1461" s="2" t="s">
        <v>46</v>
      </c>
      <c r="C1461" s="2" t="s">
        <v>4087</v>
      </c>
      <c r="D1461" s="11" t="n">
        <v>135978</v>
      </c>
      <c r="E1461" s="31" t="n">
        <v>46.5</v>
      </c>
      <c r="F1461" s="31" t="n">
        <v>90.7</v>
      </c>
      <c r="G1461" s="31" t="n">
        <v>67.9</v>
      </c>
      <c r="H1461" s="2" t="s">
        <v>671</v>
      </c>
    </row>
    <row r="1462" customFormat="false" ht="15" hidden="false" customHeight="false" outlineLevel="0" collapsed="false">
      <c r="A1462" s="2" t="s">
        <v>598</v>
      </c>
      <c r="B1462" s="2" t="s">
        <v>47</v>
      </c>
      <c r="C1462" s="2" t="s">
        <v>4085</v>
      </c>
      <c r="D1462" s="11" t="n">
        <v>227072</v>
      </c>
      <c r="E1462" s="31" t="n">
        <v>15.4</v>
      </c>
      <c r="F1462" s="31" t="n">
        <v>80.2</v>
      </c>
      <c r="G1462" s="31" t="n">
        <v>3.9</v>
      </c>
      <c r="H1462" s="2" t="s">
        <v>671</v>
      </c>
    </row>
    <row r="1463" customFormat="false" ht="15" hidden="false" customHeight="false" outlineLevel="0" collapsed="false">
      <c r="A1463" s="2" t="s">
        <v>598</v>
      </c>
      <c r="B1463" s="2" t="s">
        <v>47</v>
      </c>
      <c r="C1463" s="2" t="s">
        <v>4086</v>
      </c>
      <c r="D1463" s="11" t="n">
        <v>247945</v>
      </c>
      <c r="E1463" s="31" t="n">
        <v>11.3</v>
      </c>
      <c r="F1463" s="31" t="n">
        <v>80.7</v>
      </c>
      <c r="G1463" s="31" t="n">
        <v>29.2</v>
      </c>
      <c r="H1463" s="2" t="s">
        <v>671</v>
      </c>
    </row>
    <row r="1464" customFormat="false" ht="15" hidden="false" customHeight="false" outlineLevel="0" collapsed="false">
      <c r="A1464" s="2" t="s">
        <v>598</v>
      </c>
      <c r="B1464" s="2" t="s">
        <v>47</v>
      </c>
      <c r="C1464" s="2" t="s">
        <v>4087</v>
      </c>
      <c r="D1464" s="11" t="n">
        <v>251100</v>
      </c>
      <c r="E1464" s="31" t="n">
        <v>10.8</v>
      </c>
      <c r="F1464" s="31" t="n">
        <v>69.3</v>
      </c>
      <c r="G1464" s="31" t="n">
        <v>7.6</v>
      </c>
      <c r="H1464" s="2" t="s">
        <v>671</v>
      </c>
    </row>
    <row r="1465" customFormat="false" ht="15" hidden="false" customHeight="false" outlineLevel="0" collapsed="false">
      <c r="A1465" s="2" t="s">
        <v>2194</v>
      </c>
      <c r="B1465" s="2" t="s">
        <v>4104</v>
      </c>
      <c r="C1465" s="2" t="s">
        <v>4085</v>
      </c>
      <c r="D1465" s="2"/>
      <c r="E1465" s="31" t="n">
        <v>50.5</v>
      </c>
      <c r="F1465" s="31" t="n">
        <v>35.3</v>
      </c>
      <c r="G1465" s="31" t="n">
        <v>78.9</v>
      </c>
      <c r="H1465" s="2" t="s">
        <v>668</v>
      </c>
    </row>
    <row r="1466" customFormat="false" ht="15" hidden="false" customHeight="false" outlineLevel="0" collapsed="false">
      <c r="A1466" s="2" t="s">
        <v>2194</v>
      </c>
      <c r="B1466" s="2" t="s">
        <v>4104</v>
      </c>
      <c r="C1466" s="2" t="s">
        <v>4086</v>
      </c>
      <c r="D1466" s="2"/>
      <c r="E1466" s="31" t="n">
        <v>11.7</v>
      </c>
      <c r="F1466" s="31" t="n">
        <v>21.6</v>
      </c>
      <c r="G1466" s="31" t="n">
        <v>54.5</v>
      </c>
      <c r="H1466" s="2" t="s">
        <v>668</v>
      </c>
    </row>
    <row r="1467" customFormat="false" ht="15" hidden="false" customHeight="false" outlineLevel="0" collapsed="false">
      <c r="A1467" s="2" t="s">
        <v>2194</v>
      </c>
      <c r="B1467" s="2" t="s">
        <v>4104</v>
      </c>
      <c r="C1467" s="2" t="s">
        <v>4087</v>
      </c>
      <c r="D1467" s="2"/>
      <c r="E1467" s="31" t="n">
        <v>40.7</v>
      </c>
      <c r="F1467" s="31" t="n">
        <v>74.7</v>
      </c>
      <c r="G1467" s="31" t="n">
        <v>48.1</v>
      </c>
      <c r="H1467" s="2" t="s">
        <v>668</v>
      </c>
    </row>
    <row r="1468" customFormat="false" ht="15" hidden="false" customHeight="false" outlineLevel="0" collapsed="false">
      <c r="A1468" s="2" t="s">
        <v>2194</v>
      </c>
      <c r="B1468" s="2" t="s">
        <v>45</v>
      </c>
      <c r="C1468" s="2" t="s">
        <v>4085</v>
      </c>
      <c r="D1468" s="11" t="n">
        <v>62734</v>
      </c>
      <c r="E1468" s="31" t="n">
        <v>11.2</v>
      </c>
      <c r="F1468" s="31" t="n">
        <v>30.7</v>
      </c>
      <c r="G1468" s="31" t="n">
        <v>87.3</v>
      </c>
      <c r="H1468" s="2" t="s">
        <v>671</v>
      </c>
    </row>
    <row r="1469" customFormat="false" ht="15" hidden="false" customHeight="false" outlineLevel="0" collapsed="false">
      <c r="A1469" s="2" t="s">
        <v>2194</v>
      </c>
      <c r="B1469" s="2" t="s">
        <v>45</v>
      </c>
      <c r="C1469" s="2" t="s">
        <v>4086</v>
      </c>
      <c r="D1469" s="11" t="n">
        <v>64690</v>
      </c>
      <c r="E1469" s="31" t="n">
        <v>11.7</v>
      </c>
      <c r="F1469" s="31" t="n">
        <v>21.6</v>
      </c>
      <c r="G1469" s="31" t="n">
        <v>54.5</v>
      </c>
      <c r="H1469" s="2" t="s">
        <v>671</v>
      </c>
    </row>
    <row r="1470" customFormat="false" ht="15" hidden="false" customHeight="false" outlineLevel="0" collapsed="false">
      <c r="A1470" s="2" t="s">
        <v>2194</v>
      </c>
      <c r="B1470" s="2" t="s">
        <v>45</v>
      </c>
      <c r="C1470" s="2" t="s">
        <v>4087</v>
      </c>
      <c r="D1470" s="2"/>
      <c r="E1470" s="2"/>
      <c r="F1470" s="2"/>
      <c r="G1470" s="2"/>
      <c r="H1470" s="2" t="s">
        <v>668</v>
      </c>
    </row>
    <row r="1471" customFormat="false" ht="15" hidden="false" customHeight="false" outlineLevel="0" collapsed="false">
      <c r="A1471" s="2" t="s">
        <v>2194</v>
      </c>
      <c r="B1471" s="2" t="s">
        <v>46</v>
      </c>
      <c r="C1471" s="2" t="s">
        <v>4085</v>
      </c>
      <c r="D1471" s="11" t="n">
        <v>20290</v>
      </c>
      <c r="E1471" s="2"/>
      <c r="F1471" s="2"/>
      <c r="G1471" s="2"/>
      <c r="H1471" s="2" t="s">
        <v>668</v>
      </c>
    </row>
    <row r="1472" customFormat="false" ht="15" hidden="false" customHeight="false" outlineLevel="0" collapsed="false">
      <c r="A1472" s="2" t="s">
        <v>2194</v>
      </c>
      <c r="B1472" s="2" t="s">
        <v>46</v>
      </c>
      <c r="C1472" s="2" t="s">
        <v>4086</v>
      </c>
      <c r="D1472" s="2"/>
      <c r="E1472" s="2"/>
      <c r="F1472" s="2"/>
      <c r="G1472" s="2"/>
      <c r="H1472" s="2" t="s">
        <v>668</v>
      </c>
    </row>
    <row r="1473" customFormat="false" ht="15" hidden="false" customHeight="false" outlineLevel="0" collapsed="false">
      <c r="A1473" s="2" t="s">
        <v>2194</v>
      </c>
      <c r="B1473" s="2" t="s">
        <v>46</v>
      </c>
      <c r="C1473" s="2" t="s">
        <v>4087</v>
      </c>
      <c r="D1473" s="11" t="n">
        <v>19890</v>
      </c>
      <c r="E1473" s="31" t="n">
        <v>15.4</v>
      </c>
      <c r="F1473" s="2"/>
      <c r="G1473" s="31" t="n">
        <v>22.3</v>
      </c>
      <c r="H1473" s="2" t="s">
        <v>668</v>
      </c>
    </row>
    <row r="1474" customFormat="false" ht="15" hidden="false" customHeight="false" outlineLevel="0" collapsed="false">
      <c r="A1474" s="2" t="s">
        <v>2194</v>
      </c>
      <c r="B1474" s="2" t="s">
        <v>47</v>
      </c>
      <c r="C1474" s="2" t="s">
        <v>4085</v>
      </c>
      <c r="D1474" s="11" t="n">
        <v>93152</v>
      </c>
      <c r="E1474" s="31" t="n">
        <v>89.8</v>
      </c>
      <c r="F1474" s="31" t="n">
        <v>39.9</v>
      </c>
      <c r="G1474" s="31" t="n">
        <v>70.5</v>
      </c>
      <c r="H1474" s="2" t="s">
        <v>671</v>
      </c>
    </row>
    <row r="1475" customFormat="false" ht="15" hidden="false" customHeight="false" outlineLevel="0" collapsed="false">
      <c r="A1475" s="2" t="s">
        <v>2194</v>
      </c>
      <c r="B1475" s="2" t="s">
        <v>47</v>
      </c>
      <c r="C1475" s="2" t="s">
        <v>4086</v>
      </c>
      <c r="D1475" s="2"/>
      <c r="E1475" s="2"/>
      <c r="F1475" s="2"/>
      <c r="G1475" s="2"/>
      <c r="H1475" s="2" t="s">
        <v>668</v>
      </c>
    </row>
    <row r="1476" customFormat="false" ht="15" hidden="false" customHeight="false" outlineLevel="0" collapsed="false">
      <c r="A1476" s="2" t="s">
        <v>2194</v>
      </c>
      <c r="B1476" s="2" t="s">
        <v>47</v>
      </c>
      <c r="C1476" s="2" t="s">
        <v>4087</v>
      </c>
      <c r="D1476" s="11" t="n">
        <v>101442</v>
      </c>
      <c r="E1476" s="31" t="n">
        <v>66</v>
      </c>
      <c r="F1476" s="31" t="n">
        <v>74.7</v>
      </c>
      <c r="G1476" s="31" t="n">
        <v>73.9</v>
      </c>
      <c r="H1476" s="2" t="s">
        <v>671</v>
      </c>
    </row>
    <row r="1477" customFormat="false" ht="15" hidden="false" customHeight="false" outlineLevel="0" collapsed="false">
      <c r="A1477" s="2" t="s">
        <v>2796</v>
      </c>
      <c r="B1477" s="2" t="s">
        <v>4104</v>
      </c>
      <c r="C1477" s="2" t="s">
        <v>4085</v>
      </c>
      <c r="D1477" s="2"/>
      <c r="E1477" s="31" t="n">
        <v>28</v>
      </c>
      <c r="F1477" s="31" t="n">
        <v>84.8</v>
      </c>
      <c r="G1477" s="31" t="n">
        <v>69.2</v>
      </c>
      <c r="H1477" s="2" t="s">
        <v>668</v>
      </c>
    </row>
    <row r="1478" customFormat="false" ht="15" hidden="false" customHeight="false" outlineLevel="0" collapsed="false">
      <c r="A1478" s="2" t="s">
        <v>2796</v>
      </c>
      <c r="B1478" s="2" t="s">
        <v>4104</v>
      </c>
      <c r="C1478" s="2" t="s">
        <v>4086</v>
      </c>
      <c r="D1478" s="2"/>
      <c r="E1478" s="31" t="n">
        <v>42.2</v>
      </c>
      <c r="F1478" s="31" t="n">
        <v>79.8</v>
      </c>
      <c r="G1478" s="31" t="n">
        <v>56.1</v>
      </c>
      <c r="H1478" s="2" t="s">
        <v>671</v>
      </c>
    </row>
    <row r="1479" customFormat="false" ht="15" hidden="false" customHeight="false" outlineLevel="0" collapsed="false">
      <c r="A1479" s="2" t="s">
        <v>2796</v>
      </c>
      <c r="B1479" s="2" t="s">
        <v>4104</v>
      </c>
      <c r="C1479" s="2" t="s">
        <v>4087</v>
      </c>
      <c r="D1479" s="2"/>
      <c r="E1479" s="31" t="n">
        <v>31.2</v>
      </c>
      <c r="F1479" s="31" t="n">
        <v>61.4</v>
      </c>
      <c r="G1479" s="31" t="n">
        <v>15.9</v>
      </c>
      <c r="H1479" s="2" t="s">
        <v>668</v>
      </c>
    </row>
    <row r="1480" customFormat="false" ht="15" hidden="false" customHeight="false" outlineLevel="0" collapsed="false">
      <c r="A1480" s="2" t="s">
        <v>2796</v>
      </c>
      <c r="B1480" s="2" t="s">
        <v>45</v>
      </c>
      <c r="C1480" s="2" t="s">
        <v>4085</v>
      </c>
      <c r="D1480" s="11" t="n">
        <v>2920</v>
      </c>
      <c r="E1480" s="31" t="n">
        <v>13.4</v>
      </c>
      <c r="F1480" s="2"/>
      <c r="G1480" s="2"/>
      <c r="H1480" s="2" t="s">
        <v>668</v>
      </c>
    </row>
    <row r="1481" customFormat="false" ht="15" hidden="false" customHeight="false" outlineLevel="0" collapsed="false">
      <c r="A1481" s="2" t="s">
        <v>2796</v>
      </c>
      <c r="B1481" s="2" t="s">
        <v>45</v>
      </c>
      <c r="C1481" s="2" t="s">
        <v>4086</v>
      </c>
      <c r="D1481" s="11" t="n">
        <v>3080</v>
      </c>
      <c r="E1481" s="31" t="n">
        <v>10.2</v>
      </c>
      <c r="F1481" s="31" t="n">
        <v>74.6</v>
      </c>
      <c r="G1481" s="31" t="n">
        <v>54.9</v>
      </c>
      <c r="H1481" s="2" t="s">
        <v>671</v>
      </c>
    </row>
    <row r="1482" customFormat="false" ht="15" hidden="false" customHeight="false" outlineLevel="0" collapsed="false">
      <c r="A1482" s="2" t="s">
        <v>2796</v>
      </c>
      <c r="B1482" s="2" t="s">
        <v>45</v>
      </c>
      <c r="C1482" s="2" t="s">
        <v>4087</v>
      </c>
      <c r="D1482" s="11" t="n">
        <v>3150</v>
      </c>
      <c r="E1482" s="31" t="n">
        <v>10.5</v>
      </c>
      <c r="F1482" s="2"/>
      <c r="G1482" s="31" t="n">
        <v>15.9</v>
      </c>
      <c r="H1482" s="2" t="s">
        <v>668</v>
      </c>
    </row>
    <row r="1483" customFormat="false" ht="15" hidden="false" customHeight="false" outlineLevel="0" collapsed="false">
      <c r="A1483" s="2" t="s">
        <v>2796</v>
      </c>
      <c r="B1483" s="2" t="s">
        <v>46</v>
      </c>
      <c r="C1483" s="2" t="s">
        <v>4085</v>
      </c>
      <c r="D1483" s="11" t="n">
        <v>54760</v>
      </c>
      <c r="E1483" s="31" t="n">
        <v>26.2</v>
      </c>
      <c r="F1483" s="31" t="n">
        <v>78.3</v>
      </c>
      <c r="G1483" s="31" t="n">
        <v>42.9</v>
      </c>
      <c r="H1483" s="2" t="s">
        <v>671</v>
      </c>
    </row>
    <row r="1484" customFormat="false" ht="15" hidden="false" customHeight="false" outlineLevel="0" collapsed="false">
      <c r="A1484" s="2" t="s">
        <v>2796</v>
      </c>
      <c r="B1484" s="2" t="s">
        <v>46</v>
      </c>
      <c r="C1484" s="2" t="s">
        <v>4086</v>
      </c>
      <c r="D1484" s="11" t="n">
        <v>57180</v>
      </c>
      <c r="E1484" s="31" t="n">
        <v>39.5</v>
      </c>
      <c r="F1484" s="31" t="n">
        <v>70.5</v>
      </c>
      <c r="G1484" s="31" t="n">
        <v>55.6</v>
      </c>
      <c r="H1484" s="2" t="s">
        <v>671</v>
      </c>
    </row>
    <row r="1485" customFormat="false" ht="15" hidden="false" customHeight="false" outlineLevel="0" collapsed="false">
      <c r="A1485" s="2" t="s">
        <v>2796</v>
      </c>
      <c r="B1485" s="2" t="s">
        <v>46</v>
      </c>
      <c r="C1485" s="2" t="s">
        <v>4087</v>
      </c>
      <c r="D1485" s="11" t="n">
        <v>59850</v>
      </c>
      <c r="E1485" s="31" t="n">
        <v>51.8</v>
      </c>
      <c r="F1485" s="31" t="n">
        <v>61.4</v>
      </c>
      <c r="G1485" s="2"/>
      <c r="H1485" s="2" t="s">
        <v>668</v>
      </c>
    </row>
    <row r="1486" customFormat="false" ht="15" hidden="false" customHeight="false" outlineLevel="0" collapsed="false">
      <c r="A1486" s="2" t="s">
        <v>2796</v>
      </c>
      <c r="B1486" s="2" t="s">
        <v>47</v>
      </c>
      <c r="C1486" s="2" t="s">
        <v>4085</v>
      </c>
      <c r="D1486" s="11" t="n">
        <v>234743</v>
      </c>
      <c r="E1486" s="31" t="n">
        <v>44.5</v>
      </c>
      <c r="F1486" s="31" t="n">
        <v>91.4</v>
      </c>
      <c r="G1486" s="31" t="n">
        <v>95.4</v>
      </c>
      <c r="H1486" s="2" t="s">
        <v>671</v>
      </c>
    </row>
    <row r="1487" customFormat="false" ht="15" hidden="false" customHeight="false" outlineLevel="0" collapsed="false">
      <c r="A1487" s="2" t="s">
        <v>2796</v>
      </c>
      <c r="B1487" s="2" t="s">
        <v>47</v>
      </c>
      <c r="C1487" s="2" t="s">
        <v>4086</v>
      </c>
      <c r="D1487" s="11" t="n">
        <v>249476</v>
      </c>
      <c r="E1487" s="31" t="n">
        <v>76.9</v>
      </c>
      <c r="F1487" s="31" t="n">
        <v>94.4</v>
      </c>
      <c r="G1487" s="31" t="n">
        <v>57.7</v>
      </c>
      <c r="H1487" s="2" t="s">
        <v>671</v>
      </c>
    </row>
    <row r="1488" customFormat="false" ht="15" hidden="false" customHeight="false" outlineLevel="0" collapsed="false">
      <c r="A1488" s="2" t="s">
        <v>2796</v>
      </c>
      <c r="B1488" s="2" t="s">
        <v>47</v>
      </c>
      <c r="C1488" s="2" t="s">
        <v>4087</v>
      </c>
      <c r="D1488" s="2"/>
      <c r="E1488" s="2"/>
      <c r="F1488" s="2"/>
      <c r="G1488" s="2"/>
      <c r="H1488" s="2" t="s">
        <v>668</v>
      </c>
    </row>
    <row r="1489" customFormat="false" ht="15" hidden="false" customHeight="false" outlineLevel="0" collapsed="false">
      <c r="A1489" s="2" t="s">
        <v>1800</v>
      </c>
      <c r="B1489" s="2" t="s">
        <v>4104</v>
      </c>
      <c r="C1489" s="2" t="s">
        <v>4085</v>
      </c>
      <c r="D1489" s="2"/>
      <c r="E1489" s="31" t="n">
        <v>70.4</v>
      </c>
      <c r="F1489" s="31" t="n">
        <v>75</v>
      </c>
      <c r="G1489" s="31" t="n">
        <v>80.4</v>
      </c>
      <c r="H1489" s="2" t="s">
        <v>668</v>
      </c>
    </row>
    <row r="1490" customFormat="false" ht="15" hidden="false" customHeight="false" outlineLevel="0" collapsed="false">
      <c r="A1490" s="2" t="s">
        <v>1800</v>
      </c>
      <c r="B1490" s="2" t="s">
        <v>4104</v>
      </c>
      <c r="C1490" s="2" t="s">
        <v>4086</v>
      </c>
      <c r="D1490" s="2"/>
      <c r="E1490" s="31" t="n">
        <v>63.7</v>
      </c>
      <c r="F1490" s="31" t="n">
        <v>69.8</v>
      </c>
      <c r="G1490" s="31" t="n">
        <v>52.8</v>
      </c>
      <c r="H1490" s="2" t="s">
        <v>668</v>
      </c>
    </row>
    <row r="1491" customFormat="false" ht="15" hidden="false" customHeight="false" outlineLevel="0" collapsed="false">
      <c r="A1491" s="2" t="s">
        <v>1800</v>
      </c>
      <c r="B1491" s="2" t="s">
        <v>4104</v>
      </c>
      <c r="C1491" s="2" t="s">
        <v>4087</v>
      </c>
      <c r="D1491" s="2"/>
      <c r="E1491" s="31" t="n">
        <v>61.8</v>
      </c>
      <c r="F1491" s="31" t="n">
        <v>87.1</v>
      </c>
      <c r="G1491" s="31" t="n">
        <v>70.8</v>
      </c>
      <c r="H1491" s="2" t="s">
        <v>668</v>
      </c>
    </row>
    <row r="1492" customFormat="false" ht="15" hidden="false" customHeight="false" outlineLevel="0" collapsed="false">
      <c r="A1492" s="2" t="s">
        <v>1800</v>
      </c>
      <c r="B1492" s="2" t="s">
        <v>45</v>
      </c>
      <c r="C1492" s="2" t="s">
        <v>4085</v>
      </c>
      <c r="D1492" s="11" t="n">
        <v>1910</v>
      </c>
      <c r="E1492" s="31" t="n">
        <v>66.5</v>
      </c>
      <c r="F1492" s="2"/>
      <c r="G1492" s="2"/>
      <c r="H1492" s="2" t="s">
        <v>668</v>
      </c>
    </row>
    <row r="1493" customFormat="false" ht="15" hidden="false" customHeight="false" outlineLevel="0" collapsed="false">
      <c r="A1493" s="2" t="s">
        <v>1800</v>
      </c>
      <c r="B1493" s="2" t="s">
        <v>45</v>
      </c>
      <c r="C1493" s="2" t="s">
        <v>4086</v>
      </c>
      <c r="D1493" s="11" t="n">
        <v>1920</v>
      </c>
      <c r="E1493" s="31" t="n">
        <v>78.1</v>
      </c>
      <c r="F1493" s="31" t="n">
        <v>54.9</v>
      </c>
      <c r="G1493" s="2"/>
      <c r="H1493" s="2" t="s">
        <v>671</v>
      </c>
    </row>
    <row r="1494" customFormat="false" ht="15" hidden="false" customHeight="false" outlineLevel="0" collapsed="false">
      <c r="A1494" s="2" t="s">
        <v>1800</v>
      </c>
      <c r="B1494" s="2" t="s">
        <v>45</v>
      </c>
      <c r="C1494" s="2" t="s">
        <v>4087</v>
      </c>
      <c r="D1494" s="11" t="n">
        <v>1930</v>
      </c>
      <c r="E1494" s="31" t="n">
        <v>72.2</v>
      </c>
      <c r="F1494" s="2"/>
      <c r="G1494" s="2"/>
      <c r="H1494" s="2" t="s">
        <v>668</v>
      </c>
    </row>
    <row r="1495" customFormat="false" ht="15" hidden="false" customHeight="false" outlineLevel="0" collapsed="false">
      <c r="A1495" s="2" t="s">
        <v>1800</v>
      </c>
      <c r="B1495" s="2" t="s">
        <v>46</v>
      </c>
      <c r="C1495" s="2" t="s">
        <v>4085</v>
      </c>
      <c r="D1495" s="11" t="n">
        <v>38030</v>
      </c>
      <c r="E1495" s="31" t="n">
        <v>65.4</v>
      </c>
      <c r="F1495" s="31" t="n">
        <v>80.1</v>
      </c>
      <c r="G1495" s="31" t="n">
        <v>63.9</v>
      </c>
      <c r="H1495" s="2" t="s">
        <v>671</v>
      </c>
    </row>
    <row r="1496" customFormat="false" ht="15" hidden="false" customHeight="false" outlineLevel="0" collapsed="false">
      <c r="A1496" s="2" t="s">
        <v>1800</v>
      </c>
      <c r="B1496" s="2" t="s">
        <v>46</v>
      </c>
      <c r="C1496" s="2" t="s">
        <v>4086</v>
      </c>
      <c r="D1496" s="11" t="n">
        <v>40220</v>
      </c>
      <c r="E1496" s="31" t="n">
        <v>49.3</v>
      </c>
      <c r="F1496" s="31" t="n">
        <v>84.7</v>
      </c>
      <c r="G1496" s="31" t="n">
        <v>31.8</v>
      </c>
      <c r="H1496" s="2" t="s">
        <v>671</v>
      </c>
    </row>
    <row r="1497" customFormat="false" ht="15" hidden="false" customHeight="false" outlineLevel="0" collapsed="false">
      <c r="A1497" s="2" t="s">
        <v>1800</v>
      </c>
      <c r="B1497" s="2" t="s">
        <v>46</v>
      </c>
      <c r="C1497" s="2" t="s">
        <v>4087</v>
      </c>
      <c r="D1497" s="11" t="n">
        <v>42091</v>
      </c>
      <c r="E1497" s="31" t="n">
        <v>29.4</v>
      </c>
      <c r="F1497" s="31" t="n">
        <v>87.1</v>
      </c>
      <c r="G1497" s="31" t="n">
        <v>63.2</v>
      </c>
      <c r="H1497" s="2" t="s">
        <v>671</v>
      </c>
    </row>
    <row r="1498" customFormat="false" ht="15" hidden="false" customHeight="false" outlineLevel="0" collapsed="false">
      <c r="A1498" s="2" t="s">
        <v>1800</v>
      </c>
      <c r="B1498" s="2" t="s">
        <v>47</v>
      </c>
      <c r="C1498" s="2" t="s">
        <v>4085</v>
      </c>
      <c r="D1498" s="11" t="n">
        <v>43809</v>
      </c>
      <c r="E1498" s="31" t="n">
        <v>79.4</v>
      </c>
      <c r="F1498" s="31" t="n">
        <v>69.9</v>
      </c>
      <c r="G1498" s="31" t="n">
        <v>96.8</v>
      </c>
      <c r="H1498" s="2" t="s">
        <v>671</v>
      </c>
    </row>
    <row r="1499" customFormat="false" ht="15" hidden="false" customHeight="false" outlineLevel="0" collapsed="false">
      <c r="A1499" s="2" t="s">
        <v>1800</v>
      </c>
      <c r="B1499" s="2" t="s">
        <v>47</v>
      </c>
      <c r="C1499" s="2" t="s">
        <v>4086</v>
      </c>
      <c r="D1499" s="2"/>
      <c r="E1499" s="2"/>
      <c r="F1499" s="2"/>
      <c r="G1499" s="31" t="n">
        <v>73.8</v>
      </c>
      <c r="H1499" s="2" t="s">
        <v>668</v>
      </c>
    </row>
    <row r="1500" customFormat="false" ht="15" hidden="false" customHeight="false" outlineLevel="0" collapsed="false">
      <c r="A1500" s="2" t="s">
        <v>1800</v>
      </c>
      <c r="B1500" s="2" t="s">
        <v>47</v>
      </c>
      <c r="C1500" s="2" t="s">
        <v>4087</v>
      </c>
      <c r="D1500" s="11" t="n">
        <v>46738</v>
      </c>
      <c r="E1500" s="31" t="n">
        <v>83.7</v>
      </c>
      <c r="F1500" s="2"/>
      <c r="G1500" s="31" t="n">
        <v>78.3</v>
      </c>
      <c r="H1500" s="2" t="s">
        <v>668</v>
      </c>
    </row>
    <row r="1501" customFormat="false" ht="15" hidden="false" customHeight="false" outlineLevel="0" collapsed="false">
      <c r="A1501" s="2" t="s">
        <v>644</v>
      </c>
      <c r="B1501" s="2" t="s">
        <v>4104</v>
      </c>
      <c r="C1501" s="2" t="s">
        <v>4085</v>
      </c>
      <c r="D1501" s="2"/>
      <c r="E1501" s="31" t="n">
        <v>6.1</v>
      </c>
      <c r="F1501" s="31" t="n">
        <v>92.2</v>
      </c>
      <c r="G1501" s="31" t="n">
        <v>58</v>
      </c>
      <c r="H1501" s="2" t="s">
        <v>671</v>
      </c>
    </row>
    <row r="1502" customFormat="false" ht="15" hidden="false" customHeight="false" outlineLevel="0" collapsed="false">
      <c r="A1502" s="2" t="s">
        <v>644</v>
      </c>
      <c r="B1502" s="2" t="s">
        <v>4104</v>
      </c>
      <c r="C1502" s="2" t="s">
        <v>4086</v>
      </c>
      <c r="D1502" s="2"/>
      <c r="E1502" s="31" t="n">
        <v>28</v>
      </c>
      <c r="F1502" s="31" t="n">
        <v>86.4</v>
      </c>
      <c r="G1502" s="31" t="n">
        <v>78.5</v>
      </c>
      <c r="H1502" s="2" t="s">
        <v>671</v>
      </c>
    </row>
    <row r="1503" customFormat="false" ht="15" hidden="false" customHeight="false" outlineLevel="0" collapsed="false">
      <c r="A1503" s="2" t="s">
        <v>644</v>
      </c>
      <c r="B1503" s="2" t="s">
        <v>4104</v>
      </c>
      <c r="C1503" s="2" t="s">
        <v>4087</v>
      </c>
      <c r="D1503" s="2"/>
      <c r="E1503" s="31" t="n">
        <v>7.8</v>
      </c>
      <c r="F1503" s="31" t="n">
        <v>93.4</v>
      </c>
      <c r="G1503" s="31" t="n">
        <v>43</v>
      </c>
      <c r="H1503" s="2" t="s">
        <v>671</v>
      </c>
    </row>
    <row r="1504" customFormat="false" ht="15" hidden="false" customHeight="false" outlineLevel="0" collapsed="false">
      <c r="A1504" s="2" t="s">
        <v>644</v>
      </c>
      <c r="B1504" s="2" t="s">
        <v>47</v>
      </c>
      <c r="C1504" s="2" t="s">
        <v>4085</v>
      </c>
      <c r="D1504" s="11" t="n">
        <v>90197</v>
      </c>
      <c r="E1504" s="31" t="n">
        <v>6.1</v>
      </c>
      <c r="F1504" s="31" t="n">
        <v>92.2</v>
      </c>
      <c r="G1504" s="31" t="n">
        <v>58</v>
      </c>
      <c r="H1504" s="2" t="s">
        <v>671</v>
      </c>
    </row>
    <row r="1505" customFormat="false" ht="15" hidden="false" customHeight="false" outlineLevel="0" collapsed="false">
      <c r="A1505" s="2" t="s">
        <v>644</v>
      </c>
      <c r="B1505" s="2" t="s">
        <v>47</v>
      </c>
      <c r="C1505" s="2" t="s">
        <v>4086</v>
      </c>
      <c r="D1505" s="11" t="n">
        <v>98240</v>
      </c>
      <c r="E1505" s="31" t="n">
        <v>28</v>
      </c>
      <c r="F1505" s="31" t="n">
        <v>86.4</v>
      </c>
      <c r="G1505" s="31" t="n">
        <v>78.5</v>
      </c>
      <c r="H1505" s="2" t="s">
        <v>671</v>
      </c>
    </row>
    <row r="1506" customFormat="false" ht="15" hidden="false" customHeight="false" outlineLevel="0" collapsed="false">
      <c r="A1506" s="2" t="s">
        <v>644</v>
      </c>
      <c r="B1506" s="2" t="s">
        <v>47</v>
      </c>
      <c r="C1506" s="2" t="s">
        <v>4087</v>
      </c>
      <c r="D1506" s="11" t="n">
        <v>105162</v>
      </c>
      <c r="E1506" s="31" t="n">
        <v>7.8</v>
      </c>
      <c r="F1506" s="31" t="n">
        <v>93.4</v>
      </c>
      <c r="G1506" s="31" t="n">
        <v>43</v>
      </c>
      <c r="H1506" s="2" t="s">
        <v>671</v>
      </c>
    </row>
    <row r="1507" customFormat="false" ht="15" hidden="false" customHeight="false" outlineLevel="0" collapsed="false">
      <c r="A1507" s="2" t="s">
        <v>784</v>
      </c>
      <c r="B1507" s="2" t="s">
        <v>4104</v>
      </c>
      <c r="C1507" s="2" t="s">
        <v>4085</v>
      </c>
      <c r="D1507" s="2"/>
      <c r="E1507" s="31" t="n">
        <v>43.2</v>
      </c>
      <c r="F1507" s="31" t="n">
        <v>43.3</v>
      </c>
      <c r="G1507" s="31" t="n">
        <v>27.6</v>
      </c>
      <c r="H1507" s="2" t="s">
        <v>671</v>
      </c>
    </row>
    <row r="1508" customFormat="false" ht="15" hidden="false" customHeight="false" outlineLevel="0" collapsed="false">
      <c r="A1508" s="2" t="s">
        <v>784</v>
      </c>
      <c r="B1508" s="2" t="s">
        <v>4104</v>
      </c>
      <c r="C1508" s="2" t="s">
        <v>4086</v>
      </c>
      <c r="D1508" s="2"/>
      <c r="E1508" s="31" t="n">
        <v>48.6</v>
      </c>
      <c r="F1508" s="31" t="n">
        <v>46.2</v>
      </c>
      <c r="G1508" s="31" t="n">
        <v>5.4</v>
      </c>
      <c r="H1508" s="2" t="s">
        <v>668</v>
      </c>
    </row>
    <row r="1509" customFormat="false" ht="15" hidden="false" customHeight="false" outlineLevel="0" collapsed="false">
      <c r="A1509" s="2" t="s">
        <v>784</v>
      </c>
      <c r="B1509" s="2" t="s">
        <v>4104</v>
      </c>
      <c r="C1509" s="2" t="s">
        <v>4087</v>
      </c>
      <c r="D1509" s="2"/>
      <c r="E1509" s="31" t="n">
        <v>59.8</v>
      </c>
      <c r="F1509" s="31" t="n">
        <v>26.8</v>
      </c>
      <c r="G1509" s="31" t="n">
        <v>47.4</v>
      </c>
      <c r="H1509" s="2" t="s">
        <v>668</v>
      </c>
    </row>
    <row r="1510" customFormat="false" ht="15" hidden="false" customHeight="false" outlineLevel="0" collapsed="false">
      <c r="A1510" s="2" t="s">
        <v>784</v>
      </c>
      <c r="B1510" s="2" t="s">
        <v>45</v>
      </c>
      <c r="C1510" s="2" t="s">
        <v>4085</v>
      </c>
      <c r="D1510" s="11" t="n">
        <v>120810</v>
      </c>
      <c r="E1510" s="31" t="n">
        <v>85.5</v>
      </c>
      <c r="F1510" s="31" t="n">
        <v>20.5</v>
      </c>
      <c r="G1510" s="2"/>
      <c r="H1510" s="2" t="s">
        <v>671</v>
      </c>
    </row>
    <row r="1511" customFormat="false" ht="15" hidden="false" customHeight="false" outlineLevel="0" collapsed="false">
      <c r="A1511" s="2" t="s">
        <v>784</v>
      </c>
      <c r="B1511" s="2" t="s">
        <v>45</v>
      </c>
      <c r="C1511" s="2" t="s">
        <v>4086</v>
      </c>
      <c r="D1511" s="11" t="n">
        <v>119160</v>
      </c>
      <c r="E1511" s="31" t="n">
        <v>88.5</v>
      </c>
      <c r="F1511" s="31" t="n">
        <v>15</v>
      </c>
      <c r="G1511" s="2"/>
      <c r="H1511" s="2" t="s">
        <v>671</v>
      </c>
    </row>
    <row r="1512" customFormat="false" ht="15" hidden="false" customHeight="false" outlineLevel="0" collapsed="false">
      <c r="A1512" s="2" t="s">
        <v>784</v>
      </c>
      <c r="B1512" s="2" t="s">
        <v>45</v>
      </c>
      <c r="C1512" s="2" t="s">
        <v>4087</v>
      </c>
      <c r="D1512" s="11" t="n">
        <v>113990</v>
      </c>
      <c r="E1512" s="31" t="n">
        <v>85.5</v>
      </c>
      <c r="F1512" s="31" t="n">
        <v>10.1</v>
      </c>
      <c r="G1512" s="2"/>
      <c r="H1512" s="2" t="s">
        <v>671</v>
      </c>
    </row>
    <row r="1513" customFormat="false" ht="15" hidden="false" customHeight="false" outlineLevel="0" collapsed="false">
      <c r="A1513" s="2" t="s">
        <v>784</v>
      </c>
      <c r="B1513" s="2" t="s">
        <v>46</v>
      </c>
      <c r="C1513" s="2" t="s">
        <v>4085</v>
      </c>
      <c r="D1513" s="11" t="n">
        <v>29000</v>
      </c>
      <c r="E1513" s="31" t="n">
        <v>14.1</v>
      </c>
      <c r="F1513" s="31" t="n">
        <v>66.7</v>
      </c>
      <c r="G1513" s="31" t="n">
        <v>50.5</v>
      </c>
      <c r="H1513" s="2" t="s">
        <v>671</v>
      </c>
    </row>
    <row r="1514" customFormat="false" ht="15" hidden="false" customHeight="false" outlineLevel="0" collapsed="false">
      <c r="A1514" s="2" t="s">
        <v>784</v>
      </c>
      <c r="B1514" s="2" t="s">
        <v>46</v>
      </c>
      <c r="C1514" s="2" t="s">
        <v>4086</v>
      </c>
      <c r="D1514" s="11" t="n">
        <v>31045</v>
      </c>
      <c r="E1514" s="31" t="n">
        <v>12.4</v>
      </c>
      <c r="F1514" s="31" t="n">
        <v>92</v>
      </c>
      <c r="G1514" s="2"/>
      <c r="H1514" s="2" t="s">
        <v>668</v>
      </c>
    </row>
    <row r="1515" customFormat="false" ht="15" hidden="false" customHeight="false" outlineLevel="0" collapsed="false">
      <c r="A1515" s="2" t="s">
        <v>784</v>
      </c>
      <c r="B1515" s="2" t="s">
        <v>46</v>
      </c>
      <c r="C1515" s="2" t="s">
        <v>4087</v>
      </c>
      <c r="D1515" s="11" t="n">
        <v>32430</v>
      </c>
      <c r="E1515" s="31" t="n">
        <v>34.2</v>
      </c>
      <c r="F1515" s="2"/>
      <c r="G1515" s="31" t="n">
        <v>82.9</v>
      </c>
      <c r="H1515" s="2" t="s">
        <v>668</v>
      </c>
    </row>
    <row r="1516" customFormat="false" ht="15" hidden="false" customHeight="false" outlineLevel="0" collapsed="false">
      <c r="A1516" s="2" t="s">
        <v>784</v>
      </c>
      <c r="B1516" s="2" t="s">
        <v>47</v>
      </c>
      <c r="C1516" s="2" t="s">
        <v>4085</v>
      </c>
      <c r="D1516" s="11" t="n">
        <v>11759</v>
      </c>
      <c r="E1516" s="31" t="n">
        <v>29.9</v>
      </c>
      <c r="F1516" s="31" t="n">
        <v>42.8</v>
      </c>
      <c r="G1516" s="31" t="n">
        <v>4.6</v>
      </c>
      <c r="H1516" s="2" t="s">
        <v>671</v>
      </c>
    </row>
    <row r="1517" customFormat="false" ht="15" hidden="false" customHeight="false" outlineLevel="0" collapsed="false">
      <c r="A1517" s="2" t="s">
        <v>784</v>
      </c>
      <c r="B1517" s="2" t="s">
        <v>47</v>
      </c>
      <c r="C1517" s="2" t="s">
        <v>4086</v>
      </c>
      <c r="D1517" s="11" t="n">
        <v>12100</v>
      </c>
      <c r="E1517" s="31" t="n">
        <v>44.8</v>
      </c>
      <c r="F1517" s="31" t="n">
        <v>31.5</v>
      </c>
      <c r="G1517" s="31" t="n">
        <v>5.4</v>
      </c>
      <c r="H1517" s="2" t="s">
        <v>671</v>
      </c>
    </row>
    <row r="1518" customFormat="false" ht="15" hidden="false" customHeight="false" outlineLevel="0" collapsed="false">
      <c r="A1518" s="2" t="s">
        <v>784</v>
      </c>
      <c r="B1518" s="2" t="s">
        <v>47</v>
      </c>
      <c r="C1518" s="2" t="s">
        <v>4087</v>
      </c>
      <c r="D1518" s="11" t="n">
        <v>12476</v>
      </c>
      <c r="E1518" s="2"/>
      <c r="F1518" s="31" t="n">
        <v>43.6</v>
      </c>
      <c r="G1518" s="31" t="n">
        <v>12</v>
      </c>
      <c r="H1518" s="2" t="s">
        <v>668</v>
      </c>
    </row>
    <row r="1519" customFormat="false" ht="15" hidden="false" customHeight="false" outlineLevel="0" collapsed="false">
      <c r="A1519" s="2" t="s">
        <v>897</v>
      </c>
      <c r="B1519" s="2" t="s">
        <v>4104</v>
      </c>
      <c r="C1519" s="2" t="s">
        <v>4085</v>
      </c>
      <c r="D1519" s="2"/>
      <c r="E1519" s="31" t="n">
        <v>51.9</v>
      </c>
      <c r="F1519" s="31" t="n">
        <v>69.1</v>
      </c>
      <c r="G1519" s="31" t="n">
        <v>25.9</v>
      </c>
      <c r="H1519" s="2" t="s">
        <v>671</v>
      </c>
    </row>
    <row r="1520" customFormat="false" ht="15" hidden="false" customHeight="false" outlineLevel="0" collapsed="false">
      <c r="A1520" s="2" t="s">
        <v>897</v>
      </c>
      <c r="B1520" s="2" t="s">
        <v>4104</v>
      </c>
      <c r="C1520" s="2" t="s">
        <v>4086</v>
      </c>
      <c r="D1520" s="2"/>
      <c r="E1520" s="31" t="n">
        <v>40.6</v>
      </c>
      <c r="F1520" s="31" t="n">
        <v>82.2</v>
      </c>
      <c r="G1520" s="31" t="n">
        <v>27.6</v>
      </c>
      <c r="H1520" s="2" t="s">
        <v>668</v>
      </c>
    </row>
    <row r="1521" customFormat="false" ht="15" hidden="false" customHeight="false" outlineLevel="0" collapsed="false">
      <c r="A1521" s="2" t="s">
        <v>897</v>
      </c>
      <c r="B1521" s="2" t="s">
        <v>4104</v>
      </c>
      <c r="C1521" s="2" t="s">
        <v>4087</v>
      </c>
      <c r="D1521" s="2"/>
      <c r="E1521" s="31" t="n">
        <v>38.2</v>
      </c>
      <c r="F1521" s="31" t="n">
        <v>56.3</v>
      </c>
      <c r="G1521" s="31" t="n">
        <v>28.2</v>
      </c>
      <c r="H1521" s="2" t="s">
        <v>668</v>
      </c>
    </row>
    <row r="1522" customFormat="false" ht="15" hidden="false" customHeight="false" outlineLevel="0" collapsed="false">
      <c r="A1522" s="2" t="s">
        <v>897</v>
      </c>
      <c r="B1522" s="2" t="s">
        <v>45</v>
      </c>
      <c r="C1522" s="2" t="s">
        <v>4085</v>
      </c>
      <c r="D1522" s="11" t="n">
        <v>10510</v>
      </c>
      <c r="E1522" s="31" t="n">
        <v>65.5</v>
      </c>
      <c r="F1522" s="31" t="n">
        <v>73.4</v>
      </c>
      <c r="G1522" s="31" t="n">
        <v>44.9</v>
      </c>
      <c r="H1522" s="2" t="s">
        <v>671</v>
      </c>
    </row>
    <row r="1523" customFormat="false" ht="15" hidden="false" customHeight="false" outlineLevel="0" collapsed="false">
      <c r="A1523" s="2" t="s">
        <v>897</v>
      </c>
      <c r="B1523" s="2" t="s">
        <v>45</v>
      </c>
      <c r="C1523" s="2" t="s">
        <v>4086</v>
      </c>
      <c r="D1523" s="11" t="n">
        <v>11000</v>
      </c>
      <c r="E1523" s="31" t="n">
        <v>75.2</v>
      </c>
      <c r="F1523" s="31" t="n">
        <v>89.3</v>
      </c>
      <c r="G1523" s="31" t="n">
        <v>12.8</v>
      </c>
      <c r="H1523" s="2" t="s">
        <v>671</v>
      </c>
    </row>
    <row r="1524" customFormat="false" ht="15" hidden="false" customHeight="false" outlineLevel="0" collapsed="false">
      <c r="A1524" s="2" t="s">
        <v>897</v>
      </c>
      <c r="B1524" s="2" t="s">
        <v>45</v>
      </c>
      <c r="C1524" s="2" t="s">
        <v>4087</v>
      </c>
      <c r="D1524" s="11" t="n">
        <v>11939</v>
      </c>
      <c r="E1524" s="31" t="n">
        <v>69.4</v>
      </c>
      <c r="F1524" s="31" t="n">
        <v>43.3</v>
      </c>
      <c r="G1524" s="31" t="n">
        <v>48.3</v>
      </c>
      <c r="H1524" s="2" t="s">
        <v>671</v>
      </c>
    </row>
    <row r="1525" customFormat="false" ht="15" hidden="false" customHeight="false" outlineLevel="0" collapsed="false">
      <c r="A1525" s="2" t="s">
        <v>897</v>
      </c>
      <c r="B1525" s="2" t="s">
        <v>46</v>
      </c>
      <c r="C1525" s="2" t="s">
        <v>4085</v>
      </c>
      <c r="D1525" s="11" t="n">
        <v>80250</v>
      </c>
      <c r="E1525" s="31" t="n">
        <v>85.1</v>
      </c>
      <c r="F1525" s="31" t="n">
        <v>87.6</v>
      </c>
      <c r="G1525" s="31" t="n">
        <v>13</v>
      </c>
      <c r="H1525" s="2" t="s">
        <v>671</v>
      </c>
    </row>
    <row r="1526" customFormat="false" ht="15" hidden="false" customHeight="false" outlineLevel="0" collapsed="false">
      <c r="A1526" s="2" t="s">
        <v>897</v>
      </c>
      <c r="B1526" s="2" t="s">
        <v>46</v>
      </c>
      <c r="C1526" s="2" t="s">
        <v>4086</v>
      </c>
      <c r="D1526" s="2"/>
      <c r="E1526" s="2"/>
      <c r="F1526" s="2"/>
      <c r="G1526" s="2"/>
      <c r="H1526" s="2" t="s">
        <v>668</v>
      </c>
    </row>
    <row r="1527" customFormat="false" ht="15" hidden="false" customHeight="false" outlineLevel="0" collapsed="false">
      <c r="A1527" s="2" t="s">
        <v>897</v>
      </c>
      <c r="B1527" s="2" t="s">
        <v>46</v>
      </c>
      <c r="C1527" s="2" t="s">
        <v>4087</v>
      </c>
      <c r="D1527" s="11" t="n">
        <v>92616</v>
      </c>
      <c r="E1527" s="2"/>
      <c r="F1527" s="31" t="n">
        <v>66.8</v>
      </c>
      <c r="G1527" s="31" t="n">
        <v>13.5</v>
      </c>
      <c r="H1527" s="2" t="s">
        <v>668</v>
      </c>
    </row>
    <row r="1528" customFormat="false" ht="15" hidden="false" customHeight="false" outlineLevel="0" collapsed="false">
      <c r="A1528" s="2" t="s">
        <v>897</v>
      </c>
      <c r="B1528" s="2" t="s">
        <v>47</v>
      </c>
      <c r="C1528" s="2" t="s">
        <v>4085</v>
      </c>
      <c r="D1528" s="11" t="n">
        <v>10460</v>
      </c>
      <c r="E1528" s="31" t="n">
        <v>5.2</v>
      </c>
      <c r="F1528" s="31" t="n">
        <v>46.4</v>
      </c>
      <c r="G1528" s="31" t="n">
        <v>19.8</v>
      </c>
      <c r="H1528" s="2" t="s">
        <v>671</v>
      </c>
    </row>
    <row r="1529" customFormat="false" ht="15" hidden="false" customHeight="false" outlineLevel="0" collapsed="false">
      <c r="A1529" s="2" t="s">
        <v>897</v>
      </c>
      <c r="B1529" s="2" t="s">
        <v>47</v>
      </c>
      <c r="C1529" s="2" t="s">
        <v>4086</v>
      </c>
      <c r="D1529" s="11" t="n">
        <v>10940</v>
      </c>
      <c r="E1529" s="31" t="n">
        <v>6</v>
      </c>
      <c r="F1529" s="31" t="n">
        <v>75</v>
      </c>
      <c r="G1529" s="31" t="n">
        <v>42.3</v>
      </c>
      <c r="H1529" s="2" t="s">
        <v>671</v>
      </c>
    </row>
    <row r="1530" customFormat="false" ht="15" hidden="false" customHeight="false" outlineLevel="0" collapsed="false">
      <c r="A1530" s="2" t="s">
        <v>897</v>
      </c>
      <c r="B1530" s="2" t="s">
        <v>47</v>
      </c>
      <c r="C1530" s="2" t="s">
        <v>4087</v>
      </c>
      <c r="D1530" s="11" t="n">
        <v>11209</v>
      </c>
      <c r="E1530" s="31" t="n">
        <v>7</v>
      </c>
      <c r="F1530" s="31" t="n">
        <v>58.9</v>
      </c>
      <c r="G1530" s="31" t="n">
        <v>22.7</v>
      </c>
      <c r="H1530" s="2" t="s">
        <v>671</v>
      </c>
    </row>
    <row r="1531" customFormat="false" ht="15" hidden="false" customHeight="false" outlineLevel="0" collapsed="false">
      <c r="A1531" s="2" t="s">
        <v>1011</v>
      </c>
      <c r="B1531" s="2" t="s">
        <v>4104</v>
      </c>
      <c r="C1531" s="2" t="s">
        <v>4085</v>
      </c>
      <c r="D1531" s="2"/>
      <c r="E1531" s="31" t="n">
        <v>32.3</v>
      </c>
      <c r="F1531" s="31" t="n">
        <v>57.6</v>
      </c>
      <c r="G1531" s="31" t="n">
        <v>8.6</v>
      </c>
      <c r="H1531" s="2" t="s">
        <v>668</v>
      </c>
    </row>
    <row r="1532" customFormat="false" ht="15" hidden="false" customHeight="false" outlineLevel="0" collapsed="false">
      <c r="A1532" s="2" t="s">
        <v>1011</v>
      </c>
      <c r="B1532" s="2" t="s">
        <v>4104</v>
      </c>
      <c r="C1532" s="2" t="s">
        <v>4086</v>
      </c>
      <c r="D1532" s="2"/>
      <c r="E1532" s="31" t="n">
        <v>39.2</v>
      </c>
      <c r="F1532" s="31" t="n">
        <v>33.8</v>
      </c>
      <c r="G1532" s="31" t="n">
        <v>24.2</v>
      </c>
      <c r="H1532" s="2" t="s">
        <v>668</v>
      </c>
    </row>
    <row r="1533" customFormat="false" ht="15" hidden="false" customHeight="false" outlineLevel="0" collapsed="false">
      <c r="A1533" s="2" t="s">
        <v>1011</v>
      </c>
      <c r="B1533" s="2" t="s">
        <v>4104</v>
      </c>
      <c r="C1533" s="2" t="s">
        <v>4087</v>
      </c>
      <c r="D1533" s="2"/>
      <c r="E1533" s="31" t="n">
        <v>31</v>
      </c>
      <c r="F1533" s="31" t="n">
        <v>40.8</v>
      </c>
      <c r="G1533" s="31" t="n">
        <v>18.8</v>
      </c>
      <c r="H1533" s="2" t="s">
        <v>668</v>
      </c>
    </row>
    <row r="1534" customFormat="false" ht="15" hidden="false" customHeight="false" outlineLevel="0" collapsed="false">
      <c r="A1534" s="2" t="s">
        <v>1011</v>
      </c>
      <c r="B1534" s="2" t="s">
        <v>45</v>
      </c>
      <c r="C1534" s="2" t="s">
        <v>4085</v>
      </c>
      <c r="D1534" s="2"/>
      <c r="E1534" s="2"/>
      <c r="F1534" s="2"/>
      <c r="G1534" s="2"/>
      <c r="H1534" s="2" t="s">
        <v>668</v>
      </c>
    </row>
    <row r="1535" customFormat="false" ht="15" hidden="false" customHeight="false" outlineLevel="0" collapsed="false">
      <c r="A1535" s="2" t="s">
        <v>1011</v>
      </c>
      <c r="B1535" s="2" t="s">
        <v>45</v>
      </c>
      <c r="C1535" s="2" t="s">
        <v>4086</v>
      </c>
      <c r="D1535" s="11" t="n">
        <v>60300</v>
      </c>
      <c r="E1535" s="31" t="n">
        <v>48</v>
      </c>
      <c r="F1535" s="31" t="n">
        <v>13.7</v>
      </c>
      <c r="G1535" s="31" t="n">
        <v>4.2</v>
      </c>
      <c r="H1535" s="2" t="s">
        <v>671</v>
      </c>
    </row>
    <row r="1536" customFormat="false" ht="15" hidden="false" customHeight="false" outlineLevel="0" collapsed="false">
      <c r="A1536" s="2" t="s">
        <v>1011</v>
      </c>
      <c r="B1536" s="2" t="s">
        <v>45</v>
      </c>
      <c r="C1536" s="2" t="s">
        <v>4087</v>
      </c>
      <c r="D1536" s="11" t="n">
        <v>60980</v>
      </c>
      <c r="E1536" s="31" t="n">
        <v>53.2</v>
      </c>
      <c r="F1536" s="31" t="n">
        <v>29.4</v>
      </c>
      <c r="G1536" s="31" t="n">
        <v>29.3</v>
      </c>
      <c r="H1536" s="2" t="s">
        <v>671</v>
      </c>
    </row>
    <row r="1537" customFormat="false" ht="15" hidden="false" customHeight="false" outlineLevel="0" collapsed="false">
      <c r="A1537" s="2" t="s">
        <v>1011</v>
      </c>
      <c r="B1537" s="2" t="s">
        <v>46</v>
      </c>
      <c r="C1537" s="2" t="s">
        <v>4085</v>
      </c>
      <c r="D1537" s="11" t="n">
        <v>39730</v>
      </c>
      <c r="E1537" s="31" t="n">
        <v>54.6</v>
      </c>
      <c r="F1537" s="31" t="n">
        <v>70.4</v>
      </c>
      <c r="G1537" s="2"/>
      <c r="H1537" s="2" t="s">
        <v>668</v>
      </c>
    </row>
    <row r="1538" customFormat="false" ht="15" hidden="false" customHeight="false" outlineLevel="0" collapsed="false">
      <c r="A1538" s="2" t="s">
        <v>1011</v>
      </c>
      <c r="B1538" s="2" t="s">
        <v>46</v>
      </c>
      <c r="C1538" s="2" t="s">
        <v>4086</v>
      </c>
      <c r="D1538" s="11" t="n">
        <v>41160</v>
      </c>
      <c r="E1538" s="31" t="n">
        <v>62.1</v>
      </c>
      <c r="F1538" s="31" t="n">
        <v>53.8</v>
      </c>
      <c r="G1538" s="31" t="n">
        <v>32.7</v>
      </c>
      <c r="H1538" s="2" t="s">
        <v>671</v>
      </c>
    </row>
    <row r="1539" customFormat="false" ht="15" hidden="false" customHeight="false" outlineLevel="0" collapsed="false">
      <c r="A1539" s="2" t="s">
        <v>1011</v>
      </c>
      <c r="B1539" s="2" t="s">
        <v>46</v>
      </c>
      <c r="C1539" s="2" t="s">
        <v>4087</v>
      </c>
      <c r="D1539" s="2"/>
      <c r="E1539" s="2"/>
      <c r="F1539" s="2"/>
      <c r="G1539" s="2"/>
      <c r="H1539" s="2" t="s">
        <v>668</v>
      </c>
    </row>
    <row r="1540" customFormat="false" ht="15" hidden="false" customHeight="false" outlineLevel="0" collapsed="false">
      <c r="A1540" s="2" t="s">
        <v>1011</v>
      </c>
      <c r="B1540" s="2" t="s">
        <v>47</v>
      </c>
      <c r="C1540" s="2" t="s">
        <v>4085</v>
      </c>
      <c r="D1540" s="11" t="n">
        <v>37132</v>
      </c>
      <c r="E1540" s="31" t="n">
        <v>10</v>
      </c>
      <c r="F1540" s="31" t="n">
        <v>44.8</v>
      </c>
      <c r="G1540" s="31" t="n">
        <v>8.6</v>
      </c>
      <c r="H1540" s="2" t="s">
        <v>671</v>
      </c>
    </row>
    <row r="1541" customFormat="false" ht="15" hidden="false" customHeight="false" outlineLevel="0" collapsed="false">
      <c r="A1541" s="2" t="s">
        <v>1011</v>
      </c>
      <c r="B1541" s="2" t="s">
        <v>47</v>
      </c>
      <c r="C1541" s="2" t="s">
        <v>4086</v>
      </c>
      <c r="D1541" s="11" t="n">
        <v>36911</v>
      </c>
      <c r="E1541" s="31" t="n">
        <v>7.4</v>
      </c>
      <c r="F1541" s="2"/>
      <c r="G1541" s="31" t="n">
        <v>35.8</v>
      </c>
      <c r="H1541" s="2" t="s">
        <v>668</v>
      </c>
    </row>
    <row r="1542" customFormat="false" ht="15" hidden="false" customHeight="false" outlineLevel="0" collapsed="false">
      <c r="A1542" s="2" t="s">
        <v>1011</v>
      </c>
      <c r="B1542" s="2" t="s">
        <v>47</v>
      </c>
      <c r="C1542" s="2" t="s">
        <v>4087</v>
      </c>
      <c r="D1542" s="11" t="n">
        <v>38403</v>
      </c>
      <c r="E1542" s="31" t="n">
        <v>8.9</v>
      </c>
      <c r="F1542" s="31" t="n">
        <v>52.1</v>
      </c>
      <c r="G1542" s="31" t="n">
        <v>8.4</v>
      </c>
      <c r="H1542" s="2" t="s">
        <v>671</v>
      </c>
    </row>
    <row r="1543" customFormat="false" ht="15" hidden="false" customHeight="false" outlineLevel="0" collapsed="false">
      <c r="A1543" s="2" t="s">
        <v>544</v>
      </c>
      <c r="B1543" s="2" t="s">
        <v>4104</v>
      </c>
      <c r="C1543" s="2" t="s">
        <v>4085</v>
      </c>
      <c r="D1543" s="2"/>
      <c r="E1543" s="31" t="n">
        <v>58</v>
      </c>
      <c r="F1543" s="31" t="n">
        <v>70.3</v>
      </c>
      <c r="G1543" s="31" t="n">
        <v>55.7</v>
      </c>
      <c r="H1543" s="2" t="s">
        <v>671</v>
      </c>
    </row>
    <row r="1544" customFormat="false" ht="15" hidden="false" customHeight="false" outlineLevel="0" collapsed="false">
      <c r="A1544" s="2" t="s">
        <v>544</v>
      </c>
      <c r="B1544" s="2" t="s">
        <v>4104</v>
      </c>
      <c r="C1544" s="2" t="s">
        <v>4086</v>
      </c>
      <c r="D1544" s="2"/>
      <c r="E1544" s="31" t="n">
        <v>78</v>
      </c>
      <c r="F1544" s="31" t="n">
        <v>50</v>
      </c>
      <c r="G1544" s="31" t="n">
        <v>44.4</v>
      </c>
      <c r="H1544" s="2" t="s">
        <v>671</v>
      </c>
    </row>
    <row r="1545" customFormat="false" ht="15" hidden="false" customHeight="false" outlineLevel="0" collapsed="false">
      <c r="A1545" s="2" t="s">
        <v>544</v>
      </c>
      <c r="B1545" s="2" t="s">
        <v>4104</v>
      </c>
      <c r="C1545" s="2" t="s">
        <v>4087</v>
      </c>
      <c r="D1545" s="2"/>
      <c r="E1545" s="31" t="n">
        <v>31</v>
      </c>
      <c r="F1545" s="31" t="n">
        <v>73.4</v>
      </c>
      <c r="G1545" s="31" t="n">
        <v>43.2</v>
      </c>
      <c r="H1545" s="2" t="s">
        <v>671</v>
      </c>
    </row>
    <row r="1546" customFormat="false" ht="15" hidden="false" customHeight="false" outlineLevel="0" collapsed="false">
      <c r="A1546" s="2" t="s">
        <v>544</v>
      </c>
      <c r="B1546" s="2" t="s">
        <v>47</v>
      </c>
      <c r="C1546" s="2" t="s">
        <v>4085</v>
      </c>
      <c r="D1546" s="11" t="n">
        <v>39504</v>
      </c>
      <c r="E1546" s="31" t="n">
        <v>58</v>
      </c>
      <c r="F1546" s="31" t="n">
        <v>70.3</v>
      </c>
      <c r="G1546" s="31" t="n">
        <v>55.7</v>
      </c>
      <c r="H1546" s="2" t="s">
        <v>671</v>
      </c>
    </row>
    <row r="1547" customFormat="false" ht="15" hidden="false" customHeight="false" outlineLevel="0" collapsed="false">
      <c r="A1547" s="2" t="s">
        <v>544</v>
      </c>
      <c r="B1547" s="2" t="s">
        <v>47</v>
      </c>
      <c r="C1547" s="2" t="s">
        <v>4086</v>
      </c>
      <c r="D1547" s="11" t="n">
        <v>40655</v>
      </c>
      <c r="E1547" s="31" t="n">
        <v>78</v>
      </c>
      <c r="F1547" s="31" t="n">
        <v>50</v>
      </c>
      <c r="G1547" s="31" t="n">
        <v>44.4</v>
      </c>
      <c r="H1547" s="2" t="s">
        <v>671</v>
      </c>
    </row>
    <row r="1548" customFormat="false" ht="15" hidden="false" customHeight="false" outlineLevel="0" collapsed="false">
      <c r="A1548" s="2" t="s">
        <v>544</v>
      </c>
      <c r="B1548" s="2" t="s">
        <v>47</v>
      </c>
      <c r="C1548" s="2" t="s">
        <v>4087</v>
      </c>
      <c r="D1548" s="11" t="n">
        <v>42721</v>
      </c>
      <c r="E1548" s="31" t="n">
        <v>31</v>
      </c>
      <c r="F1548" s="31" t="n">
        <v>73.4</v>
      </c>
      <c r="G1548" s="31" t="n">
        <v>43.2</v>
      </c>
      <c r="H1548" s="2" t="s">
        <v>671</v>
      </c>
    </row>
    <row r="1549" customFormat="false" ht="15" hidden="false" customHeight="false" outlineLevel="0" collapsed="false">
      <c r="A1549" s="2" t="s">
        <v>1230</v>
      </c>
      <c r="B1549" s="2" t="s">
        <v>4104</v>
      </c>
      <c r="C1549" s="2" t="s">
        <v>4085</v>
      </c>
      <c r="D1549" s="2"/>
      <c r="E1549" s="31" t="n">
        <v>38.4</v>
      </c>
      <c r="F1549" s="31" t="n">
        <v>48.1</v>
      </c>
      <c r="G1549" s="31" t="n">
        <v>44</v>
      </c>
      <c r="H1549" s="2" t="s">
        <v>671</v>
      </c>
    </row>
    <row r="1550" customFormat="false" ht="15" hidden="false" customHeight="false" outlineLevel="0" collapsed="false">
      <c r="A1550" s="2" t="s">
        <v>1230</v>
      </c>
      <c r="B1550" s="2" t="s">
        <v>4104</v>
      </c>
      <c r="C1550" s="2" t="s">
        <v>4086</v>
      </c>
      <c r="D1550" s="2"/>
      <c r="E1550" s="31" t="n">
        <v>57.3</v>
      </c>
      <c r="F1550" s="31" t="n">
        <v>35.7</v>
      </c>
      <c r="G1550" s="31" t="n">
        <v>53.8</v>
      </c>
      <c r="H1550" s="2" t="s">
        <v>668</v>
      </c>
    </row>
    <row r="1551" customFormat="false" ht="15" hidden="false" customHeight="false" outlineLevel="0" collapsed="false">
      <c r="A1551" s="2" t="s">
        <v>1230</v>
      </c>
      <c r="B1551" s="2" t="s">
        <v>4104</v>
      </c>
      <c r="C1551" s="2" t="s">
        <v>4087</v>
      </c>
      <c r="D1551" s="2"/>
      <c r="E1551" s="31" t="n">
        <v>41.5</v>
      </c>
      <c r="F1551" s="31" t="n">
        <v>56.6</v>
      </c>
      <c r="G1551" s="31" t="n">
        <v>51</v>
      </c>
      <c r="H1551" s="2" t="s">
        <v>668</v>
      </c>
    </row>
    <row r="1552" customFormat="false" ht="15" hidden="false" customHeight="false" outlineLevel="0" collapsed="false">
      <c r="A1552" s="2" t="s">
        <v>1230</v>
      </c>
      <c r="B1552" s="2" t="s">
        <v>45</v>
      </c>
      <c r="C1552" s="2" t="s">
        <v>4085</v>
      </c>
      <c r="D1552" s="11" t="n">
        <v>9560</v>
      </c>
      <c r="E1552" s="31" t="n">
        <v>29.1</v>
      </c>
      <c r="F1552" s="31" t="n">
        <v>80.6</v>
      </c>
      <c r="G1552" s="31" t="n">
        <v>54.5</v>
      </c>
      <c r="H1552" s="2" t="s">
        <v>671</v>
      </c>
    </row>
    <row r="1553" customFormat="false" ht="15" hidden="false" customHeight="false" outlineLevel="0" collapsed="false">
      <c r="A1553" s="2" t="s">
        <v>1230</v>
      </c>
      <c r="B1553" s="2" t="s">
        <v>45</v>
      </c>
      <c r="C1553" s="2" t="s">
        <v>4086</v>
      </c>
      <c r="D1553" s="11" t="n">
        <v>10179</v>
      </c>
      <c r="E1553" s="2"/>
      <c r="F1553" s="31" t="n">
        <v>83.2</v>
      </c>
      <c r="G1553" s="31" t="n">
        <v>76.6</v>
      </c>
      <c r="H1553" s="2" t="s">
        <v>668</v>
      </c>
    </row>
    <row r="1554" customFormat="false" ht="15" hidden="false" customHeight="false" outlineLevel="0" collapsed="false">
      <c r="A1554" s="2" t="s">
        <v>1230</v>
      </c>
      <c r="B1554" s="2" t="s">
        <v>45</v>
      </c>
      <c r="C1554" s="2" t="s">
        <v>4087</v>
      </c>
      <c r="D1554" s="11" t="n">
        <v>10659</v>
      </c>
      <c r="E1554" s="31" t="n">
        <v>23.9</v>
      </c>
      <c r="F1554" s="31" t="n">
        <v>83.7</v>
      </c>
      <c r="G1554" s="31" t="n">
        <v>55.2</v>
      </c>
      <c r="H1554" s="2" t="s">
        <v>671</v>
      </c>
    </row>
    <row r="1555" customFormat="false" ht="15" hidden="false" customHeight="false" outlineLevel="0" collapsed="false">
      <c r="A1555" s="2" t="s">
        <v>1230</v>
      </c>
      <c r="B1555" s="2" t="s">
        <v>46</v>
      </c>
      <c r="C1555" s="2" t="s">
        <v>4085</v>
      </c>
      <c r="D1555" s="11" t="n">
        <v>56920</v>
      </c>
      <c r="E1555" s="31" t="n">
        <v>24.3</v>
      </c>
      <c r="F1555" s="31" t="n">
        <v>15</v>
      </c>
      <c r="G1555" s="31" t="n">
        <v>47.9</v>
      </c>
      <c r="H1555" s="2" t="s">
        <v>671</v>
      </c>
    </row>
    <row r="1556" customFormat="false" ht="15" hidden="false" customHeight="false" outlineLevel="0" collapsed="false">
      <c r="A1556" s="2" t="s">
        <v>1230</v>
      </c>
      <c r="B1556" s="2" t="s">
        <v>46</v>
      </c>
      <c r="C1556" s="2" t="s">
        <v>4086</v>
      </c>
      <c r="D1556" s="11" t="n">
        <v>55870</v>
      </c>
      <c r="E1556" s="31" t="n">
        <v>47.9</v>
      </c>
      <c r="F1556" s="31" t="n">
        <v>4.7</v>
      </c>
      <c r="G1556" s="31" t="n">
        <v>36.9</v>
      </c>
      <c r="H1556" s="2" t="s">
        <v>671</v>
      </c>
    </row>
    <row r="1557" customFormat="false" ht="15" hidden="false" customHeight="false" outlineLevel="0" collapsed="false">
      <c r="A1557" s="2" t="s">
        <v>1230</v>
      </c>
      <c r="B1557" s="2" t="s">
        <v>46</v>
      </c>
      <c r="C1557" s="2" t="s">
        <v>4087</v>
      </c>
      <c r="D1557" s="11" t="n">
        <v>57860</v>
      </c>
      <c r="E1557" s="31" t="n">
        <v>35.1</v>
      </c>
      <c r="F1557" s="31" t="n">
        <v>13.3</v>
      </c>
      <c r="G1557" s="2"/>
      <c r="H1557" s="2" t="s">
        <v>668</v>
      </c>
    </row>
    <row r="1558" customFormat="false" ht="15" hidden="false" customHeight="false" outlineLevel="0" collapsed="false">
      <c r="A1558" s="2" t="s">
        <v>1230</v>
      </c>
      <c r="B1558" s="2" t="s">
        <v>47</v>
      </c>
      <c r="C1558" s="2" t="s">
        <v>4085</v>
      </c>
      <c r="D1558" s="11" t="n">
        <v>113592</v>
      </c>
      <c r="E1558" s="31" t="n">
        <v>61.9</v>
      </c>
      <c r="F1558" s="31" t="n">
        <v>48.8</v>
      </c>
      <c r="G1558" s="31" t="n">
        <v>29.6</v>
      </c>
      <c r="H1558" s="2" t="s">
        <v>671</v>
      </c>
    </row>
    <row r="1559" customFormat="false" ht="15" hidden="false" customHeight="false" outlineLevel="0" collapsed="false">
      <c r="A1559" s="2" t="s">
        <v>1230</v>
      </c>
      <c r="B1559" s="2" t="s">
        <v>47</v>
      </c>
      <c r="C1559" s="2" t="s">
        <v>4086</v>
      </c>
      <c r="D1559" s="11" t="n">
        <v>113204</v>
      </c>
      <c r="E1559" s="31" t="n">
        <v>66.7</v>
      </c>
      <c r="F1559" s="31" t="n">
        <v>19.3</v>
      </c>
      <c r="G1559" s="31" t="n">
        <v>47.8</v>
      </c>
      <c r="H1559" s="2" t="s">
        <v>671</v>
      </c>
    </row>
    <row r="1560" customFormat="false" ht="15" hidden="false" customHeight="false" outlineLevel="0" collapsed="false">
      <c r="A1560" s="2" t="s">
        <v>1230</v>
      </c>
      <c r="B1560" s="2" t="s">
        <v>47</v>
      </c>
      <c r="C1560" s="2" t="s">
        <v>4087</v>
      </c>
      <c r="D1560" s="11" t="n">
        <v>115691</v>
      </c>
      <c r="E1560" s="31" t="n">
        <v>65.6</v>
      </c>
      <c r="F1560" s="31" t="n">
        <v>72.9</v>
      </c>
      <c r="G1560" s="31" t="n">
        <v>46.9</v>
      </c>
      <c r="H1560" s="2" t="s">
        <v>671</v>
      </c>
    </row>
    <row r="1561" customFormat="false" ht="15" hidden="false" customHeight="false" outlineLevel="0" collapsed="false">
      <c r="A1561" s="2" t="s">
        <v>938</v>
      </c>
      <c r="B1561" s="2" t="s">
        <v>4104</v>
      </c>
      <c r="C1561" s="2" t="s">
        <v>4085</v>
      </c>
      <c r="D1561" s="2"/>
      <c r="E1561" s="31" t="n">
        <v>39.5</v>
      </c>
      <c r="F1561" s="31" t="n">
        <v>34.3</v>
      </c>
      <c r="G1561" s="31" t="n">
        <v>48</v>
      </c>
      <c r="H1561" s="2" t="s">
        <v>671</v>
      </c>
    </row>
    <row r="1562" customFormat="false" ht="15" hidden="false" customHeight="false" outlineLevel="0" collapsed="false">
      <c r="A1562" s="2" t="s">
        <v>938</v>
      </c>
      <c r="B1562" s="2" t="s">
        <v>4104</v>
      </c>
      <c r="C1562" s="2" t="s">
        <v>4086</v>
      </c>
      <c r="D1562" s="2"/>
      <c r="E1562" s="31" t="n">
        <v>46.1</v>
      </c>
      <c r="F1562" s="31" t="n">
        <v>32.1</v>
      </c>
      <c r="G1562" s="31" t="n">
        <v>41.5</v>
      </c>
      <c r="H1562" s="2" t="s">
        <v>671</v>
      </c>
    </row>
    <row r="1563" customFormat="false" ht="15" hidden="false" customHeight="false" outlineLevel="0" collapsed="false">
      <c r="A1563" s="2" t="s">
        <v>938</v>
      </c>
      <c r="B1563" s="2" t="s">
        <v>4104</v>
      </c>
      <c r="C1563" s="2" t="s">
        <v>4087</v>
      </c>
      <c r="D1563" s="2"/>
      <c r="E1563" s="31" t="n">
        <v>59.6</v>
      </c>
      <c r="F1563" s="31" t="n">
        <v>27.8</v>
      </c>
      <c r="G1563" s="31" t="n">
        <v>27.4</v>
      </c>
      <c r="H1563" s="2" t="s">
        <v>668</v>
      </c>
    </row>
    <row r="1564" customFormat="false" ht="15" hidden="false" customHeight="false" outlineLevel="0" collapsed="false">
      <c r="A1564" s="2" t="s">
        <v>938</v>
      </c>
      <c r="B1564" s="2" t="s">
        <v>45</v>
      </c>
      <c r="C1564" s="2" t="s">
        <v>4085</v>
      </c>
      <c r="D1564" s="11" t="n">
        <v>52480</v>
      </c>
      <c r="E1564" s="31" t="n">
        <v>68.7</v>
      </c>
      <c r="F1564" s="31" t="n">
        <v>6.2</v>
      </c>
      <c r="G1564" s="31" t="n">
        <v>50.2</v>
      </c>
      <c r="H1564" s="2" t="s">
        <v>671</v>
      </c>
    </row>
    <row r="1565" customFormat="false" ht="15" hidden="false" customHeight="false" outlineLevel="0" collapsed="false">
      <c r="A1565" s="2" t="s">
        <v>938</v>
      </c>
      <c r="B1565" s="2" t="s">
        <v>45</v>
      </c>
      <c r="C1565" s="2" t="s">
        <v>4086</v>
      </c>
      <c r="D1565" s="11" t="n">
        <v>52353</v>
      </c>
      <c r="E1565" s="31" t="n">
        <v>82.2</v>
      </c>
      <c r="F1565" s="31" t="n">
        <v>23.7</v>
      </c>
      <c r="G1565" s="31" t="n">
        <v>9.3</v>
      </c>
      <c r="H1565" s="2" t="s">
        <v>671</v>
      </c>
    </row>
    <row r="1566" customFormat="false" ht="15" hidden="false" customHeight="false" outlineLevel="0" collapsed="false">
      <c r="A1566" s="2" t="s">
        <v>938</v>
      </c>
      <c r="B1566" s="2" t="s">
        <v>45</v>
      </c>
      <c r="C1566" s="2" t="s">
        <v>4087</v>
      </c>
      <c r="D1566" s="11" t="n">
        <v>49973</v>
      </c>
      <c r="E1566" s="31" t="n">
        <v>64.1</v>
      </c>
      <c r="F1566" s="31" t="n">
        <v>16.3</v>
      </c>
      <c r="G1566" s="31" t="n">
        <v>31.2</v>
      </c>
      <c r="H1566" s="2" t="s">
        <v>671</v>
      </c>
    </row>
    <row r="1567" customFormat="false" ht="15" hidden="false" customHeight="false" outlineLevel="0" collapsed="false">
      <c r="A1567" s="2" t="s">
        <v>938</v>
      </c>
      <c r="B1567" s="2" t="s">
        <v>46</v>
      </c>
      <c r="C1567" s="2" t="s">
        <v>4085</v>
      </c>
      <c r="D1567" s="11" t="n">
        <v>49640</v>
      </c>
      <c r="E1567" s="31" t="n">
        <v>47.7</v>
      </c>
      <c r="F1567" s="31" t="n">
        <v>55.1</v>
      </c>
      <c r="G1567" s="31" t="n">
        <v>20.8</v>
      </c>
      <c r="H1567" s="2" t="s">
        <v>671</v>
      </c>
    </row>
    <row r="1568" customFormat="false" ht="15" hidden="false" customHeight="false" outlineLevel="0" collapsed="false">
      <c r="A1568" s="2" t="s">
        <v>938</v>
      </c>
      <c r="B1568" s="2" t="s">
        <v>46</v>
      </c>
      <c r="C1568" s="2" t="s">
        <v>4086</v>
      </c>
      <c r="D1568" s="11" t="n">
        <v>51430</v>
      </c>
      <c r="E1568" s="31" t="n">
        <v>53</v>
      </c>
      <c r="F1568" s="31" t="n">
        <v>43.3</v>
      </c>
      <c r="G1568" s="31" t="n">
        <v>73.5</v>
      </c>
      <c r="H1568" s="2" t="s">
        <v>671</v>
      </c>
    </row>
    <row r="1569" customFormat="false" ht="15" hidden="false" customHeight="false" outlineLevel="0" collapsed="false">
      <c r="A1569" s="2" t="s">
        <v>938</v>
      </c>
      <c r="B1569" s="2" t="s">
        <v>46</v>
      </c>
      <c r="C1569" s="2" t="s">
        <v>4087</v>
      </c>
      <c r="D1569" s="11" t="n">
        <v>53003</v>
      </c>
      <c r="E1569" s="31" t="n">
        <v>55.2</v>
      </c>
      <c r="F1569" s="31" t="n">
        <v>39.4</v>
      </c>
      <c r="G1569" s="31" t="n">
        <v>23.6</v>
      </c>
      <c r="H1569" s="2" t="s">
        <v>671</v>
      </c>
    </row>
    <row r="1570" customFormat="false" ht="15" hidden="false" customHeight="false" outlineLevel="0" collapsed="false">
      <c r="A1570" s="2" t="s">
        <v>938</v>
      </c>
      <c r="B1570" s="2" t="s">
        <v>47</v>
      </c>
      <c r="C1570" s="2" t="s">
        <v>4085</v>
      </c>
      <c r="D1570" s="11" t="n">
        <v>51918</v>
      </c>
      <c r="E1570" s="31" t="n">
        <v>2.1</v>
      </c>
      <c r="F1570" s="31" t="n">
        <v>41.5</v>
      </c>
      <c r="G1570" s="31" t="n">
        <v>73</v>
      </c>
      <c r="H1570" s="2" t="s">
        <v>671</v>
      </c>
    </row>
    <row r="1571" customFormat="false" ht="15" hidden="false" customHeight="false" outlineLevel="0" collapsed="false">
      <c r="A1571" s="2" t="s">
        <v>938</v>
      </c>
      <c r="B1571" s="2" t="s">
        <v>47</v>
      </c>
      <c r="C1571" s="2" t="s">
        <v>4086</v>
      </c>
      <c r="D1571" s="11" t="n">
        <v>51719</v>
      </c>
      <c r="E1571" s="31" t="n">
        <v>3.2</v>
      </c>
      <c r="F1571" s="31" t="n">
        <v>29.2</v>
      </c>
      <c r="G1571" s="31" t="n">
        <v>41.6</v>
      </c>
      <c r="H1571" s="2" t="s">
        <v>671</v>
      </c>
    </row>
    <row r="1572" customFormat="false" ht="15" hidden="false" customHeight="false" outlineLevel="0" collapsed="false">
      <c r="A1572" s="2" t="s">
        <v>938</v>
      </c>
      <c r="B1572" s="2" t="s">
        <v>47</v>
      </c>
      <c r="C1572" s="2" t="s">
        <v>4087</v>
      </c>
      <c r="D1572" s="2"/>
      <c r="E1572" s="2"/>
      <c r="F1572" s="2"/>
      <c r="G1572" s="2"/>
      <c r="H1572" s="2" t="s">
        <v>668</v>
      </c>
    </row>
    <row r="1573" customFormat="false" ht="15" hidden="false" customHeight="false" outlineLevel="0" collapsed="false">
      <c r="A1573" s="2" t="s">
        <v>468</v>
      </c>
      <c r="B1573" s="2" t="s">
        <v>4104</v>
      </c>
      <c r="C1573" s="2" t="s">
        <v>4085</v>
      </c>
      <c r="D1573" s="2"/>
      <c r="E1573" s="31" t="n">
        <v>0.5</v>
      </c>
      <c r="F1573" s="2"/>
      <c r="G1573" s="31" t="n">
        <v>0.8</v>
      </c>
      <c r="H1573" s="2" t="s">
        <v>668</v>
      </c>
    </row>
    <row r="1574" customFormat="false" ht="15" hidden="false" customHeight="false" outlineLevel="0" collapsed="false">
      <c r="A1574" s="2" t="s">
        <v>468</v>
      </c>
      <c r="B1574" s="2" t="s">
        <v>4104</v>
      </c>
      <c r="C1574" s="2" t="s">
        <v>4086</v>
      </c>
      <c r="D1574" s="2"/>
      <c r="E1574" s="31" t="n">
        <v>37.2</v>
      </c>
      <c r="F1574" s="31" t="n">
        <v>74.8</v>
      </c>
      <c r="G1574" s="31" t="n">
        <v>7.4</v>
      </c>
      <c r="H1574" s="2" t="s">
        <v>671</v>
      </c>
    </row>
    <row r="1575" customFormat="false" ht="15" hidden="false" customHeight="false" outlineLevel="0" collapsed="false">
      <c r="A1575" s="2" t="s">
        <v>468</v>
      </c>
      <c r="B1575" s="2" t="s">
        <v>4104</v>
      </c>
      <c r="C1575" s="2" t="s">
        <v>4087</v>
      </c>
      <c r="D1575" s="2"/>
      <c r="E1575" s="31" t="n">
        <v>39.4</v>
      </c>
      <c r="F1575" s="31" t="n">
        <v>68.6</v>
      </c>
      <c r="G1575" s="31" t="n">
        <v>7.8</v>
      </c>
      <c r="H1575" s="2" t="s">
        <v>671</v>
      </c>
    </row>
    <row r="1576" customFormat="false" ht="15" hidden="false" customHeight="false" outlineLevel="0" collapsed="false">
      <c r="A1576" s="2" t="s">
        <v>468</v>
      </c>
      <c r="B1576" s="2" t="s">
        <v>45</v>
      </c>
      <c r="C1576" s="2" t="s">
        <v>4085</v>
      </c>
      <c r="D1576" s="2"/>
      <c r="E1576" s="2"/>
      <c r="F1576" s="2"/>
      <c r="G1576" s="2"/>
      <c r="H1576" s="2" t="s">
        <v>668</v>
      </c>
    </row>
    <row r="1577" customFormat="false" ht="15" hidden="false" customHeight="false" outlineLevel="0" collapsed="false">
      <c r="A1577" s="2" t="s">
        <v>468</v>
      </c>
      <c r="B1577" s="2" t="s">
        <v>45</v>
      </c>
      <c r="C1577" s="2" t="s">
        <v>4086</v>
      </c>
      <c r="D1577" s="11" t="n">
        <v>96240</v>
      </c>
      <c r="E1577" s="31" t="n">
        <v>72</v>
      </c>
      <c r="F1577" s="31" t="n">
        <v>88.3</v>
      </c>
      <c r="G1577" s="31" t="n">
        <v>14</v>
      </c>
      <c r="H1577" s="2" t="s">
        <v>671</v>
      </c>
    </row>
    <row r="1578" customFormat="false" ht="15" hidden="false" customHeight="false" outlineLevel="0" collapsed="false">
      <c r="A1578" s="2" t="s">
        <v>468</v>
      </c>
      <c r="B1578" s="2" t="s">
        <v>45</v>
      </c>
      <c r="C1578" s="2" t="s">
        <v>4087</v>
      </c>
      <c r="D1578" s="11" t="n">
        <v>104670</v>
      </c>
      <c r="E1578" s="31" t="n">
        <v>76.1</v>
      </c>
      <c r="F1578" s="31" t="n">
        <v>74.6</v>
      </c>
      <c r="G1578" s="31" t="n">
        <v>14.9</v>
      </c>
      <c r="H1578" s="2" t="s">
        <v>671</v>
      </c>
    </row>
    <row r="1579" customFormat="false" ht="15" hidden="false" customHeight="false" outlineLevel="0" collapsed="false">
      <c r="A1579" s="2" t="s">
        <v>468</v>
      </c>
      <c r="B1579" s="2" t="s">
        <v>47</v>
      </c>
      <c r="C1579" s="2" t="s">
        <v>4085</v>
      </c>
      <c r="D1579" s="11" t="n">
        <v>1290</v>
      </c>
      <c r="E1579" s="31" t="n">
        <v>0.5</v>
      </c>
      <c r="F1579" s="2"/>
      <c r="G1579" s="31" t="n">
        <v>0.8</v>
      </c>
      <c r="H1579" s="2" t="s">
        <v>668</v>
      </c>
    </row>
    <row r="1580" customFormat="false" ht="15" hidden="false" customHeight="false" outlineLevel="0" collapsed="false">
      <c r="A1580" s="2" t="s">
        <v>468</v>
      </c>
      <c r="B1580" s="2" t="s">
        <v>47</v>
      </c>
      <c r="C1580" s="2" t="s">
        <v>4086</v>
      </c>
      <c r="D1580" s="11" t="n">
        <v>1290</v>
      </c>
      <c r="E1580" s="31" t="n">
        <v>2.3</v>
      </c>
      <c r="F1580" s="31" t="n">
        <v>61.3</v>
      </c>
      <c r="G1580" s="31" t="n">
        <v>0.9</v>
      </c>
      <c r="H1580" s="2" t="s">
        <v>671</v>
      </c>
    </row>
    <row r="1581" customFormat="false" ht="15" hidden="false" customHeight="false" outlineLevel="0" collapsed="false">
      <c r="A1581" s="2" t="s">
        <v>468</v>
      </c>
      <c r="B1581" s="2" t="s">
        <v>47</v>
      </c>
      <c r="C1581" s="2" t="s">
        <v>4087</v>
      </c>
      <c r="D1581" s="11" t="n">
        <v>1380</v>
      </c>
      <c r="E1581" s="31" t="n">
        <v>2.7</v>
      </c>
      <c r="F1581" s="31" t="n">
        <v>62.7</v>
      </c>
      <c r="G1581" s="31" t="n">
        <v>0.7</v>
      </c>
      <c r="H1581" s="2" t="s">
        <v>671</v>
      </c>
    </row>
    <row r="1582" customFormat="false" ht="15" hidden="false" customHeight="false" outlineLevel="0" collapsed="false">
      <c r="A1582" s="2" t="s">
        <v>356</v>
      </c>
      <c r="B1582" s="2" t="s">
        <v>4104</v>
      </c>
      <c r="C1582" s="2" t="s">
        <v>4085</v>
      </c>
      <c r="D1582" s="2"/>
      <c r="E1582" s="31" t="n">
        <v>54.4</v>
      </c>
      <c r="F1582" s="31" t="n">
        <v>20.2</v>
      </c>
      <c r="G1582" s="31" t="n">
        <v>33.8</v>
      </c>
      <c r="H1582" s="2" t="s">
        <v>668</v>
      </c>
    </row>
    <row r="1583" customFormat="false" ht="15" hidden="false" customHeight="false" outlineLevel="0" collapsed="false">
      <c r="A1583" s="2" t="s">
        <v>356</v>
      </c>
      <c r="B1583" s="2" t="s">
        <v>4104</v>
      </c>
      <c r="C1583" s="2" t="s">
        <v>4086</v>
      </c>
      <c r="D1583" s="2"/>
      <c r="E1583" s="31" t="n">
        <v>64.6</v>
      </c>
      <c r="F1583" s="31" t="n">
        <v>3.6</v>
      </c>
      <c r="G1583" s="31" t="n">
        <v>48.4</v>
      </c>
      <c r="H1583" s="2" t="s">
        <v>668</v>
      </c>
    </row>
    <row r="1584" customFormat="false" ht="15" hidden="false" customHeight="false" outlineLevel="0" collapsed="false">
      <c r="A1584" s="2" t="s">
        <v>356</v>
      </c>
      <c r="B1584" s="2" t="s">
        <v>4104</v>
      </c>
      <c r="C1584" s="2" t="s">
        <v>4087</v>
      </c>
      <c r="D1584" s="2"/>
      <c r="E1584" s="31" t="n">
        <v>52.1</v>
      </c>
      <c r="F1584" s="31" t="n">
        <v>49.1</v>
      </c>
      <c r="G1584" s="31" t="n">
        <v>49.2</v>
      </c>
      <c r="H1584" s="2" t="s">
        <v>671</v>
      </c>
    </row>
    <row r="1585" customFormat="false" ht="15" hidden="false" customHeight="false" outlineLevel="0" collapsed="false">
      <c r="A1585" s="2" t="s">
        <v>356</v>
      </c>
      <c r="B1585" s="2" t="s">
        <v>45</v>
      </c>
      <c r="C1585" s="2" t="s">
        <v>4085</v>
      </c>
      <c r="D1585" s="11" t="n">
        <v>242533</v>
      </c>
      <c r="E1585" s="31" t="n">
        <v>77.7</v>
      </c>
      <c r="F1585" s="31" t="n">
        <v>22.6</v>
      </c>
      <c r="G1585" s="31" t="n">
        <v>32.4</v>
      </c>
      <c r="H1585" s="2" t="s">
        <v>671</v>
      </c>
    </row>
    <row r="1586" customFormat="false" ht="15" hidden="false" customHeight="false" outlineLevel="0" collapsed="false">
      <c r="A1586" s="2" t="s">
        <v>356</v>
      </c>
      <c r="B1586" s="2" t="s">
        <v>45</v>
      </c>
      <c r="C1586" s="2" t="s">
        <v>4086</v>
      </c>
      <c r="D1586" s="11" t="n">
        <v>246240</v>
      </c>
      <c r="E1586" s="31" t="n">
        <v>69.2</v>
      </c>
      <c r="F1586" s="31" t="n">
        <v>3.6</v>
      </c>
      <c r="G1586" s="31" t="n">
        <v>47.3</v>
      </c>
      <c r="H1586" s="2" t="s">
        <v>671</v>
      </c>
    </row>
    <row r="1587" customFormat="false" ht="15" hidden="false" customHeight="false" outlineLevel="0" collapsed="false">
      <c r="A1587" s="2" t="s">
        <v>356</v>
      </c>
      <c r="B1587" s="2" t="s">
        <v>45</v>
      </c>
      <c r="C1587" s="2" t="s">
        <v>4087</v>
      </c>
      <c r="D1587" s="11" t="n">
        <v>243057</v>
      </c>
      <c r="E1587" s="31" t="n">
        <v>68.2</v>
      </c>
      <c r="F1587" s="31" t="n">
        <v>8.7</v>
      </c>
      <c r="G1587" s="31" t="n">
        <v>84</v>
      </c>
      <c r="H1587" s="2" t="s">
        <v>671</v>
      </c>
    </row>
    <row r="1588" customFormat="false" ht="15" hidden="false" customHeight="false" outlineLevel="0" collapsed="false">
      <c r="A1588" s="2" t="s">
        <v>356</v>
      </c>
      <c r="B1588" s="2" t="s">
        <v>46</v>
      </c>
      <c r="C1588" s="2" t="s">
        <v>4085</v>
      </c>
      <c r="D1588" s="11" t="n">
        <v>114386</v>
      </c>
      <c r="E1588" s="31" t="n">
        <v>30.3</v>
      </c>
      <c r="F1588" s="2"/>
      <c r="G1588" s="2"/>
      <c r="H1588" s="2" t="s">
        <v>668</v>
      </c>
    </row>
    <row r="1589" customFormat="false" ht="15" hidden="false" customHeight="false" outlineLevel="0" collapsed="false">
      <c r="A1589" s="2" t="s">
        <v>356</v>
      </c>
      <c r="B1589" s="2" t="s">
        <v>46</v>
      </c>
      <c r="C1589" s="2" t="s">
        <v>4086</v>
      </c>
      <c r="D1589" s="2"/>
      <c r="E1589" s="2"/>
      <c r="F1589" s="2"/>
      <c r="G1589" s="2"/>
      <c r="H1589" s="2" t="s">
        <v>668</v>
      </c>
    </row>
    <row r="1590" customFormat="false" ht="15" hidden="false" customHeight="false" outlineLevel="0" collapsed="false">
      <c r="A1590" s="2" t="s">
        <v>356</v>
      </c>
      <c r="B1590" s="2" t="s">
        <v>46</v>
      </c>
      <c r="C1590" s="2" t="s">
        <v>4087</v>
      </c>
      <c r="D1590" s="11" t="n">
        <v>123094</v>
      </c>
      <c r="E1590" s="31" t="n">
        <v>14.4</v>
      </c>
      <c r="F1590" s="31" t="n">
        <v>72.2</v>
      </c>
      <c r="G1590" s="31" t="n">
        <v>45.6</v>
      </c>
      <c r="H1590" s="2" t="s">
        <v>671</v>
      </c>
    </row>
    <row r="1591" customFormat="false" ht="15" hidden="false" customHeight="false" outlineLevel="0" collapsed="false">
      <c r="A1591" s="2" t="s">
        <v>356</v>
      </c>
      <c r="B1591" s="2" t="s">
        <v>47</v>
      </c>
      <c r="C1591" s="2" t="s">
        <v>4085</v>
      </c>
      <c r="D1591" s="11" t="n">
        <v>458360</v>
      </c>
      <c r="E1591" s="31" t="n">
        <v>55.2</v>
      </c>
      <c r="F1591" s="31" t="n">
        <v>17.9</v>
      </c>
      <c r="G1591" s="31" t="n">
        <v>35.3</v>
      </c>
      <c r="H1591" s="2" t="s">
        <v>671</v>
      </c>
    </row>
    <row r="1592" customFormat="false" ht="15" hidden="false" customHeight="false" outlineLevel="0" collapsed="false">
      <c r="A1592" s="2" t="s">
        <v>356</v>
      </c>
      <c r="B1592" s="2" t="s">
        <v>47</v>
      </c>
      <c r="C1592" s="2" t="s">
        <v>4086</v>
      </c>
      <c r="D1592" s="11" t="n">
        <v>468900</v>
      </c>
      <c r="E1592" s="31" t="n">
        <v>60.1</v>
      </c>
      <c r="F1592" s="2"/>
      <c r="G1592" s="31" t="n">
        <v>49.5</v>
      </c>
      <c r="H1592" s="2" t="s">
        <v>668</v>
      </c>
    </row>
    <row r="1593" customFormat="false" ht="15" hidden="false" customHeight="false" outlineLevel="0" collapsed="false">
      <c r="A1593" s="2" t="s">
        <v>356</v>
      </c>
      <c r="B1593" s="2" t="s">
        <v>47</v>
      </c>
      <c r="C1593" s="2" t="s">
        <v>4087</v>
      </c>
      <c r="D1593" s="11" t="n">
        <v>468152</v>
      </c>
      <c r="E1593" s="31" t="n">
        <v>73.6</v>
      </c>
      <c r="F1593" s="31" t="n">
        <v>66.3</v>
      </c>
      <c r="G1593" s="31" t="n">
        <v>18.1</v>
      </c>
      <c r="H1593" s="2" t="s">
        <v>671</v>
      </c>
    </row>
    <row r="1594" customFormat="false" ht="15" hidden="false" customHeight="false" outlineLevel="0" collapsed="false">
      <c r="A1594" s="2" t="s">
        <v>1476</v>
      </c>
      <c r="B1594" s="2" t="s">
        <v>4104</v>
      </c>
      <c r="C1594" s="2" t="s">
        <v>4087</v>
      </c>
      <c r="D1594" s="2"/>
      <c r="E1594" s="31" t="n">
        <v>72.2</v>
      </c>
      <c r="F1594" s="31" t="n">
        <v>39.4</v>
      </c>
      <c r="G1594" s="31" t="n">
        <v>85</v>
      </c>
      <c r="H1594" s="2" t="s">
        <v>668</v>
      </c>
    </row>
    <row r="1595" customFormat="false" ht="15" hidden="false" customHeight="false" outlineLevel="0" collapsed="false">
      <c r="A1595" s="2" t="s">
        <v>1476</v>
      </c>
      <c r="B1595" s="2" t="s">
        <v>45</v>
      </c>
      <c r="C1595" s="2" t="s">
        <v>4087</v>
      </c>
      <c r="D1595" s="2"/>
      <c r="E1595" s="2"/>
      <c r="F1595" s="2"/>
      <c r="G1595" s="2"/>
      <c r="H1595" s="2" t="s">
        <v>668</v>
      </c>
    </row>
    <row r="1596" customFormat="false" ht="15" hidden="false" customHeight="false" outlineLevel="0" collapsed="false">
      <c r="A1596" s="2" t="s">
        <v>1476</v>
      </c>
      <c r="B1596" s="2" t="s">
        <v>46</v>
      </c>
      <c r="C1596" s="2" t="s">
        <v>4087</v>
      </c>
      <c r="D1596" s="11" t="n">
        <v>28625</v>
      </c>
      <c r="E1596" s="31" t="n">
        <v>84.8</v>
      </c>
      <c r="F1596" s="31" t="n">
        <v>41.1</v>
      </c>
      <c r="G1596" s="31" t="n">
        <v>79.8</v>
      </c>
      <c r="H1596" s="2" t="s">
        <v>671</v>
      </c>
    </row>
    <row r="1597" customFormat="false" ht="15" hidden="false" customHeight="false" outlineLevel="0" collapsed="false">
      <c r="A1597" s="2" t="s">
        <v>1476</v>
      </c>
      <c r="B1597" s="2" t="s">
        <v>47</v>
      </c>
      <c r="C1597" s="2" t="s">
        <v>4087</v>
      </c>
      <c r="D1597" s="11" t="n">
        <v>98256</v>
      </c>
      <c r="E1597" s="31" t="n">
        <v>59.5</v>
      </c>
      <c r="F1597" s="31" t="n">
        <v>37.6</v>
      </c>
      <c r="G1597" s="31" t="n">
        <v>90.3</v>
      </c>
      <c r="H1597" s="2" t="s">
        <v>671</v>
      </c>
    </row>
    <row r="1598" customFormat="false" ht="15" hidden="false" customHeight="false" outlineLevel="0" collapsed="false">
      <c r="A1598" s="2" t="s">
        <v>1258</v>
      </c>
      <c r="B1598" s="2" t="s">
        <v>4104</v>
      </c>
      <c r="C1598" s="2" t="s">
        <v>4085</v>
      </c>
      <c r="D1598" s="2"/>
      <c r="E1598" s="31" t="n">
        <v>53.4</v>
      </c>
      <c r="F1598" s="31" t="n">
        <v>50.8</v>
      </c>
      <c r="G1598" s="31" t="n">
        <v>11.4</v>
      </c>
      <c r="H1598" s="2" t="s">
        <v>668</v>
      </c>
    </row>
    <row r="1599" customFormat="false" ht="15" hidden="false" customHeight="false" outlineLevel="0" collapsed="false">
      <c r="A1599" s="2" t="s">
        <v>1258</v>
      </c>
      <c r="B1599" s="2" t="s">
        <v>4104</v>
      </c>
      <c r="C1599" s="2" t="s">
        <v>4086</v>
      </c>
      <c r="D1599" s="2"/>
      <c r="E1599" s="31" t="n">
        <v>49.2</v>
      </c>
      <c r="F1599" s="31" t="n">
        <v>43.8</v>
      </c>
      <c r="G1599" s="31" t="n">
        <v>23</v>
      </c>
      <c r="H1599" s="2" t="s">
        <v>668</v>
      </c>
    </row>
    <row r="1600" customFormat="false" ht="15" hidden="false" customHeight="false" outlineLevel="0" collapsed="false">
      <c r="A1600" s="2" t="s">
        <v>1258</v>
      </c>
      <c r="B1600" s="2" t="s">
        <v>4104</v>
      </c>
      <c r="C1600" s="2" t="s">
        <v>4087</v>
      </c>
      <c r="D1600" s="2"/>
      <c r="E1600" s="31" t="n">
        <v>51.7</v>
      </c>
      <c r="F1600" s="31" t="n">
        <v>48.4</v>
      </c>
      <c r="G1600" s="31" t="n">
        <v>4.5</v>
      </c>
      <c r="H1600" s="2" t="s">
        <v>668</v>
      </c>
    </row>
    <row r="1601" customFormat="false" ht="15" hidden="false" customHeight="false" outlineLevel="0" collapsed="false">
      <c r="A1601" s="2" t="s">
        <v>1258</v>
      </c>
      <c r="B1601" s="2" t="s">
        <v>45</v>
      </c>
      <c r="C1601" s="2" t="s">
        <v>4085</v>
      </c>
      <c r="D1601" s="11" t="n">
        <v>105298</v>
      </c>
      <c r="E1601" s="31" t="n">
        <v>27</v>
      </c>
      <c r="F1601" s="31" t="n">
        <v>67.1</v>
      </c>
      <c r="G1601" s="31" t="n">
        <v>14.6</v>
      </c>
      <c r="H1601" s="2" t="s">
        <v>671</v>
      </c>
    </row>
    <row r="1602" customFormat="false" ht="15" hidden="false" customHeight="false" outlineLevel="0" collapsed="false">
      <c r="A1602" s="2" t="s">
        <v>1258</v>
      </c>
      <c r="B1602" s="2" t="s">
        <v>45</v>
      </c>
      <c r="C1602" s="2" t="s">
        <v>4086</v>
      </c>
      <c r="D1602" s="11" t="n">
        <v>108000</v>
      </c>
      <c r="E1602" s="31" t="n">
        <v>25.1</v>
      </c>
      <c r="F1602" s="31" t="n">
        <v>72.1</v>
      </c>
      <c r="G1602" s="31" t="n">
        <v>9.1</v>
      </c>
      <c r="H1602" s="2" t="s">
        <v>671</v>
      </c>
    </row>
    <row r="1603" customFormat="false" ht="15" hidden="false" customHeight="false" outlineLevel="0" collapsed="false">
      <c r="A1603" s="2" t="s">
        <v>1258</v>
      </c>
      <c r="B1603" s="2" t="s">
        <v>45</v>
      </c>
      <c r="C1603" s="2" t="s">
        <v>4087</v>
      </c>
      <c r="D1603" s="11" t="n">
        <v>110470</v>
      </c>
      <c r="E1603" s="31" t="n">
        <v>19.9</v>
      </c>
      <c r="F1603" s="31" t="n">
        <v>73.2</v>
      </c>
      <c r="G1603" s="31" t="n">
        <v>5.8</v>
      </c>
      <c r="H1603" s="2" t="s">
        <v>671</v>
      </c>
    </row>
    <row r="1604" customFormat="false" ht="15" hidden="false" customHeight="false" outlineLevel="0" collapsed="false">
      <c r="A1604" s="2" t="s">
        <v>1258</v>
      </c>
      <c r="B1604" s="2" t="s">
        <v>46</v>
      </c>
      <c r="C1604" s="2" t="s">
        <v>4085</v>
      </c>
      <c r="D1604" s="2"/>
      <c r="E1604" s="2"/>
      <c r="F1604" s="2"/>
      <c r="G1604" s="2"/>
      <c r="H1604" s="2" t="s">
        <v>668</v>
      </c>
    </row>
    <row r="1605" customFormat="false" ht="15" hidden="false" customHeight="false" outlineLevel="0" collapsed="false">
      <c r="A1605" s="2" t="s">
        <v>1258</v>
      </c>
      <c r="B1605" s="2" t="s">
        <v>46</v>
      </c>
      <c r="C1605" s="2" t="s">
        <v>4086</v>
      </c>
      <c r="D1605" s="11" t="n">
        <v>66910</v>
      </c>
      <c r="E1605" s="2"/>
      <c r="F1605" s="31" t="n">
        <v>41.8</v>
      </c>
      <c r="G1605" s="31" t="n">
        <v>53</v>
      </c>
      <c r="H1605" s="2" t="s">
        <v>668</v>
      </c>
    </row>
    <row r="1606" customFormat="false" ht="15" hidden="false" customHeight="false" outlineLevel="0" collapsed="false">
      <c r="A1606" s="2" t="s">
        <v>1258</v>
      </c>
      <c r="B1606" s="2" t="s">
        <v>46</v>
      </c>
      <c r="C1606" s="2" t="s">
        <v>4087</v>
      </c>
      <c r="D1606" s="2"/>
      <c r="E1606" s="2"/>
      <c r="F1606" s="2"/>
      <c r="G1606" s="2"/>
      <c r="H1606" s="2" t="s">
        <v>668</v>
      </c>
    </row>
    <row r="1607" customFormat="false" ht="15" hidden="false" customHeight="false" outlineLevel="0" collapsed="false">
      <c r="A1607" s="2" t="s">
        <v>1258</v>
      </c>
      <c r="B1607" s="2" t="s">
        <v>47</v>
      </c>
      <c r="C1607" s="2" t="s">
        <v>4085</v>
      </c>
      <c r="D1607" s="11" t="n">
        <v>118389</v>
      </c>
      <c r="E1607" s="31" t="n">
        <v>79.9</v>
      </c>
      <c r="F1607" s="31" t="n">
        <v>34.6</v>
      </c>
      <c r="G1607" s="31" t="n">
        <v>8.1</v>
      </c>
      <c r="H1607" s="2" t="s">
        <v>671</v>
      </c>
    </row>
    <row r="1608" customFormat="false" ht="15" hidden="false" customHeight="false" outlineLevel="0" collapsed="false">
      <c r="A1608" s="2" t="s">
        <v>1258</v>
      </c>
      <c r="B1608" s="2" t="s">
        <v>47</v>
      </c>
      <c r="C1608" s="2" t="s">
        <v>4086</v>
      </c>
      <c r="D1608" s="11" t="n">
        <v>124220</v>
      </c>
      <c r="E1608" s="31" t="n">
        <v>73.4</v>
      </c>
      <c r="F1608" s="31" t="n">
        <v>17.4</v>
      </c>
      <c r="G1608" s="31" t="n">
        <v>7</v>
      </c>
      <c r="H1608" s="2" t="s">
        <v>671</v>
      </c>
    </row>
    <row r="1609" customFormat="false" ht="15" hidden="false" customHeight="false" outlineLevel="0" collapsed="false">
      <c r="A1609" s="2" t="s">
        <v>1258</v>
      </c>
      <c r="B1609" s="2" t="s">
        <v>47</v>
      </c>
      <c r="C1609" s="2" t="s">
        <v>4087</v>
      </c>
      <c r="D1609" s="11" t="n">
        <v>121542</v>
      </c>
      <c r="E1609" s="31" t="n">
        <v>83.5</v>
      </c>
      <c r="F1609" s="31" t="n">
        <v>23.5</v>
      </c>
      <c r="G1609" s="31" t="n">
        <v>3.2</v>
      </c>
      <c r="H1609" s="2" t="s">
        <v>671</v>
      </c>
    </row>
    <row r="1610" customFormat="false" ht="15" hidden="false" customHeight="false" outlineLevel="0" collapsed="false">
      <c r="A1610" s="2" t="s">
        <v>2072</v>
      </c>
      <c r="B1610" s="2" t="s">
        <v>4104</v>
      </c>
      <c r="C1610" s="2" t="s">
        <v>4085</v>
      </c>
      <c r="D1610" s="2"/>
      <c r="E1610" s="31" t="n">
        <v>63.7</v>
      </c>
      <c r="F1610" s="31" t="n">
        <v>61</v>
      </c>
      <c r="G1610" s="31" t="n">
        <v>63.8</v>
      </c>
      <c r="H1610" s="2" t="s">
        <v>671</v>
      </c>
    </row>
    <row r="1611" customFormat="false" ht="15" hidden="false" customHeight="false" outlineLevel="0" collapsed="false">
      <c r="A1611" s="2" t="s">
        <v>2072</v>
      </c>
      <c r="B1611" s="2" t="s">
        <v>4104</v>
      </c>
      <c r="C1611" s="2" t="s">
        <v>4086</v>
      </c>
      <c r="D1611" s="2"/>
      <c r="E1611" s="31" t="n">
        <v>63.5</v>
      </c>
      <c r="F1611" s="31" t="n">
        <v>38.1</v>
      </c>
      <c r="G1611" s="31" t="n">
        <v>51.3</v>
      </c>
      <c r="H1611" s="2" t="s">
        <v>668</v>
      </c>
    </row>
    <row r="1612" customFormat="false" ht="15" hidden="false" customHeight="false" outlineLevel="0" collapsed="false">
      <c r="A1612" s="2" t="s">
        <v>2072</v>
      </c>
      <c r="B1612" s="2" t="s">
        <v>4104</v>
      </c>
      <c r="C1612" s="2" t="s">
        <v>4087</v>
      </c>
      <c r="D1612" s="2"/>
      <c r="E1612" s="31" t="n">
        <v>85</v>
      </c>
      <c r="F1612" s="31" t="n">
        <v>63.5</v>
      </c>
      <c r="G1612" s="31" t="n">
        <v>30.9</v>
      </c>
      <c r="H1612" s="2" t="s">
        <v>668</v>
      </c>
    </row>
    <row r="1613" customFormat="false" ht="15" hidden="false" customHeight="false" outlineLevel="0" collapsed="false">
      <c r="A1613" s="2" t="s">
        <v>2072</v>
      </c>
      <c r="B1613" s="2" t="s">
        <v>45</v>
      </c>
      <c r="C1613" s="2" t="s">
        <v>4085</v>
      </c>
      <c r="D1613" s="11" t="n">
        <v>51750</v>
      </c>
      <c r="E1613" s="31" t="n">
        <v>47.3</v>
      </c>
      <c r="F1613" s="31" t="n">
        <v>13.1</v>
      </c>
      <c r="G1613" s="2"/>
      <c r="H1613" s="2" t="s">
        <v>671</v>
      </c>
    </row>
    <row r="1614" customFormat="false" ht="15" hidden="false" customHeight="false" outlineLevel="0" collapsed="false">
      <c r="A1614" s="2" t="s">
        <v>2072</v>
      </c>
      <c r="B1614" s="2" t="s">
        <v>45</v>
      </c>
      <c r="C1614" s="2" t="s">
        <v>4086</v>
      </c>
      <c r="D1614" s="11" t="n">
        <v>53040</v>
      </c>
      <c r="E1614" s="31" t="n">
        <v>42.3</v>
      </c>
      <c r="F1614" s="31" t="n">
        <v>14.4</v>
      </c>
      <c r="G1614" s="2"/>
      <c r="H1614" s="2" t="s">
        <v>671</v>
      </c>
    </row>
    <row r="1615" customFormat="false" ht="15" hidden="false" customHeight="false" outlineLevel="0" collapsed="false">
      <c r="A1615" s="2" t="s">
        <v>2072</v>
      </c>
      <c r="B1615" s="2" t="s">
        <v>45</v>
      </c>
      <c r="C1615" s="2" t="s">
        <v>4087</v>
      </c>
      <c r="D1615" s="2"/>
      <c r="E1615" s="2"/>
      <c r="F1615" s="2"/>
      <c r="G1615" s="2"/>
      <c r="H1615" s="2" t="s">
        <v>668</v>
      </c>
    </row>
    <row r="1616" customFormat="false" ht="15" hidden="false" customHeight="false" outlineLevel="0" collapsed="false">
      <c r="A1616" s="2" t="s">
        <v>2072</v>
      </c>
      <c r="B1616" s="2" t="s">
        <v>46</v>
      </c>
      <c r="C1616" s="2" t="s">
        <v>4085</v>
      </c>
      <c r="D1616" s="11" t="n">
        <v>14421</v>
      </c>
      <c r="E1616" s="31" t="n">
        <v>66.7</v>
      </c>
      <c r="F1616" s="31" t="n">
        <v>98.1</v>
      </c>
      <c r="G1616" s="31" t="n">
        <v>87.9</v>
      </c>
      <c r="H1616" s="2" t="s">
        <v>671</v>
      </c>
    </row>
    <row r="1617" customFormat="false" ht="15" hidden="false" customHeight="false" outlineLevel="0" collapsed="false">
      <c r="A1617" s="2" t="s">
        <v>2072</v>
      </c>
      <c r="B1617" s="2" t="s">
        <v>46</v>
      </c>
      <c r="C1617" s="2" t="s">
        <v>4086</v>
      </c>
      <c r="D1617" s="2"/>
      <c r="E1617" s="2"/>
      <c r="F1617" s="2"/>
      <c r="G1617" s="2"/>
      <c r="H1617" s="2" t="s">
        <v>668</v>
      </c>
    </row>
    <row r="1618" customFormat="false" ht="15" hidden="false" customHeight="false" outlineLevel="0" collapsed="false">
      <c r="A1618" s="2" t="s">
        <v>2072</v>
      </c>
      <c r="B1618" s="2" t="s">
        <v>46</v>
      </c>
      <c r="C1618" s="2" t="s">
        <v>4087</v>
      </c>
      <c r="D1618" s="2"/>
      <c r="E1618" s="2"/>
      <c r="F1618" s="2"/>
      <c r="G1618" s="2"/>
      <c r="H1618" s="2" t="s">
        <v>668</v>
      </c>
    </row>
    <row r="1619" customFormat="false" ht="15" hidden="false" customHeight="false" outlineLevel="0" collapsed="false">
      <c r="A1619" s="2" t="s">
        <v>2072</v>
      </c>
      <c r="B1619" s="2" t="s">
        <v>47</v>
      </c>
      <c r="C1619" s="2" t="s">
        <v>4085</v>
      </c>
      <c r="D1619" s="11" t="n">
        <v>14843</v>
      </c>
      <c r="E1619" s="31" t="n">
        <v>77.2</v>
      </c>
      <c r="F1619" s="31" t="n">
        <v>71.9</v>
      </c>
      <c r="G1619" s="31" t="n">
        <v>39.7</v>
      </c>
      <c r="H1619" s="2" t="s">
        <v>671</v>
      </c>
    </row>
    <row r="1620" customFormat="false" ht="15" hidden="false" customHeight="false" outlineLevel="0" collapsed="false">
      <c r="A1620" s="2" t="s">
        <v>2072</v>
      </c>
      <c r="B1620" s="2" t="s">
        <v>47</v>
      </c>
      <c r="C1620" s="2" t="s">
        <v>4086</v>
      </c>
      <c r="D1620" s="11" t="n">
        <v>15543</v>
      </c>
      <c r="E1620" s="31" t="n">
        <v>84.7</v>
      </c>
      <c r="F1620" s="31" t="n">
        <v>61.7</v>
      </c>
      <c r="G1620" s="31" t="n">
        <v>51.3</v>
      </c>
      <c r="H1620" s="2" t="s">
        <v>671</v>
      </c>
    </row>
    <row r="1621" customFormat="false" ht="15" hidden="false" customHeight="false" outlineLevel="0" collapsed="false">
      <c r="A1621" s="2" t="s">
        <v>2072</v>
      </c>
      <c r="B1621" s="2" t="s">
        <v>47</v>
      </c>
      <c r="C1621" s="2" t="s">
        <v>4087</v>
      </c>
      <c r="D1621" s="11" t="n">
        <v>16051</v>
      </c>
      <c r="E1621" s="31" t="n">
        <v>85</v>
      </c>
      <c r="F1621" s="31" t="n">
        <v>63.5</v>
      </c>
      <c r="G1621" s="31" t="n">
        <v>30.9</v>
      </c>
      <c r="H1621" s="2" t="s">
        <v>671</v>
      </c>
    </row>
    <row r="1622" customFormat="false" ht="15" hidden="false" customHeight="false" outlineLevel="0" collapsed="false">
      <c r="A1622" s="2" t="s">
        <v>416</v>
      </c>
      <c r="B1622" s="2" t="s">
        <v>4104</v>
      </c>
      <c r="C1622" s="2" t="s">
        <v>4085</v>
      </c>
      <c r="D1622" s="2"/>
      <c r="E1622" s="31" t="n">
        <v>49.9</v>
      </c>
      <c r="F1622" s="31" t="n">
        <v>64</v>
      </c>
      <c r="G1622" s="31" t="n">
        <v>56.7</v>
      </c>
      <c r="H1622" s="2" t="s">
        <v>668</v>
      </c>
    </row>
    <row r="1623" customFormat="false" ht="15" hidden="false" customHeight="false" outlineLevel="0" collapsed="false">
      <c r="A1623" s="2" t="s">
        <v>416</v>
      </c>
      <c r="B1623" s="2" t="s">
        <v>4104</v>
      </c>
      <c r="C1623" s="2" t="s">
        <v>4086</v>
      </c>
      <c r="D1623" s="2"/>
      <c r="E1623" s="31" t="n">
        <v>39.5</v>
      </c>
      <c r="F1623" s="31" t="n">
        <v>80.6</v>
      </c>
      <c r="G1623" s="31" t="n">
        <v>43</v>
      </c>
      <c r="H1623" s="2" t="s">
        <v>668</v>
      </c>
    </row>
    <row r="1624" customFormat="false" ht="15" hidden="false" customHeight="false" outlineLevel="0" collapsed="false">
      <c r="A1624" s="2" t="s">
        <v>416</v>
      </c>
      <c r="B1624" s="2" t="s">
        <v>4104</v>
      </c>
      <c r="C1624" s="2" t="s">
        <v>4087</v>
      </c>
      <c r="D1624" s="2"/>
      <c r="E1624" s="31" t="n">
        <v>45.5</v>
      </c>
      <c r="F1624" s="31" t="n">
        <v>54.3</v>
      </c>
      <c r="G1624" s="31" t="n">
        <v>51</v>
      </c>
      <c r="H1624" s="2" t="s">
        <v>671</v>
      </c>
    </row>
    <row r="1625" customFormat="false" ht="15" hidden="false" customHeight="false" outlineLevel="0" collapsed="false">
      <c r="A1625" s="2" t="s">
        <v>416</v>
      </c>
      <c r="B1625" s="2" t="s">
        <v>45</v>
      </c>
      <c r="C1625" s="2" t="s">
        <v>4085</v>
      </c>
      <c r="D1625" s="11" t="n">
        <v>24600</v>
      </c>
      <c r="E1625" s="31" t="n">
        <v>94.2</v>
      </c>
      <c r="F1625" s="31" t="n">
        <v>46.4</v>
      </c>
      <c r="G1625" s="31" t="n">
        <v>62</v>
      </c>
      <c r="H1625" s="2" t="s">
        <v>671</v>
      </c>
    </row>
    <row r="1626" customFormat="false" ht="15" hidden="false" customHeight="false" outlineLevel="0" collapsed="false">
      <c r="A1626" s="2" t="s">
        <v>416</v>
      </c>
      <c r="B1626" s="2" t="s">
        <v>45</v>
      </c>
      <c r="C1626" s="2" t="s">
        <v>4086</v>
      </c>
      <c r="D1626" s="11" t="n">
        <v>25240</v>
      </c>
      <c r="E1626" s="31" t="n">
        <v>88.1</v>
      </c>
      <c r="F1626" s="31" t="n">
        <v>82.1</v>
      </c>
      <c r="G1626" s="31" t="n">
        <v>23.5</v>
      </c>
      <c r="H1626" s="2" t="s">
        <v>671</v>
      </c>
    </row>
    <row r="1627" customFormat="false" ht="15" hidden="false" customHeight="false" outlineLevel="0" collapsed="false">
      <c r="A1627" s="2" t="s">
        <v>416</v>
      </c>
      <c r="B1627" s="2" t="s">
        <v>45</v>
      </c>
      <c r="C1627" s="2" t="s">
        <v>4087</v>
      </c>
      <c r="D1627" s="11" t="n">
        <v>26167</v>
      </c>
      <c r="E1627" s="31" t="n">
        <v>97.6</v>
      </c>
      <c r="F1627" s="31" t="n">
        <v>75</v>
      </c>
      <c r="G1627" s="31" t="n">
        <v>74.6</v>
      </c>
      <c r="H1627" s="2" t="s">
        <v>671</v>
      </c>
    </row>
    <row r="1628" customFormat="false" ht="15" hidden="false" customHeight="false" outlineLevel="0" collapsed="false">
      <c r="A1628" s="2" t="s">
        <v>416</v>
      </c>
      <c r="B1628" s="2" t="s">
        <v>46</v>
      </c>
      <c r="C1628" s="2" t="s">
        <v>4085</v>
      </c>
      <c r="D1628" s="11" t="n">
        <v>14920</v>
      </c>
      <c r="E1628" s="31" t="n">
        <v>51.5</v>
      </c>
      <c r="F1628" s="31" t="n">
        <v>84.6</v>
      </c>
      <c r="G1628" s="31" t="n">
        <v>13.5</v>
      </c>
      <c r="H1628" s="2" t="s">
        <v>671</v>
      </c>
    </row>
    <row r="1629" customFormat="false" ht="15" hidden="false" customHeight="false" outlineLevel="0" collapsed="false">
      <c r="A1629" s="2" t="s">
        <v>416</v>
      </c>
      <c r="B1629" s="2" t="s">
        <v>46</v>
      </c>
      <c r="C1629" s="2" t="s">
        <v>4086</v>
      </c>
      <c r="D1629" s="11" t="n">
        <v>15420</v>
      </c>
      <c r="E1629" s="31" t="n">
        <v>28.5</v>
      </c>
      <c r="F1629" s="31" t="n">
        <v>76.4</v>
      </c>
      <c r="G1629" s="2"/>
      <c r="H1629" s="2" t="s">
        <v>668</v>
      </c>
    </row>
    <row r="1630" customFormat="false" ht="15" hidden="false" customHeight="false" outlineLevel="0" collapsed="false">
      <c r="A1630" s="2" t="s">
        <v>416</v>
      </c>
      <c r="B1630" s="2" t="s">
        <v>46</v>
      </c>
      <c r="C1630" s="2" t="s">
        <v>4087</v>
      </c>
      <c r="D1630" s="11" t="n">
        <v>16139</v>
      </c>
      <c r="E1630" s="31" t="n">
        <v>36.8</v>
      </c>
      <c r="F1630" s="31" t="n">
        <v>45.2</v>
      </c>
      <c r="G1630" s="31" t="n">
        <v>3.4</v>
      </c>
      <c r="H1630" s="2" t="s">
        <v>671</v>
      </c>
    </row>
    <row r="1631" customFormat="false" ht="15" hidden="false" customHeight="false" outlineLevel="0" collapsed="false">
      <c r="A1631" s="2" t="s">
        <v>416</v>
      </c>
      <c r="B1631" s="2" t="s">
        <v>47</v>
      </c>
      <c r="C1631" s="2" t="s">
        <v>4085</v>
      </c>
      <c r="D1631" s="11" t="n">
        <v>212080</v>
      </c>
      <c r="E1631" s="31" t="n">
        <v>4</v>
      </c>
      <c r="F1631" s="31" t="n">
        <v>61.1</v>
      </c>
      <c r="G1631" s="31" t="n">
        <v>94.5</v>
      </c>
      <c r="H1631" s="2" t="s">
        <v>668</v>
      </c>
    </row>
    <row r="1632" customFormat="false" ht="15" hidden="false" customHeight="false" outlineLevel="0" collapsed="false">
      <c r="A1632" s="2" t="s">
        <v>416</v>
      </c>
      <c r="B1632" s="2" t="s">
        <v>47</v>
      </c>
      <c r="C1632" s="2" t="s">
        <v>4086</v>
      </c>
      <c r="D1632" s="11" t="n">
        <v>222650</v>
      </c>
      <c r="E1632" s="31" t="n">
        <v>1.8</v>
      </c>
      <c r="F1632" s="31" t="n">
        <v>83.2</v>
      </c>
      <c r="G1632" s="31" t="n">
        <v>62.5</v>
      </c>
      <c r="H1632" s="2" t="s">
        <v>671</v>
      </c>
    </row>
    <row r="1633" customFormat="false" ht="15" hidden="false" customHeight="false" outlineLevel="0" collapsed="false">
      <c r="A1633" s="2" t="s">
        <v>416</v>
      </c>
      <c r="B1633" s="2" t="s">
        <v>47</v>
      </c>
      <c r="C1633" s="2" t="s">
        <v>4087</v>
      </c>
      <c r="D1633" s="11" t="n">
        <v>226881</v>
      </c>
      <c r="E1633" s="31" t="n">
        <v>2.1</v>
      </c>
      <c r="F1633" s="31" t="n">
        <v>42.8</v>
      </c>
      <c r="G1633" s="31" t="n">
        <v>74.9</v>
      </c>
      <c r="H1633" s="2" t="s">
        <v>671</v>
      </c>
    </row>
    <row r="1634" customFormat="false" ht="15" hidden="false" customHeight="false" outlineLevel="0" collapsed="false">
      <c r="A1634" s="2" t="s">
        <v>1177</v>
      </c>
      <c r="B1634" s="2" t="s">
        <v>4104</v>
      </c>
      <c r="C1634" s="2" t="s">
        <v>4085</v>
      </c>
      <c r="D1634" s="2"/>
      <c r="E1634" s="31" t="n">
        <v>48</v>
      </c>
      <c r="F1634" s="31" t="n">
        <v>68.4</v>
      </c>
      <c r="G1634" s="31" t="n">
        <v>38.4</v>
      </c>
      <c r="H1634" s="2" t="s">
        <v>668</v>
      </c>
    </row>
    <row r="1635" customFormat="false" ht="15" hidden="false" customHeight="false" outlineLevel="0" collapsed="false">
      <c r="A1635" s="2" t="s">
        <v>1177</v>
      </c>
      <c r="B1635" s="2" t="s">
        <v>4104</v>
      </c>
      <c r="C1635" s="2" t="s">
        <v>4086</v>
      </c>
      <c r="D1635" s="2"/>
      <c r="E1635" s="31" t="n">
        <v>56.2</v>
      </c>
      <c r="F1635" s="31" t="n">
        <v>54.9</v>
      </c>
      <c r="G1635" s="31" t="n">
        <v>42.8</v>
      </c>
      <c r="H1635" s="2" t="s">
        <v>671</v>
      </c>
    </row>
    <row r="1636" customFormat="false" ht="15" hidden="false" customHeight="false" outlineLevel="0" collapsed="false">
      <c r="A1636" s="2" t="s">
        <v>1177</v>
      </c>
      <c r="B1636" s="2" t="s">
        <v>4104</v>
      </c>
      <c r="C1636" s="2" t="s">
        <v>4087</v>
      </c>
      <c r="D1636" s="2"/>
      <c r="E1636" s="31" t="n">
        <v>50.4</v>
      </c>
      <c r="F1636" s="31" t="n">
        <v>66.7</v>
      </c>
      <c r="G1636" s="31" t="n">
        <v>52.2</v>
      </c>
      <c r="H1636" s="2" t="s">
        <v>668</v>
      </c>
    </row>
    <row r="1637" customFormat="false" ht="15" hidden="false" customHeight="false" outlineLevel="0" collapsed="false">
      <c r="A1637" s="2" t="s">
        <v>1177</v>
      </c>
      <c r="B1637" s="2" t="s">
        <v>45</v>
      </c>
      <c r="C1637" s="2" t="s">
        <v>4085</v>
      </c>
      <c r="D1637" s="11" t="n">
        <v>16896</v>
      </c>
      <c r="E1637" s="31" t="n">
        <v>49.2</v>
      </c>
      <c r="F1637" s="2"/>
      <c r="G1637" s="2"/>
      <c r="H1637" s="2" t="s">
        <v>668</v>
      </c>
    </row>
    <row r="1638" customFormat="false" ht="15" hidden="false" customHeight="false" outlineLevel="0" collapsed="false">
      <c r="A1638" s="2" t="s">
        <v>1177</v>
      </c>
      <c r="B1638" s="2" t="s">
        <v>45</v>
      </c>
      <c r="C1638" s="2" t="s">
        <v>4086</v>
      </c>
      <c r="D1638" s="11" t="n">
        <v>18030</v>
      </c>
      <c r="E1638" s="31" t="n">
        <v>70.5</v>
      </c>
      <c r="F1638" s="31" t="n">
        <v>80.4</v>
      </c>
      <c r="G1638" s="31" t="n">
        <v>18.4</v>
      </c>
      <c r="H1638" s="2" t="s">
        <v>671</v>
      </c>
    </row>
    <row r="1639" customFormat="false" ht="15" hidden="false" customHeight="false" outlineLevel="0" collapsed="false">
      <c r="A1639" s="2" t="s">
        <v>1177</v>
      </c>
      <c r="B1639" s="2" t="s">
        <v>45</v>
      </c>
      <c r="C1639" s="2" t="s">
        <v>4087</v>
      </c>
      <c r="D1639" s="11" t="n">
        <v>18329</v>
      </c>
      <c r="E1639" s="31" t="n">
        <v>31.4</v>
      </c>
      <c r="F1639" s="31" t="n">
        <v>88.1</v>
      </c>
      <c r="G1639" s="31" t="n">
        <v>45.6</v>
      </c>
      <c r="H1639" s="2" t="s">
        <v>671</v>
      </c>
    </row>
    <row r="1640" customFormat="false" ht="15" hidden="false" customHeight="false" outlineLevel="0" collapsed="false">
      <c r="A1640" s="2" t="s">
        <v>1177</v>
      </c>
      <c r="B1640" s="2" t="s">
        <v>46</v>
      </c>
      <c r="C1640" s="2" t="s">
        <v>4085</v>
      </c>
      <c r="D1640" s="11" t="n">
        <v>570340</v>
      </c>
      <c r="E1640" s="31" t="n">
        <v>51.7</v>
      </c>
      <c r="F1640" s="31" t="n">
        <v>73.7</v>
      </c>
      <c r="G1640" s="2"/>
      <c r="H1640" s="2" t="s">
        <v>668</v>
      </c>
    </row>
    <row r="1641" customFormat="false" ht="15" hidden="false" customHeight="false" outlineLevel="0" collapsed="false">
      <c r="A1641" s="2" t="s">
        <v>1177</v>
      </c>
      <c r="B1641" s="2" t="s">
        <v>46</v>
      </c>
      <c r="C1641" s="2" t="s">
        <v>4086</v>
      </c>
      <c r="D1641" s="11" t="n">
        <v>600160</v>
      </c>
      <c r="E1641" s="31" t="n">
        <v>39.1</v>
      </c>
      <c r="F1641" s="31" t="n">
        <v>35</v>
      </c>
      <c r="G1641" s="31" t="n">
        <v>31.1</v>
      </c>
      <c r="H1641" s="2" t="s">
        <v>671</v>
      </c>
    </row>
    <row r="1642" customFormat="false" ht="15" hidden="false" customHeight="false" outlineLevel="0" collapsed="false">
      <c r="A1642" s="2" t="s">
        <v>1177</v>
      </c>
      <c r="B1642" s="2" t="s">
        <v>46</v>
      </c>
      <c r="C1642" s="2" t="s">
        <v>4087</v>
      </c>
      <c r="D1642" s="11" t="n">
        <v>616125</v>
      </c>
      <c r="E1642" s="31" t="n">
        <v>70.6</v>
      </c>
      <c r="F1642" s="31" t="n">
        <v>66.2</v>
      </c>
      <c r="G1642" s="2"/>
      <c r="H1642" s="2" t="s">
        <v>668</v>
      </c>
    </row>
    <row r="1643" customFormat="false" ht="15" hidden="false" customHeight="false" outlineLevel="0" collapsed="false">
      <c r="A1643" s="2" t="s">
        <v>1177</v>
      </c>
      <c r="B1643" s="2" t="s">
        <v>47</v>
      </c>
      <c r="C1643" s="2" t="s">
        <v>4085</v>
      </c>
      <c r="D1643" s="11" t="n">
        <v>14048</v>
      </c>
      <c r="E1643" s="31" t="n">
        <v>43.1</v>
      </c>
      <c r="F1643" s="31" t="n">
        <v>63.1</v>
      </c>
      <c r="G1643" s="31" t="n">
        <v>38.4</v>
      </c>
      <c r="H1643" s="2" t="s">
        <v>671</v>
      </c>
    </row>
    <row r="1644" customFormat="false" ht="15" hidden="false" customHeight="false" outlineLevel="0" collapsed="false">
      <c r="A1644" s="2" t="s">
        <v>1177</v>
      </c>
      <c r="B1644" s="2" t="s">
        <v>47</v>
      </c>
      <c r="C1644" s="2" t="s">
        <v>4086</v>
      </c>
      <c r="D1644" s="11" t="n">
        <v>14300</v>
      </c>
      <c r="E1644" s="31" t="n">
        <v>58.9</v>
      </c>
      <c r="F1644" s="31" t="n">
        <v>49.4</v>
      </c>
      <c r="G1644" s="31" t="n">
        <v>78.9</v>
      </c>
      <c r="H1644" s="2" t="s">
        <v>671</v>
      </c>
    </row>
    <row r="1645" customFormat="false" ht="15" hidden="false" customHeight="false" outlineLevel="0" collapsed="false">
      <c r="A1645" s="2" t="s">
        <v>1177</v>
      </c>
      <c r="B1645" s="2" t="s">
        <v>47</v>
      </c>
      <c r="C1645" s="2" t="s">
        <v>4087</v>
      </c>
      <c r="D1645" s="11" t="n">
        <v>14933</v>
      </c>
      <c r="E1645" s="31" t="n">
        <v>49.2</v>
      </c>
      <c r="F1645" s="31" t="n">
        <v>45.7</v>
      </c>
      <c r="G1645" s="31" t="n">
        <v>58.9</v>
      </c>
      <c r="H1645" s="2" t="s">
        <v>671</v>
      </c>
    </row>
    <row r="1646" customFormat="false" ht="15" hidden="false" customHeight="false" outlineLevel="0" collapsed="false">
      <c r="A1646" s="2" t="s">
        <v>1669</v>
      </c>
      <c r="B1646" s="2" t="s">
        <v>4104</v>
      </c>
      <c r="C1646" s="2" t="s">
        <v>4085</v>
      </c>
      <c r="D1646" s="2"/>
      <c r="E1646" s="31" t="n">
        <v>41.5</v>
      </c>
      <c r="F1646" s="31" t="n">
        <v>47.4</v>
      </c>
      <c r="G1646" s="31" t="n">
        <v>87.8</v>
      </c>
      <c r="H1646" s="2" t="s">
        <v>668</v>
      </c>
    </row>
    <row r="1647" customFormat="false" ht="15" hidden="false" customHeight="false" outlineLevel="0" collapsed="false">
      <c r="A1647" s="2" t="s">
        <v>1669</v>
      </c>
      <c r="B1647" s="2" t="s">
        <v>4104</v>
      </c>
      <c r="C1647" s="2" t="s">
        <v>4086</v>
      </c>
      <c r="D1647" s="2"/>
      <c r="E1647" s="31" t="n">
        <v>24.3</v>
      </c>
      <c r="F1647" s="31" t="n">
        <v>41.6</v>
      </c>
      <c r="G1647" s="31" t="n">
        <v>82.6</v>
      </c>
      <c r="H1647" s="2" t="s">
        <v>668</v>
      </c>
    </row>
    <row r="1648" customFormat="false" ht="15" hidden="false" customHeight="false" outlineLevel="0" collapsed="false">
      <c r="A1648" s="2" t="s">
        <v>1669</v>
      </c>
      <c r="B1648" s="2" t="s">
        <v>4104</v>
      </c>
      <c r="C1648" s="2" t="s">
        <v>4087</v>
      </c>
      <c r="D1648" s="2"/>
      <c r="E1648" s="31" t="n">
        <v>45</v>
      </c>
      <c r="F1648" s="31" t="n">
        <v>29.4</v>
      </c>
      <c r="G1648" s="31" t="n">
        <v>94.4</v>
      </c>
      <c r="H1648" s="2" t="s">
        <v>668</v>
      </c>
    </row>
    <row r="1649" customFormat="false" ht="15" hidden="false" customHeight="false" outlineLevel="0" collapsed="false">
      <c r="A1649" s="2" t="s">
        <v>1669</v>
      </c>
      <c r="B1649" s="2" t="s">
        <v>45</v>
      </c>
      <c r="C1649" s="2" t="s">
        <v>4085</v>
      </c>
      <c r="D1649" s="11" t="n">
        <v>180230</v>
      </c>
      <c r="E1649" s="31" t="n">
        <v>71.3</v>
      </c>
      <c r="F1649" s="31" t="n">
        <v>86.3</v>
      </c>
      <c r="G1649" s="31" t="n">
        <v>73.7</v>
      </c>
      <c r="H1649" s="2" t="s">
        <v>671</v>
      </c>
    </row>
    <row r="1650" customFormat="false" ht="15" hidden="false" customHeight="false" outlineLevel="0" collapsed="false">
      <c r="A1650" s="2" t="s">
        <v>1669</v>
      </c>
      <c r="B1650" s="2" t="s">
        <v>45</v>
      </c>
      <c r="C1650" s="2" t="s">
        <v>4086</v>
      </c>
      <c r="D1650" s="11" t="n">
        <v>190160</v>
      </c>
      <c r="E1650" s="31" t="n">
        <v>32.7</v>
      </c>
      <c r="F1650" s="31" t="n">
        <v>75</v>
      </c>
      <c r="G1650" s="31" t="n">
        <v>72.5</v>
      </c>
      <c r="H1650" s="2" t="s">
        <v>671</v>
      </c>
    </row>
    <row r="1651" customFormat="false" ht="15" hidden="false" customHeight="false" outlineLevel="0" collapsed="false">
      <c r="A1651" s="2" t="s">
        <v>1669</v>
      </c>
      <c r="B1651" s="2" t="s">
        <v>45</v>
      </c>
      <c r="C1651" s="2" t="s">
        <v>4087</v>
      </c>
      <c r="D1651" s="2"/>
      <c r="E1651" s="2"/>
      <c r="F1651" s="2"/>
      <c r="G1651" s="2"/>
      <c r="H1651" s="2" t="s">
        <v>668</v>
      </c>
    </row>
    <row r="1652" customFormat="false" ht="15" hidden="false" customHeight="false" outlineLevel="0" collapsed="false">
      <c r="A1652" s="2" t="s">
        <v>1669</v>
      </c>
      <c r="B1652" s="2" t="s">
        <v>46</v>
      </c>
      <c r="C1652" s="2" t="s">
        <v>4085</v>
      </c>
      <c r="D1652" s="11" t="n">
        <v>6420</v>
      </c>
      <c r="E1652" s="31" t="n">
        <v>22.1</v>
      </c>
      <c r="F1652" s="2"/>
      <c r="G1652" s="31" t="n">
        <v>98.2</v>
      </c>
      <c r="H1652" s="2" t="s">
        <v>668</v>
      </c>
    </row>
    <row r="1653" customFormat="false" ht="15" hidden="false" customHeight="false" outlineLevel="0" collapsed="false">
      <c r="A1653" s="2" t="s">
        <v>1669</v>
      </c>
      <c r="B1653" s="2" t="s">
        <v>46</v>
      </c>
      <c r="C1653" s="2" t="s">
        <v>4086</v>
      </c>
      <c r="D1653" s="11" t="n">
        <v>6610</v>
      </c>
      <c r="E1653" s="31" t="n">
        <v>20.2</v>
      </c>
      <c r="F1653" s="2"/>
      <c r="G1653" s="31" t="n">
        <v>77.3</v>
      </c>
      <c r="H1653" s="2" t="s">
        <v>668</v>
      </c>
    </row>
    <row r="1654" customFormat="false" ht="15" hidden="false" customHeight="false" outlineLevel="0" collapsed="false">
      <c r="A1654" s="2" t="s">
        <v>1669</v>
      </c>
      <c r="B1654" s="2" t="s">
        <v>46</v>
      </c>
      <c r="C1654" s="2" t="s">
        <v>4087</v>
      </c>
      <c r="D1654" s="11" t="n">
        <v>6830</v>
      </c>
      <c r="E1654" s="31" t="n">
        <v>52.2</v>
      </c>
      <c r="F1654" s="31" t="n">
        <v>39.6</v>
      </c>
      <c r="G1654" s="31" t="n">
        <v>95.9</v>
      </c>
      <c r="H1654" s="2" t="s">
        <v>671</v>
      </c>
    </row>
    <row r="1655" customFormat="false" ht="15" hidden="false" customHeight="false" outlineLevel="0" collapsed="false">
      <c r="A1655" s="2" t="s">
        <v>1669</v>
      </c>
      <c r="B1655" s="2" t="s">
        <v>47</v>
      </c>
      <c r="C1655" s="2" t="s">
        <v>4085</v>
      </c>
      <c r="D1655" s="11" t="n">
        <v>400013</v>
      </c>
      <c r="E1655" s="31" t="n">
        <v>31</v>
      </c>
      <c r="F1655" s="31" t="n">
        <v>8.6</v>
      </c>
      <c r="G1655" s="31" t="n">
        <v>91.5</v>
      </c>
      <c r="H1655" s="2" t="s">
        <v>671</v>
      </c>
    </row>
    <row r="1656" customFormat="false" ht="15" hidden="false" customHeight="false" outlineLevel="0" collapsed="false">
      <c r="A1656" s="2" t="s">
        <v>1669</v>
      </c>
      <c r="B1656" s="2" t="s">
        <v>47</v>
      </c>
      <c r="C1656" s="2" t="s">
        <v>4086</v>
      </c>
      <c r="D1656" s="11" t="n">
        <v>407828</v>
      </c>
      <c r="E1656" s="31" t="n">
        <v>20.1</v>
      </c>
      <c r="F1656" s="31" t="n">
        <v>8.1</v>
      </c>
      <c r="G1656" s="31" t="n">
        <v>98</v>
      </c>
      <c r="H1656" s="2" t="s">
        <v>671</v>
      </c>
    </row>
    <row r="1657" customFormat="false" ht="15" hidden="false" customHeight="false" outlineLevel="0" collapsed="false">
      <c r="A1657" s="2" t="s">
        <v>1669</v>
      </c>
      <c r="B1657" s="2" t="s">
        <v>47</v>
      </c>
      <c r="C1657" s="2" t="s">
        <v>4087</v>
      </c>
      <c r="D1657" s="11" t="n">
        <v>411475</v>
      </c>
      <c r="E1657" s="31" t="n">
        <v>37.8</v>
      </c>
      <c r="F1657" s="31" t="n">
        <v>19.3</v>
      </c>
      <c r="G1657" s="31" t="n">
        <v>93</v>
      </c>
      <c r="H1657" s="2" t="s">
        <v>671</v>
      </c>
    </row>
    <row r="1658" customFormat="false" ht="15" hidden="false" customHeight="false" outlineLevel="0" collapsed="false">
      <c r="A1658" s="2" t="s">
        <v>174</v>
      </c>
      <c r="B1658" s="2" t="s">
        <v>4104</v>
      </c>
      <c r="C1658" s="2" t="s">
        <v>4085</v>
      </c>
      <c r="D1658" s="2"/>
      <c r="E1658" s="31" t="n">
        <v>92</v>
      </c>
      <c r="F1658" s="31" t="n">
        <v>6.9</v>
      </c>
      <c r="G1658" s="31" t="n">
        <v>19.2</v>
      </c>
      <c r="H1658" s="2" t="s">
        <v>668</v>
      </c>
    </row>
    <row r="1659" customFormat="false" ht="15" hidden="false" customHeight="false" outlineLevel="0" collapsed="false">
      <c r="A1659" s="2" t="s">
        <v>174</v>
      </c>
      <c r="B1659" s="2" t="s">
        <v>4104</v>
      </c>
      <c r="C1659" s="2" t="s">
        <v>4086</v>
      </c>
      <c r="D1659" s="2"/>
      <c r="E1659" s="31" t="n">
        <v>85.8</v>
      </c>
      <c r="F1659" s="31" t="n">
        <v>12.7</v>
      </c>
      <c r="G1659" s="31" t="n">
        <v>35.8</v>
      </c>
      <c r="H1659" s="2" t="s">
        <v>671</v>
      </c>
    </row>
    <row r="1660" customFormat="false" ht="15" hidden="false" customHeight="false" outlineLevel="0" collapsed="false">
      <c r="A1660" s="2" t="s">
        <v>174</v>
      </c>
      <c r="B1660" s="2" t="s">
        <v>4104</v>
      </c>
      <c r="C1660" s="2" t="s">
        <v>4087</v>
      </c>
      <c r="D1660" s="2"/>
      <c r="E1660" s="31" t="n">
        <v>75</v>
      </c>
      <c r="F1660" s="31" t="n">
        <v>16</v>
      </c>
      <c r="G1660" s="31" t="n">
        <v>37.5</v>
      </c>
      <c r="H1660" s="2" t="s">
        <v>671</v>
      </c>
    </row>
    <row r="1661" customFormat="false" ht="15" hidden="false" customHeight="false" outlineLevel="0" collapsed="false">
      <c r="A1661" s="2" t="s">
        <v>174</v>
      </c>
      <c r="B1661" s="2" t="s">
        <v>46</v>
      </c>
      <c r="C1661" s="2" t="s">
        <v>4085</v>
      </c>
      <c r="D1661" s="11" t="n">
        <v>36760</v>
      </c>
      <c r="E1661" s="2"/>
      <c r="F1661" s="31" t="n">
        <v>0.4</v>
      </c>
      <c r="G1661" s="31" t="n">
        <v>12.1</v>
      </c>
      <c r="H1661" s="2" t="s">
        <v>668</v>
      </c>
    </row>
    <row r="1662" customFormat="false" ht="15" hidden="false" customHeight="false" outlineLevel="0" collapsed="false">
      <c r="A1662" s="2" t="s">
        <v>174</v>
      </c>
      <c r="B1662" s="2" t="s">
        <v>46</v>
      </c>
      <c r="C1662" s="2" t="s">
        <v>4086</v>
      </c>
      <c r="D1662" s="11" t="n">
        <v>35830</v>
      </c>
      <c r="E1662" s="31" t="n">
        <v>82.9</v>
      </c>
      <c r="F1662" s="31" t="n">
        <v>0.7</v>
      </c>
      <c r="G1662" s="31" t="n">
        <v>45.5</v>
      </c>
      <c r="H1662" s="2" t="s">
        <v>671</v>
      </c>
    </row>
    <row r="1663" customFormat="false" ht="15" hidden="false" customHeight="false" outlineLevel="0" collapsed="false">
      <c r="A1663" s="2" t="s">
        <v>174</v>
      </c>
      <c r="B1663" s="2" t="s">
        <v>46</v>
      </c>
      <c r="C1663" s="2" t="s">
        <v>4087</v>
      </c>
      <c r="D1663" s="11" t="n">
        <v>34833</v>
      </c>
      <c r="E1663" s="31" t="n">
        <v>82</v>
      </c>
      <c r="F1663" s="31" t="n">
        <v>1.2</v>
      </c>
      <c r="G1663" s="31" t="n">
        <v>24.9</v>
      </c>
      <c r="H1663" s="2" t="s">
        <v>671</v>
      </c>
    </row>
    <row r="1664" customFormat="false" ht="15" hidden="false" customHeight="false" outlineLevel="0" collapsed="false">
      <c r="A1664" s="2" t="s">
        <v>174</v>
      </c>
      <c r="B1664" s="2" t="s">
        <v>47</v>
      </c>
      <c r="C1664" s="2" t="s">
        <v>4085</v>
      </c>
      <c r="D1664" s="11" t="n">
        <v>32704</v>
      </c>
      <c r="E1664" s="31" t="n">
        <v>92</v>
      </c>
      <c r="F1664" s="31" t="n">
        <v>13.4</v>
      </c>
      <c r="G1664" s="31" t="n">
        <v>26.3</v>
      </c>
      <c r="H1664" s="2" t="s">
        <v>671</v>
      </c>
    </row>
    <row r="1665" customFormat="false" ht="15" hidden="false" customHeight="false" outlineLevel="0" collapsed="false">
      <c r="A1665" s="2" t="s">
        <v>174</v>
      </c>
      <c r="B1665" s="2" t="s">
        <v>47</v>
      </c>
      <c r="C1665" s="2" t="s">
        <v>4086</v>
      </c>
      <c r="D1665" s="11" t="n">
        <v>33594</v>
      </c>
      <c r="E1665" s="31" t="n">
        <v>88.7</v>
      </c>
      <c r="F1665" s="31" t="n">
        <v>24.7</v>
      </c>
      <c r="G1665" s="31" t="n">
        <v>26</v>
      </c>
      <c r="H1665" s="2" t="s">
        <v>671</v>
      </c>
    </row>
    <row r="1666" customFormat="false" ht="15" hidden="false" customHeight="false" outlineLevel="0" collapsed="false">
      <c r="A1666" s="2" t="s">
        <v>174</v>
      </c>
      <c r="B1666" s="2" t="s">
        <v>47</v>
      </c>
      <c r="C1666" s="2" t="s">
        <v>4087</v>
      </c>
      <c r="D1666" s="11" t="n">
        <v>33686</v>
      </c>
      <c r="E1666" s="31" t="n">
        <v>67.9</v>
      </c>
      <c r="F1666" s="31" t="n">
        <v>30.9</v>
      </c>
      <c r="G1666" s="31" t="n">
        <v>50.1</v>
      </c>
      <c r="H1666" s="2" t="s">
        <v>671</v>
      </c>
    </row>
    <row r="1667" customFormat="false" ht="15" hidden="false" customHeight="false" outlineLevel="0" collapsed="false">
      <c r="A1667" s="2" t="s">
        <v>104</v>
      </c>
      <c r="B1667" s="2" t="s">
        <v>4104</v>
      </c>
      <c r="C1667" s="2" t="s">
        <v>4085</v>
      </c>
      <c r="D1667" s="2"/>
      <c r="E1667" s="31" t="n">
        <v>87.5</v>
      </c>
      <c r="F1667" s="31" t="n">
        <v>92.6</v>
      </c>
      <c r="G1667" s="31" t="n">
        <v>71.3</v>
      </c>
      <c r="H1667" s="2" t="s">
        <v>671</v>
      </c>
    </row>
    <row r="1668" customFormat="false" ht="15" hidden="false" customHeight="false" outlineLevel="0" collapsed="false">
      <c r="A1668" s="2" t="s">
        <v>104</v>
      </c>
      <c r="B1668" s="2" t="s">
        <v>4104</v>
      </c>
      <c r="C1668" s="2" t="s">
        <v>4087</v>
      </c>
      <c r="D1668" s="2"/>
      <c r="E1668" s="31" t="n">
        <v>92.6</v>
      </c>
      <c r="F1668" s="31" t="n">
        <v>76.5</v>
      </c>
      <c r="G1668" s="31" t="n">
        <v>35.6</v>
      </c>
      <c r="H1668" s="2" t="s">
        <v>671</v>
      </c>
    </row>
    <row r="1669" customFormat="false" ht="15" hidden="false" customHeight="false" outlineLevel="0" collapsed="false">
      <c r="A1669" s="2" t="s">
        <v>104</v>
      </c>
      <c r="B1669" s="2" t="s">
        <v>47</v>
      </c>
      <c r="C1669" s="2" t="s">
        <v>4085</v>
      </c>
      <c r="D1669" s="11" t="n">
        <v>582806</v>
      </c>
      <c r="E1669" s="31" t="n">
        <v>87.5</v>
      </c>
      <c r="F1669" s="31" t="n">
        <v>92.6</v>
      </c>
      <c r="G1669" s="31" t="n">
        <v>71.3</v>
      </c>
      <c r="H1669" s="2" t="s">
        <v>671</v>
      </c>
    </row>
    <row r="1670" customFormat="false" ht="15" hidden="false" customHeight="false" outlineLevel="0" collapsed="false">
      <c r="A1670" s="2" t="s">
        <v>104</v>
      </c>
      <c r="B1670" s="2" t="s">
        <v>47</v>
      </c>
      <c r="C1670" s="2" t="s">
        <v>4087</v>
      </c>
      <c r="D1670" s="11" t="n">
        <v>616713</v>
      </c>
      <c r="E1670" s="31" t="n">
        <v>92.6</v>
      </c>
      <c r="F1670" s="31" t="n">
        <v>76.5</v>
      </c>
      <c r="G1670" s="31" t="n">
        <v>35.6</v>
      </c>
      <c r="H1670" s="2" t="s">
        <v>671</v>
      </c>
    </row>
    <row r="1671" customFormat="false" ht="15" hidden="false" customHeight="false" outlineLevel="0" collapsed="false">
      <c r="A1671" s="2" t="s">
        <v>500</v>
      </c>
      <c r="B1671" s="2" t="s">
        <v>4104</v>
      </c>
      <c r="C1671" s="2" t="s">
        <v>4085</v>
      </c>
      <c r="D1671" s="2"/>
      <c r="E1671" s="31" t="n">
        <v>32.7</v>
      </c>
      <c r="F1671" s="31" t="n">
        <v>87.2</v>
      </c>
      <c r="G1671" s="31" t="n">
        <v>36.3</v>
      </c>
      <c r="H1671" s="2" t="s">
        <v>671</v>
      </c>
    </row>
    <row r="1672" customFormat="false" ht="15" hidden="false" customHeight="false" outlineLevel="0" collapsed="false">
      <c r="A1672" s="2" t="s">
        <v>500</v>
      </c>
      <c r="B1672" s="2" t="s">
        <v>4104</v>
      </c>
      <c r="C1672" s="2" t="s">
        <v>4086</v>
      </c>
      <c r="D1672" s="2"/>
      <c r="E1672" s="31" t="n">
        <v>40.9</v>
      </c>
      <c r="F1672" s="31" t="n">
        <v>81.5</v>
      </c>
      <c r="G1672" s="31" t="n">
        <v>85</v>
      </c>
      <c r="H1672" s="2" t="s">
        <v>671</v>
      </c>
    </row>
    <row r="1673" customFormat="false" ht="15" hidden="false" customHeight="false" outlineLevel="0" collapsed="false">
      <c r="A1673" s="2" t="s">
        <v>500</v>
      </c>
      <c r="B1673" s="2" t="s">
        <v>4104</v>
      </c>
      <c r="C1673" s="2" t="s">
        <v>4087</v>
      </c>
      <c r="D1673" s="2"/>
      <c r="E1673" s="31" t="n">
        <v>35.9</v>
      </c>
      <c r="F1673" s="31" t="n">
        <v>94.7</v>
      </c>
      <c r="G1673" s="31" t="n">
        <v>34.2</v>
      </c>
      <c r="H1673" s="2" t="s">
        <v>671</v>
      </c>
    </row>
    <row r="1674" customFormat="false" ht="15" hidden="false" customHeight="false" outlineLevel="0" collapsed="false">
      <c r="A1674" s="2" t="s">
        <v>500</v>
      </c>
      <c r="B1674" s="2" t="s">
        <v>46</v>
      </c>
      <c r="C1674" s="2" t="s">
        <v>4085</v>
      </c>
      <c r="D1674" s="11" t="n">
        <v>162470</v>
      </c>
      <c r="E1674" s="31" t="n">
        <v>32.7</v>
      </c>
      <c r="F1674" s="31" t="n">
        <v>87.2</v>
      </c>
      <c r="G1674" s="31" t="n">
        <v>36.3</v>
      </c>
      <c r="H1674" s="2" t="s">
        <v>671</v>
      </c>
    </row>
    <row r="1675" customFormat="false" ht="15" hidden="false" customHeight="false" outlineLevel="0" collapsed="false">
      <c r="A1675" s="2" t="s">
        <v>500</v>
      </c>
      <c r="B1675" s="2" t="s">
        <v>46</v>
      </c>
      <c r="C1675" s="2" t="s">
        <v>4086</v>
      </c>
      <c r="D1675" s="11" t="n">
        <v>171990</v>
      </c>
      <c r="E1675" s="31" t="n">
        <v>40.9</v>
      </c>
      <c r="F1675" s="31" t="n">
        <v>81.5</v>
      </c>
      <c r="G1675" s="31" t="n">
        <v>85</v>
      </c>
      <c r="H1675" s="2" t="s">
        <v>671</v>
      </c>
    </row>
    <row r="1676" customFormat="false" ht="15" hidden="false" customHeight="false" outlineLevel="0" collapsed="false">
      <c r="A1676" s="2" t="s">
        <v>500</v>
      </c>
      <c r="B1676" s="2" t="s">
        <v>46</v>
      </c>
      <c r="C1676" s="2" t="s">
        <v>4087</v>
      </c>
      <c r="D1676" s="11" t="n">
        <v>181060</v>
      </c>
      <c r="E1676" s="31" t="n">
        <v>35.9</v>
      </c>
      <c r="F1676" s="31" t="n">
        <v>94.7</v>
      </c>
      <c r="G1676" s="31" t="n">
        <v>34.2</v>
      </c>
      <c r="H1676" s="2" t="s">
        <v>671</v>
      </c>
    </row>
    <row r="1677" customFormat="false" ht="15" hidden="false" customHeight="false" outlineLevel="0" collapsed="false">
      <c r="A1677" s="2" t="s">
        <v>2591</v>
      </c>
      <c r="B1677" s="2" t="s">
        <v>4104</v>
      </c>
      <c r="C1677" s="2" t="s">
        <v>4085</v>
      </c>
      <c r="D1677" s="2"/>
      <c r="E1677" s="31" t="n">
        <v>12.2</v>
      </c>
      <c r="F1677" s="31" t="n">
        <v>37.3</v>
      </c>
      <c r="G1677" s="31" t="n">
        <v>29.7</v>
      </c>
      <c r="H1677" s="2" t="s">
        <v>668</v>
      </c>
    </row>
    <row r="1678" customFormat="false" ht="15" hidden="false" customHeight="false" outlineLevel="0" collapsed="false">
      <c r="A1678" s="2" t="s">
        <v>2591</v>
      </c>
      <c r="B1678" s="2" t="s">
        <v>4104</v>
      </c>
      <c r="C1678" s="2" t="s">
        <v>4086</v>
      </c>
      <c r="D1678" s="2"/>
      <c r="E1678" s="31" t="n">
        <v>9</v>
      </c>
      <c r="F1678" s="31" t="n">
        <v>60</v>
      </c>
      <c r="G1678" s="31" t="n">
        <v>48.2</v>
      </c>
      <c r="H1678" s="2" t="s">
        <v>668</v>
      </c>
    </row>
    <row r="1679" customFormat="false" ht="15" hidden="false" customHeight="false" outlineLevel="0" collapsed="false">
      <c r="A1679" s="2" t="s">
        <v>2591</v>
      </c>
      <c r="B1679" s="2" t="s">
        <v>4104</v>
      </c>
      <c r="C1679" s="2" t="s">
        <v>4087</v>
      </c>
      <c r="D1679" s="2"/>
      <c r="E1679" s="31" t="n">
        <v>14.3</v>
      </c>
      <c r="F1679" s="31" t="n">
        <v>72</v>
      </c>
      <c r="G1679" s="31" t="n">
        <v>15</v>
      </c>
      <c r="H1679" s="2" t="s">
        <v>668</v>
      </c>
    </row>
    <row r="1680" customFormat="false" ht="15" hidden="false" customHeight="false" outlineLevel="0" collapsed="false">
      <c r="A1680" s="2" t="s">
        <v>2591</v>
      </c>
      <c r="B1680" s="2" t="s">
        <v>45</v>
      </c>
      <c r="C1680" s="2" t="s">
        <v>4085</v>
      </c>
      <c r="D1680" s="2"/>
      <c r="E1680" s="2"/>
      <c r="F1680" s="2"/>
      <c r="G1680" s="2"/>
      <c r="H1680" s="2" t="s">
        <v>668</v>
      </c>
    </row>
    <row r="1681" customFormat="false" ht="15" hidden="false" customHeight="false" outlineLevel="0" collapsed="false">
      <c r="A1681" s="2" t="s">
        <v>2591</v>
      </c>
      <c r="B1681" s="2" t="s">
        <v>45</v>
      </c>
      <c r="C1681" s="2" t="s">
        <v>4086</v>
      </c>
      <c r="D1681" s="11" t="n">
        <v>18400</v>
      </c>
      <c r="E1681" s="2"/>
      <c r="F1681" s="31" t="n">
        <v>58.1</v>
      </c>
      <c r="G1681" s="2"/>
      <c r="H1681" s="2" t="s">
        <v>668</v>
      </c>
    </row>
    <row r="1682" customFormat="false" ht="15" hidden="false" customHeight="false" outlineLevel="0" collapsed="false">
      <c r="A1682" s="2" t="s">
        <v>2591</v>
      </c>
      <c r="B1682" s="2" t="s">
        <v>45</v>
      </c>
      <c r="C1682" s="2" t="s">
        <v>4087</v>
      </c>
      <c r="D1682" s="2"/>
      <c r="E1682" s="2"/>
      <c r="F1682" s="2"/>
      <c r="G1682" s="2"/>
      <c r="H1682" s="2" t="s">
        <v>668</v>
      </c>
    </row>
    <row r="1683" customFormat="false" ht="15" hidden="false" customHeight="false" outlineLevel="0" collapsed="false">
      <c r="A1683" s="2" t="s">
        <v>2591</v>
      </c>
      <c r="B1683" s="2" t="s">
        <v>46</v>
      </c>
      <c r="C1683" s="2" t="s">
        <v>4085</v>
      </c>
      <c r="D1683" s="11" t="n">
        <v>28600</v>
      </c>
      <c r="E1683" s="31" t="n">
        <v>2.7</v>
      </c>
      <c r="F1683" s="31" t="n">
        <v>59.9</v>
      </c>
      <c r="G1683" s="31" t="n">
        <v>35.8</v>
      </c>
      <c r="H1683" s="2" t="s">
        <v>671</v>
      </c>
    </row>
    <row r="1684" customFormat="false" ht="15" hidden="false" customHeight="false" outlineLevel="0" collapsed="false">
      <c r="A1684" s="2" t="s">
        <v>2591</v>
      </c>
      <c r="B1684" s="2" t="s">
        <v>46</v>
      </c>
      <c r="C1684" s="2" t="s">
        <v>4086</v>
      </c>
      <c r="D1684" s="11" t="n">
        <v>29170</v>
      </c>
      <c r="E1684" s="31" t="n">
        <v>1.4</v>
      </c>
      <c r="F1684" s="31" t="n">
        <v>67.3</v>
      </c>
      <c r="G1684" s="31" t="n">
        <v>54.5</v>
      </c>
      <c r="H1684" s="2" t="s">
        <v>671</v>
      </c>
    </row>
    <row r="1685" customFormat="false" ht="15" hidden="false" customHeight="false" outlineLevel="0" collapsed="false">
      <c r="A1685" s="2" t="s">
        <v>2591</v>
      </c>
      <c r="B1685" s="2" t="s">
        <v>46</v>
      </c>
      <c r="C1685" s="2" t="s">
        <v>4087</v>
      </c>
      <c r="D1685" s="2"/>
      <c r="E1685" s="2"/>
      <c r="F1685" s="2"/>
      <c r="G1685" s="2"/>
      <c r="H1685" s="2" t="s">
        <v>668</v>
      </c>
    </row>
    <row r="1686" customFormat="false" ht="15" hidden="false" customHeight="false" outlineLevel="0" collapsed="false">
      <c r="A1686" s="2" t="s">
        <v>2591</v>
      </c>
      <c r="B1686" s="2" t="s">
        <v>47</v>
      </c>
      <c r="C1686" s="2" t="s">
        <v>4085</v>
      </c>
      <c r="D1686" s="11" t="n">
        <v>15918</v>
      </c>
      <c r="E1686" s="31" t="n">
        <v>21.8</v>
      </c>
      <c r="F1686" s="31" t="n">
        <v>14.7</v>
      </c>
      <c r="G1686" s="31" t="n">
        <v>23.6</v>
      </c>
      <c r="H1686" s="2" t="s">
        <v>671</v>
      </c>
    </row>
    <row r="1687" customFormat="false" ht="15" hidden="false" customHeight="false" outlineLevel="0" collapsed="false">
      <c r="A1687" s="2" t="s">
        <v>2591</v>
      </c>
      <c r="B1687" s="2" t="s">
        <v>47</v>
      </c>
      <c r="C1687" s="2" t="s">
        <v>4086</v>
      </c>
      <c r="D1687" s="11" t="n">
        <v>16800</v>
      </c>
      <c r="E1687" s="31" t="n">
        <v>16.6</v>
      </c>
      <c r="F1687" s="31" t="n">
        <v>54.5</v>
      </c>
      <c r="G1687" s="31" t="n">
        <v>41.8</v>
      </c>
      <c r="H1687" s="2" t="s">
        <v>671</v>
      </c>
    </row>
    <row r="1688" customFormat="false" ht="15" hidden="false" customHeight="false" outlineLevel="0" collapsed="false">
      <c r="A1688" s="2" t="s">
        <v>2591</v>
      </c>
      <c r="B1688" s="2" t="s">
        <v>47</v>
      </c>
      <c r="C1688" s="2" t="s">
        <v>4087</v>
      </c>
      <c r="D1688" s="11" t="n">
        <v>17069</v>
      </c>
      <c r="E1688" s="31" t="n">
        <v>14.3</v>
      </c>
      <c r="F1688" s="31" t="n">
        <v>72</v>
      </c>
      <c r="G1688" s="31" t="n">
        <v>15</v>
      </c>
      <c r="H1688" s="2" t="s">
        <v>671</v>
      </c>
    </row>
    <row r="1689" customFormat="false" ht="15" hidden="false" customHeight="false" outlineLevel="0" collapsed="false">
      <c r="A1689" s="2" t="s">
        <v>154</v>
      </c>
      <c r="B1689" s="2" t="s">
        <v>4104</v>
      </c>
      <c r="C1689" s="2" t="s">
        <v>4085</v>
      </c>
      <c r="D1689" s="2"/>
      <c r="E1689" s="31" t="n">
        <v>90.3</v>
      </c>
      <c r="F1689" s="31" t="n">
        <v>83</v>
      </c>
      <c r="G1689" s="31" t="n">
        <v>27.2</v>
      </c>
      <c r="H1689" s="2" t="s">
        <v>671</v>
      </c>
    </row>
    <row r="1690" customFormat="false" ht="15" hidden="false" customHeight="false" outlineLevel="0" collapsed="false">
      <c r="A1690" s="2" t="s">
        <v>154</v>
      </c>
      <c r="B1690" s="2" t="s">
        <v>4104</v>
      </c>
      <c r="C1690" s="2" t="s">
        <v>4086</v>
      </c>
      <c r="D1690" s="2"/>
      <c r="E1690" s="31" t="n">
        <v>95.1</v>
      </c>
      <c r="F1690" s="31" t="n">
        <v>99</v>
      </c>
      <c r="G1690" s="31" t="n">
        <v>62</v>
      </c>
      <c r="H1690" s="2" t="s">
        <v>668</v>
      </c>
    </row>
    <row r="1691" customFormat="false" ht="15" hidden="false" customHeight="false" outlineLevel="0" collapsed="false">
      <c r="A1691" s="2" t="s">
        <v>154</v>
      </c>
      <c r="B1691" s="2" t="s">
        <v>4104</v>
      </c>
      <c r="C1691" s="2" t="s">
        <v>4087</v>
      </c>
      <c r="D1691" s="2"/>
      <c r="E1691" s="31" t="n">
        <v>77.8</v>
      </c>
      <c r="F1691" s="31" t="n">
        <v>97.2</v>
      </c>
      <c r="G1691" s="31" t="n">
        <v>61</v>
      </c>
      <c r="H1691" s="2" t="s">
        <v>671</v>
      </c>
    </row>
    <row r="1692" customFormat="false" ht="15" hidden="false" customHeight="false" outlineLevel="0" collapsed="false">
      <c r="A1692" s="2" t="s">
        <v>154</v>
      </c>
      <c r="B1692" s="2" t="s">
        <v>47</v>
      </c>
      <c r="C1692" s="2" t="s">
        <v>4085</v>
      </c>
      <c r="D1692" s="11" t="n">
        <v>14702</v>
      </c>
      <c r="E1692" s="31" t="n">
        <v>90.3</v>
      </c>
      <c r="F1692" s="31" t="n">
        <v>83</v>
      </c>
      <c r="G1692" s="31" t="n">
        <v>27.2</v>
      </c>
      <c r="H1692" s="2" t="s">
        <v>671</v>
      </c>
    </row>
    <row r="1693" customFormat="false" ht="15" hidden="false" customHeight="false" outlineLevel="0" collapsed="false">
      <c r="A1693" s="2" t="s">
        <v>154</v>
      </c>
      <c r="B1693" s="2" t="s">
        <v>47</v>
      </c>
      <c r="C1693" s="2" t="s">
        <v>4086</v>
      </c>
      <c r="D1693" s="11" t="n">
        <v>14791</v>
      </c>
      <c r="E1693" s="31" t="n">
        <v>95.1</v>
      </c>
      <c r="F1693" s="31" t="n">
        <v>99</v>
      </c>
      <c r="G1693" s="31" t="n">
        <v>62</v>
      </c>
      <c r="H1693" s="2" t="s">
        <v>671</v>
      </c>
    </row>
    <row r="1694" customFormat="false" ht="15" hidden="false" customHeight="false" outlineLevel="0" collapsed="false">
      <c r="A1694" s="2" t="s">
        <v>154</v>
      </c>
      <c r="B1694" s="2" t="s">
        <v>47</v>
      </c>
      <c r="C1694" s="2" t="s">
        <v>4087</v>
      </c>
      <c r="D1694" s="11" t="n">
        <v>16359</v>
      </c>
      <c r="E1694" s="31" t="n">
        <v>77.8</v>
      </c>
      <c r="F1694" s="31" t="n">
        <v>97.2</v>
      </c>
      <c r="G1694" s="31" t="n">
        <v>61</v>
      </c>
      <c r="H1694" s="2" t="s">
        <v>671</v>
      </c>
    </row>
    <row r="1695" customFormat="false" ht="15" hidden="false" customHeight="false" outlineLevel="0" collapsed="false">
      <c r="A1695" s="2" t="s">
        <v>288</v>
      </c>
      <c r="B1695" s="2" t="s">
        <v>4104</v>
      </c>
      <c r="C1695" s="2" t="s">
        <v>4085</v>
      </c>
      <c r="D1695" s="2"/>
      <c r="E1695" s="31" t="n">
        <v>60</v>
      </c>
      <c r="F1695" s="31" t="n">
        <v>50.2</v>
      </c>
      <c r="G1695" s="31" t="n">
        <v>38.2</v>
      </c>
      <c r="H1695" s="2" t="s">
        <v>671</v>
      </c>
    </row>
    <row r="1696" customFormat="false" ht="15" hidden="false" customHeight="false" outlineLevel="0" collapsed="false">
      <c r="A1696" s="2" t="s">
        <v>288</v>
      </c>
      <c r="B1696" s="2" t="s">
        <v>4104</v>
      </c>
      <c r="C1696" s="2" t="s">
        <v>4086</v>
      </c>
      <c r="D1696" s="2"/>
      <c r="E1696" s="31" t="n">
        <v>54.8</v>
      </c>
      <c r="F1696" s="31" t="n">
        <v>40</v>
      </c>
      <c r="G1696" s="31" t="n">
        <v>33.8</v>
      </c>
      <c r="H1696" s="2" t="s">
        <v>671</v>
      </c>
    </row>
    <row r="1697" customFormat="false" ht="15" hidden="false" customHeight="false" outlineLevel="0" collapsed="false">
      <c r="A1697" s="2" t="s">
        <v>288</v>
      </c>
      <c r="B1697" s="2" t="s">
        <v>4104</v>
      </c>
      <c r="C1697" s="2" t="s">
        <v>4087</v>
      </c>
      <c r="D1697" s="2"/>
      <c r="E1697" s="31" t="n">
        <v>59.4</v>
      </c>
      <c r="F1697" s="31" t="n">
        <v>39.4</v>
      </c>
      <c r="G1697" s="31" t="n">
        <v>34.3</v>
      </c>
      <c r="H1697" s="2" t="s">
        <v>671</v>
      </c>
    </row>
    <row r="1698" customFormat="false" ht="15" hidden="false" customHeight="false" outlineLevel="0" collapsed="false">
      <c r="A1698" s="2" t="s">
        <v>288</v>
      </c>
      <c r="B1698" s="2" t="s">
        <v>46</v>
      </c>
      <c r="C1698" s="2" t="s">
        <v>4085</v>
      </c>
      <c r="D1698" s="11" t="n">
        <v>3786</v>
      </c>
      <c r="E1698" s="31" t="n">
        <v>35.8</v>
      </c>
      <c r="F1698" s="31" t="n">
        <v>54.4</v>
      </c>
      <c r="G1698" s="31" t="n">
        <v>37</v>
      </c>
      <c r="H1698" s="2" t="s">
        <v>671</v>
      </c>
    </row>
    <row r="1699" customFormat="false" ht="15" hidden="false" customHeight="false" outlineLevel="0" collapsed="false">
      <c r="A1699" s="2" t="s">
        <v>288</v>
      </c>
      <c r="B1699" s="2" t="s">
        <v>46</v>
      </c>
      <c r="C1699" s="2" t="s">
        <v>4086</v>
      </c>
      <c r="D1699" s="11" t="n">
        <v>3860</v>
      </c>
      <c r="E1699" s="31" t="n">
        <v>42</v>
      </c>
      <c r="F1699" s="31" t="n">
        <v>34</v>
      </c>
      <c r="G1699" s="31" t="n">
        <v>57.6</v>
      </c>
      <c r="H1699" s="2" t="s">
        <v>671</v>
      </c>
    </row>
    <row r="1700" customFormat="false" ht="15" hidden="false" customHeight="false" outlineLevel="0" collapsed="false">
      <c r="A1700" s="2" t="s">
        <v>288</v>
      </c>
      <c r="B1700" s="2" t="s">
        <v>46</v>
      </c>
      <c r="C1700" s="2" t="s">
        <v>4087</v>
      </c>
      <c r="D1700" s="11" t="n">
        <v>4034</v>
      </c>
      <c r="E1700" s="31" t="n">
        <v>54.5</v>
      </c>
      <c r="F1700" s="31" t="n">
        <v>14.6</v>
      </c>
      <c r="G1700" s="31" t="n">
        <v>38.1</v>
      </c>
      <c r="H1700" s="2" t="s">
        <v>671</v>
      </c>
    </row>
    <row r="1701" customFormat="false" ht="15" hidden="false" customHeight="false" outlineLevel="0" collapsed="false">
      <c r="A1701" s="2" t="s">
        <v>288</v>
      </c>
      <c r="B1701" s="2" t="s">
        <v>47</v>
      </c>
      <c r="C1701" s="2" t="s">
        <v>4085</v>
      </c>
      <c r="D1701" s="11" t="n">
        <v>28478</v>
      </c>
      <c r="E1701" s="31" t="n">
        <v>84.3</v>
      </c>
      <c r="F1701" s="31" t="n">
        <v>46.1</v>
      </c>
      <c r="G1701" s="31" t="n">
        <v>39.5</v>
      </c>
      <c r="H1701" s="2" t="s">
        <v>671</v>
      </c>
    </row>
    <row r="1702" customFormat="false" ht="15" hidden="false" customHeight="false" outlineLevel="0" collapsed="false">
      <c r="A1702" s="2" t="s">
        <v>288</v>
      </c>
      <c r="B1702" s="2" t="s">
        <v>47</v>
      </c>
      <c r="C1702" s="2" t="s">
        <v>4086</v>
      </c>
      <c r="D1702" s="11" t="n">
        <v>28882</v>
      </c>
      <c r="E1702" s="31" t="n">
        <v>67.7</v>
      </c>
      <c r="F1702" s="31" t="n">
        <v>46.1</v>
      </c>
      <c r="G1702" s="31" t="n">
        <v>10</v>
      </c>
      <c r="H1702" s="2" t="s">
        <v>671</v>
      </c>
    </row>
    <row r="1703" customFormat="false" ht="15" hidden="false" customHeight="false" outlineLevel="0" collapsed="false">
      <c r="A1703" s="2" t="s">
        <v>288</v>
      </c>
      <c r="B1703" s="2" t="s">
        <v>47</v>
      </c>
      <c r="C1703" s="2" t="s">
        <v>4087</v>
      </c>
      <c r="D1703" s="11" t="n">
        <v>29885</v>
      </c>
      <c r="E1703" s="31" t="n">
        <v>64.4</v>
      </c>
      <c r="F1703" s="31" t="n">
        <v>64.2</v>
      </c>
      <c r="G1703" s="31" t="n">
        <v>30.5</v>
      </c>
      <c r="H1703" s="2" t="s">
        <v>671</v>
      </c>
    </row>
    <row r="1704" customFormat="false" ht="15" hidden="false" customHeight="false" outlineLevel="0" collapsed="false">
      <c r="A1704" s="2" t="s">
        <v>1132</v>
      </c>
      <c r="B1704" s="2" t="s">
        <v>4104</v>
      </c>
      <c r="C1704" s="2" t="s">
        <v>4085</v>
      </c>
      <c r="D1704" s="2"/>
      <c r="E1704" s="31" t="n">
        <v>68.9</v>
      </c>
      <c r="F1704" s="31" t="n">
        <v>57.7</v>
      </c>
      <c r="G1704" s="31" t="n">
        <v>58.1</v>
      </c>
      <c r="H1704" s="2" t="s">
        <v>671</v>
      </c>
    </row>
    <row r="1705" customFormat="false" ht="15" hidden="false" customHeight="false" outlineLevel="0" collapsed="false">
      <c r="A1705" s="2" t="s">
        <v>1132</v>
      </c>
      <c r="B1705" s="2" t="s">
        <v>4104</v>
      </c>
      <c r="C1705" s="2" t="s">
        <v>4086</v>
      </c>
      <c r="D1705" s="2"/>
      <c r="E1705" s="31" t="n">
        <v>70.5</v>
      </c>
      <c r="F1705" s="31" t="n">
        <v>37.5</v>
      </c>
      <c r="G1705" s="31" t="n">
        <v>35.7</v>
      </c>
      <c r="H1705" s="2" t="s">
        <v>668</v>
      </c>
    </row>
    <row r="1706" customFormat="false" ht="15" hidden="false" customHeight="false" outlineLevel="0" collapsed="false">
      <c r="A1706" s="2" t="s">
        <v>1132</v>
      </c>
      <c r="B1706" s="2" t="s">
        <v>4104</v>
      </c>
      <c r="C1706" s="2" t="s">
        <v>4087</v>
      </c>
      <c r="D1706" s="2"/>
      <c r="E1706" s="31" t="n">
        <v>67</v>
      </c>
      <c r="F1706" s="31" t="n">
        <v>56</v>
      </c>
      <c r="G1706" s="31" t="n">
        <v>40.1</v>
      </c>
      <c r="H1706" s="2" t="s">
        <v>668</v>
      </c>
    </row>
    <row r="1707" customFormat="false" ht="15" hidden="false" customHeight="false" outlineLevel="0" collapsed="false">
      <c r="A1707" s="2" t="s">
        <v>1132</v>
      </c>
      <c r="B1707" s="2" t="s">
        <v>45</v>
      </c>
      <c r="C1707" s="2" t="s">
        <v>4085</v>
      </c>
      <c r="D1707" s="11" t="n">
        <v>36936</v>
      </c>
      <c r="E1707" s="31" t="n">
        <v>62.9</v>
      </c>
      <c r="F1707" s="31" t="n">
        <v>83.9</v>
      </c>
      <c r="G1707" s="31" t="n">
        <v>57.8</v>
      </c>
      <c r="H1707" s="2" t="s">
        <v>671</v>
      </c>
    </row>
    <row r="1708" customFormat="false" ht="15" hidden="false" customHeight="false" outlineLevel="0" collapsed="false">
      <c r="A1708" s="2" t="s">
        <v>1132</v>
      </c>
      <c r="B1708" s="2" t="s">
        <v>45</v>
      </c>
      <c r="C1708" s="2" t="s">
        <v>4086</v>
      </c>
      <c r="D1708" s="2"/>
      <c r="E1708" s="2"/>
      <c r="F1708" s="2"/>
      <c r="G1708" s="2"/>
      <c r="H1708" s="2" t="s">
        <v>668</v>
      </c>
    </row>
    <row r="1709" customFormat="false" ht="15" hidden="false" customHeight="false" outlineLevel="0" collapsed="false">
      <c r="A1709" s="2" t="s">
        <v>1132</v>
      </c>
      <c r="B1709" s="2" t="s">
        <v>45</v>
      </c>
      <c r="C1709" s="2" t="s">
        <v>4087</v>
      </c>
      <c r="D1709" s="11" t="n">
        <v>40418</v>
      </c>
      <c r="E1709" s="31" t="n">
        <v>38.5</v>
      </c>
      <c r="F1709" s="31" t="n">
        <v>81</v>
      </c>
      <c r="G1709" s="31" t="n">
        <v>76.2</v>
      </c>
      <c r="H1709" s="2" t="s">
        <v>671</v>
      </c>
    </row>
    <row r="1710" customFormat="false" ht="15" hidden="false" customHeight="false" outlineLevel="0" collapsed="false">
      <c r="A1710" s="2" t="s">
        <v>1132</v>
      </c>
      <c r="B1710" s="2" t="s">
        <v>46</v>
      </c>
      <c r="C1710" s="2" t="s">
        <v>4085</v>
      </c>
      <c r="D1710" s="11" t="n">
        <v>244090</v>
      </c>
      <c r="E1710" s="31" t="n">
        <v>49.3</v>
      </c>
      <c r="F1710" s="31" t="n">
        <v>7.1</v>
      </c>
      <c r="G1710" s="31" t="n">
        <v>60.5</v>
      </c>
      <c r="H1710" s="2" t="s">
        <v>671</v>
      </c>
    </row>
    <row r="1711" customFormat="false" ht="15" hidden="false" customHeight="false" outlineLevel="0" collapsed="false">
      <c r="A1711" s="2" t="s">
        <v>1132</v>
      </c>
      <c r="B1711" s="2" t="s">
        <v>46</v>
      </c>
      <c r="C1711" s="2" t="s">
        <v>4086</v>
      </c>
      <c r="D1711" s="11" t="n">
        <v>241850</v>
      </c>
      <c r="E1711" s="31" t="n">
        <v>47.7</v>
      </c>
      <c r="F1711" s="31" t="n">
        <v>21</v>
      </c>
      <c r="G1711" s="31" t="n">
        <v>13.5</v>
      </c>
      <c r="H1711" s="2" t="s">
        <v>671</v>
      </c>
    </row>
    <row r="1712" customFormat="false" ht="15" hidden="false" customHeight="false" outlineLevel="0" collapsed="false">
      <c r="A1712" s="2" t="s">
        <v>1132</v>
      </c>
      <c r="B1712" s="2" t="s">
        <v>46</v>
      </c>
      <c r="C1712" s="2" t="s">
        <v>4087</v>
      </c>
      <c r="D1712" s="11" t="n">
        <v>239333</v>
      </c>
      <c r="E1712" s="2"/>
      <c r="F1712" s="31" t="n">
        <v>23.2</v>
      </c>
      <c r="G1712" s="2"/>
      <c r="H1712" s="2" t="s">
        <v>668</v>
      </c>
    </row>
    <row r="1713" customFormat="false" ht="15" hidden="false" customHeight="false" outlineLevel="0" collapsed="false">
      <c r="A1713" s="2" t="s">
        <v>1132</v>
      </c>
      <c r="B1713" s="2" t="s">
        <v>47</v>
      </c>
      <c r="C1713" s="2" t="s">
        <v>4085</v>
      </c>
      <c r="D1713" s="11" t="n">
        <v>188048</v>
      </c>
      <c r="E1713" s="31" t="n">
        <v>94.5</v>
      </c>
      <c r="F1713" s="31" t="n">
        <v>82.1</v>
      </c>
      <c r="G1713" s="31" t="n">
        <v>55.9</v>
      </c>
      <c r="H1713" s="2" t="s">
        <v>671</v>
      </c>
    </row>
    <row r="1714" customFormat="false" ht="15" hidden="false" customHeight="false" outlineLevel="0" collapsed="false">
      <c r="A1714" s="2" t="s">
        <v>1132</v>
      </c>
      <c r="B1714" s="2" t="s">
        <v>47</v>
      </c>
      <c r="C1714" s="2" t="s">
        <v>4086</v>
      </c>
      <c r="D1714" s="11" t="n">
        <v>196244</v>
      </c>
      <c r="E1714" s="31" t="n">
        <v>93.3</v>
      </c>
      <c r="F1714" s="31" t="n">
        <v>54</v>
      </c>
      <c r="G1714" s="31" t="n">
        <v>57.9</v>
      </c>
      <c r="H1714" s="2" t="s">
        <v>671</v>
      </c>
    </row>
    <row r="1715" customFormat="false" ht="15" hidden="false" customHeight="false" outlineLevel="0" collapsed="false">
      <c r="A1715" s="2" t="s">
        <v>1132</v>
      </c>
      <c r="B1715" s="2" t="s">
        <v>47</v>
      </c>
      <c r="C1715" s="2" t="s">
        <v>4087</v>
      </c>
      <c r="D1715" s="11" t="n">
        <v>204803</v>
      </c>
      <c r="E1715" s="31" t="n">
        <v>95.4</v>
      </c>
      <c r="F1715" s="31" t="n">
        <v>63.9</v>
      </c>
      <c r="G1715" s="31" t="n">
        <v>4</v>
      </c>
      <c r="H1715" s="2" t="s">
        <v>671</v>
      </c>
    </row>
    <row r="1716" customFormat="false" ht="15" hidden="false" customHeight="false" outlineLevel="0" collapsed="false">
      <c r="A1716" s="2" t="s">
        <v>1532</v>
      </c>
      <c r="B1716" s="2" t="s">
        <v>4104</v>
      </c>
      <c r="C1716" s="2" t="s">
        <v>4085</v>
      </c>
      <c r="D1716" s="2"/>
      <c r="E1716" s="31" t="n">
        <v>55.1</v>
      </c>
      <c r="F1716" s="31" t="n">
        <v>59.1</v>
      </c>
      <c r="G1716" s="31" t="n">
        <v>6.5</v>
      </c>
      <c r="H1716" s="2" t="s">
        <v>668</v>
      </c>
    </row>
    <row r="1717" customFormat="false" ht="15" hidden="false" customHeight="false" outlineLevel="0" collapsed="false">
      <c r="A1717" s="2" t="s">
        <v>1532</v>
      </c>
      <c r="B1717" s="2" t="s">
        <v>4104</v>
      </c>
      <c r="C1717" s="2" t="s">
        <v>4086</v>
      </c>
      <c r="D1717" s="2"/>
      <c r="E1717" s="31" t="n">
        <v>65.7</v>
      </c>
      <c r="F1717" s="31" t="n">
        <v>62.6</v>
      </c>
      <c r="G1717" s="31" t="n">
        <v>31.4</v>
      </c>
      <c r="H1717" s="2" t="s">
        <v>668</v>
      </c>
    </row>
    <row r="1718" customFormat="false" ht="15" hidden="false" customHeight="false" outlineLevel="0" collapsed="false">
      <c r="A1718" s="2" t="s">
        <v>1532</v>
      </c>
      <c r="B1718" s="2" t="s">
        <v>4104</v>
      </c>
      <c r="C1718" s="2" t="s">
        <v>4087</v>
      </c>
      <c r="D1718" s="2"/>
      <c r="E1718" s="31" t="n">
        <v>77.2</v>
      </c>
      <c r="F1718" s="31" t="n">
        <v>57.7</v>
      </c>
      <c r="G1718" s="31" t="n">
        <v>33.2</v>
      </c>
      <c r="H1718" s="2" t="s">
        <v>668</v>
      </c>
    </row>
    <row r="1719" customFormat="false" ht="15" hidden="false" customHeight="false" outlineLevel="0" collapsed="false">
      <c r="A1719" s="2" t="s">
        <v>1532</v>
      </c>
      <c r="B1719" s="2" t="s">
        <v>45</v>
      </c>
      <c r="C1719" s="2" t="s">
        <v>4085</v>
      </c>
      <c r="D1719" s="11" t="n">
        <v>18220</v>
      </c>
      <c r="E1719" s="31" t="n">
        <v>45.1</v>
      </c>
      <c r="F1719" s="2"/>
      <c r="G1719" s="2"/>
      <c r="H1719" s="2" t="s">
        <v>668</v>
      </c>
    </row>
    <row r="1720" customFormat="false" ht="15" hidden="false" customHeight="false" outlineLevel="0" collapsed="false">
      <c r="A1720" s="2" t="s">
        <v>1532</v>
      </c>
      <c r="B1720" s="2" t="s">
        <v>45</v>
      </c>
      <c r="C1720" s="2" t="s">
        <v>4086</v>
      </c>
      <c r="D1720" s="11" t="n">
        <v>19400</v>
      </c>
      <c r="E1720" s="31" t="n">
        <v>60.5</v>
      </c>
      <c r="F1720" s="31" t="n">
        <v>74.9</v>
      </c>
      <c r="G1720" s="31" t="n">
        <v>62</v>
      </c>
      <c r="H1720" s="2" t="s">
        <v>668</v>
      </c>
    </row>
    <row r="1721" customFormat="false" ht="15" hidden="false" customHeight="false" outlineLevel="0" collapsed="false">
      <c r="A1721" s="2" t="s">
        <v>1532</v>
      </c>
      <c r="B1721" s="2" t="s">
        <v>45</v>
      </c>
      <c r="C1721" s="2" t="s">
        <v>4087</v>
      </c>
      <c r="D1721" s="11" t="n">
        <v>19780</v>
      </c>
      <c r="E1721" s="31" t="n">
        <v>78.2</v>
      </c>
      <c r="F1721" s="31" t="n">
        <v>36.1</v>
      </c>
      <c r="G1721" s="2"/>
      <c r="H1721" s="2" t="s">
        <v>668</v>
      </c>
    </row>
    <row r="1722" customFormat="false" ht="15" hidden="false" customHeight="false" outlineLevel="0" collapsed="false">
      <c r="A1722" s="2" t="s">
        <v>1532</v>
      </c>
      <c r="B1722" s="2" t="s">
        <v>46</v>
      </c>
      <c r="C1722" s="2" t="s">
        <v>4085</v>
      </c>
      <c r="D1722" s="11" t="n">
        <v>35310</v>
      </c>
      <c r="E1722" s="31" t="n">
        <v>76.9</v>
      </c>
      <c r="F1722" s="31" t="n">
        <v>97</v>
      </c>
      <c r="G1722" s="2"/>
      <c r="H1722" s="2" t="s">
        <v>668</v>
      </c>
    </row>
    <row r="1723" customFormat="false" ht="15" hidden="false" customHeight="false" outlineLevel="0" collapsed="false">
      <c r="A1723" s="2" t="s">
        <v>1532</v>
      </c>
      <c r="B1723" s="2" t="s">
        <v>46</v>
      </c>
      <c r="C1723" s="2" t="s">
        <v>4086</v>
      </c>
      <c r="D1723" s="11" t="n">
        <v>38060</v>
      </c>
      <c r="E1723" s="31" t="n">
        <v>84.7</v>
      </c>
      <c r="F1723" s="31" t="n">
        <v>90.9</v>
      </c>
      <c r="G1723" s="2"/>
      <c r="H1723" s="2" t="s">
        <v>668</v>
      </c>
    </row>
    <row r="1724" customFormat="false" ht="15" hidden="false" customHeight="false" outlineLevel="0" collapsed="false">
      <c r="A1724" s="2" t="s">
        <v>1532</v>
      </c>
      <c r="B1724" s="2" t="s">
        <v>46</v>
      </c>
      <c r="C1724" s="2" t="s">
        <v>4087</v>
      </c>
      <c r="D1724" s="11" t="n">
        <v>39815</v>
      </c>
      <c r="E1724" s="31" t="n">
        <v>76.1</v>
      </c>
      <c r="F1724" s="31" t="n">
        <v>79.3</v>
      </c>
      <c r="G1724" s="31" t="n">
        <v>33.2</v>
      </c>
      <c r="H1724" s="2" t="s">
        <v>671</v>
      </c>
    </row>
    <row r="1725" customFormat="false" ht="15" hidden="false" customHeight="false" outlineLevel="0" collapsed="false">
      <c r="A1725" s="2" t="s">
        <v>1532</v>
      </c>
      <c r="B1725" s="2" t="s">
        <v>47</v>
      </c>
      <c r="C1725" s="2" t="s">
        <v>4085</v>
      </c>
      <c r="D1725" s="11" t="n">
        <v>88324</v>
      </c>
      <c r="E1725" s="31" t="n">
        <v>43.3</v>
      </c>
      <c r="F1725" s="31" t="n">
        <v>21.2</v>
      </c>
      <c r="G1725" s="31" t="n">
        <v>6.5</v>
      </c>
      <c r="H1725" s="2" t="s">
        <v>671</v>
      </c>
    </row>
    <row r="1726" customFormat="false" ht="15" hidden="false" customHeight="false" outlineLevel="0" collapsed="false">
      <c r="A1726" s="2" t="s">
        <v>1532</v>
      </c>
      <c r="B1726" s="2" t="s">
        <v>47</v>
      </c>
      <c r="C1726" s="2" t="s">
        <v>4086</v>
      </c>
      <c r="D1726" s="11" t="n">
        <v>90367</v>
      </c>
      <c r="E1726" s="31" t="n">
        <v>52</v>
      </c>
      <c r="F1726" s="31" t="n">
        <v>22.1</v>
      </c>
      <c r="G1726" s="31" t="n">
        <v>0.9</v>
      </c>
      <c r="H1726" s="2" t="s">
        <v>671</v>
      </c>
    </row>
    <row r="1727" customFormat="false" ht="15" hidden="false" customHeight="false" outlineLevel="0" collapsed="false">
      <c r="A1727" s="2" t="s">
        <v>1532</v>
      </c>
      <c r="B1727" s="2" t="s">
        <v>47</v>
      </c>
      <c r="C1727" s="2" t="s">
        <v>4087</v>
      </c>
      <c r="D1727" s="2"/>
      <c r="E1727" s="2"/>
      <c r="F1727" s="2"/>
      <c r="G1727" s="2"/>
      <c r="H1727" s="2" t="s">
        <v>668</v>
      </c>
    </row>
    <row r="1728" customFormat="false" ht="15" hidden="false" customHeight="false" outlineLevel="0" collapsed="false">
      <c r="A1728" s="2" t="s">
        <v>248</v>
      </c>
      <c r="B1728" s="2" t="s">
        <v>4104</v>
      </c>
      <c r="C1728" s="2" t="s">
        <v>4085</v>
      </c>
      <c r="D1728" s="2"/>
      <c r="E1728" s="31" t="n">
        <v>73.7</v>
      </c>
      <c r="F1728" s="31" t="n">
        <v>27.4</v>
      </c>
      <c r="G1728" s="31" t="n">
        <v>48.3</v>
      </c>
      <c r="H1728" s="2" t="s">
        <v>668</v>
      </c>
    </row>
    <row r="1729" customFormat="false" ht="15" hidden="false" customHeight="false" outlineLevel="0" collapsed="false">
      <c r="A1729" s="2" t="s">
        <v>248</v>
      </c>
      <c r="B1729" s="2" t="s">
        <v>4104</v>
      </c>
      <c r="C1729" s="2" t="s">
        <v>4086</v>
      </c>
      <c r="D1729" s="2"/>
      <c r="E1729" s="31" t="n">
        <v>52.7</v>
      </c>
      <c r="F1729" s="31" t="n">
        <v>40.9</v>
      </c>
      <c r="G1729" s="31" t="n">
        <v>67</v>
      </c>
      <c r="H1729" s="2" t="s">
        <v>668</v>
      </c>
    </row>
    <row r="1730" customFormat="false" ht="15" hidden="false" customHeight="false" outlineLevel="0" collapsed="false">
      <c r="A1730" s="2" t="s">
        <v>248</v>
      </c>
      <c r="B1730" s="2" t="s">
        <v>4104</v>
      </c>
      <c r="C1730" s="2" t="s">
        <v>4087</v>
      </c>
      <c r="D1730" s="2"/>
      <c r="E1730" s="31" t="n">
        <v>64.8</v>
      </c>
      <c r="F1730" s="31" t="n">
        <v>27.2</v>
      </c>
      <c r="G1730" s="31" t="n">
        <v>44.2</v>
      </c>
      <c r="H1730" s="2" t="s">
        <v>671</v>
      </c>
    </row>
    <row r="1731" customFormat="false" ht="15" hidden="false" customHeight="false" outlineLevel="0" collapsed="false">
      <c r="A1731" s="2" t="s">
        <v>248</v>
      </c>
      <c r="B1731" s="2" t="s">
        <v>45</v>
      </c>
      <c r="C1731" s="2" t="s">
        <v>4085</v>
      </c>
      <c r="D1731" s="11" t="n">
        <v>4808</v>
      </c>
      <c r="E1731" s="31" t="n">
        <v>73.7</v>
      </c>
      <c r="F1731" s="31" t="n">
        <v>27.4</v>
      </c>
      <c r="G1731" s="31" t="n">
        <v>48.3</v>
      </c>
      <c r="H1731" s="2" t="s">
        <v>671</v>
      </c>
    </row>
    <row r="1732" customFormat="false" ht="15" hidden="false" customHeight="false" outlineLevel="0" collapsed="false">
      <c r="A1732" s="2" t="s">
        <v>248</v>
      </c>
      <c r="B1732" s="2" t="s">
        <v>45</v>
      </c>
      <c r="C1732" s="2" t="s">
        <v>4086</v>
      </c>
      <c r="D1732" s="2"/>
      <c r="E1732" s="2"/>
      <c r="F1732" s="2"/>
      <c r="G1732" s="2"/>
      <c r="H1732" s="2" t="s">
        <v>668</v>
      </c>
    </row>
    <row r="1733" customFormat="false" ht="15" hidden="false" customHeight="false" outlineLevel="0" collapsed="false">
      <c r="A1733" s="2" t="s">
        <v>248</v>
      </c>
      <c r="B1733" s="2" t="s">
        <v>45</v>
      </c>
      <c r="C1733" s="2" t="s">
        <v>4087</v>
      </c>
      <c r="D1733" s="11" t="n">
        <v>4928</v>
      </c>
      <c r="E1733" s="31" t="n">
        <v>79.3</v>
      </c>
      <c r="F1733" s="31" t="n">
        <v>46.3</v>
      </c>
      <c r="G1733" s="31" t="n">
        <v>39</v>
      </c>
      <c r="H1733" s="2" t="s">
        <v>671</v>
      </c>
    </row>
    <row r="1734" customFormat="false" ht="15" hidden="false" customHeight="false" outlineLevel="0" collapsed="false">
      <c r="A1734" s="2" t="s">
        <v>248</v>
      </c>
      <c r="B1734" s="2" t="s">
        <v>47</v>
      </c>
      <c r="C1734" s="2" t="s">
        <v>4085</v>
      </c>
      <c r="D1734" s="2"/>
      <c r="E1734" s="2"/>
      <c r="F1734" s="2"/>
      <c r="G1734" s="2"/>
      <c r="H1734" s="2" t="s">
        <v>668</v>
      </c>
    </row>
    <row r="1735" customFormat="false" ht="15" hidden="false" customHeight="false" outlineLevel="0" collapsed="false">
      <c r="A1735" s="2" t="s">
        <v>248</v>
      </c>
      <c r="B1735" s="2" t="s">
        <v>47</v>
      </c>
      <c r="C1735" s="2" t="s">
        <v>4086</v>
      </c>
      <c r="D1735" s="11" t="n">
        <v>32016</v>
      </c>
      <c r="E1735" s="31" t="n">
        <v>52.7</v>
      </c>
      <c r="F1735" s="31" t="n">
        <v>40.9</v>
      </c>
      <c r="G1735" s="31" t="n">
        <v>67</v>
      </c>
      <c r="H1735" s="2" t="s">
        <v>671</v>
      </c>
    </row>
    <row r="1736" customFormat="false" ht="15" hidden="false" customHeight="false" outlineLevel="0" collapsed="false">
      <c r="A1736" s="2" t="s">
        <v>248</v>
      </c>
      <c r="B1736" s="2" t="s">
        <v>47</v>
      </c>
      <c r="C1736" s="2" t="s">
        <v>4087</v>
      </c>
      <c r="D1736" s="11" t="n">
        <v>32630</v>
      </c>
      <c r="E1736" s="31" t="n">
        <v>50.4</v>
      </c>
      <c r="F1736" s="31" t="n">
        <v>8.2</v>
      </c>
      <c r="G1736" s="31" t="n">
        <v>49.3</v>
      </c>
      <c r="H1736" s="2" t="s">
        <v>671</v>
      </c>
    </row>
    <row r="1737" customFormat="false" ht="15" hidden="false" customHeight="false" outlineLevel="0" collapsed="false">
      <c r="A1737" s="2" t="s">
        <v>518</v>
      </c>
      <c r="B1737" s="2" t="s">
        <v>4104</v>
      </c>
      <c r="C1737" s="2" t="s">
        <v>4085</v>
      </c>
      <c r="D1737" s="2"/>
      <c r="E1737" s="31" t="n">
        <v>33</v>
      </c>
      <c r="F1737" s="31" t="n">
        <v>33.4</v>
      </c>
      <c r="G1737" s="31" t="n">
        <v>5.7</v>
      </c>
      <c r="H1737" s="2" t="s">
        <v>668</v>
      </c>
    </row>
    <row r="1738" customFormat="false" ht="15" hidden="false" customHeight="false" outlineLevel="0" collapsed="false">
      <c r="A1738" s="2" t="s">
        <v>518</v>
      </c>
      <c r="B1738" s="2" t="s">
        <v>4104</v>
      </c>
      <c r="C1738" s="2" t="s">
        <v>4086</v>
      </c>
      <c r="D1738" s="2"/>
      <c r="E1738" s="31" t="n">
        <v>13.8</v>
      </c>
      <c r="F1738" s="31" t="n">
        <v>43</v>
      </c>
      <c r="G1738" s="31" t="n">
        <v>88.6</v>
      </c>
      <c r="H1738" s="2" t="s">
        <v>668</v>
      </c>
    </row>
    <row r="1739" customFormat="false" ht="15" hidden="false" customHeight="false" outlineLevel="0" collapsed="false">
      <c r="A1739" s="2" t="s">
        <v>518</v>
      </c>
      <c r="B1739" s="2" t="s">
        <v>4104</v>
      </c>
      <c r="C1739" s="2" t="s">
        <v>4087</v>
      </c>
      <c r="D1739" s="2"/>
      <c r="E1739" s="31" t="n">
        <v>33.4</v>
      </c>
      <c r="F1739" s="31" t="n">
        <v>15.8</v>
      </c>
      <c r="G1739" s="31" t="n">
        <v>44.1</v>
      </c>
      <c r="H1739" s="2" t="s">
        <v>671</v>
      </c>
    </row>
    <row r="1740" customFormat="false" ht="15" hidden="false" customHeight="false" outlineLevel="0" collapsed="false">
      <c r="A1740" s="2" t="s">
        <v>518</v>
      </c>
      <c r="B1740" s="2" t="s">
        <v>45</v>
      </c>
      <c r="C1740" s="2" t="s">
        <v>4085</v>
      </c>
      <c r="D1740" s="11" t="n">
        <v>10080</v>
      </c>
      <c r="E1740" s="31" t="n">
        <v>28.5</v>
      </c>
      <c r="F1740" s="31" t="n">
        <v>48.2</v>
      </c>
      <c r="G1740" s="2"/>
      <c r="H1740" s="2" t="s">
        <v>668</v>
      </c>
    </row>
    <row r="1741" customFormat="false" ht="15" hidden="false" customHeight="false" outlineLevel="0" collapsed="false">
      <c r="A1741" s="2" t="s">
        <v>518</v>
      </c>
      <c r="B1741" s="2" t="s">
        <v>45</v>
      </c>
      <c r="C1741" s="2" t="s">
        <v>4086</v>
      </c>
      <c r="D1741" s="11" t="n">
        <v>10484</v>
      </c>
      <c r="E1741" s="31" t="n">
        <v>13.8</v>
      </c>
      <c r="F1741" s="31" t="n">
        <v>43</v>
      </c>
      <c r="G1741" s="31" t="n">
        <v>88.6</v>
      </c>
      <c r="H1741" s="2" t="s">
        <v>671</v>
      </c>
    </row>
    <row r="1742" customFormat="false" ht="15" hidden="false" customHeight="false" outlineLevel="0" collapsed="false">
      <c r="A1742" s="2" t="s">
        <v>518</v>
      </c>
      <c r="B1742" s="2" t="s">
        <v>45</v>
      </c>
      <c r="C1742" s="2" t="s">
        <v>4087</v>
      </c>
      <c r="D1742" s="11" t="n">
        <v>10608</v>
      </c>
      <c r="E1742" s="31" t="n">
        <v>12.8</v>
      </c>
      <c r="F1742" s="31" t="n">
        <v>27.4</v>
      </c>
      <c r="G1742" s="31" t="n">
        <v>81.2</v>
      </c>
      <c r="H1742" s="2" t="s">
        <v>671</v>
      </c>
    </row>
    <row r="1743" customFormat="false" ht="15" hidden="false" customHeight="false" outlineLevel="0" collapsed="false">
      <c r="A1743" s="2" t="s">
        <v>518</v>
      </c>
      <c r="B1743" s="2" t="s">
        <v>46</v>
      </c>
      <c r="C1743" s="2" t="s">
        <v>4085</v>
      </c>
      <c r="D1743" s="11" t="n">
        <v>84810</v>
      </c>
      <c r="E1743" s="31" t="n">
        <v>37.4</v>
      </c>
      <c r="F1743" s="31" t="n">
        <v>18.7</v>
      </c>
      <c r="G1743" s="31" t="n">
        <v>5.7</v>
      </c>
      <c r="H1743" s="2" t="s">
        <v>671</v>
      </c>
    </row>
    <row r="1744" customFormat="false" ht="15" hidden="false" customHeight="false" outlineLevel="0" collapsed="false">
      <c r="A1744" s="2" t="s">
        <v>518</v>
      </c>
      <c r="B1744" s="2" t="s">
        <v>46</v>
      </c>
      <c r="C1744" s="2" t="s">
        <v>4086</v>
      </c>
      <c r="D1744" s="2"/>
      <c r="E1744" s="2"/>
      <c r="F1744" s="2"/>
      <c r="G1744" s="2"/>
      <c r="H1744" s="2" t="s">
        <v>668</v>
      </c>
    </row>
    <row r="1745" customFormat="false" ht="15" hidden="false" customHeight="false" outlineLevel="0" collapsed="false">
      <c r="A1745" s="2" t="s">
        <v>518</v>
      </c>
      <c r="B1745" s="2" t="s">
        <v>46</v>
      </c>
      <c r="C1745" s="2" t="s">
        <v>4087</v>
      </c>
      <c r="D1745" s="11" t="n">
        <v>84850</v>
      </c>
      <c r="E1745" s="31" t="n">
        <v>54.1</v>
      </c>
      <c r="F1745" s="31" t="n">
        <v>4.1</v>
      </c>
      <c r="G1745" s="31" t="n">
        <v>7</v>
      </c>
      <c r="H1745" s="2" t="s">
        <v>671</v>
      </c>
    </row>
    <row r="1746" customFormat="false" ht="15" hidden="false" customHeight="false" outlineLevel="0" collapsed="false">
      <c r="A1746" s="2" t="s">
        <v>717</v>
      </c>
      <c r="B1746" s="2" t="s">
        <v>4104</v>
      </c>
      <c r="C1746" s="2" t="s">
        <v>4085</v>
      </c>
      <c r="D1746" s="2"/>
      <c r="E1746" s="31" t="n">
        <v>66.9</v>
      </c>
      <c r="F1746" s="31" t="n">
        <v>55.5</v>
      </c>
      <c r="G1746" s="31" t="n">
        <v>41.9</v>
      </c>
      <c r="H1746" s="2" t="s">
        <v>671</v>
      </c>
    </row>
    <row r="1747" customFormat="false" ht="15" hidden="false" customHeight="false" outlineLevel="0" collapsed="false">
      <c r="A1747" s="2" t="s">
        <v>717</v>
      </c>
      <c r="B1747" s="2" t="s">
        <v>4104</v>
      </c>
      <c r="C1747" s="2" t="s">
        <v>4086</v>
      </c>
      <c r="D1747" s="2"/>
      <c r="E1747" s="31" t="n">
        <v>52</v>
      </c>
      <c r="F1747" s="31" t="n">
        <v>61.6</v>
      </c>
      <c r="G1747" s="31" t="n">
        <v>54.6</v>
      </c>
      <c r="H1747" s="2" t="s">
        <v>671</v>
      </c>
    </row>
    <row r="1748" customFormat="false" ht="15" hidden="false" customHeight="false" outlineLevel="0" collapsed="false">
      <c r="A1748" s="2" t="s">
        <v>717</v>
      </c>
      <c r="B1748" s="2" t="s">
        <v>4104</v>
      </c>
      <c r="C1748" s="2" t="s">
        <v>4087</v>
      </c>
      <c r="D1748" s="2"/>
      <c r="E1748" s="31" t="n">
        <v>52.6</v>
      </c>
      <c r="F1748" s="31" t="n">
        <v>50.5</v>
      </c>
      <c r="G1748" s="31" t="n">
        <v>67.2</v>
      </c>
      <c r="H1748" s="2" t="s">
        <v>668</v>
      </c>
    </row>
    <row r="1749" customFormat="false" ht="15" hidden="false" customHeight="false" outlineLevel="0" collapsed="false">
      <c r="A1749" s="2" t="s">
        <v>717</v>
      </c>
      <c r="B1749" s="2" t="s">
        <v>45</v>
      </c>
      <c r="C1749" s="2" t="s">
        <v>4085</v>
      </c>
      <c r="D1749" s="11" t="n">
        <v>25410</v>
      </c>
      <c r="E1749" s="31" t="n">
        <v>99.3</v>
      </c>
      <c r="F1749" s="31" t="n">
        <v>86.9</v>
      </c>
      <c r="G1749" s="31" t="n">
        <v>56.6</v>
      </c>
      <c r="H1749" s="2" t="s">
        <v>671</v>
      </c>
    </row>
    <row r="1750" customFormat="false" ht="15" hidden="false" customHeight="false" outlineLevel="0" collapsed="false">
      <c r="A1750" s="2" t="s">
        <v>717</v>
      </c>
      <c r="B1750" s="2" t="s">
        <v>45</v>
      </c>
      <c r="C1750" s="2" t="s">
        <v>4086</v>
      </c>
      <c r="D1750" s="11" t="n">
        <v>27220</v>
      </c>
      <c r="E1750" s="31" t="n">
        <v>87.5</v>
      </c>
      <c r="F1750" s="31" t="n">
        <v>81.1</v>
      </c>
      <c r="G1750" s="31" t="n">
        <v>78.1</v>
      </c>
      <c r="H1750" s="2" t="s">
        <v>671</v>
      </c>
    </row>
    <row r="1751" customFormat="false" ht="15" hidden="false" customHeight="false" outlineLevel="0" collapsed="false">
      <c r="A1751" s="2" t="s">
        <v>717</v>
      </c>
      <c r="B1751" s="2" t="s">
        <v>45</v>
      </c>
      <c r="C1751" s="2" t="s">
        <v>4087</v>
      </c>
      <c r="D1751" s="11" t="n">
        <v>28350</v>
      </c>
      <c r="E1751" s="31" t="n">
        <v>94.2</v>
      </c>
      <c r="F1751" s="31" t="n">
        <v>60.7</v>
      </c>
      <c r="G1751" s="31" t="n">
        <v>71</v>
      </c>
      <c r="H1751" s="2" t="s">
        <v>671</v>
      </c>
    </row>
    <row r="1752" customFormat="false" ht="15" hidden="false" customHeight="false" outlineLevel="0" collapsed="false">
      <c r="A1752" s="2" t="s">
        <v>717</v>
      </c>
      <c r="B1752" s="2" t="s">
        <v>46</v>
      </c>
      <c r="C1752" s="2" t="s">
        <v>4085</v>
      </c>
      <c r="D1752" s="11" t="n">
        <v>13910</v>
      </c>
      <c r="E1752" s="31" t="n">
        <v>60.5</v>
      </c>
      <c r="F1752" s="31" t="n">
        <v>73.8</v>
      </c>
      <c r="G1752" s="31" t="n">
        <v>12.3</v>
      </c>
      <c r="H1752" s="2" t="s">
        <v>671</v>
      </c>
    </row>
    <row r="1753" customFormat="false" ht="15" hidden="false" customHeight="false" outlineLevel="0" collapsed="false">
      <c r="A1753" s="2" t="s">
        <v>717</v>
      </c>
      <c r="B1753" s="2" t="s">
        <v>46</v>
      </c>
      <c r="C1753" s="2" t="s">
        <v>4086</v>
      </c>
      <c r="D1753" s="11" t="n">
        <v>14830</v>
      </c>
      <c r="E1753" s="31" t="n">
        <v>59.3</v>
      </c>
      <c r="F1753" s="31" t="n">
        <v>88.7</v>
      </c>
      <c r="G1753" s="31" t="n">
        <v>6.2</v>
      </c>
      <c r="H1753" s="2" t="s">
        <v>671</v>
      </c>
    </row>
    <row r="1754" customFormat="false" ht="15" hidden="false" customHeight="false" outlineLevel="0" collapsed="false">
      <c r="A1754" s="2" t="s">
        <v>717</v>
      </c>
      <c r="B1754" s="2" t="s">
        <v>46</v>
      </c>
      <c r="C1754" s="2" t="s">
        <v>4087</v>
      </c>
      <c r="D1754" s="11" t="n">
        <v>15280</v>
      </c>
      <c r="E1754" s="31" t="n">
        <v>33.2</v>
      </c>
      <c r="F1754" s="31" t="n">
        <v>84.2</v>
      </c>
      <c r="G1754" s="2"/>
      <c r="H1754" s="2" t="s">
        <v>668</v>
      </c>
    </row>
    <row r="1755" customFormat="false" ht="15" hidden="false" customHeight="false" outlineLevel="0" collapsed="false">
      <c r="A1755" s="2" t="s">
        <v>717</v>
      </c>
      <c r="B1755" s="2" t="s">
        <v>47</v>
      </c>
      <c r="C1755" s="2" t="s">
        <v>4085</v>
      </c>
      <c r="D1755" s="11" t="n">
        <v>55940</v>
      </c>
      <c r="E1755" s="31" t="n">
        <v>41</v>
      </c>
      <c r="F1755" s="31" t="n">
        <v>5.9</v>
      </c>
      <c r="G1755" s="31" t="n">
        <v>56.8</v>
      </c>
      <c r="H1755" s="2" t="s">
        <v>671</v>
      </c>
    </row>
    <row r="1756" customFormat="false" ht="15" hidden="false" customHeight="false" outlineLevel="0" collapsed="false">
      <c r="A1756" s="2" t="s">
        <v>717</v>
      </c>
      <c r="B1756" s="2" t="s">
        <v>47</v>
      </c>
      <c r="C1756" s="2" t="s">
        <v>4086</v>
      </c>
      <c r="D1756" s="11" t="n">
        <v>94656</v>
      </c>
      <c r="E1756" s="31" t="n">
        <v>9.2</v>
      </c>
      <c r="F1756" s="31" t="n">
        <v>14.9</v>
      </c>
      <c r="G1756" s="31" t="n">
        <v>79.6</v>
      </c>
      <c r="H1756" s="2" t="s">
        <v>671</v>
      </c>
    </row>
    <row r="1757" customFormat="false" ht="15" hidden="false" customHeight="false" outlineLevel="0" collapsed="false">
      <c r="A1757" s="2" t="s">
        <v>717</v>
      </c>
      <c r="B1757" s="2" t="s">
        <v>47</v>
      </c>
      <c r="C1757" s="2" t="s">
        <v>4087</v>
      </c>
      <c r="D1757" s="11" t="n">
        <v>54836</v>
      </c>
      <c r="E1757" s="31" t="n">
        <v>30.4</v>
      </c>
      <c r="F1757" s="31" t="n">
        <v>6.7</v>
      </c>
      <c r="G1757" s="31" t="n">
        <v>63.4</v>
      </c>
      <c r="H1757" s="2" t="s">
        <v>671</v>
      </c>
    </row>
    <row r="1758" customFormat="false" ht="15" hidden="false" customHeight="false" outlineLevel="0" collapsed="false">
      <c r="A1758" s="2" t="s">
        <v>308</v>
      </c>
      <c r="B1758" s="2" t="s">
        <v>4104</v>
      </c>
      <c r="C1758" s="2" t="s">
        <v>4085</v>
      </c>
      <c r="D1758" s="2"/>
      <c r="E1758" s="31" t="n">
        <v>55.2</v>
      </c>
      <c r="F1758" s="31" t="n">
        <v>48.5</v>
      </c>
      <c r="G1758" s="31" t="n">
        <v>53.4</v>
      </c>
      <c r="H1758" s="2" t="s">
        <v>671</v>
      </c>
    </row>
    <row r="1759" customFormat="false" ht="15" hidden="false" customHeight="false" outlineLevel="0" collapsed="false">
      <c r="A1759" s="2" t="s">
        <v>308</v>
      </c>
      <c r="B1759" s="2" t="s">
        <v>4104</v>
      </c>
      <c r="C1759" s="2" t="s">
        <v>4086</v>
      </c>
      <c r="D1759" s="2"/>
      <c r="E1759" s="31" t="n">
        <v>69.5</v>
      </c>
      <c r="F1759" s="31" t="n">
        <v>48.6</v>
      </c>
      <c r="G1759" s="31" t="n">
        <v>50.4</v>
      </c>
      <c r="H1759" s="2" t="s">
        <v>671</v>
      </c>
    </row>
    <row r="1760" customFormat="false" ht="15" hidden="false" customHeight="false" outlineLevel="0" collapsed="false">
      <c r="A1760" s="2" t="s">
        <v>308</v>
      </c>
      <c r="B1760" s="2" t="s">
        <v>4104</v>
      </c>
      <c r="C1760" s="2" t="s">
        <v>4087</v>
      </c>
      <c r="D1760" s="2"/>
      <c r="E1760" s="31" t="n">
        <v>57</v>
      </c>
      <c r="F1760" s="31" t="n">
        <v>38.1</v>
      </c>
      <c r="G1760" s="31" t="n">
        <v>48.9</v>
      </c>
      <c r="H1760" s="2" t="s">
        <v>671</v>
      </c>
    </row>
    <row r="1761" customFormat="false" ht="15" hidden="false" customHeight="false" outlineLevel="0" collapsed="false">
      <c r="A1761" s="2" t="s">
        <v>308</v>
      </c>
      <c r="B1761" s="2" t="s">
        <v>45</v>
      </c>
      <c r="C1761" s="2" t="s">
        <v>4085</v>
      </c>
      <c r="D1761" s="11" t="n">
        <v>113970</v>
      </c>
      <c r="E1761" s="31" t="n">
        <v>29.6</v>
      </c>
      <c r="F1761" s="31" t="n">
        <v>52.1</v>
      </c>
      <c r="G1761" s="31" t="n">
        <v>1.7</v>
      </c>
      <c r="H1761" s="2" t="s">
        <v>671</v>
      </c>
    </row>
    <row r="1762" customFormat="false" ht="15" hidden="false" customHeight="false" outlineLevel="0" collapsed="false">
      <c r="A1762" s="2" t="s">
        <v>308</v>
      </c>
      <c r="B1762" s="2" t="s">
        <v>45</v>
      </c>
      <c r="C1762" s="2" t="s">
        <v>4086</v>
      </c>
      <c r="D1762" s="11" t="n">
        <v>117660</v>
      </c>
      <c r="E1762" s="31" t="n">
        <v>40.1</v>
      </c>
      <c r="F1762" s="31" t="n">
        <v>45.7</v>
      </c>
      <c r="G1762" s="31" t="n">
        <v>9.6</v>
      </c>
      <c r="H1762" s="2" t="s">
        <v>671</v>
      </c>
    </row>
    <row r="1763" customFormat="false" ht="15" hidden="false" customHeight="false" outlineLevel="0" collapsed="false">
      <c r="A1763" s="2" t="s">
        <v>308</v>
      </c>
      <c r="B1763" s="2" t="s">
        <v>45</v>
      </c>
      <c r="C1763" s="2" t="s">
        <v>4087</v>
      </c>
      <c r="D1763" s="11" t="n">
        <v>119110</v>
      </c>
      <c r="E1763" s="31" t="n">
        <v>36.1</v>
      </c>
      <c r="F1763" s="31" t="n">
        <v>13</v>
      </c>
      <c r="G1763" s="31" t="n">
        <v>10.5</v>
      </c>
      <c r="H1763" s="2" t="s">
        <v>671</v>
      </c>
    </row>
    <row r="1764" customFormat="false" ht="15" hidden="false" customHeight="false" outlineLevel="0" collapsed="false">
      <c r="A1764" s="2" t="s">
        <v>308</v>
      </c>
      <c r="B1764" s="2" t="s">
        <v>46</v>
      </c>
      <c r="C1764" s="2" t="s">
        <v>4085</v>
      </c>
      <c r="D1764" s="11" t="n">
        <v>60888</v>
      </c>
      <c r="E1764" s="31" t="n">
        <v>41.9</v>
      </c>
      <c r="F1764" s="31" t="n">
        <v>0.7</v>
      </c>
      <c r="G1764" s="31" t="n">
        <v>82.2</v>
      </c>
      <c r="H1764" s="2" t="s">
        <v>671</v>
      </c>
    </row>
    <row r="1765" customFormat="false" ht="15" hidden="false" customHeight="false" outlineLevel="0" collapsed="false">
      <c r="A1765" s="2" t="s">
        <v>308</v>
      </c>
      <c r="B1765" s="2" t="s">
        <v>46</v>
      </c>
      <c r="C1765" s="2" t="s">
        <v>4086</v>
      </c>
      <c r="D1765" s="11" t="n">
        <v>58870</v>
      </c>
      <c r="E1765" s="31" t="n">
        <v>69.4</v>
      </c>
      <c r="F1765" s="31" t="n">
        <v>1.5</v>
      </c>
      <c r="G1765" s="31" t="n">
        <v>72.2</v>
      </c>
      <c r="H1765" s="2" t="s">
        <v>671</v>
      </c>
    </row>
    <row r="1766" customFormat="false" ht="15" hidden="false" customHeight="false" outlineLevel="0" collapsed="false">
      <c r="A1766" s="2" t="s">
        <v>308</v>
      </c>
      <c r="B1766" s="2" t="s">
        <v>46</v>
      </c>
      <c r="C1766" s="2" t="s">
        <v>4087</v>
      </c>
      <c r="D1766" s="11" t="n">
        <v>55580</v>
      </c>
      <c r="E1766" s="31" t="n">
        <v>43.3</v>
      </c>
      <c r="F1766" s="31" t="n">
        <v>1.7</v>
      </c>
      <c r="G1766" s="31" t="n">
        <v>84.5</v>
      </c>
      <c r="H1766" s="2" t="s">
        <v>671</v>
      </c>
    </row>
    <row r="1767" customFormat="false" ht="15" hidden="false" customHeight="false" outlineLevel="0" collapsed="false">
      <c r="A1767" s="2" t="s">
        <v>308</v>
      </c>
      <c r="B1767" s="2" t="s">
        <v>47</v>
      </c>
      <c r="C1767" s="2" t="s">
        <v>4085</v>
      </c>
      <c r="D1767" s="11" t="n">
        <v>68814</v>
      </c>
      <c r="E1767" s="31" t="n">
        <v>94.1</v>
      </c>
      <c r="F1767" s="31" t="n">
        <v>92.8</v>
      </c>
      <c r="G1767" s="31" t="n">
        <v>76.4</v>
      </c>
      <c r="H1767" s="2" t="s">
        <v>671</v>
      </c>
    </row>
    <row r="1768" customFormat="false" ht="15" hidden="false" customHeight="false" outlineLevel="0" collapsed="false">
      <c r="A1768" s="2" t="s">
        <v>308</v>
      </c>
      <c r="B1768" s="2" t="s">
        <v>47</v>
      </c>
      <c r="C1768" s="2" t="s">
        <v>4086</v>
      </c>
      <c r="D1768" s="11" t="n">
        <v>72696</v>
      </c>
      <c r="E1768" s="31" t="n">
        <v>99.1</v>
      </c>
      <c r="F1768" s="31" t="n">
        <v>98.7</v>
      </c>
      <c r="G1768" s="31" t="n">
        <v>69.4</v>
      </c>
      <c r="H1768" s="2" t="s">
        <v>671</v>
      </c>
    </row>
    <row r="1769" customFormat="false" ht="15" hidden="false" customHeight="false" outlineLevel="0" collapsed="false">
      <c r="A1769" s="2" t="s">
        <v>308</v>
      </c>
      <c r="B1769" s="2" t="s">
        <v>47</v>
      </c>
      <c r="C1769" s="2" t="s">
        <v>4087</v>
      </c>
      <c r="D1769" s="11" t="n">
        <v>78345</v>
      </c>
      <c r="E1769" s="31" t="n">
        <v>91.6</v>
      </c>
      <c r="F1769" s="31" t="n">
        <v>99.6</v>
      </c>
      <c r="G1769" s="31" t="n">
        <v>51.6</v>
      </c>
      <c r="H1769" s="2" t="s">
        <v>671</v>
      </c>
    </row>
    <row r="1770" customFormat="false" ht="15" hidden="false" customHeight="false" outlineLevel="0" collapsed="false">
      <c r="A1770" s="2" t="s">
        <v>1752</v>
      </c>
      <c r="B1770" s="2" t="s">
        <v>4104</v>
      </c>
      <c r="C1770" s="2" t="s">
        <v>4085</v>
      </c>
      <c r="D1770" s="2"/>
      <c r="E1770" s="31" t="n">
        <v>31.1</v>
      </c>
      <c r="F1770" s="31" t="n">
        <v>67.6</v>
      </c>
      <c r="G1770" s="31" t="n">
        <v>45</v>
      </c>
      <c r="H1770" s="2" t="s">
        <v>668</v>
      </c>
    </row>
    <row r="1771" customFormat="false" ht="15" hidden="false" customHeight="false" outlineLevel="0" collapsed="false">
      <c r="A1771" s="2" t="s">
        <v>1752</v>
      </c>
      <c r="B1771" s="2" t="s">
        <v>4104</v>
      </c>
      <c r="C1771" s="2" t="s">
        <v>4086</v>
      </c>
      <c r="D1771" s="2"/>
      <c r="E1771" s="31" t="n">
        <v>39</v>
      </c>
      <c r="F1771" s="31" t="n">
        <v>42.6</v>
      </c>
      <c r="G1771" s="31" t="n">
        <v>53.6</v>
      </c>
      <c r="H1771" s="2" t="s">
        <v>668</v>
      </c>
    </row>
    <row r="1772" customFormat="false" ht="15" hidden="false" customHeight="false" outlineLevel="0" collapsed="false">
      <c r="A1772" s="2" t="s">
        <v>1752</v>
      </c>
      <c r="B1772" s="2" t="s">
        <v>4104</v>
      </c>
      <c r="C1772" s="2" t="s">
        <v>4087</v>
      </c>
      <c r="D1772" s="2"/>
      <c r="E1772" s="31" t="n">
        <v>42</v>
      </c>
      <c r="F1772" s="31" t="n">
        <v>74.4</v>
      </c>
      <c r="G1772" s="31" t="n">
        <v>49.5</v>
      </c>
      <c r="H1772" s="2" t="s">
        <v>668</v>
      </c>
    </row>
    <row r="1773" customFormat="false" ht="15" hidden="false" customHeight="false" outlineLevel="0" collapsed="false">
      <c r="A1773" s="2" t="s">
        <v>1752</v>
      </c>
      <c r="B1773" s="2" t="s">
        <v>45</v>
      </c>
      <c r="C1773" s="2" t="s">
        <v>4085</v>
      </c>
      <c r="D1773" s="11" t="n">
        <v>5668</v>
      </c>
      <c r="E1773" s="31" t="n">
        <v>6.9</v>
      </c>
      <c r="F1773" s="31" t="n">
        <v>46.8</v>
      </c>
      <c r="G1773" s="31" t="n">
        <v>16.5</v>
      </c>
      <c r="H1773" s="2" t="s">
        <v>671</v>
      </c>
    </row>
    <row r="1774" customFormat="false" ht="15" hidden="false" customHeight="false" outlineLevel="0" collapsed="false">
      <c r="A1774" s="2" t="s">
        <v>1752</v>
      </c>
      <c r="B1774" s="2" t="s">
        <v>45</v>
      </c>
      <c r="C1774" s="2" t="s">
        <v>4086</v>
      </c>
      <c r="D1774" s="11" t="n">
        <v>5920</v>
      </c>
      <c r="E1774" s="31" t="n">
        <v>11.9</v>
      </c>
      <c r="F1774" s="31" t="n">
        <v>18.3</v>
      </c>
      <c r="G1774" s="31" t="n">
        <v>24.7</v>
      </c>
      <c r="H1774" s="2" t="s">
        <v>671</v>
      </c>
    </row>
    <row r="1775" customFormat="false" ht="15" hidden="false" customHeight="false" outlineLevel="0" collapsed="false">
      <c r="A1775" s="2" t="s">
        <v>1752</v>
      </c>
      <c r="B1775" s="2" t="s">
        <v>45</v>
      </c>
      <c r="C1775" s="2" t="s">
        <v>4087</v>
      </c>
      <c r="D1775" s="11" t="n">
        <v>5830</v>
      </c>
      <c r="E1775" s="31" t="n">
        <v>18.2</v>
      </c>
      <c r="F1775" s="2"/>
      <c r="G1775" s="31" t="n">
        <v>34.3</v>
      </c>
      <c r="H1775" s="2" t="s">
        <v>668</v>
      </c>
    </row>
    <row r="1776" customFormat="false" ht="15" hidden="false" customHeight="false" outlineLevel="0" collapsed="false">
      <c r="A1776" s="2" t="s">
        <v>1752</v>
      </c>
      <c r="B1776" s="2" t="s">
        <v>46</v>
      </c>
      <c r="C1776" s="2" t="s">
        <v>4085</v>
      </c>
      <c r="D1776" s="11" t="n">
        <v>58933</v>
      </c>
      <c r="E1776" s="31" t="n">
        <v>40.5</v>
      </c>
      <c r="F1776" s="31" t="n">
        <v>82</v>
      </c>
      <c r="G1776" s="2"/>
      <c r="H1776" s="2" t="s">
        <v>668</v>
      </c>
    </row>
    <row r="1777" customFormat="false" ht="15" hidden="false" customHeight="false" outlineLevel="0" collapsed="false">
      <c r="A1777" s="2" t="s">
        <v>1752</v>
      </c>
      <c r="B1777" s="2" t="s">
        <v>46</v>
      </c>
      <c r="C1777" s="2" t="s">
        <v>4086</v>
      </c>
      <c r="D1777" s="11" t="n">
        <v>62340</v>
      </c>
      <c r="E1777" s="31" t="n">
        <v>36.7</v>
      </c>
      <c r="F1777" s="31" t="n">
        <v>74.5</v>
      </c>
      <c r="G1777" s="31" t="n">
        <v>92.7</v>
      </c>
      <c r="H1777" s="2" t="s">
        <v>668</v>
      </c>
    </row>
    <row r="1778" customFormat="false" ht="15" hidden="false" customHeight="false" outlineLevel="0" collapsed="false">
      <c r="A1778" s="2" t="s">
        <v>1752</v>
      </c>
      <c r="B1778" s="2" t="s">
        <v>46</v>
      </c>
      <c r="C1778" s="2" t="s">
        <v>4087</v>
      </c>
      <c r="D1778" s="11" t="n">
        <v>64980</v>
      </c>
      <c r="E1778" s="31" t="n">
        <v>37.4</v>
      </c>
      <c r="F1778" s="31" t="n">
        <v>49.4</v>
      </c>
      <c r="G1778" s="31" t="n">
        <v>71.5</v>
      </c>
      <c r="H1778" s="2" t="s">
        <v>671</v>
      </c>
    </row>
    <row r="1779" customFormat="false" ht="15" hidden="false" customHeight="false" outlineLevel="0" collapsed="false">
      <c r="A1779" s="2" t="s">
        <v>1752</v>
      </c>
      <c r="B1779" s="2" t="s">
        <v>47</v>
      </c>
      <c r="C1779" s="2" t="s">
        <v>4085</v>
      </c>
      <c r="D1779" s="11" t="n">
        <v>79370</v>
      </c>
      <c r="E1779" s="31" t="n">
        <v>45.8</v>
      </c>
      <c r="F1779" s="31" t="n">
        <v>73.9</v>
      </c>
      <c r="G1779" s="31" t="n">
        <v>73.4</v>
      </c>
      <c r="H1779" s="2" t="s">
        <v>671</v>
      </c>
    </row>
    <row r="1780" customFormat="false" ht="15" hidden="false" customHeight="false" outlineLevel="0" collapsed="false">
      <c r="A1780" s="2" t="s">
        <v>1752</v>
      </c>
      <c r="B1780" s="2" t="s">
        <v>47</v>
      </c>
      <c r="C1780" s="2" t="s">
        <v>4086</v>
      </c>
      <c r="D1780" s="11" t="n">
        <v>85770</v>
      </c>
      <c r="E1780" s="31" t="n">
        <v>68.3</v>
      </c>
      <c r="F1780" s="31" t="n">
        <v>35.1</v>
      </c>
      <c r="G1780" s="31" t="n">
        <v>43.5</v>
      </c>
      <c r="H1780" s="2" t="s">
        <v>671</v>
      </c>
    </row>
    <row r="1781" customFormat="false" ht="15" hidden="false" customHeight="false" outlineLevel="0" collapsed="false">
      <c r="A1781" s="2" t="s">
        <v>1752</v>
      </c>
      <c r="B1781" s="2" t="s">
        <v>47</v>
      </c>
      <c r="C1781" s="2" t="s">
        <v>4087</v>
      </c>
      <c r="D1781" s="11" t="n">
        <v>678607</v>
      </c>
      <c r="E1781" s="31" t="n">
        <v>70.5</v>
      </c>
      <c r="F1781" s="31" t="n">
        <v>99.4</v>
      </c>
      <c r="G1781" s="31" t="n">
        <v>42.7</v>
      </c>
      <c r="H1781" s="2" t="s">
        <v>671</v>
      </c>
    </row>
    <row r="1782" customFormat="false" ht="15" hidden="false" customHeight="false" outlineLevel="0" collapsed="false">
      <c r="A1782" s="2" t="s">
        <v>238</v>
      </c>
      <c r="B1782" s="2" t="s">
        <v>4104</v>
      </c>
      <c r="C1782" s="2" t="s">
        <v>4085</v>
      </c>
      <c r="D1782" s="2"/>
      <c r="E1782" s="31" t="n">
        <v>78.2</v>
      </c>
      <c r="F1782" s="31" t="n">
        <v>5.8</v>
      </c>
      <c r="G1782" s="31" t="n">
        <v>95.4</v>
      </c>
      <c r="H1782" s="2" t="s">
        <v>671</v>
      </c>
    </row>
    <row r="1783" customFormat="false" ht="15" hidden="false" customHeight="false" outlineLevel="0" collapsed="false">
      <c r="A1783" s="2" t="s">
        <v>238</v>
      </c>
      <c r="B1783" s="2" t="s">
        <v>4104</v>
      </c>
      <c r="C1783" s="2" t="s">
        <v>4086</v>
      </c>
      <c r="D1783" s="2"/>
      <c r="E1783" s="31" t="n">
        <v>66.2</v>
      </c>
      <c r="F1783" s="31" t="n">
        <v>4.1</v>
      </c>
      <c r="G1783" s="31" t="n">
        <v>85.1</v>
      </c>
      <c r="H1783" s="2" t="s">
        <v>671</v>
      </c>
    </row>
    <row r="1784" customFormat="false" ht="15" hidden="false" customHeight="false" outlineLevel="0" collapsed="false">
      <c r="A1784" s="2" t="s">
        <v>238</v>
      </c>
      <c r="B1784" s="2" t="s">
        <v>4104</v>
      </c>
      <c r="C1784" s="2" t="s">
        <v>4087</v>
      </c>
      <c r="D1784" s="2"/>
      <c r="E1784" s="31" t="n">
        <v>65.4</v>
      </c>
      <c r="F1784" s="31" t="n">
        <v>7.1</v>
      </c>
      <c r="G1784" s="31" t="n">
        <v>65.2</v>
      </c>
      <c r="H1784" s="2" t="s">
        <v>671</v>
      </c>
    </row>
    <row r="1785" customFormat="false" ht="15" hidden="false" customHeight="false" outlineLevel="0" collapsed="false">
      <c r="A1785" s="2" t="s">
        <v>238</v>
      </c>
      <c r="B1785" s="2" t="s">
        <v>45</v>
      </c>
      <c r="C1785" s="2" t="s">
        <v>4085</v>
      </c>
      <c r="D1785" s="11" t="n">
        <v>42750</v>
      </c>
      <c r="E1785" s="31" t="n">
        <v>78.2</v>
      </c>
      <c r="F1785" s="31" t="n">
        <v>5.8</v>
      </c>
      <c r="G1785" s="31" t="n">
        <v>95.4</v>
      </c>
      <c r="H1785" s="2" t="s">
        <v>671</v>
      </c>
    </row>
    <row r="1786" customFormat="false" ht="15" hidden="false" customHeight="false" outlineLevel="0" collapsed="false">
      <c r="A1786" s="2" t="s">
        <v>238</v>
      </c>
      <c r="B1786" s="2" t="s">
        <v>45</v>
      </c>
      <c r="C1786" s="2" t="s">
        <v>4086</v>
      </c>
      <c r="D1786" s="11" t="n">
        <v>43090</v>
      </c>
      <c r="E1786" s="31" t="n">
        <v>66.2</v>
      </c>
      <c r="F1786" s="31" t="n">
        <v>4.1</v>
      </c>
      <c r="G1786" s="31" t="n">
        <v>85.1</v>
      </c>
      <c r="H1786" s="2" t="s">
        <v>671</v>
      </c>
    </row>
    <row r="1787" customFormat="false" ht="15" hidden="false" customHeight="false" outlineLevel="0" collapsed="false">
      <c r="A1787" s="2" t="s">
        <v>238</v>
      </c>
      <c r="B1787" s="2" t="s">
        <v>45</v>
      </c>
      <c r="C1787" s="2" t="s">
        <v>4087</v>
      </c>
      <c r="D1787" s="11" t="n">
        <v>44080</v>
      </c>
      <c r="E1787" s="31" t="n">
        <v>65.4</v>
      </c>
      <c r="F1787" s="31" t="n">
        <v>7.1</v>
      </c>
      <c r="G1787" s="31" t="n">
        <v>65.2</v>
      </c>
      <c r="H1787" s="2" t="s">
        <v>671</v>
      </c>
    </row>
    <row r="1788" customFormat="false" ht="15" hidden="false" customHeight="false" outlineLevel="0" collapsed="false">
      <c r="A1788" s="2" t="s">
        <v>2810</v>
      </c>
      <c r="B1788" s="2" t="s">
        <v>4104</v>
      </c>
      <c r="C1788" s="2" t="s">
        <v>4085</v>
      </c>
      <c r="D1788" s="2"/>
      <c r="E1788" s="31" t="n">
        <v>75.7</v>
      </c>
      <c r="F1788" s="2"/>
      <c r="G1788" s="2"/>
      <c r="H1788" s="2" t="s">
        <v>668</v>
      </c>
    </row>
    <row r="1789" customFormat="false" ht="15" hidden="false" customHeight="false" outlineLevel="0" collapsed="false">
      <c r="A1789" s="2" t="s">
        <v>2810</v>
      </c>
      <c r="B1789" s="2" t="s">
        <v>4104</v>
      </c>
      <c r="C1789" s="2" t="s">
        <v>4086</v>
      </c>
      <c r="D1789" s="2"/>
      <c r="E1789" s="31" t="n">
        <v>59.1</v>
      </c>
      <c r="F1789" s="31" t="n">
        <v>20.4</v>
      </c>
      <c r="G1789" s="31" t="n">
        <v>19.9</v>
      </c>
      <c r="H1789" s="2" t="s">
        <v>671</v>
      </c>
    </row>
    <row r="1790" customFormat="false" ht="15" hidden="false" customHeight="false" outlineLevel="0" collapsed="false">
      <c r="A1790" s="2" t="s">
        <v>2810</v>
      </c>
      <c r="B1790" s="2" t="s">
        <v>4104</v>
      </c>
      <c r="C1790" s="2" t="s">
        <v>4087</v>
      </c>
      <c r="D1790" s="2"/>
      <c r="E1790" s="2"/>
      <c r="F1790" s="2"/>
      <c r="G1790" s="2"/>
      <c r="H1790" s="2" t="s">
        <v>668</v>
      </c>
    </row>
    <row r="1791" customFormat="false" ht="15" hidden="false" customHeight="false" outlineLevel="0" collapsed="false">
      <c r="A1791" s="2" t="s">
        <v>2810</v>
      </c>
      <c r="B1791" s="2" t="s">
        <v>46</v>
      </c>
      <c r="C1791" s="2" t="s">
        <v>4085</v>
      </c>
      <c r="D1791" s="11" t="n">
        <v>16370</v>
      </c>
      <c r="E1791" s="31" t="n">
        <v>75.7</v>
      </c>
      <c r="F1791" s="2"/>
      <c r="G1791" s="2"/>
      <c r="H1791" s="2" t="s">
        <v>668</v>
      </c>
    </row>
    <row r="1792" customFormat="false" ht="15" hidden="false" customHeight="false" outlineLevel="0" collapsed="false">
      <c r="A1792" s="2" t="s">
        <v>2810</v>
      </c>
      <c r="B1792" s="2" t="s">
        <v>46</v>
      </c>
      <c r="C1792" s="2" t="s">
        <v>4086</v>
      </c>
      <c r="D1792" s="11" t="n">
        <v>16960</v>
      </c>
      <c r="E1792" s="31" t="n">
        <v>59.1</v>
      </c>
      <c r="F1792" s="31" t="n">
        <v>20.4</v>
      </c>
      <c r="G1792" s="31" t="n">
        <v>19.9</v>
      </c>
      <c r="H1792" s="2" t="s">
        <v>671</v>
      </c>
    </row>
    <row r="1793" customFormat="false" ht="15" hidden="false" customHeight="false" outlineLevel="0" collapsed="false">
      <c r="A1793" s="2" t="s">
        <v>2810</v>
      </c>
      <c r="B1793" s="2" t="s">
        <v>46</v>
      </c>
      <c r="C1793" s="2" t="s">
        <v>4087</v>
      </c>
      <c r="D1793" s="2"/>
      <c r="E1793" s="2"/>
      <c r="F1793" s="2"/>
      <c r="G1793" s="2"/>
      <c r="H1793" s="2" t="s">
        <v>668</v>
      </c>
    </row>
    <row r="1794" customFormat="false" ht="15" hidden="false" customHeight="false" outlineLevel="0" collapsed="false">
      <c r="A1794" s="2" t="s">
        <v>566</v>
      </c>
      <c r="B1794" s="2" t="s">
        <v>4104</v>
      </c>
      <c r="C1794" s="2" t="s">
        <v>4085</v>
      </c>
      <c r="D1794" s="2"/>
      <c r="E1794" s="31" t="n">
        <v>32.5</v>
      </c>
      <c r="F1794" s="31" t="n">
        <v>26</v>
      </c>
      <c r="G1794" s="31" t="n">
        <v>25.3</v>
      </c>
      <c r="H1794" s="2" t="s">
        <v>671</v>
      </c>
    </row>
    <row r="1795" customFormat="false" ht="15" hidden="false" customHeight="false" outlineLevel="0" collapsed="false">
      <c r="A1795" s="2" t="s">
        <v>566</v>
      </c>
      <c r="B1795" s="2" t="s">
        <v>4104</v>
      </c>
      <c r="C1795" s="2" t="s">
        <v>4086</v>
      </c>
      <c r="D1795" s="2"/>
      <c r="E1795" s="31" t="n">
        <v>24.2</v>
      </c>
      <c r="F1795" s="31" t="n">
        <v>38</v>
      </c>
      <c r="G1795" s="31" t="n">
        <v>35</v>
      </c>
      <c r="H1795" s="2" t="s">
        <v>671</v>
      </c>
    </row>
    <row r="1796" customFormat="false" ht="15" hidden="false" customHeight="false" outlineLevel="0" collapsed="false">
      <c r="A1796" s="2" t="s">
        <v>566</v>
      </c>
      <c r="B1796" s="2" t="s">
        <v>4104</v>
      </c>
      <c r="C1796" s="2" t="s">
        <v>4087</v>
      </c>
      <c r="D1796" s="2"/>
      <c r="E1796" s="31" t="n">
        <v>26.6</v>
      </c>
      <c r="F1796" s="31" t="n">
        <v>42.2</v>
      </c>
      <c r="G1796" s="31" t="n">
        <v>32.8</v>
      </c>
      <c r="H1796" s="2" t="s">
        <v>671</v>
      </c>
    </row>
    <row r="1797" customFormat="false" ht="15" hidden="false" customHeight="false" outlineLevel="0" collapsed="false">
      <c r="A1797" s="2" t="s">
        <v>566</v>
      </c>
      <c r="B1797" s="2" t="s">
        <v>46</v>
      </c>
      <c r="C1797" s="2" t="s">
        <v>4085</v>
      </c>
      <c r="D1797" s="11" t="n">
        <v>326810</v>
      </c>
      <c r="E1797" s="31" t="n">
        <v>50.1</v>
      </c>
      <c r="F1797" s="31" t="n">
        <v>16.7</v>
      </c>
      <c r="G1797" s="31" t="n">
        <v>48.4</v>
      </c>
      <c r="H1797" s="2" t="s">
        <v>671</v>
      </c>
    </row>
    <row r="1798" customFormat="false" ht="15" hidden="false" customHeight="false" outlineLevel="0" collapsed="false">
      <c r="A1798" s="2" t="s">
        <v>566</v>
      </c>
      <c r="B1798" s="2" t="s">
        <v>46</v>
      </c>
      <c r="C1798" s="2" t="s">
        <v>4086</v>
      </c>
      <c r="D1798" s="11" t="n">
        <v>334300</v>
      </c>
      <c r="E1798" s="31" t="n">
        <v>35</v>
      </c>
      <c r="F1798" s="31" t="n">
        <v>47.8</v>
      </c>
      <c r="G1798" s="31" t="n">
        <v>65.8</v>
      </c>
      <c r="H1798" s="2" t="s">
        <v>671</v>
      </c>
    </row>
    <row r="1799" customFormat="false" ht="15" hidden="false" customHeight="false" outlineLevel="0" collapsed="false">
      <c r="A1799" s="2" t="s">
        <v>566</v>
      </c>
      <c r="B1799" s="2" t="s">
        <v>46</v>
      </c>
      <c r="C1799" s="2" t="s">
        <v>4087</v>
      </c>
      <c r="D1799" s="11" t="n">
        <v>354232</v>
      </c>
      <c r="E1799" s="31" t="n">
        <v>46.9</v>
      </c>
      <c r="F1799" s="31" t="n">
        <v>65.6</v>
      </c>
      <c r="G1799" s="31" t="n">
        <v>64.8</v>
      </c>
      <c r="H1799" s="2" t="s">
        <v>671</v>
      </c>
    </row>
    <row r="1800" customFormat="false" ht="15" hidden="false" customHeight="false" outlineLevel="0" collapsed="false">
      <c r="A1800" s="2" t="s">
        <v>566</v>
      </c>
      <c r="B1800" s="2" t="s">
        <v>47</v>
      </c>
      <c r="C1800" s="2" t="s">
        <v>4085</v>
      </c>
      <c r="D1800" s="11" t="n">
        <v>15735</v>
      </c>
      <c r="E1800" s="31" t="n">
        <v>14.9</v>
      </c>
      <c r="F1800" s="31" t="n">
        <v>35.3</v>
      </c>
      <c r="G1800" s="31" t="n">
        <v>2.3</v>
      </c>
      <c r="H1800" s="2" t="s">
        <v>671</v>
      </c>
    </row>
    <row r="1801" customFormat="false" ht="15" hidden="false" customHeight="false" outlineLevel="0" collapsed="false">
      <c r="A1801" s="2" t="s">
        <v>566</v>
      </c>
      <c r="B1801" s="2" t="s">
        <v>47</v>
      </c>
      <c r="C1801" s="2" t="s">
        <v>4086</v>
      </c>
      <c r="D1801" s="11" t="n">
        <v>16486</v>
      </c>
      <c r="E1801" s="31" t="n">
        <v>13.4</v>
      </c>
      <c r="F1801" s="31" t="n">
        <v>28.2</v>
      </c>
      <c r="G1801" s="31" t="n">
        <v>4.3</v>
      </c>
      <c r="H1801" s="2" t="s">
        <v>671</v>
      </c>
    </row>
    <row r="1802" customFormat="false" ht="15" hidden="false" customHeight="false" outlineLevel="0" collapsed="false">
      <c r="A1802" s="2" t="s">
        <v>566</v>
      </c>
      <c r="B1802" s="2" t="s">
        <v>47</v>
      </c>
      <c r="C1802" s="2" t="s">
        <v>4087</v>
      </c>
      <c r="D1802" s="11" t="n">
        <v>17012</v>
      </c>
      <c r="E1802" s="31" t="n">
        <v>6.3</v>
      </c>
      <c r="F1802" s="31" t="n">
        <v>18.8</v>
      </c>
      <c r="G1802" s="31" t="n">
        <v>0.7</v>
      </c>
      <c r="H1802" s="2" t="s">
        <v>671</v>
      </c>
    </row>
    <row r="1803" customFormat="false" ht="15" hidden="false" customHeight="false" outlineLevel="0" collapsed="false">
      <c r="A1803" s="2" t="s">
        <v>855</v>
      </c>
      <c r="B1803" s="2" t="s">
        <v>4104</v>
      </c>
      <c r="C1803" s="2" t="s">
        <v>4085</v>
      </c>
      <c r="D1803" s="2"/>
      <c r="E1803" s="31" t="n">
        <v>36.1</v>
      </c>
      <c r="F1803" s="31" t="n">
        <v>28.6</v>
      </c>
      <c r="G1803" s="31" t="n">
        <v>58.1</v>
      </c>
      <c r="H1803" s="2" t="s">
        <v>668</v>
      </c>
    </row>
    <row r="1804" customFormat="false" ht="15" hidden="false" customHeight="false" outlineLevel="0" collapsed="false">
      <c r="A1804" s="2" t="s">
        <v>855</v>
      </c>
      <c r="B1804" s="2" t="s">
        <v>4104</v>
      </c>
      <c r="C1804" s="2" t="s">
        <v>4086</v>
      </c>
      <c r="D1804" s="2"/>
      <c r="E1804" s="31" t="n">
        <v>25.9</v>
      </c>
      <c r="F1804" s="31" t="n">
        <v>73.2</v>
      </c>
      <c r="G1804" s="31" t="n">
        <v>71.4</v>
      </c>
      <c r="H1804" s="2" t="s">
        <v>668</v>
      </c>
    </row>
    <row r="1805" customFormat="false" ht="15" hidden="false" customHeight="false" outlineLevel="0" collapsed="false">
      <c r="A1805" s="2" t="s">
        <v>855</v>
      </c>
      <c r="B1805" s="2" t="s">
        <v>4104</v>
      </c>
      <c r="C1805" s="2" t="s">
        <v>4087</v>
      </c>
      <c r="D1805" s="2"/>
      <c r="E1805" s="31" t="n">
        <v>70.6</v>
      </c>
      <c r="F1805" s="31" t="n">
        <v>67.4</v>
      </c>
      <c r="G1805" s="31" t="n">
        <v>86</v>
      </c>
      <c r="H1805" s="2" t="s">
        <v>668</v>
      </c>
    </row>
    <row r="1806" customFormat="false" ht="15" hidden="false" customHeight="false" outlineLevel="0" collapsed="false">
      <c r="A1806" s="2" t="s">
        <v>855</v>
      </c>
      <c r="B1806" s="2" t="s">
        <v>45</v>
      </c>
      <c r="C1806" s="2" t="s">
        <v>4085</v>
      </c>
      <c r="D1806" s="11" t="n">
        <v>113780</v>
      </c>
      <c r="E1806" s="31" t="n">
        <v>30.9</v>
      </c>
      <c r="F1806" s="31" t="n">
        <v>34.2</v>
      </c>
      <c r="G1806" s="2"/>
      <c r="H1806" s="2" t="s">
        <v>668</v>
      </c>
    </row>
    <row r="1807" customFormat="false" ht="15" hidden="false" customHeight="false" outlineLevel="0" collapsed="false">
      <c r="A1807" s="2" t="s">
        <v>855</v>
      </c>
      <c r="B1807" s="2" t="s">
        <v>45</v>
      </c>
      <c r="C1807" s="2" t="s">
        <v>4086</v>
      </c>
      <c r="D1807" s="2"/>
      <c r="E1807" s="2"/>
      <c r="F1807" s="2"/>
      <c r="G1807" s="31" t="n">
        <v>97</v>
      </c>
      <c r="H1807" s="2" t="s">
        <v>668</v>
      </c>
    </row>
    <row r="1808" customFormat="false" ht="15" hidden="false" customHeight="false" outlineLevel="0" collapsed="false">
      <c r="A1808" s="2" t="s">
        <v>855</v>
      </c>
      <c r="B1808" s="2" t="s">
        <v>45</v>
      </c>
      <c r="C1808" s="2" t="s">
        <v>4087</v>
      </c>
      <c r="D1808" s="11" t="n">
        <v>122120</v>
      </c>
      <c r="E1808" s="31" t="n">
        <v>74.6</v>
      </c>
      <c r="F1808" s="31" t="n">
        <v>69.6</v>
      </c>
      <c r="G1808" s="31" t="n">
        <v>84.8</v>
      </c>
      <c r="H1808" s="2" t="s">
        <v>671</v>
      </c>
    </row>
    <row r="1809" customFormat="false" ht="15" hidden="false" customHeight="false" outlineLevel="0" collapsed="false">
      <c r="A1809" s="2" t="s">
        <v>855</v>
      </c>
      <c r="B1809" s="2" t="s">
        <v>46</v>
      </c>
      <c r="C1809" s="2" t="s">
        <v>4085</v>
      </c>
      <c r="D1809" s="11" t="n">
        <v>1230</v>
      </c>
      <c r="E1809" s="31" t="n">
        <v>19.2</v>
      </c>
      <c r="F1809" s="2"/>
      <c r="G1809" s="31" t="n">
        <v>18.5</v>
      </c>
      <c r="H1809" s="2" t="s">
        <v>668</v>
      </c>
    </row>
    <row r="1810" customFormat="false" ht="15" hidden="false" customHeight="false" outlineLevel="0" collapsed="false">
      <c r="A1810" s="2" t="s">
        <v>855</v>
      </c>
      <c r="B1810" s="2" t="s">
        <v>46</v>
      </c>
      <c r="C1810" s="2" t="s">
        <v>4086</v>
      </c>
      <c r="D1810" s="11" t="n">
        <v>1300</v>
      </c>
      <c r="E1810" s="31" t="n">
        <v>5.1</v>
      </c>
      <c r="F1810" s="31" t="n">
        <v>75.5</v>
      </c>
      <c r="G1810" s="31" t="n">
        <v>45.7</v>
      </c>
      <c r="H1810" s="2" t="s">
        <v>671</v>
      </c>
    </row>
    <row r="1811" customFormat="false" ht="15" hidden="false" customHeight="false" outlineLevel="0" collapsed="false">
      <c r="A1811" s="2" t="s">
        <v>855</v>
      </c>
      <c r="B1811" s="2" t="s">
        <v>46</v>
      </c>
      <c r="C1811" s="2" t="s">
        <v>4087</v>
      </c>
      <c r="D1811" s="2"/>
      <c r="E1811" s="2"/>
      <c r="F1811" s="2"/>
      <c r="G1811" s="2"/>
      <c r="H1811" s="2" t="s">
        <v>668</v>
      </c>
    </row>
    <row r="1812" customFormat="false" ht="15" hidden="false" customHeight="false" outlineLevel="0" collapsed="false">
      <c r="A1812" s="2" t="s">
        <v>855</v>
      </c>
      <c r="B1812" s="2" t="s">
        <v>47</v>
      </c>
      <c r="C1812" s="2" t="s">
        <v>4085</v>
      </c>
      <c r="D1812" s="11" t="n">
        <v>18558</v>
      </c>
      <c r="E1812" s="31" t="n">
        <v>58.1</v>
      </c>
      <c r="F1812" s="31" t="n">
        <v>22.9</v>
      </c>
      <c r="G1812" s="31" t="n">
        <v>97.7</v>
      </c>
      <c r="H1812" s="2" t="s">
        <v>671</v>
      </c>
    </row>
    <row r="1813" customFormat="false" ht="15" hidden="false" customHeight="false" outlineLevel="0" collapsed="false">
      <c r="A1813" s="2" t="s">
        <v>855</v>
      </c>
      <c r="B1813" s="2" t="s">
        <v>47</v>
      </c>
      <c r="C1813" s="2" t="s">
        <v>4086</v>
      </c>
      <c r="D1813" s="11" t="n">
        <v>19248</v>
      </c>
      <c r="E1813" s="31" t="n">
        <v>46.7</v>
      </c>
      <c r="F1813" s="31" t="n">
        <v>70.8</v>
      </c>
      <c r="G1813" s="2"/>
      <c r="H1813" s="2" t="s">
        <v>668</v>
      </c>
    </row>
    <row r="1814" customFormat="false" ht="15" hidden="false" customHeight="false" outlineLevel="0" collapsed="false">
      <c r="A1814" s="2" t="s">
        <v>855</v>
      </c>
      <c r="B1814" s="2" t="s">
        <v>47</v>
      </c>
      <c r="C1814" s="2" t="s">
        <v>4087</v>
      </c>
      <c r="D1814" s="11" t="n">
        <v>20005</v>
      </c>
      <c r="E1814" s="31" t="n">
        <v>66.7</v>
      </c>
      <c r="F1814" s="31" t="n">
        <v>65.2</v>
      </c>
      <c r="G1814" s="31" t="n">
        <v>87.2</v>
      </c>
      <c r="H1814" s="2" t="s">
        <v>671</v>
      </c>
    </row>
    <row r="1815" customFormat="false" ht="15" hidden="false" customHeight="false" outlineLevel="0" collapsed="false">
      <c r="A1815" s="2" t="s">
        <v>392</v>
      </c>
      <c r="B1815" s="2" t="s">
        <v>4104</v>
      </c>
      <c r="C1815" s="2" t="s">
        <v>4085</v>
      </c>
      <c r="D1815" s="2"/>
      <c r="E1815" s="31" t="n">
        <v>43.8</v>
      </c>
      <c r="F1815" s="31" t="n">
        <v>28.1</v>
      </c>
      <c r="G1815" s="31" t="n">
        <v>49</v>
      </c>
      <c r="H1815" s="2" t="s">
        <v>671</v>
      </c>
    </row>
    <row r="1816" customFormat="false" ht="15" hidden="false" customHeight="false" outlineLevel="0" collapsed="false">
      <c r="A1816" s="2" t="s">
        <v>392</v>
      </c>
      <c r="B1816" s="2" t="s">
        <v>4104</v>
      </c>
      <c r="C1816" s="2" t="s">
        <v>4086</v>
      </c>
      <c r="D1816" s="2"/>
      <c r="E1816" s="2"/>
      <c r="F1816" s="31" t="n">
        <v>48.8</v>
      </c>
      <c r="G1816" s="31" t="n">
        <v>59.9</v>
      </c>
      <c r="H1816" s="2" t="s">
        <v>668</v>
      </c>
    </row>
    <row r="1817" customFormat="false" ht="15" hidden="false" customHeight="false" outlineLevel="0" collapsed="false">
      <c r="A1817" s="2" t="s">
        <v>392</v>
      </c>
      <c r="B1817" s="2" t="s">
        <v>4104</v>
      </c>
      <c r="C1817" s="2" t="s">
        <v>4087</v>
      </c>
      <c r="D1817" s="2"/>
      <c r="E1817" s="31" t="n">
        <v>47.6</v>
      </c>
      <c r="F1817" s="31" t="n">
        <v>29</v>
      </c>
      <c r="G1817" s="31" t="n">
        <v>96.4</v>
      </c>
      <c r="H1817" s="2" t="s">
        <v>671</v>
      </c>
    </row>
    <row r="1818" customFormat="false" ht="15" hidden="false" customHeight="false" outlineLevel="0" collapsed="false">
      <c r="A1818" s="2" t="s">
        <v>392</v>
      </c>
      <c r="B1818" s="2" t="s">
        <v>45</v>
      </c>
      <c r="C1818" s="2" t="s">
        <v>4085</v>
      </c>
      <c r="D1818" s="11" t="n">
        <v>61100</v>
      </c>
      <c r="E1818" s="31" t="n">
        <v>43.8</v>
      </c>
      <c r="F1818" s="31" t="n">
        <v>28.1</v>
      </c>
      <c r="G1818" s="31" t="n">
        <v>49</v>
      </c>
      <c r="H1818" s="2" t="s">
        <v>671</v>
      </c>
    </row>
    <row r="1819" customFormat="false" ht="15" hidden="false" customHeight="false" outlineLevel="0" collapsed="false">
      <c r="A1819" s="2" t="s">
        <v>392</v>
      </c>
      <c r="B1819" s="2" t="s">
        <v>45</v>
      </c>
      <c r="C1819" s="2" t="s">
        <v>4086</v>
      </c>
      <c r="D1819" s="11" t="n">
        <v>62930</v>
      </c>
      <c r="E1819" s="2"/>
      <c r="F1819" s="31" t="n">
        <v>48.8</v>
      </c>
      <c r="G1819" s="31" t="n">
        <v>59.9</v>
      </c>
      <c r="H1819" s="2" t="s">
        <v>668</v>
      </c>
    </row>
    <row r="1820" customFormat="false" ht="15" hidden="false" customHeight="false" outlineLevel="0" collapsed="false">
      <c r="A1820" s="2" t="s">
        <v>392</v>
      </c>
      <c r="B1820" s="2" t="s">
        <v>45</v>
      </c>
      <c r="C1820" s="2" t="s">
        <v>4087</v>
      </c>
      <c r="D1820" s="11" t="n">
        <v>64830</v>
      </c>
      <c r="E1820" s="31" t="n">
        <v>47.6</v>
      </c>
      <c r="F1820" s="31" t="n">
        <v>29</v>
      </c>
      <c r="G1820" s="31" t="n">
        <v>96.4</v>
      </c>
      <c r="H1820" s="2" t="s">
        <v>671</v>
      </c>
    </row>
    <row r="1821" customFormat="false" ht="15" hidden="false" customHeight="false" outlineLevel="0" collapsed="false">
      <c r="A1821" s="2" t="s">
        <v>2811</v>
      </c>
      <c r="B1821" s="2" t="s">
        <v>4104</v>
      </c>
      <c r="C1821" s="2" t="s">
        <v>4085</v>
      </c>
      <c r="D1821" s="2"/>
      <c r="E1821" s="2"/>
      <c r="F1821" s="2"/>
      <c r="G1821" s="2"/>
      <c r="H1821" s="2" t="s">
        <v>668</v>
      </c>
    </row>
    <row r="1822" customFormat="false" ht="15" hidden="false" customHeight="false" outlineLevel="0" collapsed="false">
      <c r="A1822" s="2" t="s">
        <v>2811</v>
      </c>
      <c r="B1822" s="2" t="s">
        <v>4104</v>
      </c>
      <c r="C1822" s="2" t="s">
        <v>4086</v>
      </c>
      <c r="D1822" s="2"/>
      <c r="E1822" s="31" t="n">
        <v>23.8</v>
      </c>
      <c r="F1822" s="31" t="n">
        <v>84.4</v>
      </c>
      <c r="G1822" s="31" t="n">
        <v>1.1</v>
      </c>
      <c r="H1822" s="2" t="s">
        <v>671</v>
      </c>
    </row>
    <row r="1823" customFormat="false" ht="15" hidden="false" customHeight="false" outlineLevel="0" collapsed="false">
      <c r="A1823" s="2" t="s">
        <v>2811</v>
      </c>
      <c r="B1823" s="2" t="s">
        <v>4104</v>
      </c>
      <c r="C1823" s="2" t="s">
        <v>4087</v>
      </c>
      <c r="D1823" s="2"/>
      <c r="E1823" s="2"/>
      <c r="F1823" s="2"/>
      <c r="G1823" s="2"/>
      <c r="H1823" s="2" t="s">
        <v>668</v>
      </c>
    </row>
    <row r="1824" customFormat="false" ht="15" hidden="false" customHeight="false" outlineLevel="0" collapsed="false">
      <c r="A1824" s="2" t="s">
        <v>2811</v>
      </c>
      <c r="B1824" s="2" t="s">
        <v>46</v>
      </c>
      <c r="C1824" s="2" t="s">
        <v>4085</v>
      </c>
      <c r="D1824" s="2"/>
      <c r="E1824" s="2"/>
      <c r="F1824" s="2"/>
      <c r="G1824" s="2"/>
      <c r="H1824" s="2" t="s">
        <v>668</v>
      </c>
    </row>
    <row r="1825" customFormat="false" ht="15" hidden="false" customHeight="false" outlineLevel="0" collapsed="false">
      <c r="A1825" s="2" t="s">
        <v>2811</v>
      </c>
      <c r="B1825" s="2" t="s">
        <v>46</v>
      </c>
      <c r="C1825" s="2" t="s">
        <v>4086</v>
      </c>
      <c r="D1825" s="11" t="n">
        <v>52450</v>
      </c>
      <c r="E1825" s="31" t="n">
        <v>23.8</v>
      </c>
      <c r="F1825" s="31" t="n">
        <v>84.4</v>
      </c>
      <c r="G1825" s="31" t="n">
        <v>1.1</v>
      </c>
      <c r="H1825" s="2" t="s">
        <v>671</v>
      </c>
    </row>
    <row r="1826" customFormat="false" ht="15" hidden="false" customHeight="false" outlineLevel="0" collapsed="false">
      <c r="A1826" s="2" t="s">
        <v>2811</v>
      </c>
      <c r="B1826" s="2" t="s">
        <v>46</v>
      </c>
      <c r="C1826" s="2" t="s">
        <v>4087</v>
      </c>
      <c r="D1826" s="2"/>
      <c r="E1826" s="2"/>
      <c r="F1826" s="2"/>
      <c r="G1826" s="2"/>
      <c r="H1826" s="2" t="s">
        <v>668</v>
      </c>
    </row>
    <row r="1827" customFormat="false" ht="15" hidden="false" customHeight="false" outlineLevel="0" collapsed="false">
      <c r="A1827" s="2" t="s">
        <v>348</v>
      </c>
      <c r="B1827" s="2" t="s">
        <v>4104</v>
      </c>
      <c r="C1827" s="2" t="s">
        <v>4085</v>
      </c>
      <c r="D1827" s="2"/>
      <c r="E1827" s="31" t="n">
        <v>50.2</v>
      </c>
      <c r="F1827" s="31" t="n">
        <v>79.6</v>
      </c>
      <c r="G1827" s="31" t="n">
        <v>45</v>
      </c>
      <c r="H1827" s="2" t="s">
        <v>668</v>
      </c>
    </row>
    <row r="1828" customFormat="false" ht="15" hidden="false" customHeight="false" outlineLevel="0" collapsed="false">
      <c r="A1828" s="2" t="s">
        <v>348</v>
      </c>
      <c r="B1828" s="2" t="s">
        <v>4104</v>
      </c>
      <c r="C1828" s="2" t="s">
        <v>4086</v>
      </c>
      <c r="D1828" s="2"/>
      <c r="E1828" s="31" t="n">
        <v>38.1</v>
      </c>
      <c r="F1828" s="31" t="n">
        <v>68.8</v>
      </c>
      <c r="G1828" s="31" t="n">
        <v>93.6</v>
      </c>
      <c r="H1828" s="2" t="s">
        <v>668</v>
      </c>
    </row>
    <row r="1829" customFormat="false" ht="15" hidden="false" customHeight="false" outlineLevel="0" collapsed="false">
      <c r="A1829" s="2" t="s">
        <v>348</v>
      </c>
      <c r="B1829" s="2" t="s">
        <v>4104</v>
      </c>
      <c r="C1829" s="2" t="s">
        <v>4087</v>
      </c>
      <c r="D1829" s="2"/>
      <c r="E1829" s="31" t="n">
        <v>52.5</v>
      </c>
      <c r="F1829" s="31" t="n">
        <v>62</v>
      </c>
      <c r="G1829" s="31" t="n">
        <v>34.2</v>
      </c>
      <c r="H1829" s="2" t="s">
        <v>671</v>
      </c>
    </row>
    <row r="1830" customFormat="false" ht="15" hidden="false" customHeight="false" outlineLevel="0" collapsed="false">
      <c r="A1830" s="2" t="s">
        <v>348</v>
      </c>
      <c r="B1830" s="2" t="s">
        <v>45</v>
      </c>
      <c r="C1830" s="2" t="s">
        <v>4085</v>
      </c>
      <c r="D1830" s="11" t="n">
        <v>19450</v>
      </c>
      <c r="E1830" s="31" t="n">
        <v>31.3</v>
      </c>
      <c r="F1830" s="31" t="n">
        <v>94.5</v>
      </c>
      <c r="G1830" s="2"/>
      <c r="H1830" s="2" t="s">
        <v>668</v>
      </c>
    </row>
    <row r="1831" customFormat="false" ht="15" hidden="false" customHeight="false" outlineLevel="0" collapsed="false">
      <c r="A1831" s="2" t="s">
        <v>348</v>
      </c>
      <c r="B1831" s="2" t="s">
        <v>45</v>
      </c>
      <c r="C1831" s="2" t="s">
        <v>4086</v>
      </c>
      <c r="D1831" s="11" t="n">
        <v>21270</v>
      </c>
      <c r="E1831" s="31" t="n">
        <v>31.6</v>
      </c>
      <c r="F1831" s="31" t="n">
        <v>99.7</v>
      </c>
      <c r="G1831" s="2"/>
      <c r="H1831" s="2" t="s">
        <v>668</v>
      </c>
    </row>
    <row r="1832" customFormat="false" ht="15" hidden="false" customHeight="false" outlineLevel="0" collapsed="false">
      <c r="A1832" s="2" t="s">
        <v>348</v>
      </c>
      <c r="B1832" s="2" t="s">
        <v>45</v>
      </c>
      <c r="C1832" s="2" t="s">
        <v>4087</v>
      </c>
      <c r="D1832" s="11" t="n">
        <v>23710</v>
      </c>
      <c r="E1832" s="31" t="n">
        <v>54.5</v>
      </c>
      <c r="F1832" s="31" t="n">
        <v>100</v>
      </c>
      <c r="G1832" s="31" t="n">
        <v>40.3</v>
      </c>
      <c r="H1832" s="2" t="s">
        <v>671</v>
      </c>
    </row>
    <row r="1833" customFormat="false" ht="15" hidden="false" customHeight="false" outlineLevel="0" collapsed="false">
      <c r="A1833" s="2" t="s">
        <v>348</v>
      </c>
      <c r="B1833" s="2" t="s">
        <v>46</v>
      </c>
      <c r="C1833" s="2" t="s">
        <v>4085</v>
      </c>
      <c r="D1833" s="11" t="n">
        <v>30241</v>
      </c>
      <c r="E1833" s="31" t="n">
        <v>69.1</v>
      </c>
      <c r="F1833" s="31" t="n">
        <v>64.8</v>
      </c>
      <c r="G1833" s="31" t="n">
        <v>45</v>
      </c>
      <c r="H1833" s="2" t="s">
        <v>671</v>
      </c>
    </row>
    <row r="1834" customFormat="false" ht="15" hidden="false" customHeight="false" outlineLevel="0" collapsed="false">
      <c r="A1834" s="2" t="s">
        <v>348</v>
      </c>
      <c r="B1834" s="2" t="s">
        <v>46</v>
      </c>
      <c r="C1834" s="2" t="s">
        <v>4086</v>
      </c>
      <c r="D1834" s="11" t="n">
        <v>31860</v>
      </c>
      <c r="E1834" s="31" t="n">
        <v>44.6</v>
      </c>
      <c r="F1834" s="31" t="n">
        <v>37.8</v>
      </c>
      <c r="G1834" s="31" t="n">
        <v>93.6</v>
      </c>
      <c r="H1834" s="2" t="s">
        <v>671</v>
      </c>
    </row>
    <row r="1835" customFormat="false" ht="15" hidden="false" customHeight="false" outlineLevel="0" collapsed="false">
      <c r="A1835" s="2" t="s">
        <v>348</v>
      </c>
      <c r="B1835" s="2" t="s">
        <v>46</v>
      </c>
      <c r="C1835" s="2" t="s">
        <v>4087</v>
      </c>
      <c r="D1835" s="11" t="n">
        <v>32640</v>
      </c>
      <c r="E1835" s="31" t="n">
        <v>50.5</v>
      </c>
      <c r="F1835" s="31" t="n">
        <v>24.1</v>
      </c>
      <c r="G1835" s="31" t="n">
        <v>28.2</v>
      </c>
      <c r="H1835" s="2" t="s">
        <v>671</v>
      </c>
    </row>
    <row r="1836" customFormat="false" ht="15" hidden="false" customHeight="false" outlineLevel="0" collapsed="false">
      <c r="A1836" s="2" t="s">
        <v>592</v>
      </c>
      <c r="B1836" s="2" t="s">
        <v>4104</v>
      </c>
      <c r="C1836" s="2" t="s">
        <v>4085</v>
      </c>
      <c r="D1836" s="2"/>
      <c r="E1836" s="31" t="n">
        <v>30.2</v>
      </c>
      <c r="F1836" s="31" t="n">
        <v>39.6</v>
      </c>
      <c r="G1836" s="31" t="n">
        <v>65.5</v>
      </c>
      <c r="H1836" s="2" t="s">
        <v>671</v>
      </c>
    </row>
    <row r="1837" customFormat="false" ht="15" hidden="false" customHeight="false" outlineLevel="0" collapsed="false">
      <c r="A1837" s="2" t="s">
        <v>592</v>
      </c>
      <c r="B1837" s="2" t="s">
        <v>4104</v>
      </c>
      <c r="C1837" s="2" t="s">
        <v>4087</v>
      </c>
      <c r="D1837" s="2"/>
      <c r="E1837" s="31" t="n">
        <v>21.8</v>
      </c>
      <c r="F1837" s="31" t="n">
        <v>48.1</v>
      </c>
      <c r="G1837" s="31" t="n">
        <v>68.3</v>
      </c>
      <c r="H1837" s="2" t="s">
        <v>671</v>
      </c>
    </row>
    <row r="1838" customFormat="false" ht="15" hidden="false" customHeight="false" outlineLevel="0" collapsed="false">
      <c r="A1838" s="2" t="s">
        <v>592</v>
      </c>
      <c r="B1838" s="2" t="s">
        <v>45</v>
      </c>
      <c r="C1838" s="2" t="s">
        <v>4085</v>
      </c>
      <c r="D1838" s="11" t="n">
        <v>320026</v>
      </c>
      <c r="E1838" s="31" t="n">
        <v>63.5</v>
      </c>
      <c r="F1838" s="31" t="n">
        <v>67.8</v>
      </c>
      <c r="G1838" s="31" t="n">
        <v>82.4</v>
      </c>
      <c r="H1838" s="2" t="s">
        <v>671</v>
      </c>
    </row>
    <row r="1839" customFormat="false" ht="15" hidden="false" customHeight="false" outlineLevel="0" collapsed="false">
      <c r="A1839" s="2" t="s">
        <v>592</v>
      </c>
      <c r="B1839" s="2" t="s">
        <v>45</v>
      </c>
      <c r="C1839" s="2" t="s">
        <v>4087</v>
      </c>
      <c r="D1839" s="11" t="n">
        <v>345610</v>
      </c>
      <c r="E1839" s="31" t="n">
        <v>28.8</v>
      </c>
      <c r="F1839" s="31" t="n">
        <v>77.5</v>
      </c>
      <c r="G1839" s="31" t="n">
        <v>98.6</v>
      </c>
      <c r="H1839" s="2" t="s">
        <v>671</v>
      </c>
    </row>
    <row r="1840" customFormat="false" ht="15" hidden="false" customHeight="false" outlineLevel="0" collapsed="false">
      <c r="A1840" s="2" t="s">
        <v>592</v>
      </c>
      <c r="B1840" s="2" t="s">
        <v>46</v>
      </c>
      <c r="C1840" s="2" t="s">
        <v>4085</v>
      </c>
      <c r="D1840" s="11" t="n">
        <v>10430</v>
      </c>
      <c r="E1840" s="31" t="n">
        <v>8.4</v>
      </c>
      <c r="F1840" s="31" t="n">
        <v>21</v>
      </c>
      <c r="G1840" s="31" t="n">
        <v>31.3</v>
      </c>
      <c r="H1840" s="2" t="s">
        <v>671</v>
      </c>
    </row>
    <row r="1841" customFormat="false" ht="15" hidden="false" customHeight="false" outlineLevel="0" collapsed="false">
      <c r="A1841" s="2" t="s">
        <v>592</v>
      </c>
      <c r="B1841" s="2" t="s">
        <v>46</v>
      </c>
      <c r="C1841" s="2" t="s">
        <v>4087</v>
      </c>
      <c r="D1841" s="11" t="n">
        <v>11020</v>
      </c>
      <c r="E1841" s="31" t="n">
        <v>8.7</v>
      </c>
      <c r="F1841" s="31" t="n">
        <v>12.9</v>
      </c>
      <c r="G1841" s="31" t="n">
        <v>36</v>
      </c>
      <c r="H1841" s="2" t="s">
        <v>671</v>
      </c>
    </row>
    <row r="1842" customFormat="false" ht="15" hidden="false" customHeight="false" outlineLevel="0" collapsed="false">
      <c r="A1842" s="2" t="s">
        <v>592</v>
      </c>
      <c r="B1842" s="2" t="s">
        <v>47</v>
      </c>
      <c r="C1842" s="2" t="s">
        <v>4085</v>
      </c>
      <c r="D1842" s="11" t="n">
        <v>79707</v>
      </c>
      <c r="E1842" s="31" t="n">
        <v>18.7</v>
      </c>
      <c r="F1842" s="31" t="n">
        <v>30.1</v>
      </c>
      <c r="G1842" s="31" t="n">
        <v>82.9</v>
      </c>
      <c r="H1842" s="2" t="s">
        <v>671</v>
      </c>
    </row>
    <row r="1843" customFormat="false" ht="15" hidden="false" customHeight="false" outlineLevel="0" collapsed="false">
      <c r="A1843" s="2" t="s">
        <v>592</v>
      </c>
      <c r="B1843" s="2" t="s">
        <v>47</v>
      </c>
      <c r="C1843" s="2" t="s">
        <v>4087</v>
      </c>
      <c r="D1843" s="11" t="n">
        <v>85510</v>
      </c>
      <c r="E1843" s="31" t="n">
        <v>27.8</v>
      </c>
      <c r="F1843" s="31" t="n">
        <v>53.9</v>
      </c>
      <c r="G1843" s="31" t="n">
        <v>70.3</v>
      </c>
      <c r="H1843" s="2" t="s">
        <v>671</v>
      </c>
    </row>
    <row r="1844" customFormat="false" ht="15" hidden="false" customHeight="false" outlineLevel="0" collapsed="false">
      <c r="A1844" s="2" t="s">
        <v>2812</v>
      </c>
      <c r="B1844" s="2" t="s">
        <v>4104</v>
      </c>
      <c r="C1844" s="2" t="s">
        <v>4085</v>
      </c>
      <c r="D1844" s="2"/>
      <c r="E1844" s="31" t="n">
        <v>77.1</v>
      </c>
      <c r="F1844" s="31" t="n">
        <v>8.2</v>
      </c>
      <c r="G1844" s="31" t="n">
        <v>61.9</v>
      </c>
      <c r="H1844" s="2" t="s">
        <v>668</v>
      </c>
    </row>
    <row r="1845" customFormat="false" ht="15" hidden="false" customHeight="false" outlineLevel="0" collapsed="false">
      <c r="A1845" s="2" t="s">
        <v>2812</v>
      </c>
      <c r="B1845" s="2" t="s">
        <v>4104</v>
      </c>
      <c r="C1845" s="2" t="s">
        <v>4086</v>
      </c>
      <c r="D1845" s="2"/>
      <c r="E1845" s="31" t="n">
        <v>77.6</v>
      </c>
      <c r="F1845" s="31" t="n">
        <v>40</v>
      </c>
      <c r="G1845" s="31" t="n">
        <v>35</v>
      </c>
      <c r="H1845" s="2" t="s">
        <v>671</v>
      </c>
    </row>
    <row r="1846" customFormat="false" ht="15" hidden="false" customHeight="false" outlineLevel="0" collapsed="false">
      <c r="A1846" s="2" t="s">
        <v>2812</v>
      </c>
      <c r="B1846" s="2" t="s">
        <v>4104</v>
      </c>
      <c r="C1846" s="2" t="s">
        <v>4087</v>
      </c>
      <c r="D1846" s="2"/>
      <c r="E1846" s="31" t="n">
        <v>76.7</v>
      </c>
      <c r="F1846" s="31" t="n">
        <v>42.2</v>
      </c>
      <c r="G1846" s="2"/>
      <c r="H1846" s="2" t="s">
        <v>668</v>
      </c>
    </row>
    <row r="1847" customFormat="false" ht="15" hidden="false" customHeight="false" outlineLevel="0" collapsed="false">
      <c r="A1847" s="2" t="s">
        <v>2812</v>
      </c>
      <c r="B1847" s="2" t="s">
        <v>45</v>
      </c>
      <c r="C1847" s="2" t="s">
        <v>4085</v>
      </c>
      <c r="D1847" s="11" t="n">
        <v>4580</v>
      </c>
      <c r="E1847" s="31" t="n">
        <v>65.2</v>
      </c>
      <c r="F1847" s="2"/>
      <c r="G1847" s="31" t="n">
        <v>94.9</v>
      </c>
      <c r="H1847" s="2" t="s">
        <v>668</v>
      </c>
    </row>
    <row r="1848" customFormat="false" ht="15" hidden="false" customHeight="false" outlineLevel="0" collapsed="false">
      <c r="A1848" s="2" t="s">
        <v>2812</v>
      </c>
      <c r="B1848" s="2" t="s">
        <v>45</v>
      </c>
      <c r="C1848" s="2" t="s">
        <v>4086</v>
      </c>
      <c r="D1848" s="11" t="n">
        <v>4735</v>
      </c>
      <c r="E1848" s="31" t="n">
        <v>63.7</v>
      </c>
      <c r="F1848" s="31" t="n">
        <v>73.2</v>
      </c>
      <c r="G1848" s="31" t="n">
        <v>54.3</v>
      </c>
      <c r="H1848" s="2" t="s">
        <v>671</v>
      </c>
    </row>
    <row r="1849" customFormat="false" ht="15" hidden="false" customHeight="false" outlineLevel="0" collapsed="false">
      <c r="A1849" s="2" t="s">
        <v>2812</v>
      </c>
      <c r="B1849" s="2" t="s">
        <v>45</v>
      </c>
      <c r="C1849" s="2" t="s">
        <v>4087</v>
      </c>
      <c r="D1849" s="11" t="n">
        <v>5050</v>
      </c>
      <c r="E1849" s="31" t="n">
        <v>65.8</v>
      </c>
      <c r="F1849" s="31" t="n">
        <v>57.4</v>
      </c>
      <c r="G1849" s="2"/>
      <c r="H1849" s="2" t="s">
        <v>668</v>
      </c>
    </row>
    <row r="1850" customFormat="false" ht="15" hidden="false" customHeight="false" outlineLevel="0" collapsed="false">
      <c r="A1850" s="2" t="s">
        <v>2812</v>
      </c>
      <c r="B1850" s="2" t="s">
        <v>47</v>
      </c>
      <c r="C1850" s="2" t="s">
        <v>4085</v>
      </c>
      <c r="D1850" s="11" t="n">
        <v>39177</v>
      </c>
      <c r="E1850" s="31" t="n">
        <v>88.9</v>
      </c>
      <c r="F1850" s="31" t="n">
        <v>8.2</v>
      </c>
      <c r="G1850" s="31" t="n">
        <v>28.9</v>
      </c>
      <c r="H1850" s="2" t="s">
        <v>671</v>
      </c>
    </row>
    <row r="1851" customFormat="false" ht="15" hidden="false" customHeight="false" outlineLevel="0" collapsed="false">
      <c r="A1851" s="2" t="s">
        <v>2812</v>
      </c>
      <c r="B1851" s="2" t="s">
        <v>47</v>
      </c>
      <c r="C1851" s="2" t="s">
        <v>4086</v>
      </c>
      <c r="D1851" s="11" t="n">
        <v>38170</v>
      </c>
      <c r="E1851" s="31" t="n">
        <v>91.5</v>
      </c>
      <c r="F1851" s="31" t="n">
        <v>6.8</v>
      </c>
      <c r="G1851" s="31" t="n">
        <v>15.8</v>
      </c>
      <c r="H1851" s="2" t="s">
        <v>671</v>
      </c>
    </row>
    <row r="1852" customFormat="false" ht="15" hidden="false" customHeight="false" outlineLevel="0" collapsed="false">
      <c r="A1852" s="2" t="s">
        <v>2812</v>
      </c>
      <c r="B1852" s="2" t="s">
        <v>47</v>
      </c>
      <c r="C1852" s="2" t="s">
        <v>4087</v>
      </c>
      <c r="D1852" s="11" t="n">
        <v>39362</v>
      </c>
      <c r="E1852" s="31" t="n">
        <v>87.6</v>
      </c>
      <c r="F1852" s="31" t="n">
        <v>27</v>
      </c>
      <c r="G1852" s="2"/>
      <c r="H1852" s="2" t="s">
        <v>668</v>
      </c>
    </row>
    <row r="1853" customFormat="false" ht="15" hidden="false" customHeight="false" outlineLevel="0" collapsed="false">
      <c r="A1853" s="2" t="s">
        <v>502</v>
      </c>
      <c r="B1853" s="2" t="s">
        <v>4104</v>
      </c>
      <c r="C1853" s="2" t="s">
        <v>4085</v>
      </c>
      <c r="D1853" s="2"/>
      <c r="E1853" s="31" t="n">
        <v>39.3</v>
      </c>
      <c r="F1853" s="31" t="n">
        <v>95.4</v>
      </c>
      <c r="G1853" s="31" t="n">
        <v>61.9</v>
      </c>
      <c r="H1853" s="2" t="s">
        <v>671</v>
      </c>
    </row>
    <row r="1854" customFormat="false" ht="15" hidden="false" customHeight="false" outlineLevel="0" collapsed="false">
      <c r="A1854" s="2" t="s">
        <v>502</v>
      </c>
      <c r="B1854" s="2" t="s">
        <v>4104</v>
      </c>
      <c r="C1854" s="2" t="s">
        <v>4086</v>
      </c>
      <c r="D1854" s="2"/>
      <c r="E1854" s="31" t="n">
        <v>27.7</v>
      </c>
      <c r="F1854" s="31" t="n">
        <v>98.1</v>
      </c>
      <c r="G1854" s="31" t="n">
        <v>36.7</v>
      </c>
      <c r="H1854" s="2" t="s">
        <v>671</v>
      </c>
    </row>
    <row r="1855" customFormat="false" ht="15" hidden="false" customHeight="false" outlineLevel="0" collapsed="false">
      <c r="A1855" s="2" t="s">
        <v>502</v>
      </c>
      <c r="B1855" s="2" t="s">
        <v>4104</v>
      </c>
      <c r="C1855" s="2" t="s">
        <v>4087</v>
      </c>
      <c r="D1855" s="2"/>
      <c r="E1855" s="31" t="n">
        <v>35.4</v>
      </c>
      <c r="F1855" s="31" t="n">
        <v>93.3</v>
      </c>
      <c r="G1855" s="31" t="n">
        <v>53.1</v>
      </c>
      <c r="H1855" s="2" t="s">
        <v>671</v>
      </c>
    </row>
    <row r="1856" customFormat="false" ht="15" hidden="false" customHeight="false" outlineLevel="0" collapsed="false">
      <c r="A1856" s="2" t="s">
        <v>502</v>
      </c>
      <c r="B1856" s="2" t="s">
        <v>47</v>
      </c>
      <c r="C1856" s="2" t="s">
        <v>4085</v>
      </c>
      <c r="D1856" s="11" t="n">
        <v>19370</v>
      </c>
      <c r="E1856" s="31" t="n">
        <v>39.3</v>
      </c>
      <c r="F1856" s="31" t="n">
        <v>95.4</v>
      </c>
      <c r="G1856" s="31" t="n">
        <v>61.9</v>
      </c>
      <c r="H1856" s="2" t="s">
        <v>671</v>
      </c>
    </row>
    <row r="1857" customFormat="false" ht="15" hidden="false" customHeight="false" outlineLevel="0" collapsed="false">
      <c r="A1857" s="2" t="s">
        <v>502</v>
      </c>
      <c r="B1857" s="2" t="s">
        <v>47</v>
      </c>
      <c r="C1857" s="2" t="s">
        <v>4086</v>
      </c>
      <c r="D1857" s="11" t="n">
        <v>21550</v>
      </c>
      <c r="E1857" s="31" t="n">
        <v>27.7</v>
      </c>
      <c r="F1857" s="31" t="n">
        <v>98.1</v>
      </c>
      <c r="G1857" s="31" t="n">
        <v>36.7</v>
      </c>
      <c r="H1857" s="2" t="s">
        <v>671</v>
      </c>
    </row>
    <row r="1858" customFormat="false" ht="15" hidden="false" customHeight="false" outlineLevel="0" collapsed="false">
      <c r="A1858" s="2" t="s">
        <v>502</v>
      </c>
      <c r="B1858" s="2" t="s">
        <v>47</v>
      </c>
      <c r="C1858" s="2" t="s">
        <v>4087</v>
      </c>
      <c r="D1858" s="11" t="n">
        <v>22720</v>
      </c>
      <c r="E1858" s="31" t="n">
        <v>35.4</v>
      </c>
      <c r="F1858" s="31" t="n">
        <v>93.3</v>
      </c>
      <c r="G1858" s="31" t="n">
        <v>53.1</v>
      </c>
      <c r="H1858" s="2" t="s">
        <v>671</v>
      </c>
    </row>
    <row r="1859" customFormat="false" ht="15" hidden="false" customHeight="false" outlineLevel="0" collapsed="false">
      <c r="A1859" s="2" t="s">
        <v>620</v>
      </c>
      <c r="B1859" s="2" t="s">
        <v>4104</v>
      </c>
      <c r="C1859" s="2" t="s">
        <v>4085</v>
      </c>
      <c r="D1859" s="2"/>
      <c r="E1859" s="31" t="n">
        <v>38.2</v>
      </c>
      <c r="F1859" s="31" t="n">
        <v>2.3</v>
      </c>
      <c r="G1859" s="2"/>
      <c r="H1859" s="2" t="s">
        <v>668</v>
      </c>
    </row>
    <row r="1860" customFormat="false" ht="15" hidden="false" customHeight="false" outlineLevel="0" collapsed="false">
      <c r="A1860" s="2" t="s">
        <v>620</v>
      </c>
      <c r="B1860" s="2" t="s">
        <v>4104</v>
      </c>
      <c r="C1860" s="2" t="s">
        <v>4086</v>
      </c>
      <c r="D1860" s="2"/>
      <c r="E1860" s="31" t="n">
        <v>17.3</v>
      </c>
      <c r="F1860" s="31" t="n">
        <v>6.2</v>
      </c>
      <c r="G1860" s="31" t="n">
        <v>21</v>
      </c>
      <c r="H1860" s="2" t="s">
        <v>671</v>
      </c>
    </row>
    <row r="1861" customFormat="false" ht="15" hidden="false" customHeight="false" outlineLevel="0" collapsed="false">
      <c r="A1861" s="2" t="s">
        <v>620</v>
      </c>
      <c r="B1861" s="2" t="s">
        <v>4104</v>
      </c>
      <c r="C1861" s="2" t="s">
        <v>4087</v>
      </c>
      <c r="D1861" s="2"/>
      <c r="E1861" s="31" t="n">
        <v>15.2</v>
      </c>
      <c r="F1861" s="31" t="n">
        <v>2.8</v>
      </c>
      <c r="G1861" s="31" t="n">
        <v>77.7</v>
      </c>
      <c r="H1861" s="2" t="s">
        <v>671</v>
      </c>
    </row>
    <row r="1862" customFormat="false" ht="15" hidden="false" customHeight="false" outlineLevel="0" collapsed="false">
      <c r="A1862" s="2" t="s">
        <v>620</v>
      </c>
      <c r="B1862" s="2" t="s">
        <v>47</v>
      </c>
      <c r="C1862" s="2" t="s">
        <v>4085</v>
      </c>
      <c r="D1862" s="11" t="n">
        <v>39470</v>
      </c>
      <c r="E1862" s="31" t="n">
        <v>38.2</v>
      </c>
      <c r="F1862" s="31" t="n">
        <v>2.3</v>
      </c>
      <c r="G1862" s="2"/>
      <c r="H1862" s="2" t="s">
        <v>668</v>
      </c>
    </row>
    <row r="1863" customFormat="false" ht="15" hidden="false" customHeight="false" outlineLevel="0" collapsed="false">
      <c r="A1863" s="2" t="s">
        <v>620</v>
      </c>
      <c r="B1863" s="2" t="s">
        <v>47</v>
      </c>
      <c r="C1863" s="2" t="s">
        <v>4086</v>
      </c>
      <c r="D1863" s="11" t="n">
        <v>39618</v>
      </c>
      <c r="E1863" s="31" t="n">
        <v>17.3</v>
      </c>
      <c r="F1863" s="31" t="n">
        <v>6.2</v>
      </c>
      <c r="G1863" s="31" t="n">
        <v>21</v>
      </c>
      <c r="H1863" s="2" t="s">
        <v>671</v>
      </c>
    </row>
    <row r="1864" customFormat="false" ht="15" hidden="false" customHeight="false" outlineLevel="0" collapsed="false">
      <c r="A1864" s="2" t="s">
        <v>620</v>
      </c>
      <c r="B1864" s="2" t="s">
        <v>47</v>
      </c>
      <c r="C1864" s="2" t="s">
        <v>4087</v>
      </c>
      <c r="D1864" s="11" t="n">
        <v>38165</v>
      </c>
      <c r="E1864" s="31" t="n">
        <v>15.2</v>
      </c>
      <c r="F1864" s="31" t="n">
        <v>2.8</v>
      </c>
      <c r="G1864" s="31" t="n">
        <v>77.7</v>
      </c>
      <c r="H1864" s="2" t="s">
        <v>671</v>
      </c>
    </row>
    <row r="1865" customFormat="false" ht="15" hidden="false" customHeight="false" outlineLevel="0" collapsed="false">
      <c r="A1865" s="2" t="s">
        <v>1808</v>
      </c>
      <c r="B1865" s="2" t="s">
        <v>4104</v>
      </c>
      <c r="C1865" s="2" t="s">
        <v>4085</v>
      </c>
      <c r="D1865" s="2"/>
      <c r="E1865" s="31" t="n">
        <v>58.5</v>
      </c>
      <c r="F1865" s="31" t="n">
        <v>58.5</v>
      </c>
      <c r="G1865" s="31" t="n">
        <v>72.4</v>
      </c>
      <c r="H1865" s="2" t="s">
        <v>671</v>
      </c>
    </row>
    <row r="1866" customFormat="false" ht="15" hidden="false" customHeight="false" outlineLevel="0" collapsed="false">
      <c r="A1866" s="2" t="s">
        <v>1808</v>
      </c>
      <c r="B1866" s="2" t="s">
        <v>4104</v>
      </c>
      <c r="C1866" s="2" t="s">
        <v>4086</v>
      </c>
      <c r="D1866" s="2"/>
      <c r="E1866" s="31" t="n">
        <v>52.5</v>
      </c>
      <c r="F1866" s="31" t="n">
        <v>67.3</v>
      </c>
      <c r="G1866" s="31" t="n">
        <v>65.2</v>
      </c>
      <c r="H1866" s="2" t="s">
        <v>668</v>
      </c>
    </row>
    <row r="1867" customFormat="false" ht="15" hidden="false" customHeight="false" outlineLevel="0" collapsed="false">
      <c r="A1867" s="2" t="s">
        <v>1808</v>
      </c>
      <c r="B1867" s="2" t="s">
        <v>4104</v>
      </c>
      <c r="C1867" s="2" t="s">
        <v>4087</v>
      </c>
      <c r="D1867" s="2"/>
      <c r="E1867" s="31" t="n">
        <v>38.2</v>
      </c>
      <c r="F1867" s="31" t="n">
        <v>36.4</v>
      </c>
      <c r="G1867" s="31" t="n">
        <v>55.6</v>
      </c>
      <c r="H1867" s="2" t="s">
        <v>668</v>
      </c>
    </row>
    <row r="1868" customFormat="false" ht="15" hidden="false" customHeight="false" outlineLevel="0" collapsed="false">
      <c r="A1868" s="2" t="s">
        <v>1808</v>
      </c>
      <c r="B1868" s="2" t="s">
        <v>45</v>
      </c>
      <c r="C1868" s="2" t="s">
        <v>4085</v>
      </c>
      <c r="D1868" s="11" t="n">
        <v>17248</v>
      </c>
      <c r="E1868" s="31" t="n">
        <v>86.4</v>
      </c>
      <c r="F1868" s="31" t="n">
        <v>78.8</v>
      </c>
      <c r="G1868" s="31" t="n">
        <v>87.6</v>
      </c>
      <c r="H1868" s="2" t="s">
        <v>671</v>
      </c>
    </row>
    <row r="1869" customFormat="false" ht="15" hidden="false" customHeight="false" outlineLevel="0" collapsed="false">
      <c r="A1869" s="2" t="s">
        <v>1808</v>
      </c>
      <c r="B1869" s="2" t="s">
        <v>45</v>
      </c>
      <c r="C1869" s="2" t="s">
        <v>4086</v>
      </c>
      <c r="D1869" s="11" t="n">
        <v>17900</v>
      </c>
      <c r="E1869" s="31" t="n">
        <v>84.3</v>
      </c>
      <c r="F1869" s="31" t="n">
        <v>74.6</v>
      </c>
      <c r="G1869" s="31" t="n">
        <v>62.7</v>
      </c>
      <c r="H1869" s="2" t="s">
        <v>671</v>
      </c>
    </row>
    <row r="1870" customFormat="false" ht="15" hidden="false" customHeight="false" outlineLevel="0" collapsed="false">
      <c r="A1870" s="2" t="s">
        <v>1808</v>
      </c>
      <c r="B1870" s="2" t="s">
        <v>45</v>
      </c>
      <c r="C1870" s="2" t="s">
        <v>4087</v>
      </c>
      <c r="D1870" s="2"/>
      <c r="E1870" s="2"/>
      <c r="F1870" s="2"/>
      <c r="G1870" s="2"/>
      <c r="H1870" s="2" t="s">
        <v>668</v>
      </c>
    </row>
    <row r="1871" customFormat="false" ht="15" hidden="false" customHeight="false" outlineLevel="0" collapsed="false">
      <c r="A1871" s="2" t="s">
        <v>1808</v>
      </c>
      <c r="B1871" s="2" t="s">
        <v>46</v>
      </c>
      <c r="C1871" s="2" t="s">
        <v>4085</v>
      </c>
      <c r="D1871" s="11" t="n">
        <v>61760</v>
      </c>
      <c r="E1871" s="31" t="n">
        <v>53.2</v>
      </c>
      <c r="F1871" s="31" t="n">
        <v>67.8</v>
      </c>
      <c r="G1871" s="31" t="n">
        <v>45.9</v>
      </c>
      <c r="H1871" s="2" t="s">
        <v>671</v>
      </c>
    </row>
    <row r="1872" customFormat="false" ht="15" hidden="false" customHeight="false" outlineLevel="0" collapsed="false">
      <c r="A1872" s="2" t="s">
        <v>1808</v>
      </c>
      <c r="B1872" s="2" t="s">
        <v>46</v>
      </c>
      <c r="C1872" s="2" t="s">
        <v>4086</v>
      </c>
      <c r="D1872" s="11" t="n">
        <v>64610</v>
      </c>
      <c r="E1872" s="31" t="n">
        <v>41.5</v>
      </c>
      <c r="F1872" s="31" t="n">
        <v>60</v>
      </c>
      <c r="G1872" s="31" t="n">
        <v>63.8</v>
      </c>
      <c r="H1872" s="2" t="s">
        <v>671</v>
      </c>
    </row>
    <row r="1873" customFormat="false" ht="15" hidden="false" customHeight="false" outlineLevel="0" collapsed="false">
      <c r="A1873" s="2" t="s">
        <v>1808</v>
      </c>
      <c r="B1873" s="2" t="s">
        <v>46</v>
      </c>
      <c r="C1873" s="2" t="s">
        <v>4087</v>
      </c>
      <c r="D1873" s="11" t="n">
        <v>64240</v>
      </c>
      <c r="E1873" s="31" t="n">
        <v>27.9</v>
      </c>
      <c r="F1873" s="31" t="n">
        <v>46.1</v>
      </c>
      <c r="G1873" s="31" t="n">
        <v>34.5</v>
      </c>
      <c r="H1873" s="2" t="s">
        <v>671</v>
      </c>
    </row>
    <row r="1874" customFormat="false" ht="15" hidden="false" customHeight="false" outlineLevel="0" collapsed="false">
      <c r="A1874" s="2" t="s">
        <v>1808</v>
      </c>
      <c r="B1874" s="2" t="s">
        <v>47</v>
      </c>
      <c r="C1874" s="2" t="s">
        <v>4085</v>
      </c>
      <c r="D1874" s="11" t="n">
        <v>5440</v>
      </c>
      <c r="E1874" s="31" t="n">
        <v>35.8</v>
      </c>
      <c r="F1874" s="31" t="n">
        <v>28.9</v>
      </c>
      <c r="G1874" s="31" t="n">
        <v>83.6</v>
      </c>
      <c r="H1874" s="2" t="s">
        <v>671</v>
      </c>
    </row>
    <row r="1875" customFormat="false" ht="15" hidden="false" customHeight="false" outlineLevel="0" collapsed="false">
      <c r="A1875" s="2" t="s">
        <v>1808</v>
      </c>
      <c r="B1875" s="2" t="s">
        <v>47</v>
      </c>
      <c r="C1875" s="2" t="s">
        <v>4086</v>
      </c>
      <c r="D1875" s="11" t="n">
        <v>5740</v>
      </c>
      <c r="E1875" s="31" t="n">
        <v>31.7</v>
      </c>
      <c r="F1875" s="2"/>
      <c r="G1875" s="31" t="n">
        <v>69.2</v>
      </c>
      <c r="H1875" s="2" t="s">
        <v>668</v>
      </c>
    </row>
    <row r="1876" customFormat="false" ht="15" hidden="false" customHeight="false" outlineLevel="0" collapsed="false">
      <c r="A1876" s="2" t="s">
        <v>1808</v>
      </c>
      <c r="B1876" s="2" t="s">
        <v>47</v>
      </c>
      <c r="C1876" s="2" t="s">
        <v>4087</v>
      </c>
      <c r="D1876" s="11" t="n">
        <v>5805</v>
      </c>
      <c r="E1876" s="31" t="n">
        <v>48.5</v>
      </c>
      <c r="F1876" s="31" t="n">
        <v>26.7</v>
      </c>
      <c r="G1876" s="31" t="n">
        <v>76.6</v>
      </c>
      <c r="H1876" s="2" t="s">
        <v>671</v>
      </c>
    </row>
    <row r="1877" customFormat="false" ht="15" hidden="false" customHeight="false" outlineLevel="0" collapsed="false">
      <c r="A1877" s="2" t="s">
        <v>945</v>
      </c>
      <c r="B1877" s="2" t="s">
        <v>4104</v>
      </c>
      <c r="C1877" s="2" t="s">
        <v>4085</v>
      </c>
      <c r="D1877" s="2"/>
      <c r="E1877" s="31" t="n">
        <v>34</v>
      </c>
      <c r="F1877" s="31" t="n">
        <v>40</v>
      </c>
      <c r="G1877" s="31" t="n">
        <v>29.9</v>
      </c>
      <c r="H1877" s="2" t="s">
        <v>668</v>
      </c>
    </row>
    <row r="1878" customFormat="false" ht="15" hidden="false" customHeight="false" outlineLevel="0" collapsed="false">
      <c r="A1878" s="2" t="s">
        <v>945</v>
      </c>
      <c r="B1878" s="2" t="s">
        <v>4104</v>
      </c>
      <c r="C1878" s="2" t="s">
        <v>4086</v>
      </c>
      <c r="D1878" s="2"/>
      <c r="E1878" s="31" t="n">
        <v>29.9</v>
      </c>
      <c r="F1878" s="31" t="n">
        <v>40.1</v>
      </c>
      <c r="G1878" s="31" t="n">
        <v>43.3</v>
      </c>
      <c r="H1878" s="2" t="s">
        <v>671</v>
      </c>
    </row>
    <row r="1879" customFormat="false" ht="15" hidden="false" customHeight="false" outlineLevel="0" collapsed="false">
      <c r="A1879" s="2" t="s">
        <v>945</v>
      </c>
      <c r="B1879" s="2" t="s">
        <v>4104</v>
      </c>
      <c r="C1879" s="2" t="s">
        <v>4087</v>
      </c>
      <c r="D1879" s="2"/>
      <c r="E1879" s="31" t="n">
        <v>32.6</v>
      </c>
      <c r="F1879" s="31" t="n">
        <v>34.6</v>
      </c>
      <c r="G1879" s="31" t="n">
        <v>43.9</v>
      </c>
      <c r="H1879" s="2" t="s">
        <v>668</v>
      </c>
    </row>
    <row r="1880" customFormat="false" ht="15" hidden="false" customHeight="false" outlineLevel="0" collapsed="false">
      <c r="A1880" s="2" t="s">
        <v>945</v>
      </c>
      <c r="B1880" s="2" t="s">
        <v>45</v>
      </c>
      <c r="C1880" s="2" t="s">
        <v>4085</v>
      </c>
      <c r="D1880" s="11" t="n">
        <v>52390</v>
      </c>
      <c r="E1880" s="31" t="n">
        <v>54.6</v>
      </c>
      <c r="F1880" s="2"/>
      <c r="G1880" s="31" t="n">
        <v>11.2</v>
      </c>
      <c r="H1880" s="2" t="s">
        <v>668</v>
      </c>
    </row>
    <row r="1881" customFormat="false" ht="15" hidden="false" customHeight="false" outlineLevel="0" collapsed="false">
      <c r="A1881" s="2" t="s">
        <v>945</v>
      </c>
      <c r="B1881" s="2" t="s">
        <v>45</v>
      </c>
      <c r="C1881" s="2" t="s">
        <v>4086</v>
      </c>
      <c r="D1881" s="11" t="n">
        <v>55650</v>
      </c>
      <c r="E1881" s="31" t="n">
        <v>56.9</v>
      </c>
      <c r="F1881" s="31" t="n">
        <v>61.5</v>
      </c>
      <c r="G1881" s="31" t="n">
        <v>12.1</v>
      </c>
      <c r="H1881" s="2" t="s">
        <v>671</v>
      </c>
    </row>
    <row r="1882" customFormat="false" ht="15" hidden="false" customHeight="false" outlineLevel="0" collapsed="false">
      <c r="A1882" s="2" t="s">
        <v>945</v>
      </c>
      <c r="B1882" s="2" t="s">
        <v>45</v>
      </c>
      <c r="C1882" s="2" t="s">
        <v>4087</v>
      </c>
      <c r="D1882" s="11" t="n">
        <v>58894</v>
      </c>
      <c r="E1882" s="31" t="n">
        <v>63.2</v>
      </c>
      <c r="F1882" s="31" t="n">
        <v>40.9</v>
      </c>
      <c r="G1882" s="31" t="n">
        <v>1.9</v>
      </c>
      <c r="H1882" s="2" t="s">
        <v>671</v>
      </c>
    </row>
    <row r="1883" customFormat="false" ht="15" hidden="false" customHeight="false" outlineLevel="0" collapsed="false">
      <c r="A1883" s="2" t="s">
        <v>945</v>
      </c>
      <c r="B1883" s="2" t="s">
        <v>46</v>
      </c>
      <c r="C1883" s="2" t="s">
        <v>4085</v>
      </c>
      <c r="D1883" s="11" t="n">
        <v>27230</v>
      </c>
      <c r="E1883" s="2"/>
      <c r="F1883" s="31" t="n">
        <v>41.6</v>
      </c>
      <c r="G1883" s="31" t="n">
        <v>59.6</v>
      </c>
      <c r="H1883" s="2" t="s">
        <v>668</v>
      </c>
    </row>
    <row r="1884" customFormat="false" ht="15" hidden="false" customHeight="false" outlineLevel="0" collapsed="false">
      <c r="A1884" s="2" t="s">
        <v>945</v>
      </c>
      <c r="B1884" s="2" t="s">
        <v>46</v>
      </c>
      <c r="C1884" s="2" t="s">
        <v>4086</v>
      </c>
      <c r="D1884" s="11" t="n">
        <v>29180</v>
      </c>
      <c r="E1884" s="31" t="n">
        <v>20.8</v>
      </c>
      <c r="F1884" s="31" t="n">
        <v>37.5</v>
      </c>
      <c r="G1884" s="31" t="n">
        <v>83.4</v>
      </c>
      <c r="H1884" s="2" t="s">
        <v>671</v>
      </c>
    </row>
    <row r="1885" customFormat="false" ht="15" hidden="false" customHeight="false" outlineLevel="0" collapsed="false">
      <c r="A1885" s="2" t="s">
        <v>945</v>
      </c>
      <c r="B1885" s="2" t="s">
        <v>46</v>
      </c>
      <c r="C1885" s="2" t="s">
        <v>4087</v>
      </c>
      <c r="D1885" s="11" t="n">
        <v>29210</v>
      </c>
      <c r="E1885" s="31" t="n">
        <v>9.5</v>
      </c>
      <c r="F1885" s="31" t="n">
        <v>28.2</v>
      </c>
      <c r="G1885" s="31" t="n">
        <v>78.5</v>
      </c>
      <c r="H1885" s="2" t="s">
        <v>671</v>
      </c>
    </row>
    <row r="1886" customFormat="false" ht="15" hidden="false" customHeight="false" outlineLevel="0" collapsed="false">
      <c r="A1886" s="2" t="s">
        <v>945</v>
      </c>
      <c r="B1886" s="2" t="s">
        <v>47</v>
      </c>
      <c r="C1886" s="2" t="s">
        <v>4085</v>
      </c>
      <c r="D1886" s="11" t="n">
        <v>4069259</v>
      </c>
      <c r="E1886" s="31" t="n">
        <v>13.5</v>
      </c>
      <c r="F1886" s="31" t="n">
        <v>38.5</v>
      </c>
      <c r="G1886" s="31" t="n">
        <v>18.9</v>
      </c>
      <c r="H1886" s="2" t="s">
        <v>671</v>
      </c>
    </row>
    <row r="1887" customFormat="false" ht="15" hidden="false" customHeight="false" outlineLevel="0" collapsed="false">
      <c r="A1887" s="2" t="s">
        <v>945</v>
      </c>
      <c r="B1887" s="2" t="s">
        <v>47</v>
      </c>
      <c r="C1887" s="2" t="s">
        <v>4086</v>
      </c>
      <c r="D1887" s="11" t="n">
        <v>3961233</v>
      </c>
      <c r="E1887" s="31" t="n">
        <v>12</v>
      </c>
      <c r="F1887" s="31" t="n">
        <v>21.4</v>
      </c>
      <c r="G1887" s="31" t="n">
        <v>34.4</v>
      </c>
      <c r="H1887" s="2" t="s">
        <v>671</v>
      </c>
    </row>
    <row r="1888" customFormat="false" ht="15" hidden="false" customHeight="false" outlineLevel="0" collapsed="false">
      <c r="A1888" s="2" t="s">
        <v>945</v>
      </c>
      <c r="B1888" s="2" t="s">
        <v>47</v>
      </c>
      <c r="C1888" s="2" t="s">
        <v>4087</v>
      </c>
      <c r="D1888" s="11" t="n">
        <v>4009980</v>
      </c>
      <c r="E1888" s="31" t="n">
        <v>25.1</v>
      </c>
      <c r="F1888" s="2"/>
      <c r="G1888" s="31" t="n">
        <v>51.2</v>
      </c>
      <c r="H1888" s="2" t="s">
        <v>668</v>
      </c>
    </row>
    <row r="1889" customFormat="false" ht="15" hidden="false" customHeight="false" outlineLevel="0" collapsed="false">
      <c r="A1889" s="2" t="s">
        <v>260</v>
      </c>
      <c r="B1889" s="2" t="s">
        <v>4104</v>
      </c>
      <c r="C1889" s="2" t="s">
        <v>4085</v>
      </c>
      <c r="D1889" s="2"/>
      <c r="E1889" s="31" t="n">
        <v>54.4</v>
      </c>
      <c r="F1889" s="31" t="n">
        <v>8.8</v>
      </c>
      <c r="G1889" s="31" t="n">
        <v>39.2</v>
      </c>
      <c r="H1889" s="2" t="s">
        <v>668</v>
      </c>
    </row>
    <row r="1890" customFormat="false" ht="15" hidden="false" customHeight="false" outlineLevel="0" collapsed="false">
      <c r="A1890" s="2" t="s">
        <v>260</v>
      </c>
      <c r="B1890" s="2" t="s">
        <v>4104</v>
      </c>
      <c r="C1890" s="2" t="s">
        <v>4086</v>
      </c>
      <c r="D1890" s="2"/>
      <c r="E1890" s="31" t="n">
        <v>66.7</v>
      </c>
      <c r="F1890" s="31" t="n">
        <v>8.7</v>
      </c>
      <c r="G1890" s="31" t="n">
        <v>47.2</v>
      </c>
      <c r="H1890" s="2" t="s">
        <v>668</v>
      </c>
    </row>
    <row r="1891" customFormat="false" ht="15" hidden="false" customHeight="false" outlineLevel="0" collapsed="false">
      <c r="A1891" s="2" t="s">
        <v>260</v>
      </c>
      <c r="B1891" s="2" t="s">
        <v>4104</v>
      </c>
      <c r="C1891" s="2" t="s">
        <v>4087</v>
      </c>
      <c r="D1891" s="2"/>
      <c r="E1891" s="31" t="n">
        <v>62.9</v>
      </c>
      <c r="F1891" s="31" t="n">
        <v>7</v>
      </c>
      <c r="G1891" s="31" t="n">
        <v>42.7</v>
      </c>
      <c r="H1891" s="2" t="s">
        <v>671</v>
      </c>
    </row>
    <row r="1892" customFormat="false" ht="15" hidden="false" customHeight="false" outlineLevel="0" collapsed="false">
      <c r="A1892" s="2" t="s">
        <v>260</v>
      </c>
      <c r="B1892" s="2" t="s">
        <v>45</v>
      </c>
      <c r="C1892" s="2" t="s">
        <v>4085</v>
      </c>
      <c r="D1892" s="11" t="n">
        <v>32010</v>
      </c>
      <c r="E1892" s="31" t="n">
        <v>76</v>
      </c>
      <c r="F1892" s="31" t="n">
        <v>1.8</v>
      </c>
      <c r="G1892" s="31" t="n">
        <v>18.3</v>
      </c>
      <c r="H1892" s="2" t="s">
        <v>671</v>
      </c>
    </row>
    <row r="1893" customFormat="false" ht="15" hidden="false" customHeight="false" outlineLevel="0" collapsed="false">
      <c r="A1893" s="2" t="s">
        <v>260</v>
      </c>
      <c r="B1893" s="2" t="s">
        <v>45</v>
      </c>
      <c r="C1893" s="2" t="s">
        <v>4086</v>
      </c>
      <c r="D1893" s="11" t="n">
        <v>31320</v>
      </c>
      <c r="E1893" s="31" t="n">
        <v>68.2</v>
      </c>
      <c r="F1893" s="31" t="n">
        <v>1.7</v>
      </c>
      <c r="G1893" s="31" t="n">
        <v>23.3</v>
      </c>
      <c r="H1893" s="2" t="s">
        <v>671</v>
      </c>
    </row>
    <row r="1894" customFormat="false" ht="15" hidden="false" customHeight="false" outlineLevel="0" collapsed="false">
      <c r="A1894" s="2" t="s">
        <v>260</v>
      </c>
      <c r="B1894" s="2" t="s">
        <v>45</v>
      </c>
      <c r="C1894" s="2" t="s">
        <v>4087</v>
      </c>
      <c r="D1894" s="11" t="n">
        <v>51121</v>
      </c>
      <c r="E1894" s="31" t="n">
        <v>50.9</v>
      </c>
      <c r="F1894" s="31" t="n">
        <v>4</v>
      </c>
      <c r="G1894" s="31" t="n">
        <v>18.2</v>
      </c>
      <c r="H1894" s="2" t="s">
        <v>671</v>
      </c>
    </row>
    <row r="1895" customFormat="false" ht="15" hidden="false" customHeight="false" outlineLevel="0" collapsed="false">
      <c r="A1895" s="2" t="s">
        <v>260</v>
      </c>
      <c r="B1895" s="2" t="s">
        <v>46</v>
      </c>
      <c r="C1895" s="2" t="s">
        <v>4085</v>
      </c>
      <c r="D1895" s="2"/>
      <c r="E1895" s="2"/>
      <c r="F1895" s="2"/>
      <c r="G1895" s="2"/>
      <c r="H1895" s="2" t="s">
        <v>668</v>
      </c>
    </row>
    <row r="1896" customFormat="false" ht="15" hidden="false" customHeight="false" outlineLevel="0" collapsed="false">
      <c r="A1896" s="2" t="s">
        <v>260</v>
      </c>
      <c r="B1896" s="2" t="s">
        <v>46</v>
      </c>
      <c r="C1896" s="2" t="s">
        <v>4086</v>
      </c>
      <c r="D1896" s="11" t="n">
        <v>381870</v>
      </c>
      <c r="E1896" s="31" t="n">
        <v>86.2</v>
      </c>
      <c r="F1896" s="31" t="n">
        <v>7</v>
      </c>
      <c r="G1896" s="2"/>
      <c r="H1896" s="2" t="s">
        <v>668</v>
      </c>
    </row>
    <row r="1897" customFormat="false" ht="15" hidden="false" customHeight="false" outlineLevel="0" collapsed="false">
      <c r="A1897" s="2" t="s">
        <v>260</v>
      </c>
      <c r="B1897" s="2" t="s">
        <v>46</v>
      </c>
      <c r="C1897" s="2" t="s">
        <v>4087</v>
      </c>
      <c r="D1897" s="11" t="n">
        <v>375630</v>
      </c>
      <c r="E1897" s="31" t="n">
        <v>91.3</v>
      </c>
      <c r="F1897" s="31" t="n">
        <v>4.6</v>
      </c>
      <c r="G1897" s="31" t="n">
        <v>36.8</v>
      </c>
      <c r="H1897" s="2" t="s">
        <v>671</v>
      </c>
    </row>
    <row r="1898" customFormat="false" ht="15" hidden="false" customHeight="false" outlineLevel="0" collapsed="false">
      <c r="A1898" s="2" t="s">
        <v>260</v>
      </c>
      <c r="B1898" s="2" t="s">
        <v>47</v>
      </c>
      <c r="C1898" s="2" t="s">
        <v>4085</v>
      </c>
      <c r="D1898" s="11" t="n">
        <v>44697</v>
      </c>
      <c r="E1898" s="31" t="n">
        <v>32.9</v>
      </c>
      <c r="F1898" s="31" t="n">
        <v>15.7</v>
      </c>
      <c r="G1898" s="31" t="n">
        <v>60</v>
      </c>
      <c r="H1898" s="2" t="s">
        <v>671</v>
      </c>
    </row>
    <row r="1899" customFormat="false" ht="15" hidden="false" customHeight="false" outlineLevel="0" collapsed="false">
      <c r="A1899" s="2" t="s">
        <v>260</v>
      </c>
      <c r="B1899" s="2" t="s">
        <v>47</v>
      </c>
      <c r="C1899" s="2" t="s">
        <v>4086</v>
      </c>
      <c r="D1899" s="11" t="n">
        <v>45522</v>
      </c>
      <c r="E1899" s="31" t="n">
        <v>45.7</v>
      </c>
      <c r="F1899" s="31" t="n">
        <v>17.5</v>
      </c>
      <c r="G1899" s="31" t="n">
        <v>71</v>
      </c>
      <c r="H1899" s="2" t="s">
        <v>671</v>
      </c>
    </row>
    <row r="1900" customFormat="false" ht="15" hidden="false" customHeight="false" outlineLevel="0" collapsed="false">
      <c r="A1900" s="2" t="s">
        <v>260</v>
      </c>
      <c r="B1900" s="2" t="s">
        <v>47</v>
      </c>
      <c r="C1900" s="2" t="s">
        <v>4087</v>
      </c>
      <c r="D1900" s="11" t="n">
        <v>44992</v>
      </c>
      <c r="E1900" s="31" t="n">
        <v>46.6</v>
      </c>
      <c r="F1900" s="31" t="n">
        <v>12.4</v>
      </c>
      <c r="G1900" s="31" t="n">
        <v>73.1</v>
      </c>
      <c r="H1900" s="2" t="s">
        <v>671</v>
      </c>
    </row>
    <row r="1901" customFormat="false" ht="15" hidden="false" customHeight="false" outlineLevel="0" collapsed="false">
      <c r="A1901" s="2" t="s">
        <v>2242</v>
      </c>
      <c r="B1901" s="2" t="s">
        <v>4104</v>
      </c>
      <c r="C1901" s="2" t="s">
        <v>4085</v>
      </c>
      <c r="D1901" s="2"/>
      <c r="E1901" s="31" t="n">
        <v>34.6</v>
      </c>
      <c r="F1901" s="31" t="n">
        <v>80.8</v>
      </c>
      <c r="G1901" s="31" t="n">
        <v>48.2</v>
      </c>
      <c r="H1901" s="2" t="s">
        <v>668</v>
      </c>
    </row>
    <row r="1902" customFormat="false" ht="15" hidden="false" customHeight="false" outlineLevel="0" collapsed="false">
      <c r="A1902" s="2" t="s">
        <v>2242</v>
      </c>
      <c r="B1902" s="2" t="s">
        <v>4104</v>
      </c>
      <c r="C1902" s="2" t="s">
        <v>4086</v>
      </c>
      <c r="D1902" s="2"/>
      <c r="E1902" s="31" t="n">
        <v>39.1</v>
      </c>
      <c r="F1902" s="31" t="n">
        <v>78.7</v>
      </c>
      <c r="G1902" s="31" t="n">
        <v>36.8</v>
      </c>
      <c r="H1902" s="2" t="s">
        <v>671</v>
      </c>
    </row>
    <row r="1903" customFormat="false" ht="15" hidden="false" customHeight="false" outlineLevel="0" collapsed="false">
      <c r="A1903" s="2" t="s">
        <v>2242</v>
      </c>
      <c r="B1903" s="2" t="s">
        <v>4104</v>
      </c>
      <c r="C1903" s="2" t="s">
        <v>4087</v>
      </c>
      <c r="D1903" s="2"/>
      <c r="E1903" s="31" t="n">
        <v>36.8</v>
      </c>
      <c r="F1903" s="31" t="n">
        <v>59.2</v>
      </c>
      <c r="G1903" s="31" t="n">
        <v>6.3</v>
      </c>
      <c r="H1903" s="2" t="s">
        <v>668</v>
      </c>
    </row>
    <row r="1904" customFormat="false" ht="15" hidden="false" customHeight="false" outlineLevel="0" collapsed="false">
      <c r="A1904" s="2" t="s">
        <v>2242</v>
      </c>
      <c r="B1904" s="2" t="s">
        <v>45</v>
      </c>
      <c r="C1904" s="2" t="s">
        <v>4085</v>
      </c>
      <c r="D1904" s="11" t="n">
        <v>149040</v>
      </c>
      <c r="E1904" s="31" t="n">
        <v>34.6</v>
      </c>
      <c r="F1904" s="31" t="n">
        <v>80.8</v>
      </c>
      <c r="G1904" s="31" t="n">
        <v>82.2</v>
      </c>
      <c r="H1904" s="2" t="s">
        <v>671</v>
      </c>
    </row>
    <row r="1905" customFormat="false" ht="15" hidden="false" customHeight="false" outlineLevel="0" collapsed="false">
      <c r="A1905" s="2" t="s">
        <v>2242</v>
      </c>
      <c r="B1905" s="2" t="s">
        <v>45</v>
      </c>
      <c r="C1905" s="2" t="s">
        <v>4086</v>
      </c>
      <c r="D1905" s="11" t="n">
        <v>158193</v>
      </c>
      <c r="E1905" s="31" t="n">
        <v>18.5</v>
      </c>
      <c r="F1905" s="31" t="n">
        <v>73.6</v>
      </c>
      <c r="G1905" s="31" t="n">
        <v>53.6</v>
      </c>
      <c r="H1905" s="2" t="s">
        <v>671</v>
      </c>
    </row>
    <row r="1906" customFormat="false" ht="15" hidden="false" customHeight="false" outlineLevel="0" collapsed="false">
      <c r="A1906" s="2" t="s">
        <v>2242</v>
      </c>
      <c r="B1906" s="2" t="s">
        <v>45</v>
      </c>
      <c r="C1906" s="2" t="s">
        <v>4087</v>
      </c>
      <c r="D1906" s="2"/>
      <c r="E1906" s="2"/>
      <c r="F1906" s="2"/>
      <c r="G1906" s="2"/>
      <c r="H1906" s="2" t="s">
        <v>668</v>
      </c>
    </row>
    <row r="1907" customFormat="false" ht="15" hidden="false" customHeight="false" outlineLevel="0" collapsed="false">
      <c r="A1907" s="2" t="s">
        <v>2242</v>
      </c>
      <c r="B1907" s="2" t="s">
        <v>46</v>
      </c>
      <c r="C1907" s="2" t="s">
        <v>4085</v>
      </c>
      <c r="D1907" s="2"/>
      <c r="E1907" s="2"/>
      <c r="F1907" s="2"/>
      <c r="G1907" s="2"/>
      <c r="H1907" s="2" t="s">
        <v>668</v>
      </c>
    </row>
    <row r="1908" customFormat="false" ht="15" hidden="false" customHeight="false" outlineLevel="0" collapsed="false">
      <c r="A1908" s="2" t="s">
        <v>2242</v>
      </c>
      <c r="B1908" s="2" t="s">
        <v>46</v>
      </c>
      <c r="C1908" s="2" t="s">
        <v>4086</v>
      </c>
      <c r="D1908" s="11" t="n">
        <v>124860</v>
      </c>
      <c r="E1908" s="31" t="n">
        <v>30.1</v>
      </c>
      <c r="F1908" s="31" t="n">
        <v>69.4</v>
      </c>
      <c r="G1908" s="31" t="n">
        <v>42.4</v>
      </c>
      <c r="H1908" s="2" t="s">
        <v>671</v>
      </c>
    </row>
    <row r="1909" customFormat="false" ht="15" hidden="false" customHeight="false" outlineLevel="0" collapsed="false">
      <c r="A1909" s="2" t="s">
        <v>2242</v>
      </c>
      <c r="B1909" s="2" t="s">
        <v>46</v>
      </c>
      <c r="C1909" s="2" t="s">
        <v>4087</v>
      </c>
      <c r="D1909" s="11" t="n">
        <v>130430</v>
      </c>
      <c r="E1909" s="31" t="n">
        <v>13.5</v>
      </c>
      <c r="F1909" s="31" t="n">
        <v>44.4</v>
      </c>
      <c r="G1909" s="2"/>
      <c r="H1909" s="2" t="s">
        <v>668</v>
      </c>
    </row>
    <row r="1910" customFormat="false" ht="15" hidden="false" customHeight="false" outlineLevel="0" collapsed="false">
      <c r="A1910" s="2" t="s">
        <v>2242</v>
      </c>
      <c r="B1910" s="2" t="s">
        <v>47</v>
      </c>
      <c r="C1910" s="2" t="s">
        <v>4085</v>
      </c>
      <c r="D1910" s="2"/>
      <c r="E1910" s="2"/>
      <c r="F1910" s="2"/>
      <c r="G1910" s="31" t="n">
        <v>14.3</v>
      </c>
      <c r="H1910" s="2" t="s">
        <v>668</v>
      </c>
    </row>
    <row r="1911" customFormat="false" ht="15" hidden="false" customHeight="false" outlineLevel="0" collapsed="false">
      <c r="A1911" s="2" t="s">
        <v>2242</v>
      </c>
      <c r="B1911" s="2" t="s">
        <v>47</v>
      </c>
      <c r="C1911" s="2" t="s">
        <v>4086</v>
      </c>
      <c r="D1911" s="11" t="n">
        <v>186863</v>
      </c>
      <c r="E1911" s="31" t="n">
        <v>68.8</v>
      </c>
      <c r="F1911" s="31" t="n">
        <v>93.2</v>
      </c>
      <c r="G1911" s="31" t="n">
        <v>14.3</v>
      </c>
      <c r="H1911" s="2" t="s">
        <v>671</v>
      </c>
    </row>
    <row r="1912" customFormat="false" ht="15" hidden="false" customHeight="false" outlineLevel="0" collapsed="false">
      <c r="A1912" s="2" t="s">
        <v>2242</v>
      </c>
      <c r="B1912" s="2" t="s">
        <v>47</v>
      </c>
      <c r="C1912" s="2" t="s">
        <v>4087</v>
      </c>
      <c r="D1912" s="11" t="n">
        <v>194256</v>
      </c>
      <c r="E1912" s="31" t="n">
        <v>60.1</v>
      </c>
      <c r="F1912" s="31" t="n">
        <v>74.1</v>
      </c>
      <c r="G1912" s="31" t="n">
        <v>6.3</v>
      </c>
      <c r="H1912" s="2" t="s">
        <v>671</v>
      </c>
    </row>
    <row r="1913" customFormat="false" ht="15" hidden="false" customHeight="false" outlineLevel="0" collapsed="false">
      <c r="A1913" s="2" t="s">
        <v>673</v>
      </c>
      <c r="B1913" s="2" t="s">
        <v>4104</v>
      </c>
      <c r="C1913" s="2" t="s">
        <v>4085</v>
      </c>
      <c r="D1913" s="2"/>
      <c r="E1913" s="31" t="n">
        <v>83.2</v>
      </c>
      <c r="F1913" s="31" t="n">
        <v>83.3</v>
      </c>
      <c r="G1913" s="31" t="n">
        <v>54.6</v>
      </c>
      <c r="H1913" s="2" t="s">
        <v>668</v>
      </c>
    </row>
    <row r="1914" customFormat="false" ht="15" hidden="false" customHeight="false" outlineLevel="0" collapsed="false">
      <c r="A1914" s="2" t="s">
        <v>673</v>
      </c>
      <c r="B1914" s="2" t="s">
        <v>4104</v>
      </c>
      <c r="C1914" s="2" t="s">
        <v>4086</v>
      </c>
      <c r="D1914" s="2"/>
      <c r="E1914" s="31" t="n">
        <v>94.7</v>
      </c>
      <c r="F1914" s="31" t="n">
        <v>73.8</v>
      </c>
      <c r="G1914" s="31" t="n">
        <v>34.9</v>
      </c>
      <c r="H1914" s="2" t="s">
        <v>671</v>
      </c>
    </row>
    <row r="1915" customFormat="false" ht="15" hidden="false" customHeight="false" outlineLevel="0" collapsed="false">
      <c r="A1915" s="2" t="s">
        <v>673</v>
      </c>
      <c r="B1915" s="2" t="s">
        <v>4104</v>
      </c>
      <c r="C1915" s="2" t="s">
        <v>4087</v>
      </c>
      <c r="D1915" s="2"/>
      <c r="E1915" s="31" t="n">
        <v>96.2</v>
      </c>
      <c r="F1915" s="31" t="n">
        <v>45.2</v>
      </c>
      <c r="G1915" s="31" t="n">
        <v>31.6</v>
      </c>
      <c r="H1915" s="2" t="s">
        <v>668</v>
      </c>
    </row>
    <row r="1916" customFormat="false" ht="15" hidden="false" customHeight="false" outlineLevel="0" collapsed="false">
      <c r="A1916" s="2" t="s">
        <v>673</v>
      </c>
      <c r="B1916" s="2" t="s">
        <v>45</v>
      </c>
      <c r="C1916" s="2" t="s">
        <v>4085</v>
      </c>
      <c r="D1916" s="2"/>
      <c r="E1916" s="2"/>
      <c r="F1916" s="2"/>
      <c r="G1916" s="2"/>
      <c r="H1916" s="2" t="s">
        <v>668</v>
      </c>
    </row>
    <row r="1917" customFormat="false" ht="15" hidden="false" customHeight="false" outlineLevel="0" collapsed="false">
      <c r="A1917" s="2" t="s">
        <v>673</v>
      </c>
      <c r="B1917" s="2" t="s">
        <v>45</v>
      </c>
      <c r="C1917" s="2" t="s">
        <v>4086</v>
      </c>
      <c r="D1917" s="11" t="n">
        <v>20574</v>
      </c>
      <c r="E1917" s="31" t="n">
        <v>98.5</v>
      </c>
      <c r="F1917" s="31" t="n">
        <v>70.1</v>
      </c>
      <c r="G1917" s="31" t="n">
        <v>24.9</v>
      </c>
      <c r="H1917" s="2" t="s">
        <v>671</v>
      </c>
    </row>
    <row r="1918" customFormat="false" ht="15" hidden="false" customHeight="false" outlineLevel="0" collapsed="false">
      <c r="A1918" s="2" t="s">
        <v>673</v>
      </c>
      <c r="B1918" s="2" t="s">
        <v>45</v>
      </c>
      <c r="C1918" s="2" t="s">
        <v>4087</v>
      </c>
      <c r="D1918" s="11" t="n">
        <v>20920</v>
      </c>
      <c r="E1918" s="31" t="n">
        <v>99.1</v>
      </c>
      <c r="F1918" s="31" t="n">
        <v>77.8</v>
      </c>
      <c r="G1918" s="31" t="n">
        <v>6.4</v>
      </c>
      <c r="H1918" s="2" t="s">
        <v>671</v>
      </c>
    </row>
    <row r="1919" customFormat="false" ht="15" hidden="false" customHeight="false" outlineLevel="0" collapsed="false">
      <c r="A1919" s="2" t="s">
        <v>673</v>
      </c>
      <c r="B1919" s="2" t="s">
        <v>46</v>
      </c>
      <c r="C1919" s="2" t="s">
        <v>4085</v>
      </c>
      <c r="D1919" s="11" t="n">
        <v>105603</v>
      </c>
      <c r="E1919" s="31" t="n">
        <v>69.3</v>
      </c>
      <c r="F1919" s="31" t="n">
        <v>83.3</v>
      </c>
      <c r="G1919" s="31" t="n">
        <v>84.9</v>
      </c>
      <c r="H1919" s="2" t="s">
        <v>671</v>
      </c>
    </row>
    <row r="1920" customFormat="false" ht="15" hidden="false" customHeight="false" outlineLevel="0" collapsed="false">
      <c r="A1920" s="2" t="s">
        <v>673</v>
      </c>
      <c r="B1920" s="2" t="s">
        <v>46</v>
      </c>
      <c r="C1920" s="2" t="s">
        <v>4086</v>
      </c>
      <c r="D1920" s="11" t="n">
        <v>112300</v>
      </c>
      <c r="E1920" s="31" t="n">
        <v>89.2</v>
      </c>
      <c r="F1920" s="31" t="n">
        <v>88.5</v>
      </c>
      <c r="G1920" s="31" t="n">
        <v>35.8</v>
      </c>
      <c r="H1920" s="2" t="s">
        <v>671</v>
      </c>
    </row>
    <row r="1921" customFormat="false" ht="15" hidden="false" customHeight="false" outlineLevel="0" collapsed="false">
      <c r="A1921" s="2" t="s">
        <v>673</v>
      </c>
      <c r="B1921" s="2" t="s">
        <v>46</v>
      </c>
      <c r="C1921" s="2" t="s">
        <v>4087</v>
      </c>
      <c r="D1921" s="2"/>
      <c r="E1921" s="2"/>
      <c r="F1921" s="2"/>
      <c r="G1921" s="2"/>
      <c r="H1921" s="2" t="s">
        <v>668</v>
      </c>
    </row>
    <row r="1922" customFormat="false" ht="15" hidden="false" customHeight="false" outlineLevel="0" collapsed="false">
      <c r="A1922" s="2" t="s">
        <v>673</v>
      </c>
      <c r="B1922" s="2" t="s">
        <v>47</v>
      </c>
      <c r="C1922" s="2" t="s">
        <v>4085</v>
      </c>
      <c r="D1922" s="11" t="n">
        <v>282238</v>
      </c>
      <c r="E1922" s="31" t="n">
        <v>97.1</v>
      </c>
      <c r="F1922" s="2"/>
      <c r="G1922" s="31" t="n">
        <v>24.2</v>
      </c>
      <c r="H1922" s="2" t="s">
        <v>668</v>
      </c>
    </row>
    <row r="1923" customFormat="false" ht="15" hidden="false" customHeight="false" outlineLevel="0" collapsed="false">
      <c r="A1923" s="2" t="s">
        <v>673</v>
      </c>
      <c r="B1923" s="2" t="s">
        <v>47</v>
      </c>
      <c r="C1923" s="2" t="s">
        <v>4086</v>
      </c>
      <c r="D1923" s="11" t="n">
        <v>285682</v>
      </c>
      <c r="E1923" s="31" t="n">
        <v>96.3</v>
      </c>
      <c r="F1923" s="31" t="n">
        <v>62.7</v>
      </c>
      <c r="G1923" s="31" t="n">
        <v>44.1</v>
      </c>
      <c r="H1923" s="2" t="s">
        <v>671</v>
      </c>
    </row>
    <row r="1924" customFormat="false" ht="15" hidden="false" customHeight="false" outlineLevel="0" collapsed="false">
      <c r="A1924" s="2" t="s">
        <v>673</v>
      </c>
      <c r="B1924" s="2" t="s">
        <v>47</v>
      </c>
      <c r="C1924" s="2" t="s">
        <v>4087</v>
      </c>
      <c r="D1924" s="11" t="n">
        <v>286438</v>
      </c>
      <c r="E1924" s="31" t="n">
        <v>93.3</v>
      </c>
      <c r="F1924" s="31" t="n">
        <v>12.7</v>
      </c>
      <c r="G1924" s="31" t="n">
        <v>56.8</v>
      </c>
      <c r="H1924" s="2" t="s">
        <v>671</v>
      </c>
    </row>
    <row r="1925" customFormat="false" ht="15" hidden="false" customHeight="false" outlineLevel="0" collapsed="false">
      <c r="A1925" s="2" t="s">
        <v>1634</v>
      </c>
      <c r="B1925" s="2" t="s">
        <v>4104</v>
      </c>
      <c r="C1925" s="2" t="s">
        <v>4085</v>
      </c>
      <c r="D1925" s="2"/>
      <c r="E1925" s="2"/>
      <c r="F1925" s="2"/>
      <c r="G1925" s="2"/>
      <c r="H1925" s="2" t="s">
        <v>668</v>
      </c>
    </row>
    <row r="1926" customFormat="false" ht="15" hidden="false" customHeight="false" outlineLevel="0" collapsed="false">
      <c r="A1926" s="2" t="s">
        <v>1634</v>
      </c>
      <c r="B1926" s="2" t="s">
        <v>4104</v>
      </c>
      <c r="C1926" s="2" t="s">
        <v>4086</v>
      </c>
      <c r="D1926" s="2"/>
      <c r="E1926" s="31" t="n">
        <v>48.6</v>
      </c>
      <c r="F1926" s="31" t="n">
        <v>66.2</v>
      </c>
      <c r="G1926" s="31" t="n">
        <v>40.7</v>
      </c>
      <c r="H1926" s="2" t="s">
        <v>671</v>
      </c>
    </row>
    <row r="1927" customFormat="false" ht="15" hidden="false" customHeight="false" outlineLevel="0" collapsed="false">
      <c r="A1927" s="2" t="s">
        <v>1634</v>
      </c>
      <c r="B1927" s="2" t="s">
        <v>4104</v>
      </c>
      <c r="C1927" s="2" t="s">
        <v>4087</v>
      </c>
      <c r="D1927" s="2"/>
      <c r="E1927" s="31" t="n">
        <v>56.9</v>
      </c>
      <c r="F1927" s="31" t="n">
        <v>35.1</v>
      </c>
      <c r="G1927" s="31" t="n">
        <v>0.3</v>
      </c>
      <c r="H1927" s="2" t="s">
        <v>668</v>
      </c>
    </row>
    <row r="1928" customFormat="false" ht="15" hidden="false" customHeight="false" outlineLevel="0" collapsed="false">
      <c r="A1928" s="2" t="s">
        <v>1634</v>
      </c>
      <c r="B1928" s="2" t="s">
        <v>45</v>
      </c>
      <c r="C1928" s="2" t="s">
        <v>4085</v>
      </c>
      <c r="D1928" s="2"/>
      <c r="E1928" s="2"/>
      <c r="F1928" s="2"/>
      <c r="G1928" s="2"/>
      <c r="H1928" s="2" t="s">
        <v>668</v>
      </c>
    </row>
    <row r="1929" customFormat="false" ht="15" hidden="false" customHeight="false" outlineLevel="0" collapsed="false">
      <c r="A1929" s="2" t="s">
        <v>1634</v>
      </c>
      <c r="B1929" s="2" t="s">
        <v>45</v>
      </c>
      <c r="C1929" s="2" t="s">
        <v>4086</v>
      </c>
      <c r="D1929" s="11" t="n">
        <v>16410</v>
      </c>
      <c r="E1929" s="31" t="n">
        <v>54.4</v>
      </c>
      <c r="F1929" s="31" t="n">
        <v>67.4</v>
      </c>
      <c r="G1929" s="31" t="n">
        <v>78.8</v>
      </c>
      <c r="H1929" s="2" t="s">
        <v>671</v>
      </c>
    </row>
    <row r="1930" customFormat="false" ht="15" hidden="false" customHeight="false" outlineLevel="0" collapsed="false">
      <c r="A1930" s="2" t="s">
        <v>1634</v>
      </c>
      <c r="B1930" s="2" t="s">
        <v>45</v>
      </c>
      <c r="C1930" s="2" t="s">
        <v>4087</v>
      </c>
      <c r="D1930" s="2"/>
      <c r="E1930" s="2"/>
      <c r="F1930" s="2"/>
      <c r="G1930" s="2"/>
      <c r="H1930" s="2" t="s">
        <v>668</v>
      </c>
    </row>
    <row r="1931" customFormat="false" ht="15" hidden="false" customHeight="false" outlineLevel="0" collapsed="false">
      <c r="A1931" s="2" t="s">
        <v>1634</v>
      </c>
      <c r="B1931" s="2" t="s">
        <v>46</v>
      </c>
      <c r="C1931" s="2" t="s">
        <v>4085</v>
      </c>
      <c r="D1931" s="2"/>
      <c r="E1931" s="2"/>
      <c r="F1931" s="2"/>
      <c r="G1931" s="2"/>
      <c r="H1931" s="2" t="s">
        <v>668</v>
      </c>
    </row>
    <row r="1932" customFormat="false" ht="15" hidden="false" customHeight="false" outlineLevel="0" collapsed="false">
      <c r="A1932" s="2" t="s">
        <v>1634</v>
      </c>
      <c r="B1932" s="2" t="s">
        <v>46</v>
      </c>
      <c r="C1932" s="2" t="s">
        <v>4086</v>
      </c>
      <c r="D1932" s="11" t="n">
        <v>173470</v>
      </c>
      <c r="E1932" s="31" t="n">
        <v>42.8</v>
      </c>
      <c r="F1932" s="31" t="n">
        <v>65</v>
      </c>
      <c r="G1932" s="31" t="n">
        <v>2.6</v>
      </c>
      <c r="H1932" s="2" t="s">
        <v>671</v>
      </c>
    </row>
    <row r="1933" customFormat="false" ht="15" hidden="false" customHeight="false" outlineLevel="0" collapsed="false">
      <c r="A1933" s="2" t="s">
        <v>1634</v>
      </c>
      <c r="B1933" s="2" t="s">
        <v>46</v>
      </c>
      <c r="C1933" s="2" t="s">
        <v>4087</v>
      </c>
      <c r="D1933" s="11" t="n">
        <v>182496</v>
      </c>
      <c r="E1933" s="31" t="n">
        <v>56.9</v>
      </c>
      <c r="F1933" s="31" t="n">
        <v>35.1</v>
      </c>
      <c r="G1933" s="31" t="n">
        <v>0.3</v>
      </c>
      <c r="H1933" s="2" t="s">
        <v>671</v>
      </c>
    </row>
    <row r="1934" customFormat="false" ht="15" hidden="false" customHeight="false" outlineLevel="0" collapsed="false">
      <c r="A1934" s="2" t="s">
        <v>2817</v>
      </c>
      <c r="B1934" s="2" t="s">
        <v>4104</v>
      </c>
      <c r="C1934" s="2" t="s">
        <v>4085</v>
      </c>
      <c r="D1934" s="2"/>
      <c r="E1934" s="2"/>
      <c r="F1934" s="2"/>
      <c r="G1934" s="2"/>
      <c r="H1934" s="2" t="s">
        <v>668</v>
      </c>
    </row>
    <row r="1935" customFormat="false" ht="15" hidden="false" customHeight="false" outlineLevel="0" collapsed="false">
      <c r="A1935" s="2" t="s">
        <v>2817</v>
      </c>
      <c r="B1935" s="2" t="s">
        <v>4104</v>
      </c>
      <c r="C1935" s="2" t="s">
        <v>4086</v>
      </c>
      <c r="D1935" s="2"/>
      <c r="E1935" s="2"/>
      <c r="F1935" s="2"/>
      <c r="G1935" s="2"/>
      <c r="H1935" s="2" t="s">
        <v>668</v>
      </c>
    </row>
    <row r="1936" customFormat="false" ht="15" hidden="false" customHeight="false" outlineLevel="0" collapsed="false">
      <c r="A1936" s="2" t="s">
        <v>2817</v>
      </c>
      <c r="B1936" s="2" t="s">
        <v>4104</v>
      </c>
      <c r="C1936" s="2" t="s">
        <v>4087</v>
      </c>
      <c r="D1936" s="2"/>
      <c r="E1936" s="31" t="n">
        <v>79.3</v>
      </c>
      <c r="F1936" s="31" t="n">
        <v>55.6</v>
      </c>
      <c r="G1936" s="2"/>
      <c r="H1936" s="2" t="s">
        <v>668</v>
      </c>
    </row>
    <row r="1937" customFormat="false" ht="15" hidden="false" customHeight="false" outlineLevel="0" collapsed="false">
      <c r="A1937" s="2" t="s">
        <v>2817</v>
      </c>
      <c r="B1937" s="2" t="s">
        <v>46</v>
      </c>
      <c r="C1937" s="2" t="s">
        <v>4085</v>
      </c>
      <c r="D1937" s="2"/>
      <c r="E1937" s="2"/>
      <c r="F1937" s="2"/>
      <c r="G1937" s="2"/>
      <c r="H1937" s="2" t="s">
        <v>668</v>
      </c>
    </row>
    <row r="1938" customFormat="false" ht="15" hidden="false" customHeight="false" outlineLevel="0" collapsed="false">
      <c r="A1938" s="2" t="s">
        <v>2817</v>
      </c>
      <c r="B1938" s="2" t="s">
        <v>46</v>
      </c>
      <c r="C1938" s="2" t="s">
        <v>4086</v>
      </c>
      <c r="D1938" s="2"/>
      <c r="E1938" s="2"/>
      <c r="F1938" s="2"/>
      <c r="G1938" s="2"/>
      <c r="H1938" s="2" t="s">
        <v>668</v>
      </c>
    </row>
    <row r="1939" customFormat="false" ht="15" hidden="false" customHeight="false" outlineLevel="0" collapsed="false">
      <c r="A1939" s="2" t="s">
        <v>2817</v>
      </c>
      <c r="B1939" s="2" t="s">
        <v>46</v>
      </c>
      <c r="C1939" s="2" t="s">
        <v>4087</v>
      </c>
      <c r="D1939" s="11" t="n">
        <v>471915</v>
      </c>
      <c r="E1939" s="31" t="n">
        <v>79.3</v>
      </c>
      <c r="F1939" s="31" t="n">
        <v>55.6</v>
      </c>
      <c r="G1939" s="2"/>
      <c r="H1939" s="2" t="s">
        <v>668</v>
      </c>
    </row>
    <row r="1940" customFormat="false" ht="15" hidden="false" customHeight="false" outlineLevel="0" collapsed="false">
      <c r="A1940" s="2" t="s">
        <v>834</v>
      </c>
      <c r="B1940" s="2" t="s">
        <v>4104</v>
      </c>
      <c r="C1940" s="2" t="s">
        <v>4085</v>
      </c>
      <c r="D1940" s="2"/>
      <c r="E1940" s="31" t="n">
        <v>31.6</v>
      </c>
      <c r="F1940" s="31" t="n">
        <v>51.1</v>
      </c>
      <c r="G1940" s="31" t="n">
        <v>73.4</v>
      </c>
      <c r="H1940" s="2" t="s">
        <v>671</v>
      </c>
    </row>
    <row r="1941" customFormat="false" ht="15" hidden="false" customHeight="false" outlineLevel="0" collapsed="false">
      <c r="A1941" s="2" t="s">
        <v>834</v>
      </c>
      <c r="B1941" s="2" t="s">
        <v>4104</v>
      </c>
      <c r="C1941" s="2" t="s">
        <v>4086</v>
      </c>
      <c r="D1941" s="2"/>
      <c r="E1941" s="31" t="n">
        <v>24.6</v>
      </c>
      <c r="F1941" s="31" t="n">
        <v>55.6</v>
      </c>
      <c r="G1941" s="31" t="n">
        <v>57</v>
      </c>
      <c r="H1941" s="2" t="s">
        <v>668</v>
      </c>
    </row>
    <row r="1942" customFormat="false" ht="15" hidden="false" customHeight="false" outlineLevel="0" collapsed="false">
      <c r="A1942" s="2" t="s">
        <v>834</v>
      </c>
      <c r="B1942" s="2" t="s">
        <v>4104</v>
      </c>
      <c r="C1942" s="2" t="s">
        <v>4087</v>
      </c>
      <c r="D1942" s="2"/>
      <c r="E1942" s="31" t="n">
        <v>38.9</v>
      </c>
      <c r="F1942" s="31" t="n">
        <v>28.9</v>
      </c>
      <c r="G1942" s="31" t="n">
        <v>79.4</v>
      </c>
      <c r="H1942" s="2" t="s">
        <v>668</v>
      </c>
    </row>
    <row r="1943" customFormat="false" ht="15" hidden="false" customHeight="false" outlineLevel="0" collapsed="false">
      <c r="A1943" s="2" t="s">
        <v>834</v>
      </c>
      <c r="B1943" s="2" t="s">
        <v>45</v>
      </c>
      <c r="C1943" s="2" t="s">
        <v>4085</v>
      </c>
      <c r="D1943" s="11" t="n">
        <v>500240</v>
      </c>
      <c r="E1943" s="31" t="n">
        <v>46.9</v>
      </c>
      <c r="F1943" s="31" t="n">
        <v>58.2</v>
      </c>
      <c r="G1943" s="31" t="n">
        <v>82.7</v>
      </c>
      <c r="H1943" s="2" t="s">
        <v>671</v>
      </c>
    </row>
    <row r="1944" customFormat="false" ht="15" hidden="false" customHeight="false" outlineLevel="0" collapsed="false">
      <c r="A1944" s="2" t="s">
        <v>834</v>
      </c>
      <c r="B1944" s="2" t="s">
        <v>45</v>
      </c>
      <c r="C1944" s="2" t="s">
        <v>4086</v>
      </c>
      <c r="D1944" s="2"/>
      <c r="E1944" s="2"/>
      <c r="F1944" s="2"/>
      <c r="G1944" s="2"/>
      <c r="H1944" s="2" t="s">
        <v>668</v>
      </c>
    </row>
    <row r="1945" customFormat="false" ht="15" hidden="false" customHeight="false" outlineLevel="0" collapsed="false">
      <c r="A1945" s="2" t="s">
        <v>834</v>
      </c>
      <c r="B1945" s="2" t="s">
        <v>45</v>
      </c>
      <c r="C1945" s="2" t="s">
        <v>4087</v>
      </c>
      <c r="D1945" s="11" t="n">
        <v>542650</v>
      </c>
      <c r="E1945" s="31" t="n">
        <v>77.8</v>
      </c>
      <c r="F1945" s="31" t="n">
        <v>25.4</v>
      </c>
      <c r="G1945" s="31" t="n">
        <v>70.4</v>
      </c>
      <c r="H1945" s="2" t="s">
        <v>671</v>
      </c>
    </row>
    <row r="1946" customFormat="false" ht="15" hidden="false" customHeight="false" outlineLevel="0" collapsed="false">
      <c r="A1946" s="2" t="s">
        <v>834</v>
      </c>
      <c r="B1946" s="2" t="s">
        <v>46</v>
      </c>
      <c r="C1946" s="2" t="s">
        <v>4085</v>
      </c>
      <c r="D1946" s="11" t="n">
        <v>220310</v>
      </c>
      <c r="E1946" s="31" t="n">
        <v>0.2</v>
      </c>
      <c r="F1946" s="31" t="n">
        <v>21.8</v>
      </c>
      <c r="G1946" s="31" t="n">
        <v>70.8</v>
      </c>
      <c r="H1946" s="2" t="s">
        <v>671</v>
      </c>
    </row>
    <row r="1947" customFormat="false" ht="15" hidden="false" customHeight="false" outlineLevel="0" collapsed="false">
      <c r="A1947" s="2" t="s">
        <v>834</v>
      </c>
      <c r="B1947" s="2" t="s">
        <v>46</v>
      </c>
      <c r="C1947" s="2" t="s">
        <v>4086</v>
      </c>
      <c r="D1947" s="11" t="n">
        <v>217990</v>
      </c>
      <c r="E1947" s="31" t="n">
        <v>0.2</v>
      </c>
      <c r="F1947" s="31" t="n">
        <v>31.2</v>
      </c>
      <c r="G1947" s="31" t="n">
        <v>77.7</v>
      </c>
      <c r="H1947" s="2" t="s">
        <v>671</v>
      </c>
    </row>
    <row r="1948" customFormat="false" ht="15" hidden="false" customHeight="false" outlineLevel="0" collapsed="false">
      <c r="A1948" s="2" t="s">
        <v>834</v>
      </c>
      <c r="B1948" s="2" t="s">
        <v>46</v>
      </c>
      <c r="C1948" s="2" t="s">
        <v>4087</v>
      </c>
      <c r="D1948" s="11" t="n">
        <v>221817</v>
      </c>
      <c r="E1948" s="31" t="n">
        <v>0.2</v>
      </c>
      <c r="F1948" s="31" t="n">
        <v>11.9</v>
      </c>
      <c r="G1948" s="2"/>
      <c r="H1948" s="2" t="s">
        <v>668</v>
      </c>
    </row>
    <row r="1949" customFormat="false" ht="15" hidden="false" customHeight="false" outlineLevel="0" collapsed="false">
      <c r="A1949" s="2" t="s">
        <v>834</v>
      </c>
      <c r="B1949" s="2" t="s">
        <v>47</v>
      </c>
      <c r="C1949" s="2" t="s">
        <v>4085</v>
      </c>
      <c r="D1949" s="11" t="n">
        <v>6438</v>
      </c>
      <c r="E1949" s="31" t="n">
        <v>47.8</v>
      </c>
      <c r="F1949" s="31" t="n">
        <v>73.3</v>
      </c>
      <c r="G1949" s="31" t="n">
        <v>66.7</v>
      </c>
      <c r="H1949" s="2" t="s">
        <v>671</v>
      </c>
    </row>
    <row r="1950" customFormat="false" ht="15" hidden="false" customHeight="false" outlineLevel="0" collapsed="false">
      <c r="A1950" s="2" t="s">
        <v>834</v>
      </c>
      <c r="B1950" s="2" t="s">
        <v>47</v>
      </c>
      <c r="C1950" s="2" t="s">
        <v>4086</v>
      </c>
      <c r="D1950" s="11" t="n">
        <v>6677</v>
      </c>
      <c r="E1950" s="31" t="n">
        <v>48.9</v>
      </c>
      <c r="F1950" s="31" t="n">
        <v>80</v>
      </c>
      <c r="G1950" s="31" t="n">
        <v>36.2</v>
      </c>
      <c r="H1950" s="2" t="s">
        <v>671</v>
      </c>
    </row>
    <row r="1951" customFormat="false" ht="15" hidden="false" customHeight="false" outlineLevel="0" collapsed="false">
      <c r="A1951" s="2" t="s">
        <v>834</v>
      </c>
      <c r="B1951" s="2" t="s">
        <v>47</v>
      </c>
      <c r="C1951" s="2" t="s">
        <v>4087</v>
      </c>
      <c r="D1951" s="11" t="n">
        <v>7006</v>
      </c>
      <c r="E1951" s="31" t="n">
        <v>38.8</v>
      </c>
      <c r="F1951" s="31" t="n">
        <v>49.3</v>
      </c>
      <c r="G1951" s="31" t="n">
        <v>88.4</v>
      </c>
      <c r="H1951" s="2" t="s">
        <v>668</v>
      </c>
    </row>
    <row r="1952" customFormat="false" ht="15" hidden="false" customHeight="false" outlineLevel="0" collapsed="false">
      <c r="A1952" s="2" t="s">
        <v>1062</v>
      </c>
      <c r="B1952" s="2" t="s">
        <v>4104</v>
      </c>
      <c r="C1952" s="2" t="s">
        <v>4087</v>
      </c>
      <c r="D1952" s="2"/>
      <c r="E1952" s="31" t="n">
        <v>42</v>
      </c>
      <c r="F1952" s="31" t="n">
        <v>65.4</v>
      </c>
      <c r="G1952" s="31" t="n">
        <v>28.5</v>
      </c>
      <c r="H1952" s="2" t="s">
        <v>668</v>
      </c>
    </row>
    <row r="1953" customFormat="false" ht="15" hidden="false" customHeight="false" outlineLevel="0" collapsed="false">
      <c r="A1953" s="2" t="s">
        <v>1062</v>
      </c>
      <c r="B1953" s="2" t="s">
        <v>45</v>
      </c>
      <c r="C1953" s="2" t="s">
        <v>4087</v>
      </c>
      <c r="D1953" s="11" t="n">
        <v>10130</v>
      </c>
      <c r="E1953" s="31" t="n">
        <v>47</v>
      </c>
      <c r="F1953" s="31" t="n">
        <v>52</v>
      </c>
      <c r="G1953" s="31" t="n">
        <v>28.5</v>
      </c>
      <c r="H1953" s="2" t="s">
        <v>671</v>
      </c>
    </row>
    <row r="1954" customFormat="false" ht="15" hidden="false" customHeight="false" outlineLevel="0" collapsed="false">
      <c r="A1954" s="2" t="s">
        <v>1062</v>
      </c>
      <c r="B1954" s="2" t="s">
        <v>46</v>
      </c>
      <c r="C1954" s="2" t="s">
        <v>4087</v>
      </c>
      <c r="D1954" s="11" t="n">
        <v>13850</v>
      </c>
      <c r="E1954" s="31" t="n">
        <v>37</v>
      </c>
      <c r="F1954" s="31" t="n">
        <v>78.8</v>
      </c>
      <c r="G1954" s="2"/>
      <c r="H1954" s="2" t="s">
        <v>668</v>
      </c>
    </row>
    <row r="1955" customFormat="false" ht="15" hidden="false" customHeight="false" outlineLevel="0" collapsed="false">
      <c r="A1955" s="2" t="s">
        <v>771</v>
      </c>
      <c r="B1955" s="2" t="s">
        <v>4104</v>
      </c>
      <c r="C1955" s="2" t="s">
        <v>4085</v>
      </c>
      <c r="D1955" s="2"/>
      <c r="E1955" s="31" t="n">
        <v>79.3</v>
      </c>
      <c r="F1955" s="31" t="n">
        <v>17.1</v>
      </c>
      <c r="G1955" s="31" t="n">
        <v>56.1</v>
      </c>
      <c r="H1955" s="2" t="s">
        <v>668</v>
      </c>
    </row>
    <row r="1956" customFormat="false" ht="15" hidden="false" customHeight="false" outlineLevel="0" collapsed="false">
      <c r="A1956" s="2" t="s">
        <v>771</v>
      </c>
      <c r="B1956" s="2" t="s">
        <v>4104</v>
      </c>
      <c r="C1956" s="2" t="s">
        <v>4086</v>
      </c>
      <c r="D1956" s="2"/>
      <c r="E1956" s="31" t="n">
        <v>72.2</v>
      </c>
      <c r="F1956" s="31" t="n">
        <v>54.5</v>
      </c>
      <c r="G1956" s="31" t="n">
        <v>51.5</v>
      </c>
      <c r="H1956" s="2" t="s">
        <v>668</v>
      </c>
    </row>
    <row r="1957" customFormat="false" ht="15" hidden="false" customHeight="false" outlineLevel="0" collapsed="false">
      <c r="A1957" s="2" t="s">
        <v>771</v>
      </c>
      <c r="B1957" s="2" t="s">
        <v>4104</v>
      </c>
      <c r="C1957" s="2" t="s">
        <v>4087</v>
      </c>
      <c r="D1957" s="2"/>
      <c r="E1957" s="31" t="n">
        <v>68.7</v>
      </c>
      <c r="F1957" s="31" t="n">
        <v>58.4</v>
      </c>
      <c r="G1957" s="31" t="n">
        <v>55.6</v>
      </c>
      <c r="H1957" s="2" t="s">
        <v>668</v>
      </c>
    </row>
    <row r="1958" customFormat="false" ht="15" hidden="false" customHeight="false" outlineLevel="0" collapsed="false">
      <c r="A1958" s="2" t="s">
        <v>771</v>
      </c>
      <c r="B1958" s="2" t="s">
        <v>45</v>
      </c>
      <c r="C1958" s="2" t="s">
        <v>4085</v>
      </c>
      <c r="D1958" s="11" t="n">
        <v>137250</v>
      </c>
      <c r="E1958" s="31" t="n">
        <v>79.3</v>
      </c>
      <c r="F1958" s="31" t="n">
        <v>17.1</v>
      </c>
      <c r="G1958" s="31" t="n">
        <v>56.1</v>
      </c>
      <c r="H1958" s="2" t="s">
        <v>671</v>
      </c>
    </row>
    <row r="1959" customFormat="false" ht="15" hidden="false" customHeight="false" outlineLevel="0" collapsed="false">
      <c r="A1959" s="2" t="s">
        <v>771</v>
      </c>
      <c r="B1959" s="2" t="s">
        <v>45</v>
      </c>
      <c r="C1959" s="2" t="s">
        <v>4086</v>
      </c>
      <c r="D1959" s="11" t="n">
        <v>136460</v>
      </c>
      <c r="E1959" s="31" t="n">
        <v>94</v>
      </c>
      <c r="F1959" s="31" t="n">
        <v>17.1</v>
      </c>
      <c r="G1959" s="31" t="n">
        <v>41.5</v>
      </c>
      <c r="H1959" s="2" t="s">
        <v>671</v>
      </c>
    </row>
    <row r="1960" customFormat="false" ht="15" hidden="false" customHeight="false" outlineLevel="0" collapsed="false">
      <c r="A1960" s="2" t="s">
        <v>771</v>
      </c>
      <c r="B1960" s="2" t="s">
        <v>45</v>
      </c>
      <c r="C1960" s="2" t="s">
        <v>4087</v>
      </c>
      <c r="D1960" s="11" t="n">
        <v>137240</v>
      </c>
      <c r="E1960" s="31" t="n">
        <v>87</v>
      </c>
      <c r="F1960" s="31" t="n">
        <v>20.3</v>
      </c>
      <c r="G1960" s="31" t="n">
        <v>68.2</v>
      </c>
      <c r="H1960" s="2" t="s">
        <v>671</v>
      </c>
    </row>
    <row r="1961" customFormat="false" ht="15" hidden="false" customHeight="false" outlineLevel="0" collapsed="false">
      <c r="A1961" s="2" t="s">
        <v>771</v>
      </c>
      <c r="B1961" s="2" t="s">
        <v>46</v>
      </c>
      <c r="C1961" s="2" t="s">
        <v>4085</v>
      </c>
      <c r="D1961" s="2"/>
      <c r="E1961" s="2"/>
      <c r="F1961" s="2"/>
      <c r="G1961" s="2"/>
      <c r="H1961" s="2" t="s">
        <v>668</v>
      </c>
    </row>
    <row r="1962" customFormat="false" ht="15" hidden="false" customHeight="false" outlineLevel="0" collapsed="false">
      <c r="A1962" s="2" t="s">
        <v>771</v>
      </c>
      <c r="B1962" s="2" t="s">
        <v>46</v>
      </c>
      <c r="C1962" s="2" t="s">
        <v>4086</v>
      </c>
      <c r="D1962" s="11" t="n">
        <v>3560</v>
      </c>
      <c r="E1962" s="31" t="n">
        <v>95.7</v>
      </c>
      <c r="F1962" s="2"/>
      <c r="G1962" s="31" t="n">
        <v>52.5</v>
      </c>
      <c r="H1962" s="2" t="s">
        <v>668</v>
      </c>
    </row>
    <row r="1963" customFormat="false" ht="15" hidden="false" customHeight="false" outlineLevel="0" collapsed="false">
      <c r="A1963" s="2" t="s">
        <v>771</v>
      </c>
      <c r="B1963" s="2" t="s">
        <v>46</v>
      </c>
      <c r="C1963" s="2" t="s">
        <v>4087</v>
      </c>
      <c r="D1963" s="11" t="n">
        <v>3620</v>
      </c>
      <c r="E1963" s="31" t="n">
        <v>92.4</v>
      </c>
      <c r="F1963" s="2"/>
      <c r="G1963" s="31" t="n">
        <v>24.4</v>
      </c>
      <c r="H1963" s="2" t="s">
        <v>668</v>
      </c>
    </row>
    <row r="1964" customFormat="false" ht="15" hidden="false" customHeight="false" outlineLevel="0" collapsed="false">
      <c r="A1964" s="2" t="s">
        <v>771</v>
      </c>
      <c r="B1964" s="2" t="s">
        <v>47</v>
      </c>
      <c r="C1964" s="2" t="s">
        <v>4085</v>
      </c>
      <c r="D1964" s="2"/>
      <c r="E1964" s="2"/>
      <c r="F1964" s="2"/>
      <c r="G1964" s="2"/>
      <c r="H1964" s="2" t="s">
        <v>668</v>
      </c>
    </row>
    <row r="1965" customFormat="false" ht="15" hidden="false" customHeight="false" outlineLevel="0" collapsed="false">
      <c r="A1965" s="2" t="s">
        <v>771</v>
      </c>
      <c r="B1965" s="2" t="s">
        <v>47</v>
      </c>
      <c r="C1965" s="2" t="s">
        <v>4086</v>
      </c>
      <c r="D1965" s="11" t="n">
        <v>891990</v>
      </c>
      <c r="E1965" s="31" t="n">
        <v>26.8</v>
      </c>
      <c r="F1965" s="31" t="n">
        <v>91.9</v>
      </c>
      <c r="G1965" s="31" t="n">
        <v>60.4</v>
      </c>
      <c r="H1965" s="2" t="s">
        <v>671</v>
      </c>
    </row>
    <row r="1966" customFormat="false" ht="15" hidden="false" customHeight="false" outlineLevel="0" collapsed="false">
      <c r="A1966" s="2" t="s">
        <v>771</v>
      </c>
      <c r="B1966" s="2" t="s">
        <v>47</v>
      </c>
      <c r="C1966" s="2" t="s">
        <v>4087</v>
      </c>
      <c r="D1966" s="11" t="n">
        <v>916040</v>
      </c>
      <c r="E1966" s="31" t="n">
        <v>26.8</v>
      </c>
      <c r="F1966" s="31" t="n">
        <v>96.4</v>
      </c>
      <c r="G1966" s="31" t="n">
        <v>74.3</v>
      </c>
      <c r="H1966" s="2" t="s">
        <v>671</v>
      </c>
    </row>
    <row r="1967" customFormat="false" ht="15" hidden="false" customHeight="false" outlineLevel="0" collapsed="false">
      <c r="A1967" s="2" t="s">
        <v>741</v>
      </c>
      <c r="B1967" s="2" t="s">
        <v>4104</v>
      </c>
      <c r="C1967" s="2" t="s">
        <v>4085</v>
      </c>
      <c r="D1967" s="2"/>
      <c r="E1967" s="31" t="n">
        <v>66</v>
      </c>
      <c r="F1967" s="31" t="n">
        <v>53.7</v>
      </c>
      <c r="G1967" s="31" t="n">
        <v>63.4</v>
      </c>
      <c r="H1967" s="2" t="s">
        <v>671</v>
      </c>
    </row>
    <row r="1968" customFormat="false" ht="15" hidden="false" customHeight="false" outlineLevel="0" collapsed="false">
      <c r="A1968" s="2" t="s">
        <v>741</v>
      </c>
      <c r="B1968" s="2" t="s">
        <v>4104</v>
      </c>
      <c r="C1968" s="2" t="s">
        <v>4086</v>
      </c>
      <c r="D1968" s="2"/>
      <c r="E1968" s="31" t="n">
        <v>68.1</v>
      </c>
      <c r="F1968" s="31" t="n">
        <v>71.5</v>
      </c>
      <c r="G1968" s="31" t="n">
        <v>69.6</v>
      </c>
      <c r="H1968" s="2" t="s">
        <v>668</v>
      </c>
    </row>
    <row r="1969" customFormat="false" ht="15" hidden="false" customHeight="false" outlineLevel="0" collapsed="false">
      <c r="A1969" s="2" t="s">
        <v>741</v>
      </c>
      <c r="B1969" s="2" t="s">
        <v>4104</v>
      </c>
      <c r="C1969" s="2" t="s">
        <v>4087</v>
      </c>
      <c r="D1969" s="2"/>
      <c r="E1969" s="31" t="n">
        <v>95.1</v>
      </c>
      <c r="F1969" s="31" t="n">
        <v>65.8</v>
      </c>
      <c r="G1969" s="31" t="n">
        <v>35.4</v>
      </c>
      <c r="H1969" s="2" t="s">
        <v>668</v>
      </c>
    </row>
    <row r="1970" customFormat="false" ht="15" hidden="false" customHeight="false" outlineLevel="0" collapsed="false">
      <c r="A1970" s="2" t="s">
        <v>741</v>
      </c>
      <c r="B1970" s="2" t="s">
        <v>45</v>
      </c>
      <c r="C1970" s="2" t="s">
        <v>4085</v>
      </c>
      <c r="D1970" s="11" t="n">
        <v>17657</v>
      </c>
      <c r="E1970" s="31" t="n">
        <v>99.6</v>
      </c>
      <c r="F1970" s="31" t="n">
        <v>90.5</v>
      </c>
      <c r="G1970" s="31" t="n">
        <v>64.9</v>
      </c>
      <c r="H1970" s="2" t="s">
        <v>671</v>
      </c>
    </row>
    <row r="1971" customFormat="false" ht="15" hidden="false" customHeight="false" outlineLevel="0" collapsed="false">
      <c r="A1971" s="2" t="s">
        <v>741</v>
      </c>
      <c r="B1971" s="2" t="s">
        <v>45</v>
      </c>
      <c r="C1971" s="2" t="s">
        <v>4086</v>
      </c>
      <c r="D1971" s="11" t="n">
        <v>18270</v>
      </c>
      <c r="E1971" s="31" t="n">
        <v>96</v>
      </c>
      <c r="F1971" s="31" t="n">
        <v>91.4</v>
      </c>
      <c r="G1971" s="31" t="n">
        <v>57.6</v>
      </c>
      <c r="H1971" s="2" t="s">
        <v>671</v>
      </c>
    </row>
    <row r="1972" customFormat="false" ht="15" hidden="false" customHeight="false" outlineLevel="0" collapsed="false">
      <c r="A1972" s="2" t="s">
        <v>741</v>
      </c>
      <c r="B1972" s="2" t="s">
        <v>45</v>
      </c>
      <c r="C1972" s="2" t="s">
        <v>4087</v>
      </c>
      <c r="D1972" s="11" t="n">
        <v>19790</v>
      </c>
      <c r="E1972" s="31" t="n">
        <v>90.6</v>
      </c>
      <c r="F1972" s="31" t="n">
        <v>95.2</v>
      </c>
      <c r="G1972" s="31" t="n">
        <v>51.4</v>
      </c>
      <c r="H1972" s="2" t="s">
        <v>671</v>
      </c>
    </row>
    <row r="1973" customFormat="false" ht="15" hidden="false" customHeight="false" outlineLevel="0" collapsed="false">
      <c r="A1973" s="2" t="s">
        <v>741</v>
      </c>
      <c r="B1973" s="2" t="s">
        <v>46</v>
      </c>
      <c r="C1973" s="2" t="s">
        <v>4085</v>
      </c>
      <c r="D1973" s="11" t="n">
        <v>35805</v>
      </c>
      <c r="E1973" s="31" t="n">
        <v>94.1</v>
      </c>
      <c r="F1973" s="31" t="n">
        <v>20.6</v>
      </c>
      <c r="G1973" s="31" t="n">
        <v>53.7</v>
      </c>
      <c r="H1973" s="2" t="s">
        <v>671</v>
      </c>
    </row>
    <row r="1974" customFormat="false" ht="15" hidden="false" customHeight="false" outlineLevel="0" collapsed="false">
      <c r="A1974" s="2" t="s">
        <v>741</v>
      </c>
      <c r="B1974" s="2" t="s">
        <v>46</v>
      </c>
      <c r="C1974" s="2" t="s">
        <v>4086</v>
      </c>
      <c r="D1974" s="11" t="n">
        <v>37019</v>
      </c>
      <c r="E1974" s="31" t="n">
        <v>99.4</v>
      </c>
      <c r="F1974" s="31" t="n">
        <v>51.6</v>
      </c>
      <c r="G1974" s="31" t="n">
        <v>65.3</v>
      </c>
      <c r="H1974" s="2" t="s">
        <v>671</v>
      </c>
    </row>
    <row r="1975" customFormat="false" ht="15" hidden="false" customHeight="false" outlineLevel="0" collapsed="false">
      <c r="A1975" s="2" t="s">
        <v>741</v>
      </c>
      <c r="B1975" s="2" t="s">
        <v>46</v>
      </c>
      <c r="C1975" s="2" t="s">
        <v>4087</v>
      </c>
      <c r="D1975" s="11" t="n">
        <v>36740</v>
      </c>
      <c r="E1975" s="31" t="n">
        <v>99.6</v>
      </c>
      <c r="F1975" s="31" t="n">
        <v>36.5</v>
      </c>
      <c r="G1975" s="31" t="n">
        <v>19.4</v>
      </c>
      <c r="H1975" s="2" t="s">
        <v>671</v>
      </c>
    </row>
    <row r="1976" customFormat="false" ht="15" hidden="false" customHeight="false" outlineLevel="0" collapsed="false">
      <c r="A1976" s="2" t="s">
        <v>741</v>
      </c>
      <c r="B1976" s="2" t="s">
        <v>47</v>
      </c>
      <c r="C1976" s="2" t="s">
        <v>4085</v>
      </c>
      <c r="D1976" s="11" t="n">
        <v>515305</v>
      </c>
      <c r="E1976" s="31" t="n">
        <v>4.3</v>
      </c>
      <c r="F1976" s="31" t="n">
        <v>50</v>
      </c>
      <c r="G1976" s="31" t="n">
        <v>71.6</v>
      </c>
      <c r="H1976" s="2" t="s">
        <v>671</v>
      </c>
    </row>
    <row r="1977" customFormat="false" ht="15" hidden="false" customHeight="false" outlineLevel="0" collapsed="false">
      <c r="A1977" s="2" t="s">
        <v>741</v>
      </c>
      <c r="B1977" s="2" t="s">
        <v>47</v>
      </c>
      <c r="C1977" s="2" t="s">
        <v>4086</v>
      </c>
      <c r="D1977" s="11" t="n">
        <v>533067</v>
      </c>
      <c r="E1977" s="31" t="n">
        <v>8.8</v>
      </c>
      <c r="F1977" s="2"/>
      <c r="G1977" s="31" t="n">
        <v>86</v>
      </c>
      <c r="H1977" s="2" t="s">
        <v>668</v>
      </c>
    </row>
    <row r="1978" customFormat="false" ht="15" hidden="false" customHeight="false" outlineLevel="0" collapsed="false">
      <c r="A1978" s="2" t="s">
        <v>741</v>
      </c>
      <c r="B1978" s="2" t="s">
        <v>47</v>
      </c>
      <c r="C1978" s="2" t="s">
        <v>4087</v>
      </c>
      <c r="D1978" s="2"/>
      <c r="E1978" s="2"/>
      <c r="F1978" s="2"/>
      <c r="G1978" s="2"/>
      <c r="H1978" s="2" t="s">
        <v>668</v>
      </c>
    </row>
    <row r="1979" customFormat="false" ht="15" hidden="false" customHeight="false" outlineLevel="0" collapsed="false">
      <c r="A1979" s="2" t="s">
        <v>1173</v>
      </c>
      <c r="B1979" s="2" t="s">
        <v>4104</v>
      </c>
      <c r="C1979" s="2" t="s">
        <v>4085</v>
      </c>
      <c r="D1979" s="2"/>
      <c r="E1979" s="31" t="n">
        <v>26</v>
      </c>
      <c r="F1979" s="31" t="n">
        <v>45.9</v>
      </c>
      <c r="G1979" s="31" t="n">
        <v>10.1</v>
      </c>
      <c r="H1979" s="2" t="s">
        <v>668</v>
      </c>
    </row>
    <row r="1980" customFormat="false" ht="15" hidden="false" customHeight="false" outlineLevel="0" collapsed="false">
      <c r="A1980" s="2" t="s">
        <v>1173</v>
      </c>
      <c r="B1980" s="2" t="s">
        <v>4104</v>
      </c>
      <c r="C1980" s="2" t="s">
        <v>4086</v>
      </c>
      <c r="D1980" s="2"/>
      <c r="E1980" s="2"/>
      <c r="F1980" s="2"/>
      <c r="G1980" s="31" t="n">
        <v>0.9</v>
      </c>
      <c r="H1980" s="2" t="s">
        <v>668</v>
      </c>
    </row>
    <row r="1981" customFormat="false" ht="15" hidden="false" customHeight="false" outlineLevel="0" collapsed="false">
      <c r="A1981" s="2" t="s">
        <v>1173</v>
      </c>
      <c r="B1981" s="2" t="s">
        <v>4104</v>
      </c>
      <c r="C1981" s="2" t="s">
        <v>4087</v>
      </c>
      <c r="D1981" s="2"/>
      <c r="E1981" s="31" t="n">
        <v>28.2</v>
      </c>
      <c r="F1981" s="31" t="n">
        <v>26.8</v>
      </c>
      <c r="G1981" s="31" t="n">
        <v>3.4</v>
      </c>
      <c r="H1981" s="2" t="s">
        <v>668</v>
      </c>
    </row>
    <row r="1982" customFormat="false" ht="15" hidden="false" customHeight="false" outlineLevel="0" collapsed="false">
      <c r="A1982" s="2" t="s">
        <v>1173</v>
      </c>
      <c r="B1982" s="2" t="s">
        <v>45</v>
      </c>
      <c r="C1982" s="2" t="s">
        <v>4085</v>
      </c>
      <c r="D1982" s="11" t="n">
        <v>289240</v>
      </c>
      <c r="E1982" s="31" t="n">
        <v>6.1</v>
      </c>
      <c r="F1982" s="31" t="n">
        <v>6.8</v>
      </c>
      <c r="G1982" s="31" t="n">
        <v>6.6</v>
      </c>
      <c r="H1982" s="2" t="s">
        <v>671</v>
      </c>
    </row>
    <row r="1983" customFormat="false" ht="15" hidden="false" customHeight="false" outlineLevel="0" collapsed="false">
      <c r="A1983" s="2" t="s">
        <v>1173</v>
      </c>
      <c r="B1983" s="2" t="s">
        <v>45</v>
      </c>
      <c r="C1983" s="2" t="s">
        <v>4086</v>
      </c>
      <c r="D1983" s="2"/>
      <c r="E1983" s="2"/>
      <c r="F1983" s="2"/>
      <c r="G1983" s="2"/>
      <c r="H1983" s="2" t="s">
        <v>668</v>
      </c>
    </row>
    <row r="1984" customFormat="false" ht="15" hidden="false" customHeight="false" outlineLevel="0" collapsed="false">
      <c r="A1984" s="2" t="s">
        <v>1173</v>
      </c>
      <c r="B1984" s="2" t="s">
        <v>45</v>
      </c>
      <c r="C1984" s="2" t="s">
        <v>4087</v>
      </c>
      <c r="D1984" s="11" t="n">
        <v>283497</v>
      </c>
      <c r="E1984" s="31" t="n">
        <v>32.1</v>
      </c>
      <c r="F1984" s="31" t="n">
        <v>18.1</v>
      </c>
      <c r="G1984" s="31" t="n">
        <v>5</v>
      </c>
      <c r="H1984" s="2" t="s">
        <v>671</v>
      </c>
    </row>
    <row r="1985" customFormat="false" ht="15" hidden="false" customHeight="false" outlineLevel="0" collapsed="false">
      <c r="A1985" s="2" t="s">
        <v>1173</v>
      </c>
      <c r="B1985" s="2" t="s">
        <v>46</v>
      </c>
      <c r="C1985" s="2" t="s">
        <v>4085</v>
      </c>
      <c r="D1985" s="2"/>
      <c r="E1985" s="2"/>
      <c r="F1985" s="2"/>
      <c r="G1985" s="2"/>
      <c r="H1985" s="2" t="s">
        <v>668</v>
      </c>
    </row>
    <row r="1986" customFormat="false" ht="15" hidden="false" customHeight="false" outlineLevel="0" collapsed="false">
      <c r="A1986" s="2" t="s">
        <v>1173</v>
      </c>
      <c r="B1986" s="2" t="s">
        <v>46</v>
      </c>
      <c r="C1986" s="2" t="s">
        <v>4086</v>
      </c>
      <c r="D1986" s="2"/>
      <c r="E1986" s="2"/>
      <c r="F1986" s="2"/>
      <c r="G1986" s="2"/>
      <c r="H1986" s="2" t="s">
        <v>668</v>
      </c>
    </row>
    <row r="1987" customFormat="false" ht="15" hidden="false" customHeight="false" outlineLevel="0" collapsed="false">
      <c r="A1987" s="2" t="s">
        <v>1173</v>
      </c>
      <c r="B1987" s="2" t="s">
        <v>46</v>
      </c>
      <c r="C1987" s="2" t="s">
        <v>4087</v>
      </c>
      <c r="D1987" s="11" t="n">
        <v>7430</v>
      </c>
      <c r="E1987" s="31" t="n">
        <v>24.3</v>
      </c>
      <c r="F1987" s="31" t="n">
        <v>35.4</v>
      </c>
      <c r="G1987" s="31" t="n">
        <v>1.8</v>
      </c>
      <c r="H1987" s="2" t="s">
        <v>671</v>
      </c>
    </row>
    <row r="1988" customFormat="false" ht="15" hidden="false" customHeight="false" outlineLevel="0" collapsed="false">
      <c r="A1988" s="2" t="s">
        <v>1173</v>
      </c>
      <c r="B1988" s="2" t="s">
        <v>47</v>
      </c>
      <c r="C1988" s="2" t="s">
        <v>4085</v>
      </c>
      <c r="D1988" s="11" t="n">
        <v>75558</v>
      </c>
      <c r="E1988" s="31" t="n">
        <v>46</v>
      </c>
      <c r="F1988" s="31" t="n">
        <v>85</v>
      </c>
      <c r="G1988" s="31" t="n">
        <v>13.6</v>
      </c>
      <c r="H1988" s="2" t="s">
        <v>671</v>
      </c>
    </row>
    <row r="1989" customFormat="false" ht="15" hidden="false" customHeight="false" outlineLevel="0" collapsed="false">
      <c r="A1989" s="2" t="s">
        <v>1173</v>
      </c>
      <c r="B1989" s="2" t="s">
        <v>47</v>
      </c>
      <c r="C1989" s="2" t="s">
        <v>4086</v>
      </c>
      <c r="D1989" s="2"/>
      <c r="E1989" s="2"/>
      <c r="F1989" s="2"/>
      <c r="G1989" s="31" t="n">
        <v>0.9</v>
      </c>
      <c r="H1989" s="2" t="s">
        <v>668</v>
      </c>
    </row>
    <row r="1990" customFormat="false" ht="15" hidden="false" customHeight="false" outlineLevel="0" collapsed="false">
      <c r="A1990" s="2" t="s">
        <v>1173</v>
      </c>
      <c r="B1990" s="2" t="s">
        <v>47</v>
      </c>
      <c r="C1990" s="2" t="s">
        <v>4087</v>
      </c>
      <c r="D1990" s="2"/>
      <c r="E1990" s="2"/>
      <c r="F1990" s="2"/>
      <c r="G1990" s="2"/>
      <c r="H1990" s="2" t="s">
        <v>668</v>
      </c>
    </row>
    <row r="1991" customFormat="false" ht="15" hidden="false" customHeight="false" outlineLevel="0" collapsed="false">
      <c r="A1991" s="2" t="s">
        <v>230</v>
      </c>
      <c r="B1991" s="2" t="s">
        <v>4104</v>
      </c>
      <c r="C1991" s="2" t="s">
        <v>4085</v>
      </c>
      <c r="D1991" s="2"/>
      <c r="E1991" s="31" t="n">
        <v>61.5</v>
      </c>
      <c r="F1991" s="31" t="n">
        <v>74</v>
      </c>
      <c r="G1991" s="31" t="n">
        <v>71.7</v>
      </c>
      <c r="H1991" s="2" t="s">
        <v>671</v>
      </c>
    </row>
    <row r="1992" customFormat="false" ht="15" hidden="false" customHeight="false" outlineLevel="0" collapsed="false">
      <c r="A1992" s="2" t="s">
        <v>230</v>
      </c>
      <c r="B1992" s="2" t="s">
        <v>4104</v>
      </c>
      <c r="C1992" s="2" t="s">
        <v>4086</v>
      </c>
      <c r="D1992" s="2"/>
      <c r="E1992" s="31" t="n">
        <v>22.5</v>
      </c>
      <c r="F1992" s="31" t="n">
        <v>82.1</v>
      </c>
      <c r="G1992" s="31" t="n">
        <v>34.3</v>
      </c>
      <c r="H1992" s="2" t="s">
        <v>671</v>
      </c>
    </row>
    <row r="1993" customFormat="false" ht="15" hidden="false" customHeight="false" outlineLevel="0" collapsed="false">
      <c r="A1993" s="2" t="s">
        <v>230</v>
      </c>
      <c r="B1993" s="2" t="s">
        <v>4104</v>
      </c>
      <c r="C1993" s="2" t="s">
        <v>4087</v>
      </c>
      <c r="D1993" s="2"/>
      <c r="E1993" s="31" t="n">
        <v>66.7</v>
      </c>
      <c r="F1993" s="31" t="n">
        <v>87.5</v>
      </c>
      <c r="G1993" s="31" t="n">
        <v>85.6</v>
      </c>
      <c r="H1993" s="2" t="s">
        <v>671</v>
      </c>
    </row>
    <row r="1994" customFormat="false" ht="15" hidden="false" customHeight="false" outlineLevel="0" collapsed="false">
      <c r="A1994" s="2" t="s">
        <v>230</v>
      </c>
      <c r="B1994" s="2" t="s">
        <v>45</v>
      </c>
      <c r="C1994" s="2" t="s">
        <v>4085</v>
      </c>
      <c r="D1994" s="11" t="n">
        <v>937397</v>
      </c>
      <c r="E1994" s="31" t="n">
        <v>61.5</v>
      </c>
      <c r="F1994" s="31" t="n">
        <v>74</v>
      </c>
      <c r="G1994" s="31" t="n">
        <v>71.7</v>
      </c>
      <c r="H1994" s="2" t="s">
        <v>671</v>
      </c>
    </row>
    <row r="1995" customFormat="false" ht="15" hidden="false" customHeight="false" outlineLevel="0" collapsed="false">
      <c r="A1995" s="2" t="s">
        <v>230</v>
      </c>
      <c r="B1995" s="2" t="s">
        <v>45</v>
      </c>
      <c r="C1995" s="2" t="s">
        <v>4086</v>
      </c>
      <c r="D1995" s="11" t="n">
        <v>996530</v>
      </c>
      <c r="E1995" s="31" t="n">
        <v>22.5</v>
      </c>
      <c r="F1995" s="31" t="n">
        <v>82.1</v>
      </c>
      <c r="G1995" s="31" t="n">
        <v>34.3</v>
      </c>
      <c r="H1995" s="2" t="s">
        <v>671</v>
      </c>
    </row>
    <row r="1996" customFormat="false" ht="15" hidden="false" customHeight="false" outlineLevel="0" collapsed="false">
      <c r="A1996" s="2" t="s">
        <v>230</v>
      </c>
      <c r="B1996" s="2" t="s">
        <v>45</v>
      </c>
      <c r="C1996" s="2" t="s">
        <v>4087</v>
      </c>
      <c r="D1996" s="11" t="n">
        <v>1019970</v>
      </c>
      <c r="E1996" s="31" t="n">
        <v>66.7</v>
      </c>
      <c r="F1996" s="31" t="n">
        <v>87.5</v>
      </c>
      <c r="G1996" s="31" t="n">
        <v>85.6</v>
      </c>
      <c r="H1996" s="2" t="s">
        <v>671</v>
      </c>
    </row>
    <row r="1997" customFormat="false" ht="15" hidden="false" customHeight="false" outlineLevel="0" collapsed="false">
      <c r="A1997" s="2" t="s">
        <v>208</v>
      </c>
      <c r="B1997" s="2" t="s">
        <v>4104</v>
      </c>
      <c r="C1997" s="2" t="s">
        <v>4085</v>
      </c>
      <c r="D1997" s="2"/>
      <c r="E1997" s="31" t="n">
        <v>98.5</v>
      </c>
      <c r="F1997" s="31" t="n">
        <v>45.6</v>
      </c>
      <c r="G1997" s="31" t="n">
        <v>66.4</v>
      </c>
      <c r="H1997" s="2" t="s">
        <v>668</v>
      </c>
    </row>
    <row r="1998" customFormat="false" ht="15" hidden="false" customHeight="false" outlineLevel="0" collapsed="false">
      <c r="A1998" s="2" t="s">
        <v>208</v>
      </c>
      <c r="B1998" s="2" t="s">
        <v>4104</v>
      </c>
      <c r="C1998" s="2" t="s">
        <v>4086</v>
      </c>
      <c r="D1998" s="2"/>
      <c r="E1998" s="31" t="n">
        <v>97.1</v>
      </c>
      <c r="F1998" s="31" t="n">
        <v>77.3</v>
      </c>
      <c r="G1998" s="31" t="n">
        <v>81.8</v>
      </c>
      <c r="H1998" s="2" t="s">
        <v>668</v>
      </c>
    </row>
    <row r="1999" customFormat="false" ht="15" hidden="false" customHeight="false" outlineLevel="0" collapsed="false">
      <c r="A1999" s="2" t="s">
        <v>208</v>
      </c>
      <c r="B1999" s="2" t="s">
        <v>4104</v>
      </c>
      <c r="C1999" s="2" t="s">
        <v>4087</v>
      </c>
      <c r="D1999" s="2"/>
      <c r="E1999" s="31" t="n">
        <v>70.4</v>
      </c>
      <c r="F1999" s="31" t="n">
        <v>44.2</v>
      </c>
      <c r="G1999" s="31" t="n">
        <v>62.7</v>
      </c>
      <c r="H1999" s="2" t="s">
        <v>671</v>
      </c>
    </row>
    <row r="2000" customFormat="false" ht="15" hidden="false" customHeight="false" outlineLevel="0" collapsed="false">
      <c r="A2000" s="2" t="s">
        <v>208</v>
      </c>
      <c r="B2000" s="2" t="s">
        <v>45</v>
      </c>
      <c r="C2000" s="2" t="s">
        <v>4085</v>
      </c>
      <c r="D2000" s="11" t="n">
        <v>18827</v>
      </c>
      <c r="E2000" s="31" t="n">
        <v>98.5</v>
      </c>
      <c r="F2000" s="31" t="n">
        <v>45.6</v>
      </c>
      <c r="G2000" s="31" t="n">
        <v>40.7</v>
      </c>
      <c r="H2000" s="2" t="s">
        <v>671</v>
      </c>
    </row>
    <row r="2001" customFormat="false" ht="15" hidden="false" customHeight="false" outlineLevel="0" collapsed="false">
      <c r="A2001" s="2" t="s">
        <v>208</v>
      </c>
      <c r="B2001" s="2" t="s">
        <v>45</v>
      </c>
      <c r="C2001" s="2" t="s">
        <v>4086</v>
      </c>
      <c r="D2001" s="11" t="n">
        <v>20020</v>
      </c>
      <c r="E2001" s="31" t="n">
        <v>98.7</v>
      </c>
      <c r="F2001" s="31" t="n">
        <v>64.6</v>
      </c>
      <c r="G2001" s="31" t="n">
        <v>65.7</v>
      </c>
      <c r="H2001" s="2" t="s">
        <v>671</v>
      </c>
    </row>
    <row r="2002" customFormat="false" ht="15" hidden="false" customHeight="false" outlineLevel="0" collapsed="false">
      <c r="A2002" s="2" t="s">
        <v>208</v>
      </c>
      <c r="B2002" s="2" t="s">
        <v>45</v>
      </c>
      <c r="C2002" s="2" t="s">
        <v>4087</v>
      </c>
      <c r="D2002" s="11" t="n">
        <v>20500</v>
      </c>
      <c r="E2002" s="31" t="n">
        <v>91.2</v>
      </c>
      <c r="F2002" s="31" t="n">
        <v>56.3</v>
      </c>
      <c r="G2002" s="31" t="n">
        <v>59.1</v>
      </c>
      <c r="H2002" s="2" t="s">
        <v>671</v>
      </c>
    </row>
    <row r="2003" customFormat="false" ht="15" hidden="false" customHeight="false" outlineLevel="0" collapsed="false">
      <c r="A2003" s="2" t="s">
        <v>208</v>
      </c>
      <c r="B2003" s="2" t="s">
        <v>46</v>
      </c>
      <c r="C2003" s="2" t="s">
        <v>4085</v>
      </c>
      <c r="D2003" s="2"/>
      <c r="E2003" s="2"/>
      <c r="F2003" s="2"/>
      <c r="G2003" s="2"/>
      <c r="H2003" s="2" t="s">
        <v>668</v>
      </c>
    </row>
    <row r="2004" customFormat="false" ht="15" hidden="false" customHeight="false" outlineLevel="0" collapsed="false">
      <c r="A2004" s="2" t="s">
        <v>208</v>
      </c>
      <c r="B2004" s="2" t="s">
        <v>46</v>
      </c>
      <c r="C2004" s="2" t="s">
        <v>4086</v>
      </c>
      <c r="D2004" s="2"/>
      <c r="E2004" s="2"/>
      <c r="F2004" s="2"/>
      <c r="G2004" s="2"/>
      <c r="H2004" s="2" t="s">
        <v>668</v>
      </c>
    </row>
    <row r="2005" customFormat="false" ht="15" hidden="false" customHeight="false" outlineLevel="0" collapsed="false">
      <c r="A2005" s="2" t="s">
        <v>208</v>
      </c>
      <c r="B2005" s="2" t="s">
        <v>46</v>
      </c>
      <c r="C2005" s="2" t="s">
        <v>4087</v>
      </c>
      <c r="D2005" s="11" t="n">
        <v>141825</v>
      </c>
      <c r="E2005" s="31" t="n">
        <v>25.2</v>
      </c>
      <c r="F2005" s="31" t="n">
        <v>10.6</v>
      </c>
      <c r="G2005" s="31" t="n">
        <v>30.6</v>
      </c>
      <c r="H2005" s="2" t="s">
        <v>671</v>
      </c>
    </row>
    <row r="2006" customFormat="false" ht="15" hidden="false" customHeight="false" outlineLevel="0" collapsed="false">
      <c r="A2006" s="2" t="s">
        <v>208</v>
      </c>
      <c r="B2006" s="2" t="s">
        <v>47</v>
      </c>
      <c r="C2006" s="2" t="s">
        <v>4085</v>
      </c>
      <c r="D2006" s="11" t="n">
        <v>9229</v>
      </c>
      <c r="E2006" s="2"/>
      <c r="F2006" s="2"/>
      <c r="G2006" s="31" t="n">
        <v>92.2</v>
      </c>
      <c r="H2006" s="2" t="s">
        <v>668</v>
      </c>
    </row>
    <row r="2007" customFormat="false" ht="15" hidden="false" customHeight="false" outlineLevel="0" collapsed="false">
      <c r="A2007" s="2" t="s">
        <v>208</v>
      </c>
      <c r="B2007" s="2" t="s">
        <v>47</v>
      </c>
      <c r="C2007" s="2" t="s">
        <v>4086</v>
      </c>
      <c r="D2007" s="11" t="n">
        <v>9623</v>
      </c>
      <c r="E2007" s="31" t="n">
        <v>95.4</v>
      </c>
      <c r="F2007" s="31" t="n">
        <v>90</v>
      </c>
      <c r="G2007" s="31" t="n">
        <v>97.8</v>
      </c>
      <c r="H2007" s="2" t="s">
        <v>671</v>
      </c>
    </row>
    <row r="2008" customFormat="false" ht="15" hidden="false" customHeight="false" outlineLevel="0" collapsed="false">
      <c r="A2008" s="2" t="s">
        <v>208</v>
      </c>
      <c r="B2008" s="2" t="s">
        <v>47</v>
      </c>
      <c r="C2008" s="2" t="s">
        <v>4087</v>
      </c>
      <c r="D2008" s="11" t="n">
        <v>10428</v>
      </c>
      <c r="E2008" s="31" t="n">
        <v>94.7</v>
      </c>
      <c r="F2008" s="31" t="n">
        <v>65.6</v>
      </c>
      <c r="G2008" s="31" t="n">
        <v>98.5</v>
      </c>
      <c r="H2008" s="2" t="s">
        <v>671</v>
      </c>
    </row>
    <row r="2009" customFormat="false" ht="15" hidden="false" customHeight="false" outlineLevel="0" collapsed="false">
      <c r="A2009" s="2" t="s">
        <v>1660</v>
      </c>
      <c r="B2009" s="2" t="s">
        <v>4104</v>
      </c>
      <c r="C2009" s="2" t="s">
        <v>4085</v>
      </c>
      <c r="D2009" s="2"/>
      <c r="E2009" s="31" t="n">
        <v>81</v>
      </c>
      <c r="F2009" s="31" t="n">
        <v>47</v>
      </c>
      <c r="G2009" s="31" t="n">
        <v>41.5</v>
      </c>
      <c r="H2009" s="2" t="s">
        <v>668</v>
      </c>
    </row>
    <row r="2010" customFormat="false" ht="15" hidden="false" customHeight="false" outlineLevel="0" collapsed="false">
      <c r="A2010" s="2" t="s">
        <v>1660</v>
      </c>
      <c r="B2010" s="2" t="s">
        <v>4104</v>
      </c>
      <c r="C2010" s="2" t="s">
        <v>4086</v>
      </c>
      <c r="D2010" s="2"/>
      <c r="E2010" s="31" t="n">
        <v>75.3</v>
      </c>
      <c r="F2010" s="31" t="n">
        <v>47.9</v>
      </c>
      <c r="G2010" s="31" t="n">
        <v>49.2</v>
      </c>
      <c r="H2010" s="2" t="s">
        <v>668</v>
      </c>
    </row>
    <row r="2011" customFormat="false" ht="15" hidden="false" customHeight="false" outlineLevel="0" collapsed="false">
      <c r="A2011" s="2" t="s">
        <v>1660</v>
      </c>
      <c r="B2011" s="2" t="s">
        <v>4104</v>
      </c>
      <c r="C2011" s="2" t="s">
        <v>4087</v>
      </c>
      <c r="D2011" s="2"/>
      <c r="E2011" s="31" t="n">
        <v>73.6</v>
      </c>
      <c r="F2011" s="31" t="n">
        <v>45.6</v>
      </c>
      <c r="G2011" s="31" t="n">
        <v>76.9</v>
      </c>
      <c r="H2011" s="2" t="s">
        <v>668</v>
      </c>
    </row>
    <row r="2012" customFormat="false" ht="15" hidden="false" customHeight="false" outlineLevel="0" collapsed="false">
      <c r="A2012" s="2" t="s">
        <v>1660</v>
      </c>
      <c r="B2012" s="2" t="s">
        <v>45</v>
      </c>
      <c r="C2012" s="2" t="s">
        <v>4085</v>
      </c>
      <c r="D2012" s="11" t="n">
        <v>7525</v>
      </c>
      <c r="E2012" s="31" t="n">
        <v>85.3</v>
      </c>
      <c r="F2012" s="31" t="n">
        <v>19.4</v>
      </c>
      <c r="G2012" s="31" t="n">
        <v>24.4</v>
      </c>
      <c r="H2012" s="2" t="s">
        <v>671</v>
      </c>
    </row>
    <row r="2013" customFormat="false" ht="15" hidden="false" customHeight="false" outlineLevel="0" collapsed="false">
      <c r="A2013" s="2" t="s">
        <v>1660</v>
      </c>
      <c r="B2013" s="2" t="s">
        <v>45</v>
      </c>
      <c r="C2013" s="2" t="s">
        <v>4086</v>
      </c>
      <c r="D2013" s="11" t="n">
        <v>7461</v>
      </c>
      <c r="E2013" s="31" t="n">
        <v>94.7</v>
      </c>
      <c r="F2013" s="31" t="n">
        <v>21.1</v>
      </c>
      <c r="G2013" s="31" t="n">
        <v>49.2</v>
      </c>
      <c r="H2013" s="2" t="s">
        <v>671</v>
      </c>
    </row>
    <row r="2014" customFormat="false" ht="15" hidden="false" customHeight="false" outlineLevel="0" collapsed="false">
      <c r="A2014" s="2" t="s">
        <v>1660</v>
      </c>
      <c r="B2014" s="2" t="s">
        <v>45</v>
      </c>
      <c r="C2014" s="2" t="s">
        <v>4087</v>
      </c>
      <c r="D2014" s="11" t="n">
        <v>7400</v>
      </c>
      <c r="E2014" s="31" t="n">
        <v>91.5</v>
      </c>
      <c r="F2014" s="2"/>
      <c r="G2014" s="2"/>
      <c r="H2014" s="2" t="s">
        <v>668</v>
      </c>
    </row>
    <row r="2015" customFormat="false" ht="15" hidden="false" customHeight="false" outlineLevel="0" collapsed="false">
      <c r="A2015" s="2" t="s">
        <v>1660</v>
      </c>
      <c r="B2015" s="2" t="s">
        <v>46</v>
      </c>
      <c r="C2015" s="2" t="s">
        <v>4085</v>
      </c>
      <c r="D2015" s="2"/>
      <c r="E2015" s="2"/>
      <c r="F2015" s="2"/>
      <c r="G2015" s="2"/>
      <c r="H2015" s="2" t="s">
        <v>668</v>
      </c>
    </row>
    <row r="2016" customFormat="false" ht="15" hidden="false" customHeight="false" outlineLevel="0" collapsed="false">
      <c r="A2016" s="2" t="s">
        <v>1660</v>
      </c>
      <c r="B2016" s="2" t="s">
        <v>46</v>
      </c>
      <c r="C2016" s="2" t="s">
        <v>4086</v>
      </c>
      <c r="D2016" s="11" t="n">
        <v>176740</v>
      </c>
      <c r="E2016" s="31" t="n">
        <v>51.5</v>
      </c>
      <c r="F2016" s="31" t="n">
        <v>43.3</v>
      </c>
      <c r="G2016" s="2"/>
      <c r="H2016" s="2" t="s">
        <v>668</v>
      </c>
    </row>
    <row r="2017" customFormat="false" ht="15" hidden="false" customHeight="false" outlineLevel="0" collapsed="false">
      <c r="A2017" s="2" t="s">
        <v>1660</v>
      </c>
      <c r="B2017" s="2" t="s">
        <v>46</v>
      </c>
      <c r="C2017" s="2" t="s">
        <v>4087</v>
      </c>
      <c r="D2017" s="11" t="n">
        <v>183110</v>
      </c>
      <c r="E2017" s="31" t="n">
        <v>53.1</v>
      </c>
      <c r="F2017" s="31" t="n">
        <v>13.9</v>
      </c>
      <c r="G2017" s="31" t="n">
        <v>73.6</v>
      </c>
      <c r="H2017" s="2" t="s">
        <v>671</v>
      </c>
    </row>
    <row r="2018" customFormat="false" ht="15" hidden="false" customHeight="false" outlineLevel="0" collapsed="false">
      <c r="A2018" s="2" t="s">
        <v>1660</v>
      </c>
      <c r="B2018" s="2" t="s">
        <v>47</v>
      </c>
      <c r="C2018" s="2" t="s">
        <v>4085</v>
      </c>
      <c r="D2018" s="11" t="n">
        <v>22014</v>
      </c>
      <c r="E2018" s="31" t="n">
        <v>76.8</v>
      </c>
      <c r="F2018" s="31" t="n">
        <v>74.5</v>
      </c>
      <c r="G2018" s="31" t="n">
        <v>58.6</v>
      </c>
      <c r="H2018" s="2" t="s">
        <v>671</v>
      </c>
    </row>
    <row r="2019" customFormat="false" ht="15" hidden="false" customHeight="false" outlineLevel="0" collapsed="false">
      <c r="A2019" s="2" t="s">
        <v>1660</v>
      </c>
      <c r="B2019" s="2" t="s">
        <v>47</v>
      </c>
      <c r="C2019" s="2" t="s">
        <v>4086</v>
      </c>
      <c r="D2019" s="11" t="n">
        <v>22980</v>
      </c>
      <c r="E2019" s="31" t="n">
        <v>79.7</v>
      </c>
      <c r="F2019" s="31" t="n">
        <v>79.2</v>
      </c>
      <c r="G2019" s="2"/>
      <c r="H2019" s="2" t="s">
        <v>668</v>
      </c>
    </row>
    <row r="2020" customFormat="false" ht="15" hidden="false" customHeight="false" outlineLevel="0" collapsed="false">
      <c r="A2020" s="2" t="s">
        <v>1660</v>
      </c>
      <c r="B2020" s="2" t="s">
        <v>47</v>
      </c>
      <c r="C2020" s="2" t="s">
        <v>4087</v>
      </c>
      <c r="D2020" s="11" t="n">
        <v>24246</v>
      </c>
      <c r="E2020" s="31" t="n">
        <v>76.2</v>
      </c>
      <c r="F2020" s="31" t="n">
        <v>77.3</v>
      </c>
      <c r="G2020" s="31" t="n">
        <v>80.2</v>
      </c>
      <c r="H2020" s="2" t="s">
        <v>671</v>
      </c>
    </row>
    <row r="2021" customFormat="false" ht="15" hidden="false" customHeight="false" outlineLevel="0" collapsed="false">
      <c r="A2021" s="2" t="s">
        <v>728</v>
      </c>
      <c r="B2021" s="2" t="s">
        <v>4104</v>
      </c>
      <c r="C2021" s="2" t="s">
        <v>4085</v>
      </c>
      <c r="D2021" s="2"/>
      <c r="E2021" s="31" t="n">
        <v>27.5</v>
      </c>
      <c r="F2021" s="31" t="n">
        <v>70.9</v>
      </c>
      <c r="G2021" s="31" t="n">
        <v>18</v>
      </c>
      <c r="H2021" s="2" t="s">
        <v>668</v>
      </c>
    </row>
    <row r="2022" customFormat="false" ht="15" hidden="false" customHeight="false" outlineLevel="0" collapsed="false">
      <c r="A2022" s="2" t="s">
        <v>728</v>
      </c>
      <c r="B2022" s="2" t="s">
        <v>4104</v>
      </c>
      <c r="C2022" s="2" t="s">
        <v>4086</v>
      </c>
      <c r="D2022" s="2"/>
      <c r="E2022" s="31" t="n">
        <v>40</v>
      </c>
      <c r="F2022" s="31" t="n">
        <v>39</v>
      </c>
      <c r="G2022" s="31" t="n">
        <v>28.8</v>
      </c>
      <c r="H2022" s="2" t="s">
        <v>668</v>
      </c>
    </row>
    <row r="2023" customFormat="false" ht="15" hidden="false" customHeight="false" outlineLevel="0" collapsed="false">
      <c r="A2023" s="2" t="s">
        <v>728</v>
      </c>
      <c r="B2023" s="2" t="s">
        <v>4104</v>
      </c>
      <c r="C2023" s="2" t="s">
        <v>4087</v>
      </c>
      <c r="D2023" s="2"/>
      <c r="E2023" s="31" t="n">
        <v>54.8</v>
      </c>
      <c r="F2023" s="31" t="n">
        <v>69.1</v>
      </c>
      <c r="G2023" s="31" t="n">
        <v>31.5</v>
      </c>
      <c r="H2023" s="2" t="s">
        <v>668</v>
      </c>
    </row>
    <row r="2024" customFormat="false" ht="15" hidden="false" customHeight="false" outlineLevel="0" collapsed="false">
      <c r="A2024" s="2" t="s">
        <v>728</v>
      </c>
      <c r="B2024" s="2" t="s">
        <v>45</v>
      </c>
      <c r="C2024" s="2" t="s">
        <v>4085</v>
      </c>
      <c r="D2024" s="2"/>
      <c r="E2024" s="2"/>
      <c r="F2024" s="2"/>
      <c r="G2024" s="31" t="n">
        <v>24.6</v>
      </c>
      <c r="H2024" s="2" t="s">
        <v>668</v>
      </c>
    </row>
    <row r="2025" customFormat="false" ht="15" hidden="false" customHeight="false" outlineLevel="0" collapsed="false">
      <c r="A2025" s="2" t="s">
        <v>728</v>
      </c>
      <c r="B2025" s="2" t="s">
        <v>45</v>
      </c>
      <c r="C2025" s="2" t="s">
        <v>4086</v>
      </c>
      <c r="D2025" s="11" t="n">
        <v>48851</v>
      </c>
      <c r="E2025" s="31" t="n">
        <v>78.6</v>
      </c>
      <c r="F2025" s="31" t="n">
        <v>56.4</v>
      </c>
      <c r="G2025" s="31" t="n">
        <v>62.2</v>
      </c>
      <c r="H2025" s="2" t="s">
        <v>671</v>
      </c>
    </row>
    <row r="2026" customFormat="false" ht="15" hidden="false" customHeight="false" outlineLevel="0" collapsed="false">
      <c r="A2026" s="2" t="s">
        <v>728</v>
      </c>
      <c r="B2026" s="2" t="s">
        <v>45</v>
      </c>
      <c r="C2026" s="2" t="s">
        <v>4087</v>
      </c>
      <c r="D2026" s="11" t="n">
        <v>28070</v>
      </c>
      <c r="E2026" s="31" t="n">
        <v>92.5</v>
      </c>
      <c r="F2026" s="31" t="n">
        <v>86.5</v>
      </c>
      <c r="G2026" s="31" t="n">
        <v>36.7</v>
      </c>
      <c r="H2026" s="2" t="s">
        <v>671</v>
      </c>
    </row>
    <row r="2027" customFormat="false" ht="15" hidden="false" customHeight="false" outlineLevel="0" collapsed="false">
      <c r="A2027" s="2" t="s">
        <v>728</v>
      </c>
      <c r="B2027" s="2" t="s">
        <v>46</v>
      </c>
      <c r="C2027" s="2" t="s">
        <v>4085</v>
      </c>
      <c r="D2027" s="11" t="n">
        <v>40050</v>
      </c>
      <c r="E2027" s="31" t="n">
        <v>51.9</v>
      </c>
      <c r="F2027" s="31" t="n">
        <v>43.8</v>
      </c>
      <c r="G2027" s="31" t="n">
        <v>11.4</v>
      </c>
      <c r="H2027" s="2" t="s">
        <v>671</v>
      </c>
    </row>
    <row r="2028" customFormat="false" ht="15" hidden="false" customHeight="false" outlineLevel="0" collapsed="false">
      <c r="A2028" s="2" t="s">
        <v>728</v>
      </c>
      <c r="B2028" s="2" t="s">
        <v>46</v>
      </c>
      <c r="C2028" s="2" t="s">
        <v>4086</v>
      </c>
      <c r="D2028" s="11" t="n">
        <v>40320</v>
      </c>
      <c r="E2028" s="2"/>
      <c r="F2028" s="31" t="n">
        <v>21.5</v>
      </c>
      <c r="G2028" s="31" t="n">
        <v>4</v>
      </c>
      <c r="H2028" s="2" t="s">
        <v>668</v>
      </c>
    </row>
    <row r="2029" customFormat="false" ht="15" hidden="false" customHeight="false" outlineLevel="0" collapsed="false">
      <c r="A2029" s="2" t="s">
        <v>728</v>
      </c>
      <c r="B2029" s="2" t="s">
        <v>46</v>
      </c>
      <c r="C2029" s="2" t="s">
        <v>4087</v>
      </c>
      <c r="D2029" s="11" t="n">
        <v>41330</v>
      </c>
      <c r="E2029" s="31" t="n">
        <v>68.1</v>
      </c>
      <c r="F2029" s="31" t="n">
        <v>24.9</v>
      </c>
      <c r="G2029" s="2"/>
      <c r="H2029" s="2" t="s">
        <v>668</v>
      </c>
    </row>
    <row r="2030" customFormat="false" ht="15" hidden="false" customHeight="false" outlineLevel="0" collapsed="false">
      <c r="A2030" s="2" t="s">
        <v>728</v>
      </c>
      <c r="B2030" s="2" t="s">
        <v>47</v>
      </c>
      <c r="C2030" s="2" t="s">
        <v>4085</v>
      </c>
      <c r="D2030" s="11" t="n">
        <v>255273</v>
      </c>
      <c r="E2030" s="31" t="n">
        <v>3.1</v>
      </c>
      <c r="F2030" s="31" t="n">
        <v>98.1</v>
      </c>
      <c r="G2030" s="2"/>
      <c r="H2030" s="2" t="s">
        <v>668</v>
      </c>
    </row>
    <row r="2031" customFormat="false" ht="15" hidden="false" customHeight="false" outlineLevel="0" collapsed="false">
      <c r="A2031" s="2" t="s">
        <v>728</v>
      </c>
      <c r="B2031" s="2" t="s">
        <v>47</v>
      </c>
      <c r="C2031" s="2" t="s">
        <v>4086</v>
      </c>
      <c r="D2031" s="11" t="n">
        <v>284600</v>
      </c>
      <c r="E2031" s="31" t="n">
        <v>1.4</v>
      </c>
      <c r="F2031" s="2"/>
      <c r="G2031" s="31" t="n">
        <v>20.3</v>
      </c>
      <c r="H2031" s="2" t="s">
        <v>668</v>
      </c>
    </row>
    <row r="2032" customFormat="false" ht="15" hidden="false" customHeight="false" outlineLevel="0" collapsed="false">
      <c r="A2032" s="2" t="s">
        <v>728</v>
      </c>
      <c r="B2032" s="2" t="s">
        <v>47</v>
      </c>
      <c r="C2032" s="2" t="s">
        <v>4087</v>
      </c>
      <c r="D2032" s="11" t="n">
        <v>299271</v>
      </c>
      <c r="E2032" s="31" t="n">
        <v>3.8</v>
      </c>
      <c r="F2032" s="31" t="n">
        <v>95.8</v>
      </c>
      <c r="G2032" s="31" t="n">
        <v>26.3</v>
      </c>
      <c r="H2032" s="2" t="s">
        <v>671</v>
      </c>
    </row>
    <row r="2033" customFormat="false" ht="15" hidden="false" customHeight="false" outlineLevel="0" collapsed="false">
      <c r="A2033" s="2" t="s">
        <v>124</v>
      </c>
      <c r="B2033" s="2" t="s">
        <v>4104</v>
      </c>
      <c r="C2033" s="2" t="s">
        <v>4085</v>
      </c>
      <c r="D2033" s="2"/>
      <c r="E2033" s="31" t="n">
        <v>48.5</v>
      </c>
      <c r="F2033" s="31" t="n">
        <v>94.2</v>
      </c>
      <c r="G2033" s="31" t="n">
        <v>82.9</v>
      </c>
      <c r="H2033" s="2" t="s">
        <v>668</v>
      </c>
    </row>
    <row r="2034" customFormat="false" ht="15" hidden="false" customHeight="false" outlineLevel="0" collapsed="false">
      <c r="A2034" s="2" t="s">
        <v>124</v>
      </c>
      <c r="B2034" s="2" t="s">
        <v>4104</v>
      </c>
      <c r="C2034" s="2" t="s">
        <v>4086</v>
      </c>
      <c r="D2034" s="2"/>
      <c r="E2034" s="31" t="n">
        <v>70.3</v>
      </c>
      <c r="F2034" s="31" t="n">
        <v>61.6</v>
      </c>
      <c r="G2034" s="31" t="n">
        <v>56.5</v>
      </c>
      <c r="H2034" s="2" t="s">
        <v>671</v>
      </c>
    </row>
    <row r="2035" customFormat="false" ht="15" hidden="false" customHeight="false" outlineLevel="0" collapsed="false">
      <c r="A2035" s="2" t="s">
        <v>124</v>
      </c>
      <c r="B2035" s="2" t="s">
        <v>4104</v>
      </c>
      <c r="C2035" s="2" t="s">
        <v>4087</v>
      </c>
      <c r="D2035" s="2"/>
      <c r="E2035" s="31" t="n">
        <v>86.4</v>
      </c>
      <c r="F2035" s="31" t="n">
        <v>69</v>
      </c>
      <c r="G2035" s="31" t="n">
        <v>60.8</v>
      </c>
      <c r="H2035" s="2" t="s">
        <v>671</v>
      </c>
    </row>
    <row r="2036" customFormat="false" ht="15" hidden="false" customHeight="false" outlineLevel="0" collapsed="false">
      <c r="A2036" s="2" t="s">
        <v>124</v>
      </c>
      <c r="B2036" s="2" t="s">
        <v>45</v>
      </c>
      <c r="C2036" s="2" t="s">
        <v>4085</v>
      </c>
      <c r="D2036" s="2"/>
      <c r="E2036" s="2"/>
      <c r="F2036" s="2"/>
      <c r="G2036" s="2"/>
      <c r="H2036" s="2" t="s">
        <v>668</v>
      </c>
    </row>
    <row r="2037" customFormat="false" ht="15" hidden="false" customHeight="false" outlineLevel="0" collapsed="false">
      <c r="A2037" s="2" t="s">
        <v>124</v>
      </c>
      <c r="B2037" s="2" t="s">
        <v>45</v>
      </c>
      <c r="C2037" s="2" t="s">
        <v>4086</v>
      </c>
      <c r="D2037" s="11" t="n">
        <v>135790</v>
      </c>
      <c r="E2037" s="31" t="n">
        <v>90.9</v>
      </c>
      <c r="F2037" s="31" t="n">
        <v>42.9</v>
      </c>
      <c r="G2037" s="31" t="n">
        <v>15.9</v>
      </c>
      <c r="H2037" s="2" t="s">
        <v>671</v>
      </c>
    </row>
    <row r="2038" customFormat="false" ht="15" hidden="false" customHeight="false" outlineLevel="0" collapsed="false">
      <c r="A2038" s="2" t="s">
        <v>124</v>
      </c>
      <c r="B2038" s="2" t="s">
        <v>45</v>
      </c>
      <c r="C2038" s="2" t="s">
        <v>4087</v>
      </c>
      <c r="D2038" s="11" t="n">
        <v>139958</v>
      </c>
      <c r="E2038" s="31" t="n">
        <v>93.8</v>
      </c>
      <c r="F2038" s="31" t="n">
        <v>40.6</v>
      </c>
      <c r="G2038" s="31" t="n">
        <v>27.1</v>
      </c>
      <c r="H2038" s="2" t="s">
        <v>671</v>
      </c>
    </row>
    <row r="2039" customFormat="false" ht="15" hidden="false" customHeight="false" outlineLevel="0" collapsed="false">
      <c r="A2039" s="2" t="s">
        <v>124</v>
      </c>
      <c r="B2039" s="2" t="s">
        <v>46</v>
      </c>
      <c r="C2039" s="2" t="s">
        <v>4085</v>
      </c>
      <c r="D2039" s="11" t="n">
        <v>104840</v>
      </c>
      <c r="E2039" s="31" t="n">
        <v>48.5</v>
      </c>
      <c r="F2039" s="31" t="n">
        <v>94.2</v>
      </c>
      <c r="G2039" s="31" t="n">
        <v>82.9</v>
      </c>
      <c r="H2039" s="2" t="s">
        <v>671</v>
      </c>
    </row>
    <row r="2040" customFormat="false" ht="15" hidden="false" customHeight="false" outlineLevel="0" collapsed="false">
      <c r="A2040" s="2" t="s">
        <v>124</v>
      </c>
      <c r="B2040" s="2" t="s">
        <v>46</v>
      </c>
      <c r="C2040" s="2" t="s">
        <v>4086</v>
      </c>
      <c r="D2040" s="11" t="n">
        <v>110270</v>
      </c>
      <c r="E2040" s="31" t="n">
        <v>49.7</v>
      </c>
      <c r="F2040" s="31" t="n">
        <v>80.3</v>
      </c>
      <c r="G2040" s="31" t="n">
        <v>97.1</v>
      </c>
      <c r="H2040" s="2" t="s">
        <v>671</v>
      </c>
    </row>
    <row r="2041" customFormat="false" ht="15" hidden="false" customHeight="false" outlineLevel="0" collapsed="false">
      <c r="A2041" s="2" t="s">
        <v>124</v>
      </c>
      <c r="B2041" s="2" t="s">
        <v>46</v>
      </c>
      <c r="C2041" s="2" t="s">
        <v>4087</v>
      </c>
      <c r="D2041" s="11" t="n">
        <v>118910</v>
      </c>
      <c r="E2041" s="31" t="n">
        <v>78.9</v>
      </c>
      <c r="F2041" s="31" t="n">
        <v>97.4</v>
      </c>
      <c r="G2041" s="31" t="n">
        <v>94.6</v>
      </c>
      <c r="H2041" s="2" t="s">
        <v>671</v>
      </c>
    </row>
    <row r="2042" customFormat="false" ht="15" hidden="false" customHeight="false" outlineLevel="0" collapsed="false">
      <c r="A2042" s="2" t="s">
        <v>2581</v>
      </c>
      <c r="B2042" s="2" t="s">
        <v>4104</v>
      </c>
      <c r="C2042" s="2" t="s">
        <v>4085</v>
      </c>
      <c r="D2042" s="2"/>
      <c r="E2042" s="31" t="n">
        <v>32.7</v>
      </c>
      <c r="F2042" s="31" t="n">
        <v>19.9</v>
      </c>
      <c r="G2042" s="31" t="n">
        <v>95.3</v>
      </c>
      <c r="H2042" s="2" t="s">
        <v>671</v>
      </c>
    </row>
    <row r="2043" customFormat="false" ht="15" hidden="false" customHeight="false" outlineLevel="0" collapsed="false">
      <c r="A2043" s="2" t="s">
        <v>2581</v>
      </c>
      <c r="B2043" s="2" t="s">
        <v>4104</v>
      </c>
      <c r="C2043" s="2" t="s">
        <v>4086</v>
      </c>
      <c r="D2043" s="2"/>
      <c r="E2043" s="31" t="n">
        <v>32.4</v>
      </c>
      <c r="F2043" s="31" t="n">
        <v>24.5</v>
      </c>
      <c r="G2043" s="31" t="n">
        <v>80.5</v>
      </c>
      <c r="H2043" s="2" t="s">
        <v>671</v>
      </c>
    </row>
    <row r="2044" customFormat="false" ht="15" hidden="false" customHeight="false" outlineLevel="0" collapsed="false">
      <c r="A2044" s="2" t="s">
        <v>2581</v>
      </c>
      <c r="B2044" s="2" t="s">
        <v>4104</v>
      </c>
      <c r="C2044" s="2" t="s">
        <v>4087</v>
      </c>
      <c r="D2044" s="2"/>
      <c r="E2044" s="31" t="n">
        <v>15.4</v>
      </c>
      <c r="F2044" s="31" t="n">
        <v>26.6</v>
      </c>
      <c r="G2044" s="31" t="n">
        <v>92</v>
      </c>
      <c r="H2044" s="2" t="s">
        <v>668</v>
      </c>
    </row>
    <row r="2045" customFormat="false" ht="15" hidden="false" customHeight="false" outlineLevel="0" collapsed="false">
      <c r="A2045" s="2" t="s">
        <v>2581</v>
      </c>
      <c r="B2045" s="2" t="s">
        <v>45</v>
      </c>
      <c r="C2045" s="2" t="s">
        <v>4085</v>
      </c>
      <c r="D2045" s="11" t="n">
        <v>8120</v>
      </c>
      <c r="E2045" s="31" t="n">
        <v>3.5</v>
      </c>
      <c r="F2045" s="31" t="n">
        <v>9.7</v>
      </c>
      <c r="G2045" s="31" t="n">
        <v>97.3</v>
      </c>
      <c r="H2045" s="2" t="s">
        <v>671</v>
      </c>
    </row>
    <row r="2046" customFormat="false" ht="15" hidden="false" customHeight="false" outlineLevel="0" collapsed="false">
      <c r="A2046" s="2" t="s">
        <v>2581</v>
      </c>
      <c r="B2046" s="2" t="s">
        <v>45</v>
      </c>
      <c r="C2046" s="2" t="s">
        <v>4086</v>
      </c>
      <c r="D2046" s="11" t="n">
        <v>8363</v>
      </c>
      <c r="E2046" s="31" t="n">
        <v>9.8</v>
      </c>
      <c r="F2046" s="31" t="n">
        <v>19.7</v>
      </c>
      <c r="G2046" s="31" t="n">
        <v>81.6</v>
      </c>
      <c r="H2046" s="2" t="s">
        <v>671</v>
      </c>
    </row>
    <row r="2047" customFormat="false" ht="15" hidden="false" customHeight="false" outlineLevel="0" collapsed="false">
      <c r="A2047" s="2" t="s">
        <v>2581</v>
      </c>
      <c r="B2047" s="2" t="s">
        <v>45</v>
      </c>
      <c r="C2047" s="2" t="s">
        <v>4087</v>
      </c>
      <c r="D2047" s="2"/>
      <c r="E2047" s="2"/>
      <c r="F2047" s="2"/>
      <c r="G2047" s="2"/>
      <c r="H2047" s="2" t="s">
        <v>668</v>
      </c>
    </row>
    <row r="2048" customFormat="false" ht="15" hidden="false" customHeight="false" outlineLevel="0" collapsed="false">
      <c r="A2048" s="2" t="s">
        <v>2581</v>
      </c>
      <c r="B2048" s="2" t="s">
        <v>46</v>
      </c>
      <c r="C2048" s="2" t="s">
        <v>4085</v>
      </c>
      <c r="D2048" s="11" t="n">
        <v>59262</v>
      </c>
      <c r="E2048" s="31" t="n">
        <v>87.3</v>
      </c>
      <c r="F2048" s="31" t="n">
        <v>3</v>
      </c>
      <c r="G2048" s="31" t="n">
        <v>95.2</v>
      </c>
      <c r="H2048" s="2" t="s">
        <v>671</v>
      </c>
    </row>
    <row r="2049" customFormat="false" ht="15" hidden="false" customHeight="false" outlineLevel="0" collapsed="false">
      <c r="A2049" s="2" t="s">
        <v>2581</v>
      </c>
      <c r="B2049" s="2" t="s">
        <v>46</v>
      </c>
      <c r="C2049" s="2" t="s">
        <v>4086</v>
      </c>
      <c r="D2049" s="11" t="n">
        <v>61080</v>
      </c>
      <c r="E2049" s="31" t="n">
        <v>70.5</v>
      </c>
      <c r="F2049" s="31" t="n">
        <v>4</v>
      </c>
      <c r="G2049" s="31" t="n">
        <v>70.2</v>
      </c>
      <c r="H2049" s="2" t="s">
        <v>671</v>
      </c>
    </row>
    <row r="2050" customFormat="false" ht="15" hidden="false" customHeight="false" outlineLevel="0" collapsed="false">
      <c r="A2050" s="2" t="s">
        <v>2581</v>
      </c>
      <c r="B2050" s="2" t="s">
        <v>46</v>
      </c>
      <c r="C2050" s="2" t="s">
        <v>4087</v>
      </c>
      <c r="D2050" s="11" t="n">
        <v>57566</v>
      </c>
      <c r="E2050" s="2"/>
      <c r="F2050" s="2"/>
      <c r="G2050" s="2"/>
      <c r="H2050" s="2" t="s">
        <v>668</v>
      </c>
    </row>
    <row r="2051" customFormat="false" ht="15" hidden="false" customHeight="false" outlineLevel="0" collapsed="false">
      <c r="A2051" s="2" t="s">
        <v>2581</v>
      </c>
      <c r="B2051" s="2" t="s">
        <v>47</v>
      </c>
      <c r="C2051" s="2" t="s">
        <v>4085</v>
      </c>
      <c r="D2051" s="11" t="n">
        <v>57980</v>
      </c>
      <c r="E2051" s="31" t="n">
        <v>7.4</v>
      </c>
      <c r="F2051" s="31" t="n">
        <v>47.1</v>
      </c>
      <c r="G2051" s="31" t="n">
        <v>93.3</v>
      </c>
      <c r="H2051" s="2" t="s">
        <v>671</v>
      </c>
    </row>
    <row r="2052" customFormat="false" ht="15" hidden="false" customHeight="false" outlineLevel="0" collapsed="false">
      <c r="A2052" s="2" t="s">
        <v>2581</v>
      </c>
      <c r="B2052" s="2" t="s">
        <v>47</v>
      </c>
      <c r="C2052" s="2" t="s">
        <v>4086</v>
      </c>
      <c r="D2052" s="11" t="n">
        <v>59250</v>
      </c>
      <c r="E2052" s="31" t="n">
        <v>16.8</v>
      </c>
      <c r="F2052" s="31" t="n">
        <v>49.7</v>
      </c>
      <c r="G2052" s="31" t="n">
        <v>89.6</v>
      </c>
      <c r="H2052" s="2" t="s">
        <v>671</v>
      </c>
    </row>
    <row r="2053" customFormat="false" ht="15" hidden="false" customHeight="false" outlineLevel="0" collapsed="false">
      <c r="A2053" s="2" t="s">
        <v>2581</v>
      </c>
      <c r="B2053" s="2" t="s">
        <v>47</v>
      </c>
      <c r="C2053" s="2" t="s">
        <v>4087</v>
      </c>
      <c r="D2053" s="11" t="n">
        <v>62544</v>
      </c>
      <c r="E2053" s="31" t="n">
        <v>15.4</v>
      </c>
      <c r="F2053" s="31" t="n">
        <v>26.6</v>
      </c>
      <c r="G2053" s="31" t="n">
        <v>92</v>
      </c>
      <c r="H2053" s="2" t="s">
        <v>671</v>
      </c>
    </row>
    <row r="2054" customFormat="false" ht="15" hidden="false" customHeight="false" outlineLevel="0" collapsed="false">
      <c r="A2054" s="2" t="s">
        <v>1517</v>
      </c>
      <c r="B2054" s="2" t="s">
        <v>4104</v>
      </c>
      <c r="C2054" s="2" t="s">
        <v>4085</v>
      </c>
      <c r="D2054" s="2"/>
      <c r="E2054" s="31" t="n">
        <v>70.7</v>
      </c>
      <c r="F2054" s="31" t="n">
        <v>63.7</v>
      </c>
      <c r="G2054" s="31" t="n">
        <v>56.2</v>
      </c>
      <c r="H2054" s="2" t="s">
        <v>668</v>
      </c>
    </row>
    <row r="2055" customFormat="false" ht="15" hidden="false" customHeight="false" outlineLevel="0" collapsed="false">
      <c r="A2055" s="2" t="s">
        <v>1517</v>
      </c>
      <c r="B2055" s="2" t="s">
        <v>4104</v>
      </c>
      <c r="C2055" s="2" t="s">
        <v>4086</v>
      </c>
      <c r="D2055" s="2"/>
      <c r="E2055" s="31" t="n">
        <v>60.6</v>
      </c>
      <c r="F2055" s="31" t="n">
        <v>59.7</v>
      </c>
      <c r="G2055" s="31" t="n">
        <v>64.7</v>
      </c>
      <c r="H2055" s="2" t="s">
        <v>668</v>
      </c>
    </row>
    <row r="2056" customFormat="false" ht="15" hidden="false" customHeight="false" outlineLevel="0" collapsed="false">
      <c r="A2056" s="2" t="s">
        <v>1517</v>
      </c>
      <c r="B2056" s="2" t="s">
        <v>4104</v>
      </c>
      <c r="C2056" s="2" t="s">
        <v>4087</v>
      </c>
      <c r="D2056" s="2"/>
      <c r="E2056" s="31" t="n">
        <v>86.2</v>
      </c>
      <c r="F2056" s="31" t="n">
        <v>73.8</v>
      </c>
      <c r="G2056" s="31" t="n">
        <v>62.8</v>
      </c>
      <c r="H2056" s="2" t="s">
        <v>668</v>
      </c>
    </row>
    <row r="2057" customFormat="false" ht="15" hidden="false" customHeight="false" outlineLevel="0" collapsed="false">
      <c r="A2057" s="2" t="s">
        <v>1517</v>
      </c>
      <c r="B2057" s="2" t="s">
        <v>45</v>
      </c>
      <c r="C2057" s="2" t="s">
        <v>4085</v>
      </c>
      <c r="D2057" s="11" t="n">
        <v>3910</v>
      </c>
      <c r="E2057" s="31" t="n">
        <v>47.7</v>
      </c>
      <c r="F2057" s="31" t="n">
        <v>40.3</v>
      </c>
      <c r="G2057" s="31" t="n">
        <v>19.5</v>
      </c>
      <c r="H2057" s="2" t="s">
        <v>671</v>
      </c>
    </row>
    <row r="2058" customFormat="false" ht="15" hidden="false" customHeight="false" outlineLevel="0" collapsed="false">
      <c r="A2058" s="2" t="s">
        <v>1517</v>
      </c>
      <c r="B2058" s="2" t="s">
        <v>45</v>
      </c>
      <c r="C2058" s="2" t="s">
        <v>4086</v>
      </c>
      <c r="D2058" s="11" t="n">
        <v>4077</v>
      </c>
      <c r="E2058" s="31" t="n">
        <v>21.7</v>
      </c>
      <c r="F2058" s="31" t="n">
        <v>32.4</v>
      </c>
      <c r="G2058" s="31" t="n">
        <v>21.7</v>
      </c>
      <c r="H2058" s="2" t="s">
        <v>671</v>
      </c>
    </row>
    <row r="2059" customFormat="false" ht="15" hidden="false" customHeight="false" outlineLevel="0" collapsed="false">
      <c r="A2059" s="2" t="s">
        <v>1517</v>
      </c>
      <c r="B2059" s="2" t="s">
        <v>45</v>
      </c>
      <c r="C2059" s="2" t="s">
        <v>4087</v>
      </c>
      <c r="D2059" s="2"/>
      <c r="E2059" s="2"/>
      <c r="F2059" s="2"/>
      <c r="G2059" s="2"/>
      <c r="H2059" s="2" t="s">
        <v>668</v>
      </c>
    </row>
    <row r="2060" customFormat="false" ht="15" hidden="false" customHeight="false" outlineLevel="0" collapsed="false">
      <c r="A2060" s="2" t="s">
        <v>1517</v>
      </c>
      <c r="B2060" s="2" t="s">
        <v>46</v>
      </c>
      <c r="C2060" s="2" t="s">
        <v>4085</v>
      </c>
      <c r="D2060" s="11" t="n">
        <v>11820</v>
      </c>
      <c r="E2060" s="31" t="n">
        <v>69.9</v>
      </c>
      <c r="F2060" s="31" t="n">
        <v>90.3</v>
      </c>
      <c r="G2060" s="31" t="n">
        <v>92.9</v>
      </c>
      <c r="H2060" s="2" t="s">
        <v>671</v>
      </c>
    </row>
    <row r="2061" customFormat="false" ht="15" hidden="false" customHeight="false" outlineLevel="0" collapsed="false">
      <c r="A2061" s="2" t="s">
        <v>1517</v>
      </c>
      <c r="B2061" s="2" t="s">
        <v>46</v>
      </c>
      <c r="C2061" s="2" t="s">
        <v>4086</v>
      </c>
      <c r="D2061" s="11" t="n">
        <v>12310</v>
      </c>
      <c r="E2061" s="2"/>
      <c r="F2061" s="31" t="n">
        <v>93.5</v>
      </c>
      <c r="G2061" s="31" t="n">
        <v>97.6</v>
      </c>
      <c r="H2061" s="2" t="s">
        <v>668</v>
      </c>
    </row>
    <row r="2062" customFormat="false" ht="15" hidden="false" customHeight="false" outlineLevel="0" collapsed="false">
      <c r="A2062" s="2" t="s">
        <v>1517</v>
      </c>
      <c r="B2062" s="2" t="s">
        <v>46</v>
      </c>
      <c r="C2062" s="2" t="s">
        <v>4087</v>
      </c>
      <c r="D2062" s="11" t="n">
        <v>13010</v>
      </c>
      <c r="E2062" s="31" t="n">
        <v>78.6</v>
      </c>
      <c r="F2062" s="31" t="n">
        <v>95.9</v>
      </c>
      <c r="G2062" s="31" t="n">
        <v>79</v>
      </c>
      <c r="H2062" s="2" t="s">
        <v>671</v>
      </c>
    </row>
    <row r="2063" customFormat="false" ht="15" hidden="false" customHeight="false" outlineLevel="0" collapsed="false">
      <c r="A2063" s="2" t="s">
        <v>1517</v>
      </c>
      <c r="B2063" s="2" t="s">
        <v>47</v>
      </c>
      <c r="C2063" s="2" t="s">
        <v>4085</v>
      </c>
      <c r="D2063" s="11" t="n">
        <v>34143</v>
      </c>
      <c r="E2063" s="31" t="n">
        <v>94.6</v>
      </c>
      <c r="F2063" s="31" t="n">
        <v>60.5</v>
      </c>
      <c r="G2063" s="2"/>
      <c r="H2063" s="2" t="s">
        <v>668</v>
      </c>
    </row>
    <row r="2064" customFormat="false" ht="15" hidden="false" customHeight="false" outlineLevel="0" collapsed="false">
      <c r="A2064" s="2" t="s">
        <v>1517</v>
      </c>
      <c r="B2064" s="2" t="s">
        <v>47</v>
      </c>
      <c r="C2064" s="2" t="s">
        <v>4086</v>
      </c>
      <c r="D2064" s="11" t="n">
        <v>35228</v>
      </c>
      <c r="E2064" s="31" t="n">
        <v>99.5</v>
      </c>
      <c r="F2064" s="31" t="n">
        <v>53.2</v>
      </c>
      <c r="G2064" s="31" t="n">
        <v>74.9</v>
      </c>
      <c r="H2064" s="2" t="s">
        <v>671</v>
      </c>
    </row>
    <row r="2065" customFormat="false" ht="15" hidden="false" customHeight="false" outlineLevel="0" collapsed="false">
      <c r="A2065" s="2" t="s">
        <v>1517</v>
      </c>
      <c r="B2065" s="2" t="s">
        <v>47</v>
      </c>
      <c r="C2065" s="2" t="s">
        <v>4087</v>
      </c>
      <c r="D2065" s="11" t="n">
        <v>37005</v>
      </c>
      <c r="E2065" s="31" t="n">
        <v>93.9</v>
      </c>
      <c r="F2065" s="31" t="n">
        <v>51.8</v>
      </c>
      <c r="G2065" s="31" t="n">
        <v>46.7</v>
      </c>
      <c r="H2065" s="2" t="s">
        <v>671</v>
      </c>
    </row>
    <row r="2066" customFormat="false" ht="15" hidden="false" customHeight="false" outlineLevel="0" collapsed="false">
      <c r="A2066" s="2" t="s">
        <v>2825</v>
      </c>
      <c r="B2066" s="2" t="s">
        <v>4104</v>
      </c>
      <c r="C2066" s="2" t="s">
        <v>4085</v>
      </c>
      <c r="D2066" s="2"/>
      <c r="E2066" s="2"/>
      <c r="F2066" s="2"/>
      <c r="G2066" s="2"/>
      <c r="H2066" s="2" t="s">
        <v>668</v>
      </c>
    </row>
    <row r="2067" customFormat="false" ht="15" hidden="false" customHeight="false" outlineLevel="0" collapsed="false">
      <c r="A2067" s="2" t="s">
        <v>2825</v>
      </c>
      <c r="B2067" s="2" t="s">
        <v>4104</v>
      </c>
      <c r="C2067" s="2" t="s">
        <v>4087</v>
      </c>
      <c r="D2067" s="2"/>
      <c r="E2067" s="31" t="n">
        <v>29.6</v>
      </c>
      <c r="F2067" s="31" t="n">
        <v>9.3</v>
      </c>
      <c r="G2067" s="2"/>
      <c r="H2067" s="2" t="s">
        <v>668</v>
      </c>
    </row>
    <row r="2068" customFormat="false" ht="15" hidden="false" customHeight="false" outlineLevel="0" collapsed="false">
      <c r="A2068" s="2" t="s">
        <v>2825</v>
      </c>
      <c r="B2068" s="2" t="s">
        <v>46</v>
      </c>
      <c r="C2068" s="2" t="s">
        <v>4085</v>
      </c>
      <c r="D2068" s="2"/>
      <c r="E2068" s="2"/>
      <c r="F2068" s="2"/>
      <c r="G2068" s="2"/>
      <c r="H2068" s="2" t="s">
        <v>668</v>
      </c>
    </row>
    <row r="2069" customFormat="false" ht="15" hidden="false" customHeight="false" outlineLevel="0" collapsed="false">
      <c r="A2069" s="2" t="s">
        <v>2825</v>
      </c>
      <c r="B2069" s="2" t="s">
        <v>46</v>
      </c>
      <c r="C2069" s="2" t="s">
        <v>4087</v>
      </c>
      <c r="D2069" s="11" t="n">
        <v>494204</v>
      </c>
      <c r="E2069" s="31" t="n">
        <v>29.6</v>
      </c>
      <c r="F2069" s="31" t="n">
        <v>9.3</v>
      </c>
      <c r="G2069" s="2"/>
      <c r="H2069" s="2" t="s">
        <v>668</v>
      </c>
    </row>
    <row r="2070" customFormat="false" ht="15" hidden="false" customHeight="false" outlineLevel="0" collapsed="false">
      <c r="A2070" s="2" t="s">
        <v>2290</v>
      </c>
      <c r="B2070" s="2" t="s">
        <v>4104</v>
      </c>
      <c r="C2070" s="2" t="s">
        <v>4085</v>
      </c>
      <c r="D2070" s="2"/>
      <c r="E2070" s="31" t="n">
        <v>68</v>
      </c>
      <c r="F2070" s="31" t="n">
        <v>52.2</v>
      </c>
      <c r="G2070" s="31" t="n">
        <v>42.5</v>
      </c>
      <c r="H2070" s="2" t="s">
        <v>668</v>
      </c>
    </row>
    <row r="2071" customFormat="false" ht="15" hidden="false" customHeight="false" outlineLevel="0" collapsed="false">
      <c r="A2071" s="2" t="s">
        <v>2290</v>
      </c>
      <c r="B2071" s="2" t="s">
        <v>4104</v>
      </c>
      <c r="C2071" s="2" t="s">
        <v>4086</v>
      </c>
      <c r="D2071" s="2"/>
      <c r="E2071" s="31" t="n">
        <v>55.9</v>
      </c>
      <c r="F2071" s="31" t="n">
        <v>48.1</v>
      </c>
      <c r="G2071" s="31" t="n">
        <v>38.5</v>
      </c>
      <c r="H2071" s="2" t="s">
        <v>671</v>
      </c>
    </row>
    <row r="2072" customFormat="false" ht="15" hidden="false" customHeight="false" outlineLevel="0" collapsed="false">
      <c r="A2072" s="2" t="s">
        <v>2290</v>
      </c>
      <c r="B2072" s="2" t="s">
        <v>4104</v>
      </c>
      <c r="C2072" s="2" t="s">
        <v>4087</v>
      </c>
      <c r="D2072" s="2"/>
      <c r="E2072" s="31" t="n">
        <v>54</v>
      </c>
      <c r="F2072" s="31" t="n">
        <v>6.7</v>
      </c>
      <c r="G2072" s="31" t="n">
        <v>62.1</v>
      </c>
      <c r="H2072" s="2" t="s">
        <v>668</v>
      </c>
    </row>
    <row r="2073" customFormat="false" ht="15" hidden="false" customHeight="false" outlineLevel="0" collapsed="false">
      <c r="A2073" s="2" t="s">
        <v>2290</v>
      </c>
      <c r="B2073" s="2" t="s">
        <v>45</v>
      </c>
      <c r="C2073" s="2" t="s">
        <v>4085</v>
      </c>
      <c r="D2073" s="11" t="n">
        <v>6132</v>
      </c>
      <c r="E2073" s="31" t="n">
        <v>81.2</v>
      </c>
      <c r="F2073" s="2"/>
      <c r="G2073" s="31" t="n">
        <v>75.6</v>
      </c>
      <c r="H2073" s="2" t="s">
        <v>668</v>
      </c>
    </row>
    <row r="2074" customFormat="false" ht="15" hidden="false" customHeight="false" outlineLevel="0" collapsed="false">
      <c r="A2074" s="2" t="s">
        <v>2290</v>
      </c>
      <c r="B2074" s="2" t="s">
        <v>45</v>
      </c>
      <c r="C2074" s="2" t="s">
        <v>4086</v>
      </c>
      <c r="D2074" s="11" t="n">
        <v>6470</v>
      </c>
      <c r="E2074" s="31" t="n">
        <v>71.5</v>
      </c>
      <c r="F2074" s="31" t="n">
        <v>38</v>
      </c>
      <c r="G2074" s="31" t="n">
        <v>66</v>
      </c>
      <c r="H2074" s="2" t="s">
        <v>671</v>
      </c>
    </row>
    <row r="2075" customFormat="false" ht="15" hidden="false" customHeight="false" outlineLevel="0" collapsed="false">
      <c r="A2075" s="2" t="s">
        <v>2290</v>
      </c>
      <c r="B2075" s="2" t="s">
        <v>45</v>
      </c>
      <c r="C2075" s="2" t="s">
        <v>4087</v>
      </c>
      <c r="D2075" s="2"/>
      <c r="E2075" s="2"/>
      <c r="F2075" s="2"/>
      <c r="G2075" s="2"/>
      <c r="H2075" s="2" t="s">
        <v>668</v>
      </c>
    </row>
    <row r="2076" customFormat="false" ht="15" hidden="false" customHeight="false" outlineLevel="0" collapsed="false">
      <c r="A2076" s="2" t="s">
        <v>2290</v>
      </c>
      <c r="B2076" s="2" t="s">
        <v>46</v>
      </c>
      <c r="C2076" s="2" t="s">
        <v>4085</v>
      </c>
      <c r="D2076" s="11" t="n">
        <v>1422420</v>
      </c>
      <c r="E2076" s="31" t="n">
        <v>66.1</v>
      </c>
      <c r="F2076" s="31" t="n">
        <v>100</v>
      </c>
      <c r="G2076" s="31" t="n">
        <v>2.1</v>
      </c>
      <c r="H2076" s="2" t="s">
        <v>671</v>
      </c>
    </row>
    <row r="2077" customFormat="false" ht="15" hidden="false" customHeight="false" outlineLevel="0" collapsed="false">
      <c r="A2077" s="2" t="s">
        <v>2290</v>
      </c>
      <c r="B2077" s="2" t="s">
        <v>46</v>
      </c>
      <c r="C2077" s="2" t="s">
        <v>4086</v>
      </c>
      <c r="D2077" s="11" t="n">
        <v>1465190</v>
      </c>
      <c r="E2077" s="31" t="n">
        <v>40.7</v>
      </c>
      <c r="F2077" s="31" t="n">
        <v>100</v>
      </c>
      <c r="G2077" s="31" t="n">
        <v>16.8</v>
      </c>
      <c r="H2077" s="2" t="s">
        <v>671</v>
      </c>
    </row>
    <row r="2078" customFormat="false" ht="15" hidden="false" customHeight="false" outlineLevel="0" collapsed="false">
      <c r="A2078" s="2" t="s">
        <v>2290</v>
      </c>
      <c r="B2078" s="2" t="s">
        <v>46</v>
      </c>
      <c r="C2078" s="2" t="s">
        <v>4087</v>
      </c>
      <c r="D2078" s="2"/>
      <c r="E2078" s="2"/>
      <c r="F2078" s="2"/>
      <c r="G2078" s="2"/>
      <c r="H2078" s="2" t="s">
        <v>668</v>
      </c>
    </row>
    <row r="2079" customFormat="false" ht="15" hidden="false" customHeight="false" outlineLevel="0" collapsed="false">
      <c r="A2079" s="2" t="s">
        <v>2290</v>
      </c>
      <c r="B2079" s="2" t="s">
        <v>47</v>
      </c>
      <c r="C2079" s="2" t="s">
        <v>4085</v>
      </c>
      <c r="D2079" s="11" t="n">
        <v>1473</v>
      </c>
      <c r="E2079" s="31" t="n">
        <v>56.6</v>
      </c>
      <c r="F2079" s="31" t="n">
        <v>4.4</v>
      </c>
      <c r="G2079" s="31" t="n">
        <v>49.9</v>
      </c>
      <c r="H2079" s="2" t="s">
        <v>671</v>
      </c>
    </row>
    <row r="2080" customFormat="false" ht="15" hidden="false" customHeight="false" outlineLevel="0" collapsed="false">
      <c r="A2080" s="2" t="s">
        <v>2290</v>
      </c>
      <c r="B2080" s="2" t="s">
        <v>47</v>
      </c>
      <c r="C2080" s="2" t="s">
        <v>4086</v>
      </c>
      <c r="D2080" s="11" t="n">
        <v>1428</v>
      </c>
      <c r="E2080" s="31" t="n">
        <v>55.6</v>
      </c>
      <c r="F2080" s="31" t="n">
        <v>6.2</v>
      </c>
      <c r="G2080" s="31" t="n">
        <v>32.8</v>
      </c>
      <c r="H2080" s="2" t="s">
        <v>671</v>
      </c>
    </row>
    <row r="2081" customFormat="false" ht="15" hidden="false" customHeight="false" outlineLevel="0" collapsed="false">
      <c r="A2081" s="2" t="s">
        <v>2290</v>
      </c>
      <c r="B2081" s="2" t="s">
        <v>47</v>
      </c>
      <c r="C2081" s="2" t="s">
        <v>4087</v>
      </c>
      <c r="D2081" s="11" t="n">
        <v>1391</v>
      </c>
      <c r="E2081" s="31" t="n">
        <v>54</v>
      </c>
      <c r="F2081" s="31" t="n">
        <v>6.7</v>
      </c>
      <c r="G2081" s="31" t="n">
        <v>62.1</v>
      </c>
      <c r="H2081" s="2" t="s">
        <v>671</v>
      </c>
    </row>
    <row r="2082" customFormat="false" ht="15" hidden="false" customHeight="false" outlineLevel="0" collapsed="false">
      <c r="A2082" s="2" t="s">
        <v>1246</v>
      </c>
      <c r="B2082" s="2" t="s">
        <v>4104</v>
      </c>
      <c r="C2082" s="2" t="s">
        <v>4085</v>
      </c>
      <c r="D2082" s="2"/>
      <c r="E2082" s="31" t="n">
        <v>40.8</v>
      </c>
      <c r="F2082" s="31" t="n">
        <v>32.4</v>
      </c>
      <c r="G2082" s="31" t="n">
        <v>86.8</v>
      </c>
      <c r="H2082" s="2" t="s">
        <v>668</v>
      </c>
    </row>
    <row r="2083" customFormat="false" ht="15" hidden="false" customHeight="false" outlineLevel="0" collapsed="false">
      <c r="A2083" s="2" t="s">
        <v>1246</v>
      </c>
      <c r="B2083" s="2" t="s">
        <v>4104</v>
      </c>
      <c r="C2083" s="2" t="s">
        <v>4086</v>
      </c>
      <c r="D2083" s="2"/>
      <c r="E2083" s="31" t="n">
        <v>51.5</v>
      </c>
      <c r="F2083" s="31" t="n">
        <v>33</v>
      </c>
      <c r="G2083" s="31" t="n">
        <v>92.3</v>
      </c>
      <c r="H2083" s="2" t="s">
        <v>668</v>
      </c>
    </row>
    <row r="2084" customFormat="false" ht="15" hidden="false" customHeight="false" outlineLevel="0" collapsed="false">
      <c r="A2084" s="2" t="s">
        <v>1246</v>
      </c>
      <c r="B2084" s="2" t="s">
        <v>4104</v>
      </c>
      <c r="C2084" s="2" t="s">
        <v>4087</v>
      </c>
      <c r="D2084" s="2"/>
      <c r="E2084" s="31" t="n">
        <v>43.3</v>
      </c>
      <c r="F2084" s="31" t="n">
        <v>60.8</v>
      </c>
      <c r="G2084" s="31" t="n">
        <v>23.5</v>
      </c>
      <c r="H2084" s="2" t="s">
        <v>668</v>
      </c>
    </row>
    <row r="2085" customFormat="false" ht="15" hidden="false" customHeight="false" outlineLevel="0" collapsed="false">
      <c r="A2085" s="2" t="s">
        <v>1246</v>
      </c>
      <c r="B2085" s="2" t="s">
        <v>45</v>
      </c>
      <c r="C2085" s="2" t="s">
        <v>4085</v>
      </c>
      <c r="D2085" s="11" t="n">
        <v>237257</v>
      </c>
      <c r="E2085" s="31" t="n">
        <v>38.5</v>
      </c>
      <c r="F2085" s="31" t="n">
        <v>26.7</v>
      </c>
      <c r="G2085" s="2"/>
      <c r="H2085" s="2" t="s">
        <v>668</v>
      </c>
    </row>
    <row r="2086" customFormat="false" ht="15" hidden="false" customHeight="false" outlineLevel="0" collapsed="false">
      <c r="A2086" s="2" t="s">
        <v>1246</v>
      </c>
      <c r="B2086" s="2" t="s">
        <v>45</v>
      </c>
      <c r="C2086" s="2" t="s">
        <v>4086</v>
      </c>
      <c r="D2086" s="11" t="n">
        <v>247740</v>
      </c>
      <c r="E2086" s="31" t="n">
        <v>27.8</v>
      </c>
      <c r="F2086" s="31" t="n">
        <v>36.4</v>
      </c>
      <c r="G2086" s="2"/>
      <c r="H2086" s="2" t="s">
        <v>668</v>
      </c>
    </row>
    <row r="2087" customFormat="false" ht="15" hidden="false" customHeight="false" outlineLevel="0" collapsed="false">
      <c r="A2087" s="2" t="s">
        <v>1246</v>
      </c>
      <c r="B2087" s="2" t="s">
        <v>45</v>
      </c>
      <c r="C2087" s="2" t="s">
        <v>4087</v>
      </c>
      <c r="D2087" s="11" t="n">
        <v>250050</v>
      </c>
      <c r="E2087" s="31" t="n">
        <v>22.4</v>
      </c>
      <c r="F2087" s="31" t="n">
        <v>48.6</v>
      </c>
      <c r="G2087" s="31" t="n">
        <v>23.5</v>
      </c>
      <c r="H2087" s="2" t="s">
        <v>671</v>
      </c>
    </row>
    <row r="2088" customFormat="false" ht="15" hidden="false" customHeight="false" outlineLevel="0" collapsed="false">
      <c r="A2088" s="2" t="s">
        <v>1246</v>
      </c>
      <c r="B2088" s="2" t="s">
        <v>46</v>
      </c>
      <c r="C2088" s="2" t="s">
        <v>4085</v>
      </c>
      <c r="D2088" s="11" t="n">
        <v>26890</v>
      </c>
      <c r="E2088" s="31" t="n">
        <v>43.1</v>
      </c>
      <c r="F2088" s="31" t="n">
        <v>38.2</v>
      </c>
      <c r="G2088" s="31" t="n">
        <v>86.8</v>
      </c>
      <c r="H2088" s="2" t="s">
        <v>671</v>
      </c>
    </row>
    <row r="2089" customFormat="false" ht="15" hidden="false" customHeight="false" outlineLevel="0" collapsed="false">
      <c r="A2089" s="2" t="s">
        <v>1246</v>
      </c>
      <c r="B2089" s="2" t="s">
        <v>46</v>
      </c>
      <c r="C2089" s="2" t="s">
        <v>4086</v>
      </c>
      <c r="D2089" s="11" t="n">
        <v>27980</v>
      </c>
      <c r="E2089" s="31" t="n">
        <v>75.2</v>
      </c>
      <c r="F2089" s="31" t="n">
        <v>29.5</v>
      </c>
      <c r="G2089" s="31" t="n">
        <v>92.3</v>
      </c>
      <c r="H2089" s="2" t="s">
        <v>671</v>
      </c>
    </row>
    <row r="2090" customFormat="false" ht="15" hidden="false" customHeight="false" outlineLevel="0" collapsed="false">
      <c r="A2090" s="2" t="s">
        <v>1246</v>
      </c>
      <c r="B2090" s="2" t="s">
        <v>46</v>
      </c>
      <c r="C2090" s="2" t="s">
        <v>4087</v>
      </c>
      <c r="D2090" s="11" t="n">
        <v>28410</v>
      </c>
      <c r="E2090" s="31" t="n">
        <v>64.3</v>
      </c>
      <c r="F2090" s="31" t="n">
        <v>73</v>
      </c>
      <c r="G2090" s="2"/>
      <c r="H2090" s="2" t="s">
        <v>668</v>
      </c>
    </row>
    <row r="2091" customFormat="false" ht="15" hidden="false" customHeight="false" outlineLevel="0" collapsed="false">
      <c r="A2091" s="2" t="s">
        <v>1522</v>
      </c>
      <c r="B2091" s="2" t="s">
        <v>4104</v>
      </c>
      <c r="C2091" s="2" t="s">
        <v>4085</v>
      </c>
      <c r="D2091" s="2"/>
      <c r="E2091" s="31" t="n">
        <v>56.8</v>
      </c>
      <c r="F2091" s="31" t="n">
        <v>47.4</v>
      </c>
      <c r="G2091" s="31" t="n">
        <v>58.2</v>
      </c>
      <c r="H2091" s="2" t="s">
        <v>671</v>
      </c>
    </row>
    <row r="2092" customFormat="false" ht="15" hidden="false" customHeight="false" outlineLevel="0" collapsed="false">
      <c r="A2092" s="2" t="s">
        <v>1522</v>
      </c>
      <c r="B2092" s="2" t="s">
        <v>4104</v>
      </c>
      <c r="C2092" s="2" t="s">
        <v>4086</v>
      </c>
      <c r="D2092" s="2"/>
      <c r="E2092" s="31" t="n">
        <v>66.1</v>
      </c>
      <c r="F2092" s="31" t="n">
        <v>45.2</v>
      </c>
      <c r="G2092" s="31" t="n">
        <v>58.2</v>
      </c>
      <c r="H2092" s="2" t="s">
        <v>671</v>
      </c>
    </row>
    <row r="2093" customFormat="false" ht="15" hidden="false" customHeight="false" outlineLevel="0" collapsed="false">
      <c r="A2093" s="2" t="s">
        <v>1522</v>
      </c>
      <c r="B2093" s="2" t="s">
        <v>4104</v>
      </c>
      <c r="C2093" s="2" t="s">
        <v>4087</v>
      </c>
      <c r="D2093" s="2"/>
      <c r="E2093" s="31" t="n">
        <v>65.3</v>
      </c>
      <c r="F2093" s="31" t="n">
        <v>26.9</v>
      </c>
      <c r="G2093" s="31" t="n">
        <v>78.4</v>
      </c>
      <c r="H2093" s="2" t="s">
        <v>668</v>
      </c>
    </row>
    <row r="2094" customFormat="false" ht="15" hidden="false" customHeight="false" outlineLevel="0" collapsed="false">
      <c r="A2094" s="2" t="s">
        <v>1522</v>
      </c>
      <c r="B2094" s="2" t="s">
        <v>45</v>
      </c>
      <c r="C2094" s="2" t="s">
        <v>4085</v>
      </c>
      <c r="D2094" s="11" t="n">
        <v>132019</v>
      </c>
      <c r="E2094" s="31" t="n">
        <v>13</v>
      </c>
      <c r="F2094" s="31" t="n">
        <v>57.5</v>
      </c>
      <c r="G2094" s="31" t="n">
        <v>34.1</v>
      </c>
      <c r="H2094" s="2" t="s">
        <v>671</v>
      </c>
    </row>
    <row r="2095" customFormat="false" ht="15" hidden="false" customHeight="false" outlineLevel="0" collapsed="false">
      <c r="A2095" s="2" t="s">
        <v>1522</v>
      </c>
      <c r="B2095" s="2" t="s">
        <v>45</v>
      </c>
      <c r="C2095" s="2" t="s">
        <v>4086</v>
      </c>
      <c r="D2095" s="11" t="n">
        <v>132640</v>
      </c>
      <c r="E2095" s="31" t="n">
        <v>32.1</v>
      </c>
      <c r="F2095" s="31" t="n">
        <v>64.3</v>
      </c>
      <c r="G2095" s="31" t="n">
        <v>48</v>
      </c>
      <c r="H2095" s="2" t="s">
        <v>671</v>
      </c>
    </row>
    <row r="2096" customFormat="false" ht="15" hidden="false" customHeight="false" outlineLevel="0" collapsed="false">
      <c r="A2096" s="2" t="s">
        <v>1522</v>
      </c>
      <c r="B2096" s="2" t="s">
        <v>45</v>
      </c>
      <c r="C2096" s="2" t="s">
        <v>4087</v>
      </c>
      <c r="D2096" s="11" t="n">
        <v>136590</v>
      </c>
      <c r="E2096" s="31" t="n">
        <v>20.5</v>
      </c>
      <c r="F2096" s="31" t="n">
        <v>24.6</v>
      </c>
      <c r="G2096" s="2"/>
      <c r="H2096" s="2" t="s">
        <v>668</v>
      </c>
    </row>
    <row r="2097" customFormat="false" ht="15" hidden="false" customHeight="false" outlineLevel="0" collapsed="false">
      <c r="A2097" s="2" t="s">
        <v>1522</v>
      </c>
      <c r="B2097" s="2" t="s">
        <v>46</v>
      </c>
      <c r="C2097" s="2" t="s">
        <v>4085</v>
      </c>
      <c r="D2097" s="11" t="n">
        <v>243796</v>
      </c>
      <c r="E2097" s="31" t="n">
        <v>57.9</v>
      </c>
      <c r="F2097" s="31" t="n">
        <v>9</v>
      </c>
      <c r="G2097" s="31" t="n">
        <v>84</v>
      </c>
      <c r="H2097" s="2" t="s">
        <v>671</v>
      </c>
    </row>
    <row r="2098" customFormat="false" ht="15" hidden="false" customHeight="false" outlineLevel="0" collapsed="false">
      <c r="A2098" s="2" t="s">
        <v>1522</v>
      </c>
      <c r="B2098" s="2" t="s">
        <v>46</v>
      </c>
      <c r="C2098" s="2" t="s">
        <v>4086</v>
      </c>
      <c r="D2098" s="11" t="n">
        <v>249480</v>
      </c>
      <c r="E2098" s="31" t="n">
        <v>66.2</v>
      </c>
      <c r="F2098" s="31" t="n">
        <v>12.1</v>
      </c>
      <c r="G2098" s="31" t="n">
        <v>87.6</v>
      </c>
      <c r="H2098" s="2" t="s">
        <v>671</v>
      </c>
    </row>
    <row r="2099" customFormat="false" ht="15" hidden="false" customHeight="false" outlineLevel="0" collapsed="false">
      <c r="A2099" s="2" t="s">
        <v>1522</v>
      </c>
      <c r="B2099" s="2" t="s">
        <v>46</v>
      </c>
      <c r="C2099" s="2" t="s">
        <v>4087</v>
      </c>
      <c r="D2099" s="11" t="n">
        <v>243330</v>
      </c>
      <c r="E2099" s="31" t="n">
        <v>77.6</v>
      </c>
      <c r="F2099" s="31" t="n">
        <v>13.2</v>
      </c>
      <c r="G2099" s="31" t="n">
        <v>91.2</v>
      </c>
      <c r="H2099" s="2" t="s">
        <v>671</v>
      </c>
    </row>
    <row r="2100" customFormat="false" ht="15" hidden="false" customHeight="false" outlineLevel="0" collapsed="false">
      <c r="A2100" s="2" t="s">
        <v>1522</v>
      </c>
      <c r="B2100" s="2" t="s">
        <v>47</v>
      </c>
      <c r="C2100" s="2" t="s">
        <v>4085</v>
      </c>
      <c r="D2100" s="11" t="n">
        <v>45610</v>
      </c>
      <c r="E2100" s="31" t="n">
        <v>99.5</v>
      </c>
      <c r="F2100" s="31" t="n">
        <v>75.8</v>
      </c>
      <c r="G2100" s="31" t="n">
        <v>56.6</v>
      </c>
      <c r="H2100" s="2" t="s">
        <v>671</v>
      </c>
    </row>
    <row r="2101" customFormat="false" ht="15" hidden="false" customHeight="false" outlineLevel="0" collapsed="false">
      <c r="A2101" s="2" t="s">
        <v>1522</v>
      </c>
      <c r="B2101" s="2" t="s">
        <v>47</v>
      </c>
      <c r="C2101" s="2" t="s">
        <v>4086</v>
      </c>
      <c r="D2101" s="11" t="n">
        <v>48271</v>
      </c>
      <c r="E2101" s="31" t="n">
        <v>100</v>
      </c>
      <c r="F2101" s="31" t="n">
        <v>59.1</v>
      </c>
      <c r="G2101" s="31" t="n">
        <v>39.1</v>
      </c>
      <c r="H2101" s="2" t="s">
        <v>671</v>
      </c>
    </row>
    <row r="2102" customFormat="false" ht="15" hidden="false" customHeight="false" outlineLevel="0" collapsed="false">
      <c r="A2102" s="2" t="s">
        <v>1522</v>
      </c>
      <c r="B2102" s="2" t="s">
        <v>47</v>
      </c>
      <c r="C2102" s="2" t="s">
        <v>4087</v>
      </c>
      <c r="D2102" s="11" t="n">
        <v>48986</v>
      </c>
      <c r="E2102" s="31" t="n">
        <v>97.9</v>
      </c>
      <c r="F2102" s="31" t="n">
        <v>42.9</v>
      </c>
      <c r="G2102" s="31" t="n">
        <v>65.7</v>
      </c>
      <c r="H2102" s="2" t="s">
        <v>671</v>
      </c>
    </row>
    <row r="2103" customFormat="false" ht="15" hidden="false" customHeight="false" outlineLevel="0" collapsed="false">
      <c r="A2103" s="2" t="s">
        <v>1657</v>
      </c>
      <c r="B2103" s="2" t="s">
        <v>4104</v>
      </c>
      <c r="C2103" s="2" t="s">
        <v>4085</v>
      </c>
      <c r="D2103" s="2"/>
      <c r="E2103" s="31" t="n">
        <v>70</v>
      </c>
      <c r="F2103" s="31" t="n">
        <v>53.1</v>
      </c>
      <c r="G2103" s="31" t="n">
        <v>58.4</v>
      </c>
      <c r="H2103" s="2" t="s">
        <v>671</v>
      </c>
    </row>
    <row r="2104" customFormat="false" ht="15" hidden="false" customHeight="false" outlineLevel="0" collapsed="false">
      <c r="A2104" s="2" t="s">
        <v>1657</v>
      </c>
      <c r="B2104" s="2" t="s">
        <v>4104</v>
      </c>
      <c r="C2104" s="2" t="s">
        <v>4087</v>
      </c>
      <c r="D2104" s="2"/>
      <c r="E2104" s="31" t="n">
        <v>53.3</v>
      </c>
      <c r="F2104" s="31" t="n">
        <v>52</v>
      </c>
      <c r="G2104" s="31" t="n">
        <v>16.3</v>
      </c>
      <c r="H2104" s="2" t="s">
        <v>668</v>
      </c>
    </row>
    <row r="2105" customFormat="false" ht="15" hidden="false" customHeight="false" outlineLevel="0" collapsed="false">
      <c r="A2105" s="2" t="s">
        <v>1657</v>
      </c>
      <c r="B2105" s="2" t="s">
        <v>46</v>
      </c>
      <c r="C2105" s="2" t="s">
        <v>4085</v>
      </c>
      <c r="D2105" s="11" t="n">
        <v>55530</v>
      </c>
      <c r="E2105" s="31" t="n">
        <v>49.1</v>
      </c>
      <c r="F2105" s="31" t="n">
        <v>50.6</v>
      </c>
      <c r="G2105" s="31" t="n">
        <v>18.7</v>
      </c>
      <c r="H2105" s="2" t="s">
        <v>671</v>
      </c>
    </row>
    <row r="2106" customFormat="false" ht="15" hidden="false" customHeight="false" outlineLevel="0" collapsed="false">
      <c r="A2106" s="2" t="s">
        <v>1657</v>
      </c>
      <c r="B2106" s="2" t="s">
        <v>46</v>
      </c>
      <c r="C2106" s="2" t="s">
        <v>4087</v>
      </c>
      <c r="D2106" s="11" t="n">
        <v>54490</v>
      </c>
      <c r="E2106" s="31" t="n">
        <v>53.3</v>
      </c>
      <c r="F2106" s="31" t="n">
        <v>10.8</v>
      </c>
      <c r="G2106" s="31" t="n">
        <v>16.3</v>
      </c>
      <c r="H2106" s="2" t="s">
        <v>671</v>
      </c>
    </row>
    <row r="2107" customFormat="false" ht="15" hidden="false" customHeight="false" outlineLevel="0" collapsed="false">
      <c r="A2107" s="2" t="s">
        <v>1657</v>
      </c>
      <c r="B2107" s="2" t="s">
        <v>47</v>
      </c>
      <c r="C2107" s="2" t="s">
        <v>4085</v>
      </c>
      <c r="D2107" s="11" t="n">
        <v>4078</v>
      </c>
      <c r="E2107" s="31" t="n">
        <v>90.8</v>
      </c>
      <c r="F2107" s="31" t="n">
        <v>55.6</v>
      </c>
      <c r="G2107" s="31" t="n">
        <v>98.2</v>
      </c>
      <c r="H2107" s="2" t="s">
        <v>671</v>
      </c>
    </row>
    <row r="2108" customFormat="false" ht="15" hidden="false" customHeight="false" outlineLevel="0" collapsed="false">
      <c r="A2108" s="2" t="s">
        <v>1657</v>
      </c>
      <c r="B2108" s="2" t="s">
        <v>47</v>
      </c>
      <c r="C2108" s="2" t="s">
        <v>4087</v>
      </c>
      <c r="D2108" s="11" t="n">
        <v>4386</v>
      </c>
      <c r="E2108" s="2"/>
      <c r="F2108" s="31" t="n">
        <v>93.3</v>
      </c>
      <c r="G2108" s="2"/>
      <c r="H2108" s="2" t="s">
        <v>668</v>
      </c>
    </row>
    <row r="2109" customFormat="false" ht="15" hidden="false" customHeight="false" outlineLevel="0" collapsed="false">
      <c r="A2109" s="2" t="s">
        <v>846</v>
      </c>
      <c r="B2109" s="2" t="s">
        <v>4104</v>
      </c>
      <c r="C2109" s="2" t="s">
        <v>4085</v>
      </c>
      <c r="D2109" s="2"/>
      <c r="E2109" s="31" t="n">
        <v>42.2</v>
      </c>
      <c r="F2109" s="31" t="n">
        <v>31.8</v>
      </c>
      <c r="G2109" s="31" t="n">
        <v>75</v>
      </c>
      <c r="H2109" s="2" t="s">
        <v>668</v>
      </c>
    </row>
    <row r="2110" customFormat="false" ht="15" hidden="false" customHeight="false" outlineLevel="0" collapsed="false">
      <c r="A2110" s="2" t="s">
        <v>846</v>
      </c>
      <c r="B2110" s="2" t="s">
        <v>4104</v>
      </c>
      <c r="C2110" s="2" t="s">
        <v>4086</v>
      </c>
      <c r="D2110" s="2"/>
      <c r="E2110" s="31" t="n">
        <v>49.9</v>
      </c>
      <c r="F2110" s="31" t="n">
        <v>27.5</v>
      </c>
      <c r="G2110" s="31" t="n">
        <v>67.5</v>
      </c>
      <c r="H2110" s="2" t="s">
        <v>671</v>
      </c>
    </row>
    <row r="2111" customFormat="false" ht="15" hidden="false" customHeight="false" outlineLevel="0" collapsed="false">
      <c r="A2111" s="2" t="s">
        <v>846</v>
      </c>
      <c r="B2111" s="2" t="s">
        <v>4104</v>
      </c>
      <c r="C2111" s="2" t="s">
        <v>4087</v>
      </c>
      <c r="D2111" s="2"/>
      <c r="E2111" s="31" t="n">
        <v>67.4</v>
      </c>
      <c r="F2111" s="31" t="n">
        <v>56.2</v>
      </c>
      <c r="G2111" s="31" t="n">
        <v>69.5</v>
      </c>
      <c r="H2111" s="2" t="s">
        <v>668</v>
      </c>
    </row>
    <row r="2112" customFormat="false" ht="15" hidden="false" customHeight="false" outlineLevel="0" collapsed="false">
      <c r="A2112" s="2" t="s">
        <v>846</v>
      </c>
      <c r="B2112" s="2" t="s">
        <v>45</v>
      </c>
      <c r="C2112" s="2" t="s">
        <v>4085</v>
      </c>
      <c r="D2112" s="11" t="n">
        <v>27620</v>
      </c>
      <c r="E2112" s="31" t="n">
        <v>61.8</v>
      </c>
      <c r="F2112" s="31" t="n">
        <v>26.6</v>
      </c>
      <c r="G2112" s="31" t="n">
        <v>64.1</v>
      </c>
      <c r="H2112" s="2" t="s">
        <v>671</v>
      </c>
    </row>
    <row r="2113" customFormat="false" ht="15" hidden="false" customHeight="false" outlineLevel="0" collapsed="false">
      <c r="A2113" s="2" t="s">
        <v>846</v>
      </c>
      <c r="B2113" s="2" t="s">
        <v>45</v>
      </c>
      <c r="C2113" s="2" t="s">
        <v>4086</v>
      </c>
      <c r="D2113" s="11" t="n">
        <v>27710</v>
      </c>
      <c r="E2113" s="31" t="n">
        <v>69.9</v>
      </c>
      <c r="F2113" s="31" t="n">
        <v>3.8</v>
      </c>
      <c r="G2113" s="31" t="n">
        <v>96.5</v>
      </c>
      <c r="H2113" s="2" t="s">
        <v>671</v>
      </c>
    </row>
    <row r="2114" customFormat="false" ht="15" hidden="false" customHeight="false" outlineLevel="0" collapsed="false">
      <c r="A2114" s="2" t="s">
        <v>846</v>
      </c>
      <c r="B2114" s="2" t="s">
        <v>45</v>
      </c>
      <c r="C2114" s="2" t="s">
        <v>4087</v>
      </c>
      <c r="D2114" s="11" t="n">
        <v>28360</v>
      </c>
      <c r="E2114" s="31" t="n">
        <v>75.6</v>
      </c>
      <c r="F2114" s="31" t="n">
        <v>23</v>
      </c>
      <c r="G2114" s="31" t="n">
        <v>56.9</v>
      </c>
      <c r="H2114" s="2" t="s">
        <v>671</v>
      </c>
    </row>
    <row r="2115" customFormat="false" ht="15" hidden="false" customHeight="false" outlineLevel="0" collapsed="false">
      <c r="A2115" s="2" t="s">
        <v>846</v>
      </c>
      <c r="B2115" s="2" t="s">
        <v>46</v>
      </c>
      <c r="C2115" s="2" t="s">
        <v>4085</v>
      </c>
      <c r="D2115" s="11" t="n">
        <v>7110</v>
      </c>
      <c r="E2115" s="31" t="n">
        <v>38.2</v>
      </c>
      <c r="F2115" s="31" t="n">
        <v>24.6</v>
      </c>
      <c r="G2115" s="2"/>
      <c r="H2115" s="2" t="s">
        <v>668</v>
      </c>
    </row>
    <row r="2116" customFormat="false" ht="15" hidden="false" customHeight="false" outlineLevel="0" collapsed="false">
      <c r="A2116" s="2" t="s">
        <v>846</v>
      </c>
      <c r="B2116" s="2" t="s">
        <v>46</v>
      </c>
      <c r="C2116" s="2" t="s">
        <v>4086</v>
      </c>
      <c r="D2116" s="11" t="n">
        <v>7281</v>
      </c>
      <c r="E2116" s="31" t="n">
        <v>22</v>
      </c>
      <c r="F2116" s="31" t="n">
        <v>9.4</v>
      </c>
      <c r="G2116" s="31" t="n">
        <v>14.1</v>
      </c>
      <c r="H2116" s="2" t="s">
        <v>671</v>
      </c>
    </row>
    <row r="2117" customFormat="false" ht="15" hidden="false" customHeight="false" outlineLevel="0" collapsed="false">
      <c r="A2117" s="2" t="s">
        <v>846</v>
      </c>
      <c r="B2117" s="2" t="s">
        <v>46</v>
      </c>
      <c r="C2117" s="2" t="s">
        <v>4087</v>
      </c>
      <c r="D2117" s="2"/>
      <c r="E2117" s="2"/>
      <c r="F2117" s="2"/>
      <c r="G2117" s="2"/>
      <c r="H2117" s="2" t="s">
        <v>668</v>
      </c>
    </row>
    <row r="2118" customFormat="false" ht="15" hidden="false" customHeight="false" outlineLevel="0" collapsed="false">
      <c r="A2118" s="2" t="s">
        <v>846</v>
      </c>
      <c r="B2118" s="2" t="s">
        <v>47</v>
      </c>
      <c r="C2118" s="2" t="s">
        <v>4085</v>
      </c>
      <c r="D2118" s="11" t="n">
        <v>39803</v>
      </c>
      <c r="E2118" s="31" t="n">
        <v>26.5</v>
      </c>
      <c r="F2118" s="31" t="n">
        <v>44.1</v>
      </c>
      <c r="G2118" s="31" t="n">
        <v>85.9</v>
      </c>
      <c r="H2118" s="2" t="s">
        <v>671</v>
      </c>
    </row>
    <row r="2119" customFormat="false" ht="15" hidden="false" customHeight="false" outlineLevel="0" collapsed="false">
      <c r="A2119" s="2" t="s">
        <v>846</v>
      </c>
      <c r="B2119" s="2" t="s">
        <v>47</v>
      </c>
      <c r="C2119" s="2" t="s">
        <v>4086</v>
      </c>
      <c r="D2119" s="11" t="n">
        <v>39840</v>
      </c>
      <c r="E2119" s="31" t="n">
        <v>57.7</v>
      </c>
      <c r="F2119" s="31" t="n">
        <v>69.2</v>
      </c>
      <c r="G2119" s="31" t="n">
        <v>91.8</v>
      </c>
      <c r="H2119" s="2" t="s">
        <v>671</v>
      </c>
    </row>
    <row r="2120" customFormat="false" ht="15" hidden="false" customHeight="false" outlineLevel="0" collapsed="false">
      <c r="A2120" s="2" t="s">
        <v>846</v>
      </c>
      <c r="B2120" s="2" t="s">
        <v>47</v>
      </c>
      <c r="C2120" s="2" t="s">
        <v>4087</v>
      </c>
      <c r="D2120" s="11" t="n">
        <v>42231</v>
      </c>
      <c r="E2120" s="31" t="n">
        <v>59.3</v>
      </c>
      <c r="F2120" s="31" t="n">
        <v>89.4</v>
      </c>
      <c r="G2120" s="31" t="n">
        <v>82.1</v>
      </c>
      <c r="H2120" s="2" t="s">
        <v>671</v>
      </c>
    </row>
    <row r="2121" customFormat="false" ht="15" hidden="false" customHeight="false" outlineLevel="0" collapsed="false">
      <c r="A2121" s="2" t="s">
        <v>1796</v>
      </c>
      <c r="B2121" s="2" t="s">
        <v>4104</v>
      </c>
      <c r="C2121" s="2" t="s">
        <v>4085</v>
      </c>
      <c r="D2121" s="2"/>
      <c r="E2121" s="31" t="n">
        <v>60.5</v>
      </c>
      <c r="F2121" s="31" t="n">
        <v>30.3</v>
      </c>
      <c r="G2121" s="31" t="n">
        <v>89.8</v>
      </c>
      <c r="H2121" s="2" t="s">
        <v>668</v>
      </c>
    </row>
    <row r="2122" customFormat="false" ht="15" hidden="false" customHeight="false" outlineLevel="0" collapsed="false">
      <c r="A2122" s="2" t="s">
        <v>1796</v>
      </c>
      <c r="B2122" s="2" t="s">
        <v>4104</v>
      </c>
      <c r="C2122" s="2" t="s">
        <v>4086</v>
      </c>
      <c r="D2122" s="2"/>
      <c r="E2122" s="31" t="n">
        <v>48.9</v>
      </c>
      <c r="F2122" s="31" t="n">
        <v>21.8</v>
      </c>
      <c r="G2122" s="31" t="n">
        <v>69</v>
      </c>
      <c r="H2122" s="2" t="s">
        <v>668</v>
      </c>
    </row>
    <row r="2123" customFormat="false" ht="15" hidden="false" customHeight="false" outlineLevel="0" collapsed="false">
      <c r="A2123" s="2" t="s">
        <v>1796</v>
      </c>
      <c r="B2123" s="2" t="s">
        <v>4104</v>
      </c>
      <c r="C2123" s="2" t="s">
        <v>4087</v>
      </c>
      <c r="D2123" s="2"/>
      <c r="E2123" s="31" t="n">
        <v>37.4</v>
      </c>
      <c r="F2123" s="31" t="n">
        <v>39.2</v>
      </c>
      <c r="G2123" s="31" t="n">
        <v>62.4</v>
      </c>
      <c r="H2123" s="2" t="s">
        <v>668</v>
      </c>
    </row>
    <row r="2124" customFormat="false" ht="15" hidden="false" customHeight="false" outlineLevel="0" collapsed="false">
      <c r="A2124" s="2" t="s">
        <v>1796</v>
      </c>
      <c r="B2124" s="2" t="s">
        <v>45</v>
      </c>
      <c r="C2124" s="2" t="s">
        <v>4085</v>
      </c>
      <c r="D2124" s="11" t="n">
        <v>23172</v>
      </c>
      <c r="E2124" s="31" t="n">
        <v>70</v>
      </c>
      <c r="F2124" s="31" t="n">
        <v>36.9</v>
      </c>
      <c r="G2124" s="2"/>
      <c r="H2124" s="2" t="s">
        <v>668</v>
      </c>
    </row>
    <row r="2125" customFormat="false" ht="15" hidden="false" customHeight="false" outlineLevel="0" collapsed="false">
      <c r="A2125" s="2" t="s">
        <v>1796</v>
      </c>
      <c r="B2125" s="2" t="s">
        <v>45</v>
      </c>
      <c r="C2125" s="2" t="s">
        <v>4086</v>
      </c>
      <c r="D2125" s="11" t="n">
        <v>23940</v>
      </c>
      <c r="E2125" s="31" t="n">
        <v>58</v>
      </c>
      <c r="F2125" s="31" t="n">
        <v>41.2</v>
      </c>
      <c r="G2125" s="31" t="n">
        <v>75.3</v>
      </c>
      <c r="H2125" s="2" t="s">
        <v>671</v>
      </c>
    </row>
    <row r="2126" customFormat="false" ht="15" hidden="false" customHeight="false" outlineLevel="0" collapsed="false">
      <c r="A2126" s="2" t="s">
        <v>1796</v>
      </c>
      <c r="B2126" s="2" t="s">
        <v>45</v>
      </c>
      <c r="C2126" s="2" t="s">
        <v>4087</v>
      </c>
      <c r="D2126" s="2"/>
      <c r="E2126" s="2"/>
      <c r="F2126" s="2"/>
      <c r="G2126" s="2"/>
      <c r="H2126" s="2" t="s">
        <v>668</v>
      </c>
    </row>
    <row r="2127" customFormat="false" ht="15" hidden="false" customHeight="false" outlineLevel="0" collapsed="false">
      <c r="A2127" s="2" t="s">
        <v>1796</v>
      </c>
      <c r="B2127" s="2" t="s">
        <v>46</v>
      </c>
      <c r="C2127" s="2" t="s">
        <v>4085</v>
      </c>
      <c r="D2127" s="11" t="n">
        <v>4240</v>
      </c>
      <c r="E2127" s="31" t="n">
        <v>66.3</v>
      </c>
      <c r="F2127" s="31" t="n">
        <v>45.6</v>
      </c>
      <c r="G2127" s="31" t="n">
        <v>94.7</v>
      </c>
      <c r="H2127" s="2" t="s">
        <v>671</v>
      </c>
    </row>
    <row r="2128" customFormat="false" ht="15" hidden="false" customHeight="false" outlineLevel="0" collapsed="false">
      <c r="A2128" s="2" t="s">
        <v>1796</v>
      </c>
      <c r="B2128" s="2" t="s">
        <v>46</v>
      </c>
      <c r="C2128" s="2" t="s">
        <v>4086</v>
      </c>
      <c r="D2128" s="11" t="n">
        <v>4510</v>
      </c>
      <c r="E2128" s="31" t="n">
        <v>48.3</v>
      </c>
      <c r="F2128" s="2"/>
      <c r="G2128" s="31" t="n">
        <v>58.9</v>
      </c>
      <c r="H2128" s="2" t="s">
        <v>668</v>
      </c>
    </row>
    <row r="2129" customFormat="false" ht="15" hidden="false" customHeight="false" outlineLevel="0" collapsed="false">
      <c r="A2129" s="2" t="s">
        <v>1796</v>
      </c>
      <c r="B2129" s="2" t="s">
        <v>46</v>
      </c>
      <c r="C2129" s="2" t="s">
        <v>4087</v>
      </c>
      <c r="D2129" s="11" t="n">
        <v>4560</v>
      </c>
      <c r="E2129" s="31" t="n">
        <v>30.4</v>
      </c>
      <c r="F2129" s="31" t="n">
        <v>58.3</v>
      </c>
      <c r="G2129" s="31" t="n">
        <v>38.3</v>
      </c>
      <c r="H2129" s="2" t="s">
        <v>671</v>
      </c>
    </row>
    <row r="2130" customFormat="false" ht="15" hidden="false" customHeight="false" outlineLevel="0" collapsed="false">
      <c r="A2130" s="2" t="s">
        <v>1796</v>
      </c>
      <c r="B2130" s="2" t="s">
        <v>47</v>
      </c>
      <c r="C2130" s="2" t="s">
        <v>4085</v>
      </c>
      <c r="D2130" s="11" t="n">
        <v>46179</v>
      </c>
      <c r="E2130" s="31" t="n">
        <v>45.3</v>
      </c>
      <c r="F2130" s="31" t="n">
        <v>8.5</v>
      </c>
      <c r="G2130" s="31" t="n">
        <v>84.8</v>
      </c>
      <c r="H2130" s="2" t="s">
        <v>671</v>
      </c>
    </row>
    <row r="2131" customFormat="false" ht="15" hidden="false" customHeight="false" outlineLevel="0" collapsed="false">
      <c r="A2131" s="2" t="s">
        <v>1796</v>
      </c>
      <c r="B2131" s="2" t="s">
        <v>47</v>
      </c>
      <c r="C2131" s="2" t="s">
        <v>4086</v>
      </c>
      <c r="D2131" s="11" t="n">
        <v>46051</v>
      </c>
      <c r="E2131" s="31" t="n">
        <v>40.4</v>
      </c>
      <c r="F2131" s="31" t="n">
        <v>2.3</v>
      </c>
      <c r="G2131" s="31" t="n">
        <v>72.8</v>
      </c>
      <c r="H2131" s="2" t="s">
        <v>671</v>
      </c>
    </row>
    <row r="2132" customFormat="false" ht="15" hidden="false" customHeight="false" outlineLevel="0" collapsed="false">
      <c r="A2132" s="2" t="s">
        <v>1796</v>
      </c>
      <c r="B2132" s="2" t="s">
        <v>47</v>
      </c>
      <c r="C2132" s="2" t="s">
        <v>4087</v>
      </c>
      <c r="D2132" s="11" t="n">
        <v>45474</v>
      </c>
      <c r="E2132" s="31" t="n">
        <v>44.5</v>
      </c>
      <c r="F2132" s="31" t="n">
        <v>20.2</v>
      </c>
      <c r="G2132" s="31" t="n">
        <v>86.5</v>
      </c>
      <c r="H2132" s="2" t="s">
        <v>668</v>
      </c>
    </row>
    <row r="2133" customFormat="false" ht="15" hidden="false" customHeight="false" outlineLevel="0" collapsed="false">
      <c r="A2133" s="2" t="s">
        <v>915</v>
      </c>
      <c r="B2133" s="2" t="s">
        <v>4104</v>
      </c>
      <c r="C2133" s="2" t="s">
        <v>4085</v>
      </c>
      <c r="D2133" s="2"/>
      <c r="E2133" s="31" t="n">
        <v>55.9</v>
      </c>
      <c r="F2133" s="31" t="n">
        <v>62.9</v>
      </c>
      <c r="G2133" s="31" t="n">
        <v>43.7</v>
      </c>
      <c r="H2133" s="2" t="s">
        <v>668</v>
      </c>
    </row>
    <row r="2134" customFormat="false" ht="15" hidden="false" customHeight="false" outlineLevel="0" collapsed="false">
      <c r="A2134" s="2" t="s">
        <v>915</v>
      </c>
      <c r="B2134" s="2" t="s">
        <v>4104</v>
      </c>
      <c r="C2134" s="2" t="s">
        <v>4086</v>
      </c>
      <c r="D2134" s="2"/>
      <c r="E2134" s="31" t="n">
        <v>49.9</v>
      </c>
      <c r="F2134" s="31" t="n">
        <v>61.8</v>
      </c>
      <c r="G2134" s="31" t="n">
        <v>49.6</v>
      </c>
      <c r="H2134" s="2" t="s">
        <v>671</v>
      </c>
    </row>
    <row r="2135" customFormat="false" ht="15" hidden="false" customHeight="false" outlineLevel="0" collapsed="false">
      <c r="A2135" s="2" t="s">
        <v>915</v>
      </c>
      <c r="B2135" s="2" t="s">
        <v>4104</v>
      </c>
      <c r="C2135" s="2" t="s">
        <v>4087</v>
      </c>
      <c r="D2135" s="2"/>
      <c r="E2135" s="31" t="n">
        <v>47.2</v>
      </c>
      <c r="F2135" s="31" t="n">
        <v>53.2</v>
      </c>
      <c r="G2135" s="31" t="n">
        <v>22</v>
      </c>
      <c r="H2135" s="2" t="s">
        <v>668</v>
      </c>
    </row>
    <row r="2136" customFormat="false" ht="15" hidden="false" customHeight="false" outlineLevel="0" collapsed="false">
      <c r="A2136" s="2" t="s">
        <v>915</v>
      </c>
      <c r="B2136" s="2" t="s">
        <v>45</v>
      </c>
      <c r="C2136" s="2" t="s">
        <v>4085</v>
      </c>
      <c r="D2136" s="11" t="n">
        <v>55190</v>
      </c>
      <c r="E2136" s="31" t="n">
        <v>56.4</v>
      </c>
      <c r="F2136" s="31" t="n">
        <v>47.4</v>
      </c>
      <c r="G2136" s="2"/>
      <c r="H2136" s="2" t="s">
        <v>668</v>
      </c>
    </row>
    <row r="2137" customFormat="false" ht="15" hidden="false" customHeight="false" outlineLevel="0" collapsed="false">
      <c r="A2137" s="2" t="s">
        <v>915</v>
      </c>
      <c r="B2137" s="2" t="s">
        <v>45</v>
      </c>
      <c r="C2137" s="2" t="s">
        <v>4086</v>
      </c>
      <c r="D2137" s="11" t="n">
        <v>56430</v>
      </c>
      <c r="E2137" s="31" t="n">
        <v>58.2</v>
      </c>
      <c r="F2137" s="31" t="n">
        <v>41.6</v>
      </c>
      <c r="G2137" s="31" t="n">
        <v>72.3</v>
      </c>
      <c r="H2137" s="2" t="s">
        <v>671</v>
      </c>
    </row>
    <row r="2138" customFormat="false" ht="15" hidden="false" customHeight="false" outlineLevel="0" collapsed="false">
      <c r="A2138" s="2" t="s">
        <v>915</v>
      </c>
      <c r="B2138" s="2" t="s">
        <v>45</v>
      </c>
      <c r="C2138" s="2" t="s">
        <v>4087</v>
      </c>
      <c r="D2138" s="11" t="n">
        <v>58510</v>
      </c>
      <c r="E2138" s="31" t="n">
        <v>67.1</v>
      </c>
      <c r="F2138" s="31" t="n">
        <v>58.7</v>
      </c>
      <c r="G2138" s="31" t="n">
        <v>42</v>
      </c>
      <c r="H2138" s="2" t="s">
        <v>671</v>
      </c>
    </row>
    <row r="2139" customFormat="false" ht="15" hidden="false" customHeight="false" outlineLevel="0" collapsed="false">
      <c r="A2139" s="2" t="s">
        <v>915</v>
      </c>
      <c r="B2139" s="2" t="s">
        <v>46</v>
      </c>
      <c r="C2139" s="2" t="s">
        <v>4085</v>
      </c>
      <c r="D2139" s="2"/>
      <c r="E2139" s="2"/>
      <c r="F2139" s="2"/>
      <c r="G2139" s="2"/>
      <c r="H2139" s="2" t="s">
        <v>668</v>
      </c>
    </row>
    <row r="2140" customFormat="false" ht="15" hidden="false" customHeight="false" outlineLevel="0" collapsed="false">
      <c r="A2140" s="2" t="s">
        <v>915</v>
      </c>
      <c r="B2140" s="2" t="s">
        <v>46</v>
      </c>
      <c r="C2140" s="2" t="s">
        <v>4086</v>
      </c>
      <c r="D2140" s="11" t="n">
        <v>57650</v>
      </c>
      <c r="E2140" s="31" t="n">
        <v>17.7</v>
      </c>
      <c r="F2140" s="31" t="n">
        <v>63.6</v>
      </c>
      <c r="G2140" s="31" t="n">
        <v>14.8</v>
      </c>
      <c r="H2140" s="2" t="s">
        <v>671</v>
      </c>
    </row>
    <row r="2141" customFormat="false" ht="15" hidden="false" customHeight="false" outlineLevel="0" collapsed="false">
      <c r="A2141" s="2" t="s">
        <v>915</v>
      </c>
      <c r="B2141" s="2" t="s">
        <v>46</v>
      </c>
      <c r="C2141" s="2" t="s">
        <v>4087</v>
      </c>
      <c r="D2141" s="11" t="n">
        <v>58720</v>
      </c>
      <c r="E2141" s="31" t="n">
        <v>27.3</v>
      </c>
      <c r="F2141" s="31" t="n">
        <v>47.7</v>
      </c>
      <c r="G2141" s="31" t="n">
        <v>2.1</v>
      </c>
      <c r="H2141" s="2" t="s">
        <v>671</v>
      </c>
    </row>
    <row r="2142" customFormat="false" ht="15" hidden="false" customHeight="false" outlineLevel="0" collapsed="false">
      <c r="A2142" s="2" t="s">
        <v>915</v>
      </c>
      <c r="B2142" s="2" t="s">
        <v>47</v>
      </c>
      <c r="C2142" s="2" t="s">
        <v>4085</v>
      </c>
      <c r="D2142" s="11" t="n">
        <v>11886</v>
      </c>
      <c r="E2142" s="31" t="n">
        <v>55.4</v>
      </c>
      <c r="F2142" s="31" t="n">
        <v>78.4</v>
      </c>
      <c r="G2142" s="31" t="n">
        <v>43.7</v>
      </c>
      <c r="H2142" s="2" t="s">
        <v>671</v>
      </c>
    </row>
    <row r="2143" customFormat="false" ht="15" hidden="false" customHeight="false" outlineLevel="0" collapsed="false">
      <c r="A2143" s="2" t="s">
        <v>915</v>
      </c>
      <c r="B2143" s="2" t="s">
        <v>47</v>
      </c>
      <c r="C2143" s="2" t="s">
        <v>4086</v>
      </c>
      <c r="D2143" s="11" t="n">
        <v>12546</v>
      </c>
      <c r="E2143" s="31" t="n">
        <v>73.9</v>
      </c>
      <c r="F2143" s="31" t="n">
        <v>80.2</v>
      </c>
      <c r="G2143" s="31" t="n">
        <v>61.8</v>
      </c>
      <c r="H2143" s="2" t="s">
        <v>671</v>
      </c>
    </row>
    <row r="2144" customFormat="false" ht="15" hidden="false" customHeight="false" outlineLevel="0" collapsed="false">
      <c r="A2144" s="2" t="s">
        <v>915</v>
      </c>
      <c r="B2144" s="2" t="s">
        <v>47</v>
      </c>
      <c r="C2144" s="2" t="s">
        <v>4087</v>
      </c>
      <c r="D2144" s="2"/>
      <c r="E2144" s="2"/>
      <c r="F2144" s="2"/>
      <c r="G2144" s="2"/>
      <c r="H2144" s="2" t="s">
        <v>668</v>
      </c>
    </row>
    <row r="2145" customFormat="false" ht="15" hidden="false" customHeight="false" outlineLevel="0" collapsed="false">
      <c r="A2145" s="2" t="s">
        <v>941</v>
      </c>
      <c r="B2145" s="2" t="s">
        <v>4104</v>
      </c>
      <c r="C2145" s="2" t="s">
        <v>4085</v>
      </c>
      <c r="D2145" s="2"/>
      <c r="E2145" s="31" t="n">
        <v>21.3</v>
      </c>
      <c r="F2145" s="31" t="n">
        <v>13.9</v>
      </c>
      <c r="G2145" s="31" t="n">
        <v>63.2</v>
      </c>
      <c r="H2145" s="2" t="s">
        <v>671</v>
      </c>
    </row>
    <row r="2146" customFormat="false" ht="15" hidden="false" customHeight="false" outlineLevel="0" collapsed="false">
      <c r="A2146" s="2" t="s">
        <v>941</v>
      </c>
      <c r="B2146" s="2" t="s">
        <v>4104</v>
      </c>
      <c r="C2146" s="2" t="s">
        <v>4086</v>
      </c>
      <c r="D2146" s="2"/>
      <c r="E2146" s="31" t="n">
        <v>35.8</v>
      </c>
      <c r="F2146" s="31" t="n">
        <v>15.8</v>
      </c>
      <c r="G2146" s="31" t="n">
        <v>88.1</v>
      </c>
      <c r="H2146" s="2" t="s">
        <v>668</v>
      </c>
    </row>
    <row r="2147" customFormat="false" ht="15" hidden="false" customHeight="false" outlineLevel="0" collapsed="false">
      <c r="A2147" s="2" t="s">
        <v>941</v>
      </c>
      <c r="B2147" s="2" t="s">
        <v>4104</v>
      </c>
      <c r="C2147" s="2" t="s">
        <v>4087</v>
      </c>
      <c r="D2147" s="2"/>
      <c r="E2147" s="31" t="n">
        <v>32.4</v>
      </c>
      <c r="F2147" s="31" t="n">
        <v>8.8</v>
      </c>
      <c r="G2147" s="31" t="n">
        <v>92.6</v>
      </c>
      <c r="H2147" s="2" t="s">
        <v>668</v>
      </c>
    </row>
    <row r="2148" customFormat="false" ht="15" hidden="false" customHeight="false" outlineLevel="0" collapsed="false">
      <c r="A2148" s="2" t="s">
        <v>941</v>
      </c>
      <c r="B2148" s="2" t="s">
        <v>45</v>
      </c>
      <c r="C2148" s="2" t="s">
        <v>4085</v>
      </c>
      <c r="D2148" s="11" t="n">
        <v>46610</v>
      </c>
      <c r="E2148" s="31" t="n">
        <v>27.4</v>
      </c>
      <c r="F2148" s="31" t="n">
        <v>15.7</v>
      </c>
      <c r="G2148" s="31" t="n">
        <v>60.2</v>
      </c>
      <c r="H2148" s="2" t="s">
        <v>671</v>
      </c>
    </row>
    <row r="2149" customFormat="false" ht="15" hidden="false" customHeight="false" outlineLevel="0" collapsed="false">
      <c r="A2149" s="2" t="s">
        <v>941</v>
      </c>
      <c r="B2149" s="2" t="s">
        <v>45</v>
      </c>
      <c r="C2149" s="2" t="s">
        <v>4086</v>
      </c>
      <c r="D2149" s="11" t="n">
        <v>46690</v>
      </c>
      <c r="E2149" s="31" t="n">
        <v>43.3</v>
      </c>
      <c r="F2149" s="31" t="n">
        <v>25.4</v>
      </c>
      <c r="G2149" s="31" t="n">
        <v>80.9</v>
      </c>
      <c r="H2149" s="2" t="s">
        <v>671</v>
      </c>
    </row>
    <row r="2150" customFormat="false" ht="15" hidden="false" customHeight="false" outlineLevel="0" collapsed="false">
      <c r="A2150" s="2" t="s">
        <v>941</v>
      </c>
      <c r="B2150" s="2" t="s">
        <v>45</v>
      </c>
      <c r="C2150" s="2" t="s">
        <v>4087</v>
      </c>
      <c r="D2150" s="11" t="n">
        <v>44800</v>
      </c>
      <c r="E2150" s="31" t="n">
        <v>63.7</v>
      </c>
      <c r="F2150" s="31" t="n">
        <v>2</v>
      </c>
      <c r="G2150" s="31" t="n">
        <v>96.7</v>
      </c>
      <c r="H2150" s="2" t="s">
        <v>671</v>
      </c>
    </row>
    <row r="2151" customFormat="false" ht="15" hidden="false" customHeight="false" outlineLevel="0" collapsed="false">
      <c r="A2151" s="2" t="s">
        <v>941</v>
      </c>
      <c r="B2151" s="2" t="s">
        <v>46</v>
      </c>
      <c r="C2151" s="2" t="s">
        <v>4085</v>
      </c>
      <c r="D2151" s="11" t="n">
        <v>5312</v>
      </c>
      <c r="E2151" s="31" t="n">
        <v>33.7</v>
      </c>
      <c r="F2151" s="31" t="n">
        <v>12.3</v>
      </c>
      <c r="G2151" s="31" t="n">
        <v>32.9</v>
      </c>
      <c r="H2151" s="2" t="s">
        <v>671</v>
      </c>
    </row>
    <row r="2152" customFormat="false" ht="15" hidden="false" customHeight="false" outlineLevel="0" collapsed="false">
      <c r="A2152" s="2" t="s">
        <v>941</v>
      </c>
      <c r="B2152" s="2" t="s">
        <v>46</v>
      </c>
      <c r="C2152" s="2" t="s">
        <v>4086</v>
      </c>
      <c r="D2152" s="11" t="n">
        <v>5320</v>
      </c>
      <c r="E2152" s="31" t="n">
        <v>61.1</v>
      </c>
      <c r="F2152" s="2"/>
      <c r="G2152" s="2"/>
      <c r="H2152" s="2" t="s">
        <v>668</v>
      </c>
    </row>
    <row r="2153" customFormat="false" ht="15" hidden="false" customHeight="false" outlineLevel="0" collapsed="false">
      <c r="A2153" s="2" t="s">
        <v>941</v>
      </c>
      <c r="B2153" s="2" t="s">
        <v>46</v>
      </c>
      <c r="C2153" s="2" t="s">
        <v>4087</v>
      </c>
      <c r="D2153" s="2"/>
      <c r="E2153" s="2"/>
      <c r="F2153" s="2"/>
      <c r="G2153" s="2"/>
      <c r="H2153" s="2" t="s">
        <v>668</v>
      </c>
    </row>
    <row r="2154" customFormat="false" ht="15" hidden="false" customHeight="false" outlineLevel="0" collapsed="false">
      <c r="A2154" s="2" t="s">
        <v>941</v>
      </c>
      <c r="B2154" s="2" t="s">
        <v>47</v>
      </c>
      <c r="C2154" s="2" t="s">
        <v>4085</v>
      </c>
      <c r="D2154" s="11" t="n">
        <v>144614</v>
      </c>
      <c r="E2154" s="31" t="n">
        <v>2.8</v>
      </c>
      <c r="F2154" s="31" t="n">
        <v>13.6</v>
      </c>
      <c r="G2154" s="31" t="n">
        <v>96.6</v>
      </c>
      <c r="H2154" s="2" t="s">
        <v>671</v>
      </c>
    </row>
    <row r="2155" customFormat="false" ht="15" hidden="false" customHeight="false" outlineLevel="0" collapsed="false">
      <c r="A2155" s="2" t="s">
        <v>941</v>
      </c>
      <c r="B2155" s="2" t="s">
        <v>47</v>
      </c>
      <c r="C2155" s="2" t="s">
        <v>4086</v>
      </c>
      <c r="D2155" s="11" t="n">
        <v>147390</v>
      </c>
      <c r="E2155" s="31" t="n">
        <v>3</v>
      </c>
      <c r="F2155" s="31" t="n">
        <v>6.2</v>
      </c>
      <c r="G2155" s="31" t="n">
        <v>95.3</v>
      </c>
      <c r="H2155" s="2" t="s">
        <v>671</v>
      </c>
    </row>
    <row r="2156" customFormat="false" ht="15" hidden="false" customHeight="false" outlineLevel="0" collapsed="false">
      <c r="A2156" s="2" t="s">
        <v>941</v>
      </c>
      <c r="B2156" s="2" t="s">
        <v>47</v>
      </c>
      <c r="C2156" s="2" t="s">
        <v>4087</v>
      </c>
      <c r="D2156" s="11" t="n">
        <v>147708</v>
      </c>
      <c r="E2156" s="31" t="n">
        <v>1.1</v>
      </c>
      <c r="F2156" s="31" t="n">
        <v>15.7</v>
      </c>
      <c r="G2156" s="31" t="n">
        <v>88.6</v>
      </c>
      <c r="H2156" s="2" t="s">
        <v>671</v>
      </c>
    </row>
    <row r="2157" customFormat="false" ht="15" hidden="false" customHeight="false" outlineLevel="0" collapsed="false">
      <c r="A2157" s="2" t="s">
        <v>1022</v>
      </c>
      <c r="B2157" s="2" t="s">
        <v>4104</v>
      </c>
      <c r="C2157" s="2" t="s">
        <v>4085</v>
      </c>
      <c r="D2157" s="2"/>
      <c r="E2157" s="31" t="n">
        <v>75.4</v>
      </c>
      <c r="F2157" s="31" t="n">
        <v>17.4</v>
      </c>
      <c r="G2157" s="31" t="n">
        <v>37.6</v>
      </c>
      <c r="H2157" s="2" t="s">
        <v>668</v>
      </c>
    </row>
    <row r="2158" customFormat="false" ht="15" hidden="false" customHeight="false" outlineLevel="0" collapsed="false">
      <c r="A2158" s="2" t="s">
        <v>1022</v>
      </c>
      <c r="B2158" s="2" t="s">
        <v>4104</v>
      </c>
      <c r="C2158" s="2" t="s">
        <v>4086</v>
      </c>
      <c r="D2158" s="2"/>
      <c r="E2158" s="31" t="n">
        <v>49</v>
      </c>
      <c r="F2158" s="31" t="n">
        <v>85.7</v>
      </c>
      <c r="G2158" s="31" t="n">
        <v>81.9</v>
      </c>
      <c r="H2158" s="2" t="s">
        <v>668</v>
      </c>
    </row>
    <row r="2159" customFormat="false" ht="15" hidden="false" customHeight="false" outlineLevel="0" collapsed="false">
      <c r="A2159" s="2" t="s">
        <v>1022</v>
      </c>
      <c r="B2159" s="2" t="s">
        <v>4104</v>
      </c>
      <c r="C2159" s="2" t="s">
        <v>4087</v>
      </c>
      <c r="D2159" s="2"/>
      <c r="E2159" s="31" t="n">
        <v>51.9</v>
      </c>
      <c r="F2159" s="31" t="n">
        <v>32.3</v>
      </c>
      <c r="G2159" s="31" t="n">
        <v>68</v>
      </c>
      <c r="H2159" s="2" t="s">
        <v>668</v>
      </c>
    </row>
    <row r="2160" customFormat="false" ht="15" hidden="false" customHeight="false" outlineLevel="0" collapsed="false">
      <c r="A2160" s="2" t="s">
        <v>1022</v>
      </c>
      <c r="B2160" s="2" t="s">
        <v>45</v>
      </c>
      <c r="C2160" s="2" t="s">
        <v>4085</v>
      </c>
      <c r="D2160" s="11" t="n">
        <v>36860</v>
      </c>
      <c r="E2160" s="31" t="n">
        <v>85.1</v>
      </c>
      <c r="F2160" s="31" t="n">
        <v>25.9</v>
      </c>
      <c r="G2160" s="31" t="n">
        <v>42</v>
      </c>
      <c r="H2160" s="2" t="s">
        <v>671</v>
      </c>
    </row>
    <row r="2161" customFormat="false" ht="15" hidden="false" customHeight="false" outlineLevel="0" collapsed="false">
      <c r="A2161" s="2" t="s">
        <v>1022</v>
      </c>
      <c r="B2161" s="2" t="s">
        <v>45</v>
      </c>
      <c r="C2161" s="2" t="s">
        <v>4086</v>
      </c>
      <c r="D2161" s="2"/>
      <c r="E2161" s="2"/>
      <c r="F2161" s="2"/>
      <c r="G2161" s="2"/>
      <c r="H2161" s="2" t="s">
        <v>668</v>
      </c>
    </row>
    <row r="2162" customFormat="false" ht="15" hidden="false" customHeight="false" outlineLevel="0" collapsed="false">
      <c r="A2162" s="2" t="s">
        <v>1022</v>
      </c>
      <c r="B2162" s="2" t="s">
        <v>45</v>
      </c>
      <c r="C2162" s="2" t="s">
        <v>4087</v>
      </c>
      <c r="D2162" s="11" t="n">
        <v>39320</v>
      </c>
      <c r="E2162" s="31" t="n">
        <v>52.1</v>
      </c>
      <c r="F2162" s="31" t="n">
        <v>44.8</v>
      </c>
      <c r="G2162" s="31" t="n">
        <v>77.6</v>
      </c>
      <c r="H2162" s="2" t="s">
        <v>671</v>
      </c>
    </row>
    <row r="2163" customFormat="false" ht="15" hidden="false" customHeight="false" outlineLevel="0" collapsed="false">
      <c r="A2163" s="2" t="s">
        <v>1022</v>
      </c>
      <c r="B2163" s="2" t="s">
        <v>46</v>
      </c>
      <c r="C2163" s="2" t="s">
        <v>4085</v>
      </c>
      <c r="D2163" s="11" t="n">
        <v>369400</v>
      </c>
      <c r="E2163" s="31" t="n">
        <v>65.8</v>
      </c>
      <c r="F2163" s="31" t="n">
        <v>3.2</v>
      </c>
      <c r="G2163" s="31" t="n">
        <v>1.8</v>
      </c>
      <c r="H2163" s="2" t="s">
        <v>671</v>
      </c>
    </row>
    <row r="2164" customFormat="false" ht="15" hidden="false" customHeight="false" outlineLevel="0" collapsed="false">
      <c r="A2164" s="2" t="s">
        <v>1022</v>
      </c>
      <c r="B2164" s="2" t="s">
        <v>46</v>
      </c>
      <c r="C2164" s="2" t="s">
        <v>4086</v>
      </c>
      <c r="D2164" s="2"/>
      <c r="E2164" s="2"/>
      <c r="F2164" s="2"/>
      <c r="G2164" s="2"/>
      <c r="H2164" s="2" t="s">
        <v>668</v>
      </c>
    </row>
    <row r="2165" customFormat="false" ht="15" hidden="false" customHeight="false" outlineLevel="0" collapsed="false">
      <c r="A2165" s="2" t="s">
        <v>1022</v>
      </c>
      <c r="B2165" s="2" t="s">
        <v>46</v>
      </c>
      <c r="C2165" s="2" t="s">
        <v>4087</v>
      </c>
      <c r="D2165" s="11" t="n">
        <v>368250</v>
      </c>
      <c r="E2165" s="31" t="n">
        <v>74.2</v>
      </c>
      <c r="F2165" s="31" t="n">
        <v>2</v>
      </c>
      <c r="G2165" s="2"/>
      <c r="H2165" s="2" t="s">
        <v>668</v>
      </c>
    </row>
    <row r="2166" customFormat="false" ht="15" hidden="false" customHeight="false" outlineLevel="0" collapsed="false">
      <c r="A2166" s="2" t="s">
        <v>1022</v>
      </c>
      <c r="B2166" s="2" t="s">
        <v>47</v>
      </c>
      <c r="C2166" s="2" t="s">
        <v>4085</v>
      </c>
      <c r="D2166" s="11" t="n">
        <v>11477964</v>
      </c>
      <c r="E2166" s="2"/>
      <c r="F2166" s="31" t="n">
        <v>23.1</v>
      </c>
      <c r="G2166" s="31" t="n">
        <v>69</v>
      </c>
      <c r="H2166" s="2" t="s">
        <v>668</v>
      </c>
    </row>
    <row r="2167" customFormat="false" ht="15" hidden="false" customHeight="false" outlineLevel="0" collapsed="false">
      <c r="A2167" s="2" t="s">
        <v>1022</v>
      </c>
      <c r="B2167" s="2" t="s">
        <v>47</v>
      </c>
      <c r="C2167" s="2" t="s">
        <v>4086</v>
      </c>
      <c r="D2167" s="11" t="n">
        <v>11358570</v>
      </c>
      <c r="E2167" s="31" t="n">
        <v>49</v>
      </c>
      <c r="F2167" s="31" t="n">
        <v>85.7</v>
      </c>
      <c r="G2167" s="31" t="n">
        <v>81.9</v>
      </c>
      <c r="H2167" s="2" t="s">
        <v>671</v>
      </c>
    </row>
    <row r="2168" customFormat="false" ht="15" hidden="false" customHeight="false" outlineLevel="0" collapsed="false">
      <c r="A2168" s="2" t="s">
        <v>1022</v>
      </c>
      <c r="B2168" s="2" t="s">
        <v>47</v>
      </c>
      <c r="C2168" s="2" t="s">
        <v>4087</v>
      </c>
      <c r="D2168" s="11" t="n">
        <v>11899403</v>
      </c>
      <c r="E2168" s="31" t="n">
        <v>29.5</v>
      </c>
      <c r="F2168" s="31" t="n">
        <v>50</v>
      </c>
      <c r="G2168" s="31" t="n">
        <v>58.5</v>
      </c>
      <c r="H2168" s="2" t="s">
        <v>671</v>
      </c>
    </row>
    <row r="2169" customFormat="false" ht="15" hidden="false" customHeight="false" outlineLevel="0" collapsed="false">
      <c r="A2169" s="2" t="s">
        <v>558</v>
      </c>
      <c r="B2169" s="2" t="s">
        <v>4104</v>
      </c>
      <c r="C2169" s="2" t="s">
        <v>4085</v>
      </c>
      <c r="D2169" s="2"/>
      <c r="E2169" s="31" t="n">
        <v>27.9</v>
      </c>
      <c r="F2169" s="2"/>
      <c r="G2169" s="31" t="n">
        <v>16.8</v>
      </c>
      <c r="H2169" s="2" t="s">
        <v>668</v>
      </c>
    </row>
    <row r="2170" customFormat="false" ht="15" hidden="false" customHeight="false" outlineLevel="0" collapsed="false">
      <c r="A2170" s="2" t="s">
        <v>558</v>
      </c>
      <c r="B2170" s="2" t="s">
        <v>4104</v>
      </c>
      <c r="C2170" s="2" t="s">
        <v>4086</v>
      </c>
      <c r="D2170" s="2"/>
      <c r="E2170" s="31" t="n">
        <v>41.9</v>
      </c>
      <c r="F2170" s="31" t="n">
        <v>24</v>
      </c>
      <c r="G2170" s="31" t="n">
        <v>3.6</v>
      </c>
      <c r="H2170" s="2" t="s">
        <v>668</v>
      </c>
    </row>
    <row r="2171" customFormat="false" ht="15" hidden="false" customHeight="false" outlineLevel="0" collapsed="false">
      <c r="A2171" s="2" t="s">
        <v>558</v>
      </c>
      <c r="B2171" s="2" t="s">
        <v>4104</v>
      </c>
      <c r="C2171" s="2" t="s">
        <v>4087</v>
      </c>
      <c r="D2171" s="2"/>
      <c r="E2171" s="31" t="n">
        <v>27.6</v>
      </c>
      <c r="F2171" s="31" t="n">
        <v>50.2</v>
      </c>
      <c r="G2171" s="31" t="n">
        <v>16.2</v>
      </c>
      <c r="H2171" s="2" t="s">
        <v>671</v>
      </c>
    </row>
    <row r="2172" customFormat="false" ht="15" hidden="false" customHeight="false" outlineLevel="0" collapsed="false">
      <c r="A2172" s="2" t="s">
        <v>558</v>
      </c>
      <c r="B2172" s="2" t="s">
        <v>45</v>
      </c>
      <c r="C2172" s="2" t="s">
        <v>4085</v>
      </c>
      <c r="D2172" s="11" t="n">
        <v>2810</v>
      </c>
      <c r="E2172" s="31" t="n">
        <v>27.9</v>
      </c>
      <c r="F2172" s="2"/>
      <c r="G2172" s="31" t="n">
        <v>16.8</v>
      </c>
      <c r="H2172" s="2" t="s">
        <v>668</v>
      </c>
    </row>
    <row r="2173" customFormat="false" ht="15" hidden="false" customHeight="false" outlineLevel="0" collapsed="false">
      <c r="A2173" s="2" t="s">
        <v>558</v>
      </c>
      <c r="B2173" s="2" t="s">
        <v>45</v>
      </c>
      <c r="C2173" s="2" t="s">
        <v>4086</v>
      </c>
      <c r="D2173" s="11" t="n">
        <v>2880</v>
      </c>
      <c r="E2173" s="31" t="n">
        <v>11.5</v>
      </c>
      <c r="F2173" s="2"/>
      <c r="G2173" s="31" t="n">
        <v>1.3</v>
      </c>
      <c r="H2173" s="2" t="s">
        <v>668</v>
      </c>
    </row>
    <row r="2174" customFormat="false" ht="15" hidden="false" customHeight="false" outlineLevel="0" collapsed="false">
      <c r="A2174" s="2" t="s">
        <v>558</v>
      </c>
      <c r="B2174" s="2" t="s">
        <v>45</v>
      </c>
      <c r="C2174" s="2" t="s">
        <v>4087</v>
      </c>
      <c r="D2174" s="11" t="n">
        <v>3013</v>
      </c>
      <c r="E2174" s="31" t="n">
        <v>5.8</v>
      </c>
      <c r="F2174" s="31" t="n">
        <v>63</v>
      </c>
      <c r="G2174" s="31" t="n">
        <v>1</v>
      </c>
      <c r="H2174" s="2" t="s">
        <v>671</v>
      </c>
    </row>
    <row r="2175" customFormat="false" ht="15" hidden="false" customHeight="false" outlineLevel="0" collapsed="false">
      <c r="A2175" s="2" t="s">
        <v>558</v>
      </c>
      <c r="B2175" s="2" t="s">
        <v>46</v>
      </c>
      <c r="C2175" s="2" t="s">
        <v>4085</v>
      </c>
      <c r="D2175" s="2"/>
      <c r="E2175" s="2"/>
      <c r="F2175" s="2"/>
      <c r="G2175" s="2"/>
      <c r="H2175" s="2" t="s">
        <v>668</v>
      </c>
    </row>
    <row r="2176" customFormat="false" ht="15" hidden="false" customHeight="false" outlineLevel="0" collapsed="false">
      <c r="A2176" s="2" t="s">
        <v>558</v>
      </c>
      <c r="B2176" s="2" t="s">
        <v>46</v>
      </c>
      <c r="C2176" s="2" t="s">
        <v>4086</v>
      </c>
      <c r="D2176" s="11" t="n">
        <v>11030</v>
      </c>
      <c r="E2176" s="31" t="n">
        <v>72.3</v>
      </c>
      <c r="F2176" s="31" t="n">
        <v>24</v>
      </c>
      <c r="G2176" s="31" t="n">
        <v>6</v>
      </c>
      <c r="H2176" s="2" t="s">
        <v>671</v>
      </c>
    </row>
    <row r="2177" customFormat="false" ht="15" hidden="false" customHeight="false" outlineLevel="0" collapsed="false">
      <c r="A2177" s="2" t="s">
        <v>558</v>
      </c>
      <c r="B2177" s="2" t="s">
        <v>46</v>
      </c>
      <c r="C2177" s="2" t="s">
        <v>4087</v>
      </c>
      <c r="D2177" s="11" t="n">
        <v>11650</v>
      </c>
      <c r="E2177" s="31" t="n">
        <v>49.3</v>
      </c>
      <c r="F2177" s="31" t="n">
        <v>37.3</v>
      </c>
      <c r="G2177" s="31" t="n">
        <v>31.3</v>
      </c>
      <c r="H2177" s="2" t="s">
        <v>671</v>
      </c>
    </row>
    <row r="2178" customFormat="false" ht="15" hidden="false" customHeight="false" outlineLevel="0" collapsed="false">
      <c r="A2178" s="2" t="s">
        <v>665</v>
      </c>
      <c r="B2178" s="2" t="s">
        <v>4104</v>
      </c>
      <c r="C2178" s="2" t="s">
        <v>4085</v>
      </c>
      <c r="D2178" s="2"/>
      <c r="E2178" s="31" t="n">
        <v>73.3</v>
      </c>
      <c r="F2178" s="31" t="n">
        <v>39.4</v>
      </c>
      <c r="G2178" s="31" t="n">
        <v>56.2</v>
      </c>
      <c r="H2178" s="2" t="s">
        <v>668</v>
      </c>
    </row>
    <row r="2179" customFormat="false" ht="15" hidden="false" customHeight="false" outlineLevel="0" collapsed="false">
      <c r="A2179" s="2" t="s">
        <v>665</v>
      </c>
      <c r="B2179" s="2" t="s">
        <v>4104</v>
      </c>
      <c r="C2179" s="2" t="s">
        <v>4086</v>
      </c>
      <c r="D2179" s="2"/>
      <c r="E2179" s="31" t="n">
        <v>77.5</v>
      </c>
      <c r="F2179" s="31" t="n">
        <v>47.7</v>
      </c>
      <c r="G2179" s="31" t="n">
        <v>59.7</v>
      </c>
      <c r="H2179" s="2" t="s">
        <v>671</v>
      </c>
    </row>
    <row r="2180" customFormat="false" ht="15" hidden="false" customHeight="false" outlineLevel="0" collapsed="false">
      <c r="A2180" s="2" t="s">
        <v>665</v>
      </c>
      <c r="B2180" s="2" t="s">
        <v>4104</v>
      </c>
      <c r="C2180" s="2" t="s">
        <v>4087</v>
      </c>
      <c r="D2180" s="2"/>
      <c r="E2180" s="31" t="n">
        <v>68.4</v>
      </c>
      <c r="F2180" s="31" t="n">
        <v>60</v>
      </c>
      <c r="G2180" s="31" t="n">
        <v>60.8</v>
      </c>
      <c r="H2180" s="2" t="s">
        <v>668</v>
      </c>
    </row>
    <row r="2181" customFormat="false" ht="15" hidden="false" customHeight="false" outlineLevel="0" collapsed="false">
      <c r="A2181" s="2" t="s">
        <v>665</v>
      </c>
      <c r="B2181" s="2" t="s">
        <v>45</v>
      </c>
      <c r="C2181" s="2" t="s">
        <v>4085</v>
      </c>
      <c r="D2181" s="2"/>
      <c r="E2181" s="2"/>
      <c r="F2181" s="2"/>
      <c r="G2181" s="31" t="n">
        <v>33.2</v>
      </c>
      <c r="H2181" s="2" t="s">
        <v>668</v>
      </c>
    </row>
    <row r="2182" customFormat="false" ht="15" hidden="false" customHeight="false" outlineLevel="0" collapsed="false">
      <c r="A2182" s="2" t="s">
        <v>665</v>
      </c>
      <c r="B2182" s="2" t="s">
        <v>45</v>
      </c>
      <c r="C2182" s="2" t="s">
        <v>4086</v>
      </c>
      <c r="D2182" s="11" t="n">
        <v>35380</v>
      </c>
      <c r="E2182" s="31" t="n">
        <v>99.8</v>
      </c>
      <c r="F2182" s="31" t="n">
        <v>32.3</v>
      </c>
      <c r="G2182" s="31" t="n">
        <v>53.8</v>
      </c>
      <c r="H2182" s="2" t="s">
        <v>671</v>
      </c>
    </row>
    <row r="2183" customFormat="false" ht="15" hidden="false" customHeight="false" outlineLevel="0" collapsed="false">
      <c r="A2183" s="2" t="s">
        <v>665</v>
      </c>
      <c r="B2183" s="2" t="s">
        <v>45</v>
      </c>
      <c r="C2183" s="2" t="s">
        <v>4087</v>
      </c>
      <c r="D2183" s="11" t="n">
        <v>35764</v>
      </c>
      <c r="E2183" s="31" t="n">
        <v>100</v>
      </c>
      <c r="F2183" s="31" t="n">
        <v>32.1</v>
      </c>
      <c r="G2183" s="31" t="n">
        <v>60.8</v>
      </c>
      <c r="H2183" s="2" t="s">
        <v>671</v>
      </c>
    </row>
    <row r="2184" customFormat="false" ht="15" hidden="false" customHeight="false" outlineLevel="0" collapsed="false">
      <c r="A2184" s="2" t="s">
        <v>665</v>
      </c>
      <c r="B2184" s="2" t="s">
        <v>46</v>
      </c>
      <c r="C2184" s="2" t="s">
        <v>4085</v>
      </c>
      <c r="D2184" s="11" t="n">
        <v>116330</v>
      </c>
      <c r="E2184" s="31" t="n">
        <v>96.9</v>
      </c>
      <c r="F2184" s="31" t="n">
        <v>11.5</v>
      </c>
      <c r="G2184" s="31" t="n">
        <v>96.3</v>
      </c>
      <c r="H2184" s="2" t="s">
        <v>671</v>
      </c>
    </row>
    <row r="2185" customFormat="false" ht="15" hidden="false" customHeight="false" outlineLevel="0" collapsed="false">
      <c r="A2185" s="2" t="s">
        <v>665</v>
      </c>
      <c r="B2185" s="2" t="s">
        <v>46</v>
      </c>
      <c r="C2185" s="2" t="s">
        <v>4086</v>
      </c>
      <c r="D2185" s="11" t="n">
        <v>119732</v>
      </c>
      <c r="E2185" s="31" t="n">
        <v>97.6</v>
      </c>
      <c r="F2185" s="31" t="n">
        <v>36.9</v>
      </c>
      <c r="G2185" s="31" t="n">
        <v>95.6</v>
      </c>
      <c r="H2185" s="2" t="s">
        <v>671</v>
      </c>
    </row>
    <row r="2186" customFormat="false" ht="15" hidden="false" customHeight="false" outlineLevel="0" collapsed="false">
      <c r="A2186" s="2" t="s">
        <v>665</v>
      </c>
      <c r="B2186" s="2" t="s">
        <v>46</v>
      </c>
      <c r="C2186" s="2" t="s">
        <v>4087</v>
      </c>
      <c r="D2186" s="2"/>
      <c r="E2186" s="2"/>
      <c r="F2186" s="2"/>
      <c r="G2186" s="2"/>
      <c r="H2186" s="2" t="s">
        <v>668</v>
      </c>
    </row>
    <row r="2187" customFormat="false" ht="15" hidden="false" customHeight="false" outlineLevel="0" collapsed="false">
      <c r="A2187" s="2" t="s">
        <v>665</v>
      </c>
      <c r="B2187" s="2" t="s">
        <v>47</v>
      </c>
      <c r="C2187" s="2" t="s">
        <v>4085</v>
      </c>
      <c r="D2187" s="11" t="n">
        <v>167688</v>
      </c>
      <c r="E2187" s="31" t="n">
        <v>49.7</v>
      </c>
      <c r="F2187" s="31" t="n">
        <v>67.3</v>
      </c>
      <c r="G2187" s="31" t="n">
        <v>39</v>
      </c>
      <c r="H2187" s="2" t="s">
        <v>671</v>
      </c>
    </row>
    <row r="2188" customFormat="false" ht="15" hidden="false" customHeight="false" outlineLevel="0" collapsed="false">
      <c r="A2188" s="2" t="s">
        <v>665</v>
      </c>
      <c r="B2188" s="2" t="s">
        <v>47</v>
      </c>
      <c r="C2188" s="2" t="s">
        <v>4086</v>
      </c>
      <c r="D2188" s="11" t="n">
        <v>175810</v>
      </c>
      <c r="E2188" s="31" t="n">
        <v>35.1</v>
      </c>
      <c r="F2188" s="31" t="n">
        <v>73.9</v>
      </c>
      <c r="G2188" s="31" t="n">
        <v>29.7</v>
      </c>
      <c r="H2188" s="2" t="s">
        <v>671</v>
      </c>
    </row>
    <row r="2189" customFormat="false" ht="15" hidden="false" customHeight="false" outlineLevel="0" collapsed="false">
      <c r="A2189" s="2" t="s">
        <v>665</v>
      </c>
      <c r="B2189" s="2" t="s">
        <v>47</v>
      </c>
      <c r="C2189" s="2" t="s">
        <v>4087</v>
      </c>
      <c r="D2189" s="11" t="n">
        <v>179060</v>
      </c>
      <c r="E2189" s="31" t="n">
        <v>36.7</v>
      </c>
      <c r="F2189" s="31" t="n">
        <v>88</v>
      </c>
      <c r="G2189" s="2"/>
      <c r="H2189" s="2" t="s">
        <v>668</v>
      </c>
    </row>
    <row r="2190" customFormat="false" ht="15" hidden="false" customHeight="false" outlineLevel="0" collapsed="false">
      <c r="A2190" s="2" t="s">
        <v>799</v>
      </c>
      <c r="B2190" s="2" t="s">
        <v>4104</v>
      </c>
      <c r="C2190" s="2" t="s">
        <v>4085</v>
      </c>
      <c r="D2190" s="2"/>
      <c r="E2190" s="31" t="n">
        <v>88.2</v>
      </c>
      <c r="F2190" s="31" t="n">
        <v>52.6</v>
      </c>
      <c r="G2190" s="31" t="n">
        <v>39.6</v>
      </c>
      <c r="H2190" s="2" t="s">
        <v>668</v>
      </c>
    </row>
    <row r="2191" customFormat="false" ht="15" hidden="false" customHeight="false" outlineLevel="0" collapsed="false">
      <c r="A2191" s="2" t="s">
        <v>799</v>
      </c>
      <c r="B2191" s="2" t="s">
        <v>4104</v>
      </c>
      <c r="C2191" s="2" t="s">
        <v>4086</v>
      </c>
      <c r="D2191" s="2"/>
      <c r="E2191" s="31" t="n">
        <v>87</v>
      </c>
      <c r="F2191" s="31" t="n">
        <v>67.2</v>
      </c>
      <c r="G2191" s="31" t="n">
        <v>20.8</v>
      </c>
      <c r="H2191" s="2" t="s">
        <v>668</v>
      </c>
    </row>
    <row r="2192" customFormat="false" ht="15" hidden="false" customHeight="false" outlineLevel="0" collapsed="false">
      <c r="A2192" s="2" t="s">
        <v>799</v>
      </c>
      <c r="B2192" s="2" t="s">
        <v>4104</v>
      </c>
      <c r="C2192" s="2" t="s">
        <v>4087</v>
      </c>
      <c r="D2192" s="2"/>
      <c r="E2192" s="31" t="n">
        <v>58.7</v>
      </c>
      <c r="F2192" s="31" t="n">
        <v>38.5</v>
      </c>
      <c r="G2192" s="31" t="n">
        <v>23.6</v>
      </c>
      <c r="H2192" s="2" t="s">
        <v>668</v>
      </c>
    </row>
    <row r="2193" customFormat="false" ht="15" hidden="false" customHeight="false" outlineLevel="0" collapsed="false">
      <c r="A2193" s="2" t="s">
        <v>799</v>
      </c>
      <c r="B2193" s="2" t="s">
        <v>45</v>
      </c>
      <c r="C2193" s="2" t="s">
        <v>4085</v>
      </c>
      <c r="D2193" s="11" t="n">
        <v>487740</v>
      </c>
      <c r="E2193" s="31" t="n">
        <v>88.6</v>
      </c>
      <c r="F2193" s="31" t="n">
        <v>69.9</v>
      </c>
      <c r="G2193" s="2"/>
      <c r="H2193" s="2" t="s">
        <v>671</v>
      </c>
    </row>
    <row r="2194" customFormat="false" ht="15" hidden="false" customHeight="false" outlineLevel="0" collapsed="false">
      <c r="A2194" s="2" t="s">
        <v>799</v>
      </c>
      <c r="B2194" s="2" t="s">
        <v>45</v>
      </c>
      <c r="C2194" s="2" t="s">
        <v>4086</v>
      </c>
      <c r="D2194" s="11" t="n">
        <v>505860</v>
      </c>
      <c r="E2194" s="31" t="n">
        <v>84.9</v>
      </c>
      <c r="F2194" s="31" t="n">
        <v>68.6</v>
      </c>
      <c r="G2194" s="2"/>
      <c r="H2194" s="2" t="s">
        <v>671</v>
      </c>
    </row>
    <row r="2195" customFormat="false" ht="15" hidden="false" customHeight="false" outlineLevel="0" collapsed="false">
      <c r="A2195" s="2" t="s">
        <v>799</v>
      </c>
      <c r="B2195" s="2" t="s">
        <v>45</v>
      </c>
      <c r="C2195" s="2" t="s">
        <v>4087</v>
      </c>
      <c r="D2195" s="11" t="n">
        <v>536210</v>
      </c>
      <c r="E2195" s="31" t="n">
        <v>83.5</v>
      </c>
      <c r="F2195" s="31" t="n">
        <v>63.8</v>
      </c>
      <c r="G2195" s="2"/>
      <c r="H2195" s="2" t="s">
        <v>671</v>
      </c>
    </row>
    <row r="2196" customFormat="false" ht="15" hidden="false" customHeight="false" outlineLevel="0" collapsed="false">
      <c r="A2196" s="2" t="s">
        <v>799</v>
      </c>
      <c r="B2196" s="2" t="s">
        <v>46</v>
      </c>
      <c r="C2196" s="2" t="s">
        <v>4085</v>
      </c>
      <c r="D2196" s="11" t="n">
        <v>27445</v>
      </c>
      <c r="E2196" s="2"/>
      <c r="F2196" s="2"/>
      <c r="G2196" s="31" t="n">
        <v>46.1</v>
      </c>
      <c r="H2196" s="2" t="s">
        <v>668</v>
      </c>
    </row>
    <row r="2197" customFormat="false" ht="15" hidden="false" customHeight="false" outlineLevel="0" collapsed="false">
      <c r="A2197" s="2" t="s">
        <v>799</v>
      </c>
      <c r="B2197" s="2" t="s">
        <v>46</v>
      </c>
      <c r="C2197" s="2" t="s">
        <v>4086</v>
      </c>
      <c r="D2197" s="2"/>
      <c r="E2197" s="2"/>
      <c r="F2197" s="2"/>
      <c r="G2197" s="2"/>
      <c r="H2197" s="2" t="s">
        <v>668</v>
      </c>
    </row>
    <row r="2198" customFormat="false" ht="15" hidden="false" customHeight="false" outlineLevel="0" collapsed="false">
      <c r="A2198" s="2" t="s">
        <v>799</v>
      </c>
      <c r="B2198" s="2" t="s">
        <v>46</v>
      </c>
      <c r="C2198" s="2" t="s">
        <v>4087</v>
      </c>
      <c r="D2198" s="11" t="n">
        <v>27280</v>
      </c>
      <c r="E2198" s="31" t="n">
        <v>1.3</v>
      </c>
      <c r="F2198" s="31" t="n">
        <v>6.6</v>
      </c>
      <c r="G2198" s="2"/>
      <c r="H2198" s="2" t="s">
        <v>668</v>
      </c>
    </row>
    <row r="2199" customFormat="false" ht="15" hidden="false" customHeight="false" outlineLevel="0" collapsed="false">
      <c r="A2199" s="2" t="s">
        <v>799</v>
      </c>
      <c r="B2199" s="2" t="s">
        <v>47</v>
      </c>
      <c r="C2199" s="2" t="s">
        <v>4085</v>
      </c>
      <c r="D2199" s="11" t="n">
        <v>294057</v>
      </c>
      <c r="E2199" s="31" t="n">
        <v>87.9</v>
      </c>
      <c r="F2199" s="31" t="n">
        <v>35.2</v>
      </c>
      <c r="G2199" s="31" t="n">
        <v>33</v>
      </c>
      <c r="H2199" s="2" t="s">
        <v>671</v>
      </c>
    </row>
    <row r="2200" customFormat="false" ht="15" hidden="false" customHeight="false" outlineLevel="0" collapsed="false">
      <c r="A2200" s="2" t="s">
        <v>799</v>
      </c>
      <c r="B2200" s="2" t="s">
        <v>47</v>
      </c>
      <c r="C2200" s="2" t="s">
        <v>4086</v>
      </c>
      <c r="D2200" s="11" t="n">
        <v>310750</v>
      </c>
      <c r="E2200" s="31" t="n">
        <v>89.1</v>
      </c>
      <c r="F2200" s="31" t="n">
        <v>65.8</v>
      </c>
      <c r="G2200" s="31" t="n">
        <v>20.8</v>
      </c>
      <c r="H2200" s="2" t="s">
        <v>671</v>
      </c>
    </row>
    <row r="2201" customFormat="false" ht="15" hidden="false" customHeight="false" outlineLevel="0" collapsed="false">
      <c r="A2201" s="2" t="s">
        <v>799</v>
      </c>
      <c r="B2201" s="2" t="s">
        <v>47</v>
      </c>
      <c r="C2201" s="2" t="s">
        <v>4087</v>
      </c>
      <c r="D2201" s="11" t="n">
        <v>322782</v>
      </c>
      <c r="E2201" s="31" t="n">
        <v>91.4</v>
      </c>
      <c r="F2201" s="31" t="n">
        <v>45.2</v>
      </c>
      <c r="G2201" s="31" t="n">
        <v>23.6</v>
      </c>
      <c r="H2201" s="2" t="s">
        <v>671</v>
      </c>
    </row>
    <row r="2202" customFormat="false" ht="15" hidden="false" customHeight="false" outlineLevel="0" collapsed="false">
      <c r="A2202" s="2" t="s">
        <v>2833</v>
      </c>
      <c r="B2202" s="2" t="s">
        <v>4104</v>
      </c>
      <c r="C2202" s="2" t="s">
        <v>4085</v>
      </c>
      <c r="D2202" s="2"/>
      <c r="E2202" s="31" t="n">
        <v>80.4</v>
      </c>
      <c r="F2202" s="31" t="n">
        <v>27.4</v>
      </c>
      <c r="G2202" s="31" t="n">
        <v>69.3</v>
      </c>
      <c r="H2202" s="2" t="s">
        <v>668</v>
      </c>
    </row>
    <row r="2203" customFormat="false" ht="15" hidden="false" customHeight="false" outlineLevel="0" collapsed="false">
      <c r="A2203" s="2" t="s">
        <v>2833</v>
      </c>
      <c r="B2203" s="2" t="s">
        <v>4104</v>
      </c>
      <c r="C2203" s="2" t="s">
        <v>4086</v>
      </c>
      <c r="D2203" s="2"/>
      <c r="E2203" s="31" t="n">
        <v>67.8</v>
      </c>
      <c r="F2203" s="31" t="n">
        <v>32.4</v>
      </c>
      <c r="G2203" s="31" t="n">
        <v>62</v>
      </c>
      <c r="H2203" s="2" t="s">
        <v>671</v>
      </c>
    </row>
    <row r="2204" customFormat="false" ht="15" hidden="false" customHeight="false" outlineLevel="0" collapsed="false">
      <c r="A2204" s="2" t="s">
        <v>2833</v>
      </c>
      <c r="B2204" s="2" t="s">
        <v>4104</v>
      </c>
      <c r="C2204" s="2" t="s">
        <v>4087</v>
      </c>
      <c r="D2204" s="2"/>
      <c r="E2204" s="31" t="n">
        <v>71.4</v>
      </c>
      <c r="F2204" s="31" t="n">
        <v>17.4</v>
      </c>
      <c r="G2204" s="2"/>
      <c r="H2204" s="2" t="s">
        <v>668</v>
      </c>
    </row>
    <row r="2205" customFormat="false" ht="15" hidden="false" customHeight="false" outlineLevel="0" collapsed="false">
      <c r="A2205" s="2" t="s">
        <v>2833</v>
      </c>
      <c r="B2205" s="2" t="s">
        <v>45</v>
      </c>
      <c r="C2205" s="2" t="s">
        <v>4085</v>
      </c>
      <c r="D2205" s="11" t="n">
        <v>1166213</v>
      </c>
      <c r="E2205" s="31" t="n">
        <v>89.8</v>
      </c>
      <c r="F2205" s="31" t="n">
        <v>21.4</v>
      </c>
      <c r="G2205" s="31" t="n">
        <v>69.3</v>
      </c>
      <c r="H2205" s="2" t="s">
        <v>671</v>
      </c>
    </row>
    <row r="2206" customFormat="false" ht="15" hidden="false" customHeight="false" outlineLevel="0" collapsed="false">
      <c r="A2206" s="2" t="s">
        <v>2833</v>
      </c>
      <c r="B2206" s="2" t="s">
        <v>45</v>
      </c>
      <c r="C2206" s="2" t="s">
        <v>4086</v>
      </c>
      <c r="D2206" s="11" t="n">
        <v>1148762</v>
      </c>
      <c r="E2206" s="31" t="n">
        <v>85.4</v>
      </c>
      <c r="F2206" s="31" t="n">
        <v>11.8</v>
      </c>
      <c r="G2206" s="31" t="n">
        <v>67.4</v>
      </c>
      <c r="H2206" s="2" t="s">
        <v>671</v>
      </c>
    </row>
    <row r="2207" customFormat="false" ht="15" hidden="false" customHeight="false" outlineLevel="0" collapsed="false">
      <c r="A2207" s="2" t="s">
        <v>2833</v>
      </c>
      <c r="B2207" s="2" t="s">
        <v>45</v>
      </c>
      <c r="C2207" s="2" t="s">
        <v>4087</v>
      </c>
      <c r="D2207" s="11" t="n">
        <v>1189553</v>
      </c>
      <c r="E2207" s="31" t="n">
        <v>88.9</v>
      </c>
      <c r="F2207" s="31" t="n">
        <v>6.2</v>
      </c>
      <c r="G2207" s="2"/>
      <c r="H2207" s="2" t="s">
        <v>668</v>
      </c>
    </row>
    <row r="2208" customFormat="false" ht="15" hidden="false" customHeight="false" outlineLevel="0" collapsed="false">
      <c r="A2208" s="2" t="s">
        <v>2833</v>
      </c>
      <c r="B2208" s="2" t="s">
        <v>46</v>
      </c>
      <c r="C2208" s="2" t="s">
        <v>4085</v>
      </c>
      <c r="D2208" s="11" t="n">
        <v>297680</v>
      </c>
      <c r="E2208" s="31" t="n">
        <v>71</v>
      </c>
      <c r="F2208" s="31" t="n">
        <v>33.3</v>
      </c>
      <c r="G2208" s="2"/>
      <c r="H2208" s="2" t="s">
        <v>668</v>
      </c>
    </row>
    <row r="2209" customFormat="false" ht="15" hidden="false" customHeight="false" outlineLevel="0" collapsed="false">
      <c r="A2209" s="2" t="s">
        <v>2833</v>
      </c>
      <c r="B2209" s="2" t="s">
        <v>46</v>
      </c>
      <c r="C2209" s="2" t="s">
        <v>4086</v>
      </c>
      <c r="D2209" s="11" t="n">
        <v>301720</v>
      </c>
      <c r="E2209" s="31" t="n">
        <v>50.3</v>
      </c>
      <c r="F2209" s="31" t="n">
        <v>52.9</v>
      </c>
      <c r="G2209" s="31" t="n">
        <v>56.5</v>
      </c>
      <c r="H2209" s="2" t="s">
        <v>671</v>
      </c>
    </row>
    <row r="2210" customFormat="false" ht="15" hidden="false" customHeight="false" outlineLevel="0" collapsed="false">
      <c r="A2210" s="2" t="s">
        <v>2833</v>
      </c>
      <c r="B2210" s="2" t="s">
        <v>46</v>
      </c>
      <c r="C2210" s="2" t="s">
        <v>4087</v>
      </c>
      <c r="D2210" s="11" t="n">
        <v>301588</v>
      </c>
      <c r="E2210" s="31" t="n">
        <v>53.9</v>
      </c>
      <c r="F2210" s="31" t="n">
        <v>28.5</v>
      </c>
      <c r="G2210" s="2"/>
      <c r="H2210" s="2" t="s">
        <v>668</v>
      </c>
    </row>
    <row r="2211" customFormat="false" ht="15" hidden="false" customHeight="false" outlineLevel="0" collapsed="false">
      <c r="A2211" s="2" t="s">
        <v>169</v>
      </c>
      <c r="B2211" s="2" t="s">
        <v>4104</v>
      </c>
      <c r="C2211" s="2" t="s">
        <v>4085</v>
      </c>
      <c r="D2211" s="2"/>
      <c r="E2211" s="2"/>
      <c r="F2211" s="2"/>
      <c r="G2211" s="2"/>
      <c r="H2211" s="2" t="s">
        <v>668</v>
      </c>
    </row>
    <row r="2212" customFormat="false" ht="15" hidden="false" customHeight="false" outlineLevel="0" collapsed="false">
      <c r="A2212" s="2" t="s">
        <v>169</v>
      </c>
      <c r="B2212" s="2" t="s">
        <v>4104</v>
      </c>
      <c r="C2212" s="2" t="s">
        <v>4086</v>
      </c>
      <c r="D2212" s="2"/>
      <c r="E2212" s="31" t="n">
        <v>79.6</v>
      </c>
      <c r="F2212" s="2"/>
      <c r="G2212" s="31" t="n">
        <v>33.1</v>
      </c>
      <c r="H2212" s="2" t="s">
        <v>668</v>
      </c>
    </row>
    <row r="2213" customFormat="false" ht="15" hidden="false" customHeight="false" outlineLevel="0" collapsed="false">
      <c r="A2213" s="2" t="s">
        <v>169</v>
      </c>
      <c r="B2213" s="2" t="s">
        <v>4104</v>
      </c>
      <c r="C2213" s="2" t="s">
        <v>4087</v>
      </c>
      <c r="D2213" s="2"/>
      <c r="E2213" s="31" t="n">
        <v>75.1</v>
      </c>
      <c r="F2213" s="31" t="n">
        <v>5.8</v>
      </c>
      <c r="G2213" s="31" t="n">
        <v>14.2</v>
      </c>
      <c r="H2213" s="2" t="s">
        <v>671</v>
      </c>
    </row>
    <row r="2214" customFormat="false" ht="15" hidden="false" customHeight="false" outlineLevel="0" collapsed="false">
      <c r="A2214" s="2" t="s">
        <v>169</v>
      </c>
      <c r="B2214" s="2" t="s">
        <v>46</v>
      </c>
      <c r="C2214" s="2" t="s">
        <v>4085</v>
      </c>
      <c r="D2214" s="2"/>
      <c r="E2214" s="2"/>
      <c r="F2214" s="2"/>
      <c r="G2214" s="2"/>
      <c r="H2214" s="2" t="s">
        <v>668</v>
      </c>
    </row>
    <row r="2215" customFormat="false" ht="15" hidden="false" customHeight="false" outlineLevel="0" collapsed="false">
      <c r="A2215" s="2" t="s">
        <v>169</v>
      </c>
      <c r="B2215" s="2" t="s">
        <v>46</v>
      </c>
      <c r="C2215" s="2" t="s">
        <v>4086</v>
      </c>
      <c r="D2215" s="11" t="n">
        <v>36260</v>
      </c>
      <c r="E2215" s="31" t="n">
        <v>79.6</v>
      </c>
      <c r="F2215" s="2"/>
      <c r="G2215" s="31" t="n">
        <v>33.1</v>
      </c>
      <c r="H2215" s="2" t="s">
        <v>668</v>
      </c>
    </row>
    <row r="2216" customFormat="false" ht="15" hidden="false" customHeight="false" outlineLevel="0" collapsed="false">
      <c r="A2216" s="2" t="s">
        <v>169</v>
      </c>
      <c r="B2216" s="2" t="s">
        <v>46</v>
      </c>
      <c r="C2216" s="2" t="s">
        <v>4087</v>
      </c>
      <c r="D2216" s="11" t="n">
        <v>36350</v>
      </c>
      <c r="E2216" s="31" t="n">
        <v>75.1</v>
      </c>
      <c r="F2216" s="31" t="n">
        <v>5.8</v>
      </c>
      <c r="G2216" s="31" t="n">
        <v>14.2</v>
      </c>
      <c r="H2216" s="2" t="s">
        <v>671</v>
      </c>
    </row>
    <row r="2217" customFormat="false" ht="15" hidden="false" customHeight="false" outlineLevel="0" collapsed="false">
      <c r="A2217" s="2" t="s">
        <v>2078</v>
      </c>
      <c r="B2217" s="2" t="s">
        <v>4104</v>
      </c>
      <c r="C2217" s="2" t="s">
        <v>4087</v>
      </c>
      <c r="D2217" s="2"/>
      <c r="E2217" s="31" t="n">
        <v>86.1</v>
      </c>
      <c r="F2217" s="31" t="n">
        <v>6.6</v>
      </c>
      <c r="G2217" s="31" t="n">
        <v>73.7</v>
      </c>
      <c r="H2217" s="2" t="s">
        <v>668</v>
      </c>
    </row>
    <row r="2218" customFormat="false" ht="15" hidden="false" customHeight="false" outlineLevel="0" collapsed="false">
      <c r="A2218" s="2" t="s">
        <v>2078</v>
      </c>
      <c r="B2218" s="2" t="s">
        <v>45</v>
      </c>
      <c r="C2218" s="2" t="s">
        <v>4087</v>
      </c>
      <c r="D2218" s="11" t="n">
        <v>21705</v>
      </c>
      <c r="E2218" s="31" t="n">
        <v>88.2</v>
      </c>
      <c r="F2218" s="2"/>
      <c r="G2218" s="2"/>
      <c r="H2218" s="2" t="s">
        <v>668</v>
      </c>
    </row>
    <row r="2219" customFormat="false" ht="15" hidden="false" customHeight="false" outlineLevel="0" collapsed="false">
      <c r="A2219" s="2" t="s">
        <v>2078</v>
      </c>
      <c r="B2219" s="2" t="s">
        <v>47</v>
      </c>
      <c r="C2219" s="2" t="s">
        <v>4087</v>
      </c>
      <c r="D2219" s="11" t="n">
        <v>294297</v>
      </c>
      <c r="E2219" s="31" t="n">
        <v>84</v>
      </c>
      <c r="F2219" s="31" t="n">
        <v>6.6</v>
      </c>
      <c r="G2219" s="31" t="n">
        <v>73.7</v>
      </c>
      <c r="H2219" s="2" t="s">
        <v>671</v>
      </c>
    </row>
    <row r="2220" customFormat="false" ht="15" hidden="false" customHeight="false" outlineLevel="0" collapsed="false">
      <c r="A2220" s="2" t="s">
        <v>1463</v>
      </c>
      <c r="B2220" s="2" t="s">
        <v>4104</v>
      </c>
      <c r="C2220" s="2" t="s">
        <v>4085</v>
      </c>
      <c r="D2220" s="2"/>
      <c r="E2220" s="31" t="n">
        <v>26.4</v>
      </c>
      <c r="F2220" s="31" t="n">
        <v>61.2</v>
      </c>
      <c r="G2220" s="31" t="n">
        <v>46.7</v>
      </c>
      <c r="H2220" s="2" t="s">
        <v>668</v>
      </c>
    </row>
    <row r="2221" customFormat="false" ht="15" hidden="false" customHeight="false" outlineLevel="0" collapsed="false">
      <c r="A2221" s="2" t="s">
        <v>1463</v>
      </c>
      <c r="B2221" s="2" t="s">
        <v>4104</v>
      </c>
      <c r="C2221" s="2" t="s">
        <v>4086</v>
      </c>
      <c r="D2221" s="2"/>
      <c r="E2221" s="31" t="n">
        <v>58.4</v>
      </c>
      <c r="F2221" s="31" t="n">
        <v>45.4</v>
      </c>
      <c r="G2221" s="31" t="n">
        <v>74.4</v>
      </c>
      <c r="H2221" s="2" t="s">
        <v>668</v>
      </c>
    </row>
    <row r="2222" customFormat="false" ht="15" hidden="false" customHeight="false" outlineLevel="0" collapsed="false">
      <c r="A2222" s="2" t="s">
        <v>1463</v>
      </c>
      <c r="B2222" s="2" t="s">
        <v>4104</v>
      </c>
      <c r="C2222" s="2" t="s">
        <v>4087</v>
      </c>
      <c r="D2222" s="2"/>
      <c r="E2222" s="31" t="n">
        <v>59.4</v>
      </c>
      <c r="F2222" s="31" t="n">
        <v>51</v>
      </c>
      <c r="G2222" s="31" t="n">
        <v>53.8</v>
      </c>
      <c r="H2222" s="2" t="s">
        <v>668</v>
      </c>
    </row>
    <row r="2223" customFormat="false" ht="15" hidden="false" customHeight="false" outlineLevel="0" collapsed="false">
      <c r="A2223" s="2" t="s">
        <v>1463</v>
      </c>
      <c r="B2223" s="2" t="s">
        <v>45</v>
      </c>
      <c r="C2223" s="2" t="s">
        <v>4085</v>
      </c>
      <c r="D2223" s="11" t="n">
        <v>28470</v>
      </c>
      <c r="E2223" s="31" t="n">
        <v>23.6</v>
      </c>
      <c r="F2223" s="2"/>
      <c r="G2223" s="31" t="n">
        <v>89.5</v>
      </c>
      <c r="H2223" s="2" t="s">
        <v>668</v>
      </c>
    </row>
    <row r="2224" customFormat="false" ht="15" hidden="false" customHeight="false" outlineLevel="0" collapsed="false">
      <c r="A2224" s="2" t="s">
        <v>1463</v>
      </c>
      <c r="B2224" s="2" t="s">
        <v>45</v>
      </c>
      <c r="C2224" s="2" t="s">
        <v>4086</v>
      </c>
      <c r="D2224" s="11" t="n">
        <v>29100</v>
      </c>
      <c r="E2224" s="31" t="n">
        <v>58.4</v>
      </c>
      <c r="F2224" s="31" t="n">
        <v>45.4</v>
      </c>
      <c r="G2224" s="31" t="n">
        <v>74.4</v>
      </c>
      <c r="H2224" s="2" t="s">
        <v>671</v>
      </c>
    </row>
    <row r="2225" customFormat="false" ht="15" hidden="false" customHeight="false" outlineLevel="0" collapsed="false">
      <c r="A2225" s="2" t="s">
        <v>1463</v>
      </c>
      <c r="B2225" s="2" t="s">
        <v>45</v>
      </c>
      <c r="C2225" s="2" t="s">
        <v>4087</v>
      </c>
      <c r="D2225" s="11" t="n">
        <v>29373</v>
      </c>
      <c r="E2225" s="31" t="n">
        <v>39.1</v>
      </c>
      <c r="F2225" s="31" t="n">
        <v>42.5</v>
      </c>
      <c r="G2225" s="2"/>
      <c r="H2225" s="2" t="s">
        <v>668</v>
      </c>
    </row>
    <row r="2226" customFormat="false" ht="15" hidden="false" customHeight="false" outlineLevel="0" collapsed="false">
      <c r="A2226" s="2" t="s">
        <v>1463</v>
      </c>
      <c r="B2226" s="2" t="s">
        <v>46</v>
      </c>
      <c r="C2226" s="2" t="s">
        <v>4085</v>
      </c>
      <c r="D2226" s="11" t="n">
        <v>28290</v>
      </c>
      <c r="E2226" s="31" t="n">
        <v>29.2</v>
      </c>
      <c r="F2226" s="31" t="n">
        <v>64.4</v>
      </c>
      <c r="G2226" s="31" t="n">
        <v>3.9</v>
      </c>
      <c r="H2226" s="2" t="s">
        <v>671</v>
      </c>
    </row>
    <row r="2227" customFormat="false" ht="15" hidden="false" customHeight="false" outlineLevel="0" collapsed="false">
      <c r="A2227" s="2" t="s">
        <v>1463</v>
      </c>
      <c r="B2227" s="2" t="s">
        <v>46</v>
      </c>
      <c r="C2227" s="2" t="s">
        <v>4086</v>
      </c>
      <c r="D2227" s="2"/>
      <c r="E2227" s="2"/>
      <c r="F2227" s="2"/>
      <c r="G2227" s="2"/>
      <c r="H2227" s="2" t="s">
        <v>668</v>
      </c>
    </row>
    <row r="2228" customFormat="false" ht="15" hidden="false" customHeight="false" outlineLevel="0" collapsed="false">
      <c r="A2228" s="2" t="s">
        <v>1463</v>
      </c>
      <c r="B2228" s="2" t="s">
        <v>46</v>
      </c>
      <c r="C2228" s="2" t="s">
        <v>4087</v>
      </c>
      <c r="D2228" s="11" t="n">
        <v>31423</v>
      </c>
      <c r="E2228" s="31" t="n">
        <v>86.7</v>
      </c>
      <c r="F2228" s="31" t="n">
        <v>61.8</v>
      </c>
      <c r="G2228" s="31" t="n">
        <v>12.7</v>
      </c>
      <c r="H2228" s="2" t="s">
        <v>671</v>
      </c>
    </row>
    <row r="2229" customFormat="false" ht="15" hidden="false" customHeight="false" outlineLevel="0" collapsed="false">
      <c r="A2229" s="2" t="s">
        <v>1463</v>
      </c>
      <c r="B2229" s="2" t="s">
        <v>47</v>
      </c>
      <c r="C2229" s="2" t="s">
        <v>4085</v>
      </c>
      <c r="D2229" s="11" t="n">
        <v>324572</v>
      </c>
      <c r="E2229" s="2"/>
      <c r="F2229" s="31" t="n">
        <v>58</v>
      </c>
      <c r="G2229" s="2"/>
      <c r="H2229" s="2" t="s">
        <v>668</v>
      </c>
    </row>
    <row r="2230" customFormat="false" ht="15" hidden="false" customHeight="false" outlineLevel="0" collapsed="false">
      <c r="A2230" s="2" t="s">
        <v>1463</v>
      </c>
      <c r="B2230" s="2" t="s">
        <v>47</v>
      </c>
      <c r="C2230" s="2" t="s">
        <v>4086</v>
      </c>
      <c r="D2230" s="2"/>
      <c r="E2230" s="2"/>
      <c r="F2230" s="2"/>
      <c r="G2230" s="2"/>
      <c r="H2230" s="2" t="s">
        <v>668</v>
      </c>
    </row>
    <row r="2231" customFormat="false" ht="15" hidden="false" customHeight="false" outlineLevel="0" collapsed="false">
      <c r="A2231" s="2" t="s">
        <v>1463</v>
      </c>
      <c r="B2231" s="2" t="s">
        <v>47</v>
      </c>
      <c r="C2231" s="2" t="s">
        <v>4087</v>
      </c>
      <c r="D2231" s="11" t="n">
        <v>348515</v>
      </c>
      <c r="E2231" s="31" t="n">
        <v>52.5</v>
      </c>
      <c r="F2231" s="31" t="n">
        <v>48.8</v>
      </c>
      <c r="G2231" s="31" t="n">
        <v>95</v>
      </c>
      <c r="H2231" s="2" t="s">
        <v>671</v>
      </c>
    </row>
    <row r="2232" customFormat="false" ht="15" hidden="false" customHeight="false" outlineLevel="0" collapsed="false">
      <c r="A2232" s="2" t="s">
        <v>556</v>
      </c>
      <c r="B2232" s="2" t="s">
        <v>4104</v>
      </c>
      <c r="C2232" s="2" t="s">
        <v>4087</v>
      </c>
      <c r="D2232" s="2"/>
      <c r="E2232" s="31" t="n">
        <v>28.8</v>
      </c>
      <c r="F2232" s="31" t="n">
        <v>41.4</v>
      </c>
      <c r="G2232" s="31" t="n">
        <v>42.4</v>
      </c>
      <c r="H2232" s="2" t="s">
        <v>671</v>
      </c>
    </row>
    <row r="2233" customFormat="false" ht="15" hidden="false" customHeight="false" outlineLevel="0" collapsed="false">
      <c r="A2233" s="2" t="s">
        <v>556</v>
      </c>
      <c r="B2233" s="2" t="s">
        <v>45</v>
      </c>
      <c r="C2233" s="2" t="s">
        <v>4087</v>
      </c>
      <c r="D2233" s="11" t="n">
        <v>88655</v>
      </c>
      <c r="E2233" s="31" t="n">
        <v>20.1</v>
      </c>
      <c r="F2233" s="31" t="n">
        <v>46.4</v>
      </c>
      <c r="G2233" s="31" t="n">
        <v>16.9</v>
      </c>
      <c r="H2233" s="2" t="s">
        <v>671</v>
      </c>
    </row>
    <row r="2234" customFormat="false" ht="15" hidden="false" customHeight="false" outlineLevel="0" collapsed="false">
      <c r="A2234" s="2" t="s">
        <v>556</v>
      </c>
      <c r="B2234" s="2" t="s">
        <v>46</v>
      </c>
      <c r="C2234" s="2" t="s">
        <v>4087</v>
      </c>
      <c r="D2234" s="11" t="n">
        <v>98020</v>
      </c>
      <c r="E2234" s="31" t="n">
        <v>43.6</v>
      </c>
      <c r="F2234" s="31" t="n">
        <v>54.8</v>
      </c>
      <c r="G2234" s="31" t="n">
        <v>53.1</v>
      </c>
      <c r="H2234" s="2" t="s">
        <v>671</v>
      </c>
    </row>
    <row r="2235" customFormat="false" ht="15" hidden="false" customHeight="false" outlineLevel="0" collapsed="false">
      <c r="A2235" s="2" t="s">
        <v>556</v>
      </c>
      <c r="B2235" s="2" t="s">
        <v>47</v>
      </c>
      <c r="C2235" s="2" t="s">
        <v>4087</v>
      </c>
      <c r="D2235" s="11" t="n">
        <v>25014</v>
      </c>
      <c r="E2235" s="31" t="n">
        <v>22.8</v>
      </c>
      <c r="F2235" s="31" t="n">
        <v>23</v>
      </c>
      <c r="G2235" s="31" t="n">
        <v>57.1</v>
      </c>
      <c r="H2235" s="2" t="s">
        <v>671</v>
      </c>
    </row>
    <row r="2236" customFormat="false" ht="15" hidden="false" customHeight="false" outlineLevel="0" collapsed="false">
      <c r="A2236" s="2" t="s">
        <v>2561</v>
      </c>
      <c r="B2236" s="2" t="s">
        <v>4104</v>
      </c>
      <c r="C2236" s="2" t="s">
        <v>4085</v>
      </c>
      <c r="D2236" s="2"/>
      <c r="E2236" s="31" t="n">
        <v>54.9</v>
      </c>
      <c r="F2236" s="31" t="n">
        <v>75.9</v>
      </c>
      <c r="G2236" s="2"/>
      <c r="H2236" s="2" t="s">
        <v>668</v>
      </c>
    </row>
    <row r="2237" customFormat="false" ht="15" hidden="false" customHeight="false" outlineLevel="0" collapsed="false">
      <c r="A2237" s="2" t="s">
        <v>2561</v>
      </c>
      <c r="B2237" s="2" t="s">
        <v>4104</v>
      </c>
      <c r="C2237" s="2" t="s">
        <v>4086</v>
      </c>
      <c r="D2237" s="2"/>
      <c r="E2237" s="31" t="n">
        <v>51.9</v>
      </c>
      <c r="F2237" s="31" t="n">
        <v>64.4</v>
      </c>
      <c r="G2237" s="31" t="n">
        <v>28.6</v>
      </c>
      <c r="H2237" s="2" t="s">
        <v>668</v>
      </c>
    </row>
    <row r="2238" customFormat="false" ht="15" hidden="false" customHeight="false" outlineLevel="0" collapsed="false">
      <c r="A2238" s="2" t="s">
        <v>2561</v>
      </c>
      <c r="B2238" s="2" t="s">
        <v>4104</v>
      </c>
      <c r="C2238" s="2" t="s">
        <v>4087</v>
      </c>
      <c r="D2238" s="2"/>
      <c r="E2238" s="31" t="n">
        <v>17.9</v>
      </c>
      <c r="F2238" s="31" t="n">
        <v>80.7</v>
      </c>
      <c r="G2238" s="31" t="n">
        <v>9.1</v>
      </c>
      <c r="H2238" s="2" t="s">
        <v>668</v>
      </c>
    </row>
    <row r="2239" customFormat="false" ht="15" hidden="false" customHeight="false" outlineLevel="0" collapsed="false">
      <c r="A2239" s="2" t="s">
        <v>2561</v>
      </c>
      <c r="B2239" s="2" t="s">
        <v>45</v>
      </c>
      <c r="C2239" s="2" t="s">
        <v>4085</v>
      </c>
      <c r="D2239" s="11" t="n">
        <v>87355</v>
      </c>
      <c r="E2239" s="31" t="n">
        <v>54.9</v>
      </c>
      <c r="F2239" s="31" t="n">
        <v>75.9</v>
      </c>
      <c r="G2239" s="2"/>
      <c r="H2239" s="2" t="s">
        <v>668</v>
      </c>
    </row>
    <row r="2240" customFormat="false" ht="15" hidden="false" customHeight="false" outlineLevel="0" collapsed="false">
      <c r="A2240" s="2" t="s">
        <v>2561</v>
      </c>
      <c r="B2240" s="2" t="s">
        <v>45</v>
      </c>
      <c r="C2240" s="2" t="s">
        <v>4086</v>
      </c>
      <c r="D2240" s="11" t="n">
        <v>94575</v>
      </c>
      <c r="E2240" s="31" t="n">
        <v>62.8</v>
      </c>
      <c r="F2240" s="31" t="n">
        <v>55</v>
      </c>
      <c r="G2240" s="2"/>
      <c r="H2240" s="2" t="s">
        <v>668</v>
      </c>
    </row>
    <row r="2241" customFormat="false" ht="15" hidden="false" customHeight="false" outlineLevel="0" collapsed="false">
      <c r="A2241" s="2" t="s">
        <v>2561</v>
      </c>
      <c r="B2241" s="2" t="s">
        <v>45</v>
      </c>
      <c r="C2241" s="2" t="s">
        <v>4087</v>
      </c>
      <c r="D2241" s="2"/>
      <c r="E2241" s="2"/>
      <c r="F2241" s="2"/>
      <c r="G2241" s="2"/>
      <c r="H2241" s="2" t="s">
        <v>668</v>
      </c>
    </row>
    <row r="2242" customFormat="false" ht="15" hidden="false" customHeight="false" outlineLevel="0" collapsed="false">
      <c r="A2242" s="2" t="s">
        <v>2561</v>
      </c>
      <c r="B2242" s="2" t="s">
        <v>46</v>
      </c>
      <c r="C2242" s="2" t="s">
        <v>4085</v>
      </c>
      <c r="D2242" s="2"/>
      <c r="E2242" s="2"/>
      <c r="F2242" s="2"/>
      <c r="G2242" s="2"/>
      <c r="H2242" s="2" t="s">
        <v>668</v>
      </c>
    </row>
    <row r="2243" customFormat="false" ht="15" hidden="false" customHeight="false" outlineLevel="0" collapsed="false">
      <c r="A2243" s="2" t="s">
        <v>2561</v>
      </c>
      <c r="B2243" s="2" t="s">
        <v>46</v>
      </c>
      <c r="C2243" s="2" t="s">
        <v>4086</v>
      </c>
      <c r="D2243" s="11" t="n">
        <v>38110</v>
      </c>
      <c r="E2243" s="31" t="n">
        <v>62.7</v>
      </c>
      <c r="F2243" s="31" t="n">
        <v>48.7</v>
      </c>
      <c r="G2243" s="31" t="n">
        <v>4.9</v>
      </c>
      <c r="H2243" s="2" t="s">
        <v>671</v>
      </c>
    </row>
    <row r="2244" customFormat="false" ht="15" hidden="false" customHeight="false" outlineLevel="0" collapsed="false">
      <c r="A2244" s="2" t="s">
        <v>2561</v>
      </c>
      <c r="B2244" s="2" t="s">
        <v>46</v>
      </c>
      <c r="C2244" s="2" t="s">
        <v>4087</v>
      </c>
      <c r="D2244" s="2"/>
      <c r="E2244" s="2"/>
      <c r="F2244" s="2"/>
      <c r="G2244" s="2"/>
      <c r="H2244" s="2" t="s">
        <v>668</v>
      </c>
    </row>
    <row r="2245" customFormat="false" ht="15" hidden="false" customHeight="false" outlineLevel="0" collapsed="false">
      <c r="A2245" s="2" t="s">
        <v>2561</v>
      </c>
      <c r="B2245" s="2" t="s">
        <v>47</v>
      </c>
      <c r="C2245" s="2" t="s">
        <v>4085</v>
      </c>
      <c r="D2245" s="2"/>
      <c r="E2245" s="2"/>
      <c r="F2245" s="2"/>
      <c r="G2245" s="2"/>
      <c r="H2245" s="2" t="s">
        <v>668</v>
      </c>
    </row>
    <row r="2246" customFormat="false" ht="15" hidden="false" customHeight="false" outlineLevel="0" collapsed="false">
      <c r="A2246" s="2" t="s">
        <v>2561</v>
      </c>
      <c r="B2246" s="2" t="s">
        <v>47</v>
      </c>
      <c r="C2246" s="2" t="s">
        <v>4086</v>
      </c>
      <c r="D2246" s="11" t="n">
        <v>105901</v>
      </c>
      <c r="E2246" s="31" t="n">
        <v>30.2</v>
      </c>
      <c r="F2246" s="31" t="n">
        <v>89.4</v>
      </c>
      <c r="G2246" s="31" t="n">
        <v>52.2</v>
      </c>
      <c r="H2246" s="2" t="s">
        <v>671</v>
      </c>
    </row>
    <row r="2247" customFormat="false" ht="15" hidden="false" customHeight="false" outlineLevel="0" collapsed="false">
      <c r="A2247" s="2" t="s">
        <v>2561</v>
      </c>
      <c r="B2247" s="2" t="s">
        <v>47</v>
      </c>
      <c r="C2247" s="2" t="s">
        <v>4087</v>
      </c>
      <c r="D2247" s="11" t="n">
        <v>112199</v>
      </c>
      <c r="E2247" s="31" t="n">
        <v>17.9</v>
      </c>
      <c r="F2247" s="31" t="n">
        <v>80.7</v>
      </c>
      <c r="G2247" s="31" t="n">
        <v>9.1</v>
      </c>
      <c r="H2247" s="2" t="s">
        <v>671</v>
      </c>
    </row>
    <row r="2248" customFormat="false" ht="15" hidden="false" customHeight="false" outlineLevel="0" collapsed="false">
      <c r="A2248" s="2" t="s">
        <v>388</v>
      </c>
      <c r="B2248" s="2" t="s">
        <v>4104</v>
      </c>
      <c r="C2248" s="2" t="s">
        <v>4085</v>
      </c>
      <c r="D2248" s="2"/>
      <c r="E2248" s="31" t="n">
        <v>46.7</v>
      </c>
      <c r="F2248" s="31" t="n">
        <v>49</v>
      </c>
      <c r="G2248" s="31" t="n">
        <v>46.5</v>
      </c>
      <c r="H2248" s="2" t="s">
        <v>668</v>
      </c>
    </row>
    <row r="2249" customFormat="false" ht="15" hidden="false" customHeight="false" outlineLevel="0" collapsed="false">
      <c r="A2249" s="2" t="s">
        <v>388</v>
      </c>
      <c r="B2249" s="2" t="s">
        <v>4104</v>
      </c>
      <c r="C2249" s="2" t="s">
        <v>4086</v>
      </c>
      <c r="D2249" s="2"/>
      <c r="E2249" s="31" t="n">
        <v>45.4</v>
      </c>
      <c r="F2249" s="31" t="n">
        <v>40.2</v>
      </c>
      <c r="G2249" s="31" t="n">
        <v>41.2</v>
      </c>
      <c r="H2249" s="2" t="s">
        <v>671</v>
      </c>
    </row>
    <row r="2250" customFormat="false" ht="15" hidden="false" customHeight="false" outlineLevel="0" collapsed="false">
      <c r="A2250" s="2" t="s">
        <v>388</v>
      </c>
      <c r="B2250" s="2" t="s">
        <v>4104</v>
      </c>
      <c r="C2250" s="2" t="s">
        <v>4087</v>
      </c>
      <c r="D2250" s="2"/>
      <c r="E2250" s="31" t="n">
        <v>47.8</v>
      </c>
      <c r="F2250" s="31" t="n">
        <v>38.9</v>
      </c>
      <c r="G2250" s="31" t="n">
        <v>55.8</v>
      </c>
      <c r="H2250" s="2" t="s">
        <v>671</v>
      </c>
    </row>
    <row r="2251" customFormat="false" ht="15" hidden="false" customHeight="false" outlineLevel="0" collapsed="false">
      <c r="A2251" s="2" t="s">
        <v>388</v>
      </c>
      <c r="B2251" s="2" t="s">
        <v>45</v>
      </c>
      <c r="C2251" s="2" t="s">
        <v>4085</v>
      </c>
      <c r="D2251" s="2"/>
      <c r="E2251" s="2"/>
      <c r="F2251" s="2"/>
      <c r="G2251" s="2"/>
      <c r="H2251" s="2" t="s">
        <v>668</v>
      </c>
    </row>
    <row r="2252" customFormat="false" ht="15" hidden="false" customHeight="false" outlineLevel="0" collapsed="false">
      <c r="A2252" s="2" t="s">
        <v>388</v>
      </c>
      <c r="B2252" s="2" t="s">
        <v>45</v>
      </c>
      <c r="C2252" s="2" t="s">
        <v>4086</v>
      </c>
      <c r="D2252" s="11" t="n">
        <v>92750</v>
      </c>
      <c r="E2252" s="31" t="n">
        <v>40.5</v>
      </c>
      <c r="F2252" s="31" t="n">
        <v>13.4</v>
      </c>
      <c r="G2252" s="31" t="n">
        <v>15.2</v>
      </c>
      <c r="H2252" s="2" t="s">
        <v>671</v>
      </c>
    </row>
    <row r="2253" customFormat="false" ht="15" hidden="false" customHeight="false" outlineLevel="0" collapsed="false">
      <c r="A2253" s="2" t="s">
        <v>388</v>
      </c>
      <c r="B2253" s="2" t="s">
        <v>45</v>
      </c>
      <c r="C2253" s="2" t="s">
        <v>4087</v>
      </c>
      <c r="D2253" s="11" t="n">
        <v>95380</v>
      </c>
      <c r="E2253" s="31" t="n">
        <v>13.2</v>
      </c>
      <c r="F2253" s="31" t="n">
        <v>11.9</v>
      </c>
      <c r="G2253" s="31" t="n">
        <v>35.4</v>
      </c>
      <c r="H2253" s="2" t="s">
        <v>671</v>
      </c>
    </row>
    <row r="2254" customFormat="false" ht="15" hidden="false" customHeight="false" outlineLevel="0" collapsed="false">
      <c r="A2254" s="2" t="s">
        <v>388</v>
      </c>
      <c r="B2254" s="2" t="s">
        <v>46</v>
      </c>
      <c r="C2254" s="2" t="s">
        <v>4085</v>
      </c>
      <c r="D2254" s="11" t="n">
        <v>18285</v>
      </c>
      <c r="E2254" s="31" t="n">
        <v>48.1</v>
      </c>
      <c r="F2254" s="31" t="n">
        <v>94.4</v>
      </c>
      <c r="G2254" s="31" t="n">
        <v>6.4</v>
      </c>
      <c r="H2254" s="2" t="s">
        <v>671</v>
      </c>
    </row>
    <row r="2255" customFormat="false" ht="15" hidden="false" customHeight="false" outlineLevel="0" collapsed="false">
      <c r="A2255" s="2" t="s">
        <v>388</v>
      </c>
      <c r="B2255" s="2" t="s">
        <v>46</v>
      </c>
      <c r="C2255" s="2" t="s">
        <v>4086</v>
      </c>
      <c r="D2255" s="11" t="n">
        <v>19450</v>
      </c>
      <c r="E2255" s="31" t="n">
        <v>36.3</v>
      </c>
      <c r="F2255" s="31" t="n">
        <v>97.8</v>
      </c>
      <c r="G2255" s="31" t="n">
        <v>24.9</v>
      </c>
      <c r="H2255" s="2" t="s">
        <v>671</v>
      </c>
    </row>
    <row r="2256" customFormat="false" ht="15" hidden="false" customHeight="false" outlineLevel="0" collapsed="false">
      <c r="A2256" s="2" t="s">
        <v>388</v>
      </c>
      <c r="B2256" s="2" t="s">
        <v>46</v>
      </c>
      <c r="C2256" s="2" t="s">
        <v>4087</v>
      </c>
      <c r="D2256" s="11" t="n">
        <v>20460</v>
      </c>
      <c r="E2256" s="31" t="n">
        <v>60</v>
      </c>
      <c r="F2256" s="31" t="n">
        <v>99.6</v>
      </c>
      <c r="G2256" s="31" t="n">
        <v>43</v>
      </c>
      <c r="H2256" s="2" t="s">
        <v>671</v>
      </c>
    </row>
    <row r="2257" customFormat="false" ht="15" hidden="false" customHeight="false" outlineLevel="0" collapsed="false">
      <c r="A2257" s="2" t="s">
        <v>388</v>
      </c>
      <c r="B2257" s="2" t="s">
        <v>47</v>
      </c>
      <c r="C2257" s="2" t="s">
        <v>4085</v>
      </c>
      <c r="D2257" s="11" t="n">
        <v>26341</v>
      </c>
      <c r="E2257" s="31" t="n">
        <v>45.2</v>
      </c>
      <c r="F2257" s="31" t="n">
        <v>3.6</v>
      </c>
      <c r="G2257" s="31" t="n">
        <v>86.6</v>
      </c>
      <c r="H2257" s="2" t="s">
        <v>671</v>
      </c>
    </row>
    <row r="2258" customFormat="false" ht="15" hidden="false" customHeight="false" outlineLevel="0" collapsed="false">
      <c r="A2258" s="2" t="s">
        <v>388</v>
      </c>
      <c r="B2258" s="2" t="s">
        <v>47</v>
      </c>
      <c r="C2258" s="2" t="s">
        <v>4086</v>
      </c>
      <c r="D2258" s="11" t="n">
        <v>26360</v>
      </c>
      <c r="E2258" s="31" t="n">
        <v>59.3</v>
      </c>
      <c r="F2258" s="31" t="n">
        <v>9.4</v>
      </c>
      <c r="G2258" s="31" t="n">
        <v>83.5</v>
      </c>
      <c r="H2258" s="2" t="s">
        <v>671</v>
      </c>
    </row>
    <row r="2259" customFormat="false" ht="15" hidden="false" customHeight="false" outlineLevel="0" collapsed="false">
      <c r="A2259" s="2" t="s">
        <v>388</v>
      </c>
      <c r="B2259" s="2" t="s">
        <v>47</v>
      </c>
      <c r="C2259" s="2" t="s">
        <v>4087</v>
      </c>
      <c r="D2259" s="11" t="n">
        <v>25824</v>
      </c>
      <c r="E2259" s="31" t="n">
        <v>70.2</v>
      </c>
      <c r="F2259" s="31" t="n">
        <v>5.3</v>
      </c>
      <c r="G2259" s="31" t="n">
        <v>89</v>
      </c>
      <c r="H2259" s="2" t="s">
        <v>671</v>
      </c>
    </row>
    <row r="2260" customFormat="false" ht="15" hidden="false" customHeight="false" outlineLevel="0" collapsed="false">
      <c r="A2260" s="2" t="s">
        <v>2359</v>
      </c>
      <c r="B2260" s="2" t="s">
        <v>4104</v>
      </c>
      <c r="C2260" s="2" t="s">
        <v>4085</v>
      </c>
      <c r="D2260" s="2"/>
      <c r="E2260" s="31" t="n">
        <v>49.7</v>
      </c>
      <c r="F2260" s="31" t="n">
        <v>66.9</v>
      </c>
      <c r="G2260" s="31" t="n">
        <v>37.9</v>
      </c>
      <c r="H2260" s="2" t="s">
        <v>668</v>
      </c>
    </row>
    <row r="2261" customFormat="false" ht="15" hidden="false" customHeight="false" outlineLevel="0" collapsed="false">
      <c r="A2261" s="2" t="s">
        <v>2359</v>
      </c>
      <c r="B2261" s="2" t="s">
        <v>4104</v>
      </c>
      <c r="C2261" s="2" t="s">
        <v>4086</v>
      </c>
      <c r="D2261" s="2"/>
      <c r="E2261" s="31" t="n">
        <v>54.4</v>
      </c>
      <c r="F2261" s="31" t="n">
        <v>36</v>
      </c>
      <c r="G2261" s="31" t="n">
        <v>90.1</v>
      </c>
      <c r="H2261" s="2" t="s">
        <v>668</v>
      </c>
    </row>
    <row r="2262" customFormat="false" ht="15" hidden="false" customHeight="false" outlineLevel="0" collapsed="false">
      <c r="A2262" s="2" t="s">
        <v>2359</v>
      </c>
      <c r="B2262" s="2" t="s">
        <v>4104</v>
      </c>
      <c r="C2262" s="2" t="s">
        <v>4087</v>
      </c>
      <c r="D2262" s="2"/>
      <c r="E2262" s="31" t="n">
        <v>44.7</v>
      </c>
      <c r="F2262" s="31" t="n">
        <v>58.7</v>
      </c>
      <c r="G2262" s="31" t="n">
        <v>49.1</v>
      </c>
      <c r="H2262" s="2" t="s">
        <v>668</v>
      </c>
    </row>
    <row r="2263" customFormat="false" ht="15" hidden="false" customHeight="false" outlineLevel="0" collapsed="false">
      <c r="A2263" s="2" t="s">
        <v>2359</v>
      </c>
      <c r="B2263" s="2" t="s">
        <v>45</v>
      </c>
      <c r="C2263" s="2" t="s">
        <v>4085</v>
      </c>
      <c r="D2263" s="11" t="n">
        <v>153930</v>
      </c>
      <c r="E2263" s="31" t="n">
        <v>79.9</v>
      </c>
      <c r="F2263" s="31" t="n">
        <v>76</v>
      </c>
      <c r="G2263" s="2"/>
      <c r="H2263" s="2" t="s">
        <v>671</v>
      </c>
    </row>
    <row r="2264" customFormat="false" ht="15" hidden="false" customHeight="false" outlineLevel="0" collapsed="false">
      <c r="A2264" s="2" t="s">
        <v>2359</v>
      </c>
      <c r="B2264" s="2" t="s">
        <v>45</v>
      </c>
      <c r="C2264" s="2" t="s">
        <v>4086</v>
      </c>
      <c r="D2264" s="2"/>
      <c r="E2264" s="2"/>
      <c r="F2264" s="2"/>
      <c r="G2264" s="2"/>
      <c r="H2264" s="2" t="s">
        <v>668</v>
      </c>
    </row>
    <row r="2265" customFormat="false" ht="15" hidden="false" customHeight="false" outlineLevel="0" collapsed="false">
      <c r="A2265" s="2" t="s">
        <v>2359</v>
      </c>
      <c r="B2265" s="2" t="s">
        <v>45</v>
      </c>
      <c r="C2265" s="2" t="s">
        <v>4087</v>
      </c>
      <c r="D2265" s="2"/>
      <c r="E2265" s="2"/>
      <c r="F2265" s="2"/>
      <c r="G2265" s="2"/>
      <c r="H2265" s="2" t="s">
        <v>668</v>
      </c>
    </row>
    <row r="2266" customFormat="false" ht="15" hidden="false" customHeight="false" outlineLevel="0" collapsed="false">
      <c r="A2266" s="2" t="s">
        <v>2359</v>
      </c>
      <c r="B2266" s="2" t="s">
        <v>46</v>
      </c>
      <c r="C2266" s="2" t="s">
        <v>4085</v>
      </c>
      <c r="D2266" s="2"/>
      <c r="E2266" s="2"/>
      <c r="F2266" s="2"/>
      <c r="G2266" s="2"/>
      <c r="H2266" s="2" t="s">
        <v>668</v>
      </c>
    </row>
    <row r="2267" customFormat="false" ht="15" hidden="false" customHeight="false" outlineLevel="0" collapsed="false">
      <c r="A2267" s="2" t="s">
        <v>2359</v>
      </c>
      <c r="B2267" s="2" t="s">
        <v>46</v>
      </c>
      <c r="C2267" s="2" t="s">
        <v>4086</v>
      </c>
      <c r="D2267" s="11" t="n">
        <v>15330</v>
      </c>
      <c r="E2267" s="31" t="n">
        <v>54.4</v>
      </c>
      <c r="F2267" s="31" t="n">
        <v>36</v>
      </c>
      <c r="G2267" s="31" t="n">
        <v>90.1</v>
      </c>
      <c r="H2267" s="2" t="s">
        <v>671</v>
      </c>
    </row>
    <row r="2268" customFormat="false" ht="15" hidden="false" customHeight="false" outlineLevel="0" collapsed="false">
      <c r="A2268" s="2" t="s">
        <v>2359</v>
      </c>
      <c r="B2268" s="2" t="s">
        <v>46</v>
      </c>
      <c r="C2268" s="2" t="s">
        <v>4087</v>
      </c>
      <c r="D2268" s="2"/>
      <c r="E2268" s="2"/>
      <c r="F2268" s="2"/>
      <c r="G2268" s="2"/>
      <c r="H2268" s="2" t="s">
        <v>668</v>
      </c>
    </row>
    <row r="2269" customFormat="false" ht="15" hidden="false" customHeight="false" outlineLevel="0" collapsed="false">
      <c r="A2269" s="2" t="s">
        <v>2359</v>
      </c>
      <c r="B2269" s="2" t="s">
        <v>47</v>
      </c>
      <c r="C2269" s="2" t="s">
        <v>4085</v>
      </c>
      <c r="D2269" s="11" t="n">
        <v>8718</v>
      </c>
      <c r="E2269" s="31" t="n">
        <v>19.4</v>
      </c>
      <c r="F2269" s="31" t="n">
        <v>57.8</v>
      </c>
      <c r="G2269" s="31" t="n">
        <v>37.9</v>
      </c>
      <c r="H2269" s="2" t="s">
        <v>671</v>
      </c>
    </row>
    <row r="2270" customFormat="false" ht="15" hidden="false" customHeight="false" outlineLevel="0" collapsed="false">
      <c r="A2270" s="2" t="s">
        <v>2359</v>
      </c>
      <c r="B2270" s="2" t="s">
        <v>47</v>
      </c>
      <c r="C2270" s="2" t="s">
        <v>4086</v>
      </c>
      <c r="D2270" s="2"/>
      <c r="E2270" s="2"/>
      <c r="F2270" s="2"/>
      <c r="G2270" s="2"/>
      <c r="H2270" s="2" t="s">
        <v>668</v>
      </c>
    </row>
    <row r="2271" customFormat="false" ht="15" hidden="false" customHeight="false" outlineLevel="0" collapsed="false">
      <c r="A2271" s="2" t="s">
        <v>2359</v>
      </c>
      <c r="B2271" s="2" t="s">
        <v>47</v>
      </c>
      <c r="C2271" s="2" t="s">
        <v>4087</v>
      </c>
      <c r="D2271" s="11" t="n">
        <v>9378</v>
      </c>
      <c r="E2271" s="31" t="n">
        <v>44.7</v>
      </c>
      <c r="F2271" s="31" t="n">
        <v>58.7</v>
      </c>
      <c r="G2271" s="31" t="n">
        <v>49.1</v>
      </c>
      <c r="H2271" s="2" t="s">
        <v>671</v>
      </c>
    </row>
    <row r="2272" customFormat="false" ht="15" hidden="false" customHeight="false" outlineLevel="0" collapsed="false">
      <c r="A2272" s="2" t="s">
        <v>1333</v>
      </c>
      <c r="B2272" s="2" t="s">
        <v>4104</v>
      </c>
      <c r="C2272" s="2" t="s">
        <v>4085</v>
      </c>
      <c r="D2272" s="2"/>
      <c r="E2272" s="2"/>
      <c r="F2272" s="2"/>
      <c r="G2272" s="2"/>
      <c r="H2272" s="2" t="s">
        <v>668</v>
      </c>
    </row>
    <row r="2273" customFormat="false" ht="15" hidden="false" customHeight="false" outlineLevel="0" collapsed="false">
      <c r="A2273" s="2" t="s">
        <v>1333</v>
      </c>
      <c r="B2273" s="2" t="s">
        <v>4104</v>
      </c>
      <c r="C2273" s="2" t="s">
        <v>4086</v>
      </c>
      <c r="D2273" s="2"/>
      <c r="E2273" s="31" t="n">
        <v>49.8</v>
      </c>
      <c r="F2273" s="31" t="n">
        <v>81.9</v>
      </c>
      <c r="G2273" s="31" t="n">
        <v>43.4</v>
      </c>
      <c r="H2273" s="2" t="s">
        <v>668</v>
      </c>
    </row>
    <row r="2274" customFormat="false" ht="15" hidden="false" customHeight="false" outlineLevel="0" collapsed="false">
      <c r="A2274" s="2" t="s">
        <v>1333</v>
      </c>
      <c r="B2274" s="2" t="s">
        <v>4104</v>
      </c>
      <c r="C2274" s="2" t="s">
        <v>4087</v>
      </c>
      <c r="D2274" s="2"/>
      <c r="E2274" s="31" t="n">
        <v>46.8</v>
      </c>
      <c r="F2274" s="31" t="n">
        <v>85.2</v>
      </c>
      <c r="G2274" s="31" t="n">
        <v>9.4</v>
      </c>
      <c r="H2274" s="2" t="s">
        <v>668</v>
      </c>
    </row>
    <row r="2275" customFormat="false" ht="15" hidden="false" customHeight="false" outlineLevel="0" collapsed="false">
      <c r="A2275" s="2" t="s">
        <v>1333</v>
      </c>
      <c r="B2275" s="2" t="s">
        <v>45</v>
      </c>
      <c r="C2275" s="2" t="s">
        <v>4085</v>
      </c>
      <c r="D2275" s="2"/>
      <c r="E2275" s="2"/>
      <c r="F2275" s="2"/>
      <c r="G2275" s="2"/>
      <c r="H2275" s="2" t="s">
        <v>668</v>
      </c>
    </row>
    <row r="2276" customFormat="false" ht="15" hidden="false" customHeight="false" outlineLevel="0" collapsed="false">
      <c r="A2276" s="2" t="s">
        <v>1333</v>
      </c>
      <c r="B2276" s="2" t="s">
        <v>45</v>
      </c>
      <c r="C2276" s="2" t="s">
        <v>4086</v>
      </c>
      <c r="D2276" s="11" t="n">
        <v>24740</v>
      </c>
      <c r="E2276" s="31" t="n">
        <v>6.6</v>
      </c>
      <c r="F2276" s="31" t="n">
        <v>84.2</v>
      </c>
      <c r="G2276" s="31" t="n">
        <v>43.4</v>
      </c>
      <c r="H2276" s="2" t="s">
        <v>671</v>
      </c>
    </row>
    <row r="2277" customFormat="false" ht="15" hidden="false" customHeight="false" outlineLevel="0" collapsed="false">
      <c r="A2277" s="2" t="s">
        <v>1333</v>
      </c>
      <c r="B2277" s="2" t="s">
        <v>45</v>
      </c>
      <c r="C2277" s="2" t="s">
        <v>4087</v>
      </c>
      <c r="D2277" s="11" t="n">
        <v>26410</v>
      </c>
      <c r="E2277" s="31" t="n">
        <v>7.7</v>
      </c>
      <c r="F2277" s="31" t="n">
        <v>89.7</v>
      </c>
      <c r="G2277" s="31" t="n">
        <v>9.4</v>
      </c>
      <c r="H2277" s="2" t="s">
        <v>671</v>
      </c>
    </row>
    <row r="2278" customFormat="false" ht="15" hidden="false" customHeight="false" outlineLevel="0" collapsed="false">
      <c r="A2278" s="2" t="s">
        <v>1333</v>
      </c>
      <c r="B2278" s="2" t="s">
        <v>46</v>
      </c>
      <c r="C2278" s="2" t="s">
        <v>4085</v>
      </c>
      <c r="D2278" s="2"/>
      <c r="E2278" s="2"/>
      <c r="F2278" s="2"/>
      <c r="G2278" s="2"/>
      <c r="H2278" s="2" t="s">
        <v>668</v>
      </c>
    </row>
    <row r="2279" customFormat="false" ht="15" hidden="false" customHeight="false" outlineLevel="0" collapsed="false">
      <c r="A2279" s="2" t="s">
        <v>1333</v>
      </c>
      <c r="B2279" s="2" t="s">
        <v>46</v>
      </c>
      <c r="C2279" s="2" t="s">
        <v>4086</v>
      </c>
      <c r="D2279" s="11" t="n">
        <v>122223</v>
      </c>
      <c r="E2279" s="31" t="n">
        <v>92.9</v>
      </c>
      <c r="F2279" s="31" t="n">
        <v>79.6</v>
      </c>
      <c r="G2279" s="2"/>
      <c r="H2279" s="2" t="s">
        <v>668</v>
      </c>
    </row>
    <row r="2280" customFormat="false" ht="15" hidden="false" customHeight="false" outlineLevel="0" collapsed="false">
      <c r="A2280" s="2" t="s">
        <v>1333</v>
      </c>
      <c r="B2280" s="2" t="s">
        <v>46</v>
      </c>
      <c r="C2280" s="2" t="s">
        <v>4087</v>
      </c>
      <c r="D2280" s="11" t="n">
        <v>127760</v>
      </c>
      <c r="E2280" s="31" t="n">
        <v>86</v>
      </c>
      <c r="F2280" s="31" t="n">
        <v>80.8</v>
      </c>
      <c r="G2280" s="2"/>
      <c r="H2280" s="2" t="s">
        <v>668</v>
      </c>
    </row>
    <row r="2281" customFormat="false" ht="15" hidden="false" customHeight="false" outlineLevel="0" collapsed="false">
      <c r="A2281" s="2" t="s">
        <v>576</v>
      </c>
      <c r="B2281" s="2" t="s">
        <v>4104</v>
      </c>
      <c r="C2281" s="2" t="s">
        <v>4085</v>
      </c>
      <c r="D2281" s="2"/>
      <c r="E2281" s="31" t="n">
        <v>41.2</v>
      </c>
      <c r="F2281" s="31" t="n">
        <v>86.4</v>
      </c>
      <c r="G2281" s="31" t="n">
        <v>37.7</v>
      </c>
      <c r="H2281" s="2" t="s">
        <v>668</v>
      </c>
    </row>
    <row r="2282" customFormat="false" ht="15" hidden="false" customHeight="false" outlineLevel="0" collapsed="false">
      <c r="A2282" s="2" t="s">
        <v>576</v>
      </c>
      <c r="B2282" s="2" t="s">
        <v>4104</v>
      </c>
      <c r="C2282" s="2" t="s">
        <v>4086</v>
      </c>
      <c r="D2282" s="2"/>
      <c r="E2282" s="31" t="n">
        <v>39.3</v>
      </c>
      <c r="F2282" s="31" t="n">
        <v>62.9</v>
      </c>
      <c r="G2282" s="31" t="n">
        <v>19.8</v>
      </c>
      <c r="H2282" s="2" t="s">
        <v>668</v>
      </c>
    </row>
    <row r="2283" customFormat="false" ht="15" hidden="false" customHeight="false" outlineLevel="0" collapsed="false">
      <c r="A2283" s="2" t="s">
        <v>576</v>
      </c>
      <c r="B2283" s="2" t="s">
        <v>4104</v>
      </c>
      <c r="C2283" s="2" t="s">
        <v>4087</v>
      </c>
      <c r="D2283" s="2"/>
      <c r="E2283" s="31" t="n">
        <v>25.4</v>
      </c>
      <c r="F2283" s="31" t="n">
        <v>55.9</v>
      </c>
      <c r="G2283" s="31" t="n">
        <v>20</v>
      </c>
      <c r="H2283" s="2" t="s">
        <v>671</v>
      </c>
    </row>
    <row r="2284" customFormat="false" ht="15" hidden="false" customHeight="false" outlineLevel="0" collapsed="false">
      <c r="A2284" s="2" t="s">
        <v>576</v>
      </c>
      <c r="B2284" s="2" t="s">
        <v>45</v>
      </c>
      <c r="C2284" s="2" t="s">
        <v>4085</v>
      </c>
      <c r="D2284" s="11" t="n">
        <v>70030</v>
      </c>
      <c r="E2284" s="31" t="n">
        <v>30.4</v>
      </c>
      <c r="F2284" s="31" t="n">
        <v>97.1</v>
      </c>
      <c r="G2284" s="31" t="n">
        <v>47.8</v>
      </c>
      <c r="H2284" s="2" t="s">
        <v>671</v>
      </c>
    </row>
    <row r="2285" customFormat="false" ht="15" hidden="false" customHeight="false" outlineLevel="0" collapsed="false">
      <c r="A2285" s="2" t="s">
        <v>576</v>
      </c>
      <c r="B2285" s="2" t="s">
        <v>45</v>
      </c>
      <c r="C2285" s="2" t="s">
        <v>4086</v>
      </c>
      <c r="D2285" s="11" t="n">
        <v>123600</v>
      </c>
      <c r="E2285" s="2"/>
      <c r="F2285" s="31" t="n">
        <v>62.1</v>
      </c>
      <c r="G2285" s="2"/>
      <c r="H2285" s="2" t="s">
        <v>668</v>
      </c>
    </row>
    <row r="2286" customFormat="false" ht="15" hidden="false" customHeight="false" outlineLevel="0" collapsed="false">
      <c r="A2286" s="2" t="s">
        <v>576</v>
      </c>
      <c r="B2286" s="2" t="s">
        <v>45</v>
      </c>
      <c r="C2286" s="2" t="s">
        <v>4087</v>
      </c>
      <c r="D2286" s="11" t="n">
        <v>126740</v>
      </c>
      <c r="E2286" s="31" t="n">
        <v>8.3</v>
      </c>
      <c r="F2286" s="31" t="n">
        <v>81.2</v>
      </c>
      <c r="G2286" s="31" t="n">
        <v>32</v>
      </c>
      <c r="H2286" s="2" t="s">
        <v>671</v>
      </c>
    </row>
    <row r="2287" customFormat="false" ht="15" hidden="false" customHeight="false" outlineLevel="0" collapsed="false">
      <c r="A2287" s="2" t="s">
        <v>576</v>
      </c>
      <c r="B2287" s="2" t="s">
        <v>46</v>
      </c>
      <c r="C2287" s="2" t="s">
        <v>4085</v>
      </c>
      <c r="D2287" s="11" t="n">
        <v>2840</v>
      </c>
      <c r="E2287" s="31" t="n">
        <v>50.5</v>
      </c>
      <c r="F2287" s="2"/>
      <c r="G2287" s="31" t="n">
        <v>24</v>
      </c>
      <c r="H2287" s="2" t="s">
        <v>668</v>
      </c>
    </row>
    <row r="2288" customFormat="false" ht="15" hidden="false" customHeight="false" outlineLevel="0" collapsed="false">
      <c r="A2288" s="2" t="s">
        <v>576</v>
      </c>
      <c r="B2288" s="2" t="s">
        <v>46</v>
      </c>
      <c r="C2288" s="2" t="s">
        <v>4086</v>
      </c>
      <c r="D2288" s="11" t="n">
        <v>3010</v>
      </c>
      <c r="E2288" s="31" t="n">
        <v>41.8</v>
      </c>
      <c r="F2288" s="2"/>
      <c r="G2288" s="31" t="n">
        <v>7.1</v>
      </c>
      <c r="H2288" s="2" t="s">
        <v>668</v>
      </c>
    </row>
    <row r="2289" customFormat="false" ht="15" hidden="false" customHeight="false" outlineLevel="0" collapsed="false">
      <c r="A2289" s="2" t="s">
        <v>576</v>
      </c>
      <c r="B2289" s="2" t="s">
        <v>46</v>
      </c>
      <c r="C2289" s="2" t="s">
        <v>4087</v>
      </c>
      <c r="D2289" s="11" t="n">
        <v>3076</v>
      </c>
      <c r="E2289" s="31" t="n">
        <v>31.5</v>
      </c>
      <c r="F2289" s="31" t="n">
        <v>29.2</v>
      </c>
      <c r="G2289" s="31" t="n">
        <v>5.7</v>
      </c>
      <c r="H2289" s="2" t="s">
        <v>671</v>
      </c>
    </row>
    <row r="2290" customFormat="false" ht="15" hidden="false" customHeight="false" outlineLevel="0" collapsed="false">
      <c r="A2290" s="2" t="s">
        <v>576</v>
      </c>
      <c r="B2290" s="2" t="s">
        <v>47</v>
      </c>
      <c r="C2290" s="2" t="s">
        <v>4085</v>
      </c>
      <c r="D2290" s="11" t="n">
        <v>3670</v>
      </c>
      <c r="E2290" s="31" t="n">
        <v>42.7</v>
      </c>
      <c r="F2290" s="31" t="n">
        <v>75.6</v>
      </c>
      <c r="G2290" s="31" t="n">
        <v>41.3</v>
      </c>
      <c r="H2290" s="2" t="s">
        <v>671</v>
      </c>
    </row>
    <row r="2291" customFormat="false" ht="15" hidden="false" customHeight="false" outlineLevel="0" collapsed="false">
      <c r="A2291" s="2" t="s">
        <v>576</v>
      </c>
      <c r="B2291" s="2" t="s">
        <v>47</v>
      </c>
      <c r="C2291" s="2" t="s">
        <v>4086</v>
      </c>
      <c r="D2291" s="11" t="n">
        <v>3841</v>
      </c>
      <c r="E2291" s="31" t="n">
        <v>36.9</v>
      </c>
      <c r="F2291" s="31" t="n">
        <v>63.7</v>
      </c>
      <c r="G2291" s="31" t="n">
        <v>32.6</v>
      </c>
      <c r="H2291" s="2" t="s">
        <v>671</v>
      </c>
    </row>
    <row r="2292" customFormat="false" ht="15" hidden="false" customHeight="false" outlineLevel="0" collapsed="false">
      <c r="A2292" s="2" t="s">
        <v>576</v>
      </c>
      <c r="B2292" s="2" t="s">
        <v>47</v>
      </c>
      <c r="C2292" s="2" t="s">
        <v>4087</v>
      </c>
      <c r="D2292" s="11" t="n">
        <v>4053</v>
      </c>
      <c r="E2292" s="31" t="n">
        <v>36.3</v>
      </c>
      <c r="F2292" s="31" t="n">
        <v>57.3</v>
      </c>
      <c r="G2292" s="31" t="n">
        <v>22.3</v>
      </c>
      <c r="H2292" s="2" t="s">
        <v>671</v>
      </c>
    </row>
    <row r="2293" customFormat="false" ht="15" hidden="false" customHeight="false" outlineLevel="0" collapsed="false">
      <c r="A2293" s="2" t="s">
        <v>478</v>
      </c>
      <c r="B2293" s="2" t="s">
        <v>4104</v>
      </c>
      <c r="C2293" s="2" t="s">
        <v>4085</v>
      </c>
      <c r="D2293" s="2"/>
      <c r="E2293" s="31" t="n">
        <v>46.4</v>
      </c>
      <c r="F2293" s="31" t="n">
        <v>69.7</v>
      </c>
      <c r="G2293" s="31" t="n">
        <v>53</v>
      </c>
      <c r="H2293" s="2" t="s">
        <v>671</v>
      </c>
    </row>
    <row r="2294" customFormat="false" ht="15" hidden="false" customHeight="false" outlineLevel="0" collapsed="false">
      <c r="A2294" s="2" t="s">
        <v>478</v>
      </c>
      <c r="B2294" s="2" t="s">
        <v>4104</v>
      </c>
      <c r="C2294" s="2" t="s">
        <v>4086</v>
      </c>
      <c r="D2294" s="2"/>
      <c r="E2294" s="31" t="n">
        <v>71.4</v>
      </c>
      <c r="F2294" s="31" t="n">
        <v>72.3</v>
      </c>
      <c r="G2294" s="31" t="n">
        <v>69.2</v>
      </c>
      <c r="H2294" s="2" t="s">
        <v>668</v>
      </c>
    </row>
    <row r="2295" customFormat="false" ht="15" hidden="false" customHeight="false" outlineLevel="0" collapsed="false">
      <c r="A2295" s="2" t="s">
        <v>478</v>
      </c>
      <c r="B2295" s="2" t="s">
        <v>4104</v>
      </c>
      <c r="C2295" s="2" t="s">
        <v>4087</v>
      </c>
      <c r="D2295" s="2"/>
      <c r="E2295" s="31" t="n">
        <v>38.2</v>
      </c>
      <c r="F2295" s="31" t="n">
        <v>59.4</v>
      </c>
      <c r="G2295" s="31" t="n">
        <v>59.3</v>
      </c>
      <c r="H2295" s="2" t="s">
        <v>671</v>
      </c>
    </row>
    <row r="2296" customFormat="false" ht="15" hidden="false" customHeight="false" outlineLevel="0" collapsed="false">
      <c r="A2296" s="2" t="s">
        <v>478</v>
      </c>
      <c r="B2296" s="2" t="s">
        <v>45</v>
      </c>
      <c r="C2296" s="2" t="s">
        <v>4085</v>
      </c>
      <c r="D2296" s="11" t="n">
        <v>22270</v>
      </c>
      <c r="E2296" s="31" t="n">
        <v>17.3</v>
      </c>
      <c r="F2296" s="31" t="n">
        <v>77.4</v>
      </c>
      <c r="G2296" s="31" t="n">
        <v>72</v>
      </c>
      <c r="H2296" s="2" t="s">
        <v>671</v>
      </c>
    </row>
    <row r="2297" customFormat="false" ht="15" hidden="false" customHeight="false" outlineLevel="0" collapsed="false">
      <c r="A2297" s="2" t="s">
        <v>478</v>
      </c>
      <c r="B2297" s="2" t="s">
        <v>45</v>
      </c>
      <c r="C2297" s="2" t="s">
        <v>4086</v>
      </c>
      <c r="D2297" s="2"/>
      <c r="E2297" s="2"/>
      <c r="F2297" s="2"/>
      <c r="G2297" s="2"/>
      <c r="H2297" s="2" t="s">
        <v>668</v>
      </c>
    </row>
    <row r="2298" customFormat="false" ht="15" hidden="false" customHeight="false" outlineLevel="0" collapsed="false">
      <c r="A2298" s="2" t="s">
        <v>478</v>
      </c>
      <c r="B2298" s="2" t="s">
        <v>45</v>
      </c>
      <c r="C2298" s="2" t="s">
        <v>4087</v>
      </c>
      <c r="D2298" s="11" t="n">
        <v>24466</v>
      </c>
      <c r="E2298" s="31" t="n">
        <v>9.4</v>
      </c>
      <c r="F2298" s="31" t="n">
        <v>62.7</v>
      </c>
      <c r="G2298" s="31" t="n">
        <v>94.8</v>
      </c>
      <c r="H2298" s="2" t="s">
        <v>671</v>
      </c>
    </row>
    <row r="2299" customFormat="false" ht="15" hidden="false" customHeight="false" outlineLevel="0" collapsed="false">
      <c r="A2299" s="2" t="s">
        <v>478</v>
      </c>
      <c r="B2299" s="2" t="s">
        <v>46</v>
      </c>
      <c r="C2299" s="2" t="s">
        <v>4085</v>
      </c>
      <c r="D2299" s="11" t="n">
        <v>59540</v>
      </c>
      <c r="E2299" s="31" t="n">
        <v>39.5</v>
      </c>
      <c r="F2299" s="31" t="n">
        <v>74.2</v>
      </c>
      <c r="G2299" s="31" t="n">
        <v>72.6</v>
      </c>
      <c r="H2299" s="2" t="s">
        <v>671</v>
      </c>
    </row>
    <row r="2300" customFormat="false" ht="15" hidden="false" customHeight="false" outlineLevel="0" collapsed="false">
      <c r="A2300" s="2" t="s">
        <v>478</v>
      </c>
      <c r="B2300" s="2" t="s">
        <v>46</v>
      </c>
      <c r="C2300" s="2" t="s">
        <v>4086</v>
      </c>
      <c r="D2300" s="11" t="n">
        <v>61358</v>
      </c>
      <c r="E2300" s="31" t="n">
        <v>52.8</v>
      </c>
      <c r="F2300" s="31" t="n">
        <v>61.8</v>
      </c>
      <c r="G2300" s="31" t="n">
        <v>96.9</v>
      </c>
      <c r="H2300" s="2" t="s">
        <v>671</v>
      </c>
    </row>
    <row r="2301" customFormat="false" ht="15" hidden="false" customHeight="false" outlineLevel="0" collapsed="false">
      <c r="A2301" s="2" t="s">
        <v>478</v>
      </c>
      <c r="B2301" s="2" t="s">
        <v>46</v>
      </c>
      <c r="C2301" s="2" t="s">
        <v>4087</v>
      </c>
      <c r="D2301" s="11" t="n">
        <v>63378</v>
      </c>
      <c r="E2301" s="31" t="n">
        <v>26</v>
      </c>
      <c r="F2301" s="31" t="n">
        <v>61</v>
      </c>
      <c r="G2301" s="31" t="n">
        <v>73.1</v>
      </c>
      <c r="H2301" s="2" t="s">
        <v>671</v>
      </c>
    </row>
    <row r="2302" customFormat="false" ht="15" hidden="false" customHeight="false" outlineLevel="0" collapsed="false">
      <c r="A2302" s="2" t="s">
        <v>478</v>
      </c>
      <c r="B2302" s="2" t="s">
        <v>47</v>
      </c>
      <c r="C2302" s="2" t="s">
        <v>4085</v>
      </c>
      <c r="D2302" s="11" t="n">
        <v>10914</v>
      </c>
      <c r="E2302" s="31" t="n">
        <v>82.5</v>
      </c>
      <c r="F2302" s="31" t="n">
        <v>57.5</v>
      </c>
      <c r="G2302" s="31" t="n">
        <v>14.5</v>
      </c>
      <c r="H2302" s="2" t="s">
        <v>671</v>
      </c>
    </row>
    <row r="2303" customFormat="false" ht="15" hidden="false" customHeight="false" outlineLevel="0" collapsed="false">
      <c r="A2303" s="2" t="s">
        <v>478</v>
      </c>
      <c r="B2303" s="2" t="s">
        <v>47</v>
      </c>
      <c r="C2303" s="2" t="s">
        <v>4086</v>
      </c>
      <c r="D2303" s="11" t="n">
        <v>11190</v>
      </c>
      <c r="E2303" s="31" t="n">
        <v>90.1</v>
      </c>
      <c r="F2303" s="31" t="n">
        <v>82.8</v>
      </c>
      <c r="G2303" s="31" t="n">
        <v>41.4</v>
      </c>
      <c r="H2303" s="2" t="s">
        <v>671</v>
      </c>
    </row>
    <row r="2304" customFormat="false" ht="15" hidden="false" customHeight="false" outlineLevel="0" collapsed="false">
      <c r="A2304" s="2" t="s">
        <v>478</v>
      </c>
      <c r="B2304" s="2" t="s">
        <v>47</v>
      </c>
      <c r="C2304" s="2" t="s">
        <v>4087</v>
      </c>
      <c r="D2304" s="11" t="n">
        <v>11956</v>
      </c>
      <c r="E2304" s="31" t="n">
        <v>79.3</v>
      </c>
      <c r="F2304" s="31" t="n">
        <v>54.6</v>
      </c>
      <c r="G2304" s="31" t="n">
        <v>9.9</v>
      </c>
      <c r="H2304" s="2" t="s">
        <v>671</v>
      </c>
    </row>
    <row r="2305" customFormat="false" ht="15" hidden="false" customHeight="false" outlineLevel="0" collapsed="false">
      <c r="A2305" s="2" t="s">
        <v>336</v>
      </c>
      <c r="B2305" s="2" t="s">
        <v>4104</v>
      </c>
      <c r="C2305" s="2" t="s">
        <v>4085</v>
      </c>
      <c r="D2305" s="2"/>
      <c r="E2305" s="31" t="n">
        <v>30.1</v>
      </c>
      <c r="F2305" s="31" t="n">
        <v>45.4</v>
      </c>
      <c r="G2305" s="31" t="n">
        <v>98.1</v>
      </c>
      <c r="H2305" s="2" t="s">
        <v>671</v>
      </c>
    </row>
    <row r="2306" customFormat="false" ht="15" hidden="false" customHeight="false" outlineLevel="0" collapsed="false">
      <c r="A2306" s="2" t="s">
        <v>336</v>
      </c>
      <c r="B2306" s="2" t="s">
        <v>4104</v>
      </c>
      <c r="C2306" s="2" t="s">
        <v>4086</v>
      </c>
      <c r="D2306" s="2"/>
      <c r="E2306" s="31" t="n">
        <v>33.7</v>
      </c>
      <c r="F2306" s="31" t="n">
        <v>66.9</v>
      </c>
      <c r="G2306" s="31" t="n">
        <v>97.7</v>
      </c>
      <c r="H2306" s="2" t="s">
        <v>671</v>
      </c>
    </row>
    <row r="2307" customFormat="false" ht="15" hidden="false" customHeight="false" outlineLevel="0" collapsed="false">
      <c r="A2307" s="2" t="s">
        <v>336</v>
      </c>
      <c r="B2307" s="2" t="s">
        <v>4104</v>
      </c>
      <c r="C2307" s="2" t="s">
        <v>4087</v>
      </c>
      <c r="D2307" s="2"/>
      <c r="E2307" s="31" t="n">
        <v>53.8</v>
      </c>
      <c r="F2307" s="31" t="n">
        <v>85.1</v>
      </c>
      <c r="G2307" s="31" t="n">
        <v>91.6</v>
      </c>
      <c r="H2307" s="2" t="s">
        <v>671</v>
      </c>
    </row>
    <row r="2308" customFormat="false" ht="15" hidden="false" customHeight="false" outlineLevel="0" collapsed="false">
      <c r="A2308" s="2" t="s">
        <v>336</v>
      </c>
      <c r="B2308" s="2" t="s">
        <v>47</v>
      </c>
      <c r="C2308" s="2" t="s">
        <v>4085</v>
      </c>
      <c r="D2308" s="11" t="n">
        <v>14213</v>
      </c>
      <c r="E2308" s="31" t="n">
        <v>30.1</v>
      </c>
      <c r="F2308" s="31" t="n">
        <v>45.4</v>
      </c>
      <c r="G2308" s="31" t="n">
        <v>98.1</v>
      </c>
      <c r="H2308" s="2" t="s">
        <v>671</v>
      </c>
    </row>
    <row r="2309" customFormat="false" ht="15" hidden="false" customHeight="false" outlineLevel="0" collapsed="false">
      <c r="A2309" s="2" t="s">
        <v>336</v>
      </c>
      <c r="B2309" s="2" t="s">
        <v>47</v>
      </c>
      <c r="C2309" s="2" t="s">
        <v>4086</v>
      </c>
      <c r="D2309" s="11" t="n">
        <v>15286</v>
      </c>
      <c r="E2309" s="31" t="n">
        <v>33.7</v>
      </c>
      <c r="F2309" s="31" t="n">
        <v>66.9</v>
      </c>
      <c r="G2309" s="31" t="n">
        <v>97.7</v>
      </c>
      <c r="H2309" s="2" t="s">
        <v>671</v>
      </c>
    </row>
    <row r="2310" customFormat="false" ht="15" hidden="false" customHeight="false" outlineLevel="0" collapsed="false">
      <c r="A2310" s="2" t="s">
        <v>336</v>
      </c>
      <c r="B2310" s="2" t="s">
        <v>47</v>
      </c>
      <c r="C2310" s="2" t="s">
        <v>4087</v>
      </c>
      <c r="D2310" s="11" t="n">
        <v>16031</v>
      </c>
      <c r="E2310" s="31" t="n">
        <v>53.8</v>
      </c>
      <c r="F2310" s="31" t="n">
        <v>85.1</v>
      </c>
      <c r="G2310" s="31" t="n">
        <v>91.6</v>
      </c>
      <c r="H2310" s="2" t="s">
        <v>671</v>
      </c>
    </row>
    <row r="2311" customFormat="false" ht="15" hidden="false" customHeight="false" outlineLevel="0" collapsed="false">
      <c r="A2311" s="2" t="s">
        <v>600</v>
      </c>
      <c r="B2311" s="2" t="s">
        <v>4104</v>
      </c>
      <c r="C2311" s="2" t="s">
        <v>4085</v>
      </c>
      <c r="D2311" s="2"/>
      <c r="E2311" s="31" t="n">
        <v>38</v>
      </c>
      <c r="F2311" s="31" t="n">
        <v>48.5</v>
      </c>
      <c r="G2311" s="31" t="n">
        <v>41.2</v>
      </c>
      <c r="H2311" s="2" t="s">
        <v>671</v>
      </c>
    </row>
    <row r="2312" customFormat="false" ht="15" hidden="false" customHeight="false" outlineLevel="0" collapsed="false">
      <c r="A2312" s="2" t="s">
        <v>600</v>
      </c>
      <c r="B2312" s="2" t="s">
        <v>4104</v>
      </c>
      <c r="C2312" s="2" t="s">
        <v>4086</v>
      </c>
      <c r="D2312" s="2"/>
      <c r="E2312" s="31" t="n">
        <v>54.6</v>
      </c>
      <c r="F2312" s="31" t="n">
        <v>11.3</v>
      </c>
      <c r="G2312" s="31" t="n">
        <v>60.1</v>
      </c>
      <c r="H2312" s="2" t="s">
        <v>671</v>
      </c>
    </row>
    <row r="2313" customFormat="false" ht="15" hidden="false" customHeight="false" outlineLevel="0" collapsed="false">
      <c r="A2313" s="2" t="s">
        <v>600</v>
      </c>
      <c r="B2313" s="2" t="s">
        <v>4104</v>
      </c>
      <c r="C2313" s="2" t="s">
        <v>4087</v>
      </c>
      <c r="D2313" s="2"/>
      <c r="E2313" s="31" t="n">
        <v>20.3</v>
      </c>
      <c r="F2313" s="31" t="n">
        <v>15.1</v>
      </c>
      <c r="G2313" s="31" t="n">
        <v>63.5</v>
      </c>
      <c r="H2313" s="2" t="s">
        <v>671</v>
      </c>
    </row>
    <row r="2314" customFormat="false" ht="15" hidden="false" customHeight="false" outlineLevel="0" collapsed="false">
      <c r="A2314" s="2" t="s">
        <v>600</v>
      </c>
      <c r="B2314" s="2" t="s">
        <v>45</v>
      </c>
      <c r="C2314" s="2" t="s">
        <v>4085</v>
      </c>
      <c r="D2314" s="11" t="n">
        <v>31675</v>
      </c>
      <c r="E2314" s="31" t="n">
        <v>38</v>
      </c>
      <c r="F2314" s="31" t="n">
        <v>48.5</v>
      </c>
      <c r="G2314" s="31" t="n">
        <v>41.2</v>
      </c>
      <c r="H2314" s="2" t="s">
        <v>671</v>
      </c>
    </row>
    <row r="2315" customFormat="false" ht="15" hidden="false" customHeight="false" outlineLevel="0" collapsed="false">
      <c r="A2315" s="2" t="s">
        <v>600</v>
      </c>
      <c r="B2315" s="2" t="s">
        <v>45</v>
      </c>
      <c r="C2315" s="2" t="s">
        <v>4086</v>
      </c>
      <c r="D2315" s="11" t="n">
        <v>31570</v>
      </c>
      <c r="E2315" s="31" t="n">
        <v>54.6</v>
      </c>
      <c r="F2315" s="31" t="n">
        <v>11.3</v>
      </c>
      <c r="G2315" s="31" t="n">
        <v>60.1</v>
      </c>
      <c r="H2315" s="2" t="s">
        <v>671</v>
      </c>
    </row>
    <row r="2316" customFormat="false" ht="15" hidden="false" customHeight="false" outlineLevel="0" collapsed="false">
      <c r="A2316" s="2" t="s">
        <v>600</v>
      </c>
      <c r="B2316" s="2" t="s">
        <v>45</v>
      </c>
      <c r="C2316" s="2" t="s">
        <v>4087</v>
      </c>
      <c r="D2316" s="11" t="n">
        <v>52320</v>
      </c>
      <c r="E2316" s="31" t="n">
        <v>20.3</v>
      </c>
      <c r="F2316" s="31" t="n">
        <v>15.1</v>
      </c>
      <c r="G2316" s="31" t="n">
        <v>63.5</v>
      </c>
      <c r="H2316" s="2" t="s">
        <v>671</v>
      </c>
    </row>
    <row r="2317" customFormat="false" ht="15" hidden="false" customHeight="false" outlineLevel="0" collapsed="false">
      <c r="A2317" s="2" t="s">
        <v>1164</v>
      </c>
      <c r="B2317" s="2" t="s">
        <v>4104</v>
      </c>
      <c r="C2317" s="2" t="s">
        <v>4085</v>
      </c>
      <c r="D2317" s="2"/>
      <c r="E2317" s="31" t="n">
        <v>38.7</v>
      </c>
      <c r="F2317" s="31" t="n">
        <v>63.3</v>
      </c>
      <c r="G2317" s="31" t="n">
        <v>51.2</v>
      </c>
      <c r="H2317" s="2" t="s">
        <v>671</v>
      </c>
    </row>
    <row r="2318" customFormat="false" ht="15" hidden="false" customHeight="false" outlineLevel="0" collapsed="false">
      <c r="A2318" s="2" t="s">
        <v>1164</v>
      </c>
      <c r="B2318" s="2" t="s">
        <v>4104</v>
      </c>
      <c r="C2318" s="2" t="s">
        <v>4086</v>
      </c>
      <c r="D2318" s="2"/>
      <c r="E2318" s="31" t="n">
        <v>35</v>
      </c>
      <c r="F2318" s="31" t="n">
        <v>46.6</v>
      </c>
      <c r="G2318" s="31" t="n">
        <v>18.9</v>
      </c>
      <c r="H2318" s="2" t="s">
        <v>668</v>
      </c>
    </row>
    <row r="2319" customFormat="false" ht="15" hidden="false" customHeight="false" outlineLevel="0" collapsed="false">
      <c r="A2319" s="2" t="s">
        <v>1164</v>
      </c>
      <c r="B2319" s="2" t="s">
        <v>4104</v>
      </c>
      <c r="C2319" s="2" t="s">
        <v>4087</v>
      </c>
      <c r="D2319" s="2"/>
      <c r="E2319" s="31" t="n">
        <v>49.8</v>
      </c>
      <c r="F2319" s="31" t="n">
        <v>50.4</v>
      </c>
      <c r="G2319" s="31" t="n">
        <v>36.8</v>
      </c>
      <c r="H2319" s="2" t="s">
        <v>668</v>
      </c>
    </row>
    <row r="2320" customFormat="false" ht="15" hidden="false" customHeight="false" outlineLevel="0" collapsed="false">
      <c r="A2320" s="2" t="s">
        <v>1164</v>
      </c>
      <c r="B2320" s="2" t="s">
        <v>45</v>
      </c>
      <c r="C2320" s="2" t="s">
        <v>4085</v>
      </c>
      <c r="D2320" s="11" t="n">
        <v>68009</v>
      </c>
      <c r="E2320" s="31" t="n">
        <v>15.6</v>
      </c>
      <c r="F2320" s="31" t="n">
        <v>55.8</v>
      </c>
      <c r="G2320" s="31" t="n">
        <v>58.5</v>
      </c>
      <c r="H2320" s="2" t="s">
        <v>671</v>
      </c>
    </row>
    <row r="2321" customFormat="false" ht="15" hidden="false" customHeight="false" outlineLevel="0" collapsed="false">
      <c r="A2321" s="2" t="s">
        <v>1164</v>
      </c>
      <c r="B2321" s="2" t="s">
        <v>45</v>
      </c>
      <c r="C2321" s="2" t="s">
        <v>4086</v>
      </c>
      <c r="D2321" s="11" t="n">
        <v>68520</v>
      </c>
      <c r="E2321" s="31" t="n">
        <v>13.2</v>
      </c>
      <c r="F2321" s="31" t="n">
        <v>8.6</v>
      </c>
      <c r="G2321" s="31" t="n">
        <v>18.9</v>
      </c>
      <c r="H2321" s="2" t="s">
        <v>671</v>
      </c>
    </row>
    <row r="2322" customFormat="false" ht="15" hidden="false" customHeight="false" outlineLevel="0" collapsed="false">
      <c r="A2322" s="2" t="s">
        <v>1164</v>
      </c>
      <c r="B2322" s="2" t="s">
        <v>45</v>
      </c>
      <c r="C2322" s="2" t="s">
        <v>4087</v>
      </c>
      <c r="D2322" s="11" t="n">
        <v>67660</v>
      </c>
      <c r="E2322" s="31" t="n">
        <v>33.3</v>
      </c>
      <c r="F2322" s="31" t="n">
        <v>31</v>
      </c>
      <c r="G2322" s="31" t="n">
        <v>31.5</v>
      </c>
      <c r="H2322" s="2" t="s">
        <v>671</v>
      </c>
    </row>
    <row r="2323" customFormat="false" ht="15" hidden="false" customHeight="false" outlineLevel="0" collapsed="false">
      <c r="A2323" s="2" t="s">
        <v>1164</v>
      </c>
      <c r="B2323" s="2" t="s">
        <v>46</v>
      </c>
      <c r="C2323" s="2" t="s">
        <v>4085</v>
      </c>
      <c r="D2323" s="11" t="n">
        <v>68159</v>
      </c>
      <c r="E2323" s="31" t="n">
        <v>74.4</v>
      </c>
      <c r="F2323" s="31" t="n">
        <v>37.1</v>
      </c>
      <c r="G2323" s="31" t="n">
        <v>13.9</v>
      </c>
      <c r="H2323" s="2" t="s">
        <v>671</v>
      </c>
    </row>
    <row r="2324" customFormat="false" ht="15" hidden="false" customHeight="false" outlineLevel="0" collapsed="false">
      <c r="A2324" s="2" t="s">
        <v>1164</v>
      </c>
      <c r="B2324" s="2" t="s">
        <v>46</v>
      </c>
      <c r="C2324" s="2" t="s">
        <v>4086</v>
      </c>
      <c r="D2324" s="2"/>
      <c r="E2324" s="2"/>
      <c r="F2324" s="2"/>
      <c r="G2324" s="2"/>
      <c r="H2324" s="2" t="s">
        <v>668</v>
      </c>
    </row>
    <row r="2325" customFormat="false" ht="15" hidden="false" customHeight="false" outlineLevel="0" collapsed="false">
      <c r="A2325" s="2" t="s">
        <v>1164</v>
      </c>
      <c r="B2325" s="2" t="s">
        <v>46</v>
      </c>
      <c r="C2325" s="2" t="s">
        <v>4087</v>
      </c>
      <c r="D2325" s="11" t="n">
        <v>69910</v>
      </c>
      <c r="E2325" s="31" t="n">
        <v>93.7</v>
      </c>
      <c r="F2325" s="31" t="n">
        <v>32.8</v>
      </c>
      <c r="G2325" s="31" t="n">
        <v>39.9</v>
      </c>
      <c r="H2325" s="2" t="s">
        <v>668</v>
      </c>
    </row>
    <row r="2326" customFormat="false" ht="15" hidden="false" customHeight="false" outlineLevel="0" collapsed="false">
      <c r="A2326" s="2" t="s">
        <v>1164</v>
      </c>
      <c r="B2326" s="2" t="s">
        <v>47</v>
      </c>
      <c r="C2326" s="2" t="s">
        <v>4085</v>
      </c>
      <c r="D2326" s="11" t="n">
        <v>154851</v>
      </c>
      <c r="E2326" s="31" t="n">
        <v>26</v>
      </c>
      <c r="F2326" s="31" t="n">
        <v>96.9</v>
      </c>
      <c r="G2326" s="31" t="n">
        <v>81.3</v>
      </c>
      <c r="H2326" s="2" t="s">
        <v>671</v>
      </c>
    </row>
    <row r="2327" customFormat="false" ht="15" hidden="false" customHeight="false" outlineLevel="0" collapsed="false">
      <c r="A2327" s="2" t="s">
        <v>1164</v>
      </c>
      <c r="B2327" s="2" t="s">
        <v>47</v>
      </c>
      <c r="C2327" s="2" t="s">
        <v>4086</v>
      </c>
      <c r="D2327" s="11" t="n">
        <v>163313</v>
      </c>
      <c r="E2327" s="31" t="n">
        <v>56.8</v>
      </c>
      <c r="F2327" s="31" t="n">
        <v>84.5</v>
      </c>
      <c r="G2327" s="2"/>
      <c r="H2327" s="2" t="s">
        <v>668</v>
      </c>
    </row>
    <row r="2328" customFormat="false" ht="15" hidden="false" customHeight="false" outlineLevel="0" collapsed="false">
      <c r="A2328" s="2" t="s">
        <v>1164</v>
      </c>
      <c r="B2328" s="2" t="s">
        <v>47</v>
      </c>
      <c r="C2328" s="2" t="s">
        <v>4087</v>
      </c>
      <c r="D2328" s="11" t="n">
        <v>174880</v>
      </c>
      <c r="E2328" s="31" t="n">
        <v>22.4</v>
      </c>
      <c r="F2328" s="31" t="n">
        <v>87.3</v>
      </c>
      <c r="G2328" s="31" t="n">
        <v>38.9</v>
      </c>
      <c r="H2328" s="2" t="s">
        <v>671</v>
      </c>
    </row>
    <row r="2329" customFormat="false" ht="15" hidden="false" customHeight="false" outlineLevel="0" collapsed="false">
      <c r="A2329" s="2" t="s">
        <v>689</v>
      </c>
      <c r="B2329" s="2" t="s">
        <v>4104</v>
      </c>
      <c r="C2329" s="2" t="s">
        <v>4085</v>
      </c>
      <c r="D2329" s="2"/>
      <c r="E2329" s="31" t="n">
        <v>75</v>
      </c>
      <c r="F2329" s="31" t="n">
        <v>75.6</v>
      </c>
      <c r="G2329" s="31" t="n">
        <v>40.5</v>
      </c>
      <c r="H2329" s="2" t="s">
        <v>668</v>
      </c>
    </row>
    <row r="2330" customFormat="false" ht="15" hidden="false" customHeight="false" outlineLevel="0" collapsed="false">
      <c r="A2330" s="2" t="s">
        <v>689</v>
      </c>
      <c r="B2330" s="2" t="s">
        <v>4104</v>
      </c>
      <c r="C2330" s="2" t="s">
        <v>4086</v>
      </c>
      <c r="D2330" s="2"/>
      <c r="E2330" s="31" t="n">
        <v>69.4</v>
      </c>
      <c r="F2330" s="31" t="n">
        <v>65</v>
      </c>
      <c r="G2330" s="31" t="n">
        <v>39.2</v>
      </c>
      <c r="H2330" s="2" t="s">
        <v>671</v>
      </c>
    </row>
    <row r="2331" customFormat="false" ht="15" hidden="false" customHeight="false" outlineLevel="0" collapsed="false">
      <c r="A2331" s="2" t="s">
        <v>689</v>
      </c>
      <c r="B2331" s="2" t="s">
        <v>4104</v>
      </c>
      <c r="C2331" s="2" t="s">
        <v>4087</v>
      </c>
      <c r="D2331" s="2"/>
      <c r="E2331" s="31" t="n">
        <v>72.3</v>
      </c>
      <c r="F2331" s="31" t="n">
        <v>51.2</v>
      </c>
      <c r="G2331" s="31" t="n">
        <v>47.9</v>
      </c>
      <c r="H2331" s="2" t="s">
        <v>668</v>
      </c>
    </row>
    <row r="2332" customFormat="false" ht="15" hidden="false" customHeight="false" outlineLevel="0" collapsed="false">
      <c r="A2332" s="2" t="s">
        <v>689</v>
      </c>
      <c r="B2332" s="2" t="s">
        <v>45</v>
      </c>
      <c r="C2332" s="2" t="s">
        <v>4085</v>
      </c>
      <c r="D2332" s="11" t="n">
        <v>14418</v>
      </c>
      <c r="E2332" s="31" t="n">
        <v>98.7</v>
      </c>
      <c r="F2332" s="31" t="n">
        <v>79.9</v>
      </c>
      <c r="G2332" s="31" t="n">
        <v>40.5</v>
      </c>
      <c r="H2332" s="2" t="s">
        <v>671</v>
      </c>
    </row>
    <row r="2333" customFormat="false" ht="15" hidden="false" customHeight="false" outlineLevel="0" collapsed="false">
      <c r="A2333" s="2" t="s">
        <v>689</v>
      </c>
      <c r="B2333" s="2" t="s">
        <v>45</v>
      </c>
      <c r="C2333" s="2" t="s">
        <v>4086</v>
      </c>
      <c r="D2333" s="11" t="n">
        <v>15310</v>
      </c>
      <c r="E2333" s="31" t="n">
        <v>97.5</v>
      </c>
      <c r="F2333" s="31" t="n">
        <v>55.7</v>
      </c>
      <c r="G2333" s="31" t="n">
        <v>35.4</v>
      </c>
      <c r="H2333" s="2" t="s">
        <v>671</v>
      </c>
    </row>
    <row r="2334" customFormat="false" ht="15" hidden="false" customHeight="false" outlineLevel="0" collapsed="false">
      <c r="A2334" s="2" t="s">
        <v>689</v>
      </c>
      <c r="B2334" s="2" t="s">
        <v>45</v>
      </c>
      <c r="C2334" s="2" t="s">
        <v>4087</v>
      </c>
      <c r="D2334" s="11" t="n">
        <v>15831</v>
      </c>
      <c r="E2334" s="31" t="n">
        <v>97.2</v>
      </c>
      <c r="F2334" s="31" t="n">
        <v>51.2</v>
      </c>
      <c r="G2334" s="31" t="n">
        <v>77.9</v>
      </c>
      <c r="H2334" s="2" t="s">
        <v>671</v>
      </c>
    </row>
    <row r="2335" customFormat="false" ht="15" hidden="false" customHeight="false" outlineLevel="0" collapsed="false">
      <c r="A2335" s="2" t="s">
        <v>689</v>
      </c>
      <c r="B2335" s="2" t="s">
        <v>46</v>
      </c>
      <c r="C2335" s="2" t="s">
        <v>4085</v>
      </c>
      <c r="D2335" s="11" t="n">
        <v>34640</v>
      </c>
      <c r="E2335" s="31" t="n">
        <v>51.3</v>
      </c>
      <c r="F2335" s="31" t="n">
        <v>71.2</v>
      </c>
      <c r="G2335" s="2"/>
      <c r="H2335" s="2" t="s">
        <v>668</v>
      </c>
    </row>
    <row r="2336" customFormat="false" ht="15" hidden="false" customHeight="false" outlineLevel="0" collapsed="false">
      <c r="A2336" s="2" t="s">
        <v>689</v>
      </c>
      <c r="B2336" s="2" t="s">
        <v>46</v>
      </c>
      <c r="C2336" s="2" t="s">
        <v>4086</v>
      </c>
      <c r="D2336" s="11" t="n">
        <v>36080</v>
      </c>
      <c r="E2336" s="31" t="n">
        <v>41.3</v>
      </c>
      <c r="F2336" s="31" t="n">
        <v>74.2</v>
      </c>
      <c r="G2336" s="31" t="n">
        <v>43</v>
      </c>
      <c r="H2336" s="2" t="s">
        <v>671</v>
      </c>
    </row>
    <row r="2337" customFormat="false" ht="15" hidden="false" customHeight="false" outlineLevel="0" collapsed="false">
      <c r="A2337" s="2" t="s">
        <v>689</v>
      </c>
      <c r="B2337" s="2" t="s">
        <v>46</v>
      </c>
      <c r="C2337" s="2" t="s">
        <v>4087</v>
      </c>
      <c r="D2337" s="11" t="n">
        <v>37270</v>
      </c>
      <c r="E2337" s="31" t="n">
        <v>47.4</v>
      </c>
      <c r="F2337" s="2"/>
      <c r="G2337" s="31" t="n">
        <v>17.9</v>
      </c>
      <c r="H2337" s="2" t="s">
        <v>668</v>
      </c>
    </row>
    <row r="2338" customFormat="false" ht="15" hidden="false" customHeight="false" outlineLevel="0" collapsed="false">
      <c r="A2338" s="2" t="s">
        <v>2840</v>
      </c>
      <c r="B2338" s="2" t="s">
        <v>4104</v>
      </c>
      <c r="C2338" s="2" t="s">
        <v>4085</v>
      </c>
      <c r="D2338" s="2"/>
      <c r="E2338" s="31" t="n">
        <v>27.4</v>
      </c>
      <c r="F2338" s="31" t="n">
        <v>27</v>
      </c>
      <c r="G2338" s="31" t="n">
        <v>44.4</v>
      </c>
      <c r="H2338" s="2" t="s">
        <v>671</v>
      </c>
    </row>
    <row r="2339" customFormat="false" ht="15" hidden="false" customHeight="false" outlineLevel="0" collapsed="false">
      <c r="A2339" s="2" t="s">
        <v>2840</v>
      </c>
      <c r="B2339" s="2" t="s">
        <v>4104</v>
      </c>
      <c r="C2339" s="2" t="s">
        <v>4086</v>
      </c>
      <c r="D2339" s="2"/>
      <c r="E2339" s="31" t="n">
        <v>24.8</v>
      </c>
      <c r="F2339" s="31" t="n">
        <v>22.2</v>
      </c>
      <c r="G2339" s="31" t="n">
        <v>40.1</v>
      </c>
      <c r="H2339" s="2" t="s">
        <v>668</v>
      </c>
    </row>
    <row r="2340" customFormat="false" ht="15" hidden="false" customHeight="false" outlineLevel="0" collapsed="false">
      <c r="A2340" s="2" t="s">
        <v>2840</v>
      </c>
      <c r="B2340" s="2" t="s">
        <v>4104</v>
      </c>
      <c r="C2340" s="2" t="s">
        <v>4087</v>
      </c>
      <c r="D2340" s="2"/>
      <c r="E2340" s="31" t="n">
        <v>24</v>
      </c>
      <c r="F2340" s="31" t="n">
        <v>30.2</v>
      </c>
      <c r="G2340" s="31" t="n">
        <v>64.2</v>
      </c>
      <c r="H2340" s="2" t="s">
        <v>668</v>
      </c>
    </row>
    <row r="2341" customFormat="false" ht="15" hidden="false" customHeight="false" outlineLevel="0" collapsed="false">
      <c r="A2341" s="2" t="s">
        <v>2840</v>
      </c>
      <c r="B2341" s="2" t="s">
        <v>45</v>
      </c>
      <c r="C2341" s="2" t="s">
        <v>4085</v>
      </c>
      <c r="D2341" s="11" t="n">
        <v>9960</v>
      </c>
      <c r="E2341" s="31" t="n">
        <v>46.7</v>
      </c>
      <c r="F2341" s="31" t="n">
        <v>29</v>
      </c>
      <c r="G2341" s="31" t="n">
        <v>21</v>
      </c>
      <c r="H2341" s="2" t="s">
        <v>671</v>
      </c>
    </row>
    <row r="2342" customFormat="false" ht="15" hidden="false" customHeight="false" outlineLevel="0" collapsed="false">
      <c r="A2342" s="2" t="s">
        <v>2840</v>
      </c>
      <c r="B2342" s="2" t="s">
        <v>45</v>
      </c>
      <c r="C2342" s="2" t="s">
        <v>4086</v>
      </c>
      <c r="D2342" s="11" t="n">
        <v>10020</v>
      </c>
      <c r="E2342" s="31" t="n">
        <v>35.2</v>
      </c>
      <c r="F2342" s="31" t="n">
        <v>39.5</v>
      </c>
      <c r="G2342" s="31" t="n">
        <v>11.4</v>
      </c>
      <c r="H2342" s="2" t="s">
        <v>671</v>
      </c>
    </row>
    <row r="2343" customFormat="false" ht="15" hidden="false" customHeight="false" outlineLevel="0" collapsed="false">
      <c r="A2343" s="2" t="s">
        <v>2840</v>
      </c>
      <c r="B2343" s="2" t="s">
        <v>45</v>
      </c>
      <c r="C2343" s="2" t="s">
        <v>4087</v>
      </c>
      <c r="D2343" s="11" t="n">
        <v>10396</v>
      </c>
      <c r="E2343" s="2"/>
      <c r="F2343" s="31" t="n">
        <v>36.5</v>
      </c>
      <c r="G2343" s="2"/>
      <c r="H2343" s="2" t="s">
        <v>668</v>
      </c>
    </row>
    <row r="2344" customFormat="false" ht="15" hidden="false" customHeight="false" outlineLevel="0" collapsed="false">
      <c r="A2344" s="2" t="s">
        <v>2840</v>
      </c>
      <c r="B2344" s="2" t="s">
        <v>46</v>
      </c>
      <c r="C2344" s="2" t="s">
        <v>4085</v>
      </c>
      <c r="D2344" s="11" t="n">
        <v>175658</v>
      </c>
      <c r="E2344" s="31" t="n">
        <v>9.2</v>
      </c>
      <c r="F2344" s="31" t="n">
        <v>41</v>
      </c>
      <c r="G2344" s="31" t="n">
        <v>37.4</v>
      </c>
      <c r="H2344" s="2" t="s">
        <v>671</v>
      </c>
    </row>
    <row r="2345" customFormat="false" ht="15" hidden="false" customHeight="false" outlineLevel="0" collapsed="false">
      <c r="A2345" s="2" t="s">
        <v>2840</v>
      </c>
      <c r="B2345" s="2" t="s">
        <v>46</v>
      </c>
      <c r="C2345" s="2" t="s">
        <v>4086</v>
      </c>
      <c r="D2345" s="2"/>
      <c r="E2345" s="2"/>
      <c r="F2345" s="2"/>
      <c r="G2345" s="2"/>
      <c r="H2345" s="2" t="s">
        <v>668</v>
      </c>
    </row>
    <row r="2346" customFormat="false" ht="15" hidden="false" customHeight="false" outlineLevel="0" collapsed="false">
      <c r="A2346" s="2" t="s">
        <v>2840</v>
      </c>
      <c r="B2346" s="2" t="s">
        <v>46</v>
      </c>
      <c r="C2346" s="2" t="s">
        <v>4087</v>
      </c>
      <c r="D2346" s="2"/>
      <c r="E2346" s="2"/>
      <c r="F2346" s="2"/>
      <c r="G2346" s="31" t="n">
        <v>64.2</v>
      </c>
      <c r="H2346" s="2" t="s">
        <v>668</v>
      </c>
    </row>
    <row r="2347" customFormat="false" ht="15" hidden="false" customHeight="false" outlineLevel="0" collapsed="false">
      <c r="A2347" s="2" t="s">
        <v>2840</v>
      </c>
      <c r="B2347" s="2" t="s">
        <v>47</v>
      </c>
      <c r="C2347" s="2" t="s">
        <v>4085</v>
      </c>
      <c r="D2347" s="11" t="n">
        <v>3846</v>
      </c>
      <c r="E2347" s="31" t="n">
        <v>26.3</v>
      </c>
      <c r="F2347" s="31" t="n">
        <v>11.1</v>
      </c>
      <c r="G2347" s="31" t="n">
        <v>74.8</v>
      </c>
      <c r="H2347" s="2" t="s">
        <v>671</v>
      </c>
    </row>
    <row r="2348" customFormat="false" ht="15" hidden="false" customHeight="false" outlineLevel="0" collapsed="false">
      <c r="A2348" s="2" t="s">
        <v>2840</v>
      </c>
      <c r="B2348" s="2" t="s">
        <v>47</v>
      </c>
      <c r="C2348" s="2" t="s">
        <v>4086</v>
      </c>
      <c r="D2348" s="11" t="n">
        <v>3831</v>
      </c>
      <c r="E2348" s="31" t="n">
        <v>14.5</v>
      </c>
      <c r="F2348" s="31" t="n">
        <v>5</v>
      </c>
      <c r="G2348" s="31" t="n">
        <v>68.8</v>
      </c>
      <c r="H2348" s="2" t="s">
        <v>671</v>
      </c>
    </row>
    <row r="2349" customFormat="false" ht="15" hidden="false" customHeight="false" outlineLevel="0" collapsed="false">
      <c r="A2349" s="2" t="s">
        <v>2840</v>
      </c>
      <c r="B2349" s="2" t="s">
        <v>47</v>
      </c>
      <c r="C2349" s="2" t="s">
        <v>4087</v>
      </c>
      <c r="D2349" s="11" t="n">
        <v>3733</v>
      </c>
      <c r="E2349" s="31" t="n">
        <v>24</v>
      </c>
      <c r="F2349" s="31" t="n">
        <v>24</v>
      </c>
      <c r="G2349" s="2"/>
      <c r="H2349" s="2" t="s">
        <v>668</v>
      </c>
    </row>
    <row r="2350" customFormat="false" ht="15" hidden="false" customHeight="false" outlineLevel="0" collapsed="false">
      <c r="A2350" s="2" t="s">
        <v>428</v>
      </c>
      <c r="B2350" s="2" t="s">
        <v>4104</v>
      </c>
      <c r="C2350" s="2" t="s">
        <v>4085</v>
      </c>
      <c r="D2350" s="2"/>
      <c r="E2350" s="31" t="n">
        <v>34.2</v>
      </c>
      <c r="F2350" s="31" t="n">
        <v>38.2</v>
      </c>
      <c r="G2350" s="31" t="n">
        <v>5.8</v>
      </c>
      <c r="H2350" s="2" t="s">
        <v>671</v>
      </c>
    </row>
    <row r="2351" customFormat="false" ht="15" hidden="false" customHeight="false" outlineLevel="0" collapsed="false">
      <c r="A2351" s="2" t="s">
        <v>428</v>
      </c>
      <c r="B2351" s="2" t="s">
        <v>4104</v>
      </c>
      <c r="C2351" s="2" t="s">
        <v>4087</v>
      </c>
      <c r="D2351" s="2"/>
      <c r="E2351" s="31" t="n">
        <v>43.6</v>
      </c>
      <c r="F2351" s="31" t="n">
        <v>51.8</v>
      </c>
      <c r="G2351" s="31" t="n">
        <v>18.8</v>
      </c>
      <c r="H2351" s="2" t="s">
        <v>671</v>
      </c>
    </row>
    <row r="2352" customFormat="false" ht="15" hidden="false" customHeight="false" outlineLevel="0" collapsed="false">
      <c r="A2352" s="2" t="s">
        <v>428</v>
      </c>
      <c r="B2352" s="2" t="s">
        <v>46</v>
      </c>
      <c r="C2352" s="2" t="s">
        <v>4085</v>
      </c>
      <c r="D2352" s="11" t="n">
        <v>206440</v>
      </c>
      <c r="E2352" s="31" t="n">
        <v>46.2</v>
      </c>
      <c r="F2352" s="31" t="n">
        <v>65.4</v>
      </c>
      <c r="G2352" s="31" t="n">
        <v>10.7</v>
      </c>
      <c r="H2352" s="2" t="s">
        <v>671</v>
      </c>
    </row>
    <row r="2353" customFormat="false" ht="15" hidden="false" customHeight="false" outlineLevel="0" collapsed="false">
      <c r="A2353" s="2" t="s">
        <v>428</v>
      </c>
      <c r="B2353" s="2" t="s">
        <v>46</v>
      </c>
      <c r="C2353" s="2" t="s">
        <v>4087</v>
      </c>
      <c r="D2353" s="11" t="n">
        <v>222690</v>
      </c>
      <c r="E2353" s="31" t="n">
        <v>69.8</v>
      </c>
      <c r="F2353" s="31" t="n">
        <v>77.5</v>
      </c>
      <c r="G2353" s="31" t="n">
        <v>37</v>
      </c>
      <c r="H2353" s="2" t="s">
        <v>671</v>
      </c>
    </row>
    <row r="2354" customFormat="false" ht="15" hidden="false" customHeight="false" outlineLevel="0" collapsed="false">
      <c r="A2354" s="2" t="s">
        <v>428</v>
      </c>
      <c r="B2354" s="2" t="s">
        <v>47</v>
      </c>
      <c r="C2354" s="2" t="s">
        <v>4085</v>
      </c>
      <c r="D2354" s="11" t="n">
        <v>26545</v>
      </c>
      <c r="E2354" s="31" t="n">
        <v>22.3</v>
      </c>
      <c r="F2354" s="31" t="n">
        <v>11.1</v>
      </c>
      <c r="G2354" s="31" t="n">
        <v>0.8</v>
      </c>
      <c r="H2354" s="2" t="s">
        <v>671</v>
      </c>
    </row>
    <row r="2355" customFormat="false" ht="15" hidden="false" customHeight="false" outlineLevel="0" collapsed="false">
      <c r="A2355" s="2" t="s">
        <v>428</v>
      </c>
      <c r="B2355" s="2" t="s">
        <v>47</v>
      </c>
      <c r="C2355" s="2" t="s">
        <v>4087</v>
      </c>
      <c r="D2355" s="11" t="n">
        <v>27687</v>
      </c>
      <c r="E2355" s="31" t="n">
        <v>17.3</v>
      </c>
      <c r="F2355" s="31" t="n">
        <v>26.2</v>
      </c>
      <c r="G2355" s="31" t="n">
        <v>0.7</v>
      </c>
      <c r="H2355" s="2" t="s">
        <v>671</v>
      </c>
    </row>
    <row r="2356" customFormat="false" ht="15" hidden="false" customHeight="false" outlineLevel="0" collapsed="false">
      <c r="A2356" s="2" t="s">
        <v>144</v>
      </c>
      <c r="B2356" s="2" t="s">
        <v>4104</v>
      </c>
      <c r="C2356" s="2" t="s">
        <v>4085</v>
      </c>
      <c r="D2356" s="2"/>
      <c r="E2356" s="31" t="n">
        <v>84</v>
      </c>
      <c r="F2356" s="31" t="n">
        <v>51.1</v>
      </c>
      <c r="G2356" s="31" t="n">
        <v>88.5</v>
      </c>
      <c r="H2356" s="2" t="s">
        <v>671</v>
      </c>
    </row>
    <row r="2357" customFormat="false" ht="15" hidden="false" customHeight="false" outlineLevel="0" collapsed="false">
      <c r="A2357" s="2" t="s">
        <v>144</v>
      </c>
      <c r="B2357" s="2" t="s">
        <v>4104</v>
      </c>
      <c r="C2357" s="2" t="s">
        <v>4086</v>
      </c>
      <c r="D2357" s="2"/>
      <c r="E2357" s="31" t="n">
        <v>65.6</v>
      </c>
      <c r="F2357" s="31" t="n">
        <v>36.1</v>
      </c>
      <c r="G2357" s="31" t="n">
        <v>44.5</v>
      </c>
      <c r="H2357" s="2" t="s">
        <v>671</v>
      </c>
    </row>
    <row r="2358" customFormat="false" ht="15" hidden="false" customHeight="false" outlineLevel="0" collapsed="false">
      <c r="A2358" s="2" t="s">
        <v>144</v>
      </c>
      <c r="B2358" s="2" t="s">
        <v>4104</v>
      </c>
      <c r="C2358" s="2" t="s">
        <v>4087</v>
      </c>
      <c r="D2358" s="2"/>
      <c r="E2358" s="31" t="n">
        <v>81.6</v>
      </c>
      <c r="F2358" s="31" t="n">
        <v>39.3</v>
      </c>
      <c r="G2358" s="31" t="n">
        <v>85.4</v>
      </c>
      <c r="H2358" s="2" t="s">
        <v>671</v>
      </c>
    </row>
    <row r="2359" customFormat="false" ht="15" hidden="false" customHeight="false" outlineLevel="0" collapsed="false">
      <c r="A2359" s="2" t="s">
        <v>144</v>
      </c>
      <c r="B2359" s="2" t="s">
        <v>45</v>
      </c>
      <c r="C2359" s="2" t="s">
        <v>4085</v>
      </c>
      <c r="D2359" s="11" t="n">
        <v>12416</v>
      </c>
      <c r="E2359" s="31" t="n">
        <v>84</v>
      </c>
      <c r="F2359" s="31" t="n">
        <v>51.1</v>
      </c>
      <c r="G2359" s="31" t="n">
        <v>88.5</v>
      </c>
      <c r="H2359" s="2" t="s">
        <v>671</v>
      </c>
    </row>
    <row r="2360" customFormat="false" ht="15" hidden="false" customHeight="false" outlineLevel="0" collapsed="false">
      <c r="A2360" s="2" t="s">
        <v>144</v>
      </c>
      <c r="B2360" s="2" t="s">
        <v>45</v>
      </c>
      <c r="C2360" s="2" t="s">
        <v>4086</v>
      </c>
      <c r="D2360" s="11" t="n">
        <v>12828</v>
      </c>
      <c r="E2360" s="31" t="n">
        <v>65.6</v>
      </c>
      <c r="F2360" s="31" t="n">
        <v>36.1</v>
      </c>
      <c r="G2360" s="31" t="n">
        <v>44.5</v>
      </c>
      <c r="H2360" s="2" t="s">
        <v>671</v>
      </c>
    </row>
    <row r="2361" customFormat="false" ht="15" hidden="false" customHeight="false" outlineLevel="0" collapsed="false">
      <c r="A2361" s="2" t="s">
        <v>144</v>
      </c>
      <c r="B2361" s="2" t="s">
        <v>45</v>
      </c>
      <c r="C2361" s="2" t="s">
        <v>4087</v>
      </c>
      <c r="D2361" s="11" t="n">
        <v>12770</v>
      </c>
      <c r="E2361" s="31" t="n">
        <v>81.6</v>
      </c>
      <c r="F2361" s="31" t="n">
        <v>39.3</v>
      </c>
      <c r="G2361" s="31" t="n">
        <v>85.4</v>
      </c>
      <c r="H2361" s="2" t="s">
        <v>671</v>
      </c>
    </row>
    <row r="2362" customFormat="false" ht="15" hidden="false" customHeight="false" outlineLevel="0" collapsed="false">
      <c r="A2362" s="2" t="s">
        <v>2246</v>
      </c>
      <c r="B2362" s="2" t="s">
        <v>4104</v>
      </c>
      <c r="C2362" s="2" t="s">
        <v>4085</v>
      </c>
      <c r="D2362" s="2"/>
      <c r="E2362" s="31" t="n">
        <v>65.2</v>
      </c>
      <c r="F2362" s="31" t="n">
        <v>61.4</v>
      </c>
      <c r="G2362" s="31" t="n">
        <v>57.3</v>
      </c>
      <c r="H2362" s="2" t="s">
        <v>668</v>
      </c>
    </row>
    <row r="2363" customFormat="false" ht="15" hidden="false" customHeight="false" outlineLevel="0" collapsed="false">
      <c r="A2363" s="2" t="s">
        <v>2246</v>
      </c>
      <c r="B2363" s="2" t="s">
        <v>4104</v>
      </c>
      <c r="C2363" s="2" t="s">
        <v>4086</v>
      </c>
      <c r="D2363" s="2"/>
      <c r="E2363" s="31" t="n">
        <v>76.2</v>
      </c>
      <c r="F2363" s="31" t="n">
        <v>75.8</v>
      </c>
      <c r="G2363" s="31" t="n">
        <v>66</v>
      </c>
      <c r="H2363" s="2" t="s">
        <v>671</v>
      </c>
    </row>
    <row r="2364" customFormat="false" ht="15" hidden="false" customHeight="false" outlineLevel="0" collapsed="false">
      <c r="A2364" s="2" t="s">
        <v>2246</v>
      </c>
      <c r="B2364" s="2" t="s">
        <v>4104</v>
      </c>
      <c r="C2364" s="2" t="s">
        <v>4087</v>
      </c>
      <c r="D2364" s="2"/>
      <c r="E2364" s="31" t="n">
        <v>61.2</v>
      </c>
      <c r="F2364" s="31" t="n">
        <v>66</v>
      </c>
      <c r="G2364" s="31" t="n">
        <v>79.4</v>
      </c>
      <c r="H2364" s="2" t="s">
        <v>668</v>
      </c>
    </row>
    <row r="2365" customFormat="false" ht="15" hidden="false" customHeight="false" outlineLevel="0" collapsed="false">
      <c r="A2365" s="2" t="s">
        <v>2246</v>
      </c>
      <c r="B2365" s="2" t="s">
        <v>45</v>
      </c>
      <c r="C2365" s="2" t="s">
        <v>4085</v>
      </c>
      <c r="D2365" s="11" t="n">
        <v>16620</v>
      </c>
      <c r="E2365" s="31" t="n">
        <v>65.7</v>
      </c>
      <c r="F2365" s="31" t="n">
        <v>69.3</v>
      </c>
      <c r="G2365" s="31" t="n">
        <v>45.9</v>
      </c>
      <c r="H2365" s="2" t="s">
        <v>671</v>
      </c>
    </row>
    <row r="2366" customFormat="false" ht="15" hidden="false" customHeight="false" outlineLevel="0" collapsed="false">
      <c r="A2366" s="2" t="s">
        <v>2246</v>
      </c>
      <c r="B2366" s="2" t="s">
        <v>45</v>
      </c>
      <c r="C2366" s="2" t="s">
        <v>4086</v>
      </c>
      <c r="D2366" s="11" t="n">
        <v>17470</v>
      </c>
      <c r="E2366" s="31" t="n">
        <v>86</v>
      </c>
      <c r="F2366" s="31" t="n">
        <v>85.9</v>
      </c>
      <c r="G2366" s="31" t="n">
        <v>47.1</v>
      </c>
      <c r="H2366" s="2" t="s">
        <v>671</v>
      </c>
    </row>
    <row r="2367" customFormat="false" ht="15" hidden="false" customHeight="false" outlineLevel="0" collapsed="false">
      <c r="A2367" s="2" t="s">
        <v>2246</v>
      </c>
      <c r="B2367" s="2" t="s">
        <v>45</v>
      </c>
      <c r="C2367" s="2" t="s">
        <v>4087</v>
      </c>
      <c r="D2367" s="2"/>
      <c r="E2367" s="2"/>
      <c r="F2367" s="2"/>
      <c r="G2367" s="2"/>
      <c r="H2367" s="2" t="s">
        <v>668</v>
      </c>
    </row>
    <row r="2368" customFormat="false" ht="15" hidden="false" customHeight="false" outlineLevel="0" collapsed="false">
      <c r="A2368" s="2" t="s">
        <v>2246</v>
      </c>
      <c r="B2368" s="2" t="s">
        <v>46</v>
      </c>
      <c r="C2368" s="2" t="s">
        <v>4085</v>
      </c>
      <c r="D2368" s="11" t="n">
        <v>41970</v>
      </c>
      <c r="E2368" s="31" t="n">
        <v>53</v>
      </c>
      <c r="F2368" s="31" t="n">
        <v>66.3</v>
      </c>
      <c r="G2368" s="31" t="n">
        <v>68.7</v>
      </c>
      <c r="H2368" s="2" t="s">
        <v>671</v>
      </c>
    </row>
    <row r="2369" customFormat="false" ht="15" hidden="false" customHeight="false" outlineLevel="0" collapsed="false">
      <c r="A2369" s="2" t="s">
        <v>2246</v>
      </c>
      <c r="B2369" s="2" t="s">
        <v>46</v>
      </c>
      <c r="C2369" s="2" t="s">
        <v>4086</v>
      </c>
      <c r="D2369" s="11" t="n">
        <v>42960</v>
      </c>
      <c r="E2369" s="31" t="n">
        <v>64.4</v>
      </c>
      <c r="F2369" s="31" t="n">
        <v>68.7</v>
      </c>
      <c r="G2369" s="31" t="n">
        <v>68.7</v>
      </c>
      <c r="H2369" s="2" t="s">
        <v>671</v>
      </c>
    </row>
    <row r="2370" customFormat="false" ht="15" hidden="false" customHeight="false" outlineLevel="0" collapsed="false">
      <c r="A2370" s="2" t="s">
        <v>2246</v>
      </c>
      <c r="B2370" s="2" t="s">
        <v>46</v>
      </c>
      <c r="C2370" s="2" t="s">
        <v>4087</v>
      </c>
      <c r="D2370" s="11" t="n">
        <v>46080</v>
      </c>
      <c r="E2370" s="31" t="n">
        <v>62.8</v>
      </c>
      <c r="F2370" s="31" t="n">
        <v>60.6</v>
      </c>
      <c r="G2370" s="2"/>
      <c r="H2370" s="2" t="s">
        <v>668</v>
      </c>
    </row>
    <row r="2371" customFormat="false" ht="15" hidden="false" customHeight="false" outlineLevel="0" collapsed="false">
      <c r="A2371" s="2" t="s">
        <v>2246</v>
      </c>
      <c r="B2371" s="2" t="s">
        <v>47</v>
      </c>
      <c r="C2371" s="2" t="s">
        <v>4085</v>
      </c>
      <c r="D2371" s="11" t="n">
        <v>31890</v>
      </c>
      <c r="E2371" s="31" t="n">
        <v>77</v>
      </c>
      <c r="F2371" s="31" t="n">
        <v>48.7</v>
      </c>
      <c r="G2371" s="2"/>
      <c r="H2371" s="2" t="s">
        <v>668</v>
      </c>
    </row>
    <row r="2372" customFormat="false" ht="15" hidden="false" customHeight="false" outlineLevel="0" collapsed="false">
      <c r="A2372" s="2" t="s">
        <v>2246</v>
      </c>
      <c r="B2372" s="2" t="s">
        <v>47</v>
      </c>
      <c r="C2372" s="2" t="s">
        <v>4086</v>
      </c>
      <c r="D2372" s="11" t="n">
        <v>53290</v>
      </c>
      <c r="E2372" s="31" t="n">
        <v>78.3</v>
      </c>
      <c r="F2372" s="31" t="n">
        <v>72.7</v>
      </c>
      <c r="G2372" s="31" t="n">
        <v>82.3</v>
      </c>
      <c r="H2372" s="2" t="s">
        <v>671</v>
      </c>
    </row>
    <row r="2373" customFormat="false" ht="15" hidden="false" customHeight="false" outlineLevel="0" collapsed="false">
      <c r="A2373" s="2" t="s">
        <v>2246</v>
      </c>
      <c r="B2373" s="2" t="s">
        <v>47</v>
      </c>
      <c r="C2373" s="2" t="s">
        <v>4087</v>
      </c>
      <c r="D2373" s="11" t="n">
        <v>57500</v>
      </c>
      <c r="E2373" s="31" t="n">
        <v>59.7</v>
      </c>
      <c r="F2373" s="31" t="n">
        <v>71.3</v>
      </c>
      <c r="G2373" s="31" t="n">
        <v>79.4</v>
      </c>
      <c r="H2373" s="2" t="s">
        <v>671</v>
      </c>
    </row>
    <row r="2374" customFormat="false" ht="15" hidden="false" customHeight="false" outlineLevel="0" collapsed="false">
      <c r="A2374" s="2" t="s">
        <v>1608</v>
      </c>
      <c r="B2374" s="2" t="s">
        <v>4104</v>
      </c>
      <c r="C2374" s="2" t="s">
        <v>4085</v>
      </c>
      <c r="D2374" s="2"/>
      <c r="E2374" s="31" t="n">
        <v>71.8</v>
      </c>
      <c r="F2374" s="31" t="n">
        <v>54.4</v>
      </c>
      <c r="G2374" s="31" t="n">
        <v>59.2</v>
      </c>
      <c r="H2374" s="2" t="s">
        <v>671</v>
      </c>
    </row>
    <row r="2375" customFormat="false" ht="15" hidden="false" customHeight="false" outlineLevel="0" collapsed="false">
      <c r="A2375" s="2" t="s">
        <v>1608</v>
      </c>
      <c r="B2375" s="2" t="s">
        <v>4104</v>
      </c>
      <c r="C2375" s="2" t="s">
        <v>4086</v>
      </c>
      <c r="D2375" s="2"/>
      <c r="E2375" s="31" t="n">
        <v>54.6</v>
      </c>
      <c r="F2375" s="31" t="n">
        <v>48.3</v>
      </c>
      <c r="G2375" s="31" t="n">
        <v>55.5</v>
      </c>
      <c r="H2375" s="2" t="s">
        <v>668</v>
      </c>
    </row>
    <row r="2376" customFormat="false" ht="15" hidden="false" customHeight="false" outlineLevel="0" collapsed="false">
      <c r="A2376" s="2" t="s">
        <v>1608</v>
      </c>
      <c r="B2376" s="2" t="s">
        <v>4104</v>
      </c>
      <c r="C2376" s="2" t="s">
        <v>4087</v>
      </c>
      <c r="D2376" s="2"/>
      <c r="E2376" s="31" t="n">
        <v>59.2</v>
      </c>
      <c r="F2376" s="31" t="n">
        <v>56.6</v>
      </c>
      <c r="G2376" s="31" t="n">
        <v>64.4</v>
      </c>
      <c r="H2376" s="2" t="s">
        <v>668</v>
      </c>
    </row>
    <row r="2377" customFormat="false" ht="15" hidden="false" customHeight="false" outlineLevel="0" collapsed="false">
      <c r="A2377" s="2" t="s">
        <v>1608</v>
      </c>
      <c r="B2377" s="2" t="s">
        <v>45</v>
      </c>
      <c r="C2377" s="2" t="s">
        <v>4085</v>
      </c>
      <c r="D2377" s="11" t="n">
        <v>9787</v>
      </c>
      <c r="E2377" s="31" t="n">
        <v>57.5</v>
      </c>
      <c r="F2377" s="31" t="n">
        <v>64.5</v>
      </c>
      <c r="G2377" s="31" t="n">
        <v>83.2</v>
      </c>
      <c r="H2377" s="2" t="s">
        <v>671</v>
      </c>
    </row>
    <row r="2378" customFormat="false" ht="15" hidden="false" customHeight="false" outlineLevel="0" collapsed="false">
      <c r="A2378" s="2" t="s">
        <v>1608</v>
      </c>
      <c r="B2378" s="2" t="s">
        <v>45</v>
      </c>
      <c r="C2378" s="2" t="s">
        <v>4086</v>
      </c>
      <c r="D2378" s="11" t="n">
        <v>10520</v>
      </c>
      <c r="E2378" s="31" t="n">
        <v>25.5</v>
      </c>
      <c r="F2378" s="31" t="n">
        <v>57</v>
      </c>
      <c r="G2378" s="2"/>
      <c r="H2378" s="2" t="s">
        <v>668</v>
      </c>
    </row>
    <row r="2379" customFormat="false" ht="15" hidden="false" customHeight="false" outlineLevel="0" collapsed="false">
      <c r="A2379" s="2" t="s">
        <v>1608</v>
      </c>
      <c r="B2379" s="2" t="s">
        <v>45</v>
      </c>
      <c r="C2379" s="2" t="s">
        <v>4087</v>
      </c>
      <c r="D2379" s="11" t="n">
        <v>10750</v>
      </c>
      <c r="E2379" s="31" t="n">
        <v>43.6</v>
      </c>
      <c r="F2379" s="31" t="n">
        <v>84.9</v>
      </c>
      <c r="G2379" s="2"/>
      <c r="H2379" s="2" t="s">
        <v>668</v>
      </c>
    </row>
    <row r="2380" customFormat="false" ht="15" hidden="false" customHeight="false" outlineLevel="0" collapsed="false">
      <c r="A2380" s="2" t="s">
        <v>1608</v>
      </c>
      <c r="B2380" s="2" t="s">
        <v>46</v>
      </c>
      <c r="C2380" s="2" t="s">
        <v>4085</v>
      </c>
      <c r="D2380" s="11" t="n">
        <v>8153</v>
      </c>
      <c r="E2380" s="31" t="n">
        <v>64</v>
      </c>
      <c r="F2380" s="31" t="n">
        <v>36.8</v>
      </c>
      <c r="G2380" s="31" t="n">
        <v>50.7</v>
      </c>
      <c r="H2380" s="2" t="s">
        <v>671</v>
      </c>
    </row>
    <row r="2381" customFormat="false" ht="15" hidden="false" customHeight="false" outlineLevel="0" collapsed="false">
      <c r="A2381" s="2" t="s">
        <v>1608</v>
      </c>
      <c r="B2381" s="2" t="s">
        <v>46</v>
      </c>
      <c r="C2381" s="2" t="s">
        <v>4086</v>
      </c>
      <c r="D2381" s="11" t="n">
        <v>8630</v>
      </c>
      <c r="E2381" s="31" t="n">
        <v>54.6</v>
      </c>
      <c r="F2381" s="31" t="n">
        <v>32.1</v>
      </c>
      <c r="G2381" s="31" t="n">
        <v>30.9</v>
      </c>
      <c r="H2381" s="2" t="s">
        <v>671</v>
      </c>
    </row>
    <row r="2382" customFormat="false" ht="15" hidden="false" customHeight="false" outlineLevel="0" collapsed="false">
      <c r="A2382" s="2" t="s">
        <v>1608</v>
      </c>
      <c r="B2382" s="2" t="s">
        <v>46</v>
      </c>
      <c r="C2382" s="2" t="s">
        <v>4087</v>
      </c>
      <c r="D2382" s="11" t="n">
        <v>8916</v>
      </c>
      <c r="E2382" s="31" t="n">
        <v>63.2</v>
      </c>
      <c r="F2382" s="31" t="n">
        <v>25</v>
      </c>
      <c r="G2382" s="31" t="n">
        <v>40.7</v>
      </c>
      <c r="H2382" s="2" t="s">
        <v>671</v>
      </c>
    </row>
    <row r="2383" customFormat="false" ht="15" hidden="false" customHeight="false" outlineLevel="0" collapsed="false">
      <c r="A2383" s="2" t="s">
        <v>1608</v>
      </c>
      <c r="B2383" s="2" t="s">
        <v>47</v>
      </c>
      <c r="C2383" s="2" t="s">
        <v>4085</v>
      </c>
      <c r="D2383" s="11" t="n">
        <v>83045</v>
      </c>
      <c r="E2383" s="31" t="n">
        <v>93.9</v>
      </c>
      <c r="F2383" s="31" t="n">
        <v>61.8</v>
      </c>
      <c r="G2383" s="31" t="n">
        <v>43.6</v>
      </c>
      <c r="H2383" s="2" t="s">
        <v>671</v>
      </c>
    </row>
    <row r="2384" customFormat="false" ht="15" hidden="false" customHeight="false" outlineLevel="0" collapsed="false">
      <c r="A2384" s="2" t="s">
        <v>1608</v>
      </c>
      <c r="B2384" s="2" t="s">
        <v>47</v>
      </c>
      <c r="C2384" s="2" t="s">
        <v>4086</v>
      </c>
      <c r="D2384" s="11" t="n">
        <v>89382</v>
      </c>
      <c r="E2384" s="31" t="n">
        <v>83.8</v>
      </c>
      <c r="F2384" s="31" t="n">
        <v>55.8</v>
      </c>
      <c r="G2384" s="31" t="n">
        <v>80.1</v>
      </c>
      <c r="H2384" s="2" t="s">
        <v>671</v>
      </c>
    </row>
    <row r="2385" customFormat="false" ht="15" hidden="false" customHeight="false" outlineLevel="0" collapsed="false">
      <c r="A2385" s="2" t="s">
        <v>1608</v>
      </c>
      <c r="B2385" s="2" t="s">
        <v>47</v>
      </c>
      <c r="C2385" s="2" t="s">
        <v>4087</v>
      </c>
      <c r="D2385" s="11" t="n">
        <v>92577</v>
      </c>
      <c r="E2385" s="31" t="n">
        <v>70.7</v>
      </c>
      <c r="F2385" s="31" t="n">
        <v>59.9</v>
      </c>
      <c r="G2385" s="31" t="n">
        <v>88</v>
      </c>
      <c r="H2385" s="2" t="s">
        <v>671</v>
      </c>
    </row>
    <row r="2386" customFormat="false" ht="15" hidden="false" customHeight="false" outlineLevel="0" collapsed="false">
      <c r="A2386" s="2" t="s">
        <v>2498</v>
      </c>
      <c r="B2386" s="2" t="s">
        <v>4104</v>
      </c>
      <c r="C2386" s="2" t="s">
        <v>4085</v>
      </c>
      <c r="D2386" s="2"/>
      <c r="E2386" s="31" t="n">
        <v>87.8</v>
      </c>
      <c r="F2386" s="31" t="n">
        <v>87.6</v>
      </c>
      <c r="G2386" s="31" t="n">
        <v>56.6</v>
      </c>
      <c r="H2386" s="2" t="s">
        <v>671</v>
      </c>
    </row>
    <row r="2387" customFormat="false" ht="15" hidden="false" customHeight="false" outlineLevel="0" collapsed="false">
      <c r="A2387" s="2" t="s">
        <v>2498</v>
      </c>
      <c r="B2387" s="2" t="s">
        <v>4104</v>
      </c>
      <c r="C2387" s="2" t="s">
        <v>4086</v>
      </c>
      <c r="D2387" s="2"/>
      <c r="E2387" s="31" t="n">
        <v>72.9</v>
      </c>
      <c r="F2387" s="31" t="n">
        <v>67.8</v>
      </c>
      <c r="G2387" s="31" t="n">
        <v>48.8</v>
      </c>
      <c r="H2387" s="2" t="s">
        <v>671</v>
      </c>
    </row>
    <row r="2388" customFormat="false" ht="15" hidden="false" customHeight="false" outlineLevel="0" collapsed="false">
      <c r="A2388" s="2" t="s">
        <v>2498</v>
      </c>
      <c r="B2388" s="2" t="s">
        <v>4104</v>
      </c>
      <c r="C2388" s="2" t="s">
        <v>4087</v>
      </c>
      <c r="D2388" s="2"/>
      <c r="E2388" s="31" t="n">
        <v>26.4</v>
      </c>
      <c r="F2388" s="31" t="n">
        <v>69.3</v>
      </c>
      <c r="G2388" s="31" t="n">
        <v>40.2</v>
      </c>
      <c r="H2388" s="2" t="s">
        <v>668</v>
      </c>
    </row>
    <row r="2389" customFormat="false" ht="15" hidden="false" customHeight="false" outlineLevel="0" collapsed="false">
      <c r="A2389" s="2" t="s">
        <v>2498</v>
      </c>
      <c r="B2389" s="2" t="s">
        <v>46</v>
      </c>
      <c r="C2389" s="2" t="s">
        <v>4085</v>
      </c>
      <c r="D2389" s="11" t="n">
        <v>965879</v>
      </c>
      <c r="E2389" s="31" t="n">
        <v>97.1</v>
      </c>
      <c r="F2389" s="31" t="n">
        <v>96.2</v>
      </c>
      <c r="G2389" s="31" t="n">
        <v>58.2</v>
      </c>
      <c r="H2389" s="2" t="s">
        <v>671</v>
      </c>
    </row>
    <row r="2390" customFormat="false" ht="15" hidden="false" customHeight="false" outlineLevel="0" collapsed="false">
      <c r="A2390" s="2" t="s">
        <v>2498</v>
      </c>
      <c r="B2390" s="2" t="s">
        <v>46</v>
      </c>
      <c r="C2390" s="2" t="s">
        <v>4086</v>
      </c>
      <c r="D2390" s="11" t="n">
        <v>1016260</v>
      </c>
      <c r="E2390" s="31" t="n">
        <v>91.7</v>
      </c>
      <c r="F2390" s="31" t="n">
        <v>66.7</v>
      </c>
      <c r="G2390" s="31" t="n">
        <v>62.7</v>
      </c>
      <c r="H2390" s="2" t="s">
        <v>671</v>
      </c>
    </row>
    <row r="2391" customFormat="false" ht="15" hidden="false" customHeight="false" outlineLevel="0" collapsed="false">
      <c r="A2391" s="2" t="s">
        <v>2498</v>
      </c>
      <c r="B2391" s="2" t="s">
        <v>46</v>
      </c>
      <c r="C2391" s="2" t="s">
        <v>4087</v>
      </c>
      <c r="D2391" s="2"/>
      <c r="E2391" s="2"/>
      <c r="F2391" s="2"/>
      <c r="G2391" s="2"/>
      <c r="H2391" s="2" t="s">
        <v>668</v>
      </c>
    </row>
    <row r="2392" customFormat="false" ht="15" hidden="false" customHeight="false" outlineLevel="0" collapsed="false">
      <c r="A2392" s="2" t="s">
        <v>2498</v>
      </c>
      <c r="B2392" s="2" t="s">
        <v>47</v>
      </c>
      <c r="C2392" s="2" t="s">
        <v>4085</v>
      </c>
      <c r="D2392" s="11" t="n">
        <v>3060</v>
      </c>
      <c r="E2392" s="31" t="n">
        <v>78.5</v>
      </c>
      <c r="F2392" s="31" t="n">
        <v>78.9</v>
      </c>
      <c r="G2392" s="31" t="n">
        <v>54.9</v>
      </c>
      <c r="H2392" s="2" t="s">
        <v>671</v>
      </c>
    </row>
    <row r="2393" customFormat="false" ht="15" hidden="false" customHeight="false" outlineLevel="0" collapsed="false">
      <c r="A2393" s="2" t="s">
        <v>2498</v>
      </c>
      <c r="B2393" s="2" t="s">
        <v>47</v>
      </c>
      <c r="C2393" s="2" t="s">
        <v>4086</v>
      </c>
      <c r="D2393" s="11" t="n">
        <v>3267</v>
      </c>
      <c r="E2393" s="31" t="n">
        <v>54.1</v>
      </c>
      <c r="F2393" s="31" t="n">
        <v>68.8</v>
      </c>
      <c r="G2393" s="31" t="n">
        <v>34.8</v>
      </c>
      <c r="H2393" s="2" t="s">
        <v>671</v>
      </c>
    </row>
    <row r="2394" customFormat="false" ht="15" hidden="false" customHeight="false" outlineLevel="0" collapsed="false">
      <c r="A2394" s="2" t="s">
        <v>2498</v>
      </c>
      <c r="B2394" s="2" t="s">
        <v>47</v>
      </c>
      <c r="C2394" s="2" t="s">
        <v>4087</v>
      </c>
      <c r="D2394" s="11" t="n">
        <v>3442</v>
      </c>
      <c r="E2394" s="31" t="n">
        <v>26.4</v>
      </c>
      <c r="F2394" s="31" t="n">
        <v>69.3</v>
      </c>
      <c r="G2394" s="31" t="n">
        <v>40.2</v>
      </c>
      <c r="H2394" s="2" t="s">
        <v>671</v>
      </c>
    </row>
    <row r="2395" customFormat="false" ht="15" hidden="false" customHeight="false" outlineLevel="0" collapsed="false">
      <c r="A2395" s="2" t="s">
        <v>2845</v>
      </c>
      <c r="B2395" s="2" t="s">
        <v>4104</v>
      </c>
      <c r="C2395" s="2" t="s">
        <v>4085</v>
      </c>
      <c r="D2395" s="2"/>
      <c r="E2395" s="31" t="n">
        <v>81.7</v>
      </c>
      <c r="F2395" s="31" t="n">
        <v>3.3</v>
      </c>
      <c r="G2395" s="31" t="n">
        <v>14.6</v>
      </c>
      <c r="H2395" s="2" t="s">
        <v>671</v>
      </c>
    </row>
    <row r="2396" customFormat="false" ht="15" hidden="false" customHeight="false" outlineLevel="0" collapsed="false">
      <c r="A2396" s="2" t="s">
        <v>2845</v>
      </c>
      <c r="B2396" s="2" t="s">
        <v>4104</v>
      </c>
      <c r="C2396" s="2" t="s">
        <v>4086</v>
      </c>
      <c r="D2396" s="2"/>
      <c r="E2396" s="31" t="n">
        <v>72.8</v>
      </c>
      <c r="F2396" s="2"/>
      <c r="G2396" s="31" t="n">
        <v>8.8</v>
      </c>
      <c r="H2396" s="2" t="s">
        <v>668</v>
      </c>
    </row>
    <row r="2397" customFormat="false" ht="15" hidden="false" customHeight="false" outlineLevel="0" collapsed="false">
      <c r="A2397" s="2" t="s">
        <v>2845</v>
      </c>
      <c r="B2397" s="2" t="s">
        <v>4104</v>
      </c>
      <c r="C2397" s="2" t="s">
        <v>4087</v>
      </c>
      <c r="D2397" s="2"/>
      <c r="E2397" s="31" t="n">
        <v>77</v>
      </c>
      <c r="F2397" s="31" t="n">
        <v>33.3</v>
      </c>
      <c r="G2397" s="2"/>
      <c r="H2397" s="2" t="s">
        <v>668</v>
      </c>
    </row>
    <row r="2398" customFormat="false" ht="15" hidden="false" customHeight="false" outlineLevel="0" collapsed="false">
      <c r="A2398" s="2" t="s">
        <v>2845</v>
      </c>
      <c r="B2398" s="2" t="s">
        <v>47</v>
      </c>
      <c r="C2398" s="2" t="s">
        <v>4085</v>
      </c>
      <c r="D2398" s="11" t="n">
        <v>3218</v>
      </c>
      <c r="E2398" s="31" t="n">
        <v>81.7</v>
      </c>
      <c r="F2398" s="31" t="n">
        <v>3.3</v>
      </c>
      <c r="G2398" s="31" t="n">
        <v>14.6</v>
      </c>
      <c r="H2398" s="2" t="s">
        <v>671</v>
      </c>
    </row>
    <row r="2399" customFormat="false" ht="15" hidden="false" customHeight="false" outlineLevel="0" collapsed="false">
      <c r="A2399" s="2" t="s">
        <v>2845</v>
      </c>
      <c r="B2399" s="2" t="s">
        <v>47</v>
      </c>
      <c r="C2399" s="2" t="s">
        <v>4086</v>
      </c>
      <c r="D2399" s="11" t="n">
        <v>3300</v>
      </c>
      <c r="E2399" s="31" t="n">
        <v>72.8</v>
      </c>
      <c r="F2399" s="2"/>
      <c r="G2399" s="31" t="n">
        <v>8.8</v>
      </c>
      <c r="H2399" s="2" t="s">
        <v>668</v>
      </c>
    </row>
    <row r="2400" customFormat="false" ht="15" hidden="false" customHeight="false" outlineLevel="0" collapsed="false">
      <c r="A2400" s="2" t="s">
        <v>2845</v>
      </c>
      <c r="B2400" s="2" t="s">
        <v>47</v>
      </c>
      <c r="C2400" s="2" t="s">
        <v>4087</v>
      </c>
      <c r="D2400" s="11" t="n">
        <v>3323</v>
      </c>
      <c r="E2400" s="31" t="n">
        <v>77</v>
      </c>
      <c r="F2400" s="31" t="n">
        <v>33.3</v>
      </c>
      <c r="G2400" s="2"/>
      <c r="H2400" s="2" t="s">
        <v>668</v>
      </c>
    </row>
    <row r="2401" customFormat="false" ht="15" hidden="false" customHeight="false" outlineLevel="0" collapsed="false">
      <c r="A2401" s="2" t="s">
        <v>912</v>
      </c>
      <c r="B2401" s="2" t="s">
        <v>4104</v>
      </c>
      <c r="C2401" s="2" t="s">
        <v>4085</v>
      </c>
      <c r="D2401" s="2"/>
      <c r="E2401" s="31" t="n">
        <v>62</v>
      </c>
      <c r="F2401" s="31" t="n">
        <v>41.8</v>
      </c>
      <c r="G2401" s="31" t="n">
        <v>49.6</v>
      </c>
      <c r="H2401" s="2" t="s">
        <v>671</v>
      </c>
    </row>
    <row r="2402" customFormat="false" ht="15" hidden="false" customHeight="false" outlineLevel="0" collapsed="false">
      <c r="A2402" s="2" t="s">
        <v>912</v>
      </c>
      <c r="B2402" s="2" t="s">
        <v>4104</v>
      </c>
      <c r="C2402" s="2" t="s">
        <v>4086</v>
      </c>
      <c r="D2402" s="2"/>
      <c r="E2402" s="31" t="n">
        <v>74.7</v>
      </c>
      <c r="F2402" s="31" t="n">
        <v>59.8</v>
      </c>
      <c r="G2402" s="31" t="n">
        <v>2.5</v>
      </c>
      <c r="H2402" s="2" t="s">
        <v>668</v>
      </c>
    </row>
    <row r="2403" customFormat="false" ht="15" hidden="false" customHeight="false" outlineLevel="0" collapsed="false">
      <c r="A2403" s="2" t="s">
        <v>912</v>
      </c>
      <c r="B2403" s="2" t="s">
        <v>4104</v>
      </c>
      <c r="C2403" s="2" t="s">
        <v>4087</v>
      </c>
      <c r="D2403" s="2"/>
      <c r="E2403" s="31" t="n">
        <v>56.7</v>
      </c>
      <c r="F2403" s="31" t="n">
        <v>50.8</v>
      </c>
      <c r="G2403" s="31" t="n">
        <v>53.1</v>
      </c>
      <c r="H2403" s="2" t="s">
        <v>668</v>
      </c>
    </row>
    <row r="2404" customFormat="false" ht="15" hidden="false" customHeight="false" outlineLevel="0" collapsed="false">
      <c r="A2404" s="2" t="s">
        <v>912</v>
      </c>
      <c r="B2404" s="2" t="s">
        <v>45</v>
      </c>
      <c r="C2404" s="2" t="s">
        <v>4085</v>
      </c>
      <c r="D2404" s="11" t="n">
        <v>13846</v>
      </c>
      <c r="E2404" s="31" t="n">
        <v>53.6</v>
      </c>
      <c r="F2404" s="31" t="n">
        <v>24.5</v>
      </c>
      <c r="G2404" s="2"/>
      <c r="H2404" s="2" t="s">
        <v>671</v>
      </c>
    </row>
    <row r="2405" customFormat="false" ht="15" hidden="false" customHeight="false" outlineLevel="0" collapsed="false">
      <c r="A2405" s="2" t="s">
        <v>912</v>
      </c>
      <c r="B2405" s="2" t="s">
        <v>45</v>
      </c>
      <c r="C2405" s="2" t="s">
        <v>4086</v>
      </c>
      <c r="D2405" s="11" t="n">
        <v>14100</v>
      </c>
      <c r="E2405" s="31" t="n">
        <v>74.7</v>
      </c>
      <c r="F2405" s="31" t="n">
        <v>59.8</v>
      </c>
      <c r="G2405" s="2"/>
      <c r="H2405" s="2" t="s">
        <v>671</v>
      </c>
    </row>
    <row r="2406" customFormat="false" ht="15" hidden="false" customHeight="false" outlineLevel="0" collapsed="false">
      <c r="A2406" s="2" t="s">
        <v>912</v>
      </c>
      <c r="B2406" s="2" t="s">
        <v>45</v>
      </c>
      <c r="C2406" s="2" t="s">
        <v>4087</v>
      </c>
      <c r="D2406" s="11" t="n">
        <v>14610</v>
      </c>
      <c r="E2406" s="31" t="n">
        <v>67.5</v>
      </c>
      <c r="F2406" s="31" t="n">
        <v>50.8</v>
      </c>
      <c r="G2406" s="2"/>
      <c r="H2406" s="2" t="s">
        <v>671</v>
      </c>
    </row>
    <row r="2407" customFormat="false" ht="15" hidden="false" customHeight="false" outlineLevel="0" collapsed="false">
      <c r="A2407" s="2" t="s">
        <v>912</v>
      </c>
      <c r="B2407" s="2" t="s">
        <v>46</v>
      </c>
      <c r="C2407" s="2" t="s">
        <v>4085</v>
      </c>
      <c r="D2407" s="11" t="n">
        <v>84047</v>
      </c>
      <c r="E2407" s="31" t="n">
        <v>56.4</v>
      </c>
      <c r="F2407" s="31" t="n">
        <v>7.1</v>
      </c>
      <c r="G2407" s="31" t="n">
        <v>96.6</v>
      </c>
      <c r="H2407" s="2" t="s">
        <v>671</v>
      </c>
    </row>
    <row r="2408" customFormat="false" ht="15" hidden="false" customHeight="false" outlineLevel="0" collapsed="false">
      <c r="A2408" s="2" t="s">
        <v>912</v>
      </c>
      <c r="B2408" s="2" t="s">
        <v>46</v>
      </c>
      <c r="C2408" s="2" t="s">
        <v>4086</v>
      </c>
      <c r="D2408" s="2"/>
      <c r="E2408" s="2"/>
      <c r="F2408" s="2"/>
      <c r="G2408" s="2"/>
      <c r="H2408" s="2" t="s">
        <v>668</v>
      </c>
    </row>
    <row r="2409" customFormat="false" ht="15" hidden="false" customHeight="false" outlineLevel="0" collapsed="false">
      <c r="A2409" s="2" t="s">
        <v>912</v>
      </c>
      <c r="B2409" s="2" t="s">
        <v>46</v>
      </c>
      <c r="C2409" s="2" t="s">
        <v>4087</v>
      </c>
      <c r="D2409" s="11" t="n">
        <v>83048</v>
      </c>
      <c r="E2409" s="31" t="n">
        <v>45.9</v>
      </c>
      <c r="F2409" s="31" t="n">
        <v>10</v>
      </c>
      <c r="G2409" s="31" t="n">
        <v>84.7</v>
      </c>
      <c r="H2409" s="2" t="s">
        <v>671</v>
      </c>
    </row>
    <row r="2410" customFormat="false" ht="15" hidden="false" customHeight="false" outlineLevel="0" collapsed="false">
      <c r="A2410" s="2" t="s">
        <v>912</v>
      </c>
      <c r="B2410" s="2" t="s">
        <v>47</v>
      </c>
      <c r="C2410" s="2" t="s">
        <v>4085</v>
      </c>
      <c r="D2410" s="11" t="n">
        <v>696683</v>
      </c>
      <c r="E2410" s="31" t="n">
        <v>76</v>
      </c>
      <c r="F2410" s="31" t="n">
        <v>93.8</v>
      </c>
      <c r="G2410" s="31" t="n">
        <v>2.6</v>
      </c>
      <c r="H2410" s="2" t="s">
        <v>671</v>
      </c>
    </row>
    <row r="2411" customFormat="false" ht="15" hidden="false" customHeight="false" outlineLevel="0" collapsed="false">
      <c r="A2411" s="2" t="s">
        <v>912</v>
      </c>
      <c r="B2411" s="2" t="s">
        <v>47</v>
      </c>
      <c r="C2411" s="2" t="s">
        <v>4086</v>
      </c>
      <c r="D2411" s="2"/>
      <c r="E2411" s="2"/>
      <c r="F2411" s="2"/>
      <c r="G2411" s="31" t="n">
        <v>2.5</v>
      </c>
      <c r="H2411" s="2" t="s">
        <v>668</v>
      </c>
    </row>
    <row r="2412" customFormat="false" ht="15" hidden="false" customHeight="false" outlineLevel="0" collapsed="false">
      <c r="A2412" s="2" t="s">
        <v>912</v>
      </c>
      <c r="B2412" s="2" t="s">
        <v>47</v>
      </c>
      <c r="C2412" s="2" t="s">
        <v>4087</v>
      </c>
      <c r="D2412" s="11" t="n">
        <v>754974</v>
      </c>
      <c r="E2412" s="2"/>
      <c r="F2412" s="31" t="n">
        <v>91.6</v>
      </c>
      <c r="G2412" s="31" t="n">
        <v>21.5</v>
      </c>
      <c r="H2412" s="2" t="s">
        <v>668</v>
      </c>
    </row>
    <row r="2413" customFormat="false" ht="15" hidden="false" customHeight="false" outlineLevel="0" collapsed="false">
      <c r="A2413" s="2" t="s">
        <v>2047</v>
      </c>
      <c r="B2413" s="2" t="s">
        <v>4104</v>
      </c>
      <c r="C2413" s="2" t="s">
        <v>4085</v>
      </c>
      <c r="D2413" s="2"/>
      <c r="E2413" s="31" t="n">
        <v>50.7</v>
      </c>
      <c r="F2413" s="31" t="n">
        <v>30.8</v>
      </c>
      <c r="G2413" s="31" t="n">
        <v>9.6</v>
      </c>
      <c r="H2413" s="2" t="s">
        <v>671</v>
      </c>
    </row>
    <row r="2414" customFormat="false" ht="15" hidden="false" customHeight="false" outlineLevel="0" collapsed="false">
      <c r="A2414" s="2" t="s">
        <v>2047</v>
      </c>
      <c r="B2414" s="2" t="s">
        <v>4104</v>
      </c>
      <c r="C2414" s="2" t="s">
        <v>4086</v>
      </c>
      <c r="D2414" s="2"/>
      <c r="E2414" s="31" t="n">
        <v>93.8</v>
      </c>
      <c r="F2414" s="31" t="n">
        <v>10.4</v>
      </c>
      <c r="G2414" s="31" t="n">
        <v>1.1</v>
      </c>
      <c r="H2414" s="2" t="s">
        <v>668</v>
      </c>
    </row>
    <row r="2415" customFormat="false" ht="15" hidden="false" customHeight="false" outlineLevel="0" collapsed="false">
      <c r="A2415" s="2" t="s">
        <v>2047</v>
      </c>
      <c r="B2415" s="2" t="s">
        <v>4104</v>
      </c>
      <c r="C2415" s="2" t="s">
        <v>4087</v>
      </c>
      <c r="D2415" s="2"/>
      <c r="E2415" s="31" t="n">
        <v>50</v>
      </c>
      <c r="F2415" s="31" t="n">
        <v>18.7</v>
      </c>
      <c r="G2415" s="31" t="n">
        <v>32.1</v>
      </c>
      <c r="H2415" s="2" t="s">
        <v>668</v>
      </c>
    </row>
    <row r="2416" customFormat="false" ht="15" hidden="false" customHeight="false" outlineLevel="0" collapsed="false">
      <c r="A2416" s="2" t="s">
        <v>2047</v>
      </c>
      <c r="B2416" s="2" t="s">
        <v>45</v>
      </c>
      <c r="C2416" s="2" t="s">
        <v>4085</v>
      </c>
      <c r="D2416" s="11" t="n">
        <v>4180</v>
      </c>
      <c r="E2416" s="31" t="n">
        <v>11.9</v>
      </c>
      <c r="F2416" s="31" t="n">
        <v>51.6</v>
      </c>
      <c r="G2416" s="31" t="n">
        <v>13.7</v>
      </c>
      <c r="H2416" s="2" t="s">
        <v>671</v>
      </c>
    </row>
    <row r="2417" customFormat="false" ht="15" hidden="false" customHeight="false" outlineLevel="0" collapsed="false">
      <c r="A2417" s="2" t="s">
        <v>2047</v>
      </c>
      <c r="B2417" s="2" t="s">
        <v>45</v>
      </c>
      <c r="C2417" s="2" t="s">
        <v>4086</v>
      </c>
      <c r="D2417" s="11" t="n">
        <v>4270</v>
      </c>
      <c r="E2417" s="2"/>
      <c r="F2417" s="2"/>
      <c r="G2417" s="31" t="n">
        <v>1.3</v>
      </c>
      <c r="H2417" s="2" t="s">
        <v>668</v>
      </c>
    </row>
    <row r="2418" customFormat="false" ht="15" hidden="false" customHeight="false" outlineLevel="0" collapsed="false">
      <c r="A2418" s="2" t="s">
        <v>2047</v>
      </c>
      <c r="B2418" s="2" t="s">
        <v>45</v>
      </c>
      <c r="C2418" s="2" t="s">
        <v>4087</v>
      </c>
      <c r="D2418" s="11" t="n">
        <v>4302</v>
      </c>
      <c r="E2418" s="31" t="n">
        <v>11.5</v>
      </c>
      <c r="F2418" s="31" t="n">
        <v>29.6</v>
      </c>
      <c r="G2418" s="31" t="n">
        <v>62.7</v>
      </c>
      <c r="H2418" s="2" t="s">
        <v>668</v>
      </c>
    </row>
    <row r="2419" customFormat="false" ht="15" hidden="false" customHeight="false" outlineLevel="0" collapsed="false">
      <c r="A2419" s="2" t="s">
        <v>2047</v>
      </c>
      <c r="B2419" s="2" t="s">
        <v>47</v>
      </c>
      <c r="C2419" s="2" t="s">
        <v>4085</v>
      </c>
      <c r="D2419" s="11" t="n">
        <v>45160</v>
      </c>
      <c r="E2419" s="31" t="n">
        <v>89.4</v>
      </c>
      <c r="F2419" s="31" t="n">
        <v>10.1</v>
      </c>
      <c r="G2419" s="31" t="n">
        <v>5.5</v>
      </c>
      <c r="H2419" s="2" t="s">
        <v>671</v>
      </c>
    </row>
    <row r="2420" customFormat="false" ht="15" hidden="false" customHeight="false" outlineLevel="0" collapsed="false">
      <c r="A2420" s="2" t="s">
        <v>2047</v>
      </c>
      <c r="B2420" s="2" t="s">
        <v>47</v>
      </c>
      <c r="C2420" s="2" t="s">
        <v>4086</v>
      </c>
      <c r="D2420" s="11" t="n">
        <v>44382</v>
      </c>
      <c r="E2420" s="31" t="n">
        <v>93.8</v>
      </c>
      <c r="F2420" s="31" t="n">
        <v>10.4</v>
      </c>
      <c r="G2420" s="31" t="n">
        <v>0.9</v>
      </c>
      <c r="H2420" s="2" t="s">
        <v>671</v>
      </c>
    </row>
    <row r="2421" customFormat="false" ht="15" hidden="false" customHeight="false" outlineLevel="0" collapsed="false">
      <c r="A2421" s="2" t="s">
        <v>2047</v>
      </c>
      <c r="B2421" s="2" t="s">
        <v>47</v>
      </c>
      <c r="C2421" s="2" t="s">
        <v>4087</v>
      </c>
      <c r="D2421" s="11" t="n">
        <v>46234</v>
      </c>
      <c r="E2421" s="31" t="n">
        <v>88.4</v>
      </c>
      <c r="F2421" s="31" t="n">
        <v>7.8</v>
      </c>
      <c r="G2421" s="31" t="n">
        <v>1.5</v>
      </c>
      <c r="H2421" s="2" t="s">
        <v>671</v>
      </c>
    </row>
    <row r="2422" customFormat="false" ht="15" hidden="false" customHeight="false" outlineLevel="0" collapsed="false">
      <c r="A2422" s="2" t="s">
        <v>612</v>
      </c>
      <c r="B2422" s="2" t="s">
        <v>4104</v>
      </c>
      <c r="C2422" s="2" t="s">
        <v>4085</v>
      </c>
      <c r="D2422" s="2"/>
      <c r="E2422" s="31" t="n">
        <v>58.7</v>
      </c>
      <c r="F2422" s="31" t="n">
        <v>82.9</v>
      </c>
      <c r="G2422" s="31" t="n">
        <v>2.9</v>
      </c>
      <c r="H2422" s="2" t="s">
        <v>671</v>
      </c>
    </row>
    <row r="2423" customFormat="false" ht="15" hidden="false" customHeight="false" outlineLevel="0" collapsed="false">
      <c r="A2423" s="2" t="s">
        <v>612</v>
      </c>
      <c r="B2423" s="2" t="s">
        <v>4104</v>
      </c>
      <c r="C2423" s="2" t="s">
        <v>4086</v>
      </c>
      <c r="D2423" s="2"/>
      <c r="E2423" s="2"/>
      <c r="F2423" s="2"/>
      <c r="G2423" s="2"/>
      <c r="H2423" s="2" t="s">
        <v>668</v>
      </c>
    </row>
    <row r="2424" customFormat="false" ht="15" hidden="false" customHeight="false" outlineLevel="0" collapsed="false">
      <c r="A2424" s="2" t="s">
        <v>612</v>
      </c>
      <c r="B2424" s="2" t="s">
        <v>4104</v>
      </c>
      <c r="C2424" s="2" t="s">
        <v>4087</v>
      </c>
      <c r="D2424" s="2"/>
      <c r="E2424" s="31" t="n">
        <v>16.5</v>
      </c>
      <c r="F2424" s="31" t="n">
        <v>92</v>
      </c>
      <c r="G2424" s="31" t="n">
        <v>29.6</v>
      </c>
      <c r="H2424" s="2" t="s">
        <v>671</v>
      </c>
    </row>
    <row r="2425" customFormat="false" ht="15" hidden="false" customHeight="false" outlineLevel="0" collapsed="false">
      <c r="A2425" s="2" t="s">
        <v>612</v>
      </c>
      <c r="B2425" s="2" t="s">
        <v>45</v>
      </c>
      <c r="C2425" s="2" t="s">
        <v>4085</v>
      </c>
      <c r="D2425" s="11" t="n">
        <v>192340</v>
      </c>
      <c r="E2425" s="31" t="n">
        <v>58.7</v>
      </c>
      <c r="F2425" s="31" t="n">
        <v>82.9</v>
      </c>
      <c r="G2425" s="31" t="n">
        <v>2.9</v>
      </c>
      <c r="H2425" s="2" t="s">
        <v>671</v>
      </c>
    </row>
    <row r="2426" customFormat="false" ht="15" hidden="false" customHeight="false" outlineLevel="0" collapsed="false">
      <c r="A2426" s="2" t="s">
        <v>612</v>
      </c>
      <c r="B2426" s="2" t="s">
        <v>45</v>
      </c>
      <c r="C2426" s="2" t="s">
        <v>4086</v>
      </c>
      <c r="D2426" s="2"/>
      <c r="E2426" s="2"/>
      <c r="F2426" s="2"/>
      <c r="G2426" s="2"/>
      <c r="H2426" s="2" t="s">
        <v>668</v>
      </c>
    </row>
    <row r="2427" customFormat="false" ht="15" hidden="false" customHeight="false" outlineLevel="0" collapsed="false">
      <c r="A2427" s="2" t="s">
        <v>612</v>
      </c>
      <c r="B2427" s="2" t="s">
        <v>45</v>
      </c>
      <c r="C2427" s="2" t="s">
        <v>4087</v>
      </c>
      <c r="D2427" s="11" t="n">
        <v>216160</v>
      </c>
      <c r="E2427" s="31" t="n">
        <v>16.5</v>
      </c>
      <c r="F2427" s="31" t="n">
        <v>92</v>
      </c>
      <c r="G2427" s="31" t="n">
        <v>29.6</v>
      </c>
      <c r="H2427" s="2" t="s">
        <v>671</v>
      </c>
    </row>
    <row r="2428" customFormat="false" ht="15" hidden="false" customHeight="false" outlineLevel="0" collapsed="false">
      <c r="A2428" s="2" t="s">
        <v>480</v>
      </c>
      <c r="B2428" s="2" t="s">
        <v>4104</v>
      </c>
      <c r="C2428" s="2" t="s">
        <v>4085</v>
      </c>
      <c r="D2428" s="2"/>
      <c r="E2428" s="31" t="n">
        <v>59.5</v>
      </c>
      <c r="F2428" s="31" t="n">
        <v>49.1</v>
      </c>
      <c r="G2428" s="31" t="n">
        <v>73.2</v>
      </c>
      <c r="H2428" s="2" t="s">
        <v>668</v>
      </c>
    </row>
    <row r="2429" customFormat="false" ht="15" hidden="false" customHeight="false" outlineLevel="0" collapsed="false">
      <c r="A2429" s="2" t="s">
        <v>480</v>
      </c>
      <c r="B2429" s="2" t="s">
        <v>4104</v>
      </c>
      <c r="C2429" s="2" t="s">
        <v>4086</v>
      </c>
      <c r="D2429" s="2"/>
      <c r="E2429" s="31" t="n">
        <v>42.2</v>
      </c>
      <c r="F2429" s="31" t="n">
        <v>54.6</v>
      </c>
      <c r="G2429" s="31" t="n">
        <v>61.8</v>
      </c>
      <c r="H2429" s="2" t="s">
        <v>668</v>
      </c>
    </row>
    <row r="2430" customFormat="false" ht="15" hidden="false" customHeight="false" outlineLevel="0" collapsed="false">
      <c r="A2430" s="2" t="s">
        <v>480</v>
      </c>
      <c r="B2430" s="2" t="s">
        <v>4104</v>
      </c>
      <c r="C2430" s="2" t="s">
        <v>4087</v>
      </c>
      <c r="D2430" s="2"/>
      <c r="E2430" s="31" t="n">
        <v>38.2</v>
      </c>
      <c r="F2430" s="31" t="n">
        <v>60.7</v>
      </c>
      <c r="G2430" s="31" t="n">
        <v>58.9</v>
      </c>
      <c r="H2430" s="2" t="s">
        <v>671</v>
      </c>
    </row>
    <row r="2431" customFormat="false" ht="15" hidden="false" customHeight="false" outlineLevel="0" collapsed="false">
      <c r="A2431" s="2" t="s">
        <v>480</v>
      </c>
      <c r="B2431" s="2" t="s">
        <v>45</v>
      </c>
      <c r="C2431" s="2" t="s">
        <v>4085</v>
      </c>
      <c r="D2431" s="11" t="n">
        <v>1640</v>
      </c>
      <c r="E2431" s="31" t="n">
        <v>52</v>
      </c>
      <c r="F2431" s="31" t="n">
        <v>11.3</v>
      </c>
      <c r="G2431" s="31" t="n">
        <v>67.3</v>
      </c>
      <c r="H2431" s="2" t="s">
        <v>671</v>
      </c>
    </row>
    <row r="2432" customFormat="false" ht="15" hidden="false" customHeight="false" outlineLevel="0" collapsed="false">
      <c r="A2432" s="2" t="s">
        <v>480</v>
      </c>
      <c r="B2432" s="2" t="s">
        <v>45</v>
      </c>
      <c r="C2432" s="2" t="s">
        <v>4086</v>
      </c>
      <c r="D2432" s="11" t="n">
        <v>1670</v>
      </c>
      <c r="E2432" s="31" t="n">
        <v>41.6</v>
      </c>
      <c r="F2432" s="31" t="n">
        <v>23.9</v>
      </c>
      <c r="G2432" s="31" t="n">
        <v>11.9</v>
      </c>
      <c r="H2432" s="2" t="s">
        <v>671</v>
      </c>
    </row>
    <row r="2433" customFormat="false" ht="15" hidden="false" customHeight="false" outlineLevel="0" collapsed="false">
      <c r="A2433" s="2" t="s">
        <v>480</v>
      </c>
      <c r="B2433" s="2" t="s">
        <v>45</v>
      </c>
      <c r="C2433" s="2" t="s">
        <v>4087</v>
      </c>
      <c r="D2433" s="11" t="n">
        <v>1612</v>
      </c>
      <c r="E2433" s="31" t="n">
        <v>33.1</v>
      </c>
      <c r="F2433" s="31" t="n">
        <v>18.5</v>
      </c>
      <c r="G2433" s="31" t="n">
        <v>43.5</v>
      </c>
      <c r="H2433" s="2" t="s">
        <v>671</v>
      </c>
    </row>
    <row r="2434" customFormat="false" ht="15" hidden="false" customHeight="false" outlineLevel="0" collapsed="false">
      <c r="A2434" s="2" t="s">
        <v>480</v>
      </c>
      <c r="B2434" s="2" t="s">
        <v>46</v>
      </c>
      <c r="C2434" s="2" t="s">
        <v>4085</v>
      </c>
      <c r="D2434" s="11" t="n">
        <v>52680</v>
      </c>
      <c r="E2434" s="31" t="n">
        <v>72</v>
      </c>
      <c r="F2434" s="31" t="n">
        <v>65.5</v>
      </c>
      <c r="G2434" s="2"/>
      <c r="H2434" s="2" t="s">
        <v>668</v>
      </c>
    </row>
    <row r="2435" customFormat="false" ht="15" hidden="false" customHeight="false" outlineLevel="0" collapsed="false">
      <c r="A2435" s="2" t="s">
        <v>480</v>
      </c>
      <c r="B2435" s="2" t="s">
        <v>46</v>
      </c>
      <c r="C2435" s="2" t="s">
        <v>4086</v>
      </c>
      <c r="D2435" s="2"/>
      <c r="E2435" s="2"/>
      <c r="F2435" s="2"/>
      <c r="G2435" s="31" t="n">
        <v>80.1</v>
      </c>
      <c r="H2435" s="2" t="s">
        <v>668</v>
      </c>
    </row>
    <row r="2436" customFormat="false" ht="15" hidden="false" customHeight="false" outlineLevel="0" collapsed="false">
      <c r="A2436" s="2" t="s">
        <v>480</v>
      </c>
      <c r="B2436" s="2" t="s">
        <v>46</v>
      </c>
      <c r="C2436" s="2" t="s">
        <v>4087</v>
      </c>
      <c r="D2436" s="11" t="n">
        <v>58510</v>
      </c>
      <c r="E2436" s="31" t="n">
        <v>60.9</v>
      </c>
      <c r="F2436" s="31" t="n">
        <v>90.5</v>
      </c>
      <c r="G2436" s="31" t="n">
        <v>61.9</v>
      </c>
      <c r="H2436" s="2" t="s">
        <v>671</v>
      </c>
    </row>
    <row r="2437" customFormat="false" ht="15" hidden="false" customHeight="false" outlineLevel="0" collapsed="false">
      <c r="A2437" s="2" t="s">
        <v>480</v>
      </c>
      <c r="B2437" s="2" t="s">
        <v>47</v>
      </c>
      <c r="C2437" s="2" t="s">
        <v>4085</v>
      </c>
      <c r="D2437" s="11" t="n">
        <v>28511</v>
      </c>
      <c r="E2437" s="31" t="n">
        <v>54.5</v>
      </c>
      <c r="F2437" s="31" t="n">
        <v>70.6</v>
      </c>
      <c r="G2437" s="31" t="n">
        <v>79.2</v>
      </c>
      <c r="H2437" s="2" t="s">
        <v>671</v>
      </c>
    </row>
    <row r="2438" customFormat="false" ht="15" hidden="false" customHeight="false" outlineLevel="0" collapsed="false">
      <c r="A2438" s="2" t="s">
        <v>480</v>
      </c>
      <c r="B2438" s="2" t="s">
        <v>47</v>
      </c>
      <c r="C2438" s="2" t="s">
        <v>4086</v>
      </c>
      <c r="D2438" s="11" t="n">
        <v>28950</v>
      </c>
      <c r="E2438" s="31" t="n">
        <v>42.9</v>
      </c>
      <c r="F2438" s="31" t="n">
        <v>85.4</v>
      </c>
      <c r="G2438" s="31" t="n">
        <v>93.4</v>
      </c>
      <c r="H2438" s="2" t="s">
        <v>671</v>
      </c>
    </row>
    <row r="2439" customFormat="false" ht="15" hidden="false" customHeight="false" outlineLevel="0" collapsed="false">
      <c r="A2439" s="2" t="s">
        <v>480</v>
      </c>
      <c r="B2439" s="2" t="s">
        <v>47</v>
      </c>
      <c r="C2439" s="2" t="s">
        <v>4087</v>
      </c>
      <c r="D2439" s="11" t="n">
        <v>30433</v>
      </c>
      <c r="E2439" s="31" t="n">
        <v>20.5</v>
      </c>
      <c r="F2439" s="31" t="n">
        <v>73</v>
      </c>
      <c r="G2439" s="31" t="n">
        <v>71.2</v>
      </c>
      <c r="H2439" s="2" t="s">
        <v>671</v>
      </c>
    </row>
    <row r="2440" customFormat="false" ht="15" hidden="false" customHeight="false" outlineLevel="0" collapsed="false">
      <c r="A2440" s="2" t="s">
        <v>156</v>
      </c>
      <c r="B2440" s="2" t="s">
        <v>4104</v>
      </c>
      <c r="C2440" s="2" t="s">
        <v>4085</v>
      </c>
      <c r="D2440" s="2"/>
      <c r="E2440" s="31" t="n">
        <v>75.9</v>
      </c>
      <c r="F2440" s="31" t="n">
        <v>2.9</v>
      </c>
      <c r="G2440" s="31" t="n">
        <v>76.5</v>
      </c>
      <c r="H2440" s="2" t="s">
        <v>668</v>
      </c>
    </row>
    <row r="2441" customFormat="false" ht="15" hidden="false" customHeight="false" outlineLevel="0" collapsed="false">
      <c r="A2441" s="2" t="s">
        <v>156</v>
      </c>
      <c r="B2441" s="2" t="s">
        <v>4104</v>
      </c>
      <c r="C2441" s="2" t="s">
        <v>4086</v>
      </c>
      <c r="D2441" s="2"/>
      <c r="E2441" s="31" t="n">
        <v>83.7</v>
      </c>
      <c r="F2441" s="31" t="n">
        <v>60.6</v>
      </c>
      <c r="G2441" s="31" t="n">
        <v>91</v>
      </c>
      <c r="H2441" s="2" t="s">
        <v>668</v>
      </c>
    </row>
    <row r="2442" customFormat="false" ht="15" hidden="false" customHeight="false" outlineLevel="0" collapsed="false">
      <c r="A2442" s="2" t="s">
        <v>156</v>
      </c>
      <c r="B2442" s="2" t="s">
        <v>4104</v>
      </c>
      <c r="C2442" s="2" t="s">
        <v>4087</v>
      </c>
      <c r="D2442" s="2"/>
      <c r="E2442" s="31" t="n">
        <v>77.2</v>
      </c>
      <c r="F2442" s="31" t="n">
        <v>12.8</v>
      </c>
      <c r="G2442" s="31" t="n">
        <v>98.8</v>
      </c>
      <c r="H2442" s="2" t="s">
        <v>671</v>
      </c>
    </row>
    <row r="2443" customFormat="false" ht="15" hidden="false" customHeight="false" outlineLevel="0" collapsed="false">
      <c r="A2443" s="2" t="s">
        <v>156</v>
      </c>
      <c r="B2443" s="2" t="s">
        <v>45</v>
      </c>
      <c r="C2443" s="2" t="s">
        <v>4085</v>
      </c>
      <c r="D2443" s="11" t="n">
        <v>8420</v>
      </c>
      <c r="E2443" s="31" t="n">
        <v>82.9</v>
      </c>
      <c r="F2443" s="2"/>
      <c r="G2443" s="31" t="n">
        <v>53.7</v>
      </c>
      <c r="H2443" s="2" t="s">
        <v>668</v>
      </c>
    </row>
    <row r="2444" customFormat="false" ht="15" hidden="false" customHeight="false" outlineLevel="0" collapsed="false">
      <c r="A2444" s="2" t="s">
        <v>156</v>
      </c>
      <c r="B2444" s="2" t="s">
        <v>45</v>
      </c>
      <c r="C2444" s="2" t="s">
        <v>4086</v>
      </c>
      <c r="D2444" s="11" t="n">
        <v>8390</v>
      </c>
      <c r="E2444" s="31" t="n">
        <v>83.7</v>
      </c>
      <c r="F2444" s="31" t="n">
        <v>60.6</v>
      </c>
      <c r="G2444" s="31" t="n">
        <v>82.8</v>
      </c>
      <c r="H2444" s="2" t="s">
        <v>671</v>
      </c>
    </row>
    <row r="2445" customFormat="false" ht="15" hidden="false" customHeight="false" outlineLevel="0" collapsed="false">
      <c r="A2445" s="2" t="s">
        <v>156</v>
      </c>
      <c r="B2445" s="2" t="s">
        <v>45</v>
      </c>
      <c r="C2445" s="2" t="s">
        <v>4087</v>
      </c>
      <c r="D2445" s="11" t="n">
        <v>8804</v>
      </c>
      <c r="E2445" s="31" t="n">
        <v>82.5</v>
      </c>
      <c r="F2445" s="31" t="n">
        <v>7.4</v>
      </c>
      <c r="G2445" s="31" t="n">
        <v>98.1</v>
      </c>
      <c r="H2445" s="2" t="s">
        <v>671</v>
      </c>
    </row>
    <row r="2446" customFormat="false" ht="15" hidden="false" customHeight="false" outlineLevel="0" collapsed="false">
      <c r="A2446" s="2" t="s">
        <v>156</v>
      </c>
      <c r="B2446" s="2" t="s">
        <v>47</v>
      </c>
      <c r="C2446" s="2" t="s">
        <v>4085</v>
      </c>
      <c r="D2446" s="11" t="n">
        <v>64255</v>
      </c>
      <c r="E2446" s="31" t="n">
        <v>68.9</v>
      </c>
      <c r="F2446" s="31" t="n">
        <v>2.9</v>
      </c>
      <c r="G2446" s="31" t="n">
        <v>99.3</v>
      </c>
      <c r="H2446" s="2" t="s">
        <v>671</v>
      </c>
    </row>
    <row r="2447" customFormat="false" ht="15" hidden="false" customHeight="false" outlineLevel="0" collapsed="false">
      <c r="A2447" s="2" t="s">
        <v>156</v>
      </c>
      <c r="B2447" s="2" t="s">
        <v>47</v>
      </c>
      <c r="C2447" s="2" t="s">
        <v>4086</v>
      </c>
      <c r="D2447" s="2"/>
      <c r="E2447" s="2"/>
      <c r="F2447" s="2"/>
      <c r="G2447" s="31" t="n">
        <v>99.3</v>
      </c>
      <c r="H2447" s="2" t="s">
        <v>668</v>
      </c>
    </row>
    <row r="2448" customFormat="false" ht="15" hidden="false" customHeight="false" outlineLevel="0" collapsed="false">
      <c r="A2448" s="2" t="s">
        <v>156</v>
      </c>
      <c r="B2448" s="2" t="s">
        <v>47</v>
      </c>
      <c r="C2448" s="2" t="s">
        <v>4087</v>
      </c>
      <c r="D2448" s="11" t="n">
        <v>64023</v>
      </c>
      <c r="E2448" s="31" t="n">
        <v>71.9</v>
      </c>
      <c r="F2448" s="31" t="n">
        <v>18.1</v>
      </c>
      <c r="G2448" s="31" t="n">
        <v>99.6</v>
      </c>
      <c r="H2448" s="2" t="s">
        <v>671</v>
      </c>
    </row>
    <row r="2449" customFormat="false" ht="15" hidden="false" customHeight="false" outlineLevel="0" collapsed="false">
      <c r="A2449" s="2" t="s">
        <v>420</v>
      </c>
      <c r="B2449" s="2" t="s">
        <v>4104</v>
      </c>
      <c r="C2449" s="2" t="s">
        <v>4085</v>
      </c>
      <c r="D2449" s="2"/>
      <c r="E2449" s="31" t="n">
        <v>44.8</v>
      </c>
      <c r="F2449" s="31" t="n">
        <v>56.9</v>
      </c>
      <c r="G2449" s="31" t="n">
        <v>51.3</v>
      </c>
      <c r="H2449" s="2" t="s">
        <v>671</v>
      </c>
    </row>
    <row r="2450" customFormat="false" ht="15" hidden="false" customHeight="false" outlineLevel="0" collapsed="false">
      <c r="A2450" s="2" t="s">
        <v>420</v>
      </c>
      <c r="B2450" s="2" t="s">
        <v>4104</v>
      </c>
      <c r="C2450" s="2" t="s">
        <v>4086</v>
      </c>
      <c r="D2450" s="2"/>
      <c r="E2450" s="31" t="n">
        <v>82.7</v>
      </c>
      <c r="F2450" s="31" t="n">
        <v>24.8</v>
      </c>
      <c r="G2450" s="31" t="n">
        <v>76.5</v>
      </c>
      <c r="H2450" s="2" t="s">
        <v>668</v>
      </c>
    </row>
    <row r="2451" customFormat="false" ht="15" hidden="false" customHeight="false" outlineLevel="0" collapsed="false">
      <c r="A2451" s="2" t="s">
        <v>420</v>
      </c>
      <c r="B2451" s="2" t="s">
        <v>4104</v>
      </c>
      <c r="C2451" s="2" t="s">
        <v>4087</v>
      </c>
      <c r="D2451" s="2"/>
      <c r="E2451" s="31" t="n">
        <v>44.1</v>
      </c>
      <c r="F2451" s="31" t="n">
        <v>59.7</v>
      </c>
      <c r="G2451" s="31" t="n">
        <v>49.8</v>
      </c>
      <c r="H2451" s="2" t="s">
        <v>671</v>
      </c>
    </row>
    <row r="2452" customFormat="false" ht="15" hidden="false" customHeight="false" outlineLevel="0" collapsed="false">
      <c r="A2452" s="2" t="s">
        <v>420</v>
      </c>
      <c r="B2452" s="2" t="s">
        <v>45</v>
      </c>
      <c r="C2452" s="2" t="s">
        <v>4085</v>
      </c>
      <c r="D2452" s="11" t="n">
        <v>385500</v>
      </c>
      <c r="E2452" s="31" t="n">
        <v>30.7</v>
      </c>
      <c r="F2452" s="31" t="n">
        <v>37.7</v>
      </c>
      <c r="G2452" s="31" t="n">
        <v>31.7</v>
      </c>
      <c r="H2452" s="2" t="s">
        <v>671</v>
      </c>
    </row>
    <row r="2453" customFormat="false" ht="15" hidden="false" customHeight="false" outlineLevel="0" collapsed="false">
      <c r="A2453" s="2" t="s">
        <v>420</v>
      </c>
      <c r="B2453" s="2" t="s">
        <v>45</v>
      </c>
      <c r="C2453" s="2" t="s">
        <v>4086</v>
      </c>
      <c r="D2453" s="2"/>
      <c r="E2453" s="2"/>
      <c r="F2453" s="2"/>
      <c r="G2453" s="2"/>
      <c r="H2453" s="2" t="s">
        <v>668</v>
      </c>
    </row>
    <row r="2454" customFormat="false" ht="15" hidden="false" customHeight="false" outlineLevel="0" collapsed="false">
      <c r="A2454" s="2" t="s">
        <v>420</v>
      </c>
      <c r="B2454" s="2" t="s">
        <v>45</v>
      </c>
      <c r="C2454" s="2" t="s">
        <v>4087</v>
      </c>
      <c r="D2454" s="11" t="n">
        <v>405048</v>
      </c>
      <c r="E2454" s="31" t="n">
        <v>30.6</v>
      </c>
      <c r="F2454" s="31" t="n">
        <v>39.9</v>
      </c>
      <c r="G2454" s="31" t="n">
        <v>26.2</v>
      </c>
      <c r="H2454" s="2" t="s">
        <v>671</v>
      </c>
    </row>
    <row r="2455" customFormat="false" ht="15" hidden="false" customHeight="false" outlineLevel="0" collapsed="false">
      <c r="A2455" s="2" t="s">
        <v>420</v>
      </c>
      <c r="B2455" s="2" t="s">
        <v>46</v>
      </c>
      <c r="C2455" s="2" t="s">
        <v>4085</v>
      </c>
      <c r="D2455" s="11" t="n">
        <v>166880</v>
      </c>
      <c r="E2455" s="31" t="n">
        <v>21.3</v>
      </c>
      <c r="F2455" s="31" t="n">
        <v>93.6</v>
      </c>
      <c r="G2455" s="31" t="n">
        <v>79.9</v>
      </c>
      <c r="H2455" s="2" t="s">
        <v>671</v>
      </c>
    </row>
    <row r="2456" customFormat="false" ht="15" hidden="false" customHeight="false" outlineLevel="0" collapsed="false">
      <c r="A2456" s="2" t="s">
        <v>420</v>
      </c>
      <c r="B2456" s="2" t="s">
        <v>46</v>
      </c>
      <c r="C2456" s="2" t="s">
        <v>4086</v>
      </c>
      <c r="D2456" s="2"/>
      <c r="E2456" s="2"/>
      <c r="F2456" s="2"/>
      <c r="G2456" s="2"/>
      <c r="H2456" s="2" t="s">
        <v>668</v>
      </c>
    </row>
    <row r="2457" customFormat="false" ht="15" hidden="false" customHeight="false" outlineLevel="0" collapsed="false">
      <c r="A2457" s="2" t="s">
        <v>420</v>
      </c>
      <c r="B2457" s="2" t="s">
        <v>46</v>
      </c>
      <c r="C2457" s="2" t="s">
        <v>4087</v>
      </c>
      <c r="D2457" s="11" t="n">
        <v>181930</v>
      </c>
      <c r="E2457" s="31" t="n">
        <v>17.3</v>
      </c>
      <c r="F2457" s="31" t="n">
        <v>88.1</v>
      </c>
      <c r="G2457" s="31" t="n">
        <v>96.1</v>
      </c>
      <c r="H2457" s="2" t="s">
        <v>671</v>
      </c>
    </row>
    <row r="2458" customFormat="false" ht="15" hidden="false" customHeight="false" outlineLevel="0" collapsed="false">
      <c r="A2458" s="2" t="s">
        <v>420</v>
      </c>
      <c r="B2458" s="2" t="s">
        <v>47</v>
      </c>
      <c r="C2458" s="2" t="s">
        <v>4085</v>
      </c>
      <c r="D2458" s="11" t="n">
        <v>115374</v>
      </c>
      <c r="E2458" s="31" t="n">
        <v>82.4</v>
      </c>
      <c r="F2458" s="31" t="n">
        <v>39.5</v>
      </c>
      <c r="G2458" s="31" t="n">
        <v>42.3</v>
      </c>
      <c r="H2458" s="2" t="s">
        <v>671</v>
      </c>
    </row>
    <row r="2459" customFormat="false" ht="15" hidden="false" customHeight="false" outlineLevel="0" collapsed="false">
      <c r="A2459" s="2" t="s">
        <v>420</v>
      </c>
      <c r="B2459" s="2" t="s">
        <v>47</v>
      </c>
      <c r="C2459" s="2" t="s">
        <v>4086</v>
      </c>
      <c r="D2459" s="11" t="n">
        <v>121580</v>
      </c>
      <c r="E2459" s="31" t="n">
        <v>82.7</v>
      </c>
      <c r="F2459" s="31" t="n">
        <v>24.8</v>
      </c>
      <c r="G2459" s="31" t="n">
        <v>76.5</v>
      </c>
      <c r="H2459" s="2" t="s">
        <v>671</v>
      </c>
    </row>
    <row r="2460" customFormat="false" ht="15" hidden="false" customHeight="false" outlineLevel="0" collapsed="false">
      <c r="A2460" s="2" t="s">
        <v>420</v>
      </c>
      <c r="B2460" s="2" t="s">
        <v>47</v>
      </c>
      <c r="C2460" s="2" t="s">
        <v>4087</v>
      </c>
      <c r="D2460" s="11" t="n">
        <v>125482</v>
      </c>
      <c r="E2460" s="31" t="n">
        <v>84.4</v>
      </c>
      <c r="F2460" s="31" t="n">
        <v>51.2</v>
      </c>
      <c r="G2460" s="31" t="n">
        <v>27.2</v>
      </c>
      <c r="H2460" s="2" t="s">
        <v>671</v>
      </c>
    </row>
    <row r="2461" customFormat="false" ht="15" hidden="false" customHeight="false" outlineLevel="0" collapsed="false">
      <c r="A2461" s="2" t="s">
        <v>2848</v>
      </c>
      <c r="B2461" s="2" t="s">
        <v>4104</v>
      </c>
      <c r="C2461" s="2" t="s">
        <v>4085</v>
      </c>
      <c r="D2461" s="2"/>
      <c r="E2461" s="31" t="n">
        <v>10.8</v>
      </c>
      <c r="F2461" s="31" t="n">
        <v>24.7</v>
      </c>
      <c r="G2461" s="2"/>
      <c r="H2461" s="2" t="s">
        <v>668</v>
      </c>
    </row>
    <row r="2462" customFormat="false" ht="15" hidden="false" customHeight="false" outlineLevel="0" collapsed="false">
      <c r="A2462" s="2" t="s">
        <v>2848</v>
      </c>
      <c r="B2462" s="2" t="s">
        <v>4104</v>
      </c>
      <c r="C2462" s="2" t="s">
        <v>4086</v>
      </c>
      <c r="D2462" s="2"/>
      <c r="E2462" s="31" t="n">
        <v>11.5</v>
      </c>
      <c r="F2462" s="31" t="n">
        <v>43.3</v>
      </c>
      <c r="G2462" s="31" t="n">
        <v>47.7</v>
      </c>
      <c r="H2462" s="2" t="s">
        <v>671</v>
      </c>
    </row>
    <row r="2463" customFormat="false" ht="15" hidden="false" customHeight="false" outlineLevel="0" collapsed="false">
      <c r="A2463" s="2" t="s">
        <v>2848</v>
      </c>
      <c r="B2463" s="2" t="s">
        <v>4104</v>
      </c>
      <c r="C2463" s="2" t="s">
        <v>4087</v>
      </c>
      <c r="D2463" s="2"/>
      <c r="E2463" s="2"/>
      <c r="F2463" s="2"/>
      <c r="G2463" s="2"/>
      <c r="H2463" s="2" t="s">
        <v>668</v>
      </c>
    </row>
    <row r="2464" customFormat="false" ht="15" hidden="false" customHeight="false" outlineLevel="0" collapsed="false">
      <c r="A2464" s="2" t="s">
        <v>2848</v>
      </c>
      <c r="B2464" s="2" t="s">
        <v>45</v>
      </c>
      <c r="C2464" s="2" t="s">
        <v>4085</v>
      </c>
      <c r="D2464" s="11" t="n">
        <v>294634</v>
      </c>
      <c r="E2464" s="31" t="n">
        <v>10.8</v>
      </c>
      <c r="F2464" s="31" t="n">
        <v>24.7</v>
      </c>
      <c r="G2464" s="2"/>
      <c r="H2464" s="2" t="s">
        <v>671</v>
      </c>
    </row>
    <row r="2465" customFormat="false" ht="15" hidden="false" customHeight="false" outlineLevel="0" collapsed="false">
      <c r="A2465" s="2" t="s">
        <v>2848</v>
      </c>
      <c r="B2465" s="2" t="s">
        <v>45</v>
      </c>
      <c r="C2465" s="2" t="s">
        <v>4086</v>
      </c>
      <c r="D2465" s="11" t="n">
        <v>290640</v>
      </c>
      <c r="E2465" s="31" t="n">
        <v>4.7</v>
      </c>
      <c r="F2465" s="31" t="n">
        <v>20.7</v>
      </c>
      <c r="G2465" s="2"/>
      <c r="H2465" s="2" t="s">
        <v>671</v>
      </c>
    </row>
    <row r="2466" customFormat="false" ht="15" hidden="false" customHeight="false" outlineLevel="0" collapsed="false">
      <c r="A2466" s="2" t="s">
        <v>2848</v>
      </c>
      <c r="B2466" s="2" t="s">
        <v>45</v>
      </c>
      <c r="C2466" s="2" t="s">
        <v>4087</v>
      </c>
      <c r="D2466" s="2"/>
      <c r="E2466" s="2"/>
      <c r="F2466" s="2"/>
      <c r="G2466" s="2"/>
      <c r="H2466" s="2" t="s">
        <v>668</v>
      </c>
    </row>
    <row r="2467" customFormat="false" ht="15" hidden="false" customHeight="false" outlineLevel="0" collapsed="false">
      <c r="A2467" s="2" t="s">
        <v>2848</v>
      </c>
      <c r="B2467" s="2" t="s">
        <v>47</v>
      </c>
      <c r="C2467" s="2" t="s">
        <v>4085</v>
      </c>
      <c r="D2467" s="2"/>
      <c r="E2467" s="2"/>
      <c r="F2467" s="2"/>
      <c r="G2467" s="2"/>
      <c r="H2467" s="2" t="s">
        <v>668</v>
      </c>
    </row>
    <row r="2468" customFormat="false" ht="15" hidden="false" customHeight="false" outlineLevel="0" collapsed="false">
      <c r="A2468" s="2" t="s">
        <v>2848</v>
      </c>
      <c r="B2468" s="2" t="s">
        <v>47</v>
      </c>
      <c r="C2468" s="2" t="s">
        <v>4086</v>
      </c>
      <c r="D2468" s="11" t="n">
        <v>56810</v>
      </c>
      <c r="E2468" s="31" t="n">
        <v>18.3</v>
      </c>
      <c r="F2468" s="31" t="n">
        <v>65.9</v>
      </c>
      <c r="G2468" s="31" t="n">
        <v>47.7</v>
      </c>
      <c r="H2468" s="2" t="s">
        <v>671</v>
      </c>
    </row>
    <row r="2469" customFormat="false" ht="15" hidden="false" customHeight="false" outlineLevel="0" collapsed="false">
      <c r="A2469" s="2" t="s">
        <v>2848</v>
      </c>
      <c r="B2469" s="2" t="s">
        <v>47</v>
      </c>
      <c r="C2469" s="2" t="s">
        <v>4087</v>
      </c>
      <c r="D2469" s="2"/>
      <c r="E2469" s="2"/>
      <c r="F2469" s="2"/>
      <c r="G2469" s="2"/>
      <c r="H2469" s="2" t="s">
        <v>668</v>
      </c>
    </row>
    <row r="2470" customFormat="false" ht="15" hidden="false" customHeight="false" outlineLevel="0" collapsed="false">
      <c r="A2470" s="2" t="s">
        <v>400</v>
      </c>
      <c r="B2470" s="2" t="s">
        <v>4104</v>
      </c>
      <c r="C2470" s="2" t="s">
        <v>4085</v>
      </c>
      <c r="D2470" s="2"/>
      <c r="E2470" s="31" t="n">
        <v>49.3</v>
      </c>
      <c r="F2470" s="31" t="n">
        <v>54</v>
      </c>
      <c r="G2470" s="2"/>
      <c r="H2470" s="2" t="s">
        <v>668</v>
      </c>
    </row>
    <row r="2471" customFormat="false" ht="15" hidden="false" customHeight="false" outlineLevel="0" collapsed="false">
      <c r="A2471" s="2" t="s">
        <v>400</v>
      </c>
      <c r="B2471" s="2" t="s">
        <v>4104</v>
      </c>
      <c r="C2471" s="2" t="s">
        <v>4086</v>
      </c>
      <c r="D2471" s="2"/>
      <c r="E2471" s="31" t="n">
        <v>64</v>
      </c>
      <c r="F2471" s="31" t="n">
        <v>50.6</v>
      </c>
      <c r="G2471" s="31" t="n">
        <v>21.4</v>
      </c>
      <c r="H2471" s="2" t="s">
        <v>671</v>
      </c>
    </row>
    <row r="2472" customFormat="false" ht="15" hidden="false" customHeight="false" outlineLevel="0" collapsed="false">
      <c r="A2472" s="2" t="s">
        <v>400</v>
      </c>
      <c r="B2472" s="2" t="s">
        <v>4104</v>
      </c>
      <c r="C2472" s="2" t="s">
        <v>4087</v>
      </c>
      <c r="D2472" s="2"/>
      <c r="E2472" s="31" t="n">
        <v>46.7</v>
      </c>
      <c r="F2472" s="31" t="n">
        <v>51.4</v>
      </c>
      <c r="G2472" s="31" t="n">
        <v>88.9</v>
      </c>
      <c r="H2472" s="2" t="s">
        <v>671</v>
      </c>
    </row>
    <row r="2473" customFormat="false" ht="15" hidden="false" customHeight="false" outlineLevel="0" collapsed="false">
      <c r="A2473" s="2" t="s">
        <v>400</v>
      </c>
      <c r="B2473" s="2" t="s">
        <v>45</v>
      </c>
      <c r="C2473" s="2" t="s">
        <v>4085</v>
      </c>
      <c r="D2473" s="11" t="n">
        <v>19600</v>
      </c>
      <c r="E2473" s="31" t="n">
        <v>49.3</v>
      </c>
      <c r="F2473" s="31" t="n">
        <v>100</v>
      </c>
      <c r="G2473" s="2"/>
      <c r="H2473" s="2" t="s">
        <v>671</v>
      </c>
    </row>
    <row r="2474" customFormat="false" ht="15" hidden="false" customHeight="false" outlineLevel="0" collapsed="false">
      <c r="A2474" s="2" t="s">
        <v>400</v>
      </c>
      <c r="B2474" s="2" t="s">
        <v>45</v>
      </c>
      <c r="C2474" s="2" t="s">
        <v>4086</v>
      </c>
      <c r="D2474" s="11" t="n">
        <v>21740</v>
      </c>
      <c r="E2474" s="31" t="n">
        <v>50.1</v>
      </c>
      <c r="F2474" s="31" t="n">
        <v>100</v>
      </c>
      <c r="G2474" s="2"/>
      <c r="H2474" s="2" t="s">
        <v>671</v>
      </c>
    </row>
    <row r="2475" customFormat="false" ht="15" hidden="false" customHeight="false" outlineLevel="0" collapsed="false">
      <c r="A2475" s="2" t="s">
        <v>400</v>
      </c>
      <c r="B2475" s="2" t="s">
        <v>45</v>
      </c>
      <c r="C2475" s="2" t="s">
        <v>4087</v>
      </c>
      <c r="D2475" s="11" t="n">
        <v>23080</v>
      </c>
      <c r="E2475" s="31" t="n">
        <v>49.1</v>
      </c>
      <c r="F2475" s="31" t="n">
        <v>99.6</v>
      </c>
      <c r="G2475" s="2"/>
      <c r="H2475" s="2" t="s">
        <v>671</v>
      </c>
    </row>
    <row r="2476" customFormat="false" ht="15" hidden="false" customHeight="false" outlineLevel="0" collapsed="false">
      <c r="A2476" s="2" t="s">
        <v>400</v>
      </c>
      <c r="B2476" s="2" t="s">
        <v>46</v>
      </c>
      <c r="C2476" s="2" t="s">
        <v>4085</v>
      </c>
      <c r="D2476" s="11" t="n">
        <v>17897</v>
      </c>
      <c r="E2476" s="2"/>
      <c r="F2476" s="31" t="n">
        <v>7.9</v>
      </c>
      <c r="G2476" s="2"/>
      <c r="H2476" s="2" t="s">
        <v>668</v>
      </c>
    </row>
    <row r="2477" customFormat="false" ht="15" hidden="false" customHeight="false" outlineLevel="0" collapsed="false">
      <c r="A2477" s="2" t="s">
        <v>400</v>
      </c>
      <c r="B2477" s="2" t="s">
        <v>46</v>
      </c>
      <c r="C2477" s="2" t="s">
        <v>4086</v>
      </c>
      <c r="D2477" s="11" t="n">
        <v>17505</v>
      </c>
      <c r="E2477" s="31" t="n">
        <v>77.8</v>
      </c>
      <c r="F2477" s="31" t="n">
        <v>1.1</v>
      </c>
      <c r="G2477" s="31" t="n">
        <v>21.4</v>
      </c>
      <c r="H2477" s="2" t="s">
        <v>671</v>
      </c>
    </row>
    <row r="2478" customFormat="false" ht="15" hidden="false" customHeight="false" outlineLevel="0" collapsed="false">
      <c r="A2478" s="2" t="s">
        <v>400</v>
      </c>
      <c r="B2478" s="2" t="s">
        <v>46</v>
      </c>
      <c r="C2478" s="2" t="s">
        <v>4087</v>
      </c>
      <c r="D2478" s="11" t="n">
        <v>16960</v>
      </c>
      <c r="E2478" s="31" t="n">
        <v>44.2</v>
      </c>
      <c r="F2478" s="31" t="n">
        <v>3.3</v>
      </c>
      <c r="G2478" s="31" t="n">
        <v>88.9</v>
      </c>
      <c r="H2478" s="2" t="s">
        <v>671</v>
      </c>
    </row>
    <row r="2479" customFormat="false" ht="15" hidden="false" customHeight="false" outlineLevel="0" collapsed="false">
      <c r="A2479" s="2" t="s">
        <v>312</v>
      </c>
      <c r="B2479" s="2" t="s">
        <v>4104</v>
      </c>
      <c r="C2479" s="2" t="s">
        <v>4085</v>
      </c>
      <c r="D2479" s="2"/>
      <c r="E2479" s="31" t="n">
        <v>69.6</v>
      </c>
      <c r="F2479" s="31" t="n">
        <v>26.6</v>
      </c>
      <c r="G2479" s="31" t="n">
        <v>75.3</v>
      </c>
      <c r="H2479" s="2" t="s">
        <v>668</v>
      </c>
    </row>
    <row r="2480" customFormat="false" ht="15" hidden="false" customHeight="false" outlineLevel="0" collapsed="false">
      <c r="A2480" s="2" t="s">
        <v>312</v>
      </c>
      <c r="B2480" s="2" t="s">
        <v>4104</v>
      </c>
      <c r="C2480" s="2" t="s">
        <v>4086</v>
      </c>
      <c r="D2480" s="2"/>
      <c r="E2480" s="31" t="n">
        <v>67.3</v>
      </c>
      <c r="F2480" s="31" t="n">
        <v>52.7</v>
      </c>
      <c r="G2480" s="31" t="n">
        <v>59.2</v>
      </c>
      <c r="H2480" s="2" t="s">
        <v>668</v>
      </c>
    </row>
    <row r="2481" customFormat="false" ht="15" hidden="false" customHeight="false" outlineLevel="0" collapsed="false">
      <c r="A2481" s="2" t="s">
        <v>312</v>
      </c>
      <c r="B2481" s="2" t="s">
        <v>4104</v>
      </c>
      <c r="C2481" s="2" t="s">
        <v>4087</v>
      </c>
      <c r="D2481" s="2"/>
      <c r="E2481" s="31" t="n">
        <v>56.8</v>
      </c>
      <c r="F2481" s="31" t="n">
        <v>48.7</v>
      </c>
      <c r="G2481" s="31" t="n">
        <v>82.9</v>
      </c>
      <c r="H2481" s="2" t="s">
        <v>671</v>
      </c>
    </row>
    <row r="2482" customFormat="false" ht="15" hidden="false" customHeight="false" outlineLevel="0" collapsed="false">
      <c r="A2482" s="2" t="s">
        <v>312</v>
      </c>
      <c r="B2482" s="2" t="s">
        <v>45</v>
      </c>
      <c r="C2482" s="2" t="s">
        <v>4085</v>
      </c>
      <c r="D2482" s="11" t="n">
        <v>49363</v>
      </c>
      <c r="E2482" s="31" t="n">
        <v>65.9</v>
      </c>
      <c r="F2482" s="31" t="n">
        <v>46</v>
      </c>
      <c r="G2482" s="2"/>
      <c r="H2482" s="2" t="s">
        <v>668</v>
      </c>
    </row>
    <row r="2483" customFormat="false" ht="15" hidden="false" customHeight="false" outlineLevel="0" collapsed="false">
      <c r="A2483" s="2" t="s">
        <v>312</v>
      </c>
      <c r="B2483" s="2" t="s">
        <v>45</v>
      </c>
      <c r="C2483" s="2" t="s">
        <v>4086</v>
      </c>
      <c r="D2483" s="11" t="n">
        <v>50960</v>
      </c>
      <c r="E2483" s="31" t="n">
        <v>77.9</v>
      </c>
      <c r="F2483" s="31" t="n">
        <v>42.3</v>
      </c>
      <c r="G2483" s="31" t="n">
        <v>31.5</v>
      </c>
      <c r="H2483" s="2" t="s">
        <v>671</v>
      </c>
    </row>
    <row r="2484" customFormat="false" ht="15" hidden="false" customHeight="false" outlineLevel="0" collapsed="false">
      <c r="A2484" s="2" t="s">
        <v>312</v>
      </c>
      <c r="B2484" s="2" t="s">
        <v>45</v>
      </c>
      <c r="C2484" s="2" t="s">
        <v>4087</v>
      </c>
      <c r="D2484" s="11" t="n">
        <v>53573</v>
      </c>
      <c r="E2484" s="31" t="n">
        <v>72.4</v>
      </c>
      <c r="F2484" s="31" t="n">
        <v>76.6</v>
      </c>
      <c r="G2484" s="31" t="n">
        <v>72.4</v>
      </c>
      <c r="H2484" s="2" t="s">
        <v>671</v>
      </c>
    </row>
    <row r="2485" customFormat="false" ht="15" hidden="false" customHeight="false" outlineLevel="0" collapsed="false">
      <c r="A2485" s="2" t="s">
        <v>312</v>
      </c>
      <c r="B2485" s="2" t="s">
        <v>46</v>
      </c>
      <c r="C2485" s="2" t="s">
        <v>4085</v>
      </c>
      <c r="D2485" s="2"/>
      <c r="E2485" s="2"/>
      <c r="F2485" s="2"/>
      <c r="G2485" s="2"/>
      <c r="H2485" s="2" t="s">
        <v>668</v>
      </c>
    </row>
    <row r="2486" customFormat="false" ht="15" hidden="false" customHeight="false" outlineLevel="0" collapsed="false">
      <c r="A2486" s="2" t="s">
        <v>312</v>
      </c>
      <c r="B2486" s="2" t="s">
        <v>46</v>
      </c>
      <c r="C2486" s="2" t="s">
        <v>4086</v>
      </c>
      <c r="D2486" s="11" t="n">
        <v>200420</v>
      </c>
      <c r="E2486" s="31" t="n">
        <v>34.6</v>
      </c>
      <c r="F2486" s="31" t="n">
        <v>63.1</v>
      </c>
      <c r="G2486" s="31" t="n">
        <v>69.1</v>
      </c>
      <c r="H2486" s="2" t="s">
        <v>671</v>
      </c>
    </row>
    <row r="2487" customFormat="false" ht="15" hidden="false" customHeight="false" outlineLevel="0" collapsed="false">
      <c r="A2487" s="2" t="s">
        <v>312</v>
      </c>
      <c r="B2487" s="2" t="s">
        <v>46</v>
      </c>
      <c r="C2487" s="2" t="s">
        <v>4087</v>
      </c>
      <c r="D2487" s="11" t="n">
        <v>195969</v>
      </c>
      <c r="E2487" s="31" t="n">
        <v>18.6</v>
      </c>
      <c r="F2487" s="31" t="n">
        <v>36.4</v>
      </c>
      <c r="G2487" s="31" t="n">
        <v>94.8</v>
      </c>
      <c r="H2487" s="2" t="s">
        <v>671</v>
      </c>
    </row>
    <row r="2488" customFormat="false" ht="15" hidden="false" customHeight="false" outlineLevel="0" collapsed="false">
      <c r="A2488" s="2" t="s">
        <v>312</v>
      </c>
      <c r="B2488" s="2" t="s">
        <v>47</v>
      </c>
      <c r="C2488" s="2" t="s">
        <v>4085</v>
      </c>
      <c r="D2488" s="11" t="n">
        <v>58233</v>
      </c>
      <c r="E2488" s="31" t="n">
        <v>73.4</v>
      </c>
      <c r="F2488" s="31" t="n">
        <v>7.2</v>
      </c>
      <c r="G2488" s="31" t="n">
        <v>75.3</v>
      </c>
      <c r="H2488" s="2" t="s">
        <v>671</v>
      </c>
    </row>
    <row r="2489" customFormat="false" ht="15" hidden="false" customHeight="false" outlineLevel="0" collapsed="false">
      <c r="A2489" s="2" t="s">
        <v>312</v>
      </c>
      <c r="B2489" s="2" t="s">
        <v>47</v>
      </c>
      <c r="C2489" s="2" t="s">
        <v>4086</v>
      </c>
      <c r="D2489" s="11" t="n">
        <v>56540</v>
      </c>
      <c r="E2489" s="31" t="n">
        <v>89.4</v>
      </c>
      <c r="F2489" s="2"/>
      <c r="G2489" s="31" t="n">
        <v>76.9</v>
      </c>
      <c r="H2489" s="2" t="s">
        <v>668</v>
      </c>
    </row>
    <row r="2490" customFormat="false" ht="15" hidden="false" customHeight="false" outlineLevel="0" collapsed="false">
      <c r="A2490" s="2" t="s">
        <v>312</v>
      </c>
      <c r="B2490" s="2" t="s">
        <v>47</v>
      </c>
      <c r="C2490" s="2" t="s">
        <v>4087</v>
      </c>
      <c r="D2490" s="11" t="n">
        <v>60851</v>
      </c>
      <c r="E2490" s="31" t="n">
        <v>79.5</v>
      </c>
      <c r="F2490" s="31" t="n">
        <v>33</v>
      </c>
      <c r="G2490" s="31" t="n">
        <v>81.5</v>
      </c>
      <c r="H2490" s="2" t="s">
        <v>671</v>
      </c>
    </row>
    <row r="2491" customFormat="false" ht="15" hidden="false" customHeight="false" outlineLevel="0" collapsed="false">
      <c r="A2491" s="2" t="s">
        <v>1028</v>
      </c>
      <c r="B2491" s="2" t="s">
        <v>4104</v>
      </c>
      <c r="C2491" s="2" t="s">
        <v>4085</v>
      </c>
      <c r="D2491" s="2"/>
      <c r="E2491" s="31" t="n">
        <v>30.7</v>
      </c>
      <c r="F2491" s="31" t="n">
        <v>87.6</v>
      </c>
      <c r="G2491" s="31" t="n">
        <v>58.8</v>
      </c>
      <c r="H2491" s="2" t="s">
        <v>668</v>
      </c>
    </row>
    <row r="2492" customFormat="false" ht="15" hidden="false" customHeight="false" outlineLevel="0" collapsed="false">
      <c r="A2492" s="2" t="s">
        <v>1028</v>
      </c>
      <c r="B2492" s="2" t="s">
        <v>4104</v>
      </c>
      <c r="C2492" s="2" t="s">
        <v>4086</v>
      </c>
      <c r="D2492" s="2"/>
      <c r="E2492" s="31" t="n">
        <v>37.4</v>
      </c>
      <c r="F2492" s="31" t="n">
        <v>79.3</v>
      </c>
      <c r="G2492" s="31" t="n">
        <v>46.8</v>
      </c>
      <c r="H2492" s="2" t="s">
        <v>671</v>
      </c>
    </row>
    <row r="2493" customFormat="false" ht="15" hidden="false" customHeight="false" outlineLevel="0" collapsed="false">
      <c r="A2493" s="2" t="s">
        <v>1028</v>
      </c>
      <c r="B2493" s="2" t="s">
        <v>4104</v>
      </c>
      <c r="C2493" s="2" t="s">
        <v>4087</v>
      </c>
      <c r="D2493" s="2"/>
      <c r="E2493" s="31" t="n">
        <v>35.6</v>
      </c>
      <c r="F2493" s="31" t="n">
        <v>56.4</v>
      </c>
      <c r="G2493" s="31" t="n">
        <v>55.2</v>
      </c>
      <c r="H2493" s="2" t="s">
        <v>668</v>
      </c>
    </row>
    <row r="2494" customFormat="false" ht="15" hidden="false" customHeight="false" outlineLevel="0" collapsed="false">
      <c r="A2494" s="2" t="s">
        <v>1028</v>
      </c>
      <c r="B2494" s="2" t="s">
        <v>45</v>
      </c>
      <c r="C2494" s="2" t="s">
        <v>4085</v>
      </c>
      <c r="D2494" s="2"/>
      <c r="E2494" s="2"/>
      <c r="F2494" s="2"/>
      <c r="G2494" s="31" t="n">
        <v>47.3</v>
      </c>
      <c r="H2494" s="2" t="s">
        <v>668</v>
      </c>
    </row>
    <row r="2495" customFormat="false" ht="15" hidden="false" customHeight="false" outlineLevel="0" collapsed="false">
      <c r="A2495" s="2" t="s">
        <v>1028</v>
      </c>
      <c r="B2495" s="2" t="s">
        <v>45</v>
      </c>
      <c r="C2495" s="2" t="s">
        <v>4086</v>
      </c>
      <c r="D2495" s="11" t="n">
        <v>112480</v>
      </c>
      <c r="E2495" s="31" t="n">
        <v>39.7</v>
      </c>
      <c r="F2495" s="31" t="n">
        <v>49.3</v>
      </c>
      <c r="G2495" s="31" t="n">
        <v>52.7</v>
      </c>
      <c r="H2495" s="2" t="s">
        <v>671</v>
      </c>
    </row>
    <row r="2496" customFormat="false" ht="15" hidden="false" customHeight="false" outlineLevel="0" collapsed="false">
      <c r="A2496" s="2" t="s">
        <v>1028</v>
      </c>
      <c r="B2496" s="2" t="s">
        <v>45</v>
      </c>
      <c r="C2496" s="2" t="s">
        <v>4087</v>
      </c>
      <c r="D2496" s="11" t="n">
        <v>115330</v>
      </c>
      <c r="E2496" s="31" t="n">
        <v>51.5</v>
      </c>
      <c r="F2496" s="31" t="n">
        <v>26.8</v>
      </c>
      <c r="G2496" s="31" t="n">
        <v>73.8</v>
      </c>
      <c r="H2496" s="2" t="s">
        <v>671</v>
      </c>
    </row>
    <row r="2497" customFormat="false" ht="15" hidden="false" customHeight="false" outlineLevel="0" collapsed="false">
      <c r="A2497" s="2" t="s">
        <v>1028</v>
      </c>
      <c r="B2497" s="2" t="s">
        <v>46</v>
      </c>
      <c r="C2497" s="2" t="s">
        <v>4085</v>
      </c>
      <c r="D2497" s="11" t="n">
        <v>197430</v>
      </c>
      <c r="E2497" s="31" t="n">
        <v>2.2</v>
      </c>
      <c r="F2497" s="31" t="n">
        <v>85.3</v>
      </c>
      <c r="G2497" s="31" t="n">
        <v>89</v>
      </c>
      <c r="H2497" s="2" t="s">
        <v>671</v>
      </c>
    </row>
    <row r="2498" customFormat="false" ht="15" hidden="false" customHeight="false" outlineLevel="0" collapsed="false">
      <c r="A2498" s="2" t="s">
        <v>1028</v>
      </c>
      <c r="B2498" s="2" t="s">
        <v>46</v>
      </c>
      <c r="C2498" s="2" t="s">
        <v>4086</v>
      </c>
      <c r="D2498" s="11" t="n">
        <v>205320</v>
      </c>
      <c r="E2498" s="31" t="n">
        <v>10.2</v>
      </c>
      <c r="F2498" s="31" t="n">
        <v>95.5</v>
      </c>
      <c r="G2498" s="31" t="n">
        <v>65.6</v>
      </c>
      <c r="H2498" s="2" t="s">
        <v>671</v>
      </c>
    </row>
    <row r="2499" customFormat="false" ht="15" hidden="false" customHeight="false" outlineLevel="0" collapsed="false">
      <c r="A2499" s="2" t="s">
        <v>1028</v>
      </c>
      <c r="B2499" s="2" t="s">
        <v>46</v>
      </c>
      <c r="C2499" s="2" t="s">
        <v>4087</v>
      </c>
      <c r="D2499" s="2"/>
      <c r="E2499" s="2"/>
      <c r="F2499" s="2"/>
      <c r="G2499" s="2"/>
      <c r="H2499" s="2" t="s">
        <v>668</v>
      </c>
    </row>
    <row r="2500" customFormat="false" ht="15" hidden="false" customHeight="false" outlineLevel="0" collapsed="false">
      <c r="A2500" s="2" t="s">
        <v>1028</v>
      </c>
      <c r="B2500" s="2" t="s">
        <v>47</v>
      </c>
      <c r="C2500" s="2" t="s">
        <v>4085</v>
      </c>
      <c r="D2500" s="11" t="n">
        <v>92034</v>
      </c>
      <c r="E2500" s="31" t="n">
        <v>59.2</v>
      </c>
      <c r="F2500" s="31" t="n">
        <v>89.9</v>
      </c>
      <c r="G2500" s="31" t="n">
        <v>40</v>
      </c>
      <c r="H2500" s="2" t="s">
        <v>671</v>
      </c>
    </row>
    <row r="2501" customFormat="false" ht="15" hidden="false" customHeight="false" outlineLevel="0" collapsed="false">
      <c r="A2501" s="2" t="s">
        <v>1028</v>
      </c>
      <c r="B2501" s="2" t="s">
        <v>47</v>
      </c>
      <c r="C2501" s="2" t="s">
        <v>4086</v>
      </c>
      <c r="D2501" s="11" t="n">
        <v>98372</v>
      </c>
      <c r="E2501" s="31" t="n">
        <v>62.4</v>
      </c>
      <c r="F2501" s="31" t="n">
        <v>93.2</v>
      </c>
      <c r="G2501" s="31" t="n">
        <v>22</v>
      </c>
      <c r="H2501" s="2" t="s">
        <v>671</v>
      </c>
    </row>
    <row r="2502" customFormat="false" ht="15" hidden="false" customHeight="false" outlineLevel="0" collapsed="false">
      <c r="A2502" s="2" t="s">
        <v>1028</v>
      </c>
      <c r="B2502" s="2" t="s">
        <v>47</v>
      </c>
      <c r="C2502" s="2" t="s">
        <v>4087</v>
      </c>
      <c r="D2502" s="11" t="n">
        <v>105590</v>
      </c>
      <c r="E2502" s="31" t="n">
        <v>19.8</v>
      </c>
      <c r="F2502" s="31" t="n">
        <v>86.1</v>
      </c>
      <c r="G2502" s="31" t="n">
        <v>36.6</v>
      </c>
      <c r="H2502" s="2" t="s">
        <v>671</v>
      </c>
    </row>
    <row r="2503" customFormat="false" ht="15" hidden="false" customHeight="false" outlineLevel="0" collapsed="false">
      <c r="A2503" s="2" t="s">
        <v>1705</v>
      </c>
      <c r="B2503" s="2" t="s">
        <v>4104</v>
      </c>
      <c r="C2503" s="2" t="s">
        <v>4085</v>
      </c>
      <c r="D2503" s="2"/>
      <c r="E2503" s="31" t="n">
        <v>60.4</v>
      </c>
      <c r="F2503" s="31" t="n">
        <v>34.2</v>
      </c>
      <c r="G2503" s="31" t="n">
        <v>36.3</v>
      </c>
      <c r="H2503" s="2" t="s">
        <v>671</v>
      </c>
    </row>
    <row r="2504" customFormat="false" ht="15" hidden="false" customHeight="false" outlineLevel="0" collapsed="false">
      <c r="A2504" s="2" t="s">
        <v>1705</v>
      </c>
      <c r="B2504" s="2" t="s">
        <v>4104</v>
      </c>
      <c r="C2504" s="2" t="s">
        <v>4086</v>
      </c>
      <c r="D2504" s="2"/>
      <c r="E2504" s="31" t="n">
        <v>68.4</v>
      </c>
      <c r="F2504" s="31" t="n">
        <v>34</v>
      </c>
      <c r="G2504" s="31" t="n">
        <v>43.4</v>
      </c>
      <c r="H2504" s="2" t="s">
        <v>668</v>
      </c>
    </row>
    <row r="2505" customFormat="false" ht="15" hidden="false" customHeight="false" outlineLevel="0" collapsed="false">
      <c r="A2505" s="2" t="s">
        <v>1705</v>
      </c>
      <c r="B2505" s="2" t="s">
        <v>4104</v>
      </c>
      <c r="C2505" s="2" t="s">
        <v>4087</v>
      </c>
      <c r="D2505" s="2"/>
      <c r="E2505" s="31" t="n">
        <v>42.2</v>
      </c>
      <c r="F2505" s="31" t="n">
        <v>50.9</v>
      </c>
      <c r="G2505" s="31" t="n">
        <v>41</v>
      </c>
      <c r="H2505" s="2" t="s">
        <v>668</v>
      </c>
    </row>
    <row r="2506" customFormat="false" ht="15" hidden="false" customHeight="false" outlineLevel="0" collapsed="false">
      <c r="A2506" s="2" t="s">
        <v>1705</v>
      </c>
      <c r="B2506" s="2" t="s">
        <v>45</v>
      </c>
      <c r="C2506" s="2" t="s">
        <v>4085</v>
      </c>
      <c r="D2506" s="11" t="n">
        <v>48775</v>
      </c>
      <c r="E2506" s="31" t="n">
        <v>86.2</v>
      </c>
      <c r="F2506" s="31" t="n">
        <v>52.2</v>
      </c>
      <c r="G2506" s="31" t="n">
        <v>84.6</v>
      </c>
      <c r="H2506" s="2" t="s">
        <v>671</v>
      </c>
    </row>
    <row r="2507" customFormat="false" ht="15" hidden="false" customHeight="false" outlineLevel="0" collapsed="false">
      <c r="A2507" s="2" t="s">
        <v>1705</v>
      </c>
      <c r="B2507" s="2" t="s">
        <v>45</v>
      </c>
      <c r="C2507" s="2" t="s">
        <v>4086</v>
      </c>
      <c r="D2507" s="2"/>
      <c r="E2507" s="2"/>
      <c r="F2507" s="2"/>
      <c r="G2507" s="31" t="n">
        <v>71.1</v>
      </c>
      <c r="H2507" s="2" t="s">
        <v>668</v>
      </c>
    </row>
    <row r="2508" customFormat="false" ht="15" hidden="false" customHeight="false" outlineLevel="0" collapsed="false">
      <c r="A2508" s="2" t="s">
        <v>1705</v>
      </c>
      <c r="B2508" s="2" t="s">
        <v>45</v>
      </c>
      <c r="C2508" s="2" t="s">
        <v>4087</v>
      </c>
      <c r="D2508" s="11" t="n">
        <v>53350</v>
      </c>
      <c r="E2508" s="2"/>
      <c r="F2508" s="31" t="n">
        <v>61.1</v>
      </c>
      <c r="G2508" s="31" t="n">
        <v>78.7</v>
      </c>
      <c r="H2508" s="2" t="s">
        <v>668</v>
      </c>
    </row>
    <row r="2509" customFormat="false" ht="15" hidden="false" customHeight="false" outlineLevel="0" collapsed="false">
      <c r="A2509" s="2" t="s">
        <v>1705</v>
      </c>
      <c r="B2509" s="2" t="s">
        <v>46</v>
      </c>
      <c r="C2509" s="2" t="s">
        <v>4085</v>
      </c>
      <c r="D2509" s="11" t="n">
        <v>22730</v>
      </c>
      <c r="E2509" s="31" t="n">
        <v>54.8</v>
      </c>
      <c r="F2509" s="31" t="n">
        <v>33</v>
      </c>
      <c r="G2509" s="31" t="n">
        <v>5.9</v>
      </c>
      <c r="H2509" s="2" t="s">
        <v>671</v>
      </c>
    </row>
    <row r="2510" customFormat="false" ht="15" hidden="false" customHeight="false" outlineLevel="0" collapsed="false">
      <c r="A2510" s="2" t="s">
        <v>1705</v>
      </c>
      <c r="B2510" s="2" t="s">
        <v>46</v>
      </c>
      <c r="C2510" s="2" t="s">
        <v>4086</v>
      </c>
      <c r="D2510" s="11" t="n">
        <v>24880</v>
      </c>
      <c r="E2510" s="31" t="n">
        <v>65.8</v>
      </c>
      <c r="F2510" s="31" t="n">
        <v>58.9</v>
      </c>
      <c r="G2510" s="31" t="n">
        <v>7.9</v>
      </c>
      <c r="H2510" s="2" t="s">
        <v>671</v>
      </c>
    </row>
    <row r="2511" customFormat="false" ht="15" hidden="false" customHeight="false" outlineLevel="0" collapsed="false">
      <c r="A2511" s="2" t="s">
        <v>1705</v>
      </c>
      <c r="B2511" s="2" t="s">
        <v>46</v>
      </c>
      <c r="C2511" s="2" t="s">
        <v>4087</v>
      </c>
      <c r="D2511" s="11" t="n">
        <v>25060</v>
      </c>
      <c r="E2511" s="31" t="n">
        <v>44.6</v>
      </c>
      <c r="F2511" s="31" t="n">
        <v>78.4</v>
      </c>
      <c r="G2511" s="31" t="n">
        <v>10.9</v>
      </c>
      <c r="H2511" s="2" t="s">
        <v>671</v>
      </c>
    </row>
    <row r="2512" customFormat="false" ht="15" hidden="false" customHeight="false" outlineLevel="0" collapsed="false">
      <c r="A2512" s="2" t="s">
        <v>1705</v>
      </c>
      <c r="B2512" s="2" t="s">
        <v>47</v>
      </c>
      <c r="C2512" s="2" t="s">
        <v>4085</v>
      </c>
      <c r="D2512" s="11" t="n">
        <v>17096</v>
      </c>
      <c r="E2512" s="31" t="n">
        <v>40.1</v>
      </c>
      <c r="F2512" s="31" t="n">
        <v>17.3</v>
      </c>
      <c r="G2512" s="31" t="n">
        <v>18.3</v>
      </c>
      <c r="H2512" s="2" t="s">
        <v>671</v>
      </c>
    </row>
    <row r="2513" customFormat="false" ht="15" hidden="false" customHeight="false" outlineLevel="0" collapsed="false">
      <c r="A2513" s="2" t="s">
        <v>1705</v>
      </c>
      <c r="B2513" s="2" t="s">
        <v>47</v>
      </c>
      <c r="C2513" s="2" t="s">
        <v>4086</v>
      </c>
      <c r="D2513" s="11" t="n">
        <v>17630</v>
      </c>
      <c r="E2513" s="31" t="n">
        <v>70.9</v>
      </c>
      <c r="F2513" s="31" t="n">
        <v>9.1</v>
      </c>
      <c r="G2513" s="31" t="n">
        <v>51.1</v>
      </c>
      <c r="H2513" s="2" t="s">
        <v>671</v>
      </c>
    </row>
    <row r="2514" customFormat="false" ht="15" hidden="false" customHeight="false" outlineLevel="0" collapsed="false">
      <c r="A2514" s="2" t="s">
        <v>1705</v>
      </c>
      <c r="B2514" s="2" t="s">
        <v>47</v>
      </c>
      <c r="C2514" s="2" t="s">
        <v>4087</v>
      </c>
      <c r="D2514" s="11" t="n">
        <v>18118</v>
      </c>
      <c r="E2514" s="31" t="n">
        <v>39.9</v>
      </c>
      <c r="F2514" s="31" t="n">
        <v>13.1</v>
      </c>
      <c r="G2514" s="31" t="n">
        <v>33.5</v>
      </c>
      <c r="H2514" s="2" t="s">
        <v>671</v>
      </c>
    </row>
    <row r="2515" customFormat="false" ht="15" hidden="false" customHeight="false" outlineLevel="0" collapsed="false">
      <c r="A2515" s="2" t="s">
        <v>1793</v>
      </c>
      <c r="B2515" s="2" t="s">
        <v>4104</v>
      </c>
      <c r="C2515" s="2" t="s">
        <v>4085</v>
      </c>
      <c r="D2515" s="2"/>
      <c r="E2515" s="31" t="n">
        <v>29.3</v>
      </c>
      <c r="F2515" s="31" t="n">
        <v>37.5</v>
      </c>
      <c r="G2515" s="31" t="n">
        <v>59.8</v>
      </c>
      <c r="H2515" s="2" t="s">
        <v>671</v>
      </c>
    </row>
    <row r="2516" customFormat="false" ht="15" hidden="false" customHeight="false" outlineLevel="0" collapsed="false">
      <c r="A2516" s="2" t="s">
        <v>1793</v>
      </c>
      <c r="B2516" s="2" t="s">
        <v>4104</v>
      </c>
      <c r="C2516" s="2" t="s">
        <v>4086</v>
      </c>
      <c r="D2516" s="2"/>
      <c r="E2516" s="31" t="n">
        <v>26.6</v>
      </c>
      <c r="F2516" s="31" t="n">
        <v>56.6</v>
      </c>
      <c r="G2516" s="31" t="n">
        <v>57</v>
      </c>
      <c r="H2516" s="2" t="s">
        <v>671</v>
      </c>
    </row>
    <row r="2517" customFormat="false" ht="15" hidden="false" customHeight="false" outlineLevel="0" collapsed="false">
      <c r="A2517" s="2" t="s">
        <v>1793</v>
      </c>
      <c r="B2517" s="2" t="s">
        <v>4104</v>
      </c>
      <c r="C2517" s="2" t="s">
        <v>4087</v>
      </c>
      <c r="D2517" s="2"/>
      <c r="E2517" s="31" t="n">
        <v>18.4</v>
      </c>
      <c r="F2517" s="31" t="n">
        <v>32</v>
      </c>
      <c r="G2517" s="31" t="n">
        <v>53.7</v>
      </c>
      <c r="H2517" s="2" t="s">
        <v>668</v>
      </c>
    </row>
    <row r="2518" customFormat="false" ht="15" hidden="false" customHeight="false" outlineLevel="0" collapsed="false">
      <c r="A2518" s="2" t="s">
        <v>1793</v>
      </c>
      <c r="B2518" s="2" t="s">
        <v>45</v>
      </c>
      <c r="C2518" s="2" t="s">
        <v>4085</v>
      </c>
      <c r="D2518" s="11" t="n">
        <v>23620</v>
      </c>
      <c r="E2518" s="31" t="n">
        <v>48.2</v>
      </c>
      <c r="F2518" s="31" t="n">
        <v>63.5</v>
      </c>
      <c r="G2518" s="31" t="n">
        <v>70.2</v>
      </c>
      <c r="H2518" s="2" t="s">
        <v>671</v>
      </c>
    </row>
    <row r="2519" customFormat="false" ht="15" hidden="false" customHeight="false" outlineLevel="0" collapsed="false">
      <c r="A2519" s="2" t="s">
        <v>1793</v>
      </c>
      <c r="B2519" s="2" t="s">
        <v>45</v>
      </c>
      <c r="C2519" s="2" t="s">
        <v>4086</v>
      </c>
      <c r="D2519" s="11" t="n">
        <v>24850</v>
      </c>
      <c r="E2519" s="31" t="n">
        <v>46.3</v>
      </c>
      <c r="F2519" s="31" t="n">
        <v>58.4</v>
      </c>
      <c r="G2519" s="31" t="n">
        <v>69.9</v>
      </c>
      <c r="H2519" s="2" t="s">
        <v>671</v>
      </c>
    </row>
    <row r="2520" customFormat="false" ht="15" hidden="false" customHeight="false" outlineLevel="0" collapsed="false">
      <c r="A2520" s="2" t="s">
        <v>1793</v>
      </c>
      <c r="B2520" s="2" t="s">
        <v>45</v>
      </c>
      <c r="C2520" s="2" t="s">
        <v>4087</v>
      </c>
      <c r="D2520" s="2"/>
      <c r="E2520" s="2"/>
      <c r="F2520" s="2"/>
      <c r="G2520" s="2"/>
      <c r="H2520" s="2" t="s">
        <v>668</v>
      </c>
    </row>
    <row r="2521" customFormat="false" ht="15" hidden="false" customHeight="false" outlineLevel="0" collapsed="false">
      <c r="A2521" s="2" t="s">
        <v>1793</v>
      </c>
      <c r="B2521" s="2" t="s">
        <v>46</v>
      </c>
      <c r="C2521" s="2" t="s">
        <v>4085</v>
      </c>
      <c r="D2521" s="11" t="n">
        <v>14236</v>
      </c>
      <c r="E2521" s="31" t="n">
        <v>36.4</v>
      </c>
      <c r="F2521" s="31" t="n">
        <v>10.5</v>
      </c>
      <c r="G2521" s="31" t="n">
        <v>43.2</v>
      </c>
      <c r="H2521" s="2" t="s">
        <v>671</v>
      </c>
    </row>
    <row r="2522" customFormat="false" ht="15" hidden="false" customHeight="false" outlineLevel="0" collapsed="false">
      <c r="A2522" s="2" t="s">
        <v>1793</v>
      </c>
      <c r="B2522" s="2" t="s">
        <v>46</v>
      </c>
      <c r="C2522" s="2" t="s">
        <v>4086</v>
      </c>
      <c r="D2522" s="11" t="n">
        <v>14812</v>
      </c>
      <c r="E2522" s="31" t="n">
        <v>28.7</v>
      </c>
      <c r="F2522" s="31" t="n">
        <v>28.4</v>
      </c>
      <c r="G2522" s="31" t="n">
        <v>53.9</v>
      </c>
      <c r="H2522" s="2" t="s">
        <v>671</v>
      </c>
    </row>
    <row r="2523" customFormat="false" ht="15" hidden="false" customHeight="false" outlineLevel="0" collapsed="false">
      <c r="A2523" s="2" t="s">
        <v>1793</v>
      </c>
      <c r="B2523" s="2" t="s">
        <v>46</v>
      </c>
      <c r="C2523" s="2" t="s">
        <v>4087</v>
      </c>
      <c r="D2523" s="11" t="n">
        <v>14860</v>
      </c>
      <c r="E2523" s="31" t="n">
        <v>30.9</v>
      </c>
      <c r="F2523" s="31" t="n">
        <v>25.3</v>
      </c>
      <c r="G2523" s="31" t="n">
        <v>54.1</v>
      </c>
      <c r="H2523" s="2" t="s">
        <v>671</v>
      </c>
    </row>
    <row r="2524" customFormat="false" ht="15" hidden="false" customHeight="false" outlineLevel="0" collapsed="false">
      <c r="A2524" s="2" t="s">
        <v>1793</v>
      </c>
      <c r="B2524" s="2" t="s">
        <v>47</v>
      </c>
      <c r="C2524" s="2" t="s">
        <v>4085</v>
      </c>
      <c r="D2524" s="11" t="n">
        <v>92437</v>
      </c>
      <c r="E2524" s="31" t="n">
        <v>3.3</v>
      </c>
      <c r="F2524" s="31" t="n">
        <v>38.6</v>
      </c>
      <c r="G2524" s="31" t="n">
        <v>66.1</v>
      </c>
      <c r="H2524" s="2" t="s">
        <v>671</v>
      </c>
    </row>
    <row r="2525" customFormat="false" ht="15" hidden="false" customHeight="false" outlineLevel="0" collapsed="false">
      <c r="A2525" s="2" t="s">
        <v>1793</v>
      </c>
      <c r="B2525" s="2" t="s">
        <v>47</v>
      </c>
      <c r="C2525" s="2" t="s">
        <v>4086</v>
      </c>
      <c r="D2525" s="11" t="n">
        <v>94798</v>
      </c>
      <c r="E2525" s="31" t="n">
        <v>4.8</v>
      </c>
      <c r="F2525" s="31" t="n">
        <v>83.1</v>
      </c>
      <c r="G2525" s="31" t="n">
        <v>47.1</v>
      </c>
      <c r="H2525" s="2" t="s">
        <v>671</v>
      </c>
    </row>
    <row r="2526" customFormat="false" ht="15" hidden="false" customHeight="false" outlineLevel="0" collapsed="false">
      <c r="A2526" s="2" t="s">
        <v>1793</v>
      </c>
      <c r="B2526" s="2" t="s">
        <v>47</v>
      </c>
      <c r="C2526" s="2" t="s">
        <v>4087</v>
      </c>
      <c r="D2526" s="11" t="n">
        <v>98144</v>
      </c>
      <c r="E2526" s="31" t="n">
        <v>5.9</v>
      </c>
      <c r="F2526" s="31" t="n">
        <v>38.7</v>
      </c>
      <c r="G2526" s="31" t="n">
        <v>53.3</v>
      </c>
      <c r="H2526" s="2" t="s">
        <v>671</v>
      </c>
    </row>
    <row r="2527" customFormat="false" ht="15" hidden="false" customHeight="false" outlineLevel="0" collapsed="false">
      <c r="A2527" s="2" t="s">
        <v>880</v>
      </c>
      <c r="B2527" s="2" t="s">
        <v>4104</v>
      </c>
      <c r="C2527" s="2" t="s">
        <v>4085</v>
      </c>
      <c r="D2527" s="2"/>
      <c r="E2527" s="31" t="n">
        <v>84.2</v>
      </c>
      <c r="F2527" s="31" t="n">
        <v>34.1</v>
      </c>
      <c r="G2527" s="31" t="n">
        <v>62.3</v>
      </c>
      <c r="H2527" s="2" t="s">
        <v>668</v>
      </c>
    </row>
    <row r="2528" customFormat="false" ht="15" hidden="false" customHeight="false" outlineLevel="0" collapsed="false">
      <c r="A2528" s="2" t="s">
        <v>880</v>
      </c>
      <c r="B2528" s="2" t="s">
        <v>4104</v>
      </c>
      <c r="C2528" s="2" t="s">
        <v>4086</v>
      </c>
      <c r="D2528" s="2"/>
      <c r="E2528" s="31" t="n">
        <v>53.9</v>
      </c>
      <c r="F2528" s="31" t="n">
        <v>43.7</v>
      </c>
      <c r="G2528" s="31" t="n">
        <v>61.8</v>
      </c>
      <c r="H2528" s="2" t="s">
        <v>671</v>
      </c>
    </row>
    <row r="2529" customFormat="false" ht="15" hidden="false" customHeight="false" outlineLevel="0" collapsed="false">
      <c r="A2529" s="2" t="s">
        <v>880</v>
      </c>
      <c r="B2529" s="2" t="s">
        <v>4104</v>
      </c>
      <c r="C2529" s="2" t="s">
        <v>4087</v>
      </c>
      <c r="D2529" s="2"/>
      <c r="E2529" s="31" t="n">
        <v>48.9</v>
      </c>
      <c r="F2529" s="31" t="n">
        <v>41.4</v>
      </c>
      <c r="G2529" s="31" t="n">
        <v>65.2</v>
      </c>
      <c r="H2529" s="2" t="s">
        <v>668</v>
      </c>
    </row>
    <row r="2530" customFormat="false" ht="15" hidden="false" customHeight="false" outlineLevel="0" collapsed="false">
      <c r="A2530" s="2" t="s">
        <v>880</v>
      </c>
      <c r="B2530" s="2" t="s">
        <v>45</v>
      </c>
      <c r="C2530" s="2" t="s">
        <v>4085</v>
      </c>
      <c r="D2530" s="11" t="n">
        <v>168180</v>
      </c>
      <c r="E2530" s="31" t="n">
        <v>82.1</v>
      </c>
      <c r="F2530" s="31" t="n">
        <v>26</v>
      </c>
      <c r="G2530" s="31" t="n">
        <v>34.9</v>
      </c>
      <c r="H2530" s="2" t="s">
        <v>671</v>
      </c>
    </row>
    <row r="2531" customFormat="false" ht="15" hidden="false" customHeight="false" outlineLevel="0" collapsed="false">
      <c r="A2531" s="2" t="s">
        <v>880</v>
      </c>
      <c r="B2531" s="2" t="s">
        <v>45</v>
      </c>
      <c r="C2531" s="2" t="s">
        <v>4086</v>
      </c>
      <c r="D2531" s="11" t="n">
        <v>166920</v>
      </c>
      <c r="E2531" s="31" t="n">
        <v>65.8</v>
      </c>
      <c r="F2531" s="31" t="n">
        <v>21.4</v>
      </c>
      <c r="G2531" s="31" t="n">
        <v>5.6</v>
      </c>
      <c r="H2531" s="2" t="s">
        <v>671</v>
      </c>
    </row>
    <row r="2532" customFormat="false" ht="15" hidden="false" customHeight="false" outlineLevel="0" collapsed="false">
      <c r="A2532" s="2" t="s">
        <v>880</v>
      </c>
      <c r="B2532" s="2" t="s">
        <v>45</v>
      </c>
      <c r="C2532" s="2" t="s">
        <v>4087</v>
      </c>
      <c r="D2532" s="11" t="n">
        <v>169730</v>
      </c>
      <c r="E2532" s="31" t="n">
        <v>72</v>
      </c>
      <c r="F2532" s="31" t="n">
        <v>37</v>
      </c>
      <c r="G2532" s="31" t="n">
        <v>34</v>
      </c>
      <c r="H2532" s="2" t="s">
        <v>671</v>
      </c>
    </row>
    <row r="2533" customFormat="false" ht="15" hidden="false" customHeight="false" outlineLevel="0" collapsed="false">
      <c r="A2533" s="2" t="s">
        <v>880</v>
      </c>
      <c r="B2533" s="2" t="s">
        <v>46</v>
      </c>
      <c r="C2533" s="2" t="s">
        <v>4085</v>
      </c>
      <c r="D2533" s="2"/>
      <c r="E2533" s="2"/>
      <c r="F2533" s="2"/>
      <c r="G2533" s="31" t="n">
        <v>65.1</v>
      </c>
      <c r="H2533" s="2" t="s">
        <v>668</v>
      </c>
    </row>
    <row r="2534" customFormat="false" ht="15" hidden="false" customHeight="false" outlineLevel="0" collapsed="false">
      <c r="A2534" s="2" t="s">
        <v>880</v>
      </c>
      <c r="B2534" s="2" t="s">
        <v>46</v>
      </c>
      <c r="C2534" s="2" t="s">
        <v>4086</v>
      </c>
      <c r="D2534" s="11" t="n">
        <v>61860</v>
      </c>
      <c r="E2534" s="31" t="n">
        <v>50.9</v>
      </c>
      <c r="F2534" s="31" t="n">
        <v>70.9</v>
      </c>
      <c r="G2534" s="31" t="n">
        <v>90.7</v>
      </c>
      <c r="H2534" s="2" t="s">
        <v>671</v>
      </c>
    </row>
    <row r="2535" customFormat="false" ht="15" hidden="false" customHeight="false" outlineLevel="0" collapsed="false">
      <c r="A2535" s="2" t="s">
        <v>880</v>
      </c>
      <c r="B2535" s="2" t="s">
        <v>46</v>
      </c>
      <c r="C2535" s="2" t="s">
        <v>4087</v>
      </c>
      <c r="D2535" s="11" t="n">
        <v>62810</v>
      </c>
      <c r="E2535" s="31" t="n">
        <v>25.8</v>
      </c>
      <c r="F2535" s="31" t="n">
        <v>49.8</v>
      </c>
      <c r="G2535" s="31" t="n">
        <v>65.5</v>
      </c>
      <c r="H2535" s="2" t="s">
        <v>671</v>
      </c>
    </row>
    <row r="2536" customFormat="false" ht="15" hidden="false" customHeight="false" outlineLevel="0" collapsed="false">
      <c r="A2536" s="2" t="s">
        <v>880</v>
      </c>
      <c r="B2536" s="2" t="s">
        <v>47</v>
      </c>
      <c r="C2536" s="2" t="s">
        <v>4085</v>
      </c>
      <c r="D2536" s="11" t="n">
        <v>9045</v>
      </c>
      <c r="E2536" s="31" t="n">
        <v>86.3</v>
      </c>
      <c r="F2536" s="31" t="n">
        <v>42.2</v>
      </c>
      <c r="G2536" s="31" t="n">
        <v>86.9</v>
      </c>
      <c r="H2536" s="2" t="s">
        <v>671</v>
      </c>
    </row>
    <row r="2537" customFormat="false" ht="15" hidden="false" customHeight="false" outlineLevel="0" collapsed="false">
      <c r="A2537" s="2" t="s">
        <v>880</v>
      </c>
      <c r="B2537" s="2" t="s">
        <v>47</v>
      </c>
      <c r="C2537" s="2" t="s">
        <v>4086</v>
      </c>
      <c r="D2537" s="11" t="n">
        <v>9502</v>
      </c>
      <c r="E2537" s="31" t="n">
        <v>45.1</v>
      </c>
      <c r="F2537" s="31" t="n">
        <v>38.8</v>
      </c>
      <c r="G2537" s="31" t="n">
        <v>89.1</v>
      </c>
      <c r="H2537" s="2" t="s">
        <v>671</v>
      </c>
    </row>
    <row r="2538" customFormat="false" ht="15" hidden="false" customHeight="false" outlineLevel="0" collapsed="false">
      <c r="A2538" s="2" t="s">
        <v>880</v>
      </c>
      <c r="B2538" s="2" t="s">
        <v>47</v>
      </c>
      <c r="C2538" s="2" t="s">
        <v>4087</v>
      </c>
      <c r="D2538" s="11" t="n">
        <v>9706</v>
      </c>
      <c r="E2538" s="2"/>
      <c r="F2538" s="31" t="n">
        <v>37.3</v>
      </c>
      <c r="G2538" s="31" t="n">
        <v>96</v>
      </c>
      <c r="H2538" s="2" t="s">
        <v>668</v>
      </c>
    </row>
    <row r="2539" customFormat="false" ht="15" hidden="false" customHeight="false" outlineLevel="0" collapsed="false">
      <c r="A2539" s="2" t="s">
        <v>2851</v>
      </c>
      <c r="B2539" s="2" t="s">
        <v>4104</v>
      </c>
      <c r="C2539" s="2" t="s">
        <v>4087</v>
      </c>
      <c r="D2539" s="2"/>
      <c r="E2539" s="31" t="n">
        <v>19.2</v>
      </c>
      <c r="F2539" s="2"/>
      <c r="G2539" s="31" t="n">
        <v>32.9</v>
      </c>
      <c r="H2539" s="2" t="s">
        <v>668</v>
      </c>
    </row>
    <row r="2540" customFormat="false" ht="15" hidden="false" customHeight="false" outlineLevel="0" collapsed="false">
      <c r="A2540" s="2" t="s">
        <v>2851</v>
      </c>
      <c r="B2540" s="2" t="s">
        <v>46</v>
      </c>
      <c r="C2540" s="2" t="s">
        <v>4087</v>
      </c>
      <c r="D2540" s="11" t="n">
        <v>161800</v>
      </c>
      <c r="E2540" s="31" t="n">
        <v>19.2</v>
      </c>
      <c r="F2540" s="2"/>
      <c r="G2540" s="31" t="n">
        <v>32.9</v>
      </c>
      <c r="H2540" s="2" t="s">
        <v>668</v>
      </c>
    </row>
    <row r="2541" customFormat="false" ht="15" hidden="false" customHeight="false" outlineLevel="0" collapsed="false">
      <c r="A2541" s="2" t="s">
        <v>2853</v>
      </c>
      <c r="B2541" s="2" t="s">
        <v>4104</v>
      </c>
      <c r="C2541" s="2" t="s">
        <v>4085</v>
      </c>
      <c r="D2541" s="2"/>
      <c r="E2541" s="31" t="n">
        <v>66.3</v>
      </c>
      <c r="F2541" s="31" t="n">
        <v>55.5</v>
      </c>
      <c r="G2541" s="31" t="n">
        <v>67.1</v>
      </c>
      <c r="H2541" s="2" t="s">
        <v>671</v>
      </c>
    </row>
    <row r="2542" customFormat="false" ht="15" hidden="false" customHeight="false" outlineLevel="0" collapsed="false">
      <c r="A2542" s="2" t="s">
        <v>2853</v>
      </c>
      <c r="B2542" s="2" t="s">
        <v>4104</v>
      </c>
      <c r="C2542" s="2" t="s">
        <v>4086</v>
      </c>
      <c r="D2542" s="2"/>
      <c r="E2542" s="31" t="n">
        <v>63.5</v>
      </c>
      <c r="F2542" s="31" t="n">
        <v>80.7</v>
      </c>
      <c r="G2542" s="31" t="n">
        <v>65</v>
      </c>
      <c r="H2542" s="2" t="s">
        <v>671</v>
      </c>
    </row>
    <row r="2543" customFormat="false" ht="15" hidden="false" customHeight="false" outlineLevel="0" collapsed="false">
      <c r="A2543" s="2" t="s">
        <v>2853</v>
      </c>
      <c r="B2543" s="2" t="s">
        <v>4104</v>
      </c>
      <c r="C2543" s="2" t="s">
        <v>4087</v>
      </c>
      <c r="D2543" s="2"/>
      <c r="E2543" s="2"/>
      <c r="F2543" s="2"/>
      <c r="G2543" s="2"/>
      <c r="H2543" s="2" t="s">
        <v>668</v>
      </c>
    </row>
    <row r="2544" customFormat="false" ht="15" hidden="false" customHeight="false" outlineLevel="0" collapsed="false">
      <c r="A2544" s="2" t="s">
        <v>2853</v>
      </c>
      <c r="B2544" s="2" t="s">
        <v>45</v>
      </c>
      <c r="C2544" s="2" t="s">
        <v>4085</v>
      </c>
      <c r="D2544" s="11" t="n">
        <v>453754</v>
      </c>
      <c r="E2544" s="31" t="n">
        <v>66.3</v>
      </c>
      <c r="F2544" s="31" t="n">
        <v>55.5</v>
      </c>
      <c r="G2544" s="31" t="n">
        <v>67.1</v>
      </c>
      <c r="H2544" s="2" t="s">
        <v>671</v>
      </c>
    </row>
    <row r="2545" customFormat="false" ht="15" hidden="false" customHeight="false" outlineLevel="0" collapsed="false">
      <c r="A2545" s="2" t="s">
        <v>2853</v>
      </c>
      <c r="B2545" s="2" t="s">
        <v>45</v>
      </c>
      <c r="C2545" s="2" t="s">
        <v>4086</v>
      </c>
      <c r="D2545" s="11" t="n">
        <v>487480</v>
      </c>
      <c r="E2545" s="31" t="n">
        <v>63.5</v>
      </c>
      <c r="F2545" s="31" t="n">
        <v>80.7</v>
      </c>
      <c r="G2545" s="31" t="n">
        <v>65</v>
      </c>
      <c r="H2545" s="2" t="s">
        <v>671</v>
      </c>
    </row>
    <row r="2546" customFormat="false" ht="15" hidden="false" customHeight="false" outlineLevel="0" collapsed="false">
      <c r="A2546" s="2" t="s">
        <v>2853</v>
      </c>
      <c r="B2546" s="2" t="s">
        <v>45</v>
      </c>
      <c r="C2546" s="2" t="s">
        <v>4087</v>
      </c>
      <c r="D2546" s="2"/>
      <c r="E2546" s="2"/>
      <c r="F2546" s="2"/>
      <c r="G2546" s="2"/>
      <c r="H2546" s="2" t="s">
        <v>668</v>
      </c>
    </row>
    <row r="2547" customFormat="false" ht="15" hidden="false" customHeight="false" outlineLevel="0" collapsed="false">
      <c r="A2547" s="2" t="s">
        <v>1448</v>
      </c>
      <c r="B2547" s="2" t="s">
        <v>4104</v>
      </c>
      <c r="C2547" s="2" t="s">
        <v>4085</v>
      </c>
      <c r="D2547" s="2"/>
      <c r="E2547" s="31" t="n">
        <v>52</v>
      </c>
      <c r="F2547" s="31" t="n">
        <v>78.6</v>
      </c>
      <c r="G2547" s="31" t="n">
        <v>38.6</v>
      </c>
      <c r="H2547" s="2" t="s">
        <v>668</v>
      </c>
    </row>
    <row r="2548" customFormat="false" ht="15" hidden="false" customHeight="false" outlineLevel="0" collapsed="false">
      <c r="A2548" s="2" t="s">
        <v>1448</v>
      </c>
      <c r="B2548" s="2" t="s">
        <v>4104</v>
      </c>
      <c r="C2548" s="2" t="s">
        <v>4086</v>
      </c>
      <c r="D2548" s="2"/>
      <c r="E2548" s="31" t="n">
        <v>64.7</v>
      </c>
      <c r="F2548" s="31" t="n">
        <v>60.2</v>
      </c>
      <c r="G2548" s="31" t="n">
        <v>75.8</v>
      </c>
      <c r="H2548" s="2" t="s">
        <v>668</v>
      </c>
    </row>
    <row r="2549" customFormat="false" ht="15" hidden="false" customHeight="false" outlineLevel="0" collapsed="false">
      <c r="A2549" s="2" t="s">
        <v>1448</v>
      </c>
      <c r="B2549" s="2" t="s">
        <v>4104</v>
      </c>
      <c r="C2549" s="2" t="s">
        <v>4087</v>
      </c>
      <c r="D2549" s="2"/>
      <c r="E2549" s="31" t="n">
        <v>54.7</v>
      </c>
      <c r="F2549" s="31" t="n">
        <v>71.4</v>
      </c>
      <c r="G2549" s="31" t="n">
        <v>54.5</v>
      </c>
      <c r="H2549" s="2" t="s">
        <v>668</v>
      </c>
    </row>
    <row r="2550" customFormat="false" ht="15" hidden="false" customHeight="false" outlineLevel="0" collapsed="false">
      <c r="A2550" s="2" t="s">
        <v>1448</v>
      </c>
      <c r="B2550" s="2" t="s">
        <v>45</v>
      </c>
      <c r="C2550" s="2" t="s">
        <v>4085</v>
      </c>
      <c r="D2550" s="11" t="n">
        <v>32196</v>
      </c>
      <c r="E2550" s="31" t="n">
        <v>84.5</v>
      </c>
      <c r="F2550" s="31" t="n">
        <v>88.3</v>
      </c>
      <c r="G2550" s="31" t="n">
        <v>11.5</v>
      </c>
      <c r="H2550" s="2" t="s">
        <v>671</v>
      </c>
    </row>
    <row r="2551" customFormat="false" ht="15" hidden="false" customHeight="false" outlineLevel="0" collapsed="false">
      <c r="A2551" s="2" t="s">
        <v>1448</v>
      </c>
      <c r="B2551" s="2" t="s">
        <v>45</v>
      </c>
      <c r="C2551" s="2" t="s">
        <v>4086</v>
      </c>
      <c r="D2551" s="11" t="n">
        <v>34310</v>
      </c>
      <c r="E2551" s="31" t="n">
        <v>92.8</v>
      </c>
      <c r="F2551" s="31" t="n">
        <v>70.8</v>
      </c>
      <c r="G2551" s="2"/>
      <c r="H2551" s="2" t="s">
        <v>668</v>
      </c>
    </row>
    <row r="2552" customFormat="false" ht="15" hidden="false" customHeight="false" outlineLevel="0" collapsed="false">
      <c r="A2552" s="2" t="s">
        <v>1448</v>
      </c>
      <c r="B2552" s="2" t="s">
        <v>45</v>
      </c>
      <c r="C2552" s="2" t="s">
        <v>4087</v>
      </c>
      <c r="D2552" s="11" t="n">
        <v>36300</v>
      </c>
      <c r="E2552" s="2"/>
      <c r="F2552" s="31" t="n">
        <v>79.4</v>
      </c>
      <c r="G2552" s="31" t="n">
        <v>18.8</v>
      </c>
      <c r="H2552" s="2" t="s">
        <v>668</v>
      </c>
    </row>
    <row r="2553" customFormat="false" ht="15" hidden="false" customHeight="false" outlineLevel="0" collapsed="false">
      <c r="A2553" s="2" t="s">
        <v>1448</v>
      </c>
      <c r="B2553" s="2" t="s">
        <v>46</v>
      </c>
      <c r="C2553" s="2" t="s">
        <v>4085</v>
      </c>
      <c r="D2553" s="2"/>
      <c r="E2553" s="2"/>
      <c r="F2553" s="2"/>
      <c r="G2553" s="2"/>
      <c r="H2553" s="2" t="s">
        <v>668</v>
      </c>
    </row>
    <row r="2554" customFormat="false" ht="15" hidden="false" customHeight="false" outlineLevel="0" collapsed="false">
      <c r="A2554" s="2" t="s">
        <v>1448</v>
      </c>
      <c r="B2554" s="2" t="s">
        <v>46</v>
      </c>
      <c r="C2554" s="2" t="s">
        <v>4086</v>
      </c>
      <c r="D2554" s="11" t="n">
        <v>135100</v>
      </c>
      <c r="E2554" s="31" t="n">
        <v>68.8</v>
      </c>
      <c r="F2554" s="31" t="n">
        <v>85.4</v>
      </c>
      <c r="G2554" s="31" t="n">
        <v>66.7</v>
      </c>
      <c r="H2554" s="2" t="s">
        <v>671</v>
      </c>
    </row>
    <row r="2555" customFormat="false" ht="15" hidden="false" customHeight="false" outlineLevel="0" collapsed="false">
      <c r="A2555" s="2" t="s">
        <v>1448</v>
      </c>
      <c r="B2555" s="2" t="s">
        <v>46</v>
      </c>
      <c r="C2555" s="2" t="s">
        <v>4087</v>
      </c>
      <c r="D2555" s="11" t="n">
        <v>140300</v>
      </c>
      <c r="E2555" s="31" t="n">
        <v>89.2</v>
      </c>
      <c r="F2555" s="31" t="n">
        <v>84.8</v>
      </c>
      <c r="G2555" s="31" t="n">
        <v>92.5</v>
      </c>
      <c r="H2555" s="2" t="s">
        <v>671</v>
      </c>
    </row>
    <row r="2556" customFormat="false" ht="15" hidden="false" customHeight="false" outlineLevel="0" collapsed="false">
      <c r="A2556" s="2" t="s">
        <v>1448</v>
      </c>
      <c r="B2556" s="2" t="s">
        <v>47</v>
      </c>
      <c r="C2556" s="2" t="s">
        <v>4085</v>
      </c>
      <c r="D2556" s="11" t="n">
        <v>44466</v>
      </c>
      <c r="E2556" s="31" t="n">
        <v>19.6</v>
      </c>
      <c r="F2556" s="31" t="n">
        <v>69</v>
      </c>
      <c r="G2556" s="31" t="n">
        <v>65.8</v>
      </c>
      <c r="H2556" s="2" t="s">
        <v>671</v>
      </c>
    </row>
    <row r="2557" customFormat="false" ht="15" hidden="false" customHeight="false" outlineLevel="0" collapsed="false">
      <c r="A2557" s="2" t="s">
        <v>1448</v>
      </c>
      <c r="B2557" s="2" t="s">
        <v>47</v>
      </c>
      <c r="C2557" s="2" t="s">
        <v>4086</v>
      </c>
      <c r="D2557" s="11" t="n">
        <v>43590</v>
      </c>
      <c r="E2557" s="31" t="n">
        <v>32.5</v>
      </c>
      <c r="F2557" s="31" t="n">
        <v>24.4</v>
      </c>
      <c r="G2557" s="31" t="n">
        <v>84.9</v>
      </c>
      <c r="H2557" s="2" t="s">
        <v>671</v>
      </c>
    </row>
    <row r="2558" customFormat="false" ht="15" hidden="false" customHeight="false" outlineLevel="0" collapsed="false">
      <c r="A2558" s="2" t="s">
        <v>1448</v>
      </c>
      <c r="B2558" s="2" t="s">
        <v>47</v>
      </c>
      <c r="C2558" s="2" t="s">
        <v>4087</v>
      </c>
      <c r="D2558" s="11" t="n">
        <v>45808</v>
      </c>
      <c r="E2558" s="31" t="n">
        <v>20.2</v>
      </c>
      <c r="F2558" s="31" t="n">
        <v>50</v>
      </c>
      <c r="G2558" s="31" t="n">
        <v>52.2</v>
      </c>
      <c r="H2558" s="2" t="s">
        <v>671</v>
      </c>
    </row>
    <row r="2559" customFormat="false" ht="15" hidden="false" customHeight="false" outlineLevel="0" collapsed="false">
      <c r="A2559" s="2" t="s">
        <v>2855</v>
      </c>
      <c r="B2559" s="2" t="s">
        <v>4104</v>
      </c>
      <c r="C2559" s="2" t="s">
        <v>4085</v>
      </c>
      <c r="D2559" s="2"/>
      <c r="E2559" s="31" t="n">
        <v>18.6</v>
      </c>
      <c r="F2559" s="31" t="n">
        <v>40.1</v>
      </c>
      <c r="G2559" s="2"/>
      <c r="H2559" s="2" t="s">
        <v>671</v>
      </c>
    </row>
    <row r="2560" customFormat="false" ht="15" hidden="false" customHeight="false" outlineLevel="0" collapsed="false">
      <c r="A2560" s="2" t="s">
        <v>2855</v>
      </c>
      <c r="B2560" s="2" t="s">
        <v>4104</v>
      </c>
      <c r="C2560" s="2" t="s">
        <v>4086</v>
      </c>
      <c r="D2560" s="2"/>
      <c r="E2560" s="31" t="n">
        <v>17.6</v>
      </c>
      <c r="F2560" s="31" t="n">
        <v>60.1</v>
      </c>
      <c r="G2560" s="2"/>
      <c r="H2560" s="2" t="s">
        <v>671</v>
      </c>
    </row>
    <row r="2561" customFormat="false" ht="15" hidden="false" customHeight="false" outlineLevel="0" collapsed="false">
      <c r="A2561" s="2" t="s">
        <v>2855</v>
      </c>
      <c r="B2561" s="2" t="s">
        <v>4104</v>
      </c>
      <c r="C2561" s="2" t="s">
        <v>4087</v>
      </c>
      <c r="D2561" s="2"/>
      <c r="E2561" s="2"/>
      <c r="F2561" s="2"/>
      <c r="G2561" s="2"/>
      <c r="H2561" s="2" t="s">
        <v>668</v>
      </c>
    </row>
    <row r="2562" customFormat="false" ht="15" hidden="false" customHeight="false" outlineLevel="0" collapsed="false">
      <c r="A2562" s="2" t="s">
        <v>2855</v>
      </c>
      <c r="B2562" s="2" t="s">
        <v>45</v>
      </c>
      <c r="C2562" s="2" t="s">
        <v>4085</v>
      </c>
      <c r="D2562" s="11" t="n">
        <v>34380</v>
      </c>
      <c r="E2562" s="31" t="n">
        <v>18.6</v>
      </c>
      <c r="F2562" s="31" t="n">
        <v>40.1</v>
      </c>
      <c r="G2562" s="2"/>
      <c r="H2562" s="2" t="s">
        <v>671</v>
      </c>
    </row>
    <row r="2563" customFormat="false" ht="15" hidden="false" customHeight="false" outlineLevel="0" collapsed="false">
      <c r="A2563" s="2" t="s">
        <v>2855</v>
      </c>
      <c r="B2563" s="2" t="s">
        <v>45</v>
      </c>
      <c r="C2563" s="2" t="s">
        <v>4086</v>
      </c>
      <c r="D2563" s="11" t="n">
        <v>34920</v>
      </c>
      <c r="E2563" s="31" t="n">
        <v>17.6</v>
      </c>
      <c r="F2563" s="31" t="n">
        <v>60.1</v>
      </c>
      <c r="G2563" s="2"/>
      <c r="H2563" s="2" t="s">
        <v>671</v>
      </c>
    </row>
    <row r="2564" customFormat="false" ht="15" hidden="false" customHeight="false" outlineLevel="0" collapsed="false">
      <c r="A2564" s="2" t="s">
        <v>2855</v>
      </c>
      <c r="B2564" s="2" t="s">
        <v>45</v>
      </c>
      <c r="C2564" s="2" t="s">
        <v>4087</v>
      </c>
      <c r="D2564" s="2"/>
      <c r="E2564" s="2"/>
      <c r="F2564" s="2"/>
      <c r="G2564" s="2"/>
      <c r="H2564" s="2" t="s">
        <v>668</v>
      </c>
    </row>
    <row r="2565" customFormat="false" ht="15" hidden="false" customHeight="false" outlineLevel="0" collapsed="false">
      <c r="A2565" s="2" t="s">
        <v>2856</v>
      </c>
      <c r="B2565" s="2" t="s">
        <v>4104</v>
      </c>
      <c r="C2565" s="2" t="s">
        <v>4085</v>
      </c>
      <c r="D2565" s="2"/>
      <c r="E2565" s="31" t="n">
        <v>22.2</v>
      </c>
      <c r="F2565" s="31" t="n">
        <v>80.7</v>
      </c>
      <c r="G2565" s="31" t="n">
        <v>44.7</v>
      </c>
      <c r="H2565" s="2" t="s">
        <v>668</v>
      </c>
    </row>
    <row r="2566" customFormat="false" ht="15" hidden="false" customHeight="false" outlineLevel="0" collapsed="false">
      <c r="A2566" s="2" t="s">
        <v>2856</v>
      </c>
      <c r="B2566" s="2" t="s">
        <v>4104</v>
      </c>
      <c r="C2566" s="2" t="s">
        <v>4086</v>
      </c>
      <c r="D2566" s="2"/>
      <c r="E2566" s="31" t="n">
        <v>44</v>
      </c>
      <c r="F2566" s="31" t="n">
        <v>81.1</v>
      </c>
      <c r="G2566" s="31" t="n">
        <v>66</v>
      </c>
      <c r="H2566" s="2" t="s">
        <v>668</v>
      </c>
    </row>
    <row r="2567" customFormat="false" ht="15" hidden="false" customHeight="false" outlineLevel="0" collapsed="false">
      <c r="A2567" s="2" t="s">
        <v>2856</v>
      </c>
      <c r="B2567" s="2" t="s">
        <v>4104</v>
      </c>
      <c r="C2567" s="2" t="s">
        <v>4087</v>
      </c>
      <c r="D2567" s="2"/>
      <c r="E2567" s="31" t="n">
        <v>24.7</v>
      </c>
      <c r="F2567" s="31" t="n">
        <v>93.8</v>
      </c>
      <c r="G2567" s="31" t="n">
        <v>22.1</v>
      </c>
      <c r="H2567" s="2" t="s">
        <v>668</v>
      </c>
    </row>
    <row r="2568" customFormat="false" ht="15" hidden="false" customHeight="false" outlineLevel="0" collapsed="false">
      <c r="A2568" s="2" t="s">
        <v>2856</v>
      </c>
      <c r="B2568" s="2" t="s">
        <v>45</v>
      </c>
      <c r="C2568" s="2" t="s">
        <v>4085</v>
      </c>
      <c r="D2568" s="11" t="n">
        <v>1620</v>
      </c>
      <c r="E2568" s="31" t="n">
        <v>21.2</v>
      </c>
      <c r="F2568" s="2"/>
      <c r="G2568" s="31" t="n">
        <v>0.9</v>
      </c>
      <c r="H2568" s="2" t="s">
        <v>668</v>
      </c>
    </row>
    <row r="2569" customFormat="false" ht="15" hidden="false" customHeight="false" outlineLevel="0" collapsed="false">
      <c r="A2569" s="2" t="s">
        <v>2856</v>
      </c>
      <c r="B2569" s="2" t="s">
        <v>45</v>
      </c>
      <c r="C2569" s="2" t="s">
        <v>4086</v>
      </c>
      <c r="D2569" s="11" t="n">
        <v>1690</v>
      </c>
      <c r="E2569" s="31" t="n">
        <v>43.1</v>
      </c>
      <c r="F2569" s="2"/>
      <c r="G2569" s="31" t="n">
        <v>54.9</v>
      </c>
      <c r="H2569" s="2" t="s">
        <v>668</v>
      </c>
    </row>
    <row r="2570" customFormat="false" ht="15" hidden="false" customHeight="false" outlineLevel="0" collapsed="false">
      <c r="A2570" s="2" t="s">
        <v>2856</v>
      </c>
      <c r="B2570" s="2" t="s">
        <v>45</v>
      </c>
      <c r="C2570" s="2" t="s">
        <v>4087</v>
      </c>
      <c r="D2570" s="11" t="n">
        <v>1660</v>
      </c>
      <c r="E2570" s="31" t="n">
        <v>34.6</v>
      </c>
      <c r="F2570" s="2"/>
      <c r="G2570" s="31" t="n">
        <v>22.1</v>
      </c>
      <c r="H2570" s="2" t="s">
        <v>668</v>
      </c>
    </row>
    <row r="2571" customFormat="false" ht="15" hidden="false" customHeight="false" outlineLevel="0" collapsed="false">
      <c r="A2571" s="2" t="s">
        <v>2856</v>
      </c>
      <c r="B2571" s="2" t="s">
        <v>46</v>
      </c>
      <c r="C2571" s="2" t="s">
        <v>4085</v>
      </c>
      <c r="D2571" s="11" t="n">
        <v>7352</v>
      </c>
      <c r="E2571" s="31" t="n">
        <v>23.3</v>
      </c>
      <c r="F2571" s="31" t="n">
        <v>80.7</v>
      </c>
      <c r="G2571" s="31" t="n">
        <v>88.4</v>
      </c>
      <c r="H2571" s="2" t="s">
        <v>671</v>
      </c>
    </row>
    <row r="2572" customFormat="false" ht="15" hidden="false" customHeight="false" outlineLevel="0" collapsed="false">
      <c r="A2572" s="2" t="s">
        <v>2856</v>
      </c>
      <c r="B2572" s="2" t="s">
        <v>46</v>
      </c>
      <c r="C2572" s="2" t="s">
        <v>4086</v>
      </c>
      <c r="D2572" s="11" t="n">
        <v>7690</v>
      </c>
      <c r="E2572" s="31" t="n">
        <v>44.8</v>
      </c>
      <c r="F2572" s="31" t="n">
        <v>81.1</v>
      </c>
      <c r="G2572" s="31" t="n">
        <v>77</v>
      </c>
      <c r="H2572" s="2" t="s">
        <v>671</v>
      </c>
    </row>
    <row r="2573" customFormat="false" ht="15" hidden="false" customHeight="false" outlineLevel="0" collapsed="false">
      <c r="A2573" s="2" t="s">
        <v>2856</v>
      </c>
      <c r="B2573" s="2" t="s">
        <v>46</v>
      </c>
      <c r="C2573" s="2" t="s">
        <v>4087</v>
      </c>
      <c r="D2573" s="11" t="n">
        <v>8410</v>
      </c>
      <c r="E2573" s="31" t="n">
        <v>14.8</v>
      </c>
      <c r="F2573" s="31" t="n">
        <v>93.8</v>
      </c>
      <c r="G2573" s="2"/>
      <c r="H2573" s="2" t="s">
        <v>668</v>
      </c>
    </row>
    <row r="2574" customFormat="false" ht="15" hidden="false" customHeight="false" outlineLevel="0" collapsed="false">
      <c r="A2574" s="2" t="s">
        <v>1053</v>
      </c>
      <c r="B2574" s="2" t="s">
        <v>4104</v>
      </c>
      <c r="C2574" s="2" t="s">
        <v>4085</v>
      </c>
      <c r="D2574" s="2"/>
      <c r="E2574" s="31" t="n">
        <v>45.8</v>
      </c>
      <c r="F2574" s="31" t="n">
        <v>55.8</v>
      </c>
      <c r="G2574" s="31" t="n">
        <v>53.6</v>
      </c>
      <c r="H2574" s="2" t="s">
        <v>671</v>
      </c>
    </row>
    <row r="2575" customFormat="false" ht="15" hidden="false" customHeight="false" outlineLevel="0" collapsed="false">
      <c r="A2575" s="2" t="s">
        <v>1053</v>
      </c>
      <c r="B2575" s="2" t="s">
        <v>4104</v>
      </c>
      <c r="C2575" s="2" t="s">
        <v>4086</v>
      </c>
      <c r="D2575" s="2"/>
      <c r="E2575" s="31" t="n">
        <v>54.1</v>
      </c>
      <c r="F2575" s="31" t="n">
        <v>54.1</v>
      </c>
      <c r="G2575" s="31" t="n">
        <v>52.3</v>
      </c>
      <c r="H2575" s="2" t="s">
        <v>668</v>
      </c>
    </row>
    <row r="2576" customFormat="false" ht="15" hidden="false" customHeight="false" outlineLevel="0" collapsed="false">
      <c r="A2576" s="2" t="s">
        <v>1053</v>
      </c>
      <c r="B2576" s="2" t="s">
        <v>4104</v>
      </c>
      <c r="C2576" s="2" t="s">
        <v>4087</v>
      </c>
      <c r="D2576" s="2"/>
      <c r="E2576" s="31" t="n">
        <v>64.6</v>
      </c>
      <c r="F2576" s="31" t="n">
        <v>60.4</v>
      </c>
      <c r="G2576" s="31" t="n">
        <v>54</v>
      </c>
      <c r="H2576" s="2" t="s">
        <v>668</v>
      </c>
    </row>
    <row r="2577" customFormat="false" ht="15" hidden="false" customHeight="false" outlineLevel="0" collapsed="false">
      <c r="A2577" s="2" t="s">
        <v>1053</v>
      </c>
      <c r="B2577" s="2" t="s">
        <v>45</v>
      </c>
      <c r="C2577" s="2" t="s">
        <v>4085</v>
      </c>
      <c r="D2577" s="11" t="n">
        <v>126310</v>
      </c>
      <c r="E2577" s="31" t="n">
        <v>32.8</v>
      </c>
      <c r="F2577" s="31" t="n">
        <v>100</v>
      </c>
      <c r="G2577" s="31" t="n">
        <v>63.2</v>
      </c>
      <c r="H2577" s="2" t="s">
        <v>671</v>
      </c>
    </row>
    <row r="2578" customFormat="false" ht="15" hidden="false" customHeight="false" outlineLevel="0" collapsed="false">
      <c r="A2578" s="2" t="s">
        <v>1053</v>
      </c>
      <c r="B2578" s="2" t="s">
        <v>45</v>
      </c>
      <c r="C2578" s="2" t="s">
        <v>4086</v>
      </c>
      <c r="D2578" s="11" t="n">
        <v>139044</v>
      </c>
      <c r="E2578" s="31" t="n">
        <v>35.7</v>
      </c>
      <c r="F2578" s="31" t="n">
        <v>99.3</v>
      </c>
      <c r="G2578" s="2"/>
      <c r="H2578" s="2" t="s">
        <v>668</v>
      </c>
    </row>
    <row r="2579" customFormat="false" ht="15" hidden="false" customHeight="false" outlineLevel="0" collapsed="false">
      <c r="A2579" s="2" t="s">
        <v>1053</v>
      </c>
      <c r="B2579" s="2" t="s">
        <v>45</v>
      </c>
      <c r="C2579" s="2" t="s">
        <v>4087</v>
      </c>
      <c r="D2579" s="11" t="n">
        <v>154683</v>
      </c>
      <c r="E2579" s="31" t="n">
        <v>48.1</v>
      </c>
      <c r="F2579" s="31" t="n">
        <v>94.9</v>
      </c>
      <c r="G2579" s="31" t="n">
        <v>88.1</v>
      </c>
      <c r="H2579" s="2" t="s">
        <v>671</v>
      </c>
    </row>
    <row r="2580" customFormat="false" ht="15" hidden="false" customHeight="false" outlineLevel="0" collapsed="false">
      <c r="A2580" s="2" t="s">
        <v>1053</v>
      </c>
      <c r="B2580" s="2" t="s">
        <v>46</v>
      </c>
      <c r="C2580" s="2" t="s">
        <v>4085</v>
      </c>
      <c r="D2580" s="11" t="n">
        <v>130259</v>
      </c>
      <c r="E2580" s="31" t="n">
        <v>63</v>
      </c>
      <c r="F2580" s="31" t="n">
        <v>17.3</v>
      </c>
      <c r="G2580" s="31" t="n">
        <v>50</v>
      </c>
      <c r="H2580" s="2" t="s">
        <v>671</v>
      </c>
    </row>
    <row r="2581" customFormat="false" ht="15" hidden="false" customHeight="false" outlineLevel="0" collapsed="false">
      <c r="A2581" s="2" t="s">
        <v>1053</v>
      </c>
      <c r="B2581" s="2" t="s">
        <v>46</v>
      </c>
      <c r="C2581" s="2" t="s">
        <v>4086</v>
      </c>
      <c r="D2581" s="11" t="n">
        <v>133940</v>
      </c>
      <c r="E2581" s="31" t="n">
        <v>72.5</v>
      </c>
      <c r="F2581" s="31" t="n">
        <v>22.9</v>
      </c>
      <c r="G2581" s="2"/>
      <c r="H2581" s="2" t="s">
        <v>668</v>
      </c>
    </row>
    <row r="2582" customFormat="false" ht="15" hidden="false" customHeight="false" outlineLevel="0" collapsed="false">
      <c r="A2582" s="2" t="s">
        <v>1053</v>
      </c>
      <c r="B2582" s="2" t="s">
        <v>46</v>
      </c>
      <c r="C2582" s="2" t="s">
        <v>4087</v>
      </c>
      <c r="D2582" s="11" t="n">
        <v>130702</v>
      </c>
      <c r="E2582" s="31" t="n">
        <v>81</v>
      </c>
      <c r="F2582" s="31" t="n">
        <v>25.8</v>
      </c>
      <c r="G2582" s="31" t="n">
        <v>19.9</v>
      </c>
      <c r="H2582" s="2" t="s">
        <v>671</v>
      </c>
    </row>
    <row r="2583" customFormat="false" ht="15" hidden="false" customHeight="false" outlineLevel="0" collapsed="false">
      <c r="A2583" s="2" t="s">
        <v>1053</v>
      </c>
      <c r="B2583" s="2" t="s">
        <v>47</v>
      </c>
      <c r="C2583" s="2" t="s">
        <v>4085</v>
      </c>
      <c r="D2583" s="11" t="n">
        <v>3812</v>
      </c>
      <c r="E2583" s="31" t="n">
        <v>41.5</v>
      </c>
      <c r="F2583" s="31" t="n">
        <v>50</v>
      </c>
      <c r="G2583" s="31" t="n">
        <v>47.6</v>
      </c>
      <c r="H2583" s="2" t="s">
        <v>671</v>
      </c>
    </row>
    <row r="2584" customFormat="false" ht="15" hidden="false" customHeight="false" outlineLevel="0" collapsed="false">
      <c r="A2584" s="2" t="s">
        <v>1053</v>
      </c>
      <c r="B2584" s="2" t="s">
        <v>47</v>
      </c>
      <c r="C2584" s="2" t="s">
        <v>4086</v>
      </c>
      <c r="D2584" s="11" t="n">
        <v>3911</v>
      </c>
      <c r="E2584" s="2"/>
      <c r="F2584" s="31" t="n">
        <v>40</v>
      </c>
      <c r="G2584" s="31" t="n">
        <v>52.3</v>
      </c>
      <c r="H2584" s="2" t="s">
        <v>668</v>
      </c>
    </row>
    <row r="2585" customFormat="false" ht="15" hidden="false" customHeight="false" outlineLevel="0" collapsed="false">
      <c r="A2585" s="2" t="s">
        <v>1053</v>
      </c>
      <c r="B2585" s="2" t="s">
        <v>47</v>
      </c>
      <c r="C2585" s="2" t="s">
        <v>4087</v>
      </c>
      <c r="D2585" s="2"/>
      <c r="E2585" s="2"/>
      <c r="F2585" s="2"/>
      <c r="G2585" s="2"/>
      <c r="H2585" s="2" t="s">
        <v>668</v>
      </c>
    </row>
    <row r="2586" customFormat="false" ht="15" hidden="false" customHeight="false" outlineLevel="0" collapsed="false">
      <c r="A2586" s="2" t="s">
        <v>107</v>
      </c>
      <c r="B2586" s="2" t="s">
        <v>4104</v>
      </c>
      <c r="C2586" s="2" t="s">
        <v>4085</v>
      </c>
      <c r="D2586" s="2"/>
      <c r="E2586" s="31" t="n">
        <v>96.4</v>
      </c>
      <c r="F2586" s="31" t="n">
        <v>59.3</v>
      </c>
      <c r="G2586" s="31" t="n">
        <v>36.7</v>
      </c>
      <c r="H2586" s="2" t="s">
        <v>671</v>
      </c>
    </row>
    <row r="2587" customFormat="false" ht="15" hidden="false" customHeight="false" outlineLevel="0" collapsed="false">
      <c r="A2587" s="2" t="s">
        <v>107</v>
      </c>
      <c r="B2587" s="2" t="s">
        <v>4104</v>
      </c>
      <c r="C2587" s="2" t="s">
        <v>4086</v>
      </c>
      <c r="D2587" s="2"/>
      <c r="E2587" s="31" t="n">
        <v>84.1</v>
      </c>
      <c r="F2587" s="31" t="n">
        <v>78.3</v>
      </c>
      <c r="G2587" s="31" t="n">
        <v>30.1</v>
      </c>
      <c r="H2587" s="2" t="s">
        <v>671</v>
      </c>
    </row>
    <row r="2588" customFormat="false" ht="15" hidden="false" customHeight="false" outlineLevel="0" collapsed="false">
      <c r="A2588" s="2" t="s">
        <v>107</v>
      </c>
      <c r="B2588" s="2" t="s">
        <v>4104</v>
      </c>
      <c r="C2588" s="2" t="s">
        <v>4087</v>
      </c>
      <c r="D2588" s="2"/>
      <c r="E2588" s="31" t="n">
        <v>92</v>
      </c>
      <c r="F2588" s="31" t="n">
        <v>73.5</v>
      </c>
      <c r="G2588" s="31" t="n">
        <v>64.4</v>
      </c>
      <c r="H2588" s="2" t="s">
        <v>671</v>
      </c>
    </row>
    <row r="2589" customFormat="false" ht="15" hidden="false" customHeight="false" outlineLevel="0" collapsed="false">
      <c r="A2589" s="2" t="s">
        <v>107</v>
      </c>
      <c r="B2589" s="2" t="s">
        <v>47</v>
      </c>
      <c r="C2589" s="2" t="s">
        <v>4085</v>
      </c>
      <c r="D2589" s="11" t="n">
        <v>649708</v>
      </c>
      <c r="E2589" s="31" t="n">
        <v>96.4</v>
      </c>
      <c r="F2589" s="31" t="n">
        <v>59.3</v>
      </c>
      <c r="G2589" s="31" t="n">
        <v>36.7</v>
      </c>
      <c r="H2589" s="2" t="s">
        <v>671</v>
      </c>
    </row>
    <row r="2590" customFormat="false" ht="15" hidden="false" customHeight="false" outlineLevel="0" collapsed="false">
      <c r="A2590" s="2" t="s">
        <v>107</v>
      </c>
      <c r="B2590" s="2" t="s">
        <v>47</v>
      </c>
      <c r="C2590" s="2" t="s">
        <v>4086</v>
      </c>
      <c r="D2590" s="11" t="n">
        <v>695720</v>
      </c>
      <c r="E2590" s="31" t="n">
        <v>84.1</v>
      </c>
      <c r="F2590" s="31" t="n">
        <v>78.3</v>
      </c>
      <c r="G2590" s="31" t="n">
        <v>30.1</v>
      </c>
      <c r="H2590" s="2" t="s">
        <v>671</v>
      </c>
    </row>
    <row r="2591" customFormat="false" ht="15" hidden="false" customHeight="false" outlineLevel="0" collapsed="false">
      <c r="A2591" s="2" t="s">
        <v>107</v>
      </c>
      <c r="B2591" s="2" t="s">
        <v>47</v>
      </c>
      <c r="C2591" s="2" t="s">
        <v>4087</v>
      </c>
      <c r="D2591" s="11" t="n">
        <v>722384</v>
      </c>
      <c r="E2591" s="31" t="n">
        <v>92</v>
      </c>
      <c r="F2591" s="31" t="n">
        <v>73.5</v>
      </c>
      <c r="G2591" s="31" t="n">
        <v>64.4</v>
      </c>
      <c r="H2591" s="2" t="s">
        <v>671</v>
      </c>
    </row>
    <row r="2592" customFormat="false" ht="15" hidden="false" customHeight="false" outlineLevel="0" collapsed="false">
      <c r="A2592" s="2" t="s">
        <v>346</v>
      </c>
      <c r="B2592" s="2" t="s">
        <v>4104</v>
      </c>
      <c r="C2592" s="2" t="s">
        <v>4085</v>
      </c>
      <c r="D2592" s="2"/>
      <c r="E2592" s="31" t="n">
        <v>70.2</v>
      </c>
      <c r="F2592" s="31" t="n">
        <v>57.1</v>
      </c>
      <c r="G2592" s="31" t="n">
        <v>6.1</v>
      </c>
      <c r="H2592" s="2" t="s">
        <v>671</v>
      </c>
    </row>
    <row r="2593" customFormat="false" ht="15" hidden="false" customHeight="false" outlineLevel="0" collapsed="false">
      <c r="A2593" s="2" t="s">
        <v>346</v>
      </c>
      <c r="B2593" s="2" t="s">
        <v>4104</v>
      </c>
      <c r="C2593" s="2" t="s">
        <v>4086</v>
      </c>
      <c r="D2593" s="2"/>
      <c r="E2593" s="31" t="n">
        <v>86.8</v>
      </c>
      <c r="F2593" s="31" t="n">
        <v>5.9</v>
      </c>
      <c r="G2593" s="31" t="n">
        <v>6.5</v>
      </c>
      <c r="H2593" s="2" t="s">
        <v>671</v>
      </c>
    </row>
    <row r="2594" customFormat="false" ht="15" hidden="false" customHeight="false" outlineLevel="0" collapsed="false">
      <c r="A2594" s="2" t="s">
        <v>346</v>
      </c>
      <c r="B2594" s="2" t="s">
        <v>4104</v>
      </c>
      <c r="C2594" s="2" t="s">
        <v>4087</v>
      </c>
      <c r="D2594" s="2"/>
      <c r="E2594" s="31" t="n">
        <v>52.8</v>
      </c>
      <c r="F2594" s="31" t="n">
        <v>31.2</v>
      </c>
      <c r="G2594" s="31" t="n">
        <v>13.8</v>
      </c>
      <c r="H2594" s="2" t="s">
        <v>671</v>
      </c>
    </row>
    <row r="2595" customFormat="false" ht="15" hidden="false" customHeight="false" outlineLevel="0" collapsed="false">
      <c r="A2595" s="2" t="s">
        <v>346</v>
      </c>
      <c r="B2595" s="2" t="s">
        <v>45</v>
      </c>
      <c r="C2595" s="2" t="s">
        <v>4085</v>
      </c>
      <c r="D2595" s="11" t="n">
        <v>1177410</v>
      </c>
      <c r="E2595" s="31" t="n">
        <v>70.2</v>
      </c>
      <c r="F2595" s="31" t="n">
        <v>57.1</v>
      </c>
      <c r="G2595" s="31" t="n">
        <v>6.1</v>
      </c>
      <c r="H2595" s="2" t="s">
        <v>671</v>
      </c>
    </row>
    <row r="2596" customFormat="false" ht="15" hidden="false" customHeight="false" outlineLevel="0" collapsed="false">
      <c r="A2596" s="2" t="s">
        <v>346</v>
      </c>
      <c r="B2596" s="2" t="s">
        <v>45</v>
      </c>
      <c r="C2596" s="2" t="s">
        <v>4086</v>
      </c>
      <c r="D2596" s="11" t="n">
        <v>1207050</v>
      </c>
      <c r="E2596" s="31" t="n">
        <v>86.8</v>
      </c>
      <c r="F2596" s="31" t="n">
        <v>5.9</v>
      </c>
      <c r="G2596" s="31" t="n">
        <v>6.5</v>
      </c>
      <c r="H2596" s="2" t="s">
        <v>671</v>
      </c>
    </row>
    <row r="2597" customFormat="false" ht="15" hidden="false" customHeight="false" outlineLevel="0" collapsed="false">
      <c r="A2597" s="2" t="s">
        <v>346</v>
      </c>
      <c r="B2597" s="2" t="s">
        <v>45</v>
      </c>
      <c r="C2597" s="2" t="s">
        <v>4087</v>
      </c>
      <c r="D2597" s="11" t="n">
        <v>1246830</v>
      </c>
      <c r="E2597" s="31" t="n">
        <v>52.8</v>
      </c>
      <c r="F2597" s="31" t="n">
        <v>31.2</v>
      </c>
      <c r="G2597" s="31" t="n">
        <v>13.8</v>
      </c>
      <c r="H2597" s="2" t="s">
        <v>671</v>
      </c>
    </row>
    <row r="2598" customFormat="false" ht="15" hidden="false" customHeight="false" outlineLevel="0" collapsed="false">
      <c r="A2598" s="2" t="s">
        <v>2859</v>
      </c>
      <c r="B2598" s="2" t="s">
        <v>4104</v>
      </c>
      <c r="C2598" s="2" t="s">
        <v>4085</v>
      </c>
      <c r="D2598" s="2"/>
      <c r="E2598" s="31" t="n">
        <v>75.2</v>
      </c>
      <c r="F2598" s="31" t="n">
        <v>51</v>
      </c>
      <c r="G2598" s="31" t="n">
        <v>44.9</v>
      </c>
      <c r="H2598" s="2" t="s">
        <v>671</v>
      </c>
    </row>
    <row r="2599" customFormat="false" ht="15" hidden="false" customHeight="false" outlineLevel="0" collapsed="false">
      <c r="A2599" s="2" t="s">
        <v>2859</v>
      </c>
      <c r="B2599" s="2" t="s">
        <v>4104</v>
      </c>
      <c r="C2599" s="2" t="s">
        <v>4086</v>
      </c>
      <c r="D2599" s="2"/>
      <c r="E2599" s="31" t="n">
        <v>74.9</v>
      </c>
      <c r="F2599" s="31" t="n">
        <v>45.9</v>
      </c>
      <c r="G2599" s="31" t="n">
        <v>67.7</v>
      </c>
      <c r="H2599" s="2" t="s">
        <v>668</v>
      </c>
    </row>
    <row r="2600" customFormat="false" ht="15" hidden="false" customHeight="false" outlineLevel="0" collapsed="false">
      <c r="A2600" s="2" t="s">
        <v>2859</v>
      </c>
      <c r="B2600" s="2" t="s">
        <v>4104</v>
      </c>
      <c r="C2600" s="2" t="s">
        <v>4087</v>
      </c>
      <c r="D2600" s="2"/>
      <c r="E2600" s="2"/>
      <c r="F2600" s="2"/>
      <c r="G2600" s="2"/>
      <c r="H2600" s="2" t="s">
        <v>668</v>
      </c>
    </row>
    <row r="2601" customFormat="false" ht="15" hidden="false" customHeight="false" outlineLevel="0" collapsed="false">
      <c r="A2601" s="2" t="s">
        <v>2859</v>
      </c>
      <c r="B2601" s="2" t="s">
        <v>46</v>
      </c>
      <c r="C2601" s="2" t="s">
        <v>4085</v>
      </c>
      <c r="D2601" s="11" t="n">
        <v>259778</v>
      </c>
      <c r="E2601" s="31" t="n">
        <v>52.1</v>
      </c>
      <c r="F2601" s="31" t="n">
        <v>78.8</v>
      </c>
      <c r="G2601" s="31" t="n">
        <v>12.6</v>
      </c>
      <c r="H2601" s="2" t="s">
        <v>671</v>
      </c>
    </row>
    <row r="2602" customFormat="false" ht="15" hidden="false" customHeight="false" outlineLevel="0" collapsed="false">
      <c r="A2602" s="2" t="s">
        <v>2859</v>
      </c>
      <c r="B2602" s="2" t="s">
        <v>46</v>
      </c>
      <c r="C2602" s="2" t="s">
        <v>4086</v>
      </c>
      <c r="D2602" s="11" t="n">
        <v>273950</v>
      </c>
      <c r="E2602" s="31" t="n">
        <v>55.8</v>
      </c>
      <c r="F2602" s="31" t="n">
        <v>87.9</v>
      </c>
      <c r="G2602" s="2"/>
      <c r="H2602" s="2" t="s">
        <v>668</v>
      </c>
    </row>
    <row r="2603" customFormat="false" ht="15" hidden="false" customHeight="false" outlineLevel="0" collapsed="false">
      <c r="A2603" s="2" t="s">
        <v>2859</v>
      </c>
      <c r="B2603" s="2" t="s">
        <v>46</v>
      </c>
      <c r="C2603" s="2" t="s">
        <v>4087</v>
      </c>
      <c r="D2603" s="2"/>
      <c r="E2603" s="2"/>
      <c r="F2603" s="2"/>
      <c r="G2603" s="2"/>
      <c r="H2603" s="2" t="s">
        <v>668</v>
      </c>
    </row>
    <row r="2604" customFormat="false" ht="15" hidden="false" customHeight="false" outlineLevel="0" collapsed="false">
      <c r="A2604" s="2" t="s">
        <v>2859</v>
      </c>
      <c r="B2604" s="2" t="s">
        <v>47</v>
      </c>
      <c r="C2604" s="2" t="s">
        <v>4085</v>
      </c>
      <c r="D2604" s="11" t="n">
        <v>70500</v>
      </c>
      <c r="E2604" s="31" t="n">
        <v>98.3</v>
      </c>
      <c r="F2604" s="31" t="n">
        <v>23.2</v>
      </c>
      <c r="G2604" s="31" t="n">
        <v>77.2</v>
      </c>
      <c r="H2604" s="2" t="s">
        <v>671</v>
      </c>
    </row>
    <row r="2605" customFormat="false" ht="15" hidden="false" customHeight="false" outlineLevel="0" collapsed="false">
      <c r="A2605" s="2" t="s">
        <v>2859</v>
      </c>
      <c r="B2605" s="2" t="s">
        <v>47</v>
      </c>
      <c r="C2605" s="2" t="s">
        <v>4086</v>
      </c>
      <c r="D2605" s="11" t="n">
        <v>72746</v>
      </c>
      <c r="E2605" s="31" t="n">
        <v>94</v>
      </c>
      <c r="F2605" s="31" t="n">
        <v>3.9</v>
      </c>
      <c r="G2605" s="31" t="n">
        <v>67.7</v>
      </c>
      <c r="H2605" s="2" t="s">
        <v>671</v>
      </c>
    </row>
    <row r="2606" customFormat="false" ht="15" hidden="false" customHeight="false" outlineLevel="0" collapsed="false">
      <c r="A2606" s="2" t="s">
        <v>2859</v>
      </c>
      <c r="B2606" s="2" t="s">
        <v>47</v>
      </c>
      <c r="C2606" s="2" t="s">
        <v>4087</v>
      </c>
      <c r="D2606" s="2"/>
      <c r="E2606" s="2"/>
      <c r="F2606" s="2"/>
      <c r="G2606" s="2"/>
      <c r="H2606" s="2" t="s">
        <v>668</v>
      </c>
    </row>
    <row r="2607" customFormat="false" ht="15" hidden="false" customHeight="false" outlineLevel="0" collapsed="false">
      <c r="A2607" s="2" t="s">
        <v>1327</v>
      </c>
      <c r="B2607" s="2" t="s">
        <v>4104</v>
      </c>
      <c r="C2607" s="2" t="s">
        <v>4085</v>
      </c>
      <c r="D2607" s="2"/>
      <c r="E2607" s="31" t="n">
        <v>39.6</v>
      </c>
      <c r="F2607" s="31" t="n">
        <v>55.4</v>
      </c>
      <c r="G2607" s="31" t="n">
        <v>64</v>
      </c>
      <c r="H2607" s="2" t="s">
        <v>671</v>
      </c>
    </row>
    <row r="2608" customFormat="false" ht="15" hidden="false" customHeight="false" outlineLevel="0" collapsed="false">
      <c r="A2608" s="2" t="s">
        <v>1327</v>
      </c>
      <c r="B2608" s="2" t="s">
        <v>4104</v>
      </c>
      <c r="C2608" s="2" t="s">
        <v>4086</v>
      </c>
      <c r="D2608" s="2"/>
      <c r="E2608" s="31" t="n">
        <v>58.4</v>
      </c>
      <c r="F2608" s="31" t="n">
        <v>42.3</v>
      </c>
      <c r="G2608" s="31" t="n">
        <v>49.5</v>
      </c>
      <c r="H2608" s="2" t="s">
        <v>668</v>
      </c>
    </row>
    <row r="2609" customFormat="false" ht="15" hidden="false" customHeight="false" outlineLevel="0" collapsed="false">
      <c r="A2609" s="2" t="s">
        <v>1327</v>
      </c>
      <c r="B2609" s="2" t="s">
        <v>4104</v>
      </c>
      <c r="C2609" s="2" t="s">
        <v>4087</v>
      </c>
      <c r="D2609" s="2"/>
      <c r="E2609" s="31" t="n">
        <v>25.8</v>
      </c>
      <c r="F2609" s="31" t="n">
        <v>87.2</v>
      </c>
      <c r="G2609" s="31" t="n">
        <v>39.2</v>
      </c>
      <c r="H2609" s="2" t="s">
        <v>668</v>
      </c>
    </row>
    <row r="2610" customFormat="false" ht="15" hidden="false" customHeight="false" outlineLevel="0" collapsed="false">
      <c r="A2610" s="2" t="s">
        <v>1327</v>
      </c>
      <c r="B2610" s="2" t="s">
        <v>45</v>
      </c>
      <c r="C2610" s="2" t="s">
        <v>4085</v>
      </c>
      <c r="D2610" s="11" t="n">
        <v>195912</v>
      </c>
      <c r="E2610" s="31" t="n">
        <v>23.3</v>
      </c>
      <c r="F2610" s="31" t="n">
        <v>81.5</v>
      </c>
      <c r="G2610" s="31" t="n">
        <v>92.4</v>
      </c>
      <c r="H2610" s="2" t="s">
        <v>671</v>
      </c>
    </row>
    <row r="2611" customFormat="false" ht="15" hidden="false" customHeight="false" outlineLevel="0" collapsed="false">
      <c r="A2611" s="2" t="s">
        <v>1327</v>
      </c>
      <c r="B2611" s="2" t="s">
        <v>45</v>
      </c>
      <c r="C2611" s="2" t="s">
        <v>4086</v>
      </c>
      <c r="D2611" s="2"/>
      <c r="E2611" s="2"/>
      <c r="F2611" s="2"/>
      <c r="G2611" s="31" t="n">
        <v>75.5</v>
      </c>
      <c r="H2611" s="2" t="s">
        <v>668</v>
      </c>
    </row>
    <row r="2612" customFormat="false" ht="15" hidden="false" customHeight="false" outlineLevel="0" collapsed="false">
      <c r="A2612" s="2" t="s">
        <v>1327</v>
      </c>
      <c r="B2612" s="2" t="s">
        <v>45</v>
      </c>
      <c r="C2612" s="2" t="s">
        <v>4087</v>
      </c>
      <c r="D2612" s="11" t="n">
        <v>219290</v>
      </c>
      <c r="E2612" s="31" t="n">
        <v>8.5</v>
      </c>
      <c r="F2612" s="31" t="n">
        <v>94.2</v>
      </c>
      <c r="G2612" s="31" t="n">
        <v>70.2</v>
      </c>
      <c r="H2612" s="2" t="s">
        <v>671</v>
      </c>
    </row>
    <row r="2613" customFormat="false" ht="15" hidden="false" customHeight="false" outlineLevel="0" collapsed="false">
      <c r="A2613" s="2" t="s">
        <v>1327</v>
      </c>
      <c r="B2613" s="2" t="s">
        <v>46</v>
      </c>
      <c r="C2613" s="2" t="s">
        <v>4085</v>
      </c>
      <c r="D2613" s="11" t="n">
        <v>243891</v>
      </c>
      <c r="E2613" s="31" t="n">
        <v>26.6</v>
      </c>
      <c r="F2613" s="31" t="n">
        <v>84</v>
      </c>
      <c r="G2613" s="31" t="n">
        <v>38.4</v>
      </c>
      <c r="H2613" s="2" t="s">
        <v>671</v>
      </c>
    </row>
    <row r="2614" customFormat="false" ht="15" hidden="false" customHeight="false" outlineLevel="0" collapsed="false">
      <c r="A2614" s="2" t="s">
        <v>1327</v>
      </c>
      <c r="B2614" s="2" t="s">
        <v>46</v>
      </c>
      <c r="C2614" s="2" t="s">
        <v>4086</v>
      </c>
      <c r="D2614" s="11" t="n">
        <v>253760</v>
      </c>
      <c r="E2614" s="31" t="n">
        <v>31.6</v>
      </c>
      <c r="F2614" s="31" t="n">
        <v>84.1</v>
      </c>
      <c r="G2614" s="31" t="n">
        <v>8.6</v>
      </c>
      <c r="H2614" s="2" t="s">
        <v>671</v>
      </c>
    </row>
    <row r="2615" customFormat="false" ht="15" hidden="false" customHeight="false" outlineLevel="0" collapsed="false">
      <c r="A2615" s="2" t="s">
        <v>1327</v>
      </c>
      <c r="B2615" s="2" t="s">
        <v>46</v>
      </c>
      <c r="C2615" s="2" t="s">
        <v>4087</v>
      </c>
      <c r="D2615" s="11" t="n">
        <v>271220</v>
      </c>
      <c r="E2615" s="31" t="n">
        <v>43.1</v>
      </c>
      <c r="F2615" s="31" t="n">
        <v>80.1</v>
      </c>
      <c r="G2615" s="31" t="n">
        <v>8.3</v>
      </c>
      <c r="H2615" s="2" t="s">
        <v>671</v>
      </c>
    </row>
    <row r="2616" customFormat="false" ht="15" hidden="false" customHeight="false" outlineLevel="0" collapsed="false">
      <c r="A2616" s="2" t="s">
        <v>1327</v>
      </c>
      <c r="B2616" s="2" t="s">
        <v>47</v>
      </c>
      <c r="C2616" s="2" t="s">
        <v>4085</v>
      </c>
      <c r="D2616" s="11" t="n">
        <v>874106</v>
      </c>
      <c r="E2616" s="31" t="n">
        <v>69</v>
      </c>
      <c r="F2616" s="31" t="n">
        <v>0.6</v>
      </c>
      <c r="G2616" s="31" t="n">
        <v>61.2</v>
      </c>
      <c r="H2616" s="2" t="s">
        <v>671</v>
      </c>
    </row>
    <row r="2617" customFormat="false" ht="15" hidden="false" customHeight="false" outlineLevel="0" collapsed="false">
      <c r="A2617" s="2" t="s">
        <v>1327</v>
      </c>
      <c r="B2617" s="2" t="s">
        <v>47</v>
      </c>
      <c r="C2617" s="2" t="s">
        <v>4086</v>
      </c>
      <c r="D2617" s="11" t="n">
        <v>812604</v>
      </c>
      <c r="E2617" s="31" t="n">
        <v>85.2</v>
      </c>
      <c r="F2617" s="31" t="n">
        <v>0.6</v>
      </c>
      <c r="G2617" s="31" t="n">
        <v>64.3</v>
      </c>
      <c r="H2617" s="2" t="s">
        <v>671</v>
      </c>
    </row>
    <row r="2618" customFormat="false" ht="15" hidden="false" customHeight="false" outlineLevel="0" collapsed="false">
      <c r="A2618" s="2" t="s">
        <v>1327</v>
      </c>
      <c r="B2618" s="2" t="s">
        <v>47</v>
      </c>
      <c r="C2618" s="2" t="s">
        <v>4087</v>
      </c>
      <c r="D2618" s="2"/>
      <c r="E2618" s="2"/>
      <c r="F2618" s="2"/>
      <c r="G2618" s="2"/>
      <c r="H2618" s="2" t="s">
        <v>668</v>
      </c>
    </row>
    <row r="2619" customFormat="false" ht="15" hidden="false" customHeight="false" outlineLevel="0" collapsed="false">
      <c r="A2619" s="2" t="s">
        <v>228</v>
      </c>
      <c r="B2619" s="2" t="s">
        <v>4104</v>
      </c>
      <c r="C2619" s="2" t="s">
        <v>4085</v>
      </c>
      <c r="D2619" s="2"/>
      <c r="E2619" s="31" t="n">
        <v>68.7</v>
      </c>
      <c r="F2619" s="31" t="n">
        <v>42.5</v>
      </c>
      <c r="G2619" s="31" t="n">
        <v>30.1</v>
      </c>
      <c r="H2619" s="2" t="s">
        <v>671</v>
      </c>
    </row>
    <row r="2620" customFormat="false" ht="15" hidden="false" customHeight="false" outlineLevel="0" collapsed="false">
      <c r="A2620" s="2" t="s">
        <v>228</v>
      </c>
      <c r="B2620" s="2" t="s">
        <v>4104</v>
      </c>
      <c r="C2620" s="2" t="s">
        <v>4086</v>
      </c>
      <c r="D2620" s="2"/>
      <c r="E2620" s="31" t="n">
        <v>73.9</v>
      </c>
      <c r="F2620" s="31" t="n">
        <v>71.4</v>
      </c>
      <c r="G2620" s="31" t="n">
        <v>12</v>
      </c>
      <c r="H2620" s="2" t="s">
        <v>668</v>
      </c>
    </row>
    <row r="2621" customFormat="false" ht="15" hidden="false" customHeight="false" outlineLevel="0" collapsed="false">
      <c r="A2621" s="2" t="s">
        <v>228</v>
      </c>
      <c r="B2621" s="2" t="s">
        <v>4104</v>
      </c>
      <c r="C2621" s="2" t="s">
        <v>4087</v>
      </c>
      <c r="D2621" s="2"/>
      <c r="E2621" s="31" t="n">
        <v>66.8</v>
      </c>
      <c r="F2621" s="31" t="n">
        <v>54.6</v>
      </c>
      <c r="G2621" s="31" t="n">
        <v>30.2</v>
      </c>
      <c r="H2621" s="2" t="s">
        <v>671</v>
      </c>
    </row>
    <row r="2622" customFormat="false" ht="15" hidden="false" customHeight="false" outlineLevel="0" collapsed="false">
      <c r="A2622" s="2" t="s">
        <v>228</v>
      </c>
      <c r="B2622" s="2" t="s">
        <v>45</v>
      </c>
      <c r="C2622" s="2" t="s">
        <v>4085</v>
      </c>
      <c r="D2622" s="11" t="n">
        <v>69280</v>
      </c>
      <c r="E2622" s="31" t="n">
        <v>68.2</v>
      </c>
      <c r="F2622" s="31" t="n">
        <v>96.4</v>
      </c>
      <c r="G2622" s="31" t="n">
        <v>5.6</v>
      </c>
      <c r="H2622" s="2" t="s">
        <v>671</v>
      </c>
    </row>
    <row r="2623" customFormat="false" ht="15" hidden="false" customHeight="false" outlineLevel="0" collapsed="false">
      <c r="A2623" s="2" t="s">
        <v>228</v>
      </c>
      <c r="B2623" s="2" t="s">
        <v>45</v>
      </c>
      <c r="C2623" s="2" t="s">
        <v>4086</v>
      </c>
      <c r="D2623" s="11" t="n">
        <v>72280</v>
      </c>
      <c r="E2623" s="31" t="n">
        <v>71.8</v>
      </c>
      <c r="F2623" s="31" t="n">
        <v>92.4</v>
      </c>
      <c r="G2623" s="31" t="n">
        <v>11.7</v>
      </c>
      <c r="H2623" s="2" t="s">
        <v>671</v>
      </c>
    </row>
    <row r="2624" customFormat="false" ht="15" hidden="false" customHeight="false" outlineLevel="0" collapsed="false">
      <c r="A2624" s="2" t="s">
        <v>228</v>
      </c>
      <c r="B2624" s="2" t="s">
        <v>45</v>
      </c>
      <c r="C2624" s="2" t="s">
        <v>4087</v>
      </c>
      <c r="D2624" s="11" t="n">
        <v>79720</v>
      </c>
      <c r="E2624" s="31" t="n">
        <v>65.2</v>
      </c>
      <c r="F2624" s="31" t="n">
        <v>96.8</v>
      </c>
      <c r="G2624" s="31" t="n">
        <v>23.2</v>
      </c>
      <c r="H2624" s="2" t="s">
        <v>671</v>
      </c>
    </row>
    <row r="2625" customFormat="false" ht="15" hidden="false" customHeight="false" outlineLevel="0" collapsed="false">
      <c r="A2625" s="2" t="s">
        <v>228</v>
      </c>
      <c r="B2625" s="2" t="s">
        <v>46</v>
      </c>
      <c r="C2625" s="2" t="s">
        <v>4085</v>
      </c>
      <c r="D2625" s="11" t="n">
        <v>7180</v>
      </c>
      <c r="E2625" s="31" t="n">
        <v>96.1</v>
      </c>
      <c r="F2625" s="31" t="n">
        <v>1.8</v>
      </c>
      <c r="G2625" s="31" t="n">
        <v>75.6</v>
      </c>
      <c r="H2625" s="2" t="s">
        <v>671</v>
      </c>
    </row>
    <row r="2626" customFormat="false" ht="15" hidden="false" customHeight="false" outlineLevel="0" collapsed="false">
      <c r="A2626" s="2" t="s">
        <v>228</v>
      </c>
      <c r="B2626" s="2" t="s">
        <v>46</v>
      </c>
      <c r="C2626" s="2" t="s">
        <v>4086</v>
      </c>
      <c r="D2626" s="11" t="n">
        <v>6800</v>
      </c>
      <c r="E2626" s="31" t="n">
        <v>88.6</v>
      </c>
      <c r="F2626" s="2"/>
      <c r="G2626" s="2"/>
      <c r="H2626" s="2" t="s">
        <v>668</v>
      </c>
    </row>
    <row r="2627" customFormat="false" ht="15" hidden="false" customHeight="false" outlineLevel="0" collapsed="false">
      <c r="A2627" s="2" t="s">
        <v>228</v>
      </c>
      <c r="B2627" s="2" t="s">
        <v>46</v>
      </c>
      <c r="C2627" s="2" t="s">
        <v>4087</v>
      </c>
      <c r="D2627" s="11" t="n">
        <v>6712</v>
      </c>
      <c r="E2627" s="31" t="n">
        <v>85</v>
      </c>
      <c r="F2627" s="31" t="n">
        <v>2.1</v>
      </c>
      <c r="G2627" s="31" t="n">
        <v>50.3</v>
      </c>
      <c r="H2627" s="2" t="s">
        <v>671</v>
      </c>
    </row>
    <row r="2628" customFormat="false" ht="15" hidden="false" customHeight="false" outlineLevel="0" collapsed="false">
      <c r="A2628" s="2" t="s">
        <v>228</v>
      </c>
      <c r="B2628" s="2" t="s">
        <v>47</v>
      </c>
      <c r="C2628" s="2" t="s">
        <v>4085</v>
      </c>
      <c r="D2628" s="11" t="n">
        <v>67308</v>
      </c>
      <c r="E2628" s="31" t="n">
        <v>41.9</v>
      </c>
      <c r="F2628" s="31" t="n">
        <v>29.4</v>
      </c>
      <c r="G2628" s="31" t="n">
        <v>9.2</v>
      </c>
      <c r="H2628" s="2" t="s">
        <v>671</v>
      </c>
    </row>
    <row r="2629" customFormat="false" ht="15" hidden="false" customHeight="false" outlineLevel="0" collapsed="false">
      <c r="A2629" s="2" t="s">
        <v>228</v>
      </c>
      <c r="B2629" s="2" t="s">
        <v>47</v>
      </c>
      <c r="C2629" s="2" t="s">
        <v>4086</v>
      </c>
      <c r="D2629" s="11" t="n">
        <v>67780</v>
      </c>
      <c r="E2629" s="31" t="n">
        <v>61.2</v>
      </c>
      <c r="F2629" s="31" t="n">
        <v>50.3</v>
      </c>
      <c r="G2629" s="31" t="n">
        <v>12.4</v>
      </c>
      <c r="H2629" s="2" t="s">
        <v>671</v>
      </c>
    </row>
    <row r="2630" customFormat="false" ht="15" hidden="false" customHeight="false" outlineLevel="0" collapsed="false">
      <c r="A2630" s="2" t="s">
        <v>228</v>
      </c>
      <c r="B2630" s="2" t="s">
        <v>47</v>
      </c>
      <c r="C2630" s="2" t="s">
        <v>4087</v>
      </c>
      <c r="D2630" s="11" t="n">
        <v>70560</v>
      </c>
      <c r="E2630" s="31" t="n">
        <v>50.2</v>
      </c>
      <c r="F2630" s="31" t="n">
        <v>64.9</v>
      </c>
      <c r="G2630" s="31" t="n">
        <v>17.1</v>
      </c>
      <c r="H2630" s="2" t="s">
        <v>671</v>
      </c>
    </row>
    <row r="2631" customFormat="false" ht="15" hidden="false" customHeight="false" outlineLevel="0" collapsed="false">
      <c r="A2631" s="2" t="s">
        <v>697</v>
      </c>
      <c r="B2631" s="2" t="s">
        <v>4104</v>
      </c>
      <c r="C2631" s="2" t="s">
        <v>4085</v>
      </c>
      <c r="D2631" s="2"/>
      <c r="E2631" s="31" t="n">
        <v>72.8</v>
      </c>
      <c r="F2631" s="31" t="n">
        <v>33.4</v>
      </c>
      <c r="G2631" s="31" t="n">
        <v>70.5</v>
      </c>
      <c r="H2631" s="2" t="s">
        <v>671</v>
      </c>
    </row>
    <row r="2632" customFormat="false" ht="15" hidden="false" customHeight="false" outlineLevel="0" collapsed="false">
      <c r="A2632" s="2" t="s">
        <v>697</v>
      </c>
      <c r="B2632" s="2" t="s">
        <v>4104</v>
      </c>
      <c r="C2632" s="2" t="s">
        <v>4086</v>
      </c>
      <c r="D2632" s="2"/>
      <c r="E2632" s="31" t="n">
        <v>80.2</v>
      </c>
      <c r="F2632" s="31" t="n">
        <v>43.6</v>
      </c>
      <c r="G2632" s="31" t="n">
        <v>91</v>
      </c>
      <c r="H2632" s="2" t="s">
        <v>668</v>
      </c>
    </row>
    <row r="2633" customFormat="false" ht="15" hidden="false" customHeight="false" outlineLevel="0" collapsed="false">
      <c r="A2633" s="2" t="s">
        <v>697</v>
      </c>
      <c r="B2633" s="2" t="s">
        <v>4104</v>
      </c>
      <c r="C2633" s="2" t="s">
        <v>4087</v>
      </c>
      <c r="D2633" s="2"/>
      <c r="E2633" s="31" t="n">
        <v>77.4</v>
      </c>
      <c r="F2633" s="31" t="n">
        <v>48.6</v>
      </c>
      <c r="G2633" s="31" t="n">
        <v>68.2</v>
      </c>
      <c r="H2633" s="2" t="s">
        <v>668</v>
      </c>
    </row>
    <row r="2634" customFormat="false" ht="15" hidden="false" customHeight="false" outlineLevel="0" collapsed="false">
      <c r="A2634" s="2" t="s">
        <v>697</v>
      </c>
      <c r="B2634" s="2" t="s">
        <v>45</v>
      </c>
      <c r="C2634" s="2" t="s">
        <v>4085</v>
      </c>
      <c r="D2634" s="11" t="n">
        <v>164540</v>
      </c>
      <c r="E2634" s="31" t="n">
        <v>95.3</v>
      </c>
      <c r="F2634" s="31" t="n">
        <v>37</v>
      </c>
      <c r="G2634" s="31" t="n">
        <v>71</v>
      </c>
      <c r="H2634" s="2" t="s">
        <v>671</v>
      </c>
    </row>
    <row r="2635" customFormat="false" ht="15" hidden="false" customHeight="false" outlineLevel="0" collapsed="false">
      <c r="A2635" s="2" t="s">
        <v>697</v>
      </c>
      <c r="B2635" s="2" t="s">
        <v>45</v>
      </c>
      <c r="C2635" s="2" t="s">
        <v>4086</v>
      </c>
      <c r="D2635" s="11" t="n">
        <v>164740</v>
      </c>
      <c r="E2635" s="31" t="n">
        <v>97.7</v>
      </c>
      <c r="F2635" s="31" t="n">
        <v>55</v>
      </c>
      <c r="G2635" s="31" t="n">
        <v>91.8</v>
      </c>
      <c r="H2635" s="2" t="s">
        <v>671</v>
      </c>
    </row>
    <row r="2636" customFormat="false" ht="15" hidden="false" customHeight="false" outlineLevel="0" collapsed="false">
      <c r="A2636" s="2" t="s">
        <v>697</v>
      </c>
      <c r="B2636" s="2" t="s">
        <v>45</v>
      </c>
      <c r="C2636" s="2" t="s">
        <v>4087</v>
      </c>
      <c r="D2636" s="11" t="n">
        <v>168620</v>
      </c>
      <c r="E2636" s="31" t="n">
        <v>95.9</v>
      </c>
      <c r="F2636" s="31" t="n">
        <v>56.5</v>
      </c>
      <c r="G2636" s="31" t="n">
        <v>58.6</v>
      </c>
      <c r="H2636" s="2" t="s">
        <v>671</v>
      </c>
    </row>
    <row r="2637" customFormat="false" ht="15" hidden="false" customHeight="false" outlineLevel="0" collapsed="false">
      <c r="A2637" s="2" t="s">
        <v>697</v>
      </c>
      <c r="B2637" s="2" t="s">
        <v>46</v>
      </c>
      <c r="C2637" s="2" t="s">
        <v>4085</v>
      </c>
      <c r="D2637" s="11" t="n">
        <v>22713</v>
      </c>
      <c r="E2637" s="31" t="n">
        <v>73</v>
      </c>
      <c r="F2637" s="31" t="n">
        <v>47.2</v>
      </c>
      <c r="G2637" s="31" t="n">
        <v>43.6</v>
      </c>
      <c r="H2637" s="2" t="s">
        <v>671</v>
      </c>
    </row>
    <row r="2638" customFormat="false" ht="15" hidden="false" customHeight="false" outlineLevel="0" collapsed="false">
      <c r="A2638" s="2" t="s">
        <v>697</v>
      </c>
      <c r="B2638" s="2" t="s">
        <v>46</v>
      </c>
      <c r="C2638" s="2" t="s">
        <v>4086</v>
      </c>
      <c r="D2638" s="11" t="n">
        <v>23650</v>
      </c>
      <c r="E2638" s="31" t="n">
        <v>79.8</v>
      </c>
      <c r="F2638" s="31" t="n">
        <v>61.5</v>
      </c>
      <c r="G2638" s="2"/>
      <c r="H2638" s="2" t="s">
        <v>668</v>
      </c>
    </row>
    <row r="2639" customFormat="false" ht="15" hidden="false" customHeight="false" outlineLevel="0" collapsed="false">
      <c r="A2639" s="2" t="s">
        <v>697</v>
      </c>
      <c r="B2639" s="2" t="s">
        <v>46</v>
      </c>
      <c r="C2639" s="2" t="s">
        <v>4087</v>
      </c>
      <c r="D2639" s="11" t="n">
        <v>24730</v>
      </c>
      <c r="E2639" s="31" t="n">
        <v>72.7</v>
      </c>
      <c r="F2639" s="31" t="n">
        <v>53.1</v>
      </c>
      <c r="G2639" s="31" t="n">
        <v>51.6</v>
      </c>
      <c r="H2639" s="2" t="s">
        <v>671</v>
      </c>
    </row>
    <row r="2640" customFormat="false" ht="15" hidden="false" customHeight="false" outlineLevel="0" collapsed="false">
      <c r="A2640" s="2" t="s">
        <v>697</v>
      </c>
      <c r="B2640" s="2" t="s">
        <v>47</v>
      </c>
      <c r="C2640" s="2" t="s">
        <v>4085</v>
      </c>
      <c r="D2640" s="11" t="n">
        <v>92682</v>
      </c>
      <c r="E2640" s="31" t="n">
        <v>50</v>
      </c>
      <c r="F2640" s="31" t="n">
        <v>16</v>
      </c>
      <c r="G2640" s="31" t="n">
        <v>97</v>
      </c>
      <c r="H2640" s="2" t="s">
        <v>671</v>
      </c>
    </row>
    <row r="2641" customFormat="false" ht="15" hidden="false" customHeight="false" outlineLevel="0" collapsed="false">
      <c r="A2641" s="2" t="s">
        <v>697</v>
      </c>
      <c r="B2641" s="2" t="s">
        <v>47</v>
      </c>
      <c r="C2641" s="2" t="s">
        <v>4086</v>
      </c>
      <c r="D2641" s="11" t="n">
        <v>94677</v>
      </c>
      <c r="E2641" s="31" t="n">
        <v>63.1</v>
      </c>
      <c r="F2641" s="31" t="n">
        <v>14.3</v>
      </c>
      <c r="G2641" s="31" t="n">
        <v>90.3</v>
      </c>
      <c r="H2641" s="2" t="s">
        <v>671</v>
      </c>
    </row>
    <row r="2642" customFormat="false" ht="15" hidden="false" customHeight="false" outlineLevel="0" collapsed="false">
      <c r="A2642" s="2" t="s">
        <v>697</v>
      </c>
      <c r="B2642" s="2" t="s">
        <v>47</v>
      </c>
      <c r="C2642" s="2" t="s">
        <v>4087</v>
      </c>
      <c r="D2642" s="11" t="n">
        <v>94696</v>
      </c>
      <c r="E2642" s="31" t="n">
        <v>63.5</v>
      </c>
      <c r="F2642" s="31" t="n">
        <v>36.2</v>
      </c>
      <c r="G2642" s="31" t="n">
        <v>94.3</v>
      </c>
      <c r="H2642" s="2" t="s">
        <v>668</v>
      </c>
    </row>
    <row r="2643" customFormat="false" ht="15" hidden="false" customHeight="false" outlineLevel="0" collapsed="false">
      <c r="A2643" s="2" t="s">
        <v>642</v>
      </c>
      <c r="B2643" s="2" t="s">
        <v>4104</v>
      </c>
      <c r="C2643" s="2" t="s">
        <v>4087</v>
      </c>
      <c r="D2643" s="2"/>
      <c r="E2643" s="31" t="n">
        <v>7.8</v>
      </c>
      <c r="F2643" s="31" t="n">
        <v>70.5</v>
      </c>
      <c r="G2643" s="31" t="n">
        <v>46.1</v>
      </c>
      <c r="H2643" s="2" t="s">
        <v>671</v>
      </c>
    </row>
    <row r="2644" customFormat="false" ht="15" hidden="false" customHeight="false" outlineLevel="0" collapsed="false">
      <c r="A2644" s="2" t="s">
        <v>642</v>
      </c>
      <c r="B2644" s="2" t="s">
        <v>46</v>
      </c>
      <c r="C2644" s="2" t="s">
        <v>4087</v>
      </c>
      <c r="D2644" s="11" t="n">
        <v>74440</v>
      </c>
      <c r="E2644" s="31" t="n">
        <v>7.8</v>
      </c>
      <c r="F2644" s="31" t="n">
        <v>70.5</v>
      </c>
      <c r="G2644" s="31" t="n">
        <v>46.1</v>
      </c>
      <c r="H2644" s="2" t="s">
        <v>671</v>
      </c>
    </row>
    <row r="2645" customFormat="false" ht="15" hidden="false" customHeight="false" outlineLevel="0" collapsed="false">
      <c r="A2645" s="2" t="s">
        <v>300</v>
      </c>
      <c r="B2645" s="2" t="s">
        <v>4104</v>
      </c>
      <c r="C2645" s="2" t="s">
        <v>4085</v>
      </c>
      <c r="D2645" s="2"/>
      <c r="E2645" s="31" t="n">
        <v>38.4</v>
      </c>
      <c r="F2645" s="31" t="n">
        <v>81.4</v>
      </c>
      <c r="G2645" s="31" t="n">
        <v>3.7</v>
      </c>
      <c r="H2645" s="2" t="s">
        <v>668</v>
      </c>
    </row>
    <row r="2646" customFormat="false" ht="15" hidden="false" customHeight="false" outlineLevel="0" collapsed="false">
      <c r="A2646" s="2" t="s">
        <v>300</v>
      </c>
      <c r="B2646" s="2" t="s">
        <v>4104</v>
      </c>
      <c r="C2646" s="2" t="s">
        <v>4086</v>
      </c>
      <c r="D2646" s="2"/>
      <c r="E2646" s="31" t="n">
        <v>59.8</v>
      </c>
      <c r="F2646" s="31" t="n">
        <v>71.6</v>
      </c>
      <c r="G2646" s="31" t="n">
        <v>42.3</v>
      </c>
      <c r="H2646" s="2" t="s">
        <v>668</v>
      </c>
    </row>
    <row r="2647" customFormat="false" ht="15" hidden="false" customHeight="false" outlineLevel="0" collapsed="false">
      <c r="A2647" s="2" t="s">
        <v>300</v>
      </c>
      <c r="B2647" s="2" t="s">
        <v>4104</v>
      </c>
      <c r="C2647" s="2" t="s">
        <v>4087</v>
      </c>
      <c r="D2647" s="2"/>
      <c r="E2647" s="31" t="n">
        <v>57.5</v>
      </c>
      <c r="F2647" s="31" t="n">
        <v>41.1</v>
      </c>
      <c r="G2647" s="31" t="n">
        <v>48.6</v>
      </c>
      <c r="H2647" s="2" t="s">
        <v>671</v>
      </c>
    </row>
    <row r="2648" customFormat="false" ht="15" hidden="false" customHeight="false" outlineLevel="0" collapsed="false">
      <c r="A2648" s="2" t="s">
        <v>300</v>
      </c>
      <c r="B2648" s="2" t="s">
        <v>45</v>
      </c>
      <c r="C2648" s="2" t="s">
        <v>4085</v>
      </c>
      <c r="D2648" s="2"/>
      <c r="E2648" s="2"/>
      <c r="F2648" s="2"/>
      <c r="G2648" s="2"/>
      <c r="H2648" s="2" t="s">
        <v>668</v>
      </c>
    </row>
    <row r="2649" customFormat="false" ht="15" hidden="false" customHeight="false" outlineLevel="0" collapsed="false">
      <c r="A2649" s="2" t="s">
        <v>300</v>
      </c>
      <c r="B2649" s="2" t="s">
        <v>45</v>
      </c>
      <c r="C2649" s="2" t="s">
        <v>4086</v>
      </c>
      <c r="D2649" s="11" t="n">
        <v>2280</v>
      </c>
      <c r="E2649" s="2"/>
      <c r="F2649" s="2"/>
      <c r="G2649" s="2"/>
      <c r="H2649" s="2" t="s">
        <v>668</v>
      </c>
    </row>
    <row r="2650" customFormat="false" ht="15" hidden="false" customHeight="false" outlineLevel="0" collapsed="false">
      <c r="A2650" s="2" t="s">
        <v>300</v>
      </c>
      <c r="B2650" s="2" t="s">
        <v>45</v>
      </c>
      <c r="C2650" s="2" t="s">
        <v>4087</v>
      </c>
      <c r="D2650" s="11" t="n">
        <v>2254</v>
      </c>
      <c r="E2650" s="31" t="n">
        <v>56.2</v>
      </c>
      <c r="F2650" s="31" t="n">
        <v>37</v>
      </c>
      <c r="G2650" s="2"/>
      <c r="H2650" s="2" t="s">
        <v>671</v>
      </c>
    </row>
    <row r="2651" customFormat="false" ht="15" hidden="false" customHeight="false" outlineLevel="0" collapsed="false">
      <c r="A2651" s="2" t="s">
        <v>300</v>
      </c>
      <c r="B2651" s="2" t="s">
        <v>46</v>
      </c>
      <c r="C2651" s="2" t="s">
        <v>4085</v>
      </c>
      <c r="D2651" s="2"/>
      <c r="E2651" s="2"/>
      <c r="F2651" s="2"/>
      <c r="G2651" s="2"/>
      <c r="H2651" s="2" t="s">
        <v>668</v>
      </c>
    </row>
    <row r="2652" customFormat="false" ht="15" hidden="false" customHeight="false" outlineLevel="0" collapsed="false">
      <c r="A2652" s="2" t="s">
        <v>300</v>
      </c>
      <c r="B2652" s="2" t="s">
        <v>46</v>
      </c>
      <c r="C2652" s="2" t="s">
        <v>4086</v>
      </c>
      <c r="D2652" s="11" t="n">
        <v>63210</v>
      </c>
      <c r="E2652" s="31" t="n">
        <v>71.7</v>
      </c>
      <c r="F2652" s="31" t="n">
        <v>61.1</v>
      </c>
      <c r="G2652" s="31" t="n">
        <v>74.4</v>
      </c>
      <c r="H2652" s="2" t="s">
        <v>671</v>
      </c>
    </row>
    <row r="2653" customFormat="false" ht="15" hidden="false" customHeight="false" outlineLevel="0" collapsed="false">
      <c r="A2653" s="2" t="s">
        <v>300</v>
      </c>
      <c r="B2653" s="2" t="s">
        <v>46</v>
      </c>
      <c r="C2653" s="2" t="s">
        <v>4087</v>
      </c>
      <c r="D2653" s="11" t="n">
        <v>63135</v>
      </c>
      <c r="E2653" s="31" t="n">
        <v>46.3</v>
      </c>
      <c r="F2653" s="31" t="n">
        <v>29</v>
      </c>
      <c r="G2653" s="31" t="n">
        <v>70.2</v>
      </c>
      <c r="H2653" s="2" t="s">
        <v>671</v>
      </c>
    </row>
    <row r="2654" customFormat="false" ht="15" hidden="false" customHeight="false" outlineLevel="0" collapsed="false">
      <c r="A2654" s="2" t="s">
        <v>300</v>
      </c>
      <c r="B2654" s="2" t="s">
        <v>47</v>
      </c>
      <c r="C2654" s="2" t="s">
        <v>4085</v>
      </c>
      <c r="D2654" s="11" t="n">
        <v>14115</v>
      </c>
      <c r="E2654" s="31" t="n">
        <v>38.4</v>
      </c>
      <c r="F2654" s="31" t="n">
        <v>81.4</v>
      </c>
      <c r="G2654" s="31" t="n">
        <v>3.7</v>
      </c>
      <c r="H2654" s="2" t="s">
        <v>671</v>
      </c>
    </row>
    <row r="2655" customFormat="false" ht="15" hidden="false" customHeight="false" outlineLevel="0" collapsed="false">
      <c r="A2655" s="2" t="s">
        <v>300</v>
      </c>
      <c r="B2655" s="2" t="s">
        <v>47</v>
      </c>
      <c r="C2655" s="2" t="s">
        <v>4086</v>
      </c>
      <c r="D2655" s="11" t="n">
        <v>14424</v>
      </c>
      <c r="E2655" s="31" t="n">
        <v>48</v>
      </c>
      <c r="F2655" s="31" t="n">
        <v>82.1</v>
      </c>
      <c r="G2655" s="31" t="n">
        <v>10.2</v>
      </c>
      <c r="H2655" s="2" t="s">
        <v>671</v>
      </c>
    </row>
    <row r="2656" customFormat="false" ht="15" hidden="false" customHeight="false" outlineLevel="0" collapsed="false">
      <c r="A2656" s="2" t="s">
        <v>300</v>
      </c>
      <c r="B2656" s="2" t="s">
        <v>47</v>
      </c>
      <c r="C2656" s="2" t="s">
        <v>4087</v>
      </c>
      <c r="D2656" s="11" t="n">
        <v>15139</v>
      </c>
      <c r="E2656" s="31" t="n">
        <v>70</v>
      </c>
      <c r="F2656" s="31" t="n">
        <v>57.4</v>
      </c>
      <c r="G2656" s="31" t="n">
        <v>27</v>
      </c>
      <c r="H2656" s="2" t="s">
        <v>671</v>
      </c>
    </row>
    <row r="2657" customFormat="false" ht="15" hidden="false" customHeight="false" outlineLevel="0" collapsed="false">
      <c r="A2657" s="2" t="s">
        <v>2335</v>
      </c>
      <c r="B2657" s="2" t="s">
        <v>4104</v>
      </c>
      <c r="C2657" s="2" t="s">
        <v>4085</v>
      </c>
      <c r="D2657" s="2"/>
      <c r="E2657" s="31" t="n">
        <v>54</v>
      </c>
      <c r="F2657" s="31" t="n">
        <v>63.5</v>
      </c>
      <c r="G2657" s="31" t="n">
        <v>53.4</v>
      </c>
      <c r="H2657" s="2" t="s">
        <v>668</v>
      </c>
    </row>
    <row r="2658" customFormat="false" ht="15" hidden="false" customHeight="false" outlineLevel="0" collapsed="false">
      <c r="A2658" s="2" t="s">
        <v>2335</v>
      </c>
      <c r="B2658" s="2" t="s">
        <v>4104</v>
      </c>
      <c r="C2658" s="2" t="s">
        <v>4086</v>
      </c>
      <c r="D2658" s="2"/>
      <c r="E2658" s="31" t="n">
        <v>56.2</v>
      </c>
      <c r="F2658" s="31" t="n">
        <v>61.6</v>
      </c>
      <c r="G2658" s="31" t="n">
        <v>65.4</v>
      </c>
      <c r="H2658" s="2" t="s">
        <v>668</v>
      </c>
    </row>
    <row r="2659" customFormat="false" ht="15" hidden="false" customHeight="false" outlineLevel="0" collapsed="false">
      <c r="A2659" s="2" t="s">
        <v>2335</v>
      </c>
      <c r="B2659" s="2" t="s">
        <v>4104</v>
      </c>
      <c r="C2659" s="2" t="s">
        <v>4087</v>
      </c>
      <c r="D2659" s="2"/>
      <c r="E2659" s="31" t="n">
        <v>44.6</v>
      </c>
      <c r="F2659" s="31" t="n">
        <v>73.2</v>
      </c>
      <c r="G2659" s="31" t="n">
        <v>34.3</v>
      </c>
      <c r="H2659" s="2" t="s">
        <v>668</v>
      </c>
    </row>
    <row r="2660" customFormat="false" ht="15" hidden="false" customHeight="false" outlineLevel="0" collapsed="false">
      <c r="A2660" s="2" t="s">
        <v>2335</v>
      </c>
      <c r="B2660" s="2" t="s">
        <v>45</v>
      </c>
      <c r="C2660" s="2" t="s">
        <v>4085</v>
      </c>
      <c r="D2660" s="11" t="n">
        <v>146780</v>
      </c>
      <c r="E2660" s="31" t="n">
        <v>30.2</v>
      </c>
      <c r="F2660" s="31" t="n">
        <v>48.6</v>
      </c>
      <c r="G2660" s="31" t="n">
        <v>78.3</v>
      </c>
      <c r="H2660" s="2" t="s">
        <v>671</v>
      </c>
    </row>
    <row r="2661" customFormat="false" ht="15" hidden="false" customHeight="false" outlineLevel="0" collapsed="false">
      <c r="A2661" s="2" t="s">
        <v>2335</v>
      </c>
      <c r="B2661" s="2" t="s">
        <v>45</v>
      </c>
      <c r="C2661" s="2" t="s">
        <v>4086</v>
      </c>
      <c r="D2661" s="11" t="n">
        <v>148540</v>
      </c>
      <c r="E2661" s="31" t="n">
        <v>38</v>
      </c>
      <c r="F2661" s="31" t="n">
        <v>61.4</v>
      </c>
      <c r="G2661" s="2"/>
      <c r="H2661" s="2" t="s">
        <v>668</v>
      </c>
    </row>
    <row r="2662" customFormat="false" ht="15" hidden="false" customHeight="false" outlineLevel="0" collapsed="false">
      <c r="A2662" s="2" t="s">
        <v>2335</v>
      </c>
      <c r="B2662" s="2" t="s">
        <v>45</v>
      </c>
      <c r="C2662" s="2" t="s">
        <v>4087</v>
      </c>
      <c r="D2662" s="2"/>
      <c r="E2662" s="2"/>
      <c r="F2662" s="2"/>
      <c r="G2662" s="2"/>
      <c r="H2662" s="2" t="s">
        <v>668</v>
      </c>
    </row>
    <row r="2663" customFormat="false" ht="15" hidden="false" customHeight="false" outlineLevel="0" collapsed="false">
      <c r="A2663" s="2" t="s">
        <v>2335</v>
      </c>
      <c r="B2663" s="2" t="s">
        <v>46</v>
      </c>
      <c r="C2663" s="2" t="s">
        <v>4085</v>
      </c>
      <c r="D2663" s="11" t="n">
        <v>25270</v>
      </c>
      <c r="E2663" s="31" t="n">
        <v>58.7</v>
      </c>
      <c r="F2663" s="31" t="n">
        <v>47.6</v>
      </c>
      <c r="G2663" s="2"/>
      <c r="H2663" s="2" t="s">
        <v>668</v>
      </c>
    </row>
    <row r="2664" customFormat="false" ht="15" hidden="false" customHeight="false" outlineLevel="0" collapsed="false">
      <c r="A2664" s="2" t="s">
        <v>2335</v>
      </c>
      <c r="B2664" s="2" t="s">
        <v>46</v>
      </c>
      <c r="C2664" s="2" t="s">
        <v>4086</v>
      </c>
      <c r="D2664" s="11" t="n">
        <v>25475</v>
      </c>
      <c r="E2664" s="31" t="n">
        <v>78.8</v>
      </c>
      <c r="F2664" s="31" t="n">
        <v>37.1</v>
      </c>
      <c r="G2664" s="31" t="n">
        <v>88.7</v>
      </c>
      <c r="H2664" s="2" t="s">
        <v>671</v>
      </c>
    </row>
    <row r="2665" customFormat="false" ht="15" hidden="false" customHeight="false" outlineLevel="0" collapsed="false">
      <c r="A2665" s="2" t="s">
        <v>2335</v>
      </c>
      <c r="B2665" s="2" t="s">
        <v>46</v>
      </c>
      <c r="C2665" s="2" t="s">
        <v>4087</v>
      </c>
      <c r="D2665" s="11" t="n">
        <v>27060</v>
      </c>
      <c r="E2665" s="31" t="n">
        <v>41.4</v>
      </c>
      <c r="F2665" s="31" t="n">
        <v>46.5</v>
      </c>
      <c r="G2665" s="2"/>
      <c r="H2665" s="2" t="s">
        <v>668</v>
      </c>
    </row>
    <row r="2666" customFormat="false" ht="15" hidden="false" customHeight="false" outlineLevel="0" collapsed="false">
      <c r="A2666" s="2" t="s">
        <v>2335</v>
      </c>
      <c r="B2666" s="2" t="s">
        <v>47</v>
      </c>
      <c r="C2666" s="2" t="s">
        <v>4085</v>
      </c>
      <c r="D2666" s="11" t="n">
        <v>7345</v>
      </c>
      <c r="E2666" s="31" t="n">
        <v>73.2</v>
      </c>
      <c r="F2666" s="31" t="n">
        <v>94.4</v>
      </c>
      <c r="G2666" s="31" t="n">
        <v>28.6</v>
      </c>
      <c r="H2666" s="2" t="s">
        <v>671</v>
      </c>
    </row>
    <row r="2667" customFormat="false" ht="15" hidden="false" customHeight="false" outlineLevel="0" collapsed="false">
      <c r="A2667" s="2" t="s">
        <v>2335</v>
      </c>
      <c r="B2667" s="2" t="s">
        <v>47</v>
      </c>
      <c r="C2667" s="2" t="s">
        <v>4086</v>
      </c>
      <c r="D2667" s="11" t="n">
        <v>7700</v>
      </c>
      <c r="E2667" s="31" t="n">
        <v>51.9</v>
      </c>
      <c r="F2667" s="31" t="n">
        <v>86.2</v>
      </c>
      <c r="G2667" s="31" t="n">
        <v>42.1</v>
      </c>
      <c r="H2667" s="2" t="s">
        <v>671</v>
      </c>
    </row>
    <row r="2668" customFormat="false" ht="15" hidden="false" customHeight="false" outlineLevel="0" collapsed="false">
      <c r="A2668" s="2" t="s">
        <v>2335</v>
      </c>
      <c r="B2668" s="2" t="s">
        <v>47</v>
      </c>
      <c r="C2668" s="2" t="s">
        <v>4087</v>
      </c>
      <c r="D2668" s="11" t="n">
        <v>8279</v>
      </c>
      <c r="E2668" s="31" t="n">
        <v>47.7</v>
      </c>
      <c r="F2668" s="31" t="n">
        <v>100</v>
      </c>
      <c r="G2668" s="31" t="n">
        <v>34.3</v>
      </c>
      <c r="H2668" s="2" t="s">
        <v>671</v>
      </c>
    </row>
    <row r="2669" customFormat="false" ht="15" hidden="false" customHeight="false" outlineLevel="0" collapsed="false">
      <c r="A2669" s="2" t="s">
        <v>1878</v>
      </c>
      <c r="B2669" s="2" t="s">
        <v>4104</v>
      </c>
      <c r="C2669" s="2" t="s">
        <v>4085</v>
      </c>
      <c r="D2669" s="2"/>
      <c r="E2669" s="31" t="n">
        <v>45.4</v>
      </c>
      <c r="F2669" s="31" t="n">
        <v>42.4</v>
      </c>
      <c r="G2669" s="31" t="n">
        <v>9.8</v>
      </c>
      <c r="H2669" s="2" t="s">
        <v>668</v>
      </c>
    </row>
    <row r="2670" customFormat="false" ht="15" hidden="false" customHeight="false" outlineLevel="0" collapsed="false">
      <c r="A2670" s="2" t="s">
        <v>1878</v>
      </c>
      <c r="B2670" s="2" t="s">
        <v>4104</v>
      </c>
      <c r="C2670" s="2" t="s">
        <v>4086</v>
      </c>
      <c r="D2670" s="2"/>
      <c r="E2670" s="31" t="n">
        <v>32.8</v>
      </c>
      <c r="F2670" s="31" t="n">
        <v>80.4</v>
      </c>
      <c r="G2670" s="31" t="n">
        <v>17</v>
      </c>
      <c r="H2670" s="2" t="s">
        <v>668</v>
      </c>
    </row>
    <row r="2671" customFormat="false" ht="15" hidden="false" customHeight="false" outlineLevel="0" collapsed="false">
      <c r="A2671" s="2" t="s">
        <v>1878</v>
      </c>
      <c r="B2671" s="2" t="s">
        <v>4104</v>
      </c>
      <c r="C2671" s="2" t="s">
        <v>4087</v>
      </c>
      <c r="D2671" s="2"/>
      <c r="E2671" s="31" t="n">
        <v>39.2</v>
      </c>
      <c r="F2671" s="31" t="n">
        <v>42.4</v>
      </c>
      <c r="G2671" s="31" t="n">
        <v>45.4</v>
      </c>
      <c r="H2671" s="2" t="s">
        <v>668</v>
      </c>
    </row>
    <row r="2672" customFormat="false" ht="15" hidden="false" customHeight="false" outlineLevel="0" collapsed="false">
      <c r="A2672" s="2" t="s">
        <v>1878</v>
      </c>
      <c r="B2672" s="2" t="s">
        <v>45</v>
      </c>
      <c r="C2672" s="2" t="s">
        <v>4085</v>
      </c>
      <c r="D2672" s="11" t="n">
        <v>3965</v>
      </c>
      <c r="E2672" s="31" t="n">
        <v>33.9</v>
      </c>
      <c r="F2672" s="31" t="n">
        <v>37.1</v>
      </c>
      <c r="G2672" s="31" t="n">
        <v>3.2</v>
      </c>
      <c r="H2672" s="2" t="s">
        <v>671</v>
      </c>
    </row>
    <row r="2673" customFormat="false" ht="15" hidden="false" customHeight="false" outlineLevel="0" collapsed="false">
      <c r="A2673" s="2" t="s">
        <v>1878</v>
      </c>
      <c r="B2673" s="2" t="s">
        <v>45</v>
      </c>
      <c r="C2673" s="2" t="s">
        <v>4086</v>
      </c>
      <c r="D2673" s="11" t="n">
        <v>4160</v>
      </c>
      <c r="E2673" s="31" t="n">
        <v>23.3</v>
      </c>
      <c r="F2673" s="31" t="n">
        <v>76.1</v>
      </c>
      <c r="G2673" s="31" t="n">
        <v>17</v>
      </c>
      <c r="H2673" s="2" t="s">
        <v>671</v>
      </c>
    </row>
    <row r="2674" customFormat="false" ht="15" hidden="false" customHeight="false" outlineLevel="0" collapsed="false">
      <c r="A2674" s="2" t="s">
        <v>1878</v>
      </c>
      <c r="B2674" s="2" t="s">
        <v>45</v>
      </c>
      <c r="C2674" s="2" t="s">
        <v>4087</v>
      </c>
      <c r="D2674" s="2"/>
      <c r="E2674" s="2"/>
      <c r="F2674" s="2"/>
      <c r="G2674" s="2"/>
      <c r="H2674" s="2" t="s">
        <v>668</v>
      </c>
    </row>
    <row r="2675" customFormat="false" ht="15" hidden="false" customHeight="false" outlineLevel="0" collapsed="false">
      <c r="A2675" s="2" t="s">
        <v>1878</v>
      </c>
      <c r="B2675" s="2" t="s">
        <v>46</v>
      </c>
      <c r="C2675" s="2" t="s">
        <v>4085</v>
      </c>
      <c r="D2675" s="11" t="n">
        <v>297950</v>
      </c>
      <c r="E2675" s="31" t="n">
        <v>29.7</v>
      </c>
      <c r="F2675" s="31" t="n">
        <v>84.6</v>
      </c>
      <c r="G2675" s="31" t="n">
        <v>16.4</v>
      </c>
      <c r="H2675" s="2" t="s">
        <v>671</v>
      </c>
    </row>
    <row r="2676" customFormat="false" ht="15" hidden="false" customHeight="false" outlineLevel="0" collapsed="false">
      <c r="A2676" s="2" t="s">
        <v>1878</v>
      </c>
      <c r="B2676" s="2" t="s">
        <v>46</v>
      </c>
      <c r="C2676" s="2" t="s">
        <v>4086</v>
      </c>
      <c r="D2676" s="11" t="n">
        <v>320870</v>
      </c>
      <c r="E2676" s="31" t="n">
        <v>42.4</v>
      </c>
      <c r="F2676" s="31" t="n">
        <v>84.7</v>
      </c>
      <c r="G2676" s="2"/>
      <c r="H2676" s="2" t="s">
        <v>668</v>
      </c>
    </row>
    <row r="2677" customFormat="false" ht="15" hidden="false" customHeight="false" outlineLevel="0" collapsed="false">
      <c r="A2677" s="2" t="s">
        <v>1878</v>
      </c>
      <c r="B2677" s="2" t="s">
        <v>46</v>
      </c>
      <c r="C2677" s="2" t="s">
        <v>4087</v>
      </c>
      <c r="D2677" s="11" t="n">
        <v>334280</v>
      </c>
      <c r="E2677" s="31" t="n">
        <v>16.9</v>
      </c>
      <c r="F2677" s="31" t="n">
        <v>84.1</v>
      </c>
      <c r="G2677" s="31" t="n">
        <v>65</v>
      </c>
      <c r="H2677" s="2" t="s">
        <v>671</v>
      </c>
    </row>
    <row r="2678" customFormat="false" ht="15" hidden="false" customHeight="false" outlineLevel="0" collapsed="false">
      <c r="A2678" s="2" t="s">
        <v>1878</v>
      </c>
      <c r="B2678" s="2" t="s">
        <v>47</v>
      </c>
      <c r="C2678" s="2" t="s">
        <v>4085</v>
      </c>
      <c r="D2678" s="11" t="n">
        <v>45787</v>
      </c>
      <c r="E2678" s="31" t="n">
        <v>72.7</v>
      </c>
      <c r="F2678" s="31" t="n">
        <v>5.6</v>
      </c>
      <c r="G2678" s="2"/>
      <c r="H2678" s="2" t="s">
        <v>668</v>
      </c>
    </row>
    <row r="2679" customFormat="false" ht="15" hidden="false" customHeight="false" outlineLevel="0" collapsed="false">
      <c r="A2679" s="2" t="s">
        <v>1878</v>
      </c>
      <c r="B2679" s="2" t="s">
        <v>47</v>
      </c>
      <c r="C2679" s="2" t="s">
        <v>4086</v>
      </c>
      <c r="D2679" s="2"/>
      <c r="E2679" s="2"/>
      <c r="F2679" s="2"/>
      <c r="G2679" s="2"/>
      <c r="H2679" s="2" t="s">
        <v>668</v>
      </c>
    </row>
    <row r="2680" customFormat="false" ht="15" hidden="false" customHeight="false" outlineLevel="0" collapsed="false">
      <c r="A2680" s="2" t="s">
        <v>1878</v>
      </c>
      <c r="B2680" s="2" t="s">
        <v>47</v>
      </c>
      <c r="C2680" s="2" t="s">
        <v>4087</v>
      </c>
      <c r="D2680" s="11" t="n">
        <v>44671</v>
      </c>
      <c r="E2680" s="31" t="n">
        <v>61.4</v>
      </c>
      <c r="F2680" s="31" t="n">
        <v>0.7</v>
      </c>
      <c r="G2680" s="31" t="n">
        <v>25.7</v>
      </c>
      <c r="H2680" s="2" t="s">
        <v>671</v>
      </c>
    </row>
    <row r="2681" customFormat="false" ht="15" hidden="false" customHeight="false" outlineLevel="0" collapsed="false">
      <c r="A2681" s="2" t="s">
        <v>120</v>
      </c>
      <c r="B2681" s="2" t="s">
        <v>4104</v>
      </c>
      <c r="C2681" s="2" t="s">
        <v>4085</v>
      </c>
      <c r="D2681" s="2"/>
      <c r="E2681" s="31" t="n">
        <v>92.6</v>
      </c>
      <c r="F2681" s="31" t="n">
        <v>43.8</v>
      </c>
      <c r="G2681" s="31" t="n">
        <v>2.7</v>
      </c>
      <c r="H2681" s="2" t="s">
        <v>671</v>
      </c>
    </row>
    <row r="2682" customFormat="false" ht="15" hidden="false" customHeight="false" outlineLevel="0" collapsed="false">
      <c r="A2682" s="2" t="s">
        <v>120</v>
      </c>
      <c r="B2682" s="2" t="s">
        <v>4104</v>
      </c>
      <c r="C2682" s="2" t="s">
        <v>4086</v>
      </c>
      <c r="D2682" s="2"/>
      <c r="E2682" s="31" t="n">
        <v>91.7</v>
      </c>
      <c r="F2682" s="31" t="n">
        <v>52.6</v>
      </c>
      <c r="G2682" s="31" t="n">
        <v>34</v>
      </c>
      <c r="H2682" s="2" t="s">
        <v>671</v>
      </c>
    </row>
    <row r="2683" customFormat="false" ht="15" hidden="false" customHeight="false" outlineLevel="0" collapsed="false">
      <c r="A2683" s="2" t="s">
        <v>120</v>
      </c>
      <c r="B2683" s="2" t="s">
        <v>4104</v>
      </c>
      <c r="C2683" s="2" t="s">
        <v>4087</v>
      </c>
      <c r="D2683" s="2"/>
      <c r="E2683" s="31" t="n">
        <v>87.4</v>
      </c>
      <c r="F2683" s="31" t="n">
        <v>41.7</v>
      </c>
      <c r="G2683" s="31" t="n">
        <v>3.9</v>
      </c>
      <c r="H2683" s="2" t="s">
        <v>671</v>
      </c>
    </row>
    <row r="2684" customFormat="false" ht="15" hidden="false" customHeight="false" outlineLevel="0" collapsed="false">
      <c r="A2684" s="2" t="s">
        <v>120</v>
      </c>
      <c r="B2684" s="2" t="s">
        <v>45</v>
      </c>
      <c r="C2684" s="2" t="s">
        <v>4085</v>
      </c>
      <c r="D2684" s="11" t="n">
        <v>18826</v>
      </c>
      <c r="E2684" s="31" t="n">
        <v>92.6</v>
      </c>
      <c r="F2684" s="31" t="n">
        <v>43.8</v>
      </c>
      <c r="G2684" s="31" t="n">
        <v>2.7</v>
      </c>
      <c r="H2684" s="2" t="s">
        <v>671</v>
      </c>
    </row>
    <row r="2685" customFormat="false" ht="15" hidden="false" customHeight="false" outlineLevel="0" collapsed="false">
      <c r="A2685" s="2" t="s">
        <v>120</v>
      </c>
      <c r="B2685" s="2" t="s">
        <v>45</v>
      </c>
      <c r="C2685" s="2" t="s">
        <v>4086</v>
      </c>
      <c r="D2685" s="11" t="n">
        <v>19100</v>
      </c>
      <c r="E2685" s="31" t="n">
        <v>91.7</v>
      </c>
      <c r="F2685" s="31" t="n">
        <v>52.6</v>
      </c>
      <c r="G2685" s="31" t="n">
        <v>34</v>
      </c>
      <c r="H2685" s="2" t="s">
        <v>671</v>
      </c>
    </row>
    <row r="2686" customFormat="false" ht="15" hidden="false" customHeight="false" outlineLevel="0" collapsed="false">
      <c r="A2686" s="2" t="s">
        <v>120</v>
      </c>
      <c r="B2686" s="2" t="s">
        <v>45</v>
      </c>
      <c r="C2686" s="2" t="s">
        <v>4087</v>
      </c>
      <c r="D2686" s="11" t="n">
        <v>19938</v>
      </c>
      <c r="E2686" s="31" t="n">
        <v>87.4</v>
      </c>
      <c r="F2686" s="31" t="n">
        <v>41.7</v>
      </c>
      <c r="G2686" s="31" t="n">
        <v>3.9</v>
      </c>
      <c r="H2686" s="2" t="s">
        <v>671</v>
      </c>
    </row>
    <row r="2687" customFormat="false" ht="15" hidden="false" customHeight="false" outlineLevel="0" collapsed="false">
      <c r="A2687" s="2" t="s">
        <v>2861</v>
      </c>
      <c r="B2687" s="2" t="s">
        <v>4104</v>
      </c>
      <c r="C2687" s="2" t="s">
        <v>4087</v>
      </c>
      <c r="D2687" s="2"/>
      <c r="E2687" s="31" t="n">
        <v>20.7</v>
      </c>
      <c r="F2687" s="31" t="n">
        <v>44.4</v>
      </c>
      <c r="G2687" s="2"/>
      <c r="H2687" s="2" t="s">
        <v>668</v>
      </c>
    </row>
    <row r="2688" customFormat="false" ht="15" hidden="false" customHeight="false" outlineLevel="0" collapsed="false">
      <c r="A2688" s="2" t="s">
        <v>2861</v>
      </c>
      <c r="B2688" s="2" t="s">
        <v>46</v>
      </c>
      <c r="C2688" s="2" t="s">
        <v>4087</v>
      </c>
      <c r="D2688" s="11" t="n">
        <v>48684</v>
      </c>
      <c r="E2688" s="31" t="n">
        <v>20.7</v>
      </c>
      <c r="F2688" s="31" t="n">
        <v>44.4</v>
      </c>
      <c r="G2688" s="2"/>
      <c r="H2688" s="2" t="s">
        <v>668</v>
      </c>
    </row>
    <row r="2689" customFormat="false" ht="15" hidden="false" customHeight="false" outlineLevel="0" collapsed="false">
      <c r="A2689" s="2" t="s">
        <v>2609</v>
      </c>
      <c r="B2689" s="2" t="s">
        <v>4104</v>
      </c>
      <c r="C2689" s="2" t="s">
        <v>4085</v>
      </c>
      <c r="D2689" s="2"/>
      <c r="E2689" s="31" t="n">
        <v>41</v>
      </c>
      <c r="F2689" s="31" t="n">
        <v>36.2</v>
      </c>
      <c r="G2689" s="31" t="n">
        <v>50.2</v>
      </c>
      <c r="H2689" s="2" t="s">
        <v>671</v>
      </c>
    </row>
    <row r="2690" customFormat="false" ht="15" hidden="false" customHeight="false" outlineLevel="0" collapsed="false">
      <c r="A2690" s="2" t="s">
        <v>2609</v>
      </c>
      <c r="B2690" s="2" t="s">
        <v>4104</v>
      </c>
      <c r="C2690" s="2" t="s">
        <v>4086</v>
      </c>
      <c r="D2690" s="2"/>
      <c r="E2690" s="31" t="n">
        <v>31.5</v>
      </c>
      <c r="F2690" s="31" t="n">
        <v>43</v>
      </c>
      <c r="G2690" s="31" t="n">
        <v>54.6</v>
      </c>
      <c r="H2690" s="2" t="s">
        <v>668</v>
      </c>
    </row>
    <row r="2691" customFormat="false" ht="15" hidden="false" customHeight="false" outlineLevel="0" collapsed="false">
      <c r="A2691" s="2" t="s">
        <v>2609</v>
      </c>
      <c r="B2691" s="2" t="s">
        <v>4104</v>
      </c>
      <c r="C2691" s="2" t="s">
        <v>4087</v>
      </c>
      <c r="D2691" s="2"/>
      <c r="E2691" s="31" t="n">
        <v>29.2</v>
      </c>
      <c r="F2691" s="31" t="n">
        <v>31</v>
      </c>
      <c r="G2691" s="31" t="n">
        <v>82.3</v>
      </c>
      <c r="H2691" s="2" t="s">
        <v>668</v>
      </c>
    </row>
    <row r="2692" customFormat="false" ht="15" hidden="false" customHeight="false" outlineLevel="0" collapsed="false">
      <c r="A2692" s="2" t="s">
        <v>2609</v>
      </c>
      <c r="B2692" s="2" t="s">
        <v>45</v>
      </c>
      <c r="C2692" s="2" t="s">
        <v>4085</v>
      </c>
      <c r="D2692" s="11" t="n">
        <v>116957</v>
      </c>
      <c r="E2692" s="31" t="n">
        <v>22.3</v>
      </c>
      <c r="F2692" s="31" t="n">
        <v>45.9</v>
      </c>
      <c r="G2692" s="31" t="n">
        <v>21.5</v>
      </c>
      <c r="H2692" s="2" t="s">
        <v>671</v>
      </c>
    </row>
    <row r="2693" customFormat="false" ht="15" hidden="false" customHeight="false" outlineLevel="0" collapsed="false">
      <c r="A2693" s="2" t="s">
        <v>2609</v>
      </c>
      <c r="B2693" s="2" t="s">
        <v>45</v>
      </c>
      <c r="C2693" s="2" t="s">
        <v>4086</v>
      </c>
      <c r="D2693" s="2"/>
      <c r="E2693" s="2"/>
      <c r="F2693" s="2"/>
      <c r="G2693" s="2"/>
      <c r="H2693" s="2" t="s">
        <v>668</v>
      </c>
    </row>
    <row r="2694" customFormat="false" ht="15" hidden="false" customHeight="false" outlineLevel="0" collapsed="false">
      <c r="A2694" s="2" t="s">
        <v>2609</v>
      </c>
      <c r="B2694" s="2" t="s">
        <v>45</v>
      </c>
      <c r="C2694" s="2" t="s">
        <v>4087</v>
      </c>
      <c r="D2694" s="11" t="n">
        <v>124680</v>
      </c>
      <c r="E2694" s="31" t="n">
        <v>45.9</v>
      </c>
      <c r="F2694" s="31" t="n">
        <v>41.3</v>
      </c>
      <c r="G2694" s="2"/>
      <c r="H2694" s="2" t="s">
        <v>668</v>
      </c>
    </row>
    <row r="2695" customFormat="false" ht="15" hidden="false" customHeight="false" outlineLevel="0" collapsed="false">
      <c r="A2695" s="2" t="s">
        <v>2609</v>
      </c>
      <c r="B2695" s="2" t="s">
        <v>46</v>
      </c>
      <c r="C2695" s="2" t="s">
        <v>4085</v>
      </c>
      <c r="D2695" s="11" t="n">
        <v>120820</v>
      </c>
      <c r="E2695" s="31" t="n">
        <v>44.6</v>
      </c>
      <c r="F2695" s="31" t="n">
        <v>42.9</v>
      </c>
      <c r="G2695" s="31" t="n">
        <v>83.3</v>
      </c>
      <c r="H2695" s="2" t="s">
        <v>671</v>
      </c>
    </row>
    <row r="2696" customFormat="false" ht="15" hidden="false" customHeight="false" outlineLevel="0" collapsed="false">
      <c r="A2696" s="2" t="s">
        <v>2609</v>
      </c>
      <c r="B2696" s="2" t="s">
        <v>46</v>
      </c>
      <c r="C2696" s="2" t="s">
        <v>4086</v>
      </c>
      <c r="D2696" s="11" t="n">
        <v>124880</v>
      </c>
      <c r="E2696" s="31" t="n">
        <v>43.8</v>
      </c>
      <c r="F2696" s="31" t="n">
        <v>43.9</v>
      </c>
      <c r="G2696" s="31" t="n">
        <v>48.3</v>
      </c>
      <c r="H2696" s="2" t="s">
        <v>671</v>
      </c>
    </row>
    <row r="2697" customFormat="false" ht="15" hidden="false" customHeight="false" outlineLevel="0" collapsed="false">
      <c r="A2697" s="2" t="s">
        <v>2609</v>
      </c>
      <c r="B2697" s="2" t="s">
        <v>46</v>
      </c>
      <c r="C2697" s="2" t="s">
        <v>4087</v>
      </c>
      <c r="D2697" s="2"/>
      <c r="E2697" s="2"/>
      <c r="F2697" s="2"/>
      <c r="G2697" s="2"/>
      <c r="H2697" s="2" t="s">
        <v>668</v>
      </c>
    </row>
    <row r="2698" customFormat="false" ht="15" hidden="false" customHeight="false" outlineLevel="0" collapsed="false">
      <c r="A2698" s="2" t="s">
        <v>2609</v>
      </c>
      <c r="B2698" s="2" t="s">
        <v>47</v>
      </c>
      <c r="C2698" s="2" t="s">
        <v>4085</v>
      </c>
      <c r="D2698" s="11" t="n">
        <v>10560</v>
      </c>
      <c r="E2698" s="31" t="n">
        <v>56.1</v>
      </c>
      <c r="F2698" s="31" t="n">
        <v>19.9</v>
      </c>
      <c r="G2698" s="31" t="n">
        <v>45.7</v>
      </c>
      <c r="H2698" s="2" t="s">
        <v>671</v>
      </c>
    </row>
    <row r="2699" customFormat="false" ht="15" hidden="false" customHeight="false" outlineLevel="0" collapsed="false">
      <c r="A2699" s="2" t="s">
        <v>2609</v>
      </c>
      <c r="B2699" s="2" t="s">
        <v>47</v>
      </c>
      <c r="C2699" s="2" t="s">
        <v>4086</v>
      </c>
      <c r="D2699" s="11" t="n">
        <v>11000</v>
      </c>
      <c r="E2699" s="31" t="n">
        <v>19.2</v>
      </c>
      <c r="F2699" s="31" t="n">
        <v>42.2</v>
      </c>
      <c r="G2699" s="31" t="n">
        <v>60.9</v>
      </c>
      <c r="H2699" s="2" t="s">
        <v>671</v>
      </c>
    </row>
    <row r="2700" customFormat="false" ht="15" hidden="false" customHeight="false" outlineLevel="0" collapsed="false">
      <c r="A2700" s="2" t="s">
        <v>2609</v>
      </c>
      <c r="B2700" s="2" t="s">
        <v>47</v>
      </c>
      <c r="C2700" s="2" t="s">
        <v>4087</v>
      </c>
      <c r="D2700" s="11" t="n">
        <v>10755</v>
      </c>
      <c r="E2700" s="31" t="n">
        <v>12.5</v>
      </c>
      <c r="F2700" s="31" t="n">
        <v>20.6</v>
      </c>
      <c r="G2700" s="31" t="n">
        <v>82.3</v>
      </c>
      <c r="H2700" s="2" t="s">
        <v>671</v>
      </c>
    </row>
    <row r="2701" customFormat="false" ht="15" hidden="false" customHeight="false" outlineLevel="0" collapsed="false">
      <c r="A2701" s="2" t="s">
        <v>2864</v>
      </c>
      <c r="B2701" s="2" t="s">
        <v>4104</v>
      </c>
      <c r="C2701" s="2" t="s">
        <v>4085</v>
      </c>
      <c r="D2701" s="2"/>
      <c r="E2701" s="31" t="n">
        <v>55</v>
      </c>
      <c r="F2701" s="31" t="n">
        <v>38.6</v>
      </c>
      <c r="G2701" s="31" t="n">
        <v>93.4</v>
      </c>
      <c r="H2701" s="2" t="s">
        <v>668</v>
      </c>
    </row>
    <row r="2702" customFormat="false" ht="15" hidden="false" customHeight="false" outlineLevel="0" collapsed="false">
      <c r="A2702" s="2" t="s">
        <v>2864</v>
      </c>
      <c r="B2702" s="2" t="s">
        <v>4104</v>
      </c>
      <c r="C2702" s="2" t="s">
        <v>4086</v>
      </c>
      <c r="D2702" s="2"/>
      <c r="E2702" s="31" t="n">
        <v>26.9</v>
      </c>
      <c r="F2702" s="31" t="n">
        <v>67.4</v>
      </c>
      <c r="G2702" s="31" t="n">
        <v>67.6</v>
      </c>
      <c r="H2702" s="2" t="s">
        <v>668</v>
      </c>
    </row>
    <row r="2703" customFormat="false" ht="15" hidden="false" customHeight="false" outlineLevel="0" collapsed="false">
      <c r="A2703" s="2" t="s">
        <v>2864</v>
      </c>
      <c r="B2703" s="2" t="s">
        <v>4104</v>
      </c>
      <c r="C2703" s="2" t="s">
        <v>4087</v>
      </c>
      <c r="D2703" s="2"/>
      <c r="E2703" s="2"/>
      <c r="F2703" s="31" t="n">
        <v>50.2</v>
      </c>
      <c r="G2703" s="31" t="n">
        <v>85.5</v>
      </c>
      <c r="H2703" s="2" t="s">
        <v>668</v>
      </c>
    </row>
    <row r="2704" customFormat="false" ht="15" hidden="false" customHeight="false" outlineLevel="0" collapsed="false">
      <c r="A2704" s="2" t="s">
        <v>2864</v>
      </c>
      <c r="B2704" s="2" t="s">
        <v>46</v>
      </c>
      <c r="C2704" s="2" t="s">
        <v>4085</v>
      </c>
      <c r="D2704" s="11" t="n">
        <v>9591</v>
      </c>
      <c r="E2704" s="31" t="n">
        <v>55</v>
      </c>
      <c r="F2704" s="31" t="n">
        <v>38.6</v>
      </c>
      <c r="G2704" s="31" t="n">
        <v>93.4</v>
      </c>
      <c r="H2704" s="2" t="s">
        <v>671</v>
      </c>
    </row>
    <row r="2705" customFormat="false" ht="15" hidden="false" customHeight="false" outlineLevel="0" collapsed="false">
      <c r="A2705" s="2" t="s">
        <v>2864</v>
      </c>
      <c r="B2705" s="2" t="s">
        <v>46</v>
      </c>
      <c r="C2705" s="2" t="s">
        <v>4086</v>
      </c>
      <c r="D2705" s="11" t="n">
        <v>10090</v>
      </c>
      <c r="E2705" s="31" t="n">
        <v>51.7</v>
      </c>
      <c r="F2705" s="31" t="n">
        <v>80.7</v>
      </c>
      <c r="G2705" s="2"/>
      <c r="H2705" s="2" t="s">
        <v>668</v>
      </c>
    </row>
    <row r="2706" customFormat="false" ht="15" hidden="false" customHeight="false" outlineLevel="0" collapsed="false">
      <c r="A2706" s="2" t="s">
        <v>2864</v>
      </c>
      <c r="B2706" s="2" t="s">
        <v>46</v>
      </c>
      <c r="C2706" s="2" t="s">
        <v>4087</v>
      </c>
      <c r="D2706" s="11" t="n">
        <v>10460</v>
      </c>
      <c r="E2706" s="2"/>
      <c r="F2706" s="31" t="n">
        <v>50.2</v>
      </c>
      <c r="G2706" s="31" t="n">
        <v>85.5</v>
      </c>
      <c r="H2706" s="2" t="s">
        <v>668</v>
      </c>
    </row>
    <row r="2707" customFormat="false" ht="15" hidden="false" customHeight="false" outlineLevel="0" collapsed="false">
      <c r="A2707" s="2" t="s">
        <v>2864</v>
      </c>
      <c r="B2707" s="2" t="s">
        <v>47</v>
      </c>
      <c r="C2707" s="2" t="s">
        <v>4085</v>
      </c>
      <c r="D2707" s="2"/>
      <c r="E2707" s="2"/>
      <c r="F2707" s="2"/>
      <c r="G2707" s="2"/>
      <c r="H2707" s="2" t="s">
        <v>668</v>
      </c>
    </row>
    <row r="2708" customFormat="false" ht="15" hidden="false" customHeight="false" outlineLevel="0" collapsed="false">
      <c r="A2708" s="2" t="s">
        <v>2864</v>
      </c>
      <c r="B2708" s="2" t="s">
        <v>47</v>
      </c>
      <c r="C2708" s="2" t="s">
        <v>4086</v>
      </c>
      <c r="D2708" s="11" t="n">
        <v>71299</v>
      </c>
      <c r="E2708" s="31" t="n">
        <v>2.1</v>
      </c>
      <c r="F2708" s="31" t="n">
        <v>54.2</v>
      </c>
      <c r="G2708" s="31" t="n">
        <v>67.6</v>
      </c>
      <c r="H2708" s="2" t="s">
        <v>671</v>
      </c>
    </row>
    <row r="2709" customFormat="false" ht="15" hidden="false" customHeight="false" outlineLevel="0" collapsed="false">
      <c r="A2709" s="2" t="s">
        <v>2864</v>
      </c>
      <c r="B2709" s="2" t="s">
        <v>47</v>
      </c>
      <c r="C2709" s="2" t="s">
        <v>4087</v>
      </c>
      <c r="D2709" s="2"/>
      <c r="E2709" s="2"/>
      <c r="F2709" s="2"/>
      <c r="G2709" s="2"/>
      <c r="H2709" s="2" t="s">
        <v>668</v>
      </c>
    </row>
    <row r="2710" customFormat="false" ht="15" hidden="false" customHeight="false" outlineLevel="0" collapsed="false">
      <c r="A2710" s="2" t="s">
        <v>1240</v>
      </c>
      <c r="B2710" s="2" t="s">
        <v>4104</v>
      </c>
      <c r="C2710" s="2" t="s">
        <v>4085</v>
      </c>
      <c r="D2710" s="2"/>
      <c r="E2710" s="31" t="n">
        <v>78.2</v>
      </c>
      <c r="F2710" s="31" t="n">
        <v>52.8</v>
      </c>
      <c r="G2710" s="31" t="n">
        <v>49.7</v>
      </c>
      <c r="H2710" s="2" t="s">
        <v>668</v>
      </c>
    </row>
    <row r="2711" customFormat="false" ht="15" hidden="false" customHeight="false" outlineLevel="0" collapsed="false">
      <c r="A2711" s="2" t="s">
        <v>1240</v>
      </c>
      <c r="B2711" s="2" t="s">
        <v>4104</v>
      </c>
      <c r="C2711" s="2" t="s">
        <v>4086</v>
      </c>
      <c r="D2711" s="2"/>
      <c r="E2711" s="31" t="n">
        <v>46.1</v>
      </c>
      <c r="F2711" s="31" t="n">
        <v>45</v>
      </c>
      <c r="G2711" s="31" t="n">
        <v>46.3</v>
      </c>
      <c r="H2711" s="2" t="s">
        <v>668</v>
      </c>
    </row>
    <row r="2712" customFormat="false" ht="15" hidden="false" customHeight="false" outlineLevel="0" collapsed="false">
      <c r="A2712" s="2" t="s">
        <v>1240</v>
      </c>
      <c r="B2712" s="2" t="s">
        <v>4104</v>
      </c>
      <c r="C2712" s="2" t="s">
        <v>4087</v>
      </c>
      <c r="D2712" s="2"/>
      <c r="E2712" s="31" t="n">
        <v>48</v>
      </c>
      <c r="F2712" s="31" t="n">
        <v>38.3</v>
      </c>
      <c r="G2712" s="31" t="n">
        <v>62.5</v>
      </c>
      <c r="H2712" s="2" t="s">
        <v>668</v>
      </c>
    </row>
    <row r="2713" customFormat="false" ht="15" hidden="false" customHeight="false" outlineLevel="0" collapsed="false">
      <c r="A2713" s="2" t="s">
        <v>1240</v>
      </c>
      <c r="B2713" s="2" t="s">
        <v>45</v>
      </c>
      <c r="C2713" s="2" t="s">
        <v>4085</v>
      </c>
      <c r="D2713" s="2"/>
      <c r="E2713" s="2"/>
      <c r="F2713" s="2"/>
      <c r="G2713" s="2"/>
      <c r="H2713" s="2" t="s">
        <v>668</v>
      </c>
    </row>
    <row r="2714" customFormat="false" ht="15" hidden="false" customHeight="false" outlineLevel="0" collapsed="false">
      <c r="A2714" s="2" t="s">
        <v>1240</v>
      </c>
      <c r="B2714" s="2" t="s">
        <v>45</v>
      </c>
      <c r="C2714" s="2" t="s">
        <v>4086</v>
      </c>
      <c r="D2714" s="11" t="n">
        <v>16550</v>
      </c>
      <c r="E2714" s="31" t="n">
        <v>35.9</v>
      </c>
      <c r="F2714" s="31" t="n">
        <v>46.4</v>
      </c>
      <c r="G2714" s="2"/>
      <c r="H2714" s="2" t="s">
        <v>668</v>
      </c>
    </row>
    <row r="2715" customFormat="false" ht="15" hidden="false" customHeight="false" outlineLevel="0" collapsed="false">
      <c r="A2715" s="2" t="s">
        <v>1240</v>
      </c>
      <c r="B2715" s="2" t="s">
        <v>45</v>
      </c>
      <c r="C2715" s="2" t="s">
        <v>4087</v>
      </c>
      <c r="D2715" s="11" t="n">
        <v>16366</v>
      </c>
      <c r="E2715" s="31" t="n">
        <v>23.1</v>
      </c>
      <c r="F2715" s="31" t="n">
        <v>57.5</v>
      </c>
      <c r="G2715" s="2"/>
      <c r="H2715" s="2" t="s">
        <v>671</v>
      </c>
    </row>
    <row r="2716" customFormat="false" ht="15" hidden="false" customHeight="false" outlineLevel="0" collapsed="false">
      <c r="A2716" s="2" t="s">
        <v>1240</v>
      </c>
      <c r="B2716" s="2" t="s">
        <v>46</v>
      </c>
      <c r="C2716" s="2" t="s">
        <v>4085</v>
      </c>
      <c r="D2716" s="11" t="n">
        <v>218820</v>
      </c>
      <c r="E2716" s="31" t="n">
        <v>77.7</v>
      </c>
      <c r="F2716" s="31" t="n">
        <v>92.9</v>
      </c>
      <c r="G2716" s="31" t="n">
        <v>82.4</v>
      </c>
      <c r="H2716" s="2" t="s">
        <v>671</v>
      </c>
    </row>
    <row r="2717" customFormat="false" ht="15" hidden="false" customHeight="false" outlineLevel="0" collapsed="false">
      <c r="A2717" s="2" t="s">
        <v>1240</v>
      </c>
      <c r="B2717" s="2" t="s">
        <v>46</v>
      </c>
      <c r="C2717" s="2" t="s">
        <v>4086</v>
      </c>
      <c r="D2717" s="11" t="n">
        <v>223020</v>
      </c>
      <c r="E2717" s="31" t="n">
        <v>58.3</v>
      </c>
      <c r="F2717" s="31" t="n">
        <v>71.3</v>
      </c>
      <c r="G2717" s="31" t="n">
        <v>64.5</v>
      </c>
      <c r="H2717" s="2" t="s">
        <v>671</v>
      </c>
    </row>
    <row r="2718" customFormat="false" ht="15" hidden="false" customHeight="false" outlineLevel="0" collapsed="false">
      <c r="A2718" s="2" t="s">
        <v>1240</v>
      </c>
      <c r="B2718" s="2" t="s">
        <v>46</v>
      </c>
      <c r="C2718" s="2" t="s">
        <v>4087</v>
      </c>
      <c r="D2718" s="11" t="n">
        <v>229373</v>
      </c>
      <c r="E2718" s="31" t="n">
        <v>87.7</v>
      </c>
      <c r="F2718" s="31" t="n">
        <v>40.4</v>
      </c>
      <c r="G2718" s="2"/>
      <c r="H2718" s="2" t="s">
        <v>668</v>
      </c>
    </row>
    <row r="2719" customFormat="false" ht="15" hidden="false" customHeight="false" outlineLevel="0" collapsed="false">
      <c r="A2719" s="2" t="s">
        <v>1240</v>
      </c>
      <c r="B2719" s="2" t="s">
        <v>47</v>
      </c>
      <c r="C2719" s="2" t="s">
        <v>4085</v>
      </c>
      <c r="D2719" s="11" t="n">
        <v>23017</v>
      </c>
      <c r="E2719" s="31" t="n">
        <v>78.7</v>
      </c>
      <c r="F2719" s="31" t="n">
        <v>12.7</v>
      </c>
      <c r="G2719" s="31" t="n">
        <v>16.9</v>
      </c>
      <c r="H2719" s="2" t="s">
        <v>671</v>
      </c>
    </row>
    <row r="2720" customFormat="false" ht="15" hidden="false" customHeight="false" outlineLevel="0" collapsed="false">
      <c r="A2720" s="2" t="s">
        <v>1240</v>
      </c>
      <c r="B2720" s="2" t="s">
        <v>47</v>
      </c>
      <c r="C2720" s="2" t="s">
        <v>4086</v>
      </c>
      <c r="D2720" s="11" t="n">
        <v>23393</v>
      </c>
      <c r="E2720" s="31" t="n">
        <v>44.1</v>
      </c>
      <c r="F2720" s="31" t="n">
        <v>17.2</v>
      </c>
      <c r="G2720" s="31" t="n">
        <v>28.1</v>
      </c>
      <c r="H2720" s="2" t="s">
        <v>671</v>
      </c>
    </row>
    <row r="2721" customFormat="false" ht="15" hidden="false" customHeight="false" outlineLevel="0" collapsed="false">
      <c r="A2721" s="2" t="s">
        <v>1240</v>
      </c>
      <c r="B2721" s="2" t="s">
        <v>47</v>
      </c>
      <c r="C2721" s="2" t="s">
        <v>4087</v>
      </c>
      <c r="D2721" s="11" t="n">
        <v>23230</v>
      </c>
      <c r="E2721" s="31" t="n">
        <v>33.3</v>
      </c>
      <c r="F2721" s="31" t="n">
        <v>17</v>
      </c>
      <c r="G2721" s="31" t="n">
        <v>62.5</v>
      </c>
      <c r="H2721" s="2" t="s">
        <v>671</v>
      </c>
    </row>
    <row r="2722" customFormat="false" ht="15" hidden="false" customHeight="false" outlineLevel="0" collapsed="false">
      <c r="A2722" s="2" t="s">
        <v>724</v>
      </c>
      <c r="B2722" s="2" t="s">
        <v>4104</v>
      </c>
      <c r="C2722" s="2" t="s">
        <v>4085</v>
      </c>
      <c r="D2722" s="2"/>
      <c r="E2722" s="31" t="n">
        <v>58.2</v>
      </c>
      <c r="F2722" s="31" t="n">
        <v>41.7</v>
      </c>
      <c r="G2722" s="31" t="n">
        <v>71.4</v>
      </c>
      <c r="H2722" s="2" t="s">
        <v>671</v>
      </c>
    </row>
    <row r="2723" customFormat="false" ht="15" hidden="false" customHeight="false" outlineLevel="0" collapsed="false">
      <c r="A2723" s="2" t="s">
        <v>724</v>
      </c>
      <c r="B2723" s="2" t="s">
        <v>4104</v>
      </c>
      <c r="C2723" s="2" t="s">
        <v>4086</v>
      </c>
      <c r="D2723" s="2"/>
      <c r="E2723" s="31" t="n">
        <v>24.5</v>
      </c>
      <c r="F2723" s="31" t="n">
        <v>42.6</v>
      </c>
      <c r="G2723" s="31" t="n">
        <v>40.6</v>
      </c>
      <c r="H2723" s="2" t="s">
        <v>668</v>
      </c>
    </row>
    <row r="2724" customFormat="false" ht="15" hidden="false" customHeight="false" outlineLevel="0" collapsed="false">
      <c r="A2724" s="2" t="s">
        <v>724</v>
      </c>
      <c r="B2724" s="2" t="s">
        <v>4104</v>
      </c>
      <c r="C2724" s="2" t="s">
        <v>4087</v>
      </c>
      <c r="D2724" s="2"/>
      <c r="E2724" s="31" t="n">
        <v>48.6</v>
      </c>
      <c r="F2724" s="31" t="n">
        <v>34.9</v>
      </c>
      <c r="G2724" s="31" t="n">
        <v>72.8</v>
      </c>
      <c r="H2724" s="2" t="s">
        <v>668</v>
      </c>
    </row>
    <row r="2725" customFormat="false" ht="15" hidden="false" customHeight="false" outlineLevel="0" collapsed="false">
      <c r="A2725" s="2" t="s">
        <v>724</v>
      </c>
      <c r="B2725" s="2" t="s">
        <v>45</v>
      </c>
      <c r="C2725" s="2" t="s">
        <v>4085</v>
      </c>
      <c r="D2725" s="11" t="n">
        <v>60106</v>
      </c>
      <c r="E2725" s="31" t="n">
        <v>92.7</v>
      </c>
      <c r="F2725" s="31" t="n">
        <v>39.8</v>
      </c>
      <c r="G2725" s="2"/>
      <c r="H2725" s="2" t="s">
        <v>671</v>
      </c>
    </row>
    <row r="2726" customFormat="false" ht="15" hidden="false" customHeight="false" outlineLevel="0" collapsed="false">
      <c r="A2726" s="2" t="s">
        <v>724</v>
      </c>
      <c r="B2726" s="2" t="s">
        <v>45</v>
      </c>
      <c r="C2726" s="2" t="s">
        <v>4086</v>
      </c>
      <c r="D2726" s="2"/>
      <c r="E2726" s="2"/>
      <c r="F2726" s="2"/>
      <c r="G2726" s="2"/>
      <c r="H2726" s="2" t="s">
        <v>668</v>
      </c>
    </row>
    <row r="2727" customFormat="false" ht="15" hidden="false" customHeight="false" outlineLevel="0" collapsed="false">
      <c r="A2727" s="2" t="s">
        <v>724</v>
      </c>
      <c r="B2727" s="2" t="s">
        <v>45</v>
      </c>
      <c r="C2727" s="2" t="s">
        <v>4087</v>
      </c>
      <c r="D2727" s="11" t="n">
        <v>63010</v>
      </c>
      <c r="E2727" s="31" t="n">
        <v>92.9</v>
      </c>
      <c r="F2727" s="31" t="n">
        <v>21.8</v>
      </c>
      <c r="G2727" s="2"/>
      <c r="H2727" s="2" t="s">
        <v>671</v>
      </c>
    </row>
    <row r="2728" customFormat="false" ht="15" hidden="false" customHeight="false" outlineLevel="0" collapsed="false">
      <c r="A2728" s="2" t="s">
        <v>724</v>
      </c>
      <c r="B2728" s="2" t="s">
        <v>46</v>
      </c>
      <c r="C2728" s="2" t="s">
        <v>4085</v>
      </c>
      <c r="D2728" s="11" t="n">
        <v>5804</v>
      </c>
      <c r="E2728" s="31" t="n">
        <v>68.9</v>
      </c>
      <c r="F2728" s="31" t="n">
        <v>42.1</v>
      </c>
      <c r="G2728" s="31" t="n">
        <v>58.9</v>
      </c>
      <c r="H2728" s="2" t="s">
        <v>671</v>
      </c>
    </row>
    <row r="2729" customFormat="false" ht="15" hidden="false" customHeight="false" outlineLevel="0" collapsed="false">
      <c r="A2729" s="2" t="s">
        <v>724</v>
      </c>
      <c r="B2729" s="2" t="s">
        <v>46</v>
      </c>
      <c r="C2729" s="2" t="s">
        <v>4086</v>
      </c>
      <c r="D2729" s="11" t="n">
        <v>5810</v>
      </c>
      <c r="E2729" s="31" t="n">
        <v>43.2</v>
      </c>
      <c r="F2729" s="31" t="n">
        <v>37.7</v>
      </c>
      <c r="G2729" s="31" t="n">
        <v>2.2</v>
      </c>
      <c r="H2729" s="2" t="s">
        <v>671</v>
      </c>
    </row>
    <row r="2730" customFormat="false" ht="15" hidden="false" customHeight="false" outlineLevel="0" collapsed="false">
      <c r="A2730" s="2" t="s">
        <v>724</v>
      </c>
      <c r="B2730" s="2" t="s">
        <v>46</v>
      </c>
      <c r="C2730" s="2" t="s">
        <v>4087</v>
      </c>
      <c r="D2730" s="2"/>
      <c r="E2730" s="2"/>
      <c r="F2730" s="2"/>
      <c r="G2730" s="2"/>
      <c r="H2730" s="2" t="s">
        <v>668</v>
      </c>
    </row>
    <row r="2731" customFormat="false" ht="15" hidden="false" customHeight="false" outlineLevel="0" collapsed="false">
      <c r="A2731" s="2" t="s">
        <v>724</v>
      </c>
      <c r="B2731" s="2" t="s">
        <v>47</v>
      </c>
      <c r="C2731" s="2" t="s">
        <v>4085</v>
      </c>
      <c r="D2731" s="11" t="n">
        <v>9216</v>
      </c>
      <c r="E2731" s="31" t="n">
        <v>13</v>
      </c>
      <c r="F2731" s="31" t="n">
        <v>43.3</v>
      </c>
      <c r="G2731" s="31" t="n">
        <v>83.8</v>
      </c>
      <c r="H2731" s="2" t="s">
        <v>671</v>
      </c>
    </row>
    <row r="2732" customFormat="false" ht="15" hidden="false" customHeight="false" outlineLevel="0" collapsed="false">
      <c r="A2732" s="2" t="s">
        <v>724</v>
      </c>
      <c r="B2732" s="2" t="s">
        <v>47</v>
      </c>
      <c r="C2732" s="2" t="s">
        <v>4086</v>
      </c>
      <c r="D2732" s="11" t="n">
        <v>9604</v>
      </c>
      <c r="E2732" s="31" t="n">
        <v>5.8</v>
      </c>
      <c r="F2732" s="31" t="n">
        <v>47.5</v>
      </c>
      <c r="G2732" s="31" t="n">
        <v>79</v>
      </c>
      <c r="H2732" s="2" t="s">
        <v>671</v>
      </c>
    </row>
    <row r="2733" customFormat="false" ht="15" hidden="false" customHeight="false" outlineLevel="0" collapsed="false">
      <c r="A2733" s="2" t="s">
        <v>724</v>
      </c>
      <c r="B2733" s="2" t="s">
        <v>47</v>
      </c>
      <c r="C2733" s="2" t="s">
        <v>4087</v>
      </c>
      <c r="D2733" s="11" t="n">
        <v>9718</v>
      </c>
      <c r="E2733" s="31" t="n">
        <v>4.2</v>
      </c>
      <c r="F2733" s="31" t="n">
        <v>48</v>
      </c>
      <c r="G2733" s="31" t="n">
        <v>72.8</v>
      </c>
      <c r="H2733" s="2" t="s">
        <v>671</v>
      </c>
    </row>
    <row r="2734" customFormat="false" ht="15" hidden="false" customHeight="false" outlineLevel="0" collapsed="false">
      <c r="A2734" s="2" t="s">
        <v>1277</v>
      </c>
      <c r="B2734" s="2" t="s">
        <v>4104</v>
      </c>
      <c r="C2734" s="2" t="s">
        <v>4085</v>
      </c>
      <c r="D2734" s="2"/>
      <c r="E2734" s="31" t="n">
        <v>26.4</v>
      </c>
      <c r="F2734" s="31" t="n">
        <v>53</v>
      </c>
      <c r="G2734" s="31" t="n">
        <v>97.5</v>
      </c>
      <c r="H2734" s="2" t="s">
        <v>668</v>
      </c>
    </row>
    <row r="2735" customFormat="false" ht="15" hidden="false" customHeight="false" outlineLevel="0" collapsed="false">
      <c r="A2735" s="2" t="s">
        <v>1277</v>
      </c>
      <c r="B2735" s="2" t="s">
        <v>4104</v>
      </c>
      <c r="C2735" s="2" t="s">
        <v>4086</v>
      </c>
      <c r="D2735" s="2"/>
      <c r="E2735" s="31" t="n">
        <v>47.8</v>
      </c>
      <c r="F2735" s="31" t="n">
        <v>39.3</v>
      </c>
      <c r="G2735" s="31" t="n">
        <v>27.4</v>
      </c>
      <c r="H2735" s="2" t="s">
        <v>668</v>
      </c>
    </row>
    <row r="2736" customFormat="false" ht="15" hidden="false" customHeight="false" outlineLevel="0" collapsed="false">
      <c r="A2736" s="2" t="s">
        <v>1277</v>
      </c>
      <c r="B2736" s="2" t="s">
        <v>4104</v>
      </c>
      <c r="C2736" s="2" t="s">
        <v>4087</v>
      </c>
      <c r="D2736" s="2"/>
      <c r="E2736" s="31" t="n">
        <v>57</v>
      </c>
      <c r="F2736" s="31" t="n">
        <v>63</v>
      </c>
      <c r="G2736" s="31" t="n">
        <v>15.2</v>
      </c>
      <c r="H2736" s="2" t="s">
        <v>668</v>
      </c>
    </row>
    <row r="2737" customFormat="false" ht="15" hidden="false" customHeight="false" outlineLevel="0" collapsed="false">
      <c r="A2737" s="2" t="s">
        <v>1277</v>
      </c>
      <c r="B2737" s="2" t="s">
        <v>45</v>
      </c>
      <c r="C2737" s="2" t="s">
        <v>4085</v>
      </c>
      <c r="D2737" s="11" t="n">
        <v>81160</v>
      </c>
      <c r="E2737" s="31" t="n">
        <v>26.4</v>
      </c>
      <c r="F2737" s="31" t="n">
        <v>43.4</v>
      </c>
      <c r="G2737" s="2"/>
      <c r="H2737" s="2" t="s">
        <v>671</v>
      </c>
    </row>
    <row r="2738" customFormat="false" ht="15" hidden="false" customHeight="false" outlineLevel="0" collapsed="false">
      <c r="A2738" s="2" t="s">
        <v>1277</v>
      </c>
      <c r="B2738" s="2" t="s">
        <v>45</v>
      </c>
      <c r="C2738" s="2" t="s">
        <v>4086</v>
      </c>
      <c r="D2738" s="11" t="n">
        <v>84000</v>
      </c>
      <c r="E2738" s="31" t="n">
        <v>22.3</v>
      </c>
      <c r="F2738" s="31" t="n">
        <v>33.3</v>
      </c>
      <c r="G2738" s="2"/>
      <c r="H2738" s="2" t="s">
        <v>668</v>
      </c>
    </row>
    <row r="2739" customFormat="false" ht="15" hidden="false" customHeight="false" outlineLevel="0" collapsed="false">
      <c r="A2739" s="2" t="s">
        <v>1277</v>
      </c>
      <c r="B2739" s="2" t="s">
        <v>45</v>
      </c>
      <c r="C2739" s="2" t="s">
        <v>4087</v>
      </c>
      <c r="D2739" s="11" t="n">
        <v>86358</v>
      </c>
      <c r="E2739" s="31" t="n">
        <v>16.9</v>
      </c>
      <c r="F2739" s="31" t="n">
        <v>76.2</v>
      </c>
      <c r="G2739" s="2"/>
      <c r="H2739" s="2" t="s">
        <v>671</v>
      </c>
    </row>
    <row r="2740" customFormat="false" ht="15" hidden="false" customHeight="false" outlineLevel="0" collapsed="false">
      <c r="A2740" s="2" t="s">
        <v>1277</v>
      </c>
      <c r="B2740" s="2" t="s">
        <v>46</v>
      </c>
      <c r="C2740" s="2" t="s">
        <v>4085</v>
      </c>
      <c r="D2740" s="11" t="n">
        <v>11760</v>
      </c>
      <c r="E2740" s="2"/>
      <c r="F2740" s="31" t="n">
        <v>62.5</v>
      </c>
      <c r="G2740" s="31" t="n">
        <v>97.5</v>
      </c>
      <c r="H2740" s="2" t="s">
        <v>668</v>
      </c>
    </row>
    <row r="2741" customFormat="false" ht="15" hidden="false" customHeight="false" outlineLevel="0" collapsed="false">
      <c r="A2741" s="2" t="s">
        <v>1277</v>
      </c>
      <c r="B2741" s="2" t="s">
        <v>46</v>
      </c>
      <c r="C2741" s="2" t="s">
        <v>4086</v>
      </c>
      <c r="D2741" s="11" t="n">
        <v>11970</v>
      </c>
      <c r="E2741" s="31" t="n">
        <v>64</v>
      </c>
      <c r="F2741" s="31" t="n">
        <v>47.3</v>
      </c>
      <c r="G2741" s="2"/>
      <c r="H2741" s="2" t="s">
        <v>668</v>
      </c>
    </row>
    <row r="2742" customFormat="false" ht="15" hidden="false" customHeight="false" outlineLevel="0" collapsed="false">
      <c r="A2742" s="2" t="s">
        <v>1277</v>
      </c>
      <c r="B2742" s="2" t="s">
        <v>46</v>
      </c>
      <c r="C2742" s="2" t="s">
        <v>4087</v>
      </c>
      <c r="D2742" s="11" t="n">
        <v>12295</v>
      </c>
      <c r="E2742" s="31" t="n">
        <v>77.4</v>
      </c>
      <c r="F2742" s="31" t="n">
        <v>68.5</v>
      </c>
      <c r="G2742" s="2"/>
      <c r="H2742" s="2" t="s">
        <v>668</v>
      </c>
    </row>
    <row r="2743" customFormat="false" ht="15" hidden="false" customHeight="false" outlineLevel="0" collapsed="false">
      <c r="A2743" s="2" t="s">
        <v>1277</v>
      </c>
      <c r="B2743" s="2" t="s">
        <v>47</v>
      </c>
      <c r="C2743" s="2" t="s">
        <v>4085</v>
      </c>
      <c r="D2743" s="2"/>
      <c r="E2743" s="2"/>
      <c r="F2743" s="2"/>
      <c r="G2743" s="2"/>
      <c r="H2743" s="2" t="s">
        <v>668</v>
      </c>
    </row>
    <row r="2744" customFormat="false" ht="15" hidden="false" customHeight="false" outlineLevel="0" collapsed="false">
      <c r="A2744" s="2" t="s">
        <v>1277</v>
      </c>
      <c r="B2744" s="2" t="s">
        <v>47</v>
      </c>
      <c r="C2744" s="2" t="s">
        <v>4086</v>
      </c>
      <c r="D2744" s="11" t="n">
        <v>30890</v>
      </c>
      <c r="E2744" s="31" t="n">
        <v>57.1</v>
      </c>
      <c r="F2744" s="31" t="n">
        <v>37.3</v>
      </c>
      <c r="G2744" s="31" t="n">
        <v>27.4</v>
      </c>
      <c r="H2744" s="2" t="s">
        <v>671</v>
      </c>
    </row>
    <row r="2745" customFormat="false" ht="15" hidden="false" customHeight="false" outlineLevel="0" collapsed="false">
      <c r="A2745" s="2" t="s">
        <v>1277</v>
      </c>
      <c r="B2745" s="2" t="s">
        <v>47</v>
      </c>
      <c r="C2745" s="2" t="s">
        <v>4087</v>
      </c>
      <c r="D2745" s="11" t="n">
        <v>32514</v>
      </c>
      <c r="E2745" s="31" t="n">
        <v>76.8</v>
      </c>
      <c r="F2745" s="31" t="n">
        <v>44.3</v>
      </c>
      <c r="G2745" s="31" t="n">
        <v>15.2</v>
      </c>
      <c r="H2745" s="2" t="s">
        <v>671</v>
      </c>
    </row>
    <row r="2746" customFormat="false" ht="15" hidden="false" customHeight="false" outlineLevel="0" collapsed="false">
      <c r="A2746" s="2" t="s">
        <v>378</v>
      </c>
      <c r="B2746" s="2" t="s">
        <v>4104</v>
      </c>
      <c r="C2746" s="2" t="s">
        <v>4085</v>
      </c>
      <c r="D2746" s="2"/>
      <c r="E2746" s="31" t="n">
        <v>47</v>
      </c>
      <c r="F2746" s="31" t="n">
        <v>41.7</v>
      </c>
      <c r="G2746" s="31" t="n">
        <v>59.3</v>
      </c>
      <c r="H2746" s="2" t="s">
        <v>671</v>
      </c>
    </row>
    <row r="2747" customFormat="false" ht="15" hidden="false" customHeight="false" outlineLevel="0" collapsed="false">
      <c r="A2747" s="2" t="s">
        <v>378</v>
      </c>
      <c r="B2747" s="2" t="s">
        <v>4104</v>
      </c>
      <c r="C2747" s="2" t="s">
        <v>4086</v>
      </c>
      <c r="D2747" s="2"/>
      <c r="E2747" s="31" t="n">
        <v>71.3</v>
      </c>
      <c r="F2747" s="31" t="n">
        <v>46.9</v>
      </c>
      <c r="G2747" s="31" t="n">
        <v>65.1</v>
      </c>
      <c r="H2747" s="2" t="s">
        <v>668</v>
      </c>
    </row>
    <row r="2748" customFormat="false" ht="15" hidden="false" customHeight="false" outlineLevel="0" collapsed="false">
      <c r="A2748" s="2" t="s">
        <v>378</v>
      </c>
      <c r="B2748" s="2" t="s">
        <v>4104</v>
      </c>
      <c r="C2748" s="2" t="s">
        <v>4087</v>
      </c>
      <c r="D2748" s="2"/>
      <c r="E2748" s="31" t="n">
        <v>48.9</v>
      </c>
      <c r="F2748" s="31" t="n">
        <v>50.1</v>
      </c>
      <c r="G2748" s="31" t="n">
        <v>47.7</v>
      </c>
      <c r="H2748" s="2" t="s">
        <v>671</v>
      </c>
    </row>
    <row r="2749" customFormat="false" ht="15" hidden="false" customHeight="false" outlineLevel="0" collapsed="false">
      <c r="A2749" s="2" t="s">
        <v>378</v>
      </c>
      <c r="B2749" s="2" t="s">
        <v>45</v>
      </c>
      <c r="C2749" s="2" t="s">
        <v>4085</v>
      </c>
      <c r="D2749" s="11" t="n">
        <v>266630</v>
      </c>
      <c r="E2749" s="31" t="n">
        <v>51.8</v>
      </c>
      <c r="F2749" s="31" t="n">
        <v>23.3</v>
      </c>
      <c r="G2749" s="31" t="n">
        <v>33.9</v>
      </c>
      <c r="H2749" s="2" t="s">
        <v>671</v>
      </c>
    </row>
    <row r="2750" customFormat="false" ht="15" hidden="false" customHeight="false" outlineLevel="0" collapsed="false">
      <c r="A2750" s="2" t="s">
        <v>378</v>
      </c>
      <c r="B2750" s="2" t="s">
        <v>45</v>
      </c>
      <c r="C2750" s="2" t="s">
        <v>4086</v>
      </c>
      <c r="D2750" s="11" t="n">
        <v>273400</v>
      </c>
      <c r="E2750" s="31" t="n">
        <v>59</v>
      </c>
      <c r="F2750" s="31" t="n">
        <v>27.9</v>
      </c>
      <c r="G2750" s="31" t="n">
        <v>49.9</v>
      </c>
      <c r="H2750" s="2" t="s">
        <v>671</v>
      </c>
    </row>
    <row r="2751" customFormat="false" ht="15" hidden="false" customHeight="false" outlineLevel="0" collapsed="false">
      <c r="A2751" s="2" t="s">
        <v>378</v>
      </c>
      <c r="B2751" s="2" t="s">
        <v>45</v>
      </c>
      <c r="C2751" s="2" t="s">
        <v>4087</v>
      </c>
      <c r="D2751" s="11" t="n">
        <v>280789</v>
      </c>
      <c r="E2751" s="31" t="n">
        <v>58.3</v>
      </c>
      <c r="F2751" s="31" t="n">
        <v>47.1</v>
      </c>
      <c r="G2751" s="31" t="n">
        <v>7.2</v>
      </c>
      <c r="H2751" s="2" t="s">
        <v>671</v>
      </c>
    </row>
    <row r="2752" customFormat="false" ht="15" hidden="false" customHeight="false" outlineLevel="0" collapsed="false">
      <c r="A2752" s="2" t="s">
        <v>378</v>
      </c>
      <c r="B2752" s="2" t="s">
        <v>46</v>
      </c>
      <c r="C2752" s="2" t="s">
        <v>4085</v>
      </c>
      <c r="D2752" s="11" t="n">
        <v>6890</v>
      </c>
      <c r="E2752" s="31" t="n">
        <v>8.2</v>
      </c>
      <c r="F2752" s="31" t="n">
        <v>26.3</v>
      </c>
      <c r="G2752" s="31" t="n">
        <v>97.9</v>
      </c>
      <c r="H2752" s="2" t="s">
        <v>671</v>
      </c>
    </row>
    <row r="2753" customFormat="false" ht="15" hidden="false" customHeight="false" outlineLevel="0" collapsed="false">
      <c r="A2753" s="2" t="s">
        <v>378</v>
      </c>
      <c r="B2753" s="2" t="s">
        <v>46</v>
      </c>
      <c r="C2753" s="2" t="s">
        <v>4086</v>
      </c>
      <c r="D2753" s="11" t="n">
        <v>7380</v>
      </c>
      <c r="E2753" s="2"/>
      <c r="F2753" s="31" t="n">
        <v>39.6</v>
      </c>
      <c r="G2753" s="31" t="n">
        <v>90.5</v>
      </c>
      <c r="H2753" s="2" t="s">
        <v>668</v>
      </c>
    </row>
    <row r="2754" customFormat="false" ht="15" hidden="false" customHeight="false" outlineLevel="0" collapsed="false">
      <c r="A2754" s="2" t="s">
        <v>378</v>
      </c>
      <c r="B2754" s="2" t="s">
        <v>46</v>
      </c>
      <c r="C2754" s="2" t="s">
        <v>4087</v>
      </c>
      <c r="D2754" s="11" t="n">
        <v>12480</v>
      </c>
      <c r="E2754" s="31" t="n">
        <v>2.7</v>
      </c>
      <c r="F2754" s="31" t="n">
        <v>41.9</v>
      </c>
      <c r="G2754" s="31" t="n">
        <v>93.5</v>
      </c>
      <c r="H2754" s="2" t="s">
        <v>671</v>
      </c>
    </row>
    <row r="2755" customFormat="false" ht="15" hidden="false" customHeight="false" outlineLevel="0" collapsed="false">
      <c r="A2755" s="2" t="s">
        <v>378</v>
      </c>
      <c r="B2755" s="2" t="s">
        <v>47</v>
      </c>
      <c r="C2755" s="2" t="s">
        <v>4085</v>
      </c>
      <c r="D2755" s="11" t="n">
        <v>45481</v>
      </c>
      <c r="E2755" s="31" t="n">
        <v>81</v>
      </c>
      <c r="F2755" s="31" t="n">
        <v>75.5</v>
      </c>
      <c r="G2755" s="31" t="n">
        <v>46</v>
      </c>
      <c r="H2755" s="2" t="s">
        <v>671</v>
      </c>
    </row>
    <row r="2756" customFormat="false" ht="15" hidden="false" customHeight="false" outlineLevel="0" collapsed="false">
      <c r="A2756" s="2" t="s">
        <v>378</v>
      </c>
      <c r="B2756" s="2" t="s">
        <v>47</v>
      </c>
      <c r="C2756" s="2" t="s">
        <v>4086</v>
      </c>
      <c r="D2756" s="11" t="n">
        <v>48268</v>
      </c>
      <c r="E2756" s="31" t="n">
        <v>83.6</v>
      </c>
      <c r="F2756" s="31" t="n">
        <v>73.1</v>
      </c>
      <c r="G2756" s="31" t="n">
        <v>54.8</v>
      </c>
      <c r="H2756" s="2" t="s">
        <v>671</v>
      </c>
    </row>
    <row r="2757" customFormat="false" ht="15" hidden="false" customHeight="false" outlineLevel="0" collapsed="false">
      <c r="A2757" s="2" t="s">
        <v>378</v>
      </c>
      <c r="B2757" s="2" t="s">
        <v>47</v>
      </c>
      <c r="C2757" s="2" t="s">
        <v>4087</v>
      </c>
      <c r="D2757" s="11" t="n">
        <v>50164</v>
      </c>
      <c r="E2757" s="31" t="n">
        <v>85.7</v>
      </c>
      <c r="F2757" s="31" t="n">
        <v>61.3</v>
      </c>
      <c r="G2757" s="31" t="n">
        <v>42.5</v>
      </c>
      <c r="H2757" s="2" t="s">
        <v>671</v>
      </c>
    </row>
    <row r="2758" customFormat="false" ht="15" hidden="false" customHeight="false" outlineLevel="0" collapsed="false">
      <c r="A2758" s="2" t="s">
        <v>2437</v>
      </c>
      <c r="B2758" s="2" t="s">
        <v>4104</v>
      </c>
      <c r="C2758" s="2" t="s">
        <v>4085</v>
      </c>
      <c r="D2758" s="2"/>
      <c r="E2758" s="31" t="n">
        <v>26.3</v>
      </c>
      <c r="F2758" s="31" t="n">
        <v>98.6</v>
      </c>
      <c r="G2758" s="31" t="n">
        <v>30.7</v>
      </c>
      <c r="H2758" s="2" t="s">
        <v>668</v>
      </c>
    </row>
    <row r="2759" customFormat="false" ht="15" hidden="false" customHeight="false" outlineLevel="0" collapsed="false">
      <c r="A2759" s="2" t="s">
        <v>2437</v>
      </c>
      <c r="B2759" s="2" t="s">
        <v>4104</v>
      </c>
      <c r="C2759" s="2" t="s">
        <v>4086</v>
      </c>
      <c r="D2759" s="2"/>
      <c r="E2759" s="31" t="n">
        <v>22.9</v>
      </c>
      <c r="F2759" s="31" t="n">
        <v>95.3</v>
      </c>
      <c r="G2759" s="31" t="n">
        <v>47.9</v>
      </c>
      <c r="H2759" s="2" t="s">
        <v>668</v>
      </c>
    </row>
    <row r="2760" customFormat="false" ht="15" hidden="false" customHeight="false" outlineLevel="0" collapsed="false">
      <c r="A2760" s="2" t="s">
        <v>2437</v>
      </c>
      <c r="B2760" s="2" t="s">
        <v>4104</v>
      </c>
      <c r="C2760" s="2" t="s">
        <v>4087</v>
      </c>
      <c r="D2760" s="2"/>
      <c r="E2760" s="31" t="n">
        <v>22.7</v>
      </c>
      <c r="F2760" s="31" t="n">
        <v>88.6</v>
      </c>
      <c r="G2760" s="31" t="n">
        <v>73.3</v>
      </c>
      <c r="H2760" s="2" t="s">
        <v>668</v>
      </c>
    </row>
    <row r="2761" customFormat="false" ht="15" hidden="false" customHeight="false" outlineLevel="0" collapsed="false">
      <c r="A2761" s="2" t="s">
        <v>2437</v>
      </c>
      <c r="B2761" s="2" t="s">
        <v>45</v>
      </c>
      <c r="C2761" s="2" t="s">
        <v>4085</v>
      </c>
      <c r="D2761" s="11" t="n">
        <v>19394</v>
      </c>
      <c r="E2761" s="31" t="n">
        <v>15.5</v>
      </c>
      <c r="F2761" s="31" t="n">
        <v>99.6</v>
      </c>
      <c r="G2761" s="31" t="n">
        <v>7.6</v>
      </c>
      <c r="H2761" s="2" t="s">
        <v>671</v>
      </c>
    </row>
    <row r="2762" customFormat="false" ht="15" hidden="false" customHeight="false" outlineLevel="0" collapsed="false">
      <c r="A2762" s="2" t="s">
        <v>2437</v>
      </c>
      <c r="B2762" s="2" t="s">
        <v>45</v>
      </c>
      <c r="C2762" s="2" t="s">
        <v>4086</v>
      </c>
      <c r="D2762" s="11" t="n">
        <v>20980</v>
      </c>
      <c r="E2762" s="31" t="n">
        <v>18.1</v>
      </c>
      <c r="F2762" s="31" t="n">
        <v>93.1</v>
      </c>
      <c r="G2762" s="2"/>
      <c r="H2762" s="2" t="s">
        <v>668</v>
      </c>
    </row>
    <row r="2763" customFormat="false" ht="15" hidden="false" customHeight="false" outlineLevel="0" collapsed="false">
      <c r="A2763" s="2" t="s">
        <v>2437</v>
      </c>
      <c r="B2763" s="2" t="s">
        <v>45</v>
      </c>
      <c r="C2763" s="2" t="s">
        <v>4087</v>
      </c>
      <c r="D2763" s="2"/>
      <c r="E2763" s="2"/>
      <c r="F2763" s="2"/>
      <c r="G2763" s="2"/>
      <c r="H2763" s="2" t="s">
        <v>668</v>
      </c>
    </row>
    <row r="2764" customFormat="false" ht="15" hidden="false" customHeight="false" outlineLevel="0" collapsed="false">
      <c r="A2764" s="2" t="s">
        <v>2437</v>
      </c>
      <c r="B2764" s="2" t="s">
        <v>46</v>
      </c>
      <c r="C2764" s="2" t="s">
        <v>4085</v>
      </c>
      <c r="D2764" s="11" t="n">
        <v>11280</v>
      </c>
      <c r="E2764" s="31" t="n">
        <v>4.7</v>
      </c>
      <c r="F2764" s="2"/>
      <c r="G2764" s="31" t="n">
        <v>17.4</v>
      </c>
      <c r="H2764" s="2" t="s">
        <v>668</v>
      </c>
    </row>
    <row r="2765" customFormat="false" ht="15" hidden="false" customHeight="false" outlineLevel="0" collapsed="false">
      <c r="A2765" s="2" t="s">
        <v>2437</v>
      </c>
      <c r="B2765" s="2" t="s">
        <v>46</v>
      </c>
      <c r="C2765" s="2" t="s">
        <v>4086</v>
      </c>
      <c r="D2765" s="11" t="n">
        <v>10980</v>
      </c>
      <c r="E2765" s="31" t="n">
        <v>3.7</v>
      </c>
      <c r="F2765" s="2"/>
      <c r="G2765" s="31" t="n">
        <v>22.3</v>
      </c>
      <c r="H2765" s="2" t="s">
        <v>668</v>
      </c>
    </row>
    <row r="2766" customFormat="false" ht="15" hidden="false" customHeight="false" outlineLevel="0" collapsed="false">
      <c r="A2766" s="2" t="s">
        <v>2437</v>
      </c>
      <c r="B2766" s="2" t="s">
        <v>46</v>
      </c>
      <c r="C2766" s="2" t="s">
        <v>4087</v>
      </c>
      <c r="D2766" s="11" t="n">
        <v>10970</v>
      </c>
      <c r="E2766" s="31" t="n">
        <v>11.4</v>
      </c>
      <c r="F2766" s="2"/>
      <c r="G2766" s="2"/>
      <c r="H2766" s="2" t="s">
        <v>668</v>
      </c>
    </row>
    <row r="2767" customFormat="false" ht="15" hidden="false" customHeight="false" outlineLevel="0" collapsed="false">
      <c r="A2767" s="2" t="s">
        <v>2437</v>
      </c>
      <c r="B2767" s="2" t="s">
        <v>47</v>
      </c>
      <c r="C2767" s="2" t="s">
        <v>4085</v>
      </c>
      <c r="D2767" s="11" t="n">
        <v>107460</v>
      </c>
      <c r="E2767" s="31" t="n">
        <v>58.7</v>
      </c>
      <c r="F2767" s="31" t="n">
        <v>97.5</v>
      </c>
      <c r="G2767" s="31" t="n">
        <v>67</v>
      </c>
      <c r="H2767" s="2" t="s">
        <v>671</v>
      </c>
    </row>
    <row r="2768" customFormat="false" ht="15" hidden="false" customHeight="false" outlineLevel="0" collapsed="false">
      <c r="A2768" s="2" t="s">
        <v>2437</v>
      </c>
      <c r="B2768" s="2" t="s">
        <v>47</v>
      </c>
      <c r="C2768" s="2" t="s">
        <v>4086</v>
      </c>
      <c r="D2768" s="11" t="n">
        <v>115475</v>
      </c>
      <c r="E2768" s="31" t="n">
        <v>46.9</v>
      </c>
      <c r="F2768" s="31" t="n">
        <v>97.5</v>
      </c>
      <c r="G2768" s="31" t="n">
        <v>73.5</v>
      </c>
      <c r="H2768" s="2" t="s">
        <v>671</v>
      </c>
    </row>
    <row r="2769" customFormat="false" ht="15" hidden="false" customHeight="false" outlineLevel="0" collapsed="false">
      <c r="A2769" s="2" t="s">
        <v>2437</v>
      </c>
      <c r="B2769" s="2" t="s">
        <v>47</v>
      </c>
      <c r="C2769" s="2" t="s">
        <v>4087</v>
      </c>
      <c r="D2769" s="11" t="n">
        <v>129088</v>
      </c>
      <c r="E2769" s="31" t="n">
        <v>34</v>
      </c>
      <c r="F2769" s="31" t="n">
        <v>88.6</v>
      </c>
      <c r="G2769" s="31" t="n">
        <v>73.3</v>
      </c>
      <c r="H2769" s="2" t="s">
        <v>671</v>
      </c>
    </row>
    <row r="2770" customFormat="false" ht="15" hidden="false" customHeight="false" outlineLevel="0" collapsed="false">
      <c r="A2770" s="2" t="s">
        <v>1152</v>
      </c>
      <c r="B2770" s="2" t="s">
        <v>4104</v>
      </c>
      <c r="C2770" s="2" t="s">
        <v>4085</v>
      </c>
      <c r="D2770" s="2"/>
      <c r="E2770" s="31" t="n">
        <v>48.9</v>
      </c>
      <c r="F2770" s="31" t="n">
        <v>48.1</v>
      </c>
      <c r="G2770" s="31" t="n">
        <v>40.4</v>
      </c>
      <c r="H2770" s="2" t="s">
        <v>671</v>
      </c>
    </row>
    <row r="2771" customFormat="false" ht="15" hidden="false" customHeight="false" outlineLevel="0" collapsed="false">
      <c r="A2771" s="2" t="s">
        <v>1152</v>
      </c>
      <c r="B2771" s="2" t="s">
        <v>4104</v>
      </c>
      <c r="C2771" s="2" t="s">
        <v>4086</v>
      </c>
      <c r="D2771" s="2"/>
      <c r="E2771" s="31" t="n">
        <v>52.1</v>
      </c>
      <c r="F2771" s="31" t="n">
        <v>51.8</v>
      </c>
      <c r="G2771" s="31" t="n">
        <v>31.8</v>
      </c>
      <c r="H2771" s="2" t="s">
        <v>671</v>
      </c>
    </row>
    <row r="2772" customFormat="false" ht="15" hidden="false" customHeight="false" outlineLevel="0" collapsed="false">
      <c r="A2772" s="2" t="s">
        <v>1152</v>
      </c>
      <c r="B2772" s="2" t="s">
        <v>4104</v>
      </c>
      <c r="C2772" s="2" t="s">
        <v>4087</v>
      </c>
      <c r="D2772" s="2"/>
      <c r="E2772" s="31" t="n">
        <v>58.6</v>
      </c>
      <c r="F2772" s="31" t="n">
        <v>60</v>
      </c>
      <c r="G2772" s="31" t="n">
        <v>36.6</v>
      </c>
      <c r="H2772" s="2" t="s">
        <v>668</v>
      </c>
    </row>
    <row r="2773" customFormat="false" ht="15" hidden="false" customHeight="false" outlineLevel="0" collapsed="false">
      <c r="A2773" s="2" t="s">
        <v>1152</v>
      </c>
      <c r="B2773" s="2" t="s">
        <v>45</v>
      </c>
      <c r="C2773" s="2" t="s">
        <v>4085</v>
      </c>
      <c r="D2773" s="11" t="n">
        <v>20410</v>
      </c>
      <c r="E2773" s="31" t="n">
        <v>26.1</v>
      </c>
      <c r="F2773" s="31" t="n">
        <v>59.1</v>
      </c>
      <c r="G2773" s="31" t="n">
        <v>16.1</v>
      </c>
      <c r="H2773" s="2" t="s">
        <v>671</v>
      </c>
    </row>
    <row r="2774" customFormat="false" ht="15" hidden="false" customHeight="false" outlineLevel="0" collapsed="false">
      <c r="A2774" s="2" t="s">
        <v>1152</v>
      </c>
      <c r="B2774" s="2" t="s">
        <v>45</v>
      </c>
      <c r="C2774" s="2" t="s">
        <v>4086</v>
      </c>
      <c r="D2774" s="11" t="n">
        <v>21060</v>
      </c>
      <c r="E2774" s="31" t="n">
        <v>54.8</v>
      </c>
      <c r="F2774" s="31" t="n">
        <v>76.6</v>
      </c>
      <c r="G2774" s="31" t="n">
        <v>5.8</v>
      </c>
      <c r="H2774" s="2" t="s">
        <v>671</v>
      </c>
    </row>
    <row r="2775" customFormat="false" ht="15" hidden="false" customHeight="false" outlineLevel="0" collapsed="false">
      <c r="A2775" s="2" t="s">
        <v>1152</v>
      </c>
      <c r="B2775" s="2" t="s">
        <v>45</v>
      </c>
      <c r="C2775" s="2" t="s">
        <v>4087</v>
      </c>
      <c r="D2775" s="11" t="n">
        <v>22369</v>
      </c>
      <c r="E2775" s="31" t="n">
        <v>35.5</v>
      </c>
      <c r="F2775" s="31" t="n">
        <v>73.4</v>
      </c>
      <c r="G2775" s="31" t="n">
        <v>4.1</v>
      </c>
      <c r="H2775" s="2" t="s">
        <v>671</v>
      </c>
    </row>
    <row r="2776" customFormat="false" ht="15" hidden="false" customHeight="false" outlineLevel="0" collapsed="false">
      <c r="A2776" s="2" t="s">
        <v>1152</v>
      </c>
      <c r="B2776" s="2" t="s">
        <v>46</v>
      </c>
      <c r="C2776" s="2" t="s">
        <v>4085</v>
      </c>
      <c r="D2776" s="11" t="n">
        <v>55630</v>
      </c>
      <c r="E2776" s="31" t="n">
        <v>28.8</v>
      </c>
      <c r="F2776" s="31" t="n">
        <v>13.1</v>
      </c>
      <c r="G2776" s="31" t="n">
        <v>71.7</v>
      </c>
      <c r="H2776" s="2" t="s">
        <v>671</v>
      </c>
    </row>
    <row r="2777" customFormat="false" ht="15" hidden="false" customHeight="false" outlineLevel="0" collapsed="false">
      <c r="A2777" s="2" t="s">
        <v>1152</v>
      </c>
      <c r="B2777" s="2" t="s">
        <v>46</v>
      </c>
      <c r="C2777" s="2" t="s">
        <v>4086</v>
      </c>
      <c r="D2777" s="11" t="n">
        <v>56480</v>
      </c>
      <c r="E2777" s="31" t="n">
        <v>11.8</v>
      </c>
      <c r="F2777" s="31" t="n">
        <v>20</v>
      </c>
      <c r="G2777" s="31" t="n">
        <v>46.8</v>
      </c>
      <c r="H2777" s="2" t="s">
        <v>671</v>
      </c>
    </row>
    <row r="2778" customFormat="false" ht="15" hidden="false" customHeight="false" outlineLevel="0" collapsed="false">
      <c r="A2778" s="2" t="s">
        <v>1152</v>
      </c>
      <c r="B2778" s="2" t="s">
        <v>46</v>
      </c>
      <c r="C2778" s="2" t="s">
        <v>4087</v>
      </c>
      <c r="D2778" s="11" t="n">
        <v>57070</v>
      </c>
      <c r="E2778" s="31" t="n">
        <v>49.5</v>
      </c>
      <c r="F2778" s="2"/>
      <c r="G2778" s="31" t="n">
        <v>62.2</v>
      </c>
      <c r="H2778" s="2" t="s">
        <v>668</v>
      </c>
    </row>
    <row r="2779" customFormat="false" ht="15" hidden="false" customHeight="false" outlineLevel="0" collapsed="false">
      <c r="A2779" s="2" t="s">
        <v>1152</v>
      </c>
      <c r="B2779" s="2" t="s">
        <v>47</v>
      </c>
      <c r="C2779" s="2" t="s">
        <v>4085</v>
      </c>
      <c r="D2779" s="11" t="n">
        <v>8145</v>
      </c>
      <c r="E2779" s="31" t="n">
        <v>91.9</v>
      </c>
      <c r="F2779" s="31" t="n">
        <v>72.2</v>
      </c>
      <c r="G2779" s="31" t="n">
        <v>33.5</v>
      </c>
      <c r="H2779" s="2" t="s">
        <v>671</v>
      </c>
    </row>
    <row r="2780" customFormat="false" ht="15" hidden="false" customHeight="false" outlineLevel="0" collapsed="false">
      <c r="A2780" s="2" t="s">
        <v>1152</v>
      </c>
      <c r="B2780" s="2" t="s">
        <v>47</v>
      </c>
      <c r="C2780" s="2" t="s">
        <v>4086</v>
      </c>
      <c r="D2780" s="11" t="n">
        <v>8390</v>
      </c>
      <c r="E2780" s="31" t="n">
        <v>89.6</v>
      </c>
      <c r="F2780" s="31" t="n">
        <v>58.8</v>
      </c>
      <c r="G2780" s="31" t="n">
        <v>42.7</v>
      </c>
      <c r="H2780" s="2" t="s">
        <v>671</v>
      </c>
    </row>
    <row r="2781" customFormat="false" ht="15" hidden="false" customHeight="false" outlineLevel="0" collapsed="false">
      <c r="A2781" s="2" t="s">
        <v>1152</v>
      </c>
      <c r="B2781" s="2" t="s">
        <v>47</v>
      </c>
      <c r="C2781" s="2" t="s">
        <v>4087</v>
      </c>
      <c r="D2781" s="11" t="n">
        <v>8681</v>
      </c>
      <c r="E2781" s="31" t="n">
        <v>90.9</v>
      </c>
      <c r="F2781" s="31" t="n">
        <v>46.7</v>
      </c>
      <c r="G2781" s="31" t="n">
        <v>43.4</v>
      </c>
      <c r="H2781" s="2" t="s">
        <v>671</v>
      </c>
    </row>
    <row r="2782" customFormat="false" ht="15" hidden="false" customHeight="false" outlineLevel="0" collapsed="false">
      <c r="A2782" s="2" t="s">
        <v>2267</v>
      </c>
      <c r="B2782" s="2" t="s">
        <v>4104</v>
      </c>
      <c r="C2782" s="2" t="s">
        <v>4085</v>
      </c>
      <c r="D2782" s="2"/>
      <c r="E2782" s="31" t="n">
        <v>42.6</v>
      </c>
      <c r="F2782" s="31" t="n">
        <v>41.2</v>
      </c>
      <c r="G2782" s="31" t="n">
        <v>92.1</v>
      </c>
      <c r="H2782" s="2" t="s">
        <v>668</v>
      </c>
    </row>
    <row r="2783" customFormat="false" ht="15" hidden="false" customHeight="false" outlineLevel="0" collapsed="false">
      <c r="A2783" s="2" t="s">
        <v>2267</v>
      </c>
      <c r="B2783" s="2" t="s">
        <v>4104</v>
      </c>
      <c r="C2783" s="2" t="s">
        <v>4087</v>
      </c>
      <c r="D2783" s="2"/>
      <c r="E2783" s="31" t="n">
        <v>51</v>
      </c>
      <c r="F2783" s="31" t="n">
        <v>36.6</v>
      </c>
      <c r="G2783" s="31" t="n">
        <v>94.9</v>
      </c>
      <c r="H2783" s="2" t="s">
        <v>668</v>
      </c>
    </row>
    <row r="2784" customFormat="false" ht="15" hidden="false" customHeight="false" outlineLevel="0" collapsed="false">
      <c r="A2784" s="2" t="s">
        <v>2267</v>
      </c>
      <c r="B2784" s="2" t="s">
        <v>46</v>
      </c>
      <c r="C2784" s="2" t="s">
        <v>4085</v>
      </c>
      <c r="D2784" s="11" t="n">
        <v>3830</v>
      </c>
      <c r="E2784" s="31" t="n">
        <v>9</v>
      </c>
      <c r="F2784" s="31" t="n">
        <v>57.9</v>
      </c>
      <c r="G2784" s="2"/>
      <c r="H2784" s="2" t="s">
        <v>668</v>
      </c>
    </row>
    <row r="2785" customFormat="false" ht="15" hidden="false" customHeight="false" outlineLevel="0" collapsed="false">
      <c r="A2785" s="2" t="s">
        <v>2267</v>
      </c>
      <c r="B2785" s="2" t="s">
        <v>46</v>
      </c>
      <c r="C2785" s="2" t="s">
        <v>4087</v>
      </c>
      <c r="D2785" s="11" t="n">
        <v>3917</v>
      </c>
      <c r="E2785" s="31" t="n">
        <v>45.2</v>
      </c>
      <c r="F2785" s="31" t="n">
        <v>43.8</v>
      </c>
      <c r="G2785" s="2"/>
      <c r="H2785" s="2" t="s">
        <v>668</v>
      </c>
    </row>
    <row r="2786" customFormat="false" ht="15" hidden="false" customHeight="false" outlineLevel="0" collapsed="false">
      <c r="A2786" s="2" t="s">
        <v>2267</v>
      </c>
      <c r="B2786" s="2" t="s">
        <v>47</v>
      </c>
      <c r="C2786" s="2" t="s">
        <v>4085</v>
      </c>
      <c r="D2786" s="11" t="n">
        <v>95336</v>
      </c>
      <c r="E2786" s="31" t="n">
        <v>76.1</v>
      </c>
      <c r="F2786" s="31" t="n">
        <v>24.5</v>
      </c>
      <c r="G2786" s="31" t="n">
        <v>92.1</v>
      </c>
      <c r="H2786" s="2" t="s">
        <v>671</v>
      </c>
    </row>
    <row r="2787" customFormat="false" ht="15" hidden="false" customHeight="false" outlineLevel="0" collapsed="false">
      <c r="A2787" s="2" t="s">
        <v>2267</v>
      </c>
      <c r="B2787" s="2" t="s">
        <v>47</v>
      </c>
      <c r="C2787" s="2" t="s">
        <v>4087</v>
      </c>
      <c r="D2787" s="11" t="n">
        <v>99720</v>
      </c>
      <c r="E2787" s="31" t="n">
        <v>56.8</v>
      </c>
      <c r="F2787" s="31" t="n">
        <v>29.4</v>
      </c>
      <c r="G2787" s="31" t="n">
        <v>94.9</v>
      </c>
      <c r="H2787" s="2" t="s">
        <v>671</v>
      </c>
    </row>
    <row r="2788" customFormat="false" ht="15" hidden="false" customHeight="false" outlineLevel="0" collapsed="false">
      <c r="A2788" s="2" t="s">
        <v>252</v>
      </c>
      <c r="B2788" s="2" t="s">
        <v>4104</v>
      </c>
      <c r="C2788" s="2" t="s">
        <v>4085</v>
      </c>
      <c r="D2788" s="2"/>
      <c r="E2788" s="31" t="n">
        <v>63.5</v>
      </c>
      <c r="F2788" s="31" t="n">
        <v>72.9</v>
      </c>
      <c r="G2788" s="31" t="n">
        <v>97.9</v>
      </c>
      <c r="H2788" s="2" t="s">
        <v>671</v>
      </c>
    </row>
    <row r="2789" customFormat="false" ht="15" hidden="false" customHeight="false" outlineLevel="0" collapsed="false">
      <c r="A2789" s="2" t="s">
        <v>252</v>
      </c>
      <c r="B2789" s="2" t="s">
        <v>4104</v>
      </c>
      <c r="C2789" s="2" t="s">
        <v>4086</v>
      </c>
      <c r="D2789" s="2"/>
      <c r="E2789" s="31" t="n">
        <v>37.9</v>
      </c>
      <c r="F2789" s="31" t="n">
        <v>33.4</v>
      </c>
      <c r="G2789" s="31" t="n">
        <v>98.4</v>
      </c>
      <c r="H2789" s="2" t="s">
        <v>671</v>
      </c>
    </row>
    <row r="2790" customFormat="false" ht="15" hidden="false" customHeight="false" outlineLevel="0" collapsed="false">
      <c r="A2790" s="2" t="s">
        <v>252</v>
      </c>
      <c r="B2790" s="2" t="s">
        <v>4104</v>
      </c>
      <c r="C2790" s="2" t="s">
        <v>4087</v>
      </c>
      <c r="D2790" s="2"/>
      <c r="E2790" s="31" t="n">
        <v>63.7</v>
      </c>
      <c r="F2790" s="31" t="n">
        <v>86.2</v>
      </c>
      <c r="G2790" s="31" t="n">
        <v>96.4</v>
      </c>
      <c r="H2790" s="2" t="s">
        <v>671</v>
      </c>
    </row>
    <row r="2791" customFormat="false" ht="15" hidden="false" customHeight="false" outlineLevel="0" collapsed="false">
      <c r="A2791" s="2" t="s">
        <v>252</v>
      </c>
      <c r="B2791" s="2" t="s">
        <v>47</v>
      </c>
      <c r="C2791" s="2" t="s">
        <v>4085</v>
      </c>
      <c r="D2791" s="11" t="n">
        <v>60457</v>
      </c>
      <c r="E2791" s="31" t="n">
        <v>63.5</v>
      </c>
      <c r="F2791" s="31" t="n">
        <v>72.9</v>
      </c>
      <c r="G2791" s="31" t="n">
        <v>97.9</v>
      </c>
      <c r="H2791" s="2" t="s">
        <v>671</v>
      </c>
    </row>
    <row r="2792" customFormat="false" ht="15" hidden="false" customHeight="false" outlineLevel="0" collapsed="false">
      <c r="A2792" s="2" t="s">
        <v>252</v>
      </c>
      <c r="B2792" s="2" t="s">
        <v>47</v>
      </c>
      <c r="C2792" s="2" t="s">
        <v>4086</v>
      </c>
      <c r="D2792" s="11" t="n">
        <v>64629</v>
      </c>
      <c r="E2792" s="31" t="n">
        <v>37.9</v>
      </c>
      <c r="F2792" s="31" t="n">
        <v>33.4</v>
      </c>
      <c r="G2792" s="31" t="n">
        <v>98.4</v>
      </c>
      <c r="H2792" s="2" t="s">
        <v>671</v>
      </c>
    </row>
    <row r="2793" customFormat="false" ht="15" hidden="false" customHeight="false" outlineLevel="0" collapsed="false">
      <c r="A2793" s="2" t="s">
        <v>252</v>
      </c>
      <c r="B2793" s="2" t="s">
        <v>47</v>
      </c>
      <c r="C2793" s="2" t="s">
        <v>4087</v>
      </c>
      <c r="D2793" s="11" t="n">
        <v>66815</v>
      </c>
      <c r="E2793" s="31" t="n">
        <v>63.7</v>
      </c>
      <c r="F2793" s="31" t="n">
        <v>86.2</v>
      </c>
      <c r="G2793" s="31" t="n">
        <v>96.4</v>
      </c>
      <c r="H2793" s="2" t="s">
        <v>671</v>
      </c>
    </row>
    <row r="2794" customFormat="false" ht="15" hidden="false" customHeight="false" outlineLevel="0" collapsed="false">
      <c r="A2794" s="2" t="s">
        <v>1267</v>
      </c>
      <c r="B2794" s="2" t="s">
        <v>4104</v>
      </c>
      <c r="C2794" s="2" t="s">
        <v>4085</v>
      </c>
      <c r="D2794" s="2"/>
      <c r="E2794" s="31" t="n">
        <v>49.8</v>
      </c>
      <c r="F2794" s="31" t="n">
        <v>65.2</v>
      </c>
      <c r="G2794" s="31" t="n">
        <v>33</v>
      </c>
      <c r="H2794" s="2" t="s">
        <v>671</v>
      </c>
    </row>
    <row r="2795" customFormat="false" ht="15" hidden="false" customHeight="false" outlineLevel="0" collapsed="false">
      <c r="A2795" s="2" t="s">
        <v>1267</v>
      </c>
      <c r="B2795" s="2" t="s">
        <v>4104</v>
      </c>
      <c r="C2795" s="2" t="s">
        <v>4086</v>
      </c>
      <c r="D2795" s="2"/>
      <c r="E2795" s="31" t="n">
        <v>49.6</v>
      </c>
      <c r="F2795" s="31" t="n">
        <v>21.7</v>
      </c>
      <c r="G2795" s="31" t="n">
        <v>22.6</v>
      </c>
      <c r="H2795" s="2" t="s">
        <v>668</v>
      </c>
    </row>
    <row r="2796" customFormat="false" ht="15" hidden="false" customHeight="false" outlineLevel="0" collapsed="false">
      <c r="A2796" s="2" t="s">
        <v>1267</v>
      </c>
      <c r="B2796" s="2" t="s">
        <v>4104</v>
      </c>
      <c r="C2796" s="2" t="s">
        <v>4087</v>
      </c>
      <c r="D2796" s="2"/>
      <c r="E2796" s="31" t="n">
        <v>49.2</v>
      </c>
      <c r="F2796" s="31" t="n">
        <v>53.2</v>
      </c>
      <c r="G2796" s="31" t="n">
        <v>19.1</v>
      </c>
      <c r="H2796" s="2" t="s">
        <v>668</v>
      </c>
    </row>
    <row r="2797" customFormat="false" ht="15" hidden="false" customHeight="false" outlineLevel="0" collapsed="false">
      <c r="A2797" s="2" t="s">
        <v>1267</v>
      </c>
      <c r="B2797" s="2" t="s">
        <v>45</v>
      </c>
      <c r="C2797" s="2" t="s">
        <v>4085</v>
      </c>
      <c r="D2797" s="11" t="n">
        <v>2870</v>
      </c>
      <c r="E2797" s="31" t="n">
        <v>21</v>
      </c>
      <c r="F2797" s="31" t="n">
        <v>98.4</v>
      </c>
      <c r="G2797" s="31" t="n">
        <v>47.1</v>
      </c>
      <c r="H2797" s="2" t="s">
        <v>671</v>
      </c>
    </row>
    <row r="2798" customFormat="false" ht="15" hidden="false" customHeight="false" outlineLevel="0" collapsed="false">
      <c r="A2798" s="2" t="s">
        <v>1267</v>
      </c>
      <c r="B2798" s="2" t="s">
        <v>45</v>
      </c>
      <c r="C2798" s="2" t="s">
        <v>4086</v>
      </c>
      <c r="D2798" s="11" t="n">
        <v>3060</v>
      </c>
      <c r="E2798" s="31" t="n">
        <v>16.8</v>
      </c>
      <c r="F2798" s="2"/>
      <c r="G2798" s="31" t="n">
        <v>22.6</v>
      </c>
      <c r="H2798" s="2" t="s">
        <v>668</v>
      </c>
    </row>
    <row r="2799" customFormat="false" ht="15" hidden="false" customHeight="false" outlineLevel="0" collapsed="false">
      <c r="A2799" s="2" t="s">
        <v>1267</v>
      </c>
      <c r="B2799" s="2" t="s">
        <v>45</v>
      </c>
      <c r="C2799" s="2" t="s">
        <v>4087</v>
      </c>
      <c r="D2799" s="11" t="n">
        <v>3325</v>
      </c>
      <c r="E2799" s="31" t="n">
        <v>18.6</v>
      </c>
      <c r="F2799" s="31" t="n">
        <v>75.9</v>
      </c>
      <c r="G2799" s="31" t="n">
        <v>19.1</v>
      </c>
      <c r="H2799" s="2" t="s">
        <v>671</v>
      </c>
    </row>
    <row r="2800" customFormat="false" ht="15" hidden="false" customHeight="false" outlineLevel="0" collapsed="false">
      <c r="A2800" s="2" t="s">
        <v>1267</v>
      </c>
      <c r="B2800" s="2" t="s">
        <v>46</v>
      </c>
      <c r="C2800" s="2" t="s">
        <v>4085</v>
      </c>
      <c r="D2800" s="11" t="n">
        <v>102286</v>
      </c>
      <c r="E2800" s="31" t="n">
        <v>78.7</v>
      </c>
      <c r="F2800" s="31" t="n">
        <v>32.1</v>
      </c>
      <c r="G2800" s="31" t="n">
        <v>18.9</v>
      </c>
      <c r="H2800" s="2" t="s">
        <v>671</v>
      </c>
    </row>
    <row r="2801" customFormat="false" ht="15" hidden="false" customHeight="false" outlineLevel="0" collapsed="false">
      <c r="A2801" s="2" t="s">
        <v>1267</v>
      </c>
      <c r="B2801" s="2" t="s">
        <v>46</v>
      </c>
      <c r="C2801" s="2" t="s">
        <v>4086</v>
      </c>
      <c r="D2801" s="11" t="n">
        <v>106269</v>
      </c>
      <c r="E2801" s="31" t="n">
        <v>82.3</v>
      </c>
      <c r="F2801" s="31" t="n">
        <v>21.7</v>
      </c>
      <c r="G2801" s="2"/>
      <c r="H2801" s="2" t="s">
        <v>668</v>
      </c>
    </row>
    <row r="2802" customFormat="false" ht="15" hidden="false" customHeight="false" outlineLevel="0" collapsed="false">
      <c r="A2802" s="2" t="s">
        <v>1267</v>
      </c>
      <c r="B2802" s="2" t="s">
        <v>46</v>
      </c>
      <c r="C2802" s="2" t="s">
        <v>4087</v>
      </c>
      <c r="D2802" s="11" t="n">
        <v>107250</v>
      </c>
      <c r="E2802" s="31" t="n">
        <v>79.9</v>
      </c>
      <c r="F2802" s="31" t="n">
        <v>30.5</v>
      </c>
      <c r="G2802" s="2"/>
      <c r="H2802" s="2" t="s">
        <v>668</v>
      </c>
    </row>
    <row r="2803" customFormat="false" ht="15" hidden="false" customHeight="false" outlineLevel="0" collapsed="false">
      <c r="A2803" s="2" t="s">
        <v>191</v>
      </c>
      <c r="B2803" s="2" t="s">
        <v>4104</v>
      </c>
      <c r="C2803" s="2" t="s">
        <v>4085</v>
      </c>
      <c r="D2803" s="2"/>
      <c r="E2803" s="31" t="n">
        <v>73</v>
      </c>
      <c r="F2803" s="31" t="n">
        <v>25.9</v>
      </c>
      <c r="G2803" s="31" t="n">
        <v>25.2</v>
      </c>
      <c r="H2803" s="2" t="s">
        <v>671</v>
      </c>
    </row>
    <row r="2804" customFormat="false" ht="15" hidden="false" customHeight="false" outlineLevel="0" collapsed="false">
      <c r="A2804" s="2" t="s">
        <v>191</v>
      </c>
      <c r="B2804" s="2" t="s">
        <v>4104</v>
      </c>
      <c r="C2804" s="2" t="s">
        <v>4086</v>
      </c>
      <c r="D2804" s="2"/>
      <c r="E2804" s="31" t="n">
        <v>66.8</v>
      </c>
      <c r="F2804" s="31" t="n">
        <v>7.5</v>
      </c>
      <c r="G2804" s="31" t="n">
        <v>46.6</v>
      </c>
      <c r="H2804" s="2" t="s">
        <v>671</v>
      </c>
    </row>
    <row r="2805" customFormat="false" ht="15" hidden="false" customHeight="false" outlineLevel="0" collapsed="false">
      <c r="A2805" s="2" t="s">
        <v>191</v>
      </c>
      <c r="B2805" s="2" t="s">
        <v>4104</v>
      </c>
      <c r="C2805" s="2" t="s">
        <v>4087</v>
      </c>
      <c r="D2805" s="2"/>
      <c r="E2805" s="31" t="n">
        <v>72.4</v>
      </c>
      <c r="F2805" s="31" t="n">
        <v>4.8</v>
      </c>
      <c r="G2805" s="31" t="n">
        <v>52.8</v>
      </c>
      <c r="H2805" s="2" t="s">
        <v>671</v>
      </c>
    </row>
    <row r="2806" customFormat="false" ht="15" hidden="false" customHeight="false" outlineLevel="0" collapsed="false">
      <c r="A2806" s="2" t="s">
        <v>191</v>
      </c>
      <c r="B2806" s="2" t="s">
        <v>47</v>
      </c>
      <c r="C2806" s="2" t="s">
        <v>4085</v>
      </c>
      <c r="D2806" s="11" t="n">
        <v>642547</v>
      </c>
      <c r="E2806" s="31" t="n">
        <v>73</v>
      </c>
      <c r="F2806" s="31" t="n">
        <v>25.9</v>
      </c>
      <c r="G2806" s="31" t="n">
        <v>25.2</v>
      </c>
      <c r="H2806" s="2" t="s">
        <v>671</v>
      </c>
    </row>
    <row r="2807" customFormat="false" ht="15" hidden="false" customHeight="false" outlineLevel="0" collapsed="false">
      <c r="A2807" s="2" t="s">
        <v>191</v>
      </c>
      <c r="B2807" s="2" t="s">
        <v>47</v>
      </c>
      <c r="C2807" s="2" t="s">
        <v>4086</v>
      </c>
      <c r="D2807" s="11" t="n">
        <v>656872</v>
      </c>
      <c r="E2807" s="31" t="n">
        <v>66.8</v>
      </c>
      <c r="F2807" s="31" t="n">
        <v>7.5</v>
      </c>
      <c r="G2807" s="31" t="n">
        <v>46.6</v>
      </c>
      <c r="H2807" s="2" t="s">
        <v>671</v>
      </c>
    </row>
    <row r="2808" customFormat="false" ht="15" hidden="false" customHeight="false" outlineLevel="0" collapsed="false">
      <c r="A2808" s="2" t="s">
        <v>191</v>
      </c>
      <c r="B2808" s="2" t="s">
        <v>47</v>
      </c>
      <c r="C2808" s="2" t="s">
        <v>4087</v>
      </c>
      <c r="D2808" s="11" t="n">
        <v>631718</v>
      </c>
      <c r="E2808" s="31" t="n">
        <v>72.4</v>
      </c>
      <c r="F2808" s="31" t="n">
        <v>4.8</v>
      </c>
      <c r="G2808" s="31" t="n">
        <v>52.8</v>
      </c>
      <c r="H2808" s="2" t="s">
        <v>671</v>
      </c>
    </row>
    <row r="2809" customFormat="false" ht="15" hidden="false" customHeight="false" outlineLevel="0" collapsed="false">
      <c r="A2809" s="2" t="s">
        <v>1736</v>
      </c>
      <c r="B2809" s="2" t="s">
        <v>4104</v>
      </c>
      <c r="C2809" s="2" t="s">
        <v>4085</v>
      </c>
      <c r="D2809" s="2"/>
      <c r="E2809" s="31" t="n">
        <v>61.4</v>
      </c>
      <c r="F2809" s="31" t="n">
        <v>15.1</v>
      </c>
      <c r="G2809" s="31" t="n">
        <v>22.4</v>
      </c>
      <c r="H2809" s="2" t="s">
        <v>668</v>
      </c>
    </row>
    <row r="2810" customFormat="false" ht="15" hidden="false" customHeight="false" outlineLevel="0" collapsed="false">
      <c r="A2810" s="2" t="s">
        <v>1736</v>
      </c>
      <c r="B2810" s="2" t="s">
        <v>4104</v>
      </c>
      <c r="C2810" s="2" t="s">
        <v>4086</v>
      </c>
      <c r="D2810" s="2"/>
      <c r="E2810" s="31" t="n">
        <v>47.6</v>
      </c>
      <c r="F2810" s="31" t="n">
        <v>46.6</v>
      </c>
      <c r="G2810" s="31" t="n">
        <v>9.6</v>
      </c>
      <c r="H2810" s="2" t="s">
        <v>668</v>
      </c>
    </row>
    <row r="2811" customFormat="false" ht="15" hidden="false" customHeight="false" outlineLevel="0" collapsed="false">
      <c r="A2811" s="2" t="s">
        <v>1736</v>
      </c>
      <c r="B2811" s="2" t="s">
        <v>4104</v>
      </c>
      <c r="C2811" s="2" t="s">
        <v>4087</v>
      </c>
      <c r="D2811" s="2"/>
      <c r="E2811" s="31" t="n">
        <v>62.1</v>
      </c>
      <c r="F2811" s="31" t="n">
        <v>32.2</v>
      </c>
      <c r="G2811" s="31" t="n">
        <v>5.5</v>
      </c>
      <c r="H2811" s="2" t="s">
        <v>668</v>
      </c>
    </row>
    <row r="2812" customFormat="false" ht="15" hidden="false" customHeight="false" outlineLevel="0" collapsed="false">
      <c r="A2812" s="2" t="s">
        <v>1736</v>
      </c>
      <c r="B2812" s="2" t="s">
        <v>45</v>
      </c>
      <c r="C2812" s="2" t="s">
        <v>4085</v>
      </c>
      <c r="D2812" s="11" t="n">
        <v>74670</v>
      </c>
      <c r="E2812" s="31" t="n">
        <v>80.3</v>
      </c>
      <c r="F2812" s="31" t="n">
        <v>7.7</v>
      </c>
      <c r="G2812" s="31" t="n">
        <v>2</v>
      </c>
      <c r="H2812" s="2" t="s">
        <v>671</v>
      </c>
    </row>
    <row r="2813" customFormat="false" ht="15" hidden="false" customHeight="false" outlineLevel="0" collapsed="false">
      <c r="A2813" s="2" t="s">
        <v>1736</v>
      </c>
      <c r="B2813" s="2" t="s">
        <v>45</v>
      </c>
      <c r="C2813" s="2" t="s">
        <v>4086</v>
      </c>
      <c r="D2813" s="11" t="n">
        <v>75760</v>
      </c>
      <c r="E2813" s="31" t="n">
        <v>89</v>
      </c>
      <c r="F2813" s="31" t="n">
        <v>59.1</v>
      </c>
      <c r="G2813" s="31" t="n">
        <v>15.4</v>
      </c>
      <c r="H2813" s="2" t="s">
        <v>671</v>
      </c>
    </row>
    <row r="2814" customFormat="false" ht="15" hidden="false" customHeight="false" outlineLevel="0" collapsed="false">
      <c r="A2814" s="2" t="s">
        <v>1736</v>
      </c>
      <c r="B2814" s="2" t="s">
        <v>45</v>
      </c>
      <c r="C2814" s="2" t="s">
        <v>4087</v>
      </c>
      <c r="D2814" s="11" t="n">
        <v>76940</v>
      </c>
      <c r="E2814" s="31" t="n">
        <v>84</v>
      </c>
      <c r="F2814" s="31" t="n">
        <v>44</v>
      </c>
      <c r="G2814" s="31" t="n">
        <v>2.5</v>
      </c>
      <c r="H2814" s="2" t="s">
        <v>668</v>
      </c>
    </row>
    <row r="2815" customFormat="false" ht="15" hidden="false" customHeight="false" outlineLevel="0" collapsed="false">
      <c r="A2815" s="2" t="s">
        <v>1736</v>
      </c>
      <c r="B2815" s="2" t="s">
        <v>46</v>
      </c>
      <c r="C2815" s="2" t="s">
        <v>4085</v>
      </c>
      <c r="D2815" s="2"/>
      <c r="E2815" s="2"/>
      <c r="F2815" s="2"/>
      <c r="G2815" s="2"/>
      <c r="H2815" s="2" t="s">
        <v>668</v>
      </c>
    </row>
    <row r="2816" customFormat="false" ht="15" hidden="false" customHeight="false" outlineLevel="0" collapsed="false">
      <c r="A2816" s="2" t="s">
        <v>1736</v>
      </c>
      <c r="B2816" s="2" t="s">
        <v>46</v>
      </c>
      <c r="C2816" s="2" t="s">
        <v>4086</v>
      </c>
      <c r="D2816" s="11" t="n">
        <v>47590</v>
      </c>
      <c r="E2816" s="31" t="n">
        <v>33.2</v>
      </c>
      <c r="F2816" s="31" t="n">
        <v>49.5</v>
      </c>
      <c r="G2816" s="31" t="n">
        <v>3.8</v>
      </c>
      <c r="H2816" s="2" t="s">
        <v>671</v>
      </c>
    </row>
    <row r="2817" customFormat="false" ht="15" hidden="false" customHeight="false" outlineLevel="0" collapsed="false">
      <c r="A2817" s="2" t="s">
        <v>1736</v>
      </c>
      <c r="B2817" s="2" t="s">
        <v>46</v>
      </c>
      <c r="C2817" s="2" t="s">
        <v>4087</v>
      </c>
      <c r="D2817" s="11" t="n">
        <v>48500</v>
      </c>
      <c r="E2817" s="31" t="n">
        <v>40.2</v>
      </c>
      <c r="F2817" s="31" t="n">
        <v>20.3</v>
      </c>
      <c r="G2817" s="31" t="n">
        <v>8.5</v>
      </c>
      <c r="H2817" s="2" t="s">
        <v>671</v>
      </c>
    </row>
    <row r="2818" customFormat="false" ht="15" hidden="false" customHeight="false" outlineLevel="0" collapsed="false">
      <c r="A2818" s="2" t="s">
        <v>1736</v>
      </c>
      <c r="B2818" s="2" t="s">
        <v>47</v>
      </c>
      <c r="C2818" s="2" t="s">
        <v>4085</v>
      </c>
      <c r="D2818" s="11" t="n">
        <v>55268</v>
      </c>
      <c r="E2818" s="31" t="n">
        <v>42.6</v>
      </c>
      <c r="F2818" s="31" t="n">
        <v>22.5</v>
      </c>
      <c r="G2818" s="31" t="n">
        <v>42.7</v>
      </c>
      <c r="H2818" s="2" t="s">
        <v>671</v>
      </c>
    </row>
    <row r="2819" customFormat="false" ht="15" hidden="false" customHeight="false" outlineLevel="0" collapsed="false">
      <c r="A2819" s="2" t="s">
        <v>1736</v>
      </c>
      <c r="B2819" s="2" t="s">
        <v>47</v>
      </c>
      <c r="C2819" s="2" t="s">
        <v>4086</v>
      </c>
      <c r="D2819" s="11" t="n">
        <v>57124</v>
      </c>
      <c r="E2819" s="31" t="n">
        <v>20.6</v>
      </c>
      <c r="F2819" s="31" t="n">
        <v>31.2</v>
      </c>
      <c r="G2819" s="2"/>
      <c r="H2819" s="2" t="s">
        <v>668</v>
      </c>
    </row>
    <row r="2820" customFormat="false" ht="15" hidden="false" customHeight="false" outlineLevel="0" collapsed="false">
      <c r="A2820" s="2" t="s">
        <v>1736</v>
      </c>
      <c r="B2820" s="2" t="s">
        <v>47</v>
      </c>
      <c r="C2820" s="2" t="s">
        <v>4087</v>
      </c>
      <c r="D2820" s="2"/>
      <c r="E2820" s="2"/>
      <c r="F2820" s="2"/>
      <c r="G2820" s="2"/>
      <c r="H2820" s="2" t="s">
        <v>668</v>
      </c>
    </row>
    <row r="2821" customFormat="false" ht="15" hidden="false" customHeight="false" outlineLevel="0" collapsed="false">
      <c r="A2821" s="2" t="s">
        <v>2872</v>
      </c>
      <c r="B2821" s="2" t="s">
        <v>4104</v>
      </c>
      <c r="C2821" s="2" t="s">
        <v>4085</v>
      </c>
      <c r="D2821" s="2"/>
      <c r="E2821" s="31" t="n">
        <v>15.2</v>
      </c>
      <c r="F2821" s="31" t="n">
        <v>9.5</v>
      </c>
      <c r="G2821" s="31" t="n">
        <v>24</v>
      </c>
      <c r="H2821" s="2" t="s">
        <v>671</v>
      </c>
    </row>
    <row r="2822" customFormat="false" ht="15" hidden="false" customHeight="false" outlineLevel="0" collapsed="false">
      <c r="A2822" s="2" t="s">
        <v>2872</v>
      </c>
      <c r="B2822" s="2" t="s">
        <v>4104</v>
      </c>
      <c r="C2822" s="2" t="s">
        <v>4086</v>
      </c>
      <c r="D2822" s="2"/>
      <c r="E2822" s="31" t="n">
        <v>16.4</v>
      </c>
      <c r="F2822" s="31" t="n">
        <v>4.2</v>
      </c>
      <c r="G2822" s="31" t="n">
        <v>39.4</v>
      </c>
      <c r="H2822" s="2" t="s">
        <v>671</v>
      </c>
    </row>
    <row r="2823" customFormat="false" ht="15" hidden="false" customHeight="false" outlineLevel="0" collapsed="false">
      <c r="A2823" s="2" t="s">
        <v>2872</v>
      </c>
      <c r="B2823" s="2" t="s">
        <v>4104</v>
      </c>
      <c r="C2823" s="2" t="s">
        <v>4087</v>
      </c>
      <c r="D2823" s="2"/>
      <c r="E2823" s="2"/>
      <c r="F2823" s="2"/>
      <c r="G2823" s="2"/>
      <c r="H2823" s="2" t="s">
        <v>668</v>
      </c>
    </row>
    <row r="2824" customFormat="false" ht="15" hidden="false" customHeight="false" outlineLevel="0" collapsed="false">
      <c r="A2824" s="2" t="s">
        <v>2872</v>
      </c>
      <c r="B2824" s="2" t="s">
        <v>47</v>
      </c>
      <c r="C2824" s="2" t="s">
        <v>4085</v>
      </c>
      <c r="D2824" s="11" t="n">
        <v>13384</v>
      </c>
      <c r="E2824" s="31" t="n">
        <v>15.2</v>
      </c>
      <c r="F2824" s="31" t="n">
        <v>9.5</v>
      </c>
      <c r="G2824" s="31" t="n">
        <v>24</v>
      </c>
      <c r="H2824" s="2" t="s">
        <v>671</v>
      </c>
    </row>
    <row r="2825" customFormat="false" ht="15" hidden="false" customHeight="false" outlineLevel="0" collapsed="false">
      <c r="A2825" s="2" t="s">
        <v>2872</v>
      </c>
      <c r="B2825" s="2" t="s">
        <v>47</v>
      </c>
      <c r="C2825" s="2" t="s">
        <v>4086</v>
      </c>
      <c r="D2825" s="11" t="n">
        <v>13378</v>
      </c>
      <c r="E2825" s="31" t="n">
        <v>16.4</v>
      </c>
      <c r="F2825" s="31" t="n">
        <v>4.2</v>
      </c>
      <c r="G2825" s="31" t="n">
        <v>39.4</v>
      </c>
      <c r="H2825" s="2" t="s">
        <v>671</v>
      </c>
    </row>
    <row r="2826" customFormat="false" ht="15" hidden="false" customHeight="false" outlineLevel="0" collapsed="false">
      <c r="A2826" s="2" t="s">
        <v>2872</v>
      </c>
      <c r="B2826" s="2" t="s">
        <v>47</v>
      </c>
      <c r="C2826" s="2" t="s">
        <v>4087</v>
      </c>
      <c r="D2826" s="2"/>
      <c r="E2826" s="2"/>
      <c r="F2826" s="2"/>
      <c r="G2826" s="2"/>
      <c r="H2826" s="2" t="s">
        <v>668</v>
      </c>
    </row>
    <row r="2827" customFormat="false" ht="15" hidden="false" customHeight="false" outlineLevel="0" collapsed="false">
      <c r="A2827" s="2" t="s">
        <v>2403</v>
      </c>
      <c r="B2827" s="2" t="s">
        <v>4104</v>
      </c>
      <c r="C2827" s="2" t="s">
        <v>4085</v>
      </c>
      <c r="D2827" s="2"/>
      <c r="E2827" s="31" t="n">
        <v>60.8</v>
      </c>
      <c r="F2827" s="31" t="n">
        <v>57.8</v>
      </c>
      <c r="G2827" s="31" t="n">
        <v>46.8</v>
      </c>
      <c r="H2827" s="2" t="s">
        <v>671</v>
      </c>
    </row>
    <row r="2828" customFormat="false" ht="15" hidden="false" customHeight="false" outlineLevel="0" collapsed="false">
      <c r="A2828" s="2" t="s">
        <v>2403</v>
      </c>
      <c r="B2828" s="2" t="s">
        <v>4104</v>
      </c>
      <c r="C2828" s="2" t="s">
        <v>4086</v>
      </c>
      <c r="D2828" s="2"/>
      <c r="E2828" s="31" t="n">
        <v>65.4</v>
      </c>
      <c r="F2828" s="31" t="n">
        <v>58.1</v>
      </c>
      <c r="G2828" s="31" t="n">
        <v>41.8</v>
      </c>
      <c r="H2828" s="2" t="s">
        <v>671</v>
      </c>
    </row>
    <row r="2829" customFormat="false" ht="15" hidden="false" customHeight="false" outlineLevel="0" collapsed="false">
      <c r="A2829" s="2" t="s">
        <v>2403</v>
      </c>
      <c r="B2829" s="2" t="s">
        <v>4104</v>
      </c>
      <c r="C2829" s="2" t="s">
        <v>4087</v>
      </c>
      <c r="D2829" s="2"/>
      <c r="E2829" s="31" t="n">
        <v>38.2</v>
      </c>
      <c r="F2829" s="31" t="n">
        <v>44.6</v>
      </c>
      <c r="G2829" s="31" t="n">
        <v>18.7</v>
      </c>
      <c r="H2829" s="2" t="s">
        <v>668</v>
      </c>
    </row>
    <row r="2830" customFormat="false" ht="15" hidden="false" customHeight="false" outlineLevel="0" collapsed="false">
      <c r="A2830" s="2" t="s">
        <v>2403</v>
      </c>
      <c r="B2830" s="2" t="s">
        <v>45</v>
      </c>
      <c r="C2830" s="2" t="s">
        <v>4085</v>
      </c>
      <c r="D2830" s="11" t="n">
        <v>39877</v>
      </c>
      <c r="E2830" s="31" t="n">
        <v>37.4</v>
      </c>
      <c r="F2830" s="31" t="n">
        <v>85.8</v>
      </c>
      <c r="G2830" s="31" t="n">
        <v>36.8</v>
      </c>
      <c r="H2830" s="2" t="s">
        <v>671</v>
      </c>
    </row>
    <row r="2831" customFormat="false" ht="15" hidden="false" customHeight="false" outlineLevel="0" collapsed="false">
      <c r="A2831" s="2" t="s">
        <v>2403</v>
      </c>
      <c r="B2831" s="2" t="s">
        <v>45</v>
      </c>
      <c r="C2831" s="2" t="s">
        <v>4086</v>
      </c>
      <c r="D2831" s="11" t="n">
        <v>42310</v>
      </c>
      <c r="E2831" s="31" t="n">
        <v>52.9</v>
      </c>
      <c r="F2831" s="31" t="n">
        <v>96.9</v>
      </c>
      <c r="G2831" s="31" t="n">
        <v>71.6</v>
      </c>
      <c r="H2831" s="2" t="s">
        <v>671</v>
      </c>
    </row>
    <row r="2832" customFormat="false" ht="15" hidden="false" customHeight="false" outlineLevel="0" collapsed="false">
      <c r="A2832" s="2" t="s">
        <v>2403</v>
      </c>
      <c r="B2832" s="2" t="s">
        <v>45</v>
      </c>
      <c r="C2832" s="2" t="s">
        <v>4087</v>
      </c>
      <c r="D2832" s="2"/>
      <c r="E2832" s="2"/>
      <c r="F2832" s="2"/>
      <c r="G2832" s="2"/>
      <c r="H2832" s="2" t="s">
        <v>668</v>
      </c>
    </row>
    <row r="2833" customFormat="false" ht="15" hidden="false" customHeight="false" outlineLevel="0" collapsed="false">
      <c r="A2833" s="2" t="s">
        <v>2403</v>
      </c>
      <c r="B2833" s="2" t="s">
        <v>46</v>
      </c>
      <c r="C2833" s="2" t="s">
        <v>4085</v>
      </c>
      <c r="D2833" s="11" t="n">
        <v>835251</v>
      </c>
      <c r="E2833" s="31" t="n">
        <v>97.7</v>
      </c>
      <c r="F2833" s="31" t="n">
        <v>46.8</v>
      </c>
      <c r="G2833" s="31" t="n">
        <v>35.2</v>
      </c>
      <c r="H2833" s="2" t="s">
        <v>671</v>
      </c>
    </row>
    <row r="2834" customFormat="false" ht="15" hidden="false" customHeight="false" outlineLevel="0" collapsed="false">
      <c r="A2834" s="2" t="s">
        <v>2403</v>
      </c>
      <c r="B2834" s="2" t="s">
        <v>46</v>
      </c>
      <c r="C2834" s="2" t="s">
        <v>4086</v>
      </c>
      <c r="D2834" s="11" t="n">
        <v>844210</v>
      </c>
      <c r="E2834" s="31" t="n">
        <v>98.6</v>
      </c>
      <c r="F2834" s="31" t="n">
        <v>35.7</v>
      </c>
      <c r="G2834" s="31" t="n">
        <v>13.7</v>
      </c>
      <c r="H2834" s="2" t="s">
        <v>671</v>
      </c>
    </row>
    <row r="2835" customFormat="false" ht="15" hidden="false" customHeight="false" outlineLevel="0" collapsed="false">
      <c r="A2835" s="2" t="s">
        <v>2403</v>
      </c>
      <c r="B2835" s="2" t="s">
        <v>46</v>
      </c>
      <c r="C2835" s="2" t="s">
        <v>4087</v>
      </c>
      <c r="D2835" s="2"/>
      <c r="E2835" s="2"/>
      <c r="F2835" s="2"/>
      <c r="G2835" s="2"/>
      <c r="H2835" s="2" t="s">
        <v>668</v>
      </c>
    </row>
    <row r="2836" customFormat="false" ht="15" hidden="false" customHeight="false" outlineLevel="0" collapsed="false">
      <c r="A2836" s="2" t="s">
        <v>2403</v>
      </c>
      <c r="B2836" s="2" t="s">
        <v>47</v>
      </c>
      <c r="C2836" s="2" t="s">
        <v>4085</v>
      </c>
      <c r="D2836" s="11" t="n">
        <v>308206</v>
      </c>
      <c r="E2836" s="31" t="n">
        <v>47.4</v>
      </c>
      <c r="F2836" s="31" t="n">
        <v>40.7</v>
      </c>
      <c r="G2836" s="31" t="n">
        <v>68.4</v>
      </c>
      <c r="H2836" s="2" t="s">
        <v>671</v>
      </c>
    </row>
    <row r="2837" customFormat="false" ht="15" hidden="false" customHeight="false" outlineLevel="0" collapsed="false">
      <c r="A2837" s="2" t="s">
        <v>2403</v>
      </c>
      <c r="B2837" s="2" t="s">
        <v>47</v>
      </c>
      <c r="C2837" s="2" t="s">
        <v>4086</v>
      </c>
      <c r="D2837" s="11" t="n">
        <v>313608</v>
      </c>
      <c r="E2837" s="31" t="n">
        <v>44.6</v>
      </c>
      <c r="F2837" s="31" t="n">
        <v>41.6</v>
      </c>
      <c r="G2837" s="31" t="n">
        <v>40</v>
      </c>
      <c r="H2837" s="2" t="s">
        <v>671</v>
      </c>
    </row>
    <row r="2838" customFormat="false" ht="15" hidden="false" customHeight="false" outlineLevel="0" collapsed="false">
      <c r="A2838" s="2" t="s">
        <v>2403</v>
      </c>
      <c r="B2838" s="2" t="s">
        <v>47</v>
      </c>
      <c r="C2838" s="2" t="s">
        <v>4087</v>
      </c>
      <c r="D2838" s="11" t="n">
        <v>323115</v>
      </c>
      <c r="E2838" s="31" t="n">
        <v>38.2</v>
      </c>
      <c r="F2838" s="31" t="n">
        <v>44.6</v>
      </c>
      <c r="G2838" s="31" t="n">
        <v>18.7</v>
      </c>
      <c r="H2838" s="2" t="s">
        <v>671</v>
      </c>
    </row>
    <row r="2839" customFormat="false" ht="15" hidden="false" customHeight="false" outlineLevel="0" collapsed="false">
      <c r="A2839" s="2" t="s">
        <v>452</v>
      </c>
      <c r="B2839" s="2" t="s">
        <v>4104</v>
      </c>
      <c r="C2839" s="2" t="s">
        <v>4085</v>
      </c>
      <c r="D2839" s="2"/>
      <c r="E2839" s="31" t="n">
        <v>60.6</v>
      </c>
      <c r="F2839" s="31" t="n">
        <v>32.4</v>
      </c>
      <c r="G2839" s="31" t="n">
        <v>49.1</v>
      </c>
      <c r="H2839" s="2" t="s">
        <v>668</v>
      </c>
    </row>
    <row r="2840" customFormat="false" ht="15" hidden="false" customHeight="false" outlineLevel="0" collapsed="false">
      <c r="A2840" s="2" t="s">
        <v>452</v>
      </c>
      <c r="B2840" s="2" t="s">
        <v>4104</v>
      </c>
      <c r="C2840" s="2" t="s">
        <v>4086</v>
      </c>
      <c r="D2840" s="2"/>
      <c r="E2840" s="31" t="n">
        <v>46.3</v>
      </c>
      <c r="F2840" s="31" t="n">
        <v>39.3</v>
      </c>
      <c r="G2840" s="31" t="n">
        <v>34</v>
      </c>
      <c r="H2840" s="2" t="s">
        <v>671</v>
      </c>
    </row>
    <row r="2841" customFormat="false" ht="15" hidden="false" customHeight="false" outlineLevel="0" collapsed="false">
      <c r="A2841" s="2" t="s">
        <v>452</v>
      </c>
      <c r="B2841" s="2" t="s">
        <v>4104</v>
      </c>
      <c r="C2841" s="2" t="s">
        <v>4087</v>
      </c>
      <c r="D2841" s="2"/>
      <c r="E2841" s="31" t="n">
        <v>41.2</v>
      </c>
      <c r="F2841" s="31" t="n">
        <v>30.4</v>
      </c>
      <c r="G2841" s="31" t="n">
        <v>43</v>
      </c>
      <c r="H2841" s="2" t="s">
        <v>671</v>
      </c>
    </row>
    <row r="2842" customFormat="false" ht="15" hidden="false" customHeight="false" outlineLevel="0" collapsed="false">
      <c r="A2842" s="2" t="s">
        <v>452</v>
      </c>
      <c r="B2842" s="2" t="s">
        <v>45</v>
      </c>
      <c r="C2842" s="2" t="s">
        <v>4085</v>
      </c>
      <c r="D2842" s="11" t="n">
        <v>221420</v>
      </c>
      <c r="E2842" s="31" t="n">
        <v>46</v>
      </c>
      <c r="F2842" s="31" t="n">
        <v>64.4</v>
      </c>
      <c r="G2842" s="31" t="n">
        <v>8.3</v>
      </c>
      <c r="H2842" s="2" t="s">
        <v>671</v>
      </c>
    </row>
    <row r="2843" customFormat="false" ht="15" hidden="false" customHeight="false" outlineLevel="0" collapsed="false">
      <c r="A2843" s="2" t="s">
        <v>452</v>
      </c>
      <c r="B2843" s="2" t="s">
        <v>45</v>
      </c>
      <c r="C2843" s="2" t="s">
        <v>4086</v>
      </c>
      <c r="D2843" s="11" t="n">
        <v>240672</v>
      </c>
      <c r="E2843" s="31" t="n">
        <v>20.2</v>
      </c>
      <c r="F2843" s="31" t="n">
        <v>77.9</v>
      </c>
      <c r="G2843" s="31" t="n">
        <v>2.6</v>
      </c>
      <c r="H2843" s="2" t="s">
        <v>671</v>
      </c>
    </row>
    <row r="2844" customFormat="false" ht="15" hidden="false" customHeight="false" outlineLevel="0" collapsed="false">
      <c r="A2844" s="2" t="s">
        <v>452</v>
      </c>
      <c r="B2844" s="2" t="s">
        <v>45</v>
      </c>
      <c r="C2844" s="2" t="s">
        <v>4087</v>
      </c>
      <c r="D2844" s="11" t="n">
        <v>243210</v>
      </c>
      <c r="E2844" s="31" t="n">
        <v>17.1</v>
      </c>
      <c r="F2844" s="31" t="n">
        <v>52.9</v>
      </c>
      <c r="G2844" s="31" t="n">
        <v>22.7</v>
      </c>
      <c r="H2844" s="2" t="s">
        <v>671</v>
      </c>
    </row>
    <row r="2845" customFormat="false" ht="15" hidden="false" customHeight="false" outlineLevel="0" collapsed="false">
      <c r="A2845" s="2" t="s">
        <v>452</v>
      </c>
      <c r="B2845" s="2" t="s">
        <v>46</v>
      </c>
      <c r="C2845" s="2" t="s">
        <v>4085</v>
      </c>
      <c r="D2845" s="2"/>
      <c r="E2845" s="2"/>
      <c r="F2845" s="2"/>
      <c r="G2845" s="2"/>
      <c r="H2845" s="2" t="s">
        <v>668</v>
      </c>
    </row>
    <row r="2846" customFormat="false" ht="15" hidden="false" customHeight="false" outlineLevel="0" collapsed="false">
      <c r="A2846" s="2" t="s">
        <v>452</v>
      </c>
      <c r="B2846" s="2" t="s">
        <v>46</v>
      </c>
      <c r="C2846" s="2" t="s">
        <v>4086</v>
      </c>
      <c r="D2846" s="11" t="n">
        <v>144788</v>
      </c>
      <c r="E2846" s="31" t="n">
        <v>58</v>
      </c>
      <c r="F2846" s="31" t="n">
        <v>39.5</v>
      </c>
      <c r="G2846" s="31" t="n">
        <v>24.7</v>
      </c>
      <c r="H2846" s="2" t="s">
        <v>671</v>
      </c>
    </row>
    <row r="2847" customFormat="false" ht="15" hidden="false" customHeight="false" outlineLevel="0" collapsed="false">
      <c r="A2847" s="2" t="s">
        <v>452</v>
      </c>
      <c r="B2847" s="2" t="s">
        <v>46</v>
      </c>
      <c r="C2847" s="2" t="s">
        <v>4087</v>
      </c>
      <c r="D2847" s="11" t="n">
        <v>154067</v>
      </c>
      <c r="E2847" s="31" t="n">
        <v>41.2</v>
      </c>
      <c r="F2847" s="31" t="n">
        <v>37.1</v>
      </c>
      <c r="G2847" s="31" t="n">
        <v>35</v>
      </c>
      <c r="H2847" s="2" t="s">
        <v>671</v>
      </c>
    </row>
    <row r="2848" customFormat="false" ht="15" hidden="false" customHeight="false" outlineLevel="0" collapsed="false">
      <c r="A2848" s="2" t="s">
        <v>452</v>
      </c>
      <c r="B2848" s="2" t="s">
        <v>47</v>
      </c>
      <c r="C2848" s="2" t="s">
        <v>4085</v>
      </c>
      <c r="D2848" s="11" t="n">
        <v>33650</v>
      </c>
      <c r="E2848" s="31" t="n">
        <v>75.1</v>
      </c>
      <c r="F2848" s="31" t="n">
        <v>0.3</v>
      </c>
      <c r="G2848" s="31" t="n">
        <v>89.9</v>
      </c>
      <c r="H2848" s="2" t="s">
        <v>671</v>
      </c>
    </row>
    <row r="2849" customFormat="false" ht="15" hidden="false" customHeight="false" outlineLevel="0" collapsed="false">
      <c r="A2849" s="2" t="s">
        <v>452</v>
      </c>
      <c r="B2849" s="2" t="s">
        <v>47</v>
      </c>
      <c r="C2849" s="2" t="s">
        <v>4086</v>
      </c>
      <c r="D2849" s="11" t="n">
        <v>33630</v>
      </c>
      <c r="E2849" s="31" t="n">
        <v>60.8</v>
      </c>
      <c r="F2849" s="31" t="n">
        <v>0.6</v>
      </c>
      <c r="G2849" s="31" t="n">
        <v>74.7</v>
      </c>
      <c r="H2849" s="2" t="s">
        <v>671</v>
      </c>
    </row>
    <row r="2850" customFormat="false" ht="15" hidden="false" customHeight="false" outlineLevel="0" collapsed="false">
      <c r="A2850" s="2" t="s">
        <v>452</v>
      </c>
      <c r="B2850" s="2" t="s">
        <v>47</v>
      </c>
      <c r="C2850" s="2" t="s">
        <v>4087</v>
      </c>
      <c r="D2850" s="11" t="n">
        <v>32500</v>
      </c>
      <c r="E2850" s="31" t="n">
        <v>65.2</v>
      </c>
      <c r="F2850" s="31" t="n">
        <v>1.1</v>
      </c>
      <c r="G2850" s="31" t="n">
        <v>71.4</v>
      </c>
      <c r="H2850" s="2" t="s">
        <v>671</v>
      </c>
    </row>
    <row r="2851" customFormat="false" ht="15" hidden="false" customHeight="false" outlineLevel="0" collapsed="false">
      <c r="A2851" s="2" t="s">
        <v>298</v>
      </c>
      <c r="B2851" s="2" t="s">
        <v>4104</v>
      </c>
      <c r="C2851" s="2" t="s">
        <v>4085</v>
      </c>
      <c r="D2851" s="2"/>
      <c r="E2851" s="31" t="n">
        <v>61.2</v>
      </c>
      <c r="F2851" s="31" t="n">
        <v>38.1</v>
      </c>
      <c r="G2851" s="31" t="n">
        <v>77.2</v>
      </c>
      <c r="H2851" s="2" t="s">
        <v>668</v>
      </c>
    </row>
    <row r="2852" customFormat="false" ht="15" hidden="false" customHeight="false" outlineLevel="0" collapsed="false">
      <c r="A2852" s="2" t="s">
        <v>298</v>
      </c>
      <c r="B2852" s="2" t="s">
        <v>4104</v>
      </c>
      <c r="C2852" s="2" t="s">
        <v>4086</v>
      </c>
      <c r="D2852" s="2"/>
      <c r="E2852" s="31" t="n">
        <v>60.1</v>
      </c>
      <c r="F2852" s="31" t="n">
        <v>43.4</v>
      </c>
      <c r="G2852" s="31" t="n">
        <v>48.2</v>
      </c>
      <c r="H2852" s="2" t="s">
        <v>668</v>
      </c>
    </row>
    <row r="2853" customFormat="false" ht="15" hidden="false" customHeight="false" outlineLevel="0" collapsed="false">
      <c r="A2853" s="2" t="s">
        <v>298</v>
      </c>
      <c r="B2853" s="2" t="s">
        <v>4104</v>
      </c>
      <c r="C2853" s="2" t="s">
        <v>4087</v>
      </c>
      <c r="D2853" s="2"/>
      <c r="E2853" s="31" t="n">
        <v>57.6</v>
      </c>
      <c r="F2853" s="31" t="n">
        <v>32.1</v>
      </c>
      <c r="G2853" s="31" t="n">
        <v>78</v>
      </c>
      <c r="H2853" s="2" t="s">
        <v>671</v>
      </c>
    </row>
    <row r="2854" customFormat="false" ht="15" hidden="false" customHeight="false" outlineLevel="0" collapsed="false">
      <c r="A2854" s="2" t="s">
        <v>298</v>
      </c>
      <c r="B2854" s="2" t="s">
        <v>45</v>
      </c>
      <c r="C2854" s="2" t="s">
        <v>4085</v>
      </c>
      <c r="D2854" s="11" t="n">
        <v>179630</v>
      </c>
      <c r="E2854" s="31" t="n">
        <v>57.4</v>
      </c>
      <c r="F2854" s="31" t="n">
        <v>4.1</v>
      </c>
      <c r="G2854" s="2"/>
      <c r="H2854" s="2" t="s">
        <v>671</v>
      </c>
    </row>
    <row r="2855" customFormat="false" ht="15" hidden="false" customHeight="false" outlineLevel="0" collapsed="false">
      <c r="A2855" s="2" t="s">
        <v>298</v>
      </c>
      <c r="B2855" s="2" t="s">
        <v>45</v>
      </c>
      <c r="C2855" s="2" t="s">
        <v>4086</v>
      </c>
      <c r="D2855" s="2"/>
      <c r="E2855" s="2"/>
      <c r="F2855" s="2"/>
      <c r="G2855" s="2"/>
      <c r="H2855" s="2" t="s">
        <v>668</v>
      </c>
    </row>
    <row r="2856" customFormat="false" ht="15" hidden="false" customHeight="false" outlineLevel="0" collapsed="false">
      <c r="A2856" s="2" t="s">
        <v>298</v>
      </c>
      <c r="B2856" s="2" t="s">
        <v>45</v>
      </c>
      <c r="C2856" s="2" t="s">
        <v>4087</v>
      </c>
      <c r="D2856" s="11" t="n">
        <v>172590</v>
      </c>
      <c r="E2856" s="31" t="n">
        <v>48.5</v>
      </c>
      <c r="F2856" s="31" t="n">
        <v>5.8</v>
      </c>
      <c r="G2856" s="2"/>
      <c r="H2856" s="2" t="s">
        <v>671</v>
      </c>
    </row>
    <row r="2857" customFormat="false" ht="15" hidden="false" customHeight="false" outlineLevel="0" collapsed="false">
      <c r="A2857" s="2" t="s">
        <v>298</v>
      </c>
      <c r="B2857" s="2" t="s">
        <v>46</v>
      </c>
      <c r="C2857" s="2" t="s">
        <v>4085</v>
      </c>
      <c r="D2857" s="11" t="n">
        <v>21710</v>
      </c>
      <c r="E2857" s="2"/>
      <c r="F2857" s="31" t="n">
        <v>58.1</v>
      </c>
      <c r="G2857" s="31" t="n">
        <v>90.6</v>
      </c>
      <c r="H2857" s="2" t="s">
        <v>668</v>
      </c>
    </row>
    <row r="2858" customFormat="false" ht="15" hidden="false" customHeight="false" outlineLevel="0" collapsed="false">
      <c r="A2858" s="2" t="s">
        <v>298</v>
      </c>
      <c r="B2858" s="2" t="s">
        <v>46</v>
      </c>
      <c r="C2858" s="2" t="s">
        <v>4086</v>
      </c>
      <c r="D2858" s="11" t="n">
        <v>21501</v>
      </c>
      <c r="E2858" s="31" t="n">
        <v>34.8</v>
      </c>
      <c r="F2858" s="31" t="n">
        <v>36.7</v>
      </c>
      <c r="G2858" s="2"/>
      <c r="H2858" s="2" t="s">
        <v>668</v>
      </c>
    </row>
    <row r="2859" customFormat="false" ht="15" hidden="false" customHeight="false" outlineLevel="0" collapsed="false">
      <c r="A2859" s="2" t="s">
        <v>298</v>
      </c>
      <c r="B2859" s="2" t="s">
        <v>46</v>
      </c>
      <c r="C2859" s="2" t="s">
        <v>4087</v>
      </c>
      <c r="D2859" s="11" t="n">
        <v>22210</v>
      </c>
      <c r="E2859" s="31" t="n">
        <v>56</v>
      </c>
      <c r="F2859" s="31" t="n">
        <v>58.5</v>
      </c>
      <c r="G2859" s="31" t="n">
        <v>85</v>
      </c>
      <c r="H2859" s="2" t="s">
        <v>671</v>
      </c>
    </row>
    <row r="2860" customFormat="false" ht="15" hidden="false" customHeight="false" outlineLevel="0" collapsed="false">
      <c r="A2860" s="2" t="s">
        <v>298</v>
      </c>
      <c r="B2860" s="2" t="s">
        <v>47</v>
      </c>
      <c r="C2860" s="2" t="s">
        <v>4085</v>
      </c>
      <c r="D2860" s="11" t="n">
        <v>9063</v>
      </c>
      <c r="E2860" s="31" t="n">
        <v>65.1</v>
      </c>
      <c r="F2860" s="31" t="n">
        <v>52.2</v>
      </c>
      <c r="G2860" s="31" t="n">
        <v>63.7</v>
      </c>
      <c r="H2860" s="2" t="s">
        <v>671</v>
      </c>
    </row>
    <row r="2861" customFormat="false" ht="15" hidden="false" customHeight="false" outlineLevel="0" collapsed="false">
      <c r="A2861" s="2" t="s">
        <v>298</v>
      </c>
      <c r="B2861" s="2" t="s">
        <v>47</v>
      </c>
      <c r="C2861" s="2" t="s">
        <v>4086</v>
      </c>
      <c r="D2861" s="11" t="n">
        <v>9194</v>
      </c>
      <c r="E2861" s="31" t="n">
        <v>85.4</v>
      </c>
      <c r="F2861" s="31" t="n">
        <v>50</v>
      </c>
      <c r="G2861" s="31" t="n">
        <v>48.2</v>
      </c>
      <c r="H2861" s="2" t="s">
        <v>671</v>
      </c>
    </row>
    <row r="2862" customFormat="false" ht="15" hidden="false" customHeight="false" outlineLevel="0" collapsed="false">
      <c r="A2862" s="2" t="s">
        <v>298</v>
      </c>
      <c r="B2862" s="2" t="s">
        <v>47</v>
      </c>
      <c r="C2862" s="2" t="s">
        <v>4087</v>
      </c>
      <c r="D2862" s="11" t="n">
        <v>9535</v>
      </c>
      <c r="E2862" s="31" t="n">
        <v>68.3</v>
      </c>
      <c r="F2862" s="31" t="n">
        <v>32</v>
      </c>
      <c r="G2862" s="31" t="n">
        <v>70.9</v>
      </c>
      <c r="H2862" s="2" t="s">
        <v>671</v>
      </c>
    </row>
    <row r="2863" customFormat="false" ht="15" hidden="false" customHeight="false" outlineLevel="0" collapsed="false">
      <c r="A2863" s="2" t="s">
        <v>2685</v>
      </c>
      <c r="B2863" s="2" t="s">
        <v>4104</v>
      </c>
      <c r="C2863" s="2" t="s">
        <v>4085</v>
      </c>
      <c r="D2863" s="2"/>
      <c r="E2863" s="31" t="n">
        <v>32.8</v>
      </c>
      <c r="F2863" s="31" t="n">
        <v>32.4</v>
      </c>
      <c r="G2863" s="31" t="n">
        <v>88.5</v>
      </c>
      <c r="H2863" s="2" t="s">
        <v>668</v>
      </c>
    </row>
    <row r="2864" customFormat="false" ht="15" hidden="false" customHeight="false" outlineLevel="0" collapsed="false">
      <c r="A2864" s="2" t="s">
        <v>2685</v>
      </c>
      <c r="B2864" s="2" t="s">
        <v>4104</v>
      </c>
      <c r="C2864" s="2" t="s">
        <v>4086</v>
      </c>
      <c r="D2864" s="2"/>
      <c r="E2864" s="31" t="n">
        <v>29</v>
      </c>
      <c r="F2864" s="31" t="n">
        <v>8.1</v>
      </c>
      <c r="G2864" s="31" t="n">
        <v>70.9</v>
      </c>
      <c r="H2864" s="2" t="s">
        <v>668</v>
      </c>
    </row>
    <row r="2865" customFormat="false" ht="15" hidden="false" customHeight="false" outlineLevel="0" collapsed="false">
      <c r="A2865" s="2" t="s">
        <v>2685</v>
      </c>
      <c r="B2865" s="2" t="s">
        <v>4104</v>
      </c>
      <c r="C2865" s="2" t="s">
        <v>4087</v>
      </c>
      <c r="D2865" s="2"/>
      <c r="E2865" s="31" t="n">
        <v>35.5</v>
      </c>
      <c r="F2865" s="31" t="n">
        <v>22.6</v>
      </c>
      <c r="G2865" s="31" t="n">
        <v>78.9</v>
      </c>
      <c r="H2865" s="2" t="s">
        <v>668</v>
      </c>
    </row>
    <row r="2866" customFormat="false" ht="15" hidden="false" customHeight="false" outlineLevel="0" collapsed="false">
      <c r="A2866" s="2" t="s">
        <v>2685</v>
      </c>
      <c r="B2866" s="2" t="s">
        <v>45</v>
      </c>
      <c r="C2866" s="2" t="s">
        <v>4085</v>
      </c>
      <c r="D2866" s="11" t="n">
        <v>52596</v>
      </c>
      <c r="E2866" s="31" t="n">
        <v>62.2</v>
      </c>
      <c r="F2866" s="2"/>
      <c r="G2866" s="2"/>
      <c r="H2866" s="2" t="s">
        <v>668</v>
      </c>
    </row>
    <row r="2867" customFormat="false" ht="15" hidden="false" customHeight="false" outlineLevel="0" collapsed="false">
      <c r="A2867" s="2" t="s">
        <v>2685</v>
      </c>
      <c r="B2867" s="2" t="s">
        <v>45</v>
      </c>
      <c r="C2867" s="2" t="s">
        <v>4086</v>
      </c>
      <c r="D2867" s="11" t="n">
        <v>51300</v>
      </c>
      <c r="E2867" s="31" t="n">
        <v>56.7</v>
      </c>
      <c r="F2867" s="31" t="n">
        <v>3.4</v>
      </c>
      <c r="G2867" s="31" t="n">
        <v>94.6</v>
      </c>
      <c r="H2867" s="2" t="s">
        <v>671</v>
      </c>
    </row>
    <row r="2868" customFormat="false" ht="15" hidden="false" customHeight="false" outlineLevel="0" collapsed="false">
      <c r="A2868" s="2" t="s">
        <v>2685</v>
      </c>
      <c r="B2868" s="2" t="s">
        <v>45</v>
      </c>
      <c r="C2868" s="2" t="s">
        <v>4087</v>
      </c>
      <c r="D2868" s="2"/>
      <c r="E2868" s="2"/>
      <c r="F2868" s="2"/>
      <c r="G2868" s="2"/>
      <c r="H2868" s="2" t="s">
        <v>668</v>
      </c>
    </row>
    <row r="2869" customFormat="false" ht="15" hidden="false" customHeight="false" outlineLevel="0" collapsed="false">
      <c r="A2869" s="2" t="s">
        <v>2685</v>
      </c>
      <c r="B2869" s="2" t="s">
        <v>46</v>
      </c>
      <c r="C2869" s="2" t="s">
        <v>4085</v>
      </c>
      <c r="D2869" s="2"/>
      <c r="E2869" s="2"/>
      <c r="F2869" s="2"/>
      <c r="G2869" s="2"/>
      <c r="H2869" s="2" t="s">
        <v>668</v>
      </c>
    </row>
    <row r="2870" customFormat="false" ht="15" hidden="false" customHeight="false" outlineLevel="0" collapsed="false">
      <c r="A2870" s="2" t="s">
        <v>2685</v>
      </c>
      <c r="B2870" s="2" t="s">
        <v>46</v>
      </c>
      <c r="C2870" s="2" t="s">
        <v>4086</v>
      </c>
      <c r="D2870" s="11" t="n">
        <v>29100</v>
      </c>
      <c r="E2870" s="2"/>
      <c r="F2870" s="31" t="n">
        <v>0.4</v>
      </c>
      <c r="G2870" s="31" t="n">
        <v>24.3</v>
      </c>
      <c r="H2870" s="2" t="s">
        <v>668</v>
      </c>
    </row>
    <row r="2871" customFormat="false" ht="15" hidden="false" customHeight="false" outlineLevel="0" collapsed="false">
      <c r="A2871" s="2" t="s">
        <v>2685</v>
      </c>
      <c r="B2871" s="2" t="s">
        <v>46</v>
      </c>
      <c r="C2871" s="2" t="s">
        <v>4087</v>
      </c>
      <c r="D2871" s="11" t="n">
        <v>28010</v>
      </c>
      <c r="E2871" s="31" t="n">
        <v>70.8</v>
      </c>
      <c r="F2871" s="31" t="n">
        <v>0.4</v>
      </c>
      <c r="G2871" s="2"/>
      <c r="H2871" s="2" t="s">
        <v>668</v>
      </c>
    </row>
    <row r="2872" customFormat="false" ht="15" hidden="false" customHeight="false" outlineLevel="0" collapsed="false">
      <c r="A2872" s="2" t="s">
        <v>2685</v>
      </c>
      <c r="B2872" s="2" t="s">
        <v>47</v>
      </c>
      <c r="C2872" s="2" t="s">
        <v>4085</v>
      </c>
      <c r="D2872" s="11" t="n">
        <v>18840</v>
      </c>
      <c r="E2872" s="31" t="n">
        <v>3.5</v>
      </c>
      <c r="F2872" s="31" t="n">
        <v>32.4</v>
      </c>
      <c r="G2872" s="31" t="n">
        <v>88.5</v>
      </c>
      <c r="H2872" s="2" t="s">
        <v>671</v>
      </c>
    </row>
    <row r="2873" customFormat="false" ht="15" hidden="false" customHeight="false" outlineLevel="0" collapsed="false">
      <c r="A2873" s="2" t="s">
        <v>2685</v>
      </c>
      <c r="B2873" s="2" t="s">
        <v>47</v>
      </c>
      <c r="C2873" s="2" t="s">
        <v>4086</v>
      </c>
      <c r="D2873" s="11" t="n">
        <v>18800</v>
      </c>
      <c r="E2873" s="31" t="n">
        <v>1.2</v>
      </c>
      <c r="F2873" s="31" t="n">
        <v>20.5</v>
      </c>
      <c r="G2873" s="31" t="n">
        <v>93.7</v>
      </c>
      <c r="H2873" s="2" t="s">
        <v>671</v>
      </c>
    </row>
    <row r="2874" customFormat="false" ht="15" hidden="false" customHeight="false" outlineLevel="0" collapsed="false">
      <c r="A2874" s="2" t="s">
        <v>2685</v>
      </c>
      <c r="B2874" s="2" t="s">
        <v>47</v>
      </c>
      <c r="C2874" s="2" t="s">
        <v>4087</v>
      </c>
      <c r="D2874" s="11" t="n">
        <v>19615</v>
      </c>
      <c r="E2874" s="31" t="n">
        <v>0.2</v>
      </c>
      <c r="F2874" s="31" t="n">
        <v>44.7</v>
      </c>
      <c r="G2874" s="31" t="n">
        <v>78.9</v>
      </c>
      <c r="H2874" s="2" t="s">
        <v>671</v>
      </c>
    </row>
    <row r="2875" customFormat="false" ht="15" hidden="false" customHeight="false" outlineLevel="0" collapsed="false">
      <c r="A2875" s="2" t="s">
        <v>482</v>
      </c>
      <c r="B2875" s="2" t="s">
        <v>4104</v>
      </c>
      <c r="C2875" s="2" t="s">
        <v>4085</v>
      </c>
      <c r="D2875" s="2"/>
      <c r="E2875" s="31" t="n">
        <v>27.9</v>
      </c>
      <c r="F2875" s="31" t="n">
        <v>51.6</v>
      </c>
      <c r="G2875" s="31" t="n">
        <v>60.4</v>
      </c>
      <c r="H2875" s="2" t="s">
        <v>671</v>
      </c>
    </row>
    <row r="2876" customFormat="false" ht="15" hidden="false" customHeight="false" outlineLevel="0" collapsed="false">
      <c r="A2876" s="2" t="s">
        <v>482</v>
      </c>
      <c r="B2876" s="2" t="s">
        <v>4104</v>
      </c>
      <c r="C2876" s="2" t="s">
        <v>4086</v>
      </c>
      <c r="D2876" s="2"/>
      <c r="E2876" s="31" t="n">
        <v>34</v>
      </c>
      <c r="F2876" s="31" t="n">
        <v>47.7</v>
      </c>
      <c r="G2876" s="31" t="n">
        <v>62.6</v>
      </c>
      <c r="H2876" s="2" t="s">
        <v>668</v>
      </c>
    </row>
    <row r="2877" customFormat="false" ht="15" hidden="false" customHeight="false" outlineLevel="0" collapsed="false">
      <c r="A2877" s="2" t="s">
        <v>482</v>
      </c>
      <c r="B2877" s="2" t="s">
        <v>4104</v>
      </c>
      <c r="C2877" s="2" t="s">
        <v>4087</v>
      </c>
      <c r="D2877" s="2"/>
      <c r="E2877" s="31" t="n">
        <v>37.9</v>
      </c>
      <c r="F2877" s="31" t="n">
        <v>49</v>
      </c>
      <c r="G2877" s="31" t="n">
        <v>69.2</v>
      </c>
      <c r="H2877" s="2" t="s">
        <v>671</v>
      </c>
    </row>
    <row r="2878" customFormat="false" ht="15" hidden="false" customHeight="false" outlineLevel="0" collapsed="false">
      <c r="A2878" s="2" t="s">
        <v>482</v>
      </c>
      <c r="B2878" s="2" t="s">
        <v>45</v>
      </c>
      <c r="C2878" s="2" t="s">
        <v>4085</v>
      </c>
      <c r="D2878" s="11" t="n">
        <v>66260</v>
      </c>
      <c r="E2878" s="31" t="n">
        <v>12.8</v>
      </c>
      <c r="F2878" s="31" t="n">
        <v>42</v>
      </c>
      <c r="G2878" s="31" t="n">
        <v>44.6</v>
      </c>
      <c r="H2878" s="2" t="s">
        <v>671</v>
      </c>
    </row>
    <row r="2879" customFormat="false" ht="15" hidden="false" customHeight="false" outlineLevel="0" collapsed="false">
      <c r="A2879" s="2" t="s">
        <v>482</v>
      </c>
      <c r="B2879" s="2" t="s">
        <v>45</v>
      </c>
      <c r="C2879" s="2" t="s">
        <v>4086</v>
      </c>
      <c r="D2879" s="11" t="n">
        <v>67150</v>
      </c>
      <c r="E2879" s="31" t="n">
        <v>19.1</v>
      </c>
      <c r="F2879" s="31" t="n">
        <v>28.9</v>
      </c>
      <c r="G2879" s="31" t="n">
        <v>44.8</v>
      </c>
      <c r="H2879" s="2" t="s">
        <v>671</v>
      </c>
    </row>
    <row r="2880" customFormat="false" ht="15" hidden="false" customHeight="false" outlineLevel="0" collapsed="false">
      <c r="A2880" s="2" t="s">
        <v>482</v>
      </c>
      <c r="B2880" s="2" t="s">
        <v>45</v>
      </c>
      <c r="C2880" s="2" t="s">
        <v>4087</v>
      </c>
      <c r="D2880" s="11" t="n">
        <v>67630</v>
      </c>
      <c r="E2880" s="31" t="n">
        <v>43.4</v>
      </c>
      <c r="F2880" s="31" t="n">
        <v>42.9</v>
      </c>
      <c r="G2880" s="31" t="n">
        <v>46.5</v>
      </c>
      <c r="H2880" s="2" t="s">
        <v>671</v>
      </c>
    </row>
    <row r="2881" customFormat="false" ht="15" hidden="false" customHeight="false" outlineLevel="0" collapsed="false">
      <c r="A2881" s="2" t="s">
        <v>482</v>
      </c>
      <c r="B2881" s="2" t="s">
        <v>46</v>
      </c>
      <c r="C2881" s="2" t="s">
        <v>4085</v>
      </c>
      <c r="D2881" s="11" t="n">
        <v>166743</v>
      </c>
      <c r="E2881" s="31" t="n">
        <v>51.1</v>
      </c>
      <c r="F2881" s="31" t="n">
        <v>29.5</v>
      </c>
      <c r="G2881" s="31" t="n">
        <v>40.4</v>
      </c>
      <c r="H2881" s="2" t="s">
        <v>671</v>
      </c>
    </row>
    <row r="2882" customFormat="false" ht="15" hidden="false" customHeight="false" outlineLevel="0" collapsed="false">
      <c r="A2882" s="2" t="s">
        <v>482</v>
      </c>
      <c r="B2882" s="2" t="s">
        <v>46</v>
      </c>
      <c r="C2882" s="2" t="s">
        <v>4086</v>
      </c>
      <c r="D2882" s="11" t="n">
        <v>171000</v>
      </c>
      <c r="E2882" s="31" t="n">
        <v>74.3</v>
      </c>
      <c r="F2882" s="31" t="n">
        <v>25.5</v>
      </c>
      <c r="G2882" s="31" t="n">
        <v>80.4</v>
      </c>
      <c r="H2882" s="2" t="s">
        <v>671</v>
      </c>
    </row>
    <row r="2883" customFormat="false" ht="15" hidden="false" customHeight="false" outlineLevel="0" collapsed="false">
      <c r="A2883" s="2" t="s">
        <v>482</v>
      </c>
      <c r="B2883" s="2" t="s">
        <v>46</v>
      </c>
      <c r="C2883" s="2" t="s">
        <v>4087</v>
      </c>
      <c r="D2883" s="11" t="n">
        <v>168060</v>
      </c>
      <c r="E2883" s="31" t="n">
        <v>50.3</v>
      </c>
      <c r="F2883" s="31" t="n">
        <v>20.5</v>
      </c>
      <c r="G2883" s="31" t="n">
        <v>74.9</v>
      </c>
      <c r="H2883" s="2" t="s">
        <v>671</v>
      </c>
    </row>
    <row r="2884" customFormat="false" ht="15" hidden="false" customHeight="false" outlineLevel="0" collapsed="false">
      <c r="A2884" s="2" t="s">
        <v>482</v>
      </c>
      <c r="B2884" s="2" t="s">
        <v>47</v>
      </c>
      <c r="C2884" s="2" t="s">
        <v>4085</v>
      </c>
      <c r="D2884" s="11" t="n">
        <v>117877</v>
      </c>
      <c r="E2884" s="31" t="n">
        <v>19.7</v>
      </c>
      <c r="F2884" s="31" t="n">
        <v>83.3</v>
      </c>
      <c r="G2884" s="31" t="n">
        <v>96.3</v>
      </c>
      <c r="H2884" s="2" t="s">
        <v>671</v>
      </c>
    </row>
    <row r="2885" customFormat="false" ht="15" hidden="false" customHeight="false" outlineLevel="0" collapsed="false">
      <c r="A2885" s="2" t="s">
        <v>482</v>
      </c>
      <c r="B2885" s="2" t="s">
        <v>47</v>
      </c>
      <c r="C2885" s="2" t="s">
        <v>4086</v>
      </c>
      <c r="D2885" s="11" t="n">
        <v>121293</v>
      </c>
      <c r="E2885" s="31" t="n">
        <v>8.6</v>
      </c>
      <c r="F2885" s="31" t="n">
        <v>88.8</v>
      </c>
      <c r="G2885" s="2"/>
      <c r="H2885" s="2" t="s">
        <v>668</v>
      </c>
    </row>
    <row r="2886" customFormat="false" ht="15" hidden="false" customHeight="false" outlineLevel="0" collapsed="false">
      <c r="A2886" s="2" t="s">
        <v>482</v>
      </c>
      <c r="B2886" s="2" t="s">
        <v>47</v>
      </c>
      <c r="C2886" s="2" t="s">
        <v>4087</v>
      </c>
      <c r="D2886" s="11" t="n">
        <v>125742</v>
      </c>
      <c r="E2886" s="31" t="n">
        <v>20</v>
      </c>
      <c r="F2886" s="31" t="n">
        <v>83.7</v>
      </c>
      <c r="G2886" s="31" t="n">
        <v>86.1</v>
      </c>
      <c r="H2886" s="2" t="s">
        <v>671</v>
      </c>
    </row>
    <row r="2887" customFormat="false" ht="15" hidden="false" customHeight="false" outlineLevel="0" collapsed="false">
      <c r="A2887" s="2" t="s">
        <v>2874</v>
      </c>
      <c r="B2887" s="2" t="s">
        <v>4104</v>
      </c>
      <c r="C2887" s="2" t="s">
        <v>4085</v>
      </c>
      <c r="D2887" s="2"/>
      <c r="E2887" s="31" t="n">
        <v>77.1</v>
      </c>
      <c r="F2887" s="31" t="n">
        <v>58.4</v>
      </c>
      <c r="G2887" s="31" t="n">
        <v>23.9</v>
      </c>
      <c r="H2887" s="2" t="s">
        <v>671</v>
      </c>
    </row>
    <row r="2888" customFormat="false" ht="15" hidden="false" customHeight="false" outlineLevel="0" collapsed="false">
      <c r="A2888" s="2" t="s">
        <v>2874</v>
      </c>
      <c r="B2888" s="2" t="s">
        <v>4104</v>
      </c>
      <c r="C2888" s="2" t="s">
        <v>4086</v>
      </c>
      <c r="D2888" s="2"/>
      <c r="E2888" s="31" t="n">
        <v>81.9</v>
      </c>
      <c r="F2888" s="31" t="n">
        <v>57.7</v>
      </c>
      <c r="G2888" s="2"/>
      <c r="H2888" s="2" t="s">
        <v>668</v>
      </c>
    </row>
    <row r="2889" customFormat="false" ht="15" hidden="false" customHeight="false" outlineLevel="0" collapsed="false">
      <c r="A2889" s="2" t="s">
        <v>2874</v>
      </c>
      <c r="B2889" s="2" t="s">
        <v>4104</v>
      </c>
      <c r="C2889" s="2" t="s">
        <v>4087</v>
      </c>
      <c r="D2889" s="2"/>
      <c r="E2889" s="31" t="n">
        <v>69</v>
      </c>
      <c r="F2889" s="31" t="n">
        <v>57.1</v>
      </c>
      <c r="G2889" s="31" t="n">
        <v>68</v>
      </c>
      <c r="H2889" s="2" t="s">
        <v>668</v>
      </c>
    </row>
    <row r="2890" customFormat="false" ht="15" hidden="false" customHeight="false" outlineLevel="0" collapsed="false">
      <c r="A2890" s="2" t="s">
        <v>2874</v>
      </c>
      <c r="B2890" s="2" t="s">
        <v>45</v>
      </c>
      <c r="C2890" s="2" t="s">
        <v>4085</v>
      </c>
      <c r="D2890" s="11" t="n">
        <v>34987</v>
      </c>
      <c r="E2890" s="31" t="n">
        <v>77.1</v>
      </c>
      <c r="F2890" s="31" t="n">
        <v>58.4</v>
      </c>
      <c r="G2890" s="31" t="n">
        <v>23.9</v>
      </c>
      <c r="H2890" s="2" t="s">
        <v>671</v>
      </c>
    </row>
    <row r="2891" customFormat="false" ht="15" hidden="false" customHeight="false" outlineLevel="0" collapsed="false">
      <c r="A2891" s="2" t="s">
        <v>2874</v>
      </c>
      <c r="B2891" s="2" t="s">
        <v>45</v>
      </c>
      <c r="C2891" s="2" t="s">
        <v>4086</v>
      </c>
      <c r="D2891" s="11" t="n">
        <v>36420</v>
      </c>
      <c r="E2891" s="31" t="n">
        <v>81.9</v>
      </c>
      <c r="F2891" s="31" t="n">
        <v>57.7</v>
      </c>
      <c r="G2891" s="2"/>
      <c r="H2891" s="2" t="s">
        <v>668</v>
      </c>
    </row>
    <row r="2892" customFormat="false" ht="15" hidden="false" customHeight="false" outlineLevel="0" collapsed="false">
      <c r="A2892" s="2" t="s">
        <v>2874</v>
      </c>
      <c r="B2892" s="2" t="s">
        <v>45</v>
      </c>
      <c r="C2892" s="2" t="s">
        <v>4087</v>
      </c>
      <c r="D2892" s="11" t="n">
        <v>36590</v>
      </c>
      <c r="E2892" s="31" t="n">
        <v>69</v>
      </c>
      <c r="F2892" s="31" t="n">
        <v>57.1</v>
      </c>
      <c r="G2892" s="31" t="n">
        <v>68</v>
      </c>
      <c r="H2892" s="2" t="s">
        <v>668</v>
      </c>
    </row>
    <row r="2893" customFormat="false" ht="15" hidden="false" customHeight="false" outlineLevel="0" collapsed="false">
      <c r="A2893" s="2" t="s">
        <v>968</v>
      </c>
      <c r="B2893" s="2" t="s">
        <v>4104</v>
      </c>
      <c r="C2893" s="2" t="s">
        <v>4085</v>
      </c>
      <c r="D2893" s="2"/>
      <c r="E2893" s="31" t="n">
        <v>76.4</v>
      </c>
      <c r="F2893" s="31" t="n">
        <v>53.4</v>
      </c>
      <c r="G2893" s="31" t="n">
        <v>68</v>
      </c>
      <c r="H2893" s="2" t="s">
        <v>668</v>
      </c>
    </row>
    <row r="2894" customFormat="false" ht="15" hidden="false" customHeight="false" outlineLevel="0" collapsed="false">
      <c r="A2894" s="2" t="s">
        <v>968</v>
      </c>
      <c r="B2894" s="2" t="s">
        <v>4104</v>
      </c>
      <c r="C2894" s="2" t="s">
        <v>4086</v>
      </c>
      <c r="D2894" s="2"/>
      <c r="E2894" s="31" t="n">
        <v>39.2</v>
      </c>
      <c r="F2894" s="31" t="n">
        <v>69.1</v>
      </c>
      <c r="G2894" s="31" t="n">
        <v>58.8</v>
      </c>
      <c r="H2894" s="2" t="s">
        <v>671</v>
      </c>
    </row>
    <row r="2895" customFormat="false" ht="15" hidden="false" customHeight="false" outlineLevel="0" collapsed="false">
      <c r="A2895" s="2" t="s">
        <v>968</v>
      </c>
      <c r="B2895" s="2" t="s">
        <v>4104</v>
      </c>
      <c r="C2895" s="2" t="s">
        <v>4087</v>
      </c>
      <c r="D2895" s="2"/>
      <c r="E2895" s="31" t="n">
        <v>43.8</v>
      </c>
      <c r="F2895" s="31" t="n">
        <v>68</v>
      </c>
      <c r="G2895" s="31" t="n">
        <v>57.5</v>
      </c>
      <c r="H2895" s="2" t="s">
        <v>668</v>
      </c>
    </row>
    <row r="2896" customFormat="false" ht="15" hidden="false" customHeight="false" outlineLevel="0" collapsed="false">
      <c r="A2896" s="2" t="s">
        <v>968</v>
      </c>
      <c r="B2896" s="2" t="s">
        <v>45</v>
      </c>
      <c r="C2896" s="2" t="s">
        <v>4085</v>
      </c>
      <c r="D2896" s="11" t="n">
        <v>125013</v>
      </c>
      <c r="E2896" s="31" t="n">
        <v>76.4</v>
      </c>
      <c r="F2896" s="31" t="n">
        <v>53.4</v>
      </c>
      <c r="G2896" s="31" t="n">
        <v>68</v>
      </c>
      <c r="H2896" s="2" t="s">
        <v>671</v>
      </c>
    </row>
    <row r="2897" customFormat="false" ht="15" hidden="false" customHeight="false" outlineLevel="0" collapsed="false">
      <c r="A2897" s="2" t="s">
        <v>968</v>
      </c>
      <c r="B2897" s="2" t="s">
        <v>45</v>
      </c>
      <c r="C2897" s="2" t="s">
        <v>4086</v>
      </c>
      <c r="D2897" s="11" t="n">
        <v>128678</v>
      </c>
      <c r="E2897" s="31" t="n">
        <v>40.6</v>
      </c>
      <c r="F2897" s="31" t="n">
        <v>54.3</v>
      </c>
      <c r="G2897" s="31" t="n">
        <v>69.5</v>
      </c>
      <c r="H2897" s="2" t="s">
        <v>671</v>
      </c>
    </row>
    <row r="2898" customFormat="false" ht="15" hidden="false" customHeight="false" outlineLevel="0" collapsed="false">
      <c r="A2898" s="2" t="s">
        <v>968</v>
      </c>
      <c r="B2898" s="2" t="s">
        <v>45</v>
      </c>
      <c r="C2898" s="2" t="s">
        <v>4087</v>
      </c>
      <c r="D2898" s="11" t="n">
        <v>131571</v>
      </c>
      <c r="E2898" s="31" t="n">
        <v>59.2</v>
      </c>
      <c r="F2898" s="31" t="n">
        <v>50.7</v>
      </c>
      <c r="G2898" s="31" t="n">
        <v>59.4</v>
      </c>
      <c r="H2898" s="2" t="s">
        <v>671</v>
      </c>
    </row>
    <row r="2899" customFormat="false" ht="15" hidden="false" customHeight="false" outlineLevel="0" collapsed="false">
      <c r="A2899" s="2" t="s">
        <v>968</v>
      </c>
      <c r="B2899" s="2" t="s">
        <v>46</v>
      </c>
      <c r="C2899" s="2" t="s">
        <v>4085</v>
      </c>
      <c r="D2899" s="2"/>
      <c r="E2899" s="2"/>
      <c r="F2899" s="2"/>
      <c r="G2899" s="2"/>
      <c r="H2899" s="2" t="s">
        <v>668</v>
      </c>
    </row>
    <row r="2900" customFormat="false" ht="15" hidden="false" customHeight="false" outlineLevel="0" collapsed="false">
      <c r="A2900" s="2" t="s">
        <v>968</v>
      </c>
      <c r="B2900" s="2" t="s">
        <v>46</v>
      </c>
      <c r="C2900" s="2" t="s">
        <v>4086</v>
      </c>
      <c r="D2900" s="11" t="n">
        <v>87890</v>
      </c>
      <c r="E2900" s="31" t="n">
        <v>21.2</v>
      </c>
      <c r="F2900" s="31" t="n">
        <v>99.3</v>
      </c>
      <c r="G2900" s="31" t="n">
        <v>39.7</v>
      </c>
      <c r="H2900" s="2" t="s">
        <v>671</v>
      </c>
    </row>
    <row r="2901" customFormat="false" ht="15" hidden="false" customHeight="false" outlineLevel="0" collapsed="false">
      <c r="A2901" s="2" t="s">
        <v>968</v>
      </c>
      <c r="B2901" s="2" t="s">
        <v>46</v>
      </c>
      <c r="C2901" s="2" t="s">
        <v>4087</v>
      </c>
      <c r="D2901" s="2"/>
      <c r="E2901" s="2"/>
      <c r="F2901" s="2"/>
      <c r="G2901" s="2"/>
      <c r="H2901" s="2" t="s">
        <v>668</v>
      </c>
    </row>
    <row r="2902" customFormat="false" ht="15" hidden="false" customHeight="false" outlineLevel="0" collapsed="false">
      <c r="A2902" s="2" t="s">
        <v>968</v>
      </c>
      <c r="B2902" s="2" t="s">
        <v>47</v>
      </c>
      <c r="C2902" s="2" t="s">
        <v>4085</v>
      </c>
      <c r="D2902" s="2"/>
      <c r="E2902" s="2"/>
      <c r="F2902" s="2"/>
      <c r="G2902" s="2"/>
      <c r="H2902" s="2" t="s">
        <v>668</v>
      </c>
    </row>
    <row r="2903" customFormat="false" ht="15" hidden="false" customHeight="false" outlineLevel="0" collapsed="false">
      <c r="A2903" s="2" t="s">
        <v>968</v>
      </c>
      <c r="B2903" s="2" t="s">
        <v>47</v>
      </c>
      <c r="C2903" s="2" t="s">
        <v>4086</v>
      </c>
      <c r="D2903" s="11" t="n">
        <v>6250</v>
      </c>
      <c r="E2903" s="31" t="n">
        <v>55.9</v>
      </c>
      <c r="F2903" s="31" t="n">
        <v>53.8</v>
      </c>
      <c r="G2903" s="31" t="n">
        <v>67.2</v>
      </c>
      <c r="H2903" s="2" t="s">
        <v>671</v>
      </c>
    </row>
    <row r="2904" customFormat="false" ht="15" hidden="false" customHeight="false" outlineLevel="0" collapsed="false">
      <c r="A2904" s="2" t="s">
        <v>968</v>
      </c>
      <c r="B2904" s="2" t="s">
        <v>47</v>
      </c>
      <c r="C2904" s="2" t="s">
        <v>4087</v>
      </c>
      <c r="D2904" s="11" t="n">
        <v>6450</v>
      </c>
      <c r="E2904" s="31" t="n">
        <v>28.5</v>
      </c>
      <c r="F2904" s="31" t="n">
        <v>85.3</v>
      </c>
      <c r="G2904" s="31" t="n">
        <v>55.6</v>
      </c>
      <c r="H2904" s="2" t="s">
        <v>671</v>
      </c>
    </row>
    <row r="2905" customFormat="false" ht="15" hidden="false" customHeight="false" outlineLevel="0" collapsed="false">
      <c r="A2905" s="2" t="s">
        <v>1622</v>
      </c>
      <c r="B2905" s="2" t="s">
        <v>4104</v>
      </c>
      <c r="C2905" s="2" t="s">
        <v>4085</v>
      </c>
      <c r="D2905" s="2"/>
      <c r="E2905" s="31" t="n">
        <v>56.4</v>
      </c>
      <c r="F2905" s="31" t="n">
        <v>72.6</v>
      </c>
      <c r="G2905" s="31" t="n">
        <v>20.8</v>
      </c>
      <c r="H2905" s="2" t="s">
        <v>668</v>
      </c>
    </row>
    <row r="2906" customFormat="false" ht="15" hidden="false" customHeight="false" outlineLevel="0" collapsed="false">
      <c r="A2906" s="2" t="s">
        <v>1622</v>
      </c>
      <c r="B2906" s="2" t="s">
        <v>4104</v>
      </c>
      <c r="C2906" s="2" t="s">
        <v>4086</v>
      </c>
      <c r="D2906" s="2"/>
      <c r="E2906" s="31" t="n">
        <v>53.7</v>
      </c>
      <c r="F2906" s="31" t="n">
        <v>56.2</v>
      </c>
      <c r="G2906" s="31" t="n">
        <v>10.2</v>
      </c>
      <c r="H2906" s="2" t="s">
        <v>671</v>
      </c>
    </row>
    <row r="2907" customFormat="false" ht="15" hidden="false" customHeight="false" outlineLevel="0" collapsed="false">
      <c r="A2907" s="2" t="s">
        <v>1622</v>
      </c>
      <c r="B2907" s="2" t="s">
        <v>4104</v>
      </c>
      <c r="C2907" s="2" t="s">
        <v>4087</v>
      </c>
      <c r="D2907" s="2"/>
      <c r="E2907" s="31" t="n">
        <v>52.5</v>
      </c>
      <c r="F2907" s="31" t="n">
        <v>67.8</v>
      </c>
      <c r="G2907" s="31" t="n">
        <v>17</v>
      </c>
      <c r="H2907" s="2" t="s">
        <v>668</v>
      </c>
    </row>
    <row r="2908" customFormat="false" ht="15" hidden="false" customHeight="false" outlineLevel="0" collapsed="false">
      <c r="A2908" s="2" t="s">
        <v>1622</v>
      </c>
      <c r="B2908" s="2" t="s">
        <v>45</v>
      </c>
      <c r="C2908" s="2" t="s">
        <v>4085</v>
      </c>
      <c r="D2908" s="2"/>
      <c r="E2908" s="2"/>
      <c r="F2908" s="2"/>
      <c r="G2908" s="2"/>
      <c r="H2908" s="2" t="s">
        <v>668</v>
      </c>
    </row>
    <row r="2909" customFormat="false" ht="15" hidden="false" customHeight="false" outlineLevel="0" collapsed="false">
      <c r="A2909" s="2" t="s">
        <v>1622</v>
      </c>
      <c r="B2909" s="2" t="s">
        <v>45</v>
      </c>
      <c r="C2909" s="2" t="s">
        <v>4086</v>
      </c>
      <c r="D2909" s="11" t="n">
        <v>17340</v>
      </c>
      <c r="E2909" s="31" t="n">
        <v>47.8</v>
      </c>
      <c r="F2909" s="31" t="n">
        <v>5.8</v>
      </c>
      <c r="G2909" s="2"/>
      <c r="H2909" s="2" t="s">
        <v>671</v>
      </c>
    </row>
    <row r="2910" customFormat="false" ht="15" hidden="false" customHeight="false" outlineLevel="0" collapsed="false">
      <c r="A2910" s="2" t="s">
        <v>1622</v>
      </c>
      <c r="B2910" s="2" t="s">
        <v>45</v>
      </c>
      <c r="C2910" s="2" t="s">
        <v>4087</v>
      </c>
      <c r="D2910" s="11" t="n">
        <v>16320</v>
      </c>
      <c r="E2910" s="31" t="n">
        <v>15.4</v>
      </c>
      <c r="F2910" s="2"/>
      <c r="G2910" s="2"/>
      <c r="H2910" s="2" t="s">
        <v>668</v>
      </c>
    </row>
    <row r="2911" customFormat="false" ht="15" hidden="false" customHeight="false" outlineLevel="0" collapsed="false">
      <c r="A2911" s="2" t="s">
        <v>1622</v>
      </c>
      <c r="B2911" s="2" t="s">
        <v>46</v>
      </c>
      <c r="C2911" s="2" t="s">
        <v>4085</v>
      </c>
      <c r="D2911" s="11" t="n">
        <v>17950</v>
      </c>
      <c r="E2911" s="31" t="n">
        <v>38.7</v>
      </c>
      <c r="F2911" s="31" t="n">
        <v>59.6</v>
      </c>
      <c r="G2911" s="31" t="n">
        <v>6.6</v>
      </c>
      <c r="H2911" s="2" t="s">
        <v>671</v>
      </c>
    </row>
    <row r="2912" customFormat="false" ht="15" hidden="false" customHeight="false" outlineLevel="0" collapsed="false">
      <c r="A2912" s="2" t="s">
        <v>1622</v>
      </c>
      <c r="B2912" s="2" t="s">
        <v>46</v>
      </c>
      <c r="C2912" s="2" t="s">
        <v>4086</v>
      </c>
      <c r="D2912" s="11" t="n">
        <v>18970</v>
      </c>
      <c r="E2912" s="31" t="n">
        <v>49.1</v>
      </c>
      <c r="F2912" s="31" t="n">
        <v>78.5</v>
      </c>
      <c r="G2912" s="31" t="n">
        <v>16.6</v>
      </c>
      <c r="H2912" s="2" t="s">
        <v>671</v>
      </c>
    </row>
    <row r="2913" customFormat="false" ht="15" hidden="false" customHeight="false" outlineLevel="0" collapsed="false">
      <c r="A2913" s="2" t="s">
        <v>1622</v>
      </c>
      <c r="B2913" s="2" t="s">
        <v>46</v>
      </c>
      <c r="C2913" s="2" t="s">
        <v>4087</v>
      </c>
      <c r="D2913" s="11" t="n">
        <v>19216</v>
      </c>
      <c r="E2913" s="31" t="n">
        <v>59.2</v>
      </c>
      <c r="F2913" s="31" t="n">
        <v>71.8</v>
      </c>
      <c r="G2913" s="31" t="n">
        <v>13.2</v>
      </c>
      <c r="H2913" s="2" t="s">
        <v>671</v>
      </c>
    </row>
    <row r="2914" customFormat="false" ht="15" hidden="false" customHeight="false" outlineLevel="0" collapsed="false">
      <c r="A2914" s="2" t="s">
        <v>1622</v>
      </c>
      <c r="B2914" s="2" t="s">
        <v>47</v>
      </c>
      <c r="C2914" s="2" t="s">
        <v>4085</v>
      </c>
      <c r="D2914" s="11" t="n">
        <v>21377</v>
      </c>
      <c r="E2914" s="31" t="n">
        <v>74.2</v>
      </c>
      <c r="F2914" s="31" t="n">
        <v>85.6</v>
      </c>
      <c r="G2914" s="31" t="n">
        <v>35.1</v>
      </c>
      <c r="H2914" s="2" t="s">
        <v>671</v>
      </c>
    </row>
    <row r="2915" customFormat="false" ht="15" hidden="false" customHeight="false" outlineLevel="0" collapsed="false">
      <c r="A2915" s="2" t="s">
        <v>1622</v>
      </c>
      <c r="B2915" s="2" t="s">
        <v>47</v>
      </c>
      <c r="C2915" s="2" t="s">
        <v>4086</v>
      </c>
      <c r="D2915" s="11" t="n">
        <v>22587</v>
      </c>
      <c r="E2915" s="31" t="n">
        <v>64.2</v>
      </c>
      <c r="F2915" s="31" t="n">
        <v>84.4</v>
      </c>
      <c r="G2915" s="31" t="n">
        <v>3.9</v>
      </c>
      <c r="H2915" s="2" t="s">
        <v>671</v>
      </c>
    </row>
    <row r="2916" customFormat="false" ht="15" hidden="false" customHeight="false" outlineLevel="0" collapsed="false">
      <c r="A2916" s="2" t="s">
        <v>1622</v>
      </c>
      <c r="B2916" s="2" t="s">
        <v>47</v>
      </c>
      <c r="C2916" s="2" t="s">
        <v>4087</v>
      </c>
      <c r="D2916" s="11" t="n">
        <v>23970</v>
      </c>
      <c r="E2916" s="31" t="n">
        <v>82.9</v>
      </c>
      <c r="F2916" s="31" t="n">
        <v>63.8</v>
      </c>
      <c r="G2916" s="31" t="n">
        <v>20.8</v>
      </c>
      <c r="H2916" s="2" t="s">
        <v>671</v>
      </c>
    </row>
    <row r="2917" customFormat="false" ht="15" hidden="false" customHeight="false" outlineLevel="0" collapsed="false">
      <c r="A2917" s="2" t="s">
        <v>448</v>
      </c>
      <c r="B2917" s="2" t="s">
        <v>4104</v>
      </c>
      <c r="C2917" s="2" t="s">
        <v>4085</v>
      </c>
      <c r="D2917" s="2"/>
      <c r="E2917" s="31" t="n">
        <v>57.8</v>
      </c>
      <c r="F2917" s="31" t="n">
        <v>54</v>
      </c>
      <c r="G2917" s="31" t="n">
        <v>21.9</v>
      </c>
      <c r="H2917" s="2" t="s">
        <v>671</v>
      </c>
    </row>
    <row r="2918" customFormat="false" ht="15" hidden="false" customHeight="false" outlineLevel="0" collapsed="false">
      <c r="A2918" s="2" t="s">
        <v>448</v>
      </c>
      <c r="B2918" s="2" t="s">
        <v>4104</v>
      </c>
      <c r="C2918" s="2" t="s">
        <v>4086</v>
      </c>
      <c r="D2918" s="2"/>
      <c r="E2918" s="31" t="n">
        <v>38.4</v>
      </c>
      <c r="F2918" s="31" t="n">
        <v>50.6</v>
      </c>
      <c r="G2918" s="31" t="n">
        <v>69.8</v>
      </c>
      <c r="H2918" s="2" t="s">
        <v>671</v>
      </c>
    </row>
    <row r="2919" customFormat="false" ht="15" hidden="false" customHeight="false" outlineLevel="0" collapsed="false">
      <c r="A2919" s="2" t="s">
        <v>448</v>
      </c>
      <c r="B2919" s="2" t="s">
        <v>4104</v>
      </c>
      <c r="C2919" s="2" t="s">
        <v>4087</v>
      </c>
      <c r="D2919" s="2"/>
      <c r="E2919" s="31" t="n">
        <v>41.3</v>
      </c>
      <c r="F2919" s="31" t="n">
        <v>64.4</v>
      </c>
      <c r="G2919" s="31" t="n">
        <v>22.8</v>
      </c>
      <c r="H2919" s="2" t="s">
        <v>671</v>
      </c>
    </row>
    <row r="2920" customFormat="false" ht="15" hidden="false" customHeight="false" outlineLevel="0" collapsed="false">
      <c r="A2920" s="2" t="s">
        <v>448</v>
      </c>
      <c r="B2920" s="2" t="s">
        <v>45</v>
      </c>
      <c r="C2920" s="2" t="s">
        <v>4085</v>
      </c>
      <c r="D2920" s="11" t="n">
        <v>211331</v>
      </c>
      <c r="E2920" s="31" t="n">
        <v>71.9</v>
      </c>
      <c r="F2920" s="31" t="n">
        <v>54.1</v>
      </c>
      <c r="G2920" s="2"/>
      <c r="H2920" s="2" t="s">
        <v>671</v>
      </c>
    </row>
    <row r="2921" customFormat="false" ht="15" hidden="false" customHeight="false" outlineLevel="0" collapsed="false">
      <c r="A2921" s="2" t="s">
        <v>448</v>
      </c>
      <c r="B2921" s="2" t="s">
        <v>45</v>
      </c>
      <c r="C2921" s="2" t="s">
        <v>4086</v>
      </c>
      <c r="D2921" s="11" t="n">
        <v>215000</v>
      </c>
      <c r="E2921" s="31" t="n">
        <v>52.7</v>
      </c>
      <c r="F2921" s="31" t="n">
        <v>52.1</v>
      </c>
      <c r="G2921" s="2"/>
      <c r="H2921" s="2" t="s">
        <v>671</v>
      </c>
    </row>
    <row r="2922" customFormat="false" ht="15" hidden="false" customHeight="false" outlineLevel="0" collapsed="false">
      <c r="A2922" s="2" t="s">
        <v>448</v>
      </c>
      <c r="B2922" s="2" t="s">
        <v>45</v>
      </c>
      <c r="C2922" s="2" t="s">
        <v>4087</v>
      </c>
      <c r="D2922" s="11" t="n">
        <v>225775</v>
      </c>
      <c r="E2922" s="31" t="n">
        <v>68.6</v>
      </c>
      <c r="F2922" s="31" t="n">
        <v>65.9</v>
      </c>
      <c r="G2922" s="2"/>
      <c r="H2922" s="2" t="s">
        <v>671</v>
      </c>
    </row>
    <row r="2923" customFormat="false" ht="15" hidden="false" customHeight="false" outlineLevel="0" collapsed="false">
      <c r="A2923" s="2" t="s">
        <v>448</v>
      </c>
      <c r="B2923" s="2" t="s">
        <v>46</v>
      </c>
      <c r="C2923" s="2" t="s">
        <v>4085</v>
      </c>
      <c r="D2923" s="11" t="n">
        <v>135200</v>
      </c>
      <c r="E2923" s="31" t="n">
        <v>43.6</v>
      </c>
      <c r="F2923" s="31" t="n">
        <v>53.8</v>
      </c>
      <c r="G2923" s="31" t="n">
        <v>21.9</v>
      </c>
      <c r="H2923" s="2" t="s">
        <v>671</v>
      </c>
    </row>
    <row r="2924" customFormat="false" ht="15" hidden="false" customHeight="false" outlineLevel="0" collapsed="false">
      <c r="A2924" s="2" t="s">
        <v>448</v>
      </c>
      <c r="B2924" s="2" t="s">
        <v>46</v>
      </c>
      <c r="C2924" s="2" t="s">
        <v>4086</v>
      </c>
      <c r="D2924" s="11" t="n">
        <v>141060</v>
      </c>
      <c r="E2924" s="31" t="n">
        <v>24.2</v>
      </c>
      <c r="F2924" s="31" t="n">
        <v>49</v>
      </c>
      <c r="G2924" s="31" t="n">
        <v>69.8</v>
      </c>
      <c r="H2924" s="2" t="s">
        <v>671</v>
      </c>
    </row>
    <row r="2925" customFormat="false" ht="15" hidden="false" customHeight="false" outlineLevel="0" collapsed="false">
      <c r="A2925" s="2" t="s">
        <v>448</v>
      </c>
      <c r="B2925" s="2" t="s">
        <v>46</v>
      </c>
      <c r="C2925" s="2" t="s">
        <v>4087</v>
      </c>
      <c r="D2925" s="11" t="n">
        <v>148314</v>
      </c>
      <c r="E2925" s="31" t="n">
        <v>14</v>
      </c>
      <c r="F2925" s="31" t="n">
        <v>62.9</v>
      </c>
      <c r="G2925" s="31" t="n">
        <v>22.8</v>
      </c>
      <c r="H2925" s="2" t="s">
        <v>671</v>
      </c>
    </row>
    <row r="2926" customFormat="false" ht="15" hidden="false" customHeight="false" outlineLevel="0" collapsed="false">
      <c r="A2926" s="2" t="s">
        <v>352</v>
      </c>
      <c r="B2926" s="2" t="s">
        <v>4104</v>
      </c>
      <c r="C2926" s="2" t="s">
        <v>4085</v>
      </c>
      <c r="D2926" s="2"/>
      <c r="E2926" s="31" t="n">
        <v>56.7</v>
      </c>
      <c r="F2926" s="31" t="n">
        <v>71.1</v>
      </c>
      <c r="G2926" s="31" t="n">
        <v>29.8</v>
      </c>
      <c r="H2926" s="2" t="s">
        <v>668</v>
      </c>
    </row>
    <row r="2927" customFormat="false" ht="15" hidden="false" customHeight="false" outlineLevel="0" collapsed="false">
      <c r="A2927" s="2" t="s">
        <v>352</v>
      </c>
      <c r="B2927" s="2" t="s">
        <v>4104</v>
      </c>
      <c r="C2927" s="2" t="s">
        <v>4086</v>
      </c>
      <c r="D2927" s="2"/>
      <c r="E2927" s="31" t="n">
        <v>59.5</v>
      </c>
      <c r="F2927" s="31" t="n">
        <v>60.8</v>
      </c>
      <c r="G2927" s="31" t="n">
        <v>50.7</v>
      </c>
      <c r="H2927" s="2" t="s">
        <v>671</v>
      </c>
    </row>
    <row r="2928" customFormat="false" ht="15" hidden="false" customHeight="false" outlineLevel="0" collapsed="false">
      <c r="A2928" s="2" t="s">
        <v>352</v>
      </c>
      <c r="B2928" s="2" t="s">
        <v>4104</v>
      </c>
      <c r="C2928" s="2" t="s">
        <v>4087</v>
      </c>
      <c r="D2928" s="2"/>
      <c r="E2928" s="31" t="n">
        <v>52.2</v>
      </c>
      <c r="F2928" s="31" t="n">
        <v>68.4</v>
      </c>
      <c r="G2928" s="31" t="n">
        <v>35.9</v>
      </c>
      <c r="H2928" s="2" t="s">
        <v>671</v>
      </c>
    </row>
    <row r="2929" customFormat="false" ht="15" hidden="false" customHeight="false" outlineLevel="0" collapsed="false">
      <c r="A2929" s="2" t="s">
        <v>352</v>
      </c>
      <c r="B2929" s="2" t="s">
        <v>45</v>
      </c>
      <c r="C2929" s="2" t="s">
        <v>4085</v>
      </c>
      <c r="D2929" s="11" t="n">
        <v>151206</v>
      </c>
      <c r="E2929" s="31" t="n">
        <v>52.9</v>
      </c>
      <c r="F2929" s="31" t="n">
        <v>65.1</v>
      </c>
      <c r="G2929" s="31" t="n">
        <v>37.1</v>
      </c>
      <c r="H2929" s="2" t="s">
        <v>671</v>
      </c>
    </row>
    <row r="2930" customFormat="false" ht="15" hidden="false" customHeight="false" outlineLevel="0" collapsed="false">
      <c r="A2930" s="2" t="s">
        <v>352</v>
      </c>
      <c r="B2930" s="2" t="s">
        <v>45</v>
      </c>
      <c r="C2930" s="2" t="s">
        <v>4086</v>
      </c>
      <c r="D2930" s="11" t="n">
        <v>155750</v>
      </c>
      <c r="E2930" s="31" t="n">
        <v>37.2</v>
      </c>
      <c r="F2930" s="31" t="n">
        <v>30.7</v>
      </c>
      <c r="G2930" s="31" t="n">
        <v>45.9</v>
      </c>
      <c r="H2930" s="2" t="s">
        <v>671</v>
      </c>
    </row>
    <row r="2931" customFormat="false" ht="15" hidden="false" customHeight="false" outlineLevel="0" collapsed="false">
      <c r="A2931" s="2" t="s">
        <v>352</v>
      </c>
      <c r="B2931" s="2" t="s">
        <v>45</v>
      </c>
      <c r="C2931" s="2" t="s">
        <v>4087</v>
      </c>
      <c r="D2931" s="11" t="n">
        <v>163920</v>
      </c>
      <c r="E2931" s="31" t="n">
        <v>24.1</v>
      </c>
      <c r="F2931" s="31" t="n">
        <v>57.2</v>
      </c>
      <c r="G2931" s="31" t="n">
        <v>44.8</v>
      </c>
      <c r="H2931" s="2" t="s">
        <v>671</v>
      </c>
    </row>
    <row r="2932" customFormat="false" ht="15" hidden="false" customHeight="false" outlineLevel="0" collapsed="false">
      <c r="A2932" s="2" t="s">
        <v>352</v>
      </c>
      <c r="B2932" s="2" t="s">
        <v>46</v>
      </c>
      <c r="C2932" s="2" t="s">
        <v>4085</v>
      </c>
      <c r="D2932" s="11" t="n">
        <v>190030</v>
      </c>
      <c r="E2932" s="31" t="n">
        <v>56.6</v>
      </c>
      <c r="F2932" s="31" t="n">
        <v>49.4</v>
      </c>
      <c r="G2932" s="2"/>
      <c r="H2932" s="2" t="s">
        <v>668</v>
      </c>
    </row>
    <row r="2933" customFormat="false" ht="15" hidden="false" customHeight="false" outlineLevel="0" collapsed="false">
      <c r="A2933" s="2" t="s">
        <v>352</v>
      </c>
      <c r="B2933" s="2" t="s">
        <v>46</v>
      </c>
      <c r="C2933" s="2" t="s">
        <v>4086</v>
      </c>
      <c r="D2933" s="11" t="n">
        <v>202500</v>
      </c>
      <c r="E2933" s="31" t="n">
        <v>73.3</v>
      </c>
      <c r="F2933" s="31" t="n">
        <v>61.1</v>
      </c>
      <c r="G2933" s="31" t="n">
        <v>95.4</v>
      </c>
      <c r="H2933" s="2" t="s">
        <v>671</v>
      </c>
    </row>
    <row r="2934" customFormat="false" ht="15" hidden="false" customHeight="false" outlineLevel="0" collapsed="false">
      <c r="A2934" s="2" t="s">
        <v>352</v>
      </c>
      <c r="B2934" s="2" t="s">
        <v>46</v>
      </c>
      <c r="C2934" s="2" t="s">
        <v>4087</v>
      </c>
      <c r="D2934" s="11" t="n">
        <v>208259</v>
      </c>
      <c r="E2934" s="31" t="n">
        <v>47.1</v>
      </c>
      <c r="F2934" s="31" t="n">
        <v>50.3</v>
      </c>
      <c r="G2934" s="31" t="n">
        <v>61.7</v>
      </c>
      <c r="H2934" s="2" t="s">
        <v>671</v>
      </c>
    </row>
    <row r="2935" customFormat="false" ht="15" hidden="false" customHeight="false" outlineLevel="0" collapsed="false">
      <c r="A2935" s="2" t="s">
        <v>352</v>
      </c>
      <c r="B2935" s="2" t="s">
        <v>47</v>
      </c>
      <c r="C2935" s="2" t="s">
        <v>4085</v>
      </c>
      <c r="D2935" s="11" t="n">
        <v>706370</v>
      </c>
      <c r="E2935" s="31" t="n">
        <v>60.6</v>
      </c>
      <c r="F2935" s="31" t="n">
        <v>98.8</v>
      </c>
      <c r="G2935" s="31" t="n">
        <v>22.6</v>
      </c>
      <c r="H2935" s="2" t="s">
        <v>671</v>
      </c>
    </row>
    <row r="2936" customFormat="false" ht="15" hidden="false" customHeight="false" outlineLevel="0" collapsed="false">
      <c r="A2936" s="2" t="s">
        <v>352</v>
      </c>
      <c r="B2936" s="2" t="s">
        <v>47</v>
      </c>
      <c r="C2936" s="2" t="s">
        <v>4086</v>
      </c>
      <c r="D2936" s="11" t="n">
        <v>771030</v>
      </c>
      <c r="E2936" s="31" t="n">
        <v>67.9</v>
      </c>
      <c r="F2936" s="31" t="n">
        <v>90.7</v>
      </c>
      <c r="G2936" s="31" t="n">
        <v>10.9</v>
      </c>
      <c r="H2936" s="2" t="s">
        <v>671</v>
      </c>
    </row>
    <row r="2937" customFormat="false" ht="15" hidden="false" customHeight="false" outlineLevel="0" collapsed="false">
      <c r="A2937" s="2" t="s">
        <v>352</v>
      </c>
      <c r="B2937" s="2" t="s">
        <v>47</v>
      </c>
      <c r="C2937" s="2" t="s">
        <v>4087</v>
      </c>
      <c r="D2937" s="11" t="n">
        <v>820481</v>
      </c>
      <c r="E2937" s="31" t="n">
        <v>85.4</v>
      </c>
      <c r="F2937" s="31" t="n">
        <v>97.6</v>
      </c>
      <c r="G2937" s="31" t="n">
        <v>1.3</v>
      </c>
      <c r="H2937" s="2" t="s">
        <v>671</v>
      </c>
    </row>
    <row r="2938" customFormat="false" ht="15" hidden="false" customHeight="false" outlineLevel="0" collapsed="false">
      <c r="A2938" s="2" t="s">
        <v>2663</v>
      </c>
      <c r="B2938" s="2" t="s">
        <v>4104</v>
      </c>
      <c r="C2938" s="2" t="s">
        <v>4085</v>
      </c>
      <c r="D2938" s="2"/>
      <c r="E2938" s="31" t="n">
        <v>19.9</v>
      </c>
      <c r="F2938" s="31" t="n">
        <v>39.2</v>
      </c>
      <c r="G2938" s="31" t="n">
        <v>85.1</v>
      </c>
      <c r="H2938" s="2" t="s">
        <v>671</v>
      </c>
    </row>
    <row r="2939" customFormat="false" ht="15" hidden="false" customHeight="false" outlineLevel="0" collapsed="false">
      <c r="A2939" s="2" t="s">
        <v>2663</v>
      </c>
      <c r="B2939" s="2" t="s">
        <v>4104</v>
      </c>
      <c r="C2939" s="2" t="s">
        <v>4086</v>
      </c>
      <c r="D2939" s="2"/>
      <c r="E2939" s="2"/>
      <c r="F2939" s="31" t="n">
        <v>13.3</v>
      </c>
      <c r="G2939" s="31" t="n">
        <v>99.1</v>
      </c>
      <c r="H2939" s="2" t="s">
        <v>668</v>
      </c>
    </row>
    <row r="2940" customFormat="false" ht="15" hidden="false" customHeight="false" outlineLevel="0" collapsed="false">
      <c r="A2940" s="2" t="s">
        <v>2663</v>
      </c>
      <c r="B2940" s="2" t="s">
        <v>4104</v>
      </c>
      <c r="C2940" s="2" t="s">
        <v>4087</v>
      </c>
      <c r="D2940" s="2"/>
      <c r="E2940" s="31" t="n">
        <v>19.8</v>
      </c>
      <c r="F2940" s="31" t="n">
        <v>31</v>
      </c>
      <c r="G2940" s="31" t="n">
        <v>96.6</v>
      </c>
      <c r="H2940" s="2" t="s">
        <v>668</v>
      </c>
    </row>
    <row r="2941" customFormat="false" ht="15" hidden="false" customHeight="false" outlineLevel="0" collapsed="false">
      <c r="A2941" s="2" t="s">
        <v>2663</v>
      </c>
      <c r="B2941" s="2" t="s">
        <v>46</v>
      </c>
      <c r="C2941" s="2" t="s">
        <v>4085</v>
      </c>
      <c r="D2941" s="11" t="n">
        <v>397210</v>
      </c>
      <c r="E2941" s="31" t="n">
        <v>19</v>
      </c>
      <c r="F2941" s="31" t="n">
        <v>64.1</v>
      </c>
      <c r="G2941" s="31" t="n">
        <v>71.2</v>
      </c>
      <c r="H2941" s="2" t="s">
        <v>671</v>
      </c>
    </row>
    <row r="2942" customFormat="false" ht="15" hidden="false" customHeight="false" outlineLevel="0" collapsed="false">
      <c r="A2942" s="2" t="s">
        <v>2663</v>
      </c>
      <c r="B2942" s="2" t="s">
        <v>46</v>
      </c>
      <c r="C2942" s="2" t="s">
        <v>4086</v>
      </c>
      <c r="D2942" s="2"/>
      <c r="E2942" s="2"/>
      <c r="F2942" s="2"/>
      <c r="G2942" s="2"/>
      <c r="H2942" s="2" t="s">
        <v>668</v>
      </c>
    </row>
    <row r="2943" customFormat="false" ht="15" hidden="false" customHeight="false" outlineLevel="0" collapsed="false">
      <c r="A2943" s="2" t="s">
        <v>2663</v>
      </c>
      <c r="B2943" s="2" t="s">
        <v>46</v>
      </c>
      <c r="C2943" s="2" t="s">
        <v>4087</v>
      </c>
      <c r="D2943" s="11" t="n">
        <v>433350</v>
      </c>
      <c r="E2943" s="31" t="n">
        <v>36.4</v>
      </c>
      <c r="F2943" s="31" t="n">
        <v>29.8</v>
      </c>
      <c r="G2943" s="2"/>
      <c r="H2943" s="2" t="s">
        <v>668</v>
      </c>
    </row>
    <row r="2944" customFormat="false" ht="15" hidden="false" customHeight="false" outlineLevel="0" collapsed="false">
      <c r="A2944" s="2" t="s">
        <v>2663</v>
      </c>
      <c r="B2944" s="2" t="s">
        <v>47</v>
      </c>
      <c r="C2944" s="2" t="s">
        <v>4085</v>
      </c>
      <c r="D2944" s="11" t="n">
        <v>45260</v>
      </c>
      <c r="E2944" s="31" t="n">
        <v>20.8</v>
      </c>
      <c r="F2944" s="31" t="n">
        <v>14.4</v>
      </c>
      <c r="G2944" s="31" t="n">
        <v>98.9</v>
      </c>
      <c r="H2944" s="2" t="s">
        <v>671</v>
      </c>
    </row>
    <row r="2945" customFormat="false" ht="15" hidden="false" customHeight="false" outlineLevel="0" collapsed="false">
      <c r="A2945" s="2" t="s">
        <v>2663</v>
      </c>
      <c r="B2945" s="2" t="s">
        <v>47</v>
      </c>
      <c r="C2945" s="2" t="s">
        <v>4086</v>
      </c>
      <c r="D2945" s="11" t="n">
        <v>46767</v>
      </c>
      <c r="E2945" s="2"/>
      <c r="F2945" s="31" t="n">
        <v>13.3</v>
      </c>
      <c r="G2945" s="31" t="n">
        <v>99.1</v>
      </c>
      <c r="H2945" s="2" t="s">
        <v>668</v>
      </c>
    </row>
    <row r="2946" customFormat="false" ht="15" hidden="false" customHeight="false" outlineLevel="0" collapsed="false">
      <c r="A2946" s="2" t="s">
        <v>2663</v>
      </c>
      <c r="B2946" s="2" t="s">
        <v>47</v>
      </c>
      <c r="C2946" s="2" t="s">
        <v>4087</v>
      </c>
      <c r="D2946" s="11" t="n">
        <v>48113</v>
      </c>
      <c r="E2946" s="31" t="n">
        <v>3.2</v>
      </c>
      <c r="F2946" s="31" t="n">
        <v>32.3</v>
      </c>
      <c r="G2946" s="31" t="n">
        <v>96.6</v>
      </c>
      <c r="H2946" s="2" t="s">
        <v>671</v>
      </c>
    </row>
    <row r="2947" customFormat="false" ht="15" hidden="false" customHeight="false" outlineLevel="0" collapsed="false">
      <c r="A2947" s="2" t="s">
        <v>2877</v>
      </c>
      <c r="B2947" s="2" t="s">
        <v>4104</v>
      </c>
      <c r="C2947" s="2" t="s">
        <v>4085</v>
      </c>
      <c r="D2947" s="2"/>
      <c r="E2947" s="31" t="n">
        <v>35</v>
      </c>
      <c r="F2947" s="31" t="n">
        <v>39.4</v>
      </c>
      <c r="G2947" s="2"/>
      <c r="H2947" s="2" t="s">
        <v>668</v>
      </c>
    </row>
    <row r="2948" customFormat="false" ht="15" hidden="false" customHeight="false" outlineLevel="0" collapsed="false">
      <c r="A2948" s="2" t="s">
        <v>2877</v>
      </c>
      <c r="B2948" s="2" t="s">
        <v>4104</v>
      </c>
      <c r="C2948" s="2" t="s">
        <v>4086</v>
      </c>
      <c r="D2948" s="2"/>
      <c r="E2948" s="31" t="n">
        <v>23.4</v>
      </c>
      <c r="F2948" s="31" t="n">
        <v>32.4</v>
      </c>
      <c r="G2948" s="31" t="n">
        <v>22.3</v>
      </c>
      <c r="H2948" s="2" t="s">
        <v>671</v>
      </c>
    </row>
    <row r="2949" customFormat="false" ht="15" hidden="false" customHeight="false" outlineLevel="0" collapsed="false">
      <c r="A2949" s="2" t="s">
        <v>2877</v>
      </c>
      <c r="B2949" s="2" t="s">
        <v>4104</v>
      </c>
      <c r="C2949" s="2" t="s">
        <v>4087</v>
      </c>
      <c r="D2949" s="2"/>
      <c r="E2949" s="2"/>
      <c r="F2949" s="2"/>
      <c r="G2949" s="2"/>
      <c r="H2949" s="2" t="s">
        <v>668</v>
      </c>
    </row>
    <row r="2950" customFormat="false" ht="15" hidden="false" customHeight="false" outlineLevel="0" collapsed="false">
      <c r="A2950" s="2" t="s">
        <v>2877</v>
      </c>
      <c r="B2950" s="2" t="s">
        <v>45</v>
      </c>
      <c r="C2950" s="2" t="s">
        <v>4085</v>
      </c>
      <c r="D2950" s="11" t="n">
        <v>33720</v>
      </c>
      <c r="E2950" s="31" t="n">
        <v>35</v>
      </c>
      <c r="F2950" s="31" t="n">
        <v>39.4</v>
      </c>
      <c r="G2950" s="2"/>
      <c r="H2950" s="2" t="s">
        <v>668</v>
      </c>
    </row>
    <row r="2951" customFormat="false" ht="15" hidden="false" customHeight="false" outlineLevel="0" collapsed="false">
      <c r="A2951" s="2" t="s">
        <v>2877</v>
      </c>
      <c r="B2951" s="2" t="s">
        <v>45</v>
      </c>
      <c r="C2951" s="2" t="s">
        <v>4086</v>
      </c>
      <c r="D2951" s="11" t="n">
        <v>32866</v>
      </c>
      <c r="E2951" s="31" t="n">
        <v>42</v>
      </c>
      <c r="F2951" s="31" t="n">
        <v>42.6</v>
      </c>
      <c r="G2951" s="31" t="n">
        <v>41.7</v>
      </c>
      <c r="H2951" s="2" t="s">
        <v>671</v>
      </c>
    </row>
    <row r="2952" customFormat="false" ht="15" hidden="false" customHeight="false" outlineLevel="0" collapsed="false">
      <c r="A2952" s="2" t="s">
        <v>2877</v>
      </c>
      <c r="B2952" s="2" t="s">
        <v>45</v>
      </c>
      <c r="C2952" s="2" t="s">
        <v>4087</v>
      </c>
      <c r="D2952" s="2"/>
      <c r="E2952" s="2"/>
      <c r="F2952" s="2"/>
      <c r="G2952" s="2"/>
      <c r="H2952" s="2" t="s">
        <v>668</v>
      </c>
    </row>
    <row r="2953" customFormat="false" ht="15" hidden="false" customHeight="false" outlineLevel="0" collapsed="false">
      <c r="A2953" s="2" t="s">
        <v>2877</v>
      </c>
      <c r="B2953" s="2" t="s">
        <v>46</v>
      </c>
      <c r="C2953" s="2" t="s">
        <v>4085</v>
      </c>
      <c r="D2953" s="2"/>
      <c r="E2953" s="2"/>
      <c r="F2953" s="2"/>
      <c r="G2953" s="2"/>
      <c r="H2953" s="2" t="s">
        <v>668</v>
      </c>
    </row>
    <row r="2954" customFormat="false" ht="15" hidden="false" customHeight="false" outlineLevel="0" collapsed="false">
      <c r="A2954" s="2" t="s">
        <v>2877</v>
      </c>
      <c r="B2954" s="2" t="s">
        <v>46</v>
      </c>
      <c r="C2954" s="2" t="s">
        <v>4086</v>
      </c>
      <c r="D2954" s="11" t="n">
        <v>137690</v>
      </c>
      <c r="E2954" s="31" t="n">
        <v>4.9</v>
      </c>
      <c r="F2954" s="31" t="n">
        <v>22.3</v>
      </c>
      <c r="G2954" s="31" t="n">
        <v>2.9</v>
      </c>
      <c r="H2954" s="2" t="s">
        <v>671</v>
      </c>
    </row>
    <row r="2955" customFormat="false" ht="15" hidden="false" customHeight="false" outlineLevel="0" collapsed="false">
      <c r="A2955" s="2" t="s">
        <v>2877</v>
      </c>
      <c r="B2955" s="2" t="s">
        <v>46</v>
      </c>
      <c r="C2955" s="2" t="s">
        <v>4087</v>
      </c>
      <c r="D2955" s="2"/>
      <c r="E2955" s="2"/>
      <c r="F2955" s="2"/>
      <c r="G2955" s="2"/>
      <c r="H2955" s="2" t="s">
        <v>668</v>
      </c>
    </row>
    <row r="2956" customFormat="false" ht="15" hidden="false" customHeight="false" outlineLevel="0" collapsed="false">
      <c r="A2956" s="2" t="s">
        <v>2571</v>
      </c>
      <c r="B2956" s="2" t="s">
        <v>4104</v>
      </c>
      <c r="C2956" s="2" t="s">
        <v>4085</v>
      </c>
      <c r="D2956" s="2"/>
      <c r="E2956" s="31" t="n">
        <v>46.2</v>
      </c>
      <c r="F2956" s="31" t="n">
        <v>22.1</v>
      </c>
      <c r="G2956" s="31" t="n">
        <v>31.7</v>
      </c>
      <c r="H2956" s="2" t="s">
        <v>671</v>
      </c>
    </row>
    <row r="2957" customFormat="false" ht="15" hidden="false" customHeight="false" outlineLevel="0" collapsed="false">
      <c r="A2957" s="2" t="s">
        <v>2571</v>
      </c>
      <c r="B2957" s="2" t="s">
        <v>4104</v>
      </c>
      <c r="C2957" s="2" t="s">
        <v>4086</v>
      </c>
      <c r="D2957" s="2"/>
      <c r="E2957" s="31" t="n">
        <v>13.8</v>
      </c>
      <c r="F2957" s="31" t="n">
        <v>41.1</v>
      </c>
      <c r="G2957" s="31" t="n">
        <v>30.7</v>
      </c>
      <c r="H2957" s="2" t="s">
        <v>668</v>
      </c>
    </row>
    <row r="2958" customFormat="false" ht="15" hidden="false" customHeight="false" outlineLevel="0" collapsed="false">
      <c r="A2958" s="2" t="s">
        <v>2571</v>
      </c>
      <c r="B2958" s="2" t="s">
        <v>4104</v>
      </c>
      <c r="C2958" s="2" t="s">
        <v>4087</v>
      </c>
      <c r="D2958" s="2"/>
      <c r="E2958" s="31" t="n">
        <v>16.5</v>
      </c>
      <c r="F2958" s="31" t="n">
        <v>49.3</v>
      </c>
      <c r="G2958" s="31" t="n">
        <v>5</v>
      </c>
      <c r="H2958" s="2" t="s">
        <v>668</v>
      </c>
    </row>
    <row r="2959" customFormat="false" ht="15" hidden="false" customHeight="false" outlineLevel="0" collapsed="false">
      <c r="A2959" s="2" t="s">
        <v>2571</v>
      </c>
      <c r="B2959" s="2" t="s">
        <v>45</v>
      </c>
      <c r="C2959" s="2" t="s">
        <v>4085</v>
      </c>
      <c r="D2959" s="11" t="n">
        <v>26650</v>
      </c>
      <c r="E2959" s="31" t="n">
        <v>98</v>
      </c>
      <c r="F2959" s="31" t="n">
        <v>5.1</v>
      </c>
      <c r="G2959" s="31" t="n">
        <v>29.5</v>
      </c>
      <c r="H2959" s="2" t="s">
        <v>671</v>
      </c>
    </row>
    <row r="2960" customFormat="false" ht="15" hidden="false" customHeight="false" outlineLevel="0" collapsed="false">
      <c r="A2960" s="2" t="s">
        <v>2571</v>
      </c>
      <c r="B2960" s="2" t="s">
        <v>45</v>
      </c>
      <c r="C2960" s="2" t="s">
        <v>4086</v>
      </c>
      <c r="D2960" s="2"/>
      <c r="E2960" s="2"/>
      <c r="F2960" s="2"/>
      <c r="G2960" s="2"/>
      <c r="H2960" s="2" t="s">
        <v>668</v>
      </c>
    </row>
    <row r="2961" customFormat="false" ht="15" hidden="false" customHeight="false" outlineLevel="0" collapsed="false">
      <c r="A2961" s="2" t="s">
        <v>2571</v>
      </c>
      <c r="B2961" s="2" t="s">
        <v>45</v>
      </c>
      <c r="C2961" s="2" t="s">
        <v>4087</v>
      </c>
      <c r="D2961" s="2"/>
      <c r="E2961" s="2"/>
      <c r="F2961" s="2"/>
      <c r="G2961" s="2"/>
      <c r="H2961" s="2" t="s">
        <v>668</v>
      </c>
    </row>
    <row r="2962" customFormat="false" ht="15" hidden="false" customHeight="false" outlineLevel="0" collapsed="false">
      <c r="A2962" s="2" t="s">
        <v>2571</v>
      </c>
      <c r="B2962" s="2" t="s">
        <v>46</v>
      </c>
      <c r="C2962" s="2" t="s">
        <v>4085</v>
      </c>
      <c r="D2962" s="11" t="n">
        <v>52995</v>
      </c>
      <c r="E2962" s="31" t="n">
        <v>4.5</v>
      </c>
      <c r="F2962" s="31" t="n">
        <v>52.1</v>
      </c>
      <c r="G2962" s="31" t="n">
        <v>42.2</v>
      </c>
      <c r="H2962" s="2" t="s">
        <v>671</v>
      </c>
    </row>
    <row r="2963" customFormat="false" ht="15" hidden="false" customHeight="false" outlineLevel="0" collapsed="false">
      <c r="A2963" s="2" t="s">
        <v>2571</v>
      </c>
      <c r="B2963" s="2" t="s">
        <v>46</v>
      </c>
      <c r="C2963" s="2" t="s">
        <v>4086</v>
      </c>
      <c r="D2963" s="11" t="n">
        <v>55410</v>
      </c>
      <c r="E2963" s="31" t="n">
        <v>5.7</v>
      </c>
      <c r="F2963" s="31" t="n">
        <v>72.4</v>
      </c>
      <c r="G2963" s="31" t="n">
        <v>21.6</v>
      </c>
      <c r="H2963" s="2" t="s">
        <v>671</v>
      </c>
    </row>
    <row r="2964" customFormat="false" ht="15" hidden="false" customHeight="false" outlineLevel="0" collapsed="false">
      <c r="A2964" s="2" t="s">
        <v>2571</v>
      </c>
      <c r="B2964" s="2" t="s">
        <v>46</v>
      </c>
      <c r="C2964" s="2" t="s">
        <v>4087</v>
      </c>
      <c r="D2964" s="2"/>
      <c r="E2964" s="2"/>
      <c r="F2964" s="2"/>
      <c r="G2964" s="2"/>
      <c r="H2964" s="2" t="s">
        <v>668</v>
      </c>
    </row>
    <row r="2965" customFormat="false" ht="15" hidden="false" customHeight="false" outlineLevel="0" collapsed="false">
      <c r="A2965" s="2" t="s">
        <v>2571</v>
      </c>
      <c r="B2965" s="2" t="s">
        <v>47</v>
      </c>
      <c r="C2965" s="2" t="s">
        <v>4085</v>
      </c>
      <c r="D2965" s="11" t="n">
        <v>62016</v>
      </c>
      <c r="E2965" s="31" t="n">
        <v>36.2</v>
      </c>
      <c r="F2965" s="31" t="n">
        <v>9.2</v>
      </c>
      <c r="G2965" s="31" t="n">
        <v>23.5</v>
      </c>
      <c r="H2965" s="2" t="s">
        <v>671</v>
      </c>
    </row>
    <row r="2966" customFormat="false" ht="15" hidden="false" customHeight="false" outlineLevel="0" collapsed="false">
      <c r="A2966" s="2" t="s">
        <v>2571</v>
      </c>
      <c r="B2966" s="2" t="s">
        <v>47</v>
      </c>
      <c r="C2966" s="2" t="s">
        <v>4086</v>
      </c>
      <c r="D2966" s="11" t="n">
        <v>62329</v>
      </c>
      <c r="E2966" s="31" t="n">
        <v>21.9</v>
      </c>
      <c r="F2966" s="31" t="n">
        <v>9.7</v>
      </c>
      <c r="G2966" s="31" t="n">
        <v>39.8</v>
      </c>
      <c r="H2966" s="2" t="s">
        <v>671</v>
      </c>
    </row>
    <row r="2967" customFormat="false" ht="15" hidden="false" customHeight="false" outlineLevel="0" collapsed="false">
      <c r="A2967" s="2" t="s">
        <v>2571</v>
      </c>
      <c r="B2967" s="2" t="s">
        <v>47</v>
      </c>
      <c r="C2967" s="2" t="s">
        <v>4087</v>
      </c>
      <c r="D2967" s="11" t="n">
        <v>67549</v>
      </c>
      <c r="E2967" s="31" t="n">
        <v>16.5</v>
      </c>
      <c r="F2967" s="31" t="n">
        <v>49.3</v>
      </c>
      <c r="G2967" s="31" t="n">
        <v>5</v>
      </c>
      <c r="H2967" s="2" t="s">
        <v>671</v>
      </c>
    </row>
    <row r="2968" customFormat="false" ht="15" hidden="false" customHeight="false" outlineLevel="0" collapsed="false">
      <c r="A2968" s="2" t="s">
        <v>266</v>
      </c>
      <c r="B2968" s="2" t="s">
        <v>4104</v>
      </c>
      <c r="C2968" s="2" t="s">
        <v>4085</v>
      </c>
      <c r="D2968" s="2"/>
      <c r="E2968" s="31" t="n">
        <v>94.3</v>
      </c>
      <c r="F2968" s="31" t="n">
        <v>70.2</v>
      </c>
      <c r="G2968" s="31" t="n">
        <v>94.5</v>
      </c>
      <c r="H2968" s="2" t="s">
        <v>668</v>
      </c>
    </row>
    <row r="2969" customFormat="false" ht="15" hidden="false" customHeight="false" outlineLevel="0" collapsed="false">
      <c r="A2969" s="2" t="s">
        <v>266</v>
      </c>
      <c r="B2969" s="2" t="s">
        <v>4104</v>
      </c>
      <c r="C2969" s="2" t="s">
        <v>4086</v>
      </c>
      <c r="D2969" s="2"/>
      <c r="E2969" s="31" t="n">
        <v>59.2</v>
      </c>
      <c r="F2969" s="31" t="n">
        <v>72.1</v>
      </c>
      <c r="G2969" s="31" t="n">
        <v>83.2</v>
      </c>
      <c r="H2969" s="2" t="s">
        <v>668</v>
      </c>
    </row>
    <row r="2970" customFormat="false" ht="15" hidden="false" customHeight="false" outlineLevel="0" collapsed="false">
      <c r="A2970" s="2" t="s">
        <v>266</v>
      </c>
      <c r="B2970" s="2" t="s">
        <v>4104</v>
      </c>
      <c r="C2970" s="2" t="s">
        <v>4087</v>
      </c>
      <c r="D2970" s="2"/>
      <c r="E2970" s="31" t="n">
        <v>62.6</v>
      </c>
      <c r="F2970" s="31" t="n">
        <v>82.2</v>
      </c>
      <c r="G2970" s="31" t="n">
        <v>68.7</v>
      </c>
      <c r="H2970" s="2" t="s">
        <v>671</v>
      </c>
    </row>
    <row r="2971" customFormat="false" ht="15" hidden="false" customHeight="false" outlineLevel="0" collapsed="false">
      <c r="A2971" s="2" t="s">
        <v>266</v>
      </c>
      <c r="B2971" s="2" t="s">
        <v>45</v>
      </c>
      <c r="C2971" s="2" t="s">
        <v>4085</v>
      </c>
      <c r="D2971" s="11" t="n">
        <v>22920</v>
      </c>
      <c r="E2971" s="2"/>
      <c r="F2971" s="31" t="n">
        <v>41.6</v>
      </c>
      <c r="G2971" s="2"/>
      <c r="H2971" s="2" t="s">
        <v>668</v>
      </c>
    </row>
    <row r="2972" customFormat="false" ht="15" hidden="false" customHeight="false" outlineLevel="0" collapsed="false">
      <c r="A2972" s="2" t="s">
        <v>266</v>
      </c>
      <c r="B2972" s="2" t="s">
        <v>45</v>
      </c>
      <c r="C2972" s="2" t="s">
        <v>4086</v>
      </c>
      <c r="D2972" s="11" t="n">
        <v>23897</v>
      </c>
      <c r="E2972" s="31" t="n">
        <v>25</v>
      </c>
      <c r="F2972" s="31" t="n">
        <v>47.8</v>
      </c>
      <c r="G2972" s="2"/>
      <c r="H2972" s="2" t="s">
        <v>668</v>
      </c>
    </row>
    <row r="2973" customFormat="false" ht="15" hidden="false" customHeight="false" outlineLevel="0" collapsed="false">
      <c r="A2973" s="2" t="s">
        <v>266</v>
      </c>
      <c r="B2973" s="2" t="s">
        <v>45</v>
      </c>
      <c r="C2973" s="2" t="s">
        <v>4087</v>
      </c>
      <c r="D2973" s="11" t="n">
        <v>24216</v>
      </c>
      <c r="E2973" s="31" t="n">
        <v>29.5</v>
      </c>
      <c r="F2973" s="31" t="n">
        <v>73</v>
      </c>
      <c r="G2973" s="31" t="n">
        <v>38.7</v>
      </c>
      <c r="H2973" s="2" t="s">
        <v>671</v>
      </c>
    </row>
    <row r="2974" customFormat="false" ht="15" hidden="false" customHeight="false" outlineLevel="0" collapsed="false">
      <c r="A2974" s="2" t="s">
        <v>266</v>
      </c>
      <c r="B2974" s="2" t="s">
        <v>46</v>
      </c>
      <c r="C2974" s="2" t="s">
        <v>4085</v>
      </c>
      <c r="D2974" s="11" t="n">
        <v>19200</v>
      </c>
      <c r="E2974" s="31" t="n">
        <v>94.3</v>
      </c>
      <c r="F2974" s="31" t="n">
        <v>98.9</v>
      </c>
      <c r="G2974" s="31" t="n">
        <v>94.5</v>
      </c>
      <c r="H2974" s="2" t="s">
        <v>671</v>
      </c>
    </row>
    <row r="2975" customFormat="false" ht="15" hidden="false" customHeight="false" outlineLevel="0" collapsed="false">
      <c r="A2975" s="2" t="s">
        <v>266</v>
      </c>
      <c r="B2975" s="2" t="s">
        <v>46</v>
      </c>
      <c r="C2975" s="2" t="s">
        <v>4086</v>
      </c>
      <c r="D2975" s="11" t="n">
        <v>20880</v>
      </c>
      <c r="E2975" s="31" t="n">
        <v>93.5</v>
      </c>
      <c r="F2975" s="31" t="n">
        <v>96.4</v>
      </c>
      <c r="G2975" s="31" t="n">
        <v>83.2</v>
      </c>
      <c r="H2975" s="2" t="s">
        <v>671</v>
      </c>
    </row>
    <row r="2976" customFormat="false" ht="15" hidden="false" customHeight="false" outlineLevel="0" collapsed="false">
      <c r="A2976" s="2" t="s">
        <v>266</v>
      </c>
      <c r="B2976" s="2" t="s">
        <v>46</v>
      </c>
      <c r="C2976" s="2" t="s">
        <v>4087</v>
      </c>
      <c r="D2976" s="11" t="n">
        <v>22502</v>
      </c>
      <c r="E2976" s="31" t="n">
        <v>95.8</v>
      </c>
      <c r="F2976" s="31" t="n">
        <v>91.3</v>
      </c>
      <c r="G2976" s="31" t="n">
        <v>98.7</v>
      </c>
      <c r="H2976" s="2" t="s">
        <v>671</v>
      </c>
    </row>
    <row r="2977" customFormat="false" ht="15" hidden="false" customHeight="false" outlineLevel="0" collapsed="false">
      <c r="A2977" s="2" t="s">
        <v>1466</v>
      </c>
      <c r="B2977" s="2" t="s">
        <v>4104</v>
      </c>
      <c r="C2977" s="2" t="s">
        <v>4085</v>
      </c>
      <c r="D2977" s="2"/>
      <c r="E2977" s="31" t="n">
        <v>64.1</v>
      </c>
      <c r="F2977" s="31" t="n">
        <v>21.6</v>
      </c>
      <c r="G2977" s="31" t="n">
        <v>31.6</v>
      </c>
      <c r="H2977" s="2" t="s">
        <v>668</v>
      </c>
    </row>
    <row r="2978" customFormat="false" ht="15" hidden="false" customHeight="false" outlineLevel="0" collapsed="false">
      <c r="A2978" s="2" t="s">
        <v>1466</v>
      </c>
      <c r="B2978" s="2" t="s">
        <v>4104</v>
      </c>
      <c r="C2978" s="2" t="s">
        <v>4086</v>
      </c>
      <c r="D2978" s="2"/>
      <c r="E2978" s="2"/>
      <c r="F2978" s="2"/>
      <c r="G2978" s="2"/>
      <c r="H2978" s="2" t="s">
        <v>668</v>
      </c>
    </row>
    <row r="2979" customFormat="false" ht="15" hidden="false" customHeight="false" outlineLevel="0" collapsed="false">
      <c r="A2979" s="2" t="s">
        <v>1466</v>
      </c>
      <c r="B2979" s="2" t="s">
        <v>4104</v>
      </c>
      <c r="C2979" s="2" t="s">
        <v>4087</v>
      </c>
      <c r="D2979" s="2"/>
      <c r="E2979" s="31" t="n">
        <v>83.8</v>
      </c>
      <c r="F2979" s="31" t="n">
        <v>14.6</v>
      </c>
      <c r="G2979" s="31" t="n">
        <v>37.8</v>
      </c>
      <c r="H2979" s="2" t="s">
        <v>668</v>
      </c>
    </row>
    <row r="2980" customFormat="false" ht="15" hidden="false" customHeight="false" outlineLevel="0" collapsed="false">
      <c r="A2980" s="2" t="s">
        <v>1466</v>
      </c>
      <c r="B2980" s="2" t="s">
        <v>45</v>
      </c>
      <c r="C2980" s="2" t="s">
        <v>4085</v>
      </c>
      <c r="D2980" s="11" t="n">
        <v>442622</v>
      </c>
      <c r="E2980" s="31" t="n">
        <v>88.3</v>
      </c>
      <c r="F2980" s="31" t="n">
        <v>8.2</v>
      </c>
      <c r="G2980" s="31" t="n">
        <v>60</v>
      </c>
      <c r="H2980" s="2" t="s">
        <v>671</v>
      </c>
    </row>
    <row r="2981" customFormat="false" ht="15" hidden="false" customHeight="false" outlineLevel="0" collapsed="false">
      <c r="A2981" s="2" t="s">
        <v>1466</v>
      </c>
      <c r="B2981" s="2" t="s">
        <v>45</v>
      </c>
      <c r="C2981" s="2" t="s">
        <v>4086</v>
      </c>
      <c r="D2981" s="2"/>
      <c r="E2981" s="2"/>
      <c r="F2981" s="2"/>
      <c r="G2981" s="2"/>
      <c r="H2981" s="2" t="s">
        <v>668</v>
      </c>
    </row>
    <row r="2982" customFormat="false" ht="15" hidden="false" customHeight="false" outlineLevel="0" collapsed="false">
      <c r="A2982" s="2" t="s">
        <v>1466</v>
      </c>
      <c r="B2982" s="2" t="s">
        <v>45</v>
      </c>
      <c r="C2982" s="2" t="s">
        <v>4087</v>
      </c>
      <c r="D2982" s="11" t="n">
        <v>442170</v>
      </c>
      <c r="E2982" s="31" t="n">
        <v>81.2</v>
      </c>
      <c r="F2982" s="31" t="n">
        <v>4.3</v>
      </c>
      <c r="G2982" s="2"/>
      <c r="H2982" s="2" t="s">
        <v>668</v>
      </c>
    </row>
    <row r="2983" customFormat="false" ht="15" hidden="false" customHeight="false" outlineLevel="0" collapsed="false">
      <c r="A2983" s="2" t="s">
        <v>1466</v>
      </c>
      <c r="B2983" s="2" t="s">
        <v>46</v>
      </c>
      <c r="C2983" s="2" t="s">
        <v>4085</v>
      </c>
      <c r="D2983" s="11" t="n">
        <v>2066060</v>
      </c>
      <c r="E2983" s="31" t="n">
        <v>74.6</v>
      </c>
      <c r="F2983" s="31" t="n">
        <v>11.1</v>
      </c>
      <c r="G2983" s="2"/>
      <c r="H2983" s="2" t="s">
        <v>668</v>
      </c>
    </row>
    <row r="2984" customFormat="false" ht="15" hidden="false" customHeight="false" outlineLevel="0" collapsed="false">
      <c r="A2984" s="2" t="s">
        <v>1466</v>
      </c>
      <c r="B2984" s="2" t="s">
        <v>46</v>
      </c>
      <c r="C2984" s="2" t="s">
        <v>4086</v>
      </c>
      <c r="D2984" s="2"/>
      <c r="E2984" s="2"/>
      <c r="F2984" s="2"/>
      <c r="G2984" s="2"/>
      <c r="H2984" s="2" t="s">
        <v>668</v>
      </c>
    </row>
    <row r="2985" customFormat="false" ht="15" hidden="false" customHeight="false" outlineLevel="0" collapsed="false">
      <c r="A2985" s="2" t="s">
        <v>1466</v>
      </c>
      <c r="B2985" s="2" t="s">
        <v>46</v>
      </c>
      <c r="C2985" s="2" t="s">
        <v>4087</v>
      </c>
      <c r="D2985" s="11" t="n">
        <v>2142140</v>
      </c>
      <c r="E2985" s="31" t="n">
        <v>86.5</v>
      </c>
      <c r="F2985" s="31" t="n">
        <v>25</v>
      </c>
      <c r="G2985" s="31" t="n">
        <v>37.8</v>
      </c>
      <c r="H2985" s="2" t="s">
        <v>671</v>
      </c>
    </row>
    <row r="2986" customFormat="false" ht="15" hidden="false" customHeight="false" outlineLevel="0" collapsed="false">
      <c r="A2986" s="2" t="s">
        <v>1466</v>
      </c>
      <c r="B2986" s="2" t="s">
        <v>47</v>
      </c>
      <c r="C2986" s="2" t="s">
        <v>4085</v>
      </c>
      <c r="D2986" s="11" t="n">
        <v>8054</v>
      </c>
      <c r="E2986" s="31" t="n">
        <v>29.4</v>
      </c>
      <c r="F2986" s="31" t="n">
        <v>45.6</v>
      </c>
      <c r="G2986" s="31" t="n">
        <v>3.2</v>
      </c>
      <c r="H2986" s="2" t="s">
        <v>671</v>
      </c>
    </row>
    <row r="2987" customFormat="false" ht="15" hidden="false" customHeight="false" outlineLevel="0" collapsed="false">
      <c r="A2987" s="2" t="s">
        <v>1466</v>
      </c>
      <c r="B2987" s="2" t="s">
        <v>47</v>
      </c>
      <c r="C2987" s="2" t="s">
        <v>4086</v>
      </c>
      <c r="D2987" s="2"/>
      <c r="E2987" s="2"/>
      <c r="F2987" s="2"/>
      <c r="G2987" s="2"/>
      <c r="H2987" s="2" t="s">
        <v>668</v>
      </c>
    </row>
    <row r="2988" customFormat="false" ht="15" hidden="false" customHeight="false" outlineLevel="0" collapsed="false">
      <c r="A2988" s="2" t="s">
        <v>1466</v>
      </c>
      <c r="B2988" s="2" t="s">
        <v>47</v>
      </c>
      <c r="C2988" s="2" t="s">
        <v>4087</v>
      </c>
      <c r="D2988" s="2"/>
      <c r="E2988" s="2"/>
      <c r="F2988" s="2"/>
      <c r="G2988" s="2"/>
      <c r="H2988" s="2" t="s">
        <v>668</v>
      </c>
    </row>
    <row r="2989" customFormat="false" ht="15" hidden="false" customHeight="false" outlineLevel="0" collapsed="false">
      <c r="A2989" s="2" t="s">
        <v>580</v>
      </c>
      <c r="B2989" s="2" t="s">
        <v>4104</v>
      </c>
      <c r="C2989" s="2" t="s">
        <v>4085</v>
      </c>
      <c r="D2989" s="2"/>
      <c r="E2989" s="31" t="n">
        <v>23.5</v>
      </c>
      <c r="F2989" s="31" t="n">
        <v>96.6</v>
      </c>
      <c r="G2989" s="31" t="n">
        <v>33.7</v>
      </c>
      <c r="H2989" s="2" t="s">
        <v>671</v>
      </c>
    </row>
    <row r="2990" customFormat="false" ht="15" hidden="false" customHeight="false" outlineLevel="0" collapsed="false">
      <c r="A2990" s="2" t="s">
        <v>580</v>
      </c>
      <c r="B2990" s="2" t="s">
        <v>4104</v>
      </c>
      <c r="C2990" s="2" t="s">
        <v>4086</v>
      </c>
      <c r="D2990" s="2"/>
      <c r="E2990" s="31" t="n">
        <v>12.5</v>
      </c>
      <c r="F2990" s="31" t="n">
        <v>85.7</v>
      </c>
      <c r="G2990" s="31" t="n">
        <v>14.5</v>
      </c>
      <c r="H2990" s="2" t="s">
        <v>671</v>
      </c>
    </row>
    <row r="2991" customFormat="false" ht="15" hidden="false" customHeight="false" outlineLevel="0" collapsed="false">
      <c r="A2991" s="2" t="s">
        <v>580</v>
      </c>
      <c r="B2991" s="2" t="s">
        <v>4104</v>
      </c>
      <c r="C2991" s="2" t="s">
        <v>4087</v>
      </c>
      <c r="D2991" s="2"/>
      <c r="E2991" s="31" t="n">
        <v>23.7</v>
      </c>
      <c r="F2991" s="31" t="n">
        <v>92.8</v>
      </c>
      <c r="G2991" s="31" t="n">
        <v>51.7</v>
      </c>
      <c r="H2991" s="2" t="s">
        <v>671</v>
      </c>
    </row>
    <row r="2992" customFormat="false" ht="15" hidden="false" customHeight="false" outlineLevel="0" collapsed="false">
      <c r="A2992" s="2" t="s">
        <v>580</v>
      </c>
      <c r="B2992" s="2" t="s">
        <v>45</v>
      </c>
      <c r="C2992" s="2" t="s">
        <v>4085</v>
      </c>
      <c r="D2992" s="11" t="n">
        <v>142867</v>
      </c>
      <c r="E2992" s="31" t="n">
        <v>23.5</v>
      </c>
      <c r="F2992" s="31" t="n">
        <v>96.6</v>
      </c>
      <c r="G2992" s="31" t="n">
        <v>33.7</v>
      </c>
      <c r="H2992" s="2" t="s">
        <v>671</v>
      </c>
    </row>
    <row r="2993" customFormat="false" ht="15" hidden="false" customHeight="false" outlineLevel="0" collapsed="false">
      <c r="A2993" s="2" t="s">
        <v>580</v>
      </c>
      <c r="B2993" s="2" t="s">
        <v>45</v>
      </c>
      <c r="C2993" s="2" t="s">
        <v>4086</v>
      </c>
      <c r="D2993" s="11" t="n">
        <v>149030</v>
      </c>
      <c r="E2993" s="31" t="n">
        <v>12.5</v>
      </c>
      <c r="F2993" s="31" t="n">
        <v>85.7</v>
      </c>
      <c r="G2993" s="31" t="n">
        <v>14.5</v>
      </c>
      <c r="H2993" s="2" t="s">
        <v>671</v>
      </c>
    </row>
    <row r="2994" customFormat="false" ht="15" hidden="false" customHeight="false" outlineLevel="0" collapsed="false">
      <c r="A2994" s="2" t="s">
        <v>580</v>
      </c>
      <c r="B2994" s="2" t="s">
        <v>45</v>
      </c>
      <c r="C2994" s="2" t="s">
        <v>4087</v>
      </c>
      <c r="D2994" s="11" t="n">
        <v>156604</v>
      </c>
      <c r="E2994" s="31" t="n">
        <v>23.7</v>
      </c>
      <c r="F2994" s="31" t="n">
        <v>92.8</v>
      </c>
      <c r="G2994" s="31" t="n">
        <v>51.7</v>
      </c>
      <c r="H2994" s="2" t="s">
        <v>671</v>
      </c>
    </row>
    <row r="2995" customFormat="false" ht="15" hidden="false" customHeight="false" outlineLevel="0" collapsed="false">
      <c r="A2995" s="2" t="s">
        <v>1825</v>
      </c>
      <c r="B2995" s="2" t="s">
        <v>4104</v>
      </c>
      <c r="C2995" s="2" t="s">
        <v>4085</v>
      </c>
      <c r="D2995" s="2"/>
      <c r="E2995" s="31" t="n">
        <v>58.3</v>
      </c>
      <c r="F2995" s="31" t="n">
        <v>64.7</v>
      </c>
      <c r="G2995" s="31" t="n">
        <v>13.6</v>
      </c>
      <c r="H2995" s="2" t="s">
        <v>671</v>
      </c>
    </row>
    <row r="2996" customFormat="false" ht="15" hidden="false" customHeight="false" outlineLevel="0" collapsed="false">
      <c r="A2996" s="2" t="s">
        <v>1825</v>
      </c>
      <c r="B2996" s="2" t="s">
        <v>4104</v>
      </c>
      <c r="C2996" s="2" t="s">
        <v>4086</v>
      </c>
      <c r="D2996" s="2"/>
      <c r="E2996" s="31" t="n">
        <v>53.6</v>
      </c>
      <c r="F2996" s="31" t="n">
        <v>58.2</v>
      </c>
      <c r="G2996" s="31" t="n">
        <v>14.1</v>
      </c>
      <c r="H2996" s="2" t="s">
        <v>671</v>
      </c>
    </row>
    <row r="2997" customFormat="false" ht="15" hidden="false" customHeight="false" outlineLevel="0" collapsed="false">
      <c r="A2997" s="2" t="s">
        <v>1825</v>
      </c>
      <c r="B2997" s="2" t="s">
        <v>4104</v>
      </c>
      <c r="C2997" s="2" t="s">
        <v>4087</v>
      </c>
      <c r="D2997" s="2"/>
      <c r="E2997" s="31" t="n">
        <v>55.8</v>
      </c>
      <c r="F2997" s="31" t="n">
        <v>79</v>
      </c>
      <c r="G2997" s="31" t="n">
        <v>27.2</v>
      </c>
      <c r="H2997" s="2" t="s">
        <v>668</v>
      </c>
    </row>
    <row r="2998" customFormat="false" ht="15" hidden="false" customHeight="false" outlineLevel="0" collapsed="false">
      <c r="A2998" s="2" t="s">
        <v>1825</v>
      </c>
      <c r="B2998" s="2" t="s">
        <v>45</v>
      </c>
      <c r="C2998" s="2" t="s">
        <v>4085</v>
      </c>
      <c r="D2998" s="11" t="n">
        <v>81652</v>
      </c>
      <c r="E2998" s="31" t="n">
        <v>88.5</v>
      </c>
      <c r="F2998" s="31" t="n">
        <v>77.7</v>
      </c>
      <c r="G2998" s="31" t="n">
        <v>11</v>
      </c>
      <c r="H2998" s="2" t="s">
        <v>671</v>
      </c>
    </row>
    <row r="2999" customFormat="false" ht="15" hidden="false" customHeight="false" outlineLevel="0" collapsed="false">
      <c r="A2999" s="2" t="s">
        <v>1825</v>
      </c>
      <c r="B2999" s="2" t="s">
        <v>45</v>
      </c>
      <c r="C2999" s="2" t="s">
        <v>4086</v>
      </c>
      <c r="D2999" s="11" t="n">
        <v>85530</v>
      </c>
      <c r="E2999" s="31" t="n">
        <v>95.5</v>
      </c>
      <c r="F2999" s="31" t="n">
        <v>47.4</v>
      </c>
      <c r="G2999" s="31" t="n">
        <v>25.9</v>
      </c>
      <c r="H2999" s="2" t="s">
        <v>671</v>
      </c>
    </row>
    <row r="3000" customFormat="false" ht="15" hidden="false" customHeight="false" outlineLevel="0" collapsed="false">
      <c r="A3000" s="2" t="s">
        <v>1825</v>
      </c>
      <c r="B3000" s="2" t="s">
        <v>45</v>
      </c>
      <c r="C3000" s="2" t="s">
        <v>4087</v>
      </c>
      <c r="D3000" s="11" t="n">
        <v>86450</v>
      </c>
      <c r="E3000" s="31" t="n">
        <v>86.8</v>
      </c>
      <c r="F3000" s="31" t="n">
        <v>81.7</v>
      </c>
      <c r="G3000" s="2"/>
      <c r="H3000" s="2" t="s">
        <v>668</v>
      </c>
    </row>
    <row r="3001" customFormat="false" ht="15" hidden="false" customHeight="false" outlineLevel="0" collapsed="false">
      <c r="A3001" s="2" t="s">
        <v>1825</v>
      </c>
      <c r="B3001" s="2" t="s">
        <v>46</v>
      </c>
      <c r="C3001" s="2" t="s">
        <v>4085</v>
      </c>
      <c r="D3001" s="11" t="n">
        <v>126970</v>
      </c>
      <c r="E3001" s="31" t="n">
        <v>14.3</v>
      </c>
      <c r="F3001" s="31" t="n">
        <v>35.9</v>
      </c>
      <c r="G3001" s="31" t="n">
        <v>10</v>
      </c>
      <c r="H3001" s="2" t="s">
        <v>671</v>
      </c>
    </row>
    <row r="3002" customFormat="false" ht="15" hidden="false" customHeight="false" outlineLevel="0" collapsed="false">
      <c r="A3002" s="2" t="s">
        <v>1825</v>
      </c>
      <c r="B3002" s="2" t="s">
        <v>46</v>
      </c>
      <c r="C3002" s="2" t="s">
        <v>4086</v>
      </c>
      <c r="D3002" s="11" t="n">
        <v>131140</v>
      </c>
      <c r="E3002" s="31" t="n">
        <v>13.9</v>
      </c>
      <c r="F3002" s="31" t="n">
        <v>58.6</v>
      </c>
      <c r="G3002" s="31" t="n">
        <v>6.6</v>
      </c>
      <c r="H3002" s="2" t="s">
        <v>671</v>
      </c>
    </row>
    <row r="3003" customFormat="false" ht="15" hidden="false" customHeight="false" outlineLevel="0" collapsed="false">
      <c r="A3003" s="2" t="s">
        <v>1825</v>
      </c>
      <c r="B3003" s="2" t="s">
        <v>46</v>
      </c>
      <c r="C3003" s="2" t="s">
        <v>4087</v>
      </c>
      <c r="D3003" s="11" t="n">
        <v>132680</v>
      </c>
      <c r="E3003" s="31" t="n">
        <v>24.7</v>
      </c>
      <c r="F3003" s="31" t="n">
        <v>66.9</v>
      </c>
      <c r="G3003" s="31" t="n">
        <v>0.5</v>
      </c>
      <c r="H3003" s="2" t="s">
        <v>671</v>
      </c>
    </row>
    <row r="3004" customFormat="false" ht="15" hidden="false" customHeight="false" outlineLevel="0" collapsed="false">
      <c r="A3004" s="2" t="s">
        <v>1825</v>
      </c>
      <c r="B3004" s="2" t="s">
        <v>47</v>
      </c>
      <c r="C3004" s="2" t="s">
        <v>4085</v>
      </c>
      <c r="D3004" s="11" t="n">
        <v>56947</v>
      </c>
      <c r="E3004" s="31" t="n">
        <v>72</v>
      </c>
      <c r="F3004" s="31" t="n">
        <v>80.4</v>
      </c>
      <c r="G3004" s="31" t="n">
        <v>19.9</v>
      </c>
      <c r="H3004" s="2" t="s">
        <v>671</v>
      </c>
    </row>
    <row r="3005" customFormat="false" ht="15" hidden="false" customHeight="false" outlineLevel="0" collapsed="false">
      <c r="A3005" s="2" t="s">
        <v>1825</v>
      </c>
      <c r="B3005" s="2" t="s">
        <v>47</v>
      </c>
      <c r="C3005" s="2" t="s">
        <v>4086</v>
      </c>
      <c r="D3005" s="11" t="n">
        <v>60094</v>
      </c>
      <c r="E3005" s="31" t="n">
        <v>51.3</v>
      </c>
      <c r="F3005" s="31" t="n">
        <v>68.5</v>
      </c>
      <c r="G3005" s="31" t="n">
        <v>9.9</v>
      </c>
      <c r="H3005" s="2" t="s">
        <v>671</v>
      </c>
    </row>
    <row r="3006" customFormat="false" ht="15" hidden="false" customHeight="false" outlineLevel="0" collapsed="false">
      <c r="A3006" s="2" t="s">
        <v>1825</v>
      </c>
      <c r="B3006" s="2" t="s">
        <v>47</v>
      </c>
      <c r="C3006" s="2" t="s">
        <v>4087</v>
      </c>
      <c r="D3006" s="11" t="n">
        <v>61488</v>
      </c>
      <c r="E3006" s="2"/>
      <c r="F3006" s="31" t="n">
        <v>88.3</v>
      </c>
      <c r="G3006" s="31" t="n">
        <v>53.9</v>
      </c>
      <c r="H3006" s="2" t="s">
        <v>668</v>
      </c>
    </row>
    <row r="3007" customFormat="false" ht="15" hidden="false" customHeight="false" outlineLevel="0" collapsed="false">
      <c r="A3007" s="2" t="s">
        <v>918</v>
      </c>
      <c r="B3007" s="2" t="s">
        <v>4104</v>
      </c>
      <c r="C3007" s="2" t="s">
        <v>4085</v>
      </c>
      <c r="D3007" s="2"/>
      <c r="E3007" s="31" t="n">
        <v>65.9</v>
      </c>
      <c r="F3007" s="31" t="n">
        <v>55.2</v>
      </c>
      <c r="G3007" s="31" t="n">
        <v>21.9</v>
      </c>
      <c r="H3007" s="2" t="s">
        <v>668</v>
      </c>
    </row>
    <row r="3008" customFormat="false" ht="15" hidden="false" customHeight="false" outlineLevel="0" collapsed="false">
      <c r="A3008" s="2" t="s">
        <v>918</v>
      </c>
      <c r="B3008" s="2" t="s">
        <v>4104</v>
      </c>
      <c r="C3008" s="2" t="s">
        <v>4086</v>
      </c>
      <c r="D3008" s="2"/>
      <c r="E3008" s="31" t="n">
        <v>63.6</v>
      </c>
      <c r="F3008" s="31" t="n">
        <v>42.7</v>
      </c>
      <c r="G3008" s="31" t="n">
        <v>35.8</v>
      </c>
      <c r="H3008" s="2" t="s">
        <v>668</v>
      </c>
    </row>
    <row r="3009" customFormat="false" ht="15" hidden="false" customHeight="false" outlineLevel="0" collapsed="false">
      <c r="A3009" s="2" t="s">
        <v>918</v>
      </c>
      <c r="B3009" s="2" t="s">
        <v>4104</v>
      </c>
      <c r="C3009" s="2" t="s">
        <v>4087</v>
      </c>
      <c r="D3009" s="2"/>
      <c r="E3009" s="31" t="n">
        <v>57.4</v>
      </c>
      <c r="F3009" s="31" t="n">
        <v>40.8</v>
      </c>
      <c r="G3009" s="31" t="n">
        <v>47.1</v>
      </c>
      <c r="H3009" s="2" t="s">
        <v>668</v>
      </c>
    </row>
    <row r="3010" customFormat="false" ht="15" hidden="false" customHeight="false" outlineLevel="0" collapsed="false">
      <c r="A3010" s="2" t="s">
        <v>918</v>
      </c>
      <c r="B3010" s="2" t="s">
        <v>45</v>
      </c>
      <c r="C3010" s="2" t="s">
        <v>4085</v>
      </c>
      <c r="D3010" s="11" t="n">
        <v>42490</v>
      </c>
      <c r="E3010" s="31" t="n">
        <v>65.4</v>
      </c>
      <c r="F3010" s="31" t="n">
        <v>16.1</v>
      </c>
      <c r="G3010" s="2"/>
      <c r="H3010" s="2" t="s">
        <v>668</v>
      </c>
    </row>
    <row r="3011" customFormat="false" ht="15" hidden="false" customHeight="false" outlineLevel="0" collapsed="false">
      <c r="A3011" s="2" t="s">
        <v>918</v>
      </c>
      <c r="B3011" s="2" t="s">
        <v>45</v>
      </c>
      <c r="C3011" s="2" t="s">
        <v>4086</v>
      </c>
      <c r="D3011" s="11" t="n">
        <v>42836</v>
      </c>
      <c r="E3011" s="31" t="n">
        <v>65.2</v>
      </c>
      <c r="F3011" s="31" t="n">
        <v>5.2</v>
      </c>
      <c r="G3011" s="2"/>
      <c r="H3011" s="2" t="s">
        <v>668</v>
      </c>
    </row>
    <row r="3012" customFormat="false" ht="15" hidden="false" customHeight="false" outlineLevel="0" collapsed="false">
      <c r="A3012" s="2" t="s">
        <v>918</v>
      </c>
      <c r="B3012" s="2" t="s">
        <v>45</v>
      </c>
      <c r="C3012" s="2" t="s">
        <v>4087</v>
      </c>
      <c r="D3012" s="11" t="n">
        <v>43420</v>
      </c>
      <c r="E3012" s="31" t="n">
        <v>66.9</v>
      </c>
      <c r="F3012" s="31" t="n">
        <v>10.7</v>
      </c>
      <c r="G3012" s="31" t="n">
        <v>24.3</v>
      </c>
      <c r="H3012" s="2" t="s">
        <v>671</v>
      </c>
    </row>
    <row r="3013" customFormat="false" ht="15" hidden="false" customHeight="false" outlineLevel="0" collapsed="false">
      <c r="A3013" s="2" t="s">
        <v>918</v>
      </c>
      <c r="B3013" s="2" t="s">
        <v>46</v>
      </c>
      <c r="C3013" s="2" t="s">
        <v>4085</v>
      </c>
      <c r="D3013" s="2"/>
      <c r="E3013" s="2"/>
      <c r="F3013" s="2"/>
      <c r="G3013" s="2"/>
      <c r="H3013" s="2" t="s">
        <v>668</v>
      </c>
    </row>
    <row r="3014" customFormat="false" ht="15" hidden="false" customHeight="false" outlineLevel="0" collapsed="false">
      <c r="A3014" s="2" t="s">
        <v>918</v>
      </c>
      <c r="B3014" s="2" t="s">
        <v>46</v>
      </c>
      <c r="C3014" s="2" t="s">
        <v>4086</v>
      </c>
      <c r="D3014" s="11" t="n">
        <v>142240</v>
      </c>
      <c r="E3014" s="31" t="n">
        <v>56.6</v>
      </c>
      <c r="F3014" s="31" t="n">
        <v>48.4</v>
      </c>
      <c r="G3014" s="31" t="n">
        <v>64.2</v>
      </c>
      <c r="H3014" s="2" t="s">
        <v>671</v>
      </c>
    </row>
    <row r="3015" customFormat="false" ht="15" hidden="false" customHeight="false" outlineLevel="0" collapsed="false">
      <c r="A3015" s="2" t="s">
        <v>918</v>
      </c>
      <c r="B3015" s="2" t="s">
        <v>46</v>
      </c>
      <c r="C3015" s="2" t="s">
        <v>4087</v>
      </c>
      <c r="D3015" s="11" t="n">
        <v>152950</v>
      </c>
      <c r="E3015" s="31" t="n">
        <v>47.8</v>
      </c>
      <c r="F3015" s="31" t="n">
        <v>70.9</v>
      </c>
      <c r="G3015" s="31" t="n">
        <v>69.9</v>
      </c>
      <c r="H3015" s="2" t="s">
        <v>671</v>
      </c>
    </row>
    <row r="3016" customFormat="false" ht="15" hidden="false" customHeight="false" outlineLevel="0" collapsed="false">
      <c r="A3016" s="2" t="s">
        <v>918</v>
      </c>
      <c r="B3016" s="2" t="s">
        <v>47</v>
      </c>
      <c r="C3016" s="2" t="s">
        <v>4085</v>
      </c>
      <c r="D3016" s="11" t="n">
        <v>158334</v>
      </c>
      <c r="E3016" s="31" t="n">
        <v>66.4</v>
      </c>
      <c r="F3016" s="31" t="n">
        <v>94.4</v>
      </c>
      <c r="G3016" s="31" t="n">
        <v>21.9</v>
      </c>
      <c r="H3016" s="2" t="s">
        <v>671</v>
      </c>
    </row>
    <row r="3017" customFormat="false" ht="15" hidden="false" customHeight="false" outlineLevel="0" collapsed="false">
      <c r="A3017" s="2" t="s">
        <v>918</v>
      </c>
      <c r="B3017" s="2" t="s">
        <v>47</v>
      </c>
      <c r="C3017" s="2" t="s">
        <v>4086</v>
      </c>
      <c r="D3017" s="11" t="n">
        <v>170620</v>
      </c>
      <c r="E3017" s="31" t="n">
        <v>69.1</v>
      </c>
      <c r="F3017" s="31" t="n">
        <v>74.5</v>
      </c>
      <c r="G3017" s="31" t="n">
        <v>7.3</v>
      </c>
      <c r="H3017" s="2" t="s">
        <v>671</v>
      </c>
    </row>
    <row r="3018" customFormat="false" ht="15" hidden="false" customHeight="false" outlineLevel="0" collapsed="false">
      <c r="A3018" s="2" t="s">
        <v>918</v>
      </c>
      <c r="B3018" s="2" t="s">
        <v>47</v>
      </c>
      <c r="C3018" s="2" t="s">
        <v>4087</v>
      </c>
      <c r="D3018" s="2"/>
      <c r="E3018" s="2"/>
      <c r="F3018" s="2"/>
      <c r="G3018" s="2"/>
      <c r="H3018" s="2" t="s">
        <v>668</v>
      </c>
    </row>
    <row r="3019" customFormat="false" ht="15" hidden="false" customHeight="false" outlineLevel="0" collapsed="false">
      <c r="A3019" s="2" t="s">
        <v>470</v>
      </c>
      <c r="B3019" s="2" t="s">
        <v>4104</v>
      </c>
      <c r="C3019" s="2" t="s">
        <v>4085</v>
      </c>
      <c r="D3019" s="2"/>
      <c r="E3019" s="31" t="n">
        <v>44.1</v>
      </c>
      <c r="F3019" s="31" t="n">
        <v>47.7</v>
      </c>
      <c r="G3019" s="31" t="n">
        <v>52.1</v>
      </c>
      <c r="H3019" s="2" t="s">
        <v>668</v>
      </c>
    </row>
    <row r="3020" customFormat="false" ht="15" hidden="false" customHeight="false" outlineLevel="0" collapsed="false">
      <c r="A3020" s="2" t="s">
        <v>470</v>
      </c>
      <c r="B3020" s="2" t="s">
        <v>4104</v>
      </c>
      <c r="C3020" s="2" t="s">
        <v>4086</v>
      </c>
      <c r="D3020" s="2"/>
      <c r="E3020" s="31" t="n">
        <v>53.6</v>
      </c>
      <c r="F3020" s="31" t="n">
        <v>53.7</v>
      </c>
      <c r="G3020" s="31" t="n">
        <v>38.9</v>
      </c>
      <c r="H3020" s="2" t="s">
        <v>671</v>
      </c>
    </row>
    <row r="3021" customFormat="false" ht="15" hidden="false" customHeight="false" outlineLevel="0" collapsed="false">
      <c r="A3021" s="2" t="s">
        <v>470</v>
      </c>
      <c r="B3021" s="2" t="s">
        <v>4104</v>
      </c>
      <c r="C3021" s="2" t="s">
        <v>4087</v>
      </c>
      <c r="D3021" s="2"/>
      <c r="E3021" s="31" t="n">
        <v>39</v>
      </c>
      <c r="F3021" s="31" t="n">
        <v>52</v>
      </c>
      <c r="G3021" s="31" t="n">
        <v>32.2</v>
      </c>
      <c r="H3021" s="2" t="s">
        <v>671</v>
      </c>
    </row>
    <row r="3022" customFormat="false" ht="15" hidden="false" customHeight="false" outlineLevel="0" collapsed="false">
      <c r="A3022" s="2" t="s">
        <v>470</v>
      </c>
      <c r="B3022" s="2" t="s">
        <v>45</v>
      </c>
      <c r="C3022" s="2" t="s">
        <v>4085</v>
      </c>
      <c r="D3022" s="11" t="n">
        <v>30140</v>
      </c>
      <c r="E3022" s="2"/>
      <c r="F3022" s="31" t="n">
        <v>95.3</v>
      </c>
      <c r="G3022" s="31" t="n">
        <v>65.4</v>
      </c>
      <c r="H3022" s="2" t="s">
        <v>668</v>
      </c>
    </row>
    <row r="3023" customFormat="false" ht="15" hidden="false" customHeight="false" outlineLevel="0" collapsed="false">
      <c r="A3023" s="2" t="s">
        <v>470</v>
      </c>
      <c r="B3023" s="2" t="s">
        <v>45</v>
      </c>
      <c r="C3023" s="2" t="s">
        <v>4086</v>
      </c>
      <c r="D3023" s="11" t="n">
        <v>33280</v>
      </c>
      <c r="E3023" s="31" t="n">
        <v>0.2</v>
      </c>
      <c r="F3023" s="31" t="n">
        <v>93.8</v>
      </c>
      <c r="G3023" s="31" t="n">
        <v>43.8</v>
      </c>
      <c r="H3023" s="2" t="s">
        <v>671</v>
      </c>
    </row>
    <row r="3024" customFormat="false" ht="15" hidden="false" customHeight="false" outlineLevel="0" collapsed="false">
      <c r="A3024" s="2" t="s">
        <v>470</v>
      </c>
      <c r="B3024" s="2" t="s">
        <v>45</v>
      </c>
      <c r="C3024" s="2" t="s">
        <v>4087</v>
      </c>
      <c r="D3024" s="11" t="n">
        <v>34380</v>
      </c>
      <c r="E3024" s="31" t="n">
        <v>0.4</v>
      </c>
      <c r="F3024" s="31" t="n">
        <v>96.4</v>
      </c>
      <c r="G3024" s="31" t="n">
        <v>39.8</v>
      </c>
      <c r="H3024" s="2" t="s">
        <v>671</v>
      </c>
    </row>
    <row r="3025" customFormat="false" ht="15" hidden="false" customHeight="false" outlineLevel="0" collapsed="false">
      <c r="A3025" s="2" t="s">
        <v>470</v>
      </c>
      <c r="B3025" s="2" t="s">
        <v>46</v>
      </c>
      <c r="C3025" s="2" t="s">
        <v>4085</v>
      </c>
      <c r="D3025" s="11" t="n">
        <v>56525</v>
      </c>
      <c r="E3025" s="31" t="n">
        <v>37</v>
      </c>
      <c r="F3025" s="31" t="n">
        <v>44.6</v>
      </c>
      <c r="G3025" s="31" t="n">
        <v>7.8</v>
      </c>
      <c r="H3025" s="2" t="s">
        <v>671</v>
      </c>
    </row>
    <row r="3026" customFormat="false" ht="15" hidden="false" customHeight="false" outlineLevel="0" collapsed="false">
      <c r="A3026" s="2" t="s">
        <v>470</v>
      </c>
      <c r="B3026" s="2" t="s">
        <v>46</v>
      </c>
      <c r="C3026" s="2" t="s">
        <v>4086</v>
      </c>
      <c r="D3026" s="11" t="n">
        <v>56020</v>
      </c>
      <c r="E3026" s="31" t="n">
        <v>79</v>
      </c>
      <c r="F3026" s="31" t="n">
        <v>62.2</v>
      </c>
      <c r="G3026" s="31" t="n">
        <v>12.1</v>
      </c>
      <c r="H3026" s="2" t="s">
        <v>671</v>
      </c>
    </row>
    <row r="3027" customFormat="false" ht="15" hidden="false" customHeight="false" outlineLevel="0" collapsed="false">
      <c r="A3027" s="2" t="s">
        <v>470</v>
      </c>
      <c r="B3027" s="2" t="s">
        <v>46</v>
      </c>
      <c r="C3027" s="2" t="s">
        <v>4087</v>
      </c>
      <c r="D3027" s="11" t="n">
        <v>58298</v>
      </c>
      <c r="E3027" s="31" t="n">
        <v>42.7</v>
      </c>
      <c r="F3027" s="31" t="n">
        <v>57.3</v>
      </c>
      <c r="G3027" s="31" t="n">
        <v>18.1</v>
      </c>
      <c r="H3027" s="2" t="s">
        <v>671</v>
      </c>
    </row>
    <row r="3028" customFormat="false" ht="15" hidden="false" customHeight="false" outlineLevel="0" collapsed="false">
      <c r="A3028" s="2" t="s">
        <v>470</v>
      </c>
      <c r="B3028" s="2" t="s">
        <v>47</v>
      </c>
      <c r="C3028" s="2" t="s">
        <v>4085</v>
      </c>
      <c r="D3028" s="11" t="n">
        <v>497816</v>
      </c>
      <c r="E3028" s="31" t="n">
        <v>51.2</v>
      </c>
      <c r="F3028" s="31" t="n">
        <v>3.1</v>
      </c>
      <c r="G3028" s="31" t="n">
        <v>83.1</v>
      </c>
      <c r="H3028" s="2" t="s">
        <v>671</v>
      </c>
    </row>
    <row r="3029" customFormat="false" ht="15" hidden="false" customHeight="false" outlineLevel="0" collapsed="false">
      <c r="A3029" s="2" t="s">
        <v>470</v>
      </c>
      <c r="B3029" s="2" t="s">
        <v>47</v>
      </c>
      <c r="C3029" s="2" t="s">
        <v>4086</v>
      </c>
      <c r="D3029" s="11" t="n">
        <v>497219</v>
      </c>
      <c r="E3029" s="31" t="n">
        <v>81.7</v>
      </c>
      <c r="F3029" s="31" t="n">
        <v>5</v>
      </c>
      <c r="G3029" s="31" t="n">
        <v>60.8</v>
      </c>
      <c r="H3029" s="2" t="s">
        <v>671</v>
      </c>
    </row>
    <row r="3030" customFormat="false" ht="15" hidden="false" customHeight="false" outlineLevel="0" collapsed="false">
      <c r="A3030" s="2" t="s">
        <v>470</v>
      </c>
      <c r="B3030" s="2" t="s">
        <v>47</v>
      </c>
      <c r="C3030" s="2" t="s">
        <v>4087</v>
      </c>
      <c r="D3030" s="11" t="n">
        <v>476009</v>
      </c>
      <c r="E3030" s="31" t="n">
        <v>73.8</v>
      </c>
      <c r="F3030" s="31" t="n">
        <v>2.4</v>
      </c>
      <c r="G3030" s="31" t="n">
        <v>38.7</v>
      </c>
      <c r="H3030" s="2" t="s">
        <v>671</v>
      </c>
    </row>
    <row r="3031" customFormat="false" ht="15" hidden="false" customHeight="false" outlineLevel="0" collapsed="false">
      <c r="A3031" s="2" t="s">
        <v>2239</v>
      </c>
      <c r="B3031" s="2" t="s">
        <v>4104</v>
      </c>
      <c r="C3031" s="2" t="s">
        <v>4085</v>
      </c>
      <c r="D3031" s="2"/>
      <c r="E3031" s="31" t="n">
        <v>51.7</v>
      </c>
      <c r="F3031" s="31" t="n">
        <v>47.2</v>
      </c>
      <c r="G3031" s="31" t="n">
        <v>82.4</v>
      </c>
      <c r="H3031" s="2" t="s">
        <v>668</v>
      </c>
    </row>
    <row r="3032" customFormat="false" ht="15" hidden="false" customHeight="false" outlineLevel="0" collapsed="false">
      <c r="A3032" s="2" t="s">
        <v>2239</v>
      </c>
      <c r="B3032" s="2" t="s">
        <v>4104</v>
      </c>
      <c r="C3032" s="2" t="s">
        <v>4086</v>
      </c>
      <c r="D3032" s="2"/>
      <c r="E3032" s="31" t="n">
        <v>60.4</v>
      </c>
      <c r="F3032" s="31" t="n">
        <v>30.9</v>
      </c>
      <c r="G3032" s="31" t="n">
        <v>36.2</v>
      </c>
      <c r="H3032" s="2" t="s">
        <v>671</v>
      </c>
    </row>
    <row r="3033" customFormat="false" ht="15" hidden="false" customHeight="false" outlineLevel="0" collapsed="false">
      <c r="A3033" s="2" t="s">
        <v>2239</v>
      </c>
      <c r="B3033" s="2" t="s">
        <v>4104</v>
      </c>
      <c r="C3033" s="2" t="s">
        <v>4087</v>
      </c>
      <c r="D3033" s="2"/>
      <c r="E3033" s="31" t="n">
        <v>72.9</v>
      </c>
      <c r="F3033" s="31" t="n">
        <v>52.2</v>
      </c>
      <c r="G3033" s="31" t="n">
        <v>75.8</v>
      </c>
      <c r="H3033" s="2" t="s">
        <v>668</v>
      </c>
    </row>
    <row r="3034" customFormat="false" ht="15" hidden="false" customHeight="false" outlineLevel="0" collapsed="false">
      <c r="A3034" s="2" t="s">
        <v>2239</v>
      </c>
      <c r="B3034" s="2" t="s">
        <v>45</v>
      </c>
      <c r="C3034" s="2" t="s">
        <v>4085</v>
      </c>
      <c r="D3034" s="2"/>
      <c r="E3034" s="2"/>
      <c r="F3034" s="2"/>
      <c r="G3034" s="2"/>
      <c r="H3034" s="2" t="s">
        <v>668</v>
      </c>
    </row>
    <row r="3035" customFormat="false" ht="15" hidden="false" customHeight="false" outlineLevel="0" collapsed="false">
      <c r="A3035" s="2" t="s">
        <v>2239</v>
      </c>
      <c r="B3035" s="2" t="s">
        <v>45</v>
      </c>
      <c r="C3035" s="2" t="s">
        <v>4086</v>
      </c>
      <c r="D3035" s="11" t="n">
        <v>275285</v>
      </c>
      <c r="E3035" s="31" t="n">
        <v>57.1</v>
      </c>
      <c r="F3035" s="31" t="n">
        <v>10</v>
      </c>
      <c r="G3035" s="31" t="n">
        <v>39.4</v>
      </c>
      <c r="H3035" s="2" t="s">
        <v>671</v>
      </c>
    </row>
    <row r="3036" customFormat="false" ht="15" hidden="false" customHeight="false" outlineLevel="0" collapsed="false">
      <c r="A3036" s="2" t="s">
        <v>2239</v>
      </c>
      <c r="B3036" s="2" t="s">
        <v>45</v>
      </c>
      <c r="C3036" s="2" t="s">
        <v>4087</v>
      </c>
      <c r="D3036" s="2"/>
      <c r="E3036" s="2"/>
      <c r="F3036" s="2"/>
      <c r="G3036" s="2"/>
      <c r="H3036" s="2" t="s">
        <v>668</v>
      </c>
    </row>
    <row r="3037" customFormat="false" ht="15" hidden="false" customHeight="false" outlineLevel="0" collapsed="false">
      <c r="A3037" s="2" t="s">
        <v>2239</v>
      </c>
      <c r="B3037" s="2" t="s">
        <v>46</v>
      </c>
      <c r="C3037" s="2" t="s">
        <v>4085</v>
      </c>
      <c r="D3037" s="11" t="n">
        <v>19580</v>
      </c>
      <c r="E3037" s="2"/>
      <c r="F3037" s="31" t="n">
        <v>23.2</v>
      </c>
      <c r="G3037" s="31" t="n">
        <v>87.7</v>
      </c>
      <c r="H3037" s="2" t="s">
        <v>668</v>
      </c>
    </row>
    <row r="3038" customFormat="false" ht="15" hidden="false" customHeight="false" outlineLevel="0" collapsed="false">
      <c r="A3038" s="2" t="s">
        <v>2239</v>
      </c>
      <c r="B3038" s="2" t="s">
        <v>46</v>
      </c>
      <c r="C3038" s="2" t="s">
        <v>4086</v>
      </c>
      <c r="D3038" s="11" t="n">
        <v>19676</v>
      </c>
      <c r="E3038" s="31" t="n">
        <v>91.2</v>
      </c>
      <c r="F3038" s="31" t="n">
        <v>11.6</v>
      </c>
      <c r="G3038" s="31" t="n">
        <v>55.8</v>
      </c>
      <c r="H3038" s="2" t="s">
        <v>671</v>
      </c>
    </row>
    <row r="3039" customFormat="false" ht="15" hidden="false" customHeight="false" outlineLevel="0" collapsed="false">
      <c r="A3039" s="2" t="s">
        <v>2239</v>
      </c>
      <c r="B3039" s="2" t="s">
        <v>46</v>
      </c>
      <c r="C3039" s="2" t="s">
        <v>4087</v>
      </c>
      <c r="D3039" s="11" t="n">
        <v>19994</v>
      </c>
      <c r="E3039" s="31" t="n">
        <v>85.6</v>
      </c>
      <c r="F3039" s="31" t="n">
        <v>23.2</v>
      </c>
      <c r="G3039" s="2"/>
      <c r="H3039" s="2" t="s">
        <v>668</v>
      </c>
    </row>
    <row r="3040" customFormat="false" ht="15" hidden="false" customHeight="false" outlineLevel="0" collapsed="false">
      <c r="A3040" s="2" t="s">
        <v>2239</v>
      </c>
      <c r="B3040" s="2" t="s">
        <v>47</v>
      </c>
      <c r="C3040" s="2" t="s">
        <v>4085</v>
      </c>
      <c r="D3040" s="11" t="n">
        <v>726</v>
      </c>
      <c r="E3040" s="31" t="n">
        <v>51.7</v>
      </c>
      <c r="F3040" s="31" t="n">
        <v>71.1</v>
      </c>
      <c r="G3040" s="31" t="n">
        <v>77.1</v>
      </c>
      <c r="H3040" s="2" t="s">
        <v>671</v>
      </c>
    </row>
    <row r="3041" customFormat="false" ht="15" hidden="false" customHeight="false" outlineLevel="0" collapsed="false">
      <c r="A3041" s="2" t="s">
        <v>2239</v>
      </c>
      <c r="B3041" s="2" t="s">
        <v>47</v>
      </c>
      <c r="C3041" s="2" t="s">
        <v>4086</v>
      </c>
      <c r="D3041" s="11" t="n">
        <v>752</v>
      </c>
      <c r="E3041" s="31" t="n">
        <v>33</v>
      </c>
      <c r="F3041" s="31" t="n">
        <v>71.2</v>
      </c>
      <c r="G3041" s="31" t="n">
        <v>13.4</v>
      </c>
      <c r="H3041" s="2" t="s">
        <v>671</v>
      </c>
    </row>
    <row r="3042" customFormat="false" ht="15" hidden="false" customHeight="false" outlineLevel="0" collapsed="false">
      <c r="A3042" s="2" t="s">
        <v>2239</v>
      </c>
      <c r="B3042" s="2" t="s">
        <v>47</v>
      </c>
      <c r="C3042" s="2" t="s">
        <v>4087</v>
      </c>
      <c r="D3042" s="11" t="n">
        <v>798</v>
      </c>
      <c r="E3042" s="31" t="n">
        <v>60.3</v>
      </c>
      <c r="F3042" s="31" t="n">
        <v>81.3</v>
      </c>
      <c r="G3042" s="31" t="n">
        <v>75.8</v>
      </c>
      <c r="H3042" s="2" t="s">
        <v>671</v>
      </c>
    </row>
    <row r="3043" customFormat="false" ht="15" hidden="false" customHeight="false" outlineLevel="0" collapsed="false">
      <c r="A3043" s="2" t="s">
        <v>2161</v>
      </c>
      <c r="B3043" s="2" t="s">
        <v>4104</v>
      </c>
      <c r="C3043" s="2" t="s">
        <v>4085</v>
      </c>
      <c r="D3043" s="2"/>
      <c r="E3043" s="31" t="n">
        <v>69.2</v>
      </c>
      <c r="F3043" s="31" t="n">
        <v>41.7</v>
      </c>
      <c r="G3043" s="31" t="n">
        <v>91.8</v>
      </c>
      <c r="H3043" s="2" t="s">
        <v>668</v>
      </c>
    </row>
    <row r="3044" customFormat="false" ht="15" hidden="false" customHeight="false" outlineLevel="0" collapsed="false">
      <c r="A3044" s="2" t="s">
        <v>2161</v>
      </c>
      <c r="B3044" s="2" t="s">
        <v>4104</v>
      </c>
      <c r="C3044" s="2" t="s">
        <v>4086</v>
      </c>
      <c r="D3044" s="2"/>
      <c r="E3044" s="31" t="n">
        <v>52.6</v>
      </c>
      <c r="F3044" s="31" t="n">
        <v>36</v>
      </c>
      <c r="G3044" s="31" t="n">
        <v>68.9</v>
      </c>
      <c r="H3044" s="2" t="s">
        <v>671</v>
      </c>
    </row>
    <row r="3045" customFormat="false" ht="15" hidden="false" customHeight="false" outlineLevel="0" collapsed="false">
      <c r="A3045" s="2" t="s">
        <v>2161</v>
      </c>
      <c r="B3045" s="2" t="s">
        <v>4104</v>
      </c>
      <c r="C3045" s="2" t="s">
        <v>4087</v>
      </c>
      <c r="D3045" s="2"/>
      <c r="E3045" s="31" t="n">
        <v>70.3</v>
      </c>
      <c r="F3045" s="31" t="n">
        <v>24.5</v>
      </c>
      <c r="G3045" s="31" t="n">
        <v>81.3</v>
      </c>
      <c r="H3045" s="2" t="s">
        <v>668</v>
      </c>
    </row>
    <row r="3046" customFormat="false" ht="15" hidden="false" customHeight="false" outlineLevel="0" collapsed="false">
      <c r="A3046" s="2" t="s">
        <v>2161</v>
      </c>
      <c r="B3046" s="2" t="s">
        <v>45</v>
      </c>
      <c r="C3046" s="2" t="s">
        <v>4085</v>
      </c>
      <c r="D3046" s="11" t="n">
        <v>1336600</v>
      </c>
      <c r="E3046" s="31" t="n">
        <v>56.1</v>
      </c>
      <c r="F3046" s="31" t="n">
        <v>42.9</v>
      </c>
      <c r="G3046" s="2"/>
      <c r="H3046" s="2" t="s">
        <v>668</v>
      </c>
    </row>
    <row r="3047" customFormat="false" ht="15" hidden="false" customHeight="false" outlineLevel="0" collapsed="false">
      <c r="A3047" s="2" t="s">
        <v>2161</v>
      </c>
      <c r="B3047" s="2" t="s">
        <v>45</v>
      </c>
      <c r="C3047" s="2" t="s">
        <v>4086</v>
      </c>
      <c r="D3047" s="11" t="n">
        <v>1380272</v>
      </c>
      <c r="E3047" s="31" t="n">
        <v>19.5</v>
      </c>
      <c r="F3047" s="31" t="n">
        <v>70.6</v>
      </c>
      <c r="G3047" s="31" t="n">
        <v>100</v>
      </c>
      <c r="H3047" s="2" t="s">
        <v>671</v>
      </c>
    </row>
    <row r="3048" customFormat="false" ht="15" hidden="false" customHeight="false" outlineLevel="0" collapsed="false">
      <c r="A3048" s="2" t="s">
        <v>2161</v>
      </c>
      <c r="B3048" s="2" t="s">
        <v>45</v>
      </c>
      <c r="C3048" s="2" t="s">
        <v>4087</v>
      </c>
      <c r="D3048" s="2"/>
      <c r="E3048" s="2"/>
      <c r="F3048" s="2"/>
      <c r="G3048" s="2"/>
      <c r="H3048" s="2" t="s">
        <v>668</v>
      </c>
    </row>
    <row r="3049" customFormat="false" ht="15" hidden="false" customHeight="false" outlineLevel="0" collapsed="false">
      <c r="A3049" s="2" t="s">
        <v>2161</v>
      </c>
      <c r="B3049" s="2" t="s">
        <v>46</v>
      </c>
      <c r="C3049" s="2" t="s">
        <v>4085</v>
      </c>
      <c r="D3049" s="11" t="n">
        <v>84069</v>
      </c>
      <c r="E3049" s="31" t="n">
        <v>77.9</v>
      </c>
      <c r="F3049" s="31" t="n">
        <v>74.5</v>
      </c>
      <c r="G3049" s="31" t="n">
        <v>88.6</v>
      </c>
      <c r="H3049" s="2" t="s">
        <v>671</v>
      </c>
    </row>
    <row r="3050" customFormat="false" ht="15" hidden="false" customHeight="false" outlineLevel="0" collapsed="false">
      <c r="A3050" s="2" t="s">
        <v>2161</v>
      </c>
      <c r="B3050" s="2" t="s">
        <v>46</v>
      </c>
      <c r="C3050" s="2" t="s">
        <v>4086</v>
      </c>
      <c r="D3050" s="11" t="n">
        <v>88771</v>
      </c>
      <c r="E3050" s="31" t="n">
        <v>80.2</v>
      </c>
      <c r="F3050" s="31" t="n">
        <v>30.9</v>
      </c>
      <c r="G3050" s="31" t="n">
        <v>76.4</v>
      </c>
      <c r="H3050" s="2" t="s">
        <v>671</v>
      </c>
    </row>
    <row r="3051" customFormat="false" ht="15" hidden="false" customHeight="false" outlineLevel="0" collapsed="false">
      <c r="A3051" s="2" t="s">
        <v>2161</v>
      </c>
      <c r="B3051" s="2" t="s">
        <v>46</v>
      </c>
      <c r="C3051" s="2" t="s">
        <v>4087</v>
      </c>
      <c r="D3051" s="11" t="n">
        <v>90030</v>
      </c>
      <c r="E3051" s="2"/>
      <c r="F3051" s="31" t="n">
        <v>25.7</v>
      </c>
      <c r="G3051" s="2"/>
      <c r="H3051" s="2" t="s">
        <v>668</v>
      </c>
    </row>
    <row r="3052" customFormat="false" ht="15" hidden="false" customHeight="false" outlineLevel="0" collapsed="false">
      <c r="A3052" s="2" t="s">
        <v>2161</v>
      </c>
      <c r="B3052" s="2" t="s">
        <v>47</v>
      </c>
      <c r="C3052" s="2" t="s">
        <v>4085</v>
      </c>
      <c r="D3052" s="11" t="n">
        <v>27188</v>
      </c>
      <c r="E3052" s="31" t="n">
        <v>73.5</v>
      </c>
      <c r="F3052" s="31" t="n">
        <v>7.8</v>
      </c>
      <c r="G3052" s="31" t="n">
        <v>94.9</v>
      </c>
      <c r="H3052" s="2" t="s">
        <v>671</v>
      </c>
    </row>
    <row r="3053" customFormat="false" ht="15" hidden="false" customHeight="false" outlineLevel="0" collapsed="false">
      <c r="A3053" s="2" t="s">
        <v>2161</v>
      </c>
      <c r="B3053" s="2" t="s">
        <v>47</v>
      </c>
      <c r="C3053" s="2" t="s">
        <v>4086</v>
      </c>
      <c r="D3053" s="11" t="n">
        <v>27800</v>
      </c>
      <c r="E3053" s="31" t="n">
        <v>58</v>
      </c>
      <c r="F3053" s="31" t="n">
        <v>6.5</v>
      </c>
      <c r="G3053" s="31" t="n">
        <v>30.3</v>
      </c>
      <c r="H3053" s="2" t="s">
        <v>671</v>
      </c>
    </row>
    <row r="3054" customFormat="false" ht="15" hidden="false" customHeight="false" outlineLevel="0" collapsed="false">
      <c r="A3054" s="2" t="s">
        <v>2161</v>
      </c>
      <c r="B3054" s="2" t="s">
        <v>47</v>
      </c>
      <c r="C3054" s="2" t="s">
        <v>4087</v>
      </c>
      <c r="D3054" s="11" t="n">
        <v>27314</v>
      </c>
      <c r="E3054" s="31" t="n">
        <v>70.3</v>
      </c>
      <c r="F3054" s="31" t="n">
        <v>23.4</v>
      </c>
      <c r="G3054" s="31" t="n">
        <v>81.3</v>
      </c>
      <c r="H3054" s="2" t="s">
        <v>671</v>
      </c>
    </row>
    <row r="3055" customFormat="false" ht="15" hidden="false" customHeight="false" outlineLevel="0" collapsed="false">
      <c r="A3055" s="2" t="s">
        <v>1126</v>
      </c>
      <c r="B3055" s="2" t="s">
        <v>4104</v>
      </c>
      <c r="C3055" s="2" t="s">
        <v>4085</v>
      </c>
      <c r="D3055" s="2"/>
      <c r="E3055" s="31" t="n">
        <v>45.3</v>
      </c>
      <c r="F3055" s="31" t="n">
        <v>43.2</v>
      </c>
      <c r="G3055" s="31" t="n">
        <v>61.7</v>
      </c>
      <c r="H3055" s="2" t="s">
        <v>668</v>
      </c>
    </row>
    <row r="3056" customFormat="false" ht="15" hidden="false" customHeight="false" outlineLevel="0" collapsed="false">
      <c r="A3056" s="2" t="s">
        <v>1126</v>
      </c>
      <c r="B3056" s="2" t="s">
        <v>4104</v>
      </c>
      <c r="C3056" s="2" t="s">
        <v>4086</v>
      </c>
      <c r="D3056" s="2"/>
      <c r="E3056" s="31" t="n">
        <v>49.6</v>
      </c>
      <c r="F3056" s="31" t="n">
        <v>43.7</v>
      </c>
      <c r="G3056" s="31" t="n">
        <v>63.4</v>
      </c>
      <c r="H3056" s="2" t="s">
        <v>668</v>
      </c>
    </row>
    <row r="3057" customFormat="false" ht="15" hidden="false" customHeight="false" outlineLevel="0" collapsed="false">
      <c r="A3057" s="2" t="s">
        <v>1126</v>
      </c>
      <c r="B3057" s="2" t="s">
        <v>4104</v>
      </c>
      <c r="C3057" s="2" t="s">
        <v>4087</v>
      </c>
      <c r="D3057" s="2"/>
      <c r="E3057" s="31" t="n">
        <v>62.6</v>
      </c>
      <c r="F3057" s="31" t="n">
        <v>30.8</v>
      </c>
      <c r="G3057" s="31" t="n">
        <v>38.8</v>
      </c>
      <c r="H3057" s="2" t="s">
        <v>668</v>
      </c>
    </row>
    <row r="3058" customFormat="false" ht="15" hidden="false" customHeight="false" outlineLevel="0" collapsed="false">
      <c r="A3058" s="2" t="s">
        <v>1126</v>
      </c>
      <c r="B3058" s="2" t="s">
        <v>45</v>
      </c>
      <c r="C3058" s="2" t="s">
        <v>4085</v>
      </c>
      <c r="D3058" s="11" t="n">
        <v>11490</v>
      </c>
      <c r="E3058" s="31" t="n">
        <v>17.9</v>
      </c>
      <c r="F3058" s="31" t="n">
        <v>36.1</v>
      </c>
      <c r="G3058" s="2"/>
      <c r="H3058" s="2" t="s">
        <v>668</v>
      </c>
    </row>
    <row r="3059" customFormat="false" ht="15" hidden="false" customHeight="false" outlineLevel="0" collapsed="false">
      <c r="A3059" s="2" t="s">
        <v>1126</v>
      </c>
      <c r="B3059" s="2" t="s">
        <v>45</v>
      </c>
      <c r="C3059" s="2" t="s">
        <v>4086</v>
      </c>
      <c r="D3059" s="11" t="n">
        <v>11950</v>
      </c>
      <c r="E3059" s="31" t="n">
        <v>15.5</v>
      </c>
      <c r="F3059" s="31" t="n">
        <v>30.2</v>
      </c>
      <c r="G3059" s="2"/>
      <c r="H3059" s="2" t="s">
        <v>668</v>
      </c>
    </row>
    <row r="3060" customFormat="false" ht="15" hidden="false" customHeight="false" outlineLevel="0" collapsed="false">
      <c r="A3060" s="2" t="s">
        <v>1126</v>
      </c>
      <c r="B3060" s="2" t="s">
        <v>45</v>
      </c>
      <c r="C3060" s="2" t="s">
        <v>4087</v>
      </c>
      <c r="D3060" s="11" t="n">
        <v>12600</v>
      </c>
      <c r="E3060" s="31" t="n">
        <v>38.9</v>
      </c>
      <c r="F3060" s="31" t="n">
        <v>53.2</v>
      </c>
      <c r="G3060" s="31" t="n">
        <v>2.8</v>
      </c>
      <c r="H3060" s="2" t="s">
        <v>671</v>
      </c>
    </row>
    <row r="3061" customFormat="false" ht="15" hidden="false" customHeight="false" outlineLevel="0" collapsed="false">
      <c r="A3061" s="2" t="s">
        <v>1126</v>
      </c>
      <c r="B3061" s="2" t="s">
        <v>46</v>
      </c>
      <c r="C3061" s="2" t="s">
        <v>4085</v>
      </c>
      <c r="D3061" s="11" t="n">
        <v>77820</v>
      </c>
      <c r="E3061" s="31" t="n">
        <v>47.6</v>
      </c>
      <c r="F3061" s="31" t="n">
        <v>73</v>
      </c>
      <c r="G3061" s="31" t="n">
        <v>50.2</v>
      </c>
      <c r="H3061" s="2" t="s">
        <v>671</v>
      </c>
    </row>
    <row r="3062" customFormat="false" ht="15" hidden="false" customHeight="false" outlineLevel="0" collapsed="false">
      <c r="A3062" s="2" t="s">
        <v>1126</v>
      </c>
      <c r="B3062" s="2" t="s">
        <v>46</v>
      </c>
      <c r="C3062" s="2" t="s">
        <v>4086</v>
      </c>
      <c r="D3062" s="11" t="n">
        <v>79300</v>
      </c>
      <c r="E3062" s="31" t="n">
        <v>49.9</v>
      </c>
      <c r="F3062" s="31" t="n">
        <v>77.8</v>
      </c>
      <c r="G3062" s="31" t="n">
        <v>38</v>
      </c>
      <c r="H3062" s="2" t="s">
        <v>671</v>
      </c>
    </row>
    <row r="3063" customFormat="false" ht="15" hidden="false" customHeight="false" outlineLevel="0" collapsed="false">
      <c r="A3063" s="2" t="s">
        <v>1126</v>
      </c>
      <c r="B3063" s="2" t="s">
        <v>46</v>
      </c>
      <c r="C3063" s="2" t="s">
        <v>4087</v>
      </c>
      <c r="D3063" s="2"/>
      <c r="E3063" s="2"/>
      <c r="F3063" s="2"/>
      <c r="G3063" s="2"/>
      <c r="H3063" s="2" t="s">
        <v>668</v>
      </c>
    </row>
    <row r="3064" customFormat="false" ht="15" hidden="false" customHeight="false" outlineLevel="0" collapsed="false">
      <c r="A3064" s="2" t="s">
        <v>1126</v>
      </c>
      <c r="B3064" s="2" t="s">
        <v>47</v>
      </c>
      <c r="C3064" s="2" t="s">
        <v>4085</v>
      </c>
      <c r="D3064" s="11" t="n">
        <v>994844</v>
      </c>
      <c r="E3064" s="31" t="n">
        <v>70.4</v>
      </c>
      <c r="F3064" s="31" t="n">
        <v>20.4</v>
      </c>
      <c r="G3064" s="31" t="n">
        <v>73.2</v>
      </c>
      <c r="H3064" s="2" t="s">
        <v>671</v>
      </c>
    </row>
    <row r="3065" customFormat="false" ht="15" hidden="false" customHeight="false" outlineLevel="0" collapsed="false">
      <c r="A3065" s="2" t="s">
        <v>1126</v>
      </c>
      <c r="B3065" s="2" t="s">
        <v>47</v>
      </c>
      <c r="C3065" s="2" t="s">
        <v>4086</v>
      </c>
      <c r="D3065" s="11" t="n">
        <v>992400</v>
      </c>
      <c r="E3065" s="31" t="n">
        <v>83.4</v>
      </c>
      <c r="F3065" s="31" t="n">
        <v>23</v>
      </c>
      <c r="G3065" s="31" t="n">
        <v>88.9</v>
      </c>
      <c r="H3065" s="2" t="s">
        <v>671</v>
      </c>
    </row>
    <row r="3066" customFormat="false" ht="15" hidden="false" customHeight="false" outlineLevel="0" collapsed="false">
      <c r="A3066" s="2" t="s">
        <v>1126</v>
      </c>
      <c r="B3066" s="2" t="s">
        <v>47</v>
      </c>
      <c r="C3066" s="2" t="s">
        <v>4087</v>
      </c>
      <c r="D3066" s="11" t="n">
        <v>970324</v>
      </c>
      <c r="E3066" s="31" t="n">
        <v>86.3</v>
      </c>
      <c r="F3066" s="31" t="n">
        <v>8.4</v>
      </c>
      <c r="G3066" s="31" t="n">
        <v>74.7</v>
      </c>
      <c r="H3066" s="2" t="s">
        <v>671</v>
      </c>
    </row>
    <row r="3067" customFormat="false" ht="15" hidden="false" customHeight="false" outlineLevel="0" collapsed="false">
      <c r="A3067" s="2" t="s">
        <v>1849</v>
      </c>
      <c r="B3067" s="2" t="s">
        <v>4104</v>
      </c>
      <c r="C3067" s="2" t="s">
        <v>4085</v>
      </c>
      <c r="D3067" s="2"/>
      <c r="E3067" s="31" t="n">
        <v>41.8</v>
      </c>
      <c r="F3067" s="31" t="n">
        <v>29.8</v>
      </c>
      <c r="G3067" s="31" t="n">
        <v>40.2</v>
      </c>
      <c r="H3067" s="2" t="s">
        <v>671</v>
      </c>
    </row>
    <row r="3068" customFormat="false" ht="15" hidden="false" customHeight="false" outlineLevel="0" collapsed="false">
      <c r="A3068" s="2" t="s">
        <v>1849</v>
      </c>
      <c r="B3068" s="2" t="s">
        <v>4104</v>
      </c>
      <c r="C3068" s="2" t="s">
        <v>4086</v>
      </c>
      <c r="D3068" s="2"/>
      <c r="E3068" s="31" t="n">
        <v>55.4</v>
      </c>
      <c r="F3068" s="31" t="n">
        <v>45.7</v>
      </c>
      <c r="G3068" s="31" t="n">
        <v>30.4</v>
      </c>
      <c r="H3068" s="2" t="s">
        <v>671</v>
      </c>
    </row>
    <row r="3069" customFormat="false" ht="15" hidden="false" customHeight="false" outlineLevel="0" collapsed="false">
      <c r="A3069" s="2" t="s">
        <v>1849</v>
      </c>
      <c r="B3069" s="2" t="s">
        <v>4104</v>
      </c>
      <c r="C3069" s="2" t="s">
        <v>4087</v>
      </c>
      <c r="D3069" s="2"/>
      <c r="E3069" s="31" t="n">
        <v>46.6</v>
      </c>
      <c r="F3069" s="31" t="n">
        <v>55.8</v>
      </c>
      <c r="G3069" s="31" t="n">
        <v>72.2</v>
      </c>
      <c r="H3069" s="2" t="s">
        <v>668</v>
      </c>
    </row>
    <row r="3070" customFormat="false" ht="15" hidden="false" customHeight="false" outlineLevel="0" collapsed="false">
      <c r="A3070" s="2" t="s">
        <v>1849</v>
      </c>
      <c r="B3070" s="2" t="s">
        <v>45</v>
      </c>
      <c r="C3070" s="2" t="s">
        <v>4085</v>
      </c>
      <c r="D3070" s="11" t="n">
        <v>7170</v>
      </c>
      <c r="E3070" s="31" t="n">
        <v>63.9</v>
      </c>
      <c r="F3070" s="31" t="n">
        <v>33.9</v>
      </c>
      <c r="G3070" s="31" t="n">
        <v>51</v>
      </c>
      <c r="H3070" s="2" t="s">
        <v>671</v>
      </c>
    </row>
    <row r="3071" customFormat="false" ht="15" hidden="false" customHeight="false" outlineLevel="0" collapsed="false">
      <c r="A3071" s="2" t="s">
        <v>1849</v>
      </c>
      <c r="B3071" s="2" t="s">
        <v>45</v>
      </c>
      <c r="C3071" s="2" t="s">
        <v>4086</v>
      </c>
      <c r="D3071" s="11" t="n">
        <v>7313</v>
      </c>
      <c r="E3071" s="31" t="n">
        <v>86.2</v>
      </c>
      <c r="F3071" s="31" t="n">
        <v>9.9</v>
      </c>
      <c r="G3071" s="31" t="n">
        <v>40.8</v>
      </c>
      <c r="H3071" s="2" t="s">
        <v>671</v>
      </c>
    </row>
    <row r="3072" customFormat="false" ht="15" hidden="false" customHeight="false" outlineLevel="0" collapsed="false">
      <c r="A3072" s="2" t="s">
        <v>1849</v>
      </c>
      <c r="B3072" s="2" t="s">
        <v>45</v>
      </c>
      <c r="C3072" s="2" t="s">
        <v>4087</v>
      </c>
      <c r="D3072" s="11" t="n">
        <v>7430</v>
      </c>
      <c r="E3072" s="31" t="n">
        <v>71.8</v>
      </c>
      <c r="F3072" s="31" t="n">
        <v>51.9</v>
      </c>
      <c r="G3072" s="31" t="n">
        <v>86.5</v>
      </c>
      <c r="H3072" s="2" t="s">
        <v>668</v>
      </c>
    </row>
    <row r="3073" customFormat="false" ht="15" hidden="false" customHeight="false" outlineLevel="0" collapsed="false">
      <c r="A3073" s="2" t="s">
        <v>1849</v>
      </c>
      <c r="B3073" s="2" t="s">
        <v>46</v>
      </c>
      <c r="C3073" s="2" t="s">
        <v>4085</v>
      </c>
      <c r="D3073" s="11" t="n">
        <v>11700</v>
      </c>
      <c r="E3073" s="31" t="n">
        <v>19.8</v>
      </c>
      <c r="F3073" s="31" t="n">
        <v>25.8</v>
      </c>
      <c r="G3073" s="31" t="n">
        <v>29.3</v>
      </c>
      <c r="H3073" s="2" t="s">
        <v>671</v>
      </c>
    </row>
    <row r="3074" customFormat="false" ht="15" hidden="false" customHeight="false" outlineLevel="0" collapsed="false">
      <c r="A3074" s="2" t="s">
        <v>1849</v>
      </c>
      <c r="B3074" s="2" t="s">
        <v>46</v>
      </c>
      <c r="C3074" s="2" t="s">
        <v>4086</v>
      </c>
      <c r="D3074" s="11" t="n">
        <v>12200</v>
      </c>
      <c r="E3074" s="31" t="n">
        <v>24.6</v>
      </c>
      <c r="F3074" s="31" t="n">
        <v>81.5</v>
      </c>
      <c r="G3074" s="31" t="n">
        <v>20.1</v>
      </c>
      <c r="H3074" s="2" t="s">
        <v>671</v>
      </c>
    </row>
    <row r="3075" customFormat="false" ht="15" hidden="false" customHeight="false" outlineLevel="0" collapsed="false">
      <c r="A3075" s="2" t="s">
        <v>1849</v>
      </c>
      <c r="B3075" s="2" t="s">
        <v>46</v>
      </c>
      <c r="C3075" s="2" t="s">
        <v>4087</v>
      </c>
      <c r="D3075" s="11" t="n">
        <v>12529</v>
      </c>
      <c r="E3075" s="31" t="n">
        <v>21.4</v>
      </c>
      <c r="F3075" s="31" t="n">
        <v>59.8</v>
      </c>
      <c r="G3075" s="31" t="n">
        <v>57.8</v>
      </c>
      <c r="H3075" s="2" t="s">
        <v>671</v>
      </c>
    </row>
    <row r="3076" customFormat="false" ht="15" hidden="false" customHeight="false" outlineLevel="0" collapsed="false">
      <c r="A3076" s="2" t="s">
        <v>2883</v>
      </c>
      <c r="B3076" s="2" t="s">
        <v>4104</v>
      </c>
      <c r="C3076" s="2" t="s">
        <v>4087</v>
      </c>
      <c r="D3076" s="2"/>
      <c r="E3076" s="2"/>
      <c r="F3076" s="2"/>
      <c r="G3076" s="2"/>
      <c r="H3076" s="2" t="s">
        <v>668</v>
      </c>
    </row>
    <row r="3077" customFormat="false" ht="15" hidden="false" customHeight="false" outlineLevel="0" collapsed="false">
      <c r="A3077" s="2" t="s">
        <v>2883</v>
      </c>
      <c r="B3077" s="2" t="s">
        <v>47</v>
      </c>
      <c r="C3077" s="2" t="s">
        <v>4087</v>
      </c>
      <c r="D3077" s="2"/>
      <c r="E3077" s="2"/>
      <c r="F3077" s="2"/>
      <c r="G3077" s="2"/>
      <c r="H3077" s="2" t="s">
        <v>668</v>
      </c>
    </row>
    <row r="3078" customFormat="false" ht="15" hidden="false" customHeight="false" outlineLevel="0" collapsed="false">
      <c r="A3078" s="2" t="s">
        <v>258</v>
      </c>
      <c r="B3078" s="2" t="s">
        <v>4104</v>
      </c>
      <c r="C3078" s="2" t="s">
        <v>4085</v>
      </c>
      <c r="D3078" s="2"/>
      <c r="E3078" s="31" t="n">
        <v>62.3</v>
      </c>
      <c r="F3078" s="31" t="n">
        <v>60.3</v>
      </c>
      <c r="G3078" s="31" t="n">
        <v>71.5</v>
      </c>
      <c r="H3078" s="2" t="s">
        <v>668</v>
      </c>
    </row>
    <row r="3079" customFormat="false" ht="15" hidden="false" customHeight="false" outlineLevel="0" collapsed="false">
      <c r="A3079" s="2" t="s">
        <v>258</v>
      </c>
      <c r="B3079" s="2" t="s">
        <v>4104</v>
      </c>
      <c r="C3079" s="2" t="s">
        <v>4086</v>
      </c>
      <c r="D3079" s="2"/>
      <c r="E3079" s="31" t="n">
        <v>59.2</v>
      </c>
      <c r="F3079" s="31" t="n">
        <v>67.6</v>
      </c>
      <c r="G3079" s="31" t="n">
        <v>49.8</v>
      </c>
      <c r="H3079" s="2" t="s">
        <v>671</v>
      </c>
    </row>
    <row r="3080" customFormat="false" ht="15" hidden="false" customHeight="false" outlineLevel="0" collapsed="false">
      <c r="A3080" s="2" t="s">
        <v>258</v>
      </c>
      <c r="B3080" s="2" t="s">
        <v>4104</v>
      </c>
      <c r="C3080" s="2" t="s">
        <v>4087</v>
      </c>
      <c r="D3080" s="2"/>
      <c r="E3080" s="31" t="n">
        <v>63</v>
      </c>
      <c r="F3080" s="31" t="n">
        <v>65.5</v>
      </c>
      <c r="G3080" s="31" t="n">
        <v>68.8</v>
      </c>
      <c r="H3080" s="2" t="s">
        <v>671</v>
      </c>
    </row>
    <row r="3081" customFormat="false" ht="15" hidden="false" customHeight="false" outlineLevel="0" collapsed="false">
      <c r="A3081" s="2" t="s">
        <v>258</v>
      </c>
      <c r="B3081" s="2" t="s">
        <v>45</v>
      </c>
      <c r="C3081" s="2" t="s">
        <v>4085</v>
      </c>
      <c r="D3081" s="11" t="n">
        <v>9040</v>
      </c>
      <c r="E3081" s="2"/>
      <c r="F3081" s="31" t="n">
        <v>96.8</v>
      </c>
      <c r="G3081" s="31" t="n">
        <v>98.3</v>
      </c>
      <c r="H3081" s="2" t="s">
        <v>668</v>
      </c>
    </row>
    <row r="3082" customFormat="false" ht="15" hidden="false" customHeight="false" outlineLevel="0" collapsed="false">
      <c r="A3082" s="2" t="s">
        <v>258</v>
      </c>
      <c r="B3082" s="2" t="s">
        <v>45</v>
      </c>
      <c r="C3082" s="2" t="s">
        <v>4086</v>
      </c>
      <c r="D3082" s="11" t="n">
        <v>10271</v>
      </c>
      <c r="E3082" s="31" t="n">
        <v>18.3</v>
      </c>
      <c r="F3082" s="31" t="n">
        <v>97.9</v>
      </c>
      <c r="G3082" s="31" t="n">
        <v>56.4</v>
      </c>
      <c r="H3082" s="2" t="s">
        <v>671</v>
      </c>
    </row>
    <row r="3083" customFormat="false" ht="15" hidden="false" customHeight="false" outlineLevel="0" collapsed="false">
      <c r="A3083" s="2" t="s">
        <v>258</v>
      </c>
      <c r="B3083" s="2" t="s">
        <v>45</v>
      </c>
      <c r="C3083" s="2" t="s">
        <v>4087</v>
      </c>
      <c r="D3083" s="11" t="n">
        <v>10734</v>
      </c>
      <c r="E3083" s="31" t="n">
        <v>25.6</v>
      </c>
      <c r="F3083" s="31" t="n">
        <v>94.4</v>
      </c>
      <c r="G3083" s="31" t="n">
        <v>96.1</v>
      </c>
      <c r="H3083" s="2" t="s">
        <v>671</v>
      </c>
    </row>
    <row r="3084" customFormat="false" ht="15" hidden="false" customHeight="false" outlineLevel="0" collapsed="false">
      <c r="A3084" s="2" t="s">
        <v>258</v>
      </c>
      <c r="B3084" s="2" t="s">
        <v>46</v>
      </c>
      <c r="C3084" s="2" t="s">
        <v>4085</v>
      </c>
      <c r="D3084" s="11" t="n">
        <v>835804</v>
      </c>
      <c r="E3084" s="31" t="n">
        <v>67.3</v>
      </c>
      <c r="F3084" s="31" t="n">
        <v>39.7</v>
      </c>
      <c r="G3084" s="31" t="n">
        <v>76.3</v>
      </c>
      <c r="H3084" s="2" t="s">
        <v>671</v>
      </c>
    </row>
    <row r="3085" customFormat="false" ht="15" hidden="false" customHeight="false" outlineLevel="0" collapsed="false">
      <c r="A3085" s="2" t="s">
        <v>258</v>
      </c>
      <c r="B3085" s="2" t="s">
        <v>46</v>
      </c>
      <c r="C3085" s="2" t="s">
        <v>4086</v>
      </c>
      <c r="D3085" s="11" t="n">
        <v>828970</v>
      </c>
      <c r="E3085" s="31" t="n">
        <v>79.2</v>
      </c>
      <c r="F3085" s="31" t="n">
        <v>42</v>
      </c>
      <c r="G3085" s="31" t="n">
        <v>75.3</v>
      </c>
      <c r="H3085" s="2" t="s">
        <v>671</v>
      </c>
    </row>
    <row r="3086" customFormat="false" ht="15" hidden="false" customHeight="false" outlineLevel="0" collapsed="false">
      <c r="A3086" s="2" t="s">
        <v>258</v>
      </c>
      <c r="B3086" s="2" t="s">
        <v>46</v>
      </c>
      <c r="C3086" s="2" t="s">
        <v>4087</v>
      </c>
      <c r="D3086" s="11" t="n">
        <v>836050</v>
      </c>
      <c r="E3086" s="31" t="n">
        <v>89.9</v>
      </c>
      <c r="F3086" s="31" t="n">
        <v>34.4</v>
      </c>
      <c r="G3086" s="31" t="n">
        <v>88.3</v>
      </c>
      <c r="H3086" s="2" t="s">
        <v>671</v>
      </c>
    </row>
    <row r="3087" customFormat="false" ht="15" hidden="false" customHeight="false" outlineLevel="0" collapsed="false">
      <c r="A3087" s="2" t="s">
        <v>258</v>
      </c>
      <c r="B3087" s="2" t="s">
        <v>47</v>
      </c>
      <c r="C3087" s="2" t="s">
        <v>4085</v>
      </c>
      <c r="D3087" s="11" t="n">
        <v>26006</v>
      </c>
      <c r="E3087" s="31" t="n">
        <v>57.3</v>
      </c>
      <c r="F3087" s="31" t="n">
        <v>44.4</v>
      </c>
      <c r="G3087" s="31" t="n">
        <v>39.9</v>
      </c>
      <c r="H3087" s="2" t="s">
        <v>671</v>
      </c>
    </row>
    <row r="3088" customFormat="false" ht="15" hidden="false" customHeight="false" outlineLevel="0" collapsed="false">
      <c r="A3088" s="2" t="s">
        <v>258</v>
      </c>
      <c r="B3088" s="2" t="s">
        <v>47</v>
      </c>
      <c r="C3088" s="2" t="s">
        <v>4086</v>
      </c>
      <c r="D3088" s="11" t="n">
        <v>26220</v>
      </c>
      <c r="E3088" s="31" t="n">
        <v>80.2</v>
      </c>
      <c r="F3088" s="31" t="n">
        <v>63</v>
      </c>
      <c r="G3088" s="31" t="n">
        <v>17.7</v>
      </c>
      <c r="H3088" s="2" t="s">
        <v>671</v>
      </c>
    </row>
    <row r="3089" customFormat="false" ht="15" hidden="false" customHeight="false" outlineLevel="0" collapsed="false">
      <c r="A3089" s="2" t="s">
        <v>258</v>
      </c>
      <c r="B3089" s="2" t="s">
        <v>47</v>
      </c>
      <c r="C3089" s="2" t="s">
        <v>4087</v>
      </c>
      <c r="D3089" s="11" t="n">
        <v>27715</v>
      </c>
      <c r="E3089" s="31" t="n">
        <v>73.4</v>
      </c>
      <c r="F3089" s="31" t="n">
        <v>67.7</v>
      </c>
      <c r="G3089" s="31" t="n">
        <v>22.1</v>
      </c>
      <c r="H3089" s="2" t="s">
        <v>671</v>
      </c>
    </row>
    <row r="3090" customFormat="false" ht="15" hidden="false" customHeight="false" outlineLevel="0" collapsed="false">
      <c r="A3090" s="2" t="s">
        <v>2884</v>
      </c>
      <c r="B3090" s="2" t="s">
        <v>4104</v>
      </c>
      <c r="C3090" s="2" t="s">
        <v>4085</v>
      </c>
      <c r="D3090" s="2"/>
      <c r="E3090" s="31" t="n">
        <v>30.6</v>
      </c>
      <c r="F3090" s="31" t="n">
        <v>90.2</v>
      </c>
      <c r="G3090" s="31" t="n">
        <v>48.1</v>
      </c>
      <c r="H3090" s="2" t="s">
        <v>671</v>
      </c>
    </row>
    <row r="3091" customFormat="false" ht="15" hidden="false" customHeight="false" outlineLevel="0" collapsed="false">
      <c r="A3091" s="2" t="s">
        <v>2884</v>
      </c>
      <c r="B3091" s="2" t="s">
        <v>4104</v>
      </c>
      <c r="C3091" s="2" t="s">
        <v>4086</v>
      </c>
      <c r="D3091" s="2"/>
      <c r="E3091" s="31" t="n">
        <v>34.6</v>
      </c>
      <c r="F3091" s="31" t="n">
        <v>90.3</v>
      </c>
      <c r="G3091" s="31" t="n">
        <v>7.5</v>
      </c>
      <c r="H3091" s="2" t="s">
        <v>671</v>
      </c>
    </row>
    <row r="3092" customFormat="false" ht="15" hidden="false" customHeight="false" outlineLevel="0" collapsed="false">
      <c r="A3092" s="2" t="s">
        <v>2884</v>
      </c>
      <c r="B3092" s="2" t="s">
        <v>4104</v>
      </c>
      <c r="C3092" s="2" t="s">
        <v>4087</v>
      </c>
      <c r="D3092" s="2"/>
      <c r="E3092" s="2"/>
      <c r="F3092" s="2"/>
      <c r="G3092" s="2"/>
      <c r="H3092" s="2" t="s">
        <v>668</v>
      </c>
    </row>
    <row r="3093" customFormat="false" ht="15" hidden="false" customHeight="false" outlineLevel="0" collapsed="false">
      <c r="A3093" s="2" t="s">
        <v>2884</v>
      </c>
      <c r="B3093" s="2" t="s">
        <v>47</v>
      </c>
      <c r="C3093" s="2" t="s">
        <v>4085</v>
      </c>
      <c r="D3093" s="11" t="n">
        <v>46577</v>
      </c>
      <c r="E3093" s="31" t="n">
        <v>30.6</v>
      </c>
      <c r="F3093" s="31" t="n">
        <v>90.2</v>
      </c>
      <c r="G3093" s="31" t="n">
        <v>48.1</v>
      </c>
      <c r="H3093" s="2" t="s">
        <v>671</v>
      </c>
    </row>
    <row r="3094" customFormat="false" ht="15" hidden="false" customHeight="false" outlineLevel="0" collapsed="false">
      <c r="A3094" s="2" t="s">
        <v>2884</v>
      </c>
      <c r="B3094" s="2" t="s">
        <v>47</v>
      </c>
      <c r="C3094" s="2" t="s">
        <v>4086</v>
      </c>
      <c r="D3094" s="11" t="n">
        <v>47604</v>
      </c>
      <c r="E3094" s="31" t="n">
        <v>34.6</v>
      </c>
      <c r="F3094" s="31" t="n">
        <v>90.3</v>
      </c>
      <c r="G3094" s="31" t="n">
        <v>7.5</v>
      </c>
      <c r="H3094" s="2" t="s">
        <v>671</v>
      </c>
    </row>
    <row r="3095" customFormat="false" ht="15" hidden="false" customHeight="false" outlineLevel="0" collapsed="false">
      <c r="A3095" s="2" t="s">
        <v>2884</v>
      </c>
      <c r="B3095" s="2" t="s">
        <v>47</v>
      </c>
      <c r="C3095" s="2" t="s">
        <v>4087</v>
      </c>
      <c r="D3095" s="2"/>
      <c r="E3095" s="2"/>
      <c r="F3095" s="2"/>
      <c r="G3095" s="2"/>
      <c r="H3095" s="2" t="s">
        <v>668</v>
      </c>
    </row>
    <row r="3096" customFormat="false" ht="15" hidden="false" customHeight="false" outlineLevel="0" collapsed="false">
      <c r="A3096" s="2" t="s">
        <v>1075</v>
      </c>
      <c r="B3096" s="2" t="s">
        <v>4104</v>
      </c>
      <c r="C3096" s="2" t="s">
        <v>4085</v>
      </c>
      <c r="D3096" s="2"/>
      <c r="E3096" s="31" t="n">
        <v>40.4</v>
      </c>
      <c r="F3096" s="31" t="n">
        <v>22.6</v>
      </c>
      <c r="G3096" s="31" t="n">
        <v>50.8</v>
      </c>
      <c r="H3096" s="2" t="s">
        <v>671</v>
      </c>
    </row>
    <row r="3097" customFormat="false" ht="15" hidden="false" customHeight="false" outlineLevel="0" collapsed="false">
      <c r="A3097" s="2" t="s">
        <v>1075</v>
      </c>
      <c r="B3097" s="2" t="s">
        <v>4104</v>
      </c>
      <c r="C3097" s="2" t="s">
        <v>4086</v>
      </c>
      <c r="D3097" s="2"/>
      <c r="E3097" s="31" t="n">
        <v>51</v>
      </c>
      <c r="F3097" s="31" t="n">
        <v>30.8</v>
      </c>
      <c r="G3097" s="31" t="n">
        <v>40.9</v>
      </c>
      <c r="H3097" s="2" t="s">
        <v>671</v>
      </c>
    </row>
    <row r="3098" customFormat="false" ht="15" hidden="false" customHeight="false" outlineLevel="0" collapsed="false">
      <c r="A3098" s="2" t="s">
        <v>1075</v>
      </c>
      <c r="B3098" s="2" t="s">
        <v>4104</v>
      </c>
      <c r="C3098" s="2" t="s">
        <v>4087</v>
      </c>
      <c r="D3098" s="2"/>
      <c r="E3098" s="31" t="n">
        <v>42.5</v>
      </c>
      <c r="F3098" s="31" t="n">
        <v>15.4</v>
      </c>
      <c r="G3098" s="31" t="n">
        <v>41.7</v>
      </c>
      <c r="H3098" s="2" t="s">
        <v>668</v>
      </c>
    </row>
    <row r="3099" customFormat="false" ht="15" hidden="false" customHeight="false" outlineLevel="0" collapsed="false">
      <c r="A3099" s="2" t="s">
        <v>1075</v>
      </c>
      <c r="B3099" s="2" t="s">
        <v>45</v>
      </c>
      <c r="C3099" s="2" t="s">
        <v>4085</v>
      </c>
      <c r="D3099" s="11" t="n">
        <v>63741</v>
      </c>
      <c r="E3099" s="31" t="n">
        <v>31.5</v>
      </c>
      <c r="F3099" s="31" t="n">
        <v>5.5</v>
      </c>
      <c r="G3099" s="31" t="n">
        <v>3.4</v>
      </c>
      <c r="H3099" s="2" t="s">
        <v>671</v>
      </c>
    </row>
    <row r="3100" customFormat="false" ht="15" hidden="false" customHeight="false" outlineLevel="0" collapsed="false">
      <c r="A3100" s="2" t="s">
        <v>1075</v>
      </c>
      <c r="B3100" s="2" t="s">
        <v>45</v>
      </c>
      <c r="C3100" s="2" t="s">
        <v>4086</v>
      </c>
      <c r="D3100" s="11" t="n">
        <v>63840</v>
      </c>
      <c r="E3100" s="31" t="n">
        <v>51.8</v>
      </c>
      <c r="F3100" s="31" t="n">
        <v>16.5</v>
      </c>
      <c r="G3100" s="31" t="n">
        <v>11</v>
      </c>
      <c r="H3100" s="2" t="s">
        <v>671</v>
      </c>
    </row>
    <row r="3101" customFormat="false" ht="15" hidden="false" customHeight="false" outlineLevel="0" collapsed="false">
      <c r="A3101" s="2" t="s">
        <v>1075</v>
      </c>
      <c r="B3101" s="2" t="s">
        <v>45</v>
      </c>
      <c r="C3101" s="2" t="s">
        <v>4087</v>
      </c>
      <c r="D3101" s="11" t="n">
        <v>62940</v>
      </c>
      <c r="E3101" s="31" t="n">
        <v>45.1</v>
      </c>
      <c r="F3101" s="31" t="n">
        <v>10.3</v>
      </c>
      <c r="G3101" s="31" t="n">
        <v>6.6</v>
      </c>
      <c r="H3101" s="2" t="s">
        <v>671</v>
      </c>
    </row>
    <row r="3102" customFormat="false" ht="15" hidden="false" customHeight="false" outlineLevel="0" collapsed="false">
      <c r="A3102" s="2" t="s">
        <v>1075</v>
      </c>
      <c r="B3102" s="2" t="s">
        <v>46</v>
      </c>
      <c r="C3102" s="2" t="s">
        <v>4085</v>
      </c>
      <c r="D3102" s="11" t="n">
        <v>21870</v>
      </c>
      <c r="E3102" s="31" t="n">
        <v>18.8</v>
      </c>
      <c r="F3102" s="31" t="n">
        <v>50.9</v>
      </c>
      <c r="G3102" s="31" t="n">
        <v>68.5</v>
      </c>
      <c r="H3102" s="2" t="s">
        <v>671</v>
      </c>
    </row>
    <row r="3103" customFormat="false" ht="15" hidden="false" customHeight="false" outlineLevel="0" collapsed="false">
      <c r="A3103" s="2" t="s">
        <v>1075</v>
      </c>
      <c r="B3103" s="2" t="s">
        <v>46</v>
      </c>
      <c r="C3103" s="2" t="s">
        <v>4086</v>
      </c>
      <c r="D3103" s="11" t="n">
        <v>22390</v>
      </c>
      <c r="E3103" s="31" t="n">
        <v>18.9</v>
      </c>
      <c r="F3103" s="31" t="n">
        <v>38.9</v>
      </c>
      <c r="G3103" s="31" t="n">
        <v>41.9</v>
      </c>
      <c r="H3103" s="2" t="s">
        <v>671</v>
      </c>
    </row>
    <row r="3104" customFormat="false" ht="15" hidden="false" customHeight="false" outlineLevel="0" collapsed="false">
      <c r="A3104" s="2" t="s">
        <v>1075</v>
      </c>
      <c r="B3104" s="2" t="s">
        <v>46</v>
      </c>
      <c r="C3104" s="2" t="s">
        <v>4087</v>
      </c>
      <c r="D3104" s="11" t="n">
        <v>23172</v>
      </c>
      <c r="E3104" s="31" t="n">
        <v>20.3</v>
      </c>
      <c r="F3104" s="31" t="n">
        <v>29.9</v>
      </c>
      <c r="G3104" s="2"/>
      <c r="H3104" s="2" t="s">
        <v>668</v>
      </c>
    </row>
    <row r="3105" customFormat="false" ht="15" hidden="false" customHeight="false" outlineLevel="0" collapsed="false">
      <c r="A3105" s="2" t="s">
        <v>1075</v>
      </c>
      <c r="B3105" s="2" t="s">
        <v>47</v>
      </c>
      <c r="C3105" s="2" t="s">
        <v>4085</v>
      </c>
      <c r="D3105" s="11" t="n">
        <v>76038</v>
      </c>
      <c r="E3105" s="31" t="n">
        <v>70.8</v>
      </c>
      <c r="F3105" s="31" t="n">
        <v>11.4</v>
      </c>
      <c r="G3105" s="31" t="n">
        <v>80.6</v>
      </c>
      <c r="H3105" s="2" t="s">
        <v>671</v>
      </c>
    </row>
    <row r="3106" customFormat="false" ht="15" hidden="false" customHeight="false" outlineLevel="0" collapsed="false">
      <c r="A3106" s="2" t="s">
        <v>1075</v>
      </c>
      <c r="B3106" s="2" t="s">
        <v>47</v>
      </c>
      <c r="C3106" s="2" t="s">
        <v>4086</v>
      </c>
      <c r="D3106" s="11" t="n">
        <v>75210</v>
      </c>
      <c r="E3106" s="31" t="n">
        <v>82.2</v>
      </c>
      <c r="F3106" s="31" t="n">
        <v>37</v>
      </c>
      <c r="G3106" s="31" t="n">
        <v>69.7</v>
      </c>
      <c r="H3106" s="2" t="s">
        <v>671</v>
      </c>
    </row>
    <row r="3107" customFormat="false" ht="15" hidden="false" customHeight="false" outlineLevel="0" collapsed="false">
      <c r="A3107" s="2" t="s">
        <v>1075</v>
      </c>
      <c r="B3107" s="2" t="s">
        <v>47</v>
      </c>
      <c r="C3107" s="2" t="s">
        <v>4087</v>
      </c>
      <c r="D3107" s="11" t="n">
        <v>77424</v>
      </c>
      <c r="E3107" s="31" t="n">
        <v>62.2</v>
      </c>
      <c r="F3107" s="31" t="n">
        <v>6</v>
      </c>
      <c r="G3107" s="31" t="n">
        <v>76.8</v>
      </c>
      <c r="H3107" s="2" t="s">
        <v>671</v>
      </c>
    </row>
    <row r="3108" customFormat="false" ht="15" hidden="false" customHeight="false" outlineLevel="0" collapsed="false">
      <c r="A3108" s="2" t="s">
        <v>1485</v>
      </c>
      <c r="B3108" s="2" t="s">
        <v>4104</v>
      </c>
      <c r="C3108" s="2" t="s">
        <v>4085</v>
      </c>
      <c r="D3108" s="2"/>
      <c r="E3108" s="31" t="n">
        <v>69.2</v>
      </c>
      <c r="F3108" s="31" t="n">
        <v>65.6</v>
      </c>
      <c r="G3108" s="31" t="n">
        <v>53.8</v>
      </c>
      <c r="H3108" s="2" t="s">
        <v>668</v>
      </c>
    </row>
    <row r="3109" customFormat="false" ht="15" hidden="false" customHeight="false" outlineLevel="0" collapsed="false">
      <c r="A3109" s="2" t="s">
        <v>1485</v>
      </c>
      <c r="B3109" s="2" t="s">
        <v>4104</v>
      </c>
      <c r="C3109" s="2" t="s">
        <v>4086</v>
      </c>
      <c r="D3109" s="2"/>
      <c r="E3109" s="31" t="n">
        <v>61.2</v>
      </c>
      <c r="F3109" s="31" t="n">
        <v>70.9</v>
      </c>
      <c r="G3109" s="31" t="n">
        <v>20.5</v>
      </c>
      <c r="H3109" s="2" t="s">
        <v>671</v>
      </c>
    </row>
    <row r="3110" customFormat="false" ht="15" hidden="false" customHeight="false" outlineLevel="0" collapsed="false">
      <c r="A3110" s="2" t="s">
        <v>1485</v>
      </c>
      <c r="B3110" s="2" t="s">
        <v>4104</v>
      </c>
      <c r="C3110" s="2" t="s">
        <v>4087</v>
      </c>
      <c r="D3110" s="2"/>
      <c r="E3110" s="31" t="n">
        <v>52.8</v>
      </c>
      <c r="F3110" s="31" t="n">
        <v>61</v>
      </c>
      <c r="G3110" s="31" t="n">
        <v>38.4</v>
      </c>
      <c r="H3110" s="2" t="s">
        <v>668</v>
      </c>
    </row>
    <row r="3111" customFormat="false" ht="15" hidden="false" customHeight="false" outlineLevel="0" collapsed="false">
      <c r="A3111" s="2" t="s">
        <v>1485</v>
      </c>
      <c r="B3111" s="2" t="s">
        <v>45</v>
      </c>
      <c r="C3111" s="2" t="s">
        <v>4085</v>
      </c>
      <c r="D3111" s="2"/>
      <c r="E3111" s="2"/>
      <c r="F3111" s="2"/>
      <c r="G3111" s="2"/>
      <c r="H3111" s="2" t="s">
        <v>668</v>
      </c>
    </row>
    <row r="3112" customFormat="false" ht="15" hidden="false" customHeight="false" outlineLevel="0" collapsed="false">
      <c r="A3112" s="2" t="s">
        <v>1485</v>
      </c>
      <c r="B3112" s="2" t="s">
        <v>45</v>
      </c>
      <c r="C3112" s="2" t="s">
        <v>4086</v>
      </c>
      <c r="D3112" s="11" t="n">
        <v>52005</v>
      </c>
      <c r="E3112" s="31" t="n">
        <v>57.3</v>
      </c>
      <c r="F3112" s="31" t="n">
        <v>54.3</v>
      </c>
      <c r="G3112" s="31" t="n">
        <v>17.9</v>
      </c>
      <c r="H3112" s="2" t="s">
        <v>671</v>
      </c>
    </row>
    <row r="3113" customFormat="false" ht="15" hidden="false" customHeight="false" outlineLevel="0" collapsed="false">
      <c r="A3113" s="2" t="s">
        <v>1485</v>
      </c>
      <c r="B3113" s="2" t="s">
        <v>45</v>
      </c>
      <c r="C3113" s="2" t="s">
        <v>4087</v>
      </c>
      <c r="D3113" s="2"/>
      <c r="E3113" s="2"/>
      <c r="F3113" s="2"/>
      <c r="G3113" s="2"/>
      <c r="H3113" s="2" t="s">
        <v>668</v>
      </c>
    </row>
    <row r="3114" customFormat="false" ht="15" hidden="false" customHeight="false" outlineLevel="0" collapsed="false">
      <c r="A3114" s="2" t="s">
        <v>1485</v>
      </c>
      <c r="B3114" s="2" t="s">
        <v>46</v>
      </c>
      <c r="C3114" s="2" t="s">
        <v>4085</v>
      </c>
      <c r="D3114" s="11" t="n">
        <v>17550</v>
      </c>
      <c r="E3114" s="31" t="n">
        <v>93.3</v>
      </c>
      <c r="F3114" s="31" t="n">
        <v>41.2</v>
      </c>
      <c r="G3114" s="2"/>
      <c r="H3114" s="2" t="s">
        <v>668</v>
      </c>
    </row>
    <row r="3115" customFormat="false" ht="15" hidden="false" customHeight="false" outlineLevel="0" collapsed="false">
      <c r="A3115" s="2" t="s">
        <v>1485</v>
      </c>
      <c r="B3115" s="2" t="s">
        <v>46</v>
      </c>
      <c r="C3115" s="2" t="s">
        <v>4086</v>
      </c>
      <c r="D3115" s="11" t="n">
        <v>9010</v>
      </c>
      <c r="E3115" s="31" t="n">
        <v>96.9</v>
      </c>
      <c r="F3115" s="31" t="n">
        <v>66</v>
      </c>
      <c r="G3115" s="31" t="n">
        <v>17.2</v>
      </c>
      <c r="H3115" s="2" t="s">
        <v>671</v>
      </c>
    </row>
    <row r="3116" customFormat="false" ht="15" hidden="false" customHeight="false" outlineLevel="0" collapsed="false">
      <c r="A3116" s="2" t="s">
        <v>1485</v>
      </c>
      <c r="B3116" s="2" t="s">
        <v>46</v>
      </c>
      <c r="C3116" s="2" t="s">
        <v>4087</v>
      </c>
      <c r="D3116" s="11" t="n">
        <v>18720</v>
      </c>
      <c r="E3116" s="31" t="n">
        <v>84.1</v>
      </c>
      <c r="F3116" s="31" t="n">
        <v>27.4</v>
      </c>
      <c r="G3116" s="31" t="n">
        <v>42</v>
      </c>
      <c r="H3116" s="2" t="s">
        <v>671</v>
      </c>
    </row>
    <row r="3117" customFormat="false" ht="15" hidden="false" customHeight="false" outlineLevel="0" collapsed="false">
      <c r="A3117" s="2" t="s">
        <v>1485</v>
      </c>
      <c r="B3117" s="2" t="s">
        <v>47</v>
      </c>
      <c r="C3117" s="2" t="s">
        <v>4085</v>
      </c>
      <c r="D3117" s="11" t="n">
        <v>8788</v>
      </c>
      <c r="E3117" s="31" t="n">
        <v>45</v>
      </c>
      <c r="F3117" s="31" t="n">
        <v>90</v>
      </c>
      <c r="G3117" s="31" t="n">
        <v>53.8</v>
      </c>
      <c r="H3117" s="2" t="s">
        <v>671</v>
      </c>
    </row>
    <row r="3118" customFormat="false" ht="15" hidden="false" customHeight="false" outlineLevel="0" collapsed="false">
      <c r="A3118" s="2" t="s">
        <v>1485</v>
      </c>
      <c r="B3118" s="2" t="s">
        <v>47</v>
      </c>
      <c r="C3118" s="2" t="s">
        <v>4086</v>
      </c>
      <c r="D3118" s="11" t="n">
        <v>9466</v>
      </c>
      <c r="E3118" s="31" t="n">
        <v>29.3</v>
      </c>
      <c r="F3118" s="31" t="n">
        <v>92.5</v>
      </c>
      <c r="G3118" s="31" t="n">
        <v>26.3</v>
      </c>
      <c r="H3118" s="2" t="s">
        <v>671</v>
      </c>
    </row>
    <row r="3119" customFormat="false" ht="15" hidden="false" customHeight="false" outlineLevel="0" collapsed="false">
      <c r="A3119" s="2" t="s">
        <v>1485</v>
      </c>
      <c r="B3119" s="2" t="s">
        <v>47</v>
      </c>
      <c r="C3119" s="2" t="s">
        <v>4087</v>
      </c>
      <c r="D3119" s="11" t="n">
        <v>9906</v>
      </c>
      <c r="E3119" s="31" t="n">
        <v>21.5</v>
      </c>
      <c r="F3119" s="31" t="n">
        <v>94.7</v>
      </c>
      <c r="G3119" s="31" t="n">
        <v>34.7</v>
      </c>
      <c r="H3119" s="2" t="s">
        <v>671</v>
      </c>
    </row>
    <row r="3120" customFormat="false" ht="15" hidden="false" customHeight="false" outlineLevel="0" collapsed="false">
      <c r="A3120" s="2" t="s">
        <v>2430</v>
      </c>
      <c r="B3120" s="2" t="s">
        <v>4104</v>
      </c>
      <c r="C3120" s="2" t="s">
        <v>4085</v>
      </c>
      <c r="D3120" s="2"/>
      <c r="E3120" s="31" t="n">
        <v>12.6</v>
      </c>
      <c r="F3120" s="31" t="n">
        <v>52.5</v>
      </c>
      <c r="G3120" s="31" t="n">
        <v>45</v>
      </c>
      <c r="H3120" s="2" t="s">
        <v>668</v>
      </c>
    </row>
    <row r="3121" customFormat="false" ht="15" hidden="false" customHeight="false" outlineLevel="0" collapsed="false">
      <c r="A3121" s="2" t="s">
        <v>2430</v>
      </c>
      <c r="B3121" s="2" t="s">
        <v>4104</v>
      </c>
      <c r="C3121" s="2" t="s">
        <v>4086</v>
      </c>
      <c r="D3121" s="2"/>
      <c r="E3121" s="31" t="n">
        <v>20.5</v>
      </c>
      <c r="F3121" s="31" t="n">
        <v>60.2</v>
      </c>
      <c r="G3121" s="31" t="n">
        <v>91</v>
      </c>
      <c r="H3121" s="2" t="s">
        <v>668</v>
      </c>
    </row>
    <row r="3122" customFormat="false" ht="15" hidden="false" customHeight="false" outlineLevel="0" collapsed="false">
      <c r="A3122" s="2" t="s">
        <v>2430</v>
      </c>
      <c r="B3122" s="2" t="s">
        <v>4104</v>
      </c>
      <c r="C3122" s="2" t="s">
        <v>4087</v>
      </c>
      <c r="D3122" s="2"/>
      <c r="E3122" s="31" t="n">
        <v>24.8</v>
      </c>
      <c r="F3122" s="31" t="n">
        <v>53.6</v>
      </c>
      <c r="G3122" s="31" t="n">
        <v>29.7</v>
      </c>
      <c r="H3122" s="2" t="s">
        <v>668</v>
      </c>
    </row>
    <row r="3123" customFormat="false" ht="15" hidden="false" customHeight="false" outlineLevel="0" collapsed="false">
      <c r="A3123" s="2" t="s">
        <v>2430</v>
      </c>
      <c r="B3123" s="2" t="s">
        <v>46</v>
      </c>
      <c r="C3123" s="2" t="s">
        <v>4085</v>
      </c>
      <c r="D3123" s="11" t="n">
        <v>1630</v>
      </c>
      <c r="E3123" s="2"/>
      <c r="F3123" s="2"/>
      <c r="G3123" s="31" t="n">
        <v>11.2</v>
      </c>
      <c r="H3123" s="2" t="s">
        <v>668</v>
      </c>
    </row>
    <row r="3124" customFormat="false" ht="15" hidden="false" customHeight="false" outlineLevel="0" collapsed="false">
      <c r="A3124" s="2" t="s">
        <v>2430</v>
      </c>
      <c r="B3124" s="2" t="s">
        <v>46</v>
      </c>
      <c r="C3124" s="2" t="s">
        <v>4086</v>
      </c>
      <c r="D3124" s="2"/>
      <c r="E3124" s="2"/>
      <c r="F3124" s="2"/>
      <c r="G3124" s="2"/>
      <c r="H3124" s="2" t="s">
        <v>668</v>
      </c>
    </row>
    <row r="3125" customFormat="false" ht="15" hidden="false" customHeight="false" outlineLevel="0" collapsed="false">
      <c r="A3125" s="2" t="s">
        <v>2430</v>
      </c>
      <c r="B3125" s="2" t="s">
        <v>46</v>
      </c>
      <c r="C3125" s="2" t="s">
        <v>4087</v>
      </c>
      <c r="D3125" s="11" t="n">
        <v>1750</v>
      </c>
      <c r="E3125" s="31" t="n">
        <v>15</v>
      </c>
      <c r="F3125" s="2"/>
      <c r="G3125" s="31" t="n">
        <v>1.3</v>
      </c>
      <c r="H3125" s="2" t="s">
        <v>668</v>
      </c>
    </row>
    <row r="3126" customFormat="false" ht="15" hidden="false" customHeight="false" outlineLevel="0" collapsed="false">
      <c r="A3126" s="2" t="s">
        <v>2430</v>
      </c>
      <c r="B3126" s="2" t="s">
        <v>47</v>
      </c>
      <c r="C3126" s="2" t="s">
        <v>4085</v>
      </c>
      <c r="D3126" s="11" t="n">
        <v>198680</v>
      </c>
      <c r="E3126" s="31" t="n">
        <v>12.6</v>
      </c>
      <c r="F3126" s="31" t="n">
        <v>52.5</v>
      </c>
      <c r="G3126" s="31" t="n">
        <v>78.8</v>
      </c>
      <c r="H3126" s="2" t="s">
        <v>671</v>
      </c>
    </row>
    <row r="3127" customFormat="false" ht="15" hidden="false" customHeight="false" outlineLevel="0" collapsed="false">
      <c r="A3127" s="2" t="s">
        <v>2430</v>
      </c>
      <c r="B3127" s="2" t="s">
        <v>47</v>
      </c>
      <c r="C3127" s="2" t="s">
        <v>4086</v>
      </c>
      <c r="D3127" s="11" t="n">
        <v>203530</v>
      </c>
      <c r="E3127" s="31" t="n">
        <v>20.5</v>
      </c>
      <c r="F3127" s="31" t="n">
        <v>60.2</v>
      </c>
      <c r="G3127" s="31" t="n">
        <v>91</v>
      </c>
      <c r="H3127" s="2" t="s">
        <v>671</v>
      </c>
    </row>
    <row r="3128" customFormat="false" ht="15" hidden="false" customHeight="false" outlineLevel="0" collapsed="false">
      <c r="A3128" s="2" t="s">
        <v>2430</v>
      </c>
      <c r="B3128" s="2" t="s">
        <v>47</v>
      </c>
      <c r="C3128" s="2" t="s">
        <v>4087</v>
      </c>
      <c r="D3128" s="11" t="n">
        <v>209310</v>
      </c>
      <c r="E3128" s="31" t="n">
        <v>34.6</v>
      </c>
      <c r="F3128" s="31" t="n">
        <v>53.6</v>
      </c>
      <c r="G3128" s="31" t="n">
        <v>58.1</v>
      </c>
      <c r="H3128" s="2" t="s">
        <v>671</v>
      </c>
    </row>
    <row r="3129" customFormat="false" ht="15" hidden="false" customHeight="false" outlineLevel="0" collapsed="false">
      <c r="A3129" s="2" t="s">
        <v>2887</v>
      </c>
      <c r="B3129" s="2" t="s">
        <v>4104</v>
      </c>
      <c r="C3129" s="2" t="s">
        <v>4085</v>
      </c>
      <c r="D3129" s="2"/>
      <c r="E3129" s="2"/>
      <c r="F3129" s="2"/>
      <c r="G3129" s="2"/>
      <c r="H3129" s="2" t="s">
        <v>668</v>
      </c>
    </row>
    <row r="3130" customFormat="false" ht="15" hidden="false" customHeight="false" outlineLevel="0" collapsed="false">
      <c r="A3130" s="2" t="s">
        <v>2887</v>
      </c>
      <c r="B3130" s="2" t="s">
        <v>4104</v>
      </c>
      <c r="C3130" s="2" t="s">
        <v>4086</v>
      </c>
      <c r="D3130" s="2"/>
      <c r="E3130" s="31" t="n">
        <v>2.2</v>
      </c>
      <c r="F3130" s="31" t="n">
        <v>15.3</v>
      </c>
      <c r="G3130" s="31" t="n">
        <v>74.6</v>
      </c>
      <c r="H3130" s="2" t="s">
        <v>671</v>
      </c>
    </row>
    <row r="3131" customFormat="false" ht="15" hidden="false" customHeight="false" outlineLevel="0" collapsed="false">
      <c r="A3131" s="2" t="s">
        <v>2887</v>
      </c>
      <c r="B3131" s="2" t="s">
        <v>4104</v>
      </c>
      <c r="C3131" s="2" t="s">
        <v>4087</v>
      </c>
      <c r="D3131" s="2"/>
      <c r="E3131" s="31" t="n">
        <v>4</v>
      </c>
      <c r="F3131" s="2"/>
      <c r="G3131" s="2"/>
      <c r="H3131" s="2" t="s">
        <v>668</v>
      </c>
    </row>
    <row r="3132" customFormat="false" ht="15" hidden="false" customHeight="false" outlineLevel="0" collapsed="false">
      <c r="A3132" s="2" t="s">
        <v>2887</v>
      </c>
      <c r="B3132" s="2" t="s">
        <v>46</v>
      </c>
      <c r="C3132" s="2" t="s">
        <v>4085</v>
      </c>
      <c r="D3132" s="2"/>
      <c r="E3132" s="2"/>
      <c r="F3132" s="2"/>
      <c r="G3132" s="2"/>
      <c r="H3132" s="2" t="s">
        <v>668</v>
      </c>
    </row>
    <row r="3133" customFormat="false" ht="15" hidden="false" customHeight="false" outlineLevel="0" collapsed="false">
      <c r="A3133" s="2" t="s">
        <v>2887</v>
      </c>
      <c r="B3133" s="2" t="s">
        <v>46</v>
      </c>
      <c r="C3133" s="2" t="s">
        <v>4086</v>
      </c>
      <c r="D3133" s="11" t="n">
        <v>95130</v>
      </c>
      <c r="E3133" s="31" t="n">
        <v>2.2</v>
      </c>
      <c r="F3133" s="31" t="n">
        <v>15.3</v>
      </c>
      <c r="G3133" s="31" t="n">
        <v>74.6</v>
      </c>
      <c r="H3133" s="2" t="s">
        <v>671</v>
      </c>
    </row>
    <row r="3134" customFormat="false" ht="15" hidden="false" customHeight="false" outlineLevel="0" collapsed="false">
      <c r="A3134" s="2" t="s">
        <v>2887</v>
      </c>
      <c r="B3134" s="2" t="s">
        <v>46</v>
      </c>
      <c r="C3134" s="2" t="s">
        <v>4087</v>
      </c>
      <c r="D3134" s="11" t="n">
        <v>92840</v>
      </c>
      <c r="E3134" s="31" t="n">
        <v>4</v>
      </c>
      <c r="F3134" s="2"/>
      <c r="G3134" s="2"/>
      <c r="H3134" s="2" t="s">
        <v>668</v>
      </c>
    </row>
    <row r="3135" customFormat="false" ht="15" hidden="false" customHeight="false" outlineLevel="0" collapsed="false">
      <c r="A3135" s="2" t="s">
        <v>984</v>
      </c>
      <c r="B3135" s="2" t="s">
        <v>4104</v>
      </c>
      <c r="C3135" s="2" t="s">
        <v>4085</v>
      </c>
      <c r="D3135" s="2"/>
      <c r="E3135" s="31" t="n">
        <v>60</v>
      </c>
      <c r="F3135" s="31" t="n">
        <v>38.4</v>
      </c>
      <c r="G3135" s="31" t="n">
        <v>32.1</v>
      </c>
      <c r="H3135" s="2" t="s">
        <v>668</v>
      </c>
    </row>
    <row r="3136" customFormat="false" ht="15" hidden="false" customHeight="false" outlineLevel="0" collapsed="false">
      <c r="A3136" s="2" t="s">
        <v>984</v>
      </c>
      <c r="B3136" s="2" t="s">
        <v>4104</v>
      </c>
      <c r="C3136" s="2" t="s">
        <v>4086</v>
      </c>
      <c r="D3136" s="2"/>
      <c r="E3136" s="31" t="n">
        <v>52.5</v>
      </c>
      <c r="F3136" s="31" t="n">
        <v>79.2</v>
      </c>
      <c r="G3136" s="31" t="n">
        <v>18.2</v>
      </c>
      <c r="H3136" s="2" t="s">
        <v>668</v>
      </c>
    </row>
    <row r="3137" customFormat="false" ht="15" hidden="false" customHeight="false" outlineLevel="0" collapsed="false">
      <c r="A3137" s="2" t="s">
        <v>984</v>
      </c>
      <c r="B3137" s="2" t="s">
        <v>4104</v>
      </c>
      <c r="C3137" s="2" t="s">
        <v>4087</v>
      </c>
      <c r="D3137" s="2"/>
      <c r="E3137" s="31" t="n">
        <v>51</v>
      </c>
      <c r="F3137" s="31" t="n">
        <v>67.5</v>
      </c>
      <c r="G3137" s="31" t="n">
        <v>11.8</v>
      </c>
      <c r="H3137" s="2" t="s">
        <v>668</v>
      </c>
    </row>
    <row r="3138" customFormat="false" ht="15" hidden="false" customHeight="false" outlineLevel="0" collapsed="false">
      <c r="A3138" s="2" t="s">
        <v>984</v>
      </c>
      <c r="B3138" s="2" t="s">
        <v>45</v>
      </c>
      <c r="C3138" s="2" t="s">
        <v>4085</v>
      </c>
      <c r="D3138" s="11" t="n">
        <v>6781</v>
      </c>
      <c r="E3138" s="31" t="n">
        <v>72.1</v>
      </c>
      <c r="F3138" s="31" t="n">
        <v>22.6</v>
      </c>
      <c r="G3138" s="31" t="n">
        <v>14.4</v>
      </c>
      <c r="H3138" s="2" t="s">
        <v>671</v>
      </c>
    </row>
    <row r="3139" customFormat="false" ht="15" hidden="false" customHeight="false" outlineLevel="0" collapsed="false">
      <c r="A3139" s="2" t="s">
        <v>984</v>
      </c>
      <c r="B3139" s="2" t="s">
        <v>45</v>
      </c>
      <c r="C3139" s="2" t="s">
        <v>4086</v>
      </c>
      <c r="D3139" s="11" t="n">
        <v>7050</v>
      </c>
      <c r="E3139" s="2"/>
      <c r="F3139" s="31" t="n">
        <v>80.3</v>
      </c>
      <c r="G3139" s="31" t="n">
        <v>10.5</v>
      </c>
      <c r="H3139" s="2" t="s">
        <v>668</v>
      </c>
    </row>
    <row r="3140" customFormat="false" ht="15" hidden="false" customHeight="false" outlineLevel="0" collapsed="false">
      <c r="A3140" s="2" t="s">
        <v>984</v>
      </c>
      <c r="B3140" s="2" t="s">
        <v>45</v>
      </c>
      <c r="C3140" s="2" t="s">
        <v>4087</v>
      </c>
      <c r="D3140" s="11" t="n">
        <v>7236</v>
      </c>
      <c r="E3140" s="31" t="n">
        <v>57.3</v>
      </c>
      <c r="F3140" s="31" t="n">
        <v>61.1</v>
      </c>
      <c r="G3140" s="31" t="n">
        <v>12.7</v>
      </c>
      <c r="H3140" s="2" t="s">
        <v>671</v>
      </c>
    </row>
    <row r="3141" customFormat="false" ht="15" hidden="false" customHeight="false" outlineLevel="0" collapsed="false">
      <c r="A3141" s="2" t="s">
        <v>984</v>
      </c>
      <c r="B3141" s="2" t="s">
        <v>46</v>
      </c>
      <c r="C3141" s="2" t="s">
        <v>4085</v>
      </c>
      <c r="D3141" s="11" t="n">
        <v>102260</v>
      </c>
      <c r="E3141" s="31" t="n">
        <v>30.7</v>
      </c>
      <c r="F3141" s="2"/>
      <c r="G3141" s="31" t="n">
        <v>64.2</v>
      </c>
      <c r="H3141" s="2" t="s">
        <v>668</v>
      </c>
    </row>
    <row r="3142" customFormat="false" ht="15" hidden="false" customHeight="false" outlineLevel="0" collapsed="false">
      <c r="A3142" s="2" t="s">
        <v>984</v>
      </c>
      <c r="B3142" s="2" t="s">
        <v>46</v>
      </c>
      <c r="C3142" s="2" t="s">
        <v>4086</v>
      </c>
      <c r="D3142" s="11" t="n">
        <v>106720</v>
      </c>
      <c r="E3142" s="31" t="n">
        <v>55.6</v>
      </c>
      <c r="F3142" s="31" t="n">
        <v>86.6</v>
      </c>
      <c r="G3142" s="31" t="n">
        <v>25.8</v>
      </c>
      <c r="H3142" s="2" t="s">
        <v>671</v>
      </c>
    </row>
    <row r="3143" customFormat="false" ht="15" hidden="false" customHeight="false" outlineLevel="0" collapsed="false">
      <c r="A3143" s="2" t="s">
        <v>984</v>
      </c>
      <c r="B3143" s="2" t="s">
        <v>46</v>
      </c>
      <c r="C3143" s="2" t="s">
        <v>4087</v>
      </c>
      <c r="D3143" s="11" t="n">
        <v>113240</v>
      </c>
      <c r="E3143" s="31" t="n">
        <v>38.1</v>
      </c>
      <c r="F3143" s="31" t="n">
        <v>78.8</v>
      </c>
      <c r="G3143" s="31" t="n">
        <v>19.2</v>
      </c>
      <c r="H3143" s="2" t="s">
        <v>671</v>
      </c>
    </row>
    <row r="3144" customFormat="false" ht="15" hidden="false" customHeight="false" outlineLevel="0" collapsed="false">
      <c r="A3144" s="2" t="s">
        <v>984</v>
      </c>
      <c r="B3144" s="2" t="s">
        <v>47</v>
      </c>
      <c r="C3144" s="2" t="s">
        <v>4085</v>
      </c>
      <c r="D3144" s="11" t="n">
        <v>137467</v>
      </c>
      <c r="E3144" s="31" t="n">
        <v>77.3</v>
      </c>
      <c r="F3144" s="31" t="n">
        <v>54.3</v>
      </c>
      <c r="G3144" s="31" t="n">
        <v>17.8</v>
      </c>
      <c r="H3144" s="2" t="s">
        <v>671</v>
      </c>
    </row>
    <row r="3145" customFormat="false" ht="15" hidden="false" customHeight="false" outlineLevel="0" collapsed="false">
      <c r="A3145" s="2" t="s">
        <v>984</v>
      </c>
      <c r="B3145" s="2" t="s">
        <v>47</v>
      </c>
      <c r="C3145" s="2" t="s">
        <v>4086</v>
      </c>
      <c r="D3145" s="11" t="n">
        <v>143323</v>
      </c>
      <c r="E3145" s="31" t="n">
        <v>49.4</v>
      </c>
      <c r="F3145" s="31" t="n">
        <v>70.8</v>
      </c>
      <c r="G3145" s="2"/>
      <c r="H3145" s="2" t="s">
        <v>668</v>
      </c>
    </row>
    <row r="3146" customFormat="false" ht="15" hidden="false" customHeight="false" outlineLevel="0" collapsed="false">
      <c r="A3146" s="2" t="s">
        <v>984</v>
      </c>
      <c r="B3146" s="2" t="s">
        <v>47</v>
      </c>
      <c r="C3146" s="2" t="s">
        <v>4087</v>
      </c>
      <c r="D3146" s="11" t="n">
        <v>146491</v>
      </c>
      <c r="E3146" s="31" t="n">
        <v>57.6</v>
      </c>
      <c r="F3146" s="31" t="n">
        <v>62.7</v>
      </c>
      <c r="G3146" s="31" t="n">
        <v>3.4</v>
      </c>
      <c r="H3146" s="2" t="s">
        <v>668</v>
      </c>
    </row>
    <row r="3147" customFormat="false" ht="15" hidden="false" customHeight="false" outlineLevel="0" collapsed="false">
      <c r="A3147" s="2" t="s">
        <v>735</v>
      </c>
      <c r="B3147" s="2" t="s">
        <v>4104</v>
      </c>
      <c r="C3147" s="2" t="s">
        <v>4085</v>
      </c>
      <c r="D3147" s="2"/>
      <c r="E3147" s="31" t="n">
        <v>69.2</v>
      </c>
      <c r="F3147" s="31" t="n">
        <v>45.5</v>
      </c>
      <c r="G3147" s="31" t="n">
        <v>27.2</v>
      </c>
      <c r="H3147" s="2" t="s">
        <v>668</v>
      </c>
    </row>
    <row r="3148" customFormat="false" ht="15" hidden="false" customHeight="false" outlineLevel="0" collapsed="false">
      <c r="A3148" s="2" t="s">
        <v>735</v>
      </c>
      <c r="B3148" s="2" t="s">
        <v>4104</v>
      </c>
      <c r="C3148" s="2" t="s">
        <v>4086</v>
      </c>
      <c r="D3148" s="2"/>
      <c r="E3148" s="31" t="n">
        <v>64.6</v>
      </c>
      <c r="F3148" s="31" t="n">
        <v>59.8</v>
      </c>
      <c r="G3148" s="31" t="n">
        <v>32.8</v>
      </c>
      <c r="H3148" s="2" t="s">
        <v>668</v>
      </c>
    </row>
    <row r="3149" customFormat="false" ht="15" hidden="false" customHeight="false" outlineLevel="0" collapsed="false">
      <c r="A3149" s="2" t="s">
        <v>735</v>
      </c>
      <c r="B3149" s="2" t="s">
        <v>4104</v>
      </c>
      <c r="C3149" s="2" t="s">
        <v>4087</v>
      </c>
      <c r="D3149" s="2"/>
      <c r="E3149" s="31" t="n">
        <v>67.7</v>
      </c>
      <c r="F3149" s="31" t="n">
        <v>60.3</v>
      </c>
      <c r="G3149" s="31" t="n">
        <v>25.9</v>
      </c>
      <c r="H3149" s="2" t="s">
        <v>668</v>
      </c>
    </row>
    <row r="3150" customFormat="false" ht="15" hidden="false" customHeight="false" outlineLevel="0" collapsed="false">
      <c r="A3150" s="2" t="s">
        <v>735</v>
      </c>
      <c r="B3150" s="2" t="s">
        <v>45</v>
      </c>
      <c r="C3150" s="2" t="s">
        <v>4085</v>
      </c>
      <c r="D3150" s="11" t="n">
        <v>534563</v>
      </c>
      <c r="E3150" s="31" t="n">
        <v>97.2</v>
      </c>
      <c r="F3150" s="31" t="n">
        <v>46.6</v>
      </c>
      <c r="G3150" s="31" t="n">
        <v>37.6</v>
      </c>
      <c r="H3150" s="2" t="s">
        <v>671</v>
      </c>
    </row>
    <row r="3151" customFormat="false" ht="15" hidden="false" customHeight="false" outlineLevel="0" collapsed="false">
      <c r="A3151" s="2" t="s">
        <v>735</v>
      </c>
      <c r="B3151" s="2" t="s">
        <v>45</v>
      </c>
      <c r="C3151" s="2" t="s">
        <v>4086</v>
      </c>
      <c r="D3151" s="11" t="n">
        <v>542100</v>
      </c>
      <c r="E3151" s="31" t="n">
        <v>97.2</v>
      </c>
      <c r="F3151" s="31" t="n">
        <v>48.6</v>
      </c>
      <c r="G3151" s="31" t="n">
        <v>42.4</v>
      </c>
      <c r="H3151" s="2" t="s">
        <v>671</v>
      </c>
    </row>
    <row r="3152" customFormat="false" ht="15" hidden="false" customHeight="false" outlineLevel="0" collapsed="false">
      <c r="A3152" s="2" t="s">
        <v>735</v>
      </c>
      <c r="B3152" s="2" t="s">
        <v>45</v>
      </c>
      <c r="C3152" s="2" t="s">
        <v>4087</v>
      </c>
      <c r="D3152" s="11" t="n">
        <v>539540</v>
      </c>
      <c r="E3152" s="31" t="n">
        <v>91</v>
      </c>
      <c r="F3152" s="31" t="n">
        <v>27.5</v>
      </c>
      <c r="G3152" s="31" t="n">
        <v>49.7</v>
      </c>
      <c r="H3152" s="2" t="s">
        <v>671</v>
      </c>
    </row>
    <row r="3153" customFormat="false" ht="15" hidden="false" customHeight="false" outlineLevel="0" collapsed="false">
      <c r="A3153" s="2" t="s">
        <v>735</v>
      </c>
      <c r="B3153" s="2" t="s">
        <v>46</v>
      </c>
      <c r="C3153" s="2" t="s">
        <v>4085</v>
      </c>
      <c r="D3153" s="11" t="n">
        <v>2143770</v>
      </c>
      <c r="E3153" s="31" t="n">
        <v>13.9</v>
      </c>
      <c r="F3153" s="2"/>
      <c r="G3153" s="31" t="n">
        <v>28.8</v>
      </c>
      <c r="H3153" s="2" t="s">
        <v>668</v>
      </c>
    </row>
    <row r="3154" customFormat="false" ht="15" hidden="false" customHeight="false" outlineLevel="0" collapsed="false">
      <c r="A3154" s="2" t="s">
        <v>735</v>
      </c>
      <c r="B3154" s="2" t="s">
        <v>46</v>
      </c>
      <c r="C3154" s="2" t="s">
        <v>4086</v>
      </c>
      <c r="D3154" s="11" t="n">
        <v>2308620</v>
      </c>
      <c r="E3154" s="31" t="n">
        <v>8.6</v>
      </c>
      <c r="F3154" s="31" t="n">
        <v>91.7</v>
      </c>
      <c r="G3154" s="2"/>
      <c r="H3154" s="2" t="s">
        <v>668</v>
      </c>
    </row>
    <row r="3155" customFormat="false" ht="15" hidden="false" customHeight="false" outlineLevel="0" collapsed="false">
      <c r="A3155" s="2" t="s">
        <v>735</v>
      </c>
      <c r="B3155" s="2" t="s">
        <v>46</v>
      </c>
      <c r="C3155" s="2" t="s">
        <v>4087</v>
      </c>
      <c r="D3155" s="11" t="n">
        <v>2368864</v>
      </c>
      <c r="E3155" s="31" t="n">
        <v>15.6</v>
      </c>
      <c r="F3155" s="31" t="n">
        <v>75</v>
      </c>
      <c r="G3155" s="2"/>
      <c r="H3155" s="2" t="s">
        <v>668</v>
      </c>
    </row>
    <row r="3156" customFormat="false" ht="15" hidden="false" customHeight="false" outlineLevel="0" collapsed="false">
      <c r="A3156" s="2" t="s">
        <v>735</v>
      </c>
      <c r="B3156" s="2" t="s">
        <v>47</v>
      </c>
      <c r="C3156" s="2" t="s">
        <v>4085</v>
      </c>
      <c r="D3156" s="11" t="n">
        <v>218628</v>
      </c>
      <c r="E3156" s="31" t="n">
        <v>96.5</v>
      </c>
      <c r="F3156" s="31" t="n">
        <v>44.4</v>
      </c>
      <c r="G3156" s="31" t="n">
        <v>15.2</v>
      </c>
      <c r="H3156" s="2" t="s">
        <v>671</v>
      </c>
    </row>
    <row r="3157" customFormat="false" ht="15" hidden="false" customHeight="false" outlineLevel="0" collapsed="false">
      <c r="A3157" s="2" t="s">
        <v>735</v>
      </c>
      <c r="B3157" s="2" t="s">
        <v>47</v>
      </c>
      <c r="C3157" s="2" t="s">
        <v>4086</v>
      </c>
      <c r="D3157" s="11" t="n">
        <v>223568</v>
      </c>
      <c r="E3157" s="31" t="n">
        <v>88</v>
      </c>
      <c r="F3157" s="31" t="n">
        <v>39.1</v>
      </c>
      <c r="G3157" s="31" t="n">
        <v>23.3</v>
      </c>
      <c r="H3157" s="2" t="s">
        <v>671</v>
      </c>
    </row>
    <row r="3158" customFormat="false" ht="15" hidden="false" customHeight="false" outlineLevel="0" collapsed="false">
      <c r="A3158" s="2" t="s">
        <v>735</v>
      </c>
      <c r="B3158" s="2" t="s">
        <v>47</v>
      </c>
      <c r="C3158" s="2" t="s">
        <v>4087</v>
      </c>
      <c r="D3158" s="11" t="n">
        <v>237384</v>
      </c>
      <c r="E3158" s="31" t="n">
        <v>96.4</v>
      </c>
      <c r="F3158" s="31" t="n">
        <v>78.3</v>
      </c>
      <c r="G3158" s="31" t="n">
        <v>2.1</v>
      </c>
      <c r="H3158" s="2" t="s">
        <v>671</v>
      </c>
    </row>
    <row r="3159" customFormat="false" ht="15" hidden="false" customHeight="false" outlineLevel="0" collapsed="false">
      <c r="A3159" s="2" t="s">
        <v>372</v>
      </c>
      <c r="B3159" s="2" t="s">
        <v>4104</v>
      </c>
      <c r="C3159" s="2" t="s">
        <v>4085</v>
      </c>
      <c r="D3159" s="2"/>
      <c r="E3159" s="31" t="n">
        <v>22.7</v>
      </c>
      <c r="F3159" s="31" t="n">
        <v>25.6</v>
      </c>
      <c r="G3159" s="2"/>
      <c r="H3159" s="2" t="s">
        <v>668</v>
      </c>
    </row>
    <row r="3160" customFormat="false" ht="15" hidden="false" customHeight="false" outlineLevel="0" collapsed="false">
      <c r="A3160" s="2" t="s">
        <v>372</v>
      </c>
      <c r="B3160" s="2" t="s">
        <v>4104</v>
      </c>
      <c r="C3160" s="2" t="s">
        <v>4086</v>
      </c>
      <c r="D3160" s="2"/>
      <c r="E3160" s="31" t="n">
        <v>48.4</v>
      </c>
      <c r="F3160" s="31" t="n">
        <v>50</v>
      </c>
      <c r="G3160" s="31" t="n">
        <v>57.2</v>
      </c>
      <c r="H3160" s="2" t="s">
        <v>671</v>
      </c>
    </row>
    <row r="3161" customFormat="false" ht="15" hidden="false" customHeight="false" outlineLevel="0" collapsed="false">
      <c r="A3161" s="2" t="s">
        <v>372</v>
      </c>
      <c r="B3161" s="2" t="s">
        <v>4104</v>
      </c>
      <c r="C3161" s="2" t="s">
        <v>4087</v>
      </c>
      <c r="D3161" s="2"/>
      <c r="E3161" s="31" t="n">
        <v>49.2</v>
      </c>
      <c r="F3161" s="31" t="n">
        <v>55.6</v>
      </c>
      <c r="G3161" s="31" t="n">
        <v>48.8</v>
      </c>
      <c r="H3161" s="2" t="s">
        <v>671</v>
      </c>
    </row>
    <row r="3162" customFormat="false" ht="15" hidden="false" customHeight="false" outlineLevel="0" collapsed="false">
      <c r="A3162" s="2" t="s">
        <v>372</v>
      </c>
      <c r="B3162" s="2" t="s">
        <v>45</v>
      </c>
      <c r="C3162" s="2" t="s">
        <v>4085</v>
      </c>
      <c r="D3162" s="2"/>
      <c r="E3162" s="2"/>
      <c r="F3162" s="2"/>
      <c r="G3162" s="2"/>
      <c r="H3162" s="2" t="s">
        <v>668</v>
      </c>
    </row>
    <row r="3163" customFormat="false" ht="15" hidden="false" customHeight="false" outlineLevel="0" collapsed="false">
      <c r="A3163" s="2" t="s">
        <v>372</v>
      </c>
      <c r="B3163" s="2" t="s">
        <v>45</v>
      </c>
      <c r="C3163" s="2" t="s">
        <v>4086</v>
      </c>
      <c r="D3163" s="11" t="n">
        <v>9980</v>
      </c>
      <c r="E3163" s="31" t="n">
        <v>38.2</v>
      </c>
      <c r="F3163" s="31" t="n">
        <v>88.7</v>
      </c>
      <c r="G3163" s="31" t="n">
        <v>92.1</v>
      </c>
      <c r="H3163" s="2" t="s">
        <v>671</v>
      </c>
    </row>
    <row r="3164" customFormat="false" ht="15" hidden="false" customHeight="false" outlineLevel="0" collapsed="false">
      <c r="A3164" s="2" t="s">
        <v>372</v>
      </c>
      <c r="B3164" s="2" t="s">
        <v>45</v>
      </c>
      <c r="C3164" s="2" t="s">
        <v>4087</v>
      </c>
      <c r="D3164" s="11" t="n">
        <v>10484</v>
      </c>
      <c r="E3164" s="31" t="n">
        <v>47.2</v>
      </c>
      <c r="F3164" s="31" t="n">
        <v>88.5</v>
      </c>
      <c r="G3164" s="31" t="n">
        <v>79.8</v>
      </c>
      <c r="H3164" s="2" t="s">
        <v>671</v>
      </c>
    </row>
    <row r="3165" customFormat="false" ht="15" hidden="false" customHeight="false" outlineLevel="0" collapsed="false">
      <c r="A3165" s="2" t="s">
        <v>372</v>
      </c>
      <c r="B3165" s="2" t="s">
        <v>47</v>
      </c>
      <c r="C3165" s="2" t="s">
        <v>4085</v>
      </c>
      <c r="D3165" s="11" t="n">
        <v>8204</v>
      </c>
      <c r="E3165" s="31" t="n">
        <v>22.7</v>
      </c>
      <c r="F3165" s="31" t="n">
        <v>25.6</v>
      </c>
      <c r="G3165" s="2"/>
      <c r="H3165" s="2" t="s">
        <v>668</v>
      </c>
    </row>
    <row r="3166" customFormat="false" ht="15" hidden="false" customHeight="false" outlineLevel="0" collapsed="false">
      <c r="A3166" s="2" t="s">
        <v>372</v>
      </c>
      <c r="B3166" s="2" t="s">
        <v>47</v>
      </c>
      <c r="C3166" s="2" t="s">
        <v>4086</v>
      </c>
      <c r="D3166" s="11" t="n">
        <v>8456</v>
      </c>
      <c r="E3166" s="31" t="n">
        <v>58.6</v>
      </c>
      <c r="F3166" s="31" t="n">
        <v>11.2</v>
      </c>
      <c r="G3166" s="31" t="n">
        <v>22.2</v>
      </c>
      <c r="H3166" s="2" t="s">
        <v>671</v>
      </c>
    </row>
    <row r="3167" customFormat="false" ht="15" hidden="false" customHeight="false" outlineLevel="0" collapsed="false">
      <c r="A3167" s="2" t="s">
        <v>372</v>
      </c>
      <c r="B3167" s="2" t="s">
        <v>47</v>
      </c>
      <c r="C3167" s="2" t="s">
        <v>4087</v>
      </c>
      <c r="D3167" s="11" t="n">
        <v>8488</v>
      </c>
      <c r="E3167" s="31" t="n">
        <v>51.3</v>
      </c>
      <c r="F3167" s="31" t="n">
        <v>22.7</v>
      </c>
      <c r="G3167" s="31" t="n">
        <v>17.7</v>
      </c>
      <c r="H3167" s="2" t="s">
        <v>671</v>
      </c>
    </row>
    <row r="3168" customFormat="false" ht="15" hidden="false" customHeight="false" outlineLevel="0" collapsed="false">
      <c r="A3168" s="2" t="s">
        <v>2890</v>
      </c>
      <c r="B3168" s="2" t="s">
        <v>4104</v>
      </c>
      <c r="C3168" s="2" t="s">
        <v>4085</v>
      </c>
      <c r="D3168" s="2"/>
      <c r="E3168" s="31" t="n">
        <v>61.2</v>
      </c>
      <c r="F3168" s="31" t="n">
        <v>22.3</v>
      </c>
      <c r="G3168" s="31" t="n">
        <v>62.3</v>
      </c>
      <c r="H3168" s="2" t="s">
        <v>668</v>
      </c>
    </row>
    <row r="3169" customFormat="false" ht="15" hidden="false" customHeight="false" outlineLevel="0" collapsed="false">
      <c r="A3169" s="2" t="s">
        <v>2890</v>
      </c>
      <c r="B3169" s="2" t="s">
        <v>4104</v>
      </c>
      <c r="C3169" s="2" t="s">
        <v>4086</v>
      </c>
      <c r="D3169" s="2"/>
      <c r="E3169" s="31" t="n">
        <v>70</v>
      </c>
      <c r="F3169" s="31" t="n">
        <v>21</v>
      </c>
      <c r="G3169" s="31" t="n">
        <v>70.8</v>
      </c>
      <c r="H3169" s="2" t="s">
        <v>671</v>
      </c>
    </row>
    <row r="3170" customFormat="false" ht="15" hidden="false" customHeight="false" outlineLevel="0" collapsed="false">
      <c r="A3170" s="2" t="s">
        <v>2890</v>
      </c>
      <c r="B3170" s="2" t="s">
        <v>4104</v>
      </c>
      <c r="C3170" s="2" t="s">
        <v>4087</v>
      </c>
      <c r="D3170" s="2"/>
      <c r="E3170" s="31" t="n">
        <v>99.2</v>
      </c>
      <c r="F3170" s="31" t="n">
        <v>25.5</v>
      </c>
      <c r="G3170" s="2"/>
      <c r="H3170" s="2" t="s">
        <v>668</v>
      </c>
    </row>
    <row r="3171" customFormat="false" ht="15" hidden="false" customHeight="false" outlineLevel="0" collapsed="false">
      <c r="A3171" s="2" t="s">
        <v>2890</v>
      </c>
      <c r="B3171" s="2" t="s">
        <v>45</v>
      </c>
      <c r="C3171" s="2" t="s">
        <v>4085</v>
      </c>
      <c r="D3171" s="2"/>
      <c r="E3171" s="2"/>
      <c r="F3171" s="2"/>
      <c r="G3171" s="2"/>
      <c r="H3171" s="2" t="s">
        <v>668</v>
      </c>
    </row>
    <row r="3172" customFormat="false" ht="15" hidden="false" customHeight="false" outlineLevel="0" collapsed="false">
      <c r="A3172" s="2" t="s">
        <v>2890</v>
      </c>
      <c r="B3172" s="2" t="s">
        <v>45</v>
      </c>
      <c r="C3172" s="2" t="s">
        <v>4086</v>
      </c>
      <c r="D3172" s="11" t="n">
        <v>71860</v>
      </c>
      <c r="E3172" s="31" t="n">
        <v>97</v>
      </c>
      <c r="F3172" s="31" t="n">
        <v>26.5</v>
      </c>
      <c r="G3172" s="31" t="n">
        <v>96</v>
      </c>
      <c r="H3172" s="2" t="s">
        <v>671</v>
      </c>
    </row>
    <row r="3173" customFormat="false" ht="15" hidden="false" customHeight="false" outlineLevel="0" collapsed="false">
      <c r="A3173" s="2" t="s">
        <v>2890</v>
      </c>
      <c r="B3173" s="2" t="s">
        <v>45</v>
      </c>
      <c r="C3173" s="2" t="s">
        <v>4087</v>
      </c>
      <c r="D3173" s="2"/>
      <c r="E3173" s="2"/>
      <c r="F3173" s="2"/>
      <c r="G3173" s="2"/>
      <c r="H3173" s="2" t="s">
        <v>668</v>
      </c>
    </row>
    <row r="3174" customFormat="false" ht="15" hidden="false" customHeight="false" outlineLevel="0" collapsed="false">
      <c r="A3174" s="2" t="s">
        <v>2890</v>
      </c>
      <c r="B3174" s="2" t="s">
        <v>46</v>
      </c>
      <c r="C3174" s="2" t="s">
        <v>4085</v>
      </c>
      <c r="D3174" s="11" t="n">
        <v>250130</v>
      </c>
      <c r="E3174" s="31" t="n">
        <v>22.7</v>
      </c>
      <c r="F3174" s="31" t="n">
        <v>10.3</v>
      </c>
      <c r="G3174" s="2"/>
      <c r="H3174" s="2" t="s">
        <v>668</v>
      </c>
    </row>
    <row r="3175" customFormat="false" ht="15" hidden="false" customHeight="false" outlineLevel="0" collapsed="false">
      <c r="A3175" s="2" t="s">
        <v>2890</v>
      </c>
      <c r="B3175" s="2" t="s">
        <v>46</v>
      </c>
      <c r="C3175" s="2" t="s">
        <v>4086</v>
      </c>
      <c r="D3175" s="11" t="n">
        <v>261820</v>
      </c>
      <c r="E3175" s="31" t="n">
        <v>13.6</v>
      </c>
      <c r="F3175" s="31" t="n">
        <v>10.2</v>
      </c>
      <c r="G3175" s="31" t="n">
        <v>49</v>
      </c>
      <c r="H3175" s="2" t="s">
        <v>671</v>
      </c>
    </row>
    <row r="3176" customFormat="false" ht="15" hidden="false" customHeight="false" outlineLevel="0" collapsed="false">
      <c r="A3176" s="2" t="s">
        <v>2890</v>
      </c>
      <c r="B3176" s="2" t="s">
        <v>46</v>
      </c>
      <c r="C3176" s="2" t="s">
        <v>4087</v>
      </c>
      <c r="D3176" s="2"/>
      <c r="E3176" s="2"/>
      <c r="F3176" s="2"/>
      <c r="G3176" s="2"/>
      <c r="H3176" s="2" t="s">
        <v>668</v>
      </c>
    </row>
    <row r="3177" customFormat="false" ht="15" hidden="false" customHeight="false" outlineLevel="0" collapsed="false">
      <c r="A3177" s="2" t="s">
        <v>2890</v>
      </c>
      <c r="B3177" s="2" t="s">
        <v>47</v>
      </c>
      <c r="C3177" s="2" t="s">
        <v>4085</v>
      </c>
      <c r="D3177" s="11" t="n">
        <v>83655</v>
      </c>
      <c r="E3177" s="31" t="n">
        <v>99.7</v>
      </c>
      <c r="F3177" s="31" t="n">
        <v>34.3</v>
      </c>
      <c r="G3177" s="31" t="n">
        <v>62.3</v>
      </c>
      <c r="H3177" s="2" t="s">
        <v>671</v>
      </c>
    </row>
    <row r="3178" customFormat="false" ht="15" hidden="false" customHeight="false" outlineLevel="0" collapsed="false">
      <c r="A3178" s="2" t="s">
        <v>2890</v>
      </c>
      <c r="B3178" s="2" t="s">
        <v>47</v>
      </c>
      <c r="C3178" s="2" t="s">
        <v>4086</v>
      </c>
      <c r="D3178" s="11" t="n">
        <v>89220</v>
      </c>
      <c r="E3178" s="31" t="n">
        <v>99.3</v>
      </c>
      <c r="F3178" s="31" t="n">
        <v>26.3</v>
      </c>
      <c r="G3178" s="31" t="n">
        <v>67.4</v>
      </c>
      <c r="H3178" s="2" t="s">
        <v>671</v>
      </c>
    </row>
    <row r="3179" customFormat="false" ht="15" hidden="false" customHeight="false" outlineLevel="0" collapsed="false">
      <c r="A3179" s="2" t="s">
        <v>2890</v>
      </c>
      <c r="B3179" s="2" t="s">
        <v>47</v>
      </c>
      <c r="C3179" s="2" t="s">
        <v>4087</v>
      </c>
      <c r="D3179" s="11" t="n">
        <v>91030</v>
      </c>
      <c r="E3179" s="31" t="n">
        <v>99.2</v>
      </c>
      <c r="F3179" s="31" t="n">
        <v>25.5</v>
      </c>
      <c r="G3179" s="2"/>
      <c r="H3179" s="2" t="s">
        <v>668</v>
      </c>
    </row>
    <row r="3180" customFormat="false" ht="15" hidden="false" customHeight="false" outlineLevel="0" collapsed="false">
      <c r="A3180" s="2" t="s">
        <v>550</v>
      </c>
      <c r="B3180" s="2" t="s">
        <v>4104</v>
      </c>
      <c r="C3180" s="2" t="s">
        <v>4087</v>
      </c>
      <c r="D3180" s="2"/>
      <c r="E3180" s="31" t="n">
        <v>30</v>
      </c>
      <c r="F3180" s="31" t="n">
        <v>46.4</v>
      </c>
      <c r="G3180" s="31" t="n">
        <v>80.6</v>
      </c>
      <c r="H3180" s="2" t="s">
        <v>671</v>
      </c>
    </row>
    <row r="3181" customFormat="false" ht="15" hidden="false" customHeight="false" outlineLevel="0" collapsed="false">
      <c r="A3181" s="2" t="s">
        <v>550</v>
      </c>
      <c r="B3181" s="2" t="s">
        <v>45</v>
      </c>
      <c r="C3181" s="2" t="s">
        <v>4087</v>
      </c>
      <c r="D3181" s="11" t="n">
        <v>116090</v>
      </c>
      <c r="E3181" s="31" t="n">
        <v>34</v>
      </c>
      <c r="F3181" s="31" t="n">
        <v>30.4</v>
      </c>
      <c r="G3181" s="31" t="n">
        <v>90.9</v>
      </c>
      <c r="H3181" s="2" t="s">
        <v>671</v>
      </c>
    </row>
    <row r="3182" customFormat="false" ht="15" hidden="false" customHeight="false" outlineLevel="0" collapsed="false">
      <c r="A3182" s="2" t="s">
        <v>550</v>
      </c>
      <c r="B3182" s="2" t="s">
        <v>46</v>
      </c>
      <c r="C3182" s="2" t="s">
        <v>4087</v>
      </c>
      <c r="D3182" s="11" t="n">
        <v>75280</v>
      </c>
      <c r="E3182" s="31" t="n">
        <v>21.1</v>
      </c>
      <c r="F3182" s="31" t="n">
        <v>78</v>
      </c>
      <c r="G3182" s="31" t="n">
        <v>87.8</v>
      </c>
      <c r="H3182" s="2" t="s">
        <v>671</v>
      </c>
    </row>
    <row r="3183" customFormat="false" ht="15" hidden="false" customHeight="false" outlineLevel="0" collapsed="false">
      <c r="A3183" s="2" t="s">
        <v>550</v>
      </c>
      <c r="B3183" s="2" t="s">
        <v>47</v>
      </c>
      <c r="C3183" s="2" t="s">
        <v>4087</v>
      </c>
      <c r="D3183" s="11" t="n">
        <v>276997</v>
      </c>
      <c r="E3183" s="31" t="n">
        <v>34.8</v>
      </c>
      <c r="F3183" s="31" t="n">
        <v>30.7</v>
      </c>
      <c r="G3183" s="31" t="n">
        <v>63.2</v>
      </c>
      <c r="H3183" s="2" t="s">
        <v>671</v>
      </c>
    </row>
    <row r="3184" customFormat="false" ht="15" hidden="false" customHeight="false" outlineLevel="0" collapsed="false">
      <c r="A3184" s="2" t="s">
        <v>979</v>
      </c>
      <c r="B3184" s="2" t="s">
        <v>4104</v>
      </c>
      <c r="C3184" s="2" t="s">
        <v>4085</v>
      </c>
      <c r="D3184" s="2"/>
      <c r="E3184" s="31" t="n">
        <v>57.5</v>
      </c>
      <c r="F3184" s="31" t="n">
        <v>51.6</v>
      </c>
      <c r="G3184" s="31" t="n">
        <v>38.8</v>
      </c>
      <c r="H3184" s="2" t="s">
        <v>668</v>
      </c>
    </row>
    <row r="3185" customFormat="false" ht="15" hidden="false" customHeight="false" outlineLevel="0" collapsed="false">
      <c r="A3185" s="2" t="s">
        <v>979</v>
      </c>
      <c r="B3185" s="2" t="s">
        <v>4104</v>
      </c>
      <c r="C3185" s="2" t="s">
        <v>4086</v>
      </c>
      <c r="D3185" s="2"/>
      <c r="E3185" s="31" t="n">
        <v>41</v>
      </c>
      <c r="F3185" s="31" t="n">
        <v>52.6</v>
      </c>
      <c r="G3185" s="31" t="n">
        <v>30</v>
      </c>
      <c r="H3185" s="2" t="s">
        <v>668</v>
      </c>
    </row>
    <row r="3186" customFormat="false" ht="15" hidden="false" customHeight="false" outlineLevel="0" collapsed="false">
      <c r="A3186" s="2" t="s">
        <v>979</v>
      </c>
      <c r="B3186" s="2" t="s">
        <v>4104</v>
      </c>
      <c r="C3186" s="2" t="s">
        <v>4087</v>
      </c>
      <c r="D3186" s="2"/>
      <c r="E3186" s="31" t="n">
        <v>55.1</v>
      </c>
      <c r="F3186" s="31" t="n">
        <v>58.7</v>
      </c>
      <c r="G3186" s="31" t="n">
        <v>54.4</v>
      </c>
      <c r="H3186" s="2" t="s">
        <v>668</v>
      </c>
    </row>
    <row r="3187" customFormat="false" ht="15" hidden="false" customHeight="false" outlineLevel="0" collapsed="false">
      <c r="A3187" s="2" t="s">
        <v>979</v>
      </c>
      <c r="B3187" s="2" t="s">
        <v>45</v>
      </c>
      <c r="C3187" s="2" t="s">
        <v>4085</v>
      </c>
      <c r="D3187" s="11" t="n">
        <v>227796</v>
      </c>
      <c r="E3187" s="31" t="n">
        <v>55.3</v>
      </c>
      <c r="F3187" s="31" t="n">
        <v>47.9</v>
      </c>
      <c r="G3187" s="31" t="n">
        <v>46.6</v>
      </c>
      <c r="H3187" s="2" t="s">
        <v>671</v>
      </c>
    </row>
    <row r="3188" customFormat="false" ht="15" hidden="false" customHeight="false" outlineLevel="0" collapsed="false">
      <c r="A3188" s="2" t="s">
        <v>979</v>
      </c>
      <c r="B3188" s="2" t="s">
        <v>45</v>
      </c>
      <c r="C3188" s="2" t="s">
        <v>4086</v>
      </c>
      <c r="D3188" s="2"/>
      <c r="E3188" s="2"/>
      <c r="F3188" s="2"/>
      <c r="G3188" s="2"/>
      <c r="H3188" s="2" t="s">
        <v>668</v>
      </c>
    </row>
    <row r="3189" customFormat="false" ht="15" hidden="false" customHeight="false" outlineLevel="0" collapsed="false">
      <c r="A3189" s="2" t="s">
        <v>979</v>
      </c>
      <c r="B3189" s="2" t="s">
        <v>45</v>
      </c>
      <c r="C3189" s="2" t="s">
        <v>4087</v>
      </c>
      <c r="D3189" s="11" t="n">
        <v>242652</v>
      </c>
      <c r="E3189" s="31" t="n">
        <v>57.9</v>
      </c>
      <c r="F3189" s="31" t="n">
        <v>49.3</v>
      </c>
      <c r="G3189" s="31" t="n">
        <v>78.5</v>
      </c>
      <c r="H3189" s="2" t="s">
        <v>671</v>
      </c>
    </row>
    <row r="3190" customFormat="false" ht="15" hidden="false" customHeight="false" outlineLevel="0" collapsed="false">
      <c r="A3190" s="2" t="s">
        <v>979</v>
      </c>
      <c r="B3190" s="2" t="s">
        <v>46</v>
      </c>
      <c r="C3190" s="2" t="s">
        <v>4085</v>
      </c>
      <c r="D3190" s="2"/>
      <c r="E3190" s="2"/>
      <c r="F3190" s="2"/>
      <c r="G3190" s="2"/>
      <c r="H3190" s="2" t="s">
        <v>668</v>
      </c>
    </row>
    <row r="3191" customFormat="false" ht="15" hidden="false" customHeight="false" outlineLevel="0" collapsed="false">
      <c r="A3191" s="2" t="s">
        <v>979</v>
      </c>
      <c r="B3191" s="2" t="s">
        <v>46</v>
      </c>
      <c r="C3191" s="2" t="s">
        <v>4086</v>
      </c>
      <c r="D3191" s="11" t="n">
        <v>170433</v>
      </c>
      <c r="E3191" s="31" t="n">
        <v>14.5</v>
      </c>
      <c r="F3191" s="31" t="n">
        <v>61.8</v>
      </c>
      <c r="G3191" s="31" t="n">
        <v>41.3</v>
      </c>
      <c r="H3191" s="2" t="s">
        <v>671</v>
      </c>
    </row>
    <row r="3192" customFormat="false" ht="15" hidden="false" customHeight="false" outlineLevel="0" collapsed="false">
      <c r="A3192" s="2" t="s">
        <v>979</v>
      </c>
      <c r="B3192" s="2" t="s">
        <v>46</v>
      </c>
      <c r="C3192" s="2" t="s">
        <v>4087</v>
      </c>
      <c r="D3192" s="2"/>
      <c r="E3192" s="2"/>
      <c r="F3192" s="2"/>
      <c r="G3192" s="2"/>
      <c r="H3192" s="2" t="s">
        <v>668</v>
      </c>
    </row>
    <row r="3193" customFormat="false" ht="15" hidden="false" customHeight="false" outlineLevel="0" collapsed="false">
      <c r="A3193" s="2" t="s">
        <v>979</v>
      </c>
      <c r="B3193" s="2" t="s">
        <v>47</v>
      </c>
      <c r="C3193" s="2" t="s">
        <v>4085</v>
      </c>
      <c r="D3193" s="11" t="n">
        <v>20505</v>
      </c>
      <c r="E3193" s="31" t="n">
        <v>59.7</v>
      </c>
      <c r="F3193" s="31" t="n">
        <v>55.2</v>
      </c>
      <c r="G3193" s="31" t="n">
        <v>31</v>
      </c>
      <c r="H3193" s="2" t="s">
        <v>668</v>
      </c>
    </row>
    <row r="3194" customFormat="false" ht="15" hidden="false" customHeight="false" outlineLevel="0" collapsed="false">
      <c r="A3194" s="2" t="s">
        <v>979</v>
      </c>
      <c r="B3194" s="2" t="s">
        <v>47</v>
      </c>
      <c r="C3194" s="2" t="s">
        <v>4086</v>
      </c>
      <c r="D3194" s="11" t="n">
        <v>21390</v>
      </c>
      <c r="E3194" s="31" t="n">
        <v>67.5</v>
      </c>
      <c r="F3194" s="31" t="n">
        <v>43.5</v>
      </c>
      <c r="G3194" s="31" t="n">
        <v>18.6</v>
      </c>
      <c r="H3194" s="2" t="s">
        <v>671</v>
      </c>
    </row>
    <row r="3195" customFormat="false" ht="15" hidden="false" customHeight="false" outlineLevel="0" collapsed="false">
      <c r="A3195" s="2" t="s">
        <v>979</v>
      </c>
      <c r="B3195" s="2" t="s">
        <v>47</v>
      </c>
      <c r="C3195" s="2" t="s">
        <v>4087</v>
      </c>
      <c r="D3195" s="11" t="n">
        <v>22547</v>
      </c>
      <c r="E3195" s="31" t="n">
        <v>52.3</v>
      </c>
      <c r="F3195" s="31" t="n">
        <v>68.1</v>
      </c>
      <c r="G3195" s="31" t="n">
        <v>30.3</v>
      </c>
      <c r="H3195" s="2" t="s">
        <v>671</v>
      </c>
    </row>
    <row r="3196" customFormat="false" ht="15" hidden="false" customHeight="false" outlineLevel="0" collapsed="false">
      <c r="A3196" s="2" t="s">
        <v>1846</v>
      </c>
      <c r="B3196" s="2" t="s">
        <v>4104</v>
      </c>
      <c r="C3196" s="2" t="s">
        <v>4085</v>
      </c>
      <c r="D3196" s="2"/>
      <c r="E3196" s="31" t="n">
        <v>23.4</v>
      </c>
      <c r="F3196" s="31" t="n">
        <v>64.6</v>
      </c>
      <c r="G3196" s="31" t="n">
        <v>42.6</v>
      </c>
      <c r="H3196" s="2" t="s">
        <v>668</v>
      </c>
    </row>
    <row r="3197" customFormat="false" ht="15" hidden="false" customHeight="false" outlineLevel="0" collapsed="false">
      <c r="A3197" s="2" t="s">
        <v>1846</v>
      </c>
      <c r="B3197" s="2" t="s">
        <v>4104</v>
      </c>
      <c r="C3197" s="2" t="s">
        <v>4086</v>
      </c>
      <c r="D3197" s="2"/>
      <c r="E3197" s="31" t="n">
        <v>28.6</v>
      </c>
      <c r="F3197" s="31" t="n">
        <v>80.4</v>
      </c>
      <c r="G3197" s="31" t="n">
        <v>39</v>
      </c>
      <c r="H3197" s="2" t="s">
        <v>668</v>
      </c>
    </row>
    <row r="3198" customFormat="false" ht="15" hidden="false" customHeight="false" outlineLevel="0" collapsed="false">
      <c r="A3198" s="2" t="s">
        <v>1846</v>
      </c>
      <c r="B3198" s="2" t="s">
        <v>4104</v>
      </c>
      <c r="C3198" s="2" t="s">
        <v>4087</v>
      </c>
      <c r="D3198" s="2"/>
      <c r="E3198" s="31" t="n">
        <v>32.7</v>
      </c>
      <c r="F3198" s="31" t="n">
        <v>75</v>
      </c>
      <c r="G3198" s="31" t="n">
        <v>54.8</v>
      </c>
      <c r="H3198" s="2" t="s">
        <v>668</v>
      </c>
    </row>
    <row r="3199" customFormat="false" ht="15" hidden="false" customHeight="false" outlineLevel="0" collapsed="false">
      <c r="A3199" s="2" t="s">
        <v>1846</v>
      </c>
      <c r="B3199" s="2" t="s">
        <v>45</v>
      </c>
      <c r="C3199" s="2" t="s">
        <v>4085</v>
      </c>
      <c r="D3199" s="2"/>
      <c r="E3199" s="2"/>
      <c r="F3199" s="2"/>
      <c r="G3199" s="2"/>
      <c r="H3199" s="2" t="s">
        <v>668</v>
      </c>
    </row>
    <row r="3200" customFormat="false" ht="15" hidden="false" customHeight="false" outlineLevel="0" collapsed="false">
      <c r="A3200" s="2" t="s">
        <v>1846</v>
      </c>
      <c r="B3200" s="2" t="s">
        <v>45</v>
      </c>
      <c r="C3200" s="2" t="s">
        <v>4086</v>
      </c>
      <c r="D3200" s="11" t="n">
        <v>3045</v>
      </c>
      <c r="E3200" s="31" t="n">
        <v>35</v>
      </c>
      <c r="F3200" s="31" t="n">
        <v>100</v>
      </c>
      <c r="G3200" s="31" t="n">
        <v>61.1</v>
      </c>
      <c r="H3200" s="2" t="s">
        <v>671</v>
      </c>
    </row>
    <row r="3201" customFormat="false" ht="15" hidden="false" customHeight="false" outlineLevel="0" collapsed="false">
      <c r="A3201" s="2" t="s">
        <v>1846</v>
      </c>
      <c r="B3201" s="2" t="s">
        <v>45</v>
      </c>
      <c r="C3201" s="2" t="s">
        <v>4087</v>
      </c>
      <c r="D3201" s="11" t="n">
        <v>3350</v>
      </c>
      <c r="E3201" s="31" t="n">
        <v>58.5</v>
      </c>
      <c r="F3201" s="31" t="n">
        <v>100</v>
      </c>
      <c r="G3201" s="2"/>
      <c r="H3201" s="2" t="s">
        <v>668</v>
      </c>
    </row>
    <row r="3202" customFormat="false" ht="15" hidden="false" customHeight="false" outlineLevel="0" collapsed="false">
      <c r="A3202" s="2" t="s">
        <v>1846</v>
      </c>
      <c r="B3202" s="2" t="s">
        <v>46</v>
      </c>
      <c r="C3202" s="2" t="s">
        <v>4085</v>
      </c>
      <c r="D3202" s="11" t="n">
        <v>276130</v>
      </c>
      <c r="E3202" s="31" t="n">
        <v>28.4</v>
      </c>
      <c r="F3202" s="31" t="n">
        <v>72.4</v>
      </c>
      <c r="G3202" s="31" t="n">
        <v>73.1</v>
      </c>
      <c r="H3202" s="2" t="s">
        <v>671</v>
      </c>
    </row>
    <row r="3203" customFormat="false" ht="15" hidden="false" customHeight="false" outlineLevel="0" collapsed="false">
      <c r="A3203" s="2" t="s">
        <v>1846</v>
      </c>
      <c r="B3203" s="2" t="s">
        <v>46</v>
      </c>
      <c r="C3203" s="2" t="s">
        <v>4086</v>
      </c>
      <c r="D3203" s="2"/>
      <c r="E3203" s="2"/>
      <c r="F3203" s="2"/>
      <c r="G3203" s="2"/>
      <c r="H3203" s="2" t="s">
        <v>668</v>
      </c>
    </row>
    <row r="3204" customFormat="false" ht="15" hidden="false" customHeight="false" outlineLevel="0" collapsed="false">
      <c r="A3204" s="2" t="s">
        <v>1846</v>
      </c>
      <c r="B3204" s="2" t="s">
        <v>46</v>
      </c>
      <c r="C3204" s="2" t="s">
        <v>4087</v>
      </c>
      <c r="D3204" s="11" t="n">
        <v>301450</v>
      </c>
      <c r="E3204" s="31" t="n">
        <v>21.6</v>
      </c>
      <c r="F3204" s="31" t="n">
        <v>89.4</v>
      </c>
      <c r="G3204" s="31" t="n">
        <v>86.5</v>
      </c>
      <c r="H3204" s="2" t="s">
        <v>671</v>
      </c>
    </row>
    <row r="3205" customFormat="false" ht="15" hidden="false" customHeight="false" outlineLevel="0" collapsed="false">
      <c r="A3205" s="2" t="s">
        <v>1846</v>
      </c>
      <c r="B3205" s="2" t="s">
        <v>47</v>
      </c>
      <c r="C3205" s="2" t="s">
        <v>4085</v>
      </c>
      <c r="D3205" s="11" t="n">
        <v>112010</v>
      </c>
      <c r="E3205" s="31" t="n">
        <v>18.5</v>
      </c>
      <c r="F3205" s="31" t="n">
        <v>56.8</v>
      </c>
      <c r="G3205" s="31" t="n">
        <v>12.2</v>
      </c>
      <c r="H3205" s="2" t="s">
        <v>671</v>
      </c>
    </row>
    <row r="3206" customFormat="false" ht="15" hidden="false" customHeight="false" outlineLevel="0" collapsed="false">
      <c r="A3206" s="2" t="s">
        <v>1846</v>
      </c>
      <c r="B3206" s="2" t="s">
        <v>47</v>
      </c>
      <c r="C3206" s="2" t="s">
        <v>4086</v>
      </c>
      <c r="D3206" s="11" t="n">
        <v>112866</v>
      </c>
      <c r="E3206" s="31" t="n">
        <v>22.2</v>
      </c>
      <c r="F3206" s="31" t="n">
        <v>60.9</v>
      </c>
      <c r="G3206" s="31" t="n">
        <v>17</v>
      </c>
      <c r="H3206" s="2" t="s">
        <v>671</v>
      </c>
    </row>
    <row r="3207" customFormat="false" ht="15" hidden="false" customHeight="false" outlineLevel="0" collapsed="false">
      <c r="A3207" s="2" t="s">
        <v>1846</v>
      </c>
      <c r="B3207" s="2" t="s">
        <v>47</v>
      </c>
      <c r="C3207" s="2" t="s">
        <v>4087</v>
      </c>
      <c r="D3207" s="11" t="n">
        <v>115950</v>
      </c>
      <c r="E3207" s="31" t="n">
        <v>18.1</v>
      </c>
      <c r="F3207" s="31" t="n">
        <v>35.5</v>
      </c>
      <c r="G3207" s="31" t="n">
        <v>23</v>
      </c>
      <c r="H3207" s="2" t="s">
        <v>671</v>
      </c>
    </row>
    <row r="3208" customFormat="false" ht="15" hidden="false" customHeight="false" outlineLevel="0" collapsed="false">
      <c r="A3208" s="2" t="s">
        <v>676</v>
      </c>
      <c r="B3208" s="2" t="s">
        <v>4104</v>
      </c>
      <c r="C3208" s="2" t="s">
        <v>4085</v>
      </c>
      <c r="D3208" s="2"/>
      <c r="E3208" s="31" t="n">
        <v>52.5</v>
      </c>
      <c r="F3208" s="31" t="n">
        <v>41.4</v>
      </c>
      <c r="G3208" s="31" t="n">
        <v>38.2</v>
      </c>
      <c r="H3208" s="2" t="s">
        <v>668</v>
      </c>
    </row>
    <row r="3209" customFormat="false" ht="15" hidden="false" customHeight="false" outlineLevel="0" collapsed="false">
      <c r="A3209" s="2" t="s">
        <v>676</v>
      </c>
      <c r="B3209" s="2" t="s">
        <v>4104</v>
      </c>
      <c r="C3209" s="2" t="s">
        <v>4086</v>
      </c>
      <c r="D3209" s="2"/>
      <c r="E3209" s="31" t="n">
        <v>73.8</v>
      </c>
      <c r="F3209" s="31" t="n">
        <v>62</v>
      </c>
      <c r="G3209" s="31" t="n">
        <v>49.7</v>
      </c>
      <c r="H3209" s="2" t="s">
        <v>671</v>
      </c>
    </row>
    <row r="3210" customFormat="false" ht="15" hidden="false" customHeight="false" outlineLevel="0" collapsed="false">
      <c r="A3210" s="2" t="s">
        <v>676</v>
      </c>
      <c r="B3210" s="2" t="s">
        <v>4104</v>
      </c>
      <c r="C3210" s="2" t="s">
        <v>4087</v>
      </c>
      <c r="D3210" s="2"/>
      <c r="E3210" s="31" t="n">
        <v>56.3</v>
      </c>
      <c r="F3210" s="31" t="n">
        <v>31.4</v>
      </c>
      <c r="G3210" s="31" t="n">
        <v>52.5</v>
      </c>
      <c r="H3210" s="2" t="s">
        <v>668</v>
      </c>
    </row>
    <row r="3211" customFormat="false" ht="15" hidden="false" customHeight="false" outlineLevel="0" collapsed="false">
      <c r="A3211" s="2" t="s">
        <v>676</v>
      </c>
      <c r="B3211" s="2" t="s">
        <v>45</v>
      </c>
      <c r="C3211" s="2" t="s">
        <v>4085</v>
      </c>
      <c r="D3211" s="11" t="n">
        <v>7520</v>
      </c>
      <c r="E3211" s="31" t="n">
        <v>99.1</v>
      </c>
      <c r="F3211" s="2"/>
      <c r="G3211" s="2"/>
      <c r="H3211" s="2" t="s">
        <v>668</v>
      </c>
    </row>
    <row r="3212" customFormat="false" ht="15" hidden="false" customHeight="false" outlineLevel="0" collapsed="false">
      <c r="A3212" s="2" t="s">
        <v>676</v>
      </c>
      <c r="B3212" s="2" t="s">
        <v>45</v>
      </c>
      <c r="C3212" s="2" t="s">
        <v>4086</v>
      </c>
      <c r="D3212" s="11" t="n">
        <v>7490</v>
      </c>
      <c r="E3212" s="31" t="n">
        <v>99.6</v>
      </c>
      <c r="F3212" s="31" t="n">
        <v>53.5</v>
      </c>
      <c r="G3212" s="31" t="n">
        <v>39.9</v>
      </c>
      <c r="H3212" s="2" t="s">
        <v>671</v>
      </c>
    </row>
    <row r="3213" customFormat="false" ht="15" hidden="false" customHeight="false" outlineLevel="0" collapsed="false">
      <c r="A3213" s="2" t="s">
        <v>676</v>
      </c>
      <c r="B3213" s="2" t="s">
        <v>45</v>
      </c>
      <c r="C3213" s="2" t="s">
        <v>4087</v>
      </c>
      <c r="D3213" s="11" t="n">
        <v>8081</v>
      </c>
      <c r="E3213" s="31" t="n">
        <v>98.9</v>
      </c>
      <c r="F3213" s="31" t="n">
        <v>31.5</v>
      </c>
      <c r="G3213" s="31" t="n">
        <v>17.4</v>
      </c>
      <c r="H3213" s="2" t="s">
        <v>671</v>
      </c>
    </row>
    <row r="3214" customFormat="false" ht="15" hidden="false" customHeight="false" outlineLevel="0" collapsed="false">
      <c r="A3214" s="2" t="s">
        <v>676</v>
      </c>
      <c r="B3214" s="2" t="s">
        <v>46</v>
      </c>
      <c r="C3214" s="2" t="s">
        <v>4085</v>
      </c>
      <c r="D3214" s="11" t="n">
        <v>37550</v>
      </c>
      <c r="E3214" s="31" t="n">
        <v>53.6</v>
      </c>
      <c r="F3214" s="2"/>
      <c r="G3214" s="31" t="n">
        <v>15.3</v>
      </c>
      <c r="H3214" s="2" t="s">
        <v>668</v>
      </c>
    </row>
    <row r="3215" customFormat="false" ht="15" hidden="false" customHeight="false" outlineLevel="0" collapsed="false">
      <c r="A3215" s="2" t="s">
        <v>676</v>
      </c>
      <c r="B3215" s="2" t="s">
        <v>46</v>
      </c>
      <c r="C3215" s="2" t="s">
        <v>4086</v>
      </c>
      <c r="D3215" s="11" t="n">
        <v>38510</v>
      </c>
      <c r="E3215" s="31" t="n">
        <v>91</v>
      </c>
      <c r="F3215" s="31" t="n">
        <v>84</v>
      </c>
      <c r="G3215" s="31" t="n">
        <v>26.5</v>
      </c>
      <c r="H3215" s="2" t="s">
        <v>671</v>
      </c>
    </row>
    <row r="3216" customFormat="false" ht="15" hidden="false" customHeight="false" outlineLevel="0" collapsed="false">
      <c r="A3216" s="2" t="s">
        <v>676</v>
      </c>
      <c r="B3216" s="2" t="s">
        <v>46</v>
      </c>
      <c r="C3216" s="2" t="s">
        <v>4087</v>
      </c>
      <c r="D3216" s="2"/>
      <c r="E3216" s="2"/>
      <c r="F3216" s="2"/>
      <c r="G3216" s="2"/>
      <c r="H3216" s="2" t="s">
        <v>668</v>
      </c>
    </row>
    <row r="3217" customFormat="false" ht="15" hidden="false" customHeight="false" outlineLevel="0" collapsed="false">
      <c r="A3217" s="2" t="s">
        <v>676</v>
      </c>
      <c r="B3217" s="2" t="s">
        <v>47</v>
      </c>
      <c r="C3217" s="2" t="s">
        <v>4085</v>
      </c>
      <c r="D3217" s="11" t="n">
        <v>116836</v>
      </c>
      <c r="E3217" s="31" t="n">
        <v>4.8</v>
      </c>
      <c r="F3217" s="31" t="n">
        <v>41.4</v>
      </c>
      <c r="G3217" s="31" t="n">
        <v>61</v>
      </c>
      <c r="H3217" s="2" t="s">
        <v>671</v>
      </c>
    </row>
    <row r="3218" customFormat="false" ht="15" hidden="false" customHeight="false" outlineLevel="0" collapsed="false">
      <c r="A3218" s="2" t="s">
        <v>676</v>
      </c>
      <c r="B3218" s="2" t="s">
        <v>47</v>
      </c>
      <c r="C3218" s="2" t="s">
        <v>4086</v>
      </c>
      <c r="D3218" s="11" t="n">
        <v>121080</v>
      </c>
      <c r="E3218" s="31" t="n">
        <v>30.9</v>
      </c>
      <c r="F3218" s="31" t="n">
        <v>48.4</v>
      </c>
      <c r="G3218" s="31" t="n">
        <v>82.6</v>
      </c>
      <c r="H3218" s="2" t="s">
        <v>671</v>
      </c>
    </row>
    <row r="3219" customFormat="false" ht="15" hidden="false" customHeight="false" outlineLevel="0" collapsed="false">
      <c r="A3219" s="2" t="s">
        <v>676</v>
      </c>
      <c r="B3219" s="2" t="s">
        <v>47</v>
      </c>
      <c r="C3219" s="2" t="s">
        <v>4087</v>
      </c>
      <c r="D3219" s="11" t="n">
        <v>125890</v>
      </c>
      <c r="E3219" s="31" t="n">
        <v>13.7</v>
      </c>
      <c r="F3219" s="31" t="n">
        <v>31.3</v>
      </c>
      <c r="G3219" s="31" t="n">
        <v>87.6</v>
      </c>
      <c r="H3219" s="2" t="s">
        <v>671</v>
      </c>
    </row>
    <row r="3220" customFormat="false" ht="15" hidden="false" customHeight="false" outlineLevel="0" collapsed="false">
      <c r="A3220" s="2" t="s">
        <v>177</v>
      </c>
      <c r="B3220" s="2" t="s">
        <v>4104</v>
      </c>
      <c r="C3220" s="2" t="s">
        <v>4085</v>
      </c>
      <c r="D3220" s="2"/>
      <c r="E3220" s="31" t="n">
        <v>79.7</v>
      </c>
      <c r="F3220" s="31" t="n">
        <v>37.3</v>
      </c>
      <c r="G3220" s="31" t="n">
        <v>38.8</v>
      </c>
      <c r="H3220" s="2" t="s">
        <v>668</v>
      </c>
    </row>
    <row r="3221" customFormat="false" ht="15" hidden="false" customHeight="false" outlineLevel="0" collapsed="false">
      <c r="A3221" s="2" t="s">
        <v>177</v>
      </c>
      <c r="B3221" s="2" t="s">
        <v>4104</v>
      </c>
      <c r="C3221" s="2" t="s">
        <v>4086</v>
      </c>
      <c r="D3221" s="2"/>
      <c r="E3221" s="31" t="n">
        <v>62.3</v>
      </c>
      <c r="F3221" s="31" t="n">
        <v>77</v>
      </c>
      <c r="G3221" s="31" t="n">
        <v>63.8</v>
      </c>
      <c r="H3221" s="2" t="s">
        <v>668</v>
      </c>
    </row>
    <row r="3222" customFormat="false" ht="15" hidden="false" customHeight="false" outlineLevel="0" collapsed="false">
      <c r="A3222" s="2" t="s">
        <v>177</v>
      </c>
      <c r="B3222" s="2" t="s">
        <v>4104</v>
      </c>
      <c r="C3222" s="2" t="s">
        <v>4087</v>
      </c>
      <c r="D3222" s="2"/>
      <c r="E3222" s="31" t="n">
        <v>74.4</v>
      </c>
      <c r="F3222" s="31" t="n">
        <v>53.5</v>
      </c>
      <c r="G3222" s="31" t="n">
        <v>54</v>
      </c>
      <c r="H3222" s="2" t="s">
        <v>671</v>
      </c>
    </row>
    <row r="3223" customFormat="false" ht="15" hidden="false" customHeight="false" outlineLevel="0" collapsed="false">
      <c r="A3223" s="2" t="s">
        <v>177</v>
      </c>
      <c r="B3223" s="2" t="s">
        <v>46</v>
      </c>
      <c r="C3223" s="2" t="s">
        <v>4085</v>
      </c>
      <c r="D3223" s="11" t="n">
        <v>12220</v>
      </c>
      <c r="E3223" s="31" t="n">
        <v>88.5</v>
      </c>
      <c r="F3223" s="2"/>
      <c r="G3223" s="2"/>
      <c r="H3223" s="2" t="s">
        <v>668</v>
      </c>
    </row>
    <row r="3224" customFormat="false" ht="15" hidden="false" customHeight="false" outlineLevel="0" collapsed="false">
      <c r="A3224" s="2" t="s">
        <v>177</v>
      </c>
      <c r="B3224" s="2" t="s">
        <v>46</v>
      </c>
      <c r="C3224" s="2" t="s">
        <v>4086</v>
      </c>
      <c r="D3224" s="2"/>
      <c r="E3224" s="2"/>
      <c r="F3224" s="2"/>
      <c r="G3224" s="2"/>
      <c r="H3224" s="2" t="s">
        <v>668</v>
      </c>
    </row>
    <row r="3225" customFormat="false" ht="15" hidden="false" customHeight="false" outlineLevel="0" collapsed="false">
      <c r="A3225" s="2" t="s">
        <v>177</v>
      </c>
      <c r="B3225" s="2" t="s">
        <v>46</v>
      </c>
      <c r="C3225" s="2" t="s">
        <v>4087</v>
      </c>
      <c r="D3225" s="11" t="n">
        <v>12208</v>
      </c>
      <c r="E3225" s="31" t="n">
        <v>94.3</v>
      </c>
      <c r="F3225" s="31" t="n">
        <v>24.5</v>
      </c>
      <c r="G3225" s="31" t="n">
        <v>61.4</v>
      </c>
      <c r="H3225" s="2" t="s">
        <v>671</v>
      </c>
    </row>
    <row r="3226" customFormat="false" ht="15" hidden="false" customHeight="false" outlineLevel="0" collapsed="false">
      <c r="A3226" s="2" t="s">
        <v>177</v>
      </c>
      <c r="B3226" s="2" t="s">
        <v>47</v>
      </c>
      <c r="C3226" s="2" t="s">
        <v>4085</v>
      </c>
      <c r="D3226" s="11" t="n">
        <v>97668</v>
      </c>
      <c r="E3226" s="31" t="n">
        <v>70.9</v>
      </c>
      <c r="F3226" s="31" t="n">
        <v>37.3</v>
      </c>
      <c r="G3226" s="31" t="n">
        <v>38.8</v>
      </c>
      <c r="H3226" s="2" t="s">
        <v>671</v>
      </c>
    </row>
    <row r="3227" customFormat="false" ht="15" hidden="false" customHeight="false" outlineLevel="0" collapsed="false">
      <c r="A3227" s="2" t="s">
        <v>177</v>
      </c>
      <c r="B3227" s="2" t="s">
        <v>47</v>
      </c>
      <c r="C3227" s="2" t="s">
        <v>4086</v>
      </c>
      <c r="D3227" s="11" t="n">
        <v>103300</v>
      </c>
      <c r="E3227" s="31" t="n">
        <v>62.3</v>
      </c>
      <c r="F3227" s="31" t="n">
        <v>77</v>
      </c>
      <c r="G3227" s="31" t="n">
        <v>63.8</v>
      </c>
      <c r="H3227" s="2" t="s">
        <v>671</v>
      </c>
    </row>
    <row r="3228" customFormat="false" ht="15" hidden="false" customHeight="false" outlineLevel="0" collapsed="false">
      <c r="A3228" s="2" t="s">
        <v>177</v>
      </c>
      <c r="B3228" s="2" t="s">
        <v>47</v>
      </c>
      <c r="C3228" s="2" t="s">
        <v>4087</v>
      </c>
      <c r="D3228" s="11" t="n">
        <v>107042</v>
      </c>
      <c r="E3228" s="31" t="n">
        <v>54.6</v>
      </c>
      <c r="F3228" s="31" t="n">
        <v>82.5</v>
      </c>
      <c r="G3228" s="31" t="n">
        <v>46.5</v>
      </c>
      <c r="H3228" s="2" t="s">
        <v>671</v>
      </c>
    </row>
    <row r="3229" customFormat="false" ht="15" hidden="false" customHeight="false" outlineLevel="0" collapsed="false">
      <c r="A3229" s="2" t="s">
        <v>805</v>
      </c>
      <c r="B3229" s="2" t="s">
        <v>4104</v>
      </c>
      <c r="C3229" s="2" t="s">
        <v>4085</v>
      </c>
      <c r="D3229" s="2"/>
      <c r="E3229" s="31" t="n">
        <v>52.1</v>
      </c>
      <c r="F3229" s="31" t="n">
        <v>47</v>
      </c>
      <c r="G3229" s="31" t="n">
        <v>39.5</v>
      </c>
      <c r="H3229" s="2" t="s">
        <v>668</v>
      </c>
    </row>
    <row r="3230" customFormat="false" ht="15" hidden="false" customHeight="false" outlineLevel="0" collapsed="false">
      <c r="A3230" s="2" t="s">
        <v>805</v>
      </c>
      <c r="B3230" s="2" t="s">
        <v>4104</v>
      </c>
      <c r="C3230" s="2" t="s">
        <v>4086</v>
      </c>
      <c r="D3230" s="2"/>
      <c r="E3230" s="31" t="n">
        <v>91.1</v>
      </c>
      <c r="F3230" s="31" t="n">
        <v>11</v>
      </c>
      <c r="G3230" s="31" t="n">
        <v>75.8</v>
      </c>
      <c r="H3230" s="2" t="s">
        <v>668</v>
      </c>
    </row>
    <row r="3231" customFormat="false" ht="15" hidden="false" customHeight="false" outlineLevel="0" collapsed="false">
      <c r="A3231" s="2" t="s">
        <v>805</v>
      </c>
      <c r="B3231" s="2" t="s">
        <v>4104</v>
      </c>
      <c r="C3231" s="2" t="s">
        <v>4087</v>
      </c>
      <c r="D3231" s="2"/>
      <c r="E3231" s="31" t="n">
        <v>83.1</v>
      </c>
      <c r="F3231" s="31" t="n">
        <v>25.8</v>
      </c>
      <c r="G3231" s="31" t="n">
        <v>80.9</v>
      </c>
      <c r="H3231" s="2" t="s">
        <v>668</v>
      </c>
    </row>
    <row r="3232" customFormat="false" ht="15" hidden="false" customHeight="false" outlineLevel="0" collapsed="false">
      <c r="A3232" s="2" t="s">
        <v>805</v>
      </c>
      <c r="B3232" s="2" t="s">
        <v>45</v>
      </c>
      <c r="C3232" s="2" t="s">
        <v>4085</v>
      </c>
      <c r="D3232" s="11" t="n">
        <v>75720</v>
      </c>
      <c r="E3232" s="31" t="n">
        <v>94.8</v>
      </c>
      <c r="F3232" s="31" t="n">
        <v>16.4</v>
      </c>
      <c r="G3232" s="2"/>
      <c r="H3232" s="2" t="s">
        <v>668</v>
      </c>
    </row>
    <row r="3233" customFormat="false" ht="15" hidden="false" customHeight="false" outlineLevel="0" collapsed="false">
      <c r="A3233" s="2" t="s">
        <v>805</v>
      </c>
      <c r="B3233" s="2" t="s">
        <v>45</v>
      </c>
      <c r="C3233" s="2" t="s">
        <v>4086</v>
      </c>
      <c r="D3233" s="11" t="n">
        <v>76200</v>
      </c>
      <c r="E3233" s="31" t="n">
        <v>91.1</v>
      </c>
      <c r="F3233" s="31" t="n">
        <v>11</v>
      </c>
      <c r="G3233" s="31" t="n">
        <v>75.8</v>
      </c>
      <c r="H3233" s="2" t="s">
        <v>671</v>
      </c>
    </row>
    <row r="3234" customFormat="false" ht="15" hidden="false" customHeight="false" outlineLevel="0" collapsed="false">
      <c r="A3234" s="2" t="s">
        <v>805</v>
      </c>
      <c r="B3234" s="2" t="s">
        <v>45</v>
      </c>
      <c r="C3234" s="2" t="s">
        <v>4087</v>
      </c>
      <c r="D3234" s="11" t="n">
        <v>79114</v>
      </c>
      <c r="E3234" s="31" t="n">
        <v>83.1</v>
      </c>
      <c r="F3234" s="31" t="n">
        <v>25.8</v>
      </c>
      <c r="G3234" s="31" t="n">
        <v>80.9</v>
      </c>
      <c r="H3234" s="2" t="s">
        <v>671</v>
      </c>
    </row>
    <row r="3235" customFormat="false" ht="15" hidden="false" customHeight="false" outlineLevel="0" collapsed="false">
      <c r="A3235" s="2" t="s">
        <v>805</v>
      </c>
      <c r="B3235" s="2" t="s">
        <v>46</v>
      </c>
      <c r="C3235" s="2" t="s">
        <v>4085</v>
      </c>
      <c r="D3235" s="11" t="n">
        <v>71140</v>
      </c>
      <c r="E3235" s="31" t="n">
        <v>9.4</v>
      </c>
      <c r="F3235" s="31" t="n">
        <v>77.5</v>
      </c>
      <c r="G3235" s="31" t="n">
        <v>39.5</v>
      </c>
      <c r="H3235" s="2" t="s">
        <v>671</v>
      </c>
    </row>
    <row r="3236" customFormat="false" ht="15" hidden="false" customHeight="false" outlineLevel="0" collapsed="false">
      <c r="A3236" s="2" t="s">
        <v>805</v>
      </c>
      <c r="B3236" s="2" t="s">
        <v>46</v>
      </c>
      <c r="C3236" s="2" t="s">
        <v>4086</v>
      </c>
      <c r="D3236" s="2"/>
      <c r="E3236" s="2"/>
      <c r="F3236" s="2"/>
      <c r="G3236" s="2"/>
      <c r="H3236" s="2" t="s">
        <v>668</v>
      </c>
    </row>
    <row r="3237" customFormat="false" ht="15" hidden="false" customHeight="false" outlineLevel="0" collapsed="false">
      <c r="A3237" s="2" t="s">
        <v>805</v>
      </c>
      <c r="B3237" s="2" t="s">
        <v>46</v>
      </c>
      <c r="C3237" s="2" t="s">
        <v>4087</v>
      </c>
      <c r="D3237" s="2"/>
      <c r="E3237" s="2"/>
      <c r="F3237" s="2"/>
      <c r="G3237" s="2"/>
      <c r="H3237" s="2" t="s">
        <v>668</v>
      </c>
    </row>
    <row r="3238" customFormat="false" ht="15" hidden="false" customHeight="false" outlineLevel="0" collapsed="false">
      <c r="A3238" s="2" t="s">
        <v>212</v>
      </c>
      <c r="B3238" s="2" t="s">
        <v>4104</v>
      </c>
      <c r="C3238" s="2" t="s">
        <v>4085</v>
      </c>
      <c r="D3238" s="2"/>
      <c r="E3238" s="2"/>
      <c r="F3238" s="2"/>
      <c r="G3238" s="2"/>
      <c r="H3238" s="2" t="s">
        <v>668</v>
      </c>
    </row>
    <row r="3239" customFormat="false" ht="15" hidden="false" customHeight="false" outlineLevel="0" collapsed="false">
      <c r="A3239" s="2" t="s">
        <v>212</v>
      </c>
      <c r="B3239" s="2" t="s">
        <v>4104</v>
      </c>
      <c r="C3239" s="2" t="s">
        <v>4087</v>
      </c>
      <c r="D3239" s="2"/>
      <c r="E3239" s="31" t="n">
        <v>69.1</v>
      </c>
      <c r="F3239" s="31" t="n">
        <v>93.8</v>
      </c>
      <c r="G3239" s="31" t="n">
        <v>3.9</v>
      </c>
      <c r="H3239" s="2" t="s">
        <v>671</v>
      </c>
    </row>
    <row r="3240" customFormat="false" ht="15" hidden="false" customHeight="false" outlineLevel="0" collapsed="false">
      <c r="A3240" s="2" t="s">
        <v>212</v>
      </c>
      <c r="B3240" s="2" t="s">
        <v>46</v>
      </c>
      <c r="C3240" s="2" t="s">
        <v>4085</v>
      </c>
      <c r="D3240" s="2"/>
      <c r="E3240" s="2"/>
      <c r="F3240" s="2"/>
      <c r="G3240" s="2"/>
      <c r="H3240" s="2" t="s">
        <v>668</v>
      </c>
    </row>
    <row r="3241" customFormat="false" ht="15" hidden="false" customHeight="false" outlineLevel="0" collapsed="false">
      <c r="A3241" s="2" t="s">
        <v>212</v>
      </c>
      <c r="B3241" s="2" t="s">
        <v>46</v>
      </c>
      <c r="C3241" s="2" t="s">
        <v>4087</v>
      </c>
      <c r="D3241" s="11" t="n">
        <v>85521</v>
      </c>
      <c r="E3241" s="31" t="n">
        <v>69.1</v>
      </c>
      <c r="F3241" s="31" t="n">
        <v>93.8</v>
      </c>
      <c r="G3241" s="31" t="n">
        <v>3.9</v>
      </c>
      <c r="H3241" s="2" t="s">
        <v>671</v>
      </c>
    </row>
    <row r="3242" customFormat="false" ht="15" hidden="false" customHeight="false" outlineLevel="0" collapsed="false">
      <c r="A3242" s="2" t="s">
        <v>2894</v>
      </c>
      <c r="B3242" s="2" t="s">
        <v>4104</v>
      </c>
      <c r="C3242" s="2" t="s">
        <v>4085</v>
      </c>
      <c r="D3242" s="2"/>
      <c r="E3242" s="31" t="n">
        <v>94.3</v>
      </c>
      <c r="F3242" s="31" t="n">
        <v>61.9</v>
      </c>
      <c r="G3242" s="31" t="n">
        <v>31.7</v>
      </c>
      <c r="H3242" s="2" t="s">
        <v>668</v>
      </c>
    </row>
    <row r="3243" customFormat="false" ht="15" hidden="false" customHeight="false" outlineLevel="0" collapsed="false">
      <c r="A3243" s="2" t="s">
        <v>2894</v>
      </c>
      <c r="B3243" s="2" t="s">
        <v>4104</v>
      </c>
      <c r="C3243" s="2" t="s">
        <v>4086</v>
      </c>
      <c r="D3243" s="2"/>
      <c r="E3243" s="31" t="n">
        <v>93.6</v>
      </c>
      <c r="F3243" s="31" t="n">
        <v>59.6</v>
      </c>
      <c r="G3243" s="31" t="n">
        <v>34</v>
      </c>
      <c r="H3243" s="2" t="s">
        <v>668</v>
      </c>
    </row>
    <row r="3244" customFormat="false" ht="15" hidden="false" customHeight="false" outlineLevel="0" collapsed="false">
      <c r="A3244" s="2" t="s">
        <v>2894</v>
      </c>
      <c r="B3244" s="2" t="s">
        <v>4104</v>
      </c>
      <c r="C3244" s="2" t="s">
        <v>4087</v>
      </c>
      <c r="D3244" s="2"/>
      <c r="E3244" s="31" t="n">
        <v>76.8</v>
      </c>
      <c r="F3244" s="2"/>
      <c r="G3244" s="2"/>
      <c r="H3244" s="2" t="s">
        <v>668</v>
      </c>
    </row>
    <row r="3245" customFormat="false" ht="15" hidden="false" customHeight="false" outlineLevel="0" collapsed="false">
      <c r="A3245" s="2" t="s">
        <v>2894</v>
      </c>
      <c r="B3245" s="2" t="s">
        <v>45</v>
      </c>
      <c r="C3245" s="2" t="s">
        <v>4085</v>
      </c>
      <c r="D3245" s="11" t="n">
        <v>52603</v>
      </c>
      <c r="E3245" s="31" t="n">
        <v>90.5</v>
      </c>
      <c r="F3245" s="31" t="n">
        <v>74.5</v>
      </c>
      <c r="G3245" s="2"/>
      <c r="H3245" s="2" t="s">
        <v>668</v>
      </c>
    </row>
    <row r="3246" customFormat="false" ht="15" hidden="false" customHeight="false" outlineLevel="0" collapsed="false">
      <c r="A3246" s="2" t="s">
        <v>2894</v>
      </c>
      <c r="B3246" s="2" t="s">
        <v>45</v>
      </c>
      <c r="C3246" s="2" t="s">
        <v>4086</v>
      </c>
      <c r="D3246" s="2"/>
      <c r="E3246" s="2"/>
      <c r="F3246" s="2"/>
      <c r="G3246" s="2"/>
      <c r="H3246" s="2" t="s">
        <v>668</v>
      </c>
    </row>
    <row r="3247" customFormat="false" ht="15" hidden="false" customHeight="false" outlineLevel="0" collapsed="false">
      <c r="A3247" s="2" t="s">
        <v>2894</v>
      </c>
      <c r="B3247" s="2" t="s">
        <v>45</v>
      </c>
      <c r="C3247" s="2" t="s">
        <v>4087</v>
      </c>
      <c r="D3247" s="11" t="n">
        <v>57159</v>
      </c>
      <c r="E3247" s="31" t="n">
        <v>80.1</v>
      </c>
      <c r="F3247" s="2"/>
      <c r="G3247" s="2"/>
      <c r="H3247" s="2" t="s">
        <v>668</v>
      </c>
    </row>
    <row r="3248" customFormat="false" ht="15" hidden="false" customHeight="false" outlineLevel="0" collapsed="false">
      <c r="A3248" s="2" t="s">
        <v>2894</v>
      </c>
      <c r="B3248" s="2" t="s">
        <v>46</v>
      </c>
      <c r="C3248" s="2" t="s">
        <v>4085</v>
      </c>
      <c r="D3248" s="11" t="n">
        <v>207729</v>
      </c>
      <c r="E3248" s="31" t="n">
        <v>96.3</v>
      </c>
      <c r="F3248" s="31" t="n">
        <v>13.5</v>
      </c>
      <c r="G3248" s="31" t="n">
        <v>9.1</v>
      </c>
      <c r="H3248" s="2" t="s">
        <v>671</v>
      </c>
    </row>
    <row r="3249" customFormat="false" ht="15" hidden="false" customHeight="false" outlineLevel="0" collapsed="false">
      <c r="A3249" s="2" t="s">
        <v>2894</v>
      </c>
      <c r="B3249" s="2" t="s">
        <v>46</v>
      </c>
      <c r="C3249" s="2" t="s">
        <v>4086</v>
      </c>
      <c r="D3249" s="11" t="n">
        <v>216800</v>
      </c>
      <c r="E3249" s="31" t="n">
        <v>88.8</v>
      </c>
      <c r="F3249" s="31" t="n">
        <v>20.4</v>
      </c>
      <c r="G3249" s="31" t="n">
        <v>18.8</v>
      </c>
      <c r="H3249" s="2" t="s">
        <v>671</v>
      </c>
    </row>
    <row r="3250" customFormat="false" ht="15" hidden="false" customHeight="false" outlineLevel="0" collapsed="false">
      <c r="A3250" s="2" t="s">
        <v>2894</v>
      </c>
      <c r="B3250" s="2" t="s">
        <v>46</v>
      </c>
      <c r="C3250" s="2" t="s">
        <v>4087</v>
      </c>
      <c r="D3250" s="11" t="n">
        <v>216940</v>
      </c>
      <c r="E3250" s="31" t="n">
        <v>73.4</v>
      </c>
      <c r="F3250" s="2"/>
      <c r="G3250" s="2"/>
      <c r="H3250" s="2" t="s">
        <v>668</v>
      </c>
    </row>
    <row r="3251" customFormat="false" ht="15" hidden="false" customHeight="false" outlineLevel="0" collapsed="false">
      <c r="A3251" s="2" t="s">
        <v>2894</v>
      </c>
      <c r="B3251" s="2" t="s">
        <v>47</v>
      </c>
      <c r="C3251" s="2" t="s">
        <v>4085</v>
      </c>
      <c r="D3251" s="11" t="n">
        <v>7116</v>
      </c>
      <c r="E3251" s="31" t="n">
        <v>96.2</v>
      </c>
      <c r="F3251" s="31" t="n">
        <v>97.8</v>
      </c>
      <c r="G3251" s="31" t="n">
        <v>54.3</v>
      </c>
      <c r="H3251" s="2" t="s">
        <v>671</v>
      </c>
    </row>
    <row r="3252" customFormat="false" ht="15" hidden="false" customHeight="false" outlineLevel="0" collapsed="false">
      <c r="A3252" s="2" t="s">
        <v>2894</v>
      </c>
      <c r="B3252" s="2" t="s">
        <v>47</v>
      </c>
      <c r="C3252" s="2" t="s">
        <v>4086</v>
      </c>
      <c r="D3252" s="11" t="n">
        <v>7730</v>
      </c>
      <c r="E3252" s="31" t="n">
        <v>98.4</v>
      </c>
      <c r="F3252" s="31" t="n">
        <v>98.8</v>
      </c>
      <c r="G3252" s="31" t="n">
        <v>49.1</v>
      </c>
      <c r="H3252" s="2" t="s">
        <v>671</v>
      </c>
    </row>
    <row r="3253" customFormat="false" ht="15" hidden="false" customHeight="false" outlineLevel="0" collapsed="false">
      <c r="A3253" s="2" t="s">
        <v>2894</v>
      </c>
      <c r="B3253" s="2" t="s">
        <v>47</v>
      </c>
      <c r="C3253" s="2" t="s">
        <v>4087</v>
      </c>
      <c r="D3253" s="2"/>
      <c r="E3253" s="2"/>
      <c r="F3253" s="2"/>
      <c r="G3253" s="2"/>
      <c r="H3253" s="2" t="s">
        <v>668</v>
      </c>
    </row>
    <row r="3254" customFormat="false" ht="15" hidden="false" customHeight="false" outlineLevel="0" collapsed="false">
      <c r="A3254" s="2" t="s">
        <v>165</v>
      </c>
      <c r="B3254" s="2" t="s">
        <v>4104</v>
      </c>
      <c r="C3254" s="2" t="s">
        <v>4085</v>
      </c>
      <c r="D3254" s="2"/>
      <c r="E3254" s="31" t="n">
        <v>88.8</v>
      </c>
      <c r="F3254" s="31" t="n">
        <v>15.8</v>
      </c>
      <c r="G3254" s="31" t="n">
        <v>49.5</v>
      </c>
      <c r="H3254" s="2" t="s">
        <v>671</v>
      </c>
    </row>
    <row r="3255" customFormat="false" ht="15" hidden="false" customHeight="false" outlineLevel="0" collapsed="false">
      <c r="A3255" s="2" t="s">
        <v>165</v>
      </c>
      <c r="B3255" s="2" t="s">
        <v>4104</v>
      </c>
      <c r="C3255" s="2" t="s">
        <v>4086</v>
      </c>
      <c r="D3255" s="2"/>
      <c r="E3255" s="31" t="n">
        <v>87.3</v>
      </c>
      <c r="F3255" s="31" t="n">
        <v>14.3</v>
      </c>
      <c r="G3255" s="2"/>
      <c r="H3255" s="2" t="s">
        <v>668</v>
      </c>
    </row>
    <row r="3256" customFormat="false" ht="15" hidden="false" customHeight="false" outlineLevel="0" collapsed="false">
      <c r="A3256" s="2" t="s">
        <v>165</v>
      </c>
      <c r="B3256" s="2" t="s">
        <v>4104</v>
      </c>
      <c r="C3256" s="2" t="s">
        <v>4087</v>
      </c>
      <c r="D3256" s="2"/>
      <c r="E3256" s="31" t="n">
        <v>75.9</v>
      </c>
      <c r="F3256" s="31" t="n">
        <v>23.2</v>
      </c>
      <c r="G3256" s="31" t="n">
        <v>49.2</v>
      </c>
      <c r="H3256" s="2" t="s">
        <v>671</v>
      </c>
    </row>
    <row r="3257" customFormat="false" ht="15" hidden="false" customHeight="false" outlineLevel="0" collapsed="false">
      <c r="A3257" s="2" t="s">
        <v>165</v>
      </c>
      <c r="B3257" s="2" t="s">
        <v>45</v>
      </c>
      <c r="C3257" s="2" t="s">
        <v>4085</v>
      </c>
      <c r="D3257" s="11" t="n">
        <v>138030</v>
      </c>
      <c r="E3257" s="31" t="n">
        <v>88.8</v>
      </c>
      <c r="F3257" s="31" t="n">
        <v>15.8</v>
      </c>
      <c r="G3257" s="31" t="n">
        <v>49.5</v>
      </c>
      <c r="H3257" s="2" t="s">
        <v>671</v>
      </c>
    </row>
    <row r="3258" customFormat="false" ht="15" hidden="false" customHeight="false" outlineLevel="0" collapsed="false">
      <c r="A3258" s="2" t="s">
        <v>165</v>
      </c>
      <c r="B3258" s="2" t="s">
        <v>45</v>
      </c>
      <c r="C3258" s="2" t="s">
        <v>4086</v>
      </c>
      <c r="D3258" s="11" t="n">
        <v>143110</v>
      </c>
      <c r="E3258" s="31" t="n">
        <v>87.3</v>
      </c>
      <c r="F3258" s="31" t="n">
        <v>14.3</v>
      </c>
      <c r="G3258" s="2"/>
      <c r="H3258" s="2" t="s">
        <v>668</v>
      </c>
    </row>
    <row r="3259" customFormat="false" ht="15" hidden="false" customHeight="false" outlineLevel="0" collapsed="false">
      <c r="A3259" s="2" t="s">
        <v>165</v>
      </c>
      <c r="B3259" s="2" t="s">
        <v>45</v>
      </c>
      <c r="C3259" s="2" t="s">
        <v>4087</v>
      </c>
      <c r="D3259" s="11" t="n">
        <v>137090</v>
      </c>
      <c r="E3259" s="31" t="n">
        <v>75.9</v>
      </c>
      <c r="F3259" s="31" t="n">
        <v>23.2</v>
      </c>
      <c r="G3259" s="31" t="n">
        <v>49.2</v>
      </c>
      <c r="H3259" s="2" t="s">
        <v>671</v>
      </c>
    </row>
    <row r="3260" customFormat="false" ht="15" hidden="false" customHeight="false" outlineLevel="0" collapsed="false">
      <c r="A3260" s="2" t="s">
        <v>2897</v>
      </c>
      <c r="B3260" s="2" t="s">
        <v>4104</v>
      </c>
      <c r="C3260" s="2" t="s">
        <v>4085</v>
      </c>
      <c r="D3260" s="2"/>
      <c r="E3260" s="31" t="n">
        <v>49</v>
      </c>
      <c r="F3260" s="31" t="n">
        <v>80.7</v>
      </c>
      <c r="G3260" s="2"/>
      <c r="H3260" s="2" t="s">
        <v>671</v>
      </c>
    </row>
    <row r="3261" customFormat="false" ht="15" hidden="false" customHeight="false" outlineLevel="0" collapsed="false">
      <c r="A3261" s="2" t="s">
        <v>2897</v>
      </c>
      <c r="B3261" s="2" t="s">
        <v>4104</v>
      </c>
      <c r="C3261" s="2" t="s">
        <v>4086</v>
      </c>
      <c r="D3261" s="2"/>
      <c r="E3261" s="31" t="n">
        <v>52.6</v>
      </c>
      <c r="F3261" s="31" t="n">
        <v>72.5</v>
      </c>
      <c r="G3261" s="2"/>
      <c r="H3261" s="2" t="s">
        <v>671</v>
      </c>
    </row>
    <row r="3262" customFormat="false" ht="15" hidden="false" customHeight="false" outlineLevel="0" collapsed="false">
      <c r="A3262" s="2" t="s">
        <v>2897</v>
      </c>
      <c r="B3262" s="2" t="s">
        <v>4104</v>
      </c>
      <c r="C3262" s="2" t="s">
        <v>4087</v>
      </c>
      <c r="D3262" s="2"/>
      <c r="E3262" s="2"/>
      <c r="F3262" s="2"/>
      <c r="G3262" s="2"/>
      <c r="H3262" s="2" t="s">
        <v>668</v>
      </c>
    </row>
    <row r="3263" customFormat="false" ht="15" hidden="false" customHeight="false" outlineLevel="0" collapsed="false">
      <c r="A3263" s="2" t="s">
        <v>2897</v>
      </c>
      <c r="B3263" s="2" t="s">
        <v>45</v>
      </c>
      <c r="C3263" s="2" t="s">
        <v>4085</v>
      </c>
      <c r="D3263" s="11" t="n">
        <v>22760</v>
      </c>
      <c r="E3263" s="31" t="n">
        <v>49</v>
      </c>
      <c r="F3263" s="31" t="n">
        <v>80.7</v>
      </c>
      <c r="G3263" s="2"/>
      <c r="H3263" s="2" t="s">
        <v>671</v>
      </c>
    </row>
    <row r="3264" customFormat="false" ht="15" hidden="false" customHeight="false" outlineLevel="0" collapsed="false">
      <c r="A3264" s="2" t="s">
        <v>2897</v>
      </c>
      <c r="B3264" s="2" t="s">
        <v>45</v>
      </c>
      <c r="C3264" s="2" t="s">
        <v>4086</v>
      </c>
      <c r="D3264" s="11" t="n">
        <v>24450</v>
      </c>
      <c r="E3264" s="31" t="n">
        <v>52.6</v>
      </c>
      <c r="F3264" s="31" t="n">
        <v>72.5</v>
      </c>
      <c r="G3264" s="2"/>
      <c r="H3264" s="2" t="s">
        <v>671</v>
      </c>
    </row>
    <row r="3265" customFormat="false" ht="15" hidden="false" customHeight="false" outlineLevel="0" collapsed="false">
      <c r="A3265" s="2" t="s">
        <v>2897</v>
      </c>
      <c r="B3265" s="2" t="s">
        <v>45</v>
      </c>
      <c r="C3265" s="2" t="s">
        <v>4087</v>
      </c>
      <c r="D3265" s="2"/>
      <c r="E3265" s="2"/>
      <c r="F3265" s="2"/>
      <c r="G3265" s="2"/>
      <c r="H3265" s="2" t="s">
        <v>668</v>
      </c>
    </row>
    <row r="3266" customFormat="false" ht="15" hidden="false" customHeight="false" outlineLevel="0" collapsed="false">
      <c r="A3266" s="2" t="s">
        <v>1430</v>
      </c>
      <c r="B3266" s="2" t="s">
        <v>4104</v>
      </c>
      <c r="C3266" s="2" t="s">
        <v>4087</v>
      </c>
      <c r="D3266" s="2"/>
      <c r="E3266" s="31" t="n">
        <v>90.9</v>
      </c>
      <c r="F3266" s="31" t="n">
        <v>31</v>
      </c>
      <c r="G3266" s="31" t="n">
        <v>47</v>
      </c>
      <c r="H3266" s="2" t="s">
        <v>668</v>
      </c>
    </row>
    <row r="3267" customFormat="false" ht="15" hidden="false" customHeight="false" outlineLevel="0" collapsed="false">
      <c r="A3267" s="2" t="s">
        <v>1430</v>
      </c>
      <c r="B3267" s="2" t="s">
        <v>45</v>
      </c>
      <c r="C3267" s="2" t="s">
        <v>4087</v>
      </c>
      <c r="D3267" s="2"/>
      <c r="E3267" s="2"/>
      <c r="F3267" s="2"/>
      <c r="G3267" s="2"/>
      <c r="H3267" s="2" t="s">
        <v>668</v>
      </c>
    </row>
    <row r="3268" customFormat="false" ht="15" hidden="false" customHeight="false" outlineLevel="0" collapsed="false">
      <c r="A3268" s="2" t="s">
        <v>1430</v>
      </c>
      <c r="B3268" s="2" t="s">
        <v>46</v>
      </c>
      <c r="C3268" s="2" t="s">
        <v>4087</v>
      </c>
      <c r="D3268" s="11" t="n">
        <v>19010</v>
      </c>
      <c r="E3268" s="31" t="n">
        <v>90.9</v>
      </c>
      <c r="F3268" s="31" t="n">
        <v>32.4</v>
      </c>
      <c r="G3268" s="31" t="n">
        <v>81.3</v>
      </c>
      <c r="H3268" s="2" t="s">
        <v>671</v>
      </c>
    </row>
    <row r="3269" customFormat="false" ht="15" hidden="false" customHeight="false" outlineLevel="0" collapsed="false">
      <c r="A3269" s="2" t="s">
        <v>1430</v>
      </c>
      <c r="B3269" s="2" t="s">
        <v>47</v>
      </c>
      <c r="C3269" s="2" t="s">
        <v>4087</v>
      </c>
      <c r="D3269" s="11" t="n">
        <v>576960</v>
      </c>
      <c r="E3269" s="2"/>
      <c r="F3269" s="31" t="n">
        <v>29.5</v>
      </c>
      <c r="G3269" s="31" t="n">
        <v>12.8</v>
      </c>
      <c r="H3269" s="2" t="s">
        <v>668</v>
      </c>
    </row>
    <row r="3270" customFormat="false" ht="15" hidden="false" customHeight="false" outlineLevel="0" collapsed="false">
      <c r="A3270" s="2" t="s">
        <v>2900</v>
      </c>
      <c r="B3270" s="2" t="s">
        <v>4104</v>
      </c>
      <c r="C3270" s="2" t="s">
        <v>4085</v>
      </c>
      <c r="D3270" s="2"/>
      <c r="E3270" s="31" t="n">
        <v>34.4</v>
      </c>
      <c r="F3270" s="31" t="n">
        <v>89.5</v>
      </c>
      <c r="G3270" s="31" t="n">
        <v>68.3</v>
      </c>
      <c r="H3270" s="2" t="s">
        <v>671</v>
      </c>
    </row>
    <row r="3271" customFormat="false" ht="15" hidden="false" customHeight="false" outlineLevel="0" collapsed="false">
      <c r="A3271" s="2" t="s">
        <v>2900</v>
      </c>
      <c r="B3271" s="2" t="s">
        <v>4104</v>
      </c>
      <c r="C3271" s="2" t="s">
        <v>4086</v>
      </c>
      <c r="D3271" s="2"/>
      <c r="E3271" s="31" t="n">
        <v>12.6</v>
      </c>
      <c r="F3271" s="31" t="n">
        <v>98.5</v>
      </c>
      <c r="G3271" s="31" t="n">
        <v>33.3</v>
      </c>
      <c r="H3271" s="2" t="s">
        <v>671</v>
      </c>
    </row>
    <row r="3272" customFormat="false" ht="15" hidden="false" customHeight="false" outlineLevel="0" collapsed="false">
      <c r="A3272" s="2" t="s">
        <v>2900</v>
      </c>
      <c r="B3272" s="2" t="s">
        <v>4104</v>
      </c>
      <c r="C3272" s="2" t="s">
        <v>4087</v>
      </c>
      <c r="D3272" s="2"/>
      <c r="E3272" s="2"/>
      <c r="F3272" s="31" t="n">
        <v>97.9</v>
      </c>
      <c r="G3272" s="2"/>
      <c r="H3272" s="2" t="s">
        <v>668</v>
      </c>
    </row>
    <row r="3273" customFormat="false" ht="15" hidden="false" customHeight="false" outlineLevel="0" collapsed="false">
      <c r="A3273" s="2" t="s">
        <v>2900</v>
      </c>
      <c r="B3273" s="2" t="s">
        <v>46</v>
      </c>
      <c r="C3273" s="2" t="s">
        <v>4085</v>
      </c>
      <c r="D3273" s="11" t="n">
        <v>75130</v>
      </c>
      <c r="E3273" s="31" t="n">
        <v>34.4</v>
      </c>
      <c r="F3273" s="31" t="n">
        <v>89.5</v>
      </c>
      <c r="G3273" s="31" t="n">
        <v>68.3</v>
      </c>
      <c r="H3273" s="2" t="s">
        <v>671</v>
      </c>
    </row>
    <row r="3274" customFormat="false" ht="15" hidden="false" customHeight="false" outlineLevel="0" collapsed="false">
      <c r="A3274" s="2" t="s">
        <v>2900</v>
      </c>
      <c r="B3274" s="2" t="s">
        <v>46</v>
      </c>
      <c r="C3274" s="2" t="s">
        <v>4086</v>
      </c>
      <c r="D3274" s="11" t="n">
        <v>82670</v>
      </c>
      <c r="E3274" s="31" t="n">
        <v>12.6</v>
      </c>
      <c r="F3274" s="31" t="n">
        <v>98.5</v>
      </c>
      <c r="G3274" s="31" t="n">
        <v>33.3</v>
      </c>
      <c r="H3274" s="2" t="s">
        <v>671</v>
      </c>
    </row>
    <row r="3275" customFormat="false" ht="15" hidden="false" customHeight="false" outlineLevel="0" collapsed="false">
      <c r="A3275" s="2" t="s">
        <v>2900</v>
      </c>
      <c r="B3275" s="2" t="s">
        <v>46</v>
      </c>
      <c r="C3275" s="2" t="s">
        <v>4087</v>
      </c>
      <c r="D3275" s="11" t="n">
        <v>89110</v>
      </c>
      <c r="E3275" s="2"/>
      <c r="F3275" s="31" t="n">
        <v>97.9</v>
      </c>
      <c r="G3275" s="2"/>
      <c r="H3275" s="2" t="s">
        <v>668</v>
      </c>
    </row>
    <row r="3276" customFormat="false" ht="15" hidden="false" customHeight="false" outlineLevel="0" collapsed="false">
      <c r="A3276" s="2" t="s">
        <v>1770</v>
      </c>
      <c r="B3276" s="2" t="s">
        <v>4104</v>
      </c>
      <c r="C3276" s="2" t="s">
        <v>4085</v>
      </c>
      <c r="D3276" s="2"/>
      <c r="E3276" s="31" t="n">
        <v>57.5</v>
      </c>
      <c r="F3276" s="31" t="n">
        <v>39</v>
      </c>
      <c r="G3276" s="31" t="n">
        <v>51.8</v>
      </c>
      <c r="H3276" s="2" t="s">
        <v>668</v>
      </c>
    </row>
    <row r="3277" customFormat="false" ht="15" hidden="false" customHeight="false" outlineLevel="0" collapsed="false">
      <c r="A3277" s="2" t="s">
        <v>1770</v>
      </c>
      <c r="B3277" s="2" t="s">
        <v>4104</v>
      </c>
      <c r="C3277" s="2" t="s">
        <v>4086</v>
      </c>
      <c r="D3277" s="2"/>
      <c r="E3277" s="31" t="n">
        <v>36.1</v>
      </c>
      <c r="F3277" s="31" t="n">
        <v>39.6</v>
      </c>
      <c r="G3277" s="31" t="n">
        <v>33.9</v>
      </c>
      <c r="H3277" s="2" t="s">
        <v>668</v>
      </c>
    </row>
    <row r="3278" customFormat="false" ht="15" hidden="false" customHeight="false" outlineLevel="0" collapsed="false">
      <c r="A3278" s="2" t="s">
        <v>1770</v>
      </c>
      <c r="B3278" s="2" t="s">
        <v>4104</v>
      </c>
      <c r="C3278" s="2" t="s">
        <v>4087</v>
      </c>
      <c r="D3278" s="2"/>
      <c r="E3278" s="31" t="n">
        <v>57.6</v>
      </c>
      <c r="F3278" s="31" t="n">
        <v>13.8</v>
      </c>
      <c r="G3278" s="31" t="n">
        <v>25.2</v>
      </c>
      <c r="H3278" s="2" t="s">
        <v>668</v>
      </c>
    </row>
    <row r="3279" customFormat="false" ht="15" hidden="false" customHeight="false" outlineLevel="0" collapsed="false">
      <c r="A3279" s="2" t="s">
        <v>1770</v>
      </c>
      <c r="B3279" s="2" t="s">
        <v>45</v>
      </c>
      <c r="C3279" s="2" t="s">
        <v>4085</v>
      </c>
      <c r="D3279" s="2"/>
      <c r="E3279" s="2"/>
      <c r="F3279" s="2"/>
      <c r="G3279" s="2"/>
      <c r="H3279" s="2" t="s">
        <v>668</v>
      </c>
    </row>
    <row r="3280" customFormat="false" ht="15" hidden="false" customHeight="false" outlineLevel="0" collapsed="false">
      <c r="A3280" s="2" t="s">
        <v>1770</v>
      </c>
      <c r="B3280" s="2" t="s">
        <v>45</v>
      </c>
      <c r="C3280" s="2" t="s">
        <v>4086</v>
      </c>
      <c r="D3280" s="2"/>
      <c r="E3280" s="2"/>
      <c r="F3280" s="2"/>
      <c r="G3280" s="2"/>
      <c r="H3280" s="2" t="s">
        <v>668</v>
      </c>
    </row>
    <row r="3281" customFormat="false" ht="15" hidden="false" customHeight="false" outlineLevel="0" collapsed="false">
      <c r="A3281" s="2" t="s">
        <v>1770</v>
      </c>
      <c r="B3281" s="2" t="s">
        <v>45</v>
      </c>
      <c r="C3281" s="2" t="s">
        <v>4087</v>
      </c>
      <c r="D3281" s="2"/>
      <c r="E3281" s="2"/>
      <c r="F3281" s="2"/>
      <c r="G3281" s="2"/>
      <c r="H3281" s="2" t="s">
        <v>668</v>
      </c>
    </row>
    <row r="3282" customFormat="false" ht="15" hidden="false" customHeight="false" outlineLevel="0" collapsed="false">
      <c r="A3282" s="2" t="s">
        <v>1770</v>
      </c>
      <c r="B3282" s="2" t="s">
        <v>46</v>
      </c>
      <c r="C3282" s="2" t="s">
        <v>4085</v>
      </c>
      <c r="D3282" s="11" t="n">
        <v>20763</v>
      </c>
      <c r="E3282" s="31" t="n">
        <v>29.9</v>
      </c>
      <c r="F3282" s="31" t="n">
        <v>53.9</v>
      </c>
      <c r="G3282" s="31" t="n">
        <v>65.8</v>
      </c>
      <c r="H3282" s="2" t="s">
        <v>671</v>
      </c>
    </row>
    <row r="3283" customFormat="false" ht="15" hidden="false" customHeight="false" outlineLevel="0" collapsed="false">
      <c r="A3283" s="2" t="s">
        <v>1770</v>
      </c>
      <c r="B3283" s="2" t="s">
        <v>46</v>
      </c>
      <c r="C3283" s="2" t="s">
        <v>4086</v>
      </c>
      <c r="D3283" s="11" t="n">
        <v>21990</v>
      </c>
      <c r="E3283" s="31" t="n">
        <v>36.1</v>
      </c>
      <c r="F3283" s="31" t="n">
        <v>53.1</v>
      </c>
      <c r="G3283" s="31" t="n">
        <v>21.9</v>
      </c>
      <c r="H3283" s="2" t="s">
        <v>671</v>
      </c>
    </row>
    <row r="3284" customFormat="false" ht="15" hidden="false" customHeight="false" outlineLevel="0" collapsed="false">
      <c r="A3284" s="2" t="s">
        <v>1770</v>
      </c>
      <c r="B3284" s="2" t="s">
        <v>46</v>
      </c>
      <c r="C3284" s="2" t="s">
        <v>4087</v>
      </c>
      <c r="D3284" s="11" t="n">
        <v>22098</v>
      </c>
      <c r="E3284" s="31" t="n">
        <v>34.5</v>
      </c>
      <c r="F3284" s="31" t="n">
        <v>9.5</v>
      </c>
      <c r="G3284" s="31" t="n">
        <v>41.5</v>
      </c>
      <c r="H3284" s="2" t="s">
        <v>671</v>
      </c>
    </row>
    <row r="3285" customFormat="false" ht="15" hidden="false" customHeight="false" outlineLevel="0" collapsed="false">
      <c r="A3285" s="2" t="s">
        <v>1770</v>
      </c>
      <c r="B3285" s="2" t="s">
        <v>47</v>
      </c>
      <c r="C3285" s="2" t="s">
        <v>4085</v>
      </c>
      <c r="D3285" s="11" t="n">
        <v>295437</v>
      </c>
      <c r="E3285" s="31" t="n">
        <v>85.1</v>
      </c>
      <c r="F3285" s="31" t="n">
        <v>24.1</v>
      </c>
      <c r="G3285" s="31" t="n">
        <v>37.7</v>
      </c>
      <c r="H3285" s="2" t="s">
        <v>671</v>
      </c>
    </row>
    <row r="3286" customFormat="false" ht="15" hidden="false" customHeight="false" outlineLevel="0" collapsed="false">
      <c r="A3286" s="2" t="s">
        <v>1770</v>
      </c>
      <c r="B3286" s="2" t="s">
        <v>47</v>
      </c>
      <c r="C3286" s="2" t="s">
        <v>4086</v>
      </c>
      <c r="D3286" s="11" t="n">
        <v>296660</v>
      </c>
      <c r="E3286" s="2"/>
      <c r="F3286" s="31" t="n">
        <v>26.1</v>
      </c>
      <c r="G3286" s="31" t="n">
        <v>45.9</v>
      </c>
      <c r="H3286" s="2" t="s">
        <v>668</v>
      </c>
    </row>
    <row r="3287" customFormat="false" ht="15" hidden="false" customHeight="false" outlineLevel="0" collapsed="false">
      <c r="A3287" s="2" t="s">
        <v>1770</v>
      </c>
      <c r="B3287" s="2" t="s">
        <v>47</v>
      </c>
      <c r="C3287" s="2" t="s">
        <v>4087</v>
      </c>
      <c r="D3287" s="11" t="n">
        <v>310666</v>
      </c>
      <c r="E3287" s="31" t="n">
        <v>80.6</v>
      </c>
      <c r="F3287" s="31" t="n">
        <v>18.1</v>
      </c>
      <c r="G3287" s="31" t="n">
        <v>8.8</v>
      </c>
      <c r="H3287" s="2" t="s">
        <v>671</v>
      </c>
    </row>
    <row r="3288" customFormat="false" ht="15" hidden="false" customHeight="false" outlineLevel="0" collapsed="false">
      <c r="A3288" s="2" t="s">
        <v>2902</v>
      </c>
      <c r="B3288" s="2" t="s">
        <v>4104</v>
      </c>
      <c r="C3288" s="2" t="s">
        <v>4085</v>
      </c>
      <c r="D3288" s="2"/>
      <c r="E3288" s="31" t="n">
        <v>3.1</v>
      </c>
      <c r="F3288" s="2"/>
      <c r="G3288" s="31" t="n">
        <v>39.3</v>
      </c>
      <c r="H3288" s="2" t="s">
        <v>668</v>
      </c>
    </row>
    <row r="3289" customFormat="false" ht="15" hidden="false" customHeight="false" outlineLevel="0" collapsed="false">
      <c r="A3289" s="2" t="s">
        <v>2902</v>
      </c>
      <c r="B3289" s="2" t="s">
        <v>4104</v>
      </c>
      <c r="C3289" s="2" t="s">
        <v>4086</v>
      </c>
      <c r="D3289" s="2"/>
      <c r="E3289" s="31" t="n">
        <v>6.9</v>
      </c>
      <c r="F3289" s="31" t="n">
        <v>73.6</v>
      </c>
      <c r="G3289" s="2"/>
      <c r="H3289" s="2" t="s">
        <v>668</v>
      </c>
    </row>
    <row r="3290" customFormat="false" ht="15" hidden="false" customHeight="false" outlineLevel="0" collapsed="false">
      <c r="A3290" s="2" t="s">
        <v>2902</v>
      </c>
      <c r="B3290" s="2" t="s">
        <v>4104</v>
      </c>
      <c r="C3290" s="2" t="s">
        <v>4087</v>
      </c>
      <c r="D3290" s="2"/>
      <c r="E3290" s="31" t="n">
        <v>0.6</v>
      </c>
      <c r="F3290" s="2"/>
      <c r="G3290" s="31" t="n">
        <v>6.5</v>
      </c>
      <c r="H3290" s="2" t="s">
        <v>668</v>
      </c>
    </row>
    <row r="3291" customFormat="false" ht="15" hidden="false" customHeight="false" outlineLevel="0" collapsed="false">
      <c r="A3291" s="2" t="s">
        <v>2902</v>
      </c>
      <c r="B3291" s="2" t="s">
        <v>46</v>
      </c>
      <c r="C3291" s="2" t="s">
        <v>4085</v>
      </c>
      <c r="D3291" s="11" t="n">
        <v>2370</v>
      </c>
      <c r="E3291" s="31" t="n">
        <v>3.1</v>
      </c>
      <c r="F3291" s="2"/>
      <c r="G3291" s="31" t="n">
        <v>39.3</v>
      </c>
      <c r="H3291" s="2" t="s">
        <v>668</v>
      </c>
    </row>
    <row r="3292" customFormat="false" ht="15" hidden="false" customHeight="false" outlineLevel="0" collapsed="false">
      <c r="A3292" s="2" t="s">
        <v>2902</v>
      </c>
      <c r="B3292" s="2" t="s">
        <v>46</v>
      </c>
      <c r="C3292" s="2" t="s">
        <v>4086</v>
      </c>
      <c r="D3292" s="11" t="n">
        <v>2421</v>
      </c>
      <c r="E3292" s="31" t="n">
        <v>6.9</v>
      </c>
      <c r="F3292" s="31" t="n">
        <v>73.6</v>
      </c>
      <c r="G3292" s="2"/>
      <c r="H3292" s="2" t="s">
        <v>668</v>
      </c>
    </row>
    <row r="3293" customFormat="false" ht="15" hidden="false" customHeight="false" outlineLevel="0" collapsed="false">
      <c r="A3293" s="2" t="s">
        <v>2902</v>
      </c>
      <c r="B3293" s="2" t="s">
        <v>46</v>
      </c>
      <c r="C3293" s="2" t="s">
        <v>4087</v>
      </c>
      <c r="D3293" s="11" t="n">
        <v>2560</v>
      </c>
      <c r="E3293" s="31" t="n">
        <v>0.6</v>
      </c>
      <c r="F3293" s="2"/>
      <c r="G3293" s="31" t="n">
        <v>6.5</v>
      </c>
      <c r="H3293" s="2" t="s">
        <v>668</v>
      </c>
    </row>
    <row r="3294" customFormat="false" ht="15" hidden="false" customHeight="false" outlineLevel="0" collapsed="false">
      <c r="A3294" s="2" t="s">
        <v>1391</v>
      </c>
      <c r="B3294" s="2" t="s">
        <v>4104</v>
      </c>
      <c r="C3294" s="2" t="s">
        <v>4085</v>
      </c>
      <c r="D3294" s="2"/>
      <c r="E3294" s="31" t="n">
        <v>87.7</v>
      </c>
      <c r="F3294" s="2"/>
      <c r="G3294" s="31" t="n">
        <v>25.3</v>
      </c>
      <c r="H3294" s="2" t="s">
        <v>668</v>
      </c>
    </row>
    <row r="3295" customFormat="false" ht="15" hidden="false" customHeight="false" outlineLevel="0" collapsed="false">
      <c r="A3295" s="2" t="s">
        <v>1391</v>
      </c>
      <c r="B3295" s="2" t="s">
        <v>4104</v>
      </c>
      <c r="C3295" s="2" t="s">
        <v>4086</v>
      </c>
      <c r="D3295" s="2"/>
      <c r="E3295" s="31" t="n">
        <v>76.6</v>
      </c>
      <c r="F3295" s="31" t="n">
        <v>19.6</v>
      </c>
      <c r="G3295" s="31" t="n">
        <v>33.7</v>
      </c>
      <c r="H3295" s="2" t="s">
        <v>671</v>
      </c>
    </row>
    <row r="3296" customFormat="false" ht="15" hidden="false" customHeight="false" outlineLevel="0" collapsed="false">
      <c r="A3296" s="2" t="s">
        <v>1391</v>
      </c>
      <c r="B3296" s="2" t="s">
        <v>4104</v>
      </c>
      <c r="C3296" s="2" t="s">
        <v>4087</v>
      </c>
      <c r="D3296" s="2"/>
      <c r="E3296" s="31" t="n">
        <v>97.3</v>
      </c>
      <c r="F3296" s="31" t="n">
        <v>43.2</v>
      </c>
      <c r="G3296" s="31" t="n">
        <v>31.8</v>
      </c>
      <c r="H3296" s="2" t="s">
        <v>668</v>
      </c>
    </row>
    <row r="3297" customFormat="false" ht="15" hidden="false" customHeight="false" outlineLevel="0" collapsed="false">
      <c r="A3297" s="2" t="s">
        <v>1391</v>
      </c>
      <c r="B3297" s="2" t="s">
        <v>45</v>
      </c>
      <c r="C3297" s="2" t="s">
        <v>4085</v>
      </c>
      <c r="D3297" s="2"/>
      <c r="E3297" s="2"/>
      <c r="F3297" s="2"/>
      <c r="G3297" s="2"/>
      <c r="H3297" s="2" t="s">
        <v>668</v>
      </c>
    </row>
    <row r="3298" customFormat="false" ht="15" hidden="false" customHeight="false" outlineLevel="0" collapsed="false">
      <c r="A3298" s="2" t="s">
        <v>1391</v>
      </c>
      <c r="B3298" s="2" t="s">
        <v>45</v>
      </c>
      <c r="C3298" s="2" t="s">
        <v>4086</v>
      </c>
      <c r="D3298" s="11" t="n">
        <v>33790</v>
      </c>
      <c r="E3298" s="31" t="n">
        <v>58.6</v>
      </c>
      <c r="F3298" s="31" t="n">
        <v>7.2</v>
      </c>
      <c r="G3298" s="31" t="n">
        <v>26.8</v>
      </c>
      <c r="H3298" s="2" t="s">
        <v>671</v>
      </c>
    </row>
    <row r="3299" customFormat="false" ht="15" hidden="false" customHeight="false" outlineLevel="0" collapsed="false">
      <c r="A3299" s="2" t="s">
        <v>1391</v>
      </c>
      <c r="B3299" s="2" t="s">
        <v>45</v>
      </c>
      <c r="C3299" s="2" t="s">
        <v>4087</v>
      </c>
      <c r="D3299" s="2"/>
      <c r="E3299" s="2"/>
      <c r="F3299" s="2"/>
      <c r="G3299" s="31" t="n">
        <v>57.5</v>
      </c>
      <c r="H3299" s="2" t="s">
        <v>668</v>
      </c>
    </row>
    <row r="3300" customFormat="false" ht="15" hidden="false" customHeight="false" outlineLevel="0" collapsed="false">
      <c r="A3300" s="2" t="s">
        <v>1391</v>
      </c>
      <c r="B3300" s="2" t="s">
        <v>46</v>
      </c>
      <c r="C3300" s="2" t="s">
        <v>4085</v>
      </c>
      <c r="D3300" s="11" t="n">
        <v>27620</v>
      </c>
      <c r="E3300" s="31" t="n">
        <v>87.7</v>
      </c>
      <c r="F3300" s="2"/>
      <c r="G3300" s="31" t="n">
        <v>25.3</v>
      </c>
      <c r="H3300" s="2" t="s">
        <v>668</v>
      </c>
    </row>
    <row r="3301" customFormat="false" ht="15" hidden="false" customHeight="false" outlineLevel="0" collapsed="false">
      <c r="A3301" s="2" t="s">
        <v>1391</v>
      </c>
      <c r="B3301" s="2" t="s">
        <v>46</v>
      </c>
      <c r="C3301" s="2" t="s">
        <v>4086</v>
      </c>
      <c r="D3301" s="11" t="n">
        <v>28930</v>
      </c>
      <c r="E3301" s="31" t="n">
        <v>94.5</v>
      </c>
      <c r="F3301" s="31" t="n">
        <v>32</v>
      </c>
      <c r="G3301" s="31" t="n">
        <v>40.6</v>
      </c>
      <c r="H3301" s="2" t="s">
        <v>671</v>
      </c>
    </row>
    <row r="3302" customFormat="false" ht="15" hidden="false" customHeight="false" outlineLevel="0" collapsed="false">
      <c r="A3302" s="2" t="s">
        <v>1391</v>
      </c>
      <c r="B3302" s="2" t="s">
        <v>46</v>
      </c>
      <c r="C3302" s="2" t="s">
        <v>4087</v>
      </c>
      <c r="D3302" s="11" t="n">
        <v>29140</v>
      </c>
      <c r="E3302" s="31" t="n">
        <v>97.3</v>
      </c>
      <c r="F3302" s="31" t="n">
        <v>43.2</v>
      </c>
      <c r="G3302" s="31" t="n">
        <v>6</v>
      </c>
      <c r="H3302" s="2" t="s">
        <v>671</v>
      </c>
    </row>
    <row r="3303" customFormat="false" ht="15" hidden="false" customHeight="false" outlineLevel="0" collapsed="false">
      <c r="A3303" s="2" t="s">
        <v>396</v>
      </c>
      <c r="B3303" s="2" t="s">
        <v>4104</v>
      </c>
      <c r="C3303" s="2" t="s">
        <v>4085</v>
      </c>
      <c r="D3303" s="2"/>
      <c r="E3303" s="31" t="n">
        <v>45.8</v>
      </c>
      <c r="F3303" s="31" t="n">
        <v>49.1</v>
      </c>
      <c r="G3303" s="31" t="n">
        <v>49</v>
      </c>
      <c r="H3303" s="2" t="s">
        <v>671</v>
      </c>
    </row>
    <row r="3304" customFormat="false" ht="15" hidden="false" customHeight="false" outlineLevel="0" collapsed="false">
      <c r="A3304" s="2" t="s">
        <v>396</v>
      </c>
      <c r="B3304" s="2" t="s">
        <v>4104</v>
      </c>
      <c r="C3304" s="2" t="s">
        <v>4086</v>
      </c>
      <c r="D3304" s="2"/>
      <c r="E3304" s="31" t="n">
        <v>43.8</v>
      </c>
      <c r="F3304" s="31" t="n">
        <v>63</v>
      </c>
      <c r="G3304" s="31" t="n">
        <v>20.5</v>
      </c>
      <c r="H3304" s="2" t="s">
        <v>668</v>
      </c>
    </row>
    <row r="3305" customFormat="false" ht="15" hidden="false" customHeight="false" outlineLevel="0" collapsed="false">
      <c r="A3305" s="2" t="s">
        <v>396</v>
      </c>
      <c r="B3305" s="2" t="s">
        <v>4104</v>
      </c>
      <c r="C3305" s="2" t="s">
        <v>4087</v>
      </c>
      <c r="D3305" s="2"/>
      <c r="E3305" s="31" t="n">
        <v>47.1</v>
      </c>
      <c r="F3305" s="31" t="n">
        <v>49.5</v>
      </c>
      <c r="G3305" s="31" t="n">
        <v>46.1</v>
      </c>
      <c r="H3305" s="2" t="s">
        <v>671</v>
      </c>
    </row>
    <row r="3306" customFormat="false" ht="15" hidden="false" customHeight="false" outlineLevel="0" collapsed="false">
      <c r="A3306" s="2" t="s">
        <v>396</v>
      </c>
      <c r="B3306" s="2" t="s">
        <v>45</v>
      </c>
      <c r="C3306" s="2" t="s">
        <v>4085</v>
      </c>
      <c r="D3306" s="11" t="n">
        <v>38730</v>
      </c>
      <c r="E3306" s="31" t="n">
        <v>69.5</v>
      </c>
      <c r="F3306" s="31" t="n">
        <v>69</v>
      </c>
      <c r="G3306" s="31" t="n">
        <v>13.4</v>
      </c>
      <c r="H3306" s="2" t="s">
        <v>671</v>
      </c>
    </row>
    <row r="3307" customFormat="false" ht="15" hidden="false" customHeight="false" outlineLevel="0" collapsed="false">
      <c r="A3307" s="2" t="s">
        <v>396</v>
      </c>
      <c r="B3307" s="2" t="s">
        <v>45</v>
      </c>
      <c r="C3307" s="2" t="s">
        <v>4086</v>
      </c>
      <c r="D3307" s="11" t="n">
        <v>39810</v>
      </c>
      <c r="E3307" s="31" t="n">
        <v>55.8</v>
      </c>
      <c r="F3307" s="31" t="n">
        <v>77</v>
      </c>
      <c r="G3307" s="31" t="n">
        <v>16.1</v>
      </c>
      <c r="H3307" s="2" t="s">
        <v>671</v>
      </c>
    </row>
    <row r="3308" customFormat="false" ht="15" hidden="false" customHeight="false" outlineLevel="0" collapsed="false">
      <c r="A3308" s="2" t="s">
        <v>396</v>
      </c>
      <c r="B3308" s="2" t="s">
        <v>45</v>
      </c>
      <c r="C3308" s="2" t="s">
        <v>4087</v>
      </c>
      <c r="D3308" s="11" t="n">
        <v>40920</v>
      </c>
      <c r="E3308" s="31" t="n">
        <v>73.5</v>
      </c>
      <c r="F3308" s="31" t="n">
        <v>59.1</v>
      </c>
      <c r="G3308" s="31" t="n">
        <v>64.9</v>
      </c>
      <c r="H3308" s="2" t="s">
        <v>671</v>
      </c>
    </row>
    <row r="3309" customFormat="false" ht="15" hidden="false" customHeight="false" outlineLevel="0" collapsed="false">
      <c r="A3309" s="2" t="s">
        <v>396</v>
      </c>
      <c r="B3309" s="2" t="s">
        <v>46</v>
      </c>
      <c r="C3309" s="2" t="s">
        <v>4085</v>
      </c>
      <c r="D3309" s="11" t="n">
        <v>109030</v>
      </c>
      <c r="E3309" s="31" t="n">
        <v>43.2</v>
      </c>
      <c r="F3309" s="31" t="n">
        <v>30.8</v>
      </c>
      <c r="G3309" s="31" t="n">
        <v>64.4</v>
      </c>
      <c r="H3309" s="2" t="s">
        <v>671</v>
      </c>
    </row>
    <row r="3310" customFormat="false" ht="15" hidden="false" customHeight="false" outlineLevel="0" collapsed="false">
      <c r="A3310" s="2" t="s">
        <v>396</v>
      </c>
      <c r="B3310" s="2" t="s">
        <v>46</v>
      </c>
      <c r="C3310" s="2" t="s">
        <v>4086</v>
      </c>
      <c r="D3310" s="2"/>
      <c r="E3310" s="2"/>
      <c r="F3310" s="2"/>
      <c r="G3310" s="2"/>
      <c r="H3310" s="2" t="s">
        <v>668</v>
      </c>
    </row>
    <row r="3311" customFormat="false" ht="15" hidden="false" customHeight="false" outlineLevel="0" collapsed="false">
      <c r="A3311" s="2" t="s">
        <v>396</v>
      </c>
      <c r="B3311" s="2" t="s">
        <v>46</v>
      </c>
      <c r="C3311" s="2" t="s">
        <v>4087</v>
      </c>
      <c r="D3311" s="11" t="n">
        <v>115600</v>
      </c>
      <c r="E3311" s="31" t="n">
        <v>18</v>
      </c>
      <c r="F3311" s="31" t="n">
        <v>33.8</v>
      </c>
      <c r="G3311" s="31" t="n">
        <v>63</v>
      </c>
      <c r="H3311" s="2" t="s">
        <v>671</v>
      </c>
    </row>
    <row r="3312" customFormat="false" ht="15" hidden="false" customHeight="false" outlineLevel="0" collapsed="false">
      <c r="A3312" s="2" t="s">
        <v>396</v>
      </c>
      <c r="B3312" s="2" t="s">
        <v>47</v>
      </c>
      <c r="C3312" s="2" t="s">
        <v>4085</v>
      </c>
      <c r="D3312" s="11" t="n">
        <v>18449</v>
      </c>
      <c r="E3312" s="31" t="n">
        <v>24.6</v>
      </c>
      <c r="F3312" s="31" t="n">
        <v>47.4</v>
      </c>
      <c r="G3312" s="31" t="n">
        <v>69.3</v>
      </c>
      <c r="H3312" s="2" t="s">
        <v>671</v>
      </c>
    </row>
    <row r="3313" customFormat="false" ht="15" hidden="false" customHeight="false" outlineLevel="0" collapsed="false">
      <c r="A3313" s="2" t="s">
        <v>396</v>
      </c>
      <c r="B3313" s="2" t="s">
        <v>47</v>
      </c>
      <c r="C3313" s="2" t="s">
        <v>4086</v>
      </c>
      <c r="D3313" s="11" t="n">
        <v>19355</v>
      </c>
      <c r="E3313" s="31" t="n">
        <v>31.9</v>
      </c>
      <c r="F3313" s="31" t="n">
        <v>49</v>
      </c>
      <c r="G3313" s="31" t="n">
        <v>24.9</v>
      </c>
      <c r="H3313" s="2" t="s">
        <v>671</v>
      </c>
    </row>
    <row r="3314" customFormat="false" ht="15" hidden="false" customHeight="false" outlineLevel="0" collapsed="false">
      <c r="A3314" s="2" t="s">
        <v>396</v>
      </c>
      <c r="B3314" s="2" t="s">
        <v>47</v>
      </c>
      <c r="C3314" s="2" t="s">
        <v>4087</v>
      </c>
      <c r="D3314" s="11" t="n">
        <v>19172</v>
      </c>
      <c r="E3314" s="31" t="n">
        <v>49.8</v>
      </c>
      <c r="F3314" s="31" t="n">
        <v>55.7</v>
      </c>
      <c r="G3314" s="31" t="n">
        <v>10.5</v>
      </c>
      <c r="H3314" s="2" t="s">
        <v>671</v>
      </c>
    </row>
    <row r="3315" customFormat="false" ht="15" hidden="false" customHeight="false" outlineLevel="0" collapsed="false">
      <c r="A3315" s="2" t="s">
        <v>2123</v>
      </c>
      <c r="B3315" s="2" t="s">
        <v>4104</v>
      </c>
      <c r="C3315" s="2" t="s">
        <v>4085</v>
      </c>
      <c r="D3315" s="2"/>
      <c r="E3315" s="31" t="n">
        <v>36.8</v>
      </c>
      <c r="F3315" s="31" t="n">
        <v>20.1</v>
      </c>
      <c r="G3315" s="31" t="n">
        <v>60.9</v>
      </c>
      <c r="H3315" s="2" t="s">
        <v>668</v>
      </c>
    </row>
    <row r="3316" customFormat="false" ht="15" hidden="false" customHeight="false" outlineLevel="0" collapsed="false">
      <c r="A3316" s="2" t="s">
        <v>2123</v>
      </c>
      <c r="B3316" s="2" t="s">
        <v>4104</v>
      </c>
      <c r="C3316" s="2" t="s">
        <v>4087</v>
      </c>
      <c r="D3316" s="2"/>
      <c r="E3316" s="31" t="n">
        <v>40.8</v>
      </c>
      <c r="F3316" s="31" t="n">
        <v>17.5</v>
      </c>
      <c r="G3316" s="31" t="n">
        <v>70.7</v>
      </c>
      <c r="H3316" s="2" t="s">
        <v>668</v>
      </c>
    </row>
    <row r="3317" customFormat="false" ht="15" hidden="false" customHeight="false" outlineLevel="0" collapsed="false">
      <c r="A3317" s="2" t="s">
        <v>2123</v>
      </c>
      <c r="B3317" s="2" t="s">
        <v>45</v>
      </c>
      <c r="C3317" s="2" t="s">
        <v>4085</v>
      </c>
      <c r="D3317" s="11" t="n">
        <v>34690</v>
      </c>
      <c r="E3317" s="31" t="n">
        <v>1.5</v>
      </c>
      <c r="F3317" s="31" t="n">
        <v>42.7</v>
      </c>
      <c r="G3317" s="31" t="n">
        <v>66.6</v>
      </c>
      <c r="H3317" s="2" t="s">
        <v>671</v>
      </c>
    </row>
    <row r="3318" customFormat="false" ht="15" hidden="false" customHeight="false" outlineLevel="0" collapsed="false">
      <c r="A3318" s="2" t="s">
        <v>2123</v>
      </c>
      <c r="B3318" s="2" t="s">
        <v>45</v>
      </c>
      <c r="C3318" s="2" t="s">
        <v>4087</v>
      </c>
      <c r="D3318" s="11" t="n">
        <v>37770</v>
      </c>
      <c r="E3318" s="31" t="n">
        <v>5.6</v>
      </c>
      <c r="F3318" s="31" t="n">
        <v>28.2</v>
      </c>
      <c r="G3318" s="2"/>
      <c r="H3318" s="2" t="s">
        <v>668</v>
      </c>
    </row>
    <row r="3319" customFormat="false" ht="15" hidden="false" customHeight="false" outlineLevel="0" collapsed="false">
      <c r="A3319" s="2" t="s">
        <v>2123</v>
      </c>
      <c r="B3319" s="2" t="s">
        <v>46</v>
      </c>
      <c r="C3319" s="2" t="s">
        <v>4085</v>
      </c>
      <c r="D3319" s="11" t="n">
        <v>121638</v>
      </c>
      <c r="E3319" s="2"/>
      <c r="F3319" s="31" t="n">
        <v>5.8</v>
      </c>
      <c r="G3319" s="31" t="n">
        <v>84.5</v>
      </c>
      <c r="H3319" s="2" t="s">
        <v>668</v>
      </c>
    </row>
    <row r="3320" customFormat="false" ht="15" hidden="false" customHeight="false" outlineLevel="0" collapsed="false">
      <c r="A3320" s="2" t="s">
        <v>2123</v>
      </c>
      <c r="B3320" s="2" t="s">
        <v>46</v>
      </c>
      <c r="C3320" s="2" t="s">
        <v>4087</v>
      </c>
      <c r="D3320" s="11" t="n">
        <v>126357</v>
      </c>
      <c r="E3320" s="2"/>
      <c r="F3320" s="31" t="n">
        <v>7.9</v>
      </c>
      <c r="G3320" s="2"/>
      <c r="H3320" s="2" t="s">
        <v>668</v>
      </c>
    </row>
    <row r="3321" customFormat="false" ht="15" hidden="false" customHeight="false" outlineLevel="0" collapsed="false">
      <c r="A3321" s="2" t="s">
        <v>2123</v>
      </c>
      <c r="B3321" s="2" t="s">
        <v>47</v>
      </c>
      <c r="C3321" s="2" t="s">
        <v>4085</v>
      </c>
      <c r="D3321" s="11" t="n">
        <v>497461</v>
      </c>
      <c r="E3321" s="31" t="n">
        <v>72.1</v>
      </c>
      <c r="F3321" s="31" t="n">
        <v>11.7</v>
      </c>
      <c r="G3321" s="31" t="n">
        <v>31.6</v>
      </c>
      <c r="H3321" s="2" t="s">
        <v>671</v>
      </c>
    </row>
    <row r="3322" customFormat="false" ht="15" hidden="false" customHeight="false" outlineLevel="0" collapsed="false">
      <c r="A3322" s="2" t="s">
        <v>2123</v>
      </c>
      <c r="B3322" s="2" t="s">
        <v>47</v>
      </c>
      <c r="C3322" s="2" t="s">
        <v>4087</v>
      </c>
      <c r="D3322" s="11" t="n">
        <v>503960</v>
      </c>
      <c r="E3322" s="31" t="n">
        <v>76</v>
      </c>
      <c r="F3322" s="31" t="n">
        <v>16.3</v>
      </c>
      <c r="G3322" s="31" t="n">
        <v>70.7</v>
      </c>
      <c r="H3322" s="2" t="s">
        <v>671</v>
      </c>
    </row>
    <row r="3323" customFormat="false" ht="15" hidden="false" customHeight="false" outlineLevel="0" collapsed="false">
      <c r="A3323" s="2" t="s">
        <v>498</v>
      </c>
      <c r="B3323" s="2" t="s">
        <v>4104</v>
      </c>
      <c r="C3323" s="2" t="s">
        <v>4085</v>
      </c>
      <c r="D3323" s="2"/>
      <c r="E3323" s="31" t="n">
        <v>28.7</v>
      </c>
      <c r="F3323" s="31" t="n">
        <v>73.9</v>
      </c>
      <c r="G3323" s="31" t="n">
        <v>46.4</v>
      </c>
      <c r="H3323" s="2" t="s">
        <v>671</v>
      </c>
    </row>
    <row r="3324" customFormat="false" ht="15" hidden="false" customHeight="false" outlineLevel="0" collapsed="false">
      <c r="A3324" s="2" t="s">
        <v>498</v>
      </c>
      <c r="B3324" s="2" t="s">
        <v>4104</v>
      </c>
      <c r="C3324" s="2" t="s">
        <v>4086</v>
      </c>
      <c r="D3324" s="2"/>
      <c r="E3324" s="31" t="n">
        <v>34.3</v>
      </c>
      <c r="F3324" s="31" t="n">
        <v>47.8</v>
      </c>
      <c r="G3324" s="31" t="n">
        <v>57.8</v>
      </c>
      <c r="H3324" s="2" t="s">
        <v>671</v>
      </c>
    </row>
    <row r="3325" customFormat="false" ht="15" hidden="false" customHeight="false" outlineLevel="0" collapsed="false">
      <c r="A3325" s="2" t="s">
        <v>498</v>
      </c>
      <c r="B3325" s="2" t="s">
        <v>4104</v>
      </c>
      <c r="C3325" s="2" t="s">
        <v>4087</v>
      </c>
      <c r="D3325" s="2"/>
      <c r="E3325" s="31" t="n">
        <v>36</v>
      </c>
      <c r="F3325" s="31" t="n">
        <v>48.6</v>
      </c>
      <c r="G3325" s="31" t="n">
        <v>52.1</v>
      </c>
      <c r="H3325" s="2" t="s">
        <v>671</v>
      </c>
    </row>
    <row r="3326" customFormat="false" ht="15" hidden="false" customHeight="false" outlineLevel="0" collapsed="false">
      <c r="A3326" s="2" t="s">
        <v>498</v>
      </c>
      <c r="B3326" s="2" t="s">
        <v>45</v>
      </c>
      <c r="C3326" s="2" t="s">
        <v>4085</v>
      </c>
      <c r="D3326" s="11" t="n">
        <v>789980</v>
      </c>
      <c r="E3326" s="31" t="n">
        <v>44.7</v>
      </c>
      <c r="F3326" s="31" t="n">
        <v>82.2</v>
      </c>
      <c r="G3326" s="31" t="n">
        <v>48.5</v>
      </c>
      <c r="H3326" s="2" t="s">
        <v>671</v>
      </c>
    </row>
    <row r="3327" customFormat="false" ht="15" hidden="false" customHeight="false" outlineLevel="0" collapsed="false">
      <c r="A3327" s="2" t="s">
        <v>498</v>
      </c>
      <c r="B3327" s="2" t="s">
        <v>45</v>
      </c>
      <c r="C3327" s="2" t="s">
        <v>4086</v>
      </c>
      <c r="D3327" s="11" t="n">
        <v>804080</v>
      </c>
      <c r="E3327" s="31" t="n">
        <v>24</v>
      </c>
      <c r="F3327" s="31" t="n">
        <v>33.6</v>
      </c>
      <c r="G3327" s="31" t="n">
        <v>54.1</v>
      </c>
      <c r="H3327" s="2" t="s">
        <v>671</v>
      </c>
    </row>
    <row r="3328" customFormat="false" ht="15" hidden="false" customHeight="false" outlineLevel="0" collapsed="false">
      <c r="A3328" s="2" t="s">
        <v>498</v>
      </c>
      <c r="B3328" s="2" t="s">
        <v>45</v>
      </c>
      <c r="C3328" s="2" t="s">
        <v>4087</v>
      </c>
      <c r="D3328" s="11" t="n">
        <v>842150</v>
      </c>
      <c r="E3328" s="31" t="n">
        <v>37.4</v>
      </c>
      <c r="F3328" s="31" t="n">
        <v>52.2</v>
      </c>
      <c r="G3328" s="31" t="n">
        <v>44.5</v>
      </c>
      <c r="H3328" s="2" t="s">
        <v>671</v>
      </c>
    </row>
    <row r="3329" customFormat="false" ht="15" hidden="false" customHeight="false" outlineLevel="0" collapsed="false">
      <c r="A3329" s="2" t="s">
        <v>498</v>
      </c>
      <c r="B3329" s="2" t="s">
        <v>46</v>
      </c>
      <c r="C3329" s="2" t="s">
        <v>4085</v>
      </c>
      <c r="D3329" s="11" t="n">
        <v>121259</v>
      </c>
      <c r="E3329" s="31" t="n">
        <v>7.8</v>
      </c>
      <c r="F3329" s="31" t="n">
        <v>50</v>
      </c>
      <c r="G3329" s="31" t="n">
        <v>23.5</v>
      </c>
      <c r="H3329" s="2" t="s">
        <v>671</v>
      </c>
    </row>
    <row r="3330" customFormat="false" ht="15" hidden="false" customHeight="false" outlineLevel="0" collapsed="false">
      <c r="A3330" s="2" t="s">
        <v>498</v>
      </c>
      <c r="B3330" s="2" t="s">
        <v>46</v>
      </c>
      <c r="C3330" s="2" t="s">
        <v>4086</v>
      </c>
      <c r="D3330" s="11" t="n">
        <v>121984</v>
      </c>
      <c r="E3330" s="31" t="n">
        <v>4.5</v>
      </c>
      <c r="F3330" s="31" t="n">
        <v>33.1</v>
      </c>
      <c r="G3330" s="31" t="n">
        <v>39.1</v>
      </c>
      <c r="H3330" s="2" t="s">
        <v>671</v>
      </c>
    </row>
    <row r="3331" customFormat="false" ht="15" hidden="false" customHeight="false" outlineLevel="0" collapsed="false">
      <c r="A3331" s="2" t="s">
        <v>498</v>
      </c>
      <c r="B3331" s="2" t="s">
        <v>46</v>
      </c>
      <c r="C3331" s="2" t="s">
        <v>4087</v>
      </c>
      <c r="D3331" s="11" t="n">
        <v>123044</v>
      </c>
      <c r="E3331" s="31" t="n">
        <v>26.2</v>
      </c>
      <c r="F3331" s="31" t="n">
        <v>31.1</v>
      </c>
      <c r="G3331" s="31" t="n">
        <v>26.7</v>
      </c>
      <c r="H3331" s="2" t="s">
        <v>671</v>
      </c>
    </row>
    <row r="3332" customFormat="false" ht="15" hidden="false" customHeight="false" outlineLevel="0" collapsed="false">
      <c r="A3332" s="2" t="s">
        <v>498</v>
      </c>
      <c r="B3332" s="2" t="s">
        <v>47</v>
      </c>
      <c r="C3332" s="2" t="s">
        <v>4085</v>
      </c>
      <c r="D3332" s="11" t="n">
        <v>29722</v>
      </c>
      <c r="E3332" s="31" t="n">
        <v>33.7</v>
      </c>
      <c r="F3332" s="31" t="n">
        <v>89.5</v>
      </c>
      <c r="G3332" s="31" t="n">
        <v>67.2</v>
      </c>
      <c r="H3332" s="2" t="s">
        <v>671</v>
      </c>
    </row>
    <row r="3333" customFormat="false" ht="15" hidden="false" customHeight="false" outlineLevel="0" collapsed="false">
      <c r="A3333" s="2" t="s">
        <v>498</v>
      </c>
      <c r="B3333" s="2" t="s">
        <v>47</v>
      </c>
      <c r="C3333" s="2" t="s">
        <v>4086</v>
      </c>
      <c r="D3333" s="11" t="n">
        <v>31396</v>
      </c>
      <c r="E3333" s="31" t="n">
        <v>74.3</v>
      </c>
      <c r="F3333" s="31" t="n">
        <v>76.6</v>
      </c>
      <c r="G3333" s="31" t="n">
        <v>80.3</v>
      </c>
      <c r="H3333" s="2" t="s">
        <v>671</v>
      </c>
    </row>
    <row r="3334" customFormat="false" ht="15" hidden="false" customHeight="false" outlineLevel="0" collapsed="false">
      <c r="A3334" s="2" t="s">
        <v>498</v>
      </c>
      <c r="B3334" s="2" t="s">
        <v>47</v>
      </c>
      <c r="C3334" s="2" t="s">
        <v>4087</v>
      </c>
      <c r="D3334" s="11" t="n">
        <v>33231</v>
      </c>
      <c r="E3334" s="31" t="n">
        <v>44.3</v>
      </c>
      <c r="F3334" s="31" t="n">
        <v>62.4</v>
      </c>
      <c r="G3334" s="31" t="n">
        <v>85</v>
      </c>
      <c r="H3334" s="2" t="s">
        <v>671</v>
      </c>
    </row>
    <row r="3335" customFormat="false" ht="15" hidden="false" customHeight="false" outlineLevel="0" collapsed="false">
      <c r="A3335" s="2" t="s">
        <v>858</v>
      </c>
      <c r="B3335" s="2" t="s">
        <v>4104</v>
      </c>
      <c r="C3335" s="2" t="s">
        <v>4085</v>
      </c>
      <c r="D3335" s="2"/>
      <c r="E3335" s="31" t="n">
        <v>45</v>
      </c>
      <c r="F3335" s="31" t="n">
        <v>74.8</v>
      </c>
      <c r="G3335" s="31" t="n">
        <v>59.6</v>
      </c>
      <c r="H3335" s="2" t="s">
        <v>668</v>
      </c>
    </row>
    <row r="3336" customFormat="false" ht="15" hidden="false" customHeight="false" outlineLevel="0" collapsed="false">
      <c r="A3336" s="2" t="s">
        <v>858</v>
      </c>
      <c r="B3336" s="2" t="s">
        <v>4104</v>
      </c>
      <c r="C3336" s="2" t="s">
        <v>4086</v>
      </c>
      <c r="D3336" s="2"/>
      <c r="E3336" s="31" t="n">
        <v>37.7</v>
      </c>
      <c r="F3336" s="31" t="n">
        <v>56.9</v>
      </c>
      <c r="G3336" s="31" t="n">
        <v>25.6</v>
      </c>
      <c r="H3336" s="2" t="s">
        <v>668</v>
      </c>
    </row>
    <row r="3337" customFormat="false" ht="15" hidden="false" customHeight="false" outlineLevel="0" collapsed="false">
      <c r="A3337" s="2" t="s">
        <v>858</v>
      </c>
      <c r="B3337" s="2" t="s">
        <v>4104</v>
      </c>
      <c r="C3337" s="2" t="s">
        <v>4087</v>
      </c>
      <c r="D3337" s="2"/>
      <c r="E3337" s="31" t="n">
        <v>53.4</v>
      </c>
      <c r="F3337" s="31" t="n">
        <v>51.6</v>
      </c>
      <c r="G3337" s="31" t="n">
        <v>36.3</v>
      </c>
      <c r="H3337" s="2" t="s">
        <v>668</v>
      </c>
    </row>
    <row r="3338" customFormat="false" ht="15" hidden="false" customHeight="false" outlineLevel="0" collapsed="false">
      <c r="A3338" s="2" t="s">
        <v>858</v>
      </c>
      <c r="B3338" s="2" t="s">
        <v>45</v>
      </c>
      <c r="C3338" s="2" t="s">
        <v>4085</v>
      </c>
      <c r="D3338" s="11" t="n">
        <v>17176</v>
      </c>
      <c r="E3338" s="31" t="n">
        <v>66.9</v>
      </c>
      <c r="F3338" s="31" t="n">
        <v>65.7</v>
      </c>
      <c r="G3338" s="2"/>
      <c r="H3338" s="2" t="s">
        <v>668</v>
      </c>
    </row>
    <row r="3339" customFormat="false" ht="15" hidden="false" customHeight="false" outlineLevel="0" collapsed="false">
      <c r="A3339" s="2" t="s">
        <v>858</v>
      </c>
      <c r="B3339" s="2" t="s">
        <v>45</v>
      </c>
      <c r="C3339" s="2" t="s">
        <v>4086</v>
      </c>
      <c r="D3339" s="11" t="n">
        <v>17390</v>
      </c>
      <c r="E3339" s="31" t="n">
        <v>40.8</v>
      </c>
      <c r="F3339" s="31" t="n">
        <v>32.6</v>
      </c>
      <c r="G3339" s="31" t="n">
        <v>14.2</v>
      </c>
      <c r="H3339" s="2" t="s">
        <v>671</v>
      </c>
    </row>
    <row r="3340" customFormat="false" ht="15" hidden="false" customHeight="false" outlineLevel="0" collapsed="false">
      <c r="A3340" s="2" t="s">
        <v>858</v>
      </c>
      <c r="B3340" s="2" t="s">
        <v>45</v>
      </c>
      <c r="C3340" s="2" t="s">
        <v>4087</v>
      </c>
      <c r="D3340" s="11" t="n">
        <v>17530</v>
      </c>
      <c r="E3340" s="31" t="n">
        <v>74.4</v>
      </c>
      <c r="F3340" s="31" t="n">
        <v>15.9</v>
      </c>
      <c r="G3340" s="31" t="n">
        <v>23.8</v>
      </c>
      <c r="H3340" s="2" t="s">
        <v>671</v>
      </c>
    </row>
    <row r="3341" customFormat="false" ht="15" hidden="false" customHeight="false" outlineLevel="0" collapsed="false">
      <c r="A3341" s="2" t="s">
        <v>858</v>
      </c>
      <c r="B3341" s="2" t="s">
        <v>46</v>
      </c>
      <c r="C3341" s="2" t="s">
        <v>4085</v>
      </c>
      <c r="D3341" s="2"/>
      <c r="E3341" s="2"/>
      <c r="F3341" s="2"/>
      <c r="G3341" s="2"/>
      <c r="H3341" s="2" t="s">
        <v>668</v>
      </c>
    </row>
    <row r="3342" customFormat="false" ht="15" hidden="false" customHeight="false" outlineLevel="0" collapsed="false">
      <c r="A3342" s="2" t="s">
        <v>858</v>
      </c>
      <c r="B3342" s="2" t="s">
        <v>46</v>
      </c>
      <c r="C3342" s="2" t="s">
        <v>4086</v>
      </c>
      <c r="D3342" s="11" t="n">
        <v>3260</v>
      </c>
      <c r="E3342" s="31" t="n">
        <v>62.5</v>
      </c>
      <c r="F3342" s="2"/>
      <c r="G3342" s="31" t="n">
        <v>43.7</v>
      </c>
      <c r="H3342" s="2" t="s">
        <v>668</v>
      </c>
    </row>
    <row r="3343" customFormat="false" ht="15" hidden="false" customHeight="false" outlineLevel="0" collapsed="false">
      <c r="A3343" s="2" t="s">
        <v>858</v>
      </c>
      <c r="B3343" s="2" t="s">
        <v>46</v>
      </c>
      <c r="C3343" s="2" t="s">
        <v>4087</v>
      </c>
      <c r="D3343" s="2"/>
      <c r="E3343" s="2"/>
      <c r="F3343" s="2"/>
      <c r="G3343" s="31" t="n">
        <v>52.5</v>
      </c>
      <c r="H3343" s="2" t="s">
        <v>668</v>
      </c>
    </row>
    <row r="3344" customFormat="false" ht="15" hidden="false" customHeight="false" outlineLevel="0" collapsed="false">
      <c r="A3344" s="2" t="s">
        <v>858</v>
      </c>
      <c r="B3344" s="2" t="s">
        <v>47</v>
      </c>
      <c r="C3344" s="2" t="s">
        <v>4085</v>
      </c>
      <c r="D3344" s="11" t="n">
        <v>44677</v>
      </c>
      <c r="E3344" s="31" t="n">
        <v>23</v>
      </c>
      <c r="F3344" s="31" t="n">
        <v>84</v>
      </c>
      <c r="G3344" s="31" t="n">
        <v>59.6</v>
      </c>
      <c r="H3344" s="2" t="s">
        <v>671</v>
      </c>
    </row>
    <row r="3345" customFormat="false" ht="15" hidden="false" customHeight="false" outlineLevel="0" collapsed="false">
      <c r="A3345" s="2" t="s">
        <v>858</v>
      </c>
      <c r="B3345" s="2" t="s">
        <v>47</v>
      </c>
      <c r="C3345" s="2" t="s">
        <v>4086</v>
      </c>
      <c r="D3345" s="11" t="n">
        <v>47462</v>
      </c>
      <c r="E3345" s="31" t="n">
        <v>9.9</v>
      </c>
      <c r="F3345" s="31" t="n">
        <v>81.2</v>
      </c>
      <c r="G3345" s="31" t="n">
        <v>19</v>
      </c>
      <c r="H3345" s="2" t="s">
        <v>668</v>
      </c>
    </row>
    <row r="3346" customFormat="false" ht="15" hidden="false" customHeight="false" outlineLevel="0" collapsed="false">
      <c r="A3346" s="2" t="s">
        <v>858</v>
      </c>
      <c r="B3346" s="2" t="s">
        <v>47</v>
      </c>
      <c r="C3346" s="2" t="s">
        <v>4087</v>
      </c>
      <c r="D3346" s="11" t="n">
        <v>49204</v>
      </c>
      <c r="E3346" s="31" t="n">
        <v>32.5</v>
      </c>
      <c r="F3346" s="31" t="n">
        <v>87.2</v>
      </c>
      <c r="G3346" s="31" t="n">
        <v>32.6</v>
      </c>
      <c r="H3346" s="2" t="s">
        <v>671</v>
      </c>
    </row>
    <row r="3347" customFormat="false" ht="15" hidden="false" customHeight="false" outlineLevel="0" collapsed="false">
      <c r="A3347" s="2" t="s">
        <v>2669</v>
      </c>
      <c r="B3347" s="2" t="s">
        <v>4104</v>
      </c>
      <c r="C3347" s="2" t="s">
        <v>4085</v>
      </c>
      <c r="D3347" s="2"/>
      <c r="E3347" s="31" t="n">
        <v>85.6</v>
      </c>
      <c r="F3347" s="31" t="n">
        <v>56.4</v>
      </c>
      <c r="G3347" s="31" t="n">
        <v>69.6</v>
      </c>
      <c r="H3347" s="2" t="s">
        <v>668</v>
      </c>
    </row>
    <row r="3348" customFormat="false" ht="15" hidden="false" customHeight="false" outlineLevel="0" collapsed="false">
      <c r="A3348" s="2" t="s">
        <v>2669</v>
      </c>
      <c r="B3348" s="2" t="s">
        <v>4104</v>
      </c>
      <c r="C3348" s="2" t="s">
        <v>4086</v>
      </c>
      <c r="D3348" s="2"/>
      <c r="E3348" s="31" t="n">
        <v>17.6</v>
      </c>
      <c r="F3348" s="31" t="n">
        <v>48.6</v>
      </c>
      <c r="G3348" s="31" t="n">
        <v>61.5</v>
      </c>
      <c r="H3348" s="2" t="s">
        <v>668</v>
      </c>
    </row>
    <row r="3349" customFormat="false" ht="15" hidden="false" customHeight="false" outlineLevel="0" collapsed="false">
      <c r="A3349" s="2" t="s">
        <v>2669</v>
      </c>
      <c r="B3349" s="2" t="s">
        <v>4104</v>
      </c>
      <c r="C3349" s="2" t="s">
        <v>4087</v>
      </c>
      <c r="D3349" s="2"/>
      <c r="E3349" s="31" t="n">
        <v>49.3</v>
      </c>
      <c r="F3349" s="31" t="n">
        <v>64.6</v>
      </c>
      <c r="G3349" s="31" t="n">
        <v>75.4</v>
      </c>
      <c r="H3349" s="2" t="s">
        <v>668</v>
      </c>
    </row>
    <row r="3350" customFormat="false" ht="15" hidden="false" customHeight="false" outlineLevel="0" collapsed="false">
      <c r="A3350" s="2" t="s">
        <v>2669</v>
      </c>
      <c r="B3350" s="2" t="s">
        <v>45</v>
      </c>
      <c r="C3350" s="2" t="s">
        <v>4085</v>
      </c>
      <c r="D3350" s="11" t="n">
        <v>10626</v>
      </c>
      <c r="E3350" s="31" t="n">
        <v>76.2</v>
      </c>
      <c r="F3350" s="31" t="n">
        <v>24.1</v>
      </c>
      <c r="G3350" s="2"/>
      <c r="H3350" s="2" t="s">
        <v>671</v>
      </c>
    </row>
    <row r="3351" customFormat="false" ht="15" hidden="false" customHeight="false" outlineLevel="0" collapsed="false">
      <c r="A3351" s="2" t="s">
        <v>2669</v>
      </c>
      <c r="B3351" s="2" t="s">
        <v>45</v>
      </c>
      <c r="C3351" s="2" t="s">
        <v>4086</v>
      </c>
      <c r="D3351" s="11" t="n">
        <v>10590</v>
      </c>
      <c r="E3351" s="31" t="n">
        <v>30.2</v>
      </c>
      <c r="F3351" s="2"/>
      <c r="G3351" s="2"/>
      <c r="H3351" s="2" t="s">
        <v>668</v>
      </c>
    </row>
    <row r="3352" customFormat="false" ht="15" hidden="false" customHeight="false" outlineLevel="0" collapsed="false">
      <c r="A3352" s="2" t="s">
        <v>2669</v>
      </c>
      <c r="B3352" s="2" t="s">
        <v>45</v>
      </c>
      <c r="C3352" s="2" t="s">
        <v>4087</v>
      </c>
      <c r="D3352" s="11" t="n">
        <v>10600</v>
      </c>
      <c r="E3352" s="31" t="n">
        <v>67.3</v>
      </c>
      <c r="F3352" s="2"/>
      <c r="G3352" s="2"/>
      <c r="H3352" s="2" t="s">
        <v>668</v>
      </c>
    </row>
    <row r="3353" customFormat="false" ht="15" hidden="false" customHeight="false" outlineLevel="0" collapsed="false">
      <c r="A3353" s="2" t="s">
        <v>2669</v>
      </c>
      <c r="B3353" s="2" t="s">
        <v>46</v>
      </c>
      <c r="C3353" s="2" t="s">
        <v>4085</v>
      </c>
      <c r="D3353" s="11" t="n">
        <v>71950</v>
      </c>
      <c r="E3353" s="31" t="n">
        <v>94.9</v>
      </c>
      <c r="F3353" s="31" t="n">
        <v>88.8</v>
      </c>
      <c r="G3353" s="31" t="n">
        <v>69.6</v>
      </c>
      <c r="H3353" s="2" t="s">
        <v>668</v>
      </c>
    </row>
    <row r="3354" customFormat="false" ht="15" hidden="false" customHeight="false" outlineLevel="0" collapsed="false">
      <c r="A3354" s="2" t="s">
        <v>2669</v>
      </c>
      <c r="B3354" s="2" t="s">
        <v>46</v>
      </c>
      <c r="C3354" s="2" t="s">
        <v>4086</v>
      </c>
      <c r="D3354" s="11" t="n">
        <v>76990</v>
      </c>
      <c r="E3354" s="2"/>
      <c r="F3354" s="31" t="n">
        <v>40</v>
      </c>
      <c r="G3354" s="2"/>
      <c r="H3354" s="2" t="s">
        <v>668</v>
      </c>
    </row>
    <row r="3355" customFormat="false" ht="15" hidden="false" customHeight="false" outlineLevel="0" collapsed="false">
      <c r="A3355" s="2" t="s">
        <v>2669</v>
      </c>
      <c r="B3355" s="2" t="s">
        <v>46</v>
      </c>
      <c r="C3355" s="2" t="s">
        <v>4087</v>
      </c>
      <c r="D3355" s="11" t="n">
        <v>78796</v>
      </c>
      <c r="E3355" s="31" t="n">
        <v>78.2</v>
      </c>
      <c r="F3355" s="31" t="n">
        <v>64.7</v>
      </c>
      <c r="G3355" s="2"/>
      <c r="H3355" s="2" t="s">
        <v>668</v>
      </c>
    </row>
    <row r="3356" customFormat="false" ht="15" hidden="false" customHeight="false" outlineLevel="0" collapsed="false">
      <c r="A3356" s="2" t="s">
        <v>2669</v>
      </c>
      <c r="B3356" s="2" t="s">
        <v>47</v>
      </c>
      <c r="C3356" s="2" t="s">
        <v>4085</v>
      </c>
      <c r="D3356" s="2"/>
      <c r="E3356" s="2"/>
      <c r="F3356" s="2"/>
      <c r="G3356" s="2"/>
      <c r="H3356" s="2" t="s">
        <v>668</v>
      </c>
    </row>
    <row r="3357" customFormat="false" ht="15" hidden="false" customHeight="false" outlineLevel="0" collapsed="false">
      <c r="A3357" s="2" t="s">
        <v>2669</v>
      </c>
      <c r="B3357" s="2" t="s">
        <v>47</v>
      </c>
      <c r="C3357" s="2" t="s">
        <v>4086</v>
      </c>
      <c r="D3357" s="11" t="n">
        <v>241641</v>
      </c>
      <c r="E3357" s="31" t="n">
        <v>4.9</v>
      </c>
      <c r="F3357" s="31" t="n">
        <v>57.1</v>
      </c>
      <c r="G3357" s="31" t="n">
        <v>61.5</v>
      </c>
      <c r="H3357" s="2" t="s">
        <v>671</v>
      </c>
    </row>
    <row r="3358" customFormat="false" ht="15" hidden="false" customHeight="false" outlineLevel="0" collapsed="false">
      <c r="A3358" s="2" t="s">
        <v>2669</v>
      </c>
      <c r="B3358" s="2" t="s">
        <v>47</v>
      </c>
      <c r="C3358" s="2" t="s">
        <v>4087</v>
      </c>
      <c r="D3358" s="11" t="n">
        <v>243361</v>
      </c>
      <c r="E3358" s="31" t="n">
        <v>2.5</v>
      </c>
      <c r="F3358" s="31" t="n">
        <v>64.5</v>
      </c>
      <c r="G3358" s="31" t="n">
        <v>75.4</v>
      </c>
      <c r="H3358" s="2" t="s">
        <v>671</v>
      </c>
    </row>
    <row r="3359" customFormat="false" ht="15" hidden="false" customHeight="false" outlineLevel="0" collapsed="false">
      <c r="A3359" s="2" t="s">
        <v>1666</v>
      </c>
      <c r="B3359" s="2" t="s">
        <v>4104</v>
      </c>
      <c r="C3359" s="2" t="s">
        <v>4085</v>
      </c>
      <c r="D3359" s="2"/>
      <c r="E3359" s="31" t="n">
        <v>60.8</v>
      </c>
      <c r="F3359" s="31" t="n">
        <v>40.3</v>
      </c>
      <c r="G3359" s="31" t="n">
        <v>32.6</v>
      </c>
      <c r="H3359" s="2" t="s">
        <v>668</v>
      </c>
    </row>
    <row r="3360" customFormat="false" ht="15" hidden="false" customHeight="false" outlineLevel="0" collapsed="false">
      <c r="A3360" s="2" t="s">
        <v>1666</v>
      </c>
      <c r="B3360" s="2" t="s">
        <v>4104</v>
      </c>
      <c r="C3360" s="2" t="s">
        <v>4086</v>
      </c>
      <c r="D3360" s="2"/>
      <c r="E3360" s="31" t="n">
        <v>37.6</v>
      </c>
      <c r="F3360" s="31" t="n">
        <v>81.4</v>
      </c>
      <c r="G3360" s="31" t="n">
        <v>43.5</v>
      </c>
      <c r="H3360" s="2" t="s">
        <v>668</v>
      </c>
    </row>
    <row r="3361" customFormat="false" ht="15" hidden="false" customHeight="false" outlineLevel="0" collapsed="false">
      <c r="A3361" s="2" t="s">
        <v>1666</v>
      </c>
      <c r="B3361" s="2" t="s">
        <v>4104</v>
      </c>
      <c r="C3361" s="2" t="s">
        <v>4087</v>
      </c>
      <c r="D3361" s="2"/>
      <c r="E3361" s="31" t="n">
        <v>51.4</v>
      </c>
      <c r="F3361" s="31" t="n">
        <v>42.1</v>
      </c>
      <c r="G3361" s="31" t="n">
        <v>29.4</v>
      </c>
      <c r="H3361" s="2" t="s">
        <v>668</v>
      </c>
    </row>
    <row r="3362" customFormat="false" ht="15" hidden="false" customHeight="false" outlineLevel="0" collapsed="false">
      <c r="A3362" s="2" t="s">
        <v>1666</v>
      </c>
      <c r="B3362" s="2" t="s">
        <v>45</v>
      </c>
      <c r="C3362" s="2" t="s">
        <v>4085</v>
      </c>
      <c r="D3362" s="2"/>
      <c r="E3362" s="2"/>
      <c r="F3362" s="2"/>
      <c r="G3362" s="2"/>
      <c r="H3362" s="2" t="s">
        <v>668</v>
      </c>
    </row>
    <row r="3363" customFormat="false" ht="15" hidden="false" customHeight="false" outlineLevel="0" collapsed="false">
      <c r="A3363" s="2" t="s">
        <v>1666</v>
      </c>
      <c r="B3363" s="2" t="s">
        <v>45</v>
      </c>
      <c r="C3363" s="2" t="s">
        <v>4086</v>
      </c>
      <c r="D3363" s="11" t="n">
        <v>52648</v>
      </c>
      <c r="E3363" s="31" t="n">
        <v>2.6</v>
      </c>
      <c r="F3363" s="31" t="n">
        <v>78.7</v>
      </c>
      <c r="G3363" s="31" t="n">
        <v>94.2</v>
      </c>
      <c r="H3363" s="2" t="s">
        <v>671</v>
      </c>
    </row>
    <row r="3364" customFormat="false" ht="15" hidden="false" customHeight="false" outlineLevel="0" collapsed="false">
      <c r="A3364" s="2" t="s">
        <v>1666</v>
      </c>
      <c r="B3364" s="2" t="s">
        <v>45</v>
      </c>
      <c r="C3364" s="2" t="s">
        <v>4087</v>
      </c>
      <c r="D3364" s="11" t="n">
        <v>55040</v>
      </c>
      <c r="E3364" s="31" t="n">
        <v>11.1</v>
      </c>
      <c r="F3364" s="31" t="n">
        <v>65.5</v>
      </c>
      <c r="G3364" s="2"/>
      <c r="H3364" s="2" t="s">
        <v>668</v>
      </c>
    </row>
    <row r="3365" customFormat="false" ht="15" hidden="false" customHeight="false" outlineLevel="0" collapsed="false">
      <c r="A3365" s="2" t="s">
        <v>1666</v>
      </c>
      <c r="B3365" s="2" t="s">
        <v>46</v>
      </c>
      <c r="C3365" s="2" t="s">
        <v>4085</v>
      </c>
      <c r="D3365" s="11" t="n">
        <v>67380</v>
      </c>
      <c r="E3365" s="31" t="n">
        <v>28.6</v>
      </c>
      <c r="F3365" s="31" t="n">
        <v>2.6</v>
      </c>
      <c r="G3365" s="31" t="n">
        <v>3.7</v>
      </c>
      <c r="H3365" s="2" t="s">
        <v>671</v>
      </c>
    </row>
    <row r="3366" customFormat="false" ht="15" hidden="false" customHeight="false" outlineLevel="0" collapsed="false">
      <c r="A3366" s="2" t="s">
        <v>1666</v>
      </c>
      <c r="B3366" s="2" t="s">
        <v>46</v>
      </c>
      <c r="C3366" s="2" t="s">
        <v>4086</v>
      </c>
      <c r="D3366" s="11" t="n">
        <v>65720</v>
      </c>
      <c r="E3366" s="31" t="n">
        <v>25.3</v>
      </c>
      <c r="F3366" s="2"/>
      <c r="G3366" s="31" t="n">
        <v>7.3</v>
      </c>
      <c r="H3366" s="2" t="s">
        <v>668</v>
      </c>
    </row>
    <row r="3367" customFormat="false" ht="15" hidden="false" customHeight="false" outlineLevel="0" collapsed="false">
      <c r="A3367" s="2" t="s">
        <v>1666</v>
      </c>
      <c r="B3367" s="2" t="s">
        <v>46</v>
      </c>
      <c r="C3367" s="2" t="s">
        <v>4087</v>
      </c>
      <c r="D3367" s="11" t="n">
        <v>65500</v>
      </c>
      <c r="E3367" s="31" t="n">
        <v>52.4</v>
      </c>
      <c r="F3367" s="31" t="n">
        <v>5.4</v>
      </c>
      <c r="G3367" s="31" t="n">
        <v>39.4</v>
      </c>
      <c r="H3367" s="2" t="s">
        <v>671</v>
      </c>
    </row>
    <row r="3368" customFormat="false" ht="15" hidden="false" customHeight="false" outlineLevel="0" collapsed="false">
      <c r="A3368" s="2" t="s">
        <v>1666</v>
      </c>
      <c r="B3368" s="2" t="s">
        <v>47</v>
      </c>
      <c r="C3368" s="2" t="s">
        <v>4085</v>
      </c>
      <c r="D3368" s="11" t="n">
        <v>10112</v>
      </c>
      <c r="E3368" s="31" t="n">
        <v>93.1</v>
      </c>
      <c r="F3368" s="31" t="n">
        <v>78.1</v>
      </c>
      <c r="G3368" s="31" t="n">
        <v>61.4</v>
      </c>
      <c r="H3368" s="2" t="s">
        <v>671</v>
      </c>
    </row>
    <row r="3369" customFormat="false" ht="15" hidden="false" customHeight="false" outlineLevel="0" collapsed="false">
      <c r="A3369" s="2" t="s">
        <v>1666</v>
      </c>
      <c r="B3369" s="2" t="s">
        <v>47</v>
      </c>
      <c r="C3369" s="2" t="s">
        <v>4086</v>
      </c>
      <c r="D3369" s="11" t="n">
        <v>10604</v>
      </c>
      <c r="E3369" s="31" t="n">
        <v>85</v>
      </c>
      <c r="F3369" s="31" t="n">
        <v>84.1</v>
      </c>
      <c r="G3369" s="31" t="n">
        <v>29</v>
      </c>
      <c r="H3369" s="2" t="s">
        <v>671</v>
      </c>
    </row>
    <row r="3370" customFormat="false" ht="15" hidden="false" customHeight="false" outlineLevel="0" collapsed="false">
      <c r="A3370" s="2" t="s">
        <v>1666</v>
      </c>
      <c r="B3370" s="2" t="s">
        <v>47</v>
      </c>
      <c r="C3370" s="2" t="s">
        <v>4087</v>
      </c>
      <c r="D3370" s="11" t="n">
        <v>11283</v>
      </c>
      <c r="E3370" s="31" t="n">
        <v>90.7</v>
      </c>
      <c r="F3370" s="31" t="n">
        <v>55.3</v>
      </c>
      <c r="G3370" s="31" t="n">
        <v>19.4</v>
      </c>
      <c r="H3370" s="2" t="s">
        <v>671</v>
      </c>
    </row>
    <row r="3371" customFormat="false" ht="15" hidden="false" customHeight="false" outlineLevel="0" collapsed="false">
      <c r="A3371" s="2" t="s">
        <v>1304</v>
      </c>
      <c r="B3371" s="2" t="s">
        <v>4104</v>
      </c>
      <c r="C3371" s="2" t="s">
        <v>4085</v>
      </c>
      <c r="D3371" s="2"/>
      <c r="E3371" s="31" t="n">
        <v>19.5</v>
      </c>
      <c r="F3371" s="31" t="n">
        <v>83.6</v>
      </c>
      <c r="G3371" s="31" t="n">
        <v>50.8</v>
      </c>
      <c r="H3371" s="2" t="s">
        <v>668</v>
      </c>
    </row>
    <row r="3372" customFormat="false" ht="15" hidden="false" customHeight="false" outlineLevel="0" collapsed="false">
      <c r="A3372" s="2" t="s">
        <v>1304</v>
      </c>
      <c r="B3372" s="2" t="s">
        <v>4104</v>
      </c>
      <c r="C3372" s="2" t="s">
        <v>4087</v>
      </c>
      <c r="D3372" s="2"/>
      <c r="E3372" s="31" t="n">
        <v>8.8</v>
      </c>
      <c r="F3372" s="31" t="n">
        <v>63.4</v>
      </c>
      <c r="G3372" s="31" t="n">
        <v>38.8</v>
      </c>
      <c r="H3372" s="2" t="s">
        <v>668</v>
      </c>
    </row>
    <row r="3373" customFormat="false" ht="15" hidden="false" customHeight="false" outlineLevel="0" collapsed="false">
      <c r="A3373" s="2" t="s">
        <v>1304</v>
      </c>
      <c r="B3373" s="2" t="s">
        <v>45</v>
      </c>
      <c r="C3373" s="2" t="s">
        <v>4085</v>
      </c>
      <c r="D3373" s="11" t="n">
        <v>187490</v>
      </c>
      <c r="E3373" s="31" t="n">
        <v>18.4</v>
      </c>
      <c r="F3373" s="31" t="n">
        <v>75.3</v>
      </c>
      <c r="G3373" s="31" t="n">
        <v>40</v>
      </c>
      <c r="H3373" s="2" t="s">
        <v>671</v>
      </c>
    </row>
    <row r="3374" customFormat="false" ht="15" hidden="false" customHeight="false" outlineLevel="0" collapsed="false">
      <c r="A3374" s="2" t="s">
        <v>1304</v>
      </c>
      <c r="B3374" s="2" t="s">
        <v>45</v>
      </c>
      <c r="C3374" s="2" t="s">
        <v>4087</v>
      </c>
      <c r="D3374" s="11" t="n">
        <v>211367</v>
      </c>
      <c r="E3374" s="31" t="n">
        <v>12.4</v>
      </c>
      <c r="F3374" s="31" t="n">
        <v>97.1</v>
      </c>
      <c r="G3374" s="31" t="n">
        <v>50.6</v>
      </c>
      <c r="H3374" s="2" t="s">
        <v>671</v>
      </c>
    </row>
    <row r="3375" customFormat="false" ht="15" hidden="false" customHeight="false" outlineLevel="0" collapsed="false">
      <c r="A3375" s="2" t="s">
        <v>1304</v>
      </c>
      <c r="B3375" s="2" t="s">
        <v>46</v>
      </c>
      <c r="C3375" s="2" t="s">
        <v>4085</v>
      </c>
      <c r="D3375" s="11" t="n">
        <v>657310</v>
      </c>
      <c r="E3375" s="31" t="n">
        <v>2.5</v>
      </c>
      <c r="F3375" s="2"/>
      <c r="G3375" s="31" t="n">
        <v>76.5</v>
      </c>
      <c r="H3375" s="2" t="s">
        <v>668</v>
      </c>
    </row>
    <row r="3376" customFormat="false" ht="15" hidden="false" customHeight="false" outlineLevel="0" collapsed="false">
      <c r="A3376" s="2" t="s">
        <v>1304</v>
      </c>
      <c r="B3376" s="2" t="s">
        <v>46</v>
      </c>
      <c r="C3376" s="2" t="s">
        <v>4087</v>
      </c>
      <c r="D3376" s="11" t="n">
        <v>663260</v>
      </c>
      <c r="E3376" s="31" t="n">
        <v>2.5</v>
      </c>
      <c r="F3376" s="31" t="n">
        <v>11.3</v>
      </c>
      <c r="G3376" s="2"/>
      <c r="H3376" s="2" t="s">
        <v>668</v>
      </c>
    </row>
    <row r="3377" customFormat="false" ht="15" hidden="false" customHeight="false" outlineLevel="0" collapsed="false">
      <c r="A3377" s="2" t="s">
        <v>1304</v>
      </c>
      <c r="B3377" s="2" t="s">
        <v>47</v>
      </c>
      <c r="C3377" s="2" t="s">
        <v>4085</v>
      </c>
      <c r="D3377" s="11" t="n">
        <v>473822</v>
      </c>
      <c r="E3377" s="31" t="n">
        <v>37.5</v>
      </c>
      <c r="F3377" s="31" t="n">
        <v>92</v>
      </c>
      <c r="G3377" s="31" t="n">
        <v>35.8</v>
      </c>
      <c r="H3377" s="2" t="s">
        <v>671</v>
      </c>
    </row>
    <row r="3378" customFormat="false" ht="15" hidden="false" customHeight="false" outlineLevel="0" collapsed="false">
      <c r="A3378" s="2" t="s">
        <v>1304</v>
      </c>
      <c r="B3378" s="2" t="s">
        <v>47</v>
      </c>
      <c r="C3378" s="2" t="s">
        <v>4087</v>
      </c>
      <c r="D3378" s="11" t="n">
        <v>520369</v>
      </c>
      <c r="E3378" s="31" t="n">
        <v>11.6</v>
      </c>
      <c r="F3378" s="31" t="n">
        <v>81.9</v>
      </c>
      <c r="G3378" s="31" t="n">
        <v>26.9</v>
      </c>
      <c r="H3378" s="2" t="s">
        <v>671</v>
      </c>
    </row>
    <row r="3379" customFormat="false" ht="15" hidden="false" customHeight="false" outlineLevel="0" collapsed="false">
      <c r="A3379" s="2" t="s">
        <v>714</v>
      </c>
      <c r="B3379" s="2" t="s">
        <v>4104</v>
      </c>
      <c r="C3379" s="2" t="s">
        <v>4085</v>
      </c>
      <c r="D3379" s="2"/>
      <c r="E3379" s="31" t="n">
        <v>85.1</v>
      </c>
      <c r="F3379" s="31" t="n">
        <v>66.7</v>
      </c>
      <c r="G3379" s="31" t="n">
        <v>55.2</v>
      </c>
      <c r="H3379" s="2" t="s">
        <v>668</v>
      </c>
    </row>
    <row r="3380" customFormat="false" ht="15" hidden="false" customHeight="false" outlineLevel="0" collapsed="false">
      <c r="A3380" s="2" t="s">
        <v>714</v>
      </c>
      <c r="B3380" s="2" t="s">
        <v>4104</v>
      </c>
      <c r="C3380" s="2" t="s">
        <v>4086</v>
      </c>
      <c r="D3380" s="2"/>
      <c r="E3380" s="31" t="n">
        <v>80.9</v>
      </c>
      <c r="F3380" s="31" t="n">
        <v>63.4</v>
      </c>
      <c r="G3380" s="31" t="n">
        <v>62.4</v>
      </c>
      <c r="H3380" s="2" t="s">
        <v>671</v>
      </c>
    </row>
    <row r="3381" customFormat="false" ht="15" hidden="false" customHeight="false" outlineLevel="0" collapsed="false">
      <c r="A3381" s="2" t="s">
        <v>714</v>
      </c>
      <c r="B3381" s="2" t="s">
        <v>4104</v>
      </c>
      <c r="C3381" s="2" t="s">
        <v>4087</v>
      </c>
      <c r="D3381" s="2"/>
      <c r="E3381" s="31" t="n">
        <v>88.8</v>
      </c>
      <c r="F3381" s="31" t="n">
        <v>87.2</v>
      </c>
      <c r="G3381" s="31" t="n">
        <v>54.7</v>
      </c>
      <c r="H3381" s="2" t="s">
        <v>668</v>
      </c>
    </row>
    <row r="3382" customFormat="false" ht="15" hidden="false" customHeight="false" outlineLevel="0" collapsed="false">
      <c r="A3382" s="2" t="s">
        <v>714</v>
      </c>
      <c r="B3382" s="2" t="s">
        <v>45</v>
      </c>
      <c r="C3382" s="2" t="s">
        <v>4085</v>
      </c>
      <c r="D3382" s="11" t="n">
        <v>791855</v>
      </c>
      <c r="E3382" s="31" t="n">
        <v>96.5</v>
      </c>
      <c r="F3382" s="31" t="n">
        <v>74.7</v>
      </c>
      <c r="G3382" s="31" t="n">
        <v>74.1</v>
      </c>
      <c r="H3382" s="2" t="s">
        <v>671</v>
      </c>
    </row>
    <row r="3383" customFormat="false" ht="15" hidden="false" customHeight="false" outlineLevel="0" collapsed="false">
      <c r="A3383" s="2" t="s">
        <v>714</v>
      </c>
      <c r="B3383" s="2" t="s">
        <v>45</v>
      </c>
      <c r="C3383" s="2" t="s">
        <v>4086</v>
      </c>
      <c r="D3383" s="11" t="n">
        <v>852710</v>
      </c>
      <c r="E3383" s="31" t="n">
        <v>95.1</v>
      </c>
      <c r="F3383" s="31" t="n">
        <v>40.7</v>
      </c>
      <c r="G3383" s="31" t="n">
        <v>70.6</v>
      </c>
      <c r="H3383" s="2" t="s">
        <v>671</v>
      </c>
    </row>
    <row r="3384" customFormat="false" ht="15" hidden="false" customHeight="false" outlineLevel="0" collapsed="false">
      <c r="A3384" s="2" t="s">
        <v>714</v>
      </c>
      <c r="B3384" s="2" t="s">
        <v>45</v>
      </c>
      <c r="C3384" s="2" t="s">
        <v>4087</v>
      </c>
      <c r="D3384" s="11" t="n">
        <v>870805</v>
      </c>
      <c r="E3384" s="31" t="n">
        <v>94.4</v>
      </c>
      <c r="F3384" s="31" t="n">
        <v>78.3</v>
      </c>
      <c r="G3384" s="31" t="n">
        <v>54.7</v>
      </c>
      <c r="H3384" s="2" t="s">
        <v>671</v>
      </c>
    </row>
    <row r="3385" customFormat="false" ht="15" hidden="false" customHeight="false" outlineLevel="0" collapsed="false">
      <c r="A3385" s="2" t="s">
        <v>714</v>
      </c>
      <c r="B3385" s="2" t="s">
        <v>46</v>
      </c>
      <c r="C3385" s="2" t="s">
        <v>4085</v>
      </c>
      <c r="D3385" s="11" t="n">
        <v>33880</v>
      </c>
      <c r="E3385" s="31" t="n">
        <v>88.6</v>
      </c>
      <c r="F3385" s="31" t="n">
        <v>33.3</v>
      </c>
      <c r="G3385" s="2"/>
      <c r="H3385" s="2" t="s">
        <v>668</v>
      </c>
    </row>
    <row r="3386" customFormat="false" ht="15" hidden="false" customHeight="false" outlineLevel="0" collapsed="false">
      <c r="A3386" s="2" t="s">
        <v>714</v>
      </c>
      <c r="B3386" s="2" t="s">
        <v>46</v>
      </c>
      <c r="C3386" s="2" t="s">
        <v>4086</v>
      </c>
      <c r="D3386" s="11" t="n">
        <v>60110</v>
      </c>
      <c r="E3386" s="31" t="n">
        <v>60.5</v>
      </c>
      <c r="F3386" s="31" t="n">
        <v>52</v>
      </c>
      <c r="G3386" s="31" t="n">
        <v>96.2</v>
      </c>
      <c r="H3386" s="2" t="s">
        <v>671</v>
      </c>
    </row>
    <row r="3387" customFormat="false" ht="15" hidden="false" customHeight="false" outlineLevel="0" collapsed="false">
      <c r="A3387" s="2" t="s">
        <v>714</v>
      </c>
      <c r="B3387" s="2" t="s">
        <v>46</v>
      </c>
      <c r="C3387" s="2" t="s">
        <v>4087</v>
      </c>
      <c r="D3387" s="2"/>
      <c r="E3387" s="2"/>
      <c r="F3387" s="2"/>
      <c r="G3387" s="2"/>
      <c r="H3387" s="2" t="s">
        <v>668</v>
      </c>
    </row>
    <row r="3388" customFormat="false" ht="15" hidden="false" customHeight="false" outlineLevel="0" collapsed="false">
      <c r="A3388" s="2" t="s">
        <v>714</v>
      </c>
      <c r="B3388" s="2" t="s">
        <v>47</v>
      </c>
      <c r="C3388" s="2" t="s">
        <v>4085</v>
      </c>
      <c r="D3388" s="11" t="n">
        <v>5437</v>
      </c>
      <c r="E3388" s="31" t="n">
        <v>70.1</v>
      </c>
      <c r="F3388" s="31" t="n">
        <v>92.2</v>
      </c>
      <c r="G3388" s="31" t="n">
        <v>36.3</v>
      </c>
      <c r="H3388" s="2" t="s">
        <v>671</v>
      </c>
    </row>
    <row r="3389" customFormat="false" ht="15" hidden="false" customHeight="false" outlineLevel="0" collapsed="false">
      <c r="A3389" s="2" t="s">
        <v>714</v>
      </c>
      <c r="B3389" s="2" t="s">
        <v>47</v>
      </c>
      <c r="C3389" s="2" t="s">
        <v>4086</v>
      </c>
      <c r="D3389" s="11" t="n">
        <v>5700</v>
      </c>
      <c r="E3389" s="31" t="n">
        <v>87.1</v>
      </c>
      <c r="F3389" s="31" t="n">
        <v>97.5</v>
      </c>
      <c r="G3389" s="31" t="n">
        <v>20.4</v>
      </c>
      <c r="H3389" s="2" t="s">
        <v>671</v>
      </c>
    </row>
    <row r="3390" customFormat="false" ht="15" hidden="false" customHeight="false" outlineLevel="0" collapsed="false">
      <c r="A3390" s="2" t="s">
        <v>714</v>
      </c>
      <c r="B3390" s="2" t="s">
        <v>47</v>
      </c>
      <c r="C3390" s="2" t="s">
        <v>4087</v>
      </c>
      <c r="D3390" s="11" t="n">
        <v>6179</v>
      </c>
      <c r="E3390" s="31" t="n">
        <v>83.1</v>
      </c>
      <c r="F3390" s="31" t="n">
        <v>96</v>
      </c>
      <c r="G3390" s="2"/>
      <c r="H3390" s="2" t="s">
        <v>668</v>
      </c>
    </row>
    <row r="3391" customFormat="false" ht="15" hidden="false" customHeight="false" outlineLevel="0" collapsed="false">
      <c r="A3391" s="2" t="s">
        <v>2155</v>
      </c>
      <c r="B3391" s="2" t="s">
        <v>4104</v>
      </c>
      <c r="C3391" s="2" t="s">
        <v>4085</v>
      </c>
      <c r="D3391" s="2"/>
      <c r="E3391" s="31" t="n">
        <v>61.8</v>
      </c>
      <c r="F3391" s="31" t="n">
        <v>53.8</v>
      </c>
      <c r="G3391" s="31" t="n">
        <v>51.6</v>
      </c>
      <c r="H3391" s="2" t="s">
        <v>668</v>
      </c>
    </row>
    <row r="3392" customFormat="false" ht="15" hidden="false" customHeight="false" outlineLevel="0" collapsed="false">
      <c r="A3392" s="2" t="s">
        <v>2155</v>
      </c>
      <c r="B3392" s="2" t="s">
        <v>4104</v>
      </c>
      <c r="C3392" s="2" t="s">
        <v>4086</v>
      </c>
      <c r="D3392" s="2"/>
      <c r="E3392" s="31" t="n">
        <v>57.8</v>
      </c>
      <c r="F3392" s="31" t="n">
        <v>71.1</v>
      </c>
      <c r="G3392" s="31" t="n">
        <v>82.8</v>
      </c>
      <c r="H3392" s="2" t="s">
        <v>668</v>
      </c>
    </row>
    <row r="3393" customFormat="false" ht="15" hidden="false" customHeight="false" outlineLevel="0" collapsed="false">
      <c r="A3393" s="2" t="s">
        <v>2155</v>
      </c>
      <c r="B3393" s="2" t="s">
        <v>4104</v>
      </c>
      <c r="C3393" s="2" t="s">
        <v>4087</v>
      </c>
      <c r="D3393" s="2"/>
      <c r="E3393" s="31" t="n">
        <v>46.1</v>
      </c>
      <c r="F3393" s="31" t="n">
        <v>70</v>
      </c>
      <c r="G3393" s="31" t="n">
        <v>92.4</v>
      </c>
      <c r="H3393" s="2" t="s">
        <v>668</v>
      </c>
    </row>
    <row r="3394" customFormat="false" ht="15" hidden="false" customHeight="false" outlineLevel="0" collapsed="false">
      <c r="A3394" s="2" t="s">
        <v>2155</v>
      </c>
      <c r="B3394" s="2" t="s">
        <v>45</v>
      </c>
      <c r="C3394" s="2" t="s">
        <v>4085</v>
      </c>
      <c r="D3394" s="11" t="n">
        <v>3902</v>
      </c>
      <c r="E3394" s="31" t="n">
        <v>22.5</v>
      </c>
      <c r="F3394" s="31" t="n">
        <v>85.5</v>
      </c>
      <c r="G3394" s="31" t="n">
        <v>19</v>
      </c>
      <c r="H3394" s="2" t="s">
        <v>671</v>
      </c>
    </row>
    <row r="3395" customFormat="false" ht="15" hidden="false" customHeight="false" outlineLevel="0" collapsed="false">
      <c r="A3395" s="2" t="s">
        <v>2155</v>
      </c>
      <c r="B3395" s="2" t="s">
        <v>45</v>
      </c>
      <c r="C3395" s="2" t="s">
        <v>4086</v>
      </c>
      <c r="D3395" s="11" t="n">
        <v>4010</v>
      </c>
      <c r="E3395" s="31" t="n">
        <v>17.4</v>
      </c>
      <c r="F3395" s="31" t="n">
        <v>93</v>
      </c>
      <c r="G3395" s="2"/>
      <c r="H3395" s="2" t="s">
        <v>668</v>
      </c>
    </row>
    <row r="3396" customFormat="false" ht="15" hidden="false" customHeight="false" outlineLevel="0" collapsed="false">
      <c r="A3396" s="2" t="s">
        <v>2155</v>
      </c>
      <c r="B3396" s="2" t="s">
        <v>45</v>
      </c>
      <c r="C3396" s="2" t="s">
        <v>4087</v>
      </c>
      <c r="D3396" s="11" t="n">
        <v>4317</v>
      </c>
      <c r="E3396" s="31" t="n">
        <v>21.4</v>
      </c>
      <c r="F3396" s="31" t="n">
        <v>94.4</v>
      </c>
      <c r="G3396" s="2"/>
      <c r="H3396" s="2" t="s">
        <v>668</v>
      </c>
    </row>
    <row r="3397" customFormat="false" ht="15" hidden="false" customHeight="false" outlineLevel="0" collapsed="false">
      <c r="A3397" s="2" t="s">
        <v>2155</v>
      </c>
      <c r="B3397" s="2" t="s">
        <v>46</v>
      </c>
      <c r="C3397" s="2" t="s">
        <v>4085</v>
      </c>
      <c r="D3397" s="11" t="n">
        <v>14334</v>
      </c>
      <c r="E3397" s="31" t="n">
        <v>77.3</v>
      </c>
      <c r="F3397" s="2"/>
      <c r="G3397" s="2"/>
      <c r="H3397" s="2" t="s">
        <v>668</v>
      </c>
    </row>
    <row r="3398" customFormat="false" ht="15" hidden="false" customHeight="false" outlineLevel="0" collapsed="false">
      <c r="A3398" s="2" t="s">
        <v>2155</v>
      </c>
      <c r="B3398" s="2" t="s">
        <v>46</v>
      </c>
      <c r="C3398" s="2" t="s">
        <v>4086</v>
      </c>
      <c r="D3398" s="11" t="n">
        <v>14670</v>
      </c>
      <c r="E3398" s="31" t="n">
        <v>63.3</v>
      </c>
      <c r="F3398" s="31" t="n">
        <v>76.7</v>
      </c>
      <c r="G3398" s="31" t="n">
        <v>85.9</v>
      </c>
      <c r="H3398" s="2" t="s">
        <v>671</v>
      </c>
    </row>
    <row r="3399" customFormat="false" ht="15" hidden="false" customHeight="false" outlineLevel="0" collapsed="false">
      <c r="A3399" s="2" t="s">
        <v>2155</v>
      </c>
      <c r="B3399" s="2" t="s">
        <v>46</v>
      </c>
      <c r="C3399" s="2" t="s">
        <v>4087</v>
      </c>
      <c r="D3399" s="11" t="n">
        <v>15930</v>
      </c>
      <c r="E3399" s="31" t="n">
        <v>45.7</v>
      </c>
      <c r="F3399" s="31" t="n">
        <v>83</v>
      </c>
      <c r="G3399" s="2"/>
      <c r="H3399" s="2" t="s">
        <v>668</v>
      </c>
    </row>
    <row r="3400" customFormat="false" ht="15" hidden="false" customHeight="false" outlineLevel="0" collapsed="false">
      <c r="A3400" s="2" t="s">
        <v>2155</v>
      </c>
      <c r="B3400" s="2" t="s">
        <v>47</v>
      </c>
      <c r="C3400" s="2" t="s">
        <v>4085</v>
      </c>
      <c r="D3400" s="11" t="n">
        <v>101592</v>
      </c>
      <c r="E3400" s="31" t="n">
        <v>85.5</v>
      </c>
      <c r="F3400" s="31" t="n">
        <v>22.2</v>
      </c>
      <c r="G3400" s="31" t="n">
        <v>84.3</v>
      </c>
      <c r="H3400" s="2" t="s">
        <v>671</v>
      </c>
    </row>
    <row r="3401" customFormat="false" ht="15" hidden="false" customHeight="false" outlineLevel="0" collapsed="false">
      <c r="A3401" s="2" t="s">
        <v>2155</v>
      </c>
      <c r="B3401" s="2" t="s">
        <v>47</v>
      </c>
      <c r="C3401" s="2" t="s">
        <v>4086</v>
      </c>
      <c r="D3401" s="11" t="n">
        <v>102470</v>
      </c>
      <c r="E3401" s="31" t="n">
        <v>92.6</v>
      </c>
      <c r="F3401" s="31" t="n">
        <v>43.5</v>
      </c>
      <c r="G3401" s="31" t="n">
        <v>79.7</v>
      </c>
      <c r="H3401" s="2" t="s">
        <v>671</v>
      </c>
    </row>
    <row r="3402" customFormat="false" ht="15" hidden="false" customHeight="false" outlineLevel="0" collapsed="false">
      <c r="A3402" s="2" t="s">
        <v>2155</v>
      </c>
      <c r="B3402" s="2" t="s">
        <v>47</v>
      </c>
      <c r="C3402" s="2" t="s">
        <v>4087</v>
      </c>
      <c r="D3402" s="11" t="n">
        <v>101839</v>
      </c>
      <c r="E3402" s="31" t="n">
        <v>71.1</v>
      </c>
      <c r="F3402" s="31" t="n">
        <v>32.5</v>
      </c>
      <c r="G3402" s="31" t="n">
        <v>92.4</v>
      </c>
      <c r="H3402" s="2" t="s">
        <v>671</v>
      </c>
    </row>
    <row r="3403" customFormat="false" ht="15" hidden="false" customHeight="false" outlineLevel="0" collapsed="false">
      <c r="A3403" s="2" t="s">
        <v>900</v>
      </c>
      <c r="B3403" s="2" t="s">
        <v>4104</v>
      </c>
      <c r="C3403" s="2" t="s">
        <v>4085</v>
      </c>
      <c r="D3403" s="2"/>
      <c r="E3403" s="31" t="n">
        <v>84.4</v>
      </c>
      <c r="F3403" s="31" t="n">
        <v>24.9</v>
      </c>
      <c r="G3403" s="31" t="n">
        <v>47.4</v>
      </c>
      <c r="H3403" s="2" t="s">
        <v>668</v>
      </c>
    </row>
    <row r="3404" customFormat="false" ht="15" hidden="false" customHeight="false" outlineLevel="0" collapsed="false">
      <c r="A3404" s="2" t="s">
        <v>900</v>
      </c>
      <c r="B3404" s="2" t="s">
        <v>4104</v>
      </c>
      <c r="C3404" s="2" t="s">
        <v>4086</v>
      </c>
      <c r="D3404" s="2"/>
      <c r="E3404" s="31" t="n">
        <v>60</v>
      </c>
      <c r="F3404" s="31" t="n">
        <v>36.9</v>
      </c>
      <c r="G3404" s="31" t="n">
        <v>44.2</v>
      </c>
      <c r="H3404" s="2" t="s">
        <v>668</v>
      </c>
    </row>
    <row r="3405" customFormat="false" ht="15" hidden="false" customHeight="false" outlineLevel="0" collapsed="false">
      <c r="A3405" s="2" t="s">
        <v>900</v>
      </c>
      <c r="B3405" s="2" t="s">
        <v>4104</v>
      </c>
      <c r="C3405" s="2" t="s">
        <v>4087</v>
      </c>
      <c r="D3405" s="2"/>
      <c r="E3405" s="31" t="n">
        <v>61.7</v>
      </c>
      <c r="F3405" s="31" t="n">
        <v>22.4</v>
      </c>
      <c r="G3405" s="31" t="n">
        <v>30.3</v>
      </c>
      <c r="H3405" s="2" t="s">
        <v>668</v>
      </c>
    </row>
    <row r="3406" customFormat="false" ht="15" hidden="false" customHeight="false" outlineLevel="0" collapsed="false">
      <c r="A3406" s="2" t="s">
        <v>900</v>
      </c>
      <c r="B3406" s="2" t="s">
        <v>45</v>
      </c>
      <c r="C3406" s="2" t="s">
        <v>4085</v>
      </c>
      <c r="D3406" s="11" t="n">
        <v>191990</v>
      </c>
      <c r="E3406" s="31" t="n">
        <v>84.4</v>
      </c>
      <c r="F3406" s="31" t="n">
        <v>11.6</v>
      </c>
      <c r="G3406" s="31" t="n">
        <v>36.6</v>
      </c>
      <c r="H3406" s="2" t="s">
        <v>671</v>
      </c>
    </row>
    <row r="3407" customFormat="false" ht="15" hidden="false" customHeight="false" outlineLevel="0" collapsed="false">
      <c r="A3407" s="2" t="s">
        <v>900</v>
      </c>
      <c r="B3407" s="2" t="s">
        <v>45</v>
      </c>
      <c r="C3407" s="2" t="s">
        <v>4086</v>
      </c>
      <c r="D3407" s="11" t="n">
        <v>191870</v>
      </c>
      <c r="E3407" s="31" t="n">
        <v>75.8</v>
      </c>
      <c r="F3407" s="31" t="n">
        <v>50.7</v>
      </c>
      <c r="G3407" s="31" t="n">
        <v>30.1</v>
      </c>
      <c r="H3407" s="2" t="s">
        <v>671</v>
      </c>
    </row>
    <row r="3408" customFormat="false" ht="15" hidden="false" customHeight="false" outlineLevel="0" collapsed="false">
      <c r="A3408" s="2" t="s">
        <v>900</v>
      </c>
      <c r="B3408" s="2" t="s">
        <v>45</v>
      </c>
      <c r="C3408" s="2" t="s">
        <v>4087</v>
      </c>
      <c r="D3408" s="11" t="n">
        <v>190946</v>
      </c>
      <c r="E3408" s="31" t="n">
        <v>68.8</v>
      </c>
      <c r="F3408" s="31" t="n">
        <v>29.7</v>
      </c>
      <c r="G3408" s="31" t="n">
        <v>47.5</v>
      </c>
      <c r="H3408" s="2" t="s">
        <v>671</v>
      </c>
    </row>
    <row r="3409" customFormat="false" ht="15" hidden="false" customHeight="false" outlineLevel="0" collapsed="false">
      <c r="A3409" s="2" t="s">
        <v>900</v>
      </c>
      <c r="B3409" s="2" t="s">
        <v>46</v>
      </c>
      <c r="C3409" s="2" t="s">
        <v>4085</v>
      </c>
      <c r="D3409" s="2"/>
      <c r="E3409" s="2"/>
      <c r="F3409" s="2"/>
      <c r="G3409" s="2"/>
      <c r="H3409" s="2" t="s">
        <v>668</v>
      </c>
    </row>
    <row r="3410" customFormat="false" ht="15" hidden="false" customHeight="false" outlineLevel="0" collapsed="false">
      <c r="A3410" s="2" t="s">
        <v>900</v>
      </c>
      <c r="B3410" s="2" t="s">
        <v>46</v>
      </c>
      <c r="C3410" s="2" t="s">
        <v>4086</v>
      </c>
      <c r="D3410" s="2"/>
      <c r="E3410" s="2"/>
      <c r="F3410" s="2"/>
      <c r="G3410" s="2"/>
      <c r="H3410" s="2" t="s">
        <v>668</v>
      </c>
    </row>
    <row r="3411" customFormat="false" ht="15" hidden="false" customHeight="false" outlineLevel="0" collapsed="false">
      <c r="A3411" s="2" t="s">
        <v>900</v>
      </c>
      <c r="B3411" s="2" t="s">
        <v>46</v>
      </c>
      <c r="C3411" s="2" t="s">
        <v>4087</v>
      </c>
      <c r="D3411" s="11" t="n">
        <v>49410</v>
      </c>
      <c r="E3411" s="31" t="n">
        <v>58.1</v>
      </c>
      <c r="F3411" s="31" t="n">
        <v>28.6</v>
      </c>
      <c r="G3411" s="2"/>
      <c r="H3411" s="2" t="s">
        <v>668</v>
      </c>
    </row>
    <row r="3412" customFormat="false" ht="15" hidden="false" customHeight="false" outlineLevel="0" collapsed="false">
      <c r="A3412" s="2" t="s">
        <v>900</v>
      </c>
      <c r="B3412" s="2" t="s">
        <v>47</v>
      </c>
      <c r="C3412" s="2" t="s">
        <v>4085</v>
      </c>
      <c r="D3412" s="11" t="n">
        <v>84022</v>
      </c>
      <c r="E3412" s="2"/>
      <c r="F3412" s="31" t="n">
        <v>38.2</v>
      </c>
      <c r="G3412" s="31" t="n">
        <v>58.2</v>
      </c>
      <c r="H3412" s="2" t="s">
        <v>668</v>
      </c>
    </row>
    <row r="3413" customFormat="false" ht="15" hidden="false" customHeight="false" outlineLevel="0" collapsed="false">
      <c r="A3413" s="2" t="s">
        <v>900</v>
      </c>
      <c r="B3413" s="2" t="s">
        <v>47</v>
      </c>
      <c r="C3413" s="2" t="s">
        <v>4086</v>
      </c>
      <c r="D3413" s="11" t="n">
        <v>81720</v>
      </c>
      <c r="E3413" s="31" t="n">
        <v>44.3</v>
      </c>
      <c r="F3413" s="31" t="n">
        <v>23.1</v>
      </c>
      <c r="G3413" s="31" t="n">
        <v>58.2</v>
      </c>
      <c r="H3413" s="2" t="s">
        <v>671</v>
      </c>
    </row>
    <row r="3414" customFormat="false" ht="15" hidden="false" customHeight="false" outlineLevel="0" collapsed="false">
      <c r="A3414" s="2" t="s">
        <v>900</v>
      </c>
      <c r="B3414" s="2" t="s">
        <v>47</v>
      </c>
      <c r="C3414" s="2" t="s">
        <v>4087</v>
      </c>
      <c r="D3414" s="11" t="n">
        <v>82851</v>
      </c>
      <c r="E3414" s="31" t="n">
        <v>58.2</v>
      </c>
      <c r="F3414" s="31" t="n">
        <v>8.9</v>
      </c>
      <c r="G3414" s="31" t="n">
        <v>13.1</v>
      </c>
      <c r="H3414" s="2" t="s">
        <v>671</v>
      </c>
    </row>
    <row r="3415" customFormat="false" ht="15" hidden="false" customHeight="false" outlineLevel="0" collapsed="false">
      <c r="A3415" s="2" t="s">
        <v>540</v>
      </c>
      <c r="B3415" s="2" t="s">
        <v>4104</v>
      </c>
      <c r="C3415" s="2" t="s">
        <v>4085</v>
      </c>
      <c r="D3415" s="2"/>
      <c r="E3415" s="2"/>
      <c r="F3415" s="2"/>
      <c r="G3415" s="31" t="n">
        <v>83.2</v>
      </c>
      <c r="H3415" s="2" t="s">
        <v>668</v>
      </c>
    </row>
    <row r="3416" customFormat="false" ht="15" hidden="false" customHeight="false" outlineLevel="0" collapsed="false">
      <c r="A3416" s="2" t="s">
        <v>540</v>
      </c>
      <c r="B3416" s="2" t="s">
        <v>4104</v>
      </c>
      <c r="C3416" s="2" t="s">
        <v>4086</v>
      </c>
      <c r="D3416" s="2"/>
      <c r="E3416" s="31" t="n">
        <v>69.8</v>
      </c>
      <c r="F3416" s="31" t="n">
        <v>42.9</v>
      </c>
      <c r="G3416" s="31" t="n">
        <v>96.8</v>
      </c>
      <c r="H3416" s="2" t="s">
        <v>671</v>
      </c>
    </row>
    <row r="3417" customFormat="false" ht="15" hidden="false" customHeight="false" outlineLevel="0" collapsed="false">
      <c r="A3417" s="2" t="s">
        <v>540</v>
      </c>
      <c r="B3417" s="2" t="s">
        <v>4104</v>
      </c>
      <c r="C3417" s="2" t="s">
        <v>4087</v>
      </c>
      <c r="D3417" s="2"/>
      <c r="E3417" s="31" t="n">
        <v>31.6</v>
      </c>
      <c r="F3417" s="31" t="n">
        <v>50.6</v>
      </c>
      <c r="G3417" s="31" t="n">
        <v>87.8</v>
      </c>
      <c r="H3417" s="2" t="s">
        <v>671</v>
      </c>
    </row>
    <row r="3418" customFormat="false" ht="15" hidden="false" customHeight="false" outlineLevel="0" collapsed="false">
      <c r="A3418" s="2" t="s">
        <v>540</v>
      </c>
      <c r="B3418" s="2" t="s">
        <v>47</v>
      </c>
      <c r="C3418" s="2" t="s">
        <v>4085</v>
      </c>
      <c r="D3418" s="2"/>
      <c r="E3418" s="2"/>
      <c r="F3418" s="2"/>
      <c r="G3418" s="31" t="n">
        <v>83.2</v>
      </c>
      <c r="H3418" s="2" t="s">
        <v>668</v>
      </c>
    </row>
    <row r="3419" customFormat="false" ht="15" hidden="false" customHeight="false" outlineLevel="0" collapsed="false">
      <c r="A3419" s="2" t="s">
        <v>540</v>
      </c>
      <c r="B3419" s="2" t="s">
        <v>47</v>
      </c>
      <c r="C3419" s="2" t="s">
        <v>4086</v>
      </c>
      <c r="D3419" s="11" t="n">
        <v>344440</v>
      </c>
      <c r="E3419" s="31" t="n">
        <v>69.8</v>
      </c>
      <c r="F3419" s="31" t="n">
        <v>42.9</v>
      </c>
      <c r="G3419" s="31" t="n">
        <v>96.8</v>
      </c>
      <c r="H3419" s="2" t="s">
        <v>671</v>
      </c>
    </row>
    <row r="3420" customFormat="false" ht="15" hidden="false" customHeight="false" outlineLevel="0" collapsed="false">
      <c r="A3420" s="2" t="s">
        <v>540</v>
      </c>
      <c r="B3420" s="2" t="s">
        <v>47</v>
      </c>
      <c r="C3420" s="2" t="s">
        <v>4087</v>
      </c>
      <c r="D3420" s="11" t="n">
        <v>355955</v>
      </c>
      <c r="E3420" s="31" t="n">
        <v>31.6</v>
      </c>
      <c r="F3420" s="31" t="n">
        <v>50.6</v>
      </c>
      <c r="G3420" s="31" t="n">
        <v>87.8</v>
      </c>
      <c r="H3420" s="2" t="s">
        <v>671</v>
      </c>
    </row>
    <row r="3421" customFormat="false" ht="15" hidden="false" customHeight="false" outlineLevel="0" collapsed="false">
      <c r="A3421" s="2" t="s">
        <v>193</v>
      </c>
      <c r="B3421" s="2" t="s">
        <v>4104</v>
      </c>
      <c r="C3421" s="2" t="s">
        <v>4085</v>
      </c>
      <c r="D3421" s="2"/>
      <c r="E3421" s="31" t="n">
        <v>72.2</v>
      </c>
      <c r="F3421" s="31" t="n">
        <v>36.7</v>
      </c>
      <c r="G3421" s="31" t="n">
        <v>1.4</v>
      </c>
      <c r="H3421" s="2" t="s">
        <v>671</v>
      </c>
    </row>
    <row r="3422" customFormat="false" ht="15" hidden="false" customHeight="false" outlineLevel="0" collapsed="false">
      <c r="A3422" s="2" t="s">
        <v>193</v>
      </c>
      <c r="B3422" s="2" t="s">
        <v>4104</v>
      </c>
      <c r="C3422" s="2" t="s">
        <v>4086</v>
      </c>
      <c r="D3422" s="2"/>
      <c r="E3422" s="31" t="n">
        <v>59.9</v>
      </c>
      <c r="F3422" s="31" t="n">
        <v>46.5</v>
      </c>
      <c r="G3422" s="31" t="n">
        <v>5.1</v>
      </c>
      <c r="H3422" s="2" t="s">
        <v>671</v>
      </c>
    </row>
    <row r="3423" customFormat="false" ht="15" hidden="false" customHeight="false" outlineLevel="0" collapsed="false">
      <c r="A3423" s="2" t="s">
        <v>193</v>
      </c>
      <c r="B3423" s="2" t="s">
        <v>4104</v>
      </c>
      <c r="C3423" s="2" t="s">
        <v>4087</v>
      </c>
      <c r="D3423" s="2"/>
      <c r="E3423" s="31" t="n">
        <v>71.9</v>
      </c>
      <c r="F3423" s="31" t="n">
        <v>33.6</v>
      </c>
      <c r="G3423" s="31" t="n">
        <v>13.7</v>
      </c>
      <c r="H3423" s="2" t="s">
        <v>671</v>
      </c>
    </row>
    <row r="3424" customFormat="false" ht="15" hidden="false" customHeight="false" outlineLevel="0" collapsed="false">
      <c r="A3424" s="2" t="s">
        <v>193</v>
      </c>
      <c r="B3424" s="2" t="s">
        <v>46</v>
      </c>
      <c r="C3424" s="2" t="s">
        <v>4085</v>
      </c>
      <c r="D3424" s="11" t="n">
        <v>11930</v>
      </c>
      <c r="E3424" s="31" t="n">
        <v>72.2</v>
      </c>
      <c r="F3424" s="31" t="n">
        <v>36.7</v>
      </c>
      <c r="G3424" s="31" t="n">
        <v>1.4</v>
      </c>
      <c r="H3424" s="2" t="s">
        <v>671</v>
      </c>
    </row>
    <row r="3425" customFormat="false" ht="15" hidden="false" customHeight="false" outlineLevel="0" collapsed="false">
      <c r="A3425" s="2" t="s">
        <v>193</v>
      </c>
      <c r="B3425" s="2" t="s">
        <v>46</v>
      </c>
      <c r="C3425" s="2" t="s">
        <v>4086</v>
      </c>
      <c r="D3425" s="11" t="n">
        <v>12740</v>
      </c>
      <c r="E3425" s="31" t="n">
        <v>59.9</v>
      </c>
      <c r="F3425" s="31" t="n">
        <v>46.5</v>
      </c>
      <c r="G3425" s="31" t="n">
        <v>5.1</v>
      </c>
      <c r="H3425" s="2" t="s">
        <v>671</v>
      </c>
    </row>
    <row r="3426" customFormat="false" ht="15" hidden="false" customHeight="false" outlineLevel="0" collapsed="false">
      <c r="A3426" s="2" t="s">
        <v>193</v>
      </c>
      <c r="B3426" s="2" t="s">
        <v>46</v>
      </c>
      <c r="C3426" s="2" t="s">
        <v>4087</v>
      </c>
      <c r="D3426" s="11" t="n">
        <v>13030</v>
      </c>
      <c r="E3426" s="31" t="n">
        <v>71.9</v>
      </c>
      <c r="F3426" s="31" t="n">
        <v>33.6</v>
      </c>
      <c r="G3426" s="31" t="n">
        <v>13.7</v>
      </c>
      <c r="H3426" s="2" t="s">
        <v>671</v>
      </c>
    </row>
    <row r="3427" customFormat="false" ht="15" hidden="false" customHeight="false" outlineLevel="0" collapsed="false">
      <c r="A3427" s="2" t="s">
        <v>1645</v>
      </c>
      <c r="B3427" s="2" t="s">
        <v>4104</v>
      </c>
      <c r="C3427" s="2" t="s">
        <v>4085</v>
      </c>
      <c r="D3427" s="2"/>
      <c r="E3427" s="31" t="n">
        <v>52.8</v>
      </c>
      <c r="F3427" s="31" t="n">
        <v>37.3</v>
      </c>
      <c r="G3427" s="31" t="n">
        <v>7.5</v>
      </c>
      <c r="H3427" s="2" t="s">
        <v>668</v>
      </c>
    </row>
    <row r="3428" customFormat="false" ht="15" hidden="false" customHeight="false" outlineLevel="0" collapsed="false">
      <c r="A3428" s="2" t="s">
        <v>1645</v>
      </c>
      <c r="B3428" s="2" t="s">
        <v>4104</v>
      </c>
      <c r="C3428" s="2" t="s">
        <v>4086</v>
      </c>
      <c r="D3428" s="2"/>
      <c r="E3428" s="31" t="n">
        <v>74.4</v>
      </c>
      <c r="F3428" s="31" t="n">
        <v>54.7</v>
      </c>
      <c r="G3428" s="31" t="n">
        <v>10.4</v>
      </c>
      <c r="H3428" s="2" t="s">
        <v>668</v>
      </c>
    </row>
    <row r="3429" customFormat="false" ht="15" hidden="false" customHeight="false" outlineLevel="0" collapsed="false">
      <c r="A3429" s="2" t="s">
        <v>1645</v>
      </c>
      <c r="B3429" s="2" t="s">
        <v>4104</v>
      </c>
      <c r="C3429" s="2" t="s">
        <v>4087</v>
      </c>
      <c r="D3429" s="2"/>
      <c r="E3429" s="31" t="n">
        <v>46.8</v>
      </c>
      <c r="F3429" s="31" t="n">
        <v>46.2</v>
      </c>
      <c r="G3429" s="31" t="n">
        <v>67.4</v>
      </c>
      <c r="H3429" s="2" t="s">
        <v>668</v>
      </c>
    </row>
    <row r="3430" customFormat="false" ht="15" hidden="false" customHeight="false" outlineLevel="0" collapsed="false">
      <c r="A3430" s="2" t="s">
        <v>1645</v>
      </c>
      <c r="B3430" s="2" t="s">
        <v>45</v>
      </c>
      <c r="C3430" s="2" t="s">
        <v>4085</v>
      </c>
      <c r="D3430" s="11" t="n">
        <v>2071</v>
      </c>
      <c r="E3430" s="31" t="n">
        <v>9.1</v>
      </c>
      <c r="F3430" s="2"/>
      <c r="G3430" s="31" t="n">
        <v>0.9</v>
      </c>
      <c r="H3430" s="2" t="s">
        <v>668</v>
      </c>
    </row>
    <row r="3431" customFormat="false" ht="15" hidden="false" customHeight="false" outlineLevel="0" collapsed="false">
      <c r="A3431" s="2" t="s">
        <v>1645</v>
      </c>
      <c r="B3431" s="2" t="s">
        <v>45</v>
      </c>
      <c r="C3431" s="2" t="s">
        <v>4086</v>
      </c>
      <c r="D3431" s="2"/>
      <c r="E3431" s="2"/>
      <c r="F3431" s="2"/>
      <c r="G3431" s="2"/>
      <c r="H3431" s="2" t="s">
        <v>668</v>
      </c>
    </row>
    <row r="3432" customFormat="false" ht="15" hidden="false" customHeight="false" outlineLevel="0" collapsed="false">
      <c r="A3432" s="2" t="s">
        <v>1645</v>
      </c>
      <c r="B3432" s="2" t="s">
        <v>45</v>
      </c>
      <c r="C3432" s="2" t="s">
        <v>4087</v>
      </c>
      <c r="D3432" s="11" t="n">
        <v>2114</v>
      </c>
      <c r="E3432" s="31" t="n">
        <v>10.7</v>
      </c>
      <c r="F3432" s="31" t="n">
        <v>24.1</v>
      </c>
      <c r="G3432" s="2"/>
      <c r="H3432" s="2" t="s">
        <v>668</v>
      </c>
    </row>
    <row r="3433" customFormat="false" ht="15" hidden="false" customHeight="false" outlineLevel="0" collapsed="false">
      <c r="A3433" s="2" t="s">
        <v>1645</v>
      </c>
      <c r="B3433" s="2" t="s">
        <v>46</v>
      </c>
      <c r="C3433" s="2" t="s">
        <v>4085</v>
      </c>
      <c r="D3433" s="11" t="n">
        <v>101020</v>
      </c>
      <c r="E3433" s="31" t="n">
        <v>67.9</v>
      </c>
      <c r="F3433" s="31" t="n">
        <v>62.2</v>
      </c>
      <c r="G3433" s="2"/>
      <c r="H3433" s="2" t="s">
        <v>668</v>
      </c>
    </row>
    <row r="3434" customFormat="false" ht="15" hidden="false" customHeight="false" outlineLevel="0" collapsed="false">
      <c r="A3434" s="2" t="s">
        <v>1645</v>
      </c>
      <c r="B3434" s="2" t="s">
        <v>46</v>
      </c>
      <c r="C3434" s="2" t="s">
        <v>4086</v>
      </c>
      <c r="D3434" s="11" t="n">
        <v>106840</v>
      </c>
      <c r="E3434" s="31" t="n">
        <v>58.2</v>
      </c>
      <c r="F3434" s="31" t="n">
        <v>86</v>
      </c>
      <c r="G3434" s="2"/>
      <c r="H3434" s="2" t="s">
        <v>668</v>
      </c>
    </row>
    <row r="3435" customFormat="false" ht="15" hidden="false" customHeight="false" outlineLevel="0" collapsed="false">
      <c r="A3435" s="2" t="s">
        <v>1645</v>
      </c>
      <c r="B3435" s="2" t="s">
        <v>46</v>
      </c>
      <c r="C3435" s="2" t="s">
        <v>4087</v>
      </c>
      <c r="D3435" s="11" t="n">
        <v>110340</v>
      </c>
      <c r="E3435" s="31" t="n">
        <v>54.8</v>
      </c>
      <c r="F3435" s="31" t="n">
        <v>79.5</v>
      </c>
      <c r="G3435" s="31" t="n">
        <v>95.3</v>
      </c>
      <c r="H3435" s="2" t="s">
        <v>671</v>
      </c>
    </row>
    <row r="3436" customFormat="false" ht="15" hidden="false" customHeight="false" outlineLevel="0" collapsed="false">
      <c r="A3436" s="2" t="s">
        <v>1645</v>
      </c>
      <c r="B3436" s="2" t="s">
        <v>47</v>
      </c>
      <c r="C3436" s="2" t="s">
        <v>4085</v>
      </c>
      <c r="D3436" s="11" t="n">
        <v>38390</v>
      </c>
      <c r="E3436" s="31" t="n">
        <v>81.3</v>
      </c>
      <c r="F3436" s="31" t="n">
        <v>12.4</v>
      </c>
      <c r="G3436" s="31" t="n">
        <v>14.1</v>
      </c>
      <c r="H3436" s="2" t="s">
        <v>671</v>
      </c>
    </row>
    <row r="3437" customFormat="false" ht="15" hidden="false" customHeight="false" outlineLevel="0" collapsed="false">
      <c r="A3437" s="2" t="s">
        <v>1645</v>
      </c>
      <c r="B3437" s="2" t="s">
        <v>47</v>
      </c>
      <c r="C3437" s="2" t="s">
        <v>4086</v>
      </c>
      <c r="D3437" s="11" t="n">
        <v>37827</v>
      </c>
      <c r="E3437" s="31" t="n">
        <v>90.7</v>
      </c>
      <c r="F3437" s="31" t="n">
        <v>23.4</v>
      </c>
      <c r="G3437" s="31" t="n">
        <v>10.4</v>
      </c>
      <c r="H3437" s="2" t="s">
        <v>671</v>
      </c>
    </row>
    <row r="3438" customFormat="false" ht="15" hidden="false" customHeight="false" outlineLevel="0" collapsed="false">
      <c r="A3438" s="2" t="s">
        <v>1645</v>
      </c>
      <c r="B3438" s="2" t="s">
        <v>47</v>
      </c>
      <c r="C3438" s="2" t="s">
        <v>4087</v>
      </c>
      <c r="D3438" s="11" t="n">
        <v>39202</v>
      </c>
      <c r="E3438" s="31" t="n">
        <v>74.9</v>
      </c>
      <c r="F3438" s="31" t="n">
        <v>35.1</v>
      </c>
      <c r="G3438" s="31" t="n">
        <v>39.6</v>
      </c>
      <c r="H3438" s="2" t="s">
        <v>671</v>
      </c>
    </row>
    <row r="3439" customFormat="false" ht="15" hidden="false" customHeight="false" outlineLevel="0" collapsed="false">
      <c r="A3439" s="2" t="s">
        <v>1384</v>
      </c>
      <c r="B3439" s="2" t="s">
        <v>4104</v>
      </c>
      <c r="C3439" s="2" t="s">
        <v>4085</v>
      </c>
      <c r="D3439" s="2"/>
      <c r="E3439" s="31" t="n">
        <v>73</v>
      </c>
      <c r="F3439" s="31" t="n">
        <v>28.4</v>
      </c>
      <c r="G3439" s="31" t="n">
        <v>44</v>
      </c>
      <c r="H3439" s="2" t="s">
        <v>668</v>
      </c>
    </row>
    <row r="3440" customFormat="false" ht="15" hidden="false" customHeight="false" outlineLevel="0" collapsed="false">
      <c r="A3440" s="2" t="s">
        <v>1384</v>
      </c>
      <c r="B3440" s="2" t="s">
        <v>4104</v>
      </c>
      <c r="C3440" s="2" t="s">
        <v>4086</v>
      </c>
      <c r="D3440" s="2"/>
      <c r="E3440" s="31" t="n">
        <v>84</v>
      </c>
      <c r="F3440" s="31" t="n">
        <v>14.1</v>
      </c>
      <c r="G3440" s="31" t="n">
        <v>53.7</v>
      </c>
      <c r="H3440" s="2" t="s">
        <v>671</v>
      </c>
    </row>
    <row r="3441" customFormat="false" ht="15" hidden="false" customHeight="false" outlineLevel="0" collapsed="false">
      <c r="A3441" s="2" t="s">
        <v>1384</v>
      </c>
      <c r="B3441" s="2" t="s">
        <v>4104</v>
      </c>
      <c r="C3441" s="2" t="s">
        <v>4087</v>
      </c>
      <c r="D3441" s="2"/>
      <c r="E3441" s="31" t="n">
        <v>85.6</v>
      </c>
      <c r="F3441" s="31" t="n">
        <v>14.2</v>
      </c>
      <c r="G3441" s="31" t="n">
        <v>54.9</v>
      </c>
      <c r="H3441" s="2" t="s">
        <v>668</v>
      </c>
    </row>
    <row r="3442" customFormat="false" ht="15" hidden="false" customHeight="false" outlineLevel="0" collapsed="false">
      <c r="A3442" s="2" t="s">
        <v>1384</v>
      </c>
      <c r="B3442" s="2" t="s">
        <v>45</v>
      </c>
      <c r="C3442" s="2" t="s">
        <v>4085</v>
      </c>
      <c r="D3442" s="11" t="n">
        <v>46520</v>
      </c>
      <c r="E3442" s="31" t="n">
        <v>49.7</v>
      </c>
      <c r="F3442" s="31" t="n">
        <v>33.9</v>
      </c>
      <c r="G3442" s="2"/>
      <c r="H3442" s="2" t="s">
        <v>668</v>
      </c>
    </row>
    <row r="3443" customFormat="false" ht="15" hidden="false" customHeight="false" outlineLevel="0" collapsed="false">
      <c r="A3443" s="2" t="s">
        <v>1384</v>
      </c>
      <c r="B3443" s="2" t="s">
        <v>45</v>
      </c>
      <c r="C3443" s="2" t="s">
        <v>4086</v>
      </c>
      <c r="D3443" s="11" t="n">
        <v>46031</v>
      </c>
      <c r="E3443" s="31" t="n">
        <v>62.6</v>
      </c>
      <c r="F3443" s="31" t="n">
        <v>9.3</v>
      </c>
      <c r="G3443" s="31" t="n">
        <v>74.6</v>
      </c>
      <c r="H3443" s="2" t="s">
        <v>671</v>
      </c>
    </row>
    <row r="3444" customFormat="false" ht="15" hidden="false" customHeight="false" outlineLevel="0" collapsed="false">
      <c r="A3444" s="2" t="s">
        <v>1384</v>
      </c>
      <c r="B3444" s="2" t="s">
        <v>45</v>
      </c>
      <c r="C3444" s="2" t="s">
        <v>4087</v>
      </c>
      <c r="D3444" s="2"/>
      <c r="E3444" s="2"/>
      <c r="F3444" s="2"/>
      <c r="G3444" s="2"/>
      <c r="H3444" s="2" t="s">
        <v>668</v>
      </c>
    </row>
    <row r="3445" customFormat="false" ht="15" hidden="false" customHeight="false" outlineLevel="0" collapsed="false">
      <c r="A3445" s="2" t="s">
        <v>1384</v>
      </c>
      <c r="B3445" s="2" t="s">
        <v>46</v>
      </c>
      <c r="C3445" s="2" t="s">
        <v>4085</v>
      </c>
      <c r="D3445" s="11" t="n">
        <v>200582</v>
      </c>
      <c r="E3445" s="31" t="n">
        <v>99.4</v>
      </c>
      <c r="F3445" s="31" t="n">
        <v>20.5</v>
      </c>
      <c r="G3445" s="31" t="n">
        <v>86.5</v>
      </c>
      <c r="H3445" s="2" t="s">
        <v>671</v>
      </c>
    </row>
    <row r="3446" customFormat="false" ht="15" hidden="false" customHeight="false" outlineLevel="0" collapsed="false">
      <c r="A3446" s="2" t="s">
        <v>1384</v>
      </c>
      <c r="B3446" s="2" t="s">
        <v>46</v>
      </c>
      <c r="C3446" s="2" t="s">
        <v>4086</v>
      </c>
      <c r="D3446" s="11" t="n">
        <v>201170</v>
      </c>
      <c r="E3446" s="31" t="n">
        <v>99.6</v>
      </c>
      <c r="F3446" s="31" t="n">
        <v>7.6</v>
      </c>
      <c r="G3446" s="31" t="n">
        <v>71.5</v>
      </c>
      <c r="H3446" s="2" t="s">
        <v>671</v>
      </c>
    </row>
    <row r="3447" customFormat="false" ht="15" hidden="false" customHeight="false" outlineLevel="0" collapsed="false">
      <c r="A3447" s="2" t="s">
        <v>1384</v>
      </c>
      <c r="B3447" s="2" t="s">
        <v>46</v>
      </c>
      <c r="C3447" s="2" t="s">
        <v>4087</v>
      </c>
      <c r="D3447" s="11" t="n">
        <v>191635</v>
      </c>
      <c r="E3447" s="31" t="n">
        <v>98.3</v>
      </c>
      <c r="F3447" s="31" t="n">
        <v>2.6</v>
      </c>
      <c r="G3447" s="31" t="n">
        <v>93.8</v>
      </c>
      <c r="H3447" s="2" t="s">
        <v>671</v>
      </c>
    </row>
    <row r="3448" customFormat="false" ht="15" hidden="false" customHeight="false" outlineLevel="0" collapsed="false">
      <c r="A3448" s="2" t="s">
        <v>1384</v>
      </c>
      <c r="B3448" s="2" t="s">
        <v>47</v>
      </c>
      <c r="C3448" s="2" t="s">
        <v>4085</v>
      </c>
      <c r="D3448" s="11" t="n">
        <v>297270</v>
      </c>
      <c r="E3448" s="31" t="n">
        <v>69.9</v>
      </c>
      <c r="F3448" s="31" t="n">
        <v>30.9</v>
      </c>
      <c r="G3448" s="31" t="n">
        <v>1.6</v>
      </c>
      <c r="H3448" s="2" t="s">
        <v>671</v>
      </c>
    </row>
    <row r="3449" customFormat="false" ht="15" hidden="false" customHeight="false" outlineLevel="0" collapsed="false">
      <c r="A3449" s="2" t="s">
        <v>1384</v>
      </c>
      <c r="B3449" s="2" t="s">
        <v>47</v>
      </c>
      <c r="C3449" s="2" t="s">
        <v>4086</v>
      </c>
      <c r="D3449" s="11" t="n">
        <v>300628</v>
      </c>
      <c r="E3449" s="31" t="n">
        <v>89.8</v>
      </c>
      <c r="F3449" s="31" t="n">
        <v>25.5</v>
      </c>
      <c r="G3449" s="31" t="n">
        <v>14.9</v>
      </c>
      <c r="H3449" s="2" t="s">
        <v>671</v>
      </c>
    </row>
    <row r="3450" customFormat="false" ht="15" hidden="false" customHeight="false" outlineLevel="0" collapsed="false">
      <c r="A3450" s="2" t="s">
        <v>1384</v>
      </c>
      <c r="B3450" s="2" t="s">
        <v>47</v>
      </c>
      <c r="C3450" s="2" t="s">
        <v>4087</v>
      </c>
      <c r="D3450" s="11" t="n">
        <v>299930</v>
      </c>
      <c r="E3450" s="31" t="n">
        <v>72.8</v>
      </c>
      <c r="F3450" s="31" t="n">
        <v>25.9</v>
      </c>
      <c r="G3450" s="31" t="n">
        <v>16</v>
      </c>
      <c r="H3450" s="2" t="s">
        <v>671</v>
      </c>
    </row>
    <row r="3451" customFormat="false" ht="15" hidden="false" customHeight="false" outlineLevel="0" collapsed="false">
      <c r="A3451" s="2" t="s">
        <v>2918</v>
      </c>
      <c r="B3451" s="2" t="s">
        <v>4104</v>
      </c>
      <c r="C3451" s="2" t="s">
        <v>4085</v>
      </c>
      <c r="D3451" s="2"/>
      <c r="E3451" s="31" t="n">
        <v>57.7</v>
      </c>
      <c r="F3451" s="31" t="n">
        <v>61.3</v>
      </c>
      <c r="G3451" s="31" t="n">
        <v>19.3</v>
      </c>
      <c r="H3451" s="2" t="s">
        <v>671</v>
      </c>
    </row>
    <row r="3452" customFormat="false" ht="15" hidden="false" customHeight="false" outlineLevel="0" collapsed="false">
      <c r="A3452" s="2" t="s">
        <v>2918</v>
      </c>
      <c r="B3452" s="2" t="s">
        <v>4104</v>
      </c>
      <c r="C3452" s="2" t="s">
        <v>4086</v>
      </c>
      <c r="D3452" s="2"/>
      <c r="E3452" s="2"/>
      <c r="F3452" s="2"/>
      <c r="G3452" s="2"/>
      <c r="H3452" s="2" t="s">
        <v>668</v>
      </c>
    </row>
    <row r="3453" customFormat="false" ht="15" hidden="false" customHeight="false" outlineLevel="0" collapsed="false">
      <c r="A3453" s="2" t="s">
        <v>2918</v>
      </c>
      <c r="B3453" s="2" t="s">
        <v>4104</v>
      </c>
      <c r="C3453" s="2" t="s">
        <v>4087</v>
      </c>
      <c r="D3453" s="2"/>
      <c r="E3453" s="31" t="n">
        <v>29.7</v>
      </c>
      <c r="F3453" s="2"/>
      <c r="G3453" s="2"/>
      <c r="H3453" s="2" t="s">
        <v>668</v>
      </c>
    </row>
    <row r="3454" customFormat="false" ht="15" hidden="false" customHeight="false" outlineLevel="0" collapsed="false">
      <c r="A3454" s="2" t="s">
        <v>2918</v>
      </c>
      <c r="B3454" s="2" t="s">
        <v>45</v>
      </c>
      <c r="C3454" s="2" t="s">
        <v>4085</v>
      </c>
      <c r="D3454" s="11" t="n">
        <v>3475</v>
      </c>
      <c r="E3454" s="31" t="n">
        <v>57.7</v>
      </c>
      <c r="F3454" s="31" t="n">
        <v>61.3</v>
      </c>
      <c r="G3454" s="31" t="n">
        <v>19.3</v>
      </c>
      <c r="H3454" s="2" t="s">
        <v>671</v>
      </c>
    </row>
    <row r="3455" customFormat="false" ht="15" hidden="false" customHeight="false" outlineLevel="0" collapsed="false">
      <c r="A3455" s="2" t="s">
        <v>2918</v>
      </c>
      <c r="B3455" s="2" t="s">
        <v>45</v>
      </c>
      <c r="C3455" s="2" t="s">
        <v>4086</v>
      </c>
      <c r="D3455" s="2"/>
      <c r="E3455" s="2"/>
      <c r="F3455" s="2"/>
      <c r="G3455" s="2"/>
      <c r="H3455" s="2" t="s">
        <v>668</v>
      </c>
    </row>
    <row r="3456" customFormat="false" ht="15" hidden="false" customHeight="false" outlineLevel="0" collapsed="false">
      <c r="A3456" s="2" t="s">
        <v>2918</v>
      </c>
      <c r="B3456" s="2" t="s">
        <v>45</v>
      </c>
      <c r="C3456" s="2" t="s">
        <v>4087</v>
      </c>
      <c r="D3456" s="11" t="n">
        <v>3690</v>
      </c>
      <c r="E3456" s="31" t="n">
        <v>29.7</v>
      </c>
      <c r="F3456" s="2"/>
      <c r="G3456" s="2"/>
      <c r="H3456" s="2" t="s">
        <v>668</v>
      </c>
    </row>
    <row r="3457" customFormat="false" ht="15" hidden="false" customHeight="false" outlineLevel="0" collapsed="false">
      <c r="A3457" s="2" t="s">
        <v>520</v>
      </c>
      <c r="B3457" s="2" t="s">
        <v>4104</v>
      </c>
      <c r="C3457" s="2" t="s">
        <v>4085</v>
      </c>
      <c r="D3457" s="2"/>
      <c r="E3457" s="31" t="n">
        <v>54.7</v>
      </c>
      <c r="F3457" s="31" t="n">
        <v>17.3</v>
      </c>
      <c r="G3457" s="31" t="n">
        <v>22</v>
      </c>
      <c r="H3457" s="2" t="s">
        <v>671</v>
      </c>
    </row>
    <row r="3458" customFormat="false" ht="15" hidden="false" customHeight="false" outlineLevel="0" collapsed="false">
      <c r="A3458" s="2" t="s">
        <v>520</v>
      </c>
      <c r="B3458" s="2" t="s">
        <v>4104</v>
      </c>
      <c r="C3458" s="2" t="s">
        <v>4086</v>
      </c>
      <c r="D3458" s="2"/>
      <c r="E3458" s="31" t="n">
        <v>34.4</v>
      </c>
      <c r="F3458" s="31" t="n">
        <v>29.2</v>
      </c>
      <c r="G3458" s="31" t="n">
        <v>8.6</v>
      </c>
      <c r="H3458" s="2" t="s">
        <v>671</v>
      </c>
    </row>
    <row r="3459" customFormat="false" ht="15" hidden="false" customHeight="false" outlineLevel="0" collapsed="false">
      <c r="A3459" s="2" t="s">
        <v>520</v>
      </c>
      <c r="B3459" s="2" t="s">
        <v>4104</v>
      </c>
      <c r="C3459" s="2" t="s">
        <v>4087</v>
      </c>
      <c r="D3459" s="2"/>
      <c r="E3459" s="31" t="n">
        <v>33.1</v>
      </c>
      <c r="F3459" s="31" t="n">
        <v>27.1</v>
      </c>
      <c r="G3459" s="31" t="n">
        <v>9.5</v>
      </c>
      <c r="H3459" s="2" t="s">
        <v>671</v>
      </c>
    </row>
    <row r="3460" customFormat="false" ht="15" hidden="false" customHeight="false" outlineLevel="0" collapsed="false">
      <c r="A3460" s="2" t="s">
        <v>520</v>
      </c>
      <c r="B3460" s="2" t="s">
        <v>47</v>
      </c>
      <c r="C3460" s="2" t="s">
        <v>4085</v>
      </c>
      <c r="D3460" s="11" t="n">
        <v>542814</v>
      </c>
      <c r="E3460" s="31" t="n">
        <v>54.7</v>
      </c>
      <c r="F3460" s="31" t="n">
        <v>17.3</v>
      </c>
      <c r="G3460" s="31" t="n">
        <v>22</v>
      </c>
      <c r="H3460" s="2" t="s">
        <v>671</v>
      </c>
    </row>
    <row r="3461" customFormat="false" ht="15" hidden="false" customHeight="false" outlineLevel="0" collapsed="false">
      <c r="A3461" s="2" t="s">
        <v>520</v>
      </c>
      <c r="B3461" s="2" t="s">
        <v>47</v>
      </c>
      <c r="C3461" s="2" t="s">
        <v>4086</v>
      </c>
      <c r="D3461" s="11" t="n">
        <v>548234</v>
      </c>
      <c r="E3461" s="31" t="n">
        <v>34.4</v>
      </c>
      <c r="F3461" s="31" t="n">
        <v>29.2</v>
      </c>
      <c r="G3461" s="31" t="n">
        <v>8.6</v>
      </c>
      <c r="H3461" s="2" t="s">
        <v>671</v>
      </c>
    </row>
    <row r="3462" customFormat="false" ht="15" hidden="false" customHeight="false" outlineLevel="0" collapsed="false">
      <c r="A3462" s="2" t="s">
        <v>520</v>
      </c>
      <c r="B3462" s="2" t="s">
        <v>47</v>
      </c>
      <c r="C3462" s="2" t="s">
        <v>4087</v>
      </c>
      <c r="D3462" s="11" t="n">
        <v>545995</v>
      </c>
      <c r="E3462" s="31" t="n">
        <v>33.1</v>
      </c>
      <c r="F3462" s="31" t="n">
        <v>27.1</v>
      </c>
      <c r="G3462" s="31" t="n">
        <v>9.5</v>
      </c>
      <c r="H3462" s="2" t="s">
        <v>671</v>
      </c>
    </row>
    <row r="3463" customFormat="false" ht="15" hidden="false" customHeight="false" outlineLevel="0" collapsed="false">
      <c r="A3463" s="2" t="s">
        <v>628</v>
      </c>
      <c r="B3463" s="2" t="s">
        <v>4104</v>
      </c>
      <c r="C3463" s="2" t="s">
        <v>4085</v>
      </c>
      <c r="D3463" s="2"/>
      <c r="E3463" s="31" t="n">
        <v>42.5</v>
      </c>
      <c r="F3463" s="2"/>
      <c r="G3463" s="31" t="n">
        <v>31.5</v>
      </c>
      <c r="H3463" s="2" t="s">
        <v>668</v>
      </c>
    </row>
    <row r="3464" customFormat="false" ht="15" hidden="false" customHeight="false" outlineLevel="0" collapsed="false">
      <c r="A3464" s="2" t="s">
        <v>628</v>
      </c>
      <c r="B3464" s="2" t="s">
        <v>4104</v>
      </c>
      <c r="C3464" s="2" t="s">
        <v>4086</v>
      </c>
      <c r="D3464" s="2"/>
      <c r="E3464" s="31" t="n">
        <v>27.7</v>
      </c>
      <c r="F3464" s="2"/>
      <c r="G3464" s="31" t="n">
        <v>43.3</v>
      </c>
      <c r="H3464" s="2" t="s">
        <v>668</v>
      </c>
    </row>
    <row r="3465" customFormat="false" ht="15" hidden="false" customHeight="false" outlineLevel="0" collapsed="false">
      <c r="A3465" s="2" t="s">
        <v>628</v>
      </c>
      <c r="B3465" s="2" t="s">
        <v>4104</v>
      </c>
      <c r="C3465" s="2" t="s">
        <v>4087</v>
      </c>
      <c r="D3465" s="2"/>
      <c r="E3465" s="31" t="n">
        <v>11.6</v>
      </c>
      <c r="F3465" s="31" t="n">
        <v>77.1</v>
      </c>
      <c r="G3465" s="31" t="n">
        <v>4.7</v>
      </c>
      <c r="H3465" s="2" t="s">
        <v>671</v>
      </c>
    </row>
    <row r="3466" customFormat="false" ht="15" hidden="false" customHeight="false" outlineLevel="0" collapsed="false">
      <c r="A3466" s="2" t="s">
        <v>628</v>
      </c>
      <c r="B3466" s="2" t="s">
        <v>46</v>
      </c>
      <c r="C3466" s="2" t="s">
        <v>4085</v>
      </c>
      <c r="D3466" s="11" t="n">
        <v>3090</v>
      </c>
      <c r="E3466" s="31" t="n">
        <v>42.5</v>
      </c>
      <c r="F3466" s="2"/>
      <c r="G3466" s="31" t="n">
        <v>31.5</v>
      </c>
      <c r="H3466" s="2" t="s">
        <v>668</v>
      </c>
    </row>
    <row r="3467" customFormat="false" ht="15" hidden="false" customHeight="false" outlineLevel="0" collapsed="false">
      <c r="A3467" s="2" t="s">
        <v>628</v>
      </c>
      <c r="B3467" s="2" t="s">
        <v>46</v>
      </c>
      <c r="C3467" s="2" t="s">
        <v>4086</v>
      </c>
      <c r="D3467" s="11" t="n">
        <v>3270</v>
      </c>
      <c r="E3467" s="31" t="n">
        <v>27.7</v>
      </c>
      <c r="F3467" s="2"/>
      <c r="G3467" s="31" t="n">
        <v>43.3</v>
      </c>
      <c r="H3467" s="2" t="s">
        <v>668</v>
      </c>
    </row>
    <row r="3468" customFormat="false" ht="15" hidden="false" customHeight="false" outlineLevel="0" collapsed="false">
      <c r="A3468" s="2" t="s">
        <v>628</v>
      </c>
      <c r="B3468" s="2" t="s">
        <v>46</v>
      </c>
      <c r="C3468" s="2" t="s">
        <v>4087</v>
      </c>
      <c r="D3468" s="11" t="n">
        <v>3480</v>
      </c>
      <c r="E3468" s="31" t="n">
        <v>11.6</v>
      </c>
      <c r="F3468" s="31" t="n">
        <v>77.1</v>
      </c>
      <c r="G3468" s="31" t="n">
        <v>4.7</v>
      </c>
      <c r="H3468" s="2" t="s">
        <v>671</v>
      </c>
    </row>
    <row r="3469" customFormat="false" ht="15" hidden="false" customHeight="false" outlineLevel="0" collapsed="false">
      <c r="A3469" s="2" t="s">
        <v>476</v>
      </c>
      <c r="B3469" s="2" t="s">
        <v>4104</v>
      </c>
      <c r="C3469" s="2" t="s">
        <v>4085</v>
      </c>
      <c r="D3469" s="2"/>
      <c r="E3469" s="31" t="n">
        <v>28</v>
      </c>
      <c r="F3469" s="31" t="n">
        <v>65.9</v>
      </c>
      <c r="G3469" s="31" t="n">
        <v>24.9</v>
      </c>
      <c r="H3469" s="2" t="s">
        <v>671</v>
      </c>
    </row>
    <row r="3470" customFormat="false" ht="15" hidden="false" customHeight="false" outlineLevel="0" collapsed="false">
      <c r="A3470" s="2" t="s">
        <v>476</v>
      </c>
      <c r="B3470" s="2" t="s">
        <v>4104</v>
      </c>
      <c r="C3470" s="2" t="s">
        <v>4086</v>
      </c>
      <c r="D3470" s="2"/>
      <c r="E3470" s="31" t="n">
        <v>18.5</v>
      </c>
      <c r="F3470" s="31" t="n">
        <v>33.5</v>
      </c>
      <c r="G3470" s="31" t="n">
        <v>67.5</v>
      </c>
      <c r="H3470" s="2" t="s">
        <v>671</v>
      </c>
    </row>
    <row r="3471" customFormat="false" ht="15" hidden="false" customHeight="false" outlineLevel="0" collapsed="false">
      <c r="A3471" s="2" t="s">
        <v>476</v>
      </c>
      <c r="B3471" s="2" t="s">
        <v>4104</v>
      </c>
      <c r="C3471" s="2" t="s">
        <v>4087</v>
      </c>
      <c r="D3471" s="2"/>
      <c r="E3471" s="31" t="n">
        <v>38.3</v>
      </c>
      <c r="F3471" s="31" t="n">
        <v>51</v>
      </c>
      <c r="G3471" s="31" t="n">
        <v>66.8</v>
      </c>
      <c r="H3471" s="2" t="s">
        <v>671</v>
      </c>
    </row>
    <row r="3472" customFormat="false" ht="15" hidden="false" customHeight="false" outlineLevel="0" collapsed="false">
      <c r="A3472" s="2" t="s">
        <v>476</v>
      </c>
      <c r="B3472" s="2" t="s">
        <v>46</v>
      </c>
      <c r="C3472" s="2" t="s">
        <v>4085</v>
      </c>
      <c r="D3472" s="11" t="n">
        <v>81040</v>
      </c>
      <c r="E3472" s="31" t="n">
        <v>28</v>
      </c>
      <c r="F3472" s="31" t="n">
        <v>65.9</v>
      </c>
      <c r="G3472" s="31" t="n">
        <v>24.9</v>
      </c>
      <c r="H3472" s="2" t="s">
        <v>671</v>
      </c>
    </row>
    <row r="3473" customFormat="false" ht="15" hidden="false" customHeight="false" outlineLevel="0" collapsed="false">
      <c r="A3473" s="2" t="s">
        <v>476</v>
      </c>
      <c r="B3473" s="2" t="s">
        <v>46</v>
      </c>
      <c r="C3473" s="2" t="s">
        <v>4086</v>
      </c>
      <c r="D3473" s="11" t="n">
        <v>84160</v>
      </c>
      <c r="E3473" s="31" t="n">
        <v>18.5</v>
      </c>
      <c r="F3473" s="31" t="n">
        <v>33.5</v>
      </c>
      <c r="G3473" s="31" t="n">
        <v>67.5</v>
      </c>
      <c r="H3473" s="2" t="s">
        <v>671</v>
      </c>
    </row>
    <row r="3474" customFormat="false" ht="15" hidden="false" customHeight="false" outlineLevel="0" collapsed="false">
      <c r="A3474" s="2" t="s">
        <v>476</v>
      </c>
      <c r="B3474" s="2" t="s">
        <v>46</v>
      </c>
      <c r="C3474" s="2" t="s">
        <v>4087</v>
      </c>
      <c r="D3474" s="11" t="n">
        <v>85280</v>
      </c>
      <c r="E3474" s="31" t="n">
        <v>38.3</v>
      </c>
      <c r="F3474" s="31" t="n">
        <v>51</v>
      </c>
      <c r="G3474" s="31" t="n">
        <v>66.8</v>
      </c>
      <c r="H3474" s="2" t="s">
        <v>671</v>
      </c>
    </row>
    <row r="3475" customFormat="false" ht="15" hidden="false" customHeight="false" outlineLevel="0" collapsed="false">
      <c r="A3475" s="2" t="s">
        <v>2920</v>
      </c>
      <c r="B3475" s="2" t="s">
        <v>4104</v>
      </c>
      <c r="C3475" s="2" t="s">
        <v>4085</v>
      </c>
      <c r="D3475" s="2"/>
      <c r="E3475" s="31" t="n">
        <v>45.6</v>
      </c>
      <c r="F3475" s="31" t="n">
        <v>15.4</v>
      </c>
      <c r="G3475" s="31" t="n">
        <v>60</v>
      </c>
      <c r="H3475" s="2" t="s">
        <v>671</v>
      </c>
    </row>
    <row r="3476" customFormat="false" ht="15" hidden="false" customHeight="false" outlineLevel="0" collapsed="false">
      <c r="A3476" s="2" t="s">
        <v>2920</v>
      </c>
      <c r="B3476" s="2" t="s">
        <v>4104</v>
      </c>
      <c r="C3476" s="2" t="s">
        <v>4087</v>
      </c>
      <c r="D3476" s="2"/>
      <c r="E3476" s="31" t="n">
        <v>4.3</v>
      </c>
      <c r="F3476" s="31" t="n">
        <v>0.7</v>
      </c>
      <c r="G3476" s="2"/>
      <c r="H3476" s="2" t="s">
        <v>668</v>
      </c>
    </row>
    <row r="3477" customFormat="false" ht="15" hidden="false" customHeight="false" outlineLevel="0" collapsed="false">
      <c r="A3477" s="2" t="s">
        <v>2920</v>
      </c>
      <c r="B3477" s="2" t="s">
        <v>45</v>
      </c>
      <c r="C3477" s="2" t="s">
        <v>4085</v>
      </c>
      <c r="D3477" s="11" t="n">
        <v>651080</v>
      </c>
      <c r="E3477" s="31" t="n">
        <v>7.8</v>
      </c>
      <c r="F3477" s="31" t="n">
        <v>0.7</v>
      </c>
      <c r="G3477" s="31" t="n">
        <v>53.9</v>
      </c>
      <c r="H3477" s="2" t="s">
        <v>671</v>
      </c>
    </row>
    <row r="3478" customFormat="false" ht="15" hidden="false" customHeight="false" outlineLevel="0" collapsed="false">
      <c r="A3478" s="2" t="s">
        <v>2920</v>
      </c>
      <c r="B3478" s="2" t="s">
        <v>45</v>
      </c>
      <c r="C3478" s="2" t="s">
        <v>4087</v>
      </c>
      <c r="D3478" s="11" t="n">
        <v>637220</v>
      </c>
      <c r="E3478" s="31" t="n">
        <v>4.3</v>
      </c>
      <c r="F3478" s="31" t="n">
        <v>0.7</v>
      </c>
      <c r="G3478" s="2"/>
      <c r="H3478" s="2" t="s">
        <v>668</v>
      </c>
    </row>
    <row r="3479" customFormat="false" ht="15" hidden="false" customHeight="false" outlineLevel="0" collapsed="false">
      <c r="A3479" s="2" t="s">
        <v>2920</v>
      </c>
      <c r="B3479" s="2" t="s">
        <v>47</v>
      </c>
      <c r="C3479" s="2" t="s">
        <v>4085</v>
      </c>
      <c r="D3479" s="11" t="n">
        <v>7233</v>
      </c>
      <c r="E3479" s="31" t="n">
        <v>83.4</v>
      </c>
      <c r="F3479" s="31" t="n">
        <v>30</v>
      </c>
      <c r="G3479" s="31" t="n">
        <v>66</v>
      </c>
      <c r="H3479" s="2" t="s">
        <v>671</v>
      </c>
    </row>
    <row r="3480" customFormat="false" ht="15" hidden="false" customHeight="false" outlineLevel="0" collapsed="false">
      <c r="A3480" s="2" t="s">
        <v>2920</v>
      </c>
      <c r="B3480" s="2" t="s">
        <v>47</v>
      </c>
      <c r="C3480" s="2" t="s">
        <v>4087</v>
      </c>
      <c r="D3480" s="2"/>
      <c r="E3480" s="2"/>
      <c r="F3480" s="2"/>
      <c r="G3480" s="2"/>
      <c r="H3480" s="2" t="s">
        <v>668</v>
      </c>
    </row>
    <row r="3481" customFormat="false" ht="15" hidden="false" customHeight="false" outlineLevel="0" collapsed="false">
      <c r="A3481" s="2" t="s">
        <v>380</v>
      </c>
      <c r="B3481" s="2" t="s">
        <v>4104</v>
      </c>
      <c r="C3481" s="2" t="s">
        <v>4085</v>
      </c>
      <c r="D3481" s="2"/>
      <c r="E3481" s="31" t="n">
        <v>33.3</v>
      </c>
      <c r="F3481" s="31" t="n">
        <v>40.4</v>
      </c>
      <c r="G3481" s="31" t="n">
        <v>49.3</v>
      </c>
      <c r="H3481" s="2" t="s">
        <v>671</v>
      </c>
    </row>
    <row r="3482" customFormat="false" ht="15" hidden="false" customHeight="false" outlineLevel="0" collapsed="false">
      <c r="A3482" s="2" t="s">
        <v>380</v>
      </c>
      <c r="B3482" s="2" t="s">
        <v>4104</v>
      </c>
      <c r="C3482" s="2" t="s">
        <v>4086</v>
      </c>
      <c r="D3482" s="2"/>
      <c r="E3482" s="2"/>
      <c r="F3482" s="31" t="n">
        <v>27.6</v>
      </c>
      <c r="G3482" s="31" t="n">
        <v>52.8</v>
      </c>
      <c r="H3482" s="2" t="s">
        <v>668</v>
      </c>
    </row>
    <row r="3483" customFormat="false" ht="15" hidden="false" customHeight="false" outlineLevel="0" collapsed="false">
      <c r="A3483" s="2" t="s">
        <v>380</v>
      </c>
      <c r="B3483" s="2" t="s">
        <v>4104</v>
      </c>
      <c r="C3483" s="2" t="s">
        <v>4087</v>
      </c>
      <c r="D3483" s="2"/>
      <c r="E3483" s="31" t="n">
        <v>48.8</v>
      </c>
      <c r="F3483" s="31" t="n">
        <v>10.4</v>
      </c>
      <c r="G3483" s="31" t="n">
        <v>29.3</v>
      </c>
      <c r="H3483" s="2" t="s">
        <v>671</v>
      </c>
    </row>
    <row r="3484" customFormat="false" ht="15" hidden="false" customHeight="false" outlineLevel="0" collapsed="false">
      <c r="A3484" s="2" t="s">
        <v>380</v>
      </c>
      <c r="B3484" s="2" t="s">
        <v>46</v>
      </c>
      <c r="C3484" s="2" t="s">
        <v>4085</v>
      </c>
      <c r="D3484" s="11" t="n">
        <v>15950</v>
      </c>
      <c r="E3484" s="31" t="n">
        <v>33.3</v>
      </c>
      <c r="F3484" s="31" t="n">
        <v>40.4</v>
      </c>
      <c r="G3484" s="31" t="n">
        <v>49.3</v>
      </c>
      <c r="H3484" s="2" t="s">
        <v>671</v>
      </c>
    </row>
    <row r="3485" customFormat="false" ht="15" hidden="false" customHeight="false" outlineLevel="0" collapsed="false">
      <c r="A3485" s="2" t="s">
        <v>380</v>
      </c>
      <c r="B3485" s="2" t="s">
        <v>46</v>
      </c>
      <c r="C3485" s="2" t="s">
        <v>4086</v>
      </c>
      <c r="D3485" s="11" t="n">
        <v>15800</v>
      </c>
      <c r="E3485" s="2"/>
      <c r="F3485" s="31" t="n">
        <v>27.6</v>
      </c>
      <c r="G3485" s="31" t="n">
        <v>52.8</v>
      </c>
      <c r="H3485" s="2" t="s">
        <v>668</v>
      </c>
    </row>
    <row r="3486" customFormat="false" ht="15" hidden="false" customHeight="false" outlineLevel="0" collapsed="false">
      <c r="A3486" s="2" t="s">
        <v>380</v>
      </c>
      <c r="B3486" s="2" t="s">
        <v>46</v>
      </c>
      <c r="C3486" s="2" t="s">
        <v>4087</v>
      </c>
      <c r="D3486" s="11" t="n">
        <v>16063</v>
      </c>
      <c r="E3486" s="31" t="n">
        <v>48.8</v>
      </c>
      <c r="F3486" s="31" t="n">
        <v>10.4</v>
      </c>
      <c r="G3486" s="31" t="n">
        <v>29.3</v>
      </c>
      <c r="H3486" s="2" t="s">
        <v>671</v>
      </c>
    </row>
    <row r="3487" customFormat="false" ht="15" hidden="false" customHeight="false" outlineLevel="0" collapsed="false">
      <c r="A3487" s="2" t="s">
        <v>2922</v>
      </c>
      <c r="B3487" s="2" t="s">
        <v>4104</v>
      </c>
      <c r="C3487" s="2" t="s">
        <v>4085</v>
      </c>
      <c r="D3487" s="2"/>
      <c r="E3487" s="31" t="n">
        <v>18.6</v>
      </c>
      <c r="F3487" s="31" t="n">
        <v>61.8</v>
      </c>
      <c r="G3487" s="31" t="n">
        <v>15.8</v>
      </c>
      <c r="H3487" s="2" t="s">
        <v>671</v>
      </c>
    </row>
    <row r="3488" customFormat="false" ht="15" hidden="false" customHeight="false" outlineLevel="0" collapsed="false">
      <c r="A3488" s="2" t="s">
        <v>2922</v>
      </c>
      <c r="B3488" s="2" t="s">
        <v>4104</v>
      </c>
      <c r="C3488" s="2" t="s">
        <v>4086</v>
      </c>
      <c r="D3488" s="2"/>
      <c r="E3488" s="31" t="n">
        <v>15</v>
      </c>
      <c r="F3488" s="31" t="n">
        <v>71.8</v>
      </c>
      <c r="G3488" s="31" t="n">
        <v>25.6</v>
      </c>
      <c r="H3488" s="2" t="s">
        <v>671</v>
      </c>
    </row>
    <row r="3489" customFormat="false" ht="15" hidden="false" customHeight="false" outlineLevel="0" collapsed="false">
      <c r="A3489" s="2" t="s">
        <v>2922</v>
      </c>
      <c r="B3489" s="2" t="s">
        <v>4104</v>
      </c>
      <c r="C3489" s="2" t="s">
        <v>4087</v>
      </c>
      <c r="D3489" s="2"/>
      <c r="E3489" s="2"/>
      <c r="F3489" s="2"/>
      <c r="G3489" s="31" t="n">
        <v>8.6</v>
      </c>
      <c r="H3489" s="2" t="s">
        <v>668</v>
      </c>
    </row>
    <row r="3490" customFormat="false" ht="15" hidden="false" customHeight="false" outlineLevel="0" collapsed="false">
      <c r="A3490" s="2" t="s">
        <v>2922</v>
      </c>
      <c r="B3490" s="2" t="s">
        <v>46</v>
      </c>
      <c r="C3490" s="2" t="s">
        <v>4085</v>
      </c>
      <c r="D3490" s="11" t="n">
        <v>44511</v>
      </c>
      <c r="E3490" s="31" t="n">
        <v>15.9</v>
      </c>
      <c r="F3490" s="31" t="n">
        <v>80.5</v>
      </c>
      <c r="G3490" s="31" t="n">
        <v>14.2</v>
      </c>
      <c r="H3490" s="2" t="s">
        <v>671</v>
      </c>
    </row>
    <row r="3491" customFormat="false" ht="15" hidden="false" customHeight="false" outlineLevel="0" collapsed="false">
      <c r="A3491" s="2" t="s">
        <v>2922</v>
      </c>
      <c r="B3491" s="2" t="s">
        <v>46</v>
      </c>
      <c r="C3491" s="2" t="s">
        <v>4086</v>
      </c>
      <c r="D3491" s="11" t="n">
        <v>46110</v>
      </c>
      <c r="E3491" s="31" t="n">
        <v>17.3</v>
      </c>
      <c r="F3491" s="31" t="n">
        <v>83.6</v>
      </c>
      <c r="G3491" s="31" t="n">
        <v>26</v>
      </c>
      <c r="H3491" s="2" t="s">
        <v>671</v>
      </c>
    </row>
    <row r="3492" customFormat="false" ht="15" hidden="false" customHeight="false" outlineLevel="0" collapsed="false">
      <c r="A3492" s="2" t="s">
        <v>2922</v>
      </c>
      <c r="B3492" s="2" t="s">
        <v>46</v>
      </c>
      <c r="C3492" s="2" t="s">
        <v>4087</v>
      </c>
      <c r="D3492" s="2"/>
      <c r="E3492" s="2"/>
      <c r="F3492" s="2"/>
      <c r="G3492" s="2"/>
      <c r="H3492" s="2" t="s">
        <v>668</v>
      </c>
    </row>
    <row r="3493" customFormat="false" ht="15" hidden="false" customHeight="false" outlineLevel="0" collapsed="false">
      <c r="A3493" s="2" t="s">
        <v>2922</v>
      </c>
      <c r="B3493" s="2" t="s">
        <v>47</v>
      </c>
      <c r="C3493" s="2" t="s">
        <v>4085</v>
      </c>
      <c r="D3493" s="11" t="n">
        <v>41056</v>
      </c>
      <c r="E3493" s="31" t="n">
        <v>21.3</v>
      </c>
      <c r="F3493" s="31" t="n">
        <v>43.1</v>
      </c>
      <c r="G3493" s="31" t="n">
        <v>17.3</v>
      </c>
      <c r="H3493" s="2" t="s">
        <v>671</v>
      </c>
    </row>
    <row r="3494" customFormat="false" ht="15" hidden="false" customHeight="false" outlineLevel="0" collapsed="false">
      <c r="A3494" s="2" t="s">
        <v>2922</v>
      </c>
      <c r="B3494" s="2" t="s">
        <v>47</v>
      </c>
      <c r="C3494" s="2" t="s">
        <v>4086</v>
      </c>
      <c r="D3494" s="11" t="n">
        <v>40657</v>
      </c>
      <c r="E3494" s="31" t="n">
        <v>12.7</v>
      </c>
      <c r="F3494" s="31" t="n">
        <v>60.1</v>
      </c>
      <c r="G3494" s="31" t="n">
        <v>25.1</v>
      </c>
      <c r="H3494" s="2" t="s">
        <v>671</v>
      </c>
    </row>
    <row r="3495" customFormat="false" ht="15" hidden="false" customHeight="false" outlineLevel="0" collapsed="false">
      <c r="A3495" s="2" t="s">
        <v>2922</v>
      </c>
      <c r="B3495" s="2" t="s">
        <v>47</v>
      </c>
      <c r="C3495" s="2" t="s">
        <v>4087</v>
      </c>
      <c r="D3495" s="2"/>
      <c r="E3495" s="2"/>
      <c r="F3495" s="2"/>
      <c r="G3495" s="31" t="n">
        <v>8.6</v>
      </c>
      <c r="H3495" s="2" t="s">
        <v>668</v>
      </c>
    </row>
    <row r="3496" customFormat="false" ht="15" hidden="false" customHeight="false" outlineLevel="0" collapsed="false">
      <c r="A3496" s="2" t="s">
        <v>1692</v>
      </c>
      <c r="B3496" s="2" t="s">
        <v>4104</v>
      </c>
      <c r="C3496" s="2" t="s">
        <v>4085</v>
      </c>
      <c r="D3496" s="2"/>
      <c r="E3496" s="31" t="n">
        <v>70.5</v>
      </c>
      <c r="F3496" s="31" t="n">
        <v>52.9</v>
      </c>
      <c r="G3496" s="31" t="n">
        <v>76.2</v>
      </c>
      <c r="H3496" s="2" t="s">
        <v>668</v>
      </c>
    </row>
    <row r="3497" customFormat="false" ht="15" hidden="false" customHeight="false" outlineLevel="0" collapsed="false">
      <c r="A3497" s="2" t="s">
        <v>1692</v>
      </c>
      <c r="B3497" s="2" t="s">
        <v>4104</v>
      </c>
      <c r="C3497" s="2" t="s">
        <v>4086</v>
      </c>
      <c r="D3497" s="2"/>
      <c r="E3497" s="31" t="n">
        <v>64.2</v>
      </c>
      <c r="F3497" s="31" t="n">
        <v>62</v>
      </c>
      <c r="G3497" s="31" t="n">
        <v>65.7</v>
      </c>
      <c r="H3497" s="2" t="s">
        <v>671</v>
      </c>
    </row>
    <row r="3498" customFormat="false" ht="15" hidden="false" customHeight="false" outlineLevel="0" collapsed="false">
      <c r="A3498" s="2" t="s">
        <v>1692</v>
      </c>
      <c r="B3498" s="2" t="s">
        <v>4104</v>
      </c>
      <c r="C3498" s="2" t="s">
        <v>4087</v>
      </c>
      <c r="D3498" s="2"/>
      <c r="E3498" s="31" t="n">
        <v>69.8</v>
      </c>
      <c r="F3498" s="31" t="n">
        <v>55.8</v>
      </c>
      <c r="G3498" s="31" t="n">
        <v>71</v>
      </c>
      <c r="H3498" s="2" t="s">
        <v>668</v>
      </c>
    </row>
    <row r="3499" customFormat="false" ht="15" hidden="false" customHeight="false" outlineLevel="0" collapsed="false">
      <c r="A3499" s="2" t="s">
        <v>1692</v>
      </c>
      <c r="B3499" s="2" t="s">
        <v>45</v>
      </c>
      <c r="C3499" s="2" t="s">
        <v>4085</v>
      </c>
      <c r="D3499" s="11" t="n">
        <v>18506</v>
      </c>
      <c r="E3499" s="31" t="n">
        <v>97.6</v>
      </c>
      <c r="F3499" s="31" t="n">
        <v>17.5</v>
      </c>
      <c r="G3499" s="2"/>
      <c r="H3499" s="2" t="s">
        <v>668</v>
      </c>
    </row>
    <row r="3500" customFormat="false" ht="15" hidden="false" customHeight="false" outlineLevel="0" collapsed="false">
      <c r="A3500" s="2" t="s">
        <v>1692</v>
      </c>
      <c r="B3500" s="2" t="s">
        <v>45</v>
      </c>
      <c r="C3500" s="2" t="s">
        <v>4086</v>
      </c>
      <c r="D3500" s="11" t="n">
        <v>19690</v>
      </c>
      <c r="E3500" s="31" t="n">
        <v>88.8</v>
      </c>
      <c r="F3500" s="31" t="n">
        <v>27.5</v>
      </c>
      <c r="G3500" s="31" t="n">
        <v>49.4</v>
      </c>
      <c r="H3500" s="2" t="s">
        <v>671</v>
      </c>
    </row>
    <row r="3501" customFormat="false" ht="15" hidden="false" customHeight="false" outlineLevel="0" collapsed="false">
      <c r="A3501" s="2" t="s">
        <v>1692</v>
      </c>
      <c r="B3501" s="2" t="s">
        <v>45</v>
      </c>
      <c r="C3501" s="2" t="s">
        <v>4087</v>
      </c>
      <c r="D3501" s="11" t="n">
        <v>18992</v>
      </c>
      <c r="E3501" s="31" t="n">
        <v>91.9</v>
      </c>
      <c r="F3501" s="31" t="n">
        <v>11.5</v>
      </c>
      <c r="G3501" s="2"/>
      <c r="H3501" s="2" t="s">
        <v>668</v>
      </c>
    </row>
    <row r="3502" customFormat="false" ht="15" hidden="false" customHeight="false" outlineLevel="0" collapsed="false">
      <c r="A3502" s="2" t="s">
        <v>1692</v>
      </c>
      <c r="B3502" s="2" t="s">
        <v>46</v>
      </c>
      <c r="C3502" s="2" t="s">
        <v>4085</v>
      </c>
      <c r="D3502" s="11" t="n">
        <v>95130</v>
      </c>
      <c r="E3502" s="31" t="n">
        <v>44.4</v>
      </c>
      <c r="F3502" s="31" t="n">
        <v>98.5</v>
      </c>
      <c r="G3502" s="31" t="n">
        <v>58.7</v>
      </c>
      <c r="H3502" s="2" t="s">
        <v>671</v>
      </c>
    </row>
    <row r="3503" customFormat="false" ht="15" hidden="false" customHeight="false" outlineLevel="0" collapsed="false">
      <c r="A3503" s="2" t="s">
        <v>1692</v>
      </c>
      <c r="B3503" s="2" t="s">
        <v>46</v>
      </c>
      <c r="C3503" s="2" t="s">
        <v>4086</v>
      </c>
      <c r="D3503" s="11" t="n">
        <v>104700</v>
      </c>
      <c r="E3503" s="31" t="n">
        <v>20.6</v>
      </c>
      <c r="F3503" s="31" t="n">
        <v>100</v>
      </c>
      <c r="G3503" s="31" t="n">
        <v>88.3</v>
      </c>
      <c r="H3503" s="2" t="s">
        <v>671</v>
      </c>
    </row>
    <row r="3504" customFormat="false" ht="15" hidden="false" customHeight="false" outlineLevel="0" collapsed="false">
      <c r="A3504" s="2" t="s">
        <v>1692</v>
      </c>
      <c r="B3504" s="2" t="s">
        <v>46</v>
      </c>
      <c r="C3504" s="2" t="s">
        <v>4087</v>
      </c>
      <c r="D3504" s="11" t="n">
        <v>109640</v>
      </c>
      <c r="E3504" s="31" t="n">
        <v>47.6</v>
      </c>
      <c r="F3504" s="31" t="n">
        <v>100</v>
      </c>
      <c r="G3504" s="31" t="n">
        <v>71</v>
      </c>
      <c r="H3504" s="2" t="s">
        <v>671</v>
      </c>
    </row>
    <row r="3505" customFormat="false" ht="15" hidden="false" customHeight="false" outlineLevel="0" collapsed="false">
      <c r="A3505" s="2" t="s">
        <v>1692</v>
      </c>
      <c r="B3505" s="2" t="s">
        <v>47</v>
      </c>
      <c r="C3505" s="2" t="s">
        <v>4085</v>
      </c>
      <c r="D3505" s="11" t="n">
        <v>290801</v>
      </c>
      <c r="E3505" s="31" t="n">
        <v>69.6</v>
      </c>
      <c r="F3505" s="31" t="n">
        <v>42.6</v>
      </c>
      <c r="G3505" s="31" t="n">
        <v>93.7</v>
      </c>
      <c r="H3505" s="2" t="s">
        <v>671</v>
      </c>
    </row>
    <row r="3506" customFormat="false" ht="15" hidden="false" customHeight="false" outlineLevel="0" collapsed="false">
      <c r="A3506" s="2" t="s">
        <v>1692</v>
      </c>
      <c r="B3506" s="2" t="s">
        <v>47</v>
      </c>
      <c r="C3506" s="2" t="s">
        <v>4086</v>
      </c>
      <c r="D3506" s="11" t="n">
        <v>303997</v>
      </c>
      <c r="E3506" s="31" t="n">
        <v>83.1</v>
      </c>
      <c r="F3506" s="31" t="n">
        <v>58.4</v>
      </c>
      <c r="G3506" s="31" t="n">
        <v>59.5</v>
      </c>
      <c r="H3506" s="2" t="s">
        <v>671</v>
      </c>
    </row>
    <row r="3507" customFormat="false" ht="15" hidden="false" customHeight="false" outlineLevel="0" collapsed="false">
      <c r="A3507" s="2" t="s">
        <v>1692</v>
      </c>
      <c r="B3507" s="2" t="s">
        <v>47</v>
      </c>
      <c r="C3507" s="2" t="s">
        <v>4087</v>
      </c>
      <c r="D3507" s="2"/>
      <c r="E3507" s="2"/>
      <c r="F3507" s="2"/>
      <c r="G3507" s="2"/>
      <c r="H3507" s="2" t="s">
        <v>668</v>
      </c>
    </row>
    <row r="3508" customFormat="false" ht="15" hidden="false" customHeight="false" outlineLevel="0" collapsed="false">
      <c r="A3508" s="2" t="s">
        <v>1409</v>
      </c>
      <c r="B3508" s="2" t="s">
        <v>4104</v>
      </c>
      <c r="C3508" s="2" t="s">
        <v>4087</v>
      </c>
      <c r="D3508" s="2"/>
      <c r="E3508" s="31" t="n">
        <v>93.1</v>
      </c>
      <c r="F3508" s="31" t="n">
        <v>82.1</v>
      </c>
      <c r="G3508" s="31" t="n">
        <v>81.6</v>
      </c>
      <c r="H3508" s="2" t="s">
        <v>668</v>
      </c>
    </row>
    <row r="3509" customFormat="false" ht="15" hidden="false" customHeight="false" outlineLevel="0" collapsed="false">
      <c r="A3509" s="2" t="s">
        <v>1409</v>
      </c>
      <c r="B3509" s="2" t="s">
        <v>45</v>
      </c>
      <c r="C3509" s="2" t="s">
        <v>4087</v>
      </c>
      <c r="D3509" s="11" t="n">
        <v>12640</v>
      </c>
      <c r="E3509" s="31" t="n">
        <v>91.7</v>
      </c>
      <c r="F3509" s="2"/>
      <c r="G3509" s="31" t="n">
        <v>97.8</v>
      </c>
      <c r="H3509" s="2" t="s">
        <v>668</v>
      </c>
    </row>
    <row r="3510" customFormat="false" ht="15" hidden="false" customHeight="false" outlineLevel="0" collapsed="false">
      <c r="A3510" s="2" t="s">
        <v>1409</v>
      </c>
      <c r="B3510" s="2" t="s">
        <v>46</v>
      </c>
      <c r="C3510" s="2" t="s">
        <v>4087</v>
      </c>
      <c r="D3510" s="11" t="n">
        <v>105120</v>
      </c>
      <c r="E3510" s="31" t="n">
        <v>94.5</v>
      </c>
      <c r="F3510" s="31" t="n">
        <v>82.1</v>
      </c>
      <c r="G3510" s="31" t="n">
        <v>65.3</v>
      </c>
      <c r="H3510" s="2" t="s">
        <v>671</v>
      </c>
    </row>
    <row r="3511" customFormat="false" ht="15" hidden="false" customHeight="false" outlineLevel="0" collapsed="false">
      <c r="A3511" s="2" t="s">
        <v>2209</v>
      </c>
      <c r="B3511" s="2" t="s">
        <v>4104</v>
      </c>
      <c r="C3511" s="2" t="s">
        <v>4085</v>
      </c>
      <c r="D3511" s="2"/>
      <c r="E3511" s="31" t="n">
        <v>31.4</v>
      </c>
      <c r="F3511" s="31" t="n">
        <v>44</v>
      </c>
      <c r="G3511" s="31" t="n">
        <v>53.9</v>
      </c>
      <c r="H3511" s="2" t="s">
        <v>668</v>
      </c>
    </row>
    <row r="3512" customFormat="false" ht="15" hidden="false" customHeight="false" outlineLevel="0" collapsed="false">
      <c r="A3512" s="2" t="s">
        <v>2209</v>
      </c>
      <c r="B3512" s="2" t="s">
        <v>4104</v>
      </c>
      <c r="C3512" s="2" t="s">
        <v>4087</v>
      </c>
      <c r="D3512" s="2"/>
      <c r="E3512" s="31" t="n">
        <v>64.3</v>
      </c>
      <c r="F3512" s="31" t="n">
        <v>100</v>
      </c>
      <c r="G3512" s="31" t="n">
        <v>23.2</v>
      </c>
      <c r="H3512" s="2" t="s">
        <v>668</v>
      </c>
    </row>
    <row r="3513" customFormat="false" ht="15" hidden="false" customHeight="false" outlineLevel="0" collapsed="false">
      <c r="A3513" s="2" t="s">
        <v>2209</v>
      </c>
      <c r="B3513" s="2" t="s">
        <v>45</v>
      </c>
      <c r="C3513" s="2" t="s">
        <v>4085</v>
      </c>
      <c r="D3513" s="11" t="n">
        <v>28420</v>
      </c>
      <c r="E3513" s="31" t="n">
        <v>17.1</v>
      </c>
      <c r="F3513" s="31" t="n">
        <v>56.6</v>
      </c>
      <c r="G3513" s="31" t="n">
        <v>77.6</v>
      </c>
      <c r="H3513" s="2" t="s">
        <v>671</v>
      </c>
    </row>
    <row r="3514" customFormat="false" ht="15" hidden="false" customHeight="false" outlineLevel="0" collapsed="false">
      <c r="A3514" s="2" t="s">
        <v>2209</v>
      </c>
      <c r="B3514" s="2" t="s">
        <v>45</v>
      </c>
      <c r="C3514" s="2" t="s">
        <v>4087</v>
      </c>
      <c r="D3514" s="2"/>
      <c r="E3514" s="2"/>
      <c r="F3514" s="2"/>
      <c r="G3514" s="2"/>
      <c r="H3514" s="2" t="s">
        <v>668</v>
      </c>
    </row>
    <row r="3515" customFormat="false" ht="15" hidden="false" customHeight="false" outlineLevel="0" collapsed="false">
      <c r="A3515" s="2" t="s">
        <v>2209</v>
      </c>
      <c r="B3515" s="2" t="s">
        <v>46</v>
      </c>
      <c r="C3515" s="2" t="s">
        <v>4085</v>
      </c>
      <c r="D3515" s="2"/>
      <c r="E3515" s="2"/>
      <c r="F3515" s="2"/>
      <c r="G3515" s="2"/>
      <c r="H3515" s="2" t="s">
        <v>668</v>
      </c>
    </row>
    <row r="3516" customFormat="false" ht="15" hidden="false" customHeight="false" outlineLevel="0" collapsed="false">
      <c r="A3516" s="2" t="s">
        <v>2209</v>
      </c>
      <c r="B3516" s="2" t="s">
        <v>46</v>
      </c>
      <c r="C3516" s="2" t="s">
        <v>4087</v>
      </c>
      <c r="D3516" s="2"/>
      <c r="E3516" s="2"/>
      <c r="F3516" s="2"/>
      <c r="G3516" s="2"/>
      <c r="H3516" s="2" t="s">
        <v>668</v>
      </c>
    </row>
    <row r="3517" customFormat="false" ht="15" hidden="false" customHeight="false" outlineLevel="0" collapsed="false">
      <c r="A3517" s="2" t="s">
        <v>2209</v>
      </c>
      <c r="B3517" s="2" t="s">
        <v>47</v>
      </c>
      <c r="C3517" s="2" t="s">
        <v>4085</v>
      </c>
      <c r="D3517" s="11" t="n">
        <v>22719</v>
      </c>
      <c r="E3517" s="31" t="n">
        <v>45.7</v>
      </c>
      <c r="F3517" s="31" t="n">
        <v>31.4</v>
      </c>
      <c r="G3517" s="31" t="n">
        <v>30.2</v>
      </c>
      <c r="H3517" s="2" t="s">
        <v>671</v>
      </c>
    </row>
    <row r="3518" customFormat="false" ht="15" hidden="false" customHeight="false" outlineLevel="0" collapsed="false">
      <c r="A3518" s="2" t="s">
        <v>2209</v>
      </c>
      <c r="B3518" s="2" t="s">
        <v>47</v>
      </c>
      <c r="C3518" s="2" t="s">
        <v>4087</v>
      </c>
      <c r="D3518" s="11" t="n">
        <v>194520</v>
      </c>
      <c r="E3518" s="31" t="n">
        <v>64.3</v>
      </c>
      <c r="F3518" s="31" t="n">
        <v>100</v>
      </c>
      <c r="G3518" s="31" t="n">
        <v>23.2</v>
      </c>
      <c r="H3518" s="2" t="s">
        <v>671</v>
      </c>
    </row>
    <row r="3519" customFormat="false" ht="15" hidden="false" customHeight="false" outlineLevel="0" collapsed="false">
      <c r="A3519" s="2" t="s">
        <v>488</v>
      </c>
      <c r="B3519" s="2" t="s">
        <v>4104</v>
      </c>
      <c r="C3519" s="2" t="s">
        <v>4085</v>
      </c>
      <c r="D3519" s="2"/>
      <c r="E3519" s="31" t="n">
        <v>45.8</v>
      </c>
      <c r="F3519" s="31" t="n">
        <v>29.5</v>
      </c>
      <c r="G3519" s="31" t="n">
        <v>44.1</v>
      </c>
      <c r="H3519" s="2" t="s">
        <v>668</v>
      </c>
    </row>
    <row r="3520" customFormat="false" ht="15" hidden="false" customHeight="false" outlineLevel="0" collapsed="false">
      <c r="A3520" s="2" t="s">
        <v>488</v>
      </c>
      <c r="B3520" s="2" t="s">
        <v>4104</v>
      </c>
      <c r="C3520" s="2" t="s">
        <v>4086</v>
      </c>
      <c r="D3520" s="2"/>
      <c r="E3520" s="31" t="n">
        <v>44.4</v>
      </c>
      <c r="F3520" s="31" t="n">
        <v>1</v>
      </c>
      <c r="G3520" s="2"/>
      <c r="H3520" s="2" t="s">
        <v>668</v>
      </c>
    </row>
    <row r="3521" customFormat="false" ht="15" hidden="false" customHeight="false" outlineLevel="0" collapsed="false">
      <c r="A3521" s="2" t="s">
        <v>488</v>
      </c>
      <c r="B3521" s="2" t="s">
        <v>4104</v>
      </c>
      <c r="C3521" s="2" t="s">
        <v>4087</v>
      </c>
      <c r="D3521" s="2"/>
      <c r="E3521" s="31" t="n">
        <v>37.4</v>
      </c>
      <c r="F3521" s="31" t="n">
        <v>11.2</v>
      </c>
      <c r="G3521" s="31" t="n">
        <v>51.4</v>
      </c>
      <c r="H3521" s="2" t="s">
        <v>671</v>
      </c>
    </row>
    <row r="3522" customFormat="false" ht="15" hidden="false" customHeight="false" outlineLevel="0" collapsed="false">
      <c r="A3522" s="2" t="s">
        <v>488</v>
      </c>
      <c r="B3522" s="2" t="s">
        <v>45</v>
      </c>
      <c r="C3522" s="2" t="s">
        <v>4085</v>
      </c>
      <c r="D3522" s="11" t="n">
        <v>133650</v>
      </c>
      <c r="E3522" s="31" t="n">
        <v>20.1</v>
      </c>
      <c r="F3522" s="31" t="n">
        <v>29.5</v>
      </c>
      <c r="G3522" s="31" t="n">
        <v>15.4</v>
      </c>
      <c r="H3522" s="2" t="s">
        <v>671</v>
      </c>
    </row>
    <row r="3523" customFormat="false" ht="15" hidden="false" customHeight="false" outlineLevel="0" collapsed="false">
      <c r="A3523" s="2" t="s">
        <v>488</v>
      </c>
      <c r="B3523" s="2" t="s">
        <v>45</v>
      </c>
      <c r="C3523" s="2" t="s">
        <v>4086</v>
      </c>
      <c r="D3523" s="2"/>
      <c r="E3523" s="2"/>
      <c r="F3523" s="2"/>
      <c r="G3523" s="2"/>
      <c r="H3523" s="2" t="s">
        <v>668</v>
      </c>
    </row>
    <row r="3524" customFormat="false" ht="15" hidden="false" customHeight="false" outlineLevel="0" collapsed="false">
      <c r="A3524" s="2" t="s">
        <v>488</v>
      </c>
      <c r="B3524" s="2" t="s">
        <v>45</v>
      </c>
      <c r="C3524" s="2" t="s">
        <v>4087</v>
      </c>
      <c r="D3524" s="11" t="n">
        <v>139458</v>
      </c>
      <c r="E3524" s="31" t="n">
        <v>16.2</v>
      </c>
      <c r="F3524" s="31" t="n">
        <v>16.7</v>
      </c>
      <c r="G3524" s="31" t="n">
        <v>39.2</v>
      </c>
      <c r="H3524" s="2" t="s">
        <v>671</v>
      </c>
    </row>
    <row r="3525" customFormat="false" ht="15" hidden="false" customHeight="false" outlineLevel="0" collapsed="false">
      <c r="A3525" s="2" t="s">
        <v>488</v>
      </c>
      <c r="B3525" s="2" t="s">
        <v>47</v>
      </c>
      <c r="C3525" s="2" t="s">
        <v>4085</v>
      </c>
      <c r="D3525" s="11" t="n">
        <v>29480</v>
      </c>
      <c r="E3525" s="31" t="n">
        <v>71.6</v>
      </c>
      <c r="F3525" s="2"/>
      <c r="G3525" s="31" t="n">
        <v>72.8</v>
      </c>
      <c r="H3525" s="2" t="s">
        <v>668</v>
      </c>
    </row>
    <row r="3526" customFormat="false" ht="15" hidden="false" customHeight="false" outlineLevel="0" collapsed="false">
      <c r="A3526" s="2" t="s">
        <v>488</v>
      </c>
      <c r="B3526" s="2" t="s">
        <v>47</v>
      </c>
      <c r="C3526" s="2" t="s">
        <v>4086</v>
      </c>
      <c r="D3526" s="11" t="n">
        <v>28636</v>
      </c>
      <c r="E3526" s="31" t="n">
        <v>44.4</v>
      </c>
      <c r="F3526" s="31" t="n">
        <v>1</v>
      </c>
      <c r="G3526" s="2"/>
      <c r="H3526" s="2" t="s">
        <v>668</v>
      </c>
    </row>
    <row r="3527" customFormat="false" ht="15" hidden="false" customHeight="false" outlineLevel="0" collapsed="false">
      <c r="A3527" s="2" t="s">
        <v>488</v>
      </c>
      <c r="B3527" s="2" t="s">
        <v>47</v>
      </c>
      <c r="C3527" s="2" t="s">
        <v>4087</v>
      </c>
      <c r="D3527" s="11" t="n">
        <v>28917</v>
      </c>
      <c r="E3527" s="31" t="n">
        <v>58.7</v>
      </c>
      <c r="F3527" s="31" t="n">
        <v>5.7</v>
      </c>
      <c r="G3527" s="31" t="n">
        <v>63.6</v>
      </c>
      <c r="H3527" s="2" t="s">
        <v>671</v>
      </c>
    </row>
    <row r="3528" customFormat="false" ht="15" hidden="false" customHeight="false" outlineLevel="0" collapsed="false">
      <c r="A3528" s="2" t="s">
        <v>1940</v>
      </c>
      <c r="B3528" s="2" t="s">
        <v>4104</v>
      </c>
      <c r="C3528" s="2" t="s">
        <v>4085</v>
      </c>
      <c r="D3528" s="2"/>
      <c r="E3528" s="31" t="n">
        <v>14.9</v>
      </c>
      <c r="F3528" s="31" t="n">
        <v>59</v>
      </c>
      <c r="G3528" s="31" t="n">
        <v>26.7</v>
      </c>
      <c r="H3528" s="2" t="s">
        <v>671</v>
      </c>
    </row>
    <row r="3529" customFormat="false" ht="15" hidden="false" customHeight="false" outlineLevel="0" collapsed="false">
      <c r="A3529" s="2" t="s">
        <v>1940</v>
      </c>
      <c r="B3529" s="2" t="s">
        <v>4104</v>
      </c>
      <c r="C3529" s="2" t="s">
        <v>4086</v>
      </c>
      <c r="D3529" s="2"/>
      <c r="E3529" s="2"/>
      <c r="F3529" s="2"/>
      <c r="G3529" s="2"/>
      <c r="H3529" s="2" t="s">
        <v>668</v>
      </c>
    </row>
    <row r="3530" customFormat="false" ht="15" hidden="false" customHeight="false" outlineLevel="0" collapsed="false">
      <c r="A3530" s="2" t="s">
        <v>1940</v>
      </c>
      <c r="B3530" s="2" t="s">
        <v>4104</v>
      </c>
      <c r="C3530" s="2" t="s">
        <v>4087</v>
      </c>
      <c r="D3530" s="2"/>
      <c r="E3530" s="31" t="n">
        <v>4.9</v>
      </c>
      <c r="F3530" s="31" t="n">
        <v>67.5</v>
      </c>
      <c r="G3530" s="31" t="n">
        <v>23.8</v>
      </c>
      <c r="H3530" s="2" t="s">
        <v>668</v>
      </c>
    </row>
    <row r="3531" customFormat="false" ht="15" hidden="false" customHeight="false" outlineLevel="0" collapsed="false">
      <c r="A3531" s="2" t="s">
        <v>1940</v>
      </c>
      <c r="B3531" s="2" t="s">
        <v>46</v>
      </c>
      <c r="C3531" s="2" t="s">
        <v>4085</v>
      </c>
      <c r="D3531" s="11" t="n">
        <v>462190</v>
      </c>
      <c r="E3531" s="31" t="n">
        <v>14.9</v>
      </c>
      <c r="F3531" s="31" t="n">
        <v>59</v>
      </c>
      <c r="G3531" s="31" t="n">
        <v>26.7</v>
      </c>
      <c r="H3531" s="2" t="s">
        <v>671</v>
      </c>
    </row>
    <row r="3532" customFormat="false" ht="15" hidden="false" customHeight="false" outlineLevel="0" collapsed="false">
      <c r="A3532" s="2" t="s">
        <v>1940</v>
      </c>
      <c r="B3532" s="2" t="s">
        <v>46</v>
      </c>
      <c r="C3532" s="2" t="s">
        <v>4086</v>
      </c>
      <c r="D3532" s="2"/>
      <c r="E3532" s="2"/>
      <c r="F3532" s="2"/>
      <c r="G3532" s="2"/>
      <c r="H3532" s="2" t="s">
        <v>668</v>
      </c>
    </row>
    <row r="3533" customFormat="false" ht="15" hidden="false" customHeight="false" outlineLevel="0" collapsed="false">
      <c r="A3533" s="2" t="s">
        <v>1940</v>
      </c>
      <c r="B3533" s="2" t="s">
        <v>46</v>
      </c>
      <c r="C3533" s="2" t="s">
        <v>4087</v>
      </c>
      <c r="D3533" s="11" t="n">
        <v>499820</v>
      </c>
      <c r="E3533" s="31" t="n">
        <v>4.9</v>
      </c>
      <c r="F3533" s="31" t="n">
        <v>67.5</v>
      </c>
      <c r="G3533" s="31" t="n">
        <v>23.8</v>
      </c>
      <c r="H3533" s="2" t="s">
        <v>671</v>
      </c>
    </row>
    <row r="3534" customFormat="false" ht="15" hidden="false" customHeight="false" outlineLevel="0" collapsed="false">
      <c r="A3534" s="2" t="s">
        <v>2927</v>
      </c>
      <c r="B3534" s="2" t="s">
        <v>4104</v>
      </c>
      <c r="C3534" s="2" t="s">
        <v>4085</v>
      </c>
      <c r="D3534" s="2"/>
      <c r="E3534" s="31" t="n">
        <v>81.2</v>
      </c>
      <c r="F3534" s="31" t="n">
        <v>94.7</v>
      </c>
      <c r="G3534" s="31" t="n">
        <v>22.8</v>
      </c>
      <c r="H3534" s="2" t="s">
        <v>671</v>
      </c>
    </row>
    <row r="3535" customFormat="false" ht="15" hidden="false" customHeight="false" outlineLevel="0" collapsed="false">
      <c r="A3535" s="2" t="s">
        <v>2927</v>
      </c>
      <c r="B3535" s="2" t="s">
        <v>4104</v>
      </c>
      <c r="C3535" s="2" t="s">
        <v>4086</v>
      </c>
      <c r="D3535" s="2"/>
      <c r="E3535" s="2"/>
      <c r="F3535" s="31" t="n">
        <v>84.9</v>
      </c>
      <c r="G3535" s="31" t="n">
        <v>25.6</v>
      </c>
      <c r="H3535" s="2" t="s">
        <v>668</v>
      </c>
    </row>
    <row r="3536" customFormat="false" ht="15" hidden="false" customHeight="false" outlineLevel="0" collapsed="false">
      <c r="A3536" s="2" t="s">
        <v>2927</v>
      </c>
      <c r="B3536" s="2" t="s">
        <v>4104</v>
      </c>
      <c r="C3536" s="2" t="s">
        <v>4087</v>
      </c>
      <c r="D3536" s="2"/>
      <c r="E3536" s="31" t="n">
        <v>73.8</v>
      </c>
      <c r="F3536" s="31" t="n">
        <v>95.8</v>
      </c>
      <c r="G3536" s="2"/>
      <c r="H3536" s="2" t="s">
        <v>668</v>
      </c>
    </row>
    <row r="3537" customFormat="false" ht="15" hidden="false" customHeight="false" outlineLevel="0" collapsed="false">
      <c r="A3537" s="2" t="s">
        <v>2927</v>
      </c>
      <c r="B3537" s="2" t="s">
        <v>46</v>
      </c>
      <c r="C3537" s="2" t="s">
        <v>4085</v>
      </c>
      <c r="D3537" s="11" t="n">
        <v>7890</v>
      </c>
      <c r="E3537" s="31" t="n">
        <v>81.2</v>
      </c>
      <c r="F3537" s="31" t="n">
        <v>94.7</v>
      </c>
      <c r="G3537" s="31" t="n">
        <v>22.8</v>
      </c>
      <c r="H3537" s="2" t="s">
        <v>671</v>
      </c>
    </row>
    <row r="3538" customFormat="false" ht="15" hidden="false" customHeight="false" outlineLevel="0" collapsed="false">
      <c r="A3538" s="2" t="s">
        <v>2927</v>
      </c>
      <c r="B3538" s="2" t="s">
        <v>46</v>
      </c>
      <c r="C3538" s="2" t="s">
        <v>4086</v>
      </c>
      <c r="D3538" s="11" t="n">
        <v>8620</v>
      </c>
      <c r="E3538" s="2"/>
      <c r="F3538" s="31" t="n">
        <v>84.9</v>
      </c>
      <c r="G3538" s="31" t="n">
        <v>25.6</v>
      </c>
      <c r="H3538" s="2" t="s">
        <v>668</v>
      </c>
    </row>
    <row r="3539" customFormat="false" ht="15" hidden="false" customHeight="false" outlineLevel="0" collapsed="false">
      <c r="A3539" s="2" t="s">
        <v>2927</v>
      </c>
      <c r="B3539" s="2" t="s">
        <v>46</v>
      </c>
      <c r="C3539" s="2" t="s">
        <v>4087</v>
      </c>
      <c r="D3539" s="11" t="n">
        <v>9040</v>
      </c>
      <c r="E3539" s="31" t="n">
        <v>73.8</v>
      </c>
      <c r="F3539" s="31" t="n">
        <v>95.8</v>
      </c>
      <c r="G3539" s="2"/>
      <c r="H3539" s="2" t="s">
        <v>668</v>
      </c>
    </row>
    <row r="3540" customFormat="false" ht="15" hidden="false" customHeight="false" outlineLevel="0" collapsed="false">
      <c r="A3540" s="2" t="s">
        <v>2017</v>
      </c>
      <c r="B3540" s="2" t="s">
        <v>4104</v>
      </c>
      <c r="C3540" s="2" t="s">
        <v>4085</v>
      </c>
      <c r="D3540" s="2"/>
      <c r="E3540" s="31" t="n">
        <v>73.6</v>
      </c>
      <c r="F3540" s="31" t="n">
        <v>78.2</v>
      </c>
      <c r="G3540" s="31" t="n">
        <v>33.5</v>
      </c>
      <c r="H3540" s="2" t="s">
        <v>671</v>
      </c>
    </row>
    <row r="3541" customFormat="false" ht="15" hidden="false" customHeight="false" outlineLevel="0" collapsed="false">
      <c r="A3541" s="2" t="s">
        <v>2017</v>
      </c>
      <c r="B3541" s="2" t="s">
        <v>4104</v>
      </c>
      <c r="C3541" s="2" t="s">
        <v>4086</v>
      </c>
      <c r="D3541" s="2"/>
      <c r="E3541" s="31" t="n">
        <v>79.5</v>
      </c>
      <c r="F3541" s="31" t="n">
        <v>78.8</v>
      </c>
      <c r="G3541" s="31" t="n">
        <v>44.6</v>
      </c>
      <c r="H3541" s="2" t="s">
        <v>671</v>
      </c>
    </row>
    <row r="3542" customFormat="false" ht="15" hidden="false" customHeight="false" outlineLevel="0" collapsed="false">
      <c r="A3542" s="2" t="s">
        <v>2017</v>
      </c>
      <c r="B3542" s="2" t="s">
        <v>4104</v>
      </c>
      <c r="C3542" s="2" t="s">
        <v>4087</v>
      </c>
      <c r="D3542" s="2"/>
      <c r="E3542" s="31" t="n">
        <v>92.2</v>
      </c>
      <c r="F3542" s="31" t="n">
        <v>89.8</v>
      </c>
      <c r="G3542" s="31" t="n">
        <v>65</v>
      </c>
      <c r="H3542" s="2" t="s">
        <v>668</v>
      </c>
    </row>
    <row r="3543" customFormat="false" ht="15" hidden="false" customHeight="false" outlineLevel="0" collapsed="false">
      <c r="A3543" s="2" t="s">
        <v>2017</v>
      </c>
      <c r="B3543" s="2" t="s">
        <v>45</v>
      </c>
      <c r="C3543" s="2" t="s">
        <v>4085</v>
      </c>
      <c r="D3543" s="11" t="n">
        <v>43710</v>
      </c>
      <c r="E3543" s="31" t="n">
        <v>66.7</v>
      </c>
      <c r="F3543" s="31" t="n">
        <v>67.2</v>
      </c>
      <c r="G3543" s="31" t="n">
        <v>17.6</v>
      </c>
      <c r="H3543" s="2" t="s">
        <v>671</v>
      </c>
    </row>
    <row r="3544" customFormat="false" ht="15" hidden="false" customHeight="false" outlineLevel="0" collapsed="false">
      <c r="A3544" s="2" t="s">
        <v>2017</v>
      </c>
      <c r="B3544" s="2" t="s">
        <v>45</v>
      </c>
      <c r="C3544" s="2" t="s">
        <v>4086</v>
      </c>
      <c r="D3544" s="11" t="n">
        <v>44780</v>
      </c>
      <c r="E3544" s="31" t="n">
        <v>60.9</v>
      </c>
      <c r="F3544" s="31" t="n">
        <v>61.2</v>
      </c>
      <c r="G3544" s="31" t="n">
        <v>42.9</v>
      </c>
      <c r="H3544" s="2" t="s">
        <v>671</v>
      </c>
    </row>
    <row r="3545" customFormat="false" ht="15" hidden="false" customHeight="false" outlineLevel="0" collapsed="false">
      <c r="A3545" s="2" t="s">
        <v>2017</v>
      </c>
      <c r="B3545" s="2" t="s">
        <v>45</v>
      </c>
      <c r="C3545" s="2" t="s">
        <v>4087</v>
      </c>
      <c r="D3545" s="2"/>
      <c r="E3545" s="2"/>
      <c r="F3545" s="2"/>
      <c r="G3545" s="2"/>
      <c r="H3545" s="2" t="s">
        <v>668</v>
      </c>
    </row>
    <row r="3546" customFormat="false" ht="15" hidden="false" customHeight="false" outlineLevel="0" collapsed="false">
      <c r="A3546" s="2" t="s">
        <v>2017</v>
      </c>
      <c r="B3546" s="2" t="s">
        <v>47</v>
      </c>
      <c r="C3546" s="2" t="s">
        <v>4085</v>
      </c>
      <c r="D3546" s="11" t="n">
        <v>98752</v>
      </c>
      <c r="E3546" s="31" t="n">
        <v>80.4</v>
      </c>
      <c r="F3546" s="31" t="n">
        <v>89.2</v>
      </c>
      <c r="G3546" s="31" t="n">
        <v>49.4</v>
      </c>
      <c r="H3546" s="2" t="s">
        <v>671</v>
      </c>
    </row>
    <row r="3547" customFormat="false" ht="15" hidden="false" customHeight="false" outlineLevel="0" collapsed="false">
      <c r="A3547" s="2" t="s">
        <v>2017</v>
      </c>
      <c r="B3547" s="2" t="s">
        <v>47</v>
      </c>
      <c r="C3547" s="2" t="s">
        <v>4086</v>
      </c>
      <c r="D3547" s="11" t="n">
        <v>101840</v>
      </c>
      <c r="E3547" s="31" t="n">
        <v>98.1</v>
      </c>
      <c r="F3547" s="31" t="n">
        <v>96.3</v>
      </c>
      <c r="G3547" s="31" t="n">
        <v>46.2</v>
      </c>
      <c r="H3547" s="2" t="s">
        <v>671</v>
      </c>
    </row>
    <row r="3548" customFormat="false" ht="15" hidden="false" customHeight="false" outlineLevel="0" collapsed="false">
      <c r="A3548" s="2" t="s">
        <v>2017</v>
      </c>
      <c r="B3548" s="2" t="s">
        <v>47</v>
      </c>
      <c r="C3548" s="2" t="s">
        <v>4087</v>
      </c>
      <c r="D3548" s="11" t="n">
        <v>111543</v>
      </c>
      <c r="E3548" s="31" t="n">
        <v>92.2</v>
      </c>
      <c r="F3548" s="31" t="n">
        <v>89.8</v>
      </c>
      <c r="G3548" s="31" t="n">
        <v>65</v>
      </c>
      <c r="H3548" s="2" t="s">
        <v>671</v>
      </c>
    </row>
    <row r="3549" customFormat="false" ht="15" hidden="false" customHeight="false" outlineLevel="0" collapsed="false">
      <c r="A3549" s="2" t="s">
        <v>2213</v>
      </c>
      <c r="B3549" s="2" t="s">
        <v>4104</v>
      </c>
      <c r="C3549" s="2" t="s">
        <v>4085</v>
      </c>
      <c r="D3549" s="2"/>
      <c r="E3549" s="31" t="n">
        <v>48.6</v>
      </c>
      <c r="F3549" s="31" t="n">
        <v>47.2</v>
      </c>
      <c r="G3549" s="31" t="n">
        <v>83.6</v>
      </c>
      <c r="H3549" s="2" t="s">
        <v>668</v>
      </c>
    </row>
    <row r="3550" customFormat="false" ht="15" hidden="false" customHeight="false" outlineLevel="0" collapsed="false">
      <c r="A3550" s="2" t="s">
        <v>2213</v>
      </c>
      <c r="B3550" s="2" t="s">
        <v>4104</v>
      </c>
      <c r="C3550" s="2" t="s">
        <v>4086</v>
      </c>
      <c r="D3550" s="2"/>
      <c r="E3550" s="31" t="n">
        <v>50.4</v>
      </c>
      <c r="F3550" s="31" t="n">
        <v>74</v>
      </c>
      <c r="G3550" s="31" t="n">
        <v>74.1</v>
      </c>
      <c r="H3550" s="2" t="s">
        <v>671</v>
      </c>
    </row>
    <row r="3551" customFormat="false" ht="15" hidden="false" customHeight="false" outlineLevel="0" collapsed="false">
      <c r="A3551" s="2" t="s">
        <v>2213</v>
      </c>
      <c r="B3551" s="2" t="s">
        <v>4104</v>
      </c>
      <c r="C3551" s="2" t="s">
        <v>4087</v>
      </c>
      <c r="D3551" s="2"/>
      <c r="E3551" s="31" t="n">
        <v>63.9</v>
      </c>
      <c r="F3551" s="31" t="n">
        <v>81.3</v>
      </c>
      <c r="G3551" s="31" t="n">
        <v>85.5</v>
      </c>
      <c r="H3551" s="2" t="s">
        <v>668</v>
      </c>
    </row>
    <row r="3552" customFormat="false" ht="15" hidden="false" customHeight="false" outlineLevel="0" collapsed="false">
      <c r="A3552" s="2" t="s">
        <v>2213</v>
      </c>
      <c r="B3552" s="2" t="s">
        <v>45</v>
      </c>
      <c r="C3552" s="2" t="s">
        <v>4085</v>
      </c>
      <c r="D3552" s="11" t="n">
        <v>329010</v>
      </c>
      <c r="E3552" s="31" t="n">
        <v>92.9</v>
      </c>
      <c r="F3552" s="31" t="n">
        <v>27.4</v>
      </c>
      <c r="G3552" s="2"/>
      <c r="H3552" s="2" t="s">
        <v>668</v>
      </c>
    </row>
    <row r="3553" customFormat="false" ht="15" hidden="false" customHeight="false" outlineLevel="0" collapsed="false">
      <c r="A3553" s="2" t="s">
        <v>2213</v>
      </c>
      <c r="B3553" s="2" t="s">
        <v>45</v>
      </c>
      <c r="C3553" s="2" t="s">
        <v>4086</v>
      </c>
      <c r="D3553" s="11" t="n">
        <v>335870</v>
      </c>
      <c r="E3553" s="31" t="n">
        <v>95.7</v>
      </c>
      <c r="F3553" s="31" t="n">
        <v>87.1</v>
      </c>
      <c r="G3553" s="31" t="n">
        <v>63.9</v>
      </c>
      <c r="H3553" s="2" t="s">
        <v>671</v>
      </c>
    </row>
    <row r="3554" customFormat="false" ht="15" hidden="false" customHeight="false" outlineLevel="0" collapsed="false">
      <c r="A3554" s="2" t="s">
        <v>2213</v>
      </c>
      <c r="B3554" s="2" t="s">
        <v>45</v>
      </c>
      <c r="C3554" s="2" t="s">
        <v>4087</v>
      </c>
      <c r="D3554" s="2"/>
      <c r="E3554" s="2"/>
      <c r="F3554" s="2"/>
      <c r="G3554" s="2"/>
      <c r="H3554" s="2" t="s">
        <v>668</v>
      </c>
    </row>
    <row r="3555" customFormat="false" ht="15" hidden="false" customHeight="false" outlineLevel="0" collapsed="false">
      <c r="A3555" s="2" t="s">
        <v>2213</v>
      </c>
      <c r="B3555" s="2" t="s">
        <v>46</v>
      </c>
      <c r="C3555" s="2" t="s">
        <v>4085</v>
      </c>
      <c r="D3555" s="11" t="n">
        <v>20680</v>
      </c>
      <c r="E3555" s="31" t="n">
        <v>0.6</v>
      </c>
      <c r="F3555" s="31" t="n">
        <v>35.2</v>
      </c>
      <c r="G3555" s="31" t="n">
        <v>77.9</v>
      </c>
      <c r="H3555" s="2" t="s">
        <v>671</v>
      </c>
    </row>
    <row r="3556" customFormat="false" ht="15" hidden="false" customHeight="false" outlineLevel="0" collapsed="false">
      <c r="A3556" s="2" t="s">
        <v>2213</v>
      </c>
      <c r="B3556" s="2" t="s">
        <v>46</v>
      </c>
      <c r="C3556" s="2" t="s">
        <v>4086</v>
      </c>
      <c r="D3556" s="11" t="n">
        <v>20780</v>
      </c>
      <c r="E3556" s="31" t="n">
        <v>0.4</v>
      </c>
      <c r="F3556" s="31" t="n">
        <v>54.9</v>
      </c>
      <c r="G3556" s="31" t="n">
        <v>62</v>
      </c>
      <c r="H3556" s="2" t="s">
        <v>671</v>
      </c>
    </row>
    <row r="3557" customFormat="false" ht="15" hidden="false" customHeight="false" outlineLevel="0" collapsed="false">
      <c r="A3557" s="2" t="s">
        <v>2213</v>
      </c>
      <c r="B3557" s="2" t="s">
        <v>46</v>
      </c>
      <c r="C3557" s="2" t="s">
        <v>4087</v>
      </c>
      <c r="D3557" s="2"/>
      <c r="E3557" s="2"/>
      <c r="F3557" s="2"/>
      <c r="G3557" s="2"/>
      <c r="H3557" s="2" t="s">
        <v>668</v>
      </c>
    </row>
    <row r="3558" customFormat="false" ht="15" hidden="false" customHeight="false" outlineLevel="0" collapsed="false">
      <c r="A3558" s="2" t="s">
        <v>2213</v>
      </c>
      <c r="B3558" s="2" t="s">
        <v>47</v>
      </c>
      <c r="C3558" s="2" t="s">
        <v>4085</v>
      </c>
      <c r="D3558" s="11" t="n">
        <v>718260</v>
      </c>
      <c r="E3558" s="31" t="n">
        <v>52.4</v>
      </c>
      <c r="F3558" s="31" t="n">
        <v>79</v>
      </c>
      <c r="G3558" s="31" t="n">
        <v>89.4</v>
      </c>
      <c r="H3558" s="2" t="s">
        <v>671</v>
      </c>
    </row>
    <row r="3559" customFormat="false" ht="15" hidden="false" customHeight="false" outlineLevel="0" collapsed="false">
      <c r="A3559" s="2" t="s">
        <v>2213</v>
      </c>
      <c r="B3559" s="2" t="s">
        <v>47</v>
      </c>
      <c r="C3559" s="2" t="s">
        <v>4086</v>
      </c>
      <c r="D3559" s="11" t="n">
        <v>728588</v>
      </c>
      <c r="E3559" s="31" t="n">
        <v>55.2</v>
      </c>
      <c r="F3559" s="31" t="n">
        <v>80.1</v>
      </c>
      <c r="G3559" s="31" t="n">
        <v>96.4</v>
      </c>
      <c r="H3559" s="2" t="s">
        <v>671</v>
      </c>
    </row>
    <row r="3560" customFormat="false" ht="15" hidden="false" customHeight="false" outlineLevel="0" collapsed="false">
      <c r="A3560" s="2" t="s">
        <v>2213</v>
      </c>
      <c r="B3560" s="2" t="s">
        <v>47</v>
      </c>
      <c r="C3560" s="2" t="s">
        <v>4087</v>
      </c>
      <c r="D3560" s="11" t="n">
        <v>789293</v>
      </c>
      <c r="E3560" s="31" t="n">
        <v>63.9</v>
      </c>
      <c r="F3560" s="31" t="n">
        <v>81.3</v>
      </c>
      <c r="G3560" s="31" t="n">
        <v>85.5</v>
      </c>
      <c r="H3560" s="2" t="s">
        <v>671</v>
      </c>
    </row>
    <row r="3561" customFormat="false" ht="15" hidden="false" customHeight="false" outlineLevel="0" collapsed="false">
      <c r="A3561" s="2" t="s">
        <v>152</v>
      </c>
      <c r="B3561" s="2" t="s">
        <v>4104</v>
      </c>
      <c r="C3561" s="2" t="s">
        <v>4085</v>
      </c>
      <c r="D3561" s="2"/>
      <c r="E3561" s="31" t="n">
        <v>67.5</v>
      </c>
      <c r="F3561" s="31" t="n">
        <v>37.7</v>
      </c>
      <c r="G3561" s="31" t="n">
        <v>93.1</v>
      </c>
      <c r="H3561" s="2" t="s">
        <v>671</v>
      </c>
    </row>
    <row r="3562" customFormat="false" ht="15" hidden="false" customHeight="false" outlineLevel="0" collapsed="false">
      <c r="A3562" s="2" t="s">
        <v>152</v>
      </c>
      <c r="B3562" s="2" t="s">
        <v>4104</v>
      </c>
      <c r="C3562" s="2" t="s">
        <v>4086</v>
      </c>
      <c r="D3562" s="2"/>
      <c r="E3562" s="31" t="n">
        <v>66.3</v>
      </c>
      <c r="F3562" s="31" t="n">
        <v>21.1</v>
      </c>
      <c r="G3562" s="31" t="n">
        <v>87.1</v>
      </c>
      <c r="H3562" s="2" t="s">
        <v>671</v>
      </c>
    </row>
    <row r="3563" customFormat="false" ht="15" hidden="false" customHeight="false" outlineLevel="0" collapsed="false">
      <c r="A3563" s="2" t="s">
        <v>152</v>
      </c>
      <c r="B3563" s="2" t="s">
        <v>4104</v>
      </c>
      <c r="C3563" s="2" t="s">
        <v>4087</v>
      </c>
      <c r="D3563" s="2"/>
      <c r="E3563" s="31" t="n">
        <v>78.7</v>
      </c>
      <c r="F3563" s="31" t="n">
        <v>47</v>
      </c>
      <c r="G3563" s="31" t="n">
        <v>97</v>
      </c>
      <c r="H3563" s="2" t="s">
        <v>671</v>
      </c>
    </row>
    <row r="3564" customFormat="false" ht="15" hidden="false" customHeight="false" outlineLevel="0" collapsed="false">
      <c r="A3564" s="2" t="s">
        <v>152</v>
      </c>
      <c r="B3564" s="2" t="s">
        <v>47</v>
      </c>
      <c r="C3564" s="2" t="s">
        <v>4085</v>
      </c>
      <c r="D3564" s="11" t="n">
        <v>124303</v>
      </c>
      <c r="E3564" s="31" t="n">
        <v>67.5</v>
      </c>
      <c r="F3564" s="31" t="n">
        <v>37.7</v>
      </c>
      <c r="G3564" s="31" t="n">
        <v>93.1</v>
      </c>
      <c r="H3564" s="2" t="s">
        <v>671</v>
      </c>
    </row>
    <row r="3565" customFormat="false" ht="15" hidden="false" customHeight="false" outlineLevel="0" collapsed="false">
      <c r="A3565" s="2" t="s">
        <v>152</v>
      </c>
      <c r="B3565" s="2" t="s">
        <v>47</v>
      </c>
      <c r="C3565" s="2" t="s">
        <v>4086</v>
      </c>
      <c r="D3565" s="11" t="n">
        <v>126080</v>
      </c>
      <c r="E3565" s="31" t="n">
        <v>66.3</v>
      </c>
      <c r="F3565" s="31" t="n">
        <v>21.1</v>
      </c>
      <c r="G3565" s="31" t="n">
        <v>87.1</v>
      </c>
      <c r="H3565" s="2" t="s">
        <v>671</v>
      </c>
    </row>
    <row r="3566" customFormat="false" ht="15" hidden="false" customHeight="false" outlineLevel="0" collapsed="false">
      <c r="A3566" s="2" t="s">
        <v>152</v>
      </c>
      <c r="B3566" s="2" t="s">
        <v>47</v>
      </c>
      <c r="C3566" s="2" t="s">
        <v>4087</v>
      </c>
      <c r="D3566" s="11" t="n">
        <v>130530</v>
      </c>
      <c r="E3566" s="31" t="n">
        <v>78.7</v>
      </c>
      <c r="F3566" s="31" t="n">
        <v>47</v>
      </c>
      <c r="G3566" s="31" t="n">
        <v>97</v>
      </c>
      <c r="H3566" s="2" t="s">
        <v>671</v>
      </c>
    </row>
    <row r="3567" customFormat="false" ht="15" hidden="false" customHeight="false" outlineLevel="0" collapsed="false">
      <c r="A3567" s="2" t="s">
        <v>1929</v>
      </c>
      <c r="B3567" s="2" t="s">
        <v>4104</v>
      </c>
      <c r="C3567" s="2" t="s">
        <v>4085</v>
      </c>
      <c r="D3567" s="2"/>
      <c r="E3567" s="31" t="n">
        <v>24.1</v>
      </c>
      <c r="F3567" s="31" t="n">
        <v>60.4</v>
      </c>
      <c r="G3567" s="31" t="n">
        <v>33.8</v>
      </c>
      <c r="H3567" s="2" t="s">
        <v>668</v>
      </c>
    </row>
    <row r="3568" customFormat="false" ht="15" hidden="false" customHeight="false" outlineLevel="0" collapsed="false">
      <c r="A3568" s="2" t="s">
        <v>1929</v>
      </c>
      <c r="B3568" s="2" t="s">
        <v>4104</v>
      </c>
      <c r="C3568" s="2" t="s">
        <v>4086</v>
      </c>
      <c r="D3568" s="2"/>
      <c r="E3568" s="31" t="n">
        <v>11.4</v>
      </c>
      <c r="F3568" s="31" t="n">
        <v>56.4</v>
      </c>
      <c r="G3568" s="31" t="n">
        <v>57</v>
      </c>
      <c r="H3568" s="2" t="s">
        <v>668</v>
      </c>
    </row>
    <row r="3569" customFormat="false" ht="15" hidden="false" customHeight="false" outlineLevel="0" collapsed="false">
      <c r="A3569" s="2" t="s">
        <v>1929</v>
      </c>
      <c r="B3569" s="2" t="s">
        <v>4104</v>
      </c>
      <c r="C3569" s="2" t="s">
        <v>4087</v>
      </c>
      <c r="D3569" s="2"/>
      <c r="E3569" s="31" t="n">
        <v>24.9</v>
      </c>
      <c r="F3569" s="31" t="n">
        <v>60</v>
      </c>
      <c r="G3569" s="31" t="n">
        <v>50.8</v>
      </c>
      <c r="H3569" s="2" t="s">
        <v>668</v>
      </c>
    </row>
    <row r="3570" customFormat="false" ht="15" hidden="false" customHeight="false" outlineLevel="0" collapsed="false">
      <c r="A3570" s="2" t="s">
        <v>1929</v>
      </c>
      <c r="B3570" s="2" t="s">
        <v>45</v>
      </c>
      <c r="C3570" s="2" t="s">
        <v>4085</v>
      </c>
      <c r="D3570" s="11" t="n">
        <v>21215</v>
      </c>
      <c r="E3570" s="31" t="n">
        <v>44.5</v>
      </c>
      <c r="F3570" s="31" t="n">
        <v>88.7</v>
      </c>
      <c r="G3570" s="2"/>
      <c r="H3570" s="2" t="s">
        <v>668</v>
      </c>
    </row>
    <row r="3571" customFormat="false" ht="15" hidden="false" customHeight="false" outlineLevel="0" collapsed="false">
      <c r="A3571" s="2" t="s">
        <v>1929</v>
      </c>
      <c r="B3571" s="2" t="s">
        <v>45</v>
      </c>
      <c r="C3571" s="2" t="s">
        <v>4086</v>
      </c>
      <c r="D3571" s="2"/>
      <c r="E3571" s="2"/>
      <c r="F3571" s="2"/>
      <c r="G3571" s="31" t="n">
        <v>76.6</v>
      </c>
      <c r="H3571" s="2" t="s">
        <v>668</v>
      </c>
    </row>
    <row r="3572" customFormat="false" ht="15" hidden="false" customHeight="false" outlineLevel="0" collapsed="false">
      <c r="A3572" s="2" t="s">
        <v>1929</v>
      </c>
      <c r="B3572" s="2" t="s">
        <v>45</v>
      </c>
      <c r="C3572" s="2" t="s">
        <v>4087</v>
      </c>
      <c r="D3572" s="11" t="n">
        <v>23155</v>
      </c>
      <c r="E3572" s="31" t="n">
        <v>43.2</v>
      </c>
      <c r="F3572" s="31" t="n">
        <v>86.9</v>
      </c>
      <c r="G3572" s="2"/>
      <c r="H3572" s="2" t="s">
        <v>668</v>
      </c>
    </row>
    <row r="3573" customFormat="false" ht="15" hidden="false" customHeight="false" outlineLevel="0" collapsed="false">
      <c r="A3573" s="2" t="s">
        <v>1929</v>
      </c>
      <c r="B3573" s="2" t="s">
        <v>46</v>
      </c>
      <c r="C3573" s="2" t="s">
        <v>4085</v>
      </c>
      <c r="D3573" s="11" t="n">
        <v>44510</v>
      </c>
      <c r="E3573" s="31" t="n">
        <v>3.7</v>
      </c>
      <c r="F3573" s="31" t="n">
        <v>32.2</v>
      </c>
      <c r="G3573" s="31" t="n">
        <v>33.8</v>
      </c>
      <c r="H3573" s="2" t="s">
        <v>671</v>
      </c>
    </row>
    <row r="3574" customFormat="false" ht="15" hidden="false" customHeight="false" outlineLevel="0" collapsed="false">
      <c r="A3574" s="2" t="s">
        <v>1929</v>
      </c>
      <c r="B3574" s="2" t="s">
        <v>46</v>
      </c>
      <c r="C3574" s="2" t="s">
        <v>4086</v>
      </c>
      <c r="D3574" s="11" t="n">
        <v>45437</v>
      </c>
      <c r="E3574" s="31" t="n">
        <v>11.4</v>
      </c>
      <c r="F3574" s="31" t="n">
        <v>56.4</v>
      </c>
      <c r="G3574" s="31" t="n">
        <v>37.5</v>
      </c>
      <c r="H3574" s="2" t="s">
        <v>671</v>
      </c>
    </row>
    <row r="3575" customFormat="false" ht="15" hidden="false" customHeight="false" outlineLevel="0" collapsed="false">
      <c r="A3575" s="2" t="s">
        <v>1929</v>
      </c>
      <c r="B3575" s="2" t="s">
        <v>46</v>
      </c>
      <c r="C3575" s="2" t="s">
        <v>4087</v>
      </c>
      <c r="D3575" s="11" t="n">
        <v>45016</v>
      </c>
      <c r="E3575" s="31" t="n">
        <v>6.6</v>
      </c>
      <c r="F3575" s="31" t="n">
        <v>33.2</v>
      </c>
      <c r="G3575" s="31" t="n">
        <v>50.8</v>
      </c>
      <c r="H3575" s="2" t="s">
        <v>671</v>
      </c>
    </row>
    <row r="3576" customFormat="false" ht="15" hidden="false" customHeight="false" outlineLevel="0" collapsed="false">
      <c r="A3576" s="2" t="s">
        <v>830</v>
      </c>
      <c r="B3576" s="2" t="s">
        <v>4104</v>
      </c>
      <c r="C3576" s="2" t="s">
        <v>4085</v>
      </c>
      <c r="D3576" s="2"/>
      <c r="E3576" s="31" t="n">
        <v>67.7</v>
      </c>
      <c r="F3576" s="31" t="n">
        <v>55.7</v>
      </c>
      <c r="G3576" s="31" t="n">
        <v>45.7</v>
      </c>
      <c r="H3576" s="2" t="s">
        <v>668</v>
      </c>
    </row>
    <row r="3577" customFormat="false" ht="15" hidden="false" customHeight="false" outlineLevel="0" collapsed="false">
      <c r="A3577" s="2" t="s">
        <v>830</v>
      </c>
      <c r="B3577" s="2" t="s">
        <v>4104</v>
      </c>
      <c r="C3577" s="2" t="s">
        <v>4086</v>
      </c>
      <c r="D3577" s="2"/>
      <c r="E3577" s="31" t="n">
        <v>86.9</v>
      </c>
      <c r="F3577" s="31" t="n">
        <v>43.5</v>
      </c>
      <c r="G3577" s="31" t="n">
        <v>47.5</v>
      </c>
      <c r="H3577" s="2" t="s">
        <v>668</v>
      </c>
    </row>
    <row r="3578" customFormat="false" ht="15" hidden="false" customHeight="false" outlineLevel="0" collapsed="false">
      <c r="A3578" s="2" t="s">
        <v>830</v>
      </c>
      <c r="B3578" s="2" t="s">
        <v>4104</v>
      </c>
      <c r="C3578" s="2" t="s">
        <v>4087</v>
      </c>
      <c r="D3578" s="2"/>
      <c r="E3578" s="31" t="n">
        <v>81.2</v>
      </c>
      <c r="F3578" s="31" t="n">
        <v>27.8</v>
      </c>
      <c r="G3578" s="31" t="n">
        <v>34.9</v>
      </c>
      <c r="H3578" s="2" t="s">
        <v>668</v>
      </c>
    </row>
    <row r="3579" customFormat="false" ht="15" hidden="false" customHeight="false" outlineLevel="0" collapsed="false">
      <c r="A3579" s="2" t="s">
        <v>830</v>
      </c>
      <c r="B3579" s="2" t="s">
        <v>45</v>
      </c>
      <c r="C3579" s="2" t="s">
        <v>4085</v>
      </c>
      <c r="D3579" s="11" t="n">
        <v>5010</v>
      </c>
      <c r="E3579" s="31" t="n">
        <v>81.6</v>
      </c>
      <c r="F3579" s="2"/>
      <c r="G3579" s="31" t="n">
        <v>26.1</v>
      </c>
      <c r="H3579" s="2" t="s">
        <v>668</v>
      </c>
    </row>
    <row r="3580" customFormat="false" ht="15" hidden="false" customHeight="false" outlineLevel="0" collapsed="false">
      <c r="A3580" s="2" t="s">
        <v>830</v>
      </c>
      <c r="B3580" s="2" t="s">
        <v>45</v>
      </c>
      <c r="C3580" s="2" t="s">
        <v>4086</v>
      </c>
      <c r="D3580" s="2"/>
      <c r="E3580" s="2"/>
      <c r="F3580" s="2"/>
      <c r="G3580" s="2"/>
      <c r="H3580" s="2" t="s">
        <v>668</v>
      </c>
    </row>
    <row r="3581" customFormat="false" ht="15" hidden="false" customHeight="false" outlineLevel="0" collapsed="false">
      <c r="A3581" s="2" t="s">
        <v>830</v>
      </c>
      <c r="B3581" s="2" t="s">
        <v>45</v>
      </c>
      <c r="C3581" s="2" t="s">
        <v>4087</v>
      </c>
      <c r="D3581" s="11" t="n">
        <v>5145</v>
      </c>
      <c r="E3581" s="31" t="n">
        <v>78.6</v>
      </c>
      <c r="F3581" s="31" t="n">
        <v>20.4</v>
      </c>
      <c r="G3581" s="31" t="n">
        <v>29.8</v>
      </c>
      <c r="H3581" s="2" t="s">
        <v>671</v>
      </c>
    </row>
    <row r="3582" customFormat="false" ht="15" hidden="false" customHeight="false" outlineLevel="0" collapsed="false">
      <c r="A3582" s="2" t="s">
        <v>830</v>
      </c>
      <c r="B3582" s="2" t="s">
        <v>46</v>
      </c>
      <c r="C3582" s="2" t="s">
        <v>4085</v>
      </c>
      <c r="D3582" s="11" t="n">
        <v>270480</v>
      </c>
      <c r="E3582" s="31" t="n">
        <v>81.8</v>
      </c>
      <c r="F3582" s="31" t="n">
        <v>71.2</v>
      </c>
      <c r="G3582" s="31" t="n">
        <v>51.6</v>
      </c>
      <c r="H3582" s="2" t="s">
        <v>671</v>
      </c>
    </row>
    <row r="3583" customFormat="false" ht="15" hidden="false" customHeight="false" outlineLevel="0" collapsed="false">
      <c r="A3583" s="2" t="s">
        <v>830</v>
      </c>
      <c r="B3583" s="2" t="s">
        <v>46</v>
      </c>
      <c r="C3583" s="2" t="s">
        <v>4086</v>
      </c>
      <c r="D3583" s="11" t="n">
        <v>276960</v>
      </c>
      <c r="E3583" s="31" t="n">
        <v>96.3</v>
      </c>
      <c r="F3583" s="31" t="n">
        <v>65.6</v>
      </c>
      <c r="G3583" s="31" t="n">
        <v>64</v>
      </c>
      <c r="H3583" s="2" t="s">
        <v>671</v>
      </c>
    </row>
    <row r="3584" customFormat="false" ht="15" hidden="false" customHeight="false" outlineLevel="0" collapsed="false">
      <c r="A3584" s="2" t="s">
        <v>830</v>
      </c>
      <c r="B3584" s="2" t="s">
        <v>46</v>
      </c>
      <c r="C3584" s="2" t="s">
        <v>4087</v>
      </c>
      <c r="D3584" s="11" t="n">
        <v>283650</v>
      </c>
      <c r="E3584" s="31" t="n">
        <v>83.7</v>
      </c>
      <c r="F3584" s="31" t="n">
        <v>32.5</v>
      </c>
      <c r="G3584" s="2"/>
      <c r="H3584" s="2" t="s">
        <v>668</v>
      </c>
    </row>
    <row r="3585" customFormat="false" ht="15" hidden="false" customHeight="false" outlineLevel="0" collapsed="false">
      <c r="A3585" s="2" t="s">
        <v>830</v>
      </c>
      <c r="B3585" s="2" t="s">
        <v>47</v>
      </c>
      <c r="C3585" s="2" t="s">
        <v>4085</v>
      </c>
      <c r="D3585" s="11" t="n">
        <v>58581</v>
      </c>
      <c r="E3585" s="31" t="n">
        <v>39.8</v>
      </c>
      <c r="F3585" s="31" t="n">
        <v>40.2</v>
      </c>
      <c r="G3585" s="31" t="n">
        <v>59.3</v>
      </c>
      <c r="H3585" s="2" t="s">
        <v>671</v>
      </c>
    </row>
    <row r="3586" customFormat="false" ht="15" hidden="false" customHeight="false" outlineLevel="0" collapsed="false">
      <c r="A3586" s="2" t="s">
        <v>830</v>
      </c>
      <c r="B3586" s="2" t="s">
        <v>47</v>
      </c>
      <c r="C3586" s="2" t="s">
        <v>4086</v>
      </c>
      <c r="D3586" s="11" t="n">
        <v>57595</v>
      </c>
      <c r="E3586" s="31" t="n">
        <v>77.6</v>
      </c>
      <c r="F3586" s="31" t="n">
        <v>21.4</v>
      </c>
      <c r="G3586" s="31" t="n">
        <v>31</v>
      </c>
      <c r="H3586" s="2" t="s">
        <v>671</v>
      </c>
    </row>
    <row r="3587" customFormat="false" ht="15" hidden="false" customHeight="false" outlineLevel="0" collapsed="false">
      <c r="A3587" s="2" t="s">
        <v>830</v>
      </c>
      <c r="B3587" s="2" t="s">
        <v>47</v>
      </c>
      <c r="C3587" s="2" t="s">
        <v>4087</v>
      </c>
      <c r="D3587" s="11" t="n">
        <v>58466</v>
      </c>
      <c r="E3587" s="2"/>
      <c r="F3587" s="31" t="n">
        <v>30.5</v>
      </c>
      <c r="G3587" s="31" t="n">
        <v>40</v>
      </c>
      <c r="H3587" s="2" t="s">
        <v>668</v>
      </c>
    </row>
    <row r="3588" customFormat="false" ht="15" hidden="false" customHeight="false" outlineLevel="0" collapsed="false">
      <c r="A3588" s="2" t="s">
        <v>508</v>
      </c>
      <c r="B3588" s="2" t="s">
        <v>4104</v>
      </c>
      <c r="C3588" s="2" t="s">
        <v>4085</v>
      </c>
      <c r="D3588" s="2"/>
      <c r="E3588" s="31" t="n">
        <v>42.9</v>
      </c>
      <c r="F3588" s="31" t="n">
        <v>15.8</v>
      </c>
      <c r="G3588" s="31" t="n">
        <v>57.1</v>
      </c>
      <c r="H3588" s="2" t="s">
        <v>671</v>
      </c>
    </row>
    <row r="3589" customFormat="false" ht="15" hidden="false" customHeight="false" outlineLevel="0" collapsed="false">
      <c r="A3589" s="2" t="s">
        <v>508</v>
      </c>
      <c r="B3589" s="2" t="s">
        <v>4104</v>
      </c>
      <c r="C3589" s="2" t="s">
        <v>4086</v>
      </c>
      <c r="D3589" s="2"/>
      <c r="E3589" s="31" t="n">
        <v>39.9</v>
      </c>
      <c r="F3589" s="31" t="n">
        <v>15.1</v>
      </c>
      <c r="G3589" s="31" t="n">
        <v>70.5</v>
      </c>
      <c r="H3589" s="2" t="s">
        <v>671</v>
      </c>
    </row>
    <row r="3590" customFormat="false" ht="15" hidden="false" customHeight="false" outlineLevel="0" collapsed="false">
      <c r="A3590" s="2" t="s">
        <v>508</v>
      </c>
      <c r="B3590" s="2" t="s">
        <v>4104</v>
      </c>
      <c r="C3590" s="2" t="s">
        <v>4087</v>
      </c>
      <c r="D3590" s="2"/>
      <c r="E3590" s="31" t="n">
        <v>35</v>
      </c>
      <c r="F3590" s="31" t="n">
        <v>25.7</v>
      </c>
      <c r="G3590" s="31" t="n">
        <v>72.8</v>
      </c>
      <c r="H3590" s="2" t="s">
        <v>671</v>
      </c>
    </row>
    <row r="3591" customFormat="false" ht="15" hidden="false" customHeight="false" outlineLevel="0" collapsed="false">
      <c r="A3591" s="2" t="s">
        <v>508</v>
      </c>
      <c r="B3591" s="2" t="s">
        <v>45</v>
      </c>
      <c r="C3591" s="2" t="s">
        <v>4085</v>
      </c>
      <c r="D3591" s="11" t="n">
        <v>8098</v>
      </c>
      <c r="E3591" s="31" t="n">
        <v>59.6</v>
      </c>
      <c r="F3591" s="31" t="n">
        <v>6.5</v>
      </c>
      <c r="G3591" s="31" t="n">
        <v>31</v>
      </c>
      <c r="H3591" s="2" t="s">
        <v>671</v>
      </c>
    </row>
    <row r="3592" customFormat="false" ht="15" hidden="false" customHeight="false" outlineLevel="0" collapsed="false">
      <c r="A3592" s="2" t="s">
        <v>508</v>
      </c>
      <c r="B3592" s="2" t="s">
        <v>45</v>
      </c>
      <c r="C3592" s="2" t="s">
        <v>4086</v>
      </c>
      <c r="D3592" s="11" t="n">
        <v>8104</v>
      </c>
      <c r="E3592" s="31" t="n">
        <v>67.9</v>
      </c>
      <c r="F3592" s="31" t="n">
        <v>7</v>
      </c>
      <c r="G3592" s="31" t="n">
        <v>87.4</v>
      </c>
      <c r="H3592" s="2" t="s">
        <v>671</v>
      </c>
    </row>
    <row r="3593" customFormat="false" ht="15" hidden="false" customHeight="false" outlineLevel="0" collapsed="false">
      <c r="A3593" s="2" t="s">
        <v>508</v>
      </c>
      <c r="B3593" s="2" t="s">
        <v>45</v>
      </c>
      <c r="C3593" s="2" t="s">
        <v>4087</v>
      </c>
      <c r="D3593" s="11" t="n">
        <v>7886</v>
      </c>
      <c r="E3593" s="31" t="n">
        <v>38</v>
      </c>
      <c r="F3593" s="31" t="n">
        <v>1.9</v>
      </c>
      <c r="G3593" s="31" t="n">
        <v>74.9</v>
      </c>
      <c r="H3593" s="2" t="s">
        <v>671</v>
      </c>
    </row>
    <row r="3594" customFormat="false" ht="15" hidden="false" customHeight="false" outlineLevel="0" collapsed="false">
      <c r="A3594" s="2" t="s">
        <v>508</v>
      </c>
      <c r="B3594" s="2" t="s">
        <v>46</v>
      </c>
      <c r="C3594" s="2" t="s">
        <v>4085</v>
      </c>
      <c r="D3594" s="11" t="n">
        <v>407880</v>
      </c>
      <c r="E3594" s="31" t="n">
        <v>22.9</v>
      </c>
      <c r="F3594" s="31" t="n">
        <v>30.1</v>
      </c>
      <c r="G3594" s="31" t="n">
        <v>91.1</v>
      </c>
      <c r="H3594" s="2" t="s">
        <v>671</v>
      </c>
    </row>
    <row r="3595" customFormat="false" ht="15" hidden="false" customHeight="false" outlineLevel="0" collapsed="false">
      <c r="A3595" s="2" t="s">
        <v>508</v>
      </c>
      <c r="B3595" s="2" t="s">
        <v>46</v>
      </c>
      <c r="C3595" s="2" t="s">
        <v>4086</v>
      </c>
      <c r="D3595" s="11" t="n">
        <v>432750</v>
      </c>
      <c r="E3595" s="31" t="n">
        <v>23</v>
      </c>
      <c r="F3595" s="31" t="n">
        <v>29.9</v>
      </c>
      <c r="G3595" s="31" t="n">
        <v>72</v>
      </c>
      <c r="H3595" s="2" t="s">
        <v>671</v>
      </c>
    </row>
    <row r="3596" customFormat="false" ht="15" hidden="false" customHeight="false" outlineLevel="0" collapsed="false">
      <c r="A3596" s="2" t="s">
        <v>508</v>
      </c>
      <c r="B3596" s="2" t="s">
        <v>46</v>
      </c>
      <c r="C3596" s="2" t="s">
        <v>4087</v>
      </c>
      <c r="D3596" s="11" t="n">
        <v>429096</v>
      </c>
      <c r="E3596" s="31" t="n">
        <v>26.4</v>
      </c>
      <c r="F3596" s="31" t="n">
        <v>26.5</v>
      </c>
      <c r="G3596" s="31" t="n">
        <v>94</v>
      </c>
      <c r="H3596" s="2" t="s">
        <v>671</v>
      </c>
    </row>
    <row r="3597" customFormat="false" ht="15" hidden="false" customHeight="false" outlineLevel="0" collapsed="false">
      <c r="A3597" s="2" t="s">
        <v>508</v>
      </c>
      <c r="B3597" s="2" t="s">
        <v>47</v>
      </c>
      <c r="C3597" s="2" t="s">
        <v>4085</v>
      </c>
      <c r="D3597" s="11" t="n">
        <v>82408</v>
      </c>
      <c r="E3597" s="31" t="n">
        <v>46.2</v>
      </c>
      <c r="F3597" s="31" t="n">
        <v>10.8</v>
      </c>
      <c r="G3597" s="31" t="n">
        <v>49.2</v>
      </c>
      <c r="H3597" s="2" t="s">
        <v>671</v>
      </c>
    </row>
    <row r="3598" customFormat="false" ht="15" hidden="false" customHeight="false" outlineLevel="0" collapsed="false">
      <c r="A3598" s="2" t="s">
        <v>508</v>
      </c>
      <c r="B3598" s="2" t="s">
        <v>47</v>
      </c>
      <c r="C3598" s="2" t="s">
        <v>4086</v>
      </c>
      <c r="D3598" s="11" t="n">
        <v>82989</v>
      </c>
      <c r="E3598" s="31" t="n">
        <v>28.9</v>
      </c>
      <c r="F3598" s="31" t="n">
        <v>8.4</v>
      </c>
      <c r="G3598" s="31" t="n">
        <v>52</v>
      </c>
      <c r="H3598" s="2" t="s">
        <v>671</v>
      </c>
    </row>
    <row r="3599" customFormat="false" ht="15" hidden="false" customHeight="false" outlineLevel="0" collapsed="false">
      <c r="A3599" s="2" t="s">
        <v>508</v>
      </c>
      <c r="B3599" s="2" t="s">
        <v>47</v>
      </c>
      <c r="C3599" s="2" t="s">
        <v>4087</v>
      </c>
      <c r="D3599" s="11" t="n">
        <v>82900</v>
      </c>
      <c r="E3599" s="31" t="n">
        <v>40.5</v>
      </c>
      <c r="F3599" s="31" t="n">
        <v>48.6</v>
      </c>
      <c r="G3599" s="31" t="n">
        <v>49.5</v>
      </c>
      <c r="H3599" s="2" t="s">
        <v>671</v>
      </c>
    </row>
    <row r="3600" customFormat="false" ht="15" hidden="false" customHeight="false" outlineLevel="0" collapsed="false">
      <c r="A3600" s="2" t="s">
        <v>821</v>
      </c>
      <c r="B3600" s="2" t="s">
        <v>4104</v>
      </c>
      <c r="C3600" s="2" t="s">
        <v>4085</v>
      </c>
      <c r="D3600" s="2"/>
      <c r="E3600" s="31" t="n">
        <v>66.6</v>
      </c>
      <c r="F3600" s="31" t="n">
        <v>27.1</v>
      </c>
      <c r="G3600" s="31" t="n">
        <v>26.2</v>
      </c>
      <c r="H3600" s="2" t="s">
        <v>668</v>
      </c>
    </row>
    <row r="3601" customFormat="false" ht="15" hidden="false" customHeight="false" outlineLevel="0" collapsed="false">
      <c r="A3601" s="2" t="s">
        <v>821</v>
      </c>
      <c r="B3601" s="2" t="s">
        <v>4104</v>
      </c>
      <c r="C3601" s="2" t="s">
        <v>4086</v>
      </c>
      <c r="D3601" s="2"/>
      <c r="E3601" s="31" t="n">
        <v>57</v>
      </c>
      <c r="F3601" s="31" t="n">
        <v>42.6</v>
      </c>
      <c r="G3601" s="31" t="n">
        <v>58.5</v>
      </c>
      <c r="H3601" s="2" t="s">
        <v>668</v>
      </c>
    </row>
    <row r="3602" customFormat="false" ht="15" hidden="false" customHeight="false" outlineLevel="0" collapsed="false">
      <c r="A3602" s="2" t="s">
        <v>821</v>
      </c>
      <c r="B3602" s="2" t="s">
        <v>4104</v>
      </c>
      <c r="C3602" s="2" t="s">
        <v>4087</v>
      </c>
      <c r="D3602" s="2"/>
      <c r="E3602" s="31" t="n">
        <v>82.4</v>
      </c>
      <c r="F3602" s="31" t="n">
        <v>25</v>
      </c>
      <c r="G3602" s="31" t="n">
        <v>60</v>
      </c>
      <c r="H3602" s="2" t="s">
        <v>668</v>
      </c>
    </row>
    <row r="3603" customFormat="false" ht="15" hidden="false" customHeight="false" outlineLevel="0" collapsed="false">
      <c r="A3603" s="2" t="s">
        <v>821</v>
      </c>
      <c r="B3603" s="2" t="s">
        <v>45</v>
      </c>
      <c r="C3603" s="2" t="s">
        <v>4085</v>
      </c>
      <c r="D3603" s="11" t="n">
        <v>100250</v>
      </c>
      <c r="E3603" s="31" t="n">
        <v>75</v>
      </c>
      <c r="F3603" s="2"/>
      <c r="G3603" s="31" t="n">
        <v>29.3</v>
      </c>
      <c r="H3603" s="2" t="s">
        <v>668</v>
      </c>
    </row>
    <row r="3604" customFormat="false" ht="15" hidden="false" customHeight="false" outlineLevel="0" collapsed="false">
      <c r="A3604" s="2" t="s">
        <v>821</v>
      </c>
      <c r="B3604" s="2" t="s">
        <v>45</v>
      </c>
      <c r="C3604" s="2" t="s">
        <v>4086</v>
      </c>
      <c r="D3604" s="11" t="n">
        <v>105190</v>
      </c>
      <c r="E3604" s="31" t="n">
        <v>53.3</v>
      </c>
      <c r="F3604" s="31" t="n">
        <v>27.1</v>
      </c>
      <c r="G3604" s="31" t="n">
        <v>69</v>
      </c>
      <c r="H3604" s="2" t="s">
        <v>671</v>
      </c>
    </row>
    <row r="3605" customFormat="false" ht="15" hidden="false" customHeight="false" outlineLevel="0" collapsed="false">
      <c r="A3605" s="2" t="s">
        <v>821</v>
      </c>
      <c r="B3605" s="2" t="s">
        <v>45</v>
      </c>
      <c r="C3605" s="2" t="s">
        <v>4087</v>
      </c>
      <c r="D3605" s="11" t="n">
        <v>106301</v>
      </c>
      <c r="E3605" s="31" t="n">
        <v>80.6</v>
      </c>
      <c r="F3605" s="31" t="n">
        <v>11.6</v>
      </c>
      <c r="G3605" s="31" t="n">
        <v>71.8</v>
      </c>
      <c r="H3605" s="2" t="s">
        <v>671</v>
      </c>
    </row>
    <row r="3606" customFormat="false" ht="15" hidden="false" customHeight="false" outlineLevel="0" collapsed="false">
      <c r="A3606" s="2" t="s">
        <v>821</v>
      </c>
      <c r="B3606" s="2" t="s">
        <v>46</v>
      </c>
      <c r="C3606" s="2" t="s">
        <v>4085</v>
      </c>
      <c r="D3606" s="11" t="n">
        <v>15360</v>
      </c>
      <c r="E3606" s="31" t="n">
        <v>52.3</v>
      </c>
      <c r="F3606" s="2"/>
      <c r="G3606" s="2"/>
      <c r="H3606" s="2" t="s">
        <v>668</v>
      </c>
    </row>
    <row r="3607" customFormat="false" ht="15" hidden="false" customHeight="false" outlineLevel="0" collapsed="false">
      <c r="A3607" s="2" t="s">
        <v>821</v>
      </c>
      <c r="B3607" s="2" t="s">
        <v>46</v>
      </c>
      <c r="C3607" s="2" t="s">
        <v>4086</v>
      </c>
      <c r="D3607" s="2"/>
      <c r="E3607" s="2"/>
      <c r="F3607" s="2"/>
      <c r="G3607" s="2"/>
      <c r="H3607" s="2" t="s">
        <v>668</v>
      </c>
    </row>
    <row r="3608" customFormat="false" ht="15" hidden="false" customHeight="false" outlineLevel="0" collapsed="false">
      <c r="A3608" s="2" t="s">
        <v>821</v>
      </c>
      <c r="B3608" s="2" t="s">
        <v>46</v>
      </c>
      <c r="C3608" s="2" t="s">
        <v>4087</v>
      </c>
      <c r="D3608" s="2"/>
      <c r="E3608" s="2"/>
      <c r="F3608" s="2"/>
      <c r="G3608" s="2"/>
      <c r="H3608" s="2" t="s">
        <v>668</v>
      </c>
    </row>
    <row r="3609" customFormat="false" ht="15" hidden="false" customHeight="false" outlineLevel="0" collapsed="false">
      <c r="A3609" s="2" t="s">
        <v>821</v>
      </c>
      <c r="B3609" s="2" t="s">
        <v>47</v>
      </c>
      <c r="C3609" s="2" t="s">
        <v>4085</v>
      </c>
      <c r="D3609" s="11" t="n">
        <v>58905</v>
      </c>
      <c r="E3609" s="31" t="n">
        <v>72.5</v>
      </c>
      <c r="F3609" s="31" t="n">
        <v>27.1</v>
      </c>
      <c r="G3609" s="31" t="n">
        <v>23.1</v>
      </c>
      <c r="H3609" s="2" t="s">
        <v>671</v>
      </c>
    </row>
    <row r="3610" customFormat="false" ht="15" hidden="false" customHeight="false" outlineLevel="0" collapsed="false">
      <c r="A3610" s="2" t="s">
        <v>821</v>
      </c>
      <c r="B3610" s="2" t="s">
        <v>47</v>
      </c>
      <c r="C3610" s="2" t="s">
        <v>4086</v>
      </c>
      <c r="D3610" s="11" t="n">
        <v>61442</v>
      </c>
      <c r="E3610" s="31" t="n">
        <v>60.7</v>
      </c>
      <c r="F3610" s="31" t="n">
        <v>58.1</v>
      </c>
      <c r="G3610" s="31" t="n">
        <v>48</v>
      </c>
      <c r="H3610" s="2" t="s">
        <v>671</v>
      </c>
    </row>
    <row r="3611" customFormat="false" ht="15" hidden="false" customHeight="false" outlineLevel="0" collapsed="false">
      <c r="A3611" s="2" t="s">
        <v>821</v>
      </c>
      <c r="B3611" s="2" t="s">
        <v>47</v>
      </c>
      <c r="C3611" s="2" t="s">
        <v>4087</v>
      </c>
      <c r="D3611" s="11" t="n">
        <v>61875</v>
      </c>
      <c r="E3611" s="31" t="n">
        <v>84.2</v>
      </c>
      <c r="F3611" s="31" t="n">
        <v>38.3</v>
      </c>
      <c r="G3611" s="31" t="n">
        <v>48.2</v>
      </c>
      <c r="H3611" s="2" t="s">
        <v>671</v>
      </c>
    </row>
    <row r="3612" customFormat="false" ht="15" hidden="false" customHeight="false" outlineLevel="0" collapsed="false">
      <c r="A3612" s="2" t="s">
        <v>218</v>
      </c>
      <c r="B3612" s="2" t="s">
        <v>4104</v>
      </c>
      <c r="C3612" s="2" t="s">
        <v>4085</v>
      </c>
      <c r="D3612" s="2"/>
      <c r="E3612" s="31" t="n">
        <v>54.6</v>
      </c>
      <c r="F3612" s="31" t="n">
        <v>84.4</v>
      </c>
      <c r="G3612" s="31" t="n">
        <v>24.2</v>
      </c>
      <c r="H3612" s="2" t="s">
        <v>668</v>
      </c>
    </row>
    <row r="3613" customFormat="false" ht="15" hidden="false" customHeight="false" outlineLevel="0" collapsed="false">
      <c r="A3613" s="2" t="s">
        <v>218</v>
      </c>
      <c r="B3613" s="2" t="s">
        <v>4104</v>
      </c>
      <c r="C3613" s="2" t="s">
        <v>4087</v>
      </c>
      <c r="D3613" s="2"/>
      <c r="E3613" s="31" t="n">
        <v>68.1</v>
      </c>
      <c r="F3613" s="31" t="n">
        <v>80</v>
      </c>
      <c r="G3613" s="31" t="n">
        <v>36.9</v>
      </c>
      <c r="H3613" s="2" t="s">
        <v>671</v>
      </c>
    </row>
    <row r="3614" customFormat="false" ht="15" hidden="false" customHeight="false" outlineLevel="0" collapsed="false">
      <c r="A3614" s="2" t="s">
        <v>218</v>
      </c>
      <c r="B3614" s="2" t="s">
        <v>45</v>
      </c>
      <c r="C3614" s="2" t="s">
        <v>4085</v>
      </c>
      <c r="D3614" s="11" t="n">
        <v>195960</v>
      </c>
      <c r="E3614" s="31" t="n">
        <v>91.1</v>
      </c>
      <c r="F3614" s="31" t="n">
        <v>92.5</v>
      </c>
      <c r="G3614" s="31" t="n">
        <v>39.8</v>
      </c>
      <c r="H3614" s="2" t="s">
        <v>671</v>
      </c>
    </row>
    <row r="3615" customFormat="false" ht="15" hidden="false" customHeight="false" outlineLevel="0" collapsed="false">
      <c r="A3615" s="2" t="s">
        <v>218</v>
      </c>
      <c r="B3615" s="2" t="s">
        <v>45</v>
      </c>
      <c r="C3615" s="2" t="s">
        <v>4087</v>
      </c>
      <c r="D3615" s="11" t="n">
        <v>221280</v>
      </c>
      <c r="E3615" s="31" t="n">
        <v>87.8</v>
      </c>
      <c r="F3615" s="31" t="n">
        <v>89.1</v>
      </c>
      <c r="G3615" s="31" t="n">
        <v>34.5</v>
      </c>
      <c r="H3615" s="2" t="s">
        <v>671</v>
      </c>
    </row>
    <row r="3616" customFormat="false" ht="15" hidden="false" customHeight="false" outlineLevel="0" collapsed="false">
      <c r="A3616" s="2" t="s">
        <v>218</v>
      </c>
      <c r="B3616" s="2" t="s">
        <v>46</v>
      </c>
      <c r="C3616" s="2" t="s">
        <v>4085</v>
      </c>
      <c r="D3616" s="11" t="n">
        <v>632632</v>
      </c>
      <c r="E3616" s="31" t="n">
        <v>18</v>
      </c>
      <c r="F3616" s="31" t="n">
        <v>76.3</v>
      </c>
      <c r="G3616" s="31" t="n">
        <v>8.7</v>
      </c>
      <c r="H3616" s="2" t="s">
        <v>671</v>
      </c>
    </row>
    <row r="3617" customFormat="false" ht="15" hidden="false" customHeight="false" outlineLevel="0" collapsed="false">
      <c r="A3617" s="2" t="s">
        <v>218</v>
      </c>
      <c r="B3617" s="2" t="s">
        <v>46</v>
      </c>
      <c r="C3617" s="2" t="s">
        <v>4087</v>
      </c>
      <c r="D3617" s="11" t="n">
        <v>674090</v>
      </c>
      <c r="E3617" s="31" t="n">
        <v>23.3</v>
      </c>
      <c r="F3617" s="31" t="n">
        <v>76.8</v>
      </c>
      <c r="G3617" s="31" t="n">
        <v>31.1</v>
      </c>
      <c r="H3617" s="2" t="s">
        <v>671</v>
      </c>
    </row>
    <row r="3618" customFormat="false" ht="15" hidden="false" customHeight="false" outlineLevel="0" collapsed="false">
      <c r="A3618" s="2" t="s">
        <v>218</v>
      </c>
      <c r="B3618" s="2" t="s">
        <v>47</v>
      </c>
      <c r="C3618" s="2" t="s">
        <v>4085</v>
      </c>
      <c r="D3618" s="2"/>
      <c r="E3618" s="2"/>
      <c r="F3618" s="2"/>
      <c r="G3618" s="2"/>
      <c r="H3618" s="2" t="s">
        <v>668</v>
      </c>
    </row>
    <row r="3619" customFormat="false" ht="15" hidden="false" customHeight="false" outlineLevel="0" collapsed="false">
      <c r="A3619" s="2" t="s">
        <v>218</v>
      </c>
      <c r="B3619" s="2" t="s">
        <v>47</v>
      </c>
      <c r="C3619" s="2" t="s">
        <v>4087</v>
      </c>
      <c r="D3619" s="11" t="n">
        <v>95175</v>
      </c>
      <c r="E3619" s="31" t="n">
        <v>93.2</v>
      </c>
      <c r="F3619" s="31" t="n">
        <v>74.1</v>
      </c>
      <c r="G3619" s="31" t="n">
        <v>45.1</v>
      </c>
      <c r="H3619" s="2" t="s">
        <v>671</v>
      </c>
    </row>
    <row r="3620" customFormat="false" ht="15" hidden="false" customHeight="false" outlineLevel="0" collapsed="false">
      <c r="A3620" s="2" t="s">
        <v>362</v>
      </c>
      <c r="B3620" s="2" t="s">
        <v>4104</v>
      </c>
      <c r="C3620" s="2" t="s">
        <v>4085</v>
      </c>
      <c r="D3620" s="2"/>
      <c r="E3620" s="31" t="n">
        <v>48.9</v>
      </c>
      <c r="F3620" s="31" t="n">
        <v>90.6</v>
      </c>
      <c r="G3620" s="31" t="n">
        <v>60.7</v>
      </c>
      <c r="H3620" s="2" t="s">
        <v>671</v>
      </c>
    </row>
    <row r="3621" customFormat="false" ht="15" hidden="false" customHeight="false" outlineLevel="0" collapsed="false">
      <c r="A3621" s="2" t="s">
        <v>362</v>
      </c>
      <c r="B3621" s="2" t="s">
        <v>4104</v>
      </c>
      <c r="C3621" s="2" t="s">
        <v>4086</v>
      </c>
      <c r="D3621" s="2"/>
      <c r="E3621" s="31" t="n">
        <v>60.3</v>
      </c>
      <c r="F3621" s="31" t="n">
        <v>55.3</v>
      </c>
      <c r="G3621" s="31" t="n">
        <v>30.5</v>
      </c>
      <c r="H3621" s="2" t="s">
        <v>671</v>
      </c>
    </row>
    <row r="3622" customFormat="false" ht="15" hidden="false" customHeight="false" outlineLevel="0" collapsed="false">
      <c r="A3622" s="2" t="s">
        <v>362</v>
      </c>
      <c r="B3622" s="2" t="s">
        <v>4104</v>
      </c>
      <c r="C3622" s="2" t="s">
        <v>4087</v>
      </c>
      <c r="D3622" s="2"/>
      <c r="E3622" s="31" t="n">
        <v>51.4</v>
      </c>
      <c r="F3622" s="31" t="n">
        <v>75.5</v>
      </c>
      <c r="G3622" s="31" t="n">
        <v>22</v>
      </c>
      <c r="H3622" s="2" t="s">
        <v>671</v>
      </c>
    </row>
    <row r="3623" customFormat="false" ht="15" hidden="false" customHeight="false" outlineLevel="0" collapsed="false">
      <c r="A3623" s="2" t="s">
        <v>362</v>
      </c>
      <c r="B3623" s="2" t="s">
        <v>46</v>
      </c>
      <c r="C3623" s="2" t="s">
        <v>4085</v>
      </c>
      <c r="D3623" s="11" t="n">
        <v>75120</v>
      </c>
      <c r="E3623" s="31" t="n">
        <v>48.9</v>
      </c>
      <c r="F3623" s="31" t="n">
        <v>90.6</v>
      </c>
      <c r="G3623" s="31" t="n">
        <v>60.7</v>
      </c>
      <c r="H3623" s="2" t="s">
        <v>671</v>
      </c>
    </row>
    <row r="3624" customFormat="false" ht="15" hidden="false" customHeight="false" outlineLevel="0" collapsed="false">
      <c r="A3624" s="2" t="s">
        <v>362</v>
      </c>
      <c r="B3624" s="2" t="s">
        <v>46</v>
      </c>
      <c r="C3624" s="2" t="s">
        <v>4086</v>
      </c>
      <c r="D3624" s="11" t="n">
        <v>76610</v>
      </c>
      <c r="E3624" s="31" t="n">
        <v>60.3</v>
      </c>
      <c r="F3624" s="31" t="n">
        <v>55.3</v>
      </c>
      <c r="G3624" s="31" t="n">
        <v>30.5</v>
      </c>
      <c r="H3624" s="2" t="s">
        <v>671</v>
      </c>
    </row>
    <row r="3625" customFormat="false" ht="15" hidden="false" customHeight="false" outlineLevel="0" collapsed="false">
      <c r="A3625" s="2" t="s">
        <v>362</v>
      </c>
      <c r="B3625" s="2" t="s">
        <v>46</v>
      </c>
      <c r="C3625" s="2" t="s">
        <v>4087</v>
      </c>
      <c r="D3625" s="11" t="n">
        <v>77740</v>
      </c>
      <c r="E3625" s="31" t="n">
        <v>51.4</v>
      </c>
      <c r="F3625" s="31" t="n">
        <v>75.5</v>
      </c>
      <c r="G3625" s="31" t="n">
        <v>22</v>
      </c>
      <c r="H3625" s="2" t="s">
        <v>671</v>
      </c>
    </row>
    <row r="3626" customFormat="false" ht="15" hidden="false" customHeight="false" outlineLevel="0" collapsed="false">
      <c r="A3626" s="2" t="s">
        <v>246</v>
      </c>
      <c r="B3626" s="2" t="s">
        <v>4104</v>
      </c>
      <c r="C3626" s="2" t="s">
        <v>4085</v>
      </c>
      <c r="D3626" s="2"/>
      <c r="E3626" s="31" t="n">
        <v>71.5</v>
      </c>
      <c r="F3626" s="31" t="n">
        <v>18</v>
      </c>
      <c r="G3626" s="31" t="n">
        <v>61.4</v>
      </c>
      <c r="H3626" s="2" t="s">
        <v>668</v>
      </c>
    </row>
    <row r="3627" customFormat="false" ht="15" hidden="false" customHeight="false" outlineLevel="0" collapsed="false">
      <c r="A3627" s="2" t="s">
        <v>246</v>
      </c>
      <c r="B3627" s="2" t="s">
        <v>4104</v>
      </c>
      <c r="C3627" s="2" t="s">
        <v>4086</v>
      </c>
      <c r="D3627" s="2"/>
      <c r="E3627" s="31" t="n">
        <v>65.6</v>
      </c>
      <c r="F3627" s="31" t="n">
        <v>30.7</v>
      </c>
      <c r="G3627" s="31" t="n">
        <v>50.1</v>
      </c>
      <c r="H3627" s="2" t="s">
        <v>668</v>
      </c>
    </row>
    <row r="3628" customFormat="false" ht="15" hidden="false" customHeight="false" outlineLevel="0" collapsed="false">
      <c r="A3628" s="2" t="s">
        <v>246</v>
      </c>
      <c r="B3628" s="2" t="s">
        <v>4104</v>
      </c>
      <c r="C3628" s="2" t="s">
        <v>4087</v>
      </c>
      <c r="D3628" s="2"/>
      <c r="E3628" s="31" t="n">
        <v>65</v>
      </c>
      <c r="F3628" s="31" t="n">
        <v>29</v>
      </c>
      <c r="G3628" s="31" t="n">
        <v>59.6</v>
      </c>
      <c r="H3628" s="2" t="s">
        <v>671</v>
      </c>
    </row>
    <row r="3629" customFormat="false" ht="15" hidden="false" customHeight="false" outlineLevel="0" collapsed="false">
      <c r="A3629" s="2" t="s">
        <v>246</v>
      </c>
      <c r="B3629" s="2" t="s">
        <v>45</v>
      </c>
      <c r="C3629" s="2" t="s">
        <v>4085</v>
      </c>
      <c r="D3629" s="11" t="n">
        <v>2418250</v>
      </c>
      <c r="E3629" s="31" t="n">
        <v>88.1</v>
      </c>
      <c r="F3629" s="31" t="n">
        <v>14.3</v>
      </c>
      <c r="G3629" s="2"/>
      <c r="H3629" s="2" t="s">
        <v>668</v>
      </c>
    </row>
    <row r="3630" customFormat="false" ht="15" hidden="false" customHeight="false" outlineLevel="0" collapsed="false">
      <c r="A3630" s="2" t="s">
        <v>246</v>
      </c>
      <c r="B3630" s="2" t="s">
        <v>45</v>
      </c>
      <c r="C3630" s="2" t="s">
        <v>4086</v>
      </c>
      <c r="D3630" s="11" t="n">
        <v>2471390</v>
      </c>
      <c r="E3630" s="2"/>
      <c r="F3630" s="31" t="n">
        <v>35.3</v>
      </c>
      <c r="G3630" s="31" t="n">
        <v>46.9</v>
      </c>
      <c r="H3630" s="2" t="s">
        <v>668</v>
      </c>
    </row>
    <row r="3631" customFormat="false" ht="15" hidden="false" customHeight="false" outlineLevel="0" collapsed="false">
      <c r="A3631" s="2" t="s">
        <v>246</v>
      </c>
      <c r="B3631" s="2" t="s">
        <v>45</v>
      </c>
      <c r="C3631" s="2" t="s">
        <v>4087</v>
      </c>
      <c r="D3631" s="11" t="n">
        <v>2505441</v>
      </c>
      <c r="E3631" s="31" t="n">
        <v>89.5</v>
      </c>
      <c r="F3631" s="31" t="n">
        <v>12.5</v>
      </c>
      <c r="G3631" s="31" t="n">
        <v>45</v>
      </c>
      <c r="H3631" s="2" t="s">
        <v>671</v>
      </c>
    </row>
    <row r="3632" customFormat="false" ht="15" hidden="false" customHeight="false" outlineLevel="0" collapsed="false">
      <c r="A3632" s="2" t="s">
        <v>246</v>
      </c>
      <c r="B3632" s="2" t="s">
        <v>46</v>
      </c>
      <c r="C3632" s="2" t="s">
        <v>4085</v>
      </c>
      <c r="D3632" s="11" t="n">
        <v>39580</v>
      </c>
      <c r="E3632" s="31" t="n">
        <v>67.5</v>
      </c>
      <c r="F3632" s="31" t="n">
        <v>1.5</v>
      </c>
      <c r="G3632" s="31" t="n">
        <v>42.7</v>
      </c>
      <c r="H3632" s="2" t="s">
        <v>671</v>
      </c>
    </row>
    <row r="3633" customFormat="false" ht="15" hidden="false" customHeight="false" outlineLevel="0" collapsed="false">
      <c r="A3633" s="2" t="s">
        <v>246</v>
      </c>
      <c r="B3633" s="2" t="s">
        <v>46</v>
      </c>
      <c r="C3633" s="2" t="s">
        <v>4086</v>
      </c>
      <c r="D3633" s="11" t="n">
        <v>38800</v>
      </c>
      <c r="E3633" s="31" t="n">
        <v>85.9</v>
      </c>
      <c r="F3633" s="31" t="n">
        <v>5.8</v>
      </c>
      <c r="G3633" s="31" t="n">
        <v>31.6</v>
      </c>
      <c r="H3633" s="2" t="s">
        <v>671</v>
      </c>
    </row>
    <row r="3634" customFormat="false" ht="15" hidden="false" customHeight="false" outlineLevel="0" collapsed="false">
      <c r="A3634" s="2" t="s">
        <v>246</v>
      </c>
      <c r="B3634" s="2" t="s">
        <v>46</v>
      </c>
      <c r="C3634" s="2" t="s">
        <v>4087</v>
      </c>
      <c r="D3634" s="11" t="n">
        <v>37940</v>
      </c>
      <c r="E3634" s="31" t="n">
        <v>63</v>
      </c>
      <c r="F3634" s="31" t="n">
        <v>7.5</v>
      </c>
      <c r="G3634" s="31" t="n">
        <v>74.4</v>
      </c>
      <c r="H3634" s="2" t="s">
        <v>671</v>
      </c>
    </row>
    <row r="3635" customFormat="false" ht="15" hidden="false" customHeight="false" outlineLevel="0" collapsed="false">
      <c r="A3635" s="2" t="s">
        <v>246</v>
      </c>
      <c r="B3635" s="2" t="s">
        <v>47</v>
      </c>
      <c r="C3635" s="2" t="s">
        <v>4085</v>
      </c>
      <c r="D3635" s="11" t="n">
        <v>272556</v>
      </c>
      <c r="E3635" s="31" t="n">
        <v>59</v>
      </c>
      <c r="F3635" s="31" t="n">
        <v>38.3</v>
      </c>
      <c r="G3635" s="31" t="n">
        <v>80.2</v>
      </c>
      <c r="H3635" s="2" t="s">
        <v>671</v>
      </c>
    </row>
    <row r="3636" customFormat="false" ht="15" hidden="false" customHeight="false" outlineLevel="0" collapsed="false">
      <c r="A3636" s="2" t="s">
        <v>246</v>
      </c>
      <c r="B3636" s="2" t="s">
        <v>47</v>
      </c>
      <c r="C3636" s="2" t="s">
        <v>4086</v>
      </c>
      <c r="D3636" s="11" t="n">
        <v>281229</v>
      </c>
      <c r="E3636" s="31" t="n">
        <v>45.3</v>
      </c>
      <c r="F3636" s="31" t="n">
        <v>50.9</v>
      </c>
      <c r="G3636" s="31" t="n">
        <v>71.9</v>
      </c>
      <c r="H3636" s="2" t="s">
        <v>671</v>
      </c>
    </row>
    <row r="3637" customFormat="false" ht="15" hidden="false" customHeight="false" outlineLevel="0" collapsed="false">
      <c r="A3637" s="2" t="s">
        <v>246</v>
      </c>
      <c r="B3637" s="2" t="s">
        <v>47</v>
      </c>
      <c r="C3637" s="2" t="s">
        <v>4087</v>
      </c>
      <c r="D3637" s="11" t="n">
        <v>283844</v>
      </c>
      <c r="E3637" s="31" t="n">
        <v>42.4</v>
      </c>
      <c r="F3637" s="31" t="n">
        <v>66.9</v>
      </c>
      <c r="G3637" s="31" t="n">
        <v>59.4</v>
      </c>
      <c r="H3637" s="2" t="s">
        <v>671</v>
      </c>
    </row>
    <row r="3638" customFormat="false" ht="15" hidden="false" customHeight="false" outlineLevel="0" collapsed="false">
      <c r="A3638" s="2" t="s">
        <v>161</v>
      </c>
      <c r="B3638" s="2" t="s">
        <v>4104</v>
      </c>
      <c r="C3638" s="2" t="s">
        <v>4085</v>
      </c>
      <c r="D3638" s="2"/>
      <c r="E3638" s="31" t="n">
        <v>73.4</v>
      </c>
      <c r="F3638" s="31" t="n">
        <v>41.4</v>
      </c>
      <c r="G3638" s="31" t="n">
        <v>58.9</v>
      </c>
      <c r="H3638" s="2" t="s">
        <v>668</v>
      </c>
    </row>
    <row r="3639" customFormat="false" ht="15" hidden="false" customHeight="false" outlineLevel="0" collapsed="false">
      <c r="A3639" s="2" t="s">
        <v>161</v>
      </c>
      <c r="B3639" s="2" t="s">
        <v>4104</v>
      </c>
      <c r="C3639" s="2" t="s">
        <v>4087</v>
      </c>
      <c r="D3639" s="2"/>
      <c r="E3639" s="31" t="n">
        <v>76.4</v>
      </c>
      <c r="F3639" s="31" t="n">
        <v>53.4</v>
      </c>
      <c r="G3639" s="31" t="n">
        <v>14.6</v>
      </c>
      <c r="H3639" s="2" t="s">
        <v>671</v>
      </c>
    </row>
    <row r="3640" customFormat="false" ht="15" hidden="false" customHeight="false" outlineLevel="0" collapsed="false">
      <c r="A3640" s="2" t="s">
        <v>161</v>
      </c>
      <c r="B3640" s="2" t="s">
        <v>45</v>
      </c>
      <c r="C3640" s="2" t="s">
        <v>4085</v>
      </c>
      <c r="D3640" s="11" t="n">
        <v>109650</v>
      </c>
      <c r="E3640" s="31" t="n">
        <v>99.8</v>
      </c>
      <c r="F3640" s="31" t="n">
        <v>56.2</v>
      </c>
      <c r="G3640" s="2"/>
      <c r="H3640" s="2" t="s">
        <v>668</v>
      </c>
    </row>
    <row r="3641" customFormat="false" ht="15" hidden="false" customHeight="false" outlineLevel="0" collapsed="false">
      <c r="A3641" s="2" t="s">
        <v>161</v>
      </c>
      <c r="B3641" s="2" t="s">
        <v>45</v>
      </c>
      <c r="C3641" s="2" t="s">
        <v>4087</v>
      </c>
      <c r="D3641" s="11" t="n">
        <v>120643</v>
      </c>
      <c r="E3641" s="31" t="n">
        <v>98.1</v>
      </c>
      <c r="F3641" s="31" t="n">
        <v>81.9</v>
      </c>
      <c r="G3641" s="31" t="n">
        <v>24.9</v>
      </c>
      <c r="H3641" s="2" t="s">
        <v>671</v>
      </c>
    </row>
    <row r="3642" customFormat="false" ht="15" hidden="false" customHeight="false" outlineLevel="0" collapsed="false">
      <c r="A3642" s="2" t="s">
        <v>161</v>
      </c>
      <c r="B3642" s="2" t="s">
        <v>47</v>
      </c>
      <c r="C3642" s="2" t="s">
        <v>4085</v>
      </c>
      <c r="D3642" s="11" t="n">
        <v>29019</v>
      </c>
      <c r="E3642" s="31" t="n">
        <v>46.9</v>
      </c>
      <c r="F3642" s="31" t="n">
        <v>26.5</v>
      </c>
      <c r="G3642" s="31" t="n">
        <v>58.9</v>
      </c>
      <c r="H3642" s="2" t="s">
        <v>671</v>
      </c>
    </row>
    <row r="3643" customFormat="false" ht="15" hidden="false" customHeight="false" outlineLevel="0" collapsed="false">
      <c r="A3643" s="2" t="s">
        <v>161</v>
      </c>
      <c r="B3643" s="2" t="s">
        <v>47</v>
      </c>
      <c r="C3643" s="2" t="s">
        <v>4087</v>
      </c>
      <c r="D3643" s="11" t="n">
        <v>29746</v>
      </c>
      <c r="E3643" s="31" t="n">
        <v>54.8</v>
      </c>
      <c r="F3643" s="31" t="n">
        <v>24.8</v>
      </c>
      <c r="G3643" s="31" t="n">
        <v>4.4</v>
      </c>
      <c r="H3643" s="2" t="s">
        <v>671</v>
      </c>
    </row>
    <row r="3644" customFormat="false" ht="15" hidden="false" customHeight="false" outlineLevel="0" collapsed="false">
      <c r="A3644" s="2" t="s">
        <v>865</v>
      </c>
      <c r="B3644" s="2" t="s">
        <v>4104</v>
      </c>
      <c r="C3644" s="2" t="s">
        <v>4085</v>
      </c>
      <c r="D3644" s="2"/>
      <c r="E3644" s="31" t="n">
        <v>63.8</v>
      </c>
      <c r="F3644" s="31" t="n">
        <v>50.9</v>
      </c>
      <c r="G3644" s="31" t="n">
        <v>68.5</v>
      </c>
      <c r="H3644" s="2" t="s">
        <v>671</v>
      </c>
    </row>
    <row r="3645" customFormat="false" ht="15" hidden="false" customHeight="false" outlineLevel="0" collapsed="false">
      <c r="A3645" s="2" t="s">
        <v>865</v>
      </c>
      <c r="B3645" s="2" t="s">
        <v>4104</v>
      </c>
      <c r="C3645" s="2" t="s">
        <v>4086</v>
      </c>
      <c r="D3645" s="2"/>
      <c r="E3645" s="31" t="n">
        <v>59.2</v>
      </c>
      <c r="F3645" s="31" t="n">
        <v>40.4</v>
      </c>
      <c r="G3645" s="31" t="n">
        <v>59</v>
      </c>
      <c r="H3645" s="2" t="s">
        <v>668</v>
      </c>
    </row>
    <row r="3646" customFormat="false" ht="15" hidden="false" customHeight="false" outlineLevel="0" collapsed="false">
      <c r="A3646" s="2" t="s">
        <v>865</v>
      </c>
      <c r="B3646" s="2" t="s">
        <v>4104</v>
      </c>
      <c r="C3646" s="2" t="s">
        <v>4087</v>
      </c>
      <c r="D3646" s="2"/>
      <c r="E3646" s="31" t="n">
        <v>73.8</v>
      </c>
      <c r="F3646" s="31" t="n">
        <v>50.1</v>
      </c>
      <c r="G3646" s="31" t="n">
        <v>63.8</v>
      </c>
      <c r="H3646" s="2" t="s">
        <v>668</v>
      </c>
    </row>
    <row r="3647" customFormat="false" ht="15" hidden="false" customHeight="false" outlineLevel="0" collapsed="false">
      <c r="A3647" s="2" t="s">
        <v>865</v>
      </c>
      <c r="B3647" s="2" t="s">
        <v>45</v>
      </c>
      <c r="C3647" s="2" t="s">
        <v>4085</v>
      </c>
      <c r="D3647" s="11" t="n">
        <v>101740</v>
      </c>
      <c r="E3647" s="31" t="n">
        <v>62.6</v>
      </c>
      <c r="F3647" s="31" t="n">
        <v>38.4</v>
      </c>
      <c r="G3647" s="31" t="n">
        <v>59.3</v>
      </c>
      <c r="H3647" s="2" t="s">
        <v>671</v>
      </c>
    </row>
    <row r="3648" customFormat="false" ht="15" hidden="false" customHeight="false" outlineLevel="0" collapsed="false">
      <c r="A3648" s="2" t="s">
        <v>865</v>
      </c>
      <c r="B3648" s="2" t="s">
        <v>45</v>
      </c>
      <c r="C3648" s="2" t="s">
        <v>4086</v>
      </c>
      <c r="D3648" s="11" t="n">
        <v>104370</v>
      </c>
      <c r="E3648" s="31" t="n">
        <v>45.7</v>
      </c>
      <c r="F3648" s="31" t="n">
        <v>4.3</v>
      </c>
      <c r="G3648" s="31" t="n">
        <v>45.2</v>
      </c>
      <c r="H3648" s="2" t="s">
        <v>671</v>
      </c>
    </row>
    <row r="3649" customFormat="false" ht="15" hidden="false" customHeight="false" outlineLevel="0" collapsed="false">
      <c r="A3649" s="2" t="s">
        <v>865</v>
      </c>
      <c r="B3649" s="2" t="s">
        <v>45</v>
      </c>
      <c r="C3649" s="2" t="s">
        <v>4087</v>
      </c>
      <c r="D3649" s="11" t="n">
        <v>106595</v>
      </c>
      <c r="E3649" s="31" t="n">
        <v>73.7</v>
      </c>
      <c r="F3649" s="31" t="n">
        <v>42.8</v>
      </c>
      <c r="G3649" s="31" t="n">
        <v>35.1</v>
      </c>
      <c r="H3649" s="2" t="s">
        <v>671</v>
      </c>
    </row>
    <row r="3650" customFormat="false" ht="15" hidden="false" customHeight="false" outlineLevel="0" collapsed="false">
      <c r="A3650" s="2" t="s">
        <v>865</v>
      </c>
      <c r="B3650" s="2" t="s">
        <v>46</v>
      </c>
      <c r="C3650" s="2" t="s">
        <v>4085</v>
      </c>
      <c r="D3650" s="11" t="n">
        <v>199535</v>
      </c>
      <c r="E3650" s="31" t="n">
        <v>70.6</v>
      </c>
      <c r="F3650" s="31" t="n">
        <v>27.6</v>
      </c>
      <c r="G3650" s="31" t="n">
        <v>90</v>
      </c>
      <c r="H3650" s="2" t="s">
        <v>671</v>
      </c>
    </row>
    <row r="3651" customFormat="false" ht="15" hidden="false" customHeight="false" outlineLevel="0" collapsed="false">
      <c r="A3651" s="2" t="s">
        <v>865</v>
      </c>
      <c r="B3651" s="2" t="s">
        <v>46</v>
      </c>
      <c r="C3651" s="2" t="s">
        <v>4086</v>
      </c>
      <c r="D3651" s="11" t="n">
        <v>196900</v>
      </c>
      <c r="E3651" s="31" t="n">
        <v>59.7</v>
      </c>
      <c r="F3651" s="31" t="n">
        <v>31.8</v>
      </c>
      <c r="G3651" s="2"/>
      <c r="H3651" s="2" t="s">
        <v>668</v>
      </c>
    </row>
    <row r="3652" customFormat="false" ht="15" hidden="false" customHeight="false" outlineLevel="0" collapsed="false">
      <c r="A3652" s="2" t="s">
        <v>865</v>
      </c>
      <c r="B3652" s="2" t="s">
        <v>46</v>
      </c>
      <c r="C3652" s="2" t="s">
        <v>4087</v>
      </c>
      <c r="D3652" s="11" t="n">
        <v>201010</v>
      </c>
      <c r="E3652" s="31" t="n">
        <v>75.5</v>
      </c>
      <c r="F3652" s="31" t="n">
        <v>17.9</v>
      </c>
      <c r="G3652" s="2"/>
      <c r="H3652" s="2" t="s">
        <v>668</v>
      </c>
    </row>
    <row r="3653" customFormat="false" ht="15" hidden="false" customHeight="false" outlineLevel="0" collapsed="false">
      <c r="A3653" s="2" t="s">
        <v>865</v>
      </c>
      <c r="B3653" s="2" t="s">
        <v>47</v>
      </c>
      <c r="C3653" s="2" t="s">
        <v>4085</v>
      </c>
      <c r="D3653" s="11" t="n">
        <v>11552</v>
      </c>
      <c r="E3653" s="31" t="n">
        <v>58.3</v>
      </c>
      <c r="F3653" s="31" t="n">
        <v>86.6</v>
      </c>
      <c r="G3653" s="31" t="n">
        <v>56.1</v>
      </c>
      <c r="H3653" s="2" t="s">
        <v>671</v>
      </c>
    </row>
    <row r="3654" customFormat="false" ht="15" hidden="false" customHeight="false" outlineLevel="0" collapsed="false">
      <c r="A3654" s="2" t="s">
        <v>865</v>
      </c>
      <c r="B3654" s="2" t="s">
        <v>47</v>
      </c>
      <c r="C3654" s="2" t="s">
        <v>4086</v>
      </c>
      <c r="D3654" s="11" t="n">
        <v>12520</v>
      </c>
      <c r="E3654" s="31" t="n">
        <v>72.1</v>
      </c>
      <c r="F3654" s="31" t="n">
        <v>85.1</v>
      </c>
      <c r="G3654" s="31" t="n">
        <v>72.9</v>
      </c>
      <c r="H3654" s="2" t="s">
        <v>671</v>
      </c>
    </row>
    <row r="3655" customFormat="false" ht="15" hidden="false" customHeight="false" outlineLevel="0" collapsed="false">
      <c r="A3655" s="2" t="s">
        <v>865</v>
      </c>
      <c r="B3655" s="2" t="s">
        <v>47</v>
      </c>
      <c r="C3655" s="2" t="s">
        <v>4087</v>
      </c>
      <c r="D3655" s="11" t="n">
        <v>12804</v>
      </c>
      <c r="E3655" s="31" t="n">
        <v>72.1</v>
      </c>
      <c r="F3655" s="31" t="n">
        <v>89.7</v>
      </c>
      <c r="G3655" s="31" t="n">
        <v>92.6</v>
      </c>
      <c r="H3655" s="2" t="s">
        <v>671</v>
      </c>
    </row>
    <row r="3656" customFormat="false" ht="15" hidden="false" customHeight="false" outlineLevel="0" collapsed="false">
      <c r="A3656" s="2" t="s">
        <v>2932</v>
      </c>
      <c r="B3656" s="2" t="s">
        <v>4104</v>
      </c>
      <c r="C3656" s="2" t="s">
        <v>4085</v>
      </c>
      <c r="D3656" s="2"/>
      <c r="E3656" s="31" t="n">
        <v>31.6</v>
      </c>
      <c r="F3656" s="31" t="n">
        <v>45.8</v>
      </c>
      <c r="G3656" s="31" t="n">
        <v>38.7</v>
      </c>
      <c r="H3656" s="2" t="s">
        <v>671</v>
      </c>
    </row>
    <row r="3657" customFormat="false" ht="15" hidden="false" customHeight="false" outlineLevel="0" collapsed="false">
      <c r="A3657" s="2" t="s">
        <v>2932</v>
      </c>
      <c r="B3657" s="2" t="s">
        <v>4104</v>
      </c>
      <c r="C3657" s="2" t="s">
        <v>4086</v>
      </c>
      <c r="D3657" s="2"/>
      <c r="E3657" s="31" t="n">
        <v>26.5</v>
      </c>
      <c r="F3657" s="31" t="n">
        <v>41.8</v>
      </c>
      <c r="G3657" s="31" t="n">
        <v>34.2</v>
      </c>
      <c r="H3657" s="2" t="s">
        <v>671</v>
      </c>
    </row>
    <row r="3658" customFormat="false" ht="15" hidden="false" customHeight="false" outlineLevel="0" collapsed="false">
      <c r="A3658" s="2" t="s">
        <v>2932</v>
      </c>
      <c r="B3658" s="2" t="s">
        <v>4104</v>
      </c>
      <c r="C3658" s="2" t="s">
        <v>4087</v>
      </c>
      <c r="D3658" s="2"/>
      <c r="E3658" s="2"/>
      <c r="F3658" s="2"/>
      <c r="G3658" s="2"/>
      <c r="H3658" s="2" t="s">
        <v>668</v>
      </c>
    </row>
    <row r="3659" customFormat="false" ht="15" hidden="false" customHeight="false" outlineLevel="0" collapsed="false">
      <c r="A3659" s="2" t="s">
        <v>2932</v>
      </c>
      <c r="B3659" s="2" t="s">
        <v>45</v>
      </c>
      <c r="C3659" s="2" t="s">
        <v>4085</v>
      </c>
      <c r="D3659" s="11" t="n">
        <v>570300</v>
      </c>
      <c r="E3659" s="31" t="n">
        <v>58.1</v>
      </c>
      <c r="F3659" s="31" t="n">
        <v>66.4</v>
      </c>
      <c r="G3659" s="31" t="n">
        <v>55.4</v>
      </c>
      <c r="H3659" s="2" t="s">
        <v>671</v>
      </c>
    </row>
    <row r="3660" customFormat="false" ht="15" hidden="false" customHeight="false" outlineLevel="0" collapsed="false">
      <c r="A3660" s="2" t="s">
        <v>2932</v>
      </c>
      <c r="B3660" s="2" t="s">
        <v>45</v>
      </c>
      <c r="C3660" s="2" t="s">
        <v>4086</v>
      </c>
      <c r="D3660" s="11" t="n">
        <v>605680</v>
      </c>
      <c r="E3660" s="31" t="n">
        <v>44.6</v>
      </c>
      <c r="F3660" s="31" t="n">
        <v>58.6</v>
      </c>
      <c r="G3660" s="31" t="n">
        <v>28.9</v>
      </c>
      <c r="H3660" s="2" t="s">
        <v>671</v>
      </c>
    </row>
    <row r="3661" customFormat="false" ht="15" hidden="false" customHeight="false" outlineLevel="0" collapsed="false">
      <c r="A3661" s="2" t="s">
        <v>2932</v>
      </c>
      <c r="B3661" s="2" t="s">
        <v>45</v>
      </c>
      <c r="C3661" s="2" t="s">
        <v>4087</v>
      </c>
      <c r="D3661" s="2"/>
      <c r="E3661" s="2"/>
      <c r="F3661" s="2"/>
      <c r="G3661" s="2"/>
      <c r="H3661" s="2" t="s">
        <v>668</v>
      </c>
    </row>
    <row r="3662" customFormat="false" ht="15" hidden="false" customHeight="false" outlineLevel="0" collapsed="false">
      <c r="A3662" s="2" t="s">
        <v>2932</v>
      </c>
      <c r="B3662" s="2" t="s">
        <v>46</v>
      </c>
      <c r="C3662" s="2" t="s">
        <v>4085</v>
      </c>
      <c r="D3662" s="11" t="n">
        <v>73661</v>
      </c>
      <c r="E3662" s="31" t="n">
        <v>4.3</v>
      </c>
      <c r="F3662" s="31" t="n">
        <v>6.7</v>
      </c>
      <c r="G3662" s="31" t="n">
        <v>8.4</v>
      </c>
      <c r="H3662" s="2" t="s">
        <v>671</v>
      </c>
    </row>
    <row r="3663" customFormat="false" ht="15" hidden="false" customHeight="false" outlineLevel="0" collapsed="false">
      <c r="A3663" s="2" t="s">
        <v>2932</v>
      </c>
      <c r="B3663" s="2" t="s">
        <v>46</v>
      </c>
      <c r="C3663" s="2" t="s">
        <v>4086</v>
      </c>
      <c r="D3663" s="11" t="n">
        <v>71360</v>
      </c>
      <c r="E3663" s="31" t="n">
        <v>15.3</v>
      </c>
      <c r="F3663" s="31" t="n">
        <v>12</v>
      </c>
      <c r="G3663" s="31" t="n">
        <v>20.5</v>
      </c>
      <c r="H3663" s="2" t="s">
        <v>671</v>
      </c>
    </row>
    <row r="3664" customFormat="false" ht="15" hidden="false" customHeight="false" outlineLevel="0" collapsed="false">
      <c r="A3664" s="2" t="s">
        <v>2932</v>
      </c>
      <c r="B3664" s="2" t="s">
        <v>46</v>
      </c>
      <c r="C3664" s="2" t="s">
        <v>4087</v>
      </c>
      <c r="D3664" s="2"/>
      <c r="E3664" s="2"/>
      <c r="F3664" s="2"/>
      <c r="G3664" s="2"/>
      <c r="H3664" s="2" t="s">
        <v>668</v>
      </c>
    </row>
    <row r="3665" customFormat="false" ht="15" hidden="false" customHeight="false" outlineLevel="0" collapsed="false">
      <c r="A3665" s="2" t="s">
        <v>2932</v>
      </c>
      <c r="B3665" s="2" t="s">
        <v>47</v>
      </c>
      <c r="C3665" s="2" t="s">
        <v>4085</v>
      </c>
      <c r="D3665" s="11" t="n">
        <v>265652</v>
      </c>
      <c r="E3665" s="31" t="n">
        <v>32.4</v>
      </c>
      <c r="F3665" s="31" t="n">
        <v>64.2</v>
      </c>
      <c r="G3665" s="31" t="n">
        <v>52.2</v>
      </c>
      <c r="H3665" s="2" t="s">
        <v>671</v>
      </c>
    </row>
    <row r="3666" customFormat="false" ht="15" hidden="false" customHeight="false" outlineLevel="0" collapsed="false">
      <c r="A3666" s="2" t="s">
        <v>2932</v>
      </c>
      <c r="B3666" s="2" t="s">
        <v>47</v>
      </c>
      <c r="C3666" s="2" t="s">
        <v>4086</v>
      </c>
      <c r="D3666" s="11" t="n">
        <v>272790</v>
      </c>
      <c r="E3666" s="31" t="n">
        <v>19.6</v>
      </c>
      <c r="F3666" s="31" t="n">
        <v>54.7</v>
      </c>
      <c r="G3666" s="31" t="n">
        <v>53.2</v>
      </c>
      <c r="H3666" s="2" t="s">
        <v>671</v>
      </c>
    </row>
    <row r="3667" customFormat="false" ht="15" hidden="false" customHeight="false" outlineLevel="0" collapsed="false">
      <c r="A3667" s="2" t="s">
        <v>2932</v>
      </c>
      <c r="B3667" s="2" t="s">
        <v>47</v>
      </c>
      <c r="C3667" s="2" t="s">
        <v>4087</v>
      </c>
      <c r="D3667" s="2"/>
      <c r="E3667" s="2"/>
      <c r="F3667" s="2"/>
      <c r="G3667" s="2"/>
      <c r="H3667" s="2" t="s">
        <v>668</v>
      </c>
    </row>
    <row r="3668" customFormat="false" ht="15" hidden="false" customHeight="false" outlineLevel="0" collapsed="false">
      <c r="A3668" s="2" t="s">
        <v>1748</v>
      </c>
      <c r="B3668" s="2" t="s">
        <v>4104</v>
      </c>
      <c r="C3668" s="2" t="s">
        <v>4085</v>
      </c>
      <c r="D3668" s="2"/>
      <c r="E3668" s="31" t="n">
        <v>63.4</v>
      </c>
      <c r="F3668" s="31" t="n">
        <v>84.2</v>
      </c>
      <c r="G3668" s="31" t="n">
        <v>95.6</v>
      </c>
      <c r="H3668" s="2" t="s">
        <v>668</v>
      </c>
    </row>
    <row r="3669" customFormat="false" ht="15" hidden="false" customHeight="false" outlineLevel="0" collapsed="false">
      <c r="A3669" s="2" t="s">
        <v>1748</v>
      </c>
      <c r="B3669" s="2" t="s">
        <v>4104</v>
      </c>
      <c r="C3669" s="2" t="s">
        <v>4086</v>
      </c>
      <c r="D3669" s="2"/>
      <c r="E3669" s="31" t="n">
        <v>54.8</v>
      </c>
      <c r="F3669" s="31" t="n">
        <v>89</v>
      </c>
      <c r="G3669" s="31" t="n">
        <v>51.7</v>
      </c>
      <c r="H3669" s="2" t="s">
        <v>668</v>
      </c>
    </row>
    <row r="3670" customFormat="false" ht="15" hidden="false" customHeight="false" outlineLevel="0" collapsed="false">
      <c r="A3670" s="2" t="s">
        <v>1748</v>
      </c>
      <c r="B3670" s="2" t="s">
        <v>4104</v>
      </c>
      <c r="C3670" s="2" t="s">
        <v>4087</v>
      </c>
      <c r="D3670" s="2"/>
      <c r="E3670" s="31" t="n">
        <v>60</v>
      </c>
      <c r="F3670" s="31" t="n">
        <v>84.7</v>
      </c>
      <c r="G3670" s="31" t="n">
        <v>22</v>
      </c>
      <c r="H3670" s="2" t="s">
        <v>668</v>
      </c>
    </row>
    <row r="3671" customFormat="false" ht="15" hidden="false" customHeight="false" outlineLevel="0" collapsed="false">
      <c r="A3671" s="2" t="s">
        <v>1748</v>
      </c>
      <c r="B3671" s="2" t="s">
        <v>45</v>
      </c>
      <c r="C3671" s="2" t="s">
        <v>4085</v>
      </c>
      <c r="D3671" s="11" t="n">
        <v>186517</v>
      </c>
      <c r="E3671" s="31" t="n">
        <v>82.7</v>
      </c>
      <c r="F3671" s="31" t="n">
        <v>87</v>
      </c>
      <c r="G3671" s="31" t="n">
        <v>95.6</v>
      </c>
      <c r="H3671" s="2" t="s">
        <v>671</v>
      </c>
    </row>
    <row r="3672" customFormat="false" ht="15" hidden="false" customHeight="false" outlineLevel="0" collapsed="false">
      <c r="A3672" s="2" t="s">
        <v>1748</v>
      </c>
      <c r="B3672" s="2" t="s">
        <v>45</v>
      </c>
      <c r="C3672" s="2" t="s">
        <v>4086</v>
      </c>
      <c r="D3672" s="11" t="n">
        <v>197840</v>
      </c>
      <c r="E3672" s="31" t="n">
        <v>70.1</v>
      </c>
      <c r="F3672" s="31" t="n">
        <v>94.3</v>
      </c>
      <c r="G3672" s="31" t="n">
        <v>90.7</v>
      </c>
      <c r="H3672" s="2" t="s">
        <v>671</v>
      </c>
    </row>
    <row r="3673" customFormat="false" ht="15" hidden="false" customHeight="false" outlineLevel="0" collapsed="false">
      <c r="A3673" s="2" t="s">
        <v>1748</v>
      </c>
      <c r="B3673" s="2" t="s">
        <v>45</v>
      </c>
      <c r="C3673" s="2" t="s">
        <v>4087</v>
      </c>
      <c r="D3673" s="2"/>
      <c r="E3673" s="2"/>
      <c r="F3673" s="2"/>
      <c r="G3673" s="2"/>
      <c r="H3673" s="2" t="s">
        <v>668</v>
      </c>
    </row>
    <row r="3674" customFormat="false" ht="15" hidden="false" customHeight="false" outlineLevel="0" collapsed="false">
      <c r="A3674" s="2" t="s">
        <v>1748</v>
      </c>
      <c r="B3674" s="2" t="s">
        <v>46</v>
      </c>
      <c r="C3674" s="2" t="s">
        <v>4085</v>
      </c>
      <c r="D3674" s="11" t="n">
        <v>105990</v>
      </c>
      <c r="E3674" s="31" t="n">
        <v>44</v>
      </c>
      <c r="F3674" s="31" t="n">
        <v>81.4</v>
      </c>
      <c r="G3674" s="2"/>
      <c r="H3674" s="2" t="s">
        <v>668</v>
      </c>
    </row>
    <row r="3675" customFormat="false" ht="15" hidden="false" customHeight="false" outlineLevel="0" collapsed="false">
      <c r="A3675" s="2" t="s">
        <v>1748</v>
      </c>
      <c r="B3675" s="2" t="s">
        <v>46</v>
      </c>
      <c r="C3675" s="2" t="s">
        <v>4086</v>
      </c>
      <c r="D3675" s="11" t="n">
        <v>107090</v>
      </c>
      <c r="E3675" s="31" t="n">
        <v>36.5</v>
      </c>
      <c r="F3675" s="2"/>
      <c r="G3675" s="31" t="n">
        <v>46.4</v>
      </c>
      <c r="H3675" s="2" t="s">
        <v>668</v>
      </c>
    </row>
    <row r="3676" customFormat="false" ht="15" hidden="false" customHeight="false" outlineLevel="0" collapsed="false">
      <c r="A3676" s="2" t="s">
        <v>1748</v>
      </c>
      <c r="B3676" s="2" t="s">
        <v>46</v>
      </c>
      <c r="C3676" s="2" t="s">
        <v>4087</v>
      </c>
      <c r="D3676" s="11" t="n">
        <v>109850</v>
      </c>
      <c r="E3676" s="31" t="n">
        <v>37.8</v>
      </c>
      <c r="F3676" s="31" t="n">
        <v>81.5</v>
      </c>
      <c r="G3676" s="31" t="n">
        <v>29.5</v>
      </c>
      <c r="H3676" s="2" t="s">
        <v>671</v>
      </c>
    </row>
    <row r="3677" customFormat="false" ht="15" hidden="false" customHeight="false" outlineLevel="0" collapsed="false">
      <c r="A3677" s="2" t="s">
        <v>1748</v>
      </c>
      <c r="B3677" s="2" t="s">
        <v>47</v>
      </c>
      <c r="C3677" s="2" t="s">
        <v>4085</v>
      </c>
      <c r="D3677" s="2"/>
      <c r="E3677" s="2"/>
      <c r="F3677" s="2"/>
      <c r="G3677" s="2"/>
      <c r="H3677" s="2" t="s">
        <v>668</v>
      </c>
    </row>
    <row r="3678" customFormat="false" ht="15" hidden="false" customHeight="false" outlineLevel="0" collapsed="false">
      <c r="A3678" s="2" t="s">
        <v>1748</v>
      </c>
      <c r="B3678" s="2" t="s">
        <v>47</v>
      </c>
      <c r="C3678" s="2" t="s">
        <v>4086</v>
      </c>
      <c r="D3678" s="11" t="n">
        <v>58586</v>
      </c>
      <c r="E3678" s="31" t="n">
        <v>57.8</v>
      </c>
      <c r="F3678" s="31" t="n">
        <v>83.8</v>
      </c>
      <c r="G3678" s="31" t="n">
        <v>18.1</v>
      </c>
      <c r="H3678" s="2" t="s">
        <v>671</v>
      </c>
    </row>
    <row r="3679" customFormat="false" ht="15" hidden="false" customHeight="false" outlineLevel="0" collapsed="false">
      <c r="A3679" s="2" t="s">
        <v>1748</v>
      </c>
      <c r="B3679" s="2" t="s">
        <v>47</v>
      </c>
      <c r="C3679" s="2" t="s">
        <v>4087</v>
      </c>
      <c r="D3679" s="11" t="n">
        <v>58886</v>
      </c>
      <c r="E3679" s="31" t="n">
        <v>82.1</v>
      </c>
      <c r="F3679" s="31" t="n">
        <v>87.9</v>
      </c>
      <c r="G3679" s="31" t="n">
        <v>14.5</v>
      </c>
      <c r="H3679" s="2" t="s">
        <v>671</v>
      </c>
    </row>
    <row r="3680" customFormat="false" ht="15" hidden="false" customHeight="false" outlineLevel="0" collapsed="false">
      <c r="A3680" s="2" t="s">
        <v>1234</v>
      </c>
      <c r="B3680" s="2" t="s">
        <v>4104</v>
      </c>
      <c r="C3680" s="2" t="s">
        <v>4085</v>
      </c>
      <c r="D3680" s="2"/>
      <c r="E3680" s="31" t="n">
        <v>56.9</v>
      </c>
      <c r="F3680" s="31" t="n">
        <v>56.4</v>
      </c>
      <c r="G3680" s="31" t="n">
        <v>50.6</v>
      </c>
      <c r="H3680" s="2" t="s">
        <v>671</v>
      </c>
    </row>
    <row r="3681" customFormat="false" ht="15" hidden="false" customHeight="false" outlineLevel="0" collapsed="false">
      <c r="A3681" s="2" t="s">
        <v>1234</v>
      </c>
      <c r="B3681" s="2" t="s">
        <v>4104</v>
      </c>
      <c r="C3681" s="2" t="s">
        <v>4086</v>
      </c>
      <c r="D3681" s="2"/>
      <c r="E3681" s="31" t="n">
        <v>51.7</v>
      </c>
      <c r="F3681" s="31" t="n">
        <v>80</v>
      </c>
      <c r="G3681" s="31" t="n">
        <v>53</v>
      </c>
      <c r="H3681" s="2" t="s">
        <v>668</v>
      </c>
    </row>
    <row r="3682" customFormat="false" ht="15" hidden="false" customHeight="false" outlineLevel="0" collapsed="false">
      <c r="A3682" s="2" t="s">
        <v>1234</v>
      </c>
      <c r="B3682" s="2" t="s">
        <v>4104</v>
      </c>
      <c r="C3682" s="2" t="s">
        <v>4087</v>
      </c>
      <c r="D3682" s="2"/>
      <c r="E3682" s="31" t="n">
        <v>51.3</v>
      </c>
      <c r="F3682" s="31" t="n">
        <v>83.3</v>
      </c>
      <c r="G3682" s="31" t="n">
        <v>59.8</v>
      </c>
      <c r="H3682" s="2" t="s">
        <v>668</v>
      </c>
    </row>
    <row r="3683" customFormat="false" ht="15" hidden="false" customHeight="false" outlineLevel="0" collapsed="false">
      <c r="A3683" s="2" t="s">
        <v>1234</v>
      </c>
      <c r="B3683" s="2" t="s">
        <v>45</v>
      </c>
      <c r="C3683" s="2" t="s">
        <v>4085</v>
      </c>
      <c r="D3683" s="11" t="n">
        <v>124040</v>
      </c>
      <c r="E3683" s="31" t="n">
        <v>39.9</v>
      </c>
      <c r="F3683" s="31" t="n">
        <v>90.4</v>
      </c>
      <c r="G3683" s="31" t="n">
        <v>54.1</v>
      </c>
      <c r="H3683" s="2" t="s">
        <v>671</v>
      </c>
    </row>
    <row r="3684" customFormat="false" ht="15" hidden="false" customHeight="false" outlineLevel="0" collapsed="false">
      <c r="A3684" s="2" t="s">
        <v>1234</v>
      </c>
      <c r="B3684" s="2" t="s">
        <v>45</v>
      </c>
      <c r="C3684" s="2" t="s">
        <v>4086</v>
      </c>
      <c r="D3684" s="11" t="n">
        <v>132460</v>
      </c>
      <c r="E3684" s="31" t="n">
        <v>13.4</v>
      </c>
      <c r="F3684" s="31" t="n">
        <v>78.6</v>
      </c>
      <c r="G3684" s="31" t="n">
        <v>34.7</v>
      </c>
      <c r="H3684" s="2" t="s">
        <v>671</v>
      </c>
    </row>
    <row r="3685" customFormat="false" ht="15" hidden="false" customHeight="false" outlineLevel="0" collapsed="false">
      <c r="A3685" s="2" t="s">
        <v>1234</v>
      </c>
      <c r="B3685" s="2" t="s">
        <v>45</v>
      </c>
      <c r="C3685" s="2" t="s">
        <v>4087</v>
      </c>
      <c r="D3685" s="11" t="n">
        <v>135560</v>
      </c>
      <c r="E3685" s="31" t="n">
        <v>23.5</v>
      </c>
      <c r="F3685" s="31" t="n">
        <v>83.3</v>
      </c>
      <c r="G3685" s="31" t="n">
        <v>53.6</v>
      </c>
      <c r="H3685" s="2" t="s">
        <v>671</v>
      </c>
    </row>
    <row r="3686" customFormat="false" ht="15" hidden="false" customHeight="false" outlineLevel="0" collapsed="false">
      <c r="A3686" s="2" t="s">
        <v>1234</v>
      </c>
      <c r="B3686" s="2" t="s">
        <v>46</v>
      </c>
      <c r="C3686" s="2" t="s">
        <v>4085</v>
      </c>
      <c r="D3686" s="11" t="n">
        <v>11841</v>
      </c>
      <c r="E3686" s="31" t="n">
        <v>80.4</v>
      </c>
      <c r="F3686" s="31" t="n">
        <v>26.2</v>
      </c>
      <c r="G3686" s="31" t="n">
        <v>85.8</v>
      </c>
      <c r="H3686" s="2" t="s">
        <v>671</v>
      </c>
    </row>
    <row r="3687" customFormat="false" ht="15" hidden="false" customHeight="false" outlineLevel="0" collapsed="false">
      <c r="A3687" s="2" t="s">
        <v>1234</v>
      </c>
      <c r="B3687" s="2" t="s">
        <v>46</v>
      </c>
      <c r="C3687" s="2" t="s">
        <v>4086</v>
      </c>
      <c r="D3687" s="11" t="n">
        <v>11660</v>
      </c>
      <c r="E3687" s="31" t="n">
        <v>77.2</v>
      </c>
      <c r="F3687" s="2"/>
      <c r="G3687" s="2"/>
      <c r="H3687" s="2" t="s">
        <v>668</v>
      </c>
    </row>
    <row r="3688" customFormat="false" ht="15" hidden="false" customHeight="false" outlineLevel="0" collapsed="false">
      <c r="A3688" s="2" t="s">
        <v>1234</v>
      </c>
      <c r="B3688" s="2" t="s">
        <v>46</v>
      </c>
      <c r="C3688" s="2" t="s">
        <v>4087</v>
      </c>
      <c r="D3688" s="11" t="n">
        <v>11690</v>
      </c>
      <c r="E3688" s="31" t="n">
        <v>79.1</v>
      </c>
      <c r="F3688" s="2"/>
      <c r="G3688" s="31" t="n">
        <v>66.1</v>
      </c>
      <c r="H3688" s="2" t="s">
        <v>668</v>
      </c>
    </row>
    <row r="3689" customFormat="false" ht="15" hidden="false" customHeight="false" outlineLevel="0" collapsed="false">
      <c r="A3689" s="2" t="s">
        <v>1234</v>
      </c>
      <c r="B3689" s="2" t="s">
        <v>47</v>
      </c>
      <c r="C3689" s="2" t="s">
        <v>4085</v>
      </c>
      <c r="D3689" s="11" t="n">
        <v>53303</v>
      </c>
      <c r="E3689" s="31" t="n">
        <v>50.5</v>
      </c>
      <c r="F3689" s="31" t="n">
        <v>52.6</v>
      </c>
      <c r="G3689" s="31" t="n">
        <v>11.8</v>
      </c>
      <c r="H3689" s="2" t="s">
        <v>671</v>
      </c>
    </row>
    <row r="3690" customFormat="false" ht="15" hidden="false" customHeight="false" outlineLevel="0" collapsed="false">
      <c r="A3690" s="2" t="s">
        <v>1234</v>
      </c>
      <c r="B3690" s="2" t="s">
        <v>47</v>
      </c>
      <c r="C3690" s="2" t="s">
        <v>4086</v>
      </c>
      <c r="D3690" s="11" t="n">
        <v>56529</v>
      </c>
      <c r="E3690" s="31" t="n">
        <v>64.6</v>
      </c>
      <c r="F3690" s="31" t="n">
        <v>81.5</v>
      </c>
      <c r="G3690" s="31" t="n">
        <v>71.3</v>
      </c>
      <c r="H3690" s="2" t="s">
        <v>671</v>
      </c>
    </row>
    <row r="3691" customFormat="false" ht="15" hidden="false" customHeight="false" outlineLevel="0" collapsed="false">
      <c r="A3691" s="2" t="s">
        <v>1234</v>
      </c>
      <c r="B3691" s="2" t="s">
        <v>47</v>
      </c>
      <c r="C3691" s="2" t="s">
        <v>4087</v>
      </c>
      <c r="D3691" s="2"/>
      <c r="E3691" s="2"/>
      <c r="F3691" s="2"/>
      <c r="G3691" s="2"/>
      <c r="H3691" s="2" t="s">
        <v>668</v>
      </c>
    </row>
    <row r="3692" customFormat="false" ht="15" hidden="false" customHeight="false" outlineLevel="0" collapsed="false">
      <c r="A3692" s="2" t="s">
        <v>199</v>
      </c>
      <c r="B3692" s="2" t="s">
        <v>4104</v>
      </c>
      <c r="C3692" s="2" t="s">
        <v>4085</v>
      </c>
      <c r="D3692" s="2"/>
      <c r="E3692" s="31" t="n">
        <v>77.3</v>
      </c>
      <c r="F3692" s="31" t="n">
        <v>61.4</v>
      </c>
      <c r="G3692" s="31" t="n">
        <v>38</v>
      </c>
      <c r="H3692" s="2" t="s">
        <v>671</v>
      </c>
    </row>
    <row r="3693" customFormat="false" ht="15" hidden="false" customHeight="false" outlineLevel="0" collapsed="false">
      <c r="A3693" s="2" t="s">
        <v>199</v>
      </c>
      <c r="B3693" s="2" t="s">
        <v>4104</v>
      </c>
      <c r="C3693" s="2" t="s">
        <v>4086</v>
      </c>
      <c r="D3693" s="2"/>
      <c r="E3693" s="31" t="n">
        <v>72.4</v>
      </c>
      <c r="F3693" s="31" t="n">
        <v>75.8</v>
      </c>
      <c r="G3693" s="31" t="n">
        <v>44.8</v>
      </c>
      <c r="H3693" s="2" t="s">
        <v>668</v>
      </c>
    </row>
    <row r="3694" customFormat="false" ht="15" hidden="false" customHeight="false" outlineLevel="0" collapsed="false">
      <c r="A3694" s="2" t="s">
        <v>199</v>
      </c>
      <c r="B3694" s="2" t="s">
        <v>4104</v>
      </c>
      <c r="C3694" s="2" t="s">
        <v>4087</v>
      </c>
      <c r="D3694" s="2"/>
      <c r="E3694" s="31" t="n">
        <v>70.7</v>
      </c>
      <c r="F3694" s="31" t="n">
        <v>51.7</v>
      </c>
      <c r="G3694" s="31" t="n">
        <v>33</v>
      </c>
      <c r="H3694" s="2" t="s">
        <v>671</v>
      </c>
    </row>
    <row r="3695" customFormat="false" ht="15" hidden="false" customHeight="false" outlineLevel="0" collapsed="false">
      <c r="A3695" s="2" t="s">
        <v>199</v>
      </c>
      <c r="B3695" s="2" t="s">
        <v>45</v>
      </c>
      <c r="C3695" s="2" t="s">
        <v>4085</v>
      </c>
      <c r="D3695" s="11" t="n">
        <v>18117</v>
      </c>
      <c r="E3695" s="31" t="n">
        <v>87.5</v>
      </c>
      <c r="F3695" s="31" t="n">
        <v>35.4</v>
      </c>
      <c r="G3695" s="2"/>
      <c r="H3695" s="2" t="s">
        <v>671</v>
      </c>
    </row>
    <row r="3696" customFormat="false" ht="15" hidden="false" customHeight="false" outlineLevel="0" collapsed="false">
      <c r="A3696" s="2" t="s">
        <v>199</v>
      </c>
      <c r="B3696" s="2" t="s">
        <v>45</v>
      </c>
      <c r="C3696" s="2" t="s">
        <v>4086</v>
      </c>
      <c r="D3696" s="11" t="n">
        <v>18440</v>
      </c>
      <c r="E3696" s="31" t="n">
        <v>75</v>
      </c>
      <c r="F3696" s="31" t="n">
        <v>58.8</v>
      </c>
      <c r="G3696" s="2"/>
      <c r="H3696" s="2" t="s">
        <v>671</v>
      </c>
    </row>
    <row r="3697" customFormat="false" ht="15" hidden="false" customHeight="false" outlineLevel="0" collapsed="false">
      <c r="A3697" s="2" t="s">
        <v>199</v>
      </c>
      <c r="B3697" s="2" t="s">
        <v>45</v>
      </c>
      <c r="C3697" s="2" t="s">
        <v>4087</v>
      </c>
      <c r="D3697" s="11" t="n">
        <v>19502</v>
      </c>
      <c r="E3697" s="31" t="n">
        <v>66</v>
      </c>
      <c r="F3697" s="31" t="n">
        <v>25</v>
      </c>
      <c r="G3697" s="2"/>
      <c r="H3697" s="2" t="s">
        <v>671</v>
      </c>
    </row>
    <row r="3698" customFormat="false" ht="15" hidden="false" customHeight="false" outlineLevel="0" collapsed="false">
      <c r="A3698" s="2" t="s">
        <v>199</v>
      </c>
      <c r="B3698" s="2" t="s">
        <v>46</v>
      </c>
      <c r="C3698" s="2" t="s">
        <v>4085</v>
      </c>
      <c r="D3698" s="11" t="n">
        <v>422550</v>
      </c>
      <c r="E3698" s="31" t="n">
        <v>49.5</v>
      </c>
      <c r="F3698" s="31" t="n">
        <v>48.7</v>
      </c>
      <c r="G3698" s="31" t="n">
        <v>41.3</v>
      </c>
      <c r="H3698" s="2" t="s">
        <v>671</v>
      </c>
    </row>
    <row r="3699" customFormat="false" ht="15" hidden="false" customHeight="false" outlineLevel="0" collapsed="false">
      <c r="A3699" s="2" t="s">
        <v>199</v>
      </c>
      <c r="B3699" s="2" t="s">
        <v>46</v>
      </c>
      <c r="C3699" s="2" t="s">
        <v>4086</v>
      </c>
      <c r="D3699" s="2"/>
      <c r="E3699" s="2"/>
      <c r="F3699" s="2"/>
      <c r="G3699" s="2"/>
      <c r="H3699" s="2" t="s">
        <v>668</v>
      </c>
    </row>
    <row r="3700" customFormat="false" ht="15" hidden="false" customHeight="false" outlineLevel="0" collapsed="false">
      <c r="A3700" s="2" t="s">
        <v>199</v>
      </c>
      <c r="B3700" s="2" t="s">
        <v>46</v>
      </c>
      <c r="C3700" s="2" t="s">
        <v>4087</v>
      </c>
      <c r="D3700" s="11" t="n">
        <v>442540</v>
      </c>
      <c r="E3700" s="31" t="n">
        <v>65.8</v>
      </c>
      <c r="F3700" s="31" t="n">
        <v>49</v>
      </c>
      <c r="G3700" s="31" t="n">
        <v>38.6</v>
      </c>
      <c r="H3700" s="2" t="s">
        <v>671</v>
      </c>
    </row>
    <row r="3701" customFormat="false" ht="15" hidden="false" customHeight="false" outlineLevel="0" collapsed="false">
      <c r="A3701" s="2" t="s">
        <v>199</v>
      </c>
      <c r="B3701" s="2" t="s">
        <v>47</v>
      </c>
      <c r="C3701" s="2" t="s">
        <v>4085</v>
      </c>
      <c r="D3701" s="11" t="n">
        <v>46781</v>
      </c>
      <c r="E3701" s="31" t="n">
        <v>94.8</v>
      </c>
      <c r="F3701" s="31" t="n">
        <v>100</v>
      </c>
      <c r="G3701" s="31" t="n">
        <v>34.7</v>
      </c>
      <c r="H3701" s="2" t="s">
        <v>671</v>
      </c>
    </row>
    <row r="3702" customFormat="false" ht="15" hidden="false" customHeight="false" outlineLevel="0" collapsed="false">
      <c r="A3702" s="2" t="s">
        <v>199</v>
      </c>
      <c r="B3702" s="2" t="s">
        <v>47</v>
      </c>
      <c r="C3702" s="2" t="s">
        <v>4086</v>
      </c>
      <c r="D3702" s="11" t="n">
        <v>93218</v>
      </c>
      <c r="E3702" s="31" t="n">
        <v>69.7</v>
      </c>
      <c r="F3702" s="31" t="n">
        <v>92.9</v>
      </c>
      <c r="G3702" s="31" t="n">
        <v>44.8</v>
      </c>
      <c r="H3702" s="2" t="s">
        <v>671</v>
      </c>
    </row>
    <row r="3703" customFormat="false" ht="15" hidden="false" customHeight="false" outlineLevel="0" collapsed="false">
      <c r="A3703" s="2" t="s">
        <v>199</v>
      </c>
      <c r="B3703" s="2" t="s">
        <v>47</v>
      </c>
      <c r="C3703" s="2" t="s">
        <v>4087</v>
      </c>
      <c r="D3703" s="11" t="n">
        <v>98330</v>
      </c>
      <c r="E3703" s="31" t="n">
        <v>80.4</v>
      </c>
      <c r="F3703" s="31" t="n">
        <v>81.2</v>
      </c>
      <c r="G3703" s="31" t="n">
        <v>27.4</v>
      </c>
      <c r="H3703" s="2" t="s">
        <v>671</v>
      </c>
    </row>
    <row r="3704" customFormat="false" ht="15" hidden="false" customHeight="false" outlineLevel="0" collapsed="false">
      <c r="A3704" s="2" t="s">
        <v>2092</v>
      </c>
      <c r="B3704" s="2" t="s">
        <v>4104</v>
      </c>
      <c r="C3704" s="2" t="s">
        <v>4085</v>
      </c>
      <c r="D3704" s="2"/>
      <c r="E3704" s="31" t="n">
        <v>66</v>
      </c>
      <c r="F3704" s="31" t="n">
        <v>100</v>
      </c>
      <c r="G3704" s="31" t="n">
        <v>24.5</v>
      </c>
      <c r="H3704" s="2" t="s">
        <v>668</v>
      </c>
    </row>
    <row r="3705" customFormat="false" ht="15" hidden="false" customHeight="false" outlineLevel="0" collapsed="false">
      <c r="A3705" s="2" t="s">
        <v>2092</v>
      </c>
      <c r="B3705" s="2" t="s">
        <v>4104</v>
      </c>
      <c r="C3705" s="2" t="s">
        <v>4086</v>
      </c>
      <c r="D3705" s="2"/>
      <c r="E3705" s="31" t="n">
        <v>61</v>
      </c>
      <c r="F3705" s="31" t="n">
        <v>93</v>
      </c>
      <c r="G3705" s="31" t="n">
        <v>34.4</v>
      </c>
      <c r="H3705" s="2" t="s">
        <v>668</v>
      </c>
    </row>
    <row r="3706" customFormat="false" ht="15" hidden="false" customHeight="false" outlineLevel="0" collapsed="false">
      <c r="A3706" s="2" t="s">
        <v>2092</v>
      </c>
      <c r="B3706" s="2" t="s">
        <v>4104</v>
      </c>
      <c r="C3706" s="2" t="s">
        <v>4087</v>
      </c>
      <c r="D3706" s="2"/>
      <c r="E3706" s="31" t="n">
        <v>46.2</v>
      </c>
      <c r="F3706" s="31" t="n">
        <v>98.2</v>
      </c>
      <c r="G3706" s="31" t="n">
        <v>62.4</v>
      </c>
      <c r="H3706" s="2" t="s">
        <v>668</v>
      </c>
    </row>
    <row r="3707" customFormat="false" ht="15" hidden="false" customHeight="false" outlineLevel="0" collapsed="false">
      <c r="A3707" s="2" t="s">
        <v>2092</v>
      </c>
      <c r="B3707" s="2" t="s">
        <v>45</v>
      </c>
      <c r="C3707" s="2" t="s">
        <v>4085</v>
      </c>
      <c r="D3707" s="2"/>
      <c r="E3707" s="2"/>
      <c r="F3707" s="2"/>
      <c r="G3707" s="2"/>
      <c r="H3707" s="2" t="s">
        <v>668</v>
      </c>
    </row>
    <row r="3708" customFormat="false" ht="15" hidden="false" customHeight="false" outlineLevel="0" collapsed="false">
      <c r="A3708" s="2" t="s">
        <v>2092</v>
      </c>
      <c r="B3708" s="2" t="s">
        <v>45</v>
      </c>
      <c r="C3708" s="2" t="s">
        <v>4086</v>
      </c>
      <c r="D3708" s="11" t="n">
        <v>4890</v>
      </c>
      <c r="E3708" s="31" t="n">
        <v>47.3</v>
      </c>
      <c r="F3708" s="2"/>
      <c r="G3708" s="31" t="n">
        <v>56.2</v>
      </c>
      <c r="H3708" s="2" t="s">
        <v>668</v>
      </c>
    </row>
    <row r="3709" customFormat="false" ht="15" hidden="false" customHeight="false" outlineLevel="0" collapsed="false">
      <c r="A3709" s="2" t="s">
        <v>2092</v>
      </c>
      <c r="B3709" s="2" t="s">
        <v>45</v>
      </c>
      <c r="C3709" s="2" t="s">
        <v>4087</v>
      </c>
      <c r="D3709" s="11" t="n">
        <v>4910</v>
      </c>
      <c r="E3709" s="31" t="n">
        <v>11.3</v>
      </c>
      <c r="F3709" s="2"/>
      <c r="G3709" s="31" t="n">
        <v>76</v>
      </c>
      <c r="H3709" s="2" t="s">
        <v>668</v>
      </c>
    </row>
    <row r="3710" customFormat="false" ht="15" hidden="false" customHeight="false" outlineLevel="0" collapsed="false">
      <c r="A3710" s="2" t="s">
        <v>2092</v>
      </c>
      <c r="B3710" s="2" t="s">
        <v>46</v>
      </c>
      <c r="C3710" s="2" t="s">
        <v>4085</v>
      </c>
      <c r="D3710" s="11" t="n">
        <v>49093</v>
      </c>
      <c r="E3710" s="31" t="n">
        <v>59.3</v>
      </c>
      <c r="F3710" s="2"/>
      <c r="G3710" s="2"/>
      <c r="H3710" s="2" t="s">
        <v>668</v>
      </c>
    </row>
    <row r="3711" customFormat="false" ht="15" hidden="false" customHeight="false" outlineLevel="0" collapsed="false">
      <c r="A3711" s="2" t="s">
        <v>2092</v>
      </c>
      <c r="B3711" s="2" t="s">
        <v>46</v>
      </c>
      <c r="C3711" s="2" t="s">
        <v>4086</v>
      </c>
      <c r="D3711" s="11" t="n">
        <v>52700</v>
      </c>
      <c r="E3711" s="31" t="n">
        <v>46.6</v>
      </c>
      <c r="F3711" s="31" t="n">
        <v>88</v>
      </c>
      <c r="G3711" s="2"/>
      <c r="H3711" s="2" t="s">
        <v>668</v>
      </c>
    </row>
    <row r="3712" customFormat="false" ht="15" hidden="false" customHeight="false" outlineLevel="0" collapsed="false">
      <c r="A3712" s="2" t="s">
        <v>2092</v>
      </c>
      <c r="B3712" s="2" t="s">
        <v>46</v>
      </c>
      <c r="C3712" s="2" t="s">
        <v>4087</v>
      </c>
      <c r="D3712" s="2"/>
      <c r="E3712" s="2"/>
      <c r="F3712" s="2"/>
      <c r="G3712" s="2"/>
      <c r="H3712" s="2" t="s">
        <v>668</v>
      </c>
    </row>
    <row r="3713" customFormat="false" ht="15" hidden="false" customHeight="false" outlineLevel="0" collapsed="false">
      <c r="A3713" s="2" t="s">
        <v>2092</v>
      </c>
      <c r="B3713" s="2" t="s">
        <v>47</v>
      </c>
      <c r="C3713" s="2" t="s">
        <v>4085</v>
      </c>
      <c r="D3713" s="11" t="n">
        <v>420846</v>
      </c>
      <c r="E3713" s="31" t="n">
        <v>72.8</v>
      </c>
      <c r="F3713" s="31" t="n">
        <v>100</v>
      </c>
      <c r="G3713" s="31" t="n">
        <v>24.5</v>
      </c>
      <c r="H3713" s="2" t="s">
        <v>671</v>
      </c>
    </row>
    <row r="3714" customFormat="false" ht="15" hidden="false" customHeight="false" outlineLevel="0" collapsed="false">
      <c r="A3714" s="2" t="s">
        <v>2092</v>
      </c>
      <c r="B3714" s="2" t="s">
        <v>47</v>
      </c>
      <c r="C3714" s="2" t="s">
        <v>4086</v>
      </c>
      <c r="D3714" s="11" t="n">
        <v>453180</v>
      </c>
      <c r="E3714" s="31" t="n">
        <v>89.2</v>
      </c>
      <c r="F3714" s="31" t="n">
        <v>98.1</v>
      </c>
      <c r="G3714" s="31" t="n">
        <v>12.5</v>
      </c>
      <c r="H3714" s="2" t="s">
        <v>671</v>
      </c>
    </row>
    <row r="3715" customFormat="false" ht="15" hidden="false" customHeight="false" outlineLevel="0" collapsed="false">
      <c r="A3715" s="2" t="s">
        <v>2092</v>
      </c>
      <c r="B3715" s="2" t="s">
        <v>47</v>
      </c>
      <c r="C3715" s="2" t="s">
        <v>4087</v>
      </c>
      <c r="D3715" s="11" t="n">
        <v>493743</v>
      </c>
      <c r="E3715" s="31" t="n">
        <v>81</v>
      </c>
      <c r="F3715" s="31" t="n">
        <v>98.2</v>
      </c>
      <c r="G3715" s="31" t="n">
        <v>48.8</v>
      </c>
      <c r="H3715" s="2" t="s">
        <v>671</v>
      </c>
    </row>
    <row r="3716" customFormat="false" ht="15" hidden="false" customHeight="false" outlineLevel="0" collapsed="false">
      <c r="A3716" s="2" t="s">
        <v>2936</v>
      </c>
      <c r="B3716" s="2" t="s">
        <v>4104</v>
      </c>
      <c r="C3716" s="2" t="s">
        <v>4085</v>
      </c>
      <c r="D3716" s="2"/>
      <c r="E3716" s="31" t="n">
        <v>32.6</v>
      </c>
      <c r="F3716" s="31" t="n">
        <v>93.4</v>
      </c>
      <c r="G3716" s="2"/>
      <c r="H3716" s="2" t="s">
        <v>671</v>
      </c>
    </row>
    <row r="3717" customFormat="false" ht="15" hidden="false" customHeight="false" outlineLevel="0" collapsed="false">
      <c r="A3717" s="2" t="s">
        <v>2936</v>
      </c>
      <c r="B3717" s="2" t="s">
        <v>4104</v>
      </c>
      <c r="C3717" s="2" t="s">
        <v>4086</v>
      </c>
      <c r="D3717" s="2"/>
      <c r="E3717" s="2"/>
      <c r="F3717" s="2"/>
      <c r="G3717" s="2"/>
      <c r="H3717" s="2" t="s">
        <v>668</v>
      </c>
    </row>
    <row r="3718" customFormat="false" ht="15" hidden="false" customHeight="false" outlineLevel="0" collapsed="false">
      <c r="A3718" s="2" t="s">
        <v>2936</v>
      </c>
      <c r="B3718" s="2" t="s">
        <v>4104</v>
      </c>
      <c r="C3718" s="2" t="s">
        <v>4087</v>
      </c>
      <c r="D3718" s="2"/>
      <c r="E3718" s="2"/>
      <c r="F3718" s="2"/>
      <c r="G3718" s="2"/>
      <c r="H3718" s="2" t="s">
        <v>668</v>
      </c>
    </row>
    <row r="3719" customFormat="false" ht="15" hidden="false" customHeight="false" outlineLevel="0" collapsed="false">
      <c r="A3719" s="2" t="s">
        <v>2936</v>
      </c>
      <c r="B3719" s="2" t="s">
        <v>45</v>
      </c>
      <c r="C3719" s="2" t="s">
        <v>4085</v>
      </c>
      <c r="D3719" s="11" t="n">
        <v>19050</v>
      </c>
      <c r="E3719" s="31" t="n">
        <v>32.6</v>
      </c>
      <c r="F3719" s="31" t="n">
        <v>93.4</v>
      </c>
      <c r="G3719" s="2"/>
      <c r="H3719" s="2" t="s">
        <v>671</v>
      </c>
    </row>
    <row r="3720" customFormat="false" ht="15" hidden="false" customHeight="false" outlineLevel="0" collapsed="false">
      <c r="A3720" s="2" t="s">
        <v>2936</v>
      </c>
      <c r="B3720" s="2" t="s">
        <v>45</v>
      </c>
      <c r="C3720" s="2" t="s">
        <v>4086</v>
      </c>
      <c r="D3720" s="11" t="n">
        <v>19730</v>
      </c>
      <c r="E3720" s="2"/>
      <c r="F3720" s="2"/>
      <c r="G3720" s="2"/>
      <c r="H3720" s="2" t="s">
        <v>668</v>
      </c>
    </row>
    <row r="3721" customFormat="false" ht="15" hidden="false" customHeight="false" outlineLevel="0" collapsed="false">
      <c r="A3721" s="2" t="s">
        <v>2936</v>
      </c>
      <c r="B3721" s="2" t="s">
        <v>45</v>
      </c>
      <c r="C3721" s="2" t="s">
        <v>4087</v>
      </c>
      <c r="D3721" s="2"/>
      <c r="E3721" s="2"/>
      <c r="F3721" s="2"/>
      <c r="G3721" s="2"/>
      <c r="H3721" s="2" t="s">
        <v>668</v>
      </c>
    </row>
    <row r="3722" customFormat="false" ht="15" hidden="false" customHeight="false" outlineLevel="0" collapsed="false">
      <c r="A3722" s="2" t="s">
        <v>1739</v>
      </c>
      <c r="B3722" s="2" t="s">
        <v>4104</v>
      </c>
      <c r="C3722" s="2" t="s">
        <v>4085</v>
      </c>
      <c r="D3722" s="2"/>
      <c r="E3722" s="31" t="n">
        <v>25.8</v>
      </c>
      <c r="F3722" s="31" t="n">
        <v>19.9</v>
      </c>
      <c r="G3722" s="31" t="n">
        <v>66.7</v>
      </c>
      <c r="H3722" s="2" t="s">
        <v>668</v>
      </c>
    </row>
    <row r="3723" customFormat="false" ht="15" hidden="false" customHeight="false" outlineLevel="0" collapsed="false">
      <c r="A3723" s="2" t="s">
        <v>1739</v>
      </c>
      <c r="B3723" s="2" t="s">
        <v>4104</v>
      </c>
      <c r="C3723" s="2" t="s">
        <v>4086</v>
      </c>
      <c r="D3723" s="2"/>
      <c r="E3723" s="31" t="n">
        <v>39.3</v>
      </c>
      <c r="F3723" s="31" t="n">
        <v>42.7</v>
      </c>
      <c r="G3723" s="31" t="n">
        <v>78.3</v>
      </c>
      <c r="H3723" s="2" t="s">
        <v>668</v>
      </c>
    </row>
    <row r="3724" customFormat="false" ht="15" hidden="false" customHeight="false" outlineLevel="0" collapsed="false">
      <c r="A3724" s="2" t="s">
        <v>1739</v>
      </c>
      <c r="B3724" s="2" t="s">
        <v>4104</v>
      </c>
      <c r="C3724" s="2" t="s">
        <v>4087</v>
      </c>
      <c r="D3724" s="2"/>
      <c r="E3724" s="31" t="n">
        <v>41.8</v>
      </c>
      <c r="F3724" s="31" t="n">
        <v>37.3</v>
      </c>
      <c r="G3724" s="31" t="n">
        <v>66.4</v>
      </c>
      <c r="H3724" s="2" t="s">
        <v>668</v>
      </c>
    </row>
    <row r="3725" customFormat="false" ht="15" hidden="false" customHeight="false" outlineLevel="0" collapsed="false">
      <c r="A3725" s="2" t="s">
        <v>1739</v>
      </c>
      <c r="B3725" s="2" t="s">
        <v>45</v>
      </c>
      <c r="C3725" s="2" t="s">
        <v>4085</v>
      </c>
      <c r="D3725" s="2"/>
      <c r="E3725" s="2"/>
      <c r="F3725" s="2"/>
      <c r="G3725" s="31" t="n">
        <v>91</v>
      </c>
      <c r="H3725" s="2" t="s">
        <v>668</v>
      </c>
    </row>
    <row r="3726" customFormat="false" ht="15" hidden="false" customHeight="false" outlineLevel="0" collapsed="false">
      <c r="A3726" s="2" t="s">
        <v>1739</v>
      </c>
      <c r="B3726" s="2" t="s">
        <v>45</v>
      </c>
      <c r="C3726" s="2" t="s">
        <v>4086</v>
      </c>
      <c r="D3726" s="11" t="n">
        <v>28640</v>
      </c>
      <c r="E3726" s="31" t="n">
        <v>76.4</v>
      </c>
      <c r="F3726" s="31" t="n">
        <v>64.3</v>
      </c>
      <c r="G3726" s="31" t="n">
        <v>95.3</v>
      </c>
      <c r="H3726" s="2" t="s">
        <v>671</v>
      </c>
    </row>
    <row r="3727" customFormat="false" ht="15" hidden="false" customHeight="false" outlineLevel="0" collapsed="false">
      <c r="A3727" s="2" t="s">
        <v>1739</v>
      </c>
      <c r="B3727" s="2" t="s">
        <v>45</v>
      </c>
      <c r="C3727" s="2" t="s">
        <v>4087</v>
      </c>
      <c r="D3727" s="2"/>
      <c r="E3727" s="2"/>
      <c r="F3727" s="2"/>
      <c r="G3727" s="2"/>
      <c r="H3727" s="2" t="s">
        <v>668</v>
      </c>
    </row>
    <row r="3728" customFormat="false" ht="15" hidden="false" customHeight="false" outlineLevel="0" collapsed="false">
      <c r="A3728" s="2" t="s">
        <v>1739</v>
      </c>
      <c r="B3728" s="2" t="s">
        <v>46</v>
      </c>
      <c r="C3728" s="2" t="s">
        <v>4085</v>
      </c>
      <c r="D3728" s="11" t="n">
        <v>88150</v>
      </c>
      <c r="E3728" s="31" t="n">
        <v>16.6</v>
      </c>
      <c r="F3728" s="31" t="n">
        <v>12</v>
      </c>
      <c r="G3728" s="31" t="n">
        <v>57.5</v>
      </c>
      <c r="H3728" s="2" t="s">
        <v>671</v>
      </c>
    </row>
    <row r="3729" customFormat="false" ht="15" hidden="false" customHeight="false" outlineLevel="0" collapsed="false">
      <c r="A3729" s="2" t="s">
        <v>1739</v>
      </c>
      <c r="B3729" s="2" t="s">
        <v>46</v>
      </c>
      <c r="C3729" s="2" t="s">
        <v>4086</v>
      </c>
      <c r="D3729" s="11" t="n">
        <v>88480</v>
      </c>
      <c r="E3729" s="31" t="n">
        <v>20</v>
      </c>
      <c r="F3729" s="31" t="n">
        <v>18.2</v>
      </c>
      <c r="G3729" s="2"/>
      <c r="H3729" s="2" t="s">
        <v>668</v>
      </c>
    </row>
    <row r="3730" customFormat="false" ht="15" hidden="false" customHeight="false" outlineLevel="0" collapsed="false">
      <c r="A3730" s="2" t="s">
        <v>1739</v>
      </c>
      <c r="B3730" s="2" t="s">
        <v>46</v>
      </c>
      <c r="C3730" s="2" t="s">
        <v>4087</v>
      </c>
      <c r="D3730" s="11" t="n">
        <v>86561</v>
      </c>
      <c r="E3730" s="31" t="n">
        <v>40</v>
      </c>
      <c r="F3730" s="31" t="n">
        <v>35.3</v>
      </c>
      <c r="G3730" s="31" t="n">
        <v>68.7</v>
      </c>
      <c r="H3730" s="2" t="s">
        <v>671</v>
      </c>
    </row>
    <row r="3731" customFormat="false" ht="15" hidden="false" customHeight="false" outlineLevel="0" collapsed="false">
      <c r="A3731" s="2" t="s">
        <v>1739</v>
      </c>
      <c r="B3731" s="2" t="s">
        <v>47</v>
      </c>
      <c r="C3731" s="2" t="s">
        <v>4085</v>
      </c>
      <c r="D3731" s="11" t="n">
        <v>13351</v>
      </c>
      <c r="E3731" s="31" t="n">
        <v>35.1</v>
      </c>
      <c r="F3731" s="31" t="n">
        <v>27.8</v>
      </c>
      <c r="G3731" s="31" t="n">
        <v>51.7</v>
      </c>
      <c r="H3731" s="2" t="s">
        <v>671</v>
      </c>
    </row>
    <row r="3732" customFormat="false" ht="15" hidden="false" customHeight="false" outlineLevel="0" collapsed="false">
      <c r="A3732" s="2" t="s">
        <v>1739</v>
      </c>
      <c r="B3732" s="2" t="s">
        <v>47</v>
      </c>
      <c r="C3732" s="2" t="s">
        <v>4086</v>
      </c>
      <c r="D3732" s="11" t="n">
        <v>13706</v>
      </c>
      <c r="E3732" s="31" t="n">
        <v>21.5</v>
      </c>
      <c r="F3732" s="31" t="n">
        <v>45.5</v>
      </c>
      <c r="G3732" s="31" t="n">
        <v>61.3</v>
      </c>
      <c r="H3732" s="2" t="s">
        <v>671</v>
      </c>
    </row>
    <row r="3733" customFormat="false" ht="15" hidden="false" customHeight="false" outlineLevel="0" collapsed="false">
      <c r="A3733" s="2" t="s">
        <v>1739</v>
      </c>
      <c r="B3733" s="2" t="s">
        <v>47</v>
      </c>
      <c r="C3733" s="2" t="s">
        <v>4087</v>
      </c>
      <c r="D3733" s="11" t="n">
        <v>14133</v>
      </c>
      <c r="E3733" s="31" t="n">
        <v>43.5</v>
      </c>
      <c r="F3733" s="31" t="n">
        <v>39.4</v>
      </c>
      <c r="G3733" s="31" t="n">
        <v>64.2</v>
      </c>
      <c r="H3733" s="2" t="s">
        <v>671</v>
      </c>
    </row>
    <row r="3734" customFormat="false" ht="15" hidden="false" customHeight="false" outlineLevel="0" collapsed="false">
      <c r="A3734" s="2" t="s">
        <v>2098</v>
      </c>
      <c r="B3734" s="2" t="s">
        <v>4104</v>
      </c>
      <c r="C3734" s="2" t="s">
        <v>4085</v>
      </c>
      <c r="D3734" s="2"/>
      <c r="E3734" s="31" t="n">
        <v>86.2</v>
      </c>
      <c r="F3734" s="31" t="n">
        <v>82.2</v>
      </c>
      <c r="G3734" s="31" t="n">
        <v>49.8</v>
      </c>
      <c r="H3734" s="2" t="s">
        <v>668</v>
      </c>
    </row>
    <row r="3735" customFormat="false" ht="15" hidden="false" customHeight="false" outlineLevel="0" collapsed="false">
      <c r="A3735" s="2" t="s">
        <v>2098</v>
      </c>
      <c r="B3735" s="2" t="s">
        <v>4104</v>
      </c>
      <c r="C3735" s="2" t="s">
        <v>4086</v>
      </c>
      <c r="D3735" s="2"/>
      <c r="E3735" s="31" t="n">
        <v>80.7</v>
      </c>
      <c r="F3735" s="31" t="n">
        <v>76</v>
      </c>
      <c r="G3735" s="31" t="n">
        <v>38.2</v>
      </c>
      <c r="H3735" s="2" t="s">
        <v>668</v>
      </c>
    </row>
    <row r="3736" customFormat="false" ht="15" hidden="false" customHeight="false" outlineLevel="0" collapsed="false">
      <c r="A3736" s="2" t="s">
        <v>2098</v>
      </c>
      <c r="B3736" s="2" t="s">
        <v>4104</v>
      </c>
      <c r="C3736" s="2" t="s">
        <v>4087</v>
      </c>
      <c r="D3736" s="2"/>
      <c r="E3736" s="31" t="n">
        <v>74.6</v>
      </c>
      <c r="F3736" s="31" t="n">
        <v>62.1</v>
      </c>
      <c r="G3736" s="31" t="n">
        <v>56.4</v>
      </c>
      <c r="H3736" s="2" t="s">
        <v>668</v>
      </c>
    </row>
    <row r="3737" customFormat="false" ht="15" hidden="false" customHeight="false" outlineLevel="0" collapsed="false">
      <c r="A3737" s="2" t="s">
        <v>2098</v>
      </c>
      <c r="B3737" s="2" t="s">
        <v>45</v>
      </c>
      <c r="C3737" s="2" t="s">
        <v>4085</v>
      </c>
      <c r="D3737" s="11" t="n">
        <v>21130</v>
      </c>
      <c r="E3737" s="31" t="n">
        <v>83.2</v>
      </c>
      <c r="F3737" s="31" t="n">
        <v>66.4</v>
      </c>
      <c r="G3737" s="31" t="n">
        <v>21.2</v>
      </c>
      <c r="H3737" s="2" t="s">
        <v>668</v>
      </c>
    </row>
    <row r="3738" customFormat="false" ht="15" hidden="false" customHeight="false" outlineLevel="0" collapsed="false">
      <c r="A3738" s="2" t="s">
        <v>2098</v>
      </c>
      <c r="B3738" s="2" t="s">
        <v>45</v>
      </c>
      <c r="C3738" s="2" t="s">
        <v>4086</v>
      </c>
      <c r="D3738" s="11" t="n">
        <v>21860</v>
      </c>
      <c r="E3738" s="31" t="n">
        <v>94.5</v>
      </c>
      <c r="F3738" s="31" t="n">
        <v>64.9</v>
      </c>
      <c r="G3738" s="31" t="n">
        <v>9.8</v>
      </c>
      <c r="H3738" s="2" t="s">
        <v>671</v>
      </c>
    </row>
    <row r="3739" customFormat="false" ht="15" hidden="false" customHeight="false" outlineLevel="0" collapsed="false">
      <c r="A3739" s="2" t="s">
        <v>2098</v>
      </c>
      <c r="B3739" s="2" t="s">
        <v>45</v>
      </c>
      <c r="C3739" s="2" t="s">
        <v>4087</v>
      </c>
      <c r="D3739" s="11" t="n">
        <v>23647</v>
      </c>
      <c r="E3739" s="31" t="n">
        <v>86.1</v>
      </c>
      <c r="F3739" s="31" t="n">
        <v>25.4</v>
      </c>
      <c r="G3739" s="2"/>
      <c r="H3739" s="2" t="s">
        <v>668</v>
      </c>
    </row>
    <row r="3740" customFormat="false" ht="15" hidden="false" customHeight="false" outlineLevel="0" collapsed="false">
      <c r="A3740" s="2" t="s">
        <v>2098</v>
      </c>
      <c r="B3740" s="2" t="s">
        <v>46</v>
      </c>
      <c r="C3740" s="2" t="s">
        <v>4085</v>
      </c>
      <c r="D3740" s="11" t="n">
        <v>11380</v>
      </c>
      <c r="E3740" s="31" t="n">
        <v>82</v>
      </c>
      <c r="F3740" s="31" t="n">
        <v>86.9</v>
      </c>
      <c r="G3740" s="31" t="n">
        <v>75.3</v>
      </c>
      <c r="H3740" s="2" t="s">
        <v>671</v>
      </c>
    </row>
    <row r="3741" customFormat="false" ht="15" hidden="false" customHeight="false" outlineLevel="0" collapsed="false">
      <c r="A3741" s="2" t="s">
        <v>2098</v>
      </c>
      <c r="B3741" s="2" t="s">
        <v>46</v>
      </c>
      <c r="C3741" s="2" t="s">
        <v>4086</v>
      </c>
      <c r="D3741" s="11" t="n">
        <v>12145</v>
      </c>
      <c r="E3741" s="31" t="n">
        <v>66.4</v>
      </c>
      <c r="F3741" s="31" t="n">
        <v>90.5</v>
      </c>
      <c r="G3741" s="2"/>
      <c r="H3741" s="2" t="s">
        <v>668</v>
      </c>
    </row>
    <row r="3742" customFormat="false" ht="15" hidden="false" customHeight="false" outlineLevel="0" collapsed="false">
      <c r="A3742" s="2" t="s">
        <v>2098</v>
      </c>
      <c r="B3742" s="2" t="s">
        <v>46</v>
      </c>
      <c r="C3742" s="2" t="s">
        <v>4087</v>
      </c>
      <c r="D3742" s="11" t="n">
        <v>12880</v>
      </c>
      <c r="E3742" s="31" t="n">
        <v>57.5</v>
      </c>
      <c r="F3742" s="31" t="n">
        <v>86.3</v>
      </c>
      <c r="G3742" s="2"/>
      <c r="H3742" s="2" t="s">
        <v>668</v>
      </c>
    </row>
    <row r="3743" customFormat="false" ht="15" hidden="false" customHeight="false" outlineLevel="0" collapsed="false">
      <c r="A3743" s="2" t="s">
        <v>2098</v>
      </c>
      <c r="B3743" s="2" t="s">
        <v>47</v>
      </c>
      <c r="C3743" s="2" t="s">
        <v>4085</v>
      </c>
      <c r="D3743" s="11" t="n">
        <v>2279</v>
      </c>
      <c r="E3743" s="31" t="n">
        <v>93.3</v>
      </c>
      <c r="F3743" s="31" t="n">
        <v>93.3</v>
      </c>
      <c r="G3743" s="31" t="n">
        <v>52.9</v>
      </c>
      <c r="H3743" s="2" t="s">
        <v>671</v>
      </c>
    </row>
    <row r="3744" customFormat="false" ht="15" hidden="false" customHeight="false" outlineLevel="0" collapsed="false">
      <c r="A3744" s="2" t="s">
        <v>2098</v>
      </c>
      <c r="B3744" s="2" t="s">
        <v>47</v>
      </c>
      <c r="C3744" s="2" t="s">
        <v>4086</v>
      </c>
      <c r="D3744" s="11" t="n">
        <v>2400</v>
      </c>
      <c r="E3744" s="31" t="n">
        <v>81.3</v>
      </c>
      <c r="F3744" s="31" t="n">
        <v>72.5</v>
      </c>
      <c r="G3744" s="31" t="n">
        <v>66.5</v>
      </c>
      <c r="H3744" s="2" t="s">
        <v>671</v>
      </c>
    </row>
    <row r="3745" customFormat="false" ht="15" hidden="false" customHeight="false" outlineLevel="0" collapsed="false">
      <c r="A3745" s="2" t="s">
        <v>2098</v>
      </c>
      <c r="B3745" s="2" t="s">
        <v>47</v>
      </c>
      <c r="C3745" s="2" t="s">
        <v>4087</v>
      </c>
      <c r="D3745" s="11" t="n">
        <v>2527</v>
      </c>
      <c r="E3745" s="31" t="n">
        <v>80.2</v>
      </c>
      <c r="F3745" s="31" t="n">
        <v>74.7</v>
      </c>
      <c r="G3745" s="31" t="n">
        <v>56.4</v>
      </c>
      <c r="H3745" s="2" t="s">
        <v>671</v>
      </c>
    </row>
    <row r="3746" customFormat="false" ht="15" hidden="false" customHeight="false" outlineLevel="0" collapsed="false">
      <c r="A3746" s="2" t="s">
        <v>876</v>
      </c>
      <c r="B3746" s="2" t="s">
        <v>4104</v>
      </c>
      <c r="C3746" s="2" t="s">
        <v>4085</v>
      </c>
      <c r="D3746" s="2"/>
      <c r="E3746" s="31" t="n">
        <v>54</v>
      </c>
      <c r="F3746" s="31" t="n">
        <v>69.9</v>
      </c>
      <c r="G3746" s="31" t="n">
        <v>62.4</v>
      </c>
      <c r="H3746" s="2" t="s">
        <v>671</v>
      </c>
    </row>
    <row r="3747" customFormat="false" ht="15" hidden="false" customHeight="false" outlineLevel="0" collapsed="false">
      <c r="A3747" s="2" t="s">
        <v>876</v>
      </c>
      <c r="B3747" s="2" t="s">
        <v>4104</v>
      </c>
      <c r="C3747" s="2" t="s">
        <v>4086</v>
      </c>
      <c r="D3747" s="2"/>
      <c r="E3747" s="31" t="n">
        <v>47.4</v>
      </c>
      <c r="F3747" s="31" t="n">
        <v>75.8</v>
      </c>
      <c r="G3747" s="31" t="n">
        <v>59.6</v>
      </c>
      <c r="H3747" s="2" t="s">
        <v>668</v>
      </c>
    </row>
    <row r="3748" customFormat="false" ht="15" hidden="false" customHeight="false" outlineLevel="0" collapsed="false">
      <c r="A3748" s="2" t="s">
        <v>876</v>
      </c>
      <c r="B3748" s="2" t="s">
        <v>4104</v>
      </c>
      <c r="C3748" s="2" t="s">
        <v>4087</v>
      </c>
      <c r="D3748" s="2"/>
      <c r="E3748" s="31" t="n">
        <v>69.8</v>
      </c>
      <c r="F3748" s="31" t="n">
        <v>87.7</v>
      </c>
      <c r="G3748" s="31" t="n">
        <v>84.5</v>
      </c>
      <c r="H3748" s="2" t="s">
        <v>668</v>
      </c>
    </row>
    <row r="3749" customFormat="false" ht="15" hidden="false" customHeight="false" outlineLevel="0" collapsed="false">
      <c r="A3749" s="2" t="s">
        <v>876</v>
      </c>
      <c r="B3749" s="2" t="s">
        <v>45</v>
      </c>
      <c r="C3749" s="2" t="s">
        <v>4085</v>
      </c>
      <c r="D3749" s="11" t="n">
        <v>35230</v>
      </c>
      <c r="E3749" s="31" t="n">
        <v>68.9</v>
      </c>
      <c r="F3749" s="31" t="n">
        <v>68.2</v>
      </c>
      <c r="G3749" s="31" t="n">
        <v>84.4</v>
      </c>
      <c r="H3749" s="2" t="s">
        <v>671</v>
      </c>
    </row>
    <row r="3750" customFormat="false" ht="15" hidden="false" customHeight="false" outlineLevel="0" collapsed="false">
      <c r="A3750" s="2" t="s">
        <v>876</v>
      </c>
      <c r="B3750" s="2" t="s">
        <v>45</v>
      </c>
      <c r="C3750" s="2" t="s">
        <v>4086</v>
      </c>
      <c r="D3750" s="11" t="n">
        <v>37780</v>
      </c>
      <c r="E3750" s="31" t="n">
        <v>87.7</v>
      </c>
      <c r="F3750" s="31" t="n">
        <v>48.1</v>
      </c>
      <c r="G3750" s="2"/>
      <c r="H3750" s="2" t="s">
        <v>668</v>
      </c>
    </row>
    <row r="3751" customFormat="false" ht="15" hidden="false" customHeight="false" outlineLevel="0" collapsed="false">
      <c r="A3751" s="2" t="s">
        <v>876</v>
      </c>
      <c r="B3751" s="2" t="s">
        <v>45</v>
      </c>
      <c r="C3751" s="2" t="s">
        <v>4087</v>
      </c>
      <c r="D3751" s="11" t="n">
        <v>38700</v>
      </c>
      <c r="E3751" s="31" t="n">
        <v>72.6</v>
      </c>
      <c r="F3751" s="31" t="n">
        <v>82.5</v>
      </c>
      <c r="G3751" s="31" t="n">
        <v>93.1</v>
      </c>
      <c r="H3751" s="2" t="s">
        <v>671</v>
      </c>
    </row>
    <row r="3752" customFormat="false" ht="15" hidden="false" customHeight="false" outlineLevel="0" collapsed="false">
      <c r="A3752" s="2" t="s">
        <v>876</v>
      </c>
      <c r="B3752" s="2" t="s">
        <v>46</v>
      </c>
      <c r="C3752" s="2" t="s">
        <v>4085</v>
      </c>
      <c r="D3752" s="11" t="n">
        <v>50241</v>
      </c>
      <c r="E3752" s="31" t="n">
        <v>84</v>
      </c>
      <c r="F3752" s="31" t="n">
        <v>70</v>
      </c>
      <c r="G3752" s="31" t="n">
        <v>34.5</v>
      </c>
      <c r="H3752" s="2" t="s">
        <v>671</v>
      </c>
    </row>
    <row r="3753" customFormat="false" ht="15" hidden="false" customHeight="false" outlineLevel="0" collapsed="false">
      <c r="A3753" s="2" t="s">
        <v>876</v>
      </c>
      <c r="B3753" s="2" t="s">
        <v>46</v>
      </c>
      <c r="C3753" s="2" t="s">
        <v>4086</v>
      </c>
      <c r="D3753" s="11" t="n">
        <v>52950</v>
      </c>
      <c r="E3753" s="2"/>
      <c r="F3753" s="31" t="n">
        <v>86.9</v>
      </c>
      <c r="G3753" s="31" t="n">
        <v>78.8</v>
      </c>
      <c r="H3753" s="2" t="s">
        <v>668</v>
      </c>
    </row>
    <row r="3754" customFormat="false" ht="15" hidden="false" customHeight="false" outlineLevel="0" collapsed="false">
      <c r="A3754" s="2" t="s">
        <v>876</v>
      </c>
      <c r="B3754" s="2" t="s">
        <v>46</v>
      </c>
      <c r="C3754" s="2" t="s">
        <v>4087</v>
      </c>
      <c r="D3754" s="11" t="n">
        <v>55920</v>
      </c>
      <c r="E3754" s="31" t="n">
        <v>67</v>
      </c>
      <c r="F3754" s="31" t="n">
        <v>92.9</v>
      </c>
      <c r="G3754" s="31" t="n">
        <v>75.9</v>
      </c>
      <c r="H3754" s="2" t="s">
        <v>671</v>
      </c>
    </row>
    <row r="3755" customFormat="false" ht="15" hidden="false" customHeight="false" outlineLevel="0" collapsed="false">
      <c r="A3755" s="2" t="s">
        <v>876</v>
      </c>
      <c r="B3755" s="2" t="s">
        <v>47</v>
      </c>
      <c r="C3755" s="2" t="s">
        <v>4085</v>
      </c>
      <c r="D3755" s="11" t="n">
        <v>165190</v>
      </c>
      <c r="E3755" s="31" t="n">
        <v>9.2</v>
      </c>
      <c r="F3755" s="31" t="n">
        <v>71.6</v>
      </c>
      <c r="G3755" s="31" t="n">
        <v>68.3</v>
      </c>
      <c r="H3755" s="2" t="s">
        <v>671</v>
      </c>
    </row>
    <row r="3756" customFormat="false" ht="15" hidden="false" customHeight="false" outlineLevel="0" collapsed="false">
      <c r="A3756" s="2" t="s">
        <v>876</v>
      </c>
      <c r="B3756" s="2" t="s">
        <v>47</v>
      </c>
      <c r="C3756" s="2" t="s">
        <v>4086</v>
      </c>
      <c r="D3756" s="11" t="n">
        <v>170304</v>
      </c>
      <c r="E3756" s="31" t="n">
        <v>7.1</v>
      </c>
      <c r="F3756" s="31" t="n">
        <v>92.5</v>
      </c>
      <c r="G3756" s="31" t="n">
        <v>40.3</v>
      </c>
      <c r="H3756" s="2" t="s">
        <v>671</v>
      </c>
    </row>
    <row r="3757" customFormat="false" ht="15" hidden="false" customHeight="false" outlineLevel="0" collapsed="false">
      <c r="A3757" s="2" t="s">
        <v>876</v>
      </c>
      <c r="B3757" s="2" t="s">
        <v>47</v>
      </c>
      <c r="C3757" s="2" t="s">
        <v>4087</v>
      </c>
      <c r="D3757" s="2"/>
      <c r="E3757" s="2"/>
      <c r="F3757" s="2"/>
      <c r="G3757" s="2"/>
      <c r="H3757" s="2" t="s">
        <v>668</v>
      </c>
    </row>
    <row r="3758" customFormat="false" ht="15" hidden="false" customHeight="false" outlineLevel="0" collapsed="false">
      <c r="A3758" s="2" t="s">
        <v>622</v>
      </c>
      <c r="B3758" s="2" t="s">
        <v>4104</v>
      </c>
      <c r="C3758" s="2" t="s">
        <v>4085</v>
      </c>
      <c r="D3758" s="2"/>
      <c r="E3758" s="31" t="n">
        <v>7.7</v>
      </c>
      <c r="F3758" s="31" t="n">
        <v>42</v>
      </c>
      <c r="G3758" s="31" t="n">
        <v>31.5</v>
      </c>
      <c r="H3758" s="2" t="s">
        <v>671</v>
      </c>
    </row>
    <row r="3759" customFormat="false" ht="15" hidden="false" customHeight="false" outlineLevel="0" collapsed="false">
      <c r="A3759" s="2" t="s">
        <v>622</v>
      </c>
      <c r="B3759" s="2" t="s">
        <v>4104</v>
      </c>
      <c r="C3759" s="2" t="s">
        <v>4086</v>
      </c>
      <c r="D3759" s="2"/>
      <c r="E3759" s="31" t="n">
        <v>14</v>
      </c>
      <c r="F3759" s="31" t="n">
        <v>37.1</v>
      </c>
      <c r="G3759" s="31" t="n">
        <v>35.8</v>
      </c>
      <c r="H3759" s="2" t="s">
        <v>671</v>
      </c>
    </row>
    <row r="3760" customFormat="false" ht="15" hidden="false" customHeight="false" outlineLevel="0" collapsed="false">
      <c r="A3760" s="2" t="s">
        <v>622</v>
      </c>
      <c r="B3760" s="2" t="s">
        <v>4104</v>
      </c>
      <c r="C3760" s="2" t="s">
        <v>4087</v>
      </c>
      <c r="D3760" s="2"/>
      <c r="E3760" s="31" t="n">
        <v>13.4</v>
      </c>
      <c r="F3760" s="31" t="n">
        <v>43.9</v>
      </c>
      <c r="G3760" s="31" t="n">
        <v>51.7</v>
      </c>
      <c r="H3760" s="2" t="s">
        <v>671</v>
      </c>
    </row>
    <row r="3761" customFormat="false" ht="15" hidden="false" customHeight="false" outlineLevel="0" collapsed="false">
      <c r="A3761" s="2" t="s">
        <v>622</v>
      </c>
      <c r="B3761" s="2" t="s">
        <v>45</v>
      </c>
      <c r="C3761" s="2" t="s">
        <v>4085</v>
      </c>
      <c r="D3761" s="11" t="n">
        <v>37500</v>
      </c>
      <c r="E3761" s="31" t="n">
        <v>5.6</v>
      </c>
      <c r="F3761" s="31" t="n">
        <v>74.1</v>
      </c>
      <c r="G3761" s="31" t="n">
        <v>52.7</v>
      </c>
      <c r="H3761" s="2" t="s">
        <v>671</v>
      </c>
    </row>
    <row r="3762" customFormat="false" ht="15" hidden="false" customHeight="false" outlineLevel="0" collapsed="false">
      <c r="A3762" s="2" t="s">
        <v>622</v>
      </c>
      <c r="B3762" s="2" t="s">
        <v>45</v>
      </c>
      <c r="C3762" s="2" t="s">
        <v>4086</v>
      </c>
      <c r="D3762" s="11" t="n">
        <v>40060</v>
      </c>
      <c r="E3762" s="31" t="n">
        <v>28.9</v>
      </c>
      <c r="F3762" s="31" t="n">
        <v>62.2</v>
      </c>
      <c r="G3762" s="31" t="n">
        <v>90.4</v>
      </c>
      <c r="H3762" s="2" t="s">
        <v>671</v>
      </c>
    </row>
    <row r="3763" customFormat="false" ht="15" hidden="false" customHeight="false" outlineLevel="0" collapsed="false">
      <c r="A3763" s="2" t="s">
        <v>622</v>
      </c>
      <c r="B3763" s="2" t="s">
        <v>45</v>
      </c>
      <c r="C3763" s="2" t="s">
        <v>4087</v>
      </c>
      <c r="D3763" s="11" t="n">
        <v>41620</v>
      </c>
      <c r="E3763" s="31" t="n">
        <v>7.9</v>
      </c>
      <c r="F3763" s="31" t="n">
        <v>70.2</v>
      </c>
      <c r="G3763" s="31" t="n">
        <v>76.5</v>
      </c>
      <c r="H3763" s="2" t="s">
        <v>671</v>
      </c>
    </row>
    <row r="3764" customFormat="false" ht="15" hidden="false" customHeight="false" outlineLevel="0" collapsed="false">
      <c r="A3764" s="2" t="s">
        <v>622</v>
      </c>
      <c r="B3764" s="2" t="s">
        <v>46</v>
      </c>
      <c r="C3764" s="2" t="s">
        <v>4085</v>
      </c>
      <c r="D3764" s="11" t="n">
        <v>156440</v>
      </c>
      <c r="E3764" s="31" t="n">
        <v>15.7</v>
      </c>
      <c r="F3764" s="31" t="n">
        <v>36.5</v>
      </c>
      <c r="G3764" s="31" t="n">
        <v>30.8</v>
      </c>
      <c r="H3764" s="2" t="s">
        <v>671</v>
      </c>
    </row>
    <row r="3765" customFormat="false" ht="15" hidden="false" customHeight="false" outlineLevel="0" collapsed="false">
      <c r="A3765" s="2" t="s">
        <v>622</v>
      </c>
      <c r="B3765" s="2" t="s">
        <v>46</v>
      </c>
      <c r="C3765" s="2" t="s">
        <v>4086</v>
      </c>
      <c r="D3765" s="11" t="n">
        <v>159950</v>
      </c>
      <c r="E3765" s="31" t="n">
        <v>9.6</v>
      </c>
      <c r="F3765" s="31" t="n">
        <v>28.7</v>
      </c>
      <c r="G3765" s="31" t="n">
        <v>5.3</v>
      </c>
      <c r="H3765" s="2" t="s">
        <v>671</v>
      </c>
    </row>
    <row r="3766" customFormat="false" ht="15" hidden="false" customHeight="false" outlineLevel="0" collapsed="false">
      <c r="A3766" s="2" t="s">
        <v>622</v>
      </c>
      <c r="B3766" s="2" t="s">
        <v>46</v>
      </c>
      <c r="C3766" s="2" t="s">
        <v>4087</v>
      </c>
      <c r="D3766" s="11" t="n">
        <v>152533</v>
      </c>
      <c r="E3766" s="31" t="n">
        <v>20.5</v>
      </c>
      <c r="F3766" s="31" t="n">
        <v>54.3</v>
      </c>
      <c r="G3766" s="31" t="n">
        <v>32.6</v>
      </c>
      <c r="H3766" s="2" t="s">
        <v>671</v>
      </c>
    </row>
    <row r="3767" customFormat="false" ht="15" hidden="false" customHeight="false" outlineLevel="0" collapsed="false">
      <c r="A3767" s="2" t="s">
        <v>622</v>
      </c>
      <c r="B3767" s="2" t="s">
        <v>47</v>
      </c>
      <c r="C3767" s="2" t="s">
        <v>4085</v>
      </c>
      <c r="D3767" s="11" t="n">
        <v>213218</v>
      </c>
      <c r="E3767" s="31" t="n">
        <v>1.9</v>
      </c>
      <c r="F3767" s="31" t="n">
        <v>15.4</v>
      </c>
      <c r="G3767" s="31" t="n">
        <v>11.1</v>
      </c>
      <c r="H3767" s="2" t="s">
        <v>671</v>
      </c>
    </row>
    <row r="3768" customFormat="false" ht="15" hidden="false" customHeight="false" outlineLevel="0" collapsed="false">
      <c r="A3768" s="2" t="s">
        <v>622</v>
      </c>
      <c r="B3768" s="2" t="s">
        <v>47</v>
      </c>
      <c r="C3768" s="2" t="s">
        <v>4086</v>
      </c>
      <c r="D3768" s="11" t="n">
        <v>206926</v>
      </c>
      <c r="E3768" s="31" t="n">
        <v>3.5</v>
      </c>
      <c r="F3768" s="31" t="n">
        <v>20.5</v>
      </c>
      <c r="G3768" s="31" t="n">
        <v>11.6</v>
      </c>
      <c r="H3768" s="2" t="s">
        <v>671</v>
      </c>
    </row>
    <row r="3769" customFormat="false" ht="15" hidden="false" customHeight="false" outlineLevel="0" collapsed="false">
      <c r="A3769" s="2" t="s">
        <v>622</v>
      </c>
      <c r="B3769" s="2" t="s">
        <v>47</v>
      </c>
      <c r="C3769" s="2" t="s">
        <v>4087</v>
      </c>
      <c r="D3769" s="11" t="n">
        <v>209207</v>
      </c>
      <c r="E3769" s="31" t="n">
        <v>11.8</v>
      </c>
      <c r="F3769" s="31" t="n">
        <v>7.2</v>
      </c>
      <c r="G3769" s="31" t="n">
        <v>46.1</v>
      </c>
      <c r="H3769" s="2" t="s">
        <v>671</v>
      </c>
    </row>
    <row r="3770" customFormat="false" ht="15" hidden="false" customHeight="false" outlineLevel="0" collapsed="false">
      <c r="A3770" s="2" t="s">
        <v>2940</v>
      </c>
      <c r="B3770" s="2" t="s">
        <v>4104</v>
      </c>
      <c r="C3770" s="2" t="s">
        <v>4085</v>
      </c>
      <c r="D3770" s="2"/>
      <c r="E3770" s="31" t="n">
        <v>25.3</v>
      </c>
      <c r="F3770" s="31" t="n">
        <v>44.8</v>
      </c>
      <c r="G3770" s="31" t="n">
        <v>45</v>
      </c>
      <c r="H3770" s="2" t="s">
        <v>671</v>
      </c>
    </row>
    <row r="3771" customFormat="false" ht="15" hidden="false" customHeight="false" outlineLevel="0" collapsed="false">
      <c r="A3771" s="2" t="s">
        <v>2940</v>
      </c>
      <c r="B3771" s="2" t="s">
        <v>4104</v>
      </c>
      <c r="C3771" s="2" t="s">
        <v>4086</v>
      </c>
      <c r="D3771" s="2"/>
      <c r="E3771" s="31" t="n">
        <v>38.2</v>
      </c>
      <c r="F3771" s="31" t="n">
        <v>59.2</v>
      </c>
      <c r="G3771" s="31" t="n">
        <v>40.4</v>
      </c>
      <c r="H3771" s="2" t="s">
        <v>671</v>
      </c>
    </row>
    <row r="3772" customFormat="false" ht="15" hidden="false" customHeight="false" outlineLevel="0" collapsed="false">
      <c r="A3772" s="2" t="s">
        <v>2940</v>
      </c>
      <c r="B3772" s="2" t="s">
        <v>4104</v>
      </c>
      <c r="C3772" s="2" t="s">
        <v>4087</v>
      </c>
      <c r="D3772" s="2"/>
      <c r="E3772" s="31" t="n">
        <v>5.9</v>
      </c>
      <c r="F3772" s="31" t="n">
        <v>24.5</v>
      </c>
      <c r="G3772" s="2"/>
      <c r="H3772" s="2" t="s">
        <v>668</v>
      </c>
    </row>
    <row r="3773" customFormat="false" ht="15" hidden="false" customHeight="false" outlineLevel="0" collapsed="false">
      <c r="A3773" s="2" t="s">
        <v>2940</v>
      </c>
      <c r="B3773" s="2" t="s">
        <v>45</v>
      </c>
      <c r="C3773" s="2" t="s">
        <v>4085</v>
      </c>
      <c r="D3773" s="11" t="n">
        <v>8300</v>
      </c>
      <c r="E3773" s="31" t="n">
        <v>43</v>
      </c>
      <c r="F3773" s="31" t="n">
        <v>49.2</v>
      </c>
      <c r="G3773" s="31" t="n">
        <v>59.8</v>
      </c>
      <c r="H3773" s="2" t="s">
        <v>671</v>
      </c>
    </row>
    <row r="3774" customFormat="false" ht="15" hidden="false" customHeight="false" outlineLevel="0" collapsed="false">
      <c r="A3774" s="2" t="s">
        <v>2940</v>
      </c>
      <c r="B3774" s="2" t="s">
        <v>45</v>
      </c>
      <c r="C3774" s="2" t="s">
        <v>4086</v>
      </c>
      <c r="D3774" s="11" t="n">
        <v>8820</v>
      </c>
      <c r="E3774" s="31" t="n">
        <v>68.1</v>
      </c>
      <c r="F3774" s="31" t="n">
        <v>84.5</v>
      </c>
      <c r="G3774" s="31" t="n">
        <v>20.5</v>
      </c>
      <c r="H3774" s="2" t="s">
        <v>671</v>
      </c>
    </row>
    <row r="3775" customFormat="false" ht="15" hidden="false" customHeight="false" outlineLevel="0" collapsed="false">
      <c r="A3775" s="2" t="s">
        <v>2940</v>
      </c>
      <c r="B3775" s="2" t="s">
        <v>45</v>
      </c>
      <c r="C3775" s="2" t="s">
        <v>4087</v>
      </c>
      <c r="D3775" s="2"/>
      <c r="E3775" s="2"/>
      <c r="F3775" s="2"/>
      <c r="G3775" s="2"/>
      <c r="H3775" s="2" t="s">
        <v>668</v>
      </c>
    </row>
    <row r="3776" customFormat="false" ht="15" hidden="false" customHeight="false" outlineLevel="0" collapsed="false">
      <c r="A3776" s="2" t="s">
        <v>2940</v>
      </c>
      <c r="B3776" s="2" t="s">
        <v>46</v>
      </c>
      <c r="C3776" s="2" t="s">
        <v>4085</v>
      </c>
      <c r="D3776" s="11" t="n">
        <v>189697</v>
      </c>
      <c r="E3776" s="31" t="n">
        <v>7.6</v>
      </c>
      <c r="F3776" s="31" t="n">
        <v>40.4</v>
      </c>
      <c r="G3776" s="31" t="n">
        <v>30.1</v>
      </c>
      <c r="H3776" s="2" t="s">
        <v>671</v>
      </c>
    </row>
    <row r="3777" customFormat="false" ht="15" hidden="false" customHeight="false" outlineLevel="0" collapsed="false">
      <c r="A3777" s="2" t="s">
        <v>2940</v>
      </c>
      <c r="B3777" s="2" t="s">
        <v>46</v>
      </c>
      <c r="C3777" s="2" t="s">
        <v>4086</v>
      </c>
      <c r="D3777" s="11" t="n">
        <v>190140</v>
      </c>
      <c r="E3777" s="31" t="n">
        <v>8.3</v>
      </c>
      <c r="F3777" s="31" t="n">
        <v>33.8</v>
      </c>
      <c r="G3777" s="31" t="n">
        <v>60.3</v>
      </c>
      <c r="H3777" s="2" t="s">
        <v>671</v>
      </c>
    </row>
    <row r="3778" customFormat="false" ht="15" hidden="false" customHeight="false" outlineLevel="0" collapsed="false">
      <c r="A3778" s="2" t="s">
        <v>2940</v>
      </c>
      <c r="B3778" s="2" t="s">
        <v>46</v>
      </c>
      <c r="C3778" s="2" t="s">
        <v>4087</v>
      </c>
      <c r="D3778" s="11" t="n">
        <v>195966</v>
      </c>
      <c r="E3778" s="31" t="n">
        <v>5.9</v>
      </c>
      <c r="F3778" s="31" t="n">
        <v>24.5</v>
      </c>
      <c r="G3778" s="2"/>
      <c r="H3778" s="2" t="s">
        <v>668</v>
      </c>
    </row>
    <row r="3779" customFormat="false" ht="15" hidden="false" customHeight="false" outlineLevel="0" collapsed="false">
      <c r="A3779" s="2" t="s">
        <v>76</v>
      </c>
      <c r="B3779" s="2" t="s">
        <v>4104</v>
      </c>
      <c r="C3779" s="2" t="s">
        <v>4085</v>
      </c>
      <c r="D3779" s="2"/>
      <c r="E3779" s="31" t="n">
        <v>98.8</v>
      </c>
      <c r="F3779" s="31" t="n">
        <v>16.9</v>
      </c>
      <c r="G3779" s="31" t="n">
        <v>71</v>
      </c>
      <c r="H3779" s="2" t="s">
        <v>671</v>
      </c>
    </row>
    <row r="3780" customFormat="false" ht="15" hidden="false" customHeight="false" outlineLevel="0" collapsed="false">
      <c r="A3780" s="2" t="s">
        <v>76</v>
      </c>
      <c r="B3780" s="2" t="s">
        <v>4104</v>
      </c>
      <c r="C3780" s="2" t="s">
        <v>4086</v>
      </c>
      <c r="D3780" s="2"/>
      <c r="E3780" s="31" t="n">
        <v>92.5</v>
      </c>
      <c r="F3780" s="31" t="n">
        <v>38.5</v>
      </c>
      <c r="G3780" s="31" t="n">
        <v>94.7</v>
      </c>
      <c r="H3780" s="2" t="s">
        <v>671</v>
      </c>
    </row>
    <row r="3781" customFormat="false" ht="15" hidden="false" customHeight="false" outlineLevel="0" collapsed="false">
      <c r="A3781" s="2" t="s">
        <v>76</v>
      </c>
      <c r="B3781" s="2" t="s">
        <v>4104</v>
      </c>
      <c r="C3781" s="2" t="s">
        <v>4087</v>
      </c>
      <c r="D3781" s="2"/>
      <c r="E3781" s="31" t="n">
        <v>98.7</v>
      </c>
      <c r="F3781" s="31" t="n">
        <v>14.9</v>
      </c>
      <c r="G3781" s="31" t="n">
        <v>87.6</v>
      </c>
      <c r="H3781" s="2" t="s">
        <v>671</v>
      </c>
    </row>
    <row r="3782" customFormat="false" ht="15" hidden="false" customHeight="false" outlineLevel="0" collapsed="false">
      <c r="A3782" s="2" t="s">
        <v>76</v>
      </c>
      <c r="B3782" s="2" t="s">
        <v>46</v>
      </c>
      <c r="C3782" s="2" t="s">
        <v>4085</v>
      </c>
      <c r="D3782" s="11" t="n">
        <v>29106</v>
      </c>
      <c r="E3782" s="31" t="n">
        <v>98.8</v>
      </c>
      <c r="F3782" s="31" t="n">
        <v>16.9</v>
      </c>
      <c r="G3782" s="31" t="n">
        <v>71</v>
      </c>
      <c r="H3782" s="2" t="s">
        <v>671</v>
      </c>
    </row>
    <row r="3783" customFormat="false" ht="15" hidden="false" customHeight="false" outlineLevel="0" collapsed="false">
      <c r="A3783" s="2" t="s">
        <v>76</v>
      </c>
      <c r="B3783" s="2" t="s">
        <v>46</v>
      </c>
      <c r="C3783" s="2" t="s">
        <v>4086</v>
      </c>
      <c r="D3783" s="11" t="n">
        <v>30230</v>
      </c>
      <c r="E3783" s="31" t="n">
        <v>92.5</v>
      </c>
      <c r="F3783" s="31" t="n">
        <v>38.5</v>
      </c>
      <c r="G3783" s="31" t="n">
        <v>94.7</v>
      </c>
      <c r="H3783" s="2" t="s">
        <v>671</v>
      </c>
    </row>
    <row r="3784" customFormat="false" ht="15" hidden="false" customHeight="false" outlineLevel="0" collapsed="false">
      <c r="A3784" s="2" t="s">
        <v>76</v>
      </c>
      <c r="B3784" s="2" t="s">
        <v>46</v>
      </c>
      <c r="C3784" s="2" t="s">
        <v>4087</v>
      </c>
      <c r="D3784" s="11" t="n">
        <v>29820</v>
      </c>
      <c r="E3784" s="31" t="n">
        <v>98.7</v>
      </c>
      <c r="F3784" s="31" t="n">
        <v>14.9</v>
      </c>
      <c r="G3784" s="31" t="n">
        <v>87.6</v>
      </c>
      <c r="H3784" s="2" t="s">
        <v>671</v>
      </c>
    </row>
    <row r="3785" customFormat="false" ht="15" hidden="false" customHeight="false" outlineLevel="0" collapsed="false">
      <c r="A3785" s="2" t="s">
        <v>1056</v>
      </c>
      <c r="B3785" s="2" t="s">
        <v>4104</v>
      </c>
      <c r="C3785" s="2" t="s">
        <v>4085</v>
      </c>
      <c r="D3785" s="2"/>
      <c r="E3785" s="31" t="n">
        <v>33.4</v>
      </c>
      <c r="F3785" s="31" t="n">
        <v>55</v>
      </c>
      <c r="G3785" s="31" t="n">
        <v>41.7</v>
      </c>
      <c r="H3785" s="2" t="s">
        <v>671</v>
      </c>
    </row>
    <row r="3786" customFormat="false" ht="15" hidden="false" customHeight="false" outlineLevel="0" collapsed="false">
      <c r="A3786" s="2" t="s">
        <v>1056</v>
      </c>
      <c r="B3786" s="2" t="s">
        <v>4104</v>
      </c>
      <c r="C3786" s="2" t="s">
        <v>4086</v>
      </c>
      <c r="D3786" s="2"/>
      <c r="E3786" s="31" t="n">
        <v>31.5</v>
      </c>
      <c r="F3786" s="31" t="n">
        <v>46.8</v>
      </c>
      <c r="G3786" s="31" t="n">
        <v>84.3</v>
      </c>
      <c r="H3786" s="2" t="s">
        <v>668</v>
      </c>
    </row>
    <row r="3787" customFormat="false" ht="15" hidden="false" customHeight="false" outlineLevel="0" collapsed="false">
      <c r="A3787" s="2" t="s">
        <v>1056</v>
      </c>
      <c r="B3787" s="2" t="s">
        <v>4104</v>
      </c>
      <c r="C3787" s="2" t="s">
        <v>4087</v>
      </c>
      <c r="D3787" s="2"/>
      <c r="E3787" s="31" t="n">
        <v>27.7</v>
      </c>
      <c r="F3787" s="31" t="n">
        <v>49.5</v>
      </c>
      <c r="G3787" s="31" t="n">
        <v>46.8</v>
      </c>
      <c r="H3787" s="2" t="s">
        <v>668</v>
      </c>
    </row>
    <row r="3788" customFormat="false" ht="15" hidden="false" customHeight="false" outlineLevel="0" collapsed="false">
      <c r="A3788" s="2" t="s">
        <v>1056</v>
      </c>
      <c r="B3788" s="2" t="s">
        <v>45</v>
      </c>
      <c r="C3788" s="2" t="s">
        <v>4085</v>
      </c>
      <c r="D3788" s="11" t="n">
        <v>95820</v>
      </c>
      <c r="E3788" s="31" t="n">
        <v>45.3</v>
      </c>
      <c r="F3788" s="31" t="n">
        <v>21.2</v>
      </c>
      <c r="G3788" s="31" t="n">
        <v>17.8</v>
      </c>
      <c r="H3788" s="2" t="s">
        <v>671</v>
      </c>
    </row>
    <row r="3789" customFormat="false" ht="15" hidden="false" customHeight="false" outlineLevel="0" collapsed="false">
      <c r="A3789" s="2" t="s">
        <v>1056</v>
      </c>
      <c r="B3789" s="2" t="s">
        <v>45</v>
      </c>
      <c r="C3789" s="2" t="s">
        <v>4086</v>
      </c>
      <c r="D3789" s="11" t="n">
        <v>95192</v>
      </c>
      <c r="E3789" s="2"/>
      <c r="F3789" s="31" t="n">
        <v>10</v>
      </c>
      <c r="G3789" s="2"/>
      <c r="H3789" s="2" t="s">
        <v>668</v>
      </c>
    </row>
    <row r="3790" customFormat="false" ht="15" hidden="false" customHeight="false" outlineLevel="0" collapsed="false">
      <c r="A3790" s="2" t="s">
        <v>1056</v>
      </c>
      <c r="B3790" s="2" t="s">
        <v>45</v>
      </c>
      <c r="C3790" s="2" t="s">
        <v>4087</v>
      </c>
      <c r="D3790" s="11" t="n">
        <v>96910</v>
      </c>
      <c r="E3790" s="31" t="n">
        <v>47.9</v>
      </c>
      <c r="F3790" s="31" t="n">
        <v>20.2</v>
      </c>
      <c r="G3790" s="31" t="n">
        <v>4.7</v>
      </c>
      <c r="H3790" s="2" t="s">
        <v>671</v>
      </c>
    </row>
    <row r="3791" customFormat="false" ht="15" hidden="false" customHeight="false" outlineLevel="0" collapsed="false">
      <c r="A3791" s="2" t="s">
        <v>1056</v>
      </c>
      <c r="B3791" s="2" t="s">
        <v>46</v>
      </c>
      <c r="C3791" s="2" t="s">
        <v>4085</v>
      </c>
      <c r="D3791" s="11" t="n">
        <v>62820</v>
      </c>
      <c r="E3791" s="31" t="n">
        <v>2</v>
      </c>
      <c r="F3791" s="31" t="n">
        <v>91.8</v>
      </c>
      <c r="G3791" s="31" t="n">
        <v>13.7</v>
      </c>
      <c r="H3791" s="2" t="s">
        <v>671</v>
      </c>
    </row>
    <row r="3792" customFormat="false" ht="15" hidden="false" customHeight="false" outlineLevel="0" collapsed="false">
      <c r="A3792" s="2" t="s">
        <v>1056</v>
      </c>
      <c r="B3792" s="2" t="s">
        <v>46</v>
      </c>
      <c r="C3792" s="2" t="s">
        <v>4086</v>
      </c>
      <c r="D3792" s="11" t="n">
        <v>67130</v>
      </c>
      <c r="E3792" s="31" t="n">
        <v>3.9</v>
      </c>
      <c r="F3792" s="31" t="n">
        <v>93.1</v>
      </c>
      <c r="G3792" s="31" t="n">
        <v>70</v>
      </c>
      <c r="H3792" s="2" t="s">
        <v>671</v>
      </c>
    </row>
    <row r="3793" customFormat="false" ht="15" hidden="false" customHeight="false" outlineLevel="0" collapsed="false">
      <c r="A3793" s="2" t="s">
        <v>1056</v>
      </c>
      <c r="B3793" s="2" t="s">
        <v>46</v>
      </c>
      <c r="C3793" s="2" t="s">
        <v>4087</v>
      </c>
      <c r="D3793" s="11" t="n">
        <v>73720</v>
      </c>
      <c r="E3793" s="31" t="n">
        <v>2.3</v>
      </c>
      <c r="F3793" s="31" t="n">
        <v>98.3</v>
      </c>
      <c r="G3793" s="2"/>
      <c r="H3793" s="2" t="s">
        <v>668</v>
      </c>
    </row>
    <row r="3794" customFormat="false" ht="15" hidden="false" customHeight="false" outlineLevel="0" collapsed="false">
      <c r="A3794" s="2" t="s">
        <v>1056</v>
      </c>
      <c r="B3794" s="2" t="s">
        <v>47</v>
      </c>
      <c r="C3794" s="2" t="s">
        <v>4085</v>
      </c>
      <c r="D3794" s="11" t="n">
        <v>114792</v>
      </c>
      <c r="E3794" s="31" t="n">
        <v>52.9</v>
      </c>
      <c r="F3794" s="31" t="n">
        <v>51.9</v>
      </c>
      <c r="G3794" s="31" t="n">
        <v>93.5</v>
      </c>
      <c r="H3794" s="2" t="s">
        <v>671</v>
      </c>
    </row>
    <row r="3795" customFormat="false" ht="15" hidden="false" customHeight="false" outlineLevel="0" collapsed="false">
      <c r="A3795" s="2" t="s">
        <v>1056</v>
      </c>
      <c r="B3795" s="2" t="s">
        <v>47</v>
      </c>
      <c r="C3795" s="2" t="s">
        <v>4086</v>
      </c>
      <c r="D3795" s="11" t="n">
        <v>119185</v>
      </c>
      <c r="E3795" s="31" t="n">
        <v>59.1</v>
      </c>
      <c r="F3795" s="31" t="n">
        <v>37.3</v>
      </c>
      <c r="G3795" s="31" t="n">
        <v>98.6</v>
      </c>
      <c r="H3795" s="2" t="s">
        <v>671</v>
      </c>
    </row>
    <row r="3796" customFormat="false" ht="15" hidden="false" customHeight="false" outlineLevel="0" collapsed="false">
      <c r="A3796" s="2" t="s">
        <v>1056</v>
      </c>
      <c r="B3796" s="2" t="s">
        <v>47</v>
      </c>
      <c r="C3796" s="2" t="s">
        <v>4087</v>
      </c>
      <c r="D3796" s="11" t="n">
        <v>123027</v>
      </c>
      <c r="E3796" s="31" t="n">
        <v>32.9</v>
      </c>
      <c r="F3796" s="31" t="n">
        <v>30.1</v>
      </c>
      <c r="G3796" s="31" t="n">
        <v>88.8</v>
      </c>
      <c r="H3796" s="2" t="s">
        <v>671</v>
      </c>
    </row>
    <row r="3797" customFormat="false" ht="15" hidden="false" customHeight="false" outlineLevel="0" collapsed="false">
      <c r="A3797" s="2" t="s">
        <v>1697</v>
      </c>
      <c r="B3797" s="2" t="s">
        <v>4104</v>
      </c>
      <c r="C3797" s="2" t="s">
        <v>4085</v>
      </c>
      <c r="D3797" s="2"/>
      <c r="E3797" s="31" t="n">
        <v>63.3</v>
      </c>
      <c r="F3797" s="31" t="n">
        <v>32</v>
      </c>
      <c r="G3797" s="31" t="n">
        <v>46.6</v>
      </c>
      <c r="H3797" s="2" t="s">
        <v>668</v>
      </c>
    </row>
    <row r="3798" customFormat="false" ht="15" hidden="false" customHeight="false" outlineLevel="0" collapsed="false">
      <c r="A3798" s="2" t="s">
        <v>1697</v>
      </c>
      <c r="B3798" s="2" t="s">
        <v>4104</v>
      </c>
      <c r="C3798" s="2" t="s">
        <v>4086</v>
      </c>
      <c r="D3798" s="2"/>
      <c r="E3798" s="31" t="n">
        <v>47.6</v>
      </c>
      <c r="F3798" s="31" t="n">
        <v>14.2</v>
      </c>
      <c r="G3798" s="31" t="n">
        <v>50.8</v>
      </c>
      <c r="H3798" s="2" t="s">
        <v>668</v>
      </c>
    </row>
    <row r="3799" customFormat="false" ht="15" hidden="false" customHeight="false" outlineLevel="0" collapsed="false">
      <c r="A3799" s="2" t="s">
        <v>1697</v>
      </c>
      <c r="B3799" s="2" t="s">
        <v>4104</v>
      </c>
      <c r="C3799" s="2" t="s">
        <v>4087</v>
      </c>
      <c r="D3799" s="2"/>
      <c r="E3799" s="31" t="n">
        <v>43.8</v>
      </c>
      <c r="F3799" s="31" t="n">
        <v>11.9</v>
      </c>
      <c r="G3799" s="31" t="n">
        <v>50.6</v>
      </c>
      <c r="H3799" s="2" t="s">
        <v>668</v>
      </c>
    </row>
    <row r="3800" customFormat="false" ht="15" hidden="false" customHeight="false" outlineLevel="0" collapsed="false">
      <c r="A3800" s="2" t="s">
        <v>1697</v>
      </c>
      <c r="B3800" s="2" t="s">
        <v>45</v>
      </c>
      <c r="C3800" s="2" t="s">
        <v>4085</v>
      </c>
      <c r="D3800" s="11" t="n">
        <v>23130</v>
      </c>
      <c r="E3800" s="31" t="n">
        <v>83.8</v>
      </c>
      <c r="F3800" s="31" t="n">
        <v>50</v>
      </c>
      <c r="G3800" s="31" t="n">
        <v>85.4</v>
      </c>
      <c r="H3800" s="2" t="s">
        <v>671</v>
      </c>
    </row>
    <row r="3801" customFormat="false" ht="15" hidden="false" customHeight="false" outlineLevel="0" collapsed="false">
      <c r="A3801" s="2" t="s">
        <v>1697</v>
      </c>
      <c r="B3801" s="2" t="s">
        <v>45</v>
      </c>
      <c r="C3801" s="2" t="s">
        <v>4086</v>
      </c>
      <c r="D3801" s="11" t="n">
        <v>23520</v>
      </c>
      <c r="E3801" s="31" t="n">
        <v>57.5</v>
      </c>
      <c r="F3801" s="31" t="n">
        <v>15.1</v>
      </c>
      <c r="G3801" s="31" t="n">
        <v>60.4</v>
      </c>
      <c r="H3801" s="2" t="s">
        <v>671</v>
      </c>
    </row>
    <row r="3802" customFormat="false" ht="15" hidden="false" customHeight="false" outlineLevel="0" collapsed="false">
      <c r="A3802" s="2" t="s">
        <v>1697</v>
      </c>
      <c r="B3802" s="2" t="s">
        <v>45</v>
      </c>
      <c r="C3802" s="2" t="s">
        <v>4087</v>
      </c>
      <c r="D3802" s="11" t="n">
        <v>23859</v>
      </c>
      <c r="E3802" s="31" t="n">
        <v>69.2</v>
      </c>
      <c r="F3802" s="31" t="n">
        <v>14.7</v>
      </c>
      <c r="G3802" s="2"/>
      <c r="H3802" s="2" t="s">
        <v>668</v>
      </c>
    </row>
    <row r="3803" customFormat="false" ht="15" hidden="false" customHeight="false" outlineLevel="0" collapsed="false">
      <c r="A3803" s="2" t="s">
        <v>1697</v>
      </c>
      <c r="B3803" s="2" t="s">
        <v>46</v>
      </c>
      <c r="C3803" s="2" t="s">
        <v>4085</v>
      </c>
      <c r="D3803" s="11" t="n">
        <v>2014</v>
      </c>
      <c r="E3803" s="31" t="n">
        <v>69.7</v>
      </c>
      <c r="F3803" s="31" t="n">
        <v>14</v>
      </c>
      <c r="G3803" s="31" t="n">
        <v>33.3</v>
      </c>
      <c r="H3803" s="2" t="s">
        <v>671</v>
      </c>
    </row>
    <row r="3804" customFormat="false" ht="15" hidden="false" customHeight="false" outlineLevel="0" collapsed="false">
      <c r="A3804" s="2" t="s">
        <v>1697</v>
      </c>
      <c r="B3804" s="2" t="s">
        <v>46</v>
      </c>
      <c r="C3804" s="2" t="s">
        <v>4086</v>
      </c>
      <c r="D3804" s="11" t="n">
        <v>2010</v>
      </c>
      <c r="E3804" s="31" t="n">
        <v>57</v>
      </c>
      <c r="F3804" s="31" t="n">
        <v>13.2</v>
      </c>
      <c r="G3804" s="31" t="n">
        <v>36.6</v>
      </c>
      <c r="H3804" s="2" t="s">
        <v>671</v>
      </c>
    </row>
    <row r="3805" customFormat="false" ht="15" hidden="false" customHeight="false" outlineLevel="0" collapsed="false">
      <c r="A3805" s="2" t="s">
        <v>1697</v>
      </c>
      <c r="B3805" s="2" t="s">
        <v>46</v>
      </c>
      <c r="C3805" s="2" t="s">
        <v>4087</v>
      </c>
      <c r="D3805" s="11" t="n">
        <v>2100</v>
      </c>
      <c r="E3805" s="31" t="n">
        <v>46.7</v>
      </c>
      <c r="F3805" s="31" t="n">
        <v>10.4</v>
      </c>
      <c r="G3805" s="31" t="n">
        <v>57.5</v>
      </c>
      <c r="H3805" s="2" t="s">
        <v>671</v>
      </c>
    </row>
    <row r="3806" customFormat="false" ht="15" hidden="false" customHeight="false" outlineLevel="0" collapsed="false">
      <c r="A3806" s="2" t="s">
        <v>1697</v>
      </c>
      <c r="B3806" s="2" t="s">
        <v>47</v>
      </c>
      <c r="C3806" s="2" t="s">
        <v>4085</v>
      </c>
      <c r="D3806" s="11" t="n">
        <v>8020</v>
      </c>
      <c r="E3806" s="31" t="n">
        <v>36.5</v>
      </c>
      <c r="F3806" s="2"/>
      <c r="G3806" s="31" t="n">
        <v>21</v>
      </c>
      <c r="H3806" s="2" t="s">
        <v>668</v>
      </c>
    </row>
    <row r="3807" customFormat="false" ht="15" hidden="false" customHeight="false" outlineLevel="0" collapsed="false">
      <c r="A3807" s="2" t="s">
        <v>1697</v>
      </c>
      <c r="B3807" s="2" t="s">
        <v>47</v>
      </c>
      <c r="C3807" s="2" t="s">
        <v>4086</v>
      </c>
      <c r="D3807" s="11" t="n">
        <v>7820</v>
      </c>
      <c r="E3807" s="31" t="n">
        <v>28.4</v>
      </c>
      <c r="F3807" s="2"/>
      <c r="G3807" s="31" t="n">
        <v>55.4</v>
      </c>
      <c r="H3807" s="2" t="s">
        <v>668</v>
      </c>
    </row>
    <row r="3808" customFormat="false" ht="15" hidden="false" customHeight="false" outlineLevel="0" collapsed="false">
      <c r="A3808" s="2" t="s">
        <v>1697</v>
      </c>
      <c r="B3808" s="2" t="s">
        <v>47</v>
      </c>
      <c r="C3808" s="2" t="s">
        <v>4087</v>
      </c>
      <c r="D3808" s="11" t="n">
        <v>7997</v>
      </c>
      <c r="E3808" s="31" t="n">
        <v>15.6</v>
      </c>
      <c r="F3808" s="31" t="n">
        <v>10.7</v>
      </c>
      <c r="G3808" s="31" t="n">
        <v>43.6</v>
      </c>
      <c r="H3808" s="2" t="s">
        <v>671</v>
      </c>
    </row>
    <row r="3809" customFormat="false" ht="15" hidden="false" customHeight="false" outlineLevel="0" collapsed="false">
      <c r="A3809" s="2" t="s">
        <v>2594</v>
      </c>
      <c r="B3809" s="2" t="s">
        <v>4104</v>
      </c>
      <c r="C3809" s="2" t="s">
        <v>4085</v>
      </c>
      <c r="D3809" s="2"/>
      <c r="E3809" s="31" t="n">
        <v>43.3</v>
      </c>
      <c r="F3809" s="31" t="n">
        <v>62.2</v>
      </c>
      <c r="G3809" s="31" t="n">
        <v>26.7</v>
      </c>
      <c r="H3809" s="2" t="s">
        <v>671</v>
      </c>
    </row>
    <row r="3810" customFormat="false" ht="15" hidden="false" customHeight="false" outlineLevel="0" collapsed="false">
      <c r="A3810" s="2" t="s">
        <v>2594</v>
      </c>
      <c r="B3810" s="2" t="s">
        <v>4104</v>
      </c>
      <c r="C3810" s="2" t="s">
        <v>4086</v>
      </c>
      <c r="D3810" s="2"/>
      <c r="E3810" s="31" t="n">
        <v>36.6</v>
      </c>
      <c r="F3810" s="31" t="n">
        <v>50.3</v>
      </c>
      <c r="G3810" s="31" t="n">
        <v>48.2</v>
      </c>
      <c r="H3810" s="2" t="s">
        <v>671</v>
      </c>
    </row>
    <row r="3811" customFormat="false" ht="15" hidden="false" customHeight="false" outlineLevel="0" collapsed="false">
      <c r="A3811" s="2" t="s">
        <v>2594</v>
      </c>
      <c r="B3811" s="2" t="s">
        <v>4104</v>
      </c>
      <c r="C3811" s="2" t="s">
        <v>4087</v>
      </c>
      <c r="D3811" s="2"/>
      <c r="E3811" s="31" t="n">
        <v>25.6</v>
      </c>
      <c r="F3811" s="31" t="n">
        <v>29.4</v>
      </c>
      <c r="G3811" s="31" t="n">
        <v>56</v>
      </c>
      <c r="H3811" s="2" t="s">
        <v>668</v>
      </c>
    </row>
    <row r="3812" customFormat="false" ht="15" hidden="false" customHeight="false" outlineLevel="0" collapsed="false">
      <c r="A3812" s="2" t="s">
        <v>2594</v>
      </c>
      <c r="B3812" s="2" t="s">
        <v>45</v>
      </c>
      <c r="C3812" s="2" t="s">
        <v>4085</v>
      </c>
      <c r="D3812" s="11" t="n">
        <v>499050</v>
      </c>
      <c r="E3812" s="31" t="n">
        <v>44.9</v>
      </c>
      <c r="F3812" s="31" t="n">
        <v>97.9</v>
      </c>
      <c r="G3812" s="31" t="n">
        <v>10</v>
      </c>
      <c r="H3812" s="2" t="s">
        <v>671</v>
      </c>
    </row>
    <row r="3813" customFormat="false" ht="15" hidden="false" customHeight="false" outlineLevel="0" collapsed="false">
      <c r="A3813" s="2" t="s">
        <v>2594</v>
      </c>
      <c r="B3813" s="2" t="s">
        <v>45</v>
      </c>
      <c r="C3813" s="2" t="s">
        <v>4086</v>
      </c>
      <c r="D3813" s="11" t="n">
        <v>522030</v>
      </c>
      <c r="E3813" s="31" t="n">
        <v>32.9</v>
      </c>
      <c r="F3813" s="31" t="n">
        <v>88.6</v>
      </c>
      <c r="G3813" s="31" t="n">
        <v>25.6</v>
      </c>
      <c r="H3813" s="2" t="s">
        <v>671</v>
      </c>
    </row>
    <row r="3814" customFormat="false" ht="15" hidden="false" customHeight="false" outlineLevel="0" collapsed="false">
      <c r="A3814" s="2" t="s">
        <v>2594</v>
      </c>
      <c r="B3814" s="2" t="s">
        <v>45</v>
      </c>
      <c r="C3814" s="2" t="s">
        <v>4087</v>
      </c>
      <c r="D3814" s="2"/>
      <c r="E3814" s="2"/>
      <c r="F3814" s="2"/>
      <c r="G3814" s="2"/>
      <c r="H3814" s="2" t="s">
        <v>668</v>
      </c>
    </row>
    <row r="3815" customFormat="false" ht="15" hidden="false" customHeight="false" outlineLevel="0" collapsed="false">
      <c r="A3815" s="2" t="s">
        <v>2594</v>
      </c>
      <c r="B3815" s="2" t="s">
        <v>46</v>
      </c>
      <c r="C3815" s="2" t="s">
        <v>4085</v>
      </c>
      <c r="D3815" s="11" t="n">
        <v>11655</v>
      </c>
      <c r="E3815" s="31" t="n">
        <v>74.2</v>
      </c>
      <c r="F3815" s="31" t="n">
        <v>11.6</v>
      </c>
      <c r="G3815" s="31" t="n">
        <v>28.5</v>
      </c>
      <c r="H3815" s="2" t="s">
        <v>671</v>
      </c>
    </row>
    <row r="3816" customFormat="false" ht="15" hidden="false" customHeight="false" outlineLevel="0" collapsed="false">
      <c r="A3816" s="2" t="s">
        <v>2594</v>
      </c>
      <c r="B3816" s="2" t="s">
        <v>46</v>
      </c>
      <c r="C3816" s="2" t="s">
        <v>4086</v>
      </c>
      <c r="D3816" s="11" t="n">
        <v>11710</v>
      </c>
      <c r="E3816" s="31" t="n">
        <v>67.8</v>
      </c>
      <c r="F3816" s="31" t="n">
        <v>24.4</v>
      </c>
      <c r="G3816" s="31" t="n">
        <v>56.7</v>
      </c>
      <c r="H3816" s="2" t="s">
        <v>671</v>
      </c>
    </row>
    <row r="3817" customFormat="false" ht="15" hidden="false" customHeight="false" outlineLevel="0" collapsed="false">
      <c r="A3817" s="2" t="s">
        <v>2594</v>
      </c>
      <c r="B3817" s="2" t="s">
        <v>46</v>
      </c>
      <c r="C3817" s="2" t="s">
        <v>4087</v>
      </c>
      <c r="D3817" s="11" t="n">
        <v>11550</v>
      </c>
      <c r="E3817" s="31" t="n">
        <v>37.2</v>
      </c>
      <c r="F3817" s="31" t="n">
        <v>11.2</v>
      </c>
      <c r="G3817" s="2"/>
      <c r="H3817" s="2" t="s">
        <v>668</v>
      </c>
    </row>
    <row r="3818" customFormat="false" ht="15" hidden="false" customHeight="false" outlineLevel="0" collapsed="false">
      <c r="A3818" s="2" t="s">
        <v>2594</v>
      </c>
      <c r="B3818" s="2" t="s">
        <v>47</v>
      </c>
      <c r="C3818" s="2" t="s">
        <v>4085</v>
      </c>
      <c r="D3818" s="11" t="n">
        <v>156339</v>
      </c>
      <c r="E3818" s="31" t="n">
        <v>10.9</v>
      </c>
      <c r="F3818" s="31" t="n">
        <v>77.2</v>
      </c>
      <c r="G3818" s="31" t="n">
        <v>41.6</v>
      </c>
      <c r="H3818" s="2" t="s">
        <v>671</v>
      </c>
    </row>
    <row r="3819" customFormat="false" ht="15" hidden="false" customHeight="false" outlineLevel="0" collapsed="false">
      <c r="A3819" s="2" t="s">
        <v>2594</v>
      </c>
      <c r="B3819" s="2" t="s">
        <v>47</v>
      </c>
      <c r="C3819" s="2" t="s">
        <v>4086</v>
      </c>
      <c r="D3819" s="11" t="n">
        <v>157483</v>
      </c>
      <c r="E3819" s="31" t="n">
        <v>9</v>
      </c>
      <c r="F3819" s="31" t="n">
        <v>37.9</v>
      </c>
      <c r="G3819" s="31" t="n">
        <v>62.4</v>
      </c>
      <c r="H3819" s="2" t="s">
        <v>671</v>
      </c>
    </row>
    <row r="3820" customFormat="false" ht="15" hidden="false" customHeight="false" outlineLevel="0" collapsed="false">
      <c r="A3820" s="2" t="s">
        <v>2594</v>
      </c>
      <c r="B3820" s="2" t="s">
        <v>47</v>
      </c>
      <c r="C3820" s="2" t="s">
        <v>4087</v>
      </c>
      <c r="D3820" s="11" t="n">
        <v>160421</v>
      </c>
      <c r="E3820" s="31" t="n">
        <v>14.1</v>
      </c>
      <c r="F3820" s="31" t="n">
        <v>47.6</v>
      </c>
      <c r="G3820" s="31" t="n">
        <v>56</v>
      </c>
      <c r="H3820" s="2" t="s">
        <v>671</v>
      </c>
    </row>
    <row r="3821" customFormat="false" ht="15" hidden="false" customHeight="false" outlineLevel="0" collapsed="false">
      <c r="A3821" s="2" t="s">
        <v>646</v>
      </c>
      <c r="B3821" s="2" t="s">
        <v>4104</v>
      </c>
      <c r="C3821" s="2" t="s">
        <v>4085</v>
      </c>
      <c r="D3821" s="2"/>
      <c r="E3821" s="31" t="n">
        <v>2.6</v>
      </c>
      <c r="F3821" s="31" t="n">
        <v>81</v>
      </c>
      <c r="G3821" s="31" t="n">
        <v>79.5</v>
      </c>
      <c r="H3821" s="2" t="s">
        <v>671</v>
      </c>
    </row>
    <row r="3822" customFormat="false" ht="15" hidden="false" customHeight="false" outlineLevel="0" collapsed="false">
      <c r="A3822" s="2" t="s">
        <v>646</v>
      </c>
      <c r="B3822" s="2" t="s">
        <v>4104</v>
      </c>
      <c r="C3822" s="2" t="s">
        <v>4086</v>
      </c>
      <c r="D3822" s="2"/>
      <c r="E3822" s="31" t="n">
        <v>0.9</v>
      </c>
      <c r="F3822" s="31" t="n">
        <v>72.4</v>
      </c>
      <c r="G3822" s="31" t="n">
        <v>52.9</v>
      </c>
      <c r="H3822" s="2" t="s">
        <v>671</v>
      </c>
    </row>
    <row r="3823" customFormat="false" ht="15" hidden="false" customHeight="false" outlineLevel="0" collapsed="false">
      <c r="A3823" s="2" t="s">
        <v>646</v>
      </c>
      <c r="B3823" s="2" t="s">
        <v>4104</v>
      </c>
      <c r="C3823" s="2" t="s">
        <v>4087</v>
      </c>
      <c r="D3823" s="2"/>
      <c r="E3823" s="31" t="n">
        <v>5.1</v>
      </c>
      <c r="F3823" s="31" t="n">
        <v>52.8</v>
      </c>
      <c r="G3823" s="31" t="n">
        <v>23</v>
      </c>
      <c r="H3823" s="2" t="s">
        <v>671</v>
      </c>
    </row>
    <row r="3824" customFormat="false" ht="15" hidden="false" customHeight="false" outlineLevel="0" collapsed="false">
      <c r="A3824" s="2" t="s">
        <v>646</v>
      </c>
      <c r="B3824" s="2" t="s">
        <v>47</v>
      </c>
      <c r="C3824" s="2" t="s">
        <v>4085</v>
      </c>
      <c r="D3824" s="11" t="n">
        <v>23106</v>
      </c>
      <c r="E3824" s="31" t="n">
        <v>2.6</v>
      </c>
      <c r="F3824" s="31" t="n">
        <v>81</v>
      </c>
      <c r="G3824" s="31" t="n">
        <v>79.5</v>
      </c>
      <c r="H3824" s="2" t="s">
        <v>671</v>
      </c>
    </row>
    <row r="3825" customFormat="false" ht="15" hidden="false" customHeight="false" outlineLevel="0" collapsed="false">
      <c r="A3825" s="2" t="s">
        <v>646</v>
      </c>
      <c r="B3825" s="2" t="s">
        <v>47</v>
      </c>
      <c r="C3825" s="2" t="s">
        <v>4086</v>
      </c>
      <c r="D3825" s="11" t="n">
        <v>23846</v>
      </c>
      <c r="E3825" s="31" t="n">
        <v>0.9</v>
      </c>
      <c r="F3825" s="31" t="n">
        <v>72.4</v>
      </c>
      <c r="G3825" s="31" t="n">
        <v>52.9</v>
      </c>
      <c r="H3825" s="2" t="s">
        <v>671</v>
      </c>
    </row>
    <row r="3826" customFormat="false" ht="15" hidden="false" customHeight="false" outlineLevel="0" collapsed="false">
      <c r="A3826" s="2" t="s">
        <v>646</v>
      </c>
      <c r="B3826" s="2" t="s">
        <v>47</v>
      </c>
      <c r="C3826" s="2" t="s">
        <v>4087</v>
      </c>
      <c r="D3826" s="11" t="n">
        <v>24710</v>
      </c>
      <c r="E3826" s="31" t="n">
        <v>5.1</v>
      </c>
      <c r="F3826" s="31" t="n">
        <v>52.8</v>
      </c>
      <c r="G3826" s="31" t="n">
        <v>23</v>
      </c>
      <c r="H3826" s="2" t="s">
        <v>671</v>
      </c>
    </row>
    <row r="3827" customFormat="false" ht="15" hidden="false" customHeight="false" outlineLevel="0" collapsed="false">
      <c r="A3827" s="2" t="s">
        <v>101</v>
      </c>
      <c r="B3827" s="2" t="s">
        <v>4104</v>
      </c>
      <c r="C3827" s="2" t="s">
        <v>4087</v>
      </c>
      <c r="D3827" s="2"/>
      <c r="E3827" s="31" t="n">
        <v>96.6</v>
      </c>
      <c r="F3827" s="31" t="n">
        <v>75.4</v>
      </c>
      <c r="G3827" s="31" t="n">
        <v>58.3</v>
      </c>
      <c r="H3827" s="2" t="s">
        <v>671</v>
      </c>
    </row>
    <row r="3828" customFormat="false" ht="15" hidden="false" customHeight="false" outlineLevel="0" collapsed="false">
      <c r="A3828" s="2" t="s">
        <v>101</v>
      </c>
      <c r="B3828" s="2" t="s">
        <v>45</v>
      </c>
      <c r="C3828" s="2" t="s">
        <v>4087</v>
      </c>
      <c r="D3828" s="11" t="n">
        <v>60689</v>
      </c>
      <c r="E3828" s="31" t="n">
        <v>96.6</v>
      </c>
      <c r="F3828" s="31" t="n">
        <v>75.4</v>
      </c>
      <c r="G3828" s="31" t="n">
        <v>58.3</v>
      </c>
      <c r="H3828" s="2" t="s">
        <v>671</v>
      </c>
    </row>
    <row r="3829" customFormat="false" ht="15" hidden="false" customHeight="false" outlineLevel="0" collapsed="false">
      <c r="A3829" s="2" t="s">
        <v>490</v>
      </c>
      <c r="B3829" s="2" t="s">
        <v>4104</v>
      </c>
      <c r="C3829" s="2" t="s">
        <v>4085</v>
      </c>
      <c r="D3829" s="2"/>
      <c r="E3829" s="31" t="n">
        <v>43.5</v>
      </c>
      <c r="F3829" s="31" t="n">
        <v>27.9</v>
      </c>
      <c r="G3829" s="31" t="n">
        <v>35.8</v>
      </c>
      <c r="H3829" s="2" t="s">
        <v>668</v>
      </c>
    </row>
    <row r="3830" customFormat="false" ht="15" hidden="false" customHeight="false" outlineLevel="0" collapsed="false">
      <c r="A3830" s="2" t="s">
        <v>490</v>
      </c>
      <c r="B3830" s="2" t="s">
        <v>4104</v>
      </c>
      <c r="C3830" s="2" t="s">
        <v>4086</v>
      </c>
      <c r="D3830" s="2"/>
      <c r="E3830" s="31" t="n">
        <v>30.9</v>
      </c>
      <c r="F3830" s="31" t="n">
        <v>11.7</v>
      </c>
      <c r="G3830" s="31" t="n">
        <v>20.8</v>
      </c>
      <c r="H3830" s="2" t="s">
        <v>668</v>
      </c>
    </row>
    <row r="3831" customFormat="false" ht="15" hidden="false" customHeight="false" outlineLevel="0" collapsed="false">
      <c r="A3831" s="2" t="s">
        <v>490</v>
      </c>
      <c r="B3831" s="2" t="s">
        <v>4104</v>
      </c>
      <c r="C3831" s="2" t="s">
        <v>4087</v>
      </c>
      <c r="D3831" s="2"/>
      <c r="E3831" s="31" t="n">
        <v>37.4</v>
      </c>
      <c r="F3831" s="31" t="n">
        <v>16</v>
      </c>
      <c r="G3831" s="31" t="n">
        <v>32.7</v>
      </c>
      <c r="H3831" s="2" t="s">
        <v>671</v>
      </c>
    </row>
    <row r="3832" customFormat="false" ht="15" hidden="false" customHeight="false" outlineLevel="0" collapsed="false">
      <c r="A3832" s="2" t="s">
        <v>490</v>
      </c>
      <c r="B3832" s="2" t="s">
        <v>45</v>
      </c>
      <c r="C3832" s="2" t="s">
        <v>4085</v>
      </c>
      <c r="D3832" s="11" t="n">
        <v>22130</v>
      </c>
      <c r="E3832" s="31" t="n">
        <v>33.3</v>
      </c>
      <c r="F3832" s="31" t="n">
        <v>30.3</v>
      </c>
      <c r="G3832" s="2"/>
      <c r="H3832" s="2" t="s">
        <v>668</v>
      </c>
    </row>
    <row r="3833" customFormat="false" ht="15" hidden="false" customHeight="false" outlineLevel="0" collapsed="false">
      <c r="A3833" s="2" t="s">
        <v>490</v>
      </c>
      <c r="B3833" s="2" t="s">
        <v>45</v>
      </c>
      <c r="C3833" s="2" t="s">
        <v>4086</v>
      </c>
      <c r="D3833" s="11" t="n">
        <v>22530</v>
      </c>
      <c r="E3833" s="31" t="n">
        <v>45.9</v>
      </c>
      <c r="F3833" s="31" t="n">
        <v>14.8</v>
      </c>
      <c r="G3833" s="2"/>
      <c r="H3833" s="2" t="s">
        <v>668</v>
      </c>
    </row>
    <row r="3834" customFormat="false" ht="15" hidden="false" customHeight="false" outlineLevel="0" collapsed="false">
      <c r="A3834" s="2" t="s">
        <v>490</v>
      </c>
      <c r="B3834" s="2" t="s">
        <v>45</v>
      </c>
      <c r="C3834" s="2" t="s">
        <v>4087</v>
      </c>
      <c r="D3834" s="11" t="n">
        <v>23077</v>
      </c>
      <c r="E3834" s="31" t="n">
        <v>27.4</v>
      </c>
      <c r="F3834" s="31" t="n">
        <v>7.5</v>
      </c>
      <c r="G3834" s="31" t="n">
        <v>32.9</v>
      </c>
      <c r="H3834" s="2" t="s">
        <v>671</v>
      </c>
    </row>
    <row r="3835" customFormat="false" ht="15" hidden="false" customHeight="false" outlineLevel="0" collapsed="false">
      <c r="A3835" s="2" t="s">
        <v>490</v>
      </c>
      <c r="B3835" s="2" t="s">
        <v>46</v>
      </c>
      <c r="C3835" s="2" t="s">
        <v>4085</v>
      </c>
      <c r="D3835" s="11" t="n">
        <v>30160</v>
      </c>
      <c r="E3835" s="31" t="n">
        <v>29</v>
      </c>
      <c r="F3835" s="31" t="n">
        <v>37.5</v>
      </c>
      <c r="G3835" s="31" t="n">
        <v>14.4</v>
      </c>
      <c r="H3835" s="2" t="s">
        <v>671</v>
      </c>
    </row>
    <row r="3836" customFormat="false" ht="15" hidden="false" customHeight="false" outlineLevel="0" collapsed="false">
      <c r="A3836" s="2" t="s">
        <v>490</v>
      </c>
      <c r="B3836" s="2" t="s">
        <v>46</v>
      </c>
      <c r="C3836" s="2" t="s">
        <v>4086</v>
      </c>
      <c r="D3836" s="11" t="n">
        <v>29790</v>
      </c>
      <c r="E3836" s="31" t="n">
        <v>17.1</v>
      </c>
      <c r="F3836" s="31" t="n">
        <v>13.5</v>
      </c>
      <c r="G3836" s="31" t="n">
        <v>34.7</v>
      </c>
      <c r="H3836" s="2" t="s">
        <v>671</v>
      </c>
    </row>
    <row r="3837" customFormat="false" ht="15" hidden="false" customHeight="false" outlineLevel="0" collapsed="false">
      <c r="A3837" s="2" t="s">
        <v>490</v>
      </c>
      <c r="B3837" s="2" t="s">
        <v>46</v>
      </c>
      <c r="C3837" s="2" t="s">
        <v>4087</v>
      </c>
      <c r="D3837" s="11" t="n">
        <v>31333</v>
      </c>
      <c r="E3837" s="31" t="n">
        <v>29.2</v>
      </c>
      <c r="F3837" s="31" t="n">
        <v>34.4</v>
      </c>
      <c r="G3837" s="31" t="n">
        <v>44</v>
      </c>
      <c r="H3837" s="2" t="s">
        <v>671</v>
      </c>
    </row>
    <row r="3838" customFormat="false" ht="15" hidden="false" customHeight="false" outlineLevel="0" collapsed="false">
      <c r="A3838" s="2" t="s">
        <v>490</v>
      </c>
      <c r="B3838" s="2" t="s">
        <v>47</v>
      </c>
      <c r="C3838" s="2" t="s">
        <v>4085</v>
      </c>
      <c r="D3838" s="11" t="n">
        <v>419115</v>
      </c>
      <c r="E3838" s="31" t="n">
        <v>68.3</v>
      </c>
      <c r="F3838" s="31" t="n">
        <v>16</v>
      </c>
      <c r="G3838" s="31" t="n">
        <v>57.3</v>
      </c>
      <c r="H3838" s="2" t="s">
        <v>671</v>
      </c>
    </row>
    <row r="3839" customFormat="false" ht="15" hidden="false" customHeight="false" outlineLevel="0" collapsed="false">
      <c r="A3839" s="2" t="s">
        <v>490</v>
      </c>
      <c r="B3839" s="2" t="s">
        <v>47</v>
      </c>
      <c r="C3839" s="2" t="s">
        <v>4086</v>
      </c>
      <c r="D3839" s="11" t="n">
        <v>422200</v>
      </c>
      <c r="E3839" s="31" t="n">
        <v>29.8</v>
      </c>
      <c r="F3839" s="31" t="n">
        <v>6.8</v>
      </c>
      <c r="G3839" s="31" t="n">
        <v>6.8</v>
      </c>
      <c r="H3839" s="2" t="s">
        <v>671</v>
      </c>
    </row>
    <row r="3840" customFormat="false" ht="15" hidden="false" customHeight="false" outlineLevel="0" collapsed="false">
      <c r="A3840" s="2" t="s">
        <v>490</v>
      </c>
      <c r="B3840" s="2" t="s">
        <v>47</v>
      </c>
      <c r="C3840" s="2" t="s">
        <v>4087</v>
      </c>
      <c r="D3840" s="11" t="n">
        <v>417055</v>
      </c>
      <c r="E3840" s="31" t="n">
        <v>55.7</v>
      </c>
      <c r="F3840" s="31" t="n">
        <v>6</v>
      </c>
      <c r="G3840" s="31" t="n">
        <v>21.1</v>
      </c>
      <c r="H3840" s="2" t="s">
        <v>671</v>
      </c>
    </row>
    <row r="3841" customFormat="false" ht="15" hidden="false" customHeight="false" outlineLevel="0" collapsed="false">
      <c r="A3841" s="2" t="s">
        <v>965</v>
      </c>
      <c r="B3841" s="2" t="s">
        <v>4104</v>
      </c>
      <c r="C3841" s="2" t="s">
        <v>4085</v>
      </c>
      <c r="D3841" s="2"/>
      <c r="E3841" s="31" t="n">
        <v>32</v>
      </c>
      <c r="F3841" s="31" t="n">
        <v>55.6</v>
      </c>
      <c r="G3841" s="31" t="n">
        <v>79.4</v>
      </c>
      <c r="H3841" s="2" t="s">
        <v>668</v>
      </c>
    </row>
    <row r="3842" customFormat="false" ht="15" hidden="false" customHeight="false" outlineLevel="0" collapsed="false">
      <c r="A3842" s="2" t="s">
        <v>965</v>
      </c>
      <c r="B3842" s="2" t="s">
        <v>4104</v>
      </c>
      <c r="C3842" s="2" t="s">
        <v>4086</v>
      </c>
      <c r="D3842" s="2"/>
      <c r="E3842" s="31" t="n">
        <v>60.5</v>
      </c>
      <c r="F3842" s="31" t="n">
        <v>33.3</v>
      </c>
      <c r="G3842" s="31" t="n">
        <v>41.8</v>
      </c>
      <c r="H3842" s="2" t="s">
        <v>671</v>
      </c>
    </row>
    <row r="3843" customFormat="false" ht="15" hidden="false" customHeight="false" outlineLevel="0" collapsed="false">
      <c r="A3843" s="2" t="s">
        <v>965</v>
      </c>
      <c r="B3843" s="2" t="s">
        <v>4104</v>
      </c>
      <c r="C3843" s="2" t="s">
        <v>4087</v>
      </c>
      <c r="D3843" s="2"/>
      <c r="E3843" s="31" t="n">
        <v>37.8</v>
      </c>
      <c r="F3843" s="31" t="n">
        <v>44.2</v>
      </c>
      <c r="G3843" s="31" t="n">
        <v>22.2</v>
      </c>
      <c r="H3843" s="2" t="s">
        <v>668</v>
      </c>
    </row>
    <row r="3844" customFormat="false" ht="15" hidden="false" customHeight="false" outlineLevel="0" collapsed="false">
      <c r="A3844" s="2" t="s">
        <v>965</v>
      </c>
      <c r="B3844" s="2" t="s">
        <v>45</v>
      </c>
      <c r="C3844" s="2" t="s">
        <v>4085</v>
      </c>
      <c r="D3844" s="11" t="n">
        <v>4488</v>
      </c>
      <c r="E3844" s="2"/>
      <c r="F3844" s="2"/>
      <c r="G3844" s="2"/>
      <c r="H3844" s="2" t="s">
        <v>668</v>
      </c>
    </row>
    <row r="3845" customFormat="false" ht="15" hidden="false" customHeight="false" outlineLevel="0" collapsed="false">
      <c r="A3845" s="2" t="s">
        <v>965</v>
      </c>
      <c r="B3845" s="2" t="s">
        <v>45</v>
      </c>
      <c r="C3845" s="2" t="s">
        <v>4086</v>
      </c>
      <c r="D3845" s="11" t="n">
        <v>4490</v>
      </c>
      <c r="E3845" s="31" t="n">
        <v>69.6</v>
      </c>
      <c r="F3845" s="31" t="n">
        <v>25.4</v>
      </c>
      <c r="G3845" s="31" t="n">
        <v>37.8</v>
      </c>
      <c r="H3845" s="2" t="s">
        <v>671</v>
      </c>
    </row>
    <row r="3846" customFormat="false" ht="15" hidden="false" customHeight="false" outlineLevel="0" collapsed="false">
      <c r="A3846" s="2" t="s">
        <v>965</v>
      </c>
      <c r="B3846" s="2" t="s">
        <v>45</v>
      </c>
      <c r="C3846" s="2" t="s">
        <v>4087</v>
      </c>
      <c r="D3846" s="11" t="n">
        <v>4635</v>
      </c>
      <c r="E3846" s="31" t="n">
        <v>59.4</v>
      </c>
      <c r="F3846" s="31" t="n">
        <v>42.6</v>
      </c>
      <c r="G3846" s="31" t="n">
        <v>5.5</v>
      </c>
      <c r="H3846" s="2" t="s">
        <v>671</v>
      </c>
    </row>
    <row r="3847" customFormat="false" ht="15" hidden="false" customHeight="false" outlineLevel="0" collapsed="false">
      <c r="A3847" s="2" t="s">
        <v>965</v>
      </c>
      <c r="B3847" s="2" t="s">
        <v>46</v>
      </c>
      <c r="C3847" s="2" t="s">
        <v>4085</v>
      </c>
      <c r="D3847" s="2"/>
      <c r="E3847" s="2"/>
      <c r="F3847" s="2"/>
      <c r="G3847" s="2"/>
      <c r="H3847" s="2" t="s">
        <v>668</v>
      </c>
    </row>
    <row r="3848" customFormat="false" ht="15" hidden="false" customHeight="false" outlineLevel="0" collapsed="false">
      <c r="A3848" s="2" t="s">
        <v>965</v>
      </c>
      <c r="B3848" s="2" t="s">
        <v>46</v>
      </c>
      <c r="C3848" s="2" t="s">
        <v>4086</v>
      </c>
      <c r="D3848" s="11" t="n">
        <v>89980</v>
      </c>
      <c r="E3848" s="31" t="n">
        <v>77</v>
      </c>
      <c r="F3848" s="31" t="n">
        <v>34.2</v>
      </c>
      <c r="G3848" s="31" t="n">
        <v>3.1</v>
      </c>
      <c r="H3848" s="2" t="s">
        <v>671</v>
      </c>
    </row>
    <row r="3849" customFormat="false" ht="15" hidden="false" customHeight="false" outlineLevel="0" collapsed="false">
      <c r="A3849" s="2" t="s">
        <v>965</v>
      </c>
      <c r="B3849" s="2" t="s">
        <v>46</v>
      </c>
      <c r="C3849" s="2" t="s">
        <v>4087</v>
      </c>
      <c r="D3849" s="2"/>
      <c r="E3849" s="2"/>
      <c r="F3849" s="2"/>
      <c r="G3849" s="31" t="n">
        <v>11.1</v>
      </c>
      <c r="H3849" s="2" t="s">
        <v>668</v>
      </c>
    </row>
    <row r="3850" customFormat="false" ht="15" hidden="false" customHeight="false" outlineLevel="0" collapsed="false">
      <c r="A3850" s="2" t="s">
        <v>965</v>
      </c>
      <c r="B3850" s="2" t="s">
        <v>47</v>
      </c>
      <c r="C3850" s="2" t="s">
        <v>4085</v>
      </c>
      <c r="D3850" s="11" t="n">
        <v>830956</v>
      </c>
      <c r="E3850" s="31" t="n">
        <v>32</v>
      </c>
      <c r="F3850" s="31" t="n">
        <v>55.6</v>
      </c>
      <c r="G3850" s="31" t="n">
        <v>79.4</v>
      </c>
      <c r="H3850" s="2" t="s">
        <v>671</v>
      </c>
    </row>
    <row r="3851" customFormat="false" ht="15" hidden="false" customHeight="false" outlineLevel="0" collapsed="false">
      <c r="A3851" s="2" t="s">
        <v>965</v>
      </c>
      <c r="B3851" s="2" t="s">
        <v>47</v>
      </c>
      <c r="C3851" s="2" t="s">
        <v>4086</v>
      </c>
      <c r="D3851" s="11" t="n">
        <v>874964</v>
      </c>
      <c r="E3851" s="31" t="n">
        <v>34.9</v>
      </c>
      <c r="F3851" s="31" t="n">
        <v>40.4</v>
      </c>
      <c r="G3851" s="31" t="n">
        <v>84.6</v>
      </c>
      <c r="H3851" s="2" t="s">
        <v>671</v>
      </c>
    </row>
    <row r="3852" customFormat="false" ht="15" hidden="false" customHeight="false" outlineLevel="0" collapsed="false">
      <c r="A3852" s="2" t="s">
        <v>965</v>
      </c>
      <c r="B3852" s="2" t="s">
        <v>47</v>
      </c>
      <c r="C3852" s="2" t="s">
        <v>4087</v>
      </c>
      <c r="D3852" s="11" t="n">
        <v>894591</v>
      </c>
      <c r="E3852" s="31" t="n">
        <v>16.3</v>
      </c>
      <c r="F3852" s="31" t="n">
        <v>45.8</v>
      </c>
      <c r="G3852" s="31" t="n">
        <v>49.9</v>
      </c>
      <c r="H3852" s="2" t="s">
        <v>671</v>
      </c>
    </row>
    <row r="3853" customFormat="false" ht="15" hidden="false" customHeight="false" outlineLevel="0" collapsed="false">
      <c r="A3853" s="2" t="s">
        <v>95</v>
      </c>
      <c r="B3853" s="2" t="s">
        <v>4104</v>
      </c>
      <c r="C3853" s="2" t="s">
        <v>4085</v>
      </c>
      <c r="D3853" s="2"/>
      <c r="E3853" s="31" t="n">
        <v>99.8</v>
      </c>
      <c r="F3853" s="31" t="n">
        <v>91.2</v>
      </c>
      <c r="G3853" s="31" t="n">
        <v>49.6</v>
      </c>
      <c r="H3853" s="2" t="s">
        <v>671</v>
      </c>
    </row>
    <row r="3854" customFormat="false" ht="15" hidden="false" customHeight="false" outlineLevel="0" collapsed="false">
      <c r="A3854" s="2" t="s">
        <v>95</v>
      </c>
      <c r="B3854" s="2" t="s">
        <v>4104</v>
      </c>
      <c r="C3854" s="2" t="s">
        <v>4086</v>
      </c>
      <c r="D3854" s="2"/>
      <c r="E3854" s="31" t="n">
        <v>97.5</v>
      </c>
      <c r="F3854" s="31" t="n">
        <v>78.2</v>
      </c>
      <c r="G3854" s="31" t="n">
        <v>57</v>
      </c>
      <c r="H3854" s="2" t="s">
        <v>671</v>
      </c>
    </row>
    <row r="3855" customFormat="false" ht="15" hidden="false" customHeight="false" outlineLevel="0" collapsed="false">
      <c r="A3855" s="2" t="s">
        <v>95</v>
      </c>
      <c r="B3855" s="2" t="s">
        <v>4104</v>
      </c>
      <c r="C3855" s="2" t="s">
        <v>4087</v>
      </c>
      <c r="D3855" s="2"/>
      <c r="E3855" s="31" t="n">
        <v>97.1</v>
      </c>
      <c r="F3855" s="31" t="n">
        <v>73.8</v>
      </c>
      <c r="G3855" s="31" t="n">
        <v>93.9</v>
      </c>
      <c r="H3855" s="2" t="s">
        <v>671</v>
      </c>
    </row>
    <row r="3856" customFormat="false" ht="15" hidden="false" customHeight="false" outlineLevel="0" collapsed="false">
      <c r="A3856" s="2" t="s">
        <v>95</v>
      </c>
      <c r="B3856" s="2" t="s">
        <v>47</v>
      </c>
      <c r="C3856" s="2" t="s">
        <v>4085</v>
      </c>
      <c r="D3856" s="11" t="n">
        <v>29518</v>
      </c>
      <c r="E3856" s="31" t="n">
        <v>99.8</v>
      </c>
      <c r="F3856" s="31" t="n">
        <v>91.2</v>
      </c>
      <c r="G3856" s="31" t="n">
        <v>49.6</v>
      </c>
      <c r="H3856" s="2" t="s">
        <v>671</v>
      </c>
    </row>
    <row r="3857" customFormat="false" ht="15" hidden="false" customHeight="false" outlineLevel="0" collapsed="false">
      <c r="A3857" s="2" t="s">
        <v>95</v>
      </c>
      <c r="B3857" s="2" t="s">
        <v>47</v>
      </c>
      <c r="C3857" s="2" t="s">
        <v>4086</v>
      </c>
      <c r="D3857" s="11" t="n">
        <v>31387</v>
      </c>
      <c r="E3857" s="31" t="n">
        <v>97.5</v>
      </c>
      <c r="F3857" s="31" t="n">
        <v>78.2</v>
      </c>
      <c r="G3857" s="31" t="n">
        <v>57</v>
      </c>
      <c r="H3857" s="2" t="s">
        <v>671</v>
      </c>
    </row>
    <row r="3858" customFormat="false" ht="15" hidden="false" customHeight="false" outlineLevel="0" collapsed="false">
      <c r="A3858" s="2" t="s">
        <v>95</v>
      </c>
      <c r="B3858" s="2" t="s">
        <v>47</v>
      </c>
      <c r="C3858" s="2" t="s">
        <v>4087</v>
      </c>
      <c r="D3858" s="11" t="n">
        <v>32201</v>
      </c>
      <c r="E3858" s="31" t="n">
        <v>97.1</v>
      </c>
      <c r="F3858" s="31" t="n">
        <v>73.8</v>
      </c>
      <c r="G3858" s="31" t="n">
        <v>93.9</v>
      </c>
      <c r="H3858" s="2" t="s">
        <v>671</v>
      </c>
    </row>
    <row r="3859" customFormat="false" ht="15" hidden="false" customHeight="false" outlineLevel="0" collapsed="false">
      <c r="A3859" s="2" t="s">
        <v>624</v>
      </c>
      <c r="B3859" s="2" t="s">
        <v>4104</v>
      </c>
      <c r="C3859" s="2" t="s">
        <v>4085</v>
      </c>
      <c r="D3859" s="2"/>
      <c r="E3859" s="31" t="n">
        <v>8.3</v>
      </c>
      <c r="F3859" s="31" t="n">
        <v>74.1</v>
      </c>
      <c r="G3859" s="31" t="n">
        <v>85.5</v>
      </c>
      <c r="H3859" s="2" t="s">
        <v>671</v>
      </c>
    </row>
    <row r="3860" customFormat="false" ht="15" hidden="false" customHeight="false" outlineLevel="0" collapsed="false">
      <c r="A3860" s="2" t="s">
        <v>624</v>
      </c>
      <c r="B3860" s="2" t="s">
        <v>4104</v>
      </c>
      <c r="C3860" s="2" t="s">
        <v>4087</v>
      </c>
      <c r="D3860" s="2"/>
      <c r="E3860" s="31" t="n">
        <v>12.2</v>
      </c>
      <c r="F3860" s="31" t="n">
        <v>31.9</v>
      </c>
      <c r="G3860" s="31" t="n">
        <v>61.5</v>
      </c>
      <c r="H3860" s="2" t="s">
        <v>671</v>
      </c>
    </row>
    <row r="3861" customFormat="false" ht="15" hidden="false" customHeight="false" outlineLevel="0" collapsed="false">
      <c r="A3861" s="2" t="s">
        <v>624</v>
      </c>
      <c r="B3861" s="2" t="s">
        <v>47</v>
      </c>
      <c r="C3861" s="2" t="s">
        <v>4085</v>
      </c>
      <c r="D3861" s="11" t="n">
        <v>118156</v>
      </c>
      <c r="E3861" s="31" t="n">
        <v>8.3</v>
      </c>
      <c r="F3861" s="31" t="n">
        <v>74.1</v>
      </c>
      <c r="G3861" s="31" t="n">
        <v>85.5</v>
      </c>
      <c r="H3861" s="2" t="s">
        <v>671</v>
      </c>
    </row>
    <row r="3862" customFormat="false" ht="15" hidden="false" customHeight="false" outlineLevel="0" collapsed="false">
      <c r="A3862" s="2" t="s">
        <v>624</v>
      </c>
      <c r="B3862" s="2" t="s">
        <v>47</v>
      </c>
      <c r="C3862" s="2" t="s">
        <v>4087</v>
      </c>
      <c r="D3862" s="11" t="n">
        <v>124351</v>
      </c>
      <c r="E3862" s="31" t="n">
        <v>12.2</v>
      </c>
      <c r="F3862" s="31" t="n">
        <v>31.9</v>
      </c>
      <c r="G3862" s="31" t="n">
        <v>61.5</v>
      </c>
      <c r="H3862" s="2" t="s">
        <v>671</v>
      </c>
    </row>
    <row r="3863" customFormat="false" ht="15" hidden="false" customHeight="false" outlineLevel="0" collapsed="false">
      <c r="A3863" s="2" t="s">
        <v>2352</v>
      </c>
      <c r="B3863" s="2" t="s">
        <v>4104</v>
      </c>
      <c r="C3863" s="2" t="s">
        <v>4085</v>
      </c>
      <c r="D3863" s="2"/>
      <c r="E3863" s="31" t="n">
        <v>65.1</v>
      </c>
      <c r="F3863" s="31" t="n">
        <v>38.4</v>
      </c>
      <c r="G3863" s="31" t="n">
        <v>38.2</v>
      </c>
      <c r="H3863" s="2" t="s">
        <v>668</v>
      </c>
    </row>
    <row r="3864" customFormat="false" ht="15" hidden="false" customHeight="false" outlineLevel="0" collapsed="false">
      <c r="A3864" s="2" t="s">
        <v>2352</v>
      </c>
      <c r="B3864" s="2" t="s">
        <v>4104</v>
      </c>
      <c r="C3864" s="2" t="s">
        <v>4086</v>
      </c>
      <c r="D3864" s="2"/>
      <c r="E3864" s="31" t="n">
        <v>52.7</v>
      </c>
      <c r="F3864" s="31" t="n">
        <v>40.6</v>
      </c>
      <c r="G3864" s="31" t="n">
        <v>81</v>
      </c>
      <c r="H3864" s="2" t="s">
        <v>671</v>
      </c>
    </row>
    <row r="3865" customFormat="false" ht="15" hidden="false" customHeight="false" outlineLevel="0" collapsed="false">
      <c r="A3865" s="2" t="s">
        <v>2352</v>
      </c>
      <c r="B3865" s="2" t="s">
        <v>4104</v>
      </c>
      <c r="C3865" s="2" t="s">
        <v>4087</v>
      </c>
      <c r="D3865" s="2"/>
      <c r="E3865" s="31" t="n">
        <v>52.7</v>
      </c>
      <c r="F3865" s="31" t="n">
        <v>33.6</v>
      </c>
      <c r="G3865" s="31" t="n">
        <v>29.7</v>
      </c>
      <c r="H3865" s="2" t="s">
        <v>668</v>
      </c>
    </row>
    <row r="3866" customFormat="false" ht="15" hidden="false" customHeight="false" outlineLevel="0" collapsed="false">
      <c r="A3866" s="2" t="s">
        <v>2352</v>
      </c>
      <c r="B3866" s="2" t="s">
        <v>45</v>
      </c>
      <c r="C3866" s="2" t="s">
        <v>4085</v>
      </c>
      <c r="D3866" s="11" t="n">
        <v>76810</v>
      </c>
      <c r="E3866" s="31" t="n">
        <v>82.5</v>
      </c>
      <c r="F3866" s="31" t="n">
        <v>58.8</v>
      </c>
      <c r="G3866" s="31" t="n">
        <v>44.1</v>
      </c>
      <c r="H3866" s="2" t="s">
        <v>671</v>
      </c>
    </row>
    <row r="3867" customFormat="false" ht="15" hidden="false" customHeight="false" outlineLevel="0" collapsed="false">
      <c r="A3867" s="2" t="s">
        <v>2352</v>
      </c>
      <c r="B3867" s="2" t="s">
        <v>45</v>
      </c>
      <c r="C3867" s="2" t="s">
        <v>4086</v>
      </c>
      <c r="D3867" s="11" t="n">
        <v>80060</v>
      </c>
      <c r="E3867" s="31" t="n">
        <v>53.5</v>
      </c>
      <c r="F3867" s="31" t="n">
        <v>35.1</v>
      </c>
      <c r="G3867" s="31" t="n">
        <v>91.1</v>
      </c>
      <c r="H3867" s="2" t="s">
        <v>671</v>
      </c>
    </row>
    <row r="3868" customFormat="false" ht="15" hidden="false" customHeight="false" outlineLevel="0" collapsed="false">
      <c r="A3868" s="2" t="s">
        <v>2352</v>
      </c>
      <c r="B3868" s="2" t="s">
        <v>45</v>
      </c>
      <c r="C3868" s="2" t="s">
        <v>4087</v>
      </c>
      <c r="D3868" s="2"/>
      <c r="E3868" s="2"/>
      <c r="F3868" s="2"/>
      <c r="G3868" s="2"/>
      <c r="H3868" s="2" t="s">
        <v>668</v>
      </c>
    </row>
    <row r="3869" customFormat="false" ht="15" hidden="false" customHeight="false" outlineLevel="0" collapsed="false">
      <c r="A3869" s="2" t="s">
        <v>2352</v>
      </c>
      <c r="B3869" s="2" t="s">
        <v>46</v>
      </c>
      <c r="C3869" s="2" t="s">
        <v>4085</v>
      </c>
      <c r="D3869" s="11" t="n">
        <v>76450</v>
      </c>
      <c r="E3869" s="31" t="n">
        <v>64.8</v>
      </c>
      <c r="F3869" s="31" t="n">
        <v>9</v>
      </c>
      <c r="G3869" s="2"/>
      <c r="H3869" s="2" t="s">
        <v>668</v>
      </c>
    </row>
    <row r="3870" customFormat="false" ht="15" hidden="false" customHeight="false" outlineLevel="0" collapsed="false">
      <c r="A3870" s="2" t="s">
        <v>2352</v>
      </c>
      <c r="B3870" s="2" t="s">
        <v>46</v>
      </c>
      <c r="C3870" s="2" t="s">
        <v>4086</v>
      </c>
      <c r="D3870" s="11" t="n">
        <v>74760</v>
      </c>
      <c r="E3870" s="31" t="n">
        <v>37.7</v>
      </c>
      <c r="F3870" s="31" t="n">
        <v>18.9</v>
      </c>
      <c r="G3870" s="31" t="n">
        <v>79.7</v>
      </c>
      <c r="H3870" s="2" t="s">
        <v>671</v>
      </c>
    </row>
    <row r="3871" customFormat="false" ht="15" hidden="false" customHeight="false" outlineLevel="0" collapsed="false">
      <c r="A3871" s="2" t="s">
        <v>2352</v>
      </c>
      <c r="B3871" s="2" t="s">
        <v>46</v>
      </c>
      <c r="C3871" s="2" t="s">
        <v>4087</v>
      </c>
      <c r="D3871" s="11" t="n">
        <v>75762</v>
      </c>
      <c r="E3871" s="31" t="n">
        <v>59.6</v>
      </c>
      <c r="F3871" s="31" t="n">
        <v>15.4</v>
      </c>
      <c r="G3871" s="2"/>
      <c r="H3871" s="2" t="s">
        <v>668</v>
      </c>
    </row>
    <row r="3872" customFormat="false" ht="15" hidden="false" customHeight="false" outlineLevel="0" collapsed="false">
      <c r="A3872" s="2" t="s">
        <v>2352</v>
      </c>
      <c r="B3872" s="2" t="s">
        <v>47</v>
      </c>
      <c r="C3872" s="2" t="s">
        <v>4085</v>
      </c>
      <c r="D3872" s="11" t="n">
        <v>740459</v>
      </c>
      <c r="E3872" s="31" t="n">
        <v>47.9</v>
      </c>
      <c r="F3872" s="31" t="n">
        <v>47.5</v>
      </c>
      <c r="G3872" s="31" t="n">
        <v>32.3</v>
      </c>
      <c r="H3872" s="2" t="s">
        <v>671</v>
      </c>
    </row>
    <row r="3873" customFormat="false" ht="15" hidden="false" customHeight="false" outlineLevel="0" collapsed="false">
      <c r="A3873" s="2" t="s">
        <v>2352</v>
      </c>
      <c r="B3873" s="2" t="s">
        <v>47</v>
      </c>
      <c r="C3873" s="2" t="s">
        <v>4086</v>
      </c>
      <c r="D3873" s="11" t="n">
        <v>780760</v>
      </c>
      <c r="E3873" s="31" t="n">
        <v>67</v>
      </c>
      <c r="F3873" s="31" t="n">
        <v>67.7</v>
      </c>
      <c r="G3873" s="31" t="n">
        <v>72.2</v>
      </c>
      <c r="H3873" s="2" t="s">
        <v>671</v>
      </c>
    </row>
    <row r="3874" customFormat="false" ht="15" hidden="false" customHeight="false" outlineLevel="0" collapsed="false">
      <c r="A3874" s="2" t="s">
        <v>2352</v>
      </c>
      <c r="B3874" s="2" t="s">
        <v>47</v>
      </c>
      <c r="C3874" s="2" t="s">
        <v>4087</v>
      </c>
      <c r="D3874" s="11" t="n">
        <v>825883</v>
      </c>
      <c r="E3874" s="31" t="n">
        <v>45.8</v>
      </c>
      <c r="F3874" s="31" t="n">
        <v>51.8</v>
      </c>
      <c r="G3874" s="31" t="n">
        <v>29.7</v>
      </c>
      <c r="H3874" s="2" t="s">
        <v>671</v>
      </c>
    </row>
    <row r="3875" customFormat="false" ht="15" hidden="false" customHeight="false" outlineLevel="0" collapsed="false">
      <c r="A3875" s="2" t="s">
        <v>572</v>
      </c>
      <c r="B3875" s="2" t="s">
        <v>4104</v>
      </c>
      <c r="C3875" s="2" t="s">
        <v>4085</v>
      </c>
      <c r="D3875" s="2"/>
      <c r="E3875" s="31" t="n">
        <v>34.2</v>
      </c>
      <c r="F3875" s="31" t="n">
        <v>88</v>
      </c>
      <c r="G3875" s="31" t="n">
        <v>43.7</v>
      </c>
      <c r="H3875" s="2" t="s">
        <v>668</v>
      </c>
    </row>
    <row r="3876" customFormat="false" ht="15" hidden="false" customHeight="false" outlineLevel="0" collapsed="false">
      <c r="A3876" s="2" t="s">
        <v>572</v>
      </c>
      <c r="B3876" s="2" t="s">
        <v>4104</v>
      </c>
      <c r="C3876" s="2" t="s">
        <v>4086</v>
      </c>
      <c r="D3876" s="2"/>
      <c r="E3876" s="31" t="n">
        <v>18.8</v>
      </c>
      <c r="F3876" s="31" t="n">
        <v>53.8</v>
      </c>
      <c r="G3876" s="31" t="n">
        <v>37.6</v>
      </c>
      <c r="H3876" s="2" t="s">
        <v>668</v>
      </c>
    </row>
    <row r="3877" customFormat="false" ht="15" hidden="false" customHeight="false" outlineLevel="0" collapsed="false">
      <c r="A3877" s="2" t="s">
        <v>572</v>
      </c>
      <c r="B3877" s="2" t="s">
        <v>4104</v>
      </c>
      <c r="C3877" s="2" t="s">
        <v>4087</v>
      </c>
      <c r="D3877" s="2"/>
      <c r="E3877" s="31" t="n">
        <v>25.9</v>
      </c>
      <c r="F3877" s="31" t="n">
        <v>57.7</v>
      </c>
      <c r="G3877" s="31" t="n">
        <v>33.7</v>
      </c>
      <c r="H3877" s="2" t="s">
        <v>671</v>
      </c>
    </row>
    <row r="3878" customFormat="false" ht="15" hidden="false" customHeight="false" outlineLevel="0" collapsed="false">
      <c r="A3878" s="2" t="s">
        <v>572</v>
      </c>
      <c r="B3878" s="2" t="s">
        <v>45</v>
      </c>
      <c r="C3878" s="2" t="s">
        <v>4085</v>
      </c>
      <c r="D3878" s="11" t="n">
        <v>87218</v>
      </c>
      <c r="E3878" s="31" t="n">
        <v>11</v>
      </c>
      <c r="F3878" s="31" t="n">
        <v>80.3</v>
      </c>
      <c r="G3878" s="31" t="n">
        <v>42.2</v>
      </c>
      <c r="H3878" s="2" t="s">
        <v>671</v>
      </c>
    </row>
    <row r="3879" customFormat="false" ht="15" hidden="false" customHeight="false" outlineLevel="0" collapsed="false">
      <c r="A3879" s="2" t="s">
        <v>572</v>
      </c>
      <c r="B3879" s="2" t="s">
        <v>45</v>
      </c>
      <c r="C3879" s="2" t="s">
        <v>4086</v>
      </c>
      <c r="D3879" s="11" t="n">
        <v>87790</v>
      </c>
      <c r="E3879" s="31" t="n">
        <v>24.6</v>
      </c>
      <c r="F3879" s="31" t="n">
        <v>68.4</v>
      </c>
      <c r="G3879" s="2"/>
      <c r="H3879" s="2" t="s">
        <v>668</v>
      </c>
    </row>
    <row r="3880" customFormat="false" ht="15" hidden="false" customHeight="false" outlineLevel="0" collapsed="false">
      <c r="A3880" s="2" t="s">
        <v>572</v>
      </c>
      <c r="B3880" s="2" t="s">
        <v>45</v>
      </c>
      <c r="C3880" s="2" t="s">
        <v>4087</v>
      </c>
      <c r="D3880" s="11" t="n">
        <v>96734</v>
      </c>
      <c r="E3880" s="31" t="n">
        <v>27.1</v>
      </c>
      <c r="F3880" s="31" t="n">
        <v>61.5</v>
      </c>
      <c r="G3880" s="31" t="n">
        <v>19.9</v>
      </c>
      <c r="H3880" s="2" t="s">
        <v>671</v>
      </c>
    </row>
    <row r="3881" customFormat="false" ht="15" hidden="false" customHeight="false" outlineLevel="0" collapsed="false">
      <c r="A3881" s="2" t="s">
        <v>572</v>
      </c>
      <c r="B3881" s="2" t="s">
        <v>46</v>
      </c>
      <c r="C3881" s="2" t="s">
        <v>4085</v>
      </c>
      <c r="D3881" s="2"/>
      <c r="E3881" s="2"/>
      <c r="F3881" s="2"/>
      <c r="G3881" s="31" t="n">
        <v>70.3</v>
      </c>
      <c r="H3881" s="2" t="s">
        <v>668</v>
      </c>
    </row>
    <row r="3882" customFormat="false" ht="15" hidden="false" customHeight="false" outlineLevel="0" collapsed="false">
      <c r="A3882" s="2" t="s">
        <v>572</v>
      </c>
      <c r="B3882" s="2" t="s">
        <v>46</v>
      </c>
      <c r="C3882" s="2" t="s">
        <v>4086</v>
      </c>
      <c r="D3882" s="11" t="n">
        <v>109980</v>
      </c>
      <c r="E3882" s="31" t="n">
        <v>7.1</v>
      </c>
      <c r="F3882" s="31" t="n">
        <v>19.7</v>
      </c>
      <c r="G3882" s="31" t="n">
        <v>43.9</v>
      </c>
      <c r="H3882" s="2" t="s">
        <v>671</v>
      </c>
    </row>
    <row r="3883" customFormat="false" ht="15" hidden="false" customHeight="false" outlineLevel="0" collapsed="false">
      <c r="A3883" s="2" t="s">
        <v>572</v>
      </c>
      <c r="B3883" s="2" t="s">
        <v>46</v>
      </c>
      <c r="C3883" s="2" t="s">
        <v>4087</v>
      </c>
      <c r="D3883" s="11" t="n">
        <v>110175</v>
      </c>
      <c r="E3883" s="31" t="n">
        <v>3.6</v>
      </c>
      <c r="F3883" s="31" t="n">
        <v>21.2</v>
      </c>
      <c r="G3883" s="31" t="n">
        <v>26.9</v>
      </c>
      <c r="H3883" s="2" t="s">
        <v>671</v>
      </c>
    </row>
    <row r="3884" customFormat="false" ht="15" hidden="false" customHeight="false" outlineLevel="0" collapsed="false">
      <c r="A3884" s="2" t="s">
        <v>572</v>
      </c>
      <c r="B3884" s="2" t="s">
        <v>47</v>
      </c>
      <c r="C3884" s="2" t="s">
        <v>4085</v>
      </c>
      <c r="D3884" s="11" t="n">
        <v>172345</v>
      </c>
      <c r="E3884" s="31" t="n">
        <v>57.4</v>
      </c>
      <c r="F3884" s="31" t="n">
        <v>95.7</v>
      </c>
      <c r="G3884" s="31" t="n">
        <v>18.7</v>
      </c>
      <c r="H3884" s="2" t="s">
        <v>671</v>
      </c>
    </row>
    <row r="3885" customFormat="false" ht="15" hidden="false" customHeight="false" outlineLevel="0" collapsed="false">
      <c r="A3885" s="2" t="s">
        <v>572</v>
      </c>
      <c r="B3885" s="2" t="s">
        <v>47</v>
      </c>
      <c r="C3885" s="2" t="s">
        <v>4086</v>
      </c>
      <c r="D3885" s="11" t="n">
        <v>191540</v>
      </c>
      <c r="E3885" s="31" t="n">
        <v>24.7</v>
      </c>
      <c r="F3885" s="31" t="n">
        <v>73.3</v>
      </c>
      <c r="G3885" s="31" t="n">
        <v>31.4</v>
      </c>
      <c r="H3885" s="2" t="s">
        <v>671</v>
      </c>
    </row>
    <row r="3886" customFormat="false" ht="15" hidden="false" customHeight="false" outlineLevel="0" collapsed="false">
      <c r="A3886" s="2" t="s">
        <v>572</v>
      </c>
      <c r="B3886" s="2" t="s">
        <v>47</v>
      </c>
      <c r="C3886" s="2" t="s">
        <v>4087</v>
      </c>
      <c r="D3886" s="11" t="n">
        <v>204370</v>
      </c>
      <c r="E3886" s="31" t="n">
        <v>47.1</v>
      </c>
      <c r="F3886" s="31" t="n">
        <v>90.4</v>
      </c>
      <c r="G3886" s="31" t="n">
        <v>54.3</v>
      </c>
      <c r="H3886" s="2" t="s">
        <v>671</v>
      </c>
    </row>
    <row r="3887" customFormat="false" ht="15" hidden="false" customHeight="false" outlineLevel="0" collapsed="false">
      <c r="A3887" s="2" t="s">
        <v>792</v>
      </c>
      <c r="B3887" s="2" t="s">
        <v>4104</v>
      </c>
      <c r="C3887" s="2" t="s">
        <v>4085</v>
      </c>
      <c r="D3887" s="2"/>
      <c r="E3887" s="31" t="n">
        <v>64.4</v>
      </c>
      <c r="F3887" s="31" t="n">
        <v>23.4</v>
      </c>
      <c r="G3887" s="31" t="n">
        <v>63.5</v>
      </c>
      <c r="H3887" s="2" t="s">
        <v>668</v>
      </c>
    </row>
    <row r="3888" customFormat="false" ht="15" hidden="false" customHeight="false" outlineLevel="0" collapsed="false">
      <c r="A3888" s="2" t="s">
        <v>792</v>
      </c>
      <c r="B3888" s="2" t="s">
        <v>4104</v>
      </c>
      <c r="C3888" s="2" t="s">
        <v>4086</v>
      </c>
      <c r="D3888" s="2"/>
      <c r="E3888" s="31" t="n">
        <v>49.5</v>
      </c>
      <c r="F3888" s="31" t="n">
        <v>33</v>
      </c>
      <c r="G3888" s="31" t="n">
        <v>4.1</v>
      </c>
      <c r="H3888" s="2" t="s">
        <v>668</v>
      </c>
    </row>
    <row r="3889" customFormat="false" ht="15" hidden="false" customHeight="false" outlineLevel="0" collapsed="false">
      <c r="A3889" s="2" t="s">
        <v>792</v>
      </c>
      <c r="B3889" s="2" t="s">
        <v>4104</v>
      </c>
      <c r="C3889" s="2" t="s">
        <v>4087</v>
      </c>
      <c r="D3889" s="2"/>
      <c r="E3889" s="31" t="n">
        <v>44.8</v>
      </c>
      <c r="F3889" s="31" t="n">
        <v>29.8</v>
      </c>
      <c r="G3889" s="31" t="n">
        <v>7.8</v>
      </c>
      <c r="H3889" s="2" t="s">
        <v>668</v>
      </c>
    </row>
    <row r="3890" customFormat="false" ht="15" hidden="false" customHeight="false" outlineLevel="0" collapsed="false">
      <c r="A3890" s="2" t="s">
        <v>792</v>
      </c>
      <c r="B3890" s="2" t="s">
        <v>45</v>
      </c>
      <c r="C3890" s="2" t="s">
        <v>4085</v>
      </c>
      <c r="D3890" s="11" t="n">
        <v>69760</v>
      </c>
      <c r="E3890" s="31" t="n">
        <v>84.7</v>
      </c>
      <c r="F3890" s="31" t="n">
        <v>43.1</v>
      </c>
      <c r="G3890" s="2"/>
      <c r="H3890" s="2" t="s">
        <v>671</v>
      </c>
    </row>
    <row r="3891" customFormat="false" ht="15" hidden="false" customHeight="false" outlineLevel="0" collapsed="false">
      <c r="A3891" s="2" t="s">
        <v>792</v>
      </c>
      <c r="B3891" s="2" t="s">
        <v>45</v>
      </c>
      <c r="C3891" s="2" t="s">
        <v>4086</v>
      </c>
      <c r="D3891" s="11" t="n">
        <v>70500</v>
      </c>
      <c r="E3891" s="31" t="n">
        <v>90.5</v>
      </c>
      <c r="F3891" s="31" t="n">
        <v>49.1</v>
      </c>
      <c r="G3891" s="2"/>
      <c r="H3891" s="2" t="s">
        <v>671</v>
      </c>
    </row>
    <row r="3892" customFormat="false" ht="15" hidden="false" customHeight="false" outlineLevel="0" collapsed="false">
      <c r="A3892" s="2" t="s">
        <v>792</v>
      </c>
      <c r="B3892" s="2" t="s">
        <v>45</v>
      </c>
      <c r="C3892" s="2" t="s">
        <v>4087</v>
      </c>
      <c r="D3892" s="11" t="n">
        <v>71800</v>
      </c>
      <c r="E3892" s="31" t="n">
        <v>84.4</v>
      </c>
      <c r="F3892" s="31" t="n">
        <v>40.5</v>
      </c>
      <c r="G3892" s="2"/>
      <c r="H3892" s="2" t="s">
        <v>671</v>
      </c>
    </row>
    <row r="3893" customFormat="false" ht="15" hidden="false" customHeight="false" outlineLevel="0" collapsed="false">
      <c r="A3893" s="2" t="s">
        <v>792</v>
      </c>
      <c r="B3893" s="2" t="s">
        <v>46</v>
      </c>
      <c r="C3893" s="2" t="s">
        <v>4085</v>
      </c>
      <c r="D3893" s="11" t="n">
        <v>75000</v>
      </c>
      <c r="E3893" s="31" t="n">
        <v>44.2</v>
      </c>
      <c r="F3893" s="31" t="n">
        <v>3.7</v>
      </c>
      <c r="G3893" s="31" t="n">
        <v>63.5</v>
      </c>
      <c r="H3893" s="2" t="s">
        <v>671</v>
      </c>
    </row>
    <row r="3894" customFormat="false" ht="15" hidden="false" customHeight="false" outlineLevel="0" collapsed="false">
      <c r="A3894" s="2" t="s">
        <v>792</v>
      </c>
      <c r="B3894" s="2" t="s">
        <v>46</v>
      </c>
      <c r="C3894" s="2" t="s">
        <v>4086</v>
      </c>
      <c r="D3894" s="2"/>
      <c r="E3894" s="2"/>
      <c r="F3894" s="2"/>
      <c r="G3894" s="2"/>
      <c r="H3894" s="2" t="s">
        <v>668</v>
      </c>
    </row>
    <row r="3895" customFormat="false" ht="15" hidden="false" customHeight="false" outlineLevel="0" collapsed="false">
      <c r="A3895" s="2" t="s">
        <v>792</v>
      </c>
      <c r="B3895" s="2" t="s">
        <v>46</v>
      </c>
      <c r="C3895" s="2" t="s">
        <v>4087</v>
      </c>
      <c r="D3895" s="11" t="n">
        <v>74640</v>
      </c>
      <c r="E3895" s="31" t="n">
        <v>45.5</v>
      </c>
      <c r="F3895" s="31" t="n">
        <v>14.5</v>
      </c>
      <c r="G3895" s="2"/>
      <c r="H3895" s="2" t="s">
        <v>668</v>
      </c>
    </row>
    <row r="3896" customFormat="false" ht="15" hidden="false" customHeight="false" outlineLevel="0" collapsed="false">
      <c r="A3896" s="2" t="s">
        <v>792</v>
      </c>
      <c r="B3896" s="2" t="s">
        <v>47</v>
      </c>
      <c r="C3896" s="2" t="s">
        <v>4085</v>
      </c>
      <c r="D3896" s="2"/>
      <c r="E3896" s="2"/>
      <c r="F3896" s="2"/>
      <c r="G3896" s="2"/>
      <c r="H3896" s="2" t="s">
        <v>668</v>
      </c>
    </row>
    <row r="3897" customFormat="false" ht="15" hidden="false" customHeight="false" outlineLevel="0" collapsed="false">
      <c r="A3897" s="2" t="s">
        <v>792</v>
      </c>
      <c r="B3897" s="2" t="s">
        <v>47</v>
      </c>
      <c r="C3897" s="2" t="s">
        <v>4086</v>
      </c>
      <c r="D3897" s="11" t="n">
        <v>443682</v>
      </c>
      <c r="E3897" s="31" t="n">
        <v>8.5</v>
      </c>
      <c r="F3897" s="31" t="n">
        <v>16.8</v>
      </c>
      <c r="G3897" s="31" t="n">
        <v>4.1</v>
      </c>
      <c r="H3897" s="2" t="s">
        <v>671</v>
      </c>
    </row>
    <row r="3898" customFormat="false" ht="15" hidden="false" customHeight="false" outlineLevel="0" collapsed="false">
      <c r="A3898" s="2" t="s">
        <v>792</v>
      </c>
      <c r="B3898" s="2" t="s">
        <v>47</v>
      </c>
      <c r="C3898" s="2" t="s">
        <v>4087</v>
      </c>
      <c r="D3898" s="11" t="n">
        <v>448201</v>
      </c>
      <c r="E3898" s="31" t="n">
        <v>4.4</v>
      </c>
      <c r="F3898" s="31" t="n">
        <v>34.3</v>
      </c>
      <c r="G3898" s="31" t="n">
        <v>7.8</v>
      </c>
      <c r="H3898" s="2" t="s">
        <v>671</v>
      </c>
    </row>
    <row r="3899" customFormat="false" ht="15" hidden="false" customHeight="false" outlineLevel="0" collapsed="false">
      <c r="A3899" s="2" t="s">
        <v>552</v>
      </c>
      <c r="B3899" s="2" t="s">
        <v>4104</v>
      </c>
      <c r="C3899" s="2" t="s">
        <v>4085</v>
      </c>
      <c r="D3899" s="2"/>
      <c r="E3899" s="31" t="n">
        <v>25.4</v>
      </c>
      <c r="F3899" s="31" t="n">
        <v>27.2</v>
      </c>
      <c r="G3899" s="31" t="n">
        <v>46.2</v>
      </c>
      <c r="H3899" s="2" t="s">
        <v>671</v>
      </c>
    </row>
    <row r="3900" customFormat="false" ht="15" hidden="false" customHeight="false" outlineLevel="0" collapsed="false">
      <c r="A3900" s="2" t="s">
        <v>552</v>
      </c>
      <c r="B3900" s="2" t="s">
        <v>4104</v>
      </c>
      <c r="C3900" s="2" t="s">
        <v>4086</v>
      </c>
      <c r="D3900" s="2"/>
      <c r="E3900" s="31" t="n">
        <v>42.1</v>
      </c>
      <c r="F3900" s="31" t="n">
        <v>44.8</v>
      </c>
      <c r="G3900" s="31" t="n">
        <v>38.1</v>
      </c>
      <c r="H3900" s="2" t="s">
        <v>668</v>
      </c>
    </row>
    <row r="3901" customFormat="false" ht="15" hidden="false" customHeight="false" outlineLevel="0" collapsed="false">
      <c r="A3901" s="2" t="s">
        <v>552</v>
      </c>
      <c r="B3901" s="2" t="s">
        <v>4104</v>
      </c>
      <c r="C3901" s="2" t="s">
        <v>4087</v>
      </c>
      <c r="D3901" s="2"/>
      <c r="E3901" s="31" t="n">
        <v>29.6</v>
      </c>
      <c r="F3901" s="31" t="n">
        <v>28.1</v>
      </c>
      <c r="G3901" s="31" t="n">
        <v>60.6</v>
      </c>
      <c r="H3901" s="2" t="s">
        <v>671</v>
      </c>
    </row>
    <row r="3902" customFormat="false" ht="15" hidden="false" customHeight="false" outlineLevel="0" collapsed="false">
      <c r="A3902" s="2" t="s">
        <v>552</v>
      </c>
      <c r="B3902" s="2" t="s">
        <v>45</v>
      </c>
      <c r="C3902" s="2" t="s">
        <v>4085</v>
      </c>
      <c r="D3902" s="11" t="n">
        <v>304960</v>
      </c>
      <c r="E3902" s="31" t="n">
        <v>20.7</v>
      </c>
      <c r="F3902" s="31" t="n">
        <v>13.7</v>
      </c>
      <c r="G3902" s="31" t="n">
        <v>86.3</v>
      </c>
      <c r="H3902" s="2" t="s">
        <v>671</v>
      </c>
    </row>
    <row r="3903" customFormat="false" ht="15" hidden="false" customHeight="false" outlineLevel="0" collapsed="false">
      <c r="A3903" s="2" t="s">
        <v>552</v>
      </c>
      <c r="B3903" s="2" t="s">
        <v>45</v>
      </c>
      <c r="C3903" s="2" t="s">
        <v>4086</v>
      </c>
      <c r="D3903" s="11" t="n">
        <v>320211</v>
      </c>
      <c r="E3903" s="31" t="n">
        <v>29.7</v>
      </c>
      <c r="F3903" s="31" t="n">
        <v>47.1</v>
      </c>
      <c r="G3903" s="2"/>
      <c r="H3903" s="2" t="s">
        <v>668</v>
      </c>
    </row>
    <row r="3904" customFormat="false" ht="15" hidden="false" customHeight="false" outlineLevel="0" collapsed="false">
      <c r="A3904" s="2" t="s">
        <v>552</v>
      </c>
      <c r="B3904" s="2" t="s">
        <v>45</v>
      </c>
      <c r="C3904" s="2" t="s">
        <v>4087</v>
      </c>
      <c r="D3904" s="11" t="n">
        <v>332110</v>
      </c>
      <c r="E3904" s="31" t="n">
        <v>22.2</v>
      </c>
      <c r="F3904" s="31" t="n">
        <v>22.5</v>
      </c>
      <c r="G3904" s="31" t="n">
        <v>83.7</v>
      </c>
      <c r="H3904" s="2" t="s">
        <v>671</v>
      </c>
    </row>
    <row r="3905" customFormat="false" ht="15" hidden="false" customHeight="false" outlineLevel="0" collapsed="false">
      <c r="A3905" s="2" t="s">
        <v>552</v>
      </c>
      <c r="B3905" s="2" t="s">
        <v>46</v>
      </c>
      <c r="C3905" s="2" t="s">
        <v>4085</v>
      </c>
      <c r="D3905" s="11" t="n">
        <v>11843</v>
      </c>
      <c r="E3905" s="31" t="n">
        <v>1.6</v>
      </c>
      <c r="F3905" s="31" t="n">
        <v>1.1</v>
      </c>
      <c r="G3905" s="31" t="n">
        <v>29</v>
      </c>
      <c r="H3905" s="2" t="s">
        <v>671</v>
      </c>
    </row>
    <row r="3906" customFormat="false" ht="15" hidden="false" customHeight="false" outlineLevel="0" collapsed="false">
      <c r="A3906" s="2" t="s">
        <v>552</v>
      </c>
      <c r="B3906" s="2" t="s">
        <v>46</v>
      </c>
      <c r="C3906" s="2" t="s">
        <v>4086</v>
      </c>
      <c r="D3906" s="11" t="n">
        <v>11670</v>
      </c>
      <c r="E3906" s="2"/>
      <c r="F3906" s="2"/>
      <c r="G3906" s="31" t="n">
        <v>20.3</v>
      </c>
      <c r="H3906" s="2" t="s">
        <v>668</v>
      </c>
    </row>
    <row r="3907" customFormat="false" ht="15" hidden="false" customHeight="false" outlineLevel="0" collapsed="false">
      <c r="A3907" s="2" t="s">
        <v>552</v>
      </c>
      <c r="B3907" s="2" t="s">
        <v>46</v>
      </c>
      <c r="C3907" s="2" t="s">
        <v>4087</v>
      </c>
      <c r="D3907" s="11" t="n">
        <v>11444</v>
      </c>
      <c r="E3907" s="31" t="n">
        <v>5.7</v>
      </c>
      <c r="F3907" s="31" t="n">
        <v>2.1</v>
      </c>
      <c r="G3907" s="31" t="n">
        <v>40.4</v>
      </c>
      <c r="H3907" s="2" t="s">
        <v>671</v>
      </c>
    </row>
    <row r="3908" customFormat="false" ht="15" hidden="false" customHeight="false" outlineLevel="0" collapsed="false">
      <c r="A3908" s="2" t="s">
        <v>552</v>
      </c>
      <c r="B3908" s="2" t="s">
        <v>47</v>
      </c>
      <c r="C3908" s="2" t="s">
        <v>4085</v>
      </c>
      <c r="D3908" s="11" t="n">
        <v>16158</v>
      </c>
      <c r="E3908" s="31" t="n">
        <v>53.8</v>
      </c>
      <c r="F3908" s="31" t="n">
        <v>66.7</v>
      </c>
      <c r="G3908" s="31" t="n">
        <v>23.3</v>
      </c>
      <c r="H3908" s="2" t="s">
        <v>671</v>
      </c>
    </row>
    <row r="3909" customFormat="false" ht="15" hidden="false" customHeight="false" outlineLevel="0" collapsed="false">
      <c r="A3909" s="2" t="s">
        <v>552</v>
      </c>
      <c r="B3909" s="2" t="s">
        <v>47</v>
      </c>
      <c r="C3909" s="2" t="s">
        <v>4086</v>
      </c>
      <c r="D3909" s="11" t="n">
        <v>17210</v>
      </c>
      <c r="E3909" s="31" t="n">
        <v>54.5</v>
      </c>
      <c r="F3909" s="31" t="n">
        <v>42.5</v>
      </c>
      <c r="G3909" s="31" t="n">
        <v>55.9</v>
      </c>
      <c r="H3909" s="2" t="s">
        <v>671</v>
      </c>
    </row>
    <row r="3910" customFormat="false" ht="15" hidden="false" customHeight="false" outlineLevel="0" collapsed="false">
      <c r="A3910" s="2" t="s">
        <v>552</v>
      </c>
      <c r="B3910" s="2" t="s">
        <v>47</v>
      </c>
      <c r="C3910" s="2" t="s">
        <v>4087</v>
      </c>
      <c r="D3910" s="11" t="n">
        <v>17676</v>
      </c>
      <c r="E3910" s="31" t="n">
        <v>60.8</v>
      </c>
      <c r="F3910" s="31" t="n">
        <v>59.6</v>
      </c>
      <c r="G3910" s="31" t="n">
        <v>57.7</v>
      </c>
      <c r="H3910" s="2" t="s">
        <v>671</v>
      </c>
    </row>
    <row r="3911" customFormat="false" ht="15" hidden="false" customHeight="false" outlineLevel="0" collapsed="false">
      <c r="A3911" s="2" t="s">
        <v>1505</v>
      </c>
      <c r="B3911" s="2" t="s">
        <v>4104</v>
      </c>
      <c r="C3911" s="2" t="s">
        <v>4085</v>
      </c>
      <c r="D3911" s="2"/>
      <c r="E3911" s="31" t="n">
        <v>62.5</v>
      </c>
      <c r="F3911" s="31" t="n">
        <v>21.6</v>
      </c>
      <c r="G3911" s="31" t="n">
        <v>51.2</v>
      </c>
      <c r="H3911" s="2" t="s">
        <v>668</v>
      </c>
    </row>
    <row r="3912" customFormat="false" ht="15" hidden="false" customHeight="false" outlineLevel="0" collapsed="false">
      <c r="A3912" s="2" t="s">
        <v>1505</v>
      </c>
      <c r="B3912" s="2" t="s">
        <v>4104</v>
      </c>
      <c r="C3912" s="2" t="s">
        <v>4086</v>
      </c>
      <c r="D3912" s="2"/>
      <c r="E3912" s="31" t="n">
        <v>41.6</v>
      </c>
      <c r="F3912" s="31" t="n">
        <v>16.8</v>
      </c>
      <c r="G3912" s="31" t="n">
        <v>31.8</v>
      </c>
      <c r="H3912" s="2" t="s">
        <v>668</v>
      </c>
    </row>
    <row r="3913" customFormat="false" ht="15" hidden="false" customHeight="false" outlineLevel="0" collapsed="false">
      <c r="A3913" s="2" t="s">
        <v>1505</v>
      </c>
      <c r="B3913" s="2" t="s">
        <v>4104</v>
      </c>
      <c r="C3913" s="2" t="s">
        <v>4087</v>
      </c>
      <c r="D3913" s="2"/>
      <c r="E3913" s="31" t="n">
        <v>52.2</v>
      </c>
      <c r="F3913" s="31" t="n">
        <v>41.8</v>
      </c>
      <c r="G3913" s="31" t="n">
        <v>61.8</v>
      </c>
      <c r="H3913" s="2" t="s">
        <v>668</v>
      </c>
    </row>
    <row r="3914" customFormat="false" ht="15" hidden="false" customHeight="false" outlineLevel="0" collapsed="false">
      <c r="A3914" s="2" t="s">
        <v>1505</v>
      </c>
      <c r="B3914" s="2" t="s">
        <v>45</v>
      </c>
      <c r="C3914" s="2" t="s">
        <v>4085</v>
      </c>
      <c r="D3914" s="11" t="n">
        <v>92645</v>
      </c>
      <c r="E3914" s="31" t="n">
        <v>45.6</v>
      </c>
      <c r="F3914" s="2"/>
      <c r="G3914" s="2"/>
      <c r="H3914" s="2" t="s">
        <v>668</v>
      </c>
    </row>
    <row r="3915" customFormat="false" ht="15" hidden="false" customHeight="false" outlineLevel="0" collapsed="false">
      <c r="A3915" s="2" t="s">
        <v>1505</v>
      </c>
      <c r="B3915" s="2" t="s">
        <v>45</v>
      </c>
      <c r="C3915" s="2" t="s">
        <v>4086</v>
      </c>
      <c r="D3915" s="11" t="n">
        <v>92300</v>
      </c>
      <c r="E3915" s="31" t="n">
        <v>31</v>
      </c>
      <c r="F3915" s="31" t="n">
        <v>27.8</v>
      </c>
      <c r="G3915" s="31" t="n">
        <v>4.7</v>
      </c>
      <c r="H3915" s="2" t="s">
        <v>671</v>
      </c>
    </row>
    <row r="3916" customFormat="false" ht="15" hidden="false" customHeight="false" outlineLevel="0" collapsed="false">
      <c r="A3916" s="2" t="s">
        <v>1505</v>
      </c>
      <c r="B3916" s="2" t="s">
        <v>45</v>
      </c>
      <c r="C3916" s="2" t="s">
        <v>4087</v>
      </c>
      <c r="D3916" s="11" t="n">
        <v>98927</v>
      </c>
      <c r="E3916" s="31" t="n">
        <v>34.4</v>
      </c>
      <c r="F3916" s="31" t="n">
        <v>38.9</v>
      </c>
      <c r="G3916" s="2"/>
      <c r="H3916" s="2" t="s">
        <v>668</v>
      </c>
    </row>
    <row r="3917" customFormat="false" ht="15" hidden="false" customHeight="false" outlineLevel="0" collapsed="false">
      <c r="A3917" s="2" t="s">
        <v>1505</v>
      </c>
      <c r="B3917" s="2" t="s">
        <v>46</v>
      </c>
      <c r="C3917" s="2" t="s">
        <v>4085</v>
      </c>
      <c r="D3917" s="11" t="n">
        <v>55540</v>
      </c>
      <c r="E3917" s="31" t="n">
        <v>76.3</v>
      </c>
      <c r="F3917" s="31" t="n">
        <v>25.5</v>
      </c>
      <c r="G3917" s="31" t="n">
        <v>85.2</v>
      </c>
      <c r="H3917" s="2" t="s">
        <v>671</v>
      </c>
    </row>
    <row r="3918" customFormat="false" ht="15" hidden="false" customHeight="false" outlineLevel="0" collapsed="false">
      <c r="A3918" s="2" t="s">
        <v>1505</v>
      </c>
      <c r="B3918" s="2" t="s">
        <v>46</v>
      </c>
      <c r="C3918" s="2" t="s">
        <v>4086</v>
      </c>
      <c r="D3918" s="2"/>
      <c r="E3918" s="2"/>
      <c r="F3918" s="2"/>
      <c r="G3918" s="2"/>
      <c r="H3918" s="2" t="s">
        <v>668</v>
      </c>
    </row>
    <row r="3919" customFormat="false" ht="15" hidden="false" customHeight="false" outlineLevel="0" collapsed="false">
      <c r="A3919" s="2" t="s">
        <v>1505</v>
      </c>
      <c r="B3919" s="2" t="s">
        <v>46</v>
      </c>
      <c r="C3919" s="2" t="s">
        <v>4087</v>
      </c>
      <c r="D3919" s="11" t="n">
        <v>59040</v>
      </c>
      <c r="E3919" s="31" t="n">
        <v>80.8</v>
      </c>
      <c r="F3919" s="31" t="n">
        <v>48.5</v>
      </c>
      <c r="G3919" s="31" t="n">
        <v>83.2</v>
      </c>
      <c r="H3919" s="2" t="s">
        <v>671</v>
      </c>
    </row>
    <row r="3920" customFormat="false" ht="15" hidden="false" customHeight="false" outlineLevel="0" collapsed="false">
      <c r="A3920" s="2" t="s">
        <v>1505</v>
      </c>
      <c r="B3920" s="2" t="s">
        <v>47</v>
      </c>
      <c r="C3920" s="2" t="s">
        <v>4085</v>
      </c>
      <c r="D3920" s="11" t="n">
        <v>37640</v>
      </c>
      <c r="E3920" s="31" t="n">
        <v>65.6</v>
      </c>
      <c r="F3920" s="31" t="n">
        <v>17.6</v>
      </c>
      <c r="G3920" s="31" t="n">
        <v>17.1</v>
      </c>
      <c r="H3920" s="2" t="s">
        <v>671</v>
      </c>
    </row>
    <row r="3921" customFormat="false" ht="15" hidden="false" customHeight="false" outlineLevel="0" collapsed="false">
      <c r="A3921" s="2" t="s">
        <v>1505</v>
      </c>
      <c r="B3921" s="2" t="s">
        <v>47</v>
      </c>
      <c r="C3921" s="2" t="s">
        <v>4086</v>
      </c>
      <c r="D3921" s="11" t="n">
        <v>37466</v>
      </c>
      <c r="E3921" s="31" t="n">
        <v>52.2</v>
      </c>
      <c r="F3921" s="31" t="n">
        <v>5.8</v>
      </c>
      <c r="G3921" s="31" t="n">
        <v>59</v>
      </c>
      <c r="H3921" s="2" t="s">
        <v>671</v>
      </c>
    </row>
    <row r="3922" customFormat="false" ht="15" hidden="false" customHeight="false" outlineLevel="0" collapsed="false">
      <c r="A3922" s="2" t="s">
        <v>1505</v>
      </c>
      <c r="B3922" s="2" t="s">
        <v>47</v>
      </c>
      <c r="C3922" s="2" t="s">
        <v>4087</v>
      </c>
      <c r="D3922" s="11" t="n">
        <v>38900</v>
      </c>
      <c r="E3922" s="31" t="n">
        <v>41.4</v>
      </c>
      <c r="F3922" s="31" t="n">
        <v>37.9</v>
      </c>
      <c r="G3922" s="31" t="n">
        <v>40.4</v>
      </c>
      <c r="H3922" s="2" t="s">
        <v>671</v>
      </c>
    </row>
    <row r="3923" customFormat="false" ht="15" hidden="false" customHeight="false" outlineLevel="0" collapsed="false">
      <c r="A3923" s="2" t="s">
        <v>316</v>
      </c>
      <c r="B3923" s="2" t="s">
        <v>4104</v>
      </c>
      <c r="C3923" s="2" t="s">
        <v>4085</v>
      </c>
      <c r="D3923" s="2"/>
      <c r="E3923" s="31" t="n">
        <v>64.2</v>
      </c>
      <c r="F3923" s="31" t="n">
        <v>76.8</v>
      </c>
      <c r="G3923" s="31" t="n">
        <v>91.2</v>
      </c>
      <c r="H3923" s="2" t="s">
        <v>668</v>
      </c>
    </row>
    <row r="3924" customFormat="false" ht="15" hidden="false" customHeight="false" outlineLevel="0" collapsed="false">
      <c r="A3924" s="2" t="s">
        <v>316</v>
      </c>
      <c r="B3924" s="2" t="s">
        <v>4104</v>
      </c>
      <c r="C3924" s="2" t="s">
        <v>4086</v>
      </c>
      <c r="D3924" s="2"/>
      <c r="E3924" s="31" t="n">
        <v>49.6</v>
      </c>
      <c r="F3924" s="31" t="n">
        <v>87</v>
      </c>
      <c r="G3924" s="31" t="n">
        <v>36.6</v>
      </c>
      <c r="H3924" s="2" t="s">
        <v>668</v>
      </c>
    </row>
    <row r="3925" customFormat="false" ht="15" hidden="false" customHeight="false" outlineLevel="0" collapsed="false">
      <c r="A3925" s="2" t="s">
        <v>316</v>
      </c>
      <c r="B3925" s="2" t="s">
        <v>4104</v>
      </c>
      <c r="C3925" s="2" t="s">
        <v>4087</v>
      </c>
      <c r="D3925" s="2"/>
      <c r="E3925" s="31" t="n">
        <v>56.3</v>
      </c>
      <c r="F3925" s="31" t="n">
        <v>70.5</v>
      </c>
      <c r="G3925" s="31" t="n">
        <v>47.5</v>
      </c>
      <c r="H3925" s="2" t="s">
        <v>671</v>
      </c>
    </row>
    <row r="3926" customFormat="false" ht="15" hidden="false" customHeight="false" outlineLevel="0" collapsed="false">
      <c r="A3926" s="2" t="s">
        <v>316</v>
      </c>
      <c r="B3926" s="2" t="s">
        <v>45</v>
      </c>
      <c r="C3926" s="2" t="s">
        <v>4085</v>
      </c>
      <c r="D3926" s="11" t="n">
        <v>25394</v>
      </c>
      <c r="E3926" s="31" t="n">
        <v>95.7</v>
      </c>
      <c r="F3926" s="31" t="n">
        <v>92</v>
      </c>
      <c r="G3926" s="31" t="n">
        <v>92</v>
      </c>
      <c r="H3926" s="2" t="s">
        <v>671</v>
      </c>
    </row>
    <row r="3927" customFormat="false" ht="15" hidden="false" customHeight="false" outlineLevel="0" collapsed="false">
      <c r="A3927" s="2" t="s">
        <v>316</v>
      </c>
      <c r="B3927" s="2" t="s">
        <v>45</v>
      </c>
      <c r="C3927" s="2" t="s">
        <v>4086</v>
      </c>
      <c r="D3927" s="2"/>
      <c r="E3927" s="2"/>
      <c r="F3927" s="2"/>
      <c r="G3927" s="2"/>
      <c r="H3927" s="2" t="s">
        <v>668</v>
      </c>
    </row>
    <row r="3928" customFormat="false" ht="15" hidden="false" customHeight="false" outlineLevel="0" collapsed="false">
      <c r="A3928" s="2" t="s">
        <v>316</v>
      </c>
      <c r="B3928" s="2" t="s">
        <v>45</v>
      </c>
      <c r="C3928" s="2" t="s">
        <v>4087</v>
      </c>
      <c r="D3928" s="11" t="n">
        <v>28870</v>
      </c>
      <c r="E3928" s="31" t="n">
        <v>94.7</v>
      </c>
      <c r="F3928" s="31" t="n">
        <v>90.9</v>
      </c>
      <c r="G3928" s="31" t="n">
        <v>58</v>
      </c>
      <c r="H3928" s="2" t="s">
        <v>671</v>
      </c>
    </row>
    <row r="3929" customFormat="false" ht="15" hidden="false" customHeight="false" outlineLevel="0" collapsed="false">
      <c r="A3929" s="2" t="s">
        <v>316</v>
      </c>
      <c r="B3929" s="2" t="s">
        <v>46</v>
      </c>
      <c r="C3929" s="2" t="s">
        <v>4085</v>
      </c>
      <c r="D3929" s="11" t="n">
        <v>129190</v>
      </c>
      <c r="E3929" s="31" t="n">
        <v>52.8</v>
      </c>
      <c r="F3929" s="31" t="n">
        <v>56.4</v>
      </c>
      <c r="G3929" s="2"/>
      <c r="H3929" s="2" t="s">
        <v>668</v>
      </c>
    </row>
    <row r="3930" customFormat="false" ht="15" hidden="false" customHeight="false" outlineLevel="0" collapsed="false">
      <c r="A3930" s="2" t="s">
        <v>316</v>
      </c>
      <c r="B3930" s="2" t="s">
        <v>46</v>
      </c>
      <c r="C3930" s="2" t="s">
        <v>4086</v>
      </c>
      <c r="D3930" s="2"/>
      <c r="E3930" s="2"/>
      <c r="F3930" s="2"/>
      <c r="G3930" s="31" t="n">
        <v>8.4</v>
      </c>
      <c r="H3930" s="2" t="s">
        <v>668</v>
      </c>
    </row>
    <row r="3931" customFormat="false" ht="15" hidden="false" customHeight="false" outlineLevel="0" collapsed="false">
      <c r="A3931" s="2" t="s">
        <v>316</v>
      </c>
      <c r="B3931" s="2" t="s">
        <v>46</v>
      </c>
      <c r="C3931" s="2" t="s">
        <v>4087</v>
      </c>
      <c r="D3931" s="11" t="n">
        <v>136246</v>
      </c>
      <c r="E3931" s="31" t="n">
        <v>44</v>
      </c>
      <c r="F3931" s="31" t="n">
        <v>37.7</v>
      </c>
      <c r="G3931" s="31" t="n">
        <v>8.8</v>
      </c>
      <c r="H3931" s="2" t="s">
        <v>671</v>
      </c>
    </row>
    <row r="3932" customFormat="false" ht="15" hidden="false" customHeight="false" outlineLevel="0" collapsed="false">
      <c r="A3932" s="2" t="s">
        <v>316</v>
      </c>
      <c r="B3932" s="2" t="s">
        <v>47</v>
      </c>
      <c r="C3932" s="2" t="s">
        <v>4085</v>
      </c>
      <c r="D3932" s="11" t="n">
        <v>30955</v>
      </c>
      <c r="E3932" s="31" t="n">
        <v>44.1</v>
      </c>
      <c r="F3932" s="31" t="n">
        <v>82</v>
      </c>
      <c r="G3932" s="31" t="n">
        <v>90.5</v>
      </c>
      <c r="H3932" s="2" t="s">
        <v>671</v>
      </c>
    </row>
    <row r="3933" customFormat="false" ht="15" hidden="false" customHeight="false" outlineLevel="0" collapsed="false">
      <c r="A3933" s="2" t="s">
        <v>316</v>
      </c>
      <c r="B3933" s="2" t="s">
        <v>47</v>
      </c>
      <c r="C3933" s="2" t="s">
        <v>4086</v>
      </c>
      <c r="D3933" s="11" t="n">
        <v>32895</v>
      </c>
      <c r="E3933" s="31" t="n">
        <v>49.6</v>
      </c>
      <c r="F3933" s="31" t="n">
        <v>87</v>
      </c>
      <c r="G3933" s="31" t="n">
        <v>64.7</v>
      </c>
      <c r="H3933" s="2" t="s">
        <v>671</v>
      </c>
    </row>
    <row r="3934" customFormat="false" ht="15" hidden="false" customHeight="false" outlineLevel="0" collapsed="false">
      <c r="A3934" s="2" t="s">
        <v>316</v>
      </c>
      <c r="B3934" s="2" t="s">
        <v>47</v>
      </c>
      <c r="C3934" s="2" t="s">
        <v>4087</v>
      </c>
      <c r="D3934" s="11" t="n">
        <v>35190</v>
      </c>
      <c r="E3934" s="31" t="n">
        <v>30.2</v>
      </c>
      <c r="F3934" s="31" t="n">
        <v>83</v>
      </c>
      <c r="G3934" s="31" t="n">
        <v>75.6</v>
      </c>
      <c r="H3934" s="2" t="s">
        <v>671</v>
      </c>
    </row>
    <row r="3935" customFormat="false" ht="15" hidden="false" customHeight="false" outlineLevel="0" collapsed="false">
      <c r="A3935" s="2" t="s">
        <v>1947</v>
      </c>
      <c r="B3935" s="2" t="s">
        <v>4104</v>
      </c>
      <c r="C3935" s="2" t="s">
        <v>4085</v>
      </c>
      <c r="D3935" s="2"/>
      <c r="E3935" s="31" t="n">
        <v>18.5</v>
      </c>
      <c r="F3935" s="31" t="n">
        <v>68.7</v>
      </c>
      <c r="G3935" s="31" t="n">
        <v>45.9</v>
      </c>
      <c r="H3935" s="2" t="s">
        <v>668</v>
      </c>
    </row>
    <row r="3936" customFormat="false" ht="15" hidden="false" customHeight="false" outlineLevel="0" collapsed="false">
      <c r="A3936" s="2" t="s">
        <v>1947</v>
      </c>
      <c r="B3936" s="2" t="s">
        <v>4104</v>
      </c>
      <c r="C3936" s="2" t="s">
        <v>4086</v>
      </c>
      <c r="D3936" s="2"/>
      <c r="E3936" s="31" t="n">
        <v>6.2</v>
      </c>
      <c r="F3936" s="31" t="n">
        <v>82</v>
      </c>
      <c r="G3936" s="31" t="n">
        <v>94.1</v>
      </c>
      <c r="H3936" s="2" t="s">
        <v>668</v>
      </c>
    </row>
    <row r="3937" customFormat="false" ht="15" hidden="false" customHeight="false" outlineLevel="0" collapsed="false">
      <c r="A3937" s="2" t="s">
        <v>1947</v>
      </c>
      <c r="B3937" s="2" t="s">
        <v>4104</v>
      </c>
      <c r="C3937" s="2" t="s">
        <v>4087</v>
      </c>
      <c r="D3937" s="2"/>
      <c r="E3937" s="31" t="n">
        <v>17.8</v>
      </c>
      <c r="F3937" s="31" t="n">
        <v>73.4</v>
      </c>
      <c r="G3937" s="31" t="n">
        <v>10.4</v>
      </c>
      <c r="H3937" s="2" t="s">
        <v>668</v>
      </c>
    </row>
    <row r="3938" customFormat="false" ht="15" hidden="false" customHeight="false" outlineLevel="0" collapsed="false">
      <c r="A3938" s="2" t="s">
        <v>1947</v>
      </c>
      <c r="B3938" s="2" t="s">
        <v>45</v>
      </c>
      <c r="C3938" s="2" t="s">
        <v>4085</v>
      </c>
      <c r="D3938" s="11" t="n">
        <v>118010</v>
      </c>
      <c r="E3938" s="31" t="n">
        <v>18.2</v>
      </c>
      <c r="F3938" s="31" t="n">
        <v>41.8</v>
      </c>
      <c r="G3938" s="31" t="n">
        <v>43.9</v>
      </c>
      <c r="H3938" s="2" t="s">
        <v>671</v>
      </c>
    </row>
    <row r="3939" customFormat="false" ht="15" hidden="false" customHeight="false" outlineLevel="0" collapsed="false">
      <c r="A3939" s="2" t="s">
        <v>1947</v>
      </c>
      <c r="B3939" s="2" t="s">
        <v>45</v>
      </c>
      <c r="C3939" s="2" t="s">
        <v>4086</v>
      </c>
      <c r="D3939" s="2"/>
      <c r="E3939" s="2"/>
      <c r="F3939" s="2"/>
      <c r="G3939" s="2"/>
      <c r="H3939" s="2" t="s">
        <v>668</v>
      </c>
    </row>
    <row r="3940" customFormat="false" ht="15" hidden="false" customHeight="false" outlineLevel="0" collapsed="false">
      <c r="A3940" s="2" t="s">
        <v>1947</v>
      </c>
      <c r="B3940" s="2" t="s">
        <v>45</v>
      </c>
      <c r="C3940" s="2" t="s">
        <v>4087</v>
      </c>
      <c r="D3940" s="11" t="n">
        <v>120660</v>
      </c>
      <c r="E3940" s="31" t="n">
        <v>32.3</v>
      </c>
      <c r="F3940" s="31" t="n">
        <v>58</v>
      </c>
      <c r="G3940" s="2"/>
      <c r="H3940" s="2" t="s">
        <v>668</v>
      </c>
    </row>
    <row r="3941" customFormat="false" ht="15" hidden="false" customHeight="false" outlineLevel="0" collapsed="false">
      <c r="A3941" s="2" t="s">
        <v>1947</v>
      </c>
      <c r="B3941" s="2" t="s">
        <v>46</v>
      </c>
      <c r="C3941" s="2" t="s">
        <v>4085</v>
      </c>
      <c r="D3941" s="11" t="n">
        <v>56790</v>
      </c>
      <c r="E3941" s="31" t="n">
        <v>23.9</v>
      </c>
      <c r="F3941" s="31" t="n">
        <v>74.9</v>
      </c>
      <c r="G3941" s="31" t="n">
        <v>36.8</v>
      </c>
      <c r="H3941" s="2" t="s">
        <v>668</v>
      </c>
    </row>
    <row r="3942" customFormat="false" ht="15" hidden="false" customHeight="false" outlineLevel="0" collapsed="false">
      <c r="A3942" s="2" t="s">
        <v>1947</v>
      </c>
      <c r="B3942" s="2" t="s">
        <v>46</v>
      </c>
      <c r="C3942" s="2" t="s">
        <v>4086</v>
      </c>
      <c r="D3942" s="2"/>
      <c r="E3942" s="2"/>
      <c r="F3942" s="2"/>
      <c r="G3942" s="2"/>
      <c r="H3942" s="2" t="s">
        <v>668</v>
      </c>
    </row>
    <row r="3943" customFormat="false" ht="15" hidden="false" customHeight="false" outlineLevel="0" collapsed="false">
      <c r="A3943" s="2" t="s">
        <v>1947</v>
      </c>
      <c r="B3943" s="2" t="s">
        <v>46</v>
      </c>
      <c r="C3943" s="2" t="s">
        <v>4087</v>
      </c>
      <c r="D3943" s="11" t="n">
        <v>63015</v>
      </c>
      <c r="E3943" s="31" t="n">
        <v>3.2</v>
      </c>
      <c r="F3943" s="31" t="n">
        <v>88.8</v>
      </c>
      <c r="G3943" s="31" t="n">
        <v>10.4</v>
      </c>
      <c r="H3943" s="2" t="s">
        <v>671</v>
      </c>
    </row>
    <row r="3944" customFormat="false" ht="15" hidden="false" customHeight="false" outlineLevel="0" collapsed="false">
      <c r="A3944" s="2" t="s">
        <v>1947</v>
      </c>
      <c r="B3944" s="2" t="s">
        <v>47</v>
      </c>
      <c r="C3944" s="2" t="s">
        <v>4085</v>
      </c>
      <c r="D3944" s="11" t="n">
        <v>154580</v>
      </c>
      <c r="E3944" s="31" t="n">
        <v>13.3</v>
      </c>
      <c r="F3944" s="31" t="n">
        <v>89.5</v>
      </c>
      <c r="G3944" s="31" t="n">
        <v>57</v>
      </c>
      <c r="H3944" s="2" t="s">
        <v>671</v>
      </c>
    </row>
    <row r="3945" customFormat="false" ht="15" hidden="false" customHeight="false" outlineLevel="0" collapsed="false">
      <c r="A3945" s="2" t="s">
        <v>1947</v>
      </c>
      <c r="B3945" s="2" t="s">
        <v>47</v>
      </c>
      <c r="C3945" s="2" t="s">
        <v>4086</v>
      </c>
      <c r="D3945" s="11" t="n">
        <v>175095</v>
      </c>
      <c r="E3945" s="31" t="n">
        <v>6.2</v>
      </c>
      <c r="F3945" s="31" t="n">
        <v>82</v>
      </c>
      <c r="G3945" s="31" t="n">
        <v>94.1</v>
      </c>
      <c r="H3945" s="2" t="s">
        <v>671</v>
      </c>
    </row>
    <row r="3946" customFormat="false" ht="15" hidden="false" customHeight="false" outlineLevel="0" collapsed="false">
      <c r="A3946" s="2" t="s">
        <v>1947</v>
      </c>
      <c r="B3946" s="2" t="s">
        <v>47</v>
      </c>
      <c r="C3946" s="2" t="s">
        <v>4087</v>
      </c>
      <c r="D3946" s="2"/>
      <c r="E3946" s="2"/>
      <c r="F3946" s="2"/>
      <c r="G3946" s="2"/>
      <c r="H3946" s="2" t="s">
        <v>668</v>
      </c>
    </row>
    <row r="3947" customFormat="false" ht="15" hidden="false" customHeight="false" outlineLevel="0" collapsed="false">
      <c r="A3947" s="2" t="s">
        <v>1551</v>
      </c>
      <c r="B3947" s="2" t="s">
        <v>4104</v>
      </c>
      <c r="C3947" s="2" t="s">
        <v>4085</v>
      </c>
      <c r="D3947" s="2"/>
      <c r="E3947" s="31" t="n">
        <v>50.3</v>
      </c>
      <c r="F3947" s="31" t="n">
        <v>26.1</v>
      </c>
      <c r="G3947" s="31" t="n">
        <v>38</v>
      </c>
      <c r="H3947" s="2" t="s">
        <v>668</v>
      </c>
    </row>
    <row r="3948" customFormat="false" ht="15" hidden="false" customHeight="false" outlineLevel="0" collapsed="false">
      <c r="A3948" s="2" t="s">
        <v>1551</v>
      </c>
      <c r="B3948" s="2" t="s">
        <v>4104</v>
      </c>
      <c r="C3948" s="2" t="s">
        <v>4086</v>
      </c>
      <c r="D3948" s="2"/>
      <c r="E3948" s="31" t="n">
        <v>30.1</v>
      </c>
      <c r="F3948" s="31" t="n">
        <v>28.3</v>
      </c>
      <c r="G3948" s="31" t="n">
        <v>23.6</v>
      </c>
      <c r="H3948" s="2" t="s">
        <v>671</v>
      </c>
    </row>
    <row r="3949" customFormat="false" ht="15" hidden="false" customHeight="false" outlineLevel="0" collapsed="false">
      <c r="A3949" s="2" t="s">
        <v>1551</v>
      </c>
      <c r="B3949" s="2" t="s">
        <v>4104</v>
      </c>
      <c r="C3949" s="2" t="s">
        <v>4087</v>
      </c>
      <c r="D3949" s="2"/>
      <c r="E3949" s="31" t="n">
        <v>46.6</v>
      </c>
      <c r="F3949" s="31" t="n">
        <v>65.1</v>
      </c>
      <c r="G3949" s="31" t="n">
        <v>8.4</v>
      </c>
      <c r="H3949" s="2" t="s">
        <v>668</v>
      </c>
    </row>
    <row r="3950" customFormat="false" ht="15" hidden="false" customHeight="false" outlineLevel="0" collapsed="false">
      <c r="A3950" s="2" t="s">
        <v>1551</v>
      </c>
      <c r="B3950" s="2" t="s">
        <v>45</v>
      </c>
      <c r="C3950" s="2" t="s">
        <v>4085</v>
      </c>
      <c r="D3950" s="2"/>
      <c r="E3950" s="2"/>
      <c r="F3950" s="2"/>
      <c r="G3950" s="2"/>
      <c r="H3950" s="2" t="s">
        <v>668</v>
      </c>
    </row>
    <row r="3951" customFormat="false" ht="15" hidden="false" customHeight="false" outlineLevel="0" collapsed="false">
      <c r="A3951" s="2" t="s">
        <v>1551</v>
      </c>
      <c r="B3951" s="2" t="s">
        <v>45</v>
      </c>
      <c r="C3951" s="2" t="s">
        <v>4086</v>
      </c>
      <c r="D3951" s="11" t="n">
        <v>19512</v>
      </c>
      <c r="E3951" s="31" t="n">
        <v>7.8</v>
      </c>
      <c r="F3951" s="31" t="n">
        <v>19.9</v>
      </c>
      <c r="G3951" s="31" t="n">
        <v>5.4</v>
      </c>
      <c r="H3951" s="2" t="s">
        <v>671</v>
      </c>
    </row>
    <row r="3952" customFormat="false" ht="15" hidden="false" customHeight="false" outlineLevel="0" collapsed="false">
      <c r="A3952" s="2" t="s">
        <v>1551</v>
      </c>
      <c r="B3952" s="2" t="s">
        <v>45</v>
      </c>
      <c r="C3952" s="2" t="s">
        <v>4087</v>
      </c>
      <c r="D3952" s="2"/>
      <c r="E3952" s="2"/>
      <c r="F3952" s="2"/>
      <c r="G3952" s="2"/>
      <c r="H3952" s="2" t="s">
        <v>668</v>
      </c>
    </row>
    <row r="3953" customFormat="false" ht="15" hidden="false" customHeight="false" outlineLevel="0" collapsed="false">
      <c r="A3953" s="2" t="s">
        <v>1551</v>
      </c>
      <c r="B3953" s="2" t="s">
        <v>46</v>
      </c>
      <c r="C3953" s="2" t="s">
        <v>4085</v>
      </c>
      <c r="D3953" s="11" t="n">
        <v>413239</v>
      </c>
      <c r="E3953" s="31" t="n">
        <v>84.5</v>
      </c>
      <c r="F3953" s="31" t="n">
        <v>24.4</v>
      </c>
      <c r="G3953" s="31" t="n">
        <v>42</v>
      </c>
      <c r="H3953" s="2" t="s">
        <v>671</v>
      </c>
    </row>
    <row r="3954" customFormat="false" ht="15" hidden="false" customHeight="false" outlineLevel="0" collapsed="false">
      <c r="A3954" s="2" t="s">
        <v>1551</v>
      </c>
      <c r="B3954" s="2" t="s">
        <v>46</v>
      </c>
      <c r="C3954" s="2" t="s">
        <v>4086</v>
      </c>
      <c r="D3954" s="11" t="n">
        <v>426590</v>
      </c>
      <c r="E3954" s="31" t="n">
        <v>76</v>
      </c>
      <c r="F3954" s="31" t="n">
        <v>17.8</v>
      </c>
      <c r="G3954" s="31" t="n">
        <v>40.8</v>
      </c>
      <c r="H3954" s="2" t="s">
        <v>671</v>
      </c>
    </row>
    <row r="3955" customFormat="false" ht="15" hidden="false" customHeight="false" outlineLevel="0" collapsed="false">
      <c r="A3955" s="2" t="s">
        <v>1551</v>
      </c>
      <c r="B3955" s="2" t="s">
        <v>46</v>
      </c>
      <c r="C3955" s="2" t="s">
        <v>4087</v>
      </c>
      <c r="D3955" s="11" t="n">
        <v>424950</v>
      </c>
      <c r="E3955" s="31" t="n">
        <v>72.5</v>
      </c>
      <c r="F3955" s="31" t="n">
        <v>60.3</v>
      </c>
      <c r="G3955" s="31" t="n">
        <v>7.8</v>
      </c>
      <c r="H3955" s="2" t="s">
        <v>671</v>
      </c>
    </row>
    <row r="3956" customFormat="false" ht="15" hidden="false" customHeight="false" outlineLevel="0" collapsed="false">
      <c r="A3956" s="2" t="s">
        <v>1551</v>
      </c>
      <c r="B3956" s="2" t="s">
        <v>47</v>
      </c>
      <c r="C3956" s="2" t="s">
        <v>4085</v>
      </c>
      <c r="D3956" s="11" t="n">
        <v>194640</v>
      </c>
      <c r="E3956" s="31" t="n">
        <v>16.1</v>
      </c>
      <c r="F3956" s="31" t="n">
        <v>27.8</v>
      </c>
      <c r="G3956" s="31" t="n">
        <v>33.9</v>
      </c>
      <c r="H3956" s="2" t="s">
        <v>671</v>
      </c>
    </row>
    <row r="3957" customFormat="false" ht="15" hidden="false" customHeight="false" outlineLevel="0" collapsed="false">
      <c r="A3957" s="2" t="s">
        <v>1551</v>
      </c>
      <c r="B3957" s="2" t="s">
        <v>47</v>
      </c>
      <c r="C3957" s="2" t="s">
        <v>4086</v>
      </c>
      <c r="D3957" s="11" t="n">
        <v>195387</v>
      </c>
      <c r="E3957" s="31" t="n">
        <v>6.5</v>
      </c>
      <c r="F3957" s="31" t="n">
        <v>47.2</v>
      </c>
      <c r="G3957" s="31" t="n">
        <v>24.7</v>
      </c>
      <c r="H3957" s="2" t="s">
        <v>671</v>
      </c>
    </row>
    <row r="3958" customFormat="false" ht="15" hidden="false" customHeight="false" outlineLevel="0" collapsed="false">
      <c r="A3958" s="2" t="s">
        <v>1551</v>
      </c>
      <c r="B3958" s="2" t="s">
        <v>47</v>
      </c>
      <c r="C3958" s="2" t="s">
        <v>4087</v>
      </c>
      <c r="D3958" s="11" t="n">
        <v>195135</v>
      </c>
      <c r="E3958" s="31" t="n">
        <v>20.7</v>
      </c>
      <c r="F3958" s="31" t="n">
        <v>69.9</v>
      </c>
      <c r="G3958" s="31" t="n">
        <v>9</v>
      </c>
      <c r="H3958" s="2" t="s">
        <v>671</v>
      </c>
    </row>
    <row r="3959" customFormat="false" ht="15" hidden="false" customHeight="false" outlineLevel="0" collapsed="false">
      <c r="A3959" s="2" t="s">
        <v>2478</v>
      </c>
      <c r="B3959" s="2" t="s">
        <v>4104</v>
      </c>
      <c r="C3959" s="2" t="s">
        <v>4085</v>
      </c>
      <c r="D3959" s="2"/>
      <c r="E3959" s="31" t="n">
        <v>31.1</v>
      </c>
      <c r="F3959" s="31" t="n">
        <v>45.6</v>
      </c>
      <c r="G3959" s="31" t="n">
        <v>57.8</v>
      </c>
      <c r="H3959" s="2" t="s">
        <v>668</v>
      </c>
    </row>
    <row r="3960" customFormat="false" ht="15" hidden="false" customHeight="false" outlineLevel="0" collapsed="false">
      <c r="A3960" s="2" t="s">
        <v>2478</v>
      </c>
      <c r="B3960" s="2" t="s">
        <v>4104</v>
      </c>
      <c r="C3960" s="2" t="s">
        <v>4086</v>
      </c>
      <c r="D3960" s="2"/>
      <c r="E3960" s="31" t="n">
        <v>43.8</v>
      </c>
      <c r="F3960" s="31" t="n">
        <v>91.5</v>
      </c>
      <c r="G3960" s="31" t="n">
        <v>65.3</v>
      </c>
      <c r="H3960" s="2" t="s">
        <v>668</v>
      </c>
    </row>
    <row r="3961" customFormat="false" ht="15" hidden="false" customHeight="false" outlineLevel="0" collapsed="false">
      <c r="A3961" s="2" t="s">
        <v>2478</v>
      </c>
      <c r="B3961" s="2" t="s">
        <v>4104</v>
      </c>
      <c r="C3961" s="2" t="s">
        <v>4087</v>
      </c>
      <c r="D3961" s="2"/>
      <c r="E3961" s="31" t="n">
        <v>49</v>
      </c>
      <c r="F3961" s="31" t="n">
        <v>78.4</v>
      </c>
      <c r="G3961" s="31" t="n">
        <v>61.7</v>
      </c>
      <c r="H3961" s="2" t="s">
        <v>668</v>
      </c>
    </row>
    <row r="3962" customFormat="false" ht="15" hidden="false" customHeight="false" outlineLevel="0" collapsed="false">
      <c r="A3962" s="2" t="s">
        <v>2478</v>
      </c>
      <c r="B3962" s="2" t="s">
        <v>45</v>
      </c>
      <c r="C3962" s="2" t="s">
        <v>4085</v>
      </c>
      <c r="D3962" s="11" t="n">
        <v>4332</v>
      </c>
      <c r="E3962" s="31" t="n">
        <v>49.9</v>
      </c>
      <c r="F3962" s="31" t="n">
        <v>14.5</v>
      </c>
      <c r="G3962" s="31" t="n">
        <v>74.4</v>
      </c>
      <c r="H3962" s="2" t="s">
        <v>671</v>
      </c>
    </row>
    <row r="3963" customFormat="false" ht="15" hidden="false" customHeight="false" outlineLevel="0" collapsed="false">
      <c r="A3963" s="2" t="s">
        <v>2478</v>
      </c>
      <c r="B3963" s="2" t="s">
        <v>45</v>
      </c>
      <c r="C3963" s="2" t="s">
        <v>4086</v>
      </c>
      <c r="D3963" s="11" t="n">
        <v>4420</v>
      </c>
      <c r="E3963" s="31" t="n">
        <v>46.9</v>
      </c>
      <c r="F3963" s="2"/>
      <c r="G3963" s="31" t="n">
        <v>56.9</v>
      </c>
      <c r="H3963" s="2" t="s">
        <v>668</v>
      </c>
    </row>
    <row r="3964" customFormat="false" ht="15" hidden="false" customHeight="false" outlineLevel="0" collapsed="false">
      <c r="A3964" s="2" t="s">
        <v>2478</v>
      </c>
      <c r="B3964" s="2" t="s">
        <v>45</v>
      </c>
      <c r="C3964" s="2" t="s">
        <v>4087</v>
      </c>
      <c r="D3964" s="11" t="n">
        <v>4490</v>
      </c>
      <c r="E3964" s="31" t="n">
        <v>40.4</v>
      </c>
      <c r="F3964" s="2"/>
      <c r="G3964" s="2"/>
      <c r="H3964" s="2" t="s">
        <v>668</v>
      </c>
    </row>
    <row r="3965" customFormat="false" ht="15" hidden="false" customHeight="false" outlineLevel="0" collapsed="false">
      <c r="A3965" s="2" t="s">
        <v>2478</v>
      </c>
      <c r="B3965" s="2" t="s">
        <v>46</v>
      </c>
      <c r="C3965" s="2" t="s">
        <v>4085</v>
      </c>
      <c r="D3965" s="2"/>
      <c r="E3965" s="2"/>
      <c r="F3965" s="2"/>
      <c r="G3965" s="2"/>
      <c r="H3965" s="2" t="s">
        <v>668</v>
      </c>
    </row>
    <row r="3966" customFormat="false" ht="15" hidden="false" customHeight="false" outlineLevel="0" collapsed="false">
      <c r="A3966" s="2" t="s">
        <v>2478</v>
      </c>
      <c r="B3966" s="2" t="s">
        <v>46</v>
      </c>
      <c r="C3966" s="2" t="s">
        <v>4086</v>
      </c>
      <c r="D3966" s="11" t="n">
        <v>114460</v>
      </c>
      <c r="E3966" s="31" t="n">
        <v>71.9</v>
      </c>
      <c r="F3966" s="31" t="n">
        <v>87.3</v>
      </c>
      <c r="G3966" s="31" t="n">
        <v>70.6</v>
      </c>
      <c r="H3966" s="2" t="s">
        <v>671</v>
      </c>
    </row>
    <row r="3967" customFormat="false" ht="15" hidden="false" customHeight="false" outlineLevel="0" collapsed="false">
      <c r="A3967" s="2" t="s">
        <v>2478</v>
      </c>
      <c r="B3967" s="2" t="s">
        <v>46</v>
      </c>
      <c r="C3967" s="2" t="s">
        <v>4087</v>
      </c>
      <c r="D3967" s="11" t="n">
        <v>121380</v>
      </c>
      <c r="E3967" s="31" t="n">
        <v>78</v>
      </c>
      <c r="F3967" s="31" t="n">
        <v>70.2</v>
      </c>
      <c r="G3967" s="2"/>
      <c r="H3967" s="2" t="s">
        <v>668</v>
      </c>
    </row>
    <row r="3968" customFormat="false" ht="15" hidden="false" customHeight="false" outlineLevel="0" collapsed="false">
      <c r="A3968" s="2" t="s">
        <v>2478</v>
      </c>
      <c r="B3968" s="2" t="s">
        <v>47</v>
      </c>
      <c r="C3968" s="2" t="s">
        <v>4085</v>
      </c>
      <c r="D3968" s="11" t="n">
        <v>96352</v>
      </c>
      <c r="E3968" s="31" t="n">
        <v>12.3</v>
      </c>
      <c r="F3968" s="31" t="n">
        <v>76.8</v>
      </c>
      <c r="G3968" s="31" t="n">
        <v>41.1</v>
      </c>
      <c r="H3968" s="2" t="s">
        <v>671</v>
      </c>
    </row>
    <row r="3969" customFormat="false" ht="15" hidden="false" customHeight="false" outlineLevel="0" collapsed="false">
      <c r="A3969" s="2" t="s">
        <v>2478</v>
      </c>
      <c r="B3969" s="2" t="s">
        <v>47</v>
      </c>
      <c r="C3969" s="2" t="s">
        <v>4086</v>
      </c>
      <c r="D3969" s="11" t="n">
        <v>102160</v>
      </c>
      <c r="E3969" s="31" t="n">
        <v>12.5</v>
      </c>
      <c r="F3969" s="31" t="n">
        <v>95.7</v>
      </c>
      <c r="G3969" s="31" t="n">
        <v>68.3</v>
      </c>
      <c r="H3969" s="2" t="s">
        <v>671</v>
      </c>
    </row>
    <row r="3970" customFormat="false" ht="15" hidden="false" customHeight="false" outlineLevel="0" collapsed="false">
      <c r="A3970" s="2" t="s">
        <v>2478</v>
      </c>
      <c r="B3970" s="2" t="s">
        <v>47</v>
      </c>
      <c r="C3970" s="2" t="s">
        <v>4087</v>
      </c>
      <c r="D3970" s="11" t="n">
        <v>106982</v>
      </c>
      <c r="E3970" s="31" t="n">
        <v>28.7</v>
      </c>
      <c r="F3970" s="31" t="n">
        <v>86.7</v>
      </c>
      <c r="G3970" s="31" t="n">
        <v>61.7</v>
      </c>
      <c r="H3970" s="2" t="s">
        <v>671</v>
      </c>
    </row>
    <row r="3971" customFormat="false" ht="15" hidden="false" customHeight="false" outlineLevel="0" collapsed="false">
      <c r="A3971" s="2" t="s">
        <v>2220</v>
      </c>
      <c r="B3971" s="2" t="s">
        <v>4104</v>
      </c>
      <c r="C3971" s="2" t="s">
        <v>4085</v>
      </c>
      <c r="D3971" s="2"/>
      <c r="E3971" s="31" t="n">
        <v>63.2</v>
      </c>
      <c r="F3971" s="31" t="n">
        <v>47.2</v>
      </c>
      <c r="G3971" s="31" t="n">
        <v>63.2</v>
      </c>
      <c r="H3971" s="2" t="s">
        <v>668</v>
      </c>
    </row>
    <row r="3972" customFormat="false" ht="15" hidden="false" customHeight="false" outlineLevel="0" collapsed="false">
      <c r="A3972" s="2" t="s">
        <v>2220</v>
      </c>
      <c r="B3972" s="2" t="s">
        <v>4104</v>
      </c>
      <c r="C3972" s="2" t="s">
        <v>4086</v>
      </c>
      <c r="D3972" s="2"/>
      <c r="E3972" s="31" t="n">
        <v>54.4</v>
      </c>
      <c r="F3972" s="31" t="n">
        <v>44.9</v>
      </c>
      <c r="G3972" s="31" t="n">
        <v>40.9</v>
      </c>
      <c r="H3972" s="2" t="s">
        <v>671</v>
      </c>
    </row>
    <row r="3973" customFormat="false" ht="15" hidden="false" customHeight="false" outlineLevel="0" collapsed="false">
      <c r="A3973" s="2" t="s">
        <v>2220</v>
      </c>
      <c r="B3973" s="2" t="s">
        <v>4104</v>
      </c>
      <c r="C3973" s="2" t="s">
        <v>4087</v>
      </c>
      <c r="D3973" s="2"/>
      <c r="E3973" s="31" t="n">
        <v>60.8</v>
      </c>
      <c r="F3973" s="31" t="n">
        <v>37.2</v>
      </c>
      <c r="G3973" s="31" t="n">
        <v>36</v>
      </c>
      <c r="H3973" s="2" t="s">
        <v>668</v>
      </c>
    </row>
    <row r="3974" customFormat="false" ht="15" hidden="false" customHeight="false" outlineLevel="0" collapsed="false">
      <c r="A3974" s="2" t="s">
        <v>2220</v>
      </c>
      <c r="B3974" s="2" t="s">
        <v>46</v>
      </c>
      <c r="C3974" s="2" t="s">
        <v>4085</v>
      </c>
      <c r="D3974" s="11" t="n">
        <v>68267</v>
      </c>
      <c r="E3974" s="31" t="n">
        <v>59.7</v>
      </c>
      <c r="F3974" s="31" t="n">
        <v>92.9</v>
      </c>
      <c r="G3974" s="31" t="n">
        <v>63.2</v>
      </c>
      <c r="H3974" s="2" t="s">
        <v>671</v>
      </c>
    </row>
    <row r="3975" customFormat="false" ht="15" hidden="false" customHeight="false" outlineLevel="0" collapsed="false">
      <c r="A3975" s="2" t="s">
        <v>2220</v>
      </c>
      <c r="B3975" s="2" t="s">
        <v>46</v>
      </c>
      <c r="C3975" s="2" t="s">
        <v>4086</v>
      </c>
      <c r="D3975" s="11" t="n">
        <v>72250</v>
      </c>
      <c r="E3975" s="31" t="n">
        <v>35.4</v>
      </c>
      <c r="F3975" s="31" t="n">
        <v>89.5</v>
      </c>
      <c r="G3975" s="31" t="n">
        <v>67.1</v>
      </c>
      <c r="H3975" s="2" t="s">
        <v>671</v>
      </c>
    </row>
    <row r="3976" customFormat="false" ht="15" hidden="false" customHeight="false" outlineLevel="0" collapsed="false">
      <c r="A3976" s="2" t="s">
        <v>2220</v>
      </c>
      <c r="B3976" s="2" t="s">
        <v>46</v>
      </c>
      <c r="C3976" s="2" t="s">
        <v>4087</v>
      </c>
      <c r="D3976" s="11" t="n">
        <v>77850</v>
      </c>
      <c r="E3976" s="31" t="n">
        <v>59</v>
      </c>
      <c r="F3976" s="31" t="n">
        <v>71</v>
      </c>
      <c r="G3976" s="2"/>
      <c r="H3976" s="2" t="s">
        <v>668</v>
      </c>
    </row>
    <row r="3977" customFormat="false" ht="15" hidden="false" customHeight="false" outlineLevel="0" collapsed="false">
      <c r="A3977" s="2" t="s">
        <v>2220</v>
      </c>
      <c r="B3977" s="2" t="s">
        <v>47</v>
      </c>
      <c r="C3977" s="2" t="s">
        <v>4085</v>
      </c>
      <c r="D3977" s="11" t="n">
        <v>69419</v>
      </c>
      <c r="E3977" s="31" t="n">
        <v>66.6</v>
      </c>
      <c r="F3977" s="31" t="n">
        <v>1.6</v>
      </c>
      <c r="G3977" s="2"/>
      <c r="H3977" s="2" t="s">
        <v>668</v>
      </c>
    </row>
    <row r="3978" customFormat="false" ht="15" hidden="false" customHeight="false" outlineLevel="0" collapsed="false">
      <c r="A3978" s="2" t="s">
        <v>2220</v>
      </c>
      <c r="B3978" s="2" t="s">
        <v>47</v>
      </c>
      <c r="C3978" s="2" t="s">
        <v>4086</v>
      </c>
      <c r="D3978" s="11" t="n">
        <v>68098</v>
      </c>
      <c r="E3978" s="31" t="n">
        <v>73.5</v>
      </c>
      <c r="F3978" s="31" t="n">
        <v>0.3</v>
      </c>
      <c r="G3978" s="31" t="n">
        <v>14.7</v>
      </c>
      <c r="H3978" s="2" t="s">
        <v>671</v>
      </c>
    </row>
    <row r="3979" customFormat="false" ht="15" hidden="false" customHeight="false" outlineLevel="0" collapsed="false">
      <c r="A3979" s="2" t="s">
        <v>2220</v>
      </c>
      <c r="B3979" s="2" t="s">
        <v>47</v>
      </c>
      <c r="C3979" s="2" t="s">
        <v>4087</v>
      </c>
      <c r="D3979" s="11" t="n">
        <v>70086</v>
      </c>
      <c r="E3979" s="31" t="n">
        <v>62.7</v>
      </c>
      <c r="F3979" s="31" t="n">
        <v>3.5</v>
      </c>
      <c r="G3979" s="31" t="n">
        <v>36</v>
      </c>
      <c r="H3979" s="2" t="s">
        <v>671</v>
      </c>
    </row>
    <row r="3980" customFormat="false" ht="15" hidden="false" customHeight="false" outlineLevel="0" collapsed="false">
      <c r="A3980" s="2" t="s">
        <v>2954</v>
      </c>
      <c r="B3980" s="2" t="s">
        <v>4104</v>
      </c>
      <c r="C3980" s="2" t="s">
        <v>4085</v>
      </c>
      <c r="D3980" s="2"/>
      <c r="E3980" s="31" t="n">
        <v>63.8</v>
      </c>
      <c r="F3980" s="31" t="n">
        <v>64</v>
      </c>
      <c r="G3980" s="2"/>
      <c r="H3980" s="2" t="s">
        <v>668</v>
      </c>
    </row>
    <row r="3981" customFormat="false" ht="15" hidden="false" customHeight="false" outlineLevel="0" collapsed="false">
      <c r="A3981" s="2" t="s">
        <v>2954</v>
      </c>
      <c r="B3981" s="2" t="s">
        <v>4104</v>
      </c>
      <c r="C3981" s="2" t="s">
        <v>4086</v>
      </c>
      <c r="D3981" s="2"/>
      <c r="E3981" s="31" t="n">
        <v>53.2</v>
      </c>
      <c r="F3981" s="31" t="n">
        <v>77.5</v>
      </c>
      <c r="G3981" s="31" t="n">
        <v>84.5</v>
      </c>
      <c r="H3981" s="2" t="s">
        <v>671</v>
      </c>
    </row>
    <row r="3982" customFormat="false" ht="15" hidden="false" customHeight="false" outlineLevel="0" collapsed="false">
      <c r="A3982" s="2" t="s">
        <v>2954</v>
      </c>
      <c r="B3982" s="2" t="s">
        <v>4104</v>
      </c>
      <c r="C3982" s="2" t="s">
        <v>4087</v>
      </c>
      <c r="D3982" s="2"/>
      <c r="E3982" s="2"/>
      <c r="F3982" s="2"/>
      <c r="G3982" s="2"/>
      <c r="H3982" s="2" t="s">
        <v>668</v>
      </c>
    </row>
    <row r="3983" customFormat="false" ht="15" hidden="false" customHeight="false" outlineLevel="0" collapsed="false">
      <c r="A3983" s="2" t="s">
        <v>2954</v>
      </c>
      <c r="B3983" s="2" t="s">
        <v>46</v>
      </c>
      <c r="C3983" s="2" t="s">
        <v>4085</v>
      </c>
      <c r="D3983" s="11" t="n">
        <v>59630</v>
      </c>
      <c r="E3983" s="31" t="n">
        <v>63.8</v>
      </c>
      <c r="F3983" s="31" t="n">
        <v>64</v>
      </c>
      <c r="G3983" s="2"/>
      <c r="H3983" s="2" t="s">
        <v>668</v>
      </c>
    </row>
    <row r="3984" customFormat="false" ht="15" hidden="false" customHeight="false" outlineLevel="0" collapsed="false">
      <c r="A3984" s="2" t="s">
        <v>2954</v>
      </c>
      <c r="B3984" s="2" t="s">
        <v>46</v>
      </c>
      <c r="C3984" s="2" t="s">
        <v>4086</v>
      </c>
      <c r="D3984" s="11" t="n">
        <v>59959</v>
      </c>
      <c r="E3984" s="31" t="n">
        <v>53.2</v>
      </c>
      <c r="F3984" s="31" t="n">
        <v>77.5</v>
      </c>
      <c r="G3984" s="31" t="n">
        <v>84.5</v>
      </c>
      <c r="H3984" s="2" t="s">
        <v>671</v>
      </c>
    </row>
    <row r="3985" customFormat="false" ht="15" hidden="false" customHeight="false" outlineLevel="0" collapsed="false">
      <c r="A3985" s="2" t="s">
        <v>2954</v>
      </c>
      <c r="B3985" s="2" t="s">
        <v>46</v>
      </c>
      <c r="C3985" s="2" t="s">
        <v>4087</v>
      </c>
      <c r="D3985" s="2"/>
      <c r="E3985" s="2"/>
      <c r="F3985" s="2"/>
      <c r="G3985" s="2"/>
      <c r="H3985" s="2" t="s">
        <v>668</v>
      </c>
    </row>
    <row r="3986" customFormat="false" ht="15" hidden="false" customHeight="false" outlineLevel="0" collapsed="false">
      <c r="A3986" s="2" t="s">
        <v>432</v>
      </c>
      <c r="B3986" s="2" t="s">
        <v>4104</v>
      </c>
      <c r="C3986" s="2" t="s">
        <v>4085</v>
      </c>
      <c r="D3986" s="2"/>
      <c r="E3986" s="31" t="n">
        <v>59.2</v>
      </c>
      <c r="F3986" s="31" t="n">
        <v>60.6</v>
      </c>
      <c r="G3986" s="31" t="n">
        <v>51.3</v>
      </c>
      <c r="H3986" s="2" t="s">
        <v>668</v>
      </c>
    </row>
    <row r="3987" customFormat="false" ht="15" hidden="false" customHeight="false" outlineLevel="0" collapsed="false">
      <c r="A3987" s="2" t="s">
        <v>432</v>
      </c>
      <c r="B3987" s="2" t="s">
        <v>4104</v>
      </c>
      <c r="C3987" s="2" t="s">
        <v>4086</v>
      </c>
      <c r="D3987" s="2"/>
      <c r="E3987" s="31" t="n">
        <v>42.7</v>
      </c>
      <c r="F3987" s="31" t="n">
        <v>44.8</v>
      </c>
      <c r="G3987" s="31" t="n">
        <v>53.9</v>
      </c>
      <c r="H3987" s="2" t="s">
        <v>668</v>
      </c>
    </row>
    <row r="3988" customFormat="false" ht="15" hidden="false" customHeight="false" outlineLevel="0" collapsed="false">
      <c r="A3988" s="2" t="s">
        <v>432</v>
      </c>
      <c r="B3988" s="2" t="s">
        <v>4104</v>
      </c>
      <c r="C3988" s="2" t="s">
        <v>4087</v>
      </c>
      <c r="D3988" s="2"/>
      <c r="E3988" s="31" t="n">
        <v>43</v>
      </c>
      <c r="F3988" s="31" t="n">
        <v>39.3</v>
      </c>
      <c r="G3988" s="31" t="n">
        <v>48.6</v>
      </c>
      <c r="H3988" s="2" t="s">
        <v>671</v>
      </c>
    </row>
    <row r="3989" customFormat="false" ht="15" hidden="false" customHeight="false" outlineLevel="0" collapsed="false">
      <c r="A3989" s="2" t="s">
        <v>432</v>
      </c>
      <c r="B3989" s="2" t="s">
        <v>45</v>
      </c>
      <c r="C3989" s="2" t="s">
        <v>4085</v>
      </c>
      <c r="D3989" s="2"/>
      <c r="E3989" s="2"/>
      <c r="F3989" s="2"/>
      <c r="G3989" s="2"/>
      <c r="H3989" s="2" t="s">
        <v>668</v>
      </c>
    </row>
    <row r="3990" customFormat="false" ht="15" hidden="false" customHeight="false" outlineLevel="0" collapsed="false">
      <c r="A3990" s="2" t="s">
        <v>432</v>
      </c>
      <c r="B3990" s="2" t="s">
        <v>45</v>
      </c>
      <c r="C3990" s="2" t="s">
        <v>4086</v>
      </c>
      <c r="D3990" s="11" t="n">
        <v>77770</v>
      </c>
      <c r="E3990" s="31" t="n">
        <v>6.2</v>
      </c>
      <c r="F3990" s="31" t="n">
        <v>27.1</v>
      </c>
      <c r="G3990" s="2"/>
      <c r="H3990" s="2" t="s">
        <v>668</v>
      </c>
    </row>
    <row r="3991" customFormat="false" ht="15" hidden="false" customHeight="false" outlineLevel="0" collapsed="false">
      <c r="A3991" s="2" t="s">
        <v>432</v>
      </c>
      <c r="B3991" s="2" t="s">
        <v>45</v>
      </c>
      <c r="C3991" s="2" t="s">
        <v>4087</v>
      </c>
      <c r="D3991" s="11" t="n">
        <v>77585</v>
      </c>
      <c r="E3991" s="31" t="n">
        <v>4.1</v>
      </c>
      <c r="F3991" s="31" t="n">
        <v>7.9</v>
      </c>
      <c r="G3991" s="31" t="n">
        <v>4.4</v>
      </c>
      <c r="H3991" s="2" t="s">
        <v>671</v>
      </c>
    </row>
    <row r="3992" customFormat="false" ht="15" hidden="false" customHeight="false" outlineLevel="0" collapsed="false">
      <c r="A3992" s="2" t="s">
        <v>432</v>
      </c>
      <c r="B3992" s="2" t="s">
        <v>46</v>
      </c>
      <c r="C3992" s="2" t="s">
        <v>4085</v>
      </c>
      <c r="D3992" s="11" t="n">
        <v>67503</v>
      </c>
      <c r="E3992" s="31" t="n">
        <v>57.3</v>
      </c>
      <c r="F3992" s="31" t="n">
        <v>81.3</v>
      </c>
      <c r="G3992" s="2"/>
      <c r="H3992" s="2" t="s">
        <v>668</v>
      </c>
    </row>
    <row r="3993" customFormat="false" ht="15" hidden="false" customHeight="false" outlineLevel="0" collapsed="false">
      <c r="A3993" s="2" t="s">
        <v>432</v>
      </c>
      <c r="B3993" s="2" t="s">
        <v>46</v>
      </c>
      <c r="C3993" s="2" t="s">
        <v>4086</v>
      </c>
      <c r="D3993" s="11" t="n">
        <v>69750</v>
      </c>
      <c r="E3993" s="31" t="n">
        <v>39.3</v>
      </c>
      <c r="F3993" s="31" t="n">
        <v>76</v>
      </c>
      <c r="G3993" s="31" t="n">
        <v>48.1</v>
      </c>
      <c r="H3993" s="2" t="s">
        <v>671</v>
      </c>
    </row>
    <row r="3994" customFormat="false" ht="15" hidden="false" customHeight="false" outlineLevel="0" collapsed="false">
      <c r="A3994" s="2" t="s">
        <v>432</v>
      </c>
      <c r="B3994" s="2" t="s">
        <v>46</v>
      </c>
      <c r="C3994" s="2" t="s">
        <v>4087</v>
      </c>
      <c r="D3994" s="11" t="n">
        <v>74045</v>
      </c>
      <c r="E3994" s="31" t="n">
        <v>60.3</v>
      </c>
      <c r="F3994" s="31" t="n">
        <v>73.9</v>
      </c>
      <c r="G3994" s="31" t="n">
        <v>74.1</v>
      </c>
      <c r="H3994" s="2" t="s">
        <v>671</v>
      </c>
    </row>
    <row r="3995" customFormat="false" ht="15" hidden="false" customHeight="false" outlineLevel="0" collapsed="false">
      <c r="A3995" s="2" t="s">
        <v>432</v>
      </c>
      <c r="B3995" s="2" t="s">
        <v>47</v>
      </c>
      <c r="C3995" s="2" t="s">
        <v>4085</v>
      </c>
      <c r="D3995" s="11" t="n">
        <v>8257</v>
      </c>
      <c r="E3995" s="31" t="n">
        <v>61.2</v>
      </c>
      <c r="F3995" s="31" t="n">
        <v>40</v>
      </c>
      <c r="G3995" s="31" t="n">
        <v>51.3</v>
      </c>
      <c r="H3995" s="2" t="s">
        <v>671</v>
      </c>
    </row>
    <row r="3996" customFormat="false" ht="15" hidden="false" customHeight="false" outlineLevel="0" collapsed="false">
      <c r="A3996" s="2" t="s">
        <v>432</v>
      </c>
      <c r="B3996" s="2" t="s">
        <v>47</v>
      </c>
      <c r="C3996" s="2" t="s">
        <v>4086</v>
      </c>
      <c r="D3996" s="11" t="n">
        <v>8595</v>
      </c>
      <c r="E3996" s="31" t="n">
        <v>82.5</v>
      </c>
      <c r="F3996" s="31" t="n">
        <v>31.2</v>
      </c>
      <c r="G3996" s="31" t="n">
        <v>59.7</v>
      </c>
      <c r="H3996" s="2" t="s">
        <v>671</v>
      </c>
    </row>
    <row r="3997" customFormat="false" ht="15" hidden="false" customHeight="false" outlineLevel="0" collapsed="false">
      <c r="A3997" s="2" t="s">
        <v>432</v>
      </c>
      <c r="B3997" s="2" t="s">
        <v>47</v>
      </c>
      <c r="C3997" s="2" t="s">
        <v>4087</v>
      </c>
      <c r="D3997" s="11" t="n">
        <v>8780</v>
      </c>
      <c r="E3997" s="31" t="n">
        <v>64.6</v>
      </c>
      <c r="F3997" s="31" t="n">
        <v>36</v>
      </c>
      <c r="G3997" s="31" t="n">
        <v>67.2</v>
      </c>
      <c r="H3997" s="2" t="s">
        <v>671</v>
      </c>
    </row>
    <row r="3998" customFormat="false" ht="15" hidden="false" customHeight="false" outlineLevel="0" collapsed="false">
      <c r="A3998" s="2" t="s">
        <v>342</v>
      </c>
      <c r="B3998" s="2" t="s">
        <v>4104</v>
      </c>
      <c r="C3998" s="2" t="s">
        <v>4085</v>
      </c>
      <c r="D3998" s="2"/>
      <c r="E3998" s="31" t="n">
        <v>47.1</v>
      </c>
      <c r="F3998" s="31" t="n">
        <v>41</v>
      </c>
      <c r="G3998" s="31" t="n">
        <v>99.5</v>
      </c>
      <c r="H3998" s="2" t="s">
        <v>668</v>
      </c>
    </row>
    <row r="3999" customFormat="false" ht="15" hidden="false" customHeight="false" outlineLevel="0" collapsed="false">
      <c r="A3999" s="2" t="s">
        <v>342</v>
      </c>
      <c r="B3999" s="2" t="s">
        <v>4104</v>
      </c>
      <c r="C3999" s="2" t="s">
        <v>4086</v>
      </c>
      <c r="D3999" s="2"/>
      <c r="E3999" s="31" t="n">
        <v>64</v>
      </c>
      <c r="F3999" s="31" t="n">
        <v>28.4</v>
      </c>
      <c r="G3999" s="31" t="n">
        <v>88.4</v>
      </c>
      <c r="H3999" s="2" t="s">
        <v>671</v>
      </c>
    </row>
    <row r="4000" customFormat="false" ht="15" hidden="false" customHeight="false" outlineLevel="0" collapsed="false">
      <c r="A4000" s="2" t="s">
        <v>342</v>
      </c>
      <c r="B4000" s="2" t="s">
        <v>4104</v>
      </c>
      <c r="C4000" s="2" t="s">
        <v>4087</v>
      </c>
      <c r="D4000" s="2"/>
      <c r="E4000" s="31" t="n">
        <v>53</v>
      </c>
      <c r="F4000" s="31" t="n">
        <v>28.8</v>
      </c>
      <c r="G4000" s="31" t="n">
        <v>93.4</v>
      </c>
      <c r="H4000" s="2" t="s">
        <v>671</v>
      </c>
    </row>
    <row r="4001" customFormat="false" ht="15" hidden="false" customHeight="false" outlineLevel="0" collapsed="false">
      <c r="A4001" s="2" t="s">
        <v>342</v>
      </c>
      <c r="B4001" s="2" t="s">
        <v>45</v>
      </c>
      <c r="C4001" s="2" t="s">
        <v>4085</v>
      </c>
      <c r="D4001" s="11" t="n">
        <v>9850</v>
      </c>
      <c r="E4001" s="31" t="n">
        <v>8.2</v>
      </c>
      <c r="F4001" s="31" t="n">
        <v>25.8</v>
      </c>
      <c r="G4001" s="2"/>
      <c r="H4001" s="2" t="s">
        <v>668</v>
      </c>
    </row>
    <row r="4002" customFormat="false" ht="15" hidden="false" customHeight="false" outlineLevel="0" collapsed="false">
      <c r="A4002" s="2" t="s">
        <v>342</v>
      </c>
      <c r="B4002" s="2" t="s">
        <v>45</v>
      </c>
      <c r="C4002" s="2" t="s">
        <v>4086</v>
      </c>
      <c r="D4002" s="11" t="n">
        <v>9834</v>
      </c>
      <c r="E4002" s="31" t="n">
        <v>31.8</v>
      </c>
      <c r="F4002" s="31" t="n">
        <v>12.7</v>
      </c>
      <c r="G4002" s="31" t="n">
        <v>79.7</v>
      </c>
      <c r="H4002" s="2" t="s">
        <v>671</v>
      </c>
    </row>
    <row r="4003" customFormat="false" ht="15" hidden="false" customHeight="false" outlineLevel="0" collapsed="false">
      <c r="A4003" s="2" t="s">
        <v>342</v>
      </c>
      <c r="B4003" s="2" t="s">
        <v>45</v>
      </c>
      <c r="C4003" s="2" t="s">
        <v>4087</v>
      </c>
      <c r="D4003" s="11" t="n">
        <v>9950</v>
      </c>
      <c r="E4003" s="31" t="n">
        <v>24.6</v>
      </c>
      <c r="F4003" s="31" t="n">
        <v>35.2</v>
      </c>
      <c r="G4003" s="31" t="n">
        <v>92</v>
      </c>
      <c r="H4003" s="2" t="s">
        <v>671</v>
      </c>
    </row>
    <row r="4004" customFormat="false" ht="15" hidden="false" customHeight="false" outlineLevel="0" collapsed="false">
      <c r="A4004" s="2" t="s">
        <v>342</v>
      </c>
      <c r="B4004" s="2" t="s">
        <v>47</v>
      </c>
      <c r="C4004" s="2" t="s">
        <v>4085</v>
      </c>
      <c r="D4004" s="11" t="n">
        <v>101478</v>
      </c>
      <c r="E4004" s="31" t="n">
        <v>86</v>
      </c>
      <c r="F4004" s="31" t="n">
        <v>56.2</v>
      </c>
      <c r="G4004" s="31" t="n">
        <v>99.5</v>
      </c>
      <c r="H4004" s="2" t="s">
        <v>671</v>
      </c>
    </row>
    <row r="4005" customFormat="false" ht="15" hidden="false" customHeight="false" outlineLevel="0" collapsed="false">
      <c r="A4005" s="2" t="s">
        <v>342</v>
      </c>
      <c r="B4005" s="2" t="s">
        <v>47</v>
      </c>
      <c r="C4005" s="2" t="s">
        <v>4086</v>
      </c>
      <c r="D4005" s="11" t="n">
        <v>105450</v>
      </c>
      <c r="E4005" s="31" t="n">
        <v>96.1</v>
      </c>
      <c r="F4005" s="31" t="n">
        <v>44.1</v>
      </c>
      <c r="G4005" s="31" t="n">
        <v>97.1</v>
      </c>
      <c r="H4005" s="2" t="s">
        <v>671</v>
      </c>
    </row>
    <row r="4006" customFormat="false" ht="15" hidden="false" customHeight="false" outlineLevel="0" collapsed="false">
      <c r="A4006" s="2" t="s">
        <v>342</v>
      </c>
      <c r="B4006" s="2" t="s">
        <v>47</v>
      </c>
      <c r="C4006" s="2" t="s">
        <v>4087</v>
      </c>
      <c r="D4006" s="11" t="n">
        <v>107555</v>
      </c>
      <c r="E4006" s="31" t="n">
        <v>81.4</v>
      </c>
      <c r="F4006" s="31" t="n">
        <v>22.3</v>
      </c>
      <c r="G4006" s="31" t="n">
        <v>94.7</v>
      </c>
      <c r="H4006" s="2" t="s">
        <v>671</v>
      </c>
    </row>
    <row r="4007" customFormat="false" ht="15" hidden="false" customHeight="false" outlineLevel="0" collapsed="false">
      <c r="A4007" s="2" t="s">
        <v>2527</v>
      </c>
      <c r="B4007" s="2" t="s">
        <v>4104</v>
      </c>
      <c r="C4007" s="2" t="s">
        <v>4085</v>
      </c>
      <c r="D4007" s="2"/>
      <c r="E4007" s="31" t="n">
        <v>54</v>
      </c>
      <c r="F4007" s="31" t="n">
        <v>32.2</v>
      </c>
      <c r="G4007" s="31" t="n">
        <v>55</v>
      </c>
      <c r="H4007" s="2" t="s">
        <v>668</v>
      </c>
    </row>
    <row r="4008" customFormat="false" ht="15" hidden="false" customHeight="false" outlineLevel="0" collapsed="false">
      <c r="A4008" s="2" t="s">
        <v>2527</v>
      </c>
      <c r="B4008" s="2" t="s">
        <v>4104</v>
      </c>
      <c r="C4008" s="2" t="s">
        <v>4086</v>
      </c>
      <c r="D4008" s="2"/>
      <c r="E4008" s="31" t="n">
        <v>55.4</v>
      </c>
      <c r="F4008" s="31" t="n">
        <v>29.7</v>
      </c>
      <c r="G4008" s="31" t="n">
        <v>78.2</v>
      </c>
      <c r="H4008" s="2" t="s">
        <v>671</v>
      </c>
    </row>
    <row r="4009" customFormat="false" ht="15" hidden="false" customHeight="false" outlineLevel="0" collapsed="false">
      <c r="A4009" s="2" t="s">
        <v>2527</v>
      </c>
      <c r="B4009" s="2" t="s">
        <v>4104</v>
      </c>
      <c r="C4009" s="2" t="s">
        <v>4087</v>
      </c>
      <c r="D4009" s="2"/>
      <c r="E4009" s="31" t="n">
        <v>23.2</v>
      </c>
      <c r="F4009" s="31" t="n">
        <v>59</v>
      </c>
      <c r="G4009" s="31" t="n">
        <v>63.2</v>
      </c>
      <c r="H4009" s="2" t="s">
        <v>668</v>
      </c>
    </row>
    <row r="4010" customFormat="false" ht="15" hidden="false" customHeight="false" outlineLevel="0" collapsed="false">
      <c r="A4010" s="2" t="s">
        <v>2527</v>
      </c>
      <c r="B4010" s="2" t="s">
        <v>45</v>
      </c>
      <c r="C4010" s="2" t="s">
        <v>4085</v>
      </c>
      <c r="D4010" s="11" t="n">
        <v>2840</v>
      </c>
      <c r="E4010" s="31" t="n">
        <v>80.1</v>
      </c>
      <c r="F4010" s="2"/>
      <c r="G4010" s="31" t="n">
        <v>14.1</v>
      </c>
      <c r="H4010" s="2" t="s">
        <v>668</v>
      </c>
    </row>
    <row r="4011" customFormat="false" ht="15" hidden="false" customHeight="false" outlineLevel="0" collapsed="false">
      <c r="A4011" s="2" t="s">
        <v>2527</v>
      </c>
      <c r="B4011" s="2" t="s">
        <v>45</v>
      </c>
      <c r="C4011" s="2" t="s">
        <v>4086</v>
      </c>
      <c r="D4011" s="11" t="n">
        <v>2960</v>
      </c>
      <c r="E4011" s="31" t="n">
        <v>85.6</v>
      </c>
      <c r="F4011" s="31" t="n">
        <v>16.9</v>
      </c>
      <c r="G4011" s="31" t="n">
        <v>66.2</v>
      </c>
      <c r="H4011" s="2" t="s">
        <v>671</v>
      </c>
    </row>
    <row r="4012" customFormat="false" ht="15" hidden="false" customHeight="false" outlineLevel="0" collapsed="false">
      <c r="A4012" s="2" t="s">
        <v>2527</v>
      </c>
      <c r="B4012" s="2" t="s">
        <v>45</v>
      </c>
      <c r="C4012" s="2" t="s">
        <v>4087</v>
      </c>
      <c r="D4012" s="11" t="n">
        <v>3010</v>
      </c>
      <c r="E4012" s="2"/>
      <c r="F4012" s="31" t="n">
        <v>83.3</v>
      </c>
      <c r="G4012" s="31" t="n">
        <v>33.7</v>
      </c>
      <c r="H4012" s="2" t="s">
        <v>668</v>
      </c>
    </row>
    <row r="4013" customFormat="false" ht="15" hidden="false" customHeight="false" outlineLevel="0" collapsed="false">
      <c r="A4013" s="2" t="s">
        <v>2527</v>
      </c>
      <c r="B4013" s="2" t="s">
        <v>47</v>
      </c>
      <c r="C4013" s="2" t="s">
        <v>4085</v>
      </c>
      <c r="D4013" s="11" t="n">
        <v>2942</v>
      </c>
      <c r="E4013" s="31" t="n">
        <v>28</v>
      </c>
      <c r="F4013" s="31" t="n">
        <v>32.2</v>
      </c>
      <c r="G4013" s="31" t="n">
        <v>95.9</v>
      </c>
      <c r="H4013" s="2" t="s">
        <v>671</v>
      </c>
    </row>
    <row r="4014" customFormat="false" ht="15" hidden="false" customHeight="false" outlineLevel="0" collapsed="false">
      <c r="A4014" s="2" t="s">
        <v>2527</v>
      </c>
      <c r="B4014" s="2" t="s">
        <v>47</v>
      </c>
      <c r="C4014" s="2" t="s">
        <v>4086</v>
      </c>
      <c r="D4014" s="11" t="n">
        <v>3080</v>
      </c>
      <c r="E4014" s="31" t="n">
        <v>25.2</v>
      </c>
      <c r="F4014" s="31" t="n">
        <v>42.5</v>
      </c>
      <c r="G4014" s="31" t="n">
        <v>90.1</v>
      </c>
      <c r="H4014" s="2" t="s">
        <v>671</v>
      </c>
    </row>
    <row r="4015" customFormat="false" ht="15" hidden="false" customHeight="false" outlineLevel="0" collapsed="false">
      <c r="A4015" s="2" t="s">
        <v>2527</v>
      </c>
      <c r="B4015" s="2" t="s">
        <v>47</v>
      </c>
      <c r="C4015" s="2" t="s">
        <v>4087</v>
      </c>
      <c r="D4015" s="11" t="n">
        <v>3013</v>
      </c>
      <c r="E4015" s="31" t="n">
        <v>23.2</v>
      </c>
      <c r="F4015" s="31" t="n">
        <v>34.7</v>
      </c>
      <c r="G4015" s="31" t="n">
        <v>92.8</v>
      </c>
      <c r="H4015" s="2" t="s">
        <v>671</v>
      </c>
    </row>
    <row r="4016" customFormat="false" ht="15" hidden="false" customHeight="false" outlineLevel="0" collapsed="false">
      <c r="A4016" s="2" t="s">
        <v>568</v>
      </c>
      <c r="B4016" s="2" t="s">
        <v>4104</v>
      </c>
      <c r="C4016" s="2" t="s">
        <v>4085</v>
      </c>
      <c r="D4016" s="2"/>
      <c r="E4016" s="31" t="n">
        <v>63.3</v>
      </c>
      <c r="F4016" s="31" t="n">
        <v>79.2</v>
      </c>
      <c r="G4016" s="31" t="n">
        <v>81.7</v>
      </c>
      <c r="H4016" s="2" t="s">
        <v>668</v>
      </c>
    </row>
    <row r="4017" customFormat="false" ht="15" hidden="false" customHeight="false" outlineLevel="0" collapsed="false">
      <c r="A4017" s="2" t="s">
        <v>568</v>
      </c>
      <c r="B4017" s="2" t="s">
        <v>4104</v>
      </c>
      <c r="C4017" s="2" t="s">
        <v>4086</v>
      </c>
      <c r="D4017" s="2"/>
      <c r="E4017" s="31" t="n">
        <v>25.8</v>
      </c>
      <c r="F4017" s="31" t="n">
        <v>64.7</v>
      </c>
      <c r="G4017" s="31" t="n">
        <v>35.8</v>
      </c>
      <c r="H4017" s="2" t="s">
        <v>668</v>
      </c>
    </row>
    <row r="4018" customFormat="false" ht="15" hidden="false" customHeight="false" outlineLevel="0" collapsed="false">
      <c r="A4018" s="2" t="s">
        <v>568</v>
      </c>
      <c r="B4018" s="2" t="s">
        <v>4104</v>
      </c>
      <c r="C4018" s="2" t="s">
        <v>4087</v>
      </c>
      <c r="D4018" s="2"/>
      <c r="E4018" s="31" t="n">
        <v>26.5</v>
      </c>
      <c r="F4018" s="31" t="n">
        <v>75.5</v>
      </c>
      <c r="G4018" s="31" t="n">
        <v>43.1</v>
      </c>
      <c r="H4018" s="2" t="s">
        <v>671</v>
      </c>
    </row>
    <row r="4019" customFormat="false" ht="15" hidden="false" customHeight="false" outlineLevel="0" collapsed="false">
      <c r="A4019" s="2" t="s">
        <v>568</v>
      </c>
      <c r="B4019" s="2" t="s">
        <v>45</v>
      </c>
      <c r="C4019" s="2" t="s">
        <v>4085</v>
      </c>
      <c r="D4019" s="11" t="n">
        <v>1696830</v>
      </c>
      <c r="E4019" s="2"/>
      <c r="F4019" s="31" t="n">
        <v>71.4</v>
      </c>
      <c r="G4019" s="2"/>
      <c r="H4019" s="2" t="s">
        <v>668</v>
      </c>
    </row>
    <row r="4020" customFormat="false" ht="15" hidden="false" customHeight="false" outlineLevel="0" collapsed="false">
      <c r="A4020" s="2" t="s">
        <v>568</v>
      </c>
      <c r="B4020" s="2" t="s">
        <v>45</v>
      </c>
      <c r="C4020" s="2" t="s">
        <v>4086</v>
      </c>
      <c r="D4020" s="11" t="n">
        <v>1780790</v>
      </c>
      <c r="E4020" s="31" t="n">
        <v>10.8</v>
      </c>
      <c r="F4020" s="31" t="n">
        <v>76.5</v>
      </c>
      <c r="G4020" s="2"/>
      <c r="H4020" s="2" t="s">
        <v>668</v>
      </c>
    </row>
    <row r="4021" customFormat="false" ht="15" hidden="false" customHeight="false" outlineLevel="0" collapsed="false">
      <c r="A4021" s="2" t="s">
        <v>568</v>
      </c>
      <c r="B4021" s="2" t="s">
        <v>45</v>
      </c>
      <c r="C4021" s="2" t="s">
        <v>4087</v>
      </c>
      <c r="D4021" s="11" t="n">
        <v>1820240</v>
      </c>
      <c r="E4021" s="31" t="n">
        <v>19</v>
      </c>
      <c r="F4021" s="31" t="n">
        <v>75</v>
      </c>
      <c r="G4021" s="31" t="n">
        <v>21</v>
      </c>
      <c r="H4021" s="2" t="s">
        <v>671</v>
      </c>
    </row>
    <row r="4022" customFormat="false" ht="15" hidden="false" customHeight="false" outlineLevel="0" collapsed="false">
      <c r="A4022" s="2" t="s">
        <v>568</v>
      </c>
      <c r="B4022" s="2" t="s">
        <v>46</v>
      </c>
      <c r="C4022" s="2" t="s">
        <v>4085</v>
      </c>
      <c r="D4022" s="2"/>
      <c r="E4022" s="2"/>
      <c r="F4022" s="2"/>
      <c r="G4022" s="2"/>
      <c r="H4022" s="2" t="s">
        <v>668</v>
      </c>
    </row>
    <row r="4023" customFormat="false" ht="15" hidden="false" customHeight="false" outlineLevel="0" collapsed="false">
      <c r="A4023" s="2" t="s">
        <v>568</v>
      </c>
      <c r="B4023" s="2" t="s">
        <v>46</v>
      </c>
      <c r="C4023" s="2" t="s">
        <v>4086</v>
      </c>
      <c r="D4023" s="11" t="n">
        <v>51150</v>
      </c>
      <c r="E4023" s="31" t="n">
        <v>15.5</v>
      </c>
      <c r="F4023" s="31" t="n">
        <v>81.1</v>
      </c>
      <c r="G4023" s="31" t="n">
        <v>48.8</v>
      </c>
      <c r="H4023" s="2" t="s">
        <v>671</v>
      </c>
    </row>
    <row r="4024" customFormat="false" ht="15" hidden="false" customHeight="false" outlineLevel="0" collapsed="false">
      <c r="A4024" s="2" t="s">
        <v>568</v>
      </c>
      <c r="B4024" s="2" t="s">
        <v>46</v>
      </c>
      <c r="C4024" s="2" t="s">
        <v>4087</v>
      </c>
      <c r="D4024" s="11" t="n">
        <v>52290</v>
      </c>
      <c r="E4024" s="31" t="n">
        <v>27.7</v>
      </c>
      <c r="F4024" s="31" t="n">
        <v>67.6</v>
      </c>
      <c r="G4024" s="31" t="n">
        <v>57.3</v>
      </c>
      <c r="H4024" s="2" t="s">
        <v>671</v>
      </c>
    </row>
    <row r="4025" customFormat="false" ht="15" hidden="false" customHeight="false" outlineLevel="0" collapsed="false">
      <c r="A4025" s="2" t="s">
        <v>568</v>
      </c>
      <c r="B4025" s="2" t="s">
        <v>47</v>
      </c>
      <c r="C4025" s="2" t="s">
        <v>4085</v>
      </c>
      <c r="D4025" s="11" t="n">
        <v>18362</v>
      </c>
      <c r="E4025" s="31" t="n">
        <v>63.3</v>
      </c>
      <c r="F4025" s="31" t="n">
        <v>86.9</v>
      </c>
      <c r="G4025" s="31" t="n">
        <v>81.7</v>
      </c>
      <c r="H4025" s="2" t="s">
        <v>671</v>
      </c>
    </row>
    <row r="4026" customFormat="false" ht="15" hidden="false" customHeight="false" outlineLevel="0" collapsed="false">
      <c r="A4026" s="2" t="s">
        <v>568</v>
      </c>
      <c r="B4026" s="2" t="s">
        <v>47</v>
      </c>
      <c r="C4026" s="2" t="s">
        <v>4086</v>
      </c>
      <c r="D4026" s="11" t="n">
        <v>20091</v>
      </c>
      <c r="E4026" s="31" t="n">
        <v>51.1</v>
      </c>
      <c r="F4026" s="31" t="n">
        <v>36.4</v>
      </c>
      <c r="G4026" s="31" t="n">
        <v>22.9</v>
      </c>
      <c r="H4026" s="2" t="s">
        <v>671</v>
      </c>
    </row>
    <row r="4027" customFormat="false" ht="15" hidden="false" customHeight="false" outlineLevel="0" collapsed="false">
      <c r="A4027" s="2" t="s">
        <v>568</v>
      </c>
      <c r="B4027" s="2" t="s">
        <v>47</v>
      </c>
      <c r="C4027" s="2" t="s">
        <v>4087</v>
      </c>
      <c r="D4027" s="11" t="n">
        <v>19796</v>
      </c>
      <c r="E4027" s="31" t="n">
        <v>32.7</v>
      </c>
      <c r="F4027" s="31" t="n">
        <v>84</v>
      </c>
      <c r="G4027" s="31" t="n">
        <v>51</v>
      </c>
      <c r="H4027" s="2" t="s">
        <v>671</v>
      </c>
    </row>
    <row r="4028" customFormat="false" ht="15" hidden="false" customHeight="false" outlineLevel="0" collapsed="false">
      <c r="A4028" s="2" t="s">
        <v>386</v>
      </c>
      <c r="B4028" s="2" t="s">
        <v>4104</v>
      </c>
      <c r="C4028" s="2" t="s">
        <v>4085</v>
      </c>
      <c r="D4028" s="2"/>
      <c r="E4028" s="31" t="n">
        <v>40.6</v>
      </c>
      <c r="F4028" s="31" t="n">
        <v>55</v>
      </c>
      <c r="G4028" s="31" t="n">
        <v>56</v>
      </c>
      <c r="H4028" s="2" t="s">
        <v>671</v>
      </c>
    </row>
    <row r="4029" customFormat="false" ht="15" hidden="false" customHeight="false" outlineLevel="0" collapsed="false">
      <c r="A4029" s="2" t="s">
        <v>386</v>
      </c>
      <c r="B4029" s="2" t="s">
        <v>4104</v>
      </c>
      <c r="C4029" s="2" t="s">
        <v>4086</v>
      </c>
      <c r="D4029" s="2"/>
      <c r="E4029" s="31" t="n">
        <v>49.8</v>
      </c>
      <c r="F4029" s="31" t="n">
        <v>49.3</v>
      </c>
      <c r="G4029" s="31" t="n">
        <v>38.9</v>
      </c>
      <c r="H4029" s="2" t="s">
        <v>671</v>
      </c>
    </row>
    <row r="4030" customFormat="false" ht="15" hidden="false" customHeight="false" outlineLevel="0" collapsed="false">
      <c r="A4030" s="2" t="s">
        <v>386</v>
      </c>
      <c r="B4030" s="2" t="s">
        <v>4104</v>
      </c>
      <c r="C4030" s="2" t="s">
        <v>4087</v>
      </c>
      <c r="D4030" s="2"/>
      <c r="E4030" s="31" t="n">
        <v>48.2</v>
      </c>
      <c r="F4030" s="31" t="n">
        <v>53.8</v>
      </c>
      <c r="G4030" s="31" t="n">
        <v>30.2</v>
      </c>
      <c r="H4030" s="2" t="s">
        <v>671</v>
      </c>
    </row>
    <row r="4031" customFormat="false" ht="15" hidden="false" customHeight="false" outlineLevel="0" collapsed="false">
      <c r="A4031" s="2" t="s">
        <v>386</v>
      </c>
      <c r="B4031" s="2" t="s">
        <v>45</v>
      </c>
      <c r="C4031" s="2" t="s">
        <v>4085</v>
      </c>
      <c r="D4031" s="11" t="n">
        <v>22790</v>
      </c>
      <c r="E4031" s="31" t="n">
        <v>76.5</v>
      </c>
      <c r="F4031" s="31" t="n">
        <v>98.9</v>
      </c>
      <c r="G4031" s="31" t="n">
        <v>21.7</v>
      </c>
      <c r="H4031" s="2" t="s">
        <v>671</v>
      </c>
    </row>
    <row r="4032" customFormat="false" ht="15" hidden="false" customHeight="false" outlineLevel="0" collapsed="false">
      <c r="A4032" s="2" t="s">
        <v>386</v>
      </c>
      <c r="B4032" s="2" t="s">
        <v>45</v>
      </c>
      <c r="C4032" s="2" t="s">
        <v>4086</v>
      </c>
      <c r="D4032" s="11" t="n">
        <v>24050</v>
      </c>
      <c r="E4032" s="31" t="n">
        <v>94.3</v>
      </c>
      <c r="F4032" s="31" t="n">
        <v>95.5</v>
      </c>
      <c r="G4032" s="31" t="n">
        <v>27.3</v>
      </c>
      <c r="H4032" s="2" t="s">
        <v>671</v>
      </c>
    </row>
    <row r="4033" customFormat="false" ht="15" hidden="false" customHeight="false" outlineLevel="0" collapsed="false">
      <c r="A4033" s="2" t="s">
        <v>386</v>
      </c>
      <c r="B4033" s="2" t="s">
        <v>45</v>
      </c>
      <c r="C4033" s="2" t="s">
        <v>4087</v>
      </c>
      <c r="D4033" s="11" t="n">
        <v>25812</v>
      </c>
      <c r="E4033" s="31" t="n">
        <v>89.3</v>
      </c>
      <c r="F4033" s="31" t="n">
        <v>98</v>
      </c>
      <c r="G4033" s="31" t="n">
        <v>16.6</v>
      </c>
      <c r="H4033" s="2" t="s">
        <v>671</v>
      </c>
    </row>
    <row r="4034" customFormat="false" ht="15" hidden="false" customHeight="false" outlineLevel="0" collapsed="false">
      <c r="A4034" s="2" t="s">
        <v>386</v>
      </c>
      <c r="B4034" s="2" t="s">
        <v>47</v>
      </c>
      <c r="C4034" s="2" t="s">
        <v>4085</v>
      </c>
      <c r="D4034" s="11" t="n">
        <v>320864</v>
      </c>
      <c r="E4034" s="31" t="n">
        <v>4.7</v>
      </c>
      <c r="F4034" s="31" t="n">
        <v>11.1</v>
      </c>
      <c r="G4034" s="31" t="n">
        <v>90.3</v>
      </c>
      <c r="H4034" s="2" t="s">
        <v>671</v>
      </c>
    </row>
    <row r="4035" customFormat="false" ht="15" hidden="false" customHeight="false" outlineLevel="0" collapsed="false">
      <c r="A4035" s="2" t="s">
        <v>386</v>
      </c>
      <c r="B4035" s="2" t="s">
        <v>47</v>
      </c>
      <c r="C4035" s="2" t="s">
        <v>4086</v>
      </c>
      <c r="D4035" s="11" t="n">
        <v>313060</v>
      </c>
      <c r="E4035" s="31" t="n">
        <v>5.3</v>
      </c>
      <c r="F4035" s="31" t="n">
        <v>3.1</v>
      </c>
      <c r="G4035" s="31" t="n">
        <v>50.5</v>
      </c>
      <c r="H4035" s="2" t="s">
        <v>671</v>
      </c>
    </row>
    <row r="4036" customFormat="false" ht="15" hidden="false" customHeight="false" outlineLevel="0" collapsed="false">
      <c r="A4036" s="2" t="s">
        <v>386</v>
      </c>
      <c r="B4036" s="2" t="s">
        <v>47</v>
      </c>
      <c r="C4036" s="2" t="s">
        <v>4087</v>
      </c>
      <c r="D4036" s="11" t="n">
        <v>312140</v>
      </c>
      <c r="E4036" s="31" t="n">
        <v>7.2</v>
      </c>
      <c r="F4036" s="31" t="n">
        <v>9.6</v>
      </c>
      <c r="G4036" s="31" t="n">
        <v>43.8</v>
      </c>
      <c r="H4036" s="2" t="s">
        <v>671</v>
      </c>
    </row>
    <row r="4037" customFormat="false" ht="15" hidden="false" customHeight="false" outlineLevel="0" collapsed="false">
      <c r="A4037" s="2" t="s">
        <v>1019</v>
      </c>
      <c r="B4037" s="2" t="s">
        <v>4104</v>
      </c>
      <c r="C4037" s="2" t="s">
        <v>4085</v>
      </c>
      <c r="D4037" s="2"/>
      <c r="E4037" s="31" t="n">
        <v>23.5</v>
      </c>
      <c r="F4037" s="31" t="n">
        <v>56.9</v>
      </c>
      <c r="G4037" s="31" t="n">
        <v>41.9</v>
      </c>
      <c r="H4037" s="2" t="s">
        <v>671</v>
      </c>
    </row>
    <row r="4038" customFormat="false" ht="15" hidden="false" customHeight="false" outlineLevel="0" collapsed="false">
      <c r="A4038" s="2" t="s">
        <v>1019</v>
      </c>
      <c r="B4038" s="2" t="s">
        <v>4104</v>
      </c>
      <c r="C4038" s="2" t="s">
        <v>4086</v>
      </c>
      <c r="D4038" s="2"/>
      <c r="E4038" s="31" t="n">
        <v>26.8</v>
      </c>
      <c r="F4038" s="31" t="n">
        <v>52.6</v>
      </c>
      <c r="G4038" s="31" t="n">
        <v>46.4</v>
      </c>
      <c r="H4038" s="2" t="s">
        <v>671</v>
      </c>
    </row>
    <row r="4039" customFormat="false" ht="15" hidden="false" customHeight="false" outlineLevel="0" collapsed="false">
      <c r="A4039" s="2" t="s">
        <v>1019</v>
      </c>
      <c r="B4039" s="2" t="s">
        <v>4104</v>
      </c>
      <c r="C4039" s="2" t="s">
        <v>4087</v>
      </c>
      <c r="D4039" s="2"/>
      <c r="E4039" s="31" t="n">
        <v>27.7</v>
      </c>
      <c r="F4039" s="31" t="n">
        <v>67.6</v>
      </c>
      <c r="G4039" s="31" t="n">
        <v>67.8</v>
      </c>
      <c r="H4039" s="2" t="s">
        <v>668</v>
      </c>
    </row>
    <row r="4040" customFormat="false" ht="15" hidden="false" customHeight="false" outlineLevel="0" collapsed="false">
      <c r="A4040" s="2" t="s">
        <v>1019</v>
      </c>
      <c r="B4040" s="2" t="s">
        <v>45</v>
      </c>
      <c r="C4040" s="2" t="s">
        <v>4085</v>
      </c>
      <c r="D4040" s="11" t="n">
        <v>19844</v>
      </c>
      <c r="E4040" s="31" t="n">
        <v>51</v>
      </c>
      <c r="F4040" s="31" t="n">
        <v>70.1</v>
      </c>
      <c r="G4040" s="31" t="n">
        <v>94.1</v>
      </c>
      <c r="H4040" s="2" t="s">
        <v>671</v>
      </c>
    </row>
    <row r="4041" customFormat="false" ht="15" hidden="false" customHeight="false" outlineLevel="0" collapsed="false">
      <c r="A4041" s="2" t="s">
        <v>1019</v>
      </c>
      <c r="B4041" s="2" t="s">
        <v>45</v>
      </c>
      <c r="C4041" s="2" t="s">
        <v>4086</v>
      </c>
      <c r="D4041" s="11" t="n">
        <v>21140</v>
      </c>
      <c r="E4041" s="31" t="n">
        <v>54.1</v>
      </c>
      <c r="F4041" s="31" t="n">
        <v>86.6</v>
      </c>
      <c r="G4041" s="31" t="n">
        <v>97.9</v>
      </c>
      <c r="H4041" s="2" t="s">
        <v>671</v>
      </c>
    </row>
    <row r="4042" customFormat="false" ht="15" hidden="false" customHeight="false" outlineLevel="0" collapsed="false">
      <c r="A4042" s="2" t="s">
        <v>1019</v>
      </c>
      <c r="B4042" s="2" t="s">
        <v>45</v>
      </c>
      <c r="C4042" s="2" t="s">
        <v>4087</v>
      </c>
      <c r="D4042" s="11" t="n">
        <v>21852</v>
      </c>
      <c r="E4042" s="31" t="n">
        <v>52.4</v>
      </c>
      <c r="F4042" s="31" t="n">
        <v>69.4</v>
      </c>
      <c r="G4042" s="31" t="n">
        <v>99.7</v>
      </c>
      <c r="H4042" s="2" t="s">
        <v>671</v>
      </c>
    </row>
    <row r="4043" customFormat="false" ht="15" hidden="false" customHeight="false" outlineLevel="0" collapsed="false">
      <c r="A4043" s="2" t="s">
        <v>1019</v>
      </c>
      <c r="B4043" s="2" t="s">
        <v>46</v>
      </c>
      <c r="C4043" s="2" t="s">
        <v>4085</v>
      </c>
      <c r="D4043" s="11" t="n">
        <v>31310</v>
      </c>
      <c r="E4043" s="31" t="n">
        <v>18.4</v>
      </c>
      <c r="F4043" s="31" t="n">
        <v>40.8</v>
      </c>
      <c r="G4043" s="31" t="n">
        <v>16.7</v>
      </c>
      <c r="H4043" s="2" t="s">
        <v>671</v>
      </c>
    </row>
    <row r="4044" customFormat="false" ht="15" hidden="false" customHeight="false" outlineLevel="0" collapsed="false">
      <c r="A4044" s="2" t="s">
        <v>1019</v>
      </c>
      <c r="B4044" s="2" t="s">
        <v>46</v>
      </c>
      <c r="C4044" s="2" t="s">
        <v>4086</v>
      </c>
      <c r="D4044" s="11" t="n">
        <v>33640</v>
      </c>
      <c r="E4044" s="31" t="n">
        <v>17.9</v>
      </c>
      <c r="F4044" s="31" t="n">
        <v>31.3</v>
      </c>
      <c r="G4044" s="31" t="n">
        <v>28.3</v>
      </c>
      <c r="H4044" s="2" t="s">
        <v>671</v>
      </c>
    </row>
    <row r="4045" customFormat="false" ht="15" hidden="false" customHeight="false" outlineLevel="0" collapsed="false">
      <c r="A4045" s="2" t="s">
        <v>1019</v>
      </c>
      <c r="B4045" s="2" t="s">
        <v>46</v>
      </c>
      <c r="C4045" s="2" t="s">
        <v>4087</v>
      </c>
      <c r="D4045" s="2"/>
      <c r="E4045" s="2"/>
      <c r="F4045" s="2"/>
      <c r="G4045" s="2"/>
      <c r="H4045" s="2" t="s">
        <v>668</v>
      </c>
    </row>
    <row r="4046" customFormat="false" ht="15" hidden="false" customHeight="false" outlineLevel="0" collapsed="false">
      <c r="A4046" s="2" t="s">
        <v>1019</v>
      </c>
      <c r="B4046" s="2" t="s">
        <v>47</v>
      </c>
      <c r="C4046" s="2" t="s">
        <v>4085</v>
      </c>
      <c r="D4046" s="11" t="n">
        <v>287770</v>
      </c>
      <c r="E4046" s="31" t="n">
        <v>1</v>
      </c>
      <c r="F4046" s="31" t="n">
        <v>59.9</v>
      </c>
      <c r="G4046" s="31" t="n">
        <v>14.8</v>
      </c>
      <c r="H4046" s="2" t="s">
        <v>671</v>
      </c>
    </row>
    <row r="4047" customFormat="false" ht="15" hidden="false" customHeight="false" outlineLevel="0" collapsed="false">
      <c r="A4047" s="2" t="s">
        <v>1019</v>
      </c>
      <c r="B4047" s="2" t="s">
        <v>47</v>
      </c>
      <c r="C4047" s="2" t="s">
        <v>4086</v>
      </c>
      <c r="D4047" s="11" t="n">
        <v>294279</v>
      </c>
      <c r="E4047" s="31" t="n">
        <v>8.3</v>
      </c>
      <c r="F4047" s="31" t="n">
        <v>39.8</v>
      </c>
      <c r="G4047" s="31" t="n">
        <v>12.9</v>
      </c>
      <c r="H4047" s="2" t="s">
        <v>671</v>
      </c>
    </row>
    <row r="4048" customFormat="false" ht="15" hidden="false" customHeight="false" outlineLevel="0" collapsed="false">
      <c r="A4048" s="2" t="s">
        <v>1019</v>
      </c>
      <c r="B4048" s="2" t="s">
        <v>47</v>
      </c>
      <c r="C4048" s="2" t="s">
        <v>4087</v>
      </c>
      <c r="D4048" s="11" t="n">
        <v>305983</v>
      </c>
      <c r="E4048" s="31" t="n">
        <v>3</v>
      </c>
      <c r="F4048" s="31" t="n">
        <v>65.7</v>
      </c>
      <c r="G4048" s="31" t="n">
        <v>35.8</v>
      </c>
      <c r="H4048" s="2" t="s">
        <v>671</v>
      </c>
    </row>
    <row r="4049" customFormat="false" ht="15" hidden="false" customHeight="false" outlineLevel="0" collapsed="false">
      <c r="A4049" s="2" t="s">
        <v>1203</v>
      </c>
      <c r="B4049" s="2" t="s">
        <v>4104</v>
      </c>
      <c r="C4049" s="2" t="s">
        <v>4085</v>
      </c>
      <c r="D4049" s="2"/>
      <c r="E4049" s="31" t="n">
        <v>47</v>
      </c>
      <c r="F4049" s="31" t="n">
        <v>14.1</v>
      </c>
      <c r="G4049" s="31" t="n">
        <v>57.2</v>
      </c>
      <c r="H4049" s="2" t="s">
        <v>668</v>
      </c>
    </row>
    <row r="4050" customFormat="false" ht="15" hidden="false" customHeight="false" outlineLevel="0" collapsed="false">
      <c r="A4050" s="2" t="s">
        <v>1203</v>
      </c>
      <c r="B4050" s="2" t="s">
        <v>4104</v>
      </c>
      <c r="C4050" s="2" t="s">
        <v>4086</v>
      </c>
      <c r="D4050" s="2"/>
      <c r="E4050" s="31" t="n">
        <v>35.7</v>
      </c>
      <c r="F4050" s="31" t="n">
        <v>17.7</v>
      </c>
      <c r="G4050" s="31" t="n">
        <v>67.3</v>
      </c>
      <c r="H4050" s="2" t="s">
        <v>668</v>
      </c>
    </row>
    <row r="4051" customFormat="false" ht="15" hidden="false" customHeight="false" outlineLevel="0" collapsed="false">
      <c r="A4051" s="2" t="s">
        <v>1203</v>
      </c>
      <c r="B4051" s="2" t="s">
        <v>4104</v>
      </c>
      <c r="C4051" s="2" t="s">
        <v>4087</v>
      </c>
      <c r="D4051" s="2"/>
      <c r="E4051" s="31" t="n">
        <v>28.2</v>
      </c>
      <c r="F4051" s="31" t="n">
        <v>16.7</v>
      </c>
      <c r="G4051" s="31" t="n">
        <v>53.9</v>
      </c>
      <c r="H4051" s="2" t="s">
        <v>668</v>
      </c>
    </row>
    <row r="4052" customFormat="false" ht="15" hidden="false" customHeight="false" outlineLevel="0" collapsed="false">
      <c r="A4052" s="2" t="s">
        <v>1203</v>
      </c>
      <c r="B4052" s="2" t="s">
        <v>45</v>
      </c>
      <c r="C4052" s="2" t="s">
        <v>4085</v>
      </c>
      <c r="D4052" s="11" t="n">
        <v>4580</v>
      </c>
      <c r="E4052" s="31" t="n">
        <v>21.8</v>
      </c>
      <c r="F4052" s="31" t="n">
        <v>16.1</v>
      </c>
      <c r="G4052" s="31" t="n">
        <v>27.6</v>
      </c>
      <c r="H4052" s="2" t="s">
        <v>671</v>
      </c>
    </row>
    <row r="4053" customFormat="false" ht="15" hidden="false" customHeight="false" outlineLevel="0" collapsed="false">
      <c r="A4053" s="2" t="s">
        <v>1203</v>
      </c>
      <c r="B4053" s="2" t="s">
        <v>45</v>
      </c>
      <c r="C4053" s="2" t="s">
        <v>4086</v>
      </c>
      <c r="D4053" s="11" t="n">
        <v>4720</v>
      </c>
      <c r="E4053" s="31" t="n">
        <v>24.4</v>
      </c>
      <c r="F4053" s="31" t="n">
        <v>8.5</v>
      </c>
      <c r="G4053" s="31" t="n">
        <v>68.5</v>
      </c>
      <c r="H4053" s="2" t="s">
        <v>671</v>
      </c>
    </row>
    <row r="4054" customFormat="false" ht="15" hidden="false" customHeight="false" outlineLevel="0" collapsed="false">
      <c r="A4054" s="2" t="s">
        <v>1203</v>
      </c>
      <c r="B4054" s="2" t="s">
        <v>45</v>
      </c>
      <c r="C4054" s="2" t="s">
        <v>4087</v>
      </c>
      <c r="D4054" s="11" t="n">
        <v>4673</v>
      </c>
      <c r="E4054" s="31" t="n">
        <v>28.2</v>
      </c>
      <c r="F4054" s="31" t="n">
        <v>16.7</v>
      </c>
      <c r="G4054" s="31" t="n">
        <v>53.9</v>
      </c>
      <c r="H4054" s="2" t="s">
        <v>671</v>
      </c>
    </row>
    <row r="4055" customFormat="false" ht="15" hidden="false" customHeight="false" outlineLevel="0" collapsed="false">
      <c r="A4055" s="2" t="s">
        <v>1203</v>
      </c>
      <c r="B4055" s="2" t="s">
        <v>46</v>
      </c>
      <c r="C4055" s="2" t="s">
        <v>4085</v>
      </c>
      <c r="D4055" s="2"/>
      <c r="E4055" s="2"/>
      <c r="F4055" s="2"/>
      <c r="G4055" s="2"/>
      <c r="H4055" s="2" t="s">
        <v>668</v>
      </c>
    </row>
    <row r="4056" customFormat="false" ht="15" hidden="false" customHeight="false" outlineLevel="0" collapsed="false">
      <c r="A4056" s="2" t="s">
        <v>1203</v>
      </c>
      <c r="B4056" s="2" t="s">
        <v>46</v>
      </c>
      <c r="C4056" s="2" t="s">
        <v>4086</v>
      </c>
      <c r="D4056" s="11" t="n">
        <v>47390</v>
      </c>
      <c r="E4056" s="31" t="n">
        <v>44.4</v>
      </c>
      <c r="F4056" s="31" t="n">
        <v>28.7</v>
      </c>
      <c r="G4056" s="2"/>
      <c r="H4056" s="2" t="s">
        <v>668</v>
      </c>
    </row>
    <row r="4057" customFormat="false" ht="15" hidden="false" customHeight="false" outlineLevel="0" collapsed="false">
      <c r="A4057" s="2" t="s">
        <v>1203</v>
      </c>
      <c r="B4057" s="2" t="s">
        <v>46</v>
      </c>
      <c r="C4057" s="2" t="s">
        <v>4087</v>
      </c>
      <c r="D4057" s="2"/>
      <c r="E4057" s="2"/>
      <c r="F4057" s="2"/>
      <c r="G4057" s="2"/>
      <c r="H4057" s="2" t="s">
        <v>668</v>
      </c>
    </row>
    <row r="4058" customFormat="false" ht="15" hidden="false" customHeight="false" outlineLevel="0" collapsed="false">
      <c r="A4058" s="2" t="s">
        <v>1203</v>
      </c>
      <c r="B4058" s="2" t="s">
        <v>47</v>
      </c>
      <c r="C4058" s="2" t="s">
        <v>4085</v>
      </c>
      <c r="D4058" s="11" t="n">
        <v>62045</v>
      </c>
      <c r="E4058" s="31" t="n">
        <v>72.3</v>
      </c>
      <c r="F4058" s="31" t="n">
        <v>12.1</v>
      </c>
      <c r="G4058" s="31" t="n">
        <v>86.8</v>
      </c>
      <c r="H4058" s="2" t="s">
        <v>671</v>
      </c>
    </row>
    <row r="4059" customFormat="false" ht="15" hidden="false" customHeight="false" outlineLevel="0" collapsed="false">
      <c r="A4059" s="2" t="s">
        <v>1203</v>
      </c>
      <c r="B4059" s="2" t="s">
        <v>47</v>
      </c>
      <c r="C4059" s="2" t="s">
        <v>4086</v>
      </c>
      <c r="D4059" s="11" t="n">
        <v>64330</v>
      </c>
      <c r="E4059" s="31" t="n">
        <v>38.4</v>
      </c>
      <c r="F4059" s="31" t="n">
        <v>15.9</v>
      </c>
      <c r="G4059" s="31" t="n">
        <v>66.1</v>
      </c>
      <c r="H4059" s="2" t="s">
        <v>671</v>
      </c>
    </row>
    <row r="4060" customFormat="false" ht="15" hidden="false" customHeight="false" outlineLevel="0" collapsed="false">
      <c r="A4060" s="2" t="s">
        <v>1203</v>
      </c>
      <c r="B4060" s="2" t="s">
        <v>47</v>
      </c>
      <c r="C4060" s="2" t="s">
        <v>4087</v>
      </c>
      <c r="D4060" s="2"/>
      <c r="E4060" s="2"/>
      <c r="F4060" s="2"/>
      <c r="G4060" s="2"/>
      <c r="H4060" s="2" t="s">
        <v>668</v>
      </c>
    </row>
    <row r="4061" customFormat="false" ht="15" hidden="false" customHeight="false" outlineLevel="0" collapsed="false">
      <c r="A4061" s="2" t="s">
        <v>2956</v>
      </c>
      <c r="B4061" s="2" t="s">
        <v>4104</v>
      </c>
      <c r="C4061" s="2" t="s">
        <v>4085</v>
      </c>
      <c r="D4061" s="2"/>
      <c r="E4061" s="31" t="n">
        <v>76</v>
      </c>
      <c r="F4061" s="31" t="n">
        <v>34.6</v>
      </c>
      <c r="G4061" s="31" t="n">
        <v>51.9</v>
      </c>
      <c r="H4061" s="2" t="s">
        <v>668</v>
      </c>
    </row>
    <row r="4062" customFormat="false" ht="15" hidden="false" customHeight="false" outlineLevel="0" collapsed="false">
      <c r="A4062" s="2" t="s">
        <v>2956</v>
      </c>
      <c r="B4062" s="2" t="s">
        <v>4104</v>
      </c>
      <c r="C4062" s="2" t="s">
        <v>4086</v>
      </c>
      <c r="D4062" s="2"/>
      <c r="E4062" s="31" t="n">
        <v>75.1</v>
      </c>
      <c r="F4062" s="31" t="n">
        <v>45</v>
      </c>
      <c r="G4062" s="31" t="n">
        <v>34.7</v>
      </c>
      <c r="H4062" s="2" t="s">
        <v>668</v>
      </c>
    </row>
    <row r="4063" customFormat="false" ht="15" hidden="false" customHeight="false" outlineLevel="0" collapsed="false">
      <c r="A4063" s="2" t="s">
        <v>2956</v>
      </c>
      <c r="B4063" s="2" t="s">
        <v>4104</v>
      </c>
      <c r="C4063" s="2" t="s">
        <v>4087</v>
      </c>
      <c r="D4063" s="2"/>
      <c r="E4063" s="2"/>
      <c r="F4063" s="2"/>
      <c r="G4063" s="31" t="n">
        <v>36.5</v>
      </c>
      <c r="H4063" s="2" t="s">
        <v>668</v>
      </c>
    </row>
    <row r="4064" customFormat="false" ht="15" hidden="false" customHeight="false" outlineLevel="0" collapsed="false">
      <c r="A4064" s="2" t="s">
        <v>2956</v>
      </c>
      <c r="B4064" s="2" t="s">
        <v>45</v>
      </c>
      <c r="C4064" s="2" t="s">
        <v>4085</v>
      </c>
      <c r="D4064" s="11" t="n">
        <v>611870</v>
      </c>
      <c r="E4064" s="31" t="n">
        <v>62</v>
      </c>
      <c r="F4064" s="31" t="n">
        <v>36.3</v>
      </c>
      <c r="G4064" s="31" t="n">
        <v>28</v>
      </c>
      <c r="H4064" s="2" t="s">
        <v>671</v>
      </c>
    </row>
    <row r="4065" customFormat="false" ht="15" hidden="false" customHeight="false" outlineLevel="0" collapsed="false">
      <c r="A4065" s="2" t="s">
        <v>2956</v>
      </c>
      <c r="B4065" s="2" t="s">
        <v>45</v>
      </c>
      <c r="C4065" s="2" t="s">
        <v>4086</v>
      </c>
      <c r="D4065" s="11" t="n">
        <v>614970</v>
      </c>
      <c r="E4065" s="31" t="n">
        <v>63.3</v>
      </c>
      <c r="F4065" s="31" t="n">
        <v>55.7</v>
      </c>
      <c r="G4065" s="31" t="n">
        <v>27.7</v>
      </c>
      <c r="H4065" s="2" t="s">
        <v>671</v>
      </c>
    </row>
    <row r="4066" customFormat="false" ht="15" hidden="false" customHeight="false" outlineLevel="0" collapsed="false">
      <c r="A4066" s="2" t="s">
        <v>2956</v>
      </c>
      <c r="B4066" s="2" t="s">
        <v>45</v>
      </c>
      <c r="C4066" s="2" t="s">
        <v>4087</v>
      </c>
      <c r="D4066" s="2"/>
      <c r="E4066" s="2"/>
      <c r="F4066" s="2"/>
      <c r="G4066" s="2"/>
      <c r="H4066" s="2" t="s">
        <v>668</v>
      </c>
    </row>
    <row r="4067" customFormat="false" ht="15" hidden="false" customHeight="false" outlineLevel="0" collapsed="false">
      <c r="A4067" s="2" t="s">
        <v>2956</v>
      </c>
      <c r="B4067" s="2" t="s">
        <v>46</v>
      </c>
      <c r="C4067" s="2" t="s">
        <v>4085</v>
      </c>
      <c r="D4067" s="2"/>
      <c r="E4067" s="2"/>
      <c r="F4067" s="2"/>
      <c r="G4067" s="2"/>
      <c r="H4067" s="2" t="s">
        <v>668</v>
      </c>
    </row>
    <row r="4068" customFormat="false" ht="15" hidden="false" customHeight="false" outlineLevel="0" collapsed="false">
      <c r="A4068" s="2" t="s">
        <v>2956</v>
      </c>
      <c r="B4068" s="2" t="s">
        <v>46</v>
      </c>
      <c r="C4068" s="2" t="s">
        <v>4086</v>
      </c>
      <c r="D4068" s="11" t="n">
        <v>23130</v>
      </c>
      <c r="E4068" s="31" t="n">
        <v>75</v>
      </c>
      <c r="F4068" s="31" t="n">
        <v>60.4</v>
      </c>
      <c r="G4068" s="31" t="n">
        <v>41.7</v>
      </c>
      <c r="H4068" s="2" t="s">
        <v>671</v>
      </c>
    </row>
    <row r="4069" customFormat="false" ht="15" hidden="false" customHeight="false" outlineLevel="0" collapsed="false">
      <c r="A4069" s="2" t="s">
        <v>2956</v>
      </c>
      <c r="B4069" s="2" t="s">
        <v>46</v>
      </c>
      <c r="C4069" s="2" t="s">
        <v>4087</v>
      </c>
      <c r="D4069" s="2"/>
      <c r="E4069" s="2"/>
      <c r="F4069" s="2"/>
      <c r="G4069" s="31" t="n">
        <v>36.5</v>
      </c>
      <c r="H4069" s="2" t="s">
        <v>668</v>
      </c>
    </row>
    <row r="4070" customFormat="false" ht="15" hidden="false" customHeight="false" outlineLevel="0" collapsed="false">
      <c r="A4070" s="2" t="s">
        <v>2956</v>
      </c>
      <c r="B4070" s="2" t="s">
        <v>47</v>
      </c>
      <c r="C4070" s="2" t="s">
        <v>4085</v>
      </c>
      <c r="D4070" s="11" t="n">
        <v>14460</v>
      </c>
      <c r="E4070" s="31" t="n">
        <v>90</v>
      </c>
      <c r="F4070" s="31" t="n">
        <v>33</v>
      </c>
      <c r="G4070" s="31" t="n">
        <v>75.8</v>
      </c>
      <c r="H4070" s="2" t="s">
        <v>671</v>
      </c>
    </row>
    <row r="4071" customFormat="false" ht="15" hidden="false" customHeight="false" outlineLevel="0" collapsed="false">
      <c r="A4071" s="2" t="s">
        <v>2956</v>
      </c>
      <c r="B4071" s="2" t="s">
        <v>47</v>
      </c>
      <c r="C4071" s="2" t="s">
        <v>4086</v>
      </c>
      <c r="D4071" s="11" t="n">
        <v>14213</v>
      </c>
      <c r="E4071" s="31" t="n">
        <v>86.9</v>
      </c>
      <c r="F4071" s="31" t="n">
        <v>18.8</v>
      </c>
      <c r="G4071" s="2"/>
      <c r="H4071" s="2" t="s">
        <v>668</v>
      </c>
    </row>
    <row r="4072" customFormat="false" ht="15" hidden="false" customHeight="false" outlineLevel="0" collapsed="false">
      <c r="A4072" s="2" t="s">
        <v>2956</v>
      </c>
      <c r="B4072" s="2" t="s">
        <v>47</v>
      </c>
      <c r="C4072" s="2" t="s">
        <v>4087</v>
      </c>
      <c r="D4072" s="2"/>
      <c r="E4072" s="2"/>
      <c r="F4072" s="2"/>
      <c r="G4072" s="2"/>
      <c r="H4072" s="2" t="s">
        <v>668</v>
      </c>
    </row>
    <row r="4073" customFormat="false" ht="15" hidden="false" customHeight="false" outlineLevel="0" collapsed="false">
      <c r="A4073" s="2" t="s">
        <v>2672</v>
      </c>
      <c r="B4073" s="2" t="s">
        <v>4104</v>
      </c>
      <c r="C4073" s="2" t="s">
        <v>4085</v>
      </c>
      <c r="D4073" s="2"/>
      <c r="E4073" s="31" t="n">
        <v>10.2</v>
      </c>
      <c r="F4073" s="31" t="n">
        <v>25.2</v>
      </c>
      <c r="G4073" s="31" t="n">
        <v>56.4</v>
      </c>
      <c r="H4073" s="2" t="s">
        <v>668</v>
      </c>
    </row>
    <row r="4074" customFormat="false" ht="15" hidden="false" customHeight="false" outlineLevel="0" collapsed="false">
      <c r="A4074" s="2" t="s">
        <v>2672</v>
      </c>
      <c r="B4074" s="2" t="s">
        <v>4104</v>
      </c>
      <c r="C4074" s="2" t="s">
        <v>4086</v>
      </c>
      <c r="D4074" s="2"/>
      <c r="E4074" s="31" t="n">
        <v>39.6</v>
      </c>
      <c r="F4074" s="31" t="n">
        <v>25.4</v>
      </c>
      <c r="G4074" s="31" t="n">
        <v>64</v>
      </c>
      <c r="H4074" s="2" t="s">
        <v>668</v>
      </c>
    </row>
    <row r="4075" customFormat="false" ht="15" hidden="false" customHeight="false" outlineLevel="0" collapsed="false">
      <c r="A4075" s="2" t="s">
        <v>2672</v>
      </c>
      <c r="B4075" s="2" t="s">
        <v>4104</v>
      </c>
      <c r="C4075" s="2" t="s">
        <v>4087</v>
      </c>
      <c r="D4075" s="2"/>
      <c r="E4075" s="31" t="n">
        <v>25.6</v>
      </c>
      <c r="F4075" s="31" t="n">
        <v>24.5</v>
      </c>
      <c r="G4075" s="31" t="n">
        <v>73</v>
      </c>
      <c r="H4075" s="2" t="s">
        <v>668</v>
      </c>
    </row>
    <row r="4076" customFormat="false" ht="15" hidden="false" customHeight="false" outlineLevel="0" collapsed="false">
      <c r="A4076" s="2" t="s">
        <v>2672</v>
      </c>
      <c r="B4076" s="2" t="s">
        <v>46</v>
      </c>
      <c r="C4076" s="2" t="s">
        <v>4085</v>
      </c>
      <c r="D4076" s="2"/>
      <c r="E4076" s="2"/>
      <c r="F4076" s="2"/>
      <c r="G4076" s="2"/>
      <c r="H4076" s="2" t="s">
        <v>668</v>
      </c>
    </row>
    <row r="4077" customFormat="false" ht="15" hidden="false" customHeight="false" outlineLevel="0" collapsed="false">
      <c r="A4077" s="2" t="s">
        <v>2672</v>
      </c>
      <c r="B4077" s="2" t="s">
        <v>46</v>
      </c>
      <c r="C4077" s="2" t="s">
        <v>4086</v>
      </c>
      <c r="D4077" s="11" t="n">
        <v>183130</v>
      </c>
      <c r="E4077" s="31" t="n">
        <v>75.8</v>
      </c>
      <c r="F4077" s="31" t="n">
        <v>26.8</v>
      </c>
      <c r="G4077" s="2"/>
      <c r="H4077" s="2" t="s">
        <v>668</v>
      </c>
    </row>
    <row r="4078" customFormat="false" ht="15" hidden="false" customHeight="false" outlineLevel="0" collapsed="false">
      <c r="A4078" s="2" t="s">
        <v>2672</v>
      </c>
      <c r="B4078" s="2" t="s">
        <v>46</v>
      </c>
      <c r="C4078" s="2" t="s">
        <v>4087</v>
      </c>
      <c r="D4078" s="11" t="n">
        <v>335350</v>
      </c>
      <c r="E4078" s="31" t="n">
        <v>49</v>
      </c>
      <c r="F4078" s="2"/>
      <c r="G4078" s="31" t="n">
        <v>61.1</v>
      </c>
      <c r="H4078" s="2" t="s">
        <v>668</v>
      </c>
    </row>
    <row r="4079" customFormat="false" ht="15" hidden="false" customHeight="false" outlineLevel="0" collapsed="false">
      <c r="A4079" s="2" t="s">
        <v>2672</v>
      </c>
      <c r="B4079" s="2" t="s">
        <v>47</v>
      </c>
      <c r="C4079" s="2" t="s">
        <v>4085</v>
      </c>
      <c r="D4079" s="11" t="n">
        <v>41779</v>
      </c>
      <c r="E4079" s="31" t="n">
        <v>10.2</v>
      </c>
      <c r="F4079" s="31" t="n">
        <v>25.2</v>
      </c>
      <c r="G4079" s="31" t="n">
        <v>56.4</v>
      </c>
      <c r="H4079" s="2" t="s">
        <v>671</v>
      </c>
    </row>
    <row r="4080" customFormat="false" ht="15" hidden="false" customHeight="false" outlineLevel="0" collapsed="false">
      <c r="A4080" s="2" t="s">
        <v>2672</v>
      </c>
      <c r="B4080" s="2" t="s">
        <v>47</v>
      </c>
      <c r="C4080" s="2" t="s">
        <v>4086</v>
      </c>
      <c r="D4080" s="11" t="n">
        <v>42516</v>
      </c>
      <c r="E4080" s="31" t="n">
        <v>3.4</v>
      </c>
      <c r="F4080" s="31" t="n">
        <v>24</v>
      </c>
      <c r="G4080" s="31" t="n">
        <v>64</v>
      </c>
      <c r="H4080" s="2" t="s">
        <v>671</v>
      </c>
    </row>
    <row r="4081" customFormat="false" ht="15" hidden="false" customHeight="false" outlineLevel="0" collapsed="false">
      <c r="A4081" s="2" t="s">
        <v>2672</v>
      </c>
      <c r="B4081" s="2" t="s">
        <v>47</v>
      </c>
      <c r="C4081" s="2" t="s">
        <v>4087</v>
      </c>
      <c r="D4081" s="11" t="n">
        <v>41643</v>
      </c>
      <c r="E4081" s="31" t="n">
        <v>2.3</v>
      </c>
      <c r="F4081" s="31" t="n">
        <v>24.5</v>
      </c>
      <c r="G4081" s="31" t="n">
        <v>84.8</v>
      </c>
      <c r="H4081" s="2" t="s">
        <v>671</v>
      </c>
    </row>
    <row r="4082" customFormat="false" ht="15" hidden="false" customHeight="false" outlineLevel="0" collapsed="false">
      <c r="A4082" s="2" t="s">
        <v>1721</v>
      </c>
      <c r="B4082" s="2" t="s">
        <v>4104</v>
      </c>
      <c r="C4082" s="2" t="s">
        <v>4085</v>
      </c>
      <c r="D4082" s="2"/>
      <c r="E4082" s="31" t="n">
        <v>83.1</v>
      </c>
      <c r="F4082" s="31" t="n">
        <v>81.4</v>
      </c>
      <c r="G4082" s="31" t="n">
        <v>78.5</v>
      </c>
      <c r="H4082" s="2" t="s">
        <v>668</v>
      </c>
    </row>
    <row r="4083" customFormat="false" ht="15" hidden="false" customHeight="false" outlineLevel="0" collapsed="false">
      <c r="A4083" s="2" t="s">
        <v>1721</v>
      </c>
      <c r="B4083" s="2" t="s">
        <v>4104</v>
      </c>
      <c r="C4083" s="2" t="s">
        <v>4086</v>
      </c>
      <c r="D4083" s="2"/>
      <c r="E4083" s="31" t="n">
        <v>76.7</v>
      </c>
      <c r="F4083" s="31" t="n">
        <v>77.7</v>
      </c>
      <c r="G4083" s="31" t="n">
        <v>51.3</v>
      </c>
      <c r="H4083" s="2" t="s">
        <v>668</v>
      </c>
    </row>
    <row r="4084" customFormat="false" ht="15" hidden="false" customHeight="false" outlineLevel="0" collapsed="false">
      <c r="A4084" s="2" t="s">
        <v>1721</v>
      </c>
      <c r="B4084" s="2" t="s">
        <v>4104</v>
      </c>
      <c r="C4084" s="2" t="s">
        <v>4087</v>
      </c>
      <c r="D4084" s="2"/>
      <c r="E4084" s="31" t="n">
        <v>42.5</v>
      </c>
      <c r="F4084" s="31" t="n">
        <v>58.9</v>
      </c>
      <c r="G4084" s="31" t="n">
        <v>67.6</v>
      </c>
      <c r="H4084" s="2" t="s">
        <v>668</v>
      </c>
    </row>
    <row r="4085" customFormat="false" ht="15" hidden="false" customHeight="false" outlineLevel="0" collapsed="false">
      <c r="A4085" s="2" t="s">
        <v>1721</v>
      </c>
      <c r="B4085" s="2" t="s">
        <v>45</v>
      </c>
      <c r="C4085" s="2" t="s">
        <v>4085</v>
      </c>
      <c r="D4085" s="11" t="n">
        <v>13760</v>
      </c>
      <c r="E4085" s="31" t="n">
        <v>83.1</v>
      </c>
      <c r="F4085" s="31" t="n">
        <v>81.4</v>
      </c>
      <c r="G4085" s="31" t="n">
        <v>78.5</v>
      </c>
      <c r="H4085" s="2" t="s">
        <v>671</v>
      </c>
    </row>
    <row r="4086" customFormat="false" ht="15" hidden="false" customHeight="false" outlineLevel="0" collapsed="false">
      <c r="A4086" s="2" t="s">
        <v>1721</v>
      </c>
      <c r="B4086" s="2" t="s">
        <v>45</v>
      </c>
      <c r="C4086" s="2" t="s">
        <v>4086</v>
      </c>
      <c r="D4086" s="11" t="n">
        <v>14550</v>
      </c>
      <c r="E4086" s="31" t="n">
        <v>76.7</v>
      </c>
      <c r="F4086" s="31" t="n">
        <v>77.7</v>
      </c>
      <c r="G4086" s="31" t="n">
        <v>51.3</v>
      </c>
      <c r="H4086" s="2" t="s">
        <v>671</v>
      </c>
    </row>
    <row r="4087" customFormat="false" ht="15" hidden="false" customHeight="false" outlineLevel="0" collapsed="false">
      <c r="A4087" s="2" t="s">
        <v>1721</v>
      </c>
      <c r="B4087" s="2" t="s">
        <v>45</v>
      </c>
      <c r="C4087" s="2" t="s">
        <v>4087</v>
      </c>
      <c r="D4087" s="2"/>
      <c r="E4087" s="2"/>
      <c r="F4087" s="2"/>
      <c r="G4087" s="2"/>
      <c r="H4087" s="2" t="s">
        <v>668</v>
      </c>
    </row>
    <row r="4088" customFormat="false" ht="15" hidden="false" customHeight="false" outlineLevel="0" collapsed="false">
      <c r="A4088" s="2" t="s">
        <v>1721</v>
      </c>
      <c r="B4088" s="2" t="s">
        <v>46</v>
      </c>
      <c r="C4088" s="2" t="s">
        <v>4085</v>
      </c>
      <c r="D4088" s="2"/>
      <c r="E4088" s="2"/>
      <c r="F4088" s="2"/>
      <c r="G4088" s="2"/>
      <c r="H4088" s="2" t="s">
        <v>668</v>
      </c>
    </row>
    <row r="4089" customFormat="false" ht="15" hidden="false" customHeight="false" outlineLevel="0" collapsed="false">
      <c r="A4089" s="2" t="s">
        <v>1721</v>
      </c>
      <c r="B4089" s="2" t="s">
        <v>46</v>
      </c>
      <c r="C4089" s="2" t="s">
        <v>4086</v>
      </c>
      <c r="D4089" s="2"/>
      <c r="E4089" s="2"/>
      <c r="F4089" s="2"/>
      <c r="G4089" s="2"/>
      <c r="H4089" s="2" t="s">
        <v>668</v>
      </c>
    </row>
    <row r="4090" customFormat="false" ht="15" hidden="false" customHeight="false" outlineLevel="0" collapsed="false">
      <c r="A4090" s="2" t="s">
        <v>1721</v>
      </c>
      <c r="B4090" s="2" t="s">
        <v>46</v>
      </c>
      <c r="C4090" s="2" t="s">
        <v>4087</v>
      </c>
      <c r="D4090" s="11" t="n">
        <v>82622</v>
      </c>
      <c r="E4090" s="31" t="n">
        <v>42.5</v>
      </c>
      <c r="F4090" s="31" t="n">
        <v>58.9</v>
      </c>
      <c r="G4090" s="31" t="n">
        <v>67.6</v>
      </c>
      <c r="H4090" s="2" t="s">
        <v>671</v>
      </c>
    </row>
    <row r="4091" customFormat="false" ht="15" hidden="false" customHeight="false" outlineLevel="0" collapsed="false">
      <c r="A4091" s="2" t="s">
        <v>2005</v>
      </c>
      <c r="B4091" s="2" t="s">
        <v>4104</v>
      </c>
      <c r="C4091" s="2" t="s">
        <v>4085</v>
      </c>
      <c r="D4091" s="2"/>
      <c r="E4091" s="31" t="n">
        <v>65.9</v>
      </c>
      <c r="F4091" s="31" t="n">
        <v>51.2</v>
      </c>
      <c r="G4091" s="31" t="n">
        <v>21.5</v>
      </c>
      <c r="H4091" s="2" t="s">
        <v>668</v>
      </c>
    </row>
    <row r="4092" customFormat="false" ht="15" hidden="false" customHeight="false" outlineLevel="0" collapsed="false">
      <c r="A4092" s="2" t="s">
        <v>2005</v>
      </c>
      <c r="B4092" s="2" t="s">
        <v>4104</v>
      </c>
      <c r="C4092" s="2" t="s">
        <v>4086</v>
      </c>
      <c r="D4092" s="2"/>
      <c r="E4092" s="31" t="n">
        <v>58.6</v>
      </c>
      <c r="F4092" s="31" t="n">
        <v>39.5</v>
      </c>
      <c r="G4092" s="31" t="n">
        <v>28.4</v>
      </c>
      <c r="H4092" s="2" t="s">
        <v>671</v>
      </c>
    </row>
    <row r="4093" customFormat="false" ht="15" hidden="false" customHeight="false" outlineLevel="0" collapsed="false">
      <c r="A4093" s="2" t="s">
        <v>2005</v>
      </c>
      <c r="B4093" s="2" t="s">
        <v>4104</v>
      </c>
      <c r="C4093" s="2" t="s">
        <v>4087</v>
      </c>
      <c r="D4093" s="2"/>
      <c r="E4093" s="31" t="n">
        <v>73.8</v>
      </c>
      <c r="F4093" s="31" t="n">
        <v>56</v>
      </c>
      <c r="G4093" s="31" t="n">
        <v>56.4</v>
      </c>
      <c r="H4093" s="2" t="s">
        <v>668</v>
      </c>
    </row>
    <row r="4094" customFormat="false" ht="15" hidden="false" customHeight="false" outlineLevel="0" collapsed="false">
      <c r="A4094" s="2" t="s">
        <v>2005</v>
      </c>
      <c r="B4094" s="2" t="s">
        <v>45</v>
      </c>
      <c r="C4094" s="2" t="s">
        <v>4085</v>
      </c>
      <c r="D4094" s="11" t="n">
        <v>6160</v>
      </c>
      <c r="E4094" s="31" t="n">
        <v>50.3</v>
      </c>
      <c r="F4094" s="31" t="n">
        <v>38.7</v>
      </c>
      <c r="G4094" s="2"/>
      <c r="H4094" s="2" t="s">
        <v>668</v>
      </c>
    </row>
    <row r="4095" customFormat="false" ht="15" hidden="false" customHeight="false" outlineLevel="0" collapsed="false">
      <c r="A4095" s="2" t="s">
        <v>2005</v>
      </c>
      <c r="B4095" s="2" t="s">
        <v>45</v>
      </c>
      <c r="C4095" s="2" t="s">
        <v>4086</v>
      </c>
      <c r="D4095" s="11" t="n">
        <v>6100</v>
      </c>
      <c r="E4095" s="31" t="n">
        <v>61.6</v>
      </c>
      <c r="F4095" s="31" t="n">
        <v>14.1</v>
      </c>
      <c r="G4095" s="31" t="n">
        <v>16.8</v>
      </c>
      <c r="H4095" s="2" t="s">
        <v>671</v>
      </c>
    </row>
    <row r="4096" customFormat="false" ht="15" hidden="false" customHeight="false" outlineLevel="0" collapsed="false">
      <c r="A4096" s="2" t="s">
        <v>2005</v>
      </c>
      <c r="B4096" s="2" t="s">
        <v>45</v>
      </c>
      <c r="C4096" s="2" t="s">
        <v>4087</v>
      </c>
      <c r="D4096" s="11" t="n">
        <v>6180</v>
      </c>
      <c r="E4096" s="31" t="n">
        <v>53.6</v>
      </c>
      <c r="F4096" s="2"/>
      <c r="G4096" s="31" t="n">
        <v>27.6</v>
      </c>
      <c r="H4096" s="2" t="s">
        <v>668</v>
      </c>
    </row>
    <row r="4097" customFormat="false" ht="15" hidden="false" customHeight="false" outlineLevel="0" collapsed="false">
      <c r="A4097" s="2" t="s">
        <v>2005</v>
      </c>
      <c r="B4097" s="2" t="s">
        <v>46</v>
      </c>
      <c r="C4097" s="2" t="s">
        <v>4085</v>
      </c>
      <c r="D4097" s="2"/>
      <c r="E4097" s="2"/>
      <c r="F4097" s="2"/>
      <c r="G4097" s="2"/>
      <c r="H4097" s="2" t="s">
        <v>668</v>
      </c>
    </row>
    <row r="4098" customFormat="false" ht="15" hidden="false" customHeight="false" outlineLevel="0" collapsed="false">
      <c r="A4098" s="2" t="s">
        <v>2005</v>
      </c>
      <c r="B4098" s="2" t="s">
        <v>46</v>
      </c>
      <c r="C4098" s="2" t="s">
        <v>4086</v>
      </c>
      <c r="D4098" s="11" t="n">
        <v>180980</v>
      </c>
      <c r="E4098" s="31" t="n">
        <v>22.4</v>
      </c>
      <c r="F4098" s="31" t="n">
        <v>29.3</v>
      </c>
      <c r="G4098" s="31" t="n">
        <v>47.2</v>
      </c>
      <c r="H4098" s="2" t="s">
        <v>671</v>
      </c>
    </row>
    <row r="4099" customFormat="false" ht="15" hidden="false" customHeight="false" outlineLevel="0" collapsed="false">
      <c r="A4099" s="2" t="s">
        <v>2005</v>
      </c>
      <c r="B4099" s="2" t="s">
        <v>46</v>
      </c>
      <c r="C4099" s="2" t="s">
        <v>4087</v>
      </c>
      <c r="D4099" s="2"/>
      <c r="E4099" s="2"/>
      <c r="F4099" s="2"/>
      <c r="G4099" s="2"/>
      <c r="H4099" s="2" t="s">
        <v>668</v>
      </c>
    </row>
    <row r="4100" customFormat="false" ht="15" hidden="false" customHeight="false" outlineLevel="0" collapsed="false">
      <c r="A4100" s="2" t="s">
        <v>2005</v>
      </c>
      <c r="B4100" s="2" t="s">
        <v>47</v>
      </c>
      <c r="C4100" s="2" t="s">
        <v>4085</v>
      </c>
      <c r="D4100" s="11" t="n">
        <v>403660</v>
      </c>
      <c r="E4100" s="31" t="n">
        <v>81.5</v>
      </c>
      <c r="F4100" s="31" t="n">
        <v>63.6</v>
      </c>
      <c r="G4100" s="31" t="n">
        <v>21.5</v>
      </c>
      <c r="H4100" s="2" t="s">
        <v>671</v>
      </c>
    </row>
    <row r="4101" customFormat="false" ht="15" hidden="false" customHeight="false" outlineLevel="0" collapsed="false">
      <c r="A4101" s="2" t="s">
        <v>2005</v>
      </c>
      <c r="B4101" s="2" t="s">
        <v>47</v>
      </c>
      <c r="C4101" s="2" t="s">
        <v>4086</v>
      </c>
      <c r="D4101" s="11" t="n">
        <v>419156</v>
      </c>
      <c r="E4101" s="31" t="n">
        <v>91.7</v>
      </c>
      <c r="F4101" s="31" t="n">
        <v>75.2</v>
      </c>
      <c r="G4101" s="31" t="n">
        <v>21.3</v>
      </c>
      <c r="H4101" s="2" t="s">
        <v>671</v>
      </c>
    </row>
    <row r="4102" customFormat="false" ht="15" hidden="false" customHeight="false" outlineLevel="0" collapsed="false">
      <c r="A4102" s="2" t="s">
        <v>2005</v>
      </c>
      <c r="B4102" s="2" t="s">
        <v>47</v>
      </c>
      <c r="C4102" s="2" t="s">
        <v>4087</v>
      </c>
      <c r="D4102" s="11" t="n">
        <v>430154</v>
      </c>
      <c r="E4102" s="31" t="n">
        <v>94.1</v>
      </c>
      <c r="F4102" s="31" t="n">
        <v>56</v>
      </c>
      <c r="G4102" s="31" t="n">
        <v>85.1</v>
      </c>
      <c r="H4102" s="2" t="s">
        <v>671</v>
      </c>
    </row>
    <row r="4103" customFormat="false" ht="15" hidden="false" customHeight="false" outlineLevel="0" collapsed="false">
      <c r="A4103" s="2" t="s">
        <v>224</v>
      </c>
      <c r="B4103" s="2" t="s">
        <v>4104</v>
      </c>
      <c r="C4103" s="2" t="s">
        <v>4085</v>
      </c>
      <c r="D4103" s="2"/>
      <c r="E4103" s="31" t="n">
        <v>64.8</v>
      </c>
      <c r="F4103" s="31" t="n">
        <v>41.3</v>
      </c>
      <c r="G4103" s="31" t="n">
        <v>13.2</v>
      </c>
      <c r="H4103" s="2" t="s">
        <v>668</v>
      </c>
    </row>
    <row r="4104" customFormat="false" ht="15" hidden="false" customHeight="false" outlineLevel="0" collapsed="false">
      <c r="A4104" s="2" t="s">
        <v>224</v>
      </c>
      <c r="B4104" s="2" t="s">
        <v>4104</v>
      </c>
      <c r="C4104" s="2" t="s">
        <v>4086</v>
      </c>
      <c r="D4104" s="2"/>
      <c r="E4104" s="31" t="n">
        <v>94.5</v>
      </c>
      <c r="F4104" s="31" t="n">
        <v>55.4</v>
      </c>
      <c r="G4104" s="31" t="n">
        <v>36.2</v>
      </c>
      <c r="H4104" s="2" t="s">
        <v>668</v>
      </c>
    </row>
    <row r="4105" customFormat="false" ht="15" hidden="false" customHeight="false" outlineLevel="0" collapsed="false">
      <c r="A4105" s="2" t="s">
        <v>224</v>
      </c>
      <c r="B4105" s="2" t="s">
        <v>4104</v>
      </c>
      <c r="C4105" s="2" t="s">
        <v>4087</v>
      </c>
      <c r="D4105" s="2"/>
      <c r="E4105" s="31" t="n">
        <v>67.5</v>
      </c>
      <c r="F4105" s="31" t="n">
        <v>34.1</v>
      </c>
      <c r="G4105" s="31" t="n">
        <v>65</v>
      </c>
      <c r="H4105" s="2" t="s">
        <v>671</v>
      </c>
    </row>
    <row r="4106" customFormat="false" ht="15" hidden="false" customHeight="false" outlineLevel="0" collapsed="false">
      <c r="A4106" s="2" t="s">
        <v>224</v>
      </c>
      <c r="B4106" s="2" t="s">
        <v>45</v>
      </c>
      <c r="C4106" s="2" t="s">
        <v>4085</v>
      </c>
      <c r="D4106" s="11" t="n">
        <v>190240</v>
      </c>
      <c r="E4106" s="31" t="n">
        <v>20.3</v>
      </c>
      <c r="F4106" s="31" t="n">
        <v>42.5</v>
      </c>
      <c r="G4106" s="2"/>
      <c r="H4106" s="2" t="s">
        <v>671</v>
      </c>
    </row>
    <row r="4107" customFormat="false" ht="15" hidden="false" customHeight="false" outlineLevel="0" collapsed="false">
      <c r="A4107" s="2" t="s">
        <v>224</v>
      </c>
      <c r="B4107" s="2" t="s">
        <v>45</v>
      </c>
      <c r="C4107" s="2" t="s">
        <v>4086</v>
      </c>
      <c r="D4107" s="2"/>
      <c r="E4107" s="2"/>
      <c r="F4107" s="2"/>
      <c r="G4107" s="2"/>
      <c r="H4107" s="2" t="s">
        <v>668</v>
      </c>
    </row>
    <row r="4108" customFormat="false" ht="15" hidden="false" customHeight="false" outlineLevel="0" collapsed="false">
      <c r="A4108" s="2" t="s">
        <v>224</v>
      </c>
      <c r="B4108" s="2" t="s">
        <v>45</v>
      </c>
      <c r="C4108" s="2" t="s">
        <v>4087</v>
      </c>
      <c r="D4108" s="11" t="n">
        <v>201780</v>
      </c>
      <c r="E4108" s="31" t="n">
        <v>31.6</v>
      </c>
      <c r="F4108" s="31" t="n">
        <v>58.7</v>
      </c>
      <c r="G4108" s="2"/>
      <c r="H4108" s="2" t="s">
        <v>671</v>
      </c>
    </row>
    <row r="4109" customFormat="false" ht="15" hidden="false" customHeight="false" outlineLevel="0" collapsed="false">
      <c r="A4109" s="2" t="s">
        <v>224</v>
      </c>
      <c r="B4109" s="2" t="s">
        <v>46</v>
      </c>
      <c r="C4109" s="2" t="s">
        <v>4085</v>
      </c>
      <c r="D4109" s="11" t="n">
        <v>26973</v>
      </c>
      <c r="E4109" s="31" t="n">
        <v>75.9</v>
      </c>
      <c r="F4109" s="31" t="n">
        <v>52.4</v>
      </c>
      <c r="G4109" s="2"/>
      <c r="H4109" s="2" t="s">
        <v>668</v>
      </c>
    </row>
    <row r="4110" customFormat="false" ht="15" hidden="false" customHeight="false" outlineLevel="0" collapsed="false">
      <c r="A4110" s="2" t="s">
        <v>224</v>
      </c>
      <c r="B4110" s="2" t="s">
        <v>46</v>
      </c>
      <c r="C4110" s="2" t="s">
        <v>4086</v>
      </c>
      <c r="D4110" s="11" t="n">
        <v>27240</v>
      </c>
      <c r="E4110" s="2"/>
      <c r="F4110" s="31" t="n">
        <v>48.4</v>
      </c>
      <c r="G4110" s="31" t="n">
        <v>59.6</v>
      </c>
      <c r="H4110" s="2" t="s">
        <v>668</v>
      </c>
    </row>
    <row r="4111" customFormat="false" ht="15" hidden="false" customHeight="false" outlineLevel="0" collapsed="false">
      <c r="A4111" s="2" t="s">
        <v>224</v>
      </c>
      <c r="B4111" s="2" t="s">
        <v>46</v>
      </c>
      <c r="C4111" s="2" t="s">
        <v>4087</v>
      </c>
      <c r="D4111" s="11" t="n">
        <v>27450</v>
      </c>
      <c r="E4111" s="31" t="n">
        <v>76.5</v>
      </c>
      <c r="F4111" s="31" t="n">
        <v>22.4</v>
      </c>
      <c r="G4111" s="31" t="n">
        <v>89.1</v>
      </c>
      <c r="H4111" s="2" t="s">
        <v>671</v>
      </c>
    </row>
    <row r="4112" customFormat="false" ht="15" hidden="false" customHeight="false" outlineLevel="0" collapsed="false">
      <c r="A4112" s="2" t="s">
        <v>224</v>
      </c>
      <c r="B4112" s="2" t="s">
        <v>47</v>
      </c>
      <c r="C4112" s="2" t="s">
        <v>4085</v>
      </c>
      <c r="D4112" s="11" t="n">
        <v>18580</v>
      </c>
      <c r="E4112" s="31" t="n">
        <v>98.1</v>
      </c>
      <c r="F4112" s="31" t="n">
        <v>29.1</v>
      </c>
      <c r="G4112" s="31" t="n">
        <v>13.2</v>
      </c>
      <c r="H4112" s="2" t="s">
        <v>671</v>
      </c>
    </row>
    <row r="4113" customFormat="false" ht="15" hidden="false" customHeight="false" outlineLevel="0" collapsed="false">
      <c r="A4113" s="2" t="s">
        <v>224</v>
      </c>
      <c r="B4113" s="2" t="s">
        <v>47</v>
      </c>
      <c r="C4113" s="2" t="s">
        <v>4086</v>
      </c>
      <c r="D4113" s="11" t="n">
        <v>19106</v>
      </c>
      <c r="E4113" s="31" t="n">
        <v>94.5</v>
      </c>
      <c r="F4113" s="31" t="n">
        <v>62.3</v>
      </c>
      <c r="G4113" s="31" t="n">
        <v>12.7</v>
      </c>
      <c r="H4113" s="2" t="s">
        <v>671</v>
      </c>
    </row>
    <row r="4114" customFormat="false" ht="15" hidden="false" customHeight="false" outlineLevel="0" collapsed="false">
      <c r="A4114" s="2" t="s">
        <v>224</v>
      </c>
      <c r="B4114" s="2" t="s">
        <v>47</v>
      </c>
      <c r="C4114" s="2" t="s">
        <v>4087</v>
      </c>
      <c r="D4114" s="11" t="n">
        <v>20080</v>
      </c>
      <c r="E4114" s="31" t="n">
        <v>94.3</v>
      </c>
      <c r="F4114" s="31" t="n">
        <v>21.3</v>
      </c>
      <c r="G4114" s="31" t="n">
        <v>41</v>
      </c>
      <c r="H4114" s="2" t="s">
        <v>671</v>
      </c>
    </row>
    <row r="4115" customFormat="false" ht="15" hidden="false" customHeight="false" outlineLevel="0" collapsed="false">
      <c r="A4115" s="2" t="s">
        <v>2532</v>
      </c>
      <c r="B4115" s="2" t="s">
        <v>4104</v>
      </c>
      <c r="C4115" s="2" t="s">
        <v>4085</v>
      </c>
      <c r="D4115" s="2"/>
      <c r="E4115" s="31" t="n">
        <v>41.2</v>
      </c>
      <c r="F4115" s="31" t="n">
        <v>33.6</v>
      </c>
      <c r="G4115" s="31" t="n">
        <v>76.7</v>
      </c>
      <c r="H4115" s="2" t="s">
        <v>671</v>
      </c>
    </row>
    <row r="4116" customFormat="false" ht="15" hidden="false" customHeight="false" outlineLevel="0" collapsed="false">
      <c r="A4116" s="2" t="s">
        <v>2532</v>
      </c>
      <c r="B4116" s="2" t="s">
        <v>4104</v>
      </c>
      <c r="C4116" s="2" t="s">
        <v>4086</v>
      </c>
      <c r="D4116" s="2"/>
      <c r="E4116" s="31" t="n">
        <v>53.8</v>
      </c>
      <c r="F4116" s="31" t="n">
        <v>5.4</v>
      </c>
      <c r="G4116" s="31" t="n">
        <v>85.3</v>
      </c>
      <c r="H4116" s="2" t="s">
        <v>668</v>
      </c>
    </row>
    <row r="4117" customFormat="false" ht="15" hidden="false" customHeight="false" outlineLevel="0" collapsed="false">
      <c r="A4117" s="2" t="s">
        <v>2532</v>
      </c>
      <c r="B4117" s="2" t="s">
        <v>4104</v>
      </c>
      <c r="C4117" s="2" t="s">
        <v>4087</v>
      </c>
      <c r="D4117" s="2"/>
      <c r="E4117" s="31" t="n">
        <v>31.6</v>
      </c>
      <c r="F4117" s="31" t="n">
        <v>1.8</v>
      </c>
      <c r="G4117" s="31" t="n">
        <v>56.5</v>
      </c>
      <c r="H4117" s="2" t="s">
        <v>668</v>
      </c>
    </row>
    <row r="4118" customFormat="false" ht="15" hidden="false" customHeight="false" outlineLevel="0" collapsed="false">
      <c r="A4118" s="2" t="s">
        <v>2532</v>
      </c>
      <c r="B4118" s="2" t="s">
        <v>45</v>
      </c>
      <c r="C4118" s="2" t="s">
        <v>4085</v>
      </c>
      <c r="D4118" s="11" t="n">
        <v>214720</v>
      </c>
      <c r="E4118" s="31" t="n">
        <v>27.7</v>
      </c>
      <c r="F4118" s="31" t="n">
        <v>84.9</v>
      </c>
      <c r="G4118" s="31" t="n">
        <v>79.5</v>
      </c>
      <c r="H4118" s="2" t="s">
        <v>671</v>
      </c>
    </row>
    <row r="4119" customFormat="false" ht="15" hidden="false" customHeight="false" outlineLevel="0" collapsed="false">
      <c r="A4119" s="2" t="s">
        <v>2532</v>
      </c>
      <c r="B4119" s="2" t="s">
        <v>45</v>
      </c>
      <c r="C4119" s="2" t="s">
        <v>4086</v>
      </c>
      <c r="D4119" s="2"/>
      <c r="E4119" s="2"/>
      <c r="F4119" s="2"/>
      <c r="G4119" s="2"/>
      <c r="H4119" s="2" t="s">
        <v>668</v>
      </c>
    </row>
    <row r="4120" customFormat="false" ht="15" hidden="false" customHeight="false" outlineLevel="0" collapsed="false">
      <c r="A4120" s="2" t="s">
        <v>2532</v>
      </c>
      <c r="B4120" s="2" t="s">
        <v>45</v>
      </c>
      <c r="C4120" s="2" t="s">
        <v>4087</v>
      </c>
      <c r="D4120" s="2"/>
      <c r="E4120" s="2"/>
      <c r="F4120" s="2"/>
      <c r="G4120" s="2"/>
      <c r="H4120" s="2" t="s">
        <v>668</v>
      </c>
    </row>
    <row r="4121" customFormat="false" ht="15" hidden="false" customHeight="false" outlineLevel="0" collapsed="false">
      <c r="A4121" s="2" t="s">
        <v>2532</v>
      </c>
      <c r="B4121" s="2" t="s">
        <v>46</v>
      </c>
      <c r="C4121" s="2" t="s">
        <v>4085</v>
      </c>
      <c r="D4121" s="11" t="n">
        <v>25119</v>
      </c>
      <c r="E4121" s="31" t="n">
        <v>56.2</v>
      </c>
      <c r="F4121" s="31" t="n">
        <v>13.9</v>
      </c>
      <c r="G4121" s="31" t="n">
        <v>70.5</v>
      </c>
      <c r="H4121" s="2" t="s">
        <v>671</v>
      </c>
    </row>
    <row r="4122" customFormat="false" ht="15" hidden="false" customHeight="false" outlineLevel="0" collapsed="false">
      <c r="A4122" s="2" t="s">
        <v>2532</v>
      </c>
      <c r="B4122" s="2" t="s">
        <v>46</v>
      </c>
      <c r="C4122" s="2" t="s">
        <v>4086</v>
      </c>
      <c r="D4122" s="11" t="n">
        <v>24472</v>
      </c>
      <c r="E4122" s="31" t="n">
        <v>52.5</v>
      </c>
      <c r="F4122" s="31" t="n">
        <v>6.5</v>
      </c>
      <c r="G4122" s="2"/>
      <c r="H4122" s="2" t="s">
        <v>668</v>
      </c>
    </row>
    <row r="4123" customFormat="false" ht="15" hidden="false" customHeight="false" outlineLevel="0" collapsed="false">
      <c r="A4123" s="2" t="s">
        <v>2532</v>
      </c>
      <c r="B4123" s="2" t="s">
        <v>46</v>
      </c>
      <c r="C4123" s="2" t="s">
        <v>4087</v>
      </c>
      <c r="D4123" s="11" t="n">
        <v>23750</v>
      </c>
      <c r="E4123" s="31" t="n">
        <v>40.6</v>
      </c>
      <c r="F4123" s="2"/>
      <c r="G4123" s="31" t="n">
        <v>44.8</v>
      </c>
      <c r="H4123" s="2" t="s">
        <v>668</v>
      </c>
    </row>
    <row r="4124" customFormat="false" ht="15" hidden="false" customHeight="false" outlineLevel="0" collapsed="false">
      <c r="A4124" s="2" t="s">
        <v>2532</v>
      </c>
      <c r="B4124" s="2" t="s">
        <v>47</v>
      </c>
      <c r="C4124" s="2" t="s">
        <v>4085</v>
      </c>
      <c r="D4124" s="11" t="n">
        <v>276390</v>
      </c>
      <c r="E4124" s="31" t="n">
        <v>39.6</v>
      </c>
      <c r="F4124" s="31" t="n">
        <v>1.9</v>
      </c>
      <c r="G4124" s="31" t="n">
        <v>80.1</v>
      </c>
      <c r="H4124" s="2" t="s">
        <v>671</v>
      </c>
    </row>
    <row r="4125" customFormat="false" ht="15" hidden="false" customHeight="false" outlineLevel="0" collapsed="false">
      <c r="A4125" s="2" t="s">
        <v>2532</v>
      </c>
      <c r="B4125" s="2" t="s">
        <v>47</v>
      </c>
      <c r="C4125" s="2" t="s">
        <v>4086</v>
      </c>
      <c r="D4125" s="11" t="n">
        <v>267914</v>
      </c>
      <c r="E4125" s="31" t="n">
        <v>55</v>
      </c>
      <c r="F4125" s="31" t="n">
        <v>4.3</v>
      </c>
      <c r="G4125" s="31" t="n">
        <v>85.3</v>
      </c>
      <c r="H4125" s="2" t="s">
        <v>671</v>
      </c>
    </row>
    <row r="4126" customFormat="false" ht="15" hidden="false" customHeight="false" outlineLevel="0" collapsed="false">
      <c r="A4126" s="2" t="s">
        <v>2532</v>
      </c>
      <c r="B4126" s="2" t="s">
        <v>47</v>
      </c>
      <c r="C4126" s="2" t="s">
        <v>4087</v>
      </c>
      <c r="D4126" s="11" t="n">
        <v>253713</v>
      </c>
      <c r="E4126" s="31" t="n">
        <v>22.6</v>
      </c>
      <c r="F4126" s="31" t="n">
        <v>1.8</v>
      </c>
      <c r="G4126" s="31" t="n">
        <v>68.2</v>
      </c>
      <c r="H4126" s="2" t="s">
        <v>671</v>
      </c>
    </row>
    <row r="4127" customFormat="false" ht="15" hidden="false" customHeight="false" outlineLevel="0" collapsed="false">
      <c r="A4127" s="2" t="s">
        <v>961</v>
      </c>
      <c r="B4127" s="2" t="s">
        <v>4104</v>
      </c>
      <c r="C4127" s="2" t="s">
        <v>4085</v>
      </c>
      <c r="D4127" s="2"/>
      <c r="E4127" s="31" t="n">
        <v>45.2</v>
      </c>
      <c r="F4127" s="31" t="n">
        <v>57.1</v>
      </c>
      <c r="G4127" s="31" t="n">
        <v>63.3</v>
      </c>
      <c r="H4127" s="2" t="s">
        <v>668</v>
      </c>
    </row>
    <row r="4128" customFormat="false" ht="15" hidden="false" customHeight="false" outlineLevel="0" collapsed="false">
      <c r="A4128" s="2" t="s">
        <v>961</v>
      </c>
      <c r="B4128" s="2" t="s">
        <v>4104</v>
      </c>
      <c r="C4128" s="2" t="s">
        <v>4086</v>
      </c>
      <c r="D4128" s="2"/>
      <c r="E4128" s="31" t="n">
        <v>45.2</v>
      </c>
      <c r="F4128" s="31" t="n">
        <v>74.3</v>
      </c>
      <c r="G4128" s="31" t="n">
        <v>5.6</v>
      </c>
      <c r="H4128" s="2" t="s">
        <v>671</v>
      </c>
    </row>
    <row r="4129" customFormat="false" ht="15" hidden="false" customHeight="false" outlineLevel="0" collapsed="false">
      <c r="A4129" s="2" t="s">
        <v>961</v>
      </c>
      <c r="B4129" s="2" t="s">
        <v>4104</v>
      </c>
      <c r="C4129" s="2" t="s">
        <v>4087</v>
      </c>
      <c r="D4129" s="2"/>
      <c r="E4129" s="31" t="n">
        <v>37.4</v>
      </c>
      <c r="F4129" s="31" t="n">
        <v>63.4</v>
      </c>
      <c r="G4129" s="31" t="n">
        <v>32.6</v>
      </c>
      <c r="H4129" s="2" t="s">
        <v>668</v>
      </c>
    </row>
    <row r="4130" customFormat="false" ht="15" hidden="false" customHeight="false" outlineLevel="0" collapsed="false">
      <c r="A4130" s="2" t="s">
        <v>961</v>
      </c>
      <c r="B4130" s="2" t="s">
        <v>45</v>
      </c>
      <c r="C4130" s="2" t="s">
        <v>4085</v>
      </c>
      <c r="D4130" s="11" t="n">
        <v>14251</v>
      </c>
      <c r="E4130" s="31" t="n">
        <v>60.5</v>
      </c>
      <c r="F4130" s="31" t="n">
        <v>96</v>
      </c>
      <c r="G4130" s="2"/>
      <c r="H4130" s="2" t="s">
        <v>671</v>
      </c>
    </row>
    <row r="4131" customFormat="false" ht="15" hidden="false" customHeight="false" outlineLevel="0" collapsed="false">
      <c r="A4131" s="2" t="s">
        <v>961</v>
      </c>
      <c r="B4131" s="2" t="s">
        <v>45</v>
      </c>
      <c r="C4131" s="2" t="s">
        <v>4086</v>
      </c>
      <c r="D4131" s="11" t="n">
        <v>15370</v>
      </c>
      <c r="E4131" s="31" t="n">
        <v>89.2</v>
      </c>
      <c r="F4131" s="31" t="n">
        <v>99.3</v>
      </c>
      <c r="G4131" s="2"/>
      <c r="H4131" s="2" t="s">
        <v>671</v>
      </c>
    </row>
    <row r="4132" customFormat="false" ht="15" hidden="false" customHeight="false" outlineLevel="0" collapsed="false">
      <c r="A4132" s="2" t="s">
        <v>961</v>
      </c>
      <c r="B4132" s="2" t="s">
        <v>45</v>
      </c>
      <c r="C4132" s="2" t="s">
        <v>4087</v>
      </c>
      <c r="D4132" s="11" t="n">
        <v>16430</v>
      </c>
      <c r="E4132" s="31" t="n">
        <v>60.3</v>
      </c>
      <c r="F4132" s="31" t="n">
        <v>91.3</v>
      </c>
      <c r="G4132" s="2"/>
      <c r="H4132" s="2" t="s">
        <v>671</v>
      </c>
    </row>
    <row r="4133" customFormat="false" ht="15" hidden="false" customHeight="false" outlineLevel="0" collapsed="false">
      <c r="A4133" s="2" t="s">
        <v>961</v>
      </c>
      <c r="B4133" s="2" t="s">
        <v>46</v>
      </c>
      <c r="C4133" s="2" t="s">
        <v>4085</v>
      </c>
      <c r="D4133" s="11" t="n">
        <v>2199016</v>
      </c>
      <c r="E4133" s="2"/>
      <c r="F4133" s="31" t="n">
        <v>55.6</v>
      </c>
      <c r="G4133" s="2"/>
      <c r="H4133" s="2" t="s">
        <v>668</v>
      </c>
    </row>
    <row r="4134" customFormat="false" ht="15" hidden="false" customHeight="false" outlineLevel="0" collapsed="false">
      <c r="A4134" s="2" t="s">
        <v>961</v>
      </c>
      <c r="B4134" s="2" t="s">
        <v>46</v>
      </c>
      <c r="C4134" s="2" t="s">
        <v>4086</v>
      </c>
      <c r="D4134" s="11" t="n">
        <v>2192560</v>
      </c>
      <c r="E4134" s="31" t="n">
        <v>8.1</v>
      </c>
      <c r="F4134" s="31" t="n">
        <v>58.3</v>
      </c>
      <c r="G4134" s="31" t="n">
        <v>1.8</v>
      </c>
      <c r="H4134" s="2" t="s">
        <v>671</v>
      </c>
    </row>
    <row r="4135" customFormat="false" ht="15" hidden="false" customHeight="false" outlineLevel="0" collapsed="false">
      <c r="A4135" s="2" t="s">
        <v>961</v>
      </c>
      <c r="B4135" s="2" t="s">
        <v>46</v>
      </c>
      <c r="C4135" s="2" t="s">
        <v>4087</v>
      </c>
      <c r="D4135" s="11" t="n">
        <v>2324694</v>
      </c>
      <c r="E4135" s="31" t="n">
        <v>14.6</v>
      </c>
      <c r="F4135" s="31" t="n">
        <v>62.5</v>
      </c>
      <c r="G4135" s="31" t="n">
        <v>4.4</v>
      </c>
      <c r="H4135" s="2" t="s">
        <v>671</v>
      </c>
    </row>
    <row r="4136" customFormat="false" ht="15" hidden="false" customHeight="false" outlineLevel="0" collapsed="false">
      <c r="A4136" s="2" t="s">
        <v>961</v>
      </c>
      <c r="B4136" s="2" t="s">
        <v>47</v>
      </c>
      <c r="C4136" s="2" t="s">
        <v>4085</v>
      </c>
      <c r="D4136" s="11" t="n">
        <v>23038</v>
      </c>
      <c r="E4136" s="31" t="n">
        <v>29.8</v>
      </c>
      <c r="F4136" s="31" t="n">
        <v>19.6</v>
      </c>
      <c r="G4136" s="31" t="n">
        <v>63.3</v>
      </c>
      <c r="H4136" s="2" t="s">
        <v>671</v>
      </c>
    </row>
    <row r="4137" customFormat="false" ht="15" hidden="false" customHeight="false" outlineLevel="0" collapsed="false">
      <c r="A4137" s="2" t="s">
        <v>961</v>
      </c>
      <c r="B4137" s="2" t="s">
        <v>47</v>
      </c>
      <c r="C4137" s="2" t="s">
        <v>4086</v>
      </c>
      <c r="D4137" s="11" t="n">
        <v>22708</v>
      </c>
      <c r="E4137" s="31" t="n">
        <v>38.3</v>
      </c>
      <c r="F4137" s="31" t="n">
        <v>65.3</v>
      </c>
      <c r="G4137" s="31" t="n">
        <v>9.3</v>
      </c>
      <c r="H4137" s="2" t="s">
        <v>671</v>
      </c>
    </row>
    <row r="4138" customFormat="false" ht="15" hidden="false" customHeight="false" outlineLevel="0" collapsed="false">
      <c r="A4138" s="2" t="s">
        <v>961</v>
      </c>
      <c r="B4138" s="2" t="s">
        <v>47</v>
      </c>
      <c r="C4138" s="2" t="s">
        <v>4087</v>
      </c>
      <c r="D4138" s="11" t="n">
        <v>23042</v>
      </c>
      <c r="E4138" s="2"/>
      <c r="F4138" s="31" t="n">
        <v>36.5</v>
      </c>
      <c r="G4138" s="31" t="n">
        <v>60.8</v>
      </c>
      <c r="H4138" s="2" t="s">
        <v>668</v>
      </c>
    </row>
    <row r="4139" customFormat="false" ht="15" hidden="false" customHeight="false" outlineLevel="0" collapsed="false">
      <c r="A4139" s="2" t="s">
        <v>1200</v>
      </c>
      <c r="B4139" s="2" t="s">
        <v>4104</v>
      </c>
      <c r="C4139" s="2" t="s">
        <v>4085</v>
      </c>
      <c r="D4139" s="2"/>
      <c r="E4139" s="31" t="n">
        <v>69.6</v>
      </c>
      <c r="F4139" s="31" t="n">
        <v>56.1</v>
      </c>
      <c r="G4139" s="31" t="n">
        <v>68.9</v>
      </c>
      <c r="H4139" s="2" t="s">
        <v>668</v>
      </c>
    </row>
    <row r="4140" customFormat="false" ht="15" hidden="false" customHeight="false" outlineLevel="0" collapsed="false">
      <c r="A4140" s="2" t="s">
        <v>1200</v>
      </c>
      <c r="B4140" s="2" t="s">
        <v>4104</v>
      </c>
      <c r="C4140" s="2" t="s">
        <v>4086</v>
      </c>
      <c r="D4140" s="2"/>
      <c r="E4140" s="31" t="n">
        <v>39.8</v>
      </c>
      <c r="F4140" s="31" t="n">
        <v>46.2</v>
      </c>
      <c r="G4140" s="31" t="n">
        <v>40.9</v>
      </c>
      <c r="H4140" s="2" t="s">
        <v>668</v>
      </c>
    </row>
    <row r="4141" customFormat="false" ht="15" hidden="false" customHeight="false" outlineLevel="0" collapsed="false">
      <c r="A4141" s="2" t="s">
        <v>1200</v>
      </c>
      <c r="B4141" s="2" t="s">
        <v>4104</v>
      </c>
      <c r="C4141" s="2" t="s">
        <v>4087</v>
      </c>
      <c r="D4141" s="2"/>
      <c r="E4141" s="31" t="n">
        <v>18.8</v>
      </c>
      <c r="F4141" s="31" t="n">
        <v>59</v>
      </c>
      <c r="G4141" s="31" t="n">
        <v>44</v>
      </c>
      <c r="H4141" s="2" t="s">
        <v>668</v>
      </c>
    </row>
    <row r="4142" customFormat="false" ht="15" hidden="false" customHeight="false" outlineLevel="0" collapsed="false">
      <c r="A4142" s="2" t="s">
        <v>1200</v>
      </c>
      <c r="B4142" s="2" t="s">
        <v>45</v>
      </c>
      <c r="C4142" s="2" t="s">
        <v>4085</v>
      </c>
      <c r="D4142" s="11" t="n">
        <v>5300</v>
      </c>
      <c r="E4142" s="31" t="n">
        <v>39.1</v>
      </c>
      <c r="F4142" s="2"/>
      <c r="G4142" s="2"/>
      <c r="H4142" s="2" t="s">
        <v>668</v>
      </c>
    </row>
    <row r="4143" customFormat="false" ht="15" hidden="false" customHeight="false" outlineLevel="0" collapsed="false">
      <c r="A4143" s="2" t="s">
        <v>1200</v>
      </c>
      <c r="B4143" s="2" t="s">
        <v>45</v>
      </c>
      <c r="C4143" s="2" t="s">
        <v>4086</v>
      </c>
      <c r="D4143" s="11" t="n">
        <v>5580</v>
      </c>
      <c r="E4143" s="31" t="n">
        <v>66.7</v>
      </c>
      <c r="F4143" s="31" t="n">
        <v>15.5</v>
      </c>
      <c r="G4143" s="2"/>
      <c r="H4143" s="2" t="s">
        <v>671</v>
      </c>
    </row>
    <row r="4144" customFormat="false" ht="15" hidden="false" customHeight="false" outlineLevel="0" collapsed="false">
      <c r="A4144" s="2" t="s">
        <v>1200</v>
      </c>
      <c r="B4144" s="2" t="s">
        <v>45</v>
      </c>
      <c r="C4144" s="2" t="s">
        <v>4087</v>
      </c>
      <c r="D4144" s="11" t="n">
        <v>5774</v>
      </c>
      <c r="E4144" s="31" t="n">
        <v>28.4</v>
      </c>
      <c r="F4144" s="31" t="n">
        <v>48.1</v>
      </c>
      <c r="G4144" s="2"/>
      <c r="H4144" s="2" t="s">
        <v>671</v>
      </c>
    </row>
    <row r="4145" customFormat="false" ht="15" hidden="false" customHeight="false" outlineLevel="0" collapsed="false">
      <c r="A4145" s="2" t="s">
        <v>1200</v>
      </c>
      <c r="B4145" s="2" t="s">
        <v>46</v>
      </c>
      <c r="C4145" s="2" t="s">
        <v>4085</v>
      </c>
      <c r="D4145" s="11" t="n">
        <v>5881</v>
      </c>
      <c r="E4145" s="31" t="n">
        <v>100</v>
      </c>
      <c r="F4145" s="31" t="n">
        <v>56.1</v>
      </c>
      <c r="G4145" s="31" t="n">
        <v>68.9</v>
      </c>
      <c r="H4145" s="2" t="s">
        <v>671</v>
      </c>
    </row>
    <row r="4146" customFormat="false" ht="15" hidden="false" customHeight="false" outlineLevel="0" collapsed="false">
      <c r="A4146" s="2" t="s">
        <v>1200</v>
      </c>
      <c r="B4146" s="2" t="s">
        <v>46</v>
      </c>
      <c r="C4146" s="2" t="s">
        <v>4086</v>
      </c>
      <c r="D4146" s="2"/>
      <c r="E4146" s="2"/>
      <c r="F4146" s="2"/>
      <c r="G4146" s="2"/>
      <c r="H4146" s="2" t="s">
        <v>668</v>
      </c>
    </row>
    <row r="4147" customFormat="false" ht="15" hidden="false" customHeight="false" outlineLevel="0" collapsed="false">
      <c r="A4147" s="2" t="s">
        <v>1200</v>
      </c>
      <c r="B4147" s="2" t="s">
        <v>46</v>
      </c>
      <c r="C4147" s="2" t="s">
        <v>4087</v>
      </c>
      <c r="D4147" s="11" t="n">
        <v>6300</v>
      </c>
      <c r="E4147" s="2"/>
      <c r="F4147" s="2"/>
      <c r="G4147" s="31" t="n">
        <v>54.9</v>
      </c>
      <c r="H4147" s="2" t="s">
        <v>668</v>
      </c>
    </row>
    <row r="4148" customFormat="false" ht="15" hidden="false" customHeight="false" outlineLevel="0" collapsed="false">
      <c r="A4148" s="2" t="s">
        <v>1200</v>
      </c>
      <c r="B4148" s="2" t="s">
        <v>47</v>
      </c>
      <c r="C4148" s="2" t="s">
        <v>4085</v>
      </c>
      <c r="D4148" s="2"/>
      <c r="E4148" s="2"/>
      <c r="F4148" s="2"/>
      <c r="G4148" s="2"/>
      <c r="H4148" s="2" t="s">
        <v>668</v>
      </c>
    </row>
    <row r="4149" customFormat="false" ht="15" hidden="false" customHeight="false" outlineLevel="0" collapsed="false">
      <c r="A4149" s="2" t="s">
        <v>1200</v>
      </c>
      <c r="B4149" s="2" t="s">
        <v>47</v>
      </c>
      <c r="C4149" s="2" t="s">
        <v>4086</v>
      </c>
      <c r="D4149" s="11" t="n">
        <v>51250</v>
      </c>
      <c r="E4149" s="31" t="n">
        <v>12.9</v>
      </c>
      <c r="F4149" s="31" t="n">
        <v>76.9</v>
      </c>
      <c r="G4149" s="31" t="n">
        <v>40.9</v>
      </c>
      <c r="H4149" s="2" t="s">
        <v>671</v>
      </c>
    </row>
    <row r="4150" customFormat="false" ht="15" hidden="false" customHeight="false" outlineLevel="0" collapsed="false">
      <c r="A4150" s="2" t="s">
        <v>1200</v>
      </c>
      <c r="B4150" s="2" t="s">
        <v>47</v>
      </c>
      <c r="C4150" s="2" t="s">
        <v>4087</v>
      </c>
      <c r="D4150" s="11" t="n">
        <v>53438</v>
      </c>
      <c r="E4150" s="31" t="n">
        <v>9.3</v>
      </c>
      <c r="F4150" s="31" t="n">
        <v>69.9</v>
      </c>
      <c r="G4150" s="31" t="n">
        <v>33.1</v>
      </c>
      <c r="H4150" s="2" t="s">
        <v>671</v>
      </c>
    </row>
    <row r="4151" customFormat="false" ht="15" hidden="false" customHeight="false" outlineLevel="0" collapsed="false">
      <c r="A4151" s="2" t="s">
        <v>1840</v>
      </c>
      <c r="B4151" s="2" t="s">
        <v>4104</v>
      </c>
      <c r="C4151" s="2" t="s">
        <v>4085</v>
      </c>
      <c r="D4151" s="2"/>
      <c r="E4151" s="31" t="n">
        <v>36.6</v>
      </c>
      <c r="F4151" s="31" t="n">
        <v>21.5</v>
      </c>
      <c r="G4151" s="31" t="n">
        <v>89</v>
      </c>
      <c r="H4151" s="2" t="s">
        <v>668</v>
      </c>
    </row>
    <row r="4152" customFormat="false" ht="15" hidden="false" customHeight="false" outlineLevel="0" collapsed="false">
      <c r="A4152" s="2" t="s">
        <v>1840</v>
      </c>
      <c r="B4152" s="2" t="s">
        <v>4104</v>
      </c>
      <c r="C4152" s="2" t="s">
        <v>4086</v>
      </c>
      <c r="D4152" s="2"/>
      <c r="E4152" s="31" t="n">
        <v>34.7</v>
      </c>
      <c r="F4152" s="31" t="n">
        <v>27.6</v>
      </c>
      <c r="G4152" s="31" t="n">
        <v>88.8</v>
      </c>
      <c r="H4152" s="2" t="s">
        <v>671</v>
      </c>
    </row>
    <row r="4153" customFormat="false" ht="15" hidden="false" customHeight="false" outlineLevel="0" collapsed="false">
      <c r="A4153" s="2" t="s">
        <v>1840</v>
      </c>
      <c r="B4153" s="2" t="s">
        <v>4104</v>
      </c>
      <c r="C4153" s="2" t="s">
        <v>4087</v>
      </c>
      <c r="D4153" s="2"/>
      <c r="E4153" s="31" t="n">
        <v>26</v>
      </c>
      <c r="F4153" s="31" t="n">
        <v>35.6</v>
      </c>
      <c r="G4153" s="31" t="n">
        <v>82.5</v>
      </c>
      <c r="H4153" s="2" t="s">
        <v>668</v>
      </c>
    </row>
    <row r="4154" customFormat="false" ht="15" hidden="false" customHeight="false" outlineLevel="0" collapsed="false">
      <c r="A4154" s="2" t="s">
        <v>1840</v>
      </c>
      <c r="B4154" s="2" t="s">
        <v>45</v>
      </c>
      <c r="C4154" s="2" t="s">
        <v>4085</v>
      </c>
      <c r="D4154" s="11" t="n">
        <v>172406</v>
      </c>
      <c r="E4154" s="31" t="n">
        <v>30</v>
      </c>
      <c r="F4154" s="31" t="n">
        <v>21.9</v>
      </c>
      <c r="G4154" s="31" t="n">
        <v>89</v>
      </c>
      <c r="H4154" s="2" t="s">
        <v>671</v>
      </c>
    </row>
    <row r="4155" customFormat="false" ht="15" hidden="false" customHeight="false" outlineLevel="0" collapsed="false">
      <c r="A4155" s="2" t="s">
        <v>1840</v>
      </c>
      <c r="B4155" s="2" t="s">
        <v>45</v>
      </c>
      <c r="C4155" s="2" t="s">
        <v>4086</v>
      </c>
      <c r="D4155" s="11" t="n">
        <v>174530</v>
      </c>
      <c r="E4155" s="31" t="n">
        <v>41.4</v>
      </c>
      <c r="F4155" s="31" t="n">
        <v>41.4</v>
      </c>
      <c r="G4155" s="31" t="n">
        <v>78.3</v>
      </c>
      <c r="H4155" s="2" t="s">
        <v>671</v>
      </c>
    </row>
    <row r="4156" customFormat="false" ht="15" hidden="false" customHeight="false" outlineLevel="0" collapsed="false">
      <c r="A4156" s="2" t="s">
        <v>1840</v>
      </c>
      <c r="B4156" s="2" t="s">
        <v>45</v>
      </c>
      <c r="C4156" s="2" t="s">
        <v>4087</v>
      </c>
      <c r="D4156" s="11" t="n">
        <v>173420</v>
      </c>
      <c r="E4156" s="31" t="n">
        <v>31.8</v>
      </c>
      <c r="F4156" s="31" t="n">
        <v>44.9</v>
      </c>
      <c r="G4156" s="2"/>
      <c r="H4156" s="2" t="s">
        <v>668</v>
      </c>
    </row>
    <row r="4157" customFormat="false" ht="15" hidden="false" customHeight="false" outlineLevel="0" collapsed="false">
      <c r="A4157" s="2" t="s">
        <v>1840</v>
      </c>
      <c r="B4157" s="2" t="s">
        <v>46</v>
      </c>
      <c r="C4157" s="2" t="s">
        <v>4085</v>
      </c>
      <c r="D4157" s="11" t="n">
        <v>4004</v>
      </c>
      <c r="E4157" s="31" t="n">
        <v>50.9</v>
      </c>
      <c r="F4157" s="2"/>
      <c r="G4157" s="2"/>
      <c r="H4157" s="2" t="s">
        <v>668</v>
      </c>
    </row>
    <row r="4158" customFormat="false" ht="15" hidden="false" customHeight="false" outlineLevel="0" collapsed="false">
      <c r="A4158" s="2" t="s">
        <v>1840</v>
      </c>
      <c r="B4158" s="2" t="s">
        <v>46</v>
      </c>
      <c r="C4158" s="2" t="s">
        <v>4086</v>
      </c>
      <c r="D4158" s="11" t="n">
        <v>4031</v>
      </c>
      <c r="E4158" s="31" t="n">
        <v>37.1</v>
      </c>
      <c r="F4158" s="31" t="n">
        <v>18.9</v>
      </c>
      <c r="G4158" s="31" t="n">
        <v>88.5</v>
      </c>
      <c r="H4158" s="2" t="s">
        <v>671</v>
      </c>
    </row>
    <row r="4159" customFormat="false" ht="15" hidden="false" customHeight="false" outlineLevel="0" collapsed="false">
      <c r="A4159" s="2" t="s">
        <v>1840</v>
      </c>
      <c r="B4159" s="2" t="s">
        <v>46</v>
      </c>
      <c r="C4159" s="2" t="s">
        <v>4087</v>
      </c>
      <c r="D4159" s="11" t="n">
        <v>4380</v>
      </c>
      <c r="E4159" s="31" t="n">
        <v>22.2</v>
      </c>
      <c r="F4159" s="31" t="n">
        <v>45.8</v>
      </c>
      <c r="G4159" s="31" t="n">
        <v>65.8</v>
      </c>
      <c r="H4159" s="2" t="s">
        <v>671</v>
      </c>
    </row>
    <row r="4160" customFormat="false" ht="15" hidden="false" customHeight="false" outlineLevel="0" collapsed="false">
      <c r="A4160" s="2" t="s">
        <v>1840</v>
      </c>
      <c r="B4160" s="2" t="s">
        <v>47</v>
      </c>
      <c r="C4160" s="2" t="s">
        <v>4085</v>
      </c>
      <c r="D4160" s="11" t="n">
        <v>5393</v>
      </c>
      <c r="E4160" s="31" t="n">
        <v>28.9</v>
      </c>
      <c r="F4160" s="31" t="n">
        <v>21.1</v>
      </c>
      <c r="G4160" s="2"/>
      <c r="H4160" s="2" t="s">
        <v>668</v>
      </c>
    </row>
    <row r="4161" customFormat="false" ht="15" hidden="false" customHeight="false" outlineLevel="0" collapsed="false">
      <c r="A4161" s="2" t="s">
        <v>1840</v>
      </c>
      <c r="B4161" s="2" t="s">
        <v>47</v>
      </c>
      <c r="C4161" s="2" t="s">
        <v>4086</v>
      </c>
      <c r="D4161" s="11" t="n">
        <v>5510</v>
      </c>
      <c r="E4161" s="31" t="n">
        <v>25.7</v>
      </c>
      <c r="F4161" s="31" t="n">
        <v>22.5</v>
      </c>
      <c r="G4161" s="31" t="n">
        <v>99.5</v>
      </c>
      <c r="H4161" s="2" t="s">
        <v>671</v>
      </c>
    </row>
    <row r="4162" customFormat="false" ht="15" hidden="false" customHeight="false" outlineLevel="0" collapsed="false">
      <c r="A4162" s="2" t="s">
        <v>1840</v>
      </c>
      <c r="B4162" s="2" t="s">
        <v>47</v>
      </c>
      <c r="C4162" s="2" t="s">
        <v>4087</v>
      </c>
      <c r="D4162" s="11" t="n">
        <v>5547</v>
      </c>
      <c r="E4162" s="31" t="n">
        <v>24.1</v>
      </c>
      <c r="F4162" s="31" t="n">
        <v>16</v>
      </c>
      <c r="G4162" s="31" t="n">
        <v>99.2</v>
      </c>
      <c r="H4162" s="2" t="s">
        <v>671</v>
      </c>
    </row>
    <row r="4163" customFormat="false" ht="15" hidden="false" customHeight="false" outlineLevel="0" collapsed="false">
      <c r="A4163" s="2" t="s">
        <v>442</v>
      </c>
      <c r="B4163" s="2" t="s">
        <v>4104</v>
      </c>
      <c r="C4163" s="2" t="s">
        <v>4085</v>
      </c>
      <c r="D4163" s="2"/>
      <c r="E4163" s="31" t="n">
        <v>51.4</v>
      </c>
      <c r="F4163" s="31" t="n">
        <v>54.1</v>
      </c>
      <c r="G4163" s="31" t="n">
        <v>46.6</v>
      </c>
      <c r="H4163" s="2" t="s">
        <v>671</v>
      </c>
    </row>
    <row r="4164" customFormat="false" ht="15" hidden="false" customHeight="false" outlineLevel="0" collapsed="false">
      <c r="A4164" s="2" t="s">
        <v>442</v>
      </c>
      <c r="B4164" s="2" t="s">
        <v>4104</v>
      </c>
      <c r="C4164" s="2" t="s">
        <v>4086</v>
      </c>
      <c r="D4164" s="2"/>
      <c r="E4164" s="31" t="n">
        <v>44.4</v>
      </c>
      <c r="F4164" s="31" t="n">
        <v>61.7</v>
      </c>
      <c r="G4164" s="31" t="n">
        <v>45</v>
      </c>
      <c r="H4164" s="2" t="s">
        <v>671</v>
      </c>
    </row>
    <row r="4165" customFormat="false" ht="15" hidden="false" customHeight="false" outlineLevel="0" collapsed="false">
      <c r="A4165" s="2" t="s">
        <v>442</v>
      </c>
      <c r="B4165" s="2" t="s">
        <v>4104</v>
      </c>
      <c r="C4165" s="2" t="s">
        <v>4087</v>
      </c>
      <c r="D4165" s="2"/>
      <c r="E4165" s="31" t="n">
        <v>41.8</v>
      </c>
      <c r="F4165" s="31" t="n">
        <v>63.4</v>
      </c>
      <c r="G4165" s="31" t="n">
        <v>41.8</v>
      </c>
      <c r="H4165" s="2" t="s">
        <v>671</v>
      </c>
    </row>
    <row r="4166" customFormat="false" ht="15" hidden="false" customHeight="false" outlineLevel="0" collapsed="false">
      <c r="A4166" s="2" t="s">
        <v>442</v>
      </c>
      <c r="B4166" s="2" t="s">
        <v>45</v>
      </c>
      <c r="C4166" s="2" t="s">
        <v>4085</v>
      </c>
      <c r="D4166" s="11" t="n">
        <v>20090</v>
      </c>
      <c r="E4166" s="31" t="n">
        <v>60</v>
      </c>
      <c r="F4166" s="31" t="n">
        <v>76.6</v>
      </c>
      <c r="G4166" s="2"/>
      <c r="H4166" s="2" t="s">
        <v>671</v>
      </c>
    </row>
    <row r="4167" customFormat="false" ht="15" hidden="false" customHeight="false" outlineLevel="0" collapsed="false">
      <c r="A4167" s="2" t="s">
        <v>442</v>
      </c>
      <c r="B4167" s="2" t="s">
        <v>45</v>
      </c>
      <c r="C4167" s="2" t="s">
        <v>4086</v>
      </c>
      <c r="D4167" s="11" t="n">
        <v>20230</v>
      </c>
      <c r="E4167" s="31" t="n">
        <v>51</v>
      </c>
      <c r="F4167" s="31" t="n">
        <v>80.8</v>
      </c>
      <c r="G4167" s="2"/>
      <c r="H4167" s="2" t="s">
        <v>671</v>
      </c>
    </row>
    <row r="4168" customFormat="false" ht="15" hidden="false" customHeight="false" outlineLevel="0" collapsed="false">
      <c r="A4168" s="2" t="s">
        <v>442</v>
      </c>
      <c r="B4168" s="2" t="s">
        <v>45</v>
      </c>
      <c r="C4168" s="2" t="s">
        <v>4087</v>
      </c>
      <c r="D4168" s="11" t="n">
        <v>22020</v>
      </c>
      <c r="E4168" s="31" t="n">
        <v>42.1</v>
      </c>
      <c r="F4168" s="31" t="n">
        <v>70.6</v>
      </c>
      <c r="G4168" s="2"/>
      <c r="H4168" s="2" t="s">
        <v>671</v>
      </c>
    </row>
    <row r="4169" customFormat="false" ht="15" hidden="false" customHeight="false" outlineLevel="0" collapsed="false">
      <c r="A4169" s="2" t="s">
        <v>442</v>
      </c>
      <c r="B4169" s="2" t="s">
        <v>46</v>
      </c>
      <c r="C4169" s="2" t="s">
        <v>4085</v>
      </c>
      <c r="D4169" s="11" t="n">
        <v>81628</v>
      </c>
      <c r="E4169" s="31" t="n">
        <v>55.6</v>
      </c>
      <c r="F4169" s="31" t="n">
        <v>23.6</v>
      </c>
      <c r="G4169" s="31" t="n">
        <v>65.3</v>
      </c>
      <c r="H4169" s="2" t="s">
        <v>671</v>
      </c>
    </row>
    <row r="4170" customFormat="false" ht="15" hidden="false" customHeight="false" outlineLevel="0" collapsed="false">
      <c r="A4170" s="2" t="s">
        <v>442</v>
      </c>
      <c r="B4170" s="2" t="s">
        <v>46</v>
      </c>
      <c r="C4170" s="2" t="s">
        <v>4086</v>
      </c>
      <c r="D4170" s="11" t="n">
        <v>82700</v>
      </c>
      <c r="E4170" s="31" t="n">
        <v>16.5</v>
      </c>
      <c r="F4170" s="31" t="n">
        <v>66.9</v>
      </c>
      <c r="G4170" s="31" t="n">
        <v>41.1</v>
      </c>
      <c r="H4170" s="2" t="s">
        <v>671</v>
      </c>
    </row>
    <row r="4171" customFormat="false" ht="15" hidden="false" customHeight="false" outlineLevel="0" collapsed="false">
      <c r="A4171" s="2" t="s">
        <v>442</v>
      </c>
      <c r="B4171" s="2" t="s">
        <v>46</v>
      </c>
      <c r="C4171" s="2" t="s">
        <v>4087</v>
      </c>
      <c r="D4171" s="11" t="n">
        <v>87097</v>
      </c>
      <c r="E4171" s="31" t="n">
        <v>44.8</v>
      </c>
      <c r="F4171" s="31" t="n">
        <v>42.3</v>
      </c>
      <c r="G4171" s="31" t="n">
        <v>42.5</v>
      </c>
      <c r="H4171" s="2" t="s">
        <v>671</v>
      </c>
    </row>
    <row r="4172" customFormat="false" ht="15" hidden="false" customHeight="false" outlineLevel="0" collapsed="false">
      <c r="A4172" s="2" t="s">
        <v>442</v>
      </c>
      <c r="B4172" s="2" t="s">
        <v>47</v>
      </c>
      <c r="C4172" s="2" t="s">
        <v>4085</v>
      </c>
      <c r="D4172" s="11" t="n">
        <v>7210</v>
      </c>
      <c r="E4172" s="31" t="n">
        <v>38.6</v>
      </c>
      <c r="F4172" s="31" t="n">
        <v>62.2</v>
      </c>
      <c r="G4172" s="31" t="n">
        <v>27.9</v>
      </c>
      <c r="H4172" s="2" t="s">
        <v>671</v>
      </c>
    </row>
    <row r="4173" customFormat="false" ht="15" hidden="false" customHeight="false" outlineLevel="0" collapsed="false">
      <c r="A4173" s="2" t="s">
        <v>442</v>
      </c>
      <c r="B4173" s="2" t="s">
        <v>47</v>
      </c>
      <c r="C4173" s="2" t="s">
        <v>4086</v>
      </c>
      <c r="D4173" s="11" t="n">
        <v>7800</v>
      </c>
      <c r="E4173" s="31" t="n">
        <v>65.8</v>
      </c>
      <c r="F4173" s="31" t="n">
        <v>37.5</v>
      </c>
      <c r="G4173" s="31" t="n">
        <v>48.9</v>
      </c>
      <c r="H4173" s="2" t="s">
        <v>671</v>
      </c>
    </row>
    <row r="4174" customFormat="false" ht="15" hidden="false" customHeight="false" outlineLevel="0" collapsed="false">
      <c r="A4174" s="2" t="s">
        <v>442</v>
      </c>
      <c r="B4174" s="2" t="s">
        <v>47</v>
      </c>
      <c r="C4174" s="2" t="s">
        <v>4087</v>
      </c>
      <c r="D4174" s="11" t="n">
        <v>7992</v>
      </c>
      <c r="E4174" s="31" t="n">
        <v>38.6</v>
      </c>
      <c r="F4174" s="31" t="n">
        <v>77.3</v>
      </c>
      <c r="G4174" s="31" t="n">
        <v>41.1</v>
      </c>
      <c r="H4174" s="2" t="s">
        <v>671</v>
      </c>
    </row>
    <row r="4175" customFormat="false" ht="15" hidden="false" customHeight="false" outlineLevel="0" collapsed="false">
      <c r="A4175" s="2" t="s">
        <v>360</v>
      </c>
      <c r="B4175" s="2" t="s">
        <v>4104</v>
      </c>
      <c r="C4175" s="2" t="s">
        <v>4085</v>
      </c>
      <c r="D4175" s="2"/>
      <c r="E4175" s="31" t="n">
        <v>64.2</v>
      </c>
      <c r="F4175" s="31" t="n">
        <v>64</v>
      </c>
      <c r="G4175" s="31" t="n">
        <v>15.9</v>
      </c>
      <c r="H4175" s="2" t="s">
        <v>668</v>
      </c>
    </row>
    <row r="4176" customFormat="false" ht="15" hidden="false" customHeight="false" outlineLevel="0" collapsed="false">
      <c r="A4176" s="2" t="s">
        <v>360</v>
      </c>
      <c r="B4176" s="2" t="s">
        <v>4104</v>
      </c>
      <c r="C4176" s="2" t="s">
        <v>4086</v>
      </c>
      <c r="D4176" s="2"/>
      <c r="E4176" s="31" t="n">
        <v>56.6</v>
      </c>
      <c r="F4176" s="31" t="n">
        <v>72.2</v>
      </c>
      <c r="G4176" s="31" t="n">
        <v>20.8</v>
      </c>
      <c r="H4176" s="2" t="s">
        <v>668</v>
      </c>
    </row>
    <row r="4177" customFormat="false" ht="15" hidden="false" customHeight="false" outlineLevel="0" collapsed="false">
      <c r="A4177" s="2" t="s">
        <v>360</v>
      </c>
      <c r="B4177" s="2" t="s">
        <v>4104</v>
      </c>
      <c r="C4177" s="2" t="s">
        <v>4087</v>
      </c>
      <c r="D4177" s="2"/>
      <c r="E4177" s="31" t="n">
        <v>51.6</v>
      </c>
      <c r="F4177" s="31" t="n">
        <v>40.6</v>
      </c>
      <c r="G4177" s="31" t="n">
        <v>11.8</v>
      </c>
      <c r="H4177" s="2" t="s">
        <v>671</v>
      </c>
    </row>
    <row r="4178" customFormat="false" ht="15" hidden="false" customHeight="false" outlineLevel="0" collapsed="false">
      <c r="A4178" s="2" t="s">
        <v>360</v>
      </c>
      <c r="B4178" s="2" t="s">
        <v>45</v>
      </c>
      <c r="C4178" s="2" t="s">
        <v>4085</v>
      </c>
      <c r="D4178" s="11" t="n">
        <v>20960</v>
      </c>
      <c r="E4178" s="31" t="n">
        <v>42.5</v>
      </c>
      <c r="F4178" s="31" t="n">
        <v>82.8</v>
      </c>
      <c r="G4178" s="2"/>
      <c r="H4178" s="2" t="s">
        <v>668</v>
      </c>
    </row>
    <row r="4179" customFormat="false" ht="15" hidden="false" customHeight="false" outlineLevel="0" collapsed="false">
      <c r="A4179" s="2" t="s">
        <v>360</v>
      </c>
      <c r="B4179" s="2" t="s">
        <v>45</v>
      </c>
      <c r="C4179" s="2" t="s">
        <v>4086</v>
      </c>
      <c r="D4179" s="11" t="n">
        <v>21250</v>
      </c>
      <c r="E4179" s="31" t="n">
        <v>27.6</v>
      </c>
      <c r="F4179" s="31" t="n">
        <v>72.2</v>
      </c>
      <c r="G4179" s="31" t="n">
        <v>8.6</v>
      </c>
      <c r="H4179" s="2" t="s">
        <v>671</v>
      </c>
    </row>
    <row r="4180" customFormat="false" ht="15" hidden="false" customHeight="false" outlineLevel="0" collapsed="false">
      <c r="A4180" s="2" t="s">
        <v>360</v>
      </c>
      <c r="B4180" s="2" t="s">
        <v>45</v>
      </c>
      <c r="C4180" s="2" t="s">
        <v>4087</v>
      </c>
      <c r="D4180" s="11" t="n">
        <v>22560</v>
      </c>
      <c r="E4180" s="31" t="n">
        <v>26.7</v>
      </c>
      <c r="F4180" s="31" t="n">
        <v>44.4</v>
      </c>
      <c r="G4180" s="31" t="n">
        <v>6.1</v>
      </c>
      <c r="H4180" s="2" t="s">
        <v>671</v>
      </c>
    </row>
    <row r="4181" customFormat="false" ht="15" hidden="false" customHeight="false" outlineLevel="0" collapsed="false">
      <c r="A4181" s="2" t="s">
        <v>360</v>
      </c>
      <c r="B4181" s="2" t="s">
        <v>47</v>
      </c>
      <c r="C4181" s="2" t="s">
        <v>4085</v>
      </c>
      <c r="D4181" s="11" t="n">
        <v>358113</v>
      </c>
      <c r="E4181" s="31" t="n">
        <v>85.8</v>
      </c>
      <c r="F4181" s="31" t="n">
        <v>45.1</v>
      </c>
      <c r="G4181" s="31" t="n">
        <v>15.9</v>
      </c>
      <c r="H4181" s="2" t="s">
        <v>671</v>
      </c>
    </row>
    <row r="4182" customFormat="false" ht="15" hidden="false" customHeight="false" outlineLevel="0" collapsed="false">
      <c r="A4182" s="2" t="s">
        <v>360</v>
      </c>
      <c r="B4182" s="2" t="s">
        <v>47</v>
      </c>
      <c r="C4182" s="2" t="s">
        <v>4086</v>
      </c>
      <c r="D4182" s="11" t="n">
        <v>362008</v>
      </c>
      <c r="E4182" s="31" t="n">
        <v>85.7</v>
      </c>
      <c r="F4182" s="2"/>
      <c r="G4182" s="31" t="n">
        <v>33</v>
      </c>
      <c r="H4182" s="2" t="s">
        <v>668</v>
      </c>
    </row>
    <row r="4183" customFormat="false" ht="15" hidden="false" customHeight="false" outlineLevel="0" collapsed="false">
      <c r="A4183" s="2" t="s">
        <v>360</v>
      </c>
      <c r="B4183" s="2" t="s">
        <v>47</v>
      </c>
      <c r="C4183" s="2" t="s">
        <v>4087</v>
      </c>
      <c r="D4183" s="11" t="n">
        <v>368776</v>
      </c>
      <c r="E4183" s="31" t="n">
        <v>76.4</v>
      </c>
      <c r="F4183" s="31" t="n">
        <v>36.7</v>
      </c>
      <c r="G4183" s="31" t="n">
        <v>17.5</v>
      </c>
      <c r="H4183" s="2" t="s">
        <v>671</v>
      </c>
    </row>
    <row r="4184" customFormat="false" ht="15" hidden="false" customHeight="false" outlineLevel="0" collapsed="false">
      <c r="A4184" s="2" t="s">
        <v>1365</v>
      </c>
      <c r="B4184" s="2" t="s">
        <v>4104</v>
      </c>
      <c r="C4184" s="2" t="s">
        <v>4085</v>
      </c>
      <c r="D4184" s="2"/>
      <c r="E4184" s="31" t="n">
        <v>8.1</v>
      </c>
      <c r="F4184" s="31" t="n">
        <v>56.6</v>
      </c>
      <c r="G4184" s="31" t="n">
        <v>57.2</v>
      </c>
      <c r="H4184" s="2" t="s">
        <v>671</v>
      </c>
    </row>
    <row r="4185" customFormat="false" ht="15" hidden="false" customHeight="false" outlineLevel="0" collapsed="false">
      <c r="A4185" s="2" t="s">
        <v>1365</v>
      </c>
      <c r="B4185" s="2" t="s">
        <v>4104</v>
      </c>
      <c r="C4185" s="2" t="s">
        <v>4086</v>
      </c>
      <c r="D4185" s="2"/>
      <c r="E4185" s="31" t="n">
        <v>10.9</v>
      </c>
      <c r="F4185" s="31" t="n">
        <v>69.4</v>
      </c>
      <c r="G4185" s="31" t="n">
        <v>28</v>
      </c>
      <c r="H4185" s="2" t="s">
        <v>668</v>
      </c>
    </row>
    <row r="4186" customFormat="false" ht="15" hidden="false" customHeight="false" outlineLevel="0" collapsed="false">
      <c r="A4186" s="2" t="s">
        <v>1365</v>
      </c>
      <c r="B4186" s="2" t="s">
        <v>4104</v>
      </c>
      <c r="C4186" s="2" t="s">
        <v>4087</v>
      </c>
      <c r="D4186" s="2"/>
      <c r="E4186" s="31" t="n">
        <v>2.4</v>
      </c>
      <c r="F4186" s="31" t="n">
        <v>92.6</v>
      </c>
      <c r="G4186" s="31" t="n">
        <v>63</v>
      </c>
      <c r="H4186" s="2" t="s">
        <v>668</v>
      </c>
    </row>
    <row r="4187" customFormat="false" ht="15" hidden="false" customHeight="false" outlineLevel="0" collapsed="false">
      <c r="A4187" s="2" t="s">
        <v>1365</v>
      </c>
      <c r="B4187" s="2" t="s">
        <v>45</v>
      </c>
      <c r="C4187" s="2" t="s">
        <v>4085</v>
      </c>
      <c r="D4187" s="11" t="n">
        <v>3230</v>
      </c>
      <c r="E4187" s="31" t="n">
        <v>2.4</v>
      </c>
      <c r="F4187" s="31" t="n">
        <v>41.9</v>
      </c>
      <c r="G4187" s="31" t="n">
        <v>93.9</v>
      </c>
      <c r="H4187" s="2" t="s">
        <v>671</v>
      </c>
    </row>
    <row r="4188" customFormat="false" ht="15" hidden="false" customHeight="false" outlineLevel="0" collapsed="false">
      <c r="A4188" s="2" t="s">
        <v>1365</v>
      </c>
      <c r="B4188" s="2" t="s">
        <v>45</v>
      </c>
      <c r="C4188" s="2" t="s">
        <v>4086</v>
      </c>
      <c r="D4188" s="11" t="n">
        <v>3287</v>
      </c>
      <c r="E4188" s="31" t="n">
        <v>0.6</v>
      </c>
      <c r="F4188" s="31" t="n">
        <v>69</v>
      </c>
      <c r="G4188" s="2"/>
      <c r="H4188" s="2" t="s">
        <v>668</v>
      </c>
    </row>
    <row r="4189" customFormat="false" ht="15" hidden="false" customHeight="false" outlineLevel="0" collapsed="false">
      <c r="A4189" s="2" t="s">
        <v>1365</v>
      </c>
      <c r="B4189" s="2" t="s">
        <v>45</v>
      </c>
      <c r="C4189" s="2" t="s">
        <v>4087</v>
      </c>
      <c r="D4189" s="11" t="n">
        <v>3460</v>
      </c>
      <c r="E4189" s="31" t="n">
        <v>2.4</v>
      </c>
      <c r="F4189" s="31" t="n">
        <v>92.6</v>
      </c>
      <c r="G4189" s="31" t="n">
        <v>63</v>
      </c>
      <c r="H4189" s="2" t="s">
        <v>671</v>
      </c>
    </row>
    <row r="4190" customFormat="false" ht="15" hidden="false" customHeight="false" outlineLevel="0" collapsed="false">
      <c r="A4190" s="2" t="s">
        <v>1365</v>
      </c>
      <c r="B4190" s="2" t="s">
        <v>47</v>
      </c>
      <c r="C4190" s="2" t="s">
        <v>4085</v>
      </c>
      <c r="D4190" s="11" t="n">
        <v>18560</v>
      </c>
      <c r="E4190" s="31" t="n">
        <v>13.8</v>
      </c>
      <c r="F4190" s="31" t="n">
        <v>71.2</v>
      </c>
      <c r="G4190" s="31" t="n">
        <v>20.6</v>
      </c>
      <c r="H4190" s="2" t="s">
        <v>671</v>
      </c>
    </row>
    <row r="4191" customFormat="false" ht="15" hidden="false" customHeight="false" outlineLevel="0" collapsed="false">
      <c r="A4191" s="2" t="s">
        <v>1365</v>
      </c>
      <c r="B4191" s="2" t="s">
        <v>47</v>
      </c>
      <c r="C4191" s="2" t="s">
        <v>4086</v>
      </c>
      <c r="D4191" s="11" t="n">
        <v>19610</v>
      </c>
      <c r="E4191" s="31" t="n">
        <v>21.2</v>
      </c>
      <c r="F4191" s="31" t="n">
        <v>69.8</v>
      </c>
      <c r="G4191" s="31" t="n">
        <v>28</v>
      </c>
      <c r="H4191" s="2" t="s">
        <v>671</v>
      </c>
    </row>
    <row r="4192" customFormat="false" ht="15" hidden="false" customHeight="false" outlineLevel="0" collapsed="false">
      <c r="A4192" s="2" t="s">
        <v>1365</v>
      </c>
      <c r="B4192" s="2" t="s">
        <v>47</v>
      </c>
      <c r="C4192" s="2" t="s">
        <v>4087</v>
      </c>
      <c r="D4192" s="2"/>
      <c r="E4192" s="2"/>
      <c r="F4192" s="2"/>
      <c r="G4192" s="2"/>
      <c r="H4192" s="2" t="s">
        <v>668</v>
      </c>
    </row>
    <row r="4193" customFormat="false" ht="15" hidden="false" customHeight="false" outlineLevel="0" collapsed="false">
      <c r="A4193" s="2" t="s">
        <v>354</v>
      </c>
      <c r="B4193" s="2" t="s">
        <v>4104</v>
      </c>
      <c r="C4193" s="2" t="s">
        <v>4085</v>
      </c>
      <c r="D4193" s="2"/>
      <c r="E4193" s="31" t="n">
        <v>20</v>
      </c>
      <c r="F4193" s="31" t="n">
        <v>36.5</v>
      </c>
      <c r="G4193" s="31" t="n">
        <v>49.3</v>
      </c>
      <c r="H4193" s="2" t="s">
        <v>668</v>
      </c>
    </row>
    <row r="4194" customFormat="false" ht="15" hidden="false" customHeight="false" outlineLevel="0" collapsed="false">
      <c r="A4194" s="2" t="s">
        <v>354</v>
      </c>
      <c r="B4194" s="2" t="s">
        <v>4104</v>
      </c>
      <c r="C4194" s="2" t="s">
        <v>4086</v>
      </c>
      <c r="D4194" s="2"/>
      <c r="E4194" s="31" t="n">
        <v>42</v>
      </c>
      <c r="F4194" s="31" t="n">
        <v>15.9</v>
      </c>
      <c r="G4194" s="31" t="n">
        <v>63.1</v>
      </c>
      <c r="H4194" s="2" t="s">
        <v>668</v>
      </c>
    </row>
    <row r="4195" customFormat="false" ht="15" hidden="false" customHeight="false" outlineLevel="0" collapsed="false">
      <c r="A4195" s="2" t="s">
        <v>354</v>
      </c>
      <c r="B4195" s="2" t="s">
        <v>4104</v>
      </c>
      <c r="C4195" s="2" t="s">
        <v>4087</v>
      </c>
      <c r="D4195" s="2"/>
      <c r="E4195" s="31" t="n">
        <v>52.2</v>
      </c>
      <c r="F4195" s="31" t="n">
        <v>26.8</v>
      </c>
      <c r="G4195" s="31" t="n">
        <v>46.4</v>
      </c>
      <c r="H4195" s="2" t="s">
        <v>671</v>
      </c>
    </row>
    <row r="4196" customFormat="false" ht="15" hidden="false" customHeight="false" outlineLevel="0" collapsed="false">
      <c r="A4196" s="2" t="s">
        <v>354</v>
      </c>
      <c r="B4196" s="2" t="s">
        <v>45</v>
      </c>
      <c r="C4196" s="2" t="s">
        <v>4085</v>
      </c>
      <c r="D4196" s="2"/>
      <c r="E4196" s="2"/>
      <c r="F4196" s="2"/>
      <c r="G4196" s="2"/>
      <c r="H4196" s="2" t="s">
        <v>668</v>
      </c>
    </row>
    <row r="4197" customFormat="false" ht="15" hidden="false" customHeight="false" outlineLevel="0" collapsed="false">
      <c r="A4197" s="2" t="s">
        <v>354</v>
      </c>
      <c r="B4197" s="2" t="s">
        <v>45</v>
      </c>
      <c r="C4197" s="2" t="s">
        <v>4086</v>
      </c>
      <c r="D4197" s="11" t="n">
        <v>35610</v>
      </c>
      <c r="E4197" s="31" t="n">
        <v>93.6</v>
      </c>
      <c r="F4197" s="31" t="n">
        <v>10.3</v>
      </c>
      <c r="G4197" s="2"/>
      <c r="H4197" s="2" t="s">
        <v>671</v>
      </c>
    </row>
    <row r="4198" customFormat="false" ht="15" hidden="false" customHeight="false" outlineLevel="0" collapsed="false">
      <c r="A4198" s="2" t="s">
        <v>354</v>
      </c>
      <c r="B4198" s="2" t="s">
        <v>45</v>
      </c>
      <c r="C4198" s="2" t="s">
        <v>4087</v>
      </c>
      <c r="D4198" s="11" t="n">
        <v>36050</v>
      </c>
      <c r="E4198" s="31" t="n">
        <v>95.3</v>
      </c>
      <c r="F4198" s="31" t="n">
        <v>17.9</v>
      </c>
      <c r="G4198" s="2"/>
      <c r="H4198" s="2" t="s">
        <v>671</v>
      </c>
    </row>
    <row r="4199" customFormat="false" ht="15" hidden="false" customHeight="false" outlineLevel="0" collapsed="false">
      <c r="A4199" s="2" t="s">
        <v>354</v>
      </c>
      <c r="B4199" s="2" t="s">
        <v>46</v>
      </c>
      <c r="C4199" s="2" t="s">
        <v>4085</v>
      </c>
      <c r="D4199" s="11" t="n">
        <v>186595</v>
      </c>
      <c r="E4199" s="31" t="n">
        <v>7.4</v>
      </c>
      <c r="F4199" s="31" t="n">
        <v>53.2</v>
      </c>
      <c r="G4199" s="31" t="n">
        <v>25.1</v>
      </c>
      <c r="H4199" s="2" t="s">
        <v>671</v>
      </c>
    </row>
    <row r="4200" customFormat="false" ht="15" hidden="false" customHeight="false" outlineLevel="0" collapsed="false">
      <c r="A4200" s="2" t="s">
        <v>354</v>
      </c>
      <c r="B4200" s="2" t="s">
        <v>46</v>
      </c>
      <c r="C4200" s="2" t="s">
        <v>4086</v>
      </c>
      <c r="D4200" s="11" t="n">
        <v>197790</v>
      </c>
      <c r="E4200" s="31" t="n">
        <v>5.3</v>
      </c>
      <c r="F4200" s="31" t="n">
        <v>27.4</v>
      </c>
      <c r="G4200" s="2"/>
      <c r="H4200" s="2" t="s">
        <v>668</v>
      </c>
    </row>
    <row r="4201" customFormat="false" ht="15" hidden="false" customHeight="false" outlineLevel="0" collapsed="false">
      <c r="A4201" s="2" t="s">
        <v>354</v>
      </c>
      <c r="B4201" s="2" t="s">
        <v>46</v>
      </c>
      <c r="C4201" s="2" t="s">
        <v>4087</v>
      </c>
      <c r="D4201" s="11" t="n">
        <v>201650</v>
      </c>
      <c r="E4201" s="31" t="n">
        <v>10.6</v>
      </c>
      <c r="F4201" s="31" t="n">
        <v>52.3</v>
      </c>
      <c r="G4201" s="31" t="n">
        <v>66.3</v>
      </c>
      <c r="H4201" s="2" t="s">
        <v>671</v>
      </c>
    </row>
    <row r="4202" customFormat="false" ht="15" hidden="false" customHeight="false" outlineLevel="0" collapsed="false">
      <c r="A4202" s="2" t="s">
        <v>354</v>
      </c>
      <c r="B4202" s="2" t="s">
        <v>47</v>
      </c>
      <c r="C4202" s="2" t="s">
        <v>4085</v>
      </c>
      <c r="D4202" s="11" t="n">
        <v>274540</v>
      </c>
      <c r="E4202" s="31" t="n">
        <v>32.5</v>
      </c>
      <c r="F4202" s="31" t="n">
        <v>19.8</v>
      </c>
      <c r="G4202" s="31" t="n">
        <v>73.5</v>
      </c>
      <c r="H4202" s="2" t="s">
        <v>671</v>
      </c>
    </row>
    <row r="4203" customFormat="false" ht="15" hidden="false" customHeight="false" outlineLevel="0" collapsed="false">
      <c r="A4203" s="2" t="s">
        <v>354</v>
      </c>
      <c r="B4203" s="2" t="s">
        <v>47</v>
      </c>
      <c r="C4203" s="2" t="s">
        <v>4086</v>
      </c>
      <c r="D4203" s="11" t="n">
        <v>265334</v>
      </c>
      <c r="E4203" s="31" t="n">
        <v>27</v>
      </c>
      <c r="F4203" s="31" t="n">
        <v>9.9</v>
      </c>
      <c r="G4203" s="31" t="n">
        <v>63.1</v>
      </c>
      <c r="H4203" s="2" t="s">
        <v>671</v>
      </c>
    </row>
    <row r="4204" customFormat="false" ht="15" hidden="false" customHeight="false" outlineLevel="0" collapsed="false">
      <c r="A4204" s="2" t="s">
        <v>354</v>
      </c>
      <c r="B4204" s="2" t="s">
        <v>47</v>
      </c>
      <c r="C4204" s="2" t="s">
        <v>4087</v>
      </c>
      <c r="D4204" s="11" t="n">
        <v>260040</v>
      </c>
      <c r="E4204" s="31" t="n">
        <v>50.6</v>
      </c>
      <c r="F4204" s="31" t="n">
        <v>10.2</v>
      </c>
      <c r="G4204" s="31" t="n">
        <v>26.5</v>
      </c>
      <c r="H4204" s="2" t="s">
        <v>671</v>
      </c>
    </row>
    <row r="4205" customFormat="false" ht="15" hidden="false" customHeight="false" outlineLevel="0" collapsed="false">
      <c r="A4205" s="2" t="s">
        <v>870</v>
      </c>
      <c r="B4205" s="2" t="s">
        <v>4104</v>
      </c>
      <c r="C4205" s="2" t="s">
        <v>4085</v>
      </c>
      <c r="D4205" s="2"/>
      <c r="E4205" s="31" t="n">
        <v>62.1</v>
      </c>
      <c r="F4205" s="31" t="n">
        <v>66.8</v>
      </c>
      <c r="G4205" s="31" t="n">
        <v>75</v>
      </c>
      <c r="H4205" s="2" t="s">
        <v>671</v>
      </c>
    </row>
    <row r="4206" customFormat="false" ht="15" hidden="false" customHeight="false" outlineLevel="0" collapsed="false">
      <c r="A4206" s="2" t="s">
        <v>870</v>
      </c>
      <c r="B4206" s="2" t="s">
        <v>4104</v>
      </c>
      <c r="C4206" s="2" t="s">
        <v>4086</v>
      </c>
      <c r="D4206" s="2"/>
      <c r="E4206" s="31" t="n">
        <v>64.7</v>
      </c>
      <c r="F4206" s="31" t="n">
        <v>70.8</v>
      </c>
      <c r="G4206" s="31" t="n">
        <v>50</v>
      </c>
      <c r="H4206" s="2" t="s">
        <v>671</v>
      </c>
    </row>
    <row r="4207" customFormat="false" ht="15" hidden="false" customHeight="false" outlineLevel="0" collapsed="false">
      <c r="A4207" s="2" t="s">
        <v>870</v>
      </c>
      <c r="B4207" s="2" t="s">
        <v>4104</v>
      </c>
      <c r="C4207" s="2" t="s">
        <v>4087</v>
      </c>
      <c r="D4207" s="2"/>
      <c r="E4207" s="31" t="n">
        <v>58.4</v>
      </c>
      <c r="F4207" s="31" t="n">
        <v>71.4</v>
      </c>
      <c r="G4207" s="31" t="n">
        <v>37.3</v>
      </c>
      <c r="H4207" s="2" t="s">
        <v>668</v>
      </c>
    </row>
    <row r="4208" customFormat="false" ht="15" hidden="false" customHeight="false" outlineLevel="0" collapsed="false">
      <c r="A4208" s="2" t="s">
        <v>870</v>
      </c>
      <c r="B4208" s="2" t="s">
        <v>45</v>
      </c>
      <c r="C4208" s="2" t="s">
        <v>4085</v>
      </c>
      <c r="D4208" s="11" t="n">
        <v>96070</v>
      </c>
      <c r="E4208" s="31" t="n">
        <v>79</v>
      </c>
      <c r="F4208" s="31" t="n">
        <v>46.7</v>
      </c>
      <c r="G4208" s="2"/>
      <c r="H4208" s="2" t="s">
        <v>671</v>
      </c>
    </row>
    <row r="4209" customFormat="false" ht="15" hidden="false" customHeight="false" outlineLevel="0" collapsed="false">
      <c r="A4209" s="2" t="s">
        <v>870</v>
      </c>
      <c r="B4209" s="2" t="s">
        <v>45</v>
      </c>
      <c r="C4209" s="2" t="s">
        <v>4086</v>
      </c>
      <c r="D4209" s="11" t="n">
        <v>100910</v>
      </c>
      <c r="E4209" s="31" t="n">
        <v>89.4</v>
      </c>
      <c r="F4209" s="31" t="n">
        <v>76.4</v>
      </c>
      <c r="G4209" s="2"/>
      <c r="H4209" s="2" t="s">
        <v>671</v>
      </c>
    </row>
    <row r="4210" customFormat="false" ht="15" hidden="false" customHeight="false" outlineLevel="0" collapsed="false">
      <c r="A4210" s="2" t="s">
        <v>870</v>
      </c>
      <c r="B4210" s="2" t="s">
        <v>45</v>
      </c>
      <c r="C4210" s="2" t="s">
        <v>4087</v>
      </c>
      <c r="D4210" s="11" t="n">
        <v>106100</v>
      </c>
      <c r="E4210" s="31" t="n">
        <v>73.1</v>
      </c>
      <c r="F4210" s="31" t="n">
        <v>53.6</v>
      </c>
      <c r="G4210" s="2"/>
      <c r="H4210" s="2" t="s">
        <v>671</v>
      </c>
    </row>
    <row r="4211" customFormat="false" ht="15" hidden="false" customHeight="false" outlineLevel="0" collapsed="false">
      <c r="A4211" s="2" t="s">
        <v>870</v>
      </c>
      <c r="B4211" s="2" t="s">
        <v>46</v>
      </c>
      <c r="C4211" s="2" t="s">
        <v>4085</v>
      </c>
      <c r="D4211" s="11" t="n">
        <v>174450</v>
      </c>
      <c r="E4211" s="31" t="n">
        <v>43.4</v>
      </c>
      <c r="F4211" s="31" t="n">
        <v>66.7</v>
      </c>
      <c r="G4211" s="31" t="n">
        <v>94.3</v>
      </c>
      <c r="H4211" s="2" t="s">
        <v>671</v>
      </c>
    </row>
    <row r="4212" customFormat="false" ht="15" hidden="false" customHeight="false" outlineLevel="0" collapsed="false">
      <c r="A4212" s="2" t="s">
        <v>870</v>
      </c>
      <c r="B4212" s="2" t="s">
        <v>46</v>
      </c>
      <c r="C4212" s="2" t="s">
        <v>4086</v>
      </c>
      <c r="D4212" s="11" t="n">
        <v>174250</v>
      </c>
      <c r="E4212" s="31" t="n">
        <v>29.3</v>
      </c>
      <c r="F4212" s="31" t="n">
        <v>70.7</v>
      </c>
      <c r="G4212" s="31" t="n">
        <v>68</v>
      </c>
      <c r="H4212" s="2" t="s">
        <v>671</v>
      </c>
    </row>
    <row r="4213" customFormat="false" ht="15" hidden="false" customHeight="false" outlineLevel="0" collapsed="false">
      <c r="A4213" s="2" t="s">
        <v>870</v>
      </c>
      <c r="B4213" s="2" t="s">
        <v>46</v>
      </c>
      <c r="C4213" s="2" t="s">
        <v>4087</v>
      </c>
      <c r="D4213" s="2"/>
      <c r="E4213" s="2"/>
      <c r="F4213" s="2"/>
      <c r="G4213" s="2"/>
      <c r="H4213" s="2" t="s">
        <v>668</v>
      </c>
    </row>
    <row r="4214" customFormat="false" ht="15" hidden="false" customHeight="false" outlineLevel="0" collapsed="false">
      <c r="A4214" s="2" t="s">
        <v>870</v>
      </c>
      <c r="B4214" s="2" t="s">
        <v>47</v>
      </c>
      <c r="C4214" s="2" t="s">
        <v>4085</v>
      </c>
      <c r="D4214" s="11" t="n">
        <v>397278</v>
      </c>
      <c r="E4214" s="31" t="n">
        <v>63.8</v>
      </c>
      <c r="F4214" s="31" t="n">
        <v>87</v>
      </c>
      <c r="G4214" s="31" t="n">
        <v>55.6</v>
      </c>
      <c r="H4214" s="2" t="s">
        <v>671</v>
      </c>
    </row>
    <row r="4215" customFormat="false" ht="15" hidden="false" customHeight="false" outlineLevel="0" collapsed="false">
      <c r="A4215" s="2" t="s">
        <v>870</v>
      </c>
      <c r="B4215" s="2" t="s">
        <v>47</v>
      </c>
      <c r="C4215" s="2" t="s">
        <v>4086</v>
      </c>
      <c r="D4215" s="11" t="n">
        <v>403676</v>
      </c>
      <c r="E4215" s="31" t="n">
        <v>75.5</v>
      </c>
      <c r="F4215" s="31" t="n">
        <v>65.2</v>
      </c>
      <c r="G4215" s="31" t="n">
        <v>31.9</v>
      </c>
      <c r="H4215" s="2" t="s">
        <v>671</v>
      </c>
    </row>
    <row r="4216" customFormat="false" ht="15" hidden="false" customHeight="false" outlineLevel="0" collapsed="false">
      <c r="A4216" s="2" t="s">
        <v>870</v>
      </c>
      <c r="B4216" s="2" t="s">
        <v>47</v>
      </c>
      <c r="C4216" s="2" t="s">
        <v>4087</v>
      </c>
      <c r="D4216" s="11" t="n">
        <v>441546</v>
      </c>
      <c r="E4216" s="31" t="n">
        <v>43.7</v>
      </c>
      <c r="F4216" s="31" t="n">
        <v>89.2</v>
      </c>
      <c r="G4216" s="31" t="n">
        <v>37.3</v>
      </c>
      <c r="H4216" s="2" t="s">
        <v>671</v>
      </c>
    </row>
    <row r="4217" customFormat="false" ht="15" hidden="false" customHeight="false" outlineLevel="0" collapsed="false">
      <c r="A4217" s="2" t="s">
        <v>89</v>
      </c>
      <c r="B4217" s="2" t="s">
        <v>4104</v>
      </c>
      <c r="C4217" s="2" t="s">
        <v>4085</v>
      </c>
      <c r="D4217" s="2"/>
      <c r="E4217" s="31" t="n">
        <v>91.5</v>
      </c>
      <c r="F4217" s="31" t="n">
        <v>9.9</v>
      </c>
      <c r="G4217" s="31" t="n">
        <v>57.1</v>
      </c>
      <c r="H4217" s="2" t="s">
        <v>671</v>
      </c>
    </row>
    <row r="4218" customFormat="false" ht="15" hidden="false" customHeight="false" outlineLevel="0" collapsed="false">
      <c r="A4218" s="2" t="s">
        <v>89</v>
      </c>
      <c r="B4218" s="2" t="s">
        <v>4104</v>
      </c>
      <c r="C4218" s="2" t="s">
        <v>4086</v>
      </c>
      <c r="D4218" s="2"/>
      <c r="E4218" s="2"/>
      <c r="F4218" s="2"/>
      <c r="G4218" s="2"/>
      <c r="H4218" s="2" t="s">
        <v>668</v>
      </c>
    </row>
    <row r="4219" customFormat="false" ht="15" hidden="false" customHeight="false" outlineLevel="0" collapsed="false">
      <c r="A4219" s="2" t="s">
        <v>89</v>
      </c>
      <c r="B4219" s="2" t="s">
        <v>4104</v>
      </c>
      <c r="C4219" s="2" t="s">
        <v>4087</v>
      </c>
      <c r="D4219" s="2"/>
      <c r="E4219" s="31" t="n">
        <v>98.3</v>
      </c>
      <c r="F4219" s="31" t="n">
        <v>12</v>
      </c>
      <c r="G4219" s="31" t="n">
        <v>29.5</v>
      </c>
      <c r="H4219" s="2" t="s">
        <v>671</v>
      </c>
    </row>
    <row r="4220" customFormat="false" ht="15" hidden="false" customHeight="false" outlineLevel="0" collapsed="false">
      <c r="A4220" s="2" t="s">
        <v>89</v>
      </c>
      <c r="B4220" s="2" t="s">
        <v>47</v>
      </c>
      <c r="C4220" s="2" t="s">
        <v>4085</v>
      </c>
      <c r="D4220" s="11" t="n">
        <v>364970</v>
      </c>
      <c r="E4220" s="31" t="n">
        <v>91.5</v>
      </c>
      <c r="F4220" s="31" t="n">
        <v>9.9</v>
      </c>
      <c r="G4220" s="31" t="n">
        <v>57.1</v>
      </c>
      <c r="H4220" s="2" t="s">
        <v>671</v>
      </c>
    </row>
    <row r="4221" customFormat="false" ht="15" hidden="false" customHeight="false" outlineLevel="0" collapsed="false">
      <c r="A4221" s="2" t="s">
        <v>89</v>
      </c>
      <c r="B4221" s="2" t="s">
        <v>47</v>
      </c>
      <c r="C4221" s="2" t="s">
        <v>4086</v>
      </c>
      <c r="D4221" s="2"/>
      <c r="E4221" s="2"/>
      <c r="F4221" s="2"/>
      <c r="G4221" s="2"/>
      <c r="H4221" s="2" t="s">
        <v>668</v>
      </c>
    </row>
    <row r="4222" customFormat="false" ht="15" hidden="false" customHeight="false" outlineLevel="0" collapsed="false">
      <c r="A4222" s="2" t="s">
        <v>89</v>
      </c>
      <c r="B4222" s="2" t="s">
        <v>47</v>
      </c>
      <c r="C4222" s="2" t="s">
        <v>4087</v>
      </c>
      <c r="D4222" s="11" t="n">
        <v>373531</v>
      </c>
      <c r="E4222" s="31" t="n">
        <v>98.3</v>
      </c>
      <c r="F4222" s="31" t="n">
        <v>12</v>
      </c>
      <c r="G4222" s="31" t="n">
        <v>29.5</v>
      </c>
      <c r="H4222" s="2" t="s">
        <v>671</v>
      </c>
    </row>
    <row r="4223" customFormat="false" ht="15" hidden="false" customHeight="false" outlineLevel="0" collapsed="false">
      <c r="A4223" s="2" t="s">
        <v>1123</v>
      </c>
      <c r="B4223" s="2" t="s">
        <v>4104</v>
      </c>
      <c r="C4223" s="2" t="s">
        <v>4085</v>
      </c>
      <c r="D4223" s="2"/>
      <c r="E4223" s="31" t="n">
        <v>30.1</v>
      </c>
      <c r="F4223" s="31" t="n">
        <v>47.7</v>
      </c>
      <c r="G4223" s="2"/>
      <c r="H4223" s="2" t="s">
        <v>668</v>
      </c>
    </row>
    <row r="4224" customFormat="false" ht="15" hidden="false" customHeight="false" outlineLevel="0" collapsed="false">
      <c r="A4224" s="2" t="s">
        <v>1123</v>
      </c>
      <c r="B4224" s="2" t="s">
        <v>4104</v>
      </c>
      <c r="C4224" s="2" t="s">
        <v>4086</v>
      </c>
      <c r="D4224" s="2"/>
      <c r="E4224" s="31" t="n">
        <v>49.6</v>
      </c>
      <c r="F4224" s="31" t="n">
        <v>59.8</v>
      </c>
      <c r="G4224" s="31" t="n">
        <v>59.1</v>
      </c>
      <c r="H4224" s="2" t="s">
        <v>668</v>
      </c>
    </row>
    <row r="4225" customFormat="false" ht="15" hidden="false" customHeight="false" outlineLevel="0" collapsed="false">
      <c r="A4225" s="2" t="s">
        <v>1123</v>
      </c>
      <c r="B4225" s="2" t="s">
        <v>4104</v>
      </c>
      <c r="C4225" s="2" t="s">
        <v>4087</v>
      </c>
      <c r="D4225" s="2"/>
      <c r="E4225" s="31" t="n">
        <v>24.6</v>
      </c>
      <c r="F4225" s="31" t="n">
        <v>75.5</v>
      </c>
      <c r="G4225" s="31" t="n">
        <v>88.8</v>
      </c>
      <c r="H4225" s="2" t="s">
        <v>668</v>
      </c>
    </row>
    <row r="4226" customFormat="false" ht="15" hidden="false" customHeight="false" outlineLevel="0" collapsed="false">
      <c r="A4226" s="2" t="s">
        <v>1123</v>
      </c>
      <c r="B4226" s="2" t="s">
        <v>45</v>
      </c>
      <c r="C4226" s="2" t="s">
        <v>4085</v>
      </c>
      <c r="D4226" s="11" t="n">
        <v>97057</v>
      </c>
      <c r="E4226" s="31" t="n">
        <v>56.8</v>
      </c>
      <c r="F4226" s="31" t="n">
        <v>33.6</v>
      </c>
      <c r="G4226" s="2"/>
      <c r="H4226" s="2" t="s">
        <v>668</v>
      </c>
    </row>
    <row r="4227" customFormat="false" ht="15" hidden="false" customHeight="false" outlineLevel="0" collapsed="false">
      <c r="A4227" s="2" t="s">
        <v>1123</v>
      </c>
      <c r="B4227" s="2" t="s">
        <v>45</v>
      </c>
      <c r="C4227" s="2" t="s">
        <v>4086</v>
      </c>
      <c r="D4227" s="2"/>
      <c r="E4227" s="2"/>
      <c r="F4227" s="2"/>
      <c r="G4227" s="2"/>
      <c r="H4227" s="2" t="s">
        <v>668</v>
      </c>
    </row>
    <row r="4228" customFormat="false" ht="15" hidden="false" customHeight="false" outlineLevel="0" collapsed="false">
      <c r="A4228" s="2" t="s">
        <v>1123</v>
      </c>
      <c r="B4228" s="2" t="s">
        <v>45</v>
      </c>
      <c r="C4228" s="2" t="s">
        <v>4087</v>
      </c>
      <c r="D4228" s="11" t="n">
        <v>103240</v>
      </c>
      <c r="E4228" s="31" t="n">
        <v>39.3</v>
      </c>
      <c r="F4228" s="31" t="n">
        <v>87.7</v>
      </c>
      <c r="G4228" s="31" t="n">
        <v>97</v>
      </c>
      <c r="H4228" s="2" t="s">
        <v>671</v>
      </c>
    </row>
    <row r="4229" customFormat="false" ht="15" hidden="false" customHeight="false" outlineLevel="0" collapsed="false">
      <c r="A4229" s="2" t="s">
        <v>1123</v>
      </c>
      <c r="B4229" s="2" t="s">
        <v>46</v>
      </c>
      <c r="C4229" s="2" t="s">
        <v>4085</v>
      </c>
      <c r="D4229" s="11" t="n">
        <v>58693</v>
      </c>
      <c r="E4229" s="31" t="n">
        <v>27.6</v>
      </c>
      <c r="F4229" s="31" t="n">
        <v>36</v>
      </c>
      <c r="G4229" s="2"/>
      <c r="H4229" s="2" t="s">
        <v>668</v>
      </c>
    </row>
    <row r="4230" customFormat="false" ht="15" hidden="false" customHeight="false" outlineLevel="0" collapsed="false">
      <c r="A4230" s="2" t="s">
        <v>1123</v>
      </c>
      <c r="B4230" s="2" t="s">
        <v>46</v>
      </c>
      <c r="C4230" s="2" t="s">
        <v>4086</v>
      </c>
      <c r="D4230" s="11" t="n">
        <v>60670</v>
      </c>
      <c r="E4230" s="31" t="n">
        <v>83.5</v>
      </c>
      <c r="F4230" s="31" t="n">
        <v>64.4</v>
      </c>
      <c r="G4230" s="31" t="n">
        <v>39.5</v>
      </c>
      <c r="H4230" s="2" t="s">
        <v>671</v>
      </c>
    </row>
    <row r="4231" customFormat="false" ht="15" hidden="false" customHeight="false" outlineLevel="0" collapsed="false">
      <c r="A4231" s="2" t="s">
        <v>1123</v>
      </c>
      <c r="B4231" s="2" t="s">
        <v>46</v>
      </c>
      <c r="C4231" s="2" t="s">
        <v>4087</v>
      </c>
      <c r="D4231" s="2"/>
      <c r="E4231" s="2"/>
      <c r="F4231" s="2"/>
      <c r="G4231" s="2"/>
      <c r="H4231" s="2" t="s">
        <v>668</v>
      </c>
    </row>
    <row r="4232" customFormat="false" ht="15" hidden="false" customHeight="false" outlineLevel="0" collapsed="false">
      <c r="A4232" s="2" t="s">
        <v>1123</v>
      </c>
      <c r="B4232" s="2" t="s">
        <v>47</v>
      </c>
      <c r="C4232" s="2" t="s">
        <v>4085</v>
      </c>
      <c r="D4232" s="11" t="n">
        <v>460129</v>
      </c>
      <c r="E4232" s="31" t="n">
        <v>5.9</v>
      </c>
      <c r="F4232" s="31" t="n">
        <v>73.5</v>
      </c>
      <c r="G4232" s="2"/>
      <c r="H4232" s="2" t="s">
        <v>668</v>
      </c>
    </row>
    <row r="4233" customFormat="false" ht="15" hidden="false" customHeight="false" outlineLevel="0" collapsed="false">
      <c r="A4233" s="2" t="s">
        <v>1123</v>
      </c>
      <c r="B4233" s="2" t="s">
        <v>47</v>
      </c>
      <c r="C4233" s="2" t="s">
        <v>4086</v>
      </c>
      <c r="D4233" s="11" t="n">
        <v>490110</v>
      </c>
      <c r="E4233" s="31" t="n">
        <v>15.7</v>
      </c>
      <c r="F4233" s="31" t="n">
        <v>55.3</v>
      </c>
      <c r="G4233" s="31" t="n">
        <v>78.7</v>
      </c>
      <c r="H4233" s="2" t="s">
        <v>671</v>
      </c>
    </row>
    <row r="4234" customFormat="false" ht="15" hidden="false" customHeight="false" outlineLevel="0" collapsed="false">
      <c r="A4234" s="2" t="s">
        <v>1123</v>
      </c>
      <c r="B4234" s="2" t="s">
        <v>47</v>
      </c>
      <c r="C4234" s="2" t="s">
        <v>4087</v>
      </c>
      <c r="D4234" s="11" t="n">
        <v>515749</v>
      </c>
      <c r="E4234" s="31" t="n">
        <v>9.9</v>
      </c>
      <c r="F4234" s="31" t="n">
        <v>63.3</v>
      </c>
      <c r="G4234" s="31" t="n">
        <v>80.6</v>
      </c>
      <c r="H4234" s="2" t="s">
        <v>671</v>
      </c>
    </row>
    <row r="4235" customFormat="false" ht="15" hidden="false" customHeight="false" outlineLevel="0" collapsed="false">
      <c r="A4235" s="2" t="s">
        <v>2964</v>
      </c>
      <c r="B4235" s="2" t="s">
        <v>4104</v>
      </c>
      <c r="C4235" s="2" t="s">
        <v>4085</v>
      </c>
      <c r="D4235" s="2"/>
      <c r="E4235" s="31" t="n">
        <v>37.6</v>
      </c>
      <c r="F4235" s="31" t="n">
        <v>58.4</v>
      </c>
      <c r="G4235" s="31" t="n">
        <v>47.7</v>
      </c>
      <c r="H4235" s="2" t="s">
        <v>671</v>
      </c>
    </row>
    <row r="4236" customFormat="false" ht="15" hidden="false" customHeight="false" outlineLevel="0" collapsed="false">
      <c r="A4236" s="2" t="s">
        <v>2964</v>
      </c>
      <c r="B4236" s="2" t="s">
        <v>4104</v>
      </c>
      <c r="C4236" s="2" t="s">
        <v>4086</v>
      </c>
      <c r="D4236" s="2"/>
      <c r="E4236" s="31" t="n">
        <v>21.6</v>
      </c>
      <c r="F4236" s="2"/>
      <c r="G4236" s="2"/>
      <c r="H4236" s="2" t="s">
        <v>668</v>
      </c>
    </row>
    <row r="4237" customFormat="false" ht="15" hidden="false" customHeight="false" outlineLevel="0" collapsed="false">
      <c r="A4237" s="2" t="s">
        <v>2964</v>
      </c>
      <c r="B4237" s="2" t="s">
        <v>4104</v>
      </c>
      <c r="C4237" s="2" t="s">
        <v>4087</v>
      </c>
      <c r="D4237" s="2"/>
      <c r="E4237" s="2"/>
      <c r="F4237" s="2"/>
      <c r="G4237" s="2"/>
      <c r="H4237" s="2" t="s">
        <v>668</v>
      </c>
    </row>
    <row r="4238" customFormat="false" ht="15" hidden="false" customHeight="false" outlineLevel="0" collapsed="false">
      <c r="A4238" s="2" t="s">
        <v>2964</v>
      </c>
      <c r="B4238" s="2" t="s">
        <v>46</v>
      </c>
      <c r="C4238" s="2" t="s">
        <v>4085</v>
      </c>
      <c r="D4238" s="11" t="n">
        <v>35070</v>
      </c>
      <c r="E4238" s="31" t="n">
        <v>37.6</v>
      </c>
      <c r="F4238" s="31" t="n">
        <v>58.4</v>
      </c>
      <c r="G4238" s="31" t="n">
        <v>47.7</v>
      </c>
      <c r="H4238" s="2" t="s">
        <v>671</v>
      </c>
    </row>
    <row r="4239" customFormat="false" ht="15" hidden="false" customHeight="false" outlineLevel="0" collapsed="false">
      <c r="A4239" s="2" t="s">
        <v>2964</v>
      </c>
      <c r="B4239" s="2" t="s">
        <v>46</v>
      </c>
      <c r="C4239" s="2" t="s">
        <v>4086</v>
      </c>
      <c r="D4239" s="11" t="n">
        <v>36080</v>
      </c>
      <c r="E4239" s="31" t="n">
        <v>21.6</v>
      </c>
      <c r="F4239" s="2"/>
      <c r="G4239" s="2"/>
      <c r="H4239" s="2" t="s">
        <v>668</v>
      </c>
    </row>
    <row r="4240" customFormat="false" ht="15" hidden="false" customHeight="false" outlineLevel="0" collapsed="false">
      <c r="A4240" s="2" t="s">
        <v>2964</v>
      </c>
      <c r="B4240" s="2" t="s">
        <v>46</v>
      </c>
      <c r="C4240" s="2" t="s">
        <v>4087</v>
      </c>
      <c r="D4240" s="2"/>
      <c r="E4240" s="2"/>
      <c r="F4240" s="2"/>
      <c r="G4240" s="2"/>
      <c r="H4240" s="2" t="s">
        <v>668</v>
      </c>
    </row>
    <row r="4241" customFormat="false" ht="15" hidden="false" customHeight="false" outlineLevel="0" collapsed="false">
      <c r="A4241" s="2" t="s">
        <v>2042</v>
      </c>
      <c r="B4241" s="2" t="s">
        <v>4104</v>
      </c>
      <c r="C4241" s="2" t="s">
        <v>4085</v>
      </c>
      <c r="D4241" s="2"/>
      <c r="E4241" s="31" t="n">
        <v>66</v>
      </c>
      <c r="F4241" s="31" t="n">
        <v>61.8</v>
      </c>
      <c r="G4241" s="31" t="n">
        <v>73.1</v>
      </c>
      <c r="H4241" s="2" t="s">
        <v>671</v>
      </c>
    </row>
    <row r="4242" customFormat="false" ht="15" hidden="false" customHeight="false" outlineLevel="0" collapsed="false">
      <c r="A4242" s="2" t="s">
        <v>2042</v>
      </c>
      <c r="B4242" s="2" t="s">
        <v>4104</v>
      </c>
      <c r="C4242" s="2" t="s">
        <v>4086</v>
      </c>
      <c r="D4242" s="2"/>
      <c r="E4242" s="31" t="n">
        <v>64.7</v>
      </c>
      <c r="F4242" s="31" t="n">
        <v>67.3</v>
      </c>
      <c r="G4242" s="31" t="n">
        <v>88</v>
      </c>
      <c r="H4242" s="2" t="s">
        <v>671</v>
      </c>
    </row>
    <row r="4243" customFormat="false" ht="15" hidden="false" customHeight="false" outlineLevel="0" collapsed="false">
      <c r="A4243" s="2" t="s">
        <v>2042</v>
      </c>
      <c r="B4243" s="2" t="s">
        <v>4104</v>
      </c>
      <c r="C4243" s="2" t="s">
        <v>4087</v>
      </c>
      <c r="D4243" s="2"/>
      <c r="E4243" s="31" t="n">
        <v>56</v>
      </c>
      <c r="F4243" s="31" t="n">
        <v>67.2</v>
      </c>
      <c r="G4243" s="31" t="n">
        <v>93.3</v>
      </c>
      <c r="H4243" s="2" t="s">
        <v>668</v>
      </c>
    </row>
    <row r="4244" customFormat="false" ht="15" hidden="false" customHeight="false" outlineLevel="0" collapsed="false">
      <c r="A4244" s="2" t="s">
        <v>2042</v>
      </c>
      <c r="B4244" s="2" t="s">
        <v>45</v>
      </c>
      <c r="C4244" s="2" t="s">
        <v>4085</v>
      </c>
      <c r="D4244" s="11" t="n">
        <v>171990</v>
      </c>
      <c r="E4244" s="31" t="n">
        <v>21.6</v>
      </c>
      <c r="F4244" s="31" t="n">
        <v>71.9</v>
      </c>
      <c r="G4244" s="31" t="n">
        <v>68.3</v>
      </c>
      <c r="H4244" s="2" t="s">
        <v>671</v>
      </c>
    </row>
    <row r="4245" customFormat="false" ht="15" hidden="false" customHeight="false" outlineLevel="0" collapsed="false">
      <c r="A4245" s="2" t="s">
        <v>2042</v>
      </c>
      <c r="B4245" s="2" t="s">
        <v>45</v>
      </c>
      <c r="C4245" s="2" t="s">
        <v>4086</v>
      </c>
      <c r="D4245" s="11" t="n">
        <v>178040</v>
      </c>
      <c r="E4245" s="31" t="n">
        <v>8.3</v>
      </c>
      <c r="F4245" s="31" t="n">
        <v>50</v>
      </c>
      <c r="G4245" s="31" t="n">
        <v>80.7</v>
      </c>
      <c r="H4245" s="2" t="s">
        <v>671</v>
      </c>
    </row>
    <row r="4246" customFormat="false" ht="15" hidden="false" customHeight="false" outlineLevel="0" collapsed="false">
      <c r="A4246" s="2" t="s">
        <v>2042</v>
      </c>
      <c r="B4246" s="2" t="s">
        <v>45</v>
      </c>
      <c r="C4246" s="2" t="s">
        <v>4087</v>
      </c>
      <c r="D4246" s="11" t="n">
        <v>180032</v>
      </c>
      <c r="E4246" s="31" t="n">
        <v>22.9</v>
      </c>
      <c r="F4246" s="31" t="n">
        <v>59.4</v>
      </c>
      <c r="G4246" s="2"/>
      <c r="H4246" s="2" t="s">
        <v>668</v>
      </c>
    </row>
    <row r="4247" customFormat="false" ht="15" hidden="false" customHeight="false" outlineLevel="0" collapsed="false">
      <c r="A4247" s="2" t="s">
        <v>2042</v>
      </c>
      <c r="B4247" s="2" t="s">
        <v>46</v>
      </c>
      <c r="C4247" s="2" t="s">
        <v>4085</v>
      </c>
      <c r="D4247" s="11" t="n">
        <v>30090</v>
      </c>
      <c r="E4247" s="31" t="n">
        <v>80.6</v>
      </c>
      <c r="F4247" s="31" t="n">
        <v>85.4</v>
      </c>
      <c r="G4247" s="31" t="n">
        <v>74.2</v>
      </c>
      <c r="H4247" s="2" t="s">
        <v>671</v>
      </c>
    </row>
    <row r="4248" customFormat="false" ht="15" hidden="false" customHeight="false" outlineLevel="0" collapsed="false">
      <c r="A4248" s="2" t="s">
        <v>2042</v>
      </c>
      <c r="B4248" s="2" t="s">
        <v>46</v>
      </c>
      <c r="C4248" s="2" t="s">
        <v>4086</v>
      </c>
      <c r="D4248" s="11" t="n">
        <v>32370</v>
      </c>
      <c r="E4248" s="31" t="n">
        <v>86.8</v>
      </c>
      <c r="F4248" s="31" t="n">
        <v>94.9</v>
      </c>
      <c r="G4248" s="31" t="n">
        <v>90.9</v>
      </c>
      <c r="H4248" s="2" t="s">
        <v>671</v>
      </c>
    </row>
    <row r="4249" customFormat="false" ht="15" hidden="false" customHeight="false" outlineLevel="0" collapsed="false">
      <c r="A4249" s="2" t="s">
        <v>2042</v>
      </c>
      <c r="B4249" s="2" t="s">
        <v>46</v>
      </c>
      <c r="C4249" s="2" t="s">
        <v>4087</v>
      </c>
      <c r="D4249" s="11" t="n">
        <v>34666</v>
      </c>
      <c r="E4249" s="2"/>
      <c r="F4249" s="31" t="n">
        <v>90.9</v>
      </c>
      <c r="G4249" s="2"/>
      <c r="H4249" s="2" t="s">
        <v>668</v>
      </c>
    </row>
    <row r="4250" customFormat="false" ht="15" hidden="false" customHeight="false" outlineLevel="0" collapsed="false">
      <c r="A4250" s="2" t="s">
        <v>2042</v>
      </c>
      <c r="B4250" s="2" t="s">
        <v>47</v>
      </c>
      <c r="C4250" s="2" t="s">
        <v>4085</v>
      </c>
      <c r="D4250" s="11" t="n">
        <v>28467</v>
      </c>
      <c r="E4250" s="31" t="n">
        <v>95.7</v>
      </c>
      <c r="F4250" s="31" t="n">
        <v>28.1</v>
      </c>
      <c r="G4250" s="31" t="n">
        <v>76.7</v>
      </c>
      <c r="H4250" s="2" t="s">
        <v>671</v>
      </c>
    </row>
    <row r="4251" customFormat="false" ht="15" hidden="false" customHeight="false" outlineLevel="0" collapsed="false">
      <c r="A4251" s="2" t="s">
        <v>2042</v>
      </c>
      <c r="B4251" s="2" t="s">
        <v>47</v>
      </c>
      <c r="C4251" s="2" t="s">
        <v>4086</v>
      </c>
      <c r="D4251" s="11" t="n">
        <v>29100</v>
      </c>
      <c r="E4251" s="31" t="n">
        <v>98.9</v>
      </c>
      <c r="F4251" s="31" t="n">
        <v>57.1</v>
      </c>
      <c r="G4251" s="31" t="n">
        <v>92.5</v>
      </c>
      <c r="H4251" s="2" t="s">
        <v>671</v>
      </c>
    </row>
    <row r="4252" customFormat="false" ht="15" hidden="false" customHeight="false" outlineLevel="0" collapsed="false">
      <c r="A4252" s="2" t="s">
        <v>2042</v>
      </c>
      <c r="B4252" s="2" t="s">
        <v>47</v>
      </c>
      <c r="C4252" s="2" t="s">
        <v>4087</v>
      </c>
      <c r="D4252" s="11" t="n">
        <v>29032</v>
      </c>
      <c r="E4252" s="31" t="n">
        <v>89</v>
      </c>
      <c r="F4252" s="31" t="n">
        <v>51.4</v>
      </c>
      <c r="G4252" s="31" t="n">
        <v>93.3</v>
      </c>
      <c r="H4252" s="2" t="s">
        <v>671</v>
      </c>
    </row>
    <row r="4253" customFormat="false" ht="15" hidden="false" customHeight="false" outlineLevel="0" collapsed="false">
      <c r="A4253" s="2" t="s">
        <v>1187</v>
      </c>
      <c r="B4253" s="2" t="s">
        <v>4104</v>
      </c>
      <c r="C4253" s="2" t="s">
        <v>4085</v>
      </c>
      <c r="D4253" s="2"/>
      <c r="E4253" s="31" t="n">
        <v>60.3</v>
      </c>
      <c r="F4253" s="31" t="n">
        <v>52.1</v>
      </c>
      <c r="G4253" s="31" t="n">
        <v>26.5</v>
      </c>
      <c r="H4253" s="2" t="s">
        <v>671</v>
      </c>
    </row>
    <row r="4254" customFormat="false" ht="15" hidden="false" customHeight="false" outlineLevel="0" collapsed="false">
      <c r="A4254" s="2" t="s">
        <v>1187</v>
      </c>
      <c r="B4254" s="2" t="s">
        <v>4104</v>
      </c>
      <c r="C4254" s="2" t="s">
        <v>4086</v>
      </c>
      <c r="D4254" s="2"/>
      <c r="E4254" s="31" t="n">
        <v>46.5</v>
      </c>
      <c r="F4254" s="31" t="n">
        <v>50.2</v>
      </c>
      <c r="G4254" s="31" t="n">
        <v>65.8</v>
      </c>
      <c r="H4254" s="2" t="s">
        <v>668</v>
      </c>
    </row>
    <row r="4255" customFormat="false" ht="15" hidden="false" customHeight="false" outlineLevel="0" collapsed="false">
      <c r="A4255" s="2" t="s">
        <v>1187</v>
      </c>
      <c r="B4255" s="2" t="s">
        <v>4104</v>
      </c>
      <c r="C4255" s="2" t="s">
        <v>4087</v>
      </c>
      <c r="D4255" s="2"/>
      <c r="E4255" s="31" t="n">
        <v>63.9</v>
      </c>
      <c r="F4255" s="31" t="n">
        <v>45.6</v>
      </c>
      <c r="G4255" s="31" t="n">
        <v>12.2</v>
      </c>
      <c r="H4255" s="2" t="s">
        <v>668</v>
      </c>
    </row>
    <row r="4256" customFormat="false" ht="15" hidden="false" customHeight="false" outlineLevel="0" collapsed="false">
      <c r="A4256" s="2" t="s">
        <v>1187</v>
      </c>
      <c r="B4256" s="2" t="s">
        <v>45</v>
      </c>
      <c r="C4256" s="2" t="s">
        <v>4085</v>
      </c>
      <c r="D4256" s="11" t="n">
        <v>11860</v>
      </c>
      <c r="E4256" s="31" t="n">
        <v>47.9</v>
      </c>
      <c r="F4256" s="31" t="n">
        <v>36.5</v>
      </c>
      <c r="G4256" s="31" t="n">
        <v>3.7</v>
      </c>
      <c r="H4256" s="2" t="s">
        <v>671</v>
      </c>
    </row>
    <row r="4257" customFormat="false" ht="15" hidden="false" customHeight="false" outlineLevel="0" collapsed="false">
      <c r="A4257" s="2" t="s">
        <v>1187</v>
      </c>
      <c r="B4257" s="2" t="s">
        <v>45</v>
      </c>
      <c r="C4257" s="2" t="s">
        <v>4086</v>
      </c>
      <c r="D4257" s="11" t="n">
        <v>12110</v>
      </c>
      <c r="E4257" s="31" t="n">
        <v>31.2</v>
      </c>
      <c r="F4257" s="31" t="n">
        <v>37.8</v>
      </c>
      <c r="G4257" s="2"/>
      <c r="H4257" s="2" t="s">
        <v>668</v>
      </c>
    </row>
    <row r="4258" customFormat="false" ht="15" hidden="false" customHeight="false" outlineLevel="0" collapsed="false">
      <c r="A4258" s="2" t="s">
        <v>1187</v>
      </c>
      <c r="B4258" s="2" t="s">
        <v>45</v>
      </c>
      <c r="C4258" s="2" t="s">
        <v>4087</v>
      </c>
      <c r="D4258" s="11" t="n">
        <v>12635</v>
      </c>
      <c r="E4258" s="31" t="n">
        <v>30.3</v>
      </c>
      <c r="F4258" s="31" t="n">
        <v>24.2</v>
      </c>
      <c r="G4258" s="31" t="n">
        <v>20.6</v>
      </c>
      <c r="H4258" s="2" t="s">
        <v>671</v>
      </c>
    </row>
    <row r="4259" customFormat="false" ht="15" hidden="false" customHeight="false" outlineLevel="0" collapsed="false">
      <c r="A4259" s="2" t="s">
        <v>1187</v>
      </c>
      <c r="B4259" s="2" t="s">
        <v>46</v>
      </c>
      <c r="C4259" s="2" t="s">
        <v>4085</v>
      </c>
      <c r="D4259" s="11" t="n">
        <v>129810</v>
      </c>
      <c r="E4259" s="31" t="n">
        <v>77.5</v>
      </c>
      <c r="F4259" s="31" t="n">
        <v>45.5</v>
      </c>
      <c r="G4259" s="31" t="n">
        <v>71.5</v>
      </c>
      <c r="H4259" s="2" t="s">
        <v>671</v>
      </c>
    </row>
    <row r="4260" customFormat="false" ht="15" hidden="false" customHeight="false" outlineLevel="0" collapsed="false">
      <c r="A4260" s="2" t="s">
        <v>1187</v>
      </c>
      <c r="B4260" s="2" t="s">
        <v>46</v>
      </c>
      <c r="C4260" s="2" t="s">
        <v>4086</v>
      </c>
      <c r="D4260" s="11" t="n">
        <v>133430</v>
      </c>
      <c r="E4260" s="31" t="n">
        <v>72.7</v>
      </c>
      <c r="F4260" s="31" t="n">
        <v>45.2</v>
      </c>
      <c r="G4260" s="31" t="n">
        <v>94</v>
      </c>
      <c r="H4260" s="2" t="s">
        <v>668</v>
      </c>
    </row>
    <row r="4261" customFormat="false" ht="15" hidden="false" customHeight="false" outlineLevel="0" collapsed="false">
      <c r="A4261" s="2" t="s">
        <v>1187</v>
      </c>
      <c r="B4261" s="2" t="s">
        <v>46</v>
      </c>
      <c r="C4261" s="2" t="s">
        <v>4087</v>
      </c>
      <c r="D4261" s="11" t="n">
        <v>136886</v>
      </c>
      <c r="E4261" s="31" t="n">
        <v>94.1</v>
      </c>
      <c r="F4261" s="2"/>
      <c r="G4261" s="2"/>
      <c r="H4261" s="2" t="s">
        <v>668</v>
      </c>
    </row>
    <row r="4262" customFormat="false" ht="15" hidden="false" customHeight="false" outlineLevel="0" collapsed="false">
      <c r="A4262" s="2" t="s">
        <v>1187</v>
      </c>
      <c r="B4262" s="2" t="s">
        <v>47</v>
      </c>
      <c r="C4262" s="2" t="s">
        <v>4085</v>
      </c>
      <c r="D4262" s="11" t="n">
        <v>29114</v>
      </c>
      <c r="E4262" s="31" t="n">
        <v>55.5</v>
      </c>
      <c r="F4262" s="31" t="n">
        <v>74.2</v>
      </c>
      <c r="G4262" s="31" t="n">
        <v>4.4</v>
      </c>
      <c r="H4262" s="2" t="s">
        <v>671</v>
      </c>
    </row>
    <row r="4263" customFormat="false" ht="15" hidden="false" customHeight="false" outlineLevel="0" collapsed="false">
      <c r="A4263" s="2" t="s">
        <v>1187</v>
      </c>
      <c r="B4263" s="2" t="s">
        <v>47</v>
      </c>
      <c r="C4263" s="2" t="s">
        <v>4086</v>
      </c>
      <c r="D4263" s="11" t="n">
        <v>30190</v>
      </c>
      <c r="E4263" s="31" t="n">
        <v>35.6</v>
      </c>
      <c r="F4263" s="31" t="n">
        <v>67.5</v>
      </c>
      <c r="G4263" s="31" t="n">
        <v>37.6</v>
      </c>
      <c r="H4263" s="2" t="s">
        <v>671</v>
      </c>
    </row>
    <row r="4264" customFormat="false" ht="15" hidden="false" customHeight="false" outlineLevel="0" collapsed="false">
      <c r="A4264" s="2" t="s">
        <v>1187</v>
      </c>
      <c r="B4264" s="2" t="s">
        <v>47</v>
      </c>
      <c r="C4264" s="2" t="s">
        <v>4087</v>
      </c>
      <c r="D4264" s="11" t="n">
        <v>31294</v>
      </c>
      <c r="E4264" s="31" t="n">
        <v>67.3</v>
      </c>
      <c r="F4264" s="31" t="n">
        <v>67</v>
      </c>
      <c r="G4264" s="31" t="n">
        <v>3.8</v>
      </c>
      <c r="H4264" s="2" t="s">
        <v>671</v>
      </c>
    </row>
    <row r="4265" customFormat="false" ht="15" hidden="false" customHeight="false" outlineLevel="0" collapsed="false">
      <c r="A4265" s="2" t="s">
        <v>1279</v>
      </c>
      <c r="B4265" s="2" t="s">
        <v>4104</v>
      </c>
      <c r="C4265" s="2" t="s">
        <v>4085</v>
      </c>
      <c r="D4265" s="2"/>
      <c r="E4265" s="2"/>
      <c r="F4265" s="2"/>
      <c r="G4265" s="31" t="n">
        <v>81</v>
      </c>
      <c r="H4265" s="2" t="s">
        <v>668</v>
      </c>
    </row>
    <row r="4266" customFormat="false" ht="15" hidden="false" customHeight="false" outlineLevel="0" collapsed="false">
      <c r="A4266" s="2" t="s">
        <v>1279</v>
      </c>
      <c r="B4266" s="2" t="s">
        <v>4104</v>
      </c>
      <c r="C4266" s="2" t="s">
        <v>4086</v>
      </c>
      <c r="D4266" s="2"/>
      <c r="E4266" s="31" t="n">
        <v>18.9</v>
      </c>
      <c r="F4266" s="31" t="n">
        <v>98.6</v>
      </c>
      <c r="G4266" s="31" t="n">
        <v>17.7</v>
      </c>
      <c r="H4266" s="2" t="s">
        <v>671</v>
      </c>
    </row>
    <row r="4267" customFormat="false" ht="15" hidden="false" customHeight="false" outlineLevel="0" collapsed="false">
      <c r="A4267" s="2" t="s">
        <v>1279</v>
      </c>
      <c r="B4267" s="2" t="s">
        <v>4104</v>
      </c>
      <c r="C4267" s="2" t="s">
        <v>4087</v>
      </c>
      <c r="D4267" s="2"/>
      <c r="E4267" s="31" t="n">
        <v>16.7</v>
      </c>
      <c r="F4267" s="31" t="n">
        <v>92.1</v>
      </c>
      <c r="G4267" s="31" t="n">
        <v>35.9</v>
      </c>
      <c r="H4267" s="2" t="s">
        <v>668</v>
      </c>
    </row>
    <row r="4268" customFormat="false" ht="15" hidden="false" customHeight="false" outlineLevel="0" collapsed="false">
      <c r="A4268" s="2" t="s">
        <v>1279</v>
      </c>
      <c r="B4268" s="2" t="s">
        <v>45</v>
      </c>
      <c r="C4268" s="2" t="s">
        <v>4085</v>
      </c>
      <c r="D4268" s="2"/>
      <c r="E4268" s="2"/>
      <c r="F4268" s="2"/>
      <c r="G4268" s="31" t="n">
        <v>81</v>
      </c>
      <c r="H4268" s="2" t="s">
        <v>668</v>
      </c>
    </row>
    <row r="4269" customFormat="false" ht="15" hidden="false" customHeight="false" outlineLevel="0" collapsed="false">
      <c r="A4269" s="2" t="s">
        <v>1279</v>
      </c>
      <c r="B4269" s="2" t="s">
        <v>45</v>
      </c>
      <c r="C4269" s="2" t="s">
        <v>4086</v>
      </c>
      <c r="D4269" s="11" t="n">
        <v>29060</v>
      </c>
      <c r="E4269" s="31" t="n">
        <v>18.9</v>
      </c>
      <c r="F4269" s="31" t="n">
        <v>98.6</v>
      </c>
      <c r="G4269" s="31" t="n">
        <v>17.7</v>
      </c>
      <c r="H4269" s="2" t="s">
        <v>671</v>
      </c>
    </row>
    <row r="4270" customFormat="false" ht="15" hidden="false" customHeight="false" outlineLevel="0" collapsed="false">
      <c r="A4270" s="2" t="s">
        <v>1279</v>
      </c>
      <c r="B4270" s="2" t="s">
        <v>45</v>
      </c>
      <c r="C4270" s="2" t="s">
        <v>4087</v>
      </c>
      <c r="D4270" s="11" t="n">
        <v>32120</v>
      </c>
      <c r="E4270" s="31" t="n">
        <v>16.7</v>
      </c>
      <c r="F4270" s="31" t="n">
        <v>92.1</v>
      </c>
      <c r="G4270" s="31" t="n">
        <v>35.9</v>
      </c>
      <c r="H4270" s="2" t="s">
        <v>671</v>
      </c>
    </row>
    <row r="4271" customFormat="false" ht="15" hidden="false" customHeight="false" outlineLevel="0" collapsed="false">
      <c r="A4271" s="2" t="s">
        <v>318</v>
      </c>
      <c r="B4271" s="2" t="s">
        <v>4104</v>
      </c>
      <c r="C4271" s="2" t="s">
        <v>4085</v>
      </c>
      <c r="D4271" s="2"/>
      <c r="E4271" s="31" t="n">
        <v>66.9</v>
      </c>
      <c r="F4271" s="31" t="n">
        <v>56.4</v>
      </c>
      <c r="G4271" s="31" t="n">
        <v>79.1</v>
      </c>
      <c r="H4271" s="2" t="s">
        <v>668</v>
      </c>
    </row>
    <row r="4272" customFormat="false" ht="15" hidden="false" customHeight="false" outlineLevel="0" collapsed="false">
      <c r="A4272" s="2" t="s">
        <v>318</v>
      </c>
      <c r="B4272" s="2" t="s">
        <v>4104</v>
      </c>
      <c r="C4272" s="2" t="s">
        <v>4086</v>
      </c>
      <c r="D4272" s="2"/>
      <c r="E4272" s="31" t="n">
        <v>51.1</v>
      </c>
      <c r="F4272" s="31" t="n">
        <v>24</v>
      </c>
      <c r="G4272" s="31" t="n">
        <v>17.6</v>
      </c>
      <c r="H4272" s="2" t="s">
        <v>668</v>
      </c>
    </row>
    <row r="4273" customFormat="false" ht="15" hidden="false" customHeight="false" outlineLevel="0" collapsed="false">
      <c r="A4273" s="2" t="s">
        <v>318</v>
      </c>
      <c r="B4273" s="2" t="s">
        <v>4104</v>
      </c>
      <c r="C4273" s="2" t="s">
        <v>4087</v>
      </c>
      <c r="D4273" s="2"/>
      <c r="E4273" s="31" t="n">
        <v>56.2</v>
      </c>
      <c r="F4273" s="31" t="n">
        <v>53</v>
      </c>
      <c r="G4273" s="31" t="n">
        <v>45.6</v>
      </c>
      <c r="H4273" s="2" t="s">
        <v>671</v>
      </c>
    </row>
    <row r="4274" customFormat="false" ht="15" hidden="false" customHeight="false" outlineLevel="0" collapsed="false">
      <c r="A4274" s="2" t="s">
        <v>318</v>
      </c>
      <c r="B4274" s="2" t="s">
        <v>45</v>
      </c>
      <c r="C4274" s="2" t="s">
        <v>4085</v>
      </c>
      <c r="D4274" s="11" t="n">
        <v>45800</v>
      </c>
      <c r="E4274" s="31" t="n">
        <v>72.4</v>
      </c>
      <c r="F4274" s="31" t="n">
        <v>98.5</v>
      </c>
      <c r="G4274" s="31" t="n">
        <v>93.4</v>
      </c>
      <c r="H4274" s="2" t="s">
        <v>671</v>
      </c>
    </row>
    <row r="4275" customFormat="false" ht="15" hidden="false" customHeight="false" outlineLevel="0" collapsed="false">
      <c r="A4275" s="2" t="s">
        <v>318</v>
      </c>
      <c r="B4275" s="2" t="s">
        <v>45</v>
      </c>
      <c r="C4275" s="2" t="s">
        <v>4086</v>
      </c>
      <c r="D4275" s="2"/>
      <c r="E4275" s="2"/>
      <c r="F4275" s="2"/>
      <c r="G4275" s="2"/>
      <c r="H4275" s="2" t="s">
        <v>668</v>
      </c>
    </row>
    <row r="4276" customFormat="false" ht="15" hidden="false" customHeight="false" outlineLevel="0" collapsed="false">
      <c r="A4276" s="2" t="s">
        <v>318</v>
      </c>
      <c r="B4276" s="2" t="s">
        <v>45</v>
      </c>
      <c r="C4276" s="2" t="s">
        <v>4087</v>
      </c>
      <c r="D4276" s="11" t="n">
        <v>55200</v>
      </c>
      <c r="E4276" s="31" t="n">
        <v>56.6</v>
      </c>
      <c r="F4276" s="31" t="n">
        <v>99.2</v>
      </c>
      <c r="G4276" s="31" t="n">
        <v>83.4</v>
      </c>
      <c r="H4276" s="2" t="s">
        <v>671</v>
      </c>
    </row>
    <row r="4277" customFormat="false" ht="15" hidden="false" customHeight="false" outlineLevel="0" collapsed="false">
      <c r="A4277" s="2" t="s">
        <v>318</v>
      </c>
      <c r="B4277" s="2" t="s">
        <v>46</v>
      </c>
      <c r="C4277" s="2" t="s">
        <v>4085</v>
      </c>
      <c r="D4277" s="11" t="n">
        <v>89080</v>
      </c>
      <c r="E4277" s="31" t="n">
        <v>67.1</v>
      </c>
      <c r="F4277" s="31" t="n">
        <v>7.5</v>
      </c>
      <c r="G4277" s="2"/>
      <c r="H4277" s="2" t="s">
        <v>668</v>
      </c>
    </row>
    <row r="4278" customFormat="false" ht="15" hidden="false" customHeight="false" outlineLevel="0" collapsed="false">
      <c r="A4278" s="2" t="s">
        <v>318</v>
      </c>
      <c r="B4278" s="2" t="s">
        <v>46</v>
      </c>
      <c r="C4278" s="2" t="s">
        <v>4086</v>
      </c>
      <c r="D4278" s="11" t="n">
        <v>86490</v>
      </c>
      <c r="E4278" s="31" t="n">
        <v>66.8</v>
      </c>
      <c r="F4278" s="31" t="n">
        <v>2.9</v>
      </c>
      <c r="G4278" s="31" t="n">
        <v>23</v>
      </c>
      <c r="H4278" s="2" t="s">
        <v>671</v>
      </c>
    </row>
    <row r="4279" customFormat="false" ht="15" hidden="false" customHeight="false" outlineLevel="0" collapsed="false">
      <c r="A4279" s="2" t="s">
        <v>318</v>
      </c>
      <c r="B4279" s="2" t="s">
        <v>46</v>
      </c>
      <c r="C4279" s="2" t="s">
        <v>4087</v>
      </c>
      <c r="D4279" s="11" t="n">
        <v>85637</v>
      </c>
      <c r="E4279" s="31" t="n">
        <v>66.8</v>
      </c>
      <c r="F4279" s="31" t="n">
        <v>5</v>
      </c>
      <c r="G4279" s="31" t="n">
        <v>23.3</v>
      </c>
      <c r="H4279" s="2" t="s">
        <v>671</v>
      </c>
    </row>
    <row r="4280" customFormat="false" ht="15" hidden="false" customHeight="false" outlineLevel="0" collapsed="false">
      <c r="A4280" s="2" t="s">
        <v>318</v>
      </c>
      <c r="B4280" s="2" t="s">
        <v>47</v>
      </c>
      <c r="C4280" s="2" t="s">
        <v>4085</v>
      </c>
      <c r="D4280" s="11" t="n">
        <v>6282</v>
      </c>
      <c r="E4280" s="31" t="n">
        <v>61.1</v>
      </c>
      <c r="F4280" s="31" t="n">
        <v>63.3</v>
      </c>
      <c r="G4280" s="31" t="n">
        <v>64.7</v>
      </c>
      <c r="H4280" s="2" t="s">
        <v>671</v>
      </c>
    </row>
    <row r="4281" customFormat="false" ht="15" hidden="false" customHeight="false" outlineLevel="0" collapsed="false">
      <c r="A4281" s="2" t="s">
        <v>318</v>
      </c>
      <c r="B4281" s="2" t="s">
        <v>47</v>
      </c>
      <c r="C4281" s="2" t="s">
        <v>4086</v>
      </c>
      <c r="D4281" s="11" t="n">
        <v>6615</v>
      </c>
      <c r="E4281" s="31" t="n">
        <v>35.4</v>
      </c>
      <c r="F4281" s="31" t="n">
        <v>45</v>
      </c>
      <c r="G4281" s="31" t="n">
        <v>12.2</v>
      </c>
      <c r="H4281" s="2" t="s">
        <v>671</v>
      </c>
    </row>
    <row r="4282" customFormat="false" ht="15" hidden="false" customHeight="false" outlineLevel="0" collapsed="false">
      <c r="A4282" s="2" t="s">
        <v>318</v>
      </c>
      <c r="B4282" s="2" t="s">
        <v>47</v>
      </c>
      <c r="C4282" s="2" t="s">
        <v>4087</v>
      </c>
      <c r="D4282" s="11" t="n">
        <v>6778</v>
      </c>
      <c r="E4282" s="31" t="n">
        <v>45.1</v>
      </c>
      <c r="F4282" s="31" t="n">
        <v>54.7</v>
      </c>
      <c r="G4282" s="31" t="n">
        <v>30.1</v>
      </c>
      <c r="H4282" s="2" t="s">
        <v>671</v>
      </c>
    </row>
    <row r="4283" customFormat="false" ht="15" hidden="false" customHeight="false" outlineLevel="0" collapsed="false">
      <c r="A4283" s="2" t="s">
        <v>324</v>
      </c>
      <c r="B4283" s="2" t="s">
        <v>4104</v>
      </c>
      <c r="C4283" s="2" t="s">
        <v>4085</v>
      </c>
      <c r="D4283" s="2"/>
      <c r="E4283" s="31" t="n">
        <v>51.6</v>
      </c>
      <c r="F4283" s="31" t="n">
        <v>7.4</v>
      </c>
      <c r="G4283" s="31" t="n">
        <v>73.6</v>
      </c>
      <c r="H4283" s="2" t="s">
        <v>671</v>
      </c>
    </row>
    <row r="4284" customFormat="false" ht="15" hidden="false" customHeight="false" outlineLevel="0" collapsed="false">
      <c r="A4284" s="2" t="s">
        <v>324</v>
      </c>
      <c r="B4284" s="2" t="s">
        <v>4104</v>
      </c>
      <c r="C4284" s="2" t="s">
        <v>4086</v>
      </c>
      <c r="D4284" s="2"/>
      <c r="E4284" s="31" t="n">
        <v>9.8</v>
      </c>
      <c r="F4284" s="31" t="n">
        <v>13.4</v>
      </c>
      <c r="G4284" s="2"/>
      <c r="H4284" s="2" t="s">
        <v>668</v>
      </c>
    </row>
    <row r="4285" customFormat="false" ht="15" hidden="false" customHeight="false" outlineLevel="0" collapsed="false">
      <c r="A4285" s="2" t="s">
        <v>324</v>
      </c>
      <c r="B4285" s="2" t="s">
        <v>4104</v>
      </c>
      <c r="C4285" s="2" t="s">
        <v>4087</v>
      </c>
      <c r="D4285" s="2"/>
      <c r="E4285" s="31" t="n">
        <v>55.9</v>
      </c>
      <c r="F4285" s="31" t="n">
        <v>11</v>
      </c>
      <c r="G4285" s="31" t="n">
        <v>56.5</v>
      </c>
      <c r="H4285" s="2" t="s">
        <v>671</v>
      </c>
    </row>
    <row r="4286" customFormat="false" ht="15" hidden="false" customHeight="false" outlineLevel="0" collapsed="false">
      <c r="A4286" s="2" t="s">
        <v>324</v>
      </c>
      <c r="B4286" s="2" t="s">
        <v>46</v>
      </c>
      <c r="C4286" s="2" t="s">
        <v>4085</v>
      </c>
      <c r="D4286" s="11" t="n">
        <v>715570</v>
      </c>
      <c r="E4286" s="31" t="n">
        <v>23.7</v>
      </c>
      <c r="F4286" s="31" t="n">
        <v>10.9</v>
      </c>
      <c r="G4286" s="31" t="n">
        <v>82.6</v>
      </c>
      <c r="H4286" s="2" t="s">
        <v>671</v>
      </c>
    </row>
    <row r="4287" customFormat="false" ht="15" hidden="false" customHeight="false" outlineLevel="0" collapsed="false">
      <c r="A4287" s="2" t="s">
        <v>324</v>
      </c>
      <c r="B4287" s="2" t="s">
        <v>46</v>
      </c>
      <c r="C4287" s="2" t="s">
        <v>4086</v>
      </c>
      <c r="D4287" s="11" t="n">
        <v>714866</v>
      </c>
      <c r="E4287" s="31" t="n">
        <v>9.8</v>
      </c>
      <c r="F4287" s="31" t="n">
        <v>13.4</v>
      </c>
      <c r="G4287" s="2"/>
      <c r="H4287" s="2" t="s">
        <v>668</v>
      </c>
    </row>
    <row r="4288" customFormat="false" ht="15" hidden="false" customHeight="false" outlineLevel="0" collapsed="false">
      <c r="A4288" s="2" t="s">
        <v>324</v>
      </c>
      <c r="B4288" s="2" t="s">
        <v>46</v>
      </c>
      <c r="C4288" s="2" t="s">
        <v>4087</v>
      </c>
      <c r="D4288" s="11" t="n">
        <v>712210</v>
      </c>
      <c r="E4288" s="31" t="n">
        <v>22.6</v>
      </c>
      <c r="F4288" s="31" t="n">
        <v>14.6</v>
      </c>
      <c r="G4288" s="31" t="n">
        <v>49.2</v>
      </c>
      <c r="H4288" s="2" t="s">
        <v>671</v>
      </c>
    </row>
    <row r="4289" customFormat="false" ht="15" hidden="false" customHeight="false" outlineLevel="0" collapsed="false">
      <c r="A4289" s="2" t="s">
        <v>324</v>
      </c>
      <c r="B4289" s="2" t="s">
        <v>47</v>
      </c>
      <c r="C4289" s="2" t="s">
        <v>4085</v>
      </c>
      <c r="D4289" s="11" t="n">
        <v>54131</v>
      </c>
      <c r="E4289" s="31" t="n">
        <v>79.6</v>
      </c>
      <c r="F4289" s="31" t="n">
        <v>3.9</v>
      </c>
      <c r="G4289" s="31" t="n">
        <v>64.6</v>
      </c>
      <c r="H4289" s="2" t="s">
        <v>671</v>
      </c>
    </row>
    <row r="4290" customFormat="false" ht="15" hidden="false" customHeight="false" outlineLevel="0" collapsed="false">
      <c r="A4290" s="2" t="s">
        <v>324</v>
      </c>
      <c r="B4290" s="2" t="s">
        <v>47</v>
      </c>
      <c r="C4290" s="2" t="s">
        <v>4086</v>
      </c>
      <c r="D4290" s="2"/>
      <c r="E4290" s="2"/>
      <c r="F4290" s="2"/>
      <c r="G4290" s="2"/>
      <c r="H4290" s="2" t="s">
        <v>668</v>
      </c>
    </row>
    <row r="4291" customFormat="false" ht="15" hidden="false" customHeight="false" outlineLevel="0" collapsed="false">
      <c r="A4291" s="2" t="s">
        <v>324</v>
      </c>
      <c r="B4291" s="2" t="s">
        <v>47</v>
      </c>
      <c r="C4291" s="2" t="s">
        <v>4087</v>
      </c>
      <c r="D4291" s="11" t="n">
        <v>53154</v>
      </c>
      <c r="E4291" s="31" t="n">
        <v>89.2</v>
      </c>
      <c r="F4291" s="31" t="n">
        <v>7.4</v>
      </c>
      <c r="G4291" s="31" t="n">
        <v>63.8</v>
      </c>
      <c r="H4291" s="2" t="s">
        <v>671</v>
      </c>
    </row>
    <row r="4292" customFormat="false" ht="15" hidden="false" customHeight="false" outlineLevel="0" collapsed="false">
      <c r="A4292" s="2" t="s">
        <v>1654</v>
      </c>
      <c r="B4292" s="2" t="s">
        <v>4104</v>
      </c>
      <c r="C4292" s="2" t="s">
        <v>4085</v>
      </c>
      <c r="D4292" s="2"/>
      <c r="E4292" s="31" t="n">
        <v>59.9</v>
      </c>
      <c r="F4292" s="31" t="n">
        <v>63.2</v>
      </c>
      <c r="G4292" s="31" t="n">
        <v>83</v>
      </c>
      <c r="H4292" s="2" t="s">
        <v>668</v>
      </c>
    </row>
    <row r="4293" customFormat="false" ht="15" hidden="false" customHeight="false" outlineLevel="0" collapsed="false">
      <c r="A4293" s="2" t="s">
        <v>1654</v>
      </c>
      <c r="B4293" s="2" t="s">
        <v>4104</v>
      </c>
      <c r="C4293" s="2" t="s">
        <v>4086</v>
      </c>
      <c r="D4293" s="2"/>
      <c r="E4293" s="31" t="n">
        <v>86.7</v>
      </c>
      <c r="F4293" s="31" t="n">
        <v>65.2</v>
      </c>
      <c r="G4293" s="31" t="n">
        <v>61.8</v>
      </c>
      <c r="H4293" s="2" t="s">
        <v>671</v>
      </c>
    </row>
    <row r="4294" customFormat="false" ht="15" hidden="false" customHeight="false" outlineLevel="0" collapsed="false">
      <c r="A4294" s="2" t="s">
        <v>1654</v>
      </c>
      <c r="B4294" s="2" t="s">
        <v>4104</v>
      </c>
      <c r="C4294" s="2" t="s">
        <v>4087</v>
      </c>
      <c r="D4294" s="2"/>
      <c r="E4294" s="31" t="n">
        <v>75.2</v>
      </c>
      <c r="F4294" s="31" t="n">
        <v>72.4</v>
      </c>
      <c r="G4294" s="31" t="n">
        <v>37.5</v>
      </c>
      <c r="H4294" s="2" t="s">
        <v>668</v>
      </c>
    </row>
    <row r="4295" customFormat="false" ht="15" hidden="false" customHeight="false" outlineLevel="0" collapsed="false">
      <c r="A4295" s="2" t="s">
        <v>1654</v>
      </c>
      <c r="B4295" s="2" t="s">
        <v>45</v>
      </c>
      <c r="C4295" s="2" t="s">
        <v>4085</v>
      </c>
      <c r="D4295" s="11" t="n">
        <v>3060</v>
      </c>
      <c r="E4295" s="31" t="n">
        <v>94</v>
      </c>
      <c r="F4295" s="31" t="n">
        <v>71</v>
      </c>
      <c r="G4295" s="31" t="n">
        <v>70.5</v>
      </c>
      <c r="H4295" s="2" t="s">
        <v>671</v>
      </c>
    </row>
    <row r="4296" customFormat="false" ht="15" hidden="false" customHeight="false" outlineLevel="0" collapsed="false">
      <c r="A4296" s="2" t="s">
        <v>1654</v>
      </c>
      <c r="B4296" s="2" t="s">
        <v>45</v>
      </c>
      <c r="C4296" s="2" t="s">
        <v>4086</v>
      </c>
      <c r="D4296" s="11" t="n">
        <v>3140</v>
      </c>
      <c r="E4296" s="31" t="n">
        <v>98.1</v>
      </c>
      <c r="F4296" s="31" t="n">
        <v>67.6</v>
      </c>
      <c r="G4296" s="31" t="n">
        <v>87.2</v>
      </c>
      <c r="H4296" s="2" t="s">
        <v>671</v>
      </c>
    </row>
    <row r="4297" customFormat="false" ht="15" hidden="false" customHeight="false" outlineLevel="0" collapsed="false">
      <c r="A4297" s="2" t="s">
        <v>1654</v>
      </c>
      <c r="B4297" s="2" t="s">
        <v>45</v>
      </c>
      <c r="C4297" s="2" t="s">
        <v>4087</v>
      </c>
      <c r="D4297" s="2"/>
      <c r="E4297" s="2"/>
      <c r="F4297" s="2"/>
      <c r="G4297" s="2"/>
      <c r="H4297" s="2" t="s">
        <v>668</v>
      </c>
    </row>
    <row r="4298" customFormat="false" ht="15" hidden="false" customHeight="false" outlineLevel="0" collapsed="false">
      <c r="A4298" s="2" t="s">
        <v>1654</v>
      </c>
      <c r="B4298" s="2" t="s">
        <v>46</v>
      </c>
      <c r="C4298" s="2" t="s">
        <v>4085</v>
      </c>
      <c r="D4298" s="11" t="n">
        <v>99580</v>
      </c>
      <c r="E4298" s="31" t="n">
        <v>25.8</v>
      </c>
      <c r="F4298" s="31" t="n">
        <v>55.4</v>
      </c>
      <c r="G4298" s="31" t="n">
        <v>95.4</v>
      </c>
      <c r="H4298" s="2" t="s">
        <v>671</v>
      </c>
    </row>
    <row r="4299" customFormat="false" ht="15" hidden="false" customHeight="false" outlineLevel="0" collapsed="false">
      <c r="A4299" s="2" t="s">
        <v>1654</v>
      </c>
      <c r="B4299" s="2" t="s">
        <v>46</v>
      </c>
      <c r="C4299" s="2" t="s">
        <v>4086</v>
      </c>
      <c r="D4299" s="11" t="n">
        <v>96100</v>
      </c>
      <c r="E4299" s="31" t="n">
        <v>65.2</v>
      </c>
      <c r="F4299" s="31" t="n">
        <v>32.4</v>
      </c>
      <c r="G4299" s="31" t="n">
        <v>10.2</v>
      </c>
      <c r="H4299" s="2" t="s">
        <v>671</v>
      </c>
    </row>
    <row r="4300" customFormat="false" ht="15" hidden="false" customHeight="false" outlineLevel="0" collapsed="false">
      <c r="A4300" s="2" t="s">
        <v>1654</v>
      </c>
      <c r="B4300" s="2" t="s">
        <v>46</v>
      </c>
      <c r="C4300" s="2" t="s">
        <v>4087</v>
      </c>
      <c r="D4300" s="11" t="n">
        <v>97360</v>
      </c>
      <c r="E4300" s="31" t="n">
        <v>53.5</v>
      </c>
      <c r="F4300" s="31" t="n">
        <v>47.3</v>
      </c>
      <c r="G4300" s="31" t="n">
        <v>4.9</v>
      </c>
      <c r="H4300" s="2" t="s">
        <v>671</v>
      </c>
    </row>
    <row r="4301" customFormat="false" ht="15" hidden="false" customHeight="false" outlineLevel="0" collapsed="false">
      <c r="A4301" s="2" t="s">
        <v>1654</v>
      </c>
      <c r="B4301" s="2" t="s">
        <v>47</v>
      </c>
      <c r="C4301" s="2" t="s">
        <v>4085</v>
      </c>
      <c r="D4301" s="2"/>
      <c r="E4301" s="2"/>
      <c r="F4301" s="2"/>
      <c r="G4301" s="2"/>
      <c r="H4301" s="2" t="s">
        <v>668</v>
      </c>
    </row>
    <row r="4302" customFormat="false" ht="15" hidden="false" customHeight="false" outlineLevel="0" collapsed="false">
      <c r="A4302" s="2" t="s">
        <v>1654</v>
      </c>
      <c r="B4302" s="2" t="s">
        <v>47</v>
      </c>
      <c r="C4302" s="2" t="s">
        <v>4086</v>
      </c>
      <c r="D4302" s="11" t="n">
        <v>18043</v>
      </c>
      <c r="E4302" s="31" t="n">
        <v>96.8</v>
      </c>
      <c r="F4302" s="31" t="n">
        <v>95.5</v>
      </c>
      <c r="G4302" s="31" t="n">
        <v>88</v>
      </c>
      <c r="H4302" s="2" t="s">
        <v>671</v>
      </c>
    </row>
    <row r="4303" customFormat="false" ht="15" hidden="false" customHeight="false" outlineLevel="0" collapsed="false">
      <c r="A4303" s="2" t="s">
        <v>1654</v>
      </c>
      <c r="B4303" s="2" t="s">
        <v>47</v>
      </c>
      <c r="C4303" s="2" t="s">
        <v>4087</v>
      </c>
      <c r="D4303" s="11" t="n">
        <v>19040</v>
      </c>
      <c r="E4303" s="31" t="n">
        <v>96.8</v>
      </c>
      <c r="F4303" s="31" t="n">
        <v>97.5</v>
      </c>
      <c r="G4303" s="31" t="n">
        <v>70.1</v>
      </c>
      <c r="H4303" s="2" t="s">
        <v>671</v>
      </c>
    </row>
    <row r="4304" customFormat="false" ht="15" hidden="false" customHeight="false" outlineLevel="0" collapsed="false">
      <c r="A4304" s="2" t="s">
        <v>240</v>
      </c>
      <c r="B4304" s="2" t="s">
        <v>4104</v>
      </c>
      <c r="C4304" s="2" t="s">
        <v>4085</v>
      </c>
      <c r="D4304" s="2"/>
      <c r="E4304" s="31" t="n">
        <v>67.8</v>
      </c>
      <c r="F4304" s="31" t="n">
        <v>41.6</v>
      </c>
      <c r="G4304" s="31" t="n">
        <v>83.4</v>
      </c>
      <c r="H4304" s="2" t="s">
        <v>671</v>
      </c>
    </row>
    <row r="4305" customFormat="false" ht="15" hidden="false" customHeight="false" outlineLevel="0" collapsed="false">
      <c r="A4305" s="2" t="s">
        <v>240</v>
      </c>
      <c r="B4305" s="2" t="s">
        <v>4104</v>
      </c>
      <c r="C4305" s="2" t="s">
        <v>4086</v>
      </c>
      <c r="D4305" s="2"/>
      <c r="E4305" s="31" t="n">
        <v>76.3</v>
      </c>
      <c r="F4305" s="31" t="n">
        <v>39.8</v>
      </c>
      <c r="G4305" s="31" t="n">
        <v>82.7</v>
      </c>
      <c r="H4305" s="2" t="s">
        <v>671</v>
      </c>
    </row>
    <row r="4306" customFormat="false" ht="15" hidden="false" customHeight="false" outlineLevel="0" collapsed="false">
      <c r="A4306" s="2" t="s">
        <v>240</v>
      </c>
      <c r="B4306" s="2" t="s">
        <v>4104</v>
      </c>
      <c r="C4306" s="2" t="s">
        <v>4087</v>
      </c>
      <c r="D4306" s="2"/>
      <c r="E4306" s="31" t="n">
        <v>65.3</v>
      </c>
      <c r="F4306" s="31" t="n">
        <v>38.1</v>
      </c>
      <c r="G4306" s="31" t="n">
        <v>75.7</v>
      </c>
      <c r="H4306" s="2" t="s">
        <v>671</v>
      </c>
    </row>
    <row r="4307" customFormat="false" ht="15" hidden="false" customHeight="false" outlineLevel="0" collapsed="false">
      <c r="A4307" s="2" t="s">
        <v>240</v>
      </c>
      <c r="B4307" s="2" t="s">
        <v>45</v>
      </c>
      <c r="C4307" s="2" t="s">
        <v>4085</v>
      </c>
      <c r="D4307" s="11" t="n">
        <v>19120</v>
      </c>
      <c r="E4307" s="31" t="n">
        <v>73.6</v>
      </c>
      <c r="F4307" s="31" t="n">
        <v>33.2</v>
      </c>
      <c r="G4307" s="31" t="n">
        <v>88.8</v>
      </c>
      <c r="H4307" s="2" t="s">
        <v>671</v>
      </c>
    </row>
    <row r="4308" customFormat="false" ht="15" hidden="false" customHeight="false" outlineLevel="0" collapsed="false">
      <c r="A4308" s="2" t="s">
        <v>240</v>
      </c>
      <c r="B4308" s="2" t="s">
        <v>45</v>
      </c>
      <c r="C4308" s="2" t="s">
        <v>4086</v>
      </c>
      <c r="D4308" s="11" t="n">
        <v>19750</v>
      </c>
      <c r="E4308" s="31" t="n">
        <v>86.4</v>
      </c>
      <c r="F4308" s="31" t="n">
        <v>33.7</v>
      </c>
      <c r="G4308" s="31" t="n">
        <v>67.8</v>
      </c>
      <c r="H4308" s="2" t="s">
        <v>671</v>
      </c>
    </row>
    <row r="4309" customFormat="false" ht="15" hidden="false" customHeight="false" outlineLevel="0" collapsed="false">
      <c r="A4309" s="2" t="s">
        <v>240</v>
      </c>
      <c r="B4309" s="2" t="s">
        <v>45</v>
      </c>
      <c r="C4309" s="2" t="s">
        <v>4087</v>
      </c>
      <c r="D4309" s="11" t="n">
        <v>20080</v>
      </c>
      <c r="E4309" s="31" t="n">
        <v>82.1</v>
      </c>
      <c r="F4309" s="31" t="n">
        <v>28.6</v>
      </c>
      <c r="G4309" s="31" t="n">
        <v>63.8</v>
      </c>
      <c r="H4309" s="2" t="s">
        <v>671</v>
      </c>
    </row>
    <row r="4310" customFormat="false" ht="15" hidden="false" customHeight="false" outlineLevel="0" collapsed="false">
      <c r="A4310" s="2" t="s">
        <v>240</v>
      </c>
      <c r="B4310" s="2" t="s">
        <v>46</v>
      </c>
      <c r="C4310" s="2" t="s">
        <v>4085</v>
      </c>
      <c r="D4310" s="11" t="n">
        <v>14280</v>
      </c>
      <c r="E4310" s="31" t="n">
        <v>98.4</v>
      </c>
      <c r="F4310" s="31" t="n">
        <v>37.8</v>
      </c>
      <c r="G4310" s="31" t="n">
        <v>89.3</v>
      </c>
      <c r="H4310" s="2" t="s">
        <v>671</v>
      </c>
    </row>
    <row r="4311" customFormat="false" ht="15" hidden="false" customHeight="false" outlineLevel="0" collapsed="false">
      <c r="A4311" s="2" t="s">
        <v>240</v>
      </c>
      <c r="B4311" s="2" t="s">
        <v>46</v>
      </c>
      <c r="C4311" s="2" t="s">
        <v>4086</v>
      </c>
      <c r="D4311" s="11" t="n">
        <v>14820</v>
      </c>
      <c r="E4311" s="31" t="n">
        <v>95.3</v>
      </c>
      <c r="F4311" s="31" t="n">
        <v>58.2</v>
      </c>
      <c r="G4311" s="31" t="n">
        <v>87.4</v>
      </c>
      <c r="H4311" s="2" t="s">
        <v>671</v>
      </c>
    </row>
    <row r="4312" customFormat="false" ht="15" hidden="false" customHeight="false" outlineLevel="0" collapsed="false">
      <c r="A4312" s="2" t="s">
        <v>240</v>
      </c>
      <c r="B4312" s="2" t="s">
        <v>46</v>
      </c>
      <c r="C4312" s="2" t="s">
        <v>4087</v>
      </c>
      <c r="D4312" s="11" t="n">
        <v>15286</v>
      </c>
      <c r="E4312" s="31" t="n">
        <v>96.6</v>
      </c>
      <c r="F4312" s="31" t="n">
        <v>40.2</v>
      </c>
      <c r="G4312" s="31" t="n">
        <v>97.9</v>
      </c>
      <c r="H4312" s="2" t="s">
        <v>671</v>
      </c>
    </row>
    <row r="4313" customFormat="false" ht="15" hidden="false" customHeight="false" outlineLevel="0" collapsed="false">
      <c r="A4313" s="2" t="s">
        <v>240</v>
      </c>
      <c r="B4313" s="2" t="s">
        <v>47</v>
      </c>
      <c r="C4313" s="2" t="s">
        <v>4085</v>
      </c>
      <c r="D4313" s="11" t="n">
        <v>12743</v>
      </c>
      <c r="E4313" s="31" t="n">
        <v>31.3</v>
      </c>
      <c r="F4313" s="31" t="n">
        <v>53.9</v>
      </c>
      <c r="G4313" s="31" t="n">
        <v>72.1</v>
      </c>
      <c r="H4313" s="2" t="s">
        <v>671</v>
      </c>
    </row>
    <row r="4314" customFormat="false" ht="15" hidden="false" customHeight="false" outlineLevel="0" collapsed="false">
      <c r="A4314" s="2" t="s">
        <v>240</v>
      </c>
      <c r="B4314" s="2" t="s">
        <v>47</v>
      </c>
      <c r="C4314" s="2" t="s">
        <v>4086</v>
      </c>
      <c r="D4314" s="11" t="n">
        <v>13534</v>
      </c>
      <c r="E4314" s="31" t="n">
        <v>47.1</v>
      </c>
      <c r="F4314" s="31" t="n">
        <v>27.6</v>
      </c>
      <c r="G4314" s="31" t="n">
        <v>92.8</v>
      </c>
      <c r="H4314" s="2" t="s">
        <v>671</v>
      </c>
    </row>
    <row r="4315" customFormat="false" ht="15" hidden="false" customHeight="false" outlineLevel="0" collapsed="false">
      <c r="A4315" s="2" t="s">
        <v>240</v>
      </c>
      <c r="B4315" s="2" t="s">
        <v>47</v>
      </c>
      <c r="C4315" s="2" t="s">
        <v>4087</v>
      </c>
      <c r="D4315" s="11" t="n">
        <v>13484</v>
      </c>
      <c r="E4315" s="31" t="n">
        <v>17.1</v>
      </c>
      <c r="F4315" s="31" t="n">
        <v>45.4</v>
      </c>
      <c r="G4315" s="31" t="n">
        <v>65.5</v>
      </c>
      <c r="H4315" s="2" t="s">
        <v>671</v>
      </c>
    </row>
    <row r="4316" customFormat="false" ht="15" hidden="false" customHeight="false" outlineLevel="0" collapsed="false">
      <c r="A4316" s="2" t="s">
        <v>464</v>
      </c>
      <c r="B4316" s="2" t="s">
        <v>4104</v>
      </c>
      <c r="C4316" s="2" t="s">
        <v>4085</v>
      </c>
      <c r="D4316" s="2"/>
      <c r="E4316" s="31" t="n">
        <v>31.8</v>
      </c>
      <c r="F4316" s="31" t="n">
        <v>64.8</v>
      </c>
      <c r="G4316" s="31" t="n">
        <v>91.4</v>
      </c>
      <c r="H4316" s="2" t="s">
        <v>668</v>
      </c>
    </row>
    <row r="4317" customFormat="false" ht="15" hidden="false" customHeight="false" outlineLevel="0" collapsed="false">
      <c r="A4317" s="2" t="s">
        <v>464</v>
      </c>
      <c r="B4317" s="2" t="s">
        <v>4104</v>
      </c>
      <c r="C4317" s="2" t="s">
        <v>4086</v>
      </c>
      <c r="D4317" s="2"/>
      <c r="E4317" s="31" t="n">
        <v>49.8</v>
      </c>
      <c r="F4317" s="31" t="n">
        <v>42.4</v>
      </c>
      <c r="G4317" s="31" t="n">
        <v>68.8</v>
      </c>
      <c r="H4317" s="2" t="s">
        <v>668</v>
      </c>
    </row>
    <row r="4318" customFormat="false" ht="15" hidden="false" customHeight="false" outlineLevel="0" collapsed="false">
      <c r="A4318" s="2" t="s">
        <v>464</v>
      </c>
      <c r="B4318" s="2" t="s">
        <v>4104</v>
      </c>
      <c r="C4318" s="2" t="s">
        <v>4087</v>
      </c>
      <c r="D4318" s="2"/>
      <c r="E4318" s="31" t="n">
        <v>40</v>
      </c>
      <c r="F4318" s="31" t="n">
        <v>56.8</v>
      </c>
      <c r="G4318" s="31" t="n">
        <v>64.5</v>
      </c>
      <c r="H4318" s="2" t="s">
        <v>671</v>
      </c>
    </row>
    <row r="4319" customFormat="false" ht="15" hidden="false" customHeight="false" outlineLevel="0" collapsed="false">
      <c r="A4319" s="2" t="s">
        <v>464</v>
      </c>
      <c r="B4319" s="2" t="s">
        <v>45</v>
      </c>
      <c r="C4319" s="2" t="s">
        <v>4085</v>
      </c>
      <c r="D4319" s="11" t="n">
        <v>75497</v>
      </c>
      <c r="E4319" s="31" t="n">
        <v>58.8</v>
      </c>
      <c r="F4319" s="31" t="n">
        <v>32.8</v>
      </c>
      <c r="G4319" s="2"/>
      <c r="H4319" s="2" t="s">
        <v>668</v>
      </c>
    </row>
    <row r="4320" customFormat="false" ht="15" hidden="false" customHeight="false" outlineLevel="0" collapsed="false">
      <c r="A4320" s="2" t="s">
        <v>464</v>
      </c>
      <c r="B4320" s="2" t="s">
        <v>45</v>
      </c>
      <c r="C4320" s="2" t="s">
        <v>4086</v>
      </c>
      <c r="D4320" s="11" t="n">
        <v>75250</v>
      </c>
      <c r="E4320" s="31" t="n">
        <v>82</v>
      </c>
      <c r="F4320" s="31" t="n">
        <v>35.7</v>
      </c>
      <c r="G4320" s="31" t="n">
        <v>63.2</v>
      </c>
      <c r="H4320" s="2" t="s">
        <v>671</v>
      </c>
    </row>
    <row r="4321" customFormat="false" ht="15" hidden="false" customHeight="false" outlineLevel="0" collapsed="false">
      <c r="A4321" s="2" t="s">
        <v>464</v>
      </c>
      <c r="B4321" s="2" t="s">
        <v>45</v>
      </c>
      <c r="C4321" s="2" t="s">
        <v>4087</v>
      </c>
      <c r="D4321" s="11" t="n">
        <v>80518</v>
      </c>
      <c r="E4321" s="31" t="n">
        <v>84.8</v>
      </c>
      <c r="F4321" s="31" t="n">
        <v>34.9</v>
      </c>
      <c r="G4321" s="31" t="n">
        <v>73.2</v>
      </c>
      <c r="H4321" s="2" t="s">
        <v>671</v>
      </c>
    </row>
    <row r="4322" customFormat="false" ht="15" hidden="false" customHeight="false" outlineLevel="0" collapsed="false">
      <c r="A4322" s="2" t="s">
        <v>464</v>
      </c>
      <c r="B4322" s="2" t="s">
        <v>46</v>
      </c>
      <c r="C4322" s="2" t="s">
        <v>4085</v>
      </c>
      <c r="D4322" s="11" t="n">
        <v>140197</v>
      </c>
      <c r="E4322" s="31" t="n">
        <v>22.5</v>
      </c>
      <c r="F4322" s="31" t="n">
        <v>94.9</v>
      </c>
      <c r="G4322" s="31" t="n">
        <v>86.3</v>
      </c>
      <c r="H4322" s="2" t="s">
        <v>671</v>
      </c>
    </row>
    <row r="4323" customFormat="false" ht="15" hidden="false" customHeight="false" outlineLevel="0" collapsed="false">
      <c r="A4323" s="2" t="s">
        <v>464</v>
      </c>
      <c r="B4323" s="2" t="s">
        <v>46</v>
      </c>
      <c r="C4323" s="2" t="s">
        <v>4086</v>
      </c>
      <c r="D4323" s="2"/>
      <c r="E4323" s="2"/>
      <c r="F4323" s="2"/>
      <c r="G4323" s="2"/>
      <c r="H4323" s="2" t="s">
        <v>668</v>
      </c>
    </row>
    <row r="4324" customFormat="false" ht="15" hidden="false" customHeight="false" outlineLevel="0" collapsed="false">
      <c r="A4324" s="2" t="s">
        <v>464</v>
      </c>
      <c r="B4324" s="2" t="s">
        <v>46</v>
      </c>
      <c r="C4324" s="2" t="s">
        <v>4087</v>
      </c>
      <c r="D4324" s="11" t="n">
        <v>157120</v>
      </c>
      <c r="E4324" s="31" t="n">
        <v>18.4</v>
      </c>
      <c r="F4324" s="31" t="n">
        <v>92.1</v>
      </c>
      <c r="G4324" s="31" t="n">
        <v>72.5</v>
      </c>
      <c r="H4324" s="2" t="s">
        <v>671</v>
      </c>
    </row>
    <row r="4325" customFormat="false" ht="15" hidden="false" customHeight="false" outlineLevel="0" collapsed="false">
      <c r="A4325" s="2" t="s">
        <v>464</v>
      </c>
      <c r="B4325" s="2" t="s">
        <v>47</v>
      </c>
      <c r="C4325" s="2" t="s">
        <v>4085</v>
      </c>
      <c r="D4325" s="11" t="n">
        <v>235861</v>
      </c>
      <c r="E4325" s="31" t="n">
        <v>14</v>
      </c>
      <c r="F4325" s="31" t="n">
        <v>66.7</v>
      </c>
      <c r="G4325" s="31" t="n">
        <v>96.5</v>
      </c>
      <c r="H4325" s="2" t="s">
        <v>668</v>
      </c>
    </row>
    <row r="4326" customFormat="false" ht="15" hidden="false" customHeight="false" outlineLevel="0" collapsed="false">
      <c r="A4326" s="2" t="s">
        <v>464</v>
      </c>
      <c r="B4326" s="2" t="s">
        <v>47</v>
      </c>
      <c r="C4326" s="2" t="s">
        <v>4086</v>
      </c>
      <c r="D4326" s="11" t="n">
        <v>243858</v>
      </c>
      <c r="E4326" s="31" t="n">
        <v>17.5</v>
      </c>
      <c r="F4326" s="31" t="n">
        <v>49.1</v>
      </c>
      <c r="G4326" s="31" t="n">
        <v>74.4</v>
      </c>
      <c r="H4326" s="2" t="s">
        <v>671</v>
      </c>
    </row>
    <row r="4327" customFormat="false" ht="15" hidden="false" customHeight="false" outlineLevel="0" collapsed="false">
      <c r="A4327" s="2" t="s">
        <v>464</v>
      </c>
      <c r="B4327" s="2" t="s">
        <v>47</v>
      </c>
      <c r="C4327" s="2" t="s">
        <v>4087</v>
      </c>
      <c r="D4327" s="11" t="n">
        <v>250972</v>
      </c>
      <c r="E4327" s="31" t="n">
        <v>16.7</v>
      </c>
      <c r="F4327" s="31" t="n">
        <v>43.4</v>
      </c>
      <c r="G4327" s="31" t="n">
        <v>47.8</v>
      </c>
      <c r="H4327" s="2" t="s">
        <v>671</v>
      </c>
    </row>
    <row r="4328" customFormat="false" ht="15" hidden="false" customHeight="false" outlineLevel="0" collapsed="false">
      <c r="A4328" s="2" t="s">
        <v>929</v>
      </c>
      <c r="B4328" s="2" t="s">
        <v>4104</v>
      </c>
      <c r="C4328" s="2" t="s">
        <v>4085</v>
      </c>
      <c r="D4328" s="2"/>
      <c r="E4328" s="31" t="n">
        <v>55.7</v>
      </c>
      <c r="F4328" s="31" t="n">
        <v>58.9</v>
      </c>
      <c r="G4328" s="31" t="n">
        <v>42.7</v>
      </c>
      <c r="H4328" s="2" t="s">
        <v>668</v>
      </c>
    </row>
    <row r="4329" customFormat="false" ht="15" hidden="false" customHeight="false" outlineLevel="0" collapsed="false">
      <c r="A4329" s="2" t="s">
        <v>929</v>
      </c>
      <c r="B4329" s="2" t="s">
        <v>4104</v>
      </c>
      <c r="C4329" s="2" t="s">
        <v>4086</v>
      </c>
      <c r="D4329" s="2"/>
      <c r="E4329" s="31" t="n">
        <v>74</v>
      </c>
      <c r="F4329" s="31" t="n">
        <v>57.6</v>
      </c>
      <c r="G4329" s="31" t="n">
        <v>60.6</v>
      </c>
      <c r="H4329" s="2" t="s">
        <v>668</v>
      </c>
    </row>
    <row r="4330" customFormat="false" ht="15" hidden="false" customHeight="false" outlineLevel="0" collapsed="false">
      <c r="A4330" s="2" t="s">
        <v>929</v>
      </c>
      <c r="B4330" s="2" t="s">
        <v>4104</v>
      </c>
      <c r="C4330" s="2" t="s">
        <v>4087</v>
      </c>
      <c r="D4330" s="2"/>
      <c r="E4330" s="31" t="n">
        <v>64.2</v>
      </c>
      <c r="F4330" s="31" t="n">
        <v>66.2</v>
      </c>
      <c r="G4330" s="31" t="n">
        <v>57</v>
      </c>
      <c r="H4330" s="2" t="s">
        <v>668</v>
      </c>
    </row>
    <row r="4331" customFormat="false" ht="15" hidden="false" customHeight="false" outlineLevel="0" collapsed="false">
      <c r="A4331" s="2" t="s">
        <v>929</v>
      </c>
      <c r="B4331" s="2" t="s">
        <v>45</v>
      </c>
      <c r="C4331" s="2" t="s">
        <v>4085</v>
      </c>
      <c r="D4331" s="11" t="n">
        <v>267990</v>
      </c>
      <c r="E4331" s="31" t="n">
        <v>55.7</v>
      </c>
      <c r="F4331" s="31" t="n">
        <v>58.9</v>
      </c>
      <c r="G4331" s="31" t="n">
        <v>42.7</v>
      </c>
      <c r="H4331" s="2" t="s">
        <v>671</v>
      </c>
    </row>
    <row r="4332" customFormat="false" ht="15" hidden="false" customHeight="false" outlineLevel="0" collapsed="false">
      <c r="A4332" s="2" t="s">
        <v>929</v>
      </c>
      <c r="B4332" s="2" t="s">
        <v>45</v>
      </c>
      <c r="C4332" s="2" t="s">
        <v>4086</v>
      </c>
      <c r="D4332" s="11" t="n">
        <v>277050</v>
      </c>
      <c r="E4332" s="31" t="n">
        <v>74.3</v>
      </c>
      <c r="F4332" s="31" t="n">
        <v>65</v>
      </c>
      <c r="G4332" s="31" t="n">
        <v>60.6</v>
      </c>
      <c r="H4332" s="2" t="s">
        <v>671</v>
      </c>
    </row>
    <row r="4333" customFormat="false" ht="15" hidden="false" customHeight="false" outlineLevel="0" collapsed="false">
      <c r="A4333" s="2" t="s">
        <v>929</v>
      </c>
      <c r="B4333" s="2" t="s">
        <v>45</v>
      </c>
      <c r="C4333" s="2" t="s">
        <v>4087</v>
      </c>
      <c r="D4333" s="11" t="n">
        <v>289008</v>
      </c>
      <c r="E4333" s="31" t="n">
        <v>65</v>
      </c>
      <c r="F4333" s="31" t="n">
        <v>80.4</v>
      </c>
      <c r="G4333" s="31" t="n">
        <v>40.6</v>
      </c>
      <c r="H4333" s="2" t="s">
        <v>671</v>
      </c>
    </row>
    <row r="4334" customFormat="false" ht="15" hidden="false" customHeight="false" outlineLevel="0" collapsed="false">
      <c r="A4334" s="2" t="s">
        <v>929</v>
      </c>
      <c r="B4334" s="2" t="s">
        <v>46</v>
      </c>
      <c r="C4334" s="2" t="s">
        <v>4085</v>
      </c>
      <c r="D4334" s="2"/>
      <c r="E4334" s="2"/>
      <c r="F4334" s="2"/>
      <c r="G4334" s="2"/>
      <c r="H4334" s="2" t="s">
        <v>668</v>
      </c>
    </row>
    <row r="4335" customFormat="false" ht="15" hidden="false" customHeight="false" outlineLevel="0" collapsed="false">
      <c r="A4335" s="2" t="s">
        <v>929</v>
      </c>
      <c r="B4335" s="2" t="s">
        <v>46</v>
      </c>
      <c r="C4335" s="2" t="s">
        <v>4086</v>
      </c>
      <c r="D4335" s="2"/>
      <c r="E4335" s="2"/>
      <c r="F4335" s="2"/>
      <c r="G4335" s="2"/>
      <c r="H4335" s="2" t="s">
        <v>668</v>
      </c>
    </row>
    <row r="4336" customFormat="false" ht="15" hidden="false" customHeight="false" outlineLevel="0" collapsed="false">
      <c r="A4336" s="2" t="s">
        <v>929</v>
      </c>
      <c r="B4336" s="2" t="s">
        <v>46</v>
      </c>
      <c r="C4336" s="2" t="s">
        <v>4087</v>
      </c>
      <c r="D4336" s="11" t="n">
        <v>419760</v>
      </c>
      <c r="E4336" s="31" t="n">
        <v>81.4</v>
      </c>
      <c r="F4336" s="31" t="n">
        <v>46.4</v>
      </c>
      <c r="G4336" s="2"/>
      <c r="H4336" s="2" t="s">
        <v>668</v>
      </c>
    </row>
    <row r="4337" customFormat="false" ht="15" hidden="false" customHeight="false" outlineLevel="0" collapsed="false">
      <c r="A4337" s="2" t="s">
        <v>929</v>
      </c>
      <c r="B4337" s="2" t="s">
        <v>47</v>
      </c>
      <c r="C4337" s="2" t="s">
        <v>4085</v>
      </c>
      <c r="D4337" s="2"/>
      <c r="E4337" s="2"/>
      <c r="F4337" s="2"/>
      <c r="G4337" s="2"/>
      <c r="H4337" s="2" t="s">
        <v>668</v>
      </c>
    </row>
    <row r="4338" customFormat="false" ht="15" hidden="false" customHeight="false" outlineLevel="0" collapsed="false">
      <c r="A4338" s="2" t="s">
        <v>929</v>
      </c>
      <c r="B4338" s="2" t="s">
        <v>47</v>
      </c>
      <c r="C4338" s="2" t="s">
        <v>4086</v>
      </c>
      <c r="D4338" s="11" t="n">
        <v>167680</v>
      </c>
      <c r="E4338" s="31" t="n">
        <v>73.7</v>
      </c>
      <c r="F4338" s="31" t="n">
        <v>50.3</v>
      </c>
      <c r="G4338" s="2"/>
      <c r="H4338" s="2" t="s">
        <v>668</v>
      </c>
    </row>
    <row r="4339" customFormat="false" ht="15" hidden="false" customHeight="false" outlineLevel="0" collapsed="false">
      <c r="A4339" s="2" t="s">
        <v>929</v>
      </c>
      <c r="B4339" s="2" t="s">
        <v>47</v>
      </c>
      <c r="C4339" s="2" t="s">
        <v>4087</v>
      </c>
      <c r="D4339" s="11" t="n">
        <v>179474</v>
      </c>
      <c r="E4339" s="31" t="n">
        <v>46.2</v>
      </c>
      <c r="F4339" s="31" t="n">
        <v>71.7</v>
      </c>
      <c r="G4339" s="31" t="n">
        <v>73.5</v>
      </c>
      <c r="H4339" s="2" t="s">
        <v>671</v>
      </c>
    </row>
    <row r="4340" customFormat="false" ht="15" hidden="false" customHeight="false" outlineLevel="0" collapsed="false">
      <c r="A4340" s="2" t="s">
        <v>494</v>
      </c>
      <c r="B4340" s="2" t="s">
        <v>4104</v>
      </c>
      <c r="C4340" s="2" t="s">
        <v>4085</v>
      </c>
      <c r="D4340" s="2"/>
      <c r="E4340" s="31" t="n">
        <v>71.8</v>
      </c>
      <c r="F4340" s="31" t="n">
        <v>88.4</v>
      </c>
      <c r="G4340" s="31" t="n">
        <v>56.4</v>
      </c>
      <c r="H4340" s="2" t="s">
        <v>671</v>
      </c>
    </row>
    <row r="4341" customFormat="false" ht="15" hidden="false" customHeight="false" outlineLevel="0" collapsed="false">
      <c r="A4341" s="2" t="s">
        <v>494</v>
      </c>
      <c r="B4341" s="2" t="s">
        <v>4104</v>
      </c>
      <c r="C4341" s="2" t="s">
        <v>4086</v>
      </c>
      <c r="D4341" s="2"/>
      <c r="E4341" s="31" t="n">
        <v>50.1</v>
      </c>
      <c r="F4341" s="2"/>
      <c r="G4341" s="31" t="n">
        <v>86.8</v>
      </c>
      <c r="H4341" s="2" t="s">
        <v>668</v>
      </c>
    </row>
    <row r="4342" customFormat="false" ht="15" hidden="false" customHeight="false" outlineLevel="0" collapsed="false">
      <c r="A4342" s="2" t="s">
        <v>494</v>
      </c>
      <c r="B4342" s="2" t="s">
        <v>4104</v>
      </c>
      <c r="C4342" s="2" t="s">
        <v>4087</v>
      </c>
      <c r="D4342" s="2"/>
      <c r="E4342" s="31" t="n">
        <v>36.6</v>
      </c>
      <c r="F4342" s="31" t="n">
        <v>86.7</v>
      </c>
      <c r="G4342" s="31" t="n">
        <v>36.3</v>
      </c>
      <c r="H4342" s="2" t="s">
        <v>671</v>
      </c>
    </row>
    <row r="4343" customFormat="false" ht="15" hidden="false" customHeight="false" outlineLevel="0" collapsed="false">
      <c r="A4343" s="2" t="s">
        <v>494</v>
      </c>
      <c r="B4343" s="2" t="s">
        <v>46</v>
      </c>
      <c r="C4343" s="2" t="s">
        <v>4085</v>
      </c>
      <c r="D4343" s="11" t="n">
        <v>27410</v>
      </c>
      <c r="E4343" s="31" t="n">
        <v>71.8</v>
      </c>
      <c r="F4343" s="31" t="n">
        <v>88.4</v>
      </c>
      <c r="G4343" s="31" t="n">
        <v>56.4</v>
      </c>
      <c r="H4343" s="2" t="s">
        <v>671</v>
      </c>
    </row>
    <row r="4344" customFormat="false" ht="15" hidden="false" customHeight="false" outlineLevel="0" collapsed="false">
      <c r="A4344" s="2" t="s">
        <v>494</v>
      </c>
      <c r="B4344" s="2" t="s">
        <v>46</v>
      </c>
      <c r="C4344" s="2" t="s">
        <v>4086</v>
      </c>
      <c r="D4344" s="11" t="n">
        <v>29660</v>
      </c>
      <c r="E4344" s="31" t="n">
        <v>50.1</v>
      </c>
      <c r="F4344" s="2"/>
      <c r="G4344" s="31" t="n">
        <v>86.8</v>
      </c>
      <c r="H4344" s="2" t="s">
        <v>668</v>
      </c>
    </row>
    <row r="4345" customFormat="false" ht="15" hidden="false" customHeight="false" outlineLevel="0" collapsed="false">
      <c r="A4345" s="2" t="s">
        <v>494</v>
      </c>
      <c r="B4345" s="2" t="s">
        <v>46</v>
      </c>
      <c r="C4345" s="2" t="s">
        <v>4087</v>
      </c>
      <c r="D4345" s="11" t="n">
        <v>30485</v>
      </c>
      <c r="E4345" s="31" t="n">
        <v>36.6</v>
      </c>
      <c r="F4345" s="31" t="n">
        <v>86.7</v>
      </c>
      <c r="G4345" s="31" t="n">
        <v>36.3</v>
      </c>
      <c r="H4345" s="2" t="s">
        <v>671</v>
      </c>
    </row>
    <row r="4346" customFormat="false" ht="15" hidden="false" customHeight="false" outlineLevel="0" collapsed="false">
      <c r="A4346" s="2" t="s">
        <v>284</v>
      </c>
      <c r="B4346" s="2" t="s">
        <v>4104</v>
      </c>
      <c r="C4346" s="2" t="s">
        <v>4085</v>
      </c>
      <c r="D4346" s="2"/>
      <c r="E4346" s="31" t="n">
        <v>49</v>
      </c>
      <c r="F4346" s="31" t="n">
        <v>9.8</v>
      </c>
      <c r="G4346" s="31" t="n">
        <v>25</v>
      </c>
      <c r="H4346" s="2" t="s">
        <v>671</v>
      </c>
    </row>
    <row r="4347" customFormat="false" ht="15" hidden="false" customHeight="false" outlineLevel="0" collapsed="false">
      <c r="A4347" s="2" t="s">
        <v>284</v>
      </c>
      <c r="B4347" s="2" t="s">
        <v>4104</v>
      </c>
      <c r="C4347" s="2" t="s">
        <v>4086</v>
      </c>
      <c r="D4347" s="2"/>
      <c r="E4347" s="31" t="n">
        <v>53.4</v>
      </c>
      <c r="F4347" s="31" t="n">
        <v>15.6</v>
      </c>
      <c r="G4347" s="31" t="n">
        <v>17.2</v>
      </c>
      <c r="H4347" s="2" t="s">
        <v>671</v>
      </c>
    </row>
    <row r="4348" customFormat="false" ht="15" hidden="false" customHeight="false" outlineLevel="0" collapsed="false">
      <c r="A4348" s="2" t="s">
        <v>284</v>
      </c>
      <c r="B4348" s="2" t="s">
        <v>4104</v>
      </c>
      <c r="C4348" s="2" t="s">
        <v>4087</v>
      </c>
      <c r="D4348" s="2"/>
      <c r="E4348" s="31" t="n">
        <v>59.9</v>
      </c>
      <c r="F4348" s="31" t="n">
        <v>6.4</v>
      </c>
      <c r="G4348" s="31" t="n">
        <v>16.2</v>
      </c>
      <c r="H4348" s="2" t="s">
        <v>671</v>
      </c>
    </row>
    <row r="4349" customFormat="false" ht="15" hidden="false" customHeight="false" outlineLevel="0" collapsed="false">
      <c r="A4349" s="2" t="s">
        <v>284</v>
      </c>
      <c r="B4349" s="2" t="s">
        <v>47</v>
      </c>
      <c r="C4349" s="2" t="s">
        <v>4085</v>
      </c>
      <c r="D4349" s="11" t="n">
        <v>65155</v>
      </c>
      <c r="E4349" s="31" t="n">
        <v>49</v>
      </c>
      <c r="F4349" s="31" t="n">
        <v>9.8</v>
      </c>
      <c r="G4349" s="31" t="n">
        <v>25</v>
      </c>
      <c r="H4349" s="2" t="s">
        <v>671</v>
      </c>
    </row>
    <row r="4350" customFormat="false" ht="15" hidden="false" customHeight="false" outlineLevel="0" collapsed="false">
      <c r="A4350" s="2" t="s">
        <v>284</v>
      </c>
      <c r="B4350" s="2" t="s">
        <v>47</v>
      </c>
      <c r="C4350" s="2" t="s">
        <v>4086</v>
      </c>
      <c r="D4350" s="11" t="n">
        <v>64305</v>
      </c>
      <c r="E4350" s="31" t="n">
        <v>53.4</v>
      </c>
      <c r="F4350" s="31" t="n">
        <v>15.6</v>
      </c>
      <c r="G4350" s="31" t="n">
        <v>17.2</v>
      </c>
      <c r="H4350" s="2" t="s">
        <v>671</v>
      </c>
    </row>
    <row r="4351" customFormat="false" ht="15" hidden="false" customHeight="false" outlineLevel="0" collapsed="false">
      <c r="A4351" s="2" t="s">
        <v>284</v>
      </c>
      <c r="B4351" s="2" t="s">
        <v>47</v>
      </c>
      <c r="C4351" s="2" t="s">
        <v>4087</v>
      </c>
      <c r="D4351" s="11" t="n">
        <v>63906</v>
      </c>
      <c r="E4351" s="31" t="n">
        <v>59.9</v>
      </c>
      <c r="F4351" s="31" t="n">
        <v>6.4</v>
      </c>
      <c r="G4351" s="31" t="n">
        <v>16.2</v>
      </c>
      <c r="H4351" s="2" t="s">
        <v>671</v>
      </c>
    </row>
    <row r="4352" customFormat="false" ht="15" hidden="false" customHeight="false" outlineLevel="0" collapsed="false">
      <c r="A4352" s="2" t="s">
        <v>1767</v>
      </c>
      <c r="B4352" s="2" t="s">
        <v>4104</v>
      </c>
      <c r="C4352" s="2" t="s">
        <v>4085</v>
      </c>
      <c r="D4352" s="2"/>
      <c r="E4352" s="31" t="n">
        <v>47</v>
      </c>
      <c r="F4352" s="31" t="n">
        <v>66.9</v>
      </c>
      <c r="G4352" s="31" t="n">
        <v>61.1</v>
      </c>
      <c r="H4352" s="2" t="s">
        <v>668</v>
      </c>
    </row>
    <row r="4353" customFormat="false" ht="15" hidden="false" customHeight="false" outlineLevel="0" collapsed="false">
      <c r="A4353" s="2" t="s">
        <v>1767</v>
      </c>
      <c r="B4353" s="2" t="s">
        <v>4104</v>
      </c>
      <c r="C4353" s="2" t="s">
        <v>4086</v>
      </c>
      <c r="D4353" s="2"/>
      <c r="E4353" s="31" t="n">
        <v>56.2</v>
      </c>
      <c r="F4353" s="31" t="n">
        <v>44.1</v>
      </c>
      <c r="G4353" s="31" t="n">
        <v>48.2</v>
      </c>
      <c r="H4353" s="2" t="s">
        <v>671</v>
      </c>
    </row>
    <row r="4354" customFormat="false" ht="15" hidden="false" customHeight="false" outlineLevel="0" collapsed="false">
      <c r="A4354" s="2" t="s">
        <v>1767</v>
      </c>
      <c r="B4354" s="2" t="s">
        <v>4104</v>
      </c>
      <c r="C4354" s="2" t="s">
        <v>4087</v>
      </c>
      <c r="D4354" s="2"/>
      <c r="E4354" s="31" t="n">
        <v>44.2</v>
      </c>
      <c r="F4354" s="31" t="n">
        <v>45.4</v>
      </c>
      <c r="G4354" s="31" t="n">
        <v>57.1</v>
      </c>
      <c r="H4354" s="2" t="s">
        <v>668</v>
      </c>
    </row>
    <row r="4355" customFormat="false" ht="15" hidden="false" customHeight="false" outlineLevel="0" collapsed="false">
      <c r="A4355" s="2" t="s">
        <v>1767</v>
      </c>
      <c r="B4355" s="2" t="s">
        <v>45</v>
      </c>
      <c r="C4355" s="2" t="s">
        <v>4085</v>
      </c>
      <c r="D4355" s="11" t="n">
        <v>193938</v>
      </c>
      <c r="E4355" s="31" t="n">
        <v>67</v>
      </c>
      <c r="F4355" s="31" t="n">
        <v>84.2</v>
      </c>
      <c r="G4355" s="2"/>
      <c r="H4355" s="2" t="s">
        <v>668</v>
      </c>
    </row>
    <row r="4356" customFormat="false" ht="15" hidden="false" customHeight="false" outlineLevel="0" collapsed="false">
      <c r="A4356" s="2" t="s">
        <v>1767</v>
      </c>
      <c r="B4356" s="2" t="s">
        <v>45</v>
      </c>
      <c r="C4356" s="2" t="s">
        <v>4086</v>
      </c>
      <c r="D4356" s="11" t="n">
        <v>199990</v>
      </c>
      <c r="E4356" s="31" t="n">
        <v>82.6</v>
      </c>
      <c r="F4356" s="31" t="n">
        <v>84.3</v>
      </c>
      <c r="G4356" s="31" t="n">
        <v>77.2</v>
      </c>
      <c r="H4356" s="2" t="s">
        <v>671</v>
      </c>
    </row>
    <row r="4357" customFormat="false" ht="15" hidden="false" customHeight="false" outlineLevel="0" collapsed="false">
      <c r="A4357" s="2" t="s">
        <v>1767</v>
      </c>
      <c r="B4357" s="2" t="s">
        <v>45</v>
      </c>
      <c r="C4357" s="2" t="s">
        <v>4087</v>
      </c>
      <c r="D4357" s="11" t="n">
        <v>216500</v>
      </c>
      <c r="E4357" s="2"/>
      <c r="F4357" s="31" t="n">
        <v>66.7</v>
      </c>
      <c r="G4357" s="31" t="n">
        <v>89.2</v>
      </c>
      <c r="H4357" s="2" t="s">
        <v>668</v>
      </c>
    </row>
    <row r="4358" customFormat="false" ht="15" hidden="false" customHeight="false" outlineLevel="0" collapsed="false">
      <c r="A4358" s="2" t="s">
        <v>1767</v>
      </c>
      <c r="B4358" s="2" t="s">
        <v>46</v>
      </c>
      <c r="C4358" s="2" t="s">
        <v>4085</v>
      </c>
      <c r="D4358" s="11" t="n">
        <v>190990</v>
      </c>
      <c r="E4358" s="31" t="n">
        <v>11.4</v>
      </c>
      <c r="F4358" s="31" t="n">
        <v>91.7</v>
      </c>
      <c r="G4358" s="31" t="n">
        <v>53.4</v>
      </c>
      <c r="H4358" s="2" t="s">
        <v>671</v>
      </c>
    </row>
    <row r="4359" customFormat="false" ht="15" hidden="false" customHeight="false" outlineLevel="0" collapsed="false">
      <c r="A4359" s="2" t="s">
        <v>1767</v>
      </c>
      <c r="B4359" s="2" t="s">
        <v>46</v>
      </c>
      <c r="C4359" s="2" t="s">
        <v>4086</v>
      </c>
      <c r="D4359" s="11" t="n">
        <v>197590</v>
      </c>
      <c r="E4359" s="31" t="n">
        <v>13.2</v>
      </c>
      <c r="F4359" s="31" t="n">
        <v>36.3</v>
      </c>
      <c r="G4359" s="31" t="n">
        <v>59.4</v>
      </c>
      <c r="H4359" s="2" t="s">
        <v>671</v>
      </c>
    </row>
    <row r="4360" customFormat="false" ht="15" hidden="false" customHeight="false" outlineLevel="0" collapsed="false">
      <c r="A4360" s="2" t="s">
        <v>1767</v>
      </c>
      <c r="B4360" s="2" t="s">
        <v>46</v>
      </c>
      <c r="C4360" s="2" t="s">
        <v>4087</v>
      </c>
      <c r="D4360" s="11" t="n">
        <v>207067</v>
      </c>
      <c r="E4360" s="31" t="n">
        <v>34.7</v>
      </c>
      <c r="F4360" s="31" t="n">
        <v>43</v>
      </c>
      <c r="G4360" s="31" t="n">
        <v>57</v>
      </c>
      <c r="H4360" s="2" t="s">
        <v>671</v>
      </c>
    </row>
    <row r="4361" customFormat="false" ht="15" hidden="false" customHeight="false" outlineLevel="0" collapsed="false">
      <c r="A4361" s="2" t="s">
        <v>1767</v>
      </c>
      <c r="B4361" s="2" t="s">
        <v>47</v>
      </c>
      <c r="C4361" s="2" t="s">
        <v>4085</v>
      </c>
      <c r="D4361" s="11" t="n">
        <v>159091</v>
      </c>
      <c r="E4361" s="31" t="n">
        <v>62.5</v>
      </c>
      <c r="F4361" s="31" t="n">
        <v>24.7</v>
      </c>
      <c r="G4361" s="31" t="n">
        <v>68.8</v>
      </c>
      <c r="H4361" s="2" t="s">
        <v>671</v>
      </c>
    </row>
    <row r="4362" customFormat="false" ht="15" hidden="false" customHeight="false" outlineLevel="0" collapsed="false">
      <c r="A4362" s="2" t="s">
        <v>1767</v>
      </c>
      <c r="B4362" s="2" t="s">
        <v>47</v>
      </c>
      <c r="C4362" s="2" t="s">
        <v>4086</v>
      </c>
      <c r="D4362" s="11" t="n">
        <v>157206</v>
      </c>
      <c r="E4362" s="31" t="n">
        <v>72.7</v>
      </c>
      <c r="F4362" s="31" t="n">
        <v>11.8</v>
      </c>
      <c r="G4362" s="31" t="n">
        <v>8.1</v>
      </c>
      <c r="H4362" s="2" t="s">
        <v>671</v>
      </c>
    </row>
    <row r="4363" customFormat="false" ht="15" hidden="false" customHeight="false" outlineLevel="0" collapsed="false">
      <c r="A4363" s="2" t="s">
        <v>1767</v>
      </c>
      <c r="B4363" s="2" t="s">
        <v>47</v>
      </c>
      <c r="C4363" s="2" t="s">
        <v>4087</v>
      </c>
      <c r="D4363" s="11" t="n">
        <v>160207</v>
      </c>
      <c r="E4363" s="31" t="n">
        <v>53.6</v>
      </c>
      <c r="F4363" s="31" t="n">
        <v>26.5</v>
      </c>
      <c r="G4363" s="31" t="n">
        <v>25</v>
      </c>
      <c r="H4363" s="2" t="s">
        <v>671</v>
      </c>
    </row>
    <row r="4364" customFormat="false" ht="15" hidden="false" customHeight="false" outlineLevel="0" collapsed="false">
      <c r="A4364" s="2" t="s">
        <v>1307</v>
      </c>
      <c r="B4364" s="2" t="s">
        <v>4104</v>
      </c>
      <c r="C4364" s="2" t="s">
        <v>4085</v>
      </c>
      <c r="D4364" s="2"/>
      <c r="E4364" s="31" t="n">
        <v>32.2</v>
      </c>
      <c r="F4364" s="31" t="n">
        <v>54.9</v>
      </c>
      <c r="G4364" s="31" t="n">
        <v>53.3</v>
      </c>
      <c r="H4364" s="2" t="s">
        <v>671</v>
      </c>
    </row>
    <row r="4365" customFormat="false" ht="15" hidden="false" customHeight="false" outlineLevel="0" collapsed="false">
      <c r="A4365" s="2" t="s">
        <v>1307</v>
      </c>
      <c r="B4365" s="2" t="s">
        <v>4104</v>
      </c>
      <c r="C4365" s="2" t="s">
        <v>4086</v>
      </c>
      <c r="D4365" s="2"/>
      <c r="E4365" s="31" t="n">
        <v>42.4</v>
      </c>
      <c r="F4365" s="31" t="n">
        <v>73.3</v>
      </c>
      <c r="G4365" s="31" t="n">
        <v>71.7</v>
      </c>
      <c r="H4365" s="2" t="s">
        <v>671</v>
      </c>
    </row>
    <row r="4366" customFormat="false" ht="15" hidden="false" customHeight="false" outlineLevel="0" collapsed="false">
      <c r="A4366" s="2" t="s">
        <v>1307</v>
      </c>
      <c r="B4366" s="2" t="s">
        <v>4104</v>
      </c>
      <c r="C4366" s="2" t="s">
        <v>4087</v>
      </c>
      <c r="D4366" s="2"/>
      <c r="E4366" s="31" t="n">
        <v>51.4</v>
      </c>
      <c r="F4366" s="31" t="n">
        <v>63.6</v>
      </c>
      <c r="G4366" s="31" t="n">
        <v>57.2</v>
      </c>
      <c r="H4366" s="2" t="s">
        <v>668</v>
      </c>
    </row>
    <row r="4367" customFormat="false" ht="15" hidden="false" customHeight="false" outlineLevel="0" collapsed="false">
      <c r="A4367" s="2" t="s">
        <v>1307</v>
      </c>
      <c r="B4367" s="2" t="s">
        <v>45</v>
      </c>
      <c r="C4367" s="2" t="s">
        <v>4085</v>
      </c>
      <c r="D4367" s="11" t="n">
        <v>49926</v>
      </c>
      <c r="E4367" s="31" t="n">
        <v>4.1</v>
      </c>
      <c r="F4367" s="31" t="n">
        <v>62.4</v>
      </c>
      <c r="G4367" s="31" t="n">
        <v>88</v>
      </c>
      <c r="H4367" s="2" t="s">
        <v>671</v>
      </c>
    </row>
    <row r="4368" customFormat="false" ht="15" hidden="false" customHeight="false" outlineLevel="0" collapsed="false">
      <c r="A4368" s="2" t="s">
        <v>1307</v>
      </c>
      <c r="B4368" s="2" t="s">
        <v>45</v>
      </c>
      <c r="C4368" s="2" t="s">
        <v>4086</v>
      </c>
      <c r="D4368" s="11" t="n">
        <v>50870</v>
      </c>
      <c r="E4368" s="31" t="n">
        <v>11.2</v>
      </c>
      <c r="F4368" s="31" t="n">
        <v>87.6</v>
      </c>
      <c r="G4368" s="31" t="n">
        <v>89</v>
      </c>
      <c r="H4368" s="2" t="s">
        <v>671</v>
      </c>
    </row>
    <row r="4369" customFormat="false" ht="15" hidden="false" customHeight="false" outlineLevel="0" collapsed="false">
      <c r="A4369" s="2" t="s">
        <v>1307</v>
      </c>
      <c r="B4369" s="2" t="s">
        <v>45</v>
      </c>
      <c r="C4369" s="2" t="s">
        <v>4087</v>
      </c>
      <c r="D4369" s="11" t="n">
        <v>52900</v>
      </c>
      <c r="E4369" s="31" t="n">
        <v>12.2</v>
      </c>
      <c r="F4369" s="31" t="n">
        <v>35.3</v>
      </c>
      <c r="G4369" s="31" t="n">
        <v>69.9</v>
      </c>
      <c r="H4369" s="2" t="s">
        <v>671</v>
      </c>
    </row>
    <row r="4370" customFormat="false" ht="15" hidden="false" customHeight="false" outlineLevel="0" collapsed="false">
      <c r="A4370" s="2" t="s">
        <v>1307</v>
      </c>
      <c r="B4370" s="2" t="s">
        <v>46</v>
      </c>
      <c r="C4370" s="2" t="s">
        <v>4085</v>
      </c>
      <c r="D4370" s="11" t="n">
        <v>19122</v>
      </c>
      <c r="E4370" s="31" t="n">
        <v>25</v>
      </c>
      <c r="F4370" s="31" t="n">
        <v>31.5</v>
      </c>
      <c r="G4370" s="31" t="n">
        <v>21.5</v>
      </c>
      <c r="H4370" s="2" t="s">
        <v>671</v>
      </c>
    </row>
    <row r="4371" customFormat="false" ht="15" hidden="false" customHeight="false" outlineLevel="0" collapsed="false">
      <c r="A4371" s="2" t="s">
        <v>1307</v>
      </c>
      <c r="B4371" s="2" t="s">
        <v>46</v>
      </c>
      <c r="C4371" s="2" t="s">
        <v>4086</v>
      </c>
      <c r="D4371" s="11" t="n">
        <v>20010</v>
      </c>
      <c r="E4371" s="31" t="n">
        <v>41.1</v>
      </c>
      <c r="F4371" s="31" t="n">
        <v>40.4</v>
      </c>
      <c r="G4371" s="31" t="n">
        <v>40.4</v>
      </c>
      <c r="H4371" s="2" t="s">
        <v>671</v>
      </c>
    </row>
    <row r="4372" customFormat="false" ht="15" hidden="false" customHeight="false" outlineLevel="0" collapsed="false">
      <c r="A4372" s="2" t="s">
        <v>1307</v>
      </c>
      <c r="B4372" s="2" t="s">
        <v>46</v>
      </c>
      <c r="C4372" s="2" t="s">
        <v>4087</v>
      </c>
      <c r="D4372" s="2"/>
      <c r="E4372" s="2"/>
      <c r="F4372" s="2"/>
      <c r="G4372" s="2"/>
      <c r="H4372" s="2" t="s">
        <v>668</v>
      </c>
    </row>
    <row r="4373" customFormat="false" ht="15" hidden="false" customHeight="false" outlineLevel="0" collapsed="false">
      <c r="A4373" s="2" t="s">
        <v>1307</v>
      </c>
      <c r="B4373" s="2" t="s">
        <v>47</v>
      </c>
      <c r="C4373" s="2" t="s">
        <v>4085</v>
      </c>
      <c r="D4373" s="11" t="n">
        <v>19318</v>
      </c>
      <c r="E4373" s="31" t="n">
        <v>67.6</v>
      </c>
      <c r="F4373" s="31" t="n">
        <v>70.9</v>
      </c>
      <c r="G4373" s="31" t="n">
        <v>50.4</v>
      </c>
      <c r="H4373" s="2" t="s">
        <v>671</v>
      </c>
    </row>
    <row r="4374" customFormat="false" ht="15" hidden="false" customHeight="false" outlineLevel="0" collapsed="false">
      <c r="A4374" s="2" t="s">
        <v>1307</v>
      </c>
      <c r="B4374" s="2" t="s">
        <v>47</v>
      </c>
      <c r="C4374" s="2" t="s">
        <v>4086</v>
      </c>
      <c r="D4374" s="11" t="n">
        <v>19980</v>
      </c>
      <c r="E4374" s="31" t="n">
        <v>74.8</v>
      </c>
      <c r="F4374" s="31" t="n">
        <v>91.9</v>
      </c>
      <c r="G4374" s="31" t="n">
        <v>85.7</v>
      </c>
      <c r="H4374" s="2" t="s">
        <v>671</v>
      </c>
    </row>
    <row r="4375" customFormat="false" ht="15" hidden="false" customHeight="false" outlineLevel="0" collapsed="false">
      <c r="A4375" s="2" t="s">
        <v>1307</v>
      </c>
      <c r="B4375" s="2" t="s">
        <v>47</v>
      </c>
      <c r="C4375" s="2" t="s">
        <v>4087</v>
      </c>
      <c r="D4375" s="11" t="n">
        <v>21535</v>
      </c>
      <c r="E4375" s="31" t="n">
        <v>90.5</v>
      </c>
      <c r="F4375" s="31" t="n">
        <v>91.8</v>
      </c>
      <c r="G4375" s="31" t="n">
        <v>44.6</v>
      </c>
      <c r="H4375" s="2" t="s">
        <v>671</v>
      </c>
    </row>
    <row r="4376" customFormat="false" ht="15" hidden="false" customHeight="false" outlineLevel="0" collapsed="false">
      <c r="A4376" s="2" t="s">
        <v>1403</v>
      </c>
      <c r="B4376" s="2" t="s">
        <v>4104</v>
      </c>
      <c r="C4376" s="2" t="s">
        <v>4085</v>
      </c>
      <c r="D4376" s="2"/>
      <c r="E4376" s="31" t="n">
        <v>61.2</v>
      </c>
      <c r="F4376" s="31" t="n">
        <v>6.4</v>
      </c>
      <c r="G4376" s="31" t="n">
        <v>67.2</v>
      </c>
      <c r="H4376" s="2" t="s">
        <v>671</v>
      </c>
    </row>
    <row r="4377" customFormat="false" ht="15" hidden="false" customHeight="false" outlineLevel="0" collapsed="false">
      <c r="A4377" s="2" t="s">
        <v>1403</v>
      </c>
      <c r="B4377" s="2" t="s">
        <v>4104</v>
      </c>
      <c r="C4377" s="2" t="s">
        <v>4086</v>
      </c>
      <c r="D4377" s="2"/>
      <c r="E4377" s="31" t="n">
        <v>47.4</v>
      </c>
      <c r="F4377" s="31" t="n">
        <v>10.6</v>
      </c>
      <c r="G4377" s="31" t="n">
        <v>27.2</v>
      </c>
      <c r="H4377" s="2" t="s">
        <v>668</v>
      </c>
    </row>
    <row r="4378" customFormat="false" ht="15" hidden="false" customHeight="false" outlineLevel="0" collapsed="false">
      <c r="A4378" s="2" t="s">
        <v>1403</v>
      </c>
      <c r="B4378" s="2" t="s">
        <v>4104</v>
      </c>
      <c r="C4378" s="2" t="s">
        <v>4087</v>
      </c>
      <c r="D4378" s="2"/>
      <c r="E4378" s="31" t="n">
        <v>72.4</v>
      </c>
      <c r="F4378" s="31" t="n">
        <v>22.8</v>
      </c>
      <c r="G4378" s="31" t="n">
        <v>48.7</v>
      </c>
      <c r="H4378" s="2" t="s">
        <v>668</v>
      </c>
    </row>
    <row r="4379" customFormat="false" ht="15" hidden="false" customHeight="false" outlineLevel="0" collapsed="false">
      <c r="A4379" s="2" t="s">
        <v>1403</v>
      </c>
      <c r="B4379" s="2" t="s">
        <v>46</v>
      </c>
      <c r="C4379" s="2" t="s">
        <v>4085</v>
      </c>
      <c r="D4379" s="11" t="n">
        <v>58872</v>
      </c>
      <c r="E4379" s="31" t="n">
        <v>90.8</v>
      </c>
      <c r="F4379" s="31" t="n">
        <v>8.2</v>
      </c>
      <c r="G4379" s="31" t="n">
        <v>84.7</v>
      </c>
      <c r="H4379" s="2" t="s">
        <v>671</v>
      </c>
    </row>
    <row r="4380" customFormat="false" ht="15" hidden="false" customHeight="false" outlineLevel="0" collapsed="false">
      <c r="A4380" s="2" t="s">
        <v>1403</v>
      </c>
      <c r="B4380" s="2" t="s">
        <v>46</v>
      </c>
      <c r="C4380" s="2" t="s">
        <v>4086</v>
      </c>
      <c r="D4380" s="11" t="n">
        <v>59705</v>
      </c>
      <c r="E4380" s="2"/>
      <c r="F4380" s="31" t="n">
        <v>19.6</v>
      </c>
      <c r="G4380" s="2"/>
      <c r="H4380" s="2" t="s">
        <v>668</v>
      </c>
    </row>
    <row r="4381" customFormat="false" ht="15" hidden="false" customHeight="false" outlineLevel="0" collapsed="false">
      <c r="A4381" s="2" t="s">
        <v>1403</v>
      </c>
      <c r="B4381" s="2" t="s">
        <v>46</v>
      </c>
      <c r="C4381" s="2" t="s">
        <v>4087</v>
      </c>
      <c r="D4381" s="11" t="n">
        <v>59329</v>
      </c>
      <c r="E4381" s="31" t="n">
        <v>96</v>
      </c>
      <c r="F4381" s="31" t="n">
        <v>22.8</v>
      </c>
      <c r="G4381" s="31" t="n">
        <v>80.1</v>
      </c>
      <c r="H4381" s="2" t="s">
        <v>671</v>
      </c>
    </row>
    <row r="4382" customFormat="false" ht="15" hidden="false" customHeight="false" outlineLevel="0" collapsed="false">
      <c r="A4382" s="2" t="s">
        <v>1403</v>
      </c>
      <c r="B4382" s="2" t="s">
        <v>47</v>
      </c>
      <c r="C4382" s="2" t="s">
        <v>4085</v>
      </c>
      <c r="D4382" s="11" t="n">
        <v>27168</v>
      </c>
      <c r="E4382" s="31" t="n">
        <v>31.7</v>
      </c>
      <c r="F4382" s="31" t="n">
        <v>4.6</v>
      </c>
      <c r="G4382" s="31" t="n">
        <v>49.7</v>
      </c>
      <c r="H4382" s="2" t="s">
        <v>671</v>
      </c>
    </row>
    <row r="4383" customFormat="false" ht="15" hidden="false" customHeight="false" outlineLevel="0" collapsed="false">
      <c r="A4383" s="2" t="s">
        <v>1403</v>
      </c>
      <c r="B4383" s="2" t="s">
        <v>47</v>
      </c>
      <c r="C4383" s="2" t="s">
        <v>4086</v>
      </c>
      <c r="D4383" s="11" t="n">
        <v>27960</v>
      </c>
      <c r="E4383" s="31" t="n">
        <v>47.4</v>
      </c>
      <c r="F4383" s="31" t="n">
        <v>1.6</v>
      </c>
      <c r="G4383" s="31" t="n">
        <v>27.2</v>
      </c>
      <c r="H4383" s="2" t="s">
        <v>671</v>
      </c>
    </row>
    <row r="4384" customFormat="false" ht="15" hidden="false" customHeight="false" outlineLevel="0" collapsed="false">
      <c r="A4384" s="2" t="s">
        <v>1403</v>
      </c>
      <c r="B4384" s="2" t="s">
        <v>47</v>
      </c>
      <c r="C4384" s="2" t="s">
        <v>4087</v>
      </c>
      <c r="D4384" s="11" t="n">
        <v>26340</v>
      </c>
      <c r="E4384" s="31" t="n">
        <v>48.9</v>
      </c>
      <c r="F4384" s="2"/>
      <c r="G4384" s="31" t="n">
        <v>17.3</v>
      </c>
      <c r="H4384" s="2" t="s">
        <v>668</v>
      </c>
    </row>
    <row r="4385" customFormat="false" ht="15" hidden="false" customHeight="false" outlineLevel="0" collapsed="false">
      <c r="A4385" s="2" t="s">
        <v>1394</v>
      </c>
      <c r="B4385" s="2" t="s">
        <v>4104</v>
      </c>
      <c r="C4385" s="2" t="s">
        <v>4085</v>
      </c>
      <c r="D4385" s="2"/>
      <c r="E4385" s="31" t="n">
        <v>93</v>
      </c>
      <c r="F4385" s="31" t="n">
        <v>13.4</v>
      </c>
      <c r="G4385" s="31" t="n">
        <v>66.8</v>
      </c>
      <c r="H4385" s="2" t="s">
        <v>668</v>
      </c>
    </row>
    <row r="4386" customFormat="false" ht="15" hidden="false" customHeight="false" outlineLevel="0" collapsed="false">
      <c r="A4386" s="2" t="s">
        <v>1394</v>
      </c>
      <c r="B4386" s="2" t="s">
        <v>4104</v>
      </c>
      <c r="C4386" s="2" t="s">
        <v>4086</v>
      </c>
      <c r="D4386" s="2"/>
      <c r="E4386" s="31" t="n">
        <v>88.5</v>
      </c>
      <c r="F4386" s="31" t="n">
        <v>41.1</v>
      </c>
      <c r="G4386" s="31" t="n">
        <v>34.7</v>
      </c>
      <c r="H4386" s="2" t="s">
        <v>668</v>
      </c>
    </row>
    <row r="4387" customFormat="false" ht="15" hidden="false" customHeight="false" outlineLevel="0" collapsed="false">
      <c r="A4387" s="2" t="s">
        <v>1394</v>
      </c>
      <c r="B4387" s="2" t="s">
        <v>4104</v>
      </c>
      <c r="C4387" s="2" t="s">
        <v>4087</v>
      </c>
      <c r="D4387" s="2"/>
      <c r="E4387" s="31" t="n">
        <v>81.2</v>
      </c>
      <c r="F4387" s="31" t="n">
        <v>46.4</v>
      </c>
      <c r="G4387" s="31" t="n">
        <v>57.4</v>
      </c>
      <c r="H4387" s="2" t="s">
        <v>668</v>
      </c>
    </row>
    <row r="4388" customFormat="false" ht="15" hidden="false" customHeight="false" outlineLevel="0" collapsed="false">
      <c r="A4388" s="2" t="s">
        <v>1394</v>
      </c>
      <c r="B4388" s="2" t="s">
        <v>45</v>
      </c>
      <c r="C4388" s="2" t="s">
        <v>4085</v>
      </c>
      <c r="D4388" s="2"/>
      <c r="E4388" s="2"/>
      <c r="F4388" s="2"/>
      <c r="G4388" s="2"/>
      <c r="H4388" s="2" t="s">
        <v>668</v>
      </c>
    </row>
    <row r="4389" customFormat="false" ht="15" hidden="false" customHeight="false" outlineLevel="0" collapsed="false">
      <c r="A4389" s="2" t="s">
        <v>1394</v>
      </c>
      <c r="B4389" s="2" t="s">
        <v>45</v>
      </c>
      <c r="C4389" s="2" t="s">
        <v>4086</v>
      </c>
      <c r="D4389" s="11" t="n">
        <v>140470</v>
      </c>
      <c r="E4389" s="31" t="n">
        <v>77.3</v>
      </c>
      <c r="F4389" s="31" t="n">
        <v>92.1</v>
      </c>
      <c r="G4389" s="2"/>
      <c r="H4389" s="2" t="s">
        <v>668</v>
      </c>
    </row>
    <row r="4390" customFormat="false" ht="15" hidden="false" customHeight="false" outlineLevel="0" collapsed="false">
      <c r="A4390" s="2" t="s">
        <v>1394</v>
      </c>
      <c r="B4390" s="2" t="s">
        <v>45</v>
      </c>
      <c r="C4390" s="2" t="s">
        <v>4087</v>
      </c>
      <c r="D4390" s="11" t="n">
        <v>145410</v>
      </c>
      <c r="E4390" s="31" t="n">
        <v>54.1</v>
      </c>
      <c r="F4390" s="31" t="n">
        <v>84.8</v>
      </c>
      <c r="G4390" s="2"/>
      <c r="H4390" s="2" t="s">
        <v>668</v>
      </c>
    </row>
    <row r="4391" customFormat="false" ht="15" hidden="false" customHeight="false" outlineLevel="0" collapsed="false">
      <c r="A4391" s="2" t="s">
        <v>1394</v>
      </c>
      <c r="B4391" s="2" t="s">
        <v>46</v>
      </c>
      <c r="C4391" s="2" t="s">
        <v>4085</v>
      </c>
      <c r="D4391" s="11" t="n">
        <v>33880</v>
      </c>
      <c r="E4391" s="31" t="n">
        <v>94.7</v>
      </c>
      <c r="F4391" s="31" t="n">
        <v>12.7</v>
      </c>
      <c r="G4391" s="31" t="n">
        <v>92.2</v>
      </c>
      <c r="H4391" s="2" t="s">
        <v>671</v>
      </c>
    </row>
    <row r="4392" customFormat="false" ht="15" hidden="false" customHeight="false" outlineLevel="0" collapsed="false">
      <c r="A4392" s="2" t="s">
        <v>1394</v>
      </c>
      <c r="B4392" s="2" t="s">
        <v>46</v>
      </c>
      <c r="C4392" s="2" t="s">
        <v>4086</v>
      </c>
      <c r="D4392" s="11" t="n">
        <v>34100</v>
      </c>
      <c r="E4392" s="31" t="n">
        <v>97.1</v>
      </c>
      <c r="F4392" s="31" t="n">
        <v>16.7</v>
      </c>
      <c r="G4392" s="31" t="n">
        <v>44.8</v>
      </c>
      <c r="H4392" s="2" t="s">
        <v>671</v>
      </c>
    </row>
    <row r="4393" customFormat="false" ht="15" hidden="false" customHeight="false" outlineLevel="0" collapsed="false">
      <c r="A4393" s="2" t="s">
        <v>1394</v>
      </c>
      <c r="B4393" s="2" t="s">
        <v>46</v>
      </c>
      <c r="C4393" s="2" t="s">
        <v>4087</v>
      </c>
      <c r="D4393" s="11" t="n">
        <v>33881</v>
      </c>
      <c r="E4393" s="31" t="n">
        <v>97</v>
      </c>
      <c r="F4393" s="31" t="n">
        <v>41.5</v>
      </c>
      <c r="G4393" s="31" t="n">
        <v>48.2</v>
      </c>
      <c r="H4393" s="2" t="s">
        <v>671</v>
      </c>
    </row>
    <row r="4394" customFormat="false" ht="15" hidden="false" customHeight="false" outlineLevel="0" collapsed="false">
      <c r="A4394" s="2" t="s">
        <v>1394</v>
      </c>
      <c r="B4394" s="2" t="s">
        <v>47</v>
      </c>
      <c r="C4394" s="2" t="s">
        <v>4085</v>
      </c>
      <c r="D4394" s="11" t="n">
        <v>28553</v>
      </c>
      <c r="E4394" s="31" t="n">
        <v>91.3</v>
      </c>
      <c r="F4394" s="31" t="n">
        <v>14.1</v>
      </c>
      <c r="G4394" s="31" t="n">
        <v>41.4</v>
      </c>
      <c r="H4394" s="2" t="s">
        <v>671</v>
      </c>
    </row>
    <row r="4395" customFormat="false" ht="15" hidden="false" customHeight="false" outlineLevel="0" collapsed="false">
      <c r="A4395" s="2" t="s">
        <v>1394</v>
      </c>
      <c r="B4395" s="2" t="s">
        <v>47</v>
      </c>
      <c r="C4395" s="2" t="s">
        <v>4086</v>
      </c>
      <c r="D4395" s="11" t="n">
        <v>29074</v>
      </c>
      <c r="E4395" s="31" t="n">
        <v>91.2</v>
      </c>
      <c r="F4395" s="31" t="n">
        <v>14.6</v>
      </c>
      <c r="G4395" s="31" t="n">
        <v>24.6</v>
      </c>
      <c r="H4395" s="2" t="s">
        <v>671</v>
      </c>
    </row>
    <row r="4396" customFormat="false" ht="15" hidden="false" customHeight="false" outlineLevel="0" collapsed="false">
      <c r="A4396" s="2" t="s">
        <v>1394</v>
      </c>
      <c r="B4396" s="2" t="s">
        <v>47</v>
      </c>
      <c r="C4396" s="2" t="s">
        <v>4087</v>
      </c>
      <c r="D4396" s="11" t="n">
        <v>28508</v>
      </c>
      <c r="E4396" s="31" t="n">
        <v>92.4</v>
      </c>
      <c r="F4396" s="31" t="n">
        <v>12.8</v>
      </c>
      <c r="G4396" s="31" t="n">
        <v>66.7</v>
      </c>
      <c r="H4396" s="2" t="s">
        <v>671</v>
      </c>
    </row>
    <row r="4397" customFormat="false" ht="15" hidden="false" customHeight="false" outlineLevel="0" collapsed="false">
      <c r="A4397" s="2" t="s">
        <v>1471</v>
      </c>
      <c r="B4397" s="2" t="s">
        <v>4104</v>
      </c>
      <c r="C4397" s="2" t="s">
        <v>4085</v>
      </c>
      <c r="D4397" s="2"/>
      <c r="E4397" s="2"/>
      <c r="F4397" s="2"/>
      <c r="G4397" s="2"/>
      <c r="H4397" s="2" t="s">
        <v>668</v>
      </c>
    </row>
    <row r="4398" customFormat="false" ht="15" hidden="false" customHeight="false" outlineLevel="0" collapsed="false">
      <c r="A4398" s="2" t="s">
        <v>1471</v>
      </c>
      <c r="B4398" s="2" t="s">
        <v>4104</v>
      </c>
      <c r="C4398" s="2" t="s">
        <v>4086</v>
      </c>
      <c r="D4398" s="2"/>
      <c r="E4398" s="31" t="n">
        <v>40.5</v>
      </c>
      <c r="F4398" s="31" t="n">
        <v>40</v>
      </c>
      <c r="G4398" s="31" t="n">
        <v>72.2</v>
      </c>
      <c r="H4398" s="2" t="s">
        <v>671</v>
      </c>
    </row>
    <row r="4399" customFormat="false" ht="15" hidden="false" customHeight="false" outlineLevel="0" collapsed="false">
      <c r="A4399" s="2" t="s">
        <v>1471</v>
      </c>
      <c r="B4399" s="2" t="s">
        <v>4104</v>
      </c>
      <c r="C4399" s="2" t="s">
        <v>4087</v>
      </c>
      <c r="D4399" s="2"/>
      <c r="E4399" s="31" t="n">
        <v>43.5</v>
      </c>
      <c r="F4399" s="31" t="n">
        <v>50.8</v>
      </c>
      <c r="G4399" s="31" t="n">
        <v>62.2</v>
      </c>
      <c r="H4399" s="2" t="s">
        <v>668</v>
      </c>
    </row>
    <row r="4400" customFormat="false" ht="15" hidden="false" customHeight="false" outlineLevel="0" collapsed="false">
      <c r="A4400" s="2" t="s">
        <v>1471</v>
      </c>
      <c r="B4400" s="2" t="s">
        <v>45</v>
      </c>
      <c r="C4400" s="2" t="s">
        <v>4085</v>
      </c>
      <c r="D4400" s="2"/>
      <c r="E4400" s="2"/>
      <c r="F4400" s="2"/>
      <c r="G4400" s="2"/>
      <c r="H4400" s="2" t="s">
        <v>668</v>
      </c>
    </row>
    <row r="4401" customFormat="false" ht="15" hidden="false" customHeight="false" outlineLevel="0" collapsed="false">
      <c r="A4401" s="2" t="s">
        <v>1471</v>
      </c>
      <c r="B4401" s="2" t="s">
        <v>45</v>
      </c>
      <c r="C4401" s="2" t="s">
        <v>4086</v>
      </c>
      <c r="D4401" s="11" t="n">
        <v>35070</v>
      </c>
      <c r="E4401" s="31" t="n">
        <v>14</v>
      </c>
      <c r="F4401" s="31" t="n">
        <v>73.5</v>
      </c>
      <c r="G4401" s="31" t="n">
        <v>32.6</v>
      </c>
      <c r="H4401" s="2" t="s">
        <v>671</v>
      </c>
    </row>
    <row r="4402" customFormat="false" ht="15" hidden="false" customHeight="false" outlineLevel="0" collapsed="false">
      <c r="A4402" s="2" t="s">
        <v>1471</v>
      </c>
      <c r="B4402" s="2" t="s">
        <v>45</v>
      </c>
      <c r="C4402" s="2" t="s">
        <v>4087</v>
      </c>
      <c r="D4402" s="11" t="n">
        <v>36950</v>
      </c>
      <c r="E4402" s="31" t="n">
        <v>17.7</v>
      </c>
      <c r="F4402" s="2"/>
      <c r="G4402" s="31" t="n">
        <v>56.6</v>
      </c>
      <c r="H4402" s="2" t="s">
        <v>668</v>
      </c>
    </row>
    <row r="4403" customFormat="false" ht="15" hidden="false" customHeight="false" outlineLevel="0" collapsed="false">
      <c r="A4403" s="2" t="s">
        <v>1471</v>
      </c>
      <c r="B4403" s="2" t="s">
        <v>46</v>
      </c>
      <c r="C4403" s="2" t="s">
        <v>4085</v>
      </c>
      <c r="D4403" s="2"/>
      <c r="E4403" s="2"/>
      <c r="F4403" s="2"/>
      <c r="G4403" s="2"/>
      <c r="H4403" s="2" t="s">
        <v>668</v>
      </c>
    </row>
    <row r="4404" customFormat="false" ht="15" hidden="false" customHeight="false" outlineLevel="0" collapsed="false">
      <c r="A4404" s="2" t="s">
        <v>1471</v>
      </c>
      <c r="B4404" s="2" t="s">
        <v>46</v>
      </c>
      <c r="C4404" s="2" t="s">
        <v>4086</v>
      </c>
      <c r="D4404" s="11" t="n">
        <v>367390</v>
      </c>
      <c r="E4404" s="31" t="n">
        <v>81.1</v>
      </c>
      <c r="F4404" s="31" t="n">
        <v>24.2</v>
      </c>
      <c r="G4404" s="31" t="n">
        <v>92.5</v>
      </c>
      <c r="H4404" s="2" t="s">
        <v>671</v>
      </c>
    </row>
    <row r="4405" customFormat="false" ht="15" hidden="false" customHeight="false" outlineLevel="0" collapsed="false">
      <c r="A4405" s="2" t="s">
        <v>1471</v>
      </c>
      <c r="B4405" s="2" t="s">
        <v>46</v>
      </c>
      <c r="C4405" s="2" t="s">
        <v>4087</v>
      </c>
      <c r="D4405" s="11" t="n">
        <v>374713</v>
      </c>
      <c r="E4405" s="31" t="n">
        <v>85.4</v>
      </c>
      <c r="F4405" s="31" t="n">
        <v>58.9</v>
      </c>
      <c r="G4405" s="31" t="n">
        <v>92.2</v>
      </c>
      <c r="H4405" s="2" t="s">
        <v>671</v>
      </c>
    </row>
    <row r="4406" customFormat="false" ht="15" hidden="false" customHeight="false" outlineLevel="0" collapsed="false">
      <c r="A4406" s="2" t="s">
        <v>1471</v>
      </c>
      <c r="B4406" s="2" t="s">
        <v>47</v>
      </c>
      <c r="C4406" s="2" t="s">
        <v>4085</v>
      </c>
      <c r="D4406" s="2"/>
      <c r="E4406" s="2"/>
      <c r="F4406" s="2"/>
      <c r="G4406" s="2"/>
      <c r="H4406" s="2" t="s">
        <v>668</v>
      </c>
    </row>
    <row r="4407" customFormat="false" ht="15" hidden="false" customHeight="false" outlineLevel="0" collapsed="false">
      <c r="A4407" s="2" t="s">
        <v>1471</v>
      </c>
      <c r="B4407" s="2" t="s">
        <v>47</v>
      </c>
      <c r="C4407" s="2" t="s">
        <v>4086</v>
      </c>
      <c r="D4407" s="11" t="n">
        <v>41470</v>
      </c>
      <c r="E4407" s="31" t="n">
        <v>26.5</v>
      </c>
      <c r="F4407" s="31" t="n">
        <v>22.4</v>
      </c>
      <c r="G4407" s="31" t="n">
        <v>91.4</v>
      </c>
      <c r="H4407" s="2" t="s">
        <v>671</v>
      </c>
    </row>
    <row r="4408" customFormat="false" ht="15" hidden="false" customHeight="false" outlineLevel="0" collapsed="false">
      <c r="A4408" s="2" t="s">
        <v>1471</v>
      </c>
      <c r="B4408" s="2" t="s">
        <v>47</v>
      </c>
      <c r="C4408" s="2" t="s">
        <v>4087</v>
      </c>
      <c r="D4408" s="11" t="n">
        <v>44419</v>
      </c>
      <c r="E4408" s="31" t="n">
        <v>27.4</v>
      </c>
      <c r="F4408" s="31" t="n">
        <v>42.6</v>
      </c>
      <c r="G4408" s="31" t="n">
        <v>37.7</v>
      </c>
      <c r="H4408" s="2" t="s">
        <v>671</v>
      </c>
    </row>
    <row r="4409" customFormat="false" ht="15" hidden="false" customHeight="false" outlineLevel="0" collapsed="false">
      <c r="A4409" s="2" t="s">
        <v>2974</v>
      </c>
      <c r="B4409" s="2" t="s">
        <v>4104</v>
      </c>
      <c r="C4409" s="2" t="s">
        <v>4085</v>
      </c>
      <c r="D4409" s="2"/>
      <c r="E4409" s="31" t="n">
        <v>36.2</v>
      </c>
      <c r="F4409" s="31" t="n">
        <v>54</v>
      </c>
      <c r="G4409" s="31" t="n">
        <v>14.4</v>
      </c>
      <c r="H4409" s="2" t="s">
        <v>671</v>
      </c>
    </row>
    <row r="4410" customFormat="false" ht="15" hidden="false" customHeight="false" outlineLevel="0" collapsed="false">
      <c r="A4410" s="2" t="s">
        <v>2974</v>
      </c>
      <c r="B4410" s="2" t="s">
        <v>4104</v>
      </c>
      <c r="C4410" s="2" t="s">
        <v>4086</v>
      </c>
      <c r="D4410" s="2"/>
      <c r="E4410" s="31" t="n">
        <v>26.5</v>
      </c>
      <c r="F4410" s="31" t="n">
        <v>35.7</v>
      </c>
      <c r="G4410" s="31" t="n">
        <v>3.1</v>
      </c>
      <c r="H4410" s="2" t="s">
        <v>668</v>
      </c>
    </row>
    <row r="4411" customFormat="false" ht="15" hidden="false" customHeight="false" outlineLevel="0" collapsed="false">
      <c r="A4411" s="2" t="s">
        <v>2974</v>
      </c>
      <c r="B4411" s="2" t="s">
        <v>4104</v>
      </c>
      <c r="C4411" s="2" t="s">
        <v>4087</v>
      </c>
      <c r="D4411" s="2"/>
      <c r="E4411" s="31" t="n">
        <v>46.1</v>
      </c>
      <c r="F4411" s="2"/>
      <c r="G4411" s="31" t="n">
        <v>68.4</v>
      </c>
      <c r="H4411" s="2" t="s">
        <v>668</v>
      </c>
    </row>
    <row r="4412" customFormat="false" ht="15" hidden="false" customHeight="false" outlineLevel="0" collapsed="false">
      <c r="A4412" s="2" t="s">
        <v>2974</v>
      </c>
      <c r="B4412" s="2" t="s">
        <v>45</v>
      </c>
      <c r="C4412" s="2" t="s">
        <v>4085</v>
      </c>
      <c r="D4412" s="11" t="n">
        <v>20040</v>
      </c>
      <c r="E4412" s="31" t="n">
        <v>34.1</v>
      </c>
      <c r="F4412" s="31" t="n">
        <v>47.8</v>
      </c>
      <c r="G4412" s="31" t="n">
        <v>12.7</v>
      </c>
      <c r="H4412" s="2" t="s">
        <v>671</v>
      </c>
    </row>
    <row r="4413" customFormat="false" ht="15" hidden="false" customHeight="false" outlineLevel="0" collapsed="false">
      <c r="A4413" s="2" t="s">
        <v>2974</v>
      </c>
      <c r="B4413" s="2" t="s">
        <v>45</v>
      </c>
      <c r="C4413" s="2" t="s">
        <v>4086</v>
      </c>
      <c r="D4413" s="11" t="n">
        <v>20690</v>
      </c>
      <c r="E4413" s="31" t="n">
        <v>27.4</v>
      </c>
      <c r="F4413" s="31" t="n">
        <v>23.4</v>
      </c>
      <c r="G4413" s="31" t="n">
        <v>2.8</v>
      </c>
      <c r="H4413" s="2" t="s">
        <v>671</v>
      </c>
    </row>
    <row r="4414" customFormat="false" ht="15" hidden="false" customHeight="false" outlineLevel="0" collapsed="false">
      <c r="A4414" s="2" t="s">
        <v>2974</v>
      </c>
      <c r="B4414" s="2" t="s">
        <v>45</v>
      </c>
      <c r="C4414" s="2" t="s">
        <v>4087</v>
      </c>
      <c r="D4414" s="2"/>
      <c r="E4414" s="2"/>
      <c r="F4414" s="2"/>
      <c r="G4414" s="2"/>
      <c r="H4414" s="2" t="s">
        <v>668</v>
      </c>
    </row>
    <row r="4415" customFormat="false" ht="15" hidden="false" customHeight="false" outlineLevel="0" collapsed="false">
      <c r="A4415" s="2" t="s">
        <v>2974</v>
      </c>
      <c r="B4415" s="2" t="s">
        <v>46</v>
      </c>
      <c r="C4415" s="2" t="s">
        <v>4085</v>
      </c>
      <c r="D4415" s="11" t="n">
        <v>15816</v>
      </c>
      <c r="E4415" s="31" t="n">
        <v>37.2</v>
      </c>
      <c r="F4415" s="31" t="n">
        <v>41.9</v>
      </c>
      <c r="G4415" s="31" t="n">
        <v>18.3</v>
      </c>
      <c r="H4415" s="2" t="s">
        <v>671</v>
      </c>
    </row>
    <row r="4416" customFormat="false" ht="15" hidden="false" customHeight="false" outlineLevel="0" collapsed="false">
      <c r="A4416" s="2" t="s">
        <v>2974</v>
      </c>
      <c r="B4416" s="2" t="s">
        <v>46</v>
      </c>
      <c r="C4416" s="2" t="s">
        <v>4086</v>
      </c>
      <c r="D4416" s="11" t="n">
        <v>15885</v>
      </c>
      <c r="E4416" s="31" t="n">
        <v>22.6</v>
      </c>
      <c r="F4416" s="31" t="n">
        <v>17.1</v>
      </c>
      <c r="G4416" s="2"/>
      <c r="H4416" s="2" t="s">
        <v>668</v>
      </c>
    </row>
    <row r="4417" customFormat="false" ht="15" hidden="false" customHeight="false" outlineLevel="0" collapsed="false">
      <c r="A4417" s="2" t="s">
        <v>2974</v>
      </c>
      <c r="B4417" s="2" t="s">
        <v>46</v>
      </c>
      <c r="C4417" s="2" t="s">
        <v>4087</v>
      </c>
      <c r="D4417" s="11" t="n">
        <v>16490</v>
      </c>
      <c r="E4417" s="31" t="n">
        <v>46.1</v>
      </c>
      <c r="F4417" s="2"/>
      <c r="G4417" s="31" t="n">
        <v>68.4</v>
      </c>
      <c r="H4417" s="2" t="s">
        <v>668</v>
      </c>
    </row>
    <row r="4418" customFormat="false" ht="15" hidden="false" customHeight="false" outlineLevel="0" collapsed="false">
      <c r="A4418" s="2" t="s">
        <v>2974</v>
      </c>
      <c r="B4418" s="2" t="s">
        <v>47</v>
      </c>
      <c r="C4418" s="2" t="s">
        <v>4085</v>
      </c>
      <c r="D4418" s="11" t="n">
        <v>328010</v>
      </c>
      <c r="E4418" s="31" t="n">
        <v>37.4</v>
      </c>
      <c r="F4418" s="31" t="n">
        <v>72.2</v>
      </c>
      <c r="G4418" s="31" t="n">
        <v>12.3</v>
      </c>
      <c r="H4418" s="2" t="s">
        <v>671</v>
      </c>
    </row>
    <row r="4419" customFormat="false" ht="15" hidden="false" customHeight="false" outlineLevel="0" collapsed="false">
      <c r="A4419" s="2" t="s">
        <v>2974</v>
      </c>
      <c r="B4419" s="2" t="s">
        <v>47</v>
      </c>
      <c r="C4419" s="2" t="s">
        <v>4086</v>
      </c>
      <c r="D4419" s="11" t="n">
        <v>343470</v>
      </c>
      <c r="E4419" s="31" t="n">
        <v>29.6</v>
      </c>
      <c r="F4419" s="31" t="n">
        <v>66.5</v>
      </c>
      <c r="G4419" s="31" t="n">
        <v>3.4</v>
      </c>
      <c r="H4419" s="2" t="s">
        <v>671</v>
      </c>
    </row>
    <row r="4420" customFormat="false" ht="15" hidden="false" customHeight="false" outlineLevel="0" collapsed="false">
      <c r="A4420" s="2" t="s">
        <v>2974</v>
      </c>
      <c r="B4420" s="2" t="s">
        <v>47</v>
      </c>
      <c r="C4420" s="2" t="s">
        <v>4087</v>
      </c>
      <c r="D4420" s="2"/>
      <c r="E4420" s="2"/>
      <c r="F4420" s="2"/>
      <c r="G4420" s="2"/>
      <c r="H4420" s="2" t="s">
        <v>668</v>
      </c>
    </row>
    <row r="4421" customFormat="false" ht="15" hidden="false" customHeight="false" outlineLevel="0" collapsed="false">
      <c r="A4421" s="2" t="s">
        <v>582</v>
      </c>
      <c r="B4421" s="2" t="s">
        <v>4104</v>
      </c>
      <c r="C4421" s="2" t="s">
        <v>4085</v>
      </c>
      <c r="D4421" s="2"/>
      <c r="E4421" s="31" t="n">
        <v>15.3</v>
      </c>
      <c r="F4421" s="31" t="n">
        <v>52.2</v>
      </c>
      <c r="G4421" s="31" t="n">
        <v>52.1</v>
      </c>
      <c r="H4421" s="2" t="s">
        <v>671</v>
      </c>
    </row>
    <row r="4422" customFormat="false" ht="15" hidden="false" customHeight="false" outlineLevel="0" collapsed="false">
      <c r="A4422" s="2" t="s">
        <v>582</v>
      </c>
      <c r="B4422" s="2" t="s">
        <v>4104</v>
      </c>
      <c r="C4422" s="2" t="s">
        <v>4086</v>
      </c>
      <c r="D4422" s="2"/>
      <c r="E4422" s="31" t="n">
        <v>24</v>
      </c>
      <c r="F4422" s="31" t="n">
        <v>34.1</v>
      </c>
      <c r="G4422" s="31" t="n">
        <v>58.2</v>
      </c>
      <c r="H4422" s="2" t="s">
        <v>668</v>
      </c>
    </row>
    <row r="4423" customFormat="false" ht="15" hidden="false" customHeight="false" outlineLevel="0" collapsed="false">
      <c r="A4423" s="2" t="s">
        <v>582</v>
      </c>
      <c r="B4423" s="2" t="s">
        <v>4104</v>
      </c>
      <c r="C4423" s="2" t="s">
        <v>4087</v>
      </c>
      <c r="D4423" s="2"/>
      <c r="E4423" s="31" t="n">
        <v>23.1</v>
      </c>
      <c r="F4423" s="31" t="n">
        <v>82.2</v>
      </c>
      <c r="G4423" s="31" t="n">
        <v>49.8</v>
      </c>
      <c r="H4423" s="2" t="s">
        <v>671</v>
      </c>
    </row>
    <row r="4424" customFormat="false" ht="15" hidden="false" customHeight="false" outlineLevel="0" collapsed="false">
      <c r="A4424" s="2" t="s">
        <v>582</v>
      </c>
      <c r="B4424" s="2" t="s">
        <v>45</v>
      </c>
      <c r="C4424" s="2" t="s">
        <v>4085</v>
      </c>
      <c r="D4424" s="11" t="n">
        <v>52697</v>
      </c>
      <c r="E4424" s="31" t="n">
        <v>10.4</v>
      </c>
      <c r="F4424" s="31" t="n">
        <v>73.7</v>
      </c>
      <c r="G4424" s="31" t="n">
        <v>4.6</v>
      </c>
      <c r="H4424" s="2" t="s">
        <v>671</v>
      </c>
    </row>
    <row r="4425" customFormat="false" ht="15" hidden="false" customHeight="false" outlineLevel="0" collapsed="false">
      <c r="A4425" s="2" t="s">
        <v>582</v>
      </c>
      <c r="B4425" s="2" t="s">
        <v>45</v>
      </c>
      <c r="C4425" s="2" t="s">
        <v>4086</v>
      </c>
      <c r="D4425" s="11" t="n">
        <v>52750</v>
      </c>
      <c r="E4425" s="31" t="n">
        <v>6.8</v>
      </c>
      <c r="F4425" s="2"/>
      <c r="G4425" s="31" t="n">
        <v>20.3</v>
      </c>
      <c r="H4425" s="2" t="s">
        <v>668</v>
      </c>
    </row>
    <row r="4426" customFormat="false" ht="15" hidden="false" customHeight="false" outlineLevel="0" collapsed="false">
      <c r="A4426" s="2" t="s">
        <v>582</v>
      </c>
      <c r="B4426" s="2" t="s">
        <v>45</v>
      </c>
      <c r="C4426" s="2" t="s">
        <v>4087</v>
      </c>
      <c r="D4426" s="11" t="n">
        <v>57137</v>
      </c>
      <c r="E4426" s="31" t="n">
        <v>4.9</v>
      </c>
      <c r="F4426" s="31" t="n">
        <v>85.7</v>
      </c>
      <c r="G4426" s="31" t="n">
        <v>11.3</v>
      </c>
      <c r="H4426" s="2" t="s">
        <v>671</v>
      </c>
    </row>
    <row r="4427" customFormat="false" ht="15" hidden="false" customHeight="false" outlineLevel="0" collapsed="false">
      <c r="A4427" s="2" t="s">
        <v>582</v>
      </c>
      <c r="B4427" s="2" t="s">
        <v>47</v>
      </c>
      <c r="C4427" s="2" t="s">
        <v>4085</v>
      </c>
      <c r="D4427" s="11" t="n">
        <v>72040</v>
      </c>
      <c r="E4427" s="31" t="n">
        <v>20.2</v>
      </c>
      <c r="F4427" s="31" t="n">
        <v>30.7</v>
      </c>
      <c r="G4427" s="31" t="n">
        <v>99.6</v>
      </c>
      <c r="H4427" s="2" t="s">
        <v>671</v>
      </c>
    </row>
    <row r="4428" customFormat="false" ht="15" hidden="false" customHeight="false" outlineLevel="0" collapsed="false">
      <c r="A4428" s="2" t="s">
        <v>582</v>
      </c>
      <c r="B4428" s="2" t="s">
        <v>47</v>
      </c>
      <c r="C4428" s="2" t="s">
        <v>4086</v>
      </c>
      <c r="D4428" s="11" t="n">
        <v>77380</v>
      </c>
      <c r="E4428" s="31" t="n">
        <v>41.3</v>
      </c>
      <c r="F4428" s="31" t="n">
        <v>34.1</v>
      </c>
      <c r="G4428" s="31" t="n">
        <v>96.2</v>
      </c>
      <c r="H4428" s="2" t="s">
        <v>671</v>
      </c>
    </row>
    <row r="4429" customFormat="false" ht="15" hidden="false" customHeight="false" outlineLevel="0" collapsed="false">
      <c r="A4429" s="2" t="s">
        <v>582</v>
      </c>
      <c r="B4429" s="2" t="s">
        <v>47</v>
      </c>
      <c r="C4429" s="2" t="s">
        <v>4087</v>
      </c>
      <c r="D4429" s="11" t="n">
        <v>78842</v>
      </c>
      <c r="E4429" s="31" t="n">
        <v>41.3</v>
      </c>
      <c r="F4429" s="31" t="n">
        <v>78.7</v>
      </c>
      <c r="G4429" s="31" t="n">
        <v>88.2</v>
      </c>
      <c r="H4429" s="2" t="s">
        <v>671</v>
      </c>
    </row>
    <row r="4430" customFormat="false" ht="15" hidden="false" customHeight="false" outlineLevel="0" collapsed="false">
      <c r="A4430" s="2" t="s">
        <v>1197</v>
      </c>
      <c r="B4430" s="2" t="s">
        <v>4104</v>
      </c>
      <c r="C4430" s="2" t="s">
        <v>4085</v>
      </c>
      <c r="D4430" s="2"/>
      <c r="E4430" s="31" t="n">
        <v>31.4</v>
      </c>
      <c r="F4430" s="31" t="n">
        <v>76.2</v>
      </c>
      <c r="G4430" s="31" t="n">
        <v>41.6</v>
      </c>
      <c r="H4430" s="2" t="s">
        <v>668</v>
      </c>
    </row>
    <row r="4431" customFormat="false" ht="15" hidden="false" customHeight="false" outlineLevel="0" collapsed="false">
      <c r="A4431" s="2" t="s">
        <v>1197</v>
      </c>
      <c r="B4431" s="2" t="s">
        <v>4104</v>
      </c>
      <c r="C4431" s="2" t="s">
        <v>4086</v>
      </c>
      <c r="D4431" s="2"/>
      <c r="E4431" s="31" t="n">
        <v>60.6</v>
      </c>
      <c r="F4431" s="31" t="n">
        <v>67</v>
      </c>
      <c r="G4431" s="31" t="n">
        <v>34.6</v>
      </c>
      <c r="H4431" s="2" t="s">
        <v>668</v>
      </c>
    </row>
    <row r="4432" customFormat="false" ht="15" hidden="false" customHeight="false" outlineLevel="0" collapsed="false">
      <c r="A4432" s="2" t="s">
        <v>1197</v>
      </c>
      <c r="B4432" s="2" t="s">
        <v>4104</v>
      </c>
      <c r="C4432" s="2" t="s">
        <v>4087</v>
      </c>
      <c r="D4432" s="2"/>
      <c r="E4432" s="31" t="n">
        <v>59.4</v>
      </c>
      <c r="F4432" s="31" t="n">
        <v>79.3</v>
      </c>
      <c r="G4432" s="31" t="n">
        <v>31.6</v>
      </c>
      <c r="H4432" s="2" t="s">
        <v>668</v>
      </c>
    </row>
    <row r="4433" customFormat="false" ht="15" hidden="false" customHeight="false" outlineLevel="0" collapsed="false">
      <c r="A4433" s="2" t="s">
        <v>1197</v>
      </c>
      <c r="B4433" s="2" t="s">
        <v>45</v>
      </c>
      <c r="C4433" s="2" t="s">
        <v>4085</v>
      </c>
      <c r="D4433" s="11" t="n">
        <v>90511</v>
      </c>
      <c r="E4433" s="31" t="n">
        <v>15.8</v>
      </c>
      <c r="F4433" s="31" t="n">
        <v>73</v>
      </c>
      <c r="G4433" s="31" t="n">
        <v>42.4</v>
      </c>
      <c r="H4433" s="2" t="s">
        <v>671</v>
      </c>
    </row>
    <row r="4434" customFormat="false" ht="15" hidden="false" customHeight="false" outlineLevel="0" collapsed="false">
      <c r="A4434" s="2" t="s">
        <v>1197</v>
      </c>
      <c r="B4434" s="2" t="s">
        <v>45</v>
      </c>
      <c r="C4434" s="2" t="s">
        <v>4086</v>
      </c>
      <c r="D4434" s="11" t="n">
        <v>95960</v>
      </c>
      <c r="E4434" s="31" t="n">
        <v>38.8</v>
      </c>
      <c r="F4434" s="31" t="n">
        <v>67.7</v>
      </c>
      <c r="G4434" s="31" t="n">
        <v>30.8</v>
      </c>
      <c r="H4434" s="2" t="s">
        <v>671</v>
      </c>
    </row>
    <row r="4435" customFormat="false" ht="15" hidden="false" customHeight="false" outlineLevel="0" collapsed="false">
      <c r="A4435" s="2" t="s">
        <v>1197</v>
      </c>
      <c r="B4435" s="2" t="s">
        <v>45</v>
      </c>
      <c r="C4435" s="2" t="s">
        <v>4087</v>
      </c>
      <c r="D4435" s="11" t="n">
        <v>96890</v>
      </c>
      <c r="E4435" s="31" t="n">
        <v>28.6</v>
      </c>
      <c r="F4435" s="31" t="n">
        <v>85.3</v>
      </c>
      <c r="G4435" s="31" t="n">
        <v>32.3</v>
      </c>
      <c r="H4435" s="2" t="s">
        <v>671</v>
      </c>
    </row>
    <row r="4436" customFormat="false" ht="15" hidden="false" customHeight="false" outlineLevel="0" collapsed="false">
      <c r="A4436" s="2" t="s">
        <v>1197</v>
      </c>
      <c r="B4436" s="2" t="s">
        <v>46</v>
      </c>
      <c r="C4436" s="2" t="s">
        <v>4085</v>
      </c>
      <c r="D4436" s="11" t="n">
        <v>37751</v>
      </c>
      <c r="E4436" s="31" t="n">
        <v>47</v>
      </c>
      <c r="F4436" s="31" t="n">
        <v>68.9</v>
      </c>
      <c r="G4436" s="31" t="n">
        <v>20.1</v>
      </c>
      <c r="H4436" s="2" t="s">
        <v>671</v>
      </c>
    </row>
    <row r="4437" customFormat="false" ht="15" hidden="false" customHeight="false" outlineLevel="0" collapsed="false">
      <c r="A4437" s="2" t="s">
        <v>1197</v>
      </c>
      <c r="B4437" s="2" t="s">
        <v>46</v>
      </c>
      <c r="C4437" s="2" t="s">
        <v>4086</v>
      </c>
      <c r="D4437" s="2"/>
      <c r="E4437" s="2"/>
      <c r="F4437" s="2"/>
      <c r="G4437" s="2"/>
      <c r="H4437" s="2" t="s">
        <v>668</v>
      </c>
    </row>
    <row r="4438" customFormat="false" ht="15" hidden="false" customHeight="false" outlineLevel="0" collapsed="false">
      <c r="A4438" s="2" t="s">
        <v>1197</v>
      </c>
      <c r="B4438" s="2" t="s">
        <v>46</v>
      </c>
      <c r="C4438" s="2" t="s">
        <v>4087</v>
      </c>
      <c r="D4438" s="2"/>
      <c r="E4438" s="2"/>
      <c r="F4438" s="2"/>
      <c r="G4438" s="2"/>
      <c r="H4438" s="2" t="s">
        <v>668</v>
      </c>
    </row>
    <row r="4439" customFormat="false" ht="15" hidden="false" customHeight="false" outlineLevel="0" collapsed="false">
      <c r="A4439" s="2" t="s">
        <v>1197</v>
      </c>
      <c r="B4439" s="2" t="s">
        <v>47</v>
      </c>
      <c r="C4439" s="2" t="s">
        <v>4085</v>
      </c>
      <c r="D4439" s="11" t="n">
        <v>747</v>
      </c>
      <c r="E4439" s="2"/>
      <c r="F4439" s="31" t="n">
        <v>86.7</v>
      </c>
      <c r="G4439" s="31" t="n">
        <v>62.4</v>
      </c>
      <c r="H4439" s="2" t="s">
        <v>668</v>
      </c>
    </row>
    <row r="4440" customFormat="false" ht="15" hidden="false" customHeight="false" outlineLevel="0" collapsed="false">
      <c r="A4440" s="2" t="s">
        <v>1197</v>
      </c>
      <c r="B4440" s="2" t="s">
        <v>47</v>
      </c>
      <c r="C4440" s="2" t="s">
        <v>4086</v>
      </c>
      <c r="D4440" s="11" t="n">
        <v>790</v>
      </c>
      <c r="E4440" s="31" t="n">
        <v>82.4</v>
      </c>
      <c r="F4440" s="31" t="n">
        <v>66.2</v>
      </c>
      <c r="G4440" s="31" t="n">
        <v>38.5</v>
      </c>
      <c r="H4440" s="2" t="s">
        <v>671</v>
      </c>
    </row>
    <row r="4441" customFormat="false" ht="15" hidden="false" customHeight="false" outlineLevel="0" collapsed="false">
      <c r="A4441" s="2" t="s">
        <v>1197</v>
      </c>
      <c r="B4441" s="2" t="s">
        <v>47</v>
      </c>
      <c r="C4441" s="2" t="s">
        <v>4087</v>
      </c>
      <c r="D4441" s="11" t="n">
        <v>850</v>
      </c>
      <c r="E4441" s="31" t="n">
        <v>90.3</v>
      </c>
      <c r="F4441" s="31" t="n">
        <v>73.3</v>
      </c>
      <c r="G4441" s="31" t="n">
        <v>31</v>
      </c>
      <c r="H4441" s="2" t="s">
        <v>671</v>
      </c>
    </row>
    <row r="4442" customFormat="false" ht="15" hidden="false" customHeight="false" outlineLevel="0" collapsed="false">
      <c r="A4442" s="2" t="s">
        <v>1354</v>
      </c>
      <c r="B4442" s="2" t="s">
        <v>4104</v>
      </c>
      <c r="C4442" s="2" t="s">
        <v>4085</v>
      </c>
      <c r="D4442" s="2"/>
      <c r="E4442" s="31" t="n">
        <v>34.8</v>
      </c>
      <c r="F4442" s="31" t="n">
        <v>34.6</v>
      </c>
      <c r="G4442" s="31" t="n">
        <v>37.1</v>
      </c>
      <c r="H4442" s="2" t="s">
        <v>671</v>
      </c>
    </row>
    <row r="4443" customFormat="false" ht="15" hidden="false" customHeight="false" outlineLevel="0" collapsed="false">
      <c r="A4443" s="2" t="s">
        <v>1354</v>
      </c>
      <c r="B4443" s="2" t="s">
        <v>4104</v>
      </c>
      <c r="C4443" s="2" t="s">
        <v>4086</v>
      </c>
      <c r="D4443" s="2"/>
      <c r="E4443" s="31" t="n">
        <v>31</v>
      </c>
      <c r="F4443" s="31" t="n">
        <v>51.8</v>
      </c>
      <c r="G4443" s="31" t="n">
        <v>2.3</v>
      </c>
      <c r="H4443" s="2" t="s">
        <v>668</v>
      </c>
    </row>
    <row r="4444" customFormat="false" ht="15" hidden="false" customHeight="false" outlineLevel="0" collapsed="false">
      <c r="A4444" s="2" t="s">
        <v>1354</v>
      </c>
      <c r="B4444" s="2" t="s">
        <v>4104</v>
      </c>
      <c r="C4444" s="2" t="s">
        <v>4087</v>
      </c>
      <c r="D4444" s="2"/>
      <c r="E4444" s="31" t="n">
        <v>29</v>
      </c>
      <c r="F4444" s="31" t="n">
        <v>53.6</v>
      </c>
      <c r="G4444" s="31" t="n">
        <v>4.2</v>
      </c>
      <c r="H4444" s="2" t="s">
        <v>668</v>
      </c>
    </row>
    <row r="4445" customFormat="false" ht="15" hidden="false" customHeight="false" outlineLevel="0" collapsed="false">
      <c r="A4445" s="2" t="s">
        <v>1354</v>
      </c>
      <c r="B4445" s="2" t="s">
        <v>45</v>
      </c>
      <c r="C4445" s="2" t="s">
        <v>4085</v>
      </c>
      <c r="D4445" s="11" t="n">
        <v>48440</v>
      </c>
      <c r="E4445" s="31" t="n">
        <v>1.9</v>
      </c>
      <c r="F4445" s="31" t="n">
        <v>71.2</v>
      </c>
      <c r="G4445" s="2"/>
      <c r="H4445" s="2" t="s">
        <v>671</v>
      </c>
    </row>
    <row r="4446" customFormat="false" ht="15" hidden="false" customHeight="false" outlineLevel="0" collapsed="false">
      <c r="A4446" s="2" t="s">
        <v>1354</v>
      </c>
      <c r="B4446" s="2" t="s">
        <v>45</v>
      </c>
      <c r="C4446" s="2" t="s">
        <v>4086</v>
      </c>
      <c r="D4446" s="11" t="n">
        <v>49638</v>
      </c>
      <c r="E4446" s="31" t="n">
        <v>7.9</v>
      </c>
      <c r="F4446" s="31" t="n">
        <v>69.1</v>
      </c>
      <c r="G4446" s="2"/>
      <c r="H4446" s="2" t="s">
        <v>671</v>
      </c>
    </row>
    <row r="4447" customFormat="false" ht="15" hidden="false" customHeight="false" outlineLevel="0" collapsed="false">
      <c r="A4447" s="2" t="s">
        <v>1354</v>
      </c>
      <c r="B4447" s="2" t="s">
        <v>45</v>
      </c>
      <c r="C4447" s="2" t="s">
        <v>4087</v>
      </c>
      <c r="D4447" s="11" t="n">
        <v>51921</v>
      </c>
      <c r="E4447" s="31" t="n">
        <v>3.8</v>
      </c>
      <c r="F4447" s="31" t="n">
        <v>82.1</v>
      </c>
      <c r="G4447" s="2"/>
      <c r="H4447" s="2" t="s">
        <v>671</v>
      </c>
    </row>
    <row r="4448" customFormat="false" ht="15" hidden="false" customHeight="false" outlineLevel="0" collapsed="false">
      <c r="A4448" s="2" t="s">
        <v>1354</v>
      </c>
      <c r="B4448" s="2" t="s">
        <v>46</v>
      </c>
      <c r="C4448" s="2" t="s">
        <v>4085</v>
      </c>
      <c r="D4448" s="11" t="n">
        <v>123350</v>
      </c>
      <c r="E4448" s="31" t="n">
        <v>41.7</v>
      </c>
      <c r="F4448" s="31" t="n">
        <v>8.3</v>
      </c>
      <c r="G4448" s="31" t="n">
        <v>72.1</v>
      </c>
      <c r="H4448" s="2" t="s">
        <v>671</v>
      </c>
    </row>
    <row r="4449" customFormat="false" ht="15" hidden="false" customHeight="false" outlineLevel="0" collapsed="false">
      <c r="A4449" s="2" t="s">
        <v>1354</v>
      </c>
      <c r="B4449" s="2" t="s">
        <v>46</v>
      </c>
      <c r="C4449" s="2" t="s">
        <v>4086</v>
      </c>
      <c r="D4449" s="2"/>
      <c r="E4449" s="2"/>
      <c r="F4449" s="2"/>
      <c r="G4449" s="2"/>
      <c r="H4449" s="2" t="s">
        <v>668</v>
      </c>
    </row>
    <row r="4450" customFormat="false" ht="15" hidden="false" customHeight="false" outlineLevel="0" collapsed="false">
      <c r="A4450" s="2" t="s">
        <v>1354</v>
      </c>
      <c r="B4450" s="2" t="s">
        <v>46</v>
      </c>
      <c r="C4450" s="2" t="s">
        <v>4087</v>
      </c>
      <c r="D4450" s="2"/>
      <c r="E4450" s="2"/>
      <c r="F4450" s="2"/>
      <c r="G4450" s="2"/>
      <c r="H4450" s="2" t="s">
        <v>668</v>
      </c>
    </row>
    <row r="4451" customFormat="false" ht="15" hidden="false" customHeight="false" outlineLevel="0" collapsed="false">
      <c r="A4451" s="2" t="s">
        <v>1354</v>
      </c>
      <c r="B4451" s="2" t="s">
        <v>47</v>
      </c>
      <c r="C4451" s="2" t="s">
        <v>4085</v>
      </c>
      <c r="D4451" s="11" t="n">
        <v>36526</v>
      </c>
      <c r="E4451" s="31" t="n">
        <v>60.9</v>
      </c>
      <c r="F4451" s="31" t="n">
        <v>24.2</v>
      </c>
      <c r="G4451" s="31" t="n">
        <v>2.1</v>
      </c>
      <c r="H4451" s="2" t="s">
        <v>671</v>
      </c>
    </row>
    <row r="4452" customFormat="false" ht="15" hidden="false" customHeight="false" outlineLevel="0" collapsed="false">
      <c r="A4452" s="2" t="s">
        <v>1354</v>
      </c>
      <c r="B4452" s="2" t="s">
        <v>47</v>
      </c>
      <c r="C4452" s="2" t="s">
        <v>4086</v>
      </c>
      <c r="D4452" s="11" t="n">
        <v>37490</v>
      </c>
      <c r="E4452" s="31" t="n">
        <v>54</v>
      </c>
      <c r="F4452" s="31" t="n">
        <v>34.4</v>
      </c>
      <c r="G4452" s="31" t="n">
        <v>2.3</v>
      </c>
      <c r="H4452" s="2" t="s">
        <v>671</v>
      </c>
    </row>
    <row r="4453" customFormat="false" ht="15" hidden="false" customHeight="false" outlineLevel="0" collapsed="false">
      <c r="A4453" s="2" t="s">
        <v>1354</v>
      </c>
      <c r="B4453" s="2" t="s">
        <v>47</v>
      </c>
      <c r="C4453" s="2" t="s">
        <v>4087</v>
      </c>
      <c r="D4453" s="11" t="n">
        <v>36905</v>
      </c>
      <c r="E4453" s="31" t="n">
        <v>54.2</v>
      </c>
      <c r="F4453" s="31" t="n">
        <v>25.2</v>
      </c>
      <c r="G4453" s="31" t="n">
        <v>4.2</v>
      </c>
      <c r="H4453" s="2" t="s">
        <v>671</v>
      </c>
    </row>
    <row r="4454" customFormat="false" ht="15" hidden="false" customHeight="false" outlineLevel="0" collapsed="false">
      <c r="A4454" s="2" t="s">
        <v>2976</v>
      </c>
      <c r="B4454" s="2" t="s">
        <v>4104</v>
      </c>
      <c r="C4454" s="2" t="s">
        <v>4087</v>
      </c>
      <c r="D4454" s="2"/>
      <c r="E4454" s="2"/>
      <c r="F4454" s="2"/>
      <c r="G4454" s="2"/>
      <c r="H4454" s="2" t="s">
        <v>668</v>
      </c>
    </row>
    <row r="4455" customFormat="false" ht="15" hidden="false" customHeight="false" outlineLevel="0" collapsed="false">
      <c r="A4455" s="2" t="s">
        <v>2976</v>
      </c>
      <c r="B4455" s="2" t="s">
        <v>46</v>
      </c>
      <c r="C4455" s="2" t="s">
        <v>4087</v>
      </c>
      <c r="D4455" s="2"/>
      <c r="E4455" s="2"/>
      <c r="F4455" s="2"/>
      <c r="G4455" s="2"/>
      <c r="H4455" s="2" t="s">
        <v>668</v>
      </c>
    </row>
    <row r="4456" customFormat="false" ht="15" hidden="false" customHeight="false" outlineLevel="0" collapsed="false">
      <c r="A4456" s="2" t="s">
        <v>2377</v>
      </c>
      <c r="B4456" s="2" t="s">
        <v>4104</v>
      </c>
      <c r="C4456" s="2" t="s">
        <v>4085</v>
      </c>
      <c r="D4456" s="2"/>
      <c r="E4456" s="31" t="n">
        <v>56</v>
      </c>
      <c r="F4456" s="31" t="n">
        <v>66.1</v>
      </c>
      <c r="G4456" s="31" t="n">
        <v>46.6</v>
      </c>
      <c r="H4456" s="2" t="s">
        <v>668</v>
      </c>
    </row>
    <row r="4457" customFormat="false" ht="15" hidden="false" customHeight="false" outlineLevel="0" collapsed="false">
      <c r="A4457" s="2" t="s">
        <v>2377</v>
      </c>
      <c r="B4457" s="2" t="s">
        <v>4104</v>
      </c>
      <c r="C4457" s="2" t="s">
        <v>4086</v>
      </c>
      <c r="D4457" s="2"/>
      <c r="E4457" s="31" t="n">
        <v>31.4</v>
      </c>
      <c r="F4457" s="31" t="n">
        <v>53.7</v>
      </c>
      <c r="G4457" s="31" t="n">
        <v>77.1</v>
      </c>
      <c r="H4457" s="2" t="s">
        <v>668</v>
      </c>
    </row>
    <row r="4458" customFormat="false" ht="15" hidden="false" customHeight="false" outlineLevel="0" collapsed="false">
      <c r="A4458" s="2" t="s">
        <v>2377</v>
      </c>
      <c r="B4458" s="2" t="s">
        <v>4104</v>
      </c>
      <c r="C4458" s="2" t="s">
        <v>4087</v>
      </c>
      <c r="D4458" s="2"/>
      <c r="E4458" s="31" t="n">
        <v>42</v>
      </c>
      <c r="F4458" s="31" t="n">
        <v>64.6</v>
      </c>
      <c r="G4458" s="31" t="n">
        <v>24.4</v>
      </c>
      <c r="H4458" s="2" t="s">
        <v>668</v>
      </c>
    </row>
    <row r="4459" customFormat="false" ht="15" hidden="false" customHeight="false" outlineLevel="0" collapsed="false">
      <c r="A4459" s="2" t="s">
        <v>2377</v>
      </c>
      <c r="B4459" s="2" t="s">
        <v>45</v>
      </c>
      <c r="C4459" s="2" t="s">
        <v>4085</v>
      </c>
      <c r="D4459" s="2"/>
      <c r="E4459" s="2"/>
      <c r="F4459" s="2"/>
      <c r="G4459" s="2"/>
      <c r="H4459" s="2" t="s">
        <v>668</v>
      </c>
    </row>
    <row r="4460" customFormat="false" ht="15" hidden="false" customHeight="false" outlineLevel="0" collapsed="false">
      <c r="A4460" s="2" t="s">
        <v>2377</v>
      </c>
      <c r="B4460" s="2" t="s">
        <v>45</v>
      </c>
      <c r="C4460" s="2" t="s">
        <v>4086</v>
      </c>
      <c r="D4460" s="11" t="n">
        <v>47730</v>
      </c>
      <c r="E4460" s="31" t="n">
        <v>16.4</v>
      </c>
      <c r="F4460" s="31" t="n">
        <v>84.5</v>
      </c>
      <c r="G4460" s="31" t="n">
        <v>94.9</v>
      </c>
      <c r="H4460" s="2" t="s">
        <v>671</v>
      </c>
    </row>
    <row r="4461" customFormat="false" ht="15" hidden="false" customHeight="false" outlineLevel="0" collapsed="false">
      <c r="A4461" s="2" t="s">
        <v>2377</v>
      </c>
      <c r="B4461" s="2" t="s">
        <v>45</v>
      </c>
      <c r="C4461" s="2" t="s">
        <v>4087</v>
      </c>
      <c r="D4461" s="11" t="n">
        <v>8936</v>
      </c>
      <c r="E4461" s="2"/>
      <c r="F4461" s="31" t="n">
        <v>50</v>
      </c>
      <c r="G4461" s="2"/>
      <c r="H4461" s="2" t="s">
        <v>668</v>
      </c>
    </row>
    <row r="4462" customFormat="false" ht="15" hidden="false" customHeight="false" outlineLevel="0" collapsed="false">
      <c r="A4462" s="2" t="s">
        <v>2377</v>
      </c>
      <c r="B4462" s="2" t="s">
        <v>46</v>
      </c>
      <c r="C4462" s="2" t="s">
        <v>4085</v>
      </c>
      <c r="D4462" s="11" t="n">
        <v>11309</v>
      </c>
      <c r="E4462" s="31" t="n">
        <v>62.6</v>
      </c>
      <c r="F4462" s="31" t="n">
        <v>47.9</v>
      </c>
      <c r="G4462" s="31" t="n">
        <v>37.7</v>
      </c>
      <c r="H4462" s="2" t="s">
        <v>671</v>
      </c>
    </row>
    <row r="4463" customFormat="false" ht="15" hidden="false" customHeight="false" outlineLevel="0" collapsed="false">
      <c r="A4463" s="2" t="s">
        <v>2377</v>
      </c>
      <c r="B4463" s="2" t="s">
        <v>46</v>
      </c>
      <c r="C4463" s="2" t="s">
        <v>4086</v>
      </c>
      <c r="D4463" s="11" t="n">
        <v>11240</v>
      </c>
      <c r="E4463" s="31" t="n">
        <v>46.4</v>
      </c>
      <c r="F4463" s="31" t="n">
        <v>22.9</v>
      </c>
      <c r="G4463" s="31" t="n">
        <v>59.2</v>
      </c>
      <c r="H4463" s="2" t="s">
        <v>671</v>
      </c>
    </row>
    <row r="4464" customFormat="false" ht="15" hidden="false" customHeight="false" outlineLevel="0" collapsed="false">
      <c r="A4464" s="2" t="s">
        <v>2377</v>
      </c>
      <c r="B4464" s="2" t="s">
        <v>46</v>
      </c>
      <c r="C4464" s="2" t="s">
        <v>4087</v>
      </c>
      <c r="D4464" s="2"/>
      <c r="E4464" s="2"/>
      <c r="F4464" s="2"/>
      <c r="G4464" s="2"/>
      <c r="H4464" s="2" t="s">
        <v>668</v>
      </c>
    </row>
    <row r="4465" customFormat="false" ht="15" hidden="false" customHeight="false" outlineLevel="0" collapsed="false">
      <c r="A4465" s="2" t="s">
        <v>2377</v>
      </c>
      <c r="B4465" s="2" t="s">
        <v>47</v>
      </c>
      <c r="C4465" s="2" t="s">
        <v>4085</v>
      </c>
      <c r="D4465" s="11" t="n">
        <v>37563</v>
      </c>
      <c r="E4465" s="31" t="n">
        <v>49.5</v>
      </c>
      <c r="F4465" s="31" t="n">
        <v>84.3</v>
      </c>
      <c r="G4465" s="31" t="n">
        <v>55.4</v>
      </c>
      <c r="H4465" s="2" t="s">
        <v>671</v>
      </c>
    </row>
    <row r="4466" customFormat="false" ht="15" hidden="false" customHeight="false" outlineLevel="0" collapsed="false">
      <c r="A4466" s="2" t="s">
        <v>2377</v>
      </c>
      <c r="B4466" s="2" t="s">
        <v>47</v>
      </c>
      <c r="C4466" s="2" t="s">
        <v>4086</v>
      </c>
      <c r="D4466" s="2"/>
      <c r="E4466" s="2"/>
      <c r="F4466" s="2"/>
      <c r="G4466" s="2"/>
      <c r="H4466" s="2" t="s">
        <v>668</v>
      </c>
    </row>
    <row r="4467" customFormat="false" ht="15" hidden="false" customHeight="false" outlineLevel="0" collapsed="false">
      <c r="A4467" s="2" t="s">
        <v>2377</v>
      </c>
      <c r="B4467" s="2" t="s">
        <v>47</v>
      </c>
      <c r="C4467" s="2" t="s">
        <v>4087</v>
      </c>
      <c r="D4467" s="11" t="n">
        <v>40546</v>
      </c>
      <c r="E4467" s="31" t="n">
        <v>42</v>
      </c>
      <c r="F4467" s="31" t="n">
        <v>79.1</v>
      </c>
      <c r="G4467" s="31" t="n">
        <v>24.4</v>
      </c>
      <c r="H4467" s="2" t="s">
        <v>671</v>
      </c>
    </row>
    <row r="4468" customFormat="false" ht="15" hidden="false" customHeight="false" outlineLevel="0" collapsed="false">
      <c r="A4468" s="2" t="s">
        <v>326</v>
      </c>
      <c r="B4468" s="2" t="s">
        <v>4104</v>
      </c>
      <c r="C4468" s="2" t="s">
        <v>4085</v>
      </c>
      <c r="D4468" s="2"/>
      <c r="E4468" s="31" t="n">
        <v>20.1</v>
      </c>
      <c r="F4468" s="31" t="n">
        <v>69.8</v>
      </c>
      <c r="G4468" s="31" t="n">
        <v>63.1</v>
      </c>
      <c r="H4468" s="2" t="s">
        <v>671</v>
      </c>
    </row>
    <row r="4469" customFormat="false" ht="15" hidden="false" customHeight="false" outlineLevel="0" collapsed="false">
      <c r="A4469" s="2" t="s">
        <v>326</v>
      </c>
      <c r="B4469" s="2" t="s">
        <v>4104</v>
      </c>
      <c r="C4469" s="2" t="s">
        <v>4087</v>
      </c>
      <c r="D4469" s="2"/>
      <c r="E4469" s="31" t="n">
        <v>55.5</v>
      </c>
      <c r="F4469" s="31" t="n">
        <v>65.1</v>
      </c>
      <c r="G4469" s="31" t="n">
        <v>23.8</v>
      </c>
      <c r="H4469" s="2" t="s">
        <v>671</v>
      </c>
    </row>
    <row r="4470" customFormat="false" ht="15" hidden="false" customHeight="false" outlineLevel="0" collapsed="false">
      <c r="A4470" s="2" t="s">
        <v>326</v>
      </c>
      <c r="B4470" s="2" t="s">
        <v>47</v>
      </c>
      <c r="C4470" s="2" t="s">
        <v>4085</v>
      </c>
      <c r="D4470" s="11" t="n">
        <v>893585</v>
      </c>
      <c r="E4470" s="31" t="n">
        <v>20.1</v>
      </c>
      <c r="F4470" s="31" t="n">
        <v>69.8</v>
      </c>
      <c r="G4470" s="31" t="n">
        <v>63.1</v>
      </c>
      <c r="H4470" s="2" t="s">
        <v>671</v>
      </c>
    </row>
    <row r="4471" customFormat="false" ht="15" hidden="false" customHeight="false" outlineLevel="0" collapsed="false">
      <c r="A4471" s="2" t="s">
        <v>326</v>
      </c>
      <c r="B4471" s="2" t="s">
        <v>47</v>
      </c>
      <c r="C4471" s="2" t="s">
        <v>4087</v>
      </c>
      <c r="D4471" s="11" t="n">
        <v>937637</v>
      </c>
      <c r="E4471" s="31" t="n">
        <v>55.5</v>
      </c>
      <c r="F4471" s="31" t="n">
        <v>65.1</v>
      </c>
      <c r="G4471" s="31" t="n">
        <v>23.8</v>
      </c>
      <c r="H4471" s="2" t="s">
        <v>671</v>
      </c>
    </row>
    <row r="4472" customFormat="false" ht="15" hidden="false" customHeight="false" outlineLevel="0" collapsed="false">
      <c r="A4472" s="2" t="s">
        <v>1501</v>
      </c>
      <c r="B4472" s="2" t="s">
        <v>4104</v>
      </c>
      <c r="C4472" s="2" t="s">
        <v>4085</v>
      </c>
      <c r="D4472" s="2"/>
      <c r="E4472" s="31" t="n">
        <v>70.1</v>
      </c>
      <c r="F4472" s="31" t="n">
        <v>50</v>
      </c>
      <c r="G4472" s="31" t="n">
        <v>26.6</v>
      </c>
      <c r="H4472" s="2" t="s">
        <v>668</v>
      </c>
    </row>
    <row r="4473" customFormat="false" ht="15" hidden="false" customHeight="false" outlineLevel="0" collapsed="false">
      <c r="A4473" s="2" t="s">
        <v>1501</v>
      </c>
      <c r="B4473" s="2" t="s">
        <v>4104</v>
      </c>
      <c r="C4473" s="2" t="s">
        <v>4086</v>
      </c>
      <c r="D4473" s="2"/>
      <c r="E4473" s="31" t="n">
        <v>62.4</v>
      </c>
      <c r="F4473" s="31" t="n">
        <v>48.2</v>
      </c>
      <c r="G4473" s="31" t="n">
        <v>45.2</v>
      </c>
      <c r="H4473" s="2" t="s">
        <v>668</v>
      </c>
    </row>
    <row r="4474" customFormat="false" ht="15" hidden="false" customHeight="false" outlineLevel="0" collapsed="false">
      <c r="A4474" s="2" t="s">
        <v>1501</v>
      </c>
      <c r="B4474" s="2" t="s">
        <v>4104</v>
      </c>
      <c r="C4474" s="2" t="s">
        <v>4087</v>
      </c>
      <c r="D4474" s="2"/>
      <c r="E4474" s="31" t="n">
        <v>61.6</v>
      </c>
      <c r="F4474" s="31" t="n">
        <v>55.2</v>
      </c>
      <c r="G4474" s="31" t="n">
        <v>64.1</v>
      </c>
      <c r="H4474" s="2" t="s">
        <v>668</v>
      </c>
    </row>
    <row r="4475" customFormat="false" ht="15" hidden="false" customHeight="false" outlineLevel="0" collapsed="false">
      <c r="A4475" s="2" t="s">
        <v>1501</v>
      </c>
      <c r="B4475" s="2" t="s">
        <v>45</v>
      </c>
      <c r="C4475" s="2" t="s">
        <v>4085</v>
      </c>
      <c r="D4475" s="11" t="n">
        <v>960</v>
      </c>
      <c r="E4475" s="31" t="n">
        <v>87.9</v>
      </c>
      <c r="F4475" s="2"/>
      <c r="G4475" s="31" t="n">
        <v>3.9</v>
      </c>
      <c r="H4475" s="2" t="s">
        <v>668</v>
      </c>
    </row>
    <row r="4476" customFormat="false" ht="15" hidden="false" customHeight="false" outlineLevel="0" collapsed="false">
      <c r="A4476" s="2" t="s">
        <v>1501</v>
      </c>
      <c r="B4476" s="2" t="s">
        <v>45</v>
      </c>
      <c r="C4476" s="2" t="s">
        <v>4086</v>
      </c>
      <c r="D4476" s="11" t="n">
        <v>970</v>
      </c>
      <c r="E4476" s="31" t="n">
        <v>77.1</v>
      </c>
      <c r="F4476" s="31" t="n">
        <v>11.3</v>
      </c>
      <c r="G4476" s="31" t="n">
        <v>1.3</v>
      </c>
      <c r="H4476" s="2" t="s">
        <v>671</v>
      </c>
    </row>
    <row r="4477" customFormat="false" ht="15" hidden="false" customHeight="false" outlineLevel="0" collapsed="false">
      <c r="A4477" s="2" t="s">
        <v>1501</v>
      </c>
      <c r="B4477" s="2" t="s">
        <v>45</v>
      </c>
      <c r="C4477" s="2" t="s">
        <v>4087</v>
      </c>
      <c r="D4477" s="2"/>
      <c r="E4477" s="2"/>
      <c r="F4477" s="2"/>
      <c r="G4477" s="2"/>
      <c r="H4477" s="2" t="s">
        <v>668</v>
      </c>
    </row>
    <row r="4478" customFormat="false" ht="15" hidden="false" customHeight="false" outlineLevel="0" collapsed="false">
      <c r="A4478" s="2" t="s">
        <v>1501</v>
      </c>
      <c r="B4478" s="2" t="s">
        <v>46</v>
      </c>
      <c r="C4478" s="2" t="s">
        <v>4085</v>
      </c>
      <c r="D4478" s="11" t="n">
        <v>115046</v>
      </c>
      <c r="E4478" s="31" t="n">
        <v>85.5</v>
      </c>
      <c r="F4478" s="31" t="n">
        <v>19.9</v>
      </c>
      <c r="G4478" s="31" t="n">
        <v>40.9</v>
      </c>
      <c r="H4478" s="2" t="s">
        <v>671</v>
      </c>
    </row>
    <row r="4479" customFormat="false" ht="15" hidden="false" customHeight="false" outlineLevel="0" collapsed="false">
      <c r="A4479" s="2" t="s">
        <v>1501</v>
      </c>
      <c r="B4479" s="2" t="s">
        <v>46</v>
      </c>
      <c r="C4479" s="2" t="s">
        <v>4086</v>
      </c>
      <c r="D4479" s="2"/>
      <c r="E4479" s="2"/>
      <c r="F4479" s="2"/>
      <c r="G4479" s="2"/>
      <c r="H4479" s="2" t="s">
        <v>668</v>
      </c>
    </row>
    <row r="4480" customFormat="false" ht="15" hidden="false" customHeight="false" outlineLevel="0" collapsed="false">
      <c r="A4480" s="2" t="s">
        <v>1501</v>
      </c>
      <c r="B4480" s="2" t="s">
        <v>46</v>
      </c>
      <c r="C4480" s="2" t="s">
        <v>4087</v>
      </c>
      <c r="D4480" s="11" t="n">
        <v>122670</v>
      </c>
      <c r="E4480" s="31" t="n">
        <v>81.6</v>
      </c>
      <c r="F4480" s="31" t="n">
        <v>38.4</v>
      </c>
      <c r="G4480" s="31" t="n">
        <v>75.6</v>
      </c>
      <c r="H4480" s="2" t="s">
        <v>671</v>
      </c>
    </row>
    <row r="4481" customFormat="false" ht="15" hidden="false" customHeight="false" outlineLevel="0" collapsed="false">
      <c r="A4481" s="2" t="s">
        <v>1501</v>
      </c>
      <c r="B4481" s="2" t="s">
        <v>47</v>
      </c>
      <c r="C4481" s="2" t="s">
        <v>4085</v>
      </c>
      <c r="D4481" s="11" t="n">
        <v>2273</v>
      </c>
      <c r="E4481" s="31" t="n">
        <v>37</v>
      </c>
      <c r="F4481" s="31" t="n">
        <v>80</v>
      </c>
      <c r="G4481" s="31" t="n">
        <v>34.9</v>
      </c>
      <c r="H4481" s="2" t="s">
        <v>671</v>
      </c>
    </row>
    <row r="4482" customFormat="false" ht="15" hidden="false" customHeight="false" outlineLevel="0" collapsed="false">
      <c r="A4482" s="2" t="s">
        <v>1501</v>
      </c>
      <c r="B4482" s="2" t="s">
        <v>47</v>
      </c>
      <c r="C4482" s="2" t="s">
        <v>4086</v>
      </c>
      <c r="D4482" s="11" t="n">
        <v>2462</v>
      </c>
      <c r="E4482" s="31" t="n">
        <v>47.8</v>
      </c>
      <c r="F4482" s="31" t="n">
        <v>85</v>
      </c>
      <c r="G4482" s="31" t="n">
        <v>89.2</v>
      </c>
      <c r="H4482" s="2" t="s">
        <v>671</v>
      </c>
    </row>
    <row r="4483" customFormat="false" ht="15" hidden="false" customHeight="false" outlineLevel="0" collapsed="false">
      <c r="A4483" s="2" t="s">
        <v>1501</v>
      </c>
      <c r="B4483" s="2" t="s">
        <v>47</v>
      </c>
      <c r="C4483" s="2" t="s">
        <v>4087</v>
      </c>
      <c r="D4483" s="11" t="n">
        <v>2665</v>
      </c>
      <c r="E4483" s="31" t="n">
        <v>41.6</v>
      </c>
      <c r="F4483" s="31" t="n">
        <v>72</v>
      </c>
      <c r="G4483" s="31" t="n">
        <v>52.6</v>
      </c>
      <c r="H4483" s="2" t="s">
        <v>671</v>
      </c>
    </row>
    <row r="4484" customFormat="false" ht="15" hidden="false" customHeight="false" outlineLevel="0" collapsed="false">
      <c r="A4484" s="2" t="s">
        <v>454</v>
      </c>
      <c r="B4484" s="2" t="s">
        <v>4104</v>
      </c>
      <c r="C4484" s="2" t="s">
        <v>4085</v>
      </c>
      <c r="D4484" s="2"/>
      <c r="E4484" s="31" t="n">
        <v>62.2</v>
      </c>
      <c r="F4484" s="31" t="n">
        <v>34</v>
      </c>
      <c r="G4484" s="31" t="n">
        <v>68</v>
      </c>
      <c r="H4484" s="2" t="s">
        <v>671</v>
      </c>
    </row>
    <row r="4485" customFormat="false" ht="15" hidden="false" customHeight="false" outlineLevel="0" collapsed="false">
      <c r="A4485" s="2" t="s">
        <v>454</v>
      </c>
      <c r="B4485" s="2" t="s">
        <v>4104</v>
      </c>
      <c r="C4485" s="2" t="s">
        <v>4086</v>
      </c>
      <c r="D4485" s="2"/>
      <c r="E4485" s="31" t="n">
        <v>53.6</v>
      </c>
      <c r="F4485" s="31" t="n">
        <v>46.5</v>
      </c>
      <c r="G4485" s="31" t="n">
        <v>60.9</v>
      </c>
      <c r="H4485" s="2" t="s">
        <v>671</v>
      </c>
    </row>
    <row r="4486" customFormat="false" ht="15" hidden="false" customHeight="false" outlineLevel="0" collapsed="false">
      <c r="A4486" s="2" t="s">
        <v>454</v>
      </c>
      <c r="B4486" s="2" t="s">
        <v>4104</v>
      </c>
      <c r="C4486" s="2" t="s">
        <v>4087</v>
      </c>
      <c r="D4486" s="2"/>
      <c r="E4486" s="31" t="n">
        <v>41</v>
      </c>
      <c r="F4486" s="31" t="n">
        <v>18.5</v>
      </c>
      <c r="G4486" s="31" t="n">
        <v>44.6</v>
      </c>
      <c r="H4486" s="2" t="s">
        <v>671</v>
      </c>
    </row>
    <row r="4487" customFormat="false" ht="15" hidden="false" customHeight="false" outlineLevel="0" collapsed="false">
      <c r="A4487" s="2" t="s">
        <v>454</v>
      </c>
      <c r="B4487" s="2" t="s">
        <v>46</v>
      </c>
      <c r="C4487" s="2" t="s">
        <v>4085</v>
      </c>
      <c r="D4487" s="11" t="n">
        <v>298150</v>
      </c>
      <c r="E4487" s="31" t="n">
        <v>62.2</v>
      </c>
      <c r="F4487" s="31" t="n">
        <v>34</v>
      </c>
      <c r="G4487" s="31" t="n">
        <v>68</v>
      </c>
      <c r="H4487" s="2" t="s">
        <v>671</v>
      </c>
    </row>
    <row r="4488" customFormat="false" ht="15" hidden="false" customHeight="false" outlineLevel="0" collapsed="false">
      <c r="A4488" s="2" t="s">
        <v>454</v>
      </c>
      <c r="B4488" s="2" t="s">
        <v>46</v>
      </c>
      <c r="C4488" s="2" t="s">
        <v>4086</v>
      </c>
      <c r="D4488" s="11" t="n">
        <v>302830</v>
      </c>
      <c r="E4488" s="31" t="n">
        <v>53.6</v>
      </c>
      <c r="F4488" s="31" t="n">
        <v>46.5</v>
      </c>
      <c r="G4488" s="31" t="n">
        <v>60.9</v>
      </c>
      <c r="H4488" s="2" t="s">
        <v>671</v>
      </c>
    </row>
    <row r="4489" customFormat="false" ht="15" hidden="false" customHeight="false" outlineLevel="0" collapsed="false">
      <c r="A4489" s="2" t="s">
        <v>454</v>
      </c>
      <c r="B4489" s="2" t="s">
        <v>46</v>
      </c>
      <c r="C4489" s="2" t="s">
        <v>4087</v>
      </c>
      <c r="D4489" s="11" t="n">
        <v>311023</v>
      </c>
      <c r="E4489" s="31" t="n">
        <v>41</v>
      </c>
      <c r="F4489" s="31" t="n">
        <v>18.5</v>
      </c>
      <c r="G4489" s="31" t="n">
        <v>44.6</v>
      </c>
      <c r="H4489" s="2" t="s">
        <v>671</v>
      </c>
    </row>
    <row r="4490" customFormat="false" ht="15" hidden="false" customHeight="false" outlineLevel="0" collapsed="false">
      <c r="A4490" s="2" t="s">
        <v>222</v>
      </c>
      <c r="B4490" s="2" t="s">
        <v>4104</v>
      </c>
      <c r="C4490" s="2" t="s">
        <v>4085</v>
      </c>
      <c r="D4490" s="2"/>
      <c r="E4490" s="31" t="n">
        <v>72.3</v>
      </c>
      <c r="F4490" s="31" t="n">
        <v>46.5</v>
      </c>
      <c r="G4490" s="31" t="n">
        <v>33.7</v>
      </c>
      <c r="H4490" s="2" t="s">
        <v>671</v>
      </c>
    </row>
    <row r="4491" customFormat="false" ht="15" hidden="false" customHeight="false" outlineLevel="0" collapsed="false">
      <c r="A4491" s="2" t="s">
        <v>222</v>
      </c>
      <c r="B4491" s="2" t="s">
        <v>4104</v>
      </c>
      <c r="C4491" s="2" t="s">
        <v>4086</v>
      </c>
      <c r="D4491" s="2"/>
      <c r="E4491" s="31" t="n">
        <v>73</v>
      </c>
      <c r="F4491" s="31" t="n">
        <v>50</v>
      </c>
      <c r="G4491" s="31" t="n">
        <v>35.4</v>
      </c>
      <c r="H4491" s="2" t="s">
        <v>668</v>
      </c>
    </row>
    <row r="4492" customFormat="false" ht="15" hidden="false" customHeight="false" outlineLevel="0" collapsed="false">
      <c r="A4492" s="2" t="s">
        <v>222</v>
      </c>
      <c r="B4492" s="2" t="s">
        <v>4104</v>
      </c>
      <c r="C4492" s="2" t="s">
        <v>4087</v>
      </c>
      <c r="D4492" s="2"/>
      <c r="E4492" s="31" t="n">
        <v>67.9</v>
      </c>
      <c r="F4492" s="31" t="n">
        <v>46.4</v>
      </c>
      <c r="G4492" s="31" t="n">
        <v>40.6</v>
      </c>
      <c r="H4492" s="2" t="s">
        <v>671</v>
      </c>
    </row>
    <row r="4493" customFormat="false" ht="15" hidden="false" customHeight="false" outlineLevel="0" collapsed="false">
      <c r="A4493" s="2" t="s">
        <v>222</v>
      </c>
      <c r="B4493" s="2" t="s">
        <v>45</v>
      </c>
      <c r="C4493" s="2" t="s">
        <v>4085</v>
      </c>
      <c r="D4493" s="11" t="n">
        <v>86380</v>
      </c>
      <c r="E4493" s="31" t="n">
        <v>52.1</v>
      </c>
      <c r="F4493" s="31" t="n">
        <v>37.6</v>
      </c>
      <c r="G4493" s="31" t="n">
        <v>17.1</v>
      </c>
      <c r="H4493" s="2" t="s">
        <v>671</v>
      </c>
    </row>
    <row r="4494" customFormat="false" ht="15" hidden="false" customHeight="false" outlineLevel="0" collapsed="false">
      <c r="A4494" s="2" t="s">
        <v>222</v>
      </c>
      <c r="B4494" s="2" t="s">
        <v>45</v>
      </c>
      <c r="C4494" s="2" t="s">
        <v>4086</v>
      </c>
      <c r="D4494" s="11" t="n">
        <v>86360</v>
      </c>
      <c r="E4494" s="31" t="n">
        <v>73</v>
      </c>
      <c r="F4494" s="31" t="n">
        <v>25.1</v>
      </c>
      <c r="G4494" s="31" t="n">
        <v>53.1</v>
      </c>
      <c r="H4494" s="2" t="s">
        <v>671</v>
      </c>
    </row>
    <row r="4495" customFormat="false" ht="15" hidden="false" customHeight="false" outlineLevel="0" collapsed="false">
      <c r="A4495" s="2" t="s">
        <v>222</v>
      </c>
      <c r="B4495" s="2" t="s">
        <v>45</v>
      </c>
      <c r="C4495" s="2" t="s">
        <v>4087</v>
      </c>
      <c r="D4495" s="11" t="n">
        <v>89749</v>
      </c>
      <c r="E4495" s="31" t="n">
        <v>47.4</v>
      </c>
      <c r="F4495" s="31" t="n">
        <v>51.6</v>
      </c>
      <c r="G4495" s="31" t="n">
        <v>56.1</v>
      </c>
      <c r="H4495" s="2" t="s">
        <v>671</v>
      </c>
    </row>
    <row r="4496" customFormat="false" ht="15" hidden="false" customHeight="false" outlineLevel="0" collapsed="false">
      <c r="A4496" s="2" t="s">
        <v>222</v>
      </c>
      <c r="B4496" s="2" t="s">
        <v>46</v>
      </c>
      <c r="C4496" s="2" t="s">
        <v>4085</v>
      </c>
      <c r="D4496" s="11" t="n">
        <v>151039</v>
      </c>
      <c r="E4496" s="31" t="n">
        <v>79.1</v>
      </c>
      <c r="F4496" s="31" t="n">
        <v>16</v>
      </c>
      <c r="G4496" s="31" t="n">
        <v>76.9</v>
      </c>
      <c r="H4496" s="2" t="s">
        <v>671</v>
      </c>
    </row>
    <row r="4497" customFormat="false" ht="15" hidden="false" customHeight="false" outlineLevel="0" collapsed="false">
      <c r="A4497" s="2" t="s">
        <v>222</v>
      </c>
      <c r="B4497" s="2" t="s">
        <v>46</v>
      </c>
      <c r="C4497" s="2" t="s">
        <v>4086</v>
      </c>
      <c r="D4497" s="11" t="n">
        <v>152590</v>
      </c>
      <c r="E4497" s="31" t="n">
        <v>82.5</v>
      </c>
      <c r="F4497" s="31" t="n">
        <v>45.9</v>
      </c>
      <c r="G4497" s="2"/>
      <c r="H4497" s="2" t="s">
        <v>668</v>
      </c>
    </row>
    <row r="4498" customFormat="false" ht="15" hidden="false" customHeight="false" outlineLevel="0" collapsed="false">
      <c r="A4498" s="2" t="s">
        <v>222</v>
      </c>
      <c r="B4498" s="2" t="s">
        <v>46</v>
      </c>
      <c r="C4498" s="2" t="s">
        <v>4087</v>
      </c>
      <c r="D4498" s="11" t="n">
        <v>152560</v>
      </c>
      <c r="E4498" s="31" t="n">
        <v>64.9</v>
      </c>
      <c r="F4498" s="31" t="n">
        <v>3.3</v>
      </c>
      <c r="G4498" s="31" t="n">
        <v>62.7</v>
      </c>
      <c r="H4498" s="2" t="s">
        <v>671</v>
      </c>
    </row>
    <row r="4499" customFormat="false" ht="15" hidden="false" customHeight="false" outlineLevel="0" collapsed="false">
      <c r="A4499" s="2" t="s">
        <v>222</v>
      </c>
      <c r="B4499" s="2" t="s">
        <v>47</v>
      </c>
      <c r="C4499" s="2" t="s">
        <v>4085</v>
      </c>
      <c r="D4499" s="11" t="n">
        <v>25471</v>
      </c>
      <c r="E4499" s="31" t="n">
        <v>85.6</v>
      </c>
      <c r="F4499" s="31" t="n">
        <v>85.9</v>
      </c>
      <c r="G4499" s="31" t="n">
        <v>7.2</v>
      </c>
      <c r="H4499" s="2" t="s">
        <v>671</v>
      </c>
    </row>
    <row r="4500" customFormat="false" ht="15" hidden="false" customHeight="false" outlineLevel="0" collapsed="false">
      <c r="A4500" s="2" t="s">
        <v>222</v>
      </c>
      <c r="B4500" s="2" t="s">
        <v>47</v>
      </c>
      <c r="C4500" s="2" t="s">
        <v>4086</v>
      </c>
      <c r="D4500" s="11" t="n">
        <v>27440</v>
      </c>
      <c r="E4500" s="31" t="n">
        <v>63.5</v>
      </c>
      <c r="F4500" s="31" t="n">
        <v>78.9</v>
      </c>
      <c r="G4500" s="31" t="n">
        <v>17.6</v>
      </c>
      <c r="H4500" s="2" t="s">
        <v>671</v>
      </c>
    </row>
    <row r="4501" customFormat="false" ht="15" hidden="false" customHeight="false" outlineLevel="0" collapsed="false">
      <c r="A4501" s="2" t="s">
        <v>222</v>
      </c>
      <c r="B4501" s="2" t="s">
        <v>47</v>
      </c>
      <c r="C4501" s="2" t="s">
        <v>4087</v>
      </c>
      <c r="D4501" s="11" t="n">
        <v>28341</v>
      </c>
      <c r="E4501" s="31" t="n">
        <v>91.3</v>
      </c>
      <c r="F4501" s="31" t="n">
        <v>84.4</v>
      </c>
      <c r="G4501" s="31" t="n">
        <v>2.9</v>
      </c>
      <c r="H4501" s="2" t="s">
        <v>671</v>
      </c>
    </row>
    <row r="4502" customFormat="false" ht="15" hidden="false" customHeight="false" outlineLevel="0" collapsed="false">
      <c r="A4502" s="2" t="s">
        <v>758</v>
      </c>
      <c r="B4502" s="2" t="s">
        <v>4104</v>
      </c>
      <c r="C4502" s="2" t="s">
        <v>4085</v>
      </c>
      <c r="D4502" s="2"/>
      <c r="E4502" s="31" t="n">
        <v>11.8</v>
      </c>
      <c r="F4502" s="31" t="n">
        <v>57.2</v>
      </c>
      <c r="G4502" s="31" t="n">
        <v>44.6</v>
      </c>
      <c r="H4502" s="2" t="s">
        <v>668</v>
      </c>
    </row>
    <row r="4503" customFormat="false" ht="15" hidden="false" customHeight="false" outlineLevel="0" collapsed="false">
      <c r="A4503" s="2" t="s">
        <v>758</v>
      </c>
      <c r="B4503" s="2" t="s">
        <v>4104</v>
      </c>
      <c r="C4503" s="2" t="s">
        <v>4086</v>
      </c>
      <c r="D4503" s="2"/>
      <c r="E4503" s="31" t="n">
        <v>45.1</v>
      </c>
      <c r="F4503" s="31" t="n">
        <v>58.2</v>
      </c>
      <c r="G4503" s="31" t="n">
        <v>85.3</v>
      </c>
      <c r="H4503" s="2" t="s">
        <v>668</v>
      </c>
    </row>
    <row r="4504" customFormat="false" ht="15" hidden="false" customHeight="false" outlineLevel="0" collapsed="false">
      <c r="A4504" s="2" t="s">
        <v>758</v>
      </c>
      <c r="B4504" s="2" t="s">
        <v>4104</v>
      </c>
      <c r="C4504" s="2" t="s">
        <v>4087</v>
      </c>
      <c r="D4504" s="2"/>
      <c r="E4504" s="31" t="n">
        <v>45.2</v>
      </c>
      <c r="F4504" s="31" t="n">
        <v>77.4</v>
      </c>
      <c r="G4504" s="31" t="n">
        <v>52.8</v>
      </c>
      <c r="H4504" s="2" t="s">
        <v>668</v>
      </c>
    </row>
    <row r="4505" customFormat="false" ht="15" hidden="false" customHeight="false" outlineLevel="0" collapsed="false">
      <c r="A4505" s="2" t="s">
        <v>758</v>
      </c>
      <c r="B4505" s="2" t="s">
        <v>45</v>
      </c>
      <c r="C4505" s="2" t="s">
        <v>4085</v>
      </c>
      <c r="D4505" s="2"/>
      <c r="E4505" s="2"/>
      <c r="F4505" s="2"/>
      <c r="G4505" s="2"/>
      <c r="H4505" s="2" t="s">
        <v>668</v>
      </c>
    </row>
    <row r="4506" customFormat="false" ht="15" hidden="false" customHeight="false" outlineLevel="0" collapsed="false">
      <c r="A4506" s="2" t="s">
        <v>758</v>
      </c>
      <c r="B4506" s="2" t="s">
        <v>45</v>
      </c>
      <c r="C4506" s="2" t="s">
        <v>4086</v>
      </c>
      <c r="D4506" s="11" t="n">
        <v>63860</v>
      </c>
      <c r="E4506" s="31" t="n">
        <v>79.8</v>
      </c>
      <c r="F4506" s="31" t="n">
        <v>85.2</v>
      </c>
      <c r="G4506" s="31" t="n">
        <v>83.7</v>
      </c>
      <c r="H4506" s="2" t="s">
        <v>671</v>
      </c>
    </row>
    <row r="4507" customFormat="false" ht="15" hidden="false" customHeight="false" outlineLevel="0" collapsed="false">
      <c r="A4507" s="2" t="s">
        <v>758</v>
      </c>
      <c r="B4507" s="2" t="s">
        <v>45</v>
      </c>
      <c r="C4507" s="2" t="s">
        <v>4087</v>
      </c>
      <c r="D4507" s="11" t="n">
        <v>65660</v>
      </c>
      <c r="E4507" s="31" t="n">
        <v>88.7</v>
      </c>
      <c r="F4507" s="31" t="n">
        <v>77.4</v>
      </c>
      <c r="G4507" s="31" t="n">
        <v>52.8</v>
      </c>
      <c r="H4507" s="2" t="s">
        <v>671</v>
      </c>
    </row>
    <row r="4508" customFormat="false" ht="15" hidden="false" customHeight="false" outlineLevel="0" collapsed="false">
      <c r="A4508" s="2" t="s">
        <v>758</v>
      </c>
      <c r="B4508" s="2" t="s">
        <v>46</v>
      </c>
      <c r="C4508" s="2" t="s">
        <v>4085</v>
      </c>
      <c r="D4508" s="2"/>
      <c r="E4508" s="2"/>
      <c r="F4508" s="2"/>
      <c r="G4508" s="2"/>
      <c r="H4508" s="2" t="s">
        <v>668</v>
      </c>
    </row>
    <row r="4509" customFormat="false" ht="15" hidden="false" customHeight="false" outlineLevel="0" collapsed="false">
      <c r="A4509" s="2" t="s">
        <v>758</v>
      </c>
      <c r="B4509" s="2" t="s">
        <v>46</v>
      </c>
      <c r="C4509" s="2" t="s">
        <v>4086</v>
      </c>
      <c r="D4509" s="11" t="n">
        <v>60330</v>
      </c>
      <c r="E4509" s="31" t="n">
        <v>10.4</v>
      </c>
      <c r="F4509" s="31" t="n">
        <v>21.1</v>
      </c>
      <c r="G4509" s="31" t="n">
        <v>84.8</v>
      </c>
      <c r="H4509" s="2" t="s">
        <v>671</v>
      </c>
    </row>
    <row r="4510" customFormat="false" ht="15" hidden="false" customHeight="false" outlineLevel="0" collapsed="false">
      <c r="A4510" s="2" t="s">
        <v>758</v>
      </c>
      <c r="B4510" s="2" t="s">
        <v>46</v>
      </c>
      <c r="C4510" s="2" t="s">
        <v>4087</v>
      </c>
      <c r="D4510" s="11" t="n">
        <v>64460</v>
      </c>
      <c r="E4510" s="31" t="n">
        <v>1.7</v>
      </c>
      <c r="F4510" s="2"/>
      <c r="G4510" s="2"/>
      <c r="H4510" s="2" t="s">
        <v>668</v>
      </c>
    </row>
    <row r="4511" customFormat="false" ht="15" hidden="false" customHeight="false" outlineLevel="0" collapsed="false">
      <c r="A4511" s="2" t="s">
        <v>758</v>
      </c>
      <c r="B4511" s="2" t="s">
        <v>47</v>
      </c>
      <c r="C4511" s="2" t="s">
        <v>4085</v>
      </c>
      <c r="D4511" s="11" t="n">
        <v>47089</v>
      </c>
      <c r="E4511" s="31" t="n">
        <v>11.8</v>
      </c>
      <c r="F4511" s="31" t="n">
        <v>57.2</v>
      </c>
      <c r="G4511" s="31" t="n">
        <v>44.6</v>
      </c>
      <c r="H4511" s="2" t="s">
        <v>671</v>
      </c>
    </row>
    <row r="4512" customFormat="false" ht="15" hidden="false" customHeight="false" outlineLevel="0" collapsed="false">
      <c r="A4512" s="2" t="s">
        <v>758</v>
      </c>
      <c r="B4512" s="2" t="s">
        <v>47</v>
      </c>
      <c r="C4512" s="2" t="s">
        <v>4086</v>
      </c>
      <c r="D4512" s="11" t="n">
        <v>47980</v>
      </c>
      <c r="E4512" s="2"/>
      <c r="F4512" s="31" t="n">
        <v>68.2</v>
      </c>
      <c r="G4512" s="31" t="n">
        <v>87.3</v>
      </c>
      <c r="H4512" s="2" t="s">
        <v>668</v>
      </c>
    </row>
    <row r="4513" customFormat="false" ht="15" hidden="false" customHeight="false" outlineLevel="0" collapsed="false">
      <c r="A4513" s="2" t="s">
        <v>758</v>
      </c>
      <c r="B4513" s="2" t="s">
        <v>47</v>
      </c>
      <c r="C4513" s="2" t="s">
        <v>4087</v>
      </c>
      <c r="D4513" s="2"/>
      <c r="E4513" s="2"/>
      <c r="F4513" s="2"/>
      <c r="G4513" s="2"/>
      <c r="H4513" s="2" t="s">
        <v>668</v>
      </c>
    </row>
    <row r="4514" customFormat="false" ht="15" hidden="false" customHeight="false" outlineLevel="0" collapsed="false">
      <c r="A4514" s="2" t="s">
        <v>1136</v>
      </c>
      <c r="B4514" s="2" t="s">
        <v>4104</v>
      </c>
      <c r="C4514" s="2" t="s">
        <v>4085</v>
      </c>
      <c r="D4514" s="2"/>
      <c r="E4514" s="31" t="n">
        <v>50.4</v>
      </c>
      <c r="F4514" s="31" t="n">
        <v>63.9</v>
      </c>
      <c r="G4514" s="31" t="n">
        <v>56.3</v>
      </c>
      <c r="H4514" s="2" t="s">
        <v>668</v>
      </c>
    </row>
    <row r="4515" customFormat="false" ht="15" hidden="false" customHeight="false" outlineLevel="0" collapsed="false">
      <c r="A4515" s="2" t="s">
        <v>1136</v>
      </c>
      <c r="B4515" s="2" t="s">
        <v>4104</v>
      </c>
      <c r="C4515" s="2" t="s">
        <v>4086</v>
      </c>
      <c r="D4515" s="2"/>
      <c r="E4515" s="31" t="n">
        <v>58.6</v>
      </c>
      <c r="F4515" s="31" t="n">
        <v>78.6</v>
      </c>
      <c r="G4515" s="31" t="n">
        <v>67</v>
      </c>
      <c r="H4515" s="2" t="s">
        <v>668</v>
      </c>
    </row>
    <row r="4516" customFormat="false" ht="15" hidden="false" customHeight="false" outlineLevel="0" collapsed="false">
      <c r="A4516" s="2" t="s">
        <v>1136</v>
      </c>
      <c r="B4516" s="2" t="s">
        <v>4104</v>
      </c>
      <c r="C4516" s="2" t="s">
        <v>4087</v>
      </c>
      <c r="D4516" s="2"/>
      <c r="E4516" s="31" t="n">
        <v>35.6</v>
      </c>
      <c r="F4516" s="31" t="n">
        <v>74.8</v>
      </c>
      <c r="G4516" s="31" t="n">
        <v>74.7</v>
      </c>
      <c r="H4516" s="2" t="s">
        <v>668</v>
      </c>
    </row>
    <row r="4517" customFormat="false" ht="15" hidden="false" customHeight="false" outlineLevel="0" collapsed="false">
      <c r="A4517" s="2" t="s">
        <v>1136</v>
      </c>
      <c r="B4517" s="2" t="s">
        <v>45</v>
      </c>
      <c r="C4517" s="2" t="s">
        <v>4085</v>
      </c>
      <c r="D4517" s="11" t="n">
        <v>119474</v>
      </c>
      <c r="E4517" s="31" t="n">
        <v>26.3</v>
      </c>
      <c r="F4517" s="31" t="n">
        <v>80.1</v>
      </c>
      <c r="G4517" s="31" t="n">
        <v>79.8</v>
      </c>
      <c r="H4517" s="2" t="s">
        <v>671</v>
      </c>
    </row>
    <row r="4518" customFormat="false" ht="15" hidden="false" customHeight="false" outlineLevel="0" collapsed="false">
      <c r="A4518" s="2" t="s">
        <v>1136</v>
      </c>
      <c r="B4518" s="2" t="s">
        <v>45</v>
      </c>
      <c r="C4518" s="2" t="s">
        <v>4086</v>
      </c>
      <c r="D4518" s="11" t="n">
        <v>127470</v>
      </c>
      <c r="E4518" s="31" t="n">
        <v>59.9</v>
      </c>
      <c r="F4518" s="31" t="n">
        <v>80</v>
      </c>
      <c r="G4518" s="31" t="n">
        <v>93.2</v>
      </c>
      <c r="H4518" s="2" t="s">
        <v>671</v>
      </c>
    </row>
    <row r="4519" customFormat="false" ht="15" hidden="false" customHeight="false" outlineLevel="0" collapsed="false">
      <c r="A4519" s="2" t="s">
        <v>1136</v>
      </c>
      <c r="B4519" s="2" t="s">
        <v>45</v>
      </c>
      <c r="C4519" s="2" t="s">
        <v>4087</v>
      </c>
      <c r="D4519" s="11" t="n">
        <v>135400</v>
      </c>
      <c r="E4519" s="31" t="n">
        <v>37.8</v>
      </c>
      <c r="F4519" s="31" t="n">
        <v>68.1</v>
      </c>
      <c r="G4519" s="31" t="n">
        <v>77.3</v>
      </c>
      <c r="H4519" s="2" t="s">
        <v>671</v>
      </c>
    </row>
    <row r="4520" customFormat="false" ht="15" hidden="false" customHeight="false" outlineLevel="0" collapsed="false">
      <c r="A4520" s="2" t="s">
        <v>1136</v>
      </c>
      <c r="B4520" s="2" t="s">
        <v>46</v>
      </c>
      <c r="C4520" s="2" t="s">
        <v>4085</v>
      </c>
      <c r="D4520" s="11" t="n">
        <v>45300</v>
      </c>
      <c r="E4520" s="31" t="n">
        <v>65.6</v>
      </c>
      <c r="F4520" s="31" t="n">
        <v>18</v>
      </c>
      <c r="G4520" s="31" t="n">
        <v>69.4</v>
      </c>
      <c r="H4520" s="2" t="s">
        <v>668</v>
      </c>
    </row>
    <row r="4521" customFormat="false" ht="15" hidden="false" customHeight="false" outlineLevel="0" collapsed="false">
      <c r="A4521" s="2" t="s">
        <v>1136</v>
      </c>
      <c r="B4521" s="2" t="s">
        <v>46</v>
      </c>
      <c r="C4521" s="2" t="s">
        <v>4086</v>
      </c>
      <c r="D4521" s="11" t="n">
        <v>44990</v>
      </c>
      <c r="E4521" s="31" t="n">
        <v>69.9</v>
      </c>
      <c r="F4521" s="2"/>
      <c r="G4521" s="31" t="n">
        <v>73.1</v>
      </c>
      <c r="H4521" s="2" t="s">
        <v>668</v>
      </c>
    </row>
    <row r="4522" customFormat="false" ht="15" hidden="false" customHeight="false" outlineLevel="0" collapsed="false">
      <c r="A4522" s="2" t="s">
        <v>1136</v>
      </c>
      <c r="B4522" s="2" t="s">
        <v>46</v>
      </c>
      <c r="C4522" s="2" t="s">
        <v>4087</v>
      </c>
      <c r="D4522" s="11" t="n">
        <v>46310</v>
      </c>
      <c r="E4522" s="31" t="n">
        <v>29.8</v>
      </c>
      <c r="F4522" s="2"/>
      <c r="G4522" s="31" t="n">
        <v>89.6</v>
      </c>
      <c r="H4522" s="2" t="s">
        <v>668</v>
      </c>
    </row>
    <row r="4523" customFormat="false" ht="15" hidden="false" customHeight="false" outlineLevel="0" collapsed="false">
      <c r="A4523" s="2" t="s">
        <v>1136</v>
      </c>
      <c r="B4523" s="2" t="s">
        <v>47</v>
      </c>
      <c r="C4523" s="2" t="s">
        <v>4085</v>
      </c>
      <c r="D4523" s="11" t="n">
        <v>14948</v>
      </c>
      <c r="E4523" s="31" t="n">
        <v>59.3</v>
      </c>
      <c r="F4523" s="31" t="n">
        <v>93.5</v>
      </c>
      <c r="G4523" s="31" t="n">
        <v>19.6</v>
      </c>
      <c r="H4523" s="2" t="s">
        <v>671</v>
      </c>
    </row>
    <row r="4524" customFormat="false" ht="15" hidden="false" customHeight="false" outlineLevel="0" collapsed="false">
      <c r="A4524" s="2" t="s">
        <v>1136</v>
      </c>
      <c r="B4524" s="2" t="s">
        <v>47</v>
      </c>
      <c r="C4524" s="2" t="s">
        <v>4086</v>
      </c>
      <c r="D4524" s="11" t="n">
        <v>15300</v>
      </c>
      <c r="E4524" s="31" t="n">
        <v>45.9</v>
      </c>
      <c r="F4524" s="31" t="n">
        <v>77.3</v>
      </c>
      <c r="G4524" s="31" t="n">
        <v>34.6</v>
      </c>
      <c r="H4524" s="2" t="s">
        <v>671</v>
      </c>
    </row>
    <row r="4525" customFormat="false" ht="15" hidden="false" customHeight="false" outlineLevel="0" collapsed="false">
      <c r="A4525" s="2" t="s">
        <v>1136</v>
      </c>
      <c r="B4525" s="2" t="s">
        <v>47</v>
      </c>
      <c r="C4525" s="2" t="s">
        <v>4087</v>
      </c>
      <c r="D4525" s="11" t="n">
        <v>16160</v>
      </c>
      <c r="E4525" s="31" t="n">
        <v>39.2</v>
      </c>
      <c r="F4525" s="31" t="n">
        <v>81.6</v>
      </c>
      <c r="G4525" s="31" t="n">
        <v>57.3</v>
      </c>
      <c r="H4525" s="2" t="s">
        <v>671</v>
      </c>
    </row>
    <row r="4526" customFormat="false" ht="15" hidden="false" customHeight="false" outlineLevel="0" collapsed="false">
      <c r="A4526" s="2" t="s">
        <v>270</v>
      </c>
      <c r="B4526" s="2" t="s">
        <v>4104</v>
      </c>
      <c r="C4526" s="2" t="s">
        <v>4085</v>
      </c>
      <c r="D4526" s="2"/>
      <c r="E4526" s="31" t="n">
        <v>51</v>
      </c>
      <c r="F4526" s="31" t="n">
        <v>48.4</v>
      </c>
      <c r="G4526" s="31" t="n">
        <v>46.7</v>
      </c>
      <c r="H4526" s="2" t="s">
        <v>671</v>
      </c>
    </row>
    <row r="4527" customFormat="false" ht="15" hidden="false" customHeight="false" outlineLevel="0" collapsed="false">
      <c r="A4527" s="2" t="s">
        <v>270</v>
      </c>
      <c r="B4527" s="2" t="s">
        <v>4104</v>
      </c>
      <c r="C4527" s="2" t="s">
        <v>4087</v>
      </c>
      <c r="D4527" s="2"/>
      <c r="E4527" s="31" t="n">
        <v>61.7</v>
      </c>
      <c r="F4527" s="31" t="n">
        <v>39.9</v>
      </c>
      <c r="G4527" s="31" t="n">
        <v>51.5</v>
      </c>
      <c r="H4527" s="2" t="s">
        <v>671</v>
      </c>
    </row>
    <row r="4528" customFormat="false" ht="15" hidden="false" customHeight="false" outlineLevel="0" collapsed="false">
      <c r="A4528" s="2" t="s">
        <v>270</v>
      </c>
      <c r="B4528" s="2" t="s">
        <v>45</v>
      </c>
      <c r="C4528" s="2" t="s">
        <v>4085</v>
      </c>
      <c r="D4528" s="11" t="n">
        <v>39816</v>
      </c>
      <c r="E4528" s="31" t="n">
        <v>4.8</v>
      </c>
      <c r="F4528" s="31" t="n">
        <v>70.4</v>
      </c>
      <c r="G4528" s="31" t="n">
        <v>79</v>
      </c>
      <c r="H4528" s="2" t="s">
        <v>671</v>
      </c>
    </row>
    <row r="4529" customFormat="false" ht="15" hidden="false" customHeight="false" outlineLevel="0" collapsed="false">
      <c r="A4529" s="2" t="s">
        <v>270</v>
      </c>
      <c r="B4529" s="2" t="s">
        <v>45</v>
      </c>
      <c r="C4529" s="2" t="s">
        <v>4087</v>
      </c>
      <c r="D4529" s="11" t="n">
        <v>42422</v>
      </c>
      <c r="E4529" s="31" t="n">
        <v>17.9</v>
      </c>
      <c r="F4529" s="31" t="n">
        <v>55.6</v>
      </c>
      <c r="G4529" s="31" t="n">
        <v>66.3</v>
      </c>
      <c r="H4529" s="2" t="s">
        <v>671</v>
      </c>
    </row>
    <row r="4530" customFormat="false" ht="15" hidden="false" customHeight="false" outlineLevel="0" collapsed="false">
      <c r="A4530" s="2" t="s">
        <v>270</v>
      </c>
      <c r="B4530" s="2" t="s">
        <v>46</v>
      </c>
      <c r="C4530" s="2" t="s">
        <v>4085</v>
      </c>
      <c r="D4530" s="11" t="n">
        <v>733332</v>
      </c>
      <c r="E4530" s="31" t="n">
        <v>83.2</v>
      </c>
      <c r="F4530" s="31" t="n">
        <v>70.5</v>
      </c>
      <c r="G4530" s="31" t="n">
        <v>22.6</v>
      </c>
      <c r="H4530" s="2" t="s">
        <v>671</v>
      </c>
    </row>
    <row r="4531" customFormat="false" ht="15" hidden="false" customHeight="false" outlineLevel="0" collapsed="false">
      <c r="A4531" s="2" t="s">
        <v>270</v>
      </c>
      <c r="B4531" s="2" t="s">
        <v>46</v>
      </c>
      <c r="C4531" s="2" t="s">
        <v>4087</v>
      </c>
      <c r="D4531" s="11" t="n">
        <v>775100</v>
      </c>
      <c r="E4531" s="31" t="n">
        <v>99.2</v>
      </c>
      <c r="F4531" s="31" t="n">
        <v>56.3</v>
      </c>
      <c r="G4531" s="31" t="n">
        <v>25.1</v>
      </c>
      <c r="H4531" s="2" t="s">
        <v>671</v>
      </c>
    </row>
    <row r="4532" customFormat="false" ht="15" hidden="false" customHeight="false" outlineLevel="0" collapsed="false">
      <c r="A4532" s="2" t="s">
        <v>270</v>
      </c>
      <c r="B4532" s="2" t="s">
        <v>47</v>
      </c>
      <c r="C4532" s="2" t="s">
        <v>4085</v>
      </c>
      <c r="D4532" s="11" t="n">
        <v>999094</v>
      </c>
      <c r="E4532" s="31" t="n">
        <v>64.9</v>
      </c>
      <c r="F4532" s="31" t="n">
        <v>4.3</v>
      </c>
      <c r="G4532" s="31" t="n">
        <v>38.6</v>
      </c>
      <c r="H4532" s="2" t="s">
        <v>671</v>
      </c>
    </row>
    <row r="4533" customFormat="false" ht="15" hidden="false" customHeight="false" outlineLevel="0" collapsed="false">
      <c r="A4533" s="2" t="s">
        <v>270</v>
      </c>
      <c r="B4533" s="2" t="s">
        <v>47</v>
      </c>
      <c r="C4533" s="2" t="s">
        <v>4087</v>
      </c>
      <c r="D4533" s="11" t="n">
        <v>979150</v>
      </c>
      <c r="E4533" s="31" t="n">
        <v>68.1</v>
      </c>
      <c r="F4533" s="31" t="n">
        <v>7.8</v>
      </c>
      <c r="G4533" s="31" t="n">
        <v>63</v>
      </c>
      <c r="H4533" s="2" t="s">
        <v>671</v>
      </c>
    </row>
    <row r="4534" customFormat="false" ht="15" hidden="false" customHeight="false" outlineLevel="0" collapsed="false">
      <c r="A4534" s="2" t="s">
        <v>2601</v>
      </c>
      <c r="B4534" s="2" t="s">
        <v>4104</v>
      </c>
      <c r="C4534" s="2" t="s">
        <v>4085</v>
      </c>
      <c r="D4534" s="2"/>
      <c r="E4534" s="31" t="n">
        <v>53.7</v>
      </c>
      <c r="F4534" s="31" t="n">
        <v>39.4</v>
      </c>
      <c r="G4534" s="31" t="n">
        <v>16.8</v>
      </c>
      <c r="H4534" s="2" t="s">
        <v>668</v>
      </c>
    </row>
    <row r="4535" customFormat="false" ht="15" hidden="false" customHeight="false" outlineLevel="0" collapsed="false">
      <c r="A4535" s="2" t="s">
        <v>2601</v>
      </c>
      <c r="B4535" s="2" t="s">
        <v>4104</v>
      </c>
      <c r="C4535" s="2" t="s">
        <v>4086</v>
      </c>
      <c r="D4535" s="2"/>
      <c r="E4535" s="31" t="n">
        <v>21.2</v>
      </c>
      <c r="F4535" s="31" t="n">
        <v>46.8</v>
      </c>
      <c r="G4535" s="31" t="n">
        <v>14.8</v>
      </c>
      <c r="H4535" s="2" t="s">
        <v>668</v>
      </c>
    </row>
    <row r="4536" customFormat="false" ht="15" hidden="false" customHeight="false" outlineLevel="0" collapsed="false">
      <c r="A4536" s="2" t="s">
        <v>2601</v>
      </c>
      <c r="B4536" s="2" t="s">
        <v>4104</v>
      </c>
      <c r="C4536" s="2" t="s">
        <v>4087</v>
      </c>
      <c r="D4536" s="2"/>
      <c r="E4536" s="31" t="n">
        <v>13.5</v>
      </c>
      <c r="F4536" s="31" t="n">
        <v>28.5</v>
      </c>
      <c r="G4536" s="31" t="n">
        <v>19.6</v>
      </c>
      <c r="H4536" s="2" t="s">
        <v>668</v>
      </c>
    </row>
    <row r="4537" customFormat="false" ht="15" hidden="false" customHeight="false" outlineLevel="0" collapsed="false">
      <c r="A4537" s="2" t="s">
        <v>2601</v>
      </c>
      <c r="B4537" s="2" t="s">
        <v>45</v>
      </c>
      <c r="C4537" s="2" t="s">
        <v>4085</v>
      </c>
      <c r="D4537" s="11" t="n">
        <v>852512</v>
      </c>
      <c r="E4537" s="31" t="n">
        <v>28.3</v>
      </c>
      <c r="F4537" s="31" t="n">
        <v>88.4</v>
      </c>
      <c r="G4537" s="31" t="n">
        <v>26.3</v>
      </c>
      <c r="H4537" s="2" t="s">
        <v>671</v>
      </c>
    </row>
    <row r="4538" customFormat="false" ht="15" hidden="false" customHeight="false" outlineLevel="0" collapsed="false">
      <c r="A4538" s="2" t="s">
        <v>2601</v>
      </c>
      <c r="B4538" s="2" t="s">
        <v>45</v>
      </c>
      <c r="C4538" s="2" t="s">
        <v>4086</v>
      </c>
      <c r="D4538" s="11" t="n">
        <v>930800</v>
      </c>
      <c r="E4538" s="31" t="n">
        <v>34.4</v>
      </c>
      <c r="F4538" s="31" t="n">
        <v>81.4</v>
      </c>
      <c r="G4538" s="31" t="n">
        <v>19.1</v>
      </c>
      <c r="H4538" s="2" t="s">
        <v>671</v>
      </c>
    </row>
    <row r="4539" customFormat="false" ht="15" hidden="false" customHeight="false" outlineLevel="0" collapsed="false">
      <c r="A4539" s="2" t="s">
        <v>2601</v>
      </c>
      <c r="B4539" s="2" t="s">
        <v>45</v>
      </c>
      <c r="C4539" s="2" t="s">
        <v>4087</v>
      </c>
      <c r="D4539" s="11" t="n">
        <v>941133</v>
      </c>
      <c r="E4539" s="2"/>
      <c r="F4539" s="31" t="n">
        <v>67.4</v>
      </c>
      <c r="G4539" s="2"/>
      <c r="H4539" s="2" t="s">
        <v>668</v>
      </c>
    </row>
    <row r="4540" customFormat="false" ht="15" hidden="false" customHeight="false" outlineLevel="0" collapsed="false">
      <c r="A4540" s="2" t="s">
        <v>2601</v>
      </c>
      <c r="B4540" s="2" t="s">
        <v>46</v>
      </c>
      <c r="C4540" s="2" t="s">
        <v>4085</v>
      </c>
      <c r="D4540" s="11" t="n">
        <v>63580</v>
      </c>
      <c r="E4540" s="31" t="n">
        <v>92.2</v>
      </c>
      <c r="F4540" s="31" t="n">
        <v>4.9</v>
      </c>
      <c r="G4540" s="2"/>
      <c r="H4540" s="2" t="s">
        <v>668</v>
      </c>
    </row>
    <row r="4541" customFormat="false" ht="15" hidden="false" customHeight="false" outlineLevel="0" collapsed="false">
      <c r="A4541" s="2" t="s">
        <v>2601</v>
      </c>
      <c r="B4541" s="2" t="s">
        <v>46</v>
      </c>
      <c r="C4541" s="2" t="s">
        <v>4086</v>
      </c>
      <c r="D4541" s="2"/>
      <c r="E4541" s="2"/>
      <c r="F4541" s="2"/>
      <c r="G4541" s="2"/>
      <c r="H4541" s="2" t="s">
        <v>668</v>
      </c>
    </row>
    <row r="4542" customFormat="false" ht="15" hidden="false" customHeight="false" outlineLevel="0" collapsed="false">
      <c r="A4542" s="2" t="s">
        <v>2601</v>
      </c>
      <c r="B4542" s="2" t="s">
        <v>46</v>
      </c>
      <c r="C4542" s="2" t="s">
        <v>4087</v>
      </c>
      <c r="D4542" s="11" t="n">
        <v>61200</v>
      </c>
      <c r="E4542" s="2"/>
      <c r="F4542" s="31" t="n">
        <v>4.6</v>
      </c>
      <c r="G4542" s="31" t="n">
        <v>28.5</v>
      </c>
      <c r="H4542" s="2" t="s">
        <v>668</v>
      </c>
    </row>
    <row r="4543" customFormat="false" ht="15" hidden="false" customHeight="false" outlineLevel="0" collapsed="false">
      <c r="A4543" s="2" t="s">
        <v>2601</v>
      </c>
      <c r="B4543" s="2" t="s">
        <v>47</v>
      </c>
      <c r="C4543" s="2" t="s">
        <v>4085</v>
      </c>
      <c r="D4543" s="11" t="n">
        <v>63877</v>
      </c>
      <c r="E4543" s="31" t="n">
        <v>40.5</v>
      </c>
      <c r="F4543" s="31" t="n">
        <v>24.8</v>
      </c>
      <c r="G4543" s="31" t="n">
        <v>7.4</v>
      </c>
      <c r="H4543" s="2" t="s">
        <v>671</v>
      </c>
    </row>
    <row r="4544" customFormat="false" ht="15" hidden="false" customHeight="false" outlineLevel="0" collapsed="false">
      <c r="A4544" s="2" t="s">
        <v>2601</v>
      </c>
      <c r="B4544" s="2" t="s">
        <v>47</v>
      </c>
      <c r="C4544" s="2" t="s">
        <v>4086</v>
      </c>
      <c r="D4544" s="11" t="n">
        <v>63743</v>
      </c>
      <c r="E4544" s="31" t="n">
        <v>7.9</v>
      </c>
      <c r="F4544" s="31" t="n">
        <v>12.3</v>
      </c>
      <c r="G4544" s="31" t="n">
        <v>10.6</v>
      </c>
      <c r="H4544" s="2" t="s">
        <v>671</v>
      </c>
    </row>
    <row r="4545" customFormat="false" ht="15" hidden="false" customHeight="false" outlineLevel="0" collapsed="false">
      <c r="A4545" s="2" t="s">
        <v>2601</v>
      </c>
      <c r="B4545" s="2" t="s">
        <v>47</v>
      </c>
      <c r="C4545" s="2" t="s">
        <v>4087</v>
      </c>
      <c r="D4545" s="11" t="n">
        <v>65015</v>
      </c>
      <c r="E4545" s="31" t="n">
        <v>13.5</v>
      </c>
      <c r="F4545" s="31" t="n">
        <v>13.5</v>
      </c>
      <c r="G4545" s="31" t="n">
        <v>10.7</v>
      </c>
      <c r="H4545" s="2" t="s">
        <v>671</v>
      </c>
    </row>
    <row r="4546" customFormat="false" ht="15" hidden="false" customHeight="false" outlineLevel="0" collapsed="false">
      <c r="A4546" s="2" t="s">
        <v>532</v>
      </c>
      <c r="B4546" s="2" t="s">
        <v>4104</v>
      </c>
      <c r="C4546" s="2" t="s">
        <v>4085</v>
      </c>
      <c r="D4546" s="2"/>
      <c r="E4546" s="31" t="n">
        <v>33.2</v>
      </c>
      <c r="F4546" s="31" t="n">
        <v>75.2</v>
      </c>
      <c r="G4546" s="31" t="n">
        <v>68.6</v>
      </c>
      <c r="H4546" s="2" t="s">
        <v>671</v>
      </c>
    </row>
    <row r="4547" customFormat="false" ht="15" hidden="false" customHeight="false" outlineLevel="0" collapsed="false">
      <c r="A4547" s="2" t="s">
        <v>532</v>
      </c>
      <c r="B4547" s="2" t="s">
        <v>4104</v>
      </c>
      <c r="C4547" s="2" t="s">
        <v>4086</v>
      </c>
      <c r="D4547" s="2"/>
      <c r="E4547" s="31" t="n">
        <v>51</v>
      </c>
      <c r="F4547" s="31" t="n">
        <v>57.5</v>
      </c>
      <c r="G4547" s="31" t="n">
        <v>30.8</v>
      </c>
      <c r="H4547" s="2" t="s">
        <v>671</v>
      </c>
    </row>
    <row r="4548" customFormat="false" ht="15" hidden="false" customHeight="false" outlineLevel="0" collapsed="false">
      <c r="A4548" s="2" t="s">
        <v>532</v>
      </c>
      <c r="B4548" s="2" t="s">
        <v>4104</v>
      </c>
      <c r="C4548" s="2" t="s">
        <v>4087</v>
      </c>
      <c r="D4548" s="2"/>
      <c r="E4548" s="31" t="n">
        <v>32.1</v>
      </c>
      <c r="F4548" s="31" t="n">
        <v>75.9</v>
      </c>
      <c r="G4548" s="31" t="n">
        <v>75</v>
      </c>
      <c r="H4548" s="2" t="s">
        <v>671</v>
      </c>
    </row>
    <row r="4549" customFormat="false" ht="15" hidden="false" customHeight="false" outlineLevel="0" collapsed="false">
      <c r="A4549" s="2" t="s">
        <v>532</v>
      </c>
      <c r="B4549" s="2" t="s">
        <v>47</v>
      </c>
      <c r="C4549" s="2" t="s">
        <v>4085</v>
      </c>
      <c r="D4549" s="11" t="n">
        <v>36197</v>
      </c>
      <c r="E4549" s="31" t="n">
        <v>33.2</v>
      </c>
      <c r="F4549" s="31" t="n">
        <v>75.2</v>
      </c>
      <c r="G4549" s="31" t="n">
        <v>68.6</v>
      </c>
      <c r="H4549" s="2" t="s">
        <v>671</v>
      </c>
    </row>
    <row r="4550" customFormat="false" ht="15" hidden="false" customHeight="false" outlineLevel="0" collapsed="false">
      <c r="A4550" s="2" t="s">
        <v>532</v>
      </c>
      <c r="B4550" s="2" t="s">
        <v>47</v>
      </c>
      <c r="C4550" s="2" t="s">
        <v>4086</v>
      </c>
      <c r="D4550" s="11" t="n">
        <v>36571</v>
      </c>
      <c r="E4550" s="31" t="n">
        <v>51</v>
      </c>
      <c r="F4550" s="31" t="n">
        <v>57.5</v>
      </c>
      <c r="G4550" s="31" t="n">
        <v>30.8</v>
      </c>
      <c r="H4550" s="2" t="s">
        <v>671</v>
      </c>
    </row>
    <row r="4551" customFormat="false" ht="15" hidden="false" customHeight="false" outlineLevel="0" collapsed="false">
      <c r="A4551" s="2" t="s">
        <v>532</v>
      </c>
      <c r="B4551" s="2" t="s">
        <v>47</v>
      </c>
      <c r="C4551" s="2" t="s">
        <v>4087</v>
      </c>
      <c r="D4551" s="11" t="n">
        <v>39841</v>
      </c>
      <c r="E4551" s="31" t="n">
        <v>32.1</v>
      </c>
      <c r="F4551" s="31" t="n">
        <v>75.9</v>
      </c>
      <c r="G4551" s="31" t="n">
        <v>75</v>
      </c>
      <c r="H4551" s="2" t="s">
        <v>671</v>
      </c>
    </row>
    <row r="4552" customFormat="false" ht="15" hidden="false" customHeight="false" outlineLevel="0" collapsed="false">
      <c r="A4552" s="2" t="s">
        <v>264</v>
      </c>
      <c r="B4552" s="2" t="s">
        <v>4104</v>
      </c>
      <c r="C4552" s="2" t="s">
        <v>4085</v>
      </c>
      <c r="D4552" s="2"/>
      <c r="E4552" s="31" t="n">
        <v>29.4</v>
      </c>
      <c r="F4552" s="31" t="n">
        <v>38.5</v>
      </c>
      <c r="G4552" s="31" t="n">
        <v>33.1</v>
      </c>
      <c r="H4552" s="2" t="s">
        <v>671</v>
      </c>
    </row>
    <row r="4553" customFormat="false" ht="15" hidden="false" customHeight="false" outlineLevel="0" collapsed="false">
      <c r="A4553" s="2" t="s">
        <v>264</v>
      </c>
      <c r="B4553" s="2" t="s">
        <v>4104</v>
      </c>
      <c r="C4553" s="2" t="s">
        <v>4087</v>
      </c>
      <c r="D4553" s="2"/>
      <c r="E4553" s="31" t="n">
        <v>62.6</v>
      </c>
      <c r="F4553" s="31" t="n">
        <v>19.2</v>
      </c>
      <c r="G4553" s="31" t="n">
        <v>70.5</v>
      </c>
      <c r="H4553" s="2" t="s">
        <v>671</v>
      </c>
    </row>
    <row r="4554" customFormat="false" ht="15" hidden="false" customHeight="false" outlineLevel="0" collapsed="false">
      <c r="A4554" s="2" t="s">
        <v>264</v>
      </c>
      <c r="B4554" s="2" t="s">
        <v>46</v>
      </c>
      <c r="C4554" s="2" t="s">
        <v>4085</v>
      </c>
      <c r="D4554" s="11" t="n">
        <v>314490</v>
      </c>
      <c r="E4554" s="31" t="n">
        <v>29.4</v>
      </c>
      <c r="F4554" s="31" t="n">
        <v>38.5</v>
      </c>
      <c r="G4554" s="31" t="n">
        <v>33.1</v>
      </c>
      <c r="H4554" s="2" t="s">
        <v>671</v>
      </c>
    </row>
    <row r="4555" customFormat="false" ht="15" hidden="false" customHeight="false" outlineLevel="0" collapsed="false">
      <c r="A4555" s="2" t="s">
        <v>264</v>
      </c>
      <c r="B4555" s="2" t="s">
        <v>46</v>
      </c>
      <c r="C4555" s="2" t="s">
        <v>4087</v>
      </c>
      <c r="D4555" s="11" t="n">
        <v>332430</v>
      </c>
      <c r="E4555" s="31" t="n">
        <v>62.6</v>
      </c>
      <c r="F4555" s="31" t="n">
        <v>19.2</v>
      </c>
      <c r="G4555" s="31" t="n">
        <v>70.5</v>
      </c>
      <c r="H4555" s="2" t="s">
        <v>671</v>
      </c>
    </row>
    <row r="4556" customFormat="false" ht="15" hidden="false" customHeight="false" outlineLevel="0" collapsed="false">
      <c r="A4556" s="2" t="s">
        <v>404</v>
      </c>
      <c r="B4556" s="2" t="s">
        <v>4104</v>
      </c>
      <c r="C4556" s="2" t="s">
        <v>4085</v>
      </c>
      <c r="D4556" s="2"/>
      <c r="E4556" s="31" t="n">
        <v>57.8</v>
      </c>
      <c r="F4556" s="31" t="n">
        <v>38.8</v>
      </c>
      <c r="G4556" s="31" t="n">
        <v>54.4</v>
      </c>
      <c r="H4556" s="2" t="s">
        <v>668</v>
      </c>
    </row>
    <row r="4557" customFormat="false" ht="15" hidden="false" customHeight="false" outlineLevel="0" collapsed="false">
      <c r="A4557" s="2" t="s">
        <v>404</v>
      </c>
      <c r="B4557" s="2" t="s">
        <v>4104</v>
      </c>
      <c r="C4557" s="2" t="s">
        <v>4086</v>
      </c>
      <c r="D4557" s="2"/>
      <c r="E4557" s="31" t="n">
        <v>63.7</v>
      </c>
      <c r="F4557" s="31" t="n">
        <v>51.5</v>
      </c>
      <c r="G4557" s="31" t="n">
        <v>55.1</v>
      </c>
      <c r="H4557" s="2" t="s">
        <v>668</v>
      </c>
    </row>
    <row r="4558" customFormat="false" ht="15" hidden="false" customHeight="false" outlineLevel="0" collapsed="false">
      <c r="A4558" s="2" t="s">
        <v>404</v>
      </c>
      <c r="B4558" s="2" t="s">
        <v>4104</v>
      </c>
      <c r="C4558" s="2" t="s">
        <v>4087</v>
      </c>
      <c r="D4558" s="2"/>
      <c r="E4558" s="31" t="n">
        <v>46.6</v>
      </c>
      <c r="F4558" s="31" t="n">
        <v>36.8</v>
      </c>
      <c r="G4558" s="31" t="n">
        <v>51.9</v>
      </c>
      <c r="H4558" s="2" t="s">
        <v>671</v>
      </c>
    </row>
    <row r="4559" customFormat="false" ht="15" hidden="false" customHeight="false" outlineLevel="0" collapsed="false">
      <c r="A4559" s="2" t="s">
        <v>404</v>
      </c>
      <c r="B4559" s="2" t="s">
        <v>45</v>
      </c>
      <c r="C4559" s="2" t="s">
        <v>4085</v>
      </c>
      <c r="D4559" s="11" t="n">
        <v>19280</v>
      </c>
      <c r="E4559" s="31" t="n">
        <v>42.1</v>
      </c>
      <c r="F4559" s="31" t="n">
        <v>14.6</v>
      </c>
      <c r="G4559" s="2"/>
      <c r="H4559" s="2" t="s">
        <v>668</v>
      </c>
    </row>
    <row r="4560" customFormat="false" ht="15" hidden="false" customHeight="false" outlineLevel="0" collapsed="false">
      <c r="A4560" s="2" t="s">
        <v>404</v>
      </c>
      <c r="B4560" s="2" t="s">
        <v>45</v>
      </c>
      <c r="C4560" s="2" t="s">
        <v>4086</v>
      </c>
      <c r="D4560" s="2"/>
      <c r="E4560" s="2"/>
      <c r="F4560" s="2"/>
      <c r="G4560" s="2"/>
      <c r="H4560" s="2" t="s">
        <v>668</v>
      </c>
    </row>
    <row r="4561" customFormat="false" ht="15" hidden="false" customHeight="false" outlineLevel="0" collapsed="false">
      <c r="A4561" s="2" t="s">
        <v>404</v>
      </c>
      <c r="B4561" s="2" t="s">
        <v>45</v>
      </c>
      <c r="C4561" s="2" t="s">
        <v>4087</v>
      </c>
      <c r="D4561" s="11" t="n">
        <v>19460</v>
      </c>
      <c r="E4561" s="31" t="n">
        <v>46.2</v>
      </c>
      <c r="F4561" s="31" t="n">
        <v>5.6</v>
      </c>
      <c r="G4561" s="31" t="n">
        <v>64.4</v>
      </c>
      <c r="H4561" s="2" t="s">
        <v>671</v>
      </c>
    </row>
    <row r="4562" customFormat="false" ht="15" hidden="false" customHeight="false" outlineLevel="0" collapsed="false">
      <c r="A4562" s="2" t="s">
        <v>404</v>
      </c>
      <c r="B4562" s="2" t="s">
        <v>46</v>
      </c>
      <c r="C4562" s="2" t="s">
        <v>4085</v>
      </c>
      <c r="D4562" s="11" t="n">
        <v>5892</v>
      </c>
      <c r="E4562" s="31" t="n">
        <v>67.7</v>
      </c>
      <c r="F4562" s="31" t="n">
        <v>93</v>
      </c>
      <c r="G4562" s="31" t="n">
        <v>15.8</v>
      </c>
      <c r="H4562" s="2" t="s">
        <v>671</v>
      </c>
    </row>
    <row r="4563" customFormat="false" ht="15" hidden="false" customHeight="false" outlineLevel="0" collapsed="false">
      <c r="A4563" s="2" t="s">
        <v>404</v>
      </c>
      <c r="B4563" s="2" t="s">
        <v>46</v>
      </c>
      <c r="C4563" s="2" t="s">
        <v>4086</v>
      </c>
      <c r="D4563" s="11" t="n">
        <v>6460</v>
      </c>
      <c r="E4563" s="2"/>
      <c r="F4563" s="31" t="n">
        <v>86.8</v>
      </c>
      <c r="G4563" s="31" t="n">
        <v>53.6</v>
      </c>
      <c r="H4563" s="2" t="s">
        <v>668</v>
      </c>
    </row>
    <row r="4564" customFormat="false" ht="15" hidden="false" customHeight="false" outlineLevel="0" collapsed="false">
      <c r="A4564" s="2" t="s">
        <v>404</v>
      </c>
      <c r="B4564" s="2" t="s">
        <v>46</v>
      </c>
      <c r="C4564" s="2" t="s">
        <v>4087</v>
      </c>
      <c r="D4564" s="11" t="n">
        <v>6710</v>
      </c>
      <c r="E4564" s="31" t="n">
        <v>54.3</v>
      </c>
      <c r="F4564" s="31" t="n">
        <v>87.5</v>
      </c>
      <c r="G4564" s="31" t="n">
        <v>15</v>
      </c>
      <c r="H4564" s="2" t="s">
        <v>671</v>
      </c>
    </row>
    <row r="4565" customFormat="false" ht="15" hidden="false" customHeight="false" outlineLevel="0" collapsed="false">
      <c r="A4565" s="2" t="s">
        <v>404</v>
      </c>
      <c r="B4565" s="2" t="s">
        <v>47</v>
      </c>
      <c r="C4565" s="2" t="s">
        <v>4085</v>
      </c>
      <c r="D4565" s="11" t="n">
        <v>4984</v>
      </c>
      <c r="E4565" s="31" t="n">
        <v>63.7</v>
      </c>
      <c r="F4565" s="31" t="n">
        <v>8.9</v>
      </c>
      <c r="G4565" s="31" t="n">
        <v>92.9</v>
      </c>
      <c r="H4565" s="2" t="s">
        <v>671</v>
      </c>
    </row>
    <row r="4566" customFormat="false" ht="15" hidden="false" customHeight="false" outlineLevel="0" collapsed="false">
      <c r="A4566" s="2" t="s">
        <v>404</v>
      </c>
      <c r="B4566" s="2" t="s">
        <v>47</v>
      </c>
      <c r="C4566" s="2" t="s">
        <v>4086</v>
      </c>
      <c r="D4566" s="11" t="n">
        <v>5064</v>
      </c>
      <c r="E4566" s="31" t="n">
        <v>63.7</v>
      </c>
      <c r="F4566" s="31" t="n">
        <v>16.2</v>
      </c>
      <c r="G4566" s="31" t="n">
        <v>56.6</v>
      </c>
      <c r="H4566" s="2" t="s">
        <v>671</v>
      </c>
    </row>
    <row r="4567" customFormat="false" ht="15" hidden="false" customHeight="false" outlineLevel="0" collapsed="false">
      <c r="A4567" s="2" t="s">
        <v>404</v>
      </c>
      <c r="B4567" s="2" t="s">
        <v>47</v>
      </c>
      <c r="C4567" s="2" t="s">
        <v>4087</v>
      </c>
      <c r="D4567" s="11" t="n">
        <v>5149</v>
      </c>
      <c r="E4567" s="31" t="n">
        <v>39.4</v>
      </c>
      <c r="F4567" s="31" t="n">
        <v>17.3</v>
      </c>
      <c r="G4567" s="31" t="n">
        <v>76.2</v>
      </c>
      <c r="H4567" s="2" t="s">
        <v>671</v>
      </c>
    </row>
    <row r="4568" customFormat="false" ht="15" hidden="false" customHeight="false" outlineLevel="0" collapsed="false">
      <c r="A4568" s="2" t="s">
        <v>2368</v>
      </c>
      <c r="B4568" s="2" t="s">
        <v>4104</v>
      </c>
      <c r="C4568" s="2" t="s">
        <v>4085</v>
      </c>
      <c r="D4568" s="2"/>
      <c r="E4568" s="31" t="n">
        <v>19.4</v>
      </c>
      <c r="F4568" s="31" t="n">
        <v>63.2</v>
      </c>
      <c r="G4568" s="31" t="n">
        <v>42.1</v>
      </c>
      <c r="H4568" s="2" t="s">
        <v>668</v>
      </c>
    </row>
    <row r="4569" customFormat="false" ht="15" hidden="false" customHeight="false" outlineLevel="0" collapsed="false">
      <c r="A4569" s="2" t="s">
        <v>2368</v>
      </c>
      <c r="B4569" s="2" t="s">
        <v>4104</v>
      </c>
      <c r="C4569" s="2" t="s">
        <v>4086</v>
      </c>
      <c r="D4569" s="2"/>
      <c r="E4569" s="31" t="n">
        <v>24.9</v>
      </c>
      <c r="F4569" s="31" t="n">
        <v>25</v>
      </c>
      <c r="G4569" s="31" t="n">
        <v>6</v>
      </c>
      <c r="H4569" s="2" t="s">
        <v>668</v>
      </c>
    </row>
    <row r="4570" customFormat="false" ht="15" hidden="false" customHeight="false" outlineLevel="0" collapsed="false">
      <c r="A4570" s="2" t="s">
        <v>2368</v>
      </c>
      <c r="B4570" s="2" t="s">
        <v>4104</v>
      </c>
      <c r="C4570" s="2" t="s">
        <v>4087</v>
      </c>
      <c r="D4570" s="2"/>
      <c r="E4570" s="31" t="n">
        <v>32.6</v>
      </c>
      <c r="F4570" s="31" t="n">
        <v>21.7</v>
      </c>
      <c r="G4570" s="31" t="n">
        <v>29.7</v>
      </c>
      <c r="H4570" s="2" t="s">
        <v>668</v>
      </c>
    </row>
    <row r="4571" customFormat="false" ht="15" hidden="false" customHeight="false" outlineLevel="0" collapsed="false">
      <c r="A4571" s="2" t="s">
        <v>2368</v>
      </c>
      <c r="B4571" s="2" t="s">
        <v>45</v>
      </c>
      <c r="C4571" s="2" t="s">
        <v>4085</v>
      </c>
      <c r="D4571" s="11" t="n">
        <v>135948</v>
      </c>
      <c r="E4571" s="31" t="n">
        <v>2.6</v>
      </c>
      <c r="F4571" s="31" t="n">
        <v>30.8</v>
      </c>
      <c r="G4571" s="31" t="n">
        <v>26.6</v>
      </c>
      <c r="H4571" s="2" t="s">
        <v>671</v>
      </c>
    </row>
    <row r="4572" customFormat="false" ht="15" hidden="false" customHeight="false" outlineLevel="0" collapsed="false">
      <c r="A4572" s="2" t="s">
        <v>2368</v>
      </c>
      <c r="B4572" s="2" t="s">
        <v>45</v>
      </c>
      <c r="C4572" s="2" t="s">
        <v>4086</v>
      </c>
      <c r="D4572" s="11" t="n">
        <v>141250</v>
      </c>
      <c r="E4572" s="31" t="n">
        <v>1.3</v>
      </c>
      <c r="F4572" s="31" t="n">
        <v>25.7</v>
      </c>
      <c r="G4572" s="31" t="n">
        <v>10</v>
      </c>
      <c r="H4572" s="2" t="s">
        <v>671</v>
      </c>
    </row>
    <row r="4573" customFormat="false" ht="15" hidden="false" customHeight="false" outlineLevel="0" collapsed="false">
      <c r="A4573" s="2" t="s">
        <v>2368</v>
      </c>
      <c r="B4573" s="2" t="s">
        <v>45</v>
      </c>
      <c r="C4573" s="2" t="s">
        <v>4087</v>
      </c>
      <c r="D4573" s="2"/>
      <c r="E4573" s="2"/>
      <c r="F4573" s="2"/>
      <c r="G4573" s="31" t="n">
        <v>13.3</v>
      </c>
      <c r="H4573" s="2" t="s">
        <v>668</v>
      </c>
    </row>
    <row r="4574" customFormat="false" ht="15" hidden="false" customHeight="false" outlineLevel="0" collapsed="false">
      <c r="A4574" s="2" t="s">
        <v>2368</v>
      </c>
      <c r="B4574" s="2" t="s">
        <v>46</v>
      </c>
      <c r="C4574" s="2" t="s">
        <v>4085</v>
      </c>
      <c r="D4574" s="11" t="n">
        <v>137430</v>
      </c>
      <c r="E4574" s="31" t="n">
        <v>36.2</v>
      </c>
      <c r="F4574" s="31" t="n">
        <v>95.5</v>
      </c>
      <c r="G4574" s="31" t="n">
        <v>80.4</v>
      </c>
      <c r="H4574" s="2" t="s">
        <v>671</v>
      </c>
    </row>
    <row r="4575" customFormat="false" ht="15" hidden="false" customHeight="false" outlineLevel="0" collapsed="false">
      <c r="A4575" s="2" t="s">
        <v>2368</v>
      </c>
      <c r="B4575" s="2" t="s">
        <v>46</v>
      </c>
      <c r="C4575" s="2" t="s">
        <v>4086</v>
      </c>
      <c r="D4575" s="2"/>
      <c r="E4575" s="2"/>
      <c r="F4575" s="2"/>
      <c r="G4575" s="2"/>
      <c r="H4575" s="2" t="s">
        <v>668</v>
      </c>
    </row>
    <row r="4576" customFormat="false" ht="15" hidden="false" customHeight="false" outlineLevel="0" collapsed="false">
      <c r="A4576" s="2" t="s">
        <v>2368</v>
      </c>
      <c r="B4576" s="2" t="s">
        <v>46</v>
      </c>
      <c r="C4576" s="2" t="s">
        <v>4087</v>
      </c>
      <c r="D4576" s="11" t="n">
        <v>157770</v>
      </c>
      <c r="E4576" s="31" t="n">
        <v>22</v>
      </c>
      <c r="F4576" s="2"/>
      <c r="G4576" s="31" t="n">
        <v>59.3</v>
      </c>
      <c r="H4576" s="2" t="s">
        <v>668</v>
      </c>
    </row>
    <row r="4577" customFormat="false" ht="15" hidden="false" customHeight="false" outlineLevel="0" collapsed="false">
      <c r="A4577" s="2" t="s">
        <v>2368</v>
      </c>
      <c r="B4577" s="2" t="s">
        <v>47</v>
      </c>
      <c r="C4577" s="2" t="s">
        <v>4085</v>
      </c>
      <c r="D4577" s="2"/>
      <c r="E4577" s="2"/>
      <c r="F4577" s="2"/>
      <c r="G4577" s="31" t="n">
        <v>19.2</v>
      </c>
      <c r="H4577" s="2" t="s">
        <v>668</v>
      </c>
    </row>
    <row r="4578" customFormat="false" ht="15" hidden="false" customHeight="false" outlineLevel="0" collapsed="false">
      <c r="A4578" s="2" t="s">
        <v>2368</v>
      </c>
      <c r="B4578" s="2" t="s">
        <v>47</v>
      </c>
      <c r="C4578" s="2" t="s">
        <v>4086</v>
      </c>
      <c r="D4578" s="11" t="n">
        <v>269600</v>
      </c>
      <c r="E4578" s="31" t="n">
        <v>48.5</v>
      </c>
      <c r="F4578" s="31" t="n">
        <v>24.2</v>
      </c>
      <c r="G4578" s="31" t="n">
        <v>2</v>
      </c>
      <c r="H4578" s="2" t="s">
        <v>671</v>
      </c>
    </row>
    <row r="4579" customFormat="false" ht="15" hidden="false" customHeight="false" outlineLevel="0" collapsed="false">
      <c r="A4579" s="2" t="s">
        <v>2368</v>
      </c>
      <c r="B4579" s="2" t="s">
        <v>47</v>
      </c>
      <c r="C4579" s="2" t="s">
        <v>4087</v>
      </c>
      <c r="D4579" s="11" t="n">
        <v>277350</v>
      </c>
      <c r="E4579" s="31" t="n">
        <v>43.2</v>
      </c>
      <c r="F4579" s="31" t="n">
        <v>21.7</v>
      </c>
      <c r="G4579" s="31" t="n">
        <v>16.6</v>
      </c>
      <c r="H4579" s="2" t="s">
        <v>671</v>
      </c>
    </row>
    <row r="4580" customFormat="false" ht="15" hidden="false" customHeight="false" outlineLevel="0" collapsed="false">
      <c r="A4580" s="2" t="s">
        <v>594</v>
      </c>
      <c r="B4580" s="2" t="s">
        <v>4104</v>
      </c>
      <c r="C4580" s="2" t="s">
        <v>4085</v>
      </c>
      <c r="D4580" s="2"/>
      <c r="E4580" s="31" t="n">
        <v>11.2</v>
      </c>
      <c r="F4580" s="31" t="n">
        <v>57</v>
      </c>
      <c r="G4580" s="31" t="n">
        <v>92.9</v>
      </c>
      <c r="H4580" s="2" t="s">
        <v>668</v>
      </c>
    </row>
    <row r="4581" customFormat="false" ht="15" hidden="false" customHeight="false" outlineLevel="0" collapsed="false">
      <c r="A4581" s="2" t="s">
        <v>594</v>
      </c>
      <c r="B4581" s="2" t="s">
        <v>4104</v>
      </c>
      <c r="C4581" s="2" t="s">
        <v>4087</v>
      </c>
      <c r="D4581" s="2"/>
      <c r="E4581" s="31" t="n">
        <v>21.4</v>
      </c>
      <c r="F4581" s="31" t="n">
        <v>65.4</v>
      </c>
      <c r="G4581" s="31" t="n">
        <v>69.5</v>
      </c>
      <c r="H4581" s="2" t="s">
        <v>671</v>
      </c>
    </row>
    <row r="4582" customFormat="false" ht="15" hidden="false" customHeight="false" outlineLevel="0" collapsed="false">
      <c r="A4582" s="2" t="s">
        <v>594</v>
      </c>
      <c r="B4582" s="2" t="s">
        <v>45</v>
      </c>
      <c r="C4582" s="2" t="s">
        <v>4085</v>
      </c>
      <c r="D4582" s="11" t="n">
        <v>246743</v>
      </c>
      <c r="E4582" s="31" t="n">
        <v>7.3</v>
      </c>
      <c r="F4582" s="31" t="n">
        <v>28.1</v>
      </c>
      <c r="G4582" s="31" t="n">
        <v>92.9</v>
      </c>
      <c r="H4582" s="2" t="s">
        <v>671</v>
      </c>
    </row>
    <row r="4583" customFormat="false" ht="15" hidden="false" customHeight="false" outlineLevel="0" collapsed="false">
      <c r="A4583" s="2" t="s">
        <v>594</v>
      </c>
      <c r="B4583" s="2" t="s">
        <v>45</v>
      </c>
      <c r="C4583" s="2" t="s">
        <v>4087</v>
      </c>
      <c r="D4583" s="11" t="n">
        <v>264360</v>
      </c>
      <c r="E4583" s="31" t="n">
        <v>12</v>
      </c>
      <c r="F4583" s="31" t="n">
        <v>46.4</v>
      </c>
      <c r="G4583" s="31" t="n">
        <v>94.2</v>
      </c>
      <c r="H4583" s="2" t="s">
        <v>671</v>
      </c>
    </row>
    <row r="4584" customFormat="false" ht="15" hidden="false" customHeight="false" outlineLevel="0" collapsed="false">
      <c r="A4584" s="2" t="s">
        <v>594</v>
      </c>
      <c r="B4584" s="2" t="s">
        <v>47</v>
      </c>
      <c r="C4584" s="2" t="s">
        <v>4085</v>
      </c>
      <c r="D4584" s="11" t="n">
        <v>122657</v>
      </c>
      <c r="E4584" s="31" t="n">
        <v>15.1</v>
      </c>
      <c r="F4584" s="31" t="n">
        <v>85.8</v>
      </c>
      <c r="G4584" s="2"/>
      <c r="H4584" s="2" t="s">
        <v>668</v>
      </c>
    </row>
    <row r="4585" customFormat="false" ht="15" hidden="false" customHeight="false" outlineLevel="0" collapsed="false">
      <c r="A4585" s="2" t="s">
        <v>594</v>
      </c>
      <c r="B4585" s="2" t="s">
        <v>47</v>
      </c>
      <c r="C4585" s="2" t="s">
        <v>4087</v>
      </c>
      <c r="D4585" s="11" t="n">
        <v>132024</v>
      </c>
      <c r="E4585" s="31" t="n">
        <v>30.8</v>
      </c>
      <c r="F4585" s="31" t="n">
        <v>84.3</v>
      </c>
      <c r="G4585" s="31" t="n">
        <v>44.8</v>
      </c>
      <c r="H4585" s="2" t="s">
        <v>671</v>
      </c>
    </row>
    <row r="4586" customFormat="false" ht="15" hidden="false" customHeight="false" outlineLevel="0" collapsed="false">
      <c r="A4586" s="2" t="s">
        <v>1724</v>
      </c>
      <c r="B4586" s="2" t="s">
        <v>4104</v>
      </c>
      <c r="C4586" s="2" t="s">
        <v>4085</v>
      </c>
      <c r="D4586" s="2"/>
      <c r="E4586" s="31" t="n">
        <v>17.4</v>
      </c>
      <c r="F4586" s="31" t="n">
        <v>68.6</v>
      </c>
      <c r="G4586" s="31" t="n">
        <v>48.4</v>
      </c>
      <c r="H4586" s="2" t="s">
        <v>668</v>
      </c>
    </row>
    <row r="4587" customFormat="false" ht="15" hidden="false" customHeight="false" outlineLevel="0" collapsed="false">
      <c r="A4587" s="2" t="s">
        <v>1724</v>
      </c>
      <c r="B4587" s="2" t="s">
        <v>4104</v>
      </c>
      <c r="C4587" s="2" t="s">
        <v>4086</v>
      </c>
      <c r="D4587" s="2"/>
      <c r="E4587" s="31" t="n">
        <v>29.2</v>
      </c>
      <c r="F4587" s="31" t="n">
        <v>47.6</v>
      </c>
      <c r="G4587" s="31" t="n">
        <v>65.2</v>
      </c>
      <c r="H4587" s="2" t="s">
        <v>671</v>
      </c>
    </row>
    <row r="4588" customFormat="false" ht="15" hidden="false" customHeight="false" outlineLevel="0" collapsed="false">
      <c r="A4588" s="2" t="s">
        <v>1724</v>
      </c>
      <c r="B4588" s="2" t="s">
        <v>4104</v>
      </c>
      <c r="C4588" s="2" t="s">
        <v>4087</v>
      </c>
      <c r="D4588" s="2"/>
      <c r="E4588" s="31" t="n">
        <v>42.3</v>
      </c>
      <c r="F4588" s="31" t="n">
        <v>45</v>
      </c>
      <c r="G4588" s="31" t="n">
        <v>90.2</v>
      </c>
      <c r="H4588" s="2" t="s">
        <v>668</v>
      </c>
    </row>
    <row r="4589" customFormat="false" ht="15" hidden="false" customHeight="false" outlineLevel="0" collapsed="false">
      <c r="A4589" s="2" t="s">
        <v>1724</v>
      </c>
      <c r="B4589" s="2" t="s">
        <v>45</v>
      </c>
      <c r="C4589" s="2" t="s">
        <v>4085</v>
      </c>
      <c r="D4589" s="2"/>
      <c r="E4589" s="2"/>
      <c r="F4589" s="2"/>
      <c r="G4589" s="31" t="n">
        <v>5.1</v>
      </c>
      <c r="H4589" s="2" t="s">
        <v>668</v>
      </c>
    </row>
    <row r="4590" customFormat="false" ht="15" hidden="false" customHeight="false" outlineLevel="0" collapsed="false">
      <c r="A4590" s="2" t="s">
        <v>1724</v>
      </c>
      <c r="B4590" s="2" t="s">
        <v>45</v>
      </c>
      <c r="C4590" s="2" t="s">
        <v>4086</v>
      </c>
      <c r="D4590" s="11" t="n">
        <v>11810</v>
      </c>
      <c r="E4590" s="31" t="n">
        <v>19.8</v>
      </c>
      <c r="F4590" s="31" t="n">
        <v>50.5</v>
      </c>
      <c r="G4590" s="31" t="n">
        <v>39.2</v>
      </c>
      <c r="H4590" s="2" t="s">
        <v>671</v>
      </c>
    </row>
    <row r="4591" customFormat="false" ht="15" hidden="false" customHeight="false" outlineLevel="0" collapsed="false">
      <c r="A4591" s="2" t="s">
        <v>1724</v>
      </c>
      <c r="B4591" s="2" t="s">
        <v>45</v>
      </c>
      <c r="C4591" s="2" t="s">
        <v>4087</v>
      </c>
      <c r="D4591" s="2"/>
      <c r="E4591" s="2"/>
      <c r="F4591" s="2"/>
      <c r="G4591" s="2"/>
      <c r="H4591" s="2" t="s">
        <v>668</v>
      </c>
    </row>
    <row r="4592" customFormat="false" ht="15" hidden="false" customHeight="false" outlineLevel="0" collapsed="false">
      <c r="A4592" s="2" t="s">
        <v>1724</v>
      </c>
      <c r="B4592" s="2" t="s">
        <v>46</v>
      </c>
      <c r="C4592" s="2" t="s">
        <v>4085</v>
      </c>
      <c r="D4592" s="11" t="n">
        <v>111940</v>
      </c>
      <c r="E4592" s="31" t="n">
        <v>17.4</v>
      </c>
      <c r="F4592" s="31" t="n">
        <v>68.6</v>
      </c>
      <c r="G4592" s="31" t="n">
        <v>91.8</v>
      </c>
      <c r="H4592" s="2" t="s">
        <v>671</v>
      </c>
    </row>
    <row r="4593" customFormat="false" ht="15" hidden="false" customHeight="false" outlineLevel="0" collapsed="false">
      <c r="A4593" s="2" t="s">
        <v>1724</v>
      </c>
      <c r="B4593" s="2" t="s">
        <v>46</v>
      </c>
      <c r="C4593" s="2" t="s">
        <v>4086</v>
      </c>
      <c r="D4593" s="11" t="n">
        <v>115320</v>
      </c>
      <c r="E4593" s="31" t="n">
        <v>38.7</v>
      </c>
      <c r="F4593" s="31" t="n">
        <v>44.6</v>
      </c>
      <c r="G4593" s="31" t="n">
        <v>91.2</v>
      </c>
      <c r="H4593" s="2" t="s">
        <v>671</v>
      </c>
    </row>
    <row r="4594" customFormat="false" ht="15" hidden="false" customHeight="false" outlineLevel="0" collapsed="false">
      <c r="A4594" s="2" t="s">
        <v>1724</v>
      </c>
      <c r="B4594" s="2" t="s">
        <v>46</v>
      </c>
      <c r="C4594" s="2" t="s">
        <v>4087</v>
      </c>
      <c r="D4594" s="11" t="n">
        <v>120360</v>
      </c>
      <c r="E4594" s="31" t="n">
        <v>42.3</v>
      </c>
      <c r="F4594" s="31" t="n">
        <v>45</v>
      </c>
      <c r="G4594" s="31" t="n">
        <v>90.2</v>
      </c>
      <c r="H4594" s="2" t="s">
        <v>671</v>
      </c>
    </row>
    <row r="4595" customFormat="false" ht="15" hidden="false" customHeight="false" outlineLevel="0" collapsed="false">
      <c r="A4595" s="2" t="s">
        <v>304</v>
      </c>
      <c r="B4595" s="2" t="s">
        <v>4104</v>
      </c>
      <c r="C4595" s="2" t="s">
        <v>4085</v>
      </c>
      <c r="D4595" s="2"/>
      <c r="E4595" s="31" t="n">
        <v>49.8</v>
      </c>
      <c r="F4595" s="31" t="n">
        <v>93.1</v>
      </c>
      <c r="G4595" s="31" t="n">
        <v>87.3</v>
      </c>
      <c r="H4595" s="2" t="s">
        <v>668</v>
      </c>
    </row>
    <row r="4596" customFormat="false" ht="15" hidden="false" customHeight="false" outlineLevel="0" collapsed="false">
      <c r="A4596" s="2" t="s">
        <v>304</v>
      </c>
      <c r="B4596" s="2" t="s">
        <v>4104</v>
      </c>
      <c r="C4596" s="2" t="s">
        <v>4086</v>
      </c>
      <c r="D4596" s="2"/>
      <c r="E4596" s="31" t="n">
        <v>51</v>
      </c>
      <c r="F4596" s="31" t="n">
        <v>55.9</v>
      </c>
      <c r="G4596" s="31" t="n">
        <v>53.8</v>
      </c>
      <c r="H4596" s="2" t="s">
        <v>671</v>
      </c>
    </row>
    <row r="4597" customFormat="false" ht="15" hidden="false" customHeight="false" outlineLevel="0" collapsed="false">
      <c r="A4597" s="2" t="s">
        <v>304</v>
      </c>
      <c r="B4597" s="2" t="s">
        <v>4104</v>
      </c>
      <c r="C4597" s="2" t="s">
        <v>4087</v>
      </c>
      <c r="D4597" s="2"/>
      <c r="E4597" s="31" t="n">
        <v>57.4</v>
      </c>
      <c r="F4597" s="31" t="n">
        <v>50.5</v>
      </c>
      <c r="G4597" s="31" t="n">
        <v>51</v>
      </c>
      <c r="H4597" s="2" t="s">
        <v>671</v>
      </c>
    </row>
    <row r="4598" customFormat="false" ht="15" hidden="false" customHeight="false" outlineLevel="0" collapsed="false">
      <c r="A4598" s="2" t="s">
        <v>304</v>
      </c>
      <c r="B4598" s="2" t="s">
        <v>45</v>
      </c>
      <c r="C4598" s="2" t="s">
        <v>4085</v>
      </c>
      <c r="D4598" s="11" t="n">
        <v>64280</v>
      </c>
      <c r="E4598" s="31" t="n">
        <v>76.7</v>
      </c>
      <c r="F4598" s="31" t="n">
        <v>93.1</v>
      </c>
      <c r="G4598" s="2"/>
      <c r="H4598" s="2" t="s">
        <v>671</v>
      </c>
    </row>
    <row r="4599" customFormat="false" ht="15" hidden="false" customHeight="false" outlineLevel="0" collapsed="false">
      <c r="A4599" s="2" t="s">
        <v>304</v>
      </c>
      <c r="B4599" s="2" t="s">
        <v>45</v>
      </c>
      <c r="C4599" s="2" t="s">
        <v>4086</v>
      </c>
      <c r="D4599" s="11" t="n">
        <v>69470</v>
      </c>
      <c r="E4599" s="31" t="n">
        <v>35.3</v>
      </c>
      <c r="F4599" s="31" t="n">
        <v>72.9</v>
      </c>
      <c r="G4599" s="2"/>
      <c r="H4599" s="2" t="s">
        <v>671</v>
      </c>
    </row>
    <row r="4600" customFormat="false" ht="15" hidden="false" customHeight="false" outlineLevel="0" collapsed="false">
      <c r="A4600" s="2" t="s">
        <v>304</v>
      </c>
      <c r="B4600" s="2" t="s">
        <v>45</v>
      </c>
      <c r="C4600" s="2" t="s">
        <v>4087</v>
      </c>
      <c r="D4600" s="11" t="n">
        <v>74320</v>
      </c>
      <c r="E4600" s="31" t="n">
        <v>26.9</v>
      </c>
      <c r="F4600" s="31" t="n">
        <v>78.2</v>
      </c>
      <c r="G4600" s="2"/>
      <c r="H4600" s="2" t="s">
        <v>671</v>
      </c>
    </row>
    <row r="4601" customFormat="false" ht="15" hidden="false" customHeight="false" outlineLevel="0" collapsed="false">
      <c r="A4601" s="2" t="s">
        <v>304</v>
      </c>
      <c r="B4601" s="2" t="s">
        <v>46</v>
      </c>
      <c r="C4601" s="2" t="s">
        <v>4085</v>
      </c>
      <c r="D4601" s="2"/>
      <c r="E4601" s="2"/>
      <c r="F4601" s="2"/>
      <c r="G4601" s="2"/>
      <c r="H4601" s="2" t="s">
        <v>668</v>
      </c>
    </row>
    <row r="4602" customFormat="false" ht="15" hidden="false" customHeight="false" outlineLevel="0" collapsed="false">
      <c r="A4602" s="2" t="s">
        <v>304</v>
      </c>
      <c r="B4602" s="2" t="s">
        <v>46</v>
      </c>
      <c r="C4602" s="2" t="s">
        <v>4086</v>
      </c>
      <c r="D4602" s="11" t="n">
        <v>11130</v>
      </c>
      <c r="E4602" s="31" t="n">
        <v>90.6</v>
      </c>
      <c r="F4602" s="31" t="n">
        <v>10.9</v>
      </c>
      <c r="G4602" s="31" t="n">
        <v>19</v>
      </c>
      <c r="H4602" s="2" t="s">
        <v>671</v>
      </c>
    </row>
    <row r="4603" customFormat="false" ht="15" hidden="false" customHeight="false" outlineLevel="0" collapsed="false">
      <c r="A4603" s="2" t="s">
        <v>304</v>
      </c>
      <c r="B4603" s="2" t="s">
        <v>46</v>
      </c>
      <c r="C4603" s="2" t="s">
        <v>4087</v>
      </c>
      <c r="D4603" s="11" t="n">
        <v>11233</v>
      </c>
      <c r="E4603" s="31" t="n">
        <v>87.9</v>
      </c>
      <c r="F4603" s="31" t="n">
        <v>2.9</v>
      </c>
      <c r="G4603" s="31" t="n">
        <v>21.2</v>
      </c>
      <c r="H4603" s="2" t="s">
        <v>671</v>
      </c>
    </row>
    <row r="4604" customFormat="false" ht="15" hidden="false" customHeight="false" outlineLevel="0" collapsed="false">
      <c r="A4604" s="2" t="s">
        <v>304</v>
      </c>
      <c r="B4604" s="2" t="s">
        <v>47</v>
      </c>
      <c r="C4604" s="2" t="s">
        <v>4085</v>
      </c>
      <c r="D4604" s="11" t="n">
        <v>188440</v>
      </c>
      <c r="E4604" s="31" t="n">
        <v>22.8</v>
      </c>
      <c r="F4604" s="2"/>
      <c r="G4604" s="31" t="n">
        <v>87.3</v>
      </c>
      <c r="H4604" s="2" t="s">
        <v>668</v>
      </c>
    </row>
    <row r="4605" customFormat="false" ht="15" hidden="false" customHeight="false" outlineLevel="0" collapsed="false">
      <c r="A4605" s="2" t="s">
        <v>304</v>
      </c>
      <c r="B4605" s="2" t="s">
        <v>47</v>
      </c>
      <c r="C4605" s="2" t="s">
        <v>4086</v>
      </c>
      <c r="D4605" s="11" t="n">
        <v>204319</v>
      </c>
      <c r="E4605" s="31" t="n">
        <v>27.2</v>
      </c>
      <c r="F4605" s="31" t="n">
        <v>83.9</v>
      </c>
      <c r="G4605" s="31" t="n">
        <v>88.5</v>
      </c>
      <c r="H4605" s="2" t="s">
        <v>671</v>
      </c>
    </row>
    <row r="4606" customFormat="false" ht="15" hidden="false" customHeight="false" outlineLevel="0" collapsed="false">
      <c r="A4606" s="2" t="s">
        <v>304</v>
      </c>
      <c r="B4606" s="2" t="s">
        <v>47</v>
      </c>
      <c r="C4606" s="2" t="s">
        <v>4087</v>
      </c>
      <c r="D4606" s="11" t="n">
        <v>209687</v>
      </c>
      <c r="E4606" s="31" t="n">
        <v>57.4</v>
      </c>
      <c r="F4606" s="31" t="n">
        <v>70.5</v>
      </c>
      <c r="G4606" s="31" t="n">
        <v>80.8</v>
      </c>
      <c r="H4606" s="2" t="s">
        <v>671</v>
      </c>
    </row>
    <row r="4607" customFormat="false" ht="15" hidden="false" customHeight="false" outlineLevel="0" collapsed="false">
      <c r="A4607" s="2" t="s">
        <v>1120</v>
      </c>
      <c r="B4607" s="2" t="s">
        <v>4104</v>
      </c>
      <c r="C4607" s="2" t="s">
        <v>4085</v>
      </c>
      <c r="D4607" s="2"/>
      <c r="E4607" s="31" t="n">
        <v>39.4</v>
      </c>
      <c r="F4607" s="31" t="n">
        <v>41</v>
      </c>
      <c r="G4607" s="31" t="n">
        <v>2.8</v>
      </c>
      <c r="H4607" s="2" t="s">
        <v>668</v>
      </c>
    </row>
    <row r="4608" customFormat="false" ht="15" hidden="false" customHeight="false" outlineLevel="0" collapsed="false">
      <c r="A4608" s="2" t="s">
        <v>1120</v>
      </c>
      <c r="B4608" s="2" t="s">
        <v>4104</v>
      </c>
      <c r="C4608" s="2" t="s">
        <v>4086</v>
      </c>
      <c r="D4608" s="2"/>
      <c r="E4608" s="31" t="n">
        <v>56</v>
      </c>
      <c r="F4608" s="31" t="n">
        <v>57.2</v>
      </c>
      <c r="G4608" s="31" t="n">
        <v>16.7</v>
      </c>
      <c r="H4608" s="2" t="s">
        <v>671</v>
      </c>
    </row>
    <row r="4609" customFormat="false" ht="15" hidden="false" customHeight="false" outlineLevel="0" collapsed="false">
      <c r="A4609" s="2" t="s">
        <v>1120</v>
      </c>
      <c r="B4609" s="2" t="s">
        <v>4104</v>
      </c>
      <c r="C4609" s="2" t="s">
        <v>4087</v>
      </c>
      <c r="D4609" s="2"/>
      <c r="E4609" s="31" t="n">
        <v>39</v>
      </c>
      <c r="F4609" s="31" t="n">
        <v>46.7</v>
      </c>
      <c r="G4609" s="31" t="n">
        <v>21.8</v>
      </c>
      <c r="H4609" s="2" t="s">
        <v>668</v>
      </c>
    </row>
    <row r="4610" customFormat="false" ht="15" hidden="false" customHeight="false" outlineLevel="0" collapsed="false">
      <c r="A4610" s="2" t="s">
        <v>1120</v>
      </c>
      <c r="B4610" s="2" t="s">
        <v>45</v>
      </c>
      <c r="C4610" s="2" t="s">
        <v>4085</v>
      </c>
      <c r="D4610" s="11" t="n">
        <v>6600</v>
      </c>
      <c r="E4610" s="31" t="n">
        <v>38.2</v>
      </c>
      <c r="F4610" s="31" t="n">
        <v>49.2</v>
      </c>
      <c r="G4610" s="2"/>
      <c r="H4610" s="2" t="s">
        <v>668</v>
      </c>
    </row>
    <row r="4611" customFormat="false" ht="15" hidden="false" customHeight="false" outlineLevel="0" collapsed="false">
      <c r="A4611" s="2" t="s">
        <v>1120</v>
      </c>
      <c r="B4611" s="2" t="s">
        <v>45</v>
      </c>
      <c r="C4611" s="2" t="s">
        <v>4086</v>
      </c>
      <c r="D4611" s="11" t="n">
        <v>6994</v>
      </c>
      <c r="E4611" s="31" t="n">
        <v>55</v>
      </c>
      <c r="F4611" s="31" t="n">
        <v>39.4</v>
      </c>
      <c r="G4611" s="31" t="n">
        <v>30.3</v>
      </c>
      <c r="H4611" s="2" t="s">
        <v>671</v>
      </c>
    </row>
    <row r="4612" customFormat="false" ht="15" hidden="false" customHeight="false" outlineLevel="0" collapsed="false">
      <c r="A4612" s="2" t="s">
        <v>1120</v>
      </c>
      <c r="B4612" s="2" t="s">
        <v>45</v>
      </c>
      <c r="C4612" s="2" t="s">
        <v>4087</v>
      </c>
      <c r="D4612" s="11" t="n">
        <v>7294</v>
      </c>
      <c r="E4612" s="31" t="n">
        <v>39.5</v>
      </c>
      <c r="F4612" s="31" t="n">
        <v>70.4</v>
      </c>
      <c r="G4612" s="31" t="n">
        <v>38.4</v>
      </c>
      <c r="H4612" s="2" t="s">
        <v>671</v>
      </c>
    </row>
    <row r="4613" customFormat="false" ht="15" hidden="false" customHeight="false" outlineLevel="0" collapsed="false">
      <c r="A4613" s="2" t="s">
        <v>1120</v>
      </c>
      <c r="B4613" s="2" t="s">
        <v>46</v>
      </c>
      <c r="C4613" s="2" t="s">
        <v>4085</v>
      </c>
      <c r="D4613" s="2"/>
      <c r="E4613" s="2"/>
      <c r="F4613" s="2"/>
      <c r="G4613" s="2"/>
      <c r="H4613" s="2" t="s">
        <v>668</v>
      </c>
    </row>
    <row r="4614" customFormat="false" ht="15" hidden="false" customHeight="false" outlineLevel="0" collapsed="false">
      <c r="A4614" s="2" t="s">
        <v>1120</v>
      </c>
      <c r="B4614" s="2" t="s">
        <v>46</v>
      </c>
      <c r="C4614" s="2" t="s">
        <v>4086</v>
      </c>
      <c r="D4614" s="11" t="n">
        <v>123720</v>
      </c>
      <c r="E4614" s="31" t="n">
        <v>82.1</v>
      </c>
      <c r="F4614" s="31" t="n">
        <v>97.5</v>
      </c>
      <c r="G4614" s="31" t="n">
        <v>16.1</v>
      </c>
      <c r="H4614" s="2" t="s">
        <v>671</v>
      </c>
    </row>
    <row r="4615" customFormat="false" ht="15" hidden="false" customHeight="false" outlineLevel="0" collapsed="false">
      <c r="A4615" s="2" t="s">
        <v>1120</v>
      </c>
      <c r="B4615" s="2" t="s">
        <v>46</v>
      </c>
      <c r="C4615" s="2" t="s">
        <v>4087</v>
      </c>
      <c r="D4615" s="2"/>
      <c r="E4615" s="2"/>
      <c r="F4615" s="2"/>
      <c r="G4615" s="2"/>
      <c r="H4615" s="2" t="s">
        <v>668</v>
      </c>
    </row>
    <row r="4616" customFormat="false" ht="15" hidden="false" customHeight="false" outlineLevel="0" collapsed="false">
      <c r="A4616" s="2" t="s">
        <v>1120</v>
      </c>
      <c r="B4616" s="2" t="s">
        <v>47</v>
      </c>
      <c r="C4616" s="2" t="s">
        <v>4085</v>
      </c>
      <c r="D4616" s="11" t="n">
        <v>206094</v>
      </c>
      <c r="E4616" s="31" t="n">
        <v>40.7</v>
      </c>
      <c r="F4616" s="31" t="n">
        <v>32.7</v>
      </c>
      <c r="G4616" s="31" t="n">
        <v>2.8</v>
      </c>
      <c r="H4616" s="2" t="s">
        <v>671</v>
      </c>
    </row>
    <row r="4617" customFormat="false" ht="15" hidden="false" customHeight="false" outlineLevel="0" collapsed="false">
      <c r="A4617" s="2" t="s">
        <v>1120</v>
      </c>
      <c r="B4617" s="2" t="s">
        <v>47</v>
      </c>
      <c r="C4617" s="2" t="s">
        <v>4086</v>
      </c>
      <c r="D4617" s="11" t="n">
        <v>211050</v>
      </c>
      <c r="E4617" s="31" t="n">
        <v>31</v>
      </c>
      <c r="F4617" s="31" t="n">
        <v>34.8</v>
      </c>
      <c r="G4617" s="31" t="n">
        <v>3.8</v>
      </c>
      <c r="H4617" s="2" t="s">
        <v>671</v>
      </c>
    </row>
    <row r="4618" customFormat="false" ht="15" hidden="false" customHeight="false" outlineLevel="0" collapsed="false">
      <c r="A4618" s="2" t="s">
        <v>1120</v>
      </c>
      <c r="B4618" s="2" t="s">
        <v>47</v>
      </c>
      <c r="C4618" s="2" t="s">
        <v>4087</v>
      </c>
      <c r="D4618" s="11" t="n">
        <v>221634</v>
      </c>
      <c r="E4618" s="31" t="n">
        <v>38.4</v>
      </c>
      <c r="F4618" s="31" t="n">
        <v>22.9</v>
      </c>
      <c r="G4618" s="31" t="n">
        <v>5.3</v>
      </c>
      <c r="H4618" s="2" t="s">
        <v>671</v>
      </c>
    </row>
    <row r="4619" customFormat="false" ht="15" hidden="false" customHeight="false" outlineLevel="0" collapsed="false">
      <c r="A4619" s="2" t="s">
        <v>2126</v>
      </c>
      <c r="B4619" s="2" t="s">
        <v>4104</v>
      </c>
      <c r="C4619" s="2" t="s">
        <v>4085</v>
      </c>
      <c r="D4619" s="2"/>
      <c r="E4619" s="31" t="n">
        <v>60.9</v>
      </c>
      <c r="F4619" s="31" t="n">
        <v>68.9</v>
      </c>
      <c r="G4619" s="31" t="n">
        <v>62.6</v>
      </c>
      <c r="H4619" s="2" t="s">
        <v>668</v>
      </c>
    </row>
    <row r="4620" customFormat="false" ht="15" hidden="false" customHeight="false" outlineLevel="0" collapsed="false">
      <c r="A4620" s="2" t="s">
        <v>2126</v>
      </c>
      <c r="B4620" s="2" t="s">
        <v>4104</v>
      </c>
      <c r="C4620" s="2" t="s">
        <v>4087</v>
      </c>
      <c r="D4620" s="2"/>
      <c r="E4620" s="31" t="n">
        <v>75.9</v>
      </c>
      <c r="F4620" s="31" t="n">
        <v>31.2</v>
      </c>
      <c r="G4620" s="31" t="n">
        <v>37.5</v>
      </c>
      <c r="H4620" s="2" t="s">
        <v>668</v>
      </c>
    </row>
    <row r="4621" customFormat="false" ht="15" hidden="false" customHeight="false" outlineLevel="0" collapsed="false">
      <c r="A4621" s="2" t="s">
        <v>2126</v>
      </c>
      <c r="B4621" s="2" t="s">
        <v>45</v>
      </c>
      <c r="C4621" s="2" t="s">
        <v>4085</v>
      </c>
      <c r="D4621" s="11" t="n">
        <v>25060</v>
      </c>
      <c r="E4621" s="31" t="n">
        <v>32</v>
      </c>
      <c r="F4621" s="2"/>
      <c r="G4621" s="31" t="n">
        <v>79.3</v>
      </c>
      <c r="H4621" s="2" t="s">
        <v>668</v>
      </c>
    </row>
    <row r="4622" customFormat="false" ht="15" hidden="false" customHeight="false" outlineLevel="0" collapsed="false">
      <c r="A4622" s="2" t="s">
        <v>2126</v>
      </c>
      <c r="B4622" s="2" t="s">
        <v>45</v>
      </c>
      <c r="C4622" s="2" t="s">
        <v>4087</v>
      </c>
      <c r="D4622" s="2"/>
      <c r="E4622" s="2"/>
      <c r="F4622" s="2"/>
      <c r="G4622" s="2"/>
      <c r="H4622" s="2" t="s">
        <v>668</v>
      </c>
    </row>
    <row r="4623" customFormat="false" ht="15" hidden="false" customHeight="false" outlineLevel="0" collapsed="false">
      <c r="A4623" s="2" t="s">
        <v>2126</v>
      </c>
      <c r="B4623" s="2" t="s">
        <v>46</v>
      </c>
      <c r="C4623" s="2" t="s">
        <v>4085</v>
      </c>
      <c r="D4623" s="11" t="n">
        <v>86406</v>
      </c>
      <c r="E4623" s="31" t="n">
        <v>91.8</v>
      </c>
      <c r="F4623" s="31" t="n">
        <v>70.8</v>
      </c>
      <c r="G4623" s="31" t="n">
        <v>74</v>
      </c>
      <c r="H4623" s="2" t="s">
        <v>671</v>
      </c>
    </row>
    <row r="4624" customFormat="false" ht="15" hidden="false" customHeight="false" outlineLevel="0" collapsed="false">
      <c r="A4624" s="2" t="s">
        <v>2126</v>
      </c>
      <c r="B4624" s="2" t="s">
        <v>46</v>
      </c>
      <c r="C4624" s="2" t="s">
        <v>4087</v>
      </c>
      <c r="D4624" s="2"/>
      <c r="E4624" s="2"/>
      <c r="F4624" s="2"/>
      <c r="G4624" s="2"/>
      <c r="H4624" s="2" t="s">
        <v>668</v>
      </c>
    </row>
    <row r="4625" customFormat="false" ht="15" hidden="false" customHeight="false" outlineLevel="0" collapsed="false">
      <c r="A4625" s="2" t="s">
        <v>2126</v>
      </c>
      <c r="B4625" s="2" t="s">
        <v>47</v>
      </c>
      <c r="C4625" s="2" t="s">
        <v>4085</v>
      </c>
      <c r="D4625" s="11" t="n">
        <v>69781</v>
      </c>
      <c r="E4625" s="31" t="n">
        <v>58.8</v>
      </c>
      <c r="F4625" s="31" t="n">
        <v>67</v>
      </c>
      <c r="G4625" s="31" t="n">
        <v>34.4</v>
      </c>
      <c r="H4625" s="2" t="s">
        <v>671</v>
      </c>
    </row>
    <row r="4626" customFormat="false" ht="15" hidden="false" customHeight="false" outlineLevel="0" collapsed="false">
      <c r="A4626" s="2" t="s">
        <v>2126</v>
      </c>
      <c r="B4626" s="2" t="s">
        <v>47</v>
      </c>
      <c r="C4626" s="2" t="s">
        <v>4087</v>
      </c>
      <c r="D4626" s="11" t="n">
        <v>74413</v>
      </c>
      <c r="E4626" s="31" t="n">
        <v>75.9</v>
      </c>
      <c r="F4626" s="31" t="n">
        <v>31.2</v>
      </c>
      <c r="G4626" s="31" t="n">
        <v>37.5</v>
      </c>
      <c r="H4626" s="2" t="s">
        <v>671</v>
      </c>
    </row>
    <row r="4627" customFormat="false" ht="15" hidden="false" customHeight="false" outlineLevel="0" collapsed="false">
      <c r="A4627" s="2" t="s">
        <v>2504</v>
      </c>
      <c r="B4627" s="2" t="s">
        <v>4104</v>
      </c>
      <c r="C4627" s="2" t="s">
        <v>4085</v>
      </c>
      <c r="D4627" s="2"/>
      <c r="E4627" s="31" t="n">
        <v>35.5</v>
      </c>
      <c r="F4627" s="31" t="n">
        <v>68.6</v>
      </c>
      <c r="G4627" s="31" t="n">
        <v>46.5</v>
      </c>
      <c r="H4627" s="2" t="s">
        <v>668</v>
      </c>
    </row>
    <row r="4628" customFormat="false" ht="15" hidden="false" customHeight="false" outlineLevel="0" collapsed="false">
      <c r="A4628" s="2" t="s">
        <v>2504</v>
      </c>
      <c r="B4628" s="2" t="s">
        <v>4104</v>
      </c>
      <c r="C4628" s="2" t="s">
        <v>4086</v>
      </c>
      <c r="D4628" s="2"/>
      <c r="E4628" s="31" t="n">
        <v>48.7</v>
      </c>
      <c r="F4628" s="31" t="n">
        <v>66.8</v>
      </c>
      <c r="G4628" s="31" t="n">
        <v>46.2</v>
      </c>
      <c r="H4628" s="2" t="s">
        <v>671</v>
      </c>
    </row>
    <row r="4629" customFormat="false" ht="15" hidden="false" customHeight="false" outlineLevel="0" collapsed="false">
      <c r="A4629" s="2" t="s">
        <v>2504</v>
      </c>
      <c r="B4629" s="2" t="s">
        <v>4104</v>
      </c>
      <c r="C4629" s="2" t="s">
        <v>4087</v>
      </c>
      <c r="D4629" s="2"/>
      <c r="E4629" s="31" t="n">
        <v>45</v>
      </c>
      <c r="F4629" s="31" t="n">
        <v>69.2</v>
      </c>
      <c r="G4629" s="31" t="n">
        <v>32.2</v>
      </c>
      <c r="H4629" s="2" t="s">
        <v>668</v>
      </c>
    </row>
    <row r="4630" customFormat="false" ht="15" hidden="false" customHeight="false" outlineLevel="0" collapsed="false">
      <c r="A4630" s="2" t="s">
        <v>2504</v>
      </c>
      <c r="B4630" s="2" t="s">
        <v>45</v>
      </c>
      <c r="C4630" s="2" t="s">
        <v>4085</v>
      </c>
      <c r="D4630" s="11" t="n">
        <v>6080</v>
      </c>
      <c r="E4630" s="31" t="n">
        <v>11.4</v>
      </c>
      <c r="F4630" s="2"/>
      <c r="G4630" s="31" t="n">
        <v>90.2</v>
      </c>
      <c r="H4630" s="2" t="s">
        <v>668</v>
      </c>
    </row>
    <row r="4631" customFormat="false" ht="15" hidden="false" customHeight="false" outlineLevel="0" collapsed="false">
      <c r="A4631" s="2" t="s">
        <v>2504</v>
      </c>
      <c r="B4631" s="2" t="s">
        <v>45</v>
      </c>
      <c r="C4631" s="2" t="s">
        <v>4086</v>
      </c>
      <c r="D4631" s="11" t="n">
        <v>6040</v>
      </c>
      <c r="E4631" s="31" t="n">
        <v>23.1</v>
      </c>
      <c r="F4631" s="31" t="n">
        <v>28.2</v>
      </c>
      <c r="G4631" s="31" t="n">
        <v>93.9</v>
      </c>
      <c r="H4631" s="2" t="s">
        <v>671</v>
      </c>
    </row>
    <row r="4632" customFormat="false" ht="15" hidden="false" customHeight="false" outlineLevel="0" collapsed="false">
      <c r="A4632" s="2" t="s">
        <v>2504</v>
      </c>
      <c r="B4632" s="2" t="s">
        <v>45</v>
      </c>
      <c r="C4632" s="2" t="s">
        <v>4087</v>
      </c>
      <c r="D4632" s="11" t="n">
        <v>6130</v>
      </c>
      <c r="E4632" s="2"/>
      <c r="F4632" s="2"/>
      <c r="G4632" s="31" t="n">
        <v>54.1</v>
      </c>
      <c r="H4632" s="2" t="s">
        <v>668</v>
      </c>
    </row>
    <row r="4633" customFormat="false" ht="15" hidden="false" customHeight="false" outlineLevel="0" collapsed="false">
      <c r="A4633" s="2" t="s">
        <v>2504</v>
      </c>
      <c r="B4633" s="2" t="s">
        <v>46</v>
      </c>
      <c r="C4633" s="2" t="s">
        <v>4085</v>
      </c>
      <c r="D4633" s="11" t="n">
        <v>406757</v>
      </c>
      <c r="E4633" s="31" t="n">
        <v>80.8</v>
      </c>
      <c r="F4633" s="31" t="n">
        <v>82.7</v>
      </c>
      <c r="G4633" s="31" t="n">
        <v>46.3</v>
      </c>
      <c r="H4633" s="2" t="s">
        <v>671</v>
      </c>
    </row>
    <row r="4634" customFormat="false" ht="15" hidden="false" customHeight="false" outlineLevel="0" collapsed="false">
      <c r="A4634" s="2" t="s">
        <v>2504</v>
      </c>
      <c r="B4634" s="2" t="s">
        <v>46</v>
      </c>
      <c r="C4634" s="2" t="s">
        <v>4086</v>
      </c>
      <c r="D4634" s="11" t="n">
        <v>422370</v>
      </c>
      <c r="E4634" s="31" t="n">
        <v>91.4</v>
      </c>
      <c r="F4634" s="31" t="n">
        <v>92.4</v>
      </c>
      <c r="G4634" s="31" t="n">
        <v>35.3</v>
      </c>
      <c r="H4634" s="2" t="s">
        <v>671</v>
      </c>
    </row>
    <row r="4635" customFormat="false" ht="15" hidden="false" customHeight="false" outlineLevel="0" collapsed="false">
      <c r="A4635" s="2" t="s">
        <v>2504</v>
      </c>
      <c r="B4635" s="2" t="s">
        <v>46</v>
      </c>
      <c r="C4635" s="2" t="s">
        <v>4087</v>
      </c>
      <c r="D4635" s="11" t="n">
        <v>450980</v>
      </c>
      <c r="E4635" s="31" t="n">
        <v>64.1</v>
      </c>
      <c r="F4635" s="31" t="n">
        <v>69.5</v>
      </c>
      <c r="G4635" s="31" t="n">
        <v>40.2</v>
      </c>
      <c r="H4635" s="2" t="s">
        <v>668</v>
      </c>
    </row>
    <row r="4636" customFormat="false" ht="15" hidden="false" customHeight="false" outlineLevel="0" collapsed="false">
      <c r="A4636" s="2" t="s">
        <v>2504</v>
      </c>
      <c r="B4636" s="2" t="s">
        <v>47</v>
      </c>
      <c r="C4636" s="2" t="s">
        <v>4085</v>
      </c>
      <c r="D4636" s="11" t="n">
        <v>22986</v>
      </c>
      <c r="E4636" s="31" t="n">
        <v>14.4</v>
      </c>
      <c r="F4636" s="31" t="n">
        <v>54.6</v>
      </c>
      <c r="G4636" s="31" t="n">
        <v>3</v>
      </c>
      <c r="H4636" s="2" t="s">
        <v>671</v>
      </c>
    </row>
    <row r="4637" customFormat="false" ht="15" hidden="false" customHeight="false" outlineLevel="0" collapsed="false">
      <c r="A4637" s="2" t="s">
        <v>2504</v>
      </c>
      <c r="B4637" s="2" t="s">
        <v>47</v>
      </c>
      <c r="C4637" s="2" t="s">
        <v>4086</v>
      </c>
      <c r="D4637" s="11" t="n">
        <v>24139</v>
      </c>
      <c r="E4637" s="31" t="n">
        <v>31.6</v>
      </c>
      <c r="F4637" s="31" t="n">
        <v>79.9</v>
      </c>
      <c r="G4637" s="31" t="n">
        <v>9.5</v>
      </c>
      <c r="H4637" s="2" t="s">
        <v>671</v>
      </c>
    </row>
    <row r="4638" customFormat="false" ht="15" hidden="false" customHeight="false" outlineLevel="0" collapsed="false">
      <c r="A4638" s="2" t="s">
        <v>2504</v>
      </c>
      <c r="B4638" s="2" t="s">
        <v>47</v>
      </c>
      <c r="C4638" s="2" t="s">
        <v>4087</v>
      </c>
      <c r="D4638" s="11" t="n">
        <v>24962</v>
      </c>
      <c r="E4638" s="31" t="n">
        <v>26</v>
      </c>
      <c r="F4638" s="31" t="n">
        <v>68.8</v>
      </c>
      <c r="G4638" s="31" t="n">
        <v>2.3</v>
      </c>
      <c r="H4638" s="2" t="s">
        <v>671</v>
      </c>
    </row>
    <row r="4639" customFormat="false" ht="15" hidden="false" customHeight="false" outlineLevel="0" collapsed="false">
      <c r="A4639" s="2" t="s">
        <v>382</v>
      </c>
      <c r="B4639" s="2" t="s">
        <v>4104</v>
      </c>
      <c r="C4639" s="2" t="s">
        <v>4085</v>
      </c>
      <c r="D4639" s="2"/>
      <c r="E4639" s="31" t="n">
        <v>41.2</v>
      </c>
      <c r="F4639" s="31" t="n">
        <v>45.2</v>
      </c>
      <c r="G4639" s="31" t="n">
        <v>61.1</v>
      </c>
      <c r="H4639" s="2" t="s">
        <v>668</v>
      </c>
    </row>
    <row r="4640" customFormat="false" ht="15" hidden="false" customHeight="false" outlineLevel="0" collapsed="false">
      <c r="A4640" s="2" t="s">
        <v>382</v>
      </c>
      <c r="B4640" s="2" t="s">
        <v>4104</v>
      </c>
      <c r="C4640" s="2" t="s">
        <v>4086</v>
      </c>
      <c r="D4640" s="2"/>
      <c r="E4640" s="31" t="n">
        <v>51.1</v>
      </c>
      <c r="F4640" s="31" t="n">
        <v>48.3</v>
      </c>
      <c r="G4640" s="31" t="n">
        <v>45.6</v>
      </c>
      <c r="H4640" s="2" t="s">
        <v>671</v>
      </c>
    </row>
    <row r="4641" customFormat="false" ht="15" hidden="false" customHeight="false" outlineLevel="0" collapsed="false">
      <c r="A4641" s="2" t="s">
        <v>382</v>
      </c>
      <c r="B4641" s="2" t="s">
        <v>4104</v>
      </c>
      <c r="C4641" s="2" t="s">
        <v>4087</v>
      </c>
      <c r="D4641" s="2"/>
      <c r="E4641" s="31" t="n">
        <v>48.6</v>
      </c>
      <c r="F4641" s="31" t="n">
        <v>51.8</v>
      </c>
      <c r="G4641" s="31" t="n">
        <v>41.8</v>
      </c>
      <c r="H4641" s="2" t="s">
        <v>671</v>
      </c>
    </row>
    <row r="4642" customFormat="false" ht="15" hidden="false" customHeight="false" outlineLevel="0" collapsed="false">
      <c r="A4642" s="2" t="s">
        <v>382</v>
      </c>
      <c r="B4642" s="2" t="s">
        <v>45</v>
      </c>
      <c r="C4642" s="2" t="s">
        <v>4085</v>
      </c>
      <c r="D4642" s="11" t="n">
        <v>156902</v>
      </c>
      <c r="E4642" s="31" t="n">
        <v>13.8</v>
      </c>
      <c r="F4642" s="31" t="n">
        <v>45.2</v>
      </c>
      <c r="G4642" s="31" t="n">
        <v>31.5</v>
      </c>
      <c r="H4642" s="2" t="s">
        <v>671</v>
      </c>
    </row>
    <row r="4643" customFormat="false" ht="15" hidden="false" customHeight="false" outlineLevel="0" collapsed="false">
      <c r="A4643" s="2" t="s">
        <v>382</v>
      </c>
      <c r="B4643" s="2" t="s">
        <v>45</v>
      </c>
      <c r="C4643" s="2" t="s">
        <v>4086</v>
      </c>
      <c r="D4643" s="11" t="n">
        <v>163950</v>
      </c>
      <c r="E4643" s="31" t="n">
        <v>15.7</v>
      </c>
      <c r="F4643" s="31" t="n">
        <v>32.1</v>
      </c>
      <c r="G4643" s="31" t="n">
        <v>17.5</v>
      </c>
      <c r="H4643" s="2" t="s">
        <v>671</v>
      </c>
    </row>
    <row r="4644" customFormat="false" ht="15" hidden="false" customHeight="false" outlineLevel="0" collapsed="false">
      <c r="A4644" s="2" t="s">
        <v>382</v>
      </c>
      <c r="B4644" s="2" t="s">
        <v>45</v>
      </c>
      <c r="C4644" s="2" t="s">
        <v>4087</v>
      </c>
      <c r="D4644" s="11" t="n">
        <v>165130</v>
      </c>
      <c r="E4644" s="31" t="n">
        <v>14.5</v>
      </c>
      <c r="F4644" s="31" t="n">
        <v>45.7</v>
      </c>
      <c r="G4644" s="31" t="n">
        <v>11.6</v>
      </c>
      <c r="H4644" s="2" t="s">
        <v>671</v>
      </c>
    </row>
    <row r="4645" customFormat="false" ht="15" hidden="false" customHeight="false" outlineLevel="0" collapsed="false">
      <c r="A4645" s="2" t="s">
        <v>382</v>
      </c>
      <c r="B4645" s="2" t="s">
        <v>47</v>
      </c>
      <c r="C4645" s="2" t="s">
        <v>4085</v>
      </c>
      <c r="D4645" s="11" t="n">
        <v>184117</v>
      </c>
      <c r="E4645" s="31" t="n">
        <v>68.7</v>
      </c>
      <c r="F4645" s="2"/>
      <c r="G4645" s="31" t="n">
        <v>90.7</v>
      </c>
      <c r="H4645" s="2" t="s">
        <v>668</v>
      </c>
    </row>
    <row r="4646" customFormat="false" ht="15" hidden="false" customHeight="false" outlineLevel="0" collapsed="false">
      <c r="A4646" s="2" t="s">
        <v>382</v>
      </c>
      <c r="B4646" s="2" t="s">
        <v>47</v>
      </c>
      <c r="C4646" s="2" t="s">
        <v>4086</v>
      </c>
      <c r="D4646" s="11" t="n">
        <v>185270</v>
      </c>
      <c r="E4646" s="31" t="n">
        <v>86.4</v>
      </c>
      <c r="F4646" s="31" t="n">
        <v>64.6</v>
      </c>
      <c r="G4646" s="31" t="n">
        <v>73.7</v>
      </c>
      <c r="H4646" s="2" t="s">
        <v>671</v>
      </c>
    </row>
    <row r="4647" customFormat="false" ht="15" hidden="false" customHeight="false" outlineLevel="0" collapsed="false">
      <c r="A4647" s="2" t="s">
        <v>382</v>
      </c>
      <c r="B4647" s="2" t="s">
        <v>47</v>
      </c>
      <c r="C4647" s="2" t="s">
        <v>4087</v>
      </c>
      <c r="D4647" s="11" t="n">
        <v>190970</v>
      </c>
      <c r="E4647" s="31" t="n">
        <v>82.7</v>
      </c>
      <c r="F4647" s="31" t="n">
        <v>57.8</v>
      </c>
      <c r="G4647" s="31" t="n">
        <v>72</v>
      </c>
      <c r="H4647" s="2" t="s">
        <v>671</v>
      </c>
    </row>
    <row r="4648" customFormat="false" ht="15" hidden="false" customHeight="false" outlineLevel="0" collapsed="false">
      <c r="A4648" s="2" t="s">
        <v>440</v>
      </c>
      <c r="B4648" s="2" t="s">
        <v>4104</v>
      </c>
      <c r="C4648" s="2" t="s">
        <v>4085</v>
      </c>
      <c r="D4648" s="2"/>
      <c r="E4648" s="31" t="n">
        <v>36</v>
      </c>
      <c r="F4648" s="31" t="n">
        <v>33.9</v>
      </c>
      <c r="G4648" s="31" t="n">
        <v>41.2</v>
      </c>
      <c r="H4648" s="2" t="s">
        <v>668</v>
      </c>
    </row>
    <row r="4649" customFormat="false" ht="15" hidden="false" customHeight="false" outlineLevel="0" collapsed="false">
      <c r="A4649" s="2" t="s">
        <v>440</v>
      </c>
      <c r="B4649" s="2" t="s">
        <v>4104</v>
      </c>
      <c r="C4649" s="2" t="s">
        <v>4086</v>
      </c>
      <c r="D4649" s="2"/>
      <c r="E4649" s="31" t="n">
        <v>50.8</v>
      </c>
      <c r="F4649" s="31" t="n">
        <v>35</v>
      </c>
      <c r="G4649" s="31" t="n">
        <v>40.8</v>
      </c>
      <c r="H4649" s="2" t="s">
        <v>671</v>
      </c>
    </row>
    <row r="4650" customFormat="false" ht="15" hidden="false" customHeight="false" outlineLevel="0" collapsed="false">
      <c r="A4650" s="2" t="s">
        <v>440</v>
      </c>
      <c r="B4650" s="2" t="s">
        <v>4104</v>
      </c>
      <c r="C4650" s="2" t="s">
        <v>4087</v>
      </c>
      <c r="D4650" s="2"/>
      <c r="E4650" s="31" t="n">
        <v>42.4</v>
      </c>
      <c r="F4650" s="31" t="n">
        <v>52.2</v>
      </c>
      <c r="G4650" s="31" t="n">
        <v>49.9</v>
      </c>
      <c r="H4650" s="2" t="s">
        <v>671</v>
      </c>
    </row>
    <row r="4651" customFormat="false" ht="15" hidden="false" customHeight="false" outlineLevel="0" collapsed="false">
      <c r="A4651" s="2" t="s">
        <v>440</v>
      </c>
      <c r="B4651" s="2" t="s">
        <v>45</v>
      </c>
      <c r="C4651" s="2" t="s">
        <v>4085</v>
      </c>
      <c r="D4651" s="11" t="n">
        <v>23100</v>
      </c>
      <c r="E4651" s="31" t="n">
        <v>51.6</v>
      </c>
      <c r="F4651" s="31" t="n">
        <v>63.1</v>
      </c>
      <c r="G4651" s="31" t="n">
        <v>81.5</v>
      </c>
      <c r="H4651" s="2" t="s">
        <v>671</v>
      </c>
    </row>
    <row r="4652" customFormat="false" ht="15" hidden="false" customHeight="false" outlineLevel="0" collapsed="false">
      <c r="A4652" s="2" t="s">
        <v>440</v>
      </c>
      <c r="B4652" s="2" t="s">
        <v>45</v>
      </c>
      <c r="C4652" s="2" t="s">
        <v>4086</v>
      </c>
      <c r="D4652" s="11" t="n">
        <v>24410</v>
      </c>
      <c r="E4652" s="31" t="n">
        <v>79.6</v>
      </c>
      <c r="F4652" s="31" t="n">
        <v>62.9</v>
      </c>
      <c r="G4652" s="31" t="n">
        <v>65.3</v>
      </c>
      <c r="H4652" s="2" t="s">
        <v>671</v>
      </c>
    </row>
    <row r="4653" customFormat="false" ht="15" hidden="false" customHeight="false" outlineLevel="0" collapsed="false">
      <c r="A4653" s="2" t="s">
        <v>440</v>
      </c>
      <c r="B4653" s="2" t="s">
        <v>45</v>
      </c>
      <c r="C4653" s="2" t="s">
        <v>4087</v>
      </c>
      <c r="D4653" s="11" t="n">
        <v>25960</v>
      </c>
      <c r="E4653" s="31" t="n">
        <v>40</v>
      </c>
      <c r="F4653" s="31" t="n">
        <v>92.5</v>
      </c>
      <c r="G4653" s="31" t="n">
        <v>63.3</v>
      </c>
      <c r="H4653" s="2" t="s">
        <v>671</v>
      </c>
    </row>
    <row r="4654" customFormat="false" ht="15" hidden="false" customHeight="false" outlineLevel="0" collapsed="false">
      <c r="A4654" s="2" t="s">
        <v>440</v>
      </c>
      <c r="B4654" s="2" t="s">
        <v>46</v>
      </c>
      <c r="C4654" s="2" t="s">
        <v>4085</v>
      </c>
      <c r="D4654" s="11" t="n">
        <v>43020</v>
      </c>
      <c r="E4654" s="31" t="n">
        <v>55.8</v>
      </c>
      <c r="F4654" s="31" t="n">
        <v>30.7</v>
      </c>
      <c r="G4654" s="2"/>
      <c r="H4654" s="2" t="s">
        <v>668</v>
      </c>
    </row>
    <row r="4655" customFormat="false" ht="15" hidden="false" customHeight="false" outlineLevel="0" collapsed="false">
      <c r="A4655" s="2" t="s">
        <v>440</v>
      </c>
      <c r="B4655" s="2" t="s">
        <v>46</v>
      </c>
      <c r="C4655" s="2" t="s">
        <v>4086</v>
      </c>
      <c r="D4655" s="11" t="n">
        <v>44900</v>
      </c>
      <c r="E4655" s="31" t="n">
        <v>69.2</v>
      </c>
      <c r="F4655" s="31" t="n">
        <v>39.6</v>
      </c>
      <c r="G4655" s="31" t="n">
        <v>56.1</v>
      </c>
      <c r="H4655" s="2" t="s">
        <v>671</v>
      </c>
    </row>
    <row r="4656" customFormat="false" ht="15" hidden="false" customHeight="false" outlineLevel="0" collapsed="false">
      <c r="A4656" s="2" t="s">
        <v>440</v>
      </c>
      <c r="B4656" s="2" t="s">
        <v>46</v>
      </c>
      <c r="C4656" s="2" t="s">
        <v>4087</v>
      </c>
      <c r="D4656" s="11" t="n">
        <v>45890</v>
      </c>
      <c r="E4656" s="31" t="n">
        <v>83.5</v>
      </c>
      <c r="F4656" s="31" t="n">
        <v>36.1</v>
      </c>
      <c r="G4656" s="31" t="n">
        <v>85.8</v>
      </c>
      <c r="H4656" s="2" t="s">
        <v>671</v>
      </c>
    </row>
    <row r="4657" customFormat="false" ht="15" hidden="false" customHeight="false" outlineLevel="0" collapsed="false">
      <c r="A4657" s="2" t="s">
        <v>440</v>
      </c>
      <c r="B4657" s="2" t="s">
        <v>47</v>
      </c>
      <c r="C4657" s="2" t="s">
        <v>4085</v>
      </c>
      <c r="D4657" s="11" t="n">
        <v>632</v>
      </c>
      <c r="E4657" s="31" t="n">
        <v>0.7</v>
      </c>
      <c r="F4657" s="31" t="n">
        <v>7.8</v>
      </c>
      <c r="G4657" s="31" t="n">
        <v>0.8</v>
      </c>
      <c r="H4657" s="2" t="s">
        <v>671</v>
      </c>
    </row>
    <row r="4658" customFormat="false" ht="15" hidden="false" customHeight="false" outlineLevel="0" collapsed="false">
      <c r="A4658" s="2" t="s">
        <v>440</v>
      </c>
      <c r="B4658" s="2" t="s">
        <v>47</v>
      </c>
      <c r="C4658" s="2" t="s">
        <v>4086</v>
      </c>
      <c r="D4658" s="11" t="n">
        <v>640</v>
      </c>
      <c r="E4658" s="31" t="n">
        <v>3.7</v>
      </c>
      <c r="F4658" s="31" t="n">
        <v>2.5</v>
      </c>
      <c r="G4658" s="31" t="n">
        <v>0.9</v>
      </c>
      <c r="H4658" s="2" t="s">
        <v>671</v>
      </c>
    </row>
    <row r="4659" customFormat="false" ht="15" hidden="false" customHeight="false" outlineLevel="0" collapsed="false">
      <c r="A4659" s="2" t="s">
        <v>440</v>
      </c>
      <c r="B4659" s="2" t="s">
        <v>47</v>
      </c>
      <c r="C4659" s="2" t="s">
        <v>4087</v>
      </c>
      <c r="D4659" s="11" t="n">
        <v>627</v>
      </c>
      <c r="E4659" s="31" t="n">
        <v>3.6</v>
      </c>
      <c r="F4659" s="31" t="n">
        <v>28</v>
      </c>
      <c r="G4659" s="31" t="n">
        <v>0.7</v>
      </c>
      <c r="H4659" s="2" t="s">
        <v>671</v>
      </c>
    </row>
    <row r="4660" customFormat="false" ht="15" hidden="false" customHeight="false" outlineLevel="0" collapsed="false">
      <c r="A4660" s="2" t="s">
        <v>2374</v>
      </c>
      <c r="B4660" s="2" t="s">
        <v>4104</v>
      </c>
      <c r="C4660" s="2" t="s">
        <v>4085</v>
      </c>
      <c r="D4660" s="2"/>
      <c r="E4660" s="31" t="n">
        <v>51.1</v>
      </c>
      <c r="F4660" s="31" t="n">
        <v>70.5</v>
      </c>
      <c r="G4660" s="31" t="n">
        <v>45.2</v>
      </c>
      <c r="H4660" s="2" t="s">
        <v>668</v>
      </c>
    </row>
    <row r="4661" customFormat="false" ht="15" hidden="false" customHeight="false" outlineLevel="0" collapsed="false">
      <c r="A4661" s="2" t="s">
        <v>2374</v>
      </c>
      <c r="B4661" s="2" t="s">
        <v>4104</v>
      </c>
      <c r="C4661" s="2" t="s">
        <v>4086</v>
      </c>
      <c r="D4661" s="2"/>
      <c r="E4661" s="31" t="n">
        <v>77.5</v>
      </c>
      <c r="F4661" s="31" t="n">
        <v>88</v>
      </c>
      <c r="G4661" s="31" t="n">
        <v>10.3</v>
      </c>
      <c r="H4661" s="2" t="s">
        <v>668</v>
      </c>
    </row>
    <row r="4662" customFormat="false" ht="15" hidden="false" customHeight="false" outlineLevel="0" collapsed="false">
      <c r="A4662" s="2" t="s">
        <v>2374</v>
      </c>
      <c r="B4662" s="2" t="s">
        <v>4104</v>
      </c>
      <c r="C4662" s="2" t="s">
        <v>4087</v>
      </c>
      <c r="D4662" s="2"/>
      <c r="E4662" s="31" t="n">
        <v>73.8</v>
      </c>
      <c r="F4662" s="31" t="n">
        <v>68.1</v>
      </c>
      <c r="G4662" s="31" t="n">
        <v>52</v>
      </c>
      <c r="H4662" s="2" t="s">
        <v>668</v>
      </c>
    </row>
    <row r="4663" customFormat="false" ht="15" hidden="false" customHeight="false" outlineLevel="0" collapsed="false">
      <c r="A4663" s="2" t="s">
        <v>2374</v>
      </c>
      <c r="B4663" s="2" t="s">
        <v>45</v>
      </c>
      <c r="C4663" s="2" t="s">
        <v>4085</v>
      </c>
      <c r="D4663" s="11" t="n">
        <v>14460</v>
      </c>
      <c r="E4663" s="31" t="n">
        <v>76.9</v>
      </c>
      <c r="F4663" s="31" t="n">
        <v>82.5</v>
      </c>
      <c r="G4663" s="31" t="n">
        <v>8</v>
      </c>
      <c r="H4663" s="2" t="s">
        <v>671</v>
      </c>
    </row>
    <row r="4664" customFormat="false" ht="15" hidden="false" customHeight="false" outlineLevel="0" collapsed="false">
      <c r="A4664" s="2" t="s">
        <v>2374</v>
      </c>
      <c r="B4664" s="2" t="s">
        <v>45</v>
      </c>
      <c r="C4664" s="2" t="s">
        <v>4086</v>
      </c>
      <c r="D4664" s="11" t="n">
        <v>15690</v>
      </c>
      <c r="E4664" s="31" t="n">
        <v>77.5</v>
      </c>
      <c r="F4664" s="31" t="n">
        <v>88</v>
      </c>
      <c r="G4664" s="31" t="n">
        <v>10.3</v>
      </c>
      <c r="H4664" s="2" t="s">
        <v>671</v>
      </c>
    </row>
    <row r="4665" customFormat="false" ht="15" hidden="false" customHeight="false" outlineLevel="0" collapsed="false">
      <c r="A4665" s="2" t="s">
        <v>2374</v>
      </c>
      <c r="B4665" s="2" t="s">
        <v>45</v>
      </c>
      <c r="C4665" s="2" t="s">
        <v>4087</v>
      </c>
      <c r="D4665" s="11" t="n">
        <v>16190</v>
      </c>
      <c r="E4665" s="31" t="n">
        <v>79.7</v>
      </c>
      <c r="F4665" s="31" t="n">
        <v>79</v>
      </c>
      <c r="G4665" s="2"/>
      <c r="H4665" s="2" t="s">
        <v>668</v>
      </c>
    </row>
    <row r="4666" customFormat="false" ht="15" hidden="false" customHeight="false" outlineLevel="0" collapsed="false">
      <c r="A4666" s="2" t="s">
        <v>2374</v>
      </c>
      <c r="B4666" s="2" t="s">
        <v>46</v>
      </c>
      <c r="C4666" s="2" t="s">
        <v>4085</v>
      </c>
      <c r="D4666" s="2"/>
      <c r="E4666" s="2"/>
      <c r="F4666" s="2"/>
      <c r="G4666" s="2"/>
      <c r="H4666" s="2" t="s">
        <v>668</v>
      </c>
    </row>
    <row r="4667" customFormat="false" ht="15" hidden="false" customHeight="false" outlineLevel="0" collapsed="false">
      <c r="A4667" s="2" t="s">
        <v>2374</v>
      </c>
      <c r="B4667" s="2" t="s">
        <v>46</v>
      </c>
      <c r="C4667" s="2" t="s">
        <v>4086</v>
      </c>
      <c r="D4667" s="2"/>
      <c r="E4667" s="2"/>
      <c r="F4667" s="2"/>
      <c r="G4667" s="2"/>
      <c r="H4667" s="2" t="s">
        <v>668</v>
      </c>
    </row>
    <row r="4668" customFormat="false" ht="15" hidden="false" customHeight="false" outlineLevel="0" collapsed="false">
      <c r="A4668" s="2" t="s">
        <v>2374</v>
      </c>
      <c r="B4668" s="2" t="s">
        <v>46</v>
      </c>
      <c r="C4668" s="2" t="s">
        <v>4087</v>
      </c>
      <c r="D4668" s="11" t="n">
        <v>3480</v>
      </c>
      <c r="E4668" s="31" t="n">
        <v>99.4</v>
      </c>
      <c r="F4668" s="2"/>
      <c r="G4668" s="31" t="n">
        <v>43.5</v>
      </c>
      <c r="H4668" s="2" t="s">
        <v>668</v>
      </c>
    </row>
    <row r="4669" customFormat="false" ht="15" hidden="false" customHeight="false" outlineLevel="0" collapsed="false">
      <c r="A4669" s="2" t="s">
        <v>2374</v>
      </c>
      <c r="B4669" s="2" t="s">
        <v>47</v>
      </c>
      <c r="C4669" s="2" t="s">
        <v>4085</v>
      </c>
      <c r="D4669" s="11" t="n">
        <v>97745</v>
      </c>
      <c r="E4669" s="31" t="n">
        <v>25.3</v>
      </c>
      <c r="F4669" s="31" t="n">
        <v>58.5</v>
      </c>
      <c r="G4669" s="31" t="n">
        <v>82.4</v>
      </c>
      <c r="H4669" s="2" t="s">
        <v>671</v>
      </c>
    </row>
    <row r="4670" customFormat="false" ht="15" hidden="false" customHeight="false" outlineLevel="0" collapsed="false">
      <c r="A4670" s="2" t="s">
        <v>2374</v>
      </c>
      <c r="B4670" s="2" t="s">
        <v>47</v>
      </c>
      <c r="C4670" s="2" t="s">
        <v>4086</v>
      </c>
      <c r="D4670" s="2"/>
      <c r="E4670" s="2"/>
      <c r="F4670" s="2"/>
      <c r="G4670" s="2"/>
      <c r="H4670" s="2" t="s">
        <v>668</v>
      </c>
    </row>
    <row r="4671" customFormat="false" ht="15" hidden="false" customHeight="false" outlineLevel="0" collapsed="false">
      <c r="A4671" s="2" t="s">
        <v>2374</v>
      </c>
      <c r="B4671" s="2" t="s">
        <v>47</v>
      </c>
      <c r="C4671" s="2" t="s">
        <v>4087</v>
      </c>
      <c r="D4671" s="11" t="n">
        <v>108023</v>
      </c>
      <c r="E4671" s="31" t="n">
        <v>42.2</v>
      </c>
      <c r="F4671" s="31" t="n">
        <v>57.2</v>
      </c>
      <c r="G4671" s="31" t="n">
        <v>60.4</v>
      </c>
      <c r="H4671" s="2" t="s">
        <v>671</v>
      </c>
    </row>
    <row r="4672" customFormat="false" ht="15" hidden="false" customHeight="false" outlineLevel="0" collapsed="false">
      <c r="A4672" s="2" t="s">
        <v>1025</v>
      </c>
      <c r="B4672" s="2" t="s">
        <v>4104</v>
      </c>
      <c r="C4672" s="2" t="s">
        <v>4085</v>
      </c>
      <c r="D4672" s="2"/>
      <c r="E4672" s="31" t="n">
        <v>60.1</v>
      </c>
      <c r="F4672" s="31" t="n">
        <v>69.7</v>
      </c>
      <c r="G4672" s="31" t="n">
        <v>56.4</v>
      </c>
      <c r="H4672" s="2" t="s">
        <v>668</v>
      </c>
    </row>
    <row r="4673" customFormat="false" ht="15" hidden="false" customHeight="false" outlineLevel="0" collapsed="false">
      <c r="A4673" s="2" t="s">
        <v>1025</v>
      </c>
      <c r="B4673" s="2" t="s">
        <v>4104</v>
      </c>
      <c r="C4673" s="2" t="s">
        <v>4086</v>
      </c>
      <c r="D4673" s="2"/>
      <c r="E4673" s="31" t="n">
        <v>68.1</v>
      </c>
      <c r="F4673" s="31" t="n">
        <v>52.6</v>
      </c>
      <c r="G4673" s="31" t="n">
        <v>67.5</v>
      </c>
      <c r="H4673" s="2" t="s">
        <v>671</v>
      </c>
    </row>
    <row r="4674" customFormat="false" ht="15" hidden="false" customHeight="false" outlineLevel="0" collapsed="false">
      <c r="A4674" s="2" t="s">
        <v>1025</v>
      </c>
      <c r="B4674" s="2" t="s">
        <v>4104</v>
      </c>
      <c r="C4674" s="2" t="s">
        <v>4087</v>
      </c>
      <c r="D4674" s="2"/>
      <c r="E4674" s="31" t="n">
        <v>58.4</v>
      </c>
      <c r="F4674" s="31" t="n">
        <v>60.5</v>
      </c>
      <c r="G4674" s="31" t="n">
        <v>76.8</v>
      </c>
      <c r="H4674" s="2" t="s">
        <v>668</v>
      </c>
    </row>
    <row r="4675" customFormat="false" ht="15" hidden="false" customHeight="false" outlineLevel="0" collapsed="false">
      <c r="A4675" s="2" t="s">
        <v>1025</v>
      </c>
      <c r="B4675" s="2" t="s">
        <v>45</v>
      </c>
      <c r="C4675" s="2" t="s">
        <v>4085</v>
      </c>
      <c r="D4675" s="11" t="n">
        <v>6208</v>
      </c>
      <c r="E4675" s="31" t="n">
        <v>41.7</v>
      </c>
      <c r="F4675" s="31" t="n">
        <v>59.7</v>
      </c>
      <c r="G4675" s="31" t="n">
        <v>66.3</v>
      </c>
      <c r="H4675" s="2" t="s">
        <v>671</v>
      </c>
    </row>
    <row r="4676" customFormat="false" ht="15" hidden="false" customHeight="false" outlineLevel="0" collapsed="false">
      <c r="A4676" s="2" t="s">
        <v>1025</v>
      </c>
      <c r="B4676" s="2" t="s">
        <v>45</v>
      </c>
      <c r="C4676" s="2" t="s">
        <v>4086</v>
      </c>
      <c r="D4676" s="11" t="n">
        <v>6630</v>
      </c>
      <c r="E4676" s="31" t="n">
        <v>46.5</v>
      </c>
      <c r="F4676" s="31" t="n">
        <v>45.1</v>
      </c>
      <c r="G4676" s="31" t="n">
        <v>72</v>
      </c>
      <c r="H4676" s="2" t="s">
        <v>671</v>
      </c>
    </row>
    <row r="4677" customFormat="false" ht="15" hidden="false" customHeight="false" outlineLevel="0" collapsed="false">
      <c r="A4677" s="2" t="s">
        <v>1025</v>
      </c>
      <c r="B4677" s="2" t="s">
        <v>45</v>
      </c>
      <c r="C4677" s="2" t="s">
        <v>4087</v>
      </c>
      <c r="D4677" s="11" t="n">
        <v>6800</v>
      </c>
      <c r="E4677" s="31" t="n">
        <v>51.7</v>
      </c>
      <c r="F4677" s="31" t="n">
        <v>85.2</v>
      </c>
      <c r="G4677" s="31" t="n">
        <v>83.1</v>
      </c>
      <c r="H4677" s="2" t="s">
        <v>671</v>
      </c>
    </row>
    <row r="4678" customFormat="false" ht="15" hidden="false" customHeight="false" outlineLevel="0" collapsed="false">
      <c r="A4678" s="2" t="s">
        <v>1025</v>
      </c>
      <c r="B4678" s="2" t="s">
        <v>46</v>
      </c>
      <c r="C4678" s="2" t="s">
        <v>4085</v>
      </c>
      <c r="D4678" s="11" t="n">
        <v>36000</v>
      </c>
      <c r="E4678" s="31" t="n">
        <v>70.3</v>
      </c>
      <c r="F4678" s="2"/>
      <c r="G4678" s="31" t="n">
        <v>55.7</v>
      </c>
      <c r="H4678" s="2" t="s">
        <v>668</v>
      </c>
    </row>
    <row r="4679" customFormat="false" ht="15" hidden="false" customHeight="false" outlineLevel="0" collapsed="false">
      <c r="A4679" s="2" t="s">
        <v>1025</v>
      </c>
      <c r="B4679" s="2" t="s">
        <v>46</v>
      </c>
      <c r="C4679" s="2" t="s">
        <v>4086</v>
      </c>
      <c r="D4679" s="11" t="n">
        <v>36374</v>
      </c>
      <c r="E4679" s="31" t="n">
        <v>95.1</v>
      </c>
      <c r="F4679" s="31" t="n">
        <v>13.1</v>
      </c>
      <c r="G4679" s="31" t="n">
        <v>68.9</v>
      </c>
      <c r="H4679" s="2" t="s">
        <v>671</v>
      </c>
    </row>
    <row r="4680" customFormat="false" ht="15" hidden="false" customHeight="false" outlineLevel="0" collapsed="false">
      <c r="A4680" s="2" t="s">
        <v>1025</v>
      </c>
      <c r="B4680" s="2" t="s">
        <v>46</v>
      </c>
      <c r="C4680" s="2" t="s">
        <v>4087</v>
      </c>
      <c r="D4680" s="11" t="n">
        <v>37380</v>
      </c>
      <c r="E4680" s="31" t="n">
        <v>61.9</v>
      </c>
      <c r="F4680" s="31" t="n">
        <v>14.1</v>
      </c>
      <c r="G4680" s="2"/>
      <c r="H4680" s="2" t="s">
        <v>668</v>
      </c>
    </row>
    <row r="4681" customFormat="false" ht="15" hidden="false" customHeight="false" outlineLevel="0" collapsed="false">
      <c r="A4681" s="2" t="s">
        <v>1025</v>
      </c>
      <c r="B4681" s="2" t="s">
        <v>47</v>
      </c>
      <c r="C4681" s="2" t="s">
        <v>4085</v>
      </c>
      <c r="D4681" s="11" t="n">
        <v>23348</v>
      </c>
      <c r="E4681" s="31" t="n">
        <v>68.2</v>
      </c>
      <c r="F4681" s="31" t="n">
        <v>79.7</v>
      </c>
      <c r="G4681" s="31" t="n">
        <v>47.3</v>
      </c>
      <c r="H4681" s="2" t="s">
        <v>671</v>
      </c>
    </row>
    <row r="4682" customFormat="false" ht="15" hidden="false" customHeight="false" outlineLevel="0" collapsed="false">
      <c r="A4682" s="2" t="s">
        <v>1025</v>
      </c>
      <c r="B4682" s="2" t="s">
        <v>47</v>
      </c>
      <c r="C4682" s="2" t="s">
        <v>4086</v>
      </c>
      <c r="D4682" s="11" t="n">
        <v>24170</v>
      </c>
      <c r="E4682" s="31" t="n">
        <v>62.6</v>
      </c>
      <c r="F4682" s="31" t="n">
        <v>99.7</v>
      </c>
      <c r="G4682" s="31" t="n">
        <v>61.6</v>
      </c>
      <c r="H4682" s="2" t="s">
        <v>671</v>
      </c>
    </row>
    <row r="4683" customFormat="false" ht="15" hidden="false" customHeight="false" outlineLevel="0" collapsed="false">
      <c r="A4683" s="2" t="s">
        <v>1025</v>
      </c>
      <c r="B4683" s="2" t="s">
        <v>47</v>
      </c>
      <c r="C4683" s="2" t="s">
        <v>4087</v>
      </c>
      <c r="D4683" s="11" t="n">
        <v>26582</v>
      </c>
      <c r="E4683" s="31" t="n">
        <v>61.6</v>
      </c>
      <c r="F4683" s="31" t="n">
        <v>82.3</v>
      </c>
      <c r="G4683" s="31" t="n">
        <v>70.5</v>
      </c>
      <c r="H4683" s="2" t="s">
        <v>671</v>
      </c>
    </row>
    <row r="4684" customFormat="false" ht="15" hidden="false" customHeight="false" outlineLevel="0" collapsed="false">
      <c r="A4684" s="2" t="s">
        <v>450</v>
      </c>
      <c r="B4684" s="2" t="s">
        <v>4104</v>
      </c>
      <c r="C4684" s="2" t="s">
        <v>4086</v>
      </c>
      <c r="D4684" s="2"/>
      <c r="E4684" s="31" t="n">
        <v>71.2</v>
      </c>
      <c r="F4684" s="31" t="n">
        <v>88.2</v>
      </c>
      <c r="G4684" s="31" t="n">
        <v>19</v>
      </c>
      <c r="H4684" s="2" t="s">
        <v>671</v>
      </c>
    </row>
    <row r="4685" customFormat="false" ht="15" hidden="false" customHeight="false" outlineLevel="0" collapsed="false">
      <c r="A4685" s="2" t="s">
        <v>450</v>
      </c>
      <c r="B4685" s="2" t="s">
        <v>4104</v>
      </c>
      <c r="C4685" s="2" t="s">
        <v>4087</v>
      </c>
      <c r="D4685" s="2"/>
      <c r="E4685" s="31" t="n">
        <v>41.2</v>
      </c>
      <c r="F4685" s="31" t="n">
        <v>76.1</v>
      </c>
      <c r="G4685" s="31" t="n">
        <v>56.4</v>
      </c>
      <c r="H4685" s="2" t="s">
        <v>671</v>
      </c>
    </row>
    <row r="4686" customFormat="false" ht="15" hidden="false" customHeight="false" outlineLevel="0" collapsed="false">
      <c r="A4686" s="2" t="s">
        <v>450</v>
      </c>
      <c r="B4686" s="2" t="s">
        <v>45</v>
      </c>
      <c r="C4686" s="2" t="s">
        <v>4086</v>
      </c>
      <c r="D4686" s="11" t="n">
        <v>261296</v>
      </c>
      <c r="E4686" s="31" t="n">
        <v>44.4</v>
      </c>
      <c r="F4686" s="31" t="n">
        <v>90.7</v>
      </c>
      <c r="G4686" s="31" t="n">
        <v>13.5</v>
      </c>
      <c r="H4686" s="2" t="s">
        <v>671</v>
      </c>
    </row>
    <row r="4687" customFormat="false" ht="15" hidden="false" customHeight="false" outlineLevel="0" collapsed="false">
      <c r="A4687" s="2" t="s">
        <v>450</v>
      </c>
      <c r="B4687" s="2" t="s">
        <v>45</v>
      </c>
      <c r="C4687" s="2" t="s">
        <v>4087</v>
      </c>
      <c r="D4687" s="11" t="n">
        <v>277430</v>
      </c>
      <c r="E4687" s="31" t="n">
        <v>41.2</v>
      </c>
      <c r="F4687" s="31" t="n">
        <v>76.1</v>
      </c>
      <c r="G4687" s="31" t="n">
        <v>56.4</v>
      </c>
      <c r="H4687" s="2" t="s">
        <v>671</v>
      </c>
    </row>
    <row r="4688" customFormat="false" ht="15" hidden="false" customHeight="false" outlineLevel="0" collapsed="false">
      <c r="A4688" s="2" t="s">
        <v>450</v>
      </c>
      <c r="B4688" s="2" t="s">
        <v>46</v>
      </c>
      <c r="C4688" s="2" t="s">
        <v>4086</v>
      </c>
      <c r="D4688" s="11" t="n">
        <v>54360</v>
      </c>
      <c r="E4688" s="31" t="n">
        <v>98</v>
      </c>
      <c r="F4688" s="31" t="n">
        <v>85.8</v>
      </c>
      <c r="G4688" s="31" t="n">
        <v>24.5</v>
      </c>
      <c r="H4688" s="2" t="s">
        <v>671</v>
      </c>
    </row>
    <row r="4689" customFormat="false" ht="15" hidden="false" customHeight="false" outlineLevel="0" collapsed="false">
      <c r="A4689" s="2" t="s">
        <v>1843</v>
      </c>
      <c r="B4689" s="2" t="s">
        <v>4104</v>
      </c>
      <c r="C4689" s="2" t="s">
        <v>4085</v>
      </c>
      <c r="D4689" s="2"/>
      <c r="E4689" s="31" t="n">
        <v>15.9</v>
      </c>
      <c r="F4689" s="31" t="n">
        <v>46</v>
      </c>
      <c r="G4689" s="31" t="n">
        <v>28.4</v>
      </c>
      <c r="H4689" s="2" t="s">
        <v>668</v>
      </c>
    </row>
    <row r="4690" customFormat="false" ht="15" hidden="false" customHeight="false" outlineLevel="0" collapsed="false">
      <c r="A4690" s="2" t="s">
        <v>1843</v>
      </c>
      <c r="B4690" s="2" t="s">
        <v>4104</v>
      </c>
      <c r="C4690" s="2" t="s">
        <v>4086</v>
      </c>
      <c r="D4690" s="2"/>
      <c r="E4690" s="31" t="n">
        <v>36.4</v>
      </c>
      <c r="F4690" s="31" t="n">
        <v>56.5</v>
      </c>
      <c r="G4690" s="31" t="n">
        <v>78.3</v>
      </c>
      <c r="H4690" s="2" t="s">
        <v>668</v>
      </c>
    </row>
    <row r="4691" customFormat="false" ht="15" hidden="false" customHeight="false" outlineLevel="0" collapsed="false">
      <c r="A4691" s="2" t="s">
        <v>1843</v>
      </c>
      <c r="B4691" s="2" t="s">
        <v>4104</v>
      </c>
      <c r="C4691" s="2" t="s">
        <v>4087</v>
      </c>
      <c r="D4691" s="2"/>
      <c r="E4691" s="31" t="n">
        <v>23.2</v>
      </c>
      <c r="F4691" s="31" t="n">
        <v>33.3</v>
      </c>
      <c r="G4691" s="31" t="n">
        <v>55.4</v>
      </c>
      <c r="H4691" s="2" t="s">
        <v>668</v>
      </c>
    </row>
    <row r="4692" customFormat="false" ht="15" hidden="false" customHeight="false" outlineLevel="0" collapsed="false">
      <c r="A4692" s="2" t="s">
        <v>1843</v>
      </c>
      <c r="B4692" s="2" t="s">
        <v>45</v>
      </c>
      <c r="C4692" s="2" t="s">
        <v>4085</v>
      </c>
      <c r="D4692" s="2"/>
      <c r="E4692" s="2"/>
      <c r="F4692" s="2"/>
      <c r="G4692" s="2"/>
      <c r="H4692" s="2" t="s">
        <v>668</v>
      </c>
    </row>
    <row r="4693" customFormat="false" ht="15" hidden="false" customHeight="false" outlineLevel="0" collapsed="false">
      <c r="A4693" s="2" t="s">
        <v>1843</v>
      </c>
      <c r="B4693" s="2" t="s">
        <v>45</v>
      </c>
      <c r="C4693" s="2" t="s">
        <v>4086</v>
      </c>
      <c r="D4693" s="11" t="n">
        <v>160720</v>
      </c>
      <c r="E4693" s="31" t="n">
        <v>80.2</v>
      </c>
      <c r="F4693" s="31" t="n">
        <v>75.7</v>
      </c>
      <c r="G4693" s="31" t="n">
        <v>86.5</v>
      </c>
      <c r="H4693" s="2" t="s">
        <v>671</v>
      </c>
    </row>
    <row r="4694" customFormat="false" ht="15" hidden="false" customHeight="false" outlineLevel="0" collapsed="false">
      <c r="A4694" s="2" t="s">
        <v>1843</v>
      </c>
      <c r="B4694" s="2" t="s">
        <v>45</v>
      </c>
      <c r="C4694" s="2" t="s">
        <v>4087</v>
      </c>
      <c r="D4694" s="2"/>
      <c r="E4694" s="2"/>
      <c r="F4694" s="2"/>
      <c r="G4694" s="2"/>
      <c r="H4694" s="2" t="s">
        <v>668</v>
      </c>
    </row>
    <row r="4695" customFormat="false" ht="15" hidden="false" customHeight="false" outlineLevel="0" collapsed="false">
      <c r="A4695" s="2" t="s">
        <v>1843</v>
      </c>
      <c r="B4695" s="2" t="s">
        <v>46</v>
      </c>
      <c r="C4695" s="2" t="s">
        <v>4085</v>
      </c>
      <c r="D4695" s="11" t="n">
        <v>148862</v>
      </c>
      <c r="E4695" s="31" t="n">
        <v>24.7</v>
      </c>
      <c r="F4695" s="31" t="n">
        <v>37.2</v>
      </c>
      <c r="G4695" s="31" t="n">
        <v>41.1</v>
      </c>
      <c r="H4695" s="2" t="s">
        <v>671</v>
      </c>
    </row>
    <row r="4696" customFormat="false" ht="15" hidden="false" customHeight="false" outlineLevel="0" collapsed="false">
      <c r="A4696" s="2" t="s">
        <v>1843</v>
      </c>
      <c r="B4696" s="2" t="s">
        <v>46</v>
      </c>
      <c r="C4696" s="2" t="s">
        <v>4086</v>
      </c>
      <c r="D4696" s="11" t="n">
        <v>155040</v>
      </c>
      <c r="E4696" s="31" t="n">
        <v>14.3</v>
      </c>
      <c r="F4696" s="31" t="n">
        <v>40.8</v>
      </c>
      <c r="G4696" s="2"/>
      <c r="H4696" s="2" t="s">
        <v>668</v>
      </c>
    </row>
    <row r="4697" customFormat="false" ht="15" hidden="false" customHeight="false" outlineLevel="0" collapsed="false">
      <c r="A4697" s="2" t="s">
        <v>1843</v>
      </c>
      <c r="B4697" s="2" t="s">
        <v>46</v>
      </c>
      <c r="C4697" s="2" t="s">
        <v>4087</v>
      </c>
      <c r="D4697" s="11" t="n">
        <v>156410</v>
      </c>
      <c r="E4697" s="31" t="n">
        <v>21.8</v>
      </c>
      <c r="F4697" s="31" t="n">
        <v>31.8</v>
      </c>
      <c r="G4697" s="31" t="n">
        <v>90.9</v>
      </c>
      <c r="H4697" s="2" t="s">
        <v>671</v>
      </c>
    </row>
    <row r="4698" customFormat="false" ht="15" hidden="false" customHeight="false" outlineLevel="0" collapsed="false">
      <c r="A4698" s="2" t="s">
        <v>1843</v>
      </c>
      <c r="B4698" s="2" t="s">
        <v>47</v>
      </c>
      <c r="C4698" s="2" t="s">
        <v>4085</v>
      </c>
      <c r="D4698" s="11" t="n">
        <v>58624</v>
      </c>
      <c r="E4698" s="31" t="n">
        <v>7.1</v>
      </c>
      <c r="F4698" s="31" t="n">
        <v>54.9</v>
      </c>
      <c r="G4698" s="31" t="n">
        <v>15.7</v>
      </c>
      <c r="H4698" s="2" t="s">
        <v>671</v>
      </c>
    </row>
    <row r="4699" customFormat="false" ht="15" hidden="false" customHeight="false" outlineLevel="0" collapsed="false">
      <c r="A4699" s="2" t="s">
        <v>1843</v>
      </c>
      <c r="B4699" s="2" t="s">
        <v>47</v>
      </c>
      <c r="C4699" s="2" t="s">
        <v>4086</v>
      </c>
      <c r="D4699" s="11" t="n">
        <v>62080</v>
      </c>
      <c r="E4699" s="31" t="n">
        <v>14.8</v>
      </c>
      <c r="F4699" s="31" t="n">
        <v>52.9</v>
      </c>
      <c r="G4699" s="31" t="n">
        <v>70.1</v>
      </c>
      <c r="H4699" s="2" t="s">
        <v>671</v>
      </c>
    </row>
    <row r="4700" customFormat="false" ht="15" hidden="false" customHeight="false" outlineLevel="0" collapsed="false">
      <c r="A4700" s="2" t="s">
        <v>1843</v>
      </c>
      <c r="B4700" s="2" t="s">
        <v>47</v>
      </c>
      <c r="C4700" s="2" t="s">
        <v>4087</v>
      </c>
      <c r="D4700" s="11" t="n">
        <v>64610</v>
      </c>
      <c r="E4700" s="31" t="n">
        <v>24.7</v>
      </c>
      <c r="F4700" s="31" t="n">
        <v>34.8</v>
      </c>
      <c r="G4700" s="31" t="n">
        <v>20</v>
      </c>
      <c r="H4700" s="2" t="s">
        <v>671</v>
      </c>
    </row>
    <row r="4701" customFormat="false" ht="15" hidden="false" customHeight="false" outlineLevel="0" collapsed="false">
      <c r="A4701" s="2" t="s">
        <v>436</v>
      </c>
      <c r="B4701" s="2" t="s">
        <v>4104</v>
      </c>
      <c r="C4701" s="2" t="s">
        <v>4085</v>
      </c>
      <c r="D4701" s="2"/>
      <c r="E4701" s="31" t="n">
        <v>46.8</v>
      </c>
      <c r="F4701" s="31" t="n">
        <v>60</v>
      </c>
      <c r="G4701" s="31" t="n">
        <v>53</v>
      </c>
      <c r="H4701" s="2" t="s">
        <v>668</v>
      </c>
    </row>
    <row r="4702" customFormat="false" ht="15" hidden="false" customHeight="false" outlineLevel="0" collapsed="false">
      <c r="A4702" s="2" t="s">
        <v>436</v>
      </c>
      <c r="B4702" s="2" t="s">
        <v>4104</v>
      </c>
      <c r="C4702" s="2" t="s">
        <v>4086</v>
      </c>
      <c r="D4702" s="2"/>
      <c r="E4702" s="31" t="n">
        <v>42</v>
      </c>
      <c r="F4702" s="31" t="n">
        <v>49.8</v>
      </c>
      <c r="G4702" s="31" t="n">
        <v>59.8</v>
      </c>
      <c r="H4702" s="2" t="s">
        <v>668</v>
      </c>
    </row>
    <row r="4703" customFormat="false" ht="15" hidden="false" customHeight="false" outlineLevel="0" collapsed="false">
      <c r="A4703" s="2" t="s">
        <v>436</v>
      </c>
      <c r="B4703" s="2" t="s">
        <v>4104</v>
      </c>
      <c r="C4703" s="2" t="s">
        <v>4087</v>
      </c>
      <c r="D4703" s="2"/>
      <c r="E4703" s="31" t="n">
        <v>42.8</v>
      </c>
      <c r="F4703" s="31" t="n">
        <v>41.6</v>
      </c>
      <c r="G4703" s="31" t="n">
        <v>32.6</v>
      </c>
      <c r="H4703" s="2" t="s">
        <v>671</v>
      </c>
    </row>
    <row r="4704" customFormat="false" ht="15" hidden="false" customHeight="false" outlineLevel="0" collapsed="false">
      <c r="A4704" s="2" t="s">
        <v>436</v>
      </c>
      <c r="B4704" s="2" t="s">
        <v>45</v>
      </c>
      <c r="C4704" s="2" t="s">
        <v>4085</v>
      </c>
      <c r="D4704" s="2"/>
      <c r="E4704" s="2"/>
      <c r="F4704" s="2"/>
      <c r="G4704" s="2"/>
      <c r="H4704" s="2" t="s">
        <v>668</v>
      </c>
    </row>
    <row r="4705" customFormat="false" ht="15" hidden="false" customHeight="false" outlineLevel="0" collapsed="false">
      <c r="A4705" s="2" t="s">
        <v>436</v>
      </c>
      <c r="B4705" s="2" t="s">
        <v>45</v>
      </c>
      <c r="C4705" s="2" t="s">
        <v>4086</v>
      </c>
      <c r="D4705" s="11" t="n">
        <v>1281870</v>
      </c>
      <c r="E4705" s="31" t="n">
        <v>12.1</v>
      </c>
      <c r="F4705" s="31" t="n">
        <v>88.2</v>
      </c>
      <c r="G4705" s="31" t="n">
        <v>57.1</v>
      </c>
      <c r="H4705" s="2" t="s">
        <v>671</v>
      </c>
    </row>
    <row r="4706" customFormat="false" ht="15" hidden="false" customHeight="false" outlineLevel="0" collapsed="false">
      <c r="A4706" s="2" t="s">
        <v>436</v>
      </c>
      <c r="B4706" s="2" t="s">
        <v>45</v>
      </c>
      <c r="C4706" s="2" t="s">
        <v>4087</v>
      </c>
      <c r="D4706" s="11" t="n">
        <v>1355837</v>
      </c>
      <c r="E4706" s="31" t="n">
        <v>27.6</v>
      </c>
      <c r="F4706" s="31" t="n">
        <v>56.2</v>
      </c>
      <c r="G4706" s="31" t="n">
        <v>44.2</v>
      </c>
      <c r="H4706" s="2" t="s">
        <v>671</v>
      </c>
    </row>
    <row r="4707" customFormat="false" ht="15" hidden="false" customHeight="false" outlineLevel="0" collapsed="false">
      <c r="A4707" s="2" t="s">
        <v>436</v>
      </c>
      <c r="B4707" s="2" t="s">
        <v>46</v>
      </c>
      <c r="C4707" s="2" t="s">
        <v>4085</v>
      </c>
      <c r="D4707" s="11" t="n">
        <v>1560</v>
      </c>
      <c r="E4707" s="31" t="n">
        <v>34.2</v>
      </c>
      <c r="F4707" s="2"/>
      <c r="G4707" s="31" t="n">
        <v>43.8</v>
      </c>
      <c r="H4707" s="2" t="s">
        <v>668</v>
      </c>
    </row>
    <row r="4708" customFormat="false" ht="15" hidden="false" customHeight="false" outlineLevel="0" collapsed="false">
      <c r="A4708" s="2" t="s">
        <v>436</v>
      </c>
      <c r="B4708" s="2" t="s">
        <v>46</v>
      </c>
      <c r="C4708" s="2" t="s">
        <v>4086</v>
      </c>
      <c r="D4708" s="11" t="n">
        <v>1608</v>
      </c>
      <c r="E4708" s="31" t="n">
        <v>63.5</v>
      </c>
      <c r="F4708" s="31" t="n">
        <v>11.3</v>
      </c>
      <c r="G4708" s="31" t="n">
        <v>67.8</v>
      </c>
      <c r="H4708" s="2" t="s">
        <v>671</v>
      </c>
    </row>
    <row r="4709" customFormat="false" ht="15" hidden="false" customHeight="false" outlineLevel="0" collapsed="false">
      <c r="A4709" s="2" t="s">
        <v>436</v>
      </c>
      <c r="B4709" s="2" t="s">
        <v>46</v>
      </c>
      <c r="C4709" s="2" t="s">
        <v>4087</v>
      </c>
      <c r="D4709" s="11" t="n">
        <v>1596</v>
      </c>
      <c r="E4709" s="31" t="n">
        <v>40.4</v>
      </c>
      <c r="F4709" s="31" t="n">
        <v>16.7</v>
      </c>
      <c r="G4709" s="31" t="n">
        <v>6.7</v>
      </c>
      <c r="H4709" s="2" t="s">
        <v>671</v>
      </c>
    </row>
    <row r="4710" customFormat="false" ht="15" hidden="false" customHeight="false" outlineLevel="0" collapsed="false">
      <c r="A4710" s="2" t="s">
        <v>436</v>
      </c>
      <c r="B4710" s="2" t="s">
        <v>47</v>
      </c>
      <c r="C4710" s="2" t="s">
        <v>4085</v>
      </c>
      <c r="D4710" s="11" t="n">
        <v>3107</v>
      </c>
      <c r="E4710" s="31" t="n">
        <v>59.5</v>
      </c>
      <c r="F4710" s="31" t="n">
        <v>60</v>
      </c>
      <c r="G4710" s="31" t="n">
        <v>62.1</v>
      </c>
      <c r="H4710" s="2" t="s">
        <v>671</v>
      </c>
    </row>
    <row r="4711" customFormat="false" ht="15" hidden="false" customHeight="false" outlineLevel="0" collapsed="false">
      <c r="A4711" s="2" t="s">
        <v>436</v>
      </c>
      <c r="B4711" s="2" t="s">
        <v>47</v>
      </c>
      <c r="C4711" s="2" t="s">
        <v>4086</v>
      </c>
      <c r="D4711" s="11" t="n">
        <v>3210</v>
      </c>
      <c r="E4711" s="31" t="n">
        <v>50.3</v>
      </c>
      <c r="F4711" s="2"/>
      <c r="G4711" s="31" t="n">
        <v>54.5</v>
      </c>
      <c r="H4711" s="2" t="s">
        <v>668</v>
      </c>
    </row>
    <row r="4712" customFormat="false" ht="15" hidden="false" customHeight="false" outlineLevel="0" collapsed="false">
      <c r="A4712" s="2" t="s">
        <v>436</v>
      </c>
      <c r="B4712" s="2" t="s">
        <v>47</v>
      </c>
      <c r="C4712" s="2" t="s">
        <v>4087</v>
      </c>
      <c r="D4712" s="11" t="n">
        <v>3434</v>
      </c>
      <c r="E4712" s="31" t="n">
        <v>60.5</v>
      </c>
      <c r="F4712" s="31" t="n">
        <v>52</v>
      </c>
      <c r="G4712" s="31" t="n">
        <v>47</v>
      </c>
      <c r="H4712" s="2" t="s">
        <v>671</v>
      </c>
    </row>
    <row r="4713" customFormat="false" ht="15" hidden="false" customHeight="false" outlineLevel="0" collapsed="false">
      <c r="A4713" s="2" t="s">
        <v>2988</v>
      </c>
      <c r="B4713" s="2" t="s">
        <v>4104</v>
      </c>
      <c r="C4713" s="2" t="s">
        <v>4085</v>
      </c>
      <c r="D4713" s="2"/>
      <c r="E4713" s="31" t="n">
        <v>15.7</v>
      </c>
      <c r="F4713" s="31" t="n">
        <v>48.9</v>
      </c>
      <c r="G4713" s="31" t="n">
        <v>80.4</v>
      </c>
      <c r="H4713" s="2" t="s">
        <v>671</v>
      </c>
    </row>
    <row r="4714" customFormat="false" ht="15" hidden="false" customHeight="false" outlineLevel="0" collapsed="false">
      <c r="A4714" s="2" t="s">
        <v>2988</v>
      </c>
      <c r="B4714" s="2" t="s">
        <v>4104</v>
      </c>
      <c r="C4714" s="2" t="s">
        <v>4086</v>
      </c>
      <c r="D4714" s="2"/>
      <c r="E4714" s="31" t="n">
        <v>28.2</v>
      </c>
      <c r="F4714" s="31" t="n">
        <v>55</v>
      </c>
      <c r="G4714" s="31" t="n">
        <v>98.2</v>
      </c>
      <c r="H4714" s="2" t="s">
        <v>671</v>
      </c>
    </row>
    <row r="4715" customFormat="false" ht="15" hidden="false" customHeight="false" outlineLevel="0" collapsed="false">
      <c r="A4715" s="2" t="s">
        <v>2988</v>
      </c>
      <c r="B4715" s="2" t="s">
        <v>4104</v>
      </c>
      <c r="C4715" s="2" t="s">
        <v>4087</v>
      </c>
      <c r="D4715" s="2"/>
      <c r="E4715" s="2"/>
      <c r="F4715" s="2"/>
      <c r="G4715" s="2"/>
      <c r="H4715" s="2" t="s">
        <v>668</v>
      </c>
    </row>
    <row r="4716" customFormat="false" ht="15" hidden="false" customHeight="false" outlineLevel="0" collapsed="false">
      <c r="A4716" s="2" t="s">
        <v>2988</v>
      </c>
      <c r="B4716" s="2" t="s">
        <v>47</v>
      </c>
      <c r="C4716" s="2" t="s">
        <v>4085</v>
      </c>
      <c r="D4716" s="11" t="n">
        <v>9660</v>
      </c>
      <c r="E4716" s="31" t="n">
        <v>15.7</v>
      </c>
      <c r="F4716" s="31" t="n">
        <v>48.9</v>
      </c>
      <c r="G4716" s="31" t="n">
        <v>80.4</v>
      </c>
      <c r="H4716" s="2" t="s">
        <v>671</v>
      </c>
    </row>
    <row r="4717" customFormat="false" ht="15" hidden="false" customHeight="false" outlineLevel="0" collapsed="false">
      <c r="A4717" s="2" t="s">
        <v>2988</v>
      </c>
      <c r="B4717" s="2" t="s">
        <v>47</v>
      </c>
      <c r="C4717" s="2" t="s">
        <v>4086</v>
      </c>
      <c r="D4717" s="11" t="n">
        <v>9750</v>
      </c>
      <c r="E4717" s="31" t="n">
        <v>28.2</v>
      </c>
      <c r="F4717" s="31" t="n">
        <v>55</v>
      </c>
      <c r="G4717" s="31" t="n">
        <v>98.2</v>
      </c>
      <c r="H4717" s="2" t="s">
        <v>671</v>
      </c>
    </row>
    <row r="4718" customFormat="false" ht="15" hidden="false" customHeight="false" outlineLevel="0" collapsed="false">
      <c r="A4718" s="2" t="s">
        <v>2988</v>
      </c>
      <c r="B4718" s="2" t="s">
        <v>47</v>
      </c>
      <c r="C4718" s="2" t="s">
        <v>4087</v>
      </c>
      <c r="D4718" s="2"/>
      <c r="E4718" s="2"/>
      <c r="F4718" s="2"/>
      <c r="G4718" s="2"/>
      <c r="H4718" s="2" t="s">
        <v>668</v>
      </c>
    </row>
    <row r="4719" customFormat="false" ht="15" hidden="false" customHeight="false" outlineLevel="0" collapsed="false">
      <c r="A4719" s="2" t="s">
        <v>2989</v>
      </c>
      <c r="B4719" s="2" t="s">
        <v>4104</v>
      </c>
      <c r="C4719" s="2" t="s">
        <v>4085</v>
      </c>
      <c r="D4719" s="2"/>
      <c r="E4719" s="31" t="n">
        <v>16.9</v>
      </c>
      <c r="F4719" s="31" t="n">
        <v>96.7</v>
      </c>
      <c r="G4719" s="31" t="n">
        <v>33.4</v>
      </c>
      <c r="H4719" s="2" t="s">
        <v>671</v>
      </c>
    </row>
    <row r="4720" customFormat="false" ht="15" hidden="false" customHeight="false" outlineLevel="0" collapsed="false">
      <c r="A4720" s="2" t="s">
        <v>2989</v>
      </c>
      <c r="B4720" s="2" t="s">
        <v>4104</v>
      </c>
      <c r="C4720" s="2" t="s">
        <v>4086</v>
      </c>
      <c r="D4720" s="2"/>
      <c r="E4720" s="31" t="n">
        <v>9.1</v>
      </c>
      <c r="F4720" s="31" t="n">
        <v>96.6</v>
      </c>
      <c r="G4720" s="2"/>
      <c r="H4720" s="2" t="s">
        <v>668</v>
      </c>
    </row>
    <row r="4721" customFormat="false" ht="15" hidden="false" customHeight="false" outlineLevel="0" collapsed="false">
      <c r="A4721" s="2" t="s">
        <v>2989</v>
      </c>
      <c r="B4721" s="2" t="s">
        <v>4104</v>
      </c>
      <c r="C4721" s="2" t="s">
        <v>4087</v>
      </c>
      <c r="D4721" s="2"/>
      <c r="E4721" s="31" t="n">
        <v>6.8</v>
      </c>
      <c r="F4721" s="31" t="n">
        <v>61.9</v>
      </c>
      <c r="G4721" s="2"/>
      <c r="H4721" s="2" t="s">
        <v>668</v>
      </c>
    </row>
    <row r="4722" customFormat="false" ht="15" hidden="false" customHeight="false" outlineLevel="0" collapsed="false">
      <c r="A4722" s="2" t="s">
        <v>2989</v>
      </c>
      <c r="B4722" s="2" t="s">
        <v>45</v>
      </c>
      <c r="C4722" s="2" t="s">
        <v>4085</v>
      </c>
      <c r="D4722" s="11" t="n">
        <v>46192</v>
      </c>
      <c r="E4722" s="31" t="n">
        <v>16.9</v>
      </c>
      <c r="F4722" s="31" t="n">
        <v>96.7</v>
      </c>
      <c r="G4722" s="31" t="n">
        <v>33.4</v>
      </c>
      <c r="H4722" s="2" t="s">
        <v>671</v>
      </c>
    </row>
    <row r="4723" customFormat="false" ht="15" hidden="false" customHeight="false" outlineLevel="0" collapsed="false">
      <c r="A4723" s="2" t="s">
        <v>2989</v>
      </c>
      <c r="B4723" s="2" t="s">
        <v>45</v>
      </c>
      <c r="C4723" s="2" t="s">
        <v>4086</v>
      </c>
      <c r="D4723" s="11" t="n">
        <v>47650</v>
      </c>
      <c r="E4723" s="31" t="n">
        <v>9.1</v>
      </c>
      <c r="F4723" s="31" t="n">
        <v>96.6</v>
      </c>
      <c r="G4723" s="2"/>
      <c r="H4723" s="2" t="s">
        <v>668</v>
      </c>
    </row>
    <row r="4724" customFormat="false" ht="15" hidden="false" customHeight="false" outlineLevel="0" collapsed="false">
      <c r="A4724" s="2" t="s">
        <v>2989</v>
      </c>
      <c r="B4724" s="2" t="s">
        <v>45</v>
      </c>
      <c r="C4724" s="2" t="s">
        <v>4087</v>
      </c>
      <c r="D4724" s="11" t="n">
        <v>52200</v>
      </c>
      <c r="E4724" s="31" t="n">
        <v>6.8</v>
      </c>
      <c r="F4724" s="31" t="n">
        <v>61.9</v>
      </c>
      <c r="G4724" s="2"/>
      <c r="H4724" s="2" t="s">
        <v>668</v>
      </c>
    </row>
    <row r="4725" customFormat="false" ht="15" hidden="false" customHeight="false" outlineLevel="0" collapsed="false">
      <c r="A4725" s="2" t="s">
        <v>484</v>
      </c>
      <c r="B4725" s="2" t="s">
        <v>4104</v>
      </c>
      <c r="C4725" s="2" t="s">
        <v>4085</v>
      </c>
      <c r="D4725" s="2"/>
      <c r="E4725" s="31" t="n">
        <v>48.6</v>
      </c>
      <c r="F4725" s="31" t="n">
        <v>64.9</v>
      </c>
      <c r="G4725" s="31" t="n">
        <v>50</v>
      </c>
      <c r="H4725" s="2" t="s">
        <v>671</v>
      </c>
    </row>
    <row r="4726" customFormat="false" ht="15" hidden="false" customHeight="false" outlineLevel="0" collapsed="false">
      <c r="A4726" s="2" t="s">
        <v>484</v>
      </c>
      <c r="B4726" s="2" t="s">
        <v>4104</v>
      </c>
      <c r="C4726" s="2" t="s">
        <v>4086</v>
      </c>
      <c r="D4726" s="2"/>
      <c r="E4726" s="31" t="n">
        <v>41.4</v>
      </c>
      <c r="F4726" s="31" t="n">
        <v>56.2</v>
      </c>
      <c r="G4726" s="31" t="n">
        <v>56.2</v>
      </c>
      <c r="H4726" s="2" t="s">
        <v>668</v>
      </c>
    </row>
    <row r="4727" customFormat="false" ht="15" hidden="false" customHeight="false" outlineLevel="0" collapsed="false">
      <c r="A4727" s="2" t="s">
        <v>484</v>
      </c>
      <c r="B4727" s="2" t="s">
        <v>4104</v>
      </c>
      <c r="C4727" s="2" t="s">
        <v>4087</v>
      </c>
      <c r="D4727" s="2"/>
      <c r="E4727" s="31" t="n">
        <v>37.9</v>
      </c>
      <c r="F4727" s="31" t="n">
        <v>66.7</v>
      </c>
      <c r="G4727" s="31" t="n">
        <v>69.9</v>
      </c>
      <c r="H4727" s="2" t="s">
        <v>671</v>
      </c>
    </row>
    <row r="4728" customFormat="false" ht="15" hidden="false" customHeight="false" outlineLevel="0" collapsed="false">
      <c r="A4728" s="2" t="s">
        <v>484</v>
      </c>
      <c r="B4728" s="2" t="s">
        <v>45</v>
      </c>
      <c r="C4728" s="2" t="s">
        <v>4085</v>
      </c>
      <c r="D4728" s="11" t="n">
        <v>79670</v>
      </c>
      <c r="E4728" s="31" t="n">
        <v>38.9</v>
      </c>
      <c r="F4728" s="31" t="n">
        <v>34.3</v>
      </c>
      <c r="G4728" s="31" t="n">
        <v>99.5</v>
      </c>
      <c r="H4728" s="2" t="s">
        <v>671</v>
      </c>
    </row>
    <row r="4729" customFormat="false" ht="15" hidden="false" customHeight="false" outlineLevel="0" collapsed="false">
      <c r="A4729" s="2" t="s">
        <v>484</v>
      </c>
      <c r="B4729" s="2" t="s">
        <v>45</v>
      </c>
      <c r="C4729" s="2" t="s">
        <v>4086</v>
      </c>
      <c r="D4729" s="11" t="n">
        <v>81114</v>
      </c>
      <c r="E4729" s="31" t="n">
        <v>36.5</v>
      </c>
      <c r="F4729" s="31" t="n">
        <v>12.4</v>
      </c>
      <c r="G4729" s="31" t="n">
        <v>88.3</v>
      </c>
      <c r="H4729" s="2" t="s">
        <v>671</v>
      </c>
    </row>
    <row r="4730" customFormat="false" ht="15" hidden="false" customHeight="false" outlineLevel="0" collapsed="false">
      <c r="A4730" s="2" t="s">
        <v>484</v>
      </c>
      <c r="B4730" s="2" t="s">
        <v>45</v>
      </c>
      <c r="C4730" s="2" t="s">
        <v>4087</v>
      </c>
      <c r="D4730" s="11" t="n">
        <v>82977</v>
      </c>
      <c r="E4730" s="31" t="n">
        <v>32.7</v>
      </c>
      <c r="F4730" s="31" t="n">
        <v>31.3</v>
      </c>
      <c r="G4730" s="31" t="n">
        <v>98.9</v>
      </c>
      <c r="H4730" s="2" t="s">
        <v>671</v>
      </c>
    </row>
    <row r="4731" customFormat="false" ht="15" hidden="false" customHeight="false" outlineLevel="0" collapsed="false">
      <c r="A4731" s="2" t="s">
        <v>484</v>
      </c>
      <c r="B4731" s="2" t="s">
        <v>46</v>
      </c>
      <c r="C4731" s="2" t="s">
        <v>4085</v>
      </c>
      <c r="D4731" s="11" t="n">
        <v>431251</v>
      </c>
      <c r="E4731" s="31" t="n">
        <v>89.8</v>
      </c>
      <c r="F4731" s="31" t="n">
        <v>67.9</v>
      </c>
      <c r="G4731" s="31" t="n">
        <v>24.7</v>
      </c>
      <c r="H4731" s="2" t="s">
        <v>671</v>
      </c>
    </row>
    <row r="4732" customFormat="false" ht="15" hidden="false" customHeight="false" outlineLevel="0" collapsed="false">
      <c r="A4732" s="2" t="s">
        <v>484</v>
      </c>
      <c r="B4732" s="2" t="s">
        <v>46</v>
      </c>
      <c r="C4732" s="2" t="s">
        <v>4086</v>
      </c>
      <c r="D4732" s="11" t="n">
        <v>446810</v>
      </c>
      <c r="E4732" s="31" t="n">
        <v>75.6</v>
      </c>
      <c r="F4732" s="31" t="n">
        <v>74.5</v>
      </c>
      <c r="G4732" s="2"/>
      <c r="H4732" s="2" t="s">
        <v>668</v>
      </c>
    </row>
    <row r="4733" customFormat="false" ht="15" hidden="false" customHeight="false" outlineLevel="0" collapsed="false">
      <c r="A4733" s="2" t="s">
        <v>484</v>
      </c>
      <c r="B4733" s="2" t="s">
        <v>46</v>
      </c>
      <c r="C4733" s="2" t="s">
        <v>4087</v>
      </c>
      <c r="D4733" s="11" t="n">
        <v>460261</v>
      </c>
      <c r="E4733" s="31" t="n">
        <v>75.3</v>
      </c>
      <c r="F4733" s="31" t="n">
        <v>72.8</v>
      </c>
      <c r="G4733" s="31" t="n">
        <v>48.4</v>
      </c>
      <c r="H4733" s="2" t="s">
        <v>671</v>
      </c>
    </row>
    <row r="4734" customFormat="false" ht="15" hidden="false" customHeight="false" outlineLevel="0" collapsed="false">
      <c r="A4734" s="2" t="s">
        <v>484</v>
      </c>
      <c r="B4734" s="2" t="s">
        <v>47</v>
      </c>
      <c r="C4734" s="2" t="s">
        <v>4085</v>
      </c>
      <c r="D4734" s="11" t="n">
        <v>11023</v>
      </c>
      <c r="E4734" s="31" t="n">
        <v>17.1</v>
      </c>
      <c r="F4734" s="31" t="n">
        <v>92.5</v>
      </c>
      <c r="G4734" s="31" t="n">
        <v>25.9</v>
      </c>
      <c r="H4734" s="2" t="s">
        <v>671</v>
      </c>
    </row>
    <row r="4735" customFormat="false" ht="15" hidden="false" customHeight="false" outlineLevel="0" collapsed="false">
      <c r="A4735" s="2" t="s">
        <v>484</v>
      </c>
      <c r="B4735" s="2" t="s">
        <v>47</v>
      </c>
      <c r="C4735" s="2" t="s">
        <v>4086</v>
      </c>
      <c r="D4735" s="11" t="n">
        <v>12025</v>
      </c>
      <c r="E4735" s="31" t="n">
        <v>12.2</v>
      </c>
      <c r="F4735" s="31" t="n">
        <v>81.8</v>
      </c>
      <c r="G4735" s="31" t="n">
        <v>24.2</v>
      </c>
      <c r="H4735" s="2" t="s">
        <v>671</v>
      </c>
    </row>
    <row r="4736" customFormat="false" ht="15" hidden="false" customHeight="false" outlineLevel="0" collapsed="false">
      <c r="A4736" s="2" t="s">
        <v>484</v>
      </c>
      <c r="B4736" s="2" t="s">
        <v>47</v>
      </c>
      <c r="C4736" s="2" t="s">
        <v>4087</v>
      </c>
      <c r="D4736" s="11" t="n">
        <v>12822</v>
      </c>
      <c r="E4736" s="31" t="n">
        <v>5.7</v>
      </c>
      <c r="F4736" s="31" t="n">
        <v>96.1</v>
      </c>
      <c r="G4736" s="31" t="n">
        <v>62.3</v>
      </c>
      <c r="H4736" s="2" t="s">
        <v>671</v>
      </c>
    </row>
    <row r="4737" customFormat="false" ht="15" hidden="false" customHeight="false" outlineLevel="0" collapsed="false">
      <c r="A4737" s="2" t="s">
        <v>1688</v>
      </c>
      <c r="B4737" s="2" t="s">
        <v>4104</v>
      </c>
      <c r="C4737" s="2" t="s">
        <v>4085</v>
      </c>
      <c r="D4737" s="2"/>
      <c r="E4737" s="31" t="n">
        <v>45.3</v>
      </c>
      <c r="F4737" s="31" t="n">
        <v>36.4</v>
      </c>
      <c r="G4737" s="31" t="n">
        <v>57.6</v>
      </c>
      <c r="H4737" s="2" t="s">
        <v>668</v>
      </c>
    </row>
    <row r="4738" customFormat="false" ht="15" hidden="false" customHeight="false" outlineLevel="0" collapsed="false">
      <c r="A4738" s="2" t="s">
        <v>1688</v>
      </c>
      <c r="B4738" s="2" t="s">
        <v>4104</v>
      </c>
      <c r="C4738" s="2" t="s">
        <v>4086</v>
      </c>
      <c r="D4738" s="2"/>
      <c r="E4738" s="31" t="n">
        <v>49.5</v>
      </c>
      <c r="F4738" s="31" t="n">
        <v>26</v>
      </c>
      <c r="G4738" s="31" t="n">
        <v>94.6</v>
      </c>
      <c r="H4738" s="2" t="s">
        <v>668</v>
      </c>
    </row>
    <row r="4739" customFormat="false" ht="15" hidden="false" customHeight="false" outlineLevel="0" collapsed="false">
      <c r="A4739" s="2" t="s">
        <v>1688</v>
      </c>
      <c r="B4739" s="2" t="s">
        <v>4104</v>
      </c>
      <c r="C4739" s="2" t="s">
        <v>4087</v>
      </c>
      <c r="D4739" s="2"/>
      <c r="E4739" s="31" t="n">
        <v>61</v>
      </c>
      <c r="F4739" s="31" t="n">
        <v>31.3</v>
      </c>
      <c r="G4739" s="31" t="n">
        <v>53.4</v>
      </c>
      <c r="H4739" s="2" t="s">
        <v>668</v>
      </c>
    </row>
    <row r="4740" customFormat="false" ht="15" hidden="false" customHeight="false" outlineLevel="0" collapsed="false">
      <c r="A4740" s="2" t="s">
        <v>1688</v>
      </c>
      <c r="B4740" s="2" t="s">
        <v>45</v>
      </c>
      <c r="C4740" s="2" t="s">
        <v>4085</v>
      </c>
      <c r="D4740" s="11" t="n">
        <v>93064</v>
      </c>
      <c r="E4740" s="31" t="n">
        <v>38.7</v>
      </c>
      <c r="F4740" s="31" t="n">
        <v>7.3</v>
      </c>
      <c r="G4740" s="31" t="n">
        <v>52.2</v>
      </c>
      <c r="H4740" s="2" t="s">
        <v>671</v>
      </c>
    </row>
    <row r="4741" customFormat="false" ht="15" hidden="false" customHeight="false" outlineLevel="0" collapsed="false">
      <c r="A4741" s="2" t="s">
        <v>1688</v>
      </c>
      <c r="B4741" s="2" t="s">
        <v>45</v>
      </c>
      <c r="C4741" s="2" t="s">
        <v>4086</v>
      </c>
      <c r="D4741" s="2"/>
      <c r="E4741" s="2"/>
      <c r="F4741" s="2"/>
      <c r="G4741" s="2"/>
      <c r="H4741" s="2" t="s">
        <v>668</v>
      </c>
    </row>
    <row r="4742" customFormat="false" ht="15" hidden="false" customHeight="false" outlineLevel="0" collapsed="false">
      <c r="A4742" s="2" t="s">
        <v>1688</v>
      </c>
      <c r="B4742" s="2" t="s">
        <v>45</v>
      </c>
      <c r="C4742" s="2" t="s">
        <v>4087</v>
      </c>
      <c r="D4742" s="2"/>
      <c r="E4742" s="2"/>
      <c r="F4742" s="2"/>
      <c r="G4742" s="31" t="n">
        <v>10.2</v>
      </c>
      <c r="H4742" s="2" t="s">
        <v>668</v>
      </c>
    </row>
    <row r="4743" customFormat="false" ht="15" hidden="false" customHeight="false" outlineLevel="0" collapsed="false">
      <c r="A4743" s="2" t="s">
        <v>1688</v>
      </c>
      <c r="B4743" s="2" t="s">
        <v>46</v>
      </c>
      <c r="C4743" s="2" t="s">
        <v>4085</v>
      </c>
      <c r="D4743" s="11" t="n">
        <v>4110</v>
      </c>
      <c r="E4743" s="31" t="n">
        <v>47.9</v>
      </c>
      <c r="F4743" s="2"/>
      <c r="G4743" s="31" t="n">
        <v>30.6</v>
      </c>
      <c r="H4743" s="2" t="s">
        <v>668</v>
      </c>
    </row>
    <row r="4744" customFormat="false" ht="15" hidden="false" customHeight="false" outlineLevel="0" collapsed="false">
      <c r="A4744" s="2" t="s">
        <v>1688</v>
      </c>
      <c r="B4744" s="2" t="s">
        <v>46</v>
      </c>
      <c r="C4744" s="2" t="s">
        <v>4086</v>
      </c>
      <c r="D4744" s="11" t="n">
        <v>4301</v>
      </c>
      <c r="E4744" s="31" t="n">
        <v>26.7</v>
      </c>
      <c r="F4744" s="31" t="n">
        <v>5.7</v>
      </c>
      <c r="G4744" s="2"/>
      <c r="H4744" s="2" t="s">
        <v>668</v>
      </c>
    </row>
    <row r="4745" customFormat="false" ht="15" hidden="false" customHeight="false" outlineLevel="0" collapsed="false">
      <c r="A4745" s="2" t="s">
        <v>1688</v>
      </c>
      <c r="B4745" s="2" t="s">
        <v>46</v>
      </c>
      <c r="C4745" s="2" t="s">
        <v>4087</v>
      </c>
      <c r="D4745" s="11" t="n">
        <v>4345</v>
      </c>
      <c r="E4745" s="31" t="n">
        <v>48</v>
      </c>
      <c r="F4745" s="31" t="n">
        <v>6.2</v>
      </c>
      <c r="G4745" s="31" t="n">
        <v>51.8</v>
      </c>
      <c r="H4745" s="2" t="s">
        <v>671</v>
      </c>
    </row>
    <row r="4746" customFormat="false" ht="15" hidden="false" customHeight="false" outlineLevel="0" collapsed="false">
      <c r="A4746" s="2" t="s">
        <v>1688</v>
      </c>
      <c r="B4746" s="2" t="s">
        <v>47</v>
      </c>
      <c r="C4746" s="2" t="s">
        <v>4085</v>
      </c>
      <c r="D4746" s="11" t="n">
        <v>47216</v>
      </c>
      <c r="E4746" s="31" t="n">
        <v>49.3</v>
      </c>
      <c r="F4746" s="31" t="n">
        <v>65.4</v>
      </c>
      <c r="G4746" s="31" t="n">
        <v>90.1</v>
      </c>
      <c r="H4746" s="2" t="s">
        <v>671</v>
      </c>
    </row>
    <row r="4747" customFormat="false" ht="15" hidden="false" customHeight="false" outlineLevel="0" collapsed="false">
      <c r="A4747" s="2" t="s">
        <v>1688</v>
      </c>
      <c r="B4747" s="2" t="s">
        <v>47</v>
      </c>
      <c r="C4747" s="2" t="s">
        <v>4086</v>
      </c>
      <c r="D4747" s="11" t="n">
        <v>49720</v>
      </c>
      <c r="E4747" s="31" t="n">
        <v>72.3</v>
      </c>
      <c r="F4747" s="31" t="n">
        <v>46.4</v>
      </c>
      <c r="G4747" s="31" t="n">
        <v>94.6</v>
      </c>
      <c r="H4747" s="2" t="s">
        <v>671</v>
      </c>
    </row>
    <row r="4748" customFormat="false" ht="15" hidden="false" customHeight="false" outlineLevel="0" collapsed="false">
      <c r="A4748" s="2" t="s">
        <v>1688</v>
      </c>
      <c r="B4748" s="2" t="s">
        <v>47</v>
      </c>
      <c r="C4748" s="2" t="s">
        <v>4087</v>
      </c>
      <c r="D4748" s="11" t="n">
        <v>50578</v>
      </c>
      <c r="E4748" s="31" t="n">
        <v>74.1</v>
      </c>
      <c r="F4748" s="31" t="n">
        <v>56.4</v>
      </c>
      <c r="G4748" s="31" t="n">
        <v>98.1</v>
      </c>
      <c r="H4748" s="2" t="s">
        <v>671</v>
      </c>
    </row>
    <row r="4749" customFormat="false" ht="15" hidden="false" customHeight="false" outlineLevel="0" collapsed="false">
      <c r="A4749" s="2" t="s">
        <v>1129</v>
      </c>
      <c r="B4749" s="2" t="s">
        <v>4104</v>
      </c>
      <c r="C4749" s="2" t="s">
        <v>4085</v>
      </c>
      <c r="D4749" s="2"/>
      <c r="E4749" s="31" t="n">
        <v>17.2</v>
      </c>
      <c r="F4749" s="31" t="n">
        <v>66.4</v>
      </c>
      <c r="G4749" s="31" t="n">
        <v>41.9</v>
      </c>
      <c r="H4749" s="2" t="s">
        <v>671</v>
      </c>
    </row>
    <row r="4750" customFormat="false" ht="15" hidden="false" customHeight="false" outlineLevel="0" collapsed="false">
      <c r="A4750" s="2" t="s">
        <v>1129</v>
      </c>
      <c r="B4750" s="2" t="s">
        <v>4104</v>
      </c>
      <c r="C4750" s="2" t="s">
        <v>4086</v>
      </c>
      <c r="D4750" s="2"/>
      <c r="E4750" s="31" t="n">
        <v>18.3</v>
      </c>
      <c r="F4750" s="31" t="n">
        <v>62.4</v>
      </c>
      <c r="G4750" s="31" t="n">
        <v>90.7</v>
      </c>
      <c r="H4750" s="2" t="s">
        <v>668</v>
      </c>
    </row>
    <row r="4751" customFormat="false" ht="15" hidden="false" customHeight="false" outlineLevel="0" collapsed="false">
      <c r="A4751" s="2" t="s">
        <v>1129</v>
      </c>
      <c r="B4751" s="2" t="s">
        <v>4104</v>
      </c>
      <c r="C4751" s="2" t="s">
        <v>4087</v>
      </c>
      <c r="D4751" s="2"/>
      <c r="E4751" s="31" t="n">
        <v>35.2</v>
      </c>
      <c r="F4751" s="31" t="n">
        <v>59</v>
      </c>
      <c r="G4751" s="31" t="n">
        <v>39.3</v>
      </c>
      <c r="H4751" s="2" t="s">
        <v>668</v>
      </c>
    </row>
    <row r="4752" customFormat="false" ht="15" hidden="false" customHeight="false" outlineLevel="0" collapsed="false">
      <c r="A4752" s="2" t="s">
        <v>1129</v>
      </c>
      <c r="B4752" s="2" t="s">
        <v>45</v>
      </c>
      <c r="C4752" s="2" t="s">
        <v>4085</v>
      </c>
      <c r="D4752" s="11" t="n">
        <v>275847</v>
      </c>
      <c r="E4752" s="31" t="n">
        <v>24.4</v>
      </c>
      <c r="F4752" s="31" t="n">
        <v>65.8</v>
      </c>
      <c r="G4752" s="31" t="n">
        <v>22.7</v>
      </c>
      <c r="H4752" s="2" t="s">
        <v>671</v>
      </c>
    </row>
    <row r="4753" customFormat="false" ht="15" hidden="false" customHeight="false" outlineLevel="0" collapsed="false">
      <c r="A4753" s="2" t="s">
        <v>1129</v>
      </c>
      <c r="B4753" s="2" t="s">
        <v>45</v>
      </c>
      <c r="C4753" s="2" t="s">
        <v>4086</v>
      </c>
      <c r="D4753" s="11" t="n">
        <v>283730</v>
      </c>
      <c r="E4753" s="31" t="n">
        <v>16.1</v>
      </c>
      <c r="F4753" s="31" t="n">
        <v>46.4</v>
      </c>
      <c r="G4753" s="2"/>
      <c r="H4753" s="2" t="s">
        <v>668</v>
      </c>
    </row>
    <row r="4754" customFormat="false" ht="15" hidden="false" customHeight="false" outlineLevel="0" collapsed="false">
      <c r="A4754" s="2" t="s">
        <v>1129</v>
      </c>
      <c r="B4754" s="2" t="s">
        <v>45</v>
      </c>
      <c r="C4754" s="2" t="s">
        <v>4087</v>
      </c>
      <c r="D4754" s="11" t="n">
        <v>293110</v>
      </c>
      <c r="E4754" s="31" t="n">
        <v>38.7</v>
      </c>
      <c r="F4754" s="31" t="n">
        <v>62.3</v>
      </c>
      <c r="G4754" s="31" t="n">
        <v>51.1</v>
      </c>
      <c r="H4754" s="2" t="s">
        <v>671</v>
      </c>
    </row>
    <row r="4755" customFormat="false" ht="15" hidden="false" customHeight="false" outlineLevel="0" collapsed="false">
      <c r="A4755" s="2" t="s">
        <v>1129</v>
      </c>
      <c r="B4755" s="2" t="s">
        <v>46</v>
      </c>
      <c r="C4755" s="2" t="s">
        <v>4085</v>
      </c>
      <c r="D4755" s="11" t="n">
        <v>42904</v>
      </c>
      <c r="E4755" s="31" t="n">
        <v>23.5</v>
      </c>
      <c r="F4755" s="31" t="n">
        <v>67.4</v>
      </c>
      <c r="G4755" s="31" t="n">
        <v>21</v>
      </c>
      <c r="H4755" s="2" t="s">
        <v>671</v>
      </c>
    </row>
    <row r="4756" customFormat="false" ht="15" hidden="false" customHeight="false" outlineLevel="0" collapsed="false">
      <c r="A4756" s="2" t="s">
        <v>1129</v>
      </c>
      <c r="B4756" s="2" t="s">
        <v>46</v>
      </c>
      <c r="C4756" s="2" t="s">
        <v>4086</v>
      </c>
      <c r="D4756" s="11" t="n">
        <v>44107</v>
      </c>
      <c r="E4756" s="31" t="n">
        <v>32.4</v>
      </c>
      <c r="F4756" s="31" t="n">
        <v>69.1</v>
      </c>
      <c r="G4756" s="2"/>
      <c r="H4756" s="2" t="s">
        <v>668</v>
      </c>
    </row>
    <row r="4757" customFormat="false" ht="15" hidden="false" customHeight="false" outlineLevel="0" collapsed="false">
      <c r="A4757" s="2" t="s">
        <v>1129</v>
      </c>
      <c r="B4757" s="2" t="s">
        <v>46</v>
      </c>
      <c r="C4757" s="2" t="s">
        <v>4087</v>
      </c>
      <c r="D4757" s="11" t="n">
        <v>45137</v>
      </c>
      <c r="E4757" s="31" t="n">
        <v>31.7</v>
      </c>
      <c r="F4757" s="31" t="n">
        <v>55.6</v>
      </c>
      <c r="G4757" s="31" t="n">
        <v>27.5</v>
      </c>
      <c r="H4757" s="2" t="s">
        <v>671</v>
      </c>
    </row>
    <row r="4758" customFormat="false" ht="15" hidden="false" customHeight="false" outlineLevel="0" collapsed="false">
      <c r="A4758" s="2" t="s">
        <v>1129</v>
      </c>
      <c r="B4758" s="2" t="s">
        <v>47</v>
      </c>
      <c r="C4758" s="2" t="s">
        <v>4085</v>
      </c>
      <c r="D4758" s="11" t="n">
        <v>20395</v>
      </c>
      <c r="E4758" s="31" t="n">
        <v>3.8</v>
      </c>
      <c r="F4758" s="31" t="n">
        <v>66</v>
      </c>
      <c r="G4758" s="31" t="n">
        <v>82</v>
      </c>
      <c r="H4758" s="2" t="s">
        <v>671</v>
      </c>
    </row>
    <row r="4759" customFormat="false" ht="15" hidden="false" customHeight="false" outlineLevel="0" collapsed="false">
      <c r="A4759" s="2" t="s">
        <v>1129</v>
      </c>
      <c r="B4759" s="2" t="s">
        <v>47</v>
      </c>
      <c r="C4759" s="2" t="s">
        <v>4086</v>
      </c>
      <c r="D4759" s="11" t="n">
        <v>21368</v>
      </c>
      <c r="E4759" s="31" t="n">
        <v>6.3</v>
      </c>
      <c r="F4759" s="31" t="n">
        <v>71.8</v>
      </c>
      <c r="G4759" s="31" t="n">
        <v>90.7</v>
      </c>
      <c r="H4759" s="2" t="s">
        <v>671</v>
      </c>
    </row>
    <row r="4760" customFormat="false" ht="15" hidden="false" customHeight="false" outlineLevel="0" collapsed="false">
      <c r="A4760" s="2" t="s">
        <v>1129</v>
      </c>
      <c r="B4760" s="2" t="s">
        <v>47</v>
      </c>
      <c r="C4760" s="2" t="s">
        <v>4087</v>
      </c>
      <c r="D4760" s="2"/>
      <c r="E4760" s="2"/>
      <c r="F4760" s="2"/>
      <c r="G4760" s="2"/>
      <c r="H4760" s="2" t="s">
        <v>668</v>
      </c>
    </row>
    <row r="4761" customFormat="false" ht="15" hidden="false" customHeight="false" outlineLevel="0" collapsed="false">
      <c r="A4761" s="2" t="s">
        <v>1042</v>
      </c>
      <c r="B4761" s="2" t="s">
        <v>4104</v>
      </c>
      <c r="C4761" s="2" t="s">
        <v>4085</v>
      </c>
      <c r="D4761" s="2"/>
      <c r="E4761" s="31" t="n">
        <v>45.6</v>
      </c>
      <c r="F4761" s="31" t="n">
        <v>54.7</v>
      </c>
      <c r="G4761" s="31" t="n">
        <v>27.5</v>
      </c>
      <c r="H4761" s="2" t="s">
        <v>671</v>
      </c>
    </row>
    <row r="4762" customFormat="false" ht="15" hidden="false" customHeight="false" outlineLevel="0" collapsed="false">
      <c r="A4762" s="2" t="s">
        <v>1042</v>
      </c>
      <c r="B4762" s="2" t="s">
        <v>4104</v>
      </c>
      <c r="C4762" s="2" t="s">
        <v>4086</v>
      </c>
      <c r="D4762" s="2"/>
      <c r="E4762" s="31" t="n">
        <v>47</v>
      </c>
      <c r="F4762" s="31" t="n">
        <v>53.9</v>
      </c>
      <c r="G4762" s="31" t="n">
        <v>49.6</v>
      </c>
      <c r="H4762" s="2" t="s">
        <v>668</v>
      </c>
    </row>
    <row r="4763" customFormat="false" ht="15" hidden="false" customHeight="false" outlineLevel="0" collapsed="false">
      <c r="A4763" s="2" t="s">
        <v>1042</v>
      </c>
      <c r="B4763" s="2" t="s">
        <v>4104</v>
      </c>
      <c r="C4763" s="2" t="s">
        <v>4087</v>
      </c>
      <c r="D4763" s="2"/>
      <c r="E4763" s="31" t="n">
        <v>46.8</v>
      </c>
      <c r="F4763" s="31" t="n">
        <v>23.4</v>
      </c>
      <c r="G4763" s="31" t="n">
        <v>56.6</v>
      </c>
      <c r="H4763" s="2" t="s">
        <v>668</v>
      </c>
    </row>
    <row r="4764" customFormat="false" ht="15" hidden="false" customHeight="false" outlineLevel="0" collapsed="false">
      <c r="A4764" s="2" t="s">
        <v>1042</v>
      </c>
      <c r="B4764" s="2" t="s">
        <v>45</v>
      </c>
      <c r="C4764" s="2" t="s">
        <v>4085</v>
      </c>
      <c r="D4764" s="11" t="n">
        <v>100533</v>
      </c>
      <c r="E4764" s="31" t="n">
        <v>54.7</v>
      </c>
      <c r="F4764" s="31" t="n">
        <v>50</v>
      </c>
      <c r="G4764" s="31" t="n">
        <v>73.4</v>
      </c>
      <c r="H4764" s="2" t="s">
        <v>671</v>
      </c>
    </row>
    <row r="4765" customFormat="false" ht="15" hidden="false" customHeight="false" outlineLevel="0" collapsed="false">
      <c r="A4765" s="2" t="s">
        <v>1042</v>
      </c>
      <c r="B4765" s="2" t="s">
        <v>45</v>
      </c>
      <c r="C4765" s="2" t="s">
        <v>4086</v>
      </c>
      <c r="D4765" s="11" t="n">
        <v>101460</v>
      </c>
      <c r="E4765" s="31" t="n">
        <v>25.3</v>
      </c>
      <c r="F4765" s="31" t="n">
        <v>53.6</v>
      </c>
      <c r="G4765" s="31" t="n">
        <v>85.3</v>
      </c>
      <c r="H4765" s="2" t="s">
        <v>671</v>
      </c>
    </row>
    <row r="4766" customFormat="false" ht="15" hidden="false" customHeight="false" outlineLevel="0" collapsed="false">
      <c r="A4766" s="2" t="s">
        <v>1042</v>
      </c>
      <c r="B4766" s="2" t="s">
        <v>45</v>
      </c>
      <c r="C4766" s="2" t="s">
        <v>4087</v>
      </c>
      <c r="D4766" s="11" t="n">
        <v>105650</v>
      </c>
      <c r="E4766" s="31" t="n">
        <v>49.8</v>
      </c>
      <c r="F4766" s="31" t="n">
        <v>29</v>
      </c>
      <c r="G4766" s="31" t="n">
        <v>89.8</v>
      </c>
      <c r="H4766" s="2" t="s">
        <v>671</v>
      </c>
    </row>
    <row r="4767" customFormat="false" ht="15" hidden="false" customHeight="false" outlineLevel="0" collapsed="false">
      <c r="A4767" s="2" t="s">
        <v>1042</v>
      </c>
      <c r="B4767" s="2" t="s">
        <v>46</v>
      </c>
      <c r="C4767" s="2" t="s">
        <v>4085</v>
      </c>
      <c r="D4767" s="11" t="n">
        <v>18170</v>
      </c>
      <c r="E4767" s="31" t="n">
        <v>54.4</v>
      </c>
      <c r="F4767" s="31" t="n">
        <v>77.2</v>
      </c>
      <c r="G4767" s="31" t="n">
        <v>0.2</v>
      </c>
      <c r="H4767" s="2" t="s">
        <v>671</v>
      </c>
    </row>
    <row r="4768" customFormat="false" ht="15" hidden="false" customHeight="false" outlineLevel="0" collapsed="false">
      <c r="A4768" s="2" t="s">
        <v>1042</v>
      </c>
      <c r="B4768" s="2" t="s">
        <v>46</v>
      </c>
      <c r="C4768" s="2" t="s">
        <v>4086</v>
      </c>
      <c r="D4768" s="11" t="n">
        <v>19320</v>
      </c>
      <c r="E4768" s="31" t="n">
        <v>60.9</v>
      </c>
      <c r="F4768" s="31" t="n">
        <v>82.2</v>
      </c>
      <c r="G4768" s="2"/>
      <c r="H4768" s="2" t="s">
        <v>668</v>
      </c>
    </row>
    <row r="4769" customFormat="false" ht="15" hidden="false" customHeight="false" outlineLevel="0" collapsed="false">
      <c r="A4769" s="2" t="s">
        <v>1042</v>
      </c>
      <c r="B4769" s="2" t="s">
        <v>46</v>
      </c>
      <c r="C4769" s="2" t="s">
        <v>4087</v>
      </c>
      <c r="D4769" s="2"/>
      <c r="E4769" s="2"/>
      <c r="F4769" s="2"/>
      <c r="G4769" s="2"/>
      <c r="H4769" s="2" t="s">
        <v>668</v>
      </c>
    </row>
    <row r="4770" customFormat="false" ht="15" hidden="false" customHeight="false" outlineLevel="0" collapsed="false">
      <c r="A4770" s="2" t="s">
        <v>1042</v>
      </c>
      <c r="B4770" s="2" t="s">
        <v>47</v>
      </c>
      <c r="C4770" s="2" t="s">
        <v>4085</v>
      </c>
      <c r="D4770" s="11" t="n">
        <v>72634</v>
      </c>
      <c r="E4770" s="31" t="n">
        <v>27.7</v>
      </c>
      <c r="F4770" s="31" t="n">
        <v>36.9</v>
      </c>
      <c r="G4770" s="31" t="n">
        <v>9</v>
      </c>
      <c r="H4770" s="2" t="s">
        <v>671</v>
      </c>
    </row>
    <row r="4771" customFormat="false" ht="15" hidden="false" customHeight="false" outlineLevel="0" collapsed="false">
      <c r="A4771" s="2" t="s">
        <v>1042</v>
      </c>
      <c r="B4771" s="2" t="s">
        <v>47</v>
      </c>
      <c r="C4771" s="2" t="s">
        <v>4086</v>
      </c>
      <c r="D4771" s="11" t="n">
        <v>73570</v>
      </c>
      <c r="E4771" s="31" t="n">
        <v>54.7</v>
      </c>
      <c r="F4771" s="31" t="n">
        <v>26</v>
      </c>
      <c r="G4771" s="31" t="n">
        <v>14</v>
      </c>
      <c r="H4771" s="2" t="s">
        <v>671</v>
      </c>
    </row>
    <row r="4772" customFormat="false" ht="15" hidden="false" customHeight="false" outlineLevel="0" collapsed="false">
      <c r="A4772" s="2" t="s">
        <v>1042</v>
      </c>
      <c r="B4772" s="2" t="s">
        <v>47</v>
      </c>
      <c r="C4772" s="2" t="s">
        <v>4087</v>
      </c>
      <c r="D4772" s="11" t="n">
        <v>76501</v>
      </c>
      <c r="E4772" s="31" t="n">
        <v>43.9</v>
      </c>
      <c r="F4772" s="31" t="n">
        <v>17.7</v>
      </c>
      <c r="G4772" s="31" t="n">
        <v>23.4</v>
      </c>
      <c r="H4772" s="2" t="s">
        <v>671</v>
      </c>
    </row>
    <row r="4773" customFormat="false" ht="15" hidden="false" customHeight="false" outlineLevel="0" collapsed="false">
      <c r="A4773" s="2" t="s">
        <v>538</v>
      </c>
      <c r="B4773" s="2" t="s">
        <v>4104</v>
      </c>
      <c r="C4773" s="2" t="s">
        <v>4085</v>
      </c>
      <c r="D4773" s="2"/>
      <c r="E4773" s="31" t="n">
        <v>21.6</v>
      </c>
      <c r="F4773" s="31" t="n">
        <v>14.8</v>
      </c>
      <c r="G4773" s="31" t="n">
        <v>20.6</v>
      </c>
      <c r="H4773" s="2" t="s">
        <v>668</v>
      </c>
    </row>
    <row r="4774" customFormat="false" ht="15" hidden="false" customHeight="false" outlineLevel="0" collapsed="false">
      <c r="A4774" s="2" t="s">
        <v>538</v>
      </c>
      <c r="B4774" s="2" t="s">
        <v>4104</v>
      </c>
      <c r="C4774" s="2" t="s">
        <v>4086</v>
      </c>
      <c r="D4774" s="2"/>
      <c r="E4774" s="31" t="n">
        <v>37.4</v>
      </c>
      <c r="F4774" s="31" t="n">
        <v>30.8</v>
      </c>
      <c r="G4774" s="31" t="n">
        <v>30.9</v>
      </c>
      <c r="H4774" s="2" t="s">
        <v>668</v>
      </c>
    </row>
    <row r="4775" customFormat="false" ht="15" hidden="false" customHeight="false" outlineLevel="0" collapsed="false">
      <c r="A4775" s="2" t="s">
        <v>538</v>
      </c>
      <c r="B4775" s="2" t="s">
        <v>4104</v>
      </c>
      <c r="C4775" s="2" t="s">
        <v>4087</v>
      </c>
      <c r="D4775" s="2"/>
      <c r="E4775" s="31" t="n">
        <v>31.8</v>
      </c>
      <c r="F4775" s="31" t="n">
        <v>20.8</v>
      </c>
      <c r="G4775" s="31" t="n">
        <v>23.3</v>
      </c>
      <c r="H4775" s="2" t="s">
        <v>671</v>
      </c>
    </row>
    <row r="4776" customFormat="false" ht="15" hidden="false" customHeight="false" outlineLevel="0" collapsed="false">
      <c r="A4776" s="2" t="s">
        <v>538</v>
      </c>
      <c r="B4776" s="2" t="s">
        <v>45</v>
      </c>
      <c r="C4776" s="2" t="s">
        <v>4085</v>
      </c>
      <c r="D4776" s="11" t="n">
        <v>31868</v>
      </c>
      <c r="E4776" s="31" t="n">
        <v>8</v>
      </c>
      <c r="F4776" s="31" t="n">
        <v>12.8</v>
      </c>
      <c r="G4776" s="31" t="n">
        <v>12</v>
      </c>
      <c r="H4776" s="2" t="s">
        <v>671</v>
      </c>
    </row>
    <row r="4777" customFormat="false" ht="15" hidden="false" customHeight="false" outlineLevel="0" collapsed="false">
      <c r="A4777" s="2" t="s">
        <v>538</v>
      </c>
      <c r="B4777" s="2" t="s">
        <v>45</v>
      </c>
      <c r="C4777" s="2" t="s">
        <v>4086</v>
      </c>
      <c r="D4777" s="11" t="n">
        <v>32110</v>
      </c>
      <c r="E4777" s="31" t="n">
        <v>14.7</v>
      </c>
      <c r="F4777" s="31" t="n">
        <v>43.6</v>
      </c>
      <c r="G4777" s="31" t="n">
        <v>23.1</v>
      </c>
      <c r="H4777" s="2" t="s">
        <v>671</v>
      </c>
    </row>
    <row r="4778" customFormat="false" ht="15" hidden="false" customHeight="false" outlineLevel="0" collapsed="false">
      <c r="A4778" s="2" t="s">
        <v>538</v>
      </c>
      <c r="B4778" s="2" t="s">
        <v>45</v>
      </c>
      <c r="C4778" s="2" t="s">
        <v>4087</v>
      </c>
      <c r="D4778" s="11" t="n">
        <v>32740</v>
      </c>
      <c r="E4778" s="31" t="n">
        <v>7.3</v>
      </c>
      <c r="F4778" s="31" t="n">
        <v>13.1</v>
      </c>
      <c r="G4778" s="31" t="n">
        <v>18.5</v>
      </c>
      <c r="H4778" s="2" t="s">
        <v>671</v>
      </c>
    </row>
    <row r="4779" customFormat="false" ht="15" hidden="false" customHeight="false" outlineLevel="0" collapsed="false">
      <c r="A4779" s="2" t="s">
        <v>538</v>
      </c>
      <c r="B4779" s="2" t="s">
        <v>46</v>
      </c>
      <c r="C4779" s="2" t="s">
        <v>4085</v>
      </c>
      <c r="D4779" s="2"/>
      <c r="E4779" s="2"/>
      <c r="F4779" s="2"/>
      <c r="G4779" s="2"/>
      <c r="H4779" s="2" t="s">
        <v>668</v>
      </c>
    </row>
    <row r="4780" customFormat="false" ht="15" hidden="false" customHeight="false" outlineLevel="0" collapsed="false">
      <c r="A4780" s="2" t="s">
        <v>538</v>
      </c>
      <c r="B4780" s="2" t="s">
        <v>46</v>
      </c>
      <c r="C4780" s="2" t="s">
        <v>4086</v>
      </c>
      <c r="D4780" s="11" t="n">
        <v>2380</v>
      </c>
      <c r="E4780" s="31" t="n">
        <v>54</v>
      </c>
      <c r="F4780" s="2"/>
      <c r="G4780" s="31" t="n">
        <v>10.4</v>
      </c>
      <c r="H4780" s="2" t="s">
        <v>668</v>
      </c>
    </row>
    <row r="4781" customFormat="false" ht="15" hidden="false" customHeight="false" outlineLevel="0" collapsed="false">
      <c r="A4781" s="2" t="s">
        <v>538</v>
      </c>
      <c r="B4781" s="2" t="s">
        <v>46</v>
      </c>
      <c r="C4781" s="2" t="s">
        <v>4087</v>
      </c>
      <c r="D4781" s="11" t="n">
        <v>2402</v>
      </c>
      <c r="E4781" s="31" t="n">
        <v>40.8</v>
      </c>
      <c r="F4781" s="31" t="n">
        <v>8.3</v>
      </c>
      <c r="G4781" s="31" t="n">
        <v>10.6</v>
      </c>
      <c r="H4781" s="2" t="s">
        <v>671</v>
      </c>
    </row>
    <row r="4782" customFormat="false" ht="15" hidden="false" customHeight="false" outlineLevel="0" collapsed="false">
      <c r="A4782" s="2" t="s">
        <v>538</v>
      </c>
      <c r="B4782" s="2" t="s">
        <v>47</v>
      </c>
      <c r="C4782" s="2" t="s">
        <v>4085</v>
      </c>
      <c r="D4782" s="11" t="n">
        <v>10388</v>
      </c>
      <c r="E4782" s="31" t="n">
        <v>35.3</v>
      </c>
      <c r="F4782" s="31" t="n">
        <v>16.7</v>
      </c>
      <c r="G4782" s="31" t="n">
        <v>29.1</v>
      </c>
      <c r="H4782" s="2" t="s">
        <v>671</v>
      </c>
    </row>
    <row r="4783" customFormat="false" ht="15" hidden="false" customHeight="false" outlineLevel="0" collapsed="false">
      <c r="A4783" s="2" t="s">
        <v>538</v>
      </c>
      <c r="B4783" s="2" t="s">
        <v>47</v>
      </c>
      <c r="C4783" s="2" t="s">
        <v>4086</v>
      </c>
      <c r="D4783" s="11" t="n">
        <v>10840</v>
      </c>
      <c r="E4783" s="31" t="n">
        <v>43.6</v>
      </c>
      <c r="F4783" s="31" t="n">
        <v>17.9</v>
      </c>
      <c r="G4783" s="31" t="n">
        <v>59.3</v>
      </c>
      <c r="H4783" s="2" t="s">
        <v>671</v>
      </c>
    </row>
    <row r="4784" customFormat="false" ht="15" hidden="false" customHeight="false" outlineLevel="0" collapsed="false">
      <c r="A4784" s="2" t="s">
        <v>538</v>
      </c>
      <c r="B4784" s="2" t="s">
        <v>47</v>
      </c>
      <c r="C4784" s="2" t="s">
        <v>4087</v>
      </c>
      <c r="D4784" s="11" t="n">
        <v>10579</v>
      </c>
      <c r="E4784" s="31" t="n">
        <v>47.3</v>
      </c>
      <c r="F4784" s="31" t="n">
        <v>41.1</v>
      </c>
      <c r="G4784" s="31" t="n">
        <v>40.8</v>
      </c>
      <c r="H4784" s="2" t="s">
        <v>671</v>
      </c>
    </row>
    <row r="4785" customFormat="false" ht="15" hidden="false" customHeight="false" outlineLevel="0" collapsed="false">
      <c r="A4785" s="2" t="s">
        <v>952</v>
      </c>
      <c r="B4785" s="2" t="s">
        <v>4104</v>
      </c>
      <c r="C4785" s="2" t="s">
        <v>4085</v>
      </c>
      <c r="D4785" s="2"/>
      <c r="E4785" s="31" t="n">
        <v>37.6</v>
      </c>
      <c r="F4785" s="31" t="n">
        <v>27.1</v>
      </c>
      <c r="G4785" s="31" t="n">
        <v>58.1</v>
      </c>
      <c r="H4785" s="2" t="s">
        <v>671</v>
      </c>
    </row>
    <row r="4786" customFormat="false" ht="15" hidden="false" customHeight="false" outlineLevel="0" collapsed="false">
      <c r="A4786" s="2" t="s">
        <v>952</v>
      </c>
      <c r="B4786" s="2" t="s">
        <v>4104</v>
      </c>
      <c r="C4786" s="2" t="s">
        <v>4086</v>
      </c>
      <c r="D4786" s="2"/>
      <c r="E4786" s="31" t="n">
        <v>39.2</v>
      </c>
      <c r="F4786" s="31" t="n">
        <v>32.6</v>
      </c>
      <c r="G4786" s="31" t="n">
        <v>24.5</v>
      </c>
      <c r="H4786" s="2" t="s">
        <v>671</v>
      </c>
    </row>
    <row r="4787" customFormat="false" ht="15" hidden="false" customHeight="false" outlineLevel="0" collapsed="false">
      <c r="A4787" s="2" t="s">
        <v>952</v>
      </c>
      <c r="B4787" s="2" t="s">
        <v>4104</v>
      </c>
      <c r="C4787" s="2" t="s">
        <v>4087</v>
      </c>
      <c r="D4787" s="2"/>
      <c r="E4787" s="31" t="n">
        <v>55.2</v>
      </c>
      <c r="F4787" s="31" t="n">
        <v>35.4</v>
      </c>
      <c r="G4787" s="31" t="n">
        <v>25.4</v>
      </c>
      <c r="H4787" s="2" t="s">
        <v>668</v>
      </c>
    </row>
    <row r="4788" customFormat="false" ht="15" hidden="false" customHeight="false" outlineLevel="0" collapsed="false">
      <c r="A4788" s="2" t="s">
        <v>952</v>
      </c>
      <c r="B4788" s="2" t="s">
        <v>45</v>
      </c>
      <c r="C4788" s="2" t="s">
        <v>4085</v>
      </c>
      <c r="D4788" s="11" t="n">
        <v>39120</v>
      </c>
      <c r="E4788" s="31" t="n">
        <v>86.6</v>
      </c>
      <c r="F4788" s="31" t="n">
        <v>53.3</v>
      </c>
      <c r="G4788" s="31" t="n">
        <v>86.6</v>
      </c>
      <c r="H4788" s="2" t="s">
        <v>671</v>
      </c>
    </row>
    <row r="4789" customFormat="false" ht="15" hidden="false" customHeight="false" outlineLevel="0" collapsed="false">
      <c r="A4789" s="2" t="s">
        <v>952</v>
      </c>
      <c r="B4789" s="2" t="s">
        <v>45</v>
      </c>
      <c r="C4789" s="2" t="s">
        <v>4086</v>
      </c>
      <c r="D4789" s="11" t="n">
        <v>41370</v>
      </c>
      <c r="E4789" s="31" t="n">
        <v>81.1</v>
      </c>
      <c r="F4789" s="31" t="n">
        <v>76.3</v>
      </c>
      <c r="G4789" s="31" t="n">
        <v>11.2</v>
      </c>
      <c r="H4789" s="2" t="s">
        <v>671</v>
      </c>
    </row>
    <row r="4790" customFormat="false" ht="15" hidden="false" customHeight="false" outlineLevel="0" collapsed="false">
      <c r="A4790" s="2" t="s">
        <v>952</v>
      </c>
      <c r="B4790" s="2" t="s">
        <v>45</v>
      </c>
      <c r="C4790" s="2" t="s">
        <v>4087</v>
      </c>
      <c r="D4790" s="11" t="n">
        <v>43590</v>
      </c>
      <c r="E4790" s="31" t="n">
        <v>62</v>
      </c>
      <c r="F4790" s="31" t="n">
        <v>69</v>
      </c>
      <c r="G4790" s="31" t="n">
        <v>43.9</v>
      </c>
      <c r="H4790" s="2" t="s">
        <v>671</v>
      </c>
    </row>
    <row r="4791" customFormat="false" ht="15" hidden="false" customHeight="false" outlineLevel="0" collapsed="false">
      <c r="A4791" s="2" t="s">
        <v>952</v>
      </c>
      <c r="B4791" s="2" t="s">
        <v>46</v>
      </c>
      <c r="C4791" s="2" t="s">
        <v>4085</v>
      </c>
      <c r="D4791" s="11" t="n">
        <v>155610</v>
      </c>
      <c r="E4791" s="31" t="n">
        <v>14.7</v>
      </c>
      <c r="F4791" s="31" t="n">
        <v>21.2</v>
      </c>
      <c r="G4791" s="31" t="n">
        <v>75.8</v>
      </c>
      <c r="H4791" s="2" t="s">
        <v>671</v>
      </c>
    </row>
    <row r="4792" customFormat="false" ht="15" hidden="false" customHeight="false" outlineLevel="0" collapsed="false">
      <c r="A4792" s="2" t="s">
        <v>952</v>
      </c>
      <c r="B4792" s="2" t="s">
        <v>46</v>
      </c>
      <c r="C4792" s="2" t="s">
        <v>4086</v>
      </c>
      <c r="D4792" s="11" t="n">
        <v>155540</v>
      </c>
      <c r="E4792" s="31" t="n">
        <v>31.4</v>
      </c>
      <c r="F4792" s="31" t="n">
        <v>12.7</v>
      </c>
      <c r="G4792" s="31" t="n">
        <v>57.4</v>
      </c>
      <c r="H4792" s="2" t="s">
        <v>671</v>
      </c>
    </row>
    <row r="4793" customFormat="false" ht="15" hidden="false" customHeight="false" outlineLevel="0" collapsed="false">
      <c r="A4793" s="2" t="s">
        <v>952</v>
      </c>
      <c r="B4793" s="2" t="s">
        <v>46</v>
      </c>
      <c r="C4793" s="2" t="s">
        <v>4087</v>
      </c>
      <c r="D4793" s="11" t="n">
        <v>158679</v>
      </c>
      <c r="E4793" s="31" t="n">
        <v>48.4</v>
      </c>
      <c r="F4793" s="31" t="n">
        <v>22.5</v>
      </c>
      <c r="G4793" s="2"/>
      <c r="H4793" s="2" t="s">
        <v>668</v>
      </c>
    </row>
    <row r="4794" customFormat="false" ht="15" hidden="false" customHeight="false" outlineLevel="0" collapsed="false">
      <c r="A4794" s="2" t="s">
        <v>952</v>
      </c>
      <c r="B4794" s="2" t="s">
        <v>47</v>
      </c>
      <c r="C4794" s="2" t="s">
        <v>4085</v>
      </c>
      <c r="D4794" s="11" t="n">
        <v>8323</v>
      </c>
      <c r="E4794" s="31" t="n">
        <v>11.4</v>
      </c>
      <c r="F4794" s="31" t="n">
        <v>6.7</v>
      </c>
      <c r="G4794" s="31" t="n">
        <v>12</v>
      </c>
      <c r="H4794" s="2" t="s">
        <v>671</v>
      </c>
    </row>
    <row r="4795" customFormat="false" ht="15" hidden="false" customHeight="false" outlineLevel="0" collapsed="false">
      <c r="A4795" s="2" t="s">
        <v>952</v>
      </c>
      <c r="B4795" s="2" t="s">
        <v>47</v>
      </c>
      <c r="C4795" s="2" t="s">
        <v>4086</v>
      </c>
      <c r="D4795" s="11" t="n">
        <v>8358</v>
      </c>
      <c r="E4795" s="31" t="n">
        <v>5.1</v>
      </c>
      <c r="F4795" s="31" t="n">
        <v>8.8</v>
      </c>
      <c r="G4795" s="31" t="n">
        <v>4.8</v>
      </c>
      <c r="H4795" s="2" t="s">
        <v>671</v>
      </c>
    </row>
    <row r="4796" customFormat="false" ht="15" hidden="false" customHeight="false" outlineLevel="0" collapsed="false">
      <c r="A4796" s="2" t="s">
        <v>952</v>
      </c>
      <c r="B4796" s="2" t="s">
        <v>47</v>
      </c>
      <c r="C4796" s="2" t="s">
        <v>4087</v>
      </c>
      <c r="D4796" s="11" t="n">
        <v>8104</v>
      </c>
      <c r="E4796" s="2"/>
      <c r="F4796" s="31" t="n">
        <v>14.7</v>
      </c>
      <c r="G4796" s="31" t="n">
        <v>6.9</v>
      </c>
      <c r="H4796" s="2" t="s">
        <v>668</v>
      </c>
    </row>
    <row r="4797" customFormat="false" ht="15" hidden="false" customHeight="false" outlineLevel="0" collapsed="false">
      <c r="A4797" s="2" t="s">
        <v>909</v>
      </c>
      <c r="B4797" s="2" t="s">
        <v>4104</v>
      </c>
      <c r="C4797" s="2" t="s">
        <v>4085</v>
      </c>
      <c r="D4797" s="2"/>
      <c r="E4797" s="31" t="n">
        <v>38.8</v>
      </c>
      <c r="F4797" s="31" t="n">
        <v>37.8</v>
      </c>
      <c r="G4797" s="31" t="n">
        <v>29.6</v>
      </c>
      <c r="H4797" s="2" t="s">
        <v>668</v>
      </c>
    </row>
    <row r="4798" customFormat="false" ht="15" hidden="false" customHeight="false" outlineLevel="0" collapsed="false">
      <c r="A4798" s="2" t="s">
        <v>909</v>
      </c>
      <c r="B4798" s="2" t="s">
        <v>4104</v>
      </c>
      <c r="C4798" s="2" t="s">
        <v>4086</v>
      </c>
      <c r="D4798" s="2"/>
      <c r="E4798" s="31" t="n">
        <v>46.8</v>
      </c>
      <c r="F4798" s="31" t="n">
        <v>30.4</v>
      </c>
      <c r="G4798" s="31" t="n">
        <v>38</v>
      </c>
      <c r="H4798" s="2" t="s">
        <v>668</v>
      </c>
    </row>
    <row r="4799" customFormat="false" ht="15" hidden="false" customHeight="false" outlineLevel="0" collapsed="false">
      <c r="A4799" s="2" t="s">
        <v>909</v>
      </c>
      <c r="B4799" s="2" t="s">
        <v>4104</v>
      </c>
      <c r="C4799" s="2" t="s">
        <v>4087</v>
      </c>
      <c r="D4799" s="2"/>
      <c r="E4799" s="31" t="n">
        <v>73.1</v>
      </c>
      <c r="F4799" s="31" t="n">
        <v>32.5</v>
      </c>
      <c r="G4799" s="31" t="n">
        <v>13.4</v>
      </c>
      <c r="H4799" s="2" t="s">
        <v>668</v>
      </c>
    </row>
    <row r="4800" customFormat="false" ht="15" hidden="false" customHeight="false" outlineLevel="0" collapsed="false">
      <c r="A4800" s="2" t="s">
        <v>909</v>
      </c>
      <c r="B4800" s="2" t="s">
        <v>45</v>
      </c>
      <c r="C4800" s="2" t="s">
        <v>4085</v>
      </c>
      <c r="D4800" s="11" t="n">
        <v>41600</v>
      </c>
      <c r="E4800" s="31" t="n">
        <v>41.2</v>
      </c>
      <c r="F4800" s="31" t="n">
        <v>0.4</v>
      </c>
      <c r="G4800" s="31" t="n">
        <v>61.5</v>
      </c>
      <c r="H4800" s="2" t="s">
        <v>671</v>
      </c>
    </row>
    <row r="4801" customFormat="false" ht="15" hidden="false" customHeight="false" outlineLevel="0" collapsed="false">
      <c r="A4801" s="2" t="s">
        <v>909</v>
      </c>
      <c r="B4801" s="2" t="s">
        <v>45</v>
      </c>
      <c r="C4801" s="2" t="s">
        <v>4086</v>
      </c>
      <c r="D4801" s="11" t="n">
        <v>39150</v>
      </c>
      <c r="E4801" s="31" t="n">
        <v>51.6</v>
      </c>
      <c r="F4801" s="31" t="n">
        <v>0.7</v>
      </c>
      <c r="G4801" s="31" t="n">
        <v>71.3</v>
      </c>
      <c r="H4801" s="2" t="s">
        <v>671</v>
      </c>
    </row>
    <row r="4802" customFormat="false" ht="15" hidden="false" customHeight="false" outlineLevel="0" collapsed="false">
      <c r="A4802" s="2" t="s">
        <v>909</v>
      </c>
      <c r="B4802" s="2" t="s">
        <v>45</v>
      </c>
      <c r="C4802" s="2" t="s">
        <v>4087</v>
      </c>
      <c r="D4802" s="11" t="n">
        <v>37230</v>
      </c>
      <c r="E4802" s="31" t="n">
        <v>67.7</v>
      </c>
      <c r="F4802" s="31" t="n">
        <v>0.4</v>
      </c>
      <c r="G4802" s="31" t="n">
        <v>26</v>
      </c>
      <c r="H4802" s="2" t="s">
        <v>671</v>
      </c>
    </row>
    <row r="4803" customFormat="false" ht="15" hidden="false" customHeight="false" outlineLevel="0" collapsed="false">
      <c r="A4803" s="2" t="s">
        <v>909</v>
      </c>
      <c r="B4803" s="2" t="s">
        <v>46</v>
      </c>
      <c r="C4803" s="2" t="s">
        <v>4085</v>
      </c>
      <c r="D4803" s="11" t="n">
        <v>6000</v>
      </c>
      <c r="E4803" s="31" t="n">
        <v>63.2</v>
      </c>
      <c r="F4803" s="2"/>
      <c r="G4803" s="31" t="n">
        <v>5.5</v>
      </c>
      <c r="H4803" s="2" t="s">
        <v>668</v>
      </c>
    </row>
    <row r="4804" customFormat="false" ht="15" hidden="false" customHeight="false" outlineLevel="0" collapsed="false">
      <c r="A4804" s="2" t="s">
        <v>909</v>
      </c>
      <c r="B4804" s="2" t="s">
        <v>46</v>
      </c>
      <c r="C4804" s="2" t="s">
        <v>4086</v>
      </c>
      <c r="D4804" s="11" t="n">
        <v>6236</v>
      </c>
      <c r="E4804" s="31" t="n">
        <v>63.1</v>
      </c>
      <c r="F4804" s="31" t="n">
        <v>20.8</v>
      </c>
      <c r="G4804" s="2"/>
      <c r="H4804" s="2" t="s">
        <v>668</v>
      </c>
    </row>
    <row r="4805" customFormat="false" ht="15" hidden="false" customHeight="false" outlineLevel="0" collapsed="false">
      <c r="A4805" s="2" t="s">
        <v>909</v>
      </c>
      <c r="B4805" s="2" t="s">
        <v>46</v>
      </c>
      <c r="C4805" s="2" t="s">
        <v>4087</v>
      </c>
      <c r="D4805" s="11" t="n">
        <v>6391</v>
      </c>
      <c r="E4805" s="31" t="n">
        <v>78.4</v>
      </c>
      <c r="F4805" s="31" t="n">
        <v>64.6</v>
      </c>
      <c r="G4805" s="31" t="n">
        <v>0.8</v>
      </c>
      <c r="H4805" s="2" t="s">
        <v>671</v>
      </c>
    </row>
    <row r="4806" customFormat="false" ht="15" hidden="false" customHeight="false" outlineLevel="0" collapsed="false">
      <c r="A4806" s="2" t="s">
        <v>909</v>
      </c>
      <c r="B4806" s="2" t="s">
        <v>47</v>
      </c>
      <c r="C4806" s="2" t="s">
        <v>4085</v>
      </c>
      <c r="D4806" s="11" t="n">
        <v>509600</v>
      </c>
      <c r="E4806" s="31" t="n">
        <v>12.1</v>
      </c>
      <c r="F4806" s="31" t="n">
        <v>75.3</v>
      </c>
      <c r="G4806" s="31" t="n">
        <v>21.7</v>
      </c>
      <c r="H4806" s="2" t="s">
        <v>671</v>
      </c>
    </row>
    <row r="4807" customFormat="false" ht="15" hidden="false" customHeight="false" outlineLevel="0" collapsed="false">
      <c r="A4807" s="2" t="s">
        <v>909</v>
      </c>
      <c r="B4807" s="2" t="s">
        <v>47</v>
      </c>
      <c r="C4807" s="2" t="s">
        <v>4086</v>
      </c>
      <c r="D4807" s="11" t="n">
        <v>521750</v>
      </c>
      <c r="E4807" s="31" t="n">
        <v>25.6</v>
      </c>
      <c r="F4807" s="31" t="n">
        <v>69.6</v>
      </c>
      <c r="G4807" s="31" t="n">
        <v>4.7</v>
      </c>
      <c r="H4807" s="2" t="s">
        <v>671</v>
      </c>
    </row>
    <row r="4808" customFormat="false" ht="15" hidden="false" customHeight="false" outlineLevel="0" collapsed="false">
      <c r="A4808" s="2" t="s">
        <v>909</v>
      </c>
      <c r="B4808" s="2" t="s">
        <v>47</v>
      </c>
      <c r="C4808" s="2" t="s">
        <v>4087</v>
      </c>
      <c r="D4808" s="2"/>
      <c r="E4808" s="2"/>
      <c r="F4808" s="2"/>
      <c r="G4808" s="2"/>
      <c r="H4808" s="2" t="s">
        <v>668</v>
      </c>
    </row>
    <row r="4809" customFormat="false" ht="15" hidden="false" customHeight="false" outlineLevel="0" collapsed="false">
      <c r="A4809" s="2" t="s">
        <v>707</v>
      </c>
      <c r="B4809" s="2" t="s">
        <v>4104</v>
      </c>
      <c r="C4809" s="2" t="s">
        <v>4085</v>
      </c>
      <c r="D4809" s="2"/>
      <c r="E4809" s="31" t="n">
        <v>19.4</v>
      </c>
      <c r="F4809" s="31" t="n">
        <v>70.8</v>
      </c>
      <c r="G4809" s="31" t="n">
        <v>24.3</v>
      </c>
      <c r="H4809" s="2" t="s">
        <v>668</v>
      </c>
    </row>
    <row r="4810" customFormat="false" ht="15" hidden="false" customHeight="false" outlineLevel="0" collapsed="false">
      <c r="A4810" s="2" t="s">
        <v>707</v>
      </c>
      <c r="B4810" s="2" t="s">
        <v>4104</v>
      </c>
      <c r="C4810" s="2" t="s">
        <v>4086</v>
      </c>
      <c r="D4810" s="2"/>
      <c r="E4810" s="31" t="n">
        <v>54.9</v>
      </c>
      <c r="F4810" s="31" t="n">
        <v>40.9</v>
      </c>
      <c r="G4810" s="31" t="n">
        <v>13.8</v>
      </c>
      <c r="H4810" s="2" t="s">
        <v>671</v>
      </c>
    </row>
    <row r="4811" customFormat="false" ht="15" hidden="false" customHeight="false" outlineLevel="0" collapsed="false">
      <c r="A4811" s="2" t="s">
        <v>707</v>
      </c>
      <c r="B4811" s="2" t="s">
        <v>4104</v>
      </c>
      <c r="C4811" s="2" t="s">
        <v>4087</v>
      </c>
      <c r="D4811" s="2"/>
      <c r="E4811" s="31" t="n">
        <v>40.9</v>
      </c>
      <c r="F4811" s="31" t="n">
        <v>38.5</v>
      </c>
      <c r="G4811" s="31" t="n">
        <v>47.9</v>
      </c>
      <c r="H4811" s="2" t="s">
        <v>668</v>
      </c>
    </row>
    <row r="4812" customFormat="false" ht="15" hidden="false" customHeight="false" outlineLevel="0" collapsed="false">
      <c r="A4812" s="2" t="s">
        <v>707</v>
      </c>
      <c r="B4812" s="2" t="s">
        <v>45</v>
      </c>
      <c r="C4812" s="2" t="s">
        <v>4085</v>
      </c>
      <c r="D4812" s="2"/>
      <c r="E4812" s="2"/>
      <c r="F4812" s="2"/>
      <c r="G4812" s="2"/>
      <c r="H4812" s="2" t="s">
        <v>668</v>
      </c>
    </row>
    <row r="4813" customFormat="false" ht="15" hidden="false" customHeight="false" outlineLevel="0" collapsed="false">
      <c r="A4813" s="2" t="s">
        <v>707</v>
      </c>
      <c r="B4813" s="2" t="s">
        <v>45</v>
      </c>
      <c r="C4813" s="2" t="s">
        <v>4086</v>
      </c>
      <c r="D4813" s="11" t="n">
        <v>280270</v>
      </c>
      <c r="E4813" s="31" t="n">
        <v>98.3</v>
      </c>
      <c r="F4813" s="31" t="n">
        <v>1.4</v>
      </c>
      <c r="G4813" s="31" t="n">
        <v>17.2</v>
      </c>
      <c r="H4813" s="2" t="s">
        <v>671</v>
      </c>
    </row>
    <row r="4814" customFormat="false" ht="15" hidden="false" customHeight="false" outlineLevel="0" collapsed="false">
      <c r="A4814" s="2" t="s">
        <v>707</v>
      </c>
      <c r="B4814" s="2" t="s">
        <v>45</v>
      </c>
      <c r="C4814" s="2" t="s">
        <v>4087</v>
      </c>
      <c r="D4814" s="11" t="n">
        <v>267523</v>
      </c>
      <c r="E4814" s="31" t="n">
        <v>95.1</v>
      </c>
      <c r="F4814" s="31" t="n">
        <v>2.9</v>
      </c>
      <c r="G4814" s="31" t="n">
        <v>67.1</v>
      </c>
      <c r="H4814" s="2" t="s">
        <v>671</v>
      </c>
    </row>
    <row r="4815" customFormat="false" ht="15" hidden="false" customHeight="false" outlineLevel="0" collapsed="false">
      <c r="A4815" s="2" t="s">
        <v>707</v>
      </c>
      <c r="B4815" s="2" t="s">
        <v>46</v>
      </c>
      <c r="C4815" s="2" t="s">
        <v>4085</v>
      </c>
      <c r="D4815" s="11" t="n">
        <v>105400</v>
      </c>
      <c r="E4815" s="31" t="n">
        <v>30.1</v>
      </c>
      <c r="F4815" s="31" t="n">
        <v>69.2</v>
      </c>
      <c r="G4815" s="31" t="n">
        <v>32.4</v>
      </c>
      <c r="H4815" s="2" t="s">
        <v>671</v>
      </c>
    </row>
    <row r="4816" customFormat="false" ht="15" hidden="false" customHeight="false" outlineLevel="0" collapsed="false">
      <c r="A4816" s="2" t="s">
        <v>707</v>
      </c>
      <c r="B4816" s="2" t="s">
        <v>46</v>
      </c>
      <c r="C4816" s="2" t="s">
        <v>4086</v>
      </c>
      <c r="D4816" s="11" t="n">
        <v>109220</v>
      </c>
      <c r="E4816" s="31" t="n">
        <v>43.4</v>
      </c>
      <c r="F4816" s="31" t="n">
        <v>68.8</v>
      </c>
      <c r="G4816" s="31" t="n">
        <v>21.2</v>
      </c>
      <c r="H4816" s="2" t="s">
        <v>671</v>
      </c>
    </row>
    <row r="4817" customFormat="false" ht="15" hidden="false" customHeight="false" outlineLevel="0" collapsed="false">
      <c r="A4817" s="2" t="s">
        <v>707</v>
      </c>
      <c r="B4817" s="2" t="s">
        <v>46</v>
      </c>
      <c r="C4817" s="2" t="s">
        <v>4087</v>
      </c>
      <c r="D4817" s="11" t="n">
        <v>114110</v>
      </c>
      <c r="E4817" s="31" t="n">
        <v>20.1</v>
      </c>
      <c r="F4817" s="31" t="n">
        <v>41.7</v>
      </c>
      <c r="G4817" s="31" t="n">
        <v>28.8</v>
      </c>
      <c r="H4817" s="2" t="s">
        <v>671</v>
      </c>
    </row>
    <row r="4818" customFormat="false" ht="15" hidden="false" customHeight="false" outlineLevel="0" collapsed="false">
      <c r="A4818" s="2" t="s">
        <v>707</v>
      </c>
      <c r="B4818" s="2" t="s">
        <v>47</v>
      </c>
      <c r="C4818" s="2" t="s">
        <v>4085</v>
      </c>
      <c r="D4818" s="11" t="n">
        <v>74636</v>
      </c>
      <c r="E4818" s="31" t="n">
        <v>8.7</v>
      </c>
      <c r="F4818" s="31" t="n">
        <v>72.5</v>
      </c>
      <c r="G4818" s="31" t="n">
        <v>16.2</v>
      </c>
      <c r="H4818" s="2" t="s">
        <v>671</v>
      </c>
    </row>
    <row r="4819" customFormat="false" ht="15" hidden="false" customHeight="false" outlineLevel="0" collapsed="false">
      <c r="A4819" s="2" t="s">
        <v>707</v>
      </c>
      <c r="B4819" s="2" t="s">
        <v>47</v>
      </c>
      <c r="C4819" s="2" t="s">
        <v>4086</v>
      </c>
      <c r="D4819" s="11" t="n">
        <v>77823</v>
      </c>
      <c r="E4819" s="31" t="n">
        <v>22.9</v>
      </c>
      <c r="F4819" s="31" t="n">
        <v>52.6</v>
      </c>
      <c r="G4819" s="31" t="n">
        <v>3</v>
      </c>
      <c r="H4819" s="2" t="s">
        <v>671</v>
      </c>
    </row>
    <row r="4820" customFormat="false" ht="15" hidden="false" customHeight="false" outlineLevel="0" collapsed="false">
      <c r="A4820" s="2" t="s">
        <v>707</v>
      </c>
      <c r="B4820" s="2" t="s">
        <v>47</v>
      </c>
      <c r="C4820" s="2" t="s">
        <v>4087</v>
      </c>
      <c r="D4820" s="11" t="n">
        <v>78023</v>
      </c>
      <c r="E4820" s="31" t="n">
        <v>7.6</v>
      </c>
      <c r="F4820" s="31" t="n">
        <v>70.9</v>
      </c>
      <c r="G4820" s="2"/>
      <c r="H4820" s="2" t="s">
        <v>668</v>
      </c>
    </row>
    <row r="4821" customFormat="false" ht="15" hidden="false" customHeight="false" outlineLevel="0" collapsed="false">
      <c r="A4821" s="2" t="s">
        <v>2513</v>
      </c>
      <c r="B4821" s="2" t="s">
        <v>4104</v>
      </c>
      <c r="C4821" s="2" t="s">
        <v>4085</v>
      </c>
      <c r="D4821" s="2"/>
      <c r="E4821" s="31" t="n">
        <v>45.7</v>
      </c>
      <c r="F4821" s="31" t="n">
        <v>39.1</v>
      </c>
      <c r="G4821" s="31" t="n">
        <v>41.4</v>
      </c>
      <c r="H4821" s="2" t="s">
        <v>668</v>
      </c>
    </row>
    <row r="4822" customFormat="false" ht="15" hidden="false" customHeight="false" outlineLevel="0" collapsed="false">
      <c r="A4822" s="2" t="s">
        <v>2513</v>
      </c>
      <c r="B4822" s="2" t="s">
        <v>4104</v>
      </c>
      <c r="C4822" s="2" t="s">
        <v>4086</v>
      </c>
      <c r="D4822" s="2"/>
      <c r="E4822" s="31" t="n">
        <v>31.9</v>
      </c>
      <c r="F4822" s="31" t="n">
        <v>28.9</v>
      </c>
      <c r="G4822" s="31" t="n">
        <v>77.2</v>
      </c>
      <c r="H4822" s="2" t="s">
        <v>668</v>
      </c>
    </row>
    <row r="4823" customFormat="false" ht="15" hidden="false" customHeight="false" outlineLevel="0" collapsed="false">
      <c r="A4823" s="2" t="s">
        <v>2513</v>
      </c>
      <c r="B4823" s="2" t="s">
        <v>4104</v>
      </c>
      <c r="C4823" s="2" t="s">
        <v>4087</v>
      </c>
      <c r="D4823" s="2"/>
      <c r="E4823" s="31" t="n">
        <v>25.5</v>
      </c>
      <c r="F4823" s="31" t="n">
        <v>28.3</v>
      </c>
      <c r="G4823" s="31" t="n">
        <v>11.6</v>
      </c>
      <c r="H4823" s="2" t="s">
        <v>668</v>
      </c>
    </row>
    <row r="4824" customFormat="false" ht="15" hidden="false" customHeight="false" outlineLevel="0" collapsed="false">
      <c r="A4824" s="2" t="s">
        <v>2513</v>
      </c>
      <c r="B4824" s="2" t="s">
        <v>45</v>
      </c>
      <c r="C4824" s="2" t="s">
        <v>4085</v>
      </c>
      <c r="D4824" s="11" t="n">
        <v>3478350</v>
      </c>
      <c r="E4824" s="31" t="n">
        <v>4.7</v>
      </c>
      <c r="F4824" s="31" t="n">
        <v>50</v>
      </c>
      <c r="G4824" s="31" t="n">
        <v>9.8</v>
      </c>
      <c r="H4824" s="2" t="s">
        <v>671</v>
      </c>
    </row>
    <row r="4825" customFormat="false" ht="15" hidden="false" customHeight="false" outlineLevel="0" collapsed="false">
      <c r="A4825" s="2" t="s">
        <v>2513</v>
      </c>
      <c r="B4825" s="2" t="s">
        <v>45</v>
      </c>
      <c r="C4825" s="2" t="s">
        <v>4086</v>
      </c>
      <c r="D4825" s="11" t="n">
        <v>3767980</v>
      </c>
      <c r="E4825" s="31" t="n">
        <v>0.9</v>
      </c>
      <c r="F4825" s="31" t="n">
        <v>47.1</v>
      </c>
      <c r="G4825" s="2"/>
      <c r="H4825" s="2" t="s">
        <v>668</v>
      </c>
    </row>
    <row r="4826" customFormat="false" ht="15" hidden="false" customHeight="false" outlineLevel="0" collapsed="false">
      <c r="A4826" s="2" t="s">
        <v>2513</v>
      </c>
      <c r="B4826" s="2" t="s">
        <v>45</v>
      </c>
      <c r="C4826" s="2" t="s">
        <v>4087</v>
      </c>
      <c r="D4826" s="2"/>
      <c r="E4826" s="2"/>
      <c r="F4826" s="2"/>
      <c r="G4826" s="2"/>
      <c r="H4826" s="2" t="s">
        <v>668</v>
      </c>
    </row>
    <row r="4827" customFormat="false" ht="15" hidden="false" customHeight="false" outlineLevel="0" collapsed="false">
      <c r="A4827" s="2" t="s">
        <v>2513</v>
      </c>
      <c r="B4827" s="2" t="s">
        <v>46</v>
      </c>
      <c r="C4827" s="2" t="s">
        <v>4085</v>
      </c>
      <c r="D4827" s="11" t="n">
        <v>746735</v>
      </c>
      <c r="E4827" s="31" t="n">
        <v>86.7</v>
      </c>
      <c r="F4827" s="31" t="n">
        <v>19.2</v>
      </c>
      <c r="G4827" s="31" t="n">
        <v>99.5</v>
      </c>
      <c r="H4827" s="2" t="s">
        <v>671</v>
      </c>
    </row>
    <row r="4828" customFormat="false" ht="15" hidden="false" customHeight="false" outlineLevel="0" collapsed="false">
      <c r="A4828" s="2" t="s">
        <v>2513</v>
      </c>
      <c r="B4828" s="2" t="s">
        <v>46</v>
      </c>
      <c r="C4828" s="2" t="s">
        <v>4086</v>
      </c>
      <c r="D4828" s="11" t="n">
        <v>759270</v>
      </c>
      <c r="E4828" s="31" t="n">
        <v>87</v>
      </c>
      <c r="F4828" s="31" t="n">
        <v>15.9</v>
      </c>
      <c r="G4828" s="31" t="n">
        <v>98.7</v>
      </c>
      <c r="H4828" s="2" t="s">
        <v>671</v>
      </c>
    </row>
    <row r="4829" customFormat="false" ht="15" hidden="false" customHeight="false" outlineLevel="0" collapsed="false">
      <c r="A4829" s="2" t="s">
        <v>2513</v>
      </c>
      <c r="B4829" s="2" t="s">
        <v>46</v>
      </c>
      <c r="C4829" s="2" t="s">
        <v>4087</v>
      </c>
      <c r="D4829" s="2"/>
      <c r="E4829" s="2"/>
      <c r="F4829" s="2"/>
      <c r="G4829" s="2"/>
      <c r="H4829" s="2" t="s">
        <v>668</v>
      </c>
    </row>
    <row r="4830" customFormat="false" ht="15" hidden="false" customHeight="false" outlineLevel="0" collapsed="false">
      <c r="A4830" s="2" t="s">
        <v>2513</v>
      </c>
      <c r="B4830" s="2" t="s">
        <v>47</v>
      </c>
      <c r="C4830" s="2" t="s">
        <v>4085</v>
      </c>
      <c r="D4830" s="11" t="n">
        <v>200620</v>
      </c>
      <c r="E4830" s="2"/>
      <c r="F4830" s="31" t="n">
        <v>48.1</v>
      </c>
      <c r="G4830" s="31" t="n">
        <v>15</v>
      </c>
      <c r="H4830" s="2" t="s">
        <v>668</v>
      </c>
    </row>
    <row r="4831" customFormat="false" ht="15" hidden="false" customHeight="false" outlineLevel="0" collapsed="false">
      <c r="A4831" s="2" t="s">
        <v>2513</v>
      </c>
      <c r="B4831" s="2" t="s">
        <v>47</v>
      </c>
      <c r="C4831" s="2" t="s">
        <v>4086</v>
      </c>
      <c r="D4831" s="11" t="n">
        <v>210846</v>
      </c>
      <c r="E4831" s="31" t="n">
        <v>7.8</v>
      </c>
      <c r="F4831" s="31" t="n">
        <v>23.6</v>
      </c>
      <c r="G4831" s="31" t="n">
        <v>55.7</v>
      </c>
      <c r="H4831" s="2" t="s">
        <v>671</v>
      </c>
    </row>
    <row r="4832" customFormat="false" ht="15" hidden="false" customHeight="false" outlineLevel="0" collapsed="false">
      <c r="A4832" s="2" t="s">
        <v>2513</v>
      </c>
      <c r="B4832" s="2" t="s">
        <v>47</v>
      </c>
      <c r="C4832" s="2" t="s">
        <v>4087</v>
      </c>
      <c r="D4832" s="11" t="n">
        <v>207690</v>
      </c>
      <c r="E4832" s="31" t="n">
        <v>25.5</v>
      </c>
      <c r="F4832" s="31" t="n">
        <v>28.3</v>
      </c>
      <c r="G4832" s="31" t="n">
        <v>11.6</v>
      </c>
      <c r="H4832" s="2" t="s">
        <v>671</v>
      </c>
    </row>
    <row r="4833" customFormat="false" ht="15" hidden="false" customHeight="false" outlineLevel="0" collapsed="false">
      <c r="A4833" s="2" t="s">
        <v>976</v>
      </c>
      <c r="B4833" s="2" t="s">
        <v>4104</v>
      </c>
      <c r="C4833" s="2" t="s">
        <v>4085</v>
      </c>
      <c r="D4833" s="2"/>
      <c r="E4833" s="31" t="n">
        <v>40.7</v>
      </c>
      <c r="F4833" s="31" t="n">
        <v>52.2</v>
      </c>
      <c r="G4833" s="31" t="n">
        <v>40.7</v>
      </c>
      <c r="H4833" s="2" t="s">
        <v>668</v>
      </c>
    </row>
    <row r="4834" customFormat="false" ht="15" hidden="false" customHeight="false" outlineLevel="0" collapsed="false">
      <c r="A4834" s="2" t="s">
        <v>976</v>
      </c>
      <c r="B4834" s="2" t="s">
        <v>4104</v>
      </c>
      <c r="C4834" s="2" t="s">
        <v>4086</v>
      </c>
      <c r="D4834" s="2"/>
      <c r="E4834" s="31" t="n">
        <v>53.4</v>
      </c>
      <c r="F4834" s="31" t="n">
        <v>51.4</v>
      </c>
      <c r="G4834" s="31" t="n">
        <v>28.8</v>
      </c>
      <c r="H4834" s="2" t="s">
        <v>668</v>
      </c>
    </row>
    <row r="4835" customFormat="false" ht="15" hidden="false" customHeight="false" outlineLevel="0" collapsed="false">
      <c r="A4835" s="2" t="s">
        <v>976</v>
      </c>
      <c r="B4835" s="2" t="s">
        <v>4104</v>
      </c>
      <c r="C4835" s="2" t="s">
        <v>4087</v>
      </c>
      <c r="D4835" s="2"/>
      <c r="E4835" s="31" t="n">
        <v>53.5</v>
      </c>
      <c r="F4835" s="31" t="n">
        <v>58.2</v>
      </c>
      <c r="G4835" s="31" t="n">
        <v>24.2</v>
      </c>
      <c r="H4835" s="2" t="s">
        <v>668</v>
      </c>
    </row>
    <row r="4836" customFormat="false" ht="15" hidden="false" customHeight="false" outlineLevel="0" collapsed="false">
      <c r="A4836" s="2" t="s">
        <v>976</v>
      </c>
      <c r="B4836" s="2" t="s">
        <v>45</v>
      </c>
      <c r="C4836" s="2" t="s">
        <v>4085</v>
      </c>
      <c r="D4836" s="11" t="n">
        <v>11725</v>
      </c>
      <c r="E4836" s="31" t="n">
        <v>46.6</v>
      </c>
      <c r="F4836" s="31" t="n">
        <v>84.3</v>
      </c>
      <c r="G4836" s="31" t="n">
        <v>28.8</v>
      </c>
      <c r="H4836" s="2" t="s">
        <v>671</v>
      </c>
    </row>
    <row r="4837" customFormat="false" ht="15" hidden="false" customHeight="false" outlineLevel="0" collapsed="false">
      <c r="A4837" s="2" t="s">
        <v>976</v>
      </c>
      <c r="B4837" s="2" t="s">
        <v>45</v>
      </c>
      <c r="C4837" s="2" t="s">
        <v>4086</v>
      </c>
      <c r="D4837" s="11" t="n">
        <v>12610</v>
      </c>
      <c r="E4837" s="31" t="n">
        <v>33.3</v>
      </c>
      <c r="F4837" s="31" t="n">
        <v>70.4</v>
      </c>
      <c r="G4837" s="31" t="n">
        <v>4.4</v>
      </c>
      <c r="H4837" s="2" t="s">
        <v>671</v>
      </c>
    </row>
    <row r="4838" customFormat="false" ht="15" hidden="false" customHeight="false" outlineLevel="0" collapsed="false">
      <c r="A4838" s="2" t="s">
        <v>976</v>
      </c>
      <c r="B4838" s="2" t="s">
        <v>45</v>
      </c>
      <c r="C4838" s="2" t="s">
        <v>4087</v>
      </c>
      <c r="D4838" s="11" t="n">
        <v>12933</v>
      </c>
      <c r="E4838" s="31" t="n">
        <v>58.1</v>
      </c>
      <c r="F4838" s="31" t="n">
        <v>79.8</v>
      </c>
      <c r="G4838" s="31" t="n">
        <v>28.2</v>
      </c>
      <c r="H4838" s="2" t="s">
        <v>671</v>
      </c>
    </row>
    <row r="4839" customFormat="false" ht="15" hidden="false" customHeight="false" outlineLevel="0" collapsed="false">
      <c r="A4839" s="2" t="s">
        <v>976</v>
      </c>
      <c r="B4839" s="2" t="s">
        <v>46</v>
      </c>
      <c r="C4839" s="2" t="s">
        <v>4085</v>
      </c>
      <c r="D4839" s="11" t="n">
        <v>363221</v>
      </c>
      <c r="E4839" s="31" t="n">
        <v>57.1</v>
      </c>
      <c r="F4839" s="31" t="n">
        <v>31.4</v>
      </c>
      <c r="G4839" s="2"/>
      <c r="H4839" s="2" t="s">
        <v>668</v>
      </c>
    </row>
    <row r="4840" customFormat="false" ht="15" hidden="false" customHeight="false" outlineLevel="0" collapsed="false">
      <c r="A4840" s="2" t="s">
        <v>976</v>
      </c>
      <c r="B4840" s="2" t="s">
        <v>46</v>
      </c>
      <c r="C4840" s="2" t="s">
        <v>4086</v>
      </c>
      <c r="D4840" s="11" t="n">
        <v>372250</v>
      </c>
      <c r="E4840" s="31" t="n">
        <v>73.5</v>
      </c>
      <c r="F4840" s="31" t="n">
        <v>32.5</v>
      </c>
      <c r="G4840" s="31" t="n">
        <v>53.2</v>
      </c>
      <c r="H4840" s="2" t="s">
        <v>671</v>
      </c>
    </row>
    <row r="4841" customFormat="false" ht="15" hidden="false" customHeight="false" outlineLevel="0" collapsed="false">
      <c r="A4841" s="2" t="s">
        <v>976</v>
      </c>
      <c r="B4841" s="2" t="s">
        <v>46</v>
      </c>
      <c r="C4841" s="2" t="s">
        <v>4087</v>
      </c>
      <c r="D4841" s="11" t="n">
        <v>384650</v>
      </c>
      <c r="E4841" s="31" t="n">
        <v>50.7</v>
      </c>
      <c r="F4841" s="31" t="n">
        <v>48.3</v>
      </c>
      <c r="G4841" s="2"/>
      <c r="H4841" s="2" t="s">
        <v>668</v>
      </c>
    </row>
    <row r="4842" customFormat="false" ht="15" hidden="false" customHeight="false" outlineLevel="0" collapsed="false">
      <c r="A4842" s="2" t="s">
        <v>976</v>
      </c>
      <c r="B4842" s="2" t="s">
        <v>47</v>
      </c>
      <c r="C4842" s="2" t="s">
        <v>4085</v>
      </c>
      <c r="D4842" s="11" t="n">
        <v>27262</v>
      </c>
      <c r="E4842" s="31" t="n">
        <v>18.3</v>
      </c>
      <c r="F4842" s="31" t="n">
        <v>40.8</v>
      </c>
      <c r="G4842" s="31" t="n">
        <v>52.6</v>
      </c>
      <c r="H4842" s="2" t="s">
        <v>671</v>
      </c>
    </row>
    <row r="4843" customFormat="false" ht="15" hidden="false" customHeight="false" outlineLevel="0" collapsed="false">
      <c r="A4843" s="2" t="s">
        <v>976</v>
      </c>
      <c r="B4843" s="2" t="s">
        <v>47</v>
      </c>
      <c r="C4843" s="2" t="s">
        <v>4086</v>
      </c>
      <c r="D4843" s="2"/>
      <c r="E4843" s="2"/>
      <c r="F4843" s="2"/>
      <c r="G4843" s="2"/>
      <c r="H4843" s="2" t="s">
        <v>668</v>
      </c>
    </row>
    <row r="4844" customFormat="false" ht="15" hidden="false" customHeight="false" outlineLevel="0" collapsed="false">
      <c r="A4844" s="2" t="s">
        <v>976</v>
      </c>
      <c r="B4844" s="2" t="s">
        <v>47</v>
      </c>
      <c r="C4844" s="2" t="s">
        <v>4087</v>
      </c>
      <c r="D4844" s="11" t="n">
        <v>29239</v>
      </c>
      <c r="E4844" s="31" t="n">
        <v>51.7</v>
      </c>
      <c r="F4844" s="31" t="n">
        <v>46.5</v>
      </c>
      <c r="G4844" s="31" t="n">
        <v>20.2</v>
      </c>
      <c r="H4844" s="2" t="s">
        <v>671</v>
      </c>
    </row>
    <row r="4845" customFormat="false" ht="15" hidden="false" customHeight="false" outlineLevel="0" collapsed="false">
      <c r="A4845" s="2" t="s">
        <v>296</v>
      </c>
      <c r="B4845" s="2" t="s">
        <v>4104</v>
      </c>
      <c r="C4845" s="2" t="s">
        <v>4085</v>
      </c>
      <c r="D4845" s="2"/>
      <c r="E4845" s="31" t="n">
        <v>59.4</v>
      </c>
      <c r="F4845" s="31" t="n">
        <v>32.2</v>
      </c>
      <c r="G4845" s="31" t="n">
        <v>53</v>
      </c>
      <c r="H4845" s="2" t="s">
        <v>668</v>
      </c>
    </row>
    <row r="4846" customFormat="false" ht="15" hidden="false" customHeight="false" outlineLevel="0" collapsed="false">
      <c r="A4846" s="2" t="s">
        <v>296</v>
      </c>
      <c r="B4846" s="2" t="s">
        <v>4104</v>
      </c>
      <c r="C4846" s="2" t="s">
        <v>4086</v>
      </c>
      <c r="D4846" s="2"/>
      <c r="E4846" s="31" t="n">
        <v>74.2</v>
      </c>
      <c r="F4846" s="31" t="n">
        <v>38.3</v>
      </c>
      <c r="G4846" s="31" t="n">
        <v>62.8</v>
      </c>
      <c r="H4846" s="2" t="s">
        <v>668</v>
      </c>
    </row>
    <row r="4847" customFormat="false" ht="15" hidden="false" customHeight="false" outlineLevel="0" collapsed="false">
      <c r="A4847" s="2" t="s">
        <v>296</v>
      </c>
      <c r="B4847" s="2" t="s">
        <v>4104</v>
      </c>
      <c r="C4847" s="2" t="s">
        <v>4087</v>
      </c>
      <c r="D4847" s="2"/>
      <c r="E4847" s="31" t="n">
        <v>58</v>
      </c>
      <c r="F4847" s="31" t="n">
        <v>36</v>
      </c>
      <c r="G4847" s="31" t="n">
        <v>54</v>
      </c>
      <c r="H4847" s="2" t="s">
        <v>671</v>
      </c>
    </row>
    <row r="4848" customFormat="false" ht="15" hidden="false" customHeight="false" outlineLevel="0" collapsed="false">
      <c r="A4848" s="2" t="s">
        <v>296</v>
      </c>
      <c r="B4848" s="2" t="s">
        <v>45</v>
      </c>
      <c r="C4848" s="2" t="s">
        <v>4085</v>
      </c>
      <c r="D4848" s="11" t="n">
        <v>8990</v>
      </c>
      <c r="E4848" s="31" t="n">
        <v>44.3</v>
      </c>
      <c r="F4848" s="31" t="n">
        <v>54.8</v>
      </c>
      <c r="G4848" s="2"/>
      <c r="H4848" s="2" t="s">
        <v>668</v>
      </c>
    </row>
    <row r="4849" customFormat="false" ht="15" hidden="false" customHeight="false" outlineLevel="0" collapsed="false">
      <c r="A4849" s="2" t="s">
        <v>296</v>
      </c>
      <c r="B4849" s="2" t="s">
        <v>45</v>
      </c>
      <c r="C4849" s="2" t="s">
        <v>4086</v>
      </c>
      <c r="D4849" s="11" t="n">
        <v>9370</v>
      </c>
      <c r="E4849" s="31" t="n">
        <v>57.7</v>
      </c>
      <c r="F4849" s="31" t="n">
        <v>40.8</v>
      </c>
      <c r="G4849" s="2"/>
      <c r="H4849" s="2" t="s">
        <v>668</v>
      </c>
    </row>
    <row r="4850" customFormat="false" ht="15" hidden="false" customHeight="false" outlineLevel="0" collapsed="false">
      <c r="A4850" s="2" t="s">
        <v>296</v>
      </c>
      <c r="B4850" s="2" t="s">
        <v>45</v>
      </c>
      <c r="C4850" s="2" t="s">
        <v>4087</v>
      </c>
      <c r="D4850" s="11" t="n">
        <v>9393</v>
      </c>
      <c r="E4850" s="31" t="n">
        <v>35.7</v>
      </c>
      <c r="F4850" s="31" t="n">
        <v>40.7</v>
      </c>
      <c r="G4850" s="31" t="n">
        <v>40.9</v>
      </c>
      <c r="H4850" s="2" t="s">
        <v>671</v>
      </c>
    </row>
    <row r="4851" customFormat="false" ht="15" hidden="false" customHeight="false" outlineLevel="0" collapsed="false">
      <c r="A4851" s="2" t="s">
        <v>296</v>
      </c>
      <c r="B4851" s="2" t="s">
        <v>46</v>
      </c>
      <c r="C4851" s="2" t="s">
        <v>4085</v>
      </c>
      <c r="D4851" s="11" t="n">
        <v>64920</v>
      </c>
      <c r="E4851" s="31" t="n">
        <v>97.8</v>
      </c>
      <c r="F4851" s="31" t="n">
        <v>5.2</v>
      </c>
      <c r="G4851" s="31" t="n">
        <v>95.7</v>
      </c>
      <c r="H4851" s="2" t="s">
        <v>671</v>
      </c>
    </row>
    <row r="4852" customFormat="false" ht="15" hidden="false" customHeight="false" outlineLevel="0" collapsed="false">
      <c r="A4852" s="2" t="s">
        <v>296</v>
      </c>
      <c r="B4852" s="2" t="s">
        <v>46</v>
      </c>
      <c r="C4852" s="2" t="s">
        <v>4086</v>
      </c>
      <c r="D4852" s="11" t="n">
        <v>64513</v>
      </c>
      <c r="E4852" s="31" t="n">
        <v>98.4</v>
      </c>
      <c r="F4852" s="31" t="n">
        <v>6.9</v>
      </c>
      <c r="G4852" s="31" t="n">
        <v>98.5</v>
      </c>
      <c r="H4852" s="2" t="s">
        <v>671</v>
      </c>
    </row>
    <row r="4853" customFormat="false" ht="15" hidden="false" customHeight="false" outlineLevel="0" collapsed="false">
      <c r="A4853" s="2" t="s">
        <v>296</v>
      </c>
      <c r="B4853" s="2" t="s">
        <v>46</v>
      </c>
      <c r="C4853" s="2" t="s">
        <v>4087</v>
      </c>
      <c r="D4853" s="11" t="n">
        <v>65589</v>
      </c>
      <c r="E4853" s="31" t="n">
        <v>94.9</v>
      </c>
      <c r="F4853" s="31" t="n">
        <v>13.7</v>
      </c>
      <c r="G4853" s="31" t="n">
        <v>99.7</v>
      </c>
      <c r="H4853" s="2" t="s">
        <v>671</v>
      </c>
    </row>
    <row r="4854" customFormat="false" ht="15" hidden="false" customHeight="false" outlineLevel="0" collapsed="false">
      <c r="A4854" s="2" t="s">
        <v>296</v>
      </c>
      <c r="B4854" s="2" t="s">
        <v>47</v>
      </c>
      <c r="C4854" s="2" t="s">
        <v>4085</v>
      </c>
      <c r="D4854" s="11" t="n">
        <v>39087</v>
      </c>
      <c r="E4854" s="31" t="n">
        <v>36</v>
      </c>
      <c r="F4854" s="31" t="n">
        <v>36.6</v>
      </c>
      <c r="G4854" s="31" t="n">
        <v>10.2</v>
      </c>
      <c r="H4854" s="2" t="s">
        <v>671</v>
      </c>
    </row>
    <row r="4855" customFormat="false" ht="15" hidden="false" customHeight="false" outlineLevel="0" collapsed="false">
      <c r="A4855" s="2" t="s">
        <v>296</v>
      </c>
      <c r="B4855" s="2" t="s">
        <v>47</v>
      </c>
      <c r="C4855" s="2" t="s">
        <v>4086</v>
      </c>
      <c r="D4855" s="11" t="n">
        <v>40539</v>
      </c>
      <c r="E4855" s="31" t="n">
        <v>66.5</v>
      </c>
      <c r="F4855" s="31" t="n">
        <v>67.2</v>
      </c>
      <c r="G4855" s="31" t="n">
        <v>27.1</v>
      </c>
      <c r="H4855" s="2" t="s">
        <v>671</v>
      </c>
    </row>
    <row r="4856" customFormat="false" ht="15" hidden="false" customHeight="false" outlineLevel="0" collapsed="false">
      <c r="A4856" s="2" t="s">
        <v>296</v>
      </c>
      <c r="B4856" s="2" t="s">
        <v>47</v>
      </c>
      <c r="C4856" s="2" t="s">
        <v>4087</v>
      </c>
      <c r="D4856" s="11" t="n">
        <v>43575</v>
      </c>
      <c r="E4856" s="31" t="n">
        <v>43.3</v>
      </c>
      <c r="F4856" s="31" t="n">
        <v>53.5</v>
      </c>
      <c r="G4856" s="31" t="n">
        <v>21.3</v>
      </c>
      <c r="H4856" s="2" t="s">
        <v>671</v>
      </c>
    </row>
    <row r="4857" customFormat="false" ht="15" hidden="false" customHeight="false" outlineLevel="0" collapsed="false">
      <c r="A4857" s="2" t="s">
        <v>1066</v>
      </c>
      <c r="B4857" s="2" t="s">
        <v>4104</v>
      </c>
      <c r="C4857" s="2" t="s">
        <v>4085</v>
      </c>
      <c r="D4857" s="2"/>
      <c r="E4857" s="31" t="n">
        <v>45.6</v>
      </c>
      <c r="F4857" s="31" t="n">
        <v>45.5</v>
      </c>
      <c r="G4857" s="31" t="n">
        <v>67.9</v>
      </c>
      <c r="H4857" s="2" t="s">
        <v>671</v>
      </c>
    </row>
    <row r="4858" customFormat="false" ht="15" hidden="false" customHeight="false" outlineLevel="0" collapsed="false">
      <c r="A4858" s="2" t="s">
        <v>1066</v>
      </c>
      <c r="B4858" s="2" t="s">
        <v>4104</v>
      </c>
      <c r="C4858" s="2" t="s">
        <v>4086</v>
      </c>
      <c r="D4858" s="2"/>
      <c r="E4858" s="31" t="n">
        <v>43.5</v>
      </c>
      <c r="F4858" s="31" t="n">
        <v>35</v>
      </c>
      <c r="G4858" s="31" t="n">
        <v>65.4</v>
      </c>
      <c r="H4858" s="2" t="s">
        <v>671</v>
      </c>
    </row>
    <row r="4859" customFormat="false" ht="15" hidden="false" customHeight="false" outlineLevel="0" collapsed="false">
      <c r="A4859" s="2" t="s">
        <v>1066</v>
      </c>
      <c r="B4859" s="2" t="s">
        <v>4104</v>
      </c>
      <c r="C4859" s="2" t="s">
        <v>4087</v>
      </c>
      <c r="D4859" s="2"/>
      <c r="E4859" s="31" t="n">
        <v>67.2</v>
      </c>
      <c r="F4859" s="31" t="n">
        <v>54</v>
      </c>
      <c r="G4859" s="31" t="n">
        <v>60.5</v>
      </c>
      <c r="H4859" s="2" t="s">
        <v>668</v>
      </c>
    </row>
    <row r="4860" customFormat="false" ht="15" hidden="false" customHeight="false" outlineLevel="0" collapsed="false">
      <c r="A4860" s="2" t="s">
        <v>1066</v>
      </c>
      <c r="B4860" s="2" t="s">
        <v>45</v>
      </c>
      <c r="C4860" s="2" t="s">
        <v>4085</v>
      </c>
      <c r="D4860" s="11" t="n">
        <v>122130</v>
      </c>
      <c r="E4860" s="31" t="n">
        <v>37.1</v>
      </c>
      <c r="F4860" s="31" t="n">
        <v>63.7</v>
      </c>
      <c r="G4860" s="31" t="n">
        <v>35.9</v>
      </c>
      <c r="H4860" s="2" t="s">
        <v>671</v>
      </c>
    </row>
    <row r="4861" customFormat="false" ht="15" hidden="false" customHeight="false" outlineLevel="0" collapsed="false">
      <c r="A4861" s="2" t="s">
        <v>1066</v>
      </c>
      <c r="B4861" s="2" t="s">
        <v>45</v>
      </c>
      <c r="C4861" s="2" t="s">
        <v>4086</v>
      </c>
      <c r="D4861" s="11" t="n">
        <v>125750</v>
      </c>
      <c r="E4861" s="31" t="n">
        <v>37.8</v>
      </c>
      <c r="F4861" s="31" t="n">
        <v>57.9</v>
      </c>
      <c r="G4861" s="31" t="n">
        <v>46.2</v>
      </c>
      <c r="H4861" s="2" t="s">
        <v>671</v>
      </c>
    </row>
    <row r="4862" customFormat="false" ht="15" hidden="false" customHeight="false" outlineLevel="0" collapsed="false">
      <c r="A4862" s="2" t="s">
        <v>1066</v>
      </c>
      <c r="B4862" s="2" t="s">
        <v>45</v>
      </c>
      <c r="C4862" s="2" t="s">
        <v>4087</v>
      </c>
      <c r="D4862" s="11" t="n">
        <v>129688</v>
      </c>
      <c r="E4862" s="31" t="n">
        <v>46.4</v>
      </c>
      <c r="F4862" s="31" t="n">
        <v>65.2</v>
      </c>
      <c r="G4862" s="31" t="n">
        <v>17.7</v>
      </c>
      <c r="H4862" s="2" t="s">
        <v>671</v>
      </c>
    </row>
    <row r="4863" customFormat="false" ht="15" hidden="false" customHeight="false" outlineLevel="0" collapsed="false">
      <c r="A4863" s="2" t="s">
        <v>1066</v>
      </c>
      <c r="B4863" s="2" t="s">
        <v>46</v>
      </c>
      <c r="C4863" s="2" t="s">
        <v>4085</v>
      </c>
      <c r="D4863" s="11" t="n">
        <v>92920</v>
      </c>
      <c r="E4863" s="31" t="n">
        <v>17</v>
      </c>
      <c r="F4863" s="31" t="n">
        <v>44.9</v>
      </c>
      <c r="G4863" s="31" t="n">
        <v>78.8</v>
      </c>
      <c r="H4863" s="2" t="s">
        <v>671</v>
      </c>
    </row>
    <row r="4864" customFormat="false" ht="15" hidden="false" customHeight="false" outlineLevel="0" collapsed="false">
      <c r="A4864" s="2" t="s">
        <v>1066</v>
      </c>
      <c r="B4864" s="2" t="s">
        <v>46</v>
      </c>
      <c r="C4864" s="2" t="s">
        <v>4086</v>
      </c>
      <c r="D4864" s="11" t="n">
        <v>92800</v>
      </c>
      <c r="E4864" s="31" t="n">
        <v>11.2</v>
      </c>
      <c r="F4864" s="31" t="n">
        <v>23.3</v>
      </c>
      <c r="G4864" s="31" t="n">
        <v>71.7</v>
      </c>
      <c r="H4864" s="2" t="s">
        <v>671</v>
      </c>
    </row>
    <row r="4865" customFormat="false" ht="15" hidden="false" customHeight="false" outlineLevel="0" collapsed="false">
      <c r="A4865" s="2" t="s">
        <v>1066</v>
      </c>
      <c r="B4865" s="2" t="s">
        <v>46</v>
      </c>
      <c r="C4865" s="2" t="s">
        <v>4087</v>
      </c>
      <c r="D4865" s="2"/>
      <c r="E4865" s="2"/>
      <c r="F4865" s="2"/>
      <c r="G4865" s="31" t="n">
        <v>88.6</v>
      </c>
      <c r="H4865" s="2" t="s">
        <v>668</v>
      </c>
    </row>
    <row r="4866" customFormat="false" ht="15" hidden="false" customHeight="false" outlineLevel="0" collapsed="false">
      <c r="A4866" s="2" t="s">
        <v>1066</v>
      </c>
      <c r="B4866" s="2" t="s">
        <v>47</v>
      </c>
      <c r="C4866" s="2" t="s">
        <v>4085</v>
      </c>
      <c r="D4866" s="11" t="n">
        <v>1784</v>
      </c>
      <c r="E4866" s="31" t="n">
        <v>82.7</v>
      </c>
      <c r="F4866" s="31" t="n">
        <v>27.8</v>
      </c>
      <c r="G4866" s="31" t="n">
        <v>89.1</v>
      </c>
      <c r="H4866" s="2" t="s">
        <v>671</v>
      </c>
    </row>
    <row r="4867" customFormat="false" ht="15" hidden="false" customHeight="false" outlineLevel="0" collapsed="false">
      <c r="A4867" s="2" t="s">
        <v>1066</v>
      </c>
      <c r="B4867" s="2" t="s">
        <v>47</v>
      </c>
      <c r="C4867" s="2" t="s">
        <v>4086</v>
      </c>
      <c r="D4867" s="11" t="n">
        <v>1825</v>
      </c>
      <c r="E4867" s="31" t="n">
        <v>81.5</v>
      </c>
      <c r="F4867" s="31" t="n">
        <v>23.8</v>
      </c>
      <c r="G4867" s="31" t="n">
        <v>78.3</v>
      </c>
      <c r="H4867" s="2" t="s">
        <v>671</v>
      </c>
    </row>
    <row r="4868" customFormat="false" ht="15" hidden="false" customHeight="false" outlineLevel="0" collapsed="false">
      <c r="A4868" s="2" t="s">
        <v>1066</v>
      </c>
      <c r="B4868" s="2" t="s">
        <v>47</v>
      </c>
      <c r="C4868" s="2" t="s">
        <v>4087</v>
      </c>
      <c r="D4868" s="11" t="n">
        <v>1827</v>
      </c>
      <c r="E4868" s="31" t="n">
        <v>88</v>
      </c>
      <c r="F4868" s="31" t="n">
        <v>42.7</v>
      </c>
      <c r="G4868" s="31" t="n">
        <v>75.2</v>
      </c>
      <c r="H4868" s="2" t="s">
        <v>671</v>
      </c>
    </row>
    <row r="4869" customFormat="false" ht="15" hidden="false" customHeight="false" outlineLevel="0" collapsed="false">
      <c r="A4869" s="2" t="s">
        <v>2997</v>
      </c>
      <c r="B4869" s="2" t="s">
        <v>4104</v>
      </c>
      <c r="C4869" s="2" t="s">
        <v>4086</v>
      </c>
      <c r="D4869" s="2"/>
      <c r="E4869" s="31" t="n">
        <v>33.4</v>
      </c>
      <c r="F4869" s="31" t="n">
        <v>28</v>
      </c>
      <c r="G4869" s="31" t="n">
        <v>11.9</v>
      </c>
      <c r="H4869" s="2" t="s">
        <v>671</v>
      </c>
    </row>
    <row r="4870" customFormat="false" ht="15" hidden="false" customHeight="false" outlineLevel="0" collapsed="false">
      <c r="A4870" s="2" t="s">
        <v>2997</v>
      </c>
      <c r="B4870" s="2" t="s">
        <v>4104</v>
      </c>
      <c r="C4870" s="2" t="s">
        <v>4087</v>
      </c>
      <c r="D4870" s="2"/>
      <c r="E4870" s="2"/>
      <c r="F4870" s="2"/>
      <c r="G4870" s="2"/>
      <c r="H4870" s="2" t="s">
        <v>668</v>
      </c>
    </row>
    <row r="4871" customFormat="false" ht="15" hidden="false" customHeight="false" outlineLevel="0" collapsed="false">
      <c r="A4871" s="2" t="s">
        <v>2997</v>
      </c>
      <c r="B4871" s="2" t="s">
        <v>46</v>
      </c>
      <c r="C4871" s="2" t="s">
        <v>4086</v>
      </c>
      <c r="D4871" s="11" t="n">
        <v>285960</v>
      </c>
      <c r="E4871" s="31" t="n">
        <v>33.4</v>
      </c>
      <c r="F4871" s="31" t="n">
        <v>28</v>
      </c>
      <c r="G4871" s="31" t="n">
        <v>11.9</v>
      </c>
      <c r="H4871" s="2" t="s">
        <v>671</v>
      </c>
    </row>
    <row r="4872" customFormat="false" ht="15" hidden="false" customHeight="false" outlineLevel="0" collapsed="false">
      <c r="A4872" s="2" t="s">
        <v>2997</v>
      </c>
      <c r="B4872" s="2" t="s">
        <v>46</v>
      </c>
      <c r="C4872" s="2" t="s">
        <v>4087</v>
      </c>
      <c r="D4872" s="2"/>
      <c r="E4872" s="2"/>
      <c r="F4872" s="2"/>
      <c r="G4872" s="2"/>
      <c r="H4872" s="2" t="s">
        <v>668</v>
      </c>
    </row>
    <row r="4873" customFormat="false" ht="15" hidden="false" customHeight="false" outlineLevel="0" collapsed="false">
      <c r="A4873" s="2" t="s">
        <v>2420</v>
      </c>
      <c r="B4873" s="2" t="s">
        <v>4104</v>
      </c>
      <c r="C4873" s="2" t="s">
        <v>4085</v>
      </c>
      <c r="D4873" s="2"/>
      <c r="E4873" s="31" t="n">
        <v>12</v>
      </c>
      <c r="F4873" s="31" t="n">
        <v>63.2</v>
      </c>
      <c r="G4873" s="31" t="n">
        <v>36.7</v>
      </c>
      <c r="H4873" s="2" t="s">
        <v>671</v>
      </c>
    </row>
    <row r="4874" customFormat="false" ht="15" hidden="false" customHeight="false" outlineLevel="0" collapsed="false">
      <c r="A4874" s="2" t="s">
        <v>2420</v>
      </c>
      <c r="B4874" s="2" t="s">
        <v>4104</v>
      </c>
      <c r="C4874" s="2" t="s">
        <v>4086</v>
      </c>
      <c r="D4874" s="2"/>
      <c r="E4874" s="31" t="n">
        <v>1.6</v>
      </c>
      <c r="F4874" s="31" t="n">
        <v>62.9</v>
      </c>
      <c r="G4874" s="31" t="n">
        <v>60.1</v>
      </c>
      <c r="H4874" s="2" t="s">
        <v>668</v>
      </c>
    </row>
    <row r="4875" customFormat="false" ht="15" hidden="false" customHeight="false" outlineLevel="0" collapsed="false">
      <c r="A4875" s="2" t="s">
        <v>2420</v>
      </c>
      <c r="B4875" s="2" t="s">
        <v>4104</v>
      </c>
      <c r="C4875" s="2" t="s">
        <v>4087</v>
      </c>
      <c r="D4875" s="2"/>
      <c r="E4875" s="31" t="n">
        <v>20.2</v>
      </c>
      <c r="F4875" s="31" t="n">
        <v>61.3</v>
      </c>
      <c r="G4875" s="31" t="n">
        <v>35.2</v>
      </c>
      <c r="H4875" s="2" t="s">
        <v>668</v>
      </c>
    </row>
    <row r="4876" customFormat="false" ht="15" hidden="false" customHeight="false" outlineLevel="0" collapsed="false">
      <c r="A4876" s="2" t="s">
        <v>2420</v>
      </c>
      <c r="B4876" s="2" t="s">
        <v>46</v>
      </c>
      <c r="C4876" s="2" t="s">
        <v>4085</v>
      </c>
      <c r="D4876" s="11" t="n">
        <v>51950</v>
      </c>
      <c r="E4876" s="31" t="n">
        <v>3.5</v>
      </c>
      <c r="F4876" s="31" t="n">
        <v>71.9</v>
      </c>
      <c r="G4876" s="31" t="n">
        <v>44.1</v>
      </c>
      <c r="H4876" s="2" t="s">
        <v>671</v>
      </c>
    </row>
    <row r="4877" customFormat="false" ht="15" hidden="false" customHeight="false" outlineLevel="0" collapsed="false">
      <c r="A4877" s="2" t="s">
        <v>2420</v>
      </c>
      <c r="B4877" s="2" t="s">
        <v>46</v>
      </c>
      <c r="C4877" s="2" t="s">
        <v>4086</v>
      </c>
      <c r="D4877" s="11" t="n">
        <v>53350</v>
      </c>
      <c r="E4877" s="31" t="n">
        <v>1.6</v>
      </c>
      <c r="F4877" s="31" t="n">
        <v>62.9</v>
      </c>
      <c r="G4877" s="31" t="n">
        <v>52.3</v>
      </c>
      <c r="H4877" s="2" t="s">
        <v>671</v>
      </c>
    </row>
    <row r="4878" customFormat="false" ht="15" hidden="false" customHeight="false" outlineLevel="0" collapsed="false">
      <c r="A4878" s="2" t="s">
        <v>2420</v>
      </c>
      <c r="B4878" s="2" t="s">
        <v>46</v>
      </c>
      <c r="C4878" s="2" t="s">
        <v>4087</v>
      </c>
      <c r="D4878" s="11" t="n">
        <v>55043</v>
      </c>
      <c r="E4878" s="31" t="n">
        <v>4.7</v>
      </c>
      <c r="F4878" s="2"/>
      <c r="G4878" s="2"/>
      <c r="H4878" s="2" t="s">
        <v>668</v>
      </c>
    </row>
    <row r="4879" customFormat="false" ht="15" hidden="false" customHeight="false" outlineLevel="0" collapsed="false">
      <c r="A4879" s="2" t="s">
        <v>2420</v>
      </c>
      <c r="B4879" s="2" t="s">
        <v>47</v>
      </c>
      <c r="C4879" s="2" t="s">
        <v>4085</v>
      </c>
      <c r="D4879" s="11" t="n">
        <v>1212</v>
      </c>
      <c r="E4879" s="31" t="n">
        <v>20.6</v>
      </c>
      <c r="F4879" s="31" t="n">
        <v>54.4</v>
      </c>
      <c r="G4879" s="31" t="n">
        <v>29.3</v>
      </c>
      <c r="H4879" s="2" t="s">
        <v>671</v>
      </c>
    </row>
    <row r="4880" customFormat="false" ht="15" hidden="false" customHeight="false" outlineLevel="0" collapsed="false">
      <c r="A4880" s="2" t="s">
        <v>2420</v>
      </c>
      <c r="B4880" s="2" t="s">
        <v>47</v>
      </c>
      <c r="C4880" s="2" t="s">
        <v>4086</v>
      </c>
      <c r="D4880" s="2"/>
      <c r="E4880" s="2"/>
      <c r="F4880" s="2"/>
      <c r="G4880" s="31" t="n">
        <v>67.9</v>
      </c>
      <c r="H4880" s="2" t="s">
        <v>668</v>
      </c>
    </row>
    <row r="4881" customFormat="false" ht="15" hidden="false" customHeight="false" outlineLevel="0" collapsed="false">
      <c r="A4881" s="2" t="s">
        <v>2420</v>
      </c>
      <c r="B4881" s="2" t="s">
        <v>47</v>
      </c>
      <c r="C4881" s="2" t="s">
        <v>4087</v>
      </c>
      <c r="D4881" s="11" t="n">
        <v>1321</v>
      </c>
      <c r="E4881" s="31" t="n">
        <v>35.7</v>
      </c>
      <c r="F4881" s="31" t="n">
        <v>61.3</v>
      </c>
      <c r="G4881" s="31" t="n">
        <v>35.2</v>
      </c>
      <c r="H4881" s="2" t="s">
        <v>671</v>
      </c>
    </row>
    <row r="4882" customFormat="false" ht="15" hidden="false" customHeight="false" outlineLevel="0" collapsed="false">
      <c r="A4882" s="2" t="s">
        <v>812</v>
      </c>
      <c r="B4882" s="2" t="s">
        <v>4104</v>
      </c>
      <c r="C4882" s="2" t="s">
        <v>4085</v>
      </c>
      <c r="D4882" s="2"/>
      <c r="E4882" s="31" t="n">
        <v>48.4</v>
      </c>
      <c r="F4882" s="31" t="n">
        <v>39</v>
      </c>
      <c r="G4882" s="31" t="n">
        <v>27.2</v>
      </c>
      <c r="H4882" s="2" t="s">
        <v>668</v>
      </c>
    </row>
    <row r="4883" customFormat="false" ht="15" hidden="false" customHeight="false" outlineLevel="0" collapsed="false">
      <c r="A4883" s="2" t="s">
        <v>812</v>
      </c>
      <c r="B4883" s="2" t="s">
        <v>4104</v>
      </c>
      <c r="C4883" s="2" t="s">
        <v>4086</v>
      </c>
      <c r="D4883" s="2"/>
      <c r="E4883" s="31" t="n">
        <v>43</v>
      </c>
      <c r="F4883" s="31" t="n">
        <v>22.9</v>
      </c>
      <c r="G4883" s="31" t="n">
        <v>39.4</v>
      </c>
      <c r="H4883" s="2" t="s">
        <v>671</v>
      </c>
    </row>
    <row r="4884" customFormat="false" ht="15" hidden="false" customHeight="false" outlineLevel="0" collapsed="false">
      <c r="A4884" s="2" t="s">
        <v>812</v>
      </c>
      <c r="B4884" s="2" t="s">
        <v>4104</v>
      </c>
      <c r="C4884" s="2" t="s">
        <v>4087</v>
      </c>
      <c r="D4884" s="2"/>
      <c r="E4884" s="31" t="n">
        <v>46.5</v>
      </c>
      <c r="F4884" s="31" t="n">
        <v>47.9</v>
      </c>
      <c r="G4884" s="31" t="n">
        <v>59.2</v>
      </c>
      <c r="H4884" s="2" t="s">
        <v>668</v>
      </c>
    </row>
    <row r="4885" customFormat="false" ht="15" hidden="false" customHeight="false" outlineLevel="0" collapsed="false">
      <c r="A4885" s="2" t="s">
        <v>812</v>
      </c>
      <c r="B4885" s="2" t="s">
        <v>45</v>
      </c>
      <c r="C4885" s="2" t="s">
        <v>4085</v>
      </c>
      <c r="D4885" s="11" t="n">
        <v>5430</v>
      </c>
      <c r="E4885" s="31" t="n">
        <v>87</v>
      </c>
      <c r="F4885" s="31" t="n">
        <v>75.8</v>
      </c>
      <c r="G4885" s="2"/>
      <c r="H4885" s="2" t="s">
        <v>668</v>
      </c>
    </row>
    <row r="4886" customFormat="false" ht="15" hidden="false" customHeight="false" outlineLevel="0" collapsed="false">
      <c r="A4886" s="2" t="s">
        <v>812</v>
      </c>
      <c r="B4886" s="2" t="s">
        <v>45</v>
      </c>
      <c r="C4886" s="2" t="s">
        <v>4086</v>
      </c>
      <c r="D4886" s="11" t="n">
        <v>5590</v>
      </c>
      <c r="E4886" s="31" t="n">
        <v>79</v>
      </c>
      <c r="F4886" s="31" t="n">
        <v>59.2</v>
      </c>
      <c r="G4886" s="31" t="n">
        <v>51.5</v>
      </c>
      <c r="H4886" s="2" t="s">
        <v>671</v>
      </c>
    </row>
    <row r="4887" customFormat="false" ht="15" hidden="false" customHeight="false" outlineLevel="0" collapsed="false">
      <c r="A4887" s="2" t="s">
        <v>812</v>
      </c>
      <c r="B4887" s="2" t="s">
        <v>45</v>
      </c>
      <c r="C4887" s="2" t="s">
        <v>4087</v>
      </c>
      <c r="D4887" s="11" t="n">
        <v>6026</v>
      </c>
      <c r="E4887" s="31" t="n">
        <v>82.3</v>
      </c>
      <c r="F4887" s="31" t="n">
        <v>90.7</v>
      </c>
      <c r="G4887" s="31" t="n">
        <v>41.4</v>
      </c>
      <c r="H4887" s="2" t="s">
        <v>671</v>
      </c>
    </row>
    <row r="4888" customFormat="false" ht="15" hidden="false" customHeight="false" outlineLevel="0" collapsed="false">
      <c r="A4888" s="2" t="s">
        <v>812</v>
      </c>
      <c r="B4888" s="2" t="s">
        <v>46</v>
      </c>
      <c r="C4888" s="2" t="s">
        <v>4085</v>
      </c>
      <c r="D4888" s="2"/>
      <c r="E4888" s="2"/>
      <c r="F4888" s="2"/>
      <c r="G4888" s="31" t="n">
        <v>2.5</v>
      </c>
      <c r="H4888" s="2" t="s">
        <v>668</v>
      </c>
    </row>
    <row r="4889" customFormat="false" ht="15" hidden="false" customHeight="false" outlineLevel="0" collapsed="false">
      <c r="A4889" s="2" t="s">
        <v>812</v>
      </c>
      <c r="B4889" s="2" t="s">
        <v>46</v>
      </c>
      <c r="C4889" s="2" t="s">
        <v>4086</v>
      </c>
      <c r="D4889" s="11" t="n">
        <v>137500</v>
      </c>
      <c r="E4889" s="31" t="n">
        <v>25.9</v>
      </c>
      <c r="F4889" s="31" t="n">
        <v>5.7</v>
      </c>
      <c r="G4889" s="31" t="n">
        <v>31.3</v>
      </c>
      <c r="H4889" s="2" t="s">
        <v>671</v>
      </c>
    </row>
    <row r="4890" customFormat="false" ht="15" hidden="false" customHeight="false" outlineLevel="0" collapsed="false">
      <c r="A4890" s="2" t="s">
        <v>812</v>
      </c>
      <c r="B4890" s="2" t="s">
        <v>46</v>
      </c>
      <c r="C4890" s="2" t="s">
        <v>4087</v>
      </c>
      <c r="D4890" s="11" t="n">
        <v>136392</v>
      </c>
      <c r="E4890" s="31" t="n">
        <v>36.2</v>
      </c>
      <c r="F4890" s="31" t="n">
        <v>47.7</v>
      </c>
      <c r="G4890" s="2"/>
      <c r="H4890" s="2" t="s">
        <v>668</v>
      </c>
    </row>
    <row r="4891" customFormat="false" ht="15" hidden="false" customHeight="false" outlineLevel="0" collapsed="false">
      <c r="A4891" s="2" t="s">
        <v>812</v>
      </c>
      <c r="B4891" s="2" t="s">
        <v>47</v>
      </c>
      <c r="C4891" s="2" t="s">
        <v>4085</v>
      </c>
      <c r="D4891" s="11" t="n">
        <v>3893</v>
      </c>
      <c r="E4891" s="31" t="n">
        <v>9.9</v>
      </c>
      <c r="F4891" s="31" t="n">
        <v>2.2</v>
      </c>
      <c r="G4891" s="31" t="n">
        <v>52</v>
      </c>
      <c r="H4891" s="2" t="s">
        <v>671</v>
      </c>
    </row>
    <row r="4892" customFormat="false" ht="15" hidden="false" customHeight="false" outlineLevel="0" collapsed="false">
      <c r="A4892" s="2" t="s">
        <v>812</v>
      </c>
      <c r="B4892" s="2" t="s">
        <v>47</v>
      </c>
      <c r="C4892" s="2" t="s">
        <v>4086</v>
      </c>
      <c r="D4892" s="11" t="n">
        <v>4023</v>
      </c>
      <c r="E4892" s="31" t="n">
        <v>24.2</v>
      </c>
      <c r="F4892" s="31" t="n">
        <v>3.8</v>
      </c>
      <c r="G4892" s="31" t="n">
        <v>35.3</v>
      </c>
      <c r="H4892" s="2" t="s">
        <v>671</v>
      </c>
    </row>
    <row r="4893" customFormat="false" ht="15" hidden="false" customHeight="false" outlineLevel="0" collapsed="false">
      <c r="A4893" s="2" t="s">
        <v>812</v>
      </c>
      <c r="B4893" s="2" t="s">
        <v>47</v>
      </c>
      <c r="C4893" s="2" t="s">
        <v>4087</v>
      </c>
      <c r="D4893" s="11" t="n">
        <v>3964</v>
      </c>
      <c r="E4893" s="31" t="n">
        <v>20.9</v>
      </c>
      <c r="F4893" s="31" t="n">
        <v>5.3</v>
      </c>
      <c r="G4893" s="31" t="n">
        <v>77.1</v>
      </c>
      <c r="H4893" s="2" t="s">
        <v>671</v>
      </c>
    </row>
    <row r="4894" customFormat="false" ht="15" hidden="false" customHeight="false" outlineLevel="0" collapsed="false">
      <c r="A4894" s="2" t="s">
        <v>1084</v>
      </c>
      <c r="B4894" s="2" t="s">
        <v>4104</v>
      </c>
      <c r="C4894" s="2" t="s">
        <v>4085</v>
      </c>
      <c r="D4894" s="2"/>
      <c r="E4894" s="31" t="n">
        <v>27.2</v>
      </c>
      <c r="F4894" s="31" t="n">
        <v>48.8</v>
      </c>
      <c r="G4894" s="31" t="n">
        <v>54.7</v>
      </c>
      <c r="H4894" s="2" t="s">
        <v>671</v>
      </c>
    </row>
    <row r="4895" customFormat="false" ht="15" hidden="false" customHeight="false" outlineLevel="0" collapsed="false">
      <c r="A4895" s="2" t="s">
        <v>1084</v>
      </c>
      <c r="B4895" s="2" t="s">
        <v>4104</v>
      </c>
      <c r="C4895" s="2" t="s">
        <v>4086</v>
      </c>
      <c r="D4895" s="2"/>
      <c r="E4895" s="31" t="n">
        <v>43.6</v>
      </c>
      <c r="F4895" s="31" t="n">
        <v>92.4</v>
      </c>
      <c r="G4895" s="31" t="n">
        <v>76</v>
      </c>
      <c r="H4895" s="2" t="s">
        <v>668</v>
      </c>
    </row>
    <row r="4896" customFormat="false" ht="15" hidden="false" customHeight="false" outlineLevel="0" collapsed="false">
      <c r="A4896" s="2" t="s">
        <v>1084</v>
      </c>
      <c r="B4896" s="2" t="s">
        <v>4104</v>
      </c>
      <c r="C4896" s="2" t="s">
        <v>4087</v>
      </c>
      <c r="D4896" s="2"/>
      <c r="E4896" s="31" t="n">
        <v>24.6</v>
      </c>
      <c r="F4896" s="31" t="n">
        <v>38.4</v>
      </c>
      <c r="G4896" s="31" t="n">
        <v>59</v>
      </c>
      <c r="H4896" s="2" t="s">
        <v>668</v>
      </c>
    </row>
    <row r="4897" customFormat="false" ht="15" hidden="false" customHeight="false" outlineLevel="0" collapsed="false">
      <c r="A4897" s="2" t="s">
        <v>1084</v>
      </c>
      <c r="B4897" s="2" t="s">
        <v>45</v>
      </c>
      <c r="C4897" s="2" t="s">
        <v>4085</v>
      </c>
      <c r="D4897" s="11" t="n">
        <v>246890</v>
      </c>
      <c r="E4897" s="31" t="n">
        <v>28.1</v>
      </c>
      <c r="F4897" s="31" t="n">
        <v>18.5</v>
      </c>
      <c r="G4897" s="31" t="n">
        <v>91.5</v>
      </c>
      <c r="H4897" s="2" t="s">
        <v>671</v>
      </c>
    </row>
    <row r="4898" customFormat="false" ht="15" hidden="false" customHeight="false" outlineLevel="0" collapsed="false">
      <c r="A4898" s="2" t="s">
        <v>1084</v>
      </c>
      <c r="B4898" s="2" t="s">
        <v>45</v>
      </c>
      <c r="C4898" s="2" t="s">
        <v>4086</v>
      </c>
      <c r="D4898" s="11" t="n">
        <v>247435</v>
      </c>
      <c r="E4898" s="31" t="n">
        <v>33.5</v>
      </c>
      <c r="F4898" s="2"/>
      <c r="G4898" s="31" t="n">
        <v>98.6</v>
      </c>
      <c r="H4898" s="2" t="s">
        <v>668</v>
      </c>
    </row>
    <row r="4899" customFormat="false" ht="15" hidden="false" customHeight="false" outlineLevel="0" collapsed="false">
      <c r="A4899" s="2" t="s">
        <v>1084</v>
      </c>
      <c r="B4899" s="2" t="s">
        <v>45</v>
      </c>
      <c r="C4899" s="2" t="s">
        <v>4087</v>
      </c>
      <c r="D4899" s="11" t="n">
        <v>249998</v>
      </c>
      <c r="E4899" s="31" t="n">
        <v>44.4</v>
      </c>
      <c r="F4899" s="31" t="n">
        <v>38.4</v>
      </c>
      <c r="G4899" s="31" t="n">
        <v>79</v>
      </c>
      <c r="H4899" s="2" t="s">
        <v>671</v>
      </c>
    </row>
    <row r="4900" customFormat="false" ht="15" hidden="false" customHeight="false" outlineLevel="0" collapsed="false">
      <c r="A4900" s="2" t="s">
        <v>1084</v>
      </c>
      <c r="B4900" s="2" t="s">
        <v>46</v>
      </c>
      <c r="C4900" s="2" t="s">
        <v>4085</v>
      </c>
      <c r="D4900" s="11" t="n">
        <v>30680</v>
      </c>
      <c r="E4900" s="31" t="n">
        <v>45.8</v>
      </c>
      <c r="F4900" s="31" t="n">
        <v>81.6</v>
      </c>
      <c r="G4900" s="31" t="n">
        <v>51.4</v>
      </c>
      <c r="H4900" s="2" t="s">
        <v>671</v>
      </c>
    </row>
    <row r="4901" customFormat="false" ht="15" hidden="false" customHeight="false" outlineLevel="0" collapsed="false">
      <c r="A4901" s="2" t="s">
        <v>1084</v>
      </c>
      <c r="B4901" s="2" t="s">
        <v>46</v>
      </c>
      <c r="C4901" s="2" t="s">
        <v>4086</v>
      </c>
      <c r="D4901" s="11" t="n">
        <v>20320</v>
      </c>
      <c r="E4901" s="31" t="n">
        <v>53.8</v>
      </c>
      <c r="F4901" s="31" t="n">
        <v>92.4</v>
      </c>
      <c r="G4901" s="31" t="n">
        <v>53.4</v>
      </c>
      <c r="H4901" s="2" t="s">
        <v>671</v>
      </c>
    </row>
    <row r="4902" customFormat="false" ht="15" hidden="false" customHeight="false" outlineLevel="0" collapsed="false">
      <c r="A4902" s="2" t="s">
        <v>1084</v>
      </c>
      <c r="B4902" s="2" t="s">
        <v>46</v>
      </c>
      <c r="C4902" s="2" t="s">
        <v>4087</v>
      </c>
      <c r="D4902" s="2"/>
      <c r="E4902" s="2"/>
      <c r="F4902" s="2"/>
      <c r="G4902" s="2"/>
      <c r="H4902" s="2" t="s">
        <v>668</v>
      </c>
    </row>
    <row r="4903" customFormat="false" ht="15" hidden="false" customHeight="false" outlineLevel="0" collapsed="false">
      <c r="A4903" s="2" t="s">
        <v>1084</v>
      </c>
      <c r="B4903" s="2" t="s">
        <v>47</v>
      </c>
      <c r="C4903" s="2" t="s">
        <v>4085</v>
      </c>
      <c r="D4903" s="11" t="n">
        <v>195833</v>
      </c>
      <c r="E4903" s="31" t="n">
        <v>7.6</v>
      </c>
      <c r="F4903" s="31" t="n">
        <v>46.3</v>
      </c>
      <c r="G4903" s="31" t="n">
        <v>21.2</v>
      </c>
      <c r="H4903" s="2" t="s">
        <v>671</v>
      </c>
    </row>
    <row r="4904" customFormat="false" ht="15" hidden="false" customHeight="false" outlineLevel="0" collapsed="false">
      <c r="A4904" s="2" t="s">
        <v>1084</v>
      </c>
      <c r="B4904" s="2" t="s">
        <v>47</v>
      </c>
      <c r="C4904" s="2" t="s">
        <v>4086</v>
      </c>
      <c r="D4904" s="2"/>
      <c r="E4904" s="2"/>
      <c r="F4904" s="2"/>
      <c r="G4904" s="2"/>
      <c r="H4904" s="2" t="s">
        <v>668</v>
      </c>
    </row>
    <row r="4905" customFormat="false" ht="15" hidden="false" customHeight="false" outlineLevel="0" collapsed="false">
      <c r="A4905" s="2" t="s">
        <v>1084</v>
      </c>
      <c r="B4905" s="2" t="s">
        <v>47</v>
      </c>
      <c r="C4905" s="2" t="s">
        <v>4087</v>
      </c>
      <c r="D4905" s="11" t="n">
        <v>201786</v>
      </c>
      <c r="E4905" s="31" t="n">
        <v>4.9</v>
      </c>
      <c r="F4905" s="2"/>
      <c r="G4905" s="31" t="n">
        <v>39</v>
      </c>
      <c r="H4905" s="2" t="s">
        <v>668</v>
      </c>
    </row>
    <row r="4906" customFormat="false" ht="15" hidden="false" customHeight="false" outlineLevel="0" collapsed="false">
      <c r="A4906" s="2" t="s">
        <v>1350</v>
      </c>
      <c r="B4906" s="2" t="s">
        <v>4104</v>
      </c>
      <c r="C4906" s="2" t="s">
        <v>4085</v>
      </c>
      <c r="D4906" s="2"/>
      <c r="E4906" s="31" t="n">
        <v>62.6</v>
      </c>
      <c r="F4906" s="31" t="n">
        <v>22.8</v>
      </c>
      <c r="G4906" s="31" t="n">
        <v>71.8</v>
      </c>
      <c r="H4906" s="2" t="s">
        <v>668</v>
      </c>
    </row>
    <row r="4907" customFormat="false" ht="15" hidden="false" customHeight="false" outlineLevel="0" collapsed="false">
      <c r="A4907" s="2" t="s">
        <v>1350</v>
      </c>
      <c r="B4907" s="2" t="s">
        <v>4104</v>
      </c>
      <c r="C4907" s="2" t="s">
        <v>4086</v>
      </c>
      <c r="D4907" s="2"/>
      <c r="E4907" s="31" t="n">
        <v>23.6</v>
      </c>
      <c r="F4907" s="31" t="n">
        <v>61.7</v>
      </c>
      <c r="G4907" s="31" t="n">
        <v>53</v>
      </c>
      <c r="H4907" s="2" t="s">
        <v>668</v>
      </c>
    </row>
    <row r="4908" customFormat="false" ht="15" hidden="false" customHeight="false" outlineLevel="0" collapsed="false">
      <c r="A4908" s="2" t="s">
        <v>1350</v>
      </c>
      <c r="B4908" s="2" t="s">
        <v>4104</v>
      </c>
      <c r="C4908" s="2" t="s">
        <v>4087</v>
      </c>
      <c r="D4908" s="2"/>
      <c r="E4908" s="31" t="n">
        <v>3</v>
      </c>
      <c r="F4908" s="31" t="n">
        <v>51.4</v>
      </c>
      <c r="G4908" s="31" t="n">
        <v>29.2</v>
      </c>
      <c r="H4908" s="2" t="s">
        <v>668</v>
      </c>
    </row>
    <row r="4909" customFormat="false" ht="15" hidden="false" customHeight="false" outlineLevel="0" collapsed="false">
      <c r="A4909" s="2" t="s">
        <v>1350</v>
      </c>
      <c r="B4909" s="2" t="s">
        <v>45</v>
      </c>
      <c r="C4909" s="2" t="s">
        <v>4085</v>
      </c>
      <c r="D4909" s="2"/>
      <c r="E4909" s="2"/>
      <c r="F4909" s="2"/>
      <c r="G4909" s="2"/>
      <c r="H4909" s="2" t="s">
        <v>668</v>
      </c>
    </row>
    <row r="4910" customFormat="false" ht="15" hidden="false" customHeight="false" outlineLevel="0" collapsed="false">
      <c r="A4910" s="2" t="s">
        <v>1350</v>
      </c>
      <c r="B4910" s="2" t="s">
        <v>45</v>
      </c>
      <c r="C4910" s="2" t="s">
        <v>4086</v>
      </c>
      <c r="D4910" s="11" t="n">
        <v>112627</v>
      </c>
      <c r="E4910" s="31" t="n">
        <v>4.5</v>
      </c>
      <c r="F4910" s="31" t="n">
        <v>37.9</v>
      </c>
      <c r="G4910" s="31" t="n">
        <v>23.8</v>
      </c>
      <c r="H4910" s="2" t="s">
        <v>671</v>
      </c>
    </row>
    <row r="4911" customFormat="false" ht="15" hidden="false" customHeight="false" outlineLevel="0" collapsed="false">
      <c r="A4911" s="2" t="s">
        <v>1350</v>
      </c>
      <c r="B4911" s="2" t="s">
        <v>45</v>
      </c>
      <c r="C4911" s="2" t="s">
        <v>4087</v>
      </c>
      <c r="D4911" s="11" t="n">
        <v>116729</v>
      </c>
      <c r="E4911" s="31" t="n">
        <v>4.5</v>
      </c>
      <c r="F4911" s="31" t="n">
        <v>51.4</v>
      </c>
      <c r="G4911" s="31" t="n">
        <v>2.2</v>
      </c>
      <c r="H4911" s="2" t="s">
        <v>671</v>
      </c>
    </row>
    <row r="4912" customFormat="false" ht="15" hidden="false" customHeight="false" outlineLevel="0" collapsed="false">
      <c r="A4912" s="2" t="s">
        <v>1350</v>
      </c>
      <c r="B4912" s="2" t="s">
        <v>46</v>
      </c>
      <c r="C4912" s="2" t="s">
        <v>4085</v>
      </c>
      <c r="D4912" s="11" t="n">
        <v>610</v>
      </c>
      <c r="E4912" s="2"/>
      <c r="F4912" s="2"/>
      <c r="G4912" s="31" t="n">
        <v>65.5</v>
      </c>
      <c r="H4912" s="2" t="s">
        <v>668</v>
      </c>
    </row>
    <row r="4913" customFormat="false" ht="15" hidden="false" customHeight="false" outlineLevel="0" collapsed="false">
      <c r="A4913" s="2" t="s">
        <v>1350</v>
      </c>
      <c r="B4913" s="2" t="s">
        <v>46</v>
      </c>
      <c r="C4913" s="2" t="s">
        <v>4086</v>
      </c>
      <c r="D4913" s="11" t="n">
        <v>650</v>
      </c>
      <c r="E4913" s="31" t="n">
        <v>4.1</v>
      </c>
      <c r="F4913" s="31" t="n">
        <v>83</v>
      </c>
      <c r="G4913" s="31" t="n">
        <v>51.9</v>
      </c>
      <c r="H4913" s="2" t="s">
        <v>671</v>
      </c>
    </row>
    <row r="4914" customFormat="false" ht="15" hidden="false" customHeight="false" outlineLevel="0" collapsed="false">
      <c r="A4914" s="2" t="s">
        <v>1350</v>
      </c>
      <c r="B4914" s="2" t="s">
        <v>46</v>
      </c>
      <c r="C4914" s="2" t="s">
        <v>4087</v>
      </c>
      <c r="D4914" s="11" t="n">
        <v>710</v>
      </c>
      <c r="E4914" s="31" t="n">
        <v>1.5</v>
      </c>
      <c r="F4914" s="2"/>
      <c r="G4914" s="31" t="n">
        <v>56.2</v>
      </c>
      <c r="H4914" s="2" t="s">
        <v>668</v>
      </c>
    </row>
    <row r="4915" customFormat="false" ht="15" hidden="false" customHeight="false" outlineLevel="0" collapsed="false">
      <c r="A4915" s="2" t="s">
        <v>1350</v>
      </c>
      <c r="B4915" s="2" t="s">
        <v>47</v>
      </c>
      <c r="C4915" s="2" t="s">
        <v>4085</v>
      </c>
      <c r="D4915" s="11" t="n">
        <v>981480</v>
      </c>
      <c r="E4915" s="31" t="n">
        <v>62.6</v>
      </c>
      <c r="F4915" s="31" t="n">
        <v>22.8</v>
      </c>
      <c r="G4915" s="31" t="n">
        <v>78</v>
      </c>
      <c r="H4915" s="2" t="s">
        <v>671</v>
      </c>
    </row>
    <row r="4916" customFormat="false" ht="15" hidden="false" customHeight="false" outlineLevel="0" collapsed="false">
      <c r="A4916" s="2" t="s">
        <v>1350</v>
      </c>
      <c r="B4916" s="2" t="s">
        <v>47</v>
      </c>
      <c r="C4916" s="2" t="s">
        <v>4086</v>
      </c>
      <c r="D4916" s="11" t="n">
        <v>1026774</v>
      </c>
      <c r="E4916" s="31" t="n">
        <v>62.1</v>
      </c>
      <c r="F4916" s="31" t="n">
        <v>64.3</v>
      </c>
      <c r="G4916" s="31" t="n">
        <v>83.2</v>
      </c>
      <c r="H4916" s="2" t="s">
        <v>668</v>
      </c>
    </row>
    <row r="4917" customFormat="false" ht="15" hidden="false" customHeight="false" outlineLevel="0" collapsed="false">
      <c r="A4917" s="2" t="s">
        <v>1350</v>
      </c>
      <c r="B4917" s="2" t="s">
        <v>47</v>
      </c>
      <c r="C4917" s="2" t="s">
        <v>4087</v>
      </c>
      <c r="D4917" s="2"/>
      <c r="E4917" s="2"/>
      <c r="F4917" s="2"/>
      <c r="G4917" s="2"/>
      <c r="H4917" s="2" t="s">
        <v>668</v>
      </c>
    </row>
    <row r="4918" customFormat="false" ht="15" hidden="false" customHeight="false" outlineLevel="0" collapsed="false">
      <c r="A4918" s="2" t="s">
        <v>2314</v>
      </c>
      <c r="B4918" s="2" t="s">
        <v>4104</v>
      </c>
      <c r="C4918" s="2" t="s">
        <v>4085</v>
      </c>
      <c r="D4918" s="2"/>
      <c r="E4918" s="31" t="n">
        <v>77.7</v>
      </c>
      <c r="F4918" s="31" t="n">
        <v>26.2</v>
      </c>
      <c r="G4918" s="31" t="n">
        <v>28.2</v>
      </c>
      <c r="H4918" s="2" t="s">
        <v>668</v>
      </c>
    </row>
    <row r="4919" customFormat="false" ht="15" hidden="false" customHeight="false" outlineLevel="0" collapsed="false">
      <c r="A4919" s="2" t="s">
        <v>2314</v>
      </c>
      <c r="B4919" s="2" t="s">
        <v>4104</v>
      </c>
      <c r="C4919" s="2" t="s">
        <v>4086</v>
      </c>
      <c r="D4919" s="2"/>
      <c r="E4919" s="31" t="n">
        <v>43.9</v>
      </c>
      <c r="F4919" s="31" t="n">
        <v>39.7</v>
      </c>
      <c r="G4919" s="31" t="n">
        <v>57.6</v>
      </c>
      <c r="H4919" s="2" t="s">
        <v>668</v>
      </c>
    </row>
    <row r="4920" customFormat="false" ht="15" hidden="false" customHeight="false" outlineLevel="0" collapsed="false">
      <c r="A4920" s="2" t="s">
        <v>2314</v>
      </c>
      <c r="B4920" s="2" t="s">
        <v>4104</v>
      </c>
      <c r="C4920" s="2" t="s">
        <v>4087</v>
      </c>
      <c r="D4920" s="2"/>
      <c r="E4920" s="31" t="n">
        <v>50</v>
      </c>
      <c r="F4920" s="31" t="n">
        <v>9.2</v>
      </c>
      <c r="G4920" s="31" t="n">
        <v>29.3</v>
      </c>
      <c r="H4920" s="2" t="s">
        <v>668</v>
      </c>
    </row>
    <row r="4921" customFormat="false" ht="15" hidden="false" customHeight="false" outlineLevel="0" collapsed="false">
      <c r="A4921" s="2" t="s">
        <v>2314</v>
      </c>
      <c r="B4921" s="2" t="s">
        <v>45</v>
      </c>
      <c r="C4921" s="2" t="s">
        <v>4085</v>
      </c>
      <c r="D4921" s="11" t="n">
        <v>892</v>
      </c>
      <c r="E4921" s="31" t="n">
        <v>74.3</v>
      </c>
      <c r="F4921" s="31" t="n">
        <v>30.6</v>
      </c>
      <c r="G4921" s="2"/>
      <c r="H4921" s="2" t="s">
        <v>668</v>
      </c>
    </row>
    <row r="4922" customFormat="false" ht="15" hidden="false" customHeight="false" outlineLevel="0" collapsed="false">
      <c r="A4922" s="2" t="s">
        <v>2314</v>
      </c>
      <c r="B4922" s="2" t="s">
        <v>45</v>
      </c>
      <c r="C4922" s="2" t="s">
        <v>4086</v>
      </c>
      <c r="D4922" s="11" t="n">
        <v>960</v>
      </c>
      <c r="E4922" s="31" t="n">
        <v>43.9</v>
      </c>
      <c r="F4922" s="31" t="n">
        <v>52.1</v>
      </c>
      <c r="G4922" s="31" t="n">
        <v>99.5</v>
      </c>
      <c r="H4922" s="2" t="s">
        <v>671</v>
      </c>
    </row>
    <row r="4923" customFormat="false" ht="15" hidden="false" customHeight="false" outlineLevel="0" collapsed="false">
      <c r="A4923" s="2" t="s">
        <v>2314</v>
      </c>
      <c r="B4923" s="2" t="s">
        <v>45</v>
      </c>
      <c r="C4923" s="2" t="s">
        <v>4087</v>
      </c>
      <c r="D4923" s="2"/>
      <c r="E4923" s="2"/>
      <c r="F4923" s="2"/>
      <c r="G4923" s="2"/>
      <c r="H4923" s="2" t="s">
        <v>668</v>
      </c>
    </row>
    <row r="4924" customFormat="false" ht="15" hidden="false" customHeight="false" outlineLevel="0" collapsed="false">
      <c r="A4924" s="2" t="s">
        <v>2314</v>
      </c>
      <c r="B4924" s="2" t="s">
        <v>47</v>
      </c>
      <c r="C4924" s="2" t="s">
        <v>4085</v>
      </c>
      <c r="D4924" s="11" t="n">
        <v>50020</v>
      </c>
      <c r="E4924" s="31" t="n">
        <v>81.1</v>
      </c>
      <c r="F4924" s="31" t="n">
        <v>21.9</v>
      </c>
      <c r="G4924" s="31" t="n">
        <v>28.2</v>
      </c>
      <c r="H4924" s="2" t="s">
        <v>671</v>
      </c>
    </row>
    <row r="4925" customFormat="false" ht="15" hidden="false" customHeight="false" outlineLevel="0" collapsed="false">
      <c r="A4925" s="2" t="s">
        <v>2314</v>
      </c>
      <c r="B4925" s="2" t="s">
        <v>47</v>
      </c>
      <c r="C4925" s="2" t="s">
        <v>4086</v>
      </c>
      <c r="D4925" s="11" t="n">
        <v>50170</v>
      </c>
      <c r="E4925" s="2"/>
      <c r="F4925" s="31" t="n">
        <v>27.3</v>
      </c>
      <c r="G4925" s="31" t="n">
        <v>15.6</v>
      </c>
      <c r="H4925" s="2" t="s">
        <v>668</v>
      </c>
    </row>
    <row r="4926" customFormat="false" ht="15" hidden="false" customHeight="false" outlineLevel="0" collapsed="false">
      <c r="A4926" s="2" t="s">
        <v>2314</v>
      </c>
      <c r="B4926" s="2" t="s">
        <v>47</v>
      </c>
      <c r="C4926" s="2" t="s">
        <v>4087</v>
      </c>
      <c r="D4926" s="11" t="n">
        <v>49308</v>
      </c>
      <c r="E4926" s="31" t="n">
        <v>50</v>
      </c>
      <c r="F4926" s="31" t="n">
        <v>9.2</v>
      </c>
      <c r="G4926" s="31" t="n">
        <v>29.3</v>
      </c>
      <c r="H4926" s="2" t="s">
        <v>671</v>
      </c>
    </row>
    <row r="4927" customFormat="false" ht="15" hidden="false" customHeight="false" outlineLevel="0" collapsed="false">
      <c r="A4927" s="2" t="s">
        <v>3001</v>
      </c>
      <c r="B4927" s="2" t="s">
        <v>4104</v>
      </c>
      <c r="C4927" s="2" t="s">
        <v>4086</v>
      </c>
      <c r="D4927" s="2"/>
      <c r="E4927" s="31" t="n">
        <v>1.7</v>
      </c>
      <c r="F4927" s="31" t="n">
        <v>43.7</v>
      </c>
      <c r="G4927" s="2"/>
      <c r="H4927" s="2" t="s">
        <v>668</v>
      </c>
    </row>
    <row r="4928" customFormat="false" ht="15" hidden="false" customHeight="false" outlineLevel="0" collapsed="false">
      <c r="A4928" s="2" t="s">
        <v>3001</v>
      </c>
      <c r="B4928" s="2" t="s">
        <v>4104</v>
      </c>
      <c r="C4928" s="2" t="s">
        <v>4087</v>
      </c>
      <c r="D4928" s="2"/>
      <c r="E4928" s="31" t="n">
        <v>0.2</v>
      </c>
      <c r="F4928" s="31" t="n">
        <v>25.9</v>
      </c>
      <c r="G4928" s="2"/>
      <c r="H4928" s="2" t="s">
        <v>668</v>
      </c>
    </row>
    <row r="4929" customFormat="false" ht="15" hidden="false" customHeight="false" outlineLevel="0" collapsed="false">
      <c r="A4929" s="2" t="s">
        <v>3001</v>
      </c>
      <c r="B4929" s="2" t="s">
        <v>45</v>
      </c>
      <c r="C4929" s="2" t="s">
        <v>4086</v>
      </c>
      <c r="D4929" s="11" t="n">
        <v>670</v>
      </c>
      <c r="E4929" s="31" t="n">
        <v>1.7</v>
      </c>
      <c r="F4929" s="31" t="n">
        <v>43.7</v>
      </c>
      <c r="G4929" s="2"/>
      <c r="H4929" s="2" t="s">
        <v>668</v>
      </c>
    </row>
    <row r="4930" customFormat="false" ht="15" hidden="false" customHeight="false" outlineLevel="0" collapsed="false">
      <c r="A4930" s="2" t="s">
        <v>3001</v>
      </c>
      <c r="B4930" s="2" t="s">
        <v>45</v>
      </c>
      <c r="C4930" s="2" t="s">
        <v>4087</v>
      </c>
      <c r="D4930" s="11" t="n">
        <v>670</v>
      </c>
      <c r="E4930" s="31" t="n">
        <v>0.2</v>
      </c>
      <c r="F4930" s="31" t="n">
        <v>25.9</v>
      </c>
      <c r="G4930" s="2"/>
      <c r="H4930" s="2" t="s">
        <v>668</v>
      </c>
    </row>
    <row r="4931" customFormat="false" ht="15" hidden="false" customHeight="false" outlineLevel="0" collapsed="false">
      <c r="A4931" s="2" t="s">
        <v>2331</v>
      </c>
      <c r="B4931" s="2" t="s">
        <v>4104</v>
      </c>
      <c r="C4931" s="2" t="s">
        <v>4085</v>
      </c>
      <c r="D4931" s="2"/>
      <c r="E4931" s="31" t="n">
        <v>30.9</v>
      </c>
      <c r="F4931" s="31" t="n">
        <v>61</v>
      </c>
      <c r="G4931" s="31" t="n">
        <v>32.5</v>
      </c>
      <c r="H4931" s="2" t="s">
        <v>668</v>
      </c>
    </row>
    <row r="4932" customFormat="false" ht="15" hidden="false" customHeight="false" outlineLevel="0" collapsed="false">
      <c r="A4932" s="2" t="s">
        <v>2331</v>
      </c>
      <c r="B4932" s="2" t="s">
        <v>4104</v>
      </c>
      <c r="C4932" s="2" t="s">
        <v>4086</v>
      </c>
      <c r="D4932" s="2"/>
      <c r="E4932" s="31" t="n">
        <v>42.4</v>
      </c>
      <c r="F4932" s="31" t="n">
        <v>56.9</v>
      </c>
      <c r="G4932" s="31" t="n">
        <v>34.2</v>
      </c>
      <c r="H4932" s="2" t="s">
        <v>671</v>
      </c>
    </row>
    <row r="4933" customFormat="false" ht="15" hidden="false" customHeight="false" outlineLevel="0" collapsed="false">
      <c r="A4933" s="2" t="s">
        <v>2331</v>
      </c>
      <c r="B4933" s="2" t="s">
        <v>4104</v>
      </c>
      <c r="C4933" s="2" t="s">
        <v>4087</v>
      </c>
      <c r="D4933" s="2"/>
      <c r="E4933" s="31" t="n">
        <v>64.1</v>
      </c>
      <c r="F4933" s="31" t="n">
        <v>84.4</v>
      </c>
      <c r="G4933" s="31" t="n">
        <v>19.2</v>
      </c>
      <c r="H4933" s="2" t="s">
        <v>668</v>
      </c>
    </row>
    <row r="4934" customFormat="false" ht="15" hidden="false" customHeight="false" outlineLevel="0" collapsed="false">
      <c r="A4934" s="2" t="s">
        <v>2331</v>
      </c>
      <c r="B4934" s="2" t="s">
        <v>45</v>
      </c>
      <c r="C4934" s="2" t="s">
        <v>4085</v>
      </c>
      <c r="D4934" s="11" t="n">
        <v>115702</v>
      </c>
      <c r="E4934" s="31" t="n">
        <v>14.2</v>
      </c>
      <c r="F4934" s="31" t="n">
        <v>24</v>
      </c>
      <c r="G4934" s="31" t="n">
        <v>29.8</v>
      </c>
      <c r="H4934" s="2" t="s">
        <v>671</v>
      </c>
    </row>
    <row r="4935" customFormat="false" ht="15" hidden="false" customHeight="false" outlineLevel="0" collapsed="false">
      <c r="A4935" s="2" t="s">
        <v>2331</v>
      </c>
      <c r="B4935" s="2" t="s">
        <v>45</v>
      </c>
      <c r="C4935" s="2" t="s">
        <v>4086</v>
      </c>
      <c r="D4935" s="11" t="n">
        <v>117080</v>
      </c>
      <c r="E4935" s="31" t="n">
        <v>29.1</v>
      </c>
      <c r="F4935" s="31" t="n">
        <v>23.6</v>
      </c>
      <c r="G4935" s="31" t="n">
        <v>40.3</v>
      </c>
      <c r="H4935" s="2" t="s">
        <v>671</v>
      </c>
    </row>
    <row r="4936" customFormat="false" ht="15" hidden="false" customHeight="false" outlineLevel="0" collapsed="false">
      <c r="A4936" s="2" t="s">
        <v>2331</v>
      </c>
      <c r="B4936" s="2" t="s">
        <v>45</v>
      </c>
      <c r="C4936" s="2" t="s">
        <v>4087</v>
      </c>
      <c r="D4936" s="2"/>
      <c r="E4936" s="2"/>
      <c r="F4936" s="2"/>
      <c r="G4936" s="2"/>
      <c r="H4936" s="2" t="s">
        <v>668</v>
      </c>
    </row>
    <row r="4937" customFormat="false" ht="15" hidden="false" customHeight="false" outlineLevel="0" collapsed="false">
      <c r="A4937" s="2" t="s">
        <v>2331</v>
      </c>
      <c r="B4937" s="2" t="s">
        <v>46</v>
      </c>
      <c r="C4937" s="2" t="s">
        <v>4085</v>
      </c>
      <c r="D4937" s="11" t="n">
        <v>7226</v>
      </c>
      <c r="E4937" s="31" t="n">
        <v>31.9</v>
      </c>
      <c r="F4937" s="31" t="n">
        <v>59.6</v>
      </c>
      <c r="G4937" s="31" t="n">
        <v>21.2</v>
      </c>
      <c r="H4937" s="2" t="s">
        <v>671</v>
      </c>
    </row>
    <row r="4938" customFormat="false" ht="15" hidden="false" customHeight="false" outlineLevel="0" collapsed="false">
      <c r="A4938" s="2" t="s">
        <v>2331</v>
      </c>
      <c r="B4938" s="2" t="s">
        <v>46</v>
      </c>
      <c r="C4938" s="2" t="s">
        <v>4086</v>
      </c>
      <c r="D4938" s="11" t="n">
        <v>7340</v>
      </c>
      <c r="E4938" s="31" t="n">
        <v>63.9</v>
      </c>
      <c r="F4938" s="31" t="n">
        <v>47.2</v>
      </c>
      <c r="G4938" s="31" t="n">
        <v>45</v>
      </c>
      <c r="H4938" s="2" t="s">
        <v>671</v>
      </c>
    </row>
    <row r="4939" customFormat="false" ht="15" hidden="false" customHeight="false" outlineLevel="0" collapsed="false">
      <c r="A4939" s="2" t="s">
        <v>2331</v>
      </c>
      <c r="B4939" s="2" t="s">
        <v>46</v>
      </c>
      <c r="C4939" s="2" t="s">
        <v>4087</v>
      </c>
      <c r="D4939" s="11" t="n">
        <v>7690</v>
      </c>
      <c r="E4939" s="31" t="n">
        <v>80.1</v>
      </c>
      <c r="F4939" s="31" t="n">
        <v>68.8</v>
      </c>
      <c r="G4939" s="31" t="n">
        <v>9.3</v>
      </c>
      <c r="H4939" s="2" t="s">
        <v>668</v>
      </c>
    </row>
    <row r="4940" customFormat="false" ht="15" hidden="false" customHeight="false" outlineLevel="0" collapsed="false">
      <c r="A4940" s="2" t="s">
        <v>2331</v>
      </c>
      <c r="B4940" s="2" t="s">
        <v>47</v>
      </c>
      <c r="C4940" s="2" t="s">
        <v>4085</v>
      </c>
      <c r="D4940" s="11" t="n">
        <v>71014</v>
      </c>
      <c r="E4940" s="31" t="n">
        <v>46.5</v>
      </c>
      <c r="F4940" s="31" t="n">
        <v>99.3</v>
      </c>
      <c r="G4940" s="31" t="n">
        <v>46.6</v>
      </c>
      <c r="H4940" s="2" t="s">
        <v>668</v>
      </c>
    </row>
    <row r="4941" customFormat="false" ht="15" hidden="false" customHeight="false" outlineLevel="0" collapsed="false">
      <c r="A4941" s="2" t="s">
        <v>2331</v>
      </c>
      <c r="B4941" s="2" t="s">
        <v>47</v>
      </c>
      <c r="C4941" s="2" t="s">
        <v>4086</v>
      </c>
      <c r="D4941" s="11" t="n">
        <v>76933</v>
      </c>
      <c r="E4941" s="31" t="n">
        <v>34.2</v>
      </c>
      <c r="F4941" s="31" t="n">
        <v>100</v>
      </c>
      <c r="G4941" s="31" t="n">
        <v>17.4</v>
      </c>
      <c r="H4941" s="2" t="s">
        <v>671</v>
      </c>
    </row>
    <row r="4942" customFormat="false" ht="15" hidden="false" customHeight="false" outlineLevel="0" collapsed="false">
      <c r="A4942" s="2" t="s">
        <v>2331</v>
      </c>
      <c r="B4942" s="2" t="s">
        <v>47</v>
      </c>
      <c r="C4942" s="2" t="s">
        <v>4087</v>
      </c>
      <c r="D4942" s="11" t="n">
        <v>83131</v>
      </c>
      <c r="E4942" s="31" t="n">
        <v>48.1</v>
      </c>
      <c r="F4942" s="31" t="n">
        <v>100</v>
      </c>
      <c r="G4942" s="31" t="n">
        <v>29.1</v>
      </c>
      <c r="H4942" s="2" t="s">
        <v>671</v>
      </c>
    </row>
    <row r="4943" customFormat="false" ht="15" hidden="false" customHeight="false" outlineLevel="0" collapsed="false">
      <c r="A4943" s="2" t="s">
        <v>1144</v>
      </c>
      <c r="B4943" s="2" t="s">
        <v>4104</v>
      </c>
      <c r="C4943" s="2" t="s">
        <v>4085</v>
      </c>
      <c r="D4943" s="2"/>
      <c r="E4943" s="31" t="n">
        <v>46.5</v>
      </c>
      <c r="F4943" s="31" t="n">
        <v>68.4</v>
      </c>
      <c r="G4943" s="31" t="n">
        <v>70.3</v>
      </c>
      <c r="H4943" s="2" t="s">
        <v>668</v>
      </c>
    </row>
    <row r="4944" customFormat="false" ht="15" hidden="false" customHeight="false" outlineLevel="0" collapsed="false">
      <c r="A4944" s="2" t="s">
        <v>1144</v>
      </c>
      <c r="B4944" s="2" t="s">
        <v>4104</v>
      </c>
      <c r="C4944" s="2" t="s">
        <v>4086</v>
      </c>
      <c r="D4944" s="2"/>
      <c r="E4944" s="31" t="n">
        <v>49.6</v>
      </c>
      <c r="F4944" s="31" t="n">
        <v>63.2</v>
      </c>
      <c r="G4944" s="31" t="n">
        <v>79.5</v>
      </c>
      <c r="H4944" s="2" t="s">
        <v>671</v>
      </c>
    </row>
    <row r="4945" customFormat="false" ht="15" hidden="false" customHeight="false" outlineLevel="0" collapsed="false">
      <c r="A4945" s="2" t="s">
        <v>1144</v>
      </c>
      <c r="B4945" s="2" t="s">
        <v>4104</v>
      </c>
      <c r="C4945" s="2" t="s">
        <v>4087</v>
      </c>
      <c r="D4945" s="2"/>
      <c r="E4945" s="31" t="n">
        <v>49.4</v>
      </c>
      <c r="F4945" s="31" t="n">
        <v>73.8</v>
      </c>
      <c r="G4945" s="31" t="n">
        <v>58.3</v>
      </c>
      <c r="H4945" s="2" t="s">
        <v>668</v>
      </c>
    </row>
    <row r="4946" customFormat="false" ht="15" hidden="false" customHeight="false" outlineLevel="0" collapsed="false">
      <c r="A4946" s="2" t="s">
        <v>1144</v>
      </c>
      <c r="B4946" s="2" t="s">
        <v>45</v>
      </c>
      <c r="C4946" s="2" t="s">
        <v>4085</v>
      </c>
      <c r="D4946" s="11" t="n">
        <v>57740</v>
      </c>
      <c r="E4946" s="31" t="n">
        <v>50.8</v>
      </c>
      <c r="F4946" s="31" t="n">
        <v>58</v>
      </c>
      <c r="G4946" s="31" t="n">
        <v>65.1</v>
      </c>
      <c r="H4946" s="2" t="s">
        <v>671</v>
      </c>
    </row>
    <row r="4947" customFormat="false" ht="15" hidden="false" customHeight="false" outlineLevel="0" collapsed="false">
      <c r="A4947" s="2" t="s">
        <v>1144</v>
      </c>
      <c r="B4947" s="2" t="s">
        <v>45</v>
      </c>
      <c r="C4947" s="2" t="s">
        <v>4086</v>
      </c>
      <c r="D4947" s="11" t="n">
        <v>59393</v>
      </c>
      <c r="E4947" s="31" t="n">
        <v>27</v>
      </c>
      <c r="F4947" s="31" t="n">
        <v>47.1</v>
      </c>
      <c r="G4947" s="31" t="n">
        <v>73</v>
      </c>
      <c r="H4947" s="2" t="s">
        <v>671</v>
      </c>
    </row>
    <row r="4948" customFormat="false" ht="15" hidden="false" customHeight="false" outlineLevel="0" collapsed="false">
      <c r="A4948" s="2" t="s">
        <v>1144</v>
      </c>
      <c r="B4948" s="2" t="s">
        <v>45</v>
      </c>
      <c r="C4948" s="2" t="s">
        <v>4087</v>
      </c>
      <c r="D4948" s="11" t="n">
        <v>61680</v>
      </c>
      <c r="E4948" s="31" t="n">
        <v>37</v>
      </c>
      <c r="F4948" s="31" t="n">
        <v>37.3</v>
      </c>
      <c r="G4948" s="31" t="n">
        <v>61</v>
      </c>
      <c r="H4948" s="2" t="s">
        <v>671</v>
      </c>
    </row>
    <row r="4949" customFormat="false" ht="15" hidden="false" customHeight="false" outlineLevel="0" collapsed="false">
      <c r="A4949" s="2" t="s">
        <v>1144</v>
      </c>
      <c r="B4949" s="2" t="s">
        <v>46</v>
      </c>
      <c r="C4949" s="2" t="s">
        <v>4085</v>
      </c>
      <c r="D4949" s="2"/>
      <c r="E4949" s="2"/>
      <c r="F4949" s="2"/>
      <c r="G4949" s="2"/>
      <c r="H4949" s="2" t="s">
        <v>668</v>
      </c>
    </row>
    <row r="4950" customFormat="false" ht="15" hidden="false" customHeight="false" outlineLevel="0" collapsed="false">
      <c r="A4950" s="2" t="s">
        <v>1144</v>
      </c>
      <c r="B4950" s="2" t="s">
        <v>46</v>
      </c>
      <c r="C4950" s="2" t="s">
        <v>4086</v>
      </c>
      <c r="D4950" s="11" t="n">
        <v>303830</v>
      </c>
      <c r="E4950" s="31" t="n">
        <v>81.7</v>
      </c>
      <c r="F4950" s="31" t="n">
        <v>68.2</v>
      </c>
      <c r="G4950" s="31" t="n">
        <v>99.6</v>
      </c>
      <c r="H4950" s="2" t="s">
        <v>671</v>
      </c>
    </row>
    <row r="4951" customFormat="false" ht="15" hidden="false" customHeight="false" outlineLevel="0" collapsed="false">
      <c r="A4951" s="2" t="s">
        <v>1144</v>
      </c>
      <c r="B4951" s="2" t="s">
        <v>46</v>
      </c>
      <c r="C4951" s="2" t="s">
        <v>4087</v>
      </c>
      <c r="D4951" s="11" t="n">
        <v>314080</v>
      </c>
      <c r="E4951" s="2"/>
      <c r="F4951" s="31" t="n">
        <v>93.4</v>
      </c>
      <c r="G4951" s="31" t="n">
        <v>88.1</v>
      </c>
      <c r="H4951" s="2" t="s">
        <v>668</v>
      </c>
    </row>
    <row r="4952" customFormat="false" ht="15" hidden="false" customHeight="false" outlineLevel="0" collapsed="false">
      <c r="A4952" s="2" t="s">
        <v>1144</v>
      </c>
      <c r="B4952" s="2" t="s">
        <v>47</v>
      </c>
      <c r="C4952" s="2" t="s">
        <v>4085</v>
      </c>
      <c r="D4952" s="11" t="n">
        <v>19318</v>
      </c>
      <c r="E4952" s="31" t="n">
        <v>42.2</v>
      </c>
      <c r="F4952" s="31" t="n">
        <v>78.8</v>
      </c>
      <c r="G4952" s="31" t="n">
        <v>75.5</v>
      </c>
      <c r="H4952" s="2" t="s">
        <v>671</v>
      </c>
    </row>
    <row r="4953" customFormat="false" ht="15" hidden="false" customHeight="false" outlineLevel="0" collapsed="false">
      <c r="A4953" s="2" t="s">
        <v>1144</v>
      </c>
      <c r="B4953" s="2" t="s">
        <v>47</v>
      </c>
      <c r="C4953" s="2" t="s">
        <v>4086</v>
      </c>
      <c r="D4953" s="11" t="n">
        <v>19549</v>
      </c>
      <c r="E4953" s="31" t="n">
        <v>40.2</v>
      </c>
      <c r="F4953" s="31" t="n">
        <v>74.4</v>
      </c>
      <c r="G4953" s="31" t="n">
        <v>65.8</v>
      </c>
      <c r="H4953" s="2" t="s">
        <v>671</v>
      </c>
    </row>
    <row r="4954" customFormat="false" ht="15" hidden="false" customHeight="false" outlineLevel="0" collapsed="false">
      <c r="A4954" s="2" t="s">
        <v>1144</v>
      </c>
      <c r="B4954" s="2" t="s">
        <v>47</v>
      </c>
      <c r="C4954" s="2" t="s">
        <v>4087</v>
      </c>
      <c r="D4954" s="11" t="n">
        <v>20626</v>
      </c>
      <c r="E4954" s="31" t="n">
        <v>61.8</v>
      </c>
      <c r="F4954" s="31" t="n">
        <v>90.8</v>
      </c>
      <c r="G4954" s="31" t="n">
        <v>25.9</v>
      </c>
      <c r="H4954" s="2" t="s">
        <v>671</v>
      </c>
    </row>
    <row r="4955" customFormat="false" ht="15" hidden="false" customHeight="false" outlineLevel="0" collapsed="false">
      <c r="A4955" s="2" t="s">
        <v>3004</v>
      </c>
      <c r="B4955" s="2" t="s">
        <v>4104</v>
      </c>
      <c r="C4955" s="2" t="s">
        <v>4085</v>
      </c>
      <c r="D4955" s="2"/>
      <c r="E4955" s="31" t="n">
        <v>61.1</v>
      </c>
      <c r="F4955" s="31" t="n">
        <v>69.4</v>
      </c>
      <c r="G4955" s="31" t="n">
        <v>13.2</v>
      </c>
      <c r="H4955" s="2" t="s">
        <v>671</v>
      </c>
    </row>
    <row r="4956" customFormat="false" ht="15" hidden="false" customHeight="false" outlineLevel="0" collapsed="false">
      <c r="A4956" s="2" t="s">
        <v>3004</v>
      </c>
      <c r="B4956" s="2" t="s">
        <v>4104</v>
      </c>
      <c r="C4956" s="2" t="s">
        <v>4086</v>
      </c>
      <c r="D4956" s="2"/>
      <c r="E4956" s="31" t="n">
        <v>72.4</v>
      </c>
      <c r="F4956" s="2"/>
      <c r="G4956" s="31" t="n">
        <v>84.6</v>
      </c>
      <c r="H4956" s="2" t="s">
        <v>668</v>
      </c>
    </row>
    <row r="4957" customFormat="false" ht="15" hidden="false" customHeight="false" outlineLevel="0" collapsed="false">
      <c r="A4957" s="2" t="s">
        <v>3004</v>
      </c>
      <c r="B4957" s="2" t="s">
        <v>4104</v>
      </c>
      <c r="C4957" s="2" t="s">
        <v>4087</v>
      </c>
      <c r="D4957" s="2"/>
      <c r="E4957" s="31" t="n">
        <v>41.7</v>
      </c>
      <c r="F4957" s="2"/>
      <c r="G4957" s="31" t="n">
        <v>34.8</v>
      </c>
      <c r="H4957" s="2" t="s">
        <v>668</v>
      </c>
    </row>
    <row r="4958" customFormat="false" ht="15" hidden="false" customHeight="false" outlineLevel="0" collapsed="false">
      <c r="A4958" s="2" t="s">
        <v>3004</v>
      </c>
      <c r="B4958" s="2" t="s">
        <v>45</v>
      </c>
      <c r="C4958" s="2" t="s">
        <v>4085</v>
      </c>
      <c r="D4958" s="11" t="n">
        <v>2154</v>
      </c>
      <c r="E4958" s="31" t="n">
        <v>61.1</v>
      </c>
      <c r="F4958" s="31" t="n">
        <v>69.4</v>
      </c>
      <c r="G4958" s="31" t="n">
        <v>13.2</v>
      </c>
      <c r="H4958" s="2" t="s">
        <v>671</v>
      </c>
    </row>
    <row r="4959" customFormat="false" ht="15" hidden="false" customHeight="false" outlineLevel="0" collapsed="false">
      <c r="A4959" s="2" t="s">
        <v>3004</v>
      </c>
      <c r="B4959" s="2" t="s">
        <v>45</v>
      </c>
      <c r="C4959" s="2" t="s">
        <v>4086</v>
      </c>
      <c r="D4959" s="11" t="n">
        <v>2320</v>
      </c>
      <c r="E4959" s="31" t="n">
        <v>72.4</v>
      </c>
      <c r="F4959" s="2"/>
      <c r="G4959" s="31" t="n">
        <v>84.6</v>
      </c>
      <c r="H4959" s="2" t="s">
        <v>668</v>
      </c>
    </row>
    <row r="4960" customFormat="false" ht="15" hidden="false" customHeight="false" outlineLevel="0" collapsed="false">
      <c r="A4960" s="2" t="s">
        <v>3004</v>
      </c>
      <c r="B4960" s="2" t="s">
        <v>45</v>
      </c>
      <c r="C4960" s="2" t="s">
        <v>4087</v>
      </c>
      <c r="D4960" s="11" t="n">
        <v>2460</v>
      </c>
      <c r="E4960" s="31" t="n">
        <v>41.7</v>
      </c>
      <c r="F4960" s="2"/>
      <c r="G4960" s="31" t="n">
        <v>34.8</v>
      </c>
      <c r="H4960" s="2" t="s">
        <v>668</v>
      </c>
    </row>
    <row r="4961" customFormat="false" ht="15" hidden="false" customHeight="false" outlineLevel="0" collapsed="false">
      <c r="A4961" s="2" t="s">
        <v>2135</v>
      </c>
      <c r="B4961" s="2" t="s">
        <v>4104</v>
      </c>
      <c r="C4961" s="2" t="s">
        <v>4085</v>
      </c>
      <c r="D4961" s="2"/>
      <c r="E4961" s="31" t="n">
        <v>57.8</v>
      </c>
      <c r="F4961" s="31" t="n">
        <v>69.3</v>
      </c>
      <c r="G4961" s="31" t="n">
        <v>85.6</v>
      </c>
      <c r="H4961" s="2" t="s">
        <v>668</v>
      </c>
    </row>
    <row r="4962" customFormat="false" ht="15" hidden="false" customHeight="false" outlineLevel="0" collapsed="false">
      <c r="A4962" s="2" t="s">
        <v>2135</v>
      </c>
      <c r="B4962" s="2" t="s">
        <v>4104</v>
      </c>
      <c r="C4962" s="2" t="s">
        <v>4086</v>
      </c>
      <c r="D4962" s="2"/>
      <c r="E4962" s="31" t="n">
        <v>42.2</v>
      </c>
      <c r="F4962" s="31" t="n">
        <v>53.5</v>
      </c>
      <c r="G4962" s="31" t="n">
        <v>59.5</v>
      </c>
      <c r="H4962" s="2" t="s">
        <v>668</v>
      </c>
    </row>
    <row r="4963" customFormat="false" ht="15" hidden="false" customHeight="false" outlineLevel="0" collapsed="false">
      <c r="A4963" s="2" t="s">
        <v>2135</v>
      </c>
      <c r="B4963" s="2" t="s">
        <v>4104</v>
      </c>
      <c r="C4963" s="2" t="s">
        <v>4087</v>
      </c>
      <c r="D4963" s="2"/>
      <c r="E4963" s="31" t="n">
        <v>74.7</v>
      </c>
      <c r="F4963" s="31" t="n">
        <v>58.6</v>
      </c>
      <c r="G4963" s="31" t="n">
        <v>76</v>
      </c>
      <c r="H4963" s="2" t="s">
        <v>668</v>
      </c>
    </row>
    <row r="4964" customFormat="false" ht="15" hidden="false" customHeight="false" outlineLevel="0" collapsed="false">
      <c r="A4964" s="2" t="s">
        <v>2135</v>
      </c>
      <c r="B4964" s="2" t="s">
        <v>45</v>
      </c>
      <c r="C4964" s="2" t="s">
        <v>4085</v>
      </c>
      <c r="D4964" s="11" t="n">
        <v>2750</v>
      </c>
      <c r="E4964" s="31" t="n">
        <v>53.4</v>
      </c>
      <c r="F4964" s="2"/>
      <c r="G4964" s="31" t="n">
        <v>76.8</v>
      </c>
      <c r="H4964" s="2" t="s">
        <v>668</v>
      </c>
    </row>
    <row r="4965" customFormat="false" ht="15" hidden="false" customHeight="false" outlineLevel="0" collapsed="false">
      <c r="A4965" s="2" t="s">
        <v>2135</v>
      </c>
      <c r="B4965" s="2" t="s">
        <v>45</v>
      </c>
      <c r="C4965" s="2" t="s">
        <v>4086</v>
      </c>
      <c r="D4965" s="11" t="n">
        <v>2890</v>
      </c>
      <c r="E4965" s="31" t="n">
        <v>32.5</v>
      </c>
      <c r="F4965" s="2"/>
      <c r="G4965" s="2"/>
      <c r="H4965" s="2" t="s">
        <v>668</v>
      </c>
    </row>
    <row r="4966" customFormat="false" ht="15" hidden="false" customHeight="false" outlineLevel="0" collapsed="false">
      <c r="A4966" s="2" t="s">
        <v>2135</v>
      </c>
      <c r="B4966" s="2" t="s">
        <v>45</v>
      </c>
      <c r="C4966" s="2" t="s">
        <v>4087</v>
      </c>
      <c r="D4966" s="2"/>
      <c r="E4966" s="2"/>
      <c r="F4966" s="2"/>
      <c r="G4966" s="2"/>
      <c r="H4966" s="2" t="s">
        <v>668</v>
      </c>
    </row>
    <row r="4967" customFormat="false" ht="15" hidden="false" customHeight="false" outlineLevel="0" collapsed="false">
      <c r="A4967" s="2" t="s">
        <v>2135</v>
      </c>
      <c r="B4967" s="2" t="s">
        <v>46</v>
      </c>
      <c r="C4967" s="2" t="s">
        <v>4085</v>
      </c>
      <c r="D4967" s="2"/>
      <c r="E4967" s="2"/>
      <c r="F4967" s="2"/>
      <c r="G4967" s="2"/>
      <c r="H4967" s="2" t="s">
        <v>668</v>
      </c>
    </row>
    <row r="4968" customFormat="false" ht="15" hidden="false" customHeight="false" outlineLevel="0" collapsed="false">
      <c r="A4968" s="2" t="s">
        <v>2135</v>
      </c>
      <c r="B4968" s="2" t="s">
        <v>46</v>
      </c>
      <c r="C4968" s="2" t="s">
        <v>4086</v>
      </c>
      <c r="D4968" s="11" t="n">
        <v>36880</v>
      </c>
      <c r="E4968" s="31" t="n">
        <v>34.4</v>
      </c>
      <c r="F4968" s="31" t="n">
        <v>56</v>
      </c>
      <c r="G4968" s="31" t="n">
        <v>42.8</v>
      </c>
      <c r="H4968" s="2" t="s">
        <v>671</v>
      </c>
    </row>
    <row r="4969" customFormat="false" ht="15" hidden="false" customHeight="false" outlineLevel="0" collapsed="false">
      <c r="A4969" s="2" t="s">
        <v>2135</v>
      </c>
      <c r="B4969" s="2" t="s">
        <v>46</v>
      </c>
      <c r="C4969" s="2" t="s">
        <v>4087</v>
      </c>
      <c r="D4969" s="11" t="n">
        <v>37397</v>
      </c>
      <c r="E4969" s="2"/>
      <c r="F4969" s="31" t="n">
        <v>40.7</v>
      </c>
      <c r="G4969" s="2"/>
      <c r="H4969" s="2" t="s">
        <v>668</v>
      </c>
    </row>
    <row r="4970" customFormat="false" ht="15" hidden="false" customHeight="false" outlineLevel="0" collapsed="false">
      <c r="A4970" s="2" t="s">
        <v>2135</v>
      </c>
      <c r="B4970" s="2" t="s">
        <v>47</v>
      </c>
      <c r="C4970" s="2" t="s">
        <v>4085</v>
      </c>
      <c r="D4970" s="11" t="n">
        <v>31943</v>
      </c>
      <c r="E4970" s="31" t="n">
        <v>62.1</v>
      </c>
      <c r="F4970" s="31" t="n">
        <v>69.3</v>
      </c>
      <c r="G4970" s="31" t="n">
        <v>94.4</v>
      </c>
      <c r="H4970" s="2" t="s">
        <v>671</v>
      </c>
    </row>
    <row r="4971" customFormat="false" ht="15" hidden="false" customHeight="false" outlineLevel="0" collapsed="false">
      <c r="A4971" s="2" t="s">
        <v>2135</v>
      </c>
      <c r="B4971" s="2" t="s">
        <v>47</v>
      </c>
      <c r="C4971" s="2" t="s">
        <v>4086</v>
      </c>
      <c r="D4971" s="11" t="n">
        <v>33830</v>
      </c>
      <c r="E4971" s="31" t="n">
        <v>59.8</v>
      </c>
      <c r="F4971" s="31" t="n">
        <v>51</v>
      </c>
      <c r="G4971" s="31" t="n">
        <v>76.2</v>
      </c>
      <c r="H4971" s="2" t="s">
        <v>671</v>
      </c>
    </row>
    <row r="4972" customFormat="false" ht="15" hidden="false" customHeight="false" outlineLevel="0" collapsed="false">
      <c r="A4972" s="2" t="s">
        <v>2135</v>
      </c>
      <c r="B4972" s="2" t="s">
        <v>47</v>
      </c>
      <c r="C4972" s="2" t="s">
        <v>4087</v>
      </c>
      <c r="D4972" s="11" t="n">
        <v>33862</v>
      </c>
      <c r="E4972" s="31" t="n">
        <v>74.7</v>
      </c>
      <c r="F4972" s="31" t="n">
        <v>76.6</v>
      </c>
      <c r="G4972" s="31" t="n">
        <v>76</v>
      </c>
      <c r="H4972" s="2" t="s">
        <v>671</v>
      </c>
    </row>
    <row r="4973" customFormat="false" ht="15" hidden="false" customHeight="false" outlineLevel="0" collapsed="false">
      <c r="A4973" s="2" t="s">
        <v>1455</v>
      </c>
      <c r="B4973" s="2" t="s">
        <v>4104</v>
      </c>
      <c r="C4973" s="2" t="s">
        <v>4085</v>
      </c>
      <c r="D4973" s="2"/>
      <c r="E4973" s="31" t="n">
        <v>59</v>
      </c>
      <c r="F4973" s="31" t="n">
        <v>51.8</v>
      </c>
      <c r="G4973" s="31" t="n">
        <v>82.2</v>
      </c>
      <c r="H4973" s="2" t="s">
        <v>668</v>
      </c>
    </row>
    <row r="4974" customFormat="false" ht="15" hidden="false" customHeight="false" outlineLevel="0" collapsed="false">
      <c r="A4974" s="2" t="s">
        <v>1455</v>
      </c>
      <c r="B4974" s="2" t="s">
        <v>4104</v>
      </c>
      <c r="C4974" s="2" t="s">
        <v>4086</v>
      </c>
      <c r="D4974" s="2"/>
      <c r="E4974" s="31" t="n">
        <v>59.6</v>
      </c>
      <c r="F4974" s="31" t="n">
        <v>37.1</v>
      </c>
      <c r="G4974" s="31" t="n">
        <v>43.6</v>
      </c>
      <c r="H4974" s="2" t="s">
        <v>671</v>
      </c>
    </row>
    <row r="4975" customFormat="false" ht="15" hidden="false" customHeight="false" outlineLevel="0" collapsed="false">
      <c r="A4975" s="2" t="s">
        <v>1455</v>
      </c>
      <c r="B4975" s="2" t="s">
        <v>4104</v>
      </c>
      <c r="C4975" s="2" t="s">
        <v>4087</v>
      </c>
      <c r="D4975" s="2"/>
      <c r="E4975" s="31" t="n">
        <v>51.4</v>
      </c>
      <c r="F4975" s="31" t="n">
        <v>41.4</v>
      </c>
      <c r="G4975" s="31" t="n">
        <v>49.2</v>
      </c>
      <c r="H4975" s="2" t="s">
        <v>668</v>
      </c>
    </row>
    <row r="4976" customFormat="false" ht="15" hidden="false" customHeight="false" outlineLevel="0" collapsed="false">
      <c r="A4976" s="2" t="s">
        <v>1455</v>
      </c>
      <c r="B4976" s="2" t="s">
        <v>45</v>
      </c>
      <c r="C4976" s="2" t="s">
        <v>4085</v>
      </c>
      <c r="D4976" s="2"/>
      <c r="E4976" s="2"/>
      <c r="F4976" s="2"/>
      <c r="G4976" s="2"/>
      <c r="H4976" s="2" t="s">
        <v>668</v>
      </c>
    </row>
    <row r="4977" customFormat="false" ht="15" hidden="false" customHeight="false" outlineLevel="0" collapsed="false">
      <c r="A4977" s="2" t="s">
        <v>1455</v>
      </c>
      <c r="B4977" s="2" t="s">
        <v>45</v>
      </c>
      <c r="C4977" s="2" t="s">
        <v>4086</v>
      </c>
      <c r="D4977" s="11" t="n">
        <v>8720</v>
      </c>
      <c r="E4977" s="31" t="n">
        <v>79.4</v>
      </c>
      <c r="F4977" s="31" t="n">
        <v>5.6</v>
      </c>
      <c r="G4977" s="31" t="n">
        <v>53.4</v>
      </c>
      <c r="H4977" s="2" t="s">
        <v>671</v>
      </c>
    </row>
    <row r="4978" customFormat="false" ht="15" hidden="false" customHeight="false" outlineLevel="0" collapsed="false">
      <c r="A4978" s="2" t="s">
        <v>1455</v>
      </c>
      <c r="B4978" s="2" t="s">
        <v>45</v>
      </c>
      <c r="C4978" s="2" t="s">
        <v>4087</v>
      </c>
      <c r="D4978" s="2"/>
      <c r="E4978" s="2"/>
      <c r="F4978" s="2"/>
      <c r="G4978" s="2"/>
      <c r="H4978" s="2" t="s">
        <v>668</v>
      </c>
    </row>
    <row r="4979" customFormat="false" ht="15" hidden="false" customHeight="false" outlineLevel="0" collapsed="false">
      <c r="A4979" s="2" t="s">
        <v>1455</v>
      </c>
      <c r="B4979" s="2" t="s">
        <v>46</v>
      </c>
      <c r="C4979" s="2" t="s">
        <v>4085</v>
      </c>
      <c r="D4979" s="11" t="n">
        <v>107810</v>
      </c>
      <c r="E4979" s="31" t="n">
        <v>79.8</v>
      </c>
      <c r="F4979" s="31" t="n">
        <v>55.1</v>
      </c>
      <c r="G4979" s="2"/>
      <c r="H4979" s="2" t="s">
        <v>668</v>
      </c>
    </row>
    <row r="4980" customFormat="false" ht="15" hidden="false" customHeight="false" outlineLevel="0" collapsed="false">
      <c r="A4980" s="2" t="s">
        <v>1455</v>
      </c>
      <c r="B4980" s="2" t="s">
        <v>46</v>
      </c>
      <c r="C4980" s="2" t="s">
        <v>4086</v>
      </c>
      <c r="D4980" s="11" t="n">
        <v>109790</v>
      </c>
      <c r="E4980" s="31" t="n">
        <v>62.3</v>
      </c>
      <c r="F4980" s="31" t="n">
        <v>67.5</v>
      </c>
      <c r="G4980" s="31" t="n">
        <v>14.6</v>
      </c>
      <c r="H4980" s="2" t="s">
        <v>671</v>
      </c>
    </row>
    <row r="4981" customFormat="false" ht="15" hidden="false" customHeight="false" outlineLevel="0" collapsed="false">
      <c r="A4981" s="2" t="s">
        <v>1455</v>
      </c>
      <c r="B4981" s="2" t="s">
        <v>46</v>
      </c>
      <c r="C4981" s="2" t="s">
        <v>4087</v>
      </c>
      <c r="D4981" s="11" t="n">
        <v>114469</v>
      </c>
      <c r="E4981" s="31" t="n">
        <v>88.4</v>
      </c>
      <c r="F4981" s="31" t="n">
        <v>33.1</v>
      </c>
      <c r="G4981" s="31" t="n">
        <v>5.2</v>
      </c>
      <c r="H4981" s="2" t="s">
        <v>671</v>
      </c>
    </row>
    <row r="4982" customFormat="false" ht="15" hidden="false" customHeight="false" outlineLevel="0" collapsed="false">
      <c r="A4982" s="2" t="s">
        <v>1455</v>
      </c>
      <c r="B4982" s="2" t="s">
        <v>47</v>
      </c>
      <c r="C4982" s="2" t="s">
        <v>4085</v>
      </c>
      <c r="D4982" s="11" t="n">
        <v>28888</v>
      </c>
      <c r="E4982" s="31" t="n">
        <v>38.1</v>
      </c>
      <c r="F4982" s="31" t="n">
        <v>48.4</v>
      </c>
      <c r="G4982" s="31" t="n">
        <v>82.2</v>
      </c>
      <c r="H4982" s="2" t="s">
        <v>671</v>
      </c>
    </row>
    <row r="4983" customFormat="false" ht="15" hidden="false" customHeight="false" outlineLevel="0" collapsed="false">
      <c r="A4983" s="2" t="s">
        <v>1455</v>
      </c>
      <c r="B4983" s="2" t="s">
        <v>47</v>
      </c>
      <c r="C4983" s="2" t="s">
        <v>4086</v>
      </c>
      <c r="D4983" s="11" t="n">
        <v>28908</v>
      </c>
      <c r="E4983" s="31" t="n">
        <v>37</v>
      </c>
      <c r="F4983" s="31" t="n">
        <v>38.3</v>
      </c>
      <c r="G4983" s="31" t="n">
        <v>62.9</v>
      </c>
      <c r="H4983" s="2" t="s">
        <v>671</v>
      </c>
    </row>
    <row r="4984" customFormat="false" ht="15" hidden="false" customHeight="false" outlineLevel="0" collapsed="false">
      <c r="A4984" s="2" t="s">
        <v>1455</v>
      </c>
      <c r="B4984" s="2" t="s">
        <v>47</v>
      </c>
      <c r="C4984" s="2" t="s">
        <v>4087</v>
      </c>
      <c r="D4984" s="11" t="n">
        <v>30879</v>
      </c>
      <c r="E4984" s="31" t="n">
        <v>14.4</v>
      </c>
      <c r="F4984" s="31" t="n">
        <v>49.6</v>
      </c>
      <c r="G4984" s="31" t="n">
        <v>93.1</v>
      </c>
      <c r="H4984" s="2" t="s">
        <v>671</v>
      </c>
    </row>
    <row r="4985" customFormat="false" ht="15" hidden="false" customHeight="false" outlineLevel="0" collapsed="false">
      <c r="A4985" s="2" t="s">
        <v>290</v>
      </c>
      <c r="B4985" s="2" t="s">
        <v>4104</v>
      </c>
      <c r="C4985" s="2" t="s">
        <v>4085</v>
      </c>
      <c r="D4985" s="2"/>
      <c r="E4985" s="31" t="n">
        <v>55.8</v>
      </c>
      <c r="F4985" s="31" t="n">
        <v>66.8</v>
      </c>
      <c r="G4985" s="31" t="n">
        <v>32.1</v>
      </c>
      <c r="H4985" s="2" t="s">
        <v>668</v>
      </c>
    </row>
    <row r="4986" customFormat="false" ht="15" hidden="false" customHeight="false" outlineLevel="0" collapsed="false">
      <c r="A4986" s="2" t="s">
        <v>290</v>
      </c>
      <c r="B4986" s="2" t="s">
        <v>4104</v>
      </c>
      <c r="C4986" s="2" t="s">
        <v>4086</v>
      </c>
      <c r="D4986" s="2"/>
      <c r="E4986" s="31" t="n">
        <v>52</v>
      </c>
      <c r="F4986" s="31" t="n">
        <v>58.9</v>
      </c>
      <c r="G4986" s="31" t="n">
        <v>62.2</v>
      </c>
      <c r="H4986" s="2" t="s">
        <v>668</v>
      </c>
    </row>
    <row r="4987" customFormat="false" ht="15" hidden="false" customHeight="false" outlineLevel="0" collapsed="false">
      <c r="A4987" s="2" t="s">
        <v>290</v>
      </c>
      <c r="B4987" s="2" t="s">
        <v>4104</v>
      </c>
      <c r="C4987" s="2" t="s">
        <v>4087</v>
      </c>
      <c r="D4987" s="2"/>
      <c r="E4987" s="31" t="n">
        <v>59.3</v>
      </c>
      <c r="F4987" s="31" t="n">
        <v>65.8</v>
      </c>
      <c r="G4987" s="31" t="n">
        <v>25</v>
      </c>
      <c r="H4987" s="2" t="s">
        <v>671</v>
      </c>
    </row>
    <row r="4988" customFormat="false" ht="15" hidden="false" customHeight="false" outlineLevel="0" collapsed="false">
      <c r="A4988" s="2" t="s">
        <v>290</v>
      </c>
      <c r="B4988" s="2" t="s">
        <v>45</v>
      </c>
      <c r="C4988" s="2" t="s">
        <v>4085</v>
      </c>
      <c r="D4988" s="11" t="n">
        <v>82960</v>
      </c>
      <c r="E4988" s="31" t="n">
        <v>41</v>
      </c>
      <c r="F4988" s="31" t="n">
        <v>81</v>
      </c>
      <c r="G4988" s="2"/>
      <c r="H4988" s="2" t="s">
        <v>671</v>
      </c>
    </row>
    <row r="4989" customFormat="false" ht="15" hidden="false" customHeight="false" outlineLevel="0" collapsed="false">
      <c r="A4989" s="2" t="s">
        <v>290</v>
      </c>
      <c r="B4989" s="2" t="s">
        <v>45</v>
      </c>
      <c r="C4989" s="2" t="s">
        <v>4086</v>
      </c>
      <c r="D4989" s="11" t="n">
        <v>86250</v>
      </c>
      <c r="E4989" s="31" t="n">
        <v>45</v>
      </c>
      <c r="F4989" s="31" t="n">
        <v>63.9</v>
      </c>
      <c r="G4989" s="2"/>
      <c r="H4989" s="2" t="s">
        <v>671</v>
      </c>
    </row>
    <row r="4990" customFormat="false" ht="15" hidden="false" customHeight="false" outlineLevel="0" collapsed="false">
      <c r="A4990" s="2" t="s">
        <v>290</v>
      </c>
      <c r="B4990" s="2" t="s">
        <v>45</v>
      </c>
      <c r="C4990" s="2" t="s">
        <v>4087</v>
      </c>
      <c r="D4990" s="11" t="n">
        <v>92640</v>
      </c>
      <c r="E4990" s="31" t="n">
        <v>55.8</v>
      </c>
      <c r="F4990" s="31" t="n">
        <v>75.8</v>
      </c>
      <c r="G4990" s="2"/>
      <c r="H4990" s="2" t="s">
        <v>671</v>
      </c>
    </row>
    <row r="4991" customFormat="false" ht="15" hidden="false" customHeight="false" outlineLevel="0" collapsed="false">
      <c r="A4991" s="2" t="s">
        <v>290</v>
      </c>
      <c r="B4991" s="2" t="s">
        <v>46</v>
      </c>
      <c r="C4991" s="2" t="s">
        <v>4085</v>
      </c>
      <c r="D4991" s="11" t="n">
        <v>24460</v>
      </c>
      <c r="E4991" s="31" t="n">
        <v>75.1</v>
      </c>
      <c r="F4991" s="31" t="n">
        <v>87.3</v>
      </c>
      <c r="G4991" s="2"/>
      <c r="H4991" s="2" t="s">
        <v>668</v>
      </c>
    </row>
    <row r="4992" customFormat="false" ht="15" hidden="false" customHeight="false" outlineLevel="0" collapsed="false">
      <c r="A4992" s="2" t="s">
        <v>290</v>
      </c>
      <c r="B4992" s="2" t="s">
        <v>46</v>
      </c>
      <c r="C4992" s="2" t="s">
        <v>4086</v>
      </c>
      <c r="D4992" s="11" t="n">
        <v>24980</v>
      </c>
      <c r="E4992" s="31" t="n">
        <v>84.3</v>
      </c>
      <c r="F4992" s="31" t="n">
        <v>73.1</v>
      </c>
      <c r="G4992" s="2"/>
      <c r="H4992" s="2" t="s">
        <v>668</v>
      </c>
    </row>
    <row r="4993" customFormat="false" ht="15" hidden="false" customHeight="false" outlineLevel="0" collapsed="false">
      <c r="A4993" s="2" t="s">
        <v>290</v>
      </c>
      <c r="B4993" s="2" t="s">
        <v>46</v>
      </c>
      <c r="C4993" s="2" t="s">
        <v>4087</v>
      </c>
      <c r="D4993" s="11" t="n">
        <v>26110</v>
      </c>
      <c r="E4993" s="31" t="n">
        <v>91.5</v>
      </c>
      <c r="F4993" s="31" t="n">
        <v>65.6</v>
      </c>
      <c r="G4993" s="31" t="n">
        <v>44.3</v>
      </c>
      <c r="H4993" s="2" t="s">
        <v>671</v>
      </c>
    </row>
    <row r="4994" customFormat="false" ht="15" hidden="false" customHeight="false" outlineLevel="0" collapsed="false">
      <c r="A4994" s="2" t="s">
        <v>290</v>
      </c>
      <c r="B4994" s="2" t="s">
        <v>47</v>
      </c>
      <c r="C4994" s="2" t="s">
        <v>4085</v>
      </c>
      <c r="D4994" s="11" t="n">
        <v>23680</v>
      </c>
      <c r="E4994" s="31" t="n">
        <v>51.4</v>
      </c>
      <c r="F4994" s="31" t="n">
        <v>32</v>
      </c>
      <c r="G4994" s="31" t="n">
        <v>32.1</v>
      </c>
      <c r="H4994" s="2" t="s">
        <v>671</v>
      </c>
    </row>
    <row r="4995" customFormat="false" ht="15" hidden="false" customHeight="false" outlineLevel="0" collapsed="false">
      <c r="A4995" s="2" t="s">
        <v>290</v>
      </c>
      <c r="B4995" s="2" t="s">
        <v>47</v>
      </c>
      <c r="C4995" s="2" t="s">
        <v>4086</v>
      </c>
      <c r="D4995" s="11" t="n">
        <v>24350</v>
      </c>
      <c r="E4995" s="31" t="n">
        <v>26.6</v>
      </c>
      <c r="F4995" s="31" t="n">
        <v>39.6</v>
      </c>
      <c r="G4995" s="31" t="n">
        <v>62.2</v>
      </c>
      <c r="H4995" s="2" t="s">
        <v>671</v>
      </c>
    </row>
    <row r="4996" customFormat="false" ht="15" hidden="false" customHeight="false" outlineLevel="0" collapsed="false">
      <c r="A4996" s="2" t="s">
        <v>290</v>
      </c>
      <c r="B4996" s="2" t="s">
        <v>47</v>
      </c>
      <c r="C4996" s="2" t="s">
        <v>4087</v>
      </c>
      <c r="D4996" s="11" t="n">
        <v>25015</v>
      </c>
      <c r="E4996" s="31" t="n">
        <v>30.6</v>
      </c>
      <c r="F4996" s="31" t="n">
        <v>56</v>
      </c>
      <c r="G4996" s="31" t="n">
        <v>5.7</v>
      </c>
      <c r="H4996" s="2" t="s">
        <v>671</v>
      </c>
    </row>
    <row r="4997" customFormat="false" ht="15" hidden="false" customHeight="false" outlineLevel="0" collapsed="false">
      <c r="A4997" s="2" t="s">
        <v>3006</v>
      </c>
      <c r="B4997" s="2" t="s">
        <v>4104</v>
      </c>
      <c r="C4997" s="2" t="s">
        <v>4085</v>
      </c>
      <c r="D4997" s="2"/>
      <c r="E4997" s="31" t="n">
        <v>4.6</v>
      </c>
      <c r="F4997" s="31" t="n">
        <v>46.4</v>
      </c>
      <c r="G4997" s="31" t="n">
        <v>50.8</v>
      </c>
      <c r="H4997" s="2" t="s">
        <v>671</v>
      </c>
    </row>
    <row r="4998" customFormat="false" ht="15" hidden="false" customHeight="false" outlineLevel="0" collapsed="false">
      <c r="A4998" s="2" t="s">
        <v>3006</v>
      </c>
      <c r="B4998" s="2" t="s">
        <v>4104</v>
      </c>
      <c r="C4998" s="2" t="s">
        <v>4086</v>
      </c>
      <c r="D4998" s="2"/>
      <c r="E4998" s="31" t="n">
        <v>7.9</v>
      </c>
      <c r="F4998" s="31" t="n">
        <v>83.3</v>
      </c>
      <c r="G4998" s="2"/>
      <c r="H4998" s="2" t="s">
        <v>668</v>
      </c>
    </row>
    <row r="4999" customFormat="false" ht="15" hidden="false" customHeight="false" outlineLevel="0" collapsed="false">
      <c r="A4999" s="2" t="s">
        <v>3006</v>
      </c>
      <c r="B4999" s="2" t="s">
        <v>4104</v>
      </c>
      <c r="C4999" s="2" t="s">
        <v>4087</v>
      </c>
      <c r="D4999" s="2"/>
      <c r="E4999" s="31" t="n">
        <v>4.6</v>
      </c>
      <c r="F4999" s="31" t="n">
        <v>12.3</v>
      </c>
      <c r="G4999" s="2"/>
      <c r="H4999" s="2" t="s">
        <v>668</v>
      </c>
    </row>
    <row r="5000" customFormat="false" ht="15" hidden="false" customHeight="false" outlineLevel="0" collapsed="false">
      <c r="A5000" s="2" t="s">
        <v>3006</v>
      </c>
      <c r="B5000" s="2" t="s">
        <v>45</v>
      </c>
      <c r="C5000" s="2" t="s">
        <v>4085</v>
      </c>
      <c r="D5000" s="11" t="n">
        <v>96290</v>
      </c>
      <c r="E5000" s="31" t="n">
        <v>1.1</v>
      </c>
      <c r="F5000" s="31" t="n">
        <v>13.5</v>
      </c>
      <c r="G5000" s="31" t="n">
        <v>52.9</v>
      </c>
      <c r="H5000" s="2" t="s">
        <v>671</v>
      </c>
    </row>
    <row r="5001" customFormat="false" ht="15" hidden="false" customHeight="false" outlineLevel="0" collapsed="false">
      <c r="A5001" s="2" t="s">
        <v>3006</v>
      </c>
      <c r="B5001" s="2" t="s">
        <v>45</v>
      </c>
      <c r="C5001" s="2" t="s">
        <v>4086</v>
      </c>
      <c r="D5001" s="2"/>
      <c r="E5001" s="2"/>
      <c r="F5001" s="2"/>
      <c r="G5001" s="2"/>
      <c r="H5001" s="2" t="s">
        <v>668</v>
      </c>
    </row>
    <row r="5002" customFormat="false" ht="15" hidden="false" customHeight="false" outlineLevel="0" collapsed="false">
      <c r="A5002" s="2" t="s">
        <v>3006</v>
      </c>
      <c r="B5002" s="2" t="s">
        <v>45</v>
      </c>
      <c r="C5002" s="2" t="s">
        <v>4087</v>
      </c>
      <c r="D5002" s="11" t="n">
        <v>96190</v>
      </c>
      <c r="E5002" s="31" t="n">
        <v>1.1</v>
      </c>
      <c r="F5002" s="31" t="n">
        <v>12.3</v>
      </c>
      <c r="G5002" s="2"/>
      <c r="H5002" s="2" t="s">
        <v>668</v>
      </c>
    </row>
    <row r="5003" customFormat="false" ht="15" hidden="false" customHeight="false" outlineLevel="0" collapsed="false">
      <c r="A5003" s="2" t="s">
        <v>3006</v>
      </c>
      <c r="B5003" s="2" t="s">
        <v>46</v>
      </c>
      <c r="C5003" s="2" t="s">
        <v>4085</v>
      </c>
      <c r="D5003" s="11" t="n">
        <v>56980</v>
      </c>
      <c r="E5003" s="31" t="n">
        <v>8</v>
      </c>
      <c r="F5003" s="31" t="n">
        <v>79.4</v>
      </c>
      <c r="G5003" s="31" t="n">
        <v>48.6</v>
      </c>
      <c r="H5003" s="2" t="s">
        <v>671</v>
      </c>
    </row>
    <row r="5004" customFormat="false" ht="15" hidden="false" customHeight="false" outlineLevel="0" collapsed="false">
      <c r="A5004" s="2" t="s">
        <v>3006</v>
      </c>
      <c r="B5004" s="2" t="s">
        <v>46</v>
      </c>
      <c r="C5004" s="2" t="s">
        <v>4086</v>
      </c>
      <c r="D5004" s="11" t="n">
        <v>60310</v>
      </c>
      <c r="E5004" s="31" t="n">
        <v>7.9</v>
      </c>
      <c r="F5004" s="31" t="n">
        <v>83.3</v>
      </c>
      <c r="G5004" s="2"/>
      <c r="H5004" s="2" t="s">
        <v>668</v>
      </c>
    </row>
    <row r="5005" customFormat="false" ht="15" hidden="false" customHeight="false" outlineLevel="0" collapsed="false">
      <c r="A5005" s="2" t="s">
        <v>3006</v>
      </c>
      <c r="B5005" s="2" t="s">
        <v>46</v>
      </c>
      <c r="C5005" s="2" t="s">
        <v>4087</v>
      </c>
      <c r="D5005" s="11" t="n">
        <v>63410</v>
      </c>
      <c r="E5005" s="31" t="n">
        <v>8</v>
      </c>
      <c r="F5005" s="2"/>
      <c r="G5005" s="2"/>
      <c r="H5005" s="2" t="s">
        <v>668</v>
      </c>
    </row>
    <row r="5006" customFormat="false" ht="15" hidden="false" customHeight="false" outlineLevel="0" collapsed="false">
      <c r="A5006" s="2" t="s">
        <v>274</v>
      </c>
      <c r="B5006" s="2" t="s">
        <v>4104</v>
      </c>
      <c r="C5006" s="2" t="s">
        <v>4085</v>
      </c>
      <c r="D5006" s="2"/>
      <c r="E5006" s="31" t="n">
        <v>62.8</v>
      </c>
      <c r="F5006" s="2"/>
      <c r="G5006" s="31" t="n">
        <v>4.9</v>
      </c>
      <c r="H5006" s="2" t="s">
        <v>668</v>
      </c>
    </row>
    <row r="5007" customFormat="false" ht="15" hidden="false" customHeight="false" outlineLevel="0" collapsed="false">
      <c r="A5007" s="2" t="s">
        <v>274</v>
      </c>
      <c r="B5007" s="2" t="s">
        <v>4104</v>
      </c>
      <c r="C5007" s="2" t="s">
        <v>4086</v>
      </c>
      <c r="D5007" s="2"/>
      <c r="E5007" s="2"/>
      <c r="F5007" s="2"/>
      <c r="G5007" s="2"/>
      <c r="H5007" s="2" t="s">
        <v>668</v>
      </c>
    </row>
    <row r="5008" customFormat="false" ht="15" hidden="false" customHeight="false" outlineLevel="0" collapsed="false">
      <c r="A5008" s="2" t="s">
        <v>274</v>
      </c>
      <c r="B5008" s="2" t="s">
        <v>4104</v>
      </c>
      <c r="C5008" s="2" t="s">
        <v>4087</v>
      </c>
      <c r="D5008" s="2"/>
      <c r="E5008" s="31" t="n">
        <v>61.3</v>
      </c>
      <c r="F5008" s="31" t="n">
        <v>8.3</v>
      </c>
      <c r="G5008" s="31" t="n">
        <v>9.7</v>
      </c>
      <c r="H5008" s="2" t="s">
        <v>671</v>
      </c>
    </row>
    <row r="5009" customFormat="false" ht="15" hidden="false" customHeight="false" outlineLevel="0" collapsed="false">
      <c r="A5009" s="2" t="s">
        <v>274</v>
      </c>
      <c r="B5009" s="2" t="s">
        <v>45</v>
      </c>
      <c r="C5009" s="2" t="s">
        <v>4085</v>
      </c>
      <c r="D5009" s="11" t="n">
        <v>42830</v>
      </c>
      <c r="E5009" s="31" t="n">
        <v>62.8</v>
      </c>
      <c r="F5009" s="2"/>
      <c r="G5009" s="31" t="n">
        <v>4.9</v>
      </c>
      <c r="H5009" s="2" t="s">
        <v>668</v>
      </c>
    </row>
    <row r="5010" customFormat="false" ht="15" hidden="false" customHeight="false" outlineLevel="0" collapsed="false">
      <c r="A5010" s="2" t="s">
        <v>274</v>
      </c>
      <c r="B5010" s="2" t="s">
        <v>45</v>
      </c>
      <c r="C5010" s="2" t="s">
        <v>4086</v>
      </c>
      <c r="D5010" s="2"/>
      <c r="E5010" s="2"/>
      <c r="F5010" s="2"/>
      <c r="G5010" s="2"/>
      <c r="H5010" s="2" t="s">
        <v>668</v>
      </c>
    </row>
    <row r="5011" customFormat="false" ht="15" hidden="false" customHeight="false" outlineLevel="0" collapsed="false">
      <c r="A5011" s="2" t="s">
        <v>274</v>
      </c>
      <c r="B5011" s="2" t="s">
        <v>45</v>
      </c>
      <c r="C5011" s="2" t="s">
        <v>4087</v>
      </c>
      <c r="D5011" s="11" t="n">
        <v>45580</v>
      </c>
      <c r="E5011" s="31" t="n">
        <v>61.3</v>
      </c>
      <c r="F5011" s="31" t="n">
        <v>8.3</v>
      </c>
      <c r="G5011" s="31" t="n">
        <v>9.7</v>
      </c>
      <c r="H5011" s="2" t="s">
        <v>671</v>
      </c>
    </row>
    <row r="5012" customFormat="false" ht="15" hidden="false" customHeight="false" outlineLevel="0" collapsed="false">
      <c r="A5012" s="2" t="s">
        <v>861</v>
      </c>
      <c r="B5012" s="2" t="s">
        <v>4104</v>
      </c>
      <c r="C5012" s="2" t="s">
        <v>4085</v>
      </c>
      <c r="D5012" s="2"/>
      <c r="E5012" s="31" t="n">
        <v>19</v>
      </c>
      <c r="F5012" s="31" t="n">
        <v>53.9</v>
      </c>
      <c r="G5012" s="31" t="n">
        <v>80.2</v>
      </c>
      <c r="H5012" s="2" t="s">
        <v>668</v>
      </c>
    </row>
    <row r="5013" customFormat="false" ht="15" hidden="false" customHeight="false" outlineLevel="0" collapsed="false">
      <c r="A5013" s="2" t="s">
        <v>861</v>
      </c>
      <c r="B5013" s="2" t="s">
        <v>4104</v>
      </c>
      <c r="C5013" s="2" t="s">
        <v>4086</v>
      </c>
      <c r="D5013" s="2"/>
      <c r="E5013" s="31" t="n">
        <v>35.2</v>
      </c>
      <c r="F5013" s="31" t="n">
        <v>51.8</v>
      </c>
      <c r="G5013" s="31" t="n">
        <v>51.9</v>
      </c>
      <c r="H5013" s="2" t="s">
        <v>668</v>
      </c>
    </row>
    <row r="5014" customFormat="false" ht="15" hidden="false" customHeight="false" outlineLevel="0" collapsed="false">
      <c r="A5014" s="2" t="s">
        <v>861</v>
      </c>
      <c r="B5014" s="2" t="s">
        <v>4104</v>
      </c>
      <c r="C5014" s="2" t="s">
        <v>4087</v>
      </c>
      <c r="D5014" s="2"/>
      <c r="E5014" s="31" t="n">
        <v>40.1</v>
      </c>
      <c r="F5014" s="31" t="n">
        <v>12.8</v>
      </c>
      <c r="G5014" s="31" t="n">
        <v>65.3</v>
      </c>
      <c r="H5014" s="2" t="s">
        <v>668</v>
      </c>
    </row>
    <row r="5015" customFormat="false" ht="15" hidden="false" customHeight="false" outlineLevel="0" collapsed="false">
      <c r="A5015" s="2" t="s">
        <v>861</v>
      </c>
      <c r="B5015" s="2" t="s">
        <v>45</v>
      </c>
      <c r="C5015" s="2" t="s">
        <v>4085</v>
      </c>
      <c r="D5015" s="2"/>
      <c r="E5015" s="2"/>
      <c r="F5015" s="2"/>
      <c r="G5015" s="2"/>
      <c r="H5015" s="2" t="s">
        <v>668</v>
      </c>
    </row>
    <row r="5016" customFormat="false" ht="15" hidden="false" customHeight="false" outlineLevel="0" collapsed="false">
      <c r="A5016" s="2" t="s">
        <v>861</v>
      </c>
      <c r="B5016" s="2" t="s">
        <v>45</v>
      </c>
      <c r="C5016" s="2" t="s">
        <v>4086</v>
      </c>
      <c r="D5016" s="11" t="n">
        <v>4130</v>
      </c>
      <c r="E5016" s="31" t="n">
        <v>86.6</v>
      </c>
      <c r="F5016" s="2"/>
      <c r="G5016" s="31" t="n">
        <v>3.3</v>
      </c>
      <c r="H5016" s="2" t="s">
        <v>668</v>
      </c>
    </row>
    <row r="5017" customFormat="false" ht="15" hidden="false" customHeight="false" outlineLevel="0" collapsed="false">
      <c r="A5017" s="2" t="s">
        <v>861</v>
      </c>
      <c r="B5017" s="2" t="s">
        <v>45</v>
      </c>
      <c r="C5017" s="2" t="s">
        <v>4087</v>
      </c>
      <c r="D5017" s="11" t="n">
        <v>4102</v>
      </c>
      <c r="E5017" s="31" t="n">
        <v>74.1</v>
      </c>
      <c r="F5017" s="31" t="n">
        <v>3.7</v>
      </c>
      <c r="G5017" s="31" t="n">
        <v>72.7</v>
      </c>
      <c r="H5017" s="2" t="s">
        <v>671</v>
      </c>
    </row>
    <row r="5018" customFormat="false" ht="15" hidden="false" customHeight="false" outlineLevel="0" collapsed="false">
      <c r="A5018" s="2" t="s">
        <v>861</v>
      </c>
      <c r="B5018" s="2" t="s">
        <v>46</v>
      </c>
      <c r="C5018" s="2" t="s">
        <v>4085</v>
      </c>
      <c r="D5018" s="11" t="n">
        <v>1065950</v>
      </c>
      <c r="E5018" s="31" t="n">
        <v>35.2</v>
      </c>
      <c r="F5018" s="31" t="n">
        <v>88.9</v>
      </c>
      <c r="G5018" s="31" t="n">
        <v>67.8</v>
      </c>
      <c r="H5018" s="2" t="s">
        <v>671</v>
      </c>
    </row>
    <row r="5019" customFormat="false" ht="15" hidden="false" customHeight="false" outlineLevel="0" collapsed="false">
      <c r="A5019" s="2" t="s">
        <v>861</v>
      </c>
      <c r="B5019" s="2" t="s">
        <v>46</v>
      </c>
      <c r="C5019" s="2" t="s">
        <v>4086</v>
      </c>
      <c r="D5019" s="11" t="n">
        <v>1109910</v>
      </c>
      <c r="E5019" s="31" t="n">
        <v>18.7</v>
      </c>
      <c r="F5019" s="31" t="n">
        <v>75</v>
      </c>
      <c r="G5019" s="31" t="n">
        <v>74.8</v>
      </c>
      <c r="H5019" s="2" t="s">
        <v>671</v>
      </c>
    </row>
    <row r="5020" customFormat="false" ht="15" hidden="false" customHeight="false" outlineLevel="0" collapsed="false">
      <c r="A5020" s="2" t="s">
        <v>861</v>
      </c>
      <c r="B5020" s="2" t="s">
        <v>46</v>
      </c>
      <c r="C5020" s="2" t="s">
        <v>4087</v>
      </c>
      <c r="D5020" s="2"/>
      <c r="E5020" s="2"/>
      <c r="F5020" s="2"/>
      <c r="G5020" s="2"/>
      <c r="H5020" s="2" t="s">
        <v>668</v>
      </c>
    </row>
    <row r="5021" customFormat="false" ht="15" hidden="false" customHeight="false" outlineLevel="0" collapsed="false">
      <c r="A5021" s="2" t="s">
        <v>861</v>
      </c>
      <c r="B5021" s="2" t="s">
        <v>47</v>
      </c>
      <c r="C5021" s="2" t="s">
        <v>4085</v>
      </c>
      <c r="D5021" s="11" t="n">
        <v>9719</v>
      </c>
      <c r="E5021" s="31" t="n">
        <v>2.9</v>
      </c>
      <c r="F5021" s="31" t="n">
        <v>18.9</v>
      </c>
      <c r="G5021" s="31" t="n">
        <v>92.6</v>
      </c>
      <c r="H5021" s="2" t="s">
        <v>671</v>
      </c>
    </row>
    <row r="5022" customFormat="false" ht="15" hidden="false" customHeight="false" outlineLevel="0" collapsed="false">
      <c r="A5022" s="2" t="s">
        <v>861</v>
      </c>
      <c r="B5022" s="2" t="s">
        <v>47</v>
      </c>
      <c r="C5022" s="2" t="s">
        <v>4086</v>
      </c>
      <c r="D5022" s="11" t="n">
        <v>9980</v>
      </c>
      <c r="E5022" s="31" t="n">
        <v>0.2</v>
      </c>
      <c r="F5022" s="31" t="n">
        <v>28.7</v>
      </c>
      <c r="G5022" s="31" t="n">
        <v>77.6</v>
      </c>
      <c r="H5022" s="2" t="s">
        <v>671</v>
      </c>
    </row>
    <row r="5023" customFormat="false" ht="15" hidden="false" customHeight="false" outlineLevel="0" collapsed="false">
      <c r="A5023" s="2" t="s">
        <v>861</v>
      </c>
      <c r="B5023" s="2" t="s">
        <v>47</v>
      </c>
      <c r="C5023" s="2" t="s">
        <v>4087</v>
      </c>
      <c r="D5023" s="11" t="n">
        <v>10144</v>
      </c>
      <c r="E5023" s="31" t="n">
        <v>6.1</v>
      </c>
      <c r="F5023" s="31" t="n">
        <v>22</v>
      </c>
      <c r="G5023" s="31" t="n">
        <v>57.9</v>
      </c>
      <c r="H5023" s="2" t="s">
        <v>671</v>
      </c>
    </row>
    <row r="5024" customFormat="false" ht="15" hidden="false" customHeight="false" outlineLevel="0" collapsed="false">
      <c r="A5024" s="2" t="s">
        <v>999</v>
      </c>
      <c r="B5024" s="2" t="s">
        <v>4104</v>
      </c>
      <c r="C5024" s="2" t="s">
        <v>4085</v>
      </c>
      <c r="D5024" s="2"/>
      <c r="E5024" s="31" t="n">
        <v>56.6</v>
      </c>
      <c r="F5024" s="31" t="n">
        <v>44.1</v>
      </c>
      <c r="G5024" s="31" t="n">
        <v>28.5</v>
      </c>
      <c r="H5024" s="2" t="s">
        <v>671</v>
      </c>
    </row>
    <row r="5025" customFormat="false" ht="15" hidden="false" customHeight="false" outlineLevel="0" collapsed="false">
      <c r="A5025" s="2" t="s">
        <v>999</v>
      </c>
      <c r="B5025" s="2" t="s">
        <v>4104</v>
      </c>
      <c r="C5025" s="2" t="s">
        <v>4086</v>
      </c>
      <c r="D5025" s="2"/>
      <c r="E5025" s="31" t="n">
        <v>71.4</v>
      </c>
      <c r="F5025" s="31" t="n">
        <v>39.1</v>
      </c>
      <c r="G5025" s="31" t="n">
        <v>45.3</v>
      </c>
      <c r="H5025" s="2" t="s">
        <v>671</v>
      </c>
    </row>
    <row r="5026" customFormat="false" ht="15" hidden="false" customHeight="false" outlineLevel="0" collapsed="false">
      <c r="A5026" s="2" t="s">
        <v>999</v>
      </c>
      <c r="B5026" s="2" t="s">
        <v>4104</v>
      </c>
      <c r="C5026" s="2" t="s">
        <v>4087</v>
      </c>
      <c r="D5026" s="2"/>
      <c r="E5026" s="31" t="n">
        <v>65</v>
      </c>
      <c r="F5026" s="31" t="n">
        <v>79</v>
      </c>
      <c r="G5026" s="31" t="n">
        <v>39.5</v>
      </c>
      <c r="H5026" s="2" t="s">
        <v>668</v>
      </c>
    </row>
    <row r="5027" customFormat="false" ht="15" hidden="false" customHeight="false" outlineLevel="0" collapsed="false">
      <c r="A5027" s="2" t="s">
        <v>999</v>
      </c>
      <c r="B5027" s="2" t="s">
        <v>45</v>
      </c>
      <c r="C5027" s="2" t="s">
        <v>4085</v>
      </c>
      <c r="D5027" s="11" t="n">
        <v>307440</v>
      </c>
      <c r="E5027" s="31" t="n">
        <v>40.8</v>
      </c>
      <c r="F5027" s="31" t="n">
        <v>32.9</v>
      </c>
      <c r="G5027" s="31" t="n">
        <v>30</v>
      </c>
      <c r="H5027" s="2" t="s">
        <v>671</v>
      </c>
    </row>
    <row r="5028" customFormat="false" ht="15" hidden="false" customHeight="false" outlineLevel="0" collapsed="false">
      <c r="A5028" s="2" t="s">
        <v>999</v>
      </c>
      <c r="B5028" s="2" t="s">
        <v>45</v>
      </c>
      <c r="C5028" s="2" t="s">
        <v>4086</v>
      </c>
      <c r="D5028" s="11" t="n">
        <v>311390</v>
      </c>
      <c r="E5028" s="31" t="n">
        <v>66</v>
      </c>
      <c r="F5028" s="31" t="n">
        <v>24.3</v>
      </c>
      <c r="G5028" s="31" t="n">
        <v>24</v>
      </c>
      <c r="H5028" s="2" t="s">
        <v>671</v>
      </c>
    </row>
    <row r="5029" customFormat="false" ht="15" hidden="false" customHeight="false" outlineLevel="0" collapsed="false">
      <c r="A5029" s="2" t="s">
        <v>999</v>
      </c>
      <c r="B5029" s="2" t="s">
        <v>45</v>
      </c>
      <c r="C5029" s="2" t="s">
        <v>4087</v>
      </c>
      <c r="D5029" s="11" t="n">
        <v>316090</v>
      </c>
      <c r="E5029" s="31" t="n">
        <v>54.9</v>
      </c>
      <c r="F5029" s="31" t="n">
        <v>60.1</v>
      </c>
      <c r="G5029" s="31" t="n">
        <v>24</v>
      </c>
      <c r="H5029" s="2" t="s">
        <v>671</v>
      </c>
    </row>
    <row r="5030" customFormat="false" ht="15" hidden="false" customHeight="false" outlineLevel="0" collapsed="false">
      <c r="A5030" s="2" t="s">
        <v>999</v>
      </c>
      <c r="B5030" s="2" t="s">
        <v>46</v>
      </c>
      <c r="C5030" s="2" t="s">
        <v>4085</v>
      </c>
      <c r="D5030" s="11" t="n">
        <v>208992</v>
      </c>
      <c r="E5030" s="31" t="n">
        <v>86.9</v>
      </c>
      <c r="F5030" s="31" t="n">
        <v>1.3</v>
      </c>
      <c r="G5030" s="31" t="n">
        <v>7.1</v>
      </c>
      <c r="H5030" s="2" t="s">
        <v>671</v>
      </c>
    </row>
    <row r="5031" customFormat="false" ht="15" hidden="false" customHeight="false" outlineLevel="0" collapsed="false">
      <c r="A5031" s="2" t="s">
        <v>999</v>
      </c>
      <c r="B5031" s="2" t="s">
        <v>46</v>
      </c>
      <c r="C5031" s="2" t="s">
        <v>4086</v>
      </c>
      <c r="D5031" s="11" t="n">
        <v>194560</v>
      </c>
      <c r="E5031" s="31" t="n">
        <v>76.6</v>
      </c>
      <c r="F5031" s="31" t="n">
        <v>0.6</v>
      </c>
      <c r="G5031" s="31" t="n">
        <v>61.8</v>
      </c>
      <c r="H5031" s="2" t="s">
        <v>671</v>
      </c>
    </row>
    <row r="5032" customFormat="false" ht="15" hidden="false" customHeight="false" outlineLevel="0" collapsed="false">
      <c r="A5032" s="2" t="s">
        <v>999</v>
      </c>
      <c r="B5032" s="2" t="s">
        <v>46</v>
      </c>
      <c r="C5032" s="2" t="s">
        <v>4087</v>
      </c>
      <c r="D5032" s="11" t="n">
        <v>183440</v>
      </c>
      <c r="E5032" s="31" t="n">
        <v>73.2</v>
      </c>
      <c r="F5032" s="2"/>
      <c r="G5032" s="31" t="n">
        <v>49</v>
      </c>
      <c r="H5032" s="2" t="s">
        <v>668</v>
      </c>
    </row>
    <row r="5033" customFormat="false" ht="15" hidden="false" customHeight="false" outlineLevel="0" collapsed="false">
      <c r="A5033" s="2" t="s">
        <v>999</v>
      </c>
      <c r="B5033" s="2" t="s">
        <v>47</v>
      </c>
      <c r="C5033" s="2" t="s">
        <v>4085</v>
      </c>
      <c r="D5033" s="11" t="n">
        <v>17780</v>
      </c>
      <c r="E5033" s="31" t="n">
        <v>42</v>
      </c>
      <c r="F5033" s="31" t="n">
        <v>98</v>
      </c>
      <c r="G5033" s="31" t="n">
        <v>48.5</v>
      </c>
      <c r="H5033" s="2" t="s">
        <v>671</v>
      </c>
    </row>
    <row r="5034" customFormat="false" ht="15" hidden="false" customHeight="false" outlineLevel="0" collapsed="false">
      <c r="A5034" s="2" t="s">
        <v>999</v>
      </c>
      <c r="B5034" s="2" t="s">
        <v>47</v>
      </c>
      <c r="C5034" s="2" t="s">
        <v>4086</v>
      </c>
      <c r="D5034" s="11" t="n">
        <v>19000</v>
      </c>
      <c r="E5034" s="31" t="n">
        <v>71.6</v>
      </c>
      <c r="F5034" s="31" t="n">
        <v>92.5</v>
      </c>
      <c r="G5034" s="31" t="n">
        <v>50.2</v>
      </c>
      <c r="H5034" s="2" t="s">
        <v>671</v>
      </c>
    </row>
    <row r="5035" customFormat="false" ht="15" hidden="false" customHeight="false" outlineLevel="0" collapsed="false">
      <c r="A5035" s="2" t="s">
        <v>999</v>
      </c>
      <c r="B5035" s="2" t="s">
        <v>47</v>
      </c>
      <c r="C5035" s="2" t="s">
        <v>4087</v>
      </c>
      <c r="D5035" s="11" t="n">
        <v>20832</v>
      </c>
      <c r="E5035" s="31" t="n">
        <v>66.9</v>
      </c>
      <c r="F5035" s="31" t="n">
        <v>97.9</v>
      </c>
      <c r="G5035" s="31" t="n">
        <v>45.5</v>
      </c>
      <c r="H5035" s="2" t="s">
        <v>671</v>
      </c>
    </row>
    <row r="5036" customFormat="false" ht="15" hidden="false" customHeight="false" outlineLevel="0" collapsed="false">
      <c r="A5036" s="2" t="s">
        <v>292</v>
      </c>
      <c r="B5036" s="2" t="s">
        <v>4104</v>
      </c>
      <c r="C5036" s="2" t="s">
        <v>4085</v>
      </c>
      <c r="D5036" s="2"/>
      <c r="E5036" s="31" t="n">
        <v>58.5</v>
      </c>
      <c r="F5036" s="31" t="n">
        <v>38.9</v>
      </c>
      <c r="G5036" s="31" t="n">
        <v>64.9</v>
      </c>
      <c r="H5036" s="2" t="s">
        <v>671</v>
      </c>
    </row>
    <row r="5037" customFormat="false" ht="15" hidden="false" customHeight="false" outlineLevel="0" collapsed="false">
      <c r="A5037" s="2" t="s">
        <v>292</v>
      </c>
      <c r="B5037" s="2" t="s">
        <v>4104</v>
      </c>
      <c r="C5037" s="2" t="s">
        <v>4086</v>
      </c>
      <c r="D5037" s="2"/>
      <c r="E5037" s="31" t="n">
        <v>53.6</v>
      </c>
      <c r="F5037" s="31" t="n">
        <v>35</v>
      </c>
      <c r="G5037" s="2"/>
      <c r="H5037" s="2" t="s">
        <v>668</v>
      </c>
    </row>
    <row r="5038" customFormat="false" ht="15" hidden="false" customHeight="false" outlineLevel="0" collapsed="false">
      <c r="A5038" s="2" t="s">
        <v>292</v>
      </c>
      <c r="B5038" s="2" t="s">
        <v>4104</v>
      </c>
      <c r="C5038" s="2" t="s">
        <v>4087</v>
      </c>
      <c r="D5038" s="2"/>
      <c r="E5038" s="31" t="n">
        <v>59.1</v>
      </c>
      <c r="F5038" s="31" t="n">
        <v>50.7</v>
      </c>
      <c r="G5038" s="31" t="n">
        <v>19.8</v>
      </c>
      <c r="H5038" s="2" t="s">
        <v>671</v>
      </c>
    </row>
    <row r="5039" customFormat="false" ht="15" hidden="false" customHeight="false" outlineLevel="0" collapsed="false">
      <c r="A5039" s="2" t="s">
        <v>292</v>
      </c>
      <c r="B5039" s="2" t="s">
        <v>47</v>
      </c>
      <c r="C5039" s="2" t="s">
        <v>4085</v>
      </c>
      <c r="D5039" s="11" t="n">
        <v>7959</v>
      </c>
      <c r="E5039" s="31" t="n">
        <v>58.5</v>
      </c>
      <c r="F5039" s="31" t="n">
        <v>38.9</v>
      </c>
      <c r="G5039" s="31" t="n">
        <v>64.9</v>
      </c>
      <c r="H5039" s="2" t="s">
        <v>671</v>
      </c>
    </row>
    <row r="5040" customFormat="false" ht="15" hidden="false" customHeight="false" outlineLevel="0" collapsed="false">
      <c r="A5040" s="2" t="s">
        <v>292</v>
      </c>
      <c r="B5040" s="2" t="s">
        <v>47</v>
      </c>
      <c r="C5040" s="2" t="s">
        <v>4086</v>
      </c>
      <c r="D5040" s="11" t="n">
        <v>8250</v>
      </c>
      <c r="E5040" s="31" t="n">
        <v>53.6</v>
      </c>
      <c r="F5040" s="31" t="n">
        <v>35</v>
      </c>
      <c r="G5040" s="2"/>
      <c r="H5040" s="2" t="s">
        <v>668</v>
      </c>
    </row>
    <row r="5041" customFormat="false" ht="15" hidden="false" customHeight="false" outlineLevel="0" collapsed="false">
      <c r="A5041" s="2" t="s">
        <v>292</v>
      </c>
      <c r="B5041" s="2" t="s">
        <v>47</v>
      </c>
      <c r="C5041" s="2" t="s">
        <v>4087</v>
      </c>
      <c r="D5041" s="11" t="n">
        <v>8273</v>
      </c>
      <c r="E5041" s="31" t="n">
        <v>59.1</v>
      </c>
      <c r="F5041" s="31" t="n">
        <v>50.7</v>
      </c>
      <c r="G5041" s="31" t="n">
        <v>19.8</v>
      </c>
      <c r="H5041" s="2" t="s">
        <v>671</v>
      </c>
    </row>
    <row r="5042" customFormat="false" ht="15" hidden="false" customHeight="false" outlineLevel="0" collapsed="false">
      <c r="A5042" s="2" t="s">
        <v>1420</v>
      </c>
      <c r="B5042" s="2" t="s">
        <v>4104</v>
      </c>
      <c r="C5042" s="2" t="s">
        <v>4085</v>
      </c>
      <c r="D5042" s="2"/>
      <c r="E5042" s="31" t="n">
        <v>54.8</v>
      </c>
      <c r="F5042" s="31" t="n">
        <v>83</v>
      </c>
      <c r="G5042" s="31" t="n">
        <v>26.2</v>
      </c>
      <c r="H5042" s="2" t="s">
        <v>671</v>
      </c>
    </row>
    <row r="5043" customFormat="false" ht="15" hidden="false" customHeight="false" outlineLevel="0" collapsed="false">
      <c r="A5043" s="2" t="s">
        <v>1420</v>
      </c>
      <c r="B5043" s="2" t="s">
        <v>4104</v>
      </c>
      <c r="C5043" s="2" t="s">
        <v>4086</v>
      </c>
      <c r="D5043" s="2"/>
      <c r="E5043" s="31" t="n">
        <v>28.6</v>
      </c>
      <c r="F5043" s="31" t="n">
        <v>90.9</v>
      </c>
      <c r="G5043" s="31" t="n">
        <v>20.5</v>
      </c>
      <c r="H5043" s="2" t="s">
        <v>668</v>
      </c>
    </row>
    <row r="5044" customFormat="false" ht="15" hidden="false" customHeight="false" outlineLevel="0" collapsed="false">
      <c r="A5044" s="2" t="s">
        <v>1420</v>
      </c>
      <c r="B5044" s="2" t="s">
        <v>4104</v>
      </c>
      <c r="C5044" s="2" t="s">
        <v>4087</v>
      </c>
      <c r="D5044" s="2"/>
      <c r="E5044" s="31" t="n">
        <v>92.2</v>
      </c>
      <c r="F5044" s="31" t="n">
        <v>94</v>
      </c>
      <c r="G5044" s="31" t="n">
        <v>38.4</v>
      </c>
      <c r="H5044" s="2" t="s">
        <v>668</v>
      </c>
    </row>
    <row r="5045" customFormat="false" ht="15" hidden="false" customHeight="false" outlineLevel="0" collapsed="false">
      <c r="A5045" s="2" t="s">
        <v>1420</v>
      </c>
      <c r="B5045" s="2" t="s">
        <v>46</v>
      </c>
      <c r="C5045" s="2" t="s">
        <v>4085</v>
      </c>
      <c r="D5045" s="11" t="n">
        <v>132490</v>
      </c>
      <c r="E5045" s="31" t="n">
        <v>85.3</v>
      </c>
      <c r="F5045" s="31" t="n">
        <v>85.9</v>
      </c>
      <c r="G5045" s="31" t="n">
        <v>17.1</v>
      </c>
      <c r="H5045" s="2" t="s">
        <v>671</v>
      </c>
    </row>
    <row r="5046" customFormat="false" ht="15" hidden="false" customHeight="false" outlineLevel="0" collapsed="false">
      <c r="A5046" s="2" t="s">
        <v>1420</v>
      </c>
      <c r="B5046" s="2" t="s">
        <v>46</v>
      </c>
      <c r="C5046" s="2" t="s">
        <v>4086</v>
      </c>
      <c r="D5046" s="2"/>
      <c r="E5046" s="2"/>
      <c r="F5046" s="2"/>
      <c r="G5046" s="31" t="n">
        <v>15.7</v>
      </c>
      <c r="H5046" s="2" t="s">
        <v>668</v>
      </c>
    </row>
    <row r="5047" customFormat="false" ht="15" hidden="false" customHeight="false" outlineLevel="0" collapsed="false">
      <c r="A5047" s="2" t="s">
        <v>1420</v>
      </c>
      <c r="B5047" s="2" t="s">
        <v>46</v>
      </c>
      <c r="C5047" s="2" t="s">
        <v>4087</v>
      </c>
      <c r="D5047" s="11" t="n">
        <v>146250</v>
      </c>
      <c r="E5047" s="31" t="n">
        <v>92.2</v>
      </c>
      <c r="F5047" s="31" t="n">
        <v>94</v>
      </c>
      <c r="G5047" s="31" t="n">
        <v>25.9</v>
      </c>
      <c r="H5047" s="2" t="s">
        <v>671</v>
      </c>
    </row>
    <row r="5048" customFormat="false" ht="15" hidden="false" customHeight="false" outlineLevel="0" collapsed="false">
      <c r="A5048" s="2" t="s">
        <v>1420</v>
      </c>
      <c r="B5048" s="2" t="s">
        <v>47</v>
      </c>
      <c r="C5048" s="2" t="s">
        <v>4085</v>
      </c>
      <c r="D5048" s="11" t="n">
        <v>25311</v>
      </c>
      <c r="E5048" s="31" t="n">
        <v>24.4</v>
      </c>
      <c r="F5048" s="31" t="n">
        <v>80.1</v>
      </c>
      <c r="G5048" s="31" t="n">
        <v>35.4</v>
      </c>
      <c r="H5048" s="2" t="s">
        <v>671</v>
      </c>
    </row>
    <row r="5049" customFormat="false" ht="15" hidden="false" customHeight="false" outlineLevel="0" collapsed="false">
      <c r="A5049" s="2" t="s">
        <v>1420</v>
      </c>
      <c r="B5049" s="2" t="s">
        <v>47</v>
      </c>
      <c r="C5049" s="2" t="s">
        <v>4086</v>
      </c>
      <c r="D5049" s="11" t="n">
        <v>26909</v>
      </c>
      <c r="E5049" s="31" t="n">
        <v>28.6</v>
      </c>
      <c r="F5049" s="31" t="n">
        <v>90.9</v>
      </c>
      <c r="G5049" s="31" t="n">
        <v>25.4</v>
      </c>
      <c r="H5049" s="2" t="s">
        <v>671</v>
      </c>
    </row>
    <row r="5050" customFormat="false" ht="15" hidden="false" customHeight="false" outlineLevel="0" collapsed="false">
      <c r="A5050" s="2" t="s">
        <v>1420</v>
      </c>
      <c r="B5050" s="2" t="s">
        <v>47</v>
      </c>
      <c r="C5050" s="2" t="s">
        <v>4087</v>
      </c>
      <c r="D5050" s="11" t="n">
        <v>27783</v>
      </c>
      <c r="E5050" s="2"/>
      <c r="F5050" s="2"/>
      <c r="G5050" s="31" t="n">
        <v>50.9</v>
      </c>
      <c r="H5050" s="2" t="s">
        <v>668</v>
      </c>
    </row>
    <row r="5051" customFormat="false" ht="15" hidden="false" customHeight="false" outlineLevel="0" collapsed="false">
      <c r="A5051" s="2" t="s">
        <v>906</v>
      </c>
      <c r="B5051" s="2" t="s">
        <v>4104</v>
      </c>
      <c r="C5051" s="2" t="s">
        <v>4085</v>
      </c>
      <c r="D5051" s="2"/>
      <c r="E5051" s="31" t="n">
        <v>42.3</v>
      </c>
      <c r="F5051" s="31" t="n">
        <v>33.4</v>
      </c>
      <c r="G5051" s="31" t="n">
        <v>52.6</v>
      </c>
      <c r="H5051" s="2" t="s">
        <v>668</v>
      </c>
    </row>
    <row r="5052" customFormat="false" ht="15" hidden="false" customHeight="false" outlineLevel="0" collapsed="false">
      <c r="A5052" s="2" t="s">
        <v>906</v>
      </c>
      <c r="B5052" s="2" t="s">
        <v>4104</v>
      </c>
      <c r="C5052" s="2" t="s">
        <v>4086</v>
      </c>
      <c r="D5052" s="2"/>
      <c r="E5052" s="31" t="n">
        <v>36.4</v>
      </c>
      <c r="F5052" s="31" t="n">
        <v>39.1</v>
      </c>
      <c r="G5052" s="31" t="n">
        <v>64.4</v>
      </c>
      <c r="H5052" s="2" t="s">
        <v>668</v>
      </c>
    </row>
    <row r="5053" customFormat="false" ht="15" hidden="false" customHeight="false" outlineLevel="0" collapsed="false">
      <c r="A5053" s="2" t="s">
        <v>906</v>
      </c>
      <c r="B5053" s="2" t="s">
        <v>4104</v>
      </c>
      <c r="C5053" s="2" t="s">
        <v>4087</v>
      </c>
      <c r="D5053" s="2"/>
      <c r="E5053" s="31" t="n">
        <v>32.9</v>
      </c>
      <c r="F5053" s="31" t="n">
        <v>53.9</v>
      </c>
      <c r="G5053" s="31" t="n">
        <v>59.8</v>
      </c>
      <c r="H5053" s="2" t="s">
        <v>668</v>
      </c>
    </row>
    <row r="5054" customFormat="false" ht="15" hidden="false" customHeight="false" outlineLevel="0" collapsed="false">
      <c r="A5054" s="2" t="s">
        <v>906</v>
      </c>
      <c r="B5054" s="2" t="s">
        <v>45</v>
      </c>
      <c r="C5054" s="2" t="s">
        <v>4085</v>
      </c>
      <c r="D5054" s="11" t="n">
        <v>145735</v>
      </c>
      <c r="E5054" s="31" t="n">
        <v>64.8</v>
      </c>
      <c r="F5054" s="31" t="n">
        <v>11</v>
      </c>
      <c r="G5054" s="31" t="n">
        <v>5.4</v>
      </c>
      <c r="H5054" s="2" t="s">
        <v>671</v>
      </c>
    </row>
    <row r="5055" customFormat="false" ht="15" hidden="false" customHeight="false" outlineLevel="0" collapsed="false">
      <c r="A5055" s="2" t="s">
        <v>906</v>
      </c>
      <c r="B5055" s="2" t="s">
        <v>45</v>
      </c>
      <c r="C5055" s="2" t="s">
        <v>4086</v>
      </c>
      <c r="D5055" s="11" t="n">
        <v>143990</v>
      </c>
      <c r="E5055" s="31" t="n">
        <v>73.7</v>
      </c>
      <c r="F5055" s="31" t="n">
        <v>16.4</v>
      </c>
      <c r="G5055" s="2"/>
      <c r="H5055" s="2" t="s">
        <v>668</v>
      </c>
    </row>
    <row r="5056" customFormat="false" ht="15" hidden="false" customHeight="false" outlineLevel="0" collapsed="false">
      <c r="A5056" s="2" t="s">
        <v>906</v>
      </c>
      <c r="B5056" s="2" t="s">
        <v>45</v>
      </c>
      <c r="C5056" s="2" t="s">
        <v>4087</v>
      </c>
      <c r="D5056" s="11" t="n">
        <v>146480</v>
      </c>
      <c r="E5056" s="31" t="n">
        <v>67.9</v>
      </c>
      <c r="F5056" s="31" t="n">
        <v>36.2</v>
      </c>
      <c r="G5056" s="31" t="n">
        <v>19.6</v>
      </c>
      <c r="H5056" s="2" t="s">
        <v>671</v>
      </c>
    </row>
    <row r="5057" customFormat="false" ht="15" hidden="false" customHeight="false" outlineLevel="0" collapsed="false">
      <c r="A5057" s="2" t="s">
        <v>906</v>
      </c>
      <c r="B5057" s="2" t="s">
        <v>46</v>
      </c>
      <c r="C5057" s="2" t="s">
        <v>4085</v>
      </c>
      <c r="D5057" s="2"/>
      <c r="E5057" s="2"/>
      <c r="F5057" s="2"/>
      <c r="G5057" s="2"/>
      <c r="H5057" s="2" t="s">
        <v>668</v>
      </c>
    </row>
    <row r="5058" customFormat="false" ht="15" hidden="false" customHeight="false" outlineLevel="0" collapsed="false">
      <c r="A5058" s="2" t="s">
        <v>906</v>
      </c>
      <c r="B5058" s="2" t="s">
        <v>46</v>
      </c>
      <c r="C5058" s="2" t="s">
        <v>4086</v>
      </c>
      <c r="D5058" s="11" t="n">
        <v>12540</v>
      </c>
      <c r="E5058" s="31" t="n">
        <v>21</v>
      </c>
      <c r="F5058" s="31" t="n">
        <v>59.3</v>
      </c>
      <c r="G5058" s="31" t="n">
        <v>28.9</v>
      </c>
      <c r="H5058" s="2" t="s">
        <v>671</v>
      </c>
    </row>
    <row r="5059" customFormat="false" ht="15" hidden="false" customHeight="false" outlineLevel="0" collapsed="false">
      <c r="A5059" s="2" t="s">
        <v>906</v>
      </c>
      <c r="B5059" s="2" t="s">
        <v>46</v>
      </c>
      <c r="C5059" s="2" t="s">
        <v>4087</v>
      </c>
      <c r="D5059" s="11" t="n">
        <v>13060</v>
      </c>
      <c r="E5059" s="31" t="n">
        <v>16.1</v>
      </c>
      <c r="F5059" s="31" t="n">
        <v>67.2</v>
      </c>
      <c r="G5059" s="2"/>
      <c r="H5059" s="2" t="s">
        <v>668</v>
      </c>
    </row>
    <row r="5060" customFormat="false" ht="15" hidden="false" customHeight="false" outlineLevel="0" collapsed="false">
      <c r="A5060" s="2" t="s">
        <v>906</v>
      </c>
      <c r="B5060" s="2" t="s">
        <v>47</v>
      </c>
      <c r="C5060" s="2" t="s">
        <v>4085</v>
      </c>
      <c r="D5060" s="11" t="n">
        <v>71687</v>
      </c>
      <c r="E5060" s="31" t="n">
        <v>19.9</v>
      </c>
      <c r="F5060" s="31" t="n">
        <v>55.9</v>
      </c>
      <c r="G5060" s="31" t="n">
        <v>99.8</v>
      </c>
      <c r="H5060" s="2" t="s">
        <v>671</v>
      </c>
    </row>
    <row r="5061" customFormat="false" ht="15" hidden="false" customHeight="false" outlineLevel="0" collapsed="false">
      <c r="A5061" s="2" t="s">
        <v>906</v>
      </c>
      <c r="B5061" s="2" t="s">
        <v>47</v>
      </c>
      <c r="C5061" s="2" t="s">
        <v>4086</v>
      </c>
      <c r="D5061" s="11" t="n">
        <v>72737</v>
      </c>
      <c r="E5061" s="31" t="n">
        <v>14.6</v>
      </c>
      <c r="F5061" s="31" t="n">
        <v>41.6</v>
      </c>
      <c r="G5061" s="31" t="n">
        <v>99.8</v>
      </c>
      <c r="H5061" s="2" t="s">
        <v>671</v>
      </c>
    </row>
    <row r="5062" customFormat="false" ht="15" hidden="false" customHeight="false" outlineLevel="0" collapsed="false">
      <c r="A5062" s="2" t="s">
        <v>906</v>
      </c>
      <c r="B5062" s="2" t="s">
        <v>47</v>
      </c>
      <c r="C5062" s="2" t="s">
        <v>4087</v>
      </c>
      <c r="D5062" s="11" t="n">
        <v>76389</v>
      </c>
      <c r="E5062" s="31" t="n">
        <v>14.6</v>
      </c>
      <c r="F5062" s="31" t="n">
        <v>58.2</v>
      </c>
      <c r="G5062" s="31" t="n">
        <v>100</v>
      </c>
      <c r="H5062" s="2" t="s">
        <v>671</v>
      </c>
    </row>
    <row r="5063" customFormat="false" ht="15" hidden="false" customHeight="false" outlineLevel="0" collapsed="false">
      <c r="A5063" s="2" t="s">
        <v>242</v>
      </c>
      <c r="B5063" s="2" t="s">
        <v>4104</v>
      </c>
      <c r="C5063" s="2" t="s">
        <v>4085</v>
      </c>
      <c r="D5063" s="2"/>
      <c r="E5063" s="31" t="n">
        <v>83.4</v>
      </c>
      <c r="F5063" s="31" t="n">
        <v>15.4</v>
      </c>
      <c r="G5063" s="31" t="n">
        <v>32.2</v>
      </c>
      <c r="H5063" s="2" t="s">
        <v>671</v>
      </c>
    </row>
    <row r="5064" customFormat="false" ht="15" hidden="false" customHeight="false" outlineLevel="0" collapsed="false">
      <c r="A5064" s="2" t="s">
        <v>242</v>
      </c>
      <c r="B5064" s="2" t="s">
        <v>4104</v>
      </c>
      <c r="C5064" s="2" t="s">
        <v>4086</v>
      </c>
      <c r="D5064" s="2"/>
      <c r="E5064" s="31" t="n">
        <v>68.2</v>
      </c>
      <c r="F5064" s="31" t="n">
        <v>6.4</v>
      </c>
      <c r="G5064" s="31" t="n">
        <v>59.8</v>
      </c>
      <c r="H5064" s="2" t="s">
        <v>671</v>
      </c>
    </row>
    <row r="5065" customFormat="false" ht="15" hidden="false" customHeight="false" outlineLevel="0" collapsed="false">
      <c r="A5065" s="2" t="s">
        <v>242</v>
      </c>
      <c r="B5065" s="2" t="s">
        <v>4104</v>
      </c>
      <c r="C5065" s="2" t="s">
        <v>4087</v>
      </c>
      <c r="D5065" s="2"/>
      <c r="E5065" s="31" t="n">
        <v>65.1</v>
      </c>
      <c r="F5065" s="31" t="n">
        <v>15.9</v>
      </c>
      <c r="G5065" s="31" t="n">
        <v>50.5</v>
      </c>
      <c r="H5065" s="2" t="s">
        <v>671</v>
      </c>
    </row>
    <row r="5066" customFormat="false" ht="15" hidden="false" customHeight="false" outlineLevel="0" collapsed="false">
      <c r="A5066" s="2" t="s">
        <v>242</v>
      </c>
      <c r="B5066" s="2" t="s">
        <v>46</v>
      </c>
      <c r="C5066" s="2" t="s">
        <v>4085</v>
      </c>
      <c r="D5066" s="11" t="n">
        <v>484130</v>
      </c>
      <c r="E5066" s="31" t="n">
        <v>83.4</v>
      </c>
      <c r="F5066" s="31" t="n">
        <v>15.4</v>
      </c>
      <c r="G5066" s="31" t="n">
        <v>32.2</v>
      </c>
      <c r="H5066" s="2" t="s">
        <v>671</v>
      </c>
    </row>
    <row r="5067" customFormat="false" ht="15" hidden="false" customHeight="false" outlineLevel="0" collapsed="false">
      <c r="A5067" s="2" t="s">
        <v>242</v>
      </c>
      <c r="B5067" s="2" t="s">
        <v>46</v>
      </c>
      <c r="C5067" s="2" t="s">
        <v>4086</v>
      </c>
      <c r="D5067" s="11" t="n">
        <v>498970</v>
      </c>
      <c r="E5067" s="31" t="n">
        <v>68.2</v>
      </c>
      <c r="F5067" s="31" t="n">
        <v>6.4</v>
      </c>
      <c r="G5067" s="31" t="n">
        <v>59.8</v>
      </c>
      <c r="H5067" s="2" t="s">
        <v>671</v>
      </c>
    </row>
    <row r="5068" customFormat="false" ht="15" hidden="false" customHeight="false" outlineLevel="0" collapsed="false">
      <c r="A5068" s="2" t="s">
        <v>242</v>
      </c>
      <c r="B5068" s="2" t="s">
        <v>46</v>
      </c>
      <c r="C5068" s="2" t="s">
        <v>4087</v>
      </c>
      <c r="D5068" s="11" t="n">
        <v>500717</v>
      </c>
      <c r="E5068" s="31" t="n">
        <v>65.1</v>
      </c>
      <c r="F5068" s="31" t="n">
        <v>15.9</v>
      </c>
      <c r="G5068" s="31" t="n">
        <v>50.5</v>
      </c>
      <c r="H5068" s="2" t="s">
        <v>671</v>
      </c>
    </row>
    <row r="5069" customFormat="false" ht="15" hidden="false" customHeight="false" outlineLevel="0" collapsed="false">
      <c r="A5069" s="2" t="s">
        <v>3011</v>
      </c>
      <c r="B5069" s="2" t="s">
        <v>4104</v>
      </c>
      <c r="C5069" s="2" t="s">
        <v>4085</v>
      </c>
      <c r="D5069" s="2"/>
      <c r="E5069" s="31" t="n">
        <v>23.7</v>
      </c>
      <c r="F5069" s="31" t="n">
        <v>49.7</v>
      </c>
      <c r="G5069" s="31" t="n">
        <v>51</v>
      </c>
      <c r="H5069" s="2" t="s">
        <v>671</v>
      </c>
    </row>
    <row r="5070" customFormat="false" ht="15" hidden="false" customHeight="false" outlineLevel="0" collapsed="false">
      <c r="A5070" s="2" t="s">
        <v>3011</v>
      </c>
      <c r="B5070" s="2" t="s">
        <v>4104</v>
      </c>
      <c r="C5070" s="2" t="s">
        <v>4086</v>
      </c>
      <c r="D5070" s="2"/>
      <c r="E5070" s="31" t="n">
        <v>43</v>
      </c>
      <c r="F5070" s="31" t="n">
        <v>56.8</v>
      </c>
      <c r="G5070" s="31" t="n">
        <v>58.1</v>
      </c>
      <c r="H5070" s="2" t="s">
        <v>671</v>
      </c>
    </row>
    <row r="5071" customFormat="false" ht="15" hidden="false" customHeight="false" outlineLevel="0" collapsed="false">
      <c r="A5071" s="2" t="s">
        <v>3011</v>
      </c>
      <c r="B5071" s="2" t="s">
        <v>4104</v>
      </c>
      <c r="C5071" s="2" t="s">
        <v>4087</v>
      </c>
      <c r="D5071" s="2"/>
      <c r="E5071" s="2"/>
      <c r="F5071" s="2"/>
      <c r="G5071" s="2"/>
      <c r="H5071" s="2" t="s">
        <v>668</v>
      </c>
    </row>
    <row r="5072" customFormat="false" ht="15" hidden="false" customHeight="false" outlineLevel="0" collapsed="false">
      <c r="A5072" s="2" t="s">
        <v>3011</v>
      </c>
      <c r="B5072" s="2" t="s">
        <v>47</v>
      </c>
      <c r="C5072" s="2" t="s">
        <v>4085</v>
      </c>
      <c r="D5072" s="11" t="n">
        <v>20989</v>
      </c>
      <c r="E5072" s="31" t="n">
        <v>23.7</v>
      </c>
      <c r="F5072" s="31" t="n">
        <v>49.7</v>
      </c>
      <c r="G5072" s="31" t="n">
        <v>51</v>
      </c>
      <c r="H5072" s="2" t="s">
        <v>671</v>
      </c>
    </row>
    <row r="5073" customFormat="false" ht="15" hidden="false" customHeight="false" outlineLevel="0" collapsed="false">
      <c r="A5073" s="2" t="s">
        <v>3011</v>
      </c>
      <c r="B5073" s="2" t="s">
        <v>47</v>
      </c>
      <c r="C5073" s="2" t="s">
        <v>4086</v>
      </c>
      <c r="D5073" s="11" t="n">
        <v>21170</v>
      </c>
      <c r="E5073" s="31" t="n">
        <v>43</v>
      </c>
      <c r="F5073" s="31" t="n">
        <v>56.8</v>
      </c>
      <c r="G5073" s="31" t="n">
        <v>58.1</v>
      </c>
      <c r="H5073" s="2" t="s">
        <v>671</v>
      </c>
    </row>
    <row r="5074" customFormat="false" ht="15" hidden="false" customHeight="false" outlineLevel="0" collapsed="false">
      <c r="A5074" s="2" t="s">
        <v>3011</v>
      </c>
      <c r="B5074" s="2" t="s">
        <v>47</v>
      </c>
      <c r="C5074" s="2" t="s">
        <v>4087</v>
      </c>
      <c r="D5074" s="2"/>
      <c r="E5074" s="2"/>
      <c r="F5074" s="2"/>
      <c r="G5074" s="2"/>
      <c r="H5074" s="2" t="s">
        <v>668</v>
      </c>
    </row>
    <row r="5075" customFormat="false" ht="15" hidden="false" customHeight="false" outlineLevel="0" collapsed="false">
      <c r="A5075" s="2" t="s">
        <v>434</v>
      </c>
      <c r="B5075" s="2" t="s">
        <v>4104</v>
      </c>
      <c r="C5075" s="2" t="s">
        <v>4085</v>
      </c>
      <c r="D5075" s="2"/>
      <c r="E5075" s="31" t="n">
        <v>47.4</v>
      </c>
      <c r="F5075" s="31" t="n">
        <v>44.8</v>
      </c>
      <c r="G5075" s="31" t="n">
        <v>49.6</v>
      </c>
      <c r="H5075" s="2" t="s">
        <v>668</v>
      </c>
    </row>
    <row r="5076" customFormat="false" ht="15" hidden="false" customHeight="false" outlineLevel="0" collapsed="false">
      <c r="A5076" s="2" t="s">
        <v>434</v>
      </c>
      <c r="B5076" s="2" t="s">
        <v>4104</v>
      </c>
      <c r="C5076" s="2" t="s">
        <v>4086</v>
      </c>
      <c r="D5076" s="2"/>
      <c r="E5076" s="31" t="n">
        <v>68.5</v>
      </c>
      <c r="F5076" s="31" t="n">
        <v>79.6</v>
      </c>
      <c r="G5076" s="31" t="n">
        <v>25.7</v>
      </c>
      <c r="H5076" s="2" t="s">
        <v>668</v>
      </c>
    </row>
    <row r="5077" customFormat="false" ht="15" hidden="false" customHeight="false" outlineLevel="0" collapsed="false">
      <c r="A5077" s="2" t="s">
        <v>434</v>
      </c>
      <c r="B5077" s="2" t="s">
        <v>4104</v>
      </c>
      <c r="C5077" s="2" t="s">
        <v>4087</v>
      </c>
      <c r="D5077" s="2"/>
      <c r="E5077" s="31" t="n">
        <v>42.9</v>
      </c>
      <c r="F5077" s="31" t="n">
        <v>42.3</v>
      </c>
      <c r="G5077" s="31" t="n">
        <v>44.6</v>
      </c>
      <c r="H5077" s="2" t="s">
        <v>671</v>
      </c>
    </row>
    <row r="5078" customFormat="false" ht="15" hidden="false" customHeight="false" outlineLevel="0" collapsed="false">
      <c r="A5078" s="2" t="s">
        <v>434</v>
      </c>
      <c r="B5078" s="2" t="s">
        <v>45</v>
      </c>
      <c r="C5078" s="2" t="s">
        <v>4085</v>
      </c>
      <c r="D5078" s="11" t="n">
        <v>81381</v>
      </c>
      <c r="E5078" s="31" t="n">
        <v>8.9</v>
      </c>
      <c r="F5078" s="31" t="n">
        <v>2.9</v>
      </c>
      <c r="G5078" s="31" t="n">
        <v>69.5</v>
      </c>
      <c r="H5078" s="2" t="s">
        <v>671</v>
      </c>
    </row>
    <row r="5079" customFormat="false" ht="15" hidden="false" customHeight="false" outlineLevel="0" collapsed="false">
      <c r="A5079" s="2" t="s">
        <v>434</v>
      </c>
      <c r="B5079" s="2" t="s">
        <v>45</v>
      </c>
      <c r="C5079" s="2" t="s">
        <v>4086</v>
      </c>
      <c r="D5079" s="2"/>
      <c r="E5079" s="2"/>
      <c r="F5079" s="2"/>
      <c r="G5079" s="2"/>
      <c r="H5079" s="2" t="s">
        <v>668</v>
      </c>
    </row>
    <row r="5080" customFormat="false" ht="15" hidden="false" customHeight="false" outlineLevel="0" collapsed="false">
      <c r="A5080" s="2" t="s">
        <v>434</v>
      </c>
      <c r="B5080" s="2" t="s">
        <v>45</v>
      </c>
      <c r="C5080" s="2" t="s">
        <v>4087</v>
      </c>
      <c r="D5080" s="11" t="n">
        <v>79640</v>
      </c>
      <c r="E5080" s="31" t="n">
        <v>17.3</v>
      </c>
      <c r="F5080" s="31" t="n">
        <v>2.4</v>
      </c>
      <c r="G5080" s="31" t="n">
        <v>82.9</v>
      </c>
      <c r="H5080" s="2" t="s">
        <v>671</v>
      </c>
    </row>
    <row r="5081" customFormat="false" ht="15" hidden="false" customHeight="false" outlineLevel="0" collapsed="false">
      <c r="A5081" s="2" t="s">
        <v>434</v>
      </c>
      <c r="B5081" s="2" t="s">
        <v>46</v>
      </c>
      <c r="C5081" s="2" t="s">
        <v>4085</v>
      </c>
      <c r="D5081" s="11" t="n">
        <v>158860</v>
      </c>
      <c r="E5081" s="31" t="n">
        <v>57.5</v>
      </c>
      <c r="F5081" s="31" t="n">
        <v>98.1</v>
      </c>
      <c r="G5081" s="2"/>
      <c r="H5081" s="2" t="s">
        <v>668</v>
      </c>
    </row>
    <row r="5082" customFormat="false" ht="15" hidden="false" customHeight="false" outlineLevel="0" collapsed="false">
      <c r="A5082" s="2" t="s">
        <v>434</v>
      </c>
      <c r="B5082" s="2" t="s">
        <v>46</v>
      </c>
      <c r="C5082" s="2" t="s">
        <v>4086</v>
      </c>
      <c r="D5082" s="11" t="n">
        <v>168540</v>
      </c>
      <c r="E5082" s="31" t="n">
        <v>52.7</v>
      </c>
      <c r="F5082" s="31" t="n">
        <v>94.9</v>
      </c>
      <c r="G5082" s="31" t="n">
        <v>13</v>
      </c>
      <c r="H5082" s="2" t="s">
        <v>671</v>
      </c>
    </row>
    <row r="5083" customFormat="false" ht="15" hidden="false" customHeight="false" outlineLevel="0" collapsed="false">
      <c r="A5083" s="2" t="s">
        <v>434</v>
      </c>
      <c r="B5083" s="2" t="s">
        <v>46</v>
      </c>
      <c r="C5083" s="2" t="s">
        <v>4087</v>
      </c>
      <c r="D5083" s="11" t="n">
        <v>180192</v>
      </c>
      <c r="E5083" s="31" t="n">
        <v>55</v>
      </c>
      <c r="F5083" s="31" t="n">
        <v>87.4</v>
      </c>
      <c r="G5083" s="31" t="n">
        <v>39.6</v>
      </c>
      <c r="H5083" s="2" t="s">
        <v>671</v>
      </c>
    </row>
    <row r="5084" customFormat="false" ht="15" hidden="false" customHeight="false" outlineLevel="0" collapsed="false">
      <c r="A5084" s="2" t="s">
        <v>434</v>
      </c>
      <c r="B5084" s="2" t="s">
        <v>47</v>
      </c>
      <c r="C5084" s="2" t="s">
        <v>4085</v>
      </c>
      <c r="D5084" s="11" t="n">
        <v>40743</v>
      </c>
      <c r="E5084" s="31" t="n">
        <v>75.8</v>
      </c>
      <c r="F5084" s="31" t="n">
        <v>33.3</v>
      </c>
      <c r="G5084" s="31" t="n">
        <v>29.8</v>
      </c>
      <c r="H5084" s="2" t="s">
        <v>671</v>
      </c>
    </row>
    <row r="5085" customFormat="false" ht="15" hidden="false" customHeight="false" outlineLevel="0" collapsed="false">
      <c r="A5085" s="2" t="s">
        <v>434</v>
      </c>
      <c r="B5085" s="2" t="s">
        <v>47</v>
      </c>
      <c r="C5085" s="2" t="s">
        <v>4086</v>
      </c>
      <c r="D5085" s="11" t="n">
        <v>44004</v>
      </c>
      <c r="E5085" s="31" t="n">
        <v>84.3</v>
      </c>
      <c r="F5085" s="31" t="n">
        <v>64.3</v>
      </c>
      <c r="G5085" s="31" t="n">
        <v>38.4</v>
      </c>
      <c r="H5085" s="2" t="s">
        <v>671</v>
      </c>
    </row>
    <row r="5086" customFormat="false" ht="15" hidden="false" customHeight="false" outlineLevel="0" collapsed="false">
      <c r="A5086" s="2" t="s">
        <v>434</v>
      </c>
      <c r="B5086" s="2" t="s">
        <v>47</v>
      </c>
      <c r="C5086" s="2" t="s">
        <v>4087</v>
      </c>
      <c r="D5086" s="11" t="n">
        <v>44334</v>
      </c>
      <c r="E5086" s="31" t="n">
        <v>56.5</v>
      </c>
      <c r="F5086" s="31" t="n">
        <v>37.2</v>
      </c>
      <c r="G5086" s="31" t="n">
        <v>11.2</v>
      </c>
      <c r="H5086" s="2" t="s">
        <v>671</v>
      </c>
    </row>
    <row r="5087" customFormat="false" ht="15" hidden="false" customHeight="false" outlineLevel="0" collapsed="false">
      <c r="A5087" s="2" t="s">
        <v>234</v>
      </c>
      <c r="B5087" s="2" t="s">
        <v>4104</v>
      </c>
      <c r="C5087" s="2" t="s">
        <v>4085</v>
      </c>
      <c r="D5087" s="2"/>
      <c r="E5087" s="31" t="n">
        <v>93.4</v>
      </c>
      <c r="F5087" s="31" t="n">
        <v>74.8</v>
      </c>
      <c r="G5087" s="31" t="n">
        <v>71.1</v>
      </c>
      <c r="H5087" s="2" t="s">
        <v>671</v>
      </c>
    </row>
    <row r="5088" customFormat="false" ht="15" hidden="false" customHeight="false" outlineLevel="0" collapsed="false">
      <c r="A5088" s="2" t="s">
        <v>234</v>
      </c>
      <c r="B5088" s="2" t="s">
        <v>4104</v>
      </c>
      <c r="C5088" s="2" t="s">
        <v>4086</v>
      </c>
      <c r="D5088" s="2"/>
      <c r="E5088" s="2"/>
      <c r="F5088" s="2"/>
      <c r="G5088" s="2"/>
      <c r="H5088" s="2" t="s">
        <v>668</v>
      </c>
    </row>
    <row r="5089" customFormat="false" ht="15" hidden="false" customHeight="false" outlineLevel="0" collapsed="false">
      <c r="A5089" s="2" t="s">
        <v>234</v>
      </c>
      <c r="B5089" s="2" t="s">
        <v>4104</v>
      </c>
      <c r="C5089" s="2" t="s">
        <v>4087</v>
      </c>
      <c r="D5089" s="2"/>
      <c r="E5089" s="31" t="n">
        <v>66.3</v>
      </c>
      <c r="F5089" s="31" t="n">
        <v>29.8</v>
      </c>
      <c r="G5089" s="31" t="n">
        <v>84.6</v>
      </c>
      <c r="H5089" s="2" t="s">
        <v>671</v>
      </c>
    </row>
    <row r="5090" customFormat="false" ht="15" hidden="false" customHeight="false" outlineLevel="0" collapsed="false">
      <c r="A5090" s="2" t="s">
        <v>234</v>
      </c>
      <c r="B5090" s="2" t="s">
        <v>47</v>
      </c>
      <c r="C5090" s="2" t="s">
        <v>4085</v>
      </c>
      <c r="D5090" s="11" t="n">
        <v>21991</v>
      </c>
      <c r="E5090" s="31" t="n">
        <v>93.4</v>
      </c>
      <c r="F5090" s="31" t="n">
        <v>74.8</v>
      </c>
      <c r="G5090" s="31" t="n">
        <v>71.1</v>
      </c>
      <c r="H5090" s="2" t="s">
        <v>671</v>
      </c>
    </row>
    <row r="5091" customFormat="false" ht="15" hidden="false" customHeight="false" outlineLevel="0" collapsed="false">
      <c r="A5091" s="2" t="s">
        <v>234</v>
      </c>
      <c r="B5091" s="2" t="s">
        <v>47</v>
      </c>
      <c r="C5091" s="2" t="s">
        <v>4086</v>
      </c>
      <c r="D5091" s="2"/>
      <c r="E5091" s="2"/>
      <c r="F5091" s="2"/>
      <c r="G5091" s="2"/>
      <c r="H5091" s="2" t="s">
        <v>668</v>
      </c>
    </row>
    <row r="5092" customFormat="false" ht="15" hidden="false" customHeight="false" outlineLevel="0" collapsed="false">
      <c r="A5092" s="2" t="s">
        <v>234</v>
      </c>
      <c r="B5092" s="2" t="s">
        <v>47</v>
      </c>
      <c r="C5092" s="2" t="s">
        <v>4087</v>
      </c>
      <c r="D5092" s="11" t="n">
        <v>24643</v>
      </c>
      <c r="E5092" s="31" t="n">
        <v>66.3</v>
      </c>
      <c r="F5092" s="31" t="n">
        <v>29.8</v>
      </c>
      <c r="G5092" s="31" t="n">
        <v>84.6</v>
      </c>
      <c r="H5092" s="2" t="s">
        <v>671</v>
      </c>
    </row>
    <row r="5093" customFormat="false" ht="15" hidden="false" customHeight="false" outlineLevel="0" collapsed="false">
      <c r="A5093" s="2" t="s">
        <v>3012</v>
      </c>
      <c r="B5093" s="2" t="s">
        <v>4104</v>
      </c>
      <c r="C5093" s="2" t="s">
        <v>4085</v>
      </c>
      <c r="D5093" s="2"/>
      <c r="E5093" s="31" t="n">
        <v>79.9</v>
      </c>
      <c r="F5093" s="31" t="n">
        <v>46.6</v>
      </c>
      <c r="G5093" s="31" t="n">
        <v>85.9</v>
      </c>
      <c r="H5093" s="2" t="s">
        <v>668</v>
      </c>
    </row>
    <row r="5094" customFormat="false" ht="15" hidden="false" customHeight="false" outlineLevel="0" collapsed="false">
      <c r="A5094" s="2" t="s">
        <v>3012</v>
      </c>
      <c r="B5094" s="2" t="s">
        <v>4104</v>
      </c>
      <c r="C5094" s="2" t="s">
        <v>4086</v>
      </c>
      <c r="D5094" s="2"/>
      <c r="E5094" s="31" t="n">
        <v>79</v>
      </c>
      <c r="F5094" s="31" t="n">
        <v>38.8</v>
      </c>
      <c r="G5094" s="31" t="n">
        <v>97.4</v>
      </c>
      <c r="H5094" s="2" t="s">
        <v>668</v>
      </c>
    </row>
    <row r="5095" customFormat="false" ht="15" hidden="false" customHeight="false" outlineLevel="0" collapsed="false">
      <c r="A5095" s="2" t="s">
        <v>3012</v>
      </c>
      <c r="B5095" s="2" t="s">
        <v>4104</v>
      </c>
      <c r="C5095" s="2" t="s">
        <v>4087</v>
      </c>
      <c r="D5095" s="2"/>
      <c r="E5095" s="31" t="n">
        <v>77.6</v>
      </c>
      <c r="F5095" s="31" t="n">
        <v>54</v>
      </c>
      <c r="G5095" s="31" t="n">
        <v>78.2</v>
      </c>
      <c r="H5095" s="2" t="s">
        <v>668</v>
      </c>
    </row>
    <row r="5096" customFormat="false" ht="15" hidden="false" customHeight="false" outlineLevel="0" collapsed="false">
      <c r="A5096" s="2" t="s">
        <v>3012</v>
      </c>
      <c r="B5096" s="2" t="s">
        <v>45</v>
      </c>
      <c r="C5096" s="2" t="s">
        <v>4085</v>
      </c>
      <c r="D5096" s="11" t="n">
        <v>37770</v>
      </c>
      <c r="E5096" s="31" t="n">
        <v>72.8</v>
      </c>
      <c r="F5096" s="31" t="n">
        <v>65</v>
      </c>
      <c r="G5096" s="31" t="n">
        <v>85.9</v>
      </c>
      <c r="H5096" s="2" t="s">
        <v>671</v>
      </c>
    </row>
    <row r="5097" customFormat="false" ht="15" hidden="false" customHeight="false" outlineLevel="0" collapsed="false">
      <c r="A5097" s="2" t="s">
        <v>3012</v>
      </c>
      <c r="B5097" s="2" t="s">
        <v>45</v>
      </c>
      <c r="C5097" s="2" t="s">
        <v>4086</v>
      </c>
      <c r="D5097" s="11" t="n">
        <v>38976</v>
      </c>
      <c r="E5097" s="31" t="n">
        <v>76.6</v>
      </c>
      <c r="F5097" s="31" t="n">
        <v>63.6</v>
      </c>
      <c r="G5097" s="2"/>
      <c r="H5097" s="2" t="s">
        <v>668</v>
      </c>
    </row>
    <row r="5098" customFormat="false" ht="15" hidden="false" customHeight="false" outlineLevel="0" collapsed="false">
      <c r="A5098" s="2" t="s">
        <v>3012</v>
      </c>
      <c r="B5098" s="2" t="s">
        <v>45</v>
      </c>
      <c r="C5098" s="2" t="s">
        <v>4087</v>
      </c>
      <c r="D5098" s="11" t="n">
        <v>39950</v>
      </c>
      <c r="E5098" s="31" t="n">
        <v>77.6</v>
      </c>
      <c r="F5098" s="31" t="n">
        <v>54</v>
      </c>
      <c r="G5098" s="31" t="n">
        <v>78.2</v>
      </c>
      <c r="H5098" s="2" t="s">
        <v>668</v>
      </c>
    </row>
    <row r="5099" customFormat="false" ht="15" hidden="false" customHeight="false" outlineLevel="0" collapsed="false">
      <c r="A5099" s="2" t="s">
        <v>3012</v>
      </c>
      <c r="B5099" s="2" t="s">
        <v>46</v>
      </c>
      <c r="C5099" s="2" t="s">
        <v>4085</v>
      </c>
      <c r="D5099" s="11" t="n">
        <v>390997</v>
      </c>
      <c r="E5099" s="31" t="n">
        <v>87.1</v>
      </c>
      <c r="F5099" s="31" t="n">
        <v>28.2</v>
      </c>
      <c r="G5099" s="2"/>
      <c r="H5099" s="2" t="s">
        <v>668</v>
      </c>
    </row>
    <row r="5100" customFormat="false" ht="15" hidden="false" customHeight="false" outlineLevel="0" collapsed="false">
      <c r="A5100" s="2" t="s">
        <v>3012</v>
      </c>
      <c r="B5100" s="2" t="s">
        <v>46</v>
      </c>
      <c r="C5100" s="2" t="s">
        <v>4086</v>
      </c>
      <c r="D5100" s="11" t="n">
        <v>402170</v>
      </c>
      <c r="E5100" s="31" t="n">
        <v>81.5</v>
      </c>
      <c r="F5100" s="31" t="n">
        <v>14</v>
      </c>
      <c r="G5100" s="31" t="n">
        <v>97.4</v>
      </c>
      <c r="H5100" s="2" t="s">
        <v>671</v>
      </c>
    </row>
    <row r="5101" customFormat="false" ht="15" hidden="false" customHeight="false" outlineLevel="0" collapsed="false">
      <c r="A5101" s="2" t="s">
        <v>3012</v>
      </c>
      <c r="B5101" s="2" t="s">
        <v>46</v>
      </c>
      <c r="C5101" s="2" t="s">
        <v>4087</v>
      </c>
      <c r="D5101" s="2"/>
      <c r="E5101" s="2"/>
      <c r="F5101" s="2"/>
      <c r="G5101" s="2"/>
      <c r="H5101" s="2" t="s">
        <v>668</v>
      </c>
    </row>
    <row r="5102" customFormat="false" ht="15" hidden="false" customHeight="false" outlineLevel="0" collapsed="false">
      <c r="A5102" s="2" t="s">
        <v>2319</v>
      </c>
      <c r="B5102" s="2" t="s">
        <v>4104</v>
      </c>
      <c r="C5102" s="2" t="s">
        <v>4085</v>
      </c>
      <c r="D5102" s="2"/>
      <c r="E5102" s="31" t="n">
        <v>51.5</v>
      </c>
      <c r="F5102" s="31" t="n">
        <v>97.1</v>
      </c>
      <c r="G5102" s="31" t="n">
        <v>39.1</v>
      </c>
      <c r="H5102" s="2" t="s">
        <v>671</v>
      </c>
    </row>
    <row r="5103" customFormat="false" ht="15" hidden="false" customHeight="false" outlineLevel="0" collapsed="false">
      <c r="A5103" s="2" t="s">
        <v>2319</v>
      </c>
      <c r="B5103" s="2" t="s">
        <v>4104</v>
      </c>
      <c r="C5103" s="2" t="s">
        <v>4086</v>
      </c>
      <c r="D5103" s="2"/>
      <c r="E5103" s="31" t="n">
        <v>66.6</v>
      </c>
      <c r="F5103" s="31" t="n">
        <v>93.2</v>
      </c>
      <c r="G5103" s="31" t="n">
        <v>81</v>
      </c>
      <c r="H5103" s="2" t="s">
        <v>668</v>
      </c>
    </row>
    <row r="5104" customFormat="false" ht="15" hidden="false" customHeight="false" outlineLevel="0" collapsed="false">
      <c r="A5104" s="2" t="s">
        <v>2319</v>
      </c>
      <c r="B5104" s="2" t="s">
        <v>4104</v>
      </c>
      <c r="C5104" s="2" t="s">
        <v>4087</v>
      </c>
      <c r="D5104" s="2"/>
      <c r="E5104" s="31" t="n">
        <v>49.4</v>
      </c>
      <c r="F5104" s="31" t="n">
        <v>98.7</v>
      </c>
      <c r="G5104" s="31" t="n">
        <v>15.6</v>
      </c>
      <c r="H5104" s="2" t="s">
        <v>668</v>
      </c>
    </row>
    <row r="5105" customFormat="false" ht="15" hidden="false" customHeight="false" outlineLevel="0" collapsed="false">
      <c r="A5105" s="2" t="s">
        <v>2319</v>
      </c>
      <c r="B5105" s="2" t="s">
        <v>45</v>
      </c>
      <c r="C5105" s="2" t="s">
        <v>4085</v>
      </c>
      <c r="D5105" s="11" t="n">
        <v>6980</v>
      </c>
      <c r="E5105" s="31" t="n">
        <v>81.9</v>
      </c>
      <c r="F5105" s="31" t="n">
        <v>95.2</v>
      </c>
      <c r="G5105" s="31" t="n">
        <v>37.3</v>
      </c>
      <c r="H5105" s="2" t="s">
        <v>671</v>
      </c>
    </row>
    <row r="5106" customFormat="false" ht="15" hidden="false" customHeight="false" outlineLevel="0" collapsed="false">
      <c r="A5106" s="2" t="s">
        <v>2319</v>
      </c>
      <c r="B5106" s="2" t="s">
        <v>45</v>
      </c>
      <c r="C5106" s="2" t="s">
        <v>4086</v>
      </c>
      <c r="D5106" s="11" t="n">
        <v>7429</v>
      </c>
      <c r="E5106" s="31" t="n">
        <v>76.2</v>
      </c>
      <c r="F5106" s="31" t="n">
        <v>90.1</v>
      </c>
      <c r="G5106" s="2"/>
      <c r="H5106" s="2" t="s">
        <v>668</v>
      </c>
    </row>
    <row r="5107" customFormat="false" ht="15" hidden="false" customHeight="false" outlineLevel="0" collapsed="false">
      <c r="A5107" s="2" t="s">
        <v>2319</v>
      </c>
      <c r="B5107" s="2" t="s">
        <v>45</v>
      </c>
      <c r="C5107" s="2" t="s">
        <v>4087</v>
      </c>
      <c r="D5107" s="2"/>
      <c r="E5107" s="2"/>
      <c r="F5107" s="2"/>
      <c r="G5107" s="2"/>
      <c r="H5107" s="2" t="s">
        <v>668</v>
      </c>
    </row>
    <row r="5108" customFormat="false" ht="15" hidden="false" customHeight="false" outlineLevel="0" collapsed="false">
      <c r="A5108" s="2" t="s">
        <v>2319</v>
      </c>
      <c r="B5108" s="2" t="s">
        <v>47</v>
      </c>
      <c r="C5108" s="2" t="s">
        <v>4085</v>
      </c>
      <c r="D5108" s="11" t="n">
        <v>2093</v>
      </c>
      <c r="E5108" s="31" t="n">
        <v>21.1</v>
      </c>
      <c r="F5108" s="31" t="n">
        <v>98.9</v>
      </c>
      <c r="G5108" s="31" t="n">
        <v>40.9</v>
      </c>
      <c r="H5108" s="2" t="s">
        <v>671</v>
      </c>
    </row>
    <row r="5109" customFormat="false" ht="15" hidden="false" customHeight="false" outlineLevel="0" collapsed="false">
      <c r="A5109" s="2" t="s">
        <v>2319</v>
      </c>
      <c r="B5109" s="2" t="s">
        <v>47</v>
      </c>
      <c r="C5109" s="2" t="s">
        <v>4086</v>
      </c>
      <c r="D5109" s="11" t="n">
        <v>2310</v>
      </c>
      <c r="E5109" s="31" t="n">
        <v>57</v>
      </c>
      <c r="F5109" s="31" t="n">
        <v>96.2</v>
      </c>
      <c r="G5109" s="31" t="n">
        <v>81</v>
      </c>
      <c r="H5109" s="2" t="s">
        <v>671</v>
      </c>
    </row>
    <row r="5110" customFormat="false" ht="15" hidden="false" customHeight="false" outlineLevel="0" collapsed="false">
      <c r="A5110" s="2" t="s">
        <v>2319</v>
      </c>
      <c r="B5110" s="2" t="s">
        <v>47</v>
      </c>
      <c r="C5110" s="2" t="s">
        <v>4087</v>
      </c>
      <c r="D5110" s="11" t="n">
        <v>2475</v>
      </c>
      <c r="E5110" s="31" t="n">
        <v>49.4</v>
      </c>
      <c r="F5110" s="31" t="n">
        <v>98.7</v>
      </c>
      <c r="G5110" s="31" t="n">
        <v>15.6</v>
      </c>
      <c r="H5110" s="2" t="s">
        <v>671</v>
      </c>
    </row>
    <row r="5111" customFormat="false" ht="15" hidden="false" customHeight="false" outlineLevel="0" collapsed="false">
      <c r="A5111" s="2" t="s">
        <v>1926</v>
      </c>
      <c r="B5111" s="2" t="s">
        <v>4104</v>
      </c>
      <c r="C5111" s="2" t="s">
        <v>4085</v>
      </c>
      <c r="D5111" s="2"/>
      <c r="E5111" s="31" t="n">
        <v>34.9</v>
      </c>
      <c r="F5111" s="31" t="n">
        <v>16.6</v>
      </c>
      <c r="G5111" s="31" t="n">
        <v>48.2</v>
      </c>
      <c r="H5111" s="2" t="s">
        <v>671</v>
      </c>
    </row>
    <row r="5112" customFormat="false" ht="15" hidden="false" customHeight="false" outlineLevel="0" collapsed="false">
      <c r="A5112" s="2" t="s">
        <v>1926</v>
      </c>
      <c r="B5112" s="2" t="s">
        <v>4104</v>
      </c>
      <c r="C5112" s="2" t="s">
        <v>4086</v>
      </c>
      <c r="D5112" s="2"/>
      <c r="E5112" s="31" t="n">
        <v>47.9</v>
      </c>
      <c r="F5112" s="31" t="n">
        <v>19.6</v>
      </c>
      <c r="G5112" s="31" t="n">
        <v>70.2</v>
      </c>
      <c r="H5112" s="2" t="s">
        <v>668</v>
      </c>
    </row>
    <row r="5113" customFormat="false" ht="15" hidden="false" customHeight="false" outlineLevel="0" collapsed="false">
      <c r="A5113" s="2" t="s">
        <v>1926</v>
      </c>
      <c r="B5113" s="2" t="s">
        <v>4104</v>
      </c>
      <c r="C5113" s="2" t="s">
        <v>4087</v>
      </c>
      <c r="D5113" s="2"/>
      <c r="E5113" s="31" t="n">
        <v>6.8</v>
      </c>
      <c r="F5113" s="31" t="n">
        <v>17</v>
      </c>
      <c r="G5113" s="31" t="n">
        <v>53.6</v>
      </c>
      <c r="H5113" s="2" t="s">
        <v>668</v>
      </c>
    </row>
    <row r="5114" customFormat="false" ht="15" hidden="false" customHeight="false" outlineLevel="0" collapsed="false">
      <c r="A5114" s="2" t="s">
        <v>1926</v>
      </c>
      <c r="B5114" s="2" t="s">
        <v>45</v>
      </c>
      <c r="C5114" s="2" t="s">
        <v>4085</v>
      </c>
      <c r="D5114" s="11" t="n">
        <v>83307</v>
      </c>
      <c r="E5114" s="31" t="n">
        <v>36.7</v>
      </c>
      <c r="F5114" s="31" t="n">
        <v>23.7</v>
      </c>
      <c r="G5114" s="31" t="n">
        <v>47.6</v>
      </c>
      <c r="H5114" s="2" t="s">
        <v>671</v>
      </c>
    </row>
    <row r="5115" customFormat="false" ht="15" hidden="false" customHeight="false" outlineLevel="0" collapsed="false">
      <c r="A5115" s="2" t="s">
        <v>1926</v>
      </c>
      <c r="B5115" s="2" t="s">
        <v>45</v>
      </c>
      <c r="C5115" s="2" t="s">
        <v>4086</v>
      </c>
      <c r="D5115" s="11" t="n">
        <v>85200</v>
      </c>
      <c r="E5115" s="31" t="n">
        <v>64.1</v>
      </c>
      <c r="F5115" s="31" t="n">
        <v>19.6</v>
      </c>
      <c r="G5115" s="31" t="n">
        <v>73.2</v>
      </c>
      <c r="H5115" s="2" t="s">
        <v>671</v>
      </c>
    </row>
    <row r="5116" customFormat="false" ht="15" hidden="false" customHeight="false" outlineLevel="0" collapsed="false">
      <c r="A5116" s="2" t="s">
        <v>1926</v>
      </c>
      <c r="B5116" s="2" t="s">
        <v>45</v>
      </c>
      <c r="C5116" s="2" t="s">
        <v>4087</v>
      </c>
      <c r="D5116" s="2"/>
      <c r="E5116" s="2"/>
      <c r="F5116" s="2"/>
      <c r="G5116" s="2"/>
      <c r="H5116" s="2" t="s">
        <v>668</v>
      </c>
    </row>
    <row r="5117" customFormat="false" ht="15" hidden="false" customHeight="false" outlineLevel="0" collapsed="false">
      <c r="A5117" s="2" t="s">
        <v>1926</v>
      </c>
      <c r="B5117" s="2" t="s">
        <v>46</v>
      </c>
      <c r="C5117" s="2" t="s">
        <v>4085</v>
      </c>
      <c r="D5117" s="11" t="n">
        <v>65331</v>
      </c>
      <c r="E5117" s="31" t="n">
        <v>33.1</v>
      </c>
      <c r="F5117" s="31" t="n">
        <v>9.4</v>
      </c>
      <c r="G5117" s="31" t="n">
        <v>48.9</v>
      </c>
      <c r="H5117" s="2" t="s">
        <v>671</v>
      </c>
    </row>
    <row r="5118" customFormat="false" ht="15" hidden="false" customHeight="false" outlineLevel="0" collapsed="false">
      <c r="A5118" s="2" t="s">
        <v>1926</v>
      </c>
      <c r="B5118" s="2" t="s">
        <v>46</v>
      </c>
      <c r="C5118" s="2" t="s">
        <v>4086</v>
      </c>
      <c r="D5118" s="11" t="n">
        <v>64060</v>
      </c>
      <c r="E5118" s="31" t="n">
        <v>31.8</v>
      </c>
      <c r="F5118" s="2"/>
      <c r="G5118" s="31" t="n">
        <v>67.3</v>
      </c>
      <c r="H5118" s="2" t="s">
        <v>668</v>
      </c>
    </row>
    <row r="5119" customFormat="false" ht="15" hidden="false" customHeight="false" outlineLevel="0" collapsed="false">
      <c r="A5119" s="2" t="s">
        <v>1926</v>
      </c>
      <c r="B5119" s="2" t="s">
        <v>46</v>
      </c>
      <c r="C5119" s="2" t="s">
        <v>4087</v>
      </c>
      <c r="D5119" s="11" t="n">
        <v>63900</v>
      </c>
      <c r="E5119" s="31" t="n">
        <v>6.8</v>
      </c>
      <c r="F5119" s="31" t="n">
        <v>17</v>
      </c>
      <c r="G5119" s="31" t="n">
        <v>53.6</v>
      </c>
      <c r="H5119" s="2" t="s">
        <v>671</v>
      </c>
    </row>
    <row r="5120" customFormat="false" ht="15" hidden="false" customHeight="false" outlineLevel="0" collapsed="false">
      <c r="A5120" s="2" t="s">
        <v>1814</v>
      </c>
      <c r="B5120" s="2" t="s">
        <v>4104</v>
      </c>
      <c r="C5120" s="2" t="s">
        <v>4085</v>
      </c>
      <c r="D5120" s="2"/>
      <c r="E5120" s="31" t="n">
        <v>61.8</v>
      </c>
      <c r="F5120" s="31" t="n">
        <v>44</v>
      </c>
      <c r="G5120" s="31" t="n">
        <v>64.4</v>
      </c>
      <c r="H5120" s="2" t="s">
        <v>668</v>
      </c>
    </row>
    <row r="5121" customFormat="false" ht="15" hidden="false" customHeight="false" outlineLevel="0" collapsed="false">
      <c r="A5121" s="2" t="s">
        <v>1814</v>
      </c>
      <c r="B5121" s="2" t="s">
        <v>4104</v>
      </c>
      <c r="C5121" s="2" t="s">
        <v>4086</v>
      </c>
      <c r="D5121" s="2"/>
      <c r="E5121" s="31" t="n">
        <v>47.8</v>
      </c>
      <c r="F5121" s="31" t="n">
        <v>40.8</v>
      </c>
      <c r="G5121" s="31" t="n">
        <v>40.7</v>
      </c>
      <c r="H5121" s="2" t="s">
        <v>671</v>
      </c>
    </row>
    <row r="5122" customFormat="false" ht="15" hidden="false" customHeight="false" outlineLevel="0" collapsed="false">
      <c r="A5122" s="2" t="s">
        <v>1814</v>
      </c>
      <c r="B5122" s="2" t="s">
        <v>4104</v>
      </c>
      <c r="C5122" s="2" t="s">
        <v>4087</v>
      </c>
      <c r="D5122" s="2"/>
      <c r="E5122" s="31" t="n">
        <v>49.4</v>
      </c>
      <c r="F5122" s="31" t="n">
        <v>65.3</v>
      </c>
      <c r="G5122" s="31" t="n">
        <v>27.2</v>
      </c>
      <c r="H5122" s="2" t="s">
        <v>668</v>
      </c>
    </row>
    <row r="5123" customFormat="false" ht="15" hidden="false" customHeight="false" outlineLevel="0" collapsed="false">
      <c r="A5123" s="2" t="s">
        <v>1814</v>
      </c>
      <c r="B5123" s="2" t="s">
        <v>45</v>
      </c>
      <c r="C5123" s="2" t="s">
        <v>4085</v>
      </c>
      <c r="D5123" s="11" t="n">
        <v>82258</v>
      </c>
      <c r="E5123" s="31" t="n">
        <v>39.3</v>
      </c>
      <c r="F5123" s="31" t="n">
        <v>3.6</v>
      </c>
      <c r="G5123" s="2"/>
      <c r="H5123" s="2" t="s">
        <v>668</v>
      </c>
    </row>
    <row r="5124" customFormat="false" ht="15" hidden="false" customHeight="false" outlineLevel="0" collapsed="false">
      <c r="A5124" s="2" t="s">
        <v>1814</v>
      </c>
      <c r="B5124" s="2" t="s">
        <v>45</v>
      </c>
      <c r="C5124" s="2" t="s">
        <v>4086</v>
      </c>
      <c r="D5124" s="11" t="n">
        <v>81360</v>
      </c>
      <c r="E5124" s="31" t="n">
        <v>22.7</v>
      </c>
      <c r="F5124" s="31" t="n">
        <v>3.1</v>
      </c>
      <c r="G5124" s="31" t="n">
        <v>77.4</v>
      </c>
      <c r="H5124" s="2" t="s">
        <v>671</v>
      </c>
    </row>
    <row r="5125" customFormat="false" ht="15" hidden="false" customHeight="false" outlineLevel="0" collapsed="false">
      <c r="A5125" s="2" t="s">
        <v>1814</v>
      </c>
      <c r="B5125" s="2" t="s">
        <v>45</v>
      </c>
      <c r="C5125" s="2" t="s">
        <v>4087</v>
      </c>
      <c r="D5125" s="2"/>
      <c r="E5125" s="2"/>
      <c r="F5125" s="2"/>
      <c r="G5125" s="2"/>
      <c r="H5125" s="2" t="s">
        <v>668</v>
      </c>
    </row>
    <row r="5126" customFormat="false" ht="15" hidden="false" customHeight="false" outlineLevel="0" collapsed="false">
      <c r="A5126" s="2" t="s">
        <v>1814</v>
      </c>
      <c r="B5126" s="2" t="s">
        <v>46</v>
      </c>
      <c r="C5126" s="2" t="s">
        <v>4085</v>
      </c>
      <c r="D5126" s="2"/>
      <c r="E5126" s="2"/>
      <c r="F5126" s="2"/>
      <c r="G5126" s="2"/>
      <c r="H5126" s="2" t="s">
        <v>668</v>
      </c>
    </row>
    <row r="5127" customFormat="false" ht="15" hidden="false" customHeight="false" outlineLevel="0" collapsed="false">
      <c r="A5127" s="2" t="s">
        <v>1814</v>
      </c>
      <c r="B5127" s="2" t="s">
        <v>46</v>
      </c>
      <c r="C5127" s="2" t="s">
        <v>4086</v>
      </c>
      <c r="D5127" s="11" t="n">
        <v>72840</v>
      </c>
      <c r="E5127" s="31" t="n">
        <v>55.4</v>
      </c>
      <c r="F5127" s="31" t="n">
        <v>25.5</v>
      </c>
      <c r="G5127" s="31" t="n">
        <v>8.2</v>
      </c>
      <c r="H5127" s="2" t="s">
        <v>671</v>
      </c>
    </row>
    <row r="5128" customFormat="false" ht="15" hidden="false" customHeight="false" outlineLevel="0" collapsed="false">
      <c r="A5128" s="2" t="s">
        <v>1814</v>
      </c>
      <c r="B5128" s="2" t="s">
        <v>46</v>
      </c>
      <c r="C5128" s="2" t="s">
        <v>4087</v>
      </c>
      <c r="D5128" s="11" t="n">
        <v>73830</v>
      </c>
      <c r="E5128" s="31" t="n">
        <v>27.1</v>
      </c>
      <c r="F5128" s="31" t="n">
        <v>38.6</v>
      </c>
      <c r="G5128" s="31" t="n">
        <v>13</v>
      </c>
      <c r="H5128" s="2" t="s">
        <v>671</v>
      </c>
    </row>
    <row r="5129" customFormat="false" ht="15" hidden="false" customHeight="false" outlineLevel="0" collapsed="false">
      <c r="A5129" s="2" t="s">
        <v>1814</v>
      </c>
      <c r="B5129" s="2" t="s">
        <v>47</v>
      </c>
      <c r="C5129" s="2" t="s">
        <v>4085</v>
      </c>
      <c r="D5129" s="11" t="n">
        <v>5142</v>
      </c>
      <c r="E5129" s="31" t="n">
        <v>84.4</v>
      </c>
      <c r="F5129" s="31" t="n">
        <v>84.4</v>
      </c>
      <c r="G5129" s="31" t="n">
        <v>64.4</v>
      </c>
      <c r="H5129" s="2" t="s">
        <v>671</v>
      </c>
    </row>
    <row r="5130" customFormat="false" ht="15" hidden="false" customHeight="false" outlineLevel="0" collapsed="false">
      <c r="A5130" s="2" t="s">
        <v>1814</v>
      </c>
      <c r="B5130" s="2" t="s">
        <v>47</v>
      </c>
      <c r="C5130" s="2" t="s">
        <v>4086</v>
      </c>
      <c r="D5130" s="11" t="n">
        <v>5630</v>
      </c>
      <c r="E5130" s="31" t="n">
        <v>65.4</v>
      </c>
      <c r="F5130" s="31" t="n">
        <v>93.8</v>
      </c>
      <c r="G5130" s="31" t="n">
        <v>36.5</v>
      </c>
      <c r="H5130" s="2" t="s">
        <v>671</v>
      </c>
    </row>
    <row r="5131" customFormat="false" ht="15" hidden="false" customHeight="false" outlineLevel="0" collapsed="false">
      <c r="A5131" s="2" t="s">
        <v>1814</v>
      </c>
      <c r="B5131" s="2" t="s">
        <v>47</v>
      </c>
      <c r="C5131" s="2" t="s">
        <v>4087</v>
      </c>
      <c r="D5131" s="11" t="n">
        <v>5912</v>
      </c>
      <c r="E5131" s="31" t="n">
        <v>71.7</v>
      </c>
      <c r="F5131" s="31" t="n">
        <v>92</v>
      </c>
      <c r="G5131" s="31" t="n">
        <v>41.3</v>
      </c>
      <c r="H5131" s="2" t="s">
        <v>671</v>
      </c>
    </row>
    <row r="5132" customFormat="false" ht="15" hidden="false" customHeight="false" outlineLevel="0" collapsed="false">
      <c r="A5132" s="2" t="s">
        <v>472</v>
      </c>
      <c r="B5132" s="2" t="s">
        <v>4104</v>
      </c>
      <c r="C5132" s="2" t="s">
        <v>4085</v>
      </c>
      <c r="D5132" s="2"/>
      <c r="E5132" s="31" t="n">
        <v>50.8</v>
      </c>
      <c r="F5132" s="31" t="n">
        <v>73</v>
      </c>
      <c r="G5132" s="31" t="n">
        <v>84.6</v>
      </c>
      <c r="H5132" s="2" t="s">
        <v>668</v>
      </c>
    </row>
    <row r="5133" customFormat="false" ht="15" hidden="false" customHeight="false" outlineLevel="0" collapsed="false">
      <c r="A5133" s="2" t="s">
        <v>472</v>
      </c>
      <c r="B5133" s="2" t="s">
        <v>4104</v>
      </c>
      <c r="C5133" s="2" t="s">
        <v>4086</v>
      </c>
      <c r="D5133" s="2"/>
      <c r="E5133" s="31" t="n">
        <v>44.8</v>
      </c>
      <c r="F5133" s="31" t="n">
        <v>56.2</v>
      </c>
      <c r="G5133" s="31" t="n">
        <v>54</v>
      </c>
      <c r="H5133" s="2" t="s">
        <v>671</v>
      </c>
    </row>
    <row r="5134" customFormat="false" ht="15" hidden="false" customHeight="false" outlineLevel="0" collapsed="false">
      <c r="A5134" s="2" t="s">
        <v>472</v>
      </c>
      <c r="B5134" s="2" t="s">
        <v>4104</v>
      </c>
      <c r="C5134" s="2" t="s">
        <v>4087</v>
      </c>
      <c r="D5134" s="2"/>
      <c r="E5134" s="31" t="n">
        <v>38.7</v>
      </c>
      <c r="F5134" s="31" t="n">
        <v>78.2</v>
      </c>
      <c r="G5134" s="31" t="n">
        <v>61.6</v>
      </c>
      <c r="H5134" s="2" t="s">
        <v>671</v>
      </c>
    </row>
    <row r="5135" customFormat="false" ht="15" hidden="false" customHeight="false" outlineLevel="0" collapsed="false">
      <c r="A5135" s="2" t="s">
        <v>472</v>
      </c>
      <c r="B5135" s="2" t="s">
        <v>45</v>
      </c>
      <c r="C5135" s="2" t="s">
        <v>4085</v>
      </c>
      <c r="D5135" s="11" t="n">
        <v>71400</v>
      </c>
      <c r="E5135" s="31" t="n">
        <v>0.7</v>
      </c>
      <c r="F5135" s="31" t="n">
        <v>59.5</v>
      </c>
      <c r="G5135" s="31" t="n">
        <v>70.7</v>
      </c>
      <c r="H5135" s="2" t="s">
        <v>671</v>
      </c>
    </row>
    <row r="5136" customFormat="false" ht="15" hidden="false" customHeight="false" outlineLevel="0" collapsed="false">
      <c r="A5136" s="2" t="s">
        <v>472</v>
      </c>
      <c r="B5136" s="2" t="s">
        <v>45</v>
      </c>
      <c r="C5136" s="2" t="s">
        <v>4086</v>
      </c>
      <c r="D5136" s="11" t="n">
        <v>74270</v>
      </c>
      <c r="E5136" s="31" t="n">
        <v>2.3</v>
      </c>
      <c r="F5136" s="31" t="n">
        <v>69.4</v>
      </c>
      <c r="G5136" s="31" t="n">
        <v>72.7</v>
      </c>
      <c r="H5136" s="2" t="s">
        <v>671</v>
      </c>
    </row>
    <row r="5137" customFormat="false" ht="15" hidden="false" customHeight="false" outlineLevel="0" collapsed="false">
      <c r="A5137" s="2" t="s">
        <v>472</v>
      </c>
      <c r="B5137" s="2" t="s">
        <v>45</v>
      </c>
      <c r="C5137" s="2" t="s">
        <v>4087</v>
      </c>
      <c r="D5137" s="11" t="n">
        <v>76305</v>
      </c>
      <c r="E5137" s="31" t="n">
        <v>1.7</v>
      </c>
      <c r="F5137" s="31" t="n">
        <v>86.1</v>
      </c>
      <c r="G5137" s="31" t="n">
        <v>66.6</v>
      </c>
      <c r="H5137" s="2" t="s">
        <v>671</v>
      </c>
    </row>
    <row r="5138" customFormat="false" ht="15" hidden="false" customHeight="false" outlineLevel="0" collapsed="false">
      <c r="A5138" s="2" t="s">
        <v>472</v>
      </c>
      <c r="B5138" s="2" t="s">
        <v>46</v>
      </c>
      <c r="C5138" s="2" t="s">
        <v>4085</v>
      </c>
      <c r="D5138" s="11" t="n">
        <v>517680</v>
      </c>
      <c r="E5138" s="31" t="n">
        <v>99.6</v>
      </c>
      <c r="F5138" s="31" t="n">
        <v>100</v>
      </c>
      <c r="G5138" s="2"/>
      <c r="H5138" s="2" t="s">
        <v>668</v>
      </c>
    </row>
    <row r="5139" customFormat="false" ht="15" hidden="false" customHeight="false" outlineLevel="0" collapsed="false">
      <c r="A5139" s="2" t="s">
        <v>472</v>
      </c>
      <c r="B5139" s="2" t="s">
        <v>46</v>
      </c>
      <c r="C5139" s="2" t="s">
        <v>4086</v>
      </c>
      <c r="D5139" s="11" t="n">
        <v>952460</v>
      </c>
      <c r="E5139" s="31" t="n">
        <v>88.4</v>
      </c>
      <c r="F5139" s="31" t="n">
        <v>42.7</v>
      </c>
      <c r="G5139" s="31" t="n">
        <v>9.5</v>
      </c>
      <c r="H5139" s="2" t="s">
        <v>671</v>
      </c>
    </row>
    <row r="5140" customFormat="false" ht="15" hidden="false" customHeight="false" outlineLevel="0" collapsed="false">
      <c r="A5140" s="2" t="s">
        <v>472</v>
      </c>
      <c r="B5140" s="2" t="s">
        <v>46</v>
      </c>
      <c r="C5140" s="2" t="s">
        <v>4087</v>
      </c>
      <c r="D5140" s="11" t="n">
        <v>601550</v>
      </c>
      <c r="E5140" s="31" t="n">
        <v>86.3</v>
      </c>
      <c r="F5140" s="31" t="n">
        <v>98</v>
      </c>
      <c r="G5140" s="31" t="n">
        <v>49.5</v>
      </c>
      <c r="H5140" s="2" t="s">
        <v>671</v>
      </c>
    </row>
    <row r="5141" customFormat="false" ht="15" hidden="false" customHeight="false" outlineLevel="0" collapsed="false">
      <c r="A5141" s="2" t="s">
        <v>472</v>
      </c>
      <c r="B5141" s="2" t="s">
        <v>47</v>
      </c>
      <c r="C5141" s="2" t="s">
        <v>4085</v>
      </c>
      <c r="D5141" s="11" t="n">
        <v>10166</v>
      </c>
      <c r="E5141" s="31" t="n">
        <v>52.2</v>
      </c>
      <c r="F5141" s="31" t="n">
        <v>59.5</v>
      </c>
      <c r="G5141" s="31" t="n">
        <v>98.4</v>
      </c>
      <c r="H5141" s="2" t="s">
        <v>671</v>
      </c>
    </row>
    <row r="5142" customFormat="false" ht="15" hidden="false" customHeight="false" outlineLevel="0" collapsed="false">
      <c r="A5142" s="2" t="s">
        <v>472</v>
      </c>
      <c r="B5142" s="2" t="s">
        <v>47</v>
      </c>
      <c r="C5142" s="2" t="s">
        <v>4086</v>
      </c>
      <c r="D5142" s="11" t="n">
        <v>10548</v>
      </c>
      <c r="E5142" s="31" t="n">
        <v>43.7</v>
      </c>
      <c r="F5142" s="31" t="n">
        <v>56.5</v>
      </c>
      <c r="G5142" s="31" t="n">
        <v>79.9</v>
      </c>
      <c r="H5142" s="2" t="s">
        <v>671</v>
      </c>
    </row>
    <row r="5143" customFormat="false" ht="15" hidden="false" customHeight="false" outlineLevel="0" collapsed="false">
      <c r="A5143" s="2" t="s">
        <v>472</v>
      </c>
      <c r="B5143" s="2" t="s">
        <v>47</v>
      </c>
      <c r="C5143" s="2" t="s">
        <v>4087</v>
      </c>
      <c r="D5143" s="11" t="n">
        <v>10905</v>
      </c>
      <c r="E5143" s="31" t="n">
        <v>28.1</v>
      </c>
      <c r="F5143" s="31" t="n">
        <v>50.4</v>
      </c>
      <c r="G5143" s="31" t="n">
        <v>68.6</v>
      </c>
      <c r="H5143" s="2" t="s">
        <v>671</v>
      </c>
    </row>
    <row r="5144" customFormat="false" ht="15" hidden="false" customHeight="false" outlineLevel="0" collapsed="false">
      <c r="A5144" s="2" t="s">
        <v>1359</v>
      </c>
      <c r="B5144" s="2" t="s">
        <v>4104</v>
      </c>
      <c r="C5144" s="2" t="s">
        <v>4085</v>
      </c>
      <c r="D5144" s="2"/>
      <c r="E5144" s="31" t="n">
        <v>20.9</v>
      </c>
      <c r="F5144" s="31" t="n">
        <v>64.7</v>
      </c>
      <c r="G5144" s="31" t="n">
        <v>55.2</v>
      </c>
      <c r="H5144" s="2" t="s">
        <v>668</v>
      </c>
    </row>
    <row r="5145" customFormat="false" ht="15" hidden="false" customHeight="false" outlineLevel="0" collapsed="false">
      <c r="A5145" s="2" t="s">
        <v>1359</v>
      </c>
      <c r="B5145" s="2" t="s">
        <v>4104</v>
      </c>
      <c r="C5145" s="2" t="s">
        <v>4086</v>
      </c>
      <c r="D5145" s="2"/>
      <c r="E5145" s="31" t="n">
        <v>29.2</v>
      </c>
      <c r="F5145" s="31" t="n">
        <v>46.7</v>
      </c>
      <c r="G5145" s="31" t="n">
        <v>60.2</v>
      </c>
      <c r="H5145" s="2" t="s">
        <v>671</v>
      </c>
    </row>
    <row r="5146" customFormat="false" ht="15" hidden="false" customHeight="false" outlineLevel="0" collapsed="false">
      <c r="A5146" s="2" t="s">
        <v>1359</v>
      </c>
      <c r="B5146" s="2" t="s">
        <v>4104</v>
      </c>
      <c r="C5146" s="2" t="s">
        <v>4087</v>
      </c>
      <c r="D5146" s="2"/>
      <c r="E5146" s="31" t="n">
        <v>3.4</v>
      </c>
      <c r="F5146" s="31" t="n">
        <v>43.8</v>
      </c>
      <c r="G5146" s="31" t="n">
        <v>86.7</v>
      </c>
      <c r="H5146" s="2" t="s">
        <v>668</v>
      </c>
    </row>
    <row r="5147" customFormat="false" ht="15" hidden="false" customHeight="false" outlineLevel="0" collapsed="false">
      <c r="A5147" s="2" t="s">
        <v>1359</v>
      </c>
      <c r="B5147" s="2" t="s">
        <v>45</v>
      </c>
      <c r="C5147" s="2" t="s">
        <v>4085</v>
      </c>
      <c r="D5147" s="11" t="n">
        <v>1003810</v>
      </c>
      <c r="E5147" s="31" t="n">
        <v>3.4</v>
      </c>
      <c r="F5147" s="2"/>
      <c r="G5147" s="31" t="n">
        <v>92.7</v>
      </c>
      <c r="H5147" s="2" t="s">
        <v>668</v>
      </c>
    </row>
    <row r="5148" customFormat="false" ht="15" hidden="false" customHeight="false" outlineLevel="0" collapsed="false">
      <c r="A5148" s="2" t="s">
        <v>1359</v>
      </c>
      <c r="B5148" s="2" t="s">
        <v>45</v>
      </c>
      <c r="C5148" s="2" t="s">
        <v>4086</v>
      </c>
      <c r="D5148" s="11" t="n">
        <v>1085367</v>
      </c>
      <c r="E5148" s="31" t="n">
        <v>3.4</v>
      </c>
      <c r="F5148" s="31" t="n">
        <v>41.2</v>
      </c>
      <c r="G5148" s="31" t="n">
        <v>80.4</v>
      </c>
      <c r="H5148" s="2" t="s">
        <v>671</v>
      </c>
    </row>
    <row r="5149" customFormat="false" ht="15" hidden="false" customHeight="false" outlineLevel="0" collapsed="false">
      <c r="A5149" s="2" t="s">
        <v>1359</v>
      </c>
      <c r="B5149" s="2" t="s">
        <v>45</v>
      </c>
      <c r="C5149" s="2" t="s">
        <v>4087</v>
      </c>
      <c r="D5149" s="11" t="n">
        <v>1086020</v>
      </c>
      <c r="E5149" s="31" t="n">
        <v>3.4</v>
      </c>
      <c r="F5149" s="31" t="n">
        <v>43.8</v>
      </c>
      <c r="G5149" s="31" t="n">
        <v>86.7</v>
      </c>
      <c r="H5149" s="2" t="s">
        <v>671</v>
      </c>
    </row>
    <row r="5150" customFormat="false" ht="15" hidden="false" customHeight="false" outlineLevel="0" collapsed="false">
      <c r="A5150" s="2" t="s">
        <v>1359</v>
      </c>
      <c r="B5150" s="2" t="s">
        <v>46</v>
      </c>
      <c r="C5150" s="2" t="s">
        <v>4085</v>
      </c>
      <c r="D5150" s="11" t="n">
        <v>498887</v>
      </c>
      <c r="E5150" s="31" t="n">
        <v>38.4</v>
      </c>
      <c r="F5150" s="31" t="n">
        <v>64.7</v>
      </c>
      <c r="G5150" s="31" t="n">
        <v>17.6</v>
      </c>
      <c r="H5150" s="2" t="s">
        <v>671</v>
      </c>
    </row>
    <row r="5151" customFormat="false" ht="15" hidden="false" customHeight="false" outlineLevel="0" collapsed="false">
      <c r="A5151" s="2" t="s">
        <v>1359</v>
      </c>
      <c r="B5151" s="2" t="s">
        <v>46</v>
      </c>
      <c r="C5151" s="2" t="s">
        <v>4086</v>
      </c>
      <c r="D5151" s="11" t="n">
        <v>516360</v>
      </c>
      <c r="E5151" s="31" t="n">
        <v>55</v>
      </c>
      <c r="F5151" s="31" t="n">
        <v>52.2</v>
      </c>
      <c r="G5151" s="31" t="n">
        <v>40</v>
      </c>
      <c r="H5151" s="2" t="s">
        <v>671</v>
      </c>
    </row>
    <row r="5152" customFormat="false" ht="15" hidden="false" customHeight="false" outlineLevel="0" collapsed="false">
      <c r="A5152" s="2" t="s">
        <v>1359</v>
      </c>
      <c r="B5152" s="2" t="s">
        <v>46</v>
      </c>
      <c r="C5152" s="2" t="s">
        <v>4087</v>
      </c>
      <c r="D5152" s="2"/>
      <c r="E5152" s="2"/>
      <c r="F5152" s="2"/>
      <c r="G5152" s="2"/>
      <c r="H5152" s="2" t="s">
        <v>668</v>
      </c>
    </row>
    <row r="5153" customFormat="false" ht="15" hidden="false" customHeight="false" outlineLevel="0" collapsed="false">
      <c r="A5153" s="2" t="s">
        <v>524</v>
      </c>
      <c r="B5153" s="2" t="s">
        <v>4104</v>
      </c>
      <c r="C5153" s="2" t="s">
        <v>4085</v>
      </c>
      <c r="D5153" s="2"/>
      <c r="E5153" s="31" t="n">
        <v>26.1</v>
      </c>
      <c r="F5153" s="31" t="n">
        <v>21.1</v>
      </c>
      <c r="G5153" s="31" t="n">
        <v>33.6</v>
      </c>
      <c r="H5153" s="2" t="s">
        <v>668</v>
      </c>
    </row>
    <row r="5154" customFormat="false" ht="15" hidden="false" customHeight="false" outlineLevel="0" collapsed="false">
      <c r="A5154" s="2" t="s">
        <v>524</v>
      </c>
      <c r="B5154" s="2" t="s">
        <v>4104</v>
      </c>
      <c r="C5154" s="2" t="s">
        <v>4086</v>
      </c>
      <c r="D5154" s="2"/>
      <c r="E5154" s="31" t="n">
        <v>30.3</v>
      </c>
      <c r="F5154" s="31" t="n">
        <v>26.7</v>
      </c>
      <c r="G5154" s="31" t="n">
        <v>51.2</v>
      </c>
      <c r="H5154" s="2" t="s">
        <v>671</v>
      </c>
    </row>
    <row r="5155" customFormat="false" ht="15" hidden="false" customHeight="false" outlineLevel="0" collapsed="false">
      <c r="A5155" s="2" t="s">
        <v>524</v>
      </c>
      <c r="B5155" s="2" t="s">
        <v>4104</v>
      </c>
      <c r="C5155" s="2" t="s">
        <v>4087</v>
      </c>
      <c r="D5155" s="2"/>
      <c r="E5155" s="31" t="n">
        <v>32.9</v>
      </c>
      <c r="F5155" s="31" t="n">
        <v>34.1</v>
      </c>
      <c r="G5155" s="31" t="n">
        <v>41.4</v>
      </c>
      <c r="H5155" s="2" t="s">
        <v>671</v>
      </c>
    </row>
    <row r="5156" customFormat="false" ht="15" hidden="false" customHeight="false" outlineLevel="0" collapsed="false">
      <c r="A5156" s="2" t="s">
        <v>524</v>
      </c>
      <c r="B5156" s="2" t="s">
        <v>45</v>
      </c>
      <c r="C5156" s="2" t="s">
        <v>4085</v>
      </c>
      <c r="D5156" s="11" t="n">
        <v>45050</v>
      </c>
      <c r="E5156" s="31" t="n">
        <v>5.4</v>
      </c>
      <c r="F5156" s="31" t="n">
        <v>10.9</v>
      </c>
      <c r="G5156" s="31" t="n">
        <v>41.7</v>
      </c>
      <c r="H5156" s="2" t="s">
        <v>671</v>
      </c>
    </row>
    <row r="5157" customFormat="false" ht="15" hidden="false" customHeight="false" outlineLevel="0" collapsed="false">
      <c r="A5157" s="2" t="s">
        <v>524</v>
      </c>
      <c r="B5157" s="2" t="s">
        <v>45</v>
      </c>
      <c r="C5157" s="2" t="s">
        <v>4086</v>
      </c>
      <c r="D5157" s="11" t="n">
        <v>44360</v>
      </c>
      <c r="E5157" s="31" t="n">
        <v>9.5</v>
      </c>
      <c r="F5157" s="31" t="n">
        <v>34.4</v>
      </c>
      <c r="G5157" s="31" t="n">
        <v>55.5</v>
      </c>
      <c r="H5157" s="2" t="s">
        <v>671</v>
      </c>
    </row>
    <row r="5158" customFormat="false" ht="15" hidden="false" customHeight="false" outlineLevel="0" collapsed="false">
      <c r="A5158" s="2" t="s">
        <v>524</v>
      </c>
      <c r="B5158" s="2" t="s">
        <v>45</v>
      </c>
      <c r="C5158" s="2" t="s">
        <v>4087</v>
      </c>
      <c r="D5158" s="11" t="n">
        <v>45390</v>
      </c>
      <c r="E5158" s="31" t="n">
        <v>6.6</v>
      </c>
      <c r="F5158" s="31" t="n">
        <v>47.6</v>
      </c>
      <c r="G5158" s="31" t="n">
        <v>33.1</v>
      </c>
      <c r="H5158" s="2" t="s">
        <v>671</v>
      </c>
    </row>
    <row r="5159" customFormat="false" ht="15" hidden="false" customHeight="false" outlineLevel="0" collapsed="false">
      <c r="A5159" s="2" t="s">
        <v>524</v>
      </c>
      <c r="B5159" s="2" t="s">
        <v>46</v>
      </c>
      <c r="C5159" s="2" t="s">
        <v>4085</v>
      </c>
      <c r="D5159" s="11" t="n">
        <v>20280</v>
      </c>
      <c r="E5159" s="31" t="n">
        <v>41.3</v>
      </c>
      <c r="F5159" s="31" t="n">
        <v>22.1</v>
      </c>
      <c r="G5159" s="2"/>
      <c r="H5159" s="2" t="s">
        <v>668</v>
      </c>
    </row>
    <row r="5160" customFormat="false" ht="15" hidden="false" customHeight="false" outlineLevel="0" collapsed="false">
      <c r="A5160" s="2" t="s">
        <v>524</v>
      </c>
      <c r="B5160" s="2" t="s">
        <v>46</v>
      </c>
      <c r="C5160" s="2" t="s">
        <v>4086</v>
      </c>
      <c r="D5160" s="11" t="n">
        <v>20600</v>
      </c>
      <c r="E5160" s="31" t="n">
        <v>32.2</v>
      </c>
      <c r="F5160" s="31" t="n">
        <v>32.7</v>
      </c>
      <c r="G5160" s="31" t="n">
        <v>82.8</v>
      </c>
      <c r="H5160" s="2" t="s">
        <v>671</v>
      </c>
    </row>
    <row r="5161" customFormat="false" ht="15" hidden="false" customHeight="false" outlineLevel="0" collapsed="false">
      <c r="A5161" s="2" t="s">
        <v>524</v>
      </c>
      <c r="B5161" s="2" t="s">
        <v>46</v>
      </c>
      <c r="C5161" s="2" t="s">
        <v>4087</v>
      </c>
      <c r="D5161" s="11" t="n">
        <v>20954</v>
      </c>
      <c r="E5161" s="31" t="n">
        <v>65.5</v>
      </c>
      <c r="F5161" s="31" t="n">
        <v>43.6</v>
      </c>
      <c r="G5161" s="31" t="n">
        <v>32.4</v>
      </c>
      <c r="H5161" s="2" t="s">
        <v>671</v>
      </c>
    </row>
    <row r="5162" customFormat="false" ht="15" hidden="false" customHeight="false" outlineLevel="0" collapsed="false">
      <c r="A5162" s="2" t="s">
        <v>524</v>
      </c>
      <c r="B5162" s="2" t="s">
        <v>47</v>
      </c>
      <c r="C5162" s="2" t="s">
        <v>4085</v>
      </c>
      <c r="D5162" s="11" t="n">
        <v>27975</v>
      </c>
      <c r="E5162" s="31" t="n">
        <v>31.5</v>
      </c>
      <c r="F5162" s="31" t="n">
        <v>30.4</v>
      </c>
      <c r="G5162" s="31" t="n">
        <v>25.4</v>
      </c>
      <c r="H5162" s="2" t="s">
        <v>671</v>
      </c>
    </row>
    <row r="5163" customFormat="false" ht="15" hidden="false" customHeight="false" outlineLevel="0" collapsed="false">
      <c r="A5163" s="2" t="s">
        <v>524</v>
      </c>
      <c r="B5163" s="2" t="s">
        <v>47</v>
      </c>
      <c r="C5163" s="2" t="s">
        <v>4086</v>
      </c>
      <c r="D5163" s="11" t="n">
        <v>27902</v>
      </c>
      <c r="E5163" s="31" t="n">
        <v>49.2</v>
      </c>
      <c r="F5163" s="31" t="n">
        <v>13</v>
      </c>
      <c r="G5163" s="31" t="n">
        <v>15.2</v>
      </c>
      <c r="H5163" s="2" t="s">
        <v>671</v>
      </c>
    </row>
    <row r="5164" customFormat="false" ht="15" hidden="false" customHeight="false" outlineLevel="0" collapsed="false">
      <c r="A5164" s="2" t="s">
        <v>524</v>
      </c>
      <c r="B5164" s="2" t="s">
        <v>47</v>
      </c>
      <c r="C5164" s="2" t="s">
        <v>4087</v>
      </c>
      <c r="D5164" s="11" t="n">
        <v>28605</v>
      </c>
      <c r="E5164" s="31" t="n">
        <v>26.6</v>
      </c>
      <c r="F5164" s="31" t="n">
        <v>11</v>
      </c>
      <c r="G5164" s="31" t="n">
        <v>58.7</v>
      </c>
      <c r="H5164" s="2" t="s">
        <v>671</v>
      </c>
    </row>
    <row r="5165" customFormat="false" ht="15" hidden="false" customHeight="false" outlineLevel="0" collapsed="false">
      <c r="A5165" s="2" t="s">
        <v>486</v>
      </c>
      <c r="B5165" s="2" t="s">
        <v>4104</v>
      </c>
      <c r="C5165" s="2" t="s">
        <v>4085</v>
      </c>
      <c r="D5165" s="2"/>
      <c r="E5165" s="2"/>
      <c r="F5165" s="2"/>
      <c r="G5165" s="2"/>
      <c r="H5165" s="2" t="s">
        <v>668</v>
      </c>
    </row>
    <row r="5166" customFormat="false" ht="15" hidden="false" customHeight="false" outlineLevel="0" collapsed="false">
      <c r="A5166" s="2" t="s">
        <v>486</v>
      </c>
      <c r="B5166" s="2" t="s">
        <v>4104</v>
      </c>
      <c r="C5166" s="2" t="s">
        <v>4086</v>
      </c>
      <c r="D5166" s="2"/>
      <c r="E5166" s="31" t="n">
        <v>21.2</v>
      </c>
      <c r="F5166" s="31" t="n">
        <v>63.6</v>
      </c>
      <c r="G5166" s="31" t="n">
        <v>25.4</v>
      </c>
      <c r="H5166" s="2" t="s">
        <v>671</v>
      </c>
    </row>
    <row r="5167" customFormat="false" ht="15" hidden="false" customHeight="false" outlineLevel="0" collapsed="false">
      <c r="A5167" s="2" t="s">
        <v>486</v>
      </c>
      <c r="B5167" s="2" t="s">
        <v>4104</v>
      </c>
      <c r="C5167" s="2" t="s">
        <v>4087</v>
      </c>
      <c r="D5167" s="2"/>
      <c r="E5167" s="31" t="n">
        <v>37.6</v>
      </c>
      <c r="F5167" s="31" t="n">
        <v>79.7</v>
      </c>
      <c r="G5167" s="31" t="n">
        <v>7.7</v>
      </c>
      <c r="H5167" s="2" t="s">
        <v>671</v>
      </c>
    </row>
    <row r="5168" customFormat="false" ht="15" hidden="false" customHeight="false" outlineLevel="0" collapsed="false">
      <c r="A5168" s="2" t="s">
        <v>486</v>
      </c>
      <c r="B5168" s="2" t="s">
        <v>45</v>
      </c>
      <c r="C5168" s="2" t="s">
        <v>4085</v>
      </c>
      <c r="D5168" s="2"/>
      <c r="E5168" s="2"/>
      <c r="F5168" s="2"/>
      <c r="G5168" s="2"/>
      <c r="H5168" s="2" t="s">
        <v>668</v>
      </c>
    </row>
    <row r="5169" customFormat="false" ht="15" hidden="false" customHeight="false" outlineLevel="0" collapsed="false">
      <c r="A5169" s="2" t="s">
        <v>486</v>
      </c>
      <c r="B5169" s="2" t="s">
        <v>45</v>
      </c>
      <c r="C5169" s="2" t="s">
        <v>4086</v>
      </c>
      <c r="D5169" s="11" t="n">
        <v>306450</v>
      </c>
      <c r="E5169" s="31" t="n">
        <v>21.2</v>
      </c>
      <c r="F5169" s="31" t="n">
        <v>63.6</v>
      </c>
      <c r="G5169" s="31" t="n">
        <v>25.4</v>
      </c>
      <c r="H5169" s="2" t="s">
        <v>671</v>
      </c>
    </row>
    <row r="5170" customFormat="false" ht="15" hidden="false" customHeight="false" outlineLevel="0" collapsed="false">
      <c r="A5170" s="2" t="s">
        <v>486</v>
      </c>
      <c r="B5170" s="2" t="s">
        <v>45</v>
      </c>
      <c r="C5170" s="2" t="s">
        <v>4087</v>
      </c>
      <c r="D5170" s="11" t="n">
        <v>322720</v>
      </c>
      <c r="E5170" s="31" t="n">
        <v>37.6</v>
      </c>
      <c r="F5170" s="31" t="n">
        <v>79.7</v>
      </c>
      <c r="G5170" s="31" t="n">
        <v>7.7</v>
      </c>
      <c r="H5170" s="2" t="s">
        <v>671</v>
      </c>
    </row>
    <row r="5171" customFormat="false" ht="15" hidden="false" customHeight="false" outlineLevel="0" collapsed="false">
      <c r="A5171" s="2" t="s">
        <v>474</v>
      </c>
      <c r="B5171" s="2" t="s">
        <v>4104</v>
      </c>
      <c r="C5171" s="2" t="s">
        <v>4085</v>
      </c>
      <c r="D5171" s="2"/>
      <c r="E5171" s="31" t="n">
        <v>41</v>
      </c>
      <c r="F5171" s="31" t="n">
        <v>92.8</v>
      </c>
      <c r="G5171" s="31" t="n">
        <v>86.2</v>
      </c>
      <c r="H5171" s="2" t="s">
        <v>668</v>
      </c>
    </row>
    <row r="5172" customFormat="false" ht="15" hidden="false" customHeight="false" outlineLevel="0" collapsed="false">
      <c r="A5172" s="2" t="s">
        <v>474</v>
      </c>
      <c r="B5172" s="2" t="s">
        <v>4104</v>
      </c>
      <c r="C5172" s="2" t="s">
        <v>4086</v>
      </c>
      <c r="D5172" s="2"/>
      <c r="E5172" s="31" t="n">
        <v>38.7</v>
      </c>
      <c r="F5172" s="31" t="n">
        <v>84.8</v>
      </c>
      <c r="G5172" s="31" t="n">
        <v>56.6</v>
      </c>
      <c r="H5172" s="2" t="s">
        <v>671</v>
      </c>
    </row>
    <row r="5173" customFormat="false" ht="15" hidden="false" customHeight="false" outlineLevel="0" collapsed="false">
      <c r="A5173" s="2" t="s">
        <v>474</v>
      </c>
      <c r="B5173" s="2" t="s">
        <v>4104</v>
      </c>
      <c r="C5173" s="2" t="s">
        <v>4087</v>
      </c>
      <c r="D5173" s="2"/>
      <c r="E5173" s="31" t="n">
        <v>38.4</v>
      </c>
      <c r="F5173" s="31" t="n">
        <v>92.4</v>
      </c>
      <c r="G5173" s="31" t="n">
        <v>52.4</v>
      </c>
      <c r="H5173" s="2" t="s">
        <v>671</v>
      </c>
    </row>
    <row r="5174" customFormat="false" ht="15" hidden="false" customHeight="false" outlineLevel="0" collapsed="false">
      <c r="A5174" s="2" t="s">
        <v>474</v>
      </c>
      <c r="B5174" s="2" t="s">
        <v>45</v>
      </c>
      <c r="C5174" s="2" t="s">
        <v>4085</v>
      </c>
      <c r="D5174" s="11" t="n">
        <v>16151</v>
      </c>
      <c r="E5174" s="31" t="n">
        <v>58.5</v>
      </c>
      <c r="F5174" s="31" t="n">
        <v>94.9</v>
      </c>
      <c r="G5174" s="2"/>
      <c r="H5174" s="2" t="s">
        <v>668</v>
      </c>
    </row>
    <row r="5175" customFormat="false" ht="15" hidden="false" customHeight="false" outlineLevel="0" collapsed="false">
      <c r="A5175" s="2" t="s">
        <v>474</v>
      </c>
      <c r="B5175" s="2" t="s">
        <v>45</v>
      </c>
      <c r="C5175" s="2" t="s">
        <v>4086</v>
      </c>
      <c r="D5175" s="11" t="n">
        <v>17410</v>
      </c>
      <c r="E5175" s="31" t="n">
        <v>62.2</v>
      </c>
      <c r="F5175" s="31" t="n">
        <v>79</v>
      </c>
      <c r="G5175" s="31" t="n">
        <v>21.9</v>
      </c>
      <c r="H5175" s="2" t="s">
        <v>671</v>
      </c>
    </row>
    <row r="5176" customFormat="false" ht="15" hidden="false" customHeight="false" outlineLevel="0" collapsed="false">
      <c r="A5176" s="2" t="s">
        <v>474</v>
      </c>
      <c r="B5176" s="2" t="s">
        <v>45</v>
      </c>
      <c r="C5176" s="2" t="s">
        <v>4087</v>
      </c>
      <c r="D5176" s="11" t="n">
        <v>18301</v>
      </c>
      <c r="E5176" s="31" t="n">
        <v>35.9</v>
      </c>
      <c r="F5176" s="31" t="n">
        <v>94.8</v>
      </c>
      <c r="G5176" s="31" t="n">
        <v>13</v>
      </c>
      <c r="H5176" s="2" t="s">
        <v>671</v>
      </c>
    </row>
    <row r="5177" customFormat="false" ht="15" hidden="false" customHeight="false" outlineLevel="0" collapsed="false">
      <c r="A5177" s="2" t="s">
        <v>474</v>
      </c>
      <c r="B5177" s="2" t="s">
        <v>47</v>
      </c>
      <c r="C5177" s="2" t="s">
        <v>4085</v>
      </c>
      <c r="D5177" s="11" t="n">
        <v>11930</v>
      </c>
      <c r="E5177" s="31" t="n">
        <v>23.4</v>
      </c>
      <c r="F5177" s="31" t="n">
        <v>90.8</v>
      </c>
      <c r="G5177" s="31" t="n">
        <v>86.2</v>
      </c>
      <c r="H5177" s="2" t="s">
        <v>671</v>
      </c>
    </row>
    <row r="5178" customFormat="false" ht="15" hidden="false" customHeight="false" outlineLevel="0" collapsed="false">
      <c r="A5178" s="2" t="s">
        <v>474</v>
      </c>
      <c r="B5178" s="2" t="s">
        <v>47</v>
      </c>
      <c r="C5178" s="2" t="s">
        <v>4086</v>
      </c>
      <c r="D5178" s="11" t="n">
        <v>12540</v>
      </c>
      <c r="E5178" s="31" t="n">
        <v>15.2</v>
      </c>
      <c r="F5178" s="31" t="n">
        <v>90.6</v>
      </c>
      <c r="G5178" s="31" t="n">
        <v>91.2</v>
      </c>
      <c r="H5178" s="2" t="s">
        <v>671</v>
      </c>
    </row>
    <row r="5179" customFormat="false" ht="15" hidden="false" customHeight="false" outlineLevel="0" collapsed="false">
      <c r="A5179" s="2" t="s">
        <v>474</v>
      </c>
      <c r="B5179" s="2" t="s">
        <v>47</v>
      </c>
      <c r="C5179" s="2" t="s">
        <v>4087</v>
      </c>
      <c r="D5179" s="11" t="n">
        <v>13915</v>
      </c>
      <c r="E5179" s="31" t="n">
        <v>40.9</v>
      </c>
      <c r="F5179" s="31" t="n">
        <v>90.1</v>
      </c>
      <c r="G5179" s="31" t="n">
        <v>91.8</v>
      </c>
      <c r="H5179" s="2" t="s">
        <v>671</v>
      </c>
    </row>
    <row r="5180" customFormat="false" ht="15" hidden="false" customHeight="false" outlineLevel="0" collapsed="false">
      <c r="A5180" s="2" t="s">
        <v>294</v>
      </c>
      <c r="B5180" s="2" t="s">
        <v>4104</v>
      </c>
      <c r="C5180" s="2" t="s">
        <v>4085</v>
      </c>
      <c r="D5180" s="2"/>
      <c r="E5180" s="31" t="n">
        <v>65.7</v>
      </c>
      <c r="F5180" s="31" t="n">
        <v>64.1</v>
      </c>
      <c r="G5180" s="31" t="n">
        <v>99.1</v>
      </c>
      <c r="H5180" s="2" t="s">
        <v>668</v>
      </c>
    </row>
    <row r="5181" customFormat="false" ht="15" hidden="false" customHeight="false" outlineLevel="0" collapsed="false">
      <c r="A5181" s="2" t="s">
        <v>294</v>
      </c>
      <c r="B5181" s="2" t="s">
        <v>4104</v>
      </c>
      <c r="C5181" s="2" t="s">
        <v>4086</v>
      </c>
      <c r="D5181" s="2"/>
      <c r="E5181" s="31" t="n">
        <v>74.8</v>
      </c>
      <c r="F5181" s="31" t="n">
        <v>56.2</v>
      </c>
      <c r="G5181" s="31" t="n">
        <v>98.2</v>
      </c>
      <c r="H5181" s="2" t="s">
        <v>668</v>
      </c>
    </row>
    <row r="5182" customFormat="false" ht="15" hidden="false" customHeight="false" outlineLevel="0" collapsed="false">
      <c r="A5182" s="2" t="s">
        <v>294</v>
      </c>
      <c r="B5182" s="2" t="s">
        <v>4104</v>
      </c>
      <c r="C5182" s="2" t="s">
        <v>4087</v>
      </c>
      <c r="D5182" s="2"/>
      <c r="E5182" s="31" t="n">
        <v>59</v>
      </c>
      <c r="F5182" s="31" t="n">
        <v>63.4</v>
      </c>
      <c r="G5182" s="31" t="n">
        <v>95.8</v>
      </c>
      <c r="H5182" s="2" t="s">
        <v>671</v>
      </c>
    </row>
    <row r="5183" customFormat="false" ht="15" hidden="false" customHeight="false" outlineLevel="0" collapsed="false">
      <c r="A5183" s="2" t="s">
        <v>294</v>
      </c>
      <c r="B5183" s="2" t="s">
        <v>46</v>
      </c>
      <c r="C5183" s="2" t="s">
        <v>4085</v>
      </c>
      <c r="D5183" s="11" t="n">
        <v>29890</v>
      </c>
      <c r="E5183" s="31" t="n">
        <v>46.8</v>
      </c>
      <c r="F5183" s="31" t="n">
        <v>51.3</v>
      </c>
      <c r="G5183" s="31" t="n">
        <v>99.1</v>
      </c>
      <c r="H5183" s="2" t="s">
        <v>671</v>
      </c>
    </row>
    <row r="5184" customFormat="false" ht="15" hidden="false" customHeight="false" outlineLevel="0" collapsed="false">
      <c r="A5184" s="2" t="s">
        <v>294</v>
      </c>
      <c r="B5184" s="2" t="s">
        <v>46</v>
      </c>
      <c r="C5184" s="2" t="s">
        <v>4086</v>
      </c>
      <c r="D5184" s="11" t="n">
        <v>30405</v>
      </c>
      <c r="E5184" s="31" t="n">
        <v>57.8</v>
      </c>
      <c r="F5184" s="31" t="n">
        <v>33.8</v>
      </c>
      <c r="G5184" s="31" t="n">
        <v>98.2</v>
      </c>
      <c r="H5184" s="2" t="s">
        <v>671</v>
      </c>
    </row>
    <row r="5185" customFormat="false" ht="15" hidden="false" customHeight="false" outlineLevel="0" collapsed="false">
      <c r="A5185" s="2" t="s">
        <v>294</v>
      </c>
      <c r="B5185" s="2" t="s">
        <v>46</v>
      </c>
      <c r="C5185" s="2" t="s">
        <v>4087</v>
      </c>
      <c r="D5185" s="11" t="n">
        <v>30570</v>
      </c>
      <c r="E5185" s="31" t="n">
        <v>32.8</v>
      </c>
      <c r="F5185" s="31" t="n">
        <v>56.8</v>
      </c>
      <c r="G5185" s="31" t="n">
        <v>97.2</v>
      </c>
      <c r="H5185" s="2" t="s">
        <v>671</v>
      </c>
    </row>
    <row r="5186" customFormat="false" ht="15" hidden="false" customHeight="false" outlineLevel="0" collapsed="false">
      <c r="A5186" s="2" t="s">
        <v>294</v>
      </c>
      <c r="B5186" s="2" t="s">
        <v>47</v>
      </c>
      <c r="C5186" s="2" t="s">
        <v>4085</v>
      </c>
      <c r="D5186" s="11" t="n">
        <v>1182209</v>
      </c>
      <c r="E5186" s="31" t="n">
        <v>84.6</v>
      </c>
      <c r="F5186" s="31" t="n">
        <v>76.9</v>
      </c>
      <c r="G5186" s="2"/>
      <c r="H5186" s="2" t="s">
        <v>668</v>
      </c>
    </row>
    <row r="5187" customFormat="false" ht="15" hidden="false" customHeight="false" outlineLevel="0" collapsed="false">
      <c r="A5187" s="2" t="s">
        <v>294</v>
      </c>
      <c r="B5187" s="2" t="s">
        <v>47</v>
      </c>
      <c r="C5187" s="2" t="s">
        <v>4086</v>
      </c>
      <c r="D5187" s="11" t="n">
        <v>1209853</v>
      </c>
      <c r="E5187" s="31" t="n">
        <v>91.9</v>
      </c>
      <c r="F5187" s="31" t="n">
        <v>78.6</v>
      </c>
      <c r="G5187" s="2"/>
      <c r="H5187" s="2" t="s">
        <v>668</v>
      </c>
    </row>
    <row r="5188" customFormat="false" ht="15" hidden="false" customHeight="false" outlineLevel="0" collapsed="false">
      <c r="A5188" s="2" t="s">
        <v>294</v>
      </c>
      <c r="B5188" s="2" t="s">
        <v>47</v>
      </c>
      <c r="C5188" s="2" t="s">
        <v>4087</v>
      </c>
      <c r="D5188" s="11" t="n">
        <v>1281972</v>
      </c>
      <c r="E5188" s="31" t="n">
        <v>85.2</v>
      </c>
      <c r="F5188" s="31" t="n">
        <v>70</v>
      </c>
      <c r="G5188" s="31" t="n">
        <v>94.5</v>
      </c>
      <c r="H5188" s="2" t="s">
        <v>671</v>
      </c>
    </row>
    <row r="5189" customFormat="false" ht="15" hidden="false" customHeight="false" outlineLevel="0" collapsed="false">
      <c r="A5189" s="2" t="s">
        <v>424</v>
      </c>
      <c r="B5189" s="2" t="s">
        <v>4104</v>
      </c>
      <c r="C5189" s="2" t="s">
        <v>4085</v>
      </c>
      <c r="D5189" s="2"/>
      <c r="E5189" s="31" t="n">
        <v>65</v>
      </c>
      <c r="F5189" s="31" t="n">
        <v>4.4</v>
      </c>
      <c r="G5189" s="31" t="n">
        <v>62.9</v>
      </c>
      <c r="H5189" s="2" t="s">
        <v>671</v>
      </c>
    </row>
    <row r="5190" customFormat="false" ht="15" hidden="false" customHeight="false" outlineLevel="0" collapsed="false">
      <c r="A5190" s="2" t="s">
        <v>424</v>
      </c>
      <c r="B5190" s="2" t="s">
        <v>4104</v>
      </c>
      <c r="C5190" s="2" t="s">
        <v>4086</v>
      </c>
      <c r="D5190" s="2"/>
      <c r="E5190" s="31" t="n">
        <v>52</v>
      </c>
      <c r="F5190" s="31" t="n">
        <v>21.3</v>
      </c>
      <c r="G5190" s="31" t="n">
        <v>95.6</v>
      </c>
      <c r="H5190" s="2" t="s">
        <v>671</v>
      </c>
    </row>
    <row r="5191" customFormat="false" ht="15" hidden="false" customHeight="false" outlineLevel="0" collapsed="false">
      <c r="A5191" s="2" t="s">
        <v>424</v>
      </c>
      <c r="B5191" s="2" t="s">
        <v>4104</v>
      </c>
      <c r="C5191" s="2" t="s">
        <v>4087</v>
      </c>
      <c r="D5191" s="2"/>
      <c r="E5191" s="31" t="n">
        <v>44</v>
      </c>
      <c r="F5191" s="31" t="n">
        <v>42.1</v>
      </c>
      <c r="G5191" s="31" t="n">
        <v>86.2</v>
      </c>
      <c r="H5191" s="2" t="s">
        <v>671</v>
      </c>
    </row>
    <row r="5192" customFormat="false" ht="15" hidden="false" customHeight="false" outlineLevel="0" collapsed="false">
      <c r="A5192" s="2" t="s">
        <v>424</v>
      </c>
      <c r="B5192" s="2" t="s">
        <v>45</v>
      </c>
      <c r="C5192" s="2" t="s">
        <v>4085</v>
      </c>
      <c r="D5192" s="11" t="n">
        <v>66600</v>
      </c>
      <c r="E5192" s="31" t="n">
        <v>65</v>
      </c>
      <c r="F5192" s="31" t="n">
        <v>4.4</v>
      </c>
      <c r="G5192" s="31" t="n">
        <v>62.9</v>
      </c>
      <c r="H5192" s="2" t="s">
        <v>671</v>
      </c>
    </row>
    <row r="5193" customFormat="false" ht="15" hidden="false" customHeight="false" outlineLevel="0" collapsed="false">
      <c r="A5193" s="2" t="s">
        <v>424</v>
      </c>
      <c r="B5193" s="2" t="s">
        <v>45</v>
      </c>
      <c r="C5193" s="2" t="s">
        <v>4086</v>
      </c>
      <c r="D5193" s="11" t="n">
        <v>66750</v>
      </c>
      <c r="E5193" s="31" t="n">
        <v>52</v>
      </c>
      <c r="F5193" s="31" t="n">
        <v>21.3</v>
      </c>
      <c r="G5193" s="31" t="n">
        <v>95.6</v>
      </c>
      <c r="H5193" s="2" t="s">
        <v>671</v>
      </c>
    </row>
    <row r="5194" customFormat="false" ht="15" hidden="false" customHeight="false" outlineLevel="0" collapsed="false">
      <c r="A5194" s="2" t="s">
        <v>424</v>
      </c>
      <c r="B5194" s="2" t="s">
        <v>45</v>
      </c>
      <c r="C5194" s="2" t="s">
        <v>4087</v>
      </c>
      <c r="D5194" s="11" t="n">
        <v>65971</v>
      </c>
      <c r="E5194" s="31" t="n">
        <v>44</v>
      </c>
      <c r="F5194" s="31" t="n">
        <v>42.1</v>
      </c>
      <c r="G5194" s="31" t="n">
        <v>86.2</v>
      </c>
      <c r="H5194" s="2" t="s">
        <v>671</v>
      </c>
    </row>
    <row r="5195" customFormat="false" ht="15" hidden="false" customHeight="false" outlineLevel="0" collapsed="false">
      <c r="A5195" s="2" t="s">
        <v>510</v>
      </c>
      <c r="B5195" s="2" t="s">
        <v>4104</v>
      </c>
      <c r="C5195" s="2" t="s">
        <v>4085</v>
      </c>
      <c r="D5195" s="2"/>
      <c r="E5195" s="31" t="n">
        <v>46.2</v>
      </c>
      <c r="F5195" s="31" t="n">
        <v>49.2</v>
      </c>
      <c r="G5195" s="31" t="n">
        <v>80.8</v>
      </c>
      <c r="H5195" s="2" t="s">
        <v>671</v>
      </c>
    </row>
    <row r="5196" customFormat="false" ht="15" hidden="false" customHeight="false" outlineLevel="0" collapsed="false">
      <c r="A5196" s="2" t="s">
        <v>510</v>
      </c>
      <c r="B5196" s="2" t="s">
        <v>4104</v>
      </c>
      <c r="C5196" s="2" t="s">
        <v>4086</v>
      </c>
      <c r="D5196" s="2"/>
      <c r="E5196" s="31" t="n">
        <v>29.4</v>
      </c>
      <c r="F5196" s="31" t="n">
        <v>54.6</v>
      </c>
      <c r="G5196" s="31" t="n">
        <v>81.3</v>
      </c>
      <c r="H5196" s="2" t="s">
        <v>671</v>
      </c>
    </row>
    <row r="5197" customFormat="false" ht="15" hidden="false" customHeight="false" outlineLevel="0" collapsed="false">
      <c r="A5197" s="2" t="s">
        <v>510</v>
      </c>
      <c r="B5197" s="2" t="s">
        <v>4104</v>
      </c>
      <c r="C5197" s="2" t="s">
        <v>4087</v>
      </c>
      <c r="D5197" s="2"/>
      <c r="E5197" s="31" t="n">
        <v>34.5</v>
      </c>
      <c r="F5197" s="31" t="n">
        <v>60</v>
      </c>
      <c r="G5197" s="31" t="n">
        <v>86.8</v>
      </c>
      <c r="H5197" s="2" t="s">
        <v>671</v>
      </c>
    </row>
    <row r="5198" customFormat="false" ht="15" hidden="false" customHeight="false" outlineLevel="0" collapsed="false">
      <c r="A5198" s="2" t="s">
        <v>510</v>
      </c>
      <c r="B5198" s="2" t="s">
        <v>46</v>
      </c>
      <c r="C5198" s="2" t="s">
        <v>4085</v>
      </c>
      <c r="D5198" s="11" t="n">
        <v>36240</v>
      </c>
      <c r="E5198" s="31" t="n">
        <v>1.4</v>
      </c>
      <c r="F5198" s="31" t="n">
        <v>84.3</v>
      </c>
      <c r="G5198" s="31" t="n">
        <v>67.6</v>
      </c>
      <c r="H5198" s="2" t="s">
        <v>671</v>
      </c>
    </row>
    <row r="5199" customFormat="false" ht="15" hidden="false" customHeight="false" outlineLevel="0" collapsed="false">
      <c r="A5199" s="2" t="s">
        <v>510</v>
      </c>
      <c r="B5199" s="2" t="s">
        <v>46</v>
      </c>
      <c r="C5199" s="2" t="s">
        <v>4086</v>
      </c>
      <c r="D5199" s="11" t="n">
        <v>37910</v>
      </c>
      <c r="E5199" s="31" t="n">
        <v>6.5</v>
      </c>
      <c r="F5199" s="31" t="n">
        <v>79.3</v>
      </c>
      <c r="G5199" s="31" t="n">
        <v>66.9</v>
      </c>
      <c r="H5199" s="2" t="s">
        <v>671</v>
      </c>
    </row>
    <row r="5200" customFormat="false" ht="15" hidden="false" customHeight="false" outlineLevel="0" collapsed="false">
      <c r="A5200" s="2" t="s">
        <v>510</v>
      </c>
      <c r="B5200" s="2" t="s">
        <v>46</v>
      </c>
      <c r="C5200" s="2" t="s">
        <v>4087</v>
      </c>
      <c r="D5200" s="11" t="n">
        <v>39700</v>
      </c>
      <c r="E5200" s="31" t="n">
        <v>1.9</v>
      </c>
      <c r="F5200" s="31" t="n">
        <v>81.3</v>
      </c>
      <c r="G5200" s="31" t="n">
        <v>93.3</v>
      </c>
      <c r="H5200" s="2" t="s">
        <v>671</v>
      </c>
    </row>
    <row r="5201" customFormat="false" ht="15" hidden="false" customHeight="false" outlineLevel="0" collapsed="false">
      <c r="A5201" s="2" t="s">
        <v>510</v>
      </c>
      <c r="B5201" s="2" t="s">
        <v>47</v>
      </c>
      <c r="C5201" s="2" t="s">
        <v>4085</v>
      </c>
      <c r="D5201" s="11" t="n">
        <v>201964</v>
      </c>
      <c r="E5201" s="31" t="n">
        <v>91</v>
      </c>
      <c r="F5201" s="31" t="n">
        <v>14.2</v>
      </c>
      <c r="G5201" s="31" t="n">
        <v>94</v>
      </c>
      <c r="H5201" s="2" t="s">
        <v>671</v>
      </c>
    </row>
    <row r="5202" customFormat="false" ht="15" hidden="false" customHeight="false" outlineLevel="0" collapsed="false">
      <c r="A5202" s="2" t="s">
        <v>510</v>
      </c>
      <c r="B5202" s="2" t="s">
        <v>47</v>
      </c>
      <c r="C5202" s="2" t="s">
        <v>4086</v>
      </c>
      <c r="D5202" s="11" t="n">
        <v>216530</v>
      </c>
      <c r="E5202" s="31" t="n">
        <v>52.4</v>
      </c>
      <c r="F5202" s="31" t="n">
        <v>29.8</v>
      </c>
      <c r="G5202" s="31" t="n">
        <v>95.7</v>
      </c>
      <c r="H5202" s="2" t="s">
        <v>671</v>
      </c>
    </row>
    <row r="5203" customFormat="false" ht="15" hidden="false" customHeight="false" outlineLevel="0" collapsed="false">
      <c r="A5203" s="2" t="s">
        <v>510</v>
      </c>
      <c r="B5203" s="2" t="s">
        <v>47</v>
      </c>
      <c r="C5203" s="2" t="s">
        <v>4087</v>
      </c>
      <c r="D5203" s="11" t="n">
        <v>216031</v>
      </c>
      <c r="E5203" s="31" t="n">
        <v>67.1</v>
      </c>
      <c r="F5203" s="31" t="n">
        <v>38.6</v>
      </c>
      <c r="G5203" s="31" t="n">
        <v>80.4</v>
      </c>
      <c r="H5203" s="2" t="s">
        <v>671</v>
      </c>
    </row>
    <row r="5204" customFormat="false" ht="15" hidden="false" customHeight="false" outlineLevel="0" collapsed="false">
      <c r="A5204" s="2" t="s">
        <v>1567</v>
      </c>
      <c r="B5204" s="2" t="s">
        <v>4104</v>
      </c>
      <c r="C5204" s="2" t="s">
        <v>4085</v>
      </c>
      <c r="D5204" s="2"/>
      <c r="E5204" s="31" t="n">
        <v>34</v>
      </c>
      <c r="F5204" s="31" t="n">
        <v>73</v>
      </c>
      <c r="G5204" s="31" t="n">
        <v>13.3</v>
      </c>
      <c r="H5204" s="2" t="s">
        <v>668</v>
      </c>
    </row>
    <row r="5205" customFormat="false" ht="15" hidden="false" customHeight="false" outlineLevel="0" collapsed="false">
      <c r="A5205" s="2" t="s">
        <v>1567</v>
      </c>
      <c r="B5205" s="2" t="s">
        <v>4104</v>
      </c>
      <c r="C5205" s="2" t="s">
        <v>4086</v>
      </c>
      <c r="D5205" s="2"/>
      <c r="E5205" s="31" t="n">
        <v>48.4</v>
      </c>
      <c r="F5205" s="31" t="n">
        <v>54.1</v>
      </c>
      <c r="G5205" s="31" t="n">
        <v>41.2</v>
      </c>
      <c r="H5205" s="2" t="s">
        <v>668</v>
      </c>
    </row>
    <row r="5206" customFormat="false" ht="15" hidden="false" customHeight="false" outlineLevel="0" collapsed="false">
      <c r="A5206" s="2" t="s">
        <v>1567</v>
      </c>
      <c r="B5206" s="2" t="s">
        <v>4104</v>
      </c>
      <c r="C5206" s="2" t="s">
        <v>4087</v>
      </c>
      <c r="D5206" s="2"/>
      <c r="E5206" s="31" t="n">
        <v>36</v>
      </c>
      <c r="F5206" s="31" t="n">
        <v>66.1</v>
      </c>
      <c r="G5206" s="31" t="n">
        <v>14.8</v>
      </c>
      <c r="H5206" s="2" t="s">
        <v>668</v>
      </c>
    </row>
    <row r="5207" customFormat="false" ht="15" hidden="false" customHeight="false" outlineLevel="0" collapsed="false">
      <c r="A5207" s="2" t="s">
        <v>1567</v>
      </c>
      <c r="B5207" s="2" t="s">
        <v>45</v>
      </c>
      <c r="C5207" s="2" t="s">
        <v>4085</v>
      </c>
      <c r="D5207" s="11" t="n">
        <v>88050</v>
      </c>
      <c r="E5207" s="31" t="n">
        <v>6.7</v>
      </c>
      <c r="F5207" s="31" t="n">
        <v>54.4</v>
      </c>
      <c r="G5207" s="31" t="n">
        <v>23.2</v>
      </c>
      <c r="H5207" s="2" t="s">
        <v>671</v>
      </c>
    </row>
    <row r="5208" customFormat="false" ht="15" hidden="false" customHeight="false" outlineLevel="0" collapsed="false">
      <c r="A5208" s="2" t="s">
        <v>1567</v>
      </c>
      <c r="B5208" s="2" t="s">
        <v>45</v>
      </c>
      <c r="C5208" s="2" t="s">
        <v>4086</v>
      </c>
      <c r="D5208" s="11" t="n">
        <v>92940</v>
      </c>
      <c r="E5208" s="31" t="n">
        <v>3.8</v>
      </c>
      <c r="F5208" s="31" t="n">
        <v>36.8</v>
      </c>
      <c r="G5208" s="2"/>
      <c r="H5208" s="2" t="s">
        <v>668</v>
      </c>
    </row>
    <row r="5209" customFormat="false" ht="15" hidden="false" customHeight="false" outlineLevel="0" collapsed="false">
      <c r="A5209" s="2" t="s">
        <v>1567</v>
      </c>
      <c r="B5209" s="2" t="s">
        <v>45</v>
      </c>
      <c r="C5209" s="2" t="s">
        <v>4087</v>
      </c>
      <c r="D5209" s="11" t="n">
        <v>91840</v>
      </c>
      <c r="E5209" s="31" t="n">
        <v>2.8</v>
      </c>
      <c r="F5209" s="31" t="n">
        <v>48.8</v>
      </c>
      <c r="G5209" s="2"/>
      <c r="H5209" s="2" t="s">
        <v>668</v>
      </c>
    </row>
    <row r="5210" customFormat="false" ht="15" hidden="false" customHeight="false" outlineLevel="0" collapsed="false">
      <c r="A5210" s="2" t="s">
        <v>1567</v>
      </c>
      <c r="B5210" s="2" t="s">
        <v>46</v>
      </c>
      <c r="C5210" s="2" t="s">
        <v>4085</v>
      </c>
      <c r="D5210" s="2"/>
      <c r="E5210" s="2"/>
      <c r="F5210" s="2"/>
      <c r="G5210" s="2"/>
      <c r="H5210" s="2" t="s">
        <v>668</v>
      </c>
    </row>
    <row r="5211" customFormat="false" ht="15" hidden="false" customHeight="false" outlineLevel="0" collapsed="false">
      <c r="A5211" s="2" t="s">
        <v>1567</v>
      </c>
      <c r="B5211" s="2" t="s">
        <v>46</v>
      </c>
      <c r="C5211" s="2" t="s">
        <v>4086</v>
      </c>
      <c r="D5211" s="11" t="n">
        <v>70660</v>
      </c>
      <c r="E5211" s="31" t="n">
        <v>86.4</v>
      </c>
      <c r="F5211" s="31" t="n">
        <v>57.5</v>
      </c>
      <c r="G5211" s="31" t="n">
        <v>36</v>
      </c>
      <c r="H5211" s="2" t="s">
        <v>671</v>
      </c>
    </row>
    <row r="5212" customFormat="false" ht="15" hidden="false" customHeight="false" outlineLevel="0" collapsed="false">
      <c r="A5212" s="2" t="s">
        <v>1567</v>
      </c>
      <c r="B5212" s="2" t="s">
        <v>46</v>
      </c>
      <c r="C5212" s="2" t="s">
        <v>4087</v>
      </c>
      <c r="D5212" s="11" t="n">
        <v>72000</v>
      </c>
      <c r="E5212" s="31" t="n">
        <v>69.3</v>
      </c>
      <c r="F5212" s="31" t="n">
        <v>83.4</v>
      </c>
      <c r="G5212" s="31" t="n">
        <v>14.8</v>
      </c>
      <c r="H5212" s="2" t="s">
        <v>671</v>
      </c>
    </row>
    <row r="5213" customFormat="false" ht="15" hidden="false" customHeight="false" outlineLevel="0" collapsed="false">
      <c r="A5213" s="2" t="s">
        <v>1567</v>
      </c>
      <c r="B5213" s="2" t="s">
        <v>47</v>
      </c>
      <c r="C5213" s="2" t="s">
        <v>4085</v>
      </c>
      <c r="D5213" s="11" t="n">
        <v>19464</v>
      </c>
      <c r="E5213" s="31" t="n">
        <v>61.4</v>
      </c>
      <c r="F5213" s="31" t="n">
        <v>91.5</v>
      </c>
      <c r="G5213" s="31" t="n">
        <v>3.4</v>
      </c>
      <c r="H5213" s="2" t="s">
        <v>671</v>
      </c>
    </row>
    <row r="5214" customFormat="false" ht="15" hidden="false" customHeight="false" outlineLevel="0" collapsed="false">
      <c r="A5214" s="2" t="s">
        <v>1567</v>
      </c>
      <c r="B5214" s="2" t="s">
        <v>47</v>
      </c>
      <c r="C5214" s="2" t="s">
        <v>4086</v>
      </c>
      <c r="D5214" s="11" t="n">
        <v>20752</v>
      </c>
      <c r="E5214" s="31" t="n">
        <v>54.9</v>
      </c>
      <c r="F5214" s="31" t="n">
        <v>67.9</v>
      </c>
      <c r="G5214" s="31" t="n">
        <v>46.4</v>
      </c>
      <c r="H5214" s="2" t="s">
        <v>671</v>
      </c>
    </row>
    <row r="5215" customFormat="false" ht="15" hidden="false" customHeight="false" outlineLevel="0" collapsed="false">
      <c r="A5215" s="2" t="s">
        <v>1567</v>
      </c>
      <c r="B5215" s="2" t="s">
        <v>47</v>
      </c>
      <c r="C5215" s="2" t="s">
        <v>4087</v>
      </c>
      <c r="D5215" s="2"/>
      <c r="E5215" s="2"/>
      <c r="F5215" s="2"/>
      <c r="G5215" s="2"/>
      <c r="H5215" s="2" t="s">
        <v>668</v>
      </c>
    </row>
    <row r="5216" customFormat="false" ht="15" hidden="false" customHeight="false" outlineLevel="0" collapsed="false">
      <c r="A5216" s="2" t="s">
        <v>2475</v>
      </c>
      <c r="B5216" s="2" t="s">
        <v>4104</v>
      </c>
      <c r="C5216" s="2" t="s">
        <v>4085</v>
      </c>
      <c r="D5216" s="2"/>
      <c r="E5216" s="31" t="n">
        <v>62.2</v>
      </c>
      <c r="F5216" s="31" t="n">
        <v>50.2</v>
      </c>
      <c r="G5216" s="31" t="n">
        <v>48.8</v>
      </c>
      <c r="H5216" s="2" t="s">
        <v>671</v>
      </c>
    </row>
    <row r="5217" customFormat="false" ht="15" hidden="false" customHeight="false" outlineLevel="0" collapsed="false">
      <c r="A5217" s="2" t="s">
        <v>2475</v>
      </c>
      <c r="B5217" s="2" t="s">
        <v>4104</v>
      </c>
      <c r="C5217" s="2" t="s">
        <v>4086</v>
      </c>
      <c r="D5217" s="2"/>
      <c r="E5217" s="31" t="n">
        <v>54.8</v>
      </c>
      <c r="F5217" s="31" t="n">
        <v>41.3</v>
      </c>
      <c r="G5217" s="31" t="n">
        <v>40.8</v>
      </c>
      <c r="H5217" s="2" t="s">
        <v>671</v>
      </c>
    </row>
    <row r="5218" customFormat="false" ht="15" hidden="false" customHeight="false" outlineLevel="0" collapsed="false">
      <c r="A5218" s="2" t="s">
        <v>2475</v>
      </c>
      <c r="B5218" s="2" t="s">
        <v>4104</v>
      </c>
      <c r="C5218" s="2" t="s">
        <v>4087</v>
      </c>
      <c r="D5218" s="2"/>
      <c r="E5218" s="31" t="n">
        <v>62.1</v>
      </c>
      <c r="F5218" s="31" t="n">
        <v>52</v>
      </c>
      <c r="G5218" s="31" t="n">
        <v>60.8</v>
      </c>
      <c r="H5218" s="2" t="s">
        <v>668</v>
      </c>
    </row>
    <row r="5219" customFormat="false" ht="15" hidden="false" customHeight="false" outlineLevel="0" collapsed="false">
      <c r="A5219" s="2" t="s">
        <v>2475</v>
      </c>
      <c r="B5219" s="2" t="s">
        <v>45</v>
      </c>
      <c r="C5219" s="2" t="s">
        <v>4085</v>
      </c>
      <c r="D5219" s="11" t="n">
        <v>2926</v>
      </c>
      <c r="E5219" s="31" t="n">
        <v>42.3</v>
      </c>
      <c r="F5219" s="31" t="n">
        <v>32.3</v>
      </c>
      <c r="G5219" s="31" t="n">
        <v>20</v>
      </c>
      <c r="H5219" s="2" t="s">
        <v>671</v>
      </c>
    </row>
    <row r="5220" customFormat="false" ht="15" hidden="false" customHeight="false" outlineLevel="0" collapsed="false">
      <c r="A5220" s="2" t="s">
        <v>2475</v>
      </c>
      <c r="B5220" s="2" t="s">
        <v>45</v>
      </c>
      <c r="C5220" s="2" t="s">
        <v>4086</v>
      </c>
      <c r="D5220" s="11" t="n">
        <v>3050</v>
      </c>
      <c r="E5220" s="31" t="n">
        <v>34.8</v>
      </c>
      <c r="F5220" s="31" t="n">
        <v>62</v>
      </c>
      <c r="G5220" s="31" t="n">
        <v>12.4</v>
      </c>
      <c r="H5220" s="2" t="s">
        <v>671</v>
      </c>
    </row>
    <row r="5221" customFormat="false" ht="15" hidden="false" customHeight="false" outlineLevel="0" collapsed="false">
      <c r="A5221" s="2" t="s">
        <v>2475</v>
      </c>
      <c r="B5221" s="2" t="s">
        <v>45</v>
      </c>
      <c r="C5221" s="2" t="s">
        <v>4087</v>
      </c>
      <c r="D5221" s="11" t="n">
        <v>3140</v>
      </c>
      <c r="E5221" s="31" t="n">
        <v>62.4</v>
      </c>
      <c r="F5221" s="2"/>
      <c r="G5221" s="31" t="n">
        <v>38.1</v>
      </c>
      <c r="H5221" s="2" t="s">
        <v>668</v>
      </c>
    </row>
    <row r="5222" customFormat="false" ht="15" hidden="false" customHeight="false" outlineLevel="0" collapsed="false">
      <c r="A5222" s="2" t="s">
        <v>2475</v>
      </c>
      <c r="B5222" s="2" t="s">
        <v>46</v>
      </c>
      <c r="C5222" s="2" t="s">
        <v>4085</v>
      </c>
      <c r="D5222" s="11" t="n">
        <v>28230</v>
      </c>
      <c r="E5222" s="31" t="n">
        <v>95.3</v>
      </c>
      <c r="F5222" s="31" t="n">
        <v>78.7</v>
      </c>
      <c r="G5222" s="31" t="n">
        <v>88.8</v>
      </c>
      <c r="H5222" s="2" t="s">
        <v>671</v>
      </c>
    </row>
    <row r="5223" customFormat="false" ht="15" hidden="false" customHeight="false" outlineLevel="0" collapsed="false">
      <c r="A5223" s="2" t="s">
        <v>2475</v>
      </c>
      <c r="B5223" s="2" t="s">
        <v>46</v>
      </c>
      <c r="C5223" s="2" t="s">
        <v>4086</v>
      </c>
      <c r="D5223" s="11" t="n">
        <v>29390</v>
      </c>
      <c r="E5223" s="31" t="n">
        <v>89</v>
      </c>
      <c r="F5223" s="31" t="n">
        <v>39.3</v>
      </c>
      <c r="G5223" s="31" t="n">
        <v>58.5</v>
      </c>
      <c r="H5223" s="2" t="s">
        <v>671</v>
      </c>
    </row>
    <row r="5224" customFormat="false" ht="15" hidden="false" customHeight="false" outlineLevel="0" collapsed="false">
      <c r="A5224" s="2" t="s">
        <v>2475</v>
      </c>
      <c r="B5224" s="2" t="s">
        <v>46</v>
      </c>
      <c r="C5224" s="2" t="s">
        <v>4087</v>
      </c>
      <c r="D5224" s="11" t="n">
        <v>30760</v>
      </c>
      <c r="E5224" s="31" t="n">
        <v>94.7</v>
      </c>
      <c r="F5224" s="31" t="n">
        <v>63.1</v>
      </c>
      <c r="G5224" s="2"/>
      <c r="H5224" s="2" t="s">
        <v>668</v>
      </c>
    </row>
    <row r="5225" customFormat="false" ht="15" hidden="false" customHeight="false" outlineLevel="0" collapsed="false">
      <c r="A5225" s="2" t="s">
        <v>2475</v>
      </c>
      <c r="B5225" s="2" t="s">
        <v>47</v>
      </c>
      <c r="C5225" s="2" t="s">
        <v>4085</v>
      </c>
      <c r="D5225" s="11" t="n">
        <v>19655</v>
      </c>
      <c r="E5225" s="31" t="n">
        <v>49.1</v>
      </c>
      <c r="F5225" s="31" t="n">
        <v>39.5</v>
      </c>
      <c r="G5225" s="31" t="n">
        <v>37.6</v>
      </c>
      <c r="H5225" s="2" t="s">
        <v>671</v>
      </c>
    </row>
    <row r="5226" customFormat="false" ht="15" hidden="false" customHeight="false" outlineLevel="0" collapsed="false">
      <c r="A5226" s="2" t="s">
        <v>2475</v>
      </c>
      <c r="B5226" s="2" t="s">
        <v>47</v>
      </c>
      <c r="C5226" s="2" t="s">
        <v>4086</v>
      </c>
      <c r="D5226" s="11" t="n">
        <v>19839</v>
      </c>
      <c r="E5226" s="31" t="n">
        <v>40.6</v>
      </c>
      <c r="F5226" s="31" t="n">
        <v>22.7</v>
      </c>
      <c r="G5226" s="31" t="n">
        <v>51.6</v>
      </c>
      <c r="H5226" s="2" t="s">
        <v>671</v>
      </c>
    </row>
    <row r="5227" customFormat="false" ht="15" hidden="false" customHeight="false" outlineLevel="0" collapsed="false">
      <c r="A5227" s="2" t="s">
        <v>2475</v>
      </c>
      <c r="B5227" s="2" t="s">
        <v>47</v>
      </c>
      <c r="C5227" s="2" t="s">
        <v>4087</v>
      </c>
      <c r="D5227" s="11" t="n">
        <v>20189</v>
      </c>
      <c r="E5227" s="31" t="n">
        <v>29.1</v>
      </c>
      <c r="F5227" s="31" t="n">
        <v>40.8</v>
      </c>
      <c r="G5227" s="31" t="n">
        <v>83.6</v>
      </c>
      <c r="H5227" s="2" t="s">
        <v>671</v>
      </c>
    </row>
    <row r="5228" customFormat="false" ht="15" hidden="false" customHeight="false" outlineLevel="0" collapsed="false">
      <c r="A5228" s="2" t="s">
        <v>3016</v>
      </c>
      <c r="B5228" s="2" t="s">
        <v>4104</v>
      </c>
      <c r="C5228" s="2" t="s">
        <v>4085</v>
      </c>
      <c r="D5228" s="2"/>
      <c r="E5228" s="31" t="n">
        <v>11.9</v>
      </c>
      <c r="F5228" s="31" t="n">
        <v>94</v>
      </c>
      <c r="G5228" s="31" t="n">
        <v>5</v>
      </c>
      <c r="H5228" s="2" t="s">
        <v>671</v>
      </c>
    </row>
    <row r="5229" customFormat="false" ht="15" hidden="false" customHeight="false" outlineLevel="0" collapsed="false">
      <c r="A5229" s="2" t="s">
        <v>3016</v>
      </c>
      <c r="B5229" s="2" t="s">
        <v>4104</v>
      </c>
      <c r="C5229" s="2" t="s">
        <v>4086</v>
      </c>
      <c r="D5229" s="2"/>
      <c r="E5229" s="2"/>
      <c r="F5229" s="31" t="n">
        <v>94.2</v>
      </c>
      <c r="G5229" s="31" t="n">
        <v>17.9</v>
      </c>
      <c r="H5229" s="2" t="s">
        <v>668</v>
      </c>
    </row>
    <row r="5230" customFormat="false" ht="15" hidden="false" customHeight="false" outlineLevel="0" collapsed="false">
      <c r="A5230" s="2" t="s">
        <v>3016</v>
      </c>
      <c r="B5230" s="2" t="s">
        <v>4104</v>
      </c>
      <c r="C5230" s="2" t="s">
        <v>4087</v>
      </c>
      <c r="D5230" s="2"/>
      <c r="E5230" s="31" t="n">
        <v>30.7</v>
      </c>
      <c r="F5230" s="31" t="n">
        <v>93.4</v>
      </c>
      <c r="G5230" s="2"/>
      <c r="H5230" s="2" t="s">
        <v>668</v>
      </c>
    </row>
    <row r="5231" customFormat="false" ht="15" hidden="false" customHeight="false" outlineLevel="0" collapsed="false">
      <c r="A5231" s="2" t="s">
        <v>3016</v>
      </c>
      <c r="B5231" s="2" t="s">
        <v>46</v>
      </c>
      <c r="C5231" s="2" t="s">
        <v>4085</v>
      </c>
      <c r="D5231" s="11" t="n">
        <v>39167</v>
      </c>
      <c r="E5231" s="31" t="n">
        <v>11.9</v>
      </c>
      <c r="F5231" s="31" t="n">
        <v>94</v>
      </c>
      <c r="G5231" s="31" t="n">
        <v>5</v>
      </c>
      <c r="H5231" s="2" t="s">
        <v>671</v>
      </c>
    </row>
    <row r="5232" customFormat="false" ht="15" hidden="false" customHeight="false" outlineLevel="0" collapsed="false">
      <c r="A5232" s="2" t="s">
        <v>3016</v>
      </c>
      <c r="B5232" s="2" t="s">
        <v>46</v>
      </c>
      <c r="C5232" s="2" t="s">
        <v>4086</v>
      </c>
      <c r="D5232" s="11" t="n">
        <v>41700</v>
      </c>
      <c r="E5232" s="2"/>
      <c r="F5232" s="31" t="n">
        <v>94.2</v>
      </c>
      <c r="G5232" s="31" t="n">
        <v>17.9</v>
      </c>
      <c r="H5232" s="2" t="s">
        <v>668</v>
      </c>
    </row>
    <row r="5233" customFormat="false" ht="15" hidden="false" customHeight="false" outlineLevel="0" collapsed="false">
      <c r="A5233" s="2" t="s">
        <v>3016</v>
      </c>
      <c r="B5233" s="2" t="s">
        <v>46</v>
      </c>
      <c r="C5233" s="2" t="s">
        <v>4087</v>
      </c>
      <c r="D5233" s="11" t="n">
        <v>43390</v>
      </c>
      <c r="E5233" s="31" t="n">
        <v>30.7</v>
      </c>
      <c r="F5233" s="31" t="n">
        <v>93.4</v>
      </c>
      <c r="G5233" s="2"/>
      <c r="H5233" s="2" t="s">
        <v>668</v>
      </c>
    </row>
    <row r="5234" customFormat="false" ht="15" hidden="false" customHeight="false" outlineLevel="0" collapsed="false">
      <c r="A5234" s="2" t="s">
        <v>731</v>
      </c>
      <c r="B5234" s="2" t="s">
        <v>4104</v>
      </c>
      <c r="C5234" s="2" t="s">
        <v>4085</v>
      </c>
      <c r="D5234" s="2"/>
      <c r="E5234" s="31" t="n">
        <v>51.7</v>
      </c>
      <c r="F5234" s="31" t="n">
        <v>44.8</v>
      </c>
      <c r="G5234" s="31" t="n">
        <v>30.7</v>
      </c>
      <c r="H5234" s="2" t="s">
        <v>671</v>
      </c>
    </row>
    <row r="5235" customFormat="false" ht="15" hidden="false" customHeight="false" outlineLevel="0" collapsed="false">
      <c r="A5235" s="2" t="s">
        <v>731</v>
      </c>
      <c r="B5235" s="2" t="s">
        <v>4104</v>
      </c>
      <c r="C5235" s="2" t="s">
        <v>4086</v>
      </c>
      <c r="D5235" s="2"/>
      <c r="E5235" s="31" t="n">
        <v>64.3</v>
      </c>
      <c r="F5235" s="31" t="n">
        <v>61.9</v>
      </c>
      <c r="G5235" s="31" t="n">
        <v>41.4</v>
      </c>
      <c r="H5235" s="2" t="s">
        <v>671</v>
      </c>
    </row>
    <row r="5236" customFormat="false" ht="15" hidden="false" customHeight="false" outlineLevel="0" collapsed="false">
      <c r="A5236" s="2" t="s">
        <v>731</v>
      </c>
      <c r="B5236" s="2" t="s">
        <v>4104</v>
      </c>
      <c r="C5236" s="2" t="s">
        <v>4087</v>
      </c>
      <c r="D5236" s="2"/>
      <c r="E5236" s="31" t="n">
        <v>52.4</v>
      </c>
      <c r="F5236" s="31" t="n">
        <v>57.4</v>
      </c>
      <c r="G5236" s="31" t="n">
        <v>55</v>
      </c>
      <c r="H5236" s="2" t="s">
        <v>668</v>
      </c>
    </row>
    <row r="5237" customFormat="false" ht="15" hidden="false" customHeight="false" outlineLevel="0" collapsed="false">
      <c r="A5237" s="2" t="s">
        <v>731</v>
      </c>
      <c r="B5237" s="2" t="s">
        <v>45</v>
      </c>
      <c r="C5237" s="2" t="s">
        <v>4085</v>
      </c>
      <c r="D5237" s="11" t="n">
        <v>12380</v>
      </c>
      <c r="E5237" s="31" t="n">
        <v>95.2</v>
      </c>
      <c r="F5237" s="31" t="n">
        <v>25.5</v>
      </c>
      <c r="G5237" s="31" t="n">
        <v>25.4</v>
      </c>
      <c r="H5237" s="2" t="s">
        <v>671</v>
      </c>
    </row>
    <row r="5238" customFormat="false" ht="15" hidden="false" customHeight="false" outlineLevel="0" collapsed="false">
      <c r="A5238" s="2" t="s">
        <v>731</v>
      </c>
      <c r="B5238" s="2" t="s">
        <v>45</v>
      </c>
      <c r="C5238" s="2" t="s">
        <v>4086</v>
      </c>
      <c r="D5238" s="11" t="n">
        <v>12720</v>
      </c>
      <c r="E5238" s="31" t="n">
        <v>91.3</v>
      </c>
      <c r="F5238" s="31" t="n">
        <v>57.4</v>
      </c>
      <c r="G5238" s="31" t="n">
        <v>74.8</v>
      </c>
      <c r="H5238" s="2" t="s">
        <v>671</v>
      </c>
    </row>
    <row r="5239" customFormat="false" ht="15" hidden="false" customHeight="false" outlineLevel="0" collapsed="false">
      <c r="A5239" s="2" t="s">
        <v>731</v>
      </c>
      <c r="B5239" s="2" t="s">
        <v>45</v>
      </c>
      <c r="C5239" s="2" t="s">
        <v>4087</v>
      </c>
      <c r="D5239" s="11" t="n">
        <v>13130</v>
      </c>
      <c r="E5239" s="31" t="n">
        <v>92.3</v>
      </c>
      <c r="F5239" s="31" t="n">
        <v>43.7</v>
      </c>
      <c r="G5239" s="31" t="n">
        <v>57.7</v>
      </c>
      <c r="H5239" s="2" t="s">
        <v>671</v>
      </c>
    </row>
    <row r="5240" customFormat="false" ht="15" hidden="false" customHeight="false" outlineLevel="0" collapsed="false">
      <c r="A5240" s="2" t="s">
        <v>731</v>
      </c>
      <c r="B5240" s="2" t="s">
        <v>46</v>
      </c>
      <c r="C5240" s="2" t="s">
        <v>4085</v>
      </c>
      <c r="D5240" s="11" t="n">
        <v>4624</v>
      </c>
      <c r="E5240" s="31" t="n">
        <v>45.2</v>
      </c>
      <c r="F5240" s="31" t="n">
        <v>40.4</v>
      </c>
      <c r="G5240" s="31" t="n">
        <v>38.1</v>
      </c>
      <c r="H5240" s="2" t="s">
        <v>671</v>
      </c>
    </row>
    <row r="5241" customFormat="false" ht="15" hidden="false" customHeight="false" outlineLevel="0" collapsed="false">
      <c r="A5241" s="2" t="s">
        <v>731</v>
      </c>
      <c r="B5241" s="2" t="s">
        <v>46</v>
      </c>
      <c r="C5241" s="2" t="s">
        <v>4086</v>
      </c>
      <c r="D5241" s="11" t="n">
        <v>4770</v>
      </c>
      <c r="E5241" s="31" t="n">
        <v>65</v>
      </c>
      <c r="F5241" s="31" t="n">
        <v>71.7</v>
      </c>
      <c r="G5241" s="31" t="n">
        <v>0.2</v>
      </c>
      <c r="H5241" s="2" t="s">
        <v>671</v>
      </c>
    </row>
    <row r="5242" customFormat="false" ht="15" hidden="false" customHeight="false" outlineLevel="0" collapsed="false">
      <c r="A5242" s="2" t="s">
        <v>731</v>
      </c>
      <c r="B5242" s="2" t="s">
        <v>46</v>
      </c>
      <c r="C5242" s="2" t="s">
        <v>4087</v>
      </c>
      <c r="D5242" s="2"/>
      <c r="E5242" s="2"/>
      <c r="F5242" s="2"/>
      <c r="G5242" s="2"/>
      <c r="H5242" s="2" t="s">
        <v>668</v>
      </c>
    </row>
    <row r="5243" customFormat="false" ht="15" hidden="false" customHeight="false" outlineLevel="0" collapsed="false">
      <c r="A5243" s="2" t="s">
        <v>731</v>
      </c>
      <c r="B5243" s="2" t="s">
        <v>47</v>
      </c>
      <c r="C5243" s="2" t="s">
        <v>4085</v>
      </c>
      <c r="D5243" s="11" t="n">
        <v>372726</v>
      </c>
      <c r="E5243" s="31" t="n">
        <v>14.7</v>
      </c>
      <c r="F5243" s="31" t="n">
        <v>68.5</v>
      </c>
      <c r="G5243" s="31" t="n">
        <v>28.7</v>
      </c>
      <c r="H5243" s="2" t="s">
        <v>671</v>
      </c>
    </row>
    <row r="5244" customFormat="false" ht="15" hidden="false" customHeight="false" outlineLevel="0" collapsed="false">
      <c r="A5244" s="2" t="s">
        <v>731</v>
      </c>
      <c r="B5244" s="2" t="s">
        <v>47</v>
      </c>
      <c r="C5244" s="2" t="s">
        <v>4086</v>
      </c>
      <c r="D5244" s="11" t="n">
        <v>386168</v>
      </c>
      <c r="E5244" s="31" t="n">
        <v>36.7</v>
      </c>
      <c r="F5244" s="31" t="n">
        <v>56.5</v>
      </c>
      <c r="G5244" s="31" t="n">
        <v>49.3</v>
      </c>
      <c r="H5244" s="2" t="s">
        <v>671</v>
      </c>
    </row>
    <row r="5245" customFormat="false" ht="15" hidden="false" customHeight="false" outlineLevel="0" collapsed="false">
      <c r="A5245" s="2" t="s">
        <v>731</v>
      </c>
      <c r="B5245" s="2" t="s">
        <v>47</v>
      </c>
      <c r="C5245" s="2" t="s">
        <v>4087</v>
      </c>
      <c r="D5245" s="11" t="n">
        <v>391980</v>
      </c>
      <c r="E5245" s="31" t="n">
        <v>12.4</v>
      </c>
      <c r="F5245" s="31" t="n">
        <v>71.1</v>
      </c>
      <c r="G5245" s="31" t="n">
        <v>52.4</v>
      </c>
      <c r="H5245" s="2" t="s">
        <v>671</v>
      </c>
    </row>
    <row r="5246" customFormat="false" ht="15" hidden="false" customHeight="false" outlineLevel="0" collapsed="false">
      <c r="A5246" s="2" t="s">
        <v>548</v>
      </c>
      <c r="B5246" s="2" t="s">
        <v>4104</v>
      </c>
      <c r="C5246" s="2" t="s">
        <v>4085</v>
      </c>
      <c r="D5246" s="2"/>
      <c r="E5246" s="31" t="n">
        <v>26.6</v>
      </c>
      <c r="F5246" s="31" t="n">
        <v>54.8</v>
      </c>
      <c r="G5246" s="31" t="n">
        <v>26.8</v>
      </c>
      <c r="H5246" s="2" t="s">
        <v>668</v>
      </c>
    </row>
    <row r="5247" customFormat="false" ht="15" hidden="false" customHeight="false" outlineLevel="0" collapsed="false">
      <c r="A5247" s="2" t="s">
        <v>548</v>
      </c>
      <c r="B5247" s="2" t="s">
        <v>4104</v>
      </c>
      <c r="C5247" s="2" t="s">
        <v>4086</v>
      </c>
      <c r="D5247" s="2"/>
      <c r="E5247" s="31" t="n">
        <v>26</v>
      </c>
      <c r="F5247" s="31" t="n">
        <v>41.4</v>
      </c>
      <c r="G5247" s="31" t="n">
        <v>67.2</v>
      </c>
      <c r="H5247" s="2" t="s">
        <v>668</v>
      </c>
    </row>
    <row r="5248" customFormat="false" ht="15" hidden="false" customHeight="false" outlineLevel="0" collapsed="false">
      <c r="A5248" s="2" t="s">
        <v>548</v>
      </c>
      <c r="B5248" s="2" t="s">
        <v>4104</v>
      </c>
      <c r="C5248" s="2" t="s">
        <v>4087</v>
      </c>
      <c r="D5248" s="2"/>
      <c r="E5248" s="31" t="n">
        <v>30.1</v>
      </c>
      <c r="F5248" s="31" t="n">
        <v>53.3</v>
      </c>
      <c r="G5248" s="31" t="n">
        <v>39.5</v>
      </c>
      <c r="H5248" s="2" t="s">
        <v>671</v>
      </c>
    </row>
    <row r="5249" customFormat="false" ht="15" hidden="false" customHeight="false" outlineLevel="0" collapsed="false">
      <c r="A5249" s="2" t="s">
        <v>548</v>
      </c>
      <c r="B5249" s="2" t="s">
        <v>45</v>
      </c>
      <c r="C5249" s="2" t="s">
        <v>4085</v>
      </c>
      <c r="D5249" s="11" t="n">
        <v>29960</v>
      </c>
      <c r="E5249" s="31" t="n">
        <v>21.4</v>
      </c>
      <c r="F5249" s="31" t="n">
        <v>57.7</v>
      </c>
      <c r="G5249" s="2"/>
      <c r="H5249" s="2" t="s">
        <v>668</v>
      </c>
    </row>
    <row r="5250" customFormat="false" ht="15" hidden="false" customHeight="false" outlineLevel="0" collapsed="false">
      <c r="A5250" s="2" t="s">
        <v>548</v>
      </c>
      <c r="B5250" s="2" t="s">
        <v>45</v>
      </c>
      <c r="C5250" s="2" t="s">
        <v>4086</v>
      </c>
      <c r="D5250" s="11" t="n">
        <v>32180</v>
      </c>
      <c r="E5250" s="31" t="n">
        <v>33.1</v>
      </c>
      <c r="F5250" s="31" t="n">
        <v>60.5</v>
      </c>
      <c r="G5250" s="31" t="n">
        <v>78.6</v>
      </c>
      <c r="H5250" s="2" t="s">
        <v>671</v>
      </c>
    </row>
    <row r="5251" customFormat="false" ht="15" hidden="false" customHeight="false" outlineLevel="0" collapsed="false">
      <c r="A5251" s="2" t="s">
        <v>548</v>
      </c>
      <c r="B5251" s="2" t="s">
        <v>45</v>
      </c>
      <c r="C5251" s="2" t="s">
        <v>4087</v>
      </c>
      <c r="D5251" s="11" t="n">
        <v>32770</v>
      </c>
      <c r="E5251" s="31" t="n">
        <v>26.3</v>
      </c>
      <c r="F5251" s="31" t="n">
        <v>52.4</v>
      </c>
      <c r="G5251" s="31" t="n">
        <v>55.5</v>
      </c>
      <c r="H5251" s="2" t="s">
        <v>671</v>
      </c>
    </row>
    <row r="5252" customFormat="false" ht="15" hidden="false" customHeight="false" outlineLevel="0" collapsed="false">
      <c r="A5252" s="2" t="s">
        <v>548</v>
      </c>
      <c r="B5252" s="2" t="s">
        <v>46</v>
      </c>
      <c r="C5252" s="2" t="s">
        <v>4085</v>
      </c>
      <c r="D5252" s="11" t="n">
        <v>15140</v>
      </c>
      <c r="E5252" s="31" t="n">
        <v>31.7</v>
      </c>
      <c r="F5252" s="31" t="n">
        <v>97.4</v>
      </c>
      <c r="G5252" s="31" t="n">
        <v>11.6</v>
      </c>
      <c r="H5252" s="2" t="s">
        <v>671</v>
      </c>
    </row>
    <row r="5253" customFormat="false" ht="15" hidden="false" customHeight="false" outlineLevel="0" collapsed="false">
      <c r="A5253" s="2" t="s">
        <v>548</v>
      </c>
      <c r="B5253" s="2" t="s">
        <v>46</v>
      </c>
      <c r="C5253" s="2" t="s">
        <v>4086</v>
      </c>
      <c r="D5253" s="2"/>
      <c r="E5253" s="2"/>
      <c r="F5253" s="2"/>
      <c r="G5253" s="31" t="n">
        <v>36.4</v>
      </c>
      <c r="H5253" s="2" t="s">
        <v>668</v>
      </c>
    </row>
    <row r="5254" customFormat="false" ht="15" hidden="false" customHeight="false" outlineLevel="0" collapsed="false">
      <c r="A5254" s="2" t="s">
        <v>548</v>
      </c>
      <c r="B5254" s="2" t="s">
        <v>46</v>
      </c>
      <c r="C5254" s="2" t="s">
        <v>4087</v>
      </c>
      <c r="D5254" s="11" t="n">
        <v>17730</v>
      </c>
      <c r="E5254" s="31" t="n">
        <v>42.1</v>
      </c>
      <c r="F5254" s="31" t="n">
        <v>94.2</v>
      </c>
      <c r="G5254" s="31" t="n">
        <v>5.4</v>
      </c>
      <c r="H5254" s="2" t="s">
        <v>671</v>
      </c>
    </row>
    <row r="5255" customFormat="false" ht="15" hidden="false" customHeight="false" outlineLevel="0" collapsed="false">
      <c r="A5255" s="2" t="s">
        <v>548</v>
      </c>
      <c r="B5255" s="2" t="s">
        <v>47</v>
      </c>
      <c r="C5255" s="2" t="s">
        <v>4085</v>
      </c>
      <c r="D5255" s="11" t="n">
        <v>421308</v>
      </c>
      <c r="E5255" s="2"/>
      <c r="F5255" s="31" t="n">
        <v>9.3</v>
      </c>
      <c r="G5255" s="31" t="n">
        <v>42</v>
      </c>
      <c r="H5255" s="2" t="s">
        <v>668</v>
      </c>
    </row>
    <row r="5256" customFormat="false" ht="15" hidden="false" customHeight="false" outlineLevel="0" collapsed="false">
      <c r="A5256" s="2" t="s">
        <v>548</v>
      </c>
      <c r="B5256" s="2" t="s">
        <v>47</v>
      </c>
      <c r="C5256" s="2" t="s">
        <v>4086</v>
      </c>
      <c r="D5256" s="11" t="n">
        <v>416856</v>
      </c>
      <c r="E5256" s="31" t="n">
        <v>18.9</v>
      </c>
      <c r="F5256" s="31" t="n">
        <v>22.4</v>
      </c>
      <c r="G5256" s="31" t="n">
        <v>86.7</v>
      </c>
      <c r="H5256" s="2" t="s">
        <v>671</v>
      </c>
    </row>
    <row r="5257" customFormat="false" ht="15" hidden="false" customHeight="false" outlineLevel="0" collapsed="false">
      <c r="A5257" s="2" t="s">
        <v>548</v>
      </c>
      <c r="B5257" s="2" t="s">
        <v>47</v>
      </c>
      <c r="C5257" s="2" t="s">
        <v>4087</v>
      </c>
      <c r="D5257" s="11" t="n">
        <v>420755</v>
      </c>
      <c r="E5257" s="31" t="n">
        <v>21.9</v>
      </c>
      <c r="F5257" s="31" t="n">
        <v>13.3</v>
      </c>
      <c r="G5257" s="31" t="n">
        <v>57.5</v>
      </c>
      <c r="H5257" s="2" t="s">
        <v>671</v>
      </c>
    </row>
    <row r="5258" customFormat="false" ht="15" hidden="false" customHeight="false" outlineLevel="0" collapsed="false">
      <c r="A5258" s="2" t="s">
        <v>2652</v>
      </c>
      <c r="B5258" s="2" t="s">
        <v>4104</v>
      </c>
      <c r="C5258" s="2" t="s">
        <v>4085</v>
      </c>
      <c r="D5258" s="2"/>
      <c r="E5258" s="31" t="n">
        <v>24.9</v>
      </c>
      <c r="F5258" s="2"/>
      <c r="G5258" s="31" t="n">
        <v>66.3</v>
      </c>
      <c r="H5258" s="2" t="s">
        <v>668</v>
      </c>
    </row>
    <row r="5259" customFormat="false" ht="15" hidden="false" customHeight="false" outlineLevel="0" collapsed="false">
      <c r="A5259" s="2" t="s">
        <v>2652</v>
      </c>
      <c r="B5259" s="2" t="s">
        <v>4104</v>
      </c>
      <c r="C5259" s="2" t="s">
        <v>4086</v>
      </c>
      <c r="D5259" s="2"/>
      <c r="E5259" s="31" t="n">
        <v>54.5</v>
      </c>
      <c r="F5259" s="31" t="n">
        <v>67.3</v>
      </c>
      <c r="G5259" s="31" t="n">
        <v>83.5</v>
      </c>
      <c r="H5259" s="2" t="s">
        <v>671</v>
      </c>
    </row>
    <row r="5260" customFormat="false" ht="15" hidden="false" customHeight="false" outlineLevel="0" collapsed="false">
      <c r="A5260" s="2" t="s">
        <v>2652</v>
      </c>
      <c r="B5260" s="2" t="s">
        <v>4104</v>
      </c>
      <c r="C5260" s="2" t="s">
        <v>4087</v>
      </c>
      <c r="D5260" s="2"/>
      <c r="E5260" s="31" t="n">
        <v>4.6</v>
      </c>
      <c r="F5260" s="31" t="n">
        <v>68.7</v>
      </c>
      <c r="G5260" s="31" t="n">
        <v>89.1</v>
      </c>
      <c r="H5260" s="2" t="s">
        <v>668</v>
      </c>
    </row>
    <row r="5261" customFormat="false" ht="15" hidden="false" customHeight="false" outlineLevel="0" collapsed="false">
      <c r="A5261" s="2" t="s">
        <v>2652</v>
      </c>
      <c r="B5261" s="2" t="s">
        <v>46</v>
      </c>
      <c r="C5261" s="2" t="s">
        <v>4085</v>
      </c>
      <c r="D5261" s="2"/>
      <c r="E5261" s="2"/>
      <c r="F5261" s="2"/>
      <c r="G5261" s="2"/>
      <c r="H5261" s="2" t="s">
        <v>668</v>
      </c>
    </row>
    <row r="5262" customFormat="false" ht="15" hidden="false" customHeight="false" outlineLevel="0" collapsed="false">
      <c r="A5262" s="2" t="s">
        <v>2652</v>
      </c>
      <c r="B5262" s="2" t="s">
        <v>46</v>
      </c>
      <c r="C5262" s="2" t="s">
        <v>4086</v>
      </c>
      <c r="D5262" s="11" t="n">
        <v>337180</v>
      </c>
      <c r="E5262" s="31" t="n">
        <v>97.4</v>
      </c>
      <c r="F5262" s="31" t="n">
        <v>93.6</v>
      </c>
      <c r="G5262" s="31" t="n">
        <v>70.9</v>
      </c>
      <c r="H5262" s="2" t="s">
        <v>671</v>
      </c>
    </row>
    <row r="5263" customFormat="false" ht="15" hidden="false" customHeight="false" outlineLevel="0" collapsed="false">
      <c r="A5263" s="2" t="s">
        <v>2652</v>
      </c>
      <c r="B5263" s="2" t="s">
        <v>46</v>
      </c>
      <c r="C5263" s="2" t="s">
        <v>4087</v>
      </c>
      <c r="D5263" s="2"/>
      <c r="E5263" s="2"/>
      <c r="F5263" s="2"/>
      <c r="G5263" s="2"/>
      <c r="H5263" s="2" t="s">
        <v>668</v>
      </c>
    </row>
    <row r="5264" customFormat="false" ht="15" hidden="false" customHeight="false" outlineLevel="0" collapsed="false">
      <c r="A5264" s="2" t="s">
        <v>2652</v>
      </c>
      <c r="B5264" s="2" t="s">
        <v>47</v>
      </c>
      <c r="C5264" s="2" t="s">
        <v>4085</v>
      </c>
      <c r="D5264" s="11" t="n">
        <v>127305</v>
      </c>
      <c r="E5264" s="31" t="n">
        <v>24.9</v>
      </c>
      <c r="F5264" s="2"/>
      <c r="G5264" s="31" t="n">
        <v>66.3</v>
      </c>
      <c r="H5264" s="2" t="s">
        <v>668</v>
      </c>
    </row>
    <row r="5265" customFormat="false" ht="15" hidden="false" customHeight="false" outlineLevel="0" collapsed="false">
      <c r="A5265" s="2" t="s">
        <v>2652</v>
      </c>
      <c r="B5265" s="2" t="s">
        <v>47</v>
      </c>
      <c r="C5265" s="2" t="s">
        <v>4086</v>
      </c>
      <c r="D5265" s="11" t="n">
        <v>129680</v>
      </c>
      <c r="E5265" s="31" t="n">
        <v>11.6</v>
      </c>
      <c r="F5265" s="31" t="n">
        <v>41</v>
      </c>
      <c r="G5265" s="31" t="n">
        <v>96.1</v>
      </c>
      <c r="H5265" s="2" t="s">
        <v>671</v>
      </c>
    </row>
    <row r="5266" customFormat="false" ht="15" hidden="false" customHeight="false" outlineLevel="0" collapsed="false">
      <c r="A5266" s="2" t="s">
        <v>2652</v>
      </c>
      <c r="B5266" s="2" t="s">
        <v>47</v>
      </c>
      <c r="C5266" s="2" t="s">
        <v>4087</v>
      </c>
      <c r="D5266" s="11" t="n">
        <v>130469</v>
      </c>
      <c r="E5266" s="31" t="n">
        <v>4.6</v>
      </c>
      <c r="F5266" s="31" t="n">
        <v>68.7</v>
      </c>
      <c r="G5266" s="31" t="n">
        <v>89.1</v>
      </c>
      <c r="H5266" s="2" t="s">
        <v>671</v>
      </c>
    </row>
    <row r="5267" customFormat="false" ht="15" hidden="false" customHeight="false" outlineLevel="0" collapsed="false">
      <c r="A5267" s="2" t="s">
        <v>3018</v>
      </c>
      <c r="B5267" s="2" t="s">
        <v>4104</v>
      </c>
      <c r="C5267" s="2" t="s">
        <v>4085</v>
      </c>
      <c r="D5267" s="2"/>
      <c r="E5267" s="31" t="n">
        <v>34</v>
      </c>
      <c r="F5267" s="31" t="n">
        <v>25.2</v>
      </c>
      <c r="G5267" s="31" t="n">
        <v>55.8</v>
      </c>
      <c r="H5267" s="2" t="s">
        <v>671</v>
      </c>
    </row>
    <row r="5268" customFormat="false" ht="15" hidden="false" customHeight="false" outlineLevel="0" collapsed="false">
      <c r="A5268" s="2" t="s">
        <v>3018</v>
      </c>
      <c r="B5268" s="2" t="s">
        <v>4104</v>
      </c>
      <c r="C5268" s="2" t="s">
        <v>4086</v>
      </c>
      <c r="D5268" s="2"/>
      <c r="E5268" s="31" t="n">
        <v>5.6</v>
      </c>
      <c r="F5268" s="31" t="n">
        <v>10</v>
      </c>
      <c r="G5268" s="2"/>
      <c r="H5268" s="2" t="s">
        <v>668</v>
      </c>
    </row>
    <row r="5269" customFormat="false" ht="15" hidden="false" customHeight="false" outlineLevel="0" collapsed="false">
      <c r="A5269" s="2" t="s">
        <v>3018</v>
      </c>
      <c r="B5269" s="2" t="s">
        <v>4104</v>
      </c>
      <c r="C5269" s="2" t="s">
        <v>4087</v>
      </c>
      <c r="D5269" s="2"/>
      <c r="E5269" s="31" t="n">
        <v>10.1</v>
      </c>
      <c r="F5269" s="2"/>
      <c r="G5269" s="31" t="n">
        <v>82.5</v>
      </c>
      <c r="H5269" s="2" t="s">
        <v>668</v>
      </c>
    </row>
    <row r="5270" customFormat="false" ht="15" hidden="false" customHeight="false" outlineLevel="0" collapsed="false">
      <c r="A5270" s="2" t="s">
        <v>3018</v>
      </c>
      <c r="B5270" s="2" t="s">
        <v>45</v>
      </c>
      <c r="C5270" s="2" t="s">
        <v>4085</v>
      </c>
      <c r="D5270" s="11" t="n">
        <v>751000</v>
      </c>
      <c r="E5270" s="31" t="n">
        <v>50.1</v>
      </c>
      <c r="F5270" s="31" t="n">
        <v>40.4</v>
      </c>
      <c r="G5270" s="31" t="n">
        <v>38</v>
      </c>
      <c r="H5270" s="2" t="s">
        <v>671</v>
      </c>
    </row>
    <row r="5271" customFormat="false" ht="15" hidden="false" customHeight="false" outlineLevel="0" collapsed="false">
      <c r="A5271" s="2" t="s">
        <v>3018</v>
      </c>
      <c r="B5271" s="2" t="s">
        <v>45</v>
      </c>
      <c r="C5271" s="2" t="s">
        <v>4086</v>
      </c>
      <c r="D5271" s="2"/>
      <c r="E5271" s="2"/>
      <c r="F5271" s="2"/>
      <c r="G5271" s="2"/>
      <c r="H5271" s="2" t="s">
        <v>668</v>
      </c>
    </row>
    <row r="5272" customFormat="false" ht="15" hidden="false" customHeight="false" outlineLevel="0" collapsed="false">
      <c r="A5272" s="2" t="s">
        <v>3018</v>
      </c>
      <c r="B5272" s="2" t="s">
        <v>45</v>
      </c>
      <c r="C5272" s="2" t="s">
        <v>4087</v>
      </c>
      <c r="D5272" s="2"/>
      <c r="E5272" s="2"/>
      <c r="F5272" s="2"/>
      <c r="G5272" s="2"/>
      <c r="H5272" s="2" t="s">
        <v>668</v>
      </c>
    </row>
    <row r="5273" customFormat="false" ht="15" hidden="false" customHeight="false" outlineLevel="0" collapsed="false">
      <c r="A5273" s="2" t="s">
        <v>3018</v>
      </c>
      <c r="B5273" s="2" t="s">
        <v>47</v>
      </c>
      <c r="C5273" s="2" t="s">
        <v>4085</v>
      </c>
      <c r="D5273" s="11" t="n">
        <v>1996</v>
      </c>
      <c r="E5273" s="31" t="n">
        <v>18</v>
      </c>
      <c r="F5273" s="31" t="n">
        <v>10</v>
      </c>
      <c r="G5273" s="31" t="n">
        <v>73.7</v>
      </c>
      <c r="H5273" s="2" t="s">
        <v>671</v>
      </c>
    </row>
    <row r="5274" customFormat="false" ht="15" hidden="false" customHeight="false" outlineLevel="0" collapsed="false">
      <c r="A5274" s="2" t="s">
        <v>3018</v>
      </c>
      <c r="B5274" s="2" t="s">
        <v>47</v>
      </c>
      <c r="C5274" s="2" t="s">
        <v>4086</v>
      </c>
      <c r="D5274" s="11" t="n">
        <v>2034</v>
      </c>
      <c r="E5274" s="31" t="n">
        <v>5.6</v>
      </c>
      <c r="F5274" s="31" t="n">
        <v>10</v>
      </c>
      <c r="G5274" s="2"/>
      <c r="H5274" s="2" t="s">
        <v>668</v>
      </c>
    </row>
    <row r="5275" customFormat="false" ht="15" hidden="false" customHeight="false" outlineLevel="0" collapsed="false">
      <c r="A5275" s="2" t="s">
        <v>3018</v>
      </c>
      <c r="B5275" s="2" t="s">
        <v>47</v>
      </c>
      <c r="C5275" s="2" t="s">
        <v>4087</v>
      </c>
      <c r="D5275" s="11" t="n">
        <v>2060</v>
      </c>
      <c r="E5275" s="31" t="n">
        <v>10.1</v>
      </c>
      <c r="F5275" s="2"/>
      <c r="G5275" s="31" t="n">
        <v>82.5</v>
      </c>
      <c r="H5275" s="2" t="s">
        <v>668</v>
      </c>
    </row>
    <row r="5276" customFormat="false" ht="15" hidden="false" customHeight="false" outlineLevel="0" collapsed="false">
      <c r="A5276" s="2" t="s">
        <v>2386</v>
      </c>
      <c r="B5276" s="2" t="s">
        <v>4104</v>
      </c>
      <c r="C5276" s="2" t="s">
        <v>4085</v>
      </c>
      <c r="D5276" s="2"/>
      <c r="E5276" s="31" t="n">
        <v>61.9</v>
      </c>
      <c r="F5276" s="31" t="n">
        <v>77.9</v>
      </c>
      <c r="G5276" s="31" t="n">
        <v>37.8</v>
      </c>
      <c r="H5276" s="2" t="s">
        <v>671</v>
      </c>
    </row>
    <row r="5277" customFormat="false" ht="15" hidden="false" customHeight="false" outlineLevel="0" collapsed="false">
      <c r="A5277" s="2" t="s">
        <v>2386</v>
      </c>
      <c r="B5277" s="2" t="s">
        <v>4104</v>
      </c>
      <c r="C5277" s="2" t="s">
        <v>4087</v>
      </c>
      <c r="D5277" s="2"/>
      <c r="E5277" s="31" t="n">
        <v>40.7</v>
      </c>
      <c r="F5277" s="31" t="n">
        <v>70.1</v>
      </c>
      <c r="G5277" s="31" t="n">
        <v>54.8</v>
      </c>
      <c r="H5277" s="2" t="s">
        <v>668</v>
      </c>
    </row>
    <row r="5278" customFormat="false" ht="15" hidden="false" customHeight="false" outlineLevel="0" collapsed="false">
      <c r="A5278" s="2" t="s">
        <v>2386</v>
      </c>
      <c r="B5278" s="2" t="s">
        <v>45</v>
      </c>
      <c r="C5278" s="2" t="s">
        <v>4085</v>
      </c>
      <c r="D5278" s="11" t="n">
        <v>643630</v>
      </c>
      <c r="E5278" s="31" t="n">
        <v>93.7</v>
      </c>
      <c r="F5278" s="31" t="n">
        <v>94.5</v>
      </c>
      <c r="G5278" s="31" t="n">
        <v>46.8</v>
      </c>
      <c r="H5278" s="2" t="s">
        <v>671</v>
      </c>
    </row>
    <row r="5279" customFormat="false" ht="15" hidden="false" customHeight="false" outlineLevel="0" collapsed="false">
      <c r="A5279" s="2" t="s">
        <v>2386</v>
      </c>
      <c r="B5279" s="2" t="s">
        <v>45</v>
      </c>
      <c r="C5279" s="2" t="s">
        <v>4087</v>
      </c>
      <c r="D5279" s="11" t="n">
        <v>726520</v>
      </c>
      <c r="E5279" s="2"/>
      <c r="F5279" s="31" t="n">
        <v>91.3</v>
      </c>
      <c r="G5279" s="31" t="n">
        <v>30.9</v>
      </c>
      <c r="H5279" s="2" t="s">
        <v>668</v>
      </c>
    </row>
    <row r="5280" customFormat="false" ht="15" hidden="false" customHeight="false" outlineLevel="0" collapsed="false">
      <c r="A5280" s="2" t="s">
        <v>2386</v>
      </c>
      <c r="B5280" s="2" t="s">
        <v>46</v>
      </c>
      <c r="C5280" s="2" t="s">
        <v>4085</v>
      </c>
      <c r="D5280" s="11" t="n">
        <v>25010</v>
      </c>
      <c r="E5280" s="31" t="n">
        <v>18.2</v>
      </c>
      <c r="F5280" s="31" t="n">
        <v>67</v>
      </c>
      <c r="G5280" s="31" t="n">
        <v>4.1</v>
      </c>
      <c r="H5280" s="2" t="s">
        <v>671</v>
      </c>
    </row>
    <row r="5281" customFormat="false" ht="15" hidden="false" customHeight="false" outlineLevel="0" collapsed="false">
      <c r="A5281" s="2" t="s">
        <v>2386</v>
      </c>
      <c r="B5281" s="2" t="s">
        <v>46</v>
      </c>
      <c r="C5281" s="2" t="s">
        <v>4087</v>
      </c>
      <c r="D5281" s="2"/>
      <c r="E5281" s="2"/>
      <c r="F5281" s="2"/>
      <c r="G5281" s="2"/>
      <c r="H5281" s="2" t="s">
        <v>668</v>
      </c>
    </row>
    <row r="5282" customFormat="false" ht="15" hidden="false" customHeight="false" outlineLevel="0" collapsed="false">
      <c r="A5282" s="2" t="s">
        <v>2386</v>
      </c>
      <c r="B5282" s="2" t="s">
        <v>47</v>
      </c>
      <c r="C5282" s="2" t="s">
        <v>4085</v>
      </c>
      <c r="D5282" s="11" t="n">
        <v>22550</v>
      </c>
      <c r="E5282" s="31" t="n">
        <v>73.7</v>
      </c>
      <c r="F5282" s="31" t="n">
        <v>72.2</v>
      </c>
      <c r="G5282" s="31" t="n">
        <v>62.6</v>
      </c>
      <c r="H5282" s="2" t="s">
        <v>671</v>
      </c>
    </row>
    <row r="5283" customFormat="false" ht="15" hidden="false" customHeight="false" outlineLevel="0" collapsed="false">
      <c r="A5283" s="2" t="s">
        <v>2386</v>
      </c>
      <c r="B5283" s="2" t="s">
        <v>47</v>
      </c>
      <c r="C5283" s="2" t="s">
        <v>4087</v>
      </c>
      <c r="D5283" s="11" t="n">
        <v>23344</v>
      </c>
      <c r="E5283" s="31" t="n">
        <v>40.7</v>
      </c>
      <c r="F5283" s="31" t="n">
        <v>48.9</v>
      </c>
      <c r="G5283" s="31" t="n">
        <v>78.7</v>
      </c>
      <c r="H5283" s="2" t="s">
        <v>671</v>
      </c>
    </row>
    <row r="5284" customFormat="false" ht="15" hidden="false" customHeight="false" outlineLevel="0" collapsed="false">
      <c r="A5284" s="2" t="s">
        <v>1525</v>
      </c>
      <c r="B5284" s="2" t="s">
        <v>4104</v>
      </c>
      <c r="C5284" s="2" t="s">
        <v>4085</v>
      </c>
      <c r="D5284" s="2"/>
      <c r="E5284" s="31" t="n">
        <v>62.8</v>
      </c>
      <c r="F5284" s="31" t="n">
        <v>83.6</v>
      </c>
      <c r="G5284" s="31" t="n">
        <v>29.6</v>
      </c>
      <c r="H5284" s="2" t="s">
        <v>668</v>
      </c>
    </row>
    <row r="5285" customFormat="false" ht="15" hidden="false" customHeight="false" outlineLevel="0" collapsed="false">
      <c r="A5285" s="2" t="s">
        <v>1525</v>
      </c>
      <c r="B5285" s="2" t="s">
        <v>4104</v>
      </c>
      <c r="C5285" s="2" t="s">
        <v>4086</v>
      </c>
      <c r="D5285" s="2"/>
      <c r="E5285" s="31" t="n">
        <v>65.1</v>
      </c>
      <c r="F5285" s="31" t="n">
        <v>60.8</v>
      </c>
      <c r="G5285" s="31" t="n">
        <v>37.8</v>
      </c>
      <c r="H5285" s="2" t="s">
        <v>671</v>
      </c>
    </row>
    <row r="5286" customFormat="false" ht="15" hidden="false" customHeight="false" outlineLevel="0" collapsed="false">
      <c r="A5286" s="2" t="s">
        <v>1525</v>
      </c>
      <c r="B5286" s="2" t="s">
        <v>4104</v>
      </c>
      <c r="C5286" s="2" t="s">
        <v>4087</v>
      </c>
      <c r="D5286" s="2"/>
      <c r="E5286" s="31" t="n">
        <v>67.1</v>
      </c>
      <c r="F5286" s="31" t="n">
        <v>64.6</v>
      </c>
      <c r="G5286" s="31" t="n">
        <v>28</v>
      </c>
      <c r="H5286" s="2" t="s">
        <v>668</v>
      </c>
    </row>
    <row r="5287" customFormat="false" ht="15" hidden="false" customHeight="false" outlineLevel="0" collapsed="false">
      <c r="A5287" s="2" t="s">
        <v>1525</v>
      </c>
      <c r="B5287" s="2" t="s">
        <v>45</v>
      </c>
      <c r="C5287" s="2" t="s">
        <v>4085</v>
      </c>
      <c r="D5287" s="11" t="n">
        <v>14014</v>
      </c>
      <c r="E5287" s="31" t="n">
        <v>71.5</v>
      </c>
      <c r="F5287" s="31" t="n">
        <v>71.5</v>
      </c>
      <c r="G5287" s="31" t="n">
        <v>22.2</v>
      </c>
      <c r="H5287" s="2" t="s">
        <v>671</v>
      </c>
    </row>
    <row r="5288" customFormat="false" ht="15" hidden="false" customHeight="false" outlineLevel="0" collapsed="false">
      <c r="A5288" s="2" t="s">
        <v>1525</v>
      </c>
      <c r="B5288" s="2" t="s">
        <v>45</v>
      </c>
      <c r="C5288" s="2" t="s">
        <v>4086</v>
      </c>
      <c r="D5288" s="11" t="n">
        <v>14327</v>
      </c>
      <c r="E5288" s="31" t="n">
        <v>73.9</v>
      </c>
      <c r="F5288" s="31" t="n">
        <v>56</v>
      </c>
      <c r="G5288" s="31" t="n">
        <v>20.7</v>
      </c>
      <c r="H5288" s="2" t="s">
        <v>671</v>
      </c>
    </row>
    <row r="5289" customFormat="false" ht="15" hidden="false" customHeight="false" outlineLevel="0" collapsed="false">
      <c r="A5289" s="2" t="s">
        <v>1525</v>
      </c>
      <c r="B5289" s="2" t="s">
        <v>45</v>
      </c>
      <c r="C5289" s="2" t="s">
        <v>4087</v>
      </c>
      <c r="D5289" s="11" t="n">
        <v>14768</v>
      </c>
      <c r="E5289" s="31" t="n">
        <v>78.8</v>
      </c>
      <c r="F5289" s="31" t="n">
        <v>67.5</v>
      </c>
      <c r="G5289" s="2"/>
      <c r="H5289" s="2" t="s">
        <v>668</v>
      </c>
    </row>
    <row r="5290" customFormat="false" ht="15" hidden="false" customHeight="false" outlineLevel="0" collapsed="false">
      <c r="A5290" s="2" t="s">
        <v>1525</v>
      </c>
      <c r="B5290" s="2" t="s">
        <v>46</v>
      </c>
      <c r="C5290" s="2" t="s">
        <v>4085</v>
      </c>
      <c r="D5290" s="2"/>
      <c r="E5290" s="2"/>
      <c r="F5290" s="2"/>
      <c r="G5290" s="2"/>
      <c r="H5290" s="2" t="s">
        <v>668</v>
      </c>
    </row>
    <row r="5291" customFormat="false" ht="15" hidden="false" customHeight="false" outlineLevel="0" collapsed="false">
      <c r="A5291" s="2" t="s">
        <v>1525</v>
      </c>
      <c r="B5291" s="2" t="s">
        <v>46</v>
      </c>
      <c r="C5291" s="2" t="s">
        <v>4086</v>
      </c>
      <c r="D5291" s="11" t="n">
        <v>192590</v>
      </c>
      <c r="E5291" s="31" t="n">
        <v>71.1</v>
      </c>
      <c r="F5291" s="31" t="n">
        <v>38.9</v>
      </c>
      <c r="G5291" s="31" t="n">
        <v>75.9</v>
      </c>
      <c r="H5291" s="2" t="s">
        <v>671</v>
      </c>
    </row>
    <row r="5292" customFormat="false" ht="15" hidden="false" customHeight="false" outlineLevel="0" collapsed="false">
      <c r="A5292" s="2" t="s">
        <v>1525</v>
      </c>
      <c r="B5292" s="2" t="s">
        <v>46</v>
      </c>
      <c r="C5292" s="2" t="s">
        <v>4087</v>
      </c>
      <c r="D5292" s="11" t="n">
        <v>202079</v>
      </c>
      <c r="E5292" s="31" t="n">
        <v>77.2</v>
      </c>
      <c r="F5292" s="31" t="n">
        <v>39.7</v>
      </c>
      <c r="G5292" s="31" t="n">
        <v>43.3</v>
      </c>
      <c r="H5292" s="2" t="s">
        <v>671</v>
      </c>
    </row>
    <row r="5293" customFormat="false" ht="15" hidden="false" customHeight="false" outlineLevel="0" collapsed="false">
      <c r="A5293" s="2" t="s">
        <v>1525</v>
      </c>
      <c r="B5293" s="2" t="s">
        <v>47</v>
      </c>
      <c r="C5293" s="2" t="s">
        <v>4085</v>
      </c>
      <c r="D5293" s="11" t="n">
        <v>7343</v>
      </c>
      <c r="E5293" s="31" t="n">
        <v>54.2</v>
      </c>
      <c r="F5293" s="31" t="n">
        <v>95.6</v>
      </c>
      <c r="G5293" s="31" t="n">
        <v>36.9</v>
      </c>
      <c r="H5293" s="2" t="s">
        <v>671</v>
      </c>
    </row>
    <row r="5294" customFormat="false" ht="15" hidden="false" customHeight="false" outlineLevel="0" collapsed="false">
      <c r="A5294" s="2" t="s">
        <v>1525</v>
      </c>
      <c r="B5294" s="2" t="s">
        <v>47</v>
      </c>
      <c r="C5294" s="2" t="s">
        <v>4086</v>
      </c>
      <c r="D5294" s="11" t="n">
        <v>7674</v>
      </c>
      <c r="E5294" s="31" t="n">
        <v>50.4</v>
      </c>
      <c r="F5294" s="31" t="n">
        <v>87.5</v>
      </c>
      <c r="G5294" s="31" t="n">
        <v>16.7</v>
      </c>
      <c r="H5294" s="2" t="s">
        <v>671</v>
      </c>
    </row>
    <row r="5295" customFormat="false" ht="15" hidden="false" customHeight="false" outlineLevel="0" collapsed="false">
      <c r="A5295" s="2" t="s">
        <v>1525</v>
      </c>
      <c r="B5295" s="2" t="s">
        <v>47</v>
      </c>
      <c r="C5295" s="2" t="s">
        <v>4087</v>
      </c>
      <c r="D5295" s="11" t="n">
        <v>8381</v>
      </c>
      <c r="E5295" s="31" t="n">
        <v>45.4</v>
      </c>
      <c r="F5295" s="31" t="n">
        <v>86.7</v>
      </c>
      <c r="G5295" s="31" t="n">
        <v>12.6</v>
      </c>
      <c r="H5295" s="2" t="s">
        <v>671</v>
      </c>
    </row>
    <row r="5296" customFormat="false" ht="15" hidden="false" customHeight="false" outlineLevel="0" collapsed="false">
      <c r="A5296" s="2" t="s">
        <v>456</v>
      </c>
      <c r="B5296" s="2" t="s">
        <v>4104</v>
      </c>
      <c r="C5296" s="2" t="s">
        <v>4085</v>
      </c>
      <c r="D5296" s="2"/>
      <c r="E5296" s="31" t="n">
        <v>45.7</v>
      </c>
      <c r="F5296" s="31" t="n">
        <v>44.9</v>
      </c>
      <c r="G5296" s="31" t="n">
        <v>74.2</v>
      </c>
      <c r="H5296" s="2" t="s">
        <v>668</v>
      </c>
    </row>
    <row r="5297" customFormat="false" ht="15" hidden="false" customHeight="false" outlineLevel="0" collapsed="false">
      <c r="A5297" s="2" t="s">
        <v>456</v>
      </c>
      <c r="B5297" s="2" t="s">
        <v>4104</v>
      </c>
      <c r="C5297" s="2" t="s">
        <v>4086</v>
      </c>
      <c r="D5297" s="2"/>
      <c r="E5297" s="31" t="n">
        <v>64.1</v>
      </c>
      <c r="F5297" s="31" t="n">
        <v>36.7</v>
      </c>
      <c r="G5297" s="31" t="n">
        <v>26.2</v>
      </c>
      <c r="H5297" s="2" t="s">
        <v>668</v>
      </c>
    </row>
    <row r="5298" customFormat="false" ht="15" hidden="false" customHeight="false" outlineLevel="0" collapsed="false">
      <c r="A5298" s="2" t="s">
        <v>456</v>
      </c>
      <c r="B5298" s="2" t="s">
        <v>4104</v>
      </c>
      <c r="C5298" s="2" t="s">
        <v>4087</v>
      </c>
      <c r="D5298" s="2"/>
      <c r="E5298" s="31" t="n">
        <v>40.8</v>
      </c>
      <c r="F5298" s="31" t="n">
        <v>44.9</v>
      </c>
      <c r="G5298" s="31" t="n">
        <v>63.2</v>
      </c>
      <c r="H5298" s="2" t="s">
        <v>671</v>
      </c>
    </row>
    <row r="5299" customFormat="false" ht="15" hidden="false" customHeight="false" outlineLevel="0" collapsed="false">
      <c r="A5299" s="2" t="s">
        <v>456</v>
      </c>
      <c r="B5299" s="2" t="s">
        <v>45</v>
      </c>
      <c r="C5299" s="2" t="s">
        <v>4085</v>
      </c>
      <c r="D5299" s="11" t="n">
        <v>35913</v>
      </c>
      <c r="E5299" s="31" t="n">
        <v>24.6</v>
      </c>
      <c r="F5299" s="31" t="n">
        <v>52.6</v>
      </c>
      <c r="G5299" s="2"/>
      <c r="H5299" s="2" t="s">
        <v>668</v>
      </c>
    </row>
    <row r="5300" customFormat="false" ht="15" hidden="false" customHeight="false" outlineLevel="0" collapsed="false">
      <c r="A5300" s="2" t="s">
        <v>456</v>
      </c>
      <c r="B5300" s="2" t="s">
        <v>45</v>
      </c>
      <c r="C5300" s="2" t="s">
        <v>4086</v>
      </c>
      <c r="D5300" s="11" t="n">
        <v>36580</v>
      </c>
      <c r="E5300" s="31" t="n">
        <v>44.2</v>
      </c>
      <c r="F5300" s="31" t="n">
        <v>44.7</v>
      </c>
      <c r="G5300" s="2"/>
      <c r="H5300" s="2" t="s">
        <v>668</v>
      </c>
    </row>
    <row r="5301" customFormat="false" ht="15" hidden="false" customHeight="false" outlineLevel="0" collapsed="false">
      <c r="A5301" s="2" t="s">
        <v>456</v>
      </c>
      <c r="B5301" s="2" t="s">
        <v>45</v>
      </c>
      <c r="C5301" s="2" t="s">
        <v>4087</v>
      </c>
      <c r="D5301" s="11" t="n">
        <v>39000</v>
      </c>
      <c r="E5301" s="31" t="n">
        <v>14.7</v>
      </c>
      <c r="F5301" s="31" t="n">
        <v>66.7</v>
      </c>
      <c r="G5301" s="31" t="n">
        <v>80.4</v>
      </c>
      <c r="H5301" s="2" t="s">
        <v>671</v>
      </c>
    </row>
    <row r="5302" customFormat="false" ht="15" hidden="false" customHeight="false" outlineLevel="0" collapsed="false">
      <c r="A5302" s="2" t="s">
        <v>456</v>
      </c>
      <c r="B5302" s="2" t="s">
        <v>46</v>
      </c>
      <c r="C5302" s="2" t="s">
        <v>4085</v>
      </c>
      <c r="D5302" s="11" t="n">
        <v>950</v>
      </c>
      <c r="E5302" s="31" t="n">
        <v>20</v>
      </c>
      <c r="F5302" s="31" t="n">
        <v>66.7</v>
      </c>
      <c r="G5302" s="31" t="n">
        <v>97</v>
      </c>
      <c r="H5302" s="2" t="s">
        <v>671</v>
      </c>
    </row>
    <row r="5303" customFormat="false" ht="15" hidden="false" customHeight="false" outlineLevel="0" collapsed="false">
      <c r="A5303" s="2" t="s">
        <v>456</v>
      </c>
      <c r="B5303" s="2" t="s">
        <v>46</v>
      </c>
      <c r="C5303" s="2" t="s">
        <v>4086</v>
      </c>
      <c r="D5303" s="2"/>
      <c r="E5303" s="2"/>
      <c r="F5303" s="2"/>
      <c r="G5303" s="2"/>
      <c r="H5303" s="2" t="s">
        <v>668</v>
      </c>
    </row>
    <row r="5304" customFormat="false" ht="15" hidden="false" customHeight="false" outlineLevel="0" collapsed="false">
      <c r="A5304" s="2" t="s">
        <v>456</v>
      </c>
      <c r="B5304" s="2" t="s">
        <v>46</v>
      </c>
      <c r="C5304" s="2" t="s">
        <v>4087</v>
      </c>
      <c r="D5304" s="11" t="n">
        <v>1060</v>
      </c>
      <c r="E5304" s="31" t="n">
        <v>17.8</v>
      </c>
      <c r="F5304" s="31" t="n">
        <v>47.9</v>
      </c>
      <c r="G5304" s="31" t="n">
        <v>71.2</v>
      </c>
      <c r="H5304" s="2" t="s">
        <v>671</v>
      </c>
    </row>
    <row r="5305" customFormat="false" ht="15" hidden="false" customHeight="false" outlineLevel="0" collapsed="false">
      <c r="A5305" s="2" t="s">
        <v>456</v>
      </c>
      <c r="B5305" s="2" t="s">
        <v>47</v>
      </c>
      <c r="C5305" s="2" t="s">
        <v>4085</v>
      </c>
      <c r="D5305" s="11" t="n">
        <v>1012231</v>
      </c>
      <c r="E5305" s="31" t="n">
        <v>92.4</v>
      </c>
      <c r="F5305" s="31" t="n">
        <v>15.4</v>
      </c>
      <c r="G5305" s="31" t="n">
        <v>51.5</v>
      </c>
      <c r="H5305" s="2" t="s">
        <v>671</v>
      </c>
    </row>
    <row r="5306" customFormat="false" ht="15" hidden="false" customHeight="false" outlineLevel="0" collapsed="false">
      <c r="A5306" s="2" t="s">
        <v>456</v>
      </c>
      <c r="B5306" s="2" t="s">
        <v>47</v>
      </c>
      <c r="C5306" s="2" t="s">
        <v>4086</v>
      </c>
      <c r="D5306" s="11" t="n">
        <v>1016380</v>
      </c>
      <c r="E5306" s="31" t="n">
        <v>84</v>
      </c>
      <c r="F5306" s="31" t="n">
        <v>28.6</v>
      </c>
      <c r="G5306" s="31" t="n">
        <v>26.2</v>
      </c>
      <c r="H5306" s="2" t="s">
        <v>671</v>
      </c>
    </row>
    <row r="5307" customFormat="false" ht="15" hidden="false" customHeight="false" outlineLevel="0" collapsed="false">
      <c r="A5307" s="2" t="s">
        <v>456</v>
      </c>
      <c r="B5307" s="2" t="s">
        <v>47</v>
      </c>
      <c r="C5307" s="2" t="s">
        <v>4087</v>
      </c>
      <c r="D5307" s="11" t="n">
        <v>1018277</v>
      </c>
      <c r="E5307" s="31" t="n">
        <v>89.9</v>
      </c>
      <c r="F5307" s="31" t="n">
        <v>20</v>
      </c>
      <c r="G5307" s="31" t="n">
        <v>37.9</v>
      </c>
      <c r="H5307" s="2" t="s">
        <v>671</v>
      </c>
    </row>
    <row r="5308" customFormat="false" ht="15" hidden="false" customHeight="false" outlineLevel="0" collapsed="false">
      <c r="A5308" s="2" t="s">
        <v>236</v>
      </c>
      <c r="B5308" s="2" t="s">
        <v>4104</v>
      </c>
      <c r="C5308" s="2" t="s">
        <v>4085</v>
      </c>
      <c r="D5308" s="2"/>
      <c r="E5308" s="31" t="n">
        <v>69.8</v>
      </c>
      <c r="F5308" s="31" t="n">
        <v>35.1</v>
      </c>
      <c r="G5308" s="31" t="n">
        <v>26.3</v>
      </c>
      <c r="H5308" s="2" t="s">
        <v>668</v>
      </c>
    </row>
    <row r="5309" customFormat="false" ht="15" hidden="false" customHeight="false" outlineLevel="0" collapsed="false">
      <c r="A5309" s="2" t="s">
        <v>236</v>
      </c>
      <c r="B5309" s="2" t="s">
        <v>4104</v>
      </c>
      <c r="C5309" s="2" t="s">
        <v>4086</v>
      </c>
      <c r="D5309" s="2"/>
      <c r="E5309" s="31" t="n">
        <v>51.3</v>
      </c>
      <c r="F5309" s="31" t="n">
        <v>50.9</v>
      </c>
      <c r="G5309" s="31" t="n">
        <v>27.2</v>
      </c>
      <c r="H5309" s="2" t="s">
        <v>668</v>
      </c>
    </row>
    <row r="5310" customFormat="false" ht="15" hidden="false" customHeight="false" outlineLevel="0" collapsed="false">
      <c r="A5310" s="2" t="s">
        <v>236</v>
      </c>
      <c r="B5310" s="2" t="s">
        <v>4104</v>
      </c>
      <c r="C5310" s="2" t="s">
        <v>4087</v>
      </c>
      <c r="D5310" s="2"/>
      <c r="E5310" s="31" t="n">
        <v>65.7</v>
      </c>
      <c r="F5310" s="31" t="n">
        <v>62</v>
      </c>
      <c r="G5310" s="31" t="n">
        <v>58.5</v>
      </c>
      <c r="H5310" s="2" t="s">
        <v>671</v>
      </c>
    </row>
    <row r="5311" customFormat="false" ht="15" hidden="false" customHeight="false" outlineLevel="0" collapsed="false">
      <c r="A5311" s="2" t="s">
        <v>236</v>
      </c>
      <c r="B5311" s="2" t="s">
        <v>45</v>
      </c>
      <c r="C5311" s="2" t="s">
        <v>4085</v>
      </c>
      <c r="D5311" s="11" t="n">
        <v>61935</v>
      </c>
      <c r="E5311" s="31" t="n">
        <v>89.9</v>
      </c>
      <c r="F5311" s="2"/>
      <c r="G5311" s="2"/>
      <c r="H5311" s="2" t="s">
        <v>668</v>
      </c>
    </row>
    <row r="5312" customFormat="false" ht="15" hidden="false" customHeight="false" outlineLevel="0" collapsed="false">
      <c r="A5312" s="2" t="s">
        <v>236</v>
      </c>
      <c r="B5312" s="2" t="s">
        <v>45</v>
      </c>
      <c r="C5312" s="2" t="s">
        <v>4086</v>
      </c>
      <c r="D5312" s="2"/>
      <c r="E5312" s="2"/>
      <c r="F5312" s="2"/>
      <c r="G5312" s="2"/>
      <c r="H5312" s="2" t="s">
        <v>668</v>
      </c>
    </row>
    <row r="5313" customFormat="false" ht="15" hidden="false" customHeight="false" outlineLevel="0" collapsed="false">
      <c r="A5313" s="2" t="s">
        <v>236</v>
      </c>
      <c r="B5313" s="2" t="s">
        <v>45</v>
      </c>
      <c r="C5313" s="2" t="s">
        <v>4087</v>
      </c>
      <c r="D5313" s="11" t="n">
        <v>65444</v>
      </c>
      <c r="E5313" s="31" t="n">
        <v>70.3</v>
      </c>
      <c r="F5313" s="31" t="n">
        <v>69.8</v>
      </c>
      <c r="G5313" s="31" t="n">
        <v>81.8</v>
      </c>
      <c r="H5313" s="2" t="s">
        <v>671</v>
      </c>
    </row>
    <row r="5314" customFormat="false" ht="15" hidden="false" customHeight="false" outlineLevel="0" collapsed="false">
      <c r="A5314" s="2" t="s">
        <v>236</v>
      </c>
      <c r="B5314" s="2" t="s">
        <v>46</v>
      </c>
      <c r="C5314" s="2" t="s">
        <v>4085</v>
      </c>
      <c r="D5314" s="11" t="n">
        <v>7251</v>
      </c>
      <c r="E5314" s="31" t="n">
        <v>49.7</v>
      </c>
      <c r="F5314" s="31" t="n">
        <v>35.1</v>
      </c>
      <c r="G5314" s="31" t="n">
        <v>26.3</v>
      </c>
      <c r="H5314" s="2" t="s">
        <v>671</v>
      </c>
    </row>
    <row r="5315" customFormat="false" ht="15" hidden="false" customHeight="false" outlineLevel="0" collapsed="false">
      <c r="A5315" s="2" t="s">
        <v>236</v>
      </c>
      <c r="B5315" s="2" t="s">
        <v>46</v>
      </c>
      <c r="C5315" s="2" t="s">
        <v>4086</v>
      </c>
      <c r="D5315" s="11" t="n">
        <v>7660</v>
      </c>
      <c r="E5315" s="31" t="n">
        <v>51.3</v>
      </c>
      <c r="F5315" s="31" t="n">
        <v>50.9</v>
      </c>
      <c r="G5315" s="31" t="n">
        <v>27.2</v>
      </c>
      <c r="H5315" s="2" t="s">
        <v>671</v>
      </c>
    </row>
    <row r="5316" customFormat="false" ht="15" hidden="false" customHeight="false" outlineLevel="0" collapsed="false">
      <c r="A5316" s="2" t="s">
        <v>236</v>
      </c>
      <c r="B5316" s="2" t="s">
        <v>46</v>
      </c>
      <c r="C5316" s="2" t="s">
        <v>4087</v>
      </c>
      <c r="D5316" s="11" t="n">
        <v>7853</v>
      </c>
      <c r="E5316" s="31" t="n">
        <v>61.1</v>
      </c>
      <c r="F5316" s="31" t="n">
        <v>54.2</v>
      </c>
      <c r="G5316" s="31" t="n">
        <v>35.2</v>
      </c>
      <c r="H5316" s="2" t="s">
        <v>671</v>
      </c>
    </row>
    <row r="5317" customFormat="false" ht="15" hidden="false" customHeight="false" outlineLevel="0" collapsed="false">
      <c r="A5317" s="2" t="s">
        <v>2577</v>
      </c>
      <c r="B5317" s="2" t="s">
        <v>4104</v>
      </c>
      <c r="C5317" s="2" t="s">
        <v>4087</v>
      </c>
      <c r="D5317" s="2"/>
      <c r="E5317" s="31" t="n">
        <v>49.4</v>
      </c>
      <c r="F5317" s="31" t="n">
        <v>57.5</v>
      </c>
      <c r="G5317" s="31" t="n">
        <v>84</v>
      </c>
      <c r="H5317" s="2" t="s">
        <v>668</v>
      </c>
    </row>
    <row r="5318" customFormat="false" ht="15" hidden="false" customHeight="false" outlineLevel="0" collapsed="false">
      <c r="A5318" s="2" t="s">
        <v>2577</v>
      </c>
      <c r="B5318" s="2" t="s">
        <v>45</v>
      </c>
      <c r="C5318" s="2" t="s">
        <v>4087</v>
      </c>
      <c r="D5318" s="11" t="n">
        <v>14410</v>
      </c>
      <c r="E5318" s="31" t="n">
        <v>82.9</v>
      </c>
      <c r="F5318" s="31" t="n">
        <v>87.3</v>
      </c>
      <c r="G5318" s="2"/>
      <c r="H5318" s="2" t="s">
        <v>668</v>
      </c>
    </row>
    <row r="5319" customFormat="false" ht="15" hidden="false" customHeight="false" outlineLevel="0" collapsed="false">
      <c r="A5319" s="2" t="s">
        <v>2577</v>
      </c>
      <c r="B5319" s="2" t="s">
        <v>47</v>
      </c>
      <c r="C5319" s="2" t="s">
        <v>4087</v>
      </c>
      <c r="D5319" s="11" t="n">
        <v>375632</v>
      </c>
      <c r="E5319" s="31" t="n">
        <v>15.8</v>
      </c>
      <c r="F5319" s="31" t="n">
        <v>27.7</v>
      </c>
      <c r="G5319" s="31" t="n">
        <v>84</v>
      </c>
      <c r="H5319" s="2" t="s">
        <v>671</v>
      </c>
    </row>
    <row r="5320" customFormat="false" ht="15" hidden="false" customHeight="false" outlineLevel="0" collapsed="false">
      <c r="A5320" s="2" t="s">
        <v>1673</v>
      </c>
      <c r="B5320" s="2" t="s">
        <v>4104</v>
      </c>
      <c r="C5320" s="2" t="s">
        <v>4085</v>
      </c>
      <c r="D5320" s="2"/>
      <c r="E5320" s="31" t="n">
        <v>67.9</v>
      </c>
      <c r="F5320" s="31" t="n">
        <v>81.8</v>
      </c>
      <c r="G5320" s="31" t="n">
        <v>51.6</v>
      </c>
      <c r="H5320" s="2" t="s">
        <v>671</v>
      </c>
    </row>
    <row r="5321" customFormat="false" ht="15" hidden="false" customHeight="false" outlineLevel="0" collapsed="false">
      <c r="A5321" s="2" t="s">
        <v>1673</v>
      </c>
      <c r="B5321" s="2" t="s">
        <v>4104</v>
      </c>
      <c r="C5321" s="2" t="s">
        <v>4086</v>
      </c>
      <c r="D5321" s="2"/>
      <c r="E5321" s="31" t="n">
        <v>59</v>
      </c>
      <c r="F5321" s="31" t="n">
        <v>76.5</v>
      </c>
      <c r="G5321" s="31" t="n">
        <v>56.3</v>
      </c>
      <c r="H5321" s="2" t="s">
        <v>671</v>
      </c>
    </row>
    <row r="5322" customFormat="false" ht="15" hidden="false" customHeight="false" outlineLevel="0" collapsed="false">
      <c r="A5322" s="2" t="s">
        <v>1673</v>
      </c>
      <c r="B5322" s="2" t="s">
        <v>4104</v>
      </c>
      <c r="C5322" s="2" t="s">
        <v>4087</v>
      </c>
      <c r="D5322" s="2"/>
      <c r="E5322" s="31" t="n">
        <v>73.2</v>
      </c>
      <c r="F5322" s="31" t="n">
        <v>87.3</v>
      </c>
      <c r="G5322" s="31" t="n">
        <v>79.8</v>
      </c>
      <c r="H5322" s="2" t="s">
        <v>668</v>
      </c>
    </row>
    <row r="5323" customFormat="false" ht="15" hidden="false" customHeight="false" outlineLevel="0" collapsed="false">
      <c r="A5323" s="2" t="s">
        <v>1673</v>
      </c>
      <c r="B5323" s="2" t="s">
        <v>45</v>
      </c>
      <c r="C5323" s="2" t="s">
        <v>4085</v>
      </c>
      <c r="D5323" s="11" t="n">
        <v>11970</v>
      </c>
      <c r="E5323" s="31" t="n">
        <v>87.7</v>
      </c>
      <c r="F5323" s="31" t="n">
        <v>90.1</v>
      </c>
      <c r="G5323" s="31" t="n">
        <v>2.4</v>
      </c>
      <c r="H5323" s="2" t="s">
        <v>671</v>
      </c>
    </row>
    <row r="5324" customFormat="false" ht="15" hidden="false" customHeight="false" outlineLevel="0" collapsed="false">
      <c r="A5324" s="2" t="s">
        <v>1673</v>
      </c>
      <c r="B5324" s="2" t="s">
        <v>45</v>
      </c>
      <c r="C5324" s="2" t="s">
        <v>4086</v>
      </c>
      <c r="D5324" s="11" t="n">
        <v>12726</v>
      </c>
      <c r="E5324" s="31" t="n">
        <v>82.4</v>
      </c>
      <c r="F5324" s="31" t="n">
        <v>92.1</v>
      </c>
      <c r="G5324" s="31" t="n">
        <v>7.9</v>
      </c>
      <c r="H5324" s="2" t="s">
        <v>671</v>
      </c>
    </row>
    <row r="5325" customFormat="false" ht="15" hidden="false" customHeight="false" outlineLevel="0" collapsed="false">
      <c r="A5325" s="2" t="s">
        <v>1673</v>
      </c>
      <c r="B5325" s="2" t="s">
        <v>45</v>
      </c>
      <c r="C5325" s="2" t="s">
        <v>4087</v>
      </c>
      <c r="D5325" s="11" t="n">
        <v>13585</v>
      </c>
      <c r="E5325" s="31" t="n">
        <v>77.4</v>
      </c>
      <c r="F5325" s="31" t="n">
        <v>97.6</v>
      </c>
      <c r="G5325" s="2"/>
      <c r="H5325" s="2" t="s">
        <v>668</v>
      </c>
    </row>
    <row r="5326" customFormat="false" ht="15" hidden="false" customHeight="false" outlineLevel="0" collapsed="false">
      <c r="A5326" s="2" t="s">
        <v>1673</v>
      </c>
      <c r="B5326" s="2" t="s">
        <v>46</v>
      </c>
      <c r="C5326" s="2" t="s">
        <v>4085</v>
      </c>
      <c r="D5326" s="11" t="n">
        <v>31940</v>
      </c>
      <c r="E5326" s="31" t="n">
        <v>40.3</v>
      </c>
      <c r="F5326" s="31" t="n">
        <v>91</v>
      </c>
      <c r="G5326" s="31" t="n">
        <v>80.6</v>
      </c>
      <c r="H5326" s="2" t="s">
        <v>671</v>
      </c>
    </row>
    <row r="5327" customFormat="false" ht="15" hidden="false" customHeight="false" outlineLevel="0" collapsed="false">
      <c r="A5327" s="2" t="s">
        <v>1673</v>
      </c>
      <c r="B5327" s="2" t="s">
        <v>46</v>
      </c>
      <c r="C5327" s="2" t="s">
        <v>4086</v>
      </c>
      <c r="D5327" s="11" t="n">
        <v>34730</v>
      </c>
      <c r="E5327" s="31" t="n">
        <v>34.2</v>
      </c>
      <c r="F5327" s="31" t="n">
        <v>91.3</v>
      </c>
      <c r="G5327" s="31" t="n">
        <v>85.7</v>
      </c>
      <c r="H5327" s="2" t="s">
        <v>671</v>
      </c>
    </row>
    <row r="5328" customFormat="false" ht="15" hidden="false" customHeight="false" outlineLevel="0" collapsed="false">
      <c r="A5328" s="2" t="s">
        <v>1673</v>
      </c>
      <c r="B5328" s="2" t="s">
        <v>46</v>
      </c>
      <c r="C5328" s="2" t="s">
        <v>4087</v>
      </c>
      <c r="D5328" s="11" t="n">
        <v>34670</v>
      </c>
      <c r="E5328" s="31" t="n">
        <v>51.2</v>
      </c>
      <c r="F5328" s="31" t="n">
        <v>88.4</v>
      </c>
      <c r="G5328" s="31" t="n">
        <v>87.3</v>
      </c>
      <c r="H5328" s="2" t="s">
        <v>671</v>
      </c>
    </row>
    <row r="5329" customFormat="false" ht="15" hidden="false" customHeight="false" outlineLevel="0" collapsed="false">
      <c r="A5329" s="2" t="s">
        <v>1673</v>
      </c>
      <c r="B5329" s="2" t="s">
        <v>47</v>
      </c>
      <c r="C5329" s="2" t="s">
        <v>4085</v>
      </c>
      <c r="D5329" s="11" t="n">
        <v>7527</v>
      </c>
      <c r="E5329" s="31" t="n">
        <v>75.6</v>
      </c>
      <c r="F5329" s="31" t="n">
        <v>64.4</v>
      </c>
      <c r="G5329" s="31" t="n">
        <v>71.8</v>
      </c>
      <c r="H5329" s="2" t="s">
        <v>671</v>
      </c>
    </row>
    <row r="5330" customFormat="false" ht="15" hidden="false" customHeight="false" outlineLevel="0" collapsed="false">
      <c r="A5330" s="2" t="s">
        <v>1673</v>
      </c>
      <c r="B5330" s="2" t="s">
        <v>47</v>
      </c>
      <c r="C5330" s="2" t="s">
        <v>4086</v>
      </c>
      <c r="D5330" s="11" t="n">
        <v>7854</v>
      </c>
      <c r="E5330" s="31" t="n">
        <v>60.5</v>
      </c>
      <c r="F5330" s="31" t="n">
        <v>46.2</v>
      </c>
      <c r="G5330" s="31" t="n">
        <v>75.3</v>
      </c>
      <c r="H5330" s="2" t="s">
        <v>671</v>
      </c>
    </row>
    <row r="5331" customFormat="false" ht="15" hidden="false" customHeight="false" outlineLevel="0" collapsed="false">
      <c r="A5331" s="2" t="s">
        <v>1673</v>
      </c>
      <c r="B5331" s="2" t="s">
        <v>47</v>
      </c>
      <c r="C5331" s="2" t="s">
        <v>4087</v>
      </c>
      <c r="D5331" s="11" t="n">
        <v>8195</v>
      </c>
      <c r="E5331" s="31" t="n">
        <v>91.1</v>
      </c>
      <c r="F5331" s="31" t="n">
        <v>76</v>
      </c>
      <c r="G5331" s="31" t="n">
        <v>72.2</v>
      </c>
      <c r="H5331" s="2" t="s">
        <v>671</v>
      </c>
    </row>
    <row r="5332" customFormat="false" ht="15" hidden="false" customHeight="false" outlineLevel="0" collapsed="false">
      <c r="A5332" s="2" t="s">
        <v>738</v>
      </c>
      <c r="B5332" s="2" t="s">
        <v>4104</v>
      </c>
      <c r="C5332" s="2" t="s">
        <v>4085</v>
      </c>
      <c r="D5332" s="2"/>
      <c r="E5332" s="2"/>
      <c r="F5332" s="2"/>
      <c r="G5332" s="2"/>
      <c r="H5332" s="2" t="s">
        <v>668</v>
      </c>
    </row>
    <row r="5333" customFormat="false" ht="15" hidden="false" customHeight="false" outlineLevel="0" collapsed="false">
      <c r="A5333" s="2" t="s">
        <v>738</v>
      </c>
      <c r="B5333" s="2" t="s">
        <v>4104</v>
      </c>
      <c r="C5333" s="2" t="s">
        <v>4086</v>
      </c>
      <c r="D5333" s="2"/>
      <c r="E5333" s="31" t="n">
        <v>88.7</v>
      </c>
      <c r="F5333" s="31" t="n">
        <v>56.3</v>
      </c>
      <c r="G5333" s="31" t="n">
        <v>76.2</v>
      </c>
      <c r="H5333" s="2" t="s">
        <v>668</v>
      </c>
    </row>
    <row r="5334" customFormat="false" ht="15" hidden="false" customHeight="false" outlineLevel="0" collapsed="false">
      <c r="A5334" s="2" t="s">
        <v>738</v>
      </c>
      <c r="B5334" s="2" t="s">
        <v>4104</v>
      </c>
      <c r="C5334" s="2" t="s">
        <v>4087</v>
      </c>
      <c r="D5334" s="2"/>
      <c r="E5334" s="31" t="n">
        <v>45.9</v>
      </c>
      <c r="F5334" s="31" t="n">
        <v>72.2</v>
      </c>
      <c r="G5334" s="31" t="n">
        <v>39</v>
      </c>
      <c r="H5334" s="2" t="s">
        <v>668</v>
      </c>
    </row>
    <row r="5335" customFormat="false" ht="15" hidden="false" customHeight="false" outlineLevel="0" collapsed="false">
      <c r="A5335" s="2" t="s">
        <v>738</v>
      </c>
      <c r="B5335" s="2" t="s">
        <v>45</v>
      </c>
      <c r="C5335" s="2" t="s">
        <v>4085</v>
      </c>
      <c r="D5335" s="2"/>
      <c r="E5335" s="2"/>
      <c r="F5335" s="2"/>
      <c r="G5335" s="2"/>
      <c r="H5335" s="2" t="s">
        <v>668</v>
      </c>
    </row>
    <row r="5336" customFormat="false" ht="15" hidden="false" customHeight="false" outlineLevel="0" collapsed="false">
      <c r="A5336" s="2" t="s">
        <v>738</v>
      </c>
      <c r="B5336" s="2" t="s">
        <v>45</v>
      </c>
      <c r="C5336" s="2" t="s">
        <v>4086</v>
      </c>
      <c r="D5336" s="11" t="n">
        <v>8857</v>
      </c>
      <c r="E5336" s="31" t="n">
        <v>88.7</v>
      </c>
      <c r="F5336" s="31" t="n">
        <v>56.3</v>
      </c>
      <c r="G5336" s="2"/>
      <c r="H5336" s="2" t="s">
        <v>668</v>
      </c>
    </row>
    <row r="5337" customFormat="false" ht="15" hidden="false" customHeight="false" outlineLevel="0" collapsed="false">
      <c r="A5337" s="2" t="s">
        <v>738</v>
      </c>
      <c r="B5337" s="2" t="s">
        <v>45</v>
      </c>
      <c r="C5337" s="2" t="s">
        <v>4087</v>
      </c>
      <c r="D5337" s="11" t="n">
        <v>9513</v>
      </c>
      <c r="E5337" s="31" t="n">
        <v>90.8</v>
      </c>
      <c r="F5337" s="31" t="n">
        <v>72.2</v>
      </c>
      <c r="G5337" s="31" t="n">
        <v>22.4</v>
      </c>
      <c r="H5337" s="2" t="s">
        <v>671</v>
      </c>
    </row>
    <row r="5338" customFormat="false" ht="15" hidden="false" customHeight="false" outlineLevel="0" collapsed="false">
      <c r="A5338" s="2" t="s">
        <v>738</v>
      </c>
      <c r="B5338" s="2" t="s">
        <v>46</v>
      </c>
      <c r="C5338" s="2" t="s">
        <v>4085</v>
      </c>
      <c r="D5338" s="2"/>
      <c r="E5338" s="2"/>
      <c r="F5338" s="2"/>
      <c r="G5338" s="2"/>
      <c r="H5338" s="2" t="s">
        <v>668</v>
      </c>
    </row>
    <row r="5339" customFormat="false" ht="15" hidden="false" customHeight="false" outlineLevel="0" collapsed="false">
      <c r="A5339" s="2" t="s">
        <v>738</v>
      </c>
      <c r="B5339" s="2" t="s">
        <v>46</v>
      </c>
      <c r="C5339" s="2" t="s">
        <v>4086</v>
      </c>
      <c r="D5339" s="11" t="n">
        <v>4920</v>
      </c>
      <c r="E5339" s="2"/>
      <c r="F5339" s="2"/>
      <c r="G5339" s="31" t="n">
        <v>76.2</v>
      </c>
      <c r="H5339" s="2" t="s">
        <v>668</v>
      </c>
    </row>
    <row r="5340" customFormat="false" ht="15" hidden="false" customHeight="false" outlineLevel="0" collapsed="false">
      <c r="A5340" s="2" t="s">
        <v>738</v>
      </c>
      <c r="B5340" s="2" t="s">
        <v>46</v>
      </c>
      <c r="C5340" s="2" t="s">
        <v>4087</v>
      </c>
      <c r="D5340" s="11" t="n">
        <v>8620</v>
      </c>
      <c r="E5340" s="31" t="n">
        <v>1.1</v>
      </c>
      <c r="F5340" s="2"/>
      <c r="G5340" s="31" t="n">
        <v>55.7</v>
      </c>
      <c r="H5340" s="2" t="s">
        <v>668</v>
      </c>
    </row>
    <row r="5341" customFormat="false" ht="15" hidden="false" customHeight="false" outlineLevel="0" collapsed="false">
      <c r="A5341" s="2" t="s">
        <v>3024</v>
      </c>
      <c r="B5341" s="2" t="s">
        <v>4104</v>
      </c>
      <c r="C5341" s="2" t="s">
        <v>4085</v>
      </c>
      <c r="D5341" s="2"/>
      <c r="E5341" s="31" t="n">
        <v>35.2</v>
      </c>
      <c r="F5341" s="2"/>
      <c r="G5341" s="31" t="n">
        <v>52.4</v>
      </c>
      <c r="H5341" s="2" t="s">
        <v>668</v>
      </c>
    </row>
    <row r="5342" customFormat="false" ht="15" hidden="false" customHeight="false" outlineLevel="0" collapsed="false">
      <c r="A5342" s="2" t="s">
        <v>3024</v>
      </c>
      <c r="B5342" s="2" t="s">
        <v>4104</v>
      </c>
      <c r="C5342" s="2" t="s">
        <v>4086</v>
      </c>
      <c r="D5342" s="2"/>
      <c r="E5342" s="31" t="n">
        <v>47.6</v>
      </c>
      <c r="F5342" s="31" t="n">
        <v>66.2</v>
      </c>
      <c r="G5342" s="31" t="n">
        <v>42</v>
      </c>
      <c r="H5342" s="2" t="s">
        <v>671</v>
      </c>
    </row>
    <row r="5343" customFormat="false" ht="15" hidden="false" customHeight="false" outlineLevel="0" collapsed="false">
      <c r="A5343" s="2" t="s">
        <v>3024</v>
      </c>
      <c r="B5343" s="2" t="s">
        <v>4104</v>
      </c>
      <c r="C5343" s="2" t="s">
        <v>4087</v>
      </c>
      <c r="D5343" s="2"/>
      <c r="E5343" s="31" t="n">
        <v>60.5</v>
      </c>
      <c r="F5343" s="31" t="n">
        <v>55.6</v>
      </c>
      <c r="G5343" s="2"/>
      <c r="H5343" s="2" t="s">
        <v>668</v>
      </c>
    </row>
    <row r="5344" customFormat="false" ht="15" hidden="false" customHeight="false" outlineLevel="0" collapsed="false">
      <c r="A5344" s="2" t="s">
        <v>3024</v>
      </c>
      <c r="B5344" s="2" t="s">
        <v>45</v>
      </c>
      <c r="C5344" s="2" t="s">
        <v>4085</v>
      </c>
      <c r="D5344" s="11" t="n">
        <v>2040</v>
      </c>
      <c r="E5344" s="31" t="n">
        <v>35.2</v>
      </c>
      <c r="F5344" s="2"/>
      <c r="G5344" s="31" t="n">
        <v>52.4</v>
      </c>
      <c r="H5344" s="2" t="s">
        <v>668</v>
      </c>
    </row>
    <row r="5345" customFormat="false" ht="15" hidden="false" customHeight="false" outlineLevel="0" collapsed="false">
      <c r="A5345" s="2" t="s">
        <v>3024</v>
      </c>
      <c r="B5345" s="2" t="s">
        <v>45</v>
      </c>
      <c r="C5345" s="2" t="s">
        <v>4086</v>
      </c>
      <c r="D5345" s="11" t="n">
        <v>1998</v>
      </c>
      <c r="E5345" s="31" t="n">
        <v>47.6</v>
      </c>
      <c r="F5345" s="31" t="n">
        <v>66.2</v>
      </c>
      <c r="G5345" s="31" t="n">
        <v>42</v>
      </c>
      <c r="H5345" s="2" t="s">
        <v>671</v>
      </c>
    </row>
    <row r="5346" customFormat="false" ht="15" hidden="false" customHeight="false" outlineLevel="0" collapsed="false">
      <c r="A5346" s="2" t="s">
        <v>3024</v>
      </c>
      <c r="B5346" s="2" t="s">
        <v>45</v>
      </c>
      <c r="C5346" s="2" t="s">
        <v>4087</v>
      </c>
      <c r="D5346" s="11" t="n">
        <v>2160</v>
      </c>
      <c r="E5346" s="31" t="n">
        <v>60.5</v>
      </c>
      <c r="F5346" s="31" t="n">
        <v>55.6</v>
      </c>
      <c r="G5346" s="2"/>
      <c r="H5346" s="2" t="s">
        <v>668</v>
      </c>
    </row>
    <row r="5347" customFormat="false" ht="15" hidden="false" customHeight="false" outlineLevel="0" collapsed="false">
      <c r="A5347" s="2" t="s">
        <v>2556</v>
      </c>
      <c r="B5347" s="2" t="s">
        <v>4104</v>
      </c>
      <c r="C5347" s="2" t="s">
        <v>4085</v>
      </c>
      <c r="D5347" s="2"/>
      <c r="E5347" s="31" t="n">
        <v>86.3</v>
      </c>
      <c r="F5347" s="31" t="n">
        <v>8.6</v>
      </c>
      <c r="G5347" s="31" t="n">
        <v>93.6</v>
      </c>
      <c r="H5347" s="2" t="s">
        <v>668</v>
      </c>
    </row>
    <row r="5348" customFormat="false" ht="15" hidden="false" customHeight="false" outlineLevel="0" collapsed="false">
      <c r="A5348" s="2" t="s">
        <v>2556</v>
      </c>
      <c r="B5348" s="2" t="s">
        <v>4104</v>
      </c>
      <c r="C5348" s="2" t="s">
        <v>4086</v>
      </c>
      <c r="D5348" s="2"/>
      <c r="E5348" s="31" t="n">
        <v>51.3</v>
      </c>
      <c r="F5348" s="31" t="n">
        <v>37</v>
      </c>
      <c r="G5348" s="31" t="n">
        <v>6.5</v>
      </c>
      <c r="H5348" s="2" t="s">
        <v>668</v>
      </c>
    </row>
    <row r="5349" customFormat="false" ht="15" hidden="false" customHeight="false" outlineLevel="0" collapsed="false">
      <c r="A5349" s="2" t="s">
        <v>2556</v>
      </c>
      <c r="B5349" s="2" t="s">
        <v>4104</v>
      </c>
      <c r="C5349" s="2" t="s">
        <v>4087</v>
      </c>
      <c r="D5349" s="2"/>
      <c r="E5349" s="31" t="n">
        <v>18.6</v>
      </c>
      <c r="F5349" s="31" t="n">
        <v>70.2</v>
      </c>
      <c r="G5349" s="31" t="n">
        <v>14.1</v>
      </c>
      <c r="H5349" s="2" t="s">
        <v>668</v>
      </c>
    </row>
    <row r="5350" customFormat="false" ht="15" hidden="false" customHeight="false" outlineLevel="0" collapsed="false">
      <c r="A5350" s="2" t="s">
        <v>2556</v>
      </c>
      <c r="B5350" s="2" t="s">
        <v>46</v>
      </c>
      <c r="C5350" s="2" t="s">
        <v>4085</v>
      </c>
      <c r="D5350" s="11" t="n">
        <v>76290</v>
      </c>
      <c r="E5350" s="31" t="n">
        <v>86.3</v>
      </c>
      <c r="F5350" s="31" t="n">
        <v>8.6</v>
      </c>
      <c r="G5350" s="31" t="n">
        <v>93.6</v>
      </c>
      <c r="H5350" s="2" t="s">
        <v>671</v>
      </c>
    </row>
    <row r="5351" customFormat="false" ht="15" hidden="false" customHeight="false" outlineLevel="0" collapsed="false">
      <c r="A5351" s="2" t="s">
        <v>2556</v>
      </c>
      <c r="B5351" s="2" t="s">
        <v>46</v>
      </c>
      <c r="C5351" s="2" t="s">
        <v>4086</v>
      </c>
      <c r="D5351" s="11" t="n">
        <v>73270</v>
      </c>
      <c r="E5351" s="31" t="n">
        <v>87.6</v>
      </c>
      <c r="F5351" s="31" t="n">
        <v>26.2</v>
      </c>
      <c r="G5351" s="2"/>
      <c r="H5351" s="2" t="s">
        <v>668</v>
      </c>
    </row>
    <row r="5352" customFormat="false" ht="15" hidden="false" customHeight="false" outlineLevel="0" collapsed="false">
      <c r="A5352" s="2" t="s">
        <v>2556</v>
      </c>
      <c r="B5352" s="2" t="s">
        <v>46</v>
      </c>
      <c r="C5352" s="2" t="s">
        <v>4087</v>
      </c>
      <c r="D5352" s="2"/>
      <c r="E5352" s="2"/>
      <c r="F5352" s="2"/>
      <c r="G5352" s="2"/>
      <c r="H5352" s="2" t="s">
        <v>668</v>
      </c>
    </row>
    <row r="5353" customFormat="false" ht="15" hidden="false" customHeight="false" outlineLevel="0" collapsed="false">
      <c r="A5353" s="2" t="s">
        <v>2556</v>
      </c>
      <c r="B5353" s="2" t="s">
        <v>47</v>
      </c>
      <c r="C5353" s="2" t="s">
        <v>4085</v>
      </c>
      <c r="D5353" s="2"/>
      <c r="E5353" s="2"/>
      <c r="F5353" s="2"/>
      <c r="G5353" s="2"/>
      <c r="H5353" s="2" t="s">
        <v>668</v>
      </c>
    </row>
    <row r="5354" customFormat="false" ht="15" hidden="false" customHeight="false" outlineLevel="0" collapsed="false">
      <c r="A5354" s="2" t="s">
        <v>2556</v>
      </c>
      <c r="B5354" s="2" t="s">
        <v>47</v>
      </c>
      <c r="C5354" s="2" t="s">
        <v>4086</v>
      </c>
      <c r="D5354" s="11" t="n">
        <v>83787</v>
      </c>
      <c r="E5354" s="31" t="n">
        <v>15</v>
      </c>
      <c r="F5354" s="31" t="n">
        <v>47.7</v>
      </c>
      <c r="G5354" s="31" t="n">
        <v>6.5</v>
      </c>
      <c r="H5354" s="2" t="s">
        <v>671</v>
      </c>
    </row>
    <row r="5355" customFormat="false" ht="15" hidden="false" customHeight="false" outlineLevel="0" collapsed="false">
      <c r="A5355" s="2" t="s">
        <v>2556</v>
      </c>
      <c r="B5355" s="2" t="s">
        <v>47</v>
      </c>
      <c r="C5355" s="2" t="s">
        <v>4087</v>
      </c>
      <c r="D5355" s="11" t="n">
        <v>86822</v>
      </c>
      <c r="E5355" s="31" t="n">
        <v>18.6</v>
      </c>
      <c r="F5355" s="31" t="n">
        <v>70.2</v>
      </c>
      <c r="G5355" s="31" t="n">
        <v>14.1</v>
      </c>
      <c r="H5355" s="2" t="s">
        <v>671</v>
      </c>
    </row>
    <row r="5356" customFormat="false" ht="15" hidden="false" customHeight="false" outlineLevel="0" collapsed="false">
      <c r="A5356" s="2" t="s">
        <v>414</v>
      </c>
      <c r="B5356" s="2" t="s">
        <v>4104</v>
      </c>
      <c r="C5356" s="2" t="s">
        <v>4085</v>
      </c>
      <c r="D5356" s="2"/>
      <c r="E5356" s="31" t="n">
        <v>40.4</v>
      </c>
      <c r="F5356" s="31" t="n">
        <v>72.6</v>
      </c>
      <c r="G5356" s="31" t="n">
        <v>58.2</v>
      </c>
      <c r="H5356" s="2" t="s">
        <v>668</v>
      </c>
    </row>
    <row r="5357" customFormat="false" ht="15" hidden="false" customHeight="false" outlineLevel="0" collapsed="false">
      <c r="A5357" s="2" t="s">
        <v>414</v>
      </c>
      <c r="B5357" s="2" t="s">
        <v>4104</v>
      </c>
      <c r="C5357" s="2" t="s">
        <v>4086</v>
      </c>
      <c r="D5357" s="2"/>
      <c r="E5357" s="31" t="n">
        <v>34.6</v>
      </c>
      <c r="F5357" s="31" t="n">
        <v>86.9</v>
      </c>
      <c r="G5357" s="31" t="n">
        <v>58.5</v>
      </c>
      <c r="H5357" s="2" t="s">
        <v>668</v>
      </c>
    </row>
    <row r="5358" customFormat="false" ht="15" hidden="false" customHeight="false" outlineLevel="0" collapsed="false">
      <c r="A5358" s="2" t="s">
        <v>414</v>
      </c>
      <c r="B5358" s="2" t="s">
        <v>4104</v>
      </c>
      <c r="C5358" s="2" t="s">
        <v>4087</v>
      </c>
      <c r="D5358" s="2"/>
      <c r="E5358" s="31" t="n">
        <v>45.7</v>
      </c>
      <c r="F5358" s="31" t="n">
        <v>78.9</v>
      </c>
      <c r="G5358" s="31" t="n">
        <v>40.8</v>
      </c>
      <c r="H5358" s="2" t="s">
        <v>671</v>
      </c>
    </row>
    <row r="5359" customFormat="false" ht="15" hidden="false" customHeight="false" outlineLevel="0" collapsed="false">
      <c r="A5359" s="2" t="s">
        <v>414</v>
      </c>
      <c r="B5359" s="2" t="s">
        <v>45</v>
      </c>
      <c r="C5359" s="2" t="s">
        <v>4085</v>
      </c>
      <c r="D5359" s="2"/>
      <c r="E5359" s="2"/>
      <c r="F5359" s="2"/>
      <c r="G5359" s="2"/>
      <c r="H5359" s="2" t="s">
        <v>668</v>
      </c>
    </row>
    <row r="5360" customFormat="false" ht="15" hidden="false" customHeight="false" outlineLevel="0" collapsed="false">
      <c r="A5360" s="2" t="s">
        <v>414</v>
      </c>
      <c r="B5360" s="2" t="s">
        <v>45</v>
      </c>
      <c r="C5360" s="2" t="s">
        <v>4086</v>
      </c>
      <c r="D5360" s="11" t="n">
        <v>10010</v>
      </c>
      <c r="E5360" s="31" t="n">
        <v>34.6</v>
      </c>
      <c r="F5360" s="31" t="n">
        <v>86.9</v>
      </c>
      <c r="G5360" s="31" t="n">
        <v>58.5</v>
      </c>
      <c r="H5360" s="2" t="s">
        <v>671</v>
      </c>
    </row>
    <row r="5361" customFormat="false" ht="15" hidden="false" customHeight="false" outlineLevel="0" collapsed="false">
      <c r="A5361" s="2" t="s">
        <v>414</v>
      </c>
      <c r="B5361" s="2" t="s">
        <v>45</v>
      </c>
      <c r="C5361" s="2" t="s">
        <v>4087</v>
      </c>
      <c r="D5361" s="11" t="n">
        <v>10880</v>
      </c>
      <c r="E5361" s="31" t="n">
        <v>60.7</v>
      </c>
      <c r="F5361" s="31" t="n">
        <v>78.6</v>
      </c>
      <c r="G5361" s="31" t="n">
        <v>8.8</v>
      </c>
      <c r="H5361" s="2" t="s">
        <v>671</v>
      </c>
    </row>
    <row r="5362" customFormat="false" ht="15" hidden="false" customHeight="false" outlineLevel="0" collapsed="false">
      <c r="A5362" s="2" t="s">
        <v>414</v>
      </c>
      <c r="B5362" s="2" t="s">
        <v>46</v>
      </c>
      <c r="C5362" s="2" t="s">
        <v>4085</v>
      </c>
      <c r="D5362" s="11" t="n">
        <v>61913</v>
      </c>
      <c r="E5362" s="31" t="n">
        <v>68.3</v>
      </c>
      <c r="F5362" s="31" t="n">
        <v>61.8</v>
      </c>
      <c r="G5362" s="31" t="n">
        <v>70.1</v>
      </c>
      <c r="H5362" s="2" t="s">
        <v>671</v>
      </c>
    </row>
    <row r="5363" customFormat="false" ht="15" hidden="false" customHeight="false" outlineLevel="0" collapsed="false">
      <c r="A5363" s="2" t="s">
        <v>414</v>
      </c>
      <c r="B5363" s="2" t="s">
        <v>46</v>
      </c>
      <c r="C5363" s="2" t="s">
        <v>4086</v>
      </c>
      <c r="D5363" s="2"/>
      <c r="E5363" s="2"/>
      <c r="F5363" s="2"/>
      <c r="G5363" s="2"/>
      <c r="H5363" s="2" t="s">
        <v>668</v>
      </c>
    </row>
    <row r="5364" customFormat="false" ht="15" hidden="false" customHeight="false" outlineLevel="0" collapsed="false">
      <c r="A5364" s="2" t="s">
        <v>414</v>
      </c>
      <c r="B5364" s="2" t="s">
        <v>46</v>
      </c>
      <c r="C5364" s="2" t="s">
        <v>4087</v>
      </c>
      <c r="D5364" s="11" t="n">
        <v>66260</v>
      </c>
      <c r="E5364" s="31" t="n">
        <v>55.4</v>
      </c>
      <c r="F5364" s="31" t="n">
        <v>69.3</v>
      </c>
      <c r="G5364" s="31" t="n">
        <v>60.1</v>
      </c>
      <c r="H5364" s="2" t="s">
        <v>671</v>
      </c>
    </row>
    <row r="5365" customFormat="false" ht="15" hidden="false" customHeight="false" outlineLevel="0" collapsed="false">
      <c r="A5365" s="2" t="s">
        <v>414</v>
      </c>
      <c r="B5365" s="2" t="s">
        <v>47</v>
      </c>
      <c r="C5365" s="2" t="s">
        <v>4085</v>
      </c>
      <c r="D5365" s="11" t="n">
        <v>9201</v>
      </c>
      <c r="E5365" s="31" t="n">
        <v>12.5</v>
      </c>
      <c r="F5365" s="31" t="n">
        <v>83.3</v>
      </c>
      <c r="G5365" s="31" t="n">
        <v>46.2</v>
      </c>
      <c r="H5365" s="2" t="s">
        <v>668</v>
      </c>
    </row>
    <row r="5366" customFormat="false" ht="15" hidden="false" customHeight="false" outlineLevel="0" collapsed="false">
      <c r="A5366" s="2" t="s">
        <v>414</v>
      </c>
      <c r="B5366" s="2" t="s">
        <v>47</v>
      </c>
      <c r="C5366" s="2" t="s">
        <v>4086</v>
      </c>
      <c r="D5366" s="2"/>
      <c r="E5366" s="2"/>
      <c r="F5366" s="2"/>
      <c r="G5366" s="2"/>
      <c r="H5366" s="2" t="s">
        <v>668</v>
      </c>
    </row>
    <row r="5367" customFormat="false" ht="15" hidden="false" customHeight="false" outlineLevel="0" collapsed="false">
      <c r="A5367" s="2" t="s">
        <v>414</v>
      </c>
      <c r="B5367" s="2" t="s">
        <v>47</v>
      </c>
      <c r="C5367" s="2" t="s">
        <v>4087</v>
      </c>
      <c r="D5367" s="11" t="n">
        <v>10370</v>
      </c>
      <c r="E5367" s="31" t="n">
        <v>21.1</v>
      </c>
      <c r="F5367" s="31" t="n">
        <v>88.7</v>
      </c>
      <c r="G5367" s="31" t="n">
        <v>53.5</v>
      </c>
      <c r="H5367" s="2" t="s">
        <v>671</v>
      </c>
    </row>
    <row r="5368" customFormat="false" ht="15" hidden="false" customHeight="false" outlineLevel="0" collapsed="false">
      <c r="A5368" s="2" t="s">
        <v>3026</v>
      </c>
      <c r="B5368" s="2" t="s">
        <v>4104</v>
      </c>
      <c r="C5368" s="2" t="s">
        <v>4085</v>
      </c>
      <c r="D5368" s="2"/>
      <c r="E5368" s="31" t="n">
        <v>35.8</v>
      </c>
      <c r="F5368" s="31" t="n">
        <v>21.5</v>
      </c>
      <c r="G5368" s="31" t="n">
        <v>61.4</v>
      </c>
      <c r="H5368" s="2" t="s">
        <v>668</v>
      </c>
    </row>
    <row r="5369" customFormat="false" ht="15" hidden="false" customHeight="false" outlineLevel="0" collapsed="false">
      <c r="A5369" s="2" t="s">
        <v>3026</v>
      </c>
      <c r="B5369" s="2" t="s">
        <v>4104</v>
      </c>
      <c r="C5369" s="2" t="s">
        <v>4086</v>
      </c>
      <c r="D5369" s="2"/>
      <c r="E5369" s="31" t="n">
        <v>64.5</v>
      </c>
      <c r="F5369" s="31" t="n">
        <v>18.6</v>
      </c>
      <c r="G5369" s="31" t="n">
        <v>58.9</v>
      </c>
      <c r="H5369" s="2" t="s">
        <v>671</v>
      </c>
    </row>
    <row r="5370" customFormat="false" ht="15" hidden="false" customHeight="false" outlineLevel="0" collapsed="false">
      <c r="A5370" s="2" t="s">
        <v>3026</v>
      </c>
      <c r="B5370" s="2" t="s">
        <v>4104</v>
      </c>
      <c r="C5370" s="2" t="s">
        <v>4087</v>
      </c>
      <c r="D5370" s="2"/>
      <c r="E5370" s="31" t="n">
        <v>71.7</v>
      </c>
      <c r="F5370" s="31" t="n">
        <v>18.8</v>
      </c>
      <c r="G5370" s="31" t="n">
        <v>66.9</v>
      </c>
      <c r="H5370" s="2" t="s">
        <v>668</v>
      </c>
    </row>
    <row r="5371" customFormat="false" ht="15" hidden="false" customHeight="false" outlineLevel="0" collapsed="false">
      <c r="A5371" s="2" t="s">
        <v>3026</v>
      </c>
      <c r="B5371" s="2" t="s">
        <v>45</v>
      </c>
      <c r="C5371" s="2" t="s">
        <v>4085</v>
      </c>
      <c r="D5371" s="11" t="n">
        <v>171998</v>
      </c>
      <c r="E5371" s="31" t="n">
        <v>16</v>
      </c>
      <c r="F5371" s="31" t="n">
        <v>19.2</v>
      </c>
      <c r="G5371" s="31" t="n">
        <v>92.2</v>
      </c>
      <c r="H5371" s="2" t="s">
        <v>671</v>
      </c>
    </row>
    <row r="5372" customFormat="false" ht="15" hidden="false" customHeight="false" outlineLevel="0" collapsed="false">
      <c r="A5372" s="2" t="s">
        <v>3026</v>
      </c>
      <c r="B5372" s="2" t="s">
        <v>45</v>
      </c>
      <c r="C5372" s="2" t="s">
        <v>4086</v>
      </c>
      <c r="D5372" s="11" t="n">
        <v>173520</v>
      </c>
      <c r="E5372" s="31" t="n">
        <v>29.3</v>
      </c>
      <c r="F5372" s="31" t="n">
        <v>35</v>
      </c>
      <c r="G5372" s="31" t="n">
        <v>92.5</v>
      </c>
      <c r="H5372" s="2" t="s">
        <v>671</v>
      </c>
    </row>
    <row r="5373" customFormat="false" ht="15" hidden="false" customHeight="false" outlineLevel="0" collapsed="false">
      <c r="A5373" s="2" t="s">
        <v>3026</v>
      </c>
      <c r="B5373" s="2" t="s">
        <v>45</v>
      </c>
      <c r="C5373" s="2" t="s">
        <v>4087</v>
      </c>
      <c r="D5373" s="11" t="n">
        <v>176297</v>
      </c>
      <c r="E5373" s="2"/>
      <c r="F5373" s="31" t="n">
        <v>18.8</v>
      </c>
      <c r="G5373" s="2"/>
      <c r="H5373" s="2" t="s">
        <v>668</v>
      </c>
    </row>
    <row r="5374" customFormat="false" ht="15" hidden="false" customHeight="false" outlineLevel="0" collapsed="false">
      <c r="A5374" s="2" t="s">
        <v>3026</v>
      </c>
      <c r="B5374" s="2" t="s">
        <v>46</v>
      </c>
      <c r="C5374" s="2" t="s">
        <v>4085</v>
      </c>
      <c r="D5374" s="2"/>
      <c r="E5374" s="2"/>
      <c r="F5374" s="2"/>
      <c r="G5374" s="2"/>
      <c r="H5374" s="2" t="s">
        <v>668</v>
      </c>
    </row>
    <row r="5375" customFormat="false" ht="15" hidden="false" customHeight="false" outlineLevel="0" collapsed="false">
      <c r="A5375" s="2" t="s">
        <v>3026</v>
      </c>
      <c r="B5375" s="2" t="s">
        <v>46</v>
      </c>
      <c r="C5375" s="2" t="s">
        <v>4086</v>
      </c>
      <c r="D5375" s="11" t="n">
        <v>5959</v>
      </c>
      <c r="E5375" s="31" t="n">
        <v>78.6</v>
      </c>
      <c r="F5375" s="31" t="n">
        <v>3.8</v>
      </c>
      <c r="G5375" s="31" t="n">
        <v>42.2</v>
      </c>
      <c r="H5375" s="2" t="s">
        <v>671</v>
      </c>
    </row>
    <row r="5376" customFormat="false" ht="15" hidden="false" customHeight="false" outlineLevel="0" collapsed="false">
      <c r="A5376" s="2" t="s">
        <v>3026</v>
      </c>
      <c r="B5376" s="2" t="s">
        <v>46</v>
      </c>
      <c r="C5376" s="2" t="s">
        <v>4087</v>
      </c>
      <c r="D5376" s="11" t="n">
        <v>5940</v>
      </c>
      <c r="E5376" s="31" t="n">
        <v>58.8</v>
      </c>
      <c r="F5376" s="2"/>
      <c r="G5376" s="31" t="n">
        <v>82.1</v>
      </c>
      <c r="H5376" s="2" t="s">
        <v>668</v>
      </c>
    </row>
    <row r="5377" customFormat="false" ht="15" hidden="false" customHeight="false" outlineLevel="0" collapsed="false">
      <c r="A5377" s="2" t="s">
        <v>3026</v>
      </c>
      <c r="B5377" s="2" t="s">
        <v>47</v>
      </c>
      <c r="C5377" s="2" t="s">
        <v>4085</v>
      </c>
      <c r="D5377" s="11" t="n">
        <v>20814</v>
      </c>
      <c r="E5377" s="31" t="n">
        <v>55.7</v>
      </c>
      <c r="F5377" s="31" t="n">
        <v>23.9</v>
      </c>
      <c r="G5377" s="31" t="n">
        <v>30.7</v>
      </c>
      <c r="H5377" s="2" t="s">
        <v>671</v>
      </c>
    </row>
    <row r="5378" customFormat="false" ht="15" hidden="false" customHeight="false" outlineLevel="0" collapsed="false">
      <c r="A5378" s="2" t="s">
        <v>3026</v>
      </c>
      <c r="B5378" s="2" t="s">
        <v>47</v>
      </c>
      <c r="C5378" s="2" t="s">
        <v>4086</v>
      </c>
      <c r="D5378" s="11" t="n">
        <v>20660</v>
      </c>
      <c r="E5378" s="31" t="n">
        <v>85.5</v>
      </c>
      <c r="F5378" s="31" t="n">
        <v>16.9</v>
      </c>
      <c r="G5378" s="31" t="n">
        <v>41.9</v>
      </c>
      <c r="H5378" s="2" t="s">
        <v>671</v>
      </c>
    </row>
    <row r="5379" customFormat="false" ht="15" hidden="false" customHeight="false" outlineLevel="0" collapsed="false">
      <c r="A5379" s="2" t="s">
        <v>3026</v>
      </c>
      <c r="B5379" s="2" t="s">
        <v>47</v>
      </c>
      <c r="C5379" s="2" t="s">
        <v>4087</v>
      </c>
      <c r="D5379" s="11" t="n">
        <v>21230</v>
      </c>
      <c r="E5379" s="31" t="n">
        <v>84.6</v>
      </c>
      <c r="F5379" s="2"/>
      <c r="G5379" s="31" t="n">
        <v>51.8</v>
      </c>
      <c r="H5379" s="2" t="s">
        <v>668</v>
      </c>
    </row>
    <row r="5380" customFormat="false" ht="15" hidden="false" customHeight="false" outlineLevel="0" collapsed="false">
      <c r="A5380" s="2" t="s">
        <v>3030</v>
      </c>
      <c r="B5380" s="2" t="s">
        <v>4104</v>
      </c>
      <c r="C5380" s="2" t="s">
        <v>4085</v>
      </c>
      <c r="D5380" s="2"/>
      <c r="E5380" s="31" t="n">
        <v>10.1</v>
      </c>
      <c r="F5380" s="31" t="n">
        <v>54.4</v>
      </c>
      <c r="G5380" s="31" t="n">
        <v>28.5</v>
      </c>
      <c r="H5380" s="2" t="s">
        <v>668</v>
      </c>
    </row>
    <row r="5381" customFormat="false" ht="15" hidden="false" customHeight="false" outlineLevel="0" collapsed="false">
      <c r="A5381" s="2" t="s">
        <v>3030</v>
      </c>
      <c r="B5381" s="2" t="s">
        <v>4104</v>
      </c>
      <c r="C5381" s="2" t="s">
        <v>4086</v>
      </c>
      <c r="D5381" s="2"/>
      <c r="E5381" s="31" t="n">
        <v>32.5</v>
      </c>
      <c r="F5381" s="31" t="n">
        <v>43.4</v>
      </c>
      <c r="G5381" s="31" t="n">
        <v>29.6</v>
      </c>
      <c r="H5381" s="2" t="s">
        <v>668</v>
      </c>
    </row>
    <row r="5382" customFormat="false" ht="15" hidden="false" customHeight="false" outlineLevel="0" collapsed="false">
      <c r="A5382" s="2" t="s">
        <v>3030</v>
      </c>
      <c r="B5382" s="2" t="s">
        <v>4104</v>
      </c>
      <c r="C5382" s="2" t="s">
        <v>4087</v>
      </c>
      <c r="D5382" s="2"/>
      <c r="E5382" s="2"/>
      <c r="F5382" s="2"/>
      <c r="G5382" s="2"/>
      <c r="H5382" s="2" t="s">
        <v>668</v>
      </c>
    </row>
    <row r="5383" customFormat="false" ht="15" hidden="false" customHeight="false" outlineLevel="0" collapsed="false">
      <c r="A5383" s="2" t="s">
        <v>3030</v>
      </c>
      <c r="B5383" s="2" t="s">
        <v>45</v>
      </c>
      <c r="C5383" s="2" t="s">
        <v>4085</v>
      </c>
      <c r="D5383" s="11" t="n">
        <v>66730</v>
      </c>
      <c r="E5383" s="2"/>
      <c r="F5383" s="31" t="n">
        <v>62</v>
      </c>
      <c r="G5383" s="31" t="n">
        <v>15.9</v>
      </c>
      <c r="H5383" s="2" t="s">
        <v>668</v>
      </c>
    </row>
    <row r="5384" customFormat="false" ht="15" hidden="false" customHeight="false" outlineLevel="0" collapsed="false">
      <c r="A5384" s="2" t="s">
        <v>3030</v>
      </c>
      <c r="B5384" s="2" t="s">
        <v>45</v>
      </c>
      <c r="C5384" s="2" t="s">
        <v>4086</v>
      </c>
      <c r="D5384" s="11" t="n">
        <v>71130</v>
      </c>
      <c r="E5384" s="31" t="n">
        <v>63.1</v>
      </c>
      <c r="F5384" s="31" t="n">
        <v>24.1</v>
      </c>
      <c r="G5384" s="31" t="n">
        <v>32.2</v>
      </c>
      <c r="H5384" s="2" t="s">
        <v>671</v>
      </c>
    </row>
    <row r="5385" customFormat="false" ht="15" hidden="false" customHeight="false" outlineLevel="0" collapsed="false">
      <c r="A5385" s="2" t="s">
        <v>3030</v>
      </c>
      <c r="B5385" s="2" t="s">
        <v>45</v>
      </c>
      <c r="C5385" s="2" t="s">
        <v>4087</v>
      </c>
      <c r="D5385" s="2"/>
      <c r="E5385" s="2"/>
      <c r="F5385" s="2"/>
      <c r="G5385" s="2"/>
      <c r="H5385" s="2" t="s">
        <v>668</v>
      </c>
    </row>
    <row r="5386" customFormat="false" ht="15" hidden="false" customHeight="false" outlineLevel="0" collapsed="false">
      <c r="A5386" s="2" t="s">
        <v>3030</v>
      </c>
      <c r="B5386" s="2" t="s">
        <v>46</v>
      </c>
      <c r="C5386" s="2" t="s">
        <v>4085</v>
      </c>
      <c r="D5386" s="11" t="n">
        <v>10420</v>
      </c>
      <c r="E5386" s="31" t="n">
        <v>17.8</v>
      </c>
      <c r="F5386" s="31" t="n">
        <v>53.6</v>
      </c>
      <c r="G5386" s="31" t="n">
        <v>47.3</v>
      </c>
      <c r="H5386" s="2" t="s">
        <v>671</v>
      </c>
    </row>
    <row r="5387" customFormat="false" ht="15" hidden="false" customHeight="false" outlineLevel="0" collapsed="false">
      <c r="A5387" s="2" t="s">
        <v>3030</v>
      </c>
      <c r="B5387" s="2" t="s">
        <v>46</v>
      </c>
      <c r="C5387" s="2" t="s">
        <v>4086</v>
      </c>
      <c r="D5387" s="2"/>
      <c r="E5387" s="2"/>
      <c r="F5387" s="2"/>
      <c r="G5387" s="2"/>
      <c r="H5387" s="2" t="s">
        <v>668</v>
      </c>
    </row>
    <row r="5388" customFormat="false" ht="15" hidden="false" customHeight="false" outlineLevel="0" collapsed="false">
      <c r="A5388" s="2" t="s">
        <v>3030</v>
      </c>
      <c r="B5388" s="2" t="s">
        <v>46</v>
      </c>
      <c r="C5388" s="2" t="s">
        <v>4087</v>
      </c>
      <c r="D5388" s="2"/>
      <c r="E5388" s="2"/>
      <c r="F5388" s="2"/>
      <c r="G5388" s="2"/>
      <c r="H5388" s="2" t="s">
        <v>668</v>
      </c>
    </row>
    <row r="5389" customFormat="false" ht="15" hidden="false" customHeight="false" outlineLevel="0" collapsed="false">
      <c r="A5389" s="2" t="s">
        <v>3030</v>
      </c>
      <c r="B5389" s="2" t="s">
        <v>47</v>
      </c>
      <c r="C5389" s="2" t="s">
        <v>4085</v>
      </c>
      <c r="D5389" s="11" t="n">
        <v>31463</v>
      </c>
      <c r="E5389" s="31" t="n">
        <v>2.4</v>
      </c>
      <c r="F5389" s="31" t="n">
        <v>47.7</v>
      </c>
      <c r="G5389" s="31" t="n">
        <v>22.2</v>
      </c>
      <c r="H5389" s="2" t="s">
        <v>671</v>
      </c>
    </row>
    <row r="5390" customFormat="false" ht="15" hidden="false" customHeight="false" outlineLevel="0" collapsed="false">
      <c r="A5390" s="2" t="s">
        <v>3030</v>
      </c>
      <c r="B5390" s="2" t="s">
        <v>47</v>
      </c>
      <c r="C5390" s="2" t="s">
        <v>4086</v>
      </c>
      <c r="D5390" s="11" t="n">
        <v>32580</v>
      </c>
      <c r="E5390" s="31" t="n">
        <v>1.9</v>
      </c>
      <c r="F5390" s="31" t="n">
        <v>62.7</v>
      </c>
      <c r="G5390" s="31" t="n">
        <v>26.9</v>
      </c>
      <c r="H5390" s="2" t="s">
        <v>671</v>
      </c>
    </row>
    <row r="5391" customFormat="false" ht="15" hidden="false" customHeight="false" outlineLevel="0" collapsed="false">
      <c r="A5391" s="2" t="s">
        <v>3030</v>
      </c>
      <c r="B5391" s="2" t="s">
        <v>47</v>
      </c>
      <c r="C5391" s="2" t="s">
        <v>4087</v>
      </c>
      <c r="D5391" s="2"/>
      <c r="E5391" s="2"/>
      <c r="F5391" s="2"/>
      <c r="G5391" s="2"/>
      <c r="H5391" s="2" t="s">
        <v>668</v>
      </c>
    </row>
    <row r="5392" customFormat="false" ht="15" hidden="false" customHeight="false" outlineLevel="0" collapsed="false">
      <c r="A5392" s="2" t="s">
        <v>163</v>
      </c>
      <c r="B5392" s="2" t="s">
        <v>4104</v>
      </c>
      <c r="C5392" s="2" t="s">
        <v>4085</v>
      </c>
      <c r="D5392" s="2"/>
      <c r="E5392" s="31" t="n">
        <v>72.8</v>
      </c>
      <c r="F5392" s="31" t="n">
        <v>99.4</v>
      </c>
      <c r="G5392" s="31" t="n">
        <v>3.2</v>
      </c>
      <c r="H5392" s="2" t="s">
        <v>671</v>
      </c>
    </row>
    <row r="5393" customFormat="false" ht="15" hidden="false" customHeight="false" outlineLevel="0" collapsed="false">
      <c r="A5393" s="2" t="s">
        <v>163</v>
      </c>
      <c r="B5393" s="2" t="s">
        <v>4104</v>
      </c>
      <c r="C5393" s="2" t="s">
        <v>4086</v>
      </c>
      <c r="D5393" s="2"/>
      <c r="E5393" s="2"/>
      <c r="F5393" s="2"/>
      <c r="G5393" s="2"/>
      <c r="H5393" s="2" t="s">
        <v>668</v>
      </c>
    </row>
    <row r="5394" customFormat="false" ht="15" hidden="false" customHeight="false" outlineLevel="0" collapsed="false">
      <c r="A5394" s="2" t="s">
        <v>163</v>
      </c>
      <c r="B5394" s="2" t="s">
        <v>4104</v>
      </c>
      <c r="C5394" s="2" t="s">
        <v>4087</v>
      </c>
      <c r="D5394" s="2"/>
      <c r="E5394" s="31" t="n">
        <v>76.3</v>
      </c>
      <c r="F5394" s="31" t="n">
        <v>99.3</v>
      </c>
      <c r="G5394" s="31" t="n">
        <v>3.1</v>
      </c>
      <c r="H5394" s="2" t="s">
        <v>671</v>
      </c>
    </row>
    <row r="5395" customFormat="false" ht="15" hidden="false" customHeight="false" outlineLevel="0" collapsed="false">
      <c r="A5395" s="2" t="s">
        <v>163</v>
      </c>
      <c r="B5395" s="2" t="s">
        <v>46</v>
      </c>
      <c r="C5395" s="2" t="s">
        <v>4085</v>
      </c>
      <c r="D5395" s="11" t="n">
        <v>331720</v>
      </c>
      <c r="E5395" s="31" t="n">
        <v>72.8</v>
      </c>
      <c r="F5395" s="31" t="n">
        <v>99.4</v>
      </c>
      <c r="G5395" s="31" t="n">
        <v>3.2</v>
      </c>
      <c r="H5395" s="2" t="s">
        <v>671</v>
      </c>
    </row>
    <row r="5396" customFormat="false" ht="15" hidden="false" customHeight="false" outlineLevel="0" collapsed="false">
      <c r="A5396" s="2" t="s">
        <v>163</v>
      </c>
      <c r="B5396" s="2" t="s">
        <v>46</v>
      </c>
      <c r="C5396" s="2" t="s">
        <v>4086</v>
      </c>
      <c r="D5396" s="2"/>
      <c r="E5396" s="2"/>
      <c r="F5396" s="2"/>
      <c r="G5396" s="2"/>
      <c r="H5396" s="2" t="s">
        <v>668</v>
      </c>
    </row>
    <row r="5397" customFormat="false" ht="15" hidden="false" customHeight="false" outlineLevel="0" collapsed="false">
      <c r="A5397" s="2" t="s">
        <v>163</v>
      </c>
      <c r="B5397" s="2" t="s">
        <v>46</v>
      </c>
      <c r="C5397" s="2" t="s">
        <v>4087</v>
      </c>
      <c r="D5397" s="11" t="n">
        <v>376911</v>
      </c>
      <c r="E5397" s="31" t="n">
        <v>76.3</v>
      </c>
      <c r="F5397" s="31" t="n">
        <v>99.3</v>
      </c>
      <c r="G5397" s="31" t="n">
        <v>3.1</v>
      </c>
      <c r="H5397" s="2" t="s">
        <v>671</v>
      </c>
    </row>
    <row r="5398" customFormat="false" ht="15" hidden="false" customHeight="false" outlineLevel="0" collapsed="false">
      <c r="A5398" s="2" t="s">
        <v>987</v>
      </c>
      <c r="B5398" s="2" t="s">
        <v>4104</v>
      </c>
      <c r="C5398" s="2" t="s">
        <v>4085</v>
      </c>
      <c r="D5398" s="2"/>
      <c r="E5398" s="31" t="n">
        <v>71.1</v>
      </c>
      <c r="F5398" s="31" t="n">
        <v>36.2</v>
      </c>
      <c r="G5398" s="31" t="n">
        <v>37.4</v>
      </c>
      <c r="H5398" s="2" t="s">
        <v>668</v>
      </c>
    </row>
    <row r="5399" customFormat="false" ht="15" hidden="false" customHeight="false" outlineLevel="0" collapsed="false">
      <c r="A5399" s="2" t="s">
        <v>987</v>
      </c>
      <c r="B5399" s="2" t="s">
        <v>4104</v>
      </c>
      <c r="C5399" s="2" t="s">
        <v>4086</v>
      </c>
      <c r="D5399" s="2"/>
      <c r="E5399" s="31" t="n">
        <v>69.3</v>
      </c>
      <c r="F5399" s="31" t="n">
        <v>59.3</v>
      </c>
      <c r="G5399" s="31" t="n">
        <v>78.6</v>
      </c>
      <c r="H5399" s="2" t="s">
        <v>668</v>
      </c>
    </row>
    <row r="5400" customFormat="false" ht="15" hidden="false" customHeight="false" outlineLevel="0" collapsed="false">
      <c r="A5400" s="2" t="s">
        <v>987</v>
      </c>
      <c r="B5400" s="2" t="s">
        <v>4104</v>
      </c>
      <c r="C5400" s="2" t="s">
        <v>4087</v>
      </c>
      <c r="D5400" s="2"/>
      <c r="E5400" s="31" t="n">
        <v>66.5</v>
      </c>
      <c r="F5400" s="31" t="n">
        <v>54.2</v>
      </c>
      <c r="G5400" s="31" t="n">
        <v>54.2</v>
      </c>
      <c r="H5400" s="2" t="s">
        <v>668</v>
      </c>
    </row>
    <row r="5401" customFormat="false" ht="15" hidden="false" customHeight="false" outlineLevel="0" collapsed="false">
      <c r="A5401" s="2" t="s">
        <v>987</v>
      </c>
      <c r="B5401" s="2" t="s">
        <v>45</v>
      </c>
      <c r="C5401" s="2" t="s">
        <v>4085</v>
      </c>
      <c r="D5401" s="11" t="n">
        <v>61814</v>
      </c>
      <c r="E5401" s="31" t="n">
        <v>77.8</v>
      </c>
      <c r="F5401" s="31" t="n">
        <v>27.4</v>
      </c>
      <c r="G5401" s="31" t="n">
        <v>38.8</v>
      </c>
      <c r="H5401" s="2" t="s">
        <v>671</v>
      </c>
    </row>
    <row r="5402" customFormat="false" ht="15" hidden="false" customHeight="false" outlineLevel="0" collapsed="false">
      <c r="A5402" s="2" t="s">
        <v>987</v>
      </c>
      <c r="B5402" s="2" t="s">
        <v>45</v>
      </c>
      <c r="C5402" s="2" t="s">
        <v>4086</v>
      </c>
      <c r="D5402" s="11" t="n">
        <v>62945</v>
      </c>
      <c r="E5402" s="31" t="n">
        <v>49.9</v>
      </c>
      <c r="F5402" s="31" t="n">
        <v>18.6</v>
      </c>
      <c r="G5402" s="31" t="n">
        <v>62.5</v>
      </c>
      <c r="H5402" s="2" t="s">
        <v>671</v>
      </c>
    </row>
    <row r="5403" customFormat="false" ht="15" hidden="false" customHeight="false" outlineLevel="0" collapsed="false">
      <c r="A5403" s="2" t="s">
        <v>987</v>
      </c>
      <c r="B5403" s="2" t="s">
        <v>45</v>
      </c>
      <c r="C5403" s="2" t="s">
        <v>4087</v>
      </c>
      <c r="D5403" s="11" t="n">
        <v>62190</v>
      </c>
      <c r="E5403" s="31" t="n">
        <v>57.1</v>
      </c>
      <c r="F5403" s="31" t="n">
        <v>19.8</v>
      </c>
      <c r="G5403" s="31" t="n">
        <v>11</v>
      </c>
      <c r="H5403" s="2" t="s">
        <v>671</v>
      </c>
    </row>
    <row r="5404" customFormat="false" ht="15" hidden="false" customHeight="false" outlineLevel="0" collapsed="false">
      <c r="A5404" s="2" t="s">
        <v>987</v>
      </c>
      <c r="B5404" s="2" t="s">
        <v>46</v>
      </c>
      <c r="C5404" s="2" t="s">
        <v>4085</v>
      </c>
      <c r="D5404" s="11" t="n">
        <v>200703</v>
      </c>
      <c r="E5404" s="31" t="n">
        <v>64.4</v>
      </c>
      <c r="F5404" s="31" t="n">
        <v>44.9</v>
      </c>
      <c r="G5404" s="31" t="n">
        <v>36.1</v>
      </c>
      <c r="H5404" s="2" t="s">
        <v>671</v>
      </c>
    </row>
    <row r="5405" customFormat="false" ht="15" hidden="false" customHeight="false" outlineLevel="0" collapsed="false">
      <c r="A5405" s="2" t="s">
        <v>987</v>
      </c>
      <c r="B5405" s="2" t="s">
        <v>46</v>
      </c>
      <c r="C5405" s="2" t="s">
        <v>4086</v>
      </c>
      <c r="D5405" s="11" t="n">
        <v>194640</v>
      </c>
      <c r="E5405" s="31" t="n">
        <v>80.9</v>
      </c>
      <c r="F5405" s="2"/>
      <c r="G5405" s="31" t="n">
        <v>81.2</v>
      </c>
      <c r="H5405" s="2" t="s">
        <v>668</v>
      </c>
    </row>
    <row r="5406" customFormat="false" ht="15" hidden="false" customHeight="false" outlineLevel="0" collapsed="false">
      <c r="A5406" s="2" t="s">
        <v>987</v>
      </c>
      <c r="B5406" s="2" t="s">
        <v>46</v>
      </c>
      <c r="C5406" s="2" t="s">
        <v>4087</v>
      </c>
      <c r="D5406" s="11" t="n">
        <v>205200</v>
      </c>
      <c r="E5406" s="31" t="n">
        <v>56.4</v>
      </c>
      <c r="F5406" s="31" t="n">
        <v>45.7</v>
      </c>
      <c r="G5406" s="2"/>
      <c r="H5406" s="2" t="s">
        <v>668</v>
      </c>
    </row>
    <row r="5407" customFormat="false" ht="15" hidden="false" customHeight="false" outlineLevel="0" collapsed="false">
      <c r="A5407" s="2" t="s">
        <v>987</v>
      </c>
      <c r="B5407" s="2" t="s">
        <v>47</v>
      </c>
      <c r="C5407" s="2" t="s">
        <v>4085</v>
      </c>
      <c r="D5407" s="2"/>
      <c r="E5407" s="2"/>
      <c r="F5407" s="2"/>
      <c r="G5407" s="2"/>
      <c r="H5407" s="2" t="s">
        <v>668</v>
      </c>
    </row>
    <row r="5408" customFormat="false" ht="15" hidden="false" customHeight="false" outlineLevel="0" collapsed="false">
      <c r="A5408" s="2" t="s">
        <v>987</v>
      </c>
      <c r="B5408" s="2" t="s">
        <v>47</v>
      </c>
      <c r="C5408" s="2" t="s">
        <v>4086</v>
      </c>
      <c r="D5408" s="11" t="n">
        <v>101033</v>
      </c>
      <c r="E5408" s="31" t="n">
        <v>77.2</v>
      </c>
      <c r="F5408" s="31" t="n">
        <v>100</v>
      </c>
      <c r="G5408" s="31" t="n">
        <v>92.1</v>
      </c>
      <c r="H5408" s="2" t="s">
        <v>671</v>
      </c>
    </row>
    <row r="5409" customFormat="false" ht="15" hidden="false" customHeight="false" outlineLevel="0" collapsed="false">
      <c r="A5409" s="2" t="s">
        <v>987</v>
      </c>
      <c r="B5409" s="2" t="s">
        <v>47</v>
      </c>
      <c r="C5409" s="2" t="s">
        <v>4087</v>
      </c>
      <c r="D5409" s="11" t="n">
        <v>109210</v>
      </c>
      <c r="E5409" s="31" t="n">
        <v>86.1</v>
      </c>
      <c r="F5409" s="31" t="n">
        <v>97</v>
      </c>
      <c r="G5409" s="31" t="n">
        <v>97.5</v>
      </c>
      <c r="H5409" s="2" t="s">
        <v>671</v>
      </c>
    </row>
    <row r="5410" customFormat="false" ht="15" hidden="false" customHeight="false" outlineLevel="0" collapsed="false">
      <c r="A5410" s="2" t="s">
        <v>3033</v>
      </c>
      <c r="B5410" s="2" t="s">
        <v>4104</v>
      </c>
      <c r="C5410" s="2" t="s">
        <v>4085</v>
      </c>
      <c r="D5410" s="2"/>
      <c r="E5410" s="31" t="n">
        <v>57</v>
      </c>
      <c r="F5410" s="31" t="n">
        <v>49.6</v>
      </c>
      <c r="G5410" s="31" t="n">
        <v>58.8</v>
      </c>
      <c r="H5410" s="2" t="s">
        <v>671</v>
      </c>
    </row>
    <row r="5411" customFormat="false" ht="15" hidden="false" customHeight="false" outlineLevel="0" collapsed="false">
      <c r="A5411" s="2" t="s">
        <v>3033</v>
      </c>
      <c r="B5411" s="2" t="s">
        <v>4104</v>
      </c>
      <c r="C5411" s="2" t="s">
        <v>4086</v>
      </c>
      <c r="D5411" s="2"/>
      <c r="E5411" s="2"/>
      <c r="F5411" s="2"/>
      <c r="G5411" s="2"/>
      <c r="H5411" s="2" t="s">
        <v>668</v>
      </c>
    </row>
    <row r="5412" customFormat="false" ht="15" hidden="false" customHeight="false" outlineLevel="0" collapsed="false">
      <c r="A5412" s="2" t="s">
        <v>3033</v>
      </c>
      <c r="B5412" s="2" t="s">
        <v>4104</v>
      </c>
      <c r="C5412" s="2" t="s">
        <v>4087</v>
      </c>
      <c r="D5412" s="2"/>
      <c r="E5412" s="2"/>
      <c r="F5412" s="2"/>
      <c r="G5412" s="2"/>
      <c r="H5412" s="2" t="s">
        <v>668</v>
      </c>
    </row>
    <row r="5413" customFormat="false" ht="15" hidden="false" customHeight="false" outlineLevel="0" collapsed="false">
      <c r="A5413" s="2" t="s">
        <v>3033</v>
      </c>
      <c r="B5413" s="2" t="s">
        <v>45</v>
      </c>
      <c r="C5413" s="2" t="s">
        <v>4085</v>
      </c>
      <c r="D5413" s="11" t="n">
        <v>367880</v>
      </c>
      <c r="E5413" s="31" t="n">
        <v>53.3</v>
      </c>
      <c r="F5413" s="31" t="n">
        <v>68.5</v>
      </c>
      <c r="G5413" s="31" t="n">
        <v>51.2</v>
      </c>
      <c r="H5413" s="2" t="s">
        <v>671</v>
      </c>
    </row>
    <row r="5414" customFormat="false" ht="15" hidden="false" customHeight="false" outlineLevel="0" collapsed="false">
      <c r="A5414" s="2" t="s">
        <v>3033</v>
      </c>
      <c r="B5414" s="2" t="s">
        <v>45</v>
      </c>
      <c r="C5414" s="2" t="s">
        <v>4086</v>
      </c>
      <c r="D5414" s="2"/>
      <c r="E5414" s="2"/>
      <c r="F5414" s="2"/>
      <c r="G5414" s="2"/>
      <c r="H5414" s="2" t="s">
        <v>668</v>
      </c>
    </row>
    <row r="5415" customFormat="false" ht="15" hidden="false" customHeight="false" outlineLevel="0" collapsed="false">
      <c r="A5415" s="2" t="s">
        <v>3033</v>
      </c>
      <c r="B5415" s="2" t="s">
        <v>45</v>
      </c>
      <c r="C5415" s="2" t="s">
        <v>4087</v>
      </c>
      <c r="D5415" s="2"/>
      <c r="E5415" s="2"/>
      <c r="F5415" s="2"/>
      <c r="G5415" s="2"/>
      <c r="H5415" s="2" t="s">
        <v>668</v>
      </c>
    </row>
    <row r="5416" customFormat="false" ht="15" hidden="false" customHeight="false" outlineLevel="0" collapsed="false">
      <c r="A5416" s="2" t="s">
        <v>3033</v>
      </c>
      <c r="B5416" s="2" t="s">
        <v>47</v>
      </c>
      <c r="C5416" s="2" t="s">
        <v>4085</v>
      </c>
      <c r="D5416" s="11" t="n">
        <v>1455954</v>
      </c>
      <c r="E5416" s="31" t="n">
        <v>60.7</v>
      </c>
      <c r="F5416" s="31" t="n">
        <v>30.8</v>
      </c>
      <c r="G5416" s="31" t="n">
        <v>66.5</v>
      </c>
      <c r="H5416" s="2" t="s">
        <v>671</v>
      </c>
    </row>
    <row r="5417" customFormat="false" ht="15" hidden="false" customHeight="false" outlineLevel="0" collapsed="false">
      <c r="A5417" s="2" t="s">
        <v>3033</v>
      </c>
      <c r="B5417" s="2" t="s">
        <v>47</v>
      </c>
      <c r="C5417" s="2" t="s">
        <v>4086</v>
      </c>
      <c r="D5417" s="2"/>
      <c r="E5417" s="2"/>
      <c r="F5417" s="2"/>
      <c r="G5417" s="2"/>
      <c r="H5417" s="2" t="s">
        <v>668</v>
      </c>
    </row>
    <row r="5418" customFormat="false" ht="15" hidden="false" customHeight="false" outlineLevel="0" collapsed="false">
      <c r="A5418" s="2" t="s">
        <v>3033</v>
      </c>
      <c r="B5418" s="2" t="s">
        <v>47</v>
      </c>
      <c r="C5418" s="2" t="s">
        <v>4087</v>
      </c>
      <c r="D5418" s="2"/>
      <c r="E5418" s="2"/>
      <c r="F5418" s="2"/>
      <c r="G5418" s="2"/>
      <c r="H5418" s="2" t="s">
        <v>668</v>
      </c>
    </row>
    <row r="5419" customFormat="false" ht="15" hidden="false" customHeight="false" outlineLevel="0" collapsed="false">
      <c r="A5419" s="2" t="s">
        <v>320</v>
      </c>
      <c r="B5419" s="2" t="s">
        <v>4104</v>
      </c>
      <c r="C5419" s="2" t="s">
        <v>4085</v>
      </c>
      <c r="D5419" s="2"/>
      <c r="E5419" s="31" t="n">
        <v>51.6</v>
      </c>
      <c r="F5419" s="31" t="n">
        <v>67.4</v>
      </c>
      <c r="G5419" s="31" t="n">
        <v>41.6</v>
      </c>
      <c r="H5419" s="2" t="s">
        <v>668</v>
      </c>
    </row>
    <row r="5420" customFormat="false" ht="15" hidden="false" customHeight="false" outlineLevel="0" collapsed="false">
      <c r="A5420" s="2" t="s">
        <v>320</v>
      </c>
      <c r="B5420" s="2" t="s">
        <v>4104</v>
      </c>
      <c r="C5420" s="2" t="s">
        <v>4086</v>
      </c>
      <c r="D5420" s="2"/>
      <c r="E5420" s="31" t="n">
        <v>63</v>
      </c>
      <c r="F5420" s="31" t="n">
        <v>85.3</v>
      </c>
      <c r="G5420" s="31" t="n">
        <v>48.6</v>
      </c>
      <c r="H5420" s="2" t="s">
        <v>671</v>
      </c>
    </row>
    <row r="5421" customFormat="false" ht="15" hidden="false" customHeight="false" outlineLevel="0" collapsed="false">
      <c r="A5421" s="2" t="s">
        <v>320</v>
      </c>
      <c r="B5421" s="2" t="s">
        <v>4104</v>
      </c>
      <c r="C5421" s="2" t="s">
        <v>4087</v>
      </c>
      <c r="D5421" s="2"/>
      <c r="E5421" s="31" t="n">
        <v>56</v>
      </c>
      <c r="F5421" s="31" t="n">
        <v>82.2</v>
      </c>
      <c r="G5421" s="31" t="n">
        <v>51.4</v>
      </c>
      <c r="H5421" s="2" t="s">
        <v>671</v>
      </c>
    </row>
    <row r="5422" customFormat="false" ht="15" hidden="false" customHeight="false" outlineLevel="0" collapsed="false">
      <c r="A5422" s="2" t="s">
        <v>320</v>
      </c>
      <c r="B5422" s="2" t="s">
        <v>45</v>
      </c>
      <c r="C5422" s="2" t="s">
        <v>4085</v>
      </c>
      <c r="D5422" s="11" t="n">
        <v>5810</v>
      </c>
      <c r="E5422" s="31" t="n">
        <v>59.4</v>
      </c>
      <c r="F5422" s="31" t="n">
        <v>35.5</v>
      </c>
      <c r="G5422" s="31" t="n">
        <v>32.2</v>
      </c>
      <c r="H5422" s="2" t="s">
        <v>668</v>
      </c>
    </row>
    <row r="5423" customFormat="false" ht="15" hidden="false" customHeight="false" outlineLevel="0" collapsed="false">
      <c r="A5423" s="2" t="s">
        <v>320</v>
      </c>
      <c r="B5423" s="2" t="s">
        <v>45</v>
      </c>
      <c r="C5423" s="2" t="s">
        <v>4086</v>
      </c>
      <c r="D5423" s="11" t="n">
        <v>6010</v>
      </c>
      <c r="E5423" s="31" t="n">
        <v>81.7</v>
      </c>
      <c r="F5423" s="31" t="n">
        <v>78.9</v>
      </c>
      <c r="G5423" s="31" t="n">
        <v>21.4</v>
      </c>
      <c r="H5423" s="2" t="s">
        <v>671</v>
      </c>
    </row>
    <row r="5424" customFormat="false" ht="15" hidden="false" customHeight="false" outlineLevel="0" collapsed="false">
      <c r="A5424" s="2" t="s">
        <v>320</v>
      </c>
      <c r="B5424" s="2" t="s">
        <v>45</v>
      </c>
      <c r="C5424" s="2" t="s">
        <v>4087</v>
      </c>
      <c r="D5424" s="11" t="n">
        <v>6100</v>
      </c>
      <c r="E5424" s="31" t="n">
        <v>50</v>
      </c>
      <c r="F5424" s="31" t="n">
        <v>81.5</v>
      </c>
      <c r="G5424" s="31" t="n">
        <v>45.9</v>
      </c>
      <c r="H5424" s="2" t="s">
        <v>671</v>
      </c>
    </row>
    <row r="5425" customFormat="false" ht="15" hidden="false" customHeight="false" outlineLevel="0" collapsed="false">
      <c r="A5425" s="2" t="s">
        <v>320</v>
      </c>
      <c r="B5425" s="2" t="s">
        <v>46</v>
      </c>
      <c r="C5425" s="2" t="s">
        <v>4085</v>
      </c>
      <c r="D5425" s="11" t="n">
        <v>2740</v>
      </c>
      <c r="E5425" s="31" t="n">
        <v>8.6</v>
      </c>
      <c r="F5425" s="31" t="n">
        <v>73.7</v>
      </c>
      <c r="G5425" s="31" t="n">
        <v>58.4</v>
      </c>
      <c r="H5425" s="2" t="s">
        <v>671</v>
      </c>
    </row>
    <row r="5426" customFormat="false" ht="15" hidden="false" customHeight="false" outlineLevel="0" collapsed="false">
      <c r="A5426" s="2" t="s">
        <v>320</v>
      </c>
      <c r="B5426" s="2" t="s">
        <v>46</v>
      </c>
      <c r="C5426" s="2" t="s">
        <v>4086</v>
      </c>
      <c r="D5426" s="11" t="n">
        <v>2940</v>
      </c>
      <c r="E5426" s="31" t="n">
        <v>30.3</v>
      </c>
      <c r="F5426" s="31" t="n">
        <v>88.7</v>
      </c>
      <c r="G5426" s="31" t="n">
        <v>81.9</v>
      </c>
      <c r="H5426" s="2" t="s">
        <v>671</v>
      </c>
    </row>
    <row r="5427" customFormat="false" ht="15" hidden="false" customHeight="false" outlineLevel="0" collapsed="false">
      <c r="A5427" s="2" t="s">
        <v>320</v>
      </c>
      <c r="B5427" s="2" t="s">
        <v>46</v>
      </c>
      <c r="C5427" s="2" t="s">
        <v>4087</v>
      </c>
      <c r="D5427" s="11" t="n">
        <v>3065</v>
      </c>
      <c r="E5427" s="31" t="n">
        <v>28.5</v>
      </c>
      <c r="F5427" s="31" t="n">
        <v>89.6</v>
      </c>
      <c r="G5427" s="31" t="n">
        <v>77.2</v>
      </c>
      <c r="H5427" s="2" t="s">
        <v>671</v>
      </c>
    </row>
    <row r="5428" customFormat="false" ht="15" hidden="false" customHeight="false" outlineLevel="0" collapsed="false">
      <c r="A5428" s="2" t="s">
        <v>320</v>
      </c>
      <c r="B5428" s="2" t="s">
        <v>47</v>
      </c>
      <c r="C5428" s="2" t="s">
        <v>4085</v>
      </c>
      <c r="D5428" s="11" t="n">
        <v>23808</v>
      </c>
      <c r="E5428" s="31" t="n">
        <v>86.7</v>
      </c>
      <c r="F5428" s="31" t="n">
        <v>93.1</v>
      </c>
      <c r="G5428" s="31" t="n">
        <v>34.2</v>
      </c>
      <c r="H5428" s="2" t="s">
        <v>671</v>
      </c>
    </row>
    <row r="5429" customFormat="false" ht="15" hidden="false" customHeight="false" outlineLevel="0" collapsed="false">
      <c r="A5429" s="2" t="s">
        <v>320</v>
      </c>
      <c r="B5429" s="2" t="s">
        <v>47</v>
      </c>
      <c r="C5429" s="2" t="s">
        <v>4086</v>
      </c>
      <c r="D5429" s="11" t="n">
        <v>24770</v>
      </c>
      <c r="E5429" s="31" t="n">
        <v>77.1</v>
      </c>
      <c r="F5429" s="31" t="n">
        <v>88.3</v>
      </c>
      <c r="G5429" s="31" t="n">
        <v>42.5</v>
      </c>
      <c r="H5429" s="2" t="s">
        <v>671</v>
      </c>
    </row>
    <row r="5430" customFormat="false" ht="15" hidden="false" customHeight="false" outlineLevel="0" collapsed="false">
      <c r="A5430" s="2" t="s">
        <v>320</v>
      </c>
      <c r="B5430" s="2" t="s">
        <v>47</v>
      </c>
      <c r="C5430" s="2" t="s">
        <v>4087</v>
      </c>
      <c r="D5430" s="11" t="n">
        <v>27275</v>
      </c>
      <c r="E5430" s="31" t="n">
        <v>89.5</v>
      </c>
      <c r="F5430" s="31" t="n">
        <v>75.5</v>
      </c>
      <c r="G5430" s="31" t="n">
        <v>31.2</v>
      </c>
      <c r="H5430" s="2" t="s">
        <v>671</v>
      </c>
    </row>
    <row r="5431" customFormat="false" ht="15" hidden="false" customHeight="false" outlineLevel="0" collapsed="false">
      <c r="A5431" s="2" t="s">
        <v>516</v>
      </c>
      <c r="B5431" s="2" t="s">
        <v>4104</v>
      </c>
      <c r="C5431" s="2" t="s">
        <v>4085</v>
      </c>
      <c r="D5431" s="2"/>
      <c r="E5431" s="31" t="n">
        <v>52.3</v>
      </c>
      <c r="F5431" s="31" t="n">
        <v>69.2</v>
      </c>
      <c r="G5431" s="31" t="n">
        <v>47</v>
      </c>
      <c r="H5431" s="2" t="s">
        <v>668</v>
      </c>
    </row>
    <row r="5432" customFormat="false" ht="15" hidden="false" customHeight="false" outlineLevel="0" collapsed="false">
      <c r="A5432" s="2" t="s">
        <v>516</v>
      </c>
      <c r="B5432" s="2" t="s">
        <v>4104</v>
      </c>
      <c r="C5432" s="2" t="s">
        <v>4086</v>
      </c>
      <c r="D5432" s="2"/>
      <c r="E5432" s="31" t="n">
        <v>25.8</v>
      </c>
      <c r="F5432" s="31" t="n">
        <v>61.2</v>
      </c>
      <c r="G5432" s="31" t="n">
        <v>52.2</v>
      </c>
      <c r="H5432" s="2" t="s">
        <v>671</v>
      </c>
    </row>
    <row r="5433" customFormat="false" ht="15" hidden="false" customHeight="false" outlineLevel="0" collapsed="false">
      <c r="A5433" s="2" t="s">
        <v>516</v>
      </c>
      <c r="B5433" s="2" t="s">
        <v>4104</v>
      </c>
      <c r="C5433" s="2" t="s">
        <v>4087</v>
      </c>
      <c r="D5433" s="2"/>
      <c r="E5433" s="31" t="n">
        <v>33.4</v>
      </c>
      <c r="F5433" s="31" t="n">
        <v>64.6</v>
      </c>
      <c r="G5433" s="31" t="n">
        <v>43.2</v>
      </c>
      <c r="H5433" s="2" t="s">
        <v>671</v>
      </c>
    </row>
    <row r="5434" customFormat="false" ht="15" hidden="false" customHeight="false" outlineLevel="0" collapsed="false">
      <c r="A5434" s="2" t="s">
        <v>516</v>
      </c>
      <c r="B5434" s="2" t="s">
        <v>45</v>
      </c>
      <c r="C5434" s="2" t="s">
        <v>4085</v>
      </c>
      <c r="D5434" s="11" t="n">
        <v>21491</v>
      </c>
      <c r="E5434" s="31" t="n">
        <v>52.3</v>
      </c>
      <c r="F5434" s="31" t="n">
        <v>44.9</v>
      </c>
      <c r="G5434" s="2"/>
      <c r="H5434" s="2" t="s">
        <v>668</v>
      </c>
    </row>
    <row r="5435" customFormat="false" ht="15" hidden="false" customHeight="false" outlineLevel="0" collapsed="false">
      <c r="A5435" s="2" t="s">
        <v>516</v>
      </c>
      <c r="B5435" s="2" t="s">
        <v>45</v>
      </c>
      <c r="C5435" s="2" t="s">
        <v>4086</v>
      </c>
      <c r="D5435" s="11" t="n">
        <v>22200</v>
      </c>
      <c r="E5435" s="31" t="n">
        <v>45.2</v>
      </c>
      <c r="F5435" s="31" t="n">
        <v>29.6</v>
      </c>
      <c r="G5435" s="31" t="n">
        <v>83.4</v>
      </c>
      <c r="H5435" s="2" t="s">
        <v>671</v>
      </c>
    </row>
    <row r="5436" customFormat="false" ht="15" hidden="false" customHeight="false" outlineLevel="0" collapsed="false">
      <c r="A5436" s="2" t="s">
        <v>516</v>
      </c>
      <c r="B5436" s="2" t="s">
        <v>45</v>
      </c>
      <c r="C5436" s="2" t="s">
        <v>4087</v>
      </c>
      <c r="D5436" s="11" t="n">
        <v>22453</v>
      </c>
      <c r="E5436" s="31" t="n">
        <v>50.2</v>
      </c>
      <c r="F5436" s="31" t="n">
        <v>33.7</v>
      </c>
      <c r="G5436" s="31" t="n">
        <v>45.3</v>
      </c>
      <c r="H5436" s="2" t="s">
        <v>671</v>
      </c>
    </row>
    <row r="5437" customFormat="false" ht="15" hidden="false" customHeight="false" outlineLevel="0" collapsed="false">
      <c r="A5437" s="2" t="s">
        <v>516</v>
      </c>
      <c r="B5437" s="2" t="s">
        <v>46</v>
      </c>
      <c r="C5437" s="2" t="s">
        <v>4085</v>
      </c>
      <c r="D5437" s="11" t="n">
        <v>17000</v>
      </c>
      <c r="E5437" s="2"/>
      <c r="F5437" s="31" t="n">
        <v>93.6</v>
      </c>
      <c r="G5437" s="31" t="n">
        <v>47</v>
      </c>
      <c r="H5437" s="2" t="s">
        <v>668</v>
      </c>
    </row>
    <row r="5438" customFormat="false" ht="15" hidden="false" customHeight="false" outlineLevel="0" collapsed="false">
      <c r="A5438" s="2" t="s">
        <v>516</v>
      </c>
      <c r="B5438" s="2" t="s">
        <v>46</v>
      </c>
      <c r="C5438" s="2" t="s">
        <v>4086</v>
      </c>
      <c r="D5438" s="11" t="n">
        <v>17290</v>
      </c>
      <c r="E5438" s="31" t="n">
        <v>6.3</v>
      </c>
      <c r="F5438" s="31" t="n">
        <v>92.7</v>
      </c>
      <c r="G5438" s="31" t="n">
        <v>21</v>
      </c>
      <c r="H5438" s="2" t="s">
        <v>671</v>
      </c>
    </row>
    <row r="5439" customFormat="false" ht="15" hidden="false" customHeight="false" outlineLevel="0" collapsed="false">
      <c r="A5439" s="2" t="s">
        <v>516</v>
      </c>
      <c r="B5439" s="2" t="s">
        <v>46</v>
      </c>
      <c r="C5439" s="2" t="s">
        <v>4087</v>
      </c>
      <c r="D5439" s="11" t="n">
        <v>18578</v>
      </c>
      <c r="E5439" s="31" t="n">
        <v>16.5</v>
      </c>
      <c r="F5439" s="31" t="n">
        <v>95.4</v>
      </c>
      <c r="G5439" s="31" t="n">
        <v>41.2</v>
      </c>
      <c r="H5439" s="2" t="s">
        <v>671</v>
      </c>
    </row>
    <row r="5440" customFormat="false" ht="15" hidden="false" customHeight="false" outlineLevel="0" collapsed="false">
      <c r="A5440" s="2" t="s">
        <v>596</v>
      </c>
      <c r="B5440" s="2" t="s">
        <v>4104</v>
      </c>
      <c r="C5440" s="2" t="s">
        <v>4087</v>
      </c>
      <c r="D5440" s="2"/>
      <c r="E5440" s="31" t="n">
        <v>21.2</v>
      </c>
      <c r="F5440" s="31" t="n">
        <v>64.7</v>
      </c>
      <c r="G5440" s="31" t="n">
        <v>61.9</v>
      </c>
      <c r="H5440" s="2" t="s">
        <v>671</v>
      </c>
    </row>
    <row r="5441" customFormat="false" ht="15" hidden="false" customHeight="false" outlineLevel="0" collapsed="false">
      <c r="A5441" s="2" t="s">
        <v>596</v>
      </c>
      <c r="B5441" s="2" t="s">
        <v>45</v>
      </c>
      <c r="C5441" s="2" t="s">
        <v>4087</v>
      </c>
      <c r="D5441" s="11" t="n">
        <v>76930</v>
      </c>
      <c r="E5441" s="31" t="n">
        <v>21.2</v>
      </c>
      <c r="F5441" s="31" t="n">
        <v>64.7</v>
      </c>
      <c r="G5441" s="31" t="n">
        <v>61.9</v>
      </c>
      <c r="H5441" s="2" t="s">
        <v>671</v>
      </c>
    </row>
    <row r="5442" customFormat="false" ht="15" hidden="false" customHeight="false" outlineLevel="0" collapsed="false">
      <c r="A5442" s="2" t="s">
        <v>1546</v>
      </c>
      <c r="B5442" s="2" t="s">
        <v>4104</v>
      </c>
      <c r="C5442" s="2" t="s">
        <v>4085</v>
      </c>
      <c r="D5442" s="2"/>
      <c r="E5442" s="31" t="n">
        <v>50.2</v>
      </c>
      <c r="F5442" s="31" t="n">
        <v>40.2</v>
      </c>
      <c r="G5442" s="31" t="n">
        <v>21.9</v>
      </c>
      <c r="H5442" s="2" t="s">
        <v>668</v>
      </c>
    </row>
    <row r="5443" customFormat="false" ht="15" hidden="false" customHeight="false" outlineLevel="0" collapsed="false">
      <c r="A5443" s="2" t="s">
        <v>1546</v>
      </c>
      <c r="B5443" s="2" t="s">
        <v>4104</v>
      </c>
      <c r="C5443" s="2" t="s">
        <v>4086</v>
      </c>
      <c r="D5443" s="2"/>
      <c r="E5443" s="31" t="n">
        <v>39.2</v>
      </c>
      <c r="F5443" s="31" t="n">
        <v>54.9</v>
      </c>
      <c r="G5443" s="31" t="n">
        <v>20.2</v>
      </c>
      <c r="H5443" s="2" t="s">
        <v>671</v>
      </c>
    </row>
    <row r="5444" customFormat="false" ht="15" hidden="false" customHeight="false" outlineLevel="0" collapsed="false">
      <c r="A5444" s="2" t="s">
        <v>1546</v>
      </c>
      <c r="B5444" s="2" t="s">
        <v>4104</v>
      </c>
      <c r="C5444" s="2" t="s">
        <v>4087</v>
      </c>
      <c r="D5444" s="2"/>
      <c r="E5444" s="31" t="n">
        <v>40.2</v>
      </c>
      <c r="F5444" s="31" t="n">
        <v>45.2</v>
      </c>
      <c r="G5444" s="31" t="n">
        <v>50</v>
      </c>
      <c r="H5444" s="2" t="s">
        <v>668</v>
      </c>
    </row>
    <row r="5445" customFormat="false" ht="15" hidden="false" customHeight="false" outlineLevel="0" collapsed="false">
      <c r="A5445" s="2" t="s">
        <v>1546</v>
      </c>
      <c r="B5445" s="2" t="s">
        <v>45</v>
      </c>
      <c r="C5445" s="2" t="s">
        <v>4085</v>
      </c>
      <c r="D5445" s="11" t="n">
        <v>820</v>
      </c>
      <c r="E5445" s="31" t="n">
        <v>86</v>
      </c>
      <c r="F5445" s="2"/>
      <c r="G5445" s="31" t="n">
        <v>38.5</v>
      </c>
      <c r="H5445" s="2" t="s">
        <v>668</v>
      </c>
    </row>
    <row r="5446" customFormat="false" ht="15" hidden="false" customHeight="false" outlineLevel="0" collapsed="false">
      <c r="A5446" s="2" t="s">
        <v>1546</v>
      </c>
      <c r="B5446" s="2" t="s">
        <v>45</v>
      </c>
      <c r="C5446" s="2" t="s">
        <v>4086</v>
      </c>
      <c r="D5446" s="11" t="n">
        <v>910</v>
      </c>
      <c r="E5446" s="31" t="n">
        <v>64.7</v>
      </c>
      <c r="F5446" s="31" t="n">
        <v>97.2</v>
      </c>
      <c r="G5446" s="31" t="n">
        <v>1.3</v>
      </c>
      <c r="H5446" s="2" t="s">
        <v>671</v>
      </c>
    </row>
    <row r="5447" customFormat="false" ht="15" hidden="false" customHeight="false" outlineLevel="0" collapsed="false">
      <c r="A5447" s="2" t="s">
        <v>1546</v>
      </c>
      <c r="B5447" s="2" t="s">
        <v>45</v>
      </c>
      <c r="C5447" s="2" t="s">
        <v>4087</v>
      </c>
      <c r="D5447" s="2"/>
      <c r="E5447" s="2"/>
      <c r="F5447" s="2"/>
      <c r="G5447" s="2"/>
      <c r="H5447" s="2" t="s">
        <v>668</v>
      </c>
    </row>
    <row r="5448" customFormat="false" ht="15" hidden="false" customHeight="false" outlineLevel="0" collapsed="false">
      <c r="A5448" s="2" t="s">
        <v>1546</v>
      </c>
      <c r="B5448" s="2" t="s">
        <v>46</v>
      </c>
      <c r="C5448" s="2" t="s">
        <v>4085</v>
      </c>
      <c r="D5448" s="11" t="n">
        <v>147770</v>
      </c>
      <c r="E5448" s="31" t="n">
        <v>60.3</v>
      </c>
      <c r="F5448" s="31" t="n">
        <v>51.3</v>
      </c>
      <c r="G5448" s="2"/>
      <c r="H5448" s="2" t="s">
        <v>668</v>
      </c>
    </row>
    <row r="5449" customFormat="false" ht="15" hidden="false" customHeight="false" outlineLevel="0" collapsed="false">
      <c r="A5449" s="2" t="s">
        <v>1546</v>
      </c>
      <c r="B5449" s="2" t="s">
        <v>46</v>
      </c>
      <c r="C5449" s="2" t="s">
        <v>4086</v>
      </c>
      <c r="D5449" s="11" t="n">
        <v>148240</v>
      </c>
      <c r="E5449" s="31" t="n">
        <v>51.9</v>
      </c>
      <c r="F5449" s="31" t="n">
        <v>63.7</v>
      </c>
      <c r="G5449" s="31" t="n">
        <v>44.2</v>
      </c>
      <c r="H5449" s="2" t="s">
        <v>671</v>
      </c>
    </row>
    <row r="5450" customFormat="false" ht="15" hidden="false" customHeight="false" outlineLevel="0" collapsed="false">
      <c r="A5450" s="2" t="s">
        <v>1546</v>
      </c>
      <c r="B5450" s="2" t="s">
        <v>46</v>
      </c>
      <c r="C5450" s="2" t="s">
        <v>4087</v>
      </c>
      <c r="D5450" s="11" t="n">
        <v>158730</v>
      </c>
      <c r="E5450" s="31" t="n">
        <v>73.6</v>
      </c>
      <c r="F5450" s="31" t="n">
        <v>73.5</v>
      </c>
      <c r="G5450" s="31" t="n">
        <v>80.8</v>
      </c>
      <c r="H5450" s="2" t="s">
        <v>671</v>
      </c>
    </row>
    <row r="5451" customFormat="false" ht="15" hidden="false" customHeight="false" outlineLevel="0" collapsed="false">
      <c r="A5451" s="2" t="s">
        <v>1546</v>
      </c>
      <c r="B5451" s="2" t="s">
        <v>47</v>
      </c>
      <c r="C5451" s="2" t="s">
        <v>4085</v>
      </c>
      <c r="D5451" s="11" t="n">
        <v>117712</v>
      </c>
      <c r="E5451" s="31" t="n">
        <v>4.2</v>
      </c>
      <c r="F5451" s="31" t="n">
        <v>29</v>
      </c>
      <c r="G5451" s="31" t="n">
        <v>5.3</v>
      </c>
      <c r="H5451" s="2" t="s">
        <v>671</v>
      </c>
    </row>
    <row r="5452" customFormat="false" ht="15" hidden="false" customHeight="false" outlineLevel="0" collapsed="false">
      <c r="A5452" s="2" t="s">
        <v>1546</v>
      </c>
      <c r="B5452" s="2" t="s">
        <v>47</v>
      </c>
      <c r="C5452" s="2" t="s">
        <v>4086</v>
      </c>
      <c r="D5452" s="11" t="n">
        <v>113703</v>
      </c>
      <c r="E5452" s="31" t="n">
        <v>1.1</v>
      </c>
      <c r="F5452" s="31" t="n">
        <v>3.7</v>
      </c>
      <c r="G5452" s="31" t="n">
        <v>15.1</v>
      </c>
      <c r="H5452" s="2" t="s">
        <v>671</v>
      </c>
    </row>
    <row r="5453" customFormat="false" ht="15" hidden="false" customHeight="false" outlineLevel="0" collapsed="false">
      <c r="A5453" s="2" t="s">
        <v>1546</v>
      </c>
      <c r="B5453" s="2" t="s">
        <v>47</v>
      </c>
      <c r="C5453" s="2" t="s">
        <v>4087</v>
      </c>
      <c r="D5453" s="11" t="n">
        <v>120862</v>
      </c>
      <c r="E5453" s="31" t="n">
        <v>6.7</v>
      </c>
      <c r="F5453" s="31" t="n">
        <v>16.9</v>
      </c>
      <c r="G5453" s="31" t="n">
        <v>19.2</v>
      </c>
      <c r="H5453" s="2" t="s">
        <v>671</v>
      </c>
    </row>
    <row r="5454" customFormat="false" ht="15" hidden="false" customHeight="false" outlineLevel="0" collapsed="false">
      <c r="A5454" s="2" t="s">
        <v>1488</v>
      </c>
      <c r="B5454" s="2" t="s">
        <v>4104</v>
      </c>
      <c r="C5454" s="2" t="s">
        <v>4085</v>
      </c>
      <c r="D5454" s="2"/>
      <c r="E5454" s="31" t="n">
        <v>52.3</v>
      </c>
      <c r="F5454" s="31" t="n">
        <v>83</v>
      </c>
      <c r="G5454" s="31" t="n">
        <v>24.2</v>
      </c>
      <c r="H5454" s="2" t="s">
        <v>668</v>
      </c>
    </row>
    <row r="5455" customFormat="false" ht="15" hidden="false" customHeight="false" outlineLevel="0" collapsed="false">
      <c r="A5455" s="2" t="s">
        <v>1488</v>
      </c>
      <c r="B5455" s="2" t="s">
        <v>4104</v>
      </c>
      <c r="C5455" s="2" t="s">
        <v>4086</v>
      </c>
      <c r="D5455" s="2"/>
      <c r="E5455" s="31" t="n">
        <v>45</v>
      </c>
      <c r="F5455" s="31" t="n">
        <v>89</v>
      </c>
      <c r="G5455" s="31" t="n">
        <v>36.8</v>
      </c>
      <c r="H5455" s="2" t="s">
        <v>671</v>
      </c>
    </row>
    <row r="5456" customFormat="false" ht="15" hidden="false" customHeight="false" outlineLevel="0" collapsed="false">
      <c r="A5456" s="2" t="s">
        <v>1488</v>
      </c>
      <c r="B5456" s="2" t="s">
        <v>4104</v>
      </c>
      <c r="C5456" s="2" t="s">
        <v>4087</v>
      </c>
      <c r="D5456" s="2"/>
      <c r="E5456" s="31" t="n">
        <v>83.9</v>
      </c>
      <c r="F5456" s="31" t="n">
        <v>97.4</v>
      </c>
      <c r="G5456" s="31" t="n">
        <v>11.8</v>
      </c>
      <c r="H5456" s="2" t="s">
        <v>668</v>
      </c>
    </row>
    <row r="5457" customFormat="false" ht="15" hidden="false" customHeight="false" outlineLevel="0" collapsed="false">
      <c r="A5457" s="2" t="s">
        <v>1488</v>
      </c>
      <c r="B5457" s="2" t="s">
        <v>45</v>
      </c>
      <c r="C5457" s="2" t="s">
        <v>4085</v>
      </c>
      <c r="D5457" s="11" t="n">
        <v>27380</v>
      </c>
      <c r="E5457" s="31" t="n">
        <v>70.8</v>
      </c>
      <c r="F5457" s="31" t="n">
        <v>77</v>
      </c>
      <c r="G5457" s="31" t="n">
        <v>9.5</v>
      </c>
      <c r="H5457" s="2" t="s">
        <v>671</v>
      </c>
    </row>
    <row r="5458" customFormat="false" ht="15" hidden="false" customHeight="false" outlineLevel="0" collapsed="false">
      <c r="A5458" s="2" t="s">
        <v>1488</v>
      </c>
      <c r="B5458" s="2" t="s">
        <v>45</v>
      </c>
      <c r="C5458" s="2" t="s">
        <v>4086</v>
      </c>
      <c r="D5458" s="11" t="n">
        <v>29210</v>
      </c>
      <c r="E5458" s="31" t="n">
        <v>43.5</v>
      </c>
      <c r="F5458" s="31" t="n">
        <v>79.4</v>
      </c>
      <c r="G5458" s="31" t="n">
        <v>66.9</v>
      </c>
      <c r="H5458" s="2" t="s">
        <v>671</v>
      </c>
    </row>
    <row r="5459" customFormat="false" ht="15" hidden="false" customHeight="false" outlineLevel="0" collapsed="false">
      <c r="A5459" s="2" t="s">
        <v>1488</v>
      </c>
      <c r="B5459" s="2" t="s">
        <v>45</v>
      </c>
      <c r="C5459" s="2" t="s">
        <v>4087</v>
      </c>
      <c r="D5459" s="11" t="n">
        <v>30452</v>
      </c>
      <c r="E5459" s="2"/>
      <c r="F5459" s="2"/>
      <c r="G5459" s="2"/>
      <c r="H5459" s="2" t="s">
        <v>668</v>
      </c>
    </row>
    <row r="5460" customFormat="false" ht="15" hidden="false" customHeight="false" outlineLevel="0" collapsed="false">
      <c r="A5460" s="2" t="s">
        <v>1488</v>
      </c>
      <c r="B5460" s="2" t="s">
        <v>46</v>
      </c>
      <c r="C5460" s="2" t="s">
        <v>4085</v>
      </c>
      <c r="D5460" s="11" t="n">
        <v>365652</v>
      </c>
      <c r="E5460" s="31" t="n">
        <v>80</v>
      </c>
      <c r="F5460" s="31" t="n">
        <v>74.4</v>
      </c>
      <c r="G5460" s="31" t="n">
        <v>38.8</v>
      </c>
      <c r="H5460" s="2" t="s">
        <v>671</v>
      </c>
    </row>
    <row r="5461" customFormat="false" ht="15" hidden="false" customHeight="false" outlineLevel="0" collapsed="false">
      <c r="A5461" s="2" t="s">
        <v>1488</v>
      </c>
      <c r="B5461" s="2" t="s">
        <v>46</v>
      </c>
      <c r="C5461" s="2" t="s">
        <v>4086</v>
      </c>
      <c r="D5461" s="11" t="n">
        <v>381600</v>
      </c>
      <c r="E5461" s="31" t="n">
        <v>80.4</v>
      </c>
      <c r="F5461" s="31" t="n">
        <v>89.8</v>
      </c>
      <c r="G5461" s="31" t="n">
        <v>9.7</v>
      </c>
      <c r="H5461" s="2" t="s">
        <v>671</v>
      </c>
    </row>
    <row r="5462" customFormat="false" ht="15" hidden="false" customHeight="false" outlineLevel="0" collapsed="false">
      <c r="A5462" s="2" t="s">
        <v>1488</v>
      </c>
      <c r="B5462" s="2" t="s">
        <v>46</v>
      </c>
      <c r="C5462" s="2" t="s">
        <v>4087</v>
      </c>
      <c r="D5462" s="11" t="n">
        <v>405240</v>
      </c>
      <c r="E5462" s="31" t="n">
        <v>83.9</v>
      </c>
      <c r="F5462" s="31" t="n">
        <v>96</v>
      </c>
      <c r="G5462" s="31" t="n">
        <v>16.6</v>
      </c>
      <c r="H5462" s="2" t="s">
        <v>671</v>
      </c>
    </row>
    <row r="5463" customFormat="false" ht="15" hidden="false" customHeight="false" outlineLevel="0" collapsed="false">
      <c r="A5463" s="2" t="s">
        <v>1488</v>
      </c>
      <c r="B5463" s="2" t="s">
        <v>47</v>
      </c>
      <c r="C5463" s="2" t="s">
        <v>4085</v>
      </c>
      <c r="D5463" s="11" t="n">
        <v>24733</v>
      </c>
      <c r="E5463" s="31" t="n">
        <v>6.2</v>
      </c>
      <c r="F5463" s="31" t="n">
        <v>97.7</v>
      </c>
      <c r="G5463" s="2"/>
      <c r="H5463" s="2" t="s">
        <v>668</v>
      </c>
    </row>
    <row r="5464" customFormat="false" ht="15" hidden="false" customHeight="false" outlineLevel="0" collapsed="false">
      <c r="A5464" s="2" t="s">
        <v>1488</v>
      </c>
      <c r="B5464" s="2" t="s">
        <v>47</v>
      </c>
      <c r="C5464" s="2" t="s">
        <v>4086</v>
      </c>
      <c r="D5464" s="11" t="n">
        <v>27576</v>
      </c>
      <c r="E5464" s="31" t="n">
        <v>11.1</v>
      </c>
      <c r="F5464" s="31" t="n">
        <v>97.7</v>
      </c>
      <c r="G5464" s="31" t="n">
        <v>33.9</v>
      </c>
      <c r="H5464" s="2" t="s">
        <v>671</v>
      </c>
    </row>
    <row r="5465" customFormat="false" ht="15" hidden="false" customHeight="false" outlineLevel="0" collapsed="false">
      <c r="A5465" s="2" t="s">
        <v>1488</v>
      </c>
      <c r="B5465" s="2" t="s">
        <v>47</v>
      </c>
      <c r="C5465" s="2" t="s">
        <v>4087</v>
      </c>
      <c r="D5465" s="11" t="n">
        <v>218400</v>
      </c>
      <c r="E5465" s="2"/>
      <c r="F5465" s="31" t="n">
        <v>98.8</v>
      </c>
      <c r="G5465" s="31" t="n">
        <v>7</v>
      </c>
      <c r="H5465" s="2" t="s">
        <v>668</v>
      </c>
    </row>
    <row r="5466" customFormat="false" ht="15" hidden="false" customHeight="false" outlineLevel="0" collapsed="false">
      <c r="A5466" s="2" t="s">
        <v>1036</v>
      </c>
      <c r="B5466" s="2" t="s">
        <v>4104</v>
      </c>
      <c r="C5466" s="2" t="s">
        <v>4085</v>
      </c>
      <c r="D5466" s="2"/>
      <c r="E5466" s="31" t="n">
        <v>34.3</v>
      </c>
      <c r="F5466" s="31" t="n">
        <v>40.1</v>
      </c>
      <c r="G5466" s="31" t="n">
        <v>69.8</v>
      </c>
      <c r="H5466" s="2" t="s">
        <v>668</v>
      </c>
    </row>
    <row r="5467" customFormat="false" ht="15" hidden="false" customHeight="false" outlineLevel="0" collapsed="false">
      <c r="A5467" s="2" t="s">
        <v>1036</v>
      </c>
      <c r="B5467" s="2" t="s">
        <v>4104</v>
      </c>
      <c r="C5467" s="2" t="s">
        <v>4086</v>
      </c>
      <c r="D5467" s="2"/>
      <c r="E5467" s="31" t="n">
        <v>65.6</v>
      </c>
      <c r="F5467" s="31" t="n">
        <v>68.2</v>
      </c>
      <c r="G5467" s="31" t="n">
        <v>33.8</v>
      </c>
      <c r="H5467" s="2" t="s">
        <v>668</v>
      </c>
    </row>
    <row r="5468" customFormat="false" ht="15" hidden="false" customHeight="false" outlineLevel="0" collapsed="false">
      <c r="A5468" s="2" t="s">
        <v>1036</v>
      </c>
      <c r="B5468" s="2" t="s">
        <v>4104</v>
      </c>
      <c r="C5468" s="2" t="s">
        <v>4087</v>
      </c>
      <c r="D5468" s="2"/>
      <c r="E5468" s="31" t="n">
        <v>34.4</v>
      </c>
      <c r="F5468" s="31" t="n">
        <v>59.5</v>
      </c>
      <c r="G5468" s="31" t="n">
        <v>51.3</v>
      </c>
      <c r="H5468" s="2" t="s">
        <v>668</v>
      </c>
    </row>
    <row r="5469" customFormat="false" ht="15" hidden="false" customHeight="false" outlineLevel="0" collapsed="false">
      <c r="A5469" s="2" t="s">
        <v>1036</v>
      </c>
      <c r="B5469" s="2" t="s">
        <v>45</v>
      </c>
      <c r="C5469" s="2" t="s">
        <v>4085</v>
      </c>
      <c r="D5469" s="2"/>
      <c r="E5469" s="2"/>
      <c r="F5469" s="2"/>
      <c r="G5469" s="2"/>
      <c r="H5469" s="2" t="s">
        <v>668</v>
      </c>
    </row>
    <row r="5470" customFormat="false" ht="15" hidden="false" customHeight="false" outlineLevel="0" collapsed="false">
      <c r="A5470" s="2" t="s">
        <v>1036</v>
      </c>
      <c r="B5470" s="2" t="s">
        <v>45</v>
      </c>
      <c r="C5470" s="2" t="s">
        <v>4086</v>
      </c>
      <c r="D5470" s="11" t="n">
        <v>29750</v>
      </c>
      <c r="E5470" s="31" t="n">
        <v>84.1</v>
      </c>
      <c r="F5470" s="31" t="n">
        <v>83.8</v>
      </c>
      <c r="G5470" s="31" t="n">
        <v>20</v>
      </c>
      <c r="H5470" s="2" t="s">
        <v>671</v>
      </c>
    </row>
    <row r="5471" customFormat="false" ht="15" hidden="false" customHeight="false" outlineLevel="0" collapsed="false">
      <c r="A5471" s="2" t="s">
        <v>1036</v>
      </c>
      <c r="B5471" s="2" t="s">
        <v>45</v>
      </c>
      <c r="C5471" s="2" t="s">
        <v>4087</v>
      </c>
      <c r="D5471" s="11" t="n">
        <v>30967</v>
      </c>
      <c r="E5471" s="31" t="n">
        <v>50.6</v>
      </c>
      <c r="F5471" s="31" t="n">
        <v>81.3</v>
      </c>
      <c r="G5471" s="31" t="n">
        <v>21.5</v>
      </c>
      <c r="H5471" s="2" t="s">
        <v>671</v>
      </c>
    </row>
    <row r="5472" customFormat="false" ht="15" hidden="false" customHeight="false" outlineLevel="0" collapsed="false">
      <c r="A5472" s="2" t="s">
        <v>1036</v>
      </c>
      <c r="B5472" s="2" t="s">
        <v>46</v>
      </c>
      <c r="C5472" s="2" t="s">
        <v>4085</v>
      </c>
      <c r="D5472" s="11" t="n">
        <v>49860</v>
      </c>
      <c r="E5472" s="31" t="n">
        <v>46.6</v>
      </c>
      <c r="F5472" s="31" t="n">
        <v>79</v>
      </c>
      <c r="G5472" s="2"/>
      <c r="H5472" s="2" t="s">
        <v>668</v>
      </c>
    </row>
    <row r="5473" customFormat="false" ht="15" hidden="false" customHeight="false" outlineLevel="0" collapsed="false">
      <c r="A5473" s="2" t="s">
        <v>1036</v>
      </c>
      <c r="B5473" s="2" t="s">
        <v>46</v>
      </c>
      <c r="C5473" s="2" t="s">
        <v>4086</v>
      </c>
      <c r="D5473" s="11" t="n">
        <v>51140</v>
      </c>
      <c r="E5473" s="31" t="n">
        <v>47.2</v>
      </c>
      <c r="F5473" s="31" t="n">
        <v>52.7</v>
      </c>
      <c r="G5473" s="31" t="n">
        <v>47.7</v>
      </c>
      <c r="H5473" s="2" t="s">
        <v>671</v>
      </c>
    </row>
    <row r="5474" customFormat="false" ht="15" hidden="false" customHeight="false" outlineLevel="0" collapsed="false">
      <c r="A5474" s="2" t="s">
        <v>1036</v>
      </c>
      <c r="B5474" s="2" t="s">
        <v>46</v>
      </c>
      <c r="C5474" s="2" t="s">
        <v>4087</v>
      </c>
      <c r="D5474" s="11" t="n">
        <v>53280</v>
      </c>
      <c r="E5474" s="31" t="n">
        <v>32.3</v>
      </c>
      <c r="F5474" s="31" t="n">
        <v>91.7</v>
      </c>
      <c r="G5474" s="31" t="n">
        <v>76.2</v>
      </c>
      <c r="H5474" s="2" t="s">
        <v>668</v>
      </c>
    </row>
    <row r="5475" customFormat="false" ht="15" hidden="false" customHeight="false" outlineLevel="0" collapsed="false">
      <c r="A5475" s="2" t="s">
        <v>1036</v>
      </c>
      <c r="B5475" s="2" t="s">
        <v>47</v>
      </c>
      <c r="C5475" s="2" t="s">
        <v>4085</v>
      </c>
      <c r="D5475" s="11" t="n">
        <v>206291</v>
      </c>
      <c r="E5475" s="31" t="n">
        <v>22</v>
      </c>
      <c r="F5475" s="31" t="n">
        <v>1.2</v>
      </c>
      <c r="G5475" s="31" t="n">
        <v>69.8</v>
      </c>
      <c r="H5475" s="2" t="s">
        <v>671</v>
      </c>
    </row>
    <row r="5476" customFormat="false" ht="15" hidden="false" customHeight="false" outlineLevel="0" collapsed="false">
      <c r="A5476" s="2" t="s">
        <v>1036</v>
      </c>
      <c r="B5476" s="2" t="s">
        <v>47</v>
      </c>
      <c r="C5476" s="2" t="s">
        <v>4086</v>
      </c>
      <c r="D5476" s="2"/>
      <c r="E5476" s="2"/>
      <c r="F5476" s="2"/>
      <c r="G5476" s="2"/>
      <c r="H5476" s="2" t="s">
        <v>668</v>
      </c>
    </row>
    <row r="5477" customFormat="false" ht="15" hidden="false" customHeight="false" outlineLevel="0" collapsed="false">
      <c r="A5477" s="2" t="s">
        <v>1036</v>
      </c>
      <c r="B5477" s="2" t="s">
        <v>47</v>
      </c>
      <c r="C5477" s="2" t="s">
        <v>4087</v>
      </c>
      <c r="D5477" s="11" t="n">
        <v>194395</v>
      </c>
      <c r="E5477" s="31" t="n">
        <v>20.3</v>
      </c>
      <c r="F5477" s="31" t="n">
        <v>5.4</v>
      </c>
      <c r="G5477" s="31" t="n">
        <v>56.2</v>
      </c>
      <c r="H5477" s="2" t="s">
        <v>671</v>
      </c>
    </row>
    <row r="5478" customFormat="false" ht="15" hidden="false" customHeight="false" outlineLevel="0" collapsed="false">
      <c r="A5478" s="2" t="s">
        <v>1969</v>
      </c>
      <c r="B5478" s="2" t="s">
        <v>4104</v>
      </c>
      <c r="C5478" s="2" t="s">
        <v>4085</v>
      </c>
      <c r="D5478" s="2"/>
      <c r="E5478" s="31" t="n">
        <v>84.5</v>
      </c>
      <c r="F5478" s="31" t="n">
        <v>55.5</v>
      </c>
      <c r="G5478" s="31" t="n">
        <v>70.9</v>
      </c>
      <c r="H5478" s="2" t="s">
        <v>668</v>
      </c>
    </row>
    <row r="5479" customFormat="false" ht="15" hidden="false" customHeight="false" outlineLevel="0" collapsed="false">
      <c r="A5479" s="2" t="s">
        <v>1969</v>
      </c>
      <c r="B5479" s="2" t="s">
        <v>4104</v>
      </c>
      <c r="C5479" s="2" t="s">
        <v>4086</v>
      </c>
      <c r="D5479" s="2"/>
      <c r="E5479" s="31" t="n">
        <v>93</v>
      </c>
      <c r="F5479" s="31" t="n">
        <v>63</v>
      </c>
      <c r="G5479" s="31" t="n">
        <v>49.5</v>
      </c>
      <c r="H5479" s="2" t="s">
        <v>668</v>
      </c>
    </row>
    <row r="5480" customFormat="false" ht="15" hidden="false" customHeight="false" outlineLevel="0" collapsed="false">
      <c r="A5480" s="2" t="s">
        <v>1969</v>
      </c>
      <c r="B5480" s="2" t="s">
        <v>4104</v>
      </c>
      <c r="C5480" s="2" t="s">
        <v>4087</v>
      </c>
      <c r="D5480" s="2"/>
      <c r="E5480" s="31" t="n">
        <v>75.4</v>
      </c>
      <c r="F5480" s="31" t="n">
        <v>57.6</v>
      </c>
      <c r="G5480" s="31" t="n">
        <v>28.8</v>
      </c>
      <c r="H5480" s="2" t="s">
        <v>668</v>
      </c>
    </row>
    <row r="5481" customFormat="false" ht="15" hidden="false" customHeight="false" outlineLevel="0" collapsed="false">
      <c r="A5481" s="2" t="s">
        <v>1969</v>
      </c>
      <c r="B5481" s="2" t="s">
        <v>45</v>
      </c>
      <c r="C5481" s="2" t="s">
        <v>4085</v>
      </c>
      <c r="D5481" s="11" t="n">
        <v>342270</v>
      </c>
      <c r="E5481" s="31" t="n">
        <v>70.4</v>
      </c>
      <c r="F5481" s="31" t="n">
        <v>97.3</v>
      </c>
      <c r="G5481" s="2"/>
      <c r="H5481" s="2" t="s">
        <v>668</v>
      </c>
    </row>
    <row r="5482" customFormat="false" ht="15" hidden="false" customHeight="false" outlineLevel="0" collapsed="false">
      <c r="A5482" s="2" t="s">
        <v>1969</v>
      </c>
      <c r="B5482" s="2" t="s">
        <v>45</v>
      </c>
      <c r="C5482" s="2" t="s">
        <v>4086</v>
      </c>
      <c r="D5482" s="11" t="n">
        <v>363560</v>
      </c>
      <c r="E5482" s="31" t="n">
        <v>90</v>
      </c>
      <c r="F5482" s="31" t="n">
        <v>96.4</v>
      </c>
      <c r="G5482" s="31" t="n">
        <v>19.8</v>
      </c>
      <c r="H5482" s="2" t="s">
        <v>671</v>
      </c>
    </row>
    <row r="5483" customFormat="false" ht="15" hidden="false" customHeight="false" outlineLevel="0" collapsed="false">
      <c r="A5483" s="2" t="s">
        <v>1969</v>
      </c>
      <c r="B5483" s="2" t="s">
        <v>45</v>
      </c>
      <c r="C5483" s="2" t="s">
        <v>4087</v>
      </c>
      <c r="D5483" s="11" t="n">
        <v>402760</v>
      </c>
      <c r="E5483" s="31" t="n">
        <v>51.9</v>
      </c>
      <c r="F5483" s="31" t="n">
        <v>97.8</v>
      </c>
      <c r="G5483" s="2"/>
      <c r="H5483" s="2" t="s">
        <v>668</v>
      </c>
    </row>
    <row r="5484" customFormat="false" ht="15" hidden="false" customHeight="false" outlineLevel="0" collapsed="false">
      <c r="A5484" s="2" t="s">
        <v>1969</v>
      </c>
      <c r="B5484" s="2" t="s">
        <v>46</v>
      </c>
      <c r="C5484" s="2" t="s">
        <v>4085</v>
      </c>
      <c r="D5484" s="2"/>
      <c r="E5484" s="2"/>
      <c r="F5484" s="2"/>
      <c r="G5484" s="2"/>
      <c r="H5484" s="2" t="s">
        <v>668</v>
      </c>
    </row>
    <row r="5485" customFormat="false" ht="15" hidden="false" customHeight="false" outlineLevel="0" collapsed="false">
      <c r="A5485" s="2" t="s">
        <v>1969</v>
      </c>
      <c r="B5485" s="2" t="s">
        <v>46</v>
      </c>
      <c r="C5485" s="2" t="s">
        <v>4086</v>
      </c>
      <c r="D5485" s="2"/>
      <c r="E5485" s="2"/>
      <c r="F5485" s="2"/>
      <c r="G5485" s="2"/>
      <c r="H5485" s="2" t="s">
        <v>668</v>
      </c>
    </row>
    <row r="5486" customFormat="false" ht="15" hidden="false" customHeight="false" outlineLevel="0" collapsed="false">
      <c r="A5486" s="2" t="s">
        <v>1969</v>
      </c>
      <c r="B5486" s="2" t="s">
        <v>46</v>
      </c>
      <c r="C5486" s="2" t="s">
        <v>4087</v>
      </c>
      <c r="D5486" s="2"/>
      <c r="E5486" s="2"/>
      <c r="F5486" s="2"/>
      <c r="G5486" s="2"/>
      <c r="H5486" s="2" t="s">
        <v>668</v>
      </c>
    </row>
    <row r="5487" customFormat="false" ht="15" hidden="false" customHeight="false" outlineLevel="0" collapsed="false">
      <c r="A5487" s="2" t="s">
        <v>1969</v>
      </c>
      <c r="B5487" s="2" t="s">
        <v>47</v>
      </c>
      <c r="C5487" s="2" t="s">
        <v>4085</v>
      </c>
      <c r="D5487" s="11" t="n">
        <v>88382</v>
      </c>
      <c r="E5487" s="31" t="n">
        <v>98.6</v>
      </c>
      <c r="F5487" s="31" t="n">
        <v>13.7</v>
      </c>
      <c r="G5487" s="31" t="n">
        <v>70.9</v>
      </c>
      <c r="H5487" s="2" t="s">
        <v>671</v>
      </c>
    </row>
    <row r="5488" customFormat="false" ht="15" hidden="false" customHeight="false" outlineLevel="0" collapsed="false">
      <c r="A5488" s="2" t="s">
        <v>1969</v>
      </c>
      <c r="B5488" s="2" t="s">
        <v>47</v>
      </c>
      <c r="C5488" s="2" t="s">
        <v>4086</v>
      </c>
      <c r="D5488" s="11" t="n">
        <v>91550</v>
      </c>
      <c r="E5488" s="31" t="n">
        <v>95.9</v>
      </c>
      <c r="F5488" s="31" t="n">
        <v>29.5</v>
      </c>
      <c r="G5488" s="31" t="n">
        <v>79.2</v>
      </c>
      <c r="H5488" s="2" t="s">
        <v>671</v>
      </c>
    </row>
    <row r="5489" customFormat="false" ht="15" hidden="false" customHeight="false" outlineLevel="0" collapsed="false">
      <c r="A5489" s="2" t="s">
        <v>1969</v>
      </c>
      <c r="B5489" s="2" t="s">
        <v>47</v>
      </c>
      <c r="C5489" s="2" t="s">
        <v>4087</v>
      </c>
      <c r="D5489" s="11" t="n">
        <v>91973</v>
      </c>
      <c r="E5489" s="31" t="n">
        <v>99</v>
      </c>
      <c r="F5489" s="31" t="n">
        <v>17.4</v>
      </c>
      <c r="G5489" s="31" t="n">
        <v>28.8</v>
      </c>
      <c r="H5489" s="2" t="s">
        <v>671</v>
      </c>
    </row>
    <row r="5490" customFormat="false" ht="15" hidden="false" customHeight="false" outlineLevel="0" collapsed="false">
      <c r="A5490" s="2" t="s">
        <v>167</v>
      </c>
      <c r="B5490" s="2" t="s">
        <v>4104</v>
      </c>
      <c r="C5490" s="2" t="s">
        <v>4085</v>
      </c>
      <c r="D5490" s="2"/>
      <c r="E5490" s="31" t="n">
        <v>86.8</v>
      </c>
      <c r="F5490" s="31" t="n">
        <v>56.5</v>
      </c>
      <c r="G5490" s="31" t="n">
        <v>97.8</v>
      </c>
      <c r="H5490" s="2" t="s">
        <v>671</v>
      </c>
    </row>
    <row r="5491" customFormat="false" ht="15" hidden="false" customHeight="false" outlineLevel="0" collapsed="false">
      <c r="A5491" s="2" t="s">
        <v>167</v>
      </c>
      <c r="B5491" s="2" t="s">
        <v>4104</v>
      </c>
      <c r="C5491" s="2" t="s">
        <v>4086</v>
      </c>
      <c r="D5491" s="2"/>
      <c r="E5491" s="31" t="n">
        <v>67.1</v>
      </c>
      <c r="F5491" s="31" t="n">
        <v>31</v>
      </c>
      <c r="G5491" s="2"/>
      <c r="H5491" s="2" t="s">
        <v>668</v>
      </c>
    </row>
    <row r="5492" customFormat="false" ht="15" hidden="false" customHeight="false" outlineLevel="0" collapsed="false">
      <c r="A5492" s="2" t="s">
        <v>167</v>
      </c>
      <c r="B5492" s="2" t="s">
        <v>4104</v>
      </c>
      <c r="C5492" s="2" t="s">
        <v>4087</v>
      </c>
      <c r="D5492" s="2"/>
      <c r="E5492" s="31" t="n">
        <v>75.4</v>
      </c>
      <c r="F5492" s="31" t="n">
        <v>66.7</v>
      </c>
      <c r="G5492" s="31" t="n">
        <v>92.8</v>
      </c>
      <c r="H5492" s="2" t="s">
        <v>671</v>
      </c>
    </row>
    <row r="5493" customFormat="false" ht="15" hidden="false" customHeight="false" outlineLevel="0" collapsed="false">
      <c r="A5493" s="2" t="s">
        <v>167</v>
      </c>
      <c r="B5493" s="2" t="s">
        <v>45</v>
      </c>
      <c r="C5493" s="2" t="s">
        <v>4085</v>
      </c>
      <c r="D5493" s="11" t="n">
        <v>8460</v>
      </c>
      <c r="E5493" s="31" t="n">
        <v>86.8</v>
      </c>
      <c r="F5493" s="31" t="n">
        <v>56.5</v>
      </c>
      <c r="G5493" s="31" t="n">
        <v>97.8</v>
      </c>
      <c r="H5493" s="2" t="s">
        <v>671</v>
      </c>
    </row>
    <row r="5494" customFormat="false" ht="15" hidden="false" customHeight="false" outlineLevel="0" collapsed="false">
      <c r="A5494" s="2" t="s">
        <v>167</v>
      </c>
      <c r="B5494" s="2" t="s">
        <v>45</v>
      </c>
      <c r="C5494" s="2" t="s">
        <v>4086</v>
      </c>
      <c r="D5494" s="11" t="n">
        <v>8590</v>
      </c>
      <c r="E5494" s="31" t="n">
        <v>67.1</v>
      </c>
      <c r="F5494" s="31" t="n">
        <v>31</v>
      </c>
      <c r="G5494" s="2"/>
      <c r="H5494" s="2" t="s">
        <v>668</v>
      </c>
    </row>
    <row r="5495" customFormat="false" ht="15" hidden="false" customHeight="false" outlineLevel="0" collapsed="false">
      <c r="A5495" s="2" t="s">
        <v>167</v>
      </c>
      <c r="B5495" s="2" t="s">
        <v>45</v>
      </c>
      <c r="C5495" s="2" t="s">
        <v>4087</v>
      </c>
      <c r="D5495" s="11" t="n">
        <v>8967</v>
      </c>
      <c r="E5495" s="31" t="n">
        <v>75.4</v>
      </c>
      <c r="F5495" s="31" t="n">
        <v>66.7</v>
      </c>
      <c r="G5495" s="31" t="n">
        <v>92.8</v>
      </c>
      <c r="H5495" s="2" t="s">
        <v>671</v>
      </c>
    </row>
    <row r="5496" customFormat="false" ht="15" hidden="false" customHeight="false" outlineLevel="0" collapsed="false">
      <c r="A5496" s="2" t="s">
        <v>410</v>
      </c>
      <c r="B5496" s="2" t="s">
        <v>4104</v>
      </c>
      <c r="C5496" s="2" t="s">
        <v>4085</v>
      </c>
      <c r="D5496" s="2"/>
      <c r="E5496" s="31" t="n">
        <v>48.7</v>
      </c>
      <c r="F5496" s="31" t="n">
        <v>49.9</v>
      </c>
      <c r="G5496" s="31" t="n">
        <v>58.4</v>
      </c>
      <c r="H5496" s="2" t="s">
        <v>671</v>
      </c>
    </row>
    <row r="5497" customFormat="false" ht="15" hidden="false" customHeight="false" outlineLevel="0" collapsed="false">
      <c r="A5497" s="2" t="s">
        <v>410</v>
      </c>
      <c r="B5497" s="2" t="s">
        <v>4104</v>
      </c>
      <c r="C5497" s="2" t="s">
        <v>4086</v>
      </c>
      <c r="D5497" s="2"/>
      <c r="E5497" s="31" t="n">
        <v>44.1</v>
      </c>
      <c r="F5497" s="31" t="n">
        <v>49.9</v>
      </c>
      <c r="G5497" s="31" t="n">
        <v>50.3</v>
      </c>
      <c r="H5497" s="2" t="s">
        <v>671</v>
      </c>
    </row>
    <row r="5498" customFormat="false" ht="15" hidden="false" customHeight="false" outlineLevel="0" collapsed="false">
      <c r="A5498" s="2" t="s">
        <v>410</v>
      </c>
      <c r="B5498" s="2" t="s">
        <v>4104</v>
      </c>
      <c r="C5498" s="2" t="s">
        <v>4087</v>
      </c>
      <c r="D5498" s="2"/>
      <c r="E5498" s="31" t="n">
        <v>46.1</v>
      </c>
      <c r="F5498" s="31" t="n">
        <v>73.1</v>
      </c>
      <c r="G5498" s="31" t="n">
        <v>43.2</v>
      </c>
      <c r="H5498" s="2" t="s">
        <v>671</v>
      </c>
    </row>
    <row r="5499" customFormat="false" ht="15" hidden="false" customHeight="false" outlineLevel="0" collapsed="false">
      <c r="A5499" s="2" t="s">
        <v>410</v>
      </c>
      <c r="B5499" s="2" t="s">
        <v>46</v>
      </c>
      <c r="C5499" s="2" t="s">
        <v>4085</v>
      </c>
      <c r="D5499" s="11" t="n">
        <v>41890</v>
      </c>
      <c r="E5499" s="31" t="n">
        <v>90.4</v>
      </c>
      <c r="F5499" s="31" t="n">
        <v>39</v>
      </c>
      <c r="G5499" s="31" t="n">
        <v>90.4</v>
      </c>
      <c r="H5499" s="2" t="s">
        <v>671</v>
      </c>
    </row>
    <row r="5500" customFormat="false" ht="15" hidden="false" customHeight="false" outlineLevel="0" collapsed="false">
      <c r="A5500" s="2" t="s">
        <v>410</v>
      </c>
      <c r="B5500" s="2" t="s">
        <v>46</v>
      </c>
      <c r="C5500" s="2" t="s">
        <v>4086</v>
      </c>
      <c r="D5500" s="11" t="n">
        <v>43420</v>
      </c>
      <c r="E5500" s="31" t="n">
        <v>80.6</v>
      </c>
      <c r="F5500" s="31" t="n">
        <v>34.9</v>
      </c>
      <c r="G5500" s="31" t="n">
        <v>92.9</v>
      </c>
      <c r="H5500" s="2" t="s">
        <v>671</v>
      </c>
    </row>
    <row r="5501" customFormat="false" ht="15" hidden="false" customHeight="false" outlineLevel="0" collapsed="false">
      <c r="A5501" s="2" t="s">
        <v>410</v>
      </c>
      <c r="B5501" s="2" t="s">
        <v>46</v>
      </c>
      <c r="C5501" s="2" t="s">
        <v>4087</v>
      </c>
      <c r="D5501" s="11" t="n">
        <v>46480</v>
      </c>
      <c r="E5501" s="31" t="n">
        <v>88.2</v>
      </c>
      <c r="F5501" s="31" t="n">
        <v>64.3</v>
      </c>
      <c r="G5501" s="31" t="n">
        <v>75.4</v>
      </c>
      <c r="H5501" s="2" t="s">
        <v>671</v>
      </c>
    </row>
    <row r="5502" customFormat="false" ht="15" hidden="false" customHeight="false" outlineLevel="0" collapsed="false">
      <c r="A5502" s="2" t="s">
        <v>410</v>
      </c>
      <c r="B5502" s="2" t="s">
        <v>47</v>
      </c>
      <c r="C5502" s="2" t="s">
        <v>4085</v>
      </c>
      <c r="D5502" s="11" t="n">
        <v>18455</v>
      </c>
      <c r="E5502" s="31" t="n">
        <v>6.9</v>
      </c>
      <c r="F5502" s="31" t="n">
        <v>60.8</v>
      </c>
      <c r="G5502" s="31" t="n">
        <v>26.5</v>
      </c>
      <c r="H5502" s="2" t="s">
        <v>671</v>
      </c>
    </row>
    <row r="5503" customFormat="false" ht="15" hidden="false" customHeight="false" outlineLevel="0" collapsed="false">
      <c r="A5503" s="2" t="s">
        <v>410</v>
      </c>
      <c r="B5503" s="2" t="s">
        <v>47</v>
      </c>
      <c r="C5503" s="2" t="s">
        <v>4086</v>
      </c>
      <c r="D5503" s="11" t="n">
        <v>18968</v>
      </c>
      <c r="E5503" s="31" t="n">
        <v>7.6</v>
      </c>
      <c r="F5503" s="31" t="n">
        <v>64.9</v>
      </c>
      <c r="G5503" s="31" t="n">
        <v>7.7</v>
      </c>
      <c r="H5503" s="2" t="s">
        <v>671</v>
      </c>
    </row>
    <row r="5504" customFormat="false" ht="15" hidden="false" customHeight="false" outlineLevel="0" collapsed="false">
      <c r="A5504" s="2" t="s">
        <v>410</v>
      </c>
      <c r="B5504" s="2" t="s">
        <v>47</v>
      </c>
      <c r="C5504" s="2" t="s">
        <v>4087</v>
      </c>
      <c r="D5504" s="11" t="n">
        <v>19230</v>
      </c>
      <c r="E5504" s="31" t="n">
        <v>4</v>
      </c>
      <c r="F5504" s="31" t="n">
        <v>81.9</v>
      </c>
      <c r="G5504" s="31" t="n">
        <v>10.9</v>
      </c>
      <c r="H5504" s="2" t="s">
        <v>671</v>
      </c>
    </row>
    <row r="5505" customFormat="false" ht="15" hidden="false" customHeight="false" outlineLevel="0" collapsed="false">
      <c r="A5505" s="2" t="s">
        <v>1399</v>
      </c>
      <c r="B5505" s="2" t="s">
        <v>4104</v>
      </c>
      <c r="C5505" s="2" t="s">
        <v>4085</v>
      </c>
      <c r="D5505" s="2"/>
      <c r="E5505" s="31" t="n">
        <v>67.1</v>
      </c>
      <c r="F5505" s="31" t="n">
        <v>58.2</v>
      </c>
      <c r="G5505" s="31" t="n">
        <v>6.7</v>
      </c>
      <c r="H5505" s="2" t="s">
        <v>668</v>
      </c>
    </row>
    <row r="5506" customFormat="false" ht="15" hidden="false" customHeight="false" outlineLevel="0" collapsed="false">
      <c r="A5506" s="2" t="s">
        <v>1399</v>
      </c>
      <c r="B5506" s="2" t="s">
        <v>4104</v>
      </c>
      <c r="C5506" s="2" t="s">
        <v>4086</v>
      </c>
      <c r="D5506" s="2"/>
      <c r="E5506" s="31" t="n">
        <v>59.2</v>
      </c>
      <c r="F5506" s="31" t="n">
        <v>64.1</v>
      </c>
      <c r="G5506" s="31" t="n">
        <v>37.7</v>
      </c>
      <c r="H5506" s="2" t="s">
        <v>671</v>
      </c>
    </row>
    <row r="5507" customFormat="false" ht="15" hidden="false" customHeight="false" outlineLevel="0" collapsed="false">
      <c r="A5507" s="2" t="s">
        <v>1399</v>
      </c>
      <c r="B5507" s="2" t="s">
        <v>4104</v>
      </c>
      <c r="C5507" s="2" t="s">
        <v>4087</v>
      </c>
      <c r="D5507" s="2"/>
      <c r="E5507" s="31" t="n">
        <v>87.2</v>
      </c>
      <c r="F5507" s="31" t="n">
        <v>41.3</v>
      </c>
      <c r="G5507" s="31" t="n">
        <v>44.2</v>
      </c>
      <c r="H5507" s="2" t="s">
        <v>668</v>
      </c>
    </row>
    <row r="5508" customFormat="false" ht="15" hidden="false" customHeight="false" outlineLevel="0" collapsed="false">
      <c r="A5508" s="2" t="s">
        <v>1399</v>
      </c>
      <c r="B5508" s="2" t="s">
        <v>45</v>
      </c>
      <c r="C5508" s="2" t="s">
        <v>4085</v>
      </c>
      <c r="D5508" s="11" t="n">
        <v>206680</v>
      </c>
      <c r="E5508" s="31" t="n">
        <v>29.2</v>
      </c>
      <c r="F5508" s="31" t="n">
        <v>63</v>
      </c>
      <c r="G5508" s="2"/>
      <c r="H5508" s="2" t="s">
        <v>668</v>
      </c>
    </row>
    <row r="5509" customFormat="false" ht="15" hidden="false" customHeight="false" outlineLevel="0" collapsed="false">
      <c r="A5509" s="2" t="s">
        <v>1399</v>
      </c>
      <c r="B5509" s="2" t="s">
        <v>45</v>
      </c>
      <c r="C5509" s="2" t="s">
        <v>4086</v>
      </c>
      <c r="D5509" s="11" t="n">
        <v>214370</v>
      </c>
      <c r="E5509" s="31" t="n">
        <v>26.5</v>
      </c>
      <c r="F5509" s="31" t="n">
        <v>72.9</v>
      </c>
      <c r="G5509" s="31" t="n">
        <v>56.6</v>
      </c>
      <c r="H5509" s="2" t="s">
        <v>671</v>
      </c>
    </row>
    <row r="5510" customFormat="false" ht="15" hidden="false" customHeight="false" outlineLevel="0" collapsed="false">
      <c r="A5510" s="2" t="s">
        <v>1399</v>
      </c>
      <c r="B5510" s="2" t="s">
        <v>45</v>
      </c>
      <c r="C5510" s="2" t="s">
        <v>4087</v>
      </c>
      <c r="D5510" s="2"/>
      <c r="E5510" s="2"/>
      <c r="F5510" s="2"/>
      <c r="G5510" s="2"/>
      <c r="H5510" s="2" t="s">
        <v>668</v>
      </c>
    </row>
    <row r="5511" customFormat="false" ht="15" hidden="false" customHeight="false" outlineLevel="0" collapsed="false">
      <c r="A5511" s="2" t="s">
        <v>1399</v>
      </c>
      <c r="B5511" s="2" t="s">
        <v>46</v>
      </c>
      <c r="C5511" s="2" t="s">
        <v>4085</v>
      </c>
      <c r="D5511" s="11" t="n">
        <v>1013450</v>
      </c>
      <c r="E5511" s="31" t="n">
        <v>79.3</v>
      </c>
      <c r="F5511" s="31" t="n">
        <v>44.4</v>
      </c>
      <c r="G5511" s="2"/>
      <c r="H5511" s="2" t="s">
        <v>668</v>
      </c>
    </row>
    <row r="5512" customFormat="false" ht="15" hidden="false" customHeight="false" outlineLevel="0" collapsed="false">
      <c r="A5512" s="2" t="s">
        <v>1399</v>
      </c>
      <c r="B5512" s="2" t="s">
        <v>46</v>
      </c>
      <c r="C5512" s="2" t="s">
        <v>4086</v>
      </c>
      <c r="D5512" s="11" t="n">
        <v>1018140</v>
      </c>
      <c r="E5512" s="31" t="n">
        <v>71.3</v>
      </c>
      <c r="F5512" s="31" t="n">
        <v>41.7</v>
      </c>
      <c r="G5512" s="31" t="n">
        <v>51.4</v>
      </c>
      <c r="H5512" s="2" t="s">
        <v>671</v>
      </c>
    </row>
    <row r="5513" customFormat="false" ht="15" hidden="false" customHeight="false" outlineLevel="0" collapsed="false">
      <c r="A5513" s="2" t="s">
        <v>1399</v>
      </c>
      <c r="B5513" s="2" t="s">
        <v>46</v>
      </c>
      <c r="C5513" s="2" t="s">
        <v>4087</v>
      </c>
      <c r="D5513" s="11" t="n">
        <v>1091790</v>
      </c>
      <c r="E5513" s="31" t="n">
        <v>96.4</v>
      </c>
      <c r="F5513" s="31" t="n">
        <v>50</v>
      </c>
      <c r="G5513" s="31" t="n">
        <v>86.8</v>
      </c>
      <c r="H5513" s="2" t="s">
        <v>671</v>
      </c>
    </row>
    <row r="5514" customFormat="false" ht="15" hidden="false" customHeight="false" outlineLevel="0" collapsed="false">
      <c r="A5514" s="2" t="s">
        <v>1399</v>
      </c>
      <c r="B5514" s="2" t="s">
        <v>47</v>
      </c>
      <c r="C5514" s="2" t="s">
        <v>4085</v>
      </c>
      <c r="D5514" s="11" t="n">
        <v>36396</v>
      </c>
      <c r="E5514" s="31" t="n">
        <v>92.9</v>
      </c>
      <c r="F5514" s="31" t="n">
        <v>67.3</v>
      </c>
      <c r="G5514" s="31" t="n">
        <v>6.7</v>
      </c>
      <c r="H5514" s="2" t="s">
        <v>671</v>
      </c>
    </row>
    <row r="5515" customFormat="false" ht="15" hidden="false" customHeight="false" outlineLevel="0" collapsed="false">
      <c r="A5515" s="2" t="s">
        <v>1399</v>
      </c>
      <c r="B5515" s="2" t="s">
        <v>47</v>
      </c>
      <c r="C5515" s="2" t="s">
        <v>4086</v>
      </c>
      <c r="D5515" s="11" t="n">
        <v>37140</v>
      </c>
      <c r="E5515" s="31" t="n">
        <v>79.9</v>
      </c>
      <c r="F5515" s="31" t="n">
        <v>77.6</v>
      </c>
      <c r="G5515" s="31" t="n">
        <v>5</v>
      </c>
      <c r="H5515" s="2" t="s">
        <v>671</v>
      </c>
    </row>
    <row r="5516" customFormat="false" ht="15" hidden="false" customHeight="false" outlineLevel="0" collapsed="false">
      <c r="A5516" s="2" t="s">
        <v>1399</v>
      </c>
      <c r="B5516" s="2" t="s">
        <v>47</v>
      </c>
      <c r="C5516" s="2" t="s">
        <v>4087</v>
      </c>
      <c r="D5516" s="11" t="n">
        <v>38938</v>
      </c>
      <c r="E5516" s="31" t="n">
        <v>77.9</v>
      </c>
      <c r="F5516" s="31" t="n">
        <v>32.6</v>
      </c>
      <c r="G5516" s="31" t="n">
        <v>1.7</v>
      </c>
      <c r="H5516" s="2" t="s">
        <v>671</v>
      </c>
    </row>
    <row r="5517" customFormat="false" ht="15" hidden="false" customHeight="false" outlineLevel="0" collapsed="false">
      <c r="A5517" s="2" t="s">
        <v>1651</v>
      </c>
      <c r="B5517" s="2" t="s">
        <v>4104</v>
      </c>
      <c r="C5517" s="2" t="s">
        <v>4085</v>
      </c>
      <c r="D5517" s="2"/>
      <c r="E5517" s="31" t="n">
        <v>41.6</v>
      </c>
      <c r="F5517" s="31" t="n">
        <v>69.5</v>
      </c>
      <c r="G5517" s="31" t="n">
        <v>56.6</v>
      </c>
      <c r="H5517" s="2" t="s">
        <v>668</v>
      </c>
    </row>
    <row r="5518" customFormat="false" ht="15" hidden="false" customHeight="false" outlineLevel="0" collapsed="false">
      <c r="A5518" s="2" t="s">
        <v>1651</v>
      </c>
      <c r="B5518" s="2" t="s">
        <v>4104</v>
      </c>
      <c r="C5518" s="2" t="s">
        <v>4086</v>
      </c>
      <c r="D5518" s="2"/>
      <c r="E5518" s="31" t="n">
        <v>25.6</v>
      </c>
      <c r="F5518" s="31" t="n">
        <v>45</v>
      </c>
      <c r="G5518" s="31" t="n">
        <v>35.5</v>
      </c>
      <c r="H5518" s="2" t="s">
        <v>668</v>
      </c>
    </row>
    <row r="5519" customFormat="false" ht="15" hidden="false" customHeight="false" outlineLevel="0" collapsed="false">
      <c r="A5519" s="2" t="s">
        <v>1651</v>
      </c>
      <c r="B5519" s="2" t="s">
        <v>4104</v>
      </c>
      <c r="C5519" s="2" t="s">
        <v>4087</v>
      </c>
      <c r="D5519" s="2"/>
      <c r="E5519" s="31" t="n">
        <v>27.8</v>
      </c>
      <c r="F5519" s="31" t="n">
        <v>82.4</v>
      </c>
      <c r="G5519" s="31" t="n">
        <v>37.6</v>
      </c>
      <c r="H5519" s="2" t="s">
        <v>668</v>
      </c>
    </row>
    <row r="5520" customFormat="false" ht="15" hidden="false" customHeight="false" outlineLevel="0" collapsed="false">
      <c r="A5520" s="2" t="s">
        <v>1651</v>
      </c>
      <c r="B5520" s="2" t="s">
        <v>45</v>
      </c>
      <c r="C5520" s="2" t="s">
        <v>4085</v>
      </c>
      <c r="D5520" s="11" t="n">
        <v>643</v>
      </c>
      <c r="E5520" s="31" t="n">
        <v>0.6</v>
      </c>
      <c r="F5520" s="31" t="n">
        <v>87.1</v>
      </c>
      <c r="G5520" s="2"/>
      <c r="H5520" s="2" t="s">
        <v>668</v>
      </c>
    </row>
    <row r="5521" customFormat="false" ht="15" hidden="false" customHeight="false" outlineLevel="0" collapsed="false">
      <c r="A5521" s="2" t="s">
        <v>1651</v>
      </c>
      <c r="B5521" s="2" t="s">
        <v>45</v>
      </c>
      <c r="C5521" s="2" t="s">
        <v>4086</v>
      </c>
      <c r="D5521" s="11" t="n">
        <v>650</v>
      </c>
      <c r="E5521" s="31" t="n">
        <v>4</v>
      </c>
      <c r="F5521" s="31" t="n">
        <v>35.2</v>
      </c>
      <c r="G5521" s="2"/>
      <c r="H5521" s="2" t="s">
        <v>668</v>
      </c>
    </row>
    <row r="5522" customFormat="false" ht="15" hidden="false" customHeight="false" outlineLevel="0" collapsed="false">
      <c r="A5522" s="2" t="s">
        <v>1651</v>
      </c>
      <c r="B5522" s="2" t="s">
        <v>45</v>
      </c>
      <c r="C5522" s="2" t="s">
        <v>4087</v>
      </c>
      <c r="D5522" s="11" t="n">
        <v>686</v>
      </c>
      <c r="E5522" s="31" t="n">
        <v>1.9</v>
      </c>
      <c r="F5522" s="31" t="n">
        <v>64.8</v>
      </c>
      <c r="G5522" s="2"/>
      <c r="H5522" s="2" t="s">
        <v>668</v>
      </c>
    </row>
    <row r="5523" customFormat="false" ht="15" hidden="false" customHeight="false" outlineLevel="0" collapsed="false">
      <c r="A5523" s="2" t="s">
        <v>1651</v>
      </c>
      <c r="B5523" s="2" t="s">
        <v>46</v>
      </c>
      <c r="C5523" s="2" t="s">
        <v>4085</v>
      </c>
      <c r="D5523" s="11" t="n">
        <v>925883</v>
      </c>
      <c r="E5523" s="31" t="n">
        <v>82.6</v>
      </c>
      <c r="F5523" s="31" t="n">
        <v>51.9</v>
      </c>
      <c r="G5523" s="31" t="n">
        <v>56.6</v>
      </c>
      <c r="H5523" s="2" t="s">
        <v>671</v>
      </c>
    </row>
    <row r="5524" customFormat="false" ht="15" hidden="false" customHeight="false" outlineLevel="0" collapsed="false">
      <c r="A5524" s="2" t="s">
        <v>1651</v>
      </c>
      <c r="B5524" s="2" t="s">
        <v>46</v>
      </c>
      <c r="C5524" s="2" t="s">
        <v>4086</v>
      </c>
      <c r="D5524" s="11" t="n">
        <v>986040</v>
      </c>
      <c r="E5524" s="31" t="n">
        <v>47.3</v>
      </c>
      <c r="F5524" s="31" t="n">
        <v>54.8</v>
      </c>
      <c r="G5524" s="31" t="n">
        <v>35.5</v>
      </c>
      <c r="H5524" s="2" t="s">
        <v>671</v>
      </c>
    </row>
    <row r="5525" customFormat="false" ht="15" hidden="false" customHeight="false" outlineLevel="0" collapsed="false">
      <c r="A5525" s="2" t="s">
        <v>1651</v>
      </c>
      <c r="B5525" s="2" t="s">
        <v>46</v>
      </c>
      <c r="C5525" s="2" t="s">
        <v>4087</v>
      </c>
      <c r="D5525" s="11" t="n">
        <v>1029970</v>
      </c>
      <c r="E5525" s="31" t="n">
        <v>53.7</v>
      </c>
      <c r="F5525" s="31" t="n">
        <v>100</v>
      </c>
      <c r="G5525" s="31" t="n">
        <v>37.6</v>
      </c>
      <c r="H5525" s="2" t="s">
        <v>671</v>
      </c>
    </row>
    <row r="5526" customFormat="false" ht="15" hidden="false" customHeight="false" outlineLevel="0" collapsed="false">
      <c r="A5526" s="2" t="s">
        <v>2170</v>
      </c>
      <c r="B5526" s="2" t="s">
        <v>4104</v>
      </c>
      <c r="C5526" s="2" t="s">
        <v>4085</v>
      </c>
      <c r="D5526" s="2"/>
      <c r="E5526" s="31" t="n">
        <v>39.6</v>
      </c>
      <c r="F5526" s="31" t="n">
        <v>50.3</v>
      </c>
      <c r="G5526" s="31" t="n">
        <v>55.6</v>
      </c>
      <c r="H5526" s="2" t="s">
        <v>668</v>
      </c>
    </row>
    <row r="5527" customFormat="false" ht="15" hidden="false" customHeight="false" outlineLevel="0" collapsed="false">
      <c r="A5527" s="2" t="s">
        <v>2170</v>
      </c>
      <c r="B5527" s="2" t="s">
        <v>4104</v>
      </c>
      <c r="C5527" s="2" t="s">
        <v>4086</v>
      </c>
      <c r="D5527" s="2"/>
      <c r="E5527" s="31" t="n">
        <v>45.8</v>
      </c>
      <c r="F5527" s="31" t="n">
        <v>36.3</v>
      </c>
      <c r="G5527" s="31" t="n">
        <v>40.7</v>
      </c>
      <c r="H5527" s="2" t="s">
        <v>671</v>
      </c>
    </row>
    <row r="5528" customFormat="false" ht="15" hidden="false" customHeight="false" outlineLevel="0" collapsed="false">
      <c r="A5528" s="2" t="s">
        <v>2170</v>
      </c>
      <c r="B5528" s="2" t="s">
        <v>4104</v>
      </c>
      <c r="C5528" s="2" t="s">
        <v>4087</v>
      </c>
      <c r="D5528" s="2"/>
      <c r="E5528" s="31" t="n">
        <v>46.8</v>
      </c>
      <c r="F5528" s="31" t="n">
        <v>32.5</v>
      </c>
      <c r="G5528" s="31" t="n">
        <v>60</v>
      </c>
      <c r="H5528" s="2" t="s">
        <v>668</v>
      </c>
    </row>
    <row r="5529" customFormat="false" ht="15" hidden="false" customHeight="false" outlineLevel="0" collapsed="false">
      <c r="A5529" s="2" t="s">
        <v>2170</v>
      </c>
      <c r="B5529" s="2" t="s">
        <v>45</v>
      </c>
      <c r="C5529" s="2" t="s">
        <v>4085</v>
      </c>
      <c r="D5529" s="11" t="n">
        <v>94870</v>
      </c>
      <c r="E5529" s="31" t="n">
        <v>15.1</v>
      </c>
      <c r="F5529" s="2"/>
      <c r="G5529" s="31" t="n">
        <v>64.4</v>
      </c>
      <c r="H5529" s="2" t="s">
        <v>668</v>
      </c>
    </row>
    <row r="5530" customFormat="false" ht="15" hidden="false" customHeight="false" outlineLevel="0" collapsed="false">
      <c r="A5530" s="2" t="s">
        <v>2170</v>
      </c>
      <c r="B5530" s="2" t="s">
        <v>45</v>
      </c>
      <c r="C5530" s="2" t="s">
        <v>4086</v>
      </c>
      <c r="D5530" s="11" t="n">
        <v>99730</v>
      </c>
      <c r="E5530" s="31" t="n">
        <v>15.1</v>
      </c>
      <c r="F5530" s="31" t="n">
        <v>29.9</v>
      </c>
      <c r="G5530" s="31" t="n">
        <v>35</v>
      </c>
      <c r="H5530" s="2" t="s">
        <v>671</v>
      </c>
    </row>
    <row r="5531" customFormat="false" ht="15" hidden="false" customHeight="false" outlineLevel="0" collapsed="false">
      <c r="A5531" s="2" t="s">
        <v>2170</v>
      </c>
      <c r="B5531" s="2" t="s">
        <v>45</v>
      </c>
      <c r="C5531" s="2" t="s">
        <v>4087</v>
      </c>
      <c r="D5531" s="11" t="n">
        <v>97670</v>
      </c>
      <c r="E5531" s="31" t="n">
        <v>46.8</v>
      </c>
      <c r="F5531" s="31" t="n">
        <v>19.4</v>
      </c>
      <c r="G5531" s="2"/>
      <c r="H5531" s="2" t="s">
        <v>668</v>
      </c>
    </row>
    <row r="5532" customFormat="false" ht="15" hidden="false" customHeight="false" outlineLevel="0" collapsed="false">
      <c r="A5532" s="2" t="s">
        <v>2170</v>
      </c>
      <c r="B5532" s="2" t="s">
        <v>46</v>
      </c>
      <c r="C5532" s="2" t="s">
        <v>4085</v>
      </c>
      <c r="D5532" s="2"/>
      <c r="E5532" s="2"/>
      <c r="F5532" s="2"/>
      <c r="G5532" s="2"/>
      <c r="H5532" s="2" t="s">
        <v>668</v>
      </c>
    </row>
    <row r="5533" customFormat="false" ht="15" hidden="false" customHeight="false" outlineLevel="0" collapsed="false">
      <c r="A5533" s="2" t="s">
        <v>2170</v>
      </c>
      <c r="B5533" s="2" t="s">
        <v>46</v>
      </c>
      <c r="C5533" s="2" t="s">
        <v>4086</v>
      </c>
      <c r="D5533" s="11" t="n">
        <v>36008</v>
      </c>
      <c r="E5533" s="31" t="n">
        <v>54.2</v>
      </c>
      <c r="F5533" s="31" t="n">
        <v>23.6</v>
      </c>
      <c r="G5533" s="31" t="n">
        <v>40.2</v>
      </c>
      <c r="H5533" s="2" t="s">
        <v>671</v>
      </c>
    </row>
    <row r="5534" customFormat="false" ht="15" hidden="false" customHeight="false" outlineLevel="0" collapsed="false">
      <c r="A5534" s="2" t="s">
        <v>2170</v>
      </c>
      <c r="B5534" s="2" t="s">
        <v>46</v>
      </c>
      <c r="C5534" s="2" t="s">
        <v>4087</v>
      </c>
      <c r="D5534" s="11" t="n">
        <v>35820</v>
      </c>
      <c r="E5534" s="31" t="n">
        <v>24.1</v>
      </c>
      <c r="F5534" s="31" t="n">
        <v>9.1</v>
      </c>
      <c r="G5534" s="2"/>
      <c r="H5534" s="2" t="s">
        <v>668</v>
      </c>
    </row>
    <row r="5535" customFormat="false" ht="15" hidden="false" customHeight="false" outlineLevel="0" collapsed="false">
      <c r="A5535" s="2" t="s">
        <v>2170</v>
      </c>
      <c r="B5535" s="2" t="s">
        <v>47</v>
      </c>
      <c r="C5535" s="2" t="s">
        <v>4085</v>
      </c>
      <c r="D5535" s="11" t="n">
        <v>10656</v>
      </c>
      <c r="E5535" s="31" t="n">
        <v>64.2</v>
      </c>
      <c r="F5535" s="31" t="n">
        <v>50.3</v>
      </c>
      <c r="G5535" s="31" t="n">
        <v>46.9</v>
      </c>
      <c r="H5535" s="2" t="s">
        <v>671</v>
      </c>
    </row>
    <row r="5536" customFormat="false" ht="15" hidden="false" customHeight="false" outlineLevel="0" collapsed="false">
      <c r="A5536" s="2" t="s">
        <v>2170</v>
      </c>
      <c r="B5536" s="2" t="s">
        <v>47</v>
      </c>
      <c r="C5536" s="2" t="s">
        <v>4086</v>
      </c>
      <c r="D5536" s="11" t="n">
        <v>11335</v>
      </c>
      <c r="E5536" s="31" t="n">
        <v>68.1</v>
      </c>
      <c r="F5536" s="31" t="n">
        <v>55.5</v>
      </c>
      <c r="G5536" s="31" t="n">
        <v>47</v>
      </c>
      <c r="H5536" s="2" t="s">
        <v>671</v>
      </c>
    </row>
    <row r="5537" customFormat="false" ht="15" hidden="false" customHeight="false" outlineLevel="0" collapsed="false">
      <c r="A5537" s="2" t="s">
        <v>2170</v>
      </c>
      <c r="B5537" s="2" t="s">
        <v>47</v>
      </c>
      <c r="C5537" s="2" t="s">
        <v>4087</v>
      </c>
      <c r="D5537" s="11" t="n">
        <v>11474</v>
      </c>
      <c r="E5537" s="31" t="n">
        <v>69.4</v>
      </c>
      <c r="F5537" s="31" t="n">
        <v>69.1</v>
      </c>
      <c r="G5537" s="31" t="n">
        <v>60</v>
      </c>
      <c r="H5537" s="2" t="s">
        <v>671</v>
      </c>
    </row>
    <row r="5538" customFormat="false" ht="15" hidden="false" customHeight="false" outlineLevel="0" collapsed="false">
      <c r="A5538" s="2" t="s">
        <v>1180</v>
      </c>
      <c r="B5538" s="2" t="s">
        <v>4104</v>
      </c>
      <c r="C5538" s="2" t="s">
        <v>4085</v>
      </c>
      <c r="D5538" s="2"/>
      <c r="E5538" s="31" t="n">
        <v>65.6</v>
      </c>
      <c r="F5538" s="31" t="n">
        <v>39.9</v>
      </c>
      <c r="G5538" s="31" t="n">
        <v>38.9</v>
      </c>
      <c r="H5538" s="2" t="s">
        <v>671</v>
      </c>
    </row>
    <row r="5539" customFormat="false" ht="15" hidden="false" customHeight="false" outlineLevel="0" collapsed="false">
      <c r="A5539" s="2" t="s">
        <v>1180</v>
      </c>
      <c r="B5539" s="2" t="s">
        <v>4104</v>
      </c>
      <c r="C5539" s="2" t="s">
        <v>4086</v>
      </c>
      <c r="D5539" s="2"/>
      <c r="E5539" s="31" t="n">
        <v>38.2</v>
      </c>
      <c r="F5539" s="31" t="n">
        <v>31.7</v>
      </c>
      <c r="G5539" s="31" t="n">
        <v>30.4</v>
      </c>
      <c r="H5539" s="2" t="s">
        <v>668</v>
      </c>
    </row>
    <row r="5540" customFormat="false" ht="15" hidden="false" customHeight="false" outlineLevel="0" collapsed="false">
      <c r="A5540" s="2" t="s">
        <v>1180</v>
      </c>
      <c r="B5540" s="2" t="s">
        <v>4104</v>
      </c>
      <c r="C5540" s="2" t="s">
        <v>4087</v>
      </c>
      <c r="D5540" s="2"/>
      <c r="E5540" s="31" t="n">
        <v>53</v>
      </c>
      <c r="F5540" s="31" t="n">
        <v>39.3</v>
      </c>
      <c r="G5540" s="31" t="n">
        <v>43.6</v>
      </c>
      <c r="H5540" s="2" t="s">
        <v>668</v>
      </c>
    </row>
    <row r="5541" customFormat="false" ht="15" hidden="false" customHeight="false" outlineLevel="0" collapsed="false">
      <c r="A5541" s="2" t="s">
        <v>1180</v>
      </c>
      <c r="B5541" s="2" t="s">
        <v>45</v>
      </c>
      <c r="C5541" s="2" t="s">
        <v>4085</v>
      </c>
      <c r="D5541" s="11" t="n">
        <v>131530</v>
      </c>
      <c r="E5541" s="31" t="n">
        <v>64.4</v>
      </c>
      <c r="F5541" s="31" t="n">
        <v>7.5</v>
      </c>
      <c r="G5541" s="31" t="n">
        <v>36.3</v>
      </c>
      <c r="H5541" s="2" t="s">
        <v>671</v>
      </c>
    </row>
    <row r="5542" customFormat="false" ht="15" hidden="false" customHeight="false" outlineLevel="0" collapsed="false">
      <c r="A5542" s="2" t="s">
        <v>1180</v>
      </c>
      <c r="B5542" s="2" t="s">
        <v>45</v>
      </c>
      <c r="C5542" s="2" t="s">
        <v>4086</v>
      </c>
      <c r="D5542" s="11" t="n">
        <v>136210</v>
      </c>
      <c r="E5542" s="31" t="n">
        <v>43.7</v>
      </c>
      <c r="F5542" s="31" t="n">
        <v>12.1</v>
      </c>
      <c r="G5542" s="31" t="n">
        <v>22.1</v>
      </c>
      <c r="H5542" s="2" t="s">
        <v>671</v>
      </c>
    </row>
    <row r="5543" customFormat="false" ht="15" hidden="false" customHeight="false" outlineLevel="0" collapsed="false">
      <c r="A5543" s="2" t="s">
        <v>1180</v>
      </c>
      <c r="B5543" s="2" t="s">
        <v>45</v>
      </c>
      <c r="C5543" s="2" t="s">
        <v>4087</v>
      </c>
      <c r="D5543" s="11" t="n">
        <v>133290</v>
      </c>
      <c r="E5543" s="31" t="n">
        <v>31.2</v>
      </c>
      <c r="F5543" s="31" t="n">
        <v>15.9</v>
      </c>
      <c r="G5543" s="31" t="n">
        <v>39.5</v>
      </c>
      <c r="H5543" s="2" t="s">
        <v>671</v>
      </c>
    </row>
    <row r="5544" customFormat="false" ht="15" hidden="false" customHeight="false" outlineLevel="0" collapsed="false">
      <c r="A5544" s="2" t="s">
        <v>1180</v>
      </c>
      <c r="B5544" s="2" t="s">
        <v>46</v>
      </c>
      <c r="C5544" s="2" t="s">
        <v>4085</v>
      </c>
      <c r="D5544" s="11" t="n">
        <v>50714</v>
      </c>
      <c r="E5544" s="31" t="n">
        <v>78.5</v>
      </c>
      <c r="F5544" s="31" t="n">
        <v>36.3</v>
      </c>
      <c r="G5544" s="31" t="n">
        <v>45.7</v>
      </c>
      <c r="H5544" s="2" t="s">
        <v>671</v>
      </c>
    </row>
    <row r="5545" customFormat="false" ht="15" hidden="false" customHeight="false" outlineLevel="0" collapsed="false">
      <c r="A5545" s="2" t="s">
        <v>1180</v>
      </c>
      <c r="B5545" s="2" t="s">
        <v>46</v>
      </c>
      <c r="C5545" s="2" t="s">
        <v>4086</v>
      </c>
      <c r="D5545" s="11" t="n">
        <v>53490</v>
      </c>
      <c r="E5545" s="2"/>
      <c r="F5545" s="31" t="n">
        <v>44.4</v>
      </c>
      <c r="G5545" s="2"/>
      <c r="H5545" s="2" t="s">
        <v>668</v>
      </c>
    </row>
    <row r="5546" customFormat="false" ht="15" hidden="false" customHeight="false" outlineLevel="0" collapsed="false">
      <c r="A5546" s="2" t="s">
        <v>1180</v>
      </c>
      <c r="B5546" s="2" t="s">
        <v>46</v>
      </c>
      <c r="C5546" s="2" t="s">
        <v>4087</v>
      </c>
      <c r="D5546" s="11" t="n">
        <v>54040</v>
      </c>
      <c r="E5546" s="31" t="n">
        <v>62.4</v>
      </c>
      <c r="F5546" s="31" t="n">
        <v>26.6</v>
      </c>
      <c r="G5546" s="2"/>
      <c r="H5546" s="2" t="s">
        <v>668</v>
      </c>
    </row>
    <row r="5547" customFormat="false" ht="15" hidden="false" customHeight="false" outlineLevel="0" collapsed="false">
      <c r="A5547" s="2" t="s">
        <v>1180</v>
      </c>
      <c r="B5547" s="2" t="s">
        <v>47</v>
      </c>
      <c r="C5547" s="2" t="s">
        <v>4085</v>
      </c>
      <c r="D5547" s="11" t="n">
        <v>147376</v>
      </c>
      <c r="E5547" s="31" t="n">
        <v>54</v>
      </c>
      <c r="F5547" s="31" t="n">
        <v>75.9</v>
      </c>
      <c r="G5547" s="31" t="n">
        <v>34.6</v>
      </c>
      <c r="H5547" s="2" t="s">
        <v>671</v>
      </c>
    </row>
    <row r="5548" customFormat="false" ht="15" hidden="false" customHeight="false" outlineLevel="0" collapsed="false">
      <c r="A5548" s="2" t="s">
        <v>1180</v>
      </c>
      <c r="B5548" s="2" t="s">
        <v>47</v>
      </c>
      <c r="C5548" s="2" t="s">
        <v>4086</v>
      </c>
      <c r="D5548" s="11" t="n">
        <v>154099</v>
      </c>
      <c r="E5548" s="31" t="n">
        <v>32.6</v>
      </c>
      <c r="F5548" s="31" t="n">
        <v>38.5</v>
      </c>
      <c r="G5548" s="31" t="n">
        <v>38.7</v>
      </c>
      <c r="H5548" s="2" t="s">
        <v>671</v>
      </c>
    </row>
    <row r="5549" customFormat="false" ht="15" hidden="false" customHeight="false" outlineLevel="0" collapsed="false">
      <c r="A5549" s="2" t="s">
        <v>1180</v>
      </c>
      <c r="B5549" s="2" t="s">
        <v>47</v>
      </c>
      <c r="C5549" s="2" t="s">
        <v>4087</v>
      </c>
      <c r="D5549" s="11" t="n">
        <v>156280</v>
      </c>
      <c r="E5549" s="31" t="n">
        <v>65.4</v>
      </c>
      <c r="F5549" s="31" t="n">
        <v>75.3</v>
      </c>
      <c r="G5549" s="31" t="n">
        <v>47.6</v>
      </c>
      <c r="H5549" s="2" t="s">
        <v>671</v>
      </c>
    </row>
    <row r="5550" customFormat="false" ht="15" hidden="false" customHeight="false" outlineLevel="0" collapsed="false">
      <c r="A5550" s="2" t="s">
        <v>1107</v>
      </c>
      <c r="B5550" s="2" t="s">
        <v>4104</v>
      </c>
      <c r="C5550" s="2" t="s">
        <v>4085</v>
      </c>
      <c r="D5550" s="2"/>
      <c r="E5550" s="31" t="n">
        <v>62.1</v>
      </c>
      <c r="F5550" s="31" t="n">
        <v>62</v>
      </c>
      <c r="G5550" s="31" t="n">
        <v>47</v>
      </c>
      <c r="H5550" s="2" t="s">
        <v>671</v>
      </c>
    </row>
    <row r="5551" customFormat="false" ht="15" hidden="false" customHeight="false" outlineLevel="0" collapsed="false">
      <c r="A5551" s="2" t="s">
        <v>1107</v>
      </c>
      <c r="B5551" s="2" t="s">
        <v>4104</v>
      </c>
      <c r="C5551" s="2" t="s">
        <v>4086</v>
      </c>
      <c r="D5551" s="2"/>
      <c r="E5551" s="31" t="n">
        <v>76</v>
      </c>
      <c r="F5551" s="31" t="n">
        <v>50.3</v>
      </c>
      <c r="G5551" s="31" t="n">
        <v>46.6</v>
      </c>
      <c r="H5551" s="2" t="s">
        <v>668</v>
      </c>
    </row>
    <row r="5552" customFormat="false" ht="15" hidden="false" customHeight="false" outlineLevel="0" collapsed="false">
      <c r="A5552" s="2" t="s">
        <v>1107</v>
      </c>
      <c r="B5552" s="2" t="s">
        <v>4104</v>
      </c>
      <c r="C5552" s="2" t="s">
        <v>4087</v>
      </c>
      <c r="D5552" s="2"/>
      <c r="E5552" s="31" t="n">
        <v>69.8</v>
      </c>
      <c r="F5552" s="31" t="n">
        <v>70.4</v>
      </c>
      <c r="G5552" s="31" t="n">
        <v>64.8</v>
      </c>
      <c r="H5552" s="2" t="s">
        <v>668</v>
      </c>
    </row>
    <row r="5553" customFormat="false" ht="15" hidden="false" customHeight="false" outlineLevel="0" collapsed="false">
      <c r="A5553" s="2" t="s">
        <v>1107</v>
      </c>
      <c r="B5553" s="2" t="s">
        <v>45</v>
      </c>
      <c r="C5553" s="2" t="s">
        <v>4085</v>
      </c>
      <c r="D5553" s="11" t="n">
        <v>20500</v>
      </c>
      <c r="E5553" s="31" t="n">
        <v>68</v>
      </c>
      <c r="F5553" s="31" t="n">
        <v>38</v>
      </c>
      <c r="G5553" s="31" t="n">
        <v>49.8</v>
      </c>
      <c r="H5553" s="2" t="s">
        <v>671</v>
      </c>
    </row>
    <row r="5554" customFormat="false" ht="15" hidden="false" customHeight="false" outlineLevel="0" collapsed="false">
      <c r="A5554" s="2" t="s">
        <v>1107</v>
      </c>
      <c r="B5554" s="2" t="s">
        <v>45</v>
      </c>
      <c r="C5554" s="2" t="s">
        <v>4086</v>
      </c>
      <c r="D5554" s="11" t="n">
        <v>21530</v>
      </c>
      <c r="E5554" s="31" t="n">
        <v>68.6</v>
      </c>
      <c r="F5554" s="31" t="n">
        <v>16.8</v>
      </c>
      <c r="G5554" s="31" t="n">
        <v>97.4</v>
      </c>
      <c r="H5554" s="2" t="s">
        <v>671</v>
      </c>
    </row>
    <row r="5555" customFormat="false" ht="15" hidden="false" customHeight="false" outlineLevel="0" collapsed="false">
      <c r="A5555" s="2" t="s">
        <v>1107</v>
      </c>
      <c r="B5555" s="2" t="s">
        <v>45</v>
      </c>
      <c r="C5555" s="2" t="s">
        <v>4087</v>
      </c>
      <c r="D5555" s="11" t="n">
        <v>21930</v>
      </c>
      <c r="E5555" s="31" t="n">
        <v>41</v>
      </c>
      <c r="F5555" s="31" t="n">
        <v>56.7</v>
      </c>
      <c r="G5555" s="31" t="n">
        <v>92.5</v>
      </c>
      <c r="H5555" s="2" t="s">
        <v>671</v>
      </c>
    </row>
    <row r="5556" customFormat="false" ht="15" hidden="false" customHeight="false" outlineLevel="0" collapsed="false">
      <c r="A5556" s="2" t="s">
        <v>1107</v>
      </c>
      <c r="B5556" s="2" t="s">
        <v>46</v>
      </c>
      <c r="C5556" s="2" t="s">
        <v>4085</v>
      </c>
      <c r="D5556" s="11" t="n">
        <v>2890</v>
      </c>
      <c r="E5556" s="31" t="n">
        <v>19.4</v>
      </c>
      <c r="F5556" s="31" t="n">
        <v>70.2</v>
      </c>
      <c r="G5556" s="31" t="n">
        <v>27.4</v>
      </c>
      <c r="H5556" s="2" t="s">
        <v>671</v>
      </c>
    </row>
    <row r="5557" customFormat="false" ht="15" hidden="false" customHeight="false" outlineLevel="0" collapsed="false">
      <c r="A5557" s="2" t="s">
        <v>1107</v>
      </c>
      <c r="B5557" s="2" t="s">
        <v>46</v>
      </c>
      <c r="C5557" s="2" t="s">
        <v>4086</v>
      </c>
      <c r="D5557" s="11" t="n">
        <v>2990</v>
      </c>
      <c r="E5557" s="31" t="n">
        <v>62.9</v>
      </c>
      <c r="F5557" s="2"/>
      <c r="G5557" s="31" t="n">
        <v>19.6</v>
      </c>
      <c r="H5557" s="2" t="s">
        <v>668</v>
      </c>
    </row>
    <row r="5558" customFormat="false" ht="15" hidden="false" customHeight="false" outlineLevel="0" collapsed="false">
      <c r="A5558" s="2" t="s">
        <v>1107</v>
      </c>
      <c r="B5558" s="2" t="s">
        <v>46</v>
      </c>
      <c r="C5558" s="2" t="s">
        <v>4087</v>
      </c>
      <c r="D5558" s="2"/>
      <c r="E5558" s="2"/>
      <c r="F5558" s="2"/>
      <c r="G5558" s="2"/>
      <c r="H5558" s="2" t="s">
        <v>668</v>
      </c>
    </row>
    <row r="5559" customFormat="false" ht="15" hidden="false" customHeight="false" outlineLevel="0" collapsed="false">
      <c r="A5559" s="2" t="s">
        <v>1107</v>
      </c>
      <c r="B5559" s="2" t="s">
        <v>47</v>
      </c>
      <c r="C5559" s="2" t="s">
        <v>4085</v>
      </c>
      <c r="D5559" s="11" t="n">
        <v>3152</v>
      </c>
      <c r="E5559" s="31" t="n">
        <v>99</v>
      </c>
      <c r="F5559" s="31" t="n">
        <v>77.8</v>
      </c>
      <c r="G5559" s="31" t="n">
        <v>63.8</v>
      </c>
      <c r="H5559" s="2" t="s">
        <v>671</v>
      </c>
    </row>
    <row r="5560" customFormat="false" ht="15" hidden="false" customHeight="false" outlineLevel="0" collapsed="false">
      <c r="A5560" s="2" t="s">
        <v>1107</v>
      </c>
      <c r="B5560" s="2" t="s">
        <v>47</v>
      </c>
      <c r="C5560" s="2" t="s">
        <v>4086</v>
      </c>
      <c r="D5560" s="11" t="n">
        <v>3382</v>
      </c>
      <c r="E5560" s="31" t="n">
        <v>96.6</v>
      </c>
      <c r="F5560" s="31" t="n">
        <v>83.8</v>
      </c>
      <c r="G5560" s="31" t="n">
        <v>22.8</v>
      </c>
      <c r="H5560" s="2" t="s">
        <v>671</v>
      </c>
    </row>
    <row r="5561" customFormat="false" ht="15" hidden="false" customHeight="false" outlineLevel="0" collapsed="false">
      <c r="A5561" s="2" t="s">
        <v>1107</v>
      </c>
      <c r="B5561" s="2" t="s">
        <v>47</v>
      </c>
      <c r="C5561" s="2" t="s">
        <v>4087</v>
      </c>
      <c r="D5561" s="11" t="n">
        <v>3500</v>
      </c>
      <c r="E5561" s="31" t="n">
        <v>98.7</v>
      </c>
      <c r="F5561" s="31" t="n">
        <v>84</v>
      </c>
      <c r="G5561" s="31" t="n">
        <v>37.1</v>
      </c>
      <c r="H5561" s="2" t="s">
        <v>671</v>
      </c>
    </row>
    <row r="5562" customFormat="false" ht="15" hidden="false" customHeight="false" outlineLevel="0" collapsed="false">
      <c r="A5562" s="2" t="s">
        <v>522</v>
      </c>
      <c r="B5562" s="2" t="s">
        <v>4104</v>
      </c>
      <c r="C5562" s="2" t="s">
        <v>4085</v>
      </c>
      <c r="D5562" s="2"/>
      <c r="E5562" s="31" t="n">
        <v>52.6</v>
      </c>
      <c r="F5562" s="31" t="n">
        <v>52.4</v>
      </c>
      <c r="G5562" s="31" t="n">
        <v>67.4</v>
      </c>
      <c r="H5562" s="2" t="s">
        <v>671</v>
      </c>
    </row>
    <row r="5563" customFormat="false" ht="15" hidden="false" customHeight="false" outlineLevel="0" collapsed="false">
      <c r="A5563" s="2" t="s">
        <v>522</v>
      </c>
      <c r="B5563" s="2" t="s">
        <v>4104</v>
      </c>
      <c r="C5563" s="2" t="s">
        <v>4086</v>
      </c>
      <c r="D5563" s="2"/>
      <c r="E5563" s="2"/>
      <c r="F5563" s="2"/>
      <c r="G5563" s="2"/>
      <c r="H5563" s="2" t="s">
        <v>668</v>
      </c>
    </row>
    <row r="5564" customFormat="false" ht="15" hidden="false" customHeight="false" outlineLevel="0" collapsed="false">
      <c r="A5564" s="2" t="s">
        <v>522</v>
      </c>
      <c r="B5564" s="2" t="s">
        <v>4104</v>
      </c>
      <c r="C5564" s="2" t="s">
        <v>4087</v>
      </c>
      <c r="D5564" s="2"/>
      <c r="E5564" s="31" t="n">
        <v>33.1</v>
      </c>
      <c r="F5564" s="31" t="n">
        <v>34.2</v>
      </c>
      <c r="G5564" s="31" t="n">
        <v>55.3</v>
      </c>
      <c r="H5564" s="2" t="s">
        <v>671</v>
      </c>
    </row>
    <row r="5565" customFormat="false" ht="15" hidden="false" customHeight="false" outlineLevel="0" collapsed="false">
      <c r="A5565" s="2" t="s">
        <v>522</v>
      </c>
      <c r="B5565" s="2" t="s">
        <v>45</v>
      </c>
      <c r="C5565" s="2" t="s">
        <v>4085</v>
      </c>
      <c r="D5565" s="11" t="n">
        <v>11720</v>
      </c>
      <c r="E5565" s="31" t="n">
        <v>57.9</v>
      </c>
      <c r="F5565" s="31" t="n">
        <v>69.7</v>
      </c>
      <c r="G5565" s="31" t="n">
        <v>75.4</v>
      </c>
      <c r="H5565" s="2" t="s">
        <v>671</v>
      </c>
    </row>
    <row r="5566" customFormat="false" ht="15" hidden="false" customHeight="false" outlineLevel="0" collapsed="false">
      <c r="A5566" s="2" t="s">
        <v>522</v>
      </c>
      <c r="B5566" s="2" t="s">
        <v>45</v>
      </c>
      <c r="C5566" s="2" t="s">
        <v>4086</v>
      </c>
      <c r="D5566" s="2"/>
      <c r="E5566" s="2"/>
      <c r="F5566" s="2"/>
      <c r="G5566" s="2"/>
      <c r="H5566" s="2" t="s">
        <v>668</v>
      </c>
    </row>
    <row r="5567" customFormat="false" ht="15" hidden="false" customHeight="false" outlineLevel="0" collapsed="false">
      <c r="A5567" s="2" t="s">
        <v>522</v>
      </c>
      <c r="B5567" s="2" t="s">
        <v>45</v>
      </c>
      <c r="C5567" s="2" t="s">
        <v>4087</v>
      </c>
      <c r="D5567" s="11" t="n">
        <v>20468</v>
      </c>
      <c r="E5567" s="31" t="n">
        <v>15.8</v>
      </c>
      <c r="F5567" s="31" t="n">
        <v>9.1</v>
      </c>
      <c r="G5567" s="31" t="n">
        <v>53</v>
      </c>
      <c r="H5567" s="2" t="s">
        <v>671</v>
      </c>
    </row>
    <row r="5568" customFormat="false" ht="15" hidden="false" customHeight="false" outlineLevel="0" collapsed="false">
      <c r="A5568" s="2" t="s">
        <v>522</v>
      </c>
      <c r="B5568" s="2" t="s">
        <v>46</v>
      </c>
      <c r="C5568" s="2" t="s">
        <v>4085</v>
      </c>
      <c r="D5568" s="11" t="n">
        <v>21005</v>
      </c>
      <c r="E5568" s="31" t="n">
        <v>14.5</v>
      </c>
      <c r="F5568" s="31" t="n">
        <v>27.7</v>
      </c>
      <c r="G5568" s="31" t="n">
        <v>39.7</v>
      </c>
      <c r="H5568" s="2" t="s">
        <v>671</v>
      </c>
    </row>
    <row r="5569" customFormat="false" ht="15" hidden="false" customHeight="false" outlineLevel="0" collapsed="false">
      <c r="A5569" s="2" t="s">
        <v>522</v>
      </c>
      <c r="B5569" s="2" t="s">
        <v>46</v>
      </c>
      <c r="C5569" s="2" t="s">
        <v>4086</v>
      </c>
      <c r="D5569" s="2"/>
      <c r="E5569" s="2"/>
      <c r="F5569" s="2"/>
      <c r="G5569" s="2"/>
      <c r="H5569" s="2" t="s">
        <v>668</v>
      </c>
    </row>
    <row r="5570" customFormat="false" ht="15" hidden="false" customHeight="false" outlineLevel="0" collapsed="false">
      <c r="A5570" s="2" t="s">
        <v>522</v>
      </c>
      <c r="B5570" s="2" t="s">
        <v>46</v>
      </c>
      <c r="C5570" s="2" t="s">
        <v>4087</v>
      </c>
      <c r="D5570" s="11" t="n">
        <v>22013</v>
      </c>
      <c r="E5570" s="31" t="n">
        <v>5.3</v>
      </c>
      <c r="F5570" s="31" t="n">
        <v>45.6</v>
      </c>
      <c r="G5570" s="31" t="n">
        <v>46.9</v>
      </c>
      <c r="H5570" s="2" t="s">
        <v>671</v>
      </c>
    </row>
    <row r="5571" customFormat="false" ht="15" hidden="false" customHeight="false" outlineLevel="0" collapsed="false">
      <c r="A5571" s="2" t="s">
        <v>522</v>
      </c>
      <c r="B5571" s="2" t="s">
        <v>47</v>
      </c>
      <c r="C5571" s="2" t="s">
        <v>4085</v>
      </c>
      <c r="D5571" s="11" t="n">
        <v>31778</v>
      </c>
      <c r="E5571" s="31" t="n">
        <v>85.3</v>
      </c>
      <c r="F5571" s="31" t="n">
        <v>59.8</v>
      </c>
      <c r="G5571" s="31" t="n">
        <v>87.1</v>
      </c>
      <c r="H5571" s="2" t="s">
        <v>671</v>
      </c>
    </row>
    <row r="5572" customFormat="false" ht="15" hidden="false" customHeight="false" outlineLevel="0" collapsed="false">
      <c r="A5572" s="2" t="s">
        <v>522</v>
      </c>
      <c r="B5572" s="2" t="s">
        <v>47</v>
      </c>
      <c r="C5572" s="2" t="s">
        <v>4086</v>
      </c>
      <c r="D5572" s="2"/>
      <c r="E5572" s="2"/>
      <c r="F5572" s="2"/>
      <c r="G5572" s="2"/>
      <c r="H5572" s="2" t="s">
        <v>668</v>
      </c>
    </row>
    <row r="5573" customFormat="false" ht="15" hidden="false" customHeight="false" outlineLevel="0" collapsed="false">
      <c r="A5573" s="2" t="s">
        <v>522</v>
      </c>
      <c r="B5573" s="2" t="s">
        <v>47</v>
      </c>
      <c r="C5573" s="2" t="s">
        <v>4087</v>
      </c>
      <c r="D5573" s="11" t="n">
        <v>34153</v>
      </c>
      <c r="E5573" s="31" t="n">
        <v>78.1</v>
      </c>
      <c r="F5573" s="31" t="n">
        <v>47.9</v>
      </c>
      <c r="G5573" s="31" t="n">
        <v>65.9</v>
      </c>
      <c r="H5573" s="2" t="s">
        <v>671</v>
      </c>
    </row>
    <row r="5574" customFormat="false" ht="15" hidden="false" customHeight="false" outlineLevel="0" collapsed="false">
      <c r="A5574" s="2" t="s">
        <v>1543</v>
      </c>
      <c r="B5574" s="2" t="s">
        <v>4104</v>
      </c>
      <c r="C5574" s="2" t="s">
        <v>4085</v>
      </c>
      <c r="D5574" s="2"/>
      <c r="E5574" s="31" t="n">
        <v>16.2</v>
      </c>
      <c r="F5574" s="31" t="n">
        <v>76</v>
      </c>
      <c r="G5574" s="31" t="n">
        <v>80.6</v>
      </c>
      <c r="H5574" s="2" t="s">
        <v>668</v>
      </c>
    </row>
    <row r="5575" customFormat="false" ht="15" hidden="false" customHeight="false" outlineLevel="0" collapsed="false">
      <c r="A5575" s="2" t="s">
        <v>1543</v>
      </c>
      <c r="B5575" s="2" t="s">
        <v>4104</v>
      </c>
      <c r="C5575" s="2" t="s">
        <v>4086</v>
      </c>
      <c r="D5575" s="2"/>
      <c r="E5575" s="31" t="n">
        <v>31.7</v>
      </c>
      <c r="F5575" s="31" t="n">
        <v>75.2</v>
      </c>
      <c r="G5575" s="31" t="n">
        <v>91.2</v>
      </c>
      <c r="H5575" s="2" t="s">
        <v>668</v>
      </c>
    </row>
    <row r="5576" customFormat="false" ht="15" hidden="false" customHeight="false" outlineLevel="0" collapsed="false">
      <c r="A5576" s="2" t="s">
        <v>1543</v>
      </c>
      <c r="B5576" s="2" t="s">
        <v>4104</v>
      </c>
      <c r="C5576" s="2" t="s">
        <v>4087</v>
      </c>
      <c r="D5576" s="2"/>
      <c r="E5576" s="31" t="n">
        <v>62.5</v>
      </c>
      <c r="F5576" s="31" t="n">
        <v>58.8</v>
      </c>
      <c r="G5576" s="31" t="n">
        <v>62.6</v>
      </c>
      <c r="H5576" s="2" t="s">
        <v>668</v>
      </c>
    </row>
    <row r="5577" customFormat="false" ht="15" hidden="false" customHeight="false" outlineLevel="0" collapsed="false">
      <c r="A5577" s="2" t="s">
        <v>1543</v>
      </c>
      <c r="B5577" s="2" t="s">
        <v>45</v>
      </c>
      <c r="C5577" s="2" t="s">
        <v>4085</v>
      </c>
      <c r="D5577" s="11" t="n">
        <v>13260</v>
      </c>
      <c r="E5577" s="31" t="n">
        <v>16.2</v>
      </c>
      <c r="F5577" s="31" t="n">
        <v>97.8</v>
      </c>
      <c r="G5577" s="31" t="n">
        <v>99.3</v>
      </c>
      <c r="H5577" s="2" t="s">
        <v>671</v>
      </c>
    </row>
    <row r="5578" customFormat="false" ht="15" hidden="false" customHeight="false" outlineLevel="0" collapsed="false">
      <c r="A5578" s="2" t="s">
        <v>1543</v>
      </c>
      <c r="B5578" s="2" t="s">
        <v>45</v>
      </c>
      <c r="C5578" s="2" t="s">
        <v>4086</v>
      </c>
      <c r="D5578" s="11" t="n">
        <v>14700</v>
      </c>
      <c r="E5578" s="31" t="n">
        <v>6.4</v>
      </c>
      <c r="F5578" s="31" t="n">
        <v>94.5</v>
      </c>
      <c r="G5578" s="31" t="n">
        <v>98.1</v>
      </c>
      <c r="H5578" s="2" t="s">
        <v>671</v>
      </c>
    </row>
    <row r="5579" customFormat="false" ht="15" hidden="false" customHeight="false" outlineLevel="0" collapsed="false">
      <c r="A5579" s="2" t="s">
        <v>1543</v>
      </c>
      <c r="B5579" s="2" t="s">
        <v>45</v>
      </c>
      <c r="C5579" s="2" t="s">
        <v>4087</v>
      </c>
      <c r="D5579" s="11" t="n">
        <v>14935</v>
      </c>
      <c r="E5579" s="2"/>
      <c r="F5579" s="31" t="n">
        <v>95.6</v>
      </c>
      <c r="G5579" s="2"/>
      <c r="H5579" s="2" t="s">
        <v>668</v>
      </c>
    </row>
    <row r="5580" customFormat="false" ht="15" hidden="false" customHeight="false" outlineLevel="0" collapsed="false">
      <c r="A5580" s="2" t="s">
        <v>1543</v>
      </c>
      <c r="B5580" s="2" t="s">
        <v>46</v>
      </c>
      <c r="C5580" s="2" t="s">
        <v>4085</v>
      </c>
      <c r="D5580" s="11" t="n">
        <v>26000</v>
      </c>
      <c r="E5580" s="2"/>
      <c r="F5580" s="31" t="n">
        <v>54.3</v>
      </c>
      <c r="G5580" s="31" t="n">
        <v>61.9</v>
      </c>
      <c r="H5580" s="2" t="s">
        <v>668</v>
      </c>
    </row>
    <row r="5581" customFormat="false" ht="15" hidden="false" customHeight="false" outlineLevel="0" collapsed="false">
      <c r="A5581" s="2" t="s">
        <v>1543</v>
      </c>
      <c r="B5581" s="2" t="s">
        <v>46</v>
      </c>
      <c r="C5581" s="2" t="s">
        <v>4086</v>
      </c>
      <c r="D5581" s="11" t="n">
        <v>26730</v>
      </c>
      <c r="E5581" s="31" t="n">
        <v>54.8</v>
      </c>
      <c r="F5581" s="31" t="n">
        <v>75.3</v>
      </c>
      <c r="G5581" s="2"/>
      <c r="H5581" s="2" t="s">
        <v>668</v>
      </c>
    </row>
    <row r="5582" customFormat="false" ht="15" hidden="false" customHeight="false" outlineLevel="0" collapsed="false">
      <c r="A5582" s="2" t="s">
        <v>1543</v>
      </c>
      <c r="B5582" s="2" t="s">
        <v>46</v>
      </c>
      <c r="C5582" s="2" t="s">
        <v>4087</v>
      </c>
      <c r="D5582" s="11" t="n">
        <v>27330</v>
      </c>
      <c r="E5582" s="31" t="n">
        <v>74</v>
      </c>
      <c r="F5582" s="31" t="n">
        <v>30.7</v>
      </c>
      <c r="G5582" s="31" t="n">
        <v>74.6</v>
      </c>
      <c r="H5582" s="2" t="s">
        <v>671</v>
      </c>
    </row>
    <row r="5583" customFormat="false" ht="15" hidden="false" customHeight="false" outlineLevel="0" collapsed="false">
      <c r="A5583" s="2" t="s">
        <v>1543</v>
      </c>
      <c r="B5583" s="2" t="s">
        <v>47</v>
      </c>
      <c r="C5583" s="2" t="s">
        <v>4085</v>
      </c>
      <c r="D5583" s="2"/>
      <c r="E5583" s="2"/>
      <c r="F5583" s="2"/>
      <c r="G5583" s="2"/>
      <c r="H5583" s="2" t="s">
        <v>668</v>
      </c>
    </row>
    <row r="5584" customFormat="false" ht="15" hidden="false" customHeight="false" outlineLevel="0" collapsed="false">
      <c r="A5584" s="2" t="s">
        <v>1543</v>
      </c>
      <c r="B5584" s="2" t="s">
        <v>47</v>
      </c>
      <c r="C5584" s="2" t="s">
        <v>4086</v>
      </c>
      <c r="D5584" s="11" t="n">
        <v>206050</v>
      </c>
      <c r="E5584" s="31" t="n">
        <v>34</v>
      </c>
      <c r="F5584" s="31" t="n">
        <v>55.9</v>
      </c>
      <c r="G5584" s="31" t="n">
        <v>84.2</v>
      </c>
      <c r="H5584" s="2" t="s">
        <v>671</v>
      </c>
    </row>
    <row r="5585" customFormat="false" ht="15" hidden="false" customHeight="false" outlineLevel="0" collapsed="false">
      <c r="A5585" s="2" t="s">
        <v>1543</v>
      </c>
      <c r="B5585" s="2" t="s">
        <v>47</v>
      </c>
      <c r="C5585" s="2" t="s">
        <v>4087</v>
      </c>
      <c r="D5585" s="11" t="n">
        <v>210286</v>
      </c>
      <c r="E5585" s="31" t="n">
        <v>51</v>
      </c>
      <c r="F5585" s="31" t="n">
        <v>50</v>
      </c>
      <c r="G5585" s="31" t="n">
        <v>50.7</v>
      </c>
      <c r="H5585" s="2" t="s">
        <v>671</v>
      </c>
    </row>
    <row r="5586" customFormat="false" ht="15" hidden="false" customHeight="false" outlineLevel="0" collapsed="false">
      <c r="A5586" s="2" t="s">
        <v>2224</v>
      </c>
      <c r="B5586" s="2" t="s">
        <v>4104</v>
      </c>
      <c r="C5586" s="2" t="s">
        <v>4085</v>
      </c>
      <c r="D5586" s="2"/>
      <c r="E5586" s="31" t="n">
        <v>44</v>
      </c>
      <c r="F5586" s="31" t="n">
        <v>81</v>
      </c>
      <c r="G5586" s="31" t="n">
        <v>70.9</v>
      </c>
      <c r="H5586" s="2" t="s">
        <v>671</v>
      </c>
    </row>
    <row r="5587" customFormat="false" ht="15" hidden="false" customHeight="false" outlineLevel="0" collapsed="false">
      <c r="A5587" s="2" t="s">
        <v>2224</v>
      </c>
      <c r="B5587" s="2" t="s">
        <v>4104</v>
      </c>
      <c r="C5587" s="2" t="s">
        <v>4086</v>
      </c>
      <c r="D5587" s="2"/>
      <c r="E5587" s="31" t="n">
        <v>53.1</v>
      </c>
      <c r="F5587" s="31" t="n">
        <v>84</v>
      </c>
      <c r="G5587" s="31" t="n">
        <v>55.4</v>
      </c>
      <c r="H5587" s="2" t="s">
        <v>668</v>
      </c>
    </row>
    <row r="5588" customFormat="false" ht="15" hidden="false" customHeight="false" outlineLevel="0" collapsed="false">
      <c r="A5588" s="2" t="s">
        <v>2224</v>
      </c>
      <c r="B5588" s="2" t="s">
        <v>4104</v>
      </c>
      <c r="C5588" s="2" t="s">
        <v>4087</v>
      </c>
      <c r="D5588" s="2"/>
      <c r="E5588" s="31" t="n">
        <v>62.4</v>
      </c>
      <c r="F5588" s="31" t="n">
        <v>80</v>
      </c>
      <c r="G5588" s="31" t="n">
        <v>81.9</v>
      </c>
      <c r="H5588" s="2" t="s">
        <v>668</v>
      </c>
    </row>
    <row r="5589" customFormat="false" ht="15" hidden="false" customHeight="false" outlineLevel="0" collapsed="false">
      <c r="A5589" s="2" t="s">
        <v>2224</v>
      </c>
      <c r="B5589" s="2" t="s">
        <v>45</v>
      </c>
      <c r="C5589" s="2" t="s">
        <v>4085</v>
      </c>
      <c r="D5589" s="11" t="n">
        <v>23478</v>
      </c>
      <c r="E5589" s="31" t="n">
        <v>3.7</v>
      </c>
      <c r="F5589" s="31" t="n">
        <v>79.6</v>
      </c>
      <c r="G5589" s="31" t="n">
        <v>57.1</v>
      </c>
      <c r="H5589" s="2" t="s">
        <v>671</v>
      </c>
    </row>
    <row r="5590" customFormat="false" ht="15" hidden="false" customHeight="false" outlineLevel="0" collapsed="false">
      <c r="A5590" s="2" t="s">
        <v>2224</v>
      </c>
      <c r="B5590" s="2" t="s">
        <v>45</v>
      </c>
      <c r="C5590" s="2" t="s">
        <v>4086</v>
      </c>
      <c r="D5590" s="11" t="n">
        <v>23850</v>
      </c>
      <c r="E5590" s="31" t="n">
        <v>5.5</v>
      </c>
      <c r="F5590" s="31" t="n">
        <v>68</v>
      </c>
      <c r="G5590" s="31" t="n">
        <v>50.8</v>
      </c>
      <c r="H5590" s="2" t="s">
        <v>671</v>
      </c>
    </row>
    <row r="5591" customFormat="false" ht="15" hidden="false" customHeight="false" outlineLevel="0" collapsed="false">
      <c r="A5591" s="2" t="s">
        <v>2224</v>
      </c>
      <c r="B5591" s="2" t="s">
        <v>45</v>
      </c>
      <c r="C5591" s="2" t="s">
        <v>4087</v>
      </c>
      <c r="D5591" s="2"/>
      <c r="E5591" s="2"/>
      <c r="F5591" s="2"/>
      <c r="G5591" s="2"/>
      <c r="H5591" s="2" t="s">
        <v>668</v>
      </c>
    </row>
    <row r="5592" customFormat="false" ht="15" hidden="false" customHeight="false" outlineLevel="0" collapsed="false">
      <c r="A5592" s="2" t="s">
        <v>2224</v>
      </c>
      <c r="B5592" s="2" t="s">
        <v>46</v>
      </c>
      <c r="C5592" s="2" t="s">
        <v>4085</v>
      </c>
      <c r="D5592" s="11" t="n">
        <v>301</v>
      </c>
      <c r="E5592" s="31" t="n">
        <v>93.5</v>
      </c>
      <c r="F5592" s="31" t="n">
        <v>78.9</v>
      </c>
      <c r="G5592" s="31" t="n">
        <v>87.4</v>
      </c>
      <c r="H5592" s="2" t="s">
        <v>671</v>
      </c>
    </row>
    <row r="5593" customFormat="false" ht="15" hidden="false" customHeight="false" outlineLevel="0" collapsed="false">
      <c r="A5593" s="2" t="s">
        <v>2224</v>
      </c>
      <c r="B5593" s="2" t="s">
        <v>46</v>
      </c>
      <c r="C5593" s="2" t="s">
        <v>4086</v>
      </c>
      <c r="D5593" s="11" t="n">
        <v>320</v>
      </c>
      <c r="E5593" s="31" t="n">
        <v>81.9</v>
      </c>
      <c r="F5593" s="2"/>
      <c r="G5593" s="31" t="n">
        <v>27.8</v>
      </c>
      <c r="H5593" s="2" t="s">
        <v>668</v>
      </c>
    </row>
    <row r="5594" customFormat="false" ht="15" hidden="false" customHeight="false" outlineLevel="0" collapsed="false">
      <c r="A5594" s="2" t="s">
        <v>2224</v>
      </c>
      <c r="B5594" s="2" t="s">
        <v>46</v>
      </c>
      <c r="C5594" s="2" t="s">
        <v>4087</v>
      </c>
      <c r="D5594" s="2"/>
      <c r="E5594" s="2"/>
      <c r="F5594" s="2"/>
      <c r="G5594" s="2"/>
      <c r="H5594" s="2" t="s">
        <v>668</v>
      </c>
    </row>
    <row r="5595" customFormat="false" ht="15" hidden="false" customHeight="false" outlineLevel="0" collapsed="false">
      <c r="A5595" s="2" t="s">
        <v>2224</v>
      </c>
      <c r="B5595" s="2" t="s">
        <v>47</v>
      </c>
      <c r="C5595" s="2" t="s">
        <v>4085</v>
      </c>
      <c r="D5595" s="11" t="n">
        <v>1050659</v>
      </c>
      <c r="E5595" s="31" t="n">
        <v>34.8</v>
      </c>
      <c r="F5595" s="31" t="n">
        <v>84.6</v>
      </c>
      <c r="G5595" s="31" t="n">
        <v>68.1</v>
      </c>
      <c r="H5595" s="2" t="s">
        <v>671</v>
      </c>
    </row>
    <row r="5596" customFormat="false" ht="15" hidden="false" customHeight="false" outlineLevel="0" collapsed="false">
      <c r="A5596" s="2" t="s">
        <v>2224</v>
      </c>
      <c r="B5596" s="2" t="s">
        <v>47</v>
      </c>
      <c r="C5596" s="2" t="s">
        <v>4086</v>
      </c>
      <c r="D5596" s="11" t="n">
        <v>1023240</v>
      </c>
      <c r="E5596" s="31" t="n">
        <v>71.8</v>
      </c>
      <c r="F5596" s="31" t="n">
        <v>100</v>
      </c>
      <c r="G5596" s="31" t="n">
        <v>87.6</v>
      </c>
      <c r="H5596" s="2" t="s">
        <v>671</v>
      </c>
    </row>
    <row r="5597" customFormat="false" ht="15" hidden="false" customHeight="false" outlineLevel="0" collapsed="false">
      <c r="A5597" s="2" t="s">
        <v>2224</v>
      </c>
      <c r="B5597" s="2" t="s">
        <v>47</v>
      </c>
      <c r="C5597" s="2" t="s">
        <v>4087</v>
      </c>
      <c r="D5597" s="11" t="n">
        <v>1087719</v>
      </c>
      <c r="E5597" s="31" t="n">
        <v>62.4</v>
      </c>
      <c r="F5597" s="31" t="n">
        <v>80</v>
      </c>
      <c r="G5597" s="31" t="n">
        <v>81.9</v>
      </c>
      <c r="H5597" s="2" t="s">
        <v>671</v>
      </c>
    </row>
    <row r="5598" customFormat="false" ht="15" hidden="false" customHeight="false" outlineLevel="0" collapsed="false">
      <c r="A5598" s="2" t="s">
        <v>2394</v>
      </c>
      <c r="B5598" s="2" t="s">
        <v>4104</v>
      </c>
      <c r="C5598" s="2" t="s">
        <v>4085</v>
      </c>
      <c r="D5598" s="2"/>
      <c r="E5598" s="31" t="n">
        <v>42.1</v>
      </c>
      <c r="F5598" s="31" t="n">
        <v>45.6</v>
      </c>
      <c r="G5598" s="31" t="n">
        <v>54.4</v>
      </c>
      <c r="H5598" s="2" t="s">
        <v>671</v>
      </c>
    </row>
    <row r="5599" customFormat="false" ht="15" hidden="false" customHeight="false" outlineLevel="0" collapsed="false">
      <c r="A5599" s="2" t="s">
        <v>2394</v>
      </c>
      <c r="B5599" s="2" t="s">
        <v>4104</v>
      </c>
      <c r="C5599" s="2" t="s">
        <v>4086</v>
      </c>
      <c r="D5599" s="2"/>
      <c r="E5599" s="31" t="n">
        <v>55.6</v>
      </c>
      <c r="F5599" s="31" t="n">
        <v>36.9</v>
      </c>
      <c r="G5599" s="31" t="n">
        <v>39.7</v>
      </c>
      <c r="H5599" s="2" t="s">
        <v>668</v>
      </c>
    </row>
    <row r="5600" customFormat="false" ht="15" hidden="false" customHeight="false" outlineLevel="0" collapsed="false">
      <c r="A5600" s="2" t="s">
        <v>2394</v>
      </c>
      <c r="B5600" s="2" t="s">
        <v>4104</v>
      </c>
      <c r="C5600" s="2" t="s">
        <v>4087</v>
      </c>
      <c r="D5600" s="2"/>
      <c r="E5600" s="31" t="n">
        <v>39.7</v>
      </c>
      <c r="F5600" s="31" t="n">
        <v>4</v>
      </c>
      <c r="G5600" s="31" t="n">
        <v>60.2</v>
      </c>
      <c r="H5600" s="2" t="s">
        <v>668</v>
      </c>
    </row>
    <row r="5601" customFormat="false" ht="15" hidden="false" customHeight="false" outlineLevel="0" collapsed="false">
      <c r="A5601" s="2" t="s">
        <v>2394</v>
      </c>
      <c r="B5601" s="2" t="s">
        <v>45</v>
      </c>
      <c r="C5601" s="2" t="s">
        <v>4085</v>
      </c>
      <c r="D5601" s="11" t="n">
        <v>136138</v>
      </c>
      <c r="E5601" s="31" t="n">
        <v>4.5</v>
      </c>
      <c r="F5601" s="31" t="n">
        <v>77.4</v>
      </c>
      <c r="G5601" s="31" t="n">
        <v>4.1</v>
      </c>
      <c r="H5601" s="2" t="s">
        <v>671</v>
      </c>
    </row>
    <row r="5602" customFormat="false" ht="15" hidden="false" customHeight="false" outlineLevel="0" collapsed="false">
      <c r="A5602" s="2" t="s">
        <v>2394</v>
      </c>
      <c r="B5602" s="2" t="s">
        <v>45</v>
      </c>
      <c r="C5602" s="2" t="s">
        <v>4086</v>
      </c>
      <c r="D5602" s="11" t="n">
        <v>140570</v>
      </c>
      <c r="E5602" s="2"/>
      <c r="F5602" s="31" t="n">
        <v>57.1</v>
      </c>
      <c r="G5602" s="31" t="n">
        <v>12.6</v>
      </c>
      <c r="H5602" s="2" t="s">
        <v>668</v>
      </c>
    </row>
    <row r="5603" customFormat="false" ht="15" hidden="false" customHeight="false" outlineLevel="0" collapsed="false">
      <c r="A5603" s="2" t="s">
        <v>2394</v>
      </c>
      <c r="B5603" s="2" t="s">
        <v>45</v>
      </c>
      <c r="C5603" s="2" t="s">
        <v>4087</v>
      </c>
      <c r="D5603" s="2"/>
      <c r="E5603" s="2"/>
      <c r="F5603" s="2"/>
      <c r="G5603" s="2"/>
      <c r="H5603" s="2" t="s">
        <v>668</v>
      </c>
    </row>
    <row r="5604" customFormat="false" ht="15" hidden="false" customHeight="false" outlineLevel="0" collapsed="false">
      <c r="A5604" s="2" t="s">
        <v>2394</v>
      </c>
      <c r="B5604" s="2" t="s">
        <v>46</v>
      </c>
      <c r="C5604" s="2" t="s">
        <v>4085</v>
      </c>
      <c r="D5604" s="11" t="n">
        <v>74470</v>
      </c>
      <c r="E5604" s="31" t="n">
        <v>88.3</v>
      </c>
      <c r="F5604" s="31" t="n">
        <v>22.8</v>
      </c>
      <c r="G5604" s="31" t="n">
        <v>93.8</v>
      </c>
      <c r="H5604" s="2" t="s">
        <v>671</v>
      </c>
    </row>
    <row r="5605" customFormat="false" ht="15" hidden="false" customHeight="false" outlineLevel="0" collapsed="false">
      <c r="A5605" s="2" t="s">
        <v>2394</v>
      </c>
      <c r="B5605" s="2" t="s">
        <v>46</v>
      </c>
      <c r="C5605" s="2" t="s">
        <v>4086</v>
      </c>
      <c r="D5605" s="11" t="n">
        <v>75520</v>
      </c>
      <c r="E5605" s="31" t="n">
        <v>88.2</v>
      </c>
      <c r="F5605" s="31" t="n">
        <v>12.4</v>
      </c>
      <c r="G5605" s="31" t="n">
        <v>95.1</v>
      </c>
      <c r="H5605" s="2" t="s">
        <v>671</v>
      </c>
    </row>
    <row r="5606" customFormat="false" ht="15" hidden="false" customHeight="false" outlineLevel="0" collapsed="false">
      <c r="A5606" s="2" t="s">
        <v>2394</v>
      </c>
      <c r="B5606" s="2" t="s">
        <v>46</v>
      </c>
      <c r="C5606" s="2" t="s">
        <v>4087</v>
      </c>
      <c r="D5606" s="2"/>
      <c r="E5606" s="2"/>
      <c r="F5606" s="2"/>
      <c r="G5606" s="2"/>
      <c r="H5606" s="2" t="s">
        <v>668</v>
      </c>
    </row>
    <row r="5607" customFormat="false" ht="15" hidden="false" customHeight="false" outlineLevel="0" collapsed="false">
      <c r="A5607" s="2" t="s">
        <v>2394</v>
      </c>
      <c r="B5607" s="2" t="s">
        <v>47</v>
      </c>
      <c r="C5607" s="2" t="s">
        <v>4085</v>
      </c>
      <c r="D5607" s="11" t="n">
        <v>7203</v>
      </c>
      <c r="E5607" s="31" t="n">
        <v>33.4</v>
      </c>
      <c r="F5607" s="31" t="n">
        <v>36.7</v>
      </c>
      <c r="G5607" s="31" t="n">
        <v>65.3</v>
      </c>
      <c r="H5607" s="2" t="s">
        <v>671</v>
      </c>
    </row>
    <row r="5608" customFormat="false" ht="15" hidden="false" customHeight="false" outlineLevel="0" collapsed="false">
      <c r="A5608" s="2" t="s">
        <v>2394</v>
      </c>
      <c r="B5608" s="2" t="s">
        <v>47</v>
      </c>
      <c r="C5608" s="2" t="s">
        <v>4086</v>
      </c>
      <c r="D5608" s="11" t="n">
        <v>7460</v>
      </c>
      <c r="E5608" s="31" t="n">
        <v>23.1</v>
      </c>
      <c r="F5608" s="31" t="n">
        <v>41.2</v>
      </c>
      <c r="G5608" s="31" t="n">
        <v>11.3</v>
      </c>
      <c r="H5608" s="2" t="s">
        <v>671</v>
      </c>
    </row>
    <row r="5609" customFormat="false" ht="15" hidden="false" customHeight="false" outlineLevel="0" collapsed="false">
      <c r="A5609" s="2" t="s">
        <v>2394</v>
      </c>
      <c r="B5609" s="2" t="s">
        <v>47</v>
      </c>
      <c r="C5609" s="2" t="s">
        <v>4087</v>
      </c>
      <c r="D5609" s="11" t="n">
        <v>7484</v>
      </c>
      <c r="E5609" s="31" t="n">
        <v>39.7</v>
      </c>
      <c r="F5609" s="31" t="n">
        <v>4</v>
      </c>
      <c r="G5609" s="31" t="n">
        <v>60.2</v>
      </c>
      <c r="H5609" s="2" t="s">
        <v>671</v>
      </c>
    </row>
    <row r="5610" customFormat="false" ht="15" hidden="false" customHeight="false" outlineLevel="0" collapsed="false">
      <c r="A5610" s="2" t="s">
        <v>652</v>
      </c>
      <c r="B5610" s="2" t="s">
        <v>4104</v>
      </c>
      <c r="C5610" s="2" t="s">
        <v>4085</v>
      </c>
      <c r="D5610" s="2"/>
      <c r="E5610" s="31" t="n">
        <v>3.3</v>
      </c>
      <c r="F5610" s="31" t="n">
        <v>23.1</v>
      </c>
      <c r="G5610" s="31" t="n">
        <v>77.2</v>
      </c>
      <c r="H5610" s="2" t="s">
        <v>671</v>
      </c>
    </row>
    <row r="5611" customFormat="false" ht="15" hidden="false" customHeight="false" outlineLevel="0" collapsed="false">
      <c r="A5611" s="2" t="s">
        <v>652</v>
      </c>
      <c r="B5611" s="2" t="s">
        <v>4104</v>
      </c>
      <c r="C5611" s="2" t="s">
        <v>4086</v>
      </c>
      <c r="D5611" s="2"/>
      <c r="E5611" s="31" t="n">
        <v>3.5</v>
      </c>
      <c r="F5611" s="31" t="n">
        <v>15.3</v>
      </c>
      <c r="G5611" s="31" t="n">
        <v>32</v>
      </c>
      <c r="H5611" s="2" t="s">
        <v>671</v>
      </c>
    </row>
    <row r="5612" customFormat="false" ht="15" hidden="false" customHeight="false" outlineLevel="0" collapsed="false">
      <c r="A5612" s="2" t="s">
        <v>652</v>
      </c>
      <c r="B5612" s="2" t="s">
        <v>4104</v>
      </c>
      <c r="C5612" s="2" t="s">
        <v>4087</v>
      </c>
      <c r="D5612" s="2"/>
      <c r="E5612" s="31" t="n">
        <v>3</v>
      </c>
      <c r="F5612" s="31" t="n">
        <v>12.6</v>
      </c>
      <c r="G5612" s="31" t="n">
        <v>56.5</v>
      </c>
      <c r="H5612" s="2" t="s">
        <v>671</v>
      </c>
    </row>
    <row r="5613" customFormat="false" ht="15" hidden="false" customHeight="false" outlineLevel="0" collapsed="false">
      <c r="A5613" s="2" t="s">
        <v>652</v>
      </c>
      <c r="B5613" s="2" t="s">
        <v>46</v>
      </c>
      <c r="C5613" s="2" t="s">
        <v>4085</v>
      </c>
      <c r="D5613" s="11" t="n">
        <v>549391</v>
      </c>
      <c r="E5613" s="31" t="n">
        <v>3.3</v>
      </c>
      <c r="F5613" s="31" t="n">
        <v>23.1</v>
      </c>
      <c r="G5613" s="31" t="n">
        <v>77.2</v>
      </c>
      <c r="H5613" s="2" t="s">
        <v>671</v>
      </c>
    </row>
    <row r="5614" customFormat="false" ht="15" hidden="false" customHeight="false" outlineLevel="0" collapsed="false">
      <c r="A5614" s="2" t="s">
        <v>652</v>
      </c>
      <c r="B5614" s="2" t="s">
        <v>46</v>
      </c>
      <c r="C5614" s="2" t="s">
        <v>4086</v>
      </c>
      <c r="D5614" s="11" t="n">
        <v>546080</v>
      </c>
      <c r="E5614" s="31" t="n">
        <v>3.5</v>
      </c>
      <c r="F5614" s="31" t="n">
        <v>15.3</v>
      </c>
      <c r="G5614" s="31" t="n">
        <v>32</v>
      </c>
      <c r="H5614" s="2" t="s">
        <v>671</v>
      </c>
    </row>
    <row r="5615" customFormat="false" ht="15" hidden="false" customHeight="false" outlineLevel="0" collapsed="false">
      <c r="A5615" s="2" t="s">
        <v>652</v>
      </c>
      <c r="B5615" s="2" t="s">
        <v>46</v>
      </c>
      <c r="C5615" s="2" t="s">
        <v>4087</v>
      </c>
      <c r="D5615" s="11" t="n">
        <v>544920</v>
      </c>
      <c r="E5615" s="31" t="n">
        <v>3</v>
      </c>
      <c r="F5615" s="31" t="n">
        <v>12.6</v>
      </c>
      <c r="G5615" s="31" t="n">
        <v>56.5</v>
      </c>
      <c r="H5615" s="2" t="s">
        <v>671</v>
      </c>
    </row>
    <row r="5616" customFormat="false" ht="15" hidden="false" customHeight="false" outlineLevel="0" collapsed="false">
      <c r="A5616" s="2" t="s">
        <v>1595</v>
      </c>
      <c r="B5616" s="2" t="s">
        <v>4104</v>
      </c>
      <c r="C5616" s="2" t="s">
        <v>4085</v>
      </c>
      <c r="D5616" s="2"/>
      <c r="E5616" s="31" t="n">
        <v>75.8</v>
      </c>
      <c r="F5616" s="31" t="n">
        <v>82.1</v>
      </c>
      <c r="G5616" s="2"/>
      <c r="H5616" s="2" t="s">
        <v>668</v>
      </c>
    </row>
    <row r="5617" customFormat="false" ht="15" hidden="false" customHeight="false" outlineLevel="0" collapsed="false">
      <c r="A5617" s="2" t="s">
        <v>1595</v>
      </c>
      <c r="B5617" s="2" t="s">
        <v>4104</v>
      </c>
      <c r="C5617" s="2" t="s">
        <v>4086</v>
      </c>
      <c r="D5617" s="2"/>
      <c r="E5617" s="31" t="n">
        <v>61.8</v>
      </c>
      <c r="F5617" s="31" t="n">
        <v>54.5</v>
      </c>
      <c r="G5617" s="31" t="n">
        <v>44.8</v>
      </c>
      <c r="H5617" s="2" t="s">
        <v>668</v>
      </c>
    </row>
    <row r="5618" customFormat="false" ht="15" hidden="false" customHeight="false" outlineLevel="0" collapsed="false">
      <c r="A5618" s="2" t="s">
        <v>1595</v>
      </c>
      <c r="B5618" s="2" t="s">
        <v>4104</v>
      </c>
      <c r="C5618" s="2" t="s">
        <v>4087</v>
      </c>
      <c r="D5618" s="2"/>
      <c r="E5618" s="31" t="n">
        <v>53.7</v>
      </c>
      <c r="F5618" s="31" t="n">
        <v>69.7</v>
      </c>
      <c r="G5618" s="31" t="n">
        <v>57</v>
      </c>
      <c r="H5618" s="2" t="s">
        <v>668</v>
      </c>
    </row>
    <row r="5619" customFormat="false" ht="15" hidden="false" customHeight="false" outlineLevel="0" collapsed="false">
      <c r="A5619" s="2" t="s">
        <v>1595</v>
      </c>
      <c r="B5619" s="2" t="s">
        <v>45</v>
      </c>
      <c r="C5619" s="2" t="s">
        <v>4085</v>
      </c>
      <c r="D5619" s="11" t="n">
        <v>37258</v>
      </c>
      <c r="E5619" s="31" t="n">
        <v>75.8</v>
      </c>
      <c r="F5619" s="31" t="n">
        <v>82.1</v>
      </c>
      <c r="G5619" s="2"/>
      <c r="H5619" s="2" t="s">
        <v>668</v>
      </c>
    </row>
    <row r="5620" customFormat="false" ht="15" hidden="false" customHeight="false" outlineLevel="0" collapsed="false">
      <c r="A5620" s="2" t="s">
        <v>1595</v>
      </c>
      <c r="B5620" s="2" t="s">
        <v>45</v>
      </c>
      <c r="C5620" s="2" t="s">
        <v>4086</v>
      </c>
      <c r="D5620" s="11" t="n">
        <v>39277</v>
      </c>
      <c r="E5620" s="31" t="n">
        <v>94.1</v>
      </c>
      <c r="F5620" s="31" t="n">
        <v>54.6</v>
      </c>
      <c r="G5620" s="31" t="n">
        <v>83.9</v>
      </c>
      <c r="H5620" s="2" t="s">
        <v>671</v>
      </c>
    </row>
    <row r="5621" customFormat="false" ht="15" hidden="false" customHeight="false" outlineLevel="0" collapsed="false">
      <c r="A5621" s="2" t="s">
        <v>1595</v>
      </c>
      <c r="B5621" s="2" t="s">
        <v>45</v>
      </c>
      <c r="C5621" s="2" t="s">
        <v>4087</v>
      </c>
      <c r="D5621" s="11" t="n">
        <v>40860</v>
      </c>
      <c r="E5621" s="31" t="n">
        <v>79.5</v>
      </c>
      <c r="F5621" s="31" t="n">
        <v>67.1</v>
      </c>
      <c r="G5621" s="31" t="n">
        <v>95.3</v>
      </c>
      <c r="H5621" s="2" t="s">
        <v>668</v>
      </c>
    </row>
    <row r="5622" customFormat="false" ht="15" hidden="false" customHeight="false" outlineLevel="0" collapsed="false">
      <c r="A5622" s="2" t="s">
        <v>1595</v>
      </c>
      <c r="B5622" s="2" t="s">
        <v>46</v>
      </c>
      <c r="C5622" s="2" t="s">
        <v>4085</v>
      </c>
      <c r="D5622" s="2"/>
      <c r="E5622" s="2"/>
      <c r="F5622" s="2"/>
      <c r="G5622" s="2"/>
      <c r="H5622" s="2" t="s">
        <v>668</v>
      </c>
    </row>
    <row r="5623" customFormat="false" ht="15" hidden="false" customHeight="false" outlineLevel="0" collapsed="false">
      <c r="A5623" s="2" t="s">
        <v>1595</v>
      </c>
      <c r="B5623" s="2" t="s">
        <v>46</v>
      </c>
      <c r="C5623" s="2" t="s">
        <v>4086</v>
      </c>
      <c r="D5623" s="11" t="n">
        <v>13990</v>
      </c>
      <c r="E5623" s="31" t="n">
        <v>67.6</v>
      </c>
      <c r="F5623" s="31" t="n">
        <v>33.1</v>
      </c>
      <c r="G5623" s="2"/>
      <c r="H5623" s="2" t="s">
        <v>668</v>
      </c>
    </row>
    <row r="5624" customFormat="false" ht="15" hidden="false" customHeight="false" outlineLevel="0" collapsed="false">
      <c r="A5624" s="2" t="s">
        <v>1595</v>
      </c>
      <c r="B5624" s="2" t="s">
        <v>46</v>
      </c>
      <c r="C5624" s="2" t="s">
        <v>4087</v>
      </c>
      <c r="D5624" s="11" t="n">
        <v>14790</v>
      </c>
      <c r="E5624" s="31" t="n">
        <v>65.3</v>
      </c>
      <c r="F5624" s="31" t="n">
        <v>51.9</v>
      </c>
      <c r="G5624" s="31" t="n">
        <v>43.8</v>
      </c>
      <c r="H5624" s="2" t="s">
        <v>671</v>
      </c>
    </row>
    <row r="5625" customFormat="false" ht="15" hidden="false" customHeight="false" outlineLevel="0" collapsed="false">
      <c r="A5625" s="2" t="s">
        <v>1595</v>
      </c>
      <c r="B5625" s="2" t="s">
        <v>47</v>
      </c>
      <c r="C5625" s="2" t="s">
        <v>4085</v>
      </c>
      <c r="D5625" s="2"/>
      <c r="E5625" s="2"/>
      <c r="F5625" s="2"/>
      <c r="G5625" s="2"/>
      <c r="H5625" s="2" t="s">
        <v>668</v>
      </c>
    </row>
    <row r="5626" customFormat="false" ht="15" hidden="false" customHeight="false" outlineLevel="0" collapsed="false">
      <c r="A5626" s="2" t="s">
        <v>1595</v>
      </c>
      <c r="B5626" s="2" t="s">
        <v>47</v>
      </c>
      <c r="C5626" s="2" t="s">
        <v>4086</v>
      </c>
      <c r="D5626" s="11" t="n">
        <v>995565</v>
      </c>
      <c r="E5626" s="31" t="n">
        <v>23.8</v>
      </c>
      <c r="F5626" s="31" t="n">
        <v>75.8</v>
      </c>
      <c r="G5626" s="31" t="n">
        <v>5.6</v>
      </c>
      <c r="H5626" s="2" t="s">
        <v>671</v>
      </c>
    </row>
    <row r="5627" customFormat="false" ht="15" hidden="false" customHeight="false" outlineLevel="0" collapsed="false">
      <c r="A5627" s="2" t="s">
        <v>1595</v>
      </c>
      <c r="B5627" s="2" t="s">
        <v>47</v>
      </c>
      <c r="C5627" s="2" t="s">
        <v>4087</v>
      </c>
      <c r="D5627" s="11" t="n">
        <v>1039689</v>
      </c>
      <c r="E5627" s="31" t="n">
        <v>16.2</v>
      </c>
      <c r="F5627" s="31" t="n">
        <v>90</v>
      </c>
      <c r="G5627" s="31" t="n">
        <v>32</v>
      </c>
      <c r="H5627" s="2" t="s">
        <v>671</v>
      </c>
    </row>
    <row r="5628" customFormat="false" ht="15" hidden="false" customHeight="false" outlineLevel="0" collapsed="false">
      <c r="A5628" s="2" t="s">
        <v>634</v>
      </c>
      <c r="B5628" s="2" t="s">
        <v>4104</v>
      </c>
      <c r="C5628" s="2" t="s">
        <v>4085</v>
      </c>
      <c r="D5628" s="2"/>
      <c r="E5628" s="31" t="n">
        <v>47.6</v>
      </c>
      <c r="F5628" s="31" t="n">
        <v>96.7</v>
      </c>
      <c r="G5628" s="31" t="n">
        <v>42.2</v>
      </c>
      <c r="H5628" s="2" t="s">
        <v>671</v>
      </c>
    </row>
    <row r="5629" customFormat="false" ht="15" hidden="false" customHeight="false" outlineLevel="0" collapsed="false">
      <c r="A5629" s="2" t="s">
        <v>634</v>
      </c>
      <c r="B5629" s="2" t="s">
        <v>4104</v>
      </c>
      <c r="C5629" s="2" t="s">
        <v>4086</v>
      </c>
      <c r="D5629" s="2"/>
      <c r="E5629" s="31" t="n">
        <v>21.7</v>
      </c>
      <c r="F5629" s="31" t="n">
        <v>78.8</v>
      </c>
      <c r="G5629" s="31" t="n">
        <v>46.1</v>
      </c>
      <c r="H5629" s="2" t="s">
        <v>671</v>
      </c>
    </row>
    <row r="5630" customFormat="false" ht="15" hidden="false" customHeight="false" outlineLevel="0" collapsed="false">
      <c r="A5630" s="2" t="s">
        <v>634</v>
      </c>
      <c r="B5630" s="2" t="s">
        <v>4104</v>
      </c>
      <c r="C5630" s="2" t="s">
        <v>4087</v>
      </c>
      <c r="D5630" s="2"/>
      <c r="E5630" s="31" t="n">
        <v>9.5</v>
      </c>
      <c r="F5630" s="31" t="n">
        <v>88</v>
      </c>
      <c r="G5630" s="31" t="n">
        <v>48</v>
      </c>
      <c r="H5630" s="2" t="s">
        <v>671</v>
      </c>
    </row>
    <row r="5631" customFormat="false" ht="15" hidden="false" customHeight="false" outlineLevel="0" collapsed="false">
      <c r="A5631" s="2" t="s">
        <v>634</v>
      </c>
      <c r="B5631" s="2" t="s">
        <v>47</v>
      </c>
      <c r="C5631" s="2" t="s">
        <v>4085</v>
      </c>
      <c r="D5631" s="11" t="n">
        <v>7511</v>
      </c>
      <c r="E5631" s="31" t="n">
        <v>47.6</v>
      </c>
      <c r="F5631" s="31" t="n">
        <v>96.7</v>
      </c>
      <c r="G5631" s="31" t="n">
        <v>42.2</v>
      </c>
      <c r="H5631" s="2" t="s">
        <v>671</v>
      </c>
    </row>
    <row r="5632" customFormat="false" ht="15" hidden="false" customHeight="false" outlineLevel="0" collapsed="false">
      <c r="A5632" s="2" t="s">
        <v>634</v>
      </c>
      <c r="B5632" s="2" t="s">
        <v>47</v>
      </c>
      <c r="C5632" s="2" t="s">
        <v>4086</v>
      </c>
      <c r="D5632" s="11" t="n">
        <v>8014</v>
      </c>
      <c r="E5632" s="31" t="n">
        <v>21.7</v>
      </c>
      <c r="F5632" s="31" t="n">
        <v>78.8</v>
      </c>
      <c r="G5632" s="31" t="n">
        <v>46.1</v>
      </c>
      <c r="H5632" s="2" t="s">
        <v>671</v>
      </c>
    </row>
    <row r="5633" customFormat="false" ht="15" hidden="false" customHeight="false" outlineLevel="0" collapsed="false">
      <c r="A5633" s="2" t="s">
        <v>634</v>
      </c>
      <c r="B5633" s="2" t="s">
        <v>47</v>
      </c>
      <c r="C5633" s="2" t="s">
        <v>4087</v>
      </c>
      <c r="D5633" s="11" t="n">
        <v>8371</v>
      </c>
      <c r="E5633" s="31" t="n">
        <v>9.5</v>
      </c>
      <c r="F5633" s="31" t="n">
        <v>88</v>
      </c>
      <c r="G5633" s="31" t="n">
        <v>48</v>
      </c>
      <c r="H5633" s="2" t="s">
        <v>671</v>
      </c>
    </row>
    <row r="5634" customFormat="false" ht="15" hidden="false" customHeight="false" outlineLevel="0" collapsed="false">
      <c r="A5634" s="2" t="s">
        <v>2624</v>
      </c>
      <c r="B5634" s="2" t="s">
        <v>4104</v>
      </c>
      <c r="C5634" s="2" t="s">
        <v>4085</v>
      </c>
      <c r="D5634" s="2"/>
      <c r="E5634" s="31" t="n">
        <v>51.4</v>
      </c>
      <c r="F5634" s="31" t="n">
        <v>91.1</v>
      </c>
      <c r="G5634" s="31" t="n">
        <v>85.3</v>
      </c>
      <c r="H5634" s="2" t="s">
        <v>671</v>
      </c>
    </row>
    <row r="5635" customFormat="false" ht="15" hidden="false" customHeight="false" outlineLevel="0" collapsed="false">
      <c r="A5635" s="2" t="s">
        <v>2624</v>
      </c>
      <c r="B5635" s="2" t="s">
        <v>4104</v>
      </c>
      <c r="C5635" s="2" t="s">
        <v>4086</v>
      </c>
      <c r="D5635" s="2"/>
      <c r="E5635" s="31" t="n">
        <v>45.8</v>
      </c>
      <c r="F5635" s="31" t="n">
        <v>83</v>
      </c>
      <c r="G5635" s="31" t="n">
        <v>88.1</v>
      </c>
      <c r="H5635" s="2" t="s">
        <v>668</v>
      </c>
    </row>
    <row r="5636" customFormat="false" ht="15" hidden="false" customHeight="false" outlineLevel="0" collapsed="false">
      <c r="A5636" s="2" t="s">
        <v>2624</v>
      </c>
      <c r="B5636" s="2" t="s">
        <v>4104</v>
      </c>
      <c r="C5636" s="2" t="s">
        <v>4087</v>
      </c>
      <c r="D5636" s="2"/>
      <c r="E5636" s="31" t="n">
        <v>52.8</v>
      </c>
      <c r="F5636" s="31" t="n">
        <v>78.8</v>
      </c>
      <c r="G5636" s="31" t="n">
        <v>86.9</v>
      </c>
      <c r="H5636" s="2" t="s">
        <v>668</v>
      </c>
    </row>
    <row r="5637" customFormat="false" ht="15" hidden="false" customHeight="false" outlineLevel="0" collapsed="false">
      <c r="A5637" s="2" t="s">
        <v>2624</v>
      </c>
      <c r="B5637" s="2" t="s">
        <v>46</v>
      </c>
      <c r="C5637" s="2" t="s">
        <v>4085</v>
      </c>
      <c r="D5637" s="11" t="n">
        <v>11013</v>
      </c>
      <c r="E5637" s="31" t="n">
        <v>95.1</v>
      </c>
      <c r="F5637" s="31" t="n">
        <v>82.4</v>
      </c>
      <c r="G5637" s="31" t="n">
        <v>89.5</v>
      </c>
      <c r="H5637" s="2" t="s">
        <v>671</v>
      </c>
    </row>
    <row r="5638" customFormat="false" ht="15" hidden="false" customHeight="false" outlineLevel="0" collapsed="false">
      <c r="A5638" s="2" t="s">
        <v>2624</v>
      </c>
      <c r="B5638" s="2" t="s">
        <v>46</v>
      </c>
      <c r="C5638" s="2" t="s">
        <v>4086</v>
      </c>
      <c r="D5638" s="11" t="n">
        <v>11610</v>
      </c>
      <c r="E5638" s="31" t="n">
        <v>90.8</v>
      </c>
      <c r="F5638" s="31" t="n">
        <v>86.5</v>
      </c>
      <c r="G5638" s="31" t="n">
        <v>88.1</v>
      </c>
      <c r="H5638" s="2" t="s">
        <v>671</v>
      </c>
    </row>
    <row r="5639" customFormat="false" ht="15" hidden="false" customHeight="false" outlineLevel="0" collapsed="false">
      <c r="A5639" s="2" t="s">
        <v>2624</v>
      </c>
      <c r="B5639" s="2" t="s">
        <v>46</v>
      </c>
      <c r="C5639" s="2" t="s">
        <v>4087</v>
      </c>
      <c r="D5639" s="11" t="n">
        <v>12060</v>
      </c>
      <c r="E5639" s="31" t="n">
        <v>95.1</v>
      </c>
      <c r="F5639" s="31" t="n">
        <v>65.1</v>
      </c>
      <c r="G5639" s="2"/>
      <c r="H5639" s="2" t="s">
        <v>668</v>
      </c>
    </row>
    <row r="5640" customFormat="false" ht="15" hidden="false" customHeight="false" outlineLevel="0" collapsed="false">
      <c r="A5640" s="2" t="s">
        <v>2624</v>
      </c>
      <c r="B5640" s="2" t="s">
        <v>47</v>
      </c>
      <c r="C5640" s="2" t="s">
        <v>4085</v>
      </c>
      <c r="D5640" s="11" t="n">
        <v>53147</v>
      </c>
      <c r="E5640" s="31" t="n">
        <v>7.8</v>
      </c>
      <c r="F5640" s="31" t="n">
        <v>99.7</v>
      </c>
      <c r="G5640" s="31" t="n">
        <v>81.1</v>
      </c>
      <c r="H5640" s="2" t="s">
        <v>671</v>
      </c>
    </row>
    <row r="5641" customFormat="false" ht="15" hidden="false" customHeight="false" outlineLevel="0" collapsed="false">
      <c r="A5641" s="2" t="s">
        <v>2624</v>
      </c>
      <c r="B5641" s="2" t="s">
        <v>47</v>
      </c>
      <c r="C5641" s="2" t="s">
        <v>4086</v>
      </c>
      <c r="D5641" s="11" t="n">
        <v>91536</v>
      </c>
      <c r="E5641" s="31" t="n">
        <v>0.7</v>
      </c>
      <c r="F5641" s="31" t="n">
        <v>79.5</v>
      </c>
      <c r="G5641" s="2"/>
      <c r="H5641" s="2" t="s">
        <v>668</v>
      </c>
    </row>
    <row r="5642" customFormat="false" ht="15" hidden="false" customHeight="false" outlineLevel="0" collapsed="false">
      <c r="A5642" s="2" t="s">
        <v>2624</v>
      </c>
      <c r="B5642" s="2" t="s">
        <v>47</v>
      </c>
      <c r="C5642" s="2" t="s">
        <v>4087</v>
      </c>
      <c r="D5642" s="11" t="n">
        <v>95257</v>
      </c>
      <c r="E5642" s="31" t="n">
        <v>10.5</v>
      </c>
      <c r="F5642" s="31" t="n">
        <v>92.6</v>
      </c>
      <c r="G5642" s="31" t="n">
        <v>86.9</v>
      </c>
      <c r="H5642" s="2" t="s">
        <v>671</v>
      </c>
    </row>
    <row r="5643" customFormat="false" ht="15" hidden="false" customHeight="false" outlineLevel="0" collapsed="false">
      <c r="A5643" s="2" t="s">
        <v>1781</v>
      </c>
      <c r="B5643" s="2" t="s">
        <v>4104</v>
      </c>
      <c r="C5643" s="2" t="s">
        <v>4085</v>
      </c>
      <c r="D5643" s="2"/>
      <c r="E5643" s="31" t="n">
        <v>19.8</v>
      </c>
      <c r="F5643" s="31" t="n">
        <v>66.7</v>
      </c>
      <c r="G5643" s="31" t="n">
        <v>79.4</v>
      </c>
      <c r="H5643" s="2" t="s">
        <v>668</v>
      </c>
    </row>
    <row r="5644" customFormat="false" ht="15" hidden="false" customHeight="false" outlineLevel="0" collapsed="false">
      <c r="A5644" s="2" t="s">
        <v>1781</v>
      </c>
      <c r="B5644" s="2" t="s">
        <v>4104</v>
      </c>
      <c r="C5644" s="2" t="s">
        <v>4086</v>
      </c>
      <c r="D5644" s="2"/>
      <c r="E5644" s="31" t="n">
        <v>22.7</v>
      </c>
      <c r="F5644" s="31" t="n">
        <v>35.9</v>
      </c>
      <c r="G5644" s="31" t="n">
        <v>63.8</v>
      </c>
      <c r="H5644" s="2" t="s">
        <v>671</v>
      </c>
    </row>
    <row r="5645" customFormat="false" ht="15" hidden="false" customHeight="false" outlineLevel="0" collapsed="false">
      <c r="A5645" s="2" t="s">
        <v>1781</v>
      </c>
      <c r="B5645" s="2" t="s">
        <v>4104</v>
      </c>
      <c r="C5645" s="2" t="s">
        <v>4087</v>
      </c>
      <c r="D5645" s="2"/>
      <c r="E5645" s="31" t="n">
        <v>19.9</v>
      </c>
      <c r="F5645" s="31" t="n">
        <v>41.6</v>
      </c>
      <c r="G5645" s="31" t="n">
        <v>59.2</v>
      </c>
      <c r="H5645" s="2" t="s">
        <v>668</v>
      </c>
    </row>
    <row r="5646" customFormat="false" ht="15" hidden="false" customHeight="false" outlineLevel="0" collapsed="false">
      <c r="A5646" s="2" t="s">
        <v>1781</v>
      </c>
      <c r="B5646" s="2" t="s">
        <v>45</v>
      </c>
      <c r="C5646" s="2" t="s">
        <v>4085</v>
      </c>
      <c r="D5646" s="11" t="n">
        <v>21760</v>
      </c>
      <c r="E5646" s="31" t="n">
        <v>0.4</v>
      </c>
      <c r="F5646" s="31" t="n">
        <v>94.2</v>
      </c>
      <c r="G5646" s="31" t="n">
        <v>73.9</v>
      </c>
      <c r="H5646" s="2" t="s">
        <v>671</v>
      </c>
    </row>
    <row r="5647" customFormat="false" ht="15" hidden="false" customHeight="false" outlineLevel="0" collapsed="false">
      <c r="A5647" s="2" t="s">
        <v>1781</v>
      </c>
      <c r="B5647" s="2" t="s">
        <v>45</v>
      </c>
      <c r="C5647" s="2" t="s">
        <v>4086</v>
      </c>
      <c r="D5647" s="11" t="n">
        <v>23430</v>
      </c>
      <c r="E5647" s="31" t="n">
        <v>2.5</v>
      </c>
      <c r="F5647" s="31" t="n">
        <v>82.8</v>
      </c>
      <c r="G5647" s="31" t="n">
        <v>38</v>
      </c>
      <c r="H5647" s="2" t="s">
        <v>671</v>
      </c>
    </row>
    <row r="5648" customFormat="false" ht="15" hidden="false" customHeight="false" outlineLevel="0" collapsed="false">
      <c r="A5648" s="2" t="s">
        <v>1781</v>
      </c>
      <c r="B5648" s="2" t="s">
        <v>45</v>
      </c>
      <c r="C5648" s="2" t="s">
        <v>4087</v>
      </c>
      <c r="D5648" s="11" t="n">
        <v>24690</v>
      </c>
      <c r="E5648" s="31" t="n">
        <v>0.6</v>
      </c>
      <c r="F5648" s="31" t="n">
        <v>94</v>
      </c>
      <c r="G5648" s="2"/>
      <c r="H5648" s="2" t="s">
        <v>668</v>
      </c>
    </row>
    <row r="5649" customFormat="false" ht="15" hidden="false" customHeight="false" outlineLevel="0" collapsed="false">
      <c r="A5649" s="2" t="s">
        <v>1781</v>
      </c>
      <c r="B5649" s="2" t="s">
        <v>46</v>
      </c>
      <c r="C5649" s="2" t="s">
        <v>4085</v>
      </c>
      <c r="D5649" s="2"/>
      <c r="E5649" s="2"/>
      <c r="F5649" s="2"/>
      <c r="G5649" s="2"/>
      <c r="H5649" s="2" t="s">
        <v>668</v>
      </c>
    </row>
    <row r="5650" customFormat="false" ht="15" hidden="false" customHeight="false" outlineLevel="0" collapsed="false">
      <c r="A5650" s="2" t="s">
        <v>1781</v>
      </c>
      <c r="B5650" s="2" t="s">
        <v>46</v>
      </c>
      <c r="C5650" s="2" t="s">
        <v>4086</v>
      </c>
      <c r="D5650" s="11" t="n">
        <v>79150</v>
      </c>
      <c r="E5650" s="31" t="n">
        <v>26.1</v>
      </c>
      <c r="F5650" s="31" t="n">
        <v>14.9</v>
      </c>
      <c r="G5650" s="31" t="n">
        <v>54.7</v>
      </c>
      <c r="H5650" s="2" t="s">
        <v>671</v>
      </c>
    </row>
    <row r="5651" customFormat="false" ht="15" hidden="false" customHeight="false" outlineLevel="0" collapsed="false">
      <c r="A5651" s="2" t="s">
        <v>1781</v>
      </c>
      <c r="B5651" s="2" t="s">
        <v>46</v>
      </c>
      <c r="C5651" s="2" t="s">
        <v>4087</v>
      </c>
      <c r="D5651" s="11" t="n">
        <v>77450</v>
      </c>
      <c r="E5651" s="31" t="n">
        <v>32.1</v>
      </c>
      <c r="F5651" s="31" t="n">
        <v>11.6</v>
      </c>
      <c r="G5651" s="31" t="n">
        <v>51.3</v>
      </c>
      <c r="H5651" s="2" t="s">
        <v>671</v>
      </c>
    </row>
    <row r="5652" customFormat="false" ht="15" hidden="false" customHeight="false" outlineLevel="0" collapsed="false">
      <c r="A5652" s="2" t="s">
        <v>1781</v>
      </c>
      <c r="B5652" s="2" t="s">
        <v>47</v>
      </c>
      <c r="C5652" s="2" t="s">
        <v>4085</v>
      </c>
      <c r="D5652" s="11" t="n">
        <v>15702</v>
      </c>
      <c r="E5652" s="31" t="n">
        <v>39.1</v>
      </c>
      <c r="F5652" s="31" t="n">
        <v>39.2</v>
      </c>
      <c r="G5652" s="31" t="n">
        <v>85</v>
      </c>
      <c r="H5652" s="2" t="s">
        <v>671</v>
      </c>
    </row>
    <row r="5653" customFormat="false" ht="15" hidden="false" customHeight="false" outlineLevel="0" collapsed="false">
      <c r="A5653" s="2" t="s">
        <v>1781</v>
      </c>
      <c r="B5653" s="2" t="s">
        <v>47</v>
      </c>
      <c r="C5653" s="2" t="s">
        <v>4086</v>
      </c>
      <c r="D5653" s="11" t="n">
        <v>15350</v>
      </c>
      <c r="E5653" s="31" t="n">
        <v>39.5</v>
      </c>
      <c r="F5653" s="31" t="n">
        <v>10.1</v>
      </c>
      <c r="G5653" s="31" t="n">
        <v>98.7</v>
      </c>
      <c r="H5653" s="2" t="s">
        <v>671</v>
      </c>
    </row>
    <row r="5654" customFormat="false" ht="15" hidden="false" customHeight="false" outlineLevel="0" collapsed="false">
      <c r="A5654" s="2" t="s">
        <v>1781</v>
      </c>
      <c r="B5654" s="2" t="s">
        <v>47</v>
      </c>
      <c r="C5654" s="2" t="s">
        <v>4087</v>
      </c>
      <c r="D5654" s="11" t="n">
        <v>15904</v>
      </c>
      <c r="E5654" s="31" t="n">
        <v>27</v>
      </c>
      <c r="F5654" s="31" t="n">
        <v>19.1</v>
      </c>
      <c r="G5654" s="31" t="n">
        <v>67</v>
      </c>
      <c r="H5654" s="2" t="s">
        <v>671</v>
      </c>
    </row>
    <row r="5655" customFormat="false" ht="15" hidden="false" customHeight="false" outlineLevel="0" collapsed="false">
      <c r="A5655" s="2" t="s">
        <v>1032</v>
      </c>
      <c r="B5655" s="2" t="s">
        <v>4104</v>
      </c>
      <c r="C5655" s="2" t="s">
        <v>4085</v>
      </c>
      <c r="D5655" s="2"/>
      <c r="E5655" s="31" t="n">
        <v>79.3</v>
      </c>
      <c r="F5655" s="31" t="n">
        <v>26.9</v>
      </c>
      <c r="G5655" s="31" t="n">
        <v>54</v>
      </c>
      <c r="H5655" s="2" t="s">
        <v>671</v>
      </c>
    </row>
    <row r="5656" customFormat="false" ht="15" hidden="false" customHeight="false" outlineLevel="0" collapsed="false">
      <c r="A5656" s="2" t="s">
        <v>1032</v>
      </c>
      <c r="B5656" s="2" t="s">
        <v>4104</v>
      </c>
      <c r="C5656" s="2" t="s">
        <v>4086</v>
      </c>
      <c r="D5656" s="2"/>
      <c r="E5656" s="31" t="n">
        <v>64.7</v>
      </c>
      <c r="F5656" s="31" t="n">
        <v>29.8</v>
      </c>
      <c r="G5656" s="31" t="n">
        <v>38.3</v>
      </c>
      <c r="H5656" s="2" t="s">
        <v>668</v>
      </c>
    </row>
    <row r="5657" customFormat="false" ht="15" hidden="false" customHeight="false" outlineLevel="0" collapsed="false">
      <c r="A5657" s="2" t="s">
        <v>1032</v>
      </c>
      <c r="B5657" s="2" t="s">
        <v>4104</v>
      </c>
      <c r="C5657" s="2" t="s">
        <v>4087</v>
      </c>
      <c r="D5657" s="2"/>
      <c r="E5657" s="31" t="n">
        <v>71.4</v>
      </c>
      <c r="F5657" s="31" t="n">
        <v>11.8</v>
      </c>
      <c r="G5657" s="31" t="n">
        <v>27.9</v>
      </c>
      <c r="H5657" s="2" t="s">
        <v>668</v>
      </c>
    </row>
    <row r="5658" customFormat="false" ht="15" hidden="false" customHeight="false" outlineLevel="0" collapsed="false">
      <c r="A5658" s="2" t="s">
        <v>1032</v>
      </c>
      <c r="B5658" s="2" t="s">
        <v>45</v>
      </c>
      <c r="C5658" s="2" t="s">
        <v>4085</v>
      </c>
      <c r="D5658" s="11" t="n">
        <v>848476</v>
      </c>
      <c r="E5658" s="31" t="n">
        <v>79.1</v>
      </c>
      <c r="F5658" s="31" t="n">
        <v>13</v>
      </c>
      <c r="G5658" s="31" t="n">
        <v>40.2</v>
      </c>
      <c r="H5658" s="2" t="s">
        <v>671</v>
      </c>
    </row>
    <row r="5659" customFormat="false" ht="15" hidden="false" customHeight="false" outlineLevel="0" collapsed="false">
      <c r="A5659" s="2" t="s">
        <v>1032</v>
      </c>
      <c r="B5659" s="2" t="s">
        <v>45</v>
      </c>
      <c r="C5659" s="2" t="s">
        <v>4086</v>
      </c>
      <c r="D5659" s="11" t="n">
        <v>872228</v>
      </c>
      <c r="E5659" s="31" t="n">
        <v>69.8</v>
      </c>
      <c r="F5659" s="31" t="n">
        <v>5.7</v>
      </c>
      <c r="G5659" s="31" t="n">
        <v>36.1</v>
      </c>
      <c r="H5659" s="2" t="s">
        <v>671</v>
      </c>
    </row>
    <row r="5660" customFormat="false" ht="15" hidden="false" customHeight="false" outlineLevel="0" collapsed="false">
      <c r="A5660" s="2" t="s">
        <v>1032</v>
      </c>
      <c r="B5660" s="2" t="s">
        <v>45</v>
      </c>
      <c r="C5660" s="2" t="s">
        <v>4087</v>
      </c>
      <c r="D5660" s="11" t="n">
        <v>858793</v>
      </c>
      <c r="E5660" s="31" t="n">
        <v>51.1</v>
      </c>
      <c r="F5660" s="31" t="n">
        <v>3.6</v>
      </c>
      <c r="G5660" s="31" t="n">
        <v>35.6</v>
      </c>
      <c r="H5660" s="2" t="s">
        <v>671</v>
      </c>
    </row>
    <row r="5661" customFormat="false" ht="15" hidden="false" customHeight="false" outlineLevel="0" collapsed="false">
      <c r="A5661" s="2" t="s">
        <v>1032</v>
      </c>
      <c r="B5661" s="2" t="s">
        <v>46</v>
      </c>
      <c r="C5661" s="2" t="s">
        <v>4085</v>
      </c>
      <c r="D5661" s="11" t="n">
        <v>902225</v>
      </c>
      <c r="E5661" s="31" t="n">
        <v>81</v>
      </c>
      <c r="F5661" s="31" t="n">
        <v>5.1</v>
      </c>
      <c r="G5661" s="31" t="n">
        <v>34.2</v>
      </c>
      <c r="H5661" s="2" t="s">
        <v>671</v>
      </c>
    </row>
    <row r="5662" customFormat="false" ht="15" hidden="false" customHeight="false" outlineLevel="0" collapsed="false">
      <c r="A5662" s="2" t="s">
        <v>1032</v>
      </c>
      <c r="B5662" s="2" t="s">
        <v>46</v>
      </c>
      <c r="C5662" s="2" t="s">
        <v>4086</v>
      </c>
      <c r="D5662" s="2"/>
      <c r="E5662" s="2"/>
      <c r="F5662" s="2"/>
      <c r="G5662" s="31" t="n">
        <v>30.2</v>
      </c>
      <c r="H5662" s="2" t="s">
        <v>668</v>
      </c>
    </row>
    <row r="5663" customFormat="false" ht="15" hidden="false" customHeight="false" outlineLevel="0" collapsed="false">
      <c r="A5663" s="2" t="s">
        <v>1032</v>
      </c>
      <c r="B5663" s="2" t="s">
        <v>46</v>
      </c>
      <c r="C5663" s="2" t="s">
        <v>4087</v>
      </c>
      <c r="D5663" s="11" t="n">
        <v>885856</v>
      </c>
      <c r="E5663" s="31" t="n">
        <v>91.8</v>
      </c>
      <c r="F5663" s="31" t="n">
        <v>19.9</v>
      </c>
      <c r="G5663" s="31" t="n">
        <v>20.2</v>
      </c>
      <c r="H5663" s="2" t="s">
        <v>671</v>
      </c>
    </row>
    <row r="5664" customFormat="false" ht="15" hidden="false" customHeight="false" outlineLevel="0" collapsed="false">
      <c r="A5664" s="2" t="s">
        <v>1032</v>
      </c>
      <c r="B5664" s="2" t="s">
        <v>47</v>
      </c>
      <c r="C5664" s="2" t="s">
        <v>4085</v>
      </c>
      <c r="D5664" s="11" t="n">
        <v>37836</v>
      </c>
      <c r="E5664" s="31" t="n">
        <v>77.9</v>
      </c>
      <c r="F5664" s="31" t="n">
        <v>62.7</v>
      </c>
      <c r="G5664" s="31" t="n">
        <v>87.7</v>
      </c>
      <c r="H5664" s="2" t="s">
        <v>671</v>
      </c>
    </row>
    <row r="5665" customFormat="false" ht="15" hidden="false" customHeight="false" outlineLevel="0" collapsed="false">
      <c r="A5665" s="2" t="s">
        <v>1032</v>
      </c>
      <c r="B5665" s="2" t="s">
        <v>47</v>
      </c>
      <c r="C5665" s="2" t="s">
        <v>4086</v>
      </c>
      <c r="D5665" s="11" t="n">
        <v>38170</v>
      </c>
      <c r="E5665" s="31" t="n">
        <v>59.6</v>
      </c>
      <c r="F5665" s="31" t="n">
        <v>53.9</v>
      </c>
      <c r="G5665" s="31" t="n">
        <v>48.7</v>
      </c>
      <c r="H5665" s="2" t="s">
        <v>671</v>
      </c>
    </row>
    <row r="5666" customFormat="false" ht="15" hidden="false" customHeight="false" outlineLevel="0" collapsed="false">
      <c r="A5666" s="2" t="s">
        <v>1032</v>
      </c>
      <c r="B5666" s="2" t="s">
        <v>47</v>
      </c>
      <c r="C5666" s="2" t="s">
        <v>4087</v>
      </c>
      <c r="D5666" s="2"/>
      <c r="E5666" s="2"/>
      <c r="F5666" s="2"/>
      <c r="G5666" s="2"/>
      <c r="H5666" s="2" t="s">
        <v>668</v>
      </c>
    </row>
    <row r="5667" customFormat="false" ht="15" hidden="false" customHeight="false" outlineLevel="0" collapsed="false">
      <c r="A5667" s="2" t="s">
        <v>3046</v>
      </c>
      <c r="B5667" s="2" t="s">
        <v>4104</v>
      </c>
      <c r="C5667" s="2" t="s">
        <v>4085</v>
      </c>
      <c r="D5667" s="2"/>
      <c r="E5667" s="31" t="n">
        <v>72.6</v>
      </c>
      <c r="F5667" s="31" t="n">
        <v>34.6</v>
      </c>
      <c r="G5667" s="31" t="n">
        <v>54.1</v>
      </c>
      <c r="H5667" s="2" t="s">
        <v>671</v>
      </c>
    </row>
    <row r="5668" customFormat="false" ht="15" hidden="false" customHeight="false" outlineLevel="0" collapsed="false">
      <c r="A5668" s="2" t="s">
        <v>3046</v>
      </c>
      <c r="B5668" s="2" t="s">
        <v>4104</v>
      </c>
      <c r="C5668" s="2" t="s">
        <v>4086</v>
      </c>
      <c r="D5668" s="2"/>
      <c r="E5668" s="31" t="n">
        <v>36</v>
      </c>
      <c r="F5668" s="31" t="n">
        <v>16.6</v>
      </c>
      <c r="G5668" s="31" t="n">
        <v>77.5</v>
      </c>
      <c r="H5668" s="2" t="s">
        <v>671</v>
      </c>
    </row>
    <row r="5669" customFormat="false" ht="15" hidden="false" customHeight="false" outlineLevel="0" collapsed="false">
      <c r="A5669" s="2" t="s">
        <v>3046</v>
      </c>
      <c r="B5669" s="2" t="s">
        <v>4104</v>
      </c>
      <c r="C5669" s="2" t="s">
        <v>4087</v>
      </c>
      <c r="D5669" s="2"/>
      <c r="E5669" s="31" t="n">
        <v>59.4</v>
      </c>
      <c r="F5669" s="31" t="n">
        <v>39.1</v>
      </c>
      <c r="G5669" s="2"/>
      <c r="H5669" s="2" t="s">
        <v>668</v>
      </c>
    </row>
    <row r="5670" customFormat="false" ht="15" hidden="false" customHeight="false" outlineLevel="0" collapsed="false">
      <c r="A5670" s="2" t="s">
        <v>3046</v>
      </c>
      <c r="B5670" s="2" t="s">
        <v>46</v>
      </c>
      <c r="C5670" s="2" t="s">
        <v>4085</v>
      </c>
      <c r="D5670" s="11" t="n">
        <v>118320</v>
      </c>
      <c r="E5670" s="31" t="n">
        <v>72.6</v>
      </c>
      <c r="F5670" s="31" t="n">
        <v>34.6</v>
      </c>
      <c r="G5670" s="31" t="n">
        <v>54.1</v>
      </c>
      <c r="H5670" s="2" t="s">
        <v>671</v>
      </c>
    </row>
    <row r="5671" customFormat="false" ht="15" hidden="false" customHeight="false" outlineLevel="0" collapsed="false">
      <c r="A5671" s="2" t="s">
        <v>3046</v>
      </c>
      <c r="B5671" s="2" t="s">
        <v>46</v>
      </c>
      <c r="C5671" s="2" t="s">
        <v>4086</v>
      </c>
      <c r="D5671" s="11" t="n">
        <v>119110</v>
      </c>
      <c r="E5671" s="31" t="n">
        <v>36</v>
      </c>
      <c r="F5671" s="31" t="n">
        <v>16.6</v>
      </c>
      <c r="G5671" s="31" t="n">
        <v>77.5</v>
      </c>
      <c r="H5671" s="2" t="s">
        <v>671</v>
      </c>
    </row>
    <row r="5672" customFormat="false" ht="15" hidden="false" customHeight="false" outlineLevel="0" collapsed="false">
      <c r="A5672" s="2" t="s">
        <v>3046</v>
      </c>
      <c r="B5672" s="2" t="s">
        <v>46</v>
      </c>
      <c r="C5672" s="2" t="s">
        <v>4087</v>
      </c>
      <c r="D5672" s="11" t="n">
        <v>120070</v>
      </c>
      <c r="E5672" s="31" t="n">
        <v>59.4</v>
      </c>
      <c r="F5672" s="31" t="n">
        <v>39.1</v>
      </c>
      <c r="G5672" s="2"/>
      <c r="H5672" s="2" t="s">
        <v>668</v>
      </c>
    </row>
    <row r="5673" customFormat="false" ht="15" hidden="false" customHeight="false" outlineLevel="0" collapsed="false">
      <c r="A5673" s="2" t="s">
        <v>1509</v>
      </c>
      <c r="B5673" s="2" t="s">
        <v>4104</v>
      </c>
      <c r="C5673" s="2" t="s">
        <v>4085</v>
      </c>
      <c r="D5673" s="2"/>
      <c r="E5673" s="31" t="n">
        <v>65.3</v>
      </c>
      <c r="F5673" s="31" t="n">
        <v>79.8</v>
      </c>
      <c r="G5673" s="31" t="n">
        <v>40.7</v>
      </c>
      <c r="H5673" s="2" t="s">
        <v>668</v>
      </c>
    </row>
    <row r="5674" customFormat="false" ht="15" hidden="false" customHeight="false" outlineLevel="0" collapsed="false">
      <c r="A5674" s="2" t="s">
        <v>1509</v>
      </c>
      <c r="B5674" s="2" t="s">
        <v>4104</v>
      </c>
      <c r="C5674" s="2" t="s">
        <v>4086</v>
      </c>
      <c r="D5674" s="2"/>
      <c r="E5674" s="31" t="n">
        <v>51.7</v>
      </c>
      <c r="F5674" s="31" t="n">
        <v>94.2</v>
      </c>
      <c r="G5674" s="31" t="n">
        <v>24</v>
      </c>
      <c r="H5674" s="2" t="s">
        <v>668</v>
      </c>
    </row>
    <row r="5675" customFormat="false" ht="15" hidden="false" customHeight="false" outlineLevel="0" collapsed="false">
      <c r="A5675" s="2" t="s">
        <v>1509</v>
      </c>
      <c r="B5675" s="2" t="s">
        <v>4104</v>
      </c>
      <c r="C5675" s="2" t="s">
        <v>4087</v>
      </c>
      <c r="D5675" s="2"/>
      <c r="E5675" s="31" t="n">
        <v>57</v>
      </c>
      <c r="F5675" s="31" t="n">
        <v>57.8</v>
      </c>
      <c r="G5675" s="31" t="n">
        <v>51.3</v>
      </c>
      <c r="H5675" s="2" t="s">
        <v>668</v>
      </c>
    </row>
    <row r="5676" customFormat="false" ht="15" hidden="false" customHeight="false" outlineLevel="0" collapsed="false">
      <c r="A5676" s="2" t="s">
        <v>1509</v>
      </c>
      <c r="B5676" s="2" t="s">
        <v>45</v>
      </c>
      <c r="C5676" s="2" t="s">
        <v>4085</v>
      </c>
      <c r="D5676" s="11" t="n">
        <v>153156</v>
      </c>
      <c r="E5676" s="31" t="n">
        <v>58.3</v>
      </c>
      <c r="F5676" s="31" t="n">
        <v>61</v>
      </c>
      <c r="G5676" s="2"/>
      <c r="H5676" s="2" t="s">
        <v>671</v>
      </c>
    </row>
    <row r="5677" customFormat="false" ht="15" hidden="false" customHeight="false" outlineLevel="0" collapsed="false">
      <c r="A5677" s="2" t="s">
        <v>1509</v>
      </c>
      <c r="B5677" s="2" t="s">
        <v>45</v>
      </c>
      <c r="C5677" s="2" t="s">
        <v>4086</v>
      </c>
      <c r="D5677" s="2"/>
      <c r="E5677" s="2"/>
      <c r="F5677" s="2"/>
      <c r="G5677" s="2"/>
      <c r="H5677" s="2" t="s">
        <v>668</v>
      </c>
    </row>
    <row r="5678" customFormat="false" ht="15" hidden="false" customHeight="false" outlineLevel="0" collapsed="false">
      <c r="A5678" s="2" t="s">
        <v>1509</v>
      </c>
      <c r="B5678" s="2" t="s">
        <v>45</v>
      </c>
      <c r="C5678" s="2" t="s">
        <v>4087</v>
      </c>
      <c r="D5678" s="2"/>
      <c r="E5678" s="2"/>
      <c r="F5678" s="2"/>
      <c r="G5678" s="2"/>
      <c r="H5678" s="2" t="s">
        <v>668</v>
      </c>
    </row>
    <row r="5679" customFormat="false" ht="15" hidden="false" customHeight="false" outlineLevel="0" collapsed="false">
      <c r="A5679" s="2" t="s">
        <v>1509</v>
      </c>
      <c r="B5679" s="2" t="s">
        <v>46</v>
      </c>
      <c r="C5679" s="2" t="s">
        <v>4085</v>
      </c>
      <c r="D5679" s="11" t="n">
        <v>4670</v>
      </c>
      <c r="E5679" s="31" t="n">
        <v>85.7</v>
      </c>
      <c r="F5679" s="2"/>
      <c r="G5679" s="31" t="n">
        <v>67.4</v>
      </c>
      <c r="H5679" s="2" t="s">
        <v>668</v>
      </c>
    </row>
    <row r="5680" customFormat="false" ht="15" hidden="false" customHeight="false" outlineLevel="0" collapsed="false">
      <c r="A5680" s="2" t="s">
        <v>1509</v>
      </c>
      <c r="B5680" s="2" t="s">
        <v>46</v>
      </c>
      <c r="C5680" s="2" t="s">
        <v>4086</v>
      </c>
      <c r="D5680" s="2"/>
      <c r="E5680" s="2"/>
      <c r="F5680" s="2"/>
      <c r="G5680" s="2"/>
      <c r="H5680" s="2" t="s">
        <v>668</v>
      </c>
    </row>
    <row r="5681" customFormat="false" ht="15" hidden="false" customHeight="false" outlineLevel="0" collapsed="false">
      <c r="A5681" s="2" t="s">
        <v>1509</v>
      </c>
      <c r="B5681" s="2" t="s">
        <v>46</v>
      </c>
      <c r="C5681" s="2" t="s">
        <v>4087</v>
      </c>
      <c r="D5681" s="11" t="n">
        <v>4855</v>
      </c>
      <c r="E5681" s="31" t="n">
        <v>80.3</v>
      </c>
      <c r="F5681" s="31" t="n">
        <v>18.8</v>
      </c>
      <c r="G5681" s="31" t="n">
        <v>90.4</v>
      </c>
      <c r="H5681" s="2" t="s">
        <v>671</v>
      </c>
    </row>
    <row r="5682" customFormat="false" ht="15" hidden="false" customHeight="false" outlineLevel="0" collapsed="false">
      <c r="A5682" s="2" t="s">
        <v>1509</v>
      </c>
      <c r="B5682" s="2" t="s">
        <v>47</v>
      </c>
      <c r="C5682" s="2" t="s">
        <v>4085</v>
      </c>
      <c r="D5682" s="11" t="n">
        <v>36069</v>
      </c>
      <c r="E5682" s="31" t="n">
        <v>51.9</v>
      </c>
      <c r="F5682" s="31" t="n">
        <v>98.7</v>
      </c>
      <c r="G5682" s="31" t="n">
        <v>13.9</v>
      </c>
      <c r="H5682" s="2" t="s">
        <v>671</v>
      </c>
    </row>
    <row r="5683" customFormat="false" ht="15" hidden="false" customHeight="false" outlineLevel="0" collapsed="false">
      <c r="A5683" s="2" t="s">
        <v>1509</v>
      </c>
      <c r="B5683" s="2" t="s">
        <v>47</v>
      </c>
      <c r="C5683" s="2" t="s">
        <v>4086</v>
      </c>
      <c r="D5683" s="11" t="n">
        <v>39990</v>
      </c>
      <c r="E5683" s="31" t="n">
        <v>51.7</v>
      </c>
      <c r="F5683" s="31" t="n">
        <v>94.2</v>
      </c>
      <c r="G5683" s="31" t="n">
        <v>24</v>
      </c>
      <c r="H5683" s="2" t="s">
        <v>671</v>
      </c>
    </row>
    <row r="5684" customFormat="false" ht="15" hidden="false" customHeight="false" outlineLevel="0" collapsed="false">
      <c r="A5684" s="2" t="s">
        <v>1509</v>
      </c>
      <c r="B5684" s="2" t="s">
        <v>47</v>
      </c>
      <c r="C5684" s="2" t="s">
        <v>4087</v>
      </c>
      <c r="D5684" s="11" t="n">
        <v>42439</v>
      </c>
      <c r="E5684" s="31" t="n">
        <v>33.7</v>
      </c>
      <c r="F5684" s="31" t="n">
        <v>96.8</v>
      </c>
      <c r="G5684" s="31" t="n">
        <v>12.2</v>
      </c>
      <c r="H5684" s="2" t="s">
        <v>671</v>
      </c>
    </row>
    <row r="5685" customFormat="false" ht="15" hidden="false" customHeight="false" outlineLevel="0" collapsed="false">
      <c r="A5685" s="2" t="s">
        <v>802</v>
      </c>
      <c r="B5685" s="2" t="s">
        <v>4104</v>
      </c>
      <c r="C5685" s="2" t="s">
        <v>4085</v>
      </c>
      <c r="D5685" s="2"/>
      <c r="E5685" s="31" t="n">
        <v>60.6</v>
      </c>
      <c r="F5685" s="31" t="n">
        <v>72.1</v>
      </c>
      <c r="G5685" s="31" t="n">
        <v>27.1</v>
      </c>
      <c r="H5685" s="2" t="s">
        <v>671</v>
      </c>
    </row>
    <row r="5686" customFormat="false" ht="15" hidden="false" customHeight="false" outlineLevel="0" collapsed="false">
      <c r="A5686" s="2" t="s">
        <v>802</v>
      </c>
      <c r="B5686" s="2" t="s">
        <v>4104</v>
      </c>
      <c r="C5686" s="2" t="s">
        <v>4086</v>
      </c>
      <c r="D5686" s="2"/>
      <c r="E5686" s="31" t="n">
        <v>44.9</v>
      </c>
      <c r="F5686" s="31" t="n">
        <v>65.2</v>
      </c>
      <c r="G5686" s="31" t="n">
        <v>36.2</v>
      </c>
      <c r="H5686" s="2" t="s">
        <v>668</v>
      </c>
    </row>
    <row r="5687" customFormat="false" ht="15" hidden="false" customHeight="false" outlineLevel="0" collapsed="false">
      <c r="A5687" s="2" t="s">
        <v>802</v>
      </c>
      <c r="B5687" s="2" t="s">
        <v>4104</v>
      </c>
      <c r="C5687" s="2" t="s">
        <v>4087</v>
      </c>
      <c r="D5687" s="2"/>
      <c r="E5687" s="31" t="n">
        <v>68.2</v>
      </c>
      <c r="F5687" s="31" t="n">
        <v>58.4</v>
      </c>
      <c r="G5687" s="2"/>
      <c r="H5687" s="2" t="s">
        <v>668</v>
      </c>
    </row>
    <row r="5688" customFormat="false" ht="15" hidden="false" customHeight="false" outlineLevel="0" collapsed="false">
      <c r="A5688" s="2" t="s">
        <v>802</v>
      </c>
      <c r="B5688" s="2" t="s">
        <v>45</v>
      </c>
      <c r="C5688" s="2" t="s">
        <v>4085</v>
      </c>
      <c r="D5688" s="11" t="n">
        <v>24240</v>
      </c>
      <c r="E5688" s="31" t="n">
        <v>48</v>
      </c>
      <c r="F5688" s="31" t="n">
        <v>68.6</v>
      </c>
      <c r="G5688" s="2"/>
      <c r="H5688" s="2" t="s">
        <v>671</v>
      </c>
    </row>
    <row r="5689" customFormat="false" ht="15" hidden="false" customHeight="false" outlineLevel="0" collapsed="false">
      <c r="A5689" s="2" t="s">
        <v>802</v>
      </c>
      <c r="B5689" s="2" t="s">
        <v>45</v>
      </c>
      <c r="C5689" s="2" t="s">
        <v>4086</v>
      </c>
      <c r="D5689" s="11" t="n">
        <v>24060</v>
      </c>
      <c r="E5689" s="2"/>
      <c r="F5689" s="31" t="n">
        <v>29.2</v>
      </c>
      <c r="G5689" s="2"/>
      <c r="H5689" s="2" t="s">
        <v>668</v>
      </c>
    </row>
    <row r="5690" customFormat="false" ht="15" hidden="false" customHeight="false" outlineLevel="0" collapsed="false">
      <c r="A5690" s="2" t="s">
        <v>802</v>
      </c>
      <c r="B5690" s="2" t="s">
        <v>45</v>
      </c>
      <c r="C5690" s="2" t="s">
        <v>4087</v>
      </c>
      <c r="D5690" s="11" t="n">
        <v>24453</v>
      </c>
      <c r="E5690" s="31" t="n">
        <v>83.3</v>
      </c>
      <c r="F5690" s="31" t="n">
        <v>23.8</v>
      </c>
      <c r="G5690" s="2"/>
      <c r="H5690" s="2" t="s">
        <v>671</v>
      </c>
    </row>
    <row r="5691" customFormat="false" ht="15" hidden="false" customHeight="false" outlineLevel="0" collapsed="false">
      <c r="A5691" s="2" t="s">
        <v>802</v>
      </c>
      <c r="B5691" s="2" t="s">
        <v>46</v>
      </c>
      <c r="C5691" s="2" t="s">
        <v>4085</v>
      </c>
      <c r="D5691" s="11" t="n">
        <v>7570</v>
      </c>
      <c r="E5691" s="31" t="n">
        <v>73.4</v>
      </c>
      <c r="F5691" s="31" t="n">
        <v>61.4</v>
      </c>
      <c r="G5691" s="31" t="n">
        <v>25.8</v>
      </c>
      <c r="H5691" s="2" t="s">
        <v>671</v>
      </c>
    </row>
    <row r="5692" customFormat="false" ht="15" hidden="false" customHeight="false" outlineLevel="0" collapsed="false">
      <c r="A5692" s="2" t="s">
        <v>802</v>
      </c>
      <c r="B5692" s="2" t="s">
        <v>46</v>
      </c>
      <c r="C5692" s="2" t="s">
        <v>4086</v>
      </c>
      <c r="D5692" s="11" t="n">
        <v>8030</v>
      </c>
      <c r="E5692" s="31" t="n">
        <v>38.3</v>
      </c>
      <c r="F5692" s="31" t="n">
        <v>67.9</v>
      </c>
      <c r="G5692" s="31" t="n">
        <v>5.5</v>
      </c>
      <c r="H5692" s="2" t="s">
        <v>671</v>
      </c>
    </row>
    <row r="5693" customFormat="false" ht="15" hidden="false" customHeight="false" outlineLevel="0" collapsed="false">
      <c r="A5693" s="2" t="s">
        <v>802</v>
      </c>
      <c r="B5693" s="2" t="s">
        <v>46</v>
      </c>
      <c r="C5693" s="2" t="s">
        <v>4087</v>
      </c>
      <c r="D5693" s="11" t="n">
        <v>8422</v>
      </c>
      <c r="E5693" s="2"/>
      <c r="F5693" s="2"/>
      <c r="G5693" s="2"/>
      <c r="H5693" s="2" t="s">
        <v>668</v>
      </c>
    </row>
    <row r="5694" customFormat="false" ht="15" hidden="false" customHeight="false" outlineLevel="0" collapsed="false">
      <c r="A5694" s="2" t="s">
        <v>802</v>
      </c>
      <c r="B5694" s="2" t="s">
        <v>47</v>
      </c>
      <c r="C5694" s="2" t="s">
        <v>4085</v>
      </c>
      <c r="D5694" s="11" t="n">
        <v>14165</v>
      </c>
      <c r="E5694" s="31" t="n">
        <v>60.4</v>
      </c>
      <c r="F5694" s="31" t="n">
        <v>86.3</v>
      </c>
      <c r="G5694" s="31" t="n">
        <v>28.4</v>
      </c>
      <c r="H5694" s="2" t="s">
        <v>671</v>
      </c>
    </row>
    <row r="5695" customFormat="false" ht="15" hidden="false" customHeight="false" outlineLevel="0" collapsed="false">
      <c r="A5695" s="2" t="s">
        <v>802</v>
      </c>
      <c r="B5695" s="2" t="s">
        <v>47</v>
      </c>
      <c r="C5695" s="2" t="s">
        <v>4086</v>
      </c>
      <c r="D5695" s="11" t="n">
        <v>14870</v>
      </c>
      <c r="E5695" s="31" t="n">
        <v>51.5</v>
      </c>
      <c r="F5695" s="31" t="n">
        <v>98.4</v>
      </c>
      <c r="G5695" s="31" t="n">
        <v>66.8</v>
      </c>
      <c r="H5695" s="2" t="s">
        <v>671</v>
      </c>
    </row>
    <row r="5696" customFormat="false" ht="15" hidden="false" customHeight="false" outlineLevel="0" collapsed="false">
      <c r="A5696" s="2" t="s">
        <v>802</v>
      </c>
      <c r="B5696" s="2" t="s">
        <v>47</v>
      </c>
      <c r="C5696" s="2" t="s">
        <v>4087</v>
      </c>
      <c r="D5696" s="11" t="n">
        <v>16437</v>
      </c>
      <c r="E5696" s="31" t="n">
        <v>53.2</v>
      </c>
      <c r="F5696" s="31" t="n">
        <v>92.9</v>
      </c>
      <c r="G5696" s="2"/>
      <c r="H5696" s="2" t="s">
        <v>668</v>
      </c>
    </row>
    <row r="5697" customFormat="false" ht="15" hidden="false" customHeight="false" outlineLevel="0" collapsed="false">
      <c r="A5697" s="2" t="s">
        <v>268</v>
      </c>
      <c r="B5697" s="2" t="s">
        <v>4104</v>
      </c>
      <c r="C5697" s="2" t="s">
        <v>4085</v>
      </c>
      <c r="D5697" s="2"/>
      <c r="E5697" s="31" t="n">
        <v>88.3</v>
      </c>
      <c r="F5697" s="2"/>
      <c r="G5697" s="2"/>
      <c r="H5697" s="2" t="s">
        <v>668</v>
      </c>
    </row>
    <row r="5698" customFormat="false" ht="15" hidden="false" customHeight="false" outlineLevel="0" collapsed="false">
      <c r="A5698" s="2" t="s">
        <v>268</v>
      </c>
      <c r="B5698" s="2" t="s">
        <v>4104</v>
      </c>
      <c r="C5698" s="2" t="s">
        <v>4086</v>
      </c>
      <c r="D5698" s="2"/>
      <c r="E5698" s="31" t="n">
        <v>55.7</v>
      </c>
      <c r="F5698" s="31" t="n">
        <v>82.9</v>
      </c>
      <c r="G5698" s="31" t="n">
        <v>46.4</v>
      </c>
      <c r="H5698" s="2" t="s">
        <v>671</v>
      </c>
    </row>
    <row r="5699" customFormat="false" ht="15" hidden="false" customHeight="false" outlineLevel="0" collapsed="false">
      <c r="A5699" s="2" t="s">
        <v>268</v>
      </c>
      <c r="B5699" s="2" t="s">
        <v>4104</v>
      </c>
      <c r="C5699" s="2" t="s">
        <v>4087</v>
      </c>
      <c r="D5699" s="2"/>
      <c r="E5699" s="31" t="n">
        <v>61.7</v>
      </c>
      <c r="F5699" s="31" t="n">
        <v>72.9</v>
      </c>
      <c r="G5699" s="31" t="n">
        <v>44.7</v>
      </c>
      <c r="H5699" s="2" t="s">
        <v>671</v>
      </c>
    </row>
    <row r="5700" customFormat="false" ht="15" hidden="false" customHeight="false" outlineLevel="0" collapsed="false">
      <c r="A5700" s="2" t="s">
        <v>268</v>
      </c>
      <c r="B5700" s="2" t="s">
        <v>45</v>
      </c>
      <c r="C5700" s="2" t="s">
        <v>4085</v>
      </c>
      <c r="D5700" s="11" t="n">
        <v>4320</v>
      </c>
      <c r="E5700" s="31" t="n">
        <v>90.7</v>
      </c>
      <c r="F5700" s="2"/>
      <c r="G5700" s="2"/>
      <c r="H5700" s="2" t="s">
        <v>668</v>
      </c>
    </row>
    <row r="5701" customFormat="false" ht="15" hidden="false" customHeight="false" outlineLevel="0" collapsed="false">
      <c r="A5701" s="2" t="s">
        <v>268</v>
      </c>
      <c r="B5701" s="2" t="s">
        <v>45</v>
      </c>
      <c r="C5701" s="2" t="s">
        <v>4086</v>
      </c>
      <c r="D5701" s="11" t="n">
        <v>4457</v>
      </c>
      <c r="E5701" s="31" t="n">
        <v>67.5</v>
      </c>
      <c r="F5701" s="31" t="n">
        <v>70.4</v>
      </c>
      <c r="G5701" s="2"/>
      <c r="H5701" s="2" t="s">
        <v>671</v>
      </c>
    </row>
    <row r="5702" customFormat="false" ht="15" hidden="false" customHeight="false" outlineLevel="0" collapsed="false">
      <c r="A5702" s="2" t="s">
        <v>268</v>
      </c>
      <c r="B5702" s="2" t="s">
        <v>45</v>
      </c>
      <c r="C5702" s="2" t="s">
        <v>4087</v>
      </c>
      <c r="D5702" s="11" t="n">
        <v>4560</v>
      </c>
      <c r="E5702" s="31" t="n">
        <v>84.2</v>
      </c>
      <c r="F5702" s="31" t="n">
        <v>33.3</v>
      </c>
      <c r="G5702" s="2"/>
      <c r="H5702" s="2" t="s">
        <v>671</v>
      </c>
    </row>
    <row r="5703" customFormat="false" ht="15" hidden="false" customHeight="false" outlineLevel="0" collapsed="false">
      <c r="A5703" s="2" t="s">
        <v>268</v>
      </c>
      <c r="B5703" s="2" t="s">
        <v>46</v>
      </c>
      <c r="C5703" s="2" t="s">
        <v>4085</v>
      </c>
      <c r="D5703" s="11" t="n">
        <v>2030</v>
      </c>
      <c r="E5703" s="31" t="n">
        <v>85.9</v>
      </c>
      <c r="F5703" s="2"/>
      <c r="G5703" s="2"/>
      <c r="H5703" s="2" t="s">
        <v>668</v>
      </c>
    </row>
    <row r="5704" customFormat="false" ht="15" hidden="false" customHeight="false" outlineLevel="0" collapsed="false">
      <c r="A5704" s="2" t="s">
        <v>268</v>
      </c>
      <c r="B5704" s="2" t="s">
        <v>46</v>
      </c>
      <c r="C5704" s="2" t="s">
        <v>4086</v>
      </c>
      <c r="D5704" s="11" t="n">
        <v>2200</v>
      </c>
      <c r="E5704" s="31" t="n">
        <v>95.5</v>
      </c>
      <c r="F5704" s="31" t="n">
        <v>92.5</v>
      </c>
      <c r="G5704" s="31" t="n">
        <v>81</v>
      </c>
      <c r="H5704" s="2" t="s">
        <v>671</v>
      </c>
    </row>
    <row r="5705" customFormat="false" ht="15" hidden="false" customHeight="false" outlineLevel="0" collapsed="false">
      <c r="A5705" s="2" t="s">
        <v>268</v>
      </c>
      <c r="B5705" s="2" t="s">
        <v>46</v>
      </c>
      <c r="C5705" s="2" t="s">
        <v>4087</v>
      </c>
      <c r="D5705" s="11" t="n">
        <v>2246</v>
      </c>
      <c r="E5705" s="31" t="n">
        <v>98.9</v>
      </c>
      <c r="F5705" s="31" t="n">
        <v>97.9</v>
      </c>
      <c r="G5705" s="31" t="n">
        <v>79.3</v>
      </c>
      <c r="H5705" s="2" t="s">
        <v>671</v>
      </c>
    </row>
    <row r="5706" customFormat="false" ht="15" hidden="false" customHeight="false" outlineLevel="0" collapsed="false">
      <c r="A5706" s="2" t="s">
        <v>268</v>
      </c>
      <c r="B5706" s="2" t="s">
        <v>47</v>
      </c>
      <c r="C5706" s="2" t="s">
        <v>4085</v>
      </c>
      <c r="D5706" s="2"/>
      <c r="E5706" s="2"/>
      <c r="F5706" s="2"/>
      <c r="G5706" s="2"/>
      <c r="H5706" s="2" t="s">
        <v>668</v>
      </c>
    </row>
    <row r="5707" customFormat="false" ht="15" hidden="false" customHeight="false" outlineLevel="0" collapsed="false">
      <c r="A5707" s="2" t="s">
        <v>268</v>
      </c>
      <c r="B5707" s="2" t="s">
        <v>47</v>
      </c>
      <c r="C5707" s="2" t="s">
        <v>4086</v>
      </c>
      <c r="D5707" s="11" t="n">
        <v>28479</v>
      </c>
      <c r="E5707" s="31" t="n">
        <v>4.1</v>
      </c>
      <c r="F5707" s="31" t="n">
        <v>85.7</v>
      </c>
      <c r="G5707" s="31" t="n">
        <v>11.8</v>
      </c>
      <c r="H5707" s="2" t="s">
        <v>671</v>
      </c>
    </row>
    <row r="5708" customFormat="false" ht="15" hidden="false" customHeight="false" outlineLevel="0" collapsed="false">
      <c r="A5708" s="2" t="s">
        <v>268</v>
      </c>
      <c r="B5708" s="2" t="s">
        <v>47</v>
      </c>
      <c r="C5708" s="2" t="s">
        <v>4087</v>
      </c>
      <c r="D5708" s="11" t="n">
        <v>30599</v>
      </c>
      <c r="E5708" s="31" t="n">
        <v>1.9</v>
      </c>
      <c r="F5708" s="31" t="n">
        <v>87.6</v>
      </c>
      <c r="G5708" s="31" t="n">
        <v>10.1</v>
      </c>
      <c r="H5708" s="2" t="s">
        <v>671</v>
      </c>
    </row>
    <row r="5709" customFormat="false" ht="15" hidden="false" customHeight="false" outlineLevel="0" collapsed="false">
      <c r="A5709" s="2" t="s">
        <v>1002</v>
      </c>
      <c r="B5709" s="2" t="s">
        <v>4104</v>
      </c>
      <c r="C5709" s="2" t="s">
        <v>4085</v>
      </c>
      <c r="D5709" s="2"/>
      <c r="E5709" s="31" t="n">
        <v>57.4</v>
      </c>
      <c r="F5709" s="31" t="n">
        <v>50.3</v>
      </c>
      <c r="G5709" s="31" t="n">
        <v>22</v>
      </c>
      <c r="H5709" s="2" t="s">
        <v>668</v>
      </c>
    </row>
    <row r="5710" customFormat="false" ht="15" hidden="false" customHeight="false" outlineLevel="0" collapsed="false">
      <c r="A5710" s="2" t="s">
        <v>1002</v>
      </c>
      <c r="B5710" s="2" t="s">
        <v>4104</v>
      </c>
      <c r="C5710" s="2" t="s">
        <v>4087</v>
      </c>
      <c r="D5710" s="2"/>
      <c r="E5710" s="31" t="n">
        <v>53.3</v>
      </c>
      <c r="F5710" s="31" t="n">
        <v>69.8</v>
      </c>
      <c r="G5710" s="31" t="n">
        <v>54.5</v>
      </c>
      <c r="H5710" s="2" t="s">
        <v>668</v>
      </c>
    </row>
    <row r="5711" customFormat="false" ht="15" hidden="false" customHeight="false" outlineLevel="0" collapsed="false">
      <c r="A5711" s="2" t="s">
        <v>1002</v>
      </c>
      <c r="B5711" s="2" t="s">
        <v>45</v>
      </c>
      <c r="C5711" s="2" t="s">
        <v>4085</v>
      </c>
      <c r="D5711" s="11" t="n">
        <v>176000</v>
      </c>
      <c r="E5711" s="31" t="n">
        <v>79.7</v>
      </c>
      <c r="F5711" s="31" t="n">
        <v>85.6</v>
      </c>
      <c r="G5711" s="2"/>
      <c r="H5711" s="2" t="s">
        <v>668</v>
      </c>
    </row>
    <row r="5712" customFormat="false" ht="15" hidden="false" customHeight="false" outlineLevel="0" collapsed="false">
      <c r="A5712" s="2" t="s">
        <v>1002</v>
      </c>
      <c r="B5712" s="2" t="s">
        <v>45</v>
      </c>
      <c r="C5712" s="2" t="s">
        <v>4087</v>
      </c>
      <c r="D5712" s="11" t="n">
        <v>206248</v>
      </c>
      <c r="E5712" s="31" t="n">
        <v>54.7</v>
      </c>
      <c r="F5712" s="31" t="n">
        <v>99.3</v>
      </c>
      <c r="G5712" s="31" t="n">
        <v>76.8</v>
      </c>
      <c r="H5712" s="2" t="s">
        <v>671</v>
      </c>
    </row>
    <row r="5713" customFormat="false" ht="15" hidden="false" customHeight="false" outlineLevel="0" collapsed="false">
      <c r="A5713" s="2" t="s">
        <v>1002</v>
      </c>
      <c r="B5713" s="2" t="s">
        <v>46</v>
      </c>
      <c r="C5713" s="2" t="s">
        <v>4085</v>
      </c>
      <c r="D5713" s="11" t="n">
        <v>5870</v>
      </c>
      <c r="E5713" s="31" t="n">
        <v>48.7</v>
      </c>
      <c r="F5713" s="31" t="n">
        <v>15.8</v>
      </c>
      <c r="G5713" s="31" t="n">
        <v>27.6</v>
      </c>
      <c r="H5713" s="2" t="s">
        <v>671</v>
      </c>
    </row>
    <row r="5714" customFormat="false" ht="15" hidden="false" customHeight="false" outlineLevel="0" collapsed="false">
      <c r="A5714" s="2" t="s">
        <v>1002</v>
      </c>
      <c r="B5714" s="2" t="s">
        <v>46</v>
      </c>
      <c r="C5714" s="2" t="s">
        <v>4087</v>
      </c>
      <c r="D5714" s="2"/>
      <c r="E5714" s="2"/>
      <c r="F5714" s="2"/>
      <c r="G5714" s="2"/>
      <c r="H5714" s="2" t="s">
        <v>668</v>
      </c>
    </row>
    <row r="5715" customFormat="false" ht="15" hidden="false" customHeight="false" outlineLevel="0" collapsed="false">
      <c r="A5715" s="2" t="s">
        <v>1002</v>
      </c>
      <c r="B5715" s="2" t="s">
        <v>47</v>
      </c>
      <c r="C5715" s="2" t="s">
        <v>4085</v>
      </c>
      <c r="D5715" s="11" t="n">
        <v>363826</v>
      </c>
      <c r="E5715" s="31" t="n">
        <v>43.9</v>
      </c>
      <c r="F5715" s="31" t="n">
        <v>49.4</v>
      </c>
      <c r="G5715" s="31" t="n">
        <v>16.4</v>
      </c>
      <c r="H5715" s="2" t="s">
        <v>671</v>
      </c>
    </row>
    <row r="5716" customFormat="false" ht="15" hidden="false" customHeight="false" outlineLevel="0" collapsed="false">
      <c r="A5716" s="2" t="s">
        <v>1002</v>
      </c>
      <c r="B5716" s="2" t="s">
        <v>47</v>
      </c>
      <c r="C5716" s="2" t="s">
        <v>4087</v>
      </c>
      <c r="D5716" s="11" t="n">
        <v>388471</v>
      </c>
      <c r="E5716" s="31" t="n">
        <v>51.9</v>
      </c>
      <c r="F5716" s="31" t="n">
        <v>40.4</v>
      </c>
      <c r="G5716" s="31" t="n">
        <v>32.2</v>
      </c>
      <c r="H5716" s="2" t="s">
        <v>671</v>
      </c>
    </row>
    <row r="5717" customFormat="false" ht="15" hidden="false" customHeight="false" outlineLevel="0" collapsed="false">
      <c r="A5717" s="2" t="s">
        <v>2129</v>
      </c>
      <c r="B5717" s="2" t="s">
        <v>4104</v>
      </c>
      <c r="C5717" s="2" t="s">
        <v>4085</v>
      </c>
      <c r="D5717" s="2"/>
      <c r="E5717" s="31" t="n">
        <v>78.7</v>
      </c>
      <c r="F5717" s="31" t="n">
        <v>86</v>
      </c>
      <c r="G5717" s="31" t="n">
        <v>29.7</v>
      </c>
      <c r="H5717" s="2" t="s">
        <v>668</v>
      </c>
    </row>
    <row r="5718" customFormat="false" ht="15" hidden="false" customHeight="false" outlineLevel="0" collapsed="false">
      <c r="A5718" s="2" t="s">
        <v>2129</v>
      </c>
      <c r="B5718" s="2" t="s">
        <v>4104</v>
      </c>
      <c r="C5718" s="2" t="s">
        <v>4086</v>
      </c>
      <c r="D5718" s="2"/>
      <c r="E5718" s="31" t="n">
        <v>54.3</v>
      </c>
      <c r="F5718" s="31" t="n">
        <v>82.7</v>
      </c>
      <c r="G5718" s="31" t="n">
        <v>0.9</v>
      </c>
      <c r="H5718" s="2" t="s">
        <v>668</v>
      </c>
    </row>
    <row r="5719" customFormat="false" ht="15" hidden="false" customHeight="false" outlineLevel="0" collapsed="false">
      <c r="A5719" s="2" t="s">
        <v>2129</v>
      </c>
      <c r="B5719" s="2" t="s">
        <v>4104</v>
      </c>
      <c r="C5719" s="2" t="s">
        <v>4087</v>
      </c>
      <c r="D5719" s="2"/>
      <c r="E5719" s="31" t="n">
        <v>86</v>
      </c>
      <c r="F5719" s="31" t="n">
        <v>65.3</v>
      </c>
      <c r="G5719" s="31" t="n">
        <v>0.7</v>
      </c>
      <c r="H5719" s="2" t="s">
        <v>668</v>
      </c>
    </row>
    <row r="5720" customFormat="false" ht="15" hidden="false" customHeight="false" outlineLevel="0" collapsed="false">
      <c r="A5720" s="2" t="s">
        <v>2129</v>
      </c>
      <c r="B5720" s="2" t="s">
        <v>45</v>
      </c>
      <c r="C5720" s="2" t="s">
        <v>4085</v>
      </c>
      <c r="D5720" s="11" t="n">
        <v>3370</v>
      </c>
      <c r="E5720" s="31" t="n">
        <v>96.6</v>
      </c>
      <c r="F5720" s="2"/>
      <c r="G5720" s="31" t="n">
        <v>48</v>
      </c>
      <c r="H5720" s="2" t="s">
        <v>668</v>
      </c>
    </row>
    <row r="5721" customFormat="false" ht="15" hidden="false" customHeight="false" outlineLevel="0" collapsed="false">
      <c r="A5721" s="2" t="s">
        <v>2129</v>
      </c>
      <c r="B5721" s="2" t="s">
        <v>45</v>
      </c>
      <c r="C5721" s="2" t="s">
        <v>4086</v>
      </c>
      <c r="D5721" s="11" t="n">
        <v>3660</v>
      </c>
      <c r="E5721" s="31" t="n">
        <v>92.4</v>
      </c>
      <c r="F5721" s="31" t="n">
        <v>83.1</v>
      </c>
      <c r="G5721" s="2"/>
      <c r="H5721" s="2" t="s">
        <v>668</v>
      </c>
    </row>
    <row r="5722" customFormat="false" ht="15" hidden="false" customHeight="false" outlineLevel="0" collapsed="false">
      <c r="A5722" s="2" t="s">
        <v>2129</v>
      </c>
      <c r="B5722" s="2" t="s">
        <v>45</v>
      </c>
      <c r="C5722" s="2" t="s">
        <v>4087</v>
      </c>
      <c r="D5722" s="11" t="n">
        <v>3782</v>
      </c>
      <c r="E5722" s="31" t="n">
        <v>96.2</v>
      </c>
      <c r="F5722" s="2"/>
      <c r="G5722" s="2"/>
      <c r="H5722" s="2" t="s">
        <v>668</v>
      </c>
    </row>
    <row r="5723" customFormat="false" ht="15" hidden="false" customHeight="false" outlineLevel="0" collapsed="false">
      <c r="A5723" s="2" t="s">
        <v>2129</v>
      </c>
      <c r="B5723" s="2" t="s">
        <v>46</v>
      </c>
      <c r="C5723" s="2" t="s">
        <v>4085</v>
      </c>
      <c r="D5723" s="11" t="n">
        <v>65508</v>
      </c>
      <c r="E5723" s="31" t="n">
        <v>73.2</v>
      </c>
      <c r="F5723" s="31" t="n">
        <v>86.5</v>
      </c>
      <c r="G5723" s="31" t="n">
        <v>40.2</v>
      </c>
      <c r="H5723" s="2" t="s">
        <v>671</v>
      </c>
    </row>
    <row r="5724" customFormat="false" ht="15" hidden="false" customHeight="false" outlineLevel="0" collapsed="false">
      <c r="A5724" s="2" t="s">
        <v>2129</v>
      </c>
      <c r="B5724" s="2" t="s">
        <v>46</v>
      </c>
      <c r="C5724" s="2" t="s">
        <v>4086</v>
      </c>
      <c r="D5724" s="11" t="n">
        <v>68280</v>
      </c>
      <c r="E5724" s="31" t="n">
        <v>48.1</v>
      </c>
      <c r="F5724" s="31" t="n">
        <v>73.8</v>
      </c>
      <c r="G5724" s="2"/>
      <c r="H5724" s="2" t="s">
        <v>668</v>
      </c>
    </row>
    <row r="5725" customFormat="false" ht="15" hidden="false" customHeight="false" outlineLevel="0" collapsed="false">
      <c r="A5725" s="2" t="s">
        <v>2129</v>
      </c>
      <c r="B5725" s="2" t="s">
        <v>46</v>
      </c>
      <c r="C5725" s="2" t="s">
        <v>4087</v>
      </c>
      <c r="D5725" s="2"/>
      <c r="E5725" s="2"/>
      <c r="F5725" s="2"/>
      <c r="G5725" s="2"/>
      <c r="H5725" s="2" t="s">
        <v>668</v>
      </c>
    </row>
    <row r="5726" customFormat="false" ht="15" hidden="false" customHeight="false" outlineLevel="0" collapsed="false">
      <c r="A5726" s="2" t="s">
        <v>2129</v>
      </c>
      <c r="B5726" s="2" t="s">
        <v>47</v>
      </c>
      <c r="C5726" s="2" t="s">
        <v>4085</v>
      </c>
      <c r="D5726" s="11" t="n">
        <v>8619</v>
      </c>
      <c r="E5726" s="31" t="n">
        <v>66.3</v>
      </c>
      <c r="F5726" s="31" t="n">
        <v>85.6</v>
      </c>
      <c r="G5726" s="31" t="n">
        <v>0.8</v>
      </c>
      <c r="H5726" s="2" t="s">
        <v>671</v>
      </c>
    </row>
    <row r="5727" customFormat="false" ht="15" hidden="false" customHeight="false" outlineLevel="0" collapsed="false">
      <c r="A5727" s="2" t="s">
        <v>2129</v>
      </c>
      <c r="B5727" s="2" t="s">
        <v>47</v>
      </c>
      <c r="C5727" s="2" t="s">
        <v>4086</v>
      </c>
      <c r="D5727" s="11" t="n">
        <v>9130</v>
      </c>
      <c r="E5727" s="31" t="n">
        <v>22.4</v>
      </c>
      <c r="F5727" s="31" t="n">
        <v>91.2</v>
      </c>
      <c r="G5727" s="31" t="n">
        <v>0.9</v>
      </c>
      <c r="H5727" s="2" t="s">
        <v>671</v>
      </c>
    </row>
    <row r="5728" customFormat="false" ht="15" hidden="false" customHeight="false" outlineLevel="0" collapsed="false">
      <c r="A5728" s="2" t="s">
        <v>2129</v>
      </c>
      <c r="B5728" s="2" t="s">
        <v>47</v>
      </c>
      <c r="C5728" s="2" t="s">
        <v>4087</v>
      </c>
      <c r="D5728" s="11" t="n">
        <v>9770</v>
      </c>
      <c r="E5728" s="31" t="n">
        <v>75.7</v>
      </c>
      <c r="F5728" s="31" t="n">
        <v>65.3</v>
      </c>
      <c r="G5728" s="31" t="n">
        <v>0.7</v>
      </c>
      <c r="H5728" s="2" t="s">
        <v>671</v>
      </c>
    </row>
    <row r="5729" customFormat="false" ht="15" hidden="false" customHeight="false" outlineLevel="0" collapsed="false">
      <c r="A5729" s="2" t="s">
        <v>286</v>
      </c>
      <c r="B5729" s="2" t="s">
        <v>4104</v>
      </c>
      <c r="C5729" s="2" t="s">
        <v>4085</v>
      </c>
      <c r="D5729" s="2"/>
      <c r="E5729" s="31" t="n">
        <v>61.4</v>
      </c>
      <c r="F5729" s="31" t="n">
        <v>53.8</v>
      </c>
      <c r="G5729" s="31" t="n">
        <v>59.7</v>
      </c>
      <c r="H5729" s="2" t="s">
        <v>671</v>
      </c>
    </row>
    <row r="5730" customFormat="false" ht="15" hidden="false" customHeight="false" outlineLevel="0" collapsed="false">
      <c r="A5730" s="2" t="s">
        <v>286</v>
      </c>
      <c r="B5730" s="2" t="s">
        <v>4104</v>
      </c>
      <c r="C5730" s="2" t="s">
        <v>4086</v>
      </c>
      <c r="D5730" s="2"/>
      <c r="E5730" s="31" t="n">
        <v>53.2</v>
      </c>
      <c r="F5730" s="31" t="n">
        <v>76.2</v>
      </c>
      <c r="G5730" s="31" t="n">
        <v>41.6</v>
      </c>
      <c r="H5730" s="2" t="s">
        <v>668</v>
      </c>
    </row>
    <row r="5731" customFormat="false" ht="15" hidden="false" customHeight="false" outlineLevel="0" collapsed="false">
      <c r="A5731" s="2" t="s">
        <v>286</v>
      </c>
      <c r="B5731" s="2" t="s">
        <v>4104</v>
      </c>
      <c r="C5731" s="2" t="s">
        <v>4087</v>
      </c>
      <c r="D5731" s="2"/>
      <c r="E5731" s="31" t="n">
        <v>59.9</v>
      </c>
      <c r="F5731" s="31" t="n">
        <v>55.7</v>
      </c>
      <c r="G5731" s="31" t="n">
        <v>42.7</v>
      </c>
      <c r="H5731" s="2" t="s">
        <v>671</v>
      </c>
    </row>
    <row r="5732" customFormat="false" ht="15" hidden="false" customHeight="false" outlineLevel="0" collapsed="false">
      <c r="A5732" s="2" t="s">
        <v>286</v>
      </c>
      <c r="B5732" s="2" t="s">
        <v>45</v>
      </c>
      <c r="C5732" s="2" t="s">
        <v>4085</v>
      </c>
      <c r="D5732" s="11" t="n">
        <v>9690</v>
      </c>
      <c r="E5732" s="31" t="n">
        <v>83.6</v>
      </c>
      <c r="F5732" s="31" t="n">
        <v>90.3</v>
      </c>
      <c r="G5732" s="31" t="n">
        <v>70</v>
      </c>
      <c r="H5732" s="2" t="s">
        <v>671</v>
      </c>
    </row>
    <row r="5733" customFormat="false" ht="15" hidden="false" customHeight="false" outlineLevel="0" collapsed="false">
      <c r="A5733" s="2" t="s">
        <v>286</v>
      </c>
      <c r="B5733" s="2" t="s">
        <v>45</v>
      </c>
      <c r="C5733" s="2" t="s">
        <v>4086</v>
      </c>
      <c r="D5733" s="11" t="n">
        <v>10440</v>
      </c>
      <c r="E5733" s="31" t="n">
        <v>62</v>
      </c>
      <c r="F5733" s="31" t="n">
        <v>73.2</v>
      </c>
      <c r="G5733" s="31" t="n">
        <v>39.6</v>
      </c>
      <c r="H5733" s="2" t="s">
        <v>671</v>
      </c>
    </row>
    <row r="5734" customFormat="false" ht="15" hidden="false" customHeight="false" outlineLevel="0" collapsed="false">
      <c r="A5734" s="2" t="s">
        <v>286</v>
      </c>
      <c r="B5734" s="2" t="s">
        <v>45</v>
      </c>
      <c r="C5734" s="2" t="s">
        <v>4087</v>
      </c>
      <c r="D5734" s="11" t="n">
        <v>10633</v>
      </c>
      <c r="E5734" s="31" t="n">
        <v>88</v>
      </c>
      <c r="F5734" s="31" t="n">
        <v>74.6</v>
      </c>
      <c r="G5734" s="31" t="n">
        <v>55.8</v>
      </c>
      <c r="H5734" s="2" t="s">
        <v>671</v>
      </c>
    </row>
    <row r="5735" customFormat="false" ht="15" hidden="false" customHeight="false" outlineLevel="0" collapsed="false">
      <c r="A5735" s="2" t="s">
        <v>286</v>
      </c>
      <c r="B5735" s="2" t="s">
        <v>46</v>
      </c>
      <c r="C5735" s="2" t="s">
        <v>4085</v>
      </c>
      <c r="D5735" s="11" t="n">
        <v>4660</v>
      </c>
      <c r="E5735" s="31" t="n">
        <v>76.5</v>
      </c>
      <c r="F5735" s="31" t="n">
        <v>64.9</v>
      </c>
      <c r="G5735" s="31" t="n">
        <v>61.6</v>
      </c>
      <c r="H5735" s="2" t="s">
        <v>671</v>
      </c>
    </row>
    <row r="5736" customFormat="false" ht="15" hidden="false" customHeight="false" outlineLevel="0" collapsed="false">
      <c r="A5736" s="2" t="s">
        <v>286</v>
      </c>
      <c r="B5736" s="2" t="s">
        <v>46</v>
      </c>
      <c r="C5736" s="2" t="s">
        <v>4086</v>
      </c>
      <c r="D5736" s="11" t="n">
        <v>5020</v>
      </c>
      <c r="E5736" s="31" t="n">
        <v>56.2</v>
      </c>
      <c r="F5736" s="31" t="n">
        <v>79.2</v>
      </c>
      <c r="G5736" s="31" t="n">
        <v>43.5</v>
      </c>
      <c r="H5736" s="2" t="s">
        <v>668</v>
      </c>
    </row>
    <row r="5737" customFormat="false" ht="15" hidden="false" customHeight="false" outlineLevel="0" collapsed="false">
      <c r="A5737" s="2" t="s">
        <v>286</v>
      </c>
      <c r="B5737" s="2" t="s">
        <v>46</v>
      </c>
      <c r="C5737" s="2" t="s">
        <v>4087</v>
      </c>
      <c r="D5737" s="11" t="n">
        <v>5380</v>
      </c>
      <c r="E5737" s="31" t="n">
        <v>69.6</v>
      </c>
      <c r="F5737" s="31" t="n">
        <v>81.2</v>
      </c>
      <c r="G5737" s="31" t="n">
        <v>17.4</v>
      </c>
      <c r="H5737" s="2" t="s">
        <v>671</v>
      </c>
    </row>
    <row r="5738" customFormat="false" ht="15" hidden="false" customHeight="false" outlineLevel="0" collapsed="false">
      <c r="A5738" s="2" t="s">
        <v>286</v>
      </c>
      <c r="B5738" s="2" t="s">
        <v>47</v>
      </c>
      <c r="C5738" s="2" t="s">
        <v>4085</v>
      </c>
      <c r="D5738" s="11" t="n">
        <v>324391</v>
      </c>
      <c r="E5738" s="31" t="n">
        <v>24.2</v>
      </c>
      <c r="F5738" s="31" t="n">
        <v>6.2</v>
      </c>
      <c r="G5738" s="31" t="n">
        <v>47.4</v>
      </c>
      <c r="H5738" s="2" t="s">
        <v>671</v>
      </c>
    </row>
    <row r="5739" customFormat="false" ht="15" hidden="false" customHeight="false" outlineLevel="0" collapsed="false">
      <c r="A5739" s="2" t="s">
        <v>286</v>
      </c>
      <c r="B5739" s="2" t="s">
        <v>47</v>
      </c>
      <c r="C5739" s="2" t="s">
        <v>4086</v>
      </c>
      <c r="D5739" s="11" t="n">
        <v>176433</v>
      </c>
      <c r="E5739" s="31" t="n">
        <v>41.4</v>
      </c>
      <c r="F5739" s="2"/>
      <c r="G5739" s="2"/>
      <c r="H5739" s="2" t="s">
        <v>668</v>
      </c>
    </row>
    <row r="5740" customFormat="false" ht="15" hidden="false" customHeight="false" outlineLevel="0" collapsed="false">
      <c r="A5740" s="2" t="s">
        <v>286</v>
      </c>
      <c r="B5740" s="2" t="s">
        <v>47</v>
      </c>
      <c r="C5740" s="2" t="s">
        <v>4087</v>
      </c>
      <c r="D5740" s="11" t="n">
        <v>320800</v>
      </c>
      <c r="E5740" s="31" t="n">
        <v>22.1</v>
      </c>
      <c r="F5740" s="31" t="n">
        <v>11.4</v>
      </c>
      <c r="G5740" s="31" t="n">
        <v>55</v>
      </c>
      <c r="H5740" s="2" t="s">
        <v>671</v>
      </c>
    </row>
    <row r="5741" customFormat="false" ht="15" hidden="false" customHeight="false" outlineLevel="0" collapsed="false">
      <c r="A5741" s="2" t="s">
        <v>2348</v>
      </c>
      <c r="B5741" s="2" t="s">
        <v>4104</v>
      </c>
      <c r="C5741" s="2" t="s">
        <v>4085</v>
      </c>
      <c r="D5741" s="2"/>
      <c r="E5741" s="31" t="n">
        <v>63.8</v>
      </c>
      <c r="F5741" s="31" t="n">
        <v>65.6</v>
      </c>
      <c r="G5741" s="31" t="n">
        <v>65.4</v>
      </c>
      <c r="H5741" s="2" t="s">
        <v>668</v>
      </c>
    </row>
    <row r="5742" customFormat="false" ht="15" hidden="false" customHeight="false" outlineLevel="0" collapsed="false">
      <c r="A5742" s="2" t="s">
        <v>2348</v>
      </c>
      <c r="B5742" s="2" t="s">
        <v>4104</v>
      </c>
      <c r="C5742" s="2" t="s">
        <v>4086</v>
      </c>
      <c r="D5742" s="2"/>
      <c r="E5742" s="31" t="n">
        <v>50.6</v>
      </c>
      <c r="F5742" s="31" t="n">
        <v>73.2</v>
      </c>
      <c r="G5742" s="31" t="n">
        <v>60.5</v>
      </c>
      <c r="H5742" s="2" t="s">
        <v>668</v>
      </c>
    </row>
    <row r="5743" customFormat="false" ht="15" hidden="false" customHeight="false" outlineLevel="0" collapsed="false">
      <c r="A5743" s="2" t="s">
        <v>2348</v>
      </c>
      <c r="B5743" s="2" t="s">
        <v>4104</v>
      </c>
      <c r="C5743" s="2" t="s">
        <v>4087</v>
      </c>
      <c r="D5743" s="2"/>
      <c r="E5743" s="31" t="n">
        <v>46.4</v>
      </c>
      <c r="F5743" s="31" t="n">
        <v>31.6</v>
      </c>
      <c r="G5743" s="31" t="n">
        <v>71.8</v>
      </c>
      <c r="H5743" s="2" t="s">
        <v>668</v>
      </c>
    </row>
    <row r="5744" customFormat="false" ht="15" hidden="false" customHeight="false" outlineLevel="0" collapsed="false">
      <c r="A5744" s="2" t="s">
        <v>2348</v>
      </c>
      <c r="B5744" s="2" t="s">
        <v>45</v>
      </c>
      <c r="C5744" s="2" t="s">
        <v>4085</v>
      </c>
      <c r="D5744" s="11" t="n">
        <v>249170</v>
      </c>
      <c r="E5744" s="31" t="n">
        <v>66.1</v>
      </c>
      <c r="F5744" s="31" t="n">
        <v>93.8</v>
      </c>
      <c r="G5744" s="31" t="n">
        <v>66.8</v>
      </c>
      <c r="H5744" s="2" t="s">
        <v>671</v>
      </c>
    </row>
    <row r="5745" customFormat="false" ht="15" hidden="false" customHeight="false" outlineLevel="0" collapsed="false">
      <c r="A5745" s="2" t="s">
        <v>2348</v>
      </c>
      <c r="B5745" s="2" t="s">
        <v>45</v>
      </c>
      <c r="C5745" s="2" t="s">
        <v>4086</v>
      </c>
      <c r="D5745" s="11" t="n">
        <v>262020</v>
      </c>
      <c r="E5745" s="31" t="n">
        <v>58.8</v>
      </c>
      <c r="F5745" s="31" t="n">
        <v>82.9</v>
      </c>
      <c r="G5745" s="31" t="n">
        <v>44.3</v>
      </c>
      <c r="H5745" s="2" t="s">
        <v>671</v>
      </c>
    </row>
    <row r="5746" customFormat="false" ht="15" hidden="false" customHeight="false" outlineLevel="0" collapsed="false">
      <c r="A5746" s="2" t="s">
        <v>2348</v>
      </c>
      <c r="B5746" s="2" t="s">
        <v>45</v>
      </c>
      <c r="C5746" s="2" t="s">
        <v>4087</v>
      </c>
      <c r="D5746" s="2"/>
      <c r="E5746" s="2"/>
      <c r="F5746" s="2"/>
      <c r="G5746" s="2"/>
      <c r="H5746" s="2" t="s">
        <v>668</v>
      </c>
    </row>
    <row r="5747" customFormat="false" ht="15" hidden="false" customHeight="false" outlineLevel="0" collapsed="false">
      <c r="A5747" s="2" t="s">
        <v>2348</v>
      </c>
      <c r="B5747" s="2" t="s">
        <v>46</v>
      </c>
      <c r="C5747" s="2" t="s">
        <v>4085</v>
      </c>
      <c r="D5747" s="11" t="n">
        <v>4033</v>
      </c>
      <c r="E5747" s="31" t="n">
        <v>54</v>
      </c>
      <c r="F5747" s="31" t="n">
        <v>33.3</v>
      </c>
      <c r="G5747" s="2"/>
      <c r="H5747" s="2" t="s">
        <v>668</v>
      </c>
    </row>
    <row r="5748" customFormat="false" ht="15" hidden="false" customHeight="false" outlineLevel="0" collapsed="false">
      <c r="A5748" s="2" t="s">
        <v>2348</v>
      </c>
      <c r="B5748" s="2" t="s">
        <v>46</v>
      </c>
      <c r="C5748" s="2" t="s">
        <v>4086</v>
      </c>
      <c r="D5748" s="11" t="n">
        <v>4140</v>
      </c>
      <c r="E5748" s="2"/>
      <c r="F5748" s="2"/>
      <c r="G5748" s="31" t="n">
        <v>64.9</v>
      </c>
      <c r="H5748" s="2" t="s">
        <v>668</v>
      </c>
    </row>
    <row r="5749" customFormat="false" ht="15" hidden="false" customHeight="false" outlineLevel="0" collapsed="false">
      <c r="A5749" s="2" t="s">
        <v>2348</v>
      </c>
      <c r="B5749" s="2" t="s">
        <v>46</v>
      </c>
      <c r="C5749" s="2" t="s">
        <v>4087</v>
      </c>
      <c r="D5749" s="2"/>
      <c r="E5749" s="2"/>
      <c r="F5749" s="2"/>
      <c r="G5749" s="2"/>
      <c r="H5749" s="2" t="s">
        <v>668</v>
      </c>
    </row>
    <row r="5750" customFormat="false" ht="15" hidden="false" customHeight="false" outlineLevel="0" collapsed="false">
      <c r="A5750" s="2" t="s">
        <v>2348</v>
      </c>
      <c r="B5750" s="2" t="s">
        <v>47</v>
      </c>
      <c r="C5750" s="2" t="s">
        <v>4085</v>
      </c>
      <c r="D5750" s="11" t="n">
        <v>37697</v>
      </c>
      <c r="E5750" s="31" t="n">
        <v>71.3</v>
      </c>
      <c r="F5750" s="31" t="n">
        <v>69.6</v>
      </c>
      <c r="G5750" s="31" t="n">
        <v>64</v>
      </c>
      <c r="H5750" s="2" t="s">
        <v>671</v>
      </c>
    </row>
    <row r="5751" customFormat="false" ht="15" hidden="false" customHeight="false" outlineLevel="0" collapsed="false">
      <c r="A5751" s="2" t="s">
        <v>2348</v>
      </c>
      <c r="B5751" s="2" t="s">
        <v>47</v>
      </c>
      <c r="C5751" s="2" t="s">
        <v>4086</v>
      </c>
      <c r="D5751" s="11" t="n">
        <v>38272</v>
      </c>
      <c r="E5751" s="31" t="n">
        <v>42.3</v>
      </c>
      <c r="F5751" s="31" t="n">
        <v>63.6</v>
      </c>
      <c r="G5751" s="31" t="n">
        <v>72.4</v>
      </c>
      <c r="H5751" s="2" t="s">
        <v>671</v>
      </c>
    </row>
    <row r="5752" customFormat="false" ht="15" hidden="false" customHeight="false" outlineLevel="0" collapsed="false">
      <c r="A5752" s="2" t="s">
        <v>2348</v>
      </c>
      <c r="B5752" s="2" t="s">
        <v>47</v>
      </c>
      <c r="C5752" s="2" t="s">
        <v>4087</v>
      </c>
      <c r="D5752" s="11" t="n">
        <v>39206</v>
      </c>
      <c r="E5752" s="31" t="n">
        <v>46.4</v>
      </c>
      <c r="F5752" s="31" t="n">
        <v>31.6</v>
      </c>
      <c r="G5752" s="31" t="n">
        <v>71.8</v>
      </c>
      <c r="H5752" s="2" t="s">
        <v>671</v>
      </c>
    </row>
    <row r="5753" customFormat="false" ht="15" hidden="false" customHeight="false" outlineLevel="0" collapsed="false">
      <c r="A5753" s="2" t="s">
        <v>3052</v>
      </c>
      <c r="B5753" s="2" t="s">
        <v>4104</v>
      </c>
      <c r="C5753" s="2" t="s">
        <v>4085</v>
      </c>
      <c r="D5753" s="2"/>
      <c r="E5753" s="31" t="n">
        <v>84.9</v>
      </c>
      <c r="F5753" s="31" t="n">
        <v>49.4</v>
      </c>
      <c r="G5753" s="31" t="n">
        <v>80.8</v>
      </c>
      <c r="H5753" s="2" t="s">
        <v>671</v>
      </c>
    </row>
    <row r="5754" customFormat="false" ht="15" hidden="false" customHeight="false" outlineLevel="0" collapsed="false">
      <c r="A5754" s="2" t="s">
        <v>3052</v>
      </c>
      <c r="B5754" s="2" t="s">
        <v>4104</v>
      </c>
      <c r="C5754" s="2" t="s">
        <v>4086</v>
      </c>
      <c r="D5754" s="2"/>
      <c r="E5754" s="31" t="n">
        <v>74.9</v>
      </c>
      <c r="F5754" s="31" t="n">
        <v>60.7</v>
      </c>
      <c r="G5754" s="31" t="n">
        <v>84.3</v>
      </c>
      <c r="H5754" s="2" t="s">
        <v>671</v>
      </c>
    </row>
    <row r="5755" customFormat="false" ht="15" hidden="false" customHeight="false" outlineLevel="0" collapsed="false">
      <c r="A5755" s="2" t="s">
        <v>3052</v>
      </c>
      <c r="B5755" s="2" t="s">
        <v>4104</v>
      </c>
      <c r="C5755" s="2" t="s">
        <v>4087</v>
      </c>
      <c r="D5755" s="2"/>
      <c r="E5755" s="31" t="n">
        <v>74.8</v>
      </c>
      <c r="F5755" s="2"/>
      <c r="G5755" s="31" t="n">
        <v>59.6</v>
      </c>
      <c r="H5755" s="2" t="s">
        <v>668</v>
      </c>
    </row>
    <row r="5756" customFormat="false" ht="15" hidden="false" customHeight="false" outlineLevel="0" collapsed="false">
      <c r="A5756" s="2" t="s">
        <v>3052</v>
      </c>
      <c r="B5756" s="2" t="s">
        <v>46</v>
      </c>
      <c r="C5756" s="2" t="s">
        <v>4085</v>
      </c>
      <c r="D5756" s="11" t="n">
        <v>37530</v>
      </c>
      <c r="E5756" s="31" t="n">
        <v>84.9</v>
      </c>
      <c r="F5756" s="31" t="n">
        <v>49.4</v>
      </c>
      <c r="G5756" s="31" t="n">
        <v>80.8</v>
      </c>
      <c r="H5756" s="2" t="s">
        <v>671</v>
      </c>
    </row>
    <row r="5757" customFormat="false" ht="15" hidden="false" customHeight="false" outlineLevel="0" collapsed="false">
      <c r="A5757" s="2" t="s">
        <v>3052</v>
      </c>
      <c r="B5757" s="2" t="s">
        <v>46</v>
      </c>
      <c r="C5757" s="2" t="s">
        <v>4086</v>
      </c>
      <c r="D5757" s="11" t="n">
        <v>39400</v>
      </c>
      <c r="E5757" s="31" t="n">
        <v>74.9</v>
      </c>
      <c r="F5757" s="31" t="n">
        <v>60.7</v>
      </c>
      <c r="G5757" s="31" t="n">
        <v>84.3</v>
      </c>
      <c r="H5757" s="2" t="s">
        <v>671</v>
      </c>
    </row>
    <row r="5758" customFormat="false" ht="15" hidden="false" customHeight="false" outlineLevel="0" collapsed="false">
      <c r="A5758" s="2" t="s">
        <v>3052</v>
      </c>
      <c r="B5758" s="2" t="s">
        <v>46</v>
      </c>
      <c r="C5758" s="2" t="s">
        <v>4087</v>
      </c>
      <c r="D5758" s="11" t="n">
        <v>40960</v>
      </c>
      <c r="E5758" s="31" t="n">
        <v>74.8</v>
      </c>
      <c r="F5758" s="2"/>
      <c r="G5758" s="31" t="n">
        <v>59.6</v>
      </c>
      <c r="H5758" s="2" t="s">
        <v>668</v>
      </c>
    </row>
    <row r="5759" customFormat="false" ht="15" hidden="false" customHeight="false" outlineLevel="0" collapsed="false">
      <c r="A5759" s="2" t="s">
        <v>2444</v>
      </c>
      <c r="B5759" s="2" t="s">
        <v>4104</v>
      </c>
      <c r="C5759" s="2" t="s">
        <v>4085</v>
      </c>
      <c r="D5759" s="2"/>
      <c r="E5759" s="31" t="n">
        <v>57.4</v>
      </c>
      <c r="F5759" s="31" t="n">
        <v>65.5</v>
      </c>
      <c r="G5759" s="31" t="n">
        <v>35</v>
      </c>
      <c r="H5759" s="2" t="s">
        <v>671</v>
      </c>
    </row>
    <row r="5760" customFormat="false" ht="15" hidden="false" customHeight="false" outlineLevel="0" collapsed="false">
      <c r="A5760" s="2" t="s">
        <v>2444</v>
      </c>
      <c r="B5760" s="2" t="s">
        <v>4104</v>
      </c>
      <c r="C5760" s="2" t="s">
        <v>4086</v>
      </c>
      <c r="D5760" s="2"/>
      <c r="E5760" s="31" t="n">
        <v>19.8</v>
      </c>
      <c r="F5760" s="31" t="n">
        <v>56.2</v>
      </c>
      <c r="G5760" s="31" t="n">
        <v>14.9</v>
      </c>
      <c r="H5760" s="2" t="s">
        <v>668</v>
      </c>
    </row>
    <row r="5761" customFormat="false" ht="15" hidden="false" customHeight="false" outlineLevel="0" collapsed="false">
      <c r="A5761" s="2" t="s">
        <v>2444</v>
      </c>
      <c r="B5761" s="2" t="s">
        <v>4104</v>
      </c>
      <c r="C5761" s="2" t="s">
        <v>4087</v>
      </c>
      <c r="D5761" s="2"/>
      <c r="E5761" s="31" t="n">
        <v>33.5</v>
      </c>
      <c r="F5761" s="31" t="n">
        <v>66.7</v>
      </c>
      <c r="G5761" s="31" t="n">
        <v>44</v>
      </c>
      <c r="H5761" s="2" t="s">
        <v>668</v>
      </c>
    </row>
    <row r="5762" customFormat="false" ht="15" hidden="false" customHeight="false" outlineLevel="0" collapsed="false">
      <c r="A5762" s="2" t="s">
        <v>2444</v>
      </c>
      <c r="B5762" s="2" t="s">
        <v>45</v>
      </c>
      <c r="C5762" s="2" t="s">
        <v>4085</v>
      </c>
      <c r="D5762" s="11" t="n">
        <v>97021</v>
      </c>
      <c r="E5762" s="31" t="n">
        <v>89.2</v>
      </c>
      <c r="F5762" s="31" t="n">
        <v>84.7</v>
      </c>
      <c r="G5762" s="31" t="n">
        <v>18.5</v>
      </c>
      <c r="H5762" s="2" t="s">
        <v>671</v>
      </c>
    </row>
    <row r="5763" customFormat="false" ht="15" hidden="false" customHeight="false" outlineLevel="0" collapsed="false">
      <c r="A5763" s="2" t="s">
        <v>2444</v>
      </c>
      <c r="B5763" s="2" t="s">
        <v>45</v>
      </c>
      <c r="C5763" s="2" t="s">
        <v>4086</v>
      </c>
      <c r="D5763" s="2"/>
      <c r="E5763" s="2"/>
      <c r="F5763" s="2"/>
      <c r="G5763" s="31" t="n">
        <v>3.7</v>
      </c>
      <c r="H5763" s="2" t="s">
        <v>668</v>
      </c>
    </row>
    <row r="5764" customFormat="false" ht="15" hidden="false" customHeight="false" outlineLevel="0" collapsed="false">
      <c r="A5764" s="2" t="s">
        <v>2444</v>
      </c>
      <c r="B5764" s="2" t="s">
        <v>45</v>
      </c>
      <c r="C5764" s="2" t="s">
        <v>4087</v>
      </c>
      <c r="D5764" s="2"/>
      <c r="E5764" s="2"/>
      <c r="F5764" s="2"/>
      <c r="G5764" s="2"/>
      <c r="H5764" s="2" t="s">
        <v>668</v>
      </c>
    </row>
    <row r="5765" customFormat="false" ht="15" hidden="false" customHeight="false" outlineLevel="0" collapsed="false">
      <c r="A5765" s="2" t="s">
        <v>2444</v>
      </c>
      <c r="B5765" s="2" t="s">
        <v>46</v>
      </c>
      <c r="C5765" s="2" t="s">
        <v>4085</v>
      </c>
      <c r="D5765" s="11" t="n">
        <v>11690</v>
      </c>
      <c r="E5765" s="31" t="n">
        <v>56.9</v>
      </c>
      <c r="F5765" s="31" t="n">
        <v>52.8</v>
      </c>
      <c r="G5765" s="31" t="n">
        <v>11.9</v>
      </c>
      <c r="H5765" s="2" t="s">
        <v>671</v>
      </c>
    </row>
    <row r="5766" customFormat="false" ht="15" hidden="false" customHeight="false" outlineLevel="0" collapsed="false">
      <c r="A5766" s="2" t="s">
        <v>2444</v>
      </c>
      <c r="B5766" s="2" t="s">
        <v>46</v>
      </c>
      <c r="C5766" s="2" t="s">
        <v>4086</v>
      </c>
      <c r="D5766" s="2"/>
      <c r="E5766" s="2"/>
      <c r="F5766" s="2"/>
      <c r="G5766" s="31" t="n">
        <v>4.4</v>
      </c>
      <c r="H5766" s="2" t="s">
        <v>668</v>
      </c>
    </row>
    <row r="5767" customFormat="false" ht="15" hidden="false" customHeight="false" outlineLevel="0" collapsed="false">
      <c r="A5767" s="2" t="s">
        <v>2444</v>
      </c>
      <c r="B5767" s="2" t="s">
        <v>46</v>
      </c>
      <c r="C5767" s="2" t="s">
        <v>4087</v>
      </c>
      <c r="D5767" s="2"/>
      <c r="E5767" s="2"/>
      <c r="F5767" s="2"/>
      <c r="G5767" s="2"/>
      <c r="H5767" s="2" t="s">
        <v>668</v>
      </c>
    </row>
    <row r="5768" customFormat="false" ht="15" hidden="false" customHeight="false" outlineLevel="0" collapsed="false">
      <c r="A5768" s="2" t="s">
        <v>2444</v>
      </c>
      <c r="B5768" s="2" t="s">
        <v>47</v>
      </c>
      <c r="C5768" s="2" t="s">
        <v>4085</v>
      </c>
      <c r="D5768" s="11" t="n">
        <v>9104</v>
      </c>
      <c r="E5768" s="31" t="n">
        <v>26.1</v>
      </c>
      <c r="F5768" s="31" t="n">
        <v>58.9</v>
      </c>
      <c r="G5768" s="31" t="n">
        <v>74.6</v>
      </c>
      <c r="H5768" s="2" t="s">
        <v>671</v>
      </c>
    </row>
    <row r="5769" customFormat="false" ht="15" hidden="false" customHeight="false" outlineLevel="0" collapsed="false">
      <c r="A5769" s="2" t="s">
        <v>2444</v>
      </c>
      <c r="B5769" s="2" t="s">
        <v>47</v>
      </c>
      <c r="C5769" s="2" t="s">
        <v>4086</v>
      </c>
      <c r="D5769" s="11" t="n">
        <v>9440</v>
      </c>
      <c r="E5769" s="31" t="n">
        <v>19.8</v>
      </c>
      <c r="F5769" s="31" t="n">
        <v>56.2</v>
      </c>
      <c r="G5769" s="31" t="n">
        <v>36.5</v>
      </c>
      <c r="H5769" s="2" t="s">
        <v>671</v>
      </c>
    </row>
    <row r="5770" customFormat="false" ht="15" hidden="false" customHeight="false" outlineLevel="0" collapsed="false">
      <c r="A5770" s="2" t="s">
        <v>2444</v>
      </c>
      <c r="B5770" s="2" t="s">
        <v>47</v>
      </c>
      <c r="C5770" s="2" t="s">
        <v>4087</v>
      </c>
      <c r="D5770" s="11" t="n">
        <v>9764</v>
      </c>
      <c r="E5770" s="31" t="n">
        <v>33.5</v>
      </c>
      <c r="F5770" s="31" t="n">
        <v>66.7</v>
      </c>
      <c r="G5770" s="31" t="n">
        <v>44</v>
      </c>
      <c r="H5770" s="2" t="s">
        <v>671</v>
      </c>
    </row>
    <row r="5771" customFormat="false" ht="15" hidden="false" customHeight="false" outlineLevel="0" collapsed="false">
      <c r="A5771" s="2" t="s">
        <v>314</v>
      </c>
      <c r="B5771" s="2" t="s">
        <v>4104</v>
      </c>
      <c r="C5771" s="2" t="s">
        <v>4085</v>
      </c>
      <c r="D5771" s="2"/>
      <c r="E5771" s="31" t="n">
        <v>86.5</v>
      </c>
      <c r="F5771" s="31" t="n">
        <v>19.1</v>
      </c>
      <c r="G5771" s="31" t="n">
        <v>37</v>
      </c>
      <c r="H5771" s="2" t="s">
        <v>671</v>
      </c>
    </row>
    <row r="5772" customFormat="false" ht="15" hidden="false" customHeight="false" outlineLevel="0" collapsed="false">
      <c r="A5772" s="2" t="s">
        <v>314</v>
      </c>
      <c r="B5772" s="2" t="s">
        <v>4104</v>
      </c>
      <c r="C5772" s="2" t="s">
        <v>4086</v>
      </c>
      <c r="D5772" s="2"/>
      <c r="E5772" s="31" t="n">
        <v>67.2</v>
      </c>
      <c r="F5772" s="31" t="n">
        <v>14.9</v>
      </c>
      <c r="G5772" s="31" t="n">
        <v>88.2</v>
      </c>
      <c r="H5772" s="2" t="s">
        <v>671</v>
      </c>
    </row>
    <row r="5773" customFormat="false" ht="15" hidden="false" customHeight="false" outlineLevel="0" collapsed="false">
      <c r="A5773" s="2" t="s">
        <v>314</v>
      </c>
      <c r="B5773" s="2" t="s">
        <v>4104</v>
      </c>
      <c r="C5773" s="2" t="s">
        <v>4087</v>
      </c>
      <c r="D5773" s="2"/>
      <c r="E5773" s="31" t="n">
        <v>56.7</v>
      </c>
      <c r="F5773" s="31" t="n">
        <v>42.2</v>
      </c>
      <c r="G5773" s="31" t="n">
        <v>65.3</v>
      </c>
      <c r="H5773" s="2" t="s">
        <v>671</v>
      </c>
    </row>
    <row r="5774" customFormat="false" ht="15" hidden="false" customHeight="false" outlineLevel="0" collapsed="false">
      <c r="A5774" s="2" t="s">
        <v>314</v>
      </c>
      <c r="B5774" s="2" t="s">
        <v>47</v>
      </c>
      <c r="C5774" s="2" t="s">
        <v>4085</v>
      </c>
      <c r="D5774" s="11" t="n">
        <v>197451</v>
      </c>
      <c r="E5774" s="31" t="n">
        <v>86.5</v>
      </c>
      <c r="F5774" s="31" t="n">
        <v>19.1</v>
      </c>
      <c r="G5774" s="31" t="n">
        <v>37</v>
      </c>
      <c r="H5774" s="2" t="s">
        <v>671</v>
      </c>
    </row>
    <row r="5775" customFormat="false" ht="15" hidden="false" customHeight="false" outlineLevel="0" collapsed="false">
      <c r="A5775" s="2" t="s">
        <v>314</v>
      </c>
      <c r="B5775" s="2" t="s">
        <v>47</v>
      </c>
      <c r="C5775" s="2" t="s">
        <v>4086</v>
      </c>
      <c r="D5775" s="11" t="n">
        <v>198002</v>
      </c>
      <c r="E5775" s="31" t="n">
        <v>67.2</v>
      </c>
      <c r="F5775" s="31" t="n">
        <v>14.9</v>
      </c>
      <c r="G5775" s="31" t="n">
        <v>88.2</v>
      </c>
      <c r="H5775" s="2" t="s">
        <v>671</v>
      </c>
    </row>
    <row r="5776" customFormat="false" ht="15" hidden="false" customHeight="false" outlineLevel="0" collapsed="false">
      <c r="A5776" s="2" t="s">
        <v>314</v>
      </c>
      <c r="B5776" s="2" t="s">
        <v>47</v>
      </c>
      <c r="C5776" s="2" t="s">
        <v>4087</v>
      </c>
      <c r="D5776" s="11" t="n">
        <v>205851</v>
      </c>
      <c r="E5776" s="31" t="n">
        <v>56.7</v>
      </c>
      <c r="F5776" s="31" t="n">
        <v>42.2</v>
      </c>
      <c r="G5776" s="31" t="n">
        <v>65.3</v>
      </c>
      <c r="H5776" s="2" t="s">
        <v>671</v>
      </c>
    </row>
    <row r="5777" customFormat="false" ht="15" hidden="false" customHeight="false" outlineLevel="0" collapsed="false">
      <c r="A5777" s="2" t="s">
        <v>850</v>
      </c>
      <c r="B5777" s="2" t="s">
        <v>4104</v>
      </c>
      <c r="C5777" s="2" t="s">
        <v>4085</v>
      </c>
      <c r="D5777" s="2"/>
      <c r="E5777" s="31" t="n">
        <v>82.9</v>
      </c>
      <c r="F5777" s="31" t="n">
        <v>33.9</v>
      </c>
      <c r="G5777" s="31" t="n">
        <v>17.2</v>
      </c>
      <c r="H5777" s="2" t="s">
        <v>668</v>
      </c>
    </row>
    <row r="5778" customFormat="false" ht="15" hidden="false" customHeight="false" outlineLevel="0" collapsed="false">
      <c r="A5778" s="2" t="s">
        <v>850</v>
      </c>
      <c r="B5778" s="2" t="s">
        <v>4104</v>
      </c>
      <c r="C5778" s="2" t="s">
        <v>4086</v>
      </c>
      <c r="D5778" s="2"/>
      <c r="E5778" s="31" t="n">
        <v>77.3</v>
      </c>
      <c r="F5778" s="31" t="n">
        <v>22</v>
      </c>
      <c r="G5778" s="31" t="n">
        <v>12.4</v>
      </c>
      <c r="H5778" s="2" t="s">
        <v>671</v>
      </c>
    </row>
    <row r="5779" customFormat="false" ht="15" hidden="false" customHeight="false" outlineLevel="0" collapsed="false">
      <c r="A5779" s="2" t="s">
        <v>850</v>
      </c>
      <c r="B5779" s="2" t="s">
        <v>4104</v>
      </c>
      <c r="C5779" s="2" t="s">
        <v>4087</v>
      </c>
      <c r="D5779" s="2"/>
      <c r="E5779" s="31" t="n">
        <v>75.2</v>
      </c>
      <c r="F5779" s="31" t="n">
        <v>30.5</v>
      </c>
      <c r="G5779" s="31" t="n">
        <v>17.8</v>
      </c>
      <c r="H5779" s="2" t="s">
        <v>668</v>
      </c>
    </row>
    <row r="5780" customFormat="false" ht="15" hidden="false" customHeight="false" outlineLevel="0" collapsed="false">
      <c r="A5780" s="2" t="s">
        <v>850</v>
      </c>
      <c r="B5780" s="2" t="s">
        <v>45</v>
      </c>
      <c r="C5780" s="2" t="s">
        <v>4085</v>
      </c>
      <c r="D5780" s="2"/>
      <c r="E5780" s="2"/>
      <c r="F5780" s="2"/>
      <c r="G5780" s="2"/>
      <c r="H5780" s="2" t="s">
        <v>668</v>
      </c>
    </row>
    <row r="5781" customFormat="false" ht="15" hidden="false" customHeight="false" outlineLevel="0" collapsed="false">
      <c r="A5781" s="2" t="s">
        <v>850</v>
      </c>
      <c r="B5781" s="2" t="s">
        <v>45</v>
      </c>
      <c r="C5781" s="2" t="s">
        <v>4086</v>
      </c>
      <c r="D5781" s="11" t="n">
        <v>13090</v>
      </c>
      <c r="E5781" s="31" t="n">
        <v>84.5</v>
      </c>
      <c r="F5781" s="31" t="n">
        <v>14.1</v>
      </c>
      <c r="G5781" s="31" t="n">
        <v>6.8</v>
      </c>
      <c r="H5781" s="2" t="s">
        <v>671</v>
      </c>
    </row>
    <row r="5782" customFormat="false" ht="15" hidden="false" customHeight="false" outlineLevel="0" collapsed="false">
      <c r="A5782" s="2" t="s">
        <v>850</v>
      </c>
      <c r="B5782" s="2" t="s">
        <v>45</v>
      </c>
      <c r="C5782" s="2" t="s">
        <v>4087</v>
      </c>
      <c r="D5782" s="11" t="n">
        <v>13235</v>
      </c>
      <c r="E5782" s="31" t="n">
        <v>75.2</v>
      </c>
      <c r="F5782" s="31" t="n">
        <v>11.1</v>
      </c>
      <c r="G5782" s="31" t="n">
        <v>10.8</v>
      </c>
      <c r="H5782" s="2" t="s">
        <v>671</v>
      </c>
    </row>
    <row r="5783" customFormat="false" ht="15" hidden="false" customHeight="false" outlineLevel="0" collapsed="false">
      <c r="A5783" s="2" t="s">
        <v>850</v>
      </c>
      <c r="B5783" s="2" t="s">
        <v>46</v>
      </c>
      <c r="C5783" s="2" t="s">
        <v>4085</v>
      </c>
      <c r="D5783" s="11" t="n">
        <v>103500</v>
      </c>
      <c r="E5783" s="31" t="n">
        <v>99</v>
      </c>
      <c r="F5783" s="31" t="n">
        <v>42.3</v>
      </c>
      <c r="G5783" s="31" t="n">
        <v>16.2</v>
      </c>
      <c r="H5783" s="2" t="s">
        <v>671</v>
      </c>
    </row>
    <row r="5784" customFormat="false" ht="15" hidden="false" customHeight="false" outlineLevel="0" collapsed="false">
      <c r="A5784" s="2" t="s">
        <v>850</v>
      </c>
      <c r="B5784" s="2" t="s">
        <v>46</v>
      </c>
      <c r="C5784" s="2" t="s">
        <v>4086</v>
      </c>
      <c r="D5784" s="11" t="n">
        <v>106120</v>
      </c>
      <c r="E5784" s="31" t="n">
        <v>96.7</v>
      </c>
      <c r="F5784" s="31" t="n">
        <v>19.1</v>
      </c>
      <c r="G5784" s="31" t="n">
        <v>11.5</v>
      </c>
      <c r="H5784" s="2" t="s">
        <v>671</v>
      </c>
    </row>
    <row r="5785" customFormat="false" ht="15" hidden="false" customHeight="false" outlineLevel="0" collapsed="false">
      <c r="A5785" s="2" t="s">
        <v>850</v>
      </c>
      <c r="B5785" s="2" t="s">
        <v>46</v>
      </c>
      <c r="C5785" s="2" t="s">
        <v>4087</v>
      </c>
      <c r="D5785" s="11" t="n">
        <v>105153</v>
      </c>
      <c r="E5785" s="2"/>
      <c r="F5785" s="31" t="n">
        <v>68.2</v>
      </c>
      <c r="G5785" s="2"/>
      <c r="H5785" s="2" t="s">
        <v>668</v>
      </c>
    </row>
    <row r="5786" customFormat="false" ht="15" hidden="false" customHeight="false" outlineLevel="0" collapsed="false">
      <c r="A5786" s="2" t="s">
        <v>850</v>
      </c>
      <c r="B5786" s="2" t="s">
        <v>47</v>
      </c>
      <c r="C5786" s="2" t="s">
        <v>4085</v>
      </c>
      <c r="D5786" s="11" t="n">
        <v>88523</v>
      </c>
      <c r="E5786" s="31" t="n">
        <v>66.8</v>
      </c>
      <c r="F5786" s="31" t="n">
        <v>25.5</v>
      </c>
      <c r="G5786" s="31" t="n">
        <v>18.2</v>
      </c>
      <c r="H5786" s="2" t="s">
        <v>671</v>
      </c>
    </row>
    <row r="5787" customFormat="false" ht="15" hidden="false" customHeight="false" outlineLevel="0" collapsed="false">
      <c r="A5787" s="2" t="s">
        <v>850</v>
      </c>
      <c r="B5787" s="2" t="s">
        <v>47</v>
      </c>
      <c r="C5787" s="2" t="s">
        <v>4086</v>
      </c>
      <c r="D5787" s="11" t="n">
        <v>90099</v>
      </c>
      <c r="E5787" s="31" t="n">
        <v>50.6</v>
      </c>
      <c r="F5787" s="31" t="n">
        <v>32.8</v>
      </c>
      <c r="G5787" s="31" t="n">
        <v>18.8</v>
      </c>
      <c r="H5787" s="2" t="s">
        <v>671</v>
      </c>
    </row>
    <row r="5788" customFormat="false" ht="15" hidden="false" customHeight="false" outlineLevel="0" collapsed="false">
      <c r="A5788" s="2" t="s">
        <v>850</v>
      </c>
      <c r="B5788" s="2" t="s">
        <v>47</v>
      </c>
      <c r="C5788" s="2" t="s">
        <v>4087</v>
      </c>
      <c r="D5788" s="11" t="n">
        <v>89904</v>
      </c>
      <c r="E5788" s="2"/>
      <c r="F5788" s="31" t="n">
        <v>12.1</v>
      </c>
      <c r="G5788" s="31" t="n">
        <v>24.8</v>
      </c>
      <c r="H5788" s="2" t="s">
        <v>668</v>
      </c>
    </row>
    <row r="5789" customFormat="false" ht="15" hidden="false" customHeight="false" outlineLevel="0" collapsed="false">
      <c r="A5789" s="2" t="s">
        <v>1183</v>
      </c>
      <c r="B5789" s="2" t="s">
        <v>4104</v>
      </c>
      <c r="C5789" s="2" t="s">
        <v>4085</v>
      </c>
      <c r="D5789" s="2"/>
      <c r="E5789" s="31" t="n">
        <v>88.1</v>
      </c>
      <c r="F5789" s="31" t="n">
        <v>10.1</v>
      </c>
      <c r="G5789" s="2"/>
      <c r="H5789" s="2" t="s">
        <v>668</v>
      </c>
    </row>
    <row r="5790" customFormat="false" ht="15" hidden="false" customHeight="false" outlineLevel="0" collapsed="false">
      <c r="A5790" s="2" t="s">
        <v>1183</v>
      </c>
      <c r="B5790" s="2" t="s">
        <v>4104</v>
      </c>
      <c r="C5790" s="2" t="s">
        <v>4086</v>
      </c>
      <c r="D5790" s="2"/>
      <c r="E5790" s="31" t="n">
        <v>63.2</v>
      </c>
      <c r="F5790" s="31" t="n">
        <v>16.4</v>
      </c>
      <c r="G5790" s="31" t="n">
        <v>25.2</v>
      </c>
      <c r="H5790" s="2" t="s">
        <v>668</v>
      </c>
    </row>
    <row r="5791" customFormat="false" ht="15" hidden="false" customHeight="false" outlineLevel="0" collapsed="false">
      <c r="A5791" s="2" t="s">
        <v>1183</v>
      </c>
      <c r="B5791" s="2" t="s">
        <v>4104</v>
      </c>
      <c r="C5791" s="2" t="s">
        <v>4087</v>
      </c>
      <c r="D5791" s="2"/>
      <c r="E5791" s="31" t="n">
        <v>30.8</v>
      </c>
      <c r="F5791" s="31" t="n">
        <v>76</v>
      </c>
      <c r="G5791" s="31" t="n">
        <v>61.6</v>
      </c>
      <c r="H5791" s="2" t="s">
        <v>668</v>
      </c>
    </row>
    <row r="5792" customFormat="false" ht="15" hidden="false" customHeight="false" outlineLevel="0" collapsed="false">
      <c r="A5792" s="2" t="s">
        <v>1183</v>
      </c>
      <c r="B5792" s="2" t="s">
        <v>45</v>
      </c>
      <c r="C5792" s="2" t="s">
        <v>4085</v>
      </c>
      <c r="D5792" s="2"/>
      <c r="E5792" s="2"/>
      <c r="F5792" s="2"/>
      <c r="G5792" s="2"/>
      <c r="H5792" s="2" t="s">
        <v>668</v>
      </c>
    </row>
    <row r="5793" customFormat="false" ht="15" hidden="false" customHeight="false" outlineLevel="0" collapsed="false">
      <c r="A5793" s="2" t="s">
        <v>1183</v>
      </c>
      <c r="B5793" s="2" t="s">
        <v>45</v>
      </c>
      <c r="C5793" s="2" t="s">
        <v>4086</v>
      </c>
      <c r="D5793" s="11" t="n">
        <v>29080</v>
      </c>
      <c r="E5793" s="31" t="n">
        <v>41.2</v>
      </c>
      <c r="F5793" s="2"/>
      <c r="G5793" s="31" t="n">
        <v>22.4</v>
      </c>
      <c r="H5793" s="2" t="s">
        <v>668</v>
      </c>
    </row>
    <row r="5794" customFormat="false" ht="15" hidden="false" customHeight="false" outlineLevel="0" collapsed="false">
      <c r="A5794" s="2" t="s">
        <v>1183</v>
      </c>
      <c r="B5794" s="2" t="s">
        <v>45</v>
      </c>
      <c r="C5794" s="2" t="s">
        <v>4087</v>
      </c>
      <c r="D5794" s="11" t="n">
        <v>28938</v>
      </c>
      <c r="E5794" s="31" t="n">
        <v>30.8</v>
      </c>
      <c r="F5794" s="31" t="n">
        <v>55.2</v>
      </c>
      <c r="G5794" s="31" t="n">
        <v>61.6</v>
      </c>
      <c r="H5794" s="2" t="s">
        <v>671</v>
      </c>
    </row>
    <row r="5795" customFormat="false" ht="15" hidden="false" customHeight="false" outlineLevel="0" collapsed="false">
      <c r="A5795" s="2" t="s">
        <v>1183</v>
      </c>
      <c r="B5795" s="2" t="s">
        <v>46</v>
      </c>
      <c r="C5795" s="2" t="s">
        <v>4085</v>
      </c>
      <c r="D5795" s="11" t="n">
        <v>48310</v>
      </c>
      <c r="E5795" s="31" t="n">
        <v>88.1</v>
      </c>
      <c r="F5795" s="31" t="n">
        <v>10.1</v>
      </c>
      <c r="G5795" s="2"/>
      <c r="H5795" s="2" t="s">
        <v>668</v>
      </c>
    </row>
    <row r="5796" customFormat="false" ht="15" hidden="false" customHeight="false" outlineLevel="0" collapsed="false">
      <c r="A5796" s="2" t="s">
        <v>1183</v>
      </c>
      <c r="B5796" s="2" t="s">
        <v>46</v>
      </c>
      <c r="C5796" s="2" t="s">
        <v>4086</v>
      </c>
      <c r="D5796" s="11" t="n">
        <v>48150</v>
      </c>
      <c r="E5796" s="31" t="n">
        <v>85.1</v>
      </c>
      <c r="F5796" s="31" t="n">
        <v>16.4</v>
      </c>
      <c r="G5796" s="31" t="n">
        <v>28</v>
      </c>
      <c r="H5796" s="2" t="s">
        <v>671</v>
      </c>
    </row>
    <row r="5797" customFormat="false" ht="15" hidden="false" customHeight="false" outlineLevel="0" collapsed="false">
      <c r="A5797" s="2" t="s">
        <v>1183</v>
      </c>
      <c r="B5797" s="2" t="s">
        <v>46</v>
      </c>
      <c r="C5797" s="2" t="s">
        <v>4087</v>
      </c>
      <c r="D5797" s="11" t="n">
        <v>163370</v>
      </c>
      <c r="E5797" s="2"/>
      <c r="F5797" s="31" t="n">
        <v>96.7</v>
      </c>
      <c r="G5797" s="2"/>
      <c r="H5797" s="2" t="s">
        <v>668</v>
      </c>
    </row>
    <row r="5798" customFormat="false" ht="15" hidden="false" customHeight="false" outlineLevel="0" collapsed="false">
      <c r="A5798" s="2" t="s">
        <v>1976</v>
      </c>
      <c r="B5798" s="2" t="s">
        <v>4104</v>
      </c>
      <c r="C5798" s="2" t="s">
        <v>4085</v>
      </c>
      <c r="D5798" s="2"/>
      <c r="E5798" s="31" t="n">
        <v>95.5</v>
      </c>
      <c r="F5798" s="31" t="n">
        <v>41.9</v>
      </c>
      <c r="G5798" s="31" t="n">
        <v>26.6</v>
      </c>
      <c r="H5798" s="2" t="s">
        <v>668</v>
      </c>
    </row>
    <row r="5799" customFormat="false" ht="15" hidden="false" customHeight="false" outlineLevel="0" collapsed="false">
      <c r="A5799" s="2" t="s">
        <v>1976</v>
      </c>
      <c r="B5799" s="2" t="s">
        <v>4104</v>
      </c>
      <c r="C5799" s="2" t="s">
        <v>4086</v>
      </c>
      <c r="D5799" s="2"/>
      <c r="E5799" s="31" t="n">
        <v>98.8</v>
      </c>
      <c r="F5799" s="31" t="n">
        <v>30.8</v>
      </c>
      <c r="G5799" s="31" t="n">
        <v>51.4</v>
      </c>
      <c r="H5799" s="2" t="s">
        <v>668</v>
      </c>
    </row>
    <row r="5800" customFormat="false" ht="15" hidden="false" customHeight="false" outlineLevel="0" collapsed="false">
      <c r="A5800" s="2" t="s">
        <v>1976</v>
      </c>
      <c r="B5800" s="2" t="s">
        <v>4104</v>
      </c>
      <c r="C5800" s="2" t="s">
        <v>4087</v>
      </c>
      <c r="D5800" s="2"/>
      <c r="E5800" s="31" t="n">
        <v>98.1</v>
      </c>
      <c r="F5800" s="31" t="n">
        <v>53.2</v>
      </c>
      <c r="G5800" s="31" t="n">
        <v>44.2</v>
      </c>
      <c r="H5800" s="2" t="s">
        <v>668</v>
      </c>
    </row>
    <row r="5801" customFormat="false" ht="15" hidden="false" customHeight="false" outlineLevel="0" collapsed="false">
      <c r="A5801" s="2" t="s">
        <v>1976</v>
      </c>
      <c r="B5801" s="2" t="s">
        <v>46</v>
      </c>
      <c r="C5801" s="2" t="s">
        <v>4085</v>
      </c>
      <c r="D5801" s="11" t="n">
        <v>43183</v>
      </c>
      <c r="E5801" s="2"/>
      <c r="F5801" s="31" t="n">
        <v>49.8</v>
      </c>
      <c r="G5801" s="2"/>
      <c r="H5801" s="2" t="s">
        <v>668</v>
      </c>
    </row>
    <row r="5802" customFormat="false" ht="15" hidden="false" customHeight="false" outlineLevel="0" collapsed="false">
      <c r="A5802" s="2" t="s">
        <v>1976</v>
      </c>
      <c r="B5802" s="2" t="s">
        <v>46</v>
      </c>
      <c r="C5802" s="2" t="s">
        <v>4086</v>
      </c>
      <c r="D5802" s="2"/>
      <c r="E5802" s="2"/>
      <c r="F5802" s="2"/>
      <c r="G5802" s="2"/>
      <c r="H5802" s="2" t="s">
        <v>668</v>
      </c>
    </row>
    <row r="5803" customFormat="false" ht="15" hidden="false" customHeight="false" outlineLevel="0" collapsed="false">
      <c r="A5803" s="2" t="s">
        <v>1976</v>
      </c>
      <c r="B5803" s="2" t="s">
        <v>46</v>
      </c>
      <c r="C5803" s="2" t="s">
        <v>4087</v>
      </c>
      <c r="D5803" s="2"/>
      <c r="E5803" s="2"/>
      <c r="F5803" s="2"/>
      <c r="G5803" s="2"/>
      <c r="H5803" s="2" t="s">
        <v>668</v>
      </c>
    </row>
    <row r="5804" customFormat="false" ht="15" hidden="false" customHeight="false" outlineLevel="0" collapsed="false">
      <c r="A5804" s="2" t="s">
        <v>1976</v>
      </c>
      <c r="B5804" s="2" t="s">
        <v>47</v>
      </c>
      <c r="C5804" s="2" t="s">
        <v>4085</v>
      </c>
      <c r="D5804" s="11" t="n">
        <v>35951</v>
      </c>
      <c r="E5804" s="31" t="n">
        <v>95.5</v>
      </c>
      <c r="F5804" s="31" t="n">
        <v>34</v>
      </c>
      <c r="G5804" s="31" t="n">
        <v>26.6</v>
      </c>
      <c r="H5804" s="2" t="s">
        <v>671</v>
      </c>
    </row>
    <row r="5805" customFormat="false" ht="15" hidden="false" customHeight="false" outlineLevel="0" collapsed="false">
      <c r="A5805" s="2" t="s">
        <v>1976</v>
      </c>
      <c r="B5805" s="2" t="s">
        <v>47</v>
      </c>
      <c r="C5805" s="2" t="s">
        <v>4086</v>
      </c>
      <c r="D5805" s="11" t="n">
        <v>36469</v>
      </c>
      <c r="E5805" s="31" t="n">
        <v>98.8</v>
      </c>
      <c r="F5805" s="31" t="n">
        <v>30.8</v>
      </c>
      <c r="G5805" s="31" t="n">
        <v>51.4</v>
      </c>
      <c r="H5805" s="2" t="s">
        <v>671</v>
      </c>
    </row>
    <row r="5806" customFormat="false" ht="15" hidden="false" customHeight="false" outlineLevel="0" collapsed="false">
      <c r="A5806" s="2" t="s">
        <v>1976</v>
      </c>
      <c r="B5806" s="2" t="s">
        <v>47</v>
      </c>
      <c r="C5806" s="2" t="s">
        <v>4087</v>
      </c>
      <c r="D5806" s="11" t="n">
        <v>37608</v>
      </c>
      <c r="E5806" s="31" t="n">
        <v>98.1</v>
      </c>
      <c r="F5806" s="31" t="n">
        <v>53.2</v>
      </c>
      <c r="G5806" s="31" t="n">
        <v>44.2</v>
      </c>
      <c r="H5806" s="2" t="s">
        <v>671</v>
      </c>
    </row>
    <row r="5807" customFormat="false" ht="15" hidden="false" customHeight="false" outlineLevel="0" collapsed="false">
      <c r="A5807" s="2" t="s">
        <v>1262</v>
      </c>
      <c r="B5807" s="2" t="s">
        <v>4104</v>
      </c>
      <c r="C5807" s="2" t="s">
        <v>4085</v>
      </c>
      <c r="D5807" s="2"/>
      <c r="E5807" s="31" t="n">
        <v>28.7</v>
      </c>
      <c r="F5807" s="31" t="n">
        <v>36.4</v>
      </c>
      <c r="G5807" s="31" t="n">
        <v>31.7</v>
      </c>
      <c r="H5807" s="2" t="s">
        <v>668</v>
      </c>
    </row>
    <row r="5808" customFormat="false" ht="15" hidden="false" customHeight="false" outlineLevel="0" collapsed="false">
      <c r="A5808" s="2" t="s">
        <v>1262</v>
      </c>
      <c r="B5808" s="2" t="s">
        <v>4104</v>
      </c>
      <c r="C5808" s="2" t="s">
        <v>4086</v>
      </c>
      <c r="D5808" s="2"/>
      <c r="E5808" s="31" t="n">
        <v>26.7</v>
      </c>
      <c r="F5808" s="31" t="n">
        <v>38.5</v>
      </c>
      <c r="G5808" s="31" t="n">
        <v>60.6</v>
      </c>
      <c r="H5808" s="2" t="s">
        <v>668</v>
      </c>
    </row>
    <row r="5809" customFormat="false" ht="15" hidden="false" customHeight="false" outlineLevel="0" collapsed="false">
      <c r="A5809" s="2" t="s">
        <v>1262</v>
      </c>
      <c r="B5809" s="2" t="s">
        <v>4104</v>
      </c>
      <c r="C5809" s="2" t="s">
        <v>4087</v>
      </c>
      <c r="D5809" s="2"/>
      <c r="E5809" s="31" t="n">
        <v>15.3</v>
      </c>
      <c r="F5809" s="31" t="n">
        <v>60</v>
      </c>
      <c r="G5809" s="31" t="n">
        <v>41.6</v>
      </c>
      <c r="H5809" s="2" t="s">
        <v>668</v>
      </c>
    </row>
    <row r="5810" customFormat="false" ht="15" hidden="false" customHeight="false" outlineLevel="0" collapsed="false">
      <c r="A5810" s="2" t="s">
        <v>1262</v>
      </c>
      <c r="B5810" s="2" t="s">
        <v>45</v>
      </c>
      <c r="C5810" s="2" t="s">
        <v>4085</v>
      </c>
      <c r="D5810" s="11" t="n">
        <v>54860</v>
      </c>
      <c r="E5810" s="31" t="n">
        <v>12.7</v>
      </c>
      <c r="F5810" s="2"/>
      <c r="G5810" s="31" t="n">
        <v>66.1</v>
      </c>
      <c r="H5810" s="2" t="s">
        <v>668</v>
      </c>
    </row>
    <row r="5811" customFormat="false" ht="15" hidden="false" customHeight="false" outlineLevel="0" collapsed="false">
      <c r="A5811" s="2" t="s">
        <v>1262</v>
      </c>
      <c r="B5811" s="2" t="s">
        <v>45</v>
      </c>
      <c r="C5811" s="2" t="s">
        <v>4086</v>
      </c>
      <c r="D5811" s="11" t="n">
        <v>55030</v>
      </c>
      <c r="E5811" s="31" t="n">
        <v>20.6</v>
      </c>
      <c r="F5811" s="31" t="n">
        <v>18.9</v>
      </c>
      <c r="G5811" s="31" t="n">
        <v>82.3</v>
      </c>
      <c r="H5811" s="2" t="s">
        <v>671</v>
      </c>
    </row>
    <row r="5812" customFormat="false" ht="15" hidden="false" customHeight="false" outlineLevel="0" collapsed="false">
      <c r="A5812" s="2" t="s">
        <v>1262</v>
      </c>
      <c r="B5812" s="2" t="s">
        <v>45</v>
      </c>
      <c r="C5812" s="2" t="s">
        <v>4087</v>
      </c>
      <c r="D5812" s="11" t="n">
        <v>55910</v>
      </c>
      <c r="E5812" s="31" t="n">
        <v>19.4</v>
      </c>
      <c r="F5812" s="31" t="n">
        <v>27.8</v>
      </c>
      <c r="G5812" s="31" t="n">
        <v>17.1</v>
      </c>
      <c r="H5812" s="2" t="s">
        <v>671</v>
      </c>
    </row>
    <row r="5813" customFormat="false" ht="15" hidden="false" customHeight="false" outlineLevel="0" collapsed="false">
      <c r="A5813" s="2" t="s">
        <v>1262</v>
      </c>
      <c r="B5813" s="2" t="s">
        <v>46</v>
      </c>
      <c r="C5813" s="2" t="s">
        <v>4085</v>
      </c>
      <c r="D5813" s="11" t="n">
        <v>172765</v>
      </c>
      <c r="E5813" s="31" t="n">
        <v>62.8</v>
      </c>
      <c r="F5813" s="31" t="n">
        <v>1.9</v>
      </c>
      <c r="G5813" s="31" t="n">
        <v>2.3</v>
      </c>
      <c r="H5813" s="2" t="s">
        <v>671</v>
      </c>
    </row>
    <row r="5814" customFormat="false" ht="15" hidden="false" customHeight="false" outlineLevel="0" collapsed="false">
      <c r="A5814" s="2" t="s">
        <v>1262</v>
      </c>
      <c r="B5814" s="2" t="s">
        <v>46</v>
      </c>
      <c r="C5814" s="2" t="s">
        <v>4086</v>
      </c>
      <c r="D5814" s="11" t="n">
        <v>168470</v>
      </c>
      <c r="E5814" s="31" t="n">
        <v>48.7</v>
      </c>
      <c r="F5814" s="31" t="n">
        <v>8.9</v>
      </c>
      <c r="G5814" s="2"/>
      <c r="H5814" s="2" t="s">
        <v>668</v>
      </c>
    </row>
    <row r="5815" customFormat="false" ht="15" hidden="false" customHeight="false" outlineLevel="0" collapsed="false">
      <c r="A5815" s="2" t="s">
        <v>1262</v>
      </c>
      <c r="B5815" s="2" t="s">
        <v>46</v>
      </c>
      <c r="C5815" s="2" t="s">
        <v>4087</v>
      </c>
      <c r="D5815" s="2"/>
      <c r="E5815" s="2"/>
      <c r="F5815" s="2"/>
      <c r="G5815" s="2"/>
      <c r="H5815" s="2" t="s">
        <v>668</v>
      </c>
    </row>
    <row r="5816" customFormat="false" ht="15" hidden="false" customHeight="false" outlineLevel="0" collapsed="false">
      <c r="A5816" s="2" t="s">
        <v>1262</v>
      </c>
      <c r="B5816" s="2" t="s">
        <v>47</v>
      </c>
      <c r="C5816" s="2" t="s">
        <v>4085</v>
      </c>
      <c r="D5816" s="11" t="n">
        <v>204269</v>
      </c>
      <c r="E5816" s="31" t="n">
        <v>10.7</v>
      </c>
      <c r="F5816" s="31" t="n">
        <v>71</v>
      </c>
      <c r="G5816" s="31" t="n">
        <v>26.8</v>
      </c>
      <c r="H5816" s="2" t="s">
        <v>671</v>
      </c>
    </row>
    <row r="5817" customFormat="false" ht="15" hidden="false" customHeight="false" outlineLevel="0" collapsed="false">
      <c r="A5817" s="2" t="s">
        <v>1262</v>
      </c>
      <c r="B5817" s="2" t="s">
        <v>47</v>
      </c>
      <c r="C5817" s="2" t="s">
        <v>4086</v>
      </c>
      <c r="D5817" s="11" t="n">
        <v>218124</v>
      </c>
      <c r="E5817" s="31" t="n">
        <v>10.9</v>
      </c>
      <c r="F5817" s="31" t="n">
        <v>87.6</v>
      </c>
      <c r="G5817" s="31" t="n">
        <v>38.9</v>
      </c>
      <c r="H5817" s="2" t="s">
        <v>671</v>
      </c>
    </row>
    <row r="5818" customFormat="false" ht="15" hidden="false" customHeight="false" outlineLevel="0" collapsed="false">
      <c r="A5818" s="2" t="s">
        <v>1262</v>
      </c>
      <c r="B5818" s="2" t="s">
        <v>47</v>
      </c>
      <c r="C5818" s="2" t="s">
        <v>4087</v>
      </c>
      <c r="D5818" s="11" t="n">
        <v>234035</v>
      </c>
      <c r="E5818" s="31" t="n">
        <v>11.2</v>
      </c>
      <c r="F5818" s="31" t="n">
        <v>92.2</v>
      </c>
      <c r="G5818" s="31" t="n">
        <v>66.1</v>
      </c>
      <c r="H5818" s="2" t="s">
        <v>671</v>
      </c>
    </row>
    <row r="5819" customFormat="false" ht="15" hidden="false" customHeight="false" outlineLevel="0" collapsed="false">
      <c r="A5819" s="2" t="s">
        <v>1110</v>
      </c>
      <c r="B5819" s="2" t="s">
        <v>4104</v>
      </c>
      <c r="C5819" s="2" t="s">
        <v>4085</v>
      </c>
      <c r="D5819" s="2"/>
      <c r="E5819" s="31" t="n">
        <v>27.4</v>
      </c>
      <c r="F5819" s="31" t="n">
        <v>31.6</v>
      </c>
      <c r="G5819" s="31" t="n">
        <v>79.2</v>
      </c>
      <c r="H5819" s="2" t="s">
        <v>671</v>
      </c>
    </row>
    <row r="5820" customFormat="false" ht="15" hidden="false" customHeight="false" outlineLevel="0" collapsed="false">
      <c r="A5820" s="2" t="s">
        <v>1110</v>
      </c>
      <c r="B5820" s="2" t="s">
        <v>4104</v>
      </c>
      <c r="C5820" s="2" t="s">
        <v>4086</v>
      </c>
      <c r="D5820" s="2"/>
      <c r="E5820" s="31" t="n">
        <v>42.4</v>
      </c>
      <c r="F5820" s="31" t="n">
        <v>48.5</v>
      </c>
      <c r="G5820" s="31" t="n">
        <v>88.4</v>
      </c>
      <c r="H5820" s="2" t="s">
        <v>668</v>
      </c>
    </row>
    <row r="5821" customFormat="false" ht="15" hidden="false" customHeight="false" outlineLevel="0" collapsed="false">
      <c r="A5821" s="2" t="s">
        <v>1110</v>
      </c>
      <c r="B5821" s="2" t="s">
        <v>4104</v>
      </c>
      <c r="C5821" s="2" t="s">
        <v>4087</v>
      </c>
      <c r="D5821" s="2"/>
      <c r="E5821" s="31" t="n">
        <v>37.8</v>
      </c>
      <c r="F5821" s="31" t="n">
        <v>39.6</v>
      </c>
      <c r="G5821" s="31" t="n">
        <v>81.7</v>
      </c>
      <c r="H5821" s="2" t="s">
        <v>668</v>
      </c>
    </row>
    <row r="5822" customFormat="false" ht="15" hidden="false" customHeight="false" outlineLevel="0" collapsed="false">
      <c r="A5822" s="2" t="s">
        <v>1110</v>
      </c>
      <c r="B5822" s="2" t="s">
        <v>45</v>
      </c>
      <c r="C5822" s="2" t="s">
        <v>4085</v>
      </c>
      <c r="D5822" s="11" t="n">
        <v>16580</v>
      </c>
      <c r="E5822" s="31" t="n">
        <v>36.3</v>
      </c>
      <c r="F5822" s="31" t="n">
        <v>22.3</v>
      </c>
      <c r="G5822" s="31" t="n">
        <v>98.5</v>
      </c>
      <c r="H5822" s="2" t="s">
        <v>671</v>
      </c>
    </row>
    <row r="5823" customFormat="false" ht="15" hidden="false" customHeight="false" outlineLevel="0" collapsed="false">
      <c r="A5823" s="2" t="s">
        <v>1110</v>
      </c>
      <c r="B5823" s="2" t="s">
        <v>45</v>
      </c>
      <c r="C5823" s="2" t="s">
        <v>4086</v>
      </c>
      <c r="D5823" s="11" t="n">
        <v>17500</v>
      </c>
      <c r="E5823" s="31" t="n">
        <v>63.9</v>
      </c>
      <c r="F5823" s="31" t="n">
        <v>28.2</v>
      </c>
      <c r="G5823" s="31" t="n">
        <v>99.8</v>
      </c>
      <c r="H5823" s="2" t="s">
        <v>671</v>
      </c>
    </row>
    <row r="5824" customFormat="false" ht="15" hidden="false" customHeight="false" outlineLevel="0" collapsed="false">
      <c r="A5824" s="2" t="s">
        <v>1110</v>
      </c>
      <c r="B5824" s="2" t="s">
        <v>45</v>
      </c>
      <c r="C5824" s="2" t="s">
        <v>4087</v>
      </c>
      <c r="D5824" s="11" t="n">
        <v>16940</v>
      </c>
      <c r="E5824" s="31" t="n">
        <v>40.6</v>
      </c>
      <c r="F5824" s="31" t="n">
        <v>22.2</v>
      </c>
      <c r="G5824" s="31" t="n">
        <v>99.2</v>
      </c>
      <c r="H5824" s="2" t="s">
        <v>671</v>
      </c>
    </row>
    <row r="5825" customFormat="false" ht="15" hidden="false" customHeight="false" outlineLevel="0" collapsed="false">
      <c r="A5825" s="2" t="s">
        <v>1110</v>
      </c>
      <c r="B5825" s="2" t="s">
        <v>46</v>
      </c>
      <c r="C5825" s="2" t="s">
        <v>4085</v>
      </c>
      <c r="D5825" s="11" t="n">
        <v>8430</v>
      </c>
      <c r="E5825" s="31" t="n">
        <v>11.7</v>
      </c>
      <c r="F5825" s="31" t="n">
        <v>10.5</v>
      </c>
      <c r="G5825" s="31" t="n">
        <v>62.3</v>
      </c>
      <c r="H5825" s="2" t="s">
        <v>671</v>
      </c>
    </row>
    <row r="5826" customFormat="false" ht="15" hidden="false" customHeight="false" outlineLevel="0" collapsed="false">
      <c r="A5826" s="2" t="s">
        <v>1110</v>
      </c>
      <c r="B5826" s="2" t="s">
        <v>46</v>
      </c>
      <c r="C5826" s="2" t="s">
        <v>4086</v>
      </c>
      <c r="D5826" s="2"/>
      <c r="E5826" s="2"/>
      <c r="F5826" s="2"/>
      <c r="G5826" s="2"/>
      <c r="H5826" s="2" t="s">
        <v>668</v>
      </c>
    </row>
    <row r="5827" customFormat="false" ht="15" hidden="false" customHeight="false" outlineLevel="0" collapsed="false">
      <c r="A5827" s="2" t="s">
        <v>1110</v>
      </c>
      <c r="B5827" s="2" t="s">
        <v>46</v>
      </c>
      <c r="C5827" s="2" t="s">
        <v>4087</v>
      </c>
      <c r="D5827" s="2"/>
      <c r="E5827" s="2"/>
      <c r="F5827" s="2"/>
      <c r="G5827" s="31" t="n">
        <v>54.4</v>
      </c>
      <c r="H5827" s="2" t="s">
        <v>668</v>
      </c>
    </row>
    <row r="5828" customFormat="false" ht="15" hidden="false" customHeight="false" outlineLevel="0" collapsed="false">
      <c r="A5828" s="2" t="s">
        <v>1110</v>
      </c>
      <c r="B5828" s="2" t="s">
        <v>47</v>
      </c>
      <c r="C5828" s="2" t="s">
        <v>4085</v>
      </c>
      <c r="D5828" s="11" t="n">
        <v>53588</v>
      </c>
      <c r="E5828" s="31" t="n">
        <v>34.3</v>
      </c>
      <c r="F5828" s="31" t="n">
        <v>62.1</v>
      </c>
      <c r="G5828" s="31" t="n">
        <v>76.9</v>
      </c>
      <c r="H5828" s="2" t="s">
        <v>671</v>
      </c>
    </row>
    <row r="5829" customFormat="false" ht="15" hidden="false" customHeight="false" outlineLevel="0" collapsed="false">
      <c r="A5829" s="2" t="s">
        <v>1110</v>
      </c>
      <c r="B5829" s="2" t="s">
        <v>47</v>
      </c>
      <c r="C5829" s="2" t="s">
        <v>4086</v>
      </c>
      <c r="D5829" s="11" t="n">
        <v>56690</v>
      </c>
      <c r="E5829" s="31" t="n">
        <v>20.8</v>
      </c>
      <c r="F5829" s="31" t="n">
        <v>68.8</v>
      </c>
      <c r="G5829" s="31" t="n">
        <v>77.1</v>
      </c>
      <c r="H5829" s="2" t="s">
        <v>671</v>
      </c>
    </row>
    <row r="5830" customFormat="false" ht="15" hidden="false" customHeight="false" outlineLevel="0" collapsed="false">
      <c r="A5830" s="2" t="s">
        <v>1110</v>
      </c>
      <c r="B5830" s="2" t="s">
        <v>47</v>
      </c>
      <c r="C5830" s="2" t="s">
        <v>4087</v>
      </c>
      <c r="D5830" s="11" t="n">
        <v>56523</v>
      </c>
      <c r="E5830" s="31" t="n">
        <v>35</v>
      </c>
      <c r="F5830" s="31" t="n">
        <v>57.1</v>
      </c>
      <c r="G5830" s="31" t="n">
        <v>91.4</v>
      </c>
      <c r="H5830" s="2" t="s">
        <v>671</v>
      </c>
    </row>
    <row r="5831" customFormat="false" ht="15" hidden="false" customHeight="false" outlineLevel="0" collapsed="false">
      <c r="A5831" s="2" t="s">
        <v>2328</v>
      </c>
      <c r="B5831" s="2" t="s">
        <v>4104</v>
      </c>
      <c r="C5831" s="2" t="s">
        <v>4085</v>
      </c>
      <c r="D5831" s="2"/>
      <c r="E5831" s="31" t="n">
        <v>60.4</v>
      </c>
      <c r="F5831" s="31" t="n">
        <v>61.8</v>
      </c>
      <c r="G5831" s="31" t="n">
        <v>11</v>
      </c>
      <c r="H5831" s="2" t="s">
        <v>671</v>
      </c>
    </row>
    <row r="5832" customFormat="false" ht="15" hidden="false" customHeight="false" outlineLevel="0" collapsed="false">
      <c r="A5832" s="2" t="s">
        <v>2328</v>
      </c>
      <c r="B5832" s="2" t="s">
        <v>4104</v>
      </c>
      <c r="C5832" s="2" t="s">
        <v>4086</v>
      </c>
      <c r="D5832" s="2"/>
      <c r="E5832" s="31" t="n">
        <v>56.6</v>
      </c>
      <c r="F5832" s="31" t="n">
        <v>74.6</v>
      </c>
      <c r="G5832" s="31" t="n">
        <v>25</v>
      </c>
      <c r="H5832" s="2" t="s">
        <v>671</v>
      </c>
    </row>
    <row r="5833" customFormat="false" ht="15" hidden="false" customHeight="false" outlineLevel="0" collapsed="false">
      <c r="A5833" s="2" t="s">
        <v>2328</v>
      </c>
      <c r="B5833" s="2" t="s">
        <v>4104</v>
      </c>
      <c r="C5833" s="2" t="s">
        <v>4087</v>
      </c>
      <c r="D5833" s="2"/>
      <c r="E5833" s="31" t="n">
        <v>65.6</v>
      </c>
      <c r="F5833" s="31" t="n">
        <v>52</v>
      </c>
      <c r="G5833" s="31" t="n">
        <v>18.9</v>
      </c>
      <c r="H5833" s="2" t="s">
        <v>668</v>
      </c>
    </row>
    <row r="5834" customFormat="false" ht="15" hidden="false" customHeight="false" outlineLevel="0" collapsed="false">
      <c r="A5834" s="2" t="s">
        <v>2328</v>
      </c>
      <c r="B5834" s="2" t="s">
        <v>46</v>
      </c>
      <c r="C5834" s="2" t="s">
        <v>4085</v>
      </c>
      <c r="D5834" s="11" t="n">
        <v>254060</v>
      </c>
      <c r="E5834" s="31" t="n">
        <v>77.1</v>
      </c>
      <c r="F5834" s="31" t="n">
        <v>35.3</v>
      </c>
      <c r="G5834" s="31" t="n">
        <v>5.3</v>
      </c>
      <c r="H5834" s="2" t="s">
        <v>671</v>
      </c>
    </row>
    <row r="5835" customFormat="false" ht="15" hidden="false" customHeight="false" outlineLevel="0" collapsed="false">
      <c r="A5835" s="2" t="s">
        <v>2328</v>
      </c>
      <c r="B5835" s="2" t="s">
        <v>46</v>
      </c>
      <c r="C5835" s="2" t="s">
        <v>4086</v>
      </c>
      <c r="D5835" s="11" t="n">
        <v>268570</v>
      </c>
      <c r="E5835" s="31" t="n">
        <v>67</v>
      </c>
      <c r="F5835" s="31" t="n">
        <v>54.1</v>
      </c>
      <c r="G5835" s="31" t="n">
        <v>0.4</v>
      </c>
      <c r="H5835" s="2" t="s">
        <v>671</v>
      </c>
    </row>
    <row r="5836" customFormat="false" ht="15" hidden="false" customHeight="false" outlineLevel="0" collapsed="false">
      <c r="A5836" s="2" t="s">
        <v>2328</v>
      </c>
      <c r="B5836" s="2" t="s">
        <v>46</v>
      </c>
      <c r="C5836" s="2" t="s">
        <v>4087</v>
      </c>
      <c r="D5836" s="11" t="n">
        <v>275108</v>
      </c>
      <c r="E5836" s="31" t="n">
        <v>82.9</v>
      </c>
      <c r="F5836" s="31" t="n">
        <v>23.8</v>
      </c>
      <c r="G5836" s="2"/>
      <c r="H5836" s="2" t="s">
        <v>668</v>
      </c>
    </row>
    <row r="5837" customFormat="false" ht="15" hidden="false" customHeight="false" outlineLevel="0" collapsed="false">
      <c r="A5837" s="2" t="s">
        <v>2328</v>
      </c>
      <c r="B5837" s="2" t="s">
        <v>47</v>
      </c>
      <c r="C5837" s="2" t="s">
        <v>4085</v>
      </c>
      <c r="D5837" s="11" t="n">
        <v>102107</v>
      </c>
      <c r="E5837" s="31" t="n">
        <v>43.8</v>
      </c>
      <c r="F5837" s="31" t="n">
        <v>88.3</v>
      </c>
      <c r="G5837" s="31" t="n">
        <v>16.8</v>
      </c>
      <c r="H5837" s="2" t="s">
        <v>671</v>
      </c>
    </row>
    <row r="5838" customFormat="false" ht="15" hidden="false" customHeight="false" outlineLevel="0" collapsed="false">
      <c r="A5838" s="2" t="s">
        <v>2328</v>
      </c>
      <c r="B5838" s="2" t="s">
        <v>47</v>
      </c>
      <c r="C5838" s="2" t="s">
        <v>4086</v>
      </c>
      <c r="D5838" s="11" t="n">
        <v>106247</v>
      </c>
      <c r="E5838" s="31" t="n">
        <v>46.2</v>
      </c>
      <c r="F5838" s="31" t="n">
        <v>95</v>
      </c>
      <c r="G5838" s="31" t="n">
        <v>49.6</v>
      </c>
      <c r="H5838" s="2" t="s">
        <v>671</v>
      </c>
    </row>
    <row r="5839" customFormat="false" ht="15" hidden="false" customHeight="false" outlineLevel="0" collapsed="false">
      <c r="A5839" s="2" t="s">
        <v>2328</v>
      </c>
      <c r="B5839" s="2" t="s">
        <v>47</v>
      </c>
      <c r="C5839" s="2" t="s">
        <v>4087</v>
      </c>
      <c r="D5839" s="11" t="n">
        <v>109291</v>
      </c>
      <c r="E5839" s="31" t="n">
        <v>48.3</v>
      </c>
      <c r="F5839" s="31" t="n">
        <v>80.1</v>
      </c>
      <c r="G5839" s="31" t="n">
        <v>18.9</v>
      </c>
      <c r="H5839" s="2" t="s">
        <v>671</v>
      </c>
    </row>
    <row r="5840" customFormat="false" ht="15" hidden="false" customHeight="false" outlineLevel="0" collapsed="false">
      <c r="A5840" s="2" t="s">
        <v>3058</v>
      </c>
      <c r="B5840" s="2" t="s">
        <v>4104</v>
      </c>
      <c r="C5840" s="2" t="s">
        <v>4085</v>
      </c>
      <c r="D5840" s="2"/>
      <c r="E5840" s="31" t="n">
        <v>50.3</v>
      </c>
      <c r="F5840" s="31" t="n">
        <v>89.1</v>
      </c>
      <c r="G5840" s="2"/>
      <c r="H5840" s="2" t="s">
        <v>668</v>
      </c>
    </row>
    <row r="5841" customFormat="false" ht="15" hidden="false" customHeight="false" outlineLevel="0" collapsed="false">
      <c r="A5841" s="2" t="s">
        <v>3058</v>
      </c>
      <c r="B5841" s="2" t="s">
        <v>4104</v>
      </c>
      <c r="C5841" s="2" t="s">
        <v>4086</v>
      </c>
      <c r="D5841" s="2"/>
      <c r="E5841" s="31" t="n">
        <v>74.5</v>
      </c>
      <c r="F5841" s="31" t="n">
        <v>90.2</v>
      </c>
      <c r="G5841" s="31" t="n">
        <v>23.6</v>
      </c>
      <c r="H5841" s="2" t="s">
        <v>671</v>
      </c>
    </row>
    <row r="5842" customFormat="false" ht="15" hidden="false" customHeight="false" outlineLevel="0" collapsed="false">
      <c r="A5842" s="2" t="s">
        <v>3058</v>
      </c>
      <c r="B5842" s="2" t="s">
        <v>4104</v>
      </c>
      <c r="C5842" s="2" t="s">
        <v>4087</v>
      </c>
      <c r="D5842" s="2"/>
      <c r="E5842" s="31" t="n">
        <v>71</v>
      </c>
      <c r="F5842" s="31" t="n">
        <v>90</v>
      </c>
      <c r="G5842" s="2"/>
      <c r="H5842" s="2" t="s">
        <v>668</v>
      </c>
    </row>
    <row r="5843" customFormat="false" ht="15" hidden="false" customHeight="false" outlineLevel="0" collapsed="false">
      <c r="A5843" s="2" t="s">
        <v>3058</v>
      </c>
      <c r="B5843" s="2" t="s">
        <v>46</v>
      </c>
      <c r="C5843" s="2" t="s">
        <v>4085</v>
      </c>
      <c r="D5843" s="11" t="n">
        <v>33210</v>
      </c>
      <c r="E5843" s="31" t="n">
        <v>50.3</v>
      </c>
      <c r="F5843" s="31" t="n">
        <v>89.1</v>
      </c>
      <c r="G5843" s="2"/>
      <c r="H5843" s="2" t="s">
        <v>668</v>
      </c>
    </row>
    <row r="5844" customFormat="false" ht="15" hidden="false" customHeight="false" outlineLevel="0" collapsed="false">
      <c r="A5844" s="2" t="s">
        <v>3058</v>
      </c>
      <c r="B5844" s="2" t="s">
        <v>46</v>
      </c>
      <c r="C5844" s="2" t="s">
        <v>4086</v>
      </c>
      <c r="D5844" s="11" t="n">
        <v>35302</v>
      </c>
      <c r="E5844" s="31" t="n">
        <v>74.5</v>
      </c>
      <c r="F5844" s="31" t="n">
        <v>90.2</v>
      </c>
      <c r="G5844" s="31" t="n">
        <v>23.6</v>
      </c>
      <c r="H5844" s="2" t="s">
        <v>671</v>
      </c>
    </row>
    <row r="5845" customFormat="false" ht="15" hidden="false" customHeight="false" outlineLevel="0" collapsed="false">
      <c r="A5845" s="2" t="s">
        <v>3058</v>
      </c>
      <c r="B5845" s="2" t="s">
        <v>46</v>
      </c>
      <c r="C5845" s="2" t="s">
        <v>4087</v>
      </c>
      <c r="D5845" s="11" t="n">
        <v>37700</v>
      </c>
      <c r="E5845" s="31" t="n">
        <v>71</v>
      </c>
      <c r="F5845" s="31" t="n">
        <v>90</v>
      </c>
      <c r="G5845" s="2"/>
      <c r="H5845" s="2" t="s">
        <v>668</v>
      </c>
    </row>
    <row r="5846" customFormat="false" ht="15" hidden="false" customHeight="false" outlineLevel="0" collapsed="false">
      <c r="A5846" s="2" t="s">
        <v>366</v>
      </c>
      <c r="B5846" s="2" t="s">
        <v>4104</v>
      </c>
      <c r="C5846" s="2" t="s">
        <v>4085</v>
      </c>
      <c r="D5846" s="2"/>
      <c r="E5846" s="31" t="n">
        <v>41.6</v>
      </c>
      <c r="F5846" s="31" t="n">
        <v>88.6</v>
      </c>
      <c r="G5846" s="31" t="n">
        <v>61.4</v>
      </c>
      <c r="H5846" s="2" t="s">
        <v>671</v>
      </c>
    </row>
    <row r="5847" customFormat="false" ht="15" hidden="false" customHeight="false" outlineLevel="0" collapsed="false">
      <c r="A5847" s="2" t="s">
        <v>366</v>
      </c>
      <c r="B5847" s="2" t="s">
        <v>4104</v>
      </c>
      <c r="C5847" s="2" t="s">
        <v>4086</v>
      </c>
      <c r="D5847" s="2"/>
      <c r="E5847" s="31" t="n">
        <v>43.4</v>
      </c>
      <c r="F5847" s="31" t="n">
        <v>74.6</v>
      </c>
      <c r="G5847" s="31" t="n">
        <v>67.1</v>
      </c>
      <c r="H5847" s="2" t="s">
        <v>671</v>
      </c>
    </row>
    <row r="5848" customFormat="false" ht="15" hidden="false" customHeight="false" outlineLevel="0" collapsed="false">
      <c r="A5848" s="2" t="s">
        <v>366</v>
      </c>
      <c r="B5848" s="2" t="s">
        <v>4104</v>
      </c>
      <c r="C5848" s="2" t="s">
        <v>4087</v>
      </c>
      <c r="D5848" s="2"/>
      <c r="E5848" s="31" t="n">
        <v>50.8</v>
      </c>
      <c r="F5848" s="31" t="n">
        <v>80.1</v>
      </c>
      <c r="G5848" s="31" t="n">
        <v>61.2</v>
      </c>
      <c r="H5848" s="2" t="s">
        <v>671</v>
      </c>
    </row>
    <row r="5849" customFormat="false" ht="15" hidden="false" customHeight="false" outlineLevel="0" collapsed="false">
      <c r="A5849" s="2" t="s">
        <v>366</v>
      </c>
      <c r="B5849" s="2" t="s">
        <v>45</v>
      </c>
      <c r="C5849" s="2" t="s">
        <v>4085</v>
      </c>
      <c r="D5849" s="11" t="n">
        <v>3501704</v>
      </c>
      <c r="E5849" s="31" t="n">
        <v>71.1</v>
      </c>
      <c r="F5849" s="31" t="n">
        <v>78.6</v>
      </c>
      <c r="G5849" s="31" t="n">
        <v>25.9</v>
      </c>
      <c r="H5849" s="2" t="s">
        <v>671</v>
      </c>
    </row>
    <row r="5850" customFormat="false" ht="15" hidden="false" customHeight="false" outlineLevel="0" collapsed="false">
      <c r="A5850" s="2" t="s">
        <v>366</v>
      </c>
      <c r="B5850" s="2" t="s">
        <v>45</v>
      </c>
      <c r="C5850" s="2" t="s">
        <v>4086</v>
      </c>
      <c r="D5850" s="11" t="n">
        <v>3604745</v>
      </c>
      <c r="E5850" s="31" t="n">
        <v>68.8</v>
      </c>
      <c r="F5850" s="31" t="n">
        <v>52.9</v>
      </c>
      <c r="G5850" s="31" t="n">
        <v>37.5</v>
      </c>
      <c r="H5850" s="2" t="s">
        <v>671</v>
      </c>
    </row>
    <row r="5851" customFormat="false" ht="15" hidden="false" customHeight="false" outlineLevel="0" collapsed="false">
      <c r="A5851" s="2" t="s">
        <v>366</v>
      </c>
      <c r="B5851" s="2" t="s">
        <v>45</v>
      </c>
      <c r="C5851" s="2" t="s">
        <v>4087</v>
      </c>
      <c r="D5851" s="11" t="n">
        <v>3693110</v>
      </c>
      <c r="E5851" s="31" t="n">
        <v>71.4</v>
      </c>
      <c r="F5851" s="31" t="n">
        <v>68.8</v>
      </c>
      <c r="G5851" s="31" t="n">
        <v>22.9</v>
      </c>
      <c r="H5851" s="2" t="s">
        <v>671</v>
      </c>
    </row>
    <row r="5852" customFormat="false" ht="15" hidden="false" customHeight="false" outlineLevel="0" collapsed="false">
      <c r="A5852" s="2" t="s">
        <v>366</v>
      </c>
      <c r="B5852" s="2" t="s">
        <v>46</v>
      </c>
      <c r="C5852" s="2" t="s">
        <v>4085</v>
      </c>
      <c r="D5852" s="11" t="n">
        <v>101552</v>
      </c>
      <c r="E5852" s="31" t="n">
        <v>12.1</v>
      </c>
      <c r="F5852" s="31" t="n">
        <v>98.7</v>
      </c>
      <c r="G5852" s="31" t="n">
        <v>96.8</v>
      </c>
      <c r="H5852" s="2" t="s">
        <v>671</v>
      </c>
    </row>
    <row r="5853" customFormat="false" ht="15" hidden="false" customHeight="false" outlineLevel="0" collapsed="false">
      <c r="A5853" s="2" t="s">
        <v>366</v>
      </c>
      <c r="B5853" s="2" t="s">
        <v>46</v>
      </c>
      <c r="C5853" s="2" t="s">
        <v>4086</v>
      </c>
      <c r="D5853" s="11" t="n">
        <v>116250</v>
      </c>
      <c r="E5853" s="31" t="n">
        <v>18.1</v>
      </c>
      <c r="F5853" s="31" t="n">
        <v>96.2</v>
      </c>
      <c r="G5853" s="31" t="n">
        <v>96.7</v>
      </c>
      <c r="H5853" s="2" t="s">
        <v>671</v>
      </c>
    </row>
    <row r="5854" customFormat="false" ht="15" hidden="false" customHeight="false" outlineLevel="0" collapsed="false">
      <c r="A5854" s="2" t="s">
        <v>366</v>
      </c>
      <c r="B5854" s="2" t="s">
        <v>46</v>
      </c>
      <c r="C5854" s="2" t="s">
        <v>4087</v>
      </c>
      <c r="D5854" s="11" t="n">
        <v>115859</v>
      </c>
      <c r="E5854" s="31" t="n">
        <v>30.2</v>
      </c>
      <c r="F5854" s="31" t="n">
        <v>91.4</v>
      </c>
      <c r="G5854" s="31" t="n">
        <v>99.5</v>
      </c>
      <c r="H5854" s="2" t="s">
        <v>671</v>
      </c>
    </row>
    <row r="5855" customFormat="false" ht="15" hidden="false" customHeight="false" outlineLevel="0" collapsed="false">
      <c r="A5855" s="2" t="s">
        <v>683</v>
      </c>
      <c r="B5855" s="2" t="s">
        <v>4104</v>
      </c>
      <c r="C5855" s="2" t="s">
        <v>4085</v>
      </c>
      <c r="D5855" s="2"/>
      <c r="E5855" s="31" t="n">
        <v>55.8</v>
      </c>
      <c r="F5855" s="31" t="n">
        <v>36.5</v>
      </c>
      <c r="G5855" s="31" t="n">
        <v>79.6</v>
      </c>
      <c r="H5855" s="2" t="s">
        <v>671</v>
      </c>
    </row>
    <row r="5856" customFormat="false" ht="15" hidden="false" customHeight="false" outlineLevel="0" collapsed="false">
      <c r="A5856" s="2" t="s">
        <v>683</v>
      </c>
      <c r="B5856" s="2" t="s">
        <v>4104</v>
      </c>
      <c r="C5856" s="2" t="s">
        <v>4086</v>
      </c>
      <c r="D5856" s="2"/>
      <c r="E5856" s="31" t="n">
        <v>48.2</v>
      </c>
      <c r="F5856" s="31" t="n">
        <v>40.2</v>
      </c>
      <c r="G5856" s="31" t="n">
        <v>87.8</v>
      </c>
      <c r="H5856" s="2" t="s">
        <v>668</v>
      </c>
    </row>
    <row r="5857" customFormat="false" ht="15" hidden="false" customHeight="false" outlineLevel="0" collapsed="false">
      <c r="A5857" s="2" t="s">
        <v>683</v>
      </c>
      <c r="B5857" s="2" t="s">
        <v>4104</v>
      </c>
      <c r="C5857" s="2" t="s">
        <v>4087</v>
      </c>
      <c r="D5857" s="2"/>
      <c r="E5857" s="31" t="n">
        <v>98.3</v>
      </c>
      <c r="F5857" s="31" t="n">
        <v>44.4</v>
      </c>
      <c r="G5857" s="31" t="n">
        <v>95.6</v>
      </c>
      <c r="H5857" s="2" t="s">
        <v>668</v>
      </c>
    </row>
    <row r="5858" customFormat="false" ht="15" hidden="false" customHeight="false" outlineLevel="0" collapsed="false">
      <c r="A5858" s="2" t="s">
        <v>683</v>
      </c>
      <c r="B5858" s="2" t="s">
        <v>45</v>
      </c>
      <c r="C5858" s="2" t="s">
        <v>4085</v>
      </c>
      <c r="D5858" s="11" t="n">
        <v>9280</v>
      </c>
      <c r="E5858" s="31" t="n">
        <v>92.4</v>
      </c>
      <c r="F5858" s="31" t="n">
        <v>21</v>
      </c>
      <c r="G5858" s="31" t="n">
        <v>96.3</v>
      </c>
      <c r="H5858" s="2" t="s">
        <v>671</v>
      </c>
    </row>
    <row r="5859" customFormat="false" ht="15" hidden="false" customHeight="false" outlineLevel="0" collapsed="false">
      <c r="A5859" s="2" t="s">
        <v>683</v>
      </c>
      <c r="B5859" s="2" t="s">
        <v>45</v>
      </c>
      <c r="C5859" s="2" t="s">
        <v>4086</v>
      </c>
      <c r="D5859" s="2"/>
      <c r="E5859" s="2"/>
      <c r="F5859" s="2"/>
      <c r="G5859" s="31" t="n">
        <v>91.6</v>
      </c>
      <c r="H5859" s="2" t="s">
        <v>668</v>
      </c>
    </row>
    <row r="5860" customFormat="false" ht="15" hidden="false" customHeight="false" outlineLevel="0" collapsed="false">
      <c r="A5860" s="2" t="s">
        <v>683</v>
      </c>
      <c r="B5860" s="2" t="s">
        <v>45</v>
      </c>
      <c r="C5860" s="2" t="s">
        <v>4087</v>
      </c>
      <c r="D5860" s="11" t="n">
        <v>9870</v>
      </c>
      <c r="E5860" s="31" t="n">
        <v>98.3</v>
      </c>
      <c r="F5860" s="31" t="n">
        <v>44.4</v>
      </c>
      <c r="G5860" s="31" t="n">
        <v>95.6</v>
      </c>
      <c r="H5860" s="2" t="s">
        <v>671</v>
      </c>
    </row>
    <row r="5861" customFormat="false" ht="15" hidden="false" customHeight="false" outlineLevel="0" collapsed="false">
      <c r="A5861" s="2" t="s">
        <v>683</v>
      </c>
      <c r="B5861" s="2" t="s">
        <v>46</v>
      </c>
      <c r="C5861" s="2" t="s">
        <v>4085</v>
      </c>
      <c r="D5861" s="11" t="n">
        <v>62370</v>
      </c>
      <c r="E5861" s="31" t="n">
        <v>58.3</v>
      </c>
      <c r="F5861" s="31" t="n">
        <v>73.4</v>
      </c>
      <c r="G5861" s="31" t="n">
        <v>64.6</v>
      </c>
      <c r="H5861" s="2" t="s">
        <v>671</v>
      </c>
    </row>
    <row r="5862" customFormat="false" ht="15" hidden="false" customHeight="false" outlineLevel="0" collapsed="false">
      <c r="A5862" s="2" t="s">
        <v>683</v>
      </c>
      <c r="B5862" s="2" t="s">
        <v>46</v>
      </c>
      <c r="C5862" s="2" t="s">
        <v>4086</v>
      </c>
      <c r="D5862" s="11" t="n">
        <v>66550</v>
      </c>
      <c r="E5862" s="31" t="n">
        <v>73.7</v>
      </c>
      <c r="F5862" s="31" t="n">
        <v>65.1</v>
      </c>
      <c r="G5862" s="31" t="n">
        <v>79</v>
      </c>
      <c r="H5862" s="2" t="s">
        <v>671</v>
      </c>
    </row>
    <row r="5863" customFormat="false" ht="15" hidden="false" customHeight="false" outlineLevel="0" collapsed="false">
      <c r="A5863" s="2" t="s">
        <v>683</v>
      </c>
      <c r="B5863" s="2" t="s">
        <v>46</v>
      </c>
      <c r="C5863" s="2" t="s">
        <v>4087</v>
      </c>
      <c r="D5863" s="2"/>
      <c r="E5863" s="2"/>
      <c r="F5863" s="2"/>
      <c r="G5863" s="2"/>
      <c r="H5863" s="2" t="s">
        <v>668</v>
      </c>
    </row>
    <row r="5864" customFormat="false" ht="15" hidden="false" customHeight="false" outlineLevel="0" collapsed="false">
      <c r="A5864" s="2" t="s">
        <v>683</v>
      </c>
      <c r="B5864" s="2" t="s">
        <v>47</v>
      </c>
      <c r="C5864" s="2" t="s">
        <v>4085</v>
      </c>
      <c r="D5864" s="11" t="n">
        <v>13147</v>
      </c>
      <c r="E5864" s="31" t="n">
        <v>16.6</v>
      </c>
      <c r="F5864" s="31" t="n">
        <v>15</v>
      </c>
      <c r="G5864" s="31" t="n">
        <v>77.8</v>
      </c>
      <c r="H5864" s="2" t="s">
        <v>671</v>
      </c>
    </row>
    <row r="5865" customFormat="false" ht="15" hidden="false" customHeight="false" outlineLevel="0" collapsed="false">
      <c r="A5865" s="2" t="s">
        <v>683</v>
      </c>
      <c r="B5865" s="2" t="s">
        <v>47</v>
      </c>
      <c r="C5865" s="2" t="s">
        <v>4086</v>
      </c>
      <c r="D5865" s="11" t="n">
        <v>13412</v>
      </c>
      <c r="E5865" s="31" t="n">
        <v>22.8</v>
      </c>
      <c r="F5865" s="31" t="n">
        <v>15.3</v>
      </c>
      <c r="G5865" s="31" t="n">
        <v>92.7</v>
      </c>
      <c r="H5865" s="2" t="s">
        <v>671</v>
      </c>
    </row>
    <row r="5866" customFormat="false" ht="15" hidden="false" customHeight="false" outlineLevel="0" collapsed="false">
      <c r="A5866" s="2" t="s">
        <v>683</v>
      </c>
      <c r="B5866" s="2" t="s">
        <v>47</v>
      </c>
      <c r="C5866" s="2" t="s">
        <v>4087</v>
      </c>
      <c r="D5866" s="2"/>
      <c r="E5866" s="2"/>
      <c r="F5866" s="2"/>
      <c r="G5866" s="2"/>
      <c r="H5866" s="2" t="s">
        <v>668</v>
      </c>
    </row>
    <row r="5867" customFormat="false" ht="15" hidden="false" customHeight="false" outlineLevel="0" collapsed="false">
      <c r="A5867" s="2" t="s">
        <v>187</v>
      </c>
      <c r="B5867" s="2" t="s">
        <v>4104</v>
      </c>
      <c r="C5867" s="2" t="s">
        <v>4085</v>
      </c>
      <c r="D5867" s="2"/>
      <c r="E5867" s="31" t="n">
        <v>66.1</v>
      </c>
      <c r="F5867" s="31" t="n">
        <v>36</v>
      </c>
      <c r="G5867" s="31" t="n">
        <v>52.1</v>
      </c>
      <c r="H5867" s="2" t="s">
        <v>668</v>
      </c>
    </row>
    <row r="5868" customFormat="false" ht="15" hidden="false" customHeight="false" outlineLevel="0" collapsed="false">
      <c r="A5868" s="2" t="s">
        <v>187</v>
      </c>
      <c r="B5868" s="2" t="s">
        <v>4104</v>
      </c>
      <c r="C5868" s="2" t="s">
        <v>4086</v>
      </c>
      <c r="D5868" s="2"/>
      <c r="E5868" s="31" t="n">
        <v>74.2</v>
      </c>
      <c r="F5868" s="31" t="n">
        <v>20.7</v>
      </c>
      <c r="G5868" s="31" t="n">
        <v>54.9</v>
      </c>
      <c r="H5868" s="2" t="s">
        <v>671</v>
      </c>
    </row>
    <row r="5869" customFormat="false" ht="15" hidden="false" customHeight="false" outlineLevel="0" collapsed="false">
      <c r="A5869" s="2" t="s">
        <v>187</v>
      </c>
      <c r="B5869" s="2" t="s">
        <v>4104</v>
      </c>
      <c r="C5869" s="2" t="s">
        <v>4087</v>
      </c>
      <c r="D5869" s="2"/>
      <c r="E5869" s="31" t="n">
        <v>72.9</v>
      </c>
      <c r="F5869" s="31" t="n">
        <v>32.3</v>
      </c>
      <c r="G5869" s="31" t="n">
        <v>55</v>
      </c>
      <c r="H5869" s="2" t="s">
        <v>671</v>
      </c>
    </row>
    <row r="5870" customFormat="false" ht="15" hidden="false" customHeight="false" outlineLevel="0" collapsed="false">
      <c r="A5870" s="2" t="s">
        <v>187</v>
      </c>
      <c r="B5870" s="2" t="s">
        <v>45</v>
      </c>
      <c r="C5870" s="2" t="s">
        <v>4085</v>
      </c>
      <c r="D5870" s="11" t="n">
        <v>627970</v>
      </c>
      <c r="E5870" s="31" t="n">
        <v>36.1</v>
      </c>
      <c r="F5870" s="31" t="n">
        <v>3.4</v>
      </c>
      <c r="G5870" s="31" t="n">
        <v>35.1</v>
      </c>
      <c r="H5870" s="2" t="s">
        <v>671</v>
      </c>
    </row>
    <row r="5871" customFormat="false" ht="15" hidden="false" customHeight="false" outlineLevel="0" collapsed="false">
      <c r="A5871" s="2" t="s">
        <v>187</v>
      </c>
      <c r="B5871" s="2" t="s">
        <v>45</v>
      </c>
      <c r="C5871" s="2" t="s">
        <v>4086</v>
      </c>
      <c r="D5871" s="11" t="n">
        <v>624180</v>
      </c>
      <c r="E5871" s="31" t="n">
        <v>39.1</v>
      </c>
      <c r="F5871" s="31" t="n">
        <v>7.1</v>
      </c>
      <c r="G5871" s="31" t="n">
        <v>76.2</v>
      </c>
      <c r="H5871" s="2" t="s">
        <v>671</v>
      </c>
    </row>
    <row r="5872" customFormat="false" ht="15" hidden="false" customHeight="false" outlineLevel="0" collapsed="false">
      <c r="A5872" s="2" t="s">
        <v>187</v>
      </c>
      <c r="B5872" s="2" t="s">
        <v>45</v>
      </c>
      <c r="C5872" s="2" t="s">
        <v>4087</v>
      </c>
      <c r="D5872" s="11" t="n">
        <v>615382</v>
      </c>
      <c r="E5872" s="31" t="n">
        <v>48.9</v>
      </c>
      <c r="F5872" s="31" t="n">
        <v>7.2</v>
      </c>
      <c r="G5872" s="31" t="n">
        <v>55</v>
      </c>
      <c r="H5872" s="2" t="s">
        <v>671</v>
      </c>
    </row>
    <row r="5873" customFormat="false" ht="15" hidden="false" customHeight="false" outlineLevel="0" collapsed="false">
      <c r="A5873" s="2" t="s">
        <v>187</v>
      </c>
      <c r="B5873" s="2" t="s">
        <v>46</v>
      </c>
      <c r="C5873" s="2" t="s">
        <v>4085</v>
      </c>
      <c r="D5873" s="11" t="n">
        <v>21478</v>
      </c>
      <c r="E5873" s="31" t="n">
        <v>66.9</v>
      </c>
      <c r="F5873" s="31" t="n">
        <v>68.5</v>
      </c>
      <c r="G5873" s="31" t="n">
        <v>36.5</v>
      </c>
      <c r="H5873" s="2" t="s">
        <v>671</v>
      </c>
    </row>
    <row r="5874" customFormat="false" ht="15" hidden="false" customHeight="false" outlineLevel="0" collapsed="false">
      <c r="A5874" s="2" t="s">
        <v>187</v>
      </c>
      <c r="B5874" s="2" t="s">
        <v>46</v>
      </c>
      <c r="C5874" s="2" t="s">
        <v>4086</v>
      </c>
      <c r="D5874" s="11" t="n">
        <v>22330</v>
      </c>
      <c r="E5874" s="31" t="n">
        <v>92.7</v>
      </c>
      <c r="F5874" s="31" t="n">
        <v>48</v>
      </c>
      <c r="G5874" s="31" t="n">
        <v>25.2</v>
      </c>
      <c r="H5874" s="2" t="s">
        <v>671</v>
      </c>
    </row>
    <row r="5875" customFormat="false" ht="15" hidden="false" customHeight="false" outlineLevel="0" collapsed="false">
      <c r="A5875" s="2" t="s">
        <v>187</v>
      </c>
      <c r="B5875" s="2" t="s">
        <v>46</v>
      </c>
      <c r="C5875" s="2" t="s">
        <v>4087</v>
      </c>
      <c r="D5875" s="11" t="n">
        <v>23387</v>
      </c>
      <c r="E5875" s="31" t="n">
        <v>76.7</v>
      </c>
      <c r="F5875" s="31" t="n">
        <v>56.4</v>
      </c>
      <c r="G5875" s="31" t="n">
        <v>12.2</v>
      </c>
      <c r="H5875" s="2" t="s">
        <v>671</v>
      </c>
    </row>
    <row r="5876" customFormat="false" ht="15" hidden="false" customHeight="false" outlineLevel="0" collapsed="false">
      <c r="A5876" s="2" t="s">
        <v>187</v>
      </c>
      <c r="B5876" s="2" t="s">
        <v>47</v>
      </c>
      <c r="C5876" s="2" t="s">
        <v>4085</v>
      </c>
      <c r="D5876" s="11" t="n">
        <v>49995</v>
      </c>
      <c r="E5876" s="31" t="n">
        <v>95.2</v>
      </c>
      <c r="F5876" s="2"/>
      <c r="G5876" s="31" t="n">
        <v>84.7</v>
      </c>
      <c r="H5876" s="2" t="s">
        <v>668</v>
      </c>
    </row>
    <row r="5877" customFormat="false" ht="15" hidden="false" customHeight="false" outlineLevel="0" collapsed="false">
      <c r="A5877" s="2" t="s">
        <v>187</v>
      </c>
      <c r="B5877" s="2" t="s">
        <v>47</v>
      </c>
      <c r="C5877" s="2" t="s">
        <v>4086</v>
      </c>
      <c r="D5877" s="11" t="n">
        <v>49970</v>
      </c>
      <c r="E5877" s="31" t="n">
        <v>90.8</v>
      </c>
      <c r="F5877" s="31" t="n">
        <v>7.1</v>
      </c>
      <c r="G5877" s="31" t="n">
        <v>63.4</v>
      </c>
      <c r="H5877" s="2" t="s">
        <v>671</v>
      </c>
    </row>
    <row r="5878" customFormat="false" ht="15" hidden="false" customHeight="false" outlineLevel="0" collapsed="false">
      <c r="A5878" s="2" t="s">
        <v>187</v>
      </c>
      <c r="B5878" s="2" t="s">
        <v>47</v>
      </c>
      <c r="C5878" s="2" t="s">
        <v>4087</v>
      </c>
      <c r="D5878" s="11" t="n">
        <v>52479</v>
      </c>
      <c r="E5878" s="31" t="n">
        <v>93</v>
      </c>
      <c r="F5878" s="31" t="n">
        <v>33.3</v>
      </c>
      <c r="G5878" s="31" t="n">
        <v>97.7</v>
      </c>
      <c r="H5878" s="2" t="s">
        <v>671</v>
      </c>
    </row>
    <row r="5879" customFormat="false" ht="15" hidden="false" customHeight="false" outlineLevel="0" collapsed="false">
      <c r="A5879" s="2" t="s">
        <v>546</v>
      </c>
      <c r="B5879" s="2" t="s">
        <v>4104</v>
      </c>
      <c r="C5879" s="2" t="s">
        <v>4085</v>
      </c>
      <c r="D5879" s="2"/>
      <c r="E5879" s="31" t="n">
        <v>32.2</v>
      </c>
      <c r="F5879" s="31" t="n">
        <v>71.6</v>
      </c>
      <c r="G5879" s="31" t="n">
        <v>64.2</v>
      </c>
      <c r="H5879" s="2" t="s">
        <v>668</v>
      </c>
    </row>
    <row r="5880" customFormat="false" ht="15" hidden="false" customHeight="false" outlineLevel="0" collapsed="false">
      <c r="A5880" s="2" t="s">
        <v>546</v>
      </c>
      <c r="B5880" s="2" t="s">
        <v>4104</v>
      </c>
      <c r="C5880" s="2" t="s">
        <v>4086</v>
      </c>
      <c r="D5880" s="2"/>
      <c r="E5880" s="31" t="n">
        <v>36.2</v>
      </c>
      <c r="F5880" s="31" t="n">
        <v>61.7</v>
      </c>
      <c r="G5880" s="31" t="n">
        <v>52.6</v>
      </c>
      <c r="H5880" s="2" t="s">
        <v>671</v>
      </c>
    </row>
    <row r="5881" customFormat="false" ht="15" hidden="false" customHeight="false" outlineLevel="0" collapsed="false">
      <c r="A5881" s="2" t="s">
        <v>546</v>
      </c>
      <c r="B5881" s="2" t="s">
        <v>4104</v>
      </c>
      <c r="C5881" s="2" t="s">
        <v>4087</v>
      </c>
      <c r="D5881" s="2"/>
      <c r="E5881" s="31" t="n">
        <v>30.2</v>
      </c>
      <c r="F5881" s="31" t="n">
        <v>73.6</v>
      </c>
      <c r="G5881" s="31" t="n">
        <v>50</v>
      </c>
      <c r="H5881" s="2" t="s">
        <v>671</v>
      </c>
    </row>
    <row r="5882" customFormat="false" ht="15" hidden="false" customHeight="false" outlineLevel="0" collapsed="false">
      <c r="A5882" s="2" t="s">
        <v>546</v>
      </c>
      <c r="B5882" s="2" t="s">
        <v>45</v>
      </c>
      <c r="C5882" s="2" t="s">
        <v>4085</v>
      </c>
      <c r="D5882" s="11" t="n">
        <v>8590</v>
      </c>
      <c r="E5882" s="31" t="n">
        <v>2.8</v>
      </c>
      <c r="F5882" s="31" t="n">
        <v>67.7</v>
      </c>
      <c r="G5882" s="2"/>
      <c r="H5882" s="2" t="s">
        <v>668</v>
      </c>
    </row>
    <row r="5883" customFormat="false" ht="15" hidden="false" customHeight="false" outlineLevel="0" collapsed="false">
      <c r="A5883" s="2" t="s">
        <v>546</v>
      </c>
      <c r="B5883" s="2" t="s">
        <v>45</v>
      </c>
      <c r="C5883" s="2" t="s">
        <v>4086</v>
      </c>
      <c r="D5883" s="11" t="n">
        <v>9240</v>
      </c>
      <c r="E5883" s="31" t="n">
        <v>7</v>
      </c>
      <c r="F5883" s="31" t="n">
        <v>71.8</v>
      </c>
      <c r="G5883" s="31" t="n">
        <v>1.3</v>
      </c>
      <c r="H5883" s="2" t="s">
        <v>671</v>
      </c>
    </row>
    <row r="5884" customFormat="false" ht="15" hidden="false" customHeight="false" outlineLevel="0" collapsed="false">
      <c r="A5884" s="2" t="s">
        <v>546</v>
      </c>
      <c r="B5884" s="2" t="s">
        <v>45</v>
      </c>
      <c r="C5884" s="2" t="s">
        <v>4087</v>
      </c>
      <c r="D5884" s="11" t="n">
        <v>9660</v>
      </c>
      <c r="E5884" s="31" t="n">
        <v>2.6</v>
      </c>
      <c r="F5884" s="31" t="n">
        <v>87</v>
      </c>
      <c r="G5884" s="31" t="n">
        <v>1</v>
      </c>
      <c r="H5884" s="2" t="s">
        <v>671</v>
      </c>
    </row>
    <row r="5885" customFormat="false" ht="15" hidden="false" customHeight="false" outlineLevel="0" collapsed="false">
      <c r="A5885" s="2" t="s">
        <v>546</v>
      </c>
      <c r="B5885" s="2" t="s">
        <v>46</v>
      </c>
      <c r="C5885" s="2" t="s">
        <v>4085</v>
      </c>
      <c r="D5885" s="11" t="n">
        <v>168733</v>
      </c>
      <c r="E5885" s="31" t="n">
        <v>13.3</v>
      </c>
      <c r="F5885" s="31" t="n">
        <v>75.6</v>
      </c>
      <c r="G5885" s="2"/>
      <c r="H5885" s="2" t="s">
        <v>668</v>
      </c>
    </row>
    <row r="5886" customFormat="false" ht="15" hidden="false" customHeight="false" outlineLevel="0" collapsed="false">
      <c r="A5886" s="2" t="s">
        <v>546</v>
      </c>
      <c r="B5886" s="2" t="s">
        <v>46</v>
      </c>
      <c r="C5886" s="2" t="s">
        <v>4086</v>
      </c>
      <c r="D5886" s="11" t="n">
        <v>178430</v>
      </c>
      <c r="E5886" s="31" t="n">
        <v>24.8</v>
      </c>
      <c r="F5886" s="31" t="n">
        <v>47.1</v>
      </c>
      <c r="G5886" s="31" t="n">
        <v>82.6</v>
      </c>
      <c r="H5886" s="2" t="s">
        <v>671</v>
      </c>
    </row>
    <row r="5887" customFormat="false" ht="15" hidden="false" customHeight="false" outlineLevel="0" collapsed="false">
      <c r="A5887" s="2" t="s">
        <v>546</v>
      </c>
      <c r="B5887" s="2" t="s">
        <v>46</v>
      </c>
      <c r="C5887" s="2" t="s">
        <v>4087</v>
      </c>
      <c r="D5887" s="11" t="n">
        <v>175451</v>
      </c>
      <c r="E5887" s="31" t="n">
        <v>8.2</v>
      </c>
      <c r="F5887" s="31" t="n">
        <v>47</v>
      </c>
      <c r="G5887" s="31" t="n">
        <v>62.4</v>
      </c>
      <c r="H5887" s="2" t="s">
        <v>671</v>
      </c>
    </row>
    <row r="5888" customFormat="false" ht="15" hidden="false" customHeight="false" outlineLevel="0" collapsed="false">
      <c r="A5888" s="2" t="s">
        <v>546</v>
      </c>
      <c r="B5888" s="2" t="s">
        <v>47</v>
      </c>
      <c r="C5888" s="2" t="s">
        <v>4085</v>
      </c>
      <c r="D5888" s="11" t="n">
        <v>62651</v>
      </c>
      <c r="E5888" s="31" t="n">
        <v>80.6</v>
      </c>
      <c r="F5888" s="31" t="n">
        <v>71.6</v>
      </c>
      <c r="G5888" s="31" t="n">
        <v>64.2</v>
      </c>
      <c r="H5888" s="2" t="s">
        <v>671</v>
      </c>
    </row>
    <row r="5889" customFormat="false" ht="15" hidden="false" customHeight="false" outlineLevel="0" collapsed="false">
      <c r="A5889" s="2" t="s">
        <v>546</v>
      </c>
      <c r="B5889" s="2" t="s">
        <v>47</v>
      </c>
      <c r="C5889" s="2" t="s">
        <v>4086</v>
      </c>
      <c r="D5889" s="11" t="n">
        <v>65222</v>
      </c>
      <c r="E5889" s="31" t="n">
        <v>76.7</v>
      </c>
      <c r="F5889" s="31" t="n">
        <v>66.2</v>
      </c>
      <c r="G5889" s="31" t="n">
        <v>74</v>
      </c>
      <c r="H5889" s="2" t="s">
        <v>671</v>
      </c>
    </row>
    <row r="5890" customFormat="false" ht="15" hidden="false" customHeight="false" outlineLevel="0" collapsed="false">
      <c r="A5890" s="2" t="s">
        <v>546</v>
      </c>
      <c r="B5890" s="2" t="s">
        <v>47</v>
      </c>
      <c r="C5890" s="2" t="s">
        <v>4087</v>
      </c>
      <c r="D5890" s="11" t="n">
        <v>69726</v>
      </c>
      <c r="E5890" s="31" t="n">
        <v>79.7</v>
      </c>
      <c r="F5890" s="31" t="n">
        <v>86.9</v>
      </c>
      <c r="G5890" s="31" t="n">
        <v>86.7</v>
      </c>
      <c r="H5890" s="2" t="s">
        <v>671</v>
      </c>
    </row>
    <row r="5891" customFormat="false" ht="15" hidden="false" customHeight="false" outlineLevel="0" collapsed="false">
      <c r="A5891" s="2" t="s">
        <v>334</v>
      </c>
      <c r="B5891" s="2" t="s">
        <v>4104</v>
      </c>
      <c r="C5891" s="2" t="s">
        <v>4085</v>
      </c>
      <c r="D5891" s="2"/>
      <c r="E5891" s="31" t="n">
        <v>90.3</v>
      </c>
      <c r="F5891" s="31" t="n">
        <v>9.5</v>
      </c>
      <c r="G5891" s="31" t="n">
        <v>94.4</v>
      </c>
      <c r="H5891" s="2" t="s">
        <v>668</v>
      </c>
    </row>
    <row r="5892" customFormat="false" ht="15" hidden="false" customHeight="false" outlineLevel="0" collapsed="false">
      <c r="A5892" s="2" t="s">
        <v>334</v>
      </c>
      <c r="B5892" s="2" t="s">
        <v>4104</v>
      </c>
      <c r="C5892" s="2" t="s">
        <v>4086</v>
      </c>
      <c r="D5892" s="2"/>
      <c r="E5892" s="31" t="n">
        <v>51.8</v>
      </c>
      <c r="F5892" s="31" t="n">
        <v>18.2</v>
      </c>
      <c r="G5892" s="31" t="n">
        <v>37.8</v>
      </c>
      <c r="H5892" s="2" t="s">
        <v>671</v>
      </c>
    </row>
    <row r="5893" customFormat="false" ht="15" hidden="false" customHeight="false" outlineLevel="0" collapsed="false">
      <c r="A5893" s="2" t="s">
        <v>334</v>
      </c>
      <c r="B5893" s="2" t="s">
        <v>4104</v>
      </c>
      <c r="C5893" s="2" t="s">
        <v>4087</v>
      </c>
      <c r="D5893" s="2"/>
      <c r="E5893" s="31" t="n">
        <v>54.4</v>
      </c>
      <c r="F5893" s="31" t="n">
        <v>24.2</v>
      </c>
      <c r="G5893" s="31" t="n">
        <v>55.1</v>
      </c>
      <c r="H5893" s="2" t="s">
        <v>671</v>
      </c>
    </row>
    <row r="5894" customFormat="false" ht="15" hidden="false" customHeight="false" outlineLevel="0" collapsed="false">
      <c r="A5894" s="2" t="s">
        <v>334</v>
      </c>
      <c r="B5894" s="2" t="s">
        <v>45</v>
      </c>
      <c r="C5894" s="2" t="s">
        <v>4085</v>
      </c>
      <c r="D5894" s="11" t="n">
        <v>42028</v>
      </c>
      <c r="E5894" s="31" t="n">
        <v>90.3</v>
      </c>
      <c r="F5894" s="31" t="n">
        <v>9.5</v>
      </c>
      <c r="G5894" s="31" t="n">
        <v>94.4</v>
      </c>
      <c r="H5894" s="2" t="s">
        <v>671</v>
      </c>
    </row>
    <row r="5895" customFormat="false" ht="15" hidden="false" customHeight="false" outlineLevel="0" collapsed="false">
      <c r="A5895" s="2" t="s">
        <v>334</v>
      </c>
      <c r="B5895" s="2" t="s">
        <v>45</v>
      </c>
      <c r="C5895" s="2" t="s">
        <v>4086</v>
      </c>
      <c r="D5895" s="11" t="n">
        <v>41140</v>
      </c>
      <c r="E5895" s="31" t="n">
        <v>92.2</v>
      </c>
      <c r="F5895" s="31" t="n">
        <v>4.5</v>
      </c>
      <c r="G5895" s="31" t="n">
        <v>50.3</v>
      </c>
      <c r="H5895" s="2" t="s">
        <v>671</v>
      </c>
    </row>
    <row r="5896" customFormat="false" ht="15" hidden="false" customHeight="false" outlineLevel="0" collapsed="false">
      <c r="A5896" s="2" t="s">
        <v>334</v>
      </c>
      <c r="B5896" s="2" t="s">
        <v>45</v>
      </c>
      <c r="C5896" s="2" t="s">
        <v>4087</v>
      </c>
      <c r="D5896" s="11" t="n">
        <v>41042</v>
      </c>
      <c r="E5896" s="31" t="n">
        <v>97.4</v>
      </c>
      <c r="F5896" s="31" t="n">
        <v>20.6</v>
      </c>
      <c r="G5896" s="31" t="n">
        <v>91.7</v>
      </c>
      <c r="H5896" s="2" t="s">
        <v>671</v>
      </c>
    </row>
    <row r="5897" customFormat="false" ht="15" hidden="false" customHeight="false" outlineLevel="0" collapsed="false">
      <c r="A5897" s="2" t="s">
        <v>334</v>
      </c>
      <c r="B5897" s="2" t="s">
        <v>47</v>
      </c>
      <c r="C5897" s="2" t="s">
        <v>4085</v>
      </c>
      <c r="D5897" s="2"/>
      <c r="E5897" s="2"/>
      <c r="F5897" s="2"/>
      <c r="G5897" s="2"/>
      <c r="H5897" s="2" t="s">
        <v>668</v>
      </c>
    </row>
    <row r="5898" customFormat="false" ht="15" hidden="false" customHeight="false" outlineLevel="0" collapsed="false">
      <c r="A5898" s="2" t="s">
        <v>334</v>
      </c>
      <c r="B5898" s="2" t="s">
        <v>47</v>
      </c>
      <c r="C5898" s="2" t="s">
        <v>4086</v>
      </c>
      <c r="D5898" s="11" t="n">
        <v>29179</v>
      </c>
      <c r="E5898" s="31" t="n">
        <v>11.5</v>
      </c>
      <c r="F5898" s="31" t="n">
        <v>31.8</v>
      </c>
      <c r="G5898" s="31" t="n">
        <v>25.3</v>
      </c>
      <c r="H5898" s="2" t="s">
        <v>671</v>
      </c>
    </row>
    <row r="5899" customFormat="false" ht="15" hidden="false" customHeight="false" outlineLevel="0" collapsed="false">
      <c r="A5899" s="2" t="s">
        <v>334</v>
      </c>
      <c r="B5899" s="2" t="s">
        <v>47</v>
      </c>
      <c r="C5899" s="2" t="s">
        <v>4087</v>
      </c>
      <c r="D5899" s="11" t="n">
        <v>29455</v>
      </c>
      <c r="E5899" s="31" t="n">
        <v>11.4</v>
      </c>
      <c r="F5899" s="31" t="n">
        <v>27.7</v>
      </c>
      <c r="G5899" s="31" t="n">
        <v>18.5</v>
      </c>
      <c r="H5899" s="2" t="s">
        <v>671</v>
      </c>
    </row>
    <row r="5900" customFormat="false" ht="15" hidden="false" customHeight="false" outlineLevel="0" collapsed="false">
      <c r="A5900" s="2" t="s">
        <v>3060</v>
      </c>
      <c r="B5900" s="2" t="s">
        <v>4104</v>
      </c>
      <c r="C5900" s="2" t="s">
        <v>4085</v>
      </c>
      <c r="D5900" s="2"/>
      <c r="E5900" s="31" t="n">
        <v>11.2</v>
      </c>
      <c r="F5900" s="31" t="n">
        <v>41.2</v>
      </c>
      <c r="G5900" s="31" t="n">
        <v>45</v>
      </c>
      <c r="H5900" s="2" t="s">
        <v>671</v>
      </c>
    </row>
    <row r="5901" customFormat="false" ht="15" hidden="false" customHeight="false" outlineLevel="0" collapsed="false">
      <c r="A5901" s="2" t="s">
        <v>3060</v>
      </c>
      <c r="B5901" s="2" t="s">
        <v>4104</v>
      </c>
      <c r="C5901" s="2" t="s">
        <v>4086</v>
      </c>
      <c r="D5901" s="2"/>
      <c r="E5901" s="31" t="n">
        <v>22</v>
      </c>
      <c r="F5901" s="31" t="n">
        <v>62</v>
      </c>
      <c r="G5901" s="31" t="n">
        <v>34.2</v>
      </c>
      <c r="H5901" s="2" t="s">
        <v>671</v>
      </c>
    </row>
    <row r="5902" customFormat="false" ht="15" hidden="false" customHeight="false" outlineLevel="0" collapsed="false">
      <c r="A5902" s="2" t="s">
        <v>3060</v>
      </c>
      <c r="B5902" s="2" t="s">
        <v>4104</v>
      </c>
      <c r="C5902" s="2" t="s">
        <v>4087</v>
      </c>
      <c r="D5902" s="2"/>
      <c r="E5902" s="2"/>
      <c r="F5902" s="2"/>
      <c r="G5902" s="2"/>
      <c r="H5902" s="2" t="s">
        <v>668</v>
      </c>
    </row>
    <row r="5903" customFormat="false" ht="15" hidden="false" customHeight="false" outlineLevel="0" collapsed="false">
      <c r="A5903" s="2" t="s">
        <v>3060</v>
      </c>
      <c r="B5903" s="2" t="s">
        <v>47</v>
      </c>
      <c r="C5903" s="2" t="s">
        <v>4085</v>
      </c>
      <c r="D5903" s="11" t="n">
        <v>55605</v>
      </c>
      <c r="E5903" s="31" t="n">
        <v>11.2</v>
      </c>
      <c r="F5903" s="31" t="n">
        <v>41.2</v>
      </c>
      <c r="G5903" s="31" t="n">
        <v>45</v>
      </c>
      <c r="H5903" s="2" t="s">
        <v>671</v>
      </c>
    </row>
    <row r="5904" customFormat="false" ht="15" hidden="false" customHeight="false" outlineLevel="0" collapsed="false">
      <c r="A5904" s="2" t="s">
        <v>3060</v>
      </c>
      <c r="B5904" s="2" t="s">
        <v>47</v>
      </c>
      <c r="C5904" s="2" t="s">
        <v>4086</v>
      </c>
      <c r="D5904" s="11" t="n">
        <v>56771</v>
      </c>
      <c r="E5904" s="31" t="n">
        <v>22</v>
      </c>
      <c r="F5904" s="31" t="n">
        <v>62</v>
      </c>
      <c r="G5904" s="31" t="n">
        <v>34.2</v>
      </c>
      <c r="H5904" s="2" t="s">
        <v>671</v>
      </c>
    </row>
    <row r="5905" customFormat="false" ht="15" hidden="false" customHeight="false" outlineLevel="0" collapsed="false">
      <c r="A5905" s="2" t="s">
        <v>3060</v>
      </c>
      <c r="B5905" s="2" t="s">
        <v>47</v>
      </c>
      <c r="C5905" s="2" t="s">
        <v>4087</v>
      </c>
      <c r="D5905" s="2"/>
      <c r="E5905" s="2"/>
      <c r="F5905" s="2"/>
      <c r="G5905" s="2"/>
      <c r="H5905" s="2" t="s">
        <v>668</v>
      </c>
    </row>
    <row r="5906" customFormat="false" ht="15" hidden="false" customHeight="false" outlineLevel="0" collapsed="false">
      <c r="A5906" s="2" t="s">
        <v>614</v>
      </c>
      <c r="B5906" s="2" t="s">
        <v>4104</v>
      </c>
      <c r="C5906" s="2" t="s">
        <v>4085</v>
      </c>
      <c r="D5906" s="2"/>
      <c r="E5906" s="31" t="n">
        <v>33.9</v>
      </c>
      <c r="F5906" s="31" t="n">
        <v>4.5</v>
      </c>
      <c r="G5906" s="31" t="n">
        <v>41.8</v>
      </c>
      <c r="H5906" s="2" t="s">
        <v>671</v>
      </c>
    </row>
    <row r="5907" customFormat="false" ht="15" hidden="false" customHeight="false" outlineLevel="0" collapsed="false">
      <c r="A5907" s="2" t="s">
        <v>614</v>
      </c>
      <c r="B5907" s="2" t="s">
        <v>4104</v>
      </c>
      <c r="C5907" s="2" t="s">
        <v>4086</v>
      </c>
      <c r="D5907" s="2"/>
      <c r="E5907" s="31" t="n">
        <v>28.9</v>
      </c>
      <c r="F5907" s="31" t="n">
        <v>3.8</v>
      </c>
      <c r="G5907" s="31" t="n">
        <v>68.2</v>
      </c>
      <c r="H5907" s="2" t="s">
        <v>671</v>
      </c>
    </row>
    <row r="5908" customFormat="false" ht="15" hidden="false" customHeight="false" outlineLevel="0" collapsed="false">
      <c r="A5908" s="2" t="s">
        <v>614</v>
      </c>
      <c r="B5908" s="2" t="s">
        <v>4104</v>
      </c>
      <c r="C5908" s="2" t="s">
        <v>4087</v>
      </c>
      <c r="D5908" s="2"/>
      <c r="E5908" s="31" t="n">
        <v>16.3</v>
      </c>
      <c r="F5908" s="31" t="n">
        <v>0.7</v>
      </c>
      <c r="G5908" s="31" t="n">
        <v>78.8</v>
      </c>
      <c r="H5908" s="2" t="s">
        <v>671</v>
      </c>
    </row>
    <row r="5909" customFormat="false" ht="15" hidden="false" customHeight="false" outlineLevel="0" collapsed="false">
      <c r="A5909" s="2" t="s">
        <v>614</v>
      </c>
      <c r="B5909" s="2" t="s">
        <v>46</v>
      </c>
      <c r="C5909" s="2" t="s">
        <v>4085</v>
      </c>
      <c r="D5909" s="11" t="n">
        <v>389596</v>
      </c>
      <c r="E5909" s="31" t="n">
        <v>33.9</v>
      </c>
      <c r="F5909" s="31" t="n">
        <v>4.5</v>
      </c>
      <c r="G5909" s="31" t="n">
        <v>41.8</v>
      </c>
      <c r="H5909" s="2" t="s">
        <v>671</v>
      </c>
    </row>
    <row r="5910" customFormat="false" ht="15" hidden="false" customHeight="false" outlineLevel="0" collapsed="false">
      <c r="A5910" s="2" t="s">
        <v>614</v>
      </c>
      <c r="B5910" s="2" t="s">
        <v>46</v>
      </c>
      <c r="C5910" s="2" t="s">
        <v>4086</v>
      </c>
      <c r="D5910" s="11" t="n">
        <v>387410</v>
      </c>
      <c r="E5910" s="31" t="n">
        <v>28.9</v>
      </c>
      <c r="F5910" s="31" t="n">
        <v>3.8</v>
      </c>
      <c r="G5910" s="31" t="n">
        <v>68.2</v>
      </c>
      <c r="H5910" s="2" t="s">
        <v>671</v>
      </c>
    </row>
    <row r="5911" customFormat="false" ht="15" hidden="false" customHeight="false" outlineLevel="0" collapsed="false">
      <c r="A5911" s="2" t="s">
        <v>614</v>
      </c>
      <c r="B5911" s="2" t="s">
        <v>46</v>
      </c>
      <c r="C5911" s="2" t="s">
        <v>4087</v>
      </c>
      <c r="D5911" s="11" t="n">
        <v>375815</v>
      </c>
      <c r="E5911" s="31" t="n">
        <v>16.3</v>
      </c>
      <c r="F5911" s="31" t="n">
        <v>0.7</v>
      </c>
      <c r="G5911" s="31" t="n">
        <v>78.8</v>
      </c>
      <c r="H5911" s="2" t="s">
        <v>671</v>
      </c>
    </row>
    <row r="5912" customFormat="false" ht="15" hidden="false" customHeight="false" outlineLevel="0" collapsed="false">
      <c r="A5912" s="2" t="s">
        <v>3061</v>
      </c>
      <c r="B5912" s="2" t="s">
        <v>4104</v>
      </c>
      <c r="C5912" s="2" t="s">
        <v>4087</v>
      </c>
      <c r="D5912" s="2"/>
      <c r="E5912" s="2"/>
      <c r="F5912" s="31" t="n">
        <v>73.8</v>
      </c>
      <c r="G5912" s="2"/>
      <c r="H5912" s="2" t="s">
        <v>668</v>
      </c>
    </row>
    <row r="5913" customFormat="false" ht="15" hidden="false" customHeight="false" outlineLevel="0" collapsed="false">
      <c r="A5913" s="2" t="s">
        <v>3061</v>
      </c>
      <c r="B5913" s="2" t="s">
        <v>45</v>
      </c>
      <c r="C5913" s="2" t="s">
        <v>4087</v>
      </c>
      <c r="D5913" s="11" t="n">
        <v>24560</v>
      </c>
      <c r="E5913" s="2"/>
      <c r="F5913" s="31" t="n">
        <v>73.8</v>
      </c>
      <c r="G5913" s="2"/>
      <c r="H5913" s="2" t="s">
        <v>668</v>
      </c>
    </row>
    <row r="5914" customFormat="false" ht="15" hidden="false" customHeight="false" outlineLevel="0" collapsed="false">
      <c r="A5914" s="2" t="s">
        <v>536</v>
      </c>
      <c r="B5914" s="2" t="s">
        <v>4104</v>
      </c>
      <c r="C5914" s="2" t="s">
        <v>4085</v>
      </c>
      <c r="D5914" s="2"/>
      <c r="E5914" s="31" t="n">
        <v>63</v>
      </c>
      <c r="F5914" s="31" t="n">
        <v>82.7</v>
      </c>
      <c r="G5914" s="31" t="n">
        <v>37.4</v>
      </c>
      <c r="H5914" s="2" t="s">
        <v>668</v>
      </c>
    </row>
    <row r="5915" customFormat="false" ht="15" hidden="false" customHeight="false" outlineLevel="0" collapsed="false">
      <c r="A5915" s="2" t="s">
        <v>536</v>
      </c>
      <c r="B5915" s="2" t="s">
        <v>4104</v>
      </c>
      <c r="C5915" s="2" t="s">
        <v>4086</v>
      </c>
      <c r="D5915" s="2"/>
      <c r="E5915" s="31" t="n">
        <v>32.2</v>
      </c>
      <c r="F5915" s="31" t="n">
        <v>49.8</v>
      </c>
      <c r="G5915" s="31" t="n">
        <v>60</v>
      </c>
      <c r="H5915" s="2" t="s">
        <v>668</v>
      </c>
    </row>
    <row r="5916" customFormat="false" ht="15" hidden="false" customHeight="false" outlineLevel="0" collapsed="false">
      <c r="A5916" s="2" t="s">
        <v>536</v>
      </c>
      <c r="B5916" s="2" t="s">
        <v>4104</v>
      </c>
      <c r="C5916" s="2" t="s">
        <v>4087</v>
      </c>
      <c r="D5916" s="2"/>
      <c r="E5916" s="31" t="n">
        <v>31.8</v>
      </c>
      <c r="F5916" s="31" t="n">
        <v>58.8</v>
      </c>
      <c r="G5916" s="31" t="n">
        <v>45.2</v>
      </c>
      <c r="H5916" s="2" t="s">
        <v>671</v>
      </c>
    </row>
    <row r="5917" customFormat="false" ht="15" hidden="false" customHeight="false" outlineLevel="0" collapsed="false">
      <c r="A5917" s="2" t="s">
        <v>536</v>
      </c>
      <c r="B5917" s="2" t="s">
        <v>46</v>
      </c>
      <c r="C5917" s="2" t="s">
        <v>4085</v>
      </c>
      <c r="D5917" s="2"/>
      <c r="E5917" s="2"/>
      <c r="F5917" s="2"/>
      <c r="G5917" s="2"/>
      <c r="H5917" s="2" t="s">
        <v>668</v>
      </c>
    </row>
    <row r="5918" customFormat="false" ht="15" hidden="false" customHeight="false" outlineLevel="0" collapsed="false">
      <c r="A5918" s="2" t="s">
        <v>536</v>
      </c>
      <c r="B5918" s="2" t="s">
        <v>46</v>
      </c>
      <c r="C5918" s="2" t="s">
        <v>4086</v>
      </c>
      <c r="D5918" s="11" t="n">
        <v>170760</v>
      </c>
      <c r="E5918" s="31" t="n">
        <v>27.1</v>
      </c>
      <c r="F5918" s="31" t="n">
        <v>66.2</v>
      </c>
      <c r="G5918" s="2"/>
      <c r="H5918" s="2" t="s">
        <v>668</v>
      </c>
    </row>
    <row r="5919" customFormat="false" ht="15" hidden="false" customHeight="false" outlineLevel="0" collapsed="false">
      <c r="A5919" s="2" t="s">
        <v>536</v>
      </c>
      <c r="B5919" s="2" t="s">
        <v>46</v>
      </c>
      <c r="C5919" s="2" t="s">
        <v>4087</v>
      </c>
      <c r="D5919" s="11" t="n">
        <v>175762</v>
      </c>
      <c r="E5919" s="31" t="n">
        <v>10.8</v>
      </c>
      <c r="F5919" s="31" t="n">
        <v>60.9</v>
      </c>
      <c r="G5919" s="31" t="n">
        <v>49.7</v>
      </c>
      <c r="H5919" s="2" t="s">
        <v>671</v>
      </c>
    </row>
    <row r="5920" customFormat="false" ht="15" hidden="false" customHeight="false" outlineLevel="0" collapsed="false">
      <c r="A5920" s="2" t="s">
        <v>536</v>
      </c>
      <c r="B5920" s="2" t="s">
        <v>47</v>
      </c>
      <c r="C5920" s="2" t="s">
        <v>4085</v>
      </c>
      <c r="D5920" s="11" t="n">
        <v>108785</v>
      </c>
      <c r="E5920" s="31" t="n">
        <v>63</v>
      </c>
      <c r="F5920" s="31" t="n">
        <v>82.7</v>
      </c>
      <c r="G5920" s="31" t="n">
        <v>37.4</v>
      </c>
      <c r="H5920" s="2" t="s">
        <v>671</v>
      </c>
    </row>
    <row r="5921" customFormat="false" ht="15" hidden="false" customHeight="false" outlineLevel="0" collapsed="false">
      <c r="A5921" s="2" t="s">
        <v>536</v>
      </c>
      <c r="B5921" s="2" t="s">
        <v>47</v>
      </c>
      <c r="C5921" s="2" t="s">
        <v>4086</v>
      </c>
      <c r="D5921" s="11" t="n">
        <v>113361</v>
      </c>
      <c r="E5921" s="31" t="n">
        <v>37.4</v>
      </c>
      <c r="F5921" s="31" t="n">
        <v>33.5</v>
      </c>
      <c r="G5921" s="31" t="n">
        <v>60</v>
      </c>
      <c r="H5921" s="2" t="s">
        <v>671</v>
      </c>
    </row>
    <row r="5922" customFormat="false" ht="15" hidden="false" customHeight="false" outlineLevel="0" collapsed="false">
      <c r="A5922" s="2" t="s">
        <v>536</v>
      </c>
      <c r="B5922" s="2" t="s">
        <v>47</v>
      </c>
      <c r="C5922" s="2" t="s">
        <v>4087</v>
      </c>
      <c r="D5922" s="11" t="n">
        <v>117289</v>
      </c>
      <c r="E5922" s="31" t="n">
        <v>52.9</v>
      </c>
      <c r="F5922" s="31" t="n">
        <v>56.6</v>
      </c>
      <c r="G5922" s="31" t="n">
        <v>40.6</v>
      </c>
      <c r="H5922" s="2" t="s">
        <v>671</v>
      </c>
    </row>
    <row r="5923" customFormat="false" ht="15" hidden="false" customHeight="false" outlineLevel="0" collapsed="false">
      <c r="A5923" s="2" t="s">
        <v>616</v>
      </c>
      <c r="B5923" s="2" t="s">
        <v>4104</v>
      </c>
      <c r="C5923" s="2" t="s">
        <v>4085</v>
      </c>
      <c r="D5923" s="2"/>
      <c r="E5923" s="31" t="n">
        <v>33</v>
      </c>
      <c r="F5923" s="31" t="n">
        <v>19.3</v>
      </c>
      <c r="G5923" s="31" t="n">
        <v>44.1</v>
      </c>
      <c r="H5923" s="2" t="s">
        <v>671</v>
      </c>
    </row>
    <row r="5924" customFormat="false" ht="15" hidden="false" customHeight="false" outlineLevel="0" collapsed="false">
      <c r="A5924" s="2" t="s">
        <v>616</v>
      </c>
      <c r="B5924" s="2" t="s">
        <v>4104</v>
      </c>
      <c r="C5924" s="2" t="s">
        <v>4086</v>
      </c>
      <c r="D5924" s="2"/>
      <c r="E5924" s="31" t="n">
        <v>15.3</v>
      </c>
      <c r="F5924" s="31" t="n">
        <v>26.9</v>
      </c>
      <c r="G5924" s="31" t="n">
        <v>50</v>
      </c>
      <c r="H5924" s="2" t="s">
        <v>671</v>
      </c>
    </row>
    <row r="5925" customFormat="false" ht="15" hidden="false" customHeight="false" outlineLevel="0" collapsed="false">
      <c r="A5925" s="2" t="s">
        <v>616</v>
      </c>
      <c r="B5925" s="2" t="s">
        <v>4104</v>
      </c>
      <c r="C5925" s="2" t="s">
        <v>4087</v>
      </c>
      <c r="D5925" s="2"/>
      <c r="E5925" s="31" t="n">
        <v>16</v>
      </c>
      <c r="F5925" s="31" t="n">
        <v>28</v>
      </c>
      <c r="G5925" s="31" t="n">
        <v>17.9</v>
      </c>
      <c r="H5925" s="2" t="s">
        <v>671</v>
      </c>
    </row>
    <row r="5926" customFormat="false" ht="15" hidden="false" customHeight="false" outlineLevel="0" collapsed="false">
      <c r="A5926" s="2" t="s">
        <v>616</v>
      </c>
      <c r="B5926" s="2" t="s">
        <v>47</v>
      </c>
      <c r="C5926" s="2" t="s">
        <v>4085</v>
      </c>
      <c r="D5926" s="11" t="n">
        <v>79410</v>
      </c>
      <c r="E5926" s="31" t="n">
        <v>33</v>
      </c>
      <c r="F5926" s="31" t="n">
        <v>19.3</v>
      </c>
      <c r="G5926" s="31" t="n">
        <v>44.1</v>
      </c>
      <c r="H5926" s="2" t="s">
        <v>671</v>
      </c>
    </row>
    <row r="5927" customFormat="false" ht="15" hidden="false" customHeight="false" outlineLevel="0" collapsed="false">
      <c r="A5927" s="2" t="s">
        <v>616</v>
      </c>
      <c r="B5927" s="2" t="s">
        <v>47</v>
      </c>
      <c r="C5927" s="2" t="s">
        <v>4086</v>
      </c>
      <c r="D5927" s="11" t="n">
        <v>81607</v>
      </c>
      <c r="E5927" s="31" t="n">
        <v>15.3</v>
      </c>
      <c r="F5927" s="31" t="n">
        <v>26.9</v>
      </c>
      <c r="G5927" s="31" t="n">
        <v>50</v>
      </c>
      <c r="H5927" s="2" t="s">
        <v>671</v>
      </c>
    </row>
    <row r="5928" customFormat="false" ht="15" hidden="false" customHeight="false" outlineLevel="0" collapsed="false">
      <c r="A5928" s="2" t="s">
        <v>616</v>
      </c>
      <c r="B5928" s="2" t="s">
        <v>47</v>
      </c>
      <c r="C5928" s="2" t="s">
        <v>4087</v>
      </c>
      <c r="D5928" s="11" t="n">
        <v>84170</v>
      </c>
      <c r="E5928" s="31" t="n">
        <v>16</v>
      </c>
      <c r="F5928" s="31" t="n">
        <v>28</v>
      </c>
      <c r="G5928" s="31" t="n">
        <v>17.9</v>
      </c>
      <c r="H5928" s="2" t="s">
        <v>671</v>
      </c>
    </row>
    <row r="5929" customFormat="false" ht="15" hidden="false" customHeight="false" outlineLevel="0" collapsed="false">
      <c r="A5929" s="2" t="s">
        <v>2264</v>
      </c>
      <c r="B5929" s="2" t="s">
        <v>4104</v>
      </c>
      <c r="C5929" s="2" t="s">
        <v>4087</v>
      </c>
      <c r="D5929" s="2"/>
      <c r="E5929" s="31" t="n">
        <v>42.4</v>
      </c>
      <c r="F5929" s="31" t="n">
        <v>40.3</v>
      </c>
      <c r="G5929" s="31" t="n">
        <v>77.5</v>
      </c>
      <c r="H5929" s="2" t="s">
        <v>668</v>
      </c>
    </row>
    <row r="5930" customFormat="false" ht="15" hidden="false" customHeight="false" outlineLevel="0" collapsed="false">
      <c r="A5930" s="2" t="s">
        <v>2264</v>
      </c>
      <c r="B5930" s="2" t="s">
        <v>45</v>
      </c>
      <c r="C5930" s="2" t="s">
        <v>4087</v>
      </c>
      <c r="D5930" s="11" t="n">
        <v>44765</v>
      </c>
      <c r="E5930" s="31" t="n">
        <v>27.8</v>
      </c>
      <c r="F5930" s="31" t="n">
        <v>80.2</v>
      </c>
      <c r="G5930" s="2"/>
      <c r="H5930" s="2" t="s">
        <v>668</v>
      </c>
    </row>
    <row r="5931" customFormat="false" ht="15" hidden="false" customHeight="false" outlineLevel="0" collapsed="false">
      <c r="A5931" s="2" t="s">
        <v>2264</v>
      </c>
      <c r="B5931" s="2" t="s">
        <v>47</v>
      </c>
      <c r="C5931" s="2" t="s">
        <v>4087</v>
      </c>
      <c r="D5931" s="11" t="n">
        <v>89305</v>
      </c>
      <c r="E5931" s="31" t="n">
        <v>57</v>
      </c>
      <c r="F5931" s="31" t="n">
        <v>0.4</v>
      </c>
      <c r="G5931" s="31" t="n">
        <v>77.5</v>
      </c>
      <c r="H5931" s="2" t="s">
        <v>671</v>
      </c>
    </row>
    <row r="5932" customFormat="false" ht="15" hidden="false" customHeight="false" outlineLevel="0" collapsed="false">
      <c r="A5932" s="2" t="s">
        <v>3064</v>
      </c>
      <c r="B5932" s="2" t="s">
        <v>4104</v>
      </c>
      <c r="C5932" s="2" t="s">
        <v>4085</v>
      </c>
      <c r="D5932" s="2"/>
      <c r="E5932" s="31" t="n">
        <v>93.5</v>
      </c>
      <c r="F5932" s="31" t="n">
        <v>55.1</v>
      </c>
      <c r="G5932" s="2"/>
      <c r="H5932" s="2" t="s">
        <v>671</v>
      </c>
    </row>
    <row r="5933" customFormat="false" ht="15" hidden="false" customHeight="false" outlineLevel="0" collapsed="false">
      <c r="A5933" s="2" t="s">
        <v>3064</v>
      </c>
      <c r="B5933" s="2" t="s">
        <v>4104</v>
      </c>
      <c r="C5933" s="2" t="s">
        <v>4086</v>
      </c>
      <c r="D5933" s="2"/>
      <c r="E5933" s="31" t="n">
        <v>87.9</v>
      </c>
      <c r="F5933" s="31" t="n">
        <v>17.9</v>
      </c>
      <c r="G5933" s="2"/>
      <c r="H5933" s="2" t="s">
        <v>671</v>
      </c>
    </row>
    <row r="5934" customFormat="false" ht="15" hidden="false" customHeight="false" outlineLevel="0" collapsed="false">
      <c r="A5934" s="2" t="s">
        <v>3064</v>
      </c>
      <c r="B5934" s="2" t="s">
        <v>4104</v>
      </c>
      <c r="C5934" s="2" t="s">
        <v>4087</v>
      </c>
      <c r="D5934" s="2"/>
      <c r="E5934" s="2"/>
      <c r="F5934" s="2"/>
      <c r="G5934" s="2"/>
      <c r="H5934" s="2" t="s">
        <v>668</v>
      </c>
    </row>
    <row r="5935" customFormat="false" ht="15" hidden="false" customHeight="false" outlineLevel="0" collapsed="false">
      <c r="A5935" s="2" t="s">
        <v>3064</v>
      </c>
      <c r="B5935" s="2" t="s">
        <v>45</v>
      </c>
      <c r="C5935" s="2" t="s">
        <v>4085</v>
      </c>
      <c r="D5935" s="11" t="n">
        <v>14380</v>
      </c>
      <c r="E5935" s="31" t="n">
        <v>93.5</v>
      </c>
      <c r="F5935" s="31" t="n">
        <v>55.1</v>
      </c>
      <c r="G5935" s="2"/>
      <c r="H5935" s="2" t="s">
        <v>671</v>
      </c>
    </row>
    <row r="5936" customFormat="false" ht="15" hidden="false" customHeight="false" outlineLevel="0" collapsed="false">
      <c r="A5936" s="2" t="s">
        <v>3064</v>
      </c>
      <c r="B5936" s="2" t="s">
        <v>45</v>
      </c>
      <c r="C5936" s="2" t="s">
        <v>4086</v>
      </c>
      <c r="D5936" s="11" t="n">
        <v>14960</v>
      </c>
      <c r="E5936" s="31" t="n">
        <v>87.9</v>
      </c>
      <c r="F5936" s="31" t="n">
        <v>17.9</v>
      </c>
      <c r="G5936" s="2"/>
      <c r="H5936" s="2" t="s">
        <v>671</v>
      </c>
    </row>
    <row r="5937" customFormat="false" ht="15" hidden="false" customHeight="false" outlineLevel="0" collapsed="false">
      <c r="A5937" s="2" t="s">
        <v>3064</v>
      </c>
      <c r="B5937" s="2" t="s">
        <v>45</v>
      </c>
      <c r="C5937" s="2" t="s">
        <v>4087</v>
      </c>
      <c r="D5937" s="2"/>
      <c r="E5937" s="2"/>
      <c r="F5937" s="2"/>
      <c r="G5937" s="2"/>
      <c r="H5937" s="2" t="s">
        <v>668</v>
      </c>
    </row>
    <row r="5938" customFormat="false" ht="15" hidden="false" customHeight="false" outlineLevel="0" collapsed="false">
      <c r="A5938" s="2" t="s">
        <v>1170</v>
      </c>
      <c r="B5938" s="2" t="s">
        <v>4104</v>
      </c>
      <c r="C5938" s="2" t="s">
        <v>4085</v>
      </c>
      <c r="D5938" s="2"/>
      <c r="E5938" s="31" t="n">
        <v>26.8</v>
      </c>
      <c r="F5938" s="31" t="n">
        <v>55.2</v>
      </c>
      <c r="G5938" s="31" t="n">
        <v>78</v>
      </c>
      <c r="H5938" s="2" t="s">
        <v>671</v>
      </c>
    </row>
    <row r="5939" customFormat="false" ht="15" hidden="false" customHeight="false" outlineLevel="0" collapsed="false">
      <c r="A5939" s="2" t="s">
        <v>1170</v>
      </c>
      <c r="B5939" s="2" t="s">
        <v>4104</v>
      </c>
      <c r="C5939" s="2" t="s">
        <v>4086</v>
      </c>
      <c r="D5939" s="2"/>
      <c r="E5939" s="31" t="n">
        <v>32.8</v>
      </c>
      <c r="F5939" s="31" t="n">
        <v>23.7</v>
      </c>
      <c r="G5939" s="31" t="n">
        <v>66.2</v>
      </c>
      <c r="H5939" s="2" t="s">
        <v>668</v>
      </c>
    </row>
    <row r="5940" customFormat="false" ht="15" hidden="false" customHeight="false" outlineLevel="0" collapsed="false">
      <c r="A5940" s="2" t="s">
        <v>1170</v>
      </c>
      <c r="B5940" s="2" t="s">
        <v>4104</v>
      </c>
      <c r="C5940" s="2" t="s">
        <v>4087</v>
      </c>
      <c r="D5940" s="2"/>
      <c r="E5940" s="31" t="n">
        <v>19.3</v>
      </c>
      <c r="F5940" s="31" t="n">
        <v>81.6</v>
      </c>
      <c r="G5940" s="31" t="n">
        <v>58.2</v>
      </c>
      <c r="H5940" s="2" t="s">
        <v>668</v>
      </c>
    </row>
    <row r="5941" customFormat="false" ht="15" hidden="false" customHeight="false" outlineLevel="0" collapsed="false">
      <c r="A5941" s="2" t="s">
        <v>1170</v>
      </c>
      <c r="B5941" s="2" t="s">
        <v>45</v>
      </c>
      <c r="C5941" s="2" t="s">
        <v>4085</v>
      </c>
      <c r="D5941" s="11" t="n">
        <v>320440</v>
      </c>
      <c r="E5941" s="31" t="n">
        <v>50.7</v>
      </c>
      <c r="F5941" s="31" t="n">
        <v>49.3</v>
      </c>
      <c r="G5941" s="31" t="n">
        <v>69.8</v>
      </c>
      <c r="H5941" s="2" t="s">
        <v>671</v>
      </c>
    </row>
    <row r="5942" customFormat="false" ht="15" hidden="false" customHeight="false" outlineLevel="0" collapsed="false">
      <c r="A5942" s="2" t="s">
        <v>1170</v>
      </c>
      <c r="B5942" s="2" t="s">
        <v>45</v>
      </c>
      <c r="C5942" s="2" t="s">
        <v>4086</v>
      </c>
      <c r="D5942" s="11" t="n">
        <v>339130</v>
      </c>
      <c r="E5942" s="31" t="n">
        <v>47.4</v>
      </c>
      <c r="F5942" s="31" t="n">
        <v>28.6</v>
      </c>
      <c r="G5942" s="31" t="n">
        <v>58.3</v>
      </c>
      <c r="H5942" s="2" t="s">
        <v>671</v>
      </c>
    </row>
    <row r="5943" customFormat="false" ht="15" hidden="false" customHeight="false" outlineLevel="0" collapsed="false">
      <c r="A5943" s="2" t="s">
        <v>1170</v>
      </c>
      <c r="B5943" s="2" t="s">
        <v>45</v>
      </c>
      <c r="C5943" s="2" t="s">
        <v>4087</v>
      </c>
      <c r="D5943" s="11" t="n">
        <v>344260</v>
      </c>
      <c r="E5943" s="31" t="n">
        <v>32.5</v>
      </c>
      <c r="F5943" s="31" t="n">
        <v>64.5</v>
      </c>
      <c r="G5943" s="31" t="n">
        <v>49.4</v>
      </c>
      <c r="H5943" s="2" t="s">
        <v>671</v>
      </c>
    </row>
    <row r="5944" customFormat="false" ht="15" hidden="false" customHeight="false" outlineLevel="0" collapsed="false">
      <c r="A5944" s="2" t="s">
        <v>1170</v>
      </c>
      <c r="B5944" s="2" t="s">
        <v>46</v>
      </c>
      <c r="C5944" s="2" t="s">
        <v>4085</v>
      </c>
      <c r="D5944" s="11" t="n">
        <v>242250</v>
      </c>
      <c r="E5944" s="31" t="n">
        <v>16.8</v>
      </c>
      <c r="F5944" s="31" t="n">
        <v>80.8</v>
      </c>
      <c r="G5944" s="31" t="n">
        <v>76.7</v>
      </c>
      <c r="H5944" s="2" t="s">
        <v>671</v>
      </c>
    </row>
    <row r="5945" customFormat="false" ht="15" hidden="false" customHeight="false" outlineLevel="0" collapsed="false">
      <c r="A5945" s="2" t="s">
        <v>1170</v>
      </c>
      <c r="B5945" s="2" t="s">
        <v>46</v>
      </c>
      <c r="C5945" s="2" t="s">
        <v>4086</v>
      </c>
      <c r="D5945" s="2"/>
      <c r="E5945" s="2"/>
      <c r="F5945" s="2"/>
      <c r="G5945" s="2"/>
      <c r="H5945" s="2" t="s">
        <v>668</v>
      </c>
    </row>
    <row r="5946" customFormat="false" ht="15" hidden="false" customHeight="false" outlineLevel="0" collapsed="false">
      <c r="A5946" s="2" t="s">
        <v>1170</v>
      </c>
      <c r="B5946" s="2" t="s">
        <v>46</v>
      </c>
      <c r="C5946" s="2" t="s">
        <v>4087</v>
      </c>
      <c r="D5946" s="11" t="n">
        <v>264497</v>
      </c>
      <c r="E5946" s="31" t="n">
        <v>6.1</v>
      </c>
      <c r="F5946" s="31" t="n">
        <v>98.7</v>
      </c>
      <c r="G5946" s="31" t="n">
        <v>60.6</v>
      </c>
      <c r="H5946" s="2" t="s">
        <v>671</v>
      </c>
    </row>
    <row r="5947" customFormat="false" ht="15" hidden="false" customHeight="false" outlineLevel="0" collapsed="false">
      <c r="A5947" s="2" t="s">
        <v>1170</v>
      </c>
      <c r="B5947" s="2" t="s">
        <v>47</v>
      </c>
      <c r="C5947" s="2" t="s">
        <v>4085</v>
      </c>
      <c r="D5947" s="11" t="n">
        <v>9659</v>
      </c>
      <c r="E5947" s="31" t="n">
        <v>12.8</v>
      </c>
      <c r="F5947" s="31" t="n">
        <v>35.6</v>
      </c>
      <c r="G5947" s="31" t="n">
        <v>87.5</v>
      </c>
      <c r="H5947" s="2" t="s">
        <v>671</v>
      </c>
    </row>
    <row r="5948" customFormat="false" ht="15" hidden="false" customHeight="false" outlineLevel="0" collapsed="false">
      <c r="A5948" s="2" t="s">
        <v>1170</v>
      </c>
      <c r="B5948" s="2" t="s">
        <v>47</v>
      </c>
      <c r="C5948" s="2" t="s">
        <v>4086</v>
      </c>
      <c r="D5948" s="11" t="n">
        <v>9713</v>
      </c>
      <c r="E5948" s="31" t="n">
        <v>18.2</v>
      </c>
      <c r="F5948" s="31" t="n">
        <v>18.8</v>
      </c>
      <c r="G5948" s="31" t="n">
        <v>74.2</v>
      </c>
      <c r="H5948" s="2" t="s">
        <v>671</v>
      </c>
    </row>
    <row r="5949" customFormat="false" ht="15" hidden="false" customHeight="false" outlineLevel="0" collapsed="false">
      <c r="A5949" s="2" t="s">
        <v>1170</v>
      </c>
      <c r="B5949" s="2" t="s">
        <v>47</v>
      </c>
      <c r="C5949" s="2" t="s">
        <v>4087</v>
      </c>
      <c r="D5949" s="2"/>
      <c r="E5949" s="2"/>
      <c r="F5949" s="2"/>
      <c r="G5949" s="31" t="n">
        <v>64.6</v>
      </c>
      <c r="H5949" s="2" t="s">
        <v>668</v>
      </c>
    </row>
    <row r="5950" customFormat="false" ht="15" hidden="false" customHeight="false" outlineLevel="0" collapsed="false">
      <c r="A5950" s="2" t="s">
        <v>827</v>
      </c>
      <c r="B5950" s="2" t="s">
        <v>4104</v>
      </c>
      <c r="C5950" s="2" t="s">
        <v>4085</v>
      </c>
      <c r="D5950" s="2"/>
      <c r="E5950" s="31" t="n">
        <v>82.4</v>
      </c>
      <c r="F5950" s="31" t="n">
        <v>46.5</v>
      </c>
      <c r="G5950" s="31" t="n">
        <v>26.4</v>
      </c>
      <c r="H5950" s="2" t="s">
        <v>668</v>
      </c>
    </row>
    <row r="5951" customFormat="false" ht="15" hidden="false" customHeight="false" outlineLevel="0" collapsed="false">
      <c r="A5951" s="2" t="s">
        <v>827</v>
      </c>
      <c r="B5951" s="2" t="s">
        <v>4104</v>
      </c>
      <c r="C5951" s="2" t="s">
        <v>4086</v>
      </c>
      <c r="D5951" s="2"/>
      <c r="E5951" s="31" t="n">
        <v>84.2</v>
      </c>
      <c r="F5951" s="31" t="n">
        <v>79.4</v>
      </c>
      <c r="G5951" s="31" t="n">
        <v>40.8</v>
      </c>
      <c r="H5951" s="2" t="s">
        <v>668</v>
      </c>
    </row>
    <row r="5952" customFormat="false" ht="15" hidden="false" customHeight="false" outlineLevel="0" collapsed="false">
      <c r="A5952" s="2" t="s">
        <v>827</v>
      </c>
      <c r="B5952" s="2" t="s">
        <v>4104</v>
      </c>
      <c r="C5952" s="2" t="s">
        <v>4087</v>
      </c>
      <c r="D5952" s="2"/>
      <c r="E5952" s="31" t="n">
        <v>77.9</v>
      </c>
      <c r="F5952" s="31" t="n">
        <v>57.4</v>
      </c>
      <c r="G5952" s="31" t="n">
        <v>47.9</v>
      </c>
      <c r="H5952" s="2" t="s">
        <v>668</v>
      </c>
    </row>
    <row r="5953" customFormat="false" ht="15" hidden="false" customHeight="false" outlineLevel="0" collapsed="false">
      <c r="A5953" s="2" t="s">
        <v>827</v>
      </c>
      <c r="B5953" s="2" t="s">
        <v>45</v>
      </c>
      <c r="C5953" s="2" t="s">
        <v>4085</v>
      </c>
      <c r="D5953" s="11" t="n">
        <v>115520</v>
      </c>
      <c r="E5953" s="31" t="n">
        <v>77.3</v>
      </c>
      <c r="F5953" s="31" t="n">
        <v>31.5</v>
      </c>
      <c r="G5953" s="2"/>
      <c r="H5953" s="2" t="s">
        <v>668</v>
      </c>
    </row>
    <row r="5954" customFormat="false" ht="15" hidden="false" customHeight="false" outlineLevel="0" collapsed="false">
      <c r="A5954" s="2" t="s">
        <v>827</v>
      </c>
      <c r="B5954" s="2" t="s">
        <v>45</v>
      </c>
      <c r="C5954" s="2" t="s">
        <v>4086</v>
      </c>
      <c r="D5954" s="2"/>
      <c r="E5954" s="2"/>
      <c r="F5954" s="2"/>
      <c r="G5954" s="2"/>
      <c r="H5954" s="2" t="s">
        <v>668</v>
      </c>
    </row>
    <row r="5955" customFormat="false" ht="15" hidden="false" customHeight="false" outlineLevel="0" collapsed="false">
      <c r="A5955" s="2" t="s">
        <v>827</v>
      </c>
      <c r="B5955" s="2" t="s">
        <v>45</v>
      </c>
      <c r="C5955" s="2" t="s">
        <v>4087</v>
      </c>
      <c r="D5955" s="11" t="n">
        <v>126015</v>
      </c>
      <c r="E5955" s="31" t="n">
        <v>79.1</v>
      </c>
      <c r="F5955" s="31" t="n">
        <v>37.7</v>
      </c>
      <c r="G5955" s="31" t="n">
        <v>58.8</v>
      </c>
      <c r="H5955" s="2" t="s">
        <v>671</v>
      </c>
    </row>
    <row r="5956" customFormat="false" ht="15" hidden="false" customHeight="false" outlineLevel="0" collapsed="false">
      <c r="A5956" s="2" t="s">
        <v>827</v>
      </c>
      <c r="B5956" s="2" t="s">
        <v>46</v>
      </c>
      <c r="C5956" s="2" t="s">
        <v>4085</v>
      </c>
      <c r="D5956" s="11" t="n">
        <v>43414</v>
      </c>
      <c r="E5956" s="31" t="n">
        <v>82.8</v>
      </c>
      <c r="F5956" s="31" t="n">
        <v>24.7</v>
      </c>
      <c r="G5956" s="31" t="n">
        <v>8.9</v>
      </c>
      <c r="H5956" s="2" t="s">
        <v>671</v>
      </c>
    </row>
    <row r="5957" customFormat="false" ht="15" hidden="false" customHeight="false" outlineLevel="0" collapsed="false">
      <c r="A5957" s="2" t="s">
        <v>827</v>
      </c>
      <c r="B5957" s="2" t="s">
        <v>46</v>
      </c>
      <c r="C5957" s="2" t="s">
        <v>4086</v>
      </c>
      <c r="D5957" s="11" t="n">
        <v>43870</v>
      </c>
      <c r="E5957" s="31" t="n">
        <v>75.4</v>
      </c>
      <c r="F5957" s="31" t="n">
        <v>72</v>
      </c>
      <c r="G5957" s="31" t="n">
        <v>27.4</v>
      </c>
      <c r="H5957" s="2" t="s">
        <v>671</v>
      </c>
    </row>
    <row r="5958" customFormat="false" ht="15" hidden="false" customHeight="false" outlineLevel="0" collapsed="false">
      <c r="A5958" s="2" t="s">
        <v>827</v>
      </c>
      <c r="B5958" s="2" t="s">
        <v>46</v>
      </c>
      <c r="C5958" s="2" t="s">
        <v>4087</v>
      </c>
      <c r="D5958" s="11" t="n">
        <v>47100</v>
      </c>
      <c r="E5958" s="31" t="n">
        <v>75.7</v>
      </c>
      <c r="F5958" s="31" t="n">
        <v>55.2</v>
      </c>
      <c r="G5958" s="2"/>
      <c r="H5958" s="2" t="s">
        <v>668</v>
      </c>
    </row>
    <row r="5959" customFormat="false" ht="15" hidden="false" customHeight="false" outlineLevel="0" collapsed="false">
      <c r="A5959" s="2" t="s">
        <v>827</v>
      </c>
      <c r="B5959" s="2" t="s">
        <v>47</v>
      </c>
      <c r="C5959" s="2" t="s">
        <v>4085</v>
      </c>
      <c r="D5959" s="11" t="n">
        <v>13989</v>
      </c>
      <c r="E5959" s="31" t="n">
        <v>87</v>
      </c>
      <c r="F5959" s="31" t="n">
        <v>83.3</v>
      </c>
      <c r="G5959" s="31" t="n">
        <v>43.9</v>
      </c>
      <c r="H5959" s="2" t="s">
        <v>671</v>
      </c>
    </row>
    <row r="5960" customFormat="false" ht="15" hidden="false" customHeight="false" outlineLevel="0" collapsed="false">
      <c r="A5960" s="2" t="s">
        <v>827</v>
      </c>
      <c r="B5960" s="2" t="s">
        <v>47</v>
      </c>
      <c r="C5960" s="2" t="s">
        <v>4086</v>
      </c>
      <c r="D5960" s="11" t="n">
        <v>15198</v>
      </c>
      <c r="E5960" s="31" t="n">
        <v>92.9</v>
      </c>
      <c r="F5960" s="31" t="n">
        <v>86.7</v>
      </c>
      <c r="G5960" s="31" t="n">
        <v>54.1</v>
      </c>
      <c r="H5960" s="2" t="s">
        <v>671</v>
      </c>
    </row>
    <row r="5961" customFormat="false" ht="15" hidden="false" customHeight="false" outlineLevel="0" collapsed="false">
      <c r="A5961" s="2" t="s">
        <v>827</v>
      </c>
      <c r="B5961" s="2" t="s">
        <v>47</v>
      </c>
      <c r="C5961" s="2" t="s">
        <v>4087</v>
      </c>
      <c r="D5961" s="11" t="n">
        <v>15834</v>
      </c>
      <c r="E5961" s="31" t="n">
        <v>78.9</v>
      </c>
      <c r="F5961" s="31" t="n">
        <v>79.4</v>
      </c>
      <c r="G5961" s="31" t="n">
        <v>37</v>
      </c>
      <c r="H5961" s="2" t="s">
        <v>671</v>
      </c>
    </row>
    <row r="5962" customFormat="false" ht="15" hidden="false" customHeight="false" outlineLevel="0" collapsed="false">
      <c r="A5962" s="2" t="s">
        <v>189</v>
      </c>
      <c r="B5962" s="2" t="s">
        <v>4104</v>
      </c>
      <c r="C5962" s="2" t="s">
        <v>4085</v>
      </c>
      <c r="D5962" s="2"/>
      <c r="E5962" s="31" t="n">
        <v>65.2</v>
      </c>
      <c r="F5962" s="31" t="n">
        <v>36.8</v>
      </c>
      <c r="G5962" s="31" t="n">
        <v>59.2</v>
      </c>
      <c r="H5962" s="2" t="s">
        <v>671</v>
      </c>
    </row>
    <row r="5963" customFormat="false" ht="15" hidden="false" customHeight="false" outlineLevel="0" collapsed="false">
      <c r="A5963" s="2" t="s">
        <v>189</v>
      </c>
      <c r="B5963" s="2" t="s">
        <v>4104</v>
      </c>
      <c r="C5963" s="2" t="s">
        <v>4086</v>
      </c>
      <c r="D5963" s="2"/>
      <c r="E5963" s="2"/>
      <c r="F5963" s="2"/>
      <c r="G5963" s="31" t="n">
        <v>21.9</v>
      </c>
      <c r="H5963" s="2" t="s">
        <v>668</v>
      </c>
    </row>
    <row r="5964" customFormat="false" ht="15" hidden="false" customHeight="false" outlineLevel="0" collapsed="false">
      <c r="A5964" s="2" t="s">
        <v>189</v>
      </c>
      <c r="B5964" s="2" t="s">
        <v>4104</v>
      </c>
      <c r="C5964" s="2" t="s">
        <v>4087</v>
      </c>
      <c r="D5964" s="2"/>
      <c r="E5964" s="31" t="n">
        <v>72.6</v>
      </c>
      <c r="F5964" s="31" t="n">
        <v>42.2</v>
      </c>
      <c r="G5964" s="31" t="n">
        <v>62.6</v>
      </c>
      <c r="H5964" s="2" t="s">
        <v>671</v>
      </c>
    </row>
    <row r="5965" customFormat="false" ht="15" hidden="false" customHeight="false" outlineLevel="0" collapsed="false">
      <c r="A5965" s="2" t="s">
        <v>189</v>
      </c>
      <c r="B5965" s="2" t="s">
        <v>46</v>
      </c>
      <c r="C5965" s="2" t="s">
        <v>4085</v>
      </c>
      <c r="D5965" s="11" t="n">
        <v>21860</v>
      </c>
      <c r="E5965" s="31" t="n">
        <v>61.8</v>
      </c>
      <c r="F5965" s="31" t="n">
        <v>53.2</v>
      </c>
      <c r="G5965" s="31" t="n">
        <v>99.8</v>
      </c>
      <c r="H5965" s="2" t="s">
        <v>671</v>
      </c>
    </row>
    <row r="5966" customFormat="false" ht="15" hidden="false" customHeight="false" outlineLevel="0" collapsed="false">
      <c r="A5966" s="2" t="s">
        <v>189</v>
      </c>
      <c r="B5966" s="2" t="s">
        <v>46</v>
      </c>
      <c r="C5966" s="2" t="s">
        <v>4086</v>
      </c>
      <c r="D5966" s="2"/>
      <c r="E5966" s="2"/>
      <c r="F5966" s="2"/>
      <c r="G5966" s="2"/>
      <c r="H5966" s="2" t="s">
        <v>668</v>
      </c>
    </row>
    <row r="5967" customFormat="false" ht="15" hidden="false" customHeight="false" outlineLevel="0" collapsed="false">
      <c r="A5967" s="2" t="s">
        <v>189</v>
      </c>
      <c r="B5967" s="2" t="s">
        <v>46</v>
      </c>
      <c r="C5967" s="2" t="s">
        <v>4087</v>
      </c>
      <c r="D5967" s="11" t="n">
        <v>23781</v>
      </c>
      <c r="E5967" s="31" t="n">
        <v>66.2</v>
      </c>
      <c r="F5967" s="31" t="n">
        <v>66</v>
      </c>
      <c r="G5967" s="31" t="n">
        <v>96.9</v>
      </c>
      <c r="H5967" s="2" t="s">
        <v>671</v>
      </c>
    </row>
    <row r="5968" customFormat="false" ht="15" hidden="false" customHeight="false" outlineLevel="0" collapsed="false">
      <c r="A5968" s="2" t="s">
        <v>189</v>
      </c>
      <c r="B5968" s="2" t="s">
        <v>47</v>
      </c>
      <c r="C5968" s="2" t="s">
        <v>4085</v>
      </c>
      <c r="D5968" s="11" t="n">
        <v>52502</v>
      </c>
      <c r="E5968" s="31" t="n">
        <v>68.5</v>
      </c>
      <c r="F5968" s="31" t="n">
        <v>20.3</v>
      </c>
      <c r="G5968" s="31" t="n">
        <v>18.5</v>
      </c>
      <c r="H5968" s="2" t="s">
        <v>671</v>
      </c>
    </row>
    <row r="5969" customFormat="false" ht="15" hidden="false" customHeight="false" outlineLevel="0" collapsed="false">
      <c r="A5969" s="2" t="s">
        <v>189</v>
      </c>
      <c r="B5969" s="2" t="s">
        <v>47</v>
      </c>
      <c r="C5969" s="2" t="s">
        <v>4086</v>
      </c>
      <c r="D5969" s="2"/>
      <c r="E5969" s="2"/>
      <c r="F5969" s="2"/>
      <c r="G5969" s="31" t="n">
        <v>21.9</v>
      </c>
      <c r="H5969" s="2" t="s">
        <v>668</v>
      </c>
    </row>
    <row r="5970" customFormat="false" ht="15" hidden="false" customHeight="false" outlineLevel="0" collapsed="false">
      <c r="A5970" s="2" t="s">
        <v>189</v>
      </c>
      <c r="B5970" s="2" t="s">
        <v>47</v>
      </c>
      <c r="C5970" s="2" t="s">
        <v>4087</v>
      </c>
      <c r="D5970" s="11" t="n">
        <v>55200</v>
      </c>
      <c r="E5970" s="31" t="n">
        <v>79.1</v>
      </c>
      <c r="F5970" s="31" t="n">
        <v>18.4</v>
      </c>
      <c r="G5970" s="31" t="n">
        <v>28.4</v>
      </c>
      <c r="H5970" s="2" t="s">
        <v>671</v>
      </c>
    </row>
    <row r="5971" customFormat="false" ht="15" hidden="false" customHeight="false" outlineLevel="0" collapsed="false">
      <c r="A5971" s="2" t="s">
        <v>244</v>
      </c>
      <c r="B5971" s="2" t="s">
        <v>4104</v>
      </c>
      <c r="C5971" s="2" t="s">
        <v>4085</v>
      </c>
      <c r="D5971" s="2"/>
      <c r="E5971" s="31" t="n">
        <v>90</v>
      </c>
      <c r="F5971" s="31" t="n">
        <v>76.6</v>
      </c>
      <c r="G5971" s="31" t="n">
        <v>18</v>
      </c>
      <c r="H5971" s="2" t="s">
        <v>668</v>
      </c>
    </row>
    <row r="5972" customFormat="false" ht="15" hidden="false" customHeight="false" outlineLevel="0" collapsed="false">
      <c r="A5972" s="2" t="s">
        <v>244</v>
      </c>
      <c r="B5972" s="2" t="s">
        <v>4104</v>
      </c>
      <c r="C5972" s="2" t="s">
        <v>4086</v>
      </c>
      <c r="D5972" s="2"/>
      <c r="E5972" s="31" t="n">
        <v>75.8</v>
      </c>
      <c r="F5972" s="31" t="n">
        <v>82.2</v>
      </c>
      <c r="G5972" s="31" t="n">
        <v>20.1</v>
      </c>
      <c r="H5972" s="2" t="s">
        <v>671</v>
      </c>
    </row>
    <row r="5973" customFormat="false" ht="15" hidden="false" customHeight="false" outlineLevel="0" collapsed="false">
      <c r="A5973" s="2" t="s">
        <v>244</v>
      </c>
      <c r="B5973" s="2" t="s">
        <v>4104</v>
      </c>
      <c r="C5973" s="2" t="s">
        <v>4087</v>
      </c>
      <c r="D5973" s="2"/>
      <c r="E5973" s="31" t="n">
        <v>65</v>
      </c>
      <c r="F5973" s="31" t="n">
        <v>78.4</v>
      </c>
      <c r="G5973" s="31" t="n">
        <v>9.1</v>
      </c>
      <c r="H5973" s="2" t="s">
        <v>671</v>
      </c>
    </row>
    <row r="5974" customFormat="false" ht="15" hidden="false" customHeight="false" outlineLevel="0" collapsed="false">
      <c r="A5974" s="2" t="s">
        <v>244</v>
      </c>
      <c r="B5974" s="2" t="s">
        <v>45</v>
      </c>
      <c r="C5974" s="2" t="s">
        <v>4085</v>
      </c>
      <c r="D5974" s="11" t="n">
        <v>15026</v>
      </c>
      <c r="E5974" s="2"/>
      <c r="F5974" s="31" t="n">
        <v>60.6</v>
      </c>
      <c r="G5974" s="2"/>
      <c r="H5974" s="2" t="s">
        <v>668</v>
      </c>
    </row>
    <row r="5975" customFormat="false" ht="15" hidden="false" customHeight="false" outlineLevel="0" collapsed="false">
      <c r="A5975" s="2" t="s">
        <v>244</v>
      </c>
      <c r="B5975" s="2" t="s">
        <v>45</v>
      </c>
      <c r="C5975" s="2" t="s">
        <v>4086</v>
      </c>
      <c r="D5975" s="11" t="n">
        <v>15810</v>
      </c>
      <c r="E5975" s="31" t="n">
        <v>57.8</v>
      </c>
      <c r="F5975" s="31" t="n">
        <v>75.9</v>
      </c>
      <c r="G5975" s="31" t="n">
        <v>5.1</v>
      </c>
      <c r="H5975" s="2" t="s">
        <v>671</v>
      </c>
    </row>
    <row r="5976" customFormat="false" ht="15" hidden="false" customHeight="false" outlineLevel="0" collapsed="false">
      <c r="A5976" s="2" t="s">
        <v>244</v>
      </c>
      <c r="B5976" s="2" t="s">
        <v>45</v>
      </c>
      <c r="C5976" s="2" t="s">
        <v>4087</v>
      </c>
      <c r="D5976" s="11" t="n">
        <v>16180</v>
      </c>
      <c r="E5976" s="31" t="n">
        <v>44.2</v>
      </c>
      <c r="F5976" s="31" t="n">
        <v>71.4</v>
      </c>
      <c r="G5976" s="31" t="n">
        <v>14.6</v>
      </c>
      <c r="H5976" s="2" t="s">
        <v>671</v>
      </c>
    </row>
    <row r="5977" customFormat="false" ht="15" hidden="false" customHeight="false" outlineLevel="0" collapsed="false">
      <c r="A5977" s="2" t="s">
        <v>244</v>
      </c>
      <c r="B5977" s="2" t="s">
        <v>46</v>
      </c>
      <c r="C5977" s="2" t="s">
        <v>4085</v>
      </c>
      <c r="D5977" s="11" t="n">
        <v>69076</v>
      </c>
      <c r="E5977" s="31" t="n">
        <v>90</v>
      </c>
      <c r="F5977" s="31" t="n">
        <v>92.5</v>
      </c>
      <c r="G5977" s="31" t="n">
        <v>18</v>
      </c>
      <c r="H5977" s="2" t="s">
        <v>671</v>
      </c>
    </row>
    <row r="5978" customFormat="false" ht="15" hidden="false" customHeight="false" outlineLevel="0" collapsed="false">
      <c r="A5978" s="2" t="s">
        <v>244</v>
      </c>
      <c r="B5978" s="2" t="s">
        <v>46</v>
      </c>
      <c r="C5978" s="2" t="s">
        <v>4086</v>
      </c>
      <c r="D5978" s="11" t="n">
        <v>70360</v>
      </c>
      <c r="E5978" s="31" t="n">
        <v>93.9</v>
      </c>
      <c r="F5978" s="31" t="n">
        <v>88.4</v>
      </c>
      <c r="G5978" s="31" t="n">
        <v>35.1</v>
      </c>
      <c r="H5978" s="2" t="s">
        <v>671</v>
      </c>
    </row>
    <row r="5979" customFormat="false" ht="15" hidden="false" customHeight="false" outlineLevel="0" collapsed="false">
      <c r="A5979" s="2" t="s">
        <v>244</v>
      </c>
      <c r="B5979" s="2" t="s">
        <v>46</v>
      </c>
      <c r="C5979" s="2" t="s">
        <v>4087</v>
      </c>
      <c r="D5979" s="11" t="n">
        <v>74380</v>
      </c>
      <c r="E5979" s="31" t="n">
        <v>85.8</v>
      </c>
      <c r="F5979" s="31" t="n">
        <v>85.5</v>
      </c>
      <c r="G5979" s="31" t="n">
        <v>3.6</v>
      </c>
      <c r="H5979" s="2" t="s">
        <v>671</v>
      </c>
    </row>
    <row r="5980" customFormat="false" ht="15" hidden="false" customHeight="false" outlineLevel="0" collapsed="false">
      <c r="A5980" s="2" t="s">
        <v>3067</v>
      </c>
      <c r="B5980" s="2" t="s">
        <v>4104</v>
      </c>
      <c r="C5980" s="2" t="s">
        <v>4085</v>
      </c>
      <c r="D5980" s="2"/>
      <c r="E5980" s="31" t="n">
        <v>73.9</v>
      </c>
      <c r="F5980" s="31" t="n">
        <v>51.1</v>
      </c>
      <c r="G5980" s="31" t="n">
        <v>48</v>
      </c>
      <c r="H5980" s="2" t="s">
        <v>671</v>
      </c>
    </row>
    <row r="5981" customFormat="false" ht="15" hidden="false" customHeight="false" outlineLevel="0" collapsed="false">
      <c r="A5981" s="2" t="s">
        <v>3067</v>
      </c>
      <c r="B5981" s="2" t="s">
        <v>4104</v>
      </c>
      <c r="C5981" s="2" t="s">
        <v>4086</v>
      </c>
      <c r="D5981" s="2"/>
      <c r="E5981" s="31" t="n">
        <v>71.3</v>
      </c>
      <c r="F5981" s="31" t="n">
        <v>10.7</v>
      </c>
      <c r="G5981" s="31" t="n">
        <v>52.8</v>
      </c>
      <c r="H5981" s="2" t="s">
        <v>668</v>
      </c>
    </row>
    <row r="5982" customFormat="false" ht="15" hidden="false" customHeight="false" outlineLevel="0" collapsed="false">
      <c r="A5982" s="2" t="s">
        <v>3067</v>
      </c>
      <c r="B5982" s="2" t="s">
        <v>4104</v>
      </c>
      <c r="C5982" s="2" t="s">
        <v>4087</v>
      </c>
      <c r="D5982" s="2"/>
      <c r="E5982" s="2"/>
      <c r="F5982" s="2"/>
      <c r="G5982" s="2"/>
      <c r="H5982" s="2" t="s">
        <v>668</v>
      </c>
    </row>
    <row r="5983" customFormat="false" ht="15" hidden="false" customHeight="false" outlineLevel="0" collapsed="false">
      <c r="A5983" s="2" t="s">
        <v>3067</v>
      </c>
      <c r="B5983" s="2" t="s">
        <v>46</v>
      </c>
      <c r="C5983" s="2" t="s">
        <v>4085</v>
      </c>
      <c r="D5983" s="11" t="n">
        <v>236300</v>
      </c>
      <c r="E5983" s="31" t="n">
        <v>97.5</v>
      </c>
      <c r="F5983" s="31" t="n">
        <v>50.6</v>
      </c>
      <c r="G5983" s="31" t="n">
        <v>57.8</v>
      </c>
      <c r="H5983" s="2" t="s">
        <v>671</v>
      </c>
    </row>
    <row r="5984" customFormat="false" ht="15" hidden="false" customHeight="false" outlineLevel="0" collapsed="false">
      <c r="A5984" s="2" t="s">
        <v>3067</v>
      </c>
      <c r="B5984" s="2" t="s">
        <v>46</v>
      </c>
      <c r="C5984" s="2" t="s">
        <v>4086</v>
      </c>
      <c r="D5984" s="2"/>
      <c r="E5984" s="2"/>
      <c r="F5984" s="2"/>
      <c r="G5984" s="31" t="n">
        <v>76.8</v>
      </c>
      <c r="H5984" s="2" t="s">
        <v>668</v>
      </c>
    </row>
    <row r="5985" customFormat="false" ht="15" hidden="false" customHeight="false" outlineLevel="0" collapsed="false">
      <c r="A5985" s="2" t="s">
        <v>3067</v>
      </c>
      <c r="B5985" s="2" t="s">
        <v>46</v>
      </c>
      <c r="C5985" s="2" t="s">
        <v>4087</v>
      </c>
      <c r="D5985" s="2"/>
      <c r="E5985" s="2"/>
      <c r="F5985" s="2"/>
      <c r="G5985" s="2"/>
      <c r="H5985" s="2" t="s">
        <v>668</v>
      </c>
    </row>
    <row r="5986" customFormat="false" ht="15" hidden="false" customHeight="false" outlineLevel="0" collapsed="false">
      <c r="A5986" s="2" t="s">
        <v>3067</v>
      </c>
      <c r="B5986" s="2" t="s">
        <v>47</v>
      </c>
      <c r="C5986" s="2" t="s">
        <v>4085</v>
      </c>
      <c r="D5986" s="11" t="n">
        <v>78457</v>
      </c>
      <c r="E5986" s="31" t="n">
        <v>50.3</v>
      </c>
      <c r="F5986" s="31" t="n">
        <v>51.6</v>
      </c>
      <c r="G5986" s="31" t="n">
        <v>38.1</v>
      </c>
      <c r="H5986" s="2" t="s">
        <v>671</v>
      </c>
    </row>
    <row r="5987" customFormat="false" ht="15" hidden="false" customHeight="false" outlineLevel="0" collapsed="false">
      <c r="A5987" s="2" t="s">
        <v>3067</v>
      </c>
      <c r="B5987" s="2" t="s">
        <v>47</v>
      </c>
      <c r="C5987" s="2" t="s">
        <v>4086</v>
      </c>
      <c r="D5987" s="11" t="n">
        <v>78212</v>
      </c>
      <c r="E5987" s="31" t="n">
        <v>71.3</v>
      </c>
      <c r="F5987" s="31" t="n">
        <v>10.7</v>
      </c>
      <c r="G5987" s="31" t="n">
        <v>28.7</v>
      </c>
      <c r="H5987" s="2" t="s">
        <v>671</v>
      </c>
    </row>
    <row r="5988" customFormat="false" ht="15" hidden="false" customHeight="false" outlineLevel="0" collapsed="false">
      <c r="A5988" s="2" t="s">
        <v>3067</v>
      </c>
      <c r="B5988" s="2" t="s">
        <v>47</v>
      </c>
      <c r="C5988" s="2" t="s">
        <v>4087</v>
      </c>
      <c r="D5988" s="2"/>
      <c r="E5988" s="2"/>
      <c r="F5988" s="2"/>
      <c r="G5988" s="2"/>
      <c r="H5988" s="2" t="s">
        <v>668</v>
      </c>
    </row>
    <row r="5989" customFormat="false" ht="15" hidden="false" customHeight="false" outlineLevel="0" collapsed="false">
      <c r="A5989" s="2" t="s">
        <v>137</v>
      </c>
      <c r="B5989" s="2" t="s">
        <v>4104</v>
      </c>
      <c r="C5989" s="2" t="s">
        <v>4085</v>
      </c>
      <c r="D5989" s="2"/>
      <c r="E5989" s="31" t="n">
        <v>63.4</v>
      </c>
      <c r="F5989" s="31" t="n">
        <v>26.4</v>
      </c>
      <c r="G5989" s="31" t="n">
        <v>9.8</v>
      </c>
      <c r="H5989" s="2" t="s">
        <v>671</v>
      </c>
    </row>
    <row r="5990" customFormat="false" ht="15" hidden="false" customHeight="false" outlineLevel="0" collapsed="false">
      <c r="A5990" s="2" t="s">
        <v>137</v>
      </c>
      <c r="B5990" s="2" t="s">
        <v>4104</v>
      </c>
      <c r="C5990" s="2" t="s">
        <v>4086</v>
      </c>
      <c r="D5990" s="2"/>
      <c r="E5990" s="31" t="n">
        <v>83.2</v>
      </c>
      <c r="F5990" s="31" t="n">
        <v>16.2</v>
      </c>
      <c r="G5990" s="31" t="n">
        <v>43.8</v>
      </c>
      <c r="H5990" s="2" t="s">
        <v>671</v>
      </c>
    </row>
    <row r="5991" customFormat="false" ht="15" hidden="false" customHeight="false" outlineLevel="0" collapsed="false">
      <c r="A5991" s="2" t="s">
        <v>137</v>
      </c>
      <c r="B5991" s="2" t="s">
        <v>4104</v>
      </c>
      <c r="C5991" s="2" t="s">
        <v>4087</v>
      </c>
      <c r="D5991" s="2"/>
      <c r="E5991" s="31" t="n">
        <v>82.4</v>
      </c>
      <c r="F5991" s="31" t="n">
        <v>18.8</v>
      </c>
      <c r="G5991" s="31" t="n">
        <v>22</v>
      </c>
      <c r="H5991" s="2" t="s">
        <v>671</v>
      </c>
    </row>
    <row r="5992" customFormat="false" ht="15" hidden="false" customHeight="false" outlineLevel="0" collapsed="false">
      <c r="A5992" s="2" t="s">
        <v>137</v>
      </c>
      <c r="B5992" s="2" t="s">
        <v>45</v>
      </c>
      <c r="C5992" s="2" t="s">
        <v>4085</v>
      </c>
      <c r="D5992" s="11" t="n">
        <v>50600</v>
      </c>
      <c r="E5992" s="31" t="n">
        <v>93.3</v>
      </c>
      <c r="F5992" s="31" t="n">
        <v>50.7</v>
      </c>
      <c r="G5992" s="31" t="n">
        <v>15.1</v>
      </c>
      <c r="H5992" s="2" t="s">
        <v>671</v>
      </c>
    </row>
    <row r="5993" customFormat="false" ht="15" hidden="false" customHeight="false" outlineLevel="0" collapsed="false">
      <c r="A5993" s="2" t="s">
        <v>137</v>
      </c>
      <c r="B5993" s="2" t="s">
        <v>45</v>
      </c>
      <c r="C5993" s="2" t="s">
        <v>4086</v>
      </c>
      <c r="D5993" s="11" t="n">
        <v>51170</v>
      </c>
      <c r="E5993" s="31" t="n">
        <v>96.6</v>
      </c>
      <c r="F5993" s="31" t="n">
        <v>30.6</v>
      </c>
      <c r="G5993" s="31" t="n">
        <v>38.9</v>
      </c>
      <c r="H5993" s="2" t="s">
        <v>671</v>
      </c>
    </row>
    <row r="5994" customFormat="false" ht="15" hidden="false" customHeight="false" outlineLevel="0" collapsed="false">
      <c r="A5994" s="2" t="s">
        <v>137</v>
      </c>
      <c r="B5994" s="2" t="s">
        <v>45</v>
      </c>
      <c r="C5994" s="2" t="s">
        <v>4087</v>
      </c>
      <c r="D5994" s="11" t="n">
        <v>51930</v>
      </c>
      <c r="E5994" s="31" t="n">
        <v>93.6</v>
      </c>
      <c r="F5994" s="31" t="n">
        <v>36.9</v>
      </c>
      <c r="G5994" s="31" t="n">
        <v>12.4</v>
      </c>
      <c r="H5994" s="2" t="s">
        <v>671</v>
      </c>
    </row>
    <row r="5995" customFormat="false" ht="15" hidden="false" customHeight="false" outlineLevel="0" collapsed="false">
      <c r="A5995" s="2" t="s">
        <v>137</v>
      </c>
      <c r="B5995" s="2" t="s">
        <v>46</v>
      </c>
      <c r="C5995" s="2" t="s">
        <v>4085</v>
      </c>
      <c r="D5995" s="11" t="n">
        <v>65760</v>
      </c>
      <c r="E5995" s="31" t="n">
        <v>33.5</v>
      </c>
      <c r="F5995" s="31" t="n">
        <v>2.2</v>
      </c>
      <c r="G5995" s="31" t="n">
        <v>4.6</v>
      </c>
      <c r="H5995" s="2" t="s">
        <v>671</v>
      </c>
    </row>
    <row r="5996" customFormat="false" ht="15" hidden="false" customHeight="false" outlineLevel="0" collapsed="false">
      <c r="A5996" s="2" t="s">
        <v>137</v>
      </c>
      <c r="B5996" s="2" t="s">
        <v>46</v>
      </c>
      <c r="C5996" s="2" t="s">
        <v>4086</v>
      </c>
      <c r="D5996" s="11" t="n">
        <v>63110</v>
      </c>
      <c r="E5996" s="31" t="n">
        <v>69.7</v>
      </c>
      <c r="F5996" s="31" t="n">
        <v>1.8</v>
      </c>
      <c r="G5996" s="31" t="n">
        <v>48.6</v>
      </c>
      <c r="H5996" s="2" t="s">
        <v>671</v>
      </c>
    </row>
    <row r="5997" customFormat="false" ht="15" hidden="false" customHeight="false" outlineLevel="0" collapsed="false">
      <c r="A5997" s="2" t="s">
        <v>137</v>
      </c>
      <c r="B5997" s="2" t="s">
        <v>46</v>
      </c>
      <c r="C5997" s="2" t="s">
        <v>4087</v>
      </c>
      <c r="D5997" s="11" t="n">
        <v>60738</v>
      </c>
      <c r="E5997" s="31" t="n">
        <v>71.2</v>
      </c>
      <c r="F5997" s="31" t="n">
        <v>0.8</v>
      </c>
      <c r="G5997" s="31" t="n">
        <v>31.6</v>
      </c>
      <c r="H5997" s="2" t="s">
        <v>671</v>
      </c>
    </row>
    <row r="5998" customFormat="false" ht="15" hidden="false" customHeight="false" outlineLevel="0" collapsed="false">
      <c r="A5998" s="2" t="s">
        <v>117</v>
      </c>
      <c r="B5998" s="2" t="s">
        <v>4104</v>
      </c>
      <c r="C5998" s="2" t="s">
        <v>4085</v>
      </c>
      <c r="D5998" s="2"/>
      <c r="E5998" s="31" t="n">
        <v>95</v>
      </c>
      <c r="F5998" s="31" t="n">
        <v>10.3</v>
      </c>
      <c r="G5998" s="31" t="n">
        <v>84.9</v>
      </c>
      <c r="H5998" s="2" t="s">
        <v>671</v>
      </c>
    </row>
    <row r="5999" customFormat="false" ht="15" hidden="false" customHeight="false" outlineLevel="0" collapsed="false">
      <c r="A5999" s="2" t="s">
        <v>117</v>
      </c>
      <c r="B5999" s="2" t="s">
        <v>4104</v>
      </c>
      <c r="C5999" s="2" t="s">
        <v>4086</v>
      </c>
      <c r="D5999" s="2"/>
      <c r="E5999" s="31" t="n">
        <v>99.2</v>
      </c>
      <c r="F5999" s="31" t="n">
        <v>5</v>
      </c>
      <c r="G5999" s="31" t="n">
        <v>97.7</v>
      </c>
      <c r="H5999" s="2" t="s">
        <v>671</v>
      </c>
    </row>
    <row r="6000" customFormat="false" ht="15" hidden="false" customHeight="false" outlineLevel="0" collapsed="false">
      <c r="A6000" s="2" t="s">
        <v>117</v>
      </c>
      <c r="B6000" s="2" t="s">
        <v>4104</v>
      </c>
      <c r="C6000" s="2" t="s">
        <v>4087</v>
      </c>
      <c r="D6000" s="2"/>
      <c r="E6000" s="31" t="n">
        <v>87.6</v>
      </c>
      <c r="F6000" s="31" t="n">
        <v>12.3</v>
      </c>
      <c r="G6000" s="31" t="n">
        <v>95</v>
      </c>
      <c r="H6000" s="2" t="s">
        <v>671</v>
      </c>
    </row>
    <row r="6001" customFormat="false" ht="15" hidden="false" customHeight="false" outlineLevel="0" collapsed="false">
      <c r="A6001" s="2" t="s">
        <v>117</v>
      </c>
      <c r="B6001" s="2" t="s">
        <v>45</v>
      </c>
      <c r="C6001" s="2" t="s">
        <v>4085</v>
      </c>
      <c r="D6001" s="11" t="n">
        <v>663060</v>
      </c>
      <c r="E6001" s="31" t="n">
        <v>95</v>
      </c>
      <c r="F6001" s="31" t="n">
        <v>10.3</v>
      </c>
      <c r="G6001" s="31" t="n">
        <v>84.9</v>
      </c>
      <c r="H6001" s="2" t="s">
        <v>671</v>
      </c>
    </row>
    <row r="6002" customFormat="false" ht="15" hidden="false" customHeight="false" outlineLevel="0" collapsed="false">
      <c r="A6002" s="2" t="s">
        <v>117</v>
      </c>
      <c r="B6002" s="2" t="s">
        <v>45</v>
      </c>
      <c r="C6002" s="2" t="s">
        <v>4086</v>
      </c>
      <c r="D6002" s="11" t="n">
        <v>655880</v>
      </c>
      <c r="E6002" s="31" t="n">
        <v>99.2</v>
      </c>
      <c r="F6002" s="31" t="n">
        <v>5</v>
      </c>
      <c r="G6002" s="31" t="n">
        <v>97.7</v>
      </c>
      <c r="H6002" s="2" t="s">
        <v>671</v>
      </c>
    </row>
    <row r="6003" customFormat="false" ht="15" hidden="false" customHeight="false" outlineLevel="0" collapsed="false">
      <c r="A6003" s="2" t="s">
        <v>117</v>
      </c>
      <c r="B6003" s="2" t="s">
        <v>45</v>
      </c>
      <c r="C6003" s="2" t="s">
        <v>4087</v>
      </c>
      <c r="D6003" s="11" t="n">
        <v>655120</v>
      </c>
      <c r="E6003" s="31" t="n">
        <v>87.6</v>
      </c>
      <c r="F6003" s="31" t="n">
        <v>12.3</v>
      </c>
      <c r="G6003" s="31" t="n">
        <v>95</v>
      </c>
      <c r="H6003" s="2" t="s">
        <v>671</v>
      </c>
    </row>
    <row r="6004" customFormat="false" ht="15" hidden="false" customHeight="false" outlineLevel="0" collapsed="false">
      <c r="A6004" s="2" t="s">
        <v>2492</v>
      </c>
      <c r="B6004" s="2" t="s">
        <v>4104</v>
      </c>
      <c r="C6004" s="2" t="s">
        <v>4085</v>
      </c>
      <c r="D6004" s="2"/>
      <c r="E6004" s="31" t="n">
        <v>68.7</v>
      </c>
      <c r="F6004" s="31" t="n">
        <v>67.1</v>
      </c>
      <c r="G6004" s="31" t="n">
        <v>38.6</v>
      </c>
      <c r="H6004" s="2" t="s">
        <v>671</v>
      </c>
    </row>
    <row r="6005" customFormat="false" ht="15" hidden="false" customHeight="false" outlineLevel="0" collapsed="false">
      <c r="A6005" s="2" t="s">
        <v>2492</v>
      </c>
      <c r="B6005" s="2" t="s">
        <v>4104</v>
      </c>
      <c r="C6005" s="2" t="s">
        <v>4086</v>
      </c>
      <c r="D6005" s="2"/>
      <c r="E6005" s="31" t="n">
        <v>63</v>
      </c>
      <c r="F6005" s="31" t="n">
        <v>53.3</v>
      </c>
      <c r="G6005" s="31" t="n">
        <v>68.6</v>
      </c>
      <c r="H6005" s="2" t="s">
        <v>668</v>
      </c>
    </row>
    <row r="6006" customFormat="false" ht="15" hidden="false" customHeight="false" outlineLevel="0" collapsed="false">
      <c r="A6006" s="2" t="s">
        <v>2492</v>
      </c>
      <c r="B6006" s="2" t="s">
        <v>4104</v>
      </c>
      <c r="C6006" s="2" t="s">
        <v>4087</v>
      </c>
      <c r="D6006" s="2"/>
      <c r="E6006" s="31" t="n">
        <v>27.2</v>
      </c>
      <c r="F6006" s="31" t="n">
        <v>55</v>
      </c>
      <c r="G6006" s="31" t="n">
        <v>51.4</v>
      </c>
      <c r="H6006" s="2" t="s">
        <v>668</v>
      </c>
    </row>
    <row r="6007" customFormat="false" ht="15" hidden="false" customHeight="false" outlineLevel="0" collapsed="false">
      <c r="A6007" s="2" t="s">
        <v>2492</v>
      </c>
      <c r="B6007" s="2" t="s">
        <v>45</v>
      </c>
      <c r="C6007" s="2" t="s">
        <v>4085</v>
      </c>
      <c r="D6007" s="11" t="n">
        <v>79760</v>
      </c>
      <c r="E6007" s="31" t="n">
        <v>97</v>
      </c>
      <c r="F6007" s="31" t="n">
        <v>74.8</v>
      </c>
      <c r="G6007" s="31" t="n">
        <v>6.8</v>
      </c>
      <c r="H6007" s="2" t="s">
        <v>671</v>
      </c>
    </row>
    <row r="6008" customFormat="false" ht="15" hidden="false" customHeight="false" outlineLevel="0" collapsed="false">
      <c r="A6008" s="2" t="s">
        <v>2492</v>
      </c>
      <c r="B6008" s="2" t="s">
        <v>45</v>
      </c>
      <c r="C6008" s="2" t="s">
        <v>4086</v>
      </c>
      <c r="D6008" s="11" t="n">
        <v>82830</v>
      </c>
      <c r="E6008" s="31" t="n">
        <v>77.7</v>
      </c>
      <c r="F6008" s="31" t="n">
        <v>62.5</v>
      </c>
      <c r="G6008" s="2"/>
      <c r="H6008" s="2" t="s">
        <v>668</v>
      </c>
    </row>
    <row r="6009" customFormat="false" ht="15" hidden="false" customHeight="false" outlineLevel="0" collapsed="false">
      <c r="A6009" s="2" t="s">
        <v>2492</v>
      </c>
      <c r="B6009" s="2" t="s">
        <v>45</v>
      </c>
      <c r="C6009" s="2" t="s">
        <v>4087</v>
      </c>
      <c r="D6009" s="2"/>
      <c r="E6009" s="2"/>
      <c r="F6009" s="2"/>
      <c r="G6009" s="2"/>
      <c r="H6009" s="2" t="s">
        <v>668</v>
      </c>
    </row>
    <row r="6010" customFormat="false" ht="15" hidden="false" customHeight="false" outlineLevel="0" collapsed="false">
      <c r="A6010" s="2" t="s">
        <v>2492</v>
      </c>
      <c r="B6010" s="2" t="s">
        <v>46</v>
      </c>
      <c r="C6010" s="2" t="s">
        <v>4085</v>
      </c>
      <c r="D6010" s="11" t="n">
        <v>399130</v>
      </c>
      <c r="E6010" s="31" t="n">
        <v>64.6</v>
      </c>
      <c r="F6010" s="31" t="n">
        <v>67.3</v>
      </c>
      <c r="G6010" s="31" t="n">
        <v>23.7</v>
      </c>
      <c r="H6010" s="2" t="s">
        <v>671</v>
      </c>
    </row>
    <row r="6011" customFormat="false" ht="15" hidden="false" customHeight="false" outlineLevel="0" collapsed="false">
      <c r="A6011" s="2" t="s">
        <v>2492</v>
      </c>
      <c r="B6011" s="2" t="s">
        <v>46</v>
      </c>
      <c r="C6011" s="2" t="s">
        <v>4086</v>
      </c>
      <c r="D6011" s="11" t="n">
        <v>418030</v>
      </c>
      <c r="E6011" s="31" t="n">
        <v>72.1</v>
      </c>
      <c r="F6011" s="31" t="n">
        <v>66.9</v>
      </c>
      <c r="G6011" s="31" t="n">
        <v>51</v>
      </c>
      <c r="H6011" s="2" t="s">
        <v>671</v>
      </c>
    </row>
    <row r="6012" customFormat="false" ht="15" hidden="false" customHeight="false" outlineLevel="0" collapsed="false">
      <c r="A6012" s="2" t="s">
        <v>2492</v>
      </c>
      <c r="B6012" s="2" t="s">
        <v>46</v>
      </c>
      <c r="C6012" s="2" t="s">
        <v>4087</v>
      </c>
      <c r="D6012" s="2"/>
      <c r="E6012" s="2"/>
      <c r="F6012" s="2"/>
      <c r="G6012" s="2"/>
      <c r="H6012" s="2" t="s">
        <v>668</v>
      </c>
    </row>
    <row r="6013" customFormat="false" ht="15" hidden="false" customHeight="false" outlineLevel="0" collapsed="false">
      <c r="A6013" s="2" t="s">
        <v>2492</v>
      </c>
      <c r="B6013" s="2" t="s">
        <v>47</v>
      </c>
      <c r="C6013" s="2" t="s">
        <v>4085</v>
      </c>
      <c r="D6013" s="11" t="n">
        <v>15990</v>
      </c>
      <c r="E6013" s="31" t="n">
        <v>44.6</v>
      </c>
      <c r="F6013" s="31" t="n">
        <v>59.2</v>
      </c>
      <c r="G6013" s="31" t="n">
        <v>85.4</v>
      </c>
      <c r="H6013" s="2" t="s">
        <v>671</v>
      </c>
    </row>
    <row r="6014" customFormat="false" ht="15" hidden="false" customHeight="false" outlineLevel="0" collapsed="false">
      <c r="A6014" s="2" t="s">
        <v>2492</v>
      </c>
      <c r="B6014" s="2" t="s">
        <v>47</v>
      </c>
      <c r="C6014" s="2" t="s">
        <v>4086</v>
      </c>
      <c r="D6014" s="11" t="n">
        <v>16350</v>
      </c>
      <c r="E6014" s="31" t="n">
        <v>39.2</v>
      </c>
      <c r="F6014" s="31" t="n">
        <v>30.5</v>
      </c>
      <c r="G6014" s="31" t="n">
        <v>86.2</v>
      </c>
      <c r="H6014" s="2" t="s">
        <v>671</v>
      </c>
    </row>
    <row r="6015" customFormat="false" ht="15" hidden="false" customHeight="false" outlineLevel="0" collapsed="false">
      <c r="A6015" s="2" t="s">
        <v>2492</v>
      </c>
      <c r="B6015" s="2" t="s">
        <v>47</v>
      </c>
      <c r="C6015" s="2" t="s">
        <v>4087</v>
      </c>
      <c r="D6015" s="11" t="n">
        <v>16785</v>
      </c>
      <c r="E6015" s="31" t="n">
        <v>27.2</v>
      </c>
      <c r="F6015" s="31" t="n">
        <v>55</v>
      </c>
      <c r="G6015" s="31" t="n">
        <v>51.4</v>
      </c>
      <c r="H6015" s="2" t="s">
        <v>671</v>
      </c>
    </row>
    <row r="6016" customFormat="false" ht="15" hidden="false" customHeight="false" outlineLevel="0" collapsed="false">
      <c r="A6016" s="2" t="s">
        <v>306</v>
      </c>
      <c r="B6016" s="2" t="s">
        <v>4104</v>
      </c>
      <c r="C6016" s="2" t="s">
        <v>4085</v>
      </c>
      <c r="D6016" s="2"/>
      <c r="E6016" s="31" t="n">
        <v>38.2</v>
      </c>
      <c r="F6016" s="31" t="n">
        <v>30.3</v>
      </c>
      <c r="G6016" s="31" t="n">
        <v>66.2</v>
      </c>
      <c r="H6016" s="2" t="s">
        <v>668</v>
      </c>
    </row>
    <row r="6017" customFormat="false" ht="15" hidden="false" customHeight="false" outlineLevel="0" collapsed="false">
      <c r="A6017" s="2" t="s">
        <v>306</v>
      </c>
      <c r="B6017" s="2" t="s">
        <v>4104</v>
      </c>
      <c r="C6017" s="2" t="s">
        <v>4086</v>
      </c>
      <c r="D6017" s="2"/>
      <c r="E6017" s="31" t="n">
        <v>51.4</v>
      </c>
      <c r="F6017" s="31" t="n">
        <v>48.9</v>
      </c>
      <c r="G6017" s="31" t="n">
        <v>68.4</v>
      </c>
      <c r="H6017" s="2" t="s">
        <v>668</v>
      </c>
    </row>
    <row r="6018" customFormat="false" ht="15" hidden="false" customHeight="false" outlineLevel="0" collapsed="false">
      <c r="A6018" s="2" t="s">
        <v>306</v>
      </c>
      <c r="B6018" s="2" t="s">
        <v>4104</v>
      </c>
      <c r="C6018" s="2" t="s">
        <v>4087</v>
      </c>
      <c r="D6018" s="2"/>
      <c r="E6018" s="31" t="n">
        <v>57.3</v>
      </c>
      <c r="F6018" s="31" t="n">
        <v>36.5</v>
      </c>
      <c r="G6018" s="31" t="n">
        <v>74.3</v>
      </c>
      <c r="H6018" s="2" t="s">
        <v>671</v>
      </c>
    </row>
    <row r="6019" customFormat="false" ht="15" hidden="false" customHeight="false" outlineLevel="0" collapsed="false">
      <c r="A6019" s="2" t="s">
        <v>306</v>
      </c>
      <c r="B6019" s="2" t="s">
        <v>45</v>
      </c>
      <c r="C6019" s="2" t="s">
        <v>4085</v>
      </c>
      <c r="D6019" s="11" t="n">
        <v>129510</v>
      </c>
      <c r="E6019" s="31" t="n">
        <v>33</v>
      </c>
      <c r="F6019" s="31" t="n">
        <v>15.1</v>
      </c>
      <c r="G6019" s="31" t="n">
        <v>80.2</v>
      </c>
      <c r="H6019" s="2" t="s">
        <v>671</v>
      </c>
    </row>
    <row r="6020" customFormat="false" ht="15" hidden="false" customHeight="false" outlineLevel="0" collapsed="false">
      <c r="A6020" s="2" t="s">
        <v>306</v>
      </c>
      <c r="B6020" s="2" t="s">
        <v>45</v>
      </c>
      <c r="C6020" s="2" t="s">
        <v>4086</v>
      </c>
      <c r="D6020" s="11" t="n">
        <v>127280</v>
      </c>
      <c r="E6020" s="31" t="n">
        <v>50.3</v>
      </c>
      <c r="F6020" s="31" t="n">
        <v>60</v>
      </c>
      <c r="G6020" s="31" t="n">
        <v>66.4</v>
      </c>
      <c r="H6020" s="2" t="s">
        <v>671</v>
      </c>
    </row>
    <row r="6021" customFormat="false" ht="15" hidden="false" customHeight="false" outlineLevel="0" collapsed="false">
      <c r="A6021" s="2" t="s">
        <v>306</v>
      </c>
      <c r="B6021" s="2" t="s">
        <v>45</v>
      </c>
      <c r="C6021" s="2" t="s">
        <v>4087</v>
      </c>
      <c r="D6021" s="11" t="n">
        <v>131100</v>
      </c>
      <c r="E6021" s="31" t="n">
        <v>42.7</v>
      </c>
      <c r="F6021" s="31" t="n">
        <v>31.9</v>
      </c>
      <c r="G6021" s="31" t="n">
        <v>75.1</v>
      </c>
      <c r="H6021" s="2" t="s">
        <v>671</v>
      </c>
    </row>
    <row r="6022" customFormat="false" ht="15" hidden="false" customHeight="false" outlineLevel="0" collapsed="false">
      <c r="A6022" s="2" t="s">
        <v>306</v>
      </c>
      <c r="B6022" s="2" t="s">
        <v>46</v>
      </c>
      <c r="C6022" s="2" t="s">
        <v>4085</v>
      </c>
      <c r="D6022" s="11" t="n">
        <v>43860</v>
      </c>
      <c r="E6022" s="31" t="n">
        <v>39.3</v>
      </c>
      <c r="F6022" s="31" t="n">
        <v>32.6</v>
      </c>
      <c r="G6022" s="31" t="n">
        <v>52.3</v>
      </c>
      <c r="H6022" s="2" t="s">
        <v>671</v>
      </c>
    </row>
    <row r="6023" customFormat="false" ht="15" hidden="false" customHeight="false" outlineLevel="0" collapsed="false">
      <c r="A6023" s="2" t="s">
        <v>306</v>
      </c>
      <c r="B6023" s="2" t="s">
        <v>46</v>
      </c>
      <c r="C6023" s="2" t="s">
        <v>4086</v>
      </c>
      <c r="D6023" s="11" t="n">
        <v>44570</v>
      </c>
      <c r="E6023" s="31" t="n">
        <v>57.4</v>
      </c>
      <c r="F6023" s="31" t="n">
        <v>25.1</v>
      </c>
      <c r="G6023" s="2"/>
      <c r="H6023" s="2" t="s">
        <v>668</v>
      </c>
    </row>
    <row r="6024" customFormat="false" ht="15" hidden="false" customHeight="false" outlineLevel="0" collapsed="false">
      <c r="A6024" s="2" t="s">
        <v>306</v>
      </c>
      <c r="B6024" s="2" t="s">
        <v>46</v>
      </c>
      <c r="C6024" s="2" t="s">
        <v>4087</v>
      </c>
      <c r="D6024" s="11" t="n">
        <v>46260</v>
      </c>
      <c r="E6024" s="31" t="n">
        <v>58.4</v>
      </c>
      <c r="F6024" s="31" t="n">
        <v>16.2</v>
      </c>
      <c r="G6024" s="31" t="n">
        <v>76.9</v>
      </c>
      <c r="H6024" s="2" t="s">
        <v>671</v>
      </c>
    </row>
    <row r="6025" customFormat="false" ht="15" hidden="false" customHeight="false" outlineLevel="0" collapsed="false">
      <c r="A6025" s="2" t="s">
        <v>306</v>
      </c>
      <c r="B6025" s="2" t="s">
        <v>47</v>
      </c>
      <c r="C6025" s="2" t="s">
        <v>4085</v>
      </c>
      <c r="D6025" s="11" t="n">
        <v>639810</v>
      </c>
      <c r="E6025" s="31" t="n">
        <v>42.4</v>
      </c>
      <c r="F6025" s="31" t="n">
        <v>43.2</v>
      </c>
      <c r="G6025" s="2"/>
      <c r="H6025" s="2" t="s">
        <v>668</v>
      </c>
    </row>
    <row r="6026" customFormat="false" ht="15" hidden="false" customHeight="false" outlineLevel="0" collapsed="false">
      <c r="A6026" s="2" t="s">
        <v>306</v>
      </c>
      <c r="B6026" s="2" t="s">
        <v>47</v>
      </c>
      <c r="C6026" s="2" t="s">
        <v>4086</v>
      </c>
      <c r="D6026" s="11" t="n">
        <v>671365</v>
      </c>
      <c r="E6026" s="31" t="n">
        <v>46.4</v>
      </c>
      <c r="F6026" s="31" t="n">
        <v>61.5</v>
      </c>
      <c r="G6026" s="31" t="n">
        <v>70.3</v>
      </c>
      <c r="H6026" s="2" t="s">
        <v>671</v>
      </c>
    </row>
    <row r="6027" customFormat="false" ht="15" hidden="false" customHeight="false" outlineLevel="0" collapsed="false">
      <c r="A6027" s="2" t="s">
        <v>306</v>
      </c>
      <c r="B6027" s="2" t="s">
        <v>47</v>
      </c>
      <c r="C6027" s="2" t="s">
        <v>4087</v>
      </c>
      <c r="D6027" s="11" t="n">
        <v>677730</v>
      </c>
      <c r="E6027" s="31" t="n">
        <v>70.9</v>
      </c>
      <c r="F6027" s="31" t="n">
        <v>61.4</v>
      </c>
      <c r="G6027" s="31" t="n">
        <v>71</v>
      </c>
      <c r="H6027" s="2" t="s">
        <v>671</v>
      </c>
    </row>
    <row r="6028" customFormat="false" ht="15" hidden="false" customHeight="false" outlineLevel="0" collapsed="false">
      <c r="A6028" s="2" t="s">
        <v>1324</v>
      </c>
      <c r="B6028" s="2" t="s">
        <v>4104</v>
      </c>
      <c r="C6028" s="2" t="s">
        <v>4085</v>
      </c>
      <c r="D6028" s="2"/>
      <c r="E6028" s="31" t="n">
        <v>12.5</v>
      </c>
      <c r="F6028" s="31" t="n">
        <v>15.4</v>
      </c>
      <c r="G6028" s="31" t="n">
        <v>48</v>
      </c>
      <c r="H6028" s="2" t="s">
        <v>668</v>
      </c>
    </row>
    <row r="6029" customFormat="false" ht="15" hidden="false" customHeight="false" outlineLevel="0" collapsed="false">
      <c r="A6029" s="2" t="s">
        <v>1324</v>
      </c>
      <c r="B6029" s="2" t="s">
        <v>4104</v>
      </c>
      <c r="C6029" s="2" t="s">
        <v>4086</v>
      </c>
      <c r="D6029" s="2"/>
      <c r="E6029" s="31" t="n">
        <v>9.3</v>
      </c>
      <c r="F6029" s="31" t="n">
        <v>57.8</v>
      </c>
      <c r="G6029" s="31" t="n">
        <v>81.4</v>
      </c>
      <c r="H6029" s="2" t="s">
        <v>668</v>
      </c>
    </row>
    <row r="6030" customFormat="false" ht="15" hidden="false" customHeight="false" outlineLevel="0" collapsed="false">
      <c r="A6030" s="2" t="s">
        <v>1324</v>
      </c>
      <c r="B6030" s="2" t="s">
        <v>4104</v>
      </c>
      <c r="C6030" s="2" t="s">
        <v>4087</v>
      </c>
      <c r="D6030" s="2"/>
      <c r="E6030" s="31" t="n">
        <v>7.9</v>
      </c>
      <c r="F6030" s="31" t="n">
        <v>35.9</v>
      </c>
      <c r="G6030" s="31" t="n">
        <v>77.8</v>
      </c>
      <c r="H6030" s="2" t="s">
        <v>668</v>
      </c>
    </row>
    <row r="6031" customFormat="false" ht="15" hidden="false" customHeight="false" outlineLevel="0" collapsed="false">
      <c r="A6031" s="2" t="s">
        <v>1324</v>
      </c>
      <c r="B6031" s="2" t="s">
        <v>45</v>
      </c>
      <c r="C6031" s="2" t="s">
        <v>4085</v>
      </c>
      <c r="D6031" s="2"/>
      <c r="E6031" s="2"/>
      <c r="F6031" s="2"/>
      <c r="G6031" s="2"/>
      <c r="H6031" s="2" t="s">
        <v>668</v>
      </c>
    </row>
    <row r="6032" customFormat="false" ht="15" hidden="false" customHeight="false" outlineLevel="0" collapsed="false">
      <c r="A6032" s="2" t="s">
        <v>1324</v>
      </c>
      <c r="B6032" s="2" t="s">
        <v>45</v>
      </c>
      <c r="C6032" s="2" t="s">
        <v>4086</v>
      </c>
      <c r="D6032" s="2"/>
      <c r="E6032" s="2"/>
      <c r="F6032" s="2"/>
      <c r="G6032" s="2"/>
      <c r="H6032" s="2" t="s">
        <v>668</v>
      </c>
    </row>
    <row r="6033" customFormat="false" ht="15" hidden="false" customHeight="false" outlineLevel="0" collapsed="false">
      <c r="A6033" s="2" t="s">
        <v>1324</v>
      </c>
      <c r="B6033" s="2" t="s">
        <v>45</v>
      </c>
      <c r="C6033" s="2" t="s">
        <v>4087</v>
      </c>
      <c r="D6033" s="11" t="n">
        <v>17615</v>
      </c>
      <c r="E6033" s="31" t="n">
        <v>9</v>
      </c>
      <c r="F6033" s="31" t="n">
        <v>64.3</v>
      </c>
      <c r="G6033" s="31" t="n">
        <v>68.5</v>
      </c>
      <c r="H6033" s="2" t="s">
        <v>671</v>
      </c>
    </row>
    <row r="6034" customFormat="false" ht="15" hidden="false" customHeight="false" outlineLevel="0" collapsed="false">
      <c r="A6034" s="2" t="s">
        <v>1324</v>
      </c>
      <c r="B6034" s="2" t="s">
        <v>46</v>
      </c>
      <c r="C6034" s="2" t="s">
        <v>4085</v>
      </c>
      <c r="D6034" s="11" t="n">
        <v>2450</v>
      </c>
      <c r="E6034" s="31" t="n">
        <v>6.1</v>
      </c>
      <c r="F6034" s="31" t="n">
        <v>3.5</v>
      </c>
      <c r="G6034" s="2"/>
      <c r="H6034" s="2" t="s">
        <v>668</v>
      </c>
    </row>
    <row r="6035" customFormat="false" ht="15" hidden="false" customHeight="false" outlineLevel="0" collapsed="false">
      <c r="A6035" s="2" t="s">
        <v>1324</v>
      </c>
      <c r="B6035" s="2" t="s">
        <v>46</v>
      </c>
      <c r="C6035" s="2" t="s">
        <v>4086</v>
      </c>
      <c r="D6035" s="11" t="n">
        <v>2440</v>
      </c>
      <c r="E6035" s="31" t="n">
        <v>1</v>
      </c>
      <c r="F6035" s="2"/>
      <c r="G6035" s="31" t="n">
        <v>89.4</v>
      </c>
      <c r="H6035" s="2" t="s">
        <v>668</v>
      </c>
    </row>
    <row r="6036" customFormat="false" ht="15" hidden="false" customHeight="false" outlineLevel="0" collapsed="false">
      <c r="A6036" s="2" t="s">
        <v>1324</v>
      </c>
      <c r="B6036" s="2" t="s">
        <v>46</v>
      </c>
      <c r="C6036" s="2" t="s">
        <v>4087</v>
      </c>
      <c r="D6036" s="11" t="n">
        <v>2417</v>
      </c>
      <c r="E6036" s="31" t="n">
        <v>7.4</v>
      </c>
      <c r="F6036" s="31" t="n">
        <v>4.2</v>
      </c>
      <c r="G6036" s="31" t="n">
        <v>87</v>
      </c>
      <c r="H6036" s="2" t="s">
        <v>671</v>
      </c>
    </row>
    <row r="6037" customFormat="false" ht="15" hidden="false" customHeight="false" outlineLevel="0" collapsed="false">
      <c r="A6037" s="2" t="s">
        <v>1324</v>
      </c>
      <c r="B6037" s="2" t="s">
        <v>47</v>
      </c>
      <c r="C6037" s="2" t="s">
        <v>4085</v>
      </c>
      <c r="D6037" s="11" t="n">
        <v>141809</v>
      </c>
      <c r="E6037" s="31" t="n">
        <v>18.9</v>
      </c>
      <c r="F6037" s="31" t="n">
        <v>27.2</v>
      </c>
      <c r="G6037" s="31" t="n">
        <v>48</v>
      </c>
      <c r="H6037" s="2" t="s">
        <v>671</v>
      </c>
    </row>
    <row r="6038" customFormat="false" ht="15" hidden="false" customHeight="false" outlineLevel="0" collapsed="false">
      <c r="A6038" s="2" t="s">
        <v>1324</v>
      </c>
      <c r="B6038" s="2" t="s">
        <v>47</v>
      </c>
      <c r="C6038" s="2" t="s">
        <v>4086</v>
      </c>
      <c r="D6038" s="11" t="n">
        <v>147996</v>
      </c>
      <c r="E6038" s="31" t="n">
        <v>17.6</v>
      </c>
      <c r="F6038" s="31" t="n">
        <v>57.8</v>
      </c>
      <c r="G6038" s="31" t="n">
        <v>73.3</v>
      </c>
      <c r="H6038" s="2" t="s">
        <v>671</v>
      </c>
    </row>
    <row r="6039" customFormat="false" ht="15" hidden="false" customHeight="false" outlineLevel="0" collapsed="false">
      <c r="A6039" s="2" t="s">
        <v>1324</v>
      </c>
      <c r="B6039" s="2" t="s">
        <v>47</v>
      </c>
      <c r="C6039" s="2" t="s">
        <v>4087</v>
      </c>
      <c r="D6039" s="11" t="n">
        <v>150280</v>
      </c>
      <c r="E6039" s="31" t="n">
        <v>7.4</v>
      </c>
      <c r="F6039" s="31" t="n">
        <v>39.2</v>
      </c>
      <c r="G6039" s="2"/>
      <c r="H6039" s="2" t="s">
        <v>668</v>
      </c>
    </row>
    <row r="6040" customFormat="false" ht="15" hidden="false" customHeight="false" outlineLevel="0" collapsed="false">
      <c r="A6040" s="2" t="s">
        <v>3069</v>
      </c>
      <c r="B6040" s="2" t="s">
        <v>4104</v>
      </c>
      <c r="C6040" s="2" t="s">
        <v>4087</v>
      </c>
      <c r="D6040" s="2"/>
      <c r="E6040" s="31" t="n">
        <v>7.5</v>
      </c>
      <c r="F6040" s="2"/>
      <c r="G6040" s="31" t="n">
        <v>20.6</v>
      </c>
      <c r="H6040" s="2" t="s">
        <v>668</v>
      </c>
    </row>
    <row r="6041" customFormat="false" ht="15" hidden="false" customHeight="false" outlineLevel="0" collapsed="false">
      <c r="A6041" s="2" t="s">
        <v>3069</v>
      </c>
      <c r="B6041" s="2" t="s">
        <v>45</v>
      </c>
      <c r="C6041" s="2" t="s">
        <v>4087</v>
      </c>
      <c r="D6041" s="11" t="n">
        <v>66200</v>
      </c>
      <c r="E6041" s="31" t="n">
        <v>7.5</v>
      </c>
      <c r="F6041" s="2"/>
      <c r="G6041" s="31" t="n">
        <v>20.6</v>
      </c>
      <c r="H6041" s="2" t="s">
        <v>668</v>
      </c>
    </row>
    <row r="6042" customFormat="false" ht="15" hidden="false" customHeight="false" outlineLevel="0" collapsed="false">
      <c r="A6042" s="2" t="s">
        <v>3071</v>
      </c>
      <c r="B6042" s="2" t="s">
        <v>4104</v>
      </c>
      <c r="C6042" s="2" t="s">
        <v>4085</v>
      </c>
      <c r="D6042" s="2"/>
      <c r="E6042" s="31" t="n">
        <v>55.2</v>
      </c>
      <c r="F6042" s="31" t="n">
        <v>80.1</v>
      </c>
      <c r="G6042" s="2"/>
      <c r="H6042" s="2" t="s">
        <v>668</v>
      </c>
    </row>
    <row r="6043" customFormat="false" ht="15" hidden="false" customHeight="false" outlineLevel="0" collapsed="false">
      <c r="A6043" s="2" t="s">
        <v>3071</v>
      </c>
      <c r="B6043" s="2" t="s">
        <v>4104</v>
      </c>
      <c r="C6043" s="2" t="s">
        <v>4086</v>
      </c>
      <c r="D6043" s="2"/>
      <c r="E6043" s="31" t="n">
        <v>24.4</v>
      </c>
      <c r="F6043" s="31" t="n">
        <v>91.7</v>
      </c>
      <c r="G6043" s="31" t="n">
        <v>26.3</v>
      </c>
      <c r="H6043" s="2" t="s">
        <v>671</v>
      </c>
    </row>
    <row r="6044" customFormat="false" ht="15" hidden="false" customHeight="false" outlineLevel="0" collapsed="false">
      <c r="A6044" s="2" t="s">
        <v>3071</v>
      </c>
      <c r="B6044" s="2" t="s">
        <v>4104</v>
      </c>
      <c r="C6044" s="2" t="s">
        <v>4087</v>
      </c>
      <c r="D6044" s="2"/>
      <c r="E6044" s="2"/>
      <c r="F6044" s="2"/>
      <c r="G6044" s="2"/>
      <c r="H6044" s="2" t="s">
        <v>668</v>
      </c>
    </row>
    <row r="6045" customFormat="false" ht="15" hidden="false" customHeight="false" outlineLevel="0" collapsed="false">
      <c r="A6045" s="2" t="s">
        <v>3071</v>
      </c>
      <c r="B6045" s="2" t="s">
        <v>46</v>
      </c>
      <c r="C6045" s="2" t="s">
        <v>4085</v>
      </c>
      <c r="D6045" s="11" t="n">
        <v>114800</v>
      </c>
      <c r="E6045" s="31" t="n">
        <v>55.2</v>
      </c>
      <c r="F6045" s="31" t="n">
        <v>80.1</v>
      </c>
      <c r="G6045" s="2"/>
      <c r="H6045" s="2" t="s">
        <v>668</v>
      </c>
    </row>
    <row r="6046" customFormat="false" ht="15" hidden="false" customHeight="false" outlineLevel="0" collapsed="false">
      <c r="A6046" s="2" t="s">
        <v>3071</v>
      </c>
      <c r="B6046" s="2" t="s">
        <v>46</v>
      </c>
      <c r="C6046" s="2" t="s">
        <v>4086</v>
      </c>
      <c r="D6046" s="11" t="n">
        <v>116900</v>
      </c>
      <c r="E6046" s="31" t="n">
        <v>24.4</v>
      </c>
      <c r="F6046" s="31" t="n">
        <v>91.7</v>
      </c>
      <c r="G6046" s="31" t="n">
        <v>26.3</v>
      </c>
      <c r="H6046" s="2" t="s">
        <v>671</v>
      </c>
    </row>
    <row r="6047" customFormat="false" ht="15" hidden="false" customHeight="false" outlineLevel="0" collapsed="false">
      <c r="A6047" s="2" t="s">
        <v>3071</v>
      </c>
      <c r="B6047" s="2" t="s">
        <v>46</v>
      </c>
      <c r="C6047" s="2" t="s">
        <v>4087</v>
      </c>
      <c r="D6047" s="2"/>
      <c r="E6047" s="2"/>
      <c r="F6047" s="2"/>
      <c r="G6047" s="2"/>
      <c r="H6047" s="2" t="s">
        <v>668</v>
      </c>
    </row>
    <row r="6048" customFormat="false" ht="15" hidden="false" customHeight="false" outlineLevel="0" collapsed="false">
      <c r="A6048" s="2" t="s">
        <v>408</v>
      </c>
      <c r="B6048" s="2" t="s">
        <v>4104</v>
      </c>
      <c r="C6048" s="2" t="s">
        <v>4085</v>
      </c>
      <c r="D6048" s="2"/>
      <c r="E6048" s="31" t="n">
        <v>25.1</v>
      </c>
      <c r="F6048" s="31" t="n">
        <v>37.9</v>
      </c>
      <c r="G6048" s="31" t="n">
        <v>27.3</v>
      </c>
      <c r="H6048" s="2" t="s">
        <v>668</v>
      </c>
    </row>
    <row r="6049" customFormat="false" ht="15" hidden="false" customHeight="false" outlineLevel="0" collapsed="false">
      <c r="A6049" s="2" t="s">
        <v>408</v>
      </c>
      <c r="B6049" s="2" t="s">
        <v>4104</v>
      </c>
      <c r="C6049" s="2" t="s">
        <v>4086</v>
      </c>
      <c r="D6049" s="2"/>
      <c r="E6049" s="31" t="n">
        <v>16.9</v>
      </c>
      <c r="F6049" s="31" t="n">
        <v>33.8</v>
      </c>
      <c r="G6049" s="31" t="n">
        <v>35.6</v>
      </c>
      <c r="H6049" s="2" t="s">
        <v>668</v>
      </c>
    </row>
    <row r="6050" customFormat="false" ht="15" hidden="false" customHeight="false" outlineLevel="0" collapsed="false">
      <c r="A6050" s="2" t="s">
        <v>408</v>
      </c>
      <c r="B6050" s="2" t="s">
        <v>4104</v>
      </c>
      <c r="C6050" s="2" t="s">
        <v>4087</v>
      </c>
      <c r="D6050" s="2"/>
      <c r="E6050" s="31" t="n">
        <v>46.1</v>
      </c>
      <c r="F6050" s="31" t="n">
        <v>51.8</v>
      </c>
      <c r="G6050" s="31" t="n">
        <v>32.6</v>
      </c>
      <c r="H6050" s="2" t="s">
        <v>671</v>
      </c>
    </row>
    <row r="6051" customFormat="false" ht="15" hidden="false" customHeight="false" outlineLevel="0" collapsed="false">
      <c r="A6051" s="2" t="s">
        <v>408</v>
      </c>
      <c r="B6051" s="2" t="s">
        <v>45</v>
      </c>
      <c r="C6051" s="2" t="s">
        <v>4085</v>
      </c>
      <c r="D6051" s="2"/>
      <c r="E6051" s="2"/>
      <c r="F6051" s="2"/>
      <c r="G6051" s="2"/>
      <c r="H6051" s="2" t="s">
        <v>668</v>
      </c>
    </row>
    <row r="6052" customFormat="false" ht="15" hidden="false" customHeight="false" outlineLevel="0" collapsed="false">
      <c r="A6052" s="2" t="s">
        <v>408</v>
      </c>
      <c r="B6052" s="2" t="s">
        <v>45</v>
      </c>
      <c r="C6052" s="2" t="s">
        <v>4086</v>
      </c>
      <c r="D6052" s="11" t="n">
        <v>2350</v>
      </c>
      <c r="E6052" s="2"/>
      <c r="F6052" s="2"/>
      <c r="G6052" s="31" t="n">
        <v>18.2</v>
      </c>
      <c r="H6052" s="2" t="s">
        <v>668</v>
      </c>
    </row>
    <row r="6053" customFormat="false" ht="15" hidden="false" customHeight="false" outlineLevel="0" collapsed="false">
      <c r="A6053" s="2" t="s">
        <v>408</v>
      </c>
      <c r="B6053" s="2" t="s">
        <v>45</v>
      </c>
      <c r="C6053" s="2" t="s">
        <v>4087</v>
      </c>
      <c r="D6053" s="11" t="n">
        <v>2449</v>
      </c>
      <c r="E6053" s="31" t="n">
        <v>68.4</v>
      </c>
      <c r="F6053" s="31" t="n">
        <v>79.6</v>
      </c>
      <c r="G6053" s="31" t="n">
        <v>29</v>
      </c>
      <c r="H6053" s="2" t="s">
        <v>671</v>
      </c>
    </row>
    <row r="6054" customFormat="false" ht="15" hidden="false" customHeight="false" outlineLevel="0" collapsed="false">
      <c r="A6054" s="2" t="s">
        <v>408</v>
      </c>
      <c r="B6054" s="2" t="s">
        <v>47</v>
      </c>
      <c r="C6054" s="2" t="s">
        <v>4085</v>
      </c>
      <c r="D6054" s="11" t="n">
        <v>55484</v>
      </c>
      <c r="E6054" s="31" t="n">
        <v>25.1</v>
      </c>
      <c r="F6054" s="31" t="n">
        <v>37.9</v>
      </c>
      <c r="G6054" s="31" t="n">
        <v>27.3</v>
      </c>
      <c r="H6054" s="2" t="s">
        <v>671</v>
      </c>
    </row>
    <row r="6055" customFormat="false" ht="15" hidden="false" customHeight="false" outlineLevel="0" collapsed="false">
      <c r="A6055" s="2" t="s">
        <v>408</v>
      </c>
      <c r="B6055" s="2" t="s">
        <v>47</v>
      </c>
      <c r="C6055" s="2" t="s">
        <v>4086</v>
      </c>
      <c r="D6055" s="11" t="n">
        <v>57230</v>
      </c>
      <c r="E6055" s="31" t="n">
        <v>16.9</v>
      </c>
      <c r="F6055" s="31" t="n">
        <v>33.8</v>
      </c>
      <c r="G6055" s="31" t="n">
        <v>53</v>
      </c>
      <c r="H6055" s="2" t="s">
        <v>671</v>
      </c>
    </row>
    <row r="6056" customFormat="false" ht="15" hidden="false" customHeight="false" outlineLevel="0" collapsed="false">
      <c r="A6056" s="2" t="s">
        <v>408</v>
      </c>
      <c r="B6056" s="2" t="s">
        <v>47</v>
      </c>
      <c r="C6056" s="2" t="s">
        <v>4087</v>
      </c>
      <c r="D6056" s="11" t="n">
        <v>57198</v>
      </c>
      <c r="E6056" s="31" t="n">
        <v>23.8</v>
      </c>
      <c r="F6056" s="31" t="n">
        <v>24.1</v>
      </c>
      <c r="G6056" s="31" t="n">
        <v>36.2</v>
      </c>
      <c r="H6056" s="2" t="s">
        <v>671</v>
      </c>
    </row>
    <row r="6057" customFormat="false" ht="15" hidden="false" customHeight="false" outlineLevel="0" collapsed="false">
      <c r="A6057" s="2" t="s">
        <v>883</v>
      </c>
      <c r="B6057" s="2" t="s">
        <v>4104</v>
      </c>
      <c r="C6057" s="2" t="s">
        <v>4085</v>
      </c>
      <c r="D6057" s="2"/>
      <c r="E6057" s="31" t="n">
        <v>57.3</v>
      </c>
      <c r="F6057" s="31" t="n">
        <v>39.2</v>
      </c>
      <c r="G6057" s="31" t="n">
        <v>28.5</v>
      </c>
      <c r="H6057" s="2" t="s">
        <v>671</v>
      </c>
    </row>
    <row r="6058" customFormat="false" ht="15" hidden="false" customHeight="false" outlineLevel="0" collapsed="false">
      <c r="A6058" s="2" t="s">
        <v>883</v>
      </c>
      <c r="B6058" s="2" t="s">
        <v>4104</v>
      </c>
      <c r="C6058" s="2" t="s">
        <v>4086</v>
      </c>
      <c r="D6058" s="2"/>
      <c r="E6058" s="31" t="n">
        <v>65.8</v>
      </c>
      <c r="F6058" s="31" t="n">
        <v>56.5</v>
      </c>
      <c r="G6058" s="31" t="n">
        <v>56.2</v>
      </c>
      <c r="H6058" s="2" t="s">
        <v>671</v>
      </c>
    </row>
    <row r="6059" customFormat="false" ht="15" hidden="false" customHeight="false" outlineLevel="0" collapsed="false">
      <c r="A6059" s="2" t="s">
        <v>883</v>
      </c>
      <c r="B6059" s="2" t="s">
        <v>4104</v>
      </c>
      <c r="C6059" s="2" t="s">
        <v>4087</v>
      </c>
      <c r="D6059" s="2"/>
      <c r="E6059" s="31" t="n">
        <v>80.8</v>
      </c>
      <c r="F6059" s="31" t="n">
        <v>45.7</v>
      </c>
      <c r="G6059" s="31" t="n">
        <v>46.6</v>
      </c>
      <c r="H6059" s="2" t="s">
        <v>668</v>
      </c>
    </row>
    <row r="6060" customFormat="false" ht="15" hidden="false" customHeight="false" outlineLevel="0" collapsed="false">
      <c r="A6060" s="2" t="s">
        <v>883</v>
      </c>
      <c r="B6060" s="2" t="s">
        <v>45</v>
      </c>
      <c r="C6060" s="2" t="s">
        <v>4085</v>
      </c>
      <c r="D6060" s="11" t="n">
        <v>71172</v>
      </c>
      <c r="E6060" s="31" t="n">
        <v>81.4</v>
      </c>
      <c r="F6060" s="31" t="n">
        <v>51.8</v>
      </c>
      <c r="G6060" s="2"/>
      <c r="H6060" s="2" t="s">
        <v>671</v>
      </c>
    </row>
    <row r="6061" customFormat="false" ht="15" hidden="false" customHeight="false" outlineLevel="0" collapsed="false">
      <c r="A6061" s="2" t="s">
        <v>883</v>
      </c>
      <c r="B6061" s="2" t="s">
        <v>45</v>
      </c>
      <c r="C6061" s="2" t="s">
        <v>4086</v>
      </c>
      <c r="D6061" s="11" t="n">
        <v>74040</v>
      </c>
      <c r="E6061" s="31" t="n">
        <v>74.5</v>
      </c>
      <c r="F6061" s="31" t="n">
        <v>84.9</v>
      </c>
      <c r="G6061" s="2"/>
      <c r="H6061" s="2" t="s">
        <v>671</v>
      </c>
    </row>
    <row r="6062" customFormat="false" ht="15" hidden="false" customHeight="false" outlineLevel="0" collapsed="false">
      <c r="A6062" s="2" t="s">
        <v>883</v>
      </c>
      <c r="B6062" s="2" t="s">
        <v>45</v>
      </c>
      <c r="C6062" s="2" t="s">
        <v>4087</v>
      </c>
      <c r="D6062" s="11" t="n">
        <v>76469</v>
      </c>
      <c r="E6062" s="31" t="n">
        <v>71.6</v>
      </c>
      <c r="F6062" s="31" t="n">
        <v>84.5</v>
      </c>
      <c r="G6062" s="2"/>
      <c r="H6062" s="2" t="s">
        <v>671</v>
      </c>
    </row>
    <row r="6063" customFormat="false" ht="15" hidden="false" customHeight="false" outlineLevel="0" collapsed="false">
      <c r="A6063" s="2" t="s">
        <v>883</v>
      </c>
      <c r="B6063" s="2" t="s">
        <v>46</v>
      </c>
      <c r="C6063" s="2" t="s">
        <v>4085</v>
      </c>
      <c r="D6063" s="11" t="n">
        <v>226483</v>
      </c>
      <c r="E6063" s="31" t="n">
        <v>68.5</v>
      </c>
      <c r="F6063" s="31" t="n">
        <v>57.7</v>
      </c>
      <c r="G6063" s="31" t="n">
        <v>23.3</v>
      </c>
      <c r="H6063" s="2" t="s">
        <v>671</v>
      </c>
    </row>
    <row r="6064" customFormat="false" ht="15" hidden="false" customHeight="false" outlineLevel="0" collapsed="false">
      <c r="A6064" s="2" t="s">
        <v>883</v>
      </c>
      <c r="B6064" s="2" t="s">
        <v>46</v>
      </c>
      <c r="C6064" s="2" t="s">
        <v>4086</v>
      </c>
      <c r="D6064" s="11" t="n">
        <v>233135</v>
      </c>
      <c r="E6064" s="31" t="n">
        <v>89.6</v>
      </c>
      <c r="F6064" s="31" t="n">
        <v>82.2</v>
      </c>
      <c r="G6064" s="31" t="n">
        <v>32.9</v>
      </c>
      <c r="H6064" s="2" t="s">
        <v>671</v>
      </c>
    </row>
    <row r="6065" customFormat="false" ht="15" hidden="false" customHeight="false" outlineLevel="0" collapsed="false">
      <c r="A6065" s="2" t="s">
        <v>883</v>
      </c>
      <c r="B6065" s="2" t="s">
        <v>46</v>
      </c>
      <c r="C6065" s="2" t="s">
        <v>4087</v>
      </c>
      <c r="D6065" s="11" t="n">
        <v>238870</v>
      </c>
      <c r="E6065" s="31" t="n">
        <v>90.1</v>
      </c>
      <c r="F6065" s="31" t="n">
        <v>43.7</v>
      </c>
      <c r="G6065" s="31" t="n">
        <v>46.6</v>
      </c>
      <c r="H6065" s="2" t="s">
        <v>671</v>
      </c>
    </row>
    <row r="6066" customFormat="false" ht="15" hidden="false" customHeight="false" outlineLevel="0" collapsed="false">
      <c r="A6066" s="2" t="s">
        <v>883</v>
      </c>
      <c r="B6066" s="2" t="s">
        <v>47</v>
      </c>
      <c r="C6066" s="2" t="s">
        <v>4085</v>
      </c>
      <c r="D6066" s="11" t="n">
        <v>897130</v>
      </c>
      <c r="E6066" s="31" t="n">
        <v>22.1</v>
      </c>
      <c r="F6066" s="31" t="n">
        <v>8</v>
      </c>
      <c r="G6066" s="31" t="n">
        <v>33.7</v>
      </c>
      <c r="H6066" s="2" t="s">
        <v>671</v>
      </c>
    </row>
    <row r="6067" customFormat="false" ht="15" hidden="false" customHeight="false" outlineLevel="0" collapsed="false">
      <c r="A6067" s="2" t="s">
        <v>883</v>
      </c>
      <c r="B6067" s="2" t="s">
        <v>47</v>
      </c>
      <c r="C6067" s="2" t="s">
        <v>4086</v>
      </c>
      <c r="D6067" s="11" t="n">
        <v>880980</v>
      </c>
      <c r="E6067" s="31" t="n">
        <v>33.3</v>
      </c>
      <c r="F6067" s="31" t="n">
        <v>2.5</v>
      </c>
      <c r="G6067" s="31" t="n">
        <v>79.4</v>
      </c>
      <c r="H6067" s="2" t="s">
        <v>671</v>
      </c>
    </row>
    <row r="6068" customFormat="false" ht="15" hidden="false" customHeight="false" outlineLevel="0" collapsed="false">
      <c r="A6068" s="2" t="s">
        <v>883</v>
      </c>
      <c r="B6068" s="2" t="s">
        <v>47</v>
      </c>
      <c r="C6068" s="2" t="s">
        <v>4087</v>
      </c>
      <c r="D6068" s="11" t="n">
        <v>849457</v>
      </c>
      <c r="E6068" s="2"/>
      <c r="F6068" s="31" t="n">
        <v>9</v>
      </c>
      <c r="G6068" s="2"/>
      <c r="H6068" s="2" t="s">
        <v>668</v>
      </c>
    </row>
    <row r="6069" customFormat="false" ht="15" hidden="false" customHeight="false" outlineLevel="0" collapsed="false">
      <c r="A6069" s="2" t="s">
        <v>1223</v>
      </c>
      <c r="B6069" s="2" t="s">
        <v>4104</v>
      </c>
      <c r="C6069" s="2" t="s">
        <v>4085</v>
      </c>
      <c r="D6069" s="2"/>
      <c r="E6069" s="31" t="n">
        <v>46.7</v>
      </c>
      <c r="F6069" s="31" t="n">
        <v>41.8</v>
      </c>
      <c r="G6069" s="31" t="n">
        <v>46.1</v>
      </c>
      <c r="H6069" s="2" t="s">
        <v>671</v>
      </c>
    </row>
    <row r="6070" customFormat="false" ht="15" hidden="false" customHeight="false" outlineLevel="0" collapsed="false">
      <c r="A6070" s="2" t="s">
        <v>1223</v>
      </c>
      <c r="B6070" s="2" t="s">
        <v>4104</v>
      </c>
      <c r="C6070" s="2" t="s">
        <v>4086</v>
      </c>
      <c r="D6070" s="2"/>
      <c r="E6070" s="31" t="n">
        <v>49.4</v>
      </c>
      <c r="F6070" s="31" t="n">
        <v>42</v>
      </c>
      <c r="G6070" s="31" t="n">
        <v>72.8</v>
      </c>
      <c r="H6070" s="2" t="s">
        <v>668</v>
      </c>
    </row>
    <row r="6071" customFormat="false" ht="15" hidden="false" customHeight="false" outlineLevel="0" collapsed="false">
      <c r="A6071" s="2" t="s">
        <v>1223</v>
      </c>
      <c r="B6071" s="2" t="s">
        <v>4104</v>
      </c>
      <c r="C6071" s="2" t="s">
        <v>4087</v>
      </c>
      <c r="D6071" s="2"/>
      <c r="E6071" s="31" t="n">
        <v>42.5</v>
      </c>
      <c r="F6071" s="31" t="n">
        <v>52.3</v>
      </c>
      <c r="G6071" s="31" t="n">
        <v>63.6</v>
      </c>
      <c r="H6071" s="2" t="s">
        <v>668</v>
      </c>
    </row>
    <row r="6072" customFormat="false" ht="15" hidden="false" customHeight="false" outlineLevel="0" collapsed="false">
      <c r="A6072" s="2" t="s">
        <v>1223</v>
      </c>
      <c r="B6072" s="2" t="s">
        <v>45</v>
      </c>
      <c r="C6072" s="2" t="s">
        <v>4085</v>
      </c>
      <c r="D6072" s="11" t="n">
        <v>5325</v>
      </c>
      <c r="E6072" s="31" t="n">
        <v>16.4</v>
      </c>
      <c r="F6072" s="31" t="n">
        <v>66.1</v>
      </c>
      <c r="G6072" s="31" t="n">
        <v>20.2</v>
      </c>
      <c r="H6072" s="2" t="s">
        <v>671</v>
      </c>
    </row>
    <row r="6073" customFormat="false" ht="15" hidden="false" customHeight="false" outlineLevel="0" collapsed="false">
      <c r="A6073" s="2" t="s">
        <v>1223</v>
      </c>
      <c r="B6073" s="2" t="s">
        <v>45</v>
      </c>
      <c r="C6073" s="2" t="s">
        <v>4086</v>
      </c>
      <c r="D6073" s="11" t="n">
        <v>5541</v>
      </c>
      <c r="E6073" s="31" t="n">
        <v>26.7</v>
      </c>
      <c r="F6073" s="31" t="n">
        <v>42.3</v>
      </c>
      <c r="G6073" s="31" t="n">
        <v>70.4</v>
      </c>
      <c r="H6073" s="2" t="s">
        <v>671</v>
      </c>
    </row>
    <row r="6074" customFormat="false" ht="15" hidden="false" customHeight="false" outlineLevel="0" collapsed="false">
      <c r="A6074" s="2" t="s">
        <v>1223</v>
      </c>
      <c r="B6074" s="2" t="s">
        <v>45</v>
      </c>
      <c r="C6074" s="2" t="s">
        <v>4087</v>
      </c>
      <c r="D6074" s="11" t="n">
        <v>5920</v>
      </c>
      <c r="E6074" s="31" t="n">
        <v>25</v>
      </c>
      <c r="F6074" s="31" t="n">
        <v>88.9</v>
      </c>
      <c r="G6074" s="31" t="n">
        <v>36.2</v>
      </c>
      <c r="H6074" s="2" t="s">
        <v>671</v>
      </c>
    </row>
    <row r="6075" customFormat="false" ht="15" hidden="false" customHeight="false" outlineLevel="0" collapsed="false">
      <c r="A6075" s="2" t="s">
        <v>1223</v>
      </c>
      <c r="B6075" s="2" t="s">
        <v>46</v>
      </c>
      <c r="C6075" s="2" t="s">
        <v>4085</v>
      </c>
      <c r="D6075" s="11" t="n">
        <v>39159</v>
      </c>
      <c r="E6075" s="31" t="n">
        <v>63.4</v>
      </c>
      <c r="F6075" s="31" t="n">
        <v>56.6</v>
      </c>
      <c r="G6075" s="31" t="n">
        <v>22.4</v>
      </c>
      <c r="H6075" s="2" t="s">
        <v>671</v>
      </c>
    </row>
    <row r="6076" customFormat="false" ht="15" hidden="false" customHeight="false" outlineLevel="0" collapsed="false">
      <c r="A6076" s="2" t="s">
        <v>1223</v>
      </c>
      <c r="B6076" s="2" t="s">
        <v>46</v>
      </c>
      <c r="C6076" s="2" t="s">
        <v>4086</v>
      </c>
      <c r="D6076" s="11" t="n">
        <v>39990</v>
      </c>
      <c r="E6076" s="31" t="n">
        <v>42.6</v>
      </c>
      <c r="F6076" s="31" t="n">
        <v>80</v>
      </c>
      <c r="G6076" s="2"/>
      <c r="H6076" s="2" t="s">
        <v>668</v>
      </c>
    </row>
    <row r="6077" customFormat="false" ht="15" hidden="false" customHeight="false" outlineLevel="0" collapsed="false">
      <c r="A6077" s="2" t="s">
        <v>1223</v>
      </c>
      <c r="B6077" s="2" t="s">
        <v>46</v>
      </c>
      <c r="C6077" s="2" t="s">
        <v>4087</v>
      </c>
      <c r="D6077" s="11" t="n">
        <v>41410</v>
      </c>
      <c r="E6077" s="31" t="n">
        <v>39.5</v>
      </c>
      <c r="F6077" s="31" t="n">
        <v>57.7</v>
      </c>
      <c r="G6077" s="2"/>
      <c r="H6077" s="2" t="s">
        <v>668</v>
      </c>
    </row>
    <row r="6078" customFormat="false" ht="15" hidden="false" customHeight="false" outlineLevel="0" collapsed="false">
      <c r="A6078" s="2" t="s">
        <v>1223</v>
      </c>
      <c r="B6078" s="2" t="s">
        <v>47</v>
      </c>
      <c r="C6078" s="2" t="s">
        <v>4085</v>
      </c>
      <c r="D6078" s="11" t="n">
        <v>17455</v>
      </c>
      <c r="E6078" s="31" t="n">
        <v>60.2</v>
      </c>
      <c r="F6078" s="31" t="n">
        <v>2.6</v>
      </c>
      <c r="G6078" s="31" t="n">
        <v>95.8</v>
      </c>
      <c r="H6078" s="2" t="s">
        <v>671</v>
      </c>
    </row>
    <row r="6079" customFormat="false" ht="15" hidden="false" customHeight="false" outlineLevel="0" collapsed="false">
      <c r="A6079" s="2" t="s">
        <v>1223</v>
      </c>
      <c r="B6079" s="2" t="s">
        <v>47</v>
      </c>
      <c r="C6079" s="2" t="s">
        <v>4086</v>
      </c>
      <c r="D6079" s="11" t="n">
        <v>16850</v>
      </c>
      <c r="E6079" s="31" t="n">
        <v>78.8</v>
      </c>
      <c r="F6079" s="31" t="n">
        <v>3.6</v>
      </c>
      <c r="G6079" s="31" t="n">
        <v>75.1</v>
      </c>
      <c r="H6079" s="2" t="s">
        <v>671</v>
      </c>
    </row>
    <row r="6080" customFormat="false" ht="15" hidden="false" customHeight="false" outlineLevel="0" collapsed="false">
      <c r="A6080" s="2" t="s">
        <v>1223</v>
      </c>
      <c r="B6080" s="2" t="s">
        <v>47</v>
      </c>
      <c r="C6080" s="2" t="s">
        <v>4087</v>
      </c>
      <c r="D6080" s="11" t="n">
        <v>16711</v>
      </c>
      <c r="E6080" s="31" t="n">
        <v>63.1</v>
      </c>
      <c r="F6080" s="31" t="n">
        <v>10.3</v>
      </c>
      <c r="G6080" s="31" t="n">
        <v>91</v>
      </c>
      <c r="H6080" s="2" t="s">
        <v>671</v>
      </c>
    </row>
    <row r="6081" customFormat="false" ht="15" hidden="false" customHeight="false" outlineLevel="0" collapsed="false">
      <c r="A6081" s="2" t="s">
        <v>590</v>
      </c>
      <c r="B6081" s="2" t="s">
        <v>4104</v>
      </c>
      <c r="C6081" s="2" t="s">
        <v>4085</v>
      </c>
      <c r="D6081" s="2"/>
      <c r="E6081" s="31" t="n">
        <v>19.1</v>
      </c>
      <c r="F6081" s="31" t="n">
        <v>48.2</v>
      </c>
      <c r="G6081" s="31" t="n">
        <v>65.2</v>
      </c>
      <c r="H6081" s="2" t="s">
        <v>671</v>
      </c>
    </row>
    <row r="6082" customFormat="false" ht="15" hidden="false" customHeight="false" outlineLevel="0" collapsed="false">
      <c r="A6082" s="2" t="s">
        <v>590</v>
      </c>
      <c r="B6082" s="2" t="s">
        <v>4104</v>
      </c>
      <c r="C6082" s="2" t="s">
        <v>4086</v>
      </c>
      <c r="D6082" s="2"/>
      <c r="E6082" s="31" t="n">
        <v>26.5</v>
      </c>
      <c r="F6082" s="31" t="n">
        <v>92.9</v>
      </c>
      <c r="G6082" s="31" t="n">
        <v>80.3</v>
      </c>
      <c r="H6082" s="2" t="s">
        <v>668</v>
      </c>
    </row>
    <row r="6083" customFormat="false" ht="15" hidden="false" customHeight="false" outlineLevel="0" collapsed="false">
      <c r="A6083" s="2" t="s">
        <v>590</v>
      </c>
      <c r="B6083" s="2" t="s">
        <v>4104</v>
      </c>
      <c r="C6083" s="2" t="s">
        <v>4087</v>
      </c>
      <c r="D6083" s="2"/>
      <c r="E6083" s="31" t="n">
        <v>22</v>
      </c>
      <c r="F6083" s="31" t="n">
        <v>44.8</v>
      </c>
      <c r="G6083" s="31" t="n">
        <v>35.8</v>
      </c>
      <c r="H6083" s="2" t="s">
        <v>671</v>
      </c>
    </row>
    <row r="6084" customFormat="false" ht="15" hidden="false" customHeight="false" outlineLevel="0" collapsed="false">
      <c r="A6084" s="2" t="s">
        <v>590</v>
      </c>
      <c r="B6084" s="2" t="s">
        <v>45</v>
      </c>
      <c r="C6084" s="2" t="s">
        <v>4085</v>
      </c>
      <c r="D6084" s="11" t="n">
        <v>314410</v>
      </c>
      <c r="E6084" s="31" t="n">
        <v>25.9</v>
      </c>
      <c r="F6084" s="31" t="n">
        <v>78.8</v>
      </c>
      <c r="G6084" s="31" t="n">
        <v>83.9</v>
      </c>
      <c r="H6084" s="2" t="s">
        <v>671</v>
      </c>
    </row>
    <row r="6085" customFormat="false" ht="15" hidden="false" customHeight="false" outlineLevel="0" collapsed="false">
      <c r="A6085" s="2" t="s">
        <v>590</v>
      </c>
      <c r="B6085" s="2" t="s">
        <v>45</v>
      </c>
      <c r="C6085" s="2" t="s">
        <v>4086</v>
      </c>
      <c r="D6085" s="11" t="n">
        <v>344680</v>
      </c>
      <c r="E6085" s="31" t="n">
        <v>28</v>
      </c>
      <c r="F6085" s="31" t="n">
        <v>92.9</v>
      </c>
      <c r="G6085" s="31" t="n">
        <v>73.4</v>
      </c>
      <c r="H6085" s="2" t="s">
        <v>671</v>
      </c>
    </row>
    <row r="6086" customFormat="false" ht="15" hidden="false" customHeight="false" outlineLevel="0" collapsed="false">
      <c r="A6086" s="2" t="s">
        <v>590</v>
      </c>
      <c r="B6086" s="2" t="s">
        <v>45</v>
      </c>
      <c r="C6086" s="2" t="s">
        <v>4087</v>
      </c>
      <c r="D6086" s="11" t="n">
        <v>368806</v>
      </c>
      <c r="E6086" s="31" t="n">
        <v>36.3</v>
      </c>
      <c r="F6086" s="31" t="n">
        <v>82.6</v>
      </c>
      <c r="G6086" s="31" t="n">
        <v>11.9</v>
      </c>
      <c r="H6086" s="2" t="s">
        <v>671</v>
      </c>
    </row>
    <row r="6087" customFormat="false" ht="15" hidden="false" customHeight="false" outlineLevel="0" collapsed="false">
      <c r="A6087" s="2" t="s">
        <v>590</v>
      </c>
      <c r="B6087" s="2" t="s">
        <v>46</v>
      </c>
      <c r="C6087" s="2" t="s">
        <v>4085</v>
      </c>
      <c r="D6087" s="11" t="n">
        <v>30605</v>
      </c>
      <c r="E6087" s="31" t="n">
        <v>12.3</v>
      </c>
      <c r="F6087" s="31" t="n">
        <v>17.6</v>
      </c>
      <c r="G6087" s="31" t="n">
        <v>46.6</v>
      </c>
      <c r="H6087" s="2" t="s">
        <v>671</v>
      </c>
    </row>
    <row r="6088" customFormat="false" ht="15" hidden="false" customHeight="false" outlineLevel="0" collapsed="false">
      <c r="A6088" s="2" t="s">
        <v>590</v>
      </c>
      <c r="B6088" s="2" t="s">
        <v>46</v>
      </c>
      <c r="C6088" s="2" t="s">
        <v>4086</v>
      </c>
      <c r="D6088" s="11" t="n">
        <v>30250</v>
      </c>
      <c r="E6088" s="31" t="n">
        <v>25</v>
      </c>
      <c r="F6088" s="2"/>
      <c r="G6088" s="31" t="n">
        <v>87.2</v>
      </c>
      <c r="H6088" s="2" t="s">
        <v>668</v>
      </c>
    </row>
    <row r="6089" customFormat="false" ht="15" hidden="false" customHeight="false" outlineLevel="0" collapsed="false">
      <c r="A6089" s="2" t="s">
        <v>590</v>
      </c>
      <c r="B6089" s="2" t="s">
        <v>46</v>
      </c>
      <c r="C6089" s="2" t="s">
        <v>4087</v>
      </c>
      <c r="D6089" s="11" t="n">
        <v>29950</v>
      </c>
      <c r="E6089" s="31" t="n">
        <v>7.6</v>
      </c>
      <c r="F6089" s="31" t="n">
        <v>7.1</v>
      </c>
      <c r="G6089" s="31" t="n">
        <v>59.8</v>
      </c>
      <c r="H6089" s="2" t="s">
        <v>671</v>
      </c>
    </row>
    <row r="6090" customFormat="false" ht="15" hidden="false" customHeight="false" outlineLevel="0" collapsed="false">
      <c r="A6090" s="2" t="s">
        <v>1317</v>
      </c>
      <c r="B6090" s="2" t="s">
        <v>4104</v>
      </c>
      <c r="C6090" s="2" t="s">
        <v>4085</v>
      </c>
      <c r="D6090" s="2"/>
      <c r="E6090" s="31" t="n">
        <v>12.1</v>
      </c>
      <c r="F6090" s="31" t="n">
        <v>45.9</v>
      </c>
      <c r="G6090" s="31" t="n">
        <v>47.4</v>
      </c>
      <c r="H6090" s="2" t="s">
        <v>668</v>
      </c>
    </row>
    <row r="6091" customFormat="false" ht="15" hidden="false" customHeight="false" outlineLevel="0" collapsed="false">
      <c r="A6091" s="2" t="s">
        <v>1317</v>
      </c>
      <c r="B6091" s="2" t="s">
        <v>4104</v>
      </c>
      <c r="C6091" s="2" t="s">
        <v>4086</v>
      </c>
      <c r="D6091" s="2"/>
      <c r="E6091" s="31" t="n">
        <v>34.3</v>
      </c>
      <c r="F6091" s="31" t="n">
        <v>44.5</v>
      </c>
      <c r="G6091" s="31" t="n">
        <v>57</v>
      </c>
      <c r="H6091" s="2" t="s">
        <v>671</v>
      </c>
    </row>
    <row r="6092" customFormat="false" ht="15" hidden="false" customHeight="false" outlineLevel="0" collapsed="false">
      <c r="A6092" s="2" t="s">
        <v>1317</v>
      </c>
      <c r="B6092" s="2" t="s">
        <v>4104</v>
      </c>
      <c r="C6092" s="2" t="s">
        <v>4087</v>
      </c>
      <c r="D6092" s="2"/>
      <c r="E6092" s="31" t="n">
        <v>26.1</v>
      </c>
      <c r="F6092" s="31" t="n">
        <v>26.8</v>
      </c>
      <c r="G6092" s="31" t="n">
        <v>39.4</v>
      </c>
      <c r="H6092" s="2" t="s">
        <v>668</v>
      </c>
    </row>
    <row r="6093" customFormat="false" ht="15" hidden="false" customHeight="false" outlineLevel="0" collapsed="false">
      <c r="A6093" s="2" t="s">
        <v>1317</v>
      </c>
      <c r="B6093" s="2" t="s">
        <v>45</v>
      </c>
      <c r="C6093" s="2" t="s">
        <v>4085</v>
      </c>
      <c r="D6093" s="11" t="n">
        <v>141360</v>
      </c>
      <c r="E6093" s="31" t="n">
        <v>12.1</v>
      </c>
      <c r="F6093" s="31" t="n">
        <v>28.8</v>
      </c>
      <c r="G6093" s="31" t="n">
        <v>90.7</v>
      </c>
      <c r="H6093" s="2" t="s">
        <v>671</v>
      </c>
    </row>
    <row r="6094" customFormat="false" ht="15" hidden="false" customHeight="false" outlineLevel="0" collapsed="false">
      <c r="A6094" s="2" t="s">
        <v>1317</v>
      </c>
      <c r="B6094" s="2" t="s">
        <v>45</v>
      </c>
      <c r="C6094" s="2" t="s">
        <v>4086</v>
      </c>
      <c r="D6094" s="11" t="n">
        <v>140009</v>
      </c>
      <c r="E6094" s="31" t="n">
        <v>30.1</v>
      </c>
      <c r="F6094" s="31" t="n">
        <v>51.4</v>
      </c>
      <c r="G6094" s="31" t="n">
        <v>93.7</v>
      </c>
      <c r="H6094" s="2" t="s">
        <v>671</v>
      </c>
    </row>
    <row r="6095" customFormat="false" ht="15" hidden="false" customHeight="false" outlineLevel="0" collapsed="false">
      <c r="A6095" s="2" t="s">
        <v>1317</v>
      </c>
      <c r="B6095" s="2" t="s">
        <v>45</v>
      </c>
      <c r="C6095" s="2" t="s">
        <v>4087</v>
      </c>
      <c r="D6095" s="11" t="n">
        <v>142310</v>
      </c>
      <c r="E6095" s="31" t="n">
        <v>9.6</v>
      </c>
      <c r="F6095" s="31" t="n">
        <v>32.6</v>
      </c>
      <c r="G6095" s="31" t="n">
        <v>97.2</v>
      </c>
      <c r="H6095" s="2" t="s">
        <v>671</v>
      </c>
    </row>
    <row r="6096" customFormat="false" ht="15" hidden="false" customHeight="false" outlineLevel="0" collapsed="false">
      <c r="A6096" s="2" t="s">
        <v>1317</v>
      </c>
      <c r="B6096" s="2" t="s">
        <v>46</v>
      </c>
      <c r="C6096" s="2" t="s">
        <v>4085</v>
      </c>
      <c r="D6096" s="11" t="n">
        <v>3410</v>
      </c>
      <c r="E6096" s="31" t="n">
        <v>13.7</v>
      </c>
      <c r="F6096" s="31" t="n">
        <v>82.5</v>
      </c>
      <c r="G6096" s="2"/>
      <c r="H6096" s="2" t="s">
        <v>668</v>
      </c>
    </row>
    <row r="6097" customFormat="false" ht="15" hidden="false" customHeight="false" outlineLevel="0" collapsed="false">
      <c r="A6097" s="2" t="s">
        <v>1317</v>
      </c>
      <c r="B6097" s="2" t="s">
        <v>46</v>
      </c>
      <c r="C6097" s="2" t="s">
        <v>4086</v>
      </c>
      <c r="D6097" s="11" t="n">
        <v>3680</v>
      </c>
      <c r="E6097" s="31" t="n">
        <v>29.5</v>
      </c>
      <c r="F6097" s="31" t="n">
        <v>60.4</v>
      </c>
      <c r="G6097" s="31" t="n">
        <v>17.4</v>
      </c>
      <c r="H6097" s="2" t="s">
        <v>671</v>
      </c>
    </row>
    <row r="6098" customFormat="false" ht="15" hidden="false" customHeight="false" outlineLevel="0" collapsed="false">
      <c r="A6098" s="2" t="s">
        <v>1317</v>
      </c>
      <c r="B6098" s="2" t="s">
        <v>46</v>
      </c>
      <c r="C6098" s="2" t="s">
        <v>4087</v>
      </c>
      <c r="D6098" s="11" t="n">
        <v>3750</v>
      </c>
      <c r="E6098" s="2"/>
      <c r="F6098" s="2"/>
      <c r="G6098" s="31" t="n">
        <v>15.5</v>
      </c>
      <c r="H6098" s="2" t="s">
        <v>668</v>
      </c>
    </row>
    <row r="6099" customFormat="false" ht="15" hidden="false" customHeight="false" outlineLevel="0" collapsed="false">
      <c r="A6099" s="2" t="s">
        <v>1317</v>
      </c>
      <c r="B6099" s="2" t="s">
        <v>47</v>
      </c>
      <c r="C6099" s="2" t="s">
        <v>4085</v>
      </c>
      <c r="D6099" s="11" t="n">
        <v>227036</v>
      </c>
      <c r="E6099" s="31" t="n">
        <v>10.4</v>
      </c>
      <c r="F6099" s="31" t="n">
        <v>26.5</v>
      </c>
      <c r="G6099" s="31" t="n">
        <v>4.1</v>
      </c>
      <c r="H6099" s="2" t="s">
        <v>671</v>
      </c>
    </row>
    <row r="6100" customFormat="false" ht="15" hidden="false" customHeight="false" outlineLevel="0" collapsed="false">
      <c r="A6100" s="2" t="s">
        <v>1317</v>
      </c>
      <c r="B6100" s="2" t="s">
        <v>47</v>
      </c>
      <c r="C6100" s="2" t="s">
        <v>4086</v>
      </c>
      <c r="D6100" s="11" t="n">
        <v>230133</v>
      </c>
      <c r="E6100" s="31" t="n">
        <v>43.4</v>
      </c>
      <c r="F6100" s="31" t="n">
        <v>21.7</v>
      </c>
      <c r="G6100" s="31" t="n">
        <v>59.9</v>
      </c>
      <c r="H6100" s="2" t="s">
        <v>671</v>
      </c>
    </row>
    <row r="6101" customFormat="false" ht="15" hidden="false" customHeight="false" outlineLevel="0" collapsed="false">
      <c r="A6101" s="2" t="s">
        <v>1317</v>
      </c>
      <c r="B6101" s="2" t="s">
        <v>47</v>
      </c>
      <c r="C6101" s="2" t="s">
        <v>4087</v>
      </c>
      <c r="D6101" s="11" t="n">
        <v>231810</v>
      </c>
      <c r="E6101" s="31" t="n">
        <v>42.6</v>
      </c>
      <c r="F6101" s="31" t="n">
        <v>21.1</v>
      </c>
      <c r="G6101" s="31" t="n">
        <v>5.5</v>
      </c>
      <c r="H6101" s="2" t="s">
        <v>671</v>
      </c>
    </row>
    <row r="6102" customFormat="false" ht="15" hidden="false" customHeight="false" outlineLevel="0" collapsed="false">
      <c r="A6102" s="2" t="s">
        <v>1932</v>
      </c>
      <c r="B6102" s="2" t="s">
        <v>4104</v>
      </c>
      <c r="C6102" s="2" t="s">
        <v>4085</v>
      </c>
      <c r="D6102" s="2"/>
      <c r="E6102" s="31" t="n">
        <v>31</v>
      </c>
      <c r="F6102" s="31" t="n">
        <v>27.5</v>
      </c>
      <c r="G6102" s="31" t="n">
        <v>100</v>
      </c>
      <c r="H6102" s="2" t="s">
        <v>668</v>
      </c>
    </row>
    <row r="6103" customFormat="false" ht="15" hidden="false" customHeight="false" outlineLevel="0" collapsed="false">
      <c r="A6103" s="2" t="s">
        <v>1932</v>
      </c>
      <c r="B6103" s="2" t="s">
        <v>4104</v>
      </c>
      <c r="C6103" s="2" t="s">
        <v>4086</v>
      </c>
      <c r="D6103" s="2"/>
      <c r="E6103" s="31" t="n">
        <v>16.6</v>
      </c>
      <c r="F6103" s="31" t="n">
        <v>17.5</v>
      </c>
      <c r="G6103" s="31" t="n">
        <v>89.2</v>
      </c>
      <c r="H6103" s="2" t="s">
        <v>668</v>
      </c>
    </row>
    <row r="6104" customFormat="false" ht="15" hidden="false" customHeight="false" outlineLevel="0" collapsed="false">
      <c r="A6104" s="2" t="s">
        <v>1932</v>
      </c>
      <c r="B6104" s="2" t="s">
        <v>4104</v>
      </c>
      <c r="C6104" s="2" t="s">
        <v>4087</v>
      </c>
      <c r="D6104" s="2"/>
      <c r="E6104" s="31" t="n">
        <v>3.4</v>
      </c>
      <c r="F6104" s="31" t="n">
        <v>23</v>
      </c>
      <c r="G6104" s="31" t="n">
        <v>57.6</v>
      </c>
      <c r="H6104" s="2" t="s">
        <v>668</v>
      </c>
    </row>
    <row r="6105" customFormat="false" ht="15" hidden="false" customHeight="false" outlineLevel="0" collapsed="false">
      <c r="A6105" s="2" t="s">
        <v>1932</v>
      </c>
      <c r="B6105" s="2" t="s">
        <v>45</v>
      </c>
      <c r="C6105" s="2" t="s">
        <v>4085</v>
      </c>
      <c r="D6105" s="11" t="n">
        <v>108030</v>
      </c>
      <c r="E6105" s="31" t="n">
        <v>74.1</v>
      </c>
      <c r="F6105" s="2"/>
      <c r="G6105" s="2"/>
      <c r="H6105" s="2" t="s">
        <v>668</v>
      </c>
    </row>
    <row r="6106" customFormat="false" ht="15" hidden="false" customHeight="false" outlineLevel="0" collapsed="false">
      <c r="A6106" s="2" t="s">
        <v>1932</v>
      </c>
      <c r="B6106" s="2" t="s">
        <v>45</v>
      </c>
      <c r="C6106" s="2" t="s">
        <v>4086</v>
      </c>
      <c r="D6106" s="11" t="n">
        <v>113540</v>
      </c>
      <c r="E6106" s="31" t="n">
        <v>24.2</v>
      </c>
      <c r="F6106" s="31" t="n">
        <v>31.4</v>
      </c>
      <c r="G6106" s="2"/>
      <c r="H6106" s="2" t="s">
        <v>668</v>
      </c>
    </row>
    <row r="6107" customFormat="false" ht="15" hidden="false" customHeight="false" outlineLevel="0" collapsed="false">
      <c r="A6107" s="2" t="s">
        <v>1932</v>
      </c>
      <c r="B6107" s="2" t="s">
        <v>45</v>
      </c>
      <c r="C6107" s="2" t="s">
        <v>4087</v>
      </c>
      <c r="D6107" s="2"/>
      <c r="E6107" s="2"/>
      <c r="F6107" s="2"/>
      <c r="G6107" s="2"/>
      <c r="H6107" s="2" t="s">
        <v>668</v>
      </c>
    </row>
    <row r="6108" customFormat="false" ht="15" hidden="false" customHeight="false" outlineLevel="0" collapsed="false">
      <c r="A6108" s="2" t="s">
        <v>1932</v>
      </c>
      <c r="B6108" s="2" t="s">
        <v>46</v>
      </c>
      <c r="C6108" s="2" t="s">
        <v>4085</v>
      </c>
      <c r="D6108" s="11" t="n">
        <v>58596</v>
      </c>
      <c r="E6108" s="31" t="n">
        <v>17.2</v>
      </c>
      <c r="F6108" s="31" t="n">
        <v>1.9</v>
      </c>
      <c r="G6108" s="2"/>
      <c r="H6108" s="2" t="s">
        <v>668</v>
      </c>
    </row>
    <row r="6109" customFormat="false" ht="15" hidden="false" customHeight="false" outlineLevel="0" collapsed="false">
      <c r="A6109" s="2" t="s">
        <v>1932</v>
      </c>
      <c r="B6109" s="2" t="s">
        <v>46</v>
      </c>
      <c r="C6109" s="2" t="s">
        <v>4086</v>
      </c>
      <c r="D6109" s="11" t="n">
        <v>59920</v>
      </c>
      <c r="E6109" s="31" t="n">
        <v>25.1</v>
      </c>
      <c r="F6109" s="31" t="n">
        <v>2.5</v>
      </c>
      <c r="G6109" s="31" t="n">
        <v>78.4</v>
      </c>
      <c r="H6109" s="2" t="s">
        <v>671</v>
      </c>
    </row>
    <row r="6110" customFormat="false" ht="15" hidden="false" customHeight="false" outlineLevel="0" collapsed="false">
      <c r="A6110" s="2" t="s">
        <v>1932</v>
      </c>
      <c r="B6110" s="2" t="s">
        <v>46</v>
      </c>
      <c r="C6110" s="2" t="s">
        <v>4087</v>
      </c>
      <c r="D6110" s="11" t="n">
        <v>57036</v>
      </c>
      <c r="E6110" s="31" t="n">
        <v>6.3</v>
      </c>
      <c r="F6110" s="31" t="n">
        <v>6.2</v>
      </c>
      <c r="G6110" s="31" t="n">
        <v>15.3</v>
      </c>
      <c r="H6110" s="2" t="s">
        <v>671</v>
      </c>
    </row>
    <row r="6111" customFormat="false" ht="15" hidden="false" customHeight="false" outlineLevel="0" collapsed="false">
      <c r="A6111" s="2" t="s">
        <v>1932</v>
      </c>
      <c r="B6111" s="2" t="s">
        <v>47</v>
      </c>
      <c r="C6111" s="2" t="s">
        <v>4085</v>
      </c>
      <c r="D6111" s="11" t="n">
        <v>153441</v>
      </c>
      <c r="E6111" s="31" t="n">
        <v>1.7</v>
      </c>
      <c r="F6111" s="31" t="n">
        <v>53.1</v>
      </c>
      <c r="G6111" s="31" t="n">
        <v>100</v>
      </c>
      <c r="H6111" s="2" t="s">
        <v>671</v>
      </c>
    </row>
    <row r="6112" customFormat="false" ht="15" hidden="false" customHeight="false" outlineLevel="0" collapsed="false">
      <c r="A6112" s="2" t="s">
        <v>1932</v>
      </c>
      <c r="B6112" s="2" t="s">
        <v>47</v>
      </c>
      <c r="C6112" s="2" t="s">
        <v>4086</v>
      </c>
      <c r="D6112" s="11" t="n">
        <v>156480</v>
      </c>
      <c r="E6112" s="31" t="n">
        <v>0.5</v>
      </c>
      <c r="F6112" s="31" t="n">
        <v>18.6</v>
      </c>
      <c r="G6112" s="31" t="n">
        <v>100</v>
      </c>
      <c r="H6112" s="2" t="s">
        <v>671</v>
      </c>
    </row>
    <row r="6113" customFormat="false" ht="15" hidden="false" customHeight="false" outlineLevel="0" collapsed="false">
      <c r="A6113" s="2" t="s">
        <v>1932</v>
      </c>
      <c r="B6113" s="2" t="s">
        <v>47</v>
      </c>
      <c r="C6113" s="2" t="s">
        <v>4087</v>
      </c>
      <c r="D6113" s="11" t="n">
        <v>166080</v>
      </c>
      <c r="E6113" s="31" t="n">
        <v>0.4</v>
      </c>
      <c r="F6113" s="31" t="n">
        <v>39.8</v>
      </c>
      <c r="G6113" s="31" t="n">
        <v>99.8</v>
      </c>
      <c r="H6113" s="2" t="s">
        <v>671</v>
      </c>
    </row>
    <row r="6114" customFormat="false" ht="15" hidden="false" customHeight="false" outlineLevel="0" collapsed="false">
      <c r="A6114" s="2" t="s">
        <v>3075</v>
      </c>
      <c r="B6114" s="2" t="s">
        <v>4104</v>
      </c>
      <c r="C6114" s="2" t="s">
        <v>4085</v>
      </c>
      <c r="D6114" s="2"/>
      <c r="E6114" s="31" t="n">
        <v>58.1</v>
      </c>
      <c r="F6114" s="2"/>
      <c r="G6114" s="2"/>
      <c r="H6114" s="2" t="s">
        <v>668</v>
      </c>
    </row>
    <row r="6115" customFormat="false" ht="15" hidden="false" customHeight="false" outlineLevel="0" collapsed="false">
      <c r="A6115" s="2" t="s">
        <v>3075</v>
      </c>
      <c r="B6115" s="2" t="s">
        <v>4104</v>
      </c>
      <c r="C6115" s="2" t="s">
        <v>4086</v>
      </c>
      <c r="D6115" s="2"/>
      <c r="E6115" s="31" t="n">
        <v>61.3</v>
      </c>
      <c r="F6115" s="31" t="n">
        <v>10.5</v>
      </c>
      <c r="G6115" s="2"/>
      <c r="H6115" s="2" t="s">
        <v>668</v>
      </c>
    </row>
    <row r="6116" customFormat="false" ht="15" hidden="false" customHeight="false" outlineLevel="0" collapsed="false">
      <c r="A6116" s="2" t="s">
        <v>3075</v>
      </c>
      <c r="B6116" s="2" t="s">
        <v>4104</v>
      </c>
      <c r="C6116" s="2" t="s">
        <v>4087</v>
      </c>
      <c r="D6116" s="2"/>
      <c r="E6116" s="31" t="n">
        <v>66</v>
      </c>
      <c r="F6116" s="31" t="n">
        <v>8.7</v>
      </c>
      <c r="G6116" s="2"/>
      <c r="H6116" s="2" t="s">
        <v>668</v>
      </c>
    </row>
    <row r="6117" customFormat="false" ht="15" hidden="false" customHeight="false" outlineLevel="0" collapsed="false">
      <c r="A6117" s="2" t="s">
        <v>3075</v>
      </c>
      <c r="B6117" s="2" t="s">
        <v>46</v>
      </c>
      <c r="C6117" s="2" t="s">
        <v>4085</v>
      </c>
      <c r="D6117" s="11" t="n">
        <v>37180</v>
      </c>
      <c r="E6117" s="31" t="n">
        <v>58.1</v>
      </c>
      <c r="F6117" s="2"/>
      <c r="G6117" s="2"/>
      <c r="H6117" s="2" t="s">
        <v>668</v>
      </c>
    </row>
    <row r="6118" customFormat="false" ht="15" hidden="false" customHeight="false" outlineLevel="0" collapsed="false">
      <c r="A6118" s="2" t="s">
        <v>3075</v>
      </c>
      <c r="B6118" s="2" t="s">
        <v>46</v>
      </c>
      <c r="C6118" s="2" t="s">
        <v>4086</v>
      </c>
      <c r="D6118" s="11" t="n">
        <v>37478</v>
      </c>
      <c r="E6118" s="31" t="n">
        <v>61.3</v>
      </c>
      <c r="F6118" s="31" t="n">
        <v>10.5</v>
      </c>
      <c r="G6118" s="2"/>
      <c r="H6118" s="2" t="s">
        <v>668</v>
      </c>
    </row>
    <row r="6119" customFormat="false" ht="15" hidden="false" customHeight="false" outlineLevel="0" collapsed="false">
      <c r="A6119" s="2" t="s">
        <v>3075</v>
      </c>
      <c r="B6119" s="2" t="s">
        <v>46</v>
      </c>
      <c r="C6119" s="2" t="s">
        <v>4087</v>
      </c>
      <c r="D6119" s="11" t="n">
        <v>36303</v>
      </c>
      <c r="E6119" s="31" t="n">
        <v>66</v>
      </c>
      <c r="F6119" s="31" t="n">
        <v>8.7</v>
      </c>
      <c r="G6119" s="2"/>
      <c r="H6119" s="2" t="s">
        <v>668</v>
      </c>
    </row>
    <row r="6120" customFormat="false" ht="15" hidden="false" customHeight="false" outlineLevel="0" collapsed="false">
      <c r="A6120" s="2" t="s">
        <v>1625</v>
      </c>
      <c r="B6120" s="2" t="s">
        <v>4104</v>
      </c>
      <c r="C6120" s="2" t="s">
        <v>4085</v>
      </c>
      <c r="D6120" s="2"/>
      <c r="E6120" s="31" t="n">
        <v>50.2</v>
      </c>
      <c r="F6120" s="31" t="n">
        <v>77.8</v>
      </c>
      <c r="G6120" s="31" t="n">
        <v>43.3</v>
      </c>
      <c r="H6120" s="2" t="s">
        <v>668</v>
      </c>
    </row>
    <row r="6121" customFormat="false" ht="15" hidden="false" customHeight="false" outlineLevel="0" collapsed="false">
      <c r="A6121" s="2" t="s">
        <v>1625</v>
      </c>
      <c r="B6121" s="2" t="s">
        <v>4104</v>
      </c>
      <c r="C6121" s="2" t="s">
        <v>4086</v>
      </c>
      <c r="D6121" s="2"/>
      <c r="E6121" s="31" t="n">
        <v>38.8</v>
      </c>
      <c r="F6121" s="31" t="n">
        <v>63.4</v>
      </c>
      <c r="G6121" s="31" t="n">
        <v>40.1</v>
      </c>
      <c r="H6121" s="2" t="s">
        <v>671</v>
      </c>
    </row>
    <row r="6122" customFormat="false" ht="15" hidden="false" customHeight="false" outlineLevel="0" collapsed="false">
      <c r="A6122" s="2" t="s">
        <v>1625</v>
      </c>
      <c r="B6122" s="2" t="s">
        <v>4104</v>
      </c>
      <c r="C6122" s="2" t="s">
        <v>4087</v>
      </c>
      <c r="D6122" s="2"/>
      <c r="E6122" s="31" t="n">
        <v>50.3</v>
      </c>
      <c r="F6122" s="31" t="n">
        <v>68.5</v>
      </c>
      <c r="G6122" s="31" t="n">
        <v>57.3</v>
      </c>
      <c r="H6122" s="2" t="s">
        <v>668</v>
      </c>
    </row>
    <row r="6123" customFormat="false" ht="15" hidden="false" customHeight="false" outlineLevel="0" collapsed="false">
      <c r="A6123" s="2" t="s">
        <v>1625</v>
      </c>
      <c r="B6123" s="2" t="s">
        <v>45</v>
      </c>
      <c r="C6123" s="2" t="s">
        <v>4085</v>
      </c>
      <c r="D6123" s="11" t="n">
        <v>1220030</v>
      </c>
      <c r="E6123" s="31" t="n">
        <v>31.1</v>
      </c>
      <c r="F6123" s="31" t="n">
        <v>100</v>
      </c>
      <c r="G6123" s="31" t="n">
        <v>69</v>
      </c>
      <c r="H6123" s="2" t="s">
        <v>671</v>
      </c>
    </row>
    <row r="6124" customFormat="false" ht="15" hidden="false" customHeight="false" outlineLevel="0" collapsed="false">
      <c r="A6124" s="2" t="s">
        <v>1625</v>
      </c>
      <c r="B6124" s="2" t="s">
        <v>45</v>
      </c>
      <c r="C6124" s="2" t="s">
        <v>4086</v>
      </c>
      <c r="D6124" s="11" t="n">
        <v>1330960</v>
      </c>
      <c r="E6124" s="31" t="n">
        <v>33.6</v>
      </c>
      <c r="F6124" s="31" t="n">
        <v>94.1</v>
      </c>
      <c r="G6124" s="31" t="n">
        <v>82.5</v>
      </c>
      <c r="H6124" s="2" t="s">
        <v>671</v>
      </c>
    </row>
    <row r="6125" customFormat="false" ht="15" hidden="false" customHeight="false" outlineLevel="0" collapsed="false">
      <c r="A6125" s="2" t="s">
        <v>1625</v>
      </c>
      <c r="B6125" s="2" t="s">
        <v>45</v>
      </c>
      <c r="C6125" s="2" t="s">
        <v>4087</v>
      </c>
      <c r="D6125" s="11" t="n">
        <v>1379050</v>
      </c>
      <c r="E6125" s="31" t="n">
        <v>40.8</v>
      </c>
      <c r="F6125" s="31" t="n">
        <v>93.8</v>
      </c>
      <c r="G6125" s="2"/>
      <c r="H6125" s="2" t="s">
        <v>668</v>
      </c>
    </row>
    <row r="6126" customFormat="false" ht="15" hidden="false" customHeight="false" outlineLevel="0" collapsed="false">
      <c r="A6126" s="2" t="s">
        <v>1625</v>
      </c>
      <c r="B6126" s="2" t="s">
        <v>46</v>
      </c>
      <c r="C6126" s="2" t="s">
        <v>4085</v>
      </c>
      <c r="D6126" s="2"/>
      <c r="E6126" s="2"/>
      <c r="F6126" s="2"/>
      <c r="G6126" s="2"/>
      <c r="H6126" s="2" t="s">
        <v>668</v>
      </c>
    </row>
    <row r="6127" customFormat="false" ht="15" hidden="false" customHeight="false" outlineLevel="0" collapsed="false">
      <c r="A6127" s="2" t="s">
        <v>1625</v>
      </c>
      <c r="B6127" s="2" t="s">
        <v>46</v>
      </c>
      <c r="C6127" s="2" t="s">
        <v>4086</v>
      </c>
      <c r="D6127" s="11" t="n">
        <v>24010</v>
      </c>
      <c r="E6127" s="31" t="n">
        <v>32.8</v>
      </c>
      <c r="F6127" s="31" t="n">
        <v>74.9</v>
      </c>
      <c r="G6127" s="31" t="n">
        <v>22.5</v>
      </c>
      <c r="H6127" s="2" t="s">
        <v>671</v>
      </c>
    </row>
    <row r="6128" customFormat="false" ht="15" hidden="false" customHeight="false" outlineLevel="0" collapsed="false">
      <c r="A6128" s="2" t="s">
        <v>1625</v>
      </c>
      <c r="B6128" s="2" t="s">
        <v>46</v>
      </c>
      <c r="C6128" s="2" t="s">
        <v>4087</v>
      </c>
      <c r="D6128" s="11" t="n">
        <v>24650</v>
      </c>
      <c r="E6128" s="31" t="n">
        <v>58.6</v>
      </c>
      <c r="F6128" s="31" t="n">
        <v>72.6</v>
      </c>
      <c r="G6128" s="31" t="n">
        <v>58</v>
      </c>
      <c r="H6128" s="2" t="s">
        <v>671</v>
      </c>
    </row>
    <row r="6129" customFormat="false" ht="15" hidden="false" customHeight="false" outlineLevel="0" collapsed="false">
      <c r="A6129" s="2" t="s">
        <v>1625</v>
      </c>
      <c r="B6129" s="2" t="s">
        <v>47</v>
      </c>
      <c r="C6129" s="2" t="s">
        <v>4085</v>
      </c>
      <c r="D6129" s="11" t="n">
        <v>19912</v>
      </c>
      <c r="E6129" s="31" t="n">
        <v>69.4</v>
      </c>
      <c r="F6129" s="31" t="n">
        <v>55.6</v>
      </c>
      <c r="G6129" s="31" t="n">
        <v>17.6</v>
      </c>
      <c r="H6129" s="2" t="s">
        <v>671</v>
      </c>
    </row>
    <row r="6130" customFormat="false" ht="15" hidden="false" customHeight="false" outlineLevel="0" collapsed="false">
      <c r="A6130" s="2" t="s">
        <v>1625</v>
      </c>
      <c r="B6130" s="2" t="s">
        <v>47</v>
      </c>
      <c r="C6130" s="2" t="s">
        <v>4086</v>
      </c>
      <c r="D6130" s="11" t="n">
        <v>38513</v>
      </c>
      <c r="E6130" s="31" t="n">
        <v>50.1</v>
      </c>
      <c r="F6130" s="31" t="n">
        <v>21.1</v>
      </c>
      <c r="G6130" s="31" t="n">
        <v>15.4</v>
      </c>
      <c r="H6130" s="2" t="s">
        <v>671</v>
      </c>
    </row>
    <row r="6131" customFormat="false" ht="15" hidden="false" customHeight="false" outlineLevel="0" collapsed="false">
      <c r="A6131" s="2" t="s">
        <v>1625</v>
      </c>
      <c r="B6131" s="2" t="s">
        <v>47</v>
      </c>
      <c r="C6131" s="2" t="s">
        <v>4087</v>
      </c>
      <c r="D6131" s="11" t="n">
        <v>37454</v>
      </c>
      <c r="E6131" s="31" t="n">
        <v>51.5</v>
      </c>
      <c r="F6131" s="31" t="n">
        <v>39</v>
      </c>
      <c r="G6131" s="31" t="n">
        <v>56.6</v>
      </c>
      <c r="H6131" s="2" t="s">
        <v>671</v>
      </c>
    </row>
    <row r="6132" customFormat="false" ht="15" hidden="false" customHeight="false" outlineLevel="0" collapsed="false">
      <c r="A6132" s="2" t="s">
        <v>302</v>
      </c>
      <c r="B6132" s="2" t="s">
        <v>4104</v>
      </c>
      <c r="C6132" s="2" t="s">
        <v>4085</v>
      </c>
      <c r="D6132" s="2"/>
      <c r="E6132" s="31" t="n">
        <v>87.2</v>
      </c>
      <c r="F6132" s="31" t="n">
        <v>32.9</v>
      </c>
      <c r="G6132" s="31" t="n">
        <v>35</v>
      </c>
      <c r="H6132" s="2" t="s">
        <v>668</v>
      </c>
    </row>
    <row r="6133" customFormat="false" ht="15" hidden="false" customHeight="false" outlineLevel="0" collapsed="false">
      <c r="A6133" s="2" t="s">
        <v>302</v>
      </c>
      <c r="B6133" s="2" t="s">
        <v>4104</v>
      </c>
      <c r="C6133" s="2" t="s">
        <v>4086</v>
      </c>
      <c r="D6133" s="2"/>
      <c r="E6133" s="2"/>
      <c r="F6133" s="2"/>
      <c r="G6133" s="31" t="n">
        <v>15.9</v>
      </c>
      <c r="H6133" s="2" t="s">
        <v>668</v>
      </c>
    </row>
    <row r="6134" customFormat="false" ht="15" hidden="false" customHeight="false" outlineLevel="0" collapsed="false">
      <c r="A6134" s="2" t="s">
        <v>302</v>
      </c>
      <c r="B6134" s="2" t="s">
        <v>4104</v>
      </c>
      <c r="C6134" s="2" t="s">
        <v>4087</v>
      </c>
      <c r="D6134" s="2"/>
      <c r="E6134" s="31" t="n">
        <v>57.4</v>
      </c>
      <c r="F6134" s="31" t="n">
        <v>24.5</v>
      </c>
      <c r="G6134" s="31" t="n">
        <v>54.2</v>
      </c>
      <c r="H6134" s="2" t="s">
        <v>671</v>
      </c>
    </row>
    <row r="6135" customFormat="false" ht="15" hidden="false" customHeight="false" outlineLevel="0" collapsed="false">
      <c r="A6135" s="2" t="s">
        <v>302</v>
      </c>
      <c r="B6135" s="2" t="s">
        <v>45</v>
      </c>
      <c r="C6135" s="2" t="s">
        <v>4085</v>
      </c>
      <c r="D6135" s="11" t="n">
        <v>671200</v>
      </c>
      <c r="E6135" s="2"/>
      <c r="F6135" s="31" t="n">
        <v>1.4</v>
      </c>
      <c r="G6135" s="31" t="n">
        <v>39.5</v>
      </c>
      <c r="H6135" s="2" t="s">
        <v>668</v>
      </c>
    </row>
    <row r="6136" customFormat="false" ht="15" hidden="false" customHeight="false" outlineLevel="0" collapsed="false">
      <c r="A6136" s="2" t="s">
        <v>302</v>
      </c>
      <c r="B6136" s="2" t="s">
        <v>45</v>
      </c>
      <c r="C6136" s="2" t="s">
        <v>4086</v>
      </c>
      <c r="D6136" s="2"/>
      <c r="E6136" s="2"/>
      <c r="F6136" s="2"/>
      <c r="G6136" s="2"/>
      <c r="H6136" s="2" t="s">
        <v>668</v>
      </c>
    </row>
    <row r="6137" customFormat="false" ht="15" hidden="false" customHeight="false" outlineLevel="0" collapsed="false">
      <c r="A6137" s="2" t="s">
        <v>302</v>
      </c>
      <c r="B6137" s="2" t="s">
        <v>45</v>
      </c>
      <c r="C6137" s="2" t="s">
        <v>4087</v>
      </c>
      <c r="D6137" s="11" t="n">
        <v>621980</v>
      </c>
      <c r="E6137" s="31" t="n">
        <v>30.1</v>
      </c>
      <c r="F6137" s="31" t="n">
        <v>1.4</v>
      </c>
      <c r="G6137" s="31" t="n">
        <v>90.3</v>
      </c>
      <c r="H6137" s="2" t="s">
        <v>671</v>
      </c>
    </row>
    <row r="6138" customFormat="false" ht="15" hidden="false" customHeight="false" outlineLevel="0" collapsed="false">
      <c r="A6138" s="2" t="s">
        <v>302</v>
      </c>
      <c r="B6138" s="2" t="s">
        <v>46</v>
      </c>
      <c r="C6138" s="2" t="s">
        <v>4085</v>
      </c>
      <c r="D6138" s="11" t="n">
        <v>31790</v>
      </c>
      <c r="E6138" s="31" t="n">
        <v>89.6</v>
      </c>
      <c r="F6138" s="31" t="n">
        <v>29.6</v>
      </c>
      <c r="G6138" s="31" t="n">
        <v>44.7</v>
      </c>
      <c r="H6138" s="2" t="s">
        <v>668</v>
      </c>
    </row>
    <row r="6139" customFormat="false" ht="15" hidden="false" customHeight="false" outlineLevel="0" collapsed="false">
      <c r="A6139" s="2" t="s">
        <v>302</v>
      </c>
      <c r="B6139" s="2" t="s">
        <v>46</v>
      </c>
      <c r="C6139" s="2" t="s">
        <v>4086</v>
      </c>
      <c r="D6139" s="2"/>
      <c r="E6139" s="2"/>
      <c r="F6139" s="2"/>
      <c r="G6139" s="2"/>
      <c r="H6139" s="2" t="s">
        <v>668</v>
      </c>
    </row>
    <row r="6140" customFormat="false" ht="15" hidden="false" customHeight="false" outlineLevel="0" collapsed="false">
      <c r="A6140" s="2" t="s">
        <v>302</v>
      </c>
      <c r="B6140" s="2" t="s">
        <v>46</v>
      </c>
      <c r="C6140" s="2" t="s">
        <v>4087</v>
      </c>
      <c r="D6140" s="11" t="n">
        <v>31320</v>
      </c>
      <c r="E6140" s="31" t="n">
        <v>91.1</v>
      </c>
      <c r="F6140" s="31" t="n">
        <v>12</v>
      </c>
      <c r="G6140" s="31" t="n">
        <v>41.7</v>
      </c>
      <c r="H6140" s="2" t="s">
        <v>671</v>
      </c>
    </row>
    <row r="6141" customFormat="false" ht="15" hidden="false" customHeight="false" outlineLevel="0" collapsed="false">
      <c r="A6141" s="2" t="s">
        <v>302</v>
      </c>
      <c r="B6141" s="2" t="s">
        <v>47</v>
      </c>
      <c r="C6141" s="2" t="s">
        <v>4085</v>
      </c>
      <c r="D6141" s="11" t="n">
        <v>5812</v>
      </c>
      <c r="E6141" s="31" t="n">
        <v>84.9</v>
      </c>
      <c r="F6141" s="31" t="n">
        <v>67.8</v>
      </c>
      <c r="G6141" s="31" t="n">
        <v>20.8</v>
      </c>
      <c r="H6141" s="2" t="s">
        <v>671</v>
      </c>
    </row>
    <row r="6142" customFormat="false" ht="15" hidden="false" customHeight="false" outlineLevel="0" collapsed="false">
      <c r="A6142" s="2" t="s">
        <v>302</v>
      </c>
      <c r="B6142" s="2" t="s">
        <v>47</v>
      </c>
      <c r="C6142" s="2" t="s">
        <v>4086</v>
      </c>
      <c r="D6142" s="2"/>
      <c r="E6142" s="2"/>
      <c r="F6142" s="2"/>
      <c r="G6142" s="31" t="n">
        <v>15.9</v>
      </c>
      <c r="H6142" s="2" t="s">
        <v>668</v>
      </c>
    </row>
    <row r="6143" customFormat="false" ht="15" hidden="false" customHeight="false" outlineLevel="0" collapsed="false">
      <c r="A6143" s="2" t="s">
        <v>302</v>
      </c>
      <c r="B6143" s="2" t="s">
        <v>47</v>
      </c>
      <c r="C6143" s="2" t="s">
        <v>4087</v>
      </c>
      <c r="D6143" s="11" t="n">
        <v>6131</v>
      </c>
      <c r="E6143" s="31" t="n">
        <v>51.1</v>
      </c>
      <c r="F6143" s="31" t="n">
        <v>60</v>
      </c>
      <c r="G6143" s="31" t="n">
        <v>30.7</v>
      </c>
      <c r="H6143" s="2" t="s">
        <v>671</v>
      </c>
    </row>
    <row r="6144" customFormat="false" ht="15" hidden="false" customHeight="false" outlineLevel="0" collapsed="false">
      <c r="A6144" s="2" t="s">
        <v>122</v>
      </c>
      <c r="B6144" s="2" t="s">
        <v>4104</v>
      </c>
      <c r="C6144" s="2" t="s">
        <v>4085</v>
      </c>
      <c r="D6144" s="2"/>
      <c r="E6144" s="31" t="n">
        <v>83.2</v>
      </c>
      <c r="F6144" s="31" t="n">
        <v>79.1</v>
      </c>
      <c r="G6144" s="2"/>
      <c r="H6144" s="2" t="s">
        <v>668</v>
      </c>
    </row>
    <row r="6145" customFormat="false" ht="15" hidden="false" customHeight="false" outlineLevel="0" collapsed="false">
      <c r="A6145" s="2" t="s">
        <v>122</v>
      </c>
      <c r="B6145" s="2" t="s">
        <v>4104</v>
      </c>
      <c r="C6145" s="2" t="s">
        <v>4086</v>
      </c>
      <c r="D6145" s="2"/>
      <c r="E6145" s="31" t="n">
        <v>80.1</v>
      </c>
      <c r="F6145" s="31" t="n">
        <v>74</v>
      </c>
      <c r="G6145" s="31" t="n">
        <v>84.8</v>
      </c>
      <c r="H6145" s="2" t="s">
        <v>671</v>
      </c>
    </row>
    <row r="6146" customFormat="false" ht="15" hidden="false" customHeight="false" outlineLevel="0" collapsed="false">
      <c r="A6146" s="2" t="s">
        <v>122</v>
      </c>
      <c r="B6146" s="2" t="s">
        <v>4104</v>
      </c>
      <c r="C6146" s="2" t="s">
        <v>4087</v>
      </c>
      <c r="D6146" s="2"/>
      <c r="E6146" s="31" t="n">
        <v>86.9</v>
      </c>
      <c r="F6146" s="31" t="n">
        <v>72.7</v>
      </c>
      <c r="G6146" s="31" t="n">
        <v>83</v>
      </c>
      <c r="H6146" s="2" t="s">
        <v>671</v>
      </c>
    </row>
    <row r="6147" customFormat="false" ht="15" hidden="false" customHeight="false" outlineLevel="0" collapsed="false">
      <c r="A6147" s="2" t="s">
        <v>122</v>
      </c>
      <c r="B6147" s="2" t="s">
        <v>47</v>
      </c>
      <c r="C6147" s="2" t="s">
        <v>4085</v>
      </c>
      <c r="D6147" s="11" t="n">
        <v>30640</v>
      </c>
      <c r="E6147" s="31" t="n">
        <v>83.2</v>
      </c>
      <c r="F6147" s="31" t="n">
        <v>79.1</v>
      </c>
      <c r="G6147" s="2"/>
      <c r="H6147" s="2" t="s">
        <v>668</v>
      </c>
    </row>
    <row r="6148" customFormat="false" ht="15" hidden="false" customHeight="false" outlineLevel="0" collapsed="false">
      <c r="A6148" s="2" t="s">
        <v>122</v>
      </c>
      <c r="B6148" s="2" t="s">
        <v>47</v>
      </c>
      <c r="C6148" s="2" t="s">
        <v>4086</v>
      </c>
      <c r="D6148" s="11" t="n">
        <v>33001</v>
      </c>
      <c r="E6148" s="31" t="n">
        <v>80.1</v>
      </c>
      <c r="F6148" s="31" t="n">
        <v>74</v>
      </c>
      <c r="G6148" s="31" t="n">
        <v>84.8</v>
      </c>
      <c r="H6148" s="2" t="s">
        <v>671</v>
      </c>
    </row>
    <row r="6149" customFormat="false" ht="15" hidden="false" customHeight="false" outlineLevel="0" collapsed="false">
      <c r="A6149" s="2" t="s">
        <v>122</v>
      </c>
      <c r="B6149" s="2" t="s">
        <v>47</v>
      </c>
      <c r="C6149" s="2" t="s">
        <v>4087</v>
      </c>
      <c r="D6149" s="11" t="n">
        <v>34113</v>
      </c>
      <c r="E6149" s="31" t="n">
        <v>86.9</v>
      </c>
      <c r="F6149" s="31" t="n">
        <v>72.7</v>
      </c>
      <c r="G6149" s="31" t="n">
        <v>83</v>
      </c>
      <c r="H6149" s="2" t="s">
        <v>671</v>
      </c>
    </row>
    <row r="6150" customFormat="false" ht="15" hidden="false" customHeight="false" outlineLevel="0" collapsed="false">
      <c r="A6150" s="2" t="s">
        <v>496</v>
      </c>
      <c r="B6150" s="2" t="s">
        <v>4104</v>
      </c>
      <c r="C6150" s="2" t="s">
        <v>4085</v>
      </c>
      <c r="D6150" s="2"/>
      <c r="E6150" s="31" t="n">
        <v>84.1</v>
      </c>
      <c r="F6150" s="31" t="n">
        <v>82.4</v>
      </c>
      <c r="G6150" s="31" t="n">
        <v>69.5</v>
      </c>
      <c r="H6150" s="2" t="s">
        <v>668</v>
      </c>
    </row>
    <row r="6151" customFormat="false" ht="15" hidden="false" customHeight="false" outlineLevel="0" collapsed="false">
      <c r="A6151" s="2" t="s">
        <v>496</v>
      </c>
      <c r="B6151" s="2" t="s">
        <v>4104</v>
      </c>
      <c r="C6151" s="2" t="s">
        <v>4086</v>
      </c>
      <c r="D6151" s="2"/>
      <c r="E6151" s="31" t="n">
        <v>49.3</v>
      </c>
      <c r="F6151" s="31" t="n">
        <v>43.8</v>
      </c>
      <c r="G6151" s="31" t="n">
        <v>59.1</v>
      </c>
      <c r="H6151" s="2" t="s">
        <v>671</v>
      </c>
    </row>
    <row r="6152" customFormat="false" ht="15" hidden="false" customHeight="false" outlineLevel="0" collapsed="false">
      <c r="A6152" s="2" t="s">
        <v>496</v>
      </c>
      <c r="B6152" s="2" t="s">
        <v>4104</v>
      </c>
      <c r="C6152" s="2" t="s">
        <v>4087</v>
      </c>
      <c r="D6152" s="2"/>
      <c r="E6152" s="31" t="n">
        <v>36.2</v>
      </c>
      <c r="F6152" s="31" t="n">
        <v>74.8</v>
      </c>
      <c r="G6152" s="31" t="n">
        <v>61.8</v>
      </c>
      <c r="H6152" s="2" t="s">
        <v>671</v>
      </c>
    </row>
    <row r="6153" customFormat="false" ht="15" hidden="false" customHeight="false" outlineLevel="0" collapsed="false">
      <c r="A6153" s="2" t="s">
        <v>496</v>
      </c>
      <c r="B6153" s="2" t="s">
        <v>45</v>
      </c>
      <c r="C6153" s="2" t="s">
        <v>4085</v>
      </c>
      <c r="D6153" s="2"/>
      <c r="E6153" s="2"/>
      <c r="F6153" s="2"/>
      <c r="G6153" s="2"/>
      <c r="H6153" s="2" t="s">
        <v>668</v>
      </c>
    </row>
    <row r="6154" customFormat="false" ht="15" hidden="false" customHeight="false" outlineLevel="0" collapsed="false">
      <c r="A6154" s="2" t="s">
        <v>496</v>
      </c>
      <c r="B6154" s="2" t="s">
        <v>45</v>
      </c>
      <c r="C6154" s="2" t="s">
        <v>4086</v>
      </c>
      <c r="D6154" s="11" t="n">
        <v>24490</v>
      </c>
      <c r="E6154" s="31" t="n">
        <v>8.1</v>
      </c>
      <c r="F6154" s="31" t="n">
        <v>52.9</v>
      </c>
      <c r="G6154" s="31" t="n">
        <v>47.8</v>
      </c>
      <c r="H6154" s="2" t="s">
        <v>671</v>
      </c>
    </row>
    <row r="6155" customFormat="false" ht="15" hidden="false" customHeight="false" outlineLevel="0" collapsed="false">
      <c r="A6155" s="2" t="s">
        <v>496</v>
      </c>
      <c r="B6155" s="2" t="s">
        <v>45</v>
      </c>
      <c r="C6155" s="2" t="s">
        <v>4087</v>
      </c>
      <c r="D6155" s="11" t="n">
        <v>24599</v>
      </c>
      <c r="E6155" s="31" t="n">
        <v>9.8</v>
      </c>
      <c r="F6155" s="31" t="n">
        <v>54.8</v>
      </c>
      <c r="G6155" s="31" t="n">
        <v>27.9</v>
      </c>
      <c r="H6155" s="2" t="s">
        <v>671</v>
      </c>
    </row>
    <row r="6156" customFormat="false" ht="15" hidden="false" customHeight="false" outlineLevel="0" collapsed="false">
      <c r="A6156" s="2" t="s">
        <v>496</v>
      </c>
      <c r="B6156" s="2" t="s">
        <v>47</v>
      </c>
      <c r="C6156" s="2" t="s">
        <v>4085</v>
      </c>
      <c r="D6156" s="11" t="n">
        <v>11451</v>
      </c>
      <c r="E6156" s="31" t="n">
        <v>84.1</v>
      </c>
      <c r="F6156" s="31" t="n">
        <v>82.4</v>
      </c>
      <c r="G6156" s="31" t="n">
        <v>69.5</v>
      </c>
      <c r="H6156" s="2" t="s">
        <v>671</v>
      </c>
    </row>
    <row r="6157" customFormat="false" ht="15" hidden="false" customHeight="false" outlineLevel="0" collapsed="false">
      <c r="A6157" s="2" t="s">
        <v>496</v>
      </c>
      <c r="B6157" s="2" t="s">
        <v>47</v>
      </c>
      <c r="C6157" s="2" t="s">
        <v>4086</v>
      </c>
      <c r="D6157" s="11" t="n">
        <v>11749</v>
      </c>
      <c r="E6157" s="31" t="n">
        <v>90.5</v>
      </c>
      <c r="F6157" s="31" t="n">
        <v>34.7</v>
      </c>
      <c r="G6157" s="31" t="n">
        <v>70.4</v>
      </c>
      <c r="H6157" s="2" t="s">
        <v>671</v>
      </c>
    </row>
    <row r="6158" customFormat="false" ht="15" hidden="false" customHeight="false" outlineLevel="0" collapsed="false">
      <c r="A6158" s="2" t="s">
        <v>496</v>
      </c>
      <c r="B6158" s="2" t="s">
        <v>47</v>
      </c>
      <c r="C6158" s="2" t="s">
        <v>4087</v>
      </c>
      <c r="D6158" s="11" t="n">
        <v>12490</v>
      </c>
      <c r="E6158" s="31" t="n">
        <v>62.5</v>
      </c>
      <c r="F6158" s="31" t="n">
        <v>94.7</v>
      </c>
      <c r="G6158" s="31" t="n">
        <v>95.6</v>
      </c>
      <c r="H6158" s="2" t="s">
        <v>671</v>
      </c>
    </row>
    <row r="6159" customFormat="false" ht="15" hidden="false" customHeight="false" outlineLevel="0" collapsed="false">
      <c r="A6159" s="2" t="s">
        <v>2279</v>
      </c>
      <c r="B6159" s="2" t="s">
        <v>4104</v>
      </c>
      <c r="C6159" s="2" t="s">
        <v>4085</v>
      </c>
      <c r="D6159" s="2"/>
      <c r="E6159" s="31" t="n">
        <v>55</v>
      </c>
      <c r="F6159" s="31" t="n">
        <v>63</v>
      </c>
      <c r="G6159" s="31" t="n">
        <v>36.4</v>
      </c>
      <c r="H6159" s="2" t="s">
        <v>671</v>
      </c>
    </row>
    <row r="6160" customFormat="false" ht="15" hidden="false" customHeight="false" outlineLevel="0" collapsed="false">
      <c r="A6160" s="2" t="s">
        <v>2279</v>
      </c>
      <c r="B6160" s="2" t="s">
        <v>4104</v>
      </c>
      <c r="C6160" s="2" t="s">
        <v>4086</v>
      </c>
      <c r="D6160" s="2"/>
      <c r="E6160" s="31" t="n">
        <v>50.9</v>
      </c>
      <c r="F6160" s="31" t="n">
        <v>66.4</v>
      </c>
      <c r="G6160" s="31" t="n">
        <v>43.5</v>
      </c>
      <c r="H6160" s="2" t="s">
        <v>671</v>
      </c>
    </row>
    <row r="6161" customFormat="false" ht="15" hidden="false" customHeight="false" outlineLevel="0" collapsed="false">
      <c r="A6161" s="2" t="s">
        <v>2279</v>
      </c>
      <c r="B6161" s="2" t="s">
        <v>4104</v>
      </c>
      <c r="C6161" s="2" t="s">
        <v>4087</v>
      </c>
      <c r="D6161" s="2"/>
      <c r="E6161" s="31" t="n">
        <v>60.9</v>
      </c>
      <c r="F6161" s="31" t="n">
        <v>66</v>
      </c>
      <c r="G6161" s="31" t="n">
        <v>60.4</v>
      </c>
      <c r="H6161" s="2" t="s">
        <v>668</v>
      </c>
    </row>
    <row r="6162" customFormat="false" ht="15" hidden="false" customHeight="false" outlineLevel="0" collapsed="false">
      <c r="A6162" s="2" t="s">
        <v>2279</v>
      </c>
      <c r="B6162" s="2" t="s">
        <v>45</v>
      </c>
      <c r="C6162" s="2" t="s">
        <v>4085</v>
      </c>
      <c r="D6162" s="11" t="n">
        <v>17788</v>
      </c>
      <c r="E6162" s="31" t="n">
        <v>95.9</v>
      </c>
      <c r="F6162" s="31" t="n">
        <v>59.9</v>
      </c>
      <c r="G6162" s="31" t="n">
        <v>74.6</v>
      </c>
      <c r="H6162" s="2" t="s">
        <v>671</v>
      </c>
    </row>
    <row r="6163" customFormat="false" ht="15" hidden="false" customHeight="false" outlineLevel="0" collapsed="false">
      <c r="A6163" s="2" t="s">
        <v>2279</v>
      </c>
      <c r="B6163" s="2" t="s">
        <v>45</v>
      </c>
      <c r="C6163" s="2" t="s">
        <v>4086</v>
      </c>
      <c r="D6163" s="11" t="n">
        <v>18230</v>
      </c>
      <c r="E6163" s="31" t="n">
        <v>91.9</v>
      </c>
      <c r="F6163" s="31" t="n">
        <v>80.1</v>
      </c>
      <c r="G6163" s="31" t="n">
        <v>95.8</v>
      </c>
      <c r="H6163" s="2" t="s">
        <v>671</v>
      </c>
    </row>
    <row r="6164" customFormat="false" ht="15" hidden="false" customHeight="false" outlineLevel="0" collapsed="false">
      <c r="A6164" s="2" t="s">
        <v>2279</v>
      </c>
      <c r="B6164" s="2" t="s">
        <v>45</v>
      </c>
      <c r="C6164" s="2" t="s">
        <v>4087</v>
      </c>
      <c r="D6164" s="11" t="n">
        <v>19740</v>
      </c>
      <c r="E6164" s="31" t="n">
        <v>66.5</v>
      </c>
      <c r="F6164" s="31" t="n">
        <v>71</v>
      </c>
      <c r="G6164" s="31" t="n">
        <v>88.4</v>
      </c>
      <c r="H6164" s="2" t="s">
        <v>668</v>
      </c>
    </row>
    <row r="6165" customFormat="false" ht="15" hidden="false" customHeight="false" outlineLevel="0" collapsed="false">
      <c r="A6165" s="2" t="s">
        <v>2279</v>
      </c>
      <c r="B6165" s="2" t="s">
        <v>46</v>
      </c>
      <c r="C6165" s="2" t="s">
        <v>4085</v>
      </c>
      <c r="D6165" s="11" t="n">
        <v>47202</v>
      </c>
      <c r="E6165" s="31" t="n">
        <v>11.5</v>
      </c>
      <c r="F6165" s="31" t="n">
        <v>77.9</v>
      </c>
      <c r="G6165" s="31" t="n">
        <v>13.2</v>
      </c>
      <c r="H6165" s="2" t="s">
        <v>671</v>
      </c>
    </row>
    <row r="6166" customFormat="false" ht="15" hidden="false" customHeight="false" outlineLevel="0" collapsed="false">
      <c r="A6166" s="2" t="s">
        <v>2279</v>
      </c>
      <c r="B6166" s="2" t="s">
        <v>46</v>
      </c>
      <c r="C6166" s="2" t="s">
        <v>4086</v>
      </c>
      <c r="D6166" s="11" t="n">
        <v>50490</v>
      </c>
      <c r="E6166" s="31" t="n">
        <v>12.2</v>
      </c>
      <c r="F6166" s="31" t="n">
        <v>46.9</v>
      </c>
      <c r="G6166" s="31" t="n">
        <v>15.2</v>
      </c>
      <c r="H6166" s="2" t="s">
        <v>671</v>
      </c>
    </row>
    <row r="6167" customFormat="false" ht="15" hidden="false" customHeight="false" outlineLevel="0" collapsed="false">
      <c r="A6167" s="2" t="s">
        <v>2279</v>
      </c>
      <c r="B6167" s="2" t="s">
        <v>46</v>
      </c>
      <c r="C6167" s="2" t="s">
        <v>4087</v>
      </c>
      <c r="D6167" s="2"/>
      <c r="E6167" s="2"/>
      <c r="F6167" s="2"/>
      <c r="G6167" s="2"/>
      <c r="H6167" s="2" t="s">
        <v>668</v>
      </c>
    </row>
    <row r="6168" customFormat="false" ht="15" hidden="false" customHeight="false" outlineLevel="0" collapsed="false">
      <c r="A6168" s="2" t="s">
        <v>2279</v>
      </c>
      <c r="B6168" s="2" t="s">
        <v>47</v>
      </c>
      <c r="C6168" s="2" t="s">
        <v>4085</v>
      </c>
      <c r="D6168" s="11" t="n">
        <v>15698</v>
      </c>
      <c r="E6168" s="31" t="n">
        <v>57.6</v>
      </c>
      <c r="F6168" s="31" t="n">
        <v>51.3</v>
      </c>
      <c r="G6168" s="31" t="n">
        <v>21.3</v>
      </c>
      <c r="H6168" s="2" t="s">
        <v>671</v>
      </c>
    </row>
    <row r="6169" customFormat="false" ht="15" hidden="false" customHeight="false" outlineLevel="0" collapsed="false">
      <c r="A6169" s="2" t="s">
        <v>2279</v>
      </c>
      <c r="B6169" s="2" t="s">
        <v>47</v>
      </c>
      <c r="C6169" s="2" t="s">
        <v>4086</v>
      </c>
      <c r="D6169" s="11" t="n">
        <v>16070</v>
      </c>
      <c r="E6169" s="31" t="n">
        <v>48.7</v>
      </c>
      <c r="F6169" s="31" t="n">
        <v>72.1</v>
      </c>
      <c r="G6169" s="31" t="n">
        <v>19.4</v>
      </c>
      <c r="H6169" s="2" t="s">
        <v>671</v>
      </c>
    </row>
    <row r="6170" customFormat="false" ht="15" hidden="false" customHeight="false" outlineLevel="0" collapsed="false">
      <c r="A6170" s="2" t="s">
        <v>2279</v>
      </c>
      <c r="B6170" s="2" t="s">
        <v>47</v>
      </c>
      <c r="C6170" s="2" t="s">
        <v>4087</v>
      </c>
      <c r="D6170" s="11" t="n">
        <v>16529</v>
      </c>
      <c r="E6170" s="31" t="n">
        <v>55.3</v>
      </c>
      <c r="F6170" s="31" t="n">
        <v>61</v>
      </c>
      <c r="G6170" s="31" t="n">
        <v>32.4</v>
      </c>
      <c r="H6170" s="2" t="s">
        <v>671</v>
      </c>
    </row>
    <row r="6171" customFormat="false" ht="15" hidden="false" customHeight="false" outlineLevel="0" collapsed="false">
      <c r="A6171" s="2" t="s">
        <v>2605</v>
      </c>
      <c r="B6171" s="2" t="s">
        <v>4104</v>
      </c>
      <c r="C6171" s="2" t="s">
        <v>4085</v>
      </c>
      <c r="D6171" s="2"/>
      <c r="E6171" s="31" t="n">
        <v>38.8</v>
      </c>
      <c r="F6171" s="31" t="n">
        <v>33.8</v>
      </c>
      <c r="G6171" s="31" t="n">
        <v>93.2</v>
      </c>
      <c r="H6171" s="2" t="s">
        <v>668</v>
      </c>
    </row>
    <row r="6172" customFormat="false" ht="15" hidden="false" customHeight="false" outlineLevel="0" collapsed="false">
      <c r="A6172" s="2" t="s">
        <v>2605</v>
      </c>
      <c r="B6172" s="2" t="s">
        <v>4104</v>
      </c>
      <c r="C6172" s="2" t="s">
        <v>4086</v>
      </c>
      <c r="D6172" s="2"/>
      <c r="E6172" s="31" t="n">
        <v>31.8</v>
      </c>
      <c r="F6172" s="31" t="n">
        <v>41.5</v>
      </c>
      <c r="G6172" s="31" t="n">
        <v>67.7</v>
      </c>
      <c r="H6172" s="2" t="s">
        <v>668</v>
      </c>
    </row>
    <row r="6173" customFormat="false" ht="15" hidden="false" customHeight="false" outlineLevel="0" collapsed="false">
      <c r="A6173" s="2" t="s">
        <v>2605</v>
      </c>
      <c r="B6173" s="2" t="s">
        <v>4104</v>
      </c>
      <c r="C6173" s="2" t="s">
        <v>4087</v>
      </c>
      <c r="D6173" s="2"/>
      <c r="E6173" s="31" t="n">
        <v>12.9</v>
      </c>
      <c r="F6173" s="31" t="n">
        <v>34</v>
      </c>
      <c r="G6173" s="31" t="n">
        <v>97.1</v>
      </c>
      <c r="H6173" s="2" t="s">
        <v>668</v>
      </c>
    </row>
    <row r="6174" customFormat="false" ht="15" hidden="false" customHeight="false" outlineLevel="0" collapsed="false">
      <c r="A6174" s="2" t="s">
        <v>2605</v>
      </c>
      <c r="B6174" s="2" t="s">
        <v>45</v>
      </c>
      <c r="C6174" s="2" t="s">
        <v>4085</v>
      </c>
      <c r="D6174" s="11" t="n">
        <v>5302</v>
      </c>
      <c r="E6174" s="31" t="n">
        <v>84.2</v>
      </c>
      <c r="F6174" s="31" t="n">
        <v>58.1</v>
      </c>
      <c r="G6174" s="31" t="n">
        <v>87.8</v>
      </c>
      <c r="H6174" s="2" t="s">
        <v>671</v>
      </c>
    </row>
    <row r="6175" customFormat="false" ht="15" hidden="false" customHeight="false" outlineLevel="0" collapsed="false">
      <c r="A6175" s="2" t="s">
        <v>2605</v>
      </c>
      <c r="B6175" s="2" t="s">
        <v>45</v>
      </c>
      <c r="C6175" s="2" t="s">
        <v>4086</v>
      </c>
      <c r="D6175" s="11" t="n">
        <v>5620</v>
      </c>
      <c r="E6175" s="31" t="n">
        <v>76.9</v>
      </c>
      <c r="F6175" s="2"/>
      <c r="G6175" s="31" t="n">
        <v>68.1</v>
      </c>
      <c r="H6175" s="2" t="s">
        <v>668</v>
      </c>
    </row>
    <row r="6176" customFormat="false" ht="15" hidden="false" customHeight="false" outlineLevel="0" collapsed="false">
      <c r="A6176" s="2" t="s">
        <v>2605</v>
      </c>
      <c r="B6176" s="2" t="s">
        <v>45</v>
      </c>
      <c r="C6176" s="2" t="s">
        <v>4087</v>
      </c>
      <c r="D6176" s="2"/>
      <c r="E6176" s="2"/>
      <c r="F6176" s="2"/>
      <c r="G6176" s="2"/>
      <c r="H6176" s="2" t="s">
        <v>668</v>
      </c>
    </row>
    <row r="6177" customFormat="false" ht="15" hidden="false" customHeight="false" outlineLevel="0" collapsed="false">
      <c r="A6177" s="2" t="s">
        <v>2605</v>
      </c>
      <c r="B6177" s="2" t="s">
        <v>46</v>
      </c>
      <c r="C6177" s="2" t="s">
        <v>4085</v>
      </c>
      <c r="D6177" s="11" t="n">
        <v>7490</v>
      </c>
      <c r="E6177" s="31" t="n">
        <v>5.5</v>
      </c>
      <c r="F6177" s="31" t="n">
        <v>8.8</v>
      </c>
      <c r="G6177" s="2"/>
      <c r="H6177" s="2" t="s">
        <v>668</v>
      </c>
    </row>
    <row r="6178" customFormat="false" ht="15" hidden="false" customHeight="false" outlineLevel="0" collapsed="false">
      <c r="A6178" s="2" t="s">
        <v>2605</v>
      </c>
      <c r="B6178" s="2" t="s">
        <v>46</v>
      </c>
      <c r="C6178" s="2" t="s">
        <v>4086</v>
      </c>
      <c r="D6178" s="11" t="n">
        <v>7460</v>
      </c>
      <c r="E6178" s="31" t="n">
        <v>9</v>
      </c>
      <c r="F6178" s="31" t="n">
        <v>22.6</v>
      </c>
      <c r="G6178" s="31" t="n">
        <v>36.2</v>
      </c>
      <c r="H6178" s="2" t="s">
        <v>671</v>
      </c>
    </row>
    <row r="6179" customFormat="false" ht="15" hidden="false" customHeight="false" outlineLevel="0" collapsed="false">
      <c r="A6179" s="2" t="s">
        <v>2605</v>
      </c>
      <c r="B6179" s="2" t="s">
        <v>46</v>
      </c>
      <c r="C6179" s="2" t="s">
        <v>4087</v>
      </c>
      <c r="D6179" s="2"/>
      <c r="E6179" s="2"/>
      <c r="F6179" s="2"/>
      <c r="G6179" s="2"/>
      <c r="H6179" s="2" t="s">
        <v>668</v>
      </c>
    </row>
    <row r="6180" customFormat="false" ht="15" hidden="false" customHeight="false" outlineLevel="0" collapsed="false">
      <c r="A6180" s="2" t="s">
        <v>2605</v>
      </c>
      <c r="B6180" s="2" t="s">
        <v>47</v>
      </c>
      <c r="C6180" s="2" t="s">
        <v>4085</v>
      </c>
      <c r="D6180" s="11" t="n">
        <v>9839</v>
      </c>
      <c r="E6180" s="31" t="n">
        <v>26.8</v>
      </c>
      <c r="F6180" s="31" t="n">
        <v>34.4</v>
      </c>
      <c r="G6180" s="31" t="n">
        <v>98.6</v>
      </c>
      <c r="H6180" s="2" t="s">
        <v>671</v>
      </c>
    </row>
    <row r="6181" customFormat="false" ht="15" hidden="false" customHeight="false" outlineLevel="0" collapsed="false">
      <c r="A6181" s="2" t="s">
        <v>2605</v>
      </c>
      <c r="B6181" s="2" t="s">
        <v>47</v>
      </c>
      <c r="C6181" s="2" t="s">
        <v>4086</v>
      </c>
      <c r="D6181" s="11" t="n">
        <v>10074</v>
      </c>
      <c r="E6181" s="31" t="n">
        <v>9.5</v>
      </c>
      <c r="F6181" s="31" t="n">
        <v>60.4</v>
      </c>
      <c r="G6181" s="31" t="n">
        <v>98.9</v>
      </c>
      <c r="H6181" s="2" t="s">
        <v>671</v>
      </c>
    </row>
    <row r="6182" customFormat="false" ht="15" hidden="false" customHeight="false" outlineLevel="0" collapsed="false">
      <c r="A6182" s="2" t="s">
        <v>2605</v>
      </c>
      <c r="B6182" s="2" t="s">
        <v>47</v>
      </c>
      <c r="C6182" s="2" t="s">
        <v>4087</v>
      </c>
      <c r="D6182" s="11" t="n">
        <v>10262</v>
      </c>
      <c r="E6182" s="31" t="n">
        <v>12.9</v>
      </c>
      <c r="F6182" s="31" t="n">
        <v>34</v>
      </c>
      <c r="G6182" s="31" t="n">
        <v>97.1</v>
      </c>
      <c r="H6182" s="2" t="s">
        <v>671</v>
      </c>
    </row>
    <row r="6183" customFormat="false" ht="15" hidden="false" customHeight="false" outlineLevel="0" collapsed="false">
      <c r="A6183" s="2" t="s">
        <v>554</v>
      </c>
      <c r="B6183" s="2" t="s">
        <v>4104</v>
      </c>
      <c r="C6183" s="2" t="s">
        <v>4085</v>
      </c>
      <c r="D6183" s="2"/>
      <c r="E6183" s="31" t="n">
        <v>43</v>
      </c>
      <c r="F6183" s="31" t="n">
        <v>42.8</v>
      </c>
      <c r="G6183" s="31" t="n">
        <v>2.5</v>
      </c>
      <c r="H6183" s="2" t="s">
        <v>668</v>
      </c>
    </row>
    <row r="6184" customFormat="false" ht="15" hidden="false" customHeight="false" outlineLevel="0" collapsed="false">
      <c r="A6184" s="2" t="s">
        <v>554</v>
      </c>
      <c r="B6184" s="2" t="s">
        <v>4104</v>
      </c>
      <c r="C6184" s="2" t="s">
        <v>4086</v>
      </c>
      <c r="D6184" s="2"/>
      <c r="E6184" s="31" t="n">
        <v>41.7</v>
      </c>
      <c r="F6184" s="31" t="n">
        <v>48.8</v>
      </c>
      <c r="G6184" s="31" t="n">
        <v>54.5</v>
      </c>
      <c r="H6184" s="2" t="s">
        <v>671</v>
      </c>
    </row>
    <row r="6185" customFormat="false" ht="15" hidden="false" customHeight="false" outlineLevel="0" collapsed="false">
      <c r="A6185" s="2" t="s">
        <v>554</v>
      </c>
      <c r="B6185" s="2" t="s">
        <v>4104</v>
      </c>
      <c r="C6185" s="2" t="s">
        <v>4087</v>
      </c>
      <c r="D6185" s="2"/>
      <c r="E6185" s="31" t="n">
        <v>29</v>
      </c>
      <c r="F6185" s="31" t="n">
        <v>71.4</v>
      </c>
      <c r="G6185" s="31" t="n">
        <v>16</v>
      </c>
      <c r="H6185" s="2" t="s">
        <v>671</v>
      </c>
    </row>
    <row r="6186" customFormat="false" ht="15" hidden="false" customHeight="false" outlineLevel="0" collapsed="false">
      <c r="A6186" s="2" t="s">
        <v>554</v>
      </c>
      <c r="B6186" s="2" t="s">
        <v>46</v>
      </c>
      <c r="C6186" s="2" t="s">
        <v>4085</v>
      </c>
      <c r="D6186" s="11" t="n">
        <v>13560</v>
      </c>
      <c r="E6186" s="31" t="n">
        <v>59.1</v>
      </c>
      <c r="F6186" s="31" t="n">
        <v>34.5</v>
      </c>
      <c r="G6186" s="2"/>
      <c r="H6186" s="2" t="s">
        <v>668</v>
      </c>
    </row>
    <row r="6187" customFormat="false" ht="15" hidden="false" customHeight="false" outlineLevel="0" collapsed="false">
      <c r="A6187" s="2" t="s">
        <v>554</v>
      </c>
      <c r="B6187" s="2" t="s">
        <v>46</v>
      </c>
      <c r="C6187" s="2" t="s">
        <v>4086</v>
      </c>
      <c r="D6187" s="11" t="n">
        <v>14480</v>
      </c>
      <c r="E6187" s="31" t="n">
        <v>35.8</v>
      </c>
      <c r="F6187" s="31" t="n">
        <v>45.5</v>
      </c>
      <c r="G6187" s="31" t="n">
        <v>82.3</v>
      </c>
      <c r="H6187" s="2" t="s">
        <v>671</v>
      </c>
    </row>
    <row r="6188" customFormat="false" ht="15" hidden="false" customHeight="false" outlineLevel="0" collapsed="false">
      <c r="A6188" s="2" t="s">
        <v>554</v>
      </c>
      <c r="B6188" s="2" t="s">
        <v>46</v>
      </c>
      <c r="C6188" s="2" t="s">
        <v>4087</v>
      </c>
      <c r="D6188" s="11" t="n">
        <v>14550</v>
      </c>
      <c r="E6188" s="31" t="n">
        <v>33.6</v>
      </c>
      <c r="F6188" s="31" t="n">
        <v>63.9</v>
      </c>
      <c r="G6188" s="31" t="n">
        <v>24.1</v>
      </c>
      <c r="H6188" s="2" t="s">
        <v>671</v>
      </c>
    </row>
    <row r="6189" customFormat="false" ht="15" hidden="false" customHeight="false" outlineLevel="0" collapsed="false">
      <c r="A6189" s="2" t="s">
        <v>554</v>
      </c>
      <c r="B6189" s="2" t="s">
        <v>47</v>
      </c>
      <c r="C6189" s="2" t="s">
        <v>4085</v>
      </c>
      <c r="D6189" s="11" t="n">
        <v>103307</v>
      </c>
      <c r="E6189" s="31" t="n">
        <v>27</v>
      </c>
      <c r="F6189" s="31" t="n">
        <v>51.2</v>
      </c>
      <c r="G6189" s="31" t="n">
        <v>2.5</v>
      </c>
      <c r="H6189" s="2" t="s">
        <v>671</v>
      </c>
    </row>
    <row r="6190" customFormat="false" ht="15" hidden="false" customHeight="false" outlineLevel="0" collapsed="false">
      <c r="A6190" s="2" t="s">
        <v>554</v>
      </c>
      <c r="B6190" s="2" t="s">
        <v>47</v>
      </c>
      <c r="C6190" s="2" t="s">
        <v>4086</v>
      </c>
      <c r="D6190" s="11" t="n">
        <v>103920</v>
      </c>
      <c r="E6190" s="31" t="n">
        <v>47.6</v>
      </c>
      <c r="F6190" s="31" t="n">
        <v>52.2</v>
      </c>
      <c r="G6190" s="31" t="n">
        <v>26.7</v>
      </c>
      <c r="H6190" s="2" t="s">
        <v>671</v>
      </c>
    </row>
    <row r="6191" customFormat="false" ht="15" hidden="false" customHeight="false" outlineLevel="0" collapsed="false">
      <c r="A6191" s="2" t="s">
        <v>554</v>
      </c>
      <c r="B6191" s="2" t="s">
        <v>47</v>
      </c>
      <c r="C6191" s="2" t="s">
        <v>4087</v>
      </c>
      <c r="D6191" s="11" t="n">
        <v>109653</v>
      </c>
      <c r="E6191" s="31" t="n">
        <v>24.3</v>
      </c>
      <c r="F6191" s="31" t="n">
        <v>78.9</v>
      </c>
      <c r="G6191" s="31" t="n">
        <v>8</v>
      </c>
      <c r="H6191" s="2" t="s">
        <v>671</v>
      </c>
    </row>
    <row r="6192" customFormat="false" ht="15" hidden="false" customHeight="false" outlineLevel="0" collapsed="false">
      <c r="A6192" s="2" t="s">
        <v>460</v>
      </c>
      <c r="B6192" s="2" t="s">
        <v>4104</v>
      </c>
      <c r="C6192" s="2" t="s">
        <v>4085</v>
      </c>
      <c r="D6192" s="2"/>
      <c r="E6192" s="31" t="n">
        <v>39.8</v>
      </c>
      <c r="F6192" s="31" t="n">
        <v>53</v>
      </c>
      <c r="G6192" s="31" t="n">
        <v>59.8</v>
      </c>
      <c r="H6192" s="2" t="s">
        <v>668</v>
      </c>
    </row>
    <row r="6193" customFormat="false" ht="15" hidden="false" customHeight="false" outlineLevel="0" collapsed="false">
      <c r="A6193" s="2" t="s">
        <v>460</v>
      </c>
      <c r="B6193" s="2" t="s">
        <v>4104</v>
      </c>
      <c r="C6193" s="2" t="s">
        <v>4086</v>
      </c>
      <c r="D6193" s="2"/>
      <c r="E6193" s="31" t="n">
        <v>36.1</v>
      </c>
      <c r="F6193" s="31" t="n">
        <v>55.3</v>
      </c>
      <c r="G6193" s="31" t="n">
        <v>43.9</v>
      </c>
      <c r="H6193" s="2" t="s">
        <v>671</v>
      </c>
    </row>
    <row r="6194" customFormat="false" ht="15" hidden="false" customHeight="false" outlineLevel="0" collapsed="false">
      <c r="A6194" s="2" t="s">
        <v>460</v>
      </c>
      <c r="B6194" s="2" t="s">
        <v>4104</v>
      </c>
      <c r="C6194" s="2" t="s">
        <v>4087</v>
      </c>
      <c r="D6194" s="2"/>
      <c r="E6194" s="31" t="n">
        <v>40.6</v>
      </c>
      <c r="F6194" s="31" t="n">
        <v>45</v>
      </c>
      <c r="G6194" s="31" t="n">
        <v>34.8</v>
      </c>
      <c r="H6194" s="2" t="s">
        <v>671</v>
      </c>
    </row>
    <row r="6195" customFormat="false" ht="15" hidden="false" customHeight="false" outlineLevel="0" collapsed="false">
      <c r="A6195" s="2" t="s">
        <v>460</v>
      </c>
      <c r="B6195" s="2" t="s">
        <v>45</v>
      </c>
      <c r="C6195" s="2" t="s">
        <v>4085</v>
      </c>
      <c r="D6195" s="11" t="n">
        <v>17414</v>
      </c>
      <c r="E6195" s="2"/>
      <c r="F6195" s="31" t="n">
        <v>26.3</v>
      </c>
      <c r="G6195" s="2"/>
      <c r="H6195" s="2" t="s">
        <v>668</v>
      </c>
    </row>
    <row r="6196" customFormat="false" ht="15" hidden="false" customHeight="false" outlineLevel="0" collapsed="false">
      <c r="A6196" s="2" t="s">
        <v>460</v>
      </c>
      <c r="B6196" s="2" t="s">
        <v>45</v>
      </c>
      <c r="C6196" s="2" t="s">
        <v>4086</v>
      </c>
      <c r="D6196" s="11" t="n">
        <v>17498</v>
      </c>
      <c r="E6196" s="31" t="n">
        <v>61.4</v>
      </c>
      <c r="F6196" s="31" t="n">
        <v>56.7</v>
      </c>
      <c r="G6196" s="31" t="n">
        <v>33.1</v>
      </c>
      <c r="H6196" s="2" t="s">
        <v>671</v>
      </c>
    </row>
    <row r="6197" customFormat="false" ht="15" hidden="false" customHeight="false" outlineLevel="0" collapsed="false">
      <c r="A6197" s="2" t="s">
        <v>460</v>
      </c>
      <c r="B6197" s="2" t="s">
        <v>45</v>
      </c>
      <c r="C6197" s="2" t="s">
        <v>4087</v>
      </c>
      <c r="D6197" s="11" t="n">
        <v>17970</v>
      </c>
      <c r="E6197" s="31" t="n">
        <v>63.5</v>
      </c>
      <c r="F6197" s="31" t="n">
        <v>17.5</v>
      </c>
      <c r="G6197" s="31" t="n">
        <v>8.3</v>
      </c>
      <c r="H6197" s="2" t="s">
        <v>671</v>
      </c>
    </row>
    <row r="6198" customFormat="false" ht="15" hidden="false" customHeight="false" outlineLevel="0" collapsed="false">
      <c r="A6198" s="2" t="s">
        <v>460</v>
      </c>
      <c r="B6198" s="2" t="s">
        <v>46</v>
      </c>
      <c r="C6198" s="2" t="s">
        <v>4085</v>
      </c>
      <c r="D6198" s="11" t="n">
        <v>15950</v>
      </c>
      <c r="E6198" s="31" t="n">
        <v>75</v>
      </c>
      <c r="F6198" s="31" t="n">
        <v>99.3</v>
      </c>
      <c r="G6198" s="31" t="n">
        <v>20.5</v>
      </c>
      <c r="H6198" s="2" t="s">
        <v>671</v>
      </c>
    </row>
    <row r="6199" customFormat="false" ht="15" hidden="false" customHeight="false" outlineLevel="0" collapsed="false">
      <c r="A6199" s="2" t="s">
        <v>460</v>
      </c>
      <c r="B6199" s="2" t="s">
        <v>46</v>
      </c>
      <c r="C6199" s="2" t="s">
        <v>4086</v>
      </c>
      <c r="D6199" s="11" t="n">
        <v>17080</v>
      </c>
      <c r="E6199" s="31" t="n">
        <v>45.2</v>
      </c>
      <c r="F6199" s="31" t="n">
        <v>93.8</v>
      </c>
      <c r="G6199" s="31" t="n">
        <v>1.3</v>
      </c>
      <c r="H6199" s="2" t="s">
        <v>671</v>
      </c>
    </row>
    <row r="6200" customFormat="false" ht="15" hidden="false" customHeight="false" outlineLevel="0" collapsed="false">
      <c r="A6200" s="2" t="s">
        <v>460</v>
      </c>
      <c r="B6200" s="2" t="s">
        <v>46</v>
      </c>
      <c r="C6200" s="2" t="s">
        <v>4087</v>
      </c>
      <c r="D6200" s="11" t="n">
        <v>18340</v>
      </c>
      <c r="E6200" s="31" t="n">
        <v>56.7</v>
      </c>
      <c r="F6200" s="31" t="n">
        <v>97.5</v>
      </c>
      <c r="G6200" s="31" t="n">
        <v>1</v>
      </c>
      <c r="H6200" s="2" t="s">
        <v>671</v>
      </c>
    </row>
    <row r="6201" customFormat="false" ht="15" hidden="false" customHeight="false" outlineLevel="0" collapsed="false">
      <c r="A6201" s="2" t="s">
        <v>460</v>
      </c>
      <c r="B6201" s="2" t="s">
        <v>47</v>
      </c>
      <c r="C6201" s="2" t="s">
        <v>4085</v>
      </c>
      <c r="D6201" s="11" t="n">
        <v>185865</v>
      </c>
      <c r="E6201" s="31" t="n">
        <v>4.5</v>
      </c>
      <c r="F6201" s="31" t="n">
        <v>33.3</v>
      </c>
      <c r="G6201" s="31" t="n">
        <v>99.1</v>
      </c>
      <c r="H6201" s="2" t="s">
        <v>671</v>
      </c>
    </row>
    <row r="6202" customFormat="false" ht="15" hidden="false" customHeight="false" outlineLevel="0" collapsed="false">
      <c r="A6202" s="2" t="s">
        <v>460</v>
      </c>
      <c r="B6202" s="2" t="s">
        <v>47</v>
      </c>
      <c r="C6202" s="2" t="s">
        <v>4086</v>
      </c>
      <c r="D6202" s="11" t="n">
        <v>190350</v>
      </c>
      <c r="E6202" s="31" t="n">
        <v>1.6</v>
      </c>
      <c r="F6202" s="31" t="n">
        <v>15.5</v>
      </c>
      <c r="G6202" s="31" t="n">
        <v>97.3</v>
      </c>
      <c r="H6202" s="2" t="s">
        <v>671</v>
      </c>
    </row>
    <row r="6203" customFormat="false" ht="15" hidden="false" customHeight="false" outlineLevel="0" collapsed="false">
      <c r="A6203" s="2" t="s">
        <v>460</v>
      </c>
      <c r="B6203" s="2" t="s">
        <v>47</v>
      </c>
      <c r="C6203" s="2" t="s">
        <v>4087</v>
      </c>
      <c r="D6203" s="11" t="n">
        <v>179929</v>
      </c>
      <c r="E6203" s="31" t="n">
        <v>1.5</v>
      </c>
      <c r="F6203" s="31" t="n">
        <v>19.9</v>
      </c>
      <c r="G6203" s="31" t="n">
        <v>95.2</v>
      </c>
      <c r="H6203" s="2" t="s">
        <v>671</v>
      </c>
    </row>
    <row r="6204" customFormat="false" ht="15" hidden="false" customHeight="false" outlineLevel="0" collapsed="false">
      <c r="A6204" s="2" t="s">
        <v>560</v>
      </c>
      <c r="B6204" s="2" t="s">
        <v>4104</v>
      </c>
      <c r="C6204" s="2" t="s">
        <v>4085</v>
      </c>
      <c r="D6204" s="2"/>
      <c r="E6204" s="31" t="n">
        <v>10.2</v>
      </c>
      <c r="F6204" s="31" t="n">
        <v>45.7</v>
      </c>
      <c r="G6204" s="31" t="n">
        <v>57.3</v>
      </c>
      <c r="H6204" s="2" t="s">
        <v>671</v>
      </c>
    </row>
    <row r="6205" customFormat="false" ht="15" hidden="false" customHeight="false" outlineLevel="0" collapsed="false">
      <c r="A6205" s="2" t="s">
        <v>560</v>
      </c>
      <c r="B6205" s="2" t="s">
        <v>4104</v>
      </c>
      <c r="C6205" s="2" t="s">
        <v>4086</v>
      </c>
      <c r="D6205" s="2"/>
      <c r="E6205" s="31" t="n">
        <v>16.1</v>
      </c>
      <c r="F6205" s="31" t="n">
        <v>21.8</v>
      </c>
      <c r="G6205" s="2"/>
      <c r="H6205" s="2" t="s">
        <v>668</v>
      </c>
    </row>
    <row r="6206" customFormat="false" ht="15" hidden="false" customHeight="false" outlineLevel="0" collapsed="false">
      <c r="A6206" s="2" t="s">
        <v>560</v>
      </c>
      <c r="B6206" s="2" t="s">
        <v>4104</v>
      </c>
      <c r="C6206" s="2" t="s">
        <v>4087</v>
      </c>
      <c r="D6206" s="2"/>
      <c r="E6206" s="31" t="n">
        <v>27.5</v>
      </c>
      <c r="F6206" s="31" t="n">
        <v>26.1</v>
      </c>
      <c r="G6206" s="31" t="n">
        <v>72.8</v>
      </c>
      <c r="H6206" s="2" t="s">
        <v>671</v>
      </c>
    </row>
    <row r="6207" customFormat="false" ht="15" hidden="false" customHeight="false" outlineLevel="0" collapsed="false">
      <c r="A6207" s="2" t="s">
        <v>560</v>
      </c>
      <c r="B6207" s="2" t="s">
        <v>46</v>
      </c>
      <c r="C6207" s="2" t="s">
        <v>4085</v>
      </c>
      <c r="D6207" s="11" t="n">
        <v>16130</v>
      </c>
      <c r="E6207" s="31" t="n">
        <v>10.2</v>
      </c>
      <c r="F6207" s="31" t="n">
        <v>45.7</v>
      </c>
      <c r="G6207" s="31" t="n">
        <v>57.3</v>
      </c>
      <c r="H6207" s="2" t="s">
        <v>671</v>
      </c>
    </row>
    <row r="6208" customFormat="false" ht="15" hidden="false" customHeight="false" outlineLevel="0" collapsed="false">
      <c r="A6208" s="2" t="s">
        <v>560</v>
      </c>
      <c r="B6208" s="2" t="s">
        <v>46</v>
      </c>
      <c r="C6208" s="2" t="s">
        <v>4086</v>
      </c>
      <c r="D6208" s="11" t="n">
        <v>16630</v>
      </c>
      <c r="E6208" s="31" t="n">
        <v>16.1</v>
      </c>
      <c r="F6208" s="31" t="n">
        <v>21.8</v>
      </c>
      <c r="G6208" s="2"/>
      <c r="H6208" s="2" t="s">
        <v>668</v>
      </c>
    </row>
    <row r="6209" customFormat="false" ht="15" hidden="false" customHeight="false" outlineLevel="0" collapsed="false">
      <c r="A6209" s="2" t="s">
        <v>560</v>
      </c>
      <c r="B6209" s="2" t="s">
        <v>46</v>
      </c>
      <c r="C6209" s="2" t="s">
        <v>4087</v>
      </c>
      <c r="D6209" s="11" t="n">
        <v>16905</v>
      </c>
      <c r="E6209" s="31" t="n">
        <v>27.5</v>
      </c>
      <c r="F6209" s="31" t="n">
        <v>26.1</v>
      </c>
      <c r="G6209" s="31" t="n">
        <v>72.8</v>
      </c>
      <c r="H6209" s="2" t="s">
        <v>671</v>
      </c>
    </row>
    <row r="6210" customFormat="false" ht="15" hidden="false" customHeight="false" outlineLevel="0" collapsed="false">
      <c r="A6210" s="2" t="s">
        <v>2597</v>
      </c>
      <c r="B6210" s="2" t="s">
        <v>4104</v>
      </c>
      <c r="C6210" s="2" t="s">
        <v>4085</v>
      </c>
      <c r="D6210" s="2"/>
      <c r="E6210" s="31" t="n">
        <v>9.5</v>
      </c>
      <c r="F6210" s="31" t="n">
        <v>56.5</v>
      </c>
      <c r="G6210" s="31" t="n">
        <v>44.8</v>
      </c>
      <c r="H6210" s="2" t="s">
        <v>668</v>
      </c>
    </row>
    <row r="6211" customFormat="false" ht="15" hidden="false" customHeight="false" outlineLevel="0" collapsed="false">
      <c r="A6211" s="2" t="s">
        <v>2597</v>
      </c>
      <c r="B6211" s="2" t="s">
        <v>4104</v>
      </c>
      <c r="C6211" s="2" t="s">
        <v>4086</v>
      </c>
      <c r="D6211" s="2"/>
      <c r="E6211" s="31" t="n">
        <v>44.8</v>
      </c>
      <c r="F6211" s="31" t="n">
        <v>71.5</v>
      </c>
      <c r="G6211" s="31" t="n">
        <v>12</v>
      </c>
      <c r="H6211" s="2" t="s">
        <v>668</v>
      </c>
    </row>
    <row r="6212" customFormat="false" ht="15" hidden="false" customHeight="false" outlineLevel="0" collapsed="false">
      <c r="A6212" s="2" t="s">
        <v>2597</v>
      </c>
      <c r="B6212" s="2" t="s">
        <v>4104</v>
      </c>
      <c r="C6212" s="2" t="s">
        <v>4087</v>
      </c>
      <c r="D6212" s="2"/>
      <c r="E6212" s="31" t="n">
        <v>13.9</v>
      </c>
      <c r="F6212" s="31" t="n">
        <v>41.5</v>
      </c>
      <c r="G6212" s="31" t="n">
        <v>38.1</v>
      </c>
      <c r="H6212" s="2" t="s">
        <v>668</v>
      </c>
    </row>
    <row r="6213" customFormat="false" ht="15" hidden="false" customHeight="false" outlineLevel="0" collapsed="false">
      <c r="A6213" s="2" t="s">
        <v>2597</v>
      </c>
      <c r="B6213" s="2" t="s">
        <v>45</v>
      </c>
      <c r="C6213" s="2" t="s">
        <v>4085</v>
      </c>
      <c r="D6213" s="2"/>
      <c r="E6213" s="2"/>
      <c r="F6213" s="2"/>
      <c r="G6213" s="2"/>
      <c r="H6213" s="2" t="s">
        <v>668</v>
      </c>
    </row>
    <row r="6214" customFormat="false" ht="15" hidden="false" customHeight="false" outlineLevel="0" collapsed="false">
      <c r="A6214" s="2" t="s">
        <v>2597</v>
      </c>
      <c r="B6214" s="2" t="s">
        <v>45</v>
      </c>
      <c r="C6214" s="2" t="s">
        <v>4086</v>
      </c>
      <c r="D6214" s="11" t="n">
        <v>98760</v>
      </c>
      <c r="E6214" s="31" t="n">
        <v>44.8</v>
      </c>
      <c r="F6214" s="31" t="n">
        <v>71.5</v>
      </c>
      <c r="G6214" s="2"/>
      <c r="H6214" s="2" t="s">
        <v>668</v>
      </c>
    </row>
    <row r="6215" customFormat="false" ht="15" hidden="false" customHeight="false" outlineLevel="0" collapsed="false">
      <c r="A6215" s="2" t="s">
        <v>2597</v>
      </c>
      <c r="B6215" s="2" t="s">
        <v>45</v>
      </c>
      <c r="C6215" s="2" t="s">
        <v>4087</v>
      </c>
      <c r="D6215" s="2"/>
      <c r="E6215" s="2"/>
      <c r="F6215" s="2"/>
      <c r="G6215" s="2"/>
      <c r="H6215" s="2" t="s">
        <v>668</v>
      </c>
    </row>
    <row r="6216" customFormat="false" ht="15" hidden="false" customHeight="false" outlineLevel="0" collapsed="false">
      <c r="A6216" s="2" t="s">
        <v>2597</v>
      </c>
      <c r="B6216" s="2" t="s">
        <v>47</v>
      </c>
      <c r="C6216" s="2" t="s">
        <v>4085</v>
      </c>
      <c r="D6216" s="11" t="n">
        <v>25085</v>
      </c>
      <c r="E6216" s="31" t="n">
        <v>9.5</v>
      </c>
      <c r="F6216" s="31" t="n">
        <v>56.5</v>
      </c>
      <c r="G6216" s="31" t="n">
        <v>44.8</v>
      </c>
      <c r="H6216" s="2" t="s">
        <v>671</v>
      </c>
    </row>
    <row r="6217" customFormat="false" ht="15" hidden="false" customHeight="false" outlineLevel="0" collapsed="false">
      <c r="A6217" s="2" t="s">
        <v>2597</v>
      </c>
      <c r="B6217" s="2" t="s">
        <v>47</v>
      </c>
      <c r="C6217" s="2" t="s">
        <v>4086</v>
      </c>
      <c r="D6217" s="2"/>
      <c r="E6217" s="2"/>
      <c r="F6217" s="2"/>
      <c r="G6217" s="31" t="n">
        <v>12</v>
      </c>
      <c r="H6217" s="2" t="s">
        <v>668</v>
      </c>
    </row>
    <row r="6218" customFormat="false" ht="15" hidden="false" customHeight="false" outlineLevel="0" collapsed="false">
      <c r="A6218" s="2" t="s">
        <v>2597</v>
      </c>
      <c r="B6218" s="2" t="s">
        <v>47</v>
      </c>
      <c r="C6218" s="2" t="s">
        <v>4087</v>
      </c>
      <c r="D6218" s="11" t="n">
        <v>27508</v>
      </c>
      <c r="E6218" s="31" t="n">
        <v>13.9</v>
      </c>
      <c r="F6218" s="31" t="n">
        <v>41.5</v>
      </c>
      <c r="G6218" s="31" t="n">
        <v>38.1</v>
      </c>
      <c r="H6218" s="2" t="s">
        <v>671</v>
      </c>
    </row>
    <row r="6219" customFormat="false" ht="15" hidden="false" customHeight="false" outlineLevel="0" collapsed="false">
      <c r="A6219" s="2" t="s">
        <v>310</v>
      </c>
      <c r="B6219" s="2" t="s">
        <v>4104</v>
      </c>
      <c r="C6219" s="2" t="s">
        <v>4085</v>
      </c>
      <c r="D6219" s="2"/>
      <c r="E6219" s="31" t="n">
        <v>18.2</v>
      </c>
      <c r="F6219" s="31" t="n">
        <v>87.6</v>
      </c>
      <c r="G6219" s="31" t="n">
        <v>87.8</v>
      </c>
      <c r="H6219" s="2" t="s">
        <v>668</v>
      </c>
    </row>
    <row r="6220" customFormat="false" ht="15" hidden="false" customHeight="false" outlineLevel="0" collapsed="false">
      <c r="A6220" s="2" t="s">
        <v>310</v>
      </c>
      <c r="B6220" s="2" t="s">
        <v>4104</v>
      </c>
      <c r="C6220" s="2" t="s">
        <v>4086</v>
      </c>
      <c r="D6220" s="2"/>
      <c r="E6220" s="31" t="n">
        <v>61.4</v>
      </c>
      <c r="F6220" s="31" t="n">
        <v>56.9</v>
      </c>
      <c r="G6220" s="31" t="n">
        <v>68.4</v>
      </c>
      <c r="H6220" s="2" t="s">
        <v>671</v>
      </c>
    </row>
    <row r="6221" customFormat="false" ht="15" hidden="false" customHeight="false" outlineLevel="0" collapsed="false">
      <c r="A6221" s="2" t="s">
        <v>310</v>
      </c>
      <c r="B6221" s="2" t="s">
        <v>4104</v>
      </c>
      <c r="C6221" s="2" t="s">
        <v>4087</v>
      </c>
      <c r="D6221" s="2"/>
      <c r="E6221" s="31" t="n">
        <v>56.9</v>
      </c>
      <c r="F6221" s="31" t="n">
        <v>60.8</v>
      </c>
      <c r="G6221" s="31" t="n">
        <v>67.8</v>
      </c>
      <c r="H6221" s="2" t="s">
        <v>671</v>
      </c>
    </row>
    <row r="6222" customFormat="false" ht="15" hidden="false" customHeight="false" outlineLevel="0" collapsed="false">
      <c r="A6222" s="2" t="s">
        <v>310</v>
      </c>
      <c r="B6222" s="2" t="s">
        <v>45</v>
      </c>
      <c r="C6222" s="2" t="s">
        <v>4085</v>
      </c>
      <c r="D6222" s="2"/>
      <c r="E6222" s="2"/>
      <c r="F6222" s="2"/>
      <c r="G6222" s="2"/>
      <c r="H6222" s="2" t="s">
        <v>668</v>
      </c>
    </row>
    <row r="6223" customFormat="false" ht="15" hidden="false" customHeight="false" outlineLevel="0" collapsed="false">
      <c r="A6223" s="2" t="s">
        <v>310</v>
      </c>
      <c r="B6223" s="2" t="s">
        <v>45</v>
      </c>
      <c r="C6223" s="2" t="s">
        <v>4086</v>
      </c>
      <c r="D6223" s="11" t="n">
        <v>24264</v>
      </c>
      <c r="E6223" s="31" t="n">
        <v>64.8</v>
      </c>
      <c r="F6223" s="31" t="n">
        <v>93.5</v>
      </c>
      <c r="G6223" s="31" t="n">
        <v>28.7</v>
      </c>
      <c r="H6223" s="2" t="s">
        <v>671</v>
      </c>
    </row>
    <row r="6224" customFormat="false" ht="15" hidden="false" customHeight="false" outlineLevel="0" collapsed="false">
      <c r="A6224" s="2" t="s">
        <v>310</v>
      </c>
      <c r="B6224" s="2" t="s">
        <v>45</v>
      </c>
      <c r="C6224" s="2" t="s">
        <v>4087</v>
      </c>
      <c r="D6224" s="11" t="n">
        <v>26230</v>
      </c>
      <c r="E6224" s="31" t="n">
        <v>59</v>
      </c>
      <c r="F6224" s="31" t="n">
        <v>89.3</v>
      </c>
      <c r="G6224" s="31" t="n">
        <v>31.8</v>
      </c>
      <c r="H6224" s="2" t="s">
        <v>671</v>
      </c>
    </row>
    <row r="6225" customFormat="false" ht="15" hidden="false" customHeight="false" outlineLevel="0" collapsed="false">
      <c r="A6225" s="2" t="s">
        <v>310</v>
      </c>
      <c r="B6225" s="2" t="s">
        <v>46</v>
      </c>
      <c r="C6225" s="2" t="s">
        <v>4085</v>
      </c>
      <c r="D6225" s="2"/>
      <c r="E6225" s="2"/>
      <c r="F6225" s="2"/>
      <c r="G6225" s="2"/>
      <c r="H6225" s="2" t="s">
        <v>668</v>
      </c>
    </row>
    <row r="6226" customFormat="false" ht="15" hidden="false" customHeight="false" outlineLevel="0" collapsed="false">
      <c r="A6226" s="2" t="s">
        <v>310</v>
      </c>
      <c r="B6226" s="2" t="s">
        <v>46</v>
      </c>
      <c r="C6226" s="2" t="s">
        <v>4086</v>
      </c>
      <c r="D6226" s="11" t="n">
        <v>125700</v>
      </c>
      <c r="E6226" s="31" t="n">
        <v>90.4</v>
      </c>
      <c r="F6226" s="31" t="n">
        <v>18.5</v>
      </c>
      <c r="G6226" s="31" t="n">
        <v>82.1</v>
      </c>
      <c r="H6226" s="2" t="s">
        <v>671</v>
      </c>
    </row>
    <row r="6227" customFormat="false" ht="15" hidden="false" customHeight="false" outlineLevel="0" collapsed="false">
      <c r="A6227" s="2" t="s">
        <v>310</v>
      </c>
      <c r="B6227" s="2" t="s">
        <v>46</v>
      </c>
      <c r="C6227" s="2" t="s">
        <v>4087</v>
      </c>
      <c r="D6227" s="11" t="n">
        <v>126981</v>
      </c>
      <c r="E6227" s="31" t="n">
        <v>89.6</v>
      </c>
      <c r="F6227" s="31" t="n">
        <v>9.9</v>
      </c>
      <c r="G6227" s="31" t="n">
        <v>73.3</v>
      </c>
      <c r="H6227" s="2" t="s">
        <v>671</v>
      </c>
    </row>
    <row r="6228" customFormat="false" ht="15" hidden="false" customHeight="false" outlineLevel="0" collapsed="false">
      <c r="A6228" s="2" t="s">
        <v>310</v>
      </c>
      <c r="B6228" s="2" t="s">
        <v>47</v>
      </c>
      <c r="C6228" s="2" t="s">
        <v>4085</v>
      </c>
      <c r="D6228" s="11" t="n">
        <v>43734</v>
      </c>
      <c r="E6228" s="31" t="n">
        <v>18.2</v>
      </c>
      <c r="F6228" s="31" t="n">
        <v>87.6</v>
      </c>
      <c r="G6228" s="31" t="n">
        <v>87.8</v>
      </c>
      <c r="H6228" s="2" t="s">
        <v>671</v>
      </c>
    </row>
    <row r="6229" customFormat="false" ht="15" hidden="false" customHeight="false" outlineLevel="0" collapsed="false">
      <c r="A6229" s="2" t="s">
        <v>310</v>
      </c>
      <c r="B6229" s="2" t="s">
        <v>47</v>
      </c>
      <c r="C6229" s="2" t="s">
        <v>4086</v>
      </c>
      <c r="D6229" s="11" t="n">
        <v>45940</v>
      </c>
      <c r="E6229" s="31" t="n">
        <v>29.1</v>
      </c>
      <c r="F6229" s="31" t="n">
        <v>58.8</v>
      </c>
      <c r="G6229" s="31" t="n">
        <v>94.4</v>
      </c>
      <c r="H6229" s="2" t="s">
        <v>671</v>
      </c>
    </row>
    <row r="6230" customFormat="false" ht="15" hidden="false" customHeight="false" outlineLevel="0" collapsed="false">
      <c r="A6230" s="2" t="s">
        <v>310</v>
      </c>
      <c r="B6230" s="2" t="s">
        <v>47</v>
      </c>
      <c r="C6230" s="2" t="s">
        <v>4087</v>
      </c>
      <c r="D6230" s="11" t="n">
        <v>48167</v>
      </c>
      <c r="E6230" s="31" t="n">
        <v>22.2</v>
      </c>
      <c r="F6230" s="31" t="n">
        <v>83.3</v>
      </c>
      <c r="G6230" s="31" t="n">
        <v>98.3</v>
      </c>
      <c r="H6230" s="2" t="s">
        <v>671</v>
      </c>
    </row>
    <row r="6231" customFormat="false" ht="15" hidden="false" customHeight="false" outlineLevel="0" collapsed="false">
      <c r="A6231" s="2" t="s">
        <v>220</v>
      </c>
      <c r="B6231" s="2" t="s">
        <v>4104</v>
      </c>
      <c r="C6231" s="2" t="s">
        <v>4085</v>
      </c>
      <c r="D6231" s="2"/>
      <c r="E6231" s="31" t="n">
        <v>94.6</v>
      </c>
      <c r="F6231" s="31" t="n">
        <v>25</v>
      </c>
      <c r="G6231" s="31" t="n">
        <v>20</v>
      </c>
      <c r="H6231" s="2" t="s">
        <v>668</v>
      </c>
    </row>
    <row r="6232" customFormat="false" ht="15" hidden="false" customHeight="false" outlineLevel="0" collapsed="false">
      <c r="A6232" s="2" t="s">
        <v>220</v>
      </c>
      <c r="B6232" s="2" t="s">
        <v>4104</v>
      </c>
      <c r="C6232" s="2" t="s">
        <v>4086</v>
      </c>
      <c r="D6232" s="2"/>
      <c r="E6232" s="31" t="n">
        <v>63.9</v>
      </c>
      <c r="F6232" s="31" t="n">
        <v>41</v>
      </c>
      <c r="G6232" s="31" t="n">
        <v>24.5</v>
      </c>
      <c r="H6232" s="2" t="s">
        <v>668</v>
      </c>
    </row>
    <row r="6233" customFormat="false" ht="15" hidden="false" customHeight="false" outlineLevel="0" collapsed="false">
      <c r="A6233" s="2" t="s">
        <v>220</v>
      </c>
      <c r="B6233" s="2" t="s">
        <v>4104</v>
      </c>
      <c r="C6233" s="2" t="s">
        <v>4087</v>
      </c>
      <c r="D6233" s="2"/>
      <c r="E6233" s="31" t="n">
        <v>68</v>
      </c>
      <c r="F6233" s="31" t="n">
        <v>37</v>
      </c>
      <c r="G6233" s="31" t="n">
        <v>35.6</v>
      </c>
      <c r="H6233" s="2" t="s">
        <v>671</v>
      </c>
    </row>
    <row r="6234" customFormat="false" ht="15" hidden="false" customHeight="false" outlineLevel="0" collapsed="false">
      <c r="A6234" s="2" t="s">
        <v>220</v>
      </c>
      <c r="B6234" s="2" t="s">
        <v>45</v>
      </c>
      <c r="C6234" s="2" t="s">
        <v>4085</v>
      </c>
      <c r="D6234" s="2"/>
      <c r="E6234" s="2"/>
      <c r="F6234" s="2"/>
      <c r="G6234" s="2"/>
      <c r="H6234" s="2" t="s">
        <v>668</v>
      </c>
    </row>
    <row r="6235" customFormat="false" ht="15" hidden="false" customHeight="false" outlineLevel="0" collapsed="false">
      <c r="A6235" s="2" t="s">
        <v>220</v>
      </c>
      <c r="B6235" s="2" t="s">
        <v>45</v>
      </c>
      <c r="C6235" s="2" t="s">
        <v>4086</v>
      </c>
      <c r="D6235" s="11" t="n">
        <v>78770</v>
      </c>
      <c r="E6235" s="31" t="n">
        <v>7.4</v>
      </c>
      <c r="F6235" s="31" t="n">
        <v>49.8</v>
      </c>
      <c r="G6235" s="2"/>
      <c r="H6235" s="2" t="s">
        <v>671</v>
      </c>
    </row>
    <row r="6236" customFormat="false" ht="15" hidden="false" customHeight="false" outlineLevel="0" collapsed="false">
      <c r="A6236" s="2" t="s">
        <v>220</v>
      </c>
      <c r="B6236" s="2" t="s">
        <v>45</v>
      </c>
      <c r="C6236" s="2" t="s">
        <v>4087</v>
      </c>
      <c r="D6236" s="11" t="n">
        <v>80067</v>
      </c>
      <c r="E6236" s="31" t="n">
        <v>8.1</v>
      </c>
      <c r="F6236" s="31" t="n">
        <v>17.1</v>
      </c>
      <c r="G6236" s="2"/>
      <c r="H6236" s="2" t="s">
        <v>671</v>
      </c>
    </row>
    <row r="6237" customFormat="false" ht="15" hidden="false" customHeight="false" outlineLevel="0" collapsed="false">
      <c r="A6237" s="2" t="s">
        <v>220</v>
      </c>
      <c r="B6237" s="2" t="s">
        <v>46</v>
      </c>
      <c r="C6237" s="2" t="s">
        <v>4085</v>
      </c>
      <c r="D6237" s="11" t="n">
        <v>161006</v>
      </c>
      <c r="E6237" s="31" t="n">
        <v>91.2</v>
      </c>
      <c r="F6237" s="31" t="n">
        <v>47.4</v>
      </c>
      <c r="G6237" s="31" t="n">
        <v>1.6</v>
      </c>
      <c r="H6237" s="2" t="s">
        <v>671</v>
      </c>
    </row>
    <row r="6238" customFormat="false" ht="15" hidden="false" customHeight="false" outlineLevel="0" collapsed="false">
      <c r="A6238" s="2" t="s">
        <v>220</v>
      </c>
      <c r="B6238" s="2" t="s">
        <v>46</v>
      </c>
      <c r="C6238" s="2" t="s">
        <v>4086</v>
      </c>
      <c r="D6238" s="11" t="n">
        <v>169140</v>
      </c>
      <c r="E6238" s="31" t="n">
        <v>87.4</v>
      </c>
      <c r="F6238" s="31" t="n">
        <v>72</v>
      </c>
      <c r="G6238" s="31" t="n">
        <v>23.4</v>
      </c>
      <c r="H6238" s="2" t="s">
        <v>668</v>
      </c>
    </row>
    <row r="6239" customFormat="false" ht="15" hidden="false" customHeight="false" outlineLevel="0" collapsed="false">
      <c r="A6239" s="2" t="s">
        <v>220</v>
      </c>
      <c r="B6239" s="2" t="s">
        <v>46</v>
      </c>
      <c r="C6239" s="2" t="s">
        <v>4087</v>
      </c>
      <c r="D6239" s="11" t="n">
        <v>170160</v>
      </c>
      <c r="E6239" s="31" t="n">
        <v>96.2</v>
      </c>
      <c r="F6239" s="31" t="n">
        <v>92.7</v>
      </c>
      <c r="G6239" s="31" t="n">
        <v>7.3</v>
      </c>
      <c r="H6239" s="2" t="s">
        <v>671</v>
      </c>
    </row>
    <row r="6240" customFormat="false" ht="15" hidden="false" customHeight="false" outlineLevel="0" collapsed="false">
      <c r="A6240" s="2" t="s">
        <v>220</v>
      </c>
      <c r="B6240" s="2" t="s">
        <v>47</v>
      </c>
      <c r="C6240" s="2" t="s">
        <v>4085</v>
      </c>
      <c r="D6240" s="11" t="n">
        <v>159991</v>
      </c>
      <c r="E6240" s="31" t="n">
        <v>97.9</v>
      </c>
      <c r="F6240" s="31" t="n">
        <v>2.5</v>
      </c>
      <c r="G6240" s="31" t="n">
        <v>38.3</v>
      </c>
      <c r="H6240" s="2" t="s">
        <v>671</v>
      </c>
    </row>
    <row r="6241" customFormat="false" ht="15" hidden="false" customHeight="false" outlineLevel="0" collapsed="false">
      <c r="A6241" s="2" t="s">
        <v>220</v>
      </c>
      <c r="B6241" s="2" t="s">
        <v>47</v>
      </c>
      <c r="C6241" s="2" t="s">
        <v>4086</v>
      </c>
      <c r="D6241" s="11" t="n">
        <v>152454</v>
      </c>
      <c r="E6241" s="31" t="n">
        <v>97</v>
      </c>
      <c r="F6241" s="31" t="n">
        <v>1.2</v>
      </c>
      <c r="G6241" s="31" t="n">
        <v>25.6</v>
      </c>
      <c r="H6241" s="2" t="s">
        <v>671</v>
      </c>
    </row>
    <row r="6242" customFormat="false" ht="15" hidden="false" customHeight="false" outlineLevel="0" collapsed="false">
      <c r="A6242" s="2" t="s">
        <v>220</v>
      </c>
      <c r="B6242" s="2" t="s">
        <v>47</v>
      </c>
      <c r="C6242" s="2" t="s">
        <v>4087</v>
      </c>
      <c r="D6242" s="11" t="n">
        <v>151716</v>
      </c>
      <c r="E6242" s="31" t="n">
        <v>99.6</v>
      </c>
      <c r="F6242" s="31" t="n">
        <v>1.2</v>
      </c>
      <c r="G6242" s="31" t="n">
        <v>64</v>
      </c>
      <c r="H6242" s="2" t="s">
        <v>671</v>
      </c>
    </row>
    <row r="6243" customFormat="false" ht="15" hidden="false" customHeight="false" outlineLevel="0" collapsed="false">
      <c r="A6243" s="2" t="s">
        <v>3078</v>
      </c>
      <c r="B6243" s="2" t="s">
        <v>4104</v>
      </c>
      <c r="C6243" s="2" t="s">
        <v>4087</v>
      </c>
      <c r="D6243" s="2"/>
      <c r="E6243" s="2"/>
      <c r="F6243" s="2"/>
      <c r="G6243" s="2"/>
      <c r="H6243" s="2" t="s">
        <v>668</v>
      </c>
    </row>
    <row r="6244" customFormat="false" ht="15" hidden="false" customHeight="false" outlineLevel="0" collapsed="false">
      <c r="A6244" s="2" t="s">
        <v>3078</v>
      </c>
      <c r="B6244" s="2" t="s">
        <v>46</v>
      </c>
      <c r="C6244" s="2" t="s">
        <v>4087</v>
      </c>
      <c r="D6244" s="2"/>
      <c r="E6244" s="2"/>
      <c r="F6244" s="2"/>
      <c r="G6244" s="2"/>
      <c r="H6244" s="2" t="s">
        <v>668</v>
      </c>
    </row>
    <row r="6245" customFormat="false" ht="15" hidden="false" customHeight="false" outlineLevel="0" collapsed="false">
      <c r="A6245" s="2" t="s">
        <v>2488</v>
      </c>
      <c r="B6245" s="2" t="s">
        <v>4104</v>
      </c>
      <c r="C6245" s="2" t="s">
        <v>4085</v>
      </c>
      <c r="D6245" s="2"/>
      <c r="E6245" s="31" t="n">
        <v>46.8</v>
      </c>
      <c r="F6245" s="31" t="n">
        <v>25.9</v>
      </c>
      <c r="G6245" s="31" t="n">
        <v>77.8</v>
      </c>
      <c r="H6245" s="2" t="s">
        <v>668</v>
      </c>
    </row>
    <row r="6246" customFormat="false" ht="15" hidden="false" customHeight="false" outlineLevel="0" collapsed="false">
      <c r="A6246" s="2" t="s">
        <v>2488</v>
      </c>
      <c r="B6246" s="2" t="s">
        <v>4104</v>
      </c>
      <c r="C6246" s="2" t="s">
        <v>4086</v>
      </c>
      <c r="D6246" s="2"/>
      <c r="E6246" s="31" t="n">
        <v>45.4</v>
      </c>
      <c r="F6246" s="31" t="n">
        <v>43.2</v>
      </c>
      <c r="G6246" s="31" t="n">
        <v>44.6</v>
      </c>
      <c r="H6246" s="2" t="s">
        <v>668</v>
      </c>
    </row>
    <row r="6247" customFormat="false" ht="15" hidden="false" customHeight="false" outlineLevel="0" collapsed="false">
      <c r="A6247" s="2" t="s">
        <v>2488</v>
      </c>
      <c r="B6247" s="2" t="s">
        <v>4104</v>
      </c>
      <c r="C6247" s="2" t="s">
        <v>4087</v>
      </c>
      <c r="D6247" s="2"/>
      <c r="E6247" s="31" t="n">
        <v>45.4</v>
      </c>
      <c r="F6247" s="31" t="n">
        <v>31.7</v>
      </c>
      <c r="G6247" s="31" t="n">
        <v>39.6</v>
      </c>
      <c r="H6247" s="2" t="s">
        <v>668</v>
      </c>
    </row>
    <row r="6248" customFormat="false" ht="15" hidden="false" customHeight="false" outlineLevel="0" collapsed="false">
      <c r="A6248" s="2" t="s">
        <v>2488</v>
      </c>
      <c r="B6248" s="2" t="s">
        <v>45</v>
      </c>
      <c r="C6248" s="2" t="s">
        <v>4085</v>
      </c>
      <c r="D6248" s="11" t="n">
        <v>10517</v>
      </c>
      <c r="E6248" s="31" t="n">
        <v>79.5</v>
      </c>
      <c r="F6248" s="31" t="n">
        <v>31.8</v>
      </c>
      <c r="G6248" s="31" t="n">
        <v>85.1</v>
      </c>
      <c r="H6248" s="2" t="s">
        <v>671</v>
      </c>
    </row>
    <row r="6249" customFormat="false" ht="15" hidden="false" customHeight="false" outlineLevel="0" collapsed="false">
      <c r="A6249" s="2" t="s">
        <v>2488</v>
      </c>
      <c r="B6249" s="2" t="s">
        <v>45</v>
      </c>
      <c r="C6249" s="2" t="s">
        <v>4086</v>
      </c>
      <c r="D6249" s="11" t="n">
        <v>10563</v>
      </c>
      <c r="E6249" s="31" t="n">
        <v>80.3</v>
      </c>
      <c r="F6249" s="2"/>
      <c r="G6249" s="31" t="n">
        <v>35.2</v>
      </c>
      <c r="H6249" s="2" t="s">
        <v>668</v>
      </c>
    </row>
    <row r="6250" customFormat="false" ht="15" hidden="false" customHeight="false" outlineLevel="0" collapsed="false">
      <c r="A6250" s="2" t="s">
        <v>2488</v>
      </c>
      <c r="B6250" s="2" t="s">
        <v>45</v>
      </c>
      <c r="C6250" s="2" t="s">
        <v>4087</v>
      </c>
      <c r="D6250" s="11" t="n">
        <v>10826</v>
      </c>
      <c r="E6250" s="31" t="n">
        <v>70.1</v>
      </c>
      <c r="F6250" s="31" t="n">
        <v>12.7</v>
      </c>
      <c r="G6250" s="31" t="n">
        <v>9.1</v>
      </c>
      <c r="H6250" s="2" t="s">
        <v>668</v>
      </c>
    </row>
    <row r="6251" customFormat="false" ht="15" hidden="false" customHeight="false" outlineLevel="0" collapsed="false">
      <c r="A6251" s="2" t="s">
        <v>2488</v>
      </c>
      <c r="B6251" s="2" t="s">
        <v>46</v>
      </c>
      <c r="C6251" s="2" t="s">
        <v>4085</v>
      </c>
      <c r="D6251" s="11" t="n">
        <v>28790</v>
      </c>
      <c r="E6251" s="31" t="n">
        <v>43.8</v>
      </c>
      <c r="F6251" s="31" t="n">
        <v>11.2</v>
      </c>
      <c r="G6251" s="2"/>
      <c r="H6251" s="2" t="s">
        <v>668</v>
      </c>
    </row>
    <row r="6252" customFormat="false" ht="15" hidden="false" customHeight="false" outlineLevel="0" collapsed="false">
      <c r="A6252" s="2" t="s">
        <v>2488</v>
      </c>
      <c r="B6252" s="2" t="s">
        <v>46</v>
      </c>
      <c r="C6252" s="2" t="s">
        <v>4086</v>
      </c>
      <c r="D6252" s="11" t="n">
        <v>28430</v>
      </c>
      <c r="E6252" s="31" t="n">
        <v>42.2</v>
      </c>
      <c r="F6252" s="31" t="n">
        <v>26.9</v>
      </c>
      <c r="G6252" s="31" t="n">
        <v>8.8</v>
      </c>
      <c r="H6252" s="2" t="s">
        <v>671</v>
      </c>
    </row>
    <row r="6253" customFormat="false" ht="15" hidden="false" customHeight="false" outlineLevel="0" collapsed="false">
      <c r="A6253" s="2" t="s">
        <v>2488</v>
      </c>
      <c r="B6253" s="2" t="s">
        <v>46</v>
      </c>
      <c r="C6253" s="2" t="s">
        <v>4087</v>
      </c>
      <c r="D6253" s="11" t="n">
        <v>28710</v>
      </c>
      <c r="E6253" s="31" t="n">
        <v>38.5</v>
      </c>
      <c r="F6253" s="2"/>
      <c r="G6253" s="31" t="n">
        <v>19.7</v>
      </c>
      <c r="H6253" s="2" t="s">
        <v>668</v>
      </c>
    </row>
    <row r="6254" customFormat="false" ht="15" hidden="false" customHeight="false" outlineLevel="0" collapsed="false">
      <c r="A6254" s="2" t="s">
        <v>2488</v>
      </c>
      <c r="B6254" s="2" t="s">
        <v>47</v>
      </c>
      <c r="C6254" s="2" t="s">
        <v>4085</v>
      </c>
      <c r="D6254" s="11" t="n">
        <v>44142</v>
      </c>
      <c r="E6254" s="31" t="n">
        <v>17</v>
      </c>
      <c r="F6254" s="31" t="n">
        <v>34.6</v>
      </c>
      <c r="G6254" s="31" t="n">
        <v>70.4</v>
      </c>
      <c r="H6254" s="2" t="s">
        <v>671</v>
      </c>
    </row>
    <row r="6255" customFormat="false" ht="15" hidden="false" customHeight="false" outlineLevel="0" collapsed="false">
      <c r="A6255" s="2" t="s">
        <v>2488</v>
      </c>
      <c r="B6255" s="2" t="s">
        <v>47</v>
      </c>
      <c r="C6255" s="2" t="s">
        <v>4086</v>
      </c>
      <c r="D6255" s="11" t="n">
        <v>44651</v>
      </c>
      <c r="E6255" s="31" t="n">
        <v>13.8</v>
      </c>
      <c r="F6255" s="31" t="n">
        <v>59.4</v>
      </c>
      <c r="G6255" s="31" t="n">
        <v>89.8</v>
      </c>
      <c r="H6255" s="2" t="s">
        <v>671</v>
      </c>
    </row>
    <row r="6256" customFormat="false" ht="15" hidden="false" customHeight="false" outlineLevel="0" collapsed="false">
      <c r="A6256" s="2" t="s">
        <v>2488</v>
      </c>
      <c r="B6256" s="2" t="s">
        <v>47</v>
      </c>
      <c r="C6256" s="2" t="s">
        <v>4087</v>
      </c>
      <c r="D6256" s="11" t="n">
        <v>46715</v>
      </c>
      <c r="E6256" s="31" t="n">
        <v>27.6</v>
      </c>
      <c r="F6256" s="31" t="n">
        <v>50.7</v>
      </c>
      <c r="G6256" s="31" t="n">
        <v>89.9</v>
      </c>
      <c r="H6256" s="2" t="s">
        <v>671</v>
      </c>
    </row>
    <row r="6257" customFormat="false" ht="15" hidden="false" customHeight="false" outlineLevel="0" collapsed="false">
      <c r="A6257" s="2" t="s">
        <v>2301</v>
      </c>
      <c r="B6257" s="2" t="s">
        <v>4104</v>
      </c>
      <c r="C6257" s="2" t="s">
        <v>4085</v>
      </c>
      <c r="D6257" s="2"/>
      <c r="E6257" s="31" t="n">
        <v>33.3</v>
      </c>
      <c r="F6257" s="31" t="n">
        <v>20.8</v>
      </c>
      <c r="G6257" s="31" t="n">
        <v>40.3</v>
      </c>
      <c r="H6257" s="2" t="s">
        <v>671</v>
      </c>
    </row>
    <row r="6258" customFormat="false" ht="15" hidden="false" customHeight="false" outlineLevel="0" collapsed="false">
      <c r="A6258" s="2" t="s">
        <v>2301</v>
      </c>
      <c r="B6258" s="2" t="s">
        <v>4104</v>
      </c>
      <c r="C6258" s="2" t="s">
        <v>4086</v>
      </c>
      <c r="D6258" s="2"/>
      <c r="E6258" s="31" t="n">
        <v>44.7</v>
      </c>
      <c r="F6258" s="31" t="n">
        <v>32.5</v>
      </c>
      <c r="G6258" s="31" t="n">
        <v>18.1</v>
      </c>
      <c r="H6258" s="2" t="s">
        <v>671</v>
      </c>
    </row>
    <row r="6259" customFormat="false" ht="15" hidden="false" customHeight="false" outlineLevel="0" collapsed="false">
      <c r="A6259" s="2" t="s">
        <v>2301</v>
      </c>
      <c r="B6259" s="2" t="s">
        <v>4104</v>
      </c>
      <c r="C6259" s="2" t="s">
        <v>4087</v>
      </c>
      <c r="D6259" s="2"/>
      <c r="E6259" s="31" t="n">
        <v>52.1</v>
      </c>
      <c r="F6259" s="31" t="n">
        <v>59</v>
      </c>
      <c r="G6259" s="31" t="n">
        <v>15.4</v>
      </c>
      <c r="H6259" s="2" t="s">
        <v>668</v>
      </c>
    </row>
    <row r="6260" customFormat="false" ht="15" hidden="false" customHeight="false" outlineLevel="0" collapsed="false">
      <c r="A6260" s="2" t="s">
        <v>2301</v>
      </c>
      <c r="B6260" s="2" t="s">
        <v>45</v>
      </c>
      <c r="C6260" s="2" t="s">
        <v>4085</v>
      </c>
      <c r="D6260" s="11" t="n">
        <v>1140</v>
      </c>
      <c r="E6260" s="31" t="n">
        <v>4.3</v>
      </c>
      <c r="F6260" s="31" t="n">
        <v>1.6</v>
      </c>
      <c r="G6260" s="31" t="n">
        <v>0.9</v>
      </c>
      <c r="H6260" s="2" t="s">
        <v>671</v>
      </c>
    </row>
    <row r="6261" customFormat="false" ht="15" hidden="false" customHeight="false" outlineLevel="0" collapsed="false">
      <c r="A6261" s="2" t="s">
        <v>2301</v>
      </c>
      <c r="B6261" s="2" t="s">
        <v>45</v>
      </c>
      <c r="C6261" s="2" t="s">
        <v>4086</v>
      </c>
      <c r="D6261" s="11" t="n">
        <v>1100</v>
      </c>
      <c r="E6261" s="31" t="n">
        <v>11.3</v>
      </c>
      <c r="F6261" s="31" t="n">
        <v>29.6</v>
      </c>
      <c r="G6261" s="31" t="n">
        <v>1.3</v>
      </c>
      <c r="H6261" s="2" t="s">
        <v>671</v>
      </c>
    </row>
    <row r="6262" customFormat="false" ht="15" hidden="false" customHeight="false" outlineLevel="0" collapsed="false">
      <c r="A6262" s="2" t="s">
        <v>2301</v>
      </c>
      <c r="B6262" s="2" t="s">
        <v>45</v>
      </c>
      <c r="C6262" s="2" t="s">
        <v>4087</v>
      </c>
      <c r="D6262" s="11" t="n">
        <v>1120</v>
      </c>
      <c r="E6262" s="2"/>
      <c r="F6262" s="2"/>
      <c r="G6262" s="2"/>
      <c r="H6262" s="2" t="s">
        <v>668</v>
      </c>
    </row>
    <row r="6263" customFormat="false" ht="15" hidden="false" customHeight="false" outlineLevel="0" collapsed="false">
      <c r="A6263" s="2" t="s">
        <v>2301</v>
      </c>
      <c r="B6263" s="2" t="s">
        <v>47</v>
      </c>
      <c r="C6263" s="2" t="s">
        <v>4085</v>
      </c>
      <c r="D6263" s="11" t="n">
        <v>196495</v>
      </c>
      <c r="E6263" s="31" t="n">
        <v>62.3</v>
      </c>
      <c r="F6263" s="31" t="n">
        <v>40.1</v>
      </c>
      <c r="G6263" s="31" t="n">
        <v>79.7</v>
      </c>
      <c r="H6263" s="2" t="s">
        <v>671</v>
      </c>
    </row>
    <row r="6264" customFormat="false" ht="15" hidden="false" customHeight="false" outlineLevel="0" collapsed="false">
      <c r="A6264" s="2" t="s">
        <v>2301</v>
      </c>
      <c r="B6264" s="2" t="s">
        <v>47</v>
      </c>
      <c r="C6264" s="2" t="s">
        <v>4086</v>
      </c>
      <c r="D6264" s="11" t="n">
        <v>192880</v>
      </c>
      <c r="E6264" s="31" t="n">
        <v>78.1</v>
      </c>
      <c r="F6264" s="31" t="n">
        <v>35.4</v>
      </c>
      <c r="G6264" s="31" t="n">
        <v>34.9</v>
      </c>
      <c r="H6264" s="2" t="s">
        <v>671</v>
      </c>
    </row>
    <row r="6265" customFormat="false" ht="15" hidden="false" customHeight="false" outlineLevel="0" collapsed="false">
      <c r="A6265" s="2" t="s">
        <v>2301</v>
      </c>
      <c r="B6265" s="2" t="s">
        <v>47</v>
      </c>
      <c r="C6265" s="2" t="s">
        <v>4087</v>
      </c>
      <c r="D6265" s="11" t="n">
        <v>201272</v>
      </c>
      <c r="E6265" s="31" t="n">
        <v>52.1</v>
      </c>
      <c r="F6265" s="31" t="n">
        <v>59</v>
      </c>
      <c r="G6265" s="31" t="n">
        <v>15.4</v>
      </c>
      <c r="H6265" s="2" t="s">
        <v>671</v>
      </c>
    </row>
    <row r="6266" customFormat="false" ht="15" hidden="false" customHeight="false" outlineLevel="0" collapsed="false">
      <c r="A6266" s="2" t="s">
        <v>932</v>
      </c>
      <c r="B6266" s="2" t="s">
        <v>4104</v>
      </c>
      <c r="C6266" s="2" t="s">
        <v>4085</v>
      </c>
      <c r="D6266" s="2"/>
      <c r="E6266" s="31" t="n">
        <v>43.7</v>
      </c>
      <c r="F6266" s="31" t="n">
        <v>16.2</v>
      </c>
      <c r="G6266" s="31" t="n">
        <v>69.4</v>
      </c>
      <c r="H6266" s="2" t="s">
        <v>668</v>
      </c>
    </row>
    <row r="6267" customFormat="false" ht="15" hidden="false" customHeight="false" outlineLevel="0" collapsed="false">
      <c r="A6267" s="2" t="s">
        <v>932</v>
      </c>
      <c r="B6267" s="2" t="s">
        <v>4104</v>
      </c>
      <c r="C6267" s="2" t="s">
        <v>4087</v>
      </c>
      <c r="D6267" s="2"/>
      <c r="E6267" s="31" t="n">
        <v>40</v>
      </c>
      <c r="F6267" s="31" t="n">
        <v>12.2</v>
      </c>
      <c r="G6267" s="31" t="n">
        <v>73.7</v>
      </c>
      <c r="H6267" s="2" t="s">
        <v>668</v>
      </c>
    </row>
    <row r="6268" customFormat="false" ht="15" hidden="false" customHeight="false" outlineLevel="0" collapsed="false">
      <c r="A6268" s="2" t="s">
        <v>932</v>
      </c>
      <c r="B6268" s="2" t="s">
        <v>45</v>
      </c>
      <c r="C6268" s="2" t="s">
        <v>4085</v>
      </c>
      <c r="D6268" s="11" t="n">
        <v>4286</v>
      </c>
      <c r="E6268" s="31" t="n">
        <v>77.5</v>
      </c>
      <c r="F6268" s="31" t="n">
        <v>3.2</v>
      </c>
      <c r="G6268" s="31" t="n">
        <v>53.2</v>
      </c>
      <c r="H6268" s="2" t="s">
        <v>671</v>
      </c>
    </row>
    <row r="6269" customFormat="false" ht="15" hidden="false" customHeight="false" outlineLevel="0" collapsed="false">
      <c r="A6269" s="2" t="s">
        <v>932</v>
      </c>
      <c r="B6269" s="2" t="s">
        <v>45</v>
      </c>
      <c r="C6269" s="2" t="s">
        <v>4087</v>
      </c>
      <c r="D6269" s="11" t="n">
        <v>4258</v>
      </c>
      <c r="E6269" s="31" t="n">
        <v>64.5</v>
      </c>
      <c r="F6269" s="31" t="n">
        <v>13</v>
      </c>
      <c r="G6269" s="31" t="n">
        <v>48.6</v>
      </c>
      <c r="H6269" s="2" t="s">
        <v>671</v>
      </c>
    </row>
    <row r="6270" customFormat="false" ht="15" hidden="false" customHeight="false" outlineLevel="0" collapsed="false">
      <c r="A6270" s="2" t="s">
        <v>932</v>
      </c>
      <c r="B6270" s="2" t="s">
        <v>46</v>
      </c>
      <c r="C6270" s="2" t="s">
        <v>4085</v>
      </c>
      <c r="D6270" s="11" t="n">
        <v>11067</v>
      </c>
      <c r="E6270" s="31" t="n">
        <v>45.4</v>
      </c>
      <c r="F6270" s="31" t="n">
        <v>29.2</v>
      </c>
      <c r="G6270" s="2"/>
      <c r="H6270" s="2" t="s">
        <v>668</v>
      </c>
    </row>
    <row r="6271" customFormat="false" ht="15" hidden="false" customHeight="false" outlineLevel="0" collapsed="false">
      <c r="A6271" s="2" t="s">
        <v>932</v>
      </c>
      <c r="B6271" s="2" t="s">
        <v>46</v>
      </c>
      <c r="C6271" s="2" t="s">
        <v>4087</v>
      </c>
      <c r="D6271" s="11" t="n">
        <v>11160</v>
      </c>
      <c r="E6271" s="31" t="n">
        <v>50.1</v>
      </c>
      <c r="F6271" s="2"/>
      <c r="G6271" s="31" t="n">
        <v>80.3</v>
      </c>
      <c r="H6271" s="2" t="s">
        <v>668</v>
      </c>
    </row>
    <row r="6272" customFormat="false" ht="15" hidden="false" customHeight="false" outlineLevel="0" collapsed="false">
      <c r="A6272" s="2" t="s">
        <v>932</v>
      </c>
      <c r="B6272" s="2" t="s">
        <v>47</v>
      </c>
      <c r="C6272" s="2" t="s">
        <v>4085</v>
      </c>
      <c r="D6272" s="11" t="n">
        <v>21229</v>
      </c>
      <c r="E6272" s="31" t="n">
        <v>8.1</v>
      </c>
      <c r="F6272" s="2"/>
      <c r="G6272" s="31" t="n">
        <v>85.7</v>
      </c>
      <c r="H6272" s="2" t="s">
        <v>668</v>
      </c>
    </row>
    <row r="6273" customFormat="false" ht="15" hidden="false" customHeight="false" outlineLevel="0" collapsed="false">
      <c r="A6273" s="2" t="s">
        <v>932</v>
      </c>
      <c r="B6273" s="2" t="s">
        <v>47</v>
      </c>
      <c r="C6273" s="2" t="s">
        <v>4087</v>
      </c>
      <c r="D6273" s="11" t="n">
        <v>21273</v>
      </c>
      <c r="E6273" s="31" t="n">
        <v>5.3</v>
      </c>
      <c r="F6273" s="31" t="n">
        <v>11.3</v>
      </c>
      <c r="G6273" s="31" t="n">
        <v>92.2</v>
      </c>
      <c r="H6273" s="2" t="s">
        <v>671</v>
      </c>
    </row>
    <row r="6274" customFormat="false" ht="15" hidden="false" customHeight="false" outlineLevel="0" collapsed="false">
      <c r="A6274" s="2" t="s">
        <v>276</v>
      </c>
      <c r="B6274" s="2" t="s">
        <v>4104</v>
      </c>
      <c r="C6274" s="2" t="s">
        <v>4085</v>
      </c>
      <c r="D6274" s="2"/>
      <c r="E6274" s="31" t="n">
        <v>54.8</v>
      </c>
      <c r="F6274" s="31" t="n">
        <v>77.2</v>
      </c>
      <c r="G6274" s="31" t="n">
        <v>41.8</v>
      </c>
      <c r="H6274" s="2" t="s">
        <v>668</v>
      </c>
    </row>
    <row r="6275" customFormat="false" ht="15" hidden="false" customHeight="false" outlineLevel="0" collapsed="false">
      <c r="A6275" s="2" t="s">
        <v>276</v>
      </c>
      <c r="B6275" s="2" t="s">
        <v>4104</v>
      </c>
      <c r="C6275" s="2" t="s">
        <v>4086</v>
      </c>
      <c r="D6275" s="2"/>
      <c r="E6275" s="31" t="n">
        <v>55.4</v>
      </c>
      <c r="F6275" s="31" t="n">
        <v>66</v>
      </c>
      <c r="G6275" s="31" t="n">
        <v>92.3</v>
      </c>
      <c r="H6275" s="2" t="s">
        <v>668</v>
      </c>
    </row>
    <row r="6276" customFormat="false" ht="15" hidden="false" customHeight="false" outlineLevel="0" collapsed="false">
      <c r="A6276" s="2" t="s">
        <v>276</v>
      </c>
      <c r="B6276" s="2" t="s">
        <v>4104</v>
      </c>
      <c r="C6276" s="2" t="s">
        <v>4087</v>
      </c>
      <c r="D6276" s="2"/>
      <c r="E6276" s="31" t="n">
        <v>61.2</v>
      </c>
      <c r="F6276" s="31" t="n">
        <v>71.2</v>
      </c>
      <c r="G6276" s="31" t="n">
        <v>45.8</v>
      </c>
      <c r="H6276" s="2" t="s">
        <v>671</v>
      </c>
    </row>
    <row r="6277" customFormat="false" ht="15" hidden="false" customHeight="false" outlineLevel="0" collapsed="false">
      <c r="A6277" s="2" t="s">
        <v>276</v>
      </c>
      <c r="B6277" s="2" t="s">
        <v>45</v>
      </c>
      <c r="C6277" s="2" t="s">
        <v>4085</v>
      </c>
      <c r="D6277" s="11" t="n">
        <v>330830</v>
      </c>
      <c r="E6277" s="31" t="n">
        <v>10.6</v>
      </c>
      <c r="F6277" s="31" t="n">
        <v>91.1</v>
      </c>
      <c r="G6277" s="2"/>
      <c r="H6277" s="2" t="s">
        <v>668</v>
      </c>
    </row>
    <row r="6278" customFormat="false" ht="15" hidden="false" customHeight="false" outlineLevel="0" collapsed="false">
      <c r="A6278" s="2" t="s">
        <v>276</v>
      </c>
      <c r="B6278" s="2" t="s">
        <v>45</v>
      </c>
      <c r="C6278" s="2" t="s">
        <v>4086</v>
      </c>
      <c r="D6278" s="11" t="n">
        <v>350990</v>
      </c>
      <c r="E6278" s="31" t="n">
        <v>11</v>
      </c>
      <c r="F6278" s="31" t="n">
        <v>90</v>
      </c>
      <c r="G6278" s="2"/>
      <c r="H6278" s="2" t="s">
        <v>668</v>
      </c>
    </row>
    <row r="6279" customFormat="false" ht="15" hidden="false" customHeight="false" outlineLevel="0" collapsed="false">
      <c r="A6279" s="2" t="s">
        <v>276</v>
      </c>
      <c r="B6279" s="2" t="s">
        <v>45</v>
      </c>
      <c r="C6279" s="2" t="s">
        <v>4087</v>
      </c>
      <c r="D6279" s="11" t="n">
        <v>372974</v>
      </c>
      <c r="E6279" s="31" t="n">
        <v>15.6</v>
      </c>
      <c r="F6279" s="31" t="n">
        <v>93.5</v>
      </c>
      <c r="G6279" s="31" t="n">
        <v>37.3</v>
      </c>
      <c r="H6279" s="2" t="s">
        <v>671</v>
      </c>
    </row>
    <row r="6280" customFormat="false" ht="15" hidden="false" customHeight="false" outlineLevel="0" collapsed="false">
      <c r="A6280" s="2" t="s">
        <v>276</v>
      </c>
      <c r="B6280" s="2" t="s">
        <v>46</v>
      </c>
      <c r="C6280" s="2" t="s">
        <v>4085</v>
      </c>
      <c r="D6280" s="11" t="n">
        <v>26450</v>
      </c>
      <c r="E6280" s="2"/>
      <c r="F6280" s="31" t="n">
        <v>63.3</v>
      </c>
      <c r="G6280" s="31" t="n">
        <v>7.5</v>
      </c>
      <c r="H6280" s="2" t="s">
        <v>668</v>
      </c>
    </row>
    <row r="6281" customFormat="false" ht="15" hidden="false" customHeight="false" outlineLevel="0" collapsed="false">
      <c r="A6281" s="2" t="s">
        <v>276</v>
      </c>
      <c r="B6281" s="2" t="s">
        <v>46</v>
      </c>
      <c r="C6281" s="2" t="s">
        <v>4086</v>
      </c>
      <c r="D6281" s="2"/>
      <c r="E6281" s="2"/>
      <c r="F6281" s="2"/>
      <c r="G6281" s="2"/>
      <c r="H6281" s="2" t="s">
        <v>668</v>
      </c>
    </row>
    <row r="6282" customFormat="false" ht="15" hidden="false" customHeight="false" outlineLevel="0" collapsed="false">
      <c r="A6282" s="2" t="s">
        <v>276</v>
      </c>
      <c r="B6282" s="2" t="s">
        <v>46</v>
      </c>
      <c r="C6282" s="2" t="s">
        <v>4087</v>
      </c>
      <c r="D6282" s="11" t="n">
        <v>29110</v>
      </c>
      <c r="E6282" s="31" t="n">
        <v>70.4</v>
      </c>
      <c r="F6282" s="31" t="n">
        <v>58.1</v>
      </c>
      <c r="G6282" s="31" t="n">
        <v>33.9</v>
      </c>
      <c r="H6282" s="2" t="s">
        <v>671</v>
      </c>
    </row>
    <row r="6283" customFormat="false" ht="15" hidden="false" customHeight="false" outlineLevel="0" collapsed="false">
      <c r="A6283" s="2" t="s">
        <v>276</v>
      </c>
      <c r="B6283" s="2" t="s">
        <v>47</v>
      </c>
      <c r="C6283" s="2" t="s">
        <v>4085</v>
      </c>
      <c r="D6283" s="11" t="n">
        <v>21800</v>
      </c>
      <c r="E6283" s="31" t="n">
        <v>99.1</v>
      </c>
      <c r="F6283" s="2"/>
      <c r="G6283" s="31" t="n">
        <v>76.2</v>
      </c>
      <c r="H6283" s="2" t="s">
        <v>668</v>
      </c>
    </row>
    <row r="6284" customFormat="false" ht="15" hidden="false" customHeight="false" outlineLevel="0" collapsed="false">
      <c r="A6284" s="2" t="s">
        <v>276</v>
      </c>
      <c r="B6284" s="2" t="s">
        <v>47</v>
      </c>
      <c r="C6284" s="2" t="s">
        <v>4086</v>
      </c>
      <c r="D6284" s="11" t="n">
        <v>22258</v>
      </c>
      <c r="E6284" s="31" t="n">
        <v>99.8</v>
      </c>
      <c r="F6284" s="31" t="n">
        <v>41.9</v>
      </c>
      <c r="G6284" s="31" t="n">
        <v>92.3</v>
      </c>
      <c r="H6284" s="2" t="s">
        <v>671</v>
      </c>
    </row>
    <row r="6285" customFormat="false" ht="15" hidden="false" customHeight="false" outlineLevel="0" collapsed="false">
      <c r="A6285" s="2" t="s">
        <v>276</v>
      </c>
      <c r="B6285" s="2" t="s">
        <v>47</v>
      </c>
      <c r="C6285" s="2" t="s">
        <v>4087</v>
      </c>
      <c r="D6285" s="11" t="n">
        <v>23373</v>
      </c>
      <c r="E6285" s="31" t="n">
        <v>97.7</v>
      </c>
      <c r="F6285" s="31" t="n">
        <v>62.1</v>
      </c>
      <c r="G6285" s="31" t="n">
        <v>66.3</v>
      </c>
      <c r="H6285" s="2" t="s">
        <v>671</v>
      </c>
    </row>
    <row r="6286" customFormat="false" ht="15" hidden="false" customHeight="false" outlineLevel="0" collapsed="false">
      <c r="A6286" s="2" t="s">
        <v>462</v>
      </c>
      <c r="B6286" s="2" t="s">
        <v>4104</v>
      </c>
      <c r="C6286" s="2" t="s">
        <v>4087</v>
      </c>
      <c r="D6286" s="2"/>
      <c r="E6286" s="31" t="n">
        <v>40.4</v>
      </c>
      <c r="F6286" s="31" t="n">
        <v>71.6</v>
      </c>
      <c r="G6286" s="31" t="n">
        <v>41.4</v>
      </c>
      <c r="H6286" s="2" t="s">
        <v>671</v>
      </c>
    </row>
    <row r="6287" customFormat="false" ht="15" hidden="false" customHeight="false" outlineLevel="0" collapsed="false">
      <c r="A6287" s="2" t="s">
        <v>462</v>
      </c>
      <c r="B6287" s="2" t="s">
        <v>45</v>
      </c>
      <c r="C6287" s="2" t="s">
        <v>4087</v>
      </c>
      <c r="D6287" s="11" t="n">
        <v>22348</v>
      </c>
      <c r="E6287" s="31" t="n">
        <v>32.9</v>
      </c>
      <c r="F6287" s="31" t="n">
        <v>63.5</v>
      </c>
      <c r="G6287" s="31" t="n">
        <v>21.8</v>
      </c>
      <c r="H6287" s="2" t="s">
        <v>671</v>
      </c>
    </row>
    <row r="6288" customFormat="false" ht="15" hidden="false" customHeight="false" outlineLevel="0" collapsed="false">
      <c r="A6288" s="2" t="s">
        <v>462</v>
      </c>
      <c r="B6288" s="2" t="s">
        <v>47</v>
      </c>
      <c r="C6288" s="2" t="s">
        <v>4087</v>
      </c>
      <c r="D6288" s="11" t="n">
        <v>30904</v>
      </c>
      <c r="E6288" s="31" t="n">
        <v>47.9</v>
      </c>
      <c r="F6288" s="31" t="n">
        <v>79.8</v>
      </c>
      <c r="G6288" s="31" t="n">
        <v>61.1</v>
      </c>
      <c r="H6288" s="2" t="s">
        <v>671</v>
      </c>
    </row>
    <row r="6289" customFormat="false" ht="15" hidden="false" customHeight="false" outlineLevel="0" collapsed="false">
      <c r="A6289" s="2" t="s">
        <v>179</v>
      </c>
      <c r="B6289" s="2" t="s">
        <v>4104</v>
      </c>
      <c r="C6289" s="2" t="s">
        <v>4085</v>
      </c>
      <c r="D6289" s="2"/>
      <c r="E6289" s="31" t="n">
        <v>82.4</v>
      </c>
      <c r="F6289" s="31" t="n">
        <v>17.2</v>
      </c>
      <c r="G6289" s="31" t="n">
        <v>50.7</v>
      </c>
      <c r="H6289" s="2" t="s">
        <v>671</v>
      </c>
    </row>
    <row r="6290" customFormat="false" ht="15" hidden="false" customHeight="false" outlineLevel="0" collapsed="false">
      <c r="A6290" s="2" t="s">
        <v>179</v>
      </c>
      <c r="B6290" s="2" t="s">
        <v>4104</v>
      </c>
      <c r="C6290" s="2" t="s">
        <v>4086</v>
      </c>
      <c r="D6290" s="2"/>
      <c r="E6290" s="31" t="n">
        <v>80.1</v>
      </c>
      <c r="F6290" s="31" t="n">
        <v>28</v>
      </c>
      <c r="G6290" s="31" t="n">
        <v>51.2</v>
      </c>
      <c r="H6290" s="2" t="s">
        <v>671</v>
      </c>
    </row>
    <row r="6291" customFormat="false" ht="15" hidden="false" customHeight="false" outlineLevel="0" collapsed="false">
      <c r="A6291" s="2" t="s">
        <v>179</v>
      </c>
      <c r="B6291" s="2" t="s">
        <v>4104</v>
      </c>
      <c r="C6291" s="2" t="s">
        <v>4087</v>
      </c>
      <c r="D6291" s="2"/>
      <c r="E6291" s="31" t="n">
        <v>74.1</v>
      </c>
      <c r="F6291" s="31" t="n">
        <v>29.3</v>
      </c>
      <c r="G6291" s="31" t="n">
        <v>51.8</v>
      </c>
      <c r="H6291" s="2" t="s">
        <v>671</v>
      </c>
    </row>
    <row r="6292" customFormat="false" ht="15" hidden="false" customHeight="false" outlineLevel="0" collapsed="false">
      <c r="A6292" s="2" t="s">
        <v>179</v>
      </c>
      <c r="B6292" s="2" t="s">
        <v>45</v>
      </c>
      <c r="C6292" s="2" t="s">
        <v>4085</v>
      </c>
      <c r="D6292" s="11" t="n">
        <v>30550</v>
      </c>
      <c r="E6292" s="31" t="n">
        <v>84.9</v>
      </c>
      <c r="F6292" s="31" t="n">
        <v>6.9</v>
      </c>
      <c r="G6292" s="31" t="n">
        <v>20.5</v>
      </c>
      <c r="H6292" s="2" t="s">
        <v>671</v>
      </c>
    </row>
    <row r="6293" customFormat="false" ht="15" hidden="false" customHeight="false" outlineLevel="0" collapsed="false">
      <c r="A6293" s="2" t="s">
        <v>179</v>
      </c>
      <c r="B6293" s="2" t="s">
        <v>45</v>
      </c>
      <c r="C6293" s="2" t="s">
        <v>4086</v>
      </c>
      <c r="D6293" s="11" t="n">
        <v>31160</v>
      </c>
      <c r="E6293" s="31" t="n">
        <v>87.1</v>
      </c>
      <c r="F6293" s="31" t="n">
        <v>11.7</v>
      </c>
      <c r="G6293" s="31" t="n">
        <v>48.7</v>
      </c>
      <c r="H6293" s="2" t="s">
        <v>671</v>
      </c>
    </row>
    <row r="6294" customFormat="false" ht="15" hidden="false" customHeight="false" outlineLevel="0" collapsed="false">
      <c r="A6294" s="2" t="s">
        <v>179</v>
      </c>
      <c r="B6294" s="2" t="s">
        <v>45</v>
      </c>
      <c r="C6294" s="2" t="s">
        <v>4087</v>
      </c>
      <c r="D6294" s="11" t="n">
        <v>30971</v>
      </c>
      <c r="E6294" s="31" t="n">
        <v>80.3</v>
      </c>
      <c r="F6294" s="31" t="n">
        <v>9.5</v>
      </c>
      <c r="G6294" s="31" t="n">
        <v>41.2</v>
      </c>
      <c r="H6294" s="2" t="s">
        <v>671</v>
      </c>
    </row>
    <row r="6295" customFormat="false" ht="15" hidden="false" customHeight="false" outlineLevel="0" collapsed="false">
      <c r="A6295" s="2" t="s">
        <v>179</v>
      </c>
      <c r="B6295" s="2" t="s">
        <v>46</v>
      </c>
      <c r="C6295" s="2" t="s">
        <v>4085</v>
      </c>
      <c r="D6295" s="11" t="n">
        <v>6390</v>
      </c>
      <c r="E6295" s="31" t="n">
        <v>82.2</v>
      </c>
      <c r="F6295" s="31" t="n">
        <v>31.6</v>
      </c>
      <c r="G6295" s="31" t="n">
        <v>61.4</v>
      </c>
      <c r="H6295" s="2" t="s">
        <v>671</v>
      </c>
    </row>
    <row r="6296" customFormat="false" ht="15" hidden="false" customHeight="false" outlineLevel="0" collapsed="false">
      <c r="A6296" s="2" t="s">
        <v>179</v>
      </c>
      <c r="B6296" s="2" t="s">
        <v>46</v>
      </c>
      <c r="C6296" s="2" t="s">
        <v>4086</v>
      </c>
      <c r="D6296" s="11" t="n">
        <v>6970</v>
      </c>
      <c r="E6296" s="31" t="n">
        <v>97.2</v>
      </c>
      <c r="F6296" s="31" t="n">
        <v>24.5</v>
      </c>
      <c r="G6296" s="31" t="n">
        <v>19.4</v>
      </c>
      <c r="H6296" s="2" t="s">
        <v>671</v>
      </c>
    </row>
    <row r="6297" customFormat="false" ht="15" hidden="false" customHeight="false" outlineLevel="0" collapsed="false">
      <c r="A6297" s="2" t="s">
        <v>179</v>
      </c>
      <c r="B6297" s="2" t="s">
        <v>46</v>
      </c>
      <c r="C6297" s="2" t="s">
        <v>4087</v>
      </c>
      <c r="D6297" s="11" t="n">
        <v>7310</v>
      </c>
      <c r="E6297" s="31" t="n">
        <v>87.1</v>
      </c>
      <c r="F6297" s="31" t="n">
        <v>37.5</v>
      </c>
      <c r="G6297" s="31" t="n">
        <v>24.6</v>
      </c>
      <c r="H6297" s="2" t="s">
        <v>671</v>
      </c>
    </row>
    <row r="6298" customFormat="false" ht="15" hidden="false" customHeight="false" outlineLevel="0" collapsed="false">
      <c r="A6298" s="2" t="s">
        <v>179</v>
      </c>
      <c r="B6298" s="2" t="s">
        <v>47</v>
      </c>
      <c r="C6298" s="2" t="s">
        <v>4085</v>
      </c>
      <c r="D6298" s="11" t="n">
        <v>222410</v>
      </c>
      <c r="E6298" s="31" t="n">
        <v>80.1</v>
      </c>
      <c r="F6298" s="31" t="n">
        <v>13</v>
      </c>
      <c r="G6298" s="31" t="n">
        <v>70.2</v>
      </c>
      <c r="H6298" s="2" t="s">
        <v>671</v>
      </c>
    </row>
    <row r="6299" customFormat="false" ht="15" hidden="false" customHeight="false" outlineLevel="0" collapsed="false">
      <c r="A6299" s="2" t="s">
        <v>179</v>
      </c>
      <c r="B6299" s="2" t="s">
        <v>47</v>
      </c>
      <c r="C6299" s="2" t="s">
        <v>4086</v>
      </c>
      <c r="D6299" s="11" t="n">
        <v>222676</v>
      </c>
      <c r="E6299" s="31" t="n">
        <v>56.1</v>
      </c>
      <c r="F6299" s="31" t="n">
        <v>47.8</v>
      </c>
      <c r="G6299" s="31" t="n">
        <v>85.5</v>
      </c>
      <c r="H6299" s="2" t="s">
        <v>671</v>
      </c>
    </row>
    <row r="6300" customFormat="false" ht="15" hidden="false" customHeight="false" outlineLevel="0" collapsed="false">
      <c r="A6300" s="2" t="s">
        <v>179</v>
      </c>
      <c r="B6300" s="2" t="s">
        <v>47</v>
      </c>
      <c r="C6300" s="2" t="s">
        <v>4087</v>
      </c>
      <c r="D6300" s="11" t="n">
        <v>217983</v>
      </c>
      <c r="E6300" s="31" t="n">
        <v>54.9</v>
      </c>
      <c r="F6300" s="31" t="n">
        <v>41</v>
      </c>
      <c r="G6300" s="31" t="n">
        <v>89.7</v>
      </c>
      <c r="H6300" s="2" t="s">
        <v>671</v>
      </c>
    </row>
    <row r="6301" customFormat="false" ht="15" hidden="false" customHeight="false" outlineLevel="0" collapsed="false">
      <c r="A6301" s="2" t="s">
        <v>1584</v>
      </c>
      <c r="B6301" s="2" t="s">
        <v>4104</v>
      </c>
      <c r="C6301" s="2" t="s">
        <v>4085</v>
      </c>
      <c r="D6301" s="2"/>
      <c r="E6301" s="31" t="n">
        <v>41.6</v>
      </c>
      <c r="F6301" s="31" t="n">
        <v>91.4</v>
      </c>
      <c r="G6301" s="31" t="n">
        <v>51.2</v>
      </c>
      <c r="H6301" s="2" t="s">
        <v>668</v>
      </c>
    </row>
    <row r="6302" customFormat="false" ht="15" hidden="false" customHeight="false" outlineLevel="0" collapsed="false">
      <c r="A6302" s="2" t="s">
        <v>1584</v>
      </c>
      <c r="B6302" s="2" t="s">
        <v>4104</v>
      </c>
      <c r="C6302" s="2" t="s">
        <v>4086</v>
      </c>
      <c r="D6302" s="2"/>
      <c r="E6302" s="31" t="n">
        <v>46.8</v>
      </c>
      <c r="F6302" s="31" t="n">
        <v>63.5</v>
      </c>
      <c r="G6302" s="31" t="n">
        <v>31.2</v>
      </c>
      <c r="H6302" s="2" t="s">
        <v>668</v>
      </c>
    </row>
    <row r="6303" customFormat="false" ht="15" hidden="false" customHeight="false" outlineLevel="0" collapsed="false">
      <c r="A6303" s="2" t="s">
        <v>1584</v>
      </c>
      <c r="B6303" s="2" t="s">
        <v>4104</v>
      </c>
      <c r="C6303" s="2" t="s">
        <v>4087</v>
      </c>
      <c r="D6303" s="2"/>
      <c r="E6303" s="31" t="n">
        <v>53.2</v>
      </c>
      <c r="F6303" s="31" t="n">
        <v>77.8</v>
      </c>
      <c r="G6303" s="31" t="n">
        <v>64.8</v>
      </c>
      <c r="H6303" s="2" t="s">
        <v>668</v>
      </c>
    </row>
    <row r="6304" customFormat="false" ht="15" hidden="false" customHeight="false" outlineLevel="0" collapsed="false">
      <c r="A6304" s="2" t="s">
        <v>1584</v>
      </c>
      <c r="B6304" s="2" t="s">
        <v>45</v>
      </c>
      <c r="C6304" s="2" t="s">
        <v>4085</v>
      </c>
      <c r="D6304" s="11" t="n">
        <v>3110</v>
      </c>
      <c r="E6304" s="31" t="n">
        <v>39.5</v>
      </c>
      <c r="F6304" s="2"/>
      <c r="G6304" s="31" t="n">
        <v>24.1</v>
      </c>
      <c r="H6304" s="2" t="s">
        <v>668</v>
      </c>
    </row>
    <row r="6305" customFormat="false" ht="15" hidden="false" customHeight="false" outlineLevel="0" collapsed="false">
      <c r="A6305" s="2" t="s">
        <v>1584</v>
      </c>
      <c r="B6305" s="2" t="s">
        <v>45</v>
      </c>
      <c r="C6305" s="2" t="s">
        <v>4086</v>
      </c>
      <c r="D6305" s="11" t="n">
        <v>3207</v>
      </c>
      <c r="E6305" s="31" t="n">
        <v>36.3</v>
      </c>
      <c r="F6305" s="31" t="n">
        <v>47.9</v>
      </c>
      <c r="G6305" s="31" t="n">
        <v>31.2</v>
      </c>
      <c r="H6305" s="2" t="s">
        <v>671</v>
      </c>
    </row>
    <row r="6306" customFormat="false" ht="15" hidden="false" customHeight="false" outlineLevel="0" collapsed="false">
      <c r="A6306" s="2" t="s">
        <v>1584</v>
      </c>
      <c r="B6306" s="2" t="s">
        <v>45</v>
      </c>
      <c r="C6306" s="2" t="s">
        <v>4087</v>
      </c>
      <c r="D6306" s="2"/>
      <c r="E6306" s="2"/>
      <c r="F6306" s="2"/>
      <c r="G6306" s="2"/>
      <c r="H6306" s="2" t="s">
        <v>668</v>
      </c>
    </row>
    <row r="6307" customFormat="false" ht="15" hidden="false" customHeight="false" outlineLevel="0" collapsed="false">
      <c r="A6307" s="2" t="s">
        <v>1584</v>
      </c>
      <c r="B6307" s="2" t="s">
        <v>46</v>
      </c>
      <c r="C6307" s="2" t="s">
        <v>4085</v>
      </c>
      <c r="D6307" s="11" t="n">
        <v>44060</v>
      </c>
      <c r="E6307" s="2"/>
      <c r="F6307" s="31" t="n">
        <v>92.1</v>
      </c>
      <c r="G6307" s="2"/>
      <c r="H6307" s="2" t="s">
        <v>668</v>
      </c>
    </row>
    <row r="6308" customFormat="false" ht="15" hidden="false" customHeight="false" outlineLevel="0" collapsed="false">
      <c r="A6308" s="2" t="s">
        <v>1584</v>
      </c>
      <c r="B6308" s="2" t="s">
        <v>46</v>
      </c>
      <c r="C6308" s="2" t="s">
        <v>4086</v>
      </c>
      <c r="D6308" s="11" t="n">
        <v>46690</v>
      </c>
      <c r="E6308" s="31" t="n">
        <v>76.8</v>
      </c>
      <c r="F6308" s="31" t="n">
        <v>54.5</v>
      </c>
      <c r="G6308" s="2"/>
      <c r="H6308" s="2" t="s">
        <v>668</v>
      </c>
    </row>
    <row r="6309" customFormat="false" ht="15" hidden="false" customHeight="false" outlineLevel="0" collapsed="false">
      <c r="A6309" s="2" t="s">
        <v>1584</v>
      </c>
      <c r="B6309" s="2" t="s">
        <v>46</v>
      </c>
      <c r="C6309" s="2" t="s">
        <v>4087</v>
      </c>
      <c r="D6309" s="11" t="n">
        <v>49012</v>
      </c>
      <c r="E6309" s="31" t="n">
        <v>67.4</v>
      </c>
      <c r="F6309" s="31" t="n">
        <v>70.1</v>
      </c>
      <c r="G6309" s="31" t="n">
        <v>94.3</v>
      </c>
      <c r="H6309" s="2" t="s">
        <v>671</v>
      </c>
    </row>
    <row r="6310" customFormat="false" ht="15" hidden="false" customHeight="false" outlineLevel="0" collapsed="false">
      <c r="A6310" s="2" t="s">
        <v>1584</v>
      </c>
      <c r="B6310" s="2" t="s">
        <v>47</v>
      </c>
      <c r="C6310" s="2" t="s">
        <v>4085</v>
      </c>
      <c r="D6310" s="11" t="n">
        <v>161046</v>
      </c>
      <c r="E6310" s="31" t="n">
        <v>43.6</v>
      </c>
      <c r="F6310" s="31" t="n">
        <v>90.7</v>
      </c>
      <c r="G6310" s="31" t="n">
        <v>78.3</v>
      </c>
      <c r="H6310" s="2" t="s">
        <v>671</v>
      </c>
    </row>
    <row r="6311" customFormat="false" ht="15" hidden="false" customHeight="false" outlineLevel="0" collapsed="false">
      <c r="A6311" s="2" t="s">
        <v>1584</v>
      </c>
      <c r="B6311" s="2" t="s">
        <v>47</v>
      </c>
      <c r="C6311" s="2" t="s">
        <v>4086</v>
      </c>
      <c r="D6311" s="11" t="n">
        <v>173865</v>
      </c>
      <c r="E6311" s="31" t="n">
        <v>27.3</v>
      </c>
      <c r="F6311" s="31" t="n">
        <v>88.2</v>
      </c>
      <c r="G6311" s="2"/>
      <c r="H6311" s="2" t="s">
        <v>668</v>
      </c>
    </row>
    <row r="6312" customFormat="false" ht="15" hidden="false" customHeight="false" outlineLevel="0" collapsed="false">
      <c r="A6312" s="2" t="s">
        <v>1584</v>
      </c>
      <c r="B6312" s="2" t="s">
        <v>47</v>
      </c>
      <c r="C6312" s="2" t="s">
        <v>4087</v>
      </c>
      <c r="D6312" s="11" t="n">
        <v>186250</v>
      </c>
      <c r="E6312" s="31" t="n">
        <v>39</v>
      </c>
      <c r="F6312" s="31" t="n">
        <v>85.5</v>
      </c>
      <c r="G6312" s="31" t="n">
        <v>35.4</v>
      </c>
      <c r="H6312" s="2" t="s">
        <v>671</v>
      </c>
    </row>
    <row r="6313" customFormat="false" ht="15" hidden="false" customHeight="false" outlineLevel="0" collapsed="false">
      <c r="A6313" s="2" t="s">
        <v>1512</v>
      </c>
      <c r="B6313" s="2" t="s">
        <v>4104</v>
      </c>
      <c r="C6313" s="2" t="s">
        <v>4085</v>
      </c>
      <c r="D6313" s="2"/>
      <c r="E6313" s="31" t="n">
        <v>76.8</v>
      </c>
      <c r="F6313" s="31" t="n">
        <v>29.2</v>
      </c>
      <c r="G6313" s="31" t="n">
        <v>21.8</v>
      </c>
      <c r="H6313" s="2" t="s">
        <v>668</v>
      </c>
    </row>
    <row r="6314" customFormat="false" ht="15" hidden="false" customHeight="false" outlineLevel="0" collapsed="false">
      <c r="A6314" s="2" t="s">
        <v>1512</v>
      </c>
      <c r="B6314" s="2" t="s">
        <v>4104</v>
      </c>
      <c r="C6314" s="2" t="s">
        <v>4086</v>
      </c>
      <c r="D6314" s="2"/>
      <c r="E6314" s="31" t="n">
        <v>74.7</v>
      </c>
      <c r="F6314" s="31" t="n">
        <v>30.8</v>
      </c>
      <c r="G6314" s="31" t="n">
        <v>56.8</v>
      </c>
      <c r="H6314" s="2" t="s">
        <v>671</v>
      </c>
    </row>
    <row r="6315" customFormat="false" ht="15" hidden="false" customHeight="false" outlineLevel="0" collapsed="false">
      <c r="A6315" s="2" t="s">
        <v>1512</v>
      </c>
      <c r="B6315" s="2" t="s">
        <v>4104</v>
      </c>
      <c r="C6315" s="2" t="s">
        <v>4087</v>
      </c>
      <c r="D6315" s="2"/>
      <c r="E6315" s="31" t="n">
        <v>77.1</v>
      </c>
      <c r="F6315" s="31" t="n">
        <v>54</v>
      </c>
      <c r="G6315" s="31" t="n">
        <v>43.9</v>
      </c>
      <c r="H6315" s="2" t="s">
        <v>668</v>
      </c>
    </row>
    <row r="6316" customFormat="false" ht="15" hidden="false" customHeight="false" outlineLevel="0" collapsed="false">
      <c r="A6316" s="2" t="s">
        <v>1512</v>
      </c>
      <c r="B6316" s="2" t="s">
        <v>45</v>
      </c>
      <c r="C6316" s="2" t="s">
        <v>4085</v>
      </c>
      <c r="D6316" s="11" t="n">
        <v>28870</v>
      </c>
      <c r="E6316" s="31" t="n">
        <v>61.6</v>
      </c>
      <c r="F6316" s="31" t="n">
        <v>54.7</v>
      </c>
      <c r="G6316" s="31" t="n">
        <v>32.7</v>
      </c>
      <c r="H6316" s="2" t="s">
        <v>671</v>
      </c>
    </row>
    <row r="6317" customFormat="false" ht="15" hidden="false" customHeight="false" outlineLevel="0" collapsed="false">
      <c r="A6317" s="2" t="s">
        <v>1512</v>
      </c>
      <c r="B6317" s="2" t="s">
        <v>45</v>
      </c>
      <c r="C6317" s="2" t="s">
        <v>4086</v>
      </c>
      <c r="D6317" s="11" t="n">
        <v>29520</v>
      </c>
      <c r="E6317" s="31" t="n">
        <v>71.1</v>
      </c>
      <c r="F6317" s="31" t="n">
        <v>45</v>
      </c>
      <c r="G6317" s="31" t="n">
        <v>65.5</v>
      </c>
      <c r="H6317" s="2" t="s">
        <v>671</v>
      </c>
    </row>
    <row r="6318" customFormat="false" ht="15" hidden="false" customHeight="false" outlineLevel="0" collapsed="false">
      <c r="A6318" s="2" t="s">
        <v>1512</v>
      </c>
      <c r="B6318" s="2" t="s">
        <v>45</v>
      </c>
      <c r="C6318" s="2" t="s">
        <v>4087</v>
      </c>
      <c r="D6318" s="2"/>
      <c r="E6318" s="2"/>
      <c r="F6318" s="2"/>
      <c r="G6318" s="2"/>
      <c r="H6318" s="2" t="s">
        <v>668</v>
      </c>
    </row>
    <row r="6319" customFormat="false" ht="15" hidden="false" customHeight="false" outlineLevel="0" collapsed="false">
      <c r="A6319" s="2" t="s">
        <v>1512</v>
      </c>
      <c r="B6319" s="2" t="s">
        <v>46</v>
      </c>
      <c r="C6319" s="2" t="s">
        <v>4085</v>
      </c>
      <c r="D6319" s="11" t="n">
        <v>199067</v>
      </c>
      <c r="E6319" s="31" t="n">
        <v>92</v>
      </c>
      <c r="F6319" s="31" t="n">
        <v>3.8</v>
      </c>
      <c r="G6319" s="31" t="n">
        <v>11</v>
      </c>
      <c r="H6319" s="2" t="s">
        <v>671</v>
      </c>
    </row>
    <row r="6320" customFormat="false" ht="15" hidden="false" customHeight="false" outlineLevel="0" collapsed="false">
      <c r="A6320" s="2" t="s">
        <v>1512</v>
      </c>
      <c r="B6320" s="2" t="s">
        <v>46</v>
      </c>
      <c r="C6320" s="2" t="s">
        <v>4086</v>
      </c>
      <c r="D6320" s="11" t="n">
        <v>193090</v>
      </c>
      <c r="E6320" s="31" t="n">
        <v>78</v>
      </c>
      <c r="F6320" s="31" t="n">
        <v>9.6</v>
      </c>
      <c r="G6320" s="31" t="n">
        <v>19.2</v>
      </c>
      <c r="H6320" s="2" t="s">
        <v>671</v>
      </c>
    </row>
    <row r="6321" customFormat="false" ht="15" hidden="false" customHeight="false" outlineLevel="0" collapsed="false">
      <c r="A6321" s="2" t="s">
        <v>1512</v>
      </c>
      <c r="B6321" s="2" t="s">
        <v>46</v>
      </c>
      <c r="C6321" s="2" t="s">
        <v>4087</v>
      </c>
      <c r="D6321" s="11" t="n">
        <v>187870</v>
      </c>
      <c r="E6321" s="31" t="n">
        <v>79.7</v>
      </c>
      <c r="F6321" s="31" t="n">
        <v>16.6</v>
      </c>
      <c r="G6321" s="31" t="n">
        <v>18.7</v>
      </c>
      <c r="H6321" s="2" t="s">
        <v>671</v>
      </c>
    </row>
    <row r="6322" customFormat="false" ht="15" hidden="false" customHeight="false" outlineLevel="0" collapsed="false">
      <c r="A6322" s="2" t="s">
        <v>1512</v>
      </c>
      <c r="B6322" s="2" t="s">
        <v>47</v>
      </c>
      <c r="C6322" s="2" t="s">
        <v>4085</v>
      </c>
      <c r="D6322" s="2"/>
      <c r="E6322" s="2"/>
      <c r="F6322" s="2"/>
      <c r="G6322" s="2"/>
      <c r="H6322" s="2" t="s">
        <v>668</v>
      </c>
    </row>
    <row r="6323" customFormat="false" ht="15" hidden="false" customHeight="false" outlineLevel="0" collapsed="false">
      <c r="A6323" s="2" t="s">
        <v>1512</v>
      </c>
      <c r="B6323" s="2" t="s">
        <v>47</v>
      </c>
      <c r="C6323" s="2" t="s">
        <v>4086</v>
      </c>
      <c r="D6323" s="11" t="n">
        <v>74700</v>
      </c>
      <c r="E6323" s="31" t="n">
        <v>75</v>
      </c>
      <c r="F6323" s="31" t="n">
        <v>37.7</v>
      </c>
      <c r="G6323" s="31" t="n">
        <v>85.8</v>
      </c>
      <c r="H6323" s="2" t="s">
        <v>671</v>
      </c>
    </row>
    <row r="6324" customFormat="false" ht="15" hidden="false" customHeight="false" outlineLevel="0" collapsed="false">
      <c r="A6324" s="2" t="s">
        <v>1512</v>
      </c>
      <c r="B6324" s="2" t="s">
        <v>47</v>
      </c>
      <c r="C6324" s="2" t="s">
        <v>4087</v>
      </c>
      <c r="D6324" s="11" t="n">
        <v>77480</v>
      </c>
      <c r="E6324" s="31" t="n">
        <v>74.5</v>
      </c>
      <c r="F6324" s="31" t="n">
        <v>91.5</v>
      </c>
      <c r="G6324" s="31" t="n">
        <v>69.1</v>
      </c>
      <c r="H6324" s="2" t="s">
        <v>671</v>
      </c>
    </row>
    <row r="6325" customFormat="false" ht="15" hidden="false" customHeight="false" outlineLevel="0" collapsed="false">
      <c r="A6325" s="2" t="s">
        <v>1416</v>
      </c>
      <c r="B6325" s="2" t="s">
        <v>4104</v>
      </c>
      <c r="C6325" s="2" t="s">
        <v>4085</v>
      </c>
      <c r="D6325" s="2"/>
      <c r="E6325" s="31" t="n">
        <v>19.9</v>
      </c>
      <c r="F6325" s="31" t="n">
        <v>14.2</v>
      </c>
      <c r="G6325" s="31" t="n">
        <v>62.6</v>
      </c>
      <c r="H6325" s="2" t="s">
        <v>668</v>
      </c>
    </row>
    <row r="6326" customFormat="false" ht="15" hidden="false" customHeight="false" outlineLevel="0" collapsed="false">
      <c r="A6326" s="2" t="s">
        <v>1416</v>
      </c>
      <c r="B6326" s="2" t="s">
        <v>4104</v>
      </c>
      <c r="C6326" s="2" t="s">
        <v>4086</v>
      </c>
      <c r="D6326" s="2"/>
      <c r="E6326" s="31" t="n">
        <v>63.8</v>
      </c>
      <c r="F6326" s="31" t="n">
        <v>69.8</v>
      </c>
      <c r="G6326" s="31" t="n">
        <v>85.6</v>
      </c>
      <c r="H6326" s="2" t="s">
        <v>671</v>
      </c>
    </row>
    <row r="6327" customFormat="false" ht="15" hidden="false" customHeight="false" outlineLevel="0" collapsed="false">
      <c r="A6327" s="2" t="s">
        <v>1416</v>
      </c>
      <c r="B6327" s="2" t="s">
        <v>4104</v>
      </c>
      <c r="C6327" s="2" t="s">
        <v>4087</v>
      </c>
      <c r="D6327" s="2"/>
      <c r="E6327" s="31" t="n">
        <v>57.7</v>
      </c>
      <c r="F6327" s="31" t="n">
        <v>52.1</v>
      </c>
      <c r="G6327" s="31" t="n">
        <v>86</v>
      </c>
      <c r="H6327" s="2" t="s">
        <v>668</v>
      </c>
    </row>
    <row r="6328" customFormat="false" ht="15" hidden="false" customHeight="false" outlineLevel="0" collapsed="false">
      <c r="A6328" s="2" t="s">
        <v>1416</v>
      </c>
      <c r="B6328" s="2" t="s">
        <v>45</v>
      </c>
      <c r="C6328" s="2" t="s">
        <v>4085</v>
      </c>
      <c r="D6328" s="11" t="n">
        <v>15370</v>
      </c>
      <c r="E6328" s="31" t="n">
        <v>19.9</v>
      </c>
      <c r="F6328" s="31" t="n">
        <v>14.2</v>
      </c>
      <c r="G6328" s="31" t="n">
        <v>77.8</v>
      </c>
      <c r="H6328" s="2" t="s">
        <v>671</v>
      </c>
    </row>
    <row r="6329" customFormat="false" ht="15" hidden="false" customHeight="false" outlineLevel="0" collapsed="false">
      <c r="A6329" s="2" t="s">
        <v>1416</v>
      </c>
      <c r="B6329" s="2" t="s">
        <v>45</v>
      </c>
      <c r="C6329" s="2" t="s">
        <v>4086</v>
      </c>
      <c r="D6329" s="11" t="n">
        <v>15950</v>
      </c>
      <c r="E6329" s="31" t="n">
        <v>29.5</v>
      </c>
      <c r="F6329" s="31" t="n">
        <v>52.2</v>
      </c>
      <c r="G6329" s="31" t="n">
        <v>87.6</v>
      </c>
      <c r="H6329" s="2" t="s">
        <v>671</v>
      </c>
    </row>
    <row r="6330" customFormat="false" ht="15" hidden="false" customHeight="false" outlineLevel="0" collapsed="false">
      <c r="A6330" s="2" t="s">
        <v>1416</v>
      </c>
      <c r="B6330" s="2" t="s">
        <v>45</v>
      </c>
      <c r="C6330" s="2" t="s">
        <v>4087</v>
      </c>
      <c r="D6330" s="11" t="n">
        <v>16560</v>
      </c>
      <c r="E6330" s="31" t="n">
        <v>22</v>
      </c>
      <c r="F6330" s="31" t="n">
        <v>27</v>
      </c>
      <c r="G6330" s="2"/>
      <c r="H6330" s="2" t="s">
        <v>668</v>
      </c>
    </row>
    <row r="6331" customFormat="false" ht="15" hidden="false" customHeight="false" outlineLevel="0" collapsed="false">
      <c r="A6331" s="2" t="s">
        <v>1416</v>
      </c>
      <c r="B6331" s="2" t="s">
        <v>46</v>
      </c>
      <c r="C6331" s="2" t="s">
        <v>4085</v>
      </c>
      <c r="D6331" s="2"/>
      <c r="E6331" s="2"/>
      <c r="F6331" s="2"/>
      <c r="G6331" s="31" t="n">
        <v>47.5</v>
      </c>
      <c r="H6331" s="2" t="s">
        <v>668</v>
      </c>
    </row>
    <row r="6332" customFormat="false" ht="15" hidden="false" customHeight="false" outlineLevel="0" collapsed="false">
      <c r="A6332" s="2" t="s">
        <v>1416</v>
      </c>
      <c r="B6332" s="2" t="s">
        <v>46</v>
      </c>
      <c r="C6332" s="2" t="s">
        <v>4086</v>
      </c>
      <c r="D6332" s="11" t="n">
        <v>57158</v>
      </c>
      <c r="E6332" s="31" t="n">
        <v>98.2</v>
      </c>
      <c r="F6332" s="31" t="n">
        <v>87.3</v>
      </c>
      <c r="G6332" s="31" t="n">
        <v>83.7</v>
      </c>
      <c r="H6332" s="2" t="s">
        <v>671</v>
      </c>
    </row>
    <row r="6333" customFormat="false" ht="15" hidden="false" customHeight="false" outlineLevel="0" collapsed="false">
      <c r="A6333" s="2" t="s">
        <v>1416</v>
      </c>
      <c r="B6333" s="2" t="s">
        <v>46</v>
      </c>
      <c r="C6333" s="2" t="s">
        <v>4087</v>
      </c>
      <c r="D6333" s="11" t="n">
        <v>60850</v>
      </c>
      <c r="E6333" s="31" t="n">
        <v>93.4</v>
      </c>
      <c r="F6333" s="31" t="n">
        <v>77.2</v>
      </c>
      <c r="G6333" s="31" t="n">
        <v>86</v>
      </c>
      <c r="H6333" s="2" t="s">
        <v>671</v>
      </c>
    </row>
    <row r="6334" customFormat="false" ht="15" hidden="false" customHeight="false" outlineLevel="0" collapsed="false">
      <c r="A6334" s="2" t="s">
        <v>3083</v>
      </c>
      <c r="B6334" s="2" t="s">
        <v>4104</v>
      </c>
      <c r="C6334" s="2" t="s">
        <v>4085</v>
      </c>
      <c r="D6334" s="2"/>
      <c r="E6334" s="2"/>
      <c r="F6334" s="2"/>
      <c r="G6334" s="2"/>
      <c r="H6334" s="2" t="s">
        <v>668</v>
      </c>
    </row>
    <row r="6335" customFormat="false" ht="15" hidden="false" customHeight="false" outlineLevel="0" collapsed="false">
      <c r="A6335" s="2" t="s">
        <v>3083</v>
      </c>
      <c r="B6335" s="2" t="s">
        <v>4104</v>
      </c>
      <c r="C6335" s="2" t="s">
        <v>4086</v>
      </c>
      <c r="D6335" s="2"/>
      <c r="E6335" s="31" t="n">
        <v>48.4</v>
      </c>
      <c r="F6335" s="31" t="n">
        <v>39.9</v>
      </c>
      <c r="G6335" s="2"/>
      <c r="H6335" s="2" t="s">
        <v>668</v>
      </c>
    </row>
    <row r="6336" customFormat="false" ht="15" hidden="false" customHeight="false" outlineLevel="0" collapsed="false">
      <c r="A6336" s="2" t="s">
        <v>3083</v>
      </c>
      <c r="B6336" s="2" t="s">
        <v>4104</v>
      </c>
      <c r="C6336" s="2" t="s">
        <v>4087</v>
      </c>
      <c r="D6336" s="2"/>
      <c r="E6336" s="31" t="n">
        <v>63</v>
      </c>
      <c r="F6336" s="31" t="n">
        <v>15.5</v>
      </c>
      <c r="G6336" s="2"/>
      <c r="H6336" s="2" t="s">
        <v>668</v>
      </c>
    </row>
    <row r="6337" customFormat="false" ht="15" hidden="false" customHeight="false" outlineLevel="0" collapsed="false">
      <c r="A6337" s="2" t="s">
        <v>3083</v>
      </c>
      <c r="B6337" s="2" t="s">
        <v>45</v>
      </c>
      <c r="C6337" s="2" t="s">
        <v>4085</v>
      </c>
      <c r="D6337" s="2"/>
      <c r="E6337" s="2"/>
      <c r="F6337" s="2"/>
      <c r="G6337" s="2"/>
      <c r="H6337" s="2" t="s">
        <v>668</v>
      </c>
    </row>
    <row r="6338" customFormat="false" ht="15" hidden="false" customHeight="false" outlineLevel="0" collapsed="false">
      <c r="A6338" s="2" t="s">
        <v>3083</v>
      </c>
      <c r="B6338" s="2" t="s">
        <v>45</v>
      </c>
      <c r="C6338" s="2" t="s">
        <v>4086</v>
      </c>
      <c r="D6338" s="11" t="n">
        <v>27550</v>
      </c>
      <c r="E6338" s="31" t="n">
        <v>48.4</v>
      </c>
      <c r="F6338" s="31" t="n">
        <v>39.9</v>
      </c>
      <c r="G6338" s="2"/>
      <c r="H6338" s="2" t="s">
        <v>668</v>
      </c>
    </row>
    <row r="6339" customFormat="false" ht="15" hidden="false" customHeight="false" outlineLevel="0" collapsed="false">
      <c r="A6339" s="2" t="s">
        <v>3083</v>
      </c>
      <c r="B6339" s="2" t="s">
        <v>45</v>
      </c>
      <c r="C6339" s="2" t="s">
        <v>4087</v>
      </c>
      <c r="D6339" s="11" t="n">
        <v>28356</v>
      </c>
      <c r="E6339" s="31" t="n">
        <v>63</v>
      </c>
      <c r="F6339" s="31" t="n">
        <v>15.5</v>
      </c>
      <c r="G6339" s="2"/>
      <c r="H6339" s="2" t="s">
        <v>668</v>
      </c>
    </row>
    <row r="6340" customFormat="false" ht="15" hidden="false" customHeight="false" outlineLevel="0" collapsed="false">
      <c r="A6340" s="2" t="s">
        <v>402</v>
      </c>
      <c r="B6340" s="2" t="s">
        <v>4104</v>
      </c>
      <c r="C6340" s="2" t="s">
        <v>4085</v>
      </c>
      <c r="D6340" s="2"/>
      <c r="E6340" s="31" t="n">
        <v>46.4</v>
      </c>
      <c r="F6340" s="31" t="n">
        <v>19.9</v>
      </c>
      <c r="G6340" s="31" t="n">
        <v>65.6</v>
      </c>
      <c r="H6340" s="2" t="s">
        <v>671</v>
      </c>
    </row>
    <row r="6341" customFormat="false" ht="15" hidden="false" customHeight="false" outlineLevel="0" collapsed="false">
      <c r="A6341" s="2" t="s">
        <v>402</v>
      </c>
      <c r="B6341" s="2" t="s">
        <v>4104</v>
      </c>
      <c r="C6341" s="2" t="s">
        <v>4086</v>
      </c>
      <c r="D6341" s="2"/>
      <c r="E6341" s="2"/>
      <c r="F6341" s="2"/>
      <c r="G6341" s="31" t="n">
        <v>96.7</v>
      </c>
      <c r="H6341" s="2" t="s">
        <v>668</v>
      </c>
    </row>
    <row r="6342" customFormat="false" ht="15" hidden="false" customHeight="false" outlineLevel="0" collapsed="false">
      <c r="A6342" s="2" t="s">
        <v>402</v>
      </c>
      <c r="B6342" s="2" t="s">
        <v>4104</v>
      </c>
      <c r="C6342" s="2" t="s">
        <v>4087</v>
      </c>
      <c r="D6342" s="2"/>
      <c r="E6342" s="31" t="n">
        <v>46.6</v>
      </c>
      <c r="F6342" s="31" t="n">
        <v>21</v>
      </c>
      <c r="G6342" s="31" t="n">
        <v>92.3</v>
      </c>
      <c r="H6342" s="2" t="s">
        <v>671</v>
      </c>
    </row>
    <row r="6343" customFormat="false" ht="15" hidden="false" customHeight="false" outlineLevel="0" collapsed="false">
      <c r="A6343" s="2" t="s">
        <v>402</v>
      </c>
      <c r="B6343" s="2" t="s">
        <v>45</v>
      </c>
      <c r="C6343" s="2" t="s">
        <v>4085</v>
      </c>
      <c r="D6343" s="11" t="n">
        <v>124731</v>
      </c>
      <c r="E6343" s="31" t="n">
        <v>46.4</v>
      </c>
      <c r="F6343" s="31" t="n">
        <v>19.9</v>
      </c>
      <c r="G6343" s="31" t="n">
        <v>65.6</v>
      </c>
      <c r="H6343" s="2" t="s">
        <v>671</v>
      </c>
    </row>
    <row r="6344" customFormat="false" ht="15" hidden="false" customHeight="false" outlineLevel="0" collapsed="false">
      <c r="A6344" s="2" t="s">
        <v>402</v>
      </c>
      <c r="B6344" s="2" t="s">
        <v>45</v>
      </c>
      <c r="C6344" s="2" t="s">
        <v>4086</v>
      </c>
      <c r="D6344" s="2"/>
      <c r="E6344" s="2"/>
      <c r="F6344" s="2"/>
      <c r="G6344" s="31" t="n">
        <v>96.7</v>
      </c>
      <c r="H6344" s="2" t="s">
        <v>668</v>
      </c>
    </row>
    <row r="6345" customFormat="false" ht="15" hidden="false" customHeight="false" outlineLevel="0" collapsed="false">
      <c r="A6345" s="2" t="s">
        <v>402</v>
      </c>
      <c r="B6345" s="2" t="s">
        <v>45</v>
      </c>
      <c r="C6345" s="2" t="s">
        <v>4087</v>
      </c>
      <c r="D6345" s="11" t="n">
        <v>125520</v>
      </c>
      <c r="E6345" s="31" t="n">
        <v>46.6</v>
      </c>
      <c r="F6345" s="31" t="n">
        <v>21</v>
      </c>
      <c r="G6345" s="31" t="n">
        <v>92.3</v>
      </c>
      <c r="H6345" s="2" t="s">
        <v>671</v>
      </c>
    </row>
    <row r="6346" customFormat="false" ht="15" hidden="false" customHeight="false" outlineLevel="0" collapsed="false">
      <c r="A6346" s="2" t="s">
        <v>2484</v>
      </c>
      <c r="B6346" s="2" t="s">
        <v>4104</v>
      </c>
      <c r="C6346" s="2" t="s">
        <v>4085</v>
      </c>
      <c r="D6346" s="2"/>
      <c r="E6346" s="31" t="n">
        <v>5.4</v>
      </c>
      <c r="F6346" s="31" t="n">
        <v>67.3</v>
      </c>
      <c r="G6346" s="31" t="n">
        <v>71.8</v>
      </c>
      <c r="H6346" s="2" t="s">
        <v>671</v>
      </c>
    </row>
    <row r="6347" customFormat="false" ht="15" hidden="false" customHeight="false" outlineLevel="0" collapsed="false">
      <c r="A6347" s="2" t="s">
        <v>2484</v>
      </c>
      <c r="B6347" s="2" t="s">
        <v>4104</v>
      </c>
      <c r="C6347" s="2" t="s">
        <v>4086</v>
      </c>
      <c r="D6347" s="2"/>
      <c r="E6347" s="31" t="n">
        <v>4.7</v>
      </c>
      <c r="F6347" s="31" t="n">
        <v>63.9</v>
      </c>
      <c r="G6347" s="31" t="n">
        <v>77.2</v>
      </c>
      <c r="H6347" s="2" t="s">
        <v>668</v>
      </c>
    </row>
    <row r="6348" customFormat="false" ht="15" hidden="false" customHeight="false" outlineLevel="0" collapsed="false">
      <c r="A6348" s="2" t="s">
        <v>2484</v>
      </c>
      <c r="B6348" s="2" t="s">
        <v>4104</v>
      </c>
      <c r="C6348" s="2" t="s">
        <v>4087</v>
      </c>
      <c r="D6348" s="2"/>
      <c r="E6348" s="31" t="n">
        <v>16.2</v>
      </c>
      <c r="F6348" s="31" t="n">
        <v>81.2</v>
      </c>
      <c r="G6348" s="31" t="n">
        <v>38.5</v>
      </c>
      <c r="H6348" s="2" t="s">
        <v>668</v>
      </c>
    </row>
    <row r="6349" customFormat="false" ht="15" hidden="false" customHeight="false" outlineLevel="0" collapsed="false">
      <c r="A6349" s="2" t="s">
        <v>2484</v>
      </c>
      <c r="B6349" s="2" t="s">
        <v>46</v>
      </c>
      <c r="C6349" s="2" t="s">
        <v>4085</v>
      </c>
      <c r="D6349" s="11" t="n">
        <v>121250</v>
      </c>
      <c r="E6349" s="31" t="n">
        <v>4.1</v>
      </c>
      <c r="F6349" s="31" t="n">
        <v>66</v>
      </c>
      <c r="G6349" s="31" t="n">
        <v>61</v>
      </c>
      <c r="H6349" s="2" t="s">
        <v>671</v>
      </c>
    </row>
    <row r="6350" customFormat="false" ht="15" hidden="false" customHeight="false" outlineLevel="0" collapsed="false">
      <c r="A6350" s="2" t="s">
        <v>2484</v>
      </c>
      <c r="B6350" s="2" t="s">
        <v>46</v>
      </c>
      <c r="C6350" s="2" t="s">
        <v>4086</v>
      </c>
      <c r="D6350" s="11" t="n">
        <v>126120</v>
      </c>
      <c r="E6350" s="31" t="n">
        <v>4.7</v>
      </c>
      <c r="F6350" s="31" t="n">
        <v>56.7</v>
      </c>
      <c r="G6350" s="31" t="n">
        <v>72.8</v>
      </c>
      <c r="H6350" s="2" t="s">
        <v>671</v>
      </c>
    </row>
    <row r="6351" customFormat="false" ht="15" hidden="false" customHeight="false" outlineLevel="0" collapsed="false">
      <c r="A6351" s="2" t="s">
        <v>2484</v>
      </c>
      <c r="B6351" s="2" t="s">
        <v>46</v>
      </c>
      <c r="C6351" s="2" t="s">
        <v>4087</v>
      </c>
      <c r="D6351" s="11" t="n">
        <v>135603</v>
      </c>
      <c r="E6351" s="31" t="n">
        <v>4.4</v>
      </c>
      <c r="F6351" s="31" t="n">
        <v>85.4</v>
      </c>
      <c r="G6351" s="2"/>
      <c r="H6351" s="2" t="s">
        <v>668</v>
      </c>
    </row>
    <row r="6352" customFormat="false" ht="15" hidden="false" customHeight="false" outlineLevel="0" collapsed="false">
      <c r="A6352" s="2" t="s">
        <v>2484</v>
      </c>
      <c r="B6352" s="2" t="s">
        <v>47</v>
      </c>
      <c r="C6352" s="2" t="s">
        <v>4085</v>
      </c>
      <c r="D6352" s="11" t="n">
        <v>21848</v>
      </c>
      <c r="E6352" s="31" t="n">
        <v>6.6</v>
      </c>
      <c r="F6352" s="31" t="n">
        <v>68.6</v>
      </c>
      <c r="G6352" s="31" t="n">
        <v>82.7</v>
      </c>
      <c r="H6352" s="2" t="s">
        <v>671</v>
      </c>
    </row>
    <row r="6353" customFormat="false" ht="15" hidden="false" customHeight="false" outlineLevel="0" collapsed="false">
      <c r="A6353" s="2" t="s">
        <v>2484</v>
      </c>
      <c r="B6353" s="2" t="s">
        <v>47</v>
      </c>
      <c r="C6353" s="2" t="s">
        <v>4086</v>
      </c>
      <c r="D6353" s="11" t="n">
        <v>23165</v>
      </c>
      <c r="E6353" s="2"/>
      <c r="F6353" s="31" t="n">
        <v>71.1</v>
      </c>
      <c r="G6353" s="31" t="n">
        <v>81.7</v>
      </c>
      <c r="H6353" s="2" t="s">
        <v>668</v>
      </c>
    </row>
    <row r="6354" customFormat="false" ht="15" hidden="false" customHeight="false" outlineLevel="0" collapsed="false">
      <c r="A6354" s="2" t="s">
        <v>2484</v>
      </c>
      <c r="B6354" s="2" t="s">
        <v>47</v>
      </c>
      <c r="C6354" s="2" t="s">
        <v>4087</v>
      </c>
      <c r="D6354" s="11" t="n">
        <v>24191</v>
      </c>
      <c r="E6354" s="31" t="n">
        <v>27.9</v>
      </c>
      <c r="F6354" s="31" t="n">
        <v>77</v>
      </c>
      <c r="G6354" s="31" t="n">
        <v>38.5</v>
      </c>
      <c r="H6354" s="2" t="s">
        <v>671</v>
      </c>
    </row>
    <row r="6355" customFormat="false" ht="15" hidden="false" customHeight="false" outlineLevel="0" collapsed="false">
      <c r="A6355" s="2" t="s">
        <v>606</v>
      </c>
      <c r="B6355" s="2" t="s">
        <v>4104</v>
      </c>
      <c r="C6355" s="2" t="s">
        <v>4085</v>
      </c>
      <c r="D6355" s="2"/>
      <c r="E6355" s="31" t="n">
        <v>12.9</v>
      </c>
      <c r="F6355" s="31" t="n">
        <v>29.1</v>
      </c>
      <c r="G6355" s="31" t="n">
        <v>76.5</v>
      </c>
      <c r="H6355" s="2" t="s">
        <v>668</v>
      </c>
    </row>
    <row r="6356" customFormat="false" ht="15" hidden="false" customHeight="false" outlineLevel="0" collapsed="false">
      <c r="A6356" s="2" t="s">
        <v>606</v>
      </c>
      <c r="B6356" s="2" t="s">
        <v>4104</v>
      </c>
      <c r="C6356" s="2" t="s">
        <v>4087</v>
      </c>
      <c r="D6356" s="2"/>
      <c r="E6356" s="31" t="n">
        <v>17.9</v>
      </c>
      <c r="F6356" s="31" t="n">
        <v>21.4</v>
      </c>
      <c r="G6356" s="31" t="n">
        <v>77.2</v>
      </c>
      <c r="H6356" s="2" t="s">
        <v>671</v>
      </c>
    </row>
    <row r="6357" customFormat="false" ht="15" hidden="false" customHeight="false" outlineLevel="0" collapsed="false">
      <c r="A6357" s="2" t="s">
        <v>606</v>
      </c>
      <c r="B6357" s="2" t="s">
        <v>45</v>
      </c>
      <c r="C6357" s="2" t="s">
        <v>4085</v>
      </c>
      <c r="D6357" s="11" t="n">
        <v>17776</v>
      </c>
      <c r="E6357" s="31" t="n">
        <v>24.2</v>
      </c>
      <c r="F6357" s="31" t="n">
        <v>12.4</v>
      </c>
      <c r="G6357" s="31" t="n">
        <v>80.7</v>
      </c>
      <c r="H6357" s="2" t="s">
        <v>671</v>
      </c>
    </row>
    <row r="6358" customFormat="false" ht="15" hidden="false" customHeight="false" outlineLevel="0" collapsed="false">
      <c r="A6358" s="2" t="s">
        <v>606</v>
      </c>
      <c r="B6358" s="2" t="s">
        <v>45</v>
      </c>
      <c r="C6358" s="2" t="s">
        <v>4087</v>
      </c>
      <c r="D6358" s="11" t="n">
        <v>17756</v>
      </c>
      <c r="E6358" s="31" t="n">
        <v>14.3</v>
      </c>
      <c r="F6358" s="31" t="n">
        <v>16.7</v>
      </c>
      <c r="G6358" s="31" t="n">
        <v>91.2</v>
      </c>
      <c r="H6358" s="2" t="s">
        <v>671</v>
      </c>
    </row>
    <row r="6359" customFormat="false" ht="15" hidden="false" customHeight="false" outlineLevel="0" collapsed="false">
      <c r="A6359" s="2" t="s">
        <v>606</v>
      </c>
      <c r="B6359" s="2" t="s">
        <v>46</v>
      </c>
      <c r="C6359" s="2" t="s">
        <v>4085</v>
      </c>
      <c r="D6359" s="2"/>
      <c r="E6359" s="2"/>
      <c r="F6359" s="2"/>
      <c r="G6359" s="2"/>
      <c r="H6359" s="2" t="s">
        <v>668</v>
      </c>
    </row>
    <row r="6360" customFormat="false" ht="15" hidden="false" customHeight="false" outlineLevel="0" collapsed="false">
      <c r="A6360" s="2" t="s">
        <v>606</v>
      </c>
      <c r="B6360" s="2" t="s">
        <v>46</v>
      </c>
      <c r="C6360" s="2" t="s">
        <v>4087</v>
      </c>
      <c r="D6360" s="11" t="n">
        <v>11290</v>
      </c>
      <c r="E6360" s="31" t="n">
        <v>38.7</v>
      </c>
      <c r="F6360" s="31" t="n">
        <v>2.5</v>
      </c>
      <c r="G6360" s="31" t="n">
        <v>56.7</v>
      </c>
      <c r="H6360" s="2" t="s">
        <v>671</v>
      </c>
    </row>
    <row r="6361" customFormat="false" ht="15" hidden="false" customHeight="false" outlineLevel="0" collapsed="false">
      <c r="A6361" s="2" t="s">
        <v>606</v>
      </c>
      <c r="B6361" s="2" t="s">
        <v>47</v>
      </c>
      <c r="C6361" s="2" t="s">
        <v>4085</v>
      </c>
      <c r="D6361" s="11" t="n">
        <v>11807</v>
      </c>
      <c r="E6361" s="31" t="n">
        <v>1.6</v>
      </c>
      <c r="F6361" s="31" t="n">
        <v>45.8</v>
      </c>
      <c r="G6361" s="31" t="n">
        <v>72.3</v>
      </c>
      <c r="H6361" s="2" t="s">
        <v>671</v>
      </c>
    </row>
    <row r="6362" customFormat="false" ht="15" hidden="false" customHeight="false" outlineLevel="0" collapsed="false">
      <c r="A6362" s="2" t="s">
        <v>606</v>
      </c>
      <c r="B6362" s="2" t="s">
        <v>47</v>
      </c>
      <c r="C6362" s="2" t="s">
        <v>4087</v>
      </c>
      <c r="D6362" s="11" t="n">
        <v>11890</v>
      </c>
      <c r="E6362" s="31" t="n">
        <v>0.8</v>
      </c>
      <c r="F6362" s="31" t="n">
        <v>45</v>
      </c>
      <c r="G6362" s="31" t="n">
        <v>83.8</v>
      </c>
      <c r="H6362" s="2" t="s">
        <v>671</v>
      </c>
    </row>
    <row r="6363" customFormat="false" ht="15" hidden="false" customHeight="false" outlineLevel="0" collapsed="false">
      <c r="A6363" s="2" t="s">
        <v>1338</v>
      </c>
      <c r="B6363" s="2" t="s">
        <v>4104</v>
      </c>
      <c r="C6363" s="2" t="s">
        <v>4085</v>
      </c>
      <c r="D6363" s="2"/>
      <c r="E6363" s="31" t="n">
        <v>30.2</v>
      </c>
      <c r="F6363" s="31" t="n">
        <v>37.2</v>
      </c>
      <c r="G6363" s="31" t="n">
        <v>64.4</v>
      </c>
      <c r="H6363" s="2" t="s">
        <v>668</v>
      </c>
    </row>
    <row r="6364" customFormat="false" ht="15" hidden="false" customHeight="false" outlineLevel="0" collapsed="false">
      <c r="A6364" s="2" t="s">
        <v>1338</v>
      </c>
      <c r="B6364" s="2" t="s">
        <v>4104</v>
      </c>
      <c r="C6364" s="2" t="s">
        <v>4086</v>
      </c>
      <c r="D6364" s="2"/>
      <c r="E6364" s="31" t="n">
        <v>23.9</v>
      </c>
      <c r="F6364" s="31" t="n">
        <v>18.7</v>
      </c>
      <c r="G6364" s="31" t="n">
        <v>49.7</v>
      </c>
      <c r="H6364" s="2" t="s">
        <v>668</v>
      </c>
    </row>
    <row r="6365" customFormat="false" ht="15" hidden="false" customHeight="false" outlineLevel="0" collapsed="false">
      <c r="A6365" s="2" t="s">
        <v>1338</v>
      </c>
      <c r="B6365" s="2" t="s">
        <v>4104</v>
      </c>
      <c r="C6365" s="2" t="s">
        <v>4087</v>
      </c>
      <c r="D6365" s="2"/>
      <c r="E6365" s="31" t="n">
        <v>25.1</v>
      </c>
      <c r="F6365" s="31" t="n">
        <v>32</v>
      </c>
      <c r="G6365" s="31" t="n">
        <v>26.3</v>
      </c>
      <c r="H6365" s="2" t="s">
        <v>668</v>
      </c>
    </row>
    <row r="6366" customFormat="false" ht="15" hidden="false" customHeight="false" outlineLevel="0" collapsed="false">
      <c r="A6366" s="2" t="s">
        <v>1338</v>
      </c>
      <c r="B6366" s="2" t="s">
        <v>45</v>
      </c>
      <c r="C6366" s="2" t="s">
        <v>4085</v>
      </c>
      <c r="D6366" s="11" t="n">
        <v>3950</v>
      </c>
      <c r="E6366" s="31" t="n">
        <v>6</v>
      </c>
      <c r="F6366" s="31" t="n">
        <v>88.7</v>
      </c>
      <c r="G6366" s="2"/>
      <c r="H6366" s="2" t="s">
        <v>668</v>
      </c>
    </row>
    <row r="6367" customFormat="false" ht="15" hidden="false" customHeight="false" outlineLevel="0" collapsed="false">
      <c r="A6367" s="2" t="s">
        <v>1338</v>
      </c>
      <c r="B6367" s="2" t="s">
        <v>45</v>
      </c>
      <c r="C6367" s="2" t="s">
        <v>4086</v>
      </c>
      <c r="D6367" s="11" t="n">
        <v>4190</v>
      </c>
      <c r="E6367" s="31" t="n">
        <v>7.6</v>
      </c>
      <c r="F6367" s="2"/>
      <c r="G6367" s="31" t="n">
        <v>1.3</v>
      </c>
      <c r="H6367" s="2" t="s">
        <v>668</v>
      </c>
    </row>
    <row r="6368" customFormat="false" ht="15" hidden="false" customHeight="false" outlineLevel="0" collapsed="false">
      <c r="A6368" s="2" t="s">
        <v>1338</v>
      </c>
      <c r="B6368" s="2" t="s">
        <v>45</v>
      </c>
      <c r="C6368" s="2" t="s">
        <v>4087</v>
      </c>
      <c r="D6368" s="11" t="n">
        <v>4340</v>
      </c>
      <c r="E6368" s="31" t="n">
        <v>6.4</v>
      </c>
      <c r="F6368" s="31" t="n">
        <v>74.1</v>
      </c>
      <c r="G6368" s="31" t="n">
        <v>1</v>
      </c>
      <c r="H6368" s="2" t="s">
        <v>671</v>
      </c>
    </row>
    <row r="6369" customFormat="false" ht="15" hidden="false" customHeight="false" outlineLevel="0" collapsed="false">
      <c r="A6369" s="2" t="s">
        <v>1338</v>
      </c>
      <c r="B6369" s="2" t="s">
        <v>46</v>
      </c>
      <c r="C6369" s="2" t="s">
        <v>4085</v>
      </c>
      <c r="D6369" s="11" t="n">
        <v>66609</v>
      </c>
      <c r="E6369" s="31" t="n">
        <v>68.7</v>
      </c>
      <c r="F6369" s="31" t="n">
        <v>9.7</v>
      </c>
      <c r="G6369" s="31" t="n">
        <v>56.8</v>
      </c>
      <c r="H6369" s="2" t="s">
        <v>671</v>
      </c>
    </row>
    <row r="6370" customFormat="false" ht="15" hidden="false" customHeight="false" outlineLevel="0" collapsed="false">
      <c r="A6370" s="2" t="s">
        <v>1338</v>
      </c>
      <c r="B6370" s="2" t="s">
        <v>46</v>
      </c>
      <c r="C6370" s="2" t="s">
        <v>4086</v>
      </c>
      <c r="D6370" s="11" t="n">
        <v>65960</v>
      </c>
      <c r="E6370" s="31" t="n">
        <v>45.6</v>
      </c>
      <c r="F6370" s="31" t="n">
        <v>34.5</v>
      </c>
      <c r="G6370" s="31" t="n">
        <v>57.8</v>
      </c>
      <c r="H6370" s="2" t="s">
        <v>671</v>
      </c>
    </row>
    <row r="6371" customFormat="false" ht="15" hidden="false" customHeight="false" outlineLevel="0" collapsed="false">
      <c r="A6371" s="2" t="s">
        <v>1338</v>
      </c>
      <c r="B6371" s="2" t="s">
        <v>46</v>
      </c>
      <c r="C6371" s="2" t="s">
        <v>4087</v>
      </c>
      <c r="D6371" s="11" t="n">
        <v>67245</v>
      </c>
      <c r="E6371" s="31" t="n">
        <v>55.8</v>
      </c>
      <c r="F6371" s="31" t="n">
        <v>19.9</v>
      </c>
      <c r="G6371" s="31" t="n">
        <v>50</v>
      </c>
      <c r="H6371" s="2" t="s">
        <v>671</v>
      </c>
    </row>
    <row r="6372" customFormat="false" ht="15" hidden="false" customHeight="false" outlineLevel="0" collapsed="false">
      <c r="A6372" s="2" t="s">
        <v>1338</v>
      </c>
      <c r="B6372" s="2" t="s">
        <v>47</v>
      </c>
      <c r="C6372" s="2" t="s">
        <v>4085</v>
      </c>
      <c r="D6372" s="11" t="n">
        <v>12204</v>
      </c>
      <c r="E6372" s="31" t="n">
        <v>15.9</v>
      </c>
      <c r="F6372" s="31" t="n">
        <v>13.1</v>
      </c>
      <c r="G6372" s="31" t="n">
        <v>72</v>
      </c>
      <c r="H6372" s="2" t="s">
        <v>671</v>
      </c>
    </row>
    <row r="6373" customFormat="false" ht="15" hidden="false" customHeight="false" outlineLevel="0" collapsed="false">
      <c r="A6373" s="2" t="s">
        <v>1338</v>
      </c>
      <c r="B6373" s="2" t="s">
        <v>47</v>
      </c>
      <c r="C6373" s="2" t="s">
        <v>4086</v>
      </c>
      <c r="D6373" s="11" t="n">
        <v>12140</v>
      </c>
      <c r="E6373" s="31" t="n">
        <v>18.5</v>
      </c>
      <c r="F6373" s="31" t="n">
        <v>2.9</v>
      </c>
      <c r="G6373" s="31" t="n">
        <v>90</v>
      </c>
      <c r="H6373" s="2" t="s">
        <v>671</v>
      </c>
    </row>
    <row r="6374" customFormat="false" ht="15" hidden="false" customHeight="false" outlineLevel="0" collapsed="false">
      <c r="A6374" s="2" t="s">
        <v>1338</v>
      </c>
      <c r="B6374" s="2" t="s">
        <v>47</v>
      </c>
      <c r="C6374" s="2" t="s">
        <v>4087</v>
      </c>
      <c r="D6374" s="11" t="n">
        <v>11950</v>
      </c>
      <c r="E6374" s="31" t="n">
        <v>13.1</v>
      </c>
      <c r="F6374" s="31" t="n">
        <v>2.1</v>
      </c>
      <c r="G6374" s="31" t="n">
        <v>28</v>
      </c>
      <c r="H6374" s="2" t="s">
        <v>668</v>
      </c>
    </row>
    <row r="6375" customFormat="false" ht="15" hidden="false" customHeight="false" outlineLevel="0" collapsed="false">
      <c r="A6375" s="2" t="s">
        <v>1388</v>
      </c>
      <c r="B6375" s="2" t="s">
        <v>4104</v>
      </c>
      <c r="C6375" s="2" t="s">
        <v>4085</v>
      </c>
      <c r="D6375" s="2"/>
      <c r="E6375" s="31" t="n">
        <v>38</v>
      </c>
      <c r="F6375" s="31" t="n">
        <v>44.8</v>
      </c>
      <c r="G6375" s="31" t="n">
        <v>75.8</v>
      </c>
      <c r="H6375" s="2" t="s">
        <v>671</v>
      </c>
    </row>
    <row r="6376" customFormat="false" ht="15" hidden="false" customHeight="false" outlineLevel="0" collapsed="false">
      <c r="A6376" s="2" t="s">
        <v>1388</v>
      </c>
      <c r="B6376" s="2" t="s">
        <v>4104</v>
      </c>
      <c r="C6376" s="2" t="s">
        <v>4086</v>
      </c>
      <c r="D6376" s="2"/>
      <c r="E6376" s="31" t="n">
        <v>62.8</v>
      </c>
      <c r="F6376" s="31" t="n">
        <v>56.4</v>
      </c>
      <c r="G6376" s="31" t="n">
        <v>92.4</v>
      </c>
      <c r="H6376" s="2" t="s">
        <v>668</v>
      </c>
    </row>
    <row r="6377" customFormat="false" ht="15" hidden="false" customHeight="false" outlineLevel="0" collapsed="false">
      <c r="A6377" s="2" t="s">
        <v>1388</v>
      </c>
      <c r="B6377" s="2" t="s">
        <v>4104</v>
      </c>
      <c r="C6377" s="2" t="s">
        <v>4087</v>
      </c>
      <c r="D6377" s="2"/>
      <c r="E6377" s="31" t="n">
        <v>47.7</v>
      </c>
      <c r="F6377" s="31" t="n">
        <v>44.6</v>
      </c>
      <c r="G6377" s="31" t="n">
        <v>80.8</v>
      </c>
      <c r="H6377" s="2" t="s">
        <v>668</v>
      </c>
    </row>
    <row r="6378" customFormat="false" ht="15" hidden="false" customHeight="false" outlineLevel="0" collapsed="false">
      <c r="A6378" s="2" t="s">
        <v>1388</v>
      </c>
      <c r="B6378" s="2" t="s">
        <v>45</v>
      </c>
      <c r="C6378" s="2" t="s">
        <v>4085</v>
      </c>
      <c r="D6378" s="11" t="n">
        <v>32878</v>
      </c>
      <c r="E6378" s="31" t="n">
        <v>10.1</v>
      </c>
      <c r="F6378" s="31" t="n">
        <v>38.7</v>
      </c>
      <c r="G6378" s="2"/>
      <c r="H6378" s="2" t="s">
        <v>671</v>
      </c>
    </row>
    <row r="6379" customFormat="false" ht="15" hidden="false" customHeight="false" outlineLevel="0" collapsed="false">
      <c r="A6379" s="2" t="s">
        <v>1388</v>
      </c>
      <c r="B6379" s="2" t="s">
        <v>45</v>
      </c>
      <c r="C6379" s="2" t="s">
        <v>4086</v>
      </c>
      <c r="D6379" s="2"/>
      <c r="E6379" s="2"/>
      <c r="F6379" s="2"/>
      <c r="G6379" s="2"/>
      <c r="H6379" s="2" t="s">
        <v>668</v>
      </c>
    </row>
    <row r="6380" customFormat="false" ht="15" hidden="false" customHeight="false" outlineLevel="0" collapsed="false">
      <c r="A6380" s="2" t="s">
        <v>1388</v>
      </c>
      <c r="B6380" s="2" t="s">
        <v>45</v>
      </c>
      <c r="C6380" s="2" t="s">
        <v>4087</v>
      </c>
      <c r="D6380" s="11" t="n">
        <v>32990</v>
      </c>
      <c r="E6380" s="31" t="n">
        <v>26.1</v>
      </c>
      <c r="F6380" s="2"/>
      <c r="G6380" s="2"/>
      <c r="H6380" s="2" t="s">
        <v>668</v>
      </c>
    </row>
    <row r="6381" customFormat="false" ht="15" hidden="false" customHeight="false" outlineLevel="0" collapsed="false">
      <c r="A6381" s="2" t="s">
        <v>1388</v>
      </c>
      <c r="B6381" s="2" t="s">
        <v>46</v>
      </c>
      <c r="C6381" s="2" t="s">
        <v>4085</v>
      </c>
      <c r="D6381" s="11" t="n">
        <v>64260</v>
      </c>
      <c r="E6381" s="31" t="n">
        <v>84.7</v>
      </c>
      <c r="F6381" s="31" t="n">
        <v>95.1</v>
      </c>
      <c r="G6381" s="31" t="n">
        <v>52.7</v>
      </c>
      <c r="H6381" s="2" t="s">
        <v>671</v>
      </c>
    </row>
    <row r="6382" customFormat="false" ht="15" hidden="false" customHeight="false" outlineLevel="0" collapsed="false">
      <c r="A6382" s="2" t="s">
        <v>1388</v>
      </c>
      <c r="B6382" s="2" t="s">
        <v>46</v>
      </c>
      <c r="C6382" s="2" t="s">
        <v>4086</v>
      </c>
      <c r="D6382" s="11" t="n">
        <v>68320</v>
      </c>
      <c r="E6382" s="31" t="n">
        <v>94.9</v>
      </c>
      <c r="F6382" s="31" t="n">
        <v>96.7</v>
      </c>
      <c r="G6382" s="31" t="n">
        <v>93.2</v>
      </c>
      <c r="H6382" s="2" t="s">
        <v>671</v>
      </c>
    </row>
    <row r="6383" customFormat="false" ht="15" hidden="false" customHeight="false" outlineLevel="0" collapsed="false">
      <c r="A6383" s="2" t="s">
        <v>1388</v>
      </c>
      <c r="B6383" s="2" t="s">
        <v>46</v>
      </c>
      <c r="C6383" s="2" t="s">
        <v>4087</v>
      </c>
      <c r="D6383" s="11" t="n">
        <v>75450</v>
      </c>
      <c r="E6383" s="31" t="n">
        <v>97.5</v>
      </c>
      <c r="F6383" s="31" t="n">
        <v>79.7</v>
      </c>
      <c r="G6383" s="31" t="n">
        <v>83.7</v>
      </c>
      <c r="H6383" s="2" t="s">
        <v>671</v>
      </c>
    </row>
    <row r="6384" customFormat="false" ht="15" hidden="false" customHeight="false" outlineLevel="0" collapsed="false">
      <c r="A6384" s="2" t="s">
        <v>1388</v>
      </c>
      <c r="B6384" s="2" t="s">
        <v>47</v>
      </c>
      <c r="C6384" s="2" t="s">
        <v>4085</v>
      </c>
      <c r="D6384" s="11" t="n">
        <v>43711</v>
      </c>
      <c r="E6384" s="31" t="n">
        <v>19.2</v>
      </c>
      <c r="F6384" s="31" t="n">
        <v>0.7</v>
      </c>
      <c r="G6384" s="31" t="n">
        <v>98.8</v>
      </c>
      <c r="H6384" s="2" t="s">
        <v>671</v>
      </c>
    </row>
    <row r="6385" customFormat="false" ht="15" hidden="false" customHeight="false" outlineLevel="0" collapsed="false">
      <c r="A6385" s="2" t="s">
        <v>1388</v>
      </c>
      <c r="B6385" s="2" t="s">
        <v>47</v>
      </c>
      <c r="C6385" s="2" t="s">
        <v>4086</v>
      </c>
      <c r="D6385" s="11" t="n">
        <v>42608</v>
      </c>
      <c r="E6385" s="31" t="n">
        <v>30.7</v>
      </c>
      <c r="F6385" s="31" t="n">
        <v>16.2</v>
      </c>
      <c r="G6385" s="31" t="n">
        <v>91.6</v>
      </c>
      <c r="H6385" s="2" t="s">
        <v>671</v>
      </c>
    </row>
    <row r="6386" customFormat="false" ht="15" hidden="false" customHeight="false" outlineLevel="0" collapsed="false">
      <c r="A6386" s="2" t="s">
        <v>1388</v>
      </c>
      <c r="B6386" s="2" t="s">
        <v>47</v>
      </c>
      <c r="C6386" s="2" t="s">
        <v>4087</v>
      </c>
      <c r="D6386" s="11" t="n">
        <v>42630</v>
      </c>
      <c r="E6386" s="31" t="n">
        <v>19.6</v>
      </c>
      <c r="F6386" s="31" t="n">
        <v>9.6</v>
      </c>
      <c r="G6386" s="31" t="n">
        <v>77.9</v>
      </c>
      <c r="H6386" s="2" t="s">
        <v>671</v>
      </c>
    </row>
    <row r="6387" customFormat="false" ht="15" hidden="false" customHeight="false" outlineLevel="0" collapsed="false">
      <c r="A6387" s="2" t="s">
        <v>780</v>
      </c>
      <c r="B6387" s="2" t="s">
        <v>4104</v>
      </c>
      <c r="C6387" s="2" t="s">
        <v>4085</v>
      </c>
      <c r="D6387" s="2"/>
      <c r="E6387" s="31" t="n">
        <v>38.4</v>
      </c>
      <c r="F6387" s="31" t="n">
        <v>49.6</v>
      </c>
      <c r="G6387" s="31" t="n">
        <v>9.9</v>
      </c>
      <c r="H6387" s="2" t="s">
        <v>668</v>
      </c>
    </row>
    <row r="6388" customFormat="false" ht="15" hidden="false" customHeight="false" outlineLevel="0" collapsed="false">
      <c r="A6388" s="2" t="s">
        <v>780</v>
      </c>
      <c r="B6388" s="2" t="s">
        <v>4104</v>
      </c>
      <c r="C6388" s="2" t="s">
        <v>4086</v>
      </c>
      <c r="D6388" s="2"/>
      <c r="E6388" s="31" t="n">
        <v>42.2</v>
      </c>
      <c r="F6388" s="31" t="n">
        <v>66.8</v>
      </c>
      <c r="G6388" s="31" t="n">
        <v>17.8</v>
      </c>
      <c r="H6388" s="2" t="s">
        <v>668</v>
      </c>
    </row>
    <row r="6389" customFormat="false" ht="15" hidden="false" customHeight="false" outlineLevel="0" collapsed="false">
      <c r="A6389" s="2" t="s">
        <v>780</v>
      </c>
      <c r="B6389" s="2" t="s">
        <v>4104</v>
      </c>
      <c r="C6389" s="2" t="s">
        <v>4087</v>
      </c>
      <c r="D6389" s="2"/>
      <c r="E6389" s="31" t="n">
        <v>47.9</v>
      </c>
      <c r="F6389" s="31" t="n">
        <v>52.1</v>
      </c>
      <c r="G6389" s="31" t="n">
        <v>22.3</v>
      </c>
      <c r="H6389" s="2" t="s">
        <v>668</v>
      </c>
    </row>
    <row r="6390" customFormat="false" ht="15" hidden="false" customHeight="false" outlineLevel="0" collapsed="false">
      <c r="A6390" s="2" t="s">
        <v>780</v>
      </c>
      <c r="B6390" s="2" t="s">
        <v>45</v>
      </c>
      <c r="C6390" s="2" t="s">
        <v>4085</v>
      </c>
      <c r="D6390" s="11" t="n">
        <v>42060</v>
      </c>
      <c r="E6390" s="31" t="n">
        <v>75.6</v>
      </c>
      <c r="F6390" s="31" t="n">
        <v>44.5</v>
      </c>
      <c r="G6390" s="31" t="n">
        <v>5.9</v>
      </c>
      <c r="H6390" s="2" t="s">
        <v>671</v>
      </c>
    </row>
    <row r="6391" customFormat="false" ht="15" hidden="false" customHeight="false" outlineLevel="0" collapsed="false">
      <c r="A6391" s="2" t="s">
        <v>780</v>
      </c>
      <c r="B6391" s="2" t="s">
        <v>45</v>
      </c>
      <c r="C6391" s="2" t="s">
        <v>4086</v>
      </c>
      <c r="D6391" s="11" t="n">
        <v>43060</v>
      </c>
      <c r="E6391" s="31" t="n">
        <v>67.3</v>
      </c>
      <c r="F6391" s="31" t="n">
        <v>85.6</v>
      </c>
      <c r="G6391" s="2"/>
      <c r="H6391" s="2" t="s">
        <v>668</v>
      </c>
    </row>
    <row r="6392" customFormat="false" ht="15" hidden="false" customHeight="false" outlineLevel="0" collapsed="false">
      <c r="A6392" s="2" t="s">
        <v>780</v>
      </c>
      <c r="B6392" s="2" t="s">
        <v>45</v>
      </c>
      <c r="C6392" s="2" t="s">
        <v>4087</v>
      </c>
      <c r="D6392" s="11" t="n">
        <v>44770</v>
      </c>
      <c r="E6392" s="31" t="n">
        <v>85.9</v>
      </c>
      <c r="F6392" s="31" t="n">
        <v>67.9</v>
      </c>
      <c r="G6392" s="31" t="n">
        <v>21.3</v>
      </c>
      <c r="H6392" s="2" t="s">
        <v>671</v>
      </c>
    </row>
    <row r="6393" customFormat="false" ht="15" hidden="false" customHeight="false" outlineLevel="0" collapsed="false">
      <c r="A6393" s="2" t="s">
        <v>780</v>
      </c>
      <c r="B6393" s="2" t="s">
        <v>46</v>
      </c>
      <c r="C6393" s="2" t="s">
        <v>4085</v>
      </c>
      <c r="D6393" s="11" t="n">
        <v>54440</v>
      </c>
      <c r="E6393" s="31" t="n">
        <v>10.4</v>
      </c>
      <c r="F6393" s="31" t="n">
        <v>82.8</v>
      </c>
      <c r="G6393" s="2"/>
      <c r="H6393" s="2" t="s">
        <v>668</v>
      </c>
    </row>
    <row r="6394" customFormat="false" ht="15" hidden="false" customHeight="false" outlineLevel="0" collapsed="false">
      <c r="A6394" s="2" t="s">
        <v>780</v>
      </c>
      <c r="B6394" s="2" t="s">
        <v>46</v>
      </c>
      <c r="C6394" s="2" t="s">
        <v>4086</v>
      </c>
      <c r="D6394" s="11" t="n">
        <v>56740</v>
      </c>
      <c r="E6394" s="31" t="n">
        <v>22.2</v>
      </c>
      <c r="F6394" s="31" t="n">
        <v>78.2</v>
      </c>
      <c r="G6394" s="31" t="n">
        <v>2</v>
      </c>
      <c r="H6394" s="2" t="s">
        <v>671</v>
      </c>
    </row>
    <row r="6395" customFormat="false" ht="15" hidden="false" customHeight="false" outlineLevel="0" collapsed="false">
      <c r="A6395" s="2" t="s">
        <v>780</v>
      </c>
      <c r="B6395" s="2" t="s">
        <v>46</v>
      </c>
      <c r="C6395" s="2" t="s">
        <v>4087</v>
      </c>
      <c r="D6395" s="11" t="n">
        <v>60050</v>
      </c>
      <c r="E6395" s="31" t="n">
        <v>9.9</v>
      </c>
      <c r="F6395" s="31" t="n">
        <v>68</v>
      </c>
      <c r="G6395" s="31" t="n">
        <v>37.3</v>
      </c>
      <c r="H6395" s="2" t="s">
        <v>671</v>
      </c>
    </row>
    <row r="6396" customFormat="false" ht="15" hidden="false" customHeight="false" outlineLevel="0" collapsed="false">
      <c r="A6396" s="2" t="s">
        <v>780</v>
      </c>
      <c r="B6396" s="2" t="s">
        <v>47</v>
      </c>
      <c r="C6396" s="2" t="s">
        <v>4085</v>
      </c>
      <c r="D6396" s="11" t="n">
        <v>495713</v>
      </c>
      <c r="E6396" s="31" t="n">
        <v>29.2</v>
      </c>
      <c r="F6396" s="31" t="n">
        <v>21.6</v>
      </c>
      <c r="G6396" s="31" t="n">
        <v>13.8</v>
      </c>
      <c r="H6396" s="2" t="s">
        <v>671</v>
      </c>
    </row>
    <row r="6397" customFormat="false" ht="15" hidden="false" customHeight="false" outlineLevel="0" collapsed="false">
      <c r="A6397" s="2" t="s">
        <v>780</v>
      </c>
      <c r="B6397" s="2" t="s">
        <v>47</v>
      </c>
      <c r="C6397" s="2" t="s">
        <v>4086</v>
      </c>
      <c r="D6397" s="11" t="n">
        <v>307636</v>
      </c>
      <c r="E6397" s="31" t="n">
        <v>37.2</v>
      </c>
      <c r="F6397" s="31" t="n">
        <v>36.6</v>
      </c>
      <c r="G6397" s="31" t="n">
        <v>33.5</v>
      </c>
      <c r="H6397" s="2" t="s">
        <v>671</v>
      </c>
    </row>
    <row r="6398" customFormat="false" ht="15" hidden="false" customHeight="false" outlineLevel="0" collapsed="false">
      <c r="A6398" s="2" t="s">
        <v>780</v>
      </c>
      <c r="B6398" s="2" t="s">
        <v>47</v>
      </c>
      <c r="C6398" s="2" t="s">
        <v>4087</v>
      </c>
      <c r="D6398" s="11" t="n">
        <v>505676</v>
      </c>
      <c r="E6398" s="2"/>
      <c r="F6398" s="31" t="n">
        <v>20.5</v>
      </c>
      <c r="G6398" s="31" t="n">
        <v>8.2</v>
      </c>
      <c r="H6398" s="2" t="s">
        <v>668</v>
      </c>
    </row>
    <row r="6399" customFormat="false" ht="15" hidden="false" customHeight="false" outlineLevel="0" collapsed="false">
      <c r="A6399" s="2" t="s">
        <v>1008</v>
      </c>
      <c r="B6399" s="2" t="s">
        <v>4104</v>
      </c>
      <c r="C6399" s="2" t="s">
        <v>4085</v>
      </c>
      <c r="D6399" s="2"/>
      <c r="E6399" s="31" t="n">
        <v>29.6</v>
      </c>
      <c r="F6399" s="31" t="n">
        <v>43.8</v>
      </c>
      <c r="G6399" s="31" t="n">
        <v>12.7</v>
      </c>
      <c r="H6399" s="2" t="s">
        <v>668</v>
      </c>
    </row>
    <row r="6400" customFormat="false" ht="15" hidden="false" customHeight="false" outlineLevel="0" collapsed="false">
      <c r="A6400" s="2" t="s">
        <v>1008</v>
      </c>
      <c r="B6400" s="2" t="s">
        <v>4104</v>
      </c>
      <c r="C6400" s="2" t="s">
        <v>4086</v>
      </c>
      <c r="D6400" s="2"/>
      <c r="E6400" s="31" t="n">
        <v>58.7</v>
      </c>
      <c r="F6400" s="31" t="n">
        <v>76.3</v>
      </c>
      <c r="G6400" s="2"/>
      <c r="H6400" s="2" t="s">
        <v>668</v>
      </c>
    </row>
    <row r="6401" customFormat="false" ht="15" hidden="false" customHeight="false" outlineLevel="0" collapsed="false">
      <c r="A6401" s="2" t="s">
        <v>1008</v>
      </c>
      <c r="B6401" s="2" t="s">
        <v>4104</v>
      </c>
      <c r="C6401" s="2" t="s">
        <v>4087</v>
      </c>
      <c r="D6401" s="2"/>
      <c r="E6401" s="31" t="n">
        <v>67.3</v>
      </c>
      <c r="F6401" s="31" t="n">
        <v>36.2</v>
      </c>
      <c r="G6401" s="31" t="n">
        <v>32.2</v>
      </c>
      <c r="H6401" s="2" t="s">
        <v>668</v>
      </c>
    </row>
    <row r="6402" customFormat="false" ht="15" hidden="false" customHeight="false" outlineLevel="0" collapsed="false">
      <c r="A6402" s="2" t="s">
        <v>1008</v>
      </c>
      <c r="B6402" s="2" t="s">
        <v>45</v>
      </c>
      <c r="C6402" s="2" t="s">
        <v>4085</v>
      </c>
      <c r="D6402" s="11" t="n">
        <v>2630</v>
      </c>
      <c r="E6402" s="31" t="n">
        <v>33.7</v>
      </c>
      <c r="F6402" s="2"/>
      <c r="G6402" s="2"/>
      <c r="H6402" s="2" t="s">
        <v>668</v>
      </c>
    </row>
    <row r="6403" customFormat="false" ht="15" hidden="false" customHeight="false" outlineLevel="0" collapsed="false">
      <c r="A6403" s="2" t="s">
        <v>1008</v>
      </c>
      <c r="B6403" s="2" t="s">
        <v>45</v>
      </c>
      <c r="C6403" s="2" t="s">
        <v>4086</v>
      </c>
      <c r="D6403" s="2"/>
      <c r="E6403" s="2"/>
      <c r="F6403" s="2"/>
      <c r="G6403" s="2"/>
      <c r="H6403" s="2" t="s">
        <v>668</v>
      </c>
    </row>
    <row r="6404" customFormat="false" ht="15" hidden="false" customHeight="false" outlineLevel="0" collapsed="false">
      <c r="A6404" s="2" t="s">
        <v>1008</v>
      </c>
      <c r="B6404" s="2" t="s">
        <v>45</v>
      </c>
      <c r="C6404" s="2" t="s">
        <v>4087</v>
      </c>
      <c r="D6404" s="11" t="n">
        <v>2644</v>
      </c>
      <c r="E6404" s="31" t="n">
        <v>53.4</v>
      </c>
      <c r="F6404" s="31" t="n">
        <v>5.6</v>
      </c>
      <c r="G6404" s="31" t="n">
        <v>61.3</v>
      </c>
      <c r="H6404" s="2" t="s">
        <v>671</v>
      </c>
    </row>
    <row r="6405" customFormat="false" ht="15" hidden="false" customHeight="false" outlineLevel="0" collapsed="false">
      <c r="A6405" s="2" t="s">
        <v>1008</v>
      </c>
      <c r="B6405" s="2" t="s">
        <v>47</v>
      </c>
      <c r="C6405" s="2" t="s">
        <v>4085</v>
      </c>
      <c r="D6405" s="11" t="n">
        <v>20507</v>
      </c>
      <c r="E6405" s="31" t="n">
        <v>25.6</v>
      </c>
      <c r="F6405" s="31" t="n">
        <v>43.8</v>
      </c>
      <c r="G6405" s="31" t="n">
        <v>12.7</v>
      </c>
      <c r="H6405" s="2" t="s">
        <v>671</v>
      </c>
    </row>
    <row r="6406" customFormat="false" ht="15" hidden="false" customHeight="false" outlineLevel="0" collapsed="false">
      <c r="A6406" s="2" t="s">
        <v>1008</v>
      </c>
      <c r="B6406" s="2" t="s">
        <v>47</v>
      </c>
      <c r="C6406" s="2" t="s">
        <v>4086</v>
      </c>
      <c r="D6406" s="11" t="n">
        <v>21700</v>
      </c>
      <c r="E6406" s="31" t="n">
        <v>58.7</v>
      </c>
      <c r="F6406" s="31" t="n">
        <v>76.3</v>
      </c>
      <c r="G6406" s="2"/>
      <c r="H6406" s="2" t="s">
        <v>668</v>
      </c>
    </row>
    <row r="6407" customFormat="false" ht="15" hidden="false" customHeight="false" outlineLevel="0" collapsed="false">
      <c r="A6407" s="2" t="s">
        <v>1008</v>
      </c>
      <c r="B6407" s="2" t="s">
        <v>47</v>
      </c>
      <c r="C6407" s="2" t="s">
        <v>4087</v>
      </c>
      <c r="D6407" s="11" t="n">
        <v>22142</v>
      </c>
      <c r="E6407" s="31" t="n">
        <v>81.2</v>
      </c>
      <c r="F6407" s="31" t="n">
        <v>66.7</v>
      </c>
      <c r="G6407" s="31" t="n">
        <v>3</v>
      </c>
      <c r="H6407" s="2" t="s">
        <v>668</v>
      </c>
    </row>
    <row r="6408" customFormat="false" ht="15" hidden="false" customHeight="false" outlineLevel="0" collapsed="false">
      <c r="A6408" s="2" t="s">
        <v>1728</v>
      </c>
      <c r="B6408" s="2" t="s">
        <v>4104</v>
      </c>
      <c r="C6408" s="2" t="s">
        <v>4085</v>
      </c>
      <c r="D6408" s="2"/>
      <c r="E6408" s="31" t="n">
        <v>66.4</v>
      </c>
      <c r="F6408" s="31" t="n">
        <v>38.8</v>
      </c>
      <c r="G6408" s="31" t="n">
        <v>28</v>
      </c>
      <c r="H6408" s="2" t="s">
        <v>668</v>
      </c>
    </row>
    <row r="6409" customFormat="false" ht="15" hidden="false" customHeight="false" outlineLevel="0" collapsed="false">
      <c r="A6409" s="2" t="s">
        <v>1728</v>
      </c>
      <c r="B6409" s="2" t="s">
        <v>4104</v>
      </c>
      <c r="C6409" s="2" t="s">
        <v>4086</v>
      </c>
      <c r="D6409" s="2"/>
      <c r="E6409" s="31" t="n">
        <v>46.4</v>
      </c>
      <c r="F6409" s="31" t="n">
        <v>38.8</v>
      </c>
      <c r="G6409" s="31" t="n">
        <v>55.2</v>
      </c>
      <c r="H6409" s="2" t="s">
        <v>668</v>
      </c>
    </row>
    <row r="6410" customFormat="false" ht="15" hidden="false" customHeight="false" outlineLevel="0" collapsed="false">
      <c r="A6410" s="2" t="s">
        <v>1728</v>
      </c>
      <c r="B6410" s="2" t="s">
        <v>4104</v>
      </c>
      <c r="C6410" s="2" t="s">
        <v>4087</v>
      </c>
      <c r="D6410" s="2"/>
      <c r="E6410" s="31" t="n">
        <v>41.9</v>
      </c>
      <c r="F6410" s="31" t="n">
        <v>50.8</v>
      </c>
      <c r="G6410" s="31" t="n">
        <v>65.4</v>
      </c>
      <c r="H6410" s="2" t="s">
        <v>668</v>
      </c>
    </row>
    <row r="6411" customFormat="false" ht="15" hidden="false" customHeight="false" outlineLevel="0" collapsed="false">
      <c r="A6411" s="2" t="s">
        <v>1728</v>
      </c>
      <c r="B6411" s="2" t="s">
        <v>45</v>
      </c>
      <c r="C6411" s="2" t="s">
        <v>4085</v>
      </c>
      <c r="D6411" s="11" t="n">
        <v>50827</v>
      </c>
      <c r="E6411" s="31" t="n">
        <v>56.2</v>
      </c>
      <c r="F6411" s="31" t="n">
        <v>54</v>
      </c>
      <c r="G6411" s="2"/>
      <c r="H6411" s="2" t="s">
        <v>671</v>
      </c>
    </row>
    <row r="6412" customFormat="false" ht="15" hidden="false" customHeight="false" outlineLevel="0" collapsed="false">
      <c r="A6412" s="2" t="s">
        <v>1728</v>
      </c>
      <c r="B6412" s="2" t="s">
        <v>45</v>
      </c>
      <c r="C6412" s="2" t="s">
        <v>4086</v>
      </c>
      <c r="D6412" s="11" t="n">
        <v>53700</v>
      </c>
      <c r="E6412" s="31" t="n">
        <v>49.1</v>
      </c>
      <c r="F6412" s="31" t="n">
        <v>33</v>
      </c>
      <c r="G6412" s="2"/>
      <c r="H6412" s="2" t="s">
        <v>671</v>
      </c>
    </row>
    <row r="6413" customFormat="false" ht="15" hidden="false" customHeight="false" outlineLevel="0" collapsed="false">
      <c r="A6413" s="2" t="s">
        <v>1728</v>
      </c>
      <c r="B6413" s="2" t="s">
        <v>45</v>
      </c>
      <c r="C6413" s="2" t="s">
        <v>4087</v>
      </c>
      <c r="D6413" s="11" t="n">
        <v>53732</v>
      </c>
      <c r="E6413" s="2"/>
      <c r="F6413" s="31" t="n">
        <v>30.2</v>
      </c>
      <c r="G6413" s="2"/>
      <c r="H6413" s="2" t="s">
        <v>668</v>
      </c>
    </row>
    <row r="6414" customFormat="false" ht="15" hidden="false" customHeight="false" outlineLevel="0" collapsed="false">
      <c r="A6414" s="2" t="s">
        <v>1728</v>
      </c>
      <c r="B6414" s="2" t="s">
        <v>46</v>
      </c>
      <c r="C6414" s="2" t="s">
        <v>4085</v>
      </c>
      <c r="D6414" s="2"/>
      <c r="E6414" s="2"/>
      <c r="F6414" s="2"/>
      <c r="G6414" s="2"/>
      <c r="H6414" s="2" t="s">
        <v>668</v>
      </c>
    </row>
    <row r="6415" customFormat="false" ht="15" hidden="false" customHeight="false" outlineLevel="0" collapsed="false">
      <c r="A6415" s="2" t="s">
        <v>1728</v>
      </c>
      <c r="B6415" s="2" t="s">
        <v>46</v>
      </c>
      <c r="C6415" s="2" t="s">
        <v>4086</v>
      </c>
      <c r="D6415" s="11" t="n">
        <v>17565</v>
      </c>
      <c r="E6415" s="31" t="n">
        <v>60.1</v>
      </c>
      <c r="F6415" s="31" t="n">
        <v>50.9</v>
      </c>
      <c r="G6415" s="2"/>
      <c r="H6415" s="2" t="s">
        <v>668</v>
      </c>
    </row>
    <row r="6416" customFormat="false" ht="15" hidden="false" customHeight="false" outlineLevel="0" collapsed="false">
      <c r="A6416" s="2" t="s">
        <v>1728</v>
      </c>
      <c r="B6416" s="2" t="s">
        <v>46</v>
      </c>
      <c r="C6416" s="2" t="s">
        <v>4087</v>
      </c>
      <c r="D6416" s="11" t="n">
        <v>18360</v>
      </c>
      <c r="E6416" s="31" t="n">
        <v>41.9</v>
      </c>
      <c r="F6416" s="31" t="n">
        <v>71.4</v>
      </c>
      <c r="G6416" s="31" t="n">
        <v>47.7</v>
      </c>
      <c r="H6416" s="2" t="s">
        <v>671</v>
      </c>
    </row>
    <row r="6417" customFormat="false" ht="15" hidden="false" customHeight="false" outlineLevel="0" collapsed="false">
      <c r="A6417" s="2" t="s">
        <v>1728</v>
      </c>
      <c r="B6417" s="2" t="s">
        <v>47</v>
      </c>
      <c r="C6417" s="2" t="s">
        <v>4085</v>
      </c>
      <c r="D6417" s="11" t="n">
        <v>29560</v>
      </c>
      <c r="E6417" s="31" t="n">
        <v>76.5</v>
      </c>
      <c r="F6417" s="31" t="n">
        <v>23.5</v>
      </c>
      <c r="G6417" s="31" t="n">
        <v>28</v>
      </c>
      <c r="H6417" s="2" t="s">
        <v>671</v>
      </c>
    </row>
    <row r="6418" customFormat="false" ht="15" hidden="false" customHeight="false" outlineLevel="0" collapsed="false">
      <c r="A6418" s="2" t="s">
        <v>1728</v>
      </c>
      <c r="B6418" s="2" t="s">
        <v>47</v>
      </c>
      <c r="C6418" s="2" t="s">
        <v>4086</v>
      </c>
      <c r="D6418" s="11" t="n">
        <v>30750</v>
      </c>
      <c r="E6418" s="31" t="n">
        <v>30</v>
      </c>
      <c r="F6418" s="31" t="n">
        <v>32.5</v>
      </c>
      <c r="G6418" s="31" t="n">
        <v>55.2</v>
      </c>
      <c r="H6418" s="2" t="s">
        <v>671</v>
      </c>
    </row>
    <row r="6419" customFormat="false" ht="15" hidden="false" customHeight="false" outlineLevel="0" collapsed="false">
      <c r="A6419" s="2" t="s">
        <v>1728</v>
      </c>
      <c r="B6419" s="2" t="s">
        <v>47</v>
      </c>
      <c r="C6419" s="2" t="s">
        <v>4087</v>
      </c>
      <c r="D6419" s="11" t="n">
        <v>30689</v>
      </c>
      <c r="E6419" s="2"/>
      <c r="F6419" s="2"/>
      <c r="G6419" s="31" t="n">
        <v>83.2</v>
      </c>
      <c r="H6419" s="2" t="s">
        <v>668</v>
      </c>
    </row>
    <row r="6420" customFormat="false" ht="15" hidden="false" customHeight="false" outlineLevel="0" collapsed="false">
      <c r="A6420" s="2" t="s">
        <v>446</v>
      </c>
      <c r="B6420" s="2" t="s">
        <v>4104</v>
      </c>
      <c r="C6420" s="2" t="s">
        <v>4085</v>
      </c>
      <c r="D6420" s="2"/>
      <c r="E6420" s="31" t="n">
        <v>62.8</v>
      </c>
      <c r="F6420" s="31" t="n">
        <v>51.2</v>
      </c>
      <c r="G6420" s="31" t="n">
        <v>75.1</v>
      </c>
      <c r="H6420" s="2" t="s">
        <v>668</v>
      </c>
    </row>
    <row r="6421" customFormat="false" ht="15" hidden="false" customHeight="false" outlineLevel="0" collapsed="false">
      <c r="A6421" s="2" t="s">
        <v>446</v>
      </c>
      <c r="B6421" s="2" t="s">
        <v>4104</v>
      </c>
      <c r="C6421" s="2" t="s">
        <v>4086</v>
      </c>
      <c r="D6421" s="2"/>
      <c r="E6421" s="31" t="n">
        <v>43.5</v>
      </c>
      <c r="F6421" s="31" t="n">
        <v>62.2</v>
      </c>
      <c r="G6421" s="31" t="n">
        <v>77.4</v>
      </c>
      <c r="H6421" s="2" t="s">
        <v>671</v>
      </c>
    </row>
    <row r="6422" customFormat="false" ht="15" hidden="false" customHeight="false" outlineLevel="0" collapsed="false">
      <c r="A6422" s="2" t="s">
        <v>446</v>
      </c>
      <c r="B6422" s="2" t="s">
        <v>4104</v>
      </c>
      <c r="C6422" s="2" t="s">
        <v>4087</v>
      </c>
      <c r="D6422" s="2"/>
      <c r="E6422" s="31" t="n">
        <v>41.4</v>
      </c>
      <c r="F6422" s="31" t="n">
        <v>74.5</v>
      </c>
      <c r="G6422" s="31" t="n">
        <v>71.2</v>
      </c>
      <c r="H6422" s="2" t="s">
        <v>671</v>
      </c>
    </row>
    <row r="6423" customFormat="false" ht="15" hidden="false" customHeight="false" outlineLevel="0" collapsed="false">
      <c r="A6423" s="2" t="s">
        <v>446</v>
      </c>
      <c r="B6423" s="2" t="s">
        <v>45</v>
      </c>
      <c r="C6423" s="2" t="s">
        <v>4085</v>
      </c>
      <c r="D6423" s="2"/>
      <c r="E6423" s="2"/>
      <c r="F6423" s="2"/>
      <c r="G6423" s="2"/>
      <c r="H6423" s="2" t="s">
        <v>668</v>
      </c>
    </row>
    <row r="6424" customFormat="false" ht="15" hidden="false" customHeight="false" outlineLevel="0" collapsed="false">
      <c r="A6424" s="2" t="s">
        <v>446</v>
      </c>
      <c r="B6424" s="2" t="s">
        <v>45</v>
      </c>
      <c r="C6424" s="2" t="s">
        <v>4086</v>
      </c>
      <c r="D6424" s="11" t="n">
        <v>56720</v>
      </c>
      <c r="E6424" s="31" t="n">
        <v>1.5</v>
      </c>
      <c r="F6424" s="31" t="n">
        <v>83.5</v>
      </c>
      <c r="G6424" s="31" t="n">
        <v>98.4</v>
      </c>
      <c r="H6424" s="2" t="s">
        <v>671</v>
      </c>
    </row>
    <row r="6425" customFormat="false" ht="15" hidden="false" customHeight="false" outlineLevel="0" collapsed="false">
      <c r="A6425" s="2" t="s">
        <v>446</v>
      </c>
      <c r="B6425" s="2" t="s">
        <v>45</v>
      </c>
      <c r="C6425" s="2" t="s">
        <v>4087</v>
      </c>
      <c r="D6425" s="11" t="n">
        <v>59760</v>
      </c>
      <c r="E6425" s="31" t="n">
        <v>6</v>
      </c>
      <c r="F6425" s="31" t="n">
        <v>98.8</v>
      </c>
      <c r="G6425" s="31" t="n">
        <v>88.7</v>
      </c>
      <c r="H6425" s="2" t="s">
        <v>671</v>
      </c>
    </row>
    <row r="6426" customFormat="false" ht="15" hidden="false" customHeight="false" outlineLevel="0" collapsed="false">
      <c r="A6426" s="2" t="s">
        <v>446</v>
      </c>
      <c r="B6426" s="2" t="s">
        <v>46</v>
      </c>
      <c r="C6426" s="2" t="s">
        <v>4085</v>
      </c>
      <c r="D6426" s="11" t="n">
        <v>44360</v>
      </c>
      <c r="E6426" s="31" t="n">
        <v>71.2</v>
      </c>
      <c r="F6426" s="31" t="n">
        <v>6</v>
      </c>
      <c r="G6426" s="31" t="n">
        <v>81.1</v>
      </c>
      <c r="H6426" s="2" t="s">
        <v>671</v>
      </c>
    </row>
    <row r="6427" customFormat="false" ht="15" hidden="false" customHeight="false" outlineLevel="0" collapsed="false">
      <c r="A6427" s="2" t="s">
        <v>446</v>
      </c>
      <c r="B6427" s="2" t="s">
        <v>46</v>
      </c>
      <c r="C6427" s="2" t="s">
        <v>4086</v>
      </c>
      <c r="D6427" s="11" t="n">
        <v>45330</v>
      </c>
      <c r="E6427" s="31" t="n">
        <v>69.5</v>
      </c>
      <c r="F6427" s="31" t="n">
        <v>17.5</v>
      </c>
      <c r="G6427" s="31" t="n">
        <v>38.9</v>
      </c>
      <c r="H6427" s="2" t="s">
        <v>671</v>
      </c>
    </row>
    <row r="6428" customFormat="false" ht="15" hidden="false" customHeight="false" outlineLevel="0" collapsed="false">
      <c r="A6428" s="2" t="s">
        <v>446</v>
      </c>
      <c r="B6428" s="2" t="s">
        <v>46</v>
      </c>
      <c r="C6428" s="2" t="s">
        <v>4087</v>
      </c>
      <c r="D6428" s="11" t="n">
        <v>45730</v>
      </c>
      <c r="E6428" s="31" t="n">
        <v>86.9</v>
      </c>
      <c r="F6428" s="31" t="n">
        <v>32</v>
      </c>
      <c r="G6428" s="31" t="n">
        <v>53.4</v>
      </c>
      <c r="H6428" s="2" t="s">
        <v>671</v>
      </c>
    </row>
    <row r="6429" customFormat="false" ht="15" hidden="false" customHeight="false" outlineLevel="0" collapsed="false">
      <c r="A6429" s="2" t="s">
        <v>446</v>
      </c>
      <c r="B6429" s="2" t="s">
        <v>47</v>
      </c>
      <c r="C6429" s="2" t="s">
        <v>4085</v>
      </c>
      <c r="D6429" s="11" t="n">
        <v>313120</v>
      </c>
      <c r="E6429" s="31" t="n">
        <v>54.3</v>
      </c>
      <c r="F6429" s="31" t="n">
        <v>96.3</v>
      </c>
      <c r="G6429" s="31" t="n">
        <v>69.1</v>
      </c>
      <c r="H6429" s="2" t="s">
        <v>671</v>
      </c>
    </row>
    <row r="6430" customFormat="false" ht="15" hidden="false" customHeight="false" outlineLevel="0" collapsed="false">
      <c r="A6430" s="2" t="s">
        <v>446</v>
      </c>
      <c r="B6430" s="2" t="s">
        <v>47</v>
      </c>
      <c r="C6430" s="2" t="s">
        <v>4086</v>
      </c>
      <c r="D6430" s="11" t="n">
        <v>337181</v>
      </c>
      <c r="E6430" s="31" t="n">
        <v>59.4</v>
      </c>
      <c r="F6430" s="31" t="n">
        <v>85.7</v>
      </c>
      <c r="G6430" s="31" t="n">
        <v>94.8</v>
      </c>
      <c r="H6430" s="2" t="s">
        <v>671</v>
      </c>
    </row>
    <row r="6431" customFormat="false" ht="15" hidden="false" customHeight="false" outlineLevel="0" collapsed="false">
      <c r="A6431" s="2" t="s">
        <v>446</v>
      </c>
      <c r="B6431" s="2" t="s">
        <v>47</v>
      </c>
      <c r="C6431" s="2" t="s">
        <v>4087</v>
      </c>
      <c r="D6431" s="11" t="n">
        <v>358884</v>
      </c>
      <c r="E6431" s="31" t="n">
        <v>31.2</v>
      </c>
      <c r="F6431" s="31" t="n">
        <v>92.8</v>
      </c>
      <c r="G6431" s="31" t="n">
        <v>71.6</v>
      </c>
      <c r="H6431" s="2" t="s">
        <v>671</v>
      </c>
    </row>
    <row r="6432" customFormat="false" ht="15" hidden="false" customHeight="false" outlineLevel="0" collapsed="false">
      <c r="A6432" s="2" t="s">
        <v>2452</v>
      </c>
      <c r="B6432" s="2" t="s">
        <v>4104</v>
      </c>
      <c r="C6432" s="2" t="s">
        <v>4085</v>
      </c>
      <c r="D6432" s="2"/>
      <c r="E6432" s="31" t="n">
        <v>44.3</v>
      </c>
      <c r="F6432" s="31" t="n">
        <v>52.1</v>
      </c>
      <c r="G6432" s="31" t="n">
        <v>47.6</v>
      </c>
      <c r="H6432" s="2" t="s">
        <v>671</v>
      </c>
    </row>
    <row r="6433" customFormat="false" ht="15" hidden="false" customHeight="false" outlineLevel="0" collapsed="false">
      <c r="A6433" s="2" t="s">
        <v>2452</v>
      </c>
      <c r="B6433" s="2" t="s">
        <v>4104</v>
      </c>
      <c r="C6433" s="2" t="s">
        <v>4086</v>
      </c>
      <c r="D6433" s="2"/>
      <c r="E6433" s="31" t="n">
        <v>54.1</v>
      </c>
      <c r="F6433" s="31" t="n">
        <v>48.4</v>
      </c>
      <c r="G6433" s="31" t="n">
        <v>48.2</v>
      </c>
      <c r="H6433" s="2" t="s">
        <v>671</v>
      </c>
    </row>
    <row r="6434" customFormat="false" ht="15" hidden="false" customHeight="false" outlineLevel="0" collapsed="false">
      <c r="A6434" s="2" t="s">
        <v>2452</v>
      </c>
      <c r="B6434" s="2" t="s">
        <v>4104</v>
      </c>
      <c r="C6434" s="2" t="s">
        <v>4087</v>
      </c>
      <c r="D6434" s="2"/>
      <c r="E6434" s="31" t="n">
        <v>42</v>
      </c>
      <c r="F6434" s="31" t="n">
        <v>65.6</v>
      </c>
      <c r="G6434" s="31" t="n">
        <v>76.4</v>
      </c>
      <c r="H6434" s="2" t="s">
        <v>668</v>
      </c>
    </row>
    <row r="6435" customFormat="false" ht="15" hidden="false" customHeight="false" outlineLevel="0" collapsed="false">
      <c r="A6435" s="2" t="s">
        <v>2452</v>
      </c>
      <c r="B6435" s="2" t="s">
        <v>45</v>
      </c>
      <c r="C6435" s="2" t="s">
        <v>4085</v>
      </c>
      <c r="D6435" s="11" t="n">
        <v>43962</v>
      </c>
      <c r="E6435" s="31" t="n">
        <v>25.1</v>
      </c>
      <c r="F6435" s="31" t="n">
        <v>8.8</v>
      </c>
      <c r="G6435" s="2"/>
      <c r="H6435" s="2" t="s">
        <v>671</v>
      </c>
    </row>
    <row r="6436" customFormat="false" ht="15" hidden="false" customHeight="false" outlineLevel="0" collapsed="false">
      <c r="A6436" s="2" t="s">
        <v>2452</v>
      </c>
      <c r="B6436" s="2" t="s">
        <v>45</v>
      </c>
      <c r="C6436" s="2" t="s">
        <v>4086</v>
      </c>
      <c r="D6436" s="11" t="n">
        <v>44020</v>
      </c>
      <c r="E6436" s="31" t="n">
        <v>35.5</v>
      </c>
      <c r="F6436" s="31" t="n">
        <v>12</v>
      </c>
      <c r="G6436" s="2"/>
      <c r="H6436" s="2" t="s">
        <v>671</v>
      </c>
    </row>
    <row r="6437" customFormat="false" ht="15" hidden="false" customHeight="false" outlineLevel="0" collapsed="false">
      <c r="A6437" s="2" t="s">
        <v>2452</v>
      </c>
      <c r="B6437" s="2" t="s">
        <v>45</v>
      </c>
      <c r="C6437" s="2" t="s">
        <v>4087</v>
      </c>
      <c r="D6437" s="2"/>
      <c r="E6437" s="2"/>
      <c r="F6437" s="2"/>
      <c r="G6437" s="2"/>
      <c r="H6437" s="2" t="s">
        <v>668</v>
      </c>
    </row>
    <row r="6438" customFormat="false" ht="15" hidden="false" customHeight="false" outlineLevel="0" collapsed="false">
      <c r="A6438" s="2" t="s">
        <v>2452</v>
      </c>
      <c r="B6438" s="2" t="s">
        <v>46</v>
      </c>
      <c r="C6438" s="2" t="s">
        <v>4085</v>
      </c>
      <c r="D6438" s="11" t="n">
        <v>518530</v>
      </c>
      <c r="E6438" s="31" t="n">
        <v>56.8</v>
      </c>
      <c r="F6438" s="31" t="n">
        <v>59.6</v>
      </c>
      <c r="G6438" s="31" t="n">
        <v>29.7</v>
      </c>
      <c r="H6438" s="2" t="s">
        <v>671</v>
      </c>
    </row>
    <row r="6439" customFormat="false" ht="15" hidden="false" customHeight="false" outlineLevel="0" collapsed="false">
      <c r="A6439" s="2" t="s">
        <v>2452</v>
      </c>
      <c r="B6439" s="2" t="s">
        <v>46</v>
      </c>
      <c r="C6439" s="2" t="s">
        <v>4086</v>
      </c>
      <c r="D6439" s="11" t="n">
        <v>539450</v>
      </c>
      <c r="E6439" s="31" t="n">
        <v>58.5</v>
      </c>
      <c r="F6439" s="31" t="n">
        <v>49.7</v>
      </c>
      <c r="G6439" s="31" t="n">
        <v>39.3</v>
      </c>
      <c r="H6439" s="2" t="s">
        <v>671</v>
      </c>
    </row>
    <row r="6440" customFormat="false" ht="15" hidden="false" customHeight="false" outlineLevel="0" collapsed="false">
      <c r="A6440" s="2" t="s">
        <v>2452</v>
      </c>
      <c r="B6440" s="2" t="s">
        <v>46</v>
      </c>
      <c r="C6440" s="2" t="s">
        <v>4087</v>
      </c>
      <c r="D6440" s="11" t="n">
        <v>527994</v>
      </c>
      <c r="E6440" s="31" t="n">
        <v>51.6</v>
      </c>
      <c r="F6440" s="31" t="n">
        <v>64.9</v>
      </c>
      <c r="G6440" s="2"/>
      <c r="H6440" s="2" t="s">
        <v>668</v>
      </c>
    </row>
    <row r="6441" customFormat="false" ht="15" hidden="false" customHeight="false" outlineLevel="0" collapsed="false">
      <c r="A6441" s="2" t="s">
        <v>2452</v>
      </c>
      <c r="B6441" s="2" t="s">
        <v>47</v>
      </c>
      <c r="C6441" s="2" t="s">
        <v>4085</v>
      </c>
      <c r="D6441" s="11" t="n">
        <v>52016</v>
      </c>
      <c r="E6441" s="31" t="n">
        <v>51</v>
      </c>
      <c r="F6441" s="31" t="n">
        <v>87.9</v>
      </c>
      <c r="G6441" s="31" t="n">
        <v>65.4</v>
      </c>
      <c r="H6441" s="2" t="s">
        <v>671</v>
      </c>
    </row>
    <row r="6442" customFormat="false" ht="15" hidden="false" customHeight="false" outlineLevel="0" collapsed="false">
      <c r="A6442" s="2" t="s">
        <v>2452</v>
      </c>
      <c r="B6442" s="2" t="s">
        <v>47</v>
      </c>
      <c r="C6442" s="2" t="s">
        <v>4086</v>
      </c>
      <c r="D6442" s="11" t="n">
        <v>53822</v>
      </c>
      <c r="E6442" s="31" t="n">
        <v>68.4</v>
      </c>
      <c r="F6442" s="31" t="n">
        <v>83.4</v>
      </c>
      <c r="G6442" s="31" t="n">
        <v>57.2</v>
      </c>
      <c r="H6442" s="2" t="s">
        <v>671</v>
      </c>
    </row>
    <row r="6443" customFormat="false" ht="15" hidden="false" customHeight="false" outlineLevel="0" collapsed="false">
      <c r="A6443" s="2" t="s">
        <v>2452</v>
      </c>
      <c r="B6443" s="2" t="s">
        <v>47</v>
      </c>
      <c r="C6443" s="2" t="s">
        <v>4087</v>
      </c>
      <c r="D6443" s="11" t="n">
        <v>56430</v>
      </c>
      <c r="E6443" s="31" t="n">
        <v>32.3</v>
      </c>
      <c r="F6443" s="31" t="n">
        <v>66.3</v>
      </c>
      <c r="G6443" s="31" t="n">
        <v>76.4</v>
      </c>
      <c r="H6443" s="2" t="s">
        <v>671</v>
      </c>
    </row>
    <row r="6444" customFormat="false" ht="15" hidden="false" customHeight="false" outlineLevel="0" collapsed="false">
      <c r="A6444" s="2" t="s">
        <v>278</v>
      </c>
      <c r="B6444" s="2" t="s">
        <v>4104</v>
      </c>
      <c r="C6444" s="2" t="s">
        <v>4087</v>
      </c>
      <c r="D6444" s="2"/>
      <c r="E6444" s="31" t="n">
        <v>61.2</v>
      </c>
      <c r="F6444" s="31" t="n">
        <v>16</v>
      </c>
      <c r="G6444" s="31" t="n">
        <v>69</v>
      </c>
      <c r="H6444" s="2" t="s">
        <v>671</v>
      </c>
    </row>
    <row r="6445" customFormat="false" ht="15" hidden="false" customHeight="false" outlineLevel="0" collapsed="false">
      <c r="A6445" s="2" t="s">
        <v>278</v>
      </c>
      <c r="B6445" s="2" t="s">
        <v>47</v>
      </c>
      <c r="C6445" s="2" t="s">
        <v>4087</v>
      </c>
      <c r="D6445" s="11" t="n">
        <v>33263</v>
      </c>
      <c r="E6445" s="31" t="n">
        <v>61.2</v>
      </c>
      <c r="F6445" s="31" t="n">
        <v>16</v>
      </c>
      <c r="G6445" s="31" t="n">
        <v>69</v>
      </c>
      <c r="H6445" s="2" t="s">
        <v>671</v>
      </c>
    </row>
    <row r="6446" customFormat="false" ht="15" hidden="false" customHeight="false" outlineLevel="0" collapsed="false">
      <c r="A6446" s="2" t="s">
        <v>3092</v>
      </c>
      <c r="B6446" s="2" t="s">
        <v>4104</v>
      </c>
      <c r="C6446" s="2" t="s">
        <v>4085</v>
      </c>
      <c r="D6446" s="2"/>
      <c r="E6446" s="2"/>
      <c r="F6446" s="2"/>
      <c r="G6446" s="2"/>
      <c r="H6446" s="2" t="s">
        <v>668</v>
      </c>
    </row>
    <row r="6447" customFormat="false" ht="15" hidden="false" customHeight="false" outlineLevel="0" collapsed="false">
      <c r="A6447" s="2" t="s">
        <v>3092</v>
      </c>
      <c r="B6447" s="2" t="s">
        <v>4104</v>
      </c>
      <c r="C6447" s="2" t="s">
        <v>4086</v>
      </c>
      <c r="D6447" s="2"/>
      <c r="E6447" s="31" t="n">
        <v>49.3</v>
      </c>
      <c r="F6447" s="31" t="n">
        <v>91.4</v>
      </c>
      <c r="G6447" s="31" t="n">
        <v>38.5</v>
      </c>
      <c r="H6447" s="2" t="s">
        <v>671</v>
      </c>
    </row>
    <row r="6448" customFormat="false" ht="15" hidden="false" customHeight="false" outlineLevel="0" collapsed="false">
      <c r="A6448" s="2" t="s">
        <v>3092</v>
      </c>
      <c r="B6448" s="2" t="s">
        <v>4104</v>
      </c>
      <c r="C6448" s="2" t="s">
        <v>4087</v>
      </c>
      <c r="D6448" s="2"/>
      <c r="E6448" s="31" t="n">
        <v>60</v>
      </c>
      <c r="F6448" s="31" t="n">
        <v>76.8</v>
      </c>
      <c r="G6448" s="2"/>
      <c r="H6448" s="2" t="s">
        <v>668</v>
      </c>
    </row>
    <row r="6449" customFormat="false" ht="15" hidden="false" customHeight="false" outlineLevel="0" collapsed="false">
      <c r="A6449" s="2" t="s">
        <v>3092</v>
      </c>
      <c r="B6449" s="2" t="s">
        <v>45</v>
      </c>
      <c r="C6449" s="2" t="s">
        <v>4085</v>
      </c>
      <c r="D6449" s="2"/>
      <c r="E6449" s="2"/>
      <c r="F6449" s="2"/>
      <c r="G6449" s="2"/>
      <c r="H6449" s="2" t="s">
        <v>668</v>
      </c>
    </row>
    <row r="6450" customFormat="false" ht="15" hidden="false" customHeight="false" outlineLevel="0" collapsed="false">
      <c r="A6450" s="2" t="s">
        <v>3092</v>
      </c>
      <c r="B6450" s="2" t="s">
        <v>45</v>
      </c>
      <c r="C6450" s="2" t="s">
        <v>4086</v>
      </c>
      <c r="D6450" s="11" t="n">
        <v>234840</v>
      </c>
      <c r="E6450" s="31" t="n">
        <v>49.3</v>
      </c>
      <c r="F6450" s="31" t="n">
        <v>91.4</v>
      </c>
      <c r="G6450" s="31" t="n">
        <v>38.5</v>
      </c>
      <c r="H6450" s="2" t="s">
        <v>671</v>
      </c>
    </row>
    <row r="6451" customFormat="false" ht="15" hidden="false" customHeight="false" outlineLevel="0" collapsed="false">
      <c r="A6451" s="2" t="s">
        <v>3092</v>
      </c>
      <c r="B6451" s="2" t="s">
        <v>45</v>
      </c>
      <c r="C6451" s="2" t="s">
        <v>4087</v>
      </c>
      <c r="D6451" s="11" t="n">
        <v>241370</v>
      </c>
      <c r="E6451" s="31" t="n">
        <v>60</v>
      </c>
      <c r="F6451" s="31" t="n">
        <v>76.8</v>
      </c>
      <c r="G6451" s="2"/>
      <c r="H6451" s="2" t="s">
        <v>668</v>
      </c>
    </row>
    <row r="6452" customFormat="false" ht="15" hidden="false" customHeight="false" outlineLevel="0" collapsed="false">
      <c r="A6452" s="2" t="s">
        <v>2174</v>
      </c>
      <c r="B6452" s="2" t="s">
        <v>4104</v>
      </c>
      <c r="C6452" s="2" t="s">
        <v>4085</v>
      </c>
      <c r="D6452" s="2"/>
      <c r="E6452" s="31" t="n">
        <v>66.4</v>
      </c>
      <c r="F6452" s="31" t="n">
        <v>22.9</v>
      </c>
      <c r="G6452" s="31" t="n">
        <v>39.2</v>
      </c>
      <c r="H6452" s="2" t="s">
        <v>668</v>
      </c>
    </row>
    <row r="6453" customFormat="false" ht="15" hidden="false" customHeight="false" outlineLevel="0" collapsed="false">
      <c r="A6453" s="2" t="s">
        <v>2174</v>
      </c>
      <c r="B6453" s="2" t="s">
        <v>4104</v>
      </c>
      <c r="C6453" s="2" t="s">
        <v>4086</v>
      </c>
      <c r="D6453" s="2"/>
      <c r="E6453" s="31" t="n">
        <v>56.2</v>
      </c>
      <c r="F6453" s="31" t="n">
        <v>23.9</v>
      </c>
      <c r="G6453" s="31" t="n">
        <v>29.3</v>
      </c>
      <c r="H6453" s="2" t="s">
        <v>668</v>
      </c>
    </row>
    <row r="6454" customFormat="false" ht="15" hidden="false" customHeight="false" outlineLevel="0" collapsed="false">
      <c r="A6454" s="2" t="s">
        <v>2174</v>
      </c>
      <c r="B6454" s="2" t="s">
        <v>4104</v>
      </c>
      <c r="C6454" s="2" t="s">
        <v>4087</v>
      </c>
      <c r="D6454" s="2"/>
      <c r="E6454" s="31" t="n">
        <v>69</v>
      </c>
      <c r="F6454" s="31" t="n">
        <v>29.3</v>
      </c>
      <c r="G6454" s="31" t="n">
        <v>31.8</v>
      </c>
      <c r="H6454" s="2" t="s">
        <v>668</v>
      </c>
    </row>
    <row r="6455" customFormat="false" ht="15" hidden="false" customHeight="false" outlineLevel="0" collapsed="false">
      <c r="A6455" s="2" t="s">
        <v>2174</v>
      </c>
      <c r="B6455" s="2" t="s">
        <v>45</v>
      </c>
      <c r="C6455" s="2" t="s">
        <v>4085</v>
      </c>
      <c r="D6455" s="2"/>
      <c r="E6455" s="2"/>
      <c r="F6455" s="2"/>
      <c r="G6455" s="2"/>
      <c r="H6455" s="2" t="s">
        <v>668</v>
      </c>
    </row>
    <row r="6456" customFormat="false" ht="15" hidden="false" customHeight="false" outlineLevel="0" collapsed="false">
      <c r="A6456" s="2" t="s">
        <v>2174</v>
      </c>
      <c r="B6456" s="2" t="s">
        <v>45</v>
      </c>
      <c r="C6456" s="2" t="s">
        <v>4086</v>
      </c>
      <c r="D6456" s="11" t="n">
        <v>94730</v>
      </c>
      <c r="E6456" s="31" t="n">
        <v>41.8</v>
      </c>
      <c r="F6456" s="31" t="n">
        <v>20.3</v>
      </c>
      <c r="G6456" s="31" t="n">
        <v>38.7</v>
      </c>
      <c r="H6456" s="2" t="s">
        <v>671</v>
      </c>
    </row>
    <row r="6457" customFormat="false" ht="15" hidden="false" customHeight="false" outlineLevel="0" collapsed="false">
      <c r="A6457" s="2" t="s">
        <v>2174</v>
      </c>
      <c r="B6457" s="2" t="s">
        <v>45</v>
      </c>
      <c r="C6457" s="2" t="s">
        <v>4087</v>
      </c>
      <c r="D6457" s="2"/>
      <c r="E6457" s="2"/>
      <c r="F6457" s="2"/>
      <c r="G6457" s="2"/>
      <c r="H6457" s="2" t="s">
        <v>668</v>
      </c>
    </row>
    <row r="6458" customFormat="false" ht="15" hidden="false" customHeight="false" outlineLevel="0" collapsed="false">
      <c r="A6458" s="2" t="s">
        <v>2174</v>
      </c>
      <c r="B6458" s="2" t="s">
        <v>46</v>
      </c>
      <c r="C6458" s="2" t="s">
        <v>4085</v>
      </c>
      <c r="D6458" s="11" t="n">
        <v>15372</v>
      </c>
      <c r="E6458" s="31" t="n">
        <v>76.7</v>
      </c>
      <c r="F6458" s="31" t="n">
        <v>22.5</v>
      </c>
      <c r="G6458" s="31" t="n">
        <v>16.9</v>
      </c>
      <c r="H6458" s="2" t="s">
        <v>671</v>
      </c>
    </row>
    <row r="6459" customFormat="false" ht="15" hidden="false" customHeight="false" outlineLevel="0" collapsed="false">
      <c r="A6459" s="2" t="s">
        <v>2174</v>
      </c>
      <c r="B6459" s="2" t="s">
        <v>46</v>
      </c>
      <c r="C6459" s="2" t="s">
        <v>4086</v>
      </c>
      <c r="D6459" s="2"/>
      <c r="E6459" s="2"/>
      <c r="F6459" s="2"/>
      <c r="G6459" s="2"/>
      <c r="H6459" s="2" t="s">
        <v>668</v>
      </c>
    </row>
    <row r="6460" customFormat="false" ht="15" hidden="false" customHeight="false" outlineLevel="0" collapsed="false">
      <c r="A6460" s="2" t="s">
        <v>2174</v>
      </c>
      <c r="B6460" s="2" t="s">
        <v>46</v>
      </c>
      <c r="C6460" s="2" t="s">
        <v>4087</v>
      </c>
      <c r="D6460" s="2"/>
      <c r="E6460" s="2"/>
      <c r="F6460" s="2"/>
      <c r="G6460" s="2"/>
      <c r="H6460" s="2" t="s">
        <v>668</v>
      </c>
    </row>
    <row r="6461" customFormat="false" ht="15" hidden="false" customHeight="false" outlineLevel="0" collapsed="false">
      <c r="A6461" s="2" t="s">
        <v>2174</v>
      </c>
      <c r="B6461" s="2" t="s">
        <v>47</v>
      </c>
      <c r="C6461" s="2" t="s">
        <v>4085</v>
      </c>
      <c r="D6461" s="11" t="n">
        <v>758</v>
      </c>
      <c r="E6461" s="31" t="n">
        <v>56.2</v>
      </c>
      <c r="F6461" s="31" t="n">
        <v>23.3</v>
      </c>
      <c r="G6461" s="31" t="n">
        <v>61.6</v>
      </c>
      <c r="H6461" s="2" t="s">
        <v>671</v>
      </c>
    </row>
    <row r="6462" customFormat="false" ht="15" hidden="false" customHeight="false" outlineLevel="0" collapsed="false">
      <c r="A6462" s="2" t="s">
        <v>2174</v>
      </c>
      <c r="B6462" s="2" t="s">
        <v>47</v>
      </c>
      <c r="C6462" s="2" t="s">
        <v>4086</v>
      </c>
      <c r="D6462" s="11" t="n">
        <v>771</v>
      </c>
      <c r="E6462" s="31" t="n">
        <v>70.7</v>
      </c>
      <c r="F6462" s="31" t="n">
        <v>27.5</v>
      </c>
      <c r="G6462" s="31" t="n">
        <v>19.9</v>
      </c>
      <c r="H6462" s="2" t="s">
        <v>671</v>
      </c>
    </row>
    <row r="6463" customFormat="false" ht="15" hidden="false" customHeight="false" outlineLevel="0" collapsed="false">
      <c r="A6463" s="2" t="s">
        <v>2174</v>
      </c>
      <c r="B6463" s="2" t="s">
        <v>47</v>
      </c>
      <c r="C6463" s="2" t="s">
        <v>4087</v>
      </c>
      <c r="D6463" s="11" t="n">
        <v>784</v>
      </c>
      <c r="E6463" s="31" t="n">
        <v>69</v>
      </c>
      <c r="F6463" s="31" t="n">
        <v>29.3</v>
      </c>
      <c r="G6463" s="31" t="n">
        <v>31.8</v>
      </c>
      <c r="H6463" s="2" t="s">
        <v>671</v>
      </c>
    </row>
    <row r="6464" customFormat="false" ht="15" hidden="false" customHeight="false" outlineLevel="0" collapsed="false">
      <c r="A6464" s="2" t="s">
        <v>748</v>
      </c>
      <c r="B6464" s="2" t="s">
        <v>4104</v>
      </c>
      <c r="C6464" s="2" t="s">
        <v>4085</v>
      </c>
      <c r="D6464" s="2"/>
      <c r="E6464" s="31" t="n">
        <v>44.5</v>
      </c>
      <c r="F6464" s="31" t="n">
        <v>65</v>
      </c>
      <c r="G6464" s="31" t="n">
        <v>41.3</v>
      </c>
      <c r="H6464" s="2" t="s">
        <v>671</v>
      </c>
    </row>
    <row r="6465" customFormat="false" ht="15" hidden="false" customHeight="false" outlineLevel="0" collapsed="false">
      <c r="A6465" s="2" t="s">
        <v>748</v>
      </c>
      <c r="B6465" s="2" t="s">
        <v>4104</v>
      </c>
      <c r="C6465" s="2" t="s">
        <v>4086</v>
      </c>
      <c r="D6465" s="2"/>
      <c r="E6465" s="31" t="n">
        <v>66.6</v>
      </c>
      <c r="F6465" s="31" t="n">
        <v>51.4</v>
      </c>
      <c r="G6465" s="31" t="n">
        <v>32.6</v>
      </c>
      <c r="H6465" s="2" t="s">
        <v>668</v>
      </c>
    </row>
    <row r="6466" customFormat="false" ht="15" hidden="false" customHeight="false" outlineLevel="0" collapsed="false">
      <c r="A6466" s="2" t="s">
        <v>748</v>
      </c>
      <c r="B6466" s="2" t="s">
        <v>4104</v>
      </c>
      <c r="C6466" s="2" t="s">
        <v>4087</v>
      </c>
      <c r="D6466" s="2"/>
      <c r="E6466" s="31" t="n">
        <v>56.8</v>
      </c>
      <c r="F6466" s="31" t="n">
        <v>96.8</v>
      </c>
      <c r="G6466" s="31" t="n">
        <v>26.5</v>
      </c>
      <c r="H6466" s="2" t="s">
        <v>668</v>
      </c>
    </row>
    <row r="6467" customFormat="false" ht="15" hidden="false" customHeight="false" outlineLevel="0" collapsed="false">
      <c r="A6467" s="2" t="s">
        <v>748</v>
      </c>
      <c r="B6467" s="2" t="s">
        <v>45</v>
      </c>
      <c r="C6467" s="2" t="s">
        <v>4085</v>
      </c>
      <c r="D6467" s="11" t="n">
        <v>23380</v>
      </c>
      <c r="E6467" s="31" t="n">
        <v>73.2</v>
      </c>
      <c r="F6467" s="31" t="n">
        <v>97.4</v>
      </c>
      <c r="G6467" s="31" t="n">
        <v>55.1</v>
      </c>
      <c r="H6467" s="2" t="s">
        <v>671</v>
      </c>
    </row>
    <row r="6468" customFormat="false" ht="15" hidden="false" customHeight="false" outlineLevel="0" collapsed="false">
      <c r="A6468" s="2" t="s">
        <v>748</v>
      </c>
      <c r="B6468" s="2" t="s">
        <v>45</v>
      </c>
      <c r="C6468" s="2" t="s">
        <v>4086</v>
      </c>
      <c r="D6468" s="11" t="n">
        <v>26300</v>
      </c>
      <c r="E6468" s="31" t="n">
        <v>97.9</v>
      </c>
      <c r="F6468" s="31" t="n">
        <v>95.2</v>
      </c>
      <c r="G6468" s="2"/>
      <c r="H6468" s="2" t="s">
        <v>668</v>
      </c>
    </row>
    <row r="6469" customFormat="false" ht="15" hidden="false" customHeight="false" outlineLevel="0" collapsed="false">
      <c r="A6469" s="2" t="s">
        <v>748</v>
      </c>
      <c r="B6469" s="2" t="s">
        <v>45</v>
      </c>
      <c r="C6469" s="2" t="s">
        <v>4087</v>
      </c>
      <c r="D6469" s="11" t="n">
        <v>26790</v>
      </c>
      <c r="E6469" s="31" t="n">
        <v>90</v>
      </c>
      <c r="F6469" s="31" t="n">
        <v>93.7</v>
      </c>
      <c r="G6469" s="31" t="n">
        <v>26.5</v>
      </c>
      <c r="H6469" s="2" t="s">
        <v>671</v>
      </c>
    </row>
    <row r="6470" customFormat="false" ht="15" hidden="false" customHeight="false" outlineLevel="0" collapsed="false">
      <c r="A6470" s="2" t="s">
        <v>748</v>
      </c>
      <c r="B6470" s="2" t="s">
        <v>46</v>
      </c>
      <c r="C6470" s="2" t="s">
        <v>4085</v>
      </c>
      <c r="D6470" s="11" t="n">
        <v>24390</v>
      </c>
      <c r="E6470" s="31" t="n">
        <v>16</v>
      </c>
      <c r="F6470" s="31" t="n">
        <v>96.6</v>
      </c>
      <c r="G6470" s="31" t="n">
        <v>32.6</v>
      </c>
      <c r="H6470" s="2" t="s">
        <v>671</v>
      </c>
    </row>
    <row r="6471" customFormat="false" ht="15" hidden="false" customHeight="false" outlineLevel="0" collapsed="false">
      <c r="A6471" s="2" t="s">
        <v>748</v>
      </c>
      <c r="B6471" s="2" t="s">
        <v>46</v>
      </c>
      <c r="C6471" s="2" t="s">
        <v>4086</v>
      </c>
      <c r="D6471" s="2"/>
      <c r="E6471" s="2"/>
      <c r="F6471" s="2"/>
      <c r="G6471" s="31" t="n">
        <v>41.5</v>
      </c>
      <c r="H6471" s="2" t="s">
        <v>668</v>
      </c>
    </row>
    <row r="6472" customFormat="false" ht="15" hidden="false" customHeight="false" outlineLevel="0" collapsed="false">
      <c r="A6472" s="2" t="s">
        <v>748</v>
      </c>
      <c r="B6472" s="2" t="s">
        <v>46</v>
      </c>
      <c r="C6472" s="2" t="s">
        <v>4087</v>
      </c>
      <c r="D6472" s="11" t="n">
        <v>29680</v>
      </c>
      <c r="E6472" s="31" t="n">
        <v>23.5</v>
      </c>
      <c r="F6472" s="31" t="n">
        <v>100</v>
      </c>
      <c r="G6472" s="2"/>
      <c r="H6472" s="2" t="s">
        <v>668</v>
      </c>
    </row>
    <row r="6473" customFormat="false" ht="15" hidden="false" customHeight="false" outlineLevel="0" collapsed="false">
      <c r="A6473" s="2" t="s">
        <v>748</v>
      </c>
      <c r="B6473" s="2" t="s">
        <v>47</v>
      </c>
      <c r="C6473" s="2" t="s">
        <v>4085</v>
      </c>
      <c r="D6473" s="11" t="n">
        <v>11673</v>
      </c>
      <c r="E6473" s="31" t="n">
        <v>44.3</v>
      </c>
      <c r="F6473" s="31" t="n">
        <v>1</v>
      </c>
      <c r="G6473" s="31" t="n">
        <v>36.2</v>
      </c>
      <c r="H6473" s="2" t="s">
        <v>671</v>
      </c>
    </row>
    <row r="6474" customFormat="false" ht="15" hidden="false" customHeight="false" outlineLevel="0" collapsed="false">
      <c r="A6474" s="2" t="s">
        <v>748</v>
      </c>
      <c r="B6474" s="2" t="s">
        <v>47</v>
      </c>
      <c r="C6474" s="2" t="s">
        <v>4086</v>
      </c>
      <c r="D6474" s="11" t="n">
        <v>11445</v>
      </c>
      <c r="E6474" s="31" t="n">
        <v>35.3</v>
      </c>
      <c r="F6474" s="31" t="n">
        <v>7.5</v>
      </c>
      <c r="G6474" s="31" t="n">
        <v>23.8</v>
      </c>
      <c r="H6474" s="2" t="s">
        <v>671</v>
      </c>
    </row>
    <row r="6475" customFormat="false" ht="15" hidden="false" customHeight="false" outlineLevel="0" collapsed="false">
      <c r="A6475" s="2" t="s">
        <v>748</v>
      </c>
      <c r="B6475" s="2" t="s">
        <v>47</v>
      </c>
      <c r="C6475" s="2" t="s">
        <v>4087</v>
      </c>
      <c r="D6475" s="2"/>
      <c r="E6475" s="2"/>
      <c r="F6475" s="2"/>
      <c r="G6475" s="2"/>
      <c r="H6475" s="2" t="s">
        <v>668</v>
      </c>
    </row>
    <row r="6476" customFormat="false" ht="15" hidden="false" customHeight="false" outlineLevel="0" collapsed="false">
      <c r="A6476" s="2" t="s">
        <v>506</v>
      </c>
      <c r="B6476" s="2" t="s">
        <v>4104</v>
      </c>
      <c r="C6476" s="2" t="s">
        <v>4085</v>
      </c>
      <c r="D6476" s="2"/>
      <c r="E6476" s="31" t="n">
        <v>20.9</v>
      </c>
      <c r="F6476" s="31" t="n">
        <v>8</v>
      </c>
      <c r="G6476" s="31" t="n">
        <v>81.7</v>
      </c>
      <c r="H6476" s="2" t="s">
        <v>671</v>
      </c>
    </row>
    <row r="6477" customFormat="false" ht="15" hidden="false" customHeight="false" outlineLevel="0" collapsed="false">
      <c r="A6477" s="2" t="s">
        <v>506</v>
      </c>
      <c r="B6477" s="2" t="s">
        <v>4104</v>
      </c>
      <c r="C6477" s="2" t="s">
        <v>4086</v>
      </c>
      <c r="D6477" s="2"/>
      <c r="E6477" s="2"/>
      <c r="F6477" s="2"/>
      <c r="G6477" s="2"/>
      <c r="H6477" s="2" t="s">
        <v>668</v>
      </c>
    </row>
    <row r="6478" customFormat="false" ht="15" hidden="false" customHeight="false" outlineLevel="0" collapsed="false">
      <c r="A6478" s="2" t="s">
        <v>506</v>
      </c>
      <c r="B6478" s="2" t="s">
        <v>4104</v>
      </c>
      <c r="C6478" s="2" t="s">
        <v>4087</v>
      </c>
      <c r="D6478" s="2"/>
      <c r="E6478" s="31" t="n">
        <v>35.3</v>
      </c>
      <c r="F6478" s="31" t="n">
        <v>6</v>
      </c>
      <c r="G6478" s="31" t="n">
        <v>69.1</v>
      </c>
      <c r="H6478" s="2" t="s">
        <v>671</v>
      </c>
    </row>
    <row r="6479" customFormat="false" ht="15" hidden="false" customHeight="false" outlineLevel="0" collapsed="false">
      <c r="A6479" s="2" t="s">
        <v>506</v>
      </c>
      <c r="B6479" s="2" t="s">
        <v>45</v>
      </c>
      <c r="C6479" s="2" t="s">
        <v>4085</v>
      </c>
      <c r="D6479" s="11" t="n">
        <v>66642</v>
      </c>
      <c r="E6479" s="31" t="n">
        <v>20.9</v>
      </c>
      <c r="F6479" s="31" t="n">
        <v>8</v>
      </c>
      <c r="G6479" s="31" t="n">
        <v>81.7</v>
      </c>
      <c r="H6479" s="2" t="s">
        <v>671</v>
      </c>
    </row>
    <row r="6480" customFormat="false" ht="15" hidden="false" customHeight="false" outlineLevel="0" collapsed="false">
      <c r="A6480" s="2" t="s">
        <v>506</v>
      </c>
      <c r="B6480" s="2" t="s">
        <v>45</v>
      </c>
      <c r="C6480" s="2" t="s">
        <v>4086</v>
      </c>
      <c r="D6480" s="2"/>
      <c r="E6480" s="2"/>
      <c r="F6480" s="2"/>
      <c r="G6480" s="2"/>
      <c r="H6480" s="2" t="s">
        <v>668</v>
      </c>
    </row>
    <row r="6481" customFormat="false" ht="15" hidden="false" customHeight="false" outlineLevel="0" collapsed="false">
      <c r="A6481" s="2" t="s">
        <v>506</v>
      </c>
      <c r="B6481" s="2" t="s">
        <v>45</v>
      </c>
      <c r="C6481" s="2" t="s">
        <v>4087</v>
      </c>
      <c r="D6481" s="11" t="n">
        <v>68000</v>
      </c>
      <c r="E6481" s="31" t="n">
        <v>35.3</v>
      </c>
      <c r="F6481" s="31" t="n">
        <v>6</v>
      </c>
      <c r="G6481" s="31" t="n">
        <v>69.1</v>
      </c>
      <c r="H6481" s="2" t="s">
        <v>671</v>
      </c>
    </row>
    <row r="6482" customFormat="false" ht="15" hidden="false" customHeight="false" outlineLevel="0" collapsed="false">
      <c r="A6482" s="2" t="s">
        <v>3095</v>
      </c>
      <c r="B6482" s="2" t="s">
        <v>4104</v>
      </c>
      <c r="C6482" s="2" t="s">
        <v>4085</v>
      </c>
      <c r="D6482" s="2"/>
      <c r="E6482" s="31" t="n">
        <v>65.9</v>
      </c>
      <c r="F6482" s="31" t="n">
        <v>54.9</v>
      </c>
      <c r="G6482" s="31" t="n">
        <v>39.2</v>
      </c>
      <c r="H6482" s="2" t="s">
        <v>671</v>
      </c>
    </row>
    <row r="6483" customFormat="false" ht="15" hidden="false" customHeight="false" outlineLevel="0" collapsed="false">
      <c r="A6483" s="2" t="s">
        <v>3095</v>
      </c>
      <c r="B6483" s="2" t="s">
        <v>4104</v>
      </c>
      <c r="C6483" s="2" t="s">
        <v>4086</v>
      </c>
      <c r="D6483" s="2"/>
      <c r="E6483" s="31" t="n">
        <v>74.4</v>
      </c>
      <c r="F6483" s="31" t="n">
        <v>31.1</v>
      </c>
      <c r="G6483" s="31" t="n">
        <v>74.6</v>
      </c>
      <c r="H6483" s="2" t="s">
        <v>671</v>
      </c>
    </row>
    <row r="6484" customFormat="false" ht="15" hidden="false" customHeight="false" outlineLevel="0" collapsed="false">
      <c r="A6484" s="2" t="s">
        <v>3095</v>
      </c>
      <c r="B6484" s="2" t="s">
        <v>4104</v>
      </c>
      <c r="C6484" s="2" t="s">
        <v>4087</v>
      </c>
      <c r="D6484" s="2"/>
      <c r="E6484" s="2"/>
      <c r="F6484" s="31" t="n">
        <v>67.5</v>
      </c>
      <c r="G6484" s="31" t="n">
        <v>29.9</v>
      </c>
      <c r="H6484" s="2" t="s">
        <v>668</v>
      </c>
    </row>
    <row r="6485" customFormat="false" ht="15" hidden="false" customHeight="false" outlineLevel="0" collapsed="false">
      <c r="A6485" s="2" t="s">
        <v>3095</v>
      </c>
      <c r="B6485" s="2" t="s">
        <v>47</v>
      </c>
      <c r="C6485" s="2" t="s">
        <v>4085</v>
      </c>
      <c r="D6485" s="11" t="n">
        <v>606237</v>
      </c>
      <c r="E6485" s="31" t="n">
        <v>65.9</v>
      </c>
      <c r="F6485" s="31" t="n">
        <v>54.9</v>
      </c>
      <c r="G6485" s="31" t="n">
        <v>39.2</v>
      </c>
      <c r="H6485" s="2" t="s">
        <v>671</v>
      </c>
    </row>
    <row r="6486" customFormat="false" ht="15" hidden="false" customHeight="false" outlineLevel="0" collapsed="false">
      <c r="A6486" s="2" t="s">
        <v>3095</v>
      </c>
      <c r="B6486" s="2" t="s">
        <v>47</v>
      </c>
      <c r="C6486" s="2" t="s">
        <v>4086</v>
      </c>
      <c r="D6486" s="11" t="n">
        <v>641662</v>
      </c>
      <c r="E6486" s="31" t="n">
        <v>74.4</v>
      </c>
      <c r="F6486" s="31" t="n">
        <v>31.1</v>
      </c>
      <c r="G6486" s="31" t="n">
        <v>74.6</v>
      </c>
      <c r="H6486" s="2" t="s">
        <v>671</v>
      </c>
    </row>
    <row r="6487" customFormat="false" ht="15" hidden="false" customHeight="false" outlineLevel="0" collapsed="false">
      <c r="A6487" s="2" t="s">
        <v>3095</v>
      </c>
      <c r="B6487" s="2" t="s">
        <v>47</v>
      </c>
      <c r="C6487" s="2" t="s">
        <v>4087</v>
      </c>
      <c r="D6487" s="11" t="n">
        <v>632164</v>
      </c>
      <c r="E6487" s="2"/>
      <c r="F6487" s="31" t="n">
        <v>67.5</v>
      </c>
      <c r="G6487" s="31" t="n">
        <v>29.9</v>
      </c>
      <c r="H6487" s="2" t="s">
        <v>668</v>
      </c>
    </row>
    <row r="6488" customFormat="false" ht="15" hidden="false" customHeight="false" outlineLevel="0" collapsed="false">
      <c r="A6488" s="2" t="s">
        <v>2411</v>
      </c>
      <c r="B6488" s="2" t="s">
        <v>4104</v>
      </c>
      <c r="C6488" s="2" t="s">
        <v>4085</v>
      </c>
      <c r="D6488" s="2"/>
      <c r="E6488" s="31" t="n">
        <v>50.5</v>
      </c>
      <c r="F6488" s="31" t="n">
        <v>54.8</v>
      </c>
      <c r="G6488" s="31" t="n">
        <v>41.6</v>
      </c>
      <c r="H6488" s="2" t="s">
        <v>671</v>
      </c>
    </row>
    <row r="6489" customFormat="false" ht="15" hidden="false" customHeight="false" outlineLevel="0" collapsed="false">
      <c r="A6489" s="2" t="s">
        <v>2411</v>
      </c>
      <c r="B6489" s="2" t="s">
        <v>4104</v>
      </c>
      <c r="C6489" s="2" t="s">
        <v>4086</v>
      </c>
      <c r="D6489" s="2"/>
      <c r="E6489" s="31" t="n">
        <v>59.1</v>
      </c>
      <c r="F6489" s="31" t="n">
        <v>50.1</v>
      </c>
      <c r="G6489" s="31" t="n">
        <v>8.4</v>
      </c>
      <c r="H6489" s="2" t="s">
        <v>668</v>
      </c>
    </row>
    <row r="6490" customFormat="false" ht="15" hidden="false" customHeight="false" outlineLevel="0" collapsed="false">
      <c r="A6490" s="2" t="s">
        <v>2411</v>
      </c>
      <c r="B6490" s="2" t="s">
        <v>4104</v>
      </c>
      <c r="C6490" s="2" t="s">
        <v>4087</v>
      </c>
      <c r="D6490" s="2"/>
      <c r="E6490" s="31" t="n">
        <v>36.9</v>
      </c>
      <c r="F6490" s="31" t="n">
        <v>75.2</v>
      </c>
      <c r="G6490" s="31" t="n">
        <v>86.3</v>
      </c>
      <c r="H6490" s="2" t="s">
        <v>668</v>
      </c>
    </row>
    <row r="6491" customFormat="false" ht="15" hidden="false" customHeight="false" outlineLevel="0" collapsed="false">
      <c r="A6491" s="2" t="s">
        <v>2411</v>
      </c>
      <c r="B6491" s="2" t="s">
        <v>45</v>
      </c>
      <c r="C6491" s="2" t="s">
        <v>4085</v>
      </c>
      <c r="D6491" s="11" t="n">
        <v>33160</v>
      </c>
      <c r="E6491" s="31" t="n">
        <v>19.4</v>
      </c>
      <c r="F6491" s="31" t="n">
        <v>67.5</v>
      </c>
      <c r="G6491" s="31" t="n">
        <v>7.1</v>
      </c>
      <c r="H6491" s="2" t="s">
        <v>671</v>
      </c>
    </row>
    <row r="6492" customFormat="false" ht="15" hidden="false" customHeight="false" outlineLevel="0" collapsed="false">
      <c r="A6492" s="2" t="s">
        <v>2411</v>
      </c>
      <c r="B6492" s="2" t="s">
        <v>45</v>
      </c>
      <c r="C6492" s="2" t="s">
        <v>4086</v>
      </c>
      <c r="D6492" s="11" t="n">
        <v>34990</v>
      </c>
      <c r="E6492" s="31" t="n">
        <v>37.4</v>
      </c>
      <c r="F6492" s="31" t="n">
        <v>90.7</v>
      </c>
      <c r="G6492" s="31" t="n">
        <v>8.4</v>
      </c>
      <c r="H6492" s="2" t="s">
        <v>671</v>
      </c>
    </row>
    <row r="6493" customFormat="false" ht="15" hidden="false" customHeight="false" outlineLevel="0" collapsed="false">
      <c r="A6493" s="2" t="s">
        <v>2411</v>
      </c>
      <c r="B6493" s="2" t="s">
        <v>45</v>
      </c>
      <c r="C6493" s="2" t="s">
        <v>4087</v>
      </c>
      <c r="D6493" s="2"/>
      <c r="E6493" s="2"/>
      <c r="F6493" s="2"/>
      <c r="G6493" s="2"/>
      <c r="H6493" s="2" t="s">
        <v>668</v>
      </c>
    </row>
    <row r="6494" customFormat="false" ht="15" hidden="false" customHeight="false" outlineLevel="0" collapsed="false">
      <c r="A6494" s="2" t="s">
        <v>2411</v>
      </c>
      <c r="B6494" s="2" t="s">
        <v>46</v>
      </c>
      <c r="C6494" s="2" t="s">
        <v>4085</v>
      </c>
      <c r="D6494" s="11" t="n">
        <v>114480</v>
      </c>
      <c r="E6494" s="31" t="n">
        <v>83.6</v>
      </c>
      <c r="F6494" s="31" t="n">
        <v>0.6</v>
      </c>
      <c r="G6494" s="31" t="n">
        <v>45.2</v>
      </c>
      <c r="H6494" s="2" t="s">
        <v>671</v>
      </c>
    </row>
    <row r="6495" customFormat="false" ht="15" hidden="false" customHeight="false" outlineLevel="0" collapsed="false">
      <c r="A6495" s="2" t="s">
        <v>2411</v>
      </c>
      <c r="B6495" s="2" t="s">
        <v>46</v>
      </c>
      <c r="C6495" s="2" t="s">
        <v>4086</v>
      </c>
      <c r="D6495" s="11" t="n">
        <v>104540</v>
      </c>
      <c r="E6495" s="31" t="n">
        <v>82.7</v>
      </c>
      <c r="F6495" s="31" t="n">
        <v>1.3</v>
      </c>
      <c r="G6495" s="2"/>
      <c r="H6495" s="2" t="s">
        <v>668</v>
      </c>
    </row>
    <row r="6496" customFormat="false" ht="15" hidden="false" customHeight="false" outlineLevel="0" collapsed="false">
      <c r="A6496" s="2" t="s">
        <v>2411</v>
      </c>
      <c r="B6496" s="2" t="s">
        <v>46</v>
      </c>
      <c r="C6496" s="2" t="s">
        <v>4087</v>
      </c>
      <c r="D6496" s="2"/>
      <c r="E6496" s="2"/>
      <c r="F6496" s="2"/>
      <c r="G6496" s="2"/>
      <c r="H6496" s="2" t="s">
        <v>668</v>
      </c>
    </row>
    <row r="6497" customFormat="false" ht="15" hidden="false" customHeight="false" outlineLevel="0" collapsed="false">
      <c r="A6497" s="2" t="s">
        <v>2411</v>
      </c>
      <c r="B6497" s="2" t="s">
        <v>47</v>
      </c>
      <c r="C6497" s="2" t="s">
        <v>4085</v>
      </c>
      <c r="D6497" s="11" t="n">
        <v>40177</v>
      </c>
      <c r="E6497" s="31" t="n">
        <v>48.6</v>
      </c>
      <c r="F6497" s="31" t="n">
        <v>96.4</v>
      </c>
      <c r="G6497" s="31" t="n">
        <v>72.5</v>
      </c>
      <c r="H6497" s="2" t="s">
        <v>671</v>
      </c>
    </row>
    <row r="6498" customFormat="false" ht="15" hidden="false" customHeight="false" outlineLevel="0" collapsed="false">
      <c r="A6498" s="2" t="s">
        <v>2411</v>
      </c>
      <c r="B6498" s="2" t="s">
        <v>47</v>
      </c>
      <c r="C6498" s="2" t="s">
        <v>4086</v>
      </c>
      <c r="D6498" s="11" t="n">
        <v>41579</v>
      </c>
      <c r="E6498" s="31" t="n">
        <v>57.3</v>
      </c>
      <c r="F6498" s="31" t="n">
        <v>58.4</v>
      </c>
      <c r="G6498" s="2"/>
      <c r="H6498" s="2" t="s">
        <v>668</v>
      </c>
    </row>
    <row r="6499" customFormat="false" ht="15" hidden="false" customHeight="false" outlineLevel="0" collapsed="false">
      <c r="A6499" s="2" t="s">
        <v>2411</v>
      </c>
      <c r="B6499" s="2" t="s">
        <v>47</v>
      </c>
      <c r="C6499" s="2" t="s">
        <v>4087</v>
      </c>
      <c r="D6499" s="11" t="n">
        <v>44243</v>
      </c>
      <c r="E6499" s="31" t="n">
        <v>36.9</v>
      </c>
      <c r="F6499" s="31" t="n">
        <v>75.2</v>
      </c>
      <c r="G6499" s="31" t="n">
        <v>86.3</v>
      </c>
      <c r="H6499" s="2" t="s">
        <v>671</v>
      </c>
    </row>
    <row r="6500" customFormat="false" ht="15" hidden="false" customHeight="false" outlineLevel="0" collapsed="false">
      <c r="A6500" s="2" t="s">
        <v>787</v>
      </c>
      <c r="B6500" s="2" t="s">
        <v>4104</v>
      </c>
      <c r="C6500" s="2" t="s">
        <v>4085</v>
      </c>
      <c r="D6500" s="2"/>
      <c r="E6500" s="31" t="n">
        <v>29.1</v>
      </c>
      <c r="F6500" s="31" t="n">
        <v>80.9</v>
      </c>
      <c r="G6500" s="31" t="n">
        <v>83.4</v>
      </c>
      <c r="H6500" s="2" t="s">
        <v>668</v>
      </c>
    </row>
    <row r="6501" customFormat="false" ht="15" hidden="false" customHeight="false" outlineLevel="0" collapsed="false">
      <c r="A6501" s="2" t="s">
        <v>787</v>
      </c>
      <c r="B6501" s="2" t="s">
        <v>4104</v>
      </c>
      <c r="C6501" s="2" t="s">
        <v>4086</v>
      </c>
      <c r="D6501" s="2"/>
      <c r="E6501" s="31" t="n">
        <v>48.7</v>
      </c>
      <c r="F6501" s="31" t="n">
        <v>62.9</v>
      </c>
      <c r="G6501" s="31" t="n">
        <v>94.3</v>
      </c>
      <c r="H6501" s="2" t="s">
        <v>668</v>
      </c>
    </row>
    <row r="6502" customFormat="false" ht="15" hidden="false" customHeight="false" outlineLevel="0" collapsed="false">
      <c r="A6502" s="2" t="s">
        <v>787</v>
      </c>
      <c r="B6502" s="2" t="s">
        <v>4104</v>
      </c>
      <c r="C6502" s="2" t="s">
        <v>4087</v>
      </c>
      <c r="D6502" s="2"/>
      <c r="E6502" s="31" t="n">
        <v>67</v>
      </c>
      <c r="F6502" s="31" t="n">
        <v>70.2</v>
      </c>
      <c r="G6502" s="31" t="n">
        <v>76.8</v>
      </c>
      <c r="H6502" s="2" t="s">
        <v>668</v>
      </c>
    </row>
    <row r="6503" customFormat="false" ht="15" hidden="false" customHeight="false" outlineLevel="0" collapsed="false">
      <c r="A6503" s="2" t="s">
        <v>787</v>
      </c>
      <c r="B6503" s="2" t="s">
        <v>45</v>
      </c>
      <c r="C6503" s="2" t="s">
        <v>4085</v>
      </c>
      <c r="D6503" s="2"/>
      <c r="E6503" s="2"/>
      <c r="F6503" s="2"/>
      <c r="G6503" s="2"/>
      <c r="H6503" s="2" t="s">
        <v>668</v>
      </c>
    </row>
    <row r="6504" customFormat="false" ht="15" hidden="false" customHeight="false" outlineLevel="0" collapsed="false">
      <c r="A6504" s="2" t="s">
        <v>787</v>
      </c>
      <c r="B6504" s="2" t="s">
        <v>45</v>
      </c>
      <c r="C6504" s="2" t="s">
        <v>4086</v>
      </c>
      <c r="D6504" s="11" t="n">
        <v>77050</v>
      </c>
      <c r="E6504" s="31" t="n">
        <v>73.5</v>
      </c>
      <c r="F6504" s="31" t="n">
        <v>46</v>
      </c>
      <c r="G6504" s="2"/>
      <c r="H6504" s="2" t="s">
        <v>668</v>
      </c>
    </row>
    <row r="6505" customFormat="false" ht="15" hidden="false" customHeight="false" outlineLevel="0" collapsed="false">
      <c r="A6505" s="2" t="s">
        <v>787</v>
      </c>
      <c r="B6505" s="2" t="s">
        <v>45</v>
      </c>
      <c r="C6505" s="2" t="s">
        <v>4087</v>
      </c>
      <c r="D6505" s="11" t="n">
        <v>79680</v>
      </c>
      <c r="E6505" s="31" t="n">
        <v>85.3</v>
      </c>
      <c r="F6505" s="31" t="n">
        <v>66.3</v>
      </c>
      <c r="G6505" s="31" t="n">
        <v>75.4</v>
      </c>
      <c r="H6505" s="2" t="s">
        <v>671</v>
      </c>
    </row>
    <row r="6506" customFormat="false" ht="15" hidden="false" customHeight="false" outlineLevel="0" collapsed="false">
      <c r="A6506" s="2" t="s">
        <v>787</v>
      </c>
      <c r="B6506" s="2" t="s">
        <v>46</v>
      </c>
      <c r="C6506" s="2" t="s">
        <v>4085</v>
      </c>
      <c r="D6506" s="2"/>
      <c r="E6506" s="2"/>
      <c r="F6506" s="2"/>
      <c r="G6506" s="2"/>
      <c r="H6506" s="2" t="s">
        <v>668</v>
      </c>
    </row>
    <row r="6507" customFormat="false" ht="15" hidden="false" customHeight="false" outlineLevel="0" collapsed="false">
      <c r="A6507" s="2" t="s">
        <v>787</v>
      </c>
      <c r="B6507" s="2" t="s">
        <v>46</v>
      </c>
      <c r="C6507" s="2" t="s">
        <v>4086</v>
      </c>
      <c r="D6507" s="11" t="n">
        <v>325830</v>
      </c>
      <c r="E6507" s="31" t="n">
        <v>48.5</v>
      </c>
      <c r="F6507" s="31" t="n">
        <v>93</v>
      </c>
      <c r="G6507" s="2"/>
      <c r="H6507" s="2" t="s">
        <v>668</v>
      </c>
    </row>
    <row r="6508" customFormat="false" ht="15" hidden="false" customHeight="false" outlineLevel="0" collapsed="false">
      <c r="A6508" s="2" t="s">
        <v>787</v>
      </c>
      <c r="B6508" s="2" t="s">
        <v>46</v>
      </c>
      <c r="C6508" s="2" t="s">
        <v>4087</v>
      </c>
      <c r="D6508" s="11" t="n">
        <v>344671</v>
      </c>
      <c r="E6508" s="31" t="n">
        <v>48.6</v>
      </c>
      <c r="F6508" s="31" t="n">
        <v>74.2</v>
      </c>
      <c r="G6508" s="31" t="n">
        <v>78.2</v>
      </c>
      <c r="H6508" s="2" t="s">
        <v>671</v>
      </c>
    </row>
    <row r="6509" customFormat="false" ht="15" hidden="false" customHeight="false" outlineLevel="0" collapsed="false">
      <c r="A6509" s="2" t="s">
        <v>787</v>
      </c>
      <c r="B6509" s="2" t="s">
        <v>47</v>
      </c>
      <c r="C6509" s="2" t="s">
        <v>4085</v>
      </c>
      <c r="D6509" s="11" t="n">
        <v>168597</v>
      </c>
      <c r="E6509" s="31" t="n">
        <v>29.1</v>
      </c>
      <c r="F6509" s="31" t="n">
        <v>80.9</v>
      </c>
      <c r="G6509" s="31" t="n">
        <v>83.4</v>
      </c>
      <c r="H6509" s="2" t="s">
        <v>671</v>
      </c>
    </row>
    <row r="6510" customFormat="false" ht="15" hidden="false" customHeight="false" outlineLevel="0" collapsed="false">
      <c r="A6510" s="2" t="s">
        <v>787</v>
      </c>
      <c r="B6510" s="2" t="s">
        <v>47</v>
      </c>
      <c r="C6510" s="2" t="s">
        <v>4086</v>
      </c>
      <c r="D6510" s="11" t="n">
        <v>172603</v>
      </c>
      <c r="E6510" s="31" t="n">
        <v>24</v>
      </c>
      <c r="F6510" s="31" t="n">
        <v>49.7</v>
      </c>
      <c r="G6510" s="31" t="n">
        <v>94.3</v>
      </c>
      <c r="H6510" s="2" t="s">
        <v>671</v>
      </c>
    </row>
    <row r="6511" customFormat="false" ht="15" hidden="false" customHeight="false" outlineLevel="0" collapsed="false">
      <c r="A6511" s="2" t="s">
        <v>787</v>
      </c>
      <c r="B6511" s="2" t="s">
        <v>47</v>
      </c>
      <c r="C6511" s="2" t="s">
        <v>4087</v>
      </c>
      <c r="D6511" s="2"/>
      <c r="E6511" s="2"/>
      <c r="F6511" s="2"/>
      <c r="G6511" s="2"/>
      <c r="H6511" s="2" t="s">
        <v>668</v>
      </c>
    </row>
    <row r="6512" customFormat="false" ht="15" hidden="false" customHeight="false" outlineLevel="0" collapsed="false">
      <c r="A6512" s="2" t="s">
        <v>1631</v>
      </c>
      <c r="B6512" s="2" t="s">
        <v>4104</v>
      </c>
      <c r="C6512" s="2" t="s">
        <v>4085</v>
      </c>
      <c r="D6512" s="2"/>
      <c r="E6512" s="31" t="n">
        <v>58.1</v>
      </c>
      <c r="F6512" s="31" t="n">
        <v>82.1</v>
      </c>
      <c r="G6512" s="31" t="n">
        <v>41.8</v>
      </c>
      <c r="H6512" s="2" t="s">
        <v>668</v>
      </c>
    </row>
    <row r="6513" customFormat="false" ht="15" hidden="false" customHeight="false" outlineLevel="0" collapsed="false">
      <c r="A6513" s="2" t="s">
        <v>1631</v>
      </c>
      <c r="B6513" s="2" t="s">
        <v>4104</v>
      </c>
      <c r="C6513" s="2" t="s">
        <v>4086</v>
      </c>
      <c r="D6513" s="2"/>
      <c r="E6513" s="31" t="n">
        <v>46.9</v>
      </c>
      <c r="F6513" s="31" t="n">
        <v>66.9</v>
      </c>
      <c r="G6513" s="31" t="n">
        <v>54.9</v>
      </c>
      <c r="H6513" s="2" t="s">
        <v>671</v>
      </c>
    </row>
    <row r="6514" customFormat="false" ht="15" hidden="false" customHeight="false" outlineLevel="0" collapsed="false">
      <c r="A6514" s="2" t="s">
        <v>1631</v>
      </c>
      <c r="B6514" s="2" t="s">
        <v>4104</v>
      </c>
      <c r="C6514" s="2" t="s">
        <v>4087</v>
      </c>
      <c r="D6514" s="2"/>
      <c r="E6514" s="31" t="n">
        <v>63.7</v>
      </c>
      <c r="F6514" s="31" t="n">
        <v>67.4</v>
      </c>
      <c r="G6514" s="31" t="n">
        <v>44.7</v>
      </c>
      <c r="H6514" s="2" t="s">
        <v>668</v>
      </c>
    </row>
    <row r="6515" customFormat="false" ht="15" hidden="false" customHeight="false" outlineLevel="0" collapsed="false">
      <c r="A6515" s="2" t="s">
        <v>1631</v>
      </c>
      <c r="B6515" s="2" t="s">
        <v>45</v>
      </c>
      <c r="C6515" s="2" t="s">
        <v>4085</v>
      </c>
      <c r="D6515" s="11" t="n">
        <v>14690</v>
      </c>
      <c r="E6515" s="31" t="n">
        <v>51.2</v>
      </c>
      <c r="F6515" s="31" t="n">
        <v>66.8</v>
      </c>
      <c r="G6515" s="2"/>
      <c r="H6515" s="2" t="s">
        <v>668</v>
      </c>
    </row>
    <row r="6516" customFormat="false" ht="15" hidden="false" customHeight="false" outlineLevel="0" collapsed="false">
      <c r="A6516" s="2" t="s">
        <v>1631</v>
      </c>
      <c r="B6516" s="2" t="s">
        <v>45</v>
      </c>
      <c r="C6516" s="2" t="s">
        <v>4086</v>
      </c>
      <c r="D6516" s="11" t="n">
        <v>15810</v>
      </c>
      <c r="E6516" s="31" t="n">
        <v>54.3</v>
      </c>
      <c r="F6516" s="31" t="n">
        <v>75.3</v>
      </c>
      <c r="G6516" s="31" t="n">
        <v>76.9</v>
      </c>
      <c r="H6516" s="2" t="s">
        <v>671</v>
      </c>
    </row>
    <row r="6517" customFormat="false" ht="15" hidden="false" customHeight="false" outlineLevel="0" collapsed="false">
      <c r="A6517" s="2" t="s">
        <v>1631</v>
      </c>
      <c r="B6517" s="2" t="s">
        <v>45</v>
      </c>
      <c r="C6517" s="2" t="s">
        <v>4087</v>
      </c>
      <c r="D6517" s="11" t="n">
        <v>16870</v>
      </c>
      <c r="E6517" s="31" t="n">
        <v>64.7</v>
      </c>
      <c r="F6517" s="31" t="n">
        <v>82.9</v>
      </c>
      <c r="G6517" s="2"/>
      <c r="H6517" s="2" t="s">
        <v>668</v>
      </c>
    </row>
    <row r="6518" customFormat="false" ht="15" hidden="false" customHeight="false" outlineLevel="0" collapsed="false">
      <c r="A6518" s="2" t="s">
        <v>1631</v>
      </c>
      <c r="B6518" s="2" t="s">
        <v>46</v>
      </c>
      <c r="C6518" s="2" t="s">
        <v>4085</v>
      </c>
      <c r="D6518" s="11" t="n">
        <v>44830</v>
      </c>
      <c r="E6518" s="31" t="n">
        <v>72.4</v>
      </c>
      <c r="F6518" s="2"/>
      <c r="G6518" s="2"/>
      <c r="H6518" s="2" t="s">
        <v>668</v>
      </c>
    </row>
    <row r="6519" customFormat="false" ht="15" hidden="false" customHeight="false" outlineLevel="0" collapsed="false">
      <c r="A6519" s="2" t="s">
        <v>1631</v>
      </c>
      <c r="B6519" s="2" t="s">
        <v>46</v>
      </c>
      <c r="C6519" s="2" t="s">
        <v>4086</v>
      </c>
      <c r="D6519" s="11" t="n">
        <v>45610</v>
      </c>
      <c r="E6519" s="31" t="n">
        <v>56</v>
      </c>
      <c r="F6519" s="31" t="n">
        <v>30.5</v>
      </c>
      <c r="G6519" s="31" t="n">
        <v>57.2</v>
      </c>
      <c r="H6519" s="2" t="s">
        <v>671</v>
      </c>
    </row>
    <row r="6520" customFormat="false" ht="15" hidden="false" customHeight="false" outlineLevel="0" collapsed="false">
      <c r="A6520" s="2" t="s">
        <v>1631</v>
      </c>
      <c r="B6520" s="2" t="s">
        <v>46</v>
      </c>
      <c r="C6520" s="2" t="s">
        <v>4087</v>
      </c>
      <c r="D6520" s="11" t="n">
        <v>47044</v>
      </c>
      <c r="E6520" s="31" t="n">
        <v>57.1</v>
      </c>
      <c r="F6520" s="31" t="n">
        <v>21.2</v>
      </c>
      <c r="G6520" s="31" t="n">
        <v>30.1</v>
      </c>
      <c r="H6520" s="2" t="s">
        <v>671</v>
      </c>
    </row>
    <row r="6521" customFormat="false" ht="15" hidden="false" customHeight="false" outlineLevel="0" collapsed="false">
      <c r="A6521" s="2" t="s">
        <v>1631</v>
      </c>
      <c r="B6521" s="2" t="s">
        <v>47</v>
      </c>
      <c r="C6521" s="2" t="s">
        <v>4085</v>
      </c>
      <c r="D6521" s="11" t="n">
        <v>23130</v>
      </c>
      <c r="E6521" s="31" t="n">
        <v>50.7</v>
      </c>
      <c r="F6521" s="31" t="n">
        <v>97.4</v>
      </c>
      <c r="G6521" s="31" t="n">
        <v>41.8</v>
      </c>
      <c r="H6521" s="2" t="s">
        <v>671</v>
      </c>
    </row>
    <row r="6522" customFormat="false" ht="15" hidden="false" customHeight="false" outlineLevel="0" collapsed="false">
      <c r="A6522" s="2" t="s">
        <v>1631</v>
      </c>
      <c r="B6522" s="2" t="s">
        <v>47</v>
      </c>
      <c r="C6522" s="2" t="s">
        <v>4086</v>
      </c>
      <c r="D6522" s="11" t="n">
        <v>24930</v>
      </c>
      <c r="E6522" s="31" t="n">
        <v>30.3</v>
      </c>
      <c r="F6522" s="31" t="n">
        <v>94.8</v>
      </c>
      <c r="G6522" s="31" t="n">
        <v>30.5</v>
      </c>
      <c r="H6522" s="2" t="s">
        <v>671</v>
      </c>
    </row>
    <row r="6523" customFormat="false" ht="15" hidden="false" customHeight="false" outlineLevel="0" collapsed="false">
      <c r="A6523" s="2" t="s">
        <v>1631</v>
      </c>
      <c r="B6523" s="2" t="s">
        <v>47</v>
      </c>
      <c r="C6523" s="2" t="s">
        <v>4087</v>
      </c>
      <c r="D6523" s="11" t="n">
        <v>26916</v>
      </c>
      <c r="E6523" s="31" t="n">
        <v>69.2</v>
      </c>
      <c r="F6523" s="31" t="n">
        <v>98.2</v>
      </c>
      <c r="G6523" s="31" t="n">
        <v>59.2</v>
      </c>
      <c r="H6523" s="2" t="s">
        <v>671</v>
      </c>
    </row>
    <row r="6524" customFormat="false" ht="15" hidden="false" customHeight="false" outlineLevel="0" collapsed="false">
      <c r="A6524" s="2" t="s">
        <v>1571</v>
      </c>
      <c r="B6524" s="2" t="s">
        <v>4104</v>
      </c>
      <c r="C6524" s="2" t="s">
        <v>4085</v>
      </c>
      <c r="D6524" s="2"/>
      <c r="E6524" s="31" t="n">
        <v>69.7</v>
      </c>
      <c r="F6524" s="31" t="n">
        <v>50.4</v>
      </c>
      <c r="G6524" s="31" t="n">
        <v>60.2</v>
      </c>
      <c r="H6524" s="2" t="s">
        <v>671</v>
      </c>
    </row>
    <row r="6525" customFormat="false" ht="15" hidden="false" customHeight="false" outlineLevel="0" collapsed="false">
      <c r="A6525" s="2" t="s">
        <v>1571</v>
      </c>
      <c r="B6525" s="2" t="s">
        <v>4104</v>
      </c>
      <c r="C6525" s="2" t="s">
        <v>4086</v>
      </c>
      <c r="D6525" s="2"/>
      <c r="E6525" s="31" t="n">
        <v>78.4</v>
      </c>
      <c r="F6525" s="31" t="n">
        <v>50.8</v>
      </c>
      <c r="G6525" s="31" t="n">
        <v>59.1</v>
      </c>
      <c r="H6525" s="2" t="s">
        <v>671</v>
      </c>
    </row>
    <row r="6526" customFormat="false" ht="15" hidden="false" customHeight="false" outlineLevel="0" collapsed="false">
      <c r="A6526" s="2" t="s">
        <v>1571</v>
      </c>
      <c r="B6526" s="2" t="s">
        <v>4104</v>
      </c>
      <c r="C6526" s="2" t="s">
        <v>4087</v>
      </c>
      <c r="D6526" s="2"/>
      <c r="E6526" s="31" t="n">
        <v>82.6</v>
      </c>
      <c r="F6526" s="31" t="n">
        <v>44.7</v>
      </c>
      <c r="G6526" s="31" t="n">
        <v>34.7</v>
      </c>
      <c r="H6526" s="2" t="s">
        <v>668</v>
      </c>
    </row>
    <row r="6527" customFormat="false" ht="15" hidden="false" customHeight="false" outlineLevel="0" collapsed="false">
      <c r="A6527" s="2" t="s">
        <v>1571</v>
      </c>
      <c r="B6527" s="2" t="s">
        <v>46</v>
      </c>
      <c r="C6527" s="2" t="s">
        <v>4085</v>
      </c>
      <c r="D6527" s="11" t="n">
        <v>84620</v>
      </c>
      <c r="E6527" s="31" t="n">
        <v>45.6</v>
      </c>
      <c r="F6527" s="31" t="n">
        <v>95.9</v>
      </c>
      <c r="G6527" s="31" t="n">
        <v>29.3</v>
      </c>
      <c r="H6527" s="2" t="s">
        <v>671</v>
      </c>
    </row>
    <row r="6528" customFormat="false" ht="15" hidden="false" customHeight="false" outlineLevel="0" collapsed="false">
      <c r="A6528" s="2" t="s">
        <v>1571</v>
      </c>
      <c r="B6528" s="2" t="s">
        <v>46</v>
      </c>
      <c r="C6528" s="2" t="s">
        <v>4086</v>
      </c>
      <c r="D6528" s="11" t="n">
        <v>91120</v>
      </c>
      <c r="E6528" s="31" t="n">
        <v>70.7</v>
      </c>
      <c r="F6528" s="31" t="n">
        <v>97.1</v>
      </c>
      <c r="G6528" s="31" t="n">
        <v>23.2</v>
      </c>
      <c r="H6528" s="2" t="s">
        <v>671</v>
      </c>
    </row>
    <row r="6529" customFormat="false" ht="15" hidden="false" customHeight="false" outlineLevel="0" collapsed="false">
      <c r="A6529" s="2" t="s">
        <v>1571</v>
      </c>
      <c r="B6529" s="2" t="s">
        <v>46</v>
      </c>
      <c r="C6529" s="2" t="s">
        <v>4087</v>
      </c>
      <c r="D6529" s="11" t="n">
        <v>97678</v>
      </c>
      <c r="E6529" s="31" t="n">
        <v>68.9</v>
      </c>
      <c r="F6529" s="31" t="n">
        <v>88</v>
      </c>
      <c r="G6529" s="31" t="n">
        <v>34.7</v>
      </c>
      <c r="H6529" s="2" t="s">
        <v>671</v>
      </c>
    </row>
    <row r="6530" customFormat="false" ht="15" hidden="false" customHeight="false" outlineLevel="0" collapsed="false">
      <c r="A6530" s="2" t="s">
        <v>1571</v>
      </c>
      <c r="B6530" s="2" t="s">
        <v>47</v>
      </c>
      <c r="C6530" s="2" t="s">
        <v>4085</v>
      </c>
      <c r="D6530" s="11" t="n">
        <v>48018</v>
      </c>
      <c r="E6530" s="31" t="n">
        <v>93.8</v>
      </c>
      <c r="F6530" s="31" t="n">
        <v>4.9</v>
      </c>
      <c r="G6530" s="31" t="n">
        <v>91.2</v>
      </c>
      <c r="H6530" s="2" t="s">
        <v>671</v>
      </c>
    </row>
    <row r="6531" customFormat="false" ht="15" hidden="false" customHeight="false" outlineLevel="0" collapsed="false">
      <c r="A6531" s="2" t="s">
        <v>1571</v>
      </c>
      <c r="B6531" s="2" t="s">
        <v>47</v>
      </c>
      <c r="C6531" s="2" t="s">
        <v>4086</v>
      </c>
      <c r="D6531" s="11" t="n">
        <v>48650</v>
      </c>
      <c r="E6531" s="31" t="n">
        <v>86.2</v>
      </c>
      <c r="F6531" s="31" t="n">
        <v>4.5</v>
      </c>
      <c r="G6531" s="31" t="n">
        <v>95</v>
      </c>
      <c r="H6531" s="2" t="s">
        <v>671</v>
      </c>
    </row>
    <row r="6532" customFormat="false" ht="15" hidden="false" customHeight="false" outlineLevel="0" collapsed="false">
      <c r="A6532" s="2" t="s">
        <v>1571</v>
      </c>
      <c r="B6532" s="2" t="s">
        <v>47</v>
      </c>
      <c r="C6532" s="2" t="s">
        <v>4087</v>
      </c>
      <c r="D6532" s="11" t="n">
        <v>47310</v>
      </c>
      <c r="E6532" s="31" t="n">
        <v>96.2</v>
      </c>
      <c r="F6532" s="31" t="n">
        <v>1.4</v>
      </c>
      <c r="G6532" s="2"/>
      <c r="H6532" s="2" t="s">
        <v>668</v>
      </c>
    </row>
    <row r="6533" customFormat="false" ht="15" hidden="false" customHeight="false" outlineLevel="0" collapsed="false">
      <c r="A6533" s="2" t="s">
        <v>370</v>
      </c>
      <c r="B6533" s="2" t="s">
        <v>4104</v>
      </c>
      <c r="C6533" s="2" t="s">
        <v>4085</v>
      </c>
      <c r="D6533" s="2"/>
      <c r="E6533" s="31" t="n">
        <v>54.6</v>
      </c>
      <c r="F6533" s="31" t="n">
        <v>38.1</v>
      </c>
      <c r="G6533" s="31" t="n">
        <v>39.3</v>
      </c>
      <c r="H6533" s="2" t="s">
        <v>668</v>
      </c>
    </row>
    <row r="6534" customFormat="false" ht="15" hidden="false" customHeight="false" outlineLevel="0" collapsed="false">
      <c r="A6534" s="2" t="s">
        <v>370</v>
      </c>
      <c r="B6534" s="2" t="s">
        <v>4104</v>
      </c>
      <c r="C6534" s="2" t="s">
        <v>4086</v>
      </c>
      <c r="D6534" s="2"/>
      <c r="E6534" s="31" t="n">
        <v>64.2</v>
      </c>
      <c r="F6534" s="31" t="n">
        <v>48.6</v>
      </c>
      <c r="G6534" s="31" t="n">
        <v>29</v>
      </c>
      <c r="H6534" s="2" t="s">
        <v>668</v>
      </c>
    </row>
    <row r="6535" customFormat="false" ht="15" hidden="false" customHeight="false" outlineLevel="0" collapsed="false">
      <c r="A6535" s="2" t="s">
        <v>370</v>
      </c>
      <c r="B6535" s="2" t="s">
        <v>4104</v>
      </c>
      <c r="C6535" s="2" t="s">
        <v>4087</v>
      </c>
      <c r="D6535" s="2"/>
      <c r="E6535" s="31" t="n">
        <v>50.1</v>
      </c>
      <c r="F6535" s="31" t="n">
        <v>56.1</v>
      </c>
      <c r="G6535" s="31" t="n">
        <v>53.4</v>
      </c>
      <c r="H6535" s="2" t="s">
        <v>671</v>
      </c>
    </row>
    <row r="6536" customFormat="false" ht="15" hidden="false" customHeight="false" outlineLevel="0" collapsed="false">
      <c r="A6536" s="2" t="s">
        <v>370</v>
      </c>
      <c r="B6536" s="2" t="s">
        <v>45</v>
      </c>
      <c r="C6536" s="2" t="s">
        <v>4085</v>
      </c>
      <c r="D6536" s="2"/>
      <c r="E6536" s="2"/>
      <c r="F6536" s="2"/>
      <c r="G6536" s="2"/>
      <c r="H6536" s="2" t="s">
        <v>668</v>
      </c>
    </row>
    <row r="6537" customFormat="false" ht="15" hidden="false" customHeight="false" outlineLevel="0" collapsed="false">
      <c r="A6537" s="2" t="s">
        <v>370</v>
      </c>
      <c r="B6537" s="2" t="s">
        <v>45</v>
      </c>
      <c r="C6537" s="2" t="s">
        <v>4086</v>
      </c>
      <c r="D6537" s="11" t="n">
        <v>49575</v>
      </c>
      <c r="E6537" s="31" t="n">
        <v>59.7</v>
      </c>
      <c r="F6537" s="31" t="n">
        <v>91.8</v>
      </c>
      <c r="G6537" s="31" t="n">
        <v>49.7</v>
      </c>
      <c r="H6537" s="2" t="s">
        <v>671</v>
      </c>
    </row>
    <row r="6538" customFormat="false" ht="15" hidden="false" customHeight="false" outlineLevel="0" collapsed="false">
      <c r="A6538" s="2" t="s">
        <v>370</v>
      </c>
      <c r="B6538" s="2" t="s">
        <v>45</v>
      </c>
      <c r="C6538" s="2" t="s">
        <v>4087</v>
      </c>
      <c r="D6538" s="11" t="n">
        <v>51999</v>
      </c>
      <c r="E6538" s="31" t="n">
        <v>75</v>
      </c>
      <c r="F6538" s="31" t="n">
        <v>90.1</v>
      </c>
      <c r="G6538" s="31" t="n">
        <v>60.5</v>
      </c>
      <c r="H6538" s="2" t="s">
        <v>671</v>
      </c>
    </row>
    <row r="6539" customFormat="false" ht="15" hidden="false" customHeight="false" outlineLevel="0" collapsed="false">
      <c r="A6539" s="2" t="s">
        <v>370</v>
      </c>
      <c r="B6539" s="2" t="s">
        <v>46</v>
      </c>
      <c r="C6539" s="2" t="s">
        <v>4085</v>
      </c>
      <c r="D6539" s="11" t="n">
        <v>7603</v>
      </c>
      <c r="E6539" s="31" t="n">
        <v>27.4</v>
      </c>
      <c r="F6539" s="31" t="n">
        <v>71.9</v>
      </c>
      <c r="G6539" s="31" t="n">
        <v>53.9</v>
      </c>
      <c r="H6539" s="2" t="s">
        <v>671</v>
      </c>
    </row>
    <row r="6540" customFormat="false" ht="15" hidden="false" customHeight="false" outlineLevel="0" collapsed="false">
      <c r="A6540" s="2" t="s">
        <v>370</v>
      </c>
      <c r="B6540" s="2" t="s">
        <v>46</v>
      </c>
      <c r="C6540" s="2" t="s">
        <v>4086</v>
      </c>
      <c r="D6540" s="2"/>
      <c r="E6540" s="2"/>
      <c r="F6540" s="2"/>
      <c r="G6540" s="2"/>
      <c r="H6540" s="2" t="s">
        <v>668</v>
      </c>
    </row>
    <row r="6541" customFormat="false" ht="15" hidden="false" customHeight="false" outlineLevel="0" collapsed="false">
      <c r="A6541" s="2" t="s">
        <v>370</v>
      </c>
      <c r="B6541" s="2" t="s">
        <v>46</v>
      </c>
      <c r="C6541" s="2" t="s">
        <v>4087</v>
      </c>
      <c r="D6541" s="11" t="n">
        <v>8120</v>
      </c>
      <c r="E6541" s="31" t="n">
        <v>19.5</v>
      </c>
      <c r="F6541" s="31" t="n">
        <v>75</v>
      </c>
      <c r="G6541" s="31" t="n">
        <v>82.6</v>
      </c>
      <c r="H6541" s="2" t="s">
        <v>671</v>
      </c>
    </row>
    <row r="6542" customFormat="false" ht="15" hidden="false" customHeight="false" outlineLevel="0" collapsed="false">
      <c r="A6542" s="2" t="s">
        <v>370</v>
      </c>
      <c r="B6542" s="2" t="s">
        <v>47</v>
      </c>
      <c r="C6542" s="2" t="s">
        <v>4085</v>
      </c>
      <c r="D6542" s="11" t="n">
        <v>43645</v>
      </c>
      <c r="E6542" s="31" t="n">
        <v>81.8</v>
      </c>
      <c r="F6542" s="31" t="n">
        <v>4.2</v>
      </c>
      <c r="G6542" s="31" t="n">
        <v>24.7</v>
      </c>
      <c r="H6542" s="2" t="s">
        <v>671</v>
      </c>
    </row>
    <row r="6543" customFormat="false" ht="15" hidden="false" customHeight="false" outlineLevel="0" collapsed="false">
      <c r="A6543" s="2" t="s">
        <v>370</v>
      </c>
      <c r="B6543" s="2" t="s">
        <v>47</v>
      </c>
      <c r="C6543" s="2" t="s">
        <v>4086</v>
      </c>
      <c r="D6543" s="11" t="n">
        <v>42701</v>
      </c>
      <c r="E6543" s="31" t="n">
        <v>68.6</v>
      </c>
      <c r="F6543" s="31" t="n">
        <v>5.5</v>
      </c>
      <c r="G6543" s="31" t="n">
        <v>8.4</v>
      </c>
      <c r="H6543" s="2" t="s">
        <v>671</v>
      </c>
    </row>
    <row r="6544" customFormat="false" ht="15" hidden="false" customHeight="false" outlineLevel="0" collapsed="false">
      <c r="A6544" s="2" t="s">
        <v>370</v>
      </c>
      <c r="B6544" s="2" t="s">
        <v>47</v>
      </c>
      <c r="C6544" s="2" t="s">
        <v>4087</v>
      </c>
      <c r="D6544" s="11" t="n">
        <v>42168</v>
      </c>
      <c r="E6544" s="31" t="n">
        <v>55.9</v>
      </c>
      <c r="F6544" s="31" t="n">
        <v>3.2</v>
      </c>
      <c r="G6544" s="31" t="n">
        <v>17</v>
      </c>
      <c r="H6544" s="2" t="s">
        <v>671</v>
      </c>
    </row>
    <row r="6545" customFormat="false" ht="15" hidden="false" customHeight="false" outlineLevel="0" collapsed="false">
      <c r="A6545" s="2" t="s">
        <v>2586</v>
      </c>
      <c r="B6545" s="2" t="s">
        <v>4104</v>
      </c>
      <c r="C6545" s="2" t="s">
        <v>4085</v>
      </c>
      <c r="D6545" s="2"/>
      <c r="E6545" s="31" t="n">
        <v>50.5</v>
      </c>
      <c r="F6545" s="31" t="n">
        <v>21.3</v>
      </c>
      <c r="G6545" s="31" t="n">
        <v>51.6</v>
      </c>
      <c r="H6545" s="2" t="s">
        <v>671</v>
      </c>
    </row>
    <row r="6546" customFormat="false" ht="15" hidden="false" customHeight="false" outlineLevel="0" collapsed="false">
      <c r="A6546" s="2" t="s">
        <v>2586</v>
      </c>
      <c r="B6546" s="2" t="s">
        <v>4104</v>
      </c>
      <c r="C6546" s="2" t="s">
        <v>4086</v>
      </c>
      <c r="D6546" s="2"/>
      <c r="E6546" s="31" t="n">
        <v>47</v>
      </c>
      <c r="F6546" s="31" t="n">
        <v>13.5</v>
      </c>
      <c r="G6546" s="31" t="n">
        <v>60.8</v>
      </c>
      <c r="H6546" s="2" t="s">
        <v>671</v>
      </c>
    </row>
    <row r="6547" customFormat="false" ht="15" hidden="false" customHeight="false" outlineLevel="0" collapsed="false">
      <c r="A6547" s="2" t="s">
        <v>2586</v>
      </c>
      <c r="B6547" s="2" t="s">
        <v>4104</v>
      </c>
      <c r="C6547" s="2" t="s">
        <v>4087</v>
      </c>
      <c r="D6547" s="2"/>
      <c r="E6547" s="31" t="n">
        <v>46.6</v>
      </c>
      <c r="F6547" s="31" t="n">
        <v>15</v>
      </c>
      <c r="G6547" s="31" t="n">
        <v>80.6</v>
      </c>
      <c r="H6547" s="2" t="s">
        <v>668</v>
      </c>
    </row>
    <row r="6548" customFormat="false" ht="15" hidden="false" customHeight="false" outlineLevel="0" collapsed="false">
      <c r="A6548" s="2" t="s">
        <v>2586</v>
      </c>
      <c r="B6548" s="2" t="s">
        <v>45</v>
      </c>
      <c r="C6548" s="2" t="s">
        <v>4085</v>
      </c>
      <c r="D6548" s="11" t="n">
        <v>16980</v>
      </c>
      <c r="E6548" s="31" t="n">
        <v>83.4</v>
      </c>
      <c r="F6548" s="31" t="n">
        <v>1.1</v>
      </c>
      <c r="G6548" s="2"/>
      <c r="H6548" s="2" t="s">
        <v>671</v>
      </c>
    </row>
    <row r="6549" customFormat="false" ht="15" hidden="false" customHeight="false" outlineLevel="0" collapsed="false">
      <c r="A6549" s="2" t="s">
        <v>2586</v>
      </c>
      <c r="B6549" s="2" t="s">
        <v>45</v>
      </c>
      <c r="C6549" s="2" t="s">
        <v>4086</v>
      </c>
      <c r="D6549" s="11" t="n">
        <v>16509</v>
      </c>
      <c r="E6549" s="31" t="n">
        <v>89.6</v>
      </c>
      <c r="F6549" s="31" t="n">
        <v>0.3</v>
      </c>
      <c r="G6549" s="2"/>
      <c r="H6549" s="2" t="s">
        <v>671</v>
      </c>
    </row>
    <row r="6550" customFormat="false" ht="15" hidden="false" customHeight="false" outlineLevel="0" collapsed="false">
      <c r="A6550" s="2" t="s">
        <v>2586</v>
      </c>
      <c r="B6550" s="2" t="s">
        <v>45</v>
      </c>
      <c r="C6550" s="2" t="s">
        <v>4087</v>
      </c>
      <c r="D6550" s="11" t="n">
        <v>15781</v>
      </c>
      <c r="E6550" s="31" t="n">
        <v>78.4</v>
      </c>
      <c r="F6550" s="2"/>
      <c r="G6550" s="2"/>
      <c r="H6550" s="2" t="s">
        <v>668</v>
      </c>
    </row>
    <row r="6551" customFormat="false" ht="15" hidden="false" customHeight="false" outlineLevel="0" collapsed="false">
      <c r="A6551" s="2" t="s">
        <v>2586</v>
      </c>
      <c r="B6551" s="2" t="s">
        <v>46</v>
      </c>
      <c r="C6551" s="2" t="s">
        <v>4085</v>
      </c>
      <c r="D6551" s="11" t="n">
        <v>591040</v>
      </c>
      <c r="E6551" s="31" t="n">
        <v>34.1</v>
      </c>
      <c r="F6551" s="31" t="n">
        <v>9.6</v>
      </c>
      <c r="G6551" s="31" t="n">
        <v>8</v>
      </c>
      <c r="H6551" s="2" t="s">
        <v>671</v>
      </c>
    </row>
    <row r="6552" customFormat="false" ht="15" hidden="false" customHeight="false" outlineLevel="0" collapsed="false">
      <c r="A6552" s="2" t="s">
        <v>2586</v>
      </c>
      <c r="B6552" s="2" t="s">
        <v>46</v>
      </c>
      <c r="C6552" s="2" t="s">
        <v>4086</v>
      </c>
      <c r="D6552" s="11" t="n">
        <v>595450</v>
      </c>
      <c r="E6552" s="31" t="n">
        <v>40.5</v>
      </c>
      <c r="F6552" s="31" t="n">
        <v>11.5</v>
      </c>
      <c r="G6552" s="31" t="n">
        <v>34.9</v>
      </c>
      <c r="H6552" s="2" t="s">
        <v>671</v>
      </c>
    </row>
    <row r="6553" customFormat="false" ht="15" hidden="false" customHeight="false" outlineLevel="0" collapsed="false">
      <c r="A6553" s="2" t="s">
        <v>2586</v>
      </c>
      <c r="B6553" s="2" t="s">
        <v>46</v>
      </c>
      <c r="C6553" s="2" t="s">
        <v>4087</v>
      </c>
      <c r="D6553" s="11" t="n">
        <v>588462</v>
      </c>
      <c r="E6553" s="2"/>
      <c r="F6553" s="31" t="n">
        <v>4</v>
      </c>
      <c r="G6553" s="31" t="n">
        <v>67.4</v>
      </c>
      <c r="H6553" s="2" t="s">
        <v>668</v>
      </c>
    </row>
    <row r="6554" customFormat="false" ht="15" hidden="false" customHeight="false" outlineLevel="0" collapsed="false">
      <c r="A6554" s="2" t="s">
        <v>2586</v>
      </c>
      <c r="B6554" s="2" t="s">
        <v>47</v>
      </c>
      <c r="C6554" s="2" t="s">
        <v>4085</v>
      </c>
      <c r="D6554" s="11" t="n">
        <v>82186</v>
      </c>
      <c r="E6554" s="31" t="n">
        <v>34.1</v>
      </c>
      <c r="F6554" s="31" t="n">
        <v>53.3</v>
      </c>
      <c r="G6554" s="31" t="n">
        <v>95.2</v>
      </c>
      <c r="H6554" s="2" t="s">
        <v>671</v>
      </c>
    </row>
    <row r="6555" customFormat="false" ht="15" hidden="false" customHeight="false" outlineLevel="0" collapsed="false">
      <c r="A6555" s="2" t="s">
        <v>2586</v>
      </c>
      <c r="B6555" s="2" t="s">
        <v>47</v>
      </c>
      <c r="C6555" s="2" t="s">
        <v>4086</v>
      </c>
      <c r="D6555" s="11" t="n">
        <v>83350</v>
      </c>
      <c r="E6555" s="31" t="n">
        <v>10.8</v>
      </c>
      <c r="F6555" s="31" t="n">
        <v>28.6</v>
      </c>
      <c r="G6555" s="31" t="n">
        <v>86.6</v>
      </c>
      <c r="H6555" s="2" t="s">
        <v>671</v>
      </c>
    </row>
    <row r="6556" customFormat="false" ht="15" hidden="false" customHeight="false" outlineLevel="0" collapsed="false">
      <c r="A6556" s="2" t="s">
        <v>2586</v>
      </c>
      <c r="B6556" s="2" t="s">
        <v>47</v>
      </c>
      <c r="C6556" s="2" t="s">
        <v>4087</v>
      </c>
      <c r="D6556" s="11" t="n">
        <v>86434</v>
      </c>
      <c r="E6556" s="31" t="n">
        <v>14.8</v>
      </c>
      <c r="F6556" s="31" t="n">
        <v>25.9</v>
      </c>
      <c r="G6556" s="31" t="n">
        <v>93.7</v>
      </c>
      <c r="H6556" s="2" t="s">
        <v>671</v>
      </c>
    </row>
    <row r="6557" customFormat="false" ht="15" hidden="false" customHeight="false" outlineLevel="0" collapsed="false">
      <c r="A6557" s="2" t="s">
        <v>1102</v>
      </c>
      <c r="B6557" s="2" t="s">
        <v>4104</v>
      </c>
      <c r="C6557" s="2" t="s">
        <v>4085</v>
      </c>
      <c r="D6557" s="2"/>
      <c r="E6557" s="31" t="n">
        <v>96.7</v>
      </c>
      <c r="F6557" s="31" t="n">
        <v>31.8</v>
      </c>
      <c r="G6557" s="31" t="n">
        <v>30.4</v>
      </c>
      <c r="H6557" s="2" t="s">
        <v>668</v>
      </c>
    </row>
    <row r="6558" customFormat="false" ht="15" hidden="false" customHeight="false" outlineLevel="0" collapsed="false">
      <c r="A6558" s="2" t="s">
        <v>1102</v>
      </c>
      <c r="B6558" s="2" t="s">
        <v>4104</v>
      </c>
      <c r="C6558" s="2" t="s">
        <v>4086</v>
      </c>
      <c r="D6558" s="2"/>
      <c r="E6558" s="31" t="n">
        <v>41.5</v>
      </c>
      <c r="F6558" s="31" t="n">
        <v>75.7</v>
      </c>
      <c r="G6558" s="31" t="n">
        <v>63.1</v>
      </c>
      <c r="H6558" s="2" t="s">
        <v>671</v>
      </c>
    </row>
    <row r="6559" customFormat="false" ht="15" hidden="false" customHeight="false" outlineLevel="0" collapsed="false">
      <c r="A6559" s="2" t="s">
        <v>1102</v>
      </c>
      <c r="B6559" s="2" t="s">
        <v>4104</v>
      </c>
      <c r="C6559" s="2" t="s">
        <v>4087</v>
      </c>
      <c r="D6559" s="2"/>
      <c r="E6559" s="31" t="n">
        <v>33.6</v>
      </c>
      <c r="F6559" s="31" t="n">
        <v>79.1</v>
      </c>
      <c r="G6559" s="31" t="n">
        <v>86.4</v>
      </c>
      <c r="H6559" s="2" t="s">
        <v>668</v>
      </c>
    </row>
    <row r="6560" customFormat="false" ht="15" hidden="false" customHeight="false" outlineLevel="0" collapsed="false">
      <c r="A6560" s="2" t="s">
        <v>1102</v>
      </c>
      <c r="B6560" s="2" t="s">
        <v>45</v>
      </c>
      <c r="C6560" s="2" t="s">
        <v>4085</v>
      </c>
      <c r="D6560" s="2"/>
      <c r="E6560" s="2"/>
      <c r="F6560" s="2"/>
      <c r="G6560" s="2"/>
      <c r="H6560" s="2" t="s">
        <v>668</v>
      </c>
    </row>
    <row r="6561" customFormat="false" ht="15" hidden="false" customHeight="false" outlineLevel="0" collapsed="false">
      <c r="A6561" s="2" t="s">
        <v>1102</v>
      </c>
      <c r="B6561" s="2" t="s">
        <v>45</v>
      </c>
      <c r="C6561" s="2" t="s">
        <v>4086</v>
      </c>
      <c r="D6561" s="11" t="n">
        <v>172805</v>
      </c>
      <c r="E6561" s="31" t="n">
        <v>15.3</v>
      </c>
      <c r="F6561" s="31" t="n">
        <v>98.6</v>
      </c>
      <c r="G6561" s="31" t="n">
        <v>84.1</v>
      </c>
      <c r="H6561" s="2" t="s">
        <v>671</v>
      </c>
    </row>
    <row r="6562" customFormat="false" ht="15" hidden="false" customHeight="false" outlineLevel="0" collapsed="false">
      <c r="A6562" s="2" t="s">
        <v>1102</v>
      </c>
      <c r="B6562" s="2" t="s">
        <v>45</v>
      </c>
      <c r="C6562" s="2" t="s">
        <v>4087</v>
      </c>
      <c r="D6562" s="11" t="n">
        <v>182187</v>
      </c>
      <c r="E6562" s="31" t="n">
        <v>41.9</v>
      </c>
      <c r="F6562" s="31" t="n">
        <v>98.6</v>
      </c>
      <c r="G6562" s="31" t="n">
        <v>87.6</v>
      </c>
      <c r="H6562" s="2" t="s">
        <v>671</v>
      </c>
    </row>
    <row r="6563" customFormat="false" ht="15" hidden="false" customHeight="false" outlineLevel="0" collapsed="false">
      <c r="A6563" s="2" t="s">
        <v>1102</v>
      </c>
      <c r="B6563" s="2" t="s">
        <v>46</v>
      </c>
      <c r="C6563" s="2" t="s">
        <v>4085</v>
      </c>
      <c r="D6563" s="11" t="n">
        <v>47260</v>
      </c>
      <c r="E6563" s="2"/>
      <c r="F6563" s="31" t="n">
        <v>27.3</v>
      </c>
      <c r="G6563" s="31" t="n">
        <v>43.4</v>
      </c>
      <c r="H6563" s="2" t="s">
        <v>668</v>
      </c>
    </row>
    <row r="6564" customFormat="false" ht="15" hidden="false" customHeight="false" outlineLevel="0" collapsed="false">
      <c r="A6564" s="2" t="s">
        <v>1102</v>
      </c>
      <c r="B6564" s="2" t="s">
        <v>46</v>
      </c>
      <c r="C6564" s="2" t="s">
        <v>4086</v>
      </c>
      <c r="D6564" s="11" t="n">
        <v>49830</v>
      </c>
      <c r="E6564" s="31" t="n">
        <v>27.3</v>
      </c>
      <c r="F6564" s="31" t="n">
        <v>49.1</v>
      </c>
      <c r="G6564" s="31" t="n">
        <v>71.1</v>
      </c>
      <c r="H6564" s="2" t="s">
        <v>671</v>
      </c>
    </row>
    <row r="6565" customFormat="false" ht="15" hidden="false" customHeight="false" outlineLevel="0" collapsed="false">
      <c r="A6565" s="2" t="s">
        <v>1102</v>
      </c>
      <c r="B6565" s="2" t="s">
        <v>46</v>
      </c>
      <c r="C6565" s="2" t="s">
        <v>4087</v>
      </c>
      <c r="D6565" s="11" t="n">
        <v>49430</v>
      </c>
      <c r="E6565" s="31" t="n">
        <v>25.4</v>
      </c>
      <c r="F6565" s="2"/>
      <c r="G6565" s="31" t="n">
        <v>85.2</v>
      </c>
      <c r="H6565" s="2" t="s">
        <v>668</v>
      </c>
    </row>
    <row r="6566" customFormat="false" ht="15" hidden="false" customHeight="false" outlineLevel="0" collapsed="false">
      <c r="A6566" s="2" t="s">
        <v>1102</v>
      </c>
      <c r="B6566" s="2" t="s">
        <v>47</v>
      </c>
      <c r="C6566" s="2" t="s">
        <v>4085</v>
      </c>
      <c r="D6566" s="11" t="n">
        <v>268227</v>
      </c>
      <c r="E6566" s="31" t="n">
        <v>96.7</v>
      </c>
      <c r="F6566" s="31" t="n">
        <v>36.4</v>
      </c>
      <c r="G6566" s="31" t="n">
        <v>17.5</v>
      </c>
      <c r="H6566" s="2" t="s">
        <v>671</v>
      </c>
    </row>
    <row r="6567" customFormat="false" ht="15" hidden="false" customHeight="false" outlineLevel="0" collapsed="false">
      <c r="A6567" s="2" t="s">
        <v>1102</v>
      </c>
      <c r="B6567" s="2" t="s">
        <v>47</v>
      </c>
      <c r="C6567" s="2" t="s">
        <v>4086</v>
      </c>
      <c r="D6567" s="11" t="n">
        <v>270550</v>
      </c>
      <c r="E6567" s="31" t="n">
        <v>82</v>
      </c>
      <c r="F6567" s="31" t="n">
        <v>79.5</v>
      </c>
      <c r="G6567" s="31" t="n">
        <v>34.1</v>
      </c>
      <c r="H6567" s="2" t="s">
        <v>671</v>
      </c>
    </row>
    <row r="6568" customFormat="false" ht="15" hidden="false" customHeight="false" outlineLevel="0" collapsed="false">
      <c r="A6568" s="2" t="s">
        <v>1102</v>
      </c>
      <c r="B6568" s="2" t="s">
        <v>47</v>
      </c>
      <c r="C6568" s="2" t="s">
        <v>4087</v>
      </c>
      <c r="D6568" s="11" t="n">
        <v>282950</v>
      </c>
      <c r="E6568" s="2"/>
      <c r="F6568" s="31" t="n">
        <v>59.6</v>
      </c>
      <c r="G6568" s="2"/>
      <c r="H6568" s="2" t="s">
        <v>668</v>
      </c>
    </row>
    <row r="6569" customFormat="false" ht="15" hidden="false" customHeight="false" outlineLevel="0" collapsed="false">
      <c r="A6569" s="2" t="s">
        <v>640</v>
      </c>
      <c r="B6569" s="2" t="s">
        <v>4104</v>
      </c>
      <c r="C6569" s="2" t="s">
        <v>4085</v>
      </c>
      <c r="D6569" s="2"/>
      <c r="E6569" s="2"/>
      <c r="F6569" s="2"/>
      <c r="G6569" s="2"/>
      <c r="H6569" s="2" t="s">
        <v>668</v>
      </c>
    </row>
    <row r="6570" customFormat="false" ht="15" hidden="false" customHeight="false" outlineLevel="0" collapsed="false">
      <c r="A6570" s="2" t="s">
        <v>640</v>
      </c>
      <c r="B6570" s="2" t="s">
        <v>4104</v>
      </c>
      <c r="C6570" s="2" t="s">
        <v>4086</v>
      </c>
      <c r="D6570" s="2"/>
      <c r="E6570" s="31" t="n">
        <v>15.5</v>
      </c>
      <c r="F6570" s="31" t="n">
        <v>96.9</v>
      </c>
      <c r="G6570" s="31" t="n">
        <v>45.2</v>
      </c>
      <c r="H6570" s="2" t="s">
        <v>671</v>
      </c>
    </row>
    <row r="6571" customFormat="false" ht="15" hidden="false" customHeight="false" outlineLevel="0" collapsed="false">
      <c r="A6571" s="2" t="s">
        <v>640</v>
      </c>
      <c r="B6571" s="2" t="s">
        <v>4104</v>
      </c>
      <c r="C6571" s="2" t="s">
        <v>4087</v>
      </c>
      <c r="D6571" s="2"/>
      <c r="E6571" s="31" t="n">
        <v>8.2</v>
      </c>
      <c r="F6571" s="31" t="n">
        <v>94.6</v>
      </c>
      <c r="G6571" s="31" t="n">
        <v>24.2</v>
      </c>
      <c r="H6571" s="2" t="s">
        <v>671</v>
      </c>
    </row>
    <row r="6572" customFormat="false" ht="15" hidden="false" customHeight="false" outlineLevel="0" collapsed="false">
      <c r="A6572" s="2" t="s">
        <v>640</v>
      </c>
      <c r="B6572" s="2" t="s">
        <v>47</v>
      </c>
      <c r="C6572" s="2" t="s">
        <v>4085</v>
      </c>
      <c r="D6572" s="2"/>
      <c r="E6572" s="2"/>
      <c r="F6572" s="2"/>
      <c r="G6572" s="2"/>
      <c r="H6572" s="2" t="s">
        <v>668</v>
      </c>
    </row>
    <row r="6573" customFormat="false" ht="15" hidden="false" customHeight="false" outlineLevel="0" collapsed="false">
      <c r="A6573" s="2" t="s">
        <v>640</v>
      </c>
      <c r="B6573" s="2" t="s">
        <v>47</v>
      </c>
      <c r="C6573" s="2" t="s">
        <v>4086</v>
      </c>
      <c r="D6573" s="11" t="n">
        <v>582380</v>
      </c>
      <c r="E6573" s="31" t="n">
        <v>15.5</v>
      </c>
      <c r="F6573" s="31" t="n">
        <v>96.9</v>
      </c>
      <c r="G6573" s="31" t="n">
        <v>45.2</v>
      </c>
      <c r="H6573" s="2" t="s">
        <v>671</v>
      </c>
    </row>
    <row r="6574" customFormat="false" ht="15" hidden="false" customHeight="false" outlineLevel="0" collapsed="false">
      <c r="A6574" s="2" t="s">
        <v>640</v>
      </c>
      <c r="B6574" s="2" t="s">
        <v>47</v>
      </c>
      <c r="C6574" s="2" t="s">
        <v>4087</v>
      </c>
      <c r="D6574" s="11" t="n">
        <v>618897</v>
      </c>
      <c r="E6574" s="31" t="n">
        <v>8.2</v>
      </c>
      <c r="F6574" s="31" t="n">
        <v>94.6</v>
      </c>
      <c r="G6574" s="31" t="n">
        <v>24.2</v>
      </c>
      <c r="H6574" s="2" t="s">
        <v>671</v>
      </c>
    </row>
    <row r="6575" customFormat="false" ht="15" hidden="false" customHeight="false" outlineLevel="0" collapsed="false">
      <c r="A6575" s="2" t="s">
        <v>422</v>
      </c>
      <c r="B6575" s="2" t="s">
        <v>4104</v>
      </c>
      <c r="C6575" s="2" t="s">
        <v>4085</v>
      </c>
      <c r="D6575" s="2"/>
      <c r="E6575" s="31" t="n">
        <v>46.3</v>
      </c>
      <c r="F6575" s="31" t="n">
        <v>55.9</v>
      </c>
      <c r="G6575" s="31" t="n">
        <v>42.2</v>
      </c>
      <c r="H6575" s="2" t="s">
        <v>668</v>
      </c>
    </row>
    <row r="6576" customFormat="false" ht="15" hidden="false" customHeight="false" outlineLevel="0" collapsed="false">
      <c r="A6576" s="2" t="s">
        <v>422</v>
      </c>
      <c r="B6576" s="2" t="s">
        <v>4104</v>
      </c>
      <c r="C6576" s="2" t="s">
        <v>4086</v>
      </c>
      <c r="D6576" s="2"/>
      <c r="E6576" s="31" t="n">
        <v>40.7</v>
      </c>
      <c r="F6576" s="31" t="n">
        <v>45</v>
      </c>
      <c r="G6576" s="31" t="n">
        <v>40.8</v>
      </c>
      <c r="H6576" s="2" t="s">
        <v>668</v>
      </c>
    </row>
    <row r="6577" customFormat="false" ht="15" hidden="false" customHeight="false" outlineLevel="0" collapsed="false">
      <c r="A6577" s="2" t="s">
        <v>422</v>
      </c>
      <c r="B6577" s="2" t="s">
        <v>4104</v>
      </c>
      <c r="C6577" s="2" t="s">
        <v>4087</v>
      </c>
      <c r="D6577" s="2"/>
      <c r="E6577" s="31" t="n">
        <v>44</v>
      </c>
      <c r="F6577" s="31" t="n">
        <v>52.2</v>
      </c>
      <c r="G6577" s="31" t="n">
        <v>26.7</v>
      </c>
      <c r="H6577" s="2" t="s">
        <v>671</v>
      </c>
    </row>
    <row r="6578" customFormat="false" ht="15" hidden="false" customHeight="false" outlineLevel="0" collapsed="false">
      <c r="A6578" s="2" t="s">
        <v>422</v>
      </c>
      <c r="B6578" s="2" t="s">
        <v>45</v>
      </c>
      <c r="C6578" s="2" t="s">
        <v>4085</v>
      </c>
      <c r="D6578" s="11" t="n">
        <v>38160</v>
      </c>
      <c r="E6578" s="31" t="n">
        <v>48.8</v>
      </c>
      <c r="F6578" s="31" t="n">
        <v>23</v>
      </c>
      <c r="G6578" s="31" t="n">
        <v>83.7</v>
      </c>
      <c r="H6578" s="2" t="s">
        <v>671</v>
      </c>
    </row>
    <row r="6579" customFormat="false" ht="15" hidden="false" customHeight="false" outlineLevel="0" collapsed="false">
      <c r="A6579" s="2" t="s">
        <v>422</v>
      </c>
      <c r="B6579" s="2" t="s">
        <v>45</v>
      </c>
      <c r="C6579" s="2" t="s">
        <v>4086</v>
      </c>
      <c r="D6579" s="11" t="n">
        <v>39320</v>
      </c>
      <c r="E6579" s="31" t="n">
        <v>28.7</v>
      </c>
      <c r="F6579" s="31" t="n">
        <v>12.7</v>
      </c>
      <c r="G6579" s="31" t="n">
        <v>59</v>
      </c>
      <c r="H6579" s="2" t="s">
        <v>671</v>
      </c>
    </row>
    <row r="6580" customFormat="false" ht="15" hidden="false" customHeight="false" outlineLevel="0" collapsed="false">
      <c r="A6580" s="2" t="s">
        <v>422</v>
      </c>
      <c r="B6580" s="2" t="s">
        <v>45</v>
      </c>
      <c r="C6580" s="2" t="s">
        <v>4087</v>
      </c>
      <c r="D6580" s="11" t="n">
        <v>39790</v>
      </c>
      <c r="E6580" s="31" t="n">
        <v>45.7</v>
      </c>
      <c r="F6580" s="31" t="n">
        <v>26.2</v>
      </c>
      <c r="G6580" s="31" t="n">
        <v>71.5</v>
      </c>
      <c r="H6580" s="2" t="s">
        <v>671</v>
      </c>
    </row>
    <row r="6581" customFormat="false" ht="15" hidden="false" customHeight="false" outlineLevel="0" collapsed="false">
      <c r="A6581" s="2" t="s">
        <v>422</v>
      </c>
      <c r="B6581" s="2" t="s">
        <v>46</v>
      </c>
      <c r="C6581" s="2" t="s">
        <v>4085</v>
      </c>
      <c r="D6581" s="11" t="n">
        <v>76590</v>
      </c>
      <c r="E6581" s="31" t="n">
        <v>83.8</v>
      </c>
      <c r="F6581" s="31" t="n">
        <v>55.8</v>
      </c>
      <c r="G6581" s="2"/>
      <c r="H6581" s="2" t="s">
        <v>668</v>
      </c>
    </row>
    <row r="6582" customFormat="false" ht="15" hidden="false" customHeight="false" outlineLevel="0" collapsed="false">
      <c r="A6582" s="2" t="s">
        <v>422</v>
      </c>
      <c r="B6582" s="2" t="s">
        <v>46</v>
      </c>
      <c r="C6582" s="2" t="s">
        <v>4086</v>
      </c>
      <c r="D6582" s="11" t="n">
        <v>78717</v>
      </c>
      <c r="E6582" s="31" t="n">
        <v>89.4</v>
      </c>
      <c r="F6582" s="31" t="n">
        <v>26.5</v>
      </c>
      <c r="G6582" s="2"/>
      <c r="H6582" s="2" t="s">
        <v>668</v>
      </c>
    </row>
    <row r="6583" customFormat="false" ht="15" hidden="false" customHeight="false" outlineLevel="0" collapsed="false">
      <c r="A6583" s="2" t="s">
        <v>422</v>
      </c>
      <c r="B6583" s="2" t="s">
        <v>46</v>
      </c>
      <c r="C6583" s="2" t="s">
        <v>4087</v>
      </c>
      <c r="D6583" s="11" t="n">
        <v>77930</v>
      </c>
      <c r="E6583" s="31" t="n">
        <v>77.8</v>
      </c>
      <c r="F6583" s="31" t="n">
        <v>34</v>
      </c>
      <c r="G6583" s="31" t="n">
        <v>2.6</v>
      </c>
      <c r="H6583" s="2" t="s">
        <v>671</v>
      </c>
    </row>
    <row r="6584" customFormat="false" ht="15" hidden="false" customHeight="false" outlineLevel="0" collapsed="false">
      <c r="A6584" s="2" t="s">
        <v>422</v>
      </c>
      <c r="B6584" s="2" t="s">
        <v>47</v>
      </c>
      <c r="C6584" s="2" t="s">
        <v>4085</v>
      </c>
      <c r="D6584" s="11" t="n">
        <v>85533</v>
      </c>
      <c r="E6584" s="31" t="n">
        <v>6.4</v>
      </c>
      <c r="F6584" s="31" t="n">
        <v>88.9</v>
      </c>
      <c r="G6584" s="31" t="n">
        <v>0.8</v>
      </c>
      <c r="H6584" s="2" t="s">
        <v>671</v>
      </c>
    </row>
    <row r="6585" customFormat="false" ht="15" hidden="false" customHeight="false" outlineLevel="0" collapsed="false">
      <c r="A6585" s="2" t="s">
        <v>422</v>
      </c>
      <c r="B6585" s="2" t="s">
        <v>47</v>
      </c>
      <c r="C6585" s="2" t="s">
        <v>4086</v>
      </c>
      <c r="D6585" s="11" t="n">
        <v>90993</v>
      </c>
      <c r="E6585" s="31" t="n">
        <v>3.9</v>
      </c>
      <c r="F6585" s="31" t="n">
        <v>95.8</v>
      </c>
      <c r="G6585" s="31" t="n">
        <v>22.6</v>
      </c>
      <c r="H6585" s="2" t="s">
        <v>671</v>
      </c>
    </row>
    <row r="6586" customFormat="false" ht="15" hidden="false" customHeight="false" outlineLevel="0" collapsed="false">
      <c r="A6586" s="2" t="s">
        <v>422</v>
      </c>
      <c r="B6586" s="2" t="s">
        <v>47</v>
      </c>
      <c r="C6586" s="2" t="s">
        <v>4087</v>
      </c>
      <c r="D6586" s="11" t="n">
        <v>95307</v>
      </c>
      <c r="E6586" s="31" t="n">
        <v>8.4</v>
      </c>
      <c r="F6586" s="31" t="n">
        <v>96.5</v>
      </c>
      <c r="G6586" s="31" t="n">
        <v>5.9</v>
      </c>
      <c r="H6586" s="2" t="s">
        <v>671</v>
      </c>
    </row>
    <row r="6587" customFormat="false" ht="15" hidden="false" customHeight="false" outlineLevel="0" collapsed="false">
      <c r="A6587" s="2" t="s">
        <v>1014</v>
      </c>
      <c r="B6587" s="2" t="s">
        <v>4104</v>
      </c>
      <c r="C6587" s="2" t="s">
        <v>4085</v>
      </c>
      <c r="D6587" s="2"/>
      <c r="E6587" s="31" t="n">
        <v>64.2</v>
      </c>
      <c r="F6587" s="31" t="n">
        <v>38.2</v>
      </c>
      <c r="G6587" s="31" t="n">
        <v>67.7</v>
      </c>
      <c r="H6587" s="2" t="s">
        <v>668</v>
      </c>
    </row>
    <row r="6588" customFormat="false" ht="15" hidden="false" customHeight="false" outlineLevel="0" collapsed="false">
      <c r="A6588" s="2" t="s">
        <v>1014</v>
      </c>
      <c r="B6588" s="2" t="s">
        <v>4104</v>
      </c>
      <c r="C6588" s="2" t="s">
        <v>4086</v>
      </c>
      <c r="D6588" s="2"/>
      <c r="E6588" s="31" t="n">
        <v>73.9</v>
      </c>
      <c r="F6588" s="31" t="n">
        <v>30.4</v>
      </c>
      <c r="G6588" s="31" t="n">
        <v>59.6</v>
      </c>
      <c r="H6588" s="2" t="s">
        <v>671</v>
      </c>
    </row>
    <row r="6589" customFormat="false" ht="15" hidden="false" customHeight="false" outlineLevel="0" collapsed="false">
      <c r="A6589" s="2" t="s">
        <v>1014</v>
      </c>
      <c r="B6589" s="2" t="s">
        <v>4104</v>
      </c>
      <c r="C6589" s="2" t="s">
        <v>4087</v>
      </c>
      <c r="D6589" s="2"/>
      <c r="E6589" s="31" t="n">
        <v>77.7</v>
      </c>
      <c r="F6589" s="31" t="n">
        <v>34.1</v>
      </c>
      <c r="G6589" s="31" t="n">
        <v>37</v>
      </c>
      <c r="H6589" s="2" t="s">
        <v>668</v>
      </c>
    </row>
    <row r="6590" customFormat="false" ht="15" hidden="false" customHeight="false" outlineLevel="0" collapsed="false">
      <c r="A6590" s="2" t="s">
        <v>1014</v>
      </c>
      <c r="B6590" s="2" t="s">
        <v>45</v>
      </c>
      <c r="C6590" s="2" t="s">
        <v>4085</v>
      </c>
      <c r="D6590" s="11" t="n">
        <v>18880</v>
      </c>
      <c r="E6590" s="31" t="n">
        <v>37.2</v>
      </c>
      <c r="F6590" s="31" t="n">
        <v>32.5</v>
      </c>
      <c r="G6590" s="2"/>
      <c r="H6590" s="2" t="s">
        <v>668</v>
      </c>
    </row>
    <row r="6591" customFormat="false" ht="15" hidden="false" customHeight="false" outlineLevel="0" collapsed="false">
      <c r="A6591" s="2" t="s">
        <v>1014</v>
      </c>
      <c r="B6591" s="2" t="s">
        <v>45</v>
      </c>
      <c r="C6591" s="2" t="s">
        <v>4086</v>
      </c>
      <c r="D6591" s="11" t="n">
        <v>18840</v>
      </c>
      <c r="E6591" s="31" t="n">
        <v>55.4</v>
      </c>
      <c r="F6591" s="31" t="n">
        <v>38.5</v>
      </c>
      <c r="G6591" s="31" t="n">
        <v>45.7</v>
      </c>
      <c r="H6591" s="2" t="s">
        <v>671</v>
      </c>
    </row>
    <row r="6592" customFormat="false" ht="15" hidden="false" customHeight="false" outlineLevel="0" collapsed="false">
      <c r="A6592" s="2" t="s">
        <v>1014</v>
      </c>
      <c r="B6592" s="2" t="s">
        <v>45</v>
      </c>
      <c r="C6592" s="2" t="s">
        <v>4087</v>
      </c>
      <c r="D6592" s="11" t="n">
        <v>19320</v>
      </c>
      <c r="E6592" s="31" t="n">
        <v>53</v>
      </c>
      <c r="F6592" s="31" t="n">
        <v>14.3</v>
      </c>
      <c r="G6592" s="31" t="n">
        <v>53.3</v>
      </c>
      <c r="H6592" s="2" t="s">
        <v>671</v>
      </c>
    </row>
    <row r="6593" customFormat="false" ht="15" hidden="false" customHeight="false" outlineLevel="0" collapsed="false">
      <c r="A6593" s="2" t="s">
        <v>1014</v>
      </c>
      <c r="B6593" s="2" t="s">
        <v>46</v>
      </c>
      <c r="C6593" s="2" t="s">
        <v>4085</v>
      </c>
      <c r="D6593" s="11" t="n">
        <v>8960</v>
      </c>
      <c r="E6593" s="31" t="n">
        <v>81.4</v>
      </c>
      <c r="F6593" s="31" t="n">
        <v>43.9</v>
      </c>
      <c r="G6593" s="2"/>
      <c r="H6593" s="2" t="s">
        <v>668</v>
      </c>
    </row>
    <row r="6594" customFormat="false" ht="15" hidden="false" customHeight="false" outlineLevel="0" collapsed="false">
      <c r="A6594" s="2" t="s">
        <v>1014</v>
      </c>
      <c r="B6594" s="2" t="s">
        <v>46</v>
      </c>
      <c r="C6594" s="2" t="s">
        <v>4086</v>
      </c>
      <c r="D6594" s="11" t="n">
        <v>9240</v>
      </c>
      <c r="E6594" s="31" t="n">
        <v>74.1</v>
      </c>
      <c r="F6594" s="31" t="n">
        <v>43.4</v>
      </c>
      <c r="G6594" s="31" t="n">
        <v>55.2</v>
      </c>
      <c r="H6594" s="2" t="s">
        <v>671</v>
      </c>
    </row>
    <row r="6595" customFormat="false" ht="15" hidden="false" customHeight="false" outlineLevel="0" collapsed="false">
      <c r="A6595" s="2" t="s">
        <v>1014</v>
      </c>
      <c r="B6595" s="2" t="s">
        <v>46</v>
      </c>
      <c r="C6595" s="2" t="s">
        <v>4087</v>
      </c>
      <c r="D6595" s="11" t="n">
        <v>9630</v>
      </c>
      <c r="E6595" s="31" t="n">
        <v>97.9</v>
      </c>
      <c r="F6595" s="31" t="n">
        <v>72.9</v>
      </c>
      <c r="G6595" s="31" t="n">
        <v>20.7</v>
      </c>
      <c r="H6595" s="2" t="s">
        <v>668</v>
      </c>
    </row>
    <row r="6596" customFormat="false" ht="15" hidden="false" customHeight="false" outlineLevel="0" collapsed="false">
      <c r="A6596" s="2" t="s">
        <v>1014</v>
      </c>
      <c r="B6596" s="2" t="s">
        <v>47</v>
      </c>
      <c r="C6596" s="2" t="s">
        <v>4085</v>
      </c>
      <c r="D6596" s="11" t="n">
        <v>105091</v>
      </c>
      <c r="E6596" s="31" t="n">
        <v>73.9</v>
      </c>
      <c r="F6596" s="2"/>
      <c r="G6596" s="31" t="n">
        <v>67.7</v>
      </c>
      <c r="H6596" s="2" t="s">
        <v>668</v>
      </c>
    </row>
    <row r="6597" customFormat="false" ht="15" hidden="false" customHeight="false" outlineLevel="0" collapsed="false">
      <c r="A6597" s="2" t="s">
        <v>1014</v>
      </c>
      <c r="B6597" s="2" t="s">
        <v>47</v>
      </c>
      <c r="C6597" s="2" t="s">
        <v>4086</v>
      </c>
      <c r="D6597" s="11" t="n">
        <v>106910</v>
      </c>
      <c r="E6597" s="31" t="n">
        <v>92.2</v>
      </c>
      <c r="F6597" s="31" t="n">
        <v>9.3</v>
      </c>
      <c r="G6597" s="31" t="n">
        <v>77.8</v>
      </c>
      <c r="H6597" s="2" t="s">
        <v>671</v>
      </c>
    </row>
    <row r="6598" customFormat="false" ht="15" hidden="false" customHeight="false" outlineLevel="0" collapsed="false">
      <c r="A6598" s="2" t="s">
        <v>1014</v>
      </c>
      <c r="B6598" s="2" t="s">
        <v>47</v>
      </c>
      <c r="C6598" s="2" t="s">
        <v>4087</v>
      </c>
      <c r="D6598" s="11" t="n">
        <v>103975</v>
      </c>
      <c r="E6598" s="31" t="n">
        <v>82.3</v>
      </c>
      <c r="F6598" s="31" t="n">
        <v>15.1</v>
      </c>
      <c r="G6598" s="2"/>
      <c r="H6598" s="2" t="s">
        <v>668</v>
      </c>
    </row>
    <row r="6599" customFormat="false" ht="15" hidden="false" customHeight="false" outlineLevel="0" collapsed="false">
      <c r="A6599" s="2" t="s">
        <v>376</v>
      </c>
      <c r="B6599" s="2" t="s">
        <v>4104</v>
      </c>
      <c r="C6599" s="2" t="s">
        <v>4085</v>
      </c>
      <c r="D6599" s="2"/>
      <c r="E6599" s="31" t="n">
        <v>53</v>
      </c>
      <c r="F6599" s="31" t="n">
        <v>43.2</v>
      </c>
      <c r="G6599" s="31" t="n">
        <v>92.6</v>
      </c>
      <c r="H6599" s="2" t="s">
        <v>668</v>
      </c>
    </row>
    <row r="6600" customFormat="false" ht="15" hidden="false" customHeight="false" outlineLevel="0" collapsed="false">
      <c r="A6600" s="2" t="s">
        <v>376</v>
      </c>
      <c r="B6600" s="2" t="s">
        <v>4104</v>
      </c>
      <c r="C6600" s="2" t="s">
        <v>4086</v>
      </c>
      <c r="D6600" s="2"/>
      <c r="E6600" s="31" t="n">
        <v>60.1</v>
      </c>
      <c r="F6600" s="31" t="n">
        <v>44.9</v>
      </c>
      <c r="G6600" s="31" t="n">
        <v>70.7</v>
      </c>
      <c r="H6600" s="2" t="s">
        <v>671</v>
      </c>
    </row>
    <row r="6601" customFormat="false" ht="15" hidden="false" customHeight="false" outlineLevel="0" collapsed="false">
      <c r="A6601" s="2" t="s">
        <v>376</v>
      </c>
      <c r="B6601" s="2" t="s">
        <v>4104</v>
      </c>
      <c r="C6601" s="2" t="s">
        <v>4087</v>
      </c>
      <c r="D6601" s="2"/>
      <c r="E6601" s="31" t="n">
        <v>49.1</v>
      </c>
      <c r="F6601" s="31" t="n">
        <v>34.2</v>
      </c>
      <c r="G6601" s="31" t="n">
        <v>77.7</v>
      </c>
      <c r="H6601" s="2" t="s">
        <v>671</v>
      </c>
    </row>
    <row r="6602" customFormat="false" ht="15" hidden="false" customHeight="false" outlineLevel="0" collapsed="false">
      <c r="A6602" s="2" t="s">
        <v>376</v>
      </c>
      <c r="B6602" s="2" t="s">
        <v>45</v>
      </c>
      <c r="C6602" s="2" t="s">
        <v>4085</v>
      </c>
      <c r="D6602" s="11" t="n">
        <v>95833</v>
      </c>
      <c r="E6602" s="31" t="n">
        <v>6.3</v>
      </c>
      <c r="F6602" s="31" t="n">
        <v>88</v>
      </c>
      <c r="G6602" s="31" t="n">
        <v>99</v>
      </c>
      <c r="H6602" s="2" t="s">
        <v>671</v>
      </c>
    </row>
    <row r="6603" customFormat="false" ht="15" hidden="false" customHeight="false" outlineLevel="0" collapsed="false">
      <c r="A6603" s="2" t="s">
        <v>376</v>
      </c>
      <c r="B6603" s="2" t="s">
        <v>45</v>
      </c>
      <c r="C6603" s="2" t="s">
        <v>4086</v>
      </c>
      <c r="D6603" s="11" t="n">
        <v>98700</v>
      </c>
      <c r="E6603" s="31" t="n">
        <v>3</v>
      </c>
      <c r="F6603" s="31" t="n">
        <v>81.4</v>
      </c>
      <c r="G6603" s="31" t="n">
        <v>96.3</v>
      </c>
      <c r="H6603" s="2" t="s">
        <v>671</v>
      </c>
    </row>
    <row r="6604" customFormat="false" ht="15" hidden="false" customHeight="false" outlineLevel="0" collapsed="false">
      <c r="A6604" s="2" t="s">
        <v>376</v>
      </c>
      <c r="B6604" s="2" t="s">
        <v>45</v>
      </c>
      <c r="C6604" s="2" t="s">
        <v>4087</v>
      </c>
      <c r="D6604" s="11" t="n">
        <v>105065</v>
      </c>
      <c r="E6604" s="31" t="n">
        <v>13.9</v>
      </c>
      <c r="F6604" s="31" t="n">
        <v>71</v>
      </c>
      <c r="G6604" s="31" t="n">
        <v>98.3</v>
      </c>
      <c r="H6604" s="2" t="s">
        <v>671</v>
      </c>
    </row>
    <row r="6605" customFormat="false" ht="15" hidden="false" customHeight="false" outlineLevel="0" collapsed="false">
      <c r="A6605" s="2" t="s">
        <v>376</v>
      </c>
      <c r="B6605" s="2" t="s">
        <v>46</v>
      </c>
      <c r="C6605" s="2" t="s">
        <v>4085</v>
      </c>
      <c r="D6605" s="11" t="n">
        <v>325170</v>
      </c>
      <c r="E6605" s="31" t="n">
        <v>86.5</v>
      </c>
      <c r="F6605" s="31" t="n">
        <v>26.3</v>
      </c>
      <c r="G6605" s="2"/>
      <c r="H6605" s="2" t="s">
        <v>668</v>
      </c>
    </row>
    <row r="6606" customFormat="false" ht="15" hidden="false" customHeight="false" outlineLevel="0" collapsed="false">
      <c r="A6606" s="2" t="s">
        <v>376</v>
      </c>
      <c r="B6606" s="2" t="s">
        <v>46</v>
      </c>
      <c r="C6606" s="2" t="s">
        <v>4086</v>
      </c>
      <c r="D6606" s="11" t="n">
        <v>330670</v>
      </c>
      <c r="E6606" s="31" t="n">
        <v>96.5</v>
      </c>
      <c r="F6606" s="31" t="n">
        <v>17.2</v>
      </c>
      <c r="G6606" s="31" t="n">
        <v>50.8</v>
      </c>
      <c r="H6606" s="2" t="s">
        <v>671</v>
      </c>
    </row>
    <row r="6607" customFormat="false" ht="15" hidden="false" customHeight="false" outlineLevel="0" collapsed="false">
      <c r="A6607" s="2" t="s">
        <v>376</v>
      </c>
      <c r="B6607" s="2" t="s">
        <v>46</v>
      </c>
      <c r="C6607" s="2" t="s">
        <v>4087</v>
      </c>
      <c r="D6607" s="11" t="n">
        <v>320198</v>
      </c>
      <c r="E6607" s="31" t="n">
        <v>80.5</v>
      </c>
      <c r="F6607" s="31" t="n">
        <v>17.2</v>
      </c>
      <c r="G6607" s="31" t="n">
        <v>86.3</v>
      </c>
      <c r="H6607" s="2" t="s">
        <v>671</v>
      </c>
    </row>
    <row r="6608" customFormat="false" ht="15" hidden="false" customHeight="false" outlineLevel="0" collapsed="false">
      <c r="A6608" s="2" t="s">
        <v>376</v>
      </c>
      <c r="B6608" s="2" t="s">
        <v>47</v>
      </c>
      <c r="C6608" s="2" t="s">
        <v>4085</v>
      </c>
      <c r="D6608" s="11" t="n">
        <v>40699</v>
      </c>
      <c r="E6608" s="31" t="n">
        <v>66.1</v>
      </c>
      <c r="F6608" s="31" t="n">
        <v>15.4</v>
      </c>
      <c r="G6608" s="31" t="n">
        <v>86.1</v>
      </c>
      <c r="H6608" s="2" t="s">
        <v>671</v>
      </c>
    </row>
    <row r="6609" customFormat="false" ht="15" hidden="false" customHeight="false" outlineLevel="0" collapsed="false">
      <c r="A6609" s="2" t="s">
        <v>376</v>
      </c>
      <c r="B6609" s="2" t="s">
        <v>47</v>
      </c>
      <c r="C6609" s="2" t="s">
        <v>4086</v>
      </c>
      <c r="D6609" s="11" t="n">
        <v>40693</v>
      </c>
      <c r="E6609" s="31" t="n">
        <v>80.8</v>
      </c>
      <c r="F6609" s="31" t="n">
        <v>36</v>
      </c>
      <c r="G6609" s="31" t="n">
        <v>65.1</v>
      </c>
      <c r="H6609" s="2" t="s">
        <v>671</v>
      </c>
    </row>
    <row r="6610" customFormat="false" ht="15" hidden="false" customHeight="false" outlineLevel="0" collapsed="false">
      <c r="A6610" s="2" t="s">
        <v>376</v>
      </c>
      <c r="B6610" s="2" t="s">
        <v>47</v>
      </c>
      <c r="C6610" s="2" t="s">
        <v>4087</v>
      </c>
      <c r="D6610" s="11" t="n">
        <v>40684</v>
      </c>
      <c r="E6610" s="31" t="n">
        <v>53</v>
      </c>
      <c r="F6610" s="31" t="n">
        <v>14.5</v>
      </c>
      <c r="G6610" s="31" t="n">
        <v>48.6</v>
      </c>
      <c r="H6610" s="2" t="s">
        <v>671</v>
      </c>
    </row>
    <row r="6611" customFormat="false" ht="15" hidden="false" customHeight="false" outlineLevel="0" collapsed="false">
      <c r="A6611" s="2" t="s">
        <v>1284</v>
      </c>
      <c r="B6611" s="2" t="s">
        <v>4104</v>
      </c>
      <c r="C6611" s="2" t="s">
        <v>4085</v>
      </c>
      <c r="D6611" s="2"/>
      <c r="E6611" s="31" t="n">
        <v>51.6</v>
      </c>
      <c r="F6611" s="31" t="n">
        <v>80.4</v>
      </c>
      <c r="G6611" s="31" t="n">
        <v>89.7</v>
      </c>
      <c r="H6611" s="2" t="s">
        <v>668</v>
      </c>
    </row>
    <row r="6612" customFormat="false" ht="15" hidden="false" customHeight="false" outlineLevel="0" collapsed="false">
      <c r="A6612" s="2" t="s">
        <v>1284</v>
      </c>
      <c r="B6612" s="2" t="s">
        <v>4104</v>
      </c>
      <c r="C6612" s="2" t="s">
        <v>4086</v>
      </c>
      <c r="D6612" s="2"/>
      <c r="E6612" s="31" t="n">
        <v>67.6</v>
      </c>
      <c r="F6612" s="31" t="n">
        <v>44.8</v>
      </c>
      <c r="G6612" s="31" t="n">
        <v>76.7</v>
      </c>
      <c r="H6612" s="2" t="s">
        <v>671</v>
      </c>
    </row>
    <row r="6613" customFormat="false" ht="15" hidden="false" customHeight="false" outlineLevel="0" collapsed="false">
      <c r="A6613" s="2" t="s">
        <v>1284</v>
      </c>
      <c r="B6613" s="2" t="s">
        <v>4104</v>
      </c>
      <c r="C6613" s="2" t="s">
        <v>4087</v>
      </c>
      <c r="D6613" s="2"/>
      <c r="E6613" s="31" t="n">
        <v>63.3</v>
      </c>
      <c r="F6613" s="31" t="n">
        <v>37.5</v>
      </c>
      <c r="G6613" s="31" t="n">
        <v>88.3</v>
      </c>
      <c r="H6613" s="2" t="s">
        <v>668</v>
      </c>
    </row>
    <row r="6614" customFormat="false" ht="15" hidden="false" customHeight="false" outlineLevel="0" collapsed="false">
      <c r="A6614" s="2" t="s">
        <v>1284</v>
      </c>
      <c r="B6614" s="2" t="s">
        <v>45</v>
      </c>
      <c r="C6614" s="2" t="s">
        <v>4085</v>
      </c>
      <c r="D6614" s="11" t="n">
        <v>49140</v>
      </c>
      <c r="E6614" s="31" t="n">
        <v>16.6</v>
      </c>
      <c r="F6614" s="31" t="n">
        <v>76.3</v>
      </c>
      <c r="G6614" s="31" t="n">
        <v>97.6</v>
      </c>
      <c r="H6614" s="2" t="s">
        <v>671</v>
      </c>
    </row>
    <row r="6615" customFormat="false" ht="15" hidden="false" customHeight="false" outlineLevel="0" collapsed="false">
      <c r="A6615" s="2" t="s">
        <v>1284</v>
      </c>
      <c r="B6615" s="2" t="s">
        <v>45</v>
      </c>
      <c r="C6615" s="2" t="s">
        <v>4086</v>
      </c>
      <c r="D6615" s="11" t="n">
        <v>50400</v>
      </c>
      <c r="E6615" s="31" t="n">
        <v>34.2</v>
      </c>
      <c r="F6615" s="31" t="n">
        <v>40.9</v>
      </c>
      <c r="G6615" s="31" t="n">
        <v>82.1</v>
      </c>
      <c r="H6615" s="2" t="s">
        <v>671</v>
      </c>
    </row>
    <row r="6616" customFormat="false" ht="15" hidden="false" customHeight="false" outlineLevel="0" collapsed="false">
      <c r="A6616" s="2" t="s">
        <v>1284</v>
      </c>
      <c r="B6616" s="2" t="s">
        <v>45</v>
      </c>
      <c r="C6616" s="2" t="s">
        <v>4087</v>
      </c>
      <c r="D6616" s="11" t="n">
        <v>93510</v>
      </c>
      <c r="E6616" s="31" t="n">
        <v>16</v>
      </c>
      <c r="F6616" s="31" t="n">
        <v>22.6</v>
      </c>
      <c r="G6616" s="31" t="n">
        <v>85.9</v>
      </c>
      <c r="H6616" s="2" t="s">
        <v>671</v>
      </c>
    </row>
    <row r="6617" customFormat="false" ht="15" hidden="false" customHeight="false" outlineLevel="0" collapsed="false">
      <c r="A6617" s="2" t="s">
        <v>1284</v>
      </c>
      <c r="B6617" s="2" t="s">
        <v>46</v>
      </c>
      <c r="C6617" s="2" t="s">
        <v>4085</v>
      </c>
      <c r="D6617" s="11" t="n">
        <v>13970</v>
      </c>
      <c r="E6617" s="31" t="n">
        <v>73.8</v>
      </c>
      <c r="F6617" s="2"/>
      <c r="G6617" s="2"/>
      <c r="H6617" s="2" t="s">
        <v>668</v>
      </c>
    </row>
    <row r="6618" customFormat="false" ht="15" hidden="false" customHeight="false" outlineLevel="0" collapsed="false">
      <c r="A6618" s="2" t="s">
        <v>1284</v>
      </c>
      <c r="B6618" s="2" t="s">
        <v>46</v>
      </c>
      <c r="C6618" s="2" t="s">
        <v>4086</v>
      </c>
      <c r="D6618" s="11" t="n">
        <v>13960</v>
      </c>
      <c r="E6618" s="31" t="n">
        <v>80.7</v>
      </c>
      <c r="F6618" s="31" t="n">
        <v>16</v>
      </c>
      <c r="G6618" s="31" t="n">
        <v>66</v>
      </c>
      <c r="H6618" s="2" t="s">
        <v>671</v>
      </c>
    </row>
    <row r="6619" customFormat="false" ht="15" hidden="false" customHeight="false" outlineLevel="0" collapsed="false">
      <c r="A6619" s="2" t="s">
        <v>1284</v>
      </c>
      <c r="B6619" s="2" t="s">
        <v>46</v>
      </c>
      <c r="C6619" s="2" t="s">
        <v>4087</v>
      </c>
      <c r="D6619" s="11" t="n">
        <v>14310</v>
      </c>
      <c r="E6619" s="31" t="n">
        <v>93</v>
      </c>
      <c r="F6619" s="2"/>
      <c r="G6619" s="2"/>
      <c r="H6619" s="2" t="s">
        <v>668</v>
      </c>
    </row>
    <row r="6620" customFormat="false" ht="15" hidden="false" customHeight="false" outlineLevel="0" collapsed="false">
      <c r="A6620" s="2" t="s">
        <v>1284</v>
      </c>
      <c r="B6620" s="2" t="s">
        <v>47</v>
      </c>
      <c r="C6620" s="2" t="s">
        <v>4085</v>
      </c>
      <c r="D6620" s="11" t="n">
        <v>176494</v>
      </c>
      <c r="E6620" s="31" t="n">
        <v>64.4</v>
      </c>
      <c r="F6620" s="31" t="n">
        <v>84.6</v>
      </c>
      <c r="G6620" s="31" t="n">
        <v>81.8</v>
      </c>
      <c r="H6620" s="2" t="s">
        <v>671</v>
      </c>
    </row>
    <row r="6621" customFormat="false" ht="15" hidden="false" customHeight="false" outlineLevel="0" collapsed="false">
      <c r="A6621" s="2" t="s">
        <v>1284</v>
      </c>
      <c r="B6621" s="2" t="s">
        <v>47</v>
      </c>
      <c r="C6621" s="2" t="s">
        <v>4086</v>
      </c>
      <c r="D6621" s="11" t="n">
        <v>187470</v>
      </c>
      <c r="E6621" s="31" t="n">
        <v>87.8</v>
      </c>
      <c r="F6621" s="31" t="n">
        <v>77.6</v>
      </c>
      <c r="G6621" s="31" t="n">
        <v>82.1</v>
      </c>
      <c r="H6621" s="2" t="s">
        <v>671</v>
      </c>
    </row>
    <row r="6622" customFormat="false" ht="15" hidden="false" customHeight="false" outlineLevel="0" collapsed="false">
      <c r="A6622" s="2" t="s">
        <v>1284</v>
      </c>
      <c r="B6622" s="2" t="s">
        <v>47</v>
      </c>
      <c r="C6622" s="2" t="s">
        <v>4087</v>
      </c>
      <c r="D6622" s="11" t="n">
        <v>186923</v>
      </c>
      <c r="E6622" s="31" t="n">
        <v>80.8</v>
      </c>
      <c r="F6622" s="31" t="n">
        <v>52.4</v>
      </c>
      <c r="G6622" s="31" t="n">
        <v>90.7</v>
      </c>
      <c r="H6622" s="2" t="s">
        <v>671</v>
      </c>
    </row>
    <row r="6623" customFormat="false" ht="15" hidden="false" customHeight="false" outlineLevel="0" collapsed="false">
      <c r="A6623" s="2" t="s">
        <v>1899</v>
      </c>
      <c r="B6623" s="2" t="s">
        <v>4104</v>
      </c>
      <c r="C6623" s="2" t="s">
        <v>4085</v>
      </c>
      <c r="D6623" s="2"/>
      <c r="E6623" s="31" t="n">
        <v>41</v>
      </c>
      <c r="F6623" s="31" t="n">
        <v>11.2</v>
      </c>
      <c r="G6623" s="31" t="n">
        <v>31.2</v>
      </c>
      <c r="H6623" s="2" t="s">
        <v>668</v>
      </c>
    </row>
    <row r="6624" customFormat="false" ht="15" hidden="false" customHeight="false" outlineLevel="0" collapsed="false">
      <c r="A6624" s="2" t="s">
        <v>1899</v>
      </c>
      <c r="B6624" s="2" t="s">
        <v>4104</v>
      </c>
      <c r="C6624" s="2" t="s">
        <v>4086</v>
      </c>
      <c r="D6624" s="2"/>
      <c r="E6624" s="31" t="n">
        <v>57</v>
      </c>
      <c r="F6624" s="31" t="n">
        <v>21.2</v>
      </c>
      <c r="G6624" s="31" t="n">
        <v>36.9</v>
      </c>
      <c r="H6624" s="2" t="s">
        <v>671</v>
      </c>
    </row>
    <row r="6625" customFormat="false" ht="15" hidden="false" customHeight="false" outlineLevel="0" collapsed="false">
      <c r="A6625" s="2" t="s">
        <v>1899</v>
      </c>
      <c r="B6625" s="2" t="s">
        <v>4104</v>
      </c>
      <c r="C6625" s="2" t="s">
        <v>4087</v>
      </c>
      <c r="D6625" s="2"/>
      <c r="E6625" s="31" t="n">
        <v>41.4</v>
      </c>
      <c r="F6625" s="31" t="n">
        <v>15.2</v>
      </c>
      <c r="G6625" s="31" t="n">
        <v>30.3</v>
      </c>
      <c r="H6625" s="2" t="s">
        <v>668</v>
      </c>
    </row>
    <row r="6626" customFormat="false" ht="15" hidden="false" customHeight="false" outlineLevel="0" collapsed="false">
      <c r="A6626" s="2" t="s">
        <v>1899</v>
      </c>
      <c r="B6626" s="2" t="s">
        <v>45</v>
      </c>
      <c r="C6626" s="2" t="s">
        <v>4085</v>
      </c>
      <c r="D6626" s="11" t="n">
        <v>95572</v>
      </c>
      <c r="E6626" s="31" t="n">
        <v>72.3</v>
      </c>
      <c r="F6626" s="31" t="n">
        <v>0.7</v>
      </c>
      <c r="G6626" s="31" t="n">
        <v>34.4</v>
      </c>
      <c r="H6626" s="2" t="s">
        <v>671</v>
      </c>
    </row>
    <row r="6627" customFormat="false" ht="15" hidden="false" customHeight="false" outlineLevel="0" collapsed="false">
      <c r="A6627" s="2" t="s">
        <v>1899</v>
      </c>
      <c r="B6627" s="2" t="s">
        <v>45</v>
      </c>
      <c r="C6627" s="2" t="s">
        <v>4086</v>
      </c>
      <c r="D6627" s="11" t="n">
        <v>93860</v>
      </c>
      <c r="E6627" s="31" t="n">
        <v>73.2</v>
      </c>
      <c r="F6627" s="31" t="n">
        <v>1</v>
      </c>
      <c r="G6627" s="31" t="n">
        <v>28.4</v>
      </c>
      <c r="H6627" s="2" t="s">
        <v>671</v>
      </c>
    </row>
    <row r="6628" customFormat="false" ht="15" hidden="false" customHeight="false" outlineLevel="0" collapsed="false">
      <c r="A6628" s="2" t="s">
        <v>1899</v>
      </c>
      <c r="B6628" s="2" t="s">
        <v>45</v>
      </c>
      <c r="C6628" s="2" t="s">
        <v>4087</v>
      </c>
      <c r="D6628" s="11" t="n">
        <v>88100</v>
      </c>
      <c r="E6628" s="31" t="n">
        <v>70.5</v>
      </c>
      <c r="F6628" s="31" t="n">
        <v>0.8</v>
      </c>
      <c r="G6628" s="2"/>
      <c r="H6628" s="2" t="s">
        <v>668</v>
      </c>
    </row>
    <row r="6629" customFormat="false" ht="15" hidden="false" customHeight="false" outlineLevel="0" collapsed="false">
      <c r="A6629" s="2" t="s">
        <v>1899</v>
      </c>
      <c r="B6629" s="2" t="s">
        <v>46</v>
      </c>
      <c r="C6629" s="2" t="s">
        <v>4085</v>
      </c>
      <c r="D6629" s="11" t="n">
        <v>47830</v>
      </c>
      <c r="E6629" s="31" t="n">
        <v>9.8</v>
      </c>
      <c r="F6629" s="31" t="n">
        <v>21.7</v>
      </c>
      <c r="G6629" s="31" t="n">
        <v>27.9</v>
      </c>
      <c r="H6629" s="2" t="s">
        <v>671</v>
      </c>
    </row>
    <row r="6630" customFormat="false" ht="15" hidden="false" customHeight="false" outlineLevel="0" collapsed="false">
      <c r="A6630" s="2" t="s">
        <v>1899</v>
      </c>
      <c r="B6630" s="2" t="s">
        <v>46</v>
      </c>
      <c r="C6630" s="2" t="s">
        <v>4086</v>
      </c>
      <c r="D6630" s="11" t="n">
        <v>49050</v>
      </c>
      <c r="E6630" s="31" t="n">
        <v>4.3</v>
      </c>
      <c r="F6630" s="31" t="n">
        <v>12.7</v>
      </c>
      <c r="G6630" s="31" t="n">
        <v>49.2</v>
      </c>
      <c r="H6630" s="2" t="s">
        <v>671</v>
      </c>
    </row>
    <row r="6631" customFormat="false" ht="15" hidden="false" customHeight="false" outlineLevel="0" collapsed="false">
      <c r="A6631" s="2" t="s">
        <v>1899</v>
      </c>
      <c r="B6631" s="2" t="s">
        <v>46</v>
      </c>
      <c r="C6631" s="2" t="s">
        <v>4087</v>
      </c>
      <c r="D6631" s="11" t="n">
        <v>48960</v>
      </c>
      <c r="E6631" s="31" t="n">
        <v>12.3</v>
      </c>
      <c r="F6631" s="31" t="n">
        <v>29.5</v>
      </c>
      <c r="G6631" s="31" t="n">
        <v>30.3</v>
      </c>
      <c r="H6631" s="2" t="s">
        <v>671</v>
      </c>
    </row>
    <row r="6632" customFormat="false" ht="15" hidden="false" customHeight="false" outlineLevel="0" collapsed="false">
      <c r="A6632" s="2" t="s">
        <v>1899</v>
      </c>
      <c r="B6632" s="2" t="s">
        <v>47</v>
      </c>
      <c r="C6632" s="2" t="s">
        <v>4085</v>
      </c>
      <c r="D6632" s="2"/>
      <c r="E6632" s="2"/>
      <c r="F6632" s="2"/>
      <c r="G6632" s="2"/>
      <c r="H6632" s="2" t="s">
        <v>668</v>
      </c>
    </row>
    <row r="6633" customFormat="false" ht="15" hidden="false" customHeight="false" outlineLevel="0" collapsed="false">
      <c r="A6633" s="2" t="s">
        <v>1899</v>
      </c>
      <c r="B6633" s="2" t="s">
        <v>47</v>
      </c>
      <c r="C6633" s="2" t="s">
        <v>4086</v>
      </c>
      <c r="D6633" s="11" t="n">
        <v>4824440</v>
      </c>
      <c r="E6633" s="31" t="n">
        <v>93.5</v>
      </c>
      <c r="F6633" s="31" t="n">
        <v>50</v>
      </c>
      <c r="G6633" s="31" t="n">
        <v>33.2</v>
      </c>
      <c r="H6633" s="2" t="s">
        <v>671</v>
      </c>
    </row>
    <row r="6634" customFormat="false" ht="15" hidden="false" customHeight="false" outlineLevel="0" collapsed="false">
      <c r="A6634" s="2" t="s">
        <v>1899</v>
      </c>
      <c r="B6634" s="2" t="s">
        <v>47</v>
      </c>
      <c r="C6634" s="2" t="s">
        <v>4087</v>
      </c>
      <c r="D6634" s="2"/>
      <c r="E6634" s="2"/>
      <c r="F6634" s="2"/>
      <c r="G6634" s="2"/>
      <c r="H6634" s="2" t="s">
        <v>668</v>
      </c>
    </row>
    <row r="6635" customFormat="false" ht="15" hidden="false" customHeight="false" outlineLevel="0" collapsed="false">
      <c r="A6635" s="2" t="s">
        <v>3105</v>
      </c>
      <c r="B6635" s="2" t="s">
        <v>4104</v>
      </c>
      <c r="C6635" s="2" t="s">
        <v>4085</v>
      </c>
      <c r="D6635" s="2"/>
      <c r="E6635" s="31" t="n">
        <v>59.9</v>
      </c>
      <c r="F6635" s="31" t="n">
        <v>44.2</v>
      </c>
      <c r="G6635" s="2"/>
      <c r="H6635" s="2" t="s">
        <v>668</v>
      </c>
    </row>
    <row r="6636" customFormat="false" ht="15" hidden="false" customHeight="false" outlineLevel="0" collapsed="false">
      <c r="A6636" s="2" t="s">
        <v>3105</v>
      </c>
      <c r="B6636" s="2" t="s">
        <v>4104</v>
      </c>
      <c r="C6636" s="2" t="s">
        <v>4086</v>
      </c>
      <c r="D6636" s="2"/>
      <c r="E6636" s="31" t="n">
        <v>44</v>
      </c>
      <c r="F6636" s="31" t="n">
        <v>23.6</v>
      </c>
      <c r="G6636" s="31" t="n">
        <v>95.8</v>
      </c>
      <c r="H6636" s="2" t="s">
        <v>668</v>
      </c>
    </row>
    <row r="6637" customFormat="false" ht="15" hidden="false" customHeight="false" outlineLevel="0" collapsed="false">
      <c r="A6637" s="2" t="s">
        <v>3105</v>
      </c>
      <c r="B6637" s="2" t="s">
        <v>4104</v>
      </c>
      <c r="C6637" s="2" t="s">
        <v>4087</v>
      </c>
      <c r="D6637" s="2"/>
      <c r="E6637" s="31" t="n">
        <v>72.1</v>
      </c>
      <c r="F6637" s="31" t="n">
        <v>62.3</v>
      </c>
      <c r="G6637" s="2"/>
      <c r="H6637" s="2" t="s">
        <v>668</v>
      </c>
    </row>
    <row r="6638" customFormat="false" ht="15" hidden="false" customHeight="false" outlineLevel="0" collapsed="false">
      <c r="A6638" s="2" t="s">
        <v>3105</v>
      </c>
      <c r="B6638" s="2" t="s">
        <v>46</v>
      </c>
      <c r="C6638" s="2" t="s">
        <v>4085</v>
      </c>
      <c r="D6638" s="11" t="n">
        <v>165290</v>
      </c>
      <c r="E6638" s="31" t="n">
        <v>59.9</v>
      </c>
      <c r="F6638" s="31" t="n">
        <v>44.2</v>
      </c>
      <c r="G6638" s="2"/>
      <c r="H6638" s="2" t="s">
        <v>668</v>
      </c>
    </row>
    <row r="6639" customFormat="false" ht="15" hidden="false" customHeight="false" outlineLevel="0" collapsed="false">
      <c r="A6639" s="2" t="s">
        <v>3105</v>
      </c>
      <c r="B6639" s="2" t="s">
        <v>46</v>
      </c>
      <c r="C6639" s="2" t="s">
        <v>4086</v>
      </c>
      <c r="D6639" s="11" t="n">
        <v>172540</v>
      </c>
      <c r="E6639" s="31" t="n">
        <v>44</v>
      </c>
      <c r="F6639" s="31" t="n">
        <v>23.6</v>
      </c>
      <c r="G6639" s="31" t="n">
        <v>95.8</v>
      </c>
      <c r="H6639" s="2" t="s">
        <v>671</v>
      </c>
    </row>
    <row r="6640" customFormat="false" ht="15" hidden="false" customHeight="false" outlineLevel="0" collapsed="false">
      <c r="A6640" s="2" t="s">
        <v>3105</v>
      </c>
      <c r="B6640" s="2" t="s">
        <v>46</v>
      </c>
      <c r="C6640" s="2" t="s">
        <v>4087</v>
      </c>
      <c r="D6640" s="11" t="n">
        <v>170000</v>
      </c>
      <c r="E6640" s="31" t="n">
        <v>72.1</v>
      </c>
      <c r="F6640" s="31" t="n">
        <v>62.3</v>
      </c>
      <c r="G6640" s="2"/>
      <c r="H6640" s="2" t="s">
        <v>668</v>
      </c>
    </row>
    <row r="6641" customFormat="false" ht="15" hidden="false" customHeight="false" outlineLevel="0" collapsed="false">
      <c r="A6641" s="2" t="s">
        <v>3107</v>
      </c>
      <c r="B6641" s="2" t="s">
        <v>4104</v>
      </c>
      <c r="C6641" s="2" t="s">
        <v>4085</v>
      </c>
      <c r="D6641" s="2"/>
      <c r="E6641" s="2"/>
      <c r="F6641" s="2"/>
      <c r="G6641" s="2"/>
      <c r="H6641" s="2" t="s">
        <v>668</v>
      </c>
    </row>
    <row r="6642" customFormat="false" ht="15" hidden="false" customHeight="false" outlineLevel="0" collapsed="false">
      <c r="A6642" s="2" t="s">
        <v>3107</v>
      </c>
      <c r="B6642" s="2" t="s">
        <v>4104</v>
      </c>
      <c r="C6642" s="2" t="s">
        <v>4086</v>
      </c>
      <c r="D6642" s="2"/>
      <c r="E6642" s="31" t="n">
        <v>94.1</v>
      </c>
      <c r="F6642" s="31" t="n">
        <v>43.6</v>
      </c>
      <c r="G6642" s="31" t="n">
        <v>73.7</v>
      </c>
      <c r="H6642" s="2" t="s">
        <v>671</v>
      </c>
    </row>
    <row r="6643" customFormat="false" ht="15" hidden="false" customHeight="false" outlineLevel="0" collapsed="false">
      <c r="A6643" s="2" t="s">
        <v>3107</v>
      </c>
      <c r="B6643" s="2" t="s">
        <v>4104</v>
      </c>
      <c r="C6643" s="2" t="s">
        <v>4087</v>
      </c>
      <c r="D6643" s="2"/>
      <c r="E6643" s="2"/>
      <c r="F6643" s="2"/>
      <c r="G6643" s="2"/>
      <c r="H6643" s="2" t="s">
        <v>668</v>
      </c>
    </row>
    <row r="6644" customFormat="false" ht="15" hidden="false" customHeight="false" outlineLevel="0" collapsed="false">
      <c r="A6644" s="2" t="s">
        <v>3107</v>
      </c>
      <c r="B6644" s="2" t="s">
        <v>46</v>
      </c>
      <c r="C6644" s="2" t="s">
        <v>4085</v>
      </c>
      <c r="D6644" s="2"/>
      <c r="E6644" s="2"/>
      <c r="F6644" s="2"/>
      <c r="G6644" s="2"/>
      <c r="H6644" s="2" t="s">
        <v>668</v>
      </c>
    </row>
    <row r="6645" customFormat="false" ht="15" hidden="false" customHeight="false" outlineLevel="0" collapsed="false">
      <c r="A6645" s="2" t="s">
        <v>3107</v>
      </c>
      <c r="B6645" s="2" t="s">
        <v>46</v>
      </c>
      <c r="C6645" s="2" t="s">
        <v>4086</v>
      </c>
      <c r="D6645" s="11" t="n">
        <v>43020</v>
      </c>
      <c r="E6645" s="31" t="n">
        <v>94.1</v>
      </c>
      <c r="F6645" s="31" t="n">
        <v>43.6</v>
      </c>
      <c r="G6645" s="31" t="n">
        <v>73.7</v>
      </c>
      <c r="H6645" s="2" t="s">
        <v>671</v>
      </c>
    </row>
    <row r="6646" customFormat="false" ht="15" hidden="false" customHeight="false" outlineLevel="0" collapsed="false">
      <c r="A6646" s="2" t="s">
        <v>3107</v>
      </c>
      <c r="B6646" s="2" t="s">
        <v>46</v>
      </c>
      <c r="C6646" s="2" t="s">
        <v>4087</v>
      </c>
      <c r="D6646" s="2"/>
      <c r="E6646" s="2"/>
      <c r="F6646" s="2"/>
      <c r="G6646" s="2"/>
      <c r="H6646" s="2" t="s">
        <v>668</v>
      </c>
    </row>
    <row r="6647" customFormat="false" ht="15" hidden="false" customHeight="false" outlineLevel="0" collapsed="false">
      <c r="A6647" s="2" t="s">
        <v>1959</v>
      </c>
      <c r="B6647" s="2" t="s">
        <v>4104</v>
      </c>
      <c r="C6647" s="2" t="s">
        <v>4085</v>
      </c>
      <c r="D6647" s="2"/>
      <c r="E6647" s="31" t="n">
        <v>45.8</v>
      </c>
      <c r="F6647" s="31" t="n">
        <v>50.2</v>
      </c>
      <c r="G6647" s="31" t="n">
        <v>41.3</v>
      </c>
      <c r="H6647" s="2" t="s">
        <v>671</v>
      </c>
    </row>
    <row r="6648" customFormat="false" ht="15" hidden="false" customHeight="false" outlineLevel="0" collapsed="false">
      <c r="A6648" s="2" t="s">
        <v>1959</v>
      </c>
      <c r="B6648" s="2" t="s">
        <v>4104</v>
      </c>
      <c r="C6648" s="2" t="s">
        <v>4086</v>
      </c>
      <c r="D6648" s="2"/>
      <c r="E6648" s="31" t="n">
        <v>37.8</v>
      </c>
      <c r="F6648" s="31" t="n">
        <v>43</v>
      </c>
      <c r="G6648" s="31" t="n">
        <v>48.1</v>
      </c>
      <c r="H6648" s="2" t="s">
        <v>671</v>
      </c>
    </row>
    <row r="6649" customFormat="false" ht="15" hidden="false" customHeight="false" outlineLevel="0" collapsed="false">
      <c r="A6649" s="2" t="s">
        <v>1959</v>
      </c>
      <c r="B6649" s="2" t="s">
        <v>4104</v>
      </c>
      <c r="C6649" s="2" t="s">
        <v>4087</v>
      </c>
      <c r="D6649" s="2"/>
      <c r="E6649" s="31" t="n">
        <v>41</v>
      </c>
      <c r="F6649" s="31" t="n">
        <v>30</v>
      </c>
      <c r="G6649" s="31" t="n">
        <v>54.5</v>
      </c>
      <c r="H6649" s="2" t="s">
        <v>668</v>
      </c>
    </row>
    <row r="6650" customFormat="false" ht="15" hidden="false" customHeight="false" outlineLevel="0" collapsed="false">
      <c r="A6650" s="2" t="s">
        <v>1959</v>
      </c>
      <c r="B6650" s="2" t="s">
        <v>45</v>
      </c>
      <c r="C6650" s="2" t="s">
        <v>4085</v>
      </c>
      <c r="D6650" s="11" t="n">
        <v>12499</v>
      </c>
      <c r="E6650" s="31" t="n">
        <v>19</v>
      </c>
      <c r="F6650" s="31" t="n">
        <v>64.2</v>
      </c>
      <c r="G6650" s="31" t="n">
        <v>16.5</v>
      </c>
      <c r="H6650" s="2" t="s">
        <v>671</v>
      </c>
    </row>
    <row r="6651" customFormat="false" ht="15" hidden="false" customHeight="false" outlineLevel="0" collapsed="false">
      <c r="A6651" s="2" t="s">
        <v>1959</v>
      </c>
      <c r="B6651" s="2" t="s">
        <v>45</v>
      </c>
      <c r="C6651" s="2" t="s">
        <v>4086</v>
      </c>
      <c r="D6651" s="11" t="n">
        <v>13310</v>
      </c>
      <c r="E6651" s="31" t="n">
        <v>10.6</v>
      </c>
      <c r="F6651" s="31" t="n">
        <v>31.6</v>
      </c>
      <c r="G6651" s="31" t="n">
        <v>45</v>
      </c>
      <c r="H6651" s="2" t="s">
        <v>671</v>
      </c>
    </row>
    <row r="6652" customFormat="false" ht="15" hidden="false" customHeight="false" outlineLevel="0" collapsed="false">
      <c r="A6652" s="2" t="s">
        <v>1959</v>
      </c>
      <c r="B6652" s="2" t="s">
        <v>45</v>
      </c>
      <c r="C6652" s="2" t="s">
        <v>4087</v>
      </c>
      <c r="D6652" s="2"/>
      <c r="E6652" s="2"/>
      <c r="F6652" s="2"/>
      <c r="G6652" s="2"/>
      <c r="H6652" s="2" t="s">
        <v>668</v>
      </c>
    </row>
    <row r="6653" customFormat="false" ht="15" hidden="false" customHeight="false" outlineLevel="0" collapsed="false">
      <c r="A6653" s="2" t="s">
        <v>1959</v>
      </c>
      <c r="B6653" s="2" t="s">
        <v>46</v>
      </c>
      <c r="C6653" s="2" t="s">
        <v>4085</v>
      </c>
      <c r="D6653" s="11" t="n">
        <v>72006</v>
      </c>
      <c r="E6653" s="31" t="n">
        <v>21.1</v>
      </c>
      <c r="F6653" s="31" t="n">
        <v>83.1</v>
      </c>
      <c r="G6653" s="31" t="n">
        <v>19.4</v>
      </c>
      <c r="H6653" s="2" t="s">
        <v>671</v>
      </c>
    </row>
    <row r="6654" customFormat="false" ht="15" hidden="false" customHeight="false" outlineLevel="0" collapsed="false">
      <c r="A6654" s="2" t="s">
        <v>1959</v>
      </c>
      <c r="B6654" s="2" t="s">
        <v>46</v>
      </c>
      <c r="C6654" s="2" t="s">
        <v>4086</v>
      </c>
      <c r="D6654" s="11" t="n">
        <v>77739</v>
      </c>
      <c r="E6654" s="31" t="n">
        <v>10.6</v>
      </c>
      <c r="F6654" s="31" t="n">
        <v>96</v>
      </c>
      <c r="G6654" s="31" t="n">
        <v>18.5</v>
      </c>
      <c r="H6654" s="2" t="s">
        <v>671</v>
      </c>
    </row>
    <row r="6655" customFormat="false" ht="15" hidden="false" customHeight="false" outlineLevel="0" collapsed="false">
      <c r="A6655" s="2" t="s">
        <v>1959</v>
      </c>
      <c r="B6655" s="2" t="s">
        <v>46</v>
      </c>
      <c r="C6655" s="2" t="s">
        <v>4087</v>
      </c>
      <c r="D6655" s="11" t="n">
        <v>133140</v>
      </c>
      <c r="E6655" s="31" t="n">
        <v>0.4</v>
      </c>
      <c r="F6655" s="31" t="n">
        <v>58.3</v>
      </c>
      <c r="G6655" s="31" t="n">
        <v>10.1</v>
      </c>
      <c r="H6655" s="2" t="s">
        <v>671</v>
      </c>
    </row>
    <row r="6656" customFormat="false" ht="15" hidden="false" customHeight="false" outlineLevel="0" collapsed="false">
      <c r="A6656" s="2" t="s">
        <v>1959</v>
      </c>
      <c r="B6656" s="2" t="s">
        <v>47</v>
      </c>
      <c r="C6656" s="2" t="s">
        <v>4085</v>
      </c>
      <c r="D6656" s="11" t="n">
        <v>28006</v>
      </c>
      <c r="E6656" s="31" t="n">
        <v>97.2</v>
      </c>
      <c r="F6656" s="31" t="n">
        <v>3.3</v>
      </c>
      <c r="G6656" s="31" t="n">
        <v>88</v>
      </c>
      <c r="H6656" s="2" t="s">
        <v>671</v>
      </c>
    </row>
    <row r="6657" customFormat="false" ht="15" hidden="false" customHeight="false" outlineLevel="0" collapsed="false">
      <c r="A6657" s="2" t="s">
        <v>1959</v>
      </c>
      <c r="B6657" s="2" t="s">
        <v>47</v>
      </c>
      <c r="C6657" s="2" t="s">
        <v>4086</v>
      </c>
      <c r="D6657" s="11" t="n">
        <v>27170</v>
      </c>
      <c r="E6657" s="31" t="n">
        <v>92.1</v>
      </c>
      <c r="F6657" s="31" t="n">
        <v>1.3</v>
      </c>
      <c r="G6657" s="31" t="n">
        <v>80.8</v>
      </c>
      <c r="H6657" s="2" t="s">
        <v>671</v>
      </c>
    </row>
    <row r="6658" customFormat="false" ht="15" hidden="false" customHeight="false" outlineLevel="0" collapsed="false">
      <c r="A6658" s="2" t="s">
        <v>1959</v>
      </c>
      <c r="B6658" s="2" t="s">
        <v>47</v>
      </c>
      <c r="C6658" s="2" t="s">
        <v>4087</v>
      </c>
      <c r="D6658" s="11" t="n">
        <v>27478</v>
      </c>
      <c r="E6658" s="31" t="n">
        <v>81.6</v>
      </c>
      <c r="F6658" s="31" t="n">
        <v>1.8</v>
      </c>
      <c r="G6658" s="31" t="n">
        <v>98.9</v>
      </c>
      <c r="H6658" s="2" t="s">
        <v>671</v>
      </c>
    </row>
    <row r="6659" customFormat="false" ht="15" hidden="false" customHeight="false" outlineLevel="0" collapsed="false">
      <c r="A6659" s="2" t="s">
        <v>3108</v>
      </c>
      <c r="B6659" s="2" t="s">
        <v>4104</v>
      </c>
      <c r="C6659" s="2" t="s">
        <v>4085</v>
      </c>
      <c r="D6659" s="2"/>
      <c r="E6659" s="31" t="n">
        <v>45.6</v>
      </c>
      <c r="F6659" s="31" t="n">
        <v>31.2</v>
      </c>
      <c r="G6659" s="31" t="n">
        <v>77.4</v>
      </c>
      <c r="H6659" s="2" t="s">
        <v>671</v>
      </c>
    </row>
    <row r="6660" customFormat="false" ht="15" hidden="false" customHeight="false" outlineLevel="0" collapsed="false">
      <c r="A6660" s="2" t="s">
        <v>3108</v>
      </c>
      <c r="B6660" s="2" t="s">
        <v>4104</v>
      </c>
      <c r="C6660" s="2" t="s">
        <v>4086</v>
      </c>
      <c r="D6660" s="2"/>
      <c r="E6660" s="31" t="n">
        <v>47.3</v>
      </c>
      <c r="F6660" s="31" t="n">
        <v>12.9</v>
      </c>
      <c r="G6660" s="31" t="n">
        <v>62.2</v>
      </c>
      <c r="H6660" s="2" t="s">
        <v>671</v>
      </c>
    </row>
    <row r="6661" customFormat="false" ht="15" hidden="false" customHeight="false" outlineLevel="0" collapsed="false">
      <c r="A6661" s="2" t="s">
        <v>3108</v>
      </c>
      <c r="B6661" s="2" t="s">
        <v>4104</v>
      </c>
      <c r="C6661" s="2" t="s">
        <v>4087</v>
      </c>
      <c r="D6661" s="2"/>
      <c r="E6661" s="31" t="n">
        <v>24.5</v>
      </c>
      <c r="F6661" s="2"/>
      <c r="G6661" s="31" t="n">
        <v>47.2</v>
      </c>
      <c r="H6661" s="2" t="s">
        <v>668</v>
      </c>
    </row>
    <row r="6662" customFormat="false" ht="15" hidden="false" customHeight="false" outlineLevel="0" collapsed="false">
      <c r="A6662" s="2" t="s">
        <v>3108</v>
      </c>
      <c r="B6662" s="2" t="s">
        <v>45</v>
      </c>
      <c r="C6662" s="2" t="s">
        <v>4085</v>
      </c>
      <c r="D6662" s="11" t="n">
        <v>65250</v>
      </c>
      <c r="E6662" s="31" t="n">
        <v>96.3</v>
      </c>
      <c r="F6662" s="31" t="n">
        <v>10.2</v>
      </c>
      <c r="G6662" s="31" t="n">
        <v>78</v>
      </c>
      <c r="H6662" s="2" t="s">
        <v>671</v>
      </c>
    </row>
    <row r="6663" customFormat="false" ht="15" hidden="false" customHeight="false" outlineLevel="0" collapsed="false">
      <c r="A6663" s="2" t="s">
        <v>3108</v>
      </c>
      <c r="B6663" s="2" t="s">
        <v>45</v>
      </c>
      <c r="C6663" s="2" t="s">
        <v>4086</v>
      </c>
      <c r="D6663" s="11" t="n">
        <v>64560</v>
      </c>
      <c r="E6663" s="31" t="n">
        <v>92.1</v>
      </c>
      <c r="F6663" s="31" t="n">
        <v>6.5</v>
      </c>
      <c r="G6663" s="31" t="n">
        <v>64.1</v>
      </c>
      <c r="H6663" s="2" t="s">
        <v>671</v>
      </c>
    </row>
    <row r="6664" customFormat="false" ht="15" hidden="false" customHeight="false" outlineLevel="0" collapsed="false">
      <c r="A6664" s="2" t="s">
        <v>3108</v>
      </c>
      <c r="B6664" s="2" t="s">
        <v>45</v>
      </c>
      <c r="C6664" s="2" t="s">
        <v>4087</v>
      </c>
      <c r="D6664" s="2"/>
      <c r="E6664" s="2"/>
      <c r="F6664" s="2"/>
      <c r="G6664" s="2"/>
      <c r="H6664" s="2" t="s">
        <v>668</v>
      </c>
    </row>
    <row r="6665" customFormat="false" ht="15" hidden="false" customHeight="false" outlineLevel="0" collapsed="false">
      <c r="A6665" s="2" t="s">
        <v>3108</v>
      </c>
      <c r="B6665" s="2" t="s">
        <v>46</v>
      </c>
      <c r="C6665" s="2" t="s">
        <v>4085</v>
      </c>
      <c r="D6665" s="11" t="n">
        <v>22240</v>
      </c>
      <c r="E6665" s="31" t="n">
        <v>24.9</v>
      </c>
      <c r="F6665" s="31" t="n">
        <v>18.4</v>
      </c>
      <c r="G6665" s="31" t="n">
        <v>76</v>
      </c>
      <c r="H6665" s="2" t="s">
        <v>671</v>
      </c>
    </row>
    <row r="6666" customFormat="false" ht="15" hidden="false" customHeight="false" outlineLevel="0" collapsed="false">
      <c r="A6666" s="2" t="s">
        <v>3108</v>
      </c>
      <c r="B6666" s="2" t="s">
        <v>46</v>
      </c>
      <c r="C6666" s="2" t="s">
        <v>4086</v>
      </c>
      <c r="D6666" s="11" t="n">
        <v>21500</v>
      </c>
      <c r="E6666" s="31" t="n">
        <v>26.3</v>
      </c>
      <c r="F6666" s="31" t="n">
        <v>5.5</v>
      </c>
      <c r="G6666" s="31" t="n">
        <v>57</v>
      </c>
      <c r="H6666" s="2" t="s">
        <v>671</v>
      </c>
    </row>
    <row r="6667" customFormat="false" ht="15" hidden="false" customHeight="false" outlineLevel="0" collapsed="false">
      <c r="A6667" s="2" t="s">
        <v>3108</v>
      </c>
      <c r="B6667" s="2" t="s">
        <v>46</v>
      </c>
      <c r="C6667" s="2" t="s">
        <v>4087</v>
      </c>
      <c r="D6667" s="11" t="n">
        <v>21320</v>
      </c>
      <c r="E6667" s="31" t="n">
        <v>24.5</v>
      </c>
      <c r="F6667" s="2"/>
      <c r="G6667" s="31" t="n">
        <v>47.2</v>
      </c>
      <c r="H6667" s="2" t="s">
        <v>668</v>
      </c>
    </row>
    <row r="6668" customFormat="false" ht="15" hidden="false" customHeight="false" outlineLevel="0" collapsed="false">
      <c r="A6668" s="2" t="s">
        <v>3108</v>
      </c>
      <c r="B6668" s="2" t="s">
        <v>47</v>
      </c>
      <c r="C6668" s="2" t="s">
        <v>4085</v>
      </c>
      <c r="D6668" s="11" t="n">
        <v>85490</v>
      </c>
      <c r="E6668" s="31" t="n">
        <v>15.6</v>
      </c>
      <c r="F6668" s="31" t="n">
        <v>65</v>
      </c>
      <c r="G6668" s="31" t="n">
        <v>78.1</v>
      </c>
      <c r="H6668" s="2" t="s">
        <v>671</v>
      </c>
    </row>
    <row r="6669" customFormat="false" ht="15" hidden="false" customHeight="false" outlineLevel="0" collapsed="false">
      <c r="A6669" s="2" t="s">
        <v>3108</v>
      </c>
      <c r="B6669" s="2" t="s">
        <v>47</v>
      </c>
      <c r="C6669" s="2" t="s">
        <v>4086</v>
      </c>
      <c r="D6669" s="11" t="n">
        <v>90701</v>
      </c>
      <c r="E6669" s="31" t="n">
        <v>23.6</v>
      </c>
      <c r="F6669" s="31" t="n">
        <v>26.6</v>
      </c>
      <c r="G6669" s="31" t="n">
        <v>65.4</v>
      </c>
      <c r="H6669" s="2" t="s">
        <v>671</v>
      </c>
    </row>
    <row r="6670" customFormat="false" ht="15" hidden="false" customHeight="false" outlineLevel="0" collapsed="false">
      <c r="A6670" s="2" t="s">
        <v>3108</v>
      </c>
      <c r="B6670" s="2" t="s">
        <v>47</v>
      </c>
      <c r="C6670" s="2" t="s">
        <v>4087</v>
      </c>
      <c r="D6670" s="2"/>
      <c r="E6670" s="2"/>
      <c r="F6670" s="2"/>
      <c r="G6670" s="2"/>
      <c r="H6670" s="2" t="s">
        <v>668</v>
      </c>
    </row>
    <row r="6671" customFormat="false" ht="15" hidden="false" customHeight="false" outlineLevel="0" collapsed="false">
      <c r="A6671" s="2" t="s">
        <v>3110</v>
      </c>
      <c r="B6671" s="2" t="s">
        <v>4104</v>
      </c>
      <c r="C6671" s="2" t="s">
        <v>4085</v>
      </c>
      <c r="D6671" s="2"/>
      <c r="E6671" s="31" t="n">
        <v>47.2</v>
      </c>
      <c r="F6671" s="31" t="n">
        <v>39.1</v>
      </c>
      <c r="G6671" s="31" t="n">
        <v>37.2</v>
      </c>
      <c r="H6671" s="2" t="s">
        <v>671</v>
      </c>
    </row>
    <row r="6672" customFormat="false" ht="15" hidden="false" customHeight="false" outlineLevel="0" collapsed="false">
      <c r="A6672" s="2" t="s">
        <v>3110</v>
      </c>
      <c r="B6672" s="2" t="s">
        <v>4104</v>
      </c>
      <c r="C6672" s="2" t="s">
        <v>4086</v>
      </c>
      <c r="D6672" s="2"/>
      <c r="E6672" s="31" t="n">
        <v>26.9</v>
      </c>
      <c r="F6672" s="31" t="n">
        <v>59.2</v>
      </c>
      <c r="G6672" s="31" t="n">
        <v>56.3</v>
      </c>
      <c r="H6672" s="2" t="s">
        <v>671</v>
      </c>
    </row>
    <row r="6673" customFormat="false" ht="15" hidden="false" customHeight="false" outlineLevel="0" collapsed="false">
      <c r="A6673" s="2" t="s">
        <v>3110</v>
      </c>
      <c r="B6673" s="2" t="s">
        <v>4104</v>
      </c>
      <c r="C6673" s="2" t="s">
        <v>4087</v>
      </c>
      <c r="D6673" s="2"/>
      <c r="E6673" s="2"/>
      <c r="F6673" s="2"/>
      <c r="G6673" s="2"/>
      <c r="H6673" s="2" t="s">
        <v>668</v>
      </c>
    </row>
    <row r="6674" customFormat="false" ht="15" hidden="false" customHeight="false" outlineLevel="0" collapsed="false">
      <c r="A6674" s="2" t="s">
        <v>3110</v>
      </c>
      <c r="B6674" s="2" t="s">
        <v>46</v>
      </c>
      <c r="C6674" s="2" t="s">
        <v>4085</v>
      </c>
      <c r="D6674" s="11" t="n">
        <v>269351</v>
      </c>
      <c r="E6674" s="31" t="n">
        <v>47.2</v>
      </c>
      <c r="F6674" s="31" t="n">
        <v>39.1</v>
      </c>
      <c r="G6674" s="31" t="n">
        <v>37.2</v>
      </c>
      <c r="H6674" s="2" t="s">
        <v>671</v>
      </c>
    </row>
    <row r="6675" customFormat="false" ht="15" hidden="false" customHeight="false" outlineLevel="0" collapsed="false">
      <c r="A6675" s="2" t="s">
        <v>3110</v>
      </c>
      <c r="B6675" s="2" t="s">
        <v>46</v>
      </c>
      <c r="C6675" s="2" t="s">
        <v>4086</v>
      </c>
      <c r="D6675" s="11" t="n">
        <v>279470</v>
      </c>
      <c r="E6675" s="31" t="n">
        <v>26.9</v>
      </c>
      <c r="F6675" s="31" t="n">
        <v>59.2</v>
      </c>
      <c r="G6675" s="31" t="n">
        <v>56.3</v>
      </c>
      <c r="H6675" s="2" t="s">
        <v>671</v>
      </c>
    </row>
    <row r="6676" customFormat="false" ht="15" hidden="false" customHeight="false" outlineLevel="0" collapsed="false">
      <c r="A6676" s="2" t="s">
        <v>3110</v>
      </c>
      <c r="B6676" s="2" t="s">
        <v>46</v>
      </c>
      <c r="C6676" s="2" t="s">
        <v>4087</v>
      </c>
      <c r="D6676" s="2"/>
      <c r="E6676" s="2"/>
      <c r="F6676" s="2"/>
      <c r="G6676" s="2"/>
      <c r="H6676" s="2" t="s">
        <v>668</v>
      </c>
    </row>
    <row r="6677" customFormat="false" ht="15" hidden="false" customHeight="false" outlineLevel="0" collapsed="false">
      <c r="A6677" s="2" t="s">
        <v>1923</v>
      </c>
      <c r="B6677" s="2" t="s">
        <v>4104</v>
      </c>
      <c r="C6677" s="2" t="s">
        <v>4085</v>
      </c>
      <c r="D6677" s="2"/>
      <c r="E6677" s="31" t="n">
        <v>17.3</v>
      </c>
      <c r="F6677" s="31" t="n">
        <v>58.5</v>
      </c>
      <c r="G6677" s="31" t="n">
        <v>19.9</v>
      </c>
      <c r="H6677" s="2" t="s">
        <v>668</v>
      </c>
    </row>
    <row r="6678" customFormat="false" ht="15" hidden="false" customHeight="false" outlineLevel="0" collapsed="false">
      <c r="A6678" s="2" t="s">
        <v>1923</v>
      </c>
      <c r="B6678" s="2" t="s">
        <v>4104</v>
      </c>
      <c r="C6678" s="2" t="s">
        <v>4086</v>
      </c>
      <c r="D6678" s="2"/>
      <c r="E6678" s="31" t="n">
        <v>6.9</v>
      </c>
      <c r="F6678" s="31" t="n">
        <v>50.4</v>
      </c>
      <c r="G6678" s="31" t="n">
        <v>32</v>
      </c>
      <c r="H6678" s="2" t="s">
        <v>668</v>
      </c>
    </row>
    <row r="6679" customFormat="false" ht="15" hidden="false" customHeight="false" outlineLevel="0" collapsed="false">
      <c r="A6679" s="2" t="s">
        <v>1923</v>
      </c>
      <c r="B6679" s="2" t="s">
        <v>4104</v>
      </c>
      <c r="C6679" s="2" t="s">
        <v>4087</v>
      </c>
      <c r="D6679" s="2"/>
      <c r="E6679" s="31" t="n">
        <v>18.4</v>
      </c>
      <c r="F6679" s="31" t="n">
        <v>49.5</v>
      </c>
      <c r="G6679" s="31" t="n">
        <v>40.9</v>
      </c>
      <c r="H6679" s="2" t="s">
        <v>668</v>
      </c>
    </row>
    <row r="6680" customFormat="false" ht="15" hidden="false" customHeight="false" outlineLevel="0" collapsed="false">
      <c r="A6680" s="2" t="s">
        <v>1923</v>
      </c>
      <c r="B6680" s="2" t="s">
        <v>45</v>
      </c>
      <c r="C6680" s="2" t="s">
        <v>4085</v>
      </c>
      <c r="D6680" s="2"/>
      <c r="E6680" s="2"/>
      <c r="F6680" s="2"/>
      <c r="G6680" s="2"/>
      <c r="H6680" s="2" t="s">
        <v>668</v>
      </c>
    </row>
    <row r="6681" customFormat="false" ht="15" hidden="false" customHeight="false" outlineLevel="0" collapsed="false">
      <c r="A6681" s="2" t="s">
        <v>1923</v>
      </c>
      <c r="B6681" s="2" t="s">
        <v>45</v>
      </c>
      <c r="C6681" s="2" t="s">
        <v>4086</v>
      </c>
      <c r="D6681" s="2"/>
      <c r="E6681" s="2"/>
      <c r="F6681" s="2"/>
      <c r="G6681" s="2"/>
      <c r="H6681" s="2" t="s">
        <v>668</v>
      </c>
    </row>
    <row r="6682" customFormat="false" ht="15" hidden="false" customHeight="false" outlineLevel="0" collapsed="false">
      <c r="A6682" s="2" t="s">
        <v>1923</v>
      </c>
      <c r="B6682" s="2" t="s">
        <v>45</v>
      </c>
      <c r="C6682" s="2" t="s">
        <v>4087</v>
      </c>
      <c r="D6682" s="2"/>
      <c r="E6682" s="2"/>
      <c r="F6682" s="2"/>
      <c r="G6682" s="2"/>
      <c r="H6682" s="2" t="s">
        <v>668</v>
      </c>
    </row>
    <row r="6683" customFormat="false" ht="15" hidden="false" customHeight="false" outlineLevel="0" collapsed="false">
      <c r="A6683" s="2" t="s">
        <v>1923</v>
      </c>
      <c r="B6683" s="2" t="s">
        <v>46</v>
      </c>
      <c r="C6683" s="2" t="s">
        <v>4085</v>
      </c>
      <c r="D6683" s="11" t="n">
        <v>361440</v>
      </c>
      <c r="E6683" s="2"/>
      <c r="F6683" s="31" t="n">
        <v>52.6</v>
      </c>
      <c r="G6683" s="31" t="n">
        <v>19.9</v>
      </c>
      <c r="H6683" s="2" t="s">
        <v>668</v>
      </c>
    </row>
    <row r="6684" customFormat="false" ht="15" hidden="false" customHeight="false" outlineLevel="0" collapsed="false">
      <c r="A6684" s="2" t="s">
        <v>1923</v>
      </c>
      <c r="B6684" s="2" t="s">
        <v>46</v>
      </c>
      <c r="C6684" s="2" t="s">
        <v>4086</v>
      </c>
      <c r="D6684" s="11" t="n">
        <v>366330</v>
      </c>
      <c r="E6684" s="31" t="n">
        <v>2</v>
      </c>
      <c r="F6684" s="31" t="n">
        <v>37.6</v>
      </c>
      <c r="G6684" s="31" t="n">
        <v>11.3</v>
      </c>
      <c r="H6684" s="2" t="s">
        <v>671</v>
      </c>
    </row>
    <row r="6685" customFormat="false" ht="15" hidden="false" customHeight="false" outlineLevel="0" collapsed="false">
      <c r="A6685" s="2" t="s">
        <v>1923</v>
      </c>
      <c r="B6685" s="2" t="s">
        <v>46</v>
      </c>
      <c r="C6685" s="2" t="s">
        <v>4087</v>
      </c>
      <c r="D6685" s="11" t="n">
        <v>362366</v>
      </c>
      <c r="E6685" s="31" t="n">
        <v>7</v>
      </c>
      <c r="F6685" s="31" t="n">
        <v>8.6</v>
      </c>
      <c r="G6685" s="31" t="n">
        <v>32.1</v>
      </c>
      <c r="H6685" s="2" t="s">
        <v>671</v>
      </c>
    </row>
    <row r="6686" customFormat="false" ht="15" hidden="false" customHeight="false" outlineLevel="0" collapsed="false">
      <c r="A6686" s="2" t="s">
        <v>1923</v>
      </c>
      <c r="B6686" s="2" t="s">
        <v>47</v>
      </c>
      <c r="C6686" s="2" t="s">
        <v>4085</v>
      </c>
      <c r="D6686" s="11" t="n">
        <v>29722</v>
      </c>
      <c r="E6686" s="31" t="n">
        <v>17.3</v>
      </c>
      <c r="F6686" s="31" t="n">
        <v>64.4</v>
      </c>
      <c r="G6686" s="2"/>
      <c r="H6686" s="2" t="s">
        <v>668</v>
      </c>
    </row>
    <row r="6687" customFormat="false" ht="15" hidden="false" customHeight="false" outlineLevel="0" collapsed="false">
      <c r="A6687" s="2" t="s">
        <v>1923</v>
      </c>
      <c r="B6687" s="2" t="s">
        <v>47</v>
      </c>
      <c r="C6687" s="2" t="s">
        <v>4086</v>
      </c>
      <c r="D6687" s="11" t="n">
        <v>31340</v>
      </c>
      <c r="E6687" s="31" t="n">
        <v>11.8</v>
      </c>
      <c r="F6687" s="31" t="n">
        <v>63.3</v>
      </c>
      <c r="G6687" s="31" t="n">
        <v>52.7</v>
      </c>
      <c r="H6687" s="2" t="s">
        <v>671</v>
      </c>
    </row>
    <row r="6688" customFormat="false" ht="15" hidden="false" customHeight="false" outlineLevel="0" collapsed="false">
      <c r="A6688" s="2" t="s">
        <v>1923</v>
      </c>
      <c r="B6688" s="2" t="s">
        <v>47</v>
      </c>
      <c r="C6688" s="2" t="s">
        <v>4087</v>
      </c>
      <c r="D6688" s="11" t="n">
        <v>32576</v>
      </c>
      <c r="E6688" s="31" t="n">
        <v>29.7</v>
      </c>
      <c r="F6688" s="31" t="n">
        <v>90.4</v>
      </c>
      <c r="G6688" s="31" t="n">
        <v>49.7</v>
      </c>
      <c r="H6688" s="2" t="s">
        <v>671</v>
      </c>
    </row>
    <row r="6689" customFormat="false" ht="15" hidden="false" customHeight="false" outlineLevel="0" collapsed="false">
      <c r="A6689" s="2" t="s">
        <v>195</v>
      </c>
      <c r="B6689" s="2" t="s">
        <v>4104</v>
      </c>
      <c r="C6689" s="2" t="s">
        <v>4085</v>
      </c>
      <c r="D6689" s="2"/>
      <c r="E6689" s="31" t="n">
        <v>55.8</v>
      </c>
      <c r="F6689" s="31" t="n">
        <v>43.2</v>
      </c>
      <c r="G6689" s="31" t="n">
        <v>18.5</v>
      </c>
      <c r="H6689" s="2" t="s">
        <v>668</v>
      </c>
    </row>
    <row r="6690" customFormat="false" ht="15" hidden="false" customHeight="false" outlineLevel="0" collapsed="false">
      <c r="A6690" s="2" t="s">
        <v>195</v>
      </c>
      <c r="B6690" s="2" t="s">
        <v>4104</v>
      </c>
      <c r="C6690" s="2" t="s">
        <v>4086</v>
      </c>
      <c r="D6690" s="2"/>
      <c r="E6690" s="31" t="n">
        <v>62.7</v>
      </c>
      <c r="F6690" s="31" t="n">
        <v>45.3</v>
      </c>
      <c r="G6690" s="31" t="n">
        <v>18.5</v>
      </c>
      <c r="H6690" s="2" t="s">
        <v>671</v>
      </c>
    </row>
    <row r="6691" customFormat="false" ht="15" hidden="false" customHeight="false" outlineLevel="0" collapsed="false">
      <c r="A6691" s="2" t="s">
        <v>195</v>
      </c>
      <c r="B6691" s="2" t="s">
        <v>4104</v>
      </c>
      <c r="C6691" s="2" t="s">
        <v>4087</v>
      </c>
      <c r="D6691" s="2"/>
      <c r="E6691" s="31" t="n">
        <v>71.5</v>
      </c>
      <c r="F6691" s="31" t="n">
        <v>55.1</v>
      </c>
      <c r="G6691" s="31" t="n">
        <v>51.2</v>
      </c>
      <c r="H6691" s="2" t="s">
        <v>671</v>
      </c>
    </row>
    <row r="6692" customFormat="false" ht="15" hidden="false" customHeight="false" outlineLevel="0" collapsed="false">
      <c r="A6692" s="2" t="s">
        <v>195</v>
      </c>
      <c r="B6692" s="2" t="s">
        <v>45</v>
      </c>
      <c r="C6692" s="2" t="s">
        <v>4085</v>
      </c>
      <c r="D6692" s="11" t="n">
        <v>23530</v>
      </c>
      <c r="E6692" s="31" t="n">
        <v>33.1</v>
      </c>
      <c r="F6692" s="31" t="n">
        <v>71.9</v>
      </c>
      <c r="G6692" s="31" t="n">
        <v>19.8</v>
      </c>
      <c r="H6692" s="2" t="s">
        <v>671</v>
      </c>
    </row>
    <row r="6693" customFormat="false" ht="15" hidden="false" customHeight="false" outlineLevel="0" collapsed="false">
      <c r="A6693" s="2" t="s">
        <v>195</v>
      </c>
      <c r="B6693" s="2" t="s">
        <v>45</v>
      </c>
      <c r="C6693" s="2" t="s">
        <v>4086</v>
      </c>
      <c r="D6693" s="11" t="n">
        <v>25720</v>
      </c>
      <c r="E6693" s="31" t="n">
        <v>23.8</v>
      </c>
      <c r="F6693" s="31" t="n">
        <v>71.8</v>
      </c>
      <c r="G6693" s="31" t="n">
        <v>37.1</v>
      </c>
      <c r="H6693" s="2" t="s">
        <v>671</v>
      </c>
    </row>
    <row r="6694" customFormat="false" ht="15" hidden="false" customHeight="false" outlineLevel="0" collapsed="false">
      <c r="A6694" s="2" t="s">
        <v>195</v>
      </c>
      <c r="B6694" s="2" t="s">
        <v>45</v>
      </c>
      <c r="C6694" s="2" t="s">
        <v>4087</v>
      </c>
      <c r="D6694" s="11" t="n">
        <v>26030</v>
      </c>
      <c r="E6694" s="31" t="n">
        <v>57.5</v>
      </c>
      <c r="F6694" s="31" t="n">
        <v>68.3</v>
      </c>
      <c r="G6694" s="31" t="n">
        <v>82</v>
      </c>
      <c r="H6694" s="2" t="s">
        <v>671</v>
      </c>
    </row>
    <row r="6695" customFormat="false" ht="15" hidden="false" customHeight="false" outlineLevel="0" collapsed="false">
      <c r="A6695" s="2" t="s">
        <v>195</v>
      </c>
      <c r="B6695" s="2" t="s">
        <v>46</v>
      </c>
      <c r="C6695" s="2" t="s">
        <v>4085</v>
      </c>
      <c r="D6695" s="11" t="n">
        <v>32360</v>
      </c>
      <c r="E6695" s="31" t="n">
        <v>36.8</v>
      </c>
      <c r="F6695" s="2"/>
      <c r="G6695" s="31" t="n">
        <v>24.2</v>
      </c>
      <c r="H6695" s="2" t="s">
        <v>668</v>
      </c>
    </row>
    <row r="6696" customFormat="false" ht="15" hidden="false" customHeight="false" outlineLevel="0" collapsed="false">
      <c r="A6696" s="2" t="s">
        <v>195</v>
      </c>
      <c r="B6696" s="2" t="s">
        <v>46</v>
      </c>
      <c r="C6696" s="2" t="s">
        <v>4086</v>
      </c>
      <c r="D6696" s="11" t="n">
        <v>20290</v>
      </c>
      <c r="E6696" s="31" t="n">
        <v>70.1</v>
      </c>
      <c r="F6696" s="31" t="n">
        <v>30.2</v>
      </c>
      <c r="G6696" s="31" t="n">
        <v>12.8</v>
      </c>
      <c r="H6696" s="2" t="s">
        <v>671</v>
      </c>
    </row>
    <row r="6697" customFormat="false" ht="15" hidden="false" customHeight="false" outlineLevel="0" collapsed="false">
      <c r="A6697" s="2" t="s">
        <v>195</v>
      </c>
      <c r="B6697" s="2" t="s">
        <v>46</v>
      </c>
      <c r="C6697" s="2" t="s">
        <v>4087</v>
      </c>
      <c r="D6697" s="11" t="n">
        <v>21490</v>
      </c>
      <c r="E6697" s="31" t="n">
        <v>59.8</v>
      </c>
      <c r="F6697" s="31" t="n">
        <v>66.4</v>
      </c>
      <c r="G6697" s="31" t="n">
        <v>55.2</v>
      </c>
      <c r="H6697" s="2" t="s">
        <v>671</v>
      </c>
    </row>
    <row r="6698" customFormat="false" ht="15" hidden="false" customHeight="false" outlineLevel="0" collapsed="false">
      <c r="A6698" s="2" t="s">
        <v>195</v>
      </c>
      <c r="B6698" s="2" t="s">
        <v>47</v>
      </c>
      <c r="C6698" s="2" t="s">
        <v>4085</v>
      </c>
      <c r="D6698" s="11" t="n">
        <v>5812</v>
      </c>
      <c r="E6698" s="31" t="n">
        <v>97.6</v>
      </c>
      <c r="F6698" s="31" t="n">
        <v>14.4</v>
      </c>
      <c r="G6698" s="31" t="n">
        <v>11.6</v>
      </c>
      <c r="H6698" s="2" t="s">
        <v>671</v>
      </c>
    </row>
    <row r="6699" customFormat="false" ht="15" hidden="false" customHeight="false" outlineLevel="0" collapsed="false">
      <c r="A6699" s="2" t="s">
        <v>195</v>
      </c>
      <c r="B6699" s="2" t="s">
        <v>47</v>
      </c>
      <c r="C6699" s="2" t="s">
        <v>4086</v>
      </c>
      <c r="D6699" s="11" t="n">
        <v>5730</v>
      </c>
      <c r="E6699" s="31" t="n">
        <v>94.2</v>
      </c>
      <c r="F6699" s="31" t="n">
        <v>33.8</v>
      </c>
      <c r="G6699" s="31" t="n">
        <v>5.7</v>
      </c>
      <c r="H6699" s="2" t="s">
        <v>671</v>
      </c>
    </row>
    <row r="6700" customFormat="false" ht="15" hidden="false" customHeight="false" outlineLevel="0" collapsed="false">
      <c r="A6700" s="2" t="s">
        <v>195</v>
      </c>
      <c r="B6700" s="2" t="s">
        <v>47</v>
      </c>
      <c r="C6700" s="2" t="s">
        <v>4087</v>
      </c>
      <c r="D6700" s="11" t="n">
        <v>6002</v>
      </c>
      <c r="E6700" s="31" t="n">
        <v>97.3</v>
      </c>
      <c r="F6700" s="31" t="n">
        <v>30.7</v>
      </c>
      <c r="G6700" s="31" t="n">
        <v>16.4</v>
      </c>
      <c r="H6700" s="2" t="s">
        <v>671</v>
      </c>
    </row>
    <row r="6701" customFormat="false" ht="15" hidden="false" customHeight="false" outlineLevel="0" collapsed="false">
      <c r="A6701" s="2" t="s">
        <v>197</v>
      </c>
      <c r="B6701" s="2" t="s">
        <v>4104</v>
      </c>
      <c r="C6701" s="2" t="s">
        <v>4085</v>
      </c>
      <c r="D6701" s="2"/>
      <c r="E6701" s="31" t="n">
        <v>63.3</v>
      </c>
      <c r="F6701" s="31" t="n">
        <v>66.6</v>
      </c>
      <c r="G6701" s="2"/>
      <c r="H6701" s="2" t="s">
        <v>668</v>
      </c>
    </row>
    <row r="6702" customFormat="false" ht="15" hidden="false" customHeight="false" outlineLevel="0" collapsed="false">
      <c r="A6702" s="2" t="s">
        <v>197</v>
      </c>
      <c r="B6702" s="2" t="s">
        <v>4104</v>
      </c>
      <c r="C6702" s="2" t="s">
        <v>4086</v>
      </c>
      <c r="D6702" s="2"/>
      <c r="E6702" s="31" t="n">
        <v>52.4</v>
      </c>
      <c r="F6702" s="31" t="n">
        <v>58.5</v>
      </c>
      <c r="G6702" s="31" t="n">
        <v>42.4</v>
      </c>
      <c r="H6702" s="2" t="s">
        <v>671</v>
      </c>
    </row>
    <row r="6703" customFormat="false" ht="15" hidden="false" customHeight="false" outlineLevel="0" collapsed="false">
      <c r="A6703" s="2" t="s">
        <v>197</v>
      </c>
      <c r="B6703" s="2" t="s">
        <v>4104</v>
      </c>
      <c r="C6703" s="2" t="s">
        <v>4087</v>
      </c>
      <c r="D6703" s="2"/>
      <c r="E6703" s="31" t="n">
        <v>70.7</v>
      </c>
      <c r="F6703" s="31" t="n">
        <v>67.7</v>
      </c>
      <c r="G6703" s="31" t="n">
        <v>29.2</v>
      </c>
      <c r="H6703" s="2" t="s">
        <v>671</v>
      </c>
    </row>
    <row r="6704" customFormat="false" ht="15" hidden="false" customHeight="false" outlineLevel="0" collapsed="false">
      <c r="A6704" s="2" t="s">
        <v>197</v>
      </c>
      <c r="B6704" s="2" t="s">
        <v>45</v>
      </c>
      <c r="C6704" s="2" t="s">
        <v>4085</v>
      </c>
      <c r="D6704" s="11" t="n">
        <v>45230</v>
      </c>
      <c r="E6704" s="31" t="n">
        <v>60.7</v>
      </c>
      <c r="F6704" s="31" t="n">
        <v>78.5</v>
      </c>
      <c r="G6704" s="2"/>
      <c r="H6704" s="2" t="s">
        <v>668</v>
      </c>
    </row>
    <row r="6705" customFormat="false" ht="15" hidden="false" customHeight="false" outlineLevel="0" collapsed="false">
      <c r="A6705" s="2" t="s">
        <v>197</v>
      </c>
      <c r="B6705" s="2" t="s">
        <v>45</v>
      </c>
      <c r="C6705" s="2" t="s">
        <v>4086</v>
      </c>
      <c r="D6705" s="11" t="n">
        <v>46580</v>
      </c>
      <c r="E6705" s="31" t="n">
        <v>36.1</v>
      </c>
      <c r="F6705" s="31" t="n">
        <v>51.2</v>
      </c>
      <c r="G6705" s="31" t="n">
        <v>42.2</v>
      </c>
      <c r="H6705" s="2" t="s">
        <v>671</v>
      </c>
    </row>
    <row r="6706" customFormat="false" ht="15" hidden="false" customHeight="false" outlineLevel="0" collapsed="false">
      <c r="A6706" s="2" t="s">
        <v>197</v>
      </c>
      <c r="B6706" s="2" t="s">
        <v>45</v>
      </c>
      <c r="C6706" s="2" t="s">
        <v>4087</v>
      </c>
      <c r="D6706" s="11" t="n">
        <v>49850</v>
      </c>
      <c r="E6706" s="31" t="n">
        <v>78</v>
      </c>
      <c r="F6706" s="31" t="n">
        <v>59.5</v>
      </c>
      <c r="G6706" s="31" t="n">
        <v>19.3</v>
      </c>
      <c r="H6706" s="2" t="s">
        <v>671</v>
      </c>
    </row>
    <row r="6707" customFormat="false" ht="15" hidden="false" customHeight="false" outlineLevel="0" collapsed="false">
      <c r="A6707" s="2" t="s">
        <v>197</v>
      </c>
      <c r="B6707" s="2" t="s">
        <v>46</v>
      </c>
      <c r="C6707" s="2" t="s">
        <v>4085</v>
      </c>
      <c r="D6707" s="11" t="n">
        <v>14210</v>
      </c>
      <c r="E6707" s="31" t="n">
        <v>65.9</v>
      </c>
      <c r="F6707" s="31" t="n">
        <v>54.7</v>
      </c>
      <c r="G6707" s="2"/>
      <c r="H6707" s="2" t="s">
        <v>668</v>
      </c>
    </row>
    <row r="6708" customFormat="false" ht="15" hidden="false" customHeight="false" outlineLevel="0" collapsed="false">
      <c r="A6708" s="2" t="s">
        <v>197</v>
      </c>
      <c r="B6708" s="2" t="s">
        <v>46</v>
      </c>
      <c r="C6708" s="2" t="s">
        <v>4086</v>
      </c>
      <c r="D6708" s="11" t="n">
        <v>15170</v>
      </c>
      <c r="E6708" s="31" t="n">
        <v>68.6</v>
      </c>
      <c r="F6708" s="31" t="n">
        <v>65.8</v>
      </c>
      <c r="G6708" s="31" t="n">
        <v>42.6</v>
      </c>
      <c r="H6708" s="2" t="s">
        <v>671</v>
      </c>
    </row>
    <row r="6709" customFormat="false" ht="15" hidden="false" customHeight="false" outlineLevel="0" collapsed="false">
      <c r="A6709" s="2" t="s">
        <v>197</v>
      </c>
      <c r="B6709" s="2" t="s">
        <v>46</v>
      </c>
      <c r="C6709" s="2" t="s">
        <v>4087</v>
      </c>
      <c r="D6709" s="11" t="n">
        <v>15823</v>
      </c>
      <c r="E6709" s="31" t="n">
        <v>63.4</v>
      </c>
      <c r="F6709" s="31" t="n">
        <v>75.9</v>
      </c>
      <c r="G6709" s="31" t="n">
        <v>39.1</v>
      </c>
      <c r="H6709" s="2" t="s">
        <v>671</v>
      </c>
    </row>
    <row r="6710" customFormat="false" ht="15" hidden="false" customHeight="false" outlineLevel="0" collapsed="false">
      <c r="A6710" s="2" t="s">
        <v>256</v>
      </c>
      <c r="B6710" s="2" t="s">
        <v>4104</v>
      </c>
      <c r="C6710" s="2" t="s">
        <v>4085</v>
      </c>
      <c r="D6710" s="2"/>
      <c r="E6710" s="31" t="n">
        <v>68.7</v>
      </c>
      <c r="F6710" s="31" t="n">
        <v>43.4</v>
      </c>
      <c r="G6710" s="31" t="n">
        <v>40.5</v>
      </c>
      <c r="H6710" s="2" t="s">
        <v>671</v>
      </c>
    </row>
    <row r="6711" customFormat="false" ht="15" hidden="false" customHeight="false" outlineLevel="0" collapsed="false">
      <c r="A6711" s="2" t="s">
        <v>256</v>
      </c>
      <c r="B6711" s="2" t="s">
        <v>4104</v>
      </c>
      <c r="C6711" s="2" t="s">
        <v>4087</v>
      </c>
      <c r="D6711" s="2"/>
      <c r="E6711" s="31" t="n">
        <v>63.1</v>
      </c>
      <c r="F6711" s="31" t="n">
        <v>53.5</v>
      </c>
      <c r="G6711" s="31" t="n">
        <v>24</v>
      </c>
      <c r="H6711" s="2" t="s">
        <v>671</v>
      </c>
    </row>
    <row r="6712" customFormat="false" ht="15" hidden="false" customHeight="false" outlineLevel="0" collapsed="false">
      <c r="A6712" s="2" t="s">
        <v>256</v>
      </c>
      <c r="B6712" s="2" t="s">
        <v>45</v>
      </c>
      <c r="C6712" s="2" t="s">
        <v>4085</v>
      </c>
      <c r="D6712" s="11" t="n">
        <v>32020</v>
      </c>
      <c r="E6712" s="31" t="n">
        <v>69.6</v>
      </c>
      <c r="F6712" s="31" t="n">
        <v>89.4</v>
      </c>
      <c r="G6712" s="31" t="n">
        <v>34.6</v>
      </c>
      <c r="H6712" s="2" t="s">
        <v>671</v>
      </c>
    </row>
    <row r="6713" customFormat="false" ht="15" hidden="false" customHeight="false" outlineLevel="0" collapsed="false">
      <c r="A6713" s="2" t="s">
        <v>256</v>
      </c>
      <c r="B6713" s="2" t="s">
        <v>45</v>
      </c>
      <c r="C6713" s="2" t="s">
        <v>4087</v>
      </c>
      <c r="D6713" s="11" t="n">
        <v>35425</v>
      </c>
      <c r="E6713" s="31" t="n">
        <v>66.2</v>
      </c>
      <c r="F6713" s="31" t="n">
        <v>93.3</v>
      </c>
      <c r="G6713" s="31" t="n">
        <v>40.1</v>
      </c>
      <c r="H6713" s="2" t="s">
        <v>671</v>
      </c>
    </row>
    <row r="6714" customFormat="false" ht="15" hidden="false" customHeight="false" outlineLevel="0" collapsed="false">
      <c r="A6714" s="2" t="s">
        <v>256</v>
      </c>
      <c r="B6714" s="2" t="s">
        <v>46</v>
      </c>
      <c r="C6714" s="2" t="s">
        <v>4085</v>
      </c>
      <c r="D6714" s="11" t="n">
        <v>61400</v>
      </c>
      <c r="E6714" s="31" t="n">
        <v>48.3</v>
      </c>
      <c r="F6714" s="31" t="n">
        <v>17.2</v>
      </c>
      <c r="G6714" s="31" t="n">
        <v>62.6</v>
      </c>
      <c r="H6714" s="2" t="s">
        <v>671</v>
      </c>
    </row>
    <row r="6715" customFormat="false" ht="15" hidden="false" customHeight="false" outlineLevel="0" collapsed="false">
      <c r="A6715" s="2" t="s">
        <v>256</v>
      </c>
      <c r="B6715" s="2" t="s">
        <v>46</v>
      </c>
      <c r="C6715" s="2" t="s">
        <v>4087</v>
      </c>
      <c r="D6715" s="11" t="n">
        <v>62963</v>
      </c>
      <c r="E6715" s="31" t="n">
        <v>39.7</v>
      </c>
      <c r="F6715" s="31" t="n">
        <v>31.1</v>
      </c>
      <c r="G6715" s="31" t="n">
        <v>25.4</v>
      </c>
      <c r="H6715" s="2" t="s">
        <v>671</v>
      </c>
    </row>
    <row r="6716" customFormat="false" ht="15" hidden="false" customHeight="false" outlineLevel="0" collapsed="false">
      <c r="A6716" s="2" t="s">
        <v>256</v>
      </c>
      <c r="B6716" s="2" t="s">
        <v>47</v>
      </c>
      <c r="C6716" s="2" t="s">
        <v>4085</v>
      </c>
      <c r="D6716" s="11" t="n">
        <v>149982</v>
      </c>
      <c r="E6716" s="31" t="n">
        <v>88.2</v>
      </c>
      <c r="F6716" s="31" t="n">
        <v>23.5</v>
      </c>
      <c r="G6716" s="31" t="n">
        <v>24.3</v>
      </c>
      <c r="H6716" s="2" t="s">
        <v>671</v>
      </c>
    </row>
    <row r="6717" customFormat="false" ht="15" hidden="false" customHeight="false" outlineLevel="0" collapsed="false">
      <c r="A6717" s="2" t="s">
        <v>256</v>
      </c>
      <c r="B6717" s="2" t="s">
        <v>47</v>
      </c>
      <c r="C6717" s="2" t="s">
        <v>4087</v>
      </c>
      <c r="D6717" s="11" t="n">
        <v>155996</v>
      </c>
      <c r="E6717" s="31" t="n">
        <v>83.3</v>
      </c>
      <c r="F6717" s="31" t="n">
        <v>36.1</v>
      </c>
      <c r="G6717" s="31" t="n">
        <v>6.5</v>
      </c>
      <c r="H6717" s="2" t="s">
        <v>671</v>
      </c>
    </row>
    <row r="6718" customFormat="false" ht="15" hidden="false" customHeight="false" outlineLevel="0" collapsed="false">
      <c r="A6718" s="2" t="s">
        <v>2233</v>
      </c>
      <c r="B6718" s="2" t="s">
        <v>4104</v>
      </c>
      <c r="C6718" s="2" t="s">
        <v>4085</v>
      </c>
      <c r="D6718" s="2"/>
      <c r="E6718" s="31" t="n">
        <v>42.6</v>
      </c>
      <c r="F6718" s="31" t="n">
        <v>43.8</v>
      </c>
      <c r="G6718" s="31" t="n">
        <v>42.2</v>
      </c>
      <c r="H6718" s="2" t="s">
        <v>671</v>
      </c>
    </row>
    <row r="6719" customFormat="false" ht="15" hidden="false" customHeight="false" outlineLevel="0" collapsed="false">
      <c r="A6719" s="2" t="s">
        <v>2233</v>
      </c>
      <c r="B6719" s="2" t="s">
        <v>4104</v>
      </c>
      <c r="C6719" s="2" t="s">
        <v>4086</v>
      </c>
      <c r="D6719" s="2"/>
      <c r="E6719" s="31" t="n">
        <v>43.2</v>
      </c>
      <c r="F6719" s="31" t="n">
        <v>28.1</v>
      </c>
      <c r="G6719" s="31" t="n">
        <v>47.1</v>
      </c>
      <c r="H6719" s="2" t="s">
        <v>668</v>
      </c>
    </row>
    <row r="6720" customFormat="false" ht="15" hidden="false" customHeight="false" outlineLevel="0" collapsed="false">
      <c r="A6720" s="2" t="s">
        <v>2233</v>
      </c>
      <c r="B6720" s="2" t="s">
        <v>4104</v>
      </c>
      <c r="C6720" s="2" t="s">
        <v>4087</v>
      </c>
      <c r="D6720" s="2"/>
      <c r="E6720" s="31" t="n">
        <v>62.8</v>
      </c>
      <c r="F6720" s="31" t="n">
        <v>14.4</v>
      </c>
      <c r="G6720" s="31" t="n">
        <v>89.5</v>
      </c>
      <c r="H6720" s="2" t="s">
        <v>668</v>
      </c>
    </row>
    <row r="6721" customFormat="false" ht="15" hidden="false" customHeight="false" outlineLevel="0" collapsed="false">
      <c r="A6721" s="2" t="s">
        <v>2233</v>
      </c>
      <c r="B6721" s="2" t="s">
        <v>45</v>
      </c>
      <c r="C6721" s="2" t="s">
        <v>4085</v>
      </c>
      <c r="D6721" s="11" t="n">
        <v>22100</v>
      </c>
      <c r="E6721" s="31" t="n">
        <v>44.1</v>
      </c>
      <c r="F6721" s="31" t="n">
        <v>21.9</v>
      </c>
      <c r="G6721" s="31" t="n">
        <v>59</v>
      </c>
      <c r="H6721" s="2" t="s">
        <v>671</v>
      </c>
    </row>
    <row r="6722" customFormat="false" ht="15" hidden="false" customHeight="false" outlineLevel="0" collapsed="false">
      <c r="A6722" s="2" t="s">
        <v>2233</v>
      </c>
      <c r="B6722" s="2" t="s">
        <v>45</v>
      </c>
      <c r="C6722" s="2" t="s">
        <v>4086</v>
      </c>
      <c r="D6722" s="11" t="n">
        <v>21947</v>
      </c>
      <c r="E6722" s="31" t="n">
        <v>38.4</v>
      </c>
      <c r="F6722" s="31" t="n">
        <v>17.2</v>
      </c>
      <c r="G6722" s="31" t="n">
        <v>80.2</v>
      </c>
      <c r="H6722" s="2" t="s">
        <v>671</v>
      </c>
    </row>
    <row r="6723" customFormat="false" ht="15" hidden="false" customHeight="false" outlineLevel="0" collapsed="false">
      <c r="A6723" s="2" t="s">
        <v>2233</v>
      </c>
      <c r="B6723" s="2" t="s">
        <v>45</v>
      </c>
      <c r="C6723" s="2" t="s">
        <v>4087</v>
      </c>
      <c r="D6723" s="2"/>
      <c r="E6723" s="2"/>
      <c r="F6723" s="2"/>
      <c r="G6723" s="2"/>
      <c r="H6723" s="2" t="s">
        <v>668</v>
      </c>
    </row>
    <row r="6724" customFormat="false" ht="15" hidden="false" customHeight="false" outlineLevel="0" collapsed="false">
      <c r="A6724" s="2" t="s">
        <v>2233</v>
      </c>
      <c r="B6724" s="2" t="s">
        <v>46</v>
      </c>
      <c r="C6724" s="2" t="s">
        <v>4085</v>
      </c>
      <c r="D6724" s="11" t="n">
        <v>2740</v>
      </c>
      <c r="E6724" s="31" t="n">
        <v>30.9</v>
      </c>
      <c r="F6724" s="31" t="n">
        <v>68.4</v>
      </c>
      <c r="G6724" s="31" t="n">
        <v>22.1</v>
      </c>
      <c r="H6724" s="2" t="s">
        <v>671</v>
      </c>
    </row>
    <row r="6725" customFormat="false" ht="15" hidden="false" customHeight="false" outlineLevel="0" collapsed="false">
      <c r="A6725" s="2" t="s">
        <v>2233</v>
      </c>
      <c r="B6725" s="2" t="s">
        <v>46</v>
      </c>
      <c r="C6725" s="2" t="s">
        <v>4086</v>
      </c>
      <c r="D6725" s="11" t="n">
        <v>2870</v>
      </c>
      <c r="E6725" s="31" t="n">
        <v>55.2</v>
      </c>
      <c r="F6725" s="31" t="n">
        <v>54.7</v>
      </c>
      <c r="G6725" s="31" t="n">
        <v>13.9</v>
      </c>
      <c r="H6725" s="2" t="s">
        <v>671</v>
      </c>
    </row>
    <row r="6726" customFormat="false" ht="15" hidden="false" customHeight="false" outlineLevel="0" collapsed="false">
      <c r="A6726" s="2" t="s">
        <v>2233</v>
      </c>
      <c r="B6726" s="2" t="s">
        <v>46</v>
      </c>
      <c r="C6726" s="2" t="s">
        <v>4087</v>
      </c>
      <c r="D6726" s="11" t="n">
        <v>3055</v>
      </c>
      <c r="E6726" s="31" t="n">
        <v>64.5</v>
      </c>
      <c r="F6726" s="31" t="n">
        <v>20.8</v>
      </c>
      <c r="G6726" s="2"/>
      <c r="H6726" s="2" t="s">
        <v>668</v>
      </c>
    </row>
    <row r="6727" customFormat="false" ht="15" hidden="false" customHeight="false" outlineLevel="0" collapsed="false">
      <c r="A6727" s="2" t="s">
        <v>2233</v>
      </c>
      <c r="B6727" s="2" t="s">
        <v>47</v>
      </c>
      <c r="C6727" s="2" t="s">
        <v>4085</v>
      </c>
      <c r="D6727" s="11" t="n">
        <v>8076</v>
      </c>
      <c r="E6727" s="31" t="n">
        <v>52.8</v>
      </c>
      <c r="F6727" s="31" t="n">
        <v>41.1</v>
      </c>
      <c r="G6727" s="31" t="n">
        <v>45.5</v>
      </c>
      <c r="H6727" s="2" t="s">
        <v>671</v>
      </c>
    </row>
    <row r="6728" customFormat="false" ht="15" hidden="false" customHeight="false" outlineLevel="0" collapsed="false">
      <c r="A6728" s="2" t="s">
        <v>2233</v>
      </c>
      <c r="B6728" s="2" t="s">
        <v>47</v>
      </c>
      <c r="C6728" s="2" t="s">
        <v>4086</v>
      </c>
      <c r="D6728" s="11" t="n">
        <v>8179</v>
      </c>
      <c r="E6728" s="31" t="n">
        <v>36</v>
      </c>
      <c r="F6728" s="31" t="n">
        <v>12.5</v>
      </c>
      <c r="G6728" s="2"/>
      <c r="H6728" s="2" t="s">
        <v>668</v>
      </c>
    </row>
    <row r="6729" customFormat="false" ht="15" hidden="false" customHeight="false" outlineLevel="0" collapsed="false">
      <c r="A6729" s="2" t="s">
        <v>2233</v>
      </c>
      <c r="B6729" s="2" t="s">
        <v>47</v>
      </c>
      <c r="C6729" s="2" t="s">
        <v>4087</v>
      </c>
      <c r="D6729" s="11" t="n">
        <v>8305</v>
      </c>
      <c r="E6729" s="31" t="n">
        <v>61</v>
      </c>
      <c r="F6729" s="31" t="n">
        <v>8</v>
      </c>
      <c r="G6729" s="31" t="n">
        <v>89.5</v>
      </c>
      <c r="H6729" s="2" t="s">
        <v>671</v>
      </c>
    </row>
    <row r="6730" customFormat="false" ht="15" hidden="false" customHeight="false" outlineLevel="0" collapsed="false">
      <c r="A6730" s="2" t="s">
        <v>1095</v>
      </c>
      <c r="B6730" s="2" t="s">
        <v>4104</v>
      </c>
      <c r="C6730" s="2" t="s">
        <v>4085</v>
      </c>
      <c r="D6730" s="2"/>
      <c r="E6730" s="31" t="n">
        <v>14</v>
      </c>
      <c r="F6730" s="31" t="n">
        <v>41.1</v>
      </c>
      <c r="G6730" s="31" t="n">
        <v>80.3</v>
      </c>
      <c r="H6730" s="2" t="s">
        <v>671</v>
      </c>
    </row>
    <row r="6731" customFormat="false" ht="15" hidden="false" customHeight="false" outlineLevel="0" collapsed="false">
      <c r="A6731" s="2" t="s">
        <v>1095</v>
      </c>
      <c r="B6731" s="2" t="s">
        <v>4104</v>
      </c>
      <c r="C6731" s="2" t="s">
        <v>4086</v>
      </c>
      <c r="D6731" s="2"/>
      <c r="E6731" s="31" t="n">
        <v>14.1</v>
      </c>
      <c r="F6731" s="31" t="n">
        <v>35</v>
      </c>
      <c r="G6731" s="31" t="n">
        <v>69.6</v>
      </c>
      <c r="H6731" s="2" t="s">
        <v>668</v>
      </c>
    </row>
    <row r="6732" customFormat="false" ht="15" hidden="false" customHeight="false" outlineLevel="0" collapsed="false">
      <c r="A6732" s="2" t="s">
        <v>1095</v>
      </c>
      <c r="B6732" s="2" t="s">
        <v>4104</v>
      </c>
      <c r="C6732" s="2" t="s">
        <v>4087</v>
      </c>
      <c r="D6732" s="2"/>
      <c r="E6732" s="31" t="n">
        <v>25.3</v>
      </c>
      <c r="F6732" s="31" t="n">
        <v>13.9</v>
      </c>
      <c r="G6732" s="31" t="n">
        <v>81.2</v>
      </c>
      <c r="H6732" s="2" t="s">
        <v>668</v>
      </c>
    </row>
    <row r="6733" customFormat="false" ht="15" hidden="false" customHeight="false" outlineLevel="0" collapsed="false">
      <c r="A6733" s="2" t="s">
        <v>1095</v>
      </c>
      <c r="B6733" s="2" t="s">
        <v>45</v>
      </c>
      <c r="C6733" s="2" t="s">
        <v>4085</v>
      </c>
      <c r="D6733" s="11" t="n">
        <v>24377</v>
      </c>
      <c r="E6733" s="31" t="n">
        <v>17.5</v>
      </c>
      <c r="F6733" s="31" t="n">
        <v>25.2</v>
      </c>
      <c r="G6733" s="31" t="n">
        <v>85.6</v>
      </c>
      <c r="H6733" s="2" t="s">
        <v>671</v>
      </c>
    </row>
    <row r="6734" customFormat="false" ht="15" hidden="false" customHeight="false" outlineLevel="0" collapsed="false">
      <c r="A6734" s="2" t="s">
        <v>1095</v>
      </c>
      <c r="B6734" s="2" t="s">
        <v>45</v>
      </c>
      <c r="C6734" s="2" t="s">
        <v>4086</v>
      </c>
      <c r="D6734" s="11" t="n">
        <v>24914</v>
      </c>
      <c r="E6734" s="31" t="n">
        <v>7.2</v>
      </c>
      <c r="F6734" s="31" t="n">
        <v>26.1</v>
      </c>
      <c r="G6734" s="31" t="n">
        <v>55.7</v>
      </c>
      <c r="H6734" s="2" t="s">
        <v>671</v>
      </c>
    </row>
    <row r="6735" customFormat="false" ht="15" hidden="false" customHeight="false" outlineLevel="0" collapsed="false">
      <c r="A6735" s="2" t="s">
        <v>1095</v>
      </c>
      <c r="B6735" s="2" t="s">
        <v>45</v>
      </c>
      <c r="C6735" s="2" t="s">
        <v>4087</v>
      </c>
      <c r="D6735" s="11" t="n">
        <v>25315</v>
      </c>
      <c r="E6735" s="31" t="n">
        <v>42.5</v>
      </c>
      <c r="F6735" s="31" t="n">
        <v>8.7</v>
      </c>
      <c r="G6735" s="31" t="n">
        <v>79.6</v>
      </c>
      <c r="H6735" s="2" t="s">
        <v>671</v>
      </c>
    </row>
    <row r="6736" customFormat="false" ht="15" hidden="false" customHeight="false" outlineLevel="0" collapsed="false">
      <c r="A6736" s="2" t="s">
        <v>1095</v>
      </c>
      <c r="B6736" s="2" t="s">
        <v>46</v>
      </c>
      <c r="C6736" s="2" t="s">
        <v>4085</v>
      </c>
      <c r="D6736" s="11" t="n">
        <v>38680</v>
      </c>
      <c r="E6736" s="31" t="n">
        <v>0.4</v>
      </c>
      <c r="F6736" s="31" t="n">
        <v>14.2</v>
      </c>
      <c r="G6736" s="31" t="n">
        <v>59.1</v>
      </c>
      <c r="H6736" s="2" t="s">
        <v>671</v>
      </c>
    </row>
    <row r="6737" customFormat="false" ht="15" hidden="false" customHeight="false" outlineLevel="0" collapsed="false">
      <c r="A6737" s="2" t="s">
        <v>1095</v>
      </c>
      <c r="B6737" s="2" t="s">
        <v>46</v>
      </c>
      <c r="C6737" s="2" t="s">
        <v>4086</v>
      </c>
      <c r="D6737" s="11" t="n">
        <v>23010</v>
      </c>
      <c r="E6737" s="2"/>
      <c r="F6737" s="31" t="n">
        <v>7.6</v>
      </c>
      <c r="G6737" s="31" t="n">
        <v>63.6</v>
      </c>
      <c r="H6737" s="2" t="s">
        <v>668</v>
      </c>
    </row>
    <row r="6738" customFormat="false" ht="15" hidden="false" customHeight="false" outlineLevel="0" collapsed="false">
      <c r="A6738" s="2" t="s">
        <v>1095</v>
      </c>
      <c r="B6738" s="2" t="s">
        <v>46</v>
      </c>
      <c r="C6738" s="2" t="s">
        <v>4087</v>
      </c>
      <c r="D6738" s="11" t="n">
        <v>22400</v>
      </c>
      <c r="E6738" s="31" t="n">
        <v>11.8</v>
      </c>
      <c r="F6738" s="31" t="n">
        <v>19.1</v>
      </c>
      <c r="G6738" s="2"/>
      <c r="H6738" s="2" t="s">
        <v>668</v>
      </c>
    </row>
    <row r="6739" customFormat="false" ht="15" hidden="false" customHeight="false" outlineLevel="0" collapsed="false">
      <c r="A6739" s="2" t="s">
        <v>1095</v>
      </c>
      <c r="B6739" s="2" t="s">
        <v>47</v>
      </c>
      <c r="C6739" s="2" t="s">
        <v>4085</v>
      </c>
      <c r="D6739" s="11" t="n">
        <v>378220</v>
      </c>
      <c r="E6739" s="31" t="n">
        <v>24</v>
      </c>
      <c r="F6739" s="31" t="n">
        <v>84</v>
      </c>
      <c r="G6739" s="31" t="n">
        <v>96.1</v>
      </c>
      <c r="H6739" s="2" t="s">
        <v>671</v>
      </c>
    </row>
    <row r="6740" customFormat="false" ht="15" hidden="false" customHeight="false" outlineLevel="0" collapsed="false">
      <c r="A6740" s="2" t="s">
        <v>1095</v>
      </c>
      <c r="B6740" s="2" t="s">
        <v>47</v>
      </c>
      <c r="C6740" s="2" t="s">
        <v>4086</v>
      </c>
      <c r="D6740" s="11" t="n">
        <v>392717</v>
      </c>
      <c r="E6740" s="31" t="n">
        <v>21</v>
      </c>
      <c r="F6740" s="31" t="n">
        <v>71.4</v>
      </c>
      <c r="G6740" s="31" t="n">
        <v>89.4</v>
      </c>
      <c r="H6740" s="2" t="s">
        <v>671</v>
      </c>
    </row>
    <row r="6741" customFormat="false" ht="15" hidden="false" customHeight="false" outlineLevel="0" collapsed="false">
      <c r="A6741" s="2" t="s">
        <v>1095</v>
      </c>
      <c r="B6741" s="2" t="s">
        <v>47</v>
      </c>
      <c r="C6741" s="2" t="s">
        <v>4087</v>
      </c>
      <c r="D6741" s="11" t="n">
        <v>415233</v>
      </c>
      <c r="E6741" s="31" t="n">
        <v>21.7</v>
      </c>
      <c r="F6741" s="2"/>
      <c r="G6741" s="31" t="n">
        <v>82.9</v>
      </c>
      <c r="H6741" s="2" t="s">
        <v>668</v>
      </c>
    </row>
    <row r="6742" customFormat="false" ht="15" hidden="false" customHeight="false" outlineLevel="0" collapsed="false">
      <c r="A6742" s="2" t="s">
        <v>3114</v>
      </c>
      <c r="B6742" s="2" t="s">
        <v>4104</v>
      </c>
      <c r="C6742" s="2" t="s">
        <v>4085</v>
      </c>
      <c r="D6742" s="2"/>
      <c r="E6742" s="31" t="n">
        <v>83</v>
      </c>
      <c r="F6742" s="31" t="n">
        <v>31</v>
      </c>
      <c r="G6742" s="31" t="n">
        <v>27.7</v>
      </c>
      <c r="H6742" s="2" t="s">
        <v>671</v>
      </c>
    </row>
    <row r="6743" customFormat="false" ht="15" hidden="false" customHeight="false" outlineLevel="0" collapsed="false">
      <c r="A6743" s="2" t="s">
        <v>3114</v>
      </c>
      <c r="B6743" s="2" t="s">
        <v>4104</v>
      </c>
      <c r="C6743" s="2" t="s">
        <v>4086</v>
      </c>
      <c r="D6743" s="2"/>
      <c r="E6743" s="31" t="n">
        <v>84.5</v>
      </c>
      <c r="F6743" s="31" t="n">
        <v>48.1</v>
      </c>
      <c r="G6743" s="31" t="n">
        <v>62.7</v>
      </c>
      <c r="H6743" s="2" t="s">
        <v>671</v>
      </c>
    </row>
    <row r="6744" customFormat="false" ht="15" hidden="false" customHeight="false" outlineLevel="0" collapsed="false">
      <c r="A6744" s="2" t="s">
        <v>3114</v>
      </c>
      <c r="B6744" s="2" t="s">
        <v>4104</v>
      </c>
      <c r="C6744" s="2" t="s">
        <v>4087</v>
      </c>
      <c r="D6744" s="2"/>
      <c r="E6744" s="2"/>
      <c r="F6744" s="31" t="n">
        <v>34.4</v>
      </c>
      <c r="G6744" s="31" t="n">
        <v>68</v>
      </c>
      <c r="H6744" s="2" t="s">
        <v>668</v>
      </c>
    </row>
    <row r="6745" customFormat="false" ht="15" hidden="false" customHeight="false" outlineLevel="0" collapsed="false">
      <c r="A6745" s="2" t="s">
        <v>3114</v>
      </c>
      <c r="B6745" s="2" t="s">
        <v>47</v>
      </c>
      <c r="C6745" s="2" t="s">
        <v>4085</v>
      </c>
      <c r="D6745" s="11" t="n">
        <v>51374</v>
      </c>
      <c r="E6745" s="31" t="n">
        <v>83</v>
      </c>
      <c r="F6745" s="31" t="n">
        <v>31</v>
      </c>
      <c r="G6745" s="31" t="n">
        <v>27.7</v>
      </c>
      <c r="H6745" s="2" t="s">
        <v>671</v>
      </c>
    </row>
    <row r="6746" customFormat="false" ht="15" hidden="false" customHeight="false" outlineLevel="0" collapsed="false">
      <c r="A6746" s="2" t="s">
        <v>3114</v>
      </c>
      <c r="B6746" s="2" t="s">
        <v>47</v>
      </c>
      <c r="C6746" s="2" t="s">
        <v>4086</v>
      </c>
      <c r="D6746" s="11" t="n">
        <v>54392</v>
      </c>
      <c r="E6746" s="31" t="n">
        <v>84.5</v>
      </c>
      <c r="F6746" s="31" t="n">
        <v>48.1</v>
      </c>
      <c r="G6746" s="31" t="n">
        <v>62.7</v>
      </c>
      <c r="H6746" s="2" t="s">
        <v>671</v>
      </c>
    </row>
    <row r="6747" customFormat="false" ht="15" hidden="false" customHeight="false" outlineLevel="0" collapsed="false">
      <c r="A6747" s="2" t="s">
        <v>3114</v>
      </c>
      <c r="B6747" s="2" t="s">
        <v>47</v>
      </c>
      <c r="C6747" s="2" t="s">
        <v>4087</v>
      </c>
      <c r="D6747" s="11" t="n">
        <v>56390</v>
      </c>
      <c r="E6747" s="2"/>
      <c r="F6747" s="31" t="n">
        <v>34.4</v>
      </c>
      <c r="G6747" s="31" t="n">
        <v>68</v>
      </c>
      <c r="H6747" s="2" t="s">
        <v>668</v>
      </c>
    </row>
    <row r="6748" customFormat="false" ht="15" hidden="false" customHeight="false" outlineLevel="0" collapsed="false">
      <c r="A6748" s="2" t="s">
        <v>344</v>
      </c>
      <c r="B6748" s="2" t="s">
        <v>4104</v>
      </c>
      <c r="C6748" s="2" t="s">
        <v>4085</v>
      </c>
      <c r="D6748" s="2"/>
      <c r="E6748" s="31" t="n">
        <v>41.6</v>
      </c>
      <c r="F6748" s="31" t="n">
        <v>60.4</v>
      </c>
      <c r="G6748" s="31" t="n">
        <v>71.3</v>
      </c>
      <c r="H6748" s="2" t="s">
        <v>668</v>
      </c>
    </row>
    <row r="6749" customFormat="false" ht="15" hidden="false" customHeight="false" outlineLevel="0" collapsed="false">
      <c r="A6749" s="2" t="s">
        <v>344</v>
      </c>
      <c r="B6749" s="2" t="s">
        <v>4104</v>
      </c>
      <c r="C6749" s="2" t="s">
        <v>4086</v>
      </c>
      <c r="D6749" s="2"/>
      <c r="E6749" s="31" t="n">
        <v>56.2</v>
      </c>
      <c r="F6749" s="31" t="n">
        <v>51.1</v>
      </c>
      <c r="G6749" s="31" t="n">
        <v>47</v>
      </c>
      <c r="H6749" s="2" t="s">
        <v>671</v>
      </c>
    </row>
    <row r="6750" customFormat="false" ht="15" hidden="false" customHeight="false" outlineLevel="0" collapsed="false">
      <c r="A6750" s="2" t="s">
        <v>344</v>
      </c>
      <c r="B6750" s="2" t="s">
        <v>4104</v>
      </c>
      <c r="C6750" s="2" t="s">
        <v>4087</v>
      </c>
      <c r="D6750" s="2"/>
      <c r="E6750" s="31" t="n">
        <v>52.8</v>
      </c>
      <c r="F6750" s="31" t="n">
        <v>54.3</v>
      </c>
      <c r="G6750" s="31" t="n">
        <v>47.6</v>
      </c>
      <c r="H6750" s="2" t="s">
        <v>671</v>
      </c>
    </row>
    <row r="6751" customFormat="false" ht="15" hidden="false" customHeight="false" outlineLevel="0" collapsed="false">
      <c r="A6751" s="2" t="s">
        <v>344</v>
      </c>
      <c r="B6751" s="2" t="s">
        <v>45</v>
      </c>
      <c r="C6751" s="2" t="s">
        <v>4085</v>
      </c>
      <c r="D6751" s="11" t="n">
        <v>4860</v>
      </c>
      <c r="E6751" s="31" t="n">
        <v>6.5</v>
      </c>
      <c r="F6751" s="31" t="n">
        <v>83.9</v>
      </c>
      <c r="G6751" s="2"/>
      <c r="H6751" s="2" t="s">
        <v>668</v>
      </c>
    </row>
    <row r="6752" customFormat="false" ht="15" hidden="false" customHeight="false" outlineLevel="0" collapsed="false">
      <c r="A6752" s="2" t="s">
        <v>344</v>
      </c>
      <c r="B6752" s="2" t="s">
        <v>45</v>
      </c>
      <c r="C6752" s="2" t="s">
        <v>4086</v>
      </c>
      <c r="D6752" s="11" t="n">
        <v>5229</v>
      </c>
      <c r="E6752" s="31" t="n">
        <v>4.9</v>
      </c>
      <c r="F6752" s="31" t="n">
        <v>94.4</v>
      </c>
      <c r="G6752" s="31" t="n">
        <v>7.7</v>
      </c>
      <c r="H6752" s="2" t="s">
        <v>671</v>
      </c>
    </row>
    <row r="6753" customFormat="false" ht="15" hidden="false" customHeight="false" outlineLevel="0" collapsed="false">
      <c r="A6753" s="2" t="s">
        <v>344</v>
      </c>
      <c r="B6753" s="2" t="s">
        <v>45</v>
      </c>
      <c r="C6753" s="2" t="s">
        <v>4087</v>
      </c>
      <c r="D6753" s="11" t="n">
        <v>5712</v>
      </c>
      <c r="E6753" s="31" t="n">
        <v>13</v>
      </c>
      <c r="F6753" s="31" t="n">
        <v>96.3</v>
      </c>
      <c r="G6753" s="31" t="n">
        <v>30.7</v>
      </c>
      <c r="H6753" s="2" t="s">
        <v>671</v>
      </c>
    </row>
    <row r="6754" customFormat="false" ht="15" hidden="false" customHeight="false" outlineLevel="0" collapsed="false">
      <c r="A6754" s="2" t="s">
        <v>344</v>
      </c>
      <c r="B6754" s="2" t="s">
        <v>46</v>
      </c>
      <c r="C6754" s="2" t="s">
        <v>4085</v>
      </c>
      <c r="D6754" s="11" t="n">
        <v>13080</v>
      </c>
      <c r="E6754" s="31" t="n">
        <v>61.3</v>
      </c>
      <c r="F6754" s="31" t="n">
        <v>19.5</v>
      </c>
      <c r="G6754" s="31" t="n">
        <v>95.9</v>
      </c>
      <c r="H6754" s="2" t="s">
        <v>671</v>
      </c>
    </row>
    <row r="6755" customFormat="false" ht="15" hidden="false" customHeight="false" outlineLevel="0" collapsed="false">
      <c r="A6755" s="2" t="s">
        <v>344</v>
      </c>
      <c r="B6755" s="2" t="s">
        <v>46</v>
      </c>
      <c r="C6755" s="2" t="s">
        <v>4086</v>
      </c>
      <c r="D6755" s="11" t="n">
        <v>12962</v>
      </c>
      <c r="E6755" s="31" t="n">
        <v>93.3</v>
      </c>
      <c r="F6755" s="31" t="n">
        <v>6.2</v>
      </c>
      <c r="G6755" s="31" t="n">
        <v>86.5</v>
      </c>
      <c r="H6755" s="2" t="s">
        <v>671</v>
      </c>
    </row>
    <row r="6756" customFormat="false" ht="15" hidden="false" customHeight="false" outlineLevel="0" collapsed="false">
      <c r="A6756" s="2" t="s">
        <v>344</v>
      </c>
      <c r="B6756" s="2" t="s">
        <v>46</v>
      </c>
      <c r="C6756" s="2" t="s">
        <v>4087</v>
      </c>
      <c r="D6756" s="11" t="n">
        <v>13262</v>
      </c>
      <c r="E6756" s="31" t="n">
        <v>82.2</v>
      </c>
      <c r="F6756" s="31" t="n">
        <v>12.4</v>
      </c>
      <c r="G6756" s="31" t="n">
        <v>80.6</v>
      </c>
      <c r="H6756" s="2" t="s">
        <v>671</v>
      </c>
    </row>
    <row r="6757" customFormat="false" ht="15" hidden="false" customHeight="false" outlineLevel="0" collapsed="false">
      <c r="A6757" s="2" t="s">
        <v>344</v>
      </c>
      <c r="B6757" s="2" t="s">
        <v>47</v>
      </c>
      <c r="C6757" s="2" t="s">
        <v>4085</v>
      </c>
      <c r="D6757" s="11" t="n">
        <v>105629</v>
      </c>
      <c r="E6757" s="31" t="n">
        <v>56.9</v>
      </c>
      <c r="F6757" s="31" t="n">
        <v>77.8</v>
      </c>
      <c r="G6757" s="31" t="n">
        <v>46.7</v>
      </c>
      <c r="H6757" s="2" t="s">
        <v>671</v>
      </c>
    </row>
    <row r="6758" customFormat="false" ht="15" hidden="false" customHeight="false" outlineLevel="0" collapsed="false">
      <c r="A6758" s="2" t="s">
        <v>344</v>
      </c>
      <c r="B6758" s="2" t="s">
        <v>47</v>
      </c>
      <c r="C6758" s="2" t="s">
        <v>4086</v>
      </c>
      <c r="D6758" s="11" t="n">
        <v>109958</v>
      </c>
      <c r="E6758" s="31" t="n">
        <v>70.5</v>
      </c>
      <c r="F6758" s="31" t="n">
        <v>52.8</v>
      </c>
      <c r="G6758" s="31" t="n">
        <v>46.8</v>
      </c>
      <c r="H6758" s="2" t="s">
        <v>671</v>
      </c>
    </row>
    <row r="6759" customFormat="false" ht="15" hidden="false" customHeight="false" outlineLevel="0" collapsed="false">
      <c r="A6759" s="2" t="s">
        <v>344</v>
      </c>
      <c r="B6759" s="2" t="s">
        <v>47</v>
      </c>
      <c r="C6759" s="2" t="s">
        <v>4087</v>
      </c>
      <c r="D6759" s="11" t="n">
        <v>109721</v>
      </c>
      <c r="E6759" s="31" t="n">
        <v>63.3</v>
      </c>
      <c r="F6759" s="31" t="n">
        <v>54.2</v>
      </c>
      <c r="G6759" s="31" t="n">
        <v>31.6</v>
      </c>
      <c r="H6759" s="2" t="s">
        <v>671</v>
      </c>
    </row>
    <row r="6760" customFormat="false" ht="15" hidden="false" customHeight="false" outlineLevel="0" collapsed="false">
      <c r="A6760" s="2" t="s">
        <v>201</v>
      </c>
      <c r="B6760" s="2" t="s">
        <v>4104</v>
      </c>
      <c r="C6760" s="2" t="s">
        <v>4085</v>
      </c>
      <c r="D6760" s="2"/>
      <c r="E6760" s="31" t="n">
        <v>69.2</v>
      </c>
      <c r="F6760" s="31" t="n">
        <v>45.2</v>
      </c>
      <c r="G6760" s="31" t="n">
        <v>61.9</v>
      </c>
      <c r="H6760" s="2" t="s">
        <v>671</v>
      </c>
    </row>
    <row r="6761" customFormat="false" ht="15" hidden="false" customHeight="false" outlineLevel="0" collapsed="false">
      <c r="A6761" s="2" t="s">
        <v>201</v>
      </c>
      <c r="B6761" s="2" t="s">
        <v>4104</v>
      </c>
      <c r="C6761" s="2" t="s">
        <v>4086</v>
      </c>
      <c r="D6761" s="2"/>
      <c r="E6761" s="31" t="n">
        <v>56</v>
      </c>
      <c r="F6761" s="31" t="n">
        <v>59.3</v>
      </c>
      <c r="G6761" s="31" t="n">
        <v>82.6</v>
      </c>
      <c r="H6761" s="2" t="s">
        <v>668</v>
      </c>
    </row>
    <row r="6762" customFormat="false" ht="15" hidden="false" customHeight="false" outlineLevel="0" collapsed="false">
      <c r="A6762" s="2" t="s">
        <v>201</v>
      </c>
      <c r="B6762" s="2" t="s">
        <v>4104</v>
      </c>
      <c r="C6762" s="2" t="s">
        <v>4087</v>
      </c>
      <c r="D6762" s="2"/>
      <c r="E6762" s="31" t="n">
        <v>70.6</v>
      </c>
      <c r="F6762" s="31" t="n">
        <v>54.2</v>
      </c>
      <c r="G6762" s="31" t="n">
        <v>46.8</v>
      </c>
      <c r="H6762" s="2" t="s">
        <v>671</v>
      </c>
    </row>
    <row r="6763" customFormat="false" ht="15" hidden="false" customHeight="false" outlineLevel="0" collapsed="false">
      <c r="A6763" s="2" t="s">
        <v>201</v>
      </c>
      <c r="B6763" s="2" t="s">
        <v>45</v>
      </c>
      <c r="C6763" s="2" t="s">
        <v>4085</v>
      </c>
      <c r="D6763" s="11" t="n">
        <v>35720</v>
      </c>
      <c r="E6763" s="31" t="n">
        <v>93.1</v>
      </c>
      <c r="F6763" s="31" t="n">
        <v>87.6</v>
      </c>
      <c r="G6763" s="31" t="n">
        <v>75.9</v>
      </c>
      <c r="H6763" s="2" t="s">
        <v>671</v>
      </c>
    </row>
    <row r="6764" customFormat="false" ht="15" hidden="false" customHeight="false" outlineLevel="0" collapsed="false">
      <c r="A6764" s="2" t="s">
        <v>201</v>
      </c>
      <c r="B6764" s="2" t="s">
        <v>45</v>
      </c>
      <c r="C6764" s="2" t="s">
        <v>4086</v>
      </c>
      <c r="D6764" s="11" t="n">
        <v>37440</v>
      </c>
      <c r="E6764" s="31" t="n">
        <v>99.1</v>
      </c>
      <c r="F6764" s="31" t="n">
        <v>92.8</v>
      </c>
      <c r="G6764" s="31" t="n">
        <v>80</v>
      </c>
      <c r="H6764" s="2" t="s">
        <v>671</v>
      </c>
    </row>
    <row r="6765" customFormat="false" ht="15" hidden="false" customHeight="false" outlineLevel="0" collapsed="false">
      <c r="A6765" s="2" t="s">
        <v>201</v>
      </c>
      <c r="B6765" s="2" t="s">
        <v>45</v>
      </c>
      <c r="C6765" s="2" t="s">
        <v>4087</v>
      </c>
      <c r="D6765" s="11" t="n">
        <v>38554</v>
      </c>
      <c r="E6765" s="31" t="n">
        <v>81.8</v>
      </c>
      <c r="F6765" s="31" t="n">
        <v>96</v>
      </c>
      <c r="G6765" s="31" t="n">
        <v>32.6</v>
      </c>
      <c r="H6765" s="2" t="s">
        <v>671</v>
      </c>
    </row>
    <row r="6766" customFormat="false" ht="15" hidden="false" customHeight="false" outlineLevel="0" collapsed="false">
      <c r="A6766" s="2" t="s">
        <v>201</v>
      </c>
      <c r="B6766" s="2" t="s">
        <v>46</v>
      </c>
      <c r="C6766" s="2" t="s">
        <v>4085</v>
      </c>
      <c r="D6766" s="11" t="n">
        <v>125903</v>
      </c>
      <c r="E6766" s="31" t="n">
        <v>26</v>
      </c>
      <c r="F6766" s="31" t="n">
        <v>14.7</v>
      </c>
      <c r="G6766" s="31" t="n">
        <v>54.8</v>
      </c>
      <c r="H6766" s="2" t="s">
        <v>671</v>
      </c>
    </row>
    <row r="6767" customFormat="false" ht="15" hidden="false" customHeight="false" outlineLevel="0" collapsed="false">
      <c r="A6767" s="2" t="s">
        <v>201</v>
      </c>
      <c r="B6767" s="2" t="s">
        <v>46</v>
      </c>
      <c r="C6767" s="2" t="s">
        <v>4086</v>
      </c>
      <c r="D6767" s="11" t="n">
        <v>122970</v>
      </c>
      <c r="E6767" s="31" t="n">
        <v>12.8</v>
      </c>
      <c r="F6767" s="31" t="n">
        <v>41.4</v>
      </c>
      <c r="G6767" s="31" t="n">
        <v>85.4</v>
      </c>
      <c r="H6767" s="2" t="s">
        <v>671</v>
      </c>
    </row>
    <row r="6768" customFormat="false" ht="15" hidden="false" customHeight="false" outlineLevel="0" collapsed="false">
      <c r="A6768" s="2" t="s">
        <v>201</v>
      </c>
      <c r="B6768" s="2" t="s">
        <v>46</v>
      </c>
      <c r="C6768" s="2" t="s">
        <v>4087</v>
      </c>
      <c r="D6768" s="11" t="n">
        <v>131260</v>
      </c>
      <c r="E6768" s="31" t="n">
        <v>55.6</v>
      </c>
      <c r="F6768" s="31" t="n">
        <v>27.8</v>
      </c>
      <c r="G6768" s="31" t="n">
        <v>82.4</v>
      </c>
      <c r="H6768" s="2" t="s">
        <v>671</v>
      </c>
    </row>
    <row r="6769" customFormat="false" ht="15" hidden="false" customHeight="false" outlineLevel="0" collapsed="false">
      <c r="A6769" s="2" t="s">
        <v>201</v>
      </c>
      <c r="B6769" s="2" t="s">
        <v>47</v>
      </c>
      <c r="C6769" s="2" t="s">
        <v>4085</v>
      </c>
      <c r="D6769" s="11" t="n">
        <v>3378</v>
      </c>
      <c r="E6769" s="31" t="n">
        <v>88.4</v>
      </c>
      <c r="F6769" s="31" t="n">
        <v>33.3</v>
      </c>
      <c r="G6769" s="31" t="n">
        <v>55</v>
      </c>
      <c r="H6769" s="2" t="s">
        <v>671</v>
      </c>
    </row>
    <row r="6770" customFormat="false" ht="15" hidden="false" customHeight="false" outlineLevel="0" collapsed="false">
      <c r="A6770" s="2" t="s">
        <v>201</v>
      </c>
      <c r="B6770" s="2" t="s">
        <v>47</v>
      </c>
      <c r="C6770" s="2" t="s">
        <v>4086</v>
      </c>
      <c r="D6770" s="11" t="n">
        <v>3406</v>
      </c>
      <c r="E6770" s="2"/>
      <c r="F6770" s="31" t="n">
        <v>43.8</v>
      </c>
      <c r="G6770" s="31" t="n">
        <v>82.4</v>
      </c>
      <c r="H6770" s="2" t="s">
        <v>668</v>
      </c>
    </row>
    <row r="6771" customFormat="false" ht="15" hidden="false" customHeight="false" outlineLevel="0" collapsed="false">
      <c r="A6771" s="2" t="s">
        <v>201</v>
      </c>
      <c r="B6771" s="2" t="s">
        <v>47</v>
      </c>
      <c r="C6771" s="2" t="s">
        <v>4087</v>
      </c>
      <c r="D6771" s="11" t="n">
        <v>3634</v>
      </c>
      <c r="E6771" s="31" t="n">
        <v>74.3</v>
      </c>
      <c r="F6771" s="31" t="n">
        <v>38.7</v>
      </c>
      <c r="G6771" s="31" t="n">
        <v>25.3</v>
      </c>
      <c r="H6771" s="2" t="s">
        <v>671</v>
      </c>
    </row>
    <row r="6772" customFormat="false" ht="15" hidden="false" customHeight="false" outlineLevel="0" collapsed="false">
      <c r="A6772" s="2" t="s">
        <v>330</v>
      </c>
      <c r="B6772" s="2" t="s">
        <v>4104</v>
      </c>
      <c r="C6772" s="2" t="s">
        <v>4085</v>
      </c>
      <c r="D6772" s="2"/>
      <c r="E6772" s="31" t="n">
        <v>41.9</v>
      </c>
      <c r="F6772" s="31" t="n">
        <v>61.1</v>
      </c>
      <c r="G6772" s="31" t="n">
        <v>69.5</v>
      </c>
      <c r="H6772" s="2" t="s">
        <v>671</v>
      </c>
    </row>
    <row r="6773" customFormat="false" ht="15" hidden="false" customHeight="false" outlineLevel="0" collapsed="false">
      <c r="A6773" s="2" t="s">
        <v>330</v>
      </c>
      <c r="B6773" s="2" t="s">
        <v>4104</v>
      </c>
      <c r="C6773" s="2" t="s">
        <v>4086</v>
      </c>
      <c r="D6773" s="2"/>
      <c r="E6773" s="31" t="n">
        <v>38</v>
      </c>
      <c r="F6773" s="31" t="n">
        <v>55.6</v>
      </c>
      <c r="G6773" s="31" t="n">
        <v>28.7</v>
      </c>
      <c r="H6773" s="2" t="s">
        <v>671</v>
      </c>
    </row>
    <row r="6774" customFormat="false" ht="15" hidden="false" customHeight="false" outlineLevel="0" collapsed="false">
      <c r="A6774" s="2" t="s">
        <v>330</v>
      </c>
      <c r="B6774" s="2" t="s">
        <v>4104</v>
      </c>
      <c r="C6774" s="2" t="s">
        <v>4087</v>
      </c>
      <c r="D6774" s="2"/>
      <c r="E6774" s="31" t="n">
        <v>55.4</v>
      </c>
      <c r="F6774" s="31" t="n">
        <v>50</v>
      </c>
      <c r="G6774" s="31" t="n">
        <v>43.9</v>
      </c>
      <c r="H6774" s="2" t="s">
        <v>671</v>
      </c>
    </row>
    <row r="6775" customFormat="false" ht="15" hidden="false" customHeight="false" outlineLevel="0" collapsed="false">
      <c r="A6775" s="2" t="s">
        <v>330</v>
      </c>
      <c r="B6775" s="2" t="s">
        <v>45</v>
      </c>
      <c r="C6775" s="2" t="s">
        <v>4085</v>
      </c>
      <c r="D6775" s="11" t="n">
        <v>24160</v>
      </c>
      <c r="E6775" s="31" t="n">
        <v>30.5</v>
      </c>
      <c r="F6775" s="31" t="n">
        <v>18.2</v>
      </c>
      <c r="G6775" s="31" t="n">
        <v>38.3</v>
      </c>
      <c r="H6775" s="2" t="s">
        <v>671</v>
      </c>
    </row>
    <row r="6776" customFormat="false" ht="15" hidden="false" customHeight="false" outlineLevel="0" collapsed="false">
      <c r="A6776" s="2" t="s">
        <v>330</v>
      </c>
      <c r="B6776" s="2" t="s">
        <v>45</v>
      </c>
      <c r="C6776" s="2" t="s">
        <v>4086</v>
      </c>
      <c r="D6776" s="11" t="n">
        <v>23900</v>
      </c>
      <c r="E6776" s="31" t="n">
        <v>36.9</v>
      </c>
      <c r="F6776" s="31" t="n">
        <v>15.5</v>
      </c>
      <c r="G6776" s="31" t="n">
        <v>67.6</v>
      </c>
      <c r="H6776" s="2" t="s">
        <v>671</v>
      </c>
    </row>
    <row r="6777" customFormat="false" ht="15" hidden="false" customHeight="false" outlineLevel="0" collapsed="false">
      <c r="A6777" s="2" t="s">
        <v>330</v>
      </c>
      <c r="B6777" s="2" t="s">
        <v>45</v>
      </c>
      <c r="C6777" s="2" t="s">
        <v>4087</v>
      </c>
      <c r="D6777" s="11" t="n">
        <v>24200</v>
      </c>
      <c r="E6777" s="31" t="n">
        <v>59.8</v>
      </c>
      <c r="F6777" s="31" t="n">
        <v>1.6</v>
      </c>
      <c r="G6777" s="31" t="n">
        <v>69.6</v>
      </c>
      <c r="H6777" s="2" t="s">
        <v>671</v>
      </c>
    </row>
    <row r="6778" customFormat="false" ht="15" hidden="false" customHeight="false" outlineLevel="0" collapsed="false">
      <c r="A6778" s="2" t="s">
        <v>330</v>
      </c>
      <c r="B6778" s="2" t="s">
        <v>46</v>
      </c>
      <c r="C6778" s="2" t="s">
        <v>4085</v>
      </c>
      <c r="D6778" s="11" t="n">
        <v>309007</v>
      </c>
      <c r="E6778" s="31" t="n">
        <v>66.5</v>
      </c>
      <c r="F6778" s="31" t="n">
        <v>71.8</v>
      </c>
      <c r="G6778" s="31" t="n">
        <v>86.1</v>
      </c>
      <c r="H6778" s="2" t="s">
        <v>671</v>
      </c>
    </row>
    <row r="6779" customFormat="false" ht="15" hidden="false" customHeight="false" outlineLevel="0" collapsed="false">
      <c r="A6779" s="2" t="s">
        <v>330</v>
      </c>
      <c r="B6779" s="2" t="s">
        <v>46</v>
      </c>
      <c r="C6779" s="2" t="s">
        <v>4086</v>
      </c>
      <c r="D6779" s="11" t="n">
        <v>319390</v>
      </c>
      <c r="E6779" s="31" t="n">
        <v>38.9</v>
      </c>
      <c r="F6779" s="31" t="n">
        <v>59.9</v>
      </c>
      <c r="G6779" s="31" t="n">
        <v>12.4</v>
      </c>
      <c r="H6779" s="2" t="s">
        <v>671</v>
      </c>
    </row>
    <row r="6780" customFormat="false" ht="15" hidden="false" customHeight="false" outlineLevel="0" collapsed="false">
      <c r="A6780" s="2" t="s">
        <v>330</v>
      </c>
      <c r="B6780" s="2" t="s">
        <v>46</v>
      </c>
      <c r="C6780" s="2" t="s">
        <v>4087</v>
      </c>
      <c r="D6780" s="11" t="n">
        <v>334890</v>
      </c>
      <c r="E6780" s="31" t="n">
        <v>64.7</v>
      </c>
      <c r="F6780" s="31" t="n">
        <v>63.6</v>
      </c>
      <c r="G6780" s="31" t="n">
        <v>29</v>
      </c>
      <c r="H6780" s="2" t="s">
        <v>671</v>
      </c>
    </row>
    <row r="6781" customFormat="false" ht="15" hidden="false" customHeight="false" outlineLevel="0" collapsed="false">
      <c r="A6781" s="2" t="s">
        <v>330</v>
      </c>
      <c r="B6781" s="2" t="s">
        <v>47</v>
      </c>
      <c r="C6781" s="2" t="s">
        <v>4085</v>
      </c>
      <c r="D6781" s="11" t="n">
        <v>223687</v>
      </c>
      <c r="E6781" s="31" t="n">
        <v>28.7</v>
      </c>
      <c r="F6781" s="31" t="n">
        <v>93.2</v>
      </c>
      <c r="G6781" s="31" t="n">
        <v>84</v>
      </c>
      <c r="H6781" s="2" t="s">
        <v>671</v>
      </c>
    </row>
    <row r="6782" customFormat="false" ht="15" hidden="false" customHeight="false" outlineLevel="0" collapsed="false">
      <c r="A6782" s="2" t="s">
        <v>330</v>
      </c>
      <c r="B6782" s="2" t="s">
        <v>47</v>
      </c>
      <c r="C6782" s="2" t="s">
        <v>4086</v>
      </c>
      <c r="D6782" s="11" t="n">
        <v>239710</v>
      </c>
      <c r="E6782" s="31" t="n">
        <v>38.1</v>
      </c>
      <c r="F6782" s="31" t="n">
        <v>91.3</v>
      </c>
      <c r="G6782" s="31" t="n">
        <v>6.1</v>
      </c>
      <c r="H6782" s="2" t="s">
        <v>671</v>
      </c>
    </row>
    <row r="6783" customFormat="false" ht="15" hidden="false" customHeight="false" outlineLevel="0" collapsed="false">
      <c r="A6783" s="2" t="s">
        <v>330</v>
      </c>
      <c r="B6783" s="2" t="s">
        <v>47</v>
      </c>
      <c r="C6783" s="2" t="s">
        <v>4087</v>
      </c>
      <c r="D6783" s="11" t="n">
        <v>250983</v>
      </c>
      <c r="E6783" s="31" t="n">
        <v>41.8</v>
      </c>
      <c r="F6783" s="31" t="n">
        <v>84.9</v>
      </c>
      <c r="G6783" s="31" t="n">
        <v>33</v>
      </c>
      <c r="H6783" s="2" t="s">
        <v>671</v>
      </c>
    </row>
    <row r="6784" customFormat="false" ht="15" hidden="false" customHeight="false" outlineLevel="0" collapsed="false">
      <c r="A6784" s="2" t="s">
        <v>1864</v>
      </c>
      <c r="B6784" s="2" t="s">
        <v>4104</v>
      </c>
      <c r="C6784" s="2" t="s">
        <v>4085</v>
      </c>
      <c r="D6784" s="2"/>
      <c r="E6784" s="31" t="n">
        <v>35.2</v>
      </c>
      <c r="F6784" s="31" t="n">
        <v>36.6</v>
      </c>
      <c r="G6784" s="31" t="n">
        <v>54.7</v>
      </c>
      <c r="H6784" s="2" t="s">
        <v>668</v>
      </c>
    </row>
    <row r="6785" customFormat="false" ht="15" hidden="false" customHeight="false" outlineLevel="0" collapsed="false">
      <c r="A6785" s="2" t="s">
        <v>1864</v>
      </c>
      <c r="B6785" s="2" t="s">
        <v>4104</v>
      </c>
      <c r="C6785" s="2" t="s">
        <v>4086</v>
      </c>
      <c r="D6785" s="2"/>
      <c r="E6785" s="31" t="n">
        <v>36.6</v>
      </c>
      <c r="F6785" s="31" t="n">
        <v>34.8</v>
      </c>
      <c r="G6785" s="31" t="n">
        <v>34.6</v>
      </c>
      <c r="H6785" s="2" t="s">
        <v>668</v>
      </c>
    </row>
    <row r="6786" customFormat="false" ht="15" hidden="false" customHeight="false" outlineLevel="0" collapsed="false">
      <c r="A6786" s="2" t="s">
        <v>1864</v>
      </c>
      <c r="B6786" s="2" t="s">
        <v>4104</v>
      </c>
      <c r="C6786" s="2" t="s">
        <v>4087</v>
      </c>
      <c r="D6786" s="2"/>
      <c r="E6786" s="31" t="n">
        <v>32.2</v>
      </c>
      <c r="F6786" s="31" t="n">
        <v>18.3</v>
      </c>
      <c r="G6786" s="31" t="n">
        <v>28.4</v>
      </c>
      <c r="H6786" s="2" t="s">
        <v>668</v>
      </c>
    </row>
    <row r="6787" customFormat="false" ht="15" hidden="false" customHeight="false" outlineLevel="0" collapsed="false">
      <c r="A6787" s="2" t="s">
        <v>1864</v>
      </c>
      <c r="B6787" s="2" t="s">
        <v>45</v>
      </c>
      <c r="C6787" s="2" t="s">
        <v>4085</v>
      </c>
      <c r="D6787" s="11" t="n">
        <v>98777</v>
      </c>
      <c r="E6787" s="31" t="n">
        <v>18.8</v>
      </c>
      <c r="F6787" s="31" t="n">
        <v>4</v>
      </c>
      <c r="G6787" s="2"/>
      <c r="H6787" s="2" t="s">
        <v>671</v>
      </c>
    </row>
    <row r="6788" customFormat="false" ht="15" hidden="false" customHeight="false" outlineLevel="0" collapsed="false">
      <c r="A6788" s="2" t="s">
        <v>1864</v>
      </c>
      <c r="B6788" s="2" t="s">
        <v>45</v>
      </c>
      <c r="C6788" s="2" t="s">
        <v>4086</v>
      </c>
      <c r="D6788" s="11" t="n">
        <v>99620</v>
      </c>
      <c r="E6788" s="31" t="n">
        <v>12.9</v>
      </c>
      <c r="F6788" s="31" t="n">
        <v>5.5</v>
      </c>
      <c r="G6788" s="2"/>
      <c r="H6788" s="2" t="s">
        <v>671</v>
      </c>
    </row>
    <row r="6789" customFormat="false" ht="15" hidden="false" customHeight="false" outlineLevel="0" collapsed="false">
      <c r="A6789" s="2" t="s">
        <v>1864</v>
      </c>
      <c r="B6789" s="2" t="s">
        <v>45</v>
      </c>
      <c r="C6789" s="2" t="s">
        <v>4087</v>
      </c>
      <c r="D6789" s="2"/>
      <c r="E6789" s="2"/>
      <c r="F6789" s="2"/>
      <c r="G6789" s="2"/>
      <c r="H6789" s="2" t="s">
        <v>668</v>
      </c>
    </row>
    <row r="6790" customFormat="false" ht="15" hidden="false" customHeight="false" outlineLevel="0" collapsed="false">
      <c r="A6790" s="2" t="s">
        <v>1864</v>
      </c>
      <c r="B6790" s="2" t="s">
        <v>46</v>
      </c>
      <c r="C6790" s="2" t="s">
        <v>4085</v>
      </c>
      <c r="D6790" s="2"/>
      <c r="E6790" s="2"/>
      <c r="F6790" s="2"/>
      <c r="G6790" s="2"/>
      <c r="H6790" s="2" t="s">
        <v>668</v>
      </c>
    </row>
    <row r="6791" customFormat="false" ht="15" hidden="false" customHeight="false" outlineLevel="0" collapsed="false">
      <c r="A6791" s="2" t="s">
        <v>1864</v>
      </c>
      <c r="B6791" s="2" t="s">
        <v>46</v>
      </c>
      <c r="C6791" s="2" t="s">
        <v>4086</v>
      </c>
      <c r="D6791" s="2"/>
      <c r="E6791" s="2"/>
      <c r="F6791" s="2"/>
      <c r="G6791" s="31" t="n">
        <v>25.4</v>
      </c>
      <c r="H6791" s="2" t="s">
        <v>668</v>
      </c>
    </row>
    <row r="6792" customFormat="false" ht="15" hidden="false" customHeight="false" outlineLevel="0" collapsed="false">
      <c r="A6792" s="2" t="s">
        <v>1864</v>
      </c>
      <c r="B6792" s="2" t="s">
        <v>46</v>
      </c>
      <c r="C6792" s="2" t="s">
        <v>4087</v>
      </c>
      <c r="D6792" s="11" t="n">
        <v>46850</v>
      </c>
      <c r="E6792" s="31" t="n">
        <v>18.8</v>
      </c>
      <c r="F6792" s="31" t="n">
        <v>18.3</v>
      </c>
      <c r="G6792" s="31" t="n">
        <v>45.1</v>
      </c>
      <c r="H6792" s="2" t="s">
        <v>671</v>
      </c>
    </row>
    <row r="6793" customFormat="false" ht="15" hidden="false" customHeight="false" outlineLevel="0" collapsed="false">
      <c r="A6793" s="2" t="s">
        <v>1864</v>
      </c>
      <c r="B6793" s="2" t="s">
        <v>47</v>
      </c>
      <c r="C6793" s="2" t="s">
        <v>4085</v>
      </c>
      <c r="D6793" s="11" t="n">
        <v>236901</v>
      </c>
      <c r="E6793" s="31" t="n">
        <v>51.6</v>
      </c>
      <c r="F6793" s="31" t="n">
        <v>69.1</v>
      </c>
      <c r="G6793" s="31" t="n">
        <v>54.7</v>
      </c>
      <c r="H6793" s="2" t="s">
        <v>671</v>
      </c>
    </row>
    <row r="6794" customFormat="false" ht="15" hidden="false" customHeight="false" outlineLevel="0" collapsed="false">
      <c r="A6794" s="2" t="s">
        <v>1864</v>
      </c>
      <c r="B6794" s="2" t="s">
        <v>47</v>
      </c>
      <c r="C6794" s="2" t="s">
        <v>4086</v>
      </c>
      <c r="D6794" s="11" t="n">
        <v>239667</v>
      </c>
      <c r="E6794" s="31" t="n">
        <v>60.3</v>
      </c>
      <c r="F6794" s="31" t="n">
        <v>64</v>
      </c>
      <c r="G6794" s="31" t="n">
        <v>43.9</v>
      </c>
      <c r="H6794" s="2" t="s">
        <v>671</v>
      </c>
    </row>
    <row r="6795" customFormat="false" ht="15" hidden="false" customHeight="false" outlineLevel="0" collapsed="false">
      <c r="A6795" s="2" t="s">
        <v>1864</v>
      </c>
      <c r="B6795" s="2" t="s">
        <v>47</v>
      </c>
      <c r="C6795" s="2" t="s">
        <v>4087</v>
      </c>
      <c r="D6795" s="11" t="n">
        <v>256642</v>
      </c>
      <c r="E6795" s="31" t="n">
        <v>45.6</v>
      </c>
      <c r="F6795" s="2"/>
      <c r="G6795" s="31" t="n">
        <v>11.8</v>
      </c>
      <c r="H6795" s="2" t="s">
        <v>668</v>
      </c>
    </row>
    <row r="6796" customFormat="false" ht="15" hidden="false" customHeight="false" outlineLevel="0" collapsed="false">
      <c r="A6796" s="2" t="s">
        <v>2510</v>
      </c>
      <c r="B6796" s="2" t="s">
        <v>4104</v>
      </c>
      <c r="C6796" s="2" t="s">
        <v>4085</v>
      </c>
      <c r="D6796" s="2"/>
      <c r="E6796" s="31" t="n">
        <v>91.4</v>
      </c>
      <c r="F6796" s="31" t="n">
        <v>72.3</v>
      </c>
      <c r="G6796" s="31" t="n">
        <v>8.2</v>
      </c>
      <c r="H6796" s="2" t="s">
        <v>668</v>
      </c>
    </row>
    <row r="6797" customFormat="false" ht="15" hidden="false" customHeight="false" outlineLevel="0" collapsed="false">
      <c r="A6797" s="2" t="s">
        <v>2510</v>
      </c>
      <c r="B6797" s="2" t="s">
        <v>4104</v>
      </c>
      <c r="C6797" s="2" t="s">
        <v>4086</v>
      </c>
      <c r="D6797" s="2"/>
      <c r="E6797" s="31" t="n">
        <v>50.6</v>
      </c>
      <c r="F6797" s="31" t="n">
        <v>38.8</v>
      </c>
      <c r="G6797" s="31" t="n">
        <v>80.6</v>
      </c>
      <c r="H6797" s="2" t="s">
        <v>668</v>
      </c>
    </row>
    <row r="6798" customFormat="false" ht="15" hidden="false" customHeight="false" outlineLevel="0" collapsed="false">
      <c r="A6798" s="2" t="s">
        <v>2510</v>
      </c>
      <c r="B6798" s="2" t="s">
        <v>4104</v>
      </c>
      <c r="C6798" s="2" t="s">
        <v>4087</v>
      </c>
      <c r="D6798" s="2"/>
      <c r="E6798" s="31" t="n">
        <v>56.6</v>
      </c>
      <c r="F6798" s="31" t="n">
        <v>58.4</v>
      </c>
      <c r="G6798" s="31" t="n">
        <v>60.6</v>
      </c>
      <c r="H6798" s="2" t="s">
        <v>668</v>
      </c>
    </row>
    <row r="6799" customFormat="false" ht="15" hidden="false" customHeight="false" outlineLevel="0" collapsed="false">
      <c r="A6799" s="2" t="s">
        <v>2510</v>
      </c>
      <c r="B6799" s="2" t="s">
        <v>46</v>
      </c>
      <c r="C6799" s="2" t="s">
        <v>4085</v>
      </c>
      <c r="D6799" s="11" t="n">
        <v>19755</v>
      </c>
      <c r="E6799" s="31" t="n">
        <v>91.4</v>
      </c>
      <c r="F6799" s="31" t="n">
        <v>72.3</v>
      </c>
      <c r="G6799" s="31" t="n">
        <v>8.2</v>
      </c>
      <c r="H6799" s="2" t="s">
        <v>671</v>
      </c>
    </row>
    <row r="6800" customFormat="false" ht="15" hidden="false" customHeight="false" outlineLevel="0" collapsed="false">
      <c r="A6800" s="2" t="s">
        <v>2510</v>
      </c>
      <c r="B6800" s="2" t="s">
        <v>46</v>
      </c>
      <c r="C6800" s="2" t="s">
        <v>4086</v>
      </c>
      <c r="D6800" s="11" t="n">
        <v>20640</v>
      </c>
      <c r="E6800" s="31" t="n">
        <v>85.3</v>
      </c>
      <c r="F6800" s="31" t="n">
        <v>63.3</v>
      </c>
      <c r="G6800" s="2"/>
      <c r="H6800" s="2" t="s">
        <v>668</v>
      </c>
    </row>
    <row r="6801" customFormat="false" ht="15" hidden="false" customHeight="false" outlineLevel="0" collapsed="false">
      <c r="A6801" s="2" t="s">
        <v>2510</v>
      </c>
      <c r="B6801" s="2" t="s">
        <v>46</v>
      </c>
      <c r="C6801" s="2" t="s">
        <v>4087</v>
      </c>
      <c r="D6801" s="11" t="n">
        <v>21210</v>
      </c>
      <c r="E6801" s="31" t="n">
        <v>87.5</v>
      </c>
      <c r="F6801" s="31" t="n">
        <v>76.8</v>
      </c>
      <c r="G6801" s="2"/>
      <c r="H6801" s="2" t="s">
        <v>668</v>
      </c>
    </row>
    <row r="6802" customFormat="false" ht="15" hidden="false" customHeight="false" outlineLevel="0" collapsed="false">
      <c r="A6802" s="2" t="s">
        <v>2510</v>
      </c>
      <c r="B6802" s="2" t="s">
        <v>47</v>
      </c>
      <c r="C6802" s="2" t="s">
        <v>4085</v>
      </c>
      <c r="D6802" s="2"/>
      <c r="E6802" s="2"/>
      <c r="F6802" s="2"/>
      <c r="G6802" s="2"/>
      <c r="H6802" s="2" t="s">
        <v>668</v>
      </c>
    </row>
    <row r="6803" customFormat="false" ht="15" hidden="false" customHeight="false" outlineLevel="0" collapsed="false">
      <c r="A6803" s="2" t="s">
        <v>2510</v>
      </c>
      <c r="B6803" s="2" t="s">
        <v>47</v>
      </c>
      <c r="C6803" s="2" t="s">
        <v>4086</v>
      </c>
      <c r="D6803" s="11" t="n">
        <v>1354015</v>
      </c>
      <c r="E6803" s="31" t="n">
        <v>16</v>
      </c>
      <c r="F6803" s="31" t="n">
        <v>14.3</v>
      </c>
      <c r="G6803" s="31" t="n">
        <v>80.6</v>
      </c>
      <c r="H6803" s="2" t="s">
        <v>671</v>
      </c>
    </row>
    <row r="6804" customFormat="false" ht="15" hidden="false" customHeight="false" outlineLevel="0" collapsed="false">
      <c r="A6804" s="2" t="s">
        <v>2510</v>
      </c>
      <c r="B6804" s="2" t="s">
        <v>47</v>
      </c>
      <c r="C6804" s="2" t="s">
        <v>4087</v>
      </c>
      <c r="D6804" s="11" t="n">
        <v>1396088</v>
      </c>
      <c r="E6804" s="31" t="n">
        <v>25.7</v>
      </c>
      <c r="F6804" s="31" t="n">
        <v>40</v>
      </c>
      <c r="G6804" s="31" t="n">
        <v>60.6</v>
      </c>
      <c r="H6804" s="2" t="s">
        <v>671</v>
      </c>
    </row>
    <row r="6805" customFormat="false" ht="15" hidden="false" customHeight="false" outlineLevel="0" collapsed="false">
      <c r="A6805" s="2" t="s">
        <v>1098</v>
      </c>
      <c r="B6805" s="2" t="s">
        <v>4104</v>
      </c>
      <c r="C6805" s="2" t="s">
        <v>4085</v>
      </c>
      <c r="D6805" s="2"/>
      <c r="E6805" s="31" t="n">
        <v>51.5</v>
      </c>
      <c r="F6805" s="31" t="n">
        <v>49.8</v>
      </c>
      <c r="G6805" s="31" t="n">
        <v>64.9</v>
      </c>
      <c r="H6805" s="2" t="s">
        <v>671</v>
      </c>
    </row>
    <row r="6806" customFormat="false" ht="15" hidden="false" customHeight="false" outlineLevel="0" collapsed="false">
      <c r="A6806" s="2" t="s">
        <v>1098</v>
      </c>
      <c r="B6806" s="2" t="s">
        <v>4104</v>
      </c>
      <c r="C6806" s="2" t="s">
        <v>4086</v>
      </c>
      <c r="D6806" s="2"/>
      <c r="E6806" s="31" t="n">
        <v>64.7</v>
      </c>
      <c r="F6806" s="31" t="n">
        <v>82.4</v>
      </c>
      <c r="G6806" s="31" t="n">
        <v>45.7</v>
      </c>
      <c r="H6806" s="2" t="s">
        <v>668</v>
      </c>
    </row>
    <row r="6807" customFormat="false" ht="15" hidden="false" customHeight="false" outlineLevel="0" collapsed="false">
      <c r="A6807" s="2" t="s">
        <v>1098</v>
      </c>
      <c r="B6807" s="2" t="s">
        <v>4104</v>
      </c>
      <c r="C6807" s="2" t="s">
        <v>4087</v>
      </c>
      <c r="D6807" s="2"/>
      <c r="E6807" s="31" t="n">
        <v>62.4</v>
      </c>
      <c r="F6807" s="31" t="n">
        <v>39.2</v>
      </c>
      <c r="G6807" s="31" t="n">
        <v>66.6</v>
      </c>
      <c r="H6807" s="2" t="s">
        <v>668</v>
      </c>
    </row>
    <row r="6808" customFormat="false" ht="15" hidden="false" customHeight="false" outlineLevel="0" collapsed="false">
      <c r="A6808" s="2" t="s">
        <v>1098</v>
      </c>
      <c r="B6808" s="2" t="s">
        <v>45</v>
      </c>
      <c r="C6808" s="2" t="s">
        <v>4085</v>
      </c>
      <c r="D6808" s="11" t="n">
        <v>1217424</v>
      </c>
      <c r="E6808" s="31" t="n">
        <v>23.1</v>
      </c>
      <c r="F6808" s="31" t="n">
        <v>64.3</v>
      </c>
      <c r="G6808" s="31" t="n">
        <v>63.4</v>
      </c>
      <c r="H6808" s="2" t="s">
        <v>671</v>
      </c>
    </row>
    <row r="6809" customFormat="false" ht="15" hidden="false" customHeight="false" outlineLevel="0" collapsed="false">
      <c r="A6809" s="2" t="s">
        <v>1098</v>
      </c>
      <c r="B6809" s="2" t="s">
        <v>45</v>
      </c>
      <c r="C6809" s="2" t="s">
        <v>4086</v>
      </c>
      <c r="D6809" s="11" t="n">
        <v>1226483</v>
      </c>
      <c r="E6809" s="31" t="n">
        <v>80.5</v>
      </c>
      <c r="F6809" s="31" t="n">
        <v>82.4</v>
      </c>
      <c r="G6809" s="31" t="n">
        <v>32.4</v>
      </c>
      <c r="H6809" s="2" t="s">
        <v>671</v>
      </c>
    </row>
    <row r="6810" customFormat="false" ht="15" hidden="false" customHeight="false" outlineLevel="0" collapsed="false">
      <c r="A6810" s="2" t="s">
        <v>1098</v>
      </c>
      <c r="B6810" s="2" t="s">
        <v>45</v>
      </c>
      <c r="C6810" s="2" t="s">
        <v>4087</v>
      </c>
      <c r="D6810" s="11" t="n">
        <v>1308790</v>
      </c>
      <c r="E6810" s="31" t="n">
        <v>42.3</v>
      </c>
      <c r="F6810" s="31" t="n">
        <v>25</v>
      </c>
      <c r="G6810" s="31" t="n">
        <v>42.3</v>
      </c>
      <c r="H6810" s="2" t="s">
        <v>671</v>
      </c>
    </row>
    <row r="6811" customFormat="false" ht="15" hidden="false" customHeight="false" outlineLevel="0" collapsed="false">
      <c r="A6811" s="2" t="s">
        <v>1098</v>
      </c>
      <c r="B6811" s="2" t="s">
        <v>46</v>
      </c>
      <c r="C6811" s="2" t="s">
        <v>4085</v>
      </c>
      <c r="D6811" s="11" t="n">
        <v>28190</v>
      </c>
      <c r="E6811" s="31" t="n">
        <v>63.6</v>
      </c>
      <c r="F6811" s="31" t="n">
        <v>16.1</v>
      </c>
      <c r="G6811" s="31" t="n">
        <v>74.9</v>
      </c>
      <c r="H6811" s="2" t="s">
        <v>671</v>
      </c>
    </row>
    <row r="6812" customFormat="false" ht="15" hidden="false" customHeight="false" outlineLevel="0" collapsed="false">
      <c r="A6812" s="2" t="s">
        <v>1098</v>
      </c>
      <c r="B6812" s="2" t="s">
        <v>46</v>
      </c>
      <c r="C6812" s="2" t="s">
        <v>4086</v>
      </c>
      <c r="D6812" s="11" t="n">
        <v>28520</v>
      </c>
      <c r="E6812" s="31" t="n">
        <v>48.9</v>
      </c>
      <c r="F6812" s="2"/>
      <c r="G6812" s="31" t="n">
        <v>28.7</v>
      </c>
      <c r="H6812" s="2" t="s">
        <v>668</v>
      </c>
    </row>
    <row r="6813" customFormat="false" ht="15" hidden="false" customHeight="false" outlineLevel="0" collapsed="false">
      <c r="A6813" s="2" t="s">
        <v>1098</v>
      </c>
      <c r="B6813" s="2" t="s">
        <v>46</v>
      </c>
      <c r="C6813" s="2" t="s">
        <v>4087</v>
      </c>
      <c r="D6813" s="2"/>
      <c r="E6813" s="2"/>
      <c r="F6813" s="2"/>
      <c r="G6813" s="2"/>
      <c r="H6813" s="2" t="s">
        <v>668</v>
      </c>
    </row>
    <row r="6814" customFormat="false" ht="15" hidden="false" customHeight="false" outlineLevel="0" collapsed="false">
      <c r="A6814" s="2" t="s">
        <v>1098</v>
      </c>
      <c r="B6814" s="2" t="s">
        <v>47</v>
      </c>
      <c r="C6814" s="2" t="s">
        <v>4085</v>
      </c>
      <c r="D6814" s="11" t="n">
        <v>6218</v>
      </c>
      <c r="E6814" s="31" t="n">
        <v>67.8</v>
      </c>
      <c r="F6814" s="31" t="n">
        <v>68.9</v>
      </c>
      <c r="G6814" s="31" t="n">
        <v>56.3</v>
      </c>
      <c r="H6814" s="2" t="s">
        <v>671</v>
      </c>
    </row>
    <row r="6815" customFormat="false" ht="15" hidden="false" customHeight="false" outlineLevel="0" collapsed="false">
      <c r="A6815" s="2" t="s">
        <v>1098</v>
      </c>
      <c r="B6815" s="2" t="s">
        <v>47</v>
      </c>
      <c r="C6815" s="2" t="s">
        <v>4086</v>
      </c>
      <c r="D6815" s="2"/>
      <c r="E6815" s="2"/>
      <c r="F6815" s="2"/>
      <c r="G6815" s="31" t="n">
        <v>76</v>
      </c>
      <c r="H6815" s="2" t="s">
        <v>668</v>
      </c>
    </row>
    <row r="6816" customFormat="false" ht="15" hidden="false" customHeight="false" outlineLevel="0" collapsed="false">
      <c r="A6816" s="2" t="s">
        <v>1098</v>
      </c>
      <c r="B6816" s="2" t="s">
        <v>47</v>
      </c>
      <c r="C6816" s="2" t="s">
        <v>4087</v>
      </c>
      <c r="D6816" s="11" t="n">
        <v>6772</v>
      </c>
      <c r="E6816" s="31" t="n">
        <v>82.5</v>
      </c>
      <c r="F6816" s="31" t="n">
        <v>53.3</v>
      </c>
      <c r="G6816" s="31" t="n">
        <v>90.9</v>
      </c>
      <c r="H6816" s="2" t="s">
        <v>671</v>
      </c>
    </row>
    <row r="6817" customFormat="false" ht="15" hidden="false" customHeight="false" outlineLevel="0" collapsed="false">
      <c r="A6817" s="2" t="s">
        <v>630</v>
      </c>
      <c r="B6817" s="2" t="s">
        <v>4104</v>
      </c>
      <c r="C6817" s="2" t="s">
        <v>4085</v>
      </c>
      <c r="D6817" s="2"/>
      <c r="E6817" s="31" t="n">
        <v>6.8</v>
      </c>
      <c r="F6817" s="31" t="n">
        <v>86.5</v>
      </c>
      <c r="G6817" s="31" t="n">
        <v>33.6</v>
      </c>
      <c r="H6817" s="2" t="s">
        <v>671</v>
      </c>
    </row>
    <row r="6818" customFormat="false" ht="15" hidden="false" customHeight="false" outlineLevel="0" collapsed="false">
      <c r="A6818" s="2" t="s">
        <v>630</v>
      </c>
      <c r="B6818" s="2" t="s">
        <v>4104</v>
      </c>
      <c r="C6818" s="2" t="s">
        <v>4086</v>
      </c>
      <c r="D6818" s="2"/>
      <c r="E6818" s="31" t="n">
        <v>14.1</v>
      </c>
      <c r="F6818" s="31" t="n">
        <v>94.3</v>
      </c>
      <c r="G6818" s="31" t="n">
        <v>22.1</v>
      </c>
      <c r="H6818" s="2" t="s">
        <v>671</v>
      </c>
    </row>
    <row r="6819" customFormat="false" ht="15" hidden="false" customHeight="false" outlineLevel="0" collapsed="false">
      <c r="A6819" s="2" t="s">
        <v>630</v>
      </c>
      <c r="B6819" s="2" t="s">
        <v>4104</v>
      </c>
      <c r="C6819" s="2" t="s">
        <v>4087</v>
      </c>
      <c r="D6819" s="2"/>
      <c r="E6819" s="31" t="n">
        <v>10.1</v>
      </c>
      <c r="F6819" s="31" t="n">
        <v>83.4</v>
      </c>
      <c r="G6819" s="31" t="n">
        <v>11.7</v>
      </c>
      <c r="H6819" s="2" t="s">
        <v>671</v>
      </c>
    </row>
    <row r="6820" customFormat="false" ht="15" hidden="false" customHeight="false" outlineLevel="0" collapsed="false">
      <c r="A6820" s="2" t="s">
        <v>630</v>
      </c>
      <c r="B6820" s="2" t="s">
        <v>46</v>
      </c>
      <c r="C6820" s="2" t="s">
        <v>4085</v>
      </c>
      <c r="D6820" s="11" t="n">
        <v>244110</v>
      </c>
      <c r="E6820" s="31" t="n">
        <v>6.8</v>
      </c>
      <c r="F6820" s="31" t="n">
        <v>86.5</v>
      </c>
      <c r="G6820" s="31" t="n">
        <v>33.6</v>
      </c>
      <c r="H6820" s="2" t="s">
        <v>671</v>
      </c>
    </row>
    <row r="6821" customFormat="false" ht="15" hidden="false" customHeight="false" outlineLevel="0" collapsed="false">
      <c r="A6821" s="2" t="s">
        <v>630</v>
      </c>
      <c r="B6821" s="2" t="s">
        <v>46</v>
      </c>
      <c r="C6821" s="2" t="s">
        <v>4086</v>
      </c>
      <c r="D6821" s="11" t="n">
        <v>262310</v>
      </c>
      <c r="E6821" s="31" t="n">
        <v>14.1</v>
      </c>
      <c r="F6821" s="31" t="n">
        <v>94.3</v>
      </c>
      <c r="G6821" s="31" t="n">
        <v>22.1</v>
      </c>
      <c r="H6821" s="2" t="s">
        <v>671</v>
      </c>
    </row>
    <row r="6822" customFormat="false" ht="15" hidden="false" customHeight="false" outlineLevel="0" collapsed="false">
      <c r="A6822" s="2" t="s">
        <v>630</v>
      </c>
      <c r="B6822" s="2" t="s">
        <v>46</v>
      </c>
      <c r="C6822" s="2" t="s">
        <v>4087</v>
      </c>
      <c r="D6822" s="11" t="n">
        <v>278658</v>
      </c>
      <c r="E6822" s="31" t="n">
        <v>10.1</v>
      </c>
      <c r="F6822" s="31" t="n">
        <v>83.4</v>
      </c>
      <c r="G6822" s="31" t="n">
        <v>11.7</v>
      </c>
      <c r="H6822" s="2" t="s">
        <v>671</v>
      </c>
    </row>
    <row r="6823" customFormat="false" ht="15" hidden="false" customHeight="false" outlineLevel="0" collapsed="false">
      <c r="A6823" s="2" t="s">
        <v>185</v>
      </c>
      <c r="B6823" s="2" t="s">
        <v>4104</v>
      </c>
      <c r="C6823" s="2" t="s">
        <v>4085</v>
      </c>
      <c r="D6823" s="2"/>
      <c r="E6823" s="31" t="n">
        <v>58.5</v>
      </c>
      <c r="F6823" s="31" t="n">
        <v>49.2</v>
      </c>
      <c r="G6823" s="31" t="n">
        <v>35.4</v>
      </c>
      <c r="H6823" s="2" t="s">
        <v>671</v>
      </c>
    </row>
    <row r="6824" customFormat="false" ht="15" hidden="false" customHeight="false" outlineLevel="0" collapsed="false">
      <c r="A6824" s="2" t="s">
        <v>185</v>
      </c>
      <c r="B6824" s="2" t="s">
        <v>4104</v>
      </c>
      <c r="C6824" s="2" t="s">
        <v>4086</v>
      </c>
      <c r="D6824" s="2"/>
      <c r="E6824" s="31" t="n">
        <v>73.5</v>
      </c>
      <c r="F6824" s="31" t="n">
        <v>37.5</v>
      </c>
      <c r="G6824" s="31" t="n">
        <v>40.2</v>
      </c>
      <c r="H6824" s="2" t="s">
        <v>668</v>
      </c>
    </row>
    <row r="6825" customFormat="false" ht="15" hidden="false" customHeight="false" outlineLevel="0" collapsed="false">
      <c r="A6825" s="2" t="s">
        <v>185</v>
      </c>
      <c r="B6825" s="2" t="s">
        <v>4104</v>
      </c>
      <c r="C6825" s="2" t="s">
        <v>4087</v>
      </c>
      <c r="D6825" s="2"/>
      <c r="E6825" s="31" t="n">
        <v>73.6</v>
      </c>
      <c r="F6825" s="31" t="n">
        <v>44.9</v>
      </c>
      <c r="G6825" s="31" t="n">
        <v>50.2</v>
      </c>
      <c r="H6825" s="2" t="s">
        <v>671</v>
      </c>
    </row>
    <row r="6826" customFormat="false" ht="15" hidden="false" customHeight="false" outlineLevel="0" collapsed="false">
      <c r="A6826" s="2" t="s">
        <v>185</v>
      </c>
      <c r="B6826" s="2" t="s">
        <v>45</v>
      </c>
      <c r="C6826" s="2" t="s">
        <v>4085</v>
      </c>
      <c r="D6826" s="11" t="n">
        <v>21760</v>
      </c>
      <c r="E6826" s="31" t="n">
        <v>75.2</v>
      </c>
      <c r="F6826" s="31" t="n">
        <v>90.9</v>
      </c>
      <c r="G6826" s="31" t="n">
        <v>60.5</v>
      </c>
      <c r="H6826" s="2" t="s">
        <v>671</v>
      </c>
    </row>
    <row r="6827" customFormat="false" ht="15" hidden="false" customHeight="false" outlineLevel="0" collapsed="false">
      <c r="A6827" s="2" t="s">
        <v>185</v>
      </c>
      <c r="B6827" s="2" t="s">
        <v>45</v>
      </c>
      <c r="C6827" s="2" t="s">
        <v>4086</v>
      </c>
      <c r="D6827" s="11" t="n">
        <v>22710</v>
      </c>
      <c r="E6827" s="31" t="n">
        <v>85.3</v>
      </c>
      <c r="F6827" s="31" t="n">
        <v>39.2</v>
      </c>
      <c r="G6827" s="31" t="n">
        <v>46.4</v>
      </c>
      <c r="H6827" s="2" t="s">
        <v>671</v>
      </c>
    </row>
    <row r="6828" customFormat="false" ht="15" hidden="false" customHeight="false" outlineLevel="0" collapsed="false">
      <c r="A6828" s="2" t="s">
        <v>185</v>
      </c>
      <c r="B6828" s="2" t="s">
        <v>45</v>
      </c>
      <c r="C6828" s="2" t="s">
        <v>4087</v>
      </c>
      <c r="D6828" s="11" t="n">
        <v>23570</v>
      </c>
      <c r="E6828" s="31" t="n">
        <v>93.4</v>
      </c>
      <c r="F6828" s="31" t="n">
        <v>65.9</v>
      </c>
      <c r="G6828" s="31" t="n">
        <v>59.9</v>
      </c>
      <c r="H6828" s="2" t="s">
        <v>671</v>
      </c>
    </row>
    <row r="6829" customFormat="false" ht="15" hidden="false" customHeight="false" outlineLevel="0" collapsed="false">
      <c r="A6829" s="2" t="s">
        <v>185</v>
      </c>
      <c r="B6829" s="2" t="s">
        <v>46</v>
      </c>
      <c r="C6829" s="2" t="s">
        <v>4085</v>
      </c>
      <c r="D6829" s="11" t="n">
        <v>13120</v>
      </c>
      <c r="E6829" s="31" t="n">
        <v>13.5</v>
      </c>
      <c r="F6829" s="31" t="n">
        <v>40.1</v>
      </c>
      <c r="G6829" s="31" t="n">
        <v>15.1</v>
      </c>
      <c r="H6829" s="2" t="s">
        <v>671</v>
      </c>
    </row>
    <row r="6830" customFormat="false" ht="15" hidden="false" customHeight="false" outlineLevel="0" collapsed="false">
      <c r="A6830" s="2" t="s">
        <v>185</v>
      </c>
      <c r="B6830" s="2" t="s">
        <v>46</v>
      </c>
      <c r="C6830" s="2" t="s">
        <v>4086</v>
      </c>
      <c r="D6830" s="11" t="n">
        <v>7920</v>
      </c>
      <c r="E6830" s="31" t="n">
        <v>53.4</v>
      </c>
      <c r="F6830" s="31" t="n">
        <v>35.8</v>
      </c>
      <c r="G6830" s="31" t="n">
        <v>45.9</v>
      </c>
      <c r="H6830" s="2" t="s">
        <v>671</v>
      </c>
    </row>
    <row r="6831" customFormat="false" ht="15" hidden="false" customHeight="false" outlineLevel="0" collapsed="false">
      <c r="A6831" s="2" t="s">
        <v>185</v>
      </c>
      <c r="B6831" s="2" t="s">
        <v>46</v>
      </c>
      <c r="C6831" s="2" t="s">
        <v>4087</v>
      </c>
      <c r="D6831" s="11" t="n">
        <v>8240</v>
      </c>
      <c r="E6831" s="31" t="n">
        <v>37.6</v>
      </c>
      <c r="F6831" s="31" t="n">
        <v>50</v>
      </c>
      <c r="G6831" s="31" t="n">
        <v>73.8</v>
      </c>
      <c r="H6831" s="2" t="s">
        <v>671</v>
      </c>
    </row>
    <row r="6832" customFormat="false" ht="15" hidden="false" customHeight="false" outlineLevel="0" collapsed="false">
      <c r="A6832" s="2" t="s">
        <v>185</v>
      </c>
      <c r="B6832" s="2" t="s">
        <v>47</v>
      </c>
      <c r="C6832" s="2" t="s">
        <v>4085</v>
      </c>
      <c r="D6832" s="11" t="n">
        <v>8985</v>
      </c>
      <c r="E6832" s="31" t="n">
        <v>86.9</v>
      </c>
      <c r="F6832" s="31" t="n">
        <v>16.7</v>
      </c>
      <c r="G6832" s="31" t="n">
        <v>30.5</v>
      </c>
      <c r="H6832" s="2" t="s">
        <v>671</v>
      </c>
    </row>
    <row r="6833" customFormat="false" ht="15" hidden="false" customHeight="false" outlineLevel="0" collapsed="false">
      <c r="A6833" s="2" t="s">
        <v>185</v>
      </c>
      <c r="B6833" s="2" t="s">
        <v>47</v>
      </c>
      <c r="C6833" s="2" t="s">
        <v>4086</v>
      </c>
      <c r="D6833" s="11" t="n">
        <v>9230</v>
      </c>
      <c r="E6833" s="31" t="n">
        <v>81.8</v>
      </c>
      <c r="F6833" s="2"/>
      <c r="G6833" s="31" t="n">
        <v>28.3</v>
      </c>
      <c r="H6833" s="2" t="s">
        <v>668</v>
      </c>
    </row>
    <row r="6834" customFormat="false" ht="15" hidden="false" customHeight="false" outlineLevel="0" collapsed="false">
      <c r="A6834" s="2" t="s">
        <v>185</v>
      </c>
      <c r="B6834" s="2" t="s">
        <v>47</v>
      </c>
      <c r="C6834" s="2" t="s">
        <v>4087</v>
      </c>
      <c r="D6834" s="11" t="n">
        <v>9294</v>
      </c>
      <c r="E6834" s="31" t="n">
        <v>89.7</v>
      </c>
      <c r="F6834" s="31" t="n">
        <v>18.7</v>
      </c>
      <c r="G6834" s="31" t="n">
        <v>16.8</v>
      </c>
      <c r="H6834" s="2" t="s">
        <v>671</v>
      </c>
    </row>
    <row r="6835" customFormat="false" ht="15" hidden="false" customHeight="false" outlineLevel="0" collapsed="false">
      <c r="A6835" s="2" t="s">
        <v>1439</v>
      </c>
      <c r="B6835" s="2" t="s">
        <v>4104</v>
      </c>
      <c r="C6835" s="2" t="s">
        <v>4085</v>
      </c>
      <c r="D6835" s="2"/>
      <c r="E6835" s="31" t="n">
        <v>52</v>
      </c>
      <c r="F6835" s="31" t="n">
        <v>21.1</v>
      </c>
      <c r="G6835" s="31" t="n">
        <v>43.9</v>
      </c>
      <c r="H6835" s="2" t="s">
        <v>668</v>
      </c>
    </row>
    <row r="6836" customFormat="false" ht="15" hidden="false" customHeight="false" outlineLevel="0" collapsed="false">
      <c r="A6836" s="2" t="s">
        <v>1439</v>
      </c>
      <c r="B6836" s="2" t="s">
        <v>4104</v>
      </c>
      <c r="C6836" s="2" t="s">
        <v>4086</v>
      </c>
      <c r="D6836" s="2"/>
      <c r="E6836" s="31" t="n">
        <v>49.9</v>
      </c>
      <c r="F6836" s="31" t="n">
        <v>6.1</v>
      </c>
      <c r="G6836" s="31" t="n">
        <v>55.5</v>
      </c>
      <c r="H6836" s="2" t="s">
        <v>671</v>
      </c>
    </row>
    <row r="6837" customFormat="false" ht="15" hidden="false" customHeight="false" outlineLevel="0" collapsed="false">
      <c r="A6837" s="2" t="s">
        <v>1439</v>
      </c>
      <c r="B6837" s="2" t="s">
        <v>4104</v>
      </c>
      <c r="C6837" s="2" t="s">
        <v>4087</v>
      </c>
      <c r="D6837" s="2"/>
      <c r="E6837" s="31" t="n">
        <v>71.5</v>
      </c>
      <c r="F6837" s="31" t="n">
        <v>20.5</v>
      </c>
      <c r="G6837" s="31" t="n">
        <v>52.8</v>
      </c>
      <c r="H6837" s="2" t="s">
        <v>668</v>
      </c>
    </row>
    <row r="6838" customFormat="false" ht="15" hidden="false" customHeight="false" outlineLevel="0" collapsed="false">
      <c r="A6838" s="2" t="s">
        <v>1439</v>
      </c>
      <c r="B6838" s="2" t="s">
        <v>45</v>
      </c>
      <c r="C6838" s="2" t="s">
        <v>4085</v>
      </c>
      <c r="D6838" s="11" t="n">
        <v>19429</v>
      </c>
      <c r="E6838" s="31" t="n">
        <v>28.7</v>
      </c>
      <c r="F6838" s="31" t="n">
        <v>35.8</v>
      </c>
      <c r="G6838" s="31" t="n">
        <v>35.4</v>
      </c>
      <c r="H6838" s="2" t="s">
        <v>671</v>
      </c>
    </row>
    <row r="6839" customFormat="false" ht="15" hidden="false" customHeight="false" outlineLevel="0" collapsed="false">
      <c r="A6839" s="2" t="s">
        <v>1439</v>
      </c>
      <c r="B6839" s="2" t="s">
        <v>45</v>
      </c>
      <c r="C6839" s="2" t="s">
        <v>4086</v>
      </c>
      <c r="D6839" s="11" t="n">
        <v>18930</v>
      </c>
      <c r="E6839" s="31" t="n">
        <v>42.9</v>
      </c>
      <c r="F6839" s="31" t="n">
        <v>4.8</v>
      </c>
      <c r="G6839" s="31" t="n">
        <v>7</v>
      </c>
      <c r="H6839" s="2" t="s">
        <v>671</v>
      </c>
    </row>
    <row r="6840" customFormat="false" ht="15" hidden="false" customHeight="false" outlineLevel="0" collapsed="false">
      <c r="A6840" s="2" t="s">
        <v>1439</v>
      </c>
      <c r="B6840" s="2" t="s">
        <v>45</v>
      </c>
      <c r="C6840" s="2" t="s">
        <v>4087</v>
      </c>
      <c r="D6840" s="2"/>
      <c r="E6840" s="2"/>
      <c r="F6840" s="2"/>
      <c r="G6840" s="31" t="n">
        <v>20.2</v>
      </c>
      <c r="H6840" s="2" t="s">
        <v>668</v>
      </c>
    </row>
    <row r="6841" customFormat="false" ht="15" hidden="false" customHeight="false" outlineLevel="0" collapsed="false">
      <c r="A6841" s="2" t="s">
        <v>1439</v>
      </c>
      <c r="B6841" s="2" t="s">
        <v>46</v>
      </c>
      <c r="C6841" s="2" t="s">
        <v>4085</v>
      </c>
      <c r="D6841" s="11" t="n">
        <v>209080</v>
      </c>
      <c r="E6841" s="31" t="n">
        <v>75.3</v>
      </c>
      <c r="F6841" s="31" t="n">
        <v>6.4</v>
      </c>
      <c r="G6841" s="31" t="n">
        <v>55.9</v>
      </c>
      <c r="H6841" s="2" t="s">
        <v>671</v>
      </c>
    </row>
    <row r="6842" customFormat="false" ht="15" hidden="false" customHeight="false" outlineLevel="0" collapsed="false">
      <c r="A6842" s="2" t="s">
        <v>1439</v>
      </c>
      <c r="B6842" s="2" t="s">
        <v>46</v>
      </c>
      <c r="C6842" s="2" t="s">
        <v>4086</v>
      </c>
      <c r="D6842" s="11" t="n">
        <v>201270</v>
      </c>
      <c r="E6842" s="31" t="n">
        <v>27.5</v>
      </c>
      <c r="F6842" s="31" t="n">
        <v>1.9</v>
      </c>
      <c r="G6842" s="31" t="n">
        <v>75.7</v>
      </c>
      <c r="H6842" s="2" t="s">
        <v>671</v>
      </c>
    </row>
    <row r="6843" customFormat="false" ht="15" hidden="false" customHeight="false" outlineLevel="0" collapsed="false">
      <c r="A6843" s="2" t="s">
        <v>1439</v>
      </c>
      <c r="B6843" s="2" t="s">
        <v>46</v>
      </c>
      <c r="C6843" s="2" t="s">
        <v>4087</v>
      </c>
      <c r="D6843" s="11" t="n">
        <v>201666</v>
      </c>
      <c r="E6843" s="31" t="n">
        <v>90.3</v>
      </c>
      <c r="F6843" s="31" t="n">
        <v>1.3</v>
      </c>
      <c r="G6843" s="31" t="n">
        <v>70.7</v>
      </c>
      <c r="H6843" s="2" t="s">
        <v>671</v>
      </c>
    </row>
    <row r="6844" customFormat="false" ht="15" hidden="false" customHeight="false" outlineLevel="0" collapsed="false">
      <c r="A6844" s="2" t="s">
        <v>1439</v>
      </c>
      <c r="B6844" s="2" t="s">
        <v>47</v>
      </c>
      <c r="C6844" s="2" t="s">
        <v>4085</v>
      </c>
      <c r="D6844" s="2"/>
      <c r="E6844" s="2"/>
      <c r="F6844" s="2"/>
      <c r="G6844" s="31" t="n">
        <v>40.4</v>
      </c>
      <c r="H6844" s="2" t="s">
        <v>668</v>
      </c>
    </row>
    <row r="6845" customFormat="false" ht="15" hidden="false" customHeight="false" outlineLevel="0" collapsed="false">
      <c r="A6845" s="2" t="s">
        <v>1439</v>
      </c>
      <c r="B6845" s="2" t="s">
        <v>47</v>
      </c>
      <c r="C6845" s="2" t="s">
        <v>4086</v>
      </c>
      <c r="D6845" s="11" t="n">
        <v>60435</v>
      </c>
      <c r="E6845" s="31" t="n">
        <v>79.2</v>
      </c>
      <c r="F6845" s="31" t="n">
        <v>11.7</v>
      </c>
      <c r="G6845" s="31" t="n">
        <v>83.7</v>
      </c>
      <c r="H6845" s="2" t="s">
        <v>671</v>
      </c>
    </row>
    <row r="6846" customFormat="false" ht="15" hidden="false" customHeight="false" outlineLevel="0" collapsed="false">
      <c r="A6846" s="2" t="s">
        <v>1439</v>
      </c>
      <c r="B6846" s="2" t="s">
        <v>47</v>
      </c>
      <c r="C6846" s="2" t="s">
        <v>4087</v>
      </c>
      <c r="D6846" s="11" t="n">
        <v>60771</v>
      </c>
      <c r="E6846" s="31" t="n">
        <v>52.7</v>
      </c>
      <c r="F6846" s="31" t="n">
        <v>39.7</v>
      </c>
      <c r="G6846" s="31" t="n">
        <v>67.4</v>
      </c>
      <c r="H6846" s="2" t="s">
        <v>671</v>
      </c>
    </row>
    <row r="6847" customFormat="false" ht="15" hidden="false" customHeight="false" outlineLevel="0" collapsed="false">
      <c r="A6847" s="2" t="s">
        <v>1535</v>
      </c>
      <c r="B6847" s="2" t="s">
        <v>4104</v>
      </c>
      <c r="C6847" s="2" t="s">
        <v>4085</v>
      </c>
      <c r="D6847" s="2"/>
      <c r="E6847" s="31" t="n">
        <v>61.8</v>
      </c>
      <c r="F6847" s="31" t="n">
        <v>35.4</v>
      </c>
      <c r="G6847" s="31" t="n">
        <v>45.3</v>
      </c>
      <c r="H6847" s="2" t="s">
        <v>671</v>
      </c>
    </row>
    <row r="6848" customFormat="false" ht="15" hidden="false" customHeight="false" outlineLevel="0" collapsed="false">
      <c r="A6848" s="2" t="s">
        <v>1535</v>
      </c>
      <c r="B6848" s="2" t="s">
        <v>4104</v>
      </c>
      <c r="C6848" s="2" t="s">
        <v>4086</v>
      </c>
      <c r="D6848" s="2"/>
      <c r="E6848" s="31" t="n">
        <v>53.2</v>
      </c>
      <c r="F6848" s="31" t="n">
        <v>39.4</v>
      </c>
      <c r="G6848" s="31" t="n">
        <v>40.6</v>
      </c>
      <c r="H6848" s="2" t="s">
        <v>668</v>
      </c>
    </row>
    <row r="6849" customFormat="false" ht="15" hidden="false" customHeight="false" outlineLevel="0" collapsed="false">
      <c r="A6849" s="2" t="s">
        <v>1535</v>
      </c>
      <c r="B6849" s="2" t="s">
        <v>4104</v>
      </c>
      <c r="C6849" s="2" t="s">
        <v>4087</v>
      </c>
      <c r="D6849" s="2"/>
      <c r="E6849" s="31" t="n">
        <v>57</v>
      </c>
      <c r="F6849" s="31" t="n">
        <v>60.1</v>
      </c>
      <c r="G6849" s="31" t="n">
        <v>31.6</v>
      </c>
      <c r="H6849" s="2" t="s">
        <v>668</v>
      </c>
    </row>
    <row r="6850" customFormat="false" ht="15" hidden="false" customHeight="false" outlineLevel="0" collapsed="false">
      <c r="A6850" s="2" t="s">
        <v>1535</v>
      </c>
      <c r="B6850" s="2" t="s">
        <v>45</v>
      </c>
      <c r="C6850" s="2" t="s">
        <v>4085</v>
      </c>
      <c r="D6850" s="11" t="n">
        <v>188180</v>
      </c>
      <c r="E6850" s="31" t="n">
        <v>59.2</v>
      </c>
      <c r="F6850" s="31" t="n">
        <v>16.4</v>
      </c>
      <c r="G6850" s="31" t="n">
        <v>91.2</v>
      </c>
      <c r="H6850" s="2" t="s">
        <v>671</v>
      </c>
    </row>
    <row r="6851" customFormat="false" ht="15" hidden="false" customHeight="false" outlineLevel="0" collapsed="false">
      <c r="A6851" s="2" t="s">
        <v>1535</v>
      </c>
      <c r="B6851" s="2" t="s">
        <v>45</v>
      </c>
      <c r="C6851" s="2" t="s">
        <v>4086</v>
      </c>
      <c r="D6851" s="11" t="n">
        <v>192297</v>
      </c>
      <c r="E6851" s="31" t="n">
        <v>70.3</v>
      </c>
      <c r="F6851" s="31" t="n">
        <v>19.3</v>
      </c>
      <c r="G6851" s="2"/>
      <c r="H6851" s="2" t="s">
        <v>668</v>
      </c>
    </row>
    <row r="6852" customFormat="false" ht="15" hidden="false" customHeight="false" outlineLevel="0" collapsed="false">
      <c r="A6852" s="2" t="s">
        <v>1535</v>
      </c>
      <c r="B6852" s="2" t="s">
        <v>45</v>
      </c>
      <c r="C6852" s="2" t="s">
        <v>4087</v>
      </c>
      <c r="D6852" s="2"/>
      <c r="E6852" s="2"/>
      <c r="F6852" s="2"/>
      <c r="G6852" s="2"/>
      <c r="H6852" s="2" t="s">
        <v>668</v>
      </c>
    </row>
    <row r="6853" customFormat="false" ht="15" hidden="false" customHeight="false" outlineLevel="0" collapsed="false">
      <c r="A6853" s="2" t="s">
        <v>1535</v>
      </c>
      <c r="B6853" s="2" t="s">
        <v>46</v>
      </c>
      <c r="C6853" s="2" t="s">
        <v>4085</v>
      </c>
      <c r="D6853" s="11" t="n">
        <v>4780</v>
      </c>
      <c r="E6853" s="31" t="n">
        <v>89.2</v>
      </c>
      <c r="F6853" s="31" t="n">
        <v>28.1</v>
      </c>
      <c r="G6853" s="31" t="n">
        <v>31.7</v>
      </c>
      <c r="H6853" s="2" t="s">
        <v>671</v>
      </c>
    </row>
    <row r="6854" customFormat="false" ht="15" hidden="false" customHeight="false" outlineLevel="0" collapsed="false">
      <c r="A6854" s="2" t="s">
        <v>1535</v>
      </c>
      <c r="B6854" s="2" t="s">
        <v>46</v>
      </c>
      <c r="C6854" s="2" t="s">
        <v>4086</v>
      </c>
      <c r="D6854" s="11" t="n">
        <v>4900</v>
      </c>
      <c r="E6854" s="31" t="n">
        <v>73.1</v>
      </c>
      <c r="F6854" s="2"/>
      <c r="G6854" s="31" t="n">
        <v>51.2</v>
      </c>
      <c r="H6854" s="2" t="s">
        <v>668</v>
      </c>
    </row>
    <row r="6855" customFormat="false" ht="15" hidden="false" customHeight="false" outlineLevel="0" collapsed="false">
      <c r="A6855" s="2" t="s">
        <v>1535</v>
      </c>
      <c r="B6855" s="2" t="s">
        <v>46</v>
      </c>
      <c r="C6855" s="2" t="s">
        <v>4087</v>
      </c>
      <c r="D6855" s="11" t="n">
        <v>5100</v>
      </c>
      <c r="E6855" s="31" t="n">
        <v>75.9</v>
      </c>
      <c r="F6855" s="31" t="n">
        <v>52.1</v>
      </c>
      <c r="G6855" s="31" t="n">
        <v>21.5</v>
      </c>
      <c r="H6855" s="2" t="s">
        <v>671</v>
      </c>
    </row>
    <row r="6856" customFormat="false" ht="15" hidden="false" customHeight="false" outlineLevel="0" collapsed="false">
      <c r="A6856" s="2" t="s">
        <v>1535</v>
      </c>
      <c r="B6856" s="2" t="s">
        <v>47</v>
      </c>
      <c r="C6856" s="2" t="s">
        <v>4085</v>
      </c>
      <c r="D6856" s="11" t="n">
        <v>129654</v>
      </c>
      <c r="E6856" s="31" t="n">
        <v>36.9</v>
      </c>
      <c r="F6856" s="31" t="n">
        <v>61.7</v>
      </c>
      <c r="G6856" s="31" t="n">
        <v>13.1</v>
      </c>
      <c r="H6856" s="2" t="s">
        <v>671</v>
      </c>
    </row>
    <row r="6857" customFormat="false" ht="15" hidden="false" customHeight="false" outlineLevel="0" collapsed="false">
      <c r="A6857" s="2" t="s">
        <v>1535</v>
      </c>
      <c r="B6857" s="2" t="s">
        <v>47</v>
      </c>
      <c r="C6857" s="2" t="s">
        <v>4086</v>
      </c>
      <c r="D6857" s="11" t="n">
        <v>135110</v>
      </c>
      <c r="E6857" s="31" t="n">
        <v>16.2</v>
      </c>
      <c r="F6857" s="31" t="n">
        <v>59.6</v>
      </c>
      <c r="G6857" s="31" t="n">
        <v>29.9</v>
      </c>
      <c r="H6857" s="2" t="s">
        <v>671</v>
      </c>
    </row>
    <row r="6858" customFormat="false" ht="15" hidden="false" customHeight="false" outlineLevel="0" collapsed="false">
      <c r="A6858" s="2" t="s">
        <v>1535</v>
      </c>
      <c r="B6858" s="2" t="s">
        <v>47</v>
      </c>
      <c r="C6858" s="2" t="s">
        <v>4087</v>
      </c>
      <c r="D6858" s="11" t="n">
        <v>138016</v>
      </c>
      <c r="E6858" s="31" t="n">
        <v>38</v>
      </c>
      <c r="F6858" s="31" t="n">
        <v>68.1</v>
      </c>
      <c r="G6858" s="31" t="n">
        <v>41.7</v>
      </c>
      <c r="H6858" s="2" t="s">
        <v>671</v>
      </c>
    </row>
    <row r="6859" customFormat="false" ht="15" hidden="false" customHeight="false" outlineLevel="0" collapsed="false">
      <c r="A6859" s="2" t="s">
        <v>340</v>
      </c>
      <c r="B6859" s="2" t="s">
        <v>4104</v>
      </c>
      <c r="C6859" s="2" t="s">
        <v>4087</v>
      </c>
      <c r="D6859" s="2"/>
      <c r="E6859" s="31" t="n">
        <v>53.4</v>
      </c>
      <c r="F6859" s="31" t="n">
        <v>40.1</v>
      </c>
      <c r="G6859" s="31" t="n">
        <v>87.6</v>
      </c>
      <c r="H6859" s="2" t="s">
        <v>671</v>
      </c>
    </row>
    <row r="6860" customFormat="false" ht="15" hidden="false" customHeight="false" outlineLevel="0" collapsed="false">
      <c r="A6860" s="2" t="s">
        <v>340</v>
      </c>
      <c r="B6860" s="2" t="s">
        <v>45</v>
      </c>
      <c r="C6860" s="2" t="s">
        <v>4087</v>
      </c>
      <c r="D6860" s="11" t="n">
        <v>73750</v>
      </c>
      <c r="E6860" s="31" t="n">
        <v>55.6</v>
      </c>
      <c r="F6860" s="31" t="n">
        <v>90.5</v>
      </c>
      <c r="G6860" s="31" t="n">
        <v>87.8</v>
      </c>
      <c r="H6860" s="2" t="s">
        <v>671</v>
      </c>
    </row>
    <row r="6861" customFormat="false" ht="15" hidden="false" customHeight="false" outlineLevel="0" collapsed="false">
      <c r="A6861" s="2" t="s">
        <v>340</v>
      </c>
      <c r="B6861" s="2" t="s">
        <v>46</v>
      </c>
      <c r="C6861" s="2" t="s">
        <v>4087</v>
      </c>
      <c r="D6861" s="11" t="n">
        <v>9623</v>
      </c>
      <c r="E6861" s="31" t="n">
        <v>33</v>
      </c>
      <c r="F6861" s="31" t="n">
        <v>27.1</v>
      </c>
      <c r="G6861" s="31" t="n">
        <v>95.1</v>
      </c>
      <c r="H6861" s="2" t="s">
        <v>671</v>
      </c>
    </row>
    <row r="6862" customFormat="false" ht="15" hidden="false" customHeight="false" outlineLevel="0" collapsed="false">
      <c r="A6862" s="2" t="s">
        <v>340</v>
      </c>
      <c r="B6862" s="2" t="s">
        <v>47</v>
      </c>
      <c r="C6862" s="2" t="s">
        <v>4087</v>
      </c>
      <c r="D6862" s="11" t="n">
        <v>8604</v>
      </c>
      <c r="E6862" s="31" t="n">
        <v>71.5</v>
      </c>
      <c r="F6862" s="31" t="n">
        <v>2.7</v>
      </c>
      <c r="G6862" s="31" t="n">
        <v>79.8</v>
      </c>
      <c r="H6862" s="2" t="s">
        <v>671</v>
      </c>
    </row>
    <row r="6863" customFormat="false" ht="15" hidden="false" customHeight="false" outlineLevel="0" collapsed="false">
      <c r="A6863" s="2" t="s">
        <v>3119</v>
      </c>
      <c r="B6863" s="2" t="s">
        <v>4104</v>
      </c>
      <c r="C6863" s="2" t="s">
        <v>4085</v>
      </c>
      <c r="D6863" s="2"/>
      <c r="E6863" s="31" t="n">
        <v>1.4</v>
      </c>
      <c r="F6863" s="31" t="n">
        <v>61.4</v>
      </c>
      <c r="G6863" s="31" t="n">
        <v>15.5</v>
      </c>
      <c r="H6863" s="2" t="s">
        <v>671</v>
      </c>
    </row>
    <row r="6864" customFormat="false" ht="15" hidden="false" customHeight="false" outlineLevel="0" collapsed="false">
      <c r="A6864" s="2" t="s">
        <v>3119</v>
      </c>
      <c r="B6864" s="2" t="s">
        <v>4104</v>
      </c>
      <c r="C6864" s="2" t="s">
        <v>4086</v>
      </c>
      <c r="D6864" s="2"/>
      <c r="E6864" s="31" t="n">
        <v>2.5</v>
      </c>
      <c r="F6864" s="31" t="n">
        <v>46.8</v>
      </c>
      <c r="G6864" s="31" t="n">
        <v>40.7</v>
      </c>
      <c r="H6864" s="2" t="s">
        <v>671</v>
      </c>
    </row>
    <row r="6865" customFormat="false" ht="15" hidden="false" customHeight="false" outlineLevel="0" collapsed="false">
      <c r="A6865" s="2" t="s">
        <v>3119</v>
      </c>
      <c r="B6865" s="2" t="s">
        <v>4104</v>
      </c>
      <c r="C6865" s="2" t="s">
        <v>4087</v>
      </c>
      <c r="D6865" s="2"/>
      <c r="E6865" s="31" t="n">
        <v>8.6</v>
      </c>
      <c r="F6865" s="31" t="n">
        <v>57.8</v>
      </c>
      <c r="G6865" s="2"/>
      <c r="H6865" s="2" t="s">
        <v>668</v>
      </c>
    </row>
    <row r="6866" customFormat="false" ht="15" hidden="false" customHeight="false" outlineLevel="0" collapsed="false">
      <c r="A6866" s="2" t="s">
        <v>3119</v>
      </c>
      <c r="B6866" s="2" t="s">
        <v>47</v>
      </c>
      <c r="C6866" s="2" t="s">
        <v>4085</v>
      </c>
      <c r="D6866" s="11" t="n">
        <v>33435</v>
      </c>
      <c r="E6866" s="31" t="n">
        <v>1.4</v>
      </c>
      <c r="F6866" s="31" t="n">
        <v>61.4</v>
      </c>
      <c r="G6866" s="31" t="n">
        <v>15.5</v>
      </c>
      <c r="H6866" s="2" t="s">
        <v>671</v>
      </c>
    </row>
    <row r="6867" customFormat="false" ht="15" hidden="false" customHeight="false" outlineLevel="0" collapsed="false">
      <c r="A6867" s="2" t="s">
        <v>3119</v>
      </c>
      <c r="B6867" s="2" t="s">
        <v>47</v>
      </c>
      <c r="C6867" s="2" t="s">
        <v>4086</v>
      </c>
      <c r="D6867" s="11" t="n">
        <v>35200</v>
      </c>
      <c r="E6867" s="31" t="n">
        <v>2.5</v>
      </c>
      <c r="F6867" s="31" t="n">
        <v>46.8</v>
      </c>
      <c r="G6867" s="31" t="n">
        <v>40.7</v>
      </c>
      <c r="H6867" s="2" t="s">
        <v>671</v>
      </c>
    </row>
    <row r="6868" customFormat="false" ht="15" hidden="false" customHeight="false" outlineLevel="0" collapsed="false">
      <c r="A6868" s="2" t="s">
        <v>3119</v>
      </c>
      <c r="B6868" s="2" t="s">
        <v>47</v>
      </c>
      <c r="C6868" s="2" t="s">
        <v>4087</v>
      </c>
      <c r="D6868" s="11" t="n">
        <v>36989</v>
      </c>
      <c r="E6868" s="31" t="n">
        <v>8.6</v>
      </c>
      <c r="F6868" s="31" t="n">
        <v>57.8</v>
      </c>
      <c r="G6868" s="2"/>
      <c r="H6868" s="2" t="s">
        <v>668</v>
      </c>
    </row>
    <row r="6869" customFormat="false" ht="15" hidden="false" customHeight="false" outlineLevel="0" collapsed="false">
      <c r="A6869" s="2" t="s">
        <v>2425</v>
      </c>
      <c r="B6869" s="2" t="s">
        <v>4104</v>
      </c>
      <c r="C6869" s="2" t="s">
        <v>4085</v>
      </c>
      <c r="D6869" s="2"/>
      <c r="E6869" s="31" t="n">
        <v>21</v>
      </c>
      <c r="F6869" s="31" t="n">
        <v>81</v>
      </c>
      <c r="G6869" s="31" t="n">
        <v>37.5</v>
      </c>
      <c r="H6869" s="2" t="s">
        <v>671</v>
      </c>
    </row>
    <row r="6870" customFormat="false" ht="15" hidden="false" customHeight="false" outlineLevel="0" collapsed="false">
      <c r="A6870" s="2" t="s">
        <v>2425</v>
      </c>
      <c r="B6870" s="2" t="s">
        <v>4104</v>
      </c>
      <c r="C6870" s="2" t="s">
        <v>4086</v>
      </c>
      <c r="D6870" s="2"/>
      <c r="E6870" s="31" t="n">
        <v>31.4</v>
      </c>
      <c r="F6870" s="31" t="n">
        <v>52.6</v>
      </c>
      <c r="G6870" s="31" t="n">
        <v>58.4</v>
      </c>
      <c r="H6870" s="2" t="s">
        <v>671</v>
      </c>
    </row>
    <row r="6871" customFormat="false" ht="15" hidden="false" customHeight="false" outlineLevel="0" collapsed="false">
      <c r="A6871" s="2" t="s">
        <v>2425</v>
      </c>
      <c r="B6871" s="2" t="s">
        <v>4104</v>
      </c>
      <c r="C6871" s="2" t="s">
        <v>4087</v>
      </c>
      <c r="D6871" s="2"/>
      <c r="E6871" s="31" t="n">
        <v>28</v>
      </c>
      <c r="F6871" s="31" t="n">
        <v>68.6</v>
      </c>
      <c r="G6871" s="31" t="n">
        <v>20.4</v>
      </c>
      <c r="H6871" s="2" t="s">
        <v>668</v>
      </c>
    </row>
    <row r="6872" customFormat="false" ht="15" hidden="false" customHeight="false" outlineLevel="0" collapsed="false">
      <c r="A6872" s="2" t="s">
        <v>2425</v>
      </c>
      <c r="B6872" s="2" t="s">
        <v>45</v>
      </c>
      <c r="C6872" s="2" t="s">
        <v>4085</v>
      </c>
      <c r="D6872" s="11" t="n">
        <v>296288</v>
      </c>
      <c r="E6872" s="31" t="n">
        <v>7.4</v>
      </c>
      <c r="F6872" s="31" t="n">
        <v>83.6</v>
      </c>
      <c r="G6872" s="31" t="n">
        <v>54.9</v>
      </c>
      <c r="H6872" s="2" t="s">
        <v>671</v>
      </c>
    </row>
    <row r="6873" customFormat="false" ht="15" hidden="false" customHeight="false" outlineLevel="0" collapsed="false">
      <c r="A6873" s="2" t="s">
        <v>2425</v>
      </c>
      <c r="B6873" s="2" t="s">
        <v>45</v>
      </c>
      <c r="C6873" s="2" t="s">
        <v>4086</v>
      </c>
      <c r="D6873" s="11" t="n">
        <v>317500</v>
      </c>
      <c r="E6873" s="31" t="n">
        <v>5.3</v>
      </c>
      <c r="F6873" s="31" t="n">
        <v>77.1</v>
      </c>
      <c r="G6873" s="31" t="n">
        <v>83</v>
      </c>
      <c r="H6873" s="2" t="s">
        <v>671</v>
      </c>
    </row>
    <row r="6874" customFormat="false" ht="15" hidden="false" customHeight="false" outlineLevel="0" collapsed="false">
      <c r="A6874" s="2" t="s">
        <v>2425</v>
      </c>
      <c r="B6874" s="2" t="s">
        <v>45</v>
      </c>
      <c r="C6874" s="2" t="s">
        <v>4087</v>
      </c>
      <c r="D6874" s="11" t="n">
        <v>341020</v>
      </c>
      <c r="E6874" s="31" t="n">
        <v>20.7</v>
      </c>
      <c r="F6874" s="31" t="n">
        <v>95.7</v>
      </c>
      <c r="G6874" s="2"/>
      <c r="H6874" s="2" t="s">
        <v>668</v>
      </c>
    </row>
    <row r="6875" customFormat="false" ht="15" hidden="false" customHeight="false" outlineLevel="0" collapsed="false">
      <c r="A6875" s="2" t="s">
        <v>2425</v>
      </c>
      <c r="B6875" s="2" t="s">
        <v>47</v>
      </c>
      <c r="C6875" s="2" t="s">
        <v>4085</v>
      </c>
      <c r="D6875" s="11" t="n">
        <v>191842</v>
      </c>
      <c r="E6875" s="31" t="n">
        <v>34.6</v>
      </c>
      <c r="F6875" s="31" t="n">
        <v>78.4</v>
      </c>
      <c r="G6875" s="31" t="n">
        <v>20.1</v>
      </c>
      <c r="H6875" s="2" t="s">
        <v>671</v>
      </c>
    </row>
    <row r="6876" customFormat="false" ht="15" hidden="false" customHeight="false" outlineLevel="0" collapsed="false">
      <c r="A6876" s="2" t="s">
        <v>2425</v>
      </c>
      <c r="B6876" s="2" t="s">
        <v>47</v>
      </c>
      <c r="C6876" s="2" t="s">
        <v>4086</v>
      </c>
      <c r="D6876" s="11" t="n">
        <v>194060</v>
      </c>
      <c r="E6876" s="31" t="n">
        <v>57.5</v>
      </c>
      <c r="F6876" s="31" t="n">
        <v>28</v>
      </c>
      <c r="G6876" s="31" t="n">
        <v>33.7</v>
      </c>
      <c r="H6876" s="2" t="s">
        <v>671</v>
      </c>
    </row>
    <row r="6877" customFormat="false" ht="15" hidden="false" customHeight="false" outlineLevel="0" collapsed="false">
      <c r="A6877" s="2" t="s">
        <v>2425</v>
      </c>
      <c r="B6877" s="2" t="s">
        <v>47</v>
      </c>
      <c r="C6877" s="2" t="s">
        <v>4087</v>
      </c>
      <c r="D6877" s="11" t="n">
        <v>205616</v>
      </c>
      <c r="E6877" s="31" t="n">
        <v>35.2</v>
      </c>
      <c r="F6877" s="31" t="n">
        <v>41.6</v>
      </c>
      <c r="G6877" s="31" t="n">
        <v>20.4</v>
      </c>
      <c r="H6877" s="2" t="s">
        <v>671</v>
      </c>
    </row>
    <row r="6878" customFormat="false" ht="15" hidden="false" customHeight="false" outlineLevel="0" collapsed="false">
      <c r="A6878" s="2" t="s">
        <v>744</v>
      </c>
      <c r="B6878" s="2" t="s">
        <v>4104</v>
      </c>
      <c r="C6878" s="2" t="s">
        <v>4085</v>
      </c>
      <c r="D6878" s="2"/>
      <c r="E6878" s="31" t="n">
        <v>44</v>
      </c>
      <c r="F6878" s="31" t="n">
        <v>70.8</v>
      </c>
      <c r="G6878" s="31" t="n">
        <v>81.2</v>
      </c>
      <c r="H6878" s="2" t="s">
        <v>668</v>
      </c>
    </row>
    <row r="6879" customFormat="false" ht="15" hidden="false" customHeight="false" outlineLevel="0" collapsed="false">
      <c r="A6879" s="2" t="s">
        <v>744</v>
      </c>
      <c r="B6879" s="2" t="s">
        <v>4104</v>
      </c>
      <c r="C6879" s="2" t="s">
        <v>4086</v>
      </c>
      <c r="D6879" s="2"/>
      <c r="E6879" s="31" t="n">
        <v>59.1</v>
      </c>
      <c r="F6879" s="31" t="n">
        <v>80.1</v>
      </c>
      <c r="G6879" s="31" t="n">
        <v>66.2</v>
      </c>
      <c r="H6879" s="2" t="s">
        <v>671</v>
      </c>
    </row>
    <row r="6880" customFormat="false" ht="15" hidden="false" customHeight="false" outlineLevel="0" collapsed="false">
      <c r="A6880" s="2" t="s">
        <v>744</v>
      </c>
      <c r="B6880" s="2" t="s">
        <v>4104</v>
      </c>
      <c r="C6880" s="2" t="s">
        <v>4087</v>
      </c>
      <c r="D6880" s="2"/>
      <c r="E6880" s="31" t="n">
        <v>64.8</v>
      </c>
      <c r="F6880" s="31" t="n">
        <v>82.4</v>
      </c>
      <c r="G6880" s="31" t="n">
        <v>97.5</v>
      </c>
      <c r="H6880" s="2" t="s">
        <v>668</v>
      </c>
    </row>
    <row r="6881" customFormat="false" ht="15" hidden="false" customHeight="false" outlineLevel="0" collapsed="false">
      <c r="A6881" s="2" t="s">
        <v>744</v>
      </c>
      <c r="B6881" s="2" t="s">
        <v>45</v>
      </c>
      <c r="C6881" s="2" t="s">
        <v>4085</v>
      </c>
      <c r="D6881" s="11" t="n">
        <v>57650</v>
      </c>
      <c r="E6881" s="31" t="n">
        <v>60.9</v>
      </c>
      <c r="F6881" s="31" t="n">
        <v>65.3</v>
      </c>
      <c r="G6881" s="31" t="n">
        <v>81.2</v>
      </c>
      <c r="H6881" s="2" t="s">
        <v>671</v>
      </c>
    </row>
    <row r="6882" customFormat="false" ht="15" hidden="false" customHeight="false" outlineLevel="0" collapsed="false">
      <c r="A6882" s="2" t="s">
        <v>744</v>
      </c>
      <c r="B6882" s="2" t="s">
        <v>45</v>
      </c>
      <c r="C6882" s="2" t="s">
        <v>4086</v>
      </c>
      <c r="D6882" s="11" t="n">
        <v>59870</v>
      </c>
      <c r="E6882" s="31" t="n">
        <v>88.3</v>
      </c>
      <c r="F6882" s="31" t="n">
        <v>71.1</v>
      </c>
      <c r="G6882" s="31" t="n">
        <v>87.9</v>
      </c>
      <c r="H6882" s="2" t="s">
        <v>671</v>
      </c>
    </row>
    <row r="6883" customFormat="false" ht="15" hidden="false" customHeight="false" outlineLevel="0" collapsed="false">
      <c r="A6883" s="2" t="s">
        <v>744</v>
      </c>
      <c r="B6883" s="2" t="s">
        <v>45</v>
      </c>
      <c r="C6883" s="2" t="s">
        <v>4087</v>
      </c>
      <c r="D6883" s="11" t="n">
        <v>62685</v>
      </c>
      <c r="E6883" s="31" t="n">
        <v>90.4</v>
      </c>
      <c r="F6883" s="31" t="n">
        <v>72.6</v>
      </c>
      <c r="G6883" s="31" t="n">
        <v>97.5</v>
      </c>
      <c r="H6883" s="2" t="s">
        <v>671</v>
      </c>
    </row>
    <row r="6884" customFormat="false" ht="15" hidden="false" customHeight="false" outlineLevel="0" collapsed="false">
      <c r="A6884" s="2" t="s">
        <v>744</v>
      </c>
      <c r="B6884" s="2" t="s">
        <v>46</v>
      </c>
      <c r="C6884" s="2" t="s">
        <v>4085</v>
      </c>
      <c r="D6884" s="11" t="n">
        <v>69739</v>
      </c>
      <c r="E6884" s="31" t="n">
        <v>27.2</v>
      </c>
      <c r="F6884" s="31" t="n">
        <v>76.4</v>
      </c>
      <c r="G6884" s="2"/>
      <c r="H6884" s="2" t="s">
        <v>668</v>
      </c>
    </row>
    <row r="6885" customFormat="false" ht="15" hidden="false" customHeight="false" outlineLevel="0" collapsed="false">
      <c r="A6885" s="2" t="s">
        <v>744</v>
      </c>
      <c r="B6885" s="2" t="s">
        <v>46</v>
      </c>
      <c r="C6885" s="2" t="s">
        <v>4086</v>
      </c>
      <c r="D6885" s="11" t="n">
        <v>74060</v>
      </c>
      <c r="E6885" s="31" t="n">
        <v>29.9</v>
      </c>
      <c r="F6885" s="31" t="n">
        <v>89.1</v>
      </c>
      <c r="G6885" s="31" t="n">
        <v>44.6</v>
      </c>
      <c r="H6885" s="2" t="s">
        <v>671</v>
      </c>
    </row>
    <row r="6886" customFormat="false" ht="15" hidden="false" customHeight="false" outlineLevel="0" collapsed="false">
      <c r="A6886" s="2" t="s">
        <v>744</v>
      </c>
      <c r="B6886" s="2" t="s">
        <v>46</v>
      </c>
      <c r="C6886" s="2" t="s">
        <v>4087</v>
      </c>
      <c r="D6886" s="11" t="n">
        <v>78250</v>
      </c>
      <c r="E6886" s="31" t="n">
        <v>39.3</v>
      </c>
      <c r="F6886" s="31" t="n">
        <v>92.1</v>
      </c>
      <c r="G6886" s="2"/>
      <c r="H6886" s="2" t="s">
        <v>668</v>
      </c>
    </row>
    <row r="6887" customFormat="false" ht="15" hidden="false" customHeight="false" outlineLevel="0" collapsed="false">
      <c r="A6887" s="2" t="s">
        <v>2038</v>
      </c>
      <c r="B6887" s="2" t="s">
        <v>4104</v>
      </c>
      <c r="C6887" s="2" t="s">
        <v>4085</v>
      </c>
      <c r="D6887" s="2"/>
      <c r="E6887" s="31" t="n">
        <v>76</v>
      </c>
      <c r="F6887" s="31" t="n">
        <v>89.3</v>
      </c>
      <c r="G6887" s="31" t="n">
        <v>45</v>
      </c>
      <c r="H6887" s="2" t="s">
        <v>671</v>
      </c>
    </row>
    <row r="6888" customFormat="false" ht="15" hidden="false" customHeight="false" outlineLevel="0" collapsed="false">
      <c r="A6888" s="2" t="s">
        <v>2038</v>
      </c>
      <c r="B6888" s="2" t="s">
        <v>4104</v>
      </c>
      <c r="C6888" s="2" t="s">
        <v>4086</v>
      </c>
      <c r="D6888" s="2"/>
      <c r="E6888" s="31" t="n">
        <v>68</v>
      </c>
      <c r="F6888" s="31" t="n">
        <v>83.4</v>
      </c>
      <c r="G6888" s="31" t="n">
        <v>44.2</v>
      </c>
      <c r="H6888" s="2" t="s">
        <v>671</v>
      </c>
    </row>
    <row r="6889" customFormat="false" ht="15" hidden="false" customHeight="false" outlineLevel="0" collapsed="false">
      <c r="A6889" s="2" t="s">
        <v>2038</v>
      </c>
      <c r="B6889" s="2" t="s">
        <v>4104</v>
      </c>
      <c r="C6889" s="2" t="s">
        <v>4087</v>
      </c>
      <c r="D6889" s="2"/>
      <c r="E6889" s="31" t="n">
        <v>86.2</v>
      </c>
      <c r="F6889" s="31" t="n">
        <v>84</v>
      </c>
      <c r="G6889" s="31" t="n">
        <v>15.8</v>
      </c>
      <c r="H6889" s="2" t="s">
        <v>668</v>
      </c>
    </row>
    <row r="6890" customFormat="false" ht="15" hidden="false" customHeight="false" outlineLevel="0" collapsed="false">
      <c r="A6890" s="2" t="s">
        <v>2038</v>
      </c>
      <c r="B6890" s="2" t="s">
        <v>46</v>
      </c>
      <c r="C6890" s="2" t="s">
        <v>4085</v>
      </c>
      <c r="D6890" s="11" t="n">
        <v>4574</v>
      </c>
      <c r="E6890" s="31" t="n">
        <v>58.5</v>
      </c>
      <c r="F6890" s="31" t="n">
        <v>84.2</v>
      </c>
      <c r="G6890" s="31" t="n">
        <v>79</v>
      </c>
      <c r="H6890" s="2" t="s">
        <v>671</v>
      </c>
    </row>
    <row r="6891" customFormat="false" ht="15" hidden="false" customHeight="false" outlineLevel="0" collapsed="false">
      <c r="A6891" s="2" t="s">
        <v>2038</v>
      </c>
      <c r="B6891" s="2" t="s">
        <v>46</v>
      </c>
      <c r="C6891" s="2" t="s">
        <v>4086</v>
      </c>
      <c r="D6891" s="11" t="n">
        <v>4750</v>
      </c>
      <c r="E6891" s="31" t="n">
        <v>61.9</v>
      </c>
      <c r="F6891" s="31" t="n">
        <v>69.8</v>
      </c>
      <c r="G6891" s="31" t="n">
        <v>74.2</v>
      </c>
      <c r="H6891" s="2" t="s">
        <v>671</v>
      </c>
    </row>
    <row r="6892" customFormat="false" ht="15" hidden="false" customHeight="false" outlineLevel="0" collapsed="false">
      <c r="A6892" s="2" t="s">
        <v>2038</v>
      </c>
      <c r="B6892" s="2" t="s">
        <v>46</v>
      </c>
      <c r="C6892" s="2" t="s">
        <v>4087</v>
      </c>
      <c r="D6892" s="11" t="n">
        <v>5020</v>
      </c>
      <c r="E6892" s="31" t="n">
        <v>83.1</v>
      </c>
      <c r="F6892" s="31" t="n">
        <v>83.3</v>
      </c>
      <c r="G6892" s="2"/>
      <c r="H6892" s="2" t="s">
        <v>668</v>
      </c>
    </row>
    <row r="6893" customFormat="false" ht="15" hidden="false" customHeight="false" outlineLevel="0" collapsed="false">
      <c r="A6893" s="2" t="s">
        <v>2038</v>
      </c>
      <c r="B6893" s="2" t="s">
        <v>47</v>
      </c>
      <c r="C6893" s="2" t="s">
        <v>4085</v>
      </c>
      <c r="D6893" s="11" t="n">
        <v>27770</v>
      </c>
      <c r="E6893" s="31" t="n">
        <v>93.6</v>
      </c>
      <c r="F6893" s="31" t="n">
        <v>94.4</v>
      </c>
      <c r="G6893" s="31" t="n">
        <v>10.9</v>
      </c>
      <c r="H6893" s="2" t="s">
        <v>671</v>
      </c>
    </row>
    <row r="6894" customFormat="false" ht="15" hidden="false" customHeight="false" outlineLevel="0" collapsed="false">
      <c r="A6894" s="2" t="s">
        <v>2038</v>
      </c>
      <c r="B6894" s="2" t="s">
        <v>47</v>
      </c>
      <c r="C6894" s="2" t="s">
        <v>4086</v>
      </c>
      <c r="D6894" s="11" t="n">
        <v>29392</v>
      </c>
      <c r="E6894" s="31" t="n">
        <v>74.1</v>
      </c>
      <c r="F6894" s="31" t="n">
        <v>97.1</v>
      </c>
      <c r="G6894" s="31" t="n">
        <v>14.2</v>
      </c>
      <c r="H6894" s="2" t="s">
        <v>671</v>
      </c>
    </row>
    <row r="6895" customFormat="false" ht="15" hidden="false" customHeight="false" outlineLevel="0" collapsed="false">
      <c r="A6895" s="2" t="s">
        <v>2038</v>
      </c>
      <c r="B6895" s="2" t="s">
        <v>47</v>
      </c>
      <c r="C6895" s="2" t="s">
        <v>4087</v>
      </c>
      <c r="D6895" s="11" t="n">
        <v>31907</v>
      </c>
      <c r="E6895" s="31" t="n">
        <v>89.4</v>
      </c>
      <c r="F6895" s="31" t="n">
        <v>84.8</v>
      </c>
      <c r="G6895" s="31" t="n">
        <v>15.8</v>
      </c>
      <c r="H6895" s="2" t="s">
        <v>671</v>
      </c>
    </row>
    <row r="6896" customFormat="false" ht="15" hidden="false" customHeight="false" outlineLevel="0" collapsed="false">
      <c r="A6896" s="2" t="s">
        <v>3124</v>
      </c>
      <c r="B6896" s="2" t="s">
        <v>4104</v>
      </c>
      <c r="C6896" s="2" t="s">
        <v>4085</v>
      </c>
      <c r="D6896" s="2"/>
      <c r="E6896" s="31" t="n">
        <v>32.1</v>
      </c>
      <c r="F6896" s="31" t="n">
        <v>50.6</v>
      </c>
      <c r="G6896" s="31" t="n">
        <v>30.8</v>
      </c>
      <c r="H6896" s="2" t="s">
        <v>671</v>
      </c>
    </row>
    <row r="6897" customFormat="false" ht="15" hidden="false" customHeight="false" outlineLevel="0" collapsed="false">
      <c r="A6897" s="2" t="s">
        <v>3124</v>
      </c>
      <c r="B6897" s="2" t="s">
        <v>4104</v>
      </c>
      <c r="C6897" s="2" t="s">
        <v>4086</v>
      </c>
      <c r="D6897" s="2"/>
      <c r="E6897" s="31" t="n">
        <v>40.6</v>
      </c>
      <c r="F6897" s="31" t="n">
        <v>52.6</v>
      </c>
      <c r="G6897" s="31" t="n">
        <v>39.1</v>
      </c>
      <c r="H6897" s="2" t="s">
        <v>671</v>
      </c>
    </row>
    <row r="6898" customFormat="false" ht="15" hidden="false" customHeight="false" outlineLevel="0" collapsed="false">
      <c r="A6898" s="2" t="s">
        <v>3124</v>
      </c>
      <c r="B6898" s="2" t="s">
        <v>4104</v>
      </c>
      <c r="C6898" s="2" t="s">
        <v>4087</v>
      </c>
      <c r="D6898" s="2"/>
      <c r="E6898" s="2"/>
      <c r="F6898" s="2"/>
      <c r="G6898" s="2"/>
      <c r="H6898" s="2" t="s">
        <v>668</v>
      </c>
    </row>
    <row r="6899" customFormat="false" ht="15" hidden="false" customHeight="false" outlineLevel="0" collapsed="false">
      <c r="A6899" s="2" t="s">
        <v>3124</v>
      </c>
      <c r="B6899" s="2" t="s">
        <v>45</v>
      </c>
      <c r="C6899" s="2" t="s">
        <v>4085</v>
      </c>
      <c r="D6899" s="11" t="n">
        <v>69185</v>
      </c>
      <c r="E6899" s="31" t="n">
        <v>5.2</v>
      </c>
      <c r="F6899" s="31" t="n">
        <v>75.5</v>
      </c>
      <c r="G6899" s="31" t="n">
        <v>9</v>
      </c>
      <c r="H6899" s="2" t="s">
        <v>671</v>
      </c>
    </row>
    <row r="6900" customFormat="false" ht="15" hidden="false" customHeight="false" outlineLevel="0" collapsed="false">
      <c r="A6900" s="2" t="s">
        <v>3124</v>
      </c>
      <c r="B6900" s="2" t="s">
        <v>45</v>
      </c>
      <c r="C6900" s="2" t="s">
        <v>4086</v>
      </c>
      <c r="D6900" s="11" t="n">
        <v>74780</v>
      </c>
      <c r="E6900" s="31" t="n">
        <v>17.8</v>
      </c>
      <c r="F6900" s="31" t="n">
        <v>44.3</v>
      </c>
      <c r="G6900" s="31" t="n">
        <v>16.3</v>
      </c>
      <c r="H6900" s="2" t="s">
        <v>671</v>
      </c>
    </row>
    <row r="6901" customFormat="false" ht="15" hidden="false" customHeight="false" outlineLevel="0" collapsed="false">
      <c r="A6901" s="2" t="s">
        <v>3124</v>
      </c>
      <c r="B6901" s="2" t="s">
        <v>45</v>
      </c>
      <c r="C6901" s="2" t="s">
        <v>4087</v>
      </c>
      <c r="D6901" s="2"/>
      <c r="E6901" s="2"/>
      <c r="F6901" s="2"/>
      <c r="G6901" s="2"/>
      <c r="H6901" s="2" t="s">
        <v>668</v>
      </c>
    </row>
    <row r="6902" customFormat="false" ht="15" hidden="false" customHeight="false" outlineLevel="0" collapsed="false">
      <c r="A6902" s="2" t="s">
        <v>3124</v>
      </c>
      <c r="B6902" s="2" t="s">
        <v>46</v>
      </c>
      <c r="C6902" s="2" t="s">
        <v>4085</v>
      </c>
      <c r="D6902" s="11" t="n">
        <v>2309</v>
      </c>
      <c r="E6902" s="31" t="n">
        <v>58.9</v>
      </c>
      <c r="F6902" s="31" t="n">
        <v>19.3</v>
      </c>
      <c r="G6902" s="31" t="n">
        <v>73.3</v>
      </c>
      <c r="H6902" s="2" t="s">
        <v>671</v>
      </c>
    </row>
    <row r="6903" customFormat="false" ht="15" hidden="false" customHeight="false" outlineLevel="0" collapsed="false">
      <c r="A6903" s="2" t="s">
        <v>3124</v>
      </c>
      <c r="B6903" s="2" t="s">
        <v>46</v>
      </c>
      <c r="C6903" s="2" t="s">
        <v>4086</v>
      </c>
      <c r="D6903" s="11" t="n">
        <v>2330</v>
      </c>
      <c r="E6903" s="31" t="n">
        <v>84.1</v>
      </c>
      <c r="F6903" s="31" t="n">
        <v>52.8</v>
      </c>
      <c r="G6903" s="31" t="n">
        <v>83</v>
      </c>
      <c r="H6903" s="2" t="s">
        <v>671</v>
      </c>
    </row>
    <row r="6904" customFormat="false" ht="15" hidden="false" customHeight="false" outlineLevel="0" collapsed="false">
      <c r="A6904" s="2" t="s">
        <v>3124</v>
      </c>
      <c r="B6904" s="2" t="s">
        <v>46</v>
      </c>
      <c r="C6904" s="2" t="s">
        <v>4087</v>
      </c>
      <c r="D6904" s="2"/>
      <c r="E6904" s="2"/>
      <c r="F6904" s="2"/>
      <c r="G6904" s="2"/>
      <c r="H6904" s="2" t="s">
        <v>668</v>
      </c>
    </row>
    <row r="6905" customFormat="false" ht="15" hidden="false" customHeight="false" outlineLevel="0" collapsed="false">
      <c r="A6905" s="2" t="s">
        <v>3124</v>
      </c>
      <c r="B6905" s="2" t="s">
        <v>47</v>
      </c>
      <c r="C6905" s="2" t="s">
        <v>4085</v>
      </c>
      <c r="D6905" s="11" t="n">
        <v>10566</v>
      </c>
      <c r="E6905" s="31" t="n">
        <v>32.2</v>
      </c>
      <c r="F6905" s="31" t="n">
        <v>56.9</v>
      </c>
      <c r="G6905" s="31" t="n">
        <v>10.1</v>
      </c>
      <c r="H6905" s="2" t="s">
        <v>671</v>
      </c>
    </row>
    <row r="6906" customFormat="false" ht="15" hidden="false" customHeight="false" outlineLevel="0" collapsed="false">
      <c r="A6906" s="2" t="s">
        <v>3124</v>
      </c>
      <c r="B6906" s="2" t="s">
        <v>47</v>
      </c>
      <c r="C6906" s="2" t="s">
        <v>4086</v>
      </c>
      <c r="D6906" s="11" t="n">
        <v>11429</v>
      </c>
      <c r="E6906" s="31" t="n">
        <v>19.9</v>
      </c>
      <c r="F6906" s="31" t="n">
        <v>60.7</v>
      </c>
      <c r="G6906" s="31" t="n">
        <v>17.9</v>
      </c>
      <c r="H6906" s="2" t="s">
        <v>671</v>
      </c>
    </row>
    <row r="6907" customFormat="false" ht="15" hidden="false" customHeight="false" outlineLevel="0" collapsed="false">
      <c r="A6907" s="2" t="s">
        <v>3124</v>
      </c>
      <c r="B6907" s="2" t="s">
        <v>47</v>
      </c>
      <c r="C6907" s="2" t="s">
        <v>4087</v>
      </c>
      <c r="D6907" s="2"/>
      <c r="E6907" s="2"/>
      <c r="F6907" s="2"/>
      <c r="G6907" s="2"/>
      <c r="H6907" s="2" t="s">
        <v>668</v>
      </c>
    </row>
    <row r="6908" customFormat="false" ht="15" hidden="false" customHeight="false" outlineLevel="0" collapsed="false">
      <c r="A6908" s="2" t="s">
        <v>2021</v>
      </c>
      <c r="B6908" s="2" t="s">
        <v>4104</v>
      </c>
      <c r="C6908" s="2" t="s">
        <v>4085</v>
      </c>
      <c r="D6908" s="2"/>
      <c r="E6908" s="31" t="n">
        <v>79.4</v>
      </c>
      <c r="F6908" s="31" t="n">
        <v>68.8</v>
      </c>
      <c r="G6908" s="31" t="n">
        <v>82.2</v>
      </c>
      <c r="H6908" s="2" t="s">
        <v>668</v>
      </c>
    </row>
    <row r="6909" customFormat="false" ht="15" hidden="false" customHeight="false" outlineLevel="0" collapsed="false">
      <c r="A6909" s="2" t="s">
        <v>2021</v>
      </c>
      <c r="B6909" s="2" t="s">
        <v>4104</v>
      </c>
      <c r="C6909" s="2" t="s">
        <v>4086</v>
      </c>
      <c r="D6909" s="2"/>
      <c r="E6909" s="31" t="n">
        <v>84</v>
      </c>
      <c r="F6909" s="31" t="n">
        <v>56</v>
      </c>
      <c r="G6909" s="31" t="n">
        <v>64.5</v>
      </c>
      <c r="H6909" s="2" t="s">
        <v>671</v>
      </c>
    </row>
    <row r="6910" customFormat="false" ht="15" hidden="false" customHeight="false" outlineLevel="0" collapsed="false">
      <c r="A6910" s="2" t="s">
        <v>2021</v>
      </c>
      <c r="B6910" s="2" t="s">
        <v>4104</v>
      </c>
      <c r="C6910" s="2" t="s">
        <v>4087</v>
      </c>
      <c r="D6910" s="2"/>
      <c r="E6910" s="31" t="n">
        <v>91.8</v>
      </c>
      <c r="F6910" s="31" t="n">
        <v>87.9</v>
      </c>
      <c r="G6910" s="31" t="n">
        <v>78.1</v>
      </c>
      <c r="H6910" s="2" t="s">
        <v>668</v>
      </c>
    </row>
    <row r="6911" customFormat="false" ht="15" hidden="false" customHeight="false" outlineLevel="0" collapsed="false">
      <c r="A6911" s="2" t="s">
        <v>2021</v>
      </c>
      <c r="B6911" s="2" t="s">
        <v>45</v>
      </c>
      <c r="C6911" s="2" t="s">
        <v>4085</v>
      </c>
      <c r="D6911" s="11" t="n">
        <v>257950</v>
      </c>
      <c r="E6911" s="31" t="n">
        <v>64.2</v>
      </c>
      <c r="F6911" s="31" t="n">
        <v>50.7</v>
      </c>
      <c r="G6911" s="31" t="n">
        <v>74.9</v>
      </c>
      <c r="H6911" s="2" t="s">
        <v>671</v>
      </c>
    </row>
    <row r="6912" customFormat="false" ht="15" hidden="false" customHeight="false" outlineLevel="0" collapsed="false">
      <c r="A6912" s="2" t="s">
        <v>2021</v>
      </c>
      <c r="B6912" s="2" t="s">
        <v>45</v>
      </c>
      <c r="C6912" s="2" t="s">
        <v>4086</v>
      </c>
      <c r="D6912" s="11" t="n">
        <v>260780</v>
      </c>
      <c r="E6912" s="31" t="n">
        <v>69</v>
      </c>
      <c r="F6912" s="31" t="n">
        <v>37.1</v>
      </c>
      <c r="G6912" s="31" t="n">
        <v>55.2</v>
      </c>
      <c r="H6912" s="2" t="s">
        <v>671</v>
      </c>
    </row>
    <row r="6913" customFormat="false" ht="15" hidden="false" customHeight="false" outlineLevel="0" collapsed="false">
      <c r="A6913" s="2" t="s">
        <v>2021</v>
      </c>
      <c r="B6913" s="2" t="s">
        <v>45</v>
      </c>
      <c r="C6913" s="2" t="s">
        <v>4087</v>
      </c>
      <c r="D6913" s="2"/>
      <c r="E6913" s="2"/>
      <c r="F6913" s="2"/>
      <c r="G6913" s="2"/>
      <c r="H6913" s="2" t="s">
        <v>668</v>
      </c>
    </row>
    <row r="6914" customFormat="false" ht="15" hidden="false" customHeight="false" outlineLevel="0" collapsed="false">
      <c r="A6914" s="2" t="s">
        <v>2021</v>
      </c>
      <c r="B6914" s="2" t="s">
        <v>46</v>
      </c>
      <c r="C6914" s="2" t="s">
        <v>4085</v>
      </c>
      <c r="D6914" s="11" t="n">
        <v>21310</v>
      </c>
      <c r="E6914" s="31" t="n">
        <v>94.5</v>
      </c>
      <c r="F6914" s="31" t="n">
        <v>61</v>
      </c>
      <c r="G6914" s="31" t="n">
        <v>90.9</v>
      </c>
      <c r="H6914" s="2" t="s">
        <v>671</v>
      </c>
    </row>
    <row r="6915" customFormat="false" ht="15" hidden="false" customHeight="false" outlineLevel="0" collapsed="false">
      <c r="A6915" s="2" t="s">
        <v>2021</v>
      </c>
      <c r="B6915" s="2" t="s">
        <v>46</v>
      </c>
      <c r="C6915" s="2" t="s">
        <v>4086</v>
      </c>
      <c r="D6915" s="11" t="n">
        <v>22160</v>
      </c>
      <c r="E6915" s="31" t="n">
        <v>96.1</v>
      </c>
      <c r="F6915" s="31" t="n">
        <v>41.1</v>
      </c>
      <c r="G6915" s="31" t="n">
        <v>74</v>
      </c>
      <c r="H6915" s="2" t="s">
        <v>671</v>
      </c>
    </row>
    <row r="6916" customFormat="false" ht="15" hidden="false" customHeight="false" outlineLevel="0" collapsed="false">
      <c r="A6916" s="2" t="s">
        <v>2021</v>
      </c>
      <c r="B6916" s="2" t="s">
        <v>46</v>
      </c>
      <c r="C6916" s="2" t="s">
        <v>4087</v>
      </c>
      <c r="D6916" s="11" t="n">
        <v>22520</v>
      </c>
      <c r="E6916" s="2"/>
      <c r="F6916" s="31" t="n">
        <v>80.1</v>
      </c>
      <c r="G6916" s="31" t="n">
        <v>75.1</v>
      </c>
      <c r="H6916" s="2" t="s">
        <v>668</v>
      </c>
    </row>
    <row r="6917" customFormat="false" ht="15" hidden="false" customHeight="false" outlineLevel="0" collapsed="false">
      <c r="A6917" s="2" t="s">
        <v>2021</v>
      </c>
      <c r="B6917" s="2" t="s">
        <v>47</v>
      </c>
      <c r="C6917" s="2" t="s">
        <v>4085</v>
      </c>
      <c r="D6917" s="11" t="n">
        <v>39779</v>
      </c>
      <c r="E6917" s="2"/>
      <c r="F6917" s="31" t="n">
        <v>94.8</v>
      </c>
      <c r="G6917" s="31" t="n">
        <v>80.8</v>
      </c>
      <c r="H6917" s="2" t="s">
        <v>668</v>
      </c>
    </row>
    <row r="6918" customFormat="false" ht="15" hidden="false" customHeight="false" outlineLevel="0" collapsed="false">
      <c r="A6918" s="2" t="s">
        <v>2021</v>
      </c>
      <c r="B6918" s="2" t="s">
        <v>47</v>
      </c>
      <c r="C6918" s="2" t="s">
        <v>4086</v>
      </c>
      <c r="D6918" s="11" t="n">
        <v>41510</v>
      </c>
      <c r="E6918" s="31" t="n">
        <v>86.8</v>
      </c>
      <c r="F6918" s="31" t="n">
        <v>89.9</v>
      </c>
      <c r="G6918" s="31" t="n">
        <v>64.2</v>
      </c>
      <c r="H6918" s="2" t="s">
        <v>671</v>
      </c>
    </row>
    <row r="6919" customFormat="false" ht="15" hidden="false" customHeight="false" outlineLevel="0" collapsed="false">
      <c r="A6919" s="2" t="s">
        <v>2021</v>
      </c>
      <c r="B6919" s="2" t="s">
        <v>47</v>
      </c>
      <c r="C6919" s="2" t="s">
        <v>4087</v>
      </c>
      <c r="D6919" s="11" t="n">
        <v>44543</v>
      </c>
      <c r="E6919" s="31" t="n">
        <v>91.8</v>
      </c>
      <c r="F6919" s="31" t="n">
        <v>95.7</v>
      </c>
      <c r="G6919" s="31" t="n">
        <v>81.1</v>
      </c>
      <c r="H6919" s="2" t="s">
        <v>671</v>
      </c>
    </row>
    <row r="6920" customFormat="false" ht="15" hidden="false" customHeight="false" outlineLevel="0" collapsed="false">
      <c r="A6920" s="2" t="s">
        <v>232</v>
      </c>
      <c r="B6920" s="2" t="s">
        <v>4104</v>
      </c>
      <c r="C6920" s="2" t="s">
        <v>4087</v>
      </c>
      <c r="D6920" s="2"/>
      <c r="E6920" s="31" t="n">
        <v>66.6</v>
      </c>
      <c r="F6920" s="31" t="n">
        <v>87.6</v>
      </c>
      <c r="G6920" s="31" t="n">
        <v>16.1</v>
      </c>
      <c r="H6920" s="2" t="s">
        <v>671</v>
      </c>
    </row>
    <row r="6921" customFormat="false" ht="15" hidden="false" customHeight="false" outlineLevel="0" collapsed="false">
      <c r="A6921" s="2" t="s">
        <v>232</v>
      </c>
      <c r="B6921" s="2" t="s">
        <v>46</v>
      </c>
      <c r="C6921" s="2" t="s">
        <v>4087</v>
      </c>
      <c r="D6921" s="11" t="n">
        <v>53857</v>
      </c>
      <c r="E6921" s="31" t="n">
        <v>66.6</v>
      </c>
      <c r="F6921" s="31" t="n">
        <v>87.6</v>
      </c>
      <c r="G6921" s="31" t="n">
        <v>16.1</v>
      </c>
      <c r="H6921" s="2" t="s">
        <v>671</v>
      </c>
    </row>
    <row r="6922" customFormat="false" ht="15" hidden="false" customHeight="false" outlineLevel="0" collapsed="false">
      <c r="A6922" s="2" t="s">
        <v>1952</v>
      </c>
      <c r="B6922" s="2" t="s">
        <v>4104</v>
      </c>
      <c r="C6922" s="2" t="s">
        <v>4085</v>
      </c>
      <c r="D6922" s="2"/>
      <c r="E6922" s="31" t="n">
        <v>15.4</v>
      </c>
      <c r="F6922" s="31" t="n">
        <v>43.6</v>
      </c>
      <c r="G6922" s="31" t="n">
        <v>19.2</v>
      </c>
      <c r="H6922" s="2" t="s">
        <v>668</v>
      </c>
    </row>
    <row r="6923" customFormat="false" ht="15" hidden="false" customHeight="false" outlineLevel="0" collapsed="false">
      <c r="A6923" s="2" t="s">
        <v>1952</v>
      </c>
      <c r="B6923" s="2" t="s">
        <v>4104</v>
      </c>
      <c r="C6923" s="2" t="s">
        <v>4086</v>
      </c>
      <c r="D6923" s="2"/>
      <c r="E6923" s="31" t="n">
        <v>12.6</v>
      </c>
      <c r="F6923" s="31" t="n">
        <v>48</v>
      </c>
      <c r="G6923" s="31" t="n">
        <v>41</v>
      </c>
      <c r="H6923" s="2" t="s">
        <v>671</v>
      </c>
    </row>
    <row r="6924" customFormat="false" ht="15" hidden="false" customHeight="false" outlineLevel="0" collapsed="false">
      <c r="A6924" s="2" t="s">
        <v>1952</v>
      </c>
      <c r="B6924" s="2" t="s">
        <v>4104</v>
      </c>
      <c r="C6924" s="2" t="s">
        <v>4087</v>
      </c>
      <c r="D6924" s="2"/>
      <c r="E6924" s="31" t="n">
        <v>2.1</v>
      </c>
      <c r="F6924" s="31" t="n">
        <v>57.6</v>
      </c>
      <c r="G6924" s="31" t="n">
        <v>33.4</v>
      </c>
      <c r="H6924" s="2" t="s">
        <v>668</v>
      </c>
    </row>
    <row r="6925" customFormat="false" ht="15" hidden="false" customHeight="false" outlineLevel="0" collapsed="false">
      <c r="A6925" s="2" t="s">
        <v>1952</v>
      </c>
      <c r="B6925" s="2" t="s">
        <v>45</v>
      </c>
      <c r="C6925" s="2" t="s">
        <v>4085</v>
      </c>
      <c r="D6925" s="11" t="n">
        <v>39832</v>
      </c>
      <c r="E6925" s="31" t="n">
        <v>28.9</v>
      </c>
      <c r="F6925" s="31" t="n">
        <v>31.4</v>
      </c>
      <c r="G6925" s="2"/>
      <c r="H6925" s="2" t="s">
        <v>668</v>
      </c>
    </row>
    <row r="6926" customFormat="false" ht="15" hidden="false" customHeight="false" outlineLevel="0" collapsed="false">
      <c r="A6926" s="2" t="s">
        <v>1952</v>
      </c>
      <c r="B6926" s="2" t="s">
        <v>45</v>
      </c>
      <c r="C6926" s="2" t="s">
        <v>4086</v>
      </c>
      <c r="D6926" s="11" t="n">
        <v>40770</v>
      </c>
      <c r="E6926" s="31" t="n">
        <v>23.4</v>
      </c>
      <c r="F6926" s="31" t="n">
        <v>69.8</v>
      </c>
      <c r="G6926" s="31" t="n">
        <v>36.8</v>
      </c>
      <c r="H6926" s="2" t="s">
        <v>671</v>
      </c>
    </row>
    <row r="6927" customFormat="false" ht="15" hidden="false" customHeight="false" outlineLevel="0" collapsed="false">
      <c r="A6927" s="2" t="s">
        <v>1952</v>
      </c>
      <c r="B6927" s="2" t="s">
        <v>45</v>
      </c>
      <c r="C6927" s="2" t="s">
        <v>4087</v>
      </c>
      <c r="D6927" s="2"/>
      <c r="E6927" s="2"/>
      <c r="F6927" s="2"/>
      <c r="G6927" s="2"/>
      <c r="H6927" s="2" t="s">
        <v>668</v>
      </c>
    </row>
    <row r="6928" customFormat="false" ht="15" hidden="false" customHeight="false" outlineLevel="0" collapsed="false">
      <c r="A6928" s="2" t="s">
        <v>1952</v>
      </c>
      <c r="B6928" s="2" t="s">
        <v>46</v>
      </c>
      <c r="C6928" s="2" t="s">
        <v>4085</v>
      </c>
      <c r="D6928" s="11" t="n">
        <v>248400</v>
      </c>
      <c r="E6928" s="31" t="n">
        <v>1.8</v>
      </c>
      <c r="F6928" s="31" t="n">
        <v>55.8</v>
      </c>
      <c r="G6928" s="31" t="n">
        <v>19.2</v>
      </c>
      <c r="H6928" s="2" t="s">
        <v>671</v>
      </c>
    </row>
    <row r="6929" customFormat="false" ht="15" hidden="false" customHeight="false" outlineLevel="0" collapsed="false">
      <c r="A6929" s="2" t="s">
        <v>1952</v>
      </c>
      <c r="B6929" s="2" t="s">
        <v>46</v>
      </c>
      <c r="C6929" s="2" t="s">
        <v>4086</v>
      </c>
      <c r="D6929" s="11" t="n">
        <v>264420</v>
      </c>
      <c r="E6929" s="31" t="n">
        <v>1.8</v>
      </c>
      <c r="F6929" s="31" t="n">
        <v>26.1</v>
      </c>
      <c r="G6929" s="31" t="n">
        <v>45.3</v>
      </c>
      <c r="H6929" s="2" t="s">
        <v>671</v>
      </c>
    </row>
    <row r="6930" customFormat="false" ht="15" hidden="false" customHeight="false" outlineLevel="0" collapsed="false">
      <c r="A6930" s="2" t="s">
        <v>1952</v>
      </c>
      <c r="B6930" s="2" t="s">
        <v>46</v>
      </c>
      <c r="C6930" s="2" t="s">
        <v>4087</v>
      </c>
      <c r="D6930" s="11" t="n">
        <v>264610</v>
      </c>
      <c r="E6930" s="31" t="n">
        <v>2.1</v>
      </c>
      <c r="F6930" s="31" t="n">
        <v>57.6</v>
      </c>
      <c r="G6930" s="31" t="n">
        <v>33.4</v>
      </c>
      <c r="H6930" s="2" t="s">
        <v>671</v>
      </c>
    </row>
    <row r="6931" customFormat="false" ht="15" hidden="false" customHeight="false" outlineLevel="0" collapsed="false">
      <c r="A6931" s="2" t="s">
        <v>514</v>
      </c>
      <c r="B6931" s="2" t="s">
        <v>4104</v>
      </c>
      <c r="C6931" s="2" t="s">
        <v>4085</v>
      </c>
      <c r="D6931" s="2"/>
      <c r="E6931" s="31" t="n">
        <v>68.1</v>
      </c>
      <c r="F6931" s="31" t="n">
        <v>25.6</v>
      </c>
      <c r="G6931" s="2"/>
      <c r="H6931" s="2" t="s">
        <v>668</v>
      </c>
    </row>
    <row r="6932" customFormat="false" ht="15" hidden="false" customHeight="false" outlineLevel="0" collapsed="false">
      <c r="A6932" s="2" t="s">
        <v>514</v>
      </c>
      <c r="B6932" s="2" t="s">
        <v>4104</v>
      </c>
      <c r="C6932" s="2" t="s">
        <v>4086</v>
      </c>
      <c r="D6932" s="2"/>
      <c r="E6932" s="2"/>
      <c r="F6932" s="2"/>
      <c r="G6932" s="31" t="n">
        <v>29.1</v>
      </c>
      <c r="H6932" s="2" t="s">
        <v>668</v>
      </c>
    </row>
    <row r="6933" customFormat="false" ht="15" hidden="false" customHeight="false" outlineLevel="0" collapsed="false">
      <c r="A6933" s="2" t="s">
        <v>514</v>
      </c>
      <c r="B6933" s="2" t="s">
        <v>4104</v>
      </c>
      <c r="C6933" s="2" t="s">
        <v>4087</v>
      </c>
      <c r="D6933" s="2"/>
      <c r="E6933" s="31" t="n">
        <v>34</v>
      </c>
      <c r="F6933" s="31" t="n">
        <v>15.2</v>
      </c>
      <c r="G6933" s="31" t="n">
        <v>42.2</v>
      </c>
      <c r="H6933" s="2" t="s">
        <v>671</v>
      </c>
    </row>
    <row r="6934" customFormat="false" ht="15" hidden="false" customHeight="false" outlineLevel="0" collapsed="false">
      <c r="A6934" s="2" t="s">
        <v>514</v>
      </c>
      <c r="B6934" s="2" t="s">
        <v>46</v>
      </c>
      <c r="C6934" s="2" t="s">
        <v>4085</v>
      </c>
      <c r="D6934" s="11" t="n">
        <v>212020</v>
      </c>
      <c r="E6934" s="31" t="n">
        <v>68.1</v>
      </c>
      <c r="F6934" s="31" t="n">
        <v>25.6</v>
      </c>
      <c r="G6934" s="2"/>
      <c r="H6934" s="2" t="s">
        <v>668</v>
      </c>
    </row>
    <row r="6935" customFormat="false" ht="15" hidden="false" customHeight="false" outlineLevel="0" collapsed="false">
      <c r="A6935" s="2" t="s">
        <v>514</v>
      </c>
      <c r="B6935" s="2" t="s">
        <v>46</v>
      </c>
      <c r="C6935" s="2" t="s">
        <v>4086</v>
      </c>
      <c r="D6935" s="2"/>
      <c r="E6935" s="2"/>
      <c r="F6935" s="2"/>
      <c r="G6935" s="31" t="n">
        <v>29.1</v>
      </c>
      <c r="H6935" s="2" t="s">
        <v>668</v>
      </c>
    </row>
    <row r="6936" customFormat="false" ht="15" hidden="false" customHeight="false" outlineLevel="0" collapsed="false">
      <c r="A6936" s="2" t="s">
        <v>514</v>
      </c>
      <c r="B6936" s="2" t="s">
        <v>46</v>
      </c>
      <c r="C6936" s="2" t="s">
        <v>4087</v>
      </c>
      <c r="D6936" s="11" t="n">
        <v>221760</v>
      </c>
      <c r="E6936" s="31" t="n">
        <v>34</v>
      </c>
      <c r="F6936" s="31" t="n">
        <v>15.2</v>
      </c>
      <c r="G6936" s="31" t="n">
        <v>42.2</v>
      </c>
      <c r="H6936" s="2" t="s">
        <v>671</v>
      </c>
    </row>
    <row r="6937" customFormat="false" ht="15" hidden="false" customHeight="false" outlineLevel="0" collapsed="false">
      <c r="A6937" s="2" t="s">
        <v>1601</v>
      </c>
      <c r="B6937" s="2" t="s">
        <v>4104</v>
      </c>
      <c r="C6937" s="2" t="s">
        <v>4085</v>
      </c>
      <c r="D6937" s="2"/>
      <c r="E6937" s="31" t="n">
        <v>51.4</v>
      </c>
      <c r="F6937" s="31" t="n">
        <v>24.9</v>
      </c>
      <c r="G6937" s="31" t="n">
        <v>24.2</v>
      </c>
      <c r="H6937" s="2" t="s">
        <v>668</v>
      </c>
    </row>
    <row r="6938" customFormat="false" ht="15" hidden="false" customHeight="false" outlineLevel="0" collapsed="false">
      <c r="A6938" s="2" t="s">
        <v>1601</v>
      </c>
      <c r="B6938" s="2" t="s">
        <v>4104</v>
      </c>
      <c r="C6938" s="2" t="s">
        <v>4086</v>
      </c>
      <c r="D6938" s="2"/>
      <c r="E6938" s="31" t="n">
        <v>62.4</v>
      </c>
      <c r="F6938" s="31" t="n">
        <v>48.1</v>
      </c>
      <c r="G6938" s="31" t="n">
        <v>37.8</v>
      </c>
      <c r="H6938" s="2" t="s">
        <v>668</v>
      </c>
    </row>
    <row r="6939" customFormat="false" ht="15" hidden="false" customHeight="false" outlineLevel="0" collapsed="false">
      <c r="A6939" s="2" t="s">
        <v>1601</v>
      </c>
      <c r="B6939" s="2" t="s">
        <v>4104</v>
      </c>
      <c r="C6939" s="2" t="s">
        <v>4087</v>
      </c>
      <c r="D6939" s="2"/>
      <c r="E6939" s="31" t="n">
        <v>63.8</v>
      </c>
      <c r="F6939" s="31" t="n">
        <v>17.4</v>
      </c>
      <c r="G6939" s="31" t="n">
        <v>69.4</v>
      </c>
      <c r="H6939" s="2" t="s">
        <v>668</v>
      </c>
    </row>
    <row r="6940" customFormat="false" ht="15" hidden="false" customHeight="false" outlineLevel="0" collapsed="false">
      <c r="A6940" s="2" t="s">
        <v>1601</v>
      </c>
      <c r="B6940" s="2" t="s">
        <v>45</v>
      </c>
      <c r="C6940" s="2" t="s">
        <v>4085</v>
      </c>
      <c r="D6940" s="2"/>
      <c r="E6940" s="2"/>
      <c r="F6940" s="2"/>
      <c r="G6940" s="2"/>
      <c r="H6940" s="2" t="s">
        <v>668</v>
      </c>
    </row>
    <row r="6941" customFormat="false" ht="15" hidden="false" customHeight="false" outlineLevel="0" collapsed="false">
      <c r="A6941" s="2" t="s">
        <v>1601</v>
      </c>
      <c r="B6941" s="2" t="s">
        <v>45</v>
      </c>
      <c r="C6941" s="2" t="s">
        <v>4086</v>
      </c>
      <c r="D6941" s="2"/>
      <c r="E6941" s="2"/>
      <c r="F6941" s="2"/>
      <c r="G6941" s="2"/>
      <c r="H6941" s="2" t="s">
        <v>668</v>
      </c>
    </row>
    <row r="6942" customFormat="false" ht="15" hidden="false" customHeight="false" outlineLevel="0" collapsed="false">
      <c r="A6942" s="2" t="s">
        <v>1601</v>
      </c>
      <c r="B6942" s="2" t="s">
        <v>45</v>
      </c>
      <c r="C6942" s="2" t="s">
        <v>4087</v>
      </c>
      <c r="D6942" s="2"/>
      <c r="E6942" s="2"/>
      <c r="F6942" s="2"/>
      <c r="G6942" s="2"/>
      <c r="H6942" s="2" t="s">
        <v>668</v>
      </c>
    </row>
    <row r="6943" customFormat="false" ht="15" hidden="false" customHeight="false" outlineLevel="0" collapsed="false">
      <c r="A6943" s="2" t="s">
        <v>1601</v>
      </c>
      <c r="B6943" s="2" t="s">
        <v>46</v>
      </c>
      <c r="C6943" s="2" t="s">
        <v>4085</v>
      </c>
      <c r="D6943" s="11" t="n">
        <v>28744</v>
      </c>
      <c r="E6943" s="31" t="n">
        <v>62.4</v>
      </c>
      <c r="F6943" s="31" t="n">
        <v>13.5</v>
      </c>
      <c r="G6943" s="31" t="n">
        <v>41.6</v>
      </c>
      <c r="H6943" s="2" t="s">
        <v>671</v>
      </c>
    </row>
    <row r="6944" customFormat="false" ht="15" hidden="false" customHeight="false" outlineLevel="0" collapsed="false">
      <c r="A6944" s="2" t="s">
        <v>1601</v>
      </c>
      <c r="B6944" s="2" t="s">
        <v>46</v>
      </c>
      <c r="C6944" s="2" t="s">
        <v>4086</v>
      </c>
      <c r="D6944" s="11" t="n">
        <v>29040</v>
      </c>
      <c r="E6944" s="31" t="n">
        <v>58.7</v>
      </c>
      <c r="F6944" s="31" t="n">
        <v>24.7</v>
      </c>
      <c r="G6944" s="31" t="n">
        <v>70.4</v>
      </c>
      <c r="H6944" s="2" t="s">
        <v>671</v>
      </c>
    </row>
    <row r="6945" customFormat="false" ht="15" hidden="false" customHeight="false" outlineLevel="0" collapsed="false">
      <c r="A6945" s="2" t="s">
        <v>1601</v>
      </c>
      <c r="B6945" s="2" t="s">
        <v>46</v>
      </c>
      <c r="C6945" s="2" t="s">
        <v>4087</v>
      </c>
      <c r="D6945" s="11" t="n">
        <v>28480</v>
      </c>
      <c r="E6945" s="31" t="n">
        <v>63.8</v>
      </c>
      <c r="F6945" s="31" t="n">
        <v>17.4</v>
      </c>
      <c r="G6945" s="31" t="n">
        <v>69.4</v>
      </c>
      <c r="H6945" s="2" t="s">
        <v>671</v>
      </c>
    </row>
    <row r="6946" customFormat="false" ht="15" hidden="false" customHeight="false" outlineLevel="0" collapsed="false">
      <c r="A6946" s="2" t="s">
        <v>1601</v>
      </c>
      <c r="B6946" s="2" t="s">
        <v>47</v>
      </c>
      <c r="C6946" s="2" t="s">
        <v>4085</v>
      </c>
      <c r="D6946" s="11" t="n">
        <v>92840</v>
      </c>
      <c r="E6946" s="31" t="n">
        <v>40.3</v>
      </c>
      <c r="F6946" s="31" t="n">
        <v>36.3</v>
      </c>
      <c r="G6946" s="31" t="n">
        <v>6.9</v>
      </c>
      <c r="H6946" s="2" t="s">
        <v>671</v>
      </c>
    </row>
    <row r="6947" customFormat="false" ht="15" hidden="false" customHeight="false" outlineLevel="0" collapsed="false">
      <c r="A6947" s="2" t="s">
        <v>1601</v>
      </c>
      <c r="B6947" s="2" t="s">
        <v>47</v>
      </c>
      <c r="C6947" s="2" t="s">
        <v>4086</v>
      </c>
      <c r="D6947" s="11" t="n">
        <v>96460</v>
      </c>
      <c r="E6947" s="31" t="n">
        <v>66</v>
      </c>
      <c r="F6947" s="31" t="n">
        <v>71.4</v>
      </c>
      <c r="G6947" s="31" t="n">
        <v>5.2</v>
      </c>
      <c r="H6947" s="2" t="s">
        <v>671</v>
      </c>
    </row>
    <row r="6948" customFormat="false" ht="15" hidden="false" customHeight="false" outlineLevel="0" collapsed="false">
      <c r="A6948" s="2" t="s">
        <v>1601</v>
      </c>
      <c r="B6948" s="2" t="s">
        <v>47</v>
      </c>
      <c r="C6948" s="2" t="s">
        <v>4087</v>
      </c>
      <c r="D6948" s="2"/>
      <c r="E6948" s="2"/>
      <c r="F6948" s="2"/>
      <c r="G6948" s="2"/>
      <c r="H6948" s="2" t="s">
        <v>668</v>
      </c>
    </row>
    <row r="6949" customFormat="false" ht="15" hidden="false" customHeight="false" outlineLevel="0" collapsed="false">
      <c r="A6949" s="2" t="s">
        <v>140</v>
      </c>
      <c r="B6949" s="2" t="s">
        <v>4104</v>
      </c>
      <c r="C6949" s="2" t="s">
        <v>4085</v>
      </c>
      <c r="D6949" s="2"/>
      <c r="E6949" s="31" t="n">
        <v>84.5</v>
      </c>
      <c r="F6949" s="31" t="n">
        <v>18.8</v>
      </c>
      <c r="G6949" s="31" t="n">
        <v>52.2</v>
      </c>
      <c r="H6949" s="2" t="s">
        <v>668</v>
      </c>
    </row>
    <row r="6950" customFormat="false" ht="15" hidden="false" customHeight="false" outlineLevel="0" collapsed="false">
      <c r="A6950" s="2" t="s">
        <v>140</v>
      </c>
      <c r="B6950" s="2" t="s">
        <v>4104</v>
      </c>
      <c r="C6950" s="2" t="s">
        <v>4086</v>
      </c>
      <c r="D6950" s="2"/>
      <c r="E6950" s="31" t="n">
        <v>83</v>
      </c>
      <c r="F6950" s="31" t="n">
        <v>42.7</v>
      </c>
      <c r="G6950" s="31" t="n">
        <v>64.9</v>
      </c>
      <c r="H6950" s="2" t="s">
        <v>671</v>
      </c>
    </row>
    <row r="6951" customFormat="false" ht="15" hidden="false" customHeight="false" outlineLevel="0" collapsed="false">
      <c r="A6951" s="2" t="s">
        <v>140</v>
      </c>
      <c r="B6951" s="2" t="s">
        <v>4104</v>
      </c>
      <c r="C6951" s="2" t="s">
        <v>4087</v>
      </c>
      <c r="D6951" s="2"/>
      <c r="E6951" s="31" t="n">
        <v>81.9</v>
      </c>
      <c r="F6951" s="31" t="n">
        <v>44.8</v>
      </c>
      <c r="G6951" s="31" t="n">
        <v>70.9</v>
      </c>
      <c r="H6951" s="2" t="s">
        <v>671</v>
      </c>
    </row>
    <row r="6952" customFormat="false" ht="15" hidden="false" customHeight="false" outlineLevel="0" collapsed="false">
      <c r="A6952" s="2" t="s">
        <v>140</v>
      </c>
      <c r="B6952" s="2" t="s">
        <v>45</v>
      </c>
      <c r="C6952" s="2" t="s">
        <v>4085</v>
      </c>
      <c r="D6952" s="11" t="n">
        <v>111715</v>
      </c>
      <c r="E6952" s="31" t="n">
        <v>80.8</v>
      </c>
      <c r="F6952" s="31" t="n">
        <v>25.3</v>
      </c>
      <c r="G6952" s="31" t="n">
        <v>72.7</v>
      </c>
      <c r="H6952" s="2" t="s">
        <v>671</v>
      </c>
    </row>
    <row r="6953" customFormat="false" ht="15" hidden="false" customHeight="false" outlineLevel="0" collapsed="false">
      <c r="A6953" s="2" t="s">
        <v>140</v>
      </c>
      <c r="B6953" s="2" t="s">
        <v>45</v>
      </c>
      <c r="C6953" s="2" t="s">
        <v>4086</v>
      </c>
      <c r="D6953" s="11" t="n">
        <v>108470</v>
      </c>
      <c r="E6953" s="31" t="n">
        <v>76</v>
      </c>
      <c r="F6953" s="31" t="n">
        <v>7.9</v>
      </c>
      <c r="G6953" s="31" t="n">
        <v>86</v>
      </c>
      <c r="H6953" s="2" t="s">
        <v>671</v>
      </c>
    </row>
    <row r="6954" customFormat="false" ht="15" hidden="false" customHeight="false" outlineLevel="0" collapsed="false">
      <c r="A6954" s="2" t="s">
        <v>140</v>
      </c>
      <c r="B6954" s="2" t="s">
        <v>45</v>
      </c>
      <c r="C6954" s="2" t="s">
        <v>4087</v>
      </c>
      <c r="D6954" s="11" t="n">
        <v>111343</v>
      </c>
      <c r="E6954" s="31" t="n">
        <v>74.8</v>
      </c>
      <c r="F6954" s="31" t="n">
        <v>23.9</v>
      </c>
      <c r="G6954" s="31" t="n">
        <v>89</v>
      </c>
      <c r="H6954" s="2" t="s">
        <v>671</v>
      </c>
    </row>
    <row r="6955" customFormat="false" ht="15" hidden="false" customHeight="false" outlineLevel="0" collapsed="false">
      <c r="A6955" s="2" t="s">
        <v>140</v>
      </c>
      <c r="B6955" s="2" t="s">
        <v>46</v>
      </c>
      <c r="C6955" s="2" t="s">
        <v>4085</v>
      </c>
      <c r="D6955" s="11" t="n">
        <v>67340</v>
      </c>
      <c r="E6955" s="31" t="n">
        <v>92.8</v>
      </c>
      <c r="F6955" s="2"/>
      <c r="G6955" s="2"/>
      <c r="H6955" s="2" t="s">
        <v>668</v>
      </c>
    </row>
    <row r="6956" customFormat="false" ht="15" hidden="false" customHeight="false" outlineLevel="0" collapsed="false">
      <c r="A6956" s="2" t="s">
        <v>140</v>
      </c>
      <c r="B6956" s="2" t="s">
        <v>46</v>
      </c>
      <c r="C6956" s="2" t="s">
        <v>4086</v>
      </c>
      <c r="D6956" s="11" t="n">
        <v>73390</v>
      </c>
      <c r="E6956" s="31" t="n">
        <v>91.9</v>
      </c>
      <c r="F6956" s="31" t="n">
        <v>87.6</v>
      </c>
      <c r="G6956" s="31" t="n">
        <v>97.8</v>
      </c>
      <c r="H6956" s="2" t="s">
        <v>671</v>
      </c>
    </row>
    <row r="6957" customFormat="false" ht="15" hidden="false" customHeight="false" outlineLevel="0" collapsed="false">
      <c r="A6957" s="2" t="s">
        <v>140</v>
      </c>
      <c r="B6957" s="2" t="s">
        <v>46</v>
      </c>
      <c r="C6957" s="2" t="s">
        <v>4087</v>
      </c>
      <c r="D6957" s="11" t="n">
        <v>75054</v>
      </c>
      <c r="E6957" s="31" t="n">
        <v>93.2</v>
      </c>
      <c r="F6957" s="31" t="n">
        <v>97.1</v>
      </c>
      <c r="G6957" s="31" t="n">
        <v>95.6</v>
      </c>
      <c r="H6957" s="2" t="s">
        <v>671</v>
      </c>
    </row>
    <row r="6958" customFormat="false" ht="15" hidden="false" customHeight="false" outlineLevel="0" collapsed="false">
      <c r="A6958" s="2" t="s">
        <v>140</v>
      </c>
      <c r="B6958" s="2" t="s">
        <v>47</v>
      </c>
      <c r="C6958" s="2" t="s">
        <v>4085</v>
      </c>
      <c r="D6958" s="11" t="n">
        <v>6166</v>
      </c>
      <c r="E6958" s="31" t="n">
        <v>79.8</v>
      </c>
      <c r="F6958" s="31" t="n">
        <v>12.2</v>
      </c>
      <c r="G6958" s="31" t="n">
        <v>31.7</v>
      </c>
      <c r="H6958" s="2" t="s">
        <v>671</v>
      </c>
    </row>
    <row r="6959" customFormat="false" ht="15" hidden="false" customHeight="false" outlineLevel="0" collapsed="false">
      <c r="A6959" s="2" t="s">
        <v>140</v>
      </c>
      <c r="B6959" s="2" t="s">
        <v>47</v>
      </c>
      <c r="C6959" s="2" t="s">
        <v>4086</v>
      </c>
      <c r="D6959" s="11" t="n">
        <v>6250</v>
      </c>
      <c r="E6959" s="31" t="n">
        <v>81.1</v>
      </c>
      <c r="F6959" s="31" t="n">
        <v>32.5</v>
      </c>
      <c r="G6959" s="31" t="n">
        <v>10.8</v>
      </c>
      <c r="H6959" s="2" t="s">
        <v>671</v>
      </c>
    </row>
    <row r="6960" customFormat="false" ht="15" hidden="false" customHeight="false" outlineLevel="0" collapsed="false">
      <c r="A6960" s="2" t="s">
        <v>140</v>
      </c>
      <c r="B6960" s="2" t="s">
        <v>47</v>
      </c>
      <c r="C6960" s="2" t="s">
        <v>4087</v>
      </c>
      <c r="D6960" s="11" t="n">
        <v>6255</v>
      </c>
      <c r="E6960" s="31" t="n">
        <v>77.6</v>
      </c>
      <c r="F6960" s="31" t="n">
        <v>13.3</v>
      </c>
      <c r="G6960" s="31" t="n">
        <v>28.2</v>
      </c>
      <c r="H6960" s="2" t="s">
        <v>671</v>
      </c>
    </row>
    <row r="6961" customFormat="false" ht="15" hidden="false" customHeight="false" outlineLevel="0" collapsed="false">
      <c r="A6961" s="2" t="s">
        <v>113</v>
      </c>
      <c r="B6961" s="2" t="s">
        <v>4104</v>
      </c>
      <c r="C6961" s="2" t="s">
        <v>4085</v>
      </c>
      <c r="D6961" s="2"/>
      <c r="E6961" s="2"/>
      <c r="F6961" s="2"/>
      <c r="G6961" s="2"/>
      <c r="H6961" s="2" t="s">
        <v>668</v>
      </c>
    </row>
    <row r="6962" customFormat="false" ht="15" hidden="false" customHeight="false" outlineLevel="0" collapsed="false">
      <c r="A6962" s="2" t="s">
        <v>113</v>
      </c>
      <c r="B6962" s="2" t="s">
        <v>4104</v>
      </c>
      <c r="C6962" s="2" t="s">
        <v>4086</v>
      </c>
      <c r="D6962" s="2"/>
      <c r="E6962" s="31" t="n">
        <v>79.4</v>
      </c>
      <c r="F6962" s="31" t="n">
        <v>25</v>
      </c>
      <c r="G6962" s="31" t="n">
        <v>65.2</v>
      </c>
      <c r="H6962" s="2" t="s">
        <v>671</v>
      </c>
    </row>
    <row r="6963" customFormat="false" ht="15" hidden="false" customHeight="false" outlineLevel="0" collapsed="false">
      <c r="A6963" s="2" t="s">
        <v>113</v>
      </c>
      <c r="B6963" s="2" t="s">
        <v>4104</v>
      </c>
      <c r="C6963" s="2" t="s">
        <v>4087</v>
      </c>
      <c r="D6963" s="2"/>
      <c r="E6963" s="31" t="n">
        <v>88.8</v>
      </c>
      <c r="F6963" s="31" t="n">
        <v>48.2</v>
      </c>
      <c r="G6963" s="31" t="n">
        <v>87.4</v>
      </c>
      <c r="H6963" s="2" t="s">
        <v>671</v>
      </c>
    </row>
    <row r="6964" customFormat="false" ht="15" hidden="false" customHeight="false" outlineLevel="0" collapsed="false">
      <c r="A6964" s="2" t="s">
        <v>113</v>
      </c>
      <c r="B6964" s="2" t="s">
        <v>47</v>
      </c>
      <c r="C6964" s="2" t="s">
        <v>4085</v>
      </c>
      <c r="D6964" s="2"/>
      <c r="E6964" s="2"/>
      <c r="F6964" s="2"/>
      <c r="G6964" s="2"/>
      <c r="H6964" s="2" t="s">
        <v>668</v>
      </c>
    </row>
    <row r="6965" customFormat="false" ht="15" hidden="false" customHeight="false" outlineLevel="0" collapsed="false">
      <c r="A6965" s="2" t="s">
        <v>113</v>
      </c>
      <c r="B6965" s="2" t="s">
        <v>47</v>
      </c>
      <c r="C6965" s="2" t="s">
        <v>4086</v>
      </c>
      <c r="D6965" s="11" t="n">
        <v>51228</v>
      </c>
      <c r="E6965" s="31" t="n">
        <v>79.4</v>
      </c>
      <c r="F6965" s="31" t="n">
        <v>25</v>
      </c>
      <c r="G6965" s="31" t="n">
        <v>65.2</v>
      </c>
      <c r="H6965" s="2" t="s">
        <v>671</v>
      </c>
    </row>
    <row r="6966" customFormat="false" ht="15" hidden="false" customHeight="false" outlineLevel="0" collapsed="false">
      <c r="A6966" s="2" t="s">
        <v>113</v>
      </c>
      <c r="B6966" s="2" t="s">
        <v>47</v>
      </c>
      <c r="C6966" s="2" t="s">
        <v>4087</v>
      </c>
      <c r="D6966" s="11" t="n">
        <v>52423</v>
      </c>
      <c r="E6966" s="31" t="n">
        <v>88.8</v>
      </c>
      <c r="F6966" s="31" t="n">
        <v>48.2</v>
      </c>
      <c r="G6966" s="31" t="n">
        <v>87.4</v>
      </c>
      <c r="H6966" s="2" t="s">
        <v>671</v>
      </c>
    </row>
    <row r="6967" customFormat="false" ht="15" hidden="false" customHeight="false" outlineLevel="0" collapsed="false">
      <c r="A6967" s="2" t="s">
        <v>1988</v>
      </c>
      <c r="B6967" s="2" t="s">
        <v>4104</v>
      </c>
      <c r="C6967" s="2" t="s">
        <v>4085</v>
      </c>
      <c r="D6967" s="2"/>
      <c r="E6967" s="31" t="n">
        <v>36</v>
      </c>
      <c r="F6967" s="31" t="n">
        <v>62.2</v>
      </c>
      <c r="G6967" s="31" t="n">
        <v>85.6</v>
      </c>
      <c r="H6967" s="2" t="s">
        <v>668</v>
      </c>
    </row>
    <row r="6968" customFormat="false" ht="15" hidden="false" customHeight="false" outlineLevel="0" collapsed="false">
      <c r="A6968" s="2" t="s">
        <v>1988</v>
      </c>
      <c r="B6968" s="2" t="s">
        <v>4104</v>
      </c>
      <c r="C6968" s="2" t="s">
        <v>4086</v>
      </c>
      <c r="D6968" s="2"/>
      <c r="E6968" s="31" t="n">
        <v>96.5</v>
      </c>
      <c r="F6968" s="31" t="n">
        <v>19.9</v>
      </c>
      <c r="G6968" s="31" t="n">
        <v>70.6</v>
      </c>
      <c r="H6968" s="2" t="s">
        <v>668</v>
      </c>
    </row>
    <row r="6969" customFormat="false" ht="15" hidden="false" customHeight="false" outlineLevel="0" collapsed="false">
      <c r="A6969" s="2" t="s">
        <v>1988</v>
      </c>
      <c r="B6969" s="2" t="s">
        <v>4104</v>
      </c>
      <c r="C6969" s="2" t="s">
        <v>4087</v>
      </c>
      <c r="D6969" s="2"/>
      <c r="E6969" s="31" t="n">
        <v>96.6</v>
      </c>
      <c r="F6969" s="31" t="n">
        <v>24.7</v>
      </c>
      <c r="G6969" s="31" t="n">
        <v>69.3</v>
      </c>
      <c r="H6969" s="2" t="s">
        <v>668</v>
      </c>
    </row>
    <row r="6970" customFormat="false" ht="15" hidden="false" customHeight="false" outlineLevel="0" collapsed="false">
      <c r="A6970" s="2" t="s">
        <v>1988</v>
      </c>
      <c r="B6970" s="2" t="s">
        <v>46</v>
      </c>
      <c r="C6970" s="2" t="s">
        <v>4085</v>
      </c>
      <c r="D6970" s="11" t="n">
        <v>26040</v>
      </c>
      <c r="E6970" s="31" t="n">
        <v>36</v>
      </c>
      <c r="F6970" s="31" t="n">
        <v>62.2</v>
      </c>
      <c r="G6970" s="31" t="n">
        <v>85.6</v>
      </c>
      <c r="H6970" s="2" t="s">
        <v>671</v>
      </c>
    </row>
    <row r="6971" customFormat="false" ht="15" hidden="false" customHeight="false" outlineLevel="0" collapsed="false">
      <c r="A6971" s="2" t="s">
        <v>1988</v>
      </c>
      <c r="B6971" s="2" t="s">
        <v>46</v>
      </c>
      <c r="C6971" s="2" t="s">
        <v>4086</v>
      </c>
      <c r="D6971" s="2"/>
      <c r="E6971" s="2"/>
      <c r="F6971" s="2"/>
      <c r="G6971" s="2"/>
      <c r="H6971" s="2" t="s">
        <v>668</v>
      </c>
    </row>
    <row r="6972" customFormat="false" ht="15" hidden="false" customHeight="false" outlineLevel="0" collapsed="false">
      <c r="A6972" s="2" t="s">
        <v>1988</v>
      </c>
      <c r="B6972" s="2" t="s">
        <v>46</v>
      </c>
      <c r="C6972" s="2" t="s">
        <v>4087</v>
      </c>
      <c r="D6972" s="2"/>
      <c r="E6972" s="2"/>
      <c r="F6972" s="2"/>
      <c r="G6972" s="2"/>
      <c r="H6972" s="2" t="s">
        <v>668</v>
      </c>
    </row>
    <row r="6973" customFormat="false" ht="15" hidden="false" customHeight="false" outlineLevel="0" collapsed="false">
      <c r="A6973" s="2" t="s">
        <v>1988</v>
      </c>
      <c r="B6973" s="2" t="s">
        <v>47</v>
      </c>
      <c r="C6973" s="2" t="s">
        <v>4085</v>
      </c>
      <c r="D6973" s="2"/>
      <c r="E6973" s="2"/>
      <c r="F6973" s="2"/>
      <c r="G6973" s="2"/>
      <c r="H6973" s="2" t="s">
        <v>668</v>
      </c>
    </row>
    <row r="6974" customFormat="false" ht="15" hidden="false" customHeight="false" outlineLevel="0" collapsed="false">
      <c r="A6974" s="2" t="s">
        <v>1988</v>
      </c>
      <c r="B6974" s="2" t="s">
        <v>47</v>
      </c>
      <c r="C6974" s="2" t="s">
        <v>4086</v>
      </c>
      <c r="D6974" s="11" t="n">
        <v>375181</v>
      </c>
      <c r="E6974" s="31" t="n">
        <v>96.5</v>
      </c>
      <c r="F6974" s="31" t="n">
        <v>19.9</v>
      </c>
      <c r="G6974" s="31" t="n">
        <v>70.6</v>
      </c>
      <c r="H6974" s="2" t="s">
        <v>671</v>
      </c>
    </row>
    <row r="6975" customFormat="false" ht="15" hidden="false" customHeight="false" outlineLevel="0" collapsed="false">
      <c r="A6975" s="2" t="s">
        <v>1988</v>
      </c>
      <c r="B6975" s="2" t="s">
        <v>47</v>
      </c>
      <c r="C6975" s="2" t="s">
        <v>4087</v>
      </c>
      <c r="D6975" s="11" t="n">
        <v>367231</v>
      </c>
      <c r="E6975" s="31" t="n">
        <v>96.6</v>
      </c>
      <c r="F6975" s="31" t="n">
        <v>24.7</v>
      </c>
      <c r="G6975" s="31" t="n">
        <v>69.3</v>
      </c>
      <c r="H6975" s="2" t="s">
        <v>671</v>
      </c>
    </row>
    <row r="6976" customFormat="false" ht="15" hidden="false" customHeight="false" outlineLevel="0" collapsed="false">
      <c r="A6976" s="2" t="s">
        <v>80</v>
      </c>
      <c r="B6976" s="2" t="s">
        <v>4104</v>
      </c>
      <c r="C6976" s="2" t="s">
        <v>4085</v>
      </c>
      <c r="D6976" s="2"/>
      <c r="E6976" s="31" t="n">
        <v>97.4</v>
      </c>
      <c r="F6976" s="31" t="n">
        <v>17.7</v>
      </c>
      <c r="G6976" s="2"/>
      <c r="H6976" s="2" t="s">
        <v>671</v>
      </c>
    </row>
    <row r="6977" customFormat="false" ht="15" hidden="false" customHeight="false" outlineLevel="0" collapsed="false">
      <c r="A6977" s="2" t="s">
        <v>80</v>
      </c>
      <c r="B6977" s="2" t="s">
        <v>4104</v>
      </c>
      <c r="C6977" s="2" t="s">
        <v>4086</v>
      </c>
      <c r="D6977" s="2"/>
      <c r="E6977" s="31" t="n">
        <v>96.2</v>
      </c>
      <c r="F6977" s="31" t="n">
        <v>26.8</v>
      </c>
      <c r="G6977" s="2"/>
      <c r="H6977" s="2" t="s">
        <v>671</v>
      </c>
    </row>
    <row r="6978" customFormat="false" ht="15" hidden="false" customHeight="false" outlineLevel="0" collapsed="false">
      <c r="A6978" s="2" t="s">
        <v>80</v>
      </c>
      <c r="B6978" s="2" t="s">
        <v>4104</v>
      </c>
      <c r="C6978" s="2" t="s">
        <v>4087</v>
      </c>
      <c r="D6978" s="2"/>
      <c r="E6978" s="31" t="n">
        <v>98.7</v>
      </c>
      <c r="F6978" s="31" t="n">
        <v>9.3</v>
      </c>
      <c r="G6978" s="2"/>
      <c r="H6978" s="2" t="s">
        <v>671</v>
      </c>
    </row>
    <row r="6979" customFormat="false" ht="15" hidden="false" customHeight="false" outlineLevel="0" collapsed="false">
      <c r="A6979" s="2" t="s">
        <v>80</v>
      </c>
      <c r="B6979" s="2" t="s">
        <v>45</v>
      </c>
      <c r="C6979" s="2" t="s">
        <v>4085</v>
      </c>
      <c r="D6979" s="11" t="n">
        <v>2315</v>
      </c>
      <c r="E6979" s="31" t="n">
        <v>97.4</v>
      </c>
      <c r="F6979" s="31" t="n">
        <v>17.7</v>
      </c>
      <c r="G6979" s="2"/>
      <c r="H6979" s="2" t="s">
        <v>671</v>
      </c>
    </row>
    <row r="6980" customFormat="false" ht="15" hidden="false" customHeight="false" outlineLevel="0" collapsed="false">
      <c r="A6980" s="2" t="s">
        <v>80</v>
      </c>
      <c r="B6980" s="2" t="s">
        <v>45</v>
      </c>
      <c r="C6980" s="2" t="s">
        <v>4086</v>
      </c>
      <c r="D6980" s="11" t="n">
        <v>2350</v>
      </c>
      <c r="E6980" s="31" t="n">
        <v>96.2</v>
      </c>
      <c r="F6980" s="31" t="n">
        <v>26.8</v>
      </c>
      <c r="G6980" s="2"/>
      <c r="H6980" s="2" t="s">
        <v>671</v>
      </c>
    </row>
    <row r="6981" customFormat="false" ht="15" hidden="false" customHeight="false" outlineLevel="0" collapsed="false">
      <c r="A6981" s="2" t="s">
        <v>80</v>
      </c>
      <c r="B6981" s="2" t="s">
        <v>45</v>
      </c>
      <c r="C6981" s="2" t="s">
        <v>4087</v>
      </c>
      <c r="D6981" s="11" t="n">
        <v>2370</v>
      </c>
      <c r="E6981" s="31" t="n">
        <v>98.7</v>
      </c>
      <c r="F6981" s="31" t="n">
        <v>9.3</v>
      </c>
      <c r="G6981" s="2"/>
      <c r="H6981" s="2" t="s">
        <v>671</v>
      </c>
    </row>
    <row r="6982" customFormat="false" ht="15" hidden="false" customHeight="false" outlineLevel="0" collapsed="false">
      <c r="A6982" s="2" t="s">
        <v>2256</v>
      </c>
      <c r="B6982" s="2" t="s">
        <v>4104</v>
      </c>
      <c r="C6982" s="2" t="s">
        <v>4085</v>
      </c>
      <c r="D6982" s="2"/>
      <c r="E6982" s="31" t="n">
        <v>53.4</v>
      </c>
      <c r="F6982" s="31" t="n">
        <v>58.2</v>
      </c>
      <c r="G6982" s="31" t="n">
        <v>31.4</v>
      </c>
      <c r="H6982" s="2" t="s">
        <v>668</v>
      </c>
    </row>
    <row r="6983" customFormat="false" ht="15" hidden="false" customHeight="false" outlineLevel="0" collapsed="false">
      <c r="A6983" s="2" t="s">
        <v>2256</v>
      </c>
      <c r="B6983" s="2" t="s">
        <v>4104</v>
      </c>
      <c r="C6983" s="2" t="s">
        <v>4086</v>
      </c>
      <c r="D6983" s="2"/>
      <c r="E6983" s="31" t="n">
        <v>38.2</v>
      </c>
      <c r="F6983" s="31" t="n">
        <v>66.6</v>
      </c>
      <c r="G6983" s="31" t="n">
        <v>82.7</v>
      </c>
      <c r="H6983" s="2" t="s">
        <v>668</v>
      </c>
    </row>
    <row r="6984" customFormat="false" ht="15" hidden="false" customHeight="false" outlineLevel="0" collapsed="false">
      <c r="A6984" s="2" t="s">
        <v>2256</v>
      </c>
      <c r="B6984" s="2" t="s">
        <v>4104</v>
      </c>
      <c r="C6984" s="2" t="s">
        <v>4087</v>
      </c>
      <c r="D6984" s="2"/>
      <c r="E6984" s="31" t="n">
        <v>58</v>
      </c>
      <c r="F6984" s="31" t="n">
        <v>35.2</v>
      </c>
      <c r="G6984" s="31" t="n">
        <v>68.6</v>
      </c>
      <c r="H6984" s="2" t="s">
        <v>668</v>
      </c>
    </row>
    <row r="6985" customFormat="false" ht="15" hidden="false" customHeight="false" outlineLevel="0" collapsed="false">
      <c r="A6985" s="2" t="s">
        <v>2256</v>
      </c>
      <c r="B6985" s="2" t="s">
        <v>45</v>
      </c>
      <c r="C6985" s="2" t="s">
        <v>4085</v>
      </c>
      <c r="D6985" s="11" t="n">
        <v>59810</v>
      </c>
      <c r="E6985" s="2"/>
      <c r="F6985" s="31" t="n">
        <v>85.4</v>
      </c>
      <c r="G6985" s="2"/>
      <c r="H6985" s="2" t="s">
        <v>668</v>
      </c>
    </row>
    <row r="6986" customFormat="false" ht="15" hidden="false" customHeight="false" outlineLevel="0" collapsed="false">
      <c r="A6986" s="2" t="s">
        <v>2256</v>
      </c>
      <c r="B6986" s="2" t="s">
        <v>45</v>
      </c>
      <c r="C6986" s="2" t="s">
        <v>4086</v>
      </c>
      <c r="D6986" s="11" t="n">
        <v>62980</v>
      </c>
      <c r="E6986" s="31" t="n">
        <v>8.9</v>
      </c>
      <c r="F6986" s="31" t="n">
        <v>91.1</v>
      </c>
      <c r="G6986" s="31" t="n">
        <v>92.8</v>
      </c>
      <c r="H6986" s="2" t="s">
        <v>671</v>
      </c>
    </row>
    <row r="6987" customFormat="false" ht="15" hidden="false" customHeight="false" outlineLevel="0" collapsed="false">
      <c r="A6987" s="2" t="s">
        <v>2256</v>
      </c>
      <c r="B6987" s="2" t="s">
        <v>45</v>
      </c>
      <c r="C6987" s="2" t="s">
        <v>4087</v>
      </c>
      <c r="D6987" s="11" t="n">
        <v>67340</v>
      </c>
      <c r="E6987" s="2"/>
      <c r="F6987" s="31" t="n">
        <v>52.8</v>
      </c>
      <c r="G6987" s="31" t="n">
        <v>70.7</v>
      </c>
      <c r="H6987" s="2" t="s">
        <v>668</v>
      </c>
    </row>
    <row r="6988" customFormat="false" ht="15" hidden="false" customHeight="false" outlineLevel="0" collapsed="false">
      <c r="A6988" s="2" t="s">
        <v>2256</v>
      </c>
      <c r="B6988" s="2" t="s">
        <v>46</v>
      </c>
      <c r="C6988" s="2" t="s">
        <v>4085</v>
      </c>
      <c r="D6988" s="11" t="n">
        <v>23923</v>
      </c>
      <c r="E6988" s="31" t="n">
        <v>62</v>
      </c>
      <c r="F6988" s="31" t="n">
        <v>57.7</v>
      </c>
      <c r="G6988" s="31" t="n">
        <v>10.3</v>
      </c>
      <c r="H6988" s="2" t="s">
        <v>671</v>
      </c>
    </row>
    <row r="6989" customFormat="false" ht="15" hidden="false" customHeight="false" outlineLevel="0" collapsed="false">
      <c r="A6989" s="2" t="s">
        <v>2256</v>
      </c>
      <c r="B6989" s="2" t="s">
        <v>46</v>
      </c>
      <c r="C6989" s="2" t="s">
        <v>4086</v>
      </c>
      <c r="D6989" s="2"/>
      <c r="E6989" s="2"/>
      <c r="F6989" s="2"/>
      <c r="G6989" s="2"/>
      <c r="H6989" s="2" t="s">
        <v>668</v>
      </c>
    </row>
    <row r="6990" customFormat="false" ht="15" hidden="false" customHeight="false" outlineLevel="0" collapsed="false">
      <c r="A6990" s="2" t="s">
        <v>2256</v>
      </c>
      <c r="B6990" s="2" t="s">
        <v>46</v>
      </c>
      <c r="C6990" s="2" t="s">
        <v>4087</v>
      </c>
      <c r="D6990" s="2"/>
      <c r="E6990" s="2"/>
      <c r="F6990" s="2"/>
      <c r="G6990" s="2"/>
      <c r="H6990" s="2" t="s">
        <v>668</v>
      </c>
    </row>
    <row r="6991" customFormat="false" ht="15" hidden="false" customHeight="false" outlineLevel="0" collapsed="false">
      <c r="A6991" s="2" t="s">
        <v>2256</v>
      </c>
      <c r="B6991" s="2" t="s">
        <v>47</v>
      </c>
      <c r="C6991" s="2" t="s">
        <v>4085</v>
      </c>
      <c r="D6991" s="11" t="n">
        <v>165192</v>
      </c>
      <c r="E6991" s="31" t="n">
        <v>44.8</v>
      </c>
      <c r="F6991" s="31" t="n">
        <v>31.5</v>
      </c>
      <c r="G6991" s="31" t="n">
        <v>52.4</v>
      </c>
      <c r="H6991" s="2" t="s">
        <v>671</v>
      </c>
    </row>
    <row r="6992" customFormat="false" ht="15" hidden="false" customHeight="false" outlineLevel="0" collapsed="false">
      <c r="A6992" s="2" t="s">
        <v>2256</v>
      </c>
      <c r="B6992" s="2" t="s">
        <v>47</v>
      </c>
      <c r="C6992" s="2" t="s">
        <v>4086</v>
      </c>
      <c r="D6992" s="11" t="n">
        <v>164740</v>
      </c>
      <c r="E6992" s="31" t="n">
        <v>67.4</v>
      </c>
      <c r="F6992" s="31" t="n">
        <v>42.2</v>
      </c>
      <c r="G6992" s="31" t="n">
        <v>72.6</v>
      </c>
      <c r="H6992" s="2" t="s">
        <v>671</v>
      </c>
    </row>
    <row r="6993" customFormat="false" ht="15" hidden="false" customHeight="false" outlineLevel="0" collapsed="false">
      <c r="A6993" s="2" t="s">
        <v>2256</v>
      </c>
      <c r="B6993" s="2" t="s">
        <v>47</v>
      </c>
      <c r="C6993" s="2" t="s">
        <v>4087</v>
      </c>
      <c r="D6993" s="11" t="n">
        <v>162241</v>
      </c>
      <c r="E6993" s="31" t="n">
        <v>58</v>
      </c>
      <c r="F6993" s="31" t="n">
        <v>17.5</v>
      </c>
      <c r="G6993" s="31" t="n">
        <v>66.5</v>
      </c>
      <c r="H6993" s="2" t="s">
        <v>671</v>
      </c>
    </row>
    <row r="6994" customFormat="false" ht="15" hidden="false" customHeight="false" outlineLevel="0" collapsed="false">
      <c r="A6994" s="2" t="s">
        <v>438</v>
      </c>
      <c r="B6994" s="2" t="s">
        <v>4104</v>
      </c>
      <c r="C6994" s="2" t="s">
        <v>4085</v>
      </c>
      <c r="D6994" s="2"/>
      <c r="E6994" s="31" t="n">
        <v>23.3</v>
      </c>
      <c r="F6994" s="31" t="n">
        <v>43.3</v>
      </c>
      <c r="G6994" s="31" t="n">
        <v>30</v>
      </c>
      <c r="H6994" s="2" t="s">
        <v>668</v>
      </c>
    </row>
    <row r="6995" customFormat="false" ht="15" hidden="false" customHeight="false" outlineLevel="0" collapsed="false">
      <c r="A6995" s="2" t="s">
        <v>438</v>
      </c>
      <c r="B6995" s="2" t="s">
        <v>4104</v>
      </c>
      <c r="C6995" s="2" t="s">
        <v>4086</v>
      </c>
      <c r="D6995" s="2"/>
      <c r="E6995" s="31" t="n">
        <v>57.2</v>
      </c>
      <c r="F6995" s="31" t="n">
        <v>71.1</v>
      </c>
      <c r="G6995" s="31" t="n">
        <v>66.3</v>
      </c>
      <c r="H6995" s="2" t="s">
        <v>668</v>
      </c>
    </row>
    <row r="6996" customFormat="false" ht="15" hidden="false" customHeight="false" outlineLevel="0" collapsed="false">
      <c r="A6996" s="2" t="s">
        <v>438</v>
      </c>
      <c r="B6996" s="2" t="s">
        <v>4104</v>
      </c>
      <c r="C6996" s="2" t="s">
        <v>4087</v>
      </c>
      <c r="D6996" s="2"/>
      <c r="E6996" s="31" t="n">
        <v>42.8</v>
      </c>
      <c r="F6996" s="31" t="n">
        <v>61</v>
      </c>
      <c r="G6996" s="31" t="n">
        <v>82.6</v>
      </c>
      <c r="H6996" s="2" t="s">
        <v>671</v>
      </c>
    </row>
    <row r="6997" customFormat="false" ht="15" hidden="false" customHeight="false" outlineLevel="0" collapsed="false">
      <c r="A6997" s="2" t="s">
        <v>438</v>
      </c>
      <c r="B6997" s="2" t="s">
        <v>46</v>
      </c>
      <c r="C6997" s="2" t="s">
        <v>4085</v>
      </c>
      <c r="D6997" s="11" t="n">
        <v>17364</v>
      </c>
      <c r="E6997" s="31" t="n">
        <v>32.9</v>
      </c>
      <c r="F6997" s="31" t="n">
        <v>56.9</v>
      </c>
      <c r="G6997" s="2"/>
      <c r="H6997" s="2" t="s">
        <v>668</v>
      </c>
    </row>
    <row r="6998" customFormat="false" ht="15" hidden="false" customHeight="false" outlineLevel="0" collapsed="false">
      <c r="A6998" s="2" t="s">
        <v>438</v>
      </c>
      <c r="B6998" s="2" t="s">
        <v>46</v>
      </c>
      <c r="C6998" s="2" t="s">
        <v>4086</v>
      </c>
      <c r="D6998" s="11" t="n">
        <v>32330</v>
      </c>
      <c r="E6998" s="31" t="n">
        <v>57.2</v>
      </c>
      <c r="F6998" s="31" t="n">
        <v>72.7</v>
      </c>
      <c r="G6998" s="31" t="n">
        <v>89.6</v>
      </c>
      <c r="H6998" s="2" t="s">
        <v>671</v>
      </c>
    </row>
    <row r="6999" customFormat="false" ht="15" hidden="false" customHeight="false" outlineLevel="0" collapsed="false">
      <c r="A6999" s="2" t="s">
        <v>438</v>
      </c>
      <c r="B6999" s="2" t="s">
        <v>46</v>
      </c>
      <c r="C6999" s="2" t="s">
        <v>4087</v>
      </c>
      <c r="D6999" s="11" t="n">
        <v>33730</v>
      </c>
      <c r="E6999" s="31" t="n">
        <v>38.9</v>
      </c>
      <c r="F6999" s="31" t="n">
        <v>56</v>
      </c>
      <c r="G6999" s="31" t="n">
        <v>92.7</v>
      </c>
      <c r="H6999" s="2" t="s">
        <v>671</v>
      </c>
    </row>
    <row r="7000" customFormat="false" ht="15" hidden="false" customHeight="false" outlineLevel="0" collapsed="false">
      <c r="A7000" s="2" t="s">
        <v>438</v>
      </c>
      <c r="B7000" s="2" t="s">
        <v>47</v>
      </c>
      <c r="C7000" s="2" t="s">
        <v>4085</v>
      </c>
      <c r="D7000" s="11" t="n">
        <v>37009</v>
      </c>
      <c r="E7000" s="31" t="n">
        <v>13.7</v>
      </c>
      <c r="F7000" s="31" t="n">
        <v>29.7</v>
      </c>
      <c r="G7000" s="31" t="n">
        <v>30</v>
      </c>
      <c r="H7000" s="2" t="s">
        <v>671</v>
      </c>
    </row>
    <row r="7001" customFormat="false" ht="15" hidden="false" customHeight="false" outlineLevel="0" collapsed="false">
      <c r="A7001" s="2" t="s">
        <v>438</v>
      </c>
      <c r="B7001" s="2" t="s">
        <v>47</v>
      </c>
      <c r="C7001" s="2" t="s">
        <v>4086</v>
      </c>
      <c r="D7001" s="11" t="n">
        <v>38383</v>
      </c>
      <c r="E7001" s="2"/>
      <c r="F7001" s="31" t="n">
        <v>69.5</v>
      </c>
      <c r="G7001" s="31" t="n">
        <v>43</v>
      </c>
      <c r="H7001" s="2" t="s">
        <v>668</v>
      </c>
    </row>
    <row r="7002" customFormat="false" ht="15" hidden="false" customHeight="false" outlineLevel="0" collapsed="false">
      <c r="A7002" s="2" t="s">
        <v>438</v>
      </c>
      <c r="B7002" s="2" t="s">
        <v>47</v>
      </c>
      <c r="C7002" s="2" t="s">
        <v>4087</v>
      </c>
      <c r="D7002" s="11" t="n">
        <v>38608</v>
      </c>
      <c r="E7002" s="31" t="n">
        <v>46.8</v>
      </c>
      <c r="F7002" s="31" t="n">
        <v>66</v>
      </c>
      <c r="G7002" s="31" t="n">
        <v>72.6</v>
      </c>
      <c r="H7002" s="2" t="s">
        <v>671</v>
      </c>
    </row>
    <row r="7003" customFormat="false" ht="15" hidden="false" customHeight="false" outlineLevel="0" collapsed="false">
      <c r="A7003" s="2" t="s">
        <v>183</v>
      </c>
      <c r="B7003" s="2" t="s">
        <v>4104</v>
      </c>
      <c r="C7003" s="2" t="s">
        <v>4085</v>
      </c>
      <c r="D7003" s="2"/>
      <c r="E7003" s="31" t="n">
        <v>56.6</v>
      </c>
      <c r="F7003" s="31" t="n">
        <v>51.1</v>
      </c>
      <c r="G7003" s="31" t="n">
        <v>24.7</v>
      </c>
      <c r="H7003" s="2" t="s">
        <v>671</v>
      </c>
    </row>
    <row r="7004" customFormat="false" ht="15" hidden="false" customHeight="false" outlineLevel="0" collapsed="false">
      <c r="A7004" s="2" t="s">
        <v>183</v>
      </c>
      <c r="B7004" s="2" t="s">
        <v>4104</v>
      </c>
      <c r="C7004" s="2" t="s">
        <v>4086</v>
      </c>
      <c r="D7004" s="2"/>
      <c r="E7004" s="31" t="n">
        <v>66</v>
      </c>
      <c r="F7004" s="31" t="n">
        <v>59.2</v>
      </c>
      <c r="G7004" s="31" t="n">
        <v>12.8</v>
      </c>
      <c r="H7004" s="2" t="s">
        <v>671</v>
      </c>
    </row>
    <row r="7005" customFormat="false" ht="15" hidden="false" customHeight="false" outlineLevel="0" collapsed="false">
      <c r="A7005" s="2" t="s">
        <v>183</v>
      </c>
      <c r="B7005" s="2" t="s">
        <v>4104</v>
      </c>
      <c r="C7005" s="2" t="s">
        <v>4087</v>
      </c>
      <c r="D7005" s="2"/>
      <c r="E7005" s="31" t="n">
        <v>73.8</v>
      </c>
      <c r="F7005" s="31" t="n">
        <v>57.1</v>
      </c>
      <c r="G7005" s="31" t="n">
        <v>28.6</v>
      </c>
      <c r="H7005" s="2" t="s">
        <v>671</v>
      </c>
    </row>
    <row r="7006" customFormat="false" ht="15" hidden="false" customHeight="false" outlineLevel="0" collapsed="false">
      <c r="A7006" s="2" t="s">
        <v>183</v>
      </c>
      <c r="B7006" s="2" t="s">
        <v>45</v>
      </c>
      <c r="C7006" s="2" t="s">
        <v>4085</v>
      </c>
      <c r="D7006" s="11" t="n">
        <v>7013286</v>
      </c>
      <c r="E7006" s="31" t="n">
        <v>34.3</v>
      </c>
      <c r="F7006" s="31" t="n">
        <v>7.1</v>
      </c>
      <c r="G7006" s="31" t="n">
        <v>12.2</v>
      </c>
      <c r="H7006" s="2" t="s">
        <v>671</v>
      </c>
    </row>
    <row r="7007" customFormat="false" ht="15" hidden="false" customHeight="false" outlineLevel="0" collapsed="false">
      <c r="A7007" s="2" t="s">
        <v>183</v>
      </c>
      <c r="B7007" s="2" t="s">
        <v>45</v>
      </c>
      <c r="C7007" s="2" t="s">
        <v>4086</v>
      </c>
      <c r="D7007" s="11" t="n">
        <v>7026670</v>
      </c>
      <c r="E7007" s="31" t="n">
        <v>60.1</v>
      </c>
      <c r="F7007" s="31" t="n">
        <v>29.4</v>
      </c>
      <c r="G7007" s="31" t="n">
        <v>16.6</v>
      </c>
      <c r="H7007" s="2" t="s">
        <v>671</v>
      </c>
    </row>
    <row r="7008" customFormat="false" ht="15" hidden="false" customHeight="false" outlineLevel="0" collapsed="false">
      <c r="A7008" s="2" t="s">
        <v>183</v>
      </c>
      <c r="B7008" s="2" t="s">
        <v>45</v>
      </c>
      <c r="C7008" s="2" t="s">
        <v>4087</v>
      </c>
      <c r="D7008" s="11" t="n">
        <v>7239674</v>
      </c>
      <c r="E7008" s="31" t="n">
        <v>60.9</v>
      </c>
      <c r="F7008" s="31" t="n">
        <v>18.8</v>
      </c>
      <c r="G7008" s="31" t="n">
        <v>18</v>
      </c>
      <c r="H7008" s="2" t="s">
        <v>671</v>
      </c>
    </row>
    <row r="7009" customFormat="false" ht="15" hidden="false" customHeight="false" outlineLevel="0" collapsed="false">
      <c r="A7009" s="2" t="s">
        <v>183</v>
      </c>
      <c r="B7009" s="2" t="s">
        <v>47</v>
      </c>
      <c r="C7009" s="2" t="s">
        <v>4085</v>
      </c>
      <c r="D7009" s="11" t="n">
        <v>11005</v>
      </c>
      <c r="E7009" s="31" t="n">
        <v>78.9</v>
      </c>
      <c r="F7009" s="31" t="n">
        <v>95.1</v>
      </c>
      <c r="G7009" s="31" t="n">
        <v>37.2</v>
      </c>
      <c r="H7009" s="2" t="s">
        <v>671</v>
      </c>
    </row>
    <row r="7010" customFormat="false" ht="15" hidden="false" customHeight="false" outlineLevel="0" collapsed="false">
      <c r="A7010" s="2" t="s">
        <v>183</v>
      </c>
      <c r="B7010" s="2" t="s">
        <v>47</v>
      </c>
      <c r="C7010" s="2" t="s">
        <v>4086</v>
      </c>
      <c r="D7010" s="11" t="n">
        <v>12063</v>
      </c>
      <c r="E7010" s="31" t="n">
        <v>72</v>
      </c>
      <c r="F7010" s="31" t="n">
        <v>89</v>
      </c>
      <c r="G7010" s="31" t="n">
        <v>9</v>
      </c>
      <c r="H7010" s="2" t="s">
        <v>671</v>
      </c>
    </row>
    <row r="7011" customFormat="false" ht="15" hidden="false" customHeight="false" outlineLevel="0" collapsed="false">
      <c r="A7011" s="2" t="s">
        <v>183</v>
      </c>
      <c r="B7011" s="2" t="s">
        <v>47</v>
      </c>
      <c r="C7011" s="2" t="s">
        <v>4087</v>
      </c>
      <c r="D7011" s="11" t="n">
        <v>13086</v>
      </c>
      <c r="E7011" s="31" t="n">
        <v>86.7</v>
      </c>
      <c r="F7011" s="31" t="n">
        <v>95.4</v>
      </c>
      <c r="G7011" s="31" t="n">
        <v>39.2</v>
      </c>
      <c r="H7011" s="2" t="s">
        <v>671</v>
      </c>
    </row>
    <row r="7012" customFormat="false" ht="15" hidden="false" customHeight="false" outlineLevel="0" collapsed="false">
      <c r="A7012" s="2" t="s">
        <v>2032</v>
      </c>
      <c r="B7012" s="2" t="s">
        <v>4104</v>
      </c>
      <c r="C7012" s="2" t="s">
        <v>4085</v>
      </c>
      <c r="D7012" s="2"/>
      <c r="E7012" s="31" t="n">
        <v>56.7</v>
      </c>
      <c r="F7012" s="31" t="n">
        <v>47.8</v>
      </c>
      <c r="G7012" s="31" t="n">
        <v>45.9</v>
      </c>
      <c r="H7012" s="2" t="s">
        <v>668</v>
      </c>
    </row>
    <row r="7013" customFormat="false" ht="15" hidden="false" customHeight="false" outlineLevel="0" collapsed="false">
      <c r="A7013" s="2" t="s">
        <v>2032</v>
      </c>
      <c r="B7013" s="2" t="s">
        <v>4104</v>
      </c>
      <c r="C7013" s="2" t="s">
        <v>4086</v>
      </c>
      <c r="D7013" s="2"/>
      <c r="E7013" s="2"/>
      <c r="F7013" s="2"/>
      <c r="G7013" s="31" t="n">
        <v>60.5</v>
      </c>
      <c r="H7013" s="2" t="s">
        <v>668</v>
      </c>
    </row>
    <row r="7014" customFormat="false" ht="15" hidden="false" customHeight="false" outlineLevel="0" collapsed="false">
      <c r="A7014" s="2" t="s">
        <v>2032</v>
      </c>
      <c r="B7014" s="2" t="s">
        <v>4104</v>
      </c>
      <c r="C7014" s="2" t="s">
        <v>4087</v>
      </c>
      <c r="D7014" s="2"/>
      <c r="E7014" s="31" t="n">
        <v>90.1</v>
      </c>
      <c r="F7014" s="31" t="n">
        <v>41.3</v>
      </c>
      <c r="G7014" s="31" t="n">
        <v>63.5</v>
      </c>
      <c r="H7014" s="2" t="s">
        <v>668</v>
      </c>
    </row>
    <row r="7015" customFormat="false" ht="15" hidden="false" customHeight="false" outlineLevel="0" collapsed="false">
      <c r="A7015" s="2" t="s">
        <v>2032</v>
      </c>
      <c r="B7015" s="2" t="s">
        <v>46</v>
      </c>
      <c r="C7015" s="2" t="s">
        <v>4085</v>
      </c>
      <c r="D7015" s="2"/>
      <c r="E7015" s="2"/>
      <c r="F7015" s="2"/>
      <c r="G7015" s="2"/>
      <c r="H7015" s="2" t="s">
        <v>668</v>
      </c>
    </row>
    <row r="7016" customFormat="false" ht="15" hidden="false" customHeight="false" outlineLevel="0" collapsed="false">
      <c r="A7016" s="2" t="s">
        <v>2032</v>
      </c>
      <c r="B7016" s="2" t="s">
        <v>46</v>
      </c>
      <c r="C7016" s="2" t="s">
        <v>4086</v>
      </c>
      <c r="D7016" s="2"/>
      <c r="E7016" s="2"/>
      <c r="F7016" s="2"/>
      <c r="G7016" s="31" t="n">
        <v>60.5</v>
      </c>
      <c r="H7016" s="2" t="s">
        <v>668</v>
      </c>
    </row>
    <row r="7017" customFormat="false" ht="15" hidden="false" customHeight="false" outlineLevel="0" collapsed="false">
      <c r="A7017" s="2" t="s">
        <v>2032</v>
      </c>
      <c r="B7017" s="2" t="s">
        <v>46</v>
      </c>
      <c r="C7017" s="2" t="s">
        <v>4087</v>
      </c>
      <c r="D7017" s="2"/>
      <c r="E7017" s="2"/>
      <c r="F7017" s="2"/>
      <c r="G7017" s="31" t="n">
        <v>52.5</v>
      </c>
      <c r="H7017" s="2" t="s">
        <v>668</v>
      </c>
    </row>
    <row r="7018" customFormat="false" ht="15" hidden="false" customHeight="false" outlineLevel="0" collapsed="false">
      <c r="A7018" s="2" t="s">
        <v>2032</v>
      </c>
      <c r="B7018" s="2" t="s">
        <v>47</v>
      </c>
      <c r="C7018" s="2" t="s">
        <v>4085</v>
      </c>
      <c r="D7018" s="11" t="n">
        <v>3678</v>
      </c>
      <c r="E7018" s="31" t="n">
        <v>56.7</v>
      </c>
      <c r="F7018" s="31" t="n">
        <v>47.8</v>
      </c>
      <c r="G7018" s="31" t="n">
        <v>45.9</v>
      </c>
      <c r="H7018" s="2" t="s">
        <v>671</v>
      </c>
    </row>
    <row r="7019" customFormat="false" ht="15" hidden="false" customHeight="false" outlineLevel="0" collapsed="false">
      <c r="A7019" s="2" t="s">
        <v>2032</v>
      </c>
      <c r="B7019" s="2" t="s">
        <v>47</v>
      </c>
      <c r="C7019" s="2" t="s">
        <v>4086</v>
      </c>
      <c r="D7019" s="2"/>
      <c r="E7019" s="2"/>
      <c r="F7019" s="2"/>
      <c r="G7019" s="2"/>
      <c r="H7019" s="2" t="s">
        <v>668</v>
      </c>
    </row>
    <row r="7020" customFormat="false" ht="15" hidden="false" customHeight="false" outlineLevel="0" collapsed="false">
      <c r="A7020" s="2" t="s">
        <v>2032</v>
      </c>
      <c r="B7020" s="2" t="s">
        <v>47</v>
      </c>
      <c r="C7020" s="2" t="s">
        <v>4087</v>
      </c>
      <c r="D7020" s="11" t="n">
        <v>3840</v>
      </c>
      <c r="E7020" s="31" t="n">
        <v>90.1</v>
      </c>
      <c r="F7020" s="31" t="n">
        <v>41.3</v>
      </c>
      <c r="G7020" s="31" t="n">
        <v>74.5</v>
      </c>
      <c r="H7020" s="2" t="s">
        <v>671</v>
      </c>
    </row>
    <row r="7021" customFormat="false" ht="15" hidden="false" customHeight="false" outlineLevel="0" collapsed="false">
      <c r="A7021" s="2" t="s">
        <v>1758</v>
      </c>
      <c r="B7021" s="2" t="s">
        <v>4104</v>
      </c>
      <c r="C7021" s="2" t="s">
        <v>4085</v>
      </c>
      <c r="D7021" s="2"/>
      <c r="E7021" s="31" t="n">
        <v>48</v>
      </c>
      <c r="F7021" s="31" t="n">
        <v>59.6</v>
      </c>
      <c r="G7021" s="31" t="n">
        <v>45.1</v>
      </c>
      <c r="H7021" s="2" t="s">
        <v>671</v>
      </c>
    </row>
    <row r="7022" customFormat="false" ht="15" hidden="false" customHeight="false" outlineLevel="0" collapsed="false">
      <c r="A7022" s="2" t="s">
        <v>1758</v>
      </c>
      <c r="B7022" s="2" t="s">
        <v>4104</v>
      </c>
      <c r="C7022" s="2" t="s">
        <v>4086</v>
      </c>
      <c r="D7022" s="2"/>
      <c r="E7022" s="31" t="n">
        <v>45.1</v>
      </c>
      <c r="F7022" s="31" t="n">
        <v>66.8</v>
      </c>
      <c r="G7022" s="31" t="n">
        <v>48.2</v>
      </c>
      <c r="H7022" s="2" t="s">
        <v>671</v>
      </c>
    </row>
    <row r="7023" customFormat="false" ht="15" hidden="false" customHeight="false" outlineLevel="0" collapsed="false">
      <c r="A7023" s="2" t="s">
        <v>1758</v>
      </c>
      <c r="B7023" s="2" t="s">
        <v>4104</v>
      </c>
      <c r="C7023" s="2" t="s">
        <v>4087</v>
      </c>
      <c r="D7023" s="2"/>
      <c r="E7023" s="31" t="n">
        <v>67.6</v>
      </c>
      <c r="F7023" s="31" t="n">
        <v>69.5</v>
      </c>
      <c r="G7023" s="31" t="n">
        <v>43.2</v>
      </c>
      <c r="H7023" s="2" t="s">
        <v>668</v>
      </c>
    </row>
    <row r="7024" customFormat="false" ht="15" hidden="false" customHeight="false" outlineLevel="0" collapsed="false">
      <c r="A7024" s="2" t="s">
        <v>1758</v>
      </c>
      <c r="B7024" s="2" t="s">
        <v>45</v>
      </c>
      <c r="C7024" s="2" t="s">
        <v>4085</v>
      </c>
      <c r="D7024" s="11" t="n">
        <v>59830</v>
      </c>
      <c r="E7024" s="31" t="n">
        <v>100</v>
      </c>
      <c r="F7024" s="31" t="n">
        <v>64.6</v>
      </c>
      <c r="G7024" s="31" t="n">
        <v>17.3</v>
      </c>
      <c r="H7024" s="2" t="s">
        <v>671</v>
      </c>
    </row>
    <row r="7025" customFormat="false" ht="15" hidden="false" customHeight="false" outlineLevel="0" collapsed="false">
      <c r="A7025" s="2" t="s">
        <v>1758</v>
      </c>
      <c r="B7025" s="2" t="s">
        <v>45</v>
      </c>
      <c r="C7025" s="2" t="s">
        <v>4086</v>
      </c>
      <c r="D7025" s="11" t="n">
        <v>59960</v>
      </c>
      <c r="E7025" s="31" t="n">
        <v>100</v>
      </c>
      <c r="F7025" s="31" t="n">
        <v>60.8</v>
      </c>
      <c r="G7025" s="31" t="n">
        <v>4.9</v>
      </c>
      <c r="H7025" s="2" t="s">
        <v>671</v>
      </c>
    </row>
    <row r="7026" customFormat="false" ht="15" hidden="false" customHeight="false" outlineLevel="0" collapsed="false">
      <c r="A7026" s="2" t="s">
        <v>1758</v>
      </c>
      <c r="B7026" s="2" t="s">
        <v>45</v>
      </c>
      <c r="C7026" s="2" t="s">
        <v>4087</v>
      </c>
      <c r="D7026" s="11" t="n">
        <v>63830</v>
      </c>
      <c r="E7026" s="31" t="n">
        <v>99.8</v>
      </c>
      <c r="F7026" s="31" t="n">
        <v>53.6</v>
      </c>
      <c r="G7026" s="31" t="n">
        <v>9.9</v>
      </c>
      <c r="H7026" s="2" t="s">
        <v>668</v>
      </c>
    </row>
    <row r="7027" customFormat="false" ht="15" hidden="false" customHeight="false" outlineLevel="0" collapsed="false">
      <c r="A7027" s="2" t="s">
        <v>1758</v>
      </c>
      <c r="B7027" s="2" t="s">
        <v>46</v>
      </c>
      <c r="C7027" s="2" t="s">
        <v>4085</v>
      </c>
      <c r="D7027" s="11" t="n">
        <v>8130</v>
      </c>
      <c r="E7027" s="31" t="n">
        <v>15.5</v>
      </c>
      <c r="F7027" s="31" t="n">
        <v>77.2</v>
      </c>
      <c r="G7027" s="31" t="n">
        <v>64.8</v>
      </c>
      <c r="H7027" s="2" t="s">
        <v>671</v>
      </c>
    </row>
    <row r="7028" customFormat="false" ht="15" hidden="false" customHeight="false" outlineLevel="0" collapsed="false">
      <c r="A7028" s="2" t="s">
        <v>1758</v>
      </c>
      <c r="B7028" s="2" t="s">
        <v>46</v>
      </c>
      <c r="C7028" s="2" t="s">
        <v>4086</v>
      </c>
      <c r="D7028" s="11" t="n">
        <v>8880</v>
      </c>
      <c r="E7028" s="31" t="n">
        <v>12</v>
      </c>
      <c r="F7028" s="31" t="n">
        <v>77.4</v>
      </c>
      <c r="G7028" s="31" t="n">
        <v>63.1</v>
      </c>
      <c r="H7028" s="2" t="s">
        <v>671</v>
      </c>
    </row>
    <row r="7029" customFormat="false" ht="15" hidden="false" customHeight="false" outlineLevel="0" collapsed="false">
      <c r="A7029" s="2" t="s">
        <v>1758</v>
      </c>
      <c r="B7029" s="2" t="s">
        <v>46</v>
      </c>
      <c r="C7029" s="2" t="s">
        <v>4087</v>
      </c>
      <c r="D7029" s="11" t="n">
        <v>9405</v>
      </c>
      <c r="E7029" s="31" t="n">
        <v>35.5</v>
      </c>
      <c r="F7029" s="31" t="n">
        <v>85.4</v>
      </c>
      <c r="G7029" s="31" t="n">
        <v>76.4</v>
      </c>
      <c r="H7029" s="2" t="s">
        <v>671</v>
      </c>
    </row>
    <row r="7030" customFormat="false" ht="15" hidden="false" customHeight="false" outlineLevel="0" collapsed="false">
      <c r="A7030" s="2" t="s">
        <v>1758</v>
      </c>
      <c r="B7030" s="2" t="s">
        <v>47</v>
      </c>
      <c r="C7030" s="2" t="s">
        <v>4085</v>
      </c>
      <c r="D7030" s="11" t="n">
        <v>173667</v>
      </c>
      <c r="E7030" s="31" t="n">
        <v>28.4</v>
      </c>
      <c r="F7030" s="31" t="n">
        <v>37</v>
      </c>
      <c r="G7030" s="31" t="n">
        <v>53.1</v>
      </c>
      <c r="H7030" s="2" t="s">
        <v>671</v>
      </c>
    </row>
    <row r="7031" customFormat="false" ht="15" hidden="false" customHeight="false" outlineLevel="0" collapsed="false">
      <c r="A7031" s="2" t="s">
        <v>1758</v>
      </c>
      <c r="B7031" s="2" t="s">
        <v>47</v>
      </c>
      <c r="C7031" s="2" t="s">
        <v>4086</v>
      </c>
      <c r="D7031" s="11" t="n">
        <v>182920</v>
      </c>
      <c r="E7031" s="31" t="n">
        <v>23.3</v>
      </c>
      <c r="F7031" s="31" t="n">
        <v>62.1</v>
      </c>
      <c r="G7031" s="31" t="n">
        <v>76.7</v>
      </c>
      <c r="H7031" s="2" t="s">
        <v>671</v>
      </c>
    </row>
    <row r="7032" customFormat="false" ht="15" hidden="false" customHeight="false" outlineLevel="0" collapsed="false">
      <c r="A7032" s="2" t="s">
        <v>1758</v>
      </c>
      <c r="B7032" s="2" t="s">
        <v>47</v>
      </c>
      <c r="C7032" s="2" t="s">
        <v>4087</v>
      </c>
      <c r="D7032" s="2"/>
      <c r="E7032" s="2"/>
      <c r="F7032" s="2"/>
      <c r="G7032" s="2"/>
      <c r="H7032" s="2" t="s">
        <v>668</v>
      </c>
    </row>
    <row r="7033" customFormat="false" ht="15" hidden="false" customHeight="false" outlineLevel="0" collapsed="false">
      <c r="A7033" s="2" t="s">
        <v>226</v>
      </c>
      <c r="B7033" s="2" t="s">
        <v>4104</v>
      </c>
      <c r="C7033" s="2" t="s">
        <v>4085</v>
      </c>
      <c r="D7033" s="2"/>
      <c r="E7033" s="31" t="n">
        <v>91.6</v>
      </c>
      <c r="F7033" s="2"/>
      <c r="G7033" s="2"/>
      <c r="H7033" s="2" t="s">
        <v>668</v>
      </c>
    </row>
    <row r="7034" customFormat="false" ht="15" hidden="false" customHeight="false" outlineLevel="0" collapsed="false">
      <c r="A7034" s="2" t="s">
        <v>226</v>
      </c>
      <c r="B7034" s="2" t="s">
        <v>4104</v>
      </c>
      <c r="C7034" s="2" t="s">
        <v>4086</v>
      </c>
      <c r="D7034" s="2"/>
      <c r="E7034" s="2"/>
      <c r="F7034" s="2"/>
      <c r="G7034" s="2"/>
      <c r="H7034" s="2" t="s">
        <v>668</v>
      </c>
    </row>
    <row r="7035" customFormat="false" ht="15" hidden="false" customHeight="false" outlineLevel="0" collapsed="false">
      <c r="A7035" s="2" t="s">
        <v>226</v>
      </c>
      <c r="B7035" s="2" t="s">
        <v>4104</v>
      </c>
      <c r="C7035" s="2" t="s">
        <v>4087</v>
      </c>
      <c r="D7035" s="2"/>
      <c r="E7035" s="31" t="n">
        <v>67.2</v>
      </c>
      <c r="F7035" s="31" t="n">
        <v>22.9</v>
      </c>
      <c r="G7035" s="31" t="n">
        <v>99.2</v>
      </c>
      <c r="H7035" s="2" t="s">
        <v>671</v>
      </c>
    </row>
    <row r="7036" customFormat="false" ht="15" hidden="false" customHeight="false" outlineLevel="0" collapsed="false">
      <c r="A7036" s="2" t="s">
        <v>226</v>
      </c>
      <c r="B7036" s="2" t="s">
        <v>46</v>
      </c>
      <c r="C7036" s="2" t="s">
        <v>4085</v>
      </c>
      <c r="D7036" s="11" t="n">
        <v>4870</v>
      </c>
      <c r="E7036" s="31" t="n">
        <v>91.6</v>
      </c>
      <c r="F7036" s="2"/>
      <c r="G7036" s="2"/>
      <c r="H7036" s="2" t="s">
        <v>668</v>
      </c>
    </row>
    <row r="7037" customFormat="false" ht="15" hidden="false" customHeight="false" outlineLevel="0" collapsed="false">
      <c r="A7037" s="2" t="s">
        <v>226</v>
      </c>
      <c r="B7037" s="2" t="s">
        <v>46</v>
      </c>
      <c r="C7037" s="2" t="s">
        <v>4086</v>
      </c>
      <c r="D7037" s="2"/>
      <c r="E7037" s="2"/>
      <c r="F7037" s="2"/>
      <c r="G7037" s="2"/>
      <c r="H7037" s="2" t="s">
        <v>668</v>
      </c>
    </row>
    <row r="7038" customFormat="false" ht="15" hidden="false" customHeight="false" outlineLevel="0" collapsed="false">
      <c r="A7038" s="2" t="s">
        <v>226</v>
      </c>
      <c r="B7038" s="2" t="s">
        <v>46</v>
      </c>
      <c r="C7038" s="2" t="s">
        <v>4087</v>
      </c>
      <c r="D7038" s="11" t="n">
        <v>5120</v>
      </c>
      <c r="E7038" s="31" t="n">
        <v>67.2</v>
      </c>
      <c r="F7038" s="31" t="n">
        <v>22.9</v>
      </c>
      <c r="G7038" s="31" t="n">
        <v>99.2</v>
      </c>
      <c r="H7038" s="2" t="s">
        <v>671</v>
      </c>
    </row>
    <row r="7039" customFormat="false" ht="15" hidden="false" customHeight="false" outlineLevel="0" collapsed="false">
      <c r="A7039" s="2" t="s">
        <v>3128</v>
      </c>
      <c r="B7039" s="2" t="s">
        <v>4104</v>
      </c>
      <c r="C7039" s="2" t="s">
        <v>4087</v>
      </c>
      <c r="D7039" s="2"/>
      <c r="E7039" s="2"/>
      <c r="F7039" s="2"/>
      <c r="G7039" s="2"/>
      <c r="H7039" s="2" t="s">
        <v>668</v>
      </c>
    </row>
    <row r="7040" customFormat="false" ht="15" hidden="false" customHeight="false" outlineLevel="0" collapsed="false">
      <c r="A7040" s="2" t="s">
        <v>3128</v>
      </c>
      <c r="B7040" s="2" t="s">
        <v>45</v>
      </c>
      <c r="C7040" s="2" t="s">
        <v>4087</v>
      </c>
      <c r="D7040" s="2"/>
      <c r="E7040" s="2"/>
      <c r="F7040" s="2"/>
      <c r="G7040" s="2"/>
      <c r="H7040" s="2" t="s">
        <v>668</v>
      </c>
    </row>
    <row r="7041" customFormat="false" ht="15" hidden="false" customHeight="false" outlineLevel="0" collapsed="false">
      <c r="A7041" s="2" t="s">
        <v>2501</v>
      </c>
      <c r="B7041" s="2" t="s">
        <v>4104</v>
      </c>
      <c r="C7041" s="2" t="s">
        <v>4085</v>
      </c>
      <c r="D7041" s="2"/>
      <c r="E7041" s="31" t="n">
        <v>56.3</v>
      </c>
      <c r="F7041" s="31" t="n">
        <v>73</v>
      </c>
      <c r="G7041" s="31" t="n">
        <v>63</v>
      </c>
      <c r="H7041" s="2" t="s">
        <v>671</v>
      </c>
    </row>
    <row r="7042" customFormat="false" ht="15" hidden="false" customHeight="false" outlineLevel="0" collapsed="false">
      <c r="A7042" s="2" t="s">
        <v>2501</v>
      </c>
      <c r="B7042" s="2" t="s">
        <v>4104</v>
      </c>
      <c r="C7042" s="2" t="s">
        <v>4086</v>
      </c>
      <c r="D7042" s="2"/>
      <c r="E7042" s="31" t="n">
        <v>51.5</v>
      </c>
      <c r="F7042" s="31" t="n">
        <v>62.2</v>
      </c>
      <c r="G7042" s="31" t="n">
        <v>67.9</v>
      </c>
      <c r="H7042" s="2" t="s">
        <v>671</v>
      </c>
    </row>
    <row r="7043" customFormat="false" ht="15" hidden="false" customHeight="false" outlineLevel="0" collapsed="false">
      <c r="A7043" s="2" t="s">
        <v>2501</v>
      </c>
      <c r="B7043" s="2" t="s">
        <v>4104</v>
      </c>
      <c r="C7043" s="2" t="s">
        <v>4087</v>
      </c>
      <c r="D7043" s="2"/>
      <c r="E7043" s="31" t="n">
        <v>60.8</v>
      </c>
      <c r="F7043" s="31" t="n">
        <v>90.6</v>
      </c>
      <c r="G7043" s="31" t="n">
        <v>76.7</v>
      </c>
      <c r="H7043" s="2" t="s">
        <v>668</v>
      </c>
    </row>
    <row r="7044" customFormat="false" ht="15" hidden="false" customHeight="false" outlineLevel="0" collapsed="false">
      <c r="A7044" s="2" t="s">
        <v>2501</v>
      </c>
      <c r="B7044" s="2" t="s">
        <v>45</v>
      </c>
      <c r="C7044" s="2" t="s">
        <v>4085</v>
      </c>
      <c r="D7044" s="11" t="n">
        <v>8560</v>
      </c>
      <c r="E7044" s="31" t="n">
        <v>54</v>
      </c>
      <c r="F7044" s="31" t="n">
        <v>43.5</v>
      </c>
      <c r="G7044" s="31" t="n">
        <v>55.6</v>
      </c>
      <c r="H7044" s="2" t="s">
        <v>671</v>
      </c>
    </row>
    <row r="7045" customFormat="false" ht="15" hidden="false" customHeight="false" outlineLevel="0" collapsed="false">
      <c r="A7045" s="2" t="s">
        <v>2501</v>
      </c>
      <c r="B7045" s="2" t="s">
        <v>45</v>
      </c>
      <c r="C7045" s="2" t="s">
        <v>4086</v>
      </c>
      <c r="D7045" s="11" t="n">
        <v>8810</v>
      </c>
      <c r="E7045" s="31" t="n">
        <v>48.2</v>
      </c>
      <c r="F7045" s="31" t="n">
        <v>36.6</v>
      </c>
      <c r="G7045" s="31" t="n">
        <v>59.2</v>
      </c>
      <c r="H7045" s="2" t="s">
        <v>671</v>
      </c>
    </row>
    <row r="7046" customFormat="false" ht="15" hidden="false" customHeight="false" outlineLevel="0" collapsed="false">
      <c r="A7046" s="2" t="s">
        <v>2501</v>
      </c>
      <c r="B7046" s="2" t="s">
        <v>45</v>
      </c>
      <c r="C7046" s="2" t="s">
        <v>4087</v>
      </c>
      <c r="D7046" s="2"/>
      <c r="E7046" s="2"/>
      <c r="F7046" s="2"/>
      <c r="G7046" s="31" t="n">
        <v>79.3</v>
      </c>
      <c r="H7046" s="2" t="s">
        <v>668</v>
      </c>
    </row>
    <row r="7047" customFormat="false" ht="15" hidden="false" customHeight="false" outlineLevel="0" collapsed="false">
      <c r="A7047" s="2" t="s">
        <v>2501</v>
      </c>
      <c r="B7047" s="2" t="s">
        <v>46</v>
      </c>
      <c r="C7047" s="2" t="s">
        <v>4085</v>
      </c>
      <c r="D7047" s="11" t="n">
        <v>442502</v>
      </c>
      <c r="E7047" s="31" t="n">
        <v>93.9</v>
      </c>
      <c r="F7047" s="31" t="n">
        <v>90.4</v>
      </c>
      <c r="G7047" s="31" t="n">
        <v>42.5</v>
      </c>
      <c r="H7047" s="2" t="s">
        <v>671</v>
      </c>
    </row>
    <row r="7048" customFormat="false" ht="15" hidden="false" customHeight="false" outlineLevel="0" collapsed="false">
      <c r="A7048" s="2" t="s">
        <v>2501</v>
      </c>
      <c r="B7048" s="2" t="s">
        <v>46</v>
      </c>
      <c r="C7048" s="2" t="s">
        <v>4086</v>
      </c>
      <c r="D7048" s="11" t="n">
        <v>472070</v>
      </c>
      <c r="E7048" s="31" t="n">
        <v>93.1</v>
      </c>
      <c r="F7048" s="31" t="n">
        <v>56.1</v>
      </c>
      <c r="G7048" s="31" t="n">
        <v>61.4</v>
      </c>
      <c r="H7048" s="2" t="s">
        <v>671</v>
      </c>
    </row>
    <row r="7049" customFormat="false" ht="15" hidden="false" customHeight="false" outlineLevel="0" collapsed="false">
      <c r="A7049" s="2" t="s">
        <v>2501</v>
      </c>
      <c r="B7049" s="2" t="s">
        <v>46</v>
      </c>
      <c r="C7049" s="2" t="s">
        <v>4087</v>
      </c>
      <c r="D7049" s="11" t="n">
        <v>468231</v>
      </c>
      <c r="E7049" s="31" t="n">
        <v>95.3</v>
      </c>
      <c r="F7049" s="31" t="n">
        <v>90.1</v>
      </c>
      <c r="G7049" s="2"/>
      <c r="H7049" s="2" t="s">
        <v>668</v>
      </c>
    </row>
    <row r="7050" customFormat="false" ht="15" hidden="false" customHeight="false" outlineLevel="0" collapsed="false">
      <c r="A7050" s="2" t="s">
        <v>2501</v>
      </c>
      <c r="B7050" s="2" t="s">
        <v>47</v>
      </c>
      <c r="C7050" s="2" t="s">
        <v>4085</v>
      </c>
      <c r="D7050" s="11" t="n">
        <v>224540</v>
      </c>
      <c r="E7050" s="31" t="n">
        <v>20.9</v>
      </c>
      <c r="F7050" s="31" t="n">
        <v>85.2</v>
      </c>
      <c r="G7050" s="31" t="n">
        <v>90.8</v>
      </c>
      <c r="H7050" s="2" t="s">
        <v>671</v>
      </c>
    </row>
    <row r="7051" customFormat="false" ht="15" hidden="false" customHeight="false" outlineLevel="0" collapsed="false">
      <c r="A7051" s="2" t="s">
        <v>2501</v>
      </c>
      <c r="B7051" s="2" t="s">
        <v>47</v>
      </c>
      <c r="C7051" s="2" t="s">
        <v>4086</v>
      </c>
      <c r="D7051" s="11" t="n">
        <v>237354</v>
      </c>
      <c r="E7051" s="31" t="n">
        <v>13.1</v>
      </c>
      <c r="F7051" s="31" t="n">
        <v>93.8</v>
      </c>
      <c r="G7051" s="31" t="n">
        <v>83</v>
      </c>
      <c r="H7051" s="2" t="s">
        <v>671</v>
      </c>
    </row>
    <row r="7052" customFormat="false" ht="15" hidden="false" customHeight="false" outlineLevel="0" collapsed="false">
      <c r="A7052" s="2" t="s">
        <v>2501</v>
      </c>
      <c r="B7052" s="2" t="s">
        <v>47</v>
      </c>
      <c r="C7052" s="2" t="s">
        <v>4087</v>
      </c>
      <c r="D7052" s="11" t="n">
        <v>248173</v>
      </c>
      <c r="E7052" s="31" t="n">
        <v>26.2</v>
      </c>
      <c r="F7052" s="31" t="n">
        <v>91</v>
      </c>
      <c r="G7052" s="31" t="n">
        <v>74.1</v>
      </c>
      <c r="H7052" s="2" t="s">
        <v>671</v>
      </c>
    </row>
    <row r="7053" customFormat="false" ht="15" hidden="false" customHeight="false" outlineLevel="0" collapsed="false">
      <c r="A7053" s="2" t="s">
        <v>1679</v>
      </c>
      <c r="B7053" s="2" t="s">
        <v>4104</v>
      </c>
      <c r="C7053" s="2" t="s">
        <v>4085</v>
      </c>
      <c r="D7053" s="2"/>
      <c r="E7053" s="31" t="n">
        <v>43.9</v>
      </c>
      <c r="F7053" s="31" t="n">
        <v>28.4</v>
      </c>
      <c r="G7053" s="31" t="n">
        <v>65.5</v>
      </c>
      <c r="H7053" s="2" t="s">
        <v>671</v>
      </c>
    </row>
    <row r="7054" customFormat="false" ht="15" hidden="false" customHeight="false" outlineLevel="0" collapsed="false">
      <c r="A7054" s="2" t="s">
        <v>1679</v>
      </c>
      <c r="B7054" s="2" t="s">
        <v>4104</v>
      </c>
      <c r="C7054" s="2" t="s">
        <v>4086</v>
      </c>
      <c r="D7054" s="2"/>
      <c r="E7054" s="31" t="n">
        <v>62.7</v>
      </c>
      <c r="F7054" s="31" t="n">
        <v>21.2</v>
      </c>
      <c r="G7054" s="31" t="n">
        <v>42.6</v>
      </c>
      <c r="H7054" s="2" t="s">
        <v>671</v>
      </c>
    </row>
    <row r="7055" customFormat="false" ht="15" hidden="false" customHeight="false" outlineLevel="0" collapsed="false">
      <c r="A7055" s="2" t="s">
        <v>1679</v>
      </c>
      <c r="B7055" s="2" t="s">
        <v>4104</v>
      </c>
      <c r="C7055" s="2" t="s">
        <v>4087</v>
      </c>
      <c r="D7055" s="2"/>
      <c r="E7055" s="31" t="n">
        <v>28.2</v>
      </c>
      <c r="F7055" s="31" t="n">
        <v>29</v>
      </c>
      <c r="G7055" s="31" t="n">
        <v>42.3</v>
      </c>
      <c r="H7055" s="2" t="s">
        <v>668</v>
      </c>
    </row>
    <row r="7056" customFormat="false" ht="15" hidden="false" customHeight="false" outlineLevel="0" collapsed="false">
      <c r="A7056" s="2" t="s">
        <v>1679</v>
      </c>
      <c r="B7056" s="2" t="s">
        <v>45</v>
      </c>
      <c r="C7056" s="2" t="s">
        <v>4085</v>
      </c>
      <c r="D7056" s="11" t="n">
        <v>51115</v>
      </c>
      <c r="E7056" s="31" t="n">
        <v>78.6</v>
      </c>
      <c r="F7056" s="31" t="n">
        <v>17.2</v>
      </c>
      <c r="G7056" s="31" t="n">
        <v>91.7</v>
      </c>
      <c r="H7056" s="2" t="s">
        <v>671</v>
      </c>
    </row>
    <row r="7057" customFormat="false" ht="15" hidden="false" customHeight="false" outlineLevel="0" collapsed="false">
      <c r="A7057" s="2" t="s">
        <v>1679</v>
      </c>
      <c r="B7057" s="2" t="s">
        <v>45</v>
      </c>
      <c r="C7057" s="2" t="s">
        <v>4086</v>
      </c>
      <c r="D7057" s="11" t="n">
        <v>50050</v>
      </c>
      <c r="E7057" s="31" t="n">
        <v>82.8</v>
      </c>
      <c r="F7057" s="31" t="n">
        <v>7.6</v>
      </c>
      <c r="G7057" s="31" t="n">
        <v>90.2</v>
      </c>
      <c r="H7057" s="2" t="s">
        <v>671</v>
      </c>
    </row>
    <row r="7058" customFormat="false" ht="15" hidden="false" customHeight="false" outlineLevel="0" collapsed="false">
      <c r="A7058" s="2" t="s">
        <v>1679</v>
      </c>
      <c r="B7058" s="2" t="s">
        <v>45</v>
      </c>
      <c r="C7058" s="2" t="s">
        <v>4087</v>
      </c>
      <c r="D7058" s="2"/>
      <c r="E7058" s="2"/>
      <c r="F7058" s="2"/>
      <c r="G7058" s="2"/>
      <c r="H7058" s="2" t="s">
        <v>668</v>
      </c>
    </row>
    <row r="7059" customFormat="false" ht="15" hidden="false" customHeight="false" outlineLevel="0" collapsed="false">
      <c r="A7059" s="2" t="s">
        <v>1679</v>
      </c>
      <c r="B7059" s="2" t="s">
        <v>46</v>
      </c>
      <c r="C7059" s="2" t="s">
        <v>4085</v>
      </c>
      <c r="D7059" s="11" t="n">
        <v>116183</v>
      </c>
      <c r="E7059" s="31" t="n">
        <v>46.4</v>
      </c>
      <c r="F7059" s="31" t="n">
        <v>61.5</v>
      </c>
      <c r="G7059" s="31" t="n">
        <v>57.1</v>
      </c>
      <c r="H7059" s="2" t="s">
        <v>671</v>
      </c>
    </row>
    <row r="7060" customFormat="false" ht="15" hidden="false" customHeight="false" outlineLevel="0" collapsed="false">
      <c r="A7060" s="2" t="s">
        <v>1679</v>
      </c>
      <c r="B7060" s="2" t="s">
        <v>46</v>
      </c>
      <c r="C7060" s="2" t="s">
        <v>4086</v>
      </c>
      <c r="D7060" s="11" t="n">
        <v>118500</v>
      </c>
      <c r="E7060" s="31" t="n">
        <v>77.4</v>
      </c>
      <c r="F7060" s="31" t="n">
        <v>53.5</v>
      </c>
      <c r="G7060" s="31" t="n">
        <v>29.8</v>
      </c>
      <c r="H7060" s="2" t="s">
        <v>671</v>
      </c>
    </row>
    <row r="7061" customFormat="false" ht="15" hidden="false" customHeight="false" outlineLevel="0" collapsed="false">
      <c r="A7061" s="2" t="s">
        <v>1679</v>
      </c>
      <c r="B7061" s="2" t="s">
        <v>46</v>
      </c>
      <c r="C7061" s="2" t="s">
        <v>4087</v>
      </c>
      <c r="D7061" s="11" t="n">
        <v>124201</v>
      </c>
      <c r="E7061" s="31" t="n">
        <v>49.9</v>
      </c>
      <c r="F7061" s="31" t="n">
        <v>51</v>
      </c>
      <c r="G7061" s="31" t="n">
        <v>64</v>
      </c>
      <c r="H7061" s="2" t="s">
        <v>671</v>
      </c>
    </row>
    <row r="7062" customFormat="false" ht="15" hidden="false" customHeight="false" outlineLevel="0" collapsed="false">
      <c r="A7062" s="2" t="s">
        <v>1679</v>
      </c>
      <c r="B7062" s="2" t="s">
        <v>47</v>
      </c>
      <c r="C7062" s="2" t="s">
        <v>4085</v>
      </c>
      <c r="D7062" s="11" t="n">
        <v>55272</v>
      </c>
      <c r="E7062" s="31" t="n">
        <v>6.7</v>
      </c>
      <c r="F7062" s="31" t="n">
        <v>6.5</v>
      </c>
      <c r="G7062" s="31" t="n">
        <v>47.8</v>
      </c>
      <c r="H7062" s="2" t="s">
        <v>671</v>
      </c>
    </row>
    <row r="7063" customFormat="false" ht="15" hidden="false" customHeight="false" outlineLevel="0" collapsed="false">
      <c r="A7063" s="2" t="s">
        <v>1679</v>
      </c>
      <c r="B7063" s="2" t="s">
        <v>47</v>
      </c>
      <c r="C7063" s="2" t="s">
        <v>4086</v>
      </c>
      <c r="D7063" s="11" t="n">
        <v>54567</v>
      </c>
      <c r="E7063" s="31" t="n">
        <v>27.9</v>
      </c>
      <c r="F7063" s="31" t="n">
        <v>2.6</v>
      </c>
      <c r="G7063" s="31" t="n">
        <v>7.9</v>
      </c>
      <c r="H7063" s="2" t="s">
        <v>671</v>
      </c>
    </row>
    <row r="7064" customFormat="false" ht="15" hidden="false" customHeight="false" outlineLevel="0" collapsed="false">
      <c r="A7064" s="2" t="s">
        <v>1679</v>
      </c>
      <c r="B7064" s="2" t="s">
        <v>47</v>
      </c>
      <c r="C7064" s="2" t="s">
        <v>4087</v>
      </c>
      <c r="D7064" s="11" t="n">
        <v>55202</v>
      </c>
      <c r="E7064" s="31" t="n">
        <v>6.5</v>
      </c>
      <c r="F7064" s="31" t="n">
        <v>7.1</v>
      </c>
      <c r="G7064" s="31" t="n">
        <v>20.6</v>
      </c>
      <c r="H7064" s="2" t="s">
        <v>671</v>
      </c>
    </row>
    <row r="7065" customFormat="false" ht="15" hidden="false" customHeight="false" outlineLevel="0" collapsed="false">
      <c r="A7065" s="2" t="s">
        <v>2056</v>
      </c>
      <c r="B7065" s="2" t="s">
        <v>4104</v>
      </c>
      <c r="C7065" s="2" t="s">
        <v>4085</v>
      </c>
      <c r="D7065" s="2"/>
      <c r="E7065" s="31" t="n">
        <v>51.5</v>
      </c>
      <c r="F7065" s="31" t="n">
        <v>69</v>
      </c>
      <c r="G7065" s="31" t="n">
        <v>25.8</v>
      </c>
      <c r="H7065" s="2" t="s">
        <v>671</v>
      </c>
    </row>
    <row r="7066" customFormat="false" ht="15" hidden="false" customHeight="false" outlineLevel="0" collapsed="false">
      <c r="A7066" s="2" t="s">
        <v>2056</v>
      </c>
      <c r="B7066" s="2" t="s">
        <v>4104</v>
      </c>
      <c r="C7066" s="2" t="s">
        <v>4086</v>
      </c>
      <c r="D7066" s="2"/>
      <c r="E7066" s="31" t="n">
        <v>48.6</v>
      </c>
      <c r="F7066" s="31" t="n">
        <v>77.6</v>
      </c>
      <c r="G7066" s="31" t="n">
        <v>13.8</v>
      </c>
      <c r="H7066" s="2" t="s">
        <v>668</v>
      </c>
    </row>
    <row r="7067" customFormat="false" ht="15" hidden="false" customHeight="false" outlineLevel="0" collapsed="false">
      <c r="A7067" s="2" t="s">
        <v>2056</v>
      </c>
      <c r="B7067" s="2" t="s">
        <v>4104</v>
      </c>
      <c r="C7067" s="2" t="s">
        <v>4087</v>
      </c>
      <c r="D7067" s="2"/>
      <c r="E7067" s="31" t="n">
        <v>87.3</v>
      </c>
      <c r="F7067" s="31" t="n">
        <v>89</v>
      </c>
      <c r="G7067" s="31" t="n">
        <v>18.3</v>
      </c>
      <c r="H7067" s="2" t="s">
        <v>668</v>
      </c>
    </row>
    <row r="7068" customFormat="false" ht="15" hidden="false" customHeight="false" outlineLevel="0" collapsed="false">
      <c r="A7068" s="2" t="s">
        <v>2056</v>
      </c>
      <c r="B7068" s="2" t="s">
        <v>46</v>
      </c>
      <c r="C7068" s="2" t="s">
        <v>4085</v>
      </c>
      <c r="D7068" s="11" t="n">
        <v>104400</v>
      </c>
      <c r="E7068" s="31" t="n">
        <v>64.2</v>
      </c>
      <c r="F7068" s="31" t="n">
        <v>60.9</v>
      </c>
      <c r="G7068" s="31" t="n">
        <v>25.6</v>
      </c>
      <c r="H7068" s="2" t="s">
        <v>671</v>
      </c>
    </row>
    <row r="7069" customFormat="false" ht="15" hidden="false" customHeight="false" outlineLevel="0" collapsed="false">
      <c r="A7069" s="2" t="s">
        <v>2056</v>
      </c>
      <c r="B7069" s="2" t="s">
        <v>46</v>
      </c>
      <c r="C7069" s="2" t="s">
        <v>4086</v>
      </c>
      <c r="D7069" s="11" t="n">
        <v>106460</v>
      </c>
      <c r="E7069" s="31" t="n">
        <v>68.4</v>
      </c>
      <c r="F7069" s="31" t="n">
        <v>72.6</v>
      </c>
      <c r="G7069" s="2"/>
      <c r="H7069" s="2" t="s">
        <v>668</v>
      </c>
    </row>
    <row r="7070" customFormat="false" ht="15" hidden="false" customHeight="false" outlineLevel="0" collapsed="false">
      <c r="A7070" s="2" t="s">
        <v>2056</v>
      </c>
      <c r="B7070" s="2" t="s">
        <v>46</v>
      </c>
      <c r="C7070" s="2" t="s">
        <v>4087</v>
      </c>
      <c r="D7070" s="2"/>
      <c r="E7070" s="2"/>
      <c r="F7070" s="2"/>
      <c r="G7070" s="2"/>
      <c r="H7070" s="2" t="s">
        <v>668</v>
      </c>
    </row>
    <row r="7071" customFormat="false" ht="15" hidden="false" customHeight="false" outlineLevel="0" collapsed="false">
      <c r="A7071" s="2" t="s">
        <v>2056</v>
      </c>
      <c r="B7071" s="2" t="s">
        <v>47</v>
      </c>
      <c r="C7071" s="2" t="s">
        <v>4085</v>
      </c>
      <c r="D7071" s="11" t="n">
        <v>42045</v>
      </c>
      <c r="E7071" s="31" t="n">
        <v>38.8</v>
      </c>
      <c r="F7071" s="31" t="n">
        <v>77.1</v>
      </c>
      <c r="G7071" s="31" t="n">
        <v>26.1</v>
      </c>
      <c r="H7071" s="2" t="s">
        <v>671</v>
      </c>
    </row>
    <row r="7072" customFormat="false" ht="15" hidden="false" customHeight="false" outlineLevel="0" collapsed="false">
      <c r="A7072" s="2" t="s">
        <v>2056</v>
      </c>
      <c r="B7072" s="2" t="s">
        <v>47</v>
      </c>
      <c r="C7072" s="2" t="s">
        <v>4086</v>
      </c>
      <c r="D7072" s="11" t="n">
        <v>45000</v>
      </c>
      <c r="E7072" s="31" t="n">
        <v>28.7</v>
      </c>
      <c r="F7072" s="31" t="n">
        <v>82.5</v>
      </c>
      <c r="G7072" s="31" t="n">
        <v>13.8</v>
      </c>
      <c r="H7072" s="2" t="s">
        <v>671</v>
      </c>
    </row>
    <row r="7073" customFormat="false" ht="15" hidden="false" customHeight="false" outlineLevel="0" collapsed="false">
      <c r="A7073" s="2" t="s">
        <v>2056</v>
      </c>
      <c r="B7073" s="2" t="s">
        <v>47</v>
      </c>
      <c r="C7073" s="2" t="s">
        <v>4087</v>
      </c>
      <c r="D7073" s="11" t="n">
        <v>46497</v>
      </c>
      <c r="E7073" s="31" t="n">
        <v>87.3</v>
      </c>
      <c r="F7073" s="31" t="n">
        <v>89</v>
      </c>
      <c r="G7073" s="31" t="n">
        <v>18.3</v>
      </c>
      <c r="H7073" s="2" t="s">
        <v>671</v>
      </c>
    </row>
    <row r="7074" customFormat="false" ht="15" hidden="false" customHeight="false" outlineLevel="0" collapsed="false">
      <c r="A7074" s="2" t="s">
        <v>2619</v>
      </c>
      <c r="B7074" s="2" t="s">
        <v>4104</v>
      </c>
      <c r="C7074" s="2" t="s">
        <v>4085</v>
      </c>
      <c r="D7074" s="2"/>
      <c r="E7074" s="31" t="n">
        <v>40.8</v>
      </c>
      <c r="F7074" s="31" t="n">
        <v>66.3</v>
      </c>
      <c r="G7074" s="31" t="n">
        <v>23.8</v>
      </c>
      <c r="H7074" s="2" t="s">
        <v>668</v>
      </c>
    </row>
    <row r="7075" customFormat="false" ht="15" hidden="false" customHeight="false" outlineLevel="0" collapsed="false">
      <c r="A7075" s="2" t="s">
        <v>2619</v>
      </c>
      <c r="B7075" s="2" t="s">
        <v>4104</v>
      </c>
      <c r="C7075" s="2" t="s">
        <v>4086</v>
      </c>
      <c r="D7075" s="2"/>
      <c r="E7075" s="31" t="n">
        <v>64</v>
      </c>
      <c r="F7075" s="31" t="n">
        <v>54.8</v>
      </c>
      <c r="G7075" s="31" t="n">
        <v>71.8</v>
      </c>
      <c r="H7075" s="2" t="s">
        <v>671</v>
      </c>
    </row>
    <row r="7076" customFormat="false" ht="15" hidden="false" customHeight="false" outlineLevel="0" collapsed="false">
      <c r="A7076" s="2" t="s">
        <v>2619</v>
      </c>
      <c r="B7076" s="2" t="s">
        <v>4104</v>
      </c>
      <c r="C7076" s="2" t="s">
        <v>4087</v>
      </c>
      <c r="D7076" s="2"/>
      <c r="E7076" s="31" t="n">
        <v>11</v>
      </c>
      <c r="F7076" s="31" t="n">
        <v>71.6</v>
      </c>
      <c r="G7076" s="31" t="n">
        <v>54.8</v>
      </c>
      <c r="H7076" s="2" t="s">
        <v>668</v>
      </c>
    </row>
    <row r="7077" customFormat="false" ht="15" hidden="false" customHeight="false" outlineLevel="0" collapsed="false">
      <c r="A7077" s="2" t="s">
        <v>2619</v>
      </c>
      <c r="B7077" s="2" t="s">
        <v>45</v>
      </c>
      <c r="C7077" s="2" t="s">
        <v>4085</v>
      </c>
      <c r="D7077" s="2"/>
      <c r="E7077" s="2"/>
      <c r="F7077" s="2"/>
      <c r="G7077" s="2"/>
      <c r="H7077" s="2" t="s">
        <v>668</v>
      </c>
    </row>
    <row r="7078" customFormat="false" ht="15" hidden="false" customHeight="false" outlineLevel="0" collapsed="false">
      <c r="A7078" s="2" t="s">
        <v>2619</v>
      </c>
      <c r="B7078" s="2" t="s">
        <v>45</v>
      </c>
      <c r="C7078" s="2" t="s">
        <v>4086</v>
      </c>
      <c r="D7078" s="11" t="n">
        <v>138490</v>
      </c>
      <c r="E7078" s="31" t="n">
        <v>83.4</v>
      </c>
      <c r="F7078" s="31" t="n">
        <v>67.9</v>
      </c>
      <c r="G7078" s="31" t="n">
        <v>97.2</v>
      </c>
      <c r="H7078" s="2" t="s">
        <v>671</v>
      </c>
    </row>
    <row r="7079" customFormat="false" ht="15" hidden="false" customHeight="false" outlineLevel="0" collapsed="false">
      <c r="A7079" s="2" t="s">
        <v>2619</v>
      </c>
      <c r="B7079" s="2" t="s">
        <v>45</v>
      </c>
      <c r="C7079" s="2" t="s">
        <v>4087</v>
      </c>
      <c r="D7079" s="2"/>
      <c r="E7079" s="2"/>
      <c r="F7079" s="2"/>
      <c r="G7079" s="2"/>
      <c r="H7079" s="2" t="s">
        <v>668</v>
      </c>
    </row>
    <row r="7080" customFormat="false" ht="15" hidden="false" customHeight="false" outlineLevel="0" collapsed="false">
      <c r="A7080" s="2" t="s">
        <v>2619</v>
      </c>
      <c r="B7080" s="2" t="s">
        <v>46</v>
      </c>
      <c r="C7080" s="2" t="s">
        <v>4085</v>
      </c>
      <c r="D7080" s="2"/>
      <c r="E7080" s="2"/>
      <c r="F7080" s="2"/>
      <c r="G7080" s="2"/>
      <c r="H7080" s="2" t="s">
        <v>668</v>
      </c>
    </row>
    <row r="7081" customFormat="false" ht="15" hidden="false" customHeight="false" outlineLevel="0" collapsed="false">
      <c r="A7081" s="2" t="s">
        <v>2619</v>
      </c>
      <c r="B7081" s="2" t="s">
        <v>46</v>
      </c>
      <c r="C7081" s="2" t="s">
        <v>4086</v>
      </c>
      <c r="D7081" s="11" t="n">
        <v>7685</v>
      </c>
      <c r="E7081" s="31" t="n">
        <v>83.7</v>
      </c>
      <c r="F7081" s="31" t="n">
        <v>41.5</v>
      </c>
      <c r="G7081" s="31" t="n">
        <v>91.6</v>
      </c>
      <c r="H7081" s="2" t="s">
        <v>671</v>
      </c>
    </row>
    <row r="7082" customFormat="false" ht="15" hidden="false" customHeight="false" outlineLevel="0" collapsed="false">
      <c r="A7082" s="2" t="s">
        <v>2619</v>
      </c>
      <c r="B7082" s="2" t="s">
        <v>46</v>
      </c>
      <c r="C7082" s="2" t="s">
        <v>4087</v>
      </c>
      <c r="D7082" s="2"/>
      <c r="E7082" s="2"/>
      <c r="F7082" s="2"/>
      <c r="G7082" s="2"/>
      <c r="H7082" s="2" t="s">
        <v>668</v>
      </c>
    </row>
    <row r="7083" customFormat="false" ht="15" hidden="false" customHeight="false" outlineLevel="0" collapsed="false">
      <c r="A7083" s="2" t="s">
        <v>2619</v>
      </c>
      <c r="B7083" s="2" t="s">
        <v>47</v>
      </c>
      <c r="C7083" s="2" t="s">
        <v>4085</v>
      </c>
      <c r="D7083" s="11" t="n">
        <v>55992</v>
      </c>
      <c r="E7083" s="31" t="n">
        <v>40.8</v>
      </c>
      <c r="F7083" s="31" t="n">
        <v>66.3</v>
      </c>
      <c r="G7083" s="31" t="n">
        <v>23.8</v>
      </c>
      <c r="H7083" s="2" t="s">
        <v>671</v>
      </c>
    </row>
    <row r="7084" customFormat="false" ht="15" hidden="false" customHeight="false" outlineLevel="0" collapsed="false">
      <c r="A7084" s="2" t="s">
        <v>2619</v>
      </c>
      <c r="B7084" s="2" t="s">
        <v>47</v>
      </c>
      <c r="C7084" s="2" t="s">
        <v>4086</v>
      </c>
      <c r="D7084" s="11" t="n">
        <v>58214</v>
      </c>
      <c r="E7084" s="31" t="n">
        <v>25</v>
      </c>
      <c r="F7084" s="31" t="n">
        <v>54.9</v>
      </c>
      <c r="G7084" s="31" t="n">
        <v>26.5</v>
      </c>
      <c r="H7084" s="2" t="s">
        <v>671</v>
      </c>
    </row>
    <row r="7085" customFormat="false" ht="15" hidden="false" customHeight="false" outlineLevel="0" collapsed="false">
      <c r="A7085" s="2" t="s">
        <v>2619</v>
      </c>
      <c r="B7085" s="2" t="s">
        <v>47</v>
      </c>
      <c r="C7085" s="2" t="s">
        <v>4087</v>
      </c>
      <c r="D7085" s="11" t="n">
        <v>60806</v>
      </c>
      <c r="E7085" s="31" t="n">
        <v>11</v>
      </c>
      <c r="F7085" s="31" t="n">
        <v>71.6</v>
      </c>
      <c r="G7085" s="31" t="n">
        <v>54.8</v>
      </c>
      <c r="H7085" s="2" t="s">
        <v>671</v>
      </c>
    </row>
    <row r="7086" customFormat="false" ht="15" hidden="false" customHeight="false" outlineLevel="0" collapsed="false">
      <c r="A7086" s="2" t="s">
        <v>1436</v>
      </c>
      <c r="B7086" s="2" t="s">
        <v>4104</v>
      </c>
      <c r="C7086" s="2" t="s">
        <v>4085</v>
      </c>
      <c r="D7086" s="2"/>
      <c r="E7086" s="31" t="n">
        <v>69.9</v>
      </c>
      <c r="F7086" s="31" t="n">
        <v>61.8</v>
      </c>
      <c r="G7086" s="31" t="n">
        <v>38</v>
      </c>
      <c r="H7086" s="2" t="s">
        <v>671</v>
      </c>
    </row>
    <row r="7087" customFormat="false" ht="15" hidden="false" customHeight="false" outlineLevel="0" collapsed="false">
      <c r="A7087" s="2" t="s">
        <v>1436</v>
      </c>
      <c r="B7087" s="2" t="s">
        <v>4104</v>
      </c>
      <c r="C7087" s="2" t="s">
        <v>4086</v>
      </c>
      <c r="D7087" s="2"/>
      <c r="E7087" s="31" t="n">
        <v>80.1</v>
      </c>
      <c r="F7087" s="31" t="n">
        <v>60.4</v>
      </c>
      <c r="G7087" s="31" t="n">
        <v>26.9</v>
      </c>
      <c r="H7087" s="2" t="s">
        <v>671</v>
      </c>
    </row>
    <row r="7088" customFormat="false" ht="15" hidden="false" customHeight="false" outlineLevel="0" collapsed="false">
      <c r="A7088" s="2" t="s">
        <v>1436</v>
      </c>
      <c r="B7088" s="2" t="s">
        <v>4104</v>
      </c>
      <c r="C7088" s="2" t="s">
        <v>4087</v>
      </c>
      <c r="D7088" s="2"/>
      <c r="E7088" s="31" t="n">
        <v>73.8</v>
      </c>
      <c r="F7088" s="31" t="n">
        <v>69</v>
      </c>
      <c r="G7088" s="31" t="n">
        <v>59.8</v>
      </c>
      <c r="H7088" s="2" t="s">
        <v>668</v>
      </c>
    </row>
    <row r="7089" customFormat="false" ht="15" hidden="false" customHeight="false" outlineLevel="0" collapsed="false">
      <c r="A7089" s="2" t="s">
        <v>1436</v>
      </c>
      <c r="B7089" s="2" t="s">
        <v>45</v>
      </c>
      <c r="C7089" s="2" t="s">
        <v>4085</v>
      </c>
      <c r="D7089" s="11" t="n">
        <v>15620</v>
      </c>
      <c r="E7089" s="31" t="n">
        <v>68.3</v>
      </c>
      <c r="F7089" s="31" t="n">
        <v>19.7</v>
      </c>
      <c r="G7089" s="31" t="n">
        <v>30.5</v>
      </c>
      <c r="H7089" s="2" t="s">
        <v>671</v>
      </c>
    </row>
    <row r="7090" customFormat="false" ht="15" hidden="false" customHeight="false" outlineLevel="0" collapsed="false">
      <c r="A7090" s="2" t="s">
        <v>1436</v>
      </c>
      <c r="B7090" s="2" t="s">
        <v>45</v>
      </c>
      <c r="C7090" s="2" t="s">
        <v>4086</v>
      </c>
      <c r="D7090" s="11" t="n">
        <v>15640</v>
      </c>
      <c r="E7090" s="31" t="n">
        <v>72.6</v>
      </c>
      <c r="F7090" s="31" t="n">
        <v>53.6</v>
      </c>
      <c r="G7090" s="31" t="n">
        <v>26.3</v>
      </c>
      <c r="H7090" s="2" t="s">
        <v>671</v>
      </c>
    </row>
    <row r="7091" customFormat="false" ht="15" hidden="false" customHeight="false" outlineLevel="0" collapsed="false">
      <c r="A7091" s="2" t="s">
        <v>1436</v>
      </c>
      <c r="B7091" s="2" t="s">
        <v>45</v>
      </c>
      <c r="C7091" s="2" t="s">
        <v>4087</v>
      </c>
      <c r="D7091" s="2"/>
      <c r="E7091" s="2"/>
      <c r="F7091" s="2"/>
      <c r="G7091" s="2"/>
      <c r="H7091" s="2" t="s">
        <v>668</v>
      </c>
    </row>
    <row r="7092" customFormat="false" ht="15" hidden="false" customHeight="false" outlineLevel="0" collapsed="false">
      <c r="A7092" s="2" t="s">
        <v>1436</v>
      </c>
      <c r="B7092" s="2" t="s">
        <v>46</v>
      </c>
      <c r="C7092" s="2" t="s">
        <v>4085</v>
      </c>
      <c r="D7092" s="11" t="n">
        <v>69632</v>
      </c>
      <c r="E7092" s="31" t="n">
        <v>88.8</v>
      </c>
      <c r="F7092" s="31" t="n">
        <v>75.7</v>
      </c>
      <c r="G7092" s="31" t="n">
        <v>63</v>
      </c>
      <c r="H7092" s="2" t="s">
        <v>671</v>
      </c>
    </row>
    <row r="7093" customFormat="false" ht="15" hidden="false" customHeight="false" outlineLevel="0" collapsed="false">
      <c r="A7093" s="2" t="s">
        <v>1436</v>
      </c>
      <c r="B7093" s="2" t="s">
        <v>46</v>
      </c>
      <c r="C7093" s="2" t="s">
        <v>4086</v>
      </c>
      <c r="D7093" s="11" t="n">
        <v>70279</v>
      </c>
      <c r="E7093" s="31" t="n">
        <v>92.1</v>
      </c>
      <c r="F7093" s="31" t="n">
        <v>42.5</v>
      </c>
      <c r="G7093" s="31" t="n">
        <v>38.4</v>
      </c>
      <c r="H7093" s="2" t="s">
        <v>671</v>
      </c>
    </row>
    <row r="7094" customFormat="false" ht="15" hidden="false" customHeight="false" outlineLevel="0" collapsed="false">
      <c r="A7094" s="2" t="s">
        <v>1436</v>
      </c>
      <c r="B7094" s="2" t="s">
        <v>46</v>
      </c>
      <c r="C7094" s="2" t="s">
        <v>4087</v>
      </c>
      <c r="D7094" s="11" t="n">
        <v>72455</v>
      </c>
      <c r="E7094" s="31" t="n">
        <v>90.5</v>
      </c>
      <c r="F7094" s="31" t="n">
        <v>44</v>
      </c>
      <c r="G7094" s="31" t="n">
        <v>42.7</v>
      </c>
      <c r="H7094" s="2" t="s">
        <v>671</v>
      </c>
    </row>
    <row r="7095" customFormat="false" ht="15" hidden="false" customHeight="false" outlineLevel="0" collapsed="false">
      <c r="A7095" s="2" t="s">
        <v>1436</v>
      </c>
      <c r="B7095" s="2" t="s">
        <v>47</v>
      </c>
      <c r="C7095" s="2" t="s">
        <v>4085</v>
      </c>
      <c r="D7095" s="11" t="n">
        <v>389127</v>
      </c>
      <c r="E7095" s="31" t="n">
        <v>52.6</v>
      </c>
      <c r="F7095" s="31" t="n">
        <v>90.1</v>
      </c>
      <c r="G7095" s="31" t="n">
        <v>20.5</v>
      </c>
      <c r="H7095" s="2" t="s">
        <v>671</v>
      </c>
    </row>
    <row r="7096" customFormat="false" ht="15" hidden="false" customHeight="false" outlineLevel="0" collapsed="false">
      <c r="A7096" s="2" t="s">
        <v>1436</v>
      </c>
      <c r="B7096" s="2" t="s">
        <v>47</v>
      </c>
      <c r="C7096" s="2" t="s">
        <v>4086</v>
      </c>
      <c r="D7096" s="11" t="n">
        <v>397976</v>
      </c>
      <c r="E7096" s="31" t="n">
        <v>75.7</v>
      </c>
      <c r="F7096" s="31" t="n">
        <v>85.1</v>
      </c>
      <c r="G7096" s="31" t="n">
        <v>16.1</v>
      </c>
      <c r="H7096" s="2" t="s">
        <v>671</v>
      </c>
    </row>
    <row r="7097" customFormat="false" ht="15" hidden="false" customHeight="false" outlineLevel="0" collapsed="false">
      <c r="A7097" s="2" t="s">
        <v>1436</v>
      </c>
      <c r="B7097" s="2" t="s">
        <v>47</v>
      </c>
      <c r="C7097" s="2" t="s">
        <v>4087</v>
      </c>
      <c r="D7097" s="11" t="n">
        <v>441711</v>
      </c>
      <c r="E7097" s="31" t="n">
        <v>57.2</v>
      </c>
      <c r="F7097" s="31" t="n">
        <v>94</v>
      </c>
      <c r="G7097" s="31" t="n">
        <v>77</v>
      </c>
      <c r="H7097" s="2" t="s">
        <v>671</v>
      </c>
    </row>
    <row r="7098" customFormat="false" ht="15" hidden="false" customHeight="false" outlineLevel="0" collapsed="false">
      <c r="A7098" s="2" t="s">
        <v>1381</v>
      </c>
      <c r="B7098" s="2" t="s">
        <v>4104</v>
      </c>
      <c r="C7098" s="2" t="s">
        <v>4085</v>
      </c>
      <c r="D7098" s="2"/>
      <c r="E7098" s="31" t="n">
        <v>66.6</v>
      </c>
      <c r="F7098" s="31" t="n">
        <v>73</v>
      </c>
      <c r="G7098" s="31" t="n">
        <v>52.4</v>
      </c>
      <c r="H7098" s="2" t="s">
        <v>671</v>
      </c>
    </row>
    <row r="7099" customFormat="false" ht="15" hidden="false" customHeight="false" outlineLevel="0" collapsed="false">
      <c r="A7099" s="2" t="s">
        <v>1381</v>
      </c>
      <c r="B7099" s="2" t="s">
        <v>4104</v>
      </c>
      <c r="C7099" s="2" t="s">
        <v>4086</v>
      </c>
      <c r="D7099" s="2"/>
      <c r="E7099" s="2"/>
      <c r="F7099" s="2"/>
      <c r="G7099" s="31" t="n">
        <v>79</v>
      </c>
      <c r="H7099" s="2" t="s">
        <v>668</v>
      </c>
    </row>
    <row r="7100" customFormat="false" ht="15" hidden="false" customHeight="false" outlineLevel="0" collapsed="false">
      <c r="A7100" s="2" t="s">
        <v>1381</v>
      </c>
      <c r="B7100" s="2" t="s">
        <v>4104</v>
      </c>
      <c r="C7100" s="2" t="s">
        <v>4087</v>
      </c>
      <c r="D7100" s="2"/>
      <c r="E7100" s="31" t="n">
        <v>98.5</v>
      </c>
      <c r="F7100" s="31" t="n">
        <v>52.4</v>
      </c>
      <c r="G7100" s="31" t="n">
        <v>73</v>
      </c>
      <c r="H7100" s="2" t="s">
        <v>668</v>
      </c>
    </row>
    <row r="7101" customFormat="false" ht="15" hidden="false" customHeight="false" outlineLevel="0" collapsed="false">
      <c r="A7101" s="2" t="s">
        <v>1381</v>
      </c>
      <c r="B7101" s="2" t="s">
        <v>45</v>
      </c>
      <c r="C7101" s="2" t="s">
        <v>4085</v>
      </c>
      <c r="D7101" s="11" t="n">
        <v>1247168</v>
      </c>
      <c r="E7101" s="31" t="n">
        <v>36.5</v>
      </c>
      <c r="F7101" s="31" t="n">
        <v>85.7</v>
      </c>
      <c r="G7101" s="31" t="n">
        <v>65.9</v>
      </c>
      <c r="H7101" s="2" t="s">
        <v>671</v>
      </c>
    </row>
    <row r="7102" customFormat="false" ht="15" hidden="false" customHeight="false" outlineLevel="0" collapsed="false">
      <c r="A7102" s="2" t="s">
        <v>1381</v>
      </c>
      <c r="B7102" s="2" t="s">
        <v>45</v>
      </c>
      <c r="C7102" s="2" t="s">
        <v>4086</v>
      </c>
      <c r="D7102" s="2"/>
      <c r="E7102" s="2"/>
      <c r="F7102" s="2"/>
      <c r="G7102" s="31" t="n">
        <v>79</v>
      </c>
      <c r="H7102" s="2" t="s">
        <v>668</v>
      </c>
    </row>
    <row r="7103" customFormat="false" ht="15" hidden="false" customHeight="false" outlineLevel="0" collapsed="false">
      <c r="A7103" s="2" t="s">
        <v>1381</v>
      </c>
      <c r="B7103" s="2" t="s">
        <v>45</v>
      </c>
      <c r="C7103" s="2" t="s">
        <v>4087</v>
      </c>
      <c r="D7103" s="11" t="n">
        <v>1358160</v>
      </c>
      <c r="E7103" s="2"/>
      <c r="F7103" s="31" t="n">
        <v>62.5</v>
      </c>
      <c r="G7103" s="31" t="n">
        <v>87</v>
      </c>
      <c r="H7103" s="2" t="s">
        <v>668</v>
      </c>
    </row>
    <row r="7104" customFormat="false" ht="15" hidden="false" customHeight="false" outlineLevel="0" collapsed="false">
      <c r="A7104" s="2" t="s">
        <v>1381</v>
      </c>
      <c r="B7104" s="2" t="s">
        <v>46</v>
      </c>
      <c r="C7104" s="2" t="s">
        <v>4085</v>
      </c>
      <c r="D7104" s="11" t="n">
        <v>132928</v>
      </c>
      <c r="E7104" s="31" t="n">
        <v>96.7</v>
      </c>
      <c r="F7104" s="31" t="n">
        <v>60.3</v>
      </c>
      <c r="G7104" s="31" t="n">
        <v>39</v>
      </c>
      <c r="H7104" s="2" t="s">
        <v>671</v>
      </c>
    </row>
    <row r="7105" customFormat="false" ht="15" hidden="false" customHeight="false" outlineLevel="0" collapsed="false">
      <c r="A7105" s="2" t="s">
        <v>1381</v>
      </c>
      <c r="B7105" s="2" t="s">
        <v>46</v>
      </c>
      <c r="C7105" s="2" t="s">
        <v>4086</v>
      </c>
      <c r="D7105" s="2"/>
      <c r="E7105" s="2"/>
      <c r="F7105" s="2"/>
      <c r="G7105" s="2"/>
      <c r="H7105" s="2" t="s">
        <v>668</v>
      </c>
    </row>
    <row r="7106" customFormat="false" ht="15" hidden="false" customHeight="false" outlineLevel="0" collapsed="false">
      <c r="A7106" s="2" t="s">
        <v>1381</v>
      </c>
      <c r="B7106" s="2" t="s">
        <v>46</v>
      </c>
      <c r="C7106" s="2" t="s">
        <v>4087</v>
      </c>
      <c r="D7106" s="11" t="n">
        <v>140380</v>
      </c>
      <c r="E7106" s="31" t="n">
        <v>98.5</v>
      </c>
      <c r="F7106" s="31" t="n">
        <v>42.4</v>
      </c>
      <c r="G7106" s="31" t="n">
        <v>59.1</v>
      </c>
      <c r="H7106" s="2" t="s">
        <v>671</v>
      </c>
    </row>
    <row r="7107" customFormat="false" ht="15" hidden="false" customHeight="false" outlineLevel="0" collapsed="false">
      <c r="A7107" s="2" t="s">
        <v>254</v>
      </c>
      <c r="B7107" s="2" t="s">
        <v>4104</v>
      </c>
      <c r="C7107" s="2" t="s">
        <v>4085</v>
      </c>
      <c r="D7107" s="2"/>
      <c r="E7107" s="31" t="n">
        <v>58.5</v>
      </c>
      <c r="F7107" s="31" t="n">
        <v>34.3</v>
      </c>
      <c r="G7107" s="31" t="n">
        <v>39.3</v>
      </c>
      <c r="H7107" s="2" t="s">
        <v>668</v>
      </c>
    </row>
    <row r="7108" customFormat="false" ht="15" hidden="false" customHeight="false" outlineLevel="0" collapsed="false">
      <c r="A7108" s="2" t="s">
        <v>254</v>
      </c>
      <c r="B7108" s="2" t="s">
        <v>4104</v>
      </c>
      <c r="C7108" s="2" t="s">
        <v>4087</v>
      </c>
      <c r="D7108" s="2"/>
      <c r="E7108" s="31" t="n">
        <v>63.4</v>
      </c>
      <c r="F7108" s="31" t="n">
        <v>50.2</v>
      </c>
      <c r="G7108" s="31" t="n">
        <v>87.1</v>
      </c>
      <c r="H7108" s="2" t="s">
        <v>671</v>
      </c>
    </row>
    <row r="7109" customFormat="false" ht="15" hidden="false" customHeight="false" outlineLevel="0" collapsed="false">
      <c r="A7109" s="2" t="s">
        <v>254</v>
      </c>
      <c r="B7109" s="2" t="s">
        <v>46</v>
      </c>
      <c r="C7109" s="2" t="s">
        <v>4085</v>
      </c>
      <c r="D7109" s="11" t="n">
        <v>176980</v>
      </c>
      <c r="E7109" s="31" t="n">
        <v>38.6</v>
      </c>
      <c r="F7109" s="31" t="n">
        <v>26.9</v>
      </c>
      <c r="G7109" s="2"/>
      <c r="H7109" s="2" t="s">
        <v>668</v>
      </c>
    </row>
    <row r="7110" customFormat="false" ht="15" hidden="false" customHeight="false" outlineLevel="0" collapsed="false">
      <c r="A7110" s="2" t="s">
        <v>254</v>
      </c>
      <c r="B7110" s="2" t="s">
        <v>46</v>
      </c>
      <c r="C7110" s="2" t="s">
        <v>4087</v>
      </c>
      <c r="D7110" s="11" t="n">
        <v>184753</v>
      </c>
      <c r="E7110" s="31" t="n">
        <v>57.9</v>
      </c>
      <c r="F7110" s="31" t="n">
        <v>57</v>
      </c>
      <c r="G7110" s="31" t="n">
        <v>90.7</v>
      </c>
      <c r="H7110" s="2" t="s">
        <v>671</v>
      </c>
    </row>
    <row r="7111" customFormat="false" ht="15" hidden="false" customHeight="false" outlineLevel="0" collapsed="false">
      <c r="A7111" s="2" t="s">
        <v>254</v>
      </c>
      <c r="B7111" s="2" t="s">
        <v>47</v>
      </c>
      <c r="C7111" s="2" t="s">
        <v>4085</v>
      </c>
      <c r="D7111" s="11" t="n">
        <v>27384</v>
      </c>
      <c r="E7111" s="31" t="n">
        <v>78.4</v>
      </c>
      <c r="F7111" s="31" t="n">
        <v>41.8</v>
      </c>
      <c r="G7111" s="31" t="n">
        <v>39.3</v>
      </c>
      <c r="H7111" s="2" t="s">
        <v>671</v>
      </c>
    </row>
    <row r="7112" customFormat="false" ht="15" hidden="false" customHeight="false" outlineLevel="0" collapsed="false">
      <c r="A7112" s="2" t="s">
        <v>254</v>
      </c>
      <c r="B7112" s="2" t="s">
        <v>47</v>
      </c>
      <c r="C7112" s="2" t="s">
        <v>4087</v>
      </c>
      <c r="D7112" s="11" t="n">
        <v>27580</v>
      </c>
      <c r="E7112" s="31" t="n">
        <v>68.8</v>
      </c>
      <c r="F7112" s="31" t="n">
        <v>43.3</v>
      </c>
      <c r="G7112" s="31" t="n">
        <v>83.4</v>
      </c>
      <c r="H7112" s="2" t="s">
        <v>671</v>
      </c>
    </row>
    <row r="7113" customFormat="false" ht="15" hidden="false" customHeight="false" outlineLevel="0" collapsed="false">
      <c r="A7113" s="2" t="s">
        <v>458</v>
      </c>
      <c r="B7113" s="2" t="s">
        <v>4104</v>
      </c>
      <c r="C7113" s="2" t="s">
        <v>4085</v>
      </c>
      <c r="D7113" s="2"/>
      <c r="E7113" s="31" t="n">
        <v>42.2</v>
      </c>
      <c r="F7113" s="31" t="n">
        <v>59.4</v>
      </c>
      <c r="G7113" s="31" t="n">
        <v>62.8</v>
      </c>
      <c r="H7113" s="2" t="s">
        <v>671</v>
      </c>
    </row>
    <row r="7114" customFormat="false" ht="15" hidden="false" customHeight="false" outlineLevel="0" collapsed="false">
      <c r="A7114" s="2" t="s">
        <v>458</v>
      </c>
      <c r="B7114" s="2" t="s">
        <v>4104</v>
      </c>
      <c r="C7114" s="2" t="s">
        <v>4086</v>
      </c>
      <c r="D7114" s="2"/>
      <c r="E7114" s="31" t="n">
        <v>50.8</v>
      </c>
      <c r="F7114" s="31" t="n">
        <v>70.1</v>
      </c>
      <c r="G7114" s="31" t="n">
        <v>67</v>
      </c>
      <c r="H7114" s="2" t="s">
        <v>668</v>
      </c>
    </row>
    <row r="7115" customFormat="false" ht="15" hidden="false" customHeight="false" outlineLevel="0" collapsed="false">
      <c r="A7115" s="2" t="s">
        <v>458</v>
      </c>
      <c r="B7115" s="2" t="s">
        <v>4104</v>
      </c>
      <c r="C7115" s="2" t="s">
        <v>4087</v>
      </c>
      <c r="D7115" s="2"/>
      <c r="E7115" s="31" t="n">
        <v>40.7</v>
      </c>
      <c r="F7115" s="31" t="n">
        <v>74.4</v>
      </c>
      <c r="G7115" s="31" t="n">
        <v>74.9</v>
      </c>
      <c r="H7115" s="2" t="s">
        <v>671</v>
      </c>
    </row>
    <row r="7116" customFormat="false" ht="15" hidden="false" customHeight="false" outlineLevel="0" collapsed="false">
      <c r="A7116" s="2" t="s">
        <v>458</v>
      </c>
      <c r="B7116" s="2" t="s">
        <v>45</v>
      </c>
      <c r="C7116" s="2" t="s">
        <v>4085</v>
      </c>
      <c r="D7116" s="11" t="n">
        <v>13780</v>
      </c>
      <c r="E7116" s="31" t="n">
        <v>2.2</v>
      </c>
      <c r="F7116" s="31" t="n">
        <v>72.6</v>
      </c>
      <c r="G7116" s="31" t="n">
        <v>67.8</v>
      </c>
      <c r="H7116" s="2" t="s">
        <v>671</v>
      </c>
    </row>
    <row r="7117" customFormat="false" ht="15" hidden="false" customHeight="false" outlineLevel="0" collapsed="false">
      <c r="A7117" s="2" t="s">
        <v>458</v>
      </c>
      <c r="B7117" s="2" t="s">
        <v>45</v>
      </c>
      <c r="C7117" s="2" t="s">
        <v>4086</v>
      </c>
      <c r="D7117" s="11" t="n">
        <v>13630</v>
      </c>
      <c r="E7117" s="31" t="n">
        <v>4.3</v>
      </c>
      <c r="F7117" s="31" t="n">
        <v>66.7</v>
      </c>
      <c r="G7117" s="31" t="n">
        <v>40.6</v>
      </c>
      <c r="H7117" s="2" t="s">
        <v>671</v>
      </c>
    </row>
    <row r="7118" customFormat="false" ht="15" hidden="false" customHeight="false" outlineLevel="0" collapsed="false">
      <c r="A7118" s="2" t="s">
        <v>458</v>
      </c>
      <c r="B7118" s="2" t="s">
        <v>45</v>
      </c>
      <c r="C7118" s="2" t="s">
        <v>4087</v>
      </c>
      <c r="D7118" s="11" t="n">
        <v>14246</v>
      </c>
      <c r="E7118" s="31" t="n">
        <v>3</v>
      </c>
      <c r="F7118" s="31" t="n">
        <v>74.2</v>
      </c>
      <c r="G7118" s="31" t="n">
        <v>71.3</v>
      </c>
      <c r="H7118" s="2" t="s">
        <v>671</v>
      </c>
    </row>
    <row r="7119" customFormat="false" ht="15" hidden="false" customHeight="false" outlineLevel="0" collapsed="false">
      <c r="A7119" s="2" t="s">
        <v>458</v>
      </c>
      <c r="B7119" s="2" t="s">
        <v>46</v>
      </c>
      <c r="C7119" s="2" t="s">
        <v>4085</v>
      </c>
      <c r="D7119" s="11" t="n">
        <v>266170</v>
      </c>
      <c r="E7119" s="31" t="n">
        <v>73.6</v>
      </c>
      <c r="F7119" s="31" t="n">
        <v>54.5</v>
      </c>
      <c r="G7119" s="31" t="n">
        <v>28.3</v>
      </c>
      <c r="H7119" s="2" t="s">
        <v>671</v>
      </c>
    </row>
    <row r="7120" customFormat="false" ht="15" hidden="false" customHeight="false" outlineLevel="0" collapsed="false">
      <c r="A7120" s="2" t="s">
        <v>458</v>
      </c>
      <c r="B7120" s="2" t="s">
        <v>46</v>
      </c>
      <c r="C7120" s="2" t="s">
        <v>4086</v>
      </c>
      <c r="D7120" s="11" t="n">
        <v>278840</v>
      </c>
      <c r="E7120" s="31" t="n">
        <v>86.6</v>
      </c>
      <c r="F7120" s="31" t="n">
        <v>62.4</v>
      </c>
      <c r="G7120" s="2"/>
      <c r="H7120" s="2" t="s">
        <v>668</v>
      </c>
    </row>
    <row r="7121" customFormat="false" ht="15" hidden="false" customHeight="false" outlineLevel="0" collapsed="false">
      <c r="A7121" s="2" t="s">
        <v>458</v>
      </c>
      <c r="B7121" s="2" t="s">
        <v>46</v>
      </c>
      <c r="C7121" s="2" t="s">
        <v>4087</v>
      </c>
      <c r="D7121" s="11" t="n">
        <v>285010</v>
      </c>
      <c r="E7121" s="31" t="n">
        <v>79.5</v>
      </c>
      <c r="F7121" s="31" t="n">
        <v>59.6</v>
      </c>
      <c r="G7121" s="31" t="n">
        <v>54.7</v>
      </c>
      <c r="H7121" s="2" t="s">
        <v>671</v>
      </c>
    </row>
    <row r="7122" customFormat="false" ht="15" hidden="false" customHeight="false" outlineLevel="0" collapsed="false">
      <c r="A7122" s="2" t="s">
        <v>458</v>
      </c>
      <c r="B7122" s="2" t="s">
        <v>47</v>
      </c>
      <c r="C7122" s="2" t="s">
        <v>4085</v>
      </c>
      <c r="D7122" s="11" t="n">
        <v>3614</v>
      </c>
      <c r="E7122" s="31" t="n">
        <v>50.9</v>
      </c>
      <c r="F7122" s="31" t="n">
        <v>51.1</v>
      </c>
      <c r="G7122" s="31" t="n">
        <v>92.4</v>
      </c>
      <c r="H7122" s="2" t="s">
        <v>671</v>
      </c>
    </row>
    <row r="7123" customFormat="false" ht="15" hidden="false" customHeight="false" outlineLevel="0" collapsed="false">
      <c r="A7123" s="2" t="s">
        <v>458</v>
      </c>
      <c r="B7123" s="2" t="s">
        <v>47</v>
      </c>
      <c r="C7123" s="2" t="s">
        <v>4086</v>
      </c>
      <c r="D7123" s="11" t="n">
        <v>3895</v>
      </c>
      <c r="E7123" s="31" t="n">
        <v>61.6</v>
      </c>
      <c r="F7123" s="31" t="n">
        <v>81.2</v>
      </c>
      <c r="G7123" s="31" t="n">
        <v>93.5</v>
      </c>
      <c r="H7123" s="2" t="s">
        <v>671</v>
      </c>
    </row>
    <row r="7124" customFormat="false" ht="15" hidden="false" customHeight="false" outlineLevel="0" collapsed="false">
      <c r="A7124" s="2" t="s">
        <v>458</v>
      </c>
      <c r="B7124" s="2" t="s">
        <v>47</v>
      </c>
      <c r="C7124" s="2" t="s">
        <v>4087</v>
      </c>
      <c r="D7124" s="11" t="n">
        <v>3888</v>
      </c>
      <c r="E7124" s="31" t="n">
        <v>39.5</v>
      </c>
      <c r="F7124" s="31" t="n">
        <v>89.3</v>
      </c>
      <c r="G7124" s="31" t="n">
        <v>98.7</v>
      </c>
      <c r="H7124" s="2" t="s">
        <v>671</v>
      </c>
    </row>
    <row r="7125" customFormat="false" ht="15" hidden="false" customHeight="false" outlineLevel="0" collapsed="false">
      <c r="A7125" s="2" t="s">
        <v>3133</v>
      </c>
      <c r="B7125" s="2" t="s">
        <v>4104</v>
      </c>
      <c r="C7125" s="2" t="s">
        <v>4085</v>
      </c>
      <c r="D7125" s="2"/>
      <c r="E7125" s="31" t="n">
        <v>95.9</v>
      </c>
      <c r="F7125" s="31" t="n">
        <v>79.8</v>
      </c>
      <c r="G7125" s="31" t="n">
        <v>16</v>
      </c>
      <c r="H7125" s="2" t="s">
        <v>671</v>
      </c>
    </row>
    <row r="7126" customFormat="false" ht="15" hidden="false" customHeight="false" outlineLevel="0" collapsed="false">
      <c r="A7126" s="2" t="s">
        <v>3133</v>
      </c>
      <c r="B7126" s="2" t="s">
        <v>4104</v>
      </c>
      <c r="C7126" s="2" t="s">
        <v>4086</v>
      </c>
      <c r="D7126" s="2"/>
      <c r="E7126" s="2"/>
      <c r="F7126" s="31" t="n">
        <v>95.3</v>
      </c>
      <c r="G7126" s="2"/>
      <c r="H7126" s="2" t="s">
        <v>668</v>
      </c>
    </row>
    <row r="7127" customFormat="false" ht="15" hidden="false" customHeight="false" outlineLevel="0" collapsed="false">
      <c r="A7127" s="2" t="s">
        <v>3133</v>
      </c>
      <c r="B7127" s="2" t="s">
        <v>4104</v>
      </c>
      <c r="C7127" s="2" t="s">
        <v>4087</v>
      </c>
      <c r="D7127" s="2"/>
      <c r="E7127" s="2"/>
      <c r="F7127" s="2"/>
      <c r="G7127" s="2"/>
      <c r="H7127" s="2" t="s">
        <v>668</v>
      </c>
    </row>
    <row r="7128" customFormat="false" ht="15" hidden="false" customHeight="false" outlineLevel="0" collapsed="false">
      <c r="A7128" s="2" t="s">
        <v>3133</v>
      </c>
      <c r="B7128" s="2" t="s">
        <v>46</v>
      </c>
      <c r="C7128" s="2" t="s">
        <v>4085</v>
      </c>
      <c r="D7128" s="11" t="n">
        <v>47780</v>
      </c>
      <c r="E7128" s="31" t="n">
        <v>95.9</v>
      </c>
      <c r="F7128" s="31" t="n">
        <v>79.8</v>
      </c>
      <c r="G7128" s="31" t="n">
        <v>16</v>
      </c>
      <c r="H7128" s="2" t="s">
        <v>671</v>
      </c>
    </row>
    <row r="7129" customFormat="false" ht="15" hidden="false" customHeight="false" outlineLevel="0" collapsed="false">
      <c r="A7129" s="2" t="s">
        <v>3133</v>
      </c>
      <c r="B7129" s="2" t="s">
        <v>46</v>
      </c>
      <c r="C7129" s="2" t="s">
        <v>4086</v>
      </c>
      <c r="D7129" s="11" t="n">
        <v>49681</v>
      </c>
      <c r="E7129" s="2"/>
      <c r="F7129" s="31" t="n">
        <v>95.3</v>
      </c>
      <c r="G7129" s="2"/>
      <c r="H7129" s="2" t="s">
        <v>668</v>
      </c>
    </row>
    <row r="7130" customFormat="false" ht="15" hidden="false" customHeight="false" outlineLevel="0" collapsed="false">
      <c r="A7130" s="2" t="s">
        <v>3133</v>
      </c>
      <c r="B7130" s="2" t="s">
        <v>46</v>
      </c>
      <c r="C7130" s="2" t="s">
        <v>4087</v>
      </c>
      <c r="D7130" s="2"/>
      <c r="E7130" s="2"/>
      <c r="F7130" s="2"/>
      <c r="G7130" s="2"/>
      <c r="H7130" s="2" t="s">
        <v>668</v>
      </c>
    </row>
    <row r="7131" customFormat="false" ht="15" hidden="false" customHeight="false" outlineLevel="0" collapsed="false">
      <c r="A7131" s="2" t="s">
        <v>2517</v>
      </c>
      <c r="B7131" s="2" t="s">
        <v>4104</v>
      </c>
      <c r="C7131" s="2" t="s">
        <v>4085</v>
      </c>
      <c r="D7131" s="2"/>
      <c r="E7131" s="31" t="n">
        <v>41.4</v>
      </c>
      <c r="F7131" s="31" t="n">
        <v>64</v>
      </c>
      <c r="G7131" s="31" t="n">
        <v>35.1</v>
      </c>
      <c r="H7131" s="2" t="s">
        <v>668</v>
      </c>
    </row>
    <row r="7132" customFormat="false" ht="15" hidden="false" customHeight="false" outlineLevel="0" collapsed="false">
      <c r="A7132" s="2" t="s">
        <v>2517</v>
      </c>
      <c r="B7132" s="2" t="s">
        <v>4104</v>
      </c>
      <c r="C7132" s="2" t="s">
        <v>4086</v>
      </c>
      <c r="D7132" s="2"/>
      <c r="E7132" s="31" t="n">
        <v>49.4</v>
      </c>
      <c r="F7132" s="31" t="n">
        <v>35</v>
      </c>
      <c r="G7132" s="31" t="n">
        <v>43.6</v>
      </c>
      <c r="H7132" s="2" t="s">
        <v>668</v>
      </c>
    </row>
    <row r="7133" customFormat="false" ht="15" hidden="false" customHeight="false" outlineLevel="0" collapsed="false">
      <c r="A7133" s="2" t="s">
        <v>2517</v>
      </c>
      <c r="B7133" s="2" t="s">
        <v>4104</v>
      </c>
      <c r="C7133" s="2" t="s">
        <v>4087</v>
      </c>
      <c r="D7133" s="2"/>
      <c r="E7133" s="31" t="n">
        <v>46.7</v>
      </c>
      <c r="F7133" s="31" t="n">
        <v>55.4</v>
      </c>
      <c r="G7133" s="31" t="n">
        <v>19.6</v>
      </c>
      <c r="H7133" s="2" t="s">
        <v>668</v>
      </c>
    </row>
    <row r="7134" customFormat="false" ht="15" hidden="false" customHeight="false" outlineLevel="0" collapsed="false">
      <c r="A7134" s="2" t="s">
        <v>2517</v>
      </c>
      <c r="B7134" s="2" t="s">
        <v>45</v>
      </c>
      <c r="C7134" s="2" t="s">
        <v>4085</v>
      </c>
      <c r="D7134" s="11" t="n">
        <v>23000</v>
      </c>
      <c r="E7134" s="31" t="n">
        <v>60.3</v>
      </c>
      <c r="F7134" s="31" t="n">
        <v>50.4</v>
      </c>
      <c r="G7134" s="31" t="n">
        <v>39</v>
      </c>
      <c r="H7134" s="2" t="s">
        <v>671</v>
      </c>
    </row>
    <row r="7135" customFormat="false" ht="15" hidden="false" customHeight="false" outlineLevel="0" collapsed="false">
      <c r="A7135" s="2" t="s">
        <v>2517</v>
      </c>
      <c r="B7135" s="2" t="s">
        <v>45</v>
      </c>
      <c r="C7135" s="2" t="s">
        <v>4086</v>
      </c>
      <c r="D7135" s="11" t="n">
        <v>23860</v>
      </c>
      <c r="E7135" s="31" t="n">
        <v>65.4</v>
      </c>
      <c r="F7135" s="31" t="n">
        <v>34.7</v>
      </c>
      <c r="G7135" s="31" t="n">
        <v>33.6</v>
      </c>
      <c r="H7135" s="2" t="s">
        <v>671</v>
      </c>
    </row>
    <row r="7136" customFormat="false" ht="15" hidden="false" customHeight="false" outlineLevel="0" collapsed="false">
      <c r="A7136" s="2" t="s">
        <v>2517</v>
      </c>
      <c r="B7136" s="2" t="s">
        <v>45</v>
      </c>
      <c r="C7136" s="2" t="s">
        <v>4087</v>
      </c>
      <c r="D7136" s="2"/>
      <c r="E7136" s="2"/>
      <c r="F7136" s="2"/>
      <c r="G7136" s="2"/>
      <c r="H7136" s="2" t="s">
        <v>668</v>
      </c>
    </row>
    <row r="7137" customFormat="false" ht="15" hidden="false" customHeight="false" outlineLevel="0" collapsed="false">
      <c r="A7137" s="2" t="s">
        <v>2517</v>
      </c>
      <c r="B7137" s="2" t="s">
        <v>46</v>
      </c>
      <c r="C7137" s="2" t="s">
        <v>4085</v>
      </c>
      <c r="D7137" s="2"/>
      <c r="E7137" s="2"/>
      <c r="F7137" s="2"/>
      <c r="G7137" s="2"/>
      <c r="H7137" s="2" t="s">
        <v>668</v>
      </c>
    </row>
    <row r="7138" customFormat="false" ht="15" hidden="false" customHeight="false" outlineLevel="0" collapsed="false">
      <c r="A7138" s="2" t="s">
        <v>2517</v>
      </c>
      <c r="B7138" s="2" t="s">
        <v>46</v>
      </c>
      <c r="C7138" s="2" t="s">
        <v>4086</v>
      </c>
      <c r="D7138" s="2"/>
      <c r="E7138" s="2"/>
      <c r="F7138" s="2"/>
      <c r="G7138" s="2"/>
      <c r="H7138" s="2" t="s">
        <v>668</v>
      </c>
    </row>
    <row r="7139" customFormat="false" ht="15" hidden="false" customHeight="false" outlineLevel="0" collapsed="false">
      <c r="A7139" s="2" t="s">
        <v>2517</v>
      </c>
      <c r="B7139" s="2" t="s">
        <v>46</v>
      </c>
      <c r="C7139" s="2" t="s">
        <v>4087</v>
      </c>
      <c r="D7139" s="11" t="n">
        <v>20153</v>
      </c>
      <c r="E7139" s="31" t="n">
        <v>68.5</v>
      </c>
      <c r="F7139" s="31" t="n">
        <v>75.1</v>
      </c>
      <c r="G7139" s="2"/>
      <c r="H7139" s="2" t="s">
        <v>668</v>
      </c>
    </row>
    <row r="7140" customFormat="false" ht="15" hidden="false" customHeight="false" outlineLevel="0" collapsed="false">
      <c r="A7140" s="2" t="s">
        <v>2517</v>
      </c>
      <c r="B7140" s="2" t="s">
        <v>47</v>
      </c>
      <c r="C7140" s="2" t="s">
        <v>4085</v>
      </c>
      <c r="D7140" s="11" t="n">
        <v>19296</v>
      </c>
      <c r="E7140" s="31" t="n">
        <v>22.5</v>
      </c>
      <c r="F7140" s="31" t="n">
        <v>77.5</v>
      </c>
      <c r="G7140" s="31" t="n">
        <v>31.2</v>
      </c>
      <c r="H7140" s="2" t="s">
        <v>671</v>
      </c>
    </row>
    <row r="7141" customFormat="false" ht="15" hidden="false" customHeight="false" outlineLevel="0" collapsed="false">
      <c r="A7141" s="2" t="s">
        <v>2517</v>
      </c>
      <c r="B7141" s="2" t="s">
        <v>47</v>
      </c>
      <c r="C7141" s="2" t="s">
        <v>4086</v>
      </c>
      <c r="D7141" s="11" t="n">
        <v>19180</v>
      </c>
      <c r="E7141" s="31" t="n">
        <v>33.5</v>
      </c>
      <c r="F7141" s="31" t="n">
        <v>35.4</v>
      </c>
      <c r="G7141" s="31" t="n">
        <v>53.6</v>
      </c>
      <c r="H7141" s="2" t="s">
        <v>671</v>
      </c>
    </row>
    <row r="7142" customFormat="false" ht="15" hidden="false" customHeight="false" outlineLevel="0" collapsed="false">
      <c r="A7142" s="2" t="s">
        <v>2517</v>
      </c>
      <c r="B7142" s="2" t="s">
        <v>47</v>
      </c>
      <c r="C7142" s="2" t="s">
        <v>4087</v>
      </c>
      <c r="D7142" s="11" t="n">
        <v>20513</v>
      </c>
      <c r="E7142" s="31" t="n">
        <v>24.9</v>
      </c>
      <c r="F7142" s="31" t="n">
        <v>35.8</v>
      </c>
      <c r="G7142" s="31" t="n">
        <v>19.6</v>
      </c>
      <c r="H7142" s="2" t="s">
        <v>671</v>
      </c>
    </row>
    <row r="7143" customFormat="false" ht="15" hidden="false" customHeight="false" outlineLevel="0" collapsed="false">
      <c r="A7143" s="2" t="s">
        <v>3135</v>
      </c>
      <c r="B7143" s="2" t="s">
        <v>4104</v>
      </c>
      <c r="C7143" s="2" t="s">
        <v>4085</v>
      </c>
      <c r="D7143" s="2"/>
      <c r="E7143" s="31" t="n">
        <v>34.3</v>
      </c>
      <c r="F7143" s="31" t="n">
        <v>67.1</v>
      </c>
      <c r="G7143" s="31" t="n">
        <v>54.7</v>
      </c>
      <c r="H7143" s="2" t="s">
        <v>671</v>
      </c>
    </row>
    <row r="7144" customFormat="false" ht="15" hidden="false" customHeight="false" outlineLevel="0" collapsed="false">
      <c r="A7144" s="2" t="s">
        <v>3135</v>
      </c>
      <c r="B7144" s="2" t="s">
        <v>4104</v>
      </c>
      <c r="C7144" s="2" t="s">
        <v>4086</v>
      </c>
      <c r="D7144" s="2"/>
      <c r="E7144" s="31" t="n">
        <v>38.7</v>
      </c>
      <c r="F7144" s="31" t="n">
        <v>65.9</v>
      </c>
      <c r="G7144" s="31" t="n">
        <v>62</v>
      </c>
      <c r="H7144" s="2" t="s">
        <v>671</v>
      </c>
    </row>
    <row r="7145" customFormat="false" ht="15" hidden="false" customHeight="false" outlineLevel="0" collapsed="false">
      <c r="A7145" s="2" t="s">
        <v>3135</v>
      </c>
      <c r="B7145" s="2" t="s">
        <v>4104</v>
      </c>
      <c r="C7145" s="2" t="s">
        <v>4087</v>
      </c>
      <c r="D7145" s="2"/>
      <c r="E7145" s="31" t="n">
        <v>12.5</v>
      </c>
      <c r="F7145" s="31" t="n">
        <v>79.5</v>
      </c>
      <c r="G7145" s="2"/>
      <c r="H7145" s="2" t="s">
        <v>668</v>
      </c>
    </row>
    <row r="7146" customFormat="false" ht="15" hidden="false" customHeight="false" outlineLevel="0" collapsed="false">
      <c r="A7146" s="2" t="s">
        <v>3135</v>
      </c>
      <c r="B7146" s="2" t="s">
        <v>45</v>
      </c>
      <c r="C7146" s="2" t="s">
        <v>4085</v>
      </c>
      <c r="D7146" s="11" t="n">
        <v>69488</v>
      </c>
      <c r="E7146" s="31" t="n">
        <v>63.7</v>
      </c>
      <c r="F7146" s="31" t="n">
        <v>91.6</v>
      </c>
      <c r="G7146" s="31" t="n">
        <v>89.8</v>
      </c>
      <c r="H7146" s="2" t="s">
        <v>671</v>
      </c>
    </row>
    <row r="7147" customFormat="false" ht="15" hidden="false" customHeight="false" outlineLevel="0" collapsed="false">
      <c r="A7147" s="2" t="s">
        <v>3135</v>
      </c>
      <c r="B7147" s="2" t="s">
        <v>45</v>
      </c>
      <c r="C7147" s="2" t="s">
        <v>4086</v>
      </c>
      <c r="D7147" s="11" t="n">
        <v>74520</v>
      </c>
      <c r="E7147" s="31" t="n">
        <v>90.7</v>
      </c>
      <c r="F7147" s="31" t="n">
        <v>97.3</v>
      </c>
      <c r="G7147" s="31" t="n">
        <v>89.7</v>
      </c>
      <c r="H7147" s="2" t="s">
        <v>671</v>
      </c>
    </row>
    <row r="7148" customFormat="false" ht="15" hidden="false" customHeight="false" outlineLevel="0" collapsed="false">
      <c r="A7148" s="2" t="s">
        <v>3135</v>
      </c>
      <c r="B7148" s="2" t="s">
        <v>45</v>
      </c>
      <c r="C7148" s="2" t="s">
        <v>4087</v>
      </c>
      <c r="D7148" s="2"/>
      <c r="E7148" s="2"/>
      <c r="F7148" s="2"/>
      <c r="G7148" s="2"/>
      <c r="H7148" s="2" t="s">
        <v>668</v>
      </c>
    </row>
    <row r="7149" customFormat="false" ht="15" hidden="false" customHeight="false" outlineLevel="0" collapsed="false">
      <c r="A7149" s="2" t="s">
        <v>3135</v>
      </c>
      <c r="B7149" s="2" t="s">
        <v>46</v>
      </c>
      <c r="C7149" s="2" t="s">
        <v>4085</v>
      </c>
      <c r="D7149" s="11" t="n">
        <v>34806</v>
      </c>
      <c r="E7149" s="31" t="n">
        <v>21.7</v>
      </c>
      <c r="F7149" s="31" t="n">
        <v>30</v>
      </c>
      <c r="G7149" s="31" t="n">
        <v>3</v>
      </c>
      <c r="H7149" s="2" t="s">
        <v>671</v>
      </c>
    </row>
    <row r="7150" customFormat="false" ht="15" hidden="false" customHeight="false" outlineLevel="0" collapsed="false">
      <c r="A7150" s="2" t="s">
        <v>3135</v>
      </c>
      <c r="B7150" s="2" t="s">
        <v>46</v>
      </c>
      <c r="C7150" s="2" t="s">
        <v>4086</v>
      </c>
      <c r="D7150" s="11" t="n">
        <v>35052</v>
      </c>
      <c r="E7150" s="31" t="n">
        <v>15.1</v>
      </c>
      <c r="F7150" s="31" t="n">
        <v>14.2</v>
      </c>
      <c r="G7150" s="31" t="n">
        <v>3.3</v>
      </c>
      <c r="H7150" s="2" t="s">
        <v>671</v>
      </c>
    </row>
    <row r="7151" customFormat="false" ht="15" hidden="false" customHeight="false" outlineLevel="0" collapsed="false">
      <c r="A7151" s="2" t="s">
        <v>3135</v>
      </c>
      <c r="B7151" s="2" t="s">
        <v>46</v>
      </c>
      <c r="C7151" s="2" t="s">
        <v>4087</v>
      </c>
      <c r="D7151" s="11" t="n">
        <v>34160</v>
      </c>
      <c r="E7151" s="31" t="n">
        <v>18.2</v>
      </c>
      <c r="F7151" s="2"/>
      <c r="G7151" s="2"/>
      <c r="H7151" s="2" t="s">
        <v>668</v>
      </c>
    </row>
    <row r="7152" customFormat="false" ht="15" hidden="false" customHeight="false" outlineLevel="0" collapsed="false">
      <c r="A7152" s="2" t="s">
        <v>3135</v>
      </c>
      <c r="B7152" s="2" t="s">
        <v>47</v>
      </c>
      <c r="C7152" s="2" t="s">
        <v>4085</v>
      </c>
      <c r="D7152" s="11" t="n">
        <v>171723</v>
      </c>
      <c r="E7152" s="31" t="n">
        <v>17.6</v>
      </c>
      <c r="F7152" s="31" t="n">
        <v>79.6</v>
      </c>
      <c r="G7152" s="31" t="n">
        <v>71.4</v>
      </c>
      <c r="H7152" s="2" t="s">
        <v>671</v>
      </c>
    </row>
    <row r="7153" customFormat="false" ht="15" hidden="false" customHeight="false" outlineLevel="0" collapsed="false">
      <c r="A7153" s="2" t="s">
        <v>3135</v>
      </c>
      <c r="B7153" s="2" t="s">
        <v>47</v>
      </c>
      <c r="C7153" s="2" t="s">
        <v>4086</v>
      </c>
      <c r="D7153" s="11" t="n">
        <v>178155</v>
      </c>
      <c r="E7153" s="31" t="n">
        <v>10.2</v>
      </c>
      <c r="F7153" s="31" t="n">
        <v>86.3</v>
      </c>
      <c r="G7153" s="31" t="n">
        <v>93</v>
      </c>
      <c r="H7153" s="2" t="s">
        <v>671</v>
      </c>
    </row>
    <row r="7154" customFormat="false" ht="15" hidden="false" customHeight="false" outlineLevel="0" collapsed="false">
      <c r="A7154" s="2" t="s">
        <v>3135</v>
      </c>
      <c r="B7154" s="2" t="s">
        <v>47</v>
      </c>
      <c r="C7154" s="2" t="s">
        <v>4087</v>
      </c>
      <c r="D7154" s="11" t="n">
        <v>183758</v>
      </c>
      <c r="E7154" s="31" t="n">
        <v>6.8</v>
      </c>
      <c r="F7154" s="31" t="n">
        <v>79.5</v>
      </c>
      <c r="G7154" s="2"/>
      <c r="H7154" s="2" t="s">
        <v>668</v>
      </c>
    </row>
    <row r="7155" customFormat="false" ht="15" hidden="false" customHeight="false" outlineLevel="0" collapsed="false">
      <c r="A7155" s="2" t="s">
        <v>1493</v>
      </c>
      <c r="B7155" s="2" t="s">
        <v>4104</v>
      </c>
      <c r="C7155" s="2" t="s">
        <v>4085</v>
      </c>
      <c r="D7155" s="2"/>
      <c r="E7155" s="31" t="n">
        <v>80.8</v>
      </c>
      <c r="F7155" s="31" t="n">
        <v>57.4</v>
      </c>
      <c r="G7155" s="31" t="n">
        <v>59.8</v>
      </c>
      <c r="H7155" s="2" t="s">
        <v>668</v>
      </c>
    </row>
    <row r="7156" customFormat="false" ht="15" hidden="false" customHeight="false" outlineLevel="0" collapsed="false">
      <c r="A7156" s="2" t="s">
        <v>1493</v>
      </c>
      <c r="B7156" s="2" t="s">
        <v>4104</v>
      </c>
      <c r="C7156" s="2" t="s">
        <v>4086</v>
      </c>
      <c r="D7156" s="2"/>
      <c r="E7156" s="31" t="n">
        <v>88.4</v>
      </c>
      <c r="F7156" s="31" t="n">
        <v>36</v>
      </c>
      <c r="G7156" s="31" t="n">
        <v>71.5</v>
      </c>
      <c r="H7156" s="2" t="s">
        <v>668</v>
      </c>
    </row>
    <row r="7157" customFormat="false" ht="15" hidden="false" customHeight="false" outlineLevel="0" collapsed="false">
      <c r="A7157" s="2" t="s">
        <v>1493</v>
      </c>
      <c r="B7157" s="2" t="s">
        <v>4104</v>
      </c>
      <c r="C7157" s="2" t="s">
        <v>4087</v>
      </c>
      <c r="D7157" s="2"/>
      <c r="E7157" s="31" t="n">
        <v>82.5</v>
      </c>
      <c r="F7157" s="31" t="n">
        <v>27.8</v>
      </c>
      <c r="G7157" s="31" t="n">
        <v>58.5</v>
      </c>
      <c r="H7157" s="2" t="s">
        <v>668</v>
      </c>
    </row>
    <row r="7158" customFormat="false" ht="15" hidden="false" customHeight="false" outlineLevel="0" collapsed="false">
      <c r="A7158" s="2" t="s">
        <v>1493</v>
      </c>
      <c r="B7158" s="2" t="s">
        <v>46</v>
      </c>
      <c r="C7158" s="2" t="s">
        <v>4085</v>
      </c>
      <c r="D7158" s="2"/>
      <c r="E7158" s="2"/>
      <c r="F7158" s="2"/>
      <c r="G7158" s="31" t="n">
        <v>59.8</v>
      </c>
      <c r="H7158" s="2" t="s">
        <v>668</v>
      </c>
    </row>
    <row r="7159" customFormat="false" ht="15" hidden="false" customHeight="false" outlineLevel="0" collapsed="false">
      <c r="A7159" s="2" t="s">
        <v>1493</v>
      </c>
      <c r="B7159" s="2" t="s">
        <v>46</v>
      </c>
      <c r="C7159" s="2" t="s">
        <v>4086</v>
      </c>
      <c r="D7159" s="2"/>
      <c r="E7159" s="2"/>
      <c r="F7159" s="2"/>
      <c r="G7159" s="2"/>
      <c r="H7159" s="2" t="s">
        <v>668</v>
      </c>
    </row>
    <row r="7160" customFormat="false" ht="15" hidden="false" customHeight="false" outlineLevel="0" collapsed="false">
      <c r="A7160" s="2" t="s">
        <v>1493</v>
      </c>
      <c r="B7160" s="2" t="s">
        <v>46</v>
      </c>
      <c r="C7160" s="2" t="s">
        <v>4087</v>
      </c>
      <c r="D7160" s="11" t="n">
        <v>18510</v>
      </c>
      <c r="E7160" s="31" t="n">
        <v>82.5</v>
      </c>
      <c r="F7160" s="31" t="n">
        <v>27.8</v>
      </c>
      <c r="G7160" s="31" t="n">
        <v>58.5</v>
      </c>
      <c r="H7160" s="2" t="s">
        <v>671</v>
      </c>
    </row>
    <row r="7161" customFormat="false" ht="15" hidden="false" customHeight="false" outlineLevel="0" collapsed="false">
      <c r="A7161" s="2" t="s">
        <v>1493</v>
      </c>
      <c r="B7161" s="2" t="s">
        <v>47</v>
      </c>
      <c r="C7161" s="2" t="s">
        <v>4085</v>
      </c>
      <c r="D7161" s="11" t="n">
        <v>218904</v>
      </c>
      <c r="E7161" s="31" t="n">
        <v>80.8</v>
      </c>
      <c r="F7161" s="31" t="n">
        <v>57.4</v>
      </c>
      <c r="G7161" s="2"/>
      <c r="H7161" s="2" t="s">
        <v>668</v>
      </c>
    </row>
    <row r="7162" customFormat="false" ht="15" hidden="false" customHeight="false" outlineLevel="0" collapsed="false">
      <c r="A7162" s="2" t="s">
        <v>1493</v>
      </c>
      <c r="B7162" s="2" t="s">
        <v>47</v>
      </c>
      <c r="C7162" s="2" t="s">
        <v>4086</v>
      </c>
      <c r="D7162" s="11" t="n">
        <v>228201</v>
      </c>
      <c r="E7162" s="31" t="n">
        <v>88.4</v>
      </c>
      <c r="F7162" s="31" t="n">
        <v>36</v>
      </c>
      <c r="G7162" s="31" t="n">
        <v>71.5</v>
      </c>
      <c r="H7162" s="2" t="s">
        <v>671</v>
      </c>
    </row>
    <row r="7163" customFormat="false" ht="15" hidden="false" customHeight="false" outlineLevel="0" collapsed="false">
      <c r="A7163" s="2" t="s">
        <v>1493</v>
      </c>
      <c r="B7163" s="2" t="s">
        <v>47</v>
      </c>
      <c r="C7163" s="2" t="s">
        <v>4087</v>
      </c>
      <c r="D7163" s="2"/>
      <c r="E7163" s="2"/>
      <c r="F7163" s="2"/>
      <c r="G7163" s="2"/>
      <c r="H7163" s="2" t="s">
        <v>668</v>
      </c>
    </row>
    <row r="7164" customFormat="false" ht="15" hidden="false" customHeight="false" outlineLevel="0" collapsed="false">
      <c r="A7164" s="2" t="s">
        <v>128</v>
      </c>
      <c r="B7164" s="2" t="s">
        <v>4104</v>
      </c>
      <c r="C7164" s="2" t="s">
        <v>4085</v>
      </c>
      <c r="D7164" s="2"/>
      <c r="E7164" s="31" t="n">
        <v>77.6</v>
      </c>
      <c r="F7164" s="31" t="n">
        <v>22</v>
      </c>
      <c r="G7164" s="31" t="n">
        <v>58.7</v>
      </c>
      <c r="H7164" s="2" t="s">
        <v>668</v>
      </c>
    </row>
    <row r="7165" customFormat="false" ht="15" hidden="false" customHeight="false" outlineLevel="0" collapsed="false">
      <c r="A7165" s="2" t="s">
        <v>128</v>
      </c>
      <c r="B7165" s="2" t="s">
        <v>4104</v>
      </c>
      <c r="C7165" s="2" t="s">
        <v>4086</v>
      </c>
      <c r="D7165" s="2"/>
      <c r="E7165" s="31" t="n">
        <v>79.6</v>
      </c>
      <c r="F7165" s="31" t="n">
        <v>41.7</v>
      </c>
      <c r="G7165" s="31" t="n">
        <v>57.5</v>
      </c>
      <c r="H7165" s="2" t="s">
        <v>671</v>
      </c>
    </row>
    <row r="7166" customFormat="false" ht="15" hidden="false" customHeight="false" outlineLevel="0" collapsed="false">
      <c r="A7166" s="2" t="s">
        <v>128</v>
      </c>
      <c r="B7166" s="2" t="s">
        <v>4104</v>
      </c>
      <c r="C7166" s="2" t="s">
        <v>4087</v>
      </c>
      <c r="D7166" s="2"/>
      <c r="E7166" s="31" t="n">
        <v>85.2</v>
      </c>
      <c r="F7166" s="31" t="n">
        <v>39.6</v>
      </c>
      <c r="G7166" s="31" t="n">
        <v>40.4</v>
      </c>
      <c r="H7166" s="2" t="s">
        <v>671</v>
      </c>
    </row>
    <row r="7167" customFormat="false" ht="15" hidden="false" customHeight="false" outlineLevel="0" collapsed="false">
      <c r="A7167" s="2" t="s">
        <v>128</v>
      </c>
      <c r="B7167" s="2" t="s">
        <v>45</v>
      </c>
      <c r="C7167" s="2" t="s">
        <v>4085</v>
      </c>
      <c r="D7167" s="11" t="n">
        <v>20037</v>
      </c>
      <c r="E7167" s="31" t="n">
        <v>67.6</v>
      </c>
      <c r="F7167" s="31" t="n">
        <v>1.5</v>
      </c>
      <c r="G7167" s="31" t="n">
        <v>98</v>
      </c>
      <c r="H7167" s="2" t="s">
        <v>671</v>
      </c>
    </row>
    <row r="7168" customFormat="false" ht="15" hidden="false" customHeight="false" outlineLevel="0" collapsed="false">
      <c r="A7168" s="2" t="s">
        <v>128</v>
      </c>
      <c r="B7168" s="2" t="s">
        <v>45</v>
      </c>
      <c r="C7168" s="2" t="s">
        <v>4086</v>
      </c>
      <c r="D7168" s="11" t="n">
        <v>19820</v>
      </c>
      <c r="E7168" s="31" t="n">
        <v>83</v>
      </c>
      <c r="F7168" s="31" t="n">
        <v>2.1</v>
      </c>
      <c r="G7168" s="31" t="n">
        <v>85.5</v>
      </c>
      <c r="H7168" s="2" t="s">
        <v>671</v>
      </c>
    </row>
    <row r="7169" customFormat="false" ht="15" hidden="false" customHeight="false" outlineLevel="0" collapsed="false">
      <c r="A7169" s="2" t="s">
        <v>128</v>
      </c>
      <c r="B7169" s="2" t="s">
        <v>45</v>
      </c>
      <c r="C7169" s="2" t="s">
        <v>4087</v>
      </c>
      <c r="D7169" s="11" t="n">
        <v>19040</v>
      </c>
      <c r="E7169" s="31" t="n">
        <v>85.7</v>
      </c>
      <c r="F7169" s="31" t="n">
        <v>1.2</v>
      </c>
      <c r="G7169" s="31" t="n">
        <v>94.5</v>
      </c>
      <c r="H7169" s="2" t="s">
        <v>671</v>
      </c>
    </row>
    <row r="7170" customFormat="false" ht="15" hidden="false" customHeight="false" outlineLevel="0" collapsed="false">
      <c r="A7170" s="2" t="s">
        <v>128</v>
      </c>
      <c r="B7170" s="2" t="s">
        <v>46</v>
      </c>
      <c r="C7170" s="2" t="s">
        <v>4085</v>
      </c>
      <c r="D7170" s="2"/>
      <c r="E7170" s="2"/>
      <c r="F7170" s="2"/>
      <c r="G7170" s="2"/>
      <c r="H7170" s="2" t="s">
        <v>668</v>
      </c>
    </row>
    <row r="7171" customFormat="false" ht="15" hidden="false" customHeight="false" outlineLevel="0" collapsed="false">
      <c r="A7171" s="2" t="s">
        <v>128</v>
      </c>
      <c r="B7171" s="2" t="s">
        <v>46</v>
      </c>
      <c r="C7171" s="2" t="s">
        <v>4086</v>
      </c>
      <c r="D7171" s="11" t="n">
        <v>95980</v>
      </c>
      <c r="E7171" s="31" t="n">
        <v>60.7</v>
      </c>
      <c r="F7171" s="31" t="n">
        <v>81.8</v>
      </c>
      <c r="G7171" s="31" t="n">
        <v>46.6</v>
      </c>
      <c r="H7171" s="2" t="s">
        <v>671</v>
      </c>
    </row>
    <row r="7172" customFormat="false" ht="15" hidden="false" customHeight="false" outlineLevel="0" collapsed="false">
      <c r="A7172" s="2" t="s">
        <v>128</v>
      </c>
      <c r="B7172" s="2" t="s">
        <v>46</v>
      </c>
      <c r="C7172" s="2" t="s">
        <v>4087</v>
      </c>
      <c r="D7172" s="11" t="n">
        <v>99558</v>
      </c>
      <c r="E7172" s="31" t="n">
        <v>72.9</v>
      </c>
      <c r="F7172" s="31" t="n">
        <v>82.2</v>
      </c>
      <c r="G7172" s="31" t="n">
        <v>12.4</v>
      </c>
      <c r="H7172" s="2" t="s">
        <v>671</v>
      </c>
    </row>
    <row r="7173" customFormat="false" ht="15" hidden="false" customHeight="false" outlineLevel="0" collapsed="false">
      <c r="A7173" s="2" t="s">
        <v>128</v>
      </c>
      <c r="B7173" s="2" t="s">
        <v>47</v>
      </c>
      <c r="C7173" s="2" t="s">
        <v>4085</v>
      </c>
      <c r="D7173" s="11" t="n">
        <v>45926</v>
      </c>
      <c r="E7173" s="31" t="n">
        <v>87.7</v>
      </c>
      <c r="F7173" s="31" t="n">
        <v>42.5</v>
      </c>
      <c r="G7173" s="31" t="n">
        <v>19.4</v>
      </c>
      <c r="H7173" s="2" t="s">
        <v>671</v>
      </c>
    </row>
    <row r="7174" customFormat="false" ht="15" hidden="false" customHeight="false" outlineLevel="0" collapsed="false">
      <c r="A7174" s="2" t="s">
        <v>128</v>
      </c>
      <c r="B7174" s="2" t="s">
        <v>47</v>
      </c>
      <c r="C7174" s="2" t="s">
        <v>4086</v>
      </c>
      <c r="D7174" s="11" t="n">
        <v>45026</v>
      </c>
      <c r="E7174" s="31" t="n">
        <v>95.2</v>
      </c>
      <c r="F7174" s="31" t="n">
        <v>41.2</v>
      </c>
      <c r="G7174" s="31" t="n">
        <v>40.5</v>
      </c>
      <c r="H7174" s="2" t="s">
        <v>671</v>
      </c>
    </row>
    <row r="7175" customFormat="false" ht="15" hidden="false" customHeight="false" outlineLevel="0" collapsed="false">
      <c r="A7175" s="2" t="s">
        <v>128</v>
      </c>
      <c r="B7175" s="2" t="s">
        <v>47</v>
      </c>
      <c r="C7175" s="2" t="s">
        <v>4087</v>
      </c>
      <c r="D7175" s="11" t="n">
        <v>45716</v>
      </c>
      <c r="E7175" s="31" t="n">
        <v>97</v>
      </c>
      <c r="F7175" s="31" t="n">
        <v>35.5</v>
      </c>
      <c r="G7175" s="31" t="n">
        <v>14.3</v>
      </c>
      <c r="H7175" s="2" t="s">
        <v>671</v>
      </c>
    </row>
    <row r="7176" customFormat="false" ht="15" hidden="false" customHeight="false" outlineLevel="0" collapsed="false">
      <c r="A7176" s="2" t="s">
        <v>1956</v>
      </c>
      <c r="B7176" s="2" t="s">
        <v>4104</v>
      </c>
      <c r="C7176" s="2" t="s">
        <v>4085</v>
      </c>
      <c r="D7176" s="2"/>
      <c r="E7176" s="31" t="n">
        <v>45.5</v>
      </c>
      <c r="F7176" s="31" t="n">
        <v>59.4</v>
      </c>
      <c r="G7176" s="31" t="n">
        <v>51.5</v>
      </c>
      <c r="H7176" s="2" t="s">
        <v>668</v>
      </c>
    </row>
    <row r="7177" customFormat="false" ht="15" hidden="false" customHeight="false" outlineLevel="0" collapsed="false">
      <c r="A7177" s="2" t="s">
        <v>1956</v>
      </c>
      <c r="B7177" s="2" t="s">
        <v>4104</v>
      </c>
      <c r="C7177" s="2" t="s">
        <v>4086</v>
      </c>
      <c r="D7177" s="2"/>
      <c r="E7177" s="31" t="n">
        <v>32.2</v>
      </c>
      <c r="F7177" s="31" t="n">
        <v>63.5</v>
      </c>
      <c r="G7177" s="31" t="n">
        <v>48.7</v>
      </c>
      <c r="H7177" s="2" t="s">
        <v>671</v>
      </c>
    </row>
    <row r="7178" customFormat="false" ht="15" hidden="false" customHeight="false" outlineLevel="0" collapsed="false">
      <c r="A7178" s="2" t="s">
        <v>1956</v>
      </c>
      <c r="B7178" s="2" t="s">
        <v>4104</v>
      </c>
      <c r="C7178" s="2" t="s">
        <v>4087</v>
      </c>
      <c r="D7178" s="2"/>
      <c r="E7178" s="31" t="n">
        <v>33</v>
      </c>
      <c r="F7178" s="31" t="n">
        <v>58.9</v>
      </c>
      <c r="G7178" s="31" t="n">
        <v>68.1</v>
      </c>
      <c r="H7178" s="2" t="s">
        <v>668</v>
      </c>
    </row>
    <row r="7179" customFormat="false" ht="15" hidden="false" customHeight="false" outlineLevel="0" collapsed="false">
      <c r="A7179" s="2" t="s">
        <v>1956</v>
      </c>
      <c r="B7179" s="2" t="s">
        <v>45</v>
      </c>
      <c r="C7179" s="2" t="s">
        <v>4085</v>
      </c>
      <c r="D7179" s="11" t="n">
        <v>8340</v>
      </c>
      <c r="E7179" s="31" t="n">
        <v>90.1</v>
      </c>
      <c r="F7179" s="31" t="n">
        <v>93.5</v>
      </c>
      <c r="G7179" s="31" t="n">
        <v>51.5</v>
      </c>
      <c r="H7179" s="2" t="s">
        <v>671</v>
      </c>
    </row>
    <row r="7180" customFormat="false" ht="15" hidden="false" customHeight="false" outlineLevel="0" collapsed="false">
      <c r="A7180" s="2" t="s">
        <v>1956</v>
      </c>
      <c r="B7180" s="2" t="s">
        <v>45</v>
      </c>
      <c r="C7180" s="2" t="s">
        <v>4086</v>
      </c>
      <c r="D7180" s="11" t="n">
        <v>8910</v>
      </c>
      <c r="E7180" s="31" t="n">
        <v>91.5</v>
      </c>
      <c r="F7180" s="31" t="n">
        <v>98.6</v>
      </c>
      <c r="G7180" s="31" t="n">
        <v>36.4</v>
      </c>
      <c r="H7180" s="2" t="s">
        <v>671</v>
      </c>
    </row>
    <row r="7181" customFormat="false" ht="15" hidden="false" customHeight="false" outlineLevel="0" collapsed="false">
      <c r="A7181" s="2" t="s">
        <v>1956</v>
      </c>
      <c r="B7181" s="2" t="s">
        <v>45</v>
      </c>
      <c r="C7181" s="2" t="s">
        <v>4087</v>
      </c>
      <c r="D7181" s="11" t="n">
        <v>9461</v>
      </c>
      <c r="E7181" s="31" t="n">
        <v>96.8</v>
      </c>
      <c r="F7181" s="31" t="n">
        <v>98.1</v>
      </c>
      <c r="G7181" s="2"/>
      <c r="H7181" s="2" t="s">
        <v>668</v>
      </c>
    </row>
    <row r="7182" customFormat="false" ht="15" hidden="false" customHeight="false" outlineLevel="0" collapsed="false">
      <c r="A7182" s="2" t="s">
        <v>1956</v>
      </c>
      <c r="B7182" s="2" t="s">
        <v>46</v>
      </c>
      <c r="C7182" s="2" t="s">
        <v>4085</v>
      </c>
      <c r="D7182" s="2"/>
      <c r="E7182" s="2"/>
      <c r="F7182" s="2"/>
      <c r="G7182" s="2"/>
      <c r="H7182" s="2" t="s">
        <v>668</v>
      </c>
    </row>
    <row r="7183" customFormat="false" ht="15" hidden="false" customHeight="false" outlineLevel="0" collapsed="false">
      <c r="A7183" s="2" t="s">
        <v>1956</v>
      </c>
      <c r="B7183" s="2" t="s">
        <v>46</v>
      </c>
      <c r="C7183" s="2" t="s">
        <v>4086</v>
      </c>
      <c r="D7183" s="11" t="n">
        <v>137380</v>
      </c>
      <c r="E7183" s="31" t="n">
        <v>0.8</v>
      </c>
      <c r="F7183" s="31" t="n">
        <v>73.9</v>
      </c>
      <c r="G7183" s="31" t="n">
        <v>49.4</v>
      </c>
      <c r="H7183" s="2" t="s">
        <v>671</v>
      </c>
    </row>
    <row r="7184" customFormat="false" ht="15" hidden="false" customHeight="false" outlineLevel="0" collapsed="false">
      <c r="A7184" s="2" t="s">
        <v>1956</v>
      </c>
      <c r="B7184" s="2" t="s">
        <v>46</v>
      </c>
      <c r="C7184" s="2" t="s">
        <v>4087</v>
      </c>
      <c r="D7184" s="11" t="n">
        <v>142590</v>
      </c>
      <c r="E7184" s="31" t="n">
        <v>0.8</v>
      </c>
      <c r="F7184" s="31" t="n">
        <v>75.5</v>
      </c>
      <c r="G7184" s="31" t="n">
        <v>69.2</v>
      </c>
      <c r="H7184" s="2" t="s">
        <v>671</v>
      </c>
    </row>
    <row r="7185" customFormat="false" ht="15" hidden="false" customHeight="false" outlineLevel="0" collapsed="false">
      <c r="A7185" s="2" t="s">
        <v>1956</v>
      </c>
      <c r="B7185" s="2" t="s">
        <v>47</v>
      </c>
      <c r="C7185" s="2" t="s">
        <v>4085</v>
      </c>
      <c r="D7185" s="11" t="n">
        <v>292364</v>
      </c>
      <c r="E7185" s="31" t="n">
        <v>0.9</v>
      </c>
      <c r="F7185" s="31" t="n">
        <v>25.3</v>
      </c>
      <c r="G7185" s="2"/>
      <c r="H7185" s="2" t="s">
        <v>668</v>
      </c>
    </row>
    <row r="7186" customFormat="false" ht="15" hidden="false" customHeight="false" outlineLevel="0" collapsed="false">
      <c r="A7186" s="2" t="s">
        <v>1956</v>
      </c>
      <c r="B7186" s="2" t="s">
        <v>47</v>
      </c>
      <c r="C7186" s="2" t="s">
        <v>4086</v>
      </c>
      <c r="D7186" s="11" t="n">
        <v>278730</v>
      </c>
      <c r="E7186" s="31" t="n">
        <v>4.2</v>
      </c>
      <c r="F7186" s="31" t="n">
        <v>18</v>
      </c>
      <c r="G7186" s="31" t="n">
        <v>60.2</v>
      </c>
      <c r="H7186" s="2" t="s">
        <v>671</v>
      </c>
    </row>
    <row r="7187" customFormat="false" ht="15" hidden="false" customHeight="false" outlineLevel="0" collapsed="false">
      <c r="A7187" s="2" t="s">
        <v>1956</v>
      </c>
      <c r="B7187" s="2" t="s">
        <v>47</v>
      </c>
      <c r="C7187" s="2" t="s">
        <v>4087</v>
      </c>
      <c r="D7187" s="11" t="n">
        <v>286338</v>
      </c>
      <c r="E7187" s="31" t="n">
        <v>1.3</v>
      </c>
      <c r="F7187" s="31" t="n">
        <v>3</v>
      </c>
      <c r="G7187" s="31" t="n">
        <v>66.9</v>
      </c>
      <c r="H7187" s="2" t="s">
        <v>671</v>
      </c>
    </row>
    <row r="7188" customFormat="false" ht="15" hidden="false" customHeight="false" outlineLevel="0" collapsed="false">
      <c r="A7188" s="2" t="s">
        <v>374</v>
      </c>
      <c r="B7188" s="2" t="s">
        <v>4104</v>
      </c>
      <c r="C7188" s="2" t="s">
        <v>4085</v>
      </c>
      <c r="D7188" s="2"/>
      <c r="E7188" s="31" t="n">
        <v>61.8</v>
      </c>
      <c r="F7188" s="31" t="n">
        <v>74.5</v>
      </c>
      <c r="G7188" s="2"/>
      <c r="H7188" s="2" t="s">
        <v>668</v>
      </c>
    </row>
    <row r="7189" customFormat="false" ht="15" hidden="false" customHeight="false" outlineLevel="0" collapsed="false">
      <c r="A7189" s="2" t="s">
        <v>374</v>
      </c>
      <c r="B7189" s="2" t="s">
        <v>4104</v>
      </c>
      <c r="C7189" s="2" t="s">
        <v>4087</v>
      </c>
      <c r="D7189" s="2"/>
      <c r="E7189" s="31" t="n">
        <v>49.1</v>
      </c>
      <c r="F7189" s="31" t="n">
        <v>80.3</v>
      </c>
      <c r="G7189" s="31" t="n">
        <v>81.3</v>
      </c>
      <c r="H7189" s="2" t="s">
        <v>671</v>
      </c>
    </row>
    <row r="7190" customFormat="false" ht="15" hidden="false" customHeight="false" outlineLevel="0" collapsed="false">
      <c r="A7190" s="2" t="s">
        <v>374</v>
      </c>
      <c r="B7190" s="2" t="s">
        <v>45</v>
      </c>
      <c r="C7190" s="2" t="s">
        <v>4085</v>
      </c>
      <c r="D7190" s="11" t="n">
        <v>21150</v>
      </c>
      <c r="E7190" s="31" t="n">
        <v>99.4</v>
      </c>
      <c r="F7190" s="31" t="n">
        <v>89.8</v>
      </c>
      <c r="G7190" s="2"/>
      <c r="H7190" s="2" t="s">
        <v>668</v>
      </c>
    </row>
    <row r="7191" customFormat="false" ht="15" hidden="false" customHeight="false" outlineLevel="0" collapsed="false">
      <c r="A7191" s="2" t="s">
        <v>374</v>
      </c>
      <c r="B7191" s="2" t="s">
        <v>45</v>
      </c>
      <c r="C7191" s="2" t="s">
        <v>4087</v>
      </c>
      <c r="D7191" s="11" t="n">
        <v>23669</v>
      </c>
      <c r="E7191" s="31" t="n">
        <v>92.7</v>
      </c>
      <c r="F7191" s="31" t="n">
        <v>91.7</v>
      </c>
      <c r="G7191" s="31" t="n">
        <v>81.5</v>
      </c>
      <c r="H7191" s="2" t="s">
        <v>671</v>
      </c>
    </row>
    <row r="7192" customFormat="false" ht="15" hidden="false" customHeight="false" outlineLevel="0" collapsed="false">
      <c r="A7192" s="2" t="s">
        <v>374</v>
      </c>
      <c r="B7192" s="2" t="s">
        <v>46</v>
      </c>
      <c r="C7192" s="2" t="s">
        <v>4085</v>
      </c>
      <c r="D7192" s="11" t="n">
        <v>59550</v>
      </c>
      <c r="E7192" s="31" t="n">
        <v>24.1</v>
      </c>
      <c r="F7192" s="31" t="n">
        <v>59.2</v>
      </c>
      <c r="G7192" s="2"/>
      <c r="H7192" s="2" t="s">
        <v>668</v>
      </c>
    </row>
    <row r="7193" customFormat="false" ht="15" hidden="false" customHeight="false" outlineLevel="0" collapsed="false">
      <c r="A7193" s="2" t="s">
        <v>374</v>
      </c>
      <c r="B7193" s="2" t="s">
        <v>46</v>
      </c>
      <c r="C7193" s="2" t="s">
        <v>4087</v>
      </c>
      <c r="D7193" s="11" t="n">
        <v>65441</v>
      </c>
      <c r="E7193" s="31" t="n">
        <v>5.5</v>
      </c>
      <c r="F7193" s="31" t="n">
        <v>68.9</v>
      </c>
      <c r="G7193" s="31" t="n">
        <v>81.1</v>
      </c>
      <c r="H7193" s="2" t="s">
        <v>671</v>
      </c>
    </row>
    <row r="7194" customFormat="false" ht="15" hidden="false" customHeight="false" outlineLevel="0" collapsed="false">
      <c r="A7194" s="2" t="s">
        <v>3139</v>
      </c>
      <c r="B7194" s="2" t="s">
        <v>4104</v>
      </c>
      <c r="C7194" s="2" t="s">
        <v>4085</v>
      </c>
      <c r="D7194" s="2"/>
      <c r="E7194" s="31" t="n">
        <v>84.6</v>
      </c>
      <c r="F7194" s="31" t="n">
        <v>35.3</v>
      </c>
      <c r="G7194" s="31" t="n">
        <v>59</v>
      </c>
      <c r="H7194" s="2" t="s">
        <v>671</v>
      </c>
    </row>
    <row r="7195" customFormat="false" ht="15" hidden="false" customHeight="false" outlineLevel="0" collapsed="false">
      <c r="A7195" s="2" t="s">
        <v>3139</v>
      </c>
      <c r="B7195" s="2" t="s">
        <v>4104</v>
      </c>
      <c r="C7195" s="2" t="s">
        <v>4086</v>
      </c>
      <c r="D7195" s="2"/>
      <c r="E7195" s="31" t="n">
        <v>93.6</v>
      </c>
      <c r="F7195" s="31" t="n">
        <v>25.8</v>
      </c>
      <c r="G7195" s="31" t="n">
        <v>62.4</v>
      </c>
      <c r="H7195" s="2" t="s">
        <v>668</v>
      </c>
    </row>
    <row r="7196" customFormat="false" ht="15" hidden="false" customHeight="false" outlineLevel="0" collapsed="false">
      <c r="A7196" s="2" t="s">
        <v>3139</v>
      </c>
      <c r="B7196" s="2" t="s">
        <v>4104</v>
      </c>
      <c r="C7196" s="2" t="s">
        <v>4087</v>
      </c>
      <c r="D7196" s="2"/>
      <c r="E7196" s="31" t="n">
        <v>80.8</v>
      </c>
      <c r="F7196" s="31" t="n">
        <v>8</v>
      </c>
      <c r="G7196" s="2"/>
      <c r="H7196" s="2" t="s">
        <v>668</v>
      </c>
    </row>
    <row r="7197" customFormat="false" ht="15" hidden="false" customHeight="false" outlineLevel="0" collapsed="false">
      <c r="A7197" s="2" t="s">
        <v>3139</v>
      </c>
      <c r="B7197" s="2" t="s">
        <v>45</v>
      </c>
      <c r="C7197" s="2" t="s">
        <v>4085</v>
      </c>
      <c r="D7197" s="11" t="n">
        <v>561430</v>
      </c>
      <c r="E7197" s="31" t="n">
        <v>67.8</v>
      </c>
      <c r="F7197" s="31" t="n">
        <v>4.8</v>
      </c>
      <c r="G7197" s="31" t="n">
        <v>12.4</v>
      </c>
      <c r="H7197" s="2" t="s">
        <v>671</v>
      </c>
    </row>
    <row r="7198" customFormat="false" ht="15" hidden="false" customHeight="false" outlineLevel="0" collapsed="false">
      <c r="A7198" s="2" t="s">
        <v>3139</v>
      </c>
      <c r="B7198" s="2" t="s">
        <v>45</v>
      </c>
      <c r="C7198" s="2" t="s">
        <v>4086</v>
      </c>
      <c r="D7198" s="2"/>
      <c r="E7198" s="2"/>
      <c r="F7198" s="2"/>
      <c r="G7198" s="2"/>
      <c r="H7198" s="2" t="s">
        <v>668</v>
      </c>
    </row>
    <row r="7199" customFormat="false" ht="15" hidden="false" customHeight="false" outlineLevel="0" collapsed="false">
      <c r="A7199" s="2" t="s">
        <v>3139</v>
      </c>
      <c r="B7199" s="2" t="s">
        <v>45</v>
      </c>
      <c r="C7199" s="2" t="s">
        <v>4087</v>
      </c>
      <c r="D7199" s="11" t="n">
        <v>552760</v>
      </c>
      <c r="E7199" s="31" t="n">
        <v>80.8</v>
      </c>
      <c r="F7199" s="31" t="n">
        <v>8</v>
      </c>
      <c r="G7199" s="2"/>
      <c r="H7199" s="2" t="s">
        <v>668</v>
      </c>
    </row>
    <row r="7200" customFormat="false" ht="15" hidden="false" customHeight="false" outlineLevel="0" collapsed="false">
      <c r="A7200" s="2" t="s">
        <v>3139</v>
      </c>
      <c r="B7200" s="2" t="s">
        <v>46</v>
      </c>
      <c r="C7200" s="2" t="s">
        <v>4085</v>
      </c>
      <c r="D7200" s="11" t="n">
        <v>1931420</v>
      </c>
      <c r="E7200" s="31" t="n">
        <v>96.5</v>
      </c>
      <c r="F7200" s="31" t="n">
        <v>33.3</v>
      </c>
      <c r="G7200" s="31" t="n">
        <v>71.9</v>
      </c>
      <c r="H7200" s="2" t="s">
        <v>671</v>
      </c>
    </row>
    <row r="7201" customFormat="false" ht="15" hidden="false" customHeight="false" outlineLevel="0" collapsed="false">
      <c r="A7201" s="2" t="s">
        <v>3139</v>
      </c>
      <c r="B7201" s="2" t="s">
        <v>46</v>
      </c>
      <c r="C7201" s="2" t="s">
        <v>4086</v>
      </c>
      <c r="D7201" s="11" t="n">
        <v>1992390</v>
      </c>
      <c r="E7201" s="31" t="n">
        <v>91.6</v>
      </c>
      <c r="F7201" s="31" t="n">
        <v>25</v>
      </c>
      <c r="G7201" s="31" t="n">
        <v>79.5</v>
      </c>
      <c r="H7201" s="2" t="s">
        <v>671</v>
      </c>
    </row>
    <row r="7202" customFormat="false" ht="15" hidden="false" customHeight="false" outlineLevel="0" collapsed="false">
      <c r="A7202" s="2" t="s">
        <v>3139</v>
      </c>
      <c r="B7202" s="2" t="s">
        <v>46</v>
      </c>
      <c r="C7202" s="2" t="s">
        <v>4087</v>
      </c>
      <c r="D7202" s="2"/>
      <c r="E7202" s="2"/>
      <c r="F7202" s="2"/>
      <c r="G7202" s="2"/>
      <c r="H7202" s="2" t="s">
        <v>668</v>
      </c>
    </row>
    <row r="7203" customFormat="false" ht="15" hidden="false" customHeight="false" outlineLevel="0" collapsed="false">
      <c r="A7203" s="2" t="s">
        <v>3139</v>
      </c>
      <c r="B7203" s="2" t="s">
        <v>47</v>
      </c>
      <c r="C7203" s="2" t="s">
        <v>4085</v>
      </c>
      <c r="D7203" s="11" t="n">
        <v>534682</v>
      </c>
      <c r="E7203" s="31" t="n">
        <v>89.6</v>
      </c>
      <c r="F7203" s="31" t="n">
        <v>67.9</v>
      </c>
      <c r="G7203" s="31" t="n">
        <v>92.8</v>
      </c>
      <c r="H7203" s="2" t="s">
        <v>671</v>
      </c>
    </row>
    <row r="7204" customFormat="false" ht="15" hidden="false" customHeight="false" outlineLevel="0" collapsed="false">
      <c r="A7204" s="2" t="s">
        <v>3139</v>
      </c>
      <c r="B7204" s="2" t="s">
        <v>47</v>
      </c>
      <c r="C7204" s="2" t="s">
        <v>4086</v>
      </c>
      <c r="D7204" s="11" t="n">
        <v>538758</v>
      </c>
      <c r="E7204" s="31" t="n">
        <v>95.6</v>
      </c>
      <c r="F7204" s="31" t="n">
        <v>26.7</v>
      </c>
      <c r="G7204" s="31" t="n">
        <v>45.3</v>
      </c>
      <c r="H7204" s="2" t="s">
        <v>671</v>
      </c>
    </row>
    <row r="7205" customFormat="false" ht="15" hidden="false" customHeight="false" outlineLevel="0" collapsed="false">
      <c r="A7205" s="2" t="s">
        <v>3139</v>
      </c>
      <c r="B7205" s="2" t="s">
        <v>47</v>
      </c>
      <c r="C7205" s="2" t="s">
        <v>4087</v>
      </c>
      <c r="D7205" s="2"/>
      <c r="E7205" s="2"/>
      <c r="F7205" s="2"/>
      <c r="G7205" s="2"/>
      <c r="H7205" s="2" t="s">
        <v>668</v>
      </c>
    </row>
    <row r="7206" customFormat="false" ht="15" hidden="false" customHeight="false" outlineLevel="0" collapsed="false">
      <c r="A7206" s="2" t="s">
        <v>1141</v>
      </c>
      <c r="B7206" s="2" t="s">
        <v>4104</v>
      </c>
      <c r="C7206" s="2" t="s">
        <v>4085</v>
      </c>
      <c r="D7206" s="2"/>
      <c r="E7206" s="31" t="n">
        <v>57.9</v>
      </c>
      <c r="F7206" s="31" t="n">
        <v>68.6</v>
      </c>
      <c r="G7206" s="31" t="n">
        <v>70.7</v>
      </c>
      <c r="H7206" s="2" t="s">
        <v>668</v>
      </c>
    </row>
    <row r="7207" customFormat="false" ht="15" hidden="false" customHeight="false" outlineLevel="0" collapsed="false">
      <c r="A7207" s="2" t="s">
        <v>1141</v>
      </c>
      <c r="B7207" s="2" t="s">
        <v>4104</v>
      </c>
      <c r="C7207" s="2" t="s">
        <v>4086</v>
      </c>
      <c r="D7207" s="2"/>
      <c r="E7207" s="31" t="n">
        <v>54.8</v>
      </c>
      <c r="F7207" s="31" t="n">
        <v>87.2</v>
      </c>
      <c r="G7207" s="31" t="n">
        <v>58.2</v>
      </c>
      <c r="H7207" s="2" t="s">
        <v>668</v>
      </c>
    </row>
    <row r="7208" customFormat="false" ht="15" hidden="false" customHeight="false" outlineLevel="0" collapsed="false">
      <c r="A7208" s="2" t="s">
        <v>1141</v>
      </c>
      <c r="B7208" s="2" t="s">
        <v>4104</v>
      </c>
      <c r="C7208" s="2" t="s">
        <v>4087</v>
      </c>
      <c r="D7208" s="2"/>
      <c r="E7208" s="31" t="n">
        <v>50.6</v>
      </c>
      <c r="F7208" s="31" t="n">
        <v>84.2</v>
      </c>
      <c r="G7208" s="31" t="n">
        <v>59.6</v>
      </c>
      <c r="H7208" s="2" t="s">
        <v>668</v>
      </c>
    </row>
    <row r="7209" customFormat="false" ht="15" hidden="false" customHeight="false" outlineLevel="0" collapsed="false">
      <c r="A7209" s="2" t="s">
        <v>1141</v>
      </c>
      <c r="B7209" s="2" t="s">
        <v>45</v>
      </c>
      <c r="C7209" s="2" t="s">
        <v>4085</v>
      </c>
      <c r="D7209" s="11" t="n">
        <v>249419</v>
      </c>
      <c r="E7209" s="31" t="n">
        <v>52.7</v>
      </c>
      <c r="F7209" s="31" t="n">
        <v>39</v>
      </c>
      <c r="G7209" s="2"/>
      <c r="H7209" s="2" t="s">
        <v>668</v>
      </c>
    </row>
    <row r="7210" customFormat="false" ht="15" hidden="false" customHeight="false" outlineLevel="0" collapsed="false">
      <c r="A7210" s="2" t="s">
        <v>1141</v>
      </c>
      <c r="B7210" s="2" t="s">
        <v>45</v>
      </c>
      <c r="C7210" s="2" t="s">
        <v>4086</v>
      </c>
      <c r="D7210" s="11" t="n">
        <v>263030</v>
      </c>
      <c r="E7210" s="31" t="n">
        <v>24.8</v>
      </c>
      <c r="F7210" s="2"/>
      <c r="G7210" s="31" t="n">
        <v>64.3</v>
      </c>
      <c r="H7210" s="2" t="s">
        <v>668</v>
      </c>
    </row>
    <row r="7211" customFormat="false" ht="15" hidden="false" customHeight="false" outlineLevel="0" collapsed="false">
      <c r="A7211" s="2" t="s">
        <v>1141</v>
      </c>
      <c r="B7211" s="2" t="s">
        <v>45</v>
      </c>
      <c r="C7211" s="2" t="s">
        <v>4087</v>
      </c>
      <c r="D7211" s="11" t="n">
        <v>271960</v>
      </c>
      <c r="E7211" s="31" t="n">
        <v>37.2</v>
      </c>
      <c r="F7211" s="31" t="n">
        <v>88.4</v>
      </c>
      <c r="G7211" s="31" t="n">
        <v>36.5</v>
      </c>
      <c r="H7211" s="2" t="s">
        <v>671</v>
      </c>
    </row>
    <row r="7212" customFormat="false" ht="15" hidden="false" customHeight="false" outlineLevel="0" collapsed="false">
      <c r="A7212" s="2" t="s">
        <v>1141</v>
      </c>
      <c r="B7212" s="2" t="s">
        <v>46</v>
      </c>
      <c r="C7212" s="2" t="s">
        <v>4085</v>
      </c>
      <c r="D7212" s="11" t="n">
        <v>231103</v>
      </c>
      <c r="E7212" s="31" t="n">
        <v>49.9</v>
      </c>
      <c r="F7212" s="31" t="n">
        <v>92.3</v>
      </c>
      <c r="G7212" s="31" t="n">
        <v>51.8</v>
      </c>
      <c r="H7212" s="2" t="s">
        <v>671</v>
      </c>
    </row>
    <row r="7213" customFormat="false" ht="15" hidden="false" customHeight="false" outlineLevel="0" collapsed="false">
      <c r="A7213" s="2" t="s">
        <v>1141</v>
      </c>
      <c r="B7213" s="2" t="s">
        <v>46</v>
      </c>
      <c r="C7213" s="2" t="s">
        <v>4086</v>
      </c>
      <c r="D7213" s="11" t="n">
        <v>248910</v>
      </c>
      <c r="E7213" s="31" t="n">
        <v>66.6</v>
      </c>
      <c r="F7213" s="31" t="n">
        <v>98.1</v>
      </c>
      <c r="G7213" s="31" t="n">
        <v>18.3</v>
      </c>
      <c r="H7213" s="2" t="s">
        <v>671</v>
      </c>
    </row>
    <row r="7214" customFormat="false" ht="15" hidden="false" customHeight="false" outlineLevel="0" collapsed="false">
      <c r="A7214" s="2" t="s">
        <v>1141</v>
      </c>
      <c r="B7214" s="2" t="s">
        <v>46</v>
      </c>
      <c r="C7214" s="2" t="s">
        <v>4087</v>
      </c>
      <c r="D7214" s="2"/>
      <c r="E7214" s="2"/>
      <c r="F7214" s="2"/>
      <c r="G7214" s="2"/>
      <c r="H7214" s="2" t="s">
        <v>668</v>
      </c>
    </row>
    <row r="7215" customFormat="false" ht="15" hidden="false" customHeight="false" outlineLevel="0" collapsed="false">
      <c r="A7215" s="2" t="s">
        <v>1141</v>
      </c>
      <c r="B7215" s="2" t="s">
        <v>47</v>
      </c>
      <c r="C7215" s="2" t="s">
        <v>4085</v>
      </c>
      <c r="D7215" s="11" t="n">
        <v>2165</v>
      </c>
      <c r="E7215" s="31" t="n">
        <v>71.1</v>
      </c>
      <c r="F7215" s="31" t="n">
        <v>74.4</v>
      </c>
      <c r="G7215" s="31" t="n">
        <v>89.6</v>
      </c>
      <c r="H7215" s="2" t="s">
        <v>671</v>
      </c>
    </row>
    <row r="7216" customFormat="false" ht="15" hidden="false" customHeight="false" outlineLevel="0" collapsed="false">
      <c r="A7216" s="2" t="s">
        <v>1141</v>
      </c>
      <c r="B7216" s="2" t="s">
        <v>47</v>
      </c>
      <c r="C7216" s="2" t="s">
        <v>4086</v>
      </c>
      <c r="D7216" s="11" t="n">
        <v>2320</v>
      </c>
      <c r="E7216" s="31" t="n">
        <v>73</v>
      </c>
      <c r="F7216" s="31" t="n">
        <v>76.2</v>
      </c>
      <c r="G7216" s="31" t="n">
        <v>91.9</v>
      </c>
      <c r="H7216" s="2" t="s">
        <v>671</v>
      </c>
    </row>
    <row r="7217" customFormat="false" ht="15" hidden="false" customHeight="false" outlineLevel="0" collapsed="false">
      <c r="A7217" s="2" t="s">
        <v>1141</v>
      </c>
      <c r="B7217" s="2" t="s">
        <v>47</v>
      </c>
      <c r="C7217" s="2" t="s">
        <v>4087</v>
      </c>
      <c r="D7217" s="11" t="n">
        <v>2511</v>
      </c>
      <c r="E7217" s="31" t="n">
        <v>64.1</v>
      </c>
      <c r="F7217" s="31" t="n">
        <v>80</v>
      </c>
      <c r="G7217" s="31" t="n">
        <v>82.7</v>
      </c>
      <c r="H7217" s="2" t="s">
        <v>671</v>
      </c>
    </row>
    <row r="7218" customFormat="false" ht="15" hidden="false" customHeight="false" outlineLevel="0" collapsed="false">
      <c r="A7218" s="2" t="s">
        <v>2184</v>
      </c>
      <c r="B7218" s="2" t="s">
        <v>4104</v>
      </c>
      <c r="C7218" s="2" t="s">
        <v>4085</v>
      </c>
      <c r="D7218" s="2"/>
      <c r="E7218" s="31" t="n">
        <v>49.5</v>
      </c>
      <c r="F7218" s="31" t="n">
        <v>56.6</v>
      </c>
      <c r="G7218" s="31" t="n">
        <v>81.8</v>
      </c>
      <c r="H7218" s="2" t="s">
        <v>671</v>
      </c>
    </row>
    <row r="7219" customFormat="false" ht="15" hidden="false" customHeight="false" outlineLevel="0" collapsed="false">
      <c r="A7219" s="2" t="s">
        <v>2184</v>
      </c>
      <c r="B7219" s="2" t="s">
        <v>4104</v>
      </c>
      <c r="C7219" s="2" t="s">
        <v>4086</v>
      </c>
      <c r="D7219" s="2"/>
      <c r="E7219" s="31" t="n">
        <v>39.6</v>
      </c>
      <c r="F7219" s="31" t="n">
        <v>58.4</v>
      </c>
      <c r="G7219" s="31" t="n">
        <v>87.7</v>
      </c>
      <c r="H7219" s="2" t="s">
        <v>668</v>
      </c>
    </row>
    <row r="7220" customFormat="false" ht="15" hidden="false" customHeight="false" outlineLevel="0" collapsed="false">
      <c r="A7220" s="2" t="s">
        <v>2184</v>
      </c>
      <c r="B7220" s="2" t="s">
        <v>4104</v>
      </c>
      <c r="C7220" s="2" t="s">
        <v>4087</v>
      </c>
      <c r="D7220" s="2"/>
      <c r="E7220" s="31" t="n">
        <v>39</v>
      </c>
      <c r="F7220" s="31" t="n">
        <v>81.2</v>
      </c>
      <c r="G7220" s="31" t="n">
        <v>73</v>
      </c>
      <c r="H7220" s="2" t="s">
        <v>668</v>
      </c>
    </row>
    <row r="7221" customFormat="false" ht="15" hidden="false" customHeight="false" outlineLevel="0" collapsed="false">
      <c r="A7221" s="2" t="s">
        <v>2184</v>
      </c>
      <c r="B7221" s="2" t="s">
        <v>45</v>
      </c>
      <c r="C7221" s="2" t="s">
        <v>4085</v>
      </c>
      <c r="D7221" s="11" t="n">
        <v>22146</v>
      </c>
      <c r="E7221" s="31" t="n">
        <v>31.7</v>
      </c>
      <c r="F7221" s="31" t="n">
        <v>21.5</v>
      </c>
      <c r="G7221" s="31" t="n">
        <v>96.6</v>
      </c>
      <c r="H7221" s="2" t="s">
        <v>671</v>
      </c>
    </row>
    <row r="7222" customFormat="false" ht="15" hidden="false" customHeight="false" outlineLevel="0" collapsed="false">
      <c r="A7222" s="2" t="s">
        <v>2184</v>
      </c>
      <c r="B7222" s="2" t="s">
        <v>45</v>
      </c>
      <c r="C7222" s="2" t="s">
        <v>4086</v>
      </c>
      <c r="D7222" s="11" t="n">
        <v>22370</v>
      </c>
      <c r="E7222" s="31" t="n">
        <v>22.9</v>
      </c>
      <c r="F7222" s="31" t="n">
        <v>34</v>
      </c>
      <c r="G7222" s="2"/>
      <c r="H7222" s="2" t="s">
        <v>668</v>
      </c>
    </row>
    <row r="7223" customFormat="false" ht="15" hidden="false" customHeight="false" outlineLevel="0" collapsed="false">
      <c r="A7223" s="2" t="s">
        <v>2184</v>
      </c>
      <c r="B7223" s="2" t="s">
        <v>45</v>
      </c>
      <c r="C7223" s="2" t="s">
        <v>4087</v>
      </c>
      <c r="D7223" s="2"/>
      <c r="E7223" s="2"/>
      <c r="F7223" s="2"/>
      <c r="G7223" s="2"/>
      <c r="H7223" s="2" t="s">
        <v>668</v>
      </c>
    </row>
    <row r="7224" customFormat="false" ht="15" hidden="false" customHeight="false" outlineLevel="0" collapsed="false">
      <c r="A7224" s="2" t="s">
        <v>2184</v>
      </c>
      <c r="B7224" s="2" t="s">
        <v>46</v>
      </c>
      <c r="C7224" s="2" t="s">
        <v>4085</v>
      </c>
      <c r="D7224" s="11" t="n">
        <v>59480</v>
      </c>
      <c r="E7224" s="31" t="n">
        <v>26.4</v>
      </c>
      <c r="F7224" s="31" t="n">
        <v>57.3</v>
      </c>
      <c r="G7224" s="31" t="n">
        <v>66.4</v>
      </c>
      <c r="H7224" s="2" t="s">
        <v>671</v>
      </c>
    </row>
    <row r="7225" customFormat="false" ht="15" hidden="false" customHeight="false" outlineLevel="0" collapsed="false">
      <c r="A7225" s="2" t="s">
        <v>2184</v>
      </c>
      <c r="B7225" s="2" t="s">
        <v>46</v>
      </c>
      <c r="C7225" s="2" t="s">
        <v>4086</v>
      </c>
      <c r="D7225" s="11" t="n">
        <v>59220</v>
      </c>
      <c r="E7225" s="31" t="n">
        <v>7.3</v>
      </c>
      <c r="F7225" s="31" t="n">
        <v>46.2</v>
      </c>
      <c r="G7225" s="31" t="n">
        <v>99.8</v>
      </c>
      <c r="H7225" s="2" t="s">
        <v>671</v>
      </c>
    </row>
    <row r="7226" customFormat="false" ht="15" hidden="false" customHeight="false" outlineLevel="0" collapsed="false">
      <c r="A7226" s="2" t="s">
        <v>2184</v>
      </c>
      <c r="B7226" s="2" t="s">
        <v>46</v>
      </c>
      <c r="C7226" s="2" t="s">
        <v>4087</v>
      </c>
      <c r="D7226" s="11" t="n">
        <v>63243</v>
      </c>
      <c r="E7226" s="31" t="n">
        <v>10.4</v>
      </c>
      <c r="F7226" s="31" t="n">
        <v>63.5</v>
      </c>
      <c r="G7226" s="2"/>
      <c r="H7226" s="2" t="s">
        <v>668</v>
      </c>
    </row>
    <row r="7227" customFormat="false" ht="15" hidden="false" customHeight="false" outlineLevel="0" collapsed="false">
      <c r="A7227" s="2" t="s">
        <v>2184</v>
      </c>
      <c r="B7227" s="2" t="s">
        <v>47</v>
      </c>
      <c r="C7227" s="2" t="s">
        <v>4085</v>
      </c>
      <c r="D7227" s="11" t="n">
        <v>9899</v>
      </c>
      <c r="E7227" s="31" t="n">
        <v>90.5</v>
      </c>
      <c r="F7227" s="31" t="n">
        <v>91.1</v>
      </c>
      <c r="G7227" s="31" t="n">
        <v>82.5</v>
      </c>
      <c r="H7227" s="2" t="s">
        <v>671</v>
      </c>
    </row>
    <row r="7228" customFormat="false" ht="15" hidden="false" customHeight="false" outlineLevel="0" collapsed="false">
      <c r="A7228" s="2" t="s">
        <v>2184</v>
      </c>
      <c r="B7228" s="2" t="s">
        <v>47</v>
      </c>
      <c r="C7228" s="2" t="s">
        <v>4086</v>
      </c>
      <c r="D7228" s="11" t="n">
        <v>10380</v>
      </c>
      <c r="E7228" s="31" t="n">
        <v>88.5</v>
      </c>
      <c r="F7228" s="31" t="n">
        <v>95.1</v>
      </c>
      <c r="G7228" s="31" t="n">
        <v>75.6</v>
      </c>
      <c r="H7228" s="2" t="s">
        <v>671</v>
      </c>
    </row>
    <row r="7229" customFormat="false" ht="15" hidden="false" customHeight="false" outlineLevel="0" collapsed="false">
      <c r="A7229" s="2" t="s">
        <v>2184</v>
      </c>
      <c r="B7229" s="2" t="s">
        <v>47</v>
      </c>
      <c r="C7229" s="2" t="s">
        <v>4087</v>
      </c>
      <c r="D7229" s="11" t="n">
        <v>11212</v>
      </c>
      <c r="E7229" s="31" t="n">
        <v>67.5</v>
      </c>
      <c r="F7229" s="31" t="n">
        <v>98.9</v>
      </c>
      <c r="G7229" s="31" t="n">
        <v>73</v>
      </c>
      <c r="H7229" s="2" t="s">
        <v>671</v>
      </c>
    </row>
    <row r="7230" customFormat="false" ht="15" hidden="false" customHeight="false" outlineLevel="0" collapsed="false">
      <c r="A7230" s="2" t="s">
        <v>1920</v>
      </c>
      <c r="B7230" s="2" t="s">
        <v>4104</v>
      </c>
      <c r="C7230" s="2" t="s">
        <v>4085</v>
      </c>
      <c r="D7230" s="2"/>
      <c r="E7230" s="31" t="n">
        <v>27</v>
      </c>
      <c r="F7230" s="31" t="n">
        <v>50.5</v>
      </c>
      <c r="G7230" s="31" t="n">
        <v>51.8</v>
      </c>
      <c r="H7230" s="2" t="s">
        <v>668</v>
      </c>
    </row>
    <row r="7231" customFormat="false" ht="15" hidden="false" customHeight="false" outlineLevel="0" collapsed="false">
      <c r="A7231" s="2" t="s">
        <v>1920</v>
      </c>
      <c r="B7231" s="2" t="s">
        <v>4104</v>
      </c>
      <c r="C7231" s="2" t="s">
        <v>4086</v>
      </c>
      <c r="D7231" s="2"/>
      <c r="E7231" s="31" t="n">
        <v>23.4</v>
      </c>
      <c r="F7231" s="31" t="n">
        <v>40.7</v>
      </c>
      <c r="G7231" s="31" t="n">
        <v>62.1</v>
      </c>
      <c r="H7231" s="2" t="s">
        <v>671</v>
      </c>
    </row>
    <row r="7232" customFormat="false" ht="15" hidden="false" customHeight="false" outlineLevel="0" collapsed="false">
      <c r="A7232" s="2" t="s">
        <v>1920</v>
      </c>
      <c r="B7232" s="2" t="s">
        <v>4104</v>
      </c>
      <c r="C7232" s="2" t="s">
        <v>4087</v>
      </c>
      <c r="D7232" s="2"/>
      <c r="E7232" s="31" t="n">
        <v>26.6</v>
      </c>
      <c r="F7232" s="31" t="n">
        <v>37.9</v>
      </c>
      <c r="G7232" s="31" t="n">
        <v>55.3</v>
      </c>
      <c r="H7232" s="2" t="s">
        <v>668</v>
      </c>
    </row>
    <row r="7233" customFormat="false" ht="15" hidden="false" customHeight="false" outlineLevel="0" collapsed="false">
      <c r="A7233" s="2" t="s">
        <v>1920</v>
      </c>
      <c r="B7233" s="2" t="s">
        <v>45</v>
      </c>
      <c r="C7233" s="2" t="s">
        <v>4085</v>
      </c>
      <c r="D7233" s="11" t="n">
        <v>140910</v>
      </c>
      <c r="E7233" s="31" t="n">
        <v>37.6</v>
      </c>
      <c r="F7233" s="31" t="n">
        <v>89</v>
      </c>
      <c r="G7233" s="31" t="n">
        <v>72.4</v>
      </c>
      <c r="H7233" s="2" t="s">
        <v>671</v>
      </c>
    </row>
    <row r="7234" customFormat="false" ht="15" hidden="false" customHeight="false" outlineLevel="0" collapsed="false">
      <c r="A7234" s="2" t="s">
        <v>1920</v>
      </c>
      <c r="B7234" s="2" t="s">
        <v>45</v>
      </c>
      <c r="C7234" s="2" t="s">
        <v>4086</v>
      </c>
      <c r="D7234" s="11" t="n">
        <v>143820</v>
      </c>
      <c r="E7234" s="31" t="n">
        <v>42.5</v>
      </c>
      <c r="F7234" s="31" t="n">
        <v>67.1</v>
      </c>
      <c r="G7234" s="31" t="n">
        <v>51</v>
      </c>
      <c r="H7234" s="2" t="s">
        <v>671</v>
      </c>
    </row>
    <row r="7235" customFormat="false" ht="15" hidden="false" customHeight="false" outlineLevel="0" collapsed="false">
      <c r="A7235" s="2" t="s">
        <v>1920</v>
      </c>
      <c r="B7235" s="2" t="s">
        <v>45</v>
      </c>
      <c r="C7235" s="2" t="s">
        <v>4087</v>
      </c>
      <c r="D7235" s="11" t="n">
        <v>153910</v>
      </c>
      <c r="E7235" s="31" t="n">
        <v>38.2</v>
      </c>
      <c r="F7235" s="31" t="n">
        <v>73.9</v>
      </c>
      <c r="G7235" s="2"/>
      <c r="H7235" s="2" t="s">
        <v>668</v>
      </c>
    </row>
    <row r="7236" customFormat="false" ht="15" hidden="false" customHeight="false" outlineLevel="0" collapsed="false">
      <c r="A7236" s="2" t="s">
        <v>1920</v>
      </c>
      <c r="B7236" s="2" t="s">
        <v>46</v>
      </c>
      <c r="C7236" s="2" t="s">
        <v>4085</v>
      </c>
      <c r="D7236" s="11" t="n">
        <v>127198</v>
      </c>
      <c r="E7236" s="31" t="n">
        <v>18.6</v>
      </c>
      <c r="F7236" s="31" t="n">
        <v>18.6</v>
      </c>
      <c r="G7236" s="31" t="n">
        <v>31.1</v>
      </c>
      <c r="H7236" s="2" t="s">
        <v>671</v>
      </c>
    </row>
    <row r="7237" customFormat="false" ht="15" hidden="false" customHeight="false" outlineLevel="0" collapsed="false">
      <c r="A7237" s="2" t="s">
        <v>1920</v>
      </c>
      <c r="B7237" s="2" t="s">
        <v>46</v>
      </c>
      <c r="C7237" s="2" t="s">
        <v>4086</v>
      </c>
      <c r="D7237" s="11" t="n">
        <v>124840</v>
      </c>
      <c r="E7237" s="31" t="n">
        <v>7.5</v>
      </c>
      <c r="F7237" s="31" t="n">
        <v>8.3</v>
      </c>
      <c r="G7237" s="31" t="n">
        <v>77.9</v>
      </c>
      <c r="H7237" s="2" t="s">
        <v>671</v>
      </c>
    </row>
    <row r="7238" customFormat="false" ht="15" hidden="false" customHeight="false" outlineLevel="0" collapsed="false">
      <c r="A7238" s="2" t="s">
        <v>1920</v>
      </c>
      <c r="B7238" s="2" t="s">
        <v>46</v>
      </c>
      <c r="C7238" s="2" t="s">
        <v>4087</v>
      </c>
      <c r="D7238" s="11" t="n">
        <v>125400</v>
      </c>
      <c r="E7238" s="31" t="n">
        <v>7.2</v>
      </c>
      <c r="F7238" s="31" t="n">
        <v>25.2</v>
      </c>
      <c r="G7238" s="31" t="n">
        <v>81.6</v>
      </c>
      <c r="H7238" s="2" t="s">
        <v>671</v>
      </c>
    </row>
    <row r="7239" customFormat="false" ht="15" hidden="false" customHeight="false" outlineLevel="0" collapsed="false">
      <c r="A7239" s="2" t="s">
        <v>1920</v>
      </c>
      <c r="B7239" s="2" t="s">
        <v>47</v>
      </c>
      <c r="C7239" s="2" t="s">
        <v>4085</v>
      </c>
      <c r="D7239" s="11" t="n">
        <v>109767</v>
      </c>
      <c r="E7239" s="31" t="n">
        <v>24.7</v>
      </c>
      <c r="F7239" s="31" t="n">
        <v>43.8</v>
      </c>
      <c r="G7239" s="2"/>
      <c r="H7239" s="2" t="s">
        <v>668</v>
      </c>
    </row>
    <row r="7240" customFormat="false" ht="15" hidden="false" customHeight="false" outlineLevel="0" collapsed="false">
      <c r="A7240" s="2" t="s">
        <v>1920</v>
      </c>
      <c r="B7240" s="2" t="s">
        <v>47</v>
      </c>
      <c r="C7240" s="2" t="s">
        <v>4086</v>
      </c>
      <c r="D7240" s="11" t="n">
        <v>109895</v>
      </c>
      <c r="E7240" s="31" t="n">
        <v>20.3</v>
      </c>
      <c r="F7240" s="31" t="n">
        <v>46.6</v>
      </c>
      <c r="G7240" s="31" t="n">
        <v>57.5</v>
      </c>
      <c r="H7240" s="2" t="s">
        <v>671</v>
      </c>
    </row>
    <row r="7241" customFormat="false" ht="15" hidden="false" customHeight="false" outlineLevel="0" collapsed="false">
      <c r="A7241" s="2" t="s">
        <v>1920</v>
      </c>
      <c r="B7241" s="2" t="s">
        <v>47</v>
      </c>
      <c r="C7241" s="2" t="s">
        <v>4087</v>
      </c>
      <c r="D7241" s="11" t="n">
        <v>111663</v>
      </c>
      <c r="E7241" s="31" t="n">
        <v>34.4</v>
      </c>
      <c r="F7241" s="31" t="n">
        <v>14.5</v>
      </c>
      <c r="G7241" s="31" t="n">
        <v>29</v>
      </c>
      <c r="H7241" s="2" t="s">
        <v>671</v>
      </c>
    </row>
    <row r="7242" customFormat="false" ht="15" hidden="false" customHeight="false" outlineLevel="0" collapsed="false">
      <c r="A7242" s="2" t="s">
        <v>1558</v>
      </c>
      <c r="B7242" s="2" t="s">
        <v>4104</v>
      </c>
      <c r="C7242" s="2" t="s">
        <v>4086</v>
      </c>
      <c r="D7242" s="2"/>
      <c r="E7242" s="31" t="n">
        <v>70</v>
      </c>
      <c r="F7242" s="31" t="n">
        <v>92.9</v>
      </c>
      <c r="G7242" s="2"/>
      <c r="H7242" s="2" t="s">
        <v>668</v>
      </c>
    </row>
    <row r="7243" customFormat="false" ht="15" hidden="false" customHeight="false" outlineLevel="0" collapsed="false">
      <c r="A7243" s="2" t="s">
        <v>1558</v>
      </c>
      <c r="B7243" s="2" t="s">
        <v>4104</v>
      </c>
      <c r="C7243" s="2" t="s">
        <v>4087</v>
      </c>
      <c r="D7243" s="2"/>
      <c r="E7243" s="31" t="n">
        <v>71.5</v>
      </c>
      <c r="F7243" s="31" t="n">
        <v>60.4</v>
      </c>
      <c r="G7243" s="31" t="n">
        <v>60.4</v>
      </c>
      <c r="H7243" s="2" t="s">
        <v>668</v>
      </c>
    </row>
    <row r="7244" customFormat="false" ht="15" hidden="false" customHeight="false" outlineLevel="0" collapsed="false">
      <c r="A7244" s="2" t="s">
        <v>1558</v>
      </c>
      <c r="B7244" s="2" t="s">
        <v>45</v>
      </c>
      <c r="C7244" s="2" t="s">
        <v>4087</v>
      </c>
      <c r="D7244" s="2"/>
      <c r="E7244" s="2"/>
      <c r="F7244" s="2"/>
      <c r="G7244" s="2"/>
      <c r="H7244" s="2" t="s">
        <v>668</v>
      </c>
    </row>
    <row r="7245" customFormat="false" ht="15" hidden="false" customHeight="false" outlineLevel="0" collapsed="false">
      <c r="A7245" s="2" t="s">
        <v>1558</v>
      </c>
      <c r="B7245" s="2" t="s">
        <v>46</v>
      </c>
      <c r="C7245" s="2" t="s">
        <v>4087</v>
      </c>
      <c r="D7245" s="11" t="n">
        <v>9940</v>
      </c>
      <c r="E7245" s="31" t="n">
        <v>71.5</v>
      </c>
      <c r="F7245" s="31" t="n">
        <v>60.4</v>
      </c>
      <c r="G7245" s="31" t="n">
        <v>60.4</v>
      </c>
      <c r="H7245" s="2" t="s">
        <v>671</v>
      </c>
    </row>
    <row r="7246" customFormat="false" ht="15" hidden="false" customHeight="false" outlineLevel="0" collapsed="false">
      <c r="A7246" s="2" t="s">
        <v>1558</v>
      </c>
      <c r="B7246" s="2" t="s">
        <v>47</v>
      </c>
      <c r="C7246" s="2" t="s">
        <v>4086</v>
      </c>
      <c r="D7246" s="11" t="n">
        <v>1499353</v>
      </c>
      <c r="E7246" s="31" t="n">
        <v>70</v>
      </c>
      <c r="F7246" s="31" t="n">
        <v>92.9</v>
      </c>
      <c r="G7246" s="2"/>
      <c r="H7246" s="2" t="s">
        <v>668</v>
      </c>
    </row>
    <row r="7247" customFormat="false" ht="15" hidden="false" customHeight="false" outlineLevel="0" collapsed="false">
      <c r="A7247" s="2" t="s">
        <v>1558</v>
      </c>
      <c r="B7247" s="2" t="s">
        <v>47</v>
      </c>
      <c r="C7247" s="2" t="s">
        <v>4087</v>
      </c>
      <c r="D7247" s="2"/>
      <c r="E7247" s="2"/>
      <c r="F7247" s="2"/>
      <c r="G7247" s="2"/>
      <c r="H7247" s="2" t="s">
        <v>668</v>
      </c>
    </row>
    <row r="7248" customFormat="false" ht="15" hidden="false" customHeight="false" outlineLevel="0" collapsed="false">
      <c r="A7248" s="2" t="s">
        <v>1894</v>
      </c>
      <c r="B7248" s="2" t="s">
        <v>4104</v>
      </c>
      <c r="C7248" s="2" t="s">
        <v>4085</v>
      </c>
      <c r="D7248" s="2"/>
      <c r="E7248" s="31" t="n">
        <v>60.8</v>
      </c>
      <c r="F7248" s="31" t="n">
        <v>62.3</v>
      </c>
      <c r="G7248" s="31" t="n">
        <v>29.4</v>
      </c>
      <c r="H7248" s="2" t="s">
        <v>668</v>
      </c>
    </row>
    <row r="7249" customFormat="false" ht="15" hidden="false" customHeight="false" outlineLevel="0" collapsed="false">
      <c r="A7249" s="2" t="s">
        <v>1894</v>
      </c>
      <c r="B7249" s="2" t="s">
        <v>4104</v>
      </c>
      <c r="C7249" s="2" t="s">
        <v>4086</v>
      </c>
      <c r="D7249" s="2"/>
      <c r="E7249" s="31" t="n">
        <v>58.6</v>
      </c>
      <c r="F7249" s="31" t="n">
        <v>48.5</v>
      </c>
      <c r="G7249" s="31" t="n">
        <v>40.1</v>
      </c>
      <c r="H7249" s="2" t="s">
        <v>668</v>
      </c>
    </row>
    <row r="7250" customFormat="false" ht="15" hidden="false" customHeight="false" outlineLevel="0" collapsed="false">
      <c r="A7250" s="2" t="s">
        <v>1894</v>
      </c>
      <c r="B7250" s="2" t="s">
        <v>4104</v>
      </c>
      <c r="C7250" s="2" t="s">
        <v>4087</v>
      </c>
      <c r="D7250" s="2"/>
      <c r="E7250" s="31" t="n">
        <v>43.2</v>
      </c>
      <c r="F7250" s="31" t="n">
        <v>30.4</v>
      </c>
      <c r="G7250" s="31" t="n">
        <v>39.8</v>
      </c>
      <c r="H7250" s="2" t="s">
        <v>668</v>
      </c>
    </row>
    <row r="7251" customFormat="false" ht="15" hidden="false" customHeight="false" outlineLevel="0" collapsed="false">
      <c r="A7251" s="2" t="s">
        <v>1894</v>
      </c>
      <c r="B7251" s="2" t="s">
        <v>45</v>
      </c>
      <c r="C7251" s="2" t="s">
        <v>4085</v>
      </c>
      <c r="D7251" s="11" t="n">
        <v>3060</v>
      </c>
      <c r="E7251" s="31" t="n">
        <v>54.4</v>
      </c>
      <c r="F7251" s="31" t="n">
        <v>91.9</v>
      </c>
      <c r="G7251" s="31" t="n">
        <v>24.9</v>
      </c>
      <c r="H7251" s="2" t="s">
        <v>671</v>
      </c>
    </row>
    <row r="7252" customFormat="false" ht="15" hidden="false" customHeight="false" outlineLevel="0" collapsed="false">
      <c r="A7252" s="2" t="s">
        <v>1894</v>
      </c>
      <c r="B7252" s="2" t="s">
        <v>45</v>
      </c>
      <c r="C7252" s="2" t="s">
        <v>4086</v>
      </c>
      <c r="D7252" s="11" t="n">
        <v>3130</v>
      </c>
      <c r="E7252" s="31" t="n">
        <v>66.4</v>
      </c>
      <c r="F7252" s="31" t="n">
        <v>77.5</v>
      </c>
      <c r="G7252" s="2"/>
      <c r="H7252" s="2" t="s">
        <v>668</v>
      </c>
    </row>
    <row r="7253" customFormat="false" ht="15" hidden="false" customHeight="false" outlineLevel="0" collapsed="false">
      <c r="A7253" s="2" t="s">
        <v>1894</v>
      </c>
      <c r="B7253" s="2" t="s">
        <v>45</v>
      </c>
      <c r="C7253" s="2" t="s">
        <v>4087</v>
      </c>
      <c r="D7253" s="2"/>
      <c r="E7253" s="2"/>
      <c r="F7253" s="2"/>
      <c r="G7253" s="2"/>
      <c r="H7253" s="2" t="s">
        <v>668</v>
      </c>
    </row>
    <row r="7254" customFormat="false" ht="15" hidden="false" customHeight="false" outlineLevel="0" collapsed="false">
      <c r="A7254" s="2" t="s">
        <v>1894</v>
      </c>
      <c r="B7254" s="2" t="s">
        <v>46</v>
      </c>
      <c r="C7254" s="2" t="s">
        <v>4085</v>
      </c>
      <c r="D7254" s="2"/>
      <c r="E7254" s="2"/>
      <c r="F7254" s="2"/>
      <c r="G7254" s="2"/>
      <c r="H7254" s="2" t="s">
        <v>668</v>
      </c>
    </row>
    <row r="7255" customFormat="false" ht="15" hidden="false" customHeight="false" outlineLevel="0" collapsed="false">
      <c r="A7255" s="2" t="s">
        <v>1894</v>
      </c>
      <c r="B7255" s="2" t="s">
        <v>46</v>
      </c>
      <c r="C7255" s="2" t="s">
        <v>4086</v>
      </c>
      <c r="D7255" s="2"/>
      <c r="E7255" s="2"/>
      <c r="F7255" s="2"/>
      <c r="G7255" s="2"/>
      <c r="H7255" s="2" t="s">
        <v>668</v>
      </c>
    </row>
    <row r="7256" customFormat="false" ht="15" hidden="false" customHeight="false" outlineLevel="0" collapsed="false">
      <c r="A7256" s="2" t="s">
        <v>1894</v>
      </c>
      <c r="B7256" s="2" t="s">
        <v>46</v>
      </c>
      <c r="C7256" s="2" t="s">
        <v>4087</v>
      </c>
      <c r="D7256" s="11" t="n">
        <v>16530</v>
      </c>
      <c r="E7256" s="31" t="n">
        <v>13.1</v>
      </c>
      <c r="F7256" s="31" t="n">
        <v>49</v>
      </c>
      <c r="G7256" s="31" t="n">
        <v>52.1</v>
      </c>
      <c r="H7256" s="2" t="s">
        <v>671</v>
      </c>
    </row>
    <row r="7257" customFormat="false" ht="15" hidden="false" customHeight="false" outlineLevel="0" collapsed="false">
      <c r="A7257" s="2" t="s">
        <v>1894</v>
      </c>
      <c r="B7257" s="2" t="s">
        <v>47</v>
      </c>
      <c r="C7257" s="2" t="s">
        <v>4085</v>
      </c>
      <c r="D7257" s="11" t="n">
        <v>53078</v>
      </c>
      <c r="E7257" s="31" t="n">
        <v>67.1</v>
      </c>
      <c r="F7257" s="31" t="n">
        <v>32.7</v>
      </c>
      <c r="G7257" s="31" t="n">
        <v>34</v>
      </c>
      <c r="H7257" s="2" t="s">
        <v>671</v>
      </c>
    </row>
    <row r="7258" customFormat="false" ht="15" hidden="false" customHeight="false" outlineLevel="0" collapsed="false">
      <c r="A7258" s="2" t="s">
        <v>1894</v>
      </c>
      <c r="B7258" s="2" t="s">
        <v>47</v>
      </c>
      <c r="C7258" s="2" t="s">
        <v>4086</v>
      </c>
      <c r="D7258" s="11" t="n">
        <v>53583</v>
      </c>
      <c r="E7258" s="31" t="n">
        <v>50.8</v>
      </c>
      <c r="F7258" s="31" t="n">
        <v>19.5</v>
      </c>
      <c r="G7258" s="31" t="n">
        <v>40.1</v>
      </c>
      <c r="H7258" s="2" t="s">
        <v>671</v>
      </c>
    </row>
    <row r="7259" customFormat="false" ht="15" hidden="false" customHeight="false" outlineLevel="0" collapsed="false">
      <c r="A7259" s="2" t="s">
        <v>1894</v>
      </c>
      <c r="B7259" s="2" t="s">
        <v>47</v>
      </c>
      <c r="C7259" s="2" t="s">
        <v>4087</v>
      </c>
      <c r="D7259" s="11" t="n">
        <v>55559</v>
      </c>
      <c r="E7259" s="31" t="n">
        <v>73.2</v>
      </c>
      <c r="F7259" s="31" t="n">
        <v>11.7</v>
      </c>
      <c r="G7259" s="31" t="n">
        <v>27.6</v>
      </c>
      <c r="H7259" s="2" t="s">
        <v>671</v>
      </c>
    </row>
    <row r="7260" customFormat="false" ht="15" hidden="false" customHeight="false" outlineLevel="0" collapsed="false">
      <c r="A7260" s="2" t="s">
        <v>132</v>
      </c>
      <c r="B7260" s="2" t="s">
        <v>4104</v>
      </c>
      <c r="C7260" s="2" t="s">
        <v>4085</v>
      </c>
      <c r="D7260" s="2"/>
      <c r="E7260" s="31" t="n">
        <v>69.3</v>
      </c>
      <c r="F7260" s="31" t="n">
        <v>34.7</v>
      </c>
      <c r="G7260" s="31" t="n">
        <v>54.5</v>
      </c>
      <c r="H7260" s="2" t="s">
        <v>671</v>
      </c>
    </row>
    <row r="7261" customFormat="false" ht="15" hidden="false" customHeight="false" outlineLevel="0" collapsed="false">
      <c r="A7261" s="2" t="s">
        <v>132</v>
      </c>
      <c r="B7261" s="2" t="s">
        <v>4104</v>
      </c>
      <c r="C7261" s="2" t="s">
        <v>4086</v>
      </c>
      <c r="D7261" s="2"/>
      <c r="E7261" s="31" t="n">
        <v>80.7</v>
      </c>
      <c r="F7261" s="31" t="n">
        <v>66.3</v>
      </c>
      <c r="G7261" s="31" t="n">
        <v>42.7</v>
      </c>
      <c r="H7261" s="2" t="s">
        <v>671</v>
      </c>
    </row>
    <row r="7262" customFormat="false" ht="15" hidden="false" customHeight="false" outlineLevel="0" collapsed="false">
      <c r="A7262" s="2" t="s">
        <v>132</v>
      </c>
      <c r="B7262" s="2" t="s">
        <v>4104</v>
      </c>
      <c r="C7262" s="2" t="s">
        <v>4087</v>
      </c>
      <c r="D7262" s="2"/>
      <c r="E7262" s="31" t="n">
        <v>85</v>
      </c>
      <c r="F7262" s="31" t="n">
        <v>54.4</v>
      </c>
      <c r="G7262" s="31" t="n">
        <v>47.2</v>
      </c>
      <c r="H7262" s="2" t="s">
        <v>671</v>
      </c>
    </row>
    <row r="7263" customFormat="false" ht="15" hidden="false" customHeight="false" outlineLevel="0" collapsed="false">
      <c r="A7263" s="2" t="s">
        <v>132</v>
      </c>
      <c r="B7263" s="2" t="s">
        <v>45</v>
      </c>
      <c r="C7263" s="2" t="s">
        <v>4085</v>
      </c>
      <c r="D7263" s="11" t="n">
        <v>37220</v>
      </c>
      <c r="E7263" s="31" t="n">
        <v>69.3</v>
      </c>
      <c r="F7263" s="31" t="n">
        <v>34.7</v>
      </c>
      <c r="G7263" s="31" t="n">
        <v>54.5</v>
      </c>
      <c r="H7263" s="2" t="s">
        <v>671</v>
      </c>
    </row>
    <row r="7264" customFormat="false" ht="15" hidden="false" customHeight="false" outlineLevel="0" collapsed="false">
      <c r="A7264" s="2" t="s">
        <v>132</v>
      </c>
      <c r="B7264" s="2" t="s">
        <v>45</v>
      </c>
      <c r="C7264" s="2" t="s">
        <v>4086</v>
      </c>
      <c r="D7264" s="11" t="n">
        <v>37770</v>
      </c>
      <c r="E7264" s="31" t="n">
        <v>80.7</v>
      </c>
      <c r="F7264" s="31" t="n">
        <v>66.3</v>
      </c>
      <c r="G7264" s="31" t="n">
        <v>42.7</v>
      </c>
      <c r="H7264" s="2" t="s">
        <v>671</v>
      </c>
    </row>
    <row r="7265" customFormat="false" ht="15" hidden="false" customHeight="false" outlineLevel="0" collapsed="false">
      <c r="A7265" s="2" t="s">
        <v>132</v>
      </c>
      <c r="B7265" s="2" t="s">
        <v>45</v>
      </c>
      <c r="C7265" s="2" t="s">
        <v>4087</v>
      </c>
      <c r="D7265" s="11" t="n">
        <v>38360</v>
      </c>
      <c r="E7265" s="31" t="n">
        <v>85</v>
      </c>
      <c r="F7265" s="31" t="n">
        <v>54.4</v>
      </c>
      <c r="G7265" s="31" t="n">
        <v>47.2</v>
      </c>
      <c r="H7265" s="2" t="s">
        <v>671</v>
      </c>
    </row>
    <row r="7266" customFormat="false" ht="15" hidden="false" customHeight="false" outlineLevel="0" collapsed="false">
      <c r="A7266" s="2" t="s">
        <v>808</v>
      </c>
      <c r="B7266" s="2" t="s">
        <v>4104</v>
      </c>
      <c r="C7266" s="2" t="s">
        <v>4085</v>
      </c>
      <c r="D7266" s="2"/>
      <c r="E7266" s="31" t="n">
        <v>27.8</v>
      </c>
      <c r="F7266" s="31" t="n">
        <v>3.4</v>
      </c>
      <c r="G7266" s="31" t="n">
        <v>62.6</v>
      </c>
      <c r="H7266" s="2" t="s">
        <v>668</v>
      </c>
    </row>
    <row r="7267" customFormat="false" ht="15" hidden="false" customHeight="false" outlineLevel="0" collapsed="false">
      <c r="A7267" s="2" t="s">
        <v>808</v>
      </c>
      <c r="B7267" s="2" t="s">
        <v>4104</v>
      </c>
      <c r="C7267" s="2" t="s">
        <v>4086</v>
      </c>
      <c r="D7267" s="2"/>
      <c r="E7267" s="31" t="n">
        <v>37</v>
      </c>
      <c r="F7267" s="31" t="n">
        <v>38.5</v>
      </c>
      <c r="G7267" s="31" t="n">
        <v>70.9</v>
      </c>
      <c r="H7267" s="2" t="s">
        <v>668</v>
      </c>
    </row>
    <row r="7268" customFormat="false" ht="15" hidden="false" customHeight="false" outlineLevel="0" collapsed="false">
      <c r="A7268" s="2" t="s">
        <v>808</v>
      </c>
      <c r="B7268" s="2" t="s">
        <v>4104</v>
      </c>
      <c r="C7268" s="2" t="s">
        <v>4087</v>
      </c>
      <c r="D7268" s="2"/>
      <c r="E7268" s="31" t="n">
        <v>46.2</v>
      </c>
      <c r="F7268" s="31" t="n">
        <v>87</v>
      </c>
      <c r="G7268" s="31" t="n">
        <v>74.2</v>
      </c>
      <c r="H7268" s="2" t="s">
        <v>668</v>
      </c>
    </row>
    <row r="7269" customFormat="false" ht="15" hidden="false" customHeight="false" outlineLevel="0" collapsed="false">
      <c r="A7269" s="2" t="s">
        <v>808</v>
      </c>
      <c r="B7269" s="2" t="s">
        <v>45</v>
      </c>
      <c r="C7269" s="2" t="s">
        <v>4085</v>
      </c>
      <c r="D7269" s="11" t="n">
        <v>259610</v>
      </c>
      <c r="E7269" s="31" t="n">
        <v>40.6</v>
      </c>
      <c r="F7269" s="2"/>
      <c r="G7269" s="31" t="n">
        <v>41.5</v>
      </c>
      <c r="H7269" s="2" t="s">
        <v>668</v>
      </c>
    </row>
    <row r="7270" customFormat="false" ht="15" hidden="false" customHeight="false" outlineLevel="0" collapsed="false">
      <c r="A7270" s="2" t="s">
        <v>808</v>
      </c>
      <c r="B7270" s="2" t="s">
        <v>45</v>
      </c>
      <c r="C7270" s="2" t="s">
        <v>4086</v>
      </c>
      <c r="D7270" s="11" t="n">
        <v>272660</v>
      </c>
      <c r="E7270" s="31" t="n">
        <v>70.9</v>
      </c>
      <c r="F7270" s="31" t="n">
        <v>65.7</v>
      </c>
      <c r="G7270" s="31" t="n">
        <v>70.9</v>
      </c>
      <c r="H7270" s="2" t="s">
        <v>671</v>
      </c>
    </row>
    <row r="7271" customFormat="false" ht="15" hidden="false" customHeight="false" outlineLevel="0" collapsed="false">
      <c r="A7271" s="2" t="s">
        <v>808</v>
      </c>
      <c r="B7271" s="2" t="s">
        <v>45</v>
      </c>
      <c r="C7271" s="2" t="s">
        <v>4087</v>
      </c>
      <c r="D7271" s="11" t="n">
        <v>277550</v>
      </c>
      <c r="E7271" s="31" t="n">
        <v>82.7</v>
      </c>
      <c r="F7271" s="31" t="n">
        <v>87</v>
      </c>
      <c r="G7271" s="31" t="n">
        <v>50.8</v>
      </c>
      <c r="H7271" s="2" t="s">
        <v>671</v>
      </c>
    </row>
    <row r="7272" customFormat="false" ht="15" hidden="false" customHeight="false" outlineLevel="0" collapsed="false">
      <c r="A7272" s="2" t="s">
        <v>808</v>
      </c>
      <c r="B7272" s="2" t="s">
        <v>46</v>
      </c>
      <c r="C7272" s="2" t="s">
        <v>4085</v>
      </c>
      <c r="D7272" s="11" t="n">
        <v>42350</v>
      </c>
      <c r="E7272" s="31" t="n">
        <v>15.1</v>
      </c>
      <c r="F7272" s="31" t="n">
        <v>3.4</v>
      </c>
      <c r="G7272" s="31" t="n">
        <v>83.6</v>
      </c>
      <c r="H7272" s="2" t="s">
        <v>671</v>
      </c>
    </row>
    <row r="7273" customFormat="false" ht="15" hidden="false" customHeight="false" outlineLevel="0" collapsed="false">
      <c r="A7273" s="2" t="s">
        <v>808</v>
      </c>
      <c r="B7273" s="2" t="s">
        <v>46</v>
      </c>
      <c r="C7273" s="2" t="s">
        <v>4086</v>
      </c>
      <c r="D7273" s="11" t="n">
        <v>41480</v>
      </c>
      <c r="E7273" s="31" t="n">
        <v>3.1</v>
      </c>
      <c r="F7273" s="31" t="n">
        <v>11.3</v>
      </c>
      <c r="G7273" s="2"/>
      <c r="H7273" s="2" t="s">
        <v>668</v>
      </c>
    </row>
    <row r="7274" customFormat="false" ht="15" hidden="false" customHeight="false" outlineLevel="0" collapsed="false">
      <c r="A7274" s="2" t="s">
        <v>808</v>
      </c>
      <c r="B7274" s="2" t="s">
        <v>46</v>
      </c>
      <c r="C7274" s="2" t="s">
        <v>4087</v>
      </c>
      <c r="D7274" s="11" t="n">
        <v>41370</v>
      </c>
      <c r="E7274" s="31" t="n">
        <v>9.7</v>
      </c>
      <c r="F7274" s="2"/>
      <c r="G7274" s="31" t="n">
        <v>97.7</v>
      </c>
      <c r="H7274" s="2" t="s">
        <v>668</v>
      </c>
    </row>
    <row r="7275" customFormat="false" ht="15" hidden="false" customHeight="false" outlineLevel="0" collapsed="false">
      <c r="A7275" s="2" t="s">
        <v>98</v>
      </c>
      <c r="B7275" s="2" t="s">
        <v>4104</v>
      </c>
      <c r="C7275" s="2" t="s">
        <v>4085</v>
      </c>
      <c r="D7275" s="2"/>
      <c r="E7275" s="31" t="n">
        <v>98.1</v>
      </c>
      <c r="F7275" s="2"/>
      <c r="G7275" s="31" t="n">
        <v>63.9</v>
      </c>
      <c r="H7275" s="2" t="s">
        <v>668</v>
      </c>
    </row>
    <row r="7276" customFormat="false" ht="15" hidden="false" customHeight="false" outlineLevel="0" collapsed="false">
      <c r="A7276" s="2" t="s">
        <v>98</v>
      </c>
      <c r="B7276" s="2" t="s">
        <v>4104</v>
      </c>
      <c r="C7276" s="2" t="s">
        <v>4086</v>
      </c>
      <c r="D7276" s="2"/>
      <c r="E7276" s="31" t="n">
        <v>92.6</v>
      </c>
      <c r="F7276" s="31" t="n">
        <v>2.8</v>
      </c>
      <c r="G7276" s="2"/>
      <c r="H7276" s="2" t="s">
        <v>668</v>
      </c>
    </row>
    <row r="7277" customFormat="false" ht="15" hidden="false" customHeight="false" outlineLevel="0" collapsed="false">
      <c r="A7277" s="2" t="s">
        <v>98</v>
      </c>
      <c r="B7277" s="2" t="s">
        <v>4104</v>
      </c>
      <c r="C7277" s="2" t="s">
        <v>4087</v>
      </c>
      <c r="D7277" s="2"/>
      <c r="E7277" s="31" t="n">
        <v>97</v>
      </c>
      <c r="F7277" s="31" t="n">
        <v>11.1</v>
      </c>
      <c r="G7277" s="31" t="n">
        <v>93.6</v>
      </c>
      <c r="H7277" s="2" t="s">
        <v>671</v>
      </c>
    </row>
    <row r="7278" customFormat="false" ht="15" hidden="false" customHeight="false" outlineLevel="0" collapsed="false">
      <c r="A7278" s="2" t="s">
        <v>98</v>
      </c>
      <c r="B7278" s="2" t="s">
        <v>45</v>
      </c>
      <c r="C7278" s="2" t="s">
        <v>4085</v>
      </c>
      <c r="D7278" s="11" t="n">
        <v>5950</v>
      </c>
      <c r="E7278" s="31" t="n">
        <v>98.1</v>
      </c>
      <c r="F7278" s="2"/>
      <c r="G7278" s="31" t="n">
        <v>63.9</v>
      </c>
      <c r="H7278" s="2" t="s">
        <v>668</v>
      </c>
    </row>
    <row r="7279" customFormat="false" ht="15" hidden="false" customHeight="false" outlineLevel="0" collapsed="false">
      <c r="A7279" s="2" t="s">
        <v>98</v>
      </c>
      <c r="B7279" s="2" t="s">
        <v>45</v>
      </c>
      <c r="C7279" s="2" t="s">
        <v>4086</v>
      </c>
      <c r="D7279" s="11" t="n">
        <v>5900</v>
      </c>
      <c r="E7279" s="31" t="n">
        <v>92.6</v>
      </c>
      <c r="F7279" s="31" t="n">
        <v>2.8</v>
      </c>
      <c r="G7279" s="2"/>
      <c r="H7279" s="2" t="s">
        <v>668</v>
      </c>
    </row>
    <row r="7280" customFormat="false" ht="15" hidden="false" customHeight="false" outlineLevel="0" collapsed="false">
      <c r="A7280" s="2" t="s">
        <v>98</v>
      </c>
      <c r="B7280" s="2" t="s">
        <v>45</v>
      </c>
      <c r="C7280" s="2" t="s">
        <v>4087</v>
      </c>
      <c r="D7280" s="11" t="n">
        <v>6147</v>
      </c>
      <c r="E7280" s="31" t="n">
        <v>97</v>
      </c>
      <c r="F7280" s="31" t="n">
        <v>11.1</v>
      </c>
      <c r="G7280" s="31" t="n">
        <v>93.6</v>
      </c>
      <c r="H7280" s="2" t="s">
        <v>671</v>
      </c>
    </row>
    <row r="7281" customFormat="false" ht="15" hidden="false" customHeight="false" outlineLevel="0" collapsed="false">
      <c r="A7281" s="2" t="s">
        <v>216</v>
      </c>
      <c r="B7281" s="2" t="s">
        <v>4104</v>
      </c>
      <c r="C7281" s="2" t="s">
        <v>4085</v>
      </c>
      <c r="D7281" s="2"/>
      <c r="E7281" s="31" t="n">
        <v>65.2</v>
      </c>
      <c r="F7281" s="31" t="n">
        <v>94.8</v>
      </c>
      <c r="G7281" s="31" t="n">
        <v>12.8</v>
      </c>
      <c r="H7281" s="2" t="s">
        <v>671</v>
      </c>
    </row>
    <row r="7282" customFormat="false" ht="15" hidden="false" customHeight="false" outlineLevel="0" collapsed="false">
      <c r="A7282" s="2" t="s">
        <v>216</v>
      </c>
      <c r="B7282" s="2" t="s">
        <v>4104</v>
      </c>
      <c r="C7282" s="2" t="s">
        <v>4086</v>
      </c>
      <c r="D7282" s="2"/>
      <c r="E7282" s="31" t="n">
        <v>90.2</v>
      </c>
      <c r="F7282" s="31" t="n">
        <v>98.2</v>
      </c>
      <c r="G7282" s="2"/>
      <c r="H7282" s="2" t="s">
        <v>668</v>
      </c>
    </row>
    <row r="7283" customFormat="false" ht="15" hidden="false" customHeight="false" outlineLevel="0" collapsed="false">
      <c r="A7283" s="2" t="s">
        <v>216</v>
      </c>
      <c r="B7283" s="2" t="s">
        <v>4104</v>
      </c>
      <c r="C7283" s="2" t="s">
        <v>4087</v>
      </c>
      <c r="D7283" s="2"/>
      <c r="E7283" s="31" t="n">
        <v>68.7</v>
      </c>
      <c r="F7283" s="31" t="n">
        <v>96.3</v>
      </c>
      <c r="G7283" s="31" t="n">
        <v>55.4</v>
      </c>
      <c r="H7283" s="2" t="s">
        <v>671</v>
      </c>
    </row>
    <row r="7284" customFormat="false" ht="15" hidden="false" customHeight="false" outlineLevel="0" collapsed="false">
      <c r="A7284" s="2" t="s">
        <v>216</v>
      </c>
      <c r="B7284" s="2" t="s">
        <v>46</v>
      </c>
      <c r="C7284" s="2" t="s">
        <v>4085</v>
      </c>
      <c r="D7284" s="11" t="n">
        <v>22442</v>
      </c>
      <c r="E7284" s="31" t="n">
        <v>65.2</v>
      </c>
      <c r="F7284" s="31" t="n">
        <v>94.8</v>
      </c>
      <c r="G7284" s="31" t="n">
        <v>12.8</v>
      </c>
      <c r="H7284" s="2" t="s">
        <v>671</v>
      </c>
    </row>
    <row r="7285" customFormat="false" ht="15" hidden="false" customHeight="false" outlineLevel="0" collapsed="false">
      <c r="A7285" s="2" t="s">
        <v>216</v>
      </c>
      <c r="B7285" s="2" t="s">
        <v>46</v>
      </c>
      <c r="C7285" s="2" t="s">
        <v>4086</v>
      </c>
      <c r="D7285" s="11" t="n">
        <v>23940</v>
      </c>
      <c r="E7285" s="31" t="n">
        <v>90.2</v>
      </c>
      <c r="F7285" s="31" t="n">
        <v>98.2</v>
      </c>
      <c r="G7285" s="2"/>
      <c r="H7285" s="2" t="s">
        <v>668</v>
      </c>
    </row>
    <row r="7286" customFormat="false" ht="15" hidden="false" customHeight="false" outlineLevel="0" collapsed="false">
      <c r="A7286" s="2" t="s">
        <v>216</v>
      </c>
      <c r="B7286" s="2" t="s">
        <v>46</v>
      </c>
      <c r="C7286" s="2" t="s">
        <v>4087</v>
      </c>
      <c r="D7286" s="11" t="n">
        <v>25880</v>
      </c>
      <c r="E7286" s="31" t="n">
        <v>68.7</v>
      </c>
      <c r="F7286" s="31" t="n">
        <v>96.3</v>
      </c>
      <c r="G7286" s="31" t="n">
        <v>55.4</v>
      </c>
      <c r="H7286" s="2" t="s">
        <v>671</v>
      </c>
    </row>
    <row r="7287" customFormat="false" ht="15" hidden="false" customHeight="false" outlineLevel="0" collapsed="false">
      <c r="A7287" s="2" t="s">
        <v>492</v>
      </c>
      <c r="B7287" s="2" t="s">
        <v>4104</v>
      </c>
      <c r="C7287" s="2" t="s">
        <v>4085</v>
      </c>
      <c r="D7287" s="2"/>
      <c r="E7287" s="31" t="n">
        <v>39.6</v>
      </c>
      <c r="F7287" s="31" t="n">
        <v>45.1</v>
      </c>
      <c r="G7287" s="31" t="n">
        <v>46.7</v>
      </c>
      <c r="H7287" s="2" t="s">
        <v>668</v>
      </c>
    </row>
    <row r="7288" customFormat="false" ht="15" hidden="false" customHeight="false" outlineLevel="0" collapsed="false">
      <c r="A7288" s="2" t="s">
        <v>492</v>
      </c>
      <c r="B7288" s="2" t="s">
        <v>4104</v>
      </c>
      <c r="C7288" s="2" t="s">
        <v>4086</v>
      </c>
      <c r="D7288" s="2"/>
      <c r="E7288" s="31" t="n">
        <v>32.8</v>
      </c>
      <c r="F7288" s="31" t="n">
        <v>46</v>
      </c>
      <c r="G7288" s="31" t="n">
        <v>67.9</v>
      </c>
      <c r="H7288" s="2" t="s">
        <v>671</v>
      </c>
    </row>
    <row r="7289" customFormat="false" ht="15" hidden="false" customHeight="false" outlineLevel="0" collapsed="false">
      <c r="A7289" s="2" t="s">
        <v>492</v>
      </c>
      <c r="B7289" s="2" t="s">
        <v>4104</v>
      </c>
      <c r="C7289" s="2" t="s">
        <v>4087</v>
      </c>
      <c r="D7289" s="2"/>
      <c r="E7289" s="31" t="n">
        <v>37.2</v>
      </c>
      <c r="F7289" s="31" t="n">
        <v>42.1</v>
      </c>
      <c r="G7289" s="31" t="n">
        <v>68.2</v>
      </c>
      <c r="H7289" s="2" t="s">
        <v>671</v>
      </c>
    </row>
    <row r="7290" customFormat="false" ht="15" hidden="false" customHeight="false" outlineLevel="0" collapsed="false">
      <c r="A7290" s="2" t="s">
        <v>492</v>
      </c>
      <c r="B7290" s="2" t="s">
        <v>45</v>
      </c>
      <c r="C7290" s="2" t="s">
        <v>4085</v>
      </c>
      <c r="D7290" s="11" t="n">
        <v>88200</v>
      </c>
      <c r="E7290" s="31" t="n">
        <v>0.9</v>
      </c>
      <c r="F7290" s="2"/>
      <c r="G7290" s="31" t="n">
        <v>82.9</v>
      </c>
      <c r="H7290" s="2" t="s">
        <v>668</v>
      </c>
    </row>
    <row r="7291" customFormat="false" ht="15" hidden="false" customHeight="false" outlineLevel="0" collapsed="false">
      <c r="A7291" s="2" t="s">
        <v>492</v>
      </c>
      <c r="B7291" s="2" t="s">
        <v>45</v>
      </c>
      <c r="C7291" s="2" t="s">
        <v>4086</v>
      </c>
      <c r="D7291" s="11" t="n">
        <v>88040</v>
      </c>
      <c r="E7291" s="31" t="n">
        <v>0.8</v>
      </c>
      <c r="F7291" s="31" t="n">
        <v>30.9</v>
      </c>
      <c r="G7291" s="31" t="n">
        <v>57.8</v>
      </c>
      <c r="H7291" s="2" t="s">
        <v>671</v>
      </c>
    </row>
    <row r="7292" customFormat="false" ht="15" hidden="false" customHeight="false" outlineLevel="0" collapsed="false">
      <c r="A7292" s="2" t="s">
        <v>492</v>
      </c>
      <c r="B7292" s="2" t="s">
        <v>45</v>
      </c>
      <c r="C7292" s="2" t="s">
        <v>4087</v>
      </c>
      <c r="D7292" s="11" t="n">
        <v>91680</v>
      </c>
      <c r="E7292" s="31" t="n">
        <v>1.3</v>
      </c>
      <c r="F7292" s="31" t="n">
        <v>21.4</v>
      </c>
      <c r="G7292" s="31" t="n">
        <v>90.6</v>
      </c>
      <c r="H7292" s="2" t="s">
        <v>671</v>
      </c>
    </row>
    <row r="7293" customFormat="false" ht="15" hidden="false" customHeight="false" outlineLevel="0" collapsed="false">
      <c r="A7293" s="2" t="s">
        <v>492</v>
      </c>
      <c r="B7293" s="2" t="s">
        <v>47</v>
      </c>
      <c r="C7293" s="2" t="s">
        <v>4085</v>
      </c>
      <c r="D7293" s="11" t="n">
        <v>33031</v>
      </c>
      <c r="E7293" s="31" t="n">
        <v>78.2</v>
      </c>
      <c r="F7293" s="31" t="n">
        <v>45.1</v>
      </c>
      <c r="G7293" s="31" t="n">
        <v>10.4</v>
      </c>
      <c r="H7293" s="2" t="s">
        <v>671</v>
      </c>
    </row>
    <row r="7294" customFormat="false" ht="15" hidden="false" customHeight="false" outlineLevel="0" collapsed="false">
      <c r="A7294" s="2" t="s">
        <v>492</v>
      </c>
      <c r="B7294" s="2" t="s">
        <v>47</v>
      </c>
      <c r="C7294" s="2" t="s">
        <v>4086</v>
      </c>
      <c r="D7294" s="11" t="n">
        <v>34210</v>
      </c>
      <c r="E7294" s="31" t="n">
        <v>64.7</v>
      </c>
      <c r="F7294" s="31" t="n">
        <v>61</v>
      </c>
      <c r="G7294" s="31" t="n">
        <v>78</v>
      </c>
      <c r="H7294" s="2" t="s">
        <v>671</v>
      </c>
    </row>
    <row r="7295" customFormat="false" ht="15" hidden="false" customHeight="false" outlineLevel="0" collapsed="false">
      <c r="A7295" s="2" t="s">
        <v>492</v>
      </c>
      <c r="B7295" s="2" t="s">
        <v>47</v>
      </c>
      <c r="C7295" s="2" t="s">
        <v>4087</v>
      </c>
      <c r="D7295" s="11" t="n">
        <v>36653</v>
      </c>
      <c r="E7295" s="31" t="n">
        <v>73</v>
      </c>
      <c r="F7295" s="31" t="n">
        <v>62.8</v>
      </c>
      <c r="G7295" s="31" t="n">
        <v>45.9</v>
      </c>
      <c r="H7295" s="2" t="s">
        <v>671</v>
      </c>
    </row>
    <row r="7296" customFormat="false" ht="15" hidden="false" customHeight="false" outlineLevel="0" collapsed="false">
      <c r="A7296" s="2" t="s">
        <v>972</v>
      </c>
      <c r="B7296" s="2" t="s">
        <v>4104</v>
      </c>
      <c r="C7296" s="2" t="s">
        <v>4085</v>
      </c>
      <c r="D7296" s="2"/>
      <c r="E7296" s="31" t="n">
        <v>49.9</v>
      </c>
      <c r="F7296" s="31" t="n">
        <v>22.4</v>
      </c>
      <c r="G7296" s="31" t="n">
        <v>46.5</v>
      </c>
      <c r="H7296" s="2" t="s">
        <v>671</v>
      </c>
    </row>
    <row r="7297" customFormat="false" ht="15" hidden="false" customHeight="false" outlineLevel="0" collapsed="false">
      <c r="A7297" s="2" t="s">
        <v>972</v>
      </c>
      <c r="B7297" s="2" t="s">
        <v>4104</v>
      </c>
      <c r="C7297" s="2" t="s">
        <v>4086</v>
      </c>
      <c r="D7297" s="2"/>
      <c r="E7297" s="31" t="n">
        <v>61.5</v>
      </c>
      <c r="F7297" s="31" t="n">
        <v>38.2</v>
      </c>
      <c r="G7297" s="31" t="n">
        <v>52.2</v>
      </c>
      <c r="H7297" s="2" t="s">
        <v>668</v>
      </c>
    </row>
    <row r="7298" customFormat="false" ht="15" hidden="false" customHeight="false" outlineLevel="0" collapsed="false">
      <c r="A7298" s="2" t="s">
        <v>972</v>
      </c>
      <c r="B7298" s="2" t="s">
        <v>4104</v>
      </c>
      <c r="C7298" s="2" t="s">
        <v>4087</v>
      </c>
      <c r="D7298" s="2"/>
      <c r="E7298" s="31" t="n">
        <v>76.6</v>
      </c>
      <c r="F7298" s="31" t="n">
        <v>26.2</v>
      </c>
      <c r="G7298" s="31" t="n">
        <v>48.8</v>
      </c>
      <c r="H7298" s="2" t="s">
        <v>668</v>
      </c>
    </row>
    <row r="7299" customFormat="false" ht="15" hidden="false" customHeight="false" outlineLevel="0" collapsed="false">
      <c r="A7299" s="2" t="s">
        <v>972</v>
      </c>
      <c r="B7299" s="2" t="s">
        <v>45</v>
      </c>
      <c r="C7299" s="2" t="s">
        <v>4085</v>
      </c>
      <c r="D7299" s="11" t="n">
        <v>88520</v>
      </c>
      <c r="E7299" s="31" t="n">
        <v>41.3</v>
      </c>
      <c r="F7299" s="31" t="n">
        <v>9.1</v>
      </c>
      <c r="G7299" s="31" t="n">
        <v>6.3</v>
      </c>
      <c r="H7299" s="2" t="s">
        <v>671</v>
      </c>
    </row>
    <row r="7300" customFormat="false" ht="15" hidden="false" customHeight="false" outlineLevel="0" collapsed="false">
      <c r="A7300" s="2" t="s">
        <v>972</v>
      </c>
      <c r="B7300" s="2" t="s">
        <v>45</v>
      </c>
      <c r="C7300" s="2" t="s">
        <v>4086</v>
      </c>
      <c r="D7300" s="2"/>
      <c r="E7300" s="2"/>
      <c r="F7300" s="2"/>
      <c r="G7300" s="2"/>
      <c r="H7300" s="2" t="s">
        <v>668</v>
      </c>
    </row>
    <row r="7301" customFormat="false" ht="15" hidden="false" customHeight="false" outlineLevel="0" collapsed="false">
      <c r="A7301" s="2" t="s">
        <v>972</v>
      </c>
      <c r="B7301" s="2" t="s">
        <v>45</v>
      </c>
      <c r="C7301" s="2" t="s">
        <v>4087</v>
      </c>
      <c r="D7301" s="11" t="n">
        <v>88097</v>
      </c>
      <c r="E7301" s="31" t="n">
        <v>58.8</v>
      </c>
      <c r="F7301" s="31" t="n">
        <v>18.7</v>
      </c>
      <c r="G7301" s="31" t="n">
        <v>28.7</v>
      </c>
      <c r="H7301" s="2" t="s">
        <v>671</v>
      </c>
    </row>
    <row r="7302" customFormat="false" ht="15" hidden="false" customHeight="false" outlineLevel="0" collapsed="false">
      <c r="A7302" s="2" t="s">
        <v>972</v>
      </c>
      <c r="B7302" s="2" t="s">
        <v>46</v>
      </c>
      <c r="C7302" s="2" t="s">
        <v>4085</v>
      </c>
      <c r="D7302" s="11" t="n">
        <v>20480</v>
      </c>
      <c r="E7302" s="31" t="n">
        <v>20.2</v>
      </c>
      <c r="F7302" s="31" t="n">
        <v>19.1</v>
      </c>
      <c r="G7302" s="31" t="n">
        <v>44.3</v>
      </c>
      <c r="H7302" s="2" t="s">
        <v>671</v>
      </c>
    </row>
    <row r="7303" customFormat="false" ht="15" hidden="false" customHeight="false" outlineLevel="0" collapsed="false">
      <c r="A7303" s="2" t="s">
        <v>972</v>
      </c>
      <c r="B7303" s="2" t="s">
        <v>46</v>
      </c>
      <c r="C7303" s="2" t="s">
        <v>4086</v>
      </c>
      <c r="D7303" s="11" t="n">
        <v>21010</v>
      </c>
      <c r="E7303" s="31" t="n">
        <v>28.3</v>
      </c>
      <c r="F7303" s="31" t="n">
        <v>31.6</v>
      </c>
      <c r="G7303" s="31" t="n">
        <v>38.6</v>
      </c>
      <c r="H7303" s="2" t="s">
        <v>671</v>
      </c>
    </row>
    <row r="7304" customFormat="false" ht="15" hidden="false" customHeight="false" outlineLevel="0" collapsed="false">
      <c r="A7304" s="2" t="s">
        <v>972</v>
      </c>
      <c r="B7304" s="2" t="s">
        <v>46</v>
      </c>
      <c r="C7304" s="2" t="s">
        <v>4087</v>
      </c>
      <c r="D7304" s="2"/>
      <c r="E7304" s="2"/>
      <c r="F7304" s="2"/>
      <c r="G7304" s="2"/>
      <c r="H7304" s="2" t="s">
        <v>668</v>
      </c>
    </row>
    <row r="7305" customFormat="false" ht="15" hidden="false" customHeight="false" outlineLevel="0" collapsed="false">
      <c r="A7305" s="2" t="s">
        <v>972</v>
      </c>
      <c r="B7305" s="2" t="s">
        <v>47</v>
      </c>
      <c r="C7305" s="2" t="s">
        <v>4085</v>
      </c>
      <c r="D7305" s="11" t="n">
        <v>37741</v>
      </c>
      <c r="E7305" s="31" t="n">
        <v>88.1</v>
      </c>
      <c r="F7305" s="31" t="n">
        <v>38.9</v>
      </c>
      <c r="G7305" s="31" t="n">
        <v>88.9</v>
      </c>
      <c r="H7305" s="2" t="s">
        <v>671</v>
      </c>
    </row>
    <row r="7306" customFormat="false" ht="15" hidden="false" customHeight="false" outlineLevel="0" collapsed="false">
      <c r="A7306" s="2" t="s">
        <v>972</v>
      </c>
      <c r="B7306" s="2" t="s">
        <v>47</v>
      </c>
      <c r="C7306" s="2" t="s">
        <v>4086</v>
      </c>
      <c r="D7306" s="11" t="n">
        <v>39670</v>
      </c>
      <c r="E7306" s="31" t="n">
        <v>94.7</v>
      </c>
      <c r="F7306" s="31" t="n">
        <v>44.8</v>
      </c>
      <c r="G7306" s="31" t="n">
        <v>65.9</v>
      </c>
      <c r="H7306" s="2" t="s">
        <v>671</v>
      </c>
    </row>
    <row r="7307" customFormat="false" ht="15" hidden="false" customHeight="false" outlineLevel="0" collapsed="false">
      <c r="A7307" s="2" t="s">
        <v>972</v>
      </c>
      <c r="B7307" s="2" t="s">
        <v>47</v>
      </c>
      <c r="C7307" s="2" t="s">
        <v>4087</v>
      </c>
      <c r="D7307" s="11" t="n">
        <v>39802</v>
      </c>
      <c r="E7307" s="31" t="n">
        <v>94.5</v>
      </c>
      <c r="F7307" s="31" t="n">
        <v>33.7</v>
      </c>
      <c r="G7307" s="31" t="n">
        <v>68.8</v>
      </c>
      <c r="H7307" s="2" t="s">
        <v>671</v>
      </c>
    </row>
    <row r="7308" customFormat="false" ht="15" hidden="false" customHeight="false" outlineLevel="0" collapsed="false">
      <c r="A7308" s="2" t="s">
        <v>1856</v>
      </c>
      <c r="B7308" s="2" t="s">
        <v>4104</v>
      </c>
      <c r="C7308" s="2" t="s">
        <v>4085</v>
      </c>
      <c r="D7308" s="2"/>
      <c r="E7308" s="31" t="n">
        <v>34.4</v>
      </c>
      <c r="F7308" s="31" t="n">
        <v>68.2</v>
      </c>
      <c r="G7308" s="31" t="n">
        <v>65.7</v>
      </c>
      <c r="H7308" s="2" t="s">
        <v>668</v>
      </c>
    </row>
    <row r="7309" customFormat="false" ht="15" hidden="false" customHeight="false" outlineLevel="0" collapsed="false">
      <c r="A7309" s="2" t="s">
        <v>1856</v>
      </c>
      <c r="B7309" s="2" t="s">
        <v>4104</v>
      </c>
      <c r="C7309" s="2" t="s">
        <v>4086</v>
      </c>
      <c r="D7309" s="2"/>
      <c r="E7309" s="31" t="n">
        <v>45.8</v>
      </c>
      <c r="F7309" s="31" t="n">
        <v>64.6</v>
      </c>
      <c r="G7309" s="31" t="n">
        <v>38.8</v>
      </c>
      <c r="H7309" s="2" t="s">
        <v>671</v>
      </c>
    </row>
    <row r="7310" customFormat="false" ht="15" hidden="false" customHeight="false" outlineLevel="0" collapsed="false">
      <c r="A7310" s="2" t="s">
        <v>1856</v>
      </c>
      <c r="B7310" s="2" t="s">
        <v>4104</v>
      </c>
      <c r="C7310" s="2" t="s">
        <v>4087</v>
      </c>
      <c r="D7310" s="2"/>
      <c r="E7310" s="31" t="n">
        <v>41.6</v>
      </c>
      <c r="F7310" s="31" t="n">
        <v>54.3</v>
      </c>
      <c r="G7310" s="31" t="n">
        <v>18.3</v>
      </c>
      <c r="H7310" s="2" t="s">
        <v>668</v>
      </c>
    </row>
    <row r="7311" customFormat="false" ht="15" hidden="false" customHeight="false" outlineLevel="0" collapsed="false">
      <c r="A7311" s="2" t="s">
        <v>1856</v>
      </c>
      <c r="B7311" s="2" t="s">
        <v>45</v>
      </c>
      <c r="C7311" s="2" t="s">
        <v>4085</v>
      </c>
      <c r="D7311" s="11" t="n">
        <v>205799</v>
      </c>
      <c r="E7311" s="31" t="n">
        <v>26.8</v>
      </c>
      <c r="F7311" s="31" t="n">
        <v>43.2</v>
      </c>
      <c r="G7311" s="31" t="n">
        <v>77.1</v>
      </c>
      <c r="H7311" s="2" t="s">
        <v>671</v>
      </c>
    </row>
    <row r="7312" customFormat="false" ht="15" hidden="false" customHeight="false" outlineLevel="0" collapsed="false">
      <c r="A7312" s="2" t="s">
        <v>1856</v>
      </c>
      <c r="B7312" s="2" t="s">
        <v>45</v>
      </c>
      <c r="C7312" s="2" t="s">
        <v>4086</v>
      </c>
      <c r="D7312" s="11" t="n">
        <v>207820</v>
      </c>
      <c r="E7312" s="31" t="n">
        <v>45.6</v>
      </c>
      <c r="F7312" s="31" t="n">
        <v>22.1</v>
      </c>
      <c r="G7312" s="31" t="n">
        <v>81.1</v>
      </c>
      <c r="H7312" s="2" t="s">
        <v>671</v>
      </c>
    </row>
    <row r="7313" customFormat="false" ht="15" hidden="false" customHeight="false" outlineLevel="0" collapsed="false">
      <c r="A7313" s="2" t="s">
        <v>1856</v>
      </c>
      <c r="B7313" s="2" t="s">
        <v>45</v>
      </c>
      <c r="C7313" s="2" t="s">
        <v>4087</v>
      </c>
      <c r="D7313" s="11" t="n">
        <v>203960</v>
      </c>
      <c r="E7313" s="31" t="n">
        <v>55.3</v>
      </c>
      <c r="F7313" s="31" t="n">
        <v>15.2</v>
      </c>
      <c r="G7313" s="2"/>
      <c r="H7313" s="2" t="s">
        <v>668</v>
      </c>
    </row>
    <row r="7314" customFormat="false" ht="15" hidden="false" customHeight="false" outlineLevel="0" collapsed="false">
      <c r="A7314" s="2" t="s">
        <v>1856</v>
      </c>
      <c r="B7314" s="2" t="s">
        <v>46</v>
      </c>
      <c r="C7314" s="2" t="s">
        <v>4085</v>
      </c>
      <c r="D7314" s="11" t="n">
        <v>22599</v>
      </c>
      <c r="E7314" s="31" t="n">
        <v>42.1</v>
      </c>
      <c r="F7314" s="31" t="n">
        <v>83.5</v>
      </c>
      <c r="G7314" s="31" t="n">
        <v>54.3</v>
      </c>
      <c r="H7314" s="2" t="s">
        <v>671</v>
      </c>
    </row>
    <row r="7315" customFormat="false" ht="15" hidden="false" customHeight="false" outlineLevel="0" collapsed="false">
      <c r="A7315" s="2" t="s">
        <v>1856</v>
      </c>
      <c r="B7315" s="2" t="s">
        <v>46</v>
      </c>
      <c r="C7315" s="2" t="s">
        <v>4086</v>
      </c>
      <c r="D7315" s="11" t="n">
        <v>23120</v>
      </c>
      <c r="E7315" s="31" t="n">
        <v>25.7</v>
      </c>
      <c r="F7315" s="31" t="n">
        <v>75.6</v>
      </c>
      <c r="G7315" s="31" t="n">
        <v>32.5</v>
      </c>
      <c r="H7315" s="2" t="s">
        <v>671</v>
      </c>
    </row>
    <row r="7316" customFormat="false" ht="15" hidden="false" customHeight="false" outlineLevel="0" collapsed="false">
      <c r="A7316" s="2" t="s">
        <v>1856</v>
      </c>
      <c r="B7316" s="2" t="s">
        <v>46</v>
      </c>
      <c r="C7316" s="2" t="s">
        <v>4087</v>
      </c>
      <c r="D7316" s="11" t="n">
        <v>24920</v>
      </c>
      <c r="E7316" s="31" t="n">
        <v>19.9</v>
      </c>
      <c r="F7316" s="31" t="n">
        <v>52.7</v>
      </c>
      <c r="G7316" s="31" t="n">
        <v>31.9</v>
      </c>
      <c r="H7316" s="2" t="s">
        <v>671</v>
      </c>
    </row>
    <row r="7317" customFormat="false" ht="15" hidden="false" customHeight="false" outlineLevel="0" collapsed="false">
      <c r="A7317" s="2" t="s">
        <v>1856</v>
      </c>
      <c r="B7317" s="2" t="s">
        <v>47</v>
      </c>
      <c r="C7317" s="2" t="s">
        <v>4085</v>
      </c>
      <c r="D7317" s="11" t="n">
        <v>14905</v>
      </c>
      <c r="E7317" s="2"/>
      <c r="F7317" s="31" t="n">
        <v>77.8</v>
      </c>
      <c r="G7317" s="2"/>
      <c r="H7317" s="2" t="s">
        <v>668</v>
      </c>
    </row>
    <row r="7318" customFormat="false" ht="15" hidden="false" customHeight="false" outlineLevel="0" collapsed="false">
      <c r="A7318" s="2" t="s">
        <v>1856</v>
      </c>
      <c r="B7318" s="2" t="s">
        <v>47</v>
      </c>
      <c r="C7318" s="2" t="s">
        <v>4086</v>
      </c>
      <c r="D7318" s="11" t="n">
        <v>15900</v>
      </c>
      <c r="E7318" s="31" t="n">
        <v>66.1</v>
      </c>
      <c r="F7318" s="31" t="n">
        <v>96.1</v>
      </c>
      <c r="G7318" s="31" t="n">
        <v>2.9</v>
      </c>
      <c r="H7318" s="2" t="s">
        <v>671</v>
      </c>
    </row>
    <row r="7319" customFormat="false" ht="15" hidden="false" customHeight="false" outlineLevel="0" collapsed="false">
      <c r="A7319" s="2" t="s">
        <v>1856</v>
      </c>
      <c r="B7319" s="2" t="s">
        <v>47</v>
      </c>
      <c r="C7319" s="2" t="s">
        <v>4087</v>
      </c>
      <c r="D7319" s="11" t="n">
        <v>16904</v>
      </c>
      <c r="E7319" s="31" t="n">
        <v>49.6</v>
      </c>
      <c r="F7319" s="31" t="n">
        <v>95</v>
      </c>
      <c r="G7319" s="31" t="n">
        <v>4.8</v>
      </c>
      <c r="H7319" s="2" t="s">
        <v>671</v>
      </c>
    </row>
    <row r="7320" customFormat="false" ht="15" hidden="false" customHeight="false" outlineLevel="0" collapsed="false">
      <c r="A7320" s="2" t="s">
        <v>3147</v>
      </c>
      <c r="B7320" s="2" t="s">
        <v>4104</v>
      </c>
      <c r="C7320" s="2" t="s">
        <v>4085</v>
      </c>
      <c r="D7320" s="2"/>
      <c r="E7320" s="31" t="n">
        <v>9.6</v>
      </c>
      <c r="F7320" s="31" t="n">
        <v>72.2</v>
      </c>
      <c r="G7320" s="31" t="n">
        <v>51.5</v>
      </c>
      <c r="H7320" s="2" t="s">
        <v>671</v>
      </c>
    </row>
    <row r="7321" customFormat="false" ht="15" hidden="false" customHeight="false" outlineLevel="0" collapsed="false">
      <c r="A7321" s="2" t="s">
        <v>3147</v>
      </c>
      <c r="B7321" s="2" t="s">
        <v>4104</v>
      </c>
      <c r="C7321" s="2" t="s">
        <v>4086</v>
      </c>
      <c r="D7321" s="2"/>
      <c r="E7321" s="31" t="n">
        <v>37.2</v>
      </c>
      <c r="F7321" s="31" t="n">
        <v>84.4</v>
      </c>
      <c r="G7321" s="31" t="n">
        <v>32.2</v>
      </c>
      <c r="H7321" s="2" t="s">
        <v>671</v>
      </c>
    </row>
    <row r="7322" customFormat="false" ht="15" hidden="false" customHeight="false" outlineLevel="0" collapsed="false">
      <c r="A7322" s="2" t="s">
        <v>3147</v>
      </c>
      <c r="B7322" s="2" t="s">
        <v>4104</v>
      </c>
      <c r="C7322" s="2" t="s">
        <v>4087</v>
      </c>
      <c r="D7322" s="2"/>
      <c r="E7322" s="2"/>
      <c r="F7322" s="2"/>
      <c r="G7322" s="2"/>
      <c r="H7322" s="2" t="s">
        <v>668</v>
      </c>
    </row>
    <row r="7323" customFormat="false" ht="15" hidden="false" customHeight="false" outlineLevel="0" collapsed="false">
      <c r="A7323" s="2" t="s">
        <v>3147</v>
      </c>
      <c r="B7323" s="2" t="s">
        <v>45</v>
      </c>
      <c r="C7323" s="2" t="s">
        <v>4085</v>
      </c>
      <c r="D7323" s="11" t="n">
        <v>11170</v>
      </c>
      <c r="E7323" s="31" t="n">
        <v>10.2</v>
      </c>
      <c r="F7323" s="31" t="n">
        <v>93.8</v>
      </c>
      <c r="G7323" s="31" t="n">
        <v>93.7</v>
      </c>
      <c r="H7323" s="2" t="s">
        <v>671</v>
      </c>
    </row>
    <row r="7324" customFormat="false" ht="15" hidden="false" customHeight="false" outlineLevel="0" collapsed="false">
      <c r="A7324" s="2" t="s">
        <v>3147</v>
      </c>
      <c r="B7324" s="2" t="s">
        <v>45</v>
      </c>
      <c r="C7324" s="2" t="s">
        <v>4086</v>
      </c>
      <c r="D7324" s="11" t="n">
        <v>12340</v>
      </c>
      <c r="E7324" s="31" t="n">
        <v>26.3</v>
      </c>
      <c r="F7324" s="31" t="n">
        <v>98.3</v>
      </c>
      <c r="G7324" s="31" t="n">
        <v>47.6</v>
      </c>
      <c r="H7324" s="2" t="s">
        <v>671</v>
      </c>
    </row>
    <row r="7325" customFormat="false" ht="15" hidden="false" customHeight="false" outlineLevel="0" collapsed="false">
      <c r="A7325" s="2" t="s">
        <v>3147</v>
      </c>
      <c r="B7325" s="2" t="s">
        <v>45</v>
      </c>
      <c r="C7325" s="2" t="s">
        <v>4087</v>
      </c>
      <c r="D7325" s="2"/>
      <c r="E7325" s="2"/>
      <c r="F7325" s="2"/>
      <c r="G7325" s="2"/>
      <c r="H7325" s="2" t="s">
        <v>668</v>
      </c>
    </row>
    <row r="7326" customFormat="false" ht="15" hidden="false" customHeight="false" outlineLevel="0" collapsed="false">
      <c r="A7326" s="2" t="s">
        <v>3147</v>
      </c>
      <c r="B7326" s="2" t="s">
        <v>47</v>
      </c>
      <c r="C7326" s="2" t="s">
        <v>4085</v>
      </c>
      <c r="D7326" s="11" t="n">
        <v>16827</v>
      </c>
      <c r="E7326" s="31" t="n">
        <v>9</v>
      </c>
      <c r="F7326" s="31" t="n">
        <v>50.7</v>
      </c>
      <c r="G7326" s="31" t="n">
        <v>9.3</v>
      </c>
      <c r="H7326" s="2" t="s">
        <v>671</v>
      </c>
    </row>
    <row r="7327" customFormat="false" ht="15" hidden="false" customHeight="false" outlineLevel="0" collapsed="false">
      <c r="A7327" s="2" t="s">
        <v>3147</v>
      </c>
      <c r="B7327" s="2" t="s">
        <v>47</v>
      </c>
      <c r="C7327" s="2" t="s">
        <v>4086</v>
      </c>
      <c r="D7327" s="11" t="n">
        <v>17268</v>
      </c>
      <c r="E7327" s="31" t="n">
        <v>48.1</v>
      </c>
      <c r="F7327" s="31" t="n">
        <v>70.5</v>
      </c>
      <c r="G7327" s="31" t="n">
        <v>16.8</v>
      </c>
      <c r="H7327" s="2" t="s">
        <v>671</v>
      </c>
    </row>
    <row r="7328" customFormat="false" ht="15" hidden="false" customHeight="false" outlineLevel="0" collapsed="false">
      <c r="A7328" s="2" t="s">
        <v>3147</v>
      </c>
      <c r="B7328" s="2" t="s">
        <v>47</v>
      </c>
      <c r="C7328" s="2" t="s">
        <v>4087</v>
      </c>
      <c r="D7328" s="2"/>
      <c r="E7328" s="2"/>
      <c r="F7328" s="2"/>
      <c r="G7328" s="2"/>
      <c r="H7328" s="2" t="s">
        <v>668</v>
      </c>
    </row>
    <row r="7329" customFormat="false" ht="15" hidden="false" customHeight="false" outlineLevel="0" collapsed="false">
      <c r="A7329" s="2" t="s">
        <v>2416</v>
      </c>
      <c r="B7329" s="2" t="s">
        <v>4104</v>
      </c>
      <c r="C7329" s="2" t="s">
        <v>4085</v>
      </c>
      <c r="D7329" s="2"/>
      <c r="E7329" s="31" t="n">
        <v>29.8</v>
      </c>
      <c r="F7329" s="31" t="n">
        <v>7.8</v>
      </c>
      <c r="G7329" s="31" t="n">
        <v>95.1</v>
      </c>
      <c r="H7329" s="2" t="s">
        <v>668</v>
      </c>
    </row>
    <row r="7330" customFormat="false" ht="15" hidden="false" customHeight="false" outlineLevel="0" collapsed="false">
      <c r="A7330" s="2" t="s">
        <v>2416</v>
      </c>
      <c r="B7330" s="2" t="s">
        <v>4104</v>
      </c>
      <c r="C7330" s="2" t="s">
        <v>4086</v>
      </c>
      <c r="D7330" s="2"/>
      <c r="E7330" s="31" t="n">
        <v>35.7</v>
      </c>
      <c r="F7330" s="31" t="n">
        <v>11.4</v>
      </c>
      <c r="G7330" s="31" t="n">
        <v>79.8</v>
      </c>
      <c r="H7330" s="2" t="s">
        <v>671</v>
      </c>
    </row>
    <row r="7331" customFormat="false" ht="15" hidden="false" customHeight="false" outlineLevel="0" collapsed="false">
      <c r="A7331" s="2" t="s">
        <v>2416</v>
      </c>
      <c r="B7331" s="2" t="s">
        <v>4104</v>
      </c>
      <c r="C7331" s="2" t="s">
        <v>4087</v>
      </c>
      <c r="D7331" s="2"/>
      <c r="E7331" s="31" t="n">
        <v>36.1</v>
      </c>
      <c r="F7331" s="31" t="n">
        <v>63.1</v>
      </c>
      <c r="G7331" s="31" t="n">
        <v>90.1</v>
      </c>
      <c r="H7331" s="2" t="s">
        <v>668</v>
      </c>
    </row>
    <row r="7332" customFormat="false" ht="15" hidden="false" customHeight="false" outlineLevel="0" collapsed="false">
      <c r="A7332" s="2" t="s">
        <v>2416</v>
      </c>
      <c r="B7332" s="2" t="s">
        <v>45</v>
      </c>
      <c r="C7332" s="2" t="s">
        <v>4085</v>
      </c>
      <c r="D7332" s="11" t="n">
        <v>8340</v>
      </c>
      <c r="E7332" s="31" t="n">
        <v>43.4</v>
      </c>
      <c r="F7332" s="31" t="n">
        <v>8.1</v>
      </c>
      <c r="G7332" s="31" t="n">
        <v>95.1</v>
      </c>
      <c r="H7332" s="2" t="s">
        <v>671</v>
      </c>
    </row>
    <row r="7333" customFormat="false" ht="15" hidden="false" customHeight="false" outlineLevel="0" collapsed="false">
      <c r="A7333" s="2" t="s">
        <v>2416</v>
      </c>
      <c r="B7333" s="2" t="s">
        <v>45</v>
      </c>
      <c r="C7333" s="2" t="s">
        <v>4086</v>
      </c>
      <c r="D7333" s="11" t="n">
        <v>8257</v>
      </c>
      <c r="E7333" s="31" t="n">
        <v>30.6</v>
      </c>
      <c r="F7333" s="31" t="n">
        <v>4.2</v>
      </c>
      <c r="G7333" s="31" t="n">
        <v>83.2</v>
      </c>
      <c r="H7333" s="2" t="s">
        <v>671</v>
      </c>
    </row>
    <row r="7334" customFormat="false" ht="15" hidden="false" customHeight="false" outlineLevel="0" collapsed="false">
      <c r="A7334" s="2" t="s">
        <v>2416</v>
      </c>
      <c r="B7334" s="2" t="s">
        <v>45</v>
      </c>
      <c r="C7334" s="2" t="s">
        <v>4087</v>
      </c>
      <c r="D7334" s="2"/>
      <c r="E7334" s="2"/>
      <c r="F7334" s="2"/>
      <c r="G7334" s="2"/>
      <c r="H7334" s="2" t="s">
        <v>668</v>
      </c>
    </row>
    <row r="7335" customFormat="false" ht="15" hidden="false" customHeight="false" outlineLevel="0" collapsed="false">
      <c r="A7335" s="2" t="s">
        <v>2416</v>
      </c>
      <c r="B7335" s="2" t="s">
        <v>47</v>
      </c>
      <c r="C7335" s="2" t="s">
        <v>4085</v>
      </c>
      <c r="D7335" s="11" t="n">
        <v>47761</v>
      </c>
      <c r="E7335" s="31" t="n">
        <v>16.3</v>
      </c>
      <c r="F7335" s="31" t="n">
        <v>7.5</v>
      </c>
      <c r="G7335" s="2"/>
      <c r="H7335" s="2" t="s">
        <v>668</v>
      </c>
    </row>
    <row r="7336" customFormat="false" ht="15" hidden="false" customHeight="false" outlineLevel="0" collapsed="false">
      <c r="A7336" s="2" t="s">
        <v>2416</v>
      </c>
      <c r="B7336" s="2" t="s">
        <v>47</v>
      </c>
      <c r="C7336" s="2" t="s">
        <v>4086</v>
      </c>
      <c r="D7336" s="11" t="n">
        <v>47640</v>
      </c>
      <c r="E7336" s="31" t="n">
        <v>40.7</v>
      </c>
      <c r="F7336" s="31" t="n">
        <v>18.5</v>
      </c>
      <c r="G7336" s="31" t="n">
        <v>76.3</v>
      </c>
      <c r="H7336" s="2" t="s">
        <v>671</v>
      </c>
    </row>
    <row r="7337" customFormat="false" ht="15" hidden="false" customHeight="false" outlineLevel="0" collapsed="false">
      <c r="A7337" s="2" t="s">
        <v>2416</v>
      </c>
      <c r="B7337" s="2" t="s">
        <v>47</v>
      </c>
      <c r="C7337" s="2" t="s">
        <v>4087</v>
      </c>
      <c r="D7337" s="11" t="n">
        <v>50570</v>
      </c>
      <c r="E7337" s="31" t="n">
        <v>36.1</v>
      </c>
      <c r="F7337" s="31" t="n">
        <v>63.1</v>
      </c>
      <c r="G7337" s="31" t="n">
        <v>90.1</v>
      </c>
      <c r="H7337" s="2" t="s">
        <v>671</v>
      </c>
    </row>
    <row r="7338" customFormat="false" ht="15" hidden="false" customHeight="false" outlineLevel="0" collapsed="false">
      <c r="A7338" s="2" t="s">
        <v>1829</v>
      </c>
      <c r="B7338" s="2" t="s">
        <v>4104</v>
      </c>
      <c r="C7338" s="2" t="s">
        <v>4085</v>
      </c>
      <c r="D7338" s="2"/>
      <c r="E7338" s="31" t="n">
        <v>10.7</v>
      </c>
      <c r="F7338" s="31" t="n">
        <v>75</v>
      </c>
      <c r="G7338" s="31" t="n">
        <v>51</v>
      </c>
      <c r="H7338" s="2" t="s">
        <v>671</v>
      </c>
    </row>
    <row r="7339" customFormat="false" ht="15" hidden="false" customHeight="false" outlineLevel="0" collapsed="false">
      <c r="A7339" s="2" t="s">
        <v>1829</v>
      </c>
      <c r="B7339" s="2" t="s">
        <v>4104</v>
      </c>
      <c r="C7339" s="2" t="s">
        <v>4086</v>
      </c>
      <c r="D7339" s="2"/>
      <c r="E7339" s="31" t="n">
        <v>26.8</v>
      </c>
      <c r="F7339" s="31" t="n">
        <v>77.7</v>
      </c>
      <c r="G7339" s="31" t="n">
        <v>61.1</v>
      </c>
      <c r="H7339" s="2" t="s">
        <v>668</v>
      </c>
    </row>
    <row r="7340" customFormat="false" ht="15" hidden="false" customHeight="false" outlineLevel="0" collapsed="false">
      <c r="A7340" s="2" t="s">
        <v>1829</v>
      </c>
      <c r="B7340" s="2" t="s">
        <v>4104</v>
      </c>
      <c r="C7340" s="2" t="s">
        <v>4087</v>
      </c>
      <c r="D7340" s="2"/>
      <c r="E7340" s="31" t="n">
        <v>24.8</v>
      </c>
      <c r="F7340" s="31" t="n">
        <v>69.3</v>
      </c>
      <c r="G7340" s="31" t="n">
        <v>19.3</v>
      </c>
      <c r="H7340" s="2" t="s">
        <v>668</v>
      </c>
    </row>
    <row r="7341" customFormat="false" ht="15" hidden="false" customHeight="false" outlineLevel="0" collapsed="false">
      <c r="A7341" s="2" t="s">
        <v>1829</v>
      </c>
      <c r="B7341" s="2" t="s">
        <v>45</v>
      </c>
      <c r="C7341" s="2" t="s">
        <v>4085</v>
      </c>
      <c r="D7341" s="11" t="n">
        <v>19710</v>
      </c>
      <c r="E7341" s="31" t="n">
        <v>0.2</v>
      </c>
      <c r="F7341" s="31" t="n">
        <v>67.9</v>
      </c>
      <c r="G7341" s="31" t="n">
        <v>97.1</v>
      </c>
      <c r="H7341" s="2" t="s">
        <v>671</v>
      </c>
    </row>
    <row r="7342" customFormat="false" ht="15" hidden="false" customHeight="false" outlineLevel="0" collapsed="false">
      <c r="A7342" s="2" t="s">
        <v>1829</v>
      </c>
      <c r="B7342" s="2" t="s">
        <v>45</v>
      </c>
      <c r="C7342" s="2" t="s">
        <v>4086</v>
      </c>
      <c r="D7342" s="11" t="n">
        <v>21250</v>
      </c>
      <c r="E7342" s="31" t="n">
        <v>0.4</v>
      </c>
      <c r="F7342" s="31" t="n">
        <v>97.6</v>
      </c>
      <c r="G7342" s="31" t="n">
        <v>99.1</v>
      </c>
      <c r="H7342" s="2" t="s">
        <v>671</v>
      </c>
    </row>
    <row r="7343" customFormat="false" ht="15" hidden="false" customHeight="false" outlineLevel="0" collapsed="false">
      <c r="A7343" s="2" t="s">
        <v>1829</v>
      </c>
      <c r="B7343" s="2" t="s">
        <v>45</v>
      </c>
      <c r="C7343" s="2" t="s">
        <v>4087</v>
      </c>
      <c r="D7343" s="11" t="n">
        <v>22270</v>
      </c>
      <c r="E7343" s="31" t="n">
        <v>1.5</v>
      </c>
      <c r="F7343" s="31" t="n">
        <v>59.9</v>
      </c>
      <c r="G7343" s="2"/>
      <c r="H7343" s="2" t="s">
        <v>668</v>
      </c>
    </row>
    <row r="7344" customFormat="false" ht="15" hidden="false" customHeight="false" outlineLevel="0" collapsed="false">
      <c r="A7344" s="2" t="s">
        <v>1829</v>
      </c>
      <c r="B7344" s="2" t="s">
        <v>46</v>
      </c>
      <c r="C7344" s="2" t="s">
        <v>4085</v>
      </c>
      <c r="D7344" s="11" t="n">
        <v>12930</v>
      </c>
      <c r="E7344" s="31" t="n">
        <v>17.6</v>
      </c>
      <c r="F7344" s="31" t="n">
        <v>80.9</v>
      </c>
      <c r="G7344" s="31" t="n">
        <v>40</v>
      </c>
      <c r="H7344" s="2" t="s">
        <v>671</v>
      </c>
    </row>
    <row r="7345" customFormat="false" ht="15" hidden="false" customHeight="false" outlineLevel="0" collapsed="false">
      <c r="A7345" s="2" t="s">
        <v>1829</v>
      </c>
      <c r="B7345" s="2" t="s">
        <v>46</v>
      </c>
      <c r="C7345" s="2" t="s">
        <v>4086</v>
      </c>
      <c r="D7345" s="2"/>
      <c r="E7345" s="2"/>
      <c r="F7345" s="2"/>
      <c r="G7345" s="2"/>
      <c r="H7345" s="2" t="s">
        <v>668</v>
      </c>
    </row>
    <row r="7346" customFormat="false" ht="15" hidden="false" customHeight="false" outlineLevel="0" collapsed="false">
      <c r="A7346" s="2" t="s">
        <v>1829</v>
      </c>
      <c r="B7346" s="2" t="s">
        <v>46</v>
      </c>
      <c r="C7346" s="2" t="s">
        <v>4087</v>
      </c>
      <c r="D7346" s="11" t="n">
        <v>13900</v>
      </c>
      <c r="E7346" s="31" t="n">
        <v>23.9</v>
      </c>
      <c r="F7346" s="31" t="n">
        <v>73.4</v>
      </c>
      <c r="G7346" s="31" t="n">
        <v>11.9</v>
      </c>
      <c r="H7346" s="2" t="s">
        <v>671</v>
      </c>
    </row>
    <row r="7347" customFormat="false" ht="15" hidden="false" customHeight="false" outlineLevel="0" collapsed="false">
      <c r="A7347" s="2" t="s">
        <v>1829</v>
      </c>
      <c r="B7347" s="2" t="s">
        <v>47</v>
      </c>
      <c r="C7347" s="2" t="s">
        <v>4085</v>
      </c>
      <c r="D7347" s="11" t="n">
        <v>12020</v>
      </c>
      <c r="E7347" s="31" t="n">
        <v>14.2</v>
      </c>
      <c r="F7347" s="31" t="n">
        <v>76.1</v>
      </c>
      <c r="G7347" s="31" t="n">
        <v>16</v>
      </c>
      <c r="H7347" s="2" t="s">
        <v>671</v>
      </c>
    </row>
    <row r="7348" customFormat="false" ht="15" hidden="false" customHeight="false" outlineLevel="0" collapsed="false">
      <c r="A7348" s="2" t="s">
        <v>1829</v>
      </c>
      <c r="B7348" s="2" t="s">
        <v>47</v>
      </c>
      <c r="C7348" s="2" t="s">
        <v>4086</v>
      </c>
      <c r="D7348" s="11" t="n">
        <v>12780</v>
      </c>
      <c r="E7348" s="31" t="n">
        <v>53.3</v>
      </c>
      <c r="F7348" s="31" t="n">
        <v>57.8</v>
      </c>
      <c r="G7348" s="31" t="n">
        <v>23.1</v>
      </c>
      <c r="H7348" s="2" t="s">
        <v>671</v>
      </c>
    </row>
    <row r="7349" customFormat="false" ht="15" hidden="false" customHeight="false" outlineLevel="0" collapsed="false">
      <c r="A7349" s="2" t="s">
        <v>1829</v>
      </c>
      <c r="B7349" s="2" t="s">
        <v>47</v>
      </c>
      <c r="C7349" s="2" t="s">
        <v>4087</v>
      </c>
      <c r="D7349" s="11" t="n">
        <v>13120</v>
      </c>
      <c r="E7349" s="31" t="n">
        <v>49</v>
      </c>
      <c r="F7349" s="31" t="n">
        <v>74.5</v>
      </c>
      <c r="G7349" s="31" t="n">
        <v>26.7</v>
      </c>
      <c r="H7349" s="2" t="s">
        <v>671</v>
      </c>
    </row>
    <row r="7350" customFormat="false" ht="15" hidden="false" customHeight="false" outlineLevel="0" collapsed="false">
      <c r="A7350" s="2" t="s">
        <v>1370</v>
      </c>
      <c r="B7350" s="2" t="s">
        <v>4104</v>
      </c>
      <c r="C7350" s="2" t="s">
        <v>4085</v>
      </c>
      <c r="D7350" s="2"/>
      <c r="E7350" s="31" t="n">
        <v>26.7</v>
      </c>
      <c r="F7350" s="31" t="n">
        <v>53.3</v>
      </c>
      <c r="G7350" s="31" t="n">
        <v>77.4</v>
      </c>
      <c r="H7350" s="2" t="s">
        <v>668</v>
      </c>
    </row>
    <row r="7351" customFormat="false" ht="15" hidden="false" customHeight="false" outlineLevel="0" collapsed="false">
      <c r="A7351" s="2" t="s">
        <v>1370</v>
      </c>
      <c r="B7351" s="2" t="s">
        <v>4104</v>
      </c>
      <c r="C7351" s="2" t="s">
        <v>4086</v>
      </c>
      <c r="D7351" s="2"/>
      <c r="E7351" s="31" t="n">
        <v>39.4</v>
      </c>
      <c r="F7351" s="31" t="n">
        <v>55.9</v>
      </c>
      <c r="G7351" s="31" t="n">
        <v>35.5</v>
      </c>
      <c r="H7351" s="2" t="s">
        <v>668</v>
      </c>
    </row>
    <row r="7352" customFormat="false" ht="15" hidden="false" customHeight="false" outlineLevel="0" collapsed="false">
      <c r="A7352" s="2" t="s">
        <v>1370</v>
      </c>
      <c r="B7352" s="2" t="s">
        <v>4104</v>
      </c>
      <c r="C7352" s="2" t="s">
        <v>4087</v>
      </c>
      <c r="D7352" s="2"/>
      <c r="E7352" s="31" t="n">
        <v>0.9</v>
      </c>
      <c r="F7352" s="31" t="n">
        <v>60.5</v>
      </c>
      <c r="G7352" s="31" t="n">
        <v>15.9</v>
      </c>
      <c r="H7352" s="2" t="s">
        <v>668</v>
      </c>
    </row>
    <row r="7353" customFormat="false" ht="15" hidden="false" customHeight="false" outlineLevel="0" collapsed="false">
      <c r="A7353" s="2" t="s">
        <v>1370</v>
      </c>
      <c r="B7353" s="2" t="s">
        <v>45</v>
      </c>
      <c r="C7353" s="2" t="s">
        <v>4085</v>
      </c>
      <c r="D7353" s="11" t="n">
        <v>84810</v>
      </c>
      <c r="E7353" s="31" t="n">
        <v>1.3</v>
      </c>
      <c r="F7353" s="31" t="n">
        <v>85</v>
      </c>
      <c r="G7353" s="2"/>
      <c r="H7353" s="2" t="s">
        <v>668</v>
      </c>
    </row>
    <row r="7354" customFormat="false" ht="15" hidden="false" customHeight="false" outlineLevel="0" collapsed="false">
      <c r="A7354" s="2" t="s">
        <v>1370</v>
      </c>
      <c r="B7354" s="2" t="s">
        <v>45</v>
      </c>
      <c r="C7354" s="2" t="s">
        <v>4086</v>
      </c>
      <c r="D7354" s="11" t="n">
        <v>91310</v>
      </c>
      <c r="E7354" s="31" t="n">
        <v>2.1</v>
      </c>
      <c r="F7354" s="31" t="n">
        <v>74.2</v>
      </c>
      <c r="G7354" s="2"/>
      <c r="H7354" s="2" t="s">
        <v>668</v>
      </c>
    </row>
    <row r="7355" customFormat="false" ht="15" hidden="false" customHeight="false" outlineLevel="0" collapsed="false">
      <c r="A7355" s="2" t="s">
        <v>1370</v>
      </c>
      <c r="B7355" s="2" t="s">
        <v>45</v>
      </c>
      <c r="C7355" s="2" t="s">
        <v>4087</v>
      </c>
      <c r="D7355" s="11" t="n">
        <v>93730</v>
      </c>
      <c r="E7355" s="31" t="n">
        <v>0.9</v>
      </c>
      <c r="F7355" s="31" t="n">
        <v>84.1</v>
      </c>
      <c r="G7355" s="31" t="n">
        <v>15.9</v>
      </c>
      <c r="H7355" s="2" t="s">
        <v>671</v>
      </c>
    </row>
    <row r="7356" customFormat="false" ht="15" hidden="false" customHeight="false" outlineLevel="0" collapsed="false">
      <c r="A7356" s="2" t="s">
        <v>1370</v>
      </c>
      <c r="B7356" s="2" t="s">
        <v>46</v>
      </c>
      <c r="C7356" s="2" t="s">
        <v>4085</v>
      </c>
      <c r="D7356" s="2"/>
      <c r="E7356" s="2"/>
      <c r="F7356" s="2"/>
      <c r="G7356" s="2"/>
      <c r="H7356" s="2" t="s">
        <v>668</v>
      </c>
    </row>
    <row r="7357" customFormat="false" ht="15" hidden="false" customHeight="false" outlineLevel="0" collapsed="false">
      <c r="A7357" s="2" t="s">
        <v>1370</v>
      </c>
      <c r="B7357" s="2" t="s">
        <v>46</v>
      </c>
      <c r="C7357" s="2" t="s">
        <v>4086</v>
      </c>
      <c r="D7357" s="11" t="n">
        <v>186944</v>
      </c>
      <c r="E7357" s="31" t="n">
        <v>50.5</v>
      </c>
      <c r="F7357" s="31" t="n">
        <v>55.4</v>
      </c>
      <c r="G7357" s="2"/>
      <c r="H7357" s="2" t="s">
        <v>668</v>
      </c>
    </row>
    <row r="7358" customFormat="false" ht="15" hidden="false" customHeight="false" outlineLevel="0" collapsed="false">
      <c r="A7358" s="2" t="s">
        <v>1370</v>
      </c>
      <c r="B7358" s="2" t="s">
        <v>46</v>
      </c>
      <c r="C7358" s="2" t="s">
        <v>4087</v>
      </c>
      <c r="D7358" s="2"/>
      <c r="E7358" s="2"/>
      <c r="F7358" s="2"/>
      <c r="G7358" s="2"/>
      <c r="H7358" s="2" t="s">
        <v>668</v>
      </c>
    </row>
    <row r="7359" customFormat="false" ht="15" hidden="false" customHeight="false" outlineLevel="0" collapsed="false">
      <c r="A7359" s="2" t="s">
        <v>1370</v>
      </c>
      <c r="B7359" s="2" t="s">
        <v>47</v>
      </c>
      <c r="C7359" s="2" t="s">
        <v>4085</v>
      </c>
      <c r="D7359" s="11" t="n">
        <v>26465</v>
      </c>
      <c r="E7359" s="31" t="n">
        <v>52.1</v>
      </c>
      <c r="F7359" s="31" t="n">
        <v>21.6</v>
      </c>
      <c r="G7359" s="31" t="n">
        <v>77.4</v>
      </c>
      <c r="H7359" s="2" t="s">
        <v>671</v>
      </c>
    </row>
    <row r="7360" customFormat="false" ht="15" hidden="false" customHeight="false" outlineLevel="0" collapsed="false">
      <c r="A7360" s="2" t="s">
        <v>1370</v>
      </c>
      <c r="B7360" s="2" t="s">
        <v>47</v>
      </c>
      <c r="C7360" s="2" t="s">
        <v>4086</v>
      </c>
      <c r="D7360" s="11" t="n">
        <v>27380</v>
      </c>
      <c r="E7360" s="31" t="n">
        <v>65.6</v>
      </c>
      <c r="F7360" s="31" t="n">
        <v>38</v>
      </c>
      <c r="G7360" s="31" t="n">
        <v>35.5</v>
      </c>
      <c r="H7360" s="2" t="s">
        <v>671</v>
      </c>
    </row>
    <row r="7361" customFormat="false" ht="15" hidden="false" customHeight="false" outlineLevel="0" collapsed="false">
      <c r="A7361" s="2" t="s">
        <v>1370</v>
      </c>
      <c r="B7361" s="2" t="s">
        <v>47</v>
      </c>
      <c r="C7361" s="2" t="s">
        <v>4087</v>
      </c>
      <c r="D7361" s="11" t="n">
        <v>27972</v>
      </c>
      <c r="E7361" s="2"/>
      <c r="F7361" s="31" t="n">
        <v>36.9</v>
      </c>
      <c r="G7361" s="2"/>
      <c r="H7361" s="2" t="s">
        <v>668</v>
      </c>
    </row>
    <row r="7362" customFormat="false" ht="15" hidden="false" customHeight="false" outlineLevel="0" collapsed="false">
      <c r="A7362" s="2" t="s">
        <v>466</v>
      </c>
      <c r="B7362" s="2" t="s">
        <v>4104</v>
      </c>
      <c r="C7362" s="2" t="s">
        <v>4085</v>
      </c>
      <c r="D7362" s="2"/>
      <c r="E7362" s="31" t="n">
        <v>40.3</v>
      </c>
      <c r="F7362" s="31" t="n">
        <v>27.1</v>
      </c>
      <c r="G7362" s="31" t="n">
        <v>56</v>
      </c>
      <c r="H7362" s="2" t="s">
        <v>668</v>
      </c>
    </row>
    <row r="7363" customFormat="false" ht="15" hidden="false" customHeight="false" outlineLevel="0" collapsed="false">
      <c r="A7363" s="2" t="s">
        <v>466</v>
      </c>
      <c r="B7363" s="2" t="s">
        <v>4104</v>
      </c>
      <c r="C7363" s="2" t="s">
        <v>4086</v>
      </c>
      <c r="D7363" s="2"/>
      <c r="E7363" s="31" t="n">
        <v>12.7</v>
      </c>
      <c r="F7363" s="31" t="n">
        <v>33.6</v>
      </c>
      <c r="G7363" s="31" t="n">
        <v>69.6</v>
      </c>
      <c r="H7363" s="2" t="s">
        <v>668</v>
      </c>
    </row>
    <row r="7364" customFormat="false" ht="15" hidden="false" customHeight="false" outlineLevel="0" collapsed="false">
      <c r="A7364" s="2" t="s">
        <v>466</v>
      </c>
      <c r="B7364" s="2" t="s">
        <v>4104</v>
      </c>
      <c r="C7364" s="2" t="s">
        <v>4087</v>
      </c>
      <c r="D7364" s="2"/>
      <c r="E7364" s="31" t="n">
        <v>39.4</v>
      </c>
      <c r="F7364" s="31" t="n">
        <v>34.9</v>
      </c>
      <c r="G7364" s="31" t="n">
        <v>60.2</v>
      </c>
      <c r="H7364" s="2" t="s">
        <v>671</v>
      </c>
    </row>
    <row r="7365" customFormat="false" ht="15" hidden="false" customHeight="false" outlineLevel="0" collapsed="false">
      <c r="A7365" s="2" t="s">
        <v>466</v>
      </c>
      <c r="B7365" s="2" t="s">
        <v>45</v>
      </c>
      <c r="C7365" s="2" t="s">
        <v>4085</v>
      </c>
      <c r="D7365" s="11" t="n">
        <v>27010</v>
      </c>
      <c r="E7365" s="31" t="n">
        <v>8.4</v>
      </c>
      <c r="F7365" s="31" t="n">
        <v>2.6</v>
      </c>
      <c r="G7365" s="2"/>
      <c r="H7365" s="2" t="s">
        <v>668</v>
      </c>
    </row>
    <row r="7366" customFormat="false" ht="15" hidden="false" customHeight="false" outlineLevel="0" collapsed="false">
      <c r="A7366" s="2" t="s">
        <v>466</v>
      </c>
      <c r="B7366" s="2" t="s">
        <v>45</v>
      </c>
      <c r="C7366" s="2" t="s">
        <v>4086</v>
      </c>
      <c r="D7366" s="11" t="n">
        <v>45097</v>
      </c>
      <c r="E7366" s="31" t="n">
        <v>3.6</v>
      </c>
      <c r="F7366" s="31" t="n">
        <v>2.4</v>
      </c>
      <c r="G7366" s="31" t="n">
        <v>91.4</v>
      </c>
      <c r="H7366" s="2" t="s">
        <v>671</v>
      </c>
    </row>
    <row r="7367" customFormat="false" ht="15" hidden="false" customHeight="false" outlineLevel="0" collapsed="false">
      <c r="A7367" s="2" t="s">
        <v>466</v>
      </c>
      <c r="B7367" s="2" t="s">
        <v>45</v>
      </c>
      <c r="C7367" s="2" t="s">
        <v>4087</v>
      </c>
      <c r="D7367" s="11" t="n">
        <v>26140</v>
      </c>
      <c r="E7367" s="31" t="n">
        <v>21.6</v>
      </c>
      <c r="F7367" s="31" t="n">
        <v>3.6</v>
      </c>
      <c r="G7367" s="31" t="n">
        <v>91.4</v>
      </c>
      <c r="H7367" s="2" t="s">
        <v>671</v>
      </c>
    </row>
    <row r="7368" customFormat="false" ht="15" hidden="false" customHeight="false" outlineLevel="0" collapsed="false">
      <c r="A7368" s="2" t="s">
        <v>466</v>
      </c>
      <c r="B7368" s="2" t="s">
        <v>46</v>
      </c>
      <c r="C7368" s="2" t="s">
        <v>4085</v>
      </c>
      <c r="D7368" s="11" t="n">
        <v>71410</v>
      </c>
      <c r="E7368" s="31" t="n">
        <v>29.5</v>
      </c>
      <c r="F7368" s="31" t="n">
        <v>28.1</v>
      </c>
      <c r="G7368" s="31" t="n">
        <v>26.9</v>
      </c>
      <c r="H7368" s="2" t="s">
        <v>671</v>
      </c>
    </row>
    <row r="7369" customFormat="false" ht="15" hidden="false" customHeight="false" outlineLevel="0" collapsed="false">
      <c r="A7369" s="2" t="s">
        <v>466</v>
      </c>
      <c r="B7369" s="2" t="s">
        <v>46</v>
      </c>
      <c r="C7369" s="2" t="s">
        <v>4086</v>
      </c>
      <c r="D7369" s="11" t="n">
        <v>69540</v>
      </c>
      <c r="E7369" s="31" t="n">
        <v>21.8</v>
      </c>
      <c r="F7369" s="31" t="n">
        <v>64.7</v>
      </c>
      <c r="G7369" s="31" t="n">
        <v>47.9</v>
      </c>
      <c r="H7369" s="2" t="s">
        <v>671</v>
      </c>
    </row>
    <row r="7370" customFormat="false" ht="15" hidden="false" customHeight="false" outlineLevel="0" collapsed="false">
      <c r="A7370" s="2" t="s">
        <v>466</v>
      </c>
      <c r="B7370" s="2" t="s">
        <v>46</v>
      </c>
      <c r="C7370" s="2" t="s">
        <v>4087</v>
      </c>
      <c r="D7370" s="11" t="n">
        <v>71930</v>
      </c>
      <c r="E7370" s="31" t="n">
        <v>12.7</v>
      </c>
      <c r="F7370" s="31" t="n">
        <v>39</v>
      </c>
      <c r="G7370" s="31" t="n">
        <v>38.9</v>
      </c>
      <c r="H7370" s="2" t="s">
        <v>671</v>
      </c>
    </row>
    <row r="7371" customFormat="false" ht="15" hidden="false" customHeight="false" outlineLevel="0" collapsed="false">
      <c r="A7371" s="2" t="s">
        <v>466</v>
      </c>
      <c r="B7371" s="2" t="s">
        <v>47</v>
      </c>
      <c r="C7371" s="2" t="s">
        <v>4085</v>
      </c>
      <c r="D7371" s="11" t="n">
        <v>152863</v>
      </c>
      <c r="E7371" s="31" t="n">
        <v>82.9</v>
      </c>
      <c r="F7371" s="31" t="n">
        <v>50.6</v>
      </c>
      <c r="G7371" s="31" t="n">
        <v>85.2</v>
      </c>
      <c r="H7371" s="2" t="s">
        <v>671</v>
      </c>
    </row>
    <row r="7372" customFormat="false" ht="15" hidden="false" customHeight="false" outlineLevel="0" collapsed="false">
      <c r="A7372" s="2" t="s">
        <v>466</v>
      </c>
      <c r="B7372" s="2" t="s">
        <v>47</v>
      </c>
      <c r="C7372" s="2" t="s">
        <v>4086</v>
      </c>
      <c r="D7372" s="2"/>
      <c r="E7372" s="2"/>
      <c r="F7372" s="2"/>
      <c r="G7372" s="2"/>
      <c r="H7372" s="2" t="s">
        <v>668</v>
      </c>
    </row>
    <row r="7373" customFormat="false" ht="15" hidden="false" customHeight="false" outlineLevel="0" collapsed="false">
      <c r="A7373" s="2" t="s">
        <v>466</v>
      </c>
      <c r="B7373" s="2" t="s">
        <v>47</v>
      </c>
      <c r="C7373" s="2" t="s">
        <v>4087</v>
      </c>
      <c r="D7373" s="11" t="n">
        <v>163778</v>
      </c>
      <c r="E7373" s="31" t="n">
        <v>83.8</v>
      </c>
      <c r="F7373" s="31" t="n">
        <v>62</v>
      </c>
      <c r="G7373" s="31" t="n">
        <v>50.3</v>
      </c>
      <c r="H7373" s="2" t="s">
        <v>671</v>
      </c>
    </row>
    <row r="7374" customFormat="false" ht="15" hidden="false" customHeight="false" outlineLevel="0" collapsed="false">
      <c r="A7374" s="2" t="s">
        <v>3150</v>
      </c>
      <c r="B7374" s="2" t="s">
        <v>4104</v>
      </c>
      <c r="C7374" s="2" t="s">
        <v>4085</v>
      </c>
      <c r="D7374" s="2"/>
      <c r="E7374" s="31" t="n">
        <v>53.6</v>
      </c>
      <c r="F7374" s="31" t="n">
        <v>50.2</v>
      </c>
      <c r="G7374" s="31" t="n">
        <v>46.1</v>
      </c>
      <c r="H7374" s="2" t="s">
        <v>668</v>
      </c>
    </row>
    <row r="7375" customFormat="false" ht="15" hidden="false" customHeight="false" outlineLevel="0" collapsed="false">
      <c r="A7375" s="2" t="s">
        <v>3150</v>
      </c>
      <c r="B7375" s="2" t="s">
        <v>4104</v>
      </c>
      <c r="C7375" s="2" t="s">
        <v>4086</v>
      </c>
      <c r="D7375" s="2"/>
      <c r="E7375" s="31" t="n">
        <v>42.2</v>
      </c>
      <c r="F7375" s="31" t="n">
        <v>97.9</v>
      </c>
      <c r="G7375" s="31" t="n">
        <v>24.5</v>
      </c>
      <c r="H7375" s="2" t="s">
        <v>668</v>
      </c>
    </row>
    <row r="7376" customFormat="false" ht="15" hidden="false" customHeight="false" outlineLevel="0" collapsed="false">
      <c r="A7376" s="2" t="s">
        <v>3150</v>
      </c>
      <c r="B7376" s="2" t="s">
        <v>4104</v>
      </c>
      <c r="C7376" s="2" t="s">
        <v>4087</v>
      </c>
      <c r="D7376" s="2"/>
      <c r="E7376" s="2"/>
      <c r="F7376" s="2"/>
      <c r="G7376" s="2"/>
      <c r="H7376" s="2" t="s">
        <v>668</v>
      </c>
    </row>
    <row r="7377" customFormat="false" ht="15" hidden="false" customHeight="false" outlineLevel="0" collapsed="false">
      <c r="A7377" s="2" t="s">
        <v>3150</v>
      </c>
      <c r="B7377" s="2" t="s">
        <v>45</v>
      </c>
      <c r="C7377" s="2" t="s">
        <v>4085</v>
      </c>
      <c r="D7377" s="11" t="n">
        <v>235070</v>
      </c>
      <c r="E7377" s="31" t="n">
        <v>56.6</v>
      </c>
      <c r="F7377" s="31" t="n">
        <v>95.2</v>
      </c>
      <c r="G7377" s="31" t="n">
        <v>46.1</v>
      </c>
      <c r="H7377" s="2" t="s">
        <v>671</v>
      </c>
    </row>
    <row r="7378" customFormat="false" ht="15" hidden="false" customHeight="false" outlineLevel="0" collapsed="false">
      <c r="A7378" s="2" t="s">
        <v>3150</v>
      </c>
      <c r="B7378" s="2" t="s">
        <v>45</v>
      </c>
      <c r="C7378" s="2" t="s">
        <v>4086</v>
      </c>
      <c r="D7378" s="11" t="n">
        <v>253160</v>
      </c>
      <c r="E7378" s="31" t="n">
        <v>42.2</v>
      </c>
      <c r="F7378" s="31" t="n">
        <v>97.9</v>
      </c>
      <c r="G7378" s="31" t="n">
        <v>24.5</v>
      </c>
      <c r="H7378" s="2" t="s">
        <v>671</v>
      </c>
    </row>
    <row r="7379" customFormat="false" ht="15" hidden="false" customHeight="false" outlineLevel="0" collapsed="false">
      <c r="A7379" s="2" t="s">
        <v>3150</v>
      </c>
      <c r="B7379" s="2" t="s">
        <v>45</v>
      </c>
      <c r="C7379" s="2" t="s">
        <v>4087</v>
      </c>
      <c r="D7379" s="2"/>
      <c r="E7379" s="2"/>
      <c r="F7379" s="2"/>
      <c r="G7379" s="2"/>
      <c r="H7379" s="2" t="s">
        <v>668</v>
      </c>
    </row>
    <row r="7380" customFormat="false" ht="15" hidden="false" customHeight="false" outlineLevel="0" collapsed="false">
      <c r="A7380" s="2" t="s">
        <v>3150</v>
      </c>
      <c r="B7380" s="2" t="s">
        <v>46</v>
      </c>
      <c r="C7380" s="2" t="s">
        <v>4085</v>
      </c>
      <c r="D7380" s="11" t="n">
        <v>5720</v>
      </c>
      <c r="E7380" s="31" t="n">
        <v>50.7</v>
      </c>
      <c r="F7380" s="31" t="n">
        <v>5.3</v>
      </c>
      <c r="G7380" s="2"/>
      <c r="H7380" s="2" t="s">
        <v>668</v>
      </c>
    </row>
    <row r="7381" customFormat="false" ht="15" hidden="false" customHeight="false" outlineLevel="0" collapsed="false">
      <c r="A7381" s="2" t="s">
        <v>3150</v>
      </c>
      <c r="B7381" s="2" t="s">
        <v>46</v>
      </c>
      <c r="C7381" s="2" t="s">
        <v>4086</v>
      </c>
      <c r="D7381" s="2"/>
      <c r="E7381" s="2"/>
      <c r="F7381" s="2"/>
      <c r="G7381" s="2"/>
      <c r="H7381" s="2" t="s">
        <v>668</v>
      </c>
    </row>
    <row r="7382" customFormat="false" ht="15" hidden="false" customHeight="false" outlineLevel="0" collapsed="false">
      <c r="A7382" s="2" t="s">
        <v>3150</v>
      </c>
      <c r="B7382" s="2" t="s">
        <v>46</v>
      </c>
      <c r="C7382" s="2" t="s">
        <v>4087</v>
      </c>
      <c r="D7382" s="2"/>
      <c r="E7382" s="2"/>
      <c r="F7382" s="2"/>
      <c r="G7382" s="2"/>
      <c r="H7382" s="2" t="s">
        <v>668</v>
      </c>
    </row>
    <row r="7383" customFormat="false" ht="15" hidden="false" customHeight="false" outlineLevel="0" collapsed="false">
      <c r="A7383" s="2" t="s">
        <v>2469</v>
      </c>
      <c r="B7383" s="2" t="s">
        <v>4104</v>
      </c>
      <c r="C7383" s="2" t="s">
        <v>4085</v>
      </c>
      <c r="D7383" s="2"/>
      <c r="E7383" s="31" t="n">
        <v>60.5</v>
      </c>
      <c r="F7383" s="31" t="n">
        <v>86.8</v>
      </c>
      <c r="G7383" s="31" t="n">
        <v>73.8</v>
      </c>
      <c r="H7383" s="2" t="s">
        <v>668</v>
      </c>
    </row>
    <row r="7384" customFormat="false" ht="15" hidden="false" customHeight="false" outlineLevel="0" collapsed="false">
      <c r="A7384" s="2" t="s">
        <v>2469</v>
      </c>
      <c r="B7384" s="2" t="s">
        <v>4104</v>
      </c>
      <c r="C7384" s="2" t="s">
        <v>4086</v>
      </c>
      <c r="D7384" s="2"/>
      <c r="E7384" s="31" t="n">
        <v>64</v>
      </c>
      <c r="F7384" s="31" t="n">
        <v>61.2</v>
      </c>
      <c r="G7384" s="31" t="n">
        <v>51.6</v>
      </c>
      <c r="H7384" s="2" t="s">
        <v>671</v>
      </c>
    </row>
    <row r="7385" customFormat="false" ht="15" hidden="false" customHeight="false" outlineLevel="0" collapsed="false">
      <c r="A7385" s="2" t="s">
        <v>2469</v>
      </c>
      <c r="B7385" s="2" t="s">
        <v>4104</v>
      </c>
      <c r="C7385" s="2" t="s">
        <v>4087</v>
      </c>
      <c r="D7385" s="2"/>
      <c r="E7385" s="31" t="n">
        <v>61.3</v>
      </c>
      <c r="F7385" s="31" t="n">
        <v>83.6</v>
      </c>
      <c r="G7385" s="31" t="n">
        <v>26.1</v>
      </c>
      <c r="H7385" s="2" t="s">
        <v>668</v>
      </c>
    </row>
    <row r="7386" customFormat="false" ht="15" hidden="false" customHeight="false" outlineLevel="0" collapsed="false">
      <c r="A7386" s="2" t="s">
        <v>2469</v>
      </c>
      <c r="B7386" s="2" t="s">
        <v>45</v>
      </c>
      <c r="C7386" s="2" t="s">
        <v>4085</v>
      </c>
      <c r="D7386" s="11" t="n">
        <v>266082</v>
      </c>
      <c r="E7386" s="31" t="n">
        <v>73.9</v>
      </c>
      <c r="F7386" s="31" t="n">
        <v>89.7</v>
      </c>
      <c r="G7386" s="31" t="n">
        <v>59.5</v>
      </c>
      <c r="H7386" s="2" t="s">
        <v>671</v>
      </c>
    </row>
    <row r="7387" customFormat="false" ht="15" hidden="false" customHeight="false" outlineLevel="0" collapsed="false">
      <c r="A7387" s="2" t="s">
        <v>2469</v>
      </c>
      <c r="B7387" s="2" t="s">
        <v>45</v>
      </c>
      <c r="C7387" s="2" t="s">
        <v>4086</v>
      </c>
      <c r="D7387" s="11" t="n">
        <v>276412</v>
      </c>
      <c r="E7387" s="31" t="n">
        <v>61.8</v>
      </c>
      <c r="F7387" s="31" t="n">
        <v>95</v>
      </c>
      <c r="G7387" s="31" t="n">
        <v>52.9</v>
      </c>
      <c r="H7387" s="2" t="s">
        <v>671</v>
      </c>
    </row>
    <row r="7388" customFormat="false" ht="15" hidden="false" customHeight="false" outlineLevel="0" collapsed="false">
      <c r="A7388" s="2" t="s">
        <v>2469</v>
      </c>
      <c r="B7388" s="2" t="s">
        <v>45</v>
      </c>
      <c r="C7388" s="2" t="s">
        <v>4087</v>
      </c>
      <c r="D7388" s="2"/>
      <c r="E7388" s="2"/>
      <c r="F7388" s="2"/>
      <c r="G7388" s="2"/>
      <c r="H7388" s="2" t="s">
        <v>668</v>
      </c>
    </row>
    <row r="7389" customFormat="false" ht="15" hidden="false" customHeight="false" outlineLevel="0" collapsed="false">
      <c r="A7389" s="2" t="s">
        <v>2469</v>
      </c>
      <c r="B7389" s="2" t="s">
        <v>46</v>
      </c>
      <c r="C7389" s="2" t="s">
        <v>4085</v>
      </c>
      <c r="D7389" s="11" t="n">
        <v>23353</v>
      </c>
      <c r="E7389" s="31" t="n">
        <v>86.1</v>
      </c>
      <c r="F7389" s="31" t="n">
        <v>83.9</v>
      </c>
      <c r="G7389" s="31" t="n">
        <v>72.8</v>
      </c>
      <c r="H7389" s="2" t="s">
        <v>671</v>
      </c>
    </row>
    <row r="7390" customFormat="false" ht="15" hidden="false" customHeight="false" outlineLevel="0" collapsed="false">
      <c r="A7390" s="2" t="s">
        <v>2469</v>
      </c>
      <c r="B7390" s="2" t="s">
        <v>46</v>
      </c>
      <c r="C7390" s="2" t="s">
        <v>4086</v>
      </c>
      <c r="D7390" s="11" t="n">
        <v>25070</v>
      </c>
      <c r="E7390" s="31" t="n">
        <v>88</v>
      </c>
      <c r="F7390" s="31" t="n">
        <v>58.5</v>
      </c>
      <c r="G7390" s="31" t="n">
        <v>47</v>
      </c>
      <c r="H7390" s="2" t="s">
        <v>671</v>
      </c>
    </row>
    <row r="7391" customFormat="false" ht="15" hidden="false" customHeight="false" outlineLevel="0" collapsed="false">
      <c r="A7391" s="2" t="s">
        <v>2469</v>
      </c>
      <c r="B7391" s="2" t="s">
        <v>46</v>
      </c>
      <c r="C7391" s="2" t="s">
        <v>4087</v>
      </c>
      <c r="D7391" s="11" t="n">
        <v>25675</v>
      </c>
      <c r="E7391" s="31" t="n">
        <v>92.8</v>
      </c>
      <c r="F7391" s="31" t="n">
        <v>92.5</v>
      </c>
      <c r="G7391" s="2"/>
      <c r="H7391" s="2" t="s">
        <v>668</v>
      </c>
    </row>
    <row r="7392" customFormat="false" ht="15" hidden="false" customHeight="false" outlineLevel="0" collapsed="false">
      <c r="A7392" s="2" t="s">
        <v>2469</v>
      </c>
      <c r="B7392" s="2" t="s">
        <v>47</v>
      </c>
      <c r="C7392" s="2" t="s">
        <v>4085</v>
      </c>
      <c r="D7392" s="11" t="n">
        <v>39612</v>
      </c>
      <c r="E7392" s="31" t="n">
        <v>21.6</v>
      </c>
      <c r="F7392" s="2"/>
      <c r="G7392" s="31" t="n">
        <v>89.2</v>
      </c>
      <c r="H7392" s="2" t="s">
        <v>668</v>
      </c>
    </row>
    <row r="7393" customFormat="false" ht="15" hidden="false" customHeight="false" outlineLevel="0" collapsed="false">
      <c r="A7393" s="2" t="s">
        <v>2469</v>
      </c>
      <c r="B7393" s="2" t="s">
        <v>47</v>
      </c>
      <c r="C7393" s="2" t="s">
        <v>4086</v>
      </c>
      <c r="D7393" s="11" t="n">
        <v>40956</v>
      </c>
      <c r="E7393" s="31" t="n">
        <v>42.2</v>
      </c>
      <c r="F7393" s="31" t="n">
        <v>30.2</v>
      </c>
      <c r="G7393" s="31" t="n">
        <v>55</v>
      </c>
      <c r="H7393" s="2" t="s">
        <v>671</v>
      </c>
    </row>
    <row r="7394" customFormat="false" ht="15" hidden="false" customHeight="false" outlineLevel="0" collapsed="false">
      <c r="A7394" s="2" t="s">
        <v>2469</v>
      </c>
      <c r="B7394" s="2" t="s">
        <v>47</v>
      </c>
      <c r="C7394" s="2" t="s">
        <v>4087</v>
      </c>
      <c r="D7394" s="11" t="n">
        <v>43348</v>
      </c>
      <c r="E7394" s="31" t="n">
        <v>29.8</v>
      </c>
      <c r="F7394" s="31" t="n">
        <v>74.8</v>
      </c>
      <c r="G7394" s="31" t="n">
        <v>26.1</v>
      </c>
      <c r="H7394" s="2" t="s">
        <v>671</v>
      </c>
    </row>
    <row r="7395" customFormat="false" ht="15" hidden="false" customHeight="false" outlineLevel="0" collapsed="false">
      <c r="A7395" s="2" t="s">
        <v>338</v>
      </c>
      <c r="B7395" s="2" t="s">
        <v>4104</v>
      </c>
      <c r="C7395" s="2" t="s">
        <v>4085</v>
      </c>
      <c r="D7395" s="2"/>
      <c r="E7395" s="31" t="n">
        <v>57.1</v>
      </c>
      <c r="F7395" s="31" t="n">
        <v>48.1</v>
      </c>
      <c r="G7395" s="31" t="n">
        <v>61.4</v>
      </c>
      <c r="H7395" s="2" t="s">
        <v>671</v>
      </c>
    </row>
    <row r="7396" customFormat="false" ht="15" hidden="false" customHeight="false" outlineLevel="0" collapsed="false">
      <c r="A7396" s="2" t="s">
        <v>338</v>
      </c>
      <c r="B7396" s="2" t="s">
        <v>4104</v>
      </c>
      <c r="C7396" s="2" t="s">
        <v>4086</v>
      </c>
      <c r="D7396" s="2"/>
      <c r="E7396" s="31" t="n">
        <v>59.9</v>
      </c>
      <c r="F7396" s="31" t="n">
        <v>59.3</v>
      </c>
      <c r="G7396" s="31" t="n">
        <v>74.1</v>
      </c>
      <c r="H7396" s="2" t="s">
        <v>671</v>
      </c>
    </row>
    <row r="7397" customFormat="false" ht="15" hidden="false" customHeight="false" outlineLevel="0" collapsed="false">
      <c r="A7397" s="2" t="s">
        <v>338</v>
      </c>
      <c r="B7397" s="2" t="s">
        <v>4104</v>
      </c>
      <c r="C7397" s="2" t="s">
        <v>4087</v>
      </c>
      <c r="D7397" s="2"/>
      <c r="E7397" s="31" t="n">
        <v>53.7</v>
      </c>
      <c r="F7397" s="31" t="n">
        <v>52.3</v>
      </c>
      <c r="G7397" s="31" t="n">
        <v>66.2</v>
      </c>
      <c r="H7397" s="2" t="s">
        <v>671</v>
      </c>
    </row>
    <row r="7398" customFormat="false" ht="15" hidden="false" customHeight="false" outlineLevel="0" collapsed="false">
      <c r="A7398" s="2" t="s">
        <v>338</v>
      </c>
      <c r="B7398" s="2" t="s">
        <v>45</v>
      </c>
      <c r="C7398" s="2" t="s">
        <v>4085</v>
      </c>
      <c r="D7398" s="11" t="n">
        <v>299558</v>
      </c>
      <c r="E7398" s="31" t="n">
        <v>64.1</v>
      </c>
      <c r="F7398" s="31" t="n">
        <v>30.1</v>
      </c>
      <c r="G7398" s="2"/>
      <c r="H7398" s="2" t="s">
        <v>671</v>
      </c>
    </row>
    <row r="7399" customFormat="false" ht="15" hidden="false" customHeight="false" outlineLevel="0" collapsed="false">
      <c r="A7399" s="2" t="s">
        <v>338</v>
      </c>
      <c r="B7399" s="2" t="s">
        <v>45</v>
      </c>
      <c r="C7399" s="2" t="s">
        <v>4086</v>
      </c>
      <c r="D7399" s="11" t="n">
        <v>311674</v>
      </c>
      <c r="E7399" s="31" t="n">
        <v>74.1</v>
      </c>
      <c r="F7399" s="31" t="n">
        <v>9.3</v>
      </c>
      <c r="G7399" s="2"/>
      <c r="H7399" s="2" t="s">
        <v>671</v>
      </c>
    </row>
    <row r="7400" customFormat="false" ht="15" hidden="false" customHeight="false" outlineLevel="0" collapsed="false">
      <c r="A7400" s="2" t="s">
        <v>338</v>
      </c>
      <c r="B7400" s="2" t="s">
        <v>45</v>
      </c>
      <c r="C7400" s="2" t="s">
        <v>4087</v>
      </c>
      <c r="D7400" s="11" t="n">
        <v>312627</v>
      </c>
      <c r="E7400" s="31" t="n">
        <v>50.4</v>
      </c>
      <c r="F7400" s="31" t="n">
        <v>35.5</v>
      </c>
      <c r="G7400" s="2"/>
      <c r="H7400" s="2" t="s">
        <v>671</v>
      </c>
    </row>
    <row r="7401" customFormat="false" ht="15" hidden="false" customHeight="false" outlineLevel="0" collapsed="false">
      <c r="A7401" s="2" t="s">
        <v>338</v>
      </c>
      <c r="B7401" s="2" t="s">
        <v>46</v>
      </c>
      <c r="C7401" s="2" t="s">
        <v>4085</v>
      </c>
      <c r="D7401" s="11" t="n">
        <v>14315</v>
      </c>
      <c r="E7401" s="31" t="n">
        <v>99.2</v>
      </c>
      <c r="F7401" s="31" t="n">
        <v>34.8</v>
      </c>
      <c r="G7401" s="31" t="n">
        <v>97.3</v>
      </c>
      <c r="H7401" s="2" t="s">
        <v>671</v>
      </c>
    </row>
    <row r="7402" customFormat="false" ht="15" hidden="false" customHeight="false" outlineLevel="0" collapsed="false">
      <c r="A7402" s="2" t="s">
        <v>338</v>
      </c>
      <c r="B7402" s="2" t="s">
        <v>46</v>
      </c>
      <c r="C7402" s="2" t="s">
        <v>4086</v>
      </c>
      <c r="D7402" s="11" t="n">
        <v>14650</v>
      </c>
      <c r="E7402" s="31" t="n">
        <v>98.8</v>
      </c>
      <c r="F7402" s="31" t="n">
        <v>78.9</v>
      </c>
      <c r="G7402" s="31" t="n">
        <v>92.1</v>
      </c>
      <c r="H7402" s="2" t="s">
        <v>671</v>
      </c>
    </row>
    <row r="7403" customFormat="false" ht="15" hidden="false" customHeight="false" outlineLevel="0" collapsed="false">
      <c r="A7403" s="2" t="s">
        <v>338</v>
      </c>
      <c r="B7403" s="2" t="s">
        <v>46</v>
      </c>
      <c r="C7403" s="2" t="s">
        <v>4087</v>
      </c>
      <c r="D7403" s="11" t="n">
        <v>15300</v>
      </c>
      <c r="E7403" s="31" t="n">
        <v>95.6</v>
      </c>
      <c r="F7403" s="31" t="n">
        <v>34.9</v>
      </c>
      <c r="G7403" s="31" t="n">
        <v>98.4</v>
      </c>
      <c r="H7403" s="2" t="s">
        <v>671</v>
      </c>
    </row>
    <row r="7404" customFormat="false" ht="15" hidden="false" customHeight="false" outlineLevel="0" collapsed="false">
      <c r="A7404" s="2" t="s">
        <v>338</v>
      </c>
      <c r="B7404" s="2" t="s">
        <v>47</v>
      </c>
      <c r="C7404" s="2" t="s">
        <v>4085</v>
      </c>
      <c r="D7404" s="11" t="n">
        <v>36879</v>
      </c>
      <c r="E7404" s="31" t="n">
        <v>8</v>
      </c>
      <c r="F7404" s="31" t="n">
        <v>79.4</v>
      </c>
      <c r="G7404" s="31" t="n">
        <v>25.6</v>
      </c>
      <c r="H7404" s="2" t="s">
        <v>671</v>
      </c>
    </row>
    <row r="7405" customFormat="false" ht="15" hidden="false" customHeight="false" outlineLevel="0" collapsed="false">
      <c r="A7405" s="2" t="s">
        <v>338</v>
      </c>
      <c r="B7405" s="2" t="s">
        <v>47</v>
      </c>
      <c r="C7405" s="2" t="s">
        <v>4086</v>
      </c>
      <c r="D7405" s="11" t="n">
        <v>39490</v>
      </c>
      <c r="E7405" s="31" t="n">
        <v>6.9</v>
      </c>
      <c r="F7405" s="31" t="n">
        <v>89.6</v>
      </c>
      <c r="G7405" s="31" t="n">
        <v>56.1</v>
      </c>
      <c r="H7405" s="2" t="s">
        <v>671</v>
      </c>
    </row>
    <row r="7406" customFormat="false" ht="15" hidden="false" customHeight="false" outlineLevel="0" collapsed="false">
      <c r="A7406" s="2" t="s">
        <v>338</v>
      </c>
      <c r="B7406" s="2" t="s">
        <v>47</v>
      </c>
      <c r="C7406" s="2" t="s">
        <v>4087</v>
      </c>
      <c r="D7406" s="11" t="n">
        <v>42796</v>
      </c>
      <c r="E7406" s="31" t="n">
        <v>15</v>
      </c>
      <c r="F7406" s="31" t="n">
        <v>86.5</v>
      </c>
      <c r="G7406" s="31" t="n">
        <v>33.9</v>
      </c>
      <c r="H7406" s="2" t="s">
        <v>671</v>
      </c>
    </row>
    <row r="7407" customFormat="false" ht="15" hidden="false" customHeight="false" outlineLevel="0" collapsed="false">
      <c r="A7407" s="2" t="s">
        <v>3152</v>
      </c>
      <c r="B7407" s="2" t="s">
        <v>4104</v>
      </c>
      <c r="C7407" s="2" t="s">
        <v>4085</v>
      </c>
      <c r="D7407" s="2"/>
      <c r="E7407" s="31" t="n">
        <v>20.8</v>
      </c>
      <c r="F7407" s="31" t="n">
        <v>39.8</v>
      </c>
      <c r="G7407" s="31" t="n">
        <v>4.4</v>
      </c>
      <c r="H7407" s="2" t="s">
        <v>668</v>
      </c>
    </row>
    <row r="7408" customFormat="false" ht="15" hidden="false" customHeight="false" outlineLevel="0" collapsed="false">
      <c r="A7408" s="2" t="s">
        <v>3152</v>
      </c>
      <c r="B7408" s="2" t="s">
        <v>4104</v>
      </c>
      <c r="C7408" s="2" t="s">
        <v>4086</v>
      </c>
      <c r="D7408" s="2"/>
      <c r="E7408" s="31" t="n">
        <v>14.7</v>
      </c>
      <c r="F7408" s="31" t="n">
        <v>11.4</v>
      </c>
      <c r="G7408" s="31" t="n">
        <v>19.8</v>
      </c>
      <c r="H7408" s="2" t="s">
        <v>668</v>
      </c>
    </row>
    <row r="7409" customFormat="false" ht="15" hidden="false" customHeight="false" outlineLevel="0" collapsed="false">
      <c r="A7409" s="2" t="s">
        <v>3152</v>
      </c>
      <c r="B7409" s="2" t="s">
        <v>4104</v>
      </c>
      <c r="C7409" s="2" t="s">
        <v>4087</v>
      </c>
      <c r="D7409" s="2"/>
      <c r="E7409" s="2"/>
      <c r="F7409" s="2"/>
      <c r="G7409" s="31" t="n">
        <v>47.9</v>
      </c>
      <c r="H7409" s="2" t="s">
        <v>668</v>
      </c>
    </row>
    <row r="7410" customFormat="false" ht="15" hidden="false" customHeight="false" outlineLevel="0" collapsed="false">
      <c r="A7410" s="2" t="s">
        <v>3152</v>
      </c>
      <c r="B7410" s="2" t="s">
        <v>45</v>
      </c>
      <c r="C7410" s="2" t="s">
        <v>4085</v>
      </c>
      <c r="D7410" s="11" t="n">
        <v>491920</v>
      </c>
      <c r="E7410" s="31" t="n">
        <v>35.8</v>
      </c>
      <c r="F7410" s="31" t="n">
        <v>2.7</v>
      </c>
      <c r="G7410" s="31" t="n">
        <v>4.4</v>
      </c>
      <c r="H7410" s="2" t="s">
        <v>671</v>
      </c>
    </row>
    <row r="7411" customFormat="false" ht="15" hidden="false" customHeight="false" outlineLevel="0" collapsed="false">
      <c r="A7411" s="2" t="s">
        <v>3152</v>
      </c>
      <c r="B7411" s="2" t="s">
        <v>45</v>
      </c>
      <c r="C7411" s="2" t="s">
        <v>4086</v>
      </c>
      <c r="D7411" s="11" t="n">
        <v>489320</v>
      </c>
      <c r="E7411" s="31" t="n">
        <v>26.8</v>
      </c>
      <c r="F7411" s="31" t="n">
        <v>11.4</v>
      </c>
      <c r="G7411" s="31" t="n">
        <v>1.3</v>
      </c>
      <c r="H7411" s="2" t="s">
        <v>668</v>
      </c>
    </row>
    <row r="7412" customFormat="false" ht="15" hidden="false" customHeight="false" outlineLevel="0" collapsed="false">
      <c r="A7412" s="2" t="s">
        <v>3152</v>
      </c>
      <c r="B7412" s="2" t="s">
        <v>45</v>
      </c>
      <c r="C7412" s="2" t="s">
        <v>4087</v>
      </c>
      <c r="D7412" s="2"/>
      <c r="E7412" s="2"/>
      <c r="F7412" s="2"/>
      <c r="G7412" s="2"/>
      <c r="H7412" s="2" t="s">
        <v>668</v>
      </c>
    </row>
    <row r="7413" customFormat="false" ht="15" hidden="false" customHeight="false" outlineLevel="0" collapsed="false">
      <c r="A7413" s="2" t="s">
        <v>3152</v>
      </c>
      <c r="B7413" s="2" t="s">
        <v>46</v>
      </c>
      <c r="C7413" s="2" t="s">
        <v>4085</v>
      </c>
      <c r="D7413" s="11" t="n">
        <v>199300</v>
      </c>
      <c r="E7413" s="31" t="n">
        <v>5.7</v>
      </c>
      <c r="F7413" s="31" t="n">
        <v>76.9</v>
      </c>
      <c r="G7413" s="2"/>
      <c r="H7413" s="2" t="s">
        <v>668</v>
      </c>
    </row>
    <row r="7414" customFormat="false" ht="15" hidden="false" customHeight="false" outlineLevel="0" collapsed="false">
      <c r="A7414" s="2" t="s">
        <v>3152</v>
      </c>
      <c r="B7414" s="2" t="s">
        <v>46</v>
      </c>
      <c r="C7414" s="2" t="s">
        <v>4086</v>
      </c>
      <c r="D7414" s="11" t="n">
        <v>209820</v>
      </c>
      <c r="E7414" s="31" t="n">
        <v>2.6</v>
      </c>
      <c r="F7414" s="2"/>
      <c r="G7414" s="31" t="n">
        <v>38.2</v>
      </c>
      <c r="H7414" s="2" t="s">
        <v>668</v>
      </c>
    </row>
    <row r="7415" customFormat="false" ht="15" hidden="false" customHeight="false" outlineLevel="0" collapsed="false">
      <c r="A7415" s="2" t="s">
        <v>3152</v>
      </c>
      <c r="B7415" s="2" t="s">
        <v>46</v>
      </c>
      <c r="C7415" s="2" t="s">
        <v>4087</v>
      </c>
      <c r="D7415" s="2"/>
      <c r="E7415" s="2"/>
      <c r="F7415" s="2"/>
      <c r="G7415" s="31" t="n">
        <v>47.9</v>
      </c>
      <c r="H7415" s="2" t="s">
        <v>668</v>
      </c>
    </row>
    <row r="7416" customFormat="false" ht="15" hidden="false" customHeight="false" outlineLevel="0" collapsed="false">
      <c r="A7416" s="2" t="s">
        <v>1433</v>
      </c>
      <c r="B7416" s="2" t="s">
        <v>4104</v>
      </c>
      <c r="C7416" s="2" t="s">
        <v>4085</v>
      </c>
      <c r="D7416" s="2"/>
      <c r="E7416" s="31" t="n">
        <v>73.1</v>
      </c>
      <c r="F7416" s="31" t="n">
        <v>40.4</v>
      </c>
      <c r="G7416" s="31" t="n">
        <v>44.3</v>
      </c>
      <c r="H7416" s="2" t="s">
        <v>668</v>
      </c>
    </row>
    <row r="7417" customFormat="false" ht="15" hidden="false" customHeight="false" outlineLevel="0" collapsed="false">
      <c r="A7417" s="2" t="s">
        <v>1433</v>
      </c>
      <c r="B7417" s="2" t="s">
        <v>4104</v>
      </c>
      <c r="C7417" s="2" t="s">
        <v>4086</v>
      </c>
      <c r="D7417" s="2"/>
      <c r="E7417" s="31" t="n">
        <v>66.9</v>
      </c>
      <c r="F7417" s="31" t="n">
        <v>68.6</v>
      </c>
      <c r="G7417" s="31" t="n">
        <v>38.4</v>
      </c>
      <c r="H7417" s="2" t="s">
        <v>668</v>
      </c>
    </row>
    <row r="7418" customFormat="false" ht="15" hidden="false" customHeight="false" outlineLevel="0" collapsed="false">
      <c r="A7418" s="2" t="s">
        <v>1433</v>
      </c>
      <c r="B7418" s="2" t="s">
        <v>4104</v>
      </c>
      <c r="C7418" s="2" t="s">
        <v>4087</v>
      </c>
      <c r="D7418" s="2"/>
      <c r="E7418" s="31" t="n">
        <v>78.4</v>
      </c>
      <c r="F7418" s="31" t="n">
        <v>44.6</v>
      </c>
      <c r="G7418" s="31" t="n">
        <v>43.8</v>
      </c>
      <c r="H7418" s="2" t="s">
        <v>668</v>
      </c>
    </row>
    <row r="7419" customFormat="false" ht="15" hidden="false" customHeight="false" outlineLevel="0" collapsed="false">
      <c r="A7419" s="2" t="s">
        <v>1433</v>
      </c>
      <c r="B7419" s="2" t="s">
        <v>45</v>
      </c>
      <c r="C7419" s="2" t="s">
        <v>4085</v>
      </c>
      <c r="D7419" s="11" t="n">
        <v>38280</v>
      </c>
      <c r="E7419" s="31" t="n">
        <v>52.5</v>
      </c>
      <c r="F7419" s="31" t="n">
        <v>29.2</v>
      </c>
      <c r="G7419" s="31" t="n">
        <v>11.7</v>
      </c>
      <c r="H7419" s="2" t="s">
        <v>671</v>
      </c>
    </row>
    <row r="7420" customFormat="false" ht="15" hidden="false" customHeight="false" outlineLevel="0" collapsed="false">
      <c r="A7420" s="2" t="s">
        <v>1433</v>
      </c>
      <c r="B7420" s="2" t="s">
        <v>45</v>
      </c>
      <c r="C7420" s="2" t="s">
        <v>4086</v>
      </c>
      <c r="D7420" s="11" t="n">
        <v>38230</v>
      </c>
      <c r="E7420" s="31" t="n">
        <v>75.6</v>
      </c>
      <c r="F7420" s="31" t="n">
        <v>43.3</v>
      </c>
      <c r="G7420" s="31" t="n">
        <v>29.6</v>
      </c>
      <c r="H7420" s="2" t="s">
        <v>671</v>
      </c>
    </row>
    <row r="7421" customFormat="false" ht="15" hidden="false" customHeight="false" outlineLevel="0" collapsed="false">
      <c r="A7421" s="2" t="s">
        <v>1433</v>
      </c>
      <c r="B7421" s="2" t="s">
        <v>45</v>
      </c>
      <c r="C7421" s="2" t="s">
        <v>4087</v>
      </c>
      <c r="D7421" s="11" t="n">
        <v>39545</v>
      </c>
      <c r="E7421" s="2"/>
      <c r="F7421" s="31" t="n">
        <v>34.1</v>
      </c>
      <c r="G7421" s="31" t="n">
        <v>51.9</v>
      </c>
      <c r="H7421" s="2" t="s">
        <v>668</v>
      </c>
    </row>
    <row r="7422" customFormat="false" ht="15" hidden="false" customHeight="false" outlineLevel="0" collapsed="false">
      <c r="A7422" s="2" t="s">
        <v>1433</v>
      </c>
      <c r="B7422" s="2" t="s">
        <v>46</v>
      </c>
      <c r="C7422" s="2" t="s">
        <v>4085</v>
      </c>
      <c r="D7422" s="11" t="n">
        <v>15640</v>
      </c>
      <c r="E7422" s="31" t="n">
        <v>93.7</v>
      </c>
      <c r="F7422" s="31" t="n">
        <v>51.7</v>
      </c>
      <c r="G7422" s="31" t="n">
        <v>60.3</v>
      </c>
      <c r="H7422" s="2" t="s">
        <v>671</v>
      </c>
    </row>
    <row r="7423" customFormat="false" ht="15" hidden="false" customHeight="false" outlineLevel="0" collapsed="false">
      <c r="A7423" s="2" t="s">
        <v>1433</v>
      </c>
      <c r="B7423" s="2" t="s">
        <v>46</v>
      </c>
      <c r="C7423" s="2" t="s">
        <v>4086</v>
      </c>
      <c r="D7423" s="2"/>
      <c r="E7423" s="2"/>
      <c r="F7423" s="2"/>
      <c r="G7423" s="2"/>
      <c r="H7423" s="2" t="s">
        <v>668</v>
      </c>
    </row>
    <row r="7424" customFormat="false" ht="15" hidden="false" customHeight="false" outlineLevel="0" collapsed="false">
      <c r="A7424" s="2" t="s">
        <v>1433</v>
      </c>
      <c r="B7424" s="2" t="s">
        <v>46</v>
      </c>
      <c r="C7424" s="2" t="s">
        <v>4087</v>
      </c>
      <c r="D7424" s="11" t="n">
        <v>16602</v>
      </c>
      <c r="E7424" s="31" t="n">
        <v>90.7</v>
      </c>
      <c r="F7424" s="31" t="n">
        <v>18.7</v>
      </c>
      <c r="G7424" s="31" t="n">
        <v>33.7</v>
      </c>
      <c r="H7424" s="2" t="s">
        <v>671</v>
      </c>
    </row>
    <row r="7425" customFormat="false" ht="15" hidden="false" customHeight="false" outlineLevel="0" collapsed="false">
      <c r="A7425" s="2" t="s">
        <v>1433</v>
      </c>
      <c r="B7425" s="2" t="s">
        <v>47</v>
      </c>
      <c r="C7425" s="2" t="s">
        <v>4085</v>
      </c>
      <c r="D7425" s="2"/>
      <c r="E7425" s="2"/>
      <c r="F7425" s="2"/>
      <c r="G7425" s="31" t="n">
        <v>60.8</v>
      </c>
      <c r="H7425" s="2" t="s">
        <v>668</v>
      </c>
    </row>
    <row r="7426" customFormat="false" ht="15" hidden="false" customHeight="false" outlineLevel="0" collapsed="false">
      <c r="A7426" s="2" t="s">
        <v>1433</v>
      </c>
      <c r="B7426" s="2" t="s">
        <v>47</v>
      </c>
      <c r="C7426" s="2" t="s">
        <v>4086</v>
      </c>
      <c r="D7426" s="11" t="n">
        <v>10655</v>
      </c>
      <c r="E7426" s="31" t="n">
        <v>58.2</v>
      </c>
      <c r="F7426" s="31" t="n">
        <v>93.8</v>
      </c>
      <c r="G7426" s="31" t="n">
        <v>47.3</v>
      </c>
      <c r="H7426" s="2" t="s">
        <v>671</v>
      </c>
    </row>
    <row r="7427" customFormat="false" ht="15" hidden="false" customHeight="false" outlineLevel="0" collapsed="false">
      <c r="A7427" s="2" t="s">
        <v>1433</v>
      </c>
      <c r="B7427" s="2" t="s">
        <v>47</v>
      </c>
      <c r="C7427" s="2" t="s">
        <v>4087</v>
      </c>
      <c r="D7427" s="11" t="n">
        <v>11271</v>
      </c>
      <c r="E7427" s="31" t="n">
        <v>66.2</v>
      </c>
      <c r="F7427" s="31" t="n">
        <v>80.9</v>
      </c>
      <c r="G7427" s="31" t="n">
        <v>45.7</v>
      </c>
      <c r="H7427" s="2" t="s">
        <v>671</v>
      </c>
    </row>
    <row r="7428" customFormat="false" ht="15" hidden="false" customHeight="false" outlineLevel="0" collapsed="false">
      <c r="A7428" s="2" t="s">
        <v>768</v>
      </c>
      <c r="B7428" s="2" t="s">
        <v>4104</v>
      </c>
      <c r="C7428" s="2" t="s">
        <v>4085</v>
      </c>
      <c r="D7428" s="2"/>
      <c r="E7428" s="31" t="n">
        <v>30.5</v>
      </c>
      <c r="F7428" s="31" t="n">
        <v>77.9</v>
      </c>
      <c r="G7428" s="31" t="n">
        <v>68.2</v>
      </c>
      <c r="H7428" s="2" t="s">
        <v>671</v>
      </c>
    </row>
    <row r="7429" customFormat="false" ht="15" hidden="false" customHeight="false" outlineLevel="0" collapsed="false">
      <c r="A7429" s="2" t="s">
        <v>768</v>
      </c>
      <c r="B7429" s="2" t="s">
        <v>4104</v>
      </c>
      <c r="C7429" s="2" t="s">
        <v>4086</v>
      </c>
      <c r="D7429" s="2"/>
      <c r="E7429" s="31" t="n">
        <v>38.2</v>
      </c>
      <c r="F7429" s="31" t="n">
        <v>67.8</v>
      </c>
      <c r="G7429" s="31" t="n">
        <v>71.7</v>
      </c>
      <c r="H7429" s="2" t="s">
        <v>671</v>
      </c>
    </row>
    <row r="7430" customFormat="false" ht="15" hidden="false" customHeight="false" outlineLevel="0" collapsed="false">
      <c r="A7430" s="2" t="s">
        <v>768</v>
      </c>
      <c r="B7430" s="2" t="s">
        <v>4104</v>
      </c>
      <c r="C7430" s="2" t="s">
        <v>4087</v>
      </c>
      <c r="D7430" s="2"/>
      <c r="E7430" s="31" t="n">
        <v>55.3</v>
      </c>
      <c r="F7430" s="31" t="n">
        <v>66</v>
      </c>
      <c r="G7430" s="31" t="n">
        <v>59.8</v>
      </c>
      <c r="H7430" s="2" t="s">
        <v>668</v>
      </c>
    </row>
    <row r="7431" customFormat="false" ht="15" hidden="false" customHeight="false" outlineLevel="0" collapsed="false">
      <c r="A7431" s="2" t="s">
        <v>768</v>
      </c>
      <c r="B7431" s="2" t="s">
        <v>45</v>
      </c>
      <c r="C7431" s="2" t="s">
        <v>4085</v>
      </c>
      <c r="D7431" s="11" t="n">
        <v>116289</v>
      </c>
      <c r="E7431" s="31" t="n">
        <v>81.8</v>
      </c>
      <c r="F7431" s="31" t="n">
        <v>61.6</v>
      </c>
      <c r="G7431" s="31" t="n">
        <v>63.7</v>
      </c>
      <c r="H7431" s="2" t="s">
        <v>671</v>
      </c>
    </row>
    <row r="7432" customFormat="false" ht="15" hidden="false" customHeight="false" outlineLevel="0" collapsed="false">
      <c r="A7432" s="2" t="s">
        <v>768</v>
      </c>
      <c r="B7432" s="2" t="s">
        <v>45</v>
      </c>
      <c r="C7432" s="2" t="s">
        <v>4086</v>
      </c>
      <c r="D7432" s="11" t="n">
        <v>122520</v>
      </c>
      <c r="E7432" s="31" t="n">
        <v>80.9</v>
      </c>
      <c r="F7432" s="31" t="n">
        <v>38.6</v>
      </c>
      <c r="G7432" s="31" t="n">
        <v>88.1</v>
      </c>
      <c r="H7432" s="2" t="s">
        <v>671</v>
      </c>
    </row>
    <row r="7433" customFormat="false" ht="15" hidden="false" customHeight="false" outlineLevel="0" collapsed="false">
      <c r="A7433" s="2" t="s">
        <v>768</v>
      </c>
      <c r="B7433" s="2" t="s">
        <v>45</v>
      </c>
      <c r="C7433" s="2" t="s">
        <v>4087</v>
      </c>
      <c r="D7433" s="11" t="n">
        <v>126640</v>
      </c>
      <c r="E7433" s="31" t="n">
        <v>87.2</v>
      </c>
      <c r="F7433" s="31" t="n">
        <v>55.8</v>
      </c>
      <c r="G7433" s="31" t="n">
        <v>74.3</v>
      </c>
      <c r="H7433" s="2" t="s">
        <v>671</v>
      </c>
    </row>
    <row r="7434" customFormat="false" ht="15" hidden="false" customHeight="false" outlineLevel="0" collapsed="false">
      <c r="A7434" s="2" t="s">
        <v>768</v>
      </c>
      <c r="B7434" s="2" t="s">
        <v>46</v>
      </c>
      <c r="C7434" s="2" t="s">
        <v>4085</v>
      </c>
      <c r="D7434" s="11" t="n">
        <v>89280</v>
      </c>
      <c r="E7434" s="31" t="n">
        <v>0.8</v>
      </c>
      <c r="F7434" s="31" t="n">
        <v>95.5</v>
      </c>
      <c r="G7434" s="31" t="n">
        <v>87.2</v>
      </c>
      <c r="H7434" s="2" t="s">
        <v>671</v>
      </c>
    </row>
    <row r="7435" customFormat="false" ht="15" hidden="false" customHeight="false" outlineLevel="0" collapsed="false">
      <c r="A7435" s="2" t="s">
        <v>768</v>
      </c>
      <c r="B7435" s="2" t="s">
        <v>46</v>
      </c>
      <c r="C7435" s="2" t="s">
        <v>4086</v>
      </c>
      <c r="D7435" s="11" t="n">
        <v>99650</v>
      </c>
      <c r="E7435" s="31" t="n">
        <v>0.6</v>
      </c>
      <c r="F7435" s="31" t="n">
        <v>77.1</v>
      </c>
      <c r="G7435" s="31" t="n">
        <v>91.8</v>
      </c>
      <c r="H7435" s="2" t="s">
        <v>671</v>
      </c>
    </row>
    <row r="7436" customFormat="false" ht="15" hidden="false" customHeight="false" outlineLevel="0" collapsed="false">
      <c r="A7436" s="2" t="s">
        <v>768</v>
      </c>
      <c r="B7436" s="2" t="s">
        <v>46</v>
      </c>
      <c r="C7436" s="2" t="s">
        <v>4087</v>
      </c>
      <c r="D7436" s="2"/>
      <c r="E7436" s="2"/>
      <c r="F7436" s="2"/>
      <c r="G7436" s="2"/>
      <c r="H7436" s="2" t="s">
        <v>668</v>
      </c>
    </row>
    <row r="7437" customFormat="false" ht="15" hidden="false" customHeight="false" outlineLevel="0" collapsed="false">
      <c r="A7437" s="2" t="s">
        <v>768</v>
      </c>
      <c r="B7437" s="2" t="s">
        <v>47</v>
      </c>
      <c r="C7437" s="2" t="s">
        <v>4085</v>
      </c>
      <c r="D7437" s="11" t="n">
        <v>27230</v>
      </c>
      <c r="E7437" s="31" t="n">
        <v>8.8</v>
      </c>
      <c r="F7437" s="31" t="n">
        <v>76.5</v>
      </c>
      <c r="G7437" s="31" t="n">
        <v>53.6</v>
      </c>
      <c r="H7437" s="2" t="s">
        <v>671</v>
      </c>
    </row>
    <row r="7438" customFormat="false" ht="15" hidden="false" customHeight="false" outlineLevel="0" collapsed="false">
      <c r="A7438" s="2" t="s">
        <v>768</v>
      </c>
      <c r="B7438" s="2" t="s">
        <v>47</v>
      </c>
      <c r="C7438" s="2" t="s">
        <v>4086</v>
      </c>
      <c r="D7438" s="11" t="n">
        <v>29093</v>
      </c>
      <c r="E7438" s="31" t="n">
        <v>33.2</v>
      </c>
      <c r="F7438" s="31" t="n">
        <v>87.7</v>
      </c>
      <c r="G7438" s="31" t="n">
        <v>35.1</v>
      </c>
      <c r="H7438" s="2" t="s">
        <v>671</v>
      </c>
    </row>
    <row r="7439" customFormat="false" ht="15" hidden="false" customHeight="false" outlineLevel="0" collapsed="false">
      <c r="A7439" s="2" t="s">
        <v>768</v>
      </c>
      <c r="B7439" s="2" t="s">
        <v>47</v>
      </c>
      <c r="C7439" s="2" t="s">
        <v>4087</v>
      </c>
      <c r="D7439" s="11" t="n">
        <v>30114</v>
      </c>
      <c r="E7439" s="31" t="n">
        <v>23.4</v>
      </c>
      <c r="F7439" s="31" t="n">
        <v>76.2</v>
      </c>
      <c r="G7439" s="31" t="n">
        <v>45.3</v>
      </c>
      <c r="H7439" s="2" t="s">
        <v>671</v>
      </c>
    </row>
    <row r="7440" customFormat="false" ht="15" hidden="false" customHeight="false" outlineLevel="0" collapsed="false">
      <c r="A7440" s="2" t="s">
        <v>2507</v>
      </c>
      <c r="B7440" s="2" t="s">
        <v>4104</v>
      </c>
      <c r="C7440" s="2" t="s">
        <v>4085</v>
      </c>
      <c r="D7440" s="2"/>
      <c r="E7440" s="31" t="n">
        <v>35.3</v>
      </c>
      <c r="F7440" s="31" t="n">
        <v>66.1</v>
      </c>
      <c r="G7440" s="31" t="n">
        <v>40.2</v>
      </c>
      <c r="H7440" s="2" t="s">
        <v>668</v>
      </c>
    </row>
    <row r="7441" customFormat="false" ht="15" hidden="false" customHeight="false" outlineLevel="0" collapsed="false">
      <c r="A7441" s="2" t="s">
        <v>2507</v>
      </c>
      <c r="B7441" s="2" t="s">
        <v>4104</v>
      </c>
      <c r="C7441" s="2" t="s">
        <v>4086</v>
      </c>
      <c r="D7441" s="2"/>
      <c r="E7441" s="31" t="n">
        <v>32.3</v>
      </c>
      <c r="F7441" s="31" t="n">
        <v>67.3</v>
      </c>
      <c r="G7441" s="31" t="n">
        <v>43.8</v>
      </c>
      <c r="H7441" s="2" t="s">
        <v>668</v>
      </c>
    </row>
    <row r="7442" customFormat="false" ht="15" hidden="false" customHeight="false" outlineLevel="0" collapsed="false">
      <c r="A7442" s="2" t="s">
        <v>2507</v>
      </c>
      <c r="B7442" s="2" t="s">
        <v>4104</v>
      </c>
      <c r="C7442" s="2" t="s">
        <v>4087</v>
      </c>
      <c r="D7442" s="2"/>
      <c r="E7442" s="31" t="n">
        <v>30.2</v>
      </c>
      <c r="F7442" s="31" t="n">
        <v>82.1</v>
      </c>
      <c r="G7442" s="31" t="n">
        <v>47.4</v>
      </c>
      <c r="H7442" s="2" t="s">
        <v>668</v>
      </c>
    </row>
    <row r="7443" customFormat="false" ht="15" hidden="false" customHeight="false" outlineLevel="0" collapsed="false">
      <c r="A7443" s="2" t="s">
        <v>2507</v>
      </c>
      <c r="B7443" s="2" t="s">
        <v>45</v>
      </c>
      <c r="C7443" s="2" t="s">
        <v>4085</v>
      </c>
      <c r="D7443" s="11" t="n">
        <v>100530</v>
      </c>
      <c r="E7443" s="31" t="n">
        <v>22.9</v>
      </c>
      <c r="F7443" s="31" t="n">
        <v>33.6</v>
      </c>
      <c r="G7443" s="2"/>
      <c r="H7443" s="2" t="s">
        <v>668</v>
      </c>
    </row>
    <row r="7444" customFormat="false" ht="15" hidden="false" customHeight="false" outlineLevel="0" collapsed="false">
      <c r="A7444" s="2" t="s">
        <v>2507</v>
      </c>
      <c r="B7444" s="2" t="s">
        <v>45</v>
      </c>
      <c r="C7444" s="2" t="s">
        <v>4086</v>
      </c>
      <c r="D7444" s="11" t="n">
        <v>102830</v>
      </c>
      <c r="E7444" s="31" t="n">
        <v>22.1</v>
      </c>
      <c r="F7444" s="31" t="n">
        <v>25</v>
      </c>
      <c r="G7444" s="31" t="n">
        <v>7.5</v>
      </c>
      <c r="H7444" s="2" t="s">
        <v>671</v>
      </c>
    </row>
    <row r="7445" customFormat="false" ht="15" hidden="false" customHeight="false" outlineLevel="0" collapsed="false">
      <c r="A7445" s="2" t="s">
        <v>2507</v>
      </c>
      <c r="B7445" s="2" t="s">
        <v>45</v>
      </c>
      <c r="C7445" s="2" t="s">
        <v>4087</v>
      </c>
      <c r="D7445" s="11" t="n">
        <v>102747</v>
      </c>
      <c r="E7445" s="31" t="n">
        <v>7.1</v>
      </c>
      <c r="F7445" s="31" t="n">
        <v>68.8</v>
      </c>
      <c r="G7445" s="2"/>
      <c r="H7445" s="2" t="s">
        <v>668</v>
      </c>
    </row>
    <row r="7446" customFormat="false" ht="15" hidden="false" customHeight="false" outlineLevel="0" collapsed="false">
      <c r="A7446" s="2" t="s">
        <v>2507</v>
      </c>
      <c r="B7446" s="2" t="s">
        <v>46</v>
      </c>
      <c r="C7446" s="2" t="s">
        <v>4085</v>
      </c>
      <c r="D7446" s="11" t="n">
        <v>19160</v>
      </c>
      <c r="E7446" s="31" t="n">
        <v>59.5</v>
      </c>
      <c r="F7446" s="31" t="n">
        <v>96.3</v>
      </c>
      <c r="G7446" s="31" t="n">
        <v>53</v>
      </c>
      <c r="H7446" s="2" t="s">
        <v>671</v>
      </c>
    </row>
    <row r="7447" customFormat="false" ht="15" hidden="false" customHeight="false" outlineLevel="0" collapsed="false">
      <c r="A7447" s="2" t="s">
        <v>2507</v>
      </c>
      <c r="B7447" s="2" t="s">
        <v>46</v>
      </c>
      <c r="C7447" s="2" t="s">
        <v>4086</v>
      </c>
      <c r="D7447" s="11" t="n">
        <v>20900</v>
      </c>
      <c r="E7447" s="2"/>
      <c r="F7447" s="31" t="n">
        <v>98.9</v>
      </c>
      <c r="G7447" s="31" t="n">
        <v>55.4</v>
      </c>
      <c r="H7447" s="2" t="s">
        <v>668</v>
      </c>
    </row>
    <row r="7448" customFormat="false" ht="15" hidden="false" customHeight="false" outlineLevel="0" collapsed="false">
      <c r="A7448" s="2" t="s">
        <v>2507</v>
      </c>
      <c r="B7448" s="2" t="s">
        <v>46</v>
      </c>
      <c r="C7448" s="2" t="s">
        <v>4087</v>
      </c>
      <c r="D7448" s="11" t="n">
        <v>22405</v>
      </c>
      <c r="E7448" s="31" t="n">
        <v>57.7</v>
      </c>
      <c r="F7448" s="31" t="n">
        <v>99.2</v>
      </c>
      <c r="G7448" s="2"/>
      <c r="H7448" s="2" t="s">
        <v>668</v>
      </c>
    </row>
    <row r="7449" customFormat="false" ht="15" hidden="false" customHeight="false" outlineLevel="0" collapsed="false">
      <c r="A7449" s="2" t="s">
        <v>2507</v>
      </c>
      <c r="B7449" s="2" t="s">
        <v>47</v>
      </c>
      <c r="C7449" s="2" t="s">
        <v>4085</v>
      </c>
      <c r="D7449" s="11" t="n">
        <v>56730</v>
      </c>
      <c r="E7449" s="31" t="n">
        <v>23.5</v>
      </c>
      <c r="F7449" s="31" t="n">
        <v>68.3</v>
      </c>
      <c r="G7449" s="31" t="n">
        <v>27.5</v>
      </c>
      <c r="H7449" s="2" t="s">
        <v>671</v>
      </c>
    </row>
    <row r="7450" customFormat="false" ht="15" hidden="false" customHeight="false" outlineLevel="0" collapsed="false">
      <c r="A7450" s="2" t="s">
        <v>2507</v>
      </c>
      <c r="B7450" s="2" t="s">
        <v>47</v>
      </c>
      <c r="C7450" s="2" t="s">
        <v>4086</v>
      </c>
      <c r="D7450" s="11" t="n">
        <v>59650</v>
      </c>
      <c r="E7450" s="31" t="n">
        <v>42.5</v>
      </c>
      <c r="F7450" s="31" t="n">
        <v>77.9</v>
      </c>
      <c r="G7450" s="31" t="n">
        <v>68.6</v>
      </c>
      <c r="H7450" s="2" t="s">
        <v>671</v>
      </c>
    </row>
    <row r="7451" customFormat="false" ht="15" hidden="false" customHeight="false" outlineLevel="0" collapsed="false">
      <c r="A7451" s="2" t="s">
        <v>2507</v>
      </c>
      <c r="B7451" s="2" t="s">
        <v>47</v>
      </c>
      <c r="C7451" s="2" t="s">
        <v>4087</v>
      </c>
      <c r="D7451" s="11" t="n">
        <v>61947</v>
      </c>
      <c r="E7451" s="31" t="n">
        <v>25.9</v>
      </c>
      <c r="F7451" s="31" t="n">
        <v>78.4</v>
      </c>
      <c r="G7451" s="31" t="n">
        <v>47.4</v>
      </c>
      <c r="H7451" s="2" t="s">
        <v>671</v>
      </c>
    </row>
    <row r="7452" customFormat="false" ht="15" hidden="false" customHeight="false" outlineLevel="0" collapsed="false">
      <c r="A7452" s="2" t="s">
        <v>1884</v>
      </c>
      <c r="B7452" s="2" t="s">
        <v>4104</v>
      </c>
      <c r="C7452" s="2" t="s">
        <v>4085</v>
      </c>
      <c r="D7452" s="2"/>
      <c r="E7452" s="31" t="n">
        <v>16.4</v>
      </c>
      <c r="F7452" s="31" t="n">
        <v>77.2</v>
      </c>
      <c r="G7452" s="31" t="n">
        <v>20.3</v>
      </c>
      <c r="H7452" s="2" t="s">
        <v>668</v>
      </c>
    </row>
    <row r="7453" customFormat="false" ht="15" hidden="false" customHeight="false" outlineLevel="0" collapsed="false">
      <c r="A7453" s="2" t="s">
        <v>1884</v>
      </c>
      <c r="B7453" s="2" t="s">
        <v>4104</v>
      </c>
      <c r="C7453" s="2" t="s">
        <v>4086</v>
      </c>
      <c r="D7453" s="2"/>
      <c r="E7453" s="31" t="n">
        <v>21</v>
      </c>
      <c r="F7453" s="31" t="n">
        <v>80.6</v>
      </c>
      <c r="G7453" s="31" t="n">
        <v>51.8</v>
      </c>
      <c r="H7453" s="2" t="s">
        <v>671</v>
      </c>
    </row>
    <row r="7454" customFormat="false" ht="15" hidden="false" customHeight="false" outlineLevel="0" collapsed="false">
      <c r="A7454" s="2" t="s">
        <v>1884</v>
      </c>
      <c r="B7454" s="2" t="s">
        <v>4104</v>
      </c>
      <c r="C7454" s="2" t="s">
        <v>4087</v>
      </c>
      <c r="D7454" s="2"/>
      <c r="E7454" s="31" t="n">
        <v>15.9</v>
      </c>
      <c r="F7454" s="31" t="n">
        <v>85.9</v>
      </c>
      <c r="G7454" s="31" t="n">
        <v>98.2</v>
      </c>
      <c r="H7454" s="2" t="s">
        <v>668</v>
      </c>
    </row>
    <row r="7455" customFormat="false" ht="15" hidden="false" customHeight="false" outlineLevel="0" collapsed="false">
      <c r="A7455" s="2" t="s">
        <v>1884</v>
      </c>
      <c r="B7455" s="2" t="s">
        <v>46</v>
      </c>
      <c r="C7455" s="2" t="s">
        <v>4085</v>
      </c>
      <c r="D7455" s="11" t="n">
        <v>26120</v>
      </c>
      <c r="E7455" s="2"/>
      <c r="F7455" s="31" t="n">
        <v>69.7</v>
      </c>
      <c r="G7455" s="2"/>
      <c r="H7455" s="2" t="s">
        <v>668</v>
      </c>
    </row>
    <row r="7456" customFormat="false" ht="15" hidden="false" customHeight="false" outlineLevel="0" collapsed="false">
      <c r="A7456" s="2" t="s">
        <v>1884</v>
      </c>
      <c r="B7456" s="2" t="s">
        <v>46</v>
      </c>
      <c r="C7456" s="2" t="s">
        <v>4086</v>
      </c>
      <c r="D7456" s="11" t="n">
        <v>27500</v>
      </c>
      <c r="E7456" s="31" t="n">
        <v>11.6</v>
      </c>
      <c r="F7456" s="31" t="n">
        <v>82.5</v>
      </c>
      <c r="G7456" s="31" t="n">
        <v>79.2</v>
      </c>
      <c r="H7456" s="2" t="s">
        <v>671</v>
      </c>
    </row>
    <row r="7457" customFormat="false" ht="15" hidden="false" customHeight="false" outlineLevel="0" collapsed="false">
      <c r="A7457" s="2" t="s">
        <v>1884</v>
      </c>
      <c r="B7457" s="2" t="s">
        <v>46</v>
      </c>
      <c r="C7457" s="2" t="s">
        <v>4087</v>
      </c>
      <c r="D7457" s="11" t="n">
        <v>29096</v>
      </c>
      <c r="E7457" s="31" t="n">
        <v>15.9</v>
      </c>
      <c r="F7457" s="31" t="n">
        <v>85.9</v>
      </c>
      <c r="G7457" s="31" t="n">
        <v>98.2</v>
      </c>
      <c r="H7457" s="2" t="s">
        <v>671</v>
      </c>
    </row>
    <row r="7458" customFormat="false" ht="15" hidden="false" customHeight="false" outlineLevel="0" collapsed="false">
      <c r="A7458" s="2" t="s">
        <v>1884</v>
      </c>
      <c r="B7458" s="2" t="s">
        <v>47</v>
      </c>
      <c r="C7458" s="2" t="s">
        <v>4085</v>
      </c>
      <c r="D7458" s="11" t="n">
        <v>27280</v>
      </c>
      <c r="E7458" s="31" t="n">
        <v>16.4</v>
      </c>
      <c r="F7458" s="31" t="n">
        <v>84.6</v>
      </c>
      <c r="G7458" s="31" t="n">
        <v>20.3</v>
      </c>
      <c r="H7458" s="2" t="s">
        <v>671</v>
      </c>
    </row>
    <row r="7459" customFormat="false" ht="15" hidden="false" customHeight="false" outlineLevel="0" collapsed="false">
      <c r="A7459" s="2" t="s">
        <v>1884</v>
      </c>
      <c r="B7459" s="2" t="s">
        <v>47</v>
      </c>
      <c r="C7459" s="2" t="s">
        <v>4086</v>
      </c>
      <c r="D7459" s="11" t="n">
        <v>28400</v>
      </c>
      <c r="E7459" s="31" t="n">
        <v>30.5</v>
      </c>
      <c r="F7459" s="31" t="n">
        <v>78.6</v>
      </c>
      <c r="G7459" s="31" t="n">
        <v>24.4</v>
      </c>
      <c r="H7459" s="2" t="s">
        <v>671</v>
      </c>
    </row>
    <row r="7460" customFormat="false" ht="15" hidden="false" customHeight="false" outlineLevel="0" collapsed="false">
      <c r="A7460" s="2" t="s">
        <v>1884</v>
      </c>
      <c r="B7460" s="2" t="s">
        <v>47</v>
      </c>
      <c r="C7460" s="2" t="s">
        <v>4087</v>
      </c>
      <c r="D7460" s="2"/>
      <c r="E7460" s="2"/>
      <c r="F7460" s="2"/>
      <c r="G7460" s="2"/>
      <c r="H7460" s="2" t="s">
        <v>668</v>
      </c>
    </row>
    <row r="7461" customFormat="false" ht="15" hidden="false" customHeight="false" outlineLevel="0" collapsed="false">
      <c r="A7461" s="2" t="s">
        <v>1445</v>
      </c>
      <c r="B7461" s="2" t="s">
        <v>4104</v>
      </c>
      <c r="C7461" s="2" t="s">
        <v>4085</v>
      </c>
      <c r="D7461" s="2"/>
      <c r="E7461" s="31" t="n">
        <v>98.3</v>
      </c>
      <c r="F7461" s="2"/>
      <c r="G7461" s="31" t="n">
        <v>9.3</v>
      </c>
      <c r="H7461" s="2" t="s">
        <v>668</v>
      </c>
    </row>
    <row r="7462" customFormat="false" ht="15" hidden="false" customHeight="false" outlineLevel="0" collapsed="false">
      <c r="A7462" s="2" t="s">
        <v>1445</v>
      </c>
      <c r="B7462" s="2" t="s">
        <v>4104</v>
      </c>
      <c r="C7462" s="2" t="s">
        <v>4086</v>
      </c>
      <c r="D7462" s="2"/>
      <c r="E7462" s="31" t="n">
        <v>95.8</v>
      </c>
      <c r="F7462" s="31" t="n">
        <v>9.6</v>
      </c>
      <c r="G7462" s="31" t="n">
        <v>21</v>
      </c>
      <c r="H7462" s="2" t="s">
        <v>668</v>
      </c>
    </row>
    <row r="7463" customFormat="false" ht="15" hidden="false" customHeight="false" outlineLevel="0" collapsed="false">
      <c r="A7463" s="2" t="s">
        <v>1445</v>
      </c>
      <c r="B7463" s="2" t="s">
        <v>4104</v>
      </c>
      <c r="C7463" s="2" t="s">
        <v>4087</v>
      </c>
      <c r="D7463" s="2"/>
      <c r="E7463" s="31" t="n">
        <v>91.7</v>
      </c>
      <c r="F7463" s="31" t="n">
        <v>89.2</v>
      </c>
      <c r="G7463" s="31" t="n">
        <v>66.6</v>
      </c>
      <c r="H7463" s="2" t="s">
        <v>668</v>
      </c>
    </row>
    <row r="7464" customFormat="false" ht="15" hidden="false" customHeight="false" outlineLevel="0" collapsed="false">
      <c r="A7464" s="2" t="s">
        <v>1445</v>
      </c>
      <c r="B7464" s="2" t="s">
        <v>45</v>
      </c>
      <c r="C7464" s="2" t="s">
        <v>4085</v>
      </c>
      <c r="D7464" s="11" t="n">
        <v>19420</v>
      </c>
      <c r="E7464" s="31" t="n">
        <v>98.3</v>
      </c>
      <c r="F7464" s="2"/>
      <c r="G7464" s="31" t="n">
        <v>9.3</v>
      </c>
      <c r="H7464" s="2" t="s">
        <v>668</v>
      </c>
    </row>
    <row r="7465" customFormat="false" ht="15" hidden="false" customHeight="false" outlineLevel="0" collapsed="false">
      <c r="A7465" s="2" t="s">
        <v>1445</v>
      </c>
      <c r="B7465" s="2" t="s">
        <v>45</v>
      </c>
      <c r="C7465" s="2" t="s">
        <v>4086</v>
      </c>
      <c r="D7465" s="11" t="n">
        <v>19679</v>
      </c>
      <c r="E7465" s="31" t="n">
        <v>95.8</v>
      </c>
      <c r="F7465" s="31" t="n">
        <v>9.6</v>
      </c>
      <c r="G7465" s="31" t="n">
        <v>21</v>
      </c>
      <c r="H7465" s="2" t="s">
        <v>671</v>
      </c>
    </row>
    <row r="7466" customFormat="false" ht="15" hidden="false" customHeight="false" outlineLevel="0" collapsed="false">
      <c r="A7466" s="2" t="s">
        <v>1445</v>
      </c>
      <c r="B7466" s="2" t="s">
        <v>45</v>
      </c>
      <c r="C7466" s="2" t="s">
        <v>4087</v>
      </c>
      <c r="D7466" s="11" t="n">
        <v>19560</v>
      </c>
      <c r="E7466" s="31" t="n">
        <v>94</v>
      </c>
      <c r="F7466" s="2"/>
      <c r="G7466" s="2"/>
      <c r="H7466" s="2" t="s">
        <v>668</v>
      </c>
    </row>
    <row r="7467" customFormat="false" ht="15" hidden="false" customHeight="false" outlineLevel="0" collapsed="false">
      <c r="A7467" s="2" t="s">
        <v>1445</v>
      </c>
      <c r="B7467" s="2" t="s">
        <v>46</v>
      </c>
      <c r="C7467" s="2" t="s">
        <v>4085</v>
      </c>
      <c r="D7467" s="2"/>
      <c r="E7467" s="2"/>
      <c r="F7467" s="2"/>
      <c r="G7467" s="2"/>
      <c r="H7467" s="2" t="s">
        <v>668</v>
      </c>
    </row>
    <row r="7468" customFormat="false" ht="15" hidden="false" customHeight="false" outlineLevel="0" collapsed="false">
      <c r="A7468" s="2" t="s">
        <v>1445</v>
      </c>
      <c r="B7468" s="2" t="s">
        <v>46</v>
      </c>
      <c r="C7468" s="2" t="s">
        <v>4086</v>
      </c>
      <c r="D7468" s="2"/>
      <c r="E7468" s="2"/>
      <c r="F7468" s="2"/>
      <c r="G7468" s="2"/>
      <c r="H7468" s="2" t="s">
        <v>668</v>
      </c>
    </row>
    <row r="7469" customFormat="false" ht="15" hidden="false" customHeight="false" outlineLevel="0" collapsed="false">
      <c r="A7469" s="2" t="s">
        <v>1445</v>
      </c>
      <c r="B7469" s="2" t="s">
        <v>46</v>
      </c>
      <c r="C7469" s="2" t="s">
        <v>4087</v>
      </c>
      <c r="D7469" s="11" t="n">
        <v>12310</v>
      </c>
      <c r="E7469" s="31" t="n">
        <v>89.4</v>
      </c>
      <c r="F7469" s="31" t="n">
        <v>89.2</v>
      </c>
      <c r="G7469" s="31" t="n">
        <v>66.6</v>
      </c>
      <c r="H7469" s="2" t="s">
        <v>671</v>
      </c>
    </row>
    <row r="7470" customFormat="false" ht="15" hidden="false" customHeight="false" outlineLevel="0" collapsed="false">
      <c r="A7470" s="2" t="s">
        <v>3159</v>
      </c>
      <c r="B7470" s="2" t="s">
        <v>4104</v>
      </c>
      <c r="C7470" s="2" t="s">
        <v>4087</v>
      </c>
      <c r="D7470" s="2"/>
      <c r="E7470" s="31" t="n">
        <v>60.5</v>
      </c>
      <c r="F7470" s="31" t="n">
        <v>44.8</v>
      </c>
      <c r="G7470" s="2"/>
      <c r="H7470" s="2" t="s">
        <v>668</v>
      </c>
    </row>
    <row r="7471" customFormat="false" ht="15" hidden="false" customHeight="false" outlineLevel="0" collapsed="false">
      <c r="A7471" s="2" t="s">
        <v>3159</v>
      </c>
      <c r="B7471" s="2" t="s">
        <v>46</v>
      </c>
      <c r="C7471" s="2" t="s">
        <v>4087</v>
      </c>
      <c r="D7471" s="11" t="n">
        <v>14880</v>
      </c>
      <c r="E7471" s="31" t="n">
        <v>60.5</v>
      </c>
      <c r="F7471" s="31" t="n">
        <v>44.8</v>
      </c>
      <c r="G7471" s="2"/>
      <c r="H7471" s="2" t="s">
        <v>668</v>
      </c>
    </row>
    <row r="7472" customFormat="false" ht="15" hidden="false" customHeight="false" outlineLevel="0" collapsed="false">
      <c r="A7472" s="2" t="s">
        <v>1220</v>
      </c>
      <c r="B7472" s="2" t="s">
        <v>4104</v>
      </c>
      <c r="C7472" s="2" t="s">
        <v>4085</v>
      </c>
      <c r="D7472" s="2"/>
      <c r="E7472" s="31" t="n">
        <v>54.7</v>
      </c>
      <c r="F7472" s="31" t="n">
        <v>67.8</v>
      </c>
      <c r="G7472" s="31" t="n">
        <v>73.2</v>
      </c>
      <c r="H7472" s="2" t="s">
        <v>668</v>
      </c>
    </row>
    <row r="7473" customFormat="false" ht="15" hidden="false" customHeight="false" outlineLevel="0" collapsed="false">
      <c r="A7473" s="2" t="s">
        <v>1220</v>
      </c>
      <c r="B7473" s="2" t="s">
        <v>4104</v>
      </c>
      <c r="C7473" s="2" t="s">
        <v>4086</v>
      </c>
      <c r="D7473" s="2"/>
      <c r="E7473" s="31" t="n">
        <v>60.6</v>
      </c>
      <c r="F7473" s="31" t="n">
        <v>62.5</v>
      </c>
      <c r="G7473" s="31" t="n">
        <v>46.9</v>
      </c>
      <c r="H7473" s="2" t="s">
        <v>668</v>
      </c>
    </row>
    <row r="7474" customFormat="false" ht="15" hidden="false" customHeight="false" outlineLevel="0" collapsed="false">
      <c r="A7474" s="2" t="s">
        <v>1220</v>
      </c>
      <c r="B7474" s="2" t="s">
        <v>4104</v>
      </c>
      <c r="C7474" s="2" t="s">
        <v>4087</v>
      </c>
      <c r="D7474" s="2"/>
      <c r="E7474" s="31" t="n">
        <v>60.6</v>
      </c>
      <c r="F7474" s="31" t="n">
        <v>45.2</v>
      </c>
      <c r="G7474" s="31" t="n">
        <v>83.8</v>
      </c>
      <c r="H7474" s="2" t="s">
        <v>668</v>
      </c>
    </row>
    <row r="7475" customFormat="false" ht="15" hidden="false" customHeight="false" outlineLevel="0" collapsed="false">
      <c r="A7475" s="2" t="s">
        <v>1220</v>
      </c>
      <c r="B7475" s="2" t="s">
        <v>45</v>
      </c>
      <c r="C7475" s="2" t="s">
        <v>4085</v>
      </c>
      <c r="D7475" s="11" t="n">
        <v>19986</v>
      </c>
      <c r="E7475" s="31" t="n">
        <v>32.4</v>
      </c>
      <c r="F7475" s="31" t="n">
        <v>75.2</v>
      </c>
      <c r="G7475" s="31" t="n">
        <v>62.2</v>
      </c>
      <c r="H7475" s="2" t="s">
        <v>671</v>
      </c>
    </row>
    <row r="7476" customFormat="false" ht="15" hidden="false" customHeight="false" outlineLevel="0" collapsed="false">
      <c r="A7476" s="2" t="s">
        <v>1220</v>
      </c>
      <c r="B7476" s="2" t="s">
        <v>45</v>
      </c>
      <c r="C7476" s="2" t="s">
        <v>4086</v>
      </c>
      <c r="D7476" s="11" t="n">
        <v>20340</v>
      </c>
      <c r="E7476" s="2"/>
      <c r="F7476" s="31" t="n">
        <v>67</v>
      </c>
      <c r="G7476" s="31" t="n">
        <v>68.8</v>
      </c>
      <c r="H7476" s="2" t="s">
        <v>668</v>
      </c>
    </row>
    <row r="7477" customFormat="false" ht="15" hidden="false" customHeight="false" outlineLevel="0" collapsed="false">
      <c r="A7477" s="2" t="s">
        <v>1220</v>
      </c>
      <c r="B7477" s="2" t="s">
        <v>45</v>
      </c>
      <c r="C7477" s="2" t="s">
        <v>4087</v>
      </c>
      <c r="D7477" s="11" t="n">
        <v>21640</v>
      </c>
      <c r="E7477" s="31" t="n">
        <v>25.2</v>
      </c>
      <c r="F7477" s="31" t="n">
        <v>60.3</v>
      </c>
      <c r="G7477" s="31" t="n">
        <v>74</v>
      </c>
      <c r="H7477" s="2" t="s">
        <v>671</v>
      </c>
    </row>
    <row r="7478" customFormat="false" ht="15" hidden="false" customHeight="false" outlineLevel="0" collapsed="false">
      <c r="A7478" s="2" t="s">
        <v>1220</v>
      </c>
      <c r="B7478" s="2" t="s">
        <v>46</v>
      </c>
      <c r="C7478" s="2" t="s">
        <v>4085</v>
      </c>
      <c r="D7478" s="11" t="n">
        <v>111710</v>
      </c>
      <c r="E7478" s="31" t="n">
        <v>40.9</v>
      </c>
      <c r="F7478" s="31" t="n">
        <v>82.1</v>
      </c>
      <c r="G7478" s="2"/>
      <c r="H7478" s="2" t="s">
        <v>668</v>
      </c>
    </row>
    <row r="7479" customFormat="false" ht="15" hidden="false" customHeight="false" outlineLevel="0" collapsed="false">
      <c r="A7479" s="2" t="s">
        <v>1220</v>
      </c>
      <c r="B7479" s="2" t="s">
        <v>46</v>
      </c>
      <c r="C7479" s="2" t="s">
        <v>4086</v>
      </c>
      <c r="D7479" s="11" t="n">
        <v>116717</v>
      </c>
      <c r="E7479" s="31" t="n">
        <v>23.4</v>
      </c>
      <c r="F7479" s="31" t="n">
        <v>77.7</v>
      </c>
      <c r="G7479" s="31" t="n">
        <v>0.7</v>
      </c>
      <c r="H7479" s="2" t="s">
        <v>671</v>
      </c>
    </row>
    <row r="7480" customFormat="false" ht="15" hidden="false" customHeight="false" outlineLevel="0" collapsed="false">
      <c r="A7480" s="2" t="s">
        <v>1220</v>
      </c>
      <c r="B7480" s="2" t="s">
        <v>46</v>
      </c>
      <c r="C7480" s="2" t="s">
        <v>4087</v>
      </c>
      <c r="D7480" s="2"/>
      <c r="E7480" s="2"/>
      <c r="F7480" s="2"/>
      <c r="G7480" s="2"/>
      <c r="H7480" s="2" t="s">
        <v>668</v>
      </c>
    </row>
    <row r="7481" customFormat="false" ht="15" hidden="false" customHeight="false" outlineLevel="0" collapsed="false">
      <c r="A7481" s="2" t="s">
        <v>1220</v>
      </c>
      <c r="B7481" s="2" t="s">
        <v>47</v>
      </c>
      <c r="C7481" s="2" t="s">
        <v>4085</v>
      </c>
      <c r="D7481" s="11" t="n">
        <v>1681391</v>
      </c>
      <c r="E7481" s="31" t="n">
        <v>90.7</v>
      </c>
      <c r="F7481" s="31" t="n">
        <v>46.2</v>
      </c>
      <c r="G7481" s="31" t="n">
        <v>84.1</v>
      </c>
      <c r="H7481" s="2" t="s">
        <v>671</v>
      </c>
    </row>
    <row r="7482" customFormat="false" ht="15" hidden="false" customHeight="false" outlineLevel="0" collapsed="false">
      <c r="A7482" s="2" t="s">
        <v>1220</v>
      </c>
      <c r="B7482" s="2" t="s">
        <v>47</v>
      </c>
      <c r="C7482" s="2" t="s">
        <v>4086</v>
      </c>
      <c r="D7482" s="11" t="n">
        <v>1704557</v>
      </c>
      <c r="E7482" s="31" t="n">
        <v>97.7</v>
      </c>
      <c r="F7482" s="31" t="n">
        <v>42.9</v>
      </c>
      <c r="G7482" s="31" t="n">
        <v>71.1</v>
      </c>
      <c r="H7482" s="2" t="s">
        <v>671</v>
      </c>
    </row>
    <row r="7483" customFormat="false" ht="15" hidden="false" customHeight="false" outlineLevel="0" collapsed="false">
      <c r="A7483" s="2" t="s">
        <v>1220</v>
      </c>
      <c r="B7483" s="2" t="s">
        <v>47</v>
      </c>
      <c r="C7483" s="2" t="s">
        <v>4087</v>
      </c>
      <c r="D7483" s="11" t="n">
        <v>1722778</v>
      </c>
      <c r="E7483" s="31" t="n">
        <v>96</v>
      </c>
      <c r="F7483" s="31" t="n">
        <v>30</v>
      </c>
      <c r="G7483" s="31" t="n">
        <v>93.5</v>
      </c>
      <c r="H7483" s="2" t="s">
        <v>671</v>
      </c>
    </row>
    <row r="7484" customFormat="false" ht="15" hidden="false" customHeight="false" outlineLevel="0" collapsed="false">
      <c r="A7484" s="2" t="s">
        <v>818</v>
      </c>
      <c r="B7484" s="2" t="s">
        <v>4104</v>
      </c>
      <c r="C7484" s="2" t="s">
        <v>4085</v>
      </c>
      <c r="D7484" s="2"/>
      <c r="E7484" s="31" t="n">
        <v>50.7</v>
      </c>
      <c r="F7484" s="31" t="n">
        <v>58.1</v>
      </c>
      <c r="G7484" s="31" t="n">
        <v>41</v>
      </c>
      <c r="H7484" s="2" t="s">
        <v>671</v>
      </c>
    </row>
    <row r="7485" customFormat="false" ht="15" hidden="false" customHeight="false" outlineLevel="0" collapsed="false">
      <c r="A7485" s="2" t="s">
        <v>818</v>
      </c>
      <c r="B7485" s="2" t="s">
        <v>4104</v>
      </c>
      <c r="C7485" s="2" t="s">
        <v>4086</v>
      </c>
      <c r="D7485" s="2"/>
      <c r="E7485" s="31" t="n">
        <v>51.4</v>
      </c>
      <c r="F7485" s="31" t="n">
        <v>49.5</v>
      </c>
      <c r="G7485" s="31" t="n">
        <v>40.5</v>
      </c>
      <c r="H7485" s="2" t="s">
        <v>671</v>
      </c>
    </row>
    <row r="7486" customFormat="false" ht="15" hidden="false" customHeight="false" outlineLevel="0" collapsed="false">
      <c r="A7486" s="2" t="s">
        <v>818</v>
      </c>
      <c r="B7486" s="2" t="s">
        <v>4104</v>
      </c>
      <c r="C7486" s="2" t="s">
        <v>4087</v>
      </c>
      <c r="D7486" s="2"/>
      <c r="E7486" s="31" t="n">
        <v>68</v>
      </c>
      <c r="F7486" s="31" t="n">
        <v>81.2</v>
      </c>
      <c r="G7486" s="31" t="n">
        <v>26.6</v>
      </c>
      <c r="H7486" s="2" t="s">
        <v>668</v>
      </c>
    </row>
    <row r="7487" customFormat="false" ht="15" hidden="false" customHeight="false" outlineLevel="0" collapsed="false">
      <c r="A7487" s="2" t="s">
        <v>818</v>
      </c>
      <c r="B7487" s="2" t="s">
        <v>45</v>
      </c>
      <c r="C7487" s="2" t="s">
        <v>4085</v>
      </c>
      <c r="D7487" s="11" t="n">
        <v>86910</v>
      </c>
      <c r="E7487" s="31" t="n">
        <v>89</v>
      </c>
      <c r="F7487" s="31" t="n">
        <v>61.3</v>
      </c>
      <c r="G7487" s="31" t="n">
        <v>23.7</v>
      </c>
      <c r="H7487" s="2" t="s">
        <v>671</v>
      </c>
    </row>
    <row r="7488" customFormat="false" ht="15" hidden="false" customHeight="false" outlineLevel="0" collapsed="false">
      <c r="A7488" s="2" t="s">
        <v>818</v>
      </c>
      <c r="B7488" s="2" t="s">
        <v>45</v>
      </c>
      <c r="C7488" s="2" t="s">
        <v>4086</v>
      </c>
      <c r="D7488" s="11" t="n">
        <v>90300</v>
      </c>
      <c r="E7488" s="31" t="n">
        <v>90.2</v>
      </c>
      <c r="F7488" s="31" t="n">
        <v>48.5</v>
      </c>
      <c r="G7488" s="31" t="n">
        <v>51.7</v>
      </c>
      <c r="H7488" s="2" t="s">
        <v>671</v>
      </c>
    </row>
    <row r="7489" customFormat="false" ht="15" hidden="false" customHeight="false" outlineLevel="0" collapsed="false">
      <c r="A7489" s="2" t="s">
        <v>818</v>
      </c>
      <c r="B7489" s="2" t="s">
        <v>45</v>
      </c>
      <c r="C7489" s="2" t="s">
        <v>4087</v>
      </c>
      <c r="D7489" s="11" t="n">
        <v>95770</v>
      </c>
      <c r="E7489" s="31" t="n">
        <v>81</v>
      </c>
      <c r="F7489" s="31" t="n">
        <v>63.1</v>
      </c>
      <c r="G7489" s="31" t="n">
        <v>25.4</v>
      </c>
      <c r="H7489" s="2" t="s">
        <v>671</v>
      </c>
    </row>
    <row r="7490" customFormat="false" ht="15" hidden="false" customHeight="false" outlineLevel="0" collapsed="false">
      <c r="A7490" s="2" t="s">
        <v>818</v>
      </c>
      <c r="B7490" s="2" t="s">
        <v>46</v>
      </c>
      <c r="C7490" s="2" t="s">
        <v>4085</v>
      </c>
      <c r="D7490" s="11" t="n">
        <v>263434</v>
      </c>
      <c r="E7490" s="31" t="n">
        <v>5.3</v>
      </c>
      <c r="F7490" s="31" t="n">
        <v>14.1</v>
      </c>
      <c r="G7490" s="31" t="n">
        <v>66.9</v>
      </c>
      <c r="H7490" s="2" t="s">
        <v>671</v>
      </c>
    </row>
    <row r="7491" customFormat="false" ht="15" hidden="false" customHeight="false" outlineLevel="0" collapsed="false">
      <c r="A7491" s="2" t="s">
        <v>818</v>
      </c>
      <c r="B7491" s="2" t="s">
        <v>46</v>
      </c>
      <c r="C7491" s="2" t="s">
        <v>4086</v>
      </c>
      <c r="D7491" s="11" t="n">
        <v>257950</v>
      </c>
      <c r="E7491" s="31" t="n">
        <v>7.7</v>
      </c>
      <c r="F7491" s="31" t="n">
        <v>2.5</v>
      </c>
      <c r="G7491" s="31" t="n">
        <v>13.2</v>
      </c>
      <c r="H7491" s="2" t="s">
        <v>671</v>
      </c>
    </row>
    <row r="7492" customFormat="false" ht="15" hidden="false" customHeight="false" outlineLevel="0" collapsed="false">
      <c r="A7492" s="2" t="s">
        <v>818</v>
      </c>
      <c r="B7492" s="2" t="s">
        <v>46</v>
      </c>
      <c r="C7492" s="2" t="s">
        <v>4087</v>
      </c>
      <c r="D7492" s="2"/>
      <c r="E7492" s="2"/>
      <c r="F7492" s="2"/>
      <c r="G7492" s="2"/>
      <c r="H7492" s="2" t="s">
        <v>668</v>
      </c>
    </row>
    <row r="7493" customFormat="false" ht="15" hidden="false" customHeight="false" outlineLevel="0" collapsed="false">
      <c r="A7493" s="2" t="s">
        <v>818</v>
      </c>
      <c r="B7493" s="2" t="s">
        <v>47</v>
      </c>
      <c r="C7493" s="2" t="s">
        <v>4085</v>
      </c>
      <c r="D7493" s="11" t="n">
        <v>35666</v>
      </c>
      <c r="E7493" s="31" t="n">
        <v>57.8</v>
      </c>
      <c r="F7493" s="31" t="n">
        <v>99</v>
      </c>
      <c r="G7493" s="31" t="n">
        <v>32.5</v>
      </c>
      <c r="H7493" s="2" t="s">
        <v>671</v>
      </c>
    </row>
    <row r="7494" customFormat="false" ht="15" hidden="false" customHeight="false" outlineLevel="0" collapsed="false">
      <c r="A7494" s="2" t="s">
        <v>818</v>
      </c>
      <c r="B7494" s="2" t="s">
        <v>47</v>
      </c>
      <c r="C7494" s="2" t="s">
        <v>4086</v>
      </c>
      <c r="D7494" s="11" t="n">
        <v>38470</v>
      </c>
      <c r="E7494" s="31" t="n">
        <v>56.4</v>
      </c>
      <c r="F7494" s="31" t="n">
        <v>97.4</v>
      </c>
      <c r="G7494" s="31" t="n">
        <v>56.5</v>
      </c>
      <c r="H7494" s="2" t="s">
        <v>671</v>
      </c>
    </row>
    <row r="7495" customFormat="false" ht="15" hidden="false" customHeight="false" outlineLevel="0" collapsed="false">
      <c r="A7495" s="2" t="s">
        <v>818</v>
      </c>
      <c r="B7495" s="2" t="s">
        <v>47</v>
      </c>
      <c r="C7495" s="2" t="s">
        <v>4087</v>
      </c>
      <c r="D7495" s="11" t="n">
        <v>40776</v>
      </c>
      <c r="E7495" s="31" t="n">
        <v>55.1</v>
      </c>
      <c r="F7495" s="31" t="n">
        <v>99.3</v>
      </c>
      <c r="G7495" s="31" t="n">
        <v>27.8</v>
      </c>
      <c r="H7495" s="2" t="s">
        <v>671</v>
      </c>
    </row>
    <row r="7496" customFormat="false" ht="15" hidden="false" customHeight="false" outlineLevel="0" collapsed="false">
      <c r="A7496" s="2" t="s">
        <v>1313</v>
      </c>
      <c r="B7496" s="2" t="s">
        <v>4104</v>
      </c>
      <c r="C7496" s="2" t="s">
        <v>4085</v>
      </c>
      <c r="D7496" s="2"/>
      <c r="E7496" s="31" t="n">
        <v>40.7</v>
      </c>
      <c r="F7496" s="31" t="n">
        <v>27.1</v>
      </c>
      <c r="G7496" s="31" t="n">
        <v>50.5</v>
      </c>
      <c r="H7496" s="2" t="s">
        <v>668</v>
      </c>
    </row>
    <row r="7497" customFormat="false" ht="15" hidden="false" customHeight="false" outlineLevel="0" collapsed="false">
      <c r="A7497" s="2" t="s">
        <v>1313</v>
      </c>
      <c r="B7497" s="2" t="s">
        <v>4104</v>
      </c>
      <c r="C7497" s="2" t="s">
        <v>4086</v>
      </c>
      <c r="D7497" s="2"/>
      <c r="E7497" s="31" t="n">
        <v>53.6</v>
      </c>
      <c r="F7497" s="31" t="n">
        <v>20.1</v>
      </c>
      <c r="G7497" s="31" t="n">
        <v>40.9</v>
      </c>
      <c r="H7497" s="2" t="s">
        <v>671</v>
      </c>
    </row>
    <row r="7498" customFormat="false" ht="15" hidden="false" customHeight="false" outlineLevel="0" collapsed="false">
      <c r="A7498" s="2" t="s">
        <v>1313</v>
      </c>
      <c r="B7498" s="2" t="s">
        <v>4104</v>
      </c>
      <c r="C7498" s="2" t="s">
        <v>4087</v>
      </c>
      <c r="D7498" s="2"/>
      <c r="E7498" s="31" t="n">
        <v>24.2</v>
      </c>
      <c r="F7498" s="31" t="n">
        <v>37.2</v>
      </c>
      <c r="G7498" s="31" t="n">
        <v>56.5</v>
      </c>
      <c r="H7498" s="2" t="s">
        <v>668</v>
      </c>
    </row>
    <row r="7499" customFormat="false" ht="15" hidden="false" customHeight="false" outlineLevel="0" collapsed="false">
      <c r="A7499" s="2" t="s">
        <v>1313</v>
      </c>
      <c r="B7499" s="2" t="s">
        <v>45</v>
      </c>
      <c r="C7499" s="2" t="s">
        <v>4085</v>
      </c>
      <c r="D7499" s="11" t="n">
        <v>229678</v>
      </c>
      <c r="E7499" s="31" t="n">
        <v>7.6</v>
      </c>
      <c r="F7499" s="31" t="n">
        <v>2.1</v>
      </c>
      <c r="G7499" s="2"/>
      <c r="H7499" s="2" t="s">
        <v>668</v>
      </c>
    </row>
    <row r="7500" customFormat="false" ht="15" hidden="false" customHeight="false" outlineLevel="0" collapsed="false">
      <c r="A7500" s="2" t="s">
        <v>1313</v>
      </c>
      <c r="B7500" s="2" t="s">
        <v>45</v>
      </c>
      <c r="C7500" s="2" t="s">
        <v>4086</v>
      </c>
      <c r="D7500" s="11" t="n">
        <v>226611</v>
      </c>
      <c r="E7500" s="31" t="n">
        <v>12.3</v>
      </c>
      <c r="F7500" s="31" t="n">
        <v>0.7</v>
      </c>
      <c r="G7500" s="31" t="n">
        <v>26.1</v>
      </c>
      <c r="H7500" s="2" t="s">
        <v>671</v>
      </c>
    </row>
    <row r="7501" customFormat="false" ht="15" hidden="false" customHeight="false" outlineLevel="0" collapsed="false">
      <c r="A7501" s="2" t="s">
        <v>1313</v>
      </c>
      <c r="B7501" s="2" t="s">
        <v>45</v>
      </c>
      <c r="C7501" s="2" t="s">
        <v>4087</v>
      </c>
      <c r="D7501" s="11" t="n">
        <v>220002</v>
      </c>
      <c r="E7501" s="31" t="n">
        <v>10.9</v>
      </c>
      <c r="F7501" s="31" t="n">
        <v>2.2</v>
      </c>
      <c r="G7501" s="31" t="n">
        <v>43.1</v>
      </c>
      <c r="H7501" s="2" t="s">
        <v>671</v>
      </c>
    </row>
    <row r="7502" customFormat="false" ht="15" hidden="false" customHeight="false" outlineLevel="0" collapsed="false">
      <c r="A7502" s="2" t="s">
        <v>1313</v>
      </c>
      <c r="B7502" s="2" t="s">
        <v>46</v>
      </c>
      <c r="C7502" s="2" t="s">
        <v>4085</v>
      </c>
      <c r="D7502" s="11" t="n">
        <v>50250</v>
      </c>
      <c r="E7502" s="31" t="n">
        <v>61.4</v>
      </c>
      <c r="F7502" s="31" t="n">
        <v>5.6</v>
      </c>
      <c r="G7502" s="31" t="n">
        <v>9.6</v>
      </c>
      <c r="H7502" s="2" t="s">
        <v>671</v>
      </c>
    </row>
    <row r="7503" customFormat="false" ht="15" hidden="false" customHeight="false" outlineLevel="0" collapsed="false">
      <c r="A7503" s="2" t="s">
        <v>1313</v>
      </c>
      <c r="B7503" s="2" t="s">
        <v>46</v>
      </c>
      <c r="C7503" s="2" t="s">
        <v>4086</v>
      </c>
      <c r="D7503" s="11" t="n">
        <v>49090</v>
      </c>
      <c r="E7503" s="31" t="n">
        <v>78.4</v>
      </c>
      <c r="F7503" s="31" t="n">
        <v>14.5</v>
      </c>
      <c r="G7503" s="31" t="n">
        <v>28.5</v>
      </c>
      <c r="H7503" s="2" t="s">
        <v>671</v>
      </c>
    </row>
    <row r="7504" customFormat="false" ht="15" hidden="false" customHeight="false" outlineLevel="0" collapsed="false">
      <c r="A7504" s="2" t="s">
        <v>1313</v>
      </c>
      <c r="B7504" s="2" t="s">
        <v>46</v>
      </c>
      <c r="C7504" s="2" t="s">
        <v>4087</v>
      </c>
      <c r="D7504" s="2"/>
      <c r="E7504" s="2"/>
      <c r="F7504" s="2"/>
      <c r="G7504" s="2"/>
      <c r="H7504" s="2" t="s">
        <v>668</v>
      </c>
    </row>
    <row r="7505" customFormat="false" ht="15" hidden="false" customHeight="false" outlineLevel="0" collapsed="false">
      <c r="A7505" s="2" t="s">
        <v>1313</v>
      </c>
      <c r="B7505" s="2" t="s">
        <v>47</v>
      </c>
      <c r="C7505" s="2" t="s">
        <v>4085</v>
      </c>
      <c r="D7505" s="11" t="n">
        <v>17776</v>
      </c>
      <c r="E7505" s="31" t="n">
        <v>53.1</v>
      </c>
      <c r="F7505" s="31" t="n">
        <v>73.5</v>
      </c>
      <c r="G7505" s="31" t="n">
        <v>91.4</v>
      </c>
      <c r="H7505" s="2" t="s">
        <v>671</v>
      </c>
    </row>
    <row r="7506" customFormat="false" ht="15" hidden="false" customHeight="false" outlineLevel="0" collapsed="false">
      <c r="A7506" s="2" t="s">
        <v>1313</v>
      </c>
      <c r="B7506" s="2" t="s">
        <v>47</v>
      </c>
      <c r="C7506" s="2" t="s">
        <v>4086</v>
      </c>
      <c r="D7506" s="11" t="n">
        <v>18386</v>
      </c>
      <c r="E7506" s="31" t="n">
        <v>70.2</v>
      </c>
      <c r="F7506" s="31" t="n">
        <v>45.1</v>
      </c>
      <c r="G7506" s="31" t="n">
        <v>68.1</v>
      </c>
      <c r="H7506" s="2" t="s">
        <v>671</v>
      </c>
    </row>
    <row r="7507" customFormat="false" ht="15" hidden="false" customHeight="false" outlineLevel="0" collapsed="false">
      <c r="A7507" s="2" t="s">
        <v>1313</v>
      </c>
      <c r="B7507" s="2" t="s">
        <v>47</v>
      </c>
      <c r="C7507" s="2" t="s">
        <v>4087</v>
      </c>
      <c r="D7507" s="11" t="n">
        <v>19338</v>
      </c>
      <c r="E7507" s="31" t="n">
        <v>37.5</v>
      </c>
      <c r="F7507" s="31" t="n">
        <v>72.3</v>
      </c>
      <c r="G7507" s="31" t="n">
        <v>69.9</v>
      </c>
      <c r="H7507" s="2" t="s">
        <v>671</v>
      </c>
    </row>
    <row r="7508" customFormat="false" ht="15" hidden="false" customHeight="false" outlineLevel="0" collapsed="false">
      <c r="A7508" s="2" t="s">
        <v>3161</v>
      </c>
      <c r="B7508" s="2" t="s">
        <v>4104</v>
      </c>
      <c r="C7508" s="2" t="s">
        <v>4085</v>
      </c>
      <c r="D7508" s="2"/>
      <c r="E7508" s="31" t="n">
        <v>21.9</v>
      </c>
      <c r="F7508" s="31" t="n">
        <v>88</v>
      </c>
      <c r="G7508" s="31" t="n">
        <v>69.2</v>
      </c>
      <c r="H7508" s="2" t="s">
        <v>671</v>
      </c>
    </row>
    <row r="7509" customFormat="false" ht="15" hidden="false" customHeight="false" outlineLevel="0" collapsed="false">
      <c r="A7509" s="2" t="s">
        <v>3161</v>
      </c>
      <c r="B7509" s="2" t="s">
        <v>4104</v>
      </c>
      <c r="C7509" s="2" t="s">
        <v>4087</v>
      </c>
      <c r="D7509" s="2"/>
      <c r="E7509" s="31" t="n">
        <v>24.9</v>
      </c>
      <c r="F7509" s="31" t="n">
        <v>54.4</v>
      </c>
      <c r="G7509" s="2"/>
      <c r="H7509" s="2" t="s">
        <v>668</v>
      </c>
    </row>
    <row r="7510" customFormat="false" ht="15" hidden="false" customHeight="false" outlineLevel="0" collapsed="false">
      <c r="A7510" s="2" t="s">
        <v>3161</v>
      </c>
      <c r="B7510" s="2" t="s">
        <v>46</v>
      </c>
      <c r="C7510" s="2" t="s">
        <v>4085</v>
      </c>
      <c r="D7510" s="11" t="n">
        <v>26470</v>
      </c>
      <c r="E7510" s="31" t="n">
        <v>21.9</v>
      </c>
      <c r="F7510" s="31" t="n">
        <v>88</v>
      </c>
      <c r="G7510" s="31" t="n">
        <v>69.2</v>
      </c>
      <c r="H7510" s="2" t="s">
        <v>671</v>
      </c>
    </row>
    <row r="7511" customFormat="false" ht="15" hidden="false" customHeight="false" outlineLevel="0" collapsed="false">
      <c r="A7511" s="2" t="s">
        <v>3161</v>
      </c>
      <c r="B7511" s="2" t="s">
        <v>46</v>
      </c>
      <c r="C7511" s="2" t="s">
        <v>4087</v>
      </c>
      <c r="D7511" s="11" t="n">
        <v>28622</v>
      </c>
      <c r="E7511" s="31" t="n">
        <v>24.9</v>
      </c>
      <c r="F7511" s="31" t="n">
        <v>54.4</v>
      </c>
      <c r="G7511" s="2"/>
      <c r="H7511" s="2" t="s">
        <v>668</v>
      </c>
    </row>
    <row r="7512" customFormat="false" ht="15" hidden="false" customHeight="false" outlineLevel="0" collapsed="false">
      <c r="A7512" s="2" t="s">
        <v>2052</v>
      </c>
      <c r="B7512" s="2" t="s">
        <v>4104</v>
      </c>
      <c r="C7512" s="2" t="s">
        <v>4085</v>
      </c>
      <c r="D7512" s="2"/>
      <c r="E7512" s="31" t="n">
        <v>66.6</v>
      </c>
      <c r="F7512" s="31" t="n">
        <v>64.4</v>
      </c>
      <c r="G7512" s="31" t="n">
        <v>71.2</v>
      </c>
      <c r="H7512" s="2" t="s">
        <v>668</v>
      </c>
    </row>
    <row r="7513" customFormat="false" ht="15" hidden="false" customHeight="false" outlineLevel="0" collapsed="false">
      <c r="A7513" s="2" t="s">
        <v>2052</v>
      </c>
      <c r="B7513" s="2" t="s">
        <v>4104</v>
      </c>
      <c r="C7513" s="2" t="s">
        <v>4086</v>
      </c>
      <c r="D7513" s="2"/>
      <c r="E7513" s="31" t="n">
        <v>57.2</v>
      </c>
      <c r="F7513" s="31" t="n">
        <v>70</v>
      </c>
      <c r="G7513" s="31" t="n">
        <v>22.2</v>
      </c>
      <c r="H7513" s="2" t="s">
        <v>671</v>
      </c>
    </row>
    <row r="7514" customFormat="false" ht="15" hidden="false" customHeight="false" outlineLevel="0" collapsed="false">
      <c r="A7514" s="2" t="s">
        <v>2052</v>
      </c>
      <c r="B7514" s="2" t="s">
        <v>4104</v>
      </c>
      <c r="C7514" s="2" t="s">
        <v>4087</v>
      </c>
      <c r="D7514" s="2"/>
      <c r="E7514" s="31" t="n">
        <v>87.8</v>
      </c>
      <c r="F7514" s="31" t="n">
        <v>61.4</v>
      </c>
      <c r="G7514" s="31" t="n">
        <v>81</v>
      </c>
      <c r="H7514" s="2" t="s">
        <v>668</v>
      </c>
    </row>
    <row r="7515" customFormat="false" ht="15" hidden="false" customHeight="false" outlineLevel="0" collapsed="false">
      <c r="A7515" s="2" t="s">
        <v>2052</v>
      </c>
      <c r="B7515" s="2" t="s">
        <v>45</v>
      </c>
      <c r="C7515" s="2" t="s">
        <v>4085</v>
      </c>
      <c r="D7515" s="11" t="n">
        <v>10239</v>
      </c>
      <c r="E7515" s="31" t="n">
        <v>43.9</v>
      </c>
      <c r="F7515" s="31" t="n">
        <v>40.5</v>
      </c>
      <c r="G7515" s="31" t="n">
        <v>71.2</v>
      </c>
      <c r="H7515" s="2" t="s">
        <v>671</v>
      </c>
    </row>
    <row r="7516" customFormat="false" ht="15" hidden="false" customHeight="false" outlineLevel="0" collapsed="false">
      <c r="A7516" s="2" t="s">
        <v>2052</v>
      </c>
      <c r="B7516" s="2" t="s">
        <v>45</v>
      </c>
      <c r="C7516" s="2" t="s">
        <v>4086</v>
      </c>
      <c r="D7516" s="11" t="n">
        <v>10450</v>
      </c>
      <c r="E7516" s="31" t="n">
        <v>62.9</v>
      </c>
      <c r="F7516" s="31" t="n">
        <v>63.2</v>
      </c>
      <c r="G7516" s="31" t="n">
        <v>19.3</v>
      </c>
      <c r="H7516" s="2" t="s">
        <v>671</v>
      </c>
    </row>
    <row r="7517" customFormat="false" ht="15" hidden="false" customHeight="false" outlineLevel="0" collapsed="false">
      <c r="A7517" s="2" t="s">
        <v>2052</v>
      </c>
      <c r="B7517" s="2" t="s">
        <v>45</v>
      </c>
      <c r="C7517" s="2" t="s">
        <v>4087</v>
      </c>
      <c r="D7517" s="11" t="n">
        <v>10783</v>
      </c>
      <c r="E7517" s="2"/>
      <c r="F7517" s="31" t="n">
        <v>62.3</v>
      </c>
      <c r="G7517" s="2"/>
      <c r="H7517" s="2" t="s">
        <v>668</v>
      </c>
    </row>
    <row r="7518" customFormat="false" ht="15" hidden="false" customHeight="false" outlineLevel="0" collapsed="false">
      <c r="A7518" s="2" t="s">
        <v>2052</v>
      </c>
      <c r="B7518" s="2" t="s">
        <v>46</v>
      </c>
      <c r="C7518" s="2" t="s">
        <v>4085</v>
      </c>
      <c r="D7518" s="2"/>
      <c r="E7518" s="2"/>
      <c r="F7518" s="2"/>
      <c r="G7518" s="2"/>
      <c r="H7518" s="2" t="s">
        <v>668</v>
      </c>
    </row>
    <row r="7519" customFormat="false" ht="15" hidden="false" customHeight="false" outlineLevel="0" collapsed="false">
      <c r="A7519" s="2" t="s">
        <v>2052</v>
      </c>
      <c r="B7519" s="2" t="s">
        <v>46</v>
      </c>
      <c r="C7519" s="2" t="s">
        <v>4086</v>
      </c>
      <c r="D7519" s="11" t="n">
        <v>57220</v>
      </c>
      <c r="E7519" s="31" t="n">
        <v>25.5</v>
      </c>
      <c r="F7519" s="31" t="n">
        <v>94.5</v>
      </c>
      <c r="G7519" s="31" t="n">
        <v>30.7</v>
      </c>
      <c r="H7519" s="2" t="s">
        <v>671</v>
      </c>
    </row>
    <row r="7520" customFormat="false" ht="15" hidden="false" customHeight="false" outlineLevel="0" collapsed="false">
      <c r="A7520" s="2" t="s">
        <v>2052</v>
      </c>
      <c r="B7520" s="2" t="s">
        <v>46</v>
      </c>
      <c r="C7520" s="2" t="s">
        <v>4087</v>
      </c>
      <c r="D7520" s="2"/>
      <c r="E7520" s="2"/>
      <c r="F7520" s="2"/>
      <c r="G7520" s="2"/>
      <c r="H7520" s="2" t="s">
        <v>668</v>
      </c>
    </row>
    <row r="7521" customFormat="false" ht="15" hidden="false" customHeight="false" outlineLevel="0" collapsed="false">
      <c r="A7521" s="2" t="s">
        <v>2052</v>
      </c>
      <c r="B7521" s="2" t="s">
        <v>47</v>
      </c>
      <c r="C7521" s="2" t="s">
        <v>4085</v>
      </c>
      <c r="D7521" s="11" t="n">
        <v>34060</v>
      </c>
      <c r="E7521" s="31" t="n">
        <v>89.3</v>
      </c>
      <c r="F7521" s="31" t="n">
        <v>88.2</v>
      </c>
      <c r="G7521" s="2"/>
      <c r="H7521" s="2" t="s">
        <v>668</v>
      </c>
    </row>
    <row r="7522" customFormat="false" ht="15" hidden="false" customHeight="false" outlineLevel="0" collapsed="false">
      <c r="A7522" s="2" t="s">
        <v>2052</v>
      </c>
      <c r="B7522" s="2" t="s">
        <v>47</v>
      </c>
      <c r="C7522" s="2" t="s">
        <v>4086</v>
      </c>
      <c r="D7522" s="11" t="n">
        <v>35637</v>
      </c>
      <c r="E7522" s="31" t="n">
        <v>83.2</v>
      </c>
      <c r="F7522" s="31" t="n">
        <v>52.3</v>
      </c>
      <c r="G7522" s="31" t="n">
        <v>16.5</v>
      </c>
      <c r="H7522" s="2" t="s">
        <v>671</v>
      </c>
    </row>
    <row r="7523" customFormat="false" ht="15" hidden="false" customHeight="false" outlineLevel="0" collapsed="false">
      <c r="A7523" s="2" t="s">
        <v>2052</v>
      </c>
      <c r="B7523" s="2" t="s">
        <v>47</v>
      </c>
      <c r="C7523" s="2" t="s">
        <v>4087</v>
      </c>
      <c r="D7523" s="11" t="n">
        <v>36450</v>
      </c>
      <c r="E7523" s="31" t="n">
        <v>87.8</v>
      </c>
      <c r="F7523" s="31" t="n">
        <v>60.6</v>
      </c>
      <c r="G7523" s="31" t="n">
        <v>81</v>
      </c>
      <c r="H7523" s="2" t="s">
        <v>671</v>
      </c>
    </row>
    <row r="7524" customFormat="false" ht="15" hidden="false" customHeight="false" outlineLevel="0" collapsed="false">
      <c r="A7524" s="2" t="s">
        <v>2324</v>
      </c>
      <c r="B7524" s="2" t="s">
        <v>4104</v>
      </c>
      <c r="C7524" s="2" t="s">
        <v>4085</v>
      </c>
      <c r="D7524" s="2"/>
      <c r="E7524" s="31" t="n">
        <v>45.5</v>
      </c>
      <c r="F7524" s="31" t="n">
        <v>13.8</v>
      </c>
      <c r="G7524" s="31" t="n">
        <v>65.6</v>
      </c>
      <c r="H7524" s="2" t="s">
        <v>671</v>
      </c>
    </row>
    <row r="7525" customFormat="false" ht="15" hidden="false" customHeight="false" outlineLevel="0" collapsed="false">
      <c r="A7525" s="2" t="s">
        <v>2324</v>
      </c>
      <c r="B7525" s="2" t="s">
        <v>4104</v>
      </c>
      <c r="C7525" s="2" t="s">
        <v>4086</v>
      </c>
      <c r="D7525" s="2"/>
      <c r="E7525" s="31" t="n">
        <v>45.2</v>
      </c>
      <c r="F7525" s="31" t="n">
        <v>35.6</v>
      </c>
      <c r="G7525" s="31" t="n">
        <v>38.2</v>
      </c>
      <c r="H7525" s="2" t="s">
        <v>671</v>
      </c>
    </row>
    <row r="7526" customFormat="false" ht="15" hidden="false" customHeight="false" outlineLevel="0" collapsed="false">
      <c r="A7526" s="2" t="s">
        <v>2324</v>
      </c>
      <c r="B7526" s="2" t="s">
        <v>4104</v>
      </c>
      <c r="C7526" s="2" t="s">
        <v>4087</v>
      </c>
      <c r="D7526" s="2"/>
      <c r="E7526" s="31" t="n">
        <v>37.3</v>
      </c>
      <c r="F7526" s="31" t="n">
        <v>5</v>
      </c>
      <c r="G7526" s="31" t="n">
        <v>41.5</v>
      </c>
      <c r="H7526" s="2" t="s">
        <v>668</v>
      </c>
    </row>
    <row r="7527" customFormat="false" ht="15" hidden="false" customHeight="false" outlineLevel="0" collapsed="false">
      <c r="A7527" s="2" t="s">
        <v>2324</v>
      </c>
      <c r="B7527" s="2" t="s">
        <v>45</v>
      </c>
      <c r="C7527" s="2" t="s">
        <v>4085</v>
      </c>
      <c r="D7527" s="11" t="n">
        <v>23570</v>
      </c>
      <c r="E7527" s="31" t="n">
        <v>35.9</v>
      </c>
      <c r="F7527" s="31" t="n">
        <v>16.8</v>
      </c>
      <c r="G7527" s="31" t="n">
        <v>43.7</v>
      </c>
      <c r="H7527" s="2" t="s">
        <v>671</v>
      </c>
    </row>
    <row r="7528" customFormat="false" ht="15" hidden="false" customHeight="false" outlineLevel="0" collapsed="false">
      <c r="A7528" s="2" t="s">
        <v>2324</v>
      </c>
      <c r="B7528" s="2" t="s">
        <v>45</v>
      </c>
      <c r="C7528" s="2" t="s">
        <v>4086</v>
      </c>
      <c r="D7528" s="11" t="n">
        <v>24539</v>
      </c>
      <c r="E7528" s="31" t="n">
        <v>27.2</v>
      </c>
      <c r="F7528" s="31" t="n">
        <v>21</v>
      </c>
      <c r="G7528" s="31" t="n">
        <v>14.7</v>
      </c>
      <c r="H7528" s="2" t="s">
        <v>671</v>
      </c>
    </row>
    <row r="7529" customFormat="false" ht="15" hidden="false" customHeight="false" outlineLevel="0" collapsed="false">
      <c r="A7529" s="2" t="s">
        <v>2324</v>
      </c>
      <c r="B7529" s="2" t="s">
        <v>45</v>
      </c>
      <c r="C7529" s="2" t="s">
        <v>4087</v>
      </c>
      <c r="D7529" s="11" t="n">
        <v>23860</v>
      </c>
      <c r="E7529" s="31" t="n">
        <v>25.9</v>
      </c>
      <c r="F7529" s="2"/>
      <c r="G7529" s="31" t="n">
        <v>15.2</v>
      </c>
      <c r="H7529" s="2" t="s">
        <v>668</v>
      </c>
    </row>
    <row r="7530" customFormat="false" ht="15" hidden="false" customHeight="false" outlineLevel="0" collapsed="false">
      <c r="A7530" s="2" t="s">
        <v>2324</v>
      </c>
      <c r="B7530" s="2" t="s">
        <v>46</v>
      </c>
      <c r="C7530" s="2" t="s">
        <v>4085</v>
      </c>
      <c r="D7530" s="11" t="n">
        <v>113780</v>
      </c>
      <c r="E7530" s="31" t="n">
        <v>31.5</v>
      </c>
      <c r="F7530" s="31" t="n">
        <v>12.8</v>
      </c>
      <c r="G7530" s="31" t="n">
        <v>74.7</v>
      </c>
      <c r="H7530" s="2" t="s">
        <v>671</v>
      </c>
    </row>
    <row r="7531" customFormat="false" ht="15" hidden="false" customHeight="false" outlineLevel="0" collapsed="false">
      <c r="A7531" s="2" t="s">
        <v>2324</v>
      </c>
      <c r="B7531" s="2" t="s">
        <v>46</v>
      </c>
      <c r="C7531" s="2" t="s">
        <v>4086</v>
      </c>
      <c r="D7531" s="11" t="n">
        <v>113880</v>
      </c>
      <c r="E7531" s="31" t="n">
        <v>46.8</v>
      </c>
      <c r="F7531" s="31" t="n">
        <v>34.4</v>
      </c>
      <c r="G7531" s="31" t="n">
        <v>22.7</v>
      </c>
      <c r="H7531" s="2" t="s">
        <v>671</v>
      </c>
    </row>
    <row r="7532" customFormat="false" ht="15" hidden="false" customHeight="false" outlineLevel="0" collapsed="false">
      <c r="A7532" s="2" t="s">
        <v>2324</v>
      </c>
      <c r="B7532" s="2" t="s">
        <v>46</v>
      </c>
      <c r="C7532" s="2" t="s">
        <v>4087</v>
      </c>
      <c r="D7532" s="2"/>
      <c r="E7532" s="2"/>
      <c r="F7532" s="2"/>
      <c r="G7532" s="2"/>
      <c r="H7532" s="2" t="s">
        <v>668</v>
      </c>
    </row>
    <row r="7533" customFormat="false" ht="15" hidden="false" customHeight="false" outlineLevel="0" collapsed="false">
      <c r="A7533" s="2" t="s">
        <v>2324</v>
      </c>
      <c r="B7533" s="2" t="s">
        <v>47</v>
      </c>
      <c r="C7533" s="2" t="s">
        <v>4085</v>
      </c>
      <c r="D7533" s="11" t="n">
        <v>81243</v>
      </c>
      <c r="E7533" s="31" t="n">
        <v>69.2</v>
      </c>
      <c r="F7533" s="31" t="n">
        <v>11.8</v>
      </c>
      <c r="G7533" s="31" t="n">
        <v>78.5</v>
      </c>
      <c r="H7533" s="2" t="s">
        <v>671</v>
      </c>
    </row>
    <row r="7534" customFormat="false" ht="15" hidden="false" customHeight="false" outlineLevel="0" collapsed="false">
      <c r="A7534" s="2" t="s">
        <v>2324</v>
      </c>
      <c r="B7534" s="2" t="s">
        <v>47</v>
      </c>
      <c r="C7534" s="2" t="s">
        <v>4086</v>
      </c>
      <c r="D7534" s="11" t="n">
        <v>79650</v>
      </c>
      <c r="E7534" s="31" t="n">
        <v>61.7</v>
      </c>
      <c r="F7534" s="31" t="n">
        <v>51.3</v>
      </c>
      <c r="G7534" s="31" t="n">
        <v>77.2</v>
      </c>
      <c r="H7534" s="2" t="s">
        <v>671</v>
      </c>
    </row>
    <row r="7535" customFormat="false" ht="15" hidden="false" customHeight="false" outlineLevel="0" collapsed="false">
      <c r="A7535" s="2" t="s">
        <v>2324</v>
      </c>
      <c r="B7535" s="2" t="s">
        <v>47</v>
      </c>
      <c r="C7535" s="2" t="s">
        <v>4087</v>
      </c>
      <c r="D7535" s="11" t="n">
        <v>80009</v>
      </c>
      <c r="E7535" s="31" t="n">
        <v>48.7</v>
      </c>
      <c r="F7535" s="31" t="n">
        <v>5</v>
      </c>
      <c r="G7535" s="31" t="n">
        <v>67.8</v>
      </c>
      <c r="H7535" s="2" t="s">
        <v>671</v>
      </c>
    </row>
    <row r="7536" customFormat="false" ht="15" hidden="false" customHeight="false" outlineLevel="0" collapsed="false">
      <c r="A7536" s="2" t="s">
        <v>1081</v>
      </c>
      <c r="B7536" s="2" t="s">
        <v>4104</v>
      </c>
      <c r="C7536" s="2" t="s">
        <v>4085</v>
      </c>
      <c r="D7536" s="2"/>
      <c r="E7536" s="31" t="n">
        <v>57.4</v>
      </c>
      <c r="F7536" s="31" t="n">
        <v>56</v>
      </c>
      <c r="G7536" s="31" t="n">
        <v>24.6</v>
      </c>
      <c r="H7536" s="2" t="s">
        <v>671</v>
      </c>
    </row>
    <row r="7537" customFormat="false" ht="15" hidden="false" customHeight="false" outlineLevel="0" collapsed="false">
      <c r="A7537" s="2" t="s">
        <v>1081</v>
      </c>
      <c r="B7537" s="2" t="s">
        <v>4104</v>
      </c>
      <c r="C7537" s="2" t="s">
        <v>4086</v>
      </c>
      <c r="D7537" s="2"/>
      <c r="E7537" s="31" t="n">
        <v>66.7</v>
      </c>
      <c r="F7537" s="31" t="n">
        <v>56.2</v>
      </c>
      <c r="G7537" s="31" t="n">
        <v>57.2</v>
      </c>
      <c r="H7537" s="2" t="s">
        <v>668</v>
      </c>
    </row>
    <row r="7538" customFormat="false" ht="15" hidden="false" customHeight="false" outlineLevel="0" collapsed="false">
      <c r="A7538" s="2" t="s">
        <v>1081</v>
      </c>
      <c r="B7538" s="2" t="s">
        <v>4104</v>
      </c>
      <c r="C7538" s="2" t="s">
        <v>4087</v>
      </c>
      <c r="D7538" s="2"/>
      <c r="E7538" s="31" t="n">
        <v>54.8</v>
      </c>
      <c r="F7538" s="31" t="n">
        <v>49.8</v>
      </c>
      <c r="G7538" s="31" t="n">
        <v>44.8</v>
      </c>
      <c r="H7538" s="2" t="s">
        <v>668</v>
      </c>
    </row>
    <row r="7539" customFormat="false" ht="15" hidden="false" customHeight="false" outlineLevel="0" collapsed="false">
      <c r="A7539" s="2" t="s">
        <v>1081</v>
      </c>
      <c r="B7539" s="2" t="s">
        <v>45</v>
      </c>
      <c r="C7539" s="2" t="s">
        <v>4085</v>
      </c>
      <c r="D7539" s="11" t="n">
        <v>51700</v>
      </c>
      <c r="E7539" s="31" t="n">
        <v>34.5</v>
      </c>
      <c r="F7539" s="31" t="n">
        <v>72.3</v>
      </c>
      <c r="G7539" s="31" t="n">
        <v>45.6</v>
      </c>
      <c r="H7539" s="2" t="s">
        <v>671</v>
      </c>
    </row>
    <row r="7540" customFormat="false" ht="15" hidden="false" customHeight="false" outlineLevel="0" collapsed="false">
      <c r="A7540" s="2" t="s">
        <v>1081</v>
      </c>
      <c r="B7540" s="2" t="s">
        <v>45</v>
      </c>
      <c r="C7540" s="2" t="s">
        <v>4086</v>
      </c>
      <c r="D7540" s="11" t="n">
        <v>54880</v>
      </c>
      <c r="E7540" s="31" t="n">
        <v>39.3</v>
      </c>
      <c r="F7540" s="31" t="n">
        <v>75.6</v>
      </c>
      <c r="G7540" s="31" t="n">
        <v>41.3</v>
      </c>
      <c r="H7540" s="2" t="s">
        <v>671</v>
      </c>
    </row>
    <row r="7541" customFormat="false" ht="15" hidden="false" customHeight="false" outlineLevel="0" collapsed="false">
      <c r="A7541" s="2" t="s">
        <v>1081</v>
      </c>
      <c r="B7541" s="2" t="s">
        <v>45</v>
      </c>
      <c r="C7541" s="2" t="s">
        <v>4087</v>
      </c>
      <c r="D7541" s="11" t="n">
        <v>55400</v>
      </c>
      <c r="E7541" s="31" t="n">
        <v>44.7</v>
      </c>
      <c r="F7541" s="31" t="n">
        <v>48.4</v>
      </c>
      <c r="G7541" s="31" t="n">
        <v>26.8</v>
      </c>
      <c r="H7541" s="2" t="s">
        <v>671</v>
      </c>
    </row>
    <row r="7542" customFormat="false" ht="15" hidden="false" customHeight="false" outlineLevel="0" collapsed="false">
      <c r="A7542" s="2" t="s">
        <v>1081</v>
      </c>
      <c r="B7542" s="2" t="s">
        <v>46</v>
      </c>
      <c r="C7542" s="2" t="s">
        <v>4085</v>
      </c>
      <c r="D7542" s="11" t="n">
        <v>45319</v>
      </c>
      <c r="E7542" s="31" t="n">
        <v>90.6</v>
      </c>
      <c r="F7542" s="31" t="n">
        <v>42.3</v>
      </c>
      <c r="G7542" s="31" t="n">
        <v>1.1</v>
      </c>
      <c r="H7542" s="2" t="s">
        <v>671</v>
      </c>
    </row>
    <row r="7543" customFormat="false" ht="15" hidden="false" customHeight="false" outlineLevel="0" collapsed="false">
      <c r="A7543" s="2" t="s">
        <v>1081</v>
      </c>
      <c r="B7543" s="2" t="s">
        <v>46</v>
      </c>
      <c r="C7543" s="2" t="s">
        <v>4086</v>
      </c>
      <c r="D7543" s="11" t="n">
        <v>45890</v>
      </c>
      <c r="E7543" s="31" t="n">
        <v>83.1</v>
      </c>
      <c r="F7543" s="31" t="n">
        <v>35.6</v>
      </c>
      <c r="G7543" s="2"/>
      <c r="H7543" s="2" t="s">
        <v>668</v>
      </c>
    </row>
    <row r="7544" customFormat="false" ht="15" hidden="false" customHeight="false" outlineLevel="0" collapsed="false">
      <c r="A7544" s="2" t="s">
        <v>1081</v>
      </c>
      <c r="B7544" s="2" t="s">
        <v>46</v>
      </c>
      <c r="C7544" s="2" t="s">
        <v>4087</v>
      </c>
      <c r="D7544" s="11" t="n">
        <v>47420</v>
      </c>
      <c r="E7544" s="2"/>
      <c r="F7544" s="31" t="n">
        <v>36.9</v>
      </c>
      <c r="G7544" s="2"/>
      <c r="H7544" s="2" t="s">
        <v>668</v>
      </c>
    </row>
    <row r="7545" customFormat="false" ht="15" hidden="false" customHeight="false" outlineLevel="0" collapsed="false">
      <c r="A7545" s="2" t="s">
        <v>1081</v>
      </c>
      <c r="B7545" s="2" t="s">
        <v>47</v>
      </c>
      <c r="C7545" s="2" t="s">
        <v>4085</v>
      </c>
      <c r="D7545" s="11" t="n">
        <v>6575</v>
      </c>
      <c r="E7545" s="31" t="n">
        <v>47.2</v>
      </c>
      <c r="F7545" s="31" t="n">
        <v>53.3</v>
      </c>
      <c r="G7545" s="31" t="n">
        <v>27</v>
      </c>
      <c r="H7545" s="2" t="s">
        <v>671</v>
      </c>
    </row>
    <row r="7546" customFormat="false" ht="15" hidden="false" customHeight="false" outlineLevel="0" collapsed="false">
      <c r="A7546" s="2" t="s">
        <v>1081</v>
      </c>
      <c r="B7546" s="2" t="s">
        <v>47</v>
      </c>
      <c r="C7546" s="2" t="s">
        <v>4086</v>
      </c>
      <c r="D7546" s="11" t="n">
        <v>6750</v>
      </c>
      <c r="E7546" s="31" t="n">
        <v>77.8</v>
      </c>
      <c r="F7546" s="31" t="n">
        <v>57.5</v>
      </c>
      <c r="G7546" s="31" t="n">
        <v>73.1</v>
      </c>
      <c r="H7546" s="2" t="s">
        <v>671</v>
      </c>
    </row>
    <row r="7547" customFormat="false" ht="15" hidden="false" customHeight="false" outlineLevel="0" collapsed="false">
      <c r="A7547" s="2" t="s">
        <v>1081</v>
      </c>
      <c r="B7547" s="2" t="s">
        <v>47</v>
      </c>
      <c r="C7547" s="2" t="s">
        <v>4087</v>
      </c>
      <c r="D7547" s="11" t="n">
        <v>7061</v>
      </c>
      <c r="E7547" s="31" t="n">
        <v>64.8</v>
      </c>
      <c r="F7547" s="31" t="n">
        <v>64</v>
      </c>
      <c r="G7547" s="31" t="n">
        <v>62.7</v>
      </c>
      <c r="H7547" s="2" t="s">
        <v>671</v>
      </c>
    </row>
    <row r="7548" customFormat="false" ht="15" hidden="false" customHeight="false" outlineLevel="0" collapsed="false">
      <c r="A7548" s="2" t="s">
        <v>1713</v>
      </c>
      <c r="B7548" s="2" t="s">
        <v>4104</v>
      </c>
      <c r="C7548" s="2" t="s">
        <v>4085</v>
      </c>
      <c r="D7548" s="2"/>
      <c r="E7548" s="31" t="n">
        <v>34.7</v>
      </c>
      <c r="F7548" s="31" t="n">
        <v>41.9</v>
      </c>
      <c r="G7548" s="31" t="n">
        <v>30.6</v>
      </c>
      <c r="H7548" s="2" t="s">
        <v>668</v>
      </c>
    </row>
    <row r="7549" customFormat="false" ht="15" hidden="false" customHeight="false" outlineLevel="0" collapsed="false">
      <c r="A7549" s="2" t="s">
        <v>1713</v>
      </c>
      <c r="B7549" s="2" t="s">
        <v>4104</v>
      </c>
      <c r="C7549" s="2" t="s">
        <v>4086</v>
      </c>
      <c r="D7549" s="2"/>
      <c r="E7549" s="31" t="n">
        <v>35.6</v>
      </c>
      <c r="F7549" s="31" t="n">
        <v>36.8</v>
      </c>
      <c r="G7549" s="31" t="n">
        <v>52.8</v>
      </c>
      <c r="H7549" s="2" t="s">
        <v>668</v>
      </c>
    </row>
    <row r="7550" customFormat="false" ht="15" hidden="false" customHeight="false" outlineLevel="0" collapsed="false">
      <c r="A7550" s="2" t="s">
        <v>1713</v>
      </c>
      <c r="B7550" s="2" t="s">
        <v>4104</v>
      </c>
      <c r="C7550" s="2" t="s">
        <v>4087</v>
      </c>
      <c r="D7550" s="2"/>
      <c r="E7550" s="31" t="n">
        <v>36</v>
      </c>
      <c r="F7550" s="31" t="n">
        <v>41.9</v>
      </c>
      <c r="G7550" s="31" t="n">
        <v>55.2</v>
      </c>
      <c r="H7550" s="2" t="s">
        <v>668</v>
      </c>
    </row>
    <row r="7551" customFormat="false" ht="15" hidden="false" customHeight="false" outlineLevel="0" collapsed="false">
      <c r="A7551" s="2" t="s">
        <v>1713</v>
      </c>
      <c r="B7551" s="2" t="s">
        <v>45</v>
      </c>
      <c r="C7551" s="2" t="s">
        <v>4085</v>
      </c>
      <c r="D7551" s="11" t="n">
        <v>9436</v>
      </c>
      <c r="E7551" s="31" t="n">
        <v>33.5</v>
      </c>
      <c r="F7551" s="31" t="n">
        <v>53.2</v>
      </c>
      <c r="G7551" s="31" t="n">
        <v>25.6</v>
      </c>
      <c r="H7551" s="2" t="s">
        <v>671</v>
      </c>
    </row>
    <row r="7552" customFormat="false" ht="15" hidden="false" customHeight="false" outlineLevel="0" collapsed="false">
      <c r="A7552" s="2" t="s">
        <v>1713</v>
      </c>
      <c r="B7552" s="2" t="s">
        <v>45</v>
      </c>
      <c r="C7552" s="2" t="s">
        <v>4086</v>
      </c>
      <c r="D7552" s="11" t="n">
        <v>9480</v>
      </c>
      <c r="E7552" s="31" t="n">
        <v>38.6</v>
      </c>
      <c r="F7552" s="2"/>
      <c r="G7552" s="2"/>
      <c r="H7552" s="2" t="s">
        <v>668</v>
      </c>
    </row>
    <row r="7553" customFormat="false" ht="15" hidden="false" customHeight="false" outlineLevel="0" collapsed="false">
      <c r="A7553" s="2" t="s">
        <v>1713</v>
      </c>
      <c r="B7553" s="2" t="s">
        <v>45</v>
      </c>
      <c r="C7553" s="2" t="s">
        <v>4087</v>
      </c>
      <c r="D7553" s="2"/>
      <c r="E7553" s="2"/>
      <c r="F7553" s="2"/>
      <c r="G7553" s="2"/>
      <c r="H7553" s="2" t="s">
        <v>668</v>
      </c>
    </row>
    <row r="7554" customFormat="false" ht="15" hidden="false" customHeight="false" outlineLevel="0" collapsed="false">
      <c r="A7554" s="2" t="s">
        <v>1713</v>
      </c>
      <c r="B7554" s="2" t="s">
        <v>46</v>
      </c>
      <c r="C7554" s="2" t="s">
        <v>4085</v>
      </c>
      <c r="D7554" s="11" t="n">
        <v>94980</v>
      </c>
      <c r="E7554" s="31" t="n">
        <v>40.1</v>
      </c>
      <c r="F7554" s="31" t="n">
        <v>63.7</v>
      </c>
      <c r="G7554" s="2"/>
      <c r="H7554" s="2" t="s">
        <v>668</v>
      </c>
    </row>
    <row r="7555" customFormat="false" ht="15" hidden="false" customHeight="false" outlineLevel="0" collapsed="false">
      <c r="A7555" s="2" t="s">
        <v>1713</v>
      </c>
      <c r="B7555" s="2" t="s">
        <v>46</v>
      </c>
      <c r="C7555" s="2" t="s">
        <v>4086</v>
      </c>
      <c r="D7555" s="11" t="n">
        <v>98330</v>
      </c>
      <c r="E7555" s="31" t="n">
        <v>36.9</v>
      </c>
      <c r="F7555" s="31" t="n">
        <v>62.5</v>
      </c>
      <c r="G7555" s="31" t="n">
        <v>34</v>
      </c>
      <c r="H7555" s="2" t="s">
        <v>671</v>
      </c>
    </row>
    <row r="7556" customFormat="false" ht="15" hidden="false" customHeight="false" outlineLevel="0" collapsed="false">
      <c r="A7556" s="2" t="s">
        <v>1713</v>
      </c>
      <c r="B7556" s="2" t="s">
        <v>46</v>
      </c>
      <c r="C7556" s="2" t="s">
        <v>4087</v>
      </c>
      <c r="D7556" s="11" t="n">
        <v>102800</v>
      </c>
      <c r="E7556" s="31" t="n">
        <v>43.8</v>
      </c>
      <c r="F7556" s="31" t="n">
        <v>68.9</v>
      </c>
      <c r="G7556" s="31" t="n">
        <v>96.4</v>
      </c>
      <c r="H7556" s="2" t="s">
        <v>671</v>
      </c>
    </row>
    <row r="7557" customFormat="false" ht="15" hidden="false" customHeight="false" outlineLevel="0" collapsed="false">
      <c r="A7557" s="2" t="s">
        <v>1713</v>
      </c>
      <c r="B7557" s="2" t="s">
        <v>47</v>
      </c>
      <c r="C7557" s="2" t="s">
        <v>4085</v>
      </c>
      <c r="D7557" s="11" t="n">
        <v>52928</v>
      </c>
      <c r="E7557" s="31" t="n">
        <v>30.4</v>
      </c>
      <c r="F7557" s="31" t="n">
        <v>8.8</v>
      </c>
      <c r="G7557" s="31" t="n">
        <v>35.6</v>
      </c>
      <c r="H7557" s="2" t="s">
        <v>671</v>
      </c>
    </row>
    <row r="7558" customFormat="false" ht="15" hidden="false" customHeight="false" outlineLevel="0" collapsed="false">
      <c r="A7558" s="2" t="s">
        <v>1713</v>
      </c>
      <c r="B7558" s="2" t="s">
        <v>47</v>
      </c>
      <c r="C7558" s="2" t="s">
        <v>4086</v>
      </c>
      <c r="D7558" s="11" t="n">
        <v>53627</v>
      </c>
      <c r="E7558" s="31" t="n">
        <v>31.2</v>
      </c>
      <c r="F7558" s="31" t="n">
        <v>11</v>
      </c>
      <c r="G7558" s="31" t="n">
        <v>71.7</v>
      </c>
      <c r="H7558" s="2" t="s">
        <v>668</v>
      </c>
    </row>
    <row r="7559" customFormat="false" ht="15" hidden="false" customHeight="false" outlineLevel="0" collapsed="false">
      <c r="A7559" s="2" t="s">
        <v>1713</v>
      </c>
      <c r="B7559" s="2" t="s">
        <v>47</v>
      </c>
      <c r="C7559" s="2" t="s">
        <v>4087</v>
      </c>
      <c r="D7559" s="11" t="n">
        <v>53530</v>
      </c>
      <c r="E7559" s="31" t="n">
        <v>28.3</v>
      </c>
      <c r="F7559" s="31" t="n">
        <v>14.9</v>
      </c>
      <c r="G7559" s="31" t="n">
        <v>13.9</v>
      </c>
      <c r="H7559" s="2" t="s">
        <v>671</v>
      </c>
    </row>
    <row r="7560" customFormat="false" ht="15" hidden="false" customHeight="false" outlineLevel="0" collapsed="false">
      <c r="A7560" s="2" t="s">
        <v>694</v>
      </c>
      <c r="B7560" s="2" t="s">
        <v>4104</v>
      </c>
      <c r="C7560" s="2" t="s">
        <v>4085</v>
      </c>
      <c r="D7560" s="2"/>
      <c r="E7560" s="31" t="n">
        <v>50.9</v>
      </c>
      <c r="F7560" s="31" t="n">
        <v>20.3</v>
      </c>
      <c r="G7560" s="31" t="n">
        <v>51.8</v>
      </c>
      <c r="H7560" s="2" t="s">
        <v>671</v>
      </c>
    </row>
    <row r="7561" customFormat="false" ht="15" hidden="false" customHeight="false" outlineLevel="0" collapsed="false">
      <c r="A7561" s="2" t="s">
        <v>694</v>
      </c>
      <c r="B7561" s="2" t="s">
        <v>4104</v>
      </c>
      <c r="C7561" s="2" t="s">
        <v>4086</v>
      </c>
      <c r="D7561" s="2"/>
      <c r="E7561" s="31" t="n">
        <v>58.9</v>
      </c>
      <c r="F7561" s="31" t="n">
        <v>1.2</v>
      </c>
      <c r="G7561" s="31" t="n">
        <v>58.8</v>
      </c>
      <c r="H7561" s="2" t="s">
        <v>668</v>
      </c>
    </row>
    <row r="7562" customFormat="false" ht="15" hidden="false" customHeight="false" outlineLevel="0" collapsed="false">
      <c r="A7562" s="2" t="s">
        <v>694</v>
      </c>
      <c r="B7562" s="2" t="s">
        <v>4104</v>
      </c>
      <c r="C7562" s="2" t="s">
        <v>4087</v>
      </c>
      <c r="D7562" s="2"/>
      <c r="E7562" s="31" t="n">
        <v>56.4</v>
      </c>
      <c r="F7562" s="31" t="n">
        <v>25.8</v>
      </c>
      <c r="G7562" s="31" t="n">
        <v>55.7</v>
      </c>
      <c r="H7562" s="2" t="s">
        <v>668</v>
      </c>
    </row>
    <row r="7563" customFormat="false" ht="15" hidden="false" customHeight="false" outlineLevel="0" collapsed="false">
      <c r="A7563" s="2" t="s">
        <v>694</v>
      </c>
      <c r="B7563" s="2" t="s">
        <v>45</v>
      </c>
      <c r="C7563" s="2" t="s">
        <v>4085</v>
      </c>
      <c r="D7563" s="11" t="n">
        <v>11138</v>
      </c>
      <c r="E7563" s="31" t="n">
        <v>93.9</v>
      </c>
      <c r="F7563" s="31" t="n">
        <v>42.3</v>
      </c>
      <c r="G7563" s="31" t="n">
        <v>8.8</v>
      </c>
      <c r="H7563" s="2" t="s">
        <v>671</v>
      </c>
    </row>
    <row r="7564" customFormat="false" ht="15" hidden="false" customHeight="false" outlineLevel="0" collapsed="false">
      <c r="A7564" s="2" t="s">
        <v>694</v>
      </c>
      <c r="B7564" s="2" t="s">
        <v>45</v>
      </c>
      <c r="C7564" s="2" t="s">
        <v>4086</v>
      </c>
      <c r="D7564" s="2"/>
      <c r="E7564" s="2"/>
      <c r="F7564" s="2"/>
      <c r="G7564" s="2"/>
      <c r="H7564" s="2" t="s">
        <v>668</v>
      </c>
    </row>
    <row r="7565" customFormat="false" ht="15" hidden="false" customHeight="false" outlineLevel="0" collapsed="false">
      <c r="A7565" s="2" t="s">
        <v>694</v>
      </c>
      <c r="B7565" s="2" t="s">
        <v>45</v>
      </c>
      <c r="C7565" s="2" t="s">
        <v>4087</v>
      </c>
      <c r="D7565" s="11" t="n">
        <v>11790</v>
      </c>
      <c r="E7565" s="31" t="n">
        <v>96.4</v>
      </c>
      <c r="F7565" s="31" t="n">
        <v>50.4</v>
      </c>
      <c r="G7565" s="31" t="n">
        <v>54.4</v>
      </c>
      <c r="H7565" s="2" t="s">
        <v>671</v>
      </c>
    </row>
    <row r="7566" customFormat="false" ht="15" hidden="false" customHeight="false" outlineLevel="0" collapsed="false">
      <c r="A7566" s="2" t="s">
        <v>694</v>
      </c>
      <c r="B7566" s="2" t="s">
        <v>46</v>
      </c>
      <c r="C7566" s="2" t="s">
        <v>4085</v>
      </c>
      <c r="D7566" s="11" t="n">
        <v>7120</v>
      </c>
      <c r="E7566" s="31" t="n">
        <v>30.5</v>
      </c>
      <c r="F7566" s="31" t="n">
        <v>17.5</v>
      </c>
      <c r="G7566" s="31" t="n">
        <v>93.2</v>
      </c>
      <c r="H7566" s="2" t="s">
        <v>671</v>
      </c>
    </row>
    <row r="7567" customFormat="false" ht="15" hidden="false" customHeight="false" outlineLevel="0" collapsed="false">
      <c r="A7567" s="2" t="s">
        <v>694</v>
      </c>
      <c r="B7567" s="2" t="s">
        <v>46</v>
      </c>
      <c r="C7567" s="2" t="s">
        <v>4086</v>
      </c>
      <c r="D7567" s="11" t="n">
        <v>7093</v>
      </c>
      <c r="E7567" s="31" t="n">
        <v>30.5</v>
      </c>
      <c r="F7567" s="2"/>
      <c r="G7567" s="2"/>
      <c r="H7567" s="2" t="s">
        <v>668</v>
      </c>
    </row>
    <row r="7568" customFormat="false" ht="15" hidden="false" customHeight="false" outlineLevel="0" collapsed="false">
      <c r="A7568" s="2" t="s">
        <v>694</v>
      </c>
      <c r="B7568" s="2" t="s">
        <v>46</v>
      </c>
      <c r="C7568" s="2" t="s">
        <v>4087</v>
      </c>
      <c r="D7568" s="11" t="n">
        <v>7280</v>
      </c>
      <c r="E7568" s="31" t="n">
        <v>35.7</v>
      </c>
      <c r="F7568" s="2"/>
      <c r="G7568" s="31" t="n">
        <v>69.7</v>
      </c>
      <c r="H7568" s="2" t="s">
        <v>668</v>
      </c>
    </row>
    <row r="7569" customFormat="false" ht="15" hidden="false" customHeight="false" outlineLevel="0" collapsed="false">
      <c r="A7569" s="2" t="s">
        <v>694</v>
      </c>
      <c r="B7569" s="2" t="s">
        <v>47</v>
      </c>
      <c r="C7569" s="2" t="s">
        <v>4085</v>
      </c>
      <c r="D7569" s="11" t="n">
        <v>7007</v>
      </c>
      <c r="E7569" s="31" t="n">
        <v>28.2</v>
      </c>
      <c r="F7569" s="31" t="n">
        <v>1.1</v>
      </c>
      <c r="G7569" s="31" t="n">
        <v>53.4</v>
      </c>
      <c r="H7569" s="2" t="s">
        <v>671</v>
      </c>
    </row>
    <row r="7570" customFormat="false" ht="15" hidden="false" customHeight="false" outlineLevel="0" collapsed="false">
      <c r="A7570" s="2" t="s">
        <v>694</v>
      </c>
      <c r="B7570" s="2" t="s">
        <v>47</v>
      </c>
      <c r="C7570" s="2" t="s">
        <v>4086</v>
      </c>
      <c r="D7570" s="11" t="n">
        <v>3526</v>
      </c>
      <c r="E7570" s="31" t="n">
        <v>87.3</v>
      </c>
      <c r="F7570" s="31" t="n">
        <v>1.2</v>
      </c>
      <c r="G7570" s="31" t="n">
        <v>58.8</v>
      </c>
      <c r="H7570" s="2" t="s">
        <v>671</v>
      </c>
    </row>
    <row r="7571" customFormat="false" ht="15" hidden="false" customHeight="false" outlineLevel="0" collapsed="false">
      <c r="A7571" s="2" t="s">
        <v>694</v>
      </c>
      <c r="B7571" s="2" t="s">
        <v>47</v>
      </c>
      <c r="C7571" s="2" t="s">
        <v>4087</v>
      </c>
      <c r="D7571" s="11" t="n">
        <v>6839</v>
      </c>
      <c r="E7571" s="31" t="n">
        <v>37.1</v>
      </c>
      <c r="F7571" s="31" t="n">
        <v>1.3</v>
      </c>
      <c r="G7571" s="31" t="n">
        <v>42.9</v>
      </c>
      <c r="H7571" s="2" t="s">
        <v>671</v>
      </c>
    </row>
    <row r="7572" customFormat="false" ht="15" hidden="false" customHeight="false" outlineLevel="0" collapsed="false">
      <c r="A7572" s="2" t="s">
        <v>1963</v>
      </c>
      <c r="B7572" s="2" t="s">
        <v>4104</v>
      </c>
      <c r="C7572" s="2" t="s">
        <v>4085</v>
      </c>
      <c r="D7572" s="2"/>
      <c r="E7572" s="31" t="n">
        <v>75.9</v>
      </c>
      <c r="F7572" s="31" t="n">
        <v>19.9</v>
      </c>
      <c r="G7572" s="31" t="n">
        <v>48.4</v>
      </c>
      <c r="H7572" s="2" t="s">
        <v>668</v>
      </c>
    </row>
    <row r="7573" customFormat="false" ht="15" hidden="false" customHeight="false" outlineLevel="0" collapsed="false">
      <c r="A7573" s="2" t="s">
        <v>1963</v>
      </c>
      <c r="B7573" s="2" t="s">
        <v>4104</v>
      </c>
      <c r="C7573" s="2" t="s">
        <v>4086</v>
      </c>
      <c r="D7573" s="2"/>
      <c r="E7573" s="31" t="n">
        <v>98.2</v>
      </c>
      <c r="F7573" s="31" t="n">
        <v>38.6</v>
      </c>
      <c r="G7573" s="31" t="n">
        <v>39.2</v>
      </c>
      <c r="H7573" s="2" t="s">
        <v>668</v>
      </c>
    </row>
    <row r="7574" customFormat="false" ht="15" hidden="false" customHeight="false" outlineLevel="0" collapsed="false">
      <c r="A7574" s="2" t="s">
        <v>1963</v>
      </c>
      <c r="B7574" s="2" t="s">
        <v>4104</v>
      </c>
      <c r="C7574" s="2" t="s">
        <v>4087</v>
      </c>
      <c r="D7574" s="2"/>
      <c r="E7574" s="31" t="n">
        <v>91.5</v>
      </c>
      <c r="F7574" s="31" t="n">
        <v>36.9</v>
      </c>
      <c r="G7574" s="31" t="n">
        <v>58.3</v>
      </c>
      <c r="H7574" s="2" t="s">
        <v>668</v>
      </c>
    </row>
    <row r="7575" customFormat="false" ht="15" hidden="false" customHeight="false" outlineLevel="0" collapsed="false">
      <c r="A7575" s="2" t="s">
        <v>1963</v>
      </c>
      <c r="B7575" s="2" t="s">
        <v>45</v>
      </c>
      <c r="C7575" s="2" t="s">
        <v>4085</v>
      </c>
      <c r="D7575" s="11" t="n">
        <v>61950</v>
      </c>
      <c r="E7575" s="31" t="n">
        <v>50.5</v>
      </c>
      <c r="F7575" s="31" t="n">
        <v>8.4</v>
      </c>
      <c r="G7575" s="2"/>
      <c r="H7575" s="2" t="s">
        <v>668</v>
      </c>
    </row>
    <row r="7576" customFormat="false" ht="15" hidden="false" customHeight="false" outlineLevel="0" collapsed="false">
      <c r="A7576" s="2" t="s">
        <v>1963</v>
      </c>
      <c r="B7576" s="2" t="s">
        <v>45</v>
      </c>
      <c r="C7576" s="2" t="s">
        <v>4086</v>
      </c>
      <c r="D7576" s="2"/>
      <c r="E7576" s="2"/>
      <c r="F7576" s="2"/>
      <c r="G7576" s="2"/>
      <c r="H7576" s="2" t="s">
        <v>668</v>
      </c>
    </row>
    <row r="7577" customFormat="false" ht="15" hidden="false" customHeight="false" outlineLevel="0" collapsed="false">
      <c r="A7577" s="2" t="s">
        <v>1963</v>
      </c>
      <c r="B7577" s="2" t="s">
        <v>45</v>
      </c>
      <c r="C7577" s="2" t="s">
        <v>4087</v>
      </c>
      <c r="D7577" s="11" t="n">
        <v>64260</v>
      </c>
      <c r="E7577" s="31" t="n">
        <v>76.9</v>
      </c>
      <c r="F7577" s="31" t="n">
        <v>37.7</v>
      </c>
      <c r="G7577" s="2"/>
      <c r="H7577" s="2" t="s">
        <v>668</v>
      </c>
    </row>
    <row r="7578" customFormat="false" ht="15" hidden="false" customHeight="false" outlineLevel="0" collapsed="false">
      <c r="A7578" s="2" t="s">
        <v>1963</v>
      </c>
      <c r="B7578" s="2" t="s">
        <v>46</v>
      </c>
      <c r="C7578" s="2" t="s">
        <v>4085</v>
      </c>
      <c r="D7578" s="11" t="n">
        <v>332777</v>
      </c>
      <c r="E7578" s="31" t="n">
        <v>80.2</v>
      </c>
      <c r="F7578" s="31" t="n">
        <v>22.4</v>
      </c>
      <c r="G7578" s="31" t="n">
        <v>17.8</v>
      </c>
      <c r="H7578" s="2" t="s">
        <v>671</v>
      </c>
    </row>
    <row r="7579" customFormat="false" ht="15" hidden="false" customHeight="false" outlineLevel="0" collapsed="false">
      <c r="A7579" s="2" t="s">
        <v>1963</v>
      </c>
      <c r="B7579" s="2" t="s">
        <v>46</v>
      </c>
      <c r="C7579" s="2" t="s">
        <v>4086</v>
      </c>
      <c r="D7579" s="2"/>
      <c r="E7579" s="2"/>
      <c r="F7579" s="2"/>
      <c r="G7579" s="2"/>
      <c r="H7579" s="2" t="s">
        <v>668</v>
      </c>
    </row>
    <row r="7580" customFormat="false" ht="15" hidden="false" customHeight="false" outlineLevel="0" collapsed="false">
      <c r="A7580" s="2" t="s">
        <v>1963</v>
      </c>
      <c r="B7580" s="2" t="s">
        <v>46</v>
      </c>
      <c r="C7580" s="2" t="s">
        <v>4087</v>
      </c>
      <c r="D7580" s="11" t="n">
        <v>335810</v>
      </c>
      <c r="E7580" s="31" t="n">
        <v>97.7</v>
      </c>
      <c r="F7580" s="31" t="n">
        <v>21.9</v>
      </c>
      <c r="G7580" s="2"/>
      <c r="H7580" s="2" t="s">
        <v>668</v>
      </c>
    </row>
    <row r="7581" customFormat="false" ht="15" hidden="false" customHeight="false" outlineLevel="0" collapsed="false">
      <c r="A7581" s="2" t="s">
        <v>1963</v>
      </c>
      <c r="B7581" s="2" t="s">
        <v>47</v>
      </c>
      <c r="C7581" s="2" t="s">
        <v>4085</v>
      </c>
      <c r="D7581" s="11" t="n">
        <v>18969</v>
      </c>
      <c r="E7581" s="31" t="n">
        <v>96.9</v>
      </c>
      <c r="F7581" s="31" t="n">
        <v>28.8</v>
      </c>
      <c r="G7581" s="31" t="n">
        <v>79</v>
      </c>
      <c r="H7581" s="2" t="s">
        <v>671</v>
      </c>
    </row>
    <row r="7582" customFormat="false" ht="15" hidden="false" customHeight="false" outlineLevel="0" collapsed="false">
      <c r="A7582" s="2" t="s">
        <v>1963</v>
      </c>
      <c r="B7582" s="2" t="s">
        <v>47</v>
      </c>
      <c r="C7582" s="2" t="s">
        <v>4086</v>
      </c>
      <c r="D7582" s="11" t="n">
        <v>19152</v>
      </c>
      <c r="E7582" s="31" t="n">
        <v>98.2</v>
      </c>
      <c r="F7582" s="31" t="n">
        <v>38.6</v>
      </c>
      <c r="G7582" s="31" t="n">
        <v>39.2</v>
      </c>
      <c r="H7582" s="2" t="s">
        <v>671</v>
      </c>
    </row>
    <row r="7583" customFormat="false" ht="15" hidden="false" customHeight="false" outlineLevel="0" collapsed="false">
      <c r="A7583" s="2" t="s">
        <v>1963</v>
      </c>
      <c r="B7583" s="2" t="s">
        <v>47</v>
      </c>
      <c r="C7583" s="2" t="s">
        <v>4087</v>
      </c>
      <c r="D7583" s="11" t="n">
        <v>19983</v>
      </c>
      <c r="E7583" s="31" t="n">
        <v>100</v>
      </c>
      <c r="F7583" s="31" t="n">
        <v>51.1</v>
      </c>
      <c r="G7583" s="31" t="n">
        <v>58.3</v>
      </c>
      <c r="H7583" s="2" t="s">
        <v>671</v>
      </c>
    </row>
    <row r="7584" customFormat="false" ht="15" hidden="false" customHeight="false" outlineLevel="0" collapsed="false">
      <c r="A7584" s="2" t="s">
        <v>837</v>
      </c>
      <c r="B7584" s="2" t="s">
        <v>4104</v>
      </c>
      <c r="C7584" s="2" t="s">
        <v>4085</v>
      </c>
      <c r="D7584" s="2"/>
      <c r="E7584" s="31" t="n">
        <v>61.7</v>
      </c>
      <c r="F7584" s="31" t="n">
        <v>34.5</v>
      </c>
      <c r="G7584" s="31" t="n">
        <v>39.9</v>
      </c>
      <c r="H7584" s="2" t="s">
        <v>671</v>
      </c>
    </row>
    <row r="7585" customFormat="false" ht="15" hidden="false" customHeight="false" outlineLevel="0" collapsed="false">
      <c r="A7585" s="2" t="s">
        <v>837</v>
      </c>
      <c r="B7585" s="2" t="s">
        <v>4104</v>
      </c>
      <c r="C7585" s="2" t="s">
        <v>4086</v>
      </c>
      <c r="D7585" s="2"/>
      <c r="E7585" s="31" t="n">
        <v>71.2</v>
      </c>
      <c r="F7585" s="31" t="n">
        <v>21.3</v>
      </c>
      <c r="G7585" s="31" t="n">
        <v>53.4</v>
      </c>
      <c r="H7585" s="2" t="s">
        <v>668</v>
      </c>
    </row>
    <row r="7586" customFormat="false" ht="15" hidden="false" customHeight="false" outlineLevel="0" collapsed="false">
      <c r="A7586" s="2" t="s">
        <v>837</v>
      </c>
      <c r="B7586" s="2" t="s">
        <v>4104</v>
      </c>
      <c r="C7586" s="2" t="s">
        <v>4087</v>
      </c>
      <c r="D7586" s="2"/>
      <c r="E7586" s="31" t="n">
        <v>67.7</v>
      </c>
      <c r="F7586" s="31" t="n">
        <v>62.2</v>
      </c>
      <c r="G7586" s="31" t="n">
        <v>61</v>
      </c>
      <c r="H7586" s="2" t="s">
        <v>668</v>
      </c>
    </row>
    <row r="7587" customFormat="false" ht="15" hidden="false" customHeight="false" outlineLevel="0" collapsed="false">
      <c r="A7587" s="2" t="s">
        <v>837</v>
      </c>
      <c r="B7587" s="2" t="s">
        <v>45</v>
      </c>
      <c r="C7587" s="2" t="s">
        <v>4085</v>
      </c>
      <c r="D7587" s="11" t="n">
        <v>15239</v>
      </c>
      <c r="E7587" s="31" t="n">
        <v>63.3</v>
      </c>
      <c r="F7587" s="31" t="n">
        <v>38.3</v>
      </c>
      <c r="G7587" s="31" t="n">
        <v>45.1</v>
      </c>
      <c r="H7587" s="2" t="s">
        <v>671</v>
      </c>
    </row>
    <row r="7588" customFormat="false" ht="15" hidden="false" customHeight="false" outlineLevel="0" collapsed="false">
      <c r="A7588" s="2" t="s">
        <v>837</v>
      </c>
      <c r="B7588" s="2" t="s">
        <v>45</v>
      </c>
      <c r="C7588" s="2" t="s">
        <v>4086</v>
      </c>
      <c r="D7588" s="2"/>
      <c r="E7588" s="2"/>
      <c r="F7588" s="2"/>
      <c r="G7588" s="2"/>
      <c r="H7588" s="2" t="s">
        <v>668</v>
      </c>
    </row>
    <row r="7589" customFormat="false" ht="15" hidden="false" customHeight="false" outlineLevel="0" collapsed="false">
      <c r="A7589" s="2" t="s">
        <v>837</v>
      </c>
      <c r="B7589" s="2" t="s">
        <v>45</v>
      </c>
      <c r="C7589" s="2" t="s">
        <v>4087</v>
      </c>
      <c r="D7589" s="11" t="n">
        <v>15810</v>
      </c>
      <c r="E7589" s="31" t="n">
        <v>77.1</v>
      </c>
      <c r="F7589" s="31" t="n">
        <v>50</v>
      </c>
      <c r="G7589" s="31" t="n">
        <v>62.2</v>
      </c>
      <c r="H7589" s="2" t="s">
        <v>671</v>
      </c>
    </row>
    <row r="7590" customFormat="false" ht="15" hidden="false" customHeight="false" outlineLevel="0" collapsed="false">
      <c r="A7590" s="2" t="s">
        <v>837</v>
      </c>
      <c r="B7590" s="2" t="s">
        <v>46</v>
      </c>
      <c r="C7590" s="2" t="s">
        <v>4085</v>
      </c>
      <c r="D7590" s="11" t="n">
        <v>18882</v>
      </c>
      <c r="E7590" s="31" t="n">
        <v>84.1</v>
      </c>
      <c r="F7590" s="31" t="n">
        <v>61.4</v>
      </c>
      <c r="G7590" s="31" t="n">
        <v>30.4</v>
      </c>
      <c r="H7590" s="2" t="s">
        <v>671</v>
      </c>
    </row>
    <row r="7591" customFormat="false" ht="15" hidden="false" customHeight="false" outlineLevel="0" collapsed="false">
      <c r="A7591" s="2" t="s">
        <v>837</v>
      </c>
      <c r="B7591" s="2" t="s">
        <v>46</v>
      </c>
      <c r="C7591" s="2" t="s">
        <v>4086</v>
      </c>
      <c r="D7591" s="11" t="n">
        <v>19260</v>
      </c>
      <c r="E7591" s="31" t="n">
        <v>79.4</v>
      </c>
      <c r="F7591" s="31" t="n">
        <v>40.7</v>
      </c>
      <c r="G7591" s="31" t="n">
        <v>63.4</v>
      </c>
      <c r="H7591" s="2" t="s">
        <v>671</v>
      </c>
    </row>
    <row r="7592" customFormat="false" ht="15" hidden="false" customHeight="false" outlineLevel="0" collapsed="false">
      <c r="A7592" s="2" t="s">
        <v>837</v>
      </c>
      <c r="B7592" s="2" t="s">
        <v>46</v>
      </c>
      <c r="C7592" s="2" t="s">
        <v>4087</v>
      </c>
      <c r="D7592" s="11" t="n">
        <v>20040</v>
      </c>
      <c r="E7592" s="31" t="n">
        <v>83.3</v>
      </c>
      <c r="F7592" s="31" t="n">
        <v>74.3</v>
      </c>
      <c r="G7592" s="31" t="n">
        <v>51</v>
      </c>
      <c r="H7592" s="2" t="s">
        <v>671</v>
      </c>
    </row>
    <row r="7593" customFormat="false" ht="15" hidden="false" customHeight="false" outlineLevel="0" collapsed="false">
      <c r="A7593" s="2" t="s">
        <v>837</v>
      </c>
      <c r="B7593" s="2" t="s">
        <v>47</v>
      </c>
      <c r="C7593" s="2" t="s">
        <v>4085</v>
      </c>
      <c r="D7593" s="11" t="n">
        <v>105695</v>
      </c>
      <c r="E7593" s="31" t="n">
        <v>37.7</v>
      </c>
      <c r="F7593" s="31" t="n">
        <v>3.7</v>
      </c>
      <c r="G7593" s="31" t="n">
        <v>44.3</v>
      </c>
      <c r="H7593" s="2" t="s">
        <v>671</v>
      </c>
    </row>
    <row r="7594" customFormat="false" ht="15" hidden="false" customHeight="false" outlineLevel="0" collapsed="false">
      <c r="A7594" s="2" t="s">
        <v>837</v>
      </c>
      <c r="B7594" s="2" t="s">
        <v>47</v>
      </c>
      <c r="C7594" s="2" t="s">
        <v>4086</v>
      </c>
      <c r="D7594" s="11" t="n">
        <v>102186</v>
      </c>
      <c r="E7594" s="31" t="n">
        <v>63</v>
      </c>
      <c r="F7594" s="31" t="n">
        <v>1.9</v>
      </c>
      <c r="G7594" s="31" t="n">
        <v>43.4</v>
      </c>
      <c r="H7594" s="2" t="s">
        <v>671</v>
      </c>
    </row>
    <row r="7595" customFormat="false" ht="15" hidden="false" customHeight="false" outlineLevel="0" collapsed="false">
      <c r="A7595" s="2" t="s">
        <v>837</v>
      </c>
      <c r="B7595" s="2" t="s">
        <v>47</v>
      </c>
      <c r="C7595" s="2" t="s">
        <v>4087</v>
      </c>
      <c r="D7595" s="11" t="n">
        <v>103180</v>
      </c>
      <c r="E7595" s="31" t="n">
        <v>42.8</v>
      </c>
      <c r="F7595" s="2"/>
      <c r="G7595" s="31" t="n">
        <v>69.7</v>
      </c>
      <c r="H7595" s="2" t="s">
        <v>668</v>
      </c>
    </row>
    <row r="7596" customFormat="false" ht="15" hidden="false" customHeight="false" outlineLevel="0" collapsed="false">
      <c r="A7596" s="2" t="s">
        <v>2203</v>
      </c>
      <c r="B7596" s="2" t="s">
        <v>4104</v>
      </c>
      <c r="C7596" s="2" t="s">
        <v>4085</v>
      </c>
      <c r="D7596" s="2"/>
      <c r="E7596" s="31" t="n">
        <v>40.2</v>
      </c>
      <c r="F7596" s="31" t="n">
        <v>58.6</v>
      </c>
      <c r="G7596" s="2"/>
      <c r="H7596" s="2" t="s">
        <v>668</v>
      </c>
    </row>
    <row r="7597" customFormat="false" ht="15" hidden="false" customHeight="false" outlineLevel="0" collapsed="false">
      <c r="A7597" s="2" t="s">
        <v>2203</v>
      </c>
      <c r="B7597" s="2" t="s">
        <v>4104</v>
      </c>
      <c r="C7597" s="2" t="s">
        <v>4086</v>
      </c>
      <c r="D7597" s="2"/>
      <c r="E7597" s="31" t="n">
        <v>36</v>
      </c>
      <c r="F7597" s="31" t="n">
        <v>18.6</v>
      </c>
      <c r="G7597" s="31" t="n">
        <v>7.2</v>
      </c>
      <c r="H7597" s="2" t="s">
        <v>668</v>
      </c>
    </row>
    <row r="7598" customFormat="false" ht="15" hidden="false" customHeight="false" outlineLevel="0" collapsed="false">
      <c r="A7598" s="2" t="s">
        <v>2203</v>
      </c>
      <c r="B7598" s="2" t="s">
        <v>4104</v>
      </c>
      <c r="C7598" s="2" t="s">
        <v>4087</v>
      </c>
      <c r="D7598" s="2"/>
      <c r="E7598" s="31" t="n">
        <v>37.6</v>
      </c>
      <c r="F7598" s="31" t="n">
        <v>16.6</v>
      </c>
      <c r="G7598" s="31" t="n">
        <v>19</v>
      </c>
      <c r="H7598" s="2" t="s">
        <v>668</v>
      </c>
    </row>
    <row r="7599" customFormat="false" ht="15" hidden="false" customHeight="false" outlineLevel="0" collapsed="false">
      <c r="A7599" s="2" t="s">
        <v>2203</v>
      </c>
      <c r="B7599" s="2" t="s">
        <v>45</v>
      </c>
      <c r="C7599" s="2" t="s">
        <v>4085</v>
      </c>
      <c r="D7599" s="11" t="n">
        <v>122890</v>
      </c>
      <c r="E7599" s="31" t="n">
        <v>9.9</v>
      </c>
      <c r="F7599" s="2"/>
      <c r="G7599" s="2"/>
      <c r="H7599" s="2" t="s">
        <v>668</v>
      </c>
    </row>
    <row r="7600" customFormat="false" ht="15" hidden="false" customHeight="false" outlineLevel="0" collapsed="false">
      <c r="A7600" s="2" t="s">
        <v>2203</v>
      </c>
      <c r="B7600" s="2" t="s">
        <v>45</v>
      </c>
      <c r="C7600" s="2" t="s">
        <v>4086</v>
      </c>
      <c r="D7600" s="11" t="n">
        <v>123330</v>
      </c>
      <c r="E7600" s="31" t="n">
        <v>5.9</v>
      </c>
      <c r="F7600" s="31" t="n">
        <v>17.9</v>
      </c>
      <c r="G7600" s="31" t="n">
        <v>7.2</v>
      </c>
      <c r="H7600" s="2" t="s">
        <v>671</v>
      </c>
    </row>
    <row r="7601" customFormat="false" ht="15" hidden="false" customHeight="false" outlineLevel="0" collapsed="false">
      <c r="A7601" s="2" t="s">
        <v>2203</v>
      </c>
      <c r="B7601" s="2" t="s">
        <v>45</v>
      </c>
      <c r="C7601" s="2" t="s">
        <v>4087</v>
      </c>
      <c r="D7601" s="11" t="n">
        <v>122981</v>
      </c>
      <c r="E7601" s="31" t="n">
        <v>10.3</v>
      </c>
      <c r="F7601" s="31" t="n">
        <v>14.5</v>
      </c>
      <c r="G7601" s="2"/>
      <c r="H7601" s="2" t="s">
        <v>668</v>
      </c>
    </row>
    <row r="7602" customFormat="false" ht="15" hidden="false" customHeight="false" outlineLevel="0" collapsed="false">
      <c r="A7602" s="2" t="s">
        <v>2203</v>
      </c>
      <c r="B7602" s="2" t="s">
        <v>46</v>
      </c>
      <c r="C7602" s="2" t="s">
        <v>4085</v>
      </c>
      <c r="D7602" s="2"/>
      <c r="E7602" s="2"/>
      <c r="F7602" s="2"/>
      <c r="G7602" s="2"/>
      <c r="H7602" s="2" t="s">
        <v>668</v>
      </c>
    </row>
    <row r="7603" customFormat="false" ht="15" hidden="false" customHeight="false" outlineLevel="0" collapsed="false">
      <c r="A7603" s="2" t="s">
        <v>2203</v>
      </c>
      <c r="B7603" s="2" t="s">
        <v>46</v>
      </c>
      <c r="C7603" s="2" t="s">
        <v>4086</v>
      </c>
      <c r="D7603" s="11" t="n">
        <v>55960</v>
      </c>
      <c r="E7603" s="31" t="n">
        <v>66</v>
      </c>
      <c r="F7603" s="31" t="n">
        <v>19.3</v>
      </c>
      <c r="G7603" s="2"/>
      <c r="H7603" s="2" t="s">
        <v>668</v>
      </c>
    </row>
    <row r="7604" customFormat="false" ht="15" hidden="false" customHeight="false" outlineLevel="0" collapsed="false">
      <c r="A7604" s="2" t="s">
        <v>2203</v>
      </c>
      <c r="B7604" s="2" t="s">
        <v>46</v>
      </c>
      <c r="C7604" s="2" t="s">
        <v>4087</v>
      </c>
      <c r="D7604" s="2"/>
      <c r="E7604" s="2"/>
      <c r="F7604" s="2"/>
      <c r="G7604" s="2"/>
      <c r="H7604" s="2" t="s">
        <v>668</v>
      </c>
    </row>
    <row r="7605" customFormat="false" ht="15" hidden="false" customHeight="false" outlineLevel="0" collapsed="false">
      <c r="A7605" s="2" t="s">
        <v>2203</v>
      </c>
      <c r="B7605" s="2" t="s">
        <v>47</v>
      </c>
      <c r="C7605" s="2" t="s">
        <v>4085</v>
      </c>
      <c r="D7605" s="11" t="n">
        <v>141104</v>
      </c>
      <c r="E7605" s="31" t="n">
        <v>70.6</v>
      </c>
      <c r="F7605" s="31" t="n">
        <v>58.6</v>
      </c>
      <c r="G7605" s="2"/>
      <c r="H7605" s="2" t="s">
        <v>668</v>
      </c>
    </row>
    <row r="7606" customFormat="false" ht="15" hidden="false" customHeight="false" outlineLevel="0" collapsed="false">
      <c r="A7606" s="2" t="s">
        <v>2203</v>
      </c>
      <c r="B7606" s="2" t="s">
        <v>47</v>
      </c>
      <c r="C7606" s="2" t="s">
        <v>4086</v>
      </c>
      <c r="D7606" s="2"/>
      <c r="E7606" s="2"/>
      <c r="F7606" s="2"/>
      <c r="G7606" s="2"/>
      <c r="H7606" s="2" t="s">
        <v>668</v>
      </c>
    </row>
    <row r="7607" customFormat="false" ht="15" hidden="false" customHeight="false" outlineLevel="0" collapsed="false">
      <c r="A7607" s="2" t="s">
        <v>2203</v>
      </c>
      <c r="B7607" s="2" t="s">
        <v>47</v>
      </c>
      <c r="C7607" s="2" t="s">
        <v>4087</v>
      </c>
      <c r="D7607" s="11" t="n">
        <v>142865</v>
      </c>
      <c r="E7607" s="31" t="n">
        <v>65</v>
      </c>
      <c r="F7607" s="31" t="n">
        <v>18.7</v>
      </c>
      <c r="G7607" s="31" t="n">
        <v>19</v>
      </c>
      <c r="H7607" s="2" t="s">
        <v>671</v>
      </c>
    </row>
    <row r="7608" customFormat="false" ht="15" hidden="false" customHeight="false" outlineLevel="0" collapsed="false">
      <c r="A7608" s="2" t="s">
        <v>1357</v>
      </c>
      <c r="B7608" s="2" t="s">
        <v>4104</v>
      </c>
      <c r="C7608" s="2" t="s">
        <v>4085</v>
      </c>
      <c r="D7608" s="2"/>
      <c r="E7608" s="31" t="n">
        <v>58</v>
      </c>
      <c r="F7608" s="31" t="n">
        <v>52.8</v>
      </c>
      <c r="G7608" s="31" t="n">
        <v>34.8</v>
      </c>
      <c r="H7608" s="2" t="s">
        <v>671</v>
      </c>
    </row>
    <row r="7609" customFormat="false" ht="15" hidden="false" customHeight="false" outlineLevel="0" collapsed="false">
      <c r="A7609" s="2" t="s">
        <v>1357</v>
      </c>
      <c r="B7609" s="2" t="s">
        <v>4104</v>
      </c>
      <c r="C7609" s="2" t="s">
        <v>4086</v>
      </c>
      <c r="D7609" s="2"/>
      <c r="E7609" s="31" t="n">
        <v>53.5</v>
      </c>
      <c r="F7609" s="31" t="n">
        <v>41.4</v>
      </c>
      <c r="G7609" s="31" t="n">
        <v>42.8</v>
      </c>
      <c r="H7609" s="2" t="s">
        <v>671</v>
      </c>
    </row>
    <row r="7610" customFormat="false" ht="15" hidden="false" customHeight="false" outlineLevel="0" collapsed="false">
      <c r="A7610" s="2" t="s">
        <v>1357</v>
      </c>
      <c r="B7610" s="2" t="s">
        <v>4104</v>
      </c>
      <c r="C7610" s="2" t="s">
        <v>4087</v>
      </c>
      <c r="D7610" s="2"/>
      <c r="E7610" s="31" t="n">
        <v>51.7</v>
      </c>
      <c r="F7610" s="31" t="n">
        <v>65.2</v>
      </c>
      <c r="G7610" s="31" t="n">
        <v>39.6</v>
      </c>
      <c r="H7610" s="2" t="s">
        <v>668</v>
      </c>
    </row>
    <row r="7611" customFormat="false" ht="15" hidden="false" customHeight="false" outlineLevel="0" collapsed="false">
      <c r="A7611" s="2" t="s">
        <v>1357</v>
      </c>
      <c r="B7611" s="2" t="s">
        <v>45</v>
      </c>
      <c r="C7611" s="2" t="s">
        <v>4085</v>
      </c>
      <c r="D7611" s="11" t="n">
        <v>124010</v>
      </c>
      <c r="E7611" s="31" t="n">
        <v>5</v>
      </c>
      <c r="F7611" s="31" t="n">
        <v>93.2</v>
      </c>
      <c r="G7611" s="31" t="n">
        <v>18.8</v>
      </c>
      <c r="H7611" s="2" t="s">
        <v>671</v>
      </c>
    </row>
    <row r="7612" customFormat="false" ht="15" hidden="false" customHeight="false" outlineLevel="0" collapsed="false">
      <c r="A7612" s="2" t="s">
        <v>1357</v>
      </c>
      <c r="B7612" s="2" t="s">
        <v>45</v>
      </c>
      <c r="C7612" s="2" t="s">
        <v>4086</v>
      </c>
      <c r="D7612" s="11" t="n">
        <v>130290</v>
      </c>
      <c r="E7612" s="31" t="n">
        <v>1.9</v>
      </c>
      <c r="F7612" s="31" t="n">
        <v>83.6</v>
      </c>
      <c r="G7612" s="31" t="n">
        <v>75.1</v>
      </c>
      <c r="H7612" s="2" t="s">
        <v>671</v>
      </c>
    </row>
    <row r="7613" customFormat="false" ht="15" hidden="false" customHeight="false" outlineLevel="0" collapsed="false">
      <c r="A7613" s="2" t="s">
        <v>1357</v>
      </c>
      <c r="B7613" s="2" t="s">
        <v>45</v>
      </c>
      <c r="C7613" s="2" t="s">
        <v>4087</v>
      </c>
      <c r="D7613" s="11" t="n">
        <v>1069298</v>
      </c>
      <c r="E7613" s="31" t="n">
        <v>3.6</v>
      </c>
      <c r="F7613" s="31" t="n">
        <v>100</v>
      </c>
      <c r="G7613" s="31" t="n">
        <v>72.9</v>
      </c>
      <c r="H7613" s="2" t="s">
        <v>671</v>
      </c>
    </row>
    <row r="7614" customFormat="false" ht="15" hidden="false" customHeight="false" outlineLevel="0" collapsed="false">
      <c r="A7614" s="2" t="s">
        <v>1357</v>
      </c>
      <c r="B7614" s="2" t="s">
        <v>46</v>
      </c>
      <c r="C7614" s="2" t="s">
        <v>4085</v>
      </c>
      <c r="D7614" s="11" t="n">
        <v>48732</v>
      </c>
      <c r="E7614" s="31" t="n">
        <v>97.3</v>
      </c>
      <c r="F7614" s="31" t="n">
        <v>44.2</v>
      </c>
      <c r="G7614" s="31" t="n">
        <v>10.5</v>
      </c>
      <c r="H7614" s="2" t="s">
        <v>671</v>
      </c>
    </row>
    <row r="7615" customFormat="false" ht="15" hidden="false" customHeight="false" outlineLevel="0" collapsed="false">
      <c r="A7615" s="2" t="s">
        <v>1357</v>
      </c>
      <c r="B7615" s="2" t="s">
        <v>46</v>
      </c>
      <c r="C7615" s="2" t="s">
        <v>4086</v>
      </c>
      <c r="D7615" s="11" t="n">
        <v>49870</v>
      </c>
      <c r="E7615" s="31" t="n">
        <v>93.7</v>
      </c>
      <c r="F7615" s="31" t="n">
        <v>35.3</v>
      </c>
      <c r="G7615" s="31" t="n">
        <v>1.5</v>
      </c>
      <c r="H7615" s="2" t="s">
        <v>671</v>
      </c>
    </row>
    <row r="7616" customFormat="false" ht="15" hidden="false" customHeight="false" outlineLevel="0" collapsed="false">
      <c r="A7616" s="2" t="s">
        <v>1357</v>
      </c>
      <c r="B7616" s="2" t="s">
        <v>46</v>
      </c>
      <c r="C7616" s="2" t="s">
        <v>4087</v>
      </c>
      <c r="D7616" s="11" t="n">
        <v>51090</v>
      </c>
      <c r="E7616" s="31" t="n">
        <v>99.8</v>
      </c>
      <c r="F7616" s="31" t="n">
        <v>30.3</v>
      </c>
      <c r="G7616" s="31" t="n">
        <v>6.2</v>
      </c>
      <c r="H7616" s="2" t="s">
        <v>671</v>
      </c>
    </row>
    <row r="7617" customFormat="false" ht="15" hidden="false" customHeight="false" outlineLevel="0" collapsed="false">
      <c r="A7617" s="2" t="s">
        <v>1357</v>
      </c>
      <c r="B7617" s="2" t="s">
        <v>47</v>
      </c>
      <c r="C7617" s="2" t="s">
        <v>4085</v>
      </c>
      <c r="D7617" s="11" t="n">
        <v>24678</v>
      </c>
      <c r="E7617" s="31" t="n">
        <v>71.8</v>
      </c>
      <c r="F7617" s="31" t="n">
        <v>20.9</v>
      </c>
      <c r="G7617" s="31" t="n">
        <v>75</v>
      </c>
      <c r="H7617" s="2" t="s">
        <v>671</v>
      </c>
    </row>
    <row r="7618" customFormat="false" ht="15" hidden="false" customHeight="false" outlineLevel="0" collapsed="false">
      <c r="A7618" s="2" t="s">
        <v>1357</v>
      </c>
      <c r="B7618" s="2" t="s">
        <v>47</v>
      </c>
      <c r="C7618" s="2" t="s">
        <v>4086</v>
      </c>
      <c r="D7618" s="11" t="n">
        <v>24682</v>
      </c>
      <c r="E7618" s="31" t="n">
        <v>64.9</v>
      </c>
      <c r="F7618" s="31" t="n">
        <v>5.2</v>
      </c>
      <c r="G7618" s="31" t="n">
        <v>51.8</v>
      </c>
      <c r="H7618" s="2" t="s">
        <v>671</v>
      </c>
    </row>
    <row r="7619" customFormat="false" ht="15" hidden="false" customHeight="false" outlineLevel="0" collapsed="false">
      <c r="A7619" s="2" t="s">
        <v>1357</v>
      </c>
      <c r="B7619" s="2" t="s">
        <v>47</v>
      </c>
      <c r="C7619" s="2" t="s">
        <v>4087</v>
      </c>
      <c r="D7619" s="2"/>
      <c r="E7619" s="2"/>
      <c r="F7619" s="2"/>
      <c r="G7619" s="2"/>
      <c r="H7619" s="2" t="s">
        <v>668</v>
      </c>
    </row>
    <row r="7620" customFormat="false" ht="15" hidden="false" customHeight="false" outlineLevel="0" collapsed="false">
      <c r="A7620" s="2" t="s">
        <v>504</v>
      </c>
      <c r="B7620" s="2" t="s">
        <v>4104</v>
      </c>
      <c r="C7620" s="2" t="s">
        <v>4085</v>
      </c>
      <c r="D7620" s="2"/>
      <c r="E7620" s="31" t="n">
        <v>27.1</v>
      </c>
      <c r="F7620" s="31" t="n">
        <v>41.7</v>
      </c>
      <c r="G7620" s="31" t="n">
        <v>41.6</v>
      </c>
      <c r="H7620" s="2" t="s">
        <v>671</v>
      </c>
    </row>
    <row r="7621" customFormat="false" ht="15" hidden="false" customHeight="false" outlineLevel="0" collapsed="false">
      <c r="A7621" s="2" t="s">
        <v>504</v>
      </c>
      <c r="B7621" s="2" t="s">
        <v>4104</v>
      </c>
      <c r="C7621" s="2" t="s">
        <v>4086</v>
      </c>
      <c r="D7621" s="2"/>
      <c r="E7621" s="31" t="n">
        <v>33.4</v>
      </c>
      <c r="F7621" s="31" t="n">
        <v>38.8</v>
      </c>
      <c r="G7621" s="31" t="n">
        <v>37.1</v>
      </c>
      <c r="H7621" s="2" t="s">
        <v>668</v>
      </c>
    </row>
    <row r="7622" customFormat="false" ht="15" hidden="false" customHeight="false" outlineLevel="0" collapsed="false">
      <c r="A7622" s="2" t="s">
        <v>504</v>
      </c>
      <c r="B7622" s="2" t="s">
        <v>4104</v>
      </c>
      <c r="C7622" s="2" t="s">
        <v>4087</v>
      </c>
      <c r="D7622" s="2"/>
      <c r="E7622" s="31" t="n">
        <v>35.3</v>
      </c>
      <c r="F7622" s="31" t="n">
        <v>36.2</v>
      </c>
      <c r="G7622" s="31" t="n">
        <v>35.2</v>
      </c>
      <c r="H7622" s="2" t="s">
        <v>671</v>
      </c>
    </row>
    <row r="7623" customFormat="false" ht="15" hidden="false" customHeight="false" outlineLevel="0" collapsed="false">
      <c r="A7623" s="2" t="s">
        <v>504</v>
      </c>
      <c r="B7623" s="2" t="s">
        <v>45</v>
      </c>
      <c r="C7623" s="2" t="s">
        <v>4085</v>
      </c>
      <c r="D7623" s="11" t="n">
        <v>12046</v>
      </c>
      <c r="E7623" s="31" t="n">
        <v>16.8</v>
      </c>
      <c r="F7623" s="31" t="n">
        <v>78.1</v>
      </c>
      <c r="G7623" s="31" t="n">
        <v>88.3</v>
      </c>
      <c r="H7623" s="2" t="s">
        <v>671</v>
      </c>
    </row>
    <row r="7624" customFormat="false" ht="15" hidden="false" customHeight="false" outlineLevel="0" collapsed="false">
      <c r="A7624" s="2" t="s">
        <v>504</v>
      </c>
      <c r="B7624" s="2" t="s">
        <v>45</v>
      </c>
      <c r="C7624" s="2" t="s">
        <v>4086</v>
      </c>
      <c r="D7624" s="11" t="n">
        <v>12670</v>
      </c>
      <c r="E7624" s="31" t="n">
        <v>30.4</v>
      </c>
      <c r="F7624" s="31" t="n">
        <v>88.7</v>
      </c>
      <c r="G7624" s="2"/>
      <c r="H7624" s="2" t="s">
        <v>668</v>
      </c>
    </row>
    <row r="7625" customFormat="false" ht="15" hidden="false" customHeight="false" outlineLevel="0" collapsed="false">
      <c r="A7625" s="2" t="s">
        <v>504</v>
      </c>
      <c r="B7625" s="2" t="s">
        <v>45</v>
      </c>
      <c r="C7625" s="2" t="s">
        <v>4087</v>
      </c>
      <c r="D7625" s="11" t="n">
        <v>13147</v>
      </c>
      <c r="E7625" s="31" t="n">
        <v>43.8</v>
      </c>
      <c r="F7625" s="31" t="n">
        <v>77</v>
      </c>
      <c r="G7625" s="31" t="n">
        <v>72.1</v>
      </c>
      <c r="H7625" s="2" t="s">
        <v>671</v>
      </c>
    </row>
    <row r="7626" customFormat="false" ht="15" hidden="false" customHeight="false" outlineLevel="0" collapsed="false">
      <c r="A7626" s="2" t="s">
        <v>504</v>
      </c>
      <c r="B7626" s="2" t="s">
        <v>46</v>
      </c>
      <c r="C7626" s="2" t="s">
        <v>4085</v>
      </c>
      <c r="D7626" s="11" t="n">
        <v>64738</v>
      </c>
      <c r="E7626" s="31" t="n">
        <v>39.1</v>
      </c>
      <c r="F7626" s="31" t="n">
        <v>27</v>
      </c>
      <c r="G7626" s="31" t="n">
        <v>35.6</v>
      </c>
      <c r="H7626" s="2" t="s">
        <v>671</v>
      </c>
    </row>
    <row r="7627" customFormat="false" ht="15" hidden="false" customHeight="false" outlineLevel="0" collapsed="false">
      <c r="A7627" s="2" t="s">
        <v>504</v>
      </c>
      <c r="B7627" s="2" t="s">
        <v>46</v>
      </c>
      <c r="C7627" s="2" t="s">
        <v>4086</v>
      </c>
      <c r="D7627" s="11" t="n">
        <v>66250</v>
      </c>
      <c r="E7627" s="31" t="n">
        <v>38.5</v>
      </c>
      <c r="F7627" s="31" t="n">
        <v>13.8</v>
      </c>
      <c r="G7627" s="31" t="n">
        <v>73.3</v>
      </c>
      <c r="H7627" s="2" t="s">
        <v>671</v>
      </c>
    </row>
    <row r="7628" customFormat="false" ht="15" hidden="false" customHeight="false" outlineLevel="0" collapsed="false">
      <c r="A7628" s="2" t="s">
        <v>504</v>
      </c>
      <c r="B7628" s="2" t="s">
        <v>46</v>
      </c>
      <c r="C7628" s="2" t="s">
        <v>4087</v>
      </c>
      <c r="D7628" s="11" t="n">
        <v>66830</v>
      </c>
      <c r="E7628" s="31" t="n">
        <v>20.9</v>
      </c>
      <c r="F7628" s="31" t="n">
        <v>19.5</v>
      </c>
      <c r="G7628" s="31" t="n">
        <v>26.2</v>
      </c>
      <c r="H7628" s="2" t="s">
        <v>671</v>
      </c>
    </row>
    <row r="7629" customFormat="false" ht="15" hidden="false" customHeight="false" outlineLevel="0" collapsed="false">
      <c r="A7629" s="2" t="s">
        <v>504</v>
      </c>
      <c r="B7629" s="2" t="s">
        <v>47</v>
      </c>
      <c r="C7629" s="2" t="s">
        <v>4085</v>
      </c>
      <c r="D7629" s="11" t="n">
        <v>1390</v>
      </c>
      <c r="E7629" s="31" t="n">
        <v>25.4</v>
      </c>
      <c r="F7629" s="31" t="n">
        <v>20</v>
      </c>
      <c r="G7629" s="31" t="n">
        <v>0.8</v>
      </c>
      <c r="H7629" s="2" t="s">
        <v>671</v>
      </c>
    </row>
    <row r="7630" customFormat="false" ht="15" hidden="false" customHeight="false" outlineLevel="0" collapsed="false">
      <c r="A7630" s="2" t="s">
        <v>504</v>
      </c>
      <c r="B7630" s="2" t="s">
        <v>47</v>
      </c>
      <c r="C7630" s="2" t="s">
        <v>4086</v>
      </c>
      <c r="D7630" s="11" t="n">
        <v>1401</v>
      </c>
      <c r="E7630" s="31" t="n">
        <v>31.4</v>
      </c>
      <c r="F7630" s="31" t="n">
        <v>13.8</v>
      </c>
      <c r="G7630" s="31" t="n">
        <v>0.9</v>
      </c>
      <c r="H7630" s="2" t="s">
        <v>671</v>
      </c>
    </row>
    <row r="7631" customFormat="false" ht="15" hidden="false" customHeight="false" outlineLevel="0" collapsed="false">
      <c r="A7631" s="2" t="s">
        <v>504</v>
      </c>
      <c r="B7631" s="2" t="s">
        <v>47</v>
      </c>
      <c r="C7631" s="2" t="s">
        <v>4087</v>
      </c>
      <c r="D7631" s="11" t="n">
        <v>1413</v>
      </c>
      <c r="E7631" s="31" t="n">
        <v>41.1</v>
      </c>
      <c r="F7631" s="31" t="n">
        <v>12</v>
      </c>
      <c r="G7631" s="31" t="n">
        <v>7.2</v>
      </c>
      <c r="H7631" s="2" t="s">
        <v>671</v>
      </c>
    </row>
    <row r="7632" customFormat="false" ht="15" hidden="false" customHeight="false" outlineLevel="0" collapsed="false">
      <c r="A7632" s="2" t="s">
        <v>444</v>
      </c>
      <c r="B7632" s="2" t="s">
        <v>4104</v>
      </c>
      <c r="C7632" s="2" t="s">
        <v>4085</v>
      </c>
      <c r="D7632" s="2"/>
      <c r="E7632" s="31" t="n">
        <v>55.5</v>
      </c>
      <c r="F7632" s="2"/>
      <c r="G7632" s="2"/>
      <c r="H7632" s="2" t="s">
        <v>668</v>
      </c>
    </row>
    <row r="7633" customFormat="false" ht="15" hidden="false" customHeight="false" outlineLevel="0" collapsed="false">
      <c r="A7633" s="2" t="s">
        <v>444</v>
      </c>
      <c r="B7633" s="2" t="s">
        <v>4104</v>
      </c>
      <c r="C7633" s="2" t="s">
        <v>4086</v>
      </c>
      <c r="D7633" s="2"/>
      <c r="E7633" s="31" t="n">
        <v>71.3</v>
      </c>
      <c r="F7633" s="2"/>
      <c r="G7633" s="2"/>
      <c r="H7633" s="2" t="s">
        <v>668</v>
      </c>
    </row>
    <row r="7634" customFormat="false" ht="15" hidden="false" customHeight="false" outlineLevel="0" collapsed="false">
      <c r="A7634" s="2" t="s">
        <v>444</v>
      </c>
      <c r="B7634" s="2" t="s">
        <v>4104</v>
      </c>
      <c r="C7634" s="2" t="s">
        <v>4087</v>
      </c>
      <c r="D7634" s="2"/>
      <c r="E7634" s="31" t="n">
        <v>41.5</v>
      </c>
      <c r="F7634" s="31" t="n">
        <v>22.2</v>
      </c>
      <c r="G7634" s="2"/>
      <c r="H7634" s="2" t="s">
        <v>671</v>
      </c>
    </row>
    <row r="7635" customFormat="false" ht="15" hidden="false" customHeight="false" outlineLevel="0" collapsed="false">
      <c r="A7635" s="2" t="s">
        <v>444</v>
      </c>
      <c r="B7635" s="2" t="s">
        <v>45</v>
      </c>
      <c r="C7635" s="2" t="s">
        <v>4085</v>
      </c>
      <c r="D7635" s="11" t="n">
        <v>2750</v>
      </c>
      <c r="E7635" s="31" t="n">
        <v>55.5</v>
      </c>
      <c r="F7635" s="2"/>
      <c r="G7635" s="2"/>
      <c r="H7635" s="2" t="s">
        <v>668</v>
      </c>
    </row>
    <row r="7636" customFormat="false" ht="15" hidden="false" customHeight="false" outlineLevel="0" collapsed="false">
      <c r="A7636" s="2" t="s">
        <v>444</v>
      </c>
      <c r="B7636" s="2" t="s">
        <v>45</v>
      </c>
      <c r="C7636" s="2" t="s">
        <v>4086</v>
      </c>
      <c r="D7636" s="11" t="n">
        <v>2790</v>
      </c>
      <c r="E7636" s="31" t="n">
        <v>71.3</v>
      </c>
      <c r="F7636" s="2"/>
      <c r="G7636" s="2"/>
      <c r="H7636" s="2" t="s">
        <v>668</v>
      </c>
    </row>
    <row r="7637" customFormat="false" ht="15" hidden="false" customHeight="false" outlineLevel="0" collapsed="false">
      <c r="A7637" s="2" t="s">
        <v>444</v>
      </c>
      <c r="B7637" s="2" t="s">
        <v>45</v>
      </c>
      <c r="C7637" s="2" t="s">
        <v>4087</v>
      </c>
      <c r="D7637" s="11" t="n">
        <v>2925</v>
      </c>
      <c r="E7637" s="31" t="n">
        <v>41.5</v>
      </c>
      <c r="F7637" s="31" t="n">
        <v>22.2</v>
      </c>
      <c r="G7637" s="2"/>
      <c r="H7637" s="2" t="s">
        <v>671</v>
      </c>
    </row>
    <row r="7638" customFormat="false" ht="15" hidden="false" customHeight="false" outlineLevel="0" collapsed="false">
      <c r="A7638" s="2" t="s">
        <v>91</v>
      </c>
      <c r="B7638" s="2" t="s">
        <v>4104</v>
      </c>
      <c r="C7638" s="2" t="s">
        <v>4085</v>
      </c>
      <c r="D7638" s="2"/>
      <c r="E7638" s="31" t="n">
        <v>93</v>
      </c>
      <c r="F7638" s="31" t="n">
        <v>76</v>
      </c>
      <c r="G7638" s="31" t="n">
        <v>79.7</v>
      </c>
      <c r="H7638" s="2" t="s">
        <v>671</v>
      </c>
    </row>
    <row r="7639" customFormat="false" ht="15" hidden="false" customHeight="false" outlineLevel="0" collapsed="false">
      <c r="A7639" s="2" t="s">
        <v>91</v>
      </c>
      <c r="B7639" s="2" t="s">
        <v>4104</v>
      </c>
      <c r="C7639" s="2" t="s">
        <v>4086</v>
      </c>
      <c r="D7639" s="2"/>
      <c r="E7639" s="2"/>
      <c r="F7639" s="2"/>
      <c r="G7639" s="2"/>
      <c r="H7639" s="2" t="s">
        <v>668</v>
      </c>
    </row>
    <row r="7640" customFormat="false" ht="15" hidden="false" customHeight="false" outlineLevel="0" collapsed="false">
      <c r="A7640" s="2" t="s">
        <v>91</v>
      </c>
      <c r="B7640" s="2" t="s">
        <v>4104</v>
      </c>
      <c r="C7640" s="2" t="s">
        <v>4087</v>
      </c>
      <c r="D7640" s="2"/>
      <c r="E7640" s="31" t="n">
        <v>98.1</v>
      </c>
      <c r="F7640" s="31" t="n">
        <v>46.9</v>
      </c>
      <c r="G7640" s="31" t="n">
        <v>78</v>
      </c>
      <c r="H7640" s="2" t="s">
        <v>671</v>
      </c>
    </row>
    <row r="7641" customFormat="false" ht="15" hidden="false" customHeight="false" outlineLevel="0" collapsed="false">
      <c r="A7641" s="2" t="s">
        <v>91</v>
      </c>
      <c r="B7641" s="2" t="s">
        <v>46</v>
      </c>
      <c r="C7641" s="2" t="s">
        <v>4085</v>
      </c>
      <c r="D7641" s="11" t="n">
        <v>29222</v>
      </c>
      <c r="E7641" s="31" t="n">
        <v>93</v>
      </c>
      <c r="F7641" s="31" t="n">
        <v>76</v>
      </c>
      <c r="G7641" s="31" t="n">
        <v>79.7</v>
      </c>
      <c r="H7641" s="2" t="s">
        <v>671</v>
      </c>
    </row>
    <row r="7642" customFormat="false" ht="15" hidden="false" customHeight="false" outlineLevel="0" collapsed="false">
      <c r="A7642" s="2" t="s">
        <v>91</v>
      </c>
      <c r="B7642" s="2" t="s">
        <v>46</v>
      </c>
      <c r="C7642" s="2" t="s">
        <v>4086</v>
      </c>
      <c r="D7642" s="2"/>
      <c r="E7642" s="2"/>
      <c r="F7642" s="2"/>
      <c r="G7642" s="2"/>
      <c r="H7642" s="2" t="s">
        <v>668</v>
      </c>
    </row>
    <row r="7643" customFormat="false" ht="15" hidden="false" customHeight="false" outlineLevel="0" collapsed="false">
      <c r="A7643" s="2" t="s">
        <v>91</v>
      </c>
      <c r="B7643" s="2" t="s">
        <v>46</v>
      </c>
      <c r="C7643" s="2" t="s">
        <v>4087</v>
      </c>
      <c r="D7643" s="11" t="n">
        <v>31260</v>
      </c>
      <c r="E7643" s="31" t="n">
        <v>98.1</v>
      </c>
      <c r="F7643" s="31" t="n">
        <v>46.9</v>
      </c>
      <c r="G7643" s="31" t="n">
        <v>78</v>
      </c>
      <c r="H7643" s="2" t="s">
        <v>671</v>
      </c>
    </row>
    <row r="7644" customFormat="false" ht="15" hidden="false" customHeight="false" outlineLevel="0" collapsed="false">
      <c r="A7644" s="2" t="s">
        <v>574</v>
      </c>
      <c r="B7644" s="2" t="s">
        <v>4104</v>
      </c>
      <c r="C7644" s="2" t="s">
        <v>4085</v>
      </c>
      <c r="D7644" s="2"/>
      <c r="E7644" s="31" t="n">
        <v>43</v>
      </c>
      <c r="F7644" s="31" t="n">
        <v>49</v>
      </c>
      <c r="G7644" s="31" t="n">
        <v>74.3</v>
      </c>
      <c r="H7644" s="2" t="s">
        <v>668</v>
      </c>
    </row>
    <row r="7645" customFormat="false" ht="15" hidden="false" customHeight="false" outlineLevel="0" collapsed="false">
      <c r="A7645" s="2" t="s">
        <v>574</v>
      </c>
      <c r="B7645" s="2" t="s">
        <v>4104</v>
      </c>
      <c r="C7645" s="2" t="s">
        <v>4086</v>
      </c>
      <c r="D7645" s="2"/>
      <c r="E7645" s="31" t="n">
        <v>31.3</v>
      </c>
      <c r="F7645" s="31" t="n">
        <v>46.2</v>
      </c>
      <c r="G7645" s="31" t="n">
        <v>63.3</v>
      </c>
      <c r="H7645" s="2" t="s">
        <v>671</v>
      </c>
    </row>
    <row r="7646" customFormat="false" ht="15" hidden="false" customHeight="false" outlineLevel="0" collapsed="false">
      <c r="A7646" s="2" t="s">
        <v>574</v>
      </c>
      <c r="B7646" s="2" t="s">
        <v>4104</v>
      </c>
      <c r="C7646" s="2" t="s">
        <v>4087</v>
      </c>
      <c r="D7646" s="2"/>
      <c r="E7646" s="31" t="n">
        <v>25.9</v>
      </c>
      <c r="F7646" s="31" t="n">
        <v>52</v>
      </c>
      <c r="G7646" s="31" t="n">
        <v>67.5</v>
      </c>
      <c r="H7646" s="2" t="s">
        <v>671</v>
      </c>
    </row>
    <row r="7647" customFormat="false" ht="15" hidden="false" customHeight="false" outlineLevel="0" collapsed="false">
      <c r="A7647" s="2" t="s">
        <v>574</v>
      </c>
      <c r="B7647" s="2" t="s">
        <v>45</v>
      </c>
      <c r="C7647" s="2" t="s">
        <v>4085</v>
      </c>
      <c r="D7647" s="11" t="n">
        <v>71320</v>
      </c>
      <c r="E7647" s="31" t="n">
        <v>78.8</v>
      </c>
      <c r="F7647" s="31" t="n">
        <v>32.1</v>
      </c>
      <c r="G7647" s="2"/>
      <c r="H7647" s="2" t="s">
        <v>668</v>
      </c>
    </row>
    <row r="7648" customFormat="false" ht="15" hidden="false" customHeight="false" outlineLevel="0" collapsed="false">
      <c r="A7648" s="2" t="s">
        <v>574</v>
      </c>
      <c r="B7648" s="2" t="s">
        <v>45</v>
      </c>
      <c r="C7648" s="2" t="s">
        <v>4086</v>
      </c>
      <c r="D7648" s="11" t="n">
        <v>73960</v>
      </c>
      <c r="E7648" s="31" t="n">
        <v>55.6</v>
      </c>
      <c r="F7648" s="31" t="n">
        <v>25.8</v>
      </c>
      <c r="G7648" s="31" t="n">
        <v>74.1</v>
      </c>
      <c r="H7648" s="2" t="s">
        <v>671</v>
      </c>
    </row>
    <row r="7649" customFormat="false" ht="15" hidden="false" customHeight="false" outlineLevel="0" collapsed="false">
      <c r="A7649" s="2" t="s">
        <v>574</v>
      </c>
      <c r="B7649" s="2" t="s">
        <v>45</v>
      </c>
      <c r="C7649" s="2" t="s">
        <v>4087</v>
      </c>
      <c r="D7649" s="11" t="n">
        <v>75300</v>
      </c>
      <c r="E7649" s="31" t="n">
        <v>57.7</v>
      </c>
      <c r="F7649" s="31" t="n">
        <v>31.7</v>
      </c>
      <c r="G7649" s="31" t="n">
        <v>64.6</v>
      </c>
      <c r="H7649" s="2" t="s">
        <v>671</v>
      </c>
    </row>
    <row r="7650" customFormat="false" ht="15" hidden="false" customHeight="false" outlineLevel="0" collapsed="false">
      <c r="A7650" s="2" t="s">
        <v>574</v>
      </c>
      <c r="B7650" s="2" t="s">
        <v>46</v>
      </c>
      <c r="C7650" s="2" t="s">
        <v>4085</v>
      </c>
      <c r="D7650" s="2"/>
      <c r="E7650" s="2"/>
      <c r="F7650" s="2"/>
      <c r="G7650" s="2"/>
      <c r="H7650" s="2" t="s">
        <v>668</v>
      </c>
    </row>
    <row r="7651" customFormat="false" ht="15" hidden="false" customHeight="false" outlineLevel="0" collapsed="false">
      <c r="A7651" s="2" t="s">
        <v>574</v>
      </c>
      <c r="B7651" s="2" t="s">
        <v>46</v>
      </c>
      <c r="C7651" s="2" t="s">
        <v>4086</v>
      </c>
      <c r="D7651" s="11" t="n">
        <v>142920</v>
      </c>
      <c r="E7651" s="31" t="n">
        <v>20.4</v>
      </c>
      <c r="F7651" s="31" t="n">
        <v>40.1</v>
      </c>
      <c r="G7651" s="31" t="n">
        <v>65.1</v>
      </c>
      <c r="H7651" s="2" t="s">
        <v>671</v>
      </c>
    </row>
    <row r="7652" customFormat="false" ht="15" hidden="false" customHeight="false" outlineLevel="0" collapsed="false">
      <c r="A7652" s="2" t="s">
        <v>574</v>
      </c>
      <c r="B7652" s="2" t="s">
        <v>46</v>
      </c>
      <c r="C7652" s="2" t="s">
        <v>4087</v>
      </c>
      <c r="D7652" s="11" t="n">
        <v>146070</v>
      </c>
      <c r="E7652" s="31" t="n">
        <v>12.1</v>
      </c>
      <c r="F7652" s="31" t="n">
        <v>41.1</v>
      </c>
      <c r="G7652" s="31" t="n">
        <v>91.5</v>
      </c>
      <c r="H7652" s="2" t="s">
        <v>671</v>
      </c>
    </row>
    <row r="7653" customFormat="false" ht="15" hidden="false" customHeight="false" outlineLevel="0" collapsed="false">
      <c r="A7653" s="2" t="s">
        <v>574</v>
      </c>
      <c r="B7653" s="2" t="s">
        <v>47</v>
      </c>
      <c r="C7653" s="2" t="s">
        <v>4085</v>
      </c>
      <c r="D7653" s="11" t="n">
        <v>126569</v>
      </c>
      <c r="E7653" s="31" t="n">
        <v>7.3</v>
      </c>
      <c r="F7653" s="31" t="n">
        <v>66</v>
      </c>
      <c r="G7653" s="31" t="n">
        <v>74.3</v>
      </c>
      <c r="H7653" s="2" t="s">
        <v>671</v>
      </c>
    </row>
    <row r="7654" customFormat="false" ht="15" hidden="false" customHeight="false" outlineLevel="0" collapsed="false">
      <c r="A7654" s="2" t="s">
        <v>574</v>
      </c>
      <c r="B7654" s="2" t="s">
        <v>47</v>
      </c>
      <c r="C7654" s="2" t="s">
        <v>4086</v>
      </c>
      <c r="D7654" s="11" t="n">
        <v>130076</v>
      </c>
      <c r="E7654" s="31" t="n">
        <v>17.8</v>
      </c>
      <c r="F7654" s="31" t="n">
        <v>72.7</v>
      </c>
      <c r="G7654" s="31" t="n">
        <v>50.7</v>
      </c>
      <c r="H7654" s="2" t="s">
        <v>671</v>
      </c>
    </row>
    <row r="7655" customFormat="false" ht="15" hidden="false" customHeight="false" outlineLevel="0" collapsed="false">
      <c r="A7655" s="2" t="s">
        <v>574</v>
      </c>
      <c r="B7655" s="2" t="s">
        <v>47</v>
      </c>
      <c r="C7655" s="2" t="s">
        <v>4087</v>
      </c>
      <c r="D7655" s="11" t="n">
        <v>135932</v>
      </c>
      <c r="E7655" s="31" t="n">
        <v>8</v>
      </c>
      <c r="F7655" s="31" t="n">
        <v>83.1</v>
      </c>
      <c r="G7655" s="31" t="n">
        <v>46.3</v>
      </c>
      <c r="H7655" s="2" t="s">
        <v>671</v>
      </c>
    </row>
    <row r="7656" customFormat="false" ht="15" hidden="false" customHeight="false" outlineLevel="0" collapsed="false">
      <c r="A7656" s="2" t="s">
        <v>1613</v>
      </c>
      <c r="B7656" s="2" t="s">
        <v>4104</v>
      </c>
      <c r="C7656" s="2" t="s">
        <v>4085</v>
      </c>
      <c r="D7656" s="2"/>
      <c r="E7656" s="31" t="n">
        <v>28.9</v>
      </c>
      <c r="F7656" s="31" t="n">
        <v>20.3</v>
      </c>
      <c r="G7656" s="31" t="n">
        <v>6.3</v>
      </c>
      <c r="H7656" s="2" t="s">
        <v>668</v>
      </c>
    </row>
    <row r="7657" customFormat="false" ht="15" hidden="false" customHeight="false" outlineLevel="0" collapsed="false">
      <c r="A7657" s="2" t="s">
        <v>1613</v>
      </c>
      <c r="B7657" s="2" t="s">
        <v>4104</v>
      </c>
      <c r="C7657" s="2" t="s">
        <v>4086</v>
      </c>
      <c r="D7657" s="2"/>
      <c r="E7657" s="31" t="n">
        <v>48.1</v>
      </c>
      <c r="F7657" s="31" t="n">
        <v>36.2</v>
      </c>
      <c r="G7657" s="31" t="n">
        <v>21.4</v>
      </c>
      <c r="H7657" s="2" t="s">
        <v>671</v>
      </c>
    </row>
    <row r="7658" customFormat="false" ht="15" hidden="false" customHeight="false" outlineLevel="0" collapsed="false">
      <c r="A7658" s="2" t="s">
        <v>1613</v>
      </c>
      <c r="B7658" s="2" t="s">
        <v>4104</v>
      </c>
      <c r="C7658" s="2" t="s">
        <v>4087</v>
      </c>
      <c r="D7658" s="2"/>
      <c r="E7658" s="31" t="n">
        <v>40.7</v>
      </c>
      <c r="F7658" s="31" t="n">
        <v>74.7</v>
      </c>
      <c r="G7658" s="31" t="n">
        <v>64.5</v>
      </c>
      <c r="H7658" s="2" t="s">
        <v>668</v>
      </c>
    </row>
    <row r="7659" customFormat="false" ht="15" hidden="false" customHeight="false" outlineLevel="0" collapsed="false">
      <c r="A7659" s="2" t="s">
        <v>1613</v>
      </c>
      <c r="B7659" s="2" t="s">
        <v>45</v>
      </c>
      <c r="C7659" s="2" t="s">
        <v>4085</v>
      </c>
      <c r="D7659" s="11" t="n">
        <v>9792</v>
      </c>
      <c r="E7659" s="31" t="n">
        <v>22.2</v>
      </c>
      <c r="F7659" s="31" t="n">
        <v>4.8</v>
      </c>
      <c r="G7659" s="2"/>
      <c r="H7659" s="2" t="s">
        <v>671</v>
      </c>
    </row>
    <row r="7660" customFormat="false" ht="15" hidden="false" customHeight="false" outlineLevel="0" collapsed="false">
      <c r="A7660" s="2" t="s">
        <v>1613</v>
      </c>
      <c r="B7660" s="2" t="s">
        <v>45</v>
      </c>
      <c r="C7660" s="2" t="s">
        <v>4086</v>
      </c>
      <c r="D7660" s="11" t="n">
        <v>9560</v>
      </c>
      <c r="E7660" s="31" t="n">
        <v>46.7</v>
      </c>
      <c r="F7660" s="31" t="n">
        <v>1.4</v>
      </c>
      <c r="G7660" s="2"/>
      <c r="H7660" s="2" t="s">
        <v>671</v>
      </c>
    </row>
    <row r="7661" customFormat="false" ht="15" hidden="false" customHeight="false" outlineLevel="0" collapsed="false">
      <c r="A7661" s="2" t="s">
        <v>1613</v>
      </c>
      <c r="B7661" s="2" t="s">
        <v>45</v>
      </c>
      <c r="C7661" s="2" t="s">
        <v>4087</v>
      </c>
      <c r="D7661" s="11" t="n">
        <v>9526</v>
      </c>
      <c r="E7661" s="31" t="n">
        <v>19.2</v>
      </c>
      <c r="F7661" s="2"/>
      <c r="G7661" s="2"/>
      <c r="H7661" s="2" t="s">
        <v>668</v>
      </c>
    </row>
    <row r="7662" customFormat="false" ht="15" hidden="false" customHeight="false" outlineLevel="0" collapsed="false">
      <c r="A7662" s="2" t="s">
        <v>1613</v>
      </c>
      <c r="B7662" s="2" t="s">
        <v>46</v>
      </c>
      <c r="C7662" s="2" t="s">
        <v>4085</v>
      </c>
      <c r="D7662" s="2"/>
      <c r="E7662" s="2"/>
      <c r="F7662" s="2"/>
      <c r="G7662" s="2"/>
      <c r="H7662" s="2" t="s">
        <v>668</v>
      </c>
    </row>
    <row r="7663" customFormat="false" ht="15" hidden="false" customHeight="false" outlineLevel="0" collapsed="false">
      <c r="A7663" s="2" t="s">
        <v>1613</v>
      </c>
      <c r="B7663" s="2" t="s">
        <v>46</v>
      </c>
      <c r="C7663" s="2" t="s">
        <v>4086</v>
      </c>
      <c r="D7663" s="11" t="n">
        <v>25910</v>
      </c>
      <c r="E7663" s="31" t="n">
        <v>68</v>
      </c>
      <c r="F7663" s="31" t="n">
        <v>85.5</v>
      </c>
      <c r="G7663" s="31" t="n">
        <v>11</v>
      </c>
      <c r="H7663" s="2" t="s">
        <v>671</v>
      </c>
    </row>
    <row r="7664" customFormat="false" ht="15" hidden="false" customHeight="false" outlineLevel="0" collapsed="false">
      <c r="A7664" s="2" t="s">
        <v>1613</v>
      </c>
      <c r="B7664" s="2" t="s">
        <v>46</v>
      </c>
      <c r="C7664" s="2" t="s">
        <v>4087</v>
      </c>
      <c r="D7664" s="11" t="n">
        <v>27180</v>
      </c>
      <c r="E7664" s="31" t="n">
        <v>62.2</v>
      </c>
      <c r="F7664" s="31" t="n">
        <v>74.7</v>
      </c>
      <c r="G7664" s="31" t="n">
        <v>64.5</v>
      </c>
      <c r="H7664" s="2" t="s">
        <v>671</v>
      </c>
    </row>
    <row r="7665" customFormat="false" ht="15" hidden="false" customHeight="false" outlineLevel="0" collapsed="false">
      <c r="A7665" s="2" t="s">
        <v>1613</v>
      </c>
      <c r="B7665" s="2" t="s">
        <v>47</v>
      </c>
      <c r="C7665" s="2" t="s">
        <v>4085</v>
      </c>
      <c r="D7665" s="11" t="n">
        <v>74058</v>
      </c>
      <c r="E7665" s="31" t="n">
        <v>35.6</v>
      </c>
      <c r="F7665" s="31" t="n">
        <v>35.9</v>
      </c>
      <c r="G7665" s="31" t="n">
        <v>6.3</v>
      </c>
      <c r="H7665" s="2" t="s">
        <v>671</v>
      </c>
    </row>
    <row r="7666" customFormat="false" ht="15" hidden="false" customHeight="false" outlineLevel="0" collapsed="false">
      <c r="A7666" s="2" t="s">
        <v>1613</v>
      </c>
      <c r="B7666" s="2" t="s">
        <v>47</v>
      </c>
      <c r="C7666" s="2" t="s">
        <v>4086</v>
      </c>
      <c r="D7666" s="11" t="n">
        <v>77035</v>
      </c>
      <c r="E7666" s="31" t="n">
        <v>29.5</v>
      </c>
      <c r="F7666" s="31" t="n">
        <v>21.8</v>
      </c>
      <c r="G7666" s="31" t="n">
        <v>31.7</v>
      </c>
      <c r="H7666" s="2" t="s">
        <v>671</v>
      </c>
    </row>
    <row r="7667" customFormat="false" ht="15" hidden="false" customHeight="false" outlineLevel="0" collapsed="false">
      <c r="A7667" s="2" t="s">
        <v>1613</v>
      </c>
      <c r="B7667" s="2" t="s">
        <v>47</v>
      </c>
      <c r="C7667" s="2" t="s">
        <v>4087</v>
      </c>
      <c r="D7667" s="2"/>
      <c r="E7667" s="2"/>
      <c r="F7667" s="2"/>
      <c r="G7667" s="2"/>
      <c r="H7667" s="2" t="s">
        <v>668</v>
      </c>
    </row>
    <row r="7668" customFormat="false" ht="15" hidden="false" customHeight="false" outlineLevel="0" collapsed="false">
      <c r="A7668" s="2" t="s">
        <v>570</v>
      </c>
      <c r="B7668" s="2" t="s">
        <v>4104</v>
      </c>
      <c r="C7668" s="2" t="s">
        <v>4085</v>
      </c>
      <c r="D7668" s="2"/>
      <c r="E7668" s="31" t="n">
        <v>49.6</v>
      </c>
      <c r="F7668" s="31" t="n">
        <v>87</v>
      </c>
      <c r="G7668" s="31" t="n">
        <v>30.6</v>
      </c>
      <c r="H7668" s="2" t="s">
        <v>671</v>
      </c>
    </row>
    <row r="7669" customFormat="false" ht="15" hidden="false" customHeight="false" outlineLevel="0" collapsed="false">
      <c r="A7669" s="2" t="s">
        <v>570</v>
      </c>
      <c r="B7669" s="2" t="s">
        <v>4104</v>
      </c>
      <c r="C7669" s="2" t="s">
        <v>4086</v>
      </c>
      <c r="D7669" s="2"/>
      <c r="E7669" s="31" t="n">
        <v>42.8</v>
      </c>
      <c r="F7669" s="31" t="n">
        <v>84.5</v>
      </c>
      <c r="G7669" s="31" t="n">
        <v>84.4</v>
      </c>
      <c r="H7669" s="2" t="s">
        <v>668</v>
      </c>
    </row>
    <row r="7670" customFormat="false" ht="15" hidden="false" customHeight="false" outlineLevel="0" collapsed="false">
      <c r="A7670" s="2" t="s">
        <v>570</v>
      </c>
      <c r="B7670" s="2" t="s">
        <v>4104</v>
      </c>
      <c r="C7670" s="2" t="s">
        <v>4087</v>
      </c>
      <c r="D7670" s="2"/>
      <c r="E7670" s="31" t="n">
        <v>26.2</v>
      </c>
      <c r="F7670" s="31" t="n">
        <v>57.6</v>
      </c>
      <c r="G7670" s="31" t="n">
        <v>44.4</v>
      </c>
      <c r="H7670" s="2" t="s">
        <v>671</v>
      </c>
    </row>
    <row r="7671" customFormat="false" ht="15" hidden="false" customHeight="false" outlineLevel="0" collapsed="false">
      <c r="A7671" s="2" t="s">
        <v>570</v>
      </c>
      <c r="B7671" s="2" t="s">
        <v>45</v>
      </c>
      <c r="C7671" s="2" t="s">
        <v>4085</v>
      </c>
      <c r="D7671" s="11" t="n">
        <v>88040</v>
      </c>
      <c r="E7671" s="31" t="n">
        <v>95.5</v>
      </c>
      <c r="F7671" s="31" t="n">
        <v>99.3</v>
      </c>
      <c r="G7671" s="31" t="n">
        <v>7.3</v>
      </c>
      <c r="H7671" s="2" t="s">
        <v>671</v>
      </c>
    </row>
    <row r="7672" customFormat="false" ht="15" hidden="false" customHeight="false" outlineLevel="0" collapsed="false">
      <c r="A7672" s="2" t="s">
        <v>570</v>
      </c>
      <c r="B7672" s="2" t="s">
        <v>45</v>
      </c>
      <c r="C7672" s="2" t="s">
        <v>4086</v>
      </c>
      <c r="D7672" s="11" t="n">
        <v>150170</v>
      </c>
      <c r="E7672" s="31" t="n">
        <v>80</v>
      </c>
      <c r="F7672" s="31" t="n">
        <v>86.4</v>
      </c>
      <c r="G7672" s="2"/>
      <c r="H7672" s="2" t="s">
        <v>668</v>
      </c>
    </row>
    <row r="7673" customFormat="false" ht="15" hidden="false" customHeight="false" outlineLevel="0" collapsed="false">
      <c r="A7673" s="2" t="s">
        <v>570</v>
      </c>
      <c r="B7673" s="2" t="s">
        <v>45</v>
      </c>
      <c r="C7673" s="2" t="s">
        <v>4087</v>
      </c>
      <c r="D7673" s="11" t="n">
        <v>155999</v>
      </c>
      <c r="E7673" s="31" t="n">
        <v>49.4</v>
      </c>
      <c r="F7673" s="31" t="n">
        <v>86.2</v>
      </c>
      <c r="G7673" s="31" t="n">
        <v>3.6</v>
      </c>
      <c r="H7673" s="2" t="s">
        <v>671</v>
      </c>
    </row>
    <row r="7674" customFormat="false" ht="15" hidden="false" customHeight="false" outlineLevel="0" collapsed="false">
      <c r="A7674" s="2" t="s">
        <v>570</v>
      </c>
      <c r="B7674" s="2" t="s">
        <v>47</v>
      </c>
      <c r="C7674" s="2" t="s">
        <v>4085</v>
      </c>
      <c r="D7674" s="11" t="n">
        <v>406538</v>
      </c>
      <c r="E7674" s="31" t="n">
        <v>3.6</v>
      </c>
      <c r="F7674" s="31" t="n">
        <v>74.7</v>
      </c>
      <c r="G7674" s="31" t="n">
        <v>54</v>
      </c>
      <c r="H7674" s="2" t="s">
        <v>671</v>
      </c>
    </row>
    <row r="7675" customFormat="false" ht="15" hidden="false" customHeight="false" outlineLevel="0" collapsed="false">
      <c r="A7675" s="2" t="s">
        <v>570</v>
      </c>
      <c r="B7675" s="2" t="s">
        <v>47</v>
      </c>
      <c r="C7675" s="2" t="s">
        <v>4086</v>
      </c>
      <c r="D7675" s="11" t="n">
        <v>413050</v>
      </c>
      <c r="E7675" s="31" t="n">
        <v>5.5</v>
      </c>
      <c r="F7675" s="31" t="n">
        <v>82.6</v>
      </c>
      <c r="G7675" s="31" t="n">
        <v>84.4</v>
      </c>
      <c r="H7675" s="2" t="s">
        <v>671</v>
      </c>
    </row>
    <row r="7676" customFormat="false" ht="15" hidden="false" customHeight="false" outlineLevel="0" collapsed="false">
      <c r="A7676" s="2" t="s">
        <v>570</v>
      </c>
      <c r="B7676" s="2" t="s">
        <v>47</v>
      </c>
      <c r="C7676" s="2" t="s">
        <v>4087</v>
      </c>
      <c r="D7676" s="11" t="n">
        <v>421826</v>
      </c>
      <c r="E7676" s="31" t="n">
        <v>2.9</v>
      </c>
      <c r="F7676" s="31" t="n">
        <v>28.9</v>
      </c>
      <c r="G7676" s="31" t="n">
        <v>85.3</v>
      </c>
      <c r="H7676" s="2" t="s">
        <v>671</v>
      </c>
    </row>
    <row r="7677" customFormat="false" ht="15" hidden="false" customHeight="false" outlineLevel="0" collapsed="false">
      <c r="A7677" s="2" t="s">
        <v>3173</v>
      </c>
      <c r="B7677" s="2" t="s">
        <v>4104</v>
      </c>
      <c r="C7677" s="2" t="s">
        <v>4085</v>
      </c>
      <c r="D7677" s="2"/>
      <c r="E7677" s="31" t="n">
        <v>38.7</v>
      </c>
      <c r="F7677" s="31" t="n">
        <v>75.4</v>
      </c>
      <c r="G7677" s="31" t="n">
        <v>38.5</v>
      </c>
      <c r="H7677" s="2" t="s">
        <v>668</v>
      </c>
    </row>
    <row r="7678" customFormat="false" ht="15" hidden="false" customHeight="false" outlineLevel="0" collapsed="false">
      <c r="A7678" s="2" t="s">
        <v>3173</v>
      </c>
      <c r="B7678" s="2" t="s">
        <v>4104</v>
      </c>
      <c r="C7678" s="2" t="s">
        <v>4086</v>
      </c>
      <c r="D7678" s="2"/>
      <c r="E7678" s="31" t="n">
        <v>33.8</v>
      </c>
      <c r="F7678" s="31" t="n">
        <v>41.8</v>
      </c>
      <c r="G7678" s="31" t="n">
        <v>39.8</v>
      </c>
      <c r="H7678" s="2" t="s">
        <v>668</v>
      </c>
    </row>
    <row r="7679" customFormat="false" ht="15" hidden="false" customHeight="false" outlineLevel="0" collapsed="false">
      <c r="A7679" s="2" t="s">
        <v>3173</v>
      </c>
      <c r="B7679" s="2" t="s">
        <v>4104</v>
      </c>
      <c r="C7679" s="2" t="s">
        <v>4087</v>
      </c>
      <c r="D7679" s="2"/>
      <c r="E7679" s="31" t="n">
        <v>44.2</v>
      </c>
      <c r="F7679" s="31" t="n">
        <v>65.9</v>
      </c>
      <c r="G7679" s="2"/>
      <c r="H7679" s="2" t="s">
        <v>668</v>
      </c>
    </row>
    <row r="7680" customFormat="false" ht="15" hidden="false" customHeight="false" outlineLevel="0" collapsed="false">
      <c r="A7680" s="2" t="s">
        <v>3173</v>
      </c>
      <c r="B7680" s="2" t="s">
        <v>45</v>
      </c>
      <c r="C7680" s="2" t="s">
        <v>4085</v>
      </c>
      <c r="D7680" s="11" t="n">
        <v>118890</v>
      </c>
      <c r="E7680" s="31" t="n">
        <v>42.6</v>
      </c>
      <c r="F7680" s="31" t="n">
        <v>78.1</v>
      </c>
      <c r="G7680" s="31" t="n">
        <v>30.2</v>
      </c>
      <c r="H7680" s="2" t="s">
        <v>671</v>
      </c>
    </row>
    <row r="7681" customFormat="false" ht="15" hidden="false" customHeight="false" outlineLevel="0" collapsed="false">
      <c r="A7681" s="2" t="s">
        <v>3173</v>
      </c>
      <c r="B7681" s="2" t="s">
        <v>45</v>
      </c>
      <c r="C7681" s="2" t="s">
        <v>4086</v>
      </c>
      <c r="D7681" s="11" t="n">
        <v>126000</v>
      </c>
      <c r="E7681" s="31" t="n">
        <v>33.8</v>
      </c>
      <c r="F7681" s="31" t="n">
        <v>70.7</v>
      </c>
      <c r="G7681" s="31" t="n">
        <v>50.6</v>
      </c>
      <c r="H7681" s="2" t="s">
        <v>671</v>
      </c>
    </row>
    <row r="7682" customFormat="false" ht="15" hidden="false" customHeight="false" outlineLevel="0" collapsed="false">
      <c r="A7682" s="2" t="s">
        <v>3173</v>
      </c>
      <c r="B7682" s="2" t="s">
        <v>45</v>
      </c>
      <c r="C7682" s="2" t="s">
        <v>4087</v>
      </c>
      <c r="D7682" s="11" t="n">
        <v>133710</v>
      </c>
      <c r="E7682" s="31" t="n">
        <v>55.1</v>
      </c>
      <c r="F7682" s="31" t="n">
        <v>54.3</v>
      </c>
      <c r="G7682" s="2"/>
      <c r="H7682" s="2" t="s">
        <v>668</v>
      </c>
    </row>
    <row r="7683" customFormat="false" ht="15" hidden="false" customHeight="false" outlineLevel="0" collapsed="false">
      <c r="A7683" s="2" t="s">
        <v>3173</v>
      </c>
      <c r="B7683" s="2" t="s">
        <v>46</v>
      </c>
      <c r="C7683" s="2" t="s">
        <v>4085</v>
      </c>
      <c r="D7683" s="11" t="n">
        <v>72170</v>
      </c>
      <c r="E7683" s="31" t="n">
        <v>34.8</v>
      </c>
      <c r="F7683" s="31" t="n">
        <v>72.7</v>
      </c>
      <c r="G7683" s="31" t="n">
        <v>46.8</v>
      </c>
      <c r="H7683" s="2" t="s">
        <v>671</v>
      </c>
    </row>
    <row r="7684" customFormat="false" ht="15" hidden="false" customHeight="false" outlineLevel="0" collapsed="false">
      <c r="A7684" s="2" t="s">
        <v>3173</v>
      </c>
      <c r="B7684" s="2" t="s">
        <v>46</v>
      </c>
      <c r="C7684" s="2" t="s">
        <v>4086</v>
      </c>
      <c r="D7684" s="2"/>
      <c r="E7684" s="2"/>
      <c r="F7684" s="2"/>
      <c r="G7684" s="2"/>
      <c r="H7684" s="2" t="s">
        <v>668</v>
      </c>
    </row>
    <row r="7685" customFormat="false" ht="15" hidden="false" customHeight="false" outlineLevel="0" collapsed="false">
      <c r="A7685" s="2" t="s">
        <v>3173</v>
      </c>
      <c r="B7685" s="2" t="s">
        <v>46</v>
      </c>
      <c r="C7685" s="2" t="s">
        <v>4087</v>
      </c>
      <c r="D7685" s="11" t="n">
        <v>80290</v>
      </c>
      <c r="E7685" s="31" t="n">
        <v>33.4</v>
      </c>
      <c r="F7685" s="31" t="n">
        <v>77.6</v>
      </c>
      <c r="G7685" s="2"/>
      <c r="H7685" s="2" t="s">
        <v>668</v>
      </c>
    </row>
    <row r="7686" customFormat="false" ht="15" hidden="false" customHeight="false" outlineLevel="0" collapsed="false">
      <c r="A7686" s="2" t="s">
        <v>3173</v>
      </c>
      <c r="B7686" s="2" t="s">
        <v>47</v>
      </c>
      <c r="C7686" s="2" t="s">
        <v>4085</v>
      </c>
      <c r="D7686" s="2"/>
      <c r="E7686" s="2"/>
      <c r="F7686" s="2"/>
      <c r="G7686" s="2"/>
      <c r="H7686" s="2" t="s">
        <v>668</v>
      </c>
    </row>
    <row r="7687" customFormat="false" ht="15" hidden="false" customHeight="false" outlineLevel="0" collapsed="false">
      <c r="A7687" s="2" t="s">
        <v>3173</v>
      </c>
      <c r="B7687" s="2" t="s">
        <v>47</v>
      </c>
      <c r="C7687" s="2" t="s">
        <v>4086</v>
      </c>
      <c r="D7687" s="11" t="n">
        <v>220380</v>
      </c>
      <c r="E7687" s="31" t="n">
        <v>33.9</v>
      </c>
      <c r="F7687" s="31" t="n">
        <v>13</v>
      </c>
      <c r="G7687" s="31" t="n">
        <v>28.9</v>
      </c>
      <c r="H7687" s="2" t="s">
        <v>671</v>
      </c>
    </row>
    <row r="7688" customFormat="false" ht="15" hidden="false" customHeight="false" outlineLevel="0" collapsed="false">
      <c r="A7688" s="2" t="s">
        <v>3173</v>
      </c>
      <c r="B7688" s="2" t="s">
        <v>47</v>
      </c>
      <c r="C7688" s="2" t="s">
        <v>4087</v>
      </c>
      <c r="D7688" s="2"/>
      <c r="E7688" s="2"/>
      <c r="F7688" s="2"/>
      <c r="G7688" s="2"/>
      <c r="H7688" s="2" t="s">
        <v>668</v>
      </c>
    </row>
    <row r="7689" customFormat="false" ht="15" hidden="false" customHeight="false" outlineLevel="0" collapsed="false">
      <c r="A7689" s="2" t="s">
        <v>1250</v>
      </c>
      <c r="B7689" s="2" t="s">
        <v>4104</v>
      </c>
      <c r="C7689" s="2" t="s">
        <v>4085</v>
      </c>
      <c r="D7689" s="2"/>
      <c r="E7689" s="31" t="n">
        <v>53.4</v>
      </c>
      <c r="F7689" s="31" t="n">
        <v>91.6</v>
      </c>
      <c r="G7689" s="31" t="n">
        <v>56.3</v>
      </c>
      <c r="H7689" s="2" t="s">
        <v>668</v>
      </c>
    </row>
    <row r="7690" customFormat="false" ht="15" hidden="false" customHeight="false" outlineLevel="0" collapsed="false">
      <c r="A7690" s="2" t="s">
        <v>1250</v>
      </c>
      <c r="B7690" s="2" t="s">
        <v>4104</v>
      </c>
      <c r="C7690" s="2" t="s">
        <v>4086</v>
      </c>
      <c r="D7690" s="2"/>
      <c r="E7690" s="31" t="n">
        <v>40.5</v>
      </c>
      <c r="F7690" s="31" t="n">
        <v>71</v>
      </c>
      <c r="G7690" s="31" t="n">
        <v>57.4</v>
      </c>
      <c r="H7690" s="2" t="s">
        <v>671</v>
      </c>
    </row>
    <row r="7691" customFormat="false" ht="15" hidden="false" customHeight="false" outlineLevel="0" collapsed="false">
      <c r="A7691" s="2" t="s">
        <v>1250</v>
      </c>
      <c r="B7691" s="2" t="s">
        <v>4104</v>
      </c>
      <c r="C7691" s="2" t="s">
        <v>4087</v>
      </c>
      <c r="D7691" s="2"/>
      <c r="E7691" s="31" t="n">
        <v>49.5</v>
      </c>
      <c r="F7691" s="31" t="n">
        <v>66.6</v>
      </c>
      <c r="G7691" s="31" t="n">
        <v>45.4</v>
      </c>
      <c r="H7691" s="2" t="s">
        <v>668</v>
      </c>
    </row>
    <row r="7692" customFormat="false" ht="15" hidden="false" customHeight="false" outlineLevel="0" collapsed="false">
      <c r="A7692" s="2" t="s">
        <v>1250</v>
      </c>
      <c r="B7692" s="2" t="s">
        <v>45</v>
      </c>
      <c r="C7692" s="2" t="s">
        <v>4085</v>
      </c>
      <c r="D7692" s="2"/>
      <c r="E7692" s="2"/>
      <c r="F7692" s="2"/>
      <c r="G7692" s="2"/>
      <c r="H7692" s="2" t="s">
        <v>668</v>
      </c>
    </row>
    <row r="7693" customFormat="false" ht="15" hidden="false" customHeight="false" outlineLevel="0" collapsed="false">
      <c r="A7693" s="2" t="s">
        <v>1250</v>
      </c>
      <c r="B7693" s="2" t="s">
        <v>45</v>
      </c>
      <c r="C7693" s="2" t="s">
        <v>4086</v>
      </c>
      <c r="D7693" s="11" t="n">
        <v>7980</v>
      </c>
      <c r="E7693" s="31" t="n">
        <v>14.6</v>
      </c>
      <c r="F7693" s="31" t="n">
        <v>33.8</v>
      </c>
      <c r="G7693" s="31" t="n">
        <v>46.6</v>
      </c>
      <c r="H7693" s="2" t="s">
        <v>671</v>
      </c>
    </row>
    <row r="7694" customFormat="false" ht="15" hidden="false" customHeight="false" outlineLevel="0" collapsed="false">
      <c r="A7694" s="2" t="s">
        <v>1250</v>
      </c>
      <c r="B7694" s="2" t="s">
        <v>45</v>
      </c>
      <c r="C7694" s="2" t="s">
        <v>4087</v>
      </c>
      <c r="D7694" s="11" t="n">
        <v>8261</v>
      </c>
      <c r="E7694" s="31" t="n">
        <v>21.8</v>
      </c>
      <c r="F7694" s="31" t="n">
        <v>38.9</v>
      </c>
      <c r="G7694" s="31" t="n">
        <v>43.5</v>
      </c>
      <c r="H7694" s="2" t="s">
        <v>671</v>
      </c>
    </row>
    <row r="7695" customFormat="false" ht="15" hidden="false" customHeight="false" outlineLevel="0" collapsed="false">
      <c r="A7695" s="2" t="s">
        <v>1250</v>
      </c>
      <c r="B7695" s="2" t="s">
        <v>46</v>
      </c>
      <c r="C7695" s="2" t="s">
        <v>4085</v>
      </c>
      <c r="D7695" s="11" t="n">
        <v>258300</v>
      </c>
      <c r="E7695" s="31" t="n">
        <v>53.4</v>
      </c>
      <c r="F7695" s="31" t="n">
        <v>89.1</v>
      </c>
      <c r="G7695" s="31" t="n">
        <v>49.1</v>
      </c>
      <c r="H7695" s="2" t="s">
        <v>671</v>
      </c>
    </row>
    <row r="7696" customFormat="false" ht="15" hidden="false" customHeight="false" outlineLevel="0" collapsed="false">
      <c r="A7696" s="2" t="s">
        <v>1250</v>
      </c>
      <c r="B7696" s="2" t="s">
        <v>46</v>
      </c>
      <c r="C7696" s="2" t="s">
        <v>4086</v>
      </c>
      <c r="D7696" s="11" t="n">
        <v>279740</v>
      </c>
      <c r="E7696" s="31" t="n">
        <v>46</v>
      </c>
      <c r="F7696" s="31" t="n">
        <v>82.8</v>
      </c>
      <c r="G7696" s="31" t="n">
        <v>80.6</v>
      </c>
      <c r="H7696" s="2" t="s">
        <v>671</v>
      </c>
    </row>
    <row r="7697" customFormat="false" ht="15" hidden="false" customHeight="false" outlineLevel="0" collapsed="false">
      <c r="A7697" s="2" t="s">
        <v>1250</v>
      </c>
      <c r="B7697" s="2" t="s">
        <v>46</v>
      </c>
      <c r="C7697" s="2" t="s">
        <v>4087</v>
      </c>
      <c r="D7697" s="2"/>
      <c r="E7697" s="2"/>
      <c r="F7697" s="2"/>
      <c r="G7697" s="2"/>
      <c r="H7697" s="2" t="s">
        <v>668</v>
      </c>
    </row>
    <row r="7698" customFormat="false" ht="15" hidden="false" customHeight="false" outlineLevel="0" collapsed="false">
      <c r="A7698" s="2" t="s">
        <v>1250</v>
      </c>
      <c r="B7698" s="2" t="s">
        <v>47</v>
      </c>
      <c r="C7698" s="2" t="s">
        <v>4085</v>
      </c>
      <c r="D7698" s="11" t="n">
        <v>13749</v>
      </c>
      <c r="E7698" s="31" t="n">
        <v>53.5</v>
      </c>
      <c r="F7698" s="31" t="n">
        <v>94.1</v>
      </c>
      <c r="G7698" s="31" t="n">
        <v>63.5</v>
      </c>
      <c r="H7698" s="2" t="s">
        <v>671</v>
      </c>
    </row>
    <row r="7699" customFormat="false" ht="15" hidden="false" customHeight="false" outlineLevel="0" collapsed="false">
      <c r="A7699" s="2" t="s">
        <v>1250</v>
      </c>
      <c r="B7699" s="2" t="s">
        <v>47</v>
      </c>
      <c r="C7699" s="2" t="s">
        <v>4086</v>
      </c>
      <c r="D7699" s="11" t="n">
        <v>15382</v>
      </c>
      <c r="E7699" s="31" t="n">
        <v>61</v>
      </c>
      <c r="F7699" s="31" t="n">
        <v>96.4</v>
      </c>
      <c r="G7699" s="31" t="n">
        <v>45</v>
      </c>
      <c r="H7699" s="2" t="s">
        <v>671</v>
      </c>
    </row>
    <row r="7700" customFormat="false" ht="15" hidden="false" customHeight="false" outlineLevel="0" collapsed="false">
      <c r="A7700" s="2" t="s">
        <v>1250</v>
      </c>
      <c r="B7700" s="2" t="s">
        <v>47</v>
      </c>
      <c r="C7700" s="2" t="s">
        <v>4087</v>
      </c>
      <c r="D7700" s="11" t="n">
        <v>16199</v>
      </c>
      <c r="E7700" s="31" t="n">
        <v>77.2</v>
      </c>
      <c r="F7700" s="31" t="n">
        <v>94.3</v>
      </c>
      <c r="G7700" s="31" t="n">
        <v>47.2</v>
      </c>
      <c r="H7700" s="2" t="s">
        <v>671</v>
      </c>
    </row>
    <row r="7701" customFormat="false" ht="15" hidden="false" customHeight="false" outlineLevel="0" collapsed="false">
      <c r="A7701" s="2" t="s">
        <v>159</v>
      </c>
      <c r="B7701" s="2" t="s">
        <v>4104</v>
      </c>
      <c r="C7701" s="2" t="s">
        <v>4085</v>
      </c>
      <c r="D7701" s="2"/>
      <c r="E7701" s="31" t="n">
        <v>91.2</v>
      </c>
      <c r="F7701" s="31" t="n">
        <v>31.1</v>
      </c>
      <c r="G7701" s="31" t="n">
        <v>36</v>
      </c>
      <c r="H7701" s="2" t="s">
        <v>671</v>
      </c>
    </row>
    <row r="7702" customFormat="false" ht="15" hidden="false" customHeight="false" outlineLevel="0" collapsed="false">
      <c r="A7702" s="2" t="s">
        <v>159</v>
      </c>
      <c r="B7702" s="2" t="s">
        <v>4104</v>
      </c>
      <c r="C7702" s="2" t="s">
        <v>4087</v>
      </c>
      <c r="D7702" s="2"/>
      <c r="E7702" s="31" t="n">
        <v>76.6</v>
      </c>
      <c r="F7702" s="31" t="n">
        <v>56</v>
      </c>
      <c r="G7702" s="31" t="n">
        <v>11</v>
      </c>
      <c r="H7702" s="2" t="s">
        <v>671</v>
      </c>
    </row>
    <row r="7703" customFormat="false" ht="15" hidden="false" customHeight="false" outlineLevel="0" collapsed="false">
      <c r="A7703" s="2" t="s">
        <v>159</v>
      </c>
      <c r="B7703" s="2" t="s">
        <v>47</v>
      </c>
      <c r="C7703" s="2" t="s">
        <v>4085</v>
      </c>
      <c r="D7703" s="11" t="n">
        <v>4731</v>
      </c>
      <c r="E7703" s="31" t="n">
        <v>91.2</v>
      </c>
      <c r="F7703" s="31" t="n">
        <v>31.1</v>
      </c>
      <c r="G7703" s="31" t="n">
        <v>36</v>
      </c>
      <c r="H7703" s="2" t="s">
        <v>671</v>
      </c>
    </row>
    <row r="7704" customFormat="false" ht="15" hidden="false" customHeight="false" outlineLevel="0" collapsed="false">
      <c r="A7704" s="2" t="s">
        <v>159</v>
      </c>
      <c r="B7704" s="2" t="s">
        <v>47</v>
      </c>
      <c r="C7704" s="2" t="s">
        <v>4087</v>
      </c>
      <c r="D7704" s="11" t="n">
        <v>5082</v>
      </c>
      <c r="E7704" s="31" t="n">
        <v>76.6</v>
      </c>
      <c r="F7704" s="31" t="n">
        <v>56</v>
      </c>
      <c r="G7704" s="31" t="n">
        <v>11</v>
      </c>
      <c r="H7704" s="2" t="s">
        <v>671</v>
      </c>
    </row>
    <row r="7705" customFormat="false" ht="15" hidden="false" customHeight="false" outlineLevel="0" collapsed="false">
      <c r="A7705" s="2" t="s">
        <v>1321</v>
      </c>
      <c r="B7705" s="2" t="s">
        <v>4104</v>
      </c>
      <c r="C7705" s="2" t="s">
        <v>4085</v>
      </c>
      <c r="D7705" s="2"/>
      <c r="E7705" s="31" t="n">
        <v>74.6</v>
      </c>
      <c r="F7705" s="31" t="n">
        <v>27.6</v>
      </c>
      <c r="G7705" s="31" t="n">
        <v>44.5</v>
      </c>
      <c r="H7705" s="2" t="s">
        <v>668</v>
      </c>
    </row>
    <row r="7706" customFormat="false" ht="15" hidden="false" customHeight="false" outlineLevel="0" collapsed="false">
      <c r="A7706" s="2" t="s">
        <v>1321</v>
      </c>
      <c r="B7706" s="2" t="s">
        <v>4104</v>
      </c>
      <c r="C7706" s="2" t="s">
        <v>4086</v>
      </c>
      <c r="D7706" s="2"/>
      <c r="E7706" s="31" t="n">
        <v>55.2</v>
      </c>
      <c r="F7706" s="31" t="n">
        <v>59.1</v>
      </c>
      <c r="G7706" s="31" t="n">
        <v>55.8</v>
      </c>
      <c r="H7706" s="2" t="s">
        <v>671</v>
      </c>
    </row>
    <row r="7707" customFormat="false" ht="15" hidden="false" customHeight="false" outlineLevel="0" collapsed="false">
      <c r="A7707" s="2" t="s">
        <v>1321</v>
      </c>
      <c r="B7707" s="2" t="s">
        <v>4104</v>
      </c>
      <c r="C7707" s="2" t="s">
        <v>4087</v>
      </c>
      <c r="D7707" s="2"/>
      <c r="E7707" s="31" t="n">
        <v>50.4</v>
      </c>
      <c r="F7707" s="31" t="n">
        <v>42</v>
      </c>
      <c r="G7707" s="31" t="n">
        <v>24</v>
      </c>
      <c r="H7707" s="2" t="s">
        <v>668</v>
      </c>
    </row>
    <row r="7708" customFormat="false" ht="15" hidden="false" customHeight="false" outlineLevel="0" collapsed="false">
      <c r="A7708" s="2" t="s">
        <v>1321</v>
      </c>
      <c r="B7708" s="2" t="s">
        <v>45</v>
      </c>
      <c r="C7708" s="2" t="s">
        <v>4085</v>
      </c>
      <c r="D7708" s="2"/>
      <c r="E7708" s="2"/>
      <c r="F7708" s="2"/>
      <c r="G7708" s="2"/>
      <c r="H7708" s="2" t="s">
        <v>668</v>
      </c>
    </row>
    <row r="7709" customFormat="false" ht="15" hidden="false" customHeight="false" outlineLevel="0" collapsed="false">
      <c r="A7709" s="2" t="s">
        <v>1321</v>
      </c>
      <c r="B7709" s="2" t="s">
        <v>45</v>
      </c>
      <c r="C7709" s="2" t="s">
        <v>4086</v>
      </c>
      <c r="D7709" s="11" t="n">
        <v>175580</v>
      </c>
      <c r="E7709" s="31" t="n">
        <v>4.2</v>
      </c>
      <c r="F7709" s="31" t="n">
        <v>93.6</v>
      </c>
      <c r="G7709" s="31" t="n">
        <v>71.8</v>
      </c>
      <c r="H7709" s="2" t="s">
        <v>671</v>
      </c>
    </row>
    <row r="7710" customFormat="false" ht="15" hidden="false" customHeight="false" outlineLevel="0" collapsed="false">
      <c r="A7710" s="2" t="s">
        <v>1321</v>
      </c>
      <c r="B7710" s="2" t="s">
        <v>45</v>
      </c>
      <c r="C7710" s="2" t="s">
        <v>4087</v>
      </c>
      <c r="D7710" s="11" t="n">
        <v>180250</v>
      </c>
      <c r="E7710" s="31" t="n">
        <v>9.2</v>
      </c>
      <c r="F7710" s="31" t="n">
        <v>61.6</v>
      </c>
      <c r="G7710" s="31" t="n">
        <v>37.8</v>
      </c>
      <c r="H7710" s="2" t="s">
        <v>671</v>
      </c>
    </row>
    <row r="7711" customFormat="false" ht="15" hidden="false" customHeight="false" outlineLevel="0" collapsed="false">
      <c r="A7711" s="2" t="s">
        <v>1321</v>
      </c>
      <c r="B7711" s="2" t="s">
        <v>46</v>
      </c>
      <c r="C7711" s="2" t="s">
        <v>4085</v>
      </c>
      <c r="D7711" s="11" t="n">
        <v>25390</v>
      </c>
      <c r="E7711" s="31" t="n">
        <v>71.6</v>
      </c>
      <c r="F7711" s="31" t="n">
        <v>48.3</v>
      </c>
      <c r="G7711" s="31" t="n">
        <v>84.2</v>
      </c>
      <c r="H7711" s="2" t="s">
        <v>671</v>
      </c>
    </row>
    <row r="7712" customFormat="false" ht="15" hidden="false" customHeight="false" outlineLevel="0" collapsed="false">
      <c r="A7712" s="2" t="s">
        <v>1321</v>
      </c>
      <c r="B7712" s="2" t="s">
        <v>46</v>
      </c>
      <c r="C7712" s="2" t="s">
        <v>4086</v>
      </c>
      <c r="D7712" s="11" t="n">
        <v>26410</v>
      </c>
      <c r="E7712" s="31" t="n">
        <v>70.3</v>
      </c>
      <c r="F7712" s="31" t="n">
        <v>67.6</v>
      </c>
      <c r="G7712" s="31" t="n">
        <v>93.4</v>
      </c>
      <c r="H7712" s="2" t="s">
        <v>671</v>
      </c>
    </row>
    <row r="7713" customFormat="false" ht="15" hidden="false" customHeight="false" outlineLevel="0" collapsed="false">
      <c r="A7713" s="2" t="s">
        <v>1321</v>
      </c>
      <c r="B7713" s="2" t="s">
        <v>46</v>
      </c>
      <c r="C7713" s="2" t="s">
        <v>4087</v>
      </c>
      <c r="D7713" s="11" t="n">
        <v>26900</v>
      </c>
      <c r="E7713" s="31" t="n">
        <v>48.2</v>
      </c>
      <c r="F7713" s="31" t="n">
        <v>60.2</v>
      </c>
      <c r="G7713" s="2"/>
      <c r="H7713" s="2" t="s">
        <v>668</v>
      </c>
    </row>
    <row r="7714" customFormat="false" ht="15" hidden="false" customHeight="false" outlineLevel="0" collapsed="false">
      <c r="A7714" s="2" t="s">
        <v>1321</v>
      </c>
      <c r="B7714" s="2" t="s">
        <v>47</v>
      </c>
      <c r="C7714" s="2" t="s">
        <v>4085</v>
      </c>
      <c r="D7714" s="11" t="n">
        <v>454245</v>
      </c>
      <c r="E7714" s="31" t="n">
        <v>77.7</v>
      </c>
      <c r="F7714" s="31" t="n">
        <v>6.8</v>
      </c>
      <c r="G7714" s="31" t="n">
        <v>4.8</v>
      </c>
      <c r="H7714" s="2" t="s">
        <v>671</v>
      </c>
    </row>
    <row r="7715" customFormat="false" ht="15" hidden="false" customHeight="false" outlineLevel="0" collapsed="false">
      <c r="A7715" s="2" t="s">
        <v>1321</v>
      </c>
      <c r="B7715" s="2" t="s">
        <v>47</v>
      </c>
      <c r="C7715" s="2" t="s">
        <v>4086</v>
      </c>
      <c r="D7715" s="11" t="n">
        <v>462620</v>
      </c>
      <c r="E7715" s="31" t="n">
        <v>91</v>
      </c>
      <c r="F7715" s="31" t="n">
        <v>16.1</v>
      </c>
      <c r="G7715" s="31" t="n">
        <v>2.2</v>
      </c>
      <c r="H7715" s="2" t="s">
        <v>671</v>
      </c>
    </row>
    <row r="7716" customFormat="false" ht="15" hidden="false" customHeight="false" outlineLevel="0" collapsed="false">
      <c r="A7716" s="2" t="s">
        <v>1321</v>
      </c>
      <c r="B7716" s="2" t="s">
        <v>47</v>
      </c>
      <c r="C7716" s="2" t="s">
        <v>4087</v>
      </c>
      <c r="D7716" s="11" t="n">
        <v>455047</v>
      </c>
      <c r="E7716" s="31" t="n">
        <v>93.7</v>
      </c>
      <c r="F7716" s="31" t="n">
        <v>4.2</v>
      </c>
      <c r="G7716" s="31" t="n">
        <v>10.3</v>
      </c>
      <c r="H7716" s="2" t="s">
        <v>671</v>
      </c>
    </row>
    <row r="7717" customFormat="false" ht="15" hidden="false" customHeight="false" outlineLevel="0" collapsed="false">
      <c r="A7717" s="2" t="s">
        <v>3178</v>
      </c>
      <c r="B7717" s="2" t="s">
        <v>4104</v>
      </c>
      <c r="C7717" s="2" t="s">
        <v>4085</v>
      </c>
      <c r="D7717" s="2"/>
      <c r="E7717" s="31" t="n">
        <v>49.8</v>
      </c>
      <c r="F7717" s="31" t="n">
        <v>100</v>
      </c>
      <c r="G7717" s="31" t="n">
        <v>31.4</v>
      </c>
      <c r="H7717" s="2" t="s">
        <v>671</v>
      </c>
    </row>
    <row r="7718" customFormat="false" ht="15" hidden="false" customHeight="false" outlineLevel="0" collapsed="false">
      <c r="A7718" s="2" t="s">
        <v>3178</v>
      </c>
      <c r="B7718" s="2" t="s">
        <v>4104</v>
      </c>
      <c r="C7718" s="2" t="s">
        <v>4086</v>
      </c>
      <c r="D7718" s="2"/>
      <c r="E7718" s="31" t="n">
        <v>32.1</v>
      </c>
      <c r="F7718" s="31" t="n">
        <v>100</v>
      </c>
      <c r="G7718" s="31" t="n">
        <v>53.8</v>
      </c>
      <c r="H7718" s="2" t="s">
        <v>671</v>
      </c>
    </row>
    <row r="7719" customFormat="false" ht="15" hidden="false" customHeight="false" outlineLevel="0" collapsed="false">
      <c r="A7719" s="2" t="s">
        <v>3178</v>
      </c>
      <c r="B7719" s="2" t="s">
        <v>4104</v>
      </c>
      <c r="C7719" s="2" t="s">
        <v>4087</v>
      </c>
      <c r="D7719" s="2"/>
      <c r="E7719" s="2"/>
      <c r="F7719" s="2"/>
      <c r="G7719" s="2"/>
      <c r="H7719" s="2" t="s">
        <v>668</v>
      </c>
    </row>
    <row r="7720" customFormat="false" ht="15" hidden="false" customHeight="false" outlineLevel="0" collapsed="false">
      <c r="A7720" s="2" t="s">
        <v>3178</v>
      </c>
      <c r="B7720" s="2" t="s">
        <v>47</v>
      </c>
      <c r="C7720" s="2" t="s">
        <v>4085</v>
      </c>
      <c r="D7720" s="11" t="n">
        <v>2181</v>
      </c>
      <c r="E7720" s="31" t="n">
        <v>49.8</v>
      </c>
      <c r="F7720" s="31" t="n">
        <v>100</v>
      </c>
      <c r="G7720" s="31" t="n">
        <v>31.4</v>
      </c>
      <c r="H7720" s="2" t="s">
        <v>671</v>
      </c>
    </row>
    <row r="7721" customFormat="false" ht="15" hidden="false" customHeight="false" outlineLevel="0" collapsed="false">
      <c r="A7721" s="2" t="s">
        <v>3178</v>
      </c>
      <c r="B7721" s="2" t="s">
        <v>47</v>
      </c>
      <c r="C7721" s="2" t="s">
        <v>4086</v>
      </c>
      <c r="D7721" s="11" t="n">
        <v>2420</v>
      </c>
      <c r="E7721" s="31" t="n">
        <v>32.1</v>
      </c>
      <c r="F7721" s="31" t="n">
        <v>100</v>
      </c>
      <c r="G7721" s="31" t="n">
        <v>53.8</v>
      </c>
      <c r="H7721" s="2" t="s">
        <v>671</v>
      </c>
    </row>
    <row r="7722" customFormat="false" ht="15" hidden="false" customHeight="false" outlineLevel="0" collapsed="false">
      <c r="A7722" s="2" t="s">
        <v>3178</v>
      </c>
      <c r="B7722" s="2" t="s">
        <v>47</v>
      </c>
      <c r="C7722" s="2" t="s">
        <v>4087</v>
      </c>
      <c r="D7722" s="2"/>
      <c r="E7722" s="2"/>
      <c r="F7722" s="2"/>
      <c r="G7722" s="2"/>
      <c r="H7722" s="2" t="s">
        <v>668</v>
      </c>
    </row>
    <row r="7723" customFormat="false" ht="15" hidden="false" customHeight="false" outlineLevel="0" collapsed="false">
      <c r="A7723" s="2" t="s">
        <v>700</v>
      </c>
      <c r="B7723" s="2" t="s">
        <v>4104</v>
      </c>
      <c r="C7723" s="2" t="s">
        <v>4085</v>
      </c>
      <c r="D7723" s="2"/>
      <c r="E7723" s="31" t="n">
        <v>86.9</v>
      </c>
      <c r="F7723" s="31" t="n">
        <v>76.4</v>
      </c>
      <c r="G7723" s="31" t="n">
        <v>87.8</v>
      </c>
      <c r="H7723" s="2" t="s">
        <v>668</v>
      </c>
    </row>
    <row r="7724" customFormat="false" ht="15" hidden="false" customHeight="false" outlineLevel="0" collapsed="false">
      <c r="A7724" s="2" t="s">
        <v>700</v>
      </c>
      <c r="B7724" s="2" t="s">
        <v>4104</v>
      </c>
      <c r="C7724" s="2" t="s">
        <v>4086</v>
      </c>
      <c r="D7724" s="2"/>
      <c r="E7724" s="31" t="n">
        <v>70.3</v>
      </c>
      <c r="F7724" s="31" t="n">
        <v>37.7</v>
      </c>
      <c r="G7724" s="31" t="n">
        <v>42</v>
      </c>
      <c r="H7724" s="2" t="s">
        <v>671</v>
      </c>
    </row>
    <row r="7725" customFormat="false" ht="15" hidden="false" customHeight="false" outlineLevel="0" collapsed="false">
      <c r="A7725" s="2" t="s">
        <v>700</v>
      </c>
      <c r="B7725" s="2" t="s">
        <v>4104</v>
      </c>
      <c r="C7725" s="2" t="s">
        <v>4087</v>
      </c>
      <c r="D7725" s="2"/>
      <c r="E7725" s="31" t="n">
        <v>68.9</v>
      </c>
      <c r="F7725" s="31" t="n">
        <v>57.8</v>
      </c>
      <c r="G7725" s="31" t="n">
        <v>47.4</v>
      </c>
      <c r="H7725" s="2" t="s">
        <v>668</v>
      </c>
    </row>
    <row r="7726" customFormat="false" ht="15" hidden="false" customHeight="false" outlineLevel="0" collapsed="false">
      <c r="A7726" s="2" t="s">
        <v>700</v>
      </c>
      <c r="B7726" s="2" t="s">
        <v>45</v>
      </c>
      <c r="C7726" s="2" t="s">
        <v>4085</v>
      </c>
      <c r="D7726" s="11" t="n">
        <v>294871</v>
      </c>
      <c r="E7726" s="31" t="n">
        <v>98.9</v>
      </c>
      <c r="F7726" s="31" t="n">
        <v>99.3</v>
      </c>
      <c r="G7726" s="31" t="n">
        <v>89.3</v>
      </c>
      <c r="H7726" s="2" t="s">
        <v>671</v>
      </c>
    </row>
    <row r="7727" customFormat="false" ht="15" hidden="false" customHeight="false" outlineLevel="0" collapsed="false">
      <c r="A7727" s="2" t="s">
        <v>700</v>
      </c>
      <c r="B7727" s="2" t="s">
        <v>45</v>
      </c>
      <c r="C7727" s="2" t="s">
        <v>4086</v>
      </c>
      <c r="D7727" s="11" t="n">
        <v>311650</v>
      </c>
      <c r="E7727" s="31" t="n">
        <v>99.4</v>
      </c>
      <c r="F7727" s="31" t="n">
        <v>100</v>
      </c>
      <c r="G7727" s="31" t="n">
        <v>89.3</v>
      </c>
      <c r="H7727" s="2" t="s">
        <v>671</v>
      </c>
    </row>
    <row r="7728" customFormat="false" ht="15" hidden="false" customHeight="false" outlineLevel="0" collapsed="false">
      <c r="A7728" s="2" t="s">
        <v>700</v>
      </c>
      <c r="B7728" s="2" t="s">
        <v>45</v>
      </c>
      <c r="C7728" s="2" t="s">
        <v>4087</v>
      </c>
      <c r="D7728" s="11" t="n">
        <v>343431</v>
      </c>
      <c r="E7728" s="31" t="n">
        <v>95.7</v>
      </c>
      <c r="F7728" s="31" t="n">
        <v>100</v>
      </c>
      <c r="G7728" s="31" t="n">
        <v>82.3</v>
      </c>
      <c r="H7728" s="2" t="s">
        <v>671</v>
      </c>
    </row>
    <row r="7729" customFormat="false" ht="15" hidden="false" customHeight="false" outlineLevel="0" collapsed="false">
      <c r="A7729" s="2" t="s">
        <v>700</v>
      </c>
      <c r="B7729" s="2" t="s">
        <v>46</v>
      </c>
      <c r="C7729" s="2" t="s">
        <v>4085</v>
      </c>
      <c r="D7729" s="2"/>
      <c r="E7729" s="2"/>
      <c r="F7729" s="2"/>
      <c r="G7729" s="2"/>
      <c r="H7729" s="2" t="s">
        <v>668</v>
      </c>
    </row>
    <row r="7730" customFormat="false" ht="15" hidden="false" customHeight="false" outlineLevel="0" collapsed="false">
      <c r="A7730" s="2" t="s">
        <v>700</v>
      </c>
      <c r="B7730" s="2" t="s">
        <v>46</v>
      </c>
      <c r="C7730" s="2" t="s">
        <v>4086</v>
      </c>
      <c r="D7730" s="11" t="n">
        <v>80670</v>
      </c>
      <c r="E7730" s="31" t="n">
        <v>31</v>
      </c>
      <c r="F7730" s="31" t="n">
        <v>5.1</v>
      </c>
      <c r="G7730" s="31" t="n">
        <v>10.8</v>
      </c>
      <c r="H7730" s="2" t="s">
        <v>671</v>
      </c>
    </row>
    <row r="7731" customFormat="false" ht="15" hidden="false" customHeight="false" outlineLevel="0" collapsed="false">
      <c r="A7731" s="2" t="s">
        <v>700</v>
      </c>
      <c r="B7731" s="2" t="s">
        <v>46</v>
      </c>
      <c r="C7731" s="2" t="s">
        <v>4087</v>
      </c>
      <c r="D7731" s="11" t="n">
        <v>81970</v>
      </c>
      <c r="E7731" s="31" t="n">
        <v>29</v>
      </c>
      <c r="F7731" s="2"/>
      <c r="G7731" s="31" t="n">
        <v>8</v>
      </c>
      <c r="H7731" s="2" t="s">
        <v>668</v>
      </c>
    </row>
    <row r="7732" customFormat="false" ht="15" hidden="false" customHeight="false" outlineLevel="0" collapsed="false">
      <c r="A7732" s="2" t="s">
        <v>700</v>
      </c>
      <c r="B7732" s="2" t="s">
        <v>47</v>
      </c>
      <c r="C7732" s="2" t="s">
        <v>4085</v>
      </c>
      <c r="D7732" s="11" t="n">
        <v>68050</v>
      </c>
      <c r="E7732" s="31" t="n">
        <v>74.9</v>
      </c>
      <c r="F7732" s="31" t="n">
        <v>53.6</v>
      </c>
      <c r="G7732" s="31" t="n">
        <v>86.4</v>
      </c>
      <c r="H7732" s="2" t="s">
        <v>671</v>
      </c>
    </row>
    <row r="7733" customFormat="false" ht="15" hidden="false" customHeight="false" outlineLevel="0" collapsed="false">
      <c r="A7733" s="2" t="s">
        <v>700</v>
      </c>
      <c r="B7733" s="2" t="s">
        <v>47</v>
      </c>
      <c r="C7733" s="2" t="s">
        <v>4086</v>
      </c>
      <c r="D7733" s="11" t="n">
        <v>68474</v>
      </c>
      <c r="E7733" s="31" t="n">
        <v>80.4</v>
      </c>
      <c r="F7733" s="31" t="n">
        <v>8.1</v>
      </c>
      <c r="G7733" s="31" t="n">
        <v>25.8</v>
      </c>
      <c r="H7733" s="2" t="s">
        <v>671</v>
      </c>
    </row>
    <row r="7734" customFormat="false" ht="15" hidden="false" customHeight="false" outlineLevel="0" collapsed="false">
      <c r="A7734" s="2" t="s">
        <v>700</v>
      </c>
      <c r="B7734" s="2" t="s">
        <v>47</v>
      </c>
      <c r="C7734" s="2" t="s">
        <v>4087</v>
      </c>
      <c r="D7734" s="11" t="n">
        <v>71646</v>
      </c>
      <c r="E7734" s="31" t="n">
        <v>81.9</v>
      </c>
      <c r="F7734" s="31" t="n">
        <v>15.6</v>
      </c>
      <c r="G7734" s="31" t="n">
        <v>52</v>
      </c>
      <c r="H7734" s="2" t="s">
        <v>671</v>
      </c>
    </row>
    <row r="7735" customFormat="false" ht="15" hidden="false" customHeight="false" outlineLevel="0" collapsed="false">
      <c r="A7735" s="2" t="s">
        <v>418</v>
      </c>
      <c r="B7735" s="2" t="s">
        <v>4104</v>
      </c>
      <c r="C7735" s="2" t="s">
        <v>4085</v>
      </c>
      <c r="D7735" s="2"/>
      <c r="E7735" s="31" t="n">
        <v>35.3</v>
      </c>
      <c r="F7735" s="31" t="n">
        <v>29.6</v>
      </c>
      <c r="G7735" s="31" t="n">
        <v>67</v>
      </c>
      <c r="H7735" s="2" t="s">
        <v>668</v>
      </c>
    </row>
    <row r="7736" customFormat="false" ht="15" hidden="false" customHeight="false" outlineLevel="0" collapsed="false">
      <c r="A7736" s="2" t="s">
        <v>418</v>
      </c>
      <c r="B7736" s="2" t="s">
        <v>4104</v>
      </c>
      <c r="C7736" s="2" t="s">
        <v>4086</v>
      </c>
      <c r="D7736" s="2"/>
      <c r="E7736" s="31" t="n">
        <v>31.8</v>
      </c>
      <c r="F7736" s="31" t="n">
        <v>52.7</v>
      </c>
      <c r="G7736" s="31" t="n">
        <v>26.2</v>
      </c>
      <c r="H7736" s="2" t="s">
        <v>668</v>
      </c>
    </row>
    <row r="7737" customFormat="false" ht="15" hidden="false" customHeight="false" outlineLevel="0" collapsed="false">
      <c r="A7737" s="2" t="s">
        <v>418</v>
      </c>
      <c r="B7737" s="2" t="s">
        <v>4104</v>
      </c>
      <c r="C7737" s="2" t="s">
        <v>4087</v>
      </c>
      <c r="D7737" s="2"/>
      <c r="E7737" s="31" t="n">
        <v>44.4</v>
      </c>
      <c r="F7737" s="31" t="n">
        <v>41.2</v>
      </c>
      <c r="G7737" s="31" t="n">
        <v>27.6</v>
      </c>
      <c r="H7737" s="2" t="s">
        <v>671</v>
      </c>
    </row>
    <row r="7738" customFormat="false" ht="15" hidden="false" customHeight="false" outlineLevel="0" collapsed="false">
      <c r="A7738" s="2" t="s">
        <v>418</v>
      </c>
      <c r="B7738" s="2" t="s">
        <v>45</v>
      </c>
      <c r="C7738" s="2" t="s">
        <v>4085</v>
      </c>
      <c r="D7738" s="11" t="n">
        <v>80948</v>
      </c>
      <c r="E7738" s="31" t="n">
        <v>59.8</v>
      </c>
      <c r="F7738" s="31" t="n">
        <v>28.8</v>
      </c>
      <c r="G7738" s="31" t="n">
        <v>76.1</v>
      </c>
      <c r="H7738" s="2" t="s">
        <v>671</v>
      </c>
    </row>
    <row r="7739" customFormat="false" ht="15" hidden="false" customHeight="false" outlineLevel="0" collapsed="false">
      <c r="A7739" s="2" t="s">
        <v>418</v>
      </c>
      <c r="B7739" s="2" t="s">
        <v>45</v>
      </c>
      <c r="C7739" s="2" t="s">
        <v>4086</v>
      </c>
      <c r="D7739" s="11" t="n">
        <v>88780</v>
      </c>
      <c r="E7739" s="31" t="n">
        <v>55.2</v>
      </c>
      <c r="F7739" s="31" t="n">
        <v>51.9</v>
      </c>
      <c r="G7739" s="31" t="n">
        <v>25.2</v>
      </c>
      <c r="H7739" s="2" t="s">
        <v>671</v>
      </c>
    </row>
    <row r="7740" customFormat="false" ht="15" hidden="false" customHeight="false" outlineLevel="0" collapsed="false">
      <c r="A7740" s="2" t="s">
        <v>418</v>
      </c>
      <c r="B7740" s="2" t="s">
        <v>45</v>
      </c>
      <c r="C7740" s="2" t="s">
        <v>4087</v>
      </c>
      <c r="D7740" s="11" t="n">
        <v>84880</v>
      </c>
      <c r="E7740" s="31" t="n">
        <v>71.2</v>
      </c>
      <c r="F7740" s="31" t="n">
        <v>46.8</v>
      </c>
      <c r="G7740" s="31" t="n">
        <v>27.3</v>
      </c>
      <c r="H7740" s="2" t="s">
        <v>671</v>
      </c>
    </row>
    <row r="7741" customFormat="false" ht="15" hidden="false" customHeight="false" outlineLevel="0" collapsed="false">
      <c r="A7741" s="2" t="s">
        <v>418</v>
      </c>
      <c r="B7741" s="2" t="s">
        <v>46</v>
      </c>
      <c r="C7741" s="2" t="s">
        <v>4085</v>
      </c>
      <c r="D7741" s="11" t="n">
        <v>93001</v>
      </c>
      <c r="E7741" s="31" t="n">
        <v>10.8</v>
      </c>
      <c r="F7741" s="31" t="n">
        <v>30.3</v>
      </c>
      <c r="G7741" s="31" t="n">
        <v>58</v>
      </c>
      <c r="H7741" s="2" t="s">
        <v>671</v>
      </c>
    </row>
    <row r="7742" customFormat="false" ht="15" hidden="false" customHeight="false" outlineLevel="0" collapsed="false">
      <c r="A7742" s="2" t="s">
        <v>418</v>
      </c>
      <c r="B7742" s="2" t="s">
        <v>46</v>
      </c>
      <c r="C7742" s="2" t="s">
        <v>4086</v>
      </c>
      <c r="D7742" s="11" t="n">
        <v>93520</v>
      </c>
      <c r="E7742" s="31" t="n">
        <v>8.4</v>
      </c>
      <c r="F7742" s="31" t="n">
        <v>53.5</v>
      </c>
      <c r="G7742" s="31" t="n">
        <v>46.1</v>
      </c>
      <c r="H7742" s="2" t="s">
        <v>671</v>
      </c>
    </row>
    <row r="7743" customFormat="false" ht="15" hidden="false" customHeight="false" outlineLevel="0" collapsed="false">
      <c r="A7743" s="2" t="s">
        <v>418</v>
      </c>
      <c r="B7743" s="2" t="s">
        <v>46</v>
      </c>
      <c r="C7743" s="2" t="s">
        <v>4087</v>
      </c>
      <c r="D7743" s="11" t="n">
        <v>95810</v>
      </c>
      <c r="E7743" s="31" t="n">
        <v>32.6</v>
      </c>
      <c r="F7743" s="31" t="n">
        <v>23.7</v>
      </c>
      <c r="G7743" s="31" t="n">
        <v>52.8</v>
      </c>
      <c r="H7743" s="2" t="s">
        <v>671</v>
      </c>
    </row>
    <row r="7744" customFormat="false" ht="15" hidden="false" customHeight="false" outlineLevel="0" collapsed="false">
      <c r="A7744" s="2" t="s">
        <v>418</v>
      </c>
      <c r="B7744" s="2" t="s">
        <v>47</v>
      </c>
      <c r="C7744" s="2" t="s">
        <v>4085</v>
      </c>
      <c r="D7744" s="2"/>
      <c r="E7744" s="2"/>
      <c r="F7744" s="2"/>
      <c r="G7744" s="2"/>
      <c r="H7744" s="2" t="s">
        <v>668</v>
      </c>
    </row>
    <row r="7745" customFormat="false" ht="15" hidden="false" customHeight="false" outlineLevel="0" collapsed="false">
      <c r="A7745" s="2" t="s">
        <v>418</v>
      </c>
      <c r="B7745" s="2" t="s">
        <v>47</v>
      </c>
      <c r="C7745" s="2" t="s">
        <v>4086</v>
      </c>
      <c r="D7745" s="2"/>
      <c r="E7745" s="2"/>
      <c r="F7745" s="2"/>
      <c r="G7745" s="31" t="n">
        <v>7.2</v>
      </c>
      <c r="H7745" s="2" t="s">
        <v>668</v>
      </c>
    </row>
    <row r="7746" customFormat="false" ht="15" hidden="false" customHeight="false" outlineLevel="0" collapsed="false">
      <c r="A7746" s="2" t="s">
        <v>418</v>
      </c>
      <c r="B7746" s="2" t="s">
        <v>47</v>
      </c>
      <c r="C7746" s="2" t="s">
        <v>4087</v>
      </c>
      <c r="D7746" s="11" t="n">
        <v>131572</v>
      </c>
      <c r="E7746" s="31" t="n">
        <v>29.3</v>
      </c>
      <c r="F7746" s="31" t="n">
        <v>53</v>
      </c>
      <c r="G7746" s="31" t="n">
        <v>2.7</v>
      </c>
      <c r="H7746" s="2" t="s">
        <v>671</v>
      </c>
    </row>
  </sheetData>
  <autoFilter ref="A4:H77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6"/>
  </cols>
  <sheetData>
    <row r="1" customFormat="false" ht="17.35" hidden="false" customHeight="false" outlineLevel="0" collapsed="false">
      <c r="A1" s="1" t="s">
        <v>4105</v>
      </c>
      <c r="B1" s="2"/>
      <c r="C1" s="2"/>
      <c r="D1" s="2"/>
      <c r="E1" s="2"/>
      <c r="F1" s="2"/>
      <c r="G1" s="2"/>
    </row>
    <row r="2" customFormat="false" ht="15" hidden="false" customHeight="false" outlineLevel="0" collapsed="false">
      <c r="A2" s="3" t="s">
        <v>4106</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4107</v>
      </c>
      <c r="B4" s="8" t="s">
        <v>4108</v>
      </c>
      <c r="C4" s="8" t="s">
        <v>4109</v>
      </c>
      <c r="D4" s="8" t="s">
        <v>4110</v>
      </c>
      <c r="E4" s="8" t="s">
        <v>4111</v>
      </c>
      <c r="F4" s="8" t="s">
        <v>4112</v>
      </c>
      <c r="G4" s="8" t="s">
        <v>4113</v>
      </c>
    </row>
    <row r="5" customFormat="false" ht="15" hidden="false" customHeight="false" outlineLevel="0" collapsed="false">
      <c r="A5" s="2" t="s">
        <v>3182</v>
      </c>
      <c r="B5" s="12" t="n">
        <v>0.7963</v>
      </c>
      <c r="C5" s="12" t="n">
        <v>0.9563</v>
      </c>
      <c r="D5" s="12" t="n">
        <v>0.9688</v>
      </c>
      <c r="E5" s="11" t="n">
        <v>637</v>
      </c>
      <c r="F5" s="11" t="n">
        <v>128</v>
      </c>
      <c r="G5" s="11" t="n">
        <v>10</v>
      </c>
    </row>
    <row r="6" customFormat="false" ht="15" hidden="false" customHeight="false" outlineLevel="0" collapsed="false">
      <c r="A6" s="2" t="s">
        <v>3183</v>
      </c>
      <c r="B6" s="12" t="n">
        <v>0.795</v>
      </c>
      <c r="C6" s="12" t="n">
        <v>0.9513</v>
      </c>
      <c r="D6" s="12" t="n">
        <v>0.9625</v>
      </c>
      <c r="E6" s="11" t="n">
        <v>636</v>
      </c>
      <c r="F6" s="11" t="n">
        <v>125</v>
      </c>
      <c r="G6" s="11" t="n">
        <v>9</v>
      </c>
    </row>
    <row r="7" customFormat="false" ht="15" hidden="false" customHeight="false" outlineLevel="0" collapsed="false">
      <c r="A7" s="2" t="s">
        <v>3184</v>
      </c>
      <c r="B7" s="12" t="n">
        <v>0.7388</v>
      </c>
      <c r="C7" s="12" t="n">
        <v>0.895</v>
      </c>
      <c r="D7" s="12" t="n">
        <v>0.92</v>
      </c>
      <c r="E7" s="11" t="n">
        <v>591</v>
      </c>
      <c r="F7" s="11" t="n">
        <v>125</v>
      </c>
      <c r="G7" s="11" t="n">
        <v>20</v>
      </c>
    </row>
    <row r="8" customFormat="false" ht="15" hidden="false" customHeight="false" outlineLevel="0" collapsed="false">
      <c r="A8" s="2" t="s">
        <v>3185</v>
      </c>
      <c r="B8" s="12" t="n">
        <v>0.7875</v>
      </c>
      <c r="C8" s="12" t="n">
        <v>0.9375</v>
      </c>
      <c r="D8" s="12" t="n">
        <v>0.9575</v>
      </c>
      <c r="E8" s="11" t="n">
        <v>630</v>
      </c>
      <c r="F8" s="11" t="n">
        <v>120</v>
      </c>
      <c r="G8" s="11" t="n">
        <v>16</v>
      </c>
    </row>
    <row r="9" customFormat="false" ht="15" hidden="false" customHeight="false" outlineLevel="0" collapsed="false">
      <c r="A9" s="2" t="s">
        <v>4114</v>
      </c>
      <c r="B9" s="12" t="n">
        <v>0.4358</v>
      </c>
      <c r="C9" s="12" t="n">
        <v>0.7473</v>
      </c>
      <c r="D9" s="12" t="n">
        <v>0.8137</v>
      </c>
      <c r="E9" s="11" t="n">
        <v>821</v>
      </c>
      <c r="F9" s="11" t="n">
        <v>587</v>
      </c>
      <c r="G9" s="11" t="n">
        <v>125</v>
      </c>
    </row>
    <row r="10" customFormat="false" ht="15" hidden="false" customHeight="false" outlineLevel="0" collapsed="false">
      <c r="A10" s="2" t="s">
        <v>4115</v>
      </c>
      <c r="B10" s="12" t="n">
        <v>0.44</v>
      </c>
      <c r="C10" s="12" t="n">
        <v>0.7479</v>
      </c>
      <c r="D10" s="12" t="n">
        <v>0.81</v>
      </c>
      <c r="E10" s="11" t="n">
        <v>829</v>
      </c>
      <c r="F10" s="11" t="n">
        <v>580</v>
      </c>
      <c r="G10" s="11" t="n">
        <v>117</v>
      </c>
    </row>
    <row r="11" customFormat="false" ht="15" hidden="false" customHeight="false" outlineLevel="0" collapsed="false">
      <c r="A11" s="2" t="s">
        <v>4116</v>
      </c>
      <c r="B11" s="12" t="n">
        <v>0.4305</v>
      </c>
      <c r="C11" s="12" t="n">
        <v>0.7277</v>
      </c>
      <c r="D11" s="12" t="n">
        <v>0.7765</v>
      </c>
      <c r="E11" s="11" t="n">
        <v>811</v>
      </c>
      <c r="F11" s="11" t="n">
        <v>560</v>
      </c>
      <c r="G11" s="11" t="n">
        <v>92</v>
      </c>
    </row>
    <row r="12" customFormat="false" ht="15" hidden="false" customHeight="false" outlineLevel="0" collapsed="false">
      <c r="A12" s="2" t="s">
        <v>4117</v>
      </c>
      <c r="B12" s="12" t="n">
        <v>0.4294</v>
      </c>
      <c r="C12" s="12" t="n">
        <v>0.6975</v>
      </c>
      <c r="D12" s="12" t="n">
        <v>0.7622</v>
      </c>
      <c r="E12" s="11" t="n">
        <v>809</v>
      </c>
      <c r="F12" s="11" t="n">
        <v>505</v>
      </c>
      <c r="G12" s="11" t="n">
        <v>122</v>
      </c>
    </row>
    <row r="13" customFormat="false" ht="15" hidden="false" customHeight="false" outlineLevel="0" collapsed="false">
      <c r="A13" s="2" t="s">
        <v>4118</v>
      </c>
      <c r="B13" s="12" t="n">
        <v>0.4193</v>
      </c>
      <c r="C13" s="12" t="n">
        <v>0.6831</v>
      </c>
      <c r="D13" s="12" t="n">
        <v>0.698</v>
      </c>
      <c r="E13" s="11" t="n">
        <v>775</v>
      </c>
      <c r="F13" s="11" t="n">
        <v>470</v>
      </c>
      <c r="G13" s="11" t="n">
        <v>22</v>
      </c>
    </row>
    <row r="14" customFormat="false" ht="15" hidden="false" customHeight="false" outlineLevel="0" collapsed="false">
      <c r="A14" s="4" t="s">
        <v>4119</v>
      </c>
      <c r="B14" s="2"/>
      <c r="C14" s="2"/>
      <c r="D14" s="2"/>
      <c r="E14" s="11" t="n">
        <f aca="false">SUM(E5:E13)</f>
        <v>6539</v>
      </c>
      <c r="F14" s="11" t="n">
        <f aca="false">SUM(F5:F13)</f>
        <v>3200</v>
      </c>
      <c r="G14" s="11" t="n">
        <f aca="false">SUM(G5:G13)</f>
        <v>533</v>
      </c>
    </row>
    <row r="15" customFormat="false" ht="15" hidden="false" customHeight="false" outlineLevel="0" collapsed="false">
      <c r="A15" s="2"/>
      <c r="B15" s="2"/>
      <c r="C15" s="2"/>
      <c r="D15" s="2"/>
      <c r="E15" s="2"/>
      <c r="F15" s="2"/>
      <c r="G15" s="2"/>
    </row>
    <row r="16" customFormat="false" ht="15" hidden="false" customHeight="false" outlineLevel="0" collapsed="false">
      <c r="A16" s="4" t="s">
        <v>4120</v>
      </c>
      <c r="B16" s="2"/>
      <c r="C16" s="2"/>
      <c r="D16" s="2"/>
      <c r="E16" s="2"/>
      <c r="F16" s="2"/>
      <c r="G16" s="2"/>
    </row>
    <row r="17" customFormat="false" ht="15" hidden="false" customHeight="false" outlineLevel="0" collapsed="false">
      <c r="A17" s="2" t="s">
        <v>4121</v>
      </c>
      <c r="B17" s="12" t="n">
        <v>0.2643</v>
      </c>
      <c r="C17" s="12" t="n">
        <v>0.5478</v>
      </c>
      <c r="D17" s="12" t="n">
        <v>0.5685</v>
      </c>
      <c r="E17" s="2"/>
      <c r="F17" s="2"/>
      <c r="G17" s="2"/>
    </row>
    <row r="18" customFormat="false" ht="15" hidden="false" customHeight="false" outlineLevel="0" collapsed="false">
      <c r="A18" s="2" t="s">
        <v>4122</v>
      </c>
      <c r="B18" s="12" t="n">
        <v>0.2184</v>
      </c>
      <c r="C18" s="12" t="n">
        <v>0.5079</v>
      </c>
      <c r="D18" s="12" t="n">
        <v>0.5253</v>
      </c>
      <c r="E18" s="2"/>
      <c r="F18" s="2"/>
      <c r="G18" s="2"/>
    </row>
    <row r="19" customFormat="false" ht="15" hidden="false" customHeight="false" outlineLevel="0" collapsed="false">
      <c r="A19" s="2" t="s">
        <v>4123</v>
      </c>
      <c r="B19" s="12" t="n">
        <v>0.6779</v>
      </c>
      <c r="C19" s="12" t="n">
        <v>0.7484</v>
      </c>
      <c r="D19" s="12" t="n">
        <v>0.7788</v>
      </c>
      <c r="E19" s="2"/>
      <c r="F19" s="2"/>
      <c r="G19" s="2"/>
    </row>
    <row r="20" customFormat="false" ht="15" hidden="false" customHeight="false" outlineLevel="0" collapsed="false">
      <c r="A20" s="4" t="s">
        <v>4124</v>
      </c>
      <c r="B20" s="12" t="n">
        <v>0.3859</v>
      </c>
      <c r="C20" s="12" t="n">
        <v>0.6008</v>
      </c>
      <c r="D20" s="12" t="n">
        <v>0.6237</v>
      </c>
      <c r="E20" s="2"/>
      <c r="F20" s="2"/>
      <c r="G20" s="2"/>
    </row>
    <row r="21" customFormat="false" ht="15" hidden="false" customHeight="false" outlineLevel="0" collapsed="false">
      <c r="A21" s="4" t="s">
        <v>4125</v>
      </c>
      <c r="B21" s="12" t="n">
        <v>0.15</v>
      </c>
      <c r="C21" s="12" t="n">
        <v>0.3137</v>
      </c>
      <c r="D21" s="12" t="n">
        <v>0.3425</v>
      </c>
      <c r="E21" s="2"/>
      <c r="F21" s="2"/>
      <c r="G21" s="2"/>
    </row>
    <row r="22" customFormat="false" ht="15" hidden="false" customHeight="false" outlineLevel="0" collapsed="false">
      <c r="A22" s="2"/>
      <c r="B22" s="2"/>
      <c r="C22" s="2"/>
      <c r="D22" s="2"/>
      <c r="E22" s="2"/>
      <c r="F22" s="2"/>
      <c r="G22" s="2"/>
    </row>
    <row r="23" customFormat="false" ht="15" hidden="false" customHeight="false" outlineLevel="0" collapsed="false">
      <c r="A23" s="2" t="s">
        <v>4126</v>
      </c>
      <c r="B23" s="2"/>
      <c r="C23" s="2"/>
      <c r="D23" s="2"/>
      <c r="E23" s="2"/>
      <c r="F23" s="2"/>
      <c r="G23" s="2"/>
    </row>
    <row r="24" customFormat="false" ht="15" hidden="false" customHeight="false" outlineLevel="0" collapsed="false">
      <c r="A24" s="2" t="s">
        <v>4127</v>
      </c>
      <c r="B24" s="2"/>
      <c r="C24" s="2"/>
      <c r="D24" s="2"/>
      <c r="E24" s="2"/>
      <c r="F24" s="2"/>
      <c r="G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1"/>
    <col collapsed="false" customWidth="true" hidden="false" outlineLevel="0" max="4" min="4" style="0" width="40"/>
    <col collapsed="false" customWidth="true" hidden="false" outlineLevel="0" max="5" min="5" style="0" width="80"/>
  </cols>
  <sheetData>
    <row r="1" customFormat="false" ht="17.35" hidden="false" customHeight="false" outlineLevel="0" collapsed="false">
      <c r="A1" s="1" t="s">
        <v>4128</v>
      </c>
      <c r="B1" s="2"/>
      <c r="C1" s="2"/>
      <c r="D1" s="2"/>
      <c r="E1" s="2"/>
    </row>
    <row r="2" customFormat="false" ht="15" hidden="false" customHeight="false" outlineLevel="0" collapsed="false">
      <c r="A2" s="3" t="s">
        <v>4129</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56</v>
      </c>
      <c r="B4" s="8" t="s">
        <v>4130</v>
      </c>
      <c r="C4" s="8" t="s">
        <v>42</v>
      </c>
      <c r="D4" s="8" t="s">
        <v>4131</v>
      </c>
      <c r="E4" s="8" t="s">
        <v>4132</v>
      </c>
    </row>
    <row r="5" customFormat="false" ht="15" hidden="false" customHeight="false" outlineLevel="0" collapsed="false">
      <c r="A5" s="2" t="s">
        <v>2707</v>
      </c>
      <c r="B5" s="2" t="s">
        <v>4133</v>
      </c>
      <c r="C5" s="2"/>
      <c r="D5" s="2" t="s">
        <v>4134</v>
      </c>
      <c r="E5" s="2" t="s">
        <v>4135</v>
      </c>
    </row>
    <row r="6" customFormat="false" ht="15" hidden="false" customHeight="false" outlineLevel="0" collapsed="false">
      <c r="A6" s="2" t="s">
        <v>703</v>
      </c>
      <c r="B6" s="2" t="s">
        <v>4133</v>
      </c>
      <c r="C6" s="2"/>
      <c r="D6" s="2" t="s">
        <v>4136</v>
      </c>
      <c r="E6" s="2" t="s">
        <v>4137</v>
      </c>
    </row>
    <row r="7" customFormat="false" ht="15" hidden="false" customHeight="false" outlineLevel="0" collapsed="false">
      <c r="A7" s="2" t="s">
        <v>2726</v>
      </c>
      <c r="B7" s="2" t="s">
        <v>4133</v>
      </c>
      <c r="C7" s="2"/>
      <c r="D7" s="2" t="s">
        <v>4136</v>
      </c>
      <c r="E7" s="2" t="s">
        <v>4137</v>
      </c>
    </row>
    <row r="8" customFormat="false" ht="15" hidden="false" customHeight="false" outlineLevel="0" collapsed="false">
      <c r="A8" s="2" t="s">
        <v>1310</v>
      </c>
      <c r="B8" s="2" t="s">
        <v>4133</v>
      </c>
      <c r="C8" s="2"/>
      <c r="D8" s="2" t="s">
        <v>4138</v>
      </c>
      <c r="E8" s="2" t="s">
        <v>4137</v>
      </c>
    </row>
    <row r="9" customFormat="false" ht="15" hidden="false" customHeight="false" outlineLevel="0" collapsed="false">
      <c r="A9" s="2" t="s">
        <v>2775</v>
      </c>
      <c r="B9" s="2" t="s">
        <v>4133</v>
      </c>
      <c r="C9" s="2"/>
      <c r="D9" s="2" t="s">
        <v>4138</v>
      </c>
      <c r="E9" s="2" t="s">
        <v>4137</v>
      </c>
    </row>
    <row r="10" customFormat="false" ht="15" hidden="false" customHeight="false" outlineLevel="0" collapsed="false">
      <c r="A10" s="2" t="s">
        <v>2791</v>
      </c>
      <c r="B10" s="2" t="s">
        <v>4133</v>
      </c>
      <c r="C10" s="2"/>
      <c r="D10" s="2" t="s">
        <v>4134</v>
      </c>
      <c r="E10" s="2" t="s">
        <v>4139</v>
      </c>
    </row>
    <row r="11" customFormat="false" ht="15" hidden="false" customHeight="false" outlineLevel="0" collapsed="false">
      <c r="A11" s="2" t="s">
        <v>2848</v>
      </c>
      <c r="B11" s="2" t="s">
        <v>4133</v>
      </c>
      <c r="C11" s="2"/>
      <c r="D11" s="2" t="s">
        <v>4134</v>
      </c>
      <c r="E11" s="2" t="s">
        <v>4140</v>
      </c>
    </row>
    <row r="12" customFormat="false" ht="15" hidden="false" customHeight="false" outlineLevel="0" collapsed="false">
      <c r="A12" s="2" t="s">
        <v>2859</v>
      </c>
      <c r="B12" s="2" t="s">
        <v>4133</v>
      </c>
      <c r="C12" s="2"/>
      <c r="D12" s="2" t="s">
        <v>4134</v>
      </c>
      <c r="E12" s="2" t="s">
        <v>4140</v>
      </c>
    </row>
    <row r="13" customFormat="false" ht="15" hidden="false" customHeight="false" outlineLevel="0" collapsed="false">
      <c r="A13" s="2" t="s">
        <v>2861</v>
      </c>
      <c r="B13" s="2" t="s">
        <v>4133</v>
      </c>
      <c r="C13" s="2"/>
      <c r="D13" s="2" t="s">
        <v>4138</v>
      </c>
      <c r="E13" s="2" t="s">
        <v>4137</v>
      </c>
    </row>
    <row r="14" customFormat="false" ht="15" hidden="false" customHeight="false" outlineLevel="0" collapsed="false">
      <c r="A14" s="2" t="s">
        <v>2872</v>
      </c>
      <c r="B14" s="2" t="s">
        <v>4133</v>
      </c>
      <c r="C14" s="2"/>
      <c r="D14" s="2" t="s">
        <v>4134</v>
      </c>
      <c r="E14" s="2" t="s">
        <v>4135</v>
      </c>
    </row>
    <row r="15" customFormat="false" ht="15" hidden="false" customHeight="false" outlineLevel="0" collapsed="false">
      <c r="A15" s="2" t="s">
        <v>2877</v>
      </c>
      <c r="B15" s="2" t="s">
        <v>4133</v>
      </c>
      <c r="C15" s="2"/>
      <c r="D15" s="2" t="s">
        <v>4134</v>
      </c>
      <c r="E15" s="2" t="s">
        <v>4141</v>
      </c>
    </row>
    <row r="16" customFormat="false" ht="15" hidden="false" customHeight="false" outlineLevel="0" collapsed="false">
      <c r="A16" s="2" t="s">
        <v>2883</v>
      </c>
      <c r="B16" s="2" t="s">
        <v>4133</v>
      </c>
      <c r="C16" s="2"/>
      <c r="D16" s="2" t="s">
        <v>4136</v>
      </c>
      <c r="E16" s="2" t="s">
        <v>4137</v>
      </c>
    </row>
    <row r="17" customFormat="false" ht="15" hidden="false" customHeight="false" outlineLevel="0" collapsed="false">
      <c r="A17" s="2" t="s">
        <v>1940</v>
      </c>
      <c r="B17" s="2" t="s">
        <v>4133</v>
      </c>
      <c r="C17" s="2"/>
      <c r="D17" s="2" t="s">
        <v>4136</v>
      </c>
      <c r="E17" s="2" t="s">
        <v>4137</v>
      </c>
    </row>
    <row r="18" customFormat="false" ht="15" hidden="false" customHeight="false" outlineLevel="0" collapsed="false">
      <c r="A18" s="2" t="s">
        <v>2932</v>
      </c>
      <c r="B18" s="2" t="s">
        <v>4133</v>
      </c>
      <c r="C18" s="2"/>
      <c r="D18" s="2" t="s">
        <v>4134</v>
      </c>
      <c r="E18" s="2" t="s">
        <v>4140</v>
      </c>
    </row>
    <row r="19" customFormat="false" ht="15" hidden="false" customHeight="false" outlineLevel="0" collapsed="false">
      <c r="A19" s="2" t="s">
        <v>2964</v>
      </c>
      <c r="B19" s="2" t="s">
        <v>4133</v>
      </c>
      <c r="C19" s="2"/>
      <c r="D19" s="2" t="s">
        <v>4134</v>
      </c>
      <c r="E19" s="2" t="s">
        <v>4142</v>
      </c>
    </row>
    <row r="20" customFormat="false" ht="15" hidden="false" customHeight="false" outlineLevel="0" collapsed="false">
      <c r="A20" s="2" t="s">
        <v>1279</v>
      </c>
      <c r="B20" s="2" t="s">
        <v>4133</v>
      </c>
      <c r="C20" s="2"/>
      <c r="D20" s="2" t="s">
        <v>4134</v>
      </c>
      <c r="E20" s="2" t="s">
        <v>4137</v>
      </c>
    </row>
    <row r="21" customFormat="false" ht="15" hidden="false" customHeight="false" outlineLevel="0" collapsed="false">
      <c r="A21" s="2" t="s">
        <v>2976</v>
      </c>
      <c r="B21" s="2" t="s">
        <v>4133</v>
      </c>
      <c r="C21" s="2"/>
      <c r="D21" s="2" t="s">
        <v>4134</v>
      </c>
      <c r="E21" s="2" t="s">
        <v>4141</v>
      </c>
    </row>
    <row r="22" customFormat="false" ht="15" hidden="false" customHeight="false" outlineLevel="0" collapsed="false">
      <c r="A22" s="2" t="s">
        <v>2997</v>
      </c>
      <c r="B22" s="2" t="s">
        <v>4133</v>
      </c>
      <c r="C22" s="2"/>
      <c r="D22" s="2" t="s">
        <v>4134</v>
      </c>
      <c r="E22" s="2" t="s">
        <v>4142</v>
      </c>
    </row>
    <row r="23" customFormat="false" ht="15" hidden="false" customHeight="false" outlineLevel="0" collapsed="false">
      <c r="A23" s="2" t="s">
        <v>1420</v>
      </c>
      <c r="B23" s="2" t="s">
        <v>4133</v>
      </c>
      <c r="C23" s="2"/>
      <c r="D23" s="2" t="s">
        <v>4136</v>
      </c>
      <c r="E23" s="2" t="s">
        <v>4137</v>
      </c>
    </row>
    <row r="24" customFormat="false" ht="15" hidden="false" customHeight="false" outlineLevel="0" collapsed="false">
      <c r="A24" s="2" t="s">
        <v>1359</v>
      </c>
      <c r="B24" s="2" t="s">
        <v>4133</v>
      </c>
      <c r="C24" s="2"/>
      <c r="D24" s="2" t="s">
        <v>4138</v>
      </c>
      <c r="E24" s="2" t="s">
        <v>4137</v>
      </c>
    </row>
    <row r="25" customFormat="false" ht="15" hidden="false" customHeight="false" outlineLevel="0" collapsed="false">
      <c r="A25" s="2" t="s">
        <v>3030</v>
      </c>
      <c r="B25" s="2" t="s">
        <v>4133</v>
      </c>
      <c r="C25" s="2"/>
      <c r="D25" s="2" t="s">
        <v>4136</v>
      </c>
      <c r="E25" s="2" t="s">
        <v>4137</v>
      </c>
    </row>
    <row r="26" customFormat="false" ht="15" hidden="false" customHeight="false" outlineLevel="0" collapsed="false">
      <c r="A26" s="2" t="s">
        <v>3060</v>
      </c>
      <c r="B26" s="2" t="s">
        <v>4133</v>
      </c>
      <c r="C26" s="2"/>
      <c r="D26" s="2" t="s">
        <v>4134</v>
      </c>
      <c r="E26" s="2" t="s">
        <v>4143</v>
      </c>
    </row>
    <row r="27" customFormat="false" ht="15" hidden="false" customHeight="false" outlineLevel="0" collapsed="false">
      <c r="A27" s="2" t="s">
        <v>3064</v>
      </c>
      <c r="B27" s="2" t="s">
        <v>4133</v>
      </c>
      <c r="C27" s="2"/>
      <c r="D27" s="2" t="s">
        <v>4134</v>
      </c>
      <c r="E27" s="2" t="s">
        <v>4140</v>
      </c>
    </row>
    <row r="28" customFormat="false" ht="15" hidden="false" customHeight="false" outlineLevel="0" collapsed="false">
      <c r="A28" s="2" t="s">
        <v>3071</v>
      </c>
      <c r="B28" s="2" t="s">
        <v>4133</v>
      </c>
      <c r="C28" s="2"/>
      <c r="D28" s="2" t="s">
        <v>4134</v>
      </c>
      <c r="E28" s="2" t="s">
        <v>4144</v>
      </c>
    </row>
    <row r="29" customFormat="false" ht="15" hidden="false" customHeight="false" outlineLevel="0" collapsed="false">
      <c r="A29" s="2" t="s">
        <v>3078</v>
      </c>
      <c r="B29" s="2" t="s">
        <v>4133</v>
      </c>
      <c r="C29" s="2"/>
      <c r="D29" s="2" t="s">
        <v>4134</v>
      </c>
      <c r="E29" s="2" t="s">
        <v>4141</v>
      </c>
    </row>
    <row r="30" customFormat="false" ht="15" hidden="false" customHeight="false" outlineLevel="0" collapsed="false">
      <c r="A30" s="2" t="s">
        <v>3107</v>
      </c>
      <c r="B30" s="2" t="s">
        <v>4133</v>
      </c>
      <c r="C30" s="2"/>
      <c r="D30" s="2" t="s">
        <v>4134</v>
      </c>
      <c r="E30" s="2" t="s">
        <v>4142</v>
      </c>
    </row>
    <row r="31" customFormat="false" ht="15" hidden="false" customHeight="false" outlineLevel="0" collapsed="false">
      <c r="A31" s="2" t="s">
        <v>3119</v>
      </c>
      <c r="B31" s="2" t="s">
        <v>4133</v>
      </c>
      <c r="C31" s="2"/>
      <c r="D31" s="2" t="s">
        <v>4136</v>
      </c>
      <c r="E31" s="2" t="s">
        <v>4137</v>
      </c>
    </row>
    <row r="32" customFormat="false" ht="15" hidden="false" customHeight="false" outlineLevel="0" collapsed="false">
      <c r="A32" s="2" t="s">
        <v>3124</v>
      </c>
      <c r="B32" s="2" t="s">
        <v>4133</v>
      </c>
      <c r="C32" s="2"/>
      <c r="D32" s="2" t="s">
        <v>4134</v>
      </c>
      <c r="E32" s="2" t="s">
        <v>4141</v>
      </c>
    </row>
    <row r="33" customFormat="false" ht="15" hidden="false" customHeight="false" outlineLevel="0" collapsed="false">
      <c r="A33" s="2" t="s">
        <v>1601</v>
      </c>
      <c r="B33" s="2" t="s">
        <v>4133</v>
      </c>
      <c r="C33" s="2"/>
      <c r="D33" s="2" t="s">
        <v>4136</v>
      </c>
      <c r="E33" s="2" t="s">
        <v>4137</v>
      </c>
    </row>
    <row r="34" customFormat="false" ht="15" hidden="false" customHeight="false" outlineLevel="0" collapsed="false">
      <c r="A34" s="2" t="s">
        <v>3133</v>
      </c>
      <c r="B34" s="2" t="s">
        <v>4133</v>
      </c>
      <c r="C34" s="2"/>
      <c r="D34" s="2" t="s">
        <v>4134</v>
      </c>
      <c r="E34" s="2" t="s">
        <v>4140</v>
      </c>
    </row>
    <row r="35" customFormat="false" ht="15" hidden="false" customHeight="false" outlineLevel="0" collapsed="false">
      <c r="A35" s="2" t="s">
        <v>1493</v>
      </c>
      <c r="B35" s="2" t="s">
        <v>4133</v>
      </c>
      <c r="C35" s="2"/>
      <c r="D35" s="2" t="s">
        <v>4136</v>
      </c>
      <c r="E35" s="2" t="s">
        <v>4137</v>
      </c>
    </row>
    <row r="36" customFormat="false" ht="15" hidden="false" customHeight="false" outlineLevel="0" collapsed="false">
      <c r="A36" s="2" t="s">
        <v>3147</v>
      </c>
      <c r="B36" s="2" t="s">
        <v>4133</v>
      </c>
      <c r="C36" s="2"/>
      <c r="D36" s="2" t="s">
        <v>4134</v>
      </c>
      <c r="E36" s="2" t="s">
        <v>4144</v>
      </c>
    </row>
    <row r="37" customFormat="false" ht="15" hidden="false" customHeight="false" outlineLevel="0" collapsed="false">
      <c r="A37" s="2" t="s">
        <v>3150</v>
      </c>
      <c r="B37" s="2" t="s">
        <v>4133</v>
      </c>
      <c r="C37" s="2"/>
      <c r="D37" s="2" t="s">
        <v>4134</v>
      </c>
      <c r="E37" s="2" t="s">
        <v>4141</v>
      </c>
    </row>
    <row r="38" customFormat="false" ht="15" hidden="false" customHeight="false" outlineLevel="0" collapsed="false">
      <c r="A38" s="2" t="s">
        <v>3178</v>
      </c>
      <c r="B38" s="2" t="s">
        <v>4133</v>
      </c>
      <c r="C38" s="2"/>
      <c r="D38" s="2" t="s">
        <v>4134</v>
      </c>
      <c r="E38" s="2" t="s">
        <v>4144</v>
      </c>
    </row>
    <row r="39" customFormat="false" ht="15" hidden="false" customHeight="false" outlineLevel="0" collapsed="false">
      <c r="A39" s="2" t="s">
        <v>2660</v>
      </c>
      <c r="B39" s="2" t="s">
        <v>4145</v>
      </c>
      <c r="C39" s="2" t="s">
        <v>45</v>
      </c>
      <c r="D39" s="2" t="s">
        <v>4146</v>
      </c>
      <c r="E39" s="2" t="s">
        <v>4141</v>
      </c>
    </row>
    <row r="40" customFormat="false" ht="15" hidden="false" customHeight="false" outlineLevel="0" collapsed="false">
      <c r="A40" s="2" t="s">
        <v>2660</v>
      </c>
      <c r="B40" s="2" t="s">
        <v>4145</v>
      </c>
      <c r="C40" s="2" t="s">
        <v>46</v>
      </c>
      <c r="D40" s="2" t="s">
        <v>4146</v>
      </c>
      <c r="E40" s="2" t="s">
        <v>4143</v>
      </c>
    </row>
    <row r="41" customFormat="false" ht="15" hidden="false" customHeight="false" outlineLevel="0" collapsed="false">
      <c r="A41" s="2" t="s">
        <v>1206</v>
      </c>
      <c r="B41" s="2" t="s">
        <v>4145</v>
      </c>
      <c r="C41" s="2" t="s">
        <v>46</v>
      </c>
      <c r="D41" s="2" t="s">
        <v>662</v>
      </c>
      <c r="E41" s="2" t="s">
        <v>4147</v>
      </c>
    </row>
    <row r="42" customFormat="false" ht="15" hidden="false" customHeight="false" outlineLevel="0" collapsed="false">
      <c r="A42" s="2" t="s">
        <v>1998</v>
      </c>
      <c r="B42" s="2" t="s">
        <v>4145</v>
      </c>
      <c r="C42" s="2" t="s">
        <v>45</v>
      </c>
      <c r="D42" s="2" t="s">
        <v>4146</v>
      </c>
      <c r="E42" s="2" t="s">
        <v>4148</v>
      </c>
    </row>
    <row r="43" customFormat="false" ht="15" hidden="false" customHeight="false" outlineLevel="0" collapsed="false">
      <c r="A43" s="2" t="s">
        <v>1998</v>
      </c>
      <c r="B43" s="2" t="s">
        <v>4145</v>
      </c>
      <c r="C43" s="2" t="s">
        <v>46</v>
      </c>
      <c r="D43" s="2" t="s">
        <v>662</v>
      </c>
      <c r="E43" s="2" t="s">
        <v>4149</v>
      </c>
    </row>
    <row r="44" customFormat="false" ht="15" hidden="false" customHeight="false" outlineLevel="0" collapsed="false">
      <c r="A44" s="2" t="s">
        <v>1578</v>
      </c>
      <c r="B44" s="2" t="s">
        <v>4145</v>
      </c>
      <c r="C44" s="2" t="s">
        <v>45</v>
      </c>
      <c r="D44" s="2" t="s">
        <v>4150</v>
      </c>
      <c r="E44" s="2" t="s">
        <v>4151</v>
      </c>
    </row>
    <row r="45" customFormat="false" ht="15" hidden="false" customHeight="false" outlineLevel="0" collapsed="false">
      <c r="A45" s="2" t="s">
        <v>1787</v>
      </c>
      <c r="B45" s="2" t="s">
        <v>4145</v>
      </c>
      <c r="C45" s="2" t="s">
        <v>45</v>
      </c>
      <c r="D45" s="2" t="s">
        <v>4146</v>
      </c>
      <c r="E45" s="2" t="s">
        <v>4143</v>
      </c>
    </row>
    <row r="46" customFormat="false" ht="15" hidden="false" customHeight="false" outlineLevel="0" collapsed="false">
      <c r="A46" s="2" t="s">
        <v>2707</v>
      </c>
      <c r="B46" s="2" t="s">
        <v>4145</v>
      </c>
      <c r="C46" s="2" t="s">
        <v>45</v>
      </c>
      <c r="D46" s="2" t="s">
        <v>4146</v>
      </c>
      <c r="E46" s="2" t="s">
        <v>4135</v>
      </c>
    </row>
    <row r="47" customFormat="false" ht="15" hidden="false" customHeight="false" outlineLevel="0" collapsed="false">
      <c r="A47" s="2" t="s">
        <v>2707</v>
      </c>
      <c r="B47" s="2" t="s">
        <v>4145</v>
      </c>
      <c r="C47" s="2" t="s">
        <v>47</v>
      </c>
      <c r="D47" s="2" t="s">
        <v>4146</v>
      </c>
      <c r="E47" s="2" t="s">
        <v>4135</v>
      </c>
    </row>
    <row r="48" customFormat="false" ht="15" hidden="false" customHeight="false" outlineLevel="0" collapsed="false">
      <c r="A48" s="2" t="s">
        <v>774</v>
      </c>
      <c r="B48" s="2" t="s">
        <v>4145</v>
      </c>
      <c r="C48" s="2" t="s">
        <v>46</v>
      </c>
      <c r="D48" s="2" t="s">
        <v>661</v>
      </c>
      <c r="E48" s="2" t="s">
        <v>4152</v>
      </c>
    </row>
    <row r="49" customFormat="false" ht="15" hidden="false" customHeight="false" outlineLevel="0" collapsed="false">
      <c r="A49" s="2" t="s">
        <v>2709</v>
      </c>
      <c r="B49" s="2" t="s">
        <v>4145</v>
      </c>
      <c r="C49" s="2" t="s">
        <v>46</v>
      </c>
      <c r="D49" s="2" t="s">
        <v>4146</v>
      </c>
      <c r="E49" s="2" t="s">
        <v>4143</v>
      </c>
    </row>
    <row r="50" customFormat="false" ht="15" hidden="false" customHeight="false" outlineLevel="0" collapsed="false">
      <c r="A50" s="2" t="s">
        <v>1156</v>
      </c>
      <c r="B50" s="2" t="s">
        <v>4145</v>
      </c>
      <c r="C50" s="2" t="s">
        <v>47</v>
      </c>
      <c r="D50" s="2" t="s">
        <v>4146</v>
      </c>
      <c r="E50" s="2" t="s">
        <v>4143</v>
      </c>
    </row>
    <row r="51" customFormat="false" ht="15" hidden="false" customHeight="false" outlineLevel="0" collapsed="false">
      <c r="A51" s="2" t="s">
        <v>924</v>
      </c>
      <c r="B51" s="2" t="s">
        <v>4145</v>
      </c>
      <c r="C51" s="2" t="s">
        <v>46</v>
      </c>
      <c r="D51" s="2" t="s">
        <v>4153</v>
      </c>
      <c r="E51" s="2" t="s">
        <v>4154</v>
      </c>
    </row>
    <row r="52" customFormat="false" ht="15" hidden="false" customHeight="false" outlineLevel="0" collapsed="false">
      <c r="A52" s="2" t="s">
        <v>1297</v>
      </c>
      <c r="B52" s="2" t="s">
        <v>4145</v>
      </c>
      <c r="C52" s="2" t="s">
        <v>46</v>
      </c>
      <c r="D52" s="2" t="s">
        <v>4155</v>
      </c>
      <c r="E52" s="2" t="s">
        <v>4156</v>
      </c>
    </row>
    <row r="53" customFormat="false" ht="15" hidden="false" customHeight="false" outlineLevel="0" collapsed="false">
      <c r="A53" s="2" t="s">
        <v>1554</v>
      </c>
      <c r="B53" s="2" t="s">
        <v>4145</v>
      </c>
      <c r="C53" s="2" t="s">
        <v>47</v>
      </c>
      <c r="D53" s="2" t="s">
        <v>4146</v>
      </c>
      <c r="E53" s="2" t="s">
        <v>4143</v>
      </c>
    </row>
    <row r="54" customFormat="false" ht="15" hidden="false" customHeight="false" outlineLevel="0" collapsed="false">
      <c r="A54" s="2" t="s">
        <v>873</v>
      </c>
      <c r="B54" s="2" t="s">
        <v>4145</v>
      </c>
      <c r="C54" s="2" t="s">
        <v>46</v>
      </c>
      <c r="D54" s="2" t="s">
        <v>4146</v>
      </c>
      <c r="E54" s="2" t="s">
        <v>4142</v>
      </c>
    </row>
    <row r="55" customFormat="false" ht="15" hidden="false" customHeight="false" outlineLevel="0" collapsed="false">
      <c r="A55" s="2" t="s">
        <v>935</v>
      </c>
      <c r="B55" s="2" t="s">
        <v>4145</v>
      </c>
      <c r="C55" s="2" t="s">
        <v>46</v>
      </c>
      <c r="D55" s="2" t="s">
        <v>4146</v>
      </c>
      <c r="E55" s="2" t="s">
        <v>4143</v>
      </c>
    </row>
    <row r="56" customFormat="false" ht="15" hidden="false" customHeight="false" outlineLevel="0" collapsed="false">
      <c r="A56" s="2" t="s">
        <v>2259</v>
      </c>
      <c r="B56" s="2" t="s">
        <v>4145</v>
      </c>
      <c r="C56" s="2" t="s">
        <v>45</v>
      </c>
      <c r="D56" s="2" t="s">
        <v>4146</v>
      </c>
      <c r="E56" s="2" t="s">
        <v>4148</v>
      </c>
    </row>
    <row r="57" customFormat="false" ht="15" hidden="false" customHeight="false" outlineLevel="0" collapsed="false">
      <c r="A57" s="2" t="s">
        <v>2259</v>
      </c>
      <c r="B57" s="2" t="s">
        <v>4145</v>
      </c>
      <c r="C57" s="2" t="s">
        <v>46</v>
      </c>
      <c r="D57" s="2" t="s">
        <v>4146</v>
      </c>
      <c r="E57" s="2" t="s">
        <v>4157</v>
      </c>
    </row>
    <row r="58" customFormat="false" ht="15" hidden="false" customHeight="false" outlineLevel="0" collapsed="false">
      <c r="A58" s="2" t="s">
        <v>1498</v>
      </c>
      <c r="B58" s="2" t="s">
        <v>4145</v>
      </c>
      <c r="C58" s="2" t="s">
        <v>45</v>
      </c>
      <c r="D58" s="2" t="s">
        <v>4153</v>
      </c>
      <c r="E58" s="2" t="s">
        <v>4158</v>
      </c>
    </row>
    <row r="59" customFormat="false" ht="15" hidden="false" customHeight="false" outlineLevel="0" collapsed="false">
      <c r="A59" s="2" t="s">
        <v>1482</v>
      </c>
      <c r="B59" s="2" t="s">
        <v>4145</v>
      </c>
      <c r="C59" s="2" t="s">
        <v>45</v>
      </c>
      <c r="D59" s="2" t="s">
        <v>4150</v>
      </c>
      <c r="E59" s="2" t="s">
        <v>4159</v>
      </c>
    </row>
    <row r="60" customFormat="false" ht="15" hidden="false" customHeight="false" outlineLevel="0" collapsed="false">
      <c r="A60" s="2" t="s">
        <v>703</v>
      </c>
      <c r="B60" s="2" t="s">
        <v>4145</v>
      </c>
      <c r="C60" s="2" t="s">
        <v>46</v>
      </c>
      <c r="D60" s="2" t="s">
        <v>4146</v>
      </c>
      <c r="E60" s="2" t="s">
        <v>4142</v>
      </c>
    </row>
    <row r="61" customFormat="false" ht="15" hidden="false" customHeight="false" outlineLevel="0" collapsed="false">
      <c r="A61" s="2" t="s">
        <v>703</v>
      </c>
      <c r="B61" s="2" t="s">
        <v>4145</v>
      </c>
      <c r="C61" s="2" t="s">
        <v>47</v>
      </c>
      <c r="D61" s="2" t="s">
        <v>4146</v>
      </c>
      <c r="E61" s="2" t="s">
        <v>4148</v>
      </c>
    </row>
    <row r="62" customFormat="false" ht="15" hidden="false" customHeight="false" outlineLevel="0" collapsed="false">
      <c r="A62" s="2" t="s">
        <v>1078</v>
      </c>
      <c r="B62" s="2" t="s">
        <v>4145</v>
      </c>
      <c r="C62" s="2" t="s">
        <v>46</v>
      </c>
      <c r="D62" s="2" t="s">
        <v>4146</v>
      </c>
      <c r="E62" s="2" t="s">
        <v>4142</v>
      </c>
    </row>
    <row r="63" customFormat="false" ht="15" hidden="false" customHeight="false" outlineLevel="0" collapsed="false">
      <c r="A63" s="2" t="s">
        <v>1078</v>
      </c>
      <c r="B63" s="2" t="s">
        <v>4145</v>
      </c>
      <c r="C63" s="2" t="s">
        <v>47</v>
      </c>
      <c r="D63" s="2" t="s">
        <v>660</v>
      </c>
      <c r="E63" s="2" t="s">
        <v>4160</v>
      </c>
    </row>
    <row r="64" customFormat="false" ht="15" hidden="false" customHeight="false" outlineLevel="0" collapsed="false">
      <c r="A64" s="2" t="s">
        <v>755</v>
      </c>
      <c r="B64" s="2" t="s">
        <v>4145</v>
      </c>
      <c r="C64" s="2" t="s">
        <v>47</v>
      </c>
      <c r="D64" s="2" t="s">
        <v>4161</v>
      </c>
      <c r="E64" s="2" t="s">
        <v>4162</v>
      </c>
    </row>
    <row r="65" customFormat="false" ht="15" hidden="false" customHeight="false" outlineLevel="0" collapsed="false">
      <c r="A65" s="2" t="s">
        <v>2197</v>
      </c>
      <c r="B65" s="2" t="s">
        <v>4145</v>
      </c>
      <c r="C65" s="2" t="s">
        <v>46</v>
      </c>
      <c r="D65" s="2" t="s">
        <v>4146</v>
      </c>
      <c r="E65" s="2" t="s">
        <v>4142</v>
      </c>
    </row>
    <row r="66" customFormat="false" ht="15" hidden="false" customHeight="false" outlineLevel="0" collapsed="false">
      <c r="A66" s="2" t="s">
        <v>2434</v>
      </c>
      <c r="B66" s="2" t="s">
        <v>4145</v>
      </c>
      <c r="C66" s="2" t="s">
        <v>45</v>
      </c>
      <c r="D66" s="2" t="s">
        <v>4153</v>
      </c>
      <c r="E66" s="2" t="s">
        <v>4163</v>
      </c>
    </row>
    <row r="67" customFormat="false" ht="15" hidden="false" customHeight="false" outlineLevel="0" collapsed="false">
      <c r="A67" s="2" t="s">
        <v>1761</v>
      </c>
      <c r="B67" s="2" t="s">
        <v>4145</v>
      </c>
      <c r="C67" s="2" t="s">
        <v>45</v>
      </c>
      <c r="D67" s="2" t="s">
        <v>662</v>
      </c>
      <c r="E67" s="2" t="s">
        <v>4164</v>
      </c>
    </row>
    <row r="68" customFormat="false" ht="15" hidden="false" customHeight="false" outlineLevel="0" collapsed="false">
      <c r="A68" s="2" t="s">
        <v>1904</v>
      </c>
      <c r="B68" s="2" t="s">
        <v>4145</v>
      </c>
      <c r="C68" s="2" t="s">
        <v>45</v>
      </c>
      <c r="D68" s="2" t="s">
        <v>661</v>
      </c>
      <c r="E68" s="2" t="s">
        <v>4165</v>
      </c>
    </row>
    <row r="69" customFormat="false" ht="15" hidden="false" customHeight="false" outlineLevel="0" collapsed="false">
      <c r="A69" s="2" t="s">
        <v>1790</v>
      </c>
      <c r="B69" s="2" t="s">
        <v>4145</v>
      </c>
      <c r="C69" s="2" t="s">
        <v>45</v>
      </c>
      <c r="D69" s="2" t="s">
        <v>4146</v>
      </c>
      <c r="E69" s="2" t="s">
        <v>4148</v>
      </c>
    </row>
    <row r="70" customFormat="false" ht="15" hidden="false" customHeight="false" outlineLevel="0" collapsed="false">
      <c r="A70" s="2" t="s">
        <v>2338</v>
      </c>
      <c r="B70" s="2" t="s">
        <v>4145</v>
      </c>
      <c r="C70" s="2" t="s">
        <v>45</v>
      </c>
      <c r="D70" s="2" t="s">
        <v>662</v>
      </c>
      <c r="E70" s="2" t="s">
        <v>4166</v>
      </c>
    </row>
    <row r="71" customFormat="false" ht="15" hidden="false" customHeight="false" outlineLevel="0" collapsed="false">
      <c r="A71" s="2" t="s">
        <v>2338</v>
      </c>
      <c r="B71" s="2" t="s">
        <v>4145</v>
      </c>
      <c r="C71" s="2" t="s">
        <v>46</v>
      </c>
      <c r="D71" s="2" t="s">
        <v>662</v>
      </c>
      <c r="E71" s="2" t="s">
        <v>4164</v>
      </c>
    </row>
    <row r="72" customFormat="false" ht="15" hidden="false" customHeight="false" outlineLevel="0" collapsed="false">
      <c r="A72" s="2" t="s">
        <v>2167</v>
      </c>
      <c r="B72" s="2" t="s">
        <v>4145</v>
      </c>
      <c r="C72" s="2" t="s">
        <v>45</v>
      </c>
      <c r="D72" s="2" t="s">
        <v>4150</v>
      </c>
      <c r="E72" s="2" t="s">
        <v>4167</v>
      </c>
    </row>
    <row r="73" customFormat="false" ht="15" hidden="false" customHeight="false" outlineLevel="0" collapsed="false">
      <c r="A73" s="2" t="s">
        <v>2167</v>
      </c>
      <c r="B73" s="2" t="s">
        <v>4145</v>
      </c>
      <c r="C73" s="2" t="s">
        <v>46</v>
      </c>
      <c r="D73" s="2" t="s">
        <v>4146</v>
      </c>
      <c r="E73" s="2" t="s">
        <v>4148</v>
      </c>
    </row>
    <row r="74" customFormat="false" ht="15" hidden="false" customHeight="false" outlineLevel="0" collapsed="false">
      <c r="A74" s="2" t="s">
        <v>1117</v>
      </c>
      <c r="B74" s="2" t="s">
        <v>4145</v>
      </c>
      <c r="C74" s="2" t="s">
        <v>47</v>
      </c>
      <c r="D74" s="2" t="s">
        <v>4146</v>
      </c>
      <c r="E74" s="2" t="s">
        <v>4148</v>
      </c>
    </row>
    <row r="75" customFormat="false" ht="15" hidden="false" customHeight="false" outlineLevel="0" collapsed="false">
      <c r="A75" s="2" t="s">
        <v>2552</v>
      </c>
      <c r="B75" s="2" t="s">
        <v>4145</v>
      </c>
      <c r="C75" s="2" t="s">
        <v>46</v>
      </c>
      <c r="D75" s="2" t="s">
        <v>662</v>
      </c>
      <c r="E75" s="2" t="s">
        <v>4168</v>
      </c>
    </row>
    <row r="76" customFormat="false" ht="15" hidden="false" customHeight="false" outlineLevel="0" collapsed="false">
      <c r="A76" s="2" t="s">
        <v>2726</v>
      </c>
      <c r="B76" s="2" t="s">
        <v>4145</v>
      </c>
      <c r="C76" s="2" t="s">
        <v>47</v>
      </c>
      <c r="D76" s="2" t="s">
        <v>4150</v>
      </c>
      <c r="E76" s="2" t="s">
        <v>4169</v>
      </c>
    </row>
    <row r="77" customFormat="false" ht="15" hidden="false" customHeight="false" outlineLevel="0" collapsed="false">
      <c r="A77" s="2" t="s">
        <v>2728</v>
      </c>
      <c r="B77" s="2" t="s">
        <v>4145</v>
      </c>
      <c r="C77" s="2" t="s">
        <v>45</v>
      </c>
      <c r="D77" s="2" t="s">
        <v>662</v>
      </c>
      <c r="E77" s="2" t="s">
        <v>4168</v>
      </c>
    </row>
    <row r="78" customFormat="false" ht="15" hidden="false" customHeight="false" outlineLevel="0" collapsed="false">
      <c r="A78" s="2" t="s">
        <v>2728</v>
      </c>
      <c r="B78" s="2" t="s">
        <v>4145</v>
      </c>
      <c r="C78" s="2" t="s">
        <v>46</v>
      </c>
      <c r="D78" s="2" t="s">
        <v>4146</v>
      </c>
      <c r="E78" s="2" t="s">
        <v>4143</v>
      </c>
    </row>
    <row r="79" customFormat="false" ht="15" hidden="false" customHeight="false" outlineLevel="0" collapsed="false">
      <c r="A79" s="2" t="s">
        <v>1604</v>
      </c>
      <c r="B79" s="2" t="s">
        <v>4145</v>
      </c>
      <c r="C79" s="2" t="s">
        <v>45</v>
      </c>
      <c r="D79" s="2" t="s">
        <v>661</v>
      </c>
      <c r="E79" s="2" t="s">
        <v>4152</v>
      </c>
    </row>
    <row r="80" customFormat="false" ht="15" hidden="false" customHeight="false" outlineLevel="0" collapsed="false">
      <c r="A80" s="2" t="s">
        <v>1575</v>
      </c>
      <c r="B80" s="2" t="s">
        <v>4145</v>
      </c>
      <c r="C80" s="2" t="s">
        <v>45</v>
      </c>
      <c r="D80" s="2" t="s">
        <v>662</v>
      </c>
      <c r="E80" s="2" t="s">
        <v>4170</v>
      </c>
    </row>
    <row r="81" customFormat="false" ht="15" hidden="false" customHeight="false" outlineLevel="0" collapsed="false">
      <c r="A81" s="2" t="s">
        <v>1423</v>
      </c>
      <c r="B81" s="2" t="s">
        <v>4145</v>
      </c>
      <c r="C81" s="2" t="s">
        <v>45</v>
      </c>
      <c r="D81" s="2" t="s">
        <v>662</v>
      </c>
      <c r="E81" s="2" t="s">
        <v>4171</v>
      </c>
    </row>
    <row r="82" customFormat="false" ht="15" hidden="false" customHeight="false" outlineLevel="0" collapsed="false">
      <c r="A82" s="2" t="s">
        <v>1423</v>
      </c>
      <c r="B82" s="2" t="s">
        <v>4145</v>
      </c>
      <c r="C82" s="2" t="s">
        <v>47</v>
      </c>
      <c r="D82" s="2" t="s">
        <v>662</v>
      </c>
      <c r="E82" s="2" t="s">
        <v>4170</v>
      </c>
    </row>
    <row r="83" customFormat="false" ht="15" hidden="false" customHeight="false" outlineLevel="0" collapsed="false">
      <c r="A83" s="2" t="s">
        <v>1708</v>
      </c>
      <c r="B83" s="2" t="s">
        <v>4145</v>
      </c>
      <c r="C83" s="2" t="s">
        <v>45</v>
      </c>
      <c r="D83" s="2" t="s">
        <v>662</v>
      </c>
      <c r="E83" s="2" t="s">
        <v>4172</v>
      </c>
    </row>
    <row r="84" customFormat="false" ht="15" hidden="false" customHeight="false" outlineLevel="0" collapsed="false">
      <c r="A84" s="2" t="s">
        <v>1708</v>
      </c>
      <c r="B84" s="2" t="s">
        <v>4145</v>
      </c>
      <c r="C84" s="2" t="s">
        <v>47</v>
      </c>
      <c r="D84" s="2" t="s">
        <v>662</v>
      </c>
      <c r="E84" s="2" t="s">
        <v>4173</v>
      </c>
    </row>
    <row r="85" customFormat="false" ht="15" hidden="false" customHeight="false" outlineLevel="0" collapsed="false">
      <c r="A85" s="2" t="s">
        <v>2736</v>
      </c>
      <c r="B85" s="2" t="s">
        <v>4145</v>
      </c>
      <c r="C85" s="2" t="s">
        <v>45</v>
      </c>
      <c r="D85" s="2" t="s">
        <v>4153</v>
      </c>
      <c r="E85" s="2" t="s">
        <v>4174</v>
      </c>
    </row>
    <row r="86" customFormat="false" ht="15" hidden="false" customHeight="false" outlineLevel="0" collapsed="false">
      <c r="A86" s="2" t="s">
        <v>1237</v>
      </c>
      <c r="B86" s="2" t="s">
        <v>4145</v>
      </c>
      <c r="C86" s="2" t="s">
        <v>46</v>
      </c>
      <c r="D86" s="2" t="s">
        <v>4146</v>
      </c>
      <c r="E86" s="2" t="s">
        <v>4141</v>
      </c>
    </row>
    <row r="87" customFormat="false" ht="15" hidden="false" customHeight="false" outlineLevel="0" collapsed="false">
      <c r="A87" s="2" t="s">
        <v>2466</v>
      </c>
      <c r="B87" s="2" t="s">
        <v>4145</v>
      </c>
      <c r="C87" s="2" t="s">
        <v>45</v>
      </c>
      <c r="D87" s="2" t="s">
        <v>660</v>
      </c>
      <c r="E87" s="2" t="s">
        <v>4175</v>
      </c>
    </row>
    <row r="88" customFormat="false" ht="15" hidden="false" customHeight="false" outlineLevel="0" collapsed="false">
      <c r="A88" s="2" t="s">
        <v>2466</v>
      </c>
      <c r="B88" s="2" t="s">
        <v>4145</v>
      </c>
      <c r="C88" s="2" t="s">
        <v>46</v>
      </c>
      <c r="D88" s="2" t="s">
        <v>661</v>
      </c>
      <c r="E88" s="2" t="s">
        <v>4176</v>
      </c>
    </row>
    <row r="89" customFormat="false" ht="15" hidden="false" customHeight="false" outlineLevel="0" collapsed="false">
      <c r="A89" s="2" t="s">
        <v>2343</v>
      </c>
      <c r="B89" s="2" t="s">
        <v>4145</v>
      </c>
      <c r="C89" s="2" t="s">
        <v>45</v>
      </c>
      <c r="D89" s="2" t="s">
        <v>4146</v>
      </c>
      <c r="E89" s="2" t="s">
        <v>4143</v>
      </c>
    </row>
    <row r="90" customFormat="false" ht="15" hidden="false" customHeight="false" outlineLevel="0" collapsed="false">
      <c r="A90" s="2" t="s">
        <v>2343</v>
      </c>
      <c r="B90" s="2" t="s">
        <v>4145</v>
      </c>
      <c r="C90" s="2" t="s">
        <v>46</v>
      </c>
      <c r="D90" s="2" t="s">
        <v>4146</v>
      </c>
      <c r="E90" s="2" t="s">
        <v>4140</v>
      </c>
    </row>
    <row r="91" customFormat="false" ht="15" hidden="false" customHeight="false" outlineLevel="0" collapsed="false">
      <c r="A91" s="2" t="s">
        <v>2109</v>
      </c>
      <c r="B91" s="2" t="s">
        <v>4145</v>
      </c>
      <c r="C91" s="2" t="s">
        <v>45</v>
      </c>
      <c r="D91" s="2" t="s">
        <v>4146</v>
      </c>
      <c r="E91" s="2" t="s">
        <v>4142</v>
      </c>
    </row>
    <row r="92" customFormat="false" ht="15" hidden="false" customHeight="false" outlineLevel="0" collapsed="false">
      <c r="A92" s="2" t="s">
        <v>2109</v>
      </c>
      <c r="B92" s="2" t="s">
        <v>4145</v>
      </c>
      <c r="C92" s="2" t="s">
        <v>46</v>
      </c>
      <c r="D92" s="2" t="s">
        <v>4153</v>
      </c>
      <c r="E92" s="2" t="s">
        <v>4177</v>
      </c>
    </row>
    <row r="93" customFormat="false" ht="15" hidden="false" customHeight="false" outlineLevel="0" collapsed="false">
      <c r="A93" s="2" t="s">
        <v>888</v>
      </c>
      <c r="B93" s="2" t="s">
        <v>4145</v>
      </c>
      <c r="C93" s="2" t="s">
        <v>46</v>
      </c>
      <c r="D93" s="2" t="s">
        <v>662</v>
      </c>
      <c r="E93" s="2" t="s">
        <v>4166</v>
      </c>
    </row>
    <row r="94" customFormat="false" ht="15" hidden="false" customHeight="false" outlineLevel="0" collapsed="false">
      <c r="A94" s="2" t="s">
        <v>1045</v>
      </c>
      <c r="B94" s="2" t="s">
        <v>4145</v>
      </c>
      <c r="C94" s="2" t="s">
        <v>46</v>
      </c>
      <c r="D94" s="2" t="s">
        <v>662</v>
      </c>
      <c r="E94" s="2" t="s">
        <v>4178</v>
      </c>
    </row>
    <row r="95" customFormat="false" ht="15" hidden="false" customHeight="false" outlineLevel="0" collapsed="false">
      <c r="A95" s="2" t="s">
        <v>1045</v>
      </c>
      <c r="B95" s="2" t="s">
        <v>4145</v>
      </c>
      <c r="C95" s="2" t="s">
        <v>47</v>
      </c>
      <c r="D95" s="2" t="s">
        <v>4146</v>
      </c>
      <c r="E95" s="2" t="s">
        <v>4135</v>
      </c>
    </row>
    <row r="96" customFormat="false" ht="15" hidden="false" customHeight="false" outlineLevel="0" collapsed="false">
      <c r="A96" s="2" t="s">
        <v>1091</v>
      </c>
      <c r="B96" s="2" t="s">
        <v>4145</v>
      </c>
      <c r="C96" s="2" t="s">
        <v>46</v>
      </c>
      <c r="D96" s="2" t="s">
        <v>4146</v>
      </c>
      <c r="E96" s="2" t="s">
        <v>4142</v>
      </c>
    </row>
    <row r="97" customFormat="false" ht="15" hidden="false" customHeight="false" outlineLevel="0" collapsed="false">
      <c r="A97" s="2" t="s">
        <v>1091</v>
      </c>
      <c r="B97" s="2" t="s">
        <v>4145</v>
      </c>
      <c r="C97" s="2" t="s">
        <v>47</v>
      </c>
      <c r="D97" s="2" t="s">
        <v>4146</v>
      </c>
      <c r="E97" s="2" t="s">
        <v>4135</v>
      </c>
    </row>
    <row r="98" customFormat="false" ht="15" hidden="false" customHeight="false" outlineLevel="0" collapsed="false">
      <c r="A98" s="2" t="s">
        <v>1341</v>
      </c>
      <c r="B98" s="2" t="s">
        <v>4145</v>
      </c>
      <c r="C98" s="2" t="s">
        <v>47</v>
      </c>
      <c r="D98" s="2" t="s">
        <v>4146</v>
      </c>
      <c r="E98" s="2" t="s">
        <v>4135</v>
      </c>
    </row>
    <row r="99" customFormat="false" ht="15" hidden="false" customHeight="false" outlineLevel="0" collapsed="false">
      <c r="A99" s="2" t="s">
        <v>1451</v>
      </c>
      <c r="B99" s="2" t="s">
        <v>4145</v>
      </c>
      <c r="C99" s="2" t="s">
        <v>47</v>
      </c>
      <c r="D99" s="2" t="s">
        <v>661</v>
      </c>
      <c r="E99" s="2" t="s">
        <v>4152</v>
      </c>
    </row>
    <row r="100" customFormat="false" ht="15" hidden="false" customHeight="false" outlineLevel="0" collapsed="false">
      <c r="A100" s="2" t="s">
        <v>2745</v>
      </c>
      <c r="B100" s="2" t="s">
        <v>4145</v>
      </c>
      <c r="C100" s="2" t="s">
        <v>46</v>
      </c>
      <c r="D100" s="2" t="s">
        <v>662</v>
      </c>
      <c r="E100" s="2" t="s">
        <v>4179</v>
      </c>
    </row>
    <row r="101" customFormat="false" ht="15" hidden="false" customHeight="false" outlineLevel="0" collapsed="false">
      <c r="A101" s="2" t="s">
        <v>1774</v>
      </c>
      <c r="B101" s="2" t="s">
        <v>4145</v>
      </c>
      <c r="C101" s="2" t="s">
        <v>45</v>
      </c>
      <c r="D101" s="2" t="s">
        <v>4146</v>
      </c>
      <c r="E101" s="2" t="s">
        <v>4142</v>
      </c>
    </row>
    <row r="102" customFormat="false" ht="15" hidden="false" customHeight="false" outlineLevel="0" collapsed="false">
      <c r="A102" s="2" t="s">
        <v>2747</v>
      </c>
      <c r="B102" s="2" t="s">
        <v>4145</v>
      </c>
      <c r="C102" s="2" t="s">
        <v>46</v>
      </c>
      <c r="D102" s="2" t="s">
        <v>661</v>
      </c>
      <c r="E102" s="2" t="s">
        <v>4152</v>
      </c>
    </row>
    <row r="103" customFormat="false" ht="15" hidden="false" customHeight="false" outlineLevel="0" collapsed="false">
      <c r="A103" s="2" t="s">
        <v>1944</v>
      </c>
      <c r="B103" s="2" t="s">
        <v>4145</v>
      </c>
      <c r="C103" s="2" t="s">
        <v>45</v>
      </c>
      <c r="D103" s="2" t="s">
        <v>4180</v>
      </c>
      <c r="E103" s="2" t="s">
        <v>4181</v>
      </c>
    </row>
    <row r="104" customFormat="false" ht="15" hidden="false" customHeight="false" outlineLevel="0" collapsed="false">
      <c r="A104" s="2" t="s">
        <v>956</v>
      </c>
      <c r="B104" s="2" t="s">
        <v>4145</v>
      </c>
      <c r="C104" s="2" t="s">
        <v>46</v>
      </c>
      <c r="D104" s="2" t="s">
        <v>662</v>
      </c>
      <c r="E104" s="2" t="s">
        <v>4164</v>
      </c>
    </row>
    <row r="105" customFormat="false" ht="15" hidden="false" customHeight="false" outlineLevel="0" collapsed="false">
      <c r="A105" s="2" t="s">
        <v>956</v>
      </c>
      <c r="B105" s="2" t="s">
        <v>4145</v>
      </c>
      <c r="C105" s="2" t="s">
        <v>47</v>
      </c>
      <c r="D105" s="2" t="s">
        <v>662</v>
      </c>
      <c r="E105" s="2" t="s">
        <v>4182</v>
      </c>
    </row>
    <row r="106" customFormat="false" ht="15" hidden="false" customHeight="false" outlineLevel="0" collapsed="false">
      <c r="A106" s="2" t="s">
        <v>2286</v>
      </c>
      <c r="B106" s="2" t="s">
        <v>4145</v>
      </c>
      <c r="C106" s="2" t="s">
        <v>45</v>
      </c>
      <c r="D106" s="2" t="s">
        <v>660</v>
      </c>
      <c r="E106" s="2" t="s">
        <v>4183</v>
      </c>
    </row>
    <row r="107" customFormat="false" ht="15" hidden="false" customHeight="false" outlineLevel="0" collapsed="false">
      <c r="A107" s="2" t="s">
        <v>2286</v>
      </c>
      <c r="B107" s="2" t="s">
        <v>4145</v>
      </c>
      <c r="C107" s="2" t="s">
        <v>46</v>
      </c>
      <c r="D107" s="2" t="s">
        <v>662</v>
      </c>
      <c r="E107" s="2" t="s">
        <v>4164</v>
      </c>
    </row>
    <row r="108" customFormat="false" ht="15" hidden="false" customHeight="false" outlineLevel="0" collapsed="false">
      <c r="A108" s="2" t="s">
        <v>2755</v>
      </c>
      <c r="B108" s="2" t="s">
        <v>4145</v>
      </c>
      <c r="C108" s="2" t="s">
        <v>46</v>
      </c>
      <c r="D108" s="2" t="s">
        <v>4146</v>
      </c>
      <c r="E108" s="2" t="s">
        <v>4142</v>
      </c>
    </row>
    <row r="109" customFormat="false" ht="15" hidden="false" customHeight="false" outlineLevel="0" collapsed="false">
      <c r="A109" s="2" t="s">
        <v>2755</v>
      </c>
      <c r="B109" s="2" t="s">
        <v>4145</v>
      </c>
      <c r="C109" s="2" t="s">
        <v>47</v>
      </c>
      <c r="D109" s="2" t="s">
        <v>662</v>
      </c>
      <c r="E109" s="2" t="s">
        <v>4184</v>
      </c>
    </row>
    <row r="110" customFormat="false" ht="15" hidden="false" customHeight="false" outlineLevel="0" collapsed="false">
      <c r="A110" s="2" t="s">
        <v>1540</v>
      </c>
      <c r="B110" s="2" t="s">
        <v>4145</v>
      </c>
      <c r="C110" s="2" t="s">
        <v>45</v>
      </c>
      <c r="D110" s="2" t="s">
        <v>662</v>
      </c>
      <c r="E110" s="2" t="s">
        <v>4185</v>
      </c>
    </row>
    <row r="111" customFormat="false" ht="15" hidden="false" customHeight="false" outlineLevel="0" collapsed="false">
      <c r="A111" s="2" t="s">
        <v>1161</v>
      </c>
      <c r="B111" s="2" t="s">
        <v>4145</v>
      </c>
      <c r="C111" s="2" t="s">
        <v>47</v>
      </c>
      <c r="D111" s="2" t="s">
        <v>4146</v>
      </c>
      <c r="E111" s="2" t="s">
        <v>4135</v>
      </c>
    </row>
    <row r="112" customFormat="false" ht="15" hidden="false" customHeight="false" outlineLevel="0" collapsed="false">
      <c r="A112" s="2" t="s">
        <v>2758</v>
      </c>
      <c r="B112" s="2" t="s">
        <v>4145</v>
      </c>
      <c r="C112" s="2" t="s">
        <v>45</v>
      </c>
      <c r="D112" s="2" t="s">
        <v>662</v>
      </c>
      <c r="E112" s="2" t="s">
        <v>4164</v>
      </c>
    </row>
    <row r="113" customFormat="false" ht="15" hidden="false" customHeight="false" outlineLevel="0" collapsed="false">
      <c r="A113" s="2" t="s">
        <v>2758</v>
      </c>
      <c r="B113" s="2" t="s">
        <v>4145</v>
      </c>
      <c r="C113" s="2" t="s">
        <v>46</v>
      </c>
      <c r="D113" s="2" t="s">
        <v>4146</v>
      </c>
      <c r="E113" s="2" t="s">
        <v>4141</v>
      </c>
    </row>
    <row r="114" customFormat="false" ht="15" hidden="false" customHeight="false" outlineLevel="0" collapsed="false">
      <c r="A114" s="2" t="s">
        <v>1217</v>
      </c>
      <c r="B114" s="2" t="s">
        <v>4145</v>
      </c>
      <c r="C114" s="2" t="s">
        <v>46</v>
      </c>
      <c r="D114" s="2" t="s">
        <v>4146</v>
      </c>
      <c r="E114" s="2" t="s">
        <v>4141</v>
      </c>
    </row>
    <row r="115" customFormat="false" ht="15" hidden="false" customHeight="false" outlineLevel="0" collapsed="false">
      <c r="A115" s="2" t="s">
        <v>1581</v>
      </c>
      <c r="B115" s="2" t="s">
        <v>4145</v>
      </c>
      <c r="C115" s="2" t="s">
        <v>45</v>
      </c>
      <c r="D115" s="2" t="s">
        <v>662</v>
      </c>
      <c r="E115" s="2" t="s">
        <v>4186</v>
      </c>
    </row>
    <row r="116" customFormat="false" ht="15" hidden="false" customHeight="false" outlineLevel="0" collapsed="false">
      <c r="A116" s="2" t="s">
        <v>1243</v>
      </c>
      <c r="B116" s="2" t="s">
        <v>4145</v>
      </c>
      <c r="C116" s="2" t="s">
        <v>47</v>
      </c>
      <c r="D116" s="2" t="s">
        <v>4146</v>
      </c>
      <c r="E116" s="2" t="s">
        <v>4143</v>
      </c>
    </row>
    <row r="117" customFormat="false" ht="15" hidden="false" customHeight="false" outlineLevel="0" collapsed="false">
      <c r="A117" s="2" t="s">
        <v>1981</v>
      </c>
      <c r="B117" s="2" t="s">
        <v>4145</v>
      </c>
      <c r="C117" s="2" t="s">
        <v>45</v>
      </c>
      <c r="D117" s="2" t="s">
        <v>662</v>
      </c>
      <c r="E117" s="2" t="s">
        <v>4147</v>
      </c>
    </row>
    <row r="118" customFormat="false" ht="15" hidden="false" customHeight="false" outlineLevel="0" collapsed="false">
      <c r="A118" s="2" t="s">
        <v>1981</v>
      </c>
      <c r="B118" s="2" t="s">
        <v>4145</v>
      </c>
      <c r="C118" s="2" t="s">
        <v>46</v>
      </c>
      <c r="D118" s="2" t="s">
        <v>662</v>
      </c>
      <c r="E118" s="2" t="s">
        <v>4166</v>
      </c>
    </row>
    <row r="119" customFormat="false" ht="15" hidden="false" customHeight="false" outlineLevel="0" collapsed="false">
      <c r="A119" s="2" t="s">
        <v>1875</v>
      </c>
      <c r="B119" s="2" t="s">
        <v>4145</v>
      </c>
      <c r="C119" s="2" t="s">
        <v>45</v>
      </c>
      <c r="D119" s="2" t="s">
        <v>662</v>
      </c>
      <c r="E119" s="2" t="s">
        <v>4187</v>
      </c>
    </row>
    <row r="120" customFormat="false" ht="15" hidden="false" customHeight="false" outlineLevel="0" collapsed="false">
      <c r="A120" s="2" t="s">
        <v>2764</v>
      </c>
      <c r="B120" s="2" t="s">
        <v>4145</v>
      </c>
      <c r="C120" s="2" t="s">
        <v>45</v>
      </c>
      <c r="D120" s="2" t="s">
        <v>662</v>
      </c>
      <c r="E120" s="2" t="s">
        <v>4188</v>
      </c>
    </row>
    <row r="121" customFormat="false" ht="15" hidden="false" customHeight="false" outlineLevel="0" collapsed="false">
      <c r="A121" s="2" t="s">
        <v>2764</v>
      </c>
      <c r="B121" s="2" t="s">
        <v>4145</v>
      </c>
      <c r="C121" s="2" t="s">
        <v>46</v>
      </c>
      <c r="D121" s="2" t="s">
        <v>4180</v>
      </c>
      <c r="E121" s="2" t="s">
        <v>4189</v>
      </c>
    </row>
    <row r="122" customFormat="false" ht="15" hidden="false" customHeight="false" outlineLevel="0" collapsed="false">
      <c r="A122" s="2" t="s">
        <v>2764</v>
      </c>
      <c r="B122" s="2" t="s">
        <v>4145</v>
      </c>
      <c r="C122" s="2" t="s">
        <v>47</v>
      </c>
      <c r="D122" s="2" t="s">
        <v>4146</v>
      </c>
      <c r="E122" s="2" t="s">
        <v>4139</v>
      </c>
    </row>
    <row r="123" customFormat="false" ht="15" hidden="false" customHeight="false" outlineLevel="0" collapsed="false">
      <c r="A123" s="2" t="s">
        <v>1413</v>
      </c>
      <c r="B123" s="2" t="s">
        <v>4145</v>
      </c>
      <c r="C123" s="2" t="s">
        <v>45</v>
      </c>
      <c r="D123" s="2" t="s">
        <v>662</v>
      </c>
      <c r="E123" s="2" t="s">
        <v>4168</v>
      </c>
    </row>
    <row r="124" customFormat="false" ht="15" hidden="false" customHeight="false" outlineLevel="0" collapsed="false">
      <c r="A124" s="2" t="s">
        <v>2768</v>
      </c>
      <c r="B124" s="2" t="s">
        <v>4145</v>
      </c>
      <c r="C124" s="2" t="s">
        <v>45</v>
      </c>
      <c r="D124" s="2" t="s">
        <v>4146</v>
      </c>
      <c r="E124" s="2" t="s">
        <v>4141</v>
      </c>
    </row>
    <row r="125" customFormat="false" ht="15" hidden="false" customHeight="false" outlineLevel="0" collapsed="false">
      <c r="A125" s="2" t="s">
        <v>1682</v>
      </c>
      <c r="B125" s="2" t="s">
        <v>4145</v>
      </c>
      <c r="C125" s="2" t="s">
        <v>45</v>
      </c>
      <c r="D125" s="2" t="s">
        <v>4153</v>
      </c>
      <c r="E125" s="2" t="s">
        <v>4174</v>
      </c>
    </row>
    <row r="126" customFormat="false" ht="15" hidden="false" customHeight="false" outlineLevel="0" collapsed="false">
      <c r="A126" s="2" t="s">
        <v>1764</v>
      </c>
      <c r="B126" s="2" t="s">
        <v>4145</v>
      </c>
      <c r="C126" s="2" t="s">
        <v>45</v>
      </c>
      <c r="D126" s="2" t="s">
        <v>4146</v>
      </c>
      <c r="E126" s="2" t="s">
        <v>4141</v>
      </c>
    </row>
    <row r="127" customFormat="false" ht="15" hidden="false" customHeight="false" outlineLevel="0" collapsed="false">
      <c r="A127" s="2" t="s">
        <v>2390</v>
      </c>
      <c r="B127" s="2" t="s">
        <v>4145</v>
      </c>
      <c r="C127" s="2" t="s">
        <v>45</v>
      </c>
      <c r="D127" s="2" t="s">
        <v>4146</v>
      </c>
      <c r="E127" s="2" t="s">
        <v>4142</v>
      </c>
    </row>
    <row r="128" customFormat="false" ht="15" hidden="false" customHeight="false" outlineLevel="0" collapsed="false">
      <c r="A128" s="2" t="s">
        <v>2390</v>
      </c>
      <c r="B128" s="2" t="s">
        <v>4145</v>
      </c>
      <c r="C128" s="2" t="s">
        <v>46</v>
      </c>
      <c r="D128" s="2" t="s">
        <v>4146</v>
      </c>
      <c r="E128" s="2" t="s">
        <v>4148</v>
      </c>
    </row>
    <row r="129" customFormat="false" ht="15" hidden="false" customHeight="false" outlineLevel="0" collapsed="false">
      <c r="A129" s="2" t="s">
        <v>2770</v>
      </c>
      <c r="B129" s="2" t="s">
        <v>4145</v>
      </c>
      <c r="C129" s="2" t="s">
        <v>46</v>
      </c>
      <c r="D129" s="2" t="s">
        <v>4180</v>
      </c>
      <c r="E129" s="2" t="s">
        <v>4181</v>
      </c>
    </row>
    <row r="130" customFormat="false" ht="15" hidden="false" customHeight="false" outlineLevel="0" collapsed="false">
      <c r="A130" s="2" t="s">
        <v>2770</v>
      </c>
      <c r="B130" s="2" t="s">
        <v>4145</v>
      </c>
      <c r="C130" s="2" t="s">
        <v>47</v>
      </c>
      <c r="D130" s="2" t="s">
        <v>4146</v>
      </c>
      <c r="E130" s="2" t="s">
        <v>4148</v>
      </c>
    </row>
    <row r="131" customFormat="false" ht="15" hidden="false" customHeight="false" outlineLevel="0" collapsed="false">
      <c r="A131" s="2" t="s">
        <v>2772</v>
      </c>
      <c r="B131" s="2" t="s">
        <v>4145</v>
      </c>
      <c r="C131" s="2" t="s">
        <v>45</v>
      </c>
      <c r="D131" s="2" t="s">
        <v>662</v>
      </c>
      <c r="E131" s="2" t="s">
        <v>4166</v>
      </c>
    </row>
    <row r="132" customFormat="false" ht="15" hidden="false" customHeight="false" outlineLevel="0" collapsed="false">
      <c r="A132" s="2" t="s">
        <v>2772</v>
      </c>
      <c r="B132" s="2" t="s">
        <v>4145</v>
      </c>
      <c r="C132" s="2" t="s">
        <v>46</v>
      </c>
      <c r="D132" s="2" t="s">
        <v>4146</v>
      </c>
      <c r="E132" s="2" t="s">
        <v>4143</v>
      </c>
    </row>
    <row r="133" customFormat="false" ht="15" hidden="false" customHeight="false" outlineLevel="0" collapsed="false">
      <c r="A133" s="2" t="s">
        <v>2772</v>
      </c>
      <c r="B133" s="2" t="s">
        <v>4145</v>
      </c>
      <c r="C133" s="2" t="s">
        <v>47</v>
      </c>
      <c r="D133" s="2" t="s">
        <v>661</v>
      </c>
      <c r="E133" s="2" t="s">
        <v>4190</v>
      </c>
    </row>
    <row r="134" customFormat="false" ht="15" hidden="false" customHeight="false" outlineLevel="0" collapsed="false">
      <c r="A134" s="2" t="s">
        <v>1289</v>
      </c>
      <c r="B134" s="2" t="s">
        <v>4145</v>
      </c>
      <c r="C134" s="2" t="s">
        <v>46</v>
      </c>
      <c r="D134" s="2" t="s">
        <v>4146</v>
      </c>
      <c r="E134" s="2" t="s">
        <v>4143</v>
      </c>
    </row>
    <row r="135" customFormat="false" ht="15" hidden="false" customHeight="false" outlineLevel="0" collapsed="false">
      <c r="A135" s="2" t="s">
        <v>2775</v>
      </c>
      <c r="B135" s="2" t="s">
        <v>4145</v>
      </c>
      <c r="C135" s="2" t="s">
        <v>46</v>
      </c>
      <c r="D135" s="2" t="s">
        <v>4150</v>
      </c>
      <c r="E135" s="2" t="s">
        <v>4191</v>
      </c>
    </row>
    <row r="136" customFormat="false" ht="15" hidden="false" customHeight="false" outlineLevel="0" collapsed="false">
      <c r="A136" s="2" t="s">
        <v>777</v>
      </c>
      <c r="B136" s="2" t="s">
        <v>4145</v>
      </c>
      <c r="C136" s="2" t="s">
        <v>46</v>
      </c>
      <c r="D136" s="2" t="s">
        <v>662</v>
      </c>
      <c r="E136" s="2" t="s">
        <v>4147</v>
      </c>
    </row>
    <row r="137" customFormat="false" ht="15" hidden="false" customHeight="false" outlineLevel="0" collapsed="false">
      <c r="A137" s="2" t="s">
        <v>777</v>
      </c>
      <c r="B137" s="2" t="s">
        <v>4145</v>
      </c>
      <c r="C137" s="2" t="s">
        <v>47</v>
      </c>
      <c r="D137" s="2" t="s">
        <v>4146</v>
      </c>
      <c r="E137" s="2" t="s">
        <v>4135</v>
      </c>
    </row>
    <row r="138" customFormat="false" ht="15" hidden="false" customHeight="false" outlineLevel="0" collapsed="false">
      <c r="A138" s="2" t="s">
        <v>710</v>
      </c>
      <c r="B138" s="2" t="s">
        <v>4145</v>
      </c>
      <c r="C138" s="2" t="s">
        <v>47</v>
      </c>
      <c r="D138" s="2" t="s">
        <v>4146</v>
      </c>
      <c r="E138" s="2" t="s">
        <v>4142</v>
      </c>
    </row>
    <row r="139" customFormat="false" ht="15" hidden="false" customHeight="false" outlineLevel="0" collapsed="false">
      <c r="A139" s="2" t="s">
        <v>1479</v>
      </c>
      <c r="B139" s="2" t="s">
        <v>4145</v>
      </c>
      <c r="C139" s="2" t="s">
        <v>45</v>
      </c>
      <c r="D139" s="2" t="s">
        <v>4146</v>
      </c>
      <c r="E139" s="2" t="s">
        <v>4148</v>
      </c>
    </row>
    <row r="140" customFormat="false" ht="15" hidden="false" customHeight="false" outlineLevel="0" collapsed="false">
      <c r="A140" s="2" t="s">
        <v>1479</v>
      </c>
      <c r="B140" s="2" t="s">
        <v>4145</v>
      </c>
      <c r="C140" s="2" t="s">
        <v>47</v>
      </c>
      <c r="D140" s="2" t="s">
        <v>662</v>
      </c>
      <c r="E140" s="2" t="s">
        <v>4192</v>
      </c>
    </row>
    <row r="141" customFormat="false" ht="15" hidden="false" customHeight="false" outlineLevel="0" collapsed="false">
      <c r="A141" s="2" t="s">
        <v>1071</v>
      </c>
      <c r="B141" s="2" t="s">
        <v>4145</v>
      </c>
      <c r="C141" s="2" t="s">
        <v>47</v>
      </c>
      <c r="D141" s="2" t="s">
        <v>4146</v>
      </c>
      <c r="E141" s="2" t="s">
        <v>4148</v>
      </c>
    </row>
    <row r="142" customFormat="false" ht="15" hidden="false" customHeight="false" outlineLevel="0" collapsed="false">
      <c r="A142" s="2" t="s">
        <v>1113</v>
      </c>
      <c r="B142" s="2" t="s">
        <v>4145</v>
      </c>
      <c r="C142" s="2" t="s">
        <v>46</v>
      </c>
      <c r="D142" s="2" t="s">
        <v>4193</v>
      </c>
      <c r="E142" s="2" t="s">
        <v>4194</v>
      </c>
    </row>
    <row r="143" customFormat="false" ht="15" hidden="false" customHeight="false" outlineLevel="0" collapsed="false">
      <c r="A143" s="2" t="s">
        <v>2780</v>
      </c>
      <c r="B143" s="2" t="s">
        <v>4145</v>
      </c>
      <c r="C143" s="2" t="s">
        <v>45</v>
      </c>
      <c r="D143" s="2" t="s">
        <v>661</v>
      </c>
      <c r="E143" s="2" t="s">
        <v>4152</v>
      </c>
    </row>
    <row r="144" customFormat="false" ht="15" hidden="false" customHeight="false" outlineLevel="0" collapsed="false">
      <c r="A144" s="2" t="s">
        <v>1891</v>
      </c>
      <c r="B144" s="2" t="s">
        <v>4145</v>
      </c>
      <c r="C144" s="2" t="s">
        <v>45</v>
      </c>
      <c r="D144" s="2" t="s">
        <v>4146</v>
      </c>
      <c r="E144" s="2" t="s">
        <v>4142</v>
      </c>
    </row>
    <row r="145" customFormat="false" ht="15" hidden="false" customHeight="false" outlineLevel="0" collapsed="false">
      <c r="A145" s="2" t="s">
        <v>1663</v>
      </c>
      <c r="B145" s="2" t="s">
        <v>4145</v>
      </c>
      <c r="C145" s="2" t="s">
        <v>45</v>
      </c>
      <c r="D145" s="2" t="s">
        <v>4146</v>
      </c>
      <c r="E145" s="2" t="s">
        <v>4142</v>
      </c>
    </row>
    <row r="146" customFormat="false" ht="15" hidden="false" customHeight="false" outlineLevel="0" collapsed="false">
      <c r="A146" s="2" t="s">
        <v>2440</v>
      </c>
      <c r="B146" s="2" t="s">
        <v>4145</v>
      </c>
      <c r="C146" s="2" t="s">
        <v>45</v>
      </c>
      <c r="D146" s="2" t="s">
        <v>661</v>
      </c>
      <c r="E146" s="2" t="s">
        <v>4176</v>
      </c>
    </row>
    <row r="147" customFormat="false" ht="15" hidden="false" customHeight="false" outlineLevel="0" collapsed="false">
      <c r="A147" s="2" t="s">
        <v>2440</v>
      </c>
      <c r="B147" s="2" t="s">
        <v>4145</v>
      </c>
      <c r="C147" s="2" t="s">
        <v>46</v>
      </c>
      <c r="D147" s="2" t="s">
        <v>4146</v>
      </c>
      <c r="E147" s="2" t="s">
        <v>4142</v>
      </c>
    </row>
    <row r="148" customFormat="false" ht="15" hidden="false" customHeight="false" outlineLevel="0" collapsed="false">
      <c r="A148" s="2" t="s">
        <v>1993</v>
      </c>
      <c r="B148" s="2" t="s">
        <v>4145</v>
      </c>
      <c r="C148" s="2" t="s">
        <v>45</v>
      </c>
      <c r="D148" s="2" t="s">
        <v>4146</v>
      </c>
      <c r="E148" s="2" t="s">
        <v>4141</v>
      </c>
    </row>
    <row r="149" customFormat="false" ht="15" hidden="false" customHeight="false" outlineLevel="0" collapsed="false">
      <c r="A149" s="2" t="s">
        <v>1993</v>
      </c>
      <c r="B149" s="2" t="s">
        <v>4145</v>
      </c>
      <c r="C149" s="2" t="s">
        <v>46</v>
      </c>
      <c r="D149" s="2" t="s">
        <v>4146</v>
      </c>
      <c r="E149" s="2" t="s">
        <v>4141</v>
      </c>
    </row>
    <row r="150" customFormat="false" ht="15" hidden="false" customHeight="false" outlineLevel="0" collapsed="false">
      <c r="A150" s="2" t="s">
        <v>1871</v>
      </c>
      <c r="B150" s="2" t="s">
        <v>4145</v>
      </c>
      <c r="C150" s="2" t="s">
        <v>45</v>
      </c>
      <c r="D150" s="2" t="s">
        <v>662</v>
      </c>
      <c r="E150" s="2" t="s">
        <v>4188</v>
      </c>
    </row>
    <row r="151" customFormat="false" ht="15" hidden="false" customHeight="false" outlineLevel="0" collapsed="false">
      <c r="A151" s="2" t="s">
        <v>2564</v>
      </c>
      <c r="B151" s="2" t="s">
        <v>4145</v>
      </c>
      <c r="C151" s="2" t="s">
        <v>46</v>
      </c>
      <c r="D151" s="2" t="s">
        <v>662</v>
      </c>
      <c r="E151" s="2" t="s">
        <v>4164</v>
      </c>
    </row>
    <row r="152" customFormat="false" ht="15" hidden="false" customHeight="false" outlineLevel="0" collapsed="false">
      <c r="A152" s="2" t="s">
        <v>1859</v>
      </c>
      <c r="B152" s="2" t="s">
        <v>4145</v>
      </c>
      <c r="C152" s="2" t="s">
        <v>45</v>
      </c>
      <c r="D152" s="2" t="s">
        <v>4195</v>
      </c>
      <c r="E152" s="2" t="s">
        <v>4196</v>
      </c>
    </row>
    <row r="153" customFormat="false" ht="15" hidden="false" customHeight="false" outlineLevel="0" collapsed="false">
      <c r="A153" s="2" t="s">
        <v>891</v>
      </c>
      <c r="B153" s="2" t="s">
        <v>4145</v>
      </c>
      <c r="C153" s="2" t="s">
        <v>47</v>
      </c>
      <c r="D153" s="2" t="s">
        <v>662</v>
      </c>
      <c r="E153" s="2" t="s">
        <v>4187</v>
      </c>
    </row>
    <row r="154" customFormat="false" ht="15" hidden="false" customHeight="false" outlineLevel="0" collapsed="false">
      <c r="A154" s="2" t="s">
        <v>1191</v>
      </c>
      <c r="B154" s="2" t="s">
        <v>4145</v>
      </c>
      <c r="C154" s="2" t="s">
        <v>47</v>
      </c>
      <c r="D154" s="2" t="s">
        <v>4197</v>
      </c>
      <c r="E154" s="2" t="s">
        <v>4198</v>
      </c>
    </row>
    <row r="155" customFormat="false" ht="15" hidden="false" customHeight="false" outlineLevel="0" collapsed="false">
      <c r="A155" s="2" t="s">
        <v>2786</v>
      </c>
      <c r="B155" s="2" t="s">
        <v>4145</v>
      </c>
      <c r="C155" s="2" t="s">
        <v>47</v>
      </c>
      <c r="D155" s="2" t="s">
        <v>661</v>
      </c>
      <c r="E155" s="2" t="s">
        <v>4199</v>
      </c>
    </row>
    <row r="156" customFormat="false" ht="15" hidden="false" customHeight="false" outlineLevel="0" collapsed="false">
      <c r="A156" s="2" t="s">
        <v>1270</v>
      </c>
      <c r="B156" s="2" t="s">
        <v>4145</v>
      </c>
      <c r="C156" s="2" t="s">
        <v>47</v>
      </c>
      <c r="D156" s="2" t="s">
        <v>662</v>
      </c>
      <c r="E156" s="2" t="s">
        <v>4170</v>
      </c>
    </row>
    <row r="157" customFormat="false" ht="15" hidden="false" customHeight="false" outlineLevel="0" collapsed="false">
      <c r="A157" s="2" t="s">
        <v>1835</v>
      </c>
      <c r="B157" s="2" t="s">
        <v>4145</v>
      </c>
      <c r="C157" s="2" t="s">
        <v>45</v>
      </c>
      <c r="D157" s="2" t="s">
        <v>4153</v>
      </c>
      <c r="E157" s="2" t="s">
        <v>4154</v>
      </c>
    </row>
    <row r="158" customFormat="false" ht="15" hidden="false" customHeight="false" outlineLevel="0" collapsed="false">
      <c r="A158" s="2" t="s">
        <v>948</v>
      </c>
      <c r="B158" s="2" t="s">
        <v>4145</v>
      </c>
      <c r="C158" s="2" t="s">
        <v>46</v>
      </c>
      <c r="D158" s="2" t="s">
        <v>662</v>
      </c>
      <c r="E158" s="2" t="s">
        <v>4164</v>
      </c>
    </row>
    <row r="159" customFormat="false" ht="15" hidden="false" customHeight="false" outlineLevel="0" collapsed="false">
      <c r="A159" s="2" t="s">
        <v>2065</v>
      </c>
      <c r="B159" s="2" t="s">
        <v>4145</v>
      </c>
      <c r="C159" s="2" t="s">
        <v>45</v>
      </c>
      <c r="D159" s="2" t="s">
        <v>4155</v>
      </c>
      <c r="E159" s="2" t="s">
        <v>4200</v>
      </c>
    </row>
    <row r="160" customFormat="false" ht="15" hidden="false" customHeight="false" outlineLevel="0" collapsed="false">
      <c r="A160" s="2" t="s">
        <v>2791</v>
      </c>
      <c r="B160" s="2" t="s">
        <v>4145</v>
      </c>
      <c r="C160" s="2" t="s">
        <v>46</v>
      </c>
      <c r="D160" s="2" t="s">
        <v>4146</v>
      </c>
      <c r="E160" s="2" t="s">
        <v>4139</v>
      </c>
    </row>
    <row r="161" customFormat="false" ht="15" hidden="false" customHeight="false" outlineLevel="0" collapsed="false">
      <c r="A161" s="2" t="s">
        <v>2792</v>
      </c>
      <c r="B161" s="2" t="s">
        <v>4145</v>
      </c>
      <c r="C161" s="2" t="s">
        <v>45</v>
      </c>
      <c r="D161" s="2" t="s">
        <v>662</v>
      </c>
      <c r="E161" s="2" t="s">
        <v>4201</v>
      </c>
    </row>
    <row r="162" customFormat="false" ht="15" hidden="false" customHeight="false" outlineLevel="0" collapsed="false">
      <c r="A162" s="2" t="s">
        <v>2273</v>
      </c>
      <c r="B162" s="2" t="s">
        <v>4145</v>
      </c>
      <c r="C162" s="2" t="s">
        <v>45</v>
      </c>
      <c r="D162" s="2" t="s">
        <v>4146</v>
      </c>
      <c r="E162" s="2" t="s">
        <v>4142</v>
      </c>
    </row>
    <row r="163" customFormat="false" ht="15" hidden="false" customHeight="false" outlineLevel="0" collapsed="false">
      <c r="A163" s="2" t="s">
        <v>2273</v>
      </c>
      <c r="B163" s="2" t="s">
        <v>4145</v>
      </c>
      <c r="C163" s="2" t="s">
        <v>46</v>
      </c>
      <c r="D163" s="2" t="s">
        <v>662</v>
      </c>
      <c r="E163" s="2" t="s">
        <v>4164</v>
      </c>
    </row>
    <row r="164" customFormat="false" ht="15" hidden="false" customHeight="false" outlineLevel="0" collapsed="false">
      <c r="A164" s="2" t="s">
        <v>841</v>
      </c>
      <c r="B164" s="2" t="s">
        <v>4145</v>
      </c>
      <c r="C164" s="2" t="s">
        <v>46</v>
      </c>
      <c r="D164" s="2" t="s">
        <v>4146</v>
      </c>
      <c r="E164" s="2" t="s">
        <v>4202</v>
      </c>
    </row>
    <row r="165" customFormat="false" ht="15" hidden="false" customHeight="false" outlineLevel="0" collapsed="false">
      <c r="A165" s="2" t="s">
        <v>992</v>
      </c>
      <c r="B165" s="2" t="s">
        <v>4145</v>
      </c>
      <c r="C165" s="2" t="s">
        <v>46</v>
      </c>
      <c r="D165" s="2" t="s">
        <v>4146</v>
      </c>
      <c r="E165" s="2" t="s">
        <v>4148</v>
      </c>
    </row>
    <row r="166" customFormat="false" ht="15" hidden="false" customHeight="false" outlineLevel="0" collapsed="false">
      <c r="A166" s="2" t="s">
        <v>2649</v>
      </c>
      <c r="B166" s="2" t="s">
        <v>4145</v>
      </c>
      <c r="C166" s="2" t="s">
        <v>45</v>
      </c>
      <c r="D166" s="2" t="s">
        <v>4146</v>
      </c>
      <c r="E166" s="2" t="s">
        <v>4142</v>
      </c>
    </row>
    <row r="167" customFormat="false" ht="15" hidden="false" customHeight="false" outlineLevel="0" collapsed="false">
      <c r="A167" s="2" t="s">
        <v>796</v>
      </c>
      <c r="B167" s="2" t="s">
        <v>4145</v>
      </c>
      <c r="C167" s="2" t="s">
        <v>46</v>
      </c>
      <c r="D167" s="2" t="s">
        <v>4146</v>
      </c>
      <c r="E167" s="2" t="s">
        <v>4148</v>
      </c>
    </row>
    <row r="168" customFormat="false" ht="15" hidden="false" customHeight="false" outlineLevel="0" collapsed="false">
      <c r="A168" s="2" t="s">
        <v>796</v>
      </c>
      <c r="B168" s="2" t="s">
        <v>4145</v>
      </c>
      <c r="C168" s="2" t="s">
        <v>47</v>
      </c>
      <c r="D168" s="2" t="s">
        <v>4146</v>
      </c>
      <c r="E168" s="2" t="s">
        <v>4148</v>
      </c>
    </row>
    <row r="169" customFormat="false" ht="15" hidden="false" customHeight="false" outlineLevel="0" collapsed="false">
      <c r="A169" s="2" t="s">
        <v>761</v>
      </c>
      <c r="B169" s="2" t="s">
        <v>4145</v>
      </c>
      <c r="C169" s="2" t="s">
        <v>47</v>
      </c>
      <c r="D169" s="2" t="s">
        <v>4146</v>
      </c>
      <c r="E169" s="2" t="s">
        <v>4139</v>
      </c>
    </row>
    <row r="170" customFormat="false" ht="15" hidden="false" customHeight="false" outlineLevel="0" collapsed="false">
      <c r="A170" s="2" t="s">
        <v>2194</v>
      </c>
      <c r="B170" s="2" t="s">
        <v>4145</v>
      </c>
      <c r="C170" s="2" t="s">
        <v>45</v>
      </c>
      <c r="D170" s="2" t="s">
        <v>4146</v>
      </c>
      <c r="E170" s="2" t="s">
        <v>4142</v>
      </c>
    </row>
    <row r="171" customFormat="false" ht="15" hidden="false" customHeight="false" outlineLevel="0" collapsed="false">
      <c r="A171" s="2" t="s">
        <v>2194</v>
      </c>
      <c r="B171" s="2" t="s">
        <v>4145</v>
      </c>
      <c r="C171" s="2" t="s">
        <v>46</v>
      </c>
      <c r="D171" s="2" t="s">
        <v>661</v>
      </c>
      <c r="E171" s="2" t="s">
        <v>4152</v>
      </c>
    </row>
    <row r="172" customFormat="false" ht="15" hidden="false" customHeight="false" outlineLevel="0" collapsed="false">
      <c r="A172" s="2" t="s">
        <v>2796</v>
      </c>
      <c r="B172" s="2" t="s">
        <v>4145</v>
      </c>
      <c r="C172" s="2" t="s">
        <v>45</v>
      </c>
      <c r="D172" s="2" t="s">
        <v>661</v>
      </c>
      <c r="E172" s="2" t="s">
        <v>4152</v>
      </c>
    </row>
    <row r="173" customFormat="false" ht="15" hidden="false" customHeight="false" outlineLevel="0" collapsed="false">
      <c r="A173" s="2" t="s">
        <v>2796</v>
      </c>
      <c r="B173" s="2" t="s">
        <v>4145</v>
      </c>
      <c r="C173" s="2" t="s">
        <v>46</v>
      </c>
      <c r="D173" s="2" t="s">
        <v>662</v>
      </c>
      <c r="E173" s="2" t="s">
        <v>4186</v>
      </c>
    </row>
    <row r="174" customFormat="false" ht="15" hidden="false" customHeight="false" outlineLevel="0" collapsed="false">
      <c r="A174" s="2" t="s">
        <v>2796</v>
      </c>
      <c r="B174" s="2" t="s">
        <v>4145</v>
      </c>
      <c r="C174" s="2" t="s">
        <v>47</v>
      </c>
      <c r="D174" s="2" t="s">
        <v>4146</v>
      </c>
      <c r="E174" s="2" t="s">
        <v>4140</v>
      </c>
    </row>
    <row r="175" customFormat="false" ht="15" hidden="false" customHeight="false" outlineLevel="0" collapsed="false">
      <c r="A175" s="2" t="s">
        <v>1800</v>
      </c>
      <c r="B175" s="2" t="s">
        <v>4145</v>
      </c>
      <c r="C175" s="2" t="s">
        <v>45</v>
      </c>
      <c r="D175" s="2" t="s">
        <v>661</v>
      </c>
      <c r="E175" s="2" t="s">
        <v>4152</v>
      </c>
    </row>
    <row r="176" customFormat="false" ht="15" hidden="false" customHeight="false" outlineLevel="0" collapsed="false">
      <c r="A176" s="2" t="s">
        <v>1800</v>
      </c>
      <c r="B176" s="2" t="s">
        <v>4145</v>
      </c>
      <c r="C176" s="2" t="s">
        <v>47</v>
      </c>
      <c r="D176" s="2" t="s">
        <v>661</v>
      </c>
      <c r="E176" s="2" t="s">
        <v>4199</v>
      </c>
    </row>
    <row r="177" customFormat="false" ht="15" hidden="false" customHeight="false" outlineLevel="0" collapsed="false">
      <c r="A177" s="2" t="s">
        <v>784</v>
      </c>
      <c r="B177" s="2" t="s">
        <v>4145</v>
      </c>
      <c r="C177" s="2" t="s">
        <v>46</v>
      </c>
      <c r="D177" s="2" t="s">
        <v>661</v>
      </c>
      <c r="E177" s="2" t="s">
        <v>4176</v>
      </c>
    </row>
    <row r="178" customFormat="false" ht="15" hidden="false" customHeight="false" outlineLevel="0" collapsed="false">
      <c r="A178" s="2" t="s">
        <v>784</v>
      </c>
      <c r="B178" s="2" t="s">
        <v>4145</v>
      </c>
      <c r="C178" s="2" t="s">
        <v>47</v>
      </c>
      <c r="D178" s="2" t="s">
        <v>660</v>
      </c>
      <c r="E178" s="2" t="s">
        <v>4160</v>
      </c>
    </row>
    <row r="179" customFormat="false" ht="15" hidden="false" customHeight="false" outlineLevel="0" collapsed="false">
      <c r="A179" s="2" t="s">
        <v>897</v>
      </c>
      <c r="B179" s="2" t="s">
        <v>4145</v>
      </c>
      <c r="C179" s="2" t="s">
        <v>46</v>
      </c>
      <c r="D179" s="2" t="s">
        <v>4203</v>
      </c>
      <c r="E179" s="2" t="s">
        <v>4204</v>
      </c>
    </row>
    <row r="180" customFormat="false" ht="15" hidden="false" customHeight="false" outlineLevel="0" collapsed="false">
      <c r="A180" s="2" t="s">
        <v>1011</v>
      </c>
      <c r="B180" s="2" t="s">
        <v>4145</v>
      </c>
      <c r="C180" s="2" t="s">
        <v>46</v>
      </c>
      <c r="D180" s="2" t="s">
        <v>4146</v>
      </c>
      <c r="E180" s="2" t="s">
        <v>4142</v>
      </c>
    </row>
    <row r="181" customFormat="false" ht="15" hidden="false" customHeight="false" outlineLevel="0" collapsed="false">
      <c r="A181" s="2" t="s">
        <v>1230</v>
      </c>
      <c r="B181" s="2" t="s">
        <v>4145</v>
      </c>
      <c r="C181" s="2" t="s">
        <v>46</v>
      </c>
      <c r="D181" s="2" t="s">
        <v>662</v>
      </c>
      <c r="E181" s="2" t="s">
        <v>4168</v>
      </c>
    </row>
    <row r="182" customFormat="false" ht="15" hidden="false" customHeight="false" outlineLevel="0" collapsed="false">
      <c r="A182" s="2" t="s">
        <v>938</v>
      </c>
      <c r="B182" s="2" t="s">
        <v>4145</v>
      </c>
      <c r="C182" s="2" t="s">
        <v>47</v>
      </c>
      <c r="D182" s="2" t="s">
        <v>4146</v>
      </c>
      <c r="E182" s="2" t="s">
        <v>4143</v>
      </c>
    </row>
    <row r="183" customFormat="false" ht="15" hidden="false" customHeight="false" outlineLevel="0" collapsed="false">
      <c r="A183" s="2" t="s">
        <v>1476</v>
      </c>
      <c r="B183" s="2" t="s">
        <v>4145</v>
      </c>
      <c r="C183" s="2" t="s">
        <v>45</v>
      </c>
      <c r="D183" s="2" t="s">
        <v>4146</v>
      </c>
      <c r="E183" s="2" t="s">
        <v>4141</v>
      </c>
    </row>
    <row r="184" customFormat="false" ht="15" hidden="false" customHeight="false" outlineLevel="0" collapsed="false">
      <c r="A184" s="2" t="s">
        <v>1258</v>
      </c>
      <c r="B184" s="2" t="s">
        <v>4145</v>
      </c>
      <c r="C184" s="2" t="s">
        <v>46</v>
      </c>
      <c r="D184" s="2" t="s">
        <v>4146</v>
      </c>
      <c r="E184" s="2" t="s">
        <v>4205</v>
      </c>
    </row>
    <row r="185" customFormat="false" ht="15" hidden="false" customHeight="false" outlineLevel="0" collapsed="false">
      <c r="A185" s="2" t="s">
        <v>2072</v>
      </c>
      <c r="B185" s="2" t="s">
        <v>4145</v>
      </c>
      <c r="C185" s="2" t="s">
        <v>45</v>
      </c>
      <c r="D185" s="2" t="s">
        <v>4146</v>
      </c>
      <c r="E185" s="2" t="s">
        <v>4142</v>
      </c>
    </row>
    <row r="186" customFormat="false" ht="15" hidden="false" customHeight="false" outlineLevel="0" collapsed="false">
      <c r="A186" s="2" t="s">
        <v>2072</v>
      </c>
      <c r="B186" s="2" t="s">
        <v>4145</v>
      </c>
      <c r="C186" s="2" t="s">
        <v>46</v>
      </c>
      <c r="D186" s="2" t="s">
        <v>4153</v>
      </c>
      <c r="E186" s="2" t="s">
        <v>4206</v>
      </c>
    </row>
    <row r="187" customFormat="false" ht="15" hidden="false" customHeight="false" outlineLevel="0" collapsed="false">
      <c r="A187" s="2" t="s">
        <v>1177</v>
      </c>
      <c r="B187" s="2" t="s">
        <v>4145</v>
      </c>
      <c r="C187" s="2" t="s">
        <v>46</v>
      </c>
      <c r="D187" s="2" t="s">
        <v>662</v>
      </c>
      <c r="E187" s="2" t="s">
        <v>4164</v>
      </c>
    </row>
    <row r="188" customFormat="false" ht="15" hidden="false" customHeight="false" outlineLevel="0" collapsed="false">
      <c r="A188" s="2" t="s">
        <v>1669</v>
      </c>
      <c r="B188" s="2" t="s">
        <v>4145</v>
      </c>
      <c r="C188" s="2" t="s">
        <v>45</v>
      </c>
      <c r="D188" s="2" t="s">
        <v>4146</v>
      </c>
      <c r="E188" s="2" t="s">
        <v>4141</v>
      </c>
    </row>
    <row r="189" customFormat="false" ht="15" hidden="false" customHeight="false" outlineLevel="0" collapsed="false">
      <c r="A189" s="2" t="s">
        <v>2591</v>
      </c>
      <c r="B189" s="2" t="s">
        <v>4145</v>
      </c>
      <c r="C189" s="2" t="s">
        <v>45</v>
      </c>
      <c r="D189" s="2" t="s">
        <v>4146</v>
      </c>
      <c r="E189" s="2" t="s">
        <v>4141</v>
      </c>
    </row>
    <row r="190" customFormat="false" ht="15" hidden="false" customHeight="false" outlineLevel="0" collapsed="false">
      <c r="A190" s="2" t="s">
        <v>2591</v>
      </c>
      <c r="B190" s="2" t="s">
        <v>4145</v>
      </c>
      <c r="C190" s="2" t="s">
        <v>46</v>
      </c>
      <c r="D190" s="2" t="s">
        <v>4146</v>
      </c>
      <c r="E190" s="2" t="s">
        <v>4142</v>
      </c>
    </row>
    <row r="191" customFormat="false" ht="15" hidden="false" customHeight="false" outlineLevel="0" collapsed="false">
      <c r="A191" s="2" t="s">
        <v>1132</v>
      </c>
      <c r="B191" s="2" t="s">
        <v>4145</v>
      </c>
      <c r="C191" s="2" t="s">
        <v>46</v>
      </c>
      <c r="D191" s="2" t="s">
        <v>4150</v>
      </c>
      <c r="E191" s="2" t="s">
        <v>4191</v>
      </c>
    </row>
    <row r="192" customFormat="false" ht="15" hidden="false" customHeight="false" outlineLevel="0" collapsed="false">
      <c r="A192" s="2" t="s">
        <v>1532</v>
      </c>
      <c r="B192" s="2" t="s">
        <v>4145</v>
      </c>
      <c r="C192" s="2" t="s">
        <v>45</v>
      </c>
      <c r="D192" s="2" t="s">
        <v>662</v>
      </c>
      <c r="E192" s="2" t="s">
        <v>4188</v>
      </c>
    </row>
    <row r="193" customFormat="false" ht="15" hidden="false" customHeight="false" outlineLevel="0" collapsed="false">
      <c r="A193" s="2" t="s">
        <v>1532</v>
      </c>
      <c r="B193" s="2" t="s">
        <v>4145</v>
      </c>
      <c r="C193" s="2" t="s">
        <v>47</v>
      </c>
      <c r="D193" s="2" t="s">
        <v>4146</v>
      </c>
      <c r="E193" s="2" t="s">
        <v>4148</v>
      </c>
    </row>
    <row r="194" customFormat="false" ht="15" hidden="false" customHeight="false" outlineLevel="0" collapsed="false">
      <c r="A194" s="2" t="s">
        <v>717</v>
      </c>
      <c r="B194" s="2" t="s">
        <v>4145</v>
      </c>
      <c r="C194" s="2" t="s">
        <v>46</v>
      </c>
      <c r="D194" s="2" t="s">
        <v>662</v>
      </c>
      <c r="E194" s="2" t="s">
        <v>4207</v>
      </c>
    </row>
    <row r="195" customFormat="false" ht="15" hidden="false" customHeight="false" outlineLevel="0" collapsed="false">
      <c r="A195" s="2" t="s">
        <v>1752</v>
      </c>
      <c r="B195" s="2" t="s">
        <v>4145</v>
      </c>
      <c r="C195" s="2" t="s">
        <v>45</v>
      </c>
      <c r="D195" s="2" t="s">
        <v>661</v>
      </c>
      <c r="E195" s="2" t="s">
        <v>4152</v>
      </c>
    </row>
    <row r="196" customFormat="false" ht="15" hidden="false" customHeight="false" outlineLevel="0" collapsed="false">
      <c r="A196" s="2" t="s">
        <v>2810</v>
      </c>
      <c r="B196" s="2" t="s">
        <v>4145</v>
      </c>
      <c r="C196" s="2" t="s">
        <v>46</v>
      </c>
      <c r="D196" s="2" t="s">
        <v>4146</v>
      </c>
      <c r="E196" s="2" t="s">
        <v>4142</v>
      </c>
    </row>
    <row r="197" customFormat="false" ht="15" hidden="false" customHeight="false" outlineLevel="0" collapsed="false">
      <c r="A197" s="2" t="s">
        <v>855</v>
      </c>
      <c r="B197" s="2" t="s">
        <v>4145</v>
      </c>
      <c r="C197" s="2" t="s">
        <v>46</v>
      </c>
      <c r="D197" s="2" t="s">
        <v>4146</v>
      </c>
      <c r="E197" s="2" t="s">
        <v>4143</v>
      </c>
    </row>
    <row r="198" customFormat="false" ht="15" hidden="false" customHeight="false" outlineLevel="0" collapsed="false">
      <c r="A198" s="2" t="s">
        <v>2811</v>
      </c>
      <c r="B198" s="2" t="s">
        <v>4145</v>
      </c>
      <c r="C198" s="2" t="s">
        <v>46</v>
      </c>
      <c r="D198" s="2" t="s">
        <v>4146</v>
      </c>
      <c r="E198" s="2" t="s">
        <v>4140</v>
      </c>
    </row>
    <row r="199" customFormat="false" ht="15" hidden="false" customHeight="false" outlineLevel="0" collapsed="false">
      <c r="A199" s="2" t="s">
        <v>2812</v>
      </c>
      <c r="B199" s="2" t="s">
        <v>4145</v>
      </c>
      <c r="C199" s="2" t="s">
        <v>45</v>
      </c>
      <c r="D199" s="2" t="s">
        <v>662</v>
      </c>
      <c r="E199" s="2" t="s">
        <v>4208</v>
      </c>
    </row>
    <row r="200" customFormat="false" ht="15" hidden="false" customHeight="false" outlineLevel="0" collapsed="false">
      <c r="A200" s="2" t="s">
        <v>2812</v>
      </c>
      <c r="B200" s="2" t="s">
        <v>4145</v>
      </c>
      <c r="C200" s="2" t="s">
        <v>47</v>
      </c>
      <c r="D200" s="2" t="s">
        <v>662</v>
      </c>
      <c r="E200" s="2" t="s">
        <v>4209</v>
      </c>
    </row>
    <row r="201" customFormat="false" ht="15" hidden="false" customHeight="false" outlineLevel="0" collapsed="false">
      <c r="A201" s="2" t="s">
        <v>1808</v>
      </c>
      <c r="B201" s="2" t="s">
        <v>4145</v>
      </c>
      <c r="C201" s="2" t="s">
        <v>45</v>
      </c>
      <c r="D201" s="2" t="s">
        <v>4146</v>
      </c>
      <c r="E201" s="2" t="s">
        <v>4142</v>
      </c>
    </row>
    <row r="202" customFormat="false" ht="15" hidden="false" customHeight="false" outlineLevel="0" collapsed="false">
      <c r="A202" s="2" t="s">
        <v>945</v>
      </c>
      <c r="B202" s="2" t="s">
        <v>4145</v>
      </c>
      <c r="C202" s="2" t="s">
        <v>47</v>
      </c>
      <c r="D202" s="2" t="s">
        <v>661</v>
      </c>
      <c r="E202" s="2" t="s">
        <v>4176</v>
      </c>
    </row>
    <row r="203" customFormat="false" ht="15" hidden="false" customHeight="false" outlineLevel="0" collapsed="false">
      <c r="A203" s="2" t="s">
        <v>2242</v>
      </c>
      <c r="B203" s="2" t="s">
        <v>4145</v>
      </c>
      <c r="C203" s="2" t="s">
        <v>45</v>
      </c>
      <c r="D203" s="2" t="s">
        <v>4146</v>
      </c>
      <c r="E203" s="2" t="s">
        <v>4142</v>
      </c>
    </row>
    <row r="204" customFormat="false" ht="15" hidden="false" customHeight="false" outlineLevel="0" collapsed="false">
      <c r="A204" s="2" t="s">
        <v>2242</v>
      </c>
      <c r="B204" s="2" t="s">
        <v>4145</v>
      </c>
      <c r="C204" s="2" t="s">
        <v>46</v>
      </c>
      <c r="D204" s="2" t="s">
        <v>662</v>
      </c>
      <c r="E204" s="2" t="s">
        <v>4201</v>
      </c>
    </row>
    <row r="205" customFormat="false" ht="15" hidden="false" customHeight="false" outlineLevel="0" collapsed="false">
      <c r="A205" s="2" t="s">
        <v>673</v>
      </c>
      <c r="B205" s="2" t="s">
        <v>4145</v>
      </c>
      <c r="C205" s="2" t="s">
        <v>46</v>
      </c>
      <c r="D205" s="2" t="s">
        <v>4146</v>
      </c>
      <c r="E205" s="2" t="s">
        <v>4142</v>
      </c>
    </row>
    <row r="206" customFormat="false" ht="15" hidden="false" customHeight="false" outlineLevel="0" collapsed="false">
      <c r="A206" s="2" t="s">
        <v>1634</v>
      </c>
      <c r="B206" s="2" t="s">
        <v>4145</v>
      </c>
      <c r="C206" s="2" t="s">
        <v>45</v>
      </c>
      <c r="D206" s="2" t="s">
        <v>4146</v>
      </c>
      <c r="E206" s="2" t="s">
        <v>4141</v>
      </c>
    </row>
    <row r="207" customFormat="false" ht="15" hidden="false" customHeight="false" outlineLevel="0" collapsed="false">
      <c r="A207" s="2" t="s">
        <v>2817</v>
      </c>
      <c r="B207" s="2" t="s">
        <v>4145</v>
      </c>
      <c r="C207" s="2" t="s">
        <v>46</v>
      </c>
      <c r="D207" s="2" t="s">
        <v>662</v>
      </c>
      <c r="E207" s="2" t="s">
        <v>4164</v>
      </c>
    </row>
    <row r="208" customFormat="false" ht="15" hidden="false" customHeight="false" outlineLevel="0" collapsed="false">
      <c r="A208" s="2" t="s">
        <v>834</v>
      </c>
      <c r="B208" s="2" t="s">
        <v>4145</v>
      </c>
      <c r="C208" s="2" t="s">
        <v>46</v>
      </c>
      <c r="D208" s="2" t="s">
        <v>662</v>
      </c>
      <c r="E208" s="2" t="s">
        <v>4210</v>
      </c>
    </row>
    <row r="209" customFormat="false" ht="15" hidden="false" customHeight="false" outlineLevel="0" collapsed="false">
      <c r="A209" s="2" t="s">
        <v>834</v>
      </c>
      <c r="B209" s="2" t="s">
        <v>4145</v>
      </c>
      <c r="C209" s="2" t="s">
        <v>47</v>
      </c>
      <c r="D209" s="2" t="s">
        <v>4197</v>
      </c>
      <c r="E209" s="2" t="s">
        <v>4198</v>
      </c>
    </row>
    <row r="210" customFormat="false" ht="15" hidden="false" customHeight="false" outlineLevel="0" collapsed="false">
      <c r="A210" s="2" t="s">
        <v>1062</v>
      </c>
      <c r="B210" s="2" t="s">
        <v>4145</v>
      </c>
      <c r="C210" s="2" t="s">
        <v>46</v>
      </c>
      <c r="D210" s="2" t="s">
        <v>662</v>
      </c>
      <c r="E210" s="2" t="s">
        <v>4164</v>
      </c>
    </row>
    <row r="211" customFormat="false" ht="15" hidden="false" customHeight="false" outlineLevel="0" collapsed="false">
      <c r="A211" s="2" t="s">
        <v>771</v>
      </c>
      <c r="B211" s="2" t="s">
        <v>4145</v>
      </c>
      <c r="C211" s="2" t="s">
        <v>46</v>
      </c>
      <c r="D211" s="2" t="s">
        <v>661</v>
      </c>
      <c r="E211" s="2" t="s">
        <v>4152</v>
      </c>
    </row>
    <row r="212" customFormat="false" ht="15" hidden="false" customHeight="false" outlineLevel="0" collapsed="false">
      <c r="A212" s="2" t="s">
        <v>741</v>
      </c>
      <c r="B212" s="2" t="s">
        <v>4145</v>
      </c>
      <c r="C212" s="2" t="s">
        <v>47</v>
      </c>
      <c r="D212" s="2" t="s">
        <v>4146</v>
      </c>
      <c r="E212" s="2" t="s">
        <v>4135</v>
      </c>
    </row>
    <row r="213" customFormat="false" ht="15" hidden="false" customHeight="false" outlineLevel="0" collapsed="false">
      <c r="A213" s="2" t="s">
        <v>1173</v>
      </c>
      <c r="B213" s="2" t="s">
        <v>4145</v>
      </c>
      <c r="C213" s="2" t="s">
        <v>47</v>
      </c>
      <c r="D213" s="2" t="s">
        <v>4146</v>
      </c>
      <c r="E213" s="2" t="s">
        <v>4135</v>
      </c>
    </row>
    <row r="214" customFormat="false" ht="15" hidden="false" customHeight="false" outlineLevel="0" collapsed="false">
      <c r="A214" s="2" t="s">
        <v>1660</v>
      </c>
      <c r="B214" s="2" t="s">
        <v>4145</v>
      </c>
      <c r="C214" s="2" t="s">
        <v>45</v>
      </c>
      <c r="D214" s="2" t="s">
        <v>4193</v>
      </c>
      <c r="E214" s="2" t="s">
        <v>4211</v>
      </c>
    </row>
    <row r="215" customFormat="false" ht="15" hidden="false" customHeight="false" outlineLevel="0" collapsed="false">
      <c r="A215" s="2" t="s">
        <v>728</v>
      </c>
      <c r="B215" s="2" t="s">
        <v>4145</v>
      </c>
      <c r="C215" s="2" t="s">
        <v>46</v>
      </c>
      <c r="D215" s="2" t="s">
        <v>662</v>
      </c>
      <c r="E215" s="2" t="s">
        <v>4188</v>
      </c>
    </row>
    <row r="216" customFormat="false" ht="15" hidden="false" customHeight="false" outlineLevel="0" collapsed="false">
      <c r="A216" s="2" t="s">
        <v>2581</v>
      </c>
      <c r="B216" s="2" t="s">
        <v>4145</v>
      </c>
      <c r="C216" s="2" t="s">
        <v>45</v>
      </c>
      <c r="D216" s="2" t="s">
        <v>4146</v>
      </c>
      <c r="E216" s="2" t="s">
        <v>4142</v>
      </c>
    </row>
    <row r="217" customFormat="false" ht="15" hidden="false" customHeight="false" outlineLevel="0" collapsed="false">
      <c r="A217" s="2" t="s">
        <v>2581</v>
      </c>
      <c r="B217" s="2" t="s">
        <v>4145</v>
      </c>
      <c r="C217" s="2" t="s">
        <v>46</v>
      </c>
      <c r="D217" s="2" t="s">
        <v>4212</v>
      </c>
      <c r="E217" s="2" t="s">
        <v>4213</v>
      </c>
    </row>
    <row r="218" customFormat="false" ht="15" hidden="false" customHeight="false" outlineLevel="0" collapsed="false">
      <c r="A218" s="2" t="s">
        <v>1517</v>
      </c>
      <c r="B218" s="2" t="s">
        <v>4145</v>
      </c>
      <c r="C218" s="2" t="s">
        <v>45</v>
      </c>
      <c r="D218" s="2" t="s">
        <v>4146</v>
      </c>
      <c r="E218" s="2" t="s">
        <v>4148</v>
      </c>
    </row>
    <row r="219" customFormat="false" ht="15" hidden="false" customHeight="false" outlineLevel="0" collapsed="false">
      <c r="A219" s="2" t="s">
        <v>2825</v>
      </c>
      <c r="B219" s="2" t="s">
        <v>4145</v>
      </c>
      <c r="C219" s="2" t="s">
        <v>46</v>
      </c>
      <c r="D219" s="2" t="s">
        <v>662</v>
      </c>
      <c r="E219" s="2" t="s">
        <v>4214</v>
      </c>
    </row>
    <row r="220" customFormat="false" ht="15" hidden="false" customHeight="false" outlineLevel="0" collapsed="false">
      <c r="A220" s="2" t="s">
        <v>2290</v>
      </c>
      <c r="B220" s="2" t="s">
        <v>4145</v>
      </c>
      <c r="C220" s="2" t="s">
        <v>45</v>
      </c>
      <c r="D220" s="2" t="s">
        <v>4146</v>
      </c>
      <c r="E220" s="2" t="s">
        <v>4143</v>
      </c>
    </row>
    <row r="221" customFormat="false" ht="15" hidden="false" customHeight="false" outlineLevel="0" collapsed="false">
      <c r="A221" s="2" t="s">
        <v>2290</v>
      </c>
      <c r="B221" s="2" t="s">
        <v>4145</v>
      </c>
      <c r="C221" s="2" t="s">
        <v>46</v>
      </c>
      <c r="D221" s="2" t="s">
        <v>4146</v>
      </c>
      <c r="E221" s="2" t="s">
        <v>4142</v>
      </c>
    </row>
    <row r="222" customFormat="false" ht="15" hidden="false" customHeight="false" outlineLevel="0" collapsed="false">
      <c r="A222" s="2" t="s">
        <v>1246</v>
      </c>
      <c r="B222" s="2" t="s">
        <v>4145</v>
      </c>
      <c r="C222" s="2" t="s">
        <v>46</v>
      </c>
      <c r="D222" s="2" t="s">
        <v>662</v>
      </c>
      <c r="E222" s="2" t="s">
        <v>4215</v>
      </c>
    </row>
    <row r="223" customFormat="false" ht="15" hidden="false" customHeight="false" outlineLevel="0" collapsed="false">
      <c r="A223" s="2" t="s">
        <v>1522</v>
      </c>
      <c r="B223" s="2" t="s">
        <v>4145</v>
      </c>
      <c r="C223" s="2" t="s">
        <v>45</v>
      </c>
      <c r="D223" s="2" t="s">
        <v>662</v>
      </c>
      <c r="E223" s="2" t="s">
        <v>4201</v>
      </c>
    </row>
    <row r="224" customFormat="false" ht="15" hidden="false" customHeight="false" outlineLevel="0" collapsed="false">
      <c r="A224" s="2" t="s">
        <v>1657</v>
      </c>
      <c r="B224" s="2" t="s">
        <v>4145</v>
      </c>
      <c r="C224" s="2" t="s">
        <v>47</v>
      </c>
      <c r="D224" s="2" t="s">
        <v>4150</v>
      </c>
      <c r="E224" s="2" t="s">
        <v>4216</v>
      </c>
    </row>
    <row r="225" customFormat="false" ht="15" hidden="false" customHeight="false" outlineLevel="0" collapsed="false">
      <c r="A225" s="2" t="s">
        <v>846</v>
      </c>
      <c r="B225" s="2" t="s">
        <v>4145</v>
      </c>
      <c r="C225" s="2" t="s">
        <v>46</v>
      </c>
      <c r="D225" s="2" t="s">
        <v>4146</v>
      </c>
      <c r="E225" s="2" t="s">
        <v>4141</v>
      </c>
    </row>
    <row r="226" customFormat="false" ht="15" hidden="false" customHeight="false" outlineLevel="0" collapsed="false">
      <c r="A226" s="2" t="s">
        <v>1796</v>
      </c>
      <c r="B226" s="2" t="s">
        <v>4145</v>
      </c>
      <c r="C226" s="2" t="s">
        <v>45</v>
      </c>
      <c r="D226" s="2" t="s">
        <v>4146</v>
      </c>
      <c r="E226" s="2" t="s">
        <v>4141</v>
      </c>
    </row>
    <row r="227" customFormat="false" ht="15" hidden="false" customHeight="false" outlineLevel="0" collapsed="false">
      <c r="A227" s="2" t="s">
        <v>1796</v>
      </c>
      <c r="B227" s="2" t="s">
        <v>4145</v>
      </c>
      <c r="C227" s="2" t="s">
        <v>47</v>
      </c>
      <c r="D227" s="2" t="s">
        <v>4197</v>
      </c>
      <c r="E227" s="2" t="s">
        <v>4198</v>
      </c>
    </row>
    <row r="228" customFormat="false" ht="15" hidden="false" customHeight="false" outlineLevel="0" collapsed="false">
      <c r="A228" s="2" t="s">
        <v>915</v>
      </c>
      <c r="B228" s="2" t="s">
        <v>4145</v>
      </c>
      <c r="C228" s="2" t="s">
        <v>47</v>
      </c>
      <c r="D228" s="2" t="s">
        <v>4146</v>
      </c>
      <c r="E228" s="2" t="s">
        <v>4148</v>
      </c>
    </row>
    <row r="229" customFormat="false" ht="15" hidden="false" customHeight="false" outlineLevel="0" collapsed="false">
      <c r="A229" s="2" t="s">
        <v>941</v>
      </c>
      <c r="B229" s="2" t="s">
        <v>4145</v>
      </c>
      <c r="C229" s="2" t="s">
        <v>46</v>
      </c>
      <c r="D229" s="2" t="s">
        <v>4146</v>
      </c>
      <c r="E229" s="2" t="s">
        <v>4142</v>
      </c>
    </row>
    <row r="230" customFormat="false" ht="15" hidden="false" customHeight="false" outlineLevel="0" collapsed="false">
      <c r="A230" s="2" t="s">
        <v>1022</v>
      </c>
      <c r="B230" s="2" t="s">
        <v>4145</v>
      </c>
      <c r="C230" s="2" t="s">
        <v>46</v>
      </c>
      <c r="D230" s="2" t="s">
        <v>662</v>
      </c>
      <c r="E230" s="2" t="s">
        <v>4179</v>
      </c>
    </row>
    <row r="231" customFormat="false" ht="15" hidden="false" customHeight="false" outlineLevel="0" collapsed="false">
      <c r="A231" s="2" t="s">
        <v>665</v>
      </c>
      <c r="B231" s="2" t="s">
        <v>4145</v>
      </c>
      <c r="C231" s="2" t="s">
        <v>46</v>
      </c>
      <c r="D231" s="2" t="s">
        <v>4146</v>
      </c>
      <c r="E231" s="2" t="s">
        <v>4148</v>
      </c>
    </row>
    <row r="232" customFormat="false" ht="15" hidden="false" customHeight="false" outlineLevel="0" collapsed="false">
      <c r="A232" s="2" t="s">
        <v>665</v>
      </c>
      <c r="B232" s="2" t="s">
        <v>4145</v>
      </c>
      <c r="C232" s="2" t="s">
        <v>47</v>
      </c>
      <c r="D232" s="2" t="s">
        <v>662</v>
      </c>
      <c r="E232" s="2" t="s">
        <v>4217</v>
      </c>
    </row>
    <row r="233" customFormat="false" ht="15" hidden="false" customHeight="false" outlineLevel="0" collapsed="false">
      <c r="A233" s="2" t="s">
        <v>799</v>
      </c>
      <c r="B233" s="2" t="s">
        <v>4145</v>
      </c>
      <c r="C233" s="2" t="s">
        <v>46</v>
      </c>
      <c r="D233" s="2" t="s">
        <v>662</v>
      </c>
      <c r="E233" s="2" t="s">
        <v>4188</v>
      </c>
    </row>
    <row r="234" customFormat="false" ht="15" hidden="false" customHeight="false" outlineLevel="0" collapsed="false">
      <c r="A234" s="2" t="s">
        <v>2833</v>
      </c>
      <c r="B234" s="2" t="s">
        <v>4145</v>
      </c>
      <c r="C234" s="2" t="s">
        <v>45</v>
      </c>
      <c r="D234" s="2" t="s">
        <v>662</v>
      </c>
      <c r="E234" s="2" t="s">
        <v>4170</v>
      </c>
    </row>
    <row r="235" customFormat="false" ht="15" hidden="false" customHeight="false" outlineLevel="0" collapsed="false">
      <c r="A235" s="2" t="s">
        <v>2833</v>
      </c>
      <c r="B235" s="2" t="s">
        <v>4145</v>
      </c>
      <c r="C235" s="2" t="s">
        <v>46</v>
      </c>
      <c r="D235" s="2" t="s">
        <v>662</v>
      </c>
      <c r="E235" s="2" t="s">
        <v>4218</v>
      </c>
    </row>
    <row r="236" customFormat="false" ht="15" hidden="false" customHeight="false" outlineLevel="0" collapsed="false">
      <c r="A236" s="2" t="s">
        <v>2078</v>
      </c>
      <c r="B236" s="2" t="s">
        <v>4145</v>
      </c>
      <c r="C236" s="2" t="s">
        <v>45</v>
      </c>
      <c r="D236" s="2" t="s">
        <v>4193</v>
      </c>
      <c r="E236" s="2" t="s">
        <v>4219</v>
      </c>
    </row>
    <row r="237" customFormat="false" ht="15" hidden="false" customHeight="false" outlineLevel="0" collapsed="false">
      <c r="A237" s="2" t="s">
        <v>1463</v>
      </c>
      <c r="B237" s="2" t="s">
        <v>4145</v>
      </c>
      <c r="C237" s="2" t="s">
        <v>45</v>
      </c>
      <c r="D237" s="2" t="s">
        <v>662</v>
      </c>
      <c r="E237" s="2" t="s">
        <v>4164</v>
      </c>
    </row>
    <row r="238" customFormat="false" ht="15" hidden="false" customHeight="false" outlineLevel="0" collapsed="false">
      <c r="A238" s="2" t="s">
        <v>2561</v>
      </c>
      <c r="B238" s="2" t="s">
        <v>4145</v>
      </c>
      <c r="C238" s="2" t="s">
        <v>45</v>
      </c>
      <c r="D238" s="2" t="s">
        <v>4146</v>
      </c>
      <c r="E238" s="2" t="s">
        <v>4141</v>
      </c>
    </row>
    <row r="239" customFormat="false" ht="15" hidden="false" customHeight="false" outlineLevel="0" collapsed="false">
      <c r="A239" s="2" t="s">
        <v>2561</v>
      </c>
      <c r="B239" s="2" t="s">
        <v>4145</v>
      </c>
      <c r="C239" s="2" t="s">
        <v>46</v>
      </c>
      <c r="D239" s="2" t="s">
        <v>4146</v>
      </c>
      <c r="E239" s="2" t="s">
        <v>4141</v>
      </c>
    </row>
    <row r="240" customFormat="false" ht="15" hidden="false" customHeight="false" outlineLevel="0" collapsed="false">
      <c r="A240" s="2" t="s">
        <v>2359</v>
      </c>
      <c r="B240" s="2" t="s">
        <v>4145</v>
      </c>
      <c r="C240" s="2" t="s">
        <v>45</v>
      </c>
      <c r="D240" s="2" t="s">
        <v>4146</v>
      </c>
      <c r="E240" s="2" t="s">
        <v>4148</v>
      </c>
    </row>
    <row r="241" customFormat="false" ht="15" hidden="false" customHeight="false" outlineLevel="0" collapsed="false">
      <c r="A241" s="2" t="s">
        <v>2359</v>
      </c>
      <c r="B241" s="2" t="s">
        <v>4145</v>
      </c>
      <c r="C241" s="2" t="s">
        <v>46</v>
      </c>
      <c r="D241" s="2" t="s">
        <v>4146</v>
      </c>
      <c r="E241" s="2" t="s">
        <v>4142</v>
      </c>
    </row>
    <row r="242" customFormat="false" ht="15" hidden="false" customHeight="false" outlineLevel="0" collapsed="false">
      <c r="A242" s="2" t="s">
        <v>1333</v>
      </c>
      <c r="B242" s="2" t="s">
        <v>4145</v>
      </c>
      <c r="C242" s="2" t="s">
        <v>46</v>
      </c>
      <c r="D242" s="2" t="s">
        <v>662</v>
      </c>
      <c r="E242" s="2" t="s">
        <v>4220</v>
      </c>
    </row>
    <row r="243" customFormat="false" ht="15" hidden="false" customHeight="false" outlineLevel="0" collapsed="false">
      <c r="A243" s="2" t="s">
        <v>1164</v>
      </c>
      <c r="B243" s="2" t="s">
        <v>4145</v>
      </c>
      <c r="C243" s="2" t="s">
        <v>46</v>
      </c>
      <c r="D243" s="2" t="s">
        <v>4197</v>
      </c>
      <c r="E243" s="2" t="s">
        <v>4198</v>
      </c>
    </row>
    <row r="244" customFormat="false" ht="15" hidden="false" customHeight="false" outlineLevel="0" collapsed="false">
      <c r="A244" s="2" t="s">
        <v>689</v>
      </c>
      <c r="B244" s="2" t="s">
        <v>4145</v>
      </c>
      <c r="C244" s="2" t="s">
        <v>46</v>
      </c>
      <c r="D244" s="2" t="s">
        <v>661</v>
      </c>
      <c r="E244" s="2" t="s">
        <v>4176</v>
      </c>
    </row>
    <row r="245" customFormat="false" ht="15" hidden="false" customHeight="false" outlineLevel="0" collapsed="false">
      <c r="A245" s="2" t="s">
        <v>2840</v>
      </c>
      <c r="B245" s="2" t="s">
        <v>4145</v>
      </c>
      <c r="C245" s="2" t="s">
        <v>45</v>
      </c>
      <c r="D245" s="2" t="s">
        <v>4150</v>
      </c>
      <c r="E245" s="2" t="s">
        <v>4221</v>
      </c>
    </row>
    <row r="246" customFormat="false" ht="15" hidden="false" customHeight="false" outlineLevel="0" collapsed="false">
      <c r="A246" s="2" t="s">
        <v>2840</v>
      </c>
      <c r="B246" s="2" t="s">
        <v>4145</v>
      </c>
      <c r="C246" s="2" t="s">
        <v>46</v>
      </c>
      <c r="D246" s="2" t="s">
        <v>4161</v>
      </c>
      <c r="E246" s="2" t="s">
        <v>4222</v>
      </c>
    </row>
    <row r="247" customFormat="false" ht="15" hidden="false" customHeight="false" outlineLevel="0" collapsed="false">
      <c r="A247" s="2" t="s">
        <v>2840</v>
      </c>
      <c r="B247" s="2" t="s">
        <v>4145</v>
      </c>
      <c r="C247" s="2" t="s">
        <v>47</v>
      </c>
      <c r="D247" s="2" t="s">
        <v>662</v>
      </c>
      <c r="E247" s="2" t="s">
        <v>4223</v>
      </c>
    </row>
    <row r="248" customFormat="false" ht="15" hidden="false" customHeight="false" outlineLevel="0" collapsed="false">
      <c r="A248" s="2" t="s">
        <v>2246</v>
      </c>
      <c r="B248" s="2" t="s">
        <v>4145</v>
      </c>
      <c r="C248" s="2" t="s">
        <v>45</v>
      </c>
      <c r="D248" s="2" t="s">
        <v>4146</v>
      </c>
      <c r="E248" s="2" t="s">
        <v>4142</v>
      </c>
    </row>
    <row r="249" customFormat="false" ht="15" hidden="false" customHeight="false" outlineLevel="0" collapsed="false">
      <c r="A249" s="2" t="s">
        <v>2246</v>
      </c>
      <c r="B249" s="2" t="s">
        <v>4145</v>
      </c>
      <c r="C249" s="2" t="s">
        <v>46</v>
      </c>
      <c r="D249" s="2" t="s">
        <v>662</v>
      </c>
      <c r="E249" s="2" t="s">
        <v>4186</v>
      </c>
    </row>
    <row r="250" customFormat="false" ht="15" hidden="false" customHeight="false" outlineLevel="0" collapsed="false">
      <c r="A250" s="2" t="s">
        <v>1608</v>
      </c>
      <c r="B250" s="2" t="s">
        <v>4145</v>
      </c>
      <c r="C250" s="2" t="s">
        <v>45</v>
      </c>
      <c r="D250" s="2" t="s">
        <v>662</v>
      </c>
      <c r="E250" s="2" t="s">
        <v>4186</v>
      </c>
    </row>
    <row r="251" customFormat="false" ht="15" hidden="false" customHeight="false" outlineLevel="0" collapsed="false">
      <c r="A251" s="2" t="s">
        <v>2498</v>
      </c>
      <c r="B251" s="2" t="s">
        <v>4145</v>
      </c>
      <c r="C251" s="2" t="s">
        <v>46</v>
      </c>
      <c r="D251" s="2" t="s">
        <v>4146</v>
      </c>
      <c r="E251" s="2" t="s">
        <v>4142</v>
      </c>
    </row>
    <row r="252" customFormat="false" ht="15" hidden="false" customHeight="false" outlineLevel="0" collapsed="false">
      <c r="A252" s="2" t="s">
        <v>2845</v>
      </c>
      <c r="B252" s="2" t="s">
        <v>4145</v>
      </c>
      <c r="C252" s="2" t="s">
        <v>47</v>
      </c>
      <c r="D252" s="2" t="s">
        <v>662</v>
      </c>
      <c r="E252" s="2" t="s">
        <v>4192</v>
      </c>
    </row>
    <row r="253" customFormat="false" ht="15" hidden="false" customHeight="false" outlineLevel="0" collapsed="false">
      <c r="A253" s="2" t="s">
        <v>912</v>
      </c>
      <c r="B253" s="2" t="s">
        <v>4145</v>
      </c>
      <c r="C253" s="2" t="s">
        <v>47</v>
      </c>
      <c r="D253" s="2" t="s">
        <v>660</v>
      </c>
      <c r="E253" s="2" t="s">
        <v>4160</v>
      </c>
    </row>
    <row r="254" customFormat="false" ht="15" hidden="false" customHeight="false" outlineLevel="0" collapsed="false">
      <c r="A254" s="2" t="s">
        <v>2047</v>
      </c>
      <c r="B254" s="2" t="s">
        <v>4145</v>
      </c>
      <c r="C254" s="2" t="s">
        <v>45</v>
      </c>
      <c r="D254" s="2" t="s">
        <v>4197</v>
      </c>
      <c r="E254" s="2" t="s">
        <v>4198</v>
      </c>
    </row>
    <row r="255" customFormat="false" ht="15" hidden="false" customHeight="false" outlineLevel="0" collapsed="false">
      <c r="A255" s="2" t="s">
        <v>2848</v>
      </c>
      <c r="B255" s="2" t="s">
        <v>4145</v>
      </c>
      <c r="C255" s="2" t="s">
        <v>45</v>
      </c>
      <c r="D255" s="2" t="s">
        <v>4146</v>
      </c>
      <c r="E255" s="2" t="s">
        <v>4141</v>
      </c>
    </row>
    <row r="256" customFormat="false" ht="15" hidden="false" customHeight="false" outlineLevel="0" collapsed="false">
      <c r="A256" s="2" t="s">
        <v>2848</v>
      </c>
      <c r="B256" s="2" t="s">
        <v>4145</v>
      </c>
      <c r="C256" s="2" t="s">
        <v>47</v>
      </c>
      <c r="D256" s="2" t="s">
        <v>4146</v>
      </c>
      <c r="E256" s="2" t="s">
        <v>4157</v>
      </c>
    </row>
    <row r="257" customFormat="false" ht="15" hidden="false" customHeight="false" outlineLevel="0" collapsed="false">
      <c r="A257" s="2" t="s">
        <v>1028</v>
      </c>
      <c r="B257" s="2" t="s">
        <v>4145</v>
      </c>
      <c r="C257" s="2" t="s">
        <v>46</v>
      </c>
      <c r="D257" s="2" t="s">
        <v>4146</v>
      </c>
      <c r="E257" s="2" t="s">
        <v>4143</v>
      </c>
    </row>
    <row r="258" customFormat="false" ht="15" hidden="false" customHeight="false" outlineLevel="0" collapsed="false">
      <c r="A258" s="2" t="s">
        <v>1705</v>
      </c>
      <c r="B258" s="2" t="s">
        <v>4145</v>
      </c>
      <c r="C258" s="2" t="s">
        <v>45</v>
      </c>
      <c r="D258" s="2" t="s">
        <v>660</v>
      </c>
      <c r="E258" s="2" t="s">
        <v>4183</v>
      </c>
    </row>
    <row r="259" customFormat="false" ht="15" hidden="false" customHeight="false" outlineLevel="0" collapsed="false">
      <c r="A259" s="2" t="s">
        <v>1793</v>
      </c>
      <c r="B259" s="2" t="s">
        <v>4145</v>
      </c>
      <c r="C259" s="2" t="s">
        <v>45</v>
      </c>
      <c r="D259" s="2" t="s">
        <v>4146</v>
      </c>
      <c r="E259" s="2" t="s">
        <v>4143</v>
      </c>
    </row>
    <row r="260" customFormat="false" ht="15" hidden="false" customHeight="false" outlineLevel="0" collapsed="false">
      <c r="A260" s="2" t="s">
        <v>880</v>
      </c>
      <c r="B260" s="2" t="s">
        <v>4145</v>
      </c>
      <c r="C260" s="2" t="s">
        <v>47</v>
      </c>
      <c r="D260" s="2" t="s">
        <v>660</v>
      </c>
      <c r="E260" s="2" t="s">
        <v>4160</v>
      </c>
    </row>
    <row r="261" customFormat="false" ht="15" hidden="false" customHeight="false" outlineLevel="0" collapsed="false">
      <c r="A261" s="2" t="s">
        <v>2851</v>
      </c>
      <c r="B261" s="2" t="s">
        <v>4145</v>
      </c>
      <c r="C261" s="2" t="s">
        <v>46</v>
      </c>
      <c r="D261" s="2" t="s">
        <v>661</v>
      </c>
      <c r="E261" s="2" t="s">
        <v>4176</v>
      </c>
    </row>
    <row r="262" customFormat="false" ht="15" hidden="false" customHeight="false" outlineLevel="0" collapsed="false">
      <c r="A262" s="2" t="s">
        <v>2853</v>
      </c>
      <c r="B262" s="2" t="s">
        <v>4145</v>
      </c>
      <c r="C262" s="2" t="s">
        <v>45</v>
      </c>
      <c r="D262" s="2" t="s">
        <v>4146</v>
      </c>
      <c r="E262" s="2" t="s">
        <v>4142</v>
      </c>
    </row>
    <row r="263" customFormat="false" ht="15" hidden="false" customHeight="false" outlineLevel="0" collapsed="false">
      <c r="A263" s="2" t="s">
        <v>1448</v>
      </c>
      <c r="B263" s="2" t="s">
        <v>4145</v>
      </c>
      <c r="C263" s="2" t="s">
        <v>45</v>
      </c>
      <c r="D263" s="2" t="s">
        <v>660</v>
      </c>
      <c r="E263" s="2" t="s">
        <v>4183</v>
      </c>
    </row>
    <row r="264" customFormat="false" ht="15" hidden="false" customHeight="false" outlineLevel="0" collapsed="false">
      <c r="A264" s="2" t="s">
        <v>2855</v>
      </c>
      <c r="B264" s="2" t="s">
        <v>4145</v>
      </c>
      <c r="C264" s="2" t="s">
        <v>45</v>
      </c>
      <c r="D264" s="2" t="s">
        <v>4146</v>
      </c>
      <c r="E264" s="2" t="s">
        <v>4142</v>
      </c>
    </row>
    <row r="265" customFormat="false" ht="15" hidden="false" customHeight="false" outlineLevel="0" collapsed="false">
      <c r="A265" s="2" t="s">
        <v>2856</v>
      </c>
      <c r="B265" s="2" t="s">
        <v>4145</v>
      </c>
      <c r="C265" s="2" t="s">
        <v>45</v>
      </c>
      <c r="D265" s="2" t="s">
        <v>661</v>
      </c>
      <c r="E265" s="2" t="s">
        <v>4152</v>
      </c>
    </row>
    <row r="266" customFormat="false" ht="15" hidden="false" customHeight="false" outlineLevel="0" collapsed="false">
      <c r="A266" s="2" t="s">
        <v>2856</v>
      </c>
      <c r="B266" s="2" t="s">
        <v>4145</v>
      </c>
      <c r="C266" s="2" t="s">
        <v>46</v>
      </c>
      <c r="D266" s="2" t="s">
        <v>662</v>
      </c>
      <c r="E266" s="2" t="s">
        <v>4179</v>
      </c>
    </row>
    <row r="267" customFormat="false" ht="15" hidden="false" customHeight="false" outlineLevel="0" collapsed="false">
      <c r="A267" s="2" t="s">
        <v>1053</v>
      </c>
      <c r="B267" s="2" t="s">
        <v>4145</v>
      </c>
      <c r="C267" s="2" t="s">
        <v>47</v>
      </c>
      <c r="D267" s="2" t="s">
        <v>4146</v>
      </c>
      <c r="E267" s="2" t="s">
        <v>4157</v>
      </c>
    </row>
    <row r="268" customFormat="false" ht="15" hidden="false" customHeight="false" outlineLevel="0" collapsed="false">
      <c r="A268" s="2" t="s">
        <v>2859</v>
      </c>
      <c r="B268" s="2" t="s">
        <v>4145</v>
      </c>
      <c r="C268" s="2" t="s">
        <v>46</v>
      </c>
      <c r="D268" s="2" t="s">
        <v>4146</v>
      </c>
      <c r="E268" s="2" t="s">
        <v>4142</v>
      </c>
    </row>
    <row r="269" customFormat="false" ht="15" hidden="false" customHeight="false" outlineLevel="0" collapsed="false">
      <c r="A269" s="2" t="s">
        <v>2859</v>
      </c>
      <c r="B269" s="2" t="s">
        <v>4145</v>
      </c>
      <c r="C269" s="2" t="s">
        <v>47</v>
      </c>
      <c r="D269" s="2" t="s">
        <v>4146</v>
      </c>
      <c r="E269" s="2" t="s">
        <v>4157</v>
      </c>
    </row>
    <row r="270" customFormat="false" ht="15" hidden="false" customHeight="false" outlineLevel="0" collapsed="false">
      <c r="A270" s="2" t="s">
        <v>1327</v>
      </c>
      <c r="B270" s="2" t="s">
        <v>4145</v>
      </c>
      <c r="C270" s="2" t="s">
        <v>47</v>
      </c>
      <c r="D270" s="2" t="s">
        <v>4146</v>
      </c>
      <c r="E270" s="2" t="s">
        <v>4148</v>
      </c>
    </row>
    <row r="271" customFormat="false" ht="15" hidden="false" customHeight="false" outlineLevel="0" collapsed="false">
      <c r="A271" s="2" t="s">
        <v>697</v>
      </c>
      <c r="B271" s="2" t="s">
        <v>4145</v>
      </c>
      <c r="C271" s="2" t="s">
        <v>47</v>
      </c>
      <c r="D271" s="2" t="s">
        <v>4197</v>
      </c>
      <c r="E271" s="2" t="s">
        <v>4198</v>
      </c>
    </row>
    <row r="272" customFormat="false" ht="15" hidden="false" customHeight="false" outlineLevel="0" collapsed="false">
      <c r="A272" s="2" t="s">
        <v>2335</v>
      </c>
      <c r="B272" s="2" t="s">
        <v>4145</v>
      </c>
      <c r="C272" s="2" t="s">
        <v>45</v>
      </c>
      <c r="D272" s="2" t="s">
        <v>4146</v>
      </c>
      <c r="E272" s="2" t="s">
        <v>4141</v>
      </c>
    </row>
    <row r="273" customFormat="false" ht="15" hidden="false" customHeight="false" outlineLevel="0" collapsed="false">
      <c r="A273" s="2" t="s">
        <v>2335</v>
      </c>
      <c r="B273" s="2" t="s">
        <v>4145</v>
      </c>
      <c r="C273" s="2" t="s">
        <v>46</v>
      </c>
      <c r="D273" s="2" t="s">
        <v>662</v>
      </c>
      <c r="E273" s="2" t="s">
        <v>4166</v>
      </c>
    </row>
    <row r="274" customFormat="false" ht="15" hidden="false" customHeight="false" outlineLevel="0" collapsed="false">
      <c r="A274" s="2" t="s">
        <v>1878</v>
      </c>
      <c r="B274" s="2" t="s">
        <v>4145</v>
      </c>
      <c r="C274" s="2" t="s">
        <v>45</v>
      </c>
      <c r="D274" s="2" t="s">
        <v>4146</v>
      </c>
      <c r="E274" s="2" t="s">
        <v>4142</v>
      </c>
    </row>
    <row r="275" customFormat="false" ht="15" hidden="false" customHeight="false" outlineLevel="0" collapsed="false">
      <c r="A275" s="2" t="s">
        <v>2861</v>
      </c>
      <c r="B275" s="2" t="s">
        <v>4145</v>
      </c>
      <c r="C275" s="2" t="s">
        <v>46</v>
      </c>
      <c r="D275" s="2" t="s">
        <v>662</v>
      </c>
      <c r="E275" s="2" t="s">
        <v>4164</v>
      </c>
    </row>
    <row r="276" customFormat="false" ht="15" hidden="false" customHeight="false" outlineLevel="0" collapsed="false">
      <c r="A276" s="2" t="s">
        <v>2609</v>
      </c>
      <c r="B276" s="2" t="s">
        <v>4145</v>
      </c>
      <c r="C276" s="2" t="s">
        <v>45</v>
      </c>
      <c r="D276" s="2" t="s">
        <v>662</v>
      </c>
      <c r="E276" s="2" t="s">
        <v>4188</v>
      </c>
    </row>
    <row r="277" customFormat="false" ht="15" hidden="false" customHeight="false" outlineLevel="0" collapsed="false">
      <c r="A277" s="2" t="s">
        <v>2609</v>
      </c>
      <c r="B277" s="2" t="s">
        <v>4145</v>
      </c>
      <c r="C277" s="2" t="s">
        <v>46</v>
      </c>
      <c r="D277" s="2" t="s">
        <v>4146</v>
      </c>
      <c r="E277" s="2" t="s">
        <v>4148</v>
      </c>
    </row>
    <row r="278" customFormat="false" ht="15" hidden="false" customHeight="false" outlineLevel="0" collapsed="false">
      <c r="A278" s="2" t="s">
        <v>2864</v>
      </c>
      <c r="B278" s="2" t="s">
        <v>4145</v>
      </c>
      <c r="C278" s="2" t="s">
        <v>46</v>
      </c>
      <c r="D278" s="2" t="s">
        <v>660</v>
      </c>
      <c r="E278" s="2" t="s">
        <v>4183</v>
      </c>
    </row>
    <row r="279" customFormat="false" ht="15" hidden="false" customHeight="false" outlineLevel="0" collapsed="false">
      <c r="A279" s="2" t="s">
        <v>2864</v>
      </c>
      <c r="B279" s="2" t="s">
        <v>4145</v>
      </c>
      <c r="C279" s="2" t="s">
        <v>47</v>
      </c>
      <c r="D279" s="2" t="s">
        <v>4146</v>
      </c>
      <c r="E279" s="2" t="s">
        <v>4148</v>
      </c>
    </row>
    <row r="280" customFormat="false" ht="15" hidden="false" customHeight="false" outlineLevel="0" collapsed="false">
      <c r="A280" s="2" t="s">
        <v>1240</v>
      </c>
      <c r="B280" s="2" t="s">
        <v>4145</v>
      </c>
      <c r="C280" s="2" t="s">
        <v>46</v>
      </c>
      <c r="D280" s="2" t="s">
        <v>662</v>
      </c>
      <c r="E280" s="2" t="s">
        <v>4164</v>
      </c>
    </row>
    <row r="281" customFormat="false" ht="15" hidden="false" customHeight="false" outlineLevel="0" collapsed="false">
      <c r="A281" s="2" t="s">
        <v>724</v>
      </c>
      <c r="B281" s="2" t="s">
        <v>4145</v>
      </c>
      <c r="C281" s="2" t="s">
        <v>46</v>
      </c>
      <c r="D281" s="2" t="s">
        <v>4146</v>
      </c>
      <c r="E281" s="2" t="s">
        <v>4141</v>
      </c>
    </row>
    <row r="282" customFormat="false" ht="15" hidden="false" customHeight="false" outlineLevel="0" collapsed="false">
      <c r="A282" s="2" t="s">
        <v>1277</v>
      </c>
      <c r="B282" s="2" t="s">
        <v>4145</v>
      </c>
      <c r="C282" s="2" t="s">
        <v>46</v>
      </c>
      <c r="D282" s="2" t="s">
        <v>662</v>
      </c>
      <c r="E282" s="2" t="s">
        <v>4164</v>
      </c>
    </row>
    <row r="283" customFormat="false" ht="15" hidden="false" customHeight="false" outlineLevel="0" collapsed="false">
      <c r="A283" s="2" t="s">
        <v>2437</v>
      </c>
      <c r="B283" s="2" t="s">
        <v>4145</v>
      </c>
      <c r="C283" s="2" t="s">
        <v>45</v>
      </c>
      <c r="D283" s="2" t="s">
        <v>4146</v>
      </c>
      <c r="E283" s="2" t="s">
        <v>4148</v>
      </c>
    </row>
    <row r="284" customFormat="false" ht="15" hidden="false" customHeight="false" outlineLevel="0" collapsed="false">
      <c r="A284" s="2" t="s">
        <v>2437</v>
      </c>
      <c r="B284" s="2" t="s">
        <v>4145</v>
      </c>
      <c r="C284" s="2" t="s">
        <v>46</v>
      </c>
      <c r="D284" s="2" t="s">
        <v>4193</v>
      </c>
      <c r="E284" s="2" t="s">
        <v>4224</v>
      </c>
    </row>
    <row r="285" customFormat="false" ht="15" hidden="false" customHeight="false" outlineLevel="0" collapsed="false">
      <c r="A285" s="2" t="s">
        <v>1152</v>
      </c>
      <c r="B285" s="2" t="s">
        <v>4145</v>
      </c>
      <c r="C285" s="2" t="s">
        <v>46</v>
      </c>
      <c r="D285" s="2" t="s">
        <v>661</v>
      </c>
      <c r="E285" s="2" t="s">
        <v>4176</v>
      </c>
    </row>
    <row r="286" customFormat="false" ht="15" hidden="false" customHeight="false" outlineLevel="0" collapsed="false">
      <c r="A286" s="2" t="s">
        <v>2267</v>
      </c>
      <c r="B286" s="2" t="s">
        <v>4145</v>
      </c>
      <c r="C286" s="2" t="s">
        <v>46</v>
      </c>
      <c r="D286" s="2" t="s">
        <v>4195</v>
      </c>
      <c r="E286" s="2" t="s">
        <v>4225</v>
      </c>
    </row>
    <row r="287" customFormat="false" ht="15" hidden="false" customHeight="false" outlineLevel="0" collapsed="false">
      <c r="A287" s="2" t="s">
        <v>1267</v>
      </c>
      <c r="B287" s="2" t="s">
        <v>4145</v>
      </c>
      <c r="C287" s="2" t="s">
        <v>46</v>
      </c>
      <c r="D287" s="2" t="s">
        <v>662</v>
      </c>
      <c r="E287" s="2" t="s">
        <v>4226</v>
      </c>
    </row>
    <row r="288" customFormat="false" ht="15" hidden="false" customHeight="false" outlineLevel="0" collapsed="false">
      <c r="A288" s="2" t="s">
        <v>1736</v>
      </c>
      <c r="B288" s="2" t="s">
        <v>4145</v>
      </c>
      <c r="C288" s="2" t="s">
        <v>45</v>
      </c>
      <c r="D288" s="2" t="s">
        <v>4197</v>
      </c>
      <c r="E288" s="2" t="s">
        <v>4198</v>
      </c>
    </row>
    <row r="289" customFormat="false" ht="15" hidden="false" customHeight="false" outlineLevel="0" collapsed="false">
      <c r="A289" s="2" t="s">
        <v>1736</v>
      </c>
      <c r="B289" s="2" t="s">
        <v>4145</v>
      </c>
      <c r="C289" s="2" t="s">
        <v>47</v>
      </c>
      <c r="D289" s="2" t="s">
        <v>4146</v>
      </c>
      <c r="E289" s="2" t="s">
        <v>4157</v>
      </c>
    </row>
    <row r="290" customFormat="false" ht="15" hidden="false" customHeight="false" outlineLevel="0" collapsed="false">
      <c r="A290" s="2" t="s">
        <v>2872</v>
      </c>
      <c r="B290" s="2" t="s">
        <v>4145</v>
      </c>
      <c r="C290" s="2" t="s">
        <v>47</v>
      </c>
      <c r="D290" s="2" t="s">
        <v>4146</v>
      </c>
      <c r="E290" s="2" t="s">
        <v>4135</v>
      </c>
    </row>
    <row r="291" customFormat="false" ht="15" hidden="false" customHeight="false" outlineLevel="0" collapsed="false">
      <c r="A291" s="2" t="s">
        <v>2403</v>
      </c>
      <c r="B291" s="2" t="s">
        <v>4145</v>
      </c>
      <c r="C291" s="2" t="s">
        <v>45</v>
      </c>
      <c r="D291" s="2" t="s">
        <v>4146</v>
      </c>
      <c r="E291" s="2" t="s">
        <v>4141</v>
      </c>
    </row>
    <row r="292" customFormat="false" ht="15" hidden="false" customHeight="false" outlineLevel="0" collapsed="false">
      <c r="A292" s="2" t="s">
        <v>2403</v>
      </c>
      <c r="B292" s="2" t="s">
        <v>4145</v>
      </c>
      <c r="C292" s="2" t="s">
        <v>46</v>
      </c>
      <c r="D292" s="2" t="s">
        <v>4146</v>
      </c>
      <c r="E292" s="2" t="s">
        <v>4141</v>
      </c>
    </row>
    <row r="293" customFormat="false" ht="15" hidden="false" customHeight="false" outlineLevel="0" collapsed="false">
      <c r="A293" s="2" t="s">
        <v>2685</v>
      </c>
      <c r="B293" s="2" t="s">
        <v>4145</v>
      </c>
      <c r="C293" s="2" t="s">
        <v>45</v>
      </c>
      <c r="D293" s="2" t="s">
        <v>4146</v>
      </c>
      <c r="E293" s="2" t="s">
        <v>4142</v>
      </c>
    </row>
    <row r="294" customFormat="false" ht="15" hidden="false" customHeight="false" outlineLevel="0" collapsed="false">
      <c r="A294" s="2" t="s">
        <v>2685</v>
      </c>
      <c r="B294" s="2" t="s">
        <v>4145</v>
      </c>
      <c r="C294" s="2" t="s">
        <v>46</v>
      </c>
      <c r="D294" s="2" t="s">
        <v>662</v>
      </c>
      <c r="E294" s="2" t="s">
        <v>4227</v>
      </c>
    </row>
    <row r="295" customFormat="false" ht="15" hidden="false" customHeight="false" outlineLevel="0" collapsed="false">
      <c r="A295" s="2" t="s">
        <v>2874</v>
      </c>
      <c r="B295" s="2" t="s">
        <v>4145</v>
      </c>
      <c r="C295" s="2" t="s">
        <v>45</v>
      </c>
      <c r="D295" s="2" t="s">
        <v>4197</v>
      </c>
      <c r="E295" s="2" t="s">
        <v>4198</v>
      </c>
    </row>
    <row r="296" customFormat="false" ht="15" hidden="false" customHeight="false" outlineLevel="0" collapsed="false">
      <c r="A296" s="2" t="s">
        <v>968</v>
      </c>
      <c r="B296" s="2" t="s">
        <v>4145</v>
      </c>
      <c r="C296" s="2" t="s">
        <v>46</v>
      </c>
      <c r="D296" s="2" t="s">
        <v>4146</v>
      </c>
      <c r="E296" s="2" t="s">
        <v>4142</v>
      </c>
    </row>
    <row r="297" customFormat="false" ht="15" hidden="false" customHeight="false" outlineLevel="0" collapsed="false">
      <c r="A297" s="2" t="s">
        <v>1622</v>
      </c>
      <c r="B297" s="2" t="s">
        <v>4145</v>
      </c>
      <c r="C297" s="2" t="s">
        <v>45</v>
      </c>
      <c r="D297" s="2" t="s">
        <v>661</v>
      </c>
      <c r="E297" s="2" t="s">
        <v>4152</v>
      </c>
    </row>
    <row r="298" customFormat="false" ht="15" hidden="false" customHeight="false" outlineLevel="0" collapsed="false">
      <c r="A298" s="2" t="s">
        <v>2663</v>
      </c>
      <c r="B298" s="2" t="s">
        <v>4145</v>
      </c>
      <c r="C298" s="2" t="s">
        <v>46</v>
      </c>
      <c r="D298" s="2" t="s">
        <v>662</v>
      </c>
      <c r="E298" s="2" t="s">
        <v>4179</v>
      </c>
    </row>
    <row r="299" customFormat="false" ht="15" hidden="false" customHeight="false" outlineLevel="0" collapsed="false">
      <c r="A299" s="2" t="s">
        <v>2877</v>
      </c>
      <c r="B299" s="2" t="s">
        <v>4145</v>
      </c>
      <c r="C299" s="2" t="s">
        <v>45</v>
      </c>
      <c r="D299" s="2" t="s">
        <v>4146</v>
      </c>
      <c r="E299" s="2" t="s">
        <v>4141</v>
      </c>
    </row>
    <row r="300" customFormat="false" ht="15" hidden="false" customHeight="false" outlineLevel="0" collapsed="false">
      <c r="A300" s="2" t="s">
        <v>2877</v>
      </c>
      <c r="B300" s="2" t="s">
        <v>4145</v>
      </c>
      <c r="C300" s="2" t="s">
        <v>46</v>
      </c>
      <c r="D300" s="2" t="s">
        <v>4146</v>
      </c>
      <c r="E300" s="2" t="s">
        <v>4142</v>
      </c>
    </row>
    <row r="301" customFormat="false" ht="15" hidden="false" customHeight="false" outlineLevel="0" collapsed="false">
      <c r="A301" s="2" t="s">
        <v>2571</v>
      </c>
      <c r="B301" s="2" t="s">
        <v>4145</v>
      </c>
      <c r="C301" s="2" t="s">
        <v>45</v>
      </c>
      <c r="D301" s="2" t="s">
        <v>4146</v>
      </c>
      <c r="E301" s="2" t="s">
        <v>4139</v>
      </c>
    </row>
    <row r="302" customFormat="false" ht="15" hidden="false" customHeight="false" outlineLevel="0" collapsed="false">
      <c r="A302" s="2" t="s">
        <v>2571</v>
      </c>
      <c r="B302" s="2" t="s">
        <v>4145</v>
      </c>
      <c r="C302" s="2" t="s">
        <v>46</v>
      </c>
      <c r="D302" s="2" t="s">
        <v>4146</v>
      </c>
      <c r="E302" s="2" t="s">
        <v>4142</v>
      </c>
    </row>
    <row r="303" customFormat="false" ht="15" hidden="false" customHeight="false" outlineLevel="0" collapsed="false">
      <c r="A303" s="2" t="s">
        <v>1466</v>
      </c>
      <c r="B303" s="2" t="s">
        <v>4145</v>
      </c>
      <c r="C303" s="2" t="s">
        <v>45</v>
      </c>
      <c r="D303" s="2" t="s">
        <v>662</v>
      </c>
      <c r="E303" s="2" t="s">
        <v>4186</v>
      </c>
    </row>
    <row r="304" customFormat="false" ht="15" hidden="false" customHeight="false" outlineLevel="0" collapsed="false">
      <c r="A304" s="2" t="s">
        <v>1466</v>
      </c>
      <c r="B304" s="2" t="s">
        <v>4145</v>
      </c>
      <c r="C304" s="2" t="s">
        <v>47</v>
      </c>
      <c r="D304" s="2" t="s">
        <v>4146</v>
      </c>
      <c r="E304" s="2" t="s">
        <v>4135</v>
      </c>
    </row>
    <row r="305" customFormat="false" ht="15" hidden="false" customHeight="false" outlineLevel="0" collapsed="false">
      <c r="A305" s="2" t="s">
        <v>1825</v>
      </c>
      <c r="B305" s="2" t="s">
        <v>4145</v>
      </c>
      <c r="C305" s="2" t="s">
        <v>45</v>
      </c>
      <c r="D305" s="2" t="s">
        <v>662</v>
      </c>
      <c r="E305" s="2" t="s">
        <v>4179</v>
      </c>
    </row>
    <row r="306" customFormat="false" ht="15" hidden="false" customHeight="false" outlineLevel="0" collapsed="false">
      <c r="A306" s="2" t="s">
        <v>1825</v>
      </c>
      <c r="B306" s="2" t="s">
        <v>4145</v>
      </c>
      <c r="C306" s="2" t="s">
        <v>47</v>
      </c>
      <c r="D306" s="2" t="s">
        <v>660</v>
      </c>
      <c r="E306" s="2" t="s">
        <v>4160</v>
      </c>
    </row>
    <row r="307" customFormat="false" ht="15" hidden="false" customHeight="false" outlineLevel="0" collapsed="false">
      <c r="A307" s="2" t="s">
        <v>918</v>
      </c>
      <c r="B307" s="2" t="s">
        <v>4145</v>
      </c>
      <c r="C307" s="2" t="s">
        <v>47</v>
      </c>
      <c r="D307" s="2" t="s">
        <v>4146</v>
      </c>
      <c r="E307" s="2" t="s">
        <v>4148</v>
      </c>
    </row>
    <row r="308" customFormat="false" ht="15" hidden="false" customHeight="false" outlineLevel="0" collapsed="false">
      <c r="A308" s="2" t="s">
        <v>2239</v>
      </c>
      <c r="B308" s="2" t="s">
        <v>4145</v>
      </c>
      <c r="C308" s="2" t="s">
        <v>45</v>
      </c>
      <c r="D308" s="2" t="s">
        <v>4146</v>
      </c>
      <c r="E308" s="2" t="s">
        <v>4148</v>
      </c>
    </row>
    <row r="309" customFormat="false" ht="15" hidden="false" customHeight="false" outlineLevel="0" collapsed="false">
      <c r="A309" s="2" t="s">
        <v>2239</v>
      </c>
      <c r="B309" s="2" t="s">
        <v>4145</v>
      </c>
      <c r="C309" s="2" t="s">
        <v>46</v>
      </c>
      <c r="D309" s="2" t="s">
        <v>662</v>
      </c>
      <c r="E309" s="2" t="s">
        <v>4164</v>
      </c>
    </row>
    <row r="310" customFormat="false" ht="15" hidden="false" customHeight="false" outlineLevel="0" collapsed="false">
      <c r="A310" s="2" t="s">
        <v>2161</v>
      </c>
      <c r="B310" s="2" t="s">
        <v>4145</v>
      </c>
      <c r="C310" s="2" t="s">
        <v>45</v>
      </c>
      <c r="D310" s="2" t="s">
        <v>4146</v>
      </c>
      <c r="E310" s="2" t="s">
        <v>4148</v>
      </c>
    </row>
    <row r="311" customFormat="false" ht="15" hidden="false" customHeight="false" outlineLevel="0" collapsed="false">
      <c r="A311" s="2" t="s">
        <v>2161</v>
      </c>
      <c r="B311" s="2" t="s">
        <v>4145</v>
      </c>
      <c r="C311" s="2" t="s">
        <v>46</v>
      </c>
      <c r="D311" s="2" t="s">
        <v>4150</v>
      </c>
      <c r="E311" s="2" t="s">
        <v>4228</v>
      </c>
    </row>
    <row r="312" customFormat="false" ht="15" hidden="false" customHeight="false" outlineLevel="0" collapsed="false">
      <c r="A312" s="2" t="s">
        <v>1126</v>
      </c>
      <c r="B312" s="2" t="s">
        <v>4145</v>
      </c>
      <c r="C312" s="2" t="s">
        <v>46</v>
      </c>
      <c r="D312" s="2" t="s">
        <v>4146</v>
      </c>
      <c r="E312" s="2" t="s">
        <v>4142</v>
      </c>
    </row>
    <row r="313" customFormat="false" ht="15" hidden="false" customHeight="false" outlineLevel="0" collapsed="false">
      <c r="A313" s="2" t="s">
        <v>1849</v>
      </c>
      <c r="B313" s="2" t="s">
        <v>4145</v>
      </c>
      <c r="C313" s="2" t="s">
        <v>45</v>
      </c>
      <c r="D313" s="2" t="s">
        <v>4197</v>
      </c>
      <c r="E313" s="2" t="s">
        <v>4198</v>
      </c>
    </row>
    <row r="314" customFormat="false" ht="15" hidden="false" customHeight="false" outlineLevel="0" collapsed="false">
      <c r="A314" s="2" t="s">
        <v>2883</v>
      </c>
      <c r="B314" s="2" t="s">
        <v>4145</v>
      </c>
      <c r="C314" s="2" t="s">
        <v>47</v>
      </c>
      <c r="D314" s="2" t="s">
        <v>4146</v>
      </c>
      <c r="E314" s="2" t="s">
        <v>4135</v>
      </c>
    </row>
    <row r="315" customFormat="false" ht="15" hidden="false" customHeight="false" outlineLevel="0" collapsed="false">
      <c r="A315" s="2" t="s">
        <v>2884</v>
      </c>
      <c r="B315" s="2" t="s">
        <v>4145</v>
      </c>
      <c r="C315" s="2" t="s">
        <v>47</v>
      </c>
      <c r="D315" s="2" t="s">
        <v>4146</v>
      </c>
      <c r="E315" s="2" t="s">
        <v>4135</v>
      </c>
    </row>
    <row r="316" customFormat="false" ht="15" hidden="false" customHeight="false" outlineLevel="0" collapsed="false">
      <c r="A316" s="2" t="s">
        <v>1075</v>
      </c>
      <c r="B316" s="2" t="s">
        <v>4145</v>
      </c>
      <c r="C316" s="2" t="s">
        <v>46</v>
      </c>
      <c r="D316" s="2" t="s">
        <v>662</v>
      </c>
      <c r="E316" s="2" t="s">
        <v>4164</v>
      </c>
    </row>
    <row r="317" customFormat="false" ht="15" hidden="false" customHeight="false" outlineLevel="0" collapsed="false">
      <c r="A317" s="2" t="s">
        <v>1485</v>
      </c>
      <c r="B317" s="2" t="s">
        <v>4145</v>
      </c>
      <c r="C317" s="2" t="s">
        <v>45</v>
      </c>
      <c r="D317" s="2" t="s">
        <v>4146</v>
      </c>
      <c r="E317" s="2" t="s">
        <v>4148</v>
      </c>
    </row>
    <row r="318" customFormat="false" ht="15" hidden="false" customHeight="false" outlineLevel="0" collapsed="false">
      <c r="A318" s="2" t="s">
        <v>2430</v>
      </c>
      <c r="B318" s="2" t="s">
        <v>4145</v>
      </c>
      <c r="C318" s="2" t="s">
        <v>46</v>
      </c>
      <c r="D318" s="2" t="s">
        <v>661</v>
      </c>
      <c r="E318" s="2" t="s">
        <v>4152</v>
      </c>
    </row>
    <row r="319" customFormat="false" ht="15" hidden="false" customHeight="false" outlineLevel="0" collapsed="false">
      <c r="A319" s="2" t="s">
        <v>2887</v>
      </c>
      <c r="B319" s="2" t="s">
        <v>4145</v>
      </c>
      <c r="C319" s="2" t="s">
        <v>46</v>
      </c>
      <c r="D319" s="2" t="s">
        <v>4193</v>
      </c>
      <c r="E319" s="2" t="s">
        <v>4229</v>
      </c>
    </row>
    <row r="320" customFormat="false" ht="15" hidden="false" customHeight="false" outlineLevel="0" collapsed="false">
      <c r="A320" s="2" t="s">
        <v>984</v>
      </c>
      <c r="B320" s="2" t="s">
        <v>4145</v>
      </c>
      <c r="C320" s="2" t="s">
        <v>47</v>
      </c>
      <c r="D320" s="2" t="s">
        <v>4197</v>
      </c>
      <c r="E320" s="2" t="s">
        <v>4198</v>
      </c>
    </row>
    <row r="321" customFormat="false" ht="15" hidden="false" customHeight="false" outlineLevel="0" collapsed="false">
      <c r="A321" s="2" t="s">
        <v>735</v>
      </c>
      <c r="B321" s="2" t="s">
        <v>4145</v>
      </c>
      <c r="C321" s="2" t="s">
        <v>46</v>
      </c>
      <c r="D321" s="2" t="s">
        <v>662</v>
      </c>
      <c r="E321" s="2" t="s">
        <v>4171</v>
      </c>
    </row>
    <row r="322" customFormat="false" ht="15" hidden="false" customHeight="false" outlineLevel="0" collapsed="false">
      <c r="A322" s="2" t="s">
        <v>2890</v>
      </c>
      <c r="B322" s="2" t="s">
        <v>4145</v>
      </c>
      <c r="C322" s="2" t="s">
        <v>45</v>
      </c>
      <c r="D322" s="2" t="s">
        <v>4146</v>
      </c>
      <c r="E322" s="2" t="s">
        <v>4148</v>
      </c>
    </row>
    <row r="323" customFormat="false" ht="15" hidden="false" customHeight="false" outlineLevel="0" collapsed="false">
      <c r="A323" s="2" t="s">
        <v>2890</v>
      </c>
      <c r="B323" s="2" t="s">
        <v>4145</v>
      </c>
      <c r="C323" s="2" t="s">
        <v>46</v>
      </c>
      <c r="D323" s="2" t="s">
        <v>4146</v>
      </c>
      <c r="E323" s="2" t="s">
        <v>4142</v>
      </c>
    </row>
    <row r="324" customFormat="false" ht="15" hidden="false" customHeight="false" outlineLevel="0" collapsed="false">
      <c r="A324" s="2" t="s">
        <v>2890</v>
      </c>
      <c r="B324" s="2" t="s">
        <v>4145</v>
      </c>
      <c r="C324" s="2" t="s">
        <v>47</v>
      </c>
      <c r="D324" s="2" t="s">
        <v>662</v>
      </c>
      <c r="E324" s="2" t="s">
        <v>4186</v>
      </c>
    </row>
    <row r="325" customFormat="false" ht="15" hidden="false" customHeight="false" outlineLevel="0" collapsed="false">
      <c r="A325" s="2" t="s">
        <v>979</v>
      </c>
      <c r="B325" s="2" t="s">
        <v>4145</v>
      </c>
      <c r="C325" s="2" t="s">
        <v>46</v>
      </c>
      <c r="D325" s="2" t="s">
        <v>4153</v>
      </c>
      <c r="E325" s="2" t="s">
        <v>4230</v>
      </c>
    </row>
    <row r="326" customFormat="false" ht="15" hidden="false" customHeight="false" outlineLevel="0" collapsed="false">
      <c r="A326" s="2" t="s">
        <v>1846</v>
      </c>
      <c r="B326" s="2" t="s">
        <v>4145</v>
      </c>
      <c r="C326" s="2" t="s">
        <v>45</v>
      </c>
      <c r="D326" s="2" t="s">
        <v>662</v>
      </c>
      <c r="E326" s="2" t="s">
        <v>4185</v>
      </c>
    </row>
    <row r="327" customFormat="false" ht="15" hidden="false" customHeight="false" outlineLevel="0" collapsed="false">
      <c r="A327" s="2" t="s">
        <v>676</v>
      </c>
      <c r="B327" s="2" t="s">
        <v>4145</v>
      </c>
      <c r="C327" s="2" t="s">
        <v>46</v>
      </c>
      <c r="D327" s="2" t="s">
        <v>4146</v>
      </c>
      <c r="E327" s="2" t="s">
        <v>4141</v>
      </c>
    </row>
    <row r="328" customFormat="false" ht="15" hidden="false" customHeight="false" outlineLevel="0" collapsed="false">
      <c r="A328" s="2" t="s">
        <v>805</v>
      </c>
      <c r="B328" s="2" t="s">
        <v>4145</v>
      </c>
      <c r="C328" s="2" t="s">
        <v>46</v>
      </c>
      <c r="D328" s="2" t="s">
        <v>4146</v>
      </c>
      <c r="E328" s="2" t="s">
        <v>4142</v>
      </c>
    </row>
    <row r="329" customFormat="false" ht="15" hidden="false" customHeight="false" outlineLevel="0" collapsed="false">
      <c r="A329" s="2" t="s">
        <v>2894</v>
      </c>
      <c r="B329" s="2" t="s">
        <v>4145</v>
      </c>
      <c r="C329" s="2" t="s">
        <v>45</v>
      </c>
      <c r="D329" s="2" t="s">
        <v>4193</v>
      </c>
      <c r="E329" s="2" t="s">
        <v>4231</v>
      </c>
    </row>
    <row r="330" customFormat="false" ht="15" hidden="false" customHeight="false" outlineLevel="0" collapsed="false">
      <c r="A330" s="2" t="s">
        <v>2894</v>
      </c>
      <c r="B330" s="2" t="s">
        <v>4145</v>
      </c>
      <c r="C330" s="2" t="s">
        <v>46</v>
      </c>
      <c r="D330" s="2" t="s">
        <v>4193</v>
      </c>
      <c r="E330" s="2" t="s">
        <v>4232</v>
      </c>
    </row>
    <row r="331" customFormat="false" ht="15" hidden="false" customHeight="false" outlineLevel="0" collapsed="false">
      <c r="A331" s="2" t="s">
        <v>2894</v>
      </c>
      <c r="B331" s="2" t="s">
        <v>4145</v>
      </c>
      <c r="C331" s="2" t="s">
        <v>47</v>
      </c>
      <c r="D331" s="2" t="s">
        <v>4146</v>
      </c>
      <c r="E331" s="2" t="s">
        <v>4143</v>
      </c>
    </row>
    <row r="332" customFormat="false" ht="15" hidden="false" customHeight="false" outlineLevel="0" collapsed="false">
      <c r="A332" s="2" t="s">
        <v>2897</v>
      </c>
      <c r="B332" s="2" t="s">
        <v>4145</v>
      </c>
      <c r="C332" s="2" t="s">
        <v>45</v>
      </c>
      <c r="D332" s="2" t="s">
        <v>4146</v>
      </c>
      <c r="E332" s="2" t="s">
        <v>4142</v>
      </c>
    </row>
    <row r="333" customFormat="false" ht="15" hidden="false" customHeight="false" outlineLevel="0" collapsed="false">
      <c r="A333" s="2" t="s">
        <v>1430</v>
      </c>
      <c r="B333" s="2" t="s">
        <v>4145</v>
      </c>
      <c r="C333" s="2" t="s">
        <v>45</v>
      </c>
      <c r="D333" s="2" t="s">
        <v>4180</v>
      </c>
      <c r="E333" s="2" t="s">
        <v>4181</v>
      </c>
    </row>
    <row r="334" customFormat="false" ht="15" hidden="false" customHeight="false" outlineLevel="0" collapsed="false">
      <c r="A334" s="2" t="s">
        <v>1430</v>
      </c>
      <c r="B334" s="2" t="s">
        <v>4145</v>
      </c>
      <c r="C334" s="2" t="s">
        <v>47</v>
      </c>
      <c r="D334" s="2" t="s">
        <v>660</v>
      </c>
      <c r="E334" s="2" t="s">
        <v>4183</v>
      </c>
    </row>
    <row r="335" customFormat="false" ht="15" hidden="false" customHeight="false" outlineLevel="0" collapsed="false">
      <c r="A335" s="2" t="s">
        <v>2900</v>
      </c>
      <c r="B335" s="2" t="s">
        <v>4145</v>
      </c>
      <c r="C335" s="2" t="s">
        <v>46</v>
      </c>
      <c r="D335" s="2" t="s">
        <v>4150</v>
      </c>
      <c r="E335" s="2" t="s">
        <v>4228</v>
      </c>
    </row>
    <row r="336" customFormat="false" ht="15" hidden="false" customHeight="false" outlineLevel="0" collapsed="false">
      <c r="A336" s="2" t="s">
        <v>1770</v>
      </c>
      <c r="B336" s="2" t="s">
        <v>4145</v>
      </c>
      <c r="C336" s="2" t="s">
        <v>45</v>
      </c>
      <c r="D336" s="2" t="s">
        <v>4146</v>
      </c>
      <c r="E336" s="2" t="s">
        <v>4143</v>
      </c>
    </row>
    <row r="337" customFormat="false" ht="15" hidden="false" customHeight="false" outlineLevel="0" collapsed="false">
      <c r="A337" s="2" t="s">
        <v>2902</v>
      </c>
      <c r="B337" s="2" t="s">
        <v>4145</v>
      </c>
      <c r="C337" s="2" t="s">
        <v>46</v>
      </c>
      <c r="D337" s="2" t="s">
        <v>661</v>
      </c>
      <c r="E337" s="2" t="s">
        <v>4152</v>
      </c>
    </row>
    <row r="338" customFormat="false" ht="15" hidden="false" customHeight="false" outlineLevel="0" collapsed="false">
      <c r="A338" s="2" t="s">
        <v>1391</v>
      </c>
      <c r="B338" s="2" t="s">
        <v>4145</v>
      </c>
      <c r="C338" s="2" t="s">
        <v>45</v>
      </c>
      <c r="D338" s="2" t="s">
        <v>4180</v>
      </c>
      <c r="E338" s="2" t="s">
        <v>4181</v>
      </c>
    </row>
    <row r="339" customFormat="false" ht="15" hidden="false" customHeight="false" outlineLevel="0" collapsed="false">
      <c r="A339" s="2" t="s">
        <v>2123</v>
      </c>
      <c r="B339" s="2" t="s">
        <v>4145</v>
      </c>
      <c r="C339" s="2" t="s">
        <v>45</v>
      </c>
      <c r="D339" s="2" t="s">
        <v>662</v>
      </c>
      <c r="E339" s="2" t="s">
        <v>4233</v>
      </c>
    </row>
    <row r="340" customFormat="false" ht="15" hidden="false" customHeight="false" outlineLevel="0" collapsed="false">
      <c r="A340" s="2" t="s">
        <v>2123</v>
      </c>
      <c r="B340" s="2" t="s">
        <v>4145</v>
      </c>
      <c r="C340" s="2" t="s">
        <v>46</v>
      </c>
      <c r="D340" s="2" t="s">
        <v>4150</v>
      </c>
      <c r="E340" s="2" t="s">
        <v>4234</v>
      </c>
    </row>
    <row r="341" customFormat="false" ht="15" hidden="false" customHeight="false" outlineLevel="0" collapsed="false">
      <c r="A341" s="2" t="s">
        <v>858</v>
      </c>
      <c r="B341" s="2" t="s">
        <v>4145</v>
      </c>
      <c r="C341" s="2" t="s">
        <v>46</v>
      </c>
      <c r="D341" s="2" t="s">
        <v>4180</v>
      </c>
      <c r="E341" s="2" t="s">
        <v>4181</v>
      </c>
    </row>
    <row r="342" customFormat="false" ht="15" hidden="false" customHeight="false" outlineLevel="0" collapsed="false">
      <c r="A342" s="2" t="s">
        <v>2669</v>
      </c>
      <c r="B342" s="2" t="s">
        <v>4145</v>
      </c>
      <c r="C342" s="2" t="s">
        <v>45</v>
      </c>
      <c r="D342" s="2" t="s">
        <v>661</v>
      </c>
      <c r="E342" s="2" t="s">
        <v>4152</v>
      </c>
    </row>
    <row r="343" customFormat="false" ht="15" hidden="false" customHeight="false" outlineLevel="0" collapsed="false">
      <c r="A343" s="2" t="s">
        <v>2669</v>
      </c>
      <c r="B343" s="2" t="s">
        <v>4145</v>
      </c>
      <c r="C343" s="2" t="s">
        <v>46</v>
      </c>
      <c r="D343" s="2" t="s">
        <v>662</v>
      </c>
      <c r="E343" s="2" t="s">
        <v>4164</v>
      </c>
    </row>
    <row r="344" customFormat="false" ht="15" hidden="false" customHeight="false" outlineLevel="0" collapsed="false">
      <c r="A344" s="2" t="s">
        <v>1666</v>
      </c>
      <c r="B344" s="2" t="s">
        <v>4145</v>
      </c>
      <c r="C344" s="2" t="s">
        <v>45</v>
      </c>
      <c r="D344" s="2" t="s">
        <v>662</v>
      </c>
      <c r="E344" s="2" t="s">
        <v>4227</v>
      </c>
    </row>
    <row r="345" customFormat="false" ht="15" hidden="false" customHeight="false" outlineLevel="0" collapsed="false">
      <c r="A345" s="2" t="s">
        <v>1304</v>
      </c>
      <c r="B345" s="2" t="s">
        <v>4145</v>
      </c>
      <c r="C345" s="2" t="s">
        <v>46</v>
      </c>
      <c r="D345" s="2" t="s">
        <v>662</v>
      </c>
      <c r="E345" s="2" t="s">
        <v>4149</v>
      </c>
    </row>
    <row r="346" customFormat="false" ht="15" hidden="false" customHeight="false" outlineLevel="0" collapsed="false">
      <c r="A346" s="2" t="s">
        <v>714</v>
      </c>
      <c r="B346" s="2" t="s">
        <v>4145</v>
      </c>
      <c r="C346" s="2" t="s">
        <v>46</v>
      </c>
      <c r="D346" s="2" t="s">
        <v>4153</v>
      </c>
      <c r="E346" s="2" t="s">
        <v>4235</v>
      </c>
    </row>
    <row r="347" customFormat="false" ht="15" hidden="false" customHeight="false" outlineLevel="0" collapsed="false">
      <c r="A347" s="2" t="s">
        <v>714</v>
      </c>
      <c r="B347" s="2" t="s">
        <v>4145</v>
      </c>
      <c r="C347" s="2" t="s">
        <v>47</v>
      </c>
      <c r="D347" s="2" t="s">
        <v>662</v>
      </c>
      <c r="E347" s="2" t="s">
        <v>4236</v>
      </c>
    </row>
    <row r="348" customFormat="false" ht="15" hidden="false" customHeight="false" outlineLevel="0" collapsed="false">
      <c r="A348" s="2" t="s">
        <v>2155</v>
      </c>
      <c r="B348" s="2" t="s">
        <v>4145</v>
      </c>
      <c r="C348" s="2" t="s">
        <v>45</v>
      </c>
      <c r="D348" s="2" t="s">
        <v>662</v>
      </c>
      <c r="E348" s="2" t="s">
        <v>4178</v>
      </c>
    </row>
    <row r="349" customFormat="false" ht="15" hidden="false" customHeight="false" outlineLevel="0" collapsed="false">
      <c r="A349" s="2" t="s">
        <v>2155</v>
      </c>
      <c r="B349" s="2" t="s">
        <v>4145</v>
      </c>
      <c r="C349" s="2" t="s">
        <v>46</v>
      </c>
      <c r="D349" s="2" t="s">
        <v>662</v>
      </c>
      <c r="E349" s="2" t="s">
        <v>4179</v>
      </c>
    </row>
    <row r="350" customFormat="false" ht="15" hidden="false" customHeight="false" outlineLevel="0" collapsed="false">
      <c r="A350" s="2" t="s">
        <v>900</v>
      </c>
      <c r="B350" s="2" t="s">
        <v>4145</v>
      </c>
      <c r="C350" s="2" t="s">
        <v>46</v>
      </c>
      <c r="D350" s="2" t="s">
        <v>662</v>
      </c>
      <c r="E350" s="2" t="s">
        <v>4188</v>
      </c>
    </row>
    <row r="351" customFormat="false" ht="15" hidden="false" customHeight="false" outlineLevel="0" collapsed="false">
      <c r="A351" s="2" t="s">
        <v>1645</v>
      </c>
      <c r="B351" s="2" t="s">
        <v>4145</v>
      </c>
      <c r="C351" s="2" t="s">
        <v>45</v>
      </c>
      <c r="D351" s="2" t="s">
        <v>662</v>
      </c>
      <c r="E351" s="2" t="s">
        <v>4170</v>
      </c>
    </row>
    <row r="352" customFormat="false" ht="15" hidden="false" customHeight="false" outlineLevel="0" collapsed="false">
      <c r="A352" s="2" t="s">
        <v>1384</v>
      </c>
      <c r="B352" s="2" t="s">
        <v>4145</v>
      </c>
      <c r="C352" s="2" t="s">
        <v>45</v>
      </c>
      <c r="D352" s="2" t="s">
        <v>4146</v>
      </c>
      <c r="E352" s="2" t="s">
        <v>4148</v>
      </c>
    </row>
    <row r="353" customFormat="false" ht="15" hidden="false" customHeight="false" outlineLevel="0" collapsed="false">
      <c r="A353" s="2" t="s">
        <v>2918</v>
      </c>
      <c r="B353" s="2" t="s">
        <v>4145</v>
      </c>
      <c r="C353" s="2" t="s">
        <v>45</v>
      </c>
      <c r="D353" s="2" t="s">
        <v>4193</v>
      </c>
      <c r="E353" s="2" t="s">
        <v>4237</v>
      </c>
    </row>
    <row r="354" customFormat="false" ht="15" hidden="false" customHeight="false" outlineLevel="0" collapsed="false">
      <c r="A354" s="2" t="s">
        <v>2920</v>
      </c>
      <c r="B354" s="2" t="s">
        <v>4145</v>
      </c>
      <c r="C354" s="2" t="s">
        <v>45</v>
      </c>
      <c r="D354" s="2" t="s">
        <v>662</v>
      </c>
      <c r="E354" s="2" t="s">
        <v>4164</v>
      </c>
    </row>
    <row r="355" customFormat="false" ht="15" hidden="false" customHeight="false" outlineLevel="0" collapsed="false">
      <c r="A355" s="2" t="s">
        <v>2920</v>
      </c>
      <c r="B355" s="2" t="s">
        <v>4145</v>
      </c>
      <c r="C355" s="2" t="s">
        <v>47</v>
      </c>
      <c r="D355" s="2" t="s">
        <v>4146</v>
      </c>
      <c r="E355" s="2" t="s">
        <v>4139</v>
      </c>
    </row>
    <row r="356" customFormat="false" ht="15" hidden="false" customHeight="false" outlineLevel="0" collapsed="false">
      <c r="A356" s="2" t="s">
        <v>2922</v>
      </c>
      <c r="B356" s="2" t="s">
        <v>4145</v>
      </c>
      <c r="C356" s="2" t="s">
        <v>46</v>
      </c>
      <c r="D356" s="2" t="s">
        <v>4146</v>
      </c>
      <c r="E356" s="2" t="s">
        <v>4141</v>
      </c>
    </row>
    <row r="357" customFormat="false" ht="15" hidden="false" customHeight="false" outlineLevel="0" collapsed="false">
      <c r="A357" s="2" t="s">
        <v>2922</v>
      </c>
      <c r="B357" s="2" t="s">
        <v>4145</v>
      </c>
      <c r="C357" s="2" t="s">
        <v>47</v>
      </c>
      <c r="D357" s="2" t="s">
        <v>4180</v>
      </c>
      <c r="E357" s="2" t="s">
        <v>4238</v>
      </c>
    </row>
    <row r="358" customFormat="false" ht="15" hidden="false" customHeight="false" outlineLevel="0" collapsed="false">
      <c r="A358" s="2" t="s">
        <v>1692</v>
      </c>
      <c r="B358" s="2" t="s">
        <v>4145</v>
      </c>
      <c r="C358" s="2" t="s">
        <v>45</v>
      </c>
      <c r="D358" s="2" t="s">
        <v>662</v>
      </c>
      <c r="E358" s="2" t="s">
        <v>4239</v>
      </c>
    </row>
    <row r="359" customFormat="false" ht="15" hidden="false" customHeight="false" outlineLevel="0" collapsed="false">
      <c r="A359" s="2" t="s">
        <v>1692</v>
      </c>
      <c r="B359" s="2" t="s">
        <v>4145</v>
      </c>
      <c r="C359" s="2" t="s">
        <v>47</v>
      </c>
      <c r="D359" s="2" t="s">
        <v>4146</v>
      </c>
      <c r="E359" s="2" t="s">
        <v>4148</v>
      </c>
    </row>
    <row r="360" customFormat="false" ht="15" hidden="false" customHeight="false" outlineLevel="0" collapsed="false">
      <c r="A360" s="2" t="s">
        <v>1409</v>
      </c>
      <c r="B360" s="2" t="s">
        <v>4145</v>
      </c>
      <c r="C360" s="2" t="s">
        <v>45</v>
      </c>
      <c r="D360" s="2" t="s">
        <v>661</v>
      </c>
      <c r="E360" s="2" t="s">
        <v>4152</v>
      </c>
    </row>
    <row r="361" customFormat="false" ht="15" hidden="false" customHeight="false" outlineLevel="0" collapsed="false">
      <c r="A361" s="2" t="s">
        <v>2209</v>
      </c>
      <c r="B361" s="2" t="s">
        <v>4145</v>
      </c>
      <c r="C361" s="2" t="s">
        <v>45</v>
      </c>
      <c r="D361" s="2" t="s">
        <v>4146</v>
      </c>
      <c r="E361" s="2" t="s">
        <v>4135</v>
      </c>
    </row>
    <row r="362" customFormat="false" ht="15" hidden="false" customHeight="false" outlineLevel="0" collapsed="false">
      <c r="A362" s="2" t="s">
        <v>2209</v>
      </c>
      <c r="B362" s="2" t="s">
        <v>4145</v>
      </c>
      <c r="C362" s="2" t="s">
        <v>46</v>
      </c>
      <c r="D362" s="2" t="s">
        <v>4153</v>
      </c>
      <c r="E362" s="2" t="s">
        <v>4230</v>
      </c>
    </row>
    <row r="363" customFormat="false" ht="15" hidden="false" customHeight="false" outlineLevel="0" collapsed="false">
      <c r="A363" s="2" t="s">
        <v>2927</v>
      </c>
      <c r="B363" s="2" t="s">
        <v>4145</v>
      </c>
      <c r="C363" s="2" t="s">
        <v>46</v>
      </c>
      <c r="D363" s="2" t="s">
        <v>662</v>
      </c>
      <c r="E363" s="2" t="s">
        <v>4164</v>
      </c>
    </row>
    <row r="364" customFormat="false" ht="15" hidden="false" customHeight="false" outlineLevel="0" collapsed="false">
      <c r="A364" s="2" t="s">
        <v>2017</v>
      </c>
      <c r="B364" s="2" t="s">
        <v>4145</v>
      </c>
      <c r="C364" s="2" t="s">
        <v>45</v>
      </c>
      <c r="D364" s="2" t="s">
        <v>4146</v>
      </c>
      <c r="E364" s="2" t="s">
        <v>4143</v>
      </c>
    </row>
    <row r="365" customFormat="false" ht="15" hidden="false" customHeight="false" outlineLevel="0" collapsed="false">
      <c r="A365" s="2" t="s">
        <v>2213</v>
      </c>
      <c r="B365" s="2" t="s">
        <v>4145</v>
      </c>
      <c r="C365" s="2" t="s">
        <v>45</v>
      </c>
      <c r="D365" s="2" t="s">
        <v>4146</v>
      </c>
      <c r="E365" s="2" t="s">
        <v>4140</v>
      </c>
    </row>
    <row r="366" customFormat="false" ht="15" hidden="false" customHeight="false" outlineLevel="0" collapsed="false">
      <c r="A366" s="2" t="s">
        <v>2213</v>
      </c>
      <c r="B366" s="2" t="s">
        <v>4145</v>
      </c>
      <c r="C366" s="2" t="s">
        <v>46</v>
      </c>
      <c r="D366" s="2" t="s">
        <v>4146</v>
      </c>
      <c r="E366" s="2" t="s">
        <v>4141</v>
      </c>
    </row>
    <row r="367" customFormat="false" ht="15" hidden="false" customHeight="false" outlineLevel="0" collapsed="false">
      <c r="A367" s="2" t="s">
        <v>1929</v>
      </c>
      <c r="B367" s="2" t="s">
        <v>4145</v>
      </c>
      <c r="C367" s="2" t="s">
        <v>45</v>
      </c>
      <c r="D367" s="2" t="s">
        <v>662</v>
      </c>
      <c r="E367" s="2" t="s">
        <v>4164</v>
      </c>
    </row>
    <row r="368" customFormat="false" ht="15" hidden="false" customHeight="false" outlineLevel="0" collapsed="false">
      <c r="A368" s="2" t="s">
        <v>830</v>
      </c>
      <c r="B368" s="2" t="s">
        <v>4145</v>
      </c>
      <c r="C368" s="2" t="s">
        <v>46</v>
      </c>
      <c r="D368" s="2" t="s">
        <v>4195</v>
      </c>
      <c r="E368" s="2" t="s">
        <v>4240</v>
      </c>
    </row>
    <row r="369" customFormat="false" ht="15" hidden="false" customHeight="false" outlineLevel="0" collapsed="false">
      <c r="A369" s="2" t="s">
        <v>830</v>
      </c>
      <c r="B369" s="2" t="s">
        <v>4145</v>
      </c>
      <c r="C369" s="2" t="s">
        <v>47</v>
      </c>
      <c r="D369" s="2" t="s">
        <v>660</v>
      </c>
      <c r="E369" s="2" t="s">
        <v>4241</v>
      </c>
    </row>
    <row r="370" customFormat="false" ht="15" hidden="false" customHeight="false" outlineLevel="0" collapsed="false">
      <c r="A370" s="2" t="s">
        <v>821</v>
      </c>
      <c r="B370" s="2" t="s">
        <v>4145</v>
      </c>
      <c r="C370" s="2" t="s">
        <v>46</v>
      </c>
      <c r="D370" s="2" t="s">
        <v>4146</v>
      </c>
      <c r="E370" s="2" t="s">
        <v>4139</v>
      </c>
    </row>
    <row r="371" customFormat="false" ht="15" hidden="false" customHeight="false" outlineLevel="0" collapsed="false">
      <c r="A371" s="2" t="s">
        <v>865</v>
      </c>
      <c r="B371" s="2" t="s">
        <v>4145</v>
      </c>
      <c r="C371" s="2" t="s">
        <v>46</v>
      </c>
      <c r="D371" s="2" t="s">
        <v>662</v>
      </c>
      <c r="E371" s="2" t="s">
        <v>4179</v>
      </c>
    </row>
    <row r="372" customFormat="false" ht="15" hidden="false" customHeight="false" outlineLevel="0" collapsed="false">
      <c r="A372" s="2" t="s">
        <v>2932</v>
      </c>
      <c r="B372" s="2" t="s">
        <v>4145</v>
      </c>
      <c r="C372" s="2" t="s">
        <v>45</v>
      </c>
      <c r="D372" s="2" t="s">
        <v>4146</v>
      </c>
      <c r="E372" s="2" t="s">
        <v>4141</v>
      </c>
    </row>
    <row r="373" customFormat="false" ht="15" hidden="false" customHeight="false" outlineLevel="0" collapsed="false">
      <c r="A373" s="2" t="s">
        <v>2932</v>
      </c>
      <c r="B373" s="2" t="s">
        <v>4145</v>
      </c>
      <c r="C373" s="2" t="s">
        <v>46</v>
      </c>
      <c r="D373" s="2" t="s">
        <v>4146</v>
      </c>
      <c r="E373" s="2" t="s">
        <v>4141</v>
      </c>
    </row>
    <row r="374" customFormat="false" ht="15" hidden="false" customHeight="false" outlineLevel="0" collapsed="false">
      <c r="A374" s="2" t="s">
        <v>2932</v>
      </c>
      <c r="B374" s="2" t="s">
        <v>4145</v>
      </c>
      <c r="C374" s="2" t="s">
        <v>47</v>
      </c>
      <c r="D374" s="2" t="s">
        <v>4146</v>
      </c>
      <c r="E374" s="2" t="s">
        <v>4135</v>
      </c>
    </row>
    <row r="375" customFormat="false" ht="15" hidden="false" customHeight="false" outlineLevel="0" collapsed="false">
      <c r="A375" s="2" t="s">
        <v>1748</v>
      </c>
      <c r="B375" s="2" t="s">
        <v>4145</v>
      </c>
      <c r="C375" s="2" t="s">
        <v>45</v>
      </c>
      <c r="D375" s="2" t="s">
        <v>4146</v>
      </c>
      <c r="E375" s="2" t="s">
        <v>4242</v>
      </c>
    </row>
    <row r="376" customFormat="false" ht="15" hidden="false" customHeight="false" outlineLevel="0" collapsed="false">
      <c r="A376" s="2" t="s">
        <v>1234</v>
      </c>
      <c r="B376" s="2" t="s">
        <v>4145</v>
      </c>
      <c r="C376" s="2" t="s">
        <v>46</v>
      </c>
      <c r="D376" s="2" t="s">
        <v>661</v>
      </c>
      <c r="E376" s="2" t="s">
        <v>4152</v>
      </c>
    </row>
    <row r="377" customFormat="false" ht="15" hidden="false" customHeight="false" outlineLevel="0" collapsed="false">
      <c r="A377" s="2" t="s">
        <v>1234</v>
      </c>
      <c r="B377" s="2" t="s">
        <v>4145</v>
      </c>
      <c r="C377" s="2" t="s">
        <v>47</v>
      </c>
      <c r="D377" s="2" t="s">
        <v>4146</v>
      </c>
      <c r="E377" s="2" t="s">
        <v>4143</v>
      </c>
    </row>
    <row r="378" customFormat="false" ht="15" hidden="false" customHeight="false" outlineLevel="0" collapsed="false">
      <c r="A378" s="2" t="s">
        <v>2092</v>
      </c>
      <c r="B378" s="2" t="s">
        <v>4145</v>
      </c>
      <c r="C378" s="2" t="s">
        <v>45</v>
      </c>
      <c r="D378" s="2" t="s">
        <v>661</v>
      </c>
      <c r="E378" s="2" t="s">
        <v>4243</v>
      </c>
    </row>
    <row r="379" customFormat="false" ht="15" hidden="false" customHeight="false" outlineLevel="0" collapsed="false">
      <c r="A379" s="2" t="s">
        <v>2092</v>
      </c>
      <c r="B379" s="2" t="s">
        <v>4145</v>
      </c>
      <c r="C379" s="2" t="s">
        <v>46</v>
      </c>
      <c r="D379" s="2" t="s">
        <v>4153</v>
      </c>
      <c r="E379" s="2" t="s">
        <v>4158</v>
      </c>
    </row>
    <row r="380" customFormat="false" ht="15" hidden="false" customHeight="false" outlineLevel="0" collapsed="false">
      <c r="A380" s="2" t="s">
        <v>2936</v>
      </c>
      <c r="B380" s="2" t="s">
        <v>4145</v>
      </c>
      <c r="C380" s="2" t="s">
        <v>45</v>
      </c>
      <c r="D380" s="2" t="s">
        <v>4146</v>
      </c>
      <c r="E380" s="2" t="s">
        <v>4148</v>
      </c>
    </row>
    <row r="381" customFormat="false" ht="15" hidden="false" customHeight="false" outlineLevel="0" collapsed="false">
      <c r="A381" s="2" t="s">
        <v>1739</v>
      </c>
      <c r="B381" s="2" t="s">
        <v>4145</v>
      </c>
      <c r="C381" s="2" t="s">
        <v>45</v>
      </c>
      <c r="D381" s="2" t="s">
        <v>4153</v>
      </c>
      <c r="E381" s="2" t="s">
        <v>4244</v>
      </c>
    </row>
    <row r="382" customFormat="false" ht="15" hidden="false" customHeight="false" outlineLevel="0" collapsed="false">
      <c r="A382" s="2" t="s">
        <v>2098</v>
      </c>
      <c r="B382" s="2" t="s">
        <v>4145</v>
      </c>
      <c r="C382" s="2" t="s">
        <v>45</v>
      </c>
      <c r="D382" s="2" t="s">
        <v>662</v>
      </c>
      <c r="E382" s="2" t="s">
        <v>4245</v>
      </c>
    </row>
    <row r="383" customFormat="false" ht="15" hidden="false" customHeight="false" outlineLevel="0" collapsed="false">
      <c r="A383" s="2" t="s">
        <v>2098</v>
      </c>
      <c r="B383" s="2" t="s">
        <v>4145</v>
      </c>
      <c r="C383" s="2" t="s">
        <v>46</v>
      </c>
      <c r="D383" s="2" t="s">
        <v>662</v>
      </c>
      <c r="E383" s="2" t="s">
        <v>4186</v>
      </c>
    </row>
    <row r="384" customFormat="false" ht="15" hidden="false" customHeight="false" outlineLevel="0" collapsed="false">
      <c r="A384" s="2" t="s">
        <v>876</v>
      </c>
      <c r="B384" s="2" t="s">
        <v>4145</v>
      </c>
      <c r="C384" s="2" t="s">
        <v>47</v>
      </c>
      <c r="D384" s="2" t="s">
        <v>4146</v>
      </c>
      <c r="E384" s="2" t="s">
        <v>4142</v>
      </c>
    </row>
    <row r="385" customFormat="false" ht="15" hidden="false" customHeight="false" outlineLevel="0" collapsed="false">
      <c r="A385" s="2" t="s">
        <v>2940</v>
      </c>
      <c r="B385" s="2" t="s">
        <v>4145</v>
      </c>
      <c r="C385" s="2" t="s">
        <v>45</v>
      </c>
      <c r="D385" s="2" t="s">
        <v>4146</v>
      </c>
      <c r="E385" s="2" t="s">
        <v>4139</v>
      </c>
    </row>
    <row r="386" customFormat="false" ht="15" hidden="false" customHeight="false" outlineLevel="0" collapsed="false">
      <c r="A386" s="2" t="s">
        <v>2940</v>
      </c>
      <c r="B386" s="2" t="s">
        <v>4145</v>
      </c>
      <c r="C386" s="2" t="s">
        <v>46</v>
      </c>
      <c r="D386" s="2" t="s">
        <v>662</v>
      </c>
      <c r="E386" s="2" t="s">
        <v>4178</v>
      </c>
    </row>
    <row r="387" customFormat="false" ht="15" hidden="false" customHeight="false" outlineLevel="0" collapsed="false">
      <c r="A387" s="2" t="s">
        <v>1056</v>
      </c>
      <c r="B387" s="2" t="s">
        <v>4145</v>
      </c>
      <c r="C387" s="2" t="s">
        <v>46</v>
      </c>
      <c r="D387" s="2" t="s">
        <v>662</v>
      </c>
      <c r="E387" s="2" t="s">
        <v>4166</v>
      </c>
    </row>
    <row r="388" customFormat="false" ht="15" hidden="false" customHeight="false" outlineLevel="0" collapsed="false">
      <c r="A388" s="2" t="s">
        <v>1697</v>
      </c>
      <c r="B388" s="2" t="s">
        <v>4145</v>
      </c>
      <c r="C388" s="2" t="s">
        <v>45</v>
      </c>
      <c r="D388" s="2" t="s">
        <v>662</v>
      </c>
      <c r="E388" s="2" t="s">
        <v>4164</v>
      </c>
    </row>
    <row r="389" customFormat="false" ht="15" hidden="false" customHeight="false" outlineLevel="0" collapsed="false">
      <c r="A389" s="2" t="s">
        <v>2594</v>
      </c>
      <c r="B389" s="2" t="s">
        <v>4145</v>
      </c>
      <c r="C389" s="2" t="s">
        <v>45</v>
      </c>
      <c r="D389" s="2" t="s">
        <v>4146</v>
      </c>
      <c r="E389" s="2" t="s">
        <v>4142</v>
      </c>
    </row>
    <row r="390" customFormat="false" ht="15" hidden="false" customHeight="false" outlineLevel="0" collapsed="false">
      <c r="A390" s="2" t="s">
        <v>2594</v>
      </c>
      <c r="B390" s="2" t="s">
        <v>4145</v>
      </c>
      <c r="C390" s="2" t="s">
        <v>46</v>
      </c>
      <c r="D390" s="2" t="s">
        <v>662</v>
      </c>
      <c r="E390" s="2" t="s">
        <v>4218</v>
      </c>
    </row>
    <row r="391" customFormat="false" ht="15" hidden="false" customHeight="false" outlineLevel="0" collapsed="false">
      <c r="A391" s="2" t="s">
        <v>965</v>
      </c>
      <c r="B391" s="2" t="s">
        <v>4145</v>
      </c>
      <c r="C391" s="2" t="s">
        <v>46</v>
      </c>
      <c r="D391" s="2" t="s">
        <v>4180</v>
      </c>
      <c r="E391" s="2" t="s">
        <v>4181</v>
      </c>
    </row>
    <row r="392" customFormat="false" ht="15" hidden="false" customHeight="false" outlineLevel="0" collapsed="false">
      <c r="A392" s="2" t="s">
        <v>2352</v>
      </c>
      <c r="B392" s="2" t="s">
        <v>4145</v>
      </c>
      <c r="C392" s="2" t="s">
        <v>45</v>
      </c>
      <c r="D392" s="2" t="s">
        <v>4153</v>
      </c>
      <c r="E392" s="2" t="s">
        <v>4206</v>
      </c>
    </row>
    <row r="393" customFormat="false" ht="15" hidden="false" customHeight="false" outlineLevel="0" collapsed="false">
      <c r="A393" s="2" t="s">
        <v>2352</v>
      </c>
      <c r="B393" s="2" t="s">
        <v>4145</v>
      </c>
      <c r="C393" s="2" t="s">
        <v>46</v>
      </c>
      <c r="D393" s="2" t="s">
        <v>662</v>
      </c>
      <c r="E393" s="2" t="s">
        <v>4170</v>
      </c>
    </row>
    <row r="394" customFormat="false" ht="15" hidden="false" customHeight="false" outlineLevel="0" collapsed="false">
      <c r="A394" s="2" t="s">
        <v>792</v>
      </c>
      <c r="B394" s="2" t="s">
        <v>4145</v>
      </c>
      <c r="C394" s="2" t="s">
        <v>46</v>
      </c>
      <c r="D394" s="2" t="s">
        <v>662</v>
      </c>
      <c r="E394" s="2" t="s">
        <v>4201</v>
      </c>
    </row>
    <row r="395" customFormat="false" ht="15" hidden="false" customHeight="false" outlineLevel="0" collapsed="false">
      <c r="A395" s="2" t="s">
        <v>1505</v>
      </c>
      <c r="B395" s="2" t="s">
        <v>4145</v>
      </c>
      <c r="C395" s="2" t="s">
        <v>45</v>
      </c>
      <c r="D395" s="2" t="s">
        <v>662</v>
      </c>
      <c r="E395" s="2" t="s">
        <v>4164</v>
      </c>
    </row>
    <row r="396" customFormat="false" ht="15" hidden="false" customHeight="false" outlineLevel="0" collapsed="false">
      <c r="A396" s="2" t="s">
        <v>1947</v>
      </c>
      <c r="B396" s="2" t="s">
        <v>4145</v>
      </c>
      <c r="C396" s="2" t="s">
        <v>45</v>
      </c>
      <c r="D396" s="2" t="s">
        <v>662</v>
      </c>
      <c r="E396" s="2" t="s">
        <v>4168</v>
      </c>
    </row>
    <row r="397" customFormat="false" ht="15" hidden="false" customHeight="false" outlineLevel="0" collapsed="false">
      <c r="A397" s="2" t="s">
        <v>1947</v>
      </c>
      <c r="B397" s="2" t="s">
        <v>4145</v>
      </c>
      <c r="C397" s="2" t="s">
        <v>47</v>
      </c>
      <c r="D397" s="2" t="s">
        <v>4146</v>
      </c>
      <c r="E397" s="2" t="s">
        <v>4135</v>
      </c>
    </row>
    <row r="398" customFormat="false" ht="15" hidden="false" customHeight="false" outlineLevel="0" collapsed="false">
      <c r="A398" s="2" t="s">
        <v>1551</v>
      </c>
      <c r="B398" s="2" t="s">
        <v>4145</v>
      </c>
      <c r="C398" s="2" t="s">
        <v>45</v>
      </c>
      <c r="D398" s="2" t="s">
        <v>4146</v>
      </c>
      <c r="E398" s="2" t="s">
        <v>4141</v>
      </c>
    </row>
    <row r="399" customFormat="false" ht="15" hidden="false" customHeight="false" outlineLevel="0" collapsed="false">
      <c r="A399" s="2" t="s">
        <v>2478</v>
      </c>
      <c r="B399" s="2" t="s">
        <v>4145</v>
      </c>
      <c r="C399" s="2" t="s">
        <v>45</v>
      </c>
      <c r="D399" s="2" t="s">
        <v>4193</v>
      </c>
      <c r="E399" s="2" t="s">
        <v>4211</v>
      </c>
    </row>
    <row r="400" customFormat="false" ht="15" hidden="false" customHeight="false" outlineLevel="0" collapsed="false">
      <c r="A400" s="2" t="s">
        <v>2478</v>
      </c>
      <c r="B400" s="2" t="s">
        <v>4145</v>
      </c>
      <c r="C400" s="2" t="s">
        <v>46</v>
      </c>
      <c r="D400" s="2" t="s">
        <v>662</v>
      </c>
      <c r="E400" s="2" t="s">
        <v>4179</v>
      </c>
    </row>
    <row r="401" customFormat="false" ht="15" hidden="false" customHeight="false" outlineLevel="0" collapsed="false">
      <c r="A401" s="2" t="s">
        <v>2220</v>
      </c>
      <c r="B401" s="2" t="s">
        <v>4145</v>
      </c>
      <c r="C401" s="2" t="s">
        <v>46</v>
      </c>
      <c r="D401" s="2" t="s">
        <v>662</v>
      </c>
      <c r="E401" s="2" t="s">
        <v>4188</v>
      </c>
    </row>
    <row r="402" customFormat="false" ht="15" hidden="false" customHeight="false" outlineLevel="0" collapsed="false">
      <c r="A402" s="2" t="s">
        <v>2954</v>
      </c>
      <c r="B402" s="2" t="s">
        <v>4145</v>
      </c>
      <c r="C402" s="2" t="s">
        <v>46</v>
      </c>
      <c r="D402" s="2" t="s">
        <v>4146</v>
      </c>
      <c r="E402" s="2" t="s">
        <v>4142</v>
      </c>
    </row>
    <row r="403" customFormat="false" ht="15" hidden="false" customHeight="false" outlineLevel="0" collapsed="false">
      <c r="A403" s="2" t="s">
        <v>2527</v>
      </c>
      <c r="B403" s="2" t="s">
        <v>4145</v>
      </c>
      <c r="C403" s="2" t="s">
        <v>45</v>
      </c>
      <c r="D403" s="2" t="s">
        <v>660</v>
      </c>
      <c r="E403" s="2" t="s">
        <v>4183</v>
      </c>
    </row>
    <row r="404" customFormat="false" ht="15" hidden="false" customHeight="false" outlineLevel="0" collapsed="false">
      <c r="A404" s="2" t="s">
        <v>1019</v>
      </c>
      <c r="B404" s="2" t="s">
        <v>4145</v>
      </c>
      <c r="C404" s="2" t="s">
        <v>46</v>
      </c>
      <c r="D404" s="2" t="s">
        <v>4146</v>
      </c>
      <c r="E404" s="2" t="s">
        <v>4142</v>
      </c>
    </row>
    <row r="405" customFormat="false" ht="15" hidden="false" customHeight="false" outlineLevel="0" collapsed="false">
      <c r="A405" s="2" t="s">
        <v>1203</v>
      </c>
      <c r="B405" s="2" t="s">
        <v>4145</v>
      </c>
      <c r="C405" s="2" t="s">
        <v>46</v>
      </c>
      <c r="D405" s="2" t="s">
        <v>4146</v>
      </c>
      <c r="E405" s="2" t="s">
        <v>4142</v>
      </c>
    </row>
    <row r="406" customFormat="false" ht="15" hidden="false" customHeight="false" outlineLevel="0" collapsed="false">
      <c r="A406" s="2" t="s">
        <v>1203</v>
      </c>
      <c r="B406" s="2" t="s">
        <v>4145</v>
      </c>
      <c r="C406" s="2" t="s">
        <v>47</v>
      </c>
      <c r="D406" s="2" t="s">
        <v>4146</v>
      </c>
      <c r="E406" s="2" t="s">
        <v>4148</v>
      </c>
    </row>
    <row r="407" customFormat="false" ht="15" hidden="false" customHeight="false" outlineLevel="0" collapsed="false">
      <c r="A407" s="2" t="s">
        <v>2956</v>
      </c>
      <c r="B407" s="2" t="s">
        <v>4145</v>
      </c>
      <c r="C407" s="2" t="s">
        <v>45</v>
      </c>
      <c r="D407" s="2" t="s">
        <v>4146</v>
      </c>
      <c r="E407" s="2" t="s">
        <v>4148</v>
      </c>
    </row>
    <row r="408" customFormat="false" ht="15" hidden="false" customHeight="false" outlineLevel="0" collapsed="false">
      <c r="A408" s="2" t="s">
        <v>2956</v>
      </c>
      <c r="B408" s="2" t="s">
        <v>4145</v>
      </c>
      <c r="C408" s="2" t="s">
        <v>46</v>
      </c>
      <c r="D408" s="2" t="s">
        <v>4180</v>
      </c>
      <c r="E408" s="2" t="s">
        <v>4181</v>
      </c>
    </row>
    <row r="409" customFormat="false" ht="15" hidden="false" customHeight="false" outlineLevel="0" collapsed="false">
      <c r="A409" s="2" t="s">
        <v>2956</v>
      </c>
      <c r="B409" s="2" t="s">
        <v>4145</v>
      </c>
      <c r="C409" s="2" t="s">
        <v>47</v>
      </c>
      <c r="D409" s="2" t="s">
        <v>4146</v>
      </c>
      <c r="E409" s="2" t="s">
        <v>4143</v>
      </c>
    </row>
    <row r="410" customFormat="false" ht="15" hidden="false" customHeight="false" outlineLevel="0" collapsed="false">
      <c r="A410" s="2" t="s">
        <v>2672</v>
      </c>
      <c r="B410" s="2" t="s">
        <v>4145</v>
      </c>
      <c r="C410" s="2" t="s">
        <v>46</v>
      </c>
      <c r="D410" s="2" t="s">
        <v>661</v>
      </c>
      <c r="E410" s="2" t="s">
        <v>4152</v>
      </c>
    </row>
    <row r="411" customFormat="false" ht="15" hidden="false" customHeight="false" outlineLevel="0" collapsed="false">
      <c r="A411" s="2" t="s">
        <v>1721</v>
      </c>
      <c r="B411" s="2" t="s">
        <v>4145</v>
      </c>
      <c r="C411" s="2" t="s">
        <v>45</v>
      </c>
      <c r="D411" s="2" t="s">
        <v>4146</v>
      </c>
      <c r="E411" s="2" t="s">
        <v>4141</v>
      </c>
    </row>
    <row r="412" customFormat="false" ht="15" hidden="false" customHeight="false" outlineLevel="0" collapsed="false">
      <c r="A412" s="2" t="s">
        <v>2005</v>
      </c>
      <c r="B412" s="2" t="s">
        <v>4145</v>
      </c>
      <c r="C412" s="2" t="s">
        <v>45</v>
      </c>
      <c r="D412" s="2" t="s">
        <v>661</v>
      </c>
      <c r="E412" s="2" t="s">
        <v>4152</v>
      </c>
    </row>
    <row r="413" customFormat="false" ht="15" hidden="false" customHeight="false" outlineLevel="0" collapsed="false">
      <c r="A413" s="2" t="s">
        <v>2005</v>
      </c>
      <c r="B413" s="2" t="s">
        <v>4145</v>
      </c>
      <c r="C413" s="2" t="s">
        <v>46</v>
      </c>
      <c r="D413" s="2" t="s">
        <v>4146</v>
      </c>
      <c r="E413" s="2" t="s">
        <v>4141</v>
      </c>
    </row>
    <row r="414" customFormat="false" ht="15" hidden="false" customHeight="false" outlineLevel="0" collapsed="false">
      <c r="A414" s="2" t="s">
        <v>2532</v>
      </c>
      <c r="B414" s="2" t="s">
        <v>4145</v>
      </c>
      <c r="C414" s="2" t="s">
        <v>45</v>
      </c>
      <c r="D414" s="2" t="s">
        <v>4146</v>
      </c>
      <c r="E414" s="2" t="s">
        <v>4142</v>
      </c>
    </row>
    <row r="415" customFormat="false" ht="15" hidden="false" customHeight="false" outlineLevel="0" collapsed="false">
      <c r="A415" s="2" t="s">
        <v>2532</v>
      </c>
      <c r="B415" s="2" t="s">
        <v>4145</v>
      </c>
      <c r="C415" s="2" t="s">
        <v>46</v>
      </c>
      <c r="D415" s="2" t="s">
        <v>661</v>
      </c>
      <c r="E415" s="2" t="s">
        <v>4152</v>
      </c>
    </row>
    <row r="416" customFormat="false" ht="15" hidden="false" customHeight="false" outlineLevel="0" collapsed="false">
      <c r="A416" s="2" t="s">
        <v>961</v>
      </c>
      <c r="B416" s="2" t="s">
        <v>4145</v>
      </c>
      <c r="C416" s="2" t="s">
        <v>47</v>
      </c>
      <c r="D416" s="2" t="s">
        <v>660</v>
      </c>
      <c r="E416" s="2" t="s">
        <v>4241</v>
      </c>
    </row>
    <row r="417" customFormat="false" ht="15" hidden="false" customHeight="false" outlineLevel="0" collapsed="false">
      <c r="A417" s="2" t="s">
        <v>1200</v>
      </c>
      <c r="B417" s="2" t="s">
        <v>4145</v>
      </c>
      <c r="C417" s="2" t="s">
        <v>46</v>
      </c>
      <c r="D417" s="2" t="s">
        <v>4246</v>
      </c>
      <c r="E417" s="2" t="s">
        <v>4247</v>
      </c>
    </row>
    <row r="418" customFormat="false" ht="15" hidden="false" customHeight="false" outlineLevel="0" collapsed="false">
      <c r="A418" s="2" t="s">
        <v>1840</v>
      </c>
      <c r="B418" s="2" t="s">
        <v>4145</v>
      </c>
      <c r="C418" s="2" t="s">
        <v>45</v>
      </c>
      <c r="D418" s="2" t="s">
        <v>662</v>
      </c>
      <c r="E418" s="2" t="s">
        <v>4166</v>
      </c>
    </row>
    <row r="419" customFormat="false" ht="15" hidden="false" customHeight="false" outlineLevel="0" collapsed="false">
      <c r="A419" s="2" t="s">
        <v>1365</v>
      </c>
      <c r="B419" s="2" t="s">
        <v>4145</v>
      </c>
      <c r="C419" s="2" t="s">
        <v>47</v>
      </c>
      <c r="D419" s="2" t="s">
        <v>4146</v>
      </c>
      <c r="E419" s="2" t="s">
        <v>4142</v>
      </c>
    </row>
    <row r="420" customFormat="false" ht="15" hidden="false" customHeight="false" outlineLevel="0" collapsed="false">
      <c r="A420" s="2" t="s">
        <v>870</v>
      </c>
      <c r="B420" s="2" t="s">
        <v>4145</v>
      </c>
      <c r="C420" s="2" t="s">
        <v>46</v>
      </c>
      <c r="D420" s="2" t="s">
        <v>4146</v>
      </c>
      <c r="E420" s="2" t="s">
        <v>4141</v>
      </c>
    </row>
    <row r="421" customFormat="false" ht="15" hidden="false" customHeight="false" outlineLevel="0" collapsed="false">
      <c r="A421" s="2" t="s">
        <v>1123</v>
      </c>
      <c r="B421" s="2" t="s">
        <v>4145</v>
      </c>
      <c r="C421" s="2" t="s">
        <v>46</v>
      </c>
      <c r="D421" s="2" t="s">
        <v>4146</v>
      </c>
      <c r="E421" s="2" t="s">
        <v>4142</v>
      </c>
    </row>
    <row r="422" customFormat="false" ht="15" hidden="false" customHeight="false" outlineLevel="0" collapsed="false">
      <c r="A422" s="2" t="s">
        <v>2964</v>
      </c>
      <c r="B422" s="2" t="s">
        <v>4145</v>
      </c>
      <c r="C422" s="2" t="s">
        <v>46</v>
      </c>
      <c r="D422" s="2" t="s">
        <v>4146</v>
      </c>
      <c r="E422" s="2" t="s">
        <v>4142</v>
      </c>
    </row>
    <row r="423" customFormat="false" ht="15" hidden="false" customHeight="false" outlineLevel="0" collapsed="false">
      <c r="A423" s="2" t="s">
        <v>2042</v>
      </c>
      <c r="B423" s="2" t="s">
        <v>4145</v>
      </c>
      <c r="C423" s="2" t="s">
        <v>45</v>
      </c>
      <c r="D423" s="2" t="s">
        <v>662</v>
      </c>
      <c r="E423" s="2" t="s">
        <v>4187</v>
      </c>
    </row>
    <row r="424" customFormat="false" ht="15" hidden="false" customHeight="false" outlineLevel="0" collapsed="false">
      <c r="A424" s="2" t="s">
        <v>2042</v>
      </c>
      <c r="B424" s="2" t="s">
        <v>4145</v>
      </c>
      <c r="C424" s="2" t="s">
        <v>46</v>
      </c>
      <c r="D424" s="2" t="s">
        <v>4150</v>
      </c>
      <c r="E424" s="2" t="s">
        <v>4248</v>
      </c>
    </row>
    <row r="425" customFormat="false" ht="15" hidden="false" customHeight="false" outlineLevel="0" collapsed="false">
      <c r="A425" s="2" t="s">
        <v>1187</v>
      </c>
      <c r="B425" s="2" t="s">
        <v>4145</v>
      </c>
      <c r="C425" s="2" t="s">
        <v>46</v>
      </c>
      <c r="D425" s="2" t="s">
        <v>4193</v>
      </c>
      <c r="E425" s="2" t="s">
        <v>4249</v>
      </c>
    </row>
    <row r="426" customFormat="false" ht="15" hidden="false" customHeight="false" outlineLevel="0" collapsed="false">
      <c r="A426" s="2" t="s">
        <v>1654</v>
      </c>
      <c r="B426" s="2" t="s">
        <v>4145</v>
      </c>
      <c r="C426" s="2" t="s">
        <v>45</v>
      </c>
      <c r="D426" s="2" t="s">
        <v>4146</v>
      </c>
      <c r="E426" s="2" t="s">
        <v>4143</v>
      </c>
    </row>
    <row r="427" customFormat="false" ht="15" hidden="false" customHeight="false" outlineLevel="0" collapsed="false">
      <c r="A427" s="2" t="s">
        <v>929</v>
      </c>
      <c r="B427" s="2" t="s">
        <v>4145</v>
      </c>
      <c r="C427" s="2" t="s">
        <v>46</v>
      </c>
      <c r="D427" s="2" t="s">
        <v>662</v>
      </c>
      <c r="E427" s="2" t="s">
        <v>4166</v>
      </c>
    </row>
    <row r="428" customFormat="false" ht="15" hidden="false" customHeight="false" outlineLevel="0" collapsed="false">
      <c r="A428" s="2" t="s">
        <v>1767</v>
      </c>
      <c r="B428" s="2" t="s">
        <v>4145</v>
      </c>
      <c r="C428" s="2" t="s">
        <v>45</v>
      </c>
      <c r="D428" s="2" t="s">
        <v>660</v>
      </c>
      <c r="E428" s="2" t="s">
        <v>4183</v>
      </c>
    </row>
    <row r="429" customFormat="false" ht="15" hidden="false" customHeight="false" outlineLevel="0" collapsed="false">
      <c r="A429" s="2" t="s">
        <v>1307</v>
      </c>
      <c r="B429" s="2" t="s">
        <v>4145</v>
      </c>
      <c r="C429" s="2" t="s">
        <v>46</v>
      </c>
      <c r="D429" s="2" t="s">
        <v>4146</v>
      </c>
      <c r="E429" s="2" t="s">
        <v>4148</v>
      </c>
    </row>
    <row r="430" customFormat="false" ht="15" hidden="false" customHeight="false" outlineLevel="0" collapsed="false">
      <c r="A430" s="2" t="s">
        <v>1403</v>
      </c>
      <c r="B430" s="2" t="s">
        <v>4145</v>
      </c>
      <c r="C430" s="2" t="s">
        <v>47</v>
      </c>
      <c r="D430" s="2" t="s">
        <v>661</v>
      </c>
      <c r="E430" s="2" t="s">
        <v>4152</v>
      </c>
    </row>
    <row r="431" customFormat="false" ht="15" hidden="false" customHeight="false" outlineLevel="0" collapsed="false">
      <c r="A431" s="2" t="s">
        <v>1394</v>
      </c>
      <c r="B431" s="2" t="s">
        <v>4145</v>
      </c>
      <c r="C431" s="2" t="s">
        <v>45</v>
      </c>
      <c r="D431" s="2" t="s">
        <v>662</v>
      </c>
      <c r="E431" s="2" t="s">
        <v>4188</v>
      </c>
    </row>
    <row r="432" customFormat="false" ht="15" hidden="false" customHeight="false" outlineLevel="0" collapsed="false">
      <c r="A432" s="2" t="s">
        <v>1471</v>
      </c>
      <c r="B432" s="2" t="s">
        <v>4145</v>
      </c>
      <c r="C432" s="2" t="s">
        <v>45</v>
      </c>
      <c r="D432" s="2" t="s">
        <v>661</v>
      </c>
      <c r="E432" s="2" t="s">
        <v>4176</v>
      </c>
    </row>
    <row r="433" customFormat="false" ht="15" hidden="false" customHeight="false" outlineLevel="0" collapsed="false">
      <c r="A433" s="2" t="s">
        <v>2974</v>
      </c>
      <c r="B433" s="2" t="s">
        <v>4145</v>
      </c>
      <c r="C433" s="2" t="s">
        <v>45</v>
      </c>
      <c r="D433" s="2" t="s">
        <v>4146</v>
      </c>
      <c r="E433" s="2" t="s">
        <v>4139</v>
      </c>
    </row>
    <row r="434" customFormat="false" ht="15" hidden="false" customHeight="false" outlineLevel="0" collapsed="false">
      <c r="A434" s="2" t="s">
        <v>2974</v>
      </c>
      <c r="B434" s="2" t="s">
        <v>4145</v>
      </c>
      <c r="C434" s="2" t="s">
        <v>46</v>
      </c>
      <c r="D434" s="2" t="s">
        <v>661</v>
      </c>
      <c r="E434" s="2" t="s">
        <v>4176</v>
      </c>
    </row>
    <row r="435" customFormat="false" ht="15" hidden="false" customHeight="false" outlineLevel="0" collapsed="false">
      <c r="A435" s="2" t="s">
        <v>2974</v>
      </c>
      <c r="B435" s="2" t="s">
        <v>4145</v>
      </c>
      <c r="C435" s="2" t="s">
        <v>47</v>
      </c>
      <c r="D435" s="2" t="s">
        <v>4146</v>
      </c>
      <c r="E435" s="2" t="s">
        <v>4135</v>
      </c>
    </row>
    <row r="436" customFormat="false" ht="15" hidden="false" customHeight="false" outlineLevel="0" collapsed="false">
      <c r="A436" s="2" t="s">
        <v>1197</v>
      </c>
      <c r="B436" s="2" t="s">
        <v>4145</v>
      </c>
      <c r="C436" s="2" t="s">
        <v>46</v>
      </c>
      <c r="D436" s="2" t="s">
        <v>4146</v>
      </c>
      <c r="E436" s="2" t="s">
        <v>4143</v>
      </c>
    </row>
    <row r="437" customFormat="false" ht="15" hidden="false" customHeight="false" outlineLevel="0" collapsed="false">
      <c r="A437" s="2" t="s">
        <v>1354</v>
      </c>
      <c r="B437" s="2" t="s">
        <v>4145</v>
      </c>
      <c r="C437" s="2" t="s">
        <v>46</v>
      </c>
      <c r="D437" s="2" t="s">
        <v>4146</v>
      </c>
      <c r="E437" s="2" t="s">
        <v>4142</v>
      </c>
    </row>
    <row r="438" customFormat="false" ht="15" hidden="false" customHeight="false" outlineLevel="0" collapsed="false">
      <c r="A438" s="2" t="s">
        <v>2976</v>
      </c>
      <c r="B438" s="2" t="s">
        <v>4145</v>
      </c>
      <c r="C438" s="2" t="s">
        <v>46</v>
      </c>
      <c r="D438" s="2" t="s">
        <v>4146</v>
      </c>
      <c r="E438" s="2" t="s">
        <v>4141</v>
      </c>
    </row>
    <row r="439" customFormat="false" ht="15" hidden="false" customHeight="false" outlineLevel="0" collapsed="false">
      <c r="A439" s="2" t="s">
        <v>2377</v>
      </c>
      <c r="B439" s="2" t="s">
        <v>4145</v>
      </c>
      <c r="C439" s="2" t="s">
        <v>45</v>
      </c>
      <c r="D439" s="2" t="s">
        <v>4250</v>
      </c>
      <c r="E439" s="2" t="s">
        <v>4251</v>
      </c>
    </row>
    <row r="440" customFormat="false" ht="15" hidden="false" customHeight="false" outlineLevel="0" collapsed="false">
      <c r="A440" s="2" t="s">
        <v>2377</v>
      </c>
      <c r="B440" s="2" t="s">
        <v>4145</v>
      </c>
      <c r="C440" s="2" t="s">
        <v>46</v>
      </c>
      <c r="D440" s="2" t="s">
        <v>4146</v>
      </c>
      <c r="E440" s="2" t="s">
        <v>4148</v>
      </c>
    </row>
    <row r="441" customFormat="false" ht="15" hidden="false" customHeight="false" outlineLevel="0" collapsed="false">
      <c r="A441" s="2" t="s">
        <v>1501</v>
      </c>
      <c r="B441" s="2" t="s">
        <v>4145</v>
      </c>
      <c r="C441" s="2" t="s">
        <v>45</v>
      </c>
      <c r="D441" s="2" t="s">
        <v>4146</v>
      </c>
      <c r="E441" s="2" t="s">
        <v>4139</v>
      </c>
    </row>
    <row r="442" customFormat="false" ht="15" hidden="false" customHeight="false" outlineLevel="0" collapsed="false">
      <c r="A442" s="2" t="s">
        <v>758</v>
      </c>
      <c r="B442" s="2" t="s">
        <v>4145</v>
      </c>
      <c r="C442" s="2" t="s">
        <v>46</v>
      </c>
      <c r="D442" s="2" t="s">
        <v>4193</v>
      </c>
      <c r="E442" s="2" t="s">
        <v>4252</v>
      </c>
    </row>
    <row r="443" customFormat="false" ht="15" hidden="false" customHeight="false" outlineLevel="0" collapsed="false">
      <c r="A443" s="2" t="s">
        <v>758</v>
      </c>
      <c r="B443" s="2" t="s">
        <v>4145</v>
      </c>
      <c r="C443" s="2" t="s">
        <v>47</v>
      </c>
      <c r="D443" s="2" t="s">
        <v>4146</v>
      </c>
      <c r="E443" s="2" t="s">
        <v>4143</v>
      </c>
    </row>
    <row r="444" customFormat="false" ht="15" hidden="false" customHeight="false" outlineLevel="0" collapsed="false">
      <c r="A444" s="2" t="s">
        <v>1136</v>
      </c>
      <c r="B444" s="2" t="s">
        <v>4145</v>
      </c>
      <c r="C444" s="2" t="s">
        <v>46</v>
      </c>
      <c r="D444" s="2" t="s">
        <v>661</v>
      </c>
      <c r="E444" s="2" t="s">
        <v>4253</v>
      </c>
    </row>
    <row r="445" customFormat="false" ht="15" hidden="false" customHeight="false" outlineLevel="0" collapsed="false">
      <c r="A445" s="2" t="s">
        <v>2601</v>
      </c>
      <c r="B445" s="2" t="s">
        <v>4145</v>
      </c>
      <c r="C445" s="2" t="s">
        <v>45</v>
      </c>
      <c r="D445" s="2" t="s">
        <v>4150</v>
      </c>
      <c r="E445" s="2" t="s">
        <v>4248</v>
      </c>
    </row>
    <row r="446" customFormat="false" ht="15" hidden="false" customHeight="false" outlineLevel="0" collapsed="false">
      <c r="A446" s="2" t="s">
        <v>2601</v>
      </c>
      <c r="B446" s="2" t="s">
        <v>4145</v>
      </c>
      <c r="C446" s="2" t="s">
        <v>46</v>
      </c>
      <c r="D446" s="2" t="s">
        <v>660</v>
      </c>
      <c r="E446" s="2" t="s">
        <v>4183</v>
      </c>
    </row>
    <row r="447" customFormat="false" ht="15" hidden="false" customHeight="false" outlineLevel="0" collapsed="false">
      <c r="A447" s="2" t="s">
        <v>2368</v>
      </c>
      <c r="B447" s="2" t="s">
        <v>4145</v>
      </c>
      <c r="C447" s="2" t="s">
        <v>45</v>
      </c>
      <c r="D447" s="2" t="s">
        <v>4180</v>
      </c>
      <c r="E447" s="2" t="s">
        <v>4238</v>
      </c>
    </row>
    <row r="448" customFormat="false" ht="15" hidden="false" customHeight="false" outlineLevel="0" collapsed="false">
      <c r="A448" s="2" t="s">
        <v>2368</v>
      </c>
      <c r="B448" s="2" t="s">
        <v>4145</v>
      </c>
      <c r="C448" s="2" t="s">
        <v>46</v>
      </c>
      <c r="D448" s="2" t="s">
        <v>661</v>
      </c>
      <c r="E448" s="2" t="s">
        <v>4176</v>
      </c>
    </row>
    <row r="449" customFormat="false" ht="15" hidden="false" customHeight="false" outlineLevel="0" collapsed="false">
      <c r="A449" s="2" t="s">
        <v>1724</v>
      </c>
      <c r="B449" s="2" t="s">
        <v>4145</v>
      </c>
      <c r="C449" s="2" t="s">
        <v>45</v>
      </c>
      <c r="D449" s="2" t="s">
        <v>4153</v>
      </c>
      <c r="E449" s="2" t="s">
        <v>4254</v>
      </c>
    </row>
    <row r="450" customFormat="false" ht="15" hidden="false" customHeight="false" outlineLevel="0" collapsed="false">
      <c r="A450" s="2" t="s">
        <v>1120</v>
      </c>
      <c r="B450" s="2" t="s">
        <v>4145</v>
      </c>
      <c r="C450" s="2" t="s">
        <v>46</v>
      </c>
      <c r="D450" s="2" t="s">
        <v>4146</v>
      </c>
      <c r="E450" s="2" t="s">
        <v>4142</v>
      </c>
    </row>
    <row r="451" customFormat="false" ht="15" hidden="false" customHeight="false" outlineLevel="0" collapsed="false">
      <c r="A451" s="2" t="s">
        <v>2126</v>
      </c>
      <c r="B451" s="2" t="s">
        <v>4145</v>
      </c>
      <c r="C451" s="2" t="s">
        <v>45</v>
      </c>
      <c r="D451" s="2" t="s">
        <v>4146</v>
      </c>
      <c r="E451" s="2" t="s">
        <v>4157</v>
      </c>
    </row>
    <row r="452" customFormat="false" ht="15" hidden="false" customHeight="false" outlineLevel="0" collapsed="false">
      <c r="A452" s="2" t="s">
        <v>2126</v>
      </c>
      <c r="B452" s="2" t="s">
        <v>4145</v>
      </c>
      <c r="C452" s="2" t="s">
        <v>46</v>
      </c>
      <c r="D452" s="2" t="s">
        <v>4146</v>
      </c>
      <c r="E452" s="2" t="s">
        <v>4139</v>
      </c>
    </row>
    <row r="453" customFormat="false" ht="15" hidden="false" customHeight="false" outlineLevel="0" collapsed="false">
      <c r="A453" s="2" t="s">
        <v>2504</v>
      </c>
      <c r="B453" s="2" t="s">
        <v>4145</v>
      </c>
      <c r="C453" s="2" t="s">
        <v>45</v>
      </c>
      <c r="D453" s="2" t="s">
        <v>4246</v>
      </c>
      <c r="E453" s="2" t="s">
        <v>4247</v>
      </c>
    </row>
    <row r="454" customFormat="false" ht="15" hidden="false" customHeight="false" outlineLevel="0" collapsed="false">
      <c r="A454" s="2" t="s">
        <v>2504</v>
      </c>
      <c r="B454" s="2" t="s">
        <v>4145</v>
      </c>
      <c r="C454" s="2" t="s">
        <v>46</v>
      </c>
      <c r="D454" s="2" t="s">
        <v>4197</v>
      </c>
      <c r="E454" s="2" t="s">
        <v>4198</v>
      </c>
    </row>
    <row r="455" customFormat="false" ht="15" hidden="false" customHeight="false" outlineLevel="0" collapsed="false">
      <c r="A455" s="2" t="s">
        <v>2374</v>
      </c>
      <c r="B455" s="2" t="s">
        <v>4145</v>
      </c>
      <c r="C455" s="2" t="s">
        <v>45</v>
      </c>
      <c r="D455" s="2" t="s">
        <v>662</v>
      </c>
      <c r="E455" s="2" t="s">
        <v>4255</v>
      </c>
    </row>
    <row r="456" customFormat="false" ht="15" hidden="false" customHeight="false" outlineLevel="0" collapsed="false">
      <c r="A456" s="2" t="s">
        <v>2374</v>
      </c>
      <c r="B456" s="2" t="s">
        <v>4145</v>
      </c>
      <c r="C456" s="2" t="s">
        <v>46</v>
      </c>
      <c r="D456" s="2" t="s">
        <v>661</v>
      </c>
      <c r="E456" s="2" t="s">
        <v>4152</v>
      </c>
    </row>
    <row r="457" customFormat="false" ht="15" hidden="false" customHeight="false" outlineLevel="0" collapsed="false">
      <c r="A457" s="2" t="s">
        <v>1025</v>
      </c>
      <c r="B457" s="2" t="s">
        <v>4145</v>
      </c>
      <c r="C457" s="2" t="s">
        <v>46</v>
      </c>
      <c r="D457" s="2" t="s">
        <v>662</v>
      </c>
      <c r="E457" s="2" t="s">
        <v>4218</v>
      </c>
    </row>
    <row r="458" customFormat="false" ht="15" hidden="false" customHeight="false" outlineLevel="0" collapsed="false">
      <c r="A458" s="2" t="s">
        <v>1843</v>
      </c>
      <c r="B458" s="2" t="s">
        <v>4145</v>
      </c>
      <c r="C458" s="2" t="s">
        <v>45</v>
      </c>
      <c r="D458" s="2" t="s">
        <v>4146</v>
      </c>
      <c r="E458" s="2" t="s">
        <v>4148</v>
      </c>
    </row>
    <row r="459" customFormat="false" ht="15" hidden="false" customHeight="false" outlineLevel="0" collapsed="false">
      <c r="A459" s="2" t="s">
        <v>2988</v>
      </c>
      <c r="B459" s="2" t="s">
        <v>4145</v>
      </c>
      <c r="C459" s="2" t="s">
        <v>47</v>
      </c>
      <c r="D459" s="2" t="s">
        <v>4146</v>
      </c>
      <c r="E459" s="2" t="s">
        <v>4135</v>
      </c>
    </row>
    <row r="460" customFormat="false" ht="15" hidden="false" customHeight="false" outlineLevel="0" collapsed="false">
      <c r="A460" s="2" t="s">
        <v>2989</v>
      </c>
      <c r="B460" s="2" t="s">
        <v>4145</v>
      </c>
      <c r="C460" s="2" t="s">
        <v>45</v>
      </c>
      <c r="D460" s="2" t="s">
        <v>662</v>
      </c>
      <c r="E460" s="2" t="s">
        <v>4166</v>
      </c>
    </row>
    <row r="461" customFormat="false" ht="15" hidden="false" customHeight="false" outlineLevel="0" collapsed="false">
      <c r="A461" s="2" t="s">
        <v>1688</v>
      </c>
      <c r="B461" s="2" t="s">
        <v>4145</v>
      </c>
      <c r="C461" s="2" t="s">
        <v>45</v>
      </c>
      <c r="D461" s="2" t="s">
        <v>4180</v>
      </c>
      <c r="E461" s="2" t="s">
        <v>4189</v>
      </c>
    </row>
    <row r="462" customFormat="false" ht="15" hidden="false" customHeight="false" outlineLevel="0" collapsed="false">
      <c r="A462" s="2" t="s">
        <v>1129</v>
      </c>
      <c r="B462" s="2" t="s">
        <v>4145</v>
      </c>
      <c r="C462" s="2" t="s">
        <v>47</v>
      </c>
      <c r="D462" s="2" t="s">
        <v>4146</v>
      </c>
      <c r="E462" s="2" t="s">
        <v>4140</v>
      </c>
    </row>
    <row r="463" customFormat="false" ht="15" hidden="false" customHeight="false" outlineLevel="0" collapsed="false">
      <c r="A463" s="2" t="s">
        <v>1042</v>
      </c>
      <c r="B463" s="2" t="s">
        <v>4145</v>
      </c>
      <c r="C463" s="2" t="s">
        <v>46</v>
      </c>
      <c r="D463" s="2" t="s">
        <v>4146</v>
      </c>
      <c r="E463" s="2" t="s">
        <v>4140</v>
      </c>
    </row>
    <row r="464" customFormat="false" ht="15" hidden="false" customHeight="false" outlineLevel="0" collapsed="false">
      <c r="A464" s="2" t="s">
        <v>952</v>
      </c>
      <c r="B464" s="2" t="s">
        <v>4145</v>
      </c>
      <c r="C464" s="2" t="s">
        <v>46</v>
      </c>
      <c r="D464" s="2" t="s">
        <v>662</v>
      </c>
      <c r="E464" s="2" t="s">
        <v>4147</v>
      </c>
    </row>
    <row r="465" customFormat="false" ht="15" hidden="false" customHeight="false" outlineLevel="0" collapsed="false">
      <c r="A465" s="2" t="s">
        <v>952</v>
      </c>
      <c r="B465" s="2" t="s">
        <v>4145</v>
      </c>
      <c r="C465" s="2" t="s">
        <v>47</v>
      </c>
      <c r="D465" s="2" t="s">
        <v>660</v>
      </c>
      <c r="E465" s="2" t="s">
        <v>4160</v>
      </c>
    </row>
    <row r="466" customFormat="false" ht="15" hidden="false" customHeight="false" outlineLevel="0" collapsed="false">
      <c r="A466" s="2" t="s">
        <v>909</v>
      </c>
      <c r="B466" s="2" t="s">
        <v>4145</v>
      </c>
      <c r="C466" s="2" t="s">
        <v>47</v>
      </c>
      <c r="D466" s="2" t="s">
        <v>4146</v>
      </c>
      <c r="E466" s="2" t="s">
        <v>4157</v>
      </c>
    </row>
    <row r="467" customFormat="false" ht="15" hidden="false" customHeight="false" outlineLevel="0" collapsed="false">
      <c r="A467" s="2" t="s">
        <v>707</v>
      </c>
      <c r="B467" s="2" t="s">
        <v>4145</v>
      </c>
      <c r="C467" s="2" t="s">
        <v>47</v>
      </c>
      <c r="D467" s="2" t="s">
        <v>662</v>
      </c>
      <c r="E467" s="2" t="s">
        <v>4173</v>
      </c>
    </row>
    <row r="468" customFormat="false" ht="15" hidden="false" customHeight="false" outlineLevel="0" collapsed="false">
      <c r="A468" s="2" t="s">
        <v>2513</v>
      </c>
      <c r="B468" s="2" t="s">
        <v>4145</v>
      </c>
      <c r="C468" s="2" t="s">
        <v>45</v>
      </c>
      <c r="D468" s="2" t="s">
        <v>4146</v>
      </c>
      <c r="E468" s="2" t="s">
        <v>4148</v>
      </c>
    </row>
    <row r="469" customFormat="false" ht="15" hidden="false" customHeight="false" outlineLevel="0" collapsed="false">
      <c r="A469" s="2" t="s">
        <v>2513</v>
      </c>
      <c r="B469" s="2" t="s">
        <v>4145</v>
      </c>
      <c r="C469" s="2" t="s">
        <v>46</v>
      </c>
      <c r="D469" s="2" t="s">
        <v>4146</v>
      </c>
      <c r="E469" s="2" t="s">
        <v>4148</v>
      </c>
    </row>
    <row r="470" customFormat="false" ht="15" hidden="false" customHeight="false" outlineLevel="0" collapsed="false">
      <c r="A470" s="2" t="s">
        <v>976</v>
      </c>
      <c r="B470" s="2" t="s">
        <v>4145</v>
      </c>
      <c r="C470" s="2" t="s">
        <v>46</v>
      </c>
      <c r="D470" s="2" t="s">
        <v>662</v>
      </c>
      <c r="E470" s="2" t="s">
        <v>4185</v>
      </c>
    </row>
    <row r="471" customFormat="false" ht="15" hidden="false" customHeight="false" outlineLevel="0" collapsed="false">
      <c r="A471" s="2" t="s">
        <v>1066</v>
      </c>
      <c r="B471" s="2" t="s">
        <v>4145</v>
      </c>
      <c r="C471" s="2" t="s">
        <v>46</v>
      </c>
      <c r="D471" s="2" t="s">
        <v>4180</v>
      </c>
      <c r="E471" s="2" t="s">
        <v>4238</v>
      </c>
    </row>
    <row r="472" customFormat="false" ht="15" hidden="false" customHeight="false" outlineLevel="0" collapsed="false">
      <c r="A472" s="2" t="s">
        <v>2997</v>
      </c>
      <c r="B472" s="2" t="s">
        <v>4145</v>
      </c>
      <c r="C472" s="2" t="s">
        <v>46</v>
      </c>
      <c r="D472" s="2" t="s">
        <v>4146</v>
      </c>
      <c r="E472" s="2" t="s">
        <v>4142</v>
      </c>
    </row>
    <row r="473" customFormat="false" ht="15" hidden="false" customHeight="false" outlineLevel="0" collapsed="false">
      <c r="A473" s="2" t="s">
        <v>2420</v>
      </c>
      <c r="B473" s="2" t="s">
        <v>4145</v>
      </c>
      <c r="C473" s="2" t="s">
        <v>46</v>
      </c>
      <c r="D473" s="2" t="s">
        <v>4155</v>
      </c>
      <c r="E473" s="2" t="s">
        <v>4156</v>
      </c>
    </row>
    <row r="474" customFormat="false" ht="15" hidden="false" customHeight="false" outlineLevel="0" collapsed="false">
      <c r="A474" s="2" t="s">
        <v>812</v>
      </c>
      <c r="B474" s="2" t="s">
        <v>4145</v>
      </c>
      <c r="C474" s="2" t="s">
        <v>46</v>
      </c>
      <c r="D474" s="2" t="s">
        <v>662</v>
      </c>
      <c r="E474" s="2" t="s">
        <v>4164</v>
      </c>
    </row>
    <row r="475" customFormat="false" ht="15" hidden="false" customHeight="false" outlineLevel="0" collapsed="false">
      <c r="A475" s="2" t="s">
        <v>1084</v>
      </c>
      <c r="B475" s="2" t="s">
        <v>4145</v>
      </c>
      <c r="C475" s="2" t="s">
        <v>46</v>
      </c>
      <c r="D475" s="2" t="s">
        <v>4146</v>
      </c>
      <c r="E475" s="2" t="s">
        <v>4143</v>
      </c>
    </row>
    <row r="476" customFormat="false" ht="15" hidden="false" customHeight="false" outlineLevel="0" collapsed="false">
      <c r="A476" s="2" t="s">
        <v>1084</v>
      </c>
      <c r="B476" s="2" t="s">
        <v>4145</v>
      </c>
      <c r="C476" s="2" t="s">
        <v>47</v>
      </c>
      <c r="D476" s="2" t="s">
        <v>661</v>
      </c>
      <c r="E476" s="2" t="s">
        <v>4199</v>
      </c>
    </row>
    <row r="477" customFormat="false" ht="15" hidden="false" customHeight="false" outlineLevel="0" collapsed="false">
      <c r="A477" s="2" t="s">
        <v>1350</v>
      </c>
      <c r="B477" s="2" t="s">
        <v>4145</v>
      </c>
      <c r="C477" s="2" t="s">
        <v>46</v>
      </c>
      <c r="D477" s="2" t="s">
        <v>661</v>
      </c>
      <c r="E477" s="2" t="s">
        <v>4152</v>
      </c>
    </row>
    <row r="478" customFormat="false" ht="15" hidden="false" customHeight="false" outlineLevel="0" collapsed="false">
      <c r="A478" s="2" t="s">
        <v>1350</v>
      </c>
      <c r="B478" s="2" t="s">
        <v>4145</v>
      </c>
      <c r="C478" s="2" t="s">
        <v>47</v>
      </c>
      <c r="D478" s="2" t="s">
        <v>4146</v>
      </c>
      <c r="E478" s="2" t="s">
        <v>4143</v>
      </c>
    </row>
    <row r="479" customFormat="false" ht="15" hidden="false" customHeight="false" outlineLevel="0" collapsed="false">
      <c r="A479" s="2" t="s">
        <v>2314</v>
      </c>
      <c r="B479" s="2" t="s">
        <v>4145</v>
      </c>
      <c r="C479" s="2" t="s">
        <v>45</v>
      </c>
      <c r="D479" s="2" t="s">
        <v>4146</v>
      </c>
      <c r="E479" s="2" t="s">
        <v>4141</v>
      </c>
    </row>
    <row r="480" customFormat="false" ht="15" hidden="false" customHeight="false" outlineLevel="0" collapsed="false">
      <c r="A480" s="2" t="s">
        <v>3001</v>
      </c>
      <c r="B480" s="2" t="s">
        <v>4145</v>
      </c>
      <c r="C480" s="2" t="s">
        <v>45</v>
      </c>
      <c r="D480" s="2" t="s">
        <v>662</v>
      </c>
      <c r="E480" s="2" t="s">
        <v>4164</v>
      </c>
    </row>
    <row r="481" customFormat="false" ht="15" hidden="false" customHeight="false" outlineLevel="0" collapsed="false">
      <c r="A481" s="2" t="s">
        <v>2331</v>
      </c>
      <c r="B481" s="2" t="s">
        <v>4145</v>
      </c>
      <c r="C481" s="2" t="s">
        <v>45</v>
      </c>
      <c r="D481" s="2" t="s">
        <v>4146</v>
      </c>
      <c r="E481" s="2" t="s">
        <v>4142</v>
      </c>
    </row>
    <row r="482" customFormat="false" ht="15" hidden="false" customHeight="false" outlineLevel="0" collapsed="false">
      <c r="A482" s="2" t="s">
        <v>2331</v>
      </c>
      <c r="B482" s="2" t="s">
        <v>4145</v>
      </c>
      <c r="C482" s="2" t="s">
        <v>46</v>
      </c>
      <c r="D482" s="2" t="s">
        <v>4197</v>
      </c>
      <c r="E482" s="2" t="s">
        <v>4198</v>
      </c>
    </row>
    <row r="483" customFormat="false" ht="15" hidden="false" customHeight="false" outlineLevel="0" collapsed="false">
      <c r="A483" s="2" t="s">
        <v>1144</v>
      </c>
      <c r="B483" s="2" t="s">
        <v>4145</v>
      </c>
      <c r="C483" s="2" t="s">
        <v>46</v>
      </c>
      <c r="D483" s="2" t="s">
        <v>660</v>
      </c>
      <c r="E483" s="2" t="s">
        <v>4183</v>
      </c>
    </row>
    <row r="484" customFormat="false" ht="15" hidden="false" customHeight="false" outlineLevel="0" collapsed="false">
      <c r="A484" s="2" t="s">
        <v>3004</v>
      </c>
      <c r="B484" s="2" t="s">
        <v>4145</v>
      </c>
      <c r="C484" s="2" t="s">
        <v>45</v>
      </c>
      <c r="D484" s="2" t="s">
        <v>661</v>
      </c>
      <c r="E484" s="2" t="s">
        <v>4256</v>
      </c>
    </row>
    <row r="485" customFormat="false" ht="15" hidden="false" customHeight="false" outlineLevel="0" collapsed="false">
      <c r="A485" s="2" t="s">
        <v>2135</v>
      </c>
      <c r="B485" s="2" t="s">
        <v>4145</v>
      </c>
      <c r="C485" s="2" t="s">
        <v>45</v>
      </c>
      <c r="D485" s="2" t="s">
        <v>4146</v>
      </c>
      <c r="E485" s="2" t="s">
        <v>4148</v>
      </c>
    </row>
    <row r="486" customFormat="false" ht="15" hidden="false" customHeight="false" outlineLevel="0" collapsed="false">
      <c r="A486" s="2" t="s">
        <v>2135</v>
      </c>
      <c r="B486" s="2" t="s">
        <v>4145</v>
      </c>
      <c r="C486" s="2" t="s">
        <v>46</v>
      </c>
      <c r="D486" s="2" t="s">
        <v>4250</v>
      </c>
      <c r="E486" s="2" t="s">
        <v>4251</v>
      </c>
    </row>
    <row r="487" customFormat="false" ht="15" hidden="false" customHeight="false" outlineLevel="0" collapsed="false">
      <c r="A487" s="2" t="s">
        <v>1455</v>
      </c>
      <c r="B487" s="2" t="s">
        <v>4145</v>
      </c>
      <c r="C487" s="2" t="s">
        <v>45</v>
      </c>
      <c r="D487" s="2" t="s">
        <v>4146</v>
      </c>
      <c r="E487" s="2" t="s">
        <v>4141</v>
      </c>
    </row>
    <row r="488" customFormat="false" ht="15" hidden="false" customHeight="false" outlineLevel="0" collapsed="false">
      <c r="A488" s="2" t="s">
        <v>3006</v>
      </c>
      <c r="B488" s="2" t="s">
        <v>4145</v>
      </c>
      <c r="C488" s="2" t="s">
        <v>45</v>
      </c>
      <c r="D488" s="2" t="s">
        <v>662</v>
      </c>
      <c r="E488" s="2" t="s">
        <v>4186</v>
      </c>
    </row>
    <row r="489" customFormat="false" ht="15" hidden="false" customHeight="false" outlineLevel="0" collapsed="false">
      <c r="A489" s="2" t="s">
        <v>3006</v>
      </c>
      <c r="B489" s="2" t="s">
        <v>4145</v>
      </c>
      <c r="C489" s="2" t="s">
        <v>46</v>
      </c>
      <c r="D489" s="2" t="s">
        <v>4193</v>
      </c>
      <c r="E489" s="2" t="s">
        <v>4231</v>
      </c>
    </row>
    <row r="490" customFormat="false" ht="15" hidden="false" customHeight="false" outlineLevel="0" collapsed="false">
      <c r="A490" s="2" t="s">
        <v>861</v>
      </c>
      <c r="B490" s="2" t="s">
        <v>4145</v>
      </c>
      <c r="C490" s="2" t="s">
        <v>46</v>
      </c>
      <c r="D490" s="2" t="s">
        <v>4146</v>
      </c>
      <c r="E490" s="2" t="s">
        <v>4142</v>
      </c>
    </row>
    <row r="491" customFormat="false" ht="15" hidden="false" customHeight="false" outlineLevel="0" collapsed="false">
      <c r="A491" s="2" t="s">
        <v>999</v>
      </c>
      <c r="B491" s="2" t="s">
        <v>4145</v>
      </c>
      <c r="C491" s="2" t="s">
        <v>46</v>
      </c>
      <c r="D491" s="2" t="s">
        <v>661</v>
      </c>
      <c r="E491" s="2" t="s">
        <v>4176</v>
      </c>
    </row>
    <row r="492" customFormat="false" ht="15" hidden="false" customHeight="false" outlineLevel="0" collapsed="false">
      <c r="A492" s="2" t="s">
        <v>1420</v>
      </c>
      <c r="B492" s="2" t="s">
        <v>4145</v>
      </c>
      <c r="C492" s="2" t="s">
        <v>47</v>
      </c>
      <c r="D492" s="2" t="s">
        <v>4257</v>
      </c>
      <c r="E492" s="2" t="s">
        <v>4258</v>
      </c>
    </row>
    <row r="493" customFormat="false" ht="15" hidden="false" customHeight="false" outlineLevel="0" collapsed="false">
      <c r="A493" s="2" t="s">
        <v>906</v>
      </c>
      <c r="B493" s="2" t="s">
        <v>4145</v>
      </c>
      <c r="C493" s="2" t="s">
        <v>46</v>
      </c>
      <c r="D493" s="2" t="s">
        <v>662</v>
      </c>
      <c r="E493" s="2" t="s">
        <v>4178</v>
      </c>
    </row>
    <row r="494" customFormat="false" ht="15" hidden="false" customHeight="false" outlineLevel="0" collapsed="false">
      <c r="A494" s="2" t="s">
        <v>3011</v>
      </c>
      <c r="B494" s="2" t="s">
        <v>4145</v>
      </c>
      <c r="C494" s="2" t="s">
        <v>47</v>
      </c>
      <c r="D494" s="2" t="s">
        <v>4146</v>
      </c>
      <c r="E494" s="2" t="s">
        <v>4135</v>
      </c>
    </row>
    <row r="495" customFormat="false" ht="15" hidden="false" customHeight="false" outlineLevel="0" collapsed="false">
      <c r="A495" s="2" t="s">
        <v>3012</v>
      </c>
      <c r="B495" s="2" t="s">
        <v>4145</v>
      </c>
      <c r="C495" s="2" t="s">
        <v>45</v>
      </c>
      <c r="D495" s="2" t="s">
        <v>4197</v>
      </c>
      <c r="E495" s="2" t="s">
        <v>4198</v>
      </c>
    </row>
    <row r="496" customFormat="false" ht="15" hidden="false" customHeight="false" outlineLevel="0" collapsed="false">
      <c r="A496" s="2" t="s">
        <v>3012</v>
      </c>
      <c r="B496" s="2" t="s">
        <v>4145</v>
      </c>
      <c r="C496" s="2" t="s">
        <v>46</v>
      </c>
      <c r="D496" s="2" t="s">
        <v>4146</v>
      </c>
      <c r="E496" s="2" t="s">
        <v>4142</v>
      </c>
    </row>
    <row r="497" customFormat="false" ht="15" hidden="false" customHeight="false" outlineLevel="0" collapsed="false">
      <c r="A497" s="2" t="s">
        <v>2319</v>
      </c>
      <c r="B497" s="2" t="s">
        <v>4145</v>
      </c>
      <c r="C497" s="2" t="s">
        <v>45</v>
      </c>
      <c r="D497" s="2" t="s">
        <v>4146</v>
      </c>
      <c r="E497" s="2" t="s">
        <v>4148</v>
      </c>
    </row>
    <row r="498" customFormat="false" ht="15" hidden="false" customHeight="false" outlineLevel="0" collapsed="false">
      <c r="A498" s="2" t="s">
        <v>1926</v>
      </c>
      <c r="B498" s="2" t="s">
        <v>4145</v>
      </c>
      <c r="C498" s="2" t="s">
        <v>45</v>
      </c>
      <c r="D498" s="2" t="s">
        <v>4146</v>
      </c>
      <c r="E498" s="2" t="s">
        <v>4148</v>
      </c>
    </row>
    <row r="499" customFormat="false" ht="15" hidden="false" customHeight="false" outlineLevel="0" collapsed="false">
      <c r="A499" s="2" t="s">
        <v>1814</v>
      </c>
      <c r="B499" s="2" t="s">
        <v>4145</v>
      </c>
      <c r="C499" s="2" t="s">
        <v>45</v>
      </c>
      <c r="D499" s="2" t="s">
        <v>4146</v>
      </c>
      <c r="E499" s="2" t="s">
        <v>4142</v>
      </c>
    </row>
    <row r="500" customFormat="false" ht="15" hidden="false" customHeight="false" outlineLevel="0" collapsed="false">
      <c r="A500" s="2" t="s">
        <v>1359</v>
      </c>
      <c r="B500" s="2" t="s">
        <v>4145</v>
      </c>
      <c r="C500" s="2" t="s">
        <v>46</v>
      </c>
      <c r="D500" s="2" t="s">
        <v>4146</v>
      </c>
      <c r="E500" s="2" t="s">
        <v>4142</v>
      </c>
    </row>
    <row r="501" customFormat="false" ht="15" hidden="false" customHeight="false" outlineLevel="0" collapsed="false">
      <c r="A501" s="2" t="s">
        <v>1567</v>
      </c>
      <c r="B501" s="2" t="s">
        <v>4145</v>
      </c>
      <c r="C501" s="2" t="s">
        <v>45</v>
      </c>
      <c r="D501" s="2" t="s">
        <v>662</v>
      </c>
      <c r="E501" s="2" t="s">
        <v>4201</v>
      </c>
    </row>
    <row r="502" customFormat="false" ht="15" hidden="false" customHeight="false" outlineLevel="0" collapsed="false">
      <c r="A502" s="2" t="s">
        <v>1567</v>
      </c>
      <c r="B502" s="2" t="s">
        <v>4145</v>
      </c>
      <c r="C502" s="2" t="s">
        <v>47</v>
      </c>
      <c r="D502" s="2" t="s">
        <v>4146</v>
      </c>
      <c r="E502" s="2" t="s">
        <v>4135</v>
      </c>
    </row>
    <row r="503" customFormat="false" ht="15" hidden="false" customHeight="false" outlineLevel="0" collapsed="false">
      <c r="A503" s="2" t="s">
        <v>2475</v>
      </c>
      <c r="B503" s="2" t="s">
        <v>4145</v>
      </c>
      <c r="C503" s="2" t="s">
        <v>45</v>
      </c>
      <c r="D503" s="2" t="s">
        <v>661</v>
      </c>
      <c r="E503" s="2" t="s">
        <v>4152</v>
      </c>
    </row>
    <row r="504" customFormat="false" ht="15" hidden="false" customHeight="false" outlineLevel="0" collapsed="false">
      <c r="A504" s="2" t="s">
        <v>2475</v>
      </c>
      <c r="B504" s="2" t="s">
        <v>4145</v>
      </c>
      <c r="C504" s="2" t="s">
        <v>46</v>
      </c>
      <c r="D504" s="2" t="s">
        <v>662</v>
      </c>
      <c r="E504" s="2" t="s">
        <v>4186</v>
      </c>
    </row>
    <row r="505" customFormat="false" ht="15" hidden="false" customHeight="false" outlineLevel="0" collapsed="false">
      <c r="A505" s="2" t="s">
        <v>3016</v>
      </c>
      <c r="B505" s="2" t="s">
        <v>4145</v>
      </c>
      <c r="C505" s="2" t="s">
        <v>46</v>
      </c>
      <c r="D505" s="2" t="s">
        <v>662</v>
      </c>
      <c r="E505" s="2" t="s">
        <v>4259</v>
      </c>
    </row>
    <row r="506" customFormat="false" ht="15" hidden="false" customHeight="false" outlineLevel="0" collapsed="false">
      <c r="A506" s="2" t="s">
        <v>731</v>
      </c>
      <c r="B506" s="2" t="s">
        <v>4145</v>
      </c>
      <c r="C506" s="2" t="s">
        <v>46</v>
      </c>
      <c r="D506" s="2" t="s">
        <v>4146</v>
      </c>
      <c r="E506" s="2" t="s">
        <v>4143</v>
      </c>
    </row>
    <row r="507" customFormat="false" ht="15" hidden="false" customHeight="false" outlineLevel="0" collapsed="false">
      <c r="A507" s="2" t="s">
        <v>2652</v>
      </c>
      <c r="B507" s="2" t="s">
        <v>4145</v>
      </c>
      <c r="C507" s="2" t="s">
        <v>46</v>
      </c>
      <c r="D507" s="2" t="s">
        <v>4146</v>
      </c>
      <c r="E507" s="2" t="s">
        <v>4142</v>
      </c>
    </row>
    <row r="508" customFormat="false" ht="15" hidden="false" customHeight="false" outlineLevel="0" collapsed="false">
      <c r="A508" s="2" t="s">
        <v>3018</v>
      </c>
      <c r="B508" s="2" t="s">
        <v>4145</v>
      </c>
      <c r="C508" s="2" t="s">
        <v>45</v>
      </c>
      <c r="D508" s="2" t="s">
        <v>4146</v>
      </c>
      <c r="E508" s="2" t="s">
        <v>4142</v>
      </c>
    </row>
    <row r="509" customFormat="false" ht="15" hidden="false" customHeight="false" outlineLevel="0" collapsed="false">
      <c r="A509" s="2" t="s">
        <v>3018</v>
      </c>
      <c r="B509" s="2" t="s">
        <v>4145</v>
      </c>
      <c r="C509" s="2" t="s">
        <v>47</v>
      </c>
      <c r="D509" s="2" t="s">
        <v>661</v>
      </c>
      <c r="E509" s="2" t="s">
        <v>4152</v>
      </c>
    </row>
    <row r="510" customFormat="false" ht="15" hidden="false" customHeight="false" outlineLevel="0" collapsed="false">
      <c r="A510" s="2" t="s">
        <v>2386</v>
      </c>
      <c r="B510" s="2" t="s">
        <v>4145</v>
      </c>
      <c r="C510" s="2" t="s">
        <v>45</v>
      </c>
      <c r="D510" s="2" t="s">
        <v>660</v>
      </c>
      <c r="E510" s="2" t="s">
        <v>4183</v>
      </c>
    </row>
    <row r="511" customFormat="false" ht="15" hidden="false" customHeight="false" outlineLevel="0" collapsed="false">
      <c r="A511" s="2" t="s">
        <v>2386</v>
      </c>
      <c r="B511" s="2" t="s">
        <v>4145</v>
      </c>
      <c r="C511" s="2" t="s">
        <v>46</v>
      </c>
      <c r="D511" s="2" t="s">
        <v>4146</v>
      </c>
      <c r="E511" s="2" t="s">
        <v>4148</v>
      </c>
    </row>
    <row r="512" customFormat="false" ht="15" hidden="false" customHeight="false" outlineLevel="0" collapsed="false">
      <c r="A512" s="2" t="s">
        <v>1525</v>
      </c>
      <c r="B512" s="2" t="s">
        <v>4145</v>
      </c>
      <c r="C512" s="2" t="s">
        <v>45</v>
      </c>
      <c r="D512" s="2" t="s">
        <v>662</v>
      </c>
      <c r="E512" s="2" t="s">
        <v>4260</v>
      </c>
    </row>
    <row r="513" customFormat="false" ht="15" hidden="false" customHeight="false" outlineLevel="0" collapsed="false">
      <c r="A513" s="2" t="s">
        <v>2577</v>
      </c>
      <c r="B513" s="2" t="s">
        <v>4145</v>
      </c>
      <c r="C513" s="2" t="s">
        <v>45</v>
      </c>
      <c r="D513" s="2" t="s">
        <v>4197</v>
      </c>
      <c r="E513" s="2" t="s">
        <v>4198</v>
      </c>
    </row>
    <row r="514" customFormat="false" ht="15" hidden="false" customHeight="false" outlineLevel="0" collapsed="false">
      <c r="A514" s="2" t="s">
        <v>1673</v>
      </c>
      <c r="B514" s="2" t="s">
        <v>4145</v>
      </c>
      <c r="C514" s="2" t="s">
        <v>45</v>
      </c>
      <c r="D514" s="2" t="s">
        <v>662</v>
      </c>
      <c r="E514" s="2" t="s">
        <v>4164</v>
      </c>
    </row>
    <row r="515" customFormat="false" ht="15" hidden="false" customHeight="false" outlineLevel="0" collapsed="false">
      <c r="A515" s="2" t="s">
        <v>738</v>
      </c>
      <c r="B515" s="2" t="s">
        <v>4145</v>
      </c>
      <c r="C515" s="2" t="s">
        <v>46</v>
      </c>
      <c r="D515" s="2" t="s">
        <v>661</v>
      </c>
      <c r="E515" s="2" t="s">
        <v>4261</v>
      </c>
    </row>
    <row r="516" customFormat="false" ht="15" hidden="false" customHeight="false" outlineLevel="0" collapsed="false">
      <c r="A516" s="2" t="s">
        <v>3024</v>
      </c>
      <c r="B516" s="2" t="s">
        <v>4145</v>
      </c>
      <c r="C516" s="2" t="s">
        <v>45</v>
      </c>
      <c r="D516" s="2" t="s">
        <v>662</v>
      </c>
      <c r="E516" s="2" t="s">
        <v>4164</v>
      </c>
    </row>
    <row r="517" customFormat="false" ht="15" hidden="false" customHeight="false" outlineLevel="0" collapsed="false">
      <c r="A517" s="2" t="s">
        <v>2556</v>
      </c>
      <c r="B517" s="2" t="s">
        <v>4145</v>
      </c>
      <c r="C517" s="2" t="s">
        <v>46</v>
      </c>
      <c r="D517" s="2" t="s">
        <v>4146</v>
      </c>
      <c r="E517" s="2" t="s">
        <v>4142</v>
      </c>
    </row>
    <row r="518" customFormat="false" ht="15" hidden="false" customHeight="false" outlineLevel="0" collapsed="false">
      <c r="A518" s="2" t="s">
        <v>3026</v>
      </c>
      <c r="B518" s="2" t="s">
        <v>4145</v>
      </c>
      <c r="C518" s="2" t="s">
        <v>45</v>
      </c>
      <c r="D518" s="2" t="s">
        <v>4150</v>
      </c>
      <c r="E518" s="2" t="s">
        <v>4151</v>
      </c>
    </row>
    <row r="519" customFormat="false" ht="15" hidden="false" customHeight="false" outlineLevel="0" collapsed="false">
      <c r="A519" s="2" t="s">
        <v>3026</v>
      </c>
      <c r="B519" s="2" t="s">
        <v>4145</v>
      </c>
      <c r="C519" s="2" t="s">
        <v>46</v>
      </c>
      <c r="D519" s="2" t="s">
        <v>661</v>
      </c>
      <c r="E519" s="2" t="s">
        <v>4152</v>
      </c>
    </row>
    <row r="520" customFormat="false" ht="15" hidden="false" customHeight="false" outlineLevel="0" collapsed="false">
      <c r="A520" s="2" t="s">
        <v>3026</v>
      </c>
      <c r="B520" s="2" t="s">
        <v>4145</v>
      </c>
      <c r="C520" s="2" t="s">
        <v>47</v>
      </c>
      <c r="D520" s="2" t="s">
        <v>661</v>
      </c>
      <c r="E520" s="2" t="s">
        <v>4253</v>
      </c>
    </row>
    <row r="521" customFormat="false" ht="15" hidden="false" customHeight="false" outlineLevel="0" collapsed="false">
      <c r="A521" s="2" t="s">
        <v>3030</v>
      </c>
      <c r="B521" s="2" t="s">
        <v>4145</v>
      </c>
      <c r="C521" s="2" t="s">
        <v>45</v>
      </c>
      <c r="D521" s="2" t="s">
        <v>4146</v>
      </c>
      <c r="E521" s="2" t="s">
        <v>4142</v>
      </c>
    </row>
    <row r="522" customFormat="false" ht="15" hidden="false" customHeight="false" outlineLevel="0" collapsed="false">
      <c r="A522" s="2" t="s">
        <v>3030</v>
      </c>
      <c r="B522" s="2" t="s">
        <v>4145</v>
      </c>
      <c r="C522" s="2" t="s">
        <v>46</v>
      </c>
      <c r="D522" s="2" t="s">
        <v>4153</v>
      </c>
      <c r="E522" s="2" t="s">
        <v>4230</v>
      </c>
    </row>
    <row r="523" customFormat="false" ht="15" hidden="false" customHeight="false" outlineLevel="0" collapsed="false">
      <c r="A523" s="2" t="s">
        <v>3030</v>
      </c>
      <c r="B523" s="2" t="s">
        <v>4145</v>
      </c>
      <c r="C523" s="2" t="s">
        <v>47</v>
      </c>
      <c r="D523" s="2" t="s">
        <v>4146</v>
      </c>
      <c r="E523" s="2" t="s">
        <v>4142</v>
      </c>
    </row>
    <row r="524" customFormat="false" ht="15" hidden="false" customHeight="false" outlineLevel="0" collapsed="false">
      <c r="A524" s="2" t="s">
        <v>987</v>
      </c>
      <c r="B524" s="2" t="s">
        <v>4145</v>
      </c>
      <c r="C524" s="2" t="s">
        <v>46</v>
      </c>
      <c r="D524" s="2" t="s">
        <v>662</v>
      </c>
      <c r="E524" s="2" t="s">
        <v>4185</v>
      </c>
    </row>
    <row r="525" customFormat="false" ht="15" hidden="false" customHeight="false" outlineLevel="0" collapsed="false">
      <c r="A525" s="2" t="s">
        <v>3033</v>
      </c>
      <c r="B525" s="2" t="s">
        <v>4145</v>
      </c>
      <c r="C525" s="2" t="s">
        <v>45</v>
      </c>
      <c r="D525" s="2" t="s">
        <v>4153</v>
      </c>
      <c r="E525" s="2" t="s">
        <v>4262</v>
      </c>
    </row>
    <row r="526" customFormat="false" ht="15" hidden="false" customHeight="false" outlineLevel="0" collapsed="false">
      <c r="A526" s="2" t="s">
        <v>3033</v>
      </c>
      <c r="B526" s="2" t="s">
        <v>4145</v>
      </c>
      <c r="C526" s="2" t="s">
        <v>47</v>
      </c>
      <c r="D526" s="2" t="s">
        <v>4146</v>
      </c>
      <c r="E526" s="2" t="s">
        <v>4157</v>
      </c>
    </row>
    <row r="527" customFormat="false" ht="15" hidden="false" customHeight="false" outlineLevel="0" collapsed="false">
      <c r="A527" s="2" t="s">
        <v>1546</v>
      </c>
      <c r="B527" s="2" t="s">
        <v>4145</v>
      </c>
      <c r="C527" s="2" t="s">
        <v>45</v>
      </c>
      <c r="D527" s="2" t="s">
        <v>4146</v>
      </c>
      <c r="E527" s="2" t="s">
        <v>4142</v>
      </c>
    </row>
    <row r="528" customFormat="false" ht="15" hidden="false" customHeight="false" outlineLevel="0" collapsed="false">
      <c r="A528" s="2" t="s">
        <v>1488</v>
      </c>
      <c r="B528" s="2" t="s">
        <v>4145</v>
      </c>
      <c r="C528" s="2" t="s">
        <v>45</v>
      </c>
      <c r="D528" s="2" t="s">
        <v>4212</v>
      </c>
      <c r="E528" s="2" t="s">
        <v>4263</v>
      </c>
    </row>
    <row r="529" customFormat="false" ht="15" hidden="false" customHeight="false" outlineLevel="0" collapsed="false">
      <c r="A529" s="2" t="s">
        <v>1488</v>
      </c>
      <c r="B529" s="2" t="s">
        <v>4145</v>
      </c>
      <c r="C529" s="2" t="s">
        <v>47</v>
      </c>
      <c r="D529" s="2" t="s">
        <v>660</v>
      </c>
      <c r="E529" s="2" t="s">
        <v>4264</v>
      </c>
    </row>
    <row r="530" customFormat="false" ht="15" hidden="false" customHeight="false" outlineLevel="0" collapsed="false">
      <c r="A530" s="2" t="s">
        <v>1036</v>
      </c>
      <c r="B530" s="2" t="s">
        <v>4145</v>
      </c>
      <c r="C530" s="2" t="s">
        <v>46</v>
      </c>
      <c r="D530" s="2" t="s">
        <v>4197</v>
      </c>
      <c r="E530" s="2" t="s">
        <v>4198</v>
      </c>
    </row>
    <row r="531" customFormat="false" ht="15" hidden="false" customHeight="false" outlineLevel="0" collapsed="false">
      <c r="A531" s="2" t="s">
        <v>1969</v>
      </c>
      <c r="B531" s="2" t="s">
        <v>4145</v>
      </c>
      <c r="C531" s="2" t="s">
        <v>45</v>
      </c>
      <c r="D531" s="2" t="s">
        <v>662</v>
      </c>
      <c r="E531" s="2" t="s">
        <v>4166</v>
      </c>
    </row>
    <row r="532" customFormat="false" ht="15" hidden="false" customHeight="false" outlineLevel="0" collapsed="false">
      <c r="A532" s="2" t="s">
        <v>1969</v>
      </c>
      <c r="B532" s="2" t="s">
        <v>4145</v>
      </c>
      <c r="C532" s="2" t="s">
        <v>46</v>
      </c>
      <c r="D532" s="2" t="s">
        <v>4146</v>
      </c>
      <c r="E532" s="2" t="s">
        <v>4142</v>
      </c>
    </row>
    <row r="533" customFormat="false" ht="15" hidden="false" customHeight="false" outlineLevel="0" collapsed="false">
      <c r="A533" s="2" t="s">
        <v>1399</v>
      </c>
      <c r="B533" s="2" t="s">
        <v>4145</v>
      </c>
      <c r="C533" s="2" t="s">
        <v>45</v>
      </c>
      <c r="D533" s="2" t="s">
        <v>4146</v>
      </c>
      <c r="E533" s="2" t="s">
        <v>4143</v>
      </c>
    </row>
    <row r="534" customFormat="false" ht="15" hidden="false" customHeight="false" outlineLevel="0" collapsed="false">
      <c r="A534" s="2" t="s">
        <v>1651</v>
      </c>
      <c r="B534" s="2" t="s">
        <v>4145</v>
      </c>
      <c r="C534" s="2" t="s">
        <v>45</v>
      </c>
      <c r="D534" s="2" t="s">
        <v>662</v>
      </c>
      <c r="E534" s="2" t="s">
        <v>4178</v>
      </c>
    </row>
    <row r="535" customFormat="false" ht="15" hidden="false" customHeight="false" outlineLevel="0" collapsed="false">
      <c r="A535" s="2" t="s">
        <v>2170</v>
      </c>
      <c r="B535" s="2" t="s">
        <v>4145</v>
      </c>
      <c r="C535" s="2" t="s">
        <v>45</v>
      </c>
      <c r="D535" s="2" t="s">
        <v>662</v>
      </c>
      <c r="E535" s="2" t="s">
        <v>4168</v>
      </c>
    </row>
    <row r="536" customFormat="false" ht="15" hidden="false" customHeight="false" outlineLevel="0" collapsed="false">
      <c r="A536" s="2" t="s">
        <v>2170</v>
      </c>
      <c r="B536" s="2" t="s">
        <v>4145</v>
      </c>
      <c r="C536" s="2" t="s">
        <v>46</v>
      </c>
      <c r="D536" s="2" t="s">
        <v>662</v>
      </c>
      <c r="E536" s="2" t="s">
        <v>4227</v>
      </c>
    </row>
    <row r="537" customFormat="false" ht="15" hidden="false" customHeight="false" outlineLevel="0" collapsed="false">
      <c r="A537" s="2" t="s">
        <v>1180</v>
      </c>
      <c r="B537" s="2" t="s">
        <v>4145</v>
      </c>
      <c r="C537" s="2" t="s">
        <v>46</v>
      </c>
      <c r="D537" s="2" t="s">
        <v>662</v>
      </c>
      <c r="E537" s="2" t="s">
        <v>4179</v>
      </c>
    </row>
    <row r="538" customFormat="false" ht="15" hidden="false" customHeight="false" outlineLevel="0" collapsed="false">
      <c r="A538" s="2" t="s">
        <v>1107</v>
      </c>
      <c r="B538" s="2" t="s">
        <v>4145</v>
      </c>
      <c r="C538" s="2" t="s">
        <v>46</v>
      </c>
      <c r="D538" s="2" t="s">
        <v>4146</v>
      </c>
      <c r="E538" s="2" t="s">
        <v>4265</v>
      </c>
    </row>
    <row r="539" customFormat="false" ht="15" hidden="false" customHeight="false" outlineLevel="0" collapsed="false">
      <c r="A539" s="2" t="s">
        <v>1543</v>
      </c>
      <c r="B539" s="2" t="s">
        <v>4145</v>
      </c>
      <c r="C539" s="2" t="s">
        <v>45</v>
      </c>
      <c r="D539" s="2" t="s">
        <v>4150</v>
      </c>
      <c r="E539" s="2" t="s">
        <v>4191</v>
      </c>
    </row>
    <row r="540" customFormat="false" ht="15" hidden="false" customHeight="false" outlineLevel="0" collapsed="false">
      <c r="A540" s="2" t="s">
        <v>2224</v>
      </c>
      <c r="B540" s="2" t="s">
        <v>4145</v>
      </c>
      <c r="C540" s="2" t="s">
        <v>45</v>
      </c>
      <c r="D540" s="2" t="s">
        <v>4146</v>
      </c>
      <c r="E540" s="2" t="s">
        <v>4148</v>
      </c>
    </row>
    <row r="541" customFormat="false" ht="15" hidden="false" customHeight="false" outlineLevel="0" collapsed="false">
      <c r="A541" s="2" t="s">
        <v>2224</v>
      </c>
      <c r="B541" s="2" t="s">
        <v>4145</v>
      </c>
      <c r="C541" s="2" t="s">
        <v>46</v>
      </c>
      <c r="D541" s="2" t="s">
        <v>4146</v>
      </c>
      <c r="E541" s="2" t="s">
        <v>4148</v>
      </c>
    </row>
    <row r="542" customFormat="false" ht="15" hidden="false" customHeight="false" outlineLevel="0" collapsed="false">
      <c r="A542" s="2" t="s">
        <v>2394</v>
      </c>
      <c r="B542" s="2" t="s">
        <v>4145</v>
      </c>
      <c r="C542" s="2" t="s">
        <v>45</v>
      </c>
      <c r="D542" s="2" t="s">
        <v>4146</v>
      </c>
      <c r="E542" s="2" t="s">
        <v>4142</v>
      </c>
    </row>
    <row r="543" customFormat="false" ht="15" hidden="false" customHeight="false" outlineLevel="0" collapsed="false">
      <c r="A543" s="2" t="s">
        <v>2394</v>
      </c>
      <c r="B543" s="2" t="s">
        <v>4145</v>
      </c>
      <c r="C543" s="2" t="s">
        <v>46</v>
      </c>
      <c r="D543" s="2" t="s">
        <v>4146</v>
      </c>
      <c r="E543" s="2" t="s">
        <v>4141</v>
      </c>
    </row>
    <row r="544" customFormat="false" ht="15" hidden="false" customHeight="false" outlineLevel="0" collapsed="false">
      <c r="A544" s="2" t="s">
        <v>1595</v>
      </c>
      <c r="B544" s="2" t="s">
        <v>4145</v>
      </c>
      <c r="C544" s="2" t="s">
        <v>45</v>
      </c>
      <c r="D544" s="2" t="s">
        <v>4197</v>
      </c>
      <c r="E544" s="2" t="s">
        <v>4198</v>
      </c>
    </row>
    <row r="545" customFormat="false" ht="15" hidden="false" customHeight="false" outlineLevel="0" collapsed="false">
      <c r="A545" s="2" t="s">
        <v>2624</v>
      </c>
      <c r="B545" s="2" t="s">
        <v>4145</v>
      </c>
      <c r="C545" s="2" t="s">
        <v>46</v>
      </c>
      <c r="D545" s="2" t="s">
        <v>662</v>
      </c>
      <c r="E545" s="2" t="s">
        <v>4166</v>
      </c>
    </row>
    <row r="546" customFormat="false" ht="15" hidden="false" customHeight="false" outlineLevel="0" collapsed="false">
      <c r="A546" s="2" t="s">
        <v>1781</v>
      </c>
      <c r="B546" s="2" t="s">
        <v>4145</v>
      </c>
      <c r="C546" s="2" t="s">
        <v>45</v>
      </c>
      <c r="D546" s="2" t="s">
        <v>662</v>
      </c>
      <c r="E546" s="2" t="s">
        <v>4166</v>
      </c>
    </row>
    <row r="547" customFormat="false" ht="15" hidden="false" customHeight="false" outlineLevel="0" collapsed="false">
      <c r="A547" s="2" t="s">
        <v>1032</v>
      </c>
      <c r="B547" s="2" t="s">
        <v>4145</v>
      </c>
      <c r="C547" s="2" t="s">
        <v>47</v>
      </c>
      <c r="D547" s="2" t="s">
        <v>4146</v>
      </c>
      <c r="E547" s="2" t="s">
        <v>4157</v>
      </c>
    </row>
    <row r="548" customFormat="false" ht="15" hidden="false" customHeight="false" outlineLevel="0" collapsed="false">
      <c r="A548" s="2" t="s">
        <v>3046</v>
      </c>
      <c r="B548" s="2" t="s">
        <v>4145</v>
      </c>
      <c r="C548" s="2" t="s">
        <v>46</v>
      </c>
      <c r="D548" s="2" t="s">
        <v>662</v>
      </c>
      <c r="E548" s="2" t="s">
        <v>4179</v>
      </c>
    </row>
    <row r="549" customFormat="false" ht="15" hidden="false" customHeight="false" outlineLevel="0" collapsed="false">
      <c r="A549" s="2" t="s">
        <v>1509</v>
      </c>
      <c r="B549" s="2" t="s">
        <v>4145</v>
      </c>
      <c r="C549" s="2" t="s">
        <v>45</v>
      </c>
      <c r="D549" s="2" t="s">
        <v>4146</v>
      </c>
      <c r="E549" s="2" t="s">
        <v>4143</v>
      </c>
    </row>
    <row r="550" customFormat="false" ht="15" hidden="false" customHeight="false" outlineLevel="0" collapsed="false">
      <c r="A550" s="2" t="s">
        <v>802</v>
      </c>
      <c r="B550" s="2" t="s">
        <v>4145</v>
      </c>
      <c r="C550" s="2" t="s">
        <v>46</v>
      </c>
      <c r="D550" s="2" t="s">
        <v>4212</v>
      </c>
      <c r="E550" s="2" t="s">
        <v>4263</v>
      </c>
    </row>
    <row r="551" customFormat="false" ht="15" hidden="false" customHeight="false" outlineLevel="0" collapsed="false">
      <c r="A551" s="2" t="s">
        <v>802</v>
      </c>
      <c r="B551" s="2" t="s">
        <v>4145</v>
      </c>
      <c r="C551" s="2" t="s">
        <v>47</v>
      </c>
      <c r="D551" s="2" t="s">
        <v>662</v>
      </c>
      <c r="E551" s="2" t="s">
        <v>4173</v>
      </c>
    </row>
    <row r="552" customFormat="false" ht="15" hidden="false" customHeight="false" outlineLevel="0" collapsed="false">
      <c r="A552" s="2" t="s">
        <v>1002</v>
      </c>
      <c r="B552" s="2" t="s">
        <v>4145</v>
      </c>
      <c r="C552" s="2" t="s">
        <v>46</v>
      </c>
      <c r="D552" s="2" t="s">
        <v>4153</v>
      </c>
      <c r="E552" s="2" t="s">
        <v>4266</v>
      </c>
    </row>
    <row r="553" customFormat="false" ht="15" hidden="false" customHeight="false" outlineLevel="0" collapsed="false">
      <c r="A553" s="2" t="s">
        <v>2129</v>
      </c>
      <c r="B553" s="2" t="s">
        <v>4145</v>
      </c>
      <c r="C553" s="2" t="s">
        <v>45</v>
      </c>
      <c r="D553" s="2" t="s">
        <v>4193</v>
      </c>
      <c r="E553" s="2" t="s">
        <v>4231</v>
      </c>
    </row>
    <row r="554" customFormat="false" ht="15" hidden="false" customHeight="false" outlineLevel="0" collapsed="false">
      <c r="A554" s="2" t="s">
        <v>2129</v>
      </c>
      <c r="B554" s="2" t="s">
        <v>4145</v>
      </c>
      <c r="C554" s="2" t="s">
        <v>46</v>
      </c>
      <c r="D554" s="2" t="s">
        <v>4146</v>
      </c>
      <c r="E554" s="2" t="s">
        <v>4148</v>
      </c>
    </row>
    <row r="555" customFormat="false" ht="15" hidden="false" customHeight="false" outlineLevel="0" collapsed="false">
      <c r="A555" s="2" t="s">
        <v>2348</v>
      </c>
      <c r="B555" s="2" t="s">
        <v>4145</v>
      </c>
      <c r="C555" s="2" t="s">
        <v>45</v>
      </c>
      <c r="D555" s="2" t="s">
        <v>4146</v>
      </c>
      <c r="E555" s="2" t="s">
        <v>4143</v>
      </c>
    </row>
    <row r="556" customFormat="false" ht="15" hidden="false" customHeight="false" outlineLevel="0" collapsed="false">
      <c r="A556" s="2" t="s">
        <v>2348</v>
      </c>
      <c r="B556" s="2" t="s">
        <v>4145</v>
      </c>
      <c r="C556" s="2" t="s">
        <v>46</v>
      </c>
      <c r="D556" s="2" t="s">
        <v>4146</v>
      </c>
      <c r="E556" s="2" t="s">
        <v>4142</v>
      </c>
    </row>
    <row r="557" customFormat="false" ht="15" hidden="false" customHeight="false" outlineLevel="0" collapsed="false">
      <c r="A557" s="2" t="s">
        <v>3052</v>
      </c>
      <c r="B557" s="2" t="s">
        <v>4145</v>
      </c>
      <c r="C557" s="2" t="s">
        <v>46</v>
      </c>
      <c r="D557" s="2" t="s">
        <v>661</v>
      </c>
      <c r="E557" s="2" t="s">
        <v>4176</v>
      </c>
    </row>
    <row r="558" customFormat="false" ht="15" hidden="false" customHeight="false" outlineLevel="0" collapsed="false">
      <c r="A558" s="2" t="s">
        <v>2444</v>
      </c>
      <c r="B558" s="2" t="s">
        <v>4145</v>
      </c>
      <c r="C558" s="2" t="s">
        <v>45</v>
      </c>
      <c r="D558" s="2" t="s">
        <v>4146</v>
      </c>
      <c r="E558" s="2" t="s">
        <v>4148</v>
      </c>
    </row>
    <row r="559" customFormat="false" ht="15" hidden="false" customHeight="false" outlineLevel="0" collapsed="false">
      <c r="A559" s="2" t="s">
        <v>2444</v>
      </c>
      <c r="B559" s="2" t="s">
        <v>4145</v>
      </c>
      <c r="C559" s="2" t="s">
        <v>46</v>
      </c>
      <c r="D559" s="2" t="s">
        <v>4146</v>
      </c>
      <c r="E559" s="2" t="s">
        <v>4142</v>
      </c>
    </row>
    <row r="560" customFormat="false" ht="15" hidden="false" customHeight="false" outlineLevel="0" collapsed="false">
      <c r="A560" s="2" t="s">
        <v>850</v>
      </c>
      <c r="B560" s="2" t="s">
        <v>4145</v>
      </c>
      <c r="C560" s="2" t="s">
        <v>46</v>
      </c>
      <c r="D560" s="2" t="s">
        <v>4150</v>
      </c>
      <c r="E560" s="2" t="s">
        <v>4191</v>
      </c>
    </row>
    <row r="561" customFormat="false" ht="15" hidden="false" customHeight="false" outlineLevel="0" collapsed="false">
      <c r="A561" s="2" t="s">
        <v>850</v>
      </c>
      <c r="B561" s="2" t="s">
        <v>4145</v>
      </c>
      <c r="C561" s="2" t="s">
        <v>47</v>
      </c>
      <c r="D561" s="2" t="s">
        <v>660</v>
      </c>
      <c r="E561" s="2" t="s">
        <v>4267</v>
      </c>
    </row>
    <row r="562" customFormat="false" ht="15" hidden="false" customHeight="false" outlineLevel="0" collapsed="false">
      <c r="A562" s="2" t="s">
        <v>1183</v>
      </c>
      <c r="B562" s="2" t="s">
        <v>4145</v>
      </c>
      <c r="C562" s="2" t="s">
        <v>46</v>
      </c>
      <c r="D562" s="2" t="s">
        <v>4150</v>
      </c>
      <c r="E562" s="2" t="s">
        <v>4159</v>
      </c>
    </row>
    <row r="563" customFormat="false" ht="15" hidden="false" customHeight="false" outlineLevel="0" collapsed="false">
      <c r="A563" s="2" t="s">
        <v>1976</v>
      </c>
      <c r="B563" s="2" t="s">
        <v>4145</v>
      </c>
      <c r="C563" s="2" t="s">
        <v>46</v>
      </c>
      <c r="D563" s="2" t="s">
        <v>4146</v>
      </c>
      <c r="E563" s="2" t="s">
        <v>4141</v>
      </c>
    </row>
    <row r="564" customFormat="false" ht="15" hidden="false" customHeight="false" outlineLevel="0" collapsed="false">
      <c r="A564" s="2" t="s">
        <v>1262</v>
      </c>
      <c r="B564" s="2" t="s">
        <v>4145</v>
      </c>
      <c r="C564" s="2" t="s">
        <v>46</v>
      </c>
      <c r="D564" s="2" t="s">
        <v>4146</v>
      </c>
      <c r="E564" s="2" t="s">
        <v>4148</v>
      </c>
    </row>
    <row r="565" customFormat="false" ht="15" hidden="false" customHeight="false" outlineLevel="0" collapsed="false">
      <c r="A565" s="2" t="s">
        <v>1110</v>
      </c>
      <c r="B565" s="2" t="s">
        <v>4145</v>
      </c>
      <c r="C565" s="2" t="s">
        <v>46</v>
      </c>
      <c r="D565" s="2" t="s">
        <v>4180</v>
      </c>
      <c r="E565" s="2" t="s">
        <v>4181</v>
      </c>
    </row>
    <row r="566" customFormat="false" ht="15" hidden="false" customHeight="false" outlineLevel="0" collapsed="false">
      <c r="A566" s="2" t="s">
        <v>2328</v>
      </c>
      <c r="B566" s="2" t="s">
        <v>4145</v>
      </c>
      <c r="C566" s="2" t="s">
        <v>46</v>
      </c>
      <c r="D566" s="2" t="s">
        <v>4195</v>
      </c>
      <c r="E566" s="2" t="s">
        <v>4225</v>
      </c>
    </row>
    <row r="567" customFormat="false" ht="15" hidden="false" customHeight="false" outlineLevel="0" collapsed="false">
      <c r="A567" s="2" t="s">
        <v>3058</v>
      </c>
      <c r="B567" s="2" t="s">
        <v>4145</v>
      </c>
      <c r="C567" s="2" t="s">
        <v>46</v>
      </c>
      <c r="D567" s="2" t="s">
        <v>662</v>
      </c>
      <c r="E567" s="2" t="s">
        <v>4166</v>
      </c>
    </row>
    <row r="568" customFormat="false" ht="15" hidden="false" customHeight="false" outlineLevel="0" collapsed="false">
      <c r="A568" s="2" t="s">
        <v>683</v>
      </c>
      <c r="B568" s="2" t="s">
        <v>4145</v>
      </c>
      <c r="C568" s="2" t="s">
        <v>46</v>
      </c>
      <c r="D568" s="2" t="s">
        <v>4146</v>
      </c>
      <c r="E568" s="2" t="s">
        <v>4142</v>
      </c>
    </row>
    <row r="569" customFormat="false" ht="15" hidden="false" customHeight="false" outlineLevel="0" collapsed="false">
      <c r="A569" s="2" t="s">
        <v>683</v>
      </c>
      <c r="B569" s="2" t="s">
        <v>4145</v>
      </c>
      <c r="C569" s="2" t="s">
        <v>47</v>
      </c>
      <c r="D569" s="2" t="s">
        <v>4146</v>
      </c>
      <c r="E569" s="2" t="s">
        <v>4157</v>
      </c>
    </row>
    <row r="570" customFormat="false" ht="15" hidden="false" customHeight="false" outlineLevel="0" collapsed="false">
      <c r="A570" s="2" t="s">
        <v>3060</v>
      </c>
      <c r="B570" s="2" t="s">
        <v>4145</v>
      </c>
      <c r="C570" s="2" t="s">
        <v>47</v>
      </c>
      <c r="D570" s="2" t="s">
        <v>4146</v>
      </c>
      <c r="E570" s="2" t="s">
        <v>4143</v>
      </c>
    </row>
    <row r="571" customFormat="false" ht="15" hidden="false" customHeight="false" outlineLevel="0" collapsed="false">
      <c r="A571" s="2" t="s">
        <v>3061</v>
      </c>
      <c r="B571" s="2" t="s">
        <v>4145</v>
      </c>
      <c r="C571" s="2" t="s">
        <v>45</v>
      </c>
      <c r="D571" s="2" t="s">
        <v>4150</v>
      </c>
      <c r="E571" s="2" t="s">
        <v>4268</v>
      </c>
    </row>
    <row r="572" customFormat="false" ht="15" hidden="false" customHeight="false" outlineLevel="0" collapsed="false">
      <c r="A572" s="2" t="s">
        <v>2264</v>
      </c>
      <c r="B572" s="2" t="s">
        <v>4145</v>
      </c>
      <c r="C572" s="2" t="s">
        <v>45</v>
      </c>
      <c r="D572" s="2" t="s">
        <v>662</v>
      </c>
      <c r="E572" s="2" t="s">
        <v>4171</v>
      </c>
    </row>
    <row r="573" customFormat="false" ht="15" hidden="false" customHeight="false" outlineLevel="0" collapsed="false">
      <c r="A573" s="2" t="s">
        <v>3064</v>
      </c>
      <c r="B573" s="2" t="s">
        <v>4145</v>
      </c>
      <c r="C573" s="2" t="s">
        <v>45</v>
      </c>
      <c r="D573" s="2" t="s">
        <v>4146</v>
      </c>
      <c r="E573" s="2" t="s">
        <v>4140</v>
      </c>
    </row>
    <row r="574" customFormat="false" ht="15" hidden="false" customHeight="false" outlineLevel="0" collapsed="false">
      <c r="A574" s="2" t="s">
        <v>1170</v>
      </c>
      <c r="B574" s="2" t="s">
        <v>4145</v>
      </c>
      <c r="C574" s="2" t="s">
        <v>47</v>
      </c>
      <c r="D574" s="2" t="s">
        <v>4180</v>
      </c>
      <c r="E574" s="2" t="s">
        <v>4238</v>
      </c>
    </row>
    <row r="575" customFormat="false" ht="15" hidden="false" customHeight="false" outlineLevel="0" collapsed="false">
      <c r="A575" s="2" t="s">
        <v>827</v>
      </c>
      <c r="B575" s="2" t="s">
        <v>4145</v>
      </c>
      <c r="C575" s="2" t="s">
        <v>46</v>
      </c>
      <c r="D575" s="2" t="s">
        <v>662</v>
      </c>
      <c r="E575" s="2" t="s">
        <v>4179</v>
      </c>
    </row>
    <row r="576" customFormat="false" ht="15" hidden="false" customHeight="false" outlineLevel="0" collapsed="false">
      <c r="A576" s="2" t="s">
        <v>3067</v>
      </c>
      <c r="B576" s="2" t="s">
        <v>4145</v>
      </c>
      <c r="C576" s="2" t="s">
        <v>46</v>
      </c>
      <c r="D576" s="2" t="s">
        <v>4146</v>
      </c>
      <c r="E576" s="2" t="s">
        <v>4141</v>
      </c>
    </row>
    <row r="577" customFormat="false" ht="15" hidden="false" customHeight="false" outlineLevel="0" collapsed="false">
      <c r="A577" s="2" t="s">
        <v>3067</v>
      </c>
      <c r="B577" s="2" t="s">
        <v>4145</v>
      </c>
      <c r="C577" s="2" t="s">
        <v>47</v>
      </c>
      <c r="D577" s="2" t="s">
        <v>4146</v>
      </c>
      <c r="E577" s="2" t="s">
        <v>4148</v>
      </c>
    </row>
    <row r="578" customFormat="false" ht="15" hidden="false" customHeight="false" outlineLevel="0" collapsed="false">
      <c r="A578" s="2" t="s">
        <v>2492</v>
      </c>
      <c r="B578" s="2" t="s">
        <v>4145</v>
      </c>
      <c r="C578" s="2" t="s">
        <v>45</v>
      </c>
      <c r="D578" s="2" t="s">
        <v>4146</v>
      </c>
      <c r="E578" s="2" t="s">
        <v>4143</v>
      </c>
    </row>
    <row r="579" customFormat="false" ht="15" hidden="false" customHeight="false" outlineLevel="0" collapsed="false">
      <c r="A579" s="2" t="s">
        <v>2492</v>
      </c>
      <c r="B579" s="2" t="s">
        <v>4145</v>
      </c>
      <c r="C579" s="2" t="s">
        <v>46</v>
      </c>
      <c r="D579" s="2" t="s">
        <v>4146</v>
      </c>
      <c r="E579" s="2" t="s">
        <v>4142</v>
      </c>
    </row>
    <row r="580" customFormat="false" ht="15" hidden="false" customHeight="false" outlineLevel="0" collapsed="false">
      <c r="A580" s="2" t="s">
        <v>1324</v>
      </c>
      <c r="B580" s="2" t="s">
        <v>4145</v>
      </c>
      <c r="C580" s="2" t="s">
        <v>47</v>
      </c>
      <c r="D580" s="2" t="s">
        <v>662</v>
      </c>
      <c r="E580" s="2" t="s">
        <v>4179</v>
      </c>
    </row>
    <row r="581" customFormat="false" ht="15" hidden="false" customHeight="false" outlineLevel="0" collapsed="false">
      <c r="A581" s="2" t="s">
        <v>3069</v>
      </c>
      <c r="B581" s="2" t="s">
        <v>4145</v>
      </c>
      <c r="C581" s="2" t="s">
        <v>45</v>
      </c>
      <c r="D581" s="2" t="s">
        <v>661</v>
      </c>
      <c r="E581" s="2" t="s">
        <v>4176</v>
      </c>
    </row>
    <row r="582" customFormat="false" ht="15" hidden="false" customHeight="false" outlineLevel="0" collapsed="false">
      <c r="A582" s="2" t="s">
        <v>3071</v>
      </c>
      <c r="B582" s="2" t="s">
        <v>4145</v>
      </c>
      <c r="C582" s="2" t="s">
        <v>46</v>
      </c>
      <c r="D582" s="2" t="s">
        <v>4146</v>
      </c>
      <c r="E582" s="2" t="s">
        <v>4148</v>
      </c>
    </row>
    <row r="583" customFormat="false" ht="15" hidden="false" customHeight="false" outlineLevel="0" collapsed="false">
      <c r="A583" s="2" t="s">
        <v>883</v>
      </c>
      <c r="B583" s="2" t="s">
        <v>4145</v>
      </c>
      <c r="C583" s="2" t="s">
        <v>47</v>
      </c>
      <c r="D583" s="2" t="s">
        <v>4150</v>
      </c>
      <c r="E583" s="2" t="s">
        <v>4169</v>
      </c>
    </row>
    <row r="584" customFormat="false" ht="15" hidden="false" customHeight="false" outlineLevel="0" collapsed="false">
      <c r="A584" s="2" t="s">
        <v>1223</v>
      </c>
      <c r="B584" s="2" t="s">
        <v>4145</v>
      </c>
      <c r="C584" s="2" t="s">
        <v>46</v>
      </c>
      <c r="D584" s="2" t="s">
        <v>662</v>
      </c>
      <c r="E584" s="2" t="s">
        <v>4188</v>
      </c>
    </row>
    <row r="585" customFormat="false" ht="15" hidden="false" customHeight="false" outlineLevel="0" collapsed="false">
      <c r="A585" s="2" t="s">
        <v>1317</v>
      </c>
      <c r="B585" s="2" t="s">
        <v>4145</v>
      </c>
      <c r="C585" s="2" t="s">
        <v>46</v>
      </c>
      <c r="D585" s="2" t="s">
        <v>4246</v>
      </c>
      <c r="E585" s="2" t="s">
        <v>4269</v>
      </c>
    </row>
    <row r="586" customFormat="false" ht="15" hidden="false" customHeight="false" outlineLevel="0" collapsed="false">
      <c r="A586" s="2" t="s">
        <v>1932</v>
      </c>
      <c r="B586" s="2" t="s">
        <v>4145</v>
      </c>
      <c r="C586" s="2" t="s">
        <v>45</v>
      </c>
      <c r="D586" s="2" t="s">
        <v>4146</v>
      </c>
      <c r="E586" s="2" t="s">
        <v>4142</v>
      </c>
    </row>
    <row r="587" customFormat="false" ht="15" hidden="false" customHeight="false" outlineLevel="0" collapsed="false">
      <c r="A587" s="2" t="s">
        <v>3075</v>
      </c>
      <c r="B587" s="2" t="s">
        <v>4145</v>
      </c>
      <c r="C587" s="2" t="s">
        <v>46</v>
      </c>
      <c r="D587" s="2" t="s">
        <v>662</v>
      </c>
      <c r="E587" s="2" t="s">
        <v>4164</v>
      </c>
    </row>
    <row r="588" customFormat="false" ht="15" hidden="false" customHeight="false" outlineLevel="0" collapsed="false">
      <c r="A588" s="2" t="s">
        <v>1625</v>
      </c>
      <c r="B588" s="2" t="s">
        <v>4145</v>
      </c>
      <c r="C588" s="2" t="s">
        <v>45</v>
      </c>
      <c r="D588" s="2" t="s">
        <v>662</v>
      </c>
      <c r="E588" s="2" t="s">
        <v>4188</v>
      </c>
    </row>
    <row r="589" customFormat="false" ht="15" hidden="false" customHeight="false" outlineLevel="0" collapsed="false">
      <c r="A589" s="2" t="s">
        <v>2279</v>
      </c>
      <c r="B589" s="2" t="s">
        <v>4145</v>
      </c>
      <c r="C589" s="2" t="s">
        <v>45</v>
      </c>
      <c r="D589" s="2" t="s">
        <v>4197</v>
      </c>
      <c r="E589" s="2" t="s">
        <v>4198</v>
      </c>
    </row>
    <row r="590" customFormat="false" ht="15" hidden="false" customHeight="false" outlineLevel="0" collapsed="false">
      <c r="A590" s="2" t="s">
        <v>2279</v>
      </c>
      <c r="B590" s="2" t="s">
        <v>4145</v>
      </c>
      <c r="C590" s="2" t="s">
        <v>46</v>
      </c>
      <c r="D590" s="2" t="s">
        <v>4146</v>
      </c>
      <c r="E590" s="2" t="s">
        <v>4142</v>
      </c>
    </row>
    <row r="591" customFormat="false" ht="15" hidden="false" customHeight="false" outlineLevel="0" collapsed="false">
      <c r="A591" s="2" t="s">
        <v>2605</v>
      </c>
      <c r="B591" s="2" t="s">
        <v>4145</v>
      </c>
      <c r="C591" s="2" t="s">
        <v>45</v>
      </c>
      <c r="D591" s="2" t="s">
        <v>4146</v>
      </c>
      <c r="E591" s="2" t="s">
        <v>4143</v>
      </c>
    </row>
    <row r="592" customFormat="false" ht="15" hidden="false" customHeight="false" outlineLevel="0" collapsed="false">
      <c r="A592" s="2" t="s">
        <v>2605</v>
      </c>
      <c r="B592" s="2" t="s">
        <v>4145</v>
      </c>
      <c r="C592" s="2" t="s">
        <v>46</v>
      </c>
      <c r="D592" s="2" t="s">
        <v>4146</v>
      </c>
      <c r="E592" s="2" t="s">
        <v>4142</v>
      </c>
    </row>
    <row r="593" customFormat="false" ht="15" hidden="false" customHeight="false" outlineLevel="0" collapsed="false">
      <c r="A593" s="2" t="s">
        <v>2597</v>
      </c>
      <c r="B593" s="2" t="s">
        <v>4145</v>
      </c>
      <c r="C593" s="2" t="s">
        <v>45</v>
      </c>
      <c r="D593" s="2" t="s">
        <v>4146</v>
      </c>
      <c r="E593" s="2" t="s">
        <v>4142</v>
      </c>
    </row>
    <row r="594" customFormat="false" ht="15" hidden="false" customHeight="false" outlineLevel="0" collapsed="false">
      <c r="A594" s="2" t="s">
        <v>3078</v>
      </c>
      <c r="B594" s="2" t="s">
        <v>4145</v>
      </c>
      <c r="C594" s="2" t="s">
        <v>46</v>
      </c>
      <c r="D594" s="2" t="s">
        <v>4146</v>
      </c>
      <c r="E594" s="2" t="s">
        <v>4141</v>
      </c>
    </row>
    <row r="595" customFormat="false" ht="15" hidden="false" customHeight="false" outlineLevel="0" collapsed="false">
      <c r="A595" s="2" t="s">
        <v>2488</v>
      </c>
      <c r="B595" s="2" t="s">
        <v>4145</v>
      </c>
      <c r="C595" s="2" t="s">
        <v>45</v>
      </c>
      <c r="D595" s="2" t="s">
        <v>4197</v>
      </c>
      <c r="E595" s="2" t="s">
        <v>4198</v>
      </c>
    </row>
    <row r="596" customFormat="false" ht="15" hidden="false" customHeight="false" outlineLevel="0" collapsed="false">
      <c r="A596" s="2" t="s">
        <v>2488</v>
      </c>
      <c r="B596" s="2" t="s">
        <v>4145</v>
      </c>
      <c r="C596" s="2" t="s">
        <v>46</v>
      </c>
      <c r="D596" s="2" t="s">
        <v>661</v>
      </c>
      <c r="E596" s="2" t="s">
        <v>4165</v>
      </c>
    </row>
    <row r="597" customFormat="false" ht="15" hidden="false" customHeight="false" outlineLevel="0" collapsed="false">
      <c r="A597" s="2" t="s">
        <v>2301</v>
      </c>
      <c r="B597" s="2" t="s">
        <v>4145</v>
      </c>
      <c r="C597" s="2" t="s">
        <v>45</v>
      </c>
      <c r="D597" s="2" t="s">
        <v>4212</v>
      </c>
      <c r="E597" s="2" t="s">
        <v>4270</v>
      </c>
    </row>
    <row r="598" customFormat="false" ht="15" hidden="false" customHeight="false" outlineLevel="0" collapsed="false">
      <c r="A598" s="2" t="s">
        <v>932</v>
      </c>
      <c r="B598" s="2" t="s">
        <v>4145</v>
      </c>
      <c r="C598" s="2" t="s">
        <v>46</v>
      </c>
      <c r="D598" s="2" t="s">
        <v>661</v>
      </c>
      <c r="E598" s="2" t="s">
        <v>4152</v>
      </c>
    </row>
    <row r="599" customFormat="false" ht="15" hidden="false" customHeight="false" outlineLevel="0" collapsed="false">
      <c r="A599" s="2" t="s">
        <v>1584</v>
      </c>
      <c r="B599" s="2" t="s">
        <v>4145</v>
      </c>
      <c r="C599" s="2" t="s">
        <v>45</v>
      </c>
      <c r="D599" s="2" t="s">
        <v>4146</v>
      </c>
      <c r="E599" s="2" t="s">
        <v>4148</v>
      </c>
    </row>
    <row r="600" customFormat="false" ht="15" hidden="false" customHeight="false" outlineLevel="0" collapsed="false">
      <c r="A600" s="2" t="s">
        <v>1512</v>
      </c>
      <c r="B600" s="2" t="s">
        <v>4145</v>
      </c>
      <c r="C600" s="2" t="s">
        <v>45</v>
      </c>
      <c r="D600" s="2" t="s">
        <v>4146</v>
      </c>
      <c r="E600" s="2" t="s">
        <v>4271</v>
      </c>
    </row>
    <row r="601" customFormat="false" ht="15" hidden="false" customHeight="false" outlineLevel="0" collapsed="false">
      <c r="A601" s="2" t="s">
        <v>1416</v>
      </c>
      <c r="B601" s="2" t="s">
        <v>4145</v>
      </c>
      <c r="C601" s="2" t="s">
        <v>45</v>
      </c>
      <c r="D601" s="2" t="s">
        <v>662</v>
      </c>
      <c r="E601" s="2" t="s">
        <v>4166</v>
      </c>
    </row>
    <row r="602" customFormat="false" ht="15" hidden="false" customHeight="false" outlineLevel="0" collapsed="false">
      <c r="A602" s="2" t="s">
        <v>3083</v>
      </c>
      <c r="B602" s="2" t="s">
        <v>4145</v>
      </c>
      <c r="C602" s="2" t="s">
        <v>45</v>
      </c>
      <c r="D602" s="2" t="s">
        <v>662</v>
      </c>
      <c r="E602" s="2" t="s">
        <v>4164</v>
      </c>
    </row>
    <row r="603" customFormat="false" ht="15" hidden="false" customHeight="false" outlineLevel="0" collapsed="false">
      <c r="A603" s="2" t="s">
        <v>2484</v>
      </c>
      <c r="B603" s="2" t="s">
        <v>4145</v>
      </c>
      <c r="C603" s="2" t="s">
        <v>46</v>
      </c>
      <c r="D603" s="2" t="s">
        <v>662</v>
      </c>
      <c r="E603" s="2" t="s">
        <v>4164</v>
      </c>
    </row>
    <row r="604" customFormat="false" ht="15" hidden="false" customHeight="false" outlineLevel="0" collapsed="false">
      <c r="A604" s="2" t="s">
        <v>1338</v>
      </c>
      <c r="B604" s="2" t="s">
        <v>4145</v>
      </c>
      <c r="C604" s="2" t="s">
        <v>47</v>
      </c>
      <c r="D604" s="2" t="s">
        <v>4197</v>
      </c>
      <c r="E604" s="2" t="s">
        <v>4198</v>
      </c>
    </row>
    <row r="605" customFormat="false" ht="15" hidden="false" customHeight="false" outlineLevel="0" collapsed="false">
      <c r="A605" s="2" t="s">
        <v>1388</v>
      </c>
      <c r="B605" s="2" t="s">
        <v>4145</v>
      </c>
      <c r="C605" s="2" t="s">
        <v>45</v>
      </c>
      <c r="D605" s="2" t="s">
        <v>661</v>
      </c>
      <c r="E605" s="2" t="s">
        <v>4272</v>
      </c>
    </row>
    <row r="606" customFormat="false" ht="15" hidden="false" customHeight="false" outlineLevel="0" collapsed="false">
      <c r="A606" s="2" t="s">
        <v>780</v>
      </c>
      <c r="B606" s="2" t="s">
        <v>4145</v>
      </c>
      <c r="C606" s="2" t="s">
        <v>47</v>
      </c>
      <c r="D606" s="2" t="s">
        <v>660</v>
      </c>
      <c r="E606" s="2" t="s">
        <v>4273</v>
      </c>
    </row>
    <row r="607" customFormat="false" ht="15" hidden="false" customHeight="false" outlineLevel="0" collapsed="false">
      <c r="A607" s="2" t="s">
        <v>1008</v>
      </c>
      <c r="B607" s="2" t="s">
        <v>4145</v>
      </c>
      <c r="C607" s="2" t="s">
        <v>47</v>
      </c>
      <c r="D607" s="2" t="s">
        <v>4197</v>
      </c>
      <c r="E607" s="2" t="s">
        <v>4198</v>
      </c>
    </row>
    <row r="608" customFormat="false" ht="15" hidden="false" customHeight="false" outlineLevel="0" collapsed="false">
      <c r="A608" s="2" t="s">
        <v>1728</v>
      </c>
      <c r="B608" s="2" t="s">
        <v>4145</v>
      </c>
      <c r="C608" s="2" t="s">
        <v>45</v>
      </c>
      <c r="D608" s="2" t="s">
        <v>660</v>
      </c>
      <c r="E608" s="2" t="s">
        <v>4274</v>
      </c>
    </row>
    <row r="609" customFormat="false" ht="15" hidden="false" customHeight="false" outlineLevel="0" collapsed="false">
      <c r="A609" s="2" t="s">
        <v>1728</v>
      </c>
      <c r="B609" s="2" t="s">
        <v>4145</v>
      </c>
      <c r="C609" s="2" t="s">
        <v>47</v>
      </c>
      <c r="D609" s="2" t="s">
        <v>4246</v>
      </c>
      <c r="E609" s="2" t="s">
        <v>4275</v>
      </c>
    </row>
    <row r="610" customFormat="false" ht="15" hidden="false" customHeight="false" outlineLevel="0" collapsed="false">
      <c r="A610" s="2" t="s">
        <v>2452</v>
      </c>
      <c r="B610" s="2" t="s">
        <v>4145</v>
      </c>
      <c r="C610" s="2" t="s">
        <v>45</v>
      </c>
      <c r="D610" s="2" t="s">
        <v>4180</v>
      </c>
      <c r="E610" s="2" t="s">
        <v>4276</v>
      </c>
    </row>
    <row r="611" customFormat="false" ht="15" hidden="false" customHeight="false" outlineLevel="0" collapsed="false">
      <c r="A611" s="2" t="s">
        <v>2452</v>
      </c>
      <c r="B611" s="2" t="s">
        <v>4145</v>
      </c>
      <c r="C611" s="2" t="s">
        <v>46</v>
      </c>
      <c r="D611" s="2" t="s">
        <v>662</v>
      </c>
      <c r="E611" s="2" t="s">
        <v>4147</v>
      </c>
    </row>
    <row r="612" customFormat="false" ht="15" hidden="false" customHeight="false" outlineLevel="0" collapsed="false">
      <c r="A612" s="2" t="s">
        <v>3092</v>
      </c>
      <c r="B612" s="2" t="s">
        <v>4145</v>
      </c>
      <c r="C612" s="2" t="s">
        <v>45</v>
      </c>
      <c r="D612" s="2" t="s">
        <v>662</v>
      </c>
      <c r="E612" s="2" t="s">
        <v>4186</v>
      </c>
    </row>
    <row r="613" customFormat="false" ht="15" hidden="false" customHeight="false" outlineLevel="0" collapsed="false">
      <c r="A613" s="2" t="s">
        <v>2174</v>
      </c>
      <c r="B613" s="2" t="s">
        <v>4145</v>
      </c>
      <c r="C613" s="2" t="s">
        <v>45</v>
      </c>
      <c r="D613" s="2" t="s">
        <v>4146</v>
      </c>
      <c r="E613" s="2" t="s">
        <v>4143</v>
      </c>
    </row>
    <row r="614" customFormat="false" ht="15" hidden="false" customHeight="false" outlineLevel="0" collapsed="false">
      <c r="A614" s="2" t="s">
        <v>2174</v>
      </c>
      <c r="B614" s="2" t="s">
        <v>4145</v>
      </c>
      <c r="C614" s="2" t="s">
        <v>46</v>
      </c>
      <c r="D614" s="2" t="s">
        <v>4146</v>
      </c>
      <c r="E614" s="2" t="s">
        <v>4142</v>
      </c>
    </row>
    <row r="615" customFormat="false" ht="15" hidden="false" customHeight="false" outlineLevel="0" collapsed="false">
      <c r="A615" s="2" t="s">
        <v>748</v>
      </c>
      <c r="B615" s="2" t="s">
        <v>4145</v>
      </c>
      <c r="C615" s="2" t="s">
        <v>46</v>
      </c>
      <c r="D615" s="2" t="s">
        <v>662</v>
      </c>
      <c r="E615" s="2" t="s">
        <v>4179</v>
      </c>
    </row>
    <row r="616" customFormat="false" ht="15" hidden="false" customHeight="false" outlineLevel="0" collapsed="false">
      <c r="A616" s="2" t="s">
        <v>748</v>
      </c>
      <c r="B616" s="2" t="s">
        <v>4145</v>
      </c>
      <c r="C616" s="2" t="s">
        <v>47</v>
      </c>
      <c r="D616" s="2" t="s">
        <v>4146</v>
      </c>
      <c r="E616" s="2" t="s">
        <v>4148</v>
      </c>
    </row>
    <row r="617" customFormat="false" ht="15" hidden="false" customHeight="false" outlineLevel="0" collapsed="false">
      <c r="A617" s="2" t="s">
        <v>3095</v>
      </c>
      <c r="B617" s="2" t="s">
        <v>4145</v>
      </c>
      <c r="C617" s="2" t="s">
        <v>47</v>
      </c>
      <c r="D617" s="2" t="s">
        <v>660</v>
      </c>
      <c r="E617" s="2" t="s">
        <v>4241</v>
      </c>
    </row>
    <row r="618" customFormat="false" ht="15" hidden="false" customHeight="false" outlineLevel="0" collapsed="false">
      <c r="A618" s="2" t="s">
        <v>2411</v>
      </c>
      <c r="B618" s="2" t="s">
        <v>4145</v>
      </c>
      <c r="C618" s="2" t="s">
        <v>45</v>
      </c>
      <c r="D618" s="2" t="s">
        <v>4146</v>
      </c>
      <c r="E618" s="2" t="s">
        <v>4142</v>
      </c>
    </row>
    <row r="619" customFormat="false" ht="15" hidden="false" customHeight="false" outlineLevel="0" collapsed="false">
      <c r="A619" s="2" t="s">
        <v>2411</v>
      </c>
      <c r="B619" s="2" t="s">
        <v>4145</v>
      </c>
      <c r="C619" s="2" t="s">
        <v>46</v>
      </c>
      <c r="D619" s="2" t="s">
        <v>4146</v>
      </c>
      <c r="E619" s="2" t="s">
        <v>4141</v>
      </c>
    </row>
    <row r="620" customFormat="false" ht="15" hidden="false" customHeight="false" outlineLevel="0" collapsed="false">
      <c r="A620" s="2" t="s">
        <v>787</v>
      </c>
      <c r="B620" s="2" t="s">
        <v>4145</v>
      </c>
      <c r="C620" s="2" t="s">
        <v>47</v>
      </c>
      <c r="D620" s="2" t="s">
        <v>4146</v>
      </c>
      <c r="E620" s="2" t="s">
        <v>4135</v>
      </c>
    </row>
    <row r="621" customFormat="false" ht="15" hidden="false" customHeight="false" outlineLevel="0" collapsed="false">
      <c r="A621" s="2" t="s">
        <v>1631</v>
      </c>
      <c r="B621" s="2" t="s">
        <v>4145</v>
      </c>
      <c r="C621" s="2" t="s">
        <v>45</v>
      </c>
      <c r="D621" s="2" t="s">
        <v>662</v>
      </c>
      <c r="E621" s="2" t="s">
        <v>4179</v>
      </c>
    </row>
    <row r="622" customFormat="false" ht="15" hidden="false" customHeight="false" outlineLevel="0" collapsed="false">
      <c r="A622" s="2" t="s">
        <v>1571</v>
      </c>
      <c r="B622" s="2" t="s">
        <v>4145</v>
      </c>
      <c r="C622" s="2" t="s">
        <v>47</v>
      </c>
      <c r="D622" s="2" t="s">
        <v>662</v>
      </c>
      <c r="E622" s="2" t="s">
        <v>4170</v>
      </c>
    </row>
    <row r="623" customFormat="false" ht="15" hidden="false" customHeight="false" outlineLevel="0" collapsed="false">
      <c r="A623" s="2" t="s">
        <v>2586</v>
      </c>
      <c r="B623" s="2" t="s">
        <v>4145</v>
      </c>
      <c r="C623" s="2" t="s">
        <v>45</v>
      </c>
      <c r="D623" s="2" t="s">
        <v>4277</v>
      </c>
      <c r="E623" s="2" t="s">
        <v>4278</v>
      </c>
    </row>
    <row r="624" customFormat="false" ht="15" hidden="false" customHeight="false" outlineLevel="0" collapsed="false">
      <c r="A624" s="2" t="s">
        <v>2586</v>
      </c>
      <c r="B624" s="2" t="s">
        <v>4145</v>
      </c>
      <c r="C624" s="2" t="s">
        <v>46</v>
      </c>
      <c r="D624" s="2" t="s">
        <v>660</v>
      </c>
      <c r="E624" s="2" t="s">
        <v>4160</v>
      </c>
    </row>
    <row r="625" customFormat="false" ht="15" hidden="false" customHeight="false" outlineLevel="0" collapsed="false">
      <c r="A625" s="2" t="s">
        <v>1102</v>
      </c>
      <c r="B625" s="2" t="s">
        <v>4145</v>
      </c>
      <c r="C625" s="2" t="s">
        <v>46</v>
      </c>
      <c r="D625" s="2" t="s">
        <v>661</v>
      </c>
      <c r="E625" s="2" t="s">
        <v>4176</v>
      </c>
    </row>
    <row r="626" customFormat="false" ht="15" hidden="false" customHeight="false" outlineLevel="0" collapsed="false">
      <c r="A626" s="2" t="s">
        <v>1102</v>
      </c>
      <c r="B626" s="2" t="s">
        <v>4145</v>
      </c>
      <c r="C626" s="2" t="s">
        <v>47</v>
      </c>
      <c r="D626" s="2" t="s">
        <v>4150</v>
      </c>
      <c r="E626" s="2" t="s">
        <v>4159</v>
      </c>
    </row>
    <row r="627" customFormat="false" ht="15" hidden="false" customHeight="false" outlineLevel="0" collapsed="false">
      <c r="A627" s="2" t="s">
        <v>1014</v>
      </c>
      <c r="B627" s="2" t="s">
        <v>4145</v>
      </c>
      <c r="C627" s="2" t="s">
        <v>46</v>
      </c>
      <c r="D627" s="2" t="s">
        <v>4197</v>
      </c>
      <c r="E627" s="2" t="s">
        <v>4198</v>
      </c>
    </row>
    <row r="628" customFormat="false" ht="15" hidden="false" customHeight="false" outlineLevel="0" collapsed="false">
      <c r="A628" s="2" t="s">
        <v>1014</v>
      </c>
      <c r="B628" s="2" t="s">
        <v>4145</v>
      </c>
      <c r="C628" s="2" t="s">
        <v>47</v>
      </c>
      <c r="D628" s="2" t="s">
        <v>662</v>
      </c>
      <c r="E628" s="2" t="s">
        <v>4173</v>
      </c>
    </row>
    <row r="629" customFormat="false" ht="15" hidden="false" customHeight="false" outlineLevel="0" collapsed="false">
      <c r="A629" s="2" t="s">
        <v>1284</v>
      </c>
      <c r="B629" s="2" t="s">
        <v>4145</v>
      </c>
      <c r="C629" s="2" t="s">
        <v>46</v>
      </c>
      <c r="D629" s="2" t="s">
        <v>4193</v>
      </c>
      <c r="E629" s="2" t="s">
        <v>4211</v>
      </c>
    </row>
    <row r="630" customFormat="false" ht="15" hidden="false" customHeight="false" outlineLevel="0" collapsed="false">
      <c r="A630" s="2" t="s">
        <v>1899</v>
      </c>
      <c r="B630" s="2" t="s">
        <v>4145</v>
      </c>
      <c r="C630" s="2" t="s">
        <v>45</v>
      </c>
      <c r="D630" s="2" t="s">
        <v>662</v>
      </c>
      <c r="E630" s="2" t="s">
        <v>4186</v>
      </c>
    </row>
    <row r="631" customFormat="false" ht="15" hidden="false" customHeight="false" outlineLevel="0" collapsed="false">
      <c r="A631" s="2" t="s">
        <v>1899</v>
      </c>
      <c r="B631" s="2" t="s">
        <v>4145</v>
      </c>
      <c r="C631" s="2" t="s">
        <v>47</v>
      </c>
      <c r="D631" s="2" t="s">
        <v>4146</v>
      </c>
      <c r="E631" s="2" t="s">
        <v>4135</v>
      </c>
    </row>
    <row r="632" customFormat="false" ht="15" hidden="false" customHeight="false" outlineLevel="0" collapsed="false">
      <c r="A632" s="2" t="s">
        <v>3105</v>
      </c>
      <c r="B632" s="2" t="s">
        <v>4145</v>
      </c>
      <c r="C632" s="2" t="s">
        <v>46</v>
      </c>
      <c r="D632" s="2" t="s">
        <v>662</v>
      </c>
      <c r="E632" s="2" t="s">
        <v>4279</v>
      </c>
    </row>
    <row r="633" customFormat="false" ht="15" hidden="false" customHeight="false" outlineLevel="0" collapsed="false">
      <c r="A633" s="2" t="s">
        <v>3107</v>
      </c>
      <c r="B633" s="2" t="s">
        <v>4145</v>
      </c>
      <c r="C633" s="2" t="s">
        <v>46</v>
      </c>
      <c r="D633" s="2" t="s">
        <v>4146</v>
      </c>
      <c r="E633" s="2" t="s">
        <v>4142</v>
      </c>
    </row>
    <row r="634" customFormat="false" ht="15" hidden="false" customHeight="false" outlineLevel="0" collapsed="false">
      <c r="A634" s="2" t="s">
        <v>1959</v>
      </c>
      <c r="B634" s="2" t="s">
        <v>4145</v>
      </c>
      <c r="C634" s="2" t="s">
        <v>45</v>
      </c>
      <c r="D634" s="2" t="s">
        <v>4146</v>
      </c>
      <c r="E634" s="2" t="s">
        <v>4142</v>
      </c>
    </row>
    <row r="635" customFormat="false" ht="15" hidden="false" customHeight="false" outlineLevel="0" collapsed="false">
      <c r="A635" s="2" t="s">
        <v>3108</v>
      </c>
      <c r="B635" s="2" t="s">
        <v>4145</v>
      </c>
      <c r="C635" s="2" t="s">
        <v>45</v>
      </c>
      <c r="D635" s="2" t="s">
        <v>4146</v>
      </c>
      <c r="E635" s="2" t="s">
        <v>4143</v>
      </c>
    </row>
    <row r="636" customFormat="false" ht="15" hidden="false" customHeight="false" outlineLevel="0" collapsed="false">
      <c r="A636" s="2" t="s">
        <v>3108</v>
      </c>
      <c r="B636" s="2" t="s">
        <v>4145</v>
      </c>
      <c r="C636" s="2" t="s">
        <v>46</v>
      </c>
      <c r="D636" s="2" t="s">
        <v>661</v>
      </c>
      <c r="E636" s="2" t="s">
        <v>4152</v>
      </c>
    </row>
    <row r="637" customFormat="false" ht="15" hidden="false" customHeight="false" outlineLevel="0" collapsed="false">
      <c r="A637" s="2" t="s">
        <v>3108</v>
      </c>
      <c r="B637" s="2" t="s">
        <v>4145</v>
      </c>
      <c r="C637" s="2" t="s">
        <v>47</v>
      </c>
      <c r="D637" s="2" t="s">
        <v>4146</v>
      </c>
      <c r="E637" s="2" t="s">
        <v>4135</v>
      </c>
    </row>
    <row r="638" customFormat="false" ht="15" hidden="false" customHeight="false" outlineLevel="0" collapsed="false">
      <c r="A638" s="2" t="s">
        <v>3110</v>
      </c>
      <c r="B638" s="2" t="s">
        <v>4145</v>
      </c>
      <c r="C638" s="2" t="s">
        <v>46</v>
      </c>
      <c r="D638" s="2" t="s">
        <v>4146</v>
      </c>
      <c r="E638" s="2" t="s">
        <v>4148</v>
      </c>
    </row>
    <row r="639" customFormat="false" ht="15" hidden="false" customHeight="false" outlineLevel="0" collapsed="false">
      <c r="A639" s="2" t="s">
        <v>1923</v>
      </c>
      <c r="B639" s="2" t="s">
        <v>4145</v>
      </c>
      <c r="C639" s="2" t="s">
        <v>45</v>
      </c>
      <c r="D639" s="2" t="s">
        <v>4146</v>
      </c>
      <c r="E639" s="2" t="s">
        <v>4141</v>
      </c>
    </row>
    <row r="640" customFormat="false" ht="15" hidden="false" customHeight="false" outlineLevel="0" collapsed="false">
      <c r="A640" s="2" t="s">
        <v>2233</v>
      </c>
      <c r="B640" s="2" t="s">
        <v>4145</v>
      </c>
      <c r="C640" s="2" t="s">
        <v>45</v>
      </c>
      <c r="D640" s="2" t="s">
        <v>4146</v>
      </c>
      <c r="E640" s="2" t="s">
        <v>4141</v>
      </c>
    </row>
    <row r="641" customFormat="false" ht="15" hidden="false" customHeight="false" outlineLevel="0" collapsed="false">
      <c r="A641" s="2" t="s">
        <v>2233</v>
      </c>
      <c r="B641" s="2" t="s">
        <v>4145</v>
      </c>
      <c r="C641" s="2" t="s">
        <v>46</v>
      </c>
      <c r="D641" s="2" t="s">
        <v>662</v>
      </c>
      <c r="E641" s="2" t="s">
        <v>4147</v>
      </c>
    </row>
    <row r="642" customFormat="false" ht="15" hidden="false" customHeight="false" outlineLevel="0" collapsed="false">
      <c r="A642" s="2" t="s">
        <v>1095</v>
      </c>
      <c r="B642" s="2" t="s">
        <v>4145</v>
      </c>
      <c r="C642" s="2" t="s">
        <v>46</v>
      </c>
      <c r="D642" s="2" t="s">
        <v>662</v>
      </c>
      <c r="E642" s="2" t="s">
        <v>4188</v>
      </c>
    </row>
    <row r="643" customFormat="false" ht="15" hidden="false" customHeight="false" outlineLevel="0" collapsed="false">
      <c r="A643" s="2" t="s">
        <v>1095</v>
      </c>
      <c r="B643" s="2" t="s">
        <v>4145</v>
      </c>
      <c r="C643" s="2" t="s">
        <v>47</v>
      </c>
      <c r="D643" s="2" t="s">
        <v>661</v>
      </c>
      <c r="E643" s="2" t="s">
        <v>4280</v>
      </c>
    </row>
    <row r="644" customFormat="false" ht="15" hidden="false" customHeight="false" outlineLevel="0" collapsed="false">
      <c r="A644" s="2" t="s">
        <v>3114</v>
      </c>
      <c r="B644" s="2" t="s">
        <v>4145</v>
      </c>
      <c r="C644" s="2" t="s">
        <v>47</v>
      </c>
      <c r="D644" s="2" t="s">
        <v>660</v>
      </c>
      <c r="E644" s="2" t="s">
        <v>4183</v>
      </c>
    </row>
    <row r="645" customFormat="false" ht="15" hidden="false" customHeight="false" outlineLevel="0" collapsed="false">
      <c r="A645" s="2" t="s">
        <v>1864</v>
      </c>
      <c r="B645" s="2" t="s">
        <v>4145</v>
      </c>
      <c r="C645" s="2" t="s">
        <v>45</v>
      </c>
      <c r="D645" s="2" t="s">
        <v>4146</v>
      </c>
      <c r="E645" s="2" t="s">
        <v>4142</v>
      </c>
    </row>
    <row r="646" customFormat="false" ht="15" hidden="false" customHeight="false" outlineLevel="0" collapsed="false">
      <c r="A646" s="2" t="s">
        <v>1864</v>
      </c>
      <c r="B646" s="2" t="s">
        <v>4145</v>
      </c>
      <c r="C646" s="2" t="s">
        <v>47</v>
      </c>
      <c r="D646" s="2" t="s">
        <v>661</v>
      </c>
      <c r="E646" s="2" t="s">
        <v>4199</v>
      </c>
    </row>
    <row r="647" customFormat="false" ht="15" hidden="false" customHeight="false" outlineLevel="0" collapsed="false">
      <c r="A647" s="2" t="s">
        <v>2510</v>
      </c>
      <c r="B647" s="2" t="s">
        <v>4145</v>
      </c>
      <c r="C647" s="2" t="s">
        <v>46</v>
      </c>
      <c r="D647" s="2" t="s">
        <v>662</v>
      </c>
      <c r="E647" s="2" t="s">
        <v>4166</v>
      </c>
    </row>
    <row r="648" customFormat="false" ht="15" hidden="false" customHeight="false" outlineLevel="0" collapsed="false">
      <c r="A648" s="2" t="s">
        <v>1098</v>
      </c>
      <c r="B648" s="2" t="s">
        <v>4145</v>
      </c>
      <c r="C648" s="2" t="s">
        <v>46</v>
      </c>
      <c r="D648" s="2" t="s">
        <v>4146</v>
      </c>
      <c r="E648" s="2" t="s">
        <v>4141</v>
      </c>
    </row>
    <row r="649" customFormat="false" ht="15" hidden="false" customHeight="false" outlineLevel="0" collapsed="false">
      <c r="A649" s="2" t="s">
        <v>1439</v>
      </c>
      <c r="B649" s="2" t="s">
        <v>4145</v>
      </c>
      <c r="C649" s="2" t="s">
        <v>45</v>
      </c>
      <c r="D649" s="2" t="s">
        <v>4180</v>
      </c>
      <c r="E649" s="2" t="s">
        <v>4181</v>
      </c>
    </row>
    <row r="650" customFormat="false" ht="15" hidden="false" customHeight="false" outlineLevel="0" collapsed="false">
      <c r="A650" s="2" t="s">
        <v>1535</v>
      </c>
      <c r="B650" s="2" t="s">
        <v>4145</v>
      </c>
      <c r="C650" s="2" t="s">
        <v>45</v>
      </c>
      <c r="D650" s="2" t="s">
        <v>4146</v>
      </c>
      <c r="E650" s="2" t="s">
        <v>4142</v>
      </c>
    </row>
    <row r="651" customFormat="false" ht="15" hidden="false" customHeight="false" outlineLevel="0" collapsed="false">
      <c r="A651" s="2" t="s">
        <v>3119</v>
      </c>
      <c r="B651" s="2" t="s">
        <v>4145</v>
      </c>
      <c r="C651" s="2" t="s">
        <v>47</v>
      </c>
      <c r="D651" s="2" t="s">
        <v>662</v>
      </c>
      <c r="E651" s="2" t="s">
        <v>4281</v>
      </c>
    </row>
    <row r="652" customFormat="false" ht="15" hidden="false" customHeight="false" outlineLevel="0" collapsed="false">
      <c r="A652" s="2" t="s">
        <v>2425</v>
      </c>
      <c r="B652" s="2" t="s">
        <v>4145</v>
      </c>
      <c r="C652" s="2" t="s">
        <v>45</v>
      </c>
      <c r="D652" s="2" t="s">
        <v>662</v>
      </c>
      <c r="E652" s="2" t="s">
        <v>4179</v>
      </c>
    </row>
    <row r="653" customFormat="false" ht="15" hidden="false" customHeight="false" outlineLevel="0" collapsed="false">
      <c r="A653" s="2" t="s">
        <v>744</v>
      </c>
      <c r="B653" s="2" t="s">
        <v>4145</v>
      </c>
      <c r="C653" s="2" t="s">
        <v>46</v>
      </c>
      <c r="D653" s="2" t="s">
        <v>662</v>
      </c>
      <c r="E653" s="2" t="s">
        <v>4186</v>
      </c>
    </row>
    <row r="654" customFormat="false" ht="15" hidden="false" customHeight="false" outlineLevel="0" collapsed="false">
      <c r="A654" s="2" t="s">
        <v>2038</v>
      </c>
      <c r="B654" s="2" t="s">
        <v>4145</v>
      </c>
      <c r="C654" s="2" t="s">
        <v>46</v>
      </c>
      <c r="D654" s="2" t="s">
        <v>662</v>
      </c>
      <c r="E654" s="2" t="s">
        <v>4166</v>
      </c>
    </row>
    <row r="655" customFormat="false" ht="15" hidden="false" customHeight="false" outlineLevel="0" collapsed="false">
      <c r="A655" s="2" t="s">
        <v>3124</v>
      </c>
      <c r="B655" s="2" t="s">
        <v>4145</v>
      </c>
      <c r="C655" s="2" t="s">
        <v>45</v>
      </c>
      <c r="D655" s="2" t="s">
        <v>4146</v>
      </c>
      <c r="E655" s="2" t="s">
        <v>4141</v>
      </c>
    </row>
    <row r="656" customFormat="false" ht="15" hidden="false" customHeight="false" outlineLevel="0" collapsed="false">
      <c r="A656" s="2" t="s">
        <v>3124</v>
      </c>
      <c r="B656" s="2" t="s">
        <v>4145</v>
      </c>
      <c r="C656" s="2" t="s">
        <v>46</v>
      </c>
      <c r="D656" s="2" t="s">
        <v>4146</v>
      </c>
      <c r="E656" s="2" t="s">
        <v>4148</v>
      </c>
    </row>
    <row r="657" customFormat="false" ht="15" hidden="false" customHeight="false" outlineLevel="0" collapsed="false">
      <c r="A657" s="2" t="s">
        <v>3124</v>
      </c>
      <c r="B657" s="2" t="s">
        <v>4145</v>
      </c>
      <c r="C657" s="2" t="s">
        <v>47</v>
      </c>
      <c r="D657" s="2" t="s">
        <v>4146</v>
      </c>
      <c r="E657" s="2" t="s">
        <v>4143</v>
      </c>
    </row>
    <row r="658" customFormat="false" ht="15" hidden="false" customHeight="false" outlineLevel="0" collapsed="false">
      <c r="A658" s="2" t="s">
        <v>2021</v>
      </c>
      <c r="B658" s="2" t="s">
        <v>4145</v>
      </c>
      <c r="C658" s="2" t="s">
        <v>45</v>
      </c>
      <c r="D658" s="2" t="s">
        <v>4146</v>
      </c>
      <c r="E658" s="2" t="s">
        <v>4142</v>
      </c>
    </row>
    <row r="659" customFormat="false" ht="15" hidden="false" customHeight="false" outlineLevel="0" collapsed="false">
      <c r="A659" s="2" t="s">
        <v>2021</v>
      </c>
      <c r="B659" s="2" t="s">
        <v>4145</v>
      </c>
      <c r="C659" s="2" t="s">
        <v>46</v>
      </c>
      <c r="D659" s="2" t="s">
        <v>660</v>
      </c>
      <c r="E659" s="2" t="s">
        <v>4183</v>
      </c>
    </row>
    <row r="660" customFormat="false" ht="15" hidden="false" customHeight="false" outlineLevel="0" collapsed="false">
      <c r="A660" s="2" t="s">
        <v>1952</v>
      </c>
      <c r="B660" s="2" t="s">
        <v>4145</v>
      </c>
      <c r="C660" s="2" t="s">
        <v>45</v>
      </c>
      <c r="D660" s="2" t="s">
        <v>4146</v>
      </c>
      <c r="E660" s="2" t="s">
        <v>4142</v>
      </c>
    </row>
    <row r="661" customFormat="false" ht="15" hidden="false" customHeight="false" outlineLevel="0" collapsed="false">
      <c r="A661" s="2" t="s">
        <v>1601</v>
      </c>
      <c r="B661" s="2" t="s">
        <v>4145</v>
      </c>
      <c r="C661" s="2" t="s">
        <v>45</v>
      </c>
      <c r="D661" s="2" t="s">
        <v>4146</v>
      </c>
      <c r="E661" s="2" t="s">
        <v>4148</v>
      </c>
    </row>
    <row r="662" customFormat="false" ht="15" hidden="false" customHeight="false" outlineLevel="0" collapsed="false">
      <c r="A662" s="2" t="s">
        <v>1601</v>
      </c>
      <c r="B662" s="2" t="s">
        <v>4145</v>
      </c>
      <c r="C662" s="2" t="s">
        <v>47</v>
      </c>
      <c r="D662" s="2" t="s">
        <v>4146</v>
      </c>
      <c r="E662" s="2" t="s">
        <v>4157</v>
      </c>
    </row>
    <row r="663" customFormat="false" ht="15" hidden="false" customHeight="false" outlineLevel="0" collapsed="false">
      <c r="A663" s="2" t="s">
        <v>1988</v>
      </c>
      <c r="B663" s="2" t="s">
        <v>4145</v>
      </c>
      <c r="C663" s="2" t="s">
        <v>46</v>
      </c>
      <c r="D663" s="2" t="s">
        <v>4146</v>
      </c>
      <c r="E663" s="2" t="s">
        <v>4142</v>
      </c>
    </row>
    <row r="664" customFormat="false" ht="15" hidden="false" customHeight="false" outlineLevel="0" collapsed="false">
      <c r="A664" s="2" t="s">
        <v>2256</v>
      </c>
      <c r="B664" s="2" t="s">
        <v>4145</v>
      </c>
      <c r="C664" s="2" t="s">
        <v>45</v>
      </c>
      <c r="D664" s="2" t="s">
        <v>660</v>
      </c>
      <c r="E664" s="2" t="s">
        <v>4183</v>
      </c>
    </row>
    <row r="665" customFormat="false" ht="15" hidden="false" customHeight="false" outlineLevel="0" collapsed="false">
      <c r="A665" s="2" t="s">
        <v>2256</v>
      </c>
      <c r="B665" s="2" t="s">
        <v>4145</v>
      </c>
      <c r="C665" s="2" t="s">
        <v>46</v>
      </c>
      <c r="D665" s="2" t="s">
        <v>4146</v>
      </c>
      <c r="E665" s="2" t="s">
        <v>4148</v>
      </c>
    </row>
    <row r="666" customFormat="false" ht="15" hidden="false" customHeight="false" outlineLevel="0" collapsed="false">
      <c r="A666" s="2" t="s">
        <v>2032</v>
      </c>
      <c r="B666" s="2" t="s">
        <v>4145</v>
      </c>
      <c r="C666" s="2" t="s">
        <v>46</v>
      </c>
      <c r="D666" s="2" t="s">
        <v>4180</v>
      </c>
      <c r="E666" s="2" t="s">
        <v>4181</v>
      </c>
    </row>
    <row r="667" customFormat="false" ht="15" hidden="false" customHeight="false" outlineLevel="0" collapsed="false">
      <c r="A667" s="2" t="s">
        <v>1758</v>
      </c>
      <c r="B667" s="2" t="s">
        <v>4145</v>
      </c>
      <c r="C667" s="2" t="s">
        <v>45</v>
      </c>
      <c r="D667" s="2" t="s">
        <v>4197</v>
      </c>
      <c r="E667" s="2" t="s">
        <v>4198</v>
      </c>
    </row>
    <row r="668" customFormat="false" ht="15" hidden="false" customHeight="false" outlineLevel="0" collapsed="false">
      <c r="A668" s="2" t="s">
        <v>1758</v>
      </c>
      <c r="B668" s="2" t="s">
        <v>4145</v>
      </c>
      <c r="C668" s="2" t="s">
        <v>47</v>
      </c>
      <c r="D668" s="2" t="s">
        <v>4146</v>
      </c>
      <c r="E668" s="2" t="s">
        <v>4143</v>
      </c>
    </row>
    <row r="669" customFormat="false" ht="15" hidden="false" customHeight="false" outlineLevel="0" collapsed="false">
      <c r="A669" s="2" t="s">
        <v>3128</v>
      </c>
      <c r="B669" s="2" t="s">
        <v>4145</v>
      </c>
      <c r="C669" s="2" t="s">
        <v>45</v>
      </c>
      <c r="D669" s="2" t="s">
        <v>4146</v>
      </c>
      <c r="E669" s="2" t="s">
        <v>4148</v>
      </c>
    </row>
    <row r="670" customFormat="false" ht="15" hidden="false" customHeight="false" outlineLevel="0" collapsed="false">
      <c r="A670" s="2" t="s">
        <v>2501</v>
      </c>
      <c r="B670" s="2" t="s">
        <v>4145</v>
      </c>
      <c r="C670" s="2" t="s">
        <v>45</v>
      </c>
      <c r="D670" s="2" t="s">
        <v>4180</v>
      </c>
      <c r="E670" s="2" t="s">
        <v>4181</v>
      </c>
    </row>
    <row r="671" customFormat="false" ht="15" hidden="false" customHeight="false" outlineLevel="0" collapsed="false">
      <c r="A671" s="2" t="s">
        <v>2501</v>
      </c>
      <c r="B671" s="2" t="s">
        <v>4145</v>
      </c>
      <c r="C671" s="2" t="s">
        <v>46</v>
      </c>
      <c r="D671" s="2" t="s">
        <v>662</v>
      </c>
      <c r="E671" s="2" t="s">
        <v>4282</v>
      </c>
    </row>
    <row r="672" customFormat="false" ht="15" hidden="false" customHeight="false" outlineLevel="0" collapsed="false">
      <c r="A672" s="2" t="s">
        <v>1679</v>
      </c>
      <c r="B672" s="2" t="s">
        <v>4145</v>
      </c>
      <c r="C672" s="2" t="s">
        <v>45</v>
      </c>
      <c r="D672" s="2" t="s">
        <v>4146</v>
      </c>
      <c r="E672" s="2" t="s">
        <v>4143</v>
      </c>
    </row>
    <row r="673" customFormat="false" ht="15" hidden="false" customHeight="false" outlineLevel="0" collapsed="false">
      <c r="A673" s="2" t="s">
        <v>2056</v>
      </c>
      <c r="B673" s="2" t="s">
        <v>4145</v>
      </c>
      <c r="C673" s="2" t="s">
        <v>46</v>
      </c>
      <c r="D673" s="2" t="s">
        <v>4146</v>
      </c>
      <c r="E673" s="2" t="s">
        <v>4148</v>
      </c>
    </row>
    <row r="674" customFormat="false" ht="15" hidden="false" customHeight="false" outlineLevel="0" collapsed="false">
      <c r="A674" s="2" t="s">
        <v>2619</v>
      </c>
      <c r="B674" s="2" t="s">
        <v>4145</v>
      </c>
      <c r="C674" s="2" t="s">
        <v>45</v>
      </c>
      <c r="D674" s="2" t="s">
        <v>4146</v>
      </c>
      <c r="E674" s="2" t="s">
        <v>4142</v>
      </c>
    </row>
    <row r="675" customFormat="false" ht="15" hidden="false" customHeight="false" outlineLevel="0" collapsed="false">
      <c r="A675" s="2" t="s">
        <v>2619</v>
      </c>
      <c r="B675" s="2" t="s">
        <v>4145</v>
      </c>
      <c r="C675" s="2" t="s">
        <v>46</v>
      </c>
      <c r="D675" s="2" t="s">
        <v>4153</v>
      </c>
      <c r="E675" s="2" t="s">
        <v>4163</v>
      </c>
    </row>
    <row r="676" customFormat="false" ht="15" hidden="false" customHeight="false" outlineLevel="0" collapsed="false">
      <c r="A676" s="2" t="s">
        <v>1436</v>
      </c>
      <c r="B676" s="2" t="s">
        <v>4145</v>
      </c>
      <c r="C676" s="2" t="s">
        <v>45</v>
      </c>
      <c r="D676" s="2" t="s">
        <v>4146</v>
      </c>
      <c r="E676" s="2" t="s">
        <v>4141</v>
      </c>
    </row>
    <row r="677" customFormat="false" ht="15" hidden="false" customHeight="false" outlineLevel="0" collapsed="false">
      <c r="A677" s="2" t="s">
        <v>1381</v>
      </c>
      <c r="B677" s="2" t="s">
        <v>4145</v>
      </c>
      <c r="C677" s="2" t="s">
        <v>45</v>
      </c>
      <c r="D677" s="2" t="s">
        <v>660</v>
      </c>
      <c r="E677" s="2" t="s">
        <v>4183</v>
      </c>
    </row>
    <row r="678" customFormat="false" ht="15" hidden="false" customHeight="false" outlineLevel="0" collapsed="false">
      <c r="A678" s="2" t="s">
        <v>3133</v>
      </c>
      <c r="B678" s="2" t="s">
        <v>4145</v>
      </c>
      <c r="C678" s="2" t="s">
        <v>46</v>
      </c>
      <c r="D678" s="2" t="s">
        <v>4146</v>
      </c>
      <c r="E678" s="2" t="s">
        <v>4139</v>
      </c>
    </row>
    <row r="679" customFormat="false" ht="15" hidden="false" customHeight="false" outlineLevel="0" collapsed="false">
      <c r="A679" s="2" t="s">
        <v>2517</v>
      </c>
      <c r="B679" s="2" t="s">
        <v>4145</v>
      </c>
      <c r="C679" s="2" t="s">
        <v>45</v>
      </c>
      <c r="D679" s="2" t="s">
        <v>4146</v>
      </c>
      <c r="E679" s="2" t="s">
        <v>4143</v>
      </c>
    </row>
    <row r="680" customFormat="false" ht="15" hidden="false" customHeight="false" outlineLevel="0" collapsed="false">
      <c r="A680" s="2" t="s">
        <v>2517</v>
      </c>
      <c r="B680" s="2" t="s">
        <v>4145</v>
      </c>
      <c r="C680" s="2" t="s">
        <v>46</v>
      </c>
      <c r="D680" s="2" t="s">
        <v>662</v>
      </c>
      <c r="E680" s="2" t="s">
        <v>4171</v>
      </c>
    </row>
    <row r="681" customFormat="false" ht="15" hidden="false" customHeight="false" outlineLevel="0" collapsed="false">
      <c r="A681" s="2" t="s">
        <v>3135</v>
      </c>
      <c r="B681" s="2" t="s">
        <v>4145</v>
      </c>
      <c r="C681" s="2" t="s">
        <v>45</v>
      </c>
      <c r="D681" s="2" t="s">
        <v>4146</v>
      </c>
      <c r="E681" s="2" t="s">
        <v>4148</v>
      </c>
    </row>
    <row r="682" customFormat="false" ht="15" hidden="false" customHeight="false" outlineLevel="0" collapsed="false">
      <c r="A682" s="2" t="s">
        <v>3135</v>
      </c>
      <c r="B682" s="2" t="s">
        <v>4145</v>
      </c>
      <c r="C682" s="2" t="s">
        <v>46</v>
      </c>
      <c r="D682" s="2" t="s">
        <v>4193</v>
      </c>
      <c r="E682" s="2" t="s">
        <v>4283</v>
      </c>
    </row>
    <row r="683" customFormat="false" ht="15" hidden="false" customHeight="false" outlineLevel="0" collapsed="false">
      <c r="A683" s="2" t="s">
        <v>3135</v>
      </c>
      <c r="B683" s="2" t="s">
        <v>4145</v>
      </c>
      <c r="C683" s="2" t="s">
        <v>47</v>
      </c>
      <c r="D683" s="2" t="s">
        <v>662</v>
      </c>
      <c r="E683" s="2" t="s">
        <v>4187</v>
      </c>
    </row>
    <row r="684" customFormat="false" ht="15" hidden="false" customHeight="false" outlineLevel="0" collapsed="false">
      <c r="A684" s="2" t="s">
        <v>1493</v>
      </c>
      <c r="B684" s="2" t="s">
        <v>4145</v>
      </c>
      <c r="C684" s="2" t="s">
        <v>47</v>
      </c>
      <c r="D684" s="2" t="s">
        <v>4146</v>
      </c>
      <c r="E684" s="2" t="s">
        <v>4157</v>
      </c>
    </row>
    <row r="685" customFormat="false" ht="15" hidden="false" customHeight="false" outlineLevel="0" collapsed="false">
      <c r="A685" s="2" t="s">
        <v>1956</v>
      </c>
      <c r="B685" s="2" t="s">
        <v>4145</v>
      </c>
      <c r="C685" s="2" t="s">
        <v>45</v>
      </c>
      <c r="D685" s="2" t="s">
        <v>662</v>
      </c>
      <c r="E685" s="2" t="s">
        <v>4164</v>
      </c>
    </row>
    <row r="686" customFormat="false" ht="15" hidden="false" customHeight="false" outlineLevel="0" collapsed="false">
      <c r="A686" s="2" t="s">
        <v>3139</v>
      </c>
      <c r="B686" s="2" t="s">
        <v>4145</v>
      </c>
      <c r="C686" s="2" t="s">
        <v>45</v>
      </c>
      <c r="D686" s="2" t="s">
        <v>662</v>
      </c>
      <c r="E686" s="2" t="s">
        <v>4188</v>
      </c>
    </row>
    <row r="687" customFormat="false" ht="15" hidden="false" customHeight="false" outlineLevel="0" collapsed="false">
      <c r="A687" s="2" t="s">
        <v>3139</v>
      </c>
      <c r="B687" s="2" t="s">
        <v>4145</v>
      </c>
      <c r="C687" s="2" t="s">
        <v>46</v>
      </c>
      <c r="D687" s="2" t="s">
        <v>4153</v>
      </c>
      <c r="E687" s="2" t="s">
        <v>4284</v>
      </c>
    </row>
    <row r="688" customFormat="false" ht="15" hidden="false" customHeight="false" outlineLevel="0" collapsed="false">
      <c r="A688" s="2" t="s">
        <v>3139</v>
      </c>
      <c r="B688" s="2" t="s">
        <v>4145</v>
      </c>
      <c r="C688" s="2" t="s">
        <v>47</v>
      </c>
      <c r="D688" s="2" t="s">
        <v>4146</v>
      </c>
      <c r="E688" s="2" t="s">
        <v>4157</v>
      </c>
    </row>
    <row r="689" customFormat="false" ht="15" hidden="false" customHeight="false" outlineLevel="0" collapsed="false">
      <c r="A689" s="2" t="s">
        <v>1141</v>
      </c>
      <c r="B689" s="2" t="s">
        <v>4145</v>
      </c>
      <c r="C689" s="2" t="s">
        <v>46</v>
      </c>
      <c r="D689" s="2" t="s">
        <v>4146</v>
      </c>
      <c r="E689" s="2" t="s">
        <v>4148</v>
      </c>
    </row>
    <row r="690" customFormat="false" ht="15" hidden="false" customHeight="false" outlineLevel="0" collapsed="false">
      <c r="A690" s="2" t="s">
        <v>2184</v>
      </c>
      <c r="B690" s="2" t="s">
        <v>4145</v>
      </c>
      <c r="C690" s="2" t="s">
        <v>45</v>
      </c>
      <c r="D690" s="2" t="s">
        <v>4146</v>
      </c>
      <c r="E690" s="2" t="s">
        <v>4148</v>
      </c>
    </row>
    <row r="691" customFormat="false" ht="15" hidden="false" customHeight="false" outlineLevel="0" collapsed="false">
      <c r="A691" s="2" t="s">
        <v>2184</v>
      </c>
      <c r="B691" s="2" t="s">
        <v>4145</v>
      </c>
      <c r="C691" s="2" t="s">
        <v>46</v>
      </c>
      <c r="D691" s="2" t="s">
        <v>662</v>
      </c>
      <c r="E691" s="2" t="s">
        <v>4173</v>
      </c>
    </row>
    <row r="692" customFormat="false" ht="15" hidden="false" customHeight="false" outlineLevel="0" collapsed="false">
      <c r="A692" s="2" t="s">
        <v>1920</v>
      </c>
      <c r="B692" s="2" t="s">
        <v>4145</v>
      </c>
      <c r="C692" s="2" t="s">
        <v>45</v>
      </c>
      <c r="D692" s="2" t="s">
        <v>662</v>
      </c>
      <c r="E692" s="2" t="s">
        <v>4188</v>
      </c>
    </row>
    <row r="693" customFormat="false" ht="15" hidden="false" customHeight="false" outlineLevel="0" collapsed="false">
      <c r="A693" s="2" t="s">
        <v>1558</v>
      </c>
      <c r="B693" s="2" t="s">
        <v>4145</v>
      </c>
      <c r="C693" s="2" t="s">
        <v>45</v>
      </c>
      <c r="D693" s="2" t="s">
        <v>4153</v>
      </c>
      <c r="E693" s="2" t="s">
        <v>4163</v>
      </c>
    </row>
    <row r="694" customFormat="false" ht="15" hidden="false" customHeight="false" outlineLevel="0" collapsed="false">
      <c r="A694" s="2" t="s">
        <v>1558</v>
      </c>
      <c r="B694" s="2" t="s">
        <v>4145</v>
      </c>
      <c r="C694" s="2" t="s">
        <v>47</v>
      </c>
      <c r="D694" s="2" t="s">
        <v>4146</v>
      </c>
      <c r="E694" s="2" t="s">
        <v>4135</v>
      </c>
    </row>
    <row r="695" customFormat="false" ht="15" hidden="false" customHeight="false" outlineLevel="0" collapsed="false">
      <c r="A695" s="2" t="s">
        <v>1894</v>
      </c>
      <c r="B695" s="2" t="s">
        <v>4145</v>
      </c>
      <c r="C695" s="2" t="s">
        <v>45</v>
      </c>
      <c r="D695" s="2" t="s">
        <v>4146</v>
      </c>
      <c r="E695" s="2" t="s">
        <v>4142</v>
      </c>
    </row>
    <row r="696" customFormat="false" ht="15" hidden="false" customHeight="false" outlineLevel="0" collapsed="false">
      <c r="A696" s="2" t="s">
        <v>808</v>
      </c>
      <c r="B696" s="2" t="s">
        <v>4145</v>
      </c>
      <c r="C696" s="2" t="s">
        <v>46</v>
      </c>
      <c r="D696" s="2" t="s">
        <v>661</v>
      </c>
      <c r="E696" s="2" t="s">
        <v>4152</v>
      </c>
    </row>
    <row r="697" customFormat="false" ht="15" hidden="false" customHeight="false" outlineLevel="0" collapsed="false">
      <c r="A697" s="2" t="s">
        <v>972</v>
      </c>
      <c r="B697" s="2" t="s">
        <v>4145</v>
      </c>
      <c r="C697" s="2" t="s">
        <v>46</v>
      </c>
      <c r="D697" s="2" t="s">
        <v>4146</v>
      </c>
      <c r="E697" s="2" t="s">
        <v>4148</v>
      </c>
    </row>
    <row r="698" customFormat="false" ht="15" hidden="false" customHeight="false" outlineLevel="0" collapsed="false">
      <c r="A698" s="2" t="s">
        <v>1856</v>
      </c>
      <c r="B698" s="2" t="s">
        <v>4145</v>
      </c>
      <c r="C698" s="2" t="s">
        <v>45</v>
      </c>
      <c r="D698" s="2" t="s">
        <v>662</v>
      </c>
      <c r="E698" s="2" t="s">
        <v>4171</v>
      </c>
    </row>
    <row r="699" customFormat="false" ht="15" hidden="false" customHeight="false" outlineLevel="0" collapsed="false">
      <c r="A699" s="2" t="s">
        <v>3147</v>
      </c>
      <c r="B699" s="2" t="s">
        <v>4145</v>
      </c>
      <c r="C699" s="2" t="s">
        <v>45</v>
      </c>
      <c r="D699" s="2" t="s">
        <v>4146</v>
      </c>
      <c r="E699" s="2" t="s">
        <v>4148</v>
      </c>
    </row>
    <row r="700" customFormat="false" ht="15" hidden="false" customHeight="false" outlineLevel="0" collapsed="false">
      <c r="A700" s="2" t="s">
        <v>3147</v>
      </c>
      <c r="B700" s="2" t="s">
        <v>4145</v>
      </c>
      <c r="C700" s="2" t="s">
        <v>47</v>
      </c>
      <c r="D700" s="2" t="s">
        <v>4146</v>
      </c>
      <c r="E700" s="2" t="s">
        <v>4148</v>
      </c>
    </row>
    <row r="701" customFormat="false" ht="15" hidden="false" customHeight="false" outlineLevel="0" collapsed="false">
      <c r="A701" s="2" t="s">
        <v>2416</v>
      </c>
      <c r="B701" s="2" t="s">
        <v>4145</v>
      </c>
      <c r="C701" s="2" t="s">
        <v>45</v>
      </c>
      <c r="D701" s="2" t="s">
        <v>4146</v>
      </c>
      <c r="E701" s="2" t="s">
        <v>4139</v>
      </c>
    </row>
    <row r="702" customFormat="false" ht="15" hidden="false" customHeight="false" outlineLevel="0" collapsed="false">
      <c r="A702" s="2" t="s">
        <v>1829</v>
      </c>
      <c r="B702" s="2" t="s">
        <v>4145</v>
      </c>
      <c r="C702" s="2" t="s">
        <v>45</v>
      </c>
      <c r="D702" s="2" t="s">
        <v>662</v>
      </c>
      <c r="E702" s="2" t="s">
        <v>4179</v>
      </c>
    </row>
    <row r="703" customFormat="false" ht="15" hidden="false" customHeight="false" outlineLevel="0" collapsed="false">
      <c r="A703" s="2" t="s">
        <v>1370</v>
      </c>
      <c r="B703" s="2" t="s">
        <v>4145</v>
      </c>
      <c r="C703" s="2" t="s">
        <v>46</v>
      </c>
      <c r="D703" s="2" t="s">
        <v>4146</v>
      </c>
      <c r="E703" s="2" t="s">
        <v>4142</v>
      </c>
    </row>
    <row r="704" customFormat="false" ht="15" hidden="false" customHeight="false" outlineLevel="0" collapsed="false">
      <c r="A704" s="2" t="s">
        <v>1370</v>
      </c>
      <c r="B704" s="2" t="s">
        <v>4145</v>
      </c>
      <c r="C704" s="2" t="s">
        <v>47</v>
      </c>
      <c r="D704" s="2" t="s">
        <v>4150</v>
      </c>
      <c r="E704" s="2" t="s">
        <v>4285</v>
      </c>
    </row>
    <row r="705" customFormat="false" ht="15" hidden="false" customHeight="false" outlineLevel="0" collapsed="false">
      <c r="A705" s="2" t="s">
        <v>3150</v>
      </c>
      <c r="B705" s="2" t="s">
        <v>4145</v>
      </c>
      <c r="C705" s="2" t="s">
        <v>45</v>
      </c>
      <c r="D705" s="2" t="s">
        <v>4146</v>
      </c>
      <c r="E705" s="2" t="s">
        <v>4141</v>
      </c>
    </row>
    <row r="706" customFormat="false" ht="15" hidden="false" customHeight="false" outlineLevel="0" collapsed="false">
      <c r="A706" s="2" t="s">
        <v>3150</v>
      </c>
      <c r="B706" s="2" t="s">
        <v>4145</v>
      </c>
      <c r="C706" s="2" t="s">
        <v>46</v>
      </c>
      <c r="D706" s="2" t="s">
        <v>4146</v>
      </c>
      <c r="E706" s="2" t="s">
        <v>4142</v>
      </c>
    </row>
    <row r="707" customFormat="false" ht="15" hidden="false" customHeight="false" outlineLevel="0" collapsed="false">
      <c r="A707" s="2" t="s">
        <v>2469</v>
      </c>
      <c r="B707" s="2" t="s">
        <v>4145</v>
      </c>
      <c r="C707" s="2" t="s">
        <v>45</v>
      </c>
      <c r="D707" s="2" t="s">
        <v>4146</v>
      </c>
      <c r="E707" s="2" t="s">
        <v>4148</v>
      </c>
    </row>
    <row r="708" customFormat="false" ht="15" hidden="false" customHeight="false" outlineLevel="0" collapsed="false">
      <c r="A708" s="2" t="s">
        <v>2469</v>
      </c>
      <c r="B708" s="2" t="s">
        <v>4145</v>
      </c>
      <c r="C708" s="2" t="s">
        <v>46</v>
      </c>
      <c r="D708" s="2" t="s">
        <v>662</v>
      </c>
      <c r="E708" s="2" t="s">
        <v>4164</v>
      </c>
    </row>
    <row r="709" customFormat="false" ht="15" hidden="false" customHeight="false" outlineLevel="0" collapsed="false">
      <c r="A709" s="2" t="s">
        <v>3152</v>
      </c>
      <c r="B709" s="2" t="s">
        <v>4145</v>
      </c>
      <c r="C709" s="2" t="s">
        <v>45</v>
      </c>
      <c r="D709" s="2" t="s">
        <v>4146</v>
      </c>
      <c r="E709" s="2" t="s">
        <v>4140</v>
      </c>
    </row>
    <row r="710" customFormat="false" ht="15" hidden="false" customHeight="false" outlineLevel="0" collapsed="false">
      <c r="A710" s="2" t="s">
        <v>3152</v>
      </c>
      <c r="B710" s="2" t="s">
        <v>4145</v>
      </c>
      <c r="C710" s="2" t="s">
        <v>46</v>
      </c>
      <c r="D710" s="2" t="s">
        <v>4180</v>
      </c>
      <c r="E710" s="2" t="s">
        <v>4181</v>
      </c>
    </row>
    <row r="711" customFormat="false" ht="15" hidden="false" customHeight="false" outlineLevel="0" collapsed="false">
      <c r="A711" s="2" t="s">
        <v>1433</v>
      </c>
      <c r="B711" s="2" t="s">
        <v>4145</v>
      </c>
      <c r="C711" s="2" t="s">
        <v>45</v>
      </c>
      <c r="D711" s="2" t="s">
        <v>660</v>
      </c>
      <c r="E711" s="2" t="s">
        <v>4286</v>
      </c>
    </row>
    <row r="712" customFormat="false" ht="15" hidden="false" customHeight="false" outlineLevel="0" collapsed="false">
      <c r="A712" s="2" t="s">
        <v>768</v>
      </c>
      <c r="B712" s="2" t="s">
        <v>4145</v>
      </c>
      <c r="C712" s="2" t="s">
        <v>46</v>
      </c>
      <c r="D712" s="2" t="s">
        <v>4146</v>
      </c>
      <c r="E712" s="2" t="s">
        <v>4141</v>
      </c>
    </row>
    <row r="713" customFormat="false" ht="15" hidden="false" customHeight="false" outlineLevel="0" collapsed="false">
      <c r="A713" s="2" t="s">
        <v>2507</v>
      </c>
      <c r="B713" s="2" t="s">
        <v>4145</v>
      </c>
      <c r="C713" s="2" t="s">
        <v>45</v>
      </c>
      <c r="D713" s="2" t="s">
        <v>662</v>
      </c>
      <c r="E713" s="2" t="s">
        <v>4178</v>
      </c>
    </row>
    <row r="714" customFormat="false" ht="15" hidden="false" customHeight="false" outlineLevel="0" collapsed="false">
      <c r="A714" s="2" t="s">
        <v>2507</v>
      </c>
      <c r="B714" s="2" t="s">
        <v>4145</v>
      </c>
      <c r="C714" s="2" t="s">
        <v>46</v>
      </c>
      <c r="D714" s="2" t="s">
        <v>662</v>
      </c>
      <c r="E714" s="2" t="s">
        <v>4164</v>
      </c>
    </row>
    <row r="715" customFormat="false" ht="15" hidden="false" customHeight="false" outlineLevel="0" collapsed="false">
      <c r="A715" s="2" t="s">
        <v>1884</v>
      </c>
      <c r="B715" s="2" t="s">
        <v>4145</v>
      </c>
      <c r="C715" s="2" t="s">
        <v>47</v>
      </c>
      <c r="D715" s="2" t="s">
        <v>4146</v>
      </c>
      <c r="E715" s="2" t="s">
        <v>4157</v>
      </c>
    </row>
    <row r="716" customFormat="false" ht="15" hidden="false" customHeight="false" outlineLevel="0" collapsed="false">
      <c r="A716" s="2" t="s">
        <v>1445</v>
      </c>
      <c r="B716" s="2" t="s">
        <v>4145</v>
      </c>
      <c r="C716" s="2" t="s">
        <v>45</v>
      </c>
      <c r="D716" s="2" t="s">
        <v>4193</v>
      </c>
      <c r="E716" s="2" t="s">
        <v>4283</v>
      </c>
    </row>
    <row r="717" customFormat="false" ht="15" hidden="false" customHeight="false" outlineLevel="0" collapsed="false">
      <c r="A717" s="2" t="s">
        <v>3159</v>
      </c>
      <c r="B717" s="2" t="s">
        <v>4145</v>
      </c>
      <c r="C717" s="2" t="s">
        <v>46</v>
      </c>
      <c r="D717" s="2" t="s">
        <v>662</v>
      </c>
      <c r="E717" s="2" t="s">
        <v>4186</v>
      </c>
    </row>
    <row r="718" customFormat="false" ht="15" hidden="false" customHeight="false" outlineLevel="0" collapsed="false">
      <c r="A718" s="2" t="s">
        <v>1220</v>
      </c>
      <c r="B718" s="2" t="s">
        <v>4145</v>
      </c>
      <c r="C718" s="2" t="s">
        <v>46</v>
      </c>
      <c r="D718" s="2" t="s">
        <v>4146</v>
      </c>
      <c r="E718" s="2" t="s">
        <v>4142</v>
      </c>
    </row>
    <row r="719" customFormat="false" ht="15" hidden="false" customHeight="false" outlineLevel="0" collapsed="false">
      <c r="A719" s="2" t="s">
        <v>818</v>
      </c>
      <c r="B719" s="2" t="s">
        <v>4145</v>
      </c>
      <c r="C719" s="2" t="s">
        <v>46</v>
      </c>
      <c r="D719" s="2" t="s">
        <v>4146</v>
      </c>
      <c r="E719" s="2" t="s">
        <v>4148</v>
      </c>
    </row>
    <row r="720" customFormat="false" ht="15" hidden="false" customHeight="false" outlineLevel="0" collapsed="false">
      <c r="A720" s="2" t="s">
        <v>1313</v>
      </c>
      <c r="B720" s="2" t="s">
        <v>4145</v>
      </c>
      <c r="C720" s="2" t="s">
        <v>46</v>
      </c>
      <c r="D720" s="2" t="s">
        <v>4146</v>
      </c>
      <c r="E720" s="2" t="s">
        <v>4142</v>
      </c>
    </row>
    <row r="721" customFormat="false" ht="15" hidden="false" customHeight="false" outlineLevel="0" collapsed="false">
      <c r="A721" s="2" t="s">
        <v>3161</v>
      </c>
      <c r="B721" s="2" t="s">
        <v>4145</v>
      </c>
      <c r="C721" s="2" t="s">
        <v>46</v>
      </c>
      <c r="D721" s="2" t="s">
        <v>662</v>
      </c>
      <c r="E721" s="2" t="s">
        <v>4164</v>
      </c>
    </row>
    <row r="722" customFormat="false" ht="15" hidden="false" customHeight="false" outlineLevel="0" collapsed="false">
      <c r="A722" s="2" t="s">
        <v>2052</v>
      </c>
      <c r="B722" s="2" t="s">
        <v>4145</v>
      </c>
      <c r="C722" s="2" t="s">
        <v>45</v>
      </c>
      <c r="D722" s="2" t="s">
        <v>4150</v>
      </c>
      <c r="E722" s="2" t="s">
        <v>4248</v>
      </c>
    </row>
    <row r="723" customFormat="false" ht="15" hidden="false" customHeight="false" outlineLevel="0" collapsed="false">
      <c r="A723" s="2" t="s">
        <v>2052</v>
      </c>
      <c r="B723" s="2" t="s">
        <v>4145</v>
      </c>
      <c r="C723" s="2" t="s">
        <v>46</v>
      </c>
      <c r="D723" s="2" t="s">
        <v>4146</v>
      </c>
      <c r="E723" s="2" t="s">
        <v>4143</v>
      </c>
    </row>
    <row r="724" customFormat="false" ht="15" hidden="false" customHeight="false" outlineLevel="0" collapsed="false">
      <c r="A724" s="2" t="s">
        <v>2324</v>
      </c>
      <c r="B724" s="2" t="s">
        <v>4145</v>
      </c>
      <c r="C724" s="2" t="s">
        <v>45</v>
      </c>
      <c r="D724" s="2" t="s">
        <v>661</v>
      </c>
      <c r="E724" s="2" t="s">
        <v>4152</v>
      </c>
    </row>
    <row r="725" customFormat="false" ht="15" hidden="false" customHeight="false" outlineLevel="0" collapsed="false">
      <c r="A725" s="2" t="s">
        <v>2324</v>
      </c>
      <c r="B725" s="2" t="s">
        <v>4145</v>
      </c>
      <c r="C725" s="2" t="s">
        <v>46</v>
      </c>
      <c r="D725" s="2" t="s">
        <v>4153</v>
      </c>
      <c r="E725" s="2" t="s">
        <v>4230</v>
      </c>
    </row>
    <row r="726" customFormat="false" ht="15" hidden="false" customHeight="false" outlineLevel="0" collapsed="false">
      <c r="A726" s="2" t="s">
        <v>1081</v>
      </c>
      <c r="B726" s="2" t="s">
        <v>4145</v>
      </c>
      <c r="C726" s="2" t="s">
        <v>46</v>
      </c>
      <c r="D726" s="2" t="s">
        <v>4150</v>
      </c>
      <c r="E726" s="2" t="s">
        <v>4268</v>
      </c>
    </row>
    <row r="727" customFormat="false" ht="15" hidden="false" customHeight="false" outlineLevel="0" collapsed="false">
      <c r="A727" s="2" t="s">
        <v>1713</v>
      </c>
      <c r="B727" s="2" t="s">
        <v>4145</v>
      </c>
      <c r="C727" s="2" t="s">
        <v>45</v>
      </c>
      <c r="D727" s="2" t="s">
        <v>4146</v>
      </c>
      <c r="E727" s="2" t="s">
        <v>4142</v>
      </c>
    </row>
    <row r="728" customFormat="false" ht="15" hidden="false" customHeight="false" outlineLevel="0" collapsed="false">
      <c r="A728" s="2" t="s">
        <v>694</v>
      </c>
      <c r="B728" s="2" t="s">
        <v>4145</v>
      </c>
      <c r="C728" s="2" t="s">
        <v>46</v>
      </c>
      <c r="D728" s="2" t="s">
        <v>661</v>
      </c>
      <c r="E728" s="2" t="s">
        <v>4152</v>
      </c>
    </row>
    <row r="729" customFormat="false" ht="15" hidden="false" customHeight="false" outlineLevel="0" collapsed="false">
      <c r="A729" s="2" t="s">
        <v>1963</v>
      </c>
      <c r="B729" s="2" t="s">
        <v>4145</v>
      </c>
      <c r="C729" s="2" t="s">
        <v>45</v>
      </c>
      <c r="D729" s="2" t="s">
        <v>662</v>
      </c>
      <c r="E729" s="2" t="s">
        <v>4188</v>
      </c>
    </row>
    <row r="730" customFormat="false" ht="15" hidden="false" customHeight="false" outlineLevel="0" collapsed="false">
      <c r="A730" s="2" t="s">
        <v>1963</v>
      </c>
      <c r="B730" s="2" t="s">
        <v>4145</v>
      </c>
      <c r="C730" s="2" t="s">
        <v>46</v>
      </c>
      <c r="D730" s="2" t="s">
        <v>662</v>
      </c>
      <c r="E730" s="2" t="s">
        <v>4179</v>
      </c>
    </row>
    <row r="731" customFormat="false" ht="15" hidden="false" customHeight="false" outlineLevel="0" collapsed="false">
      <c r="A731" s="2" t="s">
        <v>837</v>
      </c>
      <c r="B731" s="2" t="s">
        <v>4145</v>
      </c>
      <c r="C731" s="2" t="s">
        <v>47</v>
      </c>
      <c r="D731" s="2" t="s">
        <v>661</v>
      </c>
      <c r="E731" s="2" t="s">
        <v>4152</v>
      </c>
    </row>
    <row r="732" customFormat="false" ht="15" hidden="false" customHeight="false" outlineLevel="0" collapsed="false">
      <c r="A732" s="2" t="s">
        <v>2203</v>
      </c>
      <c r="B732" s="2" t="s">
        <v>4145</v>
      </c>
      <c r="C732" s="2" t="s">
        <v>45</v>
      </c>
      <c r="D732" s="2" t="s">
        <v>662</v>
      </c>
      <c r="E732" s="2" t="s">
        <v>4164</v>
      </c>
    </row>
    <row r="733" customFormat="false" ht="15" hidden="false" customHeight="false" outlineLevel="0" collapsed="false">
      <c r="A733" s="2" t="s">
        <v>2203</v>
      </c>
      <c r="B733" s="2" t="s">
        <v>4145</v>
      </c>
      <c r="C733" s="2" t="s">
        <v>46</v>
      </c>
      <c r="D733" s="2" t="s">
        <v>4146</v>
      </c>
      <c r="E733" s="2" t="s">
        <v>4148</v>
      </c>
    </row>
    <row r="734" customFormat="false" ht="15" hidden="false" customHeight="false" outlineLevel="0" collapsed="false">
      <c r="A734" s="2" t="s">
        <v>1357</v>
      </c>
      <c r="B734" s="2" t="s">
        <v>4145</v>
      </c>
      <c r="C734" s="2" t="s">
        <v>47</v>
      </c>
      <c r="D734" s="2" t="s">
        <v>4146</v>
      </c>
      <c r="E734" s="2" t="s">
        <v>4135</v>
      </c>
    </row>
    <row r="735" customFormat="false" ht="15" hidden="false" customHeight="false" outlineLevel="0" collapsed="false">
      <c r="A735" s="2" t="s">
        <v>1613</v>
      </c>
      <c r="B735" s="2" t="s">
        <v>4145</v>
      </c>
      <c r="C735" s="2" t="s">
        <v>45</v>
      </c>
      <c r="D735" s="2" t="s">
        <v>661</v>
      </c>
      <c r="E735" s="2" t="s">
        <v>4280</v>
      </c>
    </row>
    <row r="736" customFormat="false" ht="15" hidden="false" customHeight="false" outlineLevel="0" collapsed="false">
      <c r="A736" s="2" t="s">
        <v>1613</v>
      </c>
      <c r="B736" s="2" t="s">
        <v>4145</v>
      </c>
      <c r="C736" s="2" t="s">
        <v>47</v>
      </c>
      <c r="D736" s="2" t="s">
        <v>4146</v>
      </c>
      <c r="E736" s="2" t="s">
        <v>4135</v>
      </c>
    </row>
    <row r="737" customFormat="false" ht="15" hidden="false" customHeight="false" outlineLevel="0" collapsed="false">
      <c r="A737" s="2" t="s">
        <v>3173</v>
      </c>
      <c r="B737" s="2" t="s">
        <v>4145</v>
      </c>
      <c r="C737" s="2" t="s">
        <v>45</v>
      </c>
      <c r="D737" s="2" t="s">
        <v>662</v>
      </c>
      <c r="E737" s="2" t="s">
        <v>4164</v>
      </c>
    </row>
    <row r="738" customFormat="false" ht="15" hidden="false" customHeight="false" outlineLevel="0" collapsed="false">
      <c r="A738" s="2" t="s">
        <v>3173</v>
      </c>
      <c r="B738" s="2" t="s">
        <v>4145</v>
      </c>
      <c r="C738" s="2" t="s">
        <v>46</v>
      </c>
      <c r="D738" s="2" t="s">
        <v>662</v>
      </c>
      <c r="E738" s="2" t="s">
        <v>4287</v>
      </c>
    </row>
    <row r="739" customFormat="false" ht="15" hidden="false" customHeight="false" outlineLevel="0" collapsed="false">
      <c r="A739" s="2" t="s">
        <v>3173</v>
      </c>
      <c r="B739" s="2" t="s">
        <v>4145</v>
      </c>
      <c r="C739" s="2" t="s">
        <v>47</v>
      </c>
      <c r="D739" s="2" t="s">
        <v>4146</v>
      </c>
      <c r="E739" s="2" t="s">
        <v>4142</v>
      </c>
    </row>
    <row r="740" customFormat="false" ht="15" hidden="false" customHeight="false" outlineLevel="0" collapsed="false">
      <c r="A740" s="2" t="s">
        <v>1250</v>
      </c>
      <c r="B740" s="2" t="s">
        <v>4145</v>
      </c>
      <c r="C740" s="2" t="s">
        <v>46</v>
      </c>
      <c r="D740" s="2" t="s">
        <v>4153</v>
      </c>
      <c r="E740" s="2" t="s">
        <v>4288</v>
      </c>
    </row>
    <row r="741" customFormat="false" ht="15" hidden="false" customHeight="false" outlineLevel="0" collapsed="false">
      <c r="A741" s="2" t="s">
        <v>1321</v>
      </c>
      <c r="B741" s="2" t="s">
        <v>4145</v>
      </c>
      <c r="C741" s="2" t="s">
        <v>46</v>
      </c>
      <c r="D741" s="2" t="s">
        <v>662</v>
      </c>
      <c r="E741" s="2" t="s">
        <v>4179</v>
      </c>
    </row>
    <row r="742" customFormat="false" ht="15" hidden="false" customHeight="false" outlineLevel="0" collapsed="false">
      <c r="A742" s="2" t="s">
        <v>3178</v>
      </c>
      <c r="B742" s="2" t="s">
        <v>4145</v>
      </c>
      <c r="C742" s="2" t="s">
        <v>47</v>
      </c>
      <c r="D742" s="2" t="s">
        <v>4146</v>
      </c>
      <c r="E742" s="2" t="s">
        <v>4148</v>
      </c>
    </row>
    <row r="743" customFormat="false" ht="15" hidden="false" customHeight="false" outlineLevel="0" collapsed="false">
      <c r="A743" s="2" t="s">
        <v>700</v>
      </c>
      <c r="B743" s="2" t="s">
        <v>4145</v>
      </c>
      <c r="C743" s="2" t="s">
        <v>46</v>
      </c>
      <c r="D743" s="2" t="s">
        <v>661</v>
      </c>
      <c r="E743" s="2" t="s">
        <v>4152</v>
      </c>
    </row>
  </sheetData>
  <autoFilter ref="A4:E7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4"/>
    <col collapsed="false" customWidth="true" hidden="false" outlineLevel="0" max="4" min="4" style="0" width="110"/>
  </cols>
  <sheetData>
    <row r="1" customFormat="false" ht="17.35" hidden="false" customHeight="false" outlineLevel="0" collapsed="false">
      <c r="A1" s="1" t="s">
        <v>4289</v>
      </c>
      <c r="B1" s="2"/>
      <c r="C1" s="2"/>
      <c r="D1" s="2"/>
    </row>
    <row r="2" customFormat="false" ht="15" hidden="false" customHeight="false" outlineLevel="0" collapsed="false">
      <c r="A2" s="3" t="s">
        <v>4290</v>
      </c>
      <c r="B2" s="2"/>
      <c r="C2" s="2"/>
      <c r="D2" s="2"/>
    </row>
    <row r="3" customFormat="false" ht="15" hidden="false" customHeight="false" outlineLevel="0" collapsed="false">
      <c r="A3" s="2"/>
      <c r="B3" s="2"/>
      <c r="C3" s="2"/>
      <c r="D3" s="2"/>
    </row>
    <row r="4" customFormat="false" ht="31.5" hidden="false" customHeight="true" outlineLevel="0" collapsed="false">
      <c r="A4" s="8" t="s">
        <v>4291</v>
      </c>
      <c r="B4" s="8" t="s">
        <v>4292</v>
      </c>
      <c r="C4" s="8" t="s">
        <v>4293</v>
      </c>
      <c r="D4" s="8" t="s">
        <v>4132</v>
      </c>
    </row>
    <row r="5" customFormat="false" ht="15" hidden="false" customHeight="false" outlineLevel="0" collapsed="false">
      <c r="A5" s="2" t="n">
        <v>1</v>
      </c>
      <c r="B5" s="2" t="s">
        <v>4294</v>
      </c>
      <c r="C5" s="2" t="s">
        <v>17</v>
      </c>
      <c r="D5" s="49" t="s">
        <v>4295</v>
      </c>
    </row>
    <row r="6" customFormat="false" ht="15" hidden="false" customHeight="false" outlineLevel="0" collapsed="false">
      <c r="A6" s="2" t="n">
        <v>2</v>
      </c>
      <c r="B6" s="2" t="s">
        <v>4294</v>
      </c>
      <c r="C6" s="2" t="s">
        <v>19</v>
      </c>
      <c r="D6" s="49" t="s">
        <v>4296</v>
      </c>
    </row>
    <row r="7" customFormat="false" ht="15" hidden="false" customHeight="false" outlineLevel="0" collapsed="false">
      <c r="A7" s="2" t="n">
        <v>3</v>
      </c>
      <c r="B7" s="2" t="s">
        <v>4294</v>
      </c>
      <c r="C7" s="2" t="s">
        <v>21</v>
      </c>
      <c r="D7" s="49" t="s">
        <v>4297</v>
      </c>
    </row>
    <row r="8" customFormat="false" ht="26.85" hidden="false" customHeight="false" outlineLevel="0" collapsed="false">
      <c r="A8" s="2" t="n">
        <v>4</v>
      </c>
      <c r="B8" s="2" t="s">
        <v>4298</v>
      </c>
      <c r="C8" s="2" t="s">
        <v>4299</v>
      </c>
      <c r="D8" s="49" t="s">
        <v>4300</v>
      </c>
    </row>
    <row r="9" customFormat="false" ht="26.85" hidden="false" customHeight="false" outlineLevel="0" collapsed="false">
      <c r="A9" s="2" t="n">
        <v>5</v>
      </c>
      <c r="B9" s="2" t="s">
        <v>4298</v>
      </c>
      <c r="C9" s="2" t="s">
        <v>4299</v>
      </c>
      <c r="D9" s="49" t="s">
        <v>4301</v>
      </c>
    </row>
    <row r="10" customFormat="false" ht="26.85" hidden="false" customHeight="false" outlineLevel="0" collapsed="false">
      <c r="A10" s="2" t="n">
        <v>6</v>
      </c>
      <c r="B10" s="2" t="s">
        <v>4302</v>
      </c>
      <c r="C10" s="2" t="s">
        <v>4303</v>
      </c>
      <c r="D10" s="49" t="s">
        <v>4304</v>
      </c>
    </row>
    <row r="11" customFormat="false" ht="26.85" hidden="false" customHeight="false" outlineLevel="0" collapsed="false">
      <c r="A11" s="2" t="n">
        <v>7</v>
      </c>
      <c r="B11" s="2" t="s">
        <v>4305</v>
      </c>
      <c r="C11" s="2" t="s">
        <v>4306</v>
      </c>
      <c r="D11" s="49" t="s">
        <v>4307</v>
      </c>
    </row>
    <row r="12" customFormat="false" ht="26.85" hidden="false" customHeight="false" outlineLevel="0" collapsed="false">
      <c r="A12" s="2" t="n">
        <v>8</v>
      </c>
      <c r="B12" s="2" t="s">
        <v>4308</v>
      </c>
      <c r="C12" s="2" t="s">
        <v>4309</v>
      </c>
      <c r="D12" s="49" t="s">
        <v>4310</v>
      </c>
    </row>
    <row r="13" customFormat="false" ht="15" hidden="false" customHeight="false" outlineLevel="0" collapsed="false">
      <c r="A13" s="2" t="n">
        <v>9</v>
      </c>
      <c r="B13" s="2" t="s">
        <v>4308</v>
      </c>
      <c r="C13" s="2" t="s">
        <v>4311</v>
      </c>
      <c r="D13" s="49" t="s">
        <v>4312</v>
      </c>
    </row>
    <row r="14" customFormat="false" ht="26.85" hidden="false" customHeight="false" outlineLevel="0" collapsed="false">
      <c r="A14" s="2" t="n">
        <v>10</v>
      </c>
      <c r="B14" s="2" t="s">
        <v>4305</v>
      </c>
      <c r="C14" s="2" t="s">
        <v>4306</v>
      </c>
      <c r="D14" s="49" t="s">
        <v>4313</v>
      </c>
    </row>
    <row r="15" customFormat="false" ht="15" hidden="false" customHeight="false" outlineLevel="0" collapsed="false">
      <c r="A15" s="2" t="n">
        <v>11</v>
      </c>
      <c r="B15" s="2" t="s">
        <v>4308</v>
      </c>
      <c r="C15" s="2" t="s">
        <v>4311</v>
      </c>
      <c r="D15" s="49" t="s">
        <v>4314</v>
      </c>
    </row>
    <row r="16" customFormat="false" ht="26.85" hidden="false" customHeight="false" outlineLevel="0" collapsed="false">
      <c r="A16" s="2" t="n">
        <v>12</v>
      </c>
      <c r="B16" s="2" t="s">
        <v>4305</v>
      </c>
      <c r="C16" s="2" t="s">
        <v>4306</v>
      </c>
      <c r="D16" s="49" t="s">
        <v>4315</v>
      </c>
    </row>
    <row r="17" customFormat="false" ht="26.85" hidden="false" customHeight="false" outlineLevel="0" collapsed="false">
      <c r="A17" s="2" t="n">
        <v>13</v>
      </c>
      <c r="B17" s="2" t="s">
        <v>4308</v>
      </c>
      <c r="C17" s="2" t="s">
        <v>4311</v>
      </c>
      <c r="D17" s="49" t="s">
        <v>4316</v>
      </c>
    </row>
    <row r="18" customFormat="false" ht="26.85" hidden="false" customHeight="false" outlineLevel="0" collapsed="false">
      <c r="A18" s="2" t="n">
        <v>14</v>
      </c>
      <c r="B18" s="2" t="s">
        <v>4317</v>
      </c>
      <c r="C18" s="2" t="s">
        <v>4318</v>
      </c>
      <c r="D18" s="49" t="s">
        <v>4319</v>
      </c>
    </row>
    <row r="19" customFormat="false" ht="26.85" hidden="false" customHeight="false" outlineLevel="0" collapsed="false">
      <c r="A19" s="2" t="n">
        <v>15</v>
      </c>
      <c r="B19" s="2" t="s">
        <v>4317</v>
      </c>
      <c r="C19" s="2" t="s">
        <v>4320</v>
      </c>
      <c r="D19" s="49" t="s">
        <v>4321</v>
      </c>
    </row>
    <row r="20" customFormat="false" ht="26.85" hidden="false" customHeight="false" outlineLevel="0" collapsed="false">
      <c r="A20" s="2" t="n">
        <v>16</v>
      </c>
      <c r="B20" s="2" t="s">
        <v>4317</v>
      </c>
      <c r="C20" s="2" t="s">
        <v>4322</v>
      </c>
      <c r="D20" s="49" t="s">
        <v>4323</v>
      </c>
    </row>
    <row r="21" customFormat="false" ht="15" hidden="false" customHeight="false" outlineLevel="0" collapsed="false">
      <c r="A21" s="2" t="n">
        <v>17</v>
      </c>
      <c r="B21" s="2" t="s">
        <v>4324</v>
      </c>
      <c r="C21" s="2" t="s">
        <v>4325</v>
      </c>
      <c r="D21" s="49" t="s">
        <v>4326</v>
      </c>
    </row>
    <row r="22" customFormat="false" ht="15" hidden="false" customHeight="false" outlineLevel="0" collapsed="false">
      <c r="A22" s="2" t="n">
        <v>18</v>
      </c>
      <c r="B22" s="2" t="s">
        <v>4327</v>
      </c>
      <c r="C22" s="2" t="s">
        <v>4328</v>
      </c>
      <c r="D22" s="49" t="s">
        <v>4329</v>
      </c>
    </row>
    <row r="23" customFormat="false" ht="26.85" hidden="false" customHeight="false" outlineLevel="0" collapsed="false">
      <c r="A23" s="2" t="n">
        <v>19</v>
      </c>
      <c r="B23" s="2" t="s">
        <v>4330</v>
      </c>
      <c r="C23" s="2" t="s">
        <v>4331</v>
      </c>
      <c r="D23" s="49" t="s">
        <v>4332</v>
      </c>
    </row>
    <row r="24" customFormat="false" ht="15" hidden="false" customHeight="false" outlineLevel="0" collapsed="false">
      <c r="A24" s="2" t="n">
        <v>20</v>
      </c>
      <c r="B24" s="2" t="s">
        <v>4333</v>
      </c>
      <c r="C24" s="2" t="s">
        <v>4328</v>
      </c>
      <c r="D24" s="49" t="s">
        <v>4334</v>
      </c>
    </row>
    <row r="25" customFormat="false" ht="26.85" hidden="false" customHeight="false" outlineLevel="0" collapsed="false">
      <c r="A25" s="2" t="n">
        <v>21</v>
      </c>
      <c r="B25" s="2" t="s">
        <v>4335</v>
      </c>
      <c r="C25" s="2" t="s">
        <v>4336</v>
      </c>
      <c r="D25" s="49" t="s">
        <v>4337</v>
      </c>
    </row>
    <row r="26" customFormat="false" ht="15" hidden="false" customHeight="false" outlineLevel="0" collapsed="false">
      <c r="A26" s="2" t="n">
        <v>22</v>
      </c>
      <c r="B26" s="2" t="s">
        <v>4338</v>
      </c>
      <c r="C26" s="2" t="s">
        <v>4339</v>
      </c>
      <c r="D26" s="49" t="s">
        <v>4340</v>
      </c>
    </row>
    <row r="27" customFormat="false" ht="39.55" hidden="false" customHeight="false" outlineLevel="0" collapsed="false">
      <c r="A27" s="2" t="n">
        <v>23</v>
      </c>
      <c r="B27" s="2" t="s">
        <v>4308</v>
      </c>
      <c r="C27" s="2" t="s">
        <v>4341</v>
      </c>
      <c r="D27" s="49" t="s">
        <v>4342</v>
      </c>
    </row>
    <row r="28" customFormat="false" ht="15" hidden="false" customHeight="false" outlineLevel="0" collapsed="false">
      <c r="A28" s="2" t="n">
        <v>24</v>
      </c>
      <c r="B28" s="2" t="s">
        <v>4343</v>
      </c>
      <c r="C28" s="2" t="s">
        <v>4344</v>
      </c>
      <c r="D28" s="49" t="s">
        <v>4345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1"/>
    <col collapsed="false" customWidth="true" hidden="false" outlineLevel="0" max="4" min="4" style="0" width="16"/>
    <col collapsed="false" customWidth="true" hidden="false" outlineLevel="0" max="5" min="5" style="0" width="10"/>
    <col collapsed="false" customWidth="true" hidden="false" outlineLevel="0" max="6" min="6" style="0" width="22"/>
    <col collapsed="false" customWidth="true" hidden="false" outlineLevel="0" max="7" min="7" style="0" width="26"/>
    <col collapsed="false" customWidth="true" hidden="false" outlineLevel="0" max="8" min="8" style="0" width="9"/>
    <col collapsed="false" customWidth="true" hidden="false" outlineLevel="0" max="11" min="9" style="0" width="14"/>
    <col collapsed="false" customWidth="true" hidden="false" outlineLevel="0" max="12" min="12" style="0" width="11"/>
    <col collapsed="false" customWidth="true" hidden="false" outlineLevel="0" max="13" min="13" style="0" width="26"/>
    <col collapsed="false" customWidth="true" hidden="false" outlineLevel="0" max="14" min="14" style="0" width="60"/>
    <col collapsed="false" customWidth="true" hidden="false" outlineLevel="0" max="15" min="15" style="0" width="44"/>
    <col collapsed="false" customWidth="true" hidden="false" outlineLevel="0" max="16" min="16" style="0" width="20"/>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4"/>
    <col collapsed="false" customWidth="true" hidden="false" outlineLevel="0" max="22" min="21" style="0" width="18"/>
  </cols>
  <sheetData>
    <row r="1" customFormat="false" ht="17.35" hidden="false" customHeight="false" outlineLevel="0" collapsed="false">
      <c r="A1" s="56" t="s">
        <v>4346</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4347</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31.5" hidden="false" customHeight="true" outlineLevel="0" collapsed="false">
      <c r="A4" s="8" t="s">
        <v>4348</v>
      </c>
      <c r="B4" s="8" t="s">
        <v>4349</v>
      </c>
      <c r="C4" s="8" t="s">
        <v>56</v>
      </c>
      <c r="D4" s="8" t="s">
        <v>55</v>
      </c>
      <c r="E4" s="8" t="s">
        <v>42</v>
      </c>
      <c r="F4" s="8" t="s">
        <v>4350</v>
      </c>
      <c r="G4" s="8" t="s">
        <v>4351</v>
      </c>
      <c r="H4" s="8" t="s">
        <v>4352</v>
      </c>
      <c r="I4" s="8" t="s">
        <v>4353</v>
      </c>
      <c r="J4" s="8" t="s">
        <v>4354</v>
      </c>
      <c r="K4" s="8" t="s">
        <v>4355</v>
      </c>
      <c r="L4" s="8" t="s">
        <v>4356</v>
      </c>
      <c r="M4" s="8" t="s">
        <v>4357</v>
      </c>
      <c r="N4" s="8" t="s">
        <v>4358</v>
      </c>
      <c r="O4" s="8" t="s">
        <v>4359</v>
      </c>
      <c r="P4" s="10" t="s">
        <v>4293</v>
      </c>
      <c r="Q4" s="10" t="s">
        <v>4360</v>
      </c>
      <c r="R4" s="10" t="s">
        <v>4361</v>
      </c>
      <c r="S4" s="10" t="s">
        <v>4362</v>
      </c>
      <c r="T4" s="8" t="s">
        <v>4363</v>
      </c>
      <c r="U4" s="8" t="s">
        <v>4364</v>
      </c>
      <c r="V4" s="8" t="s">
        <v>4365</v>
      </c>
    </row>
    <row r="5" customFormat="false" ht="64.9" hidden="false" customHeight="false" outlineLevel="0" collapsed="false">
      <c r="A5" s="57" t="s">
        <v>4366</v>
      </c>
      <c r="B5" s="57" t="s">
        <v>4367</v>
      </c>
      <c r="C5" s="57" t="s">
        <v>1183</v>
      </c>
      <c r="D5" s="57" t="s">
        <v>1182</v>
      </c>
      <c r="E5" s="57" t="s">
        <v>45</v>
      </c>
      <c r="F5" s="57" t="s">
        <v>4368</v>
      </c>
      <c r="G5" s="57" t="s">
        <v>4369</v>
      </c>
      <c r="H5" s="58" t="s">
        <v>4370</v>
      </c>
      <c r="I5" s="57" t="s">
        <v>1184</v>
      </c>
      <c r="J5" s="57"/>
      <c r="K5" s="57" t="s">
        <v>4371</v>
      </c>
      <c r="L5" s="57"/>
      <c r="M5" s="57" t="s">
        <v>4372</v>
      </c>
      <c r="N5" s="59" t="s">
        <v>4373</v>
      </c>
      <c r="O5" s="59" t="s">
        <v>4374</v>
      </c>
      <c r="P5" s="57" t="s">
        <v>4375</v>
      </c>
      <c r="Q5" s="57"/>
      <c r="R5" s="57" t="s">
        <v>4376</v>
      </c>
      <c r="S5" s="57" t="s">
        <v>4377</v>
      </c>
      <c r="T5" s="57" t="s">
        <v>1184</v>
      </c>
      <c r="U5" s="57" t="s">
        <v>19</v>
      </c>
      <c r="V5" s="57" t="s">
        <v>4378</v>
      </c>
    </row>
    <row r="6" customFormat="false" ht="64.9" hidden="false" customHeight="false" outlineLevel="0" collapsed="false">
      <c r="A6" s="57" t="s">
        <v>4379</v>
      </c>
      <c r="B6" s="57" t="s">
        <v>4367</v>
      </c>
      <c r="C6" s="57" t="s">
        <v>1279</v>
      </c>
      <c r="D6" s="57"/>
      <c r="E6" s="57" t="s">
        <v>45</v>
      </c>
      <c r="F6" s="57" t="s">
        <v>4368</v>
      </c>
      <c r="G6" s="57" t="s">
        <v>4369</v>
      </c>
      <c r="H6" s="58" t="s">
        <v>4370</v>
      </c>
      <c r="I6" s="57"/>
      <c r="J6" s="57" t="s">
        <v>4380</v>
      </c>
      <c r="K6" s="57" t="s">
        <v>3027</v>
      </c>
      <c r="L6" s="57"/>
      <c r="M6" s="57" t="s">
        <v>4372</v>
      </c>
      <c r="N6" s="59" t="s">
        <v>4381</v>
      </c>
      <c r="O6" s="59" t="s">
        <v>4374</v>
      </c>
      <c r="P6" s="57" t="s">
        <v>4382</v>
      </c>
      <c r="Q6" s="57"/>
      <c r="R6" s="57" t="s">
        <v>4376</v>
      </c>
      <c r="S6" s="57" t="s">
        <v>4377</v>
      </c>
      <c r="T6" s="57" t="s">
        <v>4380</v>
      </c>
      <c r="U6" s="57" t="s">
        <v>21</v>
      </c>
      <c r="V6" s="57" t="s">
        <v>4378</v>
      </c>
    </row>
    <row r="7" customFormat="false" ht="64.9" hidden="false" customHeight="false" outlineLevel="0" collapsed="false">
      <c r="A7" s="57" t="s">
        <v>4383</v>
      </c>
      <c r="B7" s="57" t="s">
        <v>4367</v>
      </c>
      <c r="C7" s="57" t="s">
        <v>348</v>
      </c>
      <c r="D7" s="57" t="s">
        <v>347</v>
      </c>
      <c r="E7" s="57" t="s">
        <v>45</v>
      </c>
      <c r="F7" s="57" t="s">
        <v>4368</v>
      </c>
      <c r="G7" s="57" t="s">
        <v>4369</v>
      </c>
      <c r="H7" s="58" t="s">
        <v>4370</v>
      </c>
      <c r="I7" s="57"/>
      <c r="J7" s="57" t="s">
        <v>1004</v>
      </c>
      <c r="K7" s="57" t="s">
        <v>722</v>
      </c>
      <c r="L7" s="57"/>
      <c r="M7" s="57" t="s">
        <v>4372</v>
      </c>
      <c r="N7" s="59" t="s">
        <v>4384</v>
      </c>
      <c r="O7" s="59" t="s">
        <v>4374</v>
      </c>
      <c r="P7" s="57" t="s">
        <v>4382</v>
      </c>
      <c r="Q7" s="57"/>
      <c r="R7" s="57" t="s">
        <v>4376</v>
      </c>
      <c r="S7" s="57" t="s">
        <v>4377</v>
      </c>
      <c r="T7" s="57" t="s">
        <v>1004</v>
      </c>
      <c r="U7" s="57" t="s">
        <v>21</v>
      </c>
      <c r="V7" s="57" t="s">
        <v>4378</v>
      </c>
    </row>
    <row r="8" customFormat="false" ht="64.9" hidden="false" customHeight="false" outlineLevel="0" collapsed="false">
      <c r="A8" s="57" t="s">
        <v>4385</v>
      </c>
      <c r="B8" s="57" t="s">
        <v>4367</v>
      </c>
      <c r="C8" s="57" t="s">
        <v>1512</v>
      </c>
      <c r="D8" s="57" t="s">
        <v>1511</v>
      </c>
      <c r="E8" s="57" t="s">
        <v>45</v>
      </c>
      <c r="F8" s="57" t="s">
        <v>4368</v>
      </c>
      <c r="G8" s="57" t="s">
        <v>4369</v>
      </c>
      <c r="H8" s="58" t="s">
        <v>4370</v>
      </c>
      <c r="I8" s="57"/>
      <c r="J8" s="57" t="s">
        <v>4386</v>
      </c>
      <c r="K8" s="57" t="s">
        <v>4387</v>
      </c>
      <c r="L8" s="57"/>
      <c r="M8" s="57" t="s">
        <v>4372</v>
      </c>
      <c r="N8" s="59" t="s">
        <v>4388</v>
      </c>
      <c r="O8" s="59" t="s">
        <v>4374</v>
      </c>
      <c r="P8" s="57" t="s">
        <v>4382</v>
      </c>
      <c r="Q8" s="57"/>
      <c r="R8" s="57" t="s">
        <v>4376</v>
      </c>
      <c r="S8" s="57" t="s">
        <v>4377</v>
      </c>
      <c r="T8" s="57" t="s">
        <v>4386</v>
      </c>
      <c r="U8" s="57" t="s">
        <v>21</v>
      </c>
      <c r="V8" s="57" t="s">
        <v>4378</v>
      </c>
    </row>
    <row r="9" customFormat="false" ht="64.9" hidden="false" customHeight="false" outlineLevel="0" collapsed="false">
      <c r="A9" s="57" t="s">
        <v>4389</v>
      </c>
      <c r="B9" s="57" t="s">
        <v>4367</v>
      </c>
      <c r="C9" s="57" t="s">
        <v>1748</v>
      </c>
      <c r="D9" s="57" t="s">
        <v>1747</v>
      </c>
      <c r="E9" s="57" t="s">
        <v>45</v>
      </c>
      <c r="F9" s="57" t="s">
        <v>4368</v>
      </c>
      <c r="G9" s="57" t="s">
        <v>4369</v>
      </c>
      <c r="H9" s="58" t="s">
        <v>4370</v>
      </c>
      <c r="I9" s="57"/>
      <c r="J9" s="57" t="s">
        <v>4390</v>
      </c>
      <c r="K9" s="57" t="s">
        <v>4391</v>
      </c>
      <c r="L9" s="57"/>
      <c r="M9" s="57" t="s">
        <v>4372</v>
      </c>
      <c r="N9" s="59" t="s">
        <v>4392</v>
      </c>
      <c r="O9" s="59" t="s">
        <v>4374</v>
      </c>
      <c r="P9" s="57" t="s">
        <v>4393</v>
      </c>
      <c r="Q9" s="57"/>
      <c r="R9" s="57" t="s">
        <v>4376</v>
      </c>
      <c r="S9" s="57" t="s">
        <v>4377</v>
      </c>
      <c r="T9" s="57" t="s">
        <v>4391</v>
      </c>
      <c r="U9" s="57" t="s">
        <v>17</v>
      </c>
      <c r="V9" s="57" t="s">
        <v>4378</v>
      </c>
    </row>
    <row r="10" customFormat="false" ht="64.9" hidden="false" customHeight="false" outlineLevel="0" collapsed="false">
      <c r="A10" s="57" t="s">
        <v>4394</v>
      </c>
      <c r="B10" s="57" t="s">
        <v>4367</v>
      </c>
      <c r="C10" s="57" t="s">
        <v>2848</v>
      </c>
      <c r="D10" s="57"/>
      <c r="E10" s="57" t="s">
        <v>45</v>
      </c>
      <c r="F10" s="57" t="s">
        <v>4368</v>
      </c>
      <c r="G10" s="57" t="s">
        <v>4369</v>
      </c>
      <c r="H10" s="58" t="s">
        <v>4370</v>
      </c>
      <c r="I10" s="57"/>
      <c r="J10" s="57" t="s">
        <v>901</v>
      </c>
      <c r="K10" s="57" t="s">
        <v>4395</v>
      </c>
      <c r="L10" s="57"/>
      <c r="M10" s="57" t="s">
        <v>4372</v>
      </c>
      <c r="N10" s="59" t="s">
        <v>4396</v>
      </c>
      <c r="O10" s="59" t="s">
        <v>4374</v>
      </c>
      <c r="P10" s="57" t="s">
        <v>4393</v>
      </c>
      <c r="Q10" s="57"/>
      <c r="R10" s="57" t="s">
        <v>4376</v>
      </c>
      <c r="S10" s="57" t="s">
        <v>4377</v>
      </c>
      <c r="T10" s="57" t="s">
        <v>4395</v>
      </c>
      <c r="U10" s="57" t="s">
        <v>17</v>
      </c>
      <c r="V10" s="57" t="s">
        <v>4378</v>
      </c>
    </row>
    <row r="11" customFormat="false" ht="64.9" hidden="false" customHeight="false" outlineLevel="0" collapsed="false">
      <c r="A11" s="57" t="s">
        <v>4397</v>
      </c>
      <c r="B11" s="57" t="s">
        <v>4367</v>
      </c>
      <c r="C11" s="57" t="s">
        <v>420</v>
      </c>
      <c r="D11" s="57" t="s">
        <v>419</v>
      </c>
      <c r="E11" s="57" t="s">
        <v>46</v>
      </c>
      <c r="F11" s="57" t="s">
        <v>4368</v>
      </c>
      <c r="G11" s="57" t="s">
        <v>4369</v>
      </c>
      <c r="H11" s="58" t="s">
        <v>4370</v>
      </c>
      <c r="I11" s="57"/>
      <c r="J11" s="57" t="s">
        <v>4398</v>
      </c>
      <c r="K11" s="57" t="s">
        <v>4399</v>
      </c>
      <c r="L11" s="57"/>
      <c r="M11" s="57" t="s">
        <v>4372</v>
      </c>
      <c r="N11" s="59" t="s">
        <v>4400</v>
      </c>
      <c r="O11" s="59" t="s">
        <v>4374</v>
      </c>
      <c r="P11" s="57" t="s">
        <v>4382</v>
      </c>
      <c r="Q11" s="57"/>
      <c r="R11" s="57" t="s">
        <v>4376</v>
      </c>
      <c r="S11" s="57" t="s">
        <v>4377</v>
      </c>
      <c r="T11" s="57" t="s">
        <v>4398</v>
      </c>
      <c r="U11" s="57" t="s">
        <v>21</v>
      </c>
      <c r="V11" s="57" t="s">
        <v>4378</v>
      </c>
    </row>
    <row r="12" customFormat="false" ht="64.9" hidden="false" customHeight="false" outlineLevel="0" collapsed="false">
      <c r="A12" s="57" t="s">
        <v>4401</v>
      </c>
      <c r="B12" s="57" t="s">
        <v>4367</v>
      </c>
      <c r="C12" s="57" t="s">
        <v>841</v>
      </c>
      <c r="D12" s="57" t="s">
        <v>840</v>
      </c>
      <c r="E12" s="57" t="s">
        <v>46</v>
      </c>
      <c r="F12" s="57" t="s">
        <v>4368</v>
      </c>
      <c r="G12" s="57" t="s">
        <v>4369</v>
      </c>
      <c r="H12" s="58" t="s">
        <v>4370</v>
      </c>
      <c r="I12" s="57"/>
      <c r="J12" s="57" t="s">
        <v>4402</v>
      </c>
      <c r="K12" s="57" t="s">
        <v>4403</v>
      </c>
      <c r="L12" s="57"/>
      <c r="M12" s="57" t="s">
        <v>4372</v>
      </c>
      <c r="N12" s="59" t="s">
        <v>4404</v>
      </c>
      <c r="O12" s="59" t="s">
        <v>4374</v>
      </c>
      <c r="P12" s="57" t="s">
        <v>4382</v>
      </c>
      <c r="Q12" s="57"/>
      <c r="R12" s="57" t="s">
        <v>4376</v>
      </c>
      <c r="S12" s="57" t="s">
        <v>4377</v>
      </c>
      <c r="T12" s="57" t="s">
        <v>4402</v>
      </c>
      <c r="U12" s="57" t="s">
        <v>21</v>
      </c>
      <c r="V12" s="57" t="s">
        <v>4378</v>
      </c>
    </row>
    <row r="13" customFormat="false" ht="64.9" hidden="false" customHeight="false" outlineLevel="0" collapsed="false">
      <c r="A13" s="57" t="s">
        <v>4405</v>
      </c>
      <c r="B13" s="57" t="s">
        <v>4367</v>
      </c>
      <c r="C13" s="57" t="s">
        <v>258</v>
      </c>
      <c r="D13" s="57" t="s">
        <v>257</v>
      </c>
      <c r="E13" s="57" t="s">
        <v>47</v>
      </c>
      <c r="F13" s="57" t="s">
        <v>4368</v>
      </c>
      <c r="G13" s="57" t="s">
        <v>4369</v>
      </c>
      <c r="H13" s="58" t="s">
        <v>4370</v>
      </c>
      <c r="I13" s="57" t="s">
        <v>2143</v>
      </c>
      <c r="J13" s="57"/>
      <c r="K13" s="57" t="s">
        <v>2307</v>
      </c>
      <c r="L13" s="57"/>
      <c r="M13" s="57" t="s">
        <v>4372</v>
      </c>
      <c r="N13" s="59" t="s">
        <v>4406</v>
      </c>
      <c r="O13" s="59" t="s">
        <v>4374</v>
      </c>
      <c r="P13" s="57" t="s">
        <v>4375</v>
      </c>
      <c r="Q13" s="57"/>
      <c r="R13" s="57" t="s">
        <v>4376</v>
      </c>
      <c r="S13" s="57" t="s">
        <v>4377</v>
      </c>
      <c r="T13" s="57" t="s">
        <v>2143</v>
      </c>
      <c r="U13" s="57" t="s">
        <v>19</v>
      </c>
      <c r="V13" s="57" t="s">
        <v>4378</v>
      </c>
    </row>
    <row r="14" customFormat="false" ht="64.9" hidden="false" customHeight="false" outlineLevel="0" collapsed="false">
      <c r="A14" s="57" t="s">
        <v>4407</v>
      </c>
      <c r="B14" s="57" t="s">
        <v>4367</v>
      </c>
      <c r="C14" s="57" t="s">
        <v>598</v>
      </c>
      <c r="D14" s="57" t="s">
        <v>597</v>
      </c>
      <c r="E14" s="57" t="s">
        <v>47</v>
      </c>
      <c r="F14" s="57" t="s">
        <v>4368</v>
      </c>
      <c r="G14" s="57" t="s">
        <v>4369</v>
      </c>
      <c r="H14" s="58" t="s">
        <v>4370</v>
      </c>
      <c r="I14" s="57" t="s">
        <v>2621</v>
      </c>
      <c r="J14" s="57" t="s">
        <v>4408</v>
      </c>
      <c r="K14" s="57"/>
      <c r="L14" s="57"/>
      <c r="M14" s="57" t="s">
        <v>4372</v>
      </c>
      <c r="N14" s="59" t="s">
        <v>4409</v>
      </c>
      <c r="O14" s="59" t="s">
        <v>4374</v>
      </c>
      <c r="P14" s="57" t="s">
        <v>4375</v>
      </c>
      <c r="Q14" s="57"/>
      <c r="R14" s="57" t="s">
        <v>4376</v>
      </c>
      <c r="S14" s="57" t="s">
        <v>4377</v>
      </c>
      <c r="T14" s="57" t="s">
        <v>2621</v>
      </c>
      <c r="U14" s="57" t="s">
        <v>19</v>
      </c>
      <c r="V14" s="57" t="s">
        <v>4378</v>
      </c>
    </row>
    <row r="15" customFormat="false" ht="64.9" hidden="false" customHeight="false" outlineLevel="0" collapsed="false">
      <c r="A15" s="57" t="s">
        <v>4410</v>
      </c>
      <c r="B15" s="57" t="s">
        <v>4367</v>
      </c>
      <c r="C15" s="57" t="s">
        <v>714</v>
      </c>
      <c r="D15" s="57" t="s">
        <v>713</v>
      </c>
      <c r="E15" s="57" t="s">
        <v>46</v>
      </c>
      <c r="F15" s="57" t="s">
        <v>4368</v>
      </c>
      <c r="G15" s="57" t="s">
        <v>4369</v>
      </c>
      <c r="H15" s="58" t="s">
        <v>4370</v>
      </c>
      <c r="I15" s="57" t="s">
        <v>2912</v>
      </c>
      <c r="J15" s="57" t="s">
        <v>2818</v>
      </c>
      <c r="K15" s="57"/>
      <c r="L15" s="57"/>
      <c r="M15" s="57" t="s">
        <v>4372</v>
      </c>
      <c r="N15" s="59" t="s">
        <v>4411</v>
      </c>
      <c r="O15" s="59" t="s">
        <v>4374</v>
      </c>
      <c r="P15" s="57" t="s">
        <v>4375</v>
      </c>
      <c r="Q15" s="57"/>
      <c r="R15" s="57" t="s">
        <v>4376</v>
      </c>
      <c r="S15" s="57" t="s">
        <v>4377</v>
      </c>
      <c r="T15" s="57" t="s">
        <v>2912</v>
      </c>
      <c r="U15" s="57" t="s">
        <v>19</v>
      </c>
      <c r="V15" s="57" t="s">
        <v>4378</v>
      </c>
    </row>
    <row r="16" customFormat="false" ht="52.2" hidden="false" customHeight="false" outlineLevel="0" collapsed="false">
      <c r="A16" s="57" t="s">
        <v>4412</v>
      </c>
      <c r="B16" s="57" t="s">
        <v>4367</v>
      </c>
      <c r="C16" s="57" t="s">
        <v>774</v>
      </c>
      <c r="D16" s="57" t="s">
        <v>773</v>
      </c>
      <c r="E16" s="57" t="s">
        <v>45</v>
      </c>
      <c r="F16" s="57" t="s">
        <v>4413</v>
      </c>
      <c r="G16" s="57" t="s">
        <v>4414</v>
      </c>
      <c r="H16" s="58" t="s">
        <v>4370</v>
      </c>
      <c r="I16" s="57" t="s">
        <v>4415</v>
      </c>
      <c r="J16" s="57"/>
      <c r="K16" s="57" t="s">
        <v>4416</v>
      </c>
      <c r="L16" s="57" t="s">
        <v>4417</v>
      </c>
      <c r="M16" s="57" t="s">
        <v>4418</v>
      </c>
      <c r="N16" s="59" t="s">
        <v>4419</v>
      </c>
      <c r="O16" s="59" t="s">
        <v>4420</v>
      </c>
      <c r="P16" s="57" t="s">
        <v>4375</v>
      </c>
      <c r="Q16" s="57"/>
      <c r="R16" s="57" t="s">
        <v>4376</v>
      </c>
      <c r="S16" s="57" t="s">
        <v>4377</v>
      </c>
      <c r="T16" s="57" t="s">
        <v>4415</v>
      </c>
      <c r="U16" s="57" t="s">
        <v>19</v>
      </c>
      <c r="V16" s="57" t="s">
        <v>4378</v>
      </c>
    </row>
    <row r="17" customFormat="false" ht="52.2" hidden="false" customHeight="false" outlineLevel="0" collapsed="false">
      <c r="A17" s="57" t="s">
        <v>4421</v>
      </c>
      <c r="B17" s="57" t="s">
        <v>4367</v>
      </c>
      <c r="C17" s="57" t="s">
        <v>2833</v>
      </c>
      <c r="D17" s="57" t="s">
        <v>3437</v>
      </c>
      <c r="E17" s="57" t="s">
        <v>46</v>
      </c>
      <c r="F17" s="57" t="s">
        <v>4413</v>
      </c>
      <c r="G17" s="57" t="s">
        <v>4414</v>
      </c>
      <c r="H17" s="58" t="s">
        <v>4370</v>
      </c>
      <c r="I17" s="57"/>
      <c r="J17" s="57" t="s">
        <v>4422</v>
      </c>
      <c r="K17" s="57" t="s">
        <v>4423</v>
      </c>
      <c r="L17" s="57" t="s">
        <v>4424</v>
      </c>
      <c r="M17" s="57" t="s">
        <v>4425</v>
      </c>
      <c r="N17" s="59" t="s">
        <v>4426</v>
      </c>
      <c r="O17" s="59" t="s">
        <v>4420</v>
      </c>
      <c r="P17" s="57" t="s">
        <v>4393</v>
      </c>
      <c r="Q17" s="57"/>
      <c r="R17" s="57" t="s">
        <v>4376</v>
      </c>
      <c r="S17" s="57" t="s">
        <v>4377</v>
      </c>
      <c r="T17" s="57" t="s">
        <v>4423</v>
      </c>
      <c r="U17" s="57" t="s">
        <v>17</v>
      </c>
      <c r="V17" s="57" t="s">
        <v>4378</v>
      </c>
    </row>
    <row r="18" customFormat="false" ht="52.2" hidden="false" customHeight="false" outlineLevel="0" collapsed="false">
      <c r="A18" s="57" t="s">
        <v>4427</v>
      </c>
      <c r="B18" s="57" t="s">
        <v>4367</v>
      </c>
      <c r="C18" s="57" t="s">
        <v>1187</v>
      </c>
      <c r="D18" s="57" t="s">
        <v>1186</v>
      </c>
      <c r="E18" s="57" t="s">
        <v>46</v>
      </c>
      <c r="F18" s="57" t="s">
        <v>4413</v>
      </c>
      <c r="G18" s="57" t="s">
        <v>4414</v>
      </c>
      <c r="H18" s="58" t="s">
        <v>4370</v>
      </c>
      <c r="I18" s="57"/>
      <c r="J18" s="57" t="s">
        <v>4428</v>
      </c>
      <c r="K18" s="57" t="s">
        <v>4429</v>
      </c>
      <c r="L18" s="57" t="s">
        <v>4430</v>
      </c>
      <c r="M18" s="57" t="s">
        <v>4425</v>
      </c>
      <c r="N18" s="59" t="s">
        <v>4431</v>
      </c>
      <c r="O18" s="59" t="s">
        <v>4420</v>
      </c>
      <c r="P18" s="57" t="s">
        <v>4393</v>
      </c>
      <c r="Q18" s="57"/>
      <c r="R18" s="57" t="s">
        <v>4376</v>
      </c>
      <c r="S18" s="57" t="s">
        <v>4377</v>
      </c>
      <c r="T18" s="57" t="s">
        <v>4429</v>
      </c>
      <c r="U18" s="57" t="s">
        <v>17</v>
      </c>
      <c r="V18" s="57" t="s">
        <v>4378</v>
      </c>
    </row>
    <row r="19" customFormat="false" ht="52.2" hidden="false" customHeight="false" outlineLevel="0" collapsed="false">
      <c r="A19" s="57" t="s">
        <v>4432</v>
      </c>
      <c r="B19" s="57" t="s">
        <v>4367</v>
      </c>
      <c r="C19" s="57" t="s">
        <v>1197</v>
      </c>
      <c r="D19" s="57" t="s">
        <v>1196</v>
      </c>
      <c r="E19" s="57" t="s">
        <v>47</v>
      </c>
      <c r="F19" s="57" t="s">
        <v>4413</v>
      </c>
      <c r="G19" s="57" t="s">
        <v>4414</v>
      </c>
      <c r="H19" s="58" t="s">
        <v>4370</v>
      </c>
      <c r="I19" s="57" t="s">
        <v>4433</v>
      </c>
      <c r="J19" s="57" t="s">
        <v>4434</v>
      </c>
      <c r="K19" s="57"/>
      <c r="L19" s="57" t="s">
        <v>4417</v>
      </c>
      <c r="M19" s="57" t="s">
        <v>4418</v>
      </c>
      <c r="N19" s="59" t="s">
        <v>4435</v>
      </c>
      <c r="O19" s="59" t="s">
        <v>4420</v>
      </c>
      <c r="P19" s="57" t="s">
        <v>4375</v>
      </c>
      <c r="Q19" s="57"/>
      <c r="R19" s="57" t="s">
        <v>4376</v>
      </c>
      <c r="S19" s="57" t="s">
        <v>4377</v>
      </c>
      <c r="T19" s="57" t="s">
        <v>4433</v>
      </c>
      <c r="U19" s="57" t="s">
        <v>19</v>
      </c>
      <c r="V19" s="57" t="s">
        <v>4378</v>
      </c>
    </row>
    <row r="20" customFormat="false" ht="52.2" hidden="false" customHeight="false" outlineLevel="0" collapsed="false">
      <c r="A20" s="57" t="s">
        <v>4436</v>
      </c>
      <c r="B20" s="57" t="s">
        <v>4367</v>
      </c>
      <c r="C20" s="57" t="s">
        <v>1488</v>
      </c>
      <c r="D20" s="57" t="s">
        <v>1487</v>
      </c>
      <c r="E20" s="57" t="s">
        <v>47</v>
      </c>
      <c r="F20" s="57" t="s">
        <v>4413</v>
      </c>
      <c r="G20" s="57" t="s">
        <v>4414</v>
      </c>
      <c r="H20" s="58" t="s">
        <v>4370</v>
      </c>
      <c r="I20" s="57" t="s">
        <v>4437</v>
      </c>
      <c r="J20" s="57" t="s">
        <v>4438</v>
      </c>
      <c r="K20" s="57"/>
      <c r="L20" s="57" t="s">
        <v>4439</v>
      </c>
      <c r="M20" s="57" t="s">
        <v>4418</v>
      </c>
      <c r="N20" s="59" t="s">
        <v>4440</v>
      </c>
      <c r="O20" s="59" t="s">
        <v>4420</v>
      </c>
      <c r="P20" s="57" t="s">
        <v>4382</v>
      </c>
      <c r="Q20" s="57"/>
      <c r="R20" s="57" t="s">
        <v>4376</v>
      </c>
      <c r="S20" s="57" t="s">
        <v>4377</v>
      </c>
      <c r="T20" s="57" t="s">
        <v>4438</v>
      </c>
      <c r="U20" s="57" t="s">
        <v>21</v>
      </c>
      <c r="V20" s="57" t="s">
        <v>4378</v>
      </c>
    </row>
    <row r="21" customFormat="false" ht="52.2" hidden="false" customHeight="false" outlineLevel="0" collapsed="false">
      <c r="A21" s="57" t="s">
        <v>4441</v>
      </c>
      <c r="B21" s="57" t="s">
        <v>4367</v>
      </c>
      <c r="C21" s="57" t="s">
        <v>2624</v>
      </c>
      <c r="D21" s="57" t="s">
        <v>2623</v>
      </c>
      <c r="E21" s="57" t="s">
        <v>47</v>
      </c>
      <c r="F21" s="57" t="s">
        <v>4413</v>
      </c>
      <c r="G21" s="57" t="s">
        <v>4414</v>
      </c>
      <c r="H21" s="58" t="s">
        <v>4370</v>
      </c>
      <c r="I21" s="57" t="s">
        <v>4442</v>
      </c>
      <c r="J21" s="57"/>
      <c r="K21" s="57" t="s">
        <v>4443</v>
      </c>
      <c r="L21" s="57" t="s">
        <v>4444</v>
      </c>
      <c r="M21" s="57" t="s">
        <v>4418</v>
      </c>
      <c r="N21" s="59" t="s">
        <v>4445</v>
      </c>
      <c r="O21" s="59" t="s">
        <v>4420</v>
      </c>
      <c r="P21" s="57" t="s">
        <v>4375</v>
      </c>
      <c r="Q21" s="57"/>
      <c r="R21" s="57" t="s">
        <v>4376</v>
      </c>
      <c r="S21" s="57" t="s">
        <v>4377</v>
      </c>
      <c r="T21" s="57" t="s">
        <v>4442</v>
      </c>
      <c r="U21" s="57" t="s">
        <v>19</v>
      </c>
      <c r="V21" s="57" t="s">
        <v>4378</v>
      </c>
    </row>
    <row r="22" customFormat="false" ht="52.2" hidden="false" customHeight="false" outlineLevel="0" collapsed="false">
      <c r="A22" s="57" t="s">
        <v>4446</v>
      </c>
      <c r="B22" s="57" t="s">
        <v>4367</v>
      </c>
      <c r="C22" s="57" t="s">
        <v>179</v>
      </c>
      <c r="D22" s="57" t="s">
        <v>178</v>
      </c>
      <c r="E22" s="57" t="s">
        <v>45</v>
      </c>
      <c r="F22" s="57" t="s">
        <v>4413</v>
      </c>
      <c r="G22" s="57" t="s">
        <v>4414</v>
      </c>
      <c r="H22" s="58" t="s">
        <v>4370</v>
      </c>
      <c r="I22" s="57" t="s">
        <v>4447</v>
      </c>
      <c r="J22" s="57" t="s">
        <v>4448</v>
      </c>
      <c r="K22" s="57"/>
      <c r="L22" s="57" t="s">
        <v>4449</v>
      </c>
      <c r="M22" s="57" t="s">
        <v>4418</v>
      </c>
      <c r="N22" s="59" t="s">
        <v>4450</v>
      </c>
      <c r="O22" s="59" t="s">
        <v>4420</v>
      </c>
      <c r="P22" s="57" t="s">
        <v>4375</v>
      </c>
      <c r="Q22" s="57"/>
      <c r="R22" s="57" t="s">
        <v>4376</v>
      </c>
      <c r="S22" s="57" t="s">
        <v>4377</v>
      </c>
      <c r="T22" s="57" t="s">
        <v>4447</v>
      </c>
      <c r="U22" s="57" t="s">
        <v>19</v>
      </c>
      <c r="V22" s="57" t="s">
        <v>4378</v>
      </c>
    </row>
    <row r="23" customFormat="false" ht="52.2" hidden="false" customHeight="false" outlineLevel="0" collapsed="false">
      <c r="A23" s="57" t="s">
        <v>4451</v>
      </c>
      <c r="B23" s="57" t="s">
        <v>4367</v>
      </c>
      <c r="C23" s="57" t="s">
        <v>2517</v>
      </c>
      <c r="D23" s="57" t="s">
        <v>2516</v>
      </c>
      <c r="E23" s="57" t="s">
        <v>47</v>
      </c>
      <c r="F23" s="57" t="s">
        <v>4413</v>
      </c>
      <c r="G23" s="57" t="s">
        <v>4414</v>
      </c>
      <c r="H23" s="58" t="s">
        <v>4370</v>
      </c>
      <c r="I23" s="57" t="s">
        <v>4452</v>
      </c>
      <c r="J23" s="57"/>
      <c r="K23" s="57" t="s">
        <v>4453</v>
      </c>
      <c r="L23" s="57" t="s">
        <v>4417</v>
      </c>
      <c r="M23" s="57" t="s">
        <v>4418</v>
      </c>
      <c r="N23" s="59" t="s">
        <v>4454</v>
      </c>
      <c r="O23" s="59" t="s">
        <v>4420</v>
      </c>
      <c r="P23" s="57" t="s">
        <v>4375</v>
      </c>
      <c r="Q23" s="57"/>
      <c r="R23" s="57" t="s">
        <v>4376</v>
      </c>
      <c r="S23" s="57" t="s">
        <v>4377</v>
      </c>
      <c r="T23" s="57" t="s">
        <v>4452</v>
      </c>
      <c r="U23" s="57" t="s">
        <v>19</v>
      </c>
      <c r="V23" s="57" t="s">
        <v>4378</v>
      </c>
    </row>
    <row r="24" customFormat="false" ht="52.2" hidden="false" customHeight="false" outlineLevel="0" collapsed="false">
      <c r="A24" s="57" t="s">
        <v>4455</v>
      </c>
      <c r="B24" s="57" t="s">
        <v>4367</v>
      </c>
      <c r="C24" s="57" t="s">
        <v>216</v>
      </c>
      <c r="D24" s="57" t="s">
        <v>215</v>
      </c>
      <c r="E24" s="57" t="s">
        <v>46</v>
      </c>
      <c r="F24" s="57" t="s">
        <v>4413</v>
      </c>
      <c r="G24" s="57" t="s">
        <v>4414</v>
      </c>
      <c r="H24" s="58" t="s">
        <v>4370</v>
      </c>
      <c r="I24" s="57"/>
      <c r="J24" s="57" t="s">
        <v>4456</v>
      </c>
      <c r="K24" s="57" t="s">
        <v>4457</v>
      </c>
      <c r="L24" s="57" t="s">
        <v>4458</v>
      </c>
      <c r="M24" s="57" t="s">
        <v>4425</v>
      </c>
      <c r="N24" s="59" t="s">
        <v>4459</v>
      </c>
      <c r="O24" s="59" t="s">
        <v>4420</v>
      </c>
      <c r="P24" s="57" t="s">
        <v>4382</v>
      </c>
      <c r="Q24" s="57"/>
      <c r="R24" s="57" t="s">
        <v>4376</v>
      </c>
      <c r="S24" s="57" t="s">
        <v>4377</v>
      </c>
      <c r="T24" s="57" t="s">
        <v>4456</v>
      </c>
      <c r="U24" s="57" t="s">
        <v>21</v>
      </c>
      <c r="V24" s="57" t="s">
        <v>4378</v>
      </c>
    </row>
    <row r="25" customFormat="false" ht="52.2" hidden="false" customHeight="false" outlineLevel="0" collapsed="false">
      <c r="A25" s="57" t="s">
        <v>4460</v>
      </c>
      <c r="B25" s="57" t="s">
        <v>4367</v>
      </c>
      <c r="C25" s="57" t="s">
        <v>1433</v>
      </c>
      <c r="D25" s="57" t="s">
        <v>1432</v>
      </c>
      <c r="E25" s="57" t="s">
        <v>45</v>
      </c>
      <c r="F25" s="57" t="s">
        <v>4413</v>
      </c>
      <c r="G25" s="57" t="s">
        <v>4414</v>
      </c>
      <c r="H25" s="58" t="s">
        <v>4370</v>
      </c>
      <c r="I25" s="57" t="s">
        <v>4461</v>
      </c>
      <c r="J25" s="57"/>
      <c r="K25" s="57" t="s">
        <v>4462</v>
      </c>
      <c r="L25" s="57" t="s">
        <v>4463</v>
      </c>
      <c r="M25" s="57" t="s">
        <v>4418</v>
      </c>
      <c r="N25" s="59" t="s">
        <v>4464</v>
      </c>
      <c r="O25" s="59" t="s">
        <v>4420</v>
      </c>
      <c r="P25" s="57" t="s">
        <v>4393</v>
      </c>
      <c r="Q25" s="57"/>
      <c r="R25" s="57" t="s">
        <v>4376</v>
      </c>
      <c r="S25" s="57" t="s">
        <v>4377</v>
      </c>
      <c r="T25" s="57" t="s">
        <v>4462</v>
      </c>
      <c r="U25" s="57" t="s">
        <v>17</v>
      </c>
      <c r="V25" s="57" t="s">
        <v>4378</v>
      </c>
    </row>
    <row r="26" customFormat="false" ht="52.2" hidden="false" customHeight="false" outlineLevel="0" collapsed="false">
      <c r="A26" s="57" t="s">
        <v>4465</v>
      </c>
      <c r="B26" s="57" t="s">
        <v>4367</v>
      </c>
      <c r="C26" s="57" t="s">
        <v>1081</v>
      </c>
      <c r="D26" s="57" t="s">
        <v>1080</v>
      </c>
      <c r="E26" s="57" t="s">
        <v>47</v>
      </c>
      <c r="F26" s="57" t="s">
        <v>4413</v>
      </c>
      <c r="G26" s="57" t="s">
        <v>4414</v>
      </c>
      <c r="H26" s="58" t="s">
        <v>4370</v>
      </c>
      <c r="I26" s="57"/>
      <c r="J26" s="57" t="s">
        <v>4466</v>
      </c>
      <c r="K26" s="57" t="s">
        <v>4467</v>
      </c>
      <c r="L26" s="57" t="s">
        <v>4468</v>
      </c>
      <c r="M26" s="57" t="s">
        <v>4425</v>
      </c>
      <c r="N26" s="59" t="s">
        <v>4469</v>
      </c>
      <c r="O26" s="59" t="s">
        <v>4420</v>
      </c>
      <c r="P26" s="57" t="s">
        <v>4393</v>
      </c>
      <c r="Q26" s="57"/>
      <c r="R26" s="57" t="s">
        <v>4376</v>
      </c>
      <c r="S26" s="57" t="s">
        <v>4377</v>
      </c>
      <c r="T26" s="57" t="s">
        <v>4467</v>
      </c>
      <c r="U26" s="57" t="s">
        <v>17</v>
      </c>
      <c r="V26" s="57" t="s">
        <v>4378</v>
      </c>
    </row>
    <row r="27" customFormat="false" ht="52.2" hidden="false" customHeight="false" outlineLevel="0" collapsed="false">
      <c r="A27" s="57" t="s">
        <v>4470</v>
      </c>
      <c r="B27" s="57" t="s">
        <v>4367</v>
      </c>
      <c r="C27" s="57" t="s">
        <v>1752</v>
      </c>
      <c r="D27" s="57" t="s">
        <v>1751</v>
      </c>
      <c r="E27" s="57" t="s">
        <v>47</v>
      </c>
      <c r="F27" s="57" t="s">
        <v>4471</v>
      </c>
      <c r="G27" s="57" t="s">
        <v>4414</v>
      </c>
      <c r="H27" s="58" t="s">
        <v>4370</v>
      </c>
      <c r="I27" s="57" t="s">
        <v>4472</v>
      </c>
      <c r="J27" s="57" t="s">
        <v>4473</v>
      </c>
      <c r="K27" s="57"/>
      <c r="L27" s="57" t="s">
        <v>4474</v>
      </c>
      <c r="M27" s="57" t="s">
        <v>4418</v>
      </c>
      <c r="N27" s="59" t="s">
        <v>4475</v>
      </c>
      <c r="O27" s="59" t="s">
        <v>4420</v>
      </c>
      <c r="P27" s="57" t="s">
        <v>4382</v>
      </c>
      <c r="Q27" s="57"/>
      <c r="R27" s="57" t="s">
        <v>4376</v>
      </c>
      <c r="S27" s="57" t="s">
        <v>4377</v>
      </c>
      <c r="T27" s="57" t="s">
        <v>4473</v>
      </c>
      <c r="U27" s="57" t="s">
        <v>21</v>
      </c>
      <c r="V27" s="57" t="s">
        <v>4378</v>
      </c>
    </row>
    <row r="28" customFormat="false" ht="52.2" hidden="false" customHeight="false" outlineLevel="0" collapsed="false">
      <c r="A28" s="57" t="s">
        <v>4476</v>
      </c>
      <c r="B28" s="57" t="s">
        <v>4367</v>
      </c>
      <c r="C28" s="57" t="s">
        <v>2209</v>
      </c>
      <c r="D28" s="57" t="s">
        <v>2208</v>
      </c>
      <c r="E28" s="57" t="s">
        <v>47</v>
      </c>
      <c r="F28" s="57" t="s">
        <v>4471</v>
      </c>
      <c r="G28" s="57" t="s">
        <v>4414</v>
      </c>
      <c r="H28" s="58" t="s">
        <v>4370</v>
      </c>
      <c r="I28" s="57" t="s">
        <v>4477</v>
      </c>
      <c r="J28" s="57"/>
      <c r="K28" s="57" t="s">
        <v>4478</v>
      </c>
      <c r="L28" s="57" t="s">
        <v>4479</v>
      </c>
      <c r="M28" s="57" t="s">
        <v>4418</v>
      </c>
      <c r="N28" s="59" t="s">
        <v>4480</v>
      </c>
      <c r="O28" s="59" t="s">
        <v>4420</v>
      </c>
      <c r="P28" s="57" t="s">
        <v>4375</v>
      </c>
      <c r="Q28" s="57"/>
      <c r="R28" s="57" t="s">
        <v>4376</v>
      </c>
      <c r="S28" s="57" t="s">
        <v>4377</v>
      </c>
      <c r="T28" s="57" t="s">
        <v>4477</v>
      </c>
      <c r="U28" s="57" t="s">
        <v>19</v>
      </c>
      <c r="V28" s="57" t="s">
        <v>4378</v>
      </c>
    </row>
    <row r="29" customFormat="false" ht="52.2" hidden="false" customHeight="false" outlineLevel="0" collapsed="false">
      <c r="A29" s="57" t="s">
        <v>4481</v>
      </c>
      <c r="B29" s="57" t="s">
        <v>4367</v>
      </c>
      <c r="C29" s="57" t="s">
        <v>1357</v>
      </c>
      <c r="D29" s="57" t="s">
        <v>1356</v>
      </c>
      <c r="E29" s="57" t="s">
        <v>45</v>
      </c>
      <c r="F29" s="57" t="s">
        <v>4471</v>
      </c>
      <c r="G29" s="57" t="s">
        <v>4414</v>
      </c>
      <c r="H29" s="58" t="s">
        <v>4370</v>
      </c>
      <c r="I29" s="57" t="s">
        <v>4482</v>
      </c>
      <c r="J29" s="57" t="s">
        <v>4483</v>
      </c>
      <c r="K29" s="57"/>
      <c r="L29" s="57" t="s">
        <v>4484</v>
      </c>
      <c r="M29" s="57" t="s">
        <v>4418</v>
      </c>
      <c r="N29" s="59" t="s">
        <v>4485</v>
      </c>
      <c r="O29" s="59" t="s">
        <v>4420</v>
      </c>
      <c r="P29" s="57" t="s">
        <v>4375</v>
      </c>
      <c r="Q29" s="57"/>
      <c r="R29" s="57" t="s">
        <v>4376</v>
      </c>
      <c r="S29" s="57" t="s">
        <v>4377</v>
      </c>
      <c r="T29" s="57" t="s">
        <v>4482</v>
      </c>
      <c r="U29" s="57" t="s">
        <v>19</v>
      </c>
      <c r="V29" s="57" t="s">
        <v>4378</v>
      </c>
    </row>
  </sheetData>
  <autoFilter ref="A4:V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6"/>
    <col collapsed="false" customWidth="true" hidden="false" outlineLevel="0" max="4" min="4" style="0" width="10"/>
    <col collapsed="false" customWidth="true" hidden="false" outlineLevel="0" max="6" min="5" style="0" width="26"/>
    <col collapsed="false" customWidth="true" hidden="false" outlineLevel="0" max="7" min="7" style="0" width="46"/>
    <col collapsed="false" customWidth="true" hidden="false" outlineLevel="0" max="8" min="8" style="0" width="18"/>
    <col collapsed="false" customWidth="true" hidden="false" outlineLevel="0" max="9" min="9" style="0" width="80"/>
  </cols>
  <sheetData>
    <row r="1" customFormat="false" ht="17.35" hidden="false" customHeight="false" outlineLevel="0" collapsed="false">
      <c r="A1" s="56" t="s">
        <v>4486</v>
      </c>
      <c r="B1" s="2"/>
      <c r="C1" s="2"/>
      <c r="D1" s="2"/>
      <c r="E1" s="2"/>
      <c r="F1" s="2"/>
      <c r="G1" s="2"/>
      <c r="H1" s="2"/>
      <c r="I1" s="2"/>
    </row>
    <row r="2" customFormat="false" ht="15" hidden="false" customHeight="false" outlineLevel="0" collapsed="false">
      <c r="A2" s="3" t="s">
        <v>4487</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8" t="s">
        <v>4488</v>
      </c>
      <c r="B4" s="8" t="s">
        <v>56</v>
      </c>
      <c r="C4" s="8" t="s">
        <v>55</v>
      </c>
      <c r="D4" s="8" t="s">
        <v>42</v>
      </c>
      <c r="E4" s="8" t="s">
        <v>4351</v>
      </c>
      <c r="F4" s="8" t="s">
        <v>4489</v>
      </c>
      <c r="G4" s="8" t="s">
        <v>4490</v>
      </c>
      <c r="H4" s="8" t="s">
        <v>4491</v>
      </c>
      <c r="I4" s="8" t="s">
        <v>4358</v>
      </c>
    </row>
    <row r="5" customFormat="false" ht="15" hidden="false" customHeight="false" outlineLevel="0" collapsed="false">
      <c r="A5" s="55" t="s">
        <v>4492</v>
      </c>
      <c r="B5" s="55" t="s">
        <v>1752</v>
      </c>
      <c r="C5" s="55" t="s">
        <v>1751</v>
      </c>
      <c r="D5" s="55" t="s">
        <v>47</v>
      </c>
      <c r="E5" s="55" t="s">
        <v>4493</v>
      </c>
      <c r="F5" s="55" t="s">
        <v>4494</v>
      </c>
      <c r="G5" s="55" t="s">
        <v>4495</v>
      </c>
      <c r="H5" s="55" t="s">
        <v>19</v>
      </c>
      <c r="I5" s="55" t="s">
        <v>4496</v>
      </c>
    </row>
    <row r="6" customFormat="false" ht="15" hidden="false" customHeight="false" outlineLevel="0" collapsed="false">
      <c r="A6" s="55" t="s">
        <v>4497</v>
      </c>
      <c r="B6" s="55" t="s">
        <v>2209</v>
      </c>
      <c r="C6" s="55" t="s">
        <v>2208</v>
      </c>
      <c r="D6" s="55" t="s">
        <v>47</v>
      </c>
      <c r="E6" s="55" t="s">
        <v>4493</v>
      </c>
      <c r="F6" s="55" t="s">
        <v>4494</v>
      </c>
      <c r="G6" s="55" t="s">
        <v>4498</v>
      </c>
      <c r="H6" s="55" t="s">
        <v>19</v>
      </c>
      <c r="I6" s="55" t="s">
        <v>4499</v>
      </c>
    </row>
    <row r="7" customFormat="false" ht="15" hidden="false" customHeight="false" outlineLevel="0" collapsed="false">
      <c r="A7" s="55" t="s">
        <v>4500</v>
      </c>
      <c r="B7" s="55" t="s">
        <v>2377</v>
      </c>
      <c r="C7" s="55" t="s">
        <v>2376</v>
      </c>
      <c r="D7" s="55" t="s">
        <v>45</v>
      </c>
      <c r="E7" s="55" t="s">
        <v>4493</v>
      </c>
      <c r="F7" s="55" t="s">
        <v>4494</v>
      </c>
      <c r="G7" s="55" t="s">
        <v>4501</v>
      </c>
      <c r="H7" s="55" t="s">
        <v>17</v>
      </c>
      <c r="I7" s="55" t="s">
        <v>4502</v>
      </c>
    </row>
    <row r="8" customFormat="false" ht="15" hidden="false" customHeight="false" outlineLevel="0" collapsed="false">
      <c r="A8" s="55" t="s">
        <v>4503</v>
      </c>
      <c r="B8" s="55" t="s">
        <v>1488</v>
      </c>
      <c r="C8" s="55" t="s">
        <v>1487</v>
      </c>
      <c r="D8" s="55" t="s">
        <v>47</v>
      </c>
      <c r="E8" s="55" t="s">
        <v>4493</v>
      </c>
      <c r="F8" s="55" t="s">
        <v>4494</v>
      </c>
      <c r="G8" s="55" t="s">
        <v>4504</v>
      </c>
      <c r="H8" s="55" t="s">
        <v>21</v>
      </c>
      <c r="I8" s="55" t="s">
        <v>4505</v>
      </c>
    </row>
    <row r="9" customFormat="false" ht="15" hidden="false" customHeight="false" outlineLevel="0" collapsed="false">
      <c r="A9" s="55" t="s">
        <v>4506</v>
      </c>
      <c r="B9" s="55" t="s">
        <v>1183</v>
      </c>
      <c r="C9" s="55" t="s">
        <v>1182</v>
      </c>
      <c r="D9" s="55" t="s">
        <v>46</v>
      </c>
      <c r="E9" s="55" t="s">
        <v>4493</v>
      </c>
      <c r="F9" s="55" t="s">
        <v>4494</v>
      </c>
      <c r="G9" s="55" t="s">
        <v>4507</v>
      </c>
      <c r="H9" s="55" t="s">
        <v>21</v>
      </c>
      <c r="I9" s="55" t="s">
        <v>4508</v>
      </c>
    </row>
    <row r="10" customFormat="false" ht="15" hidden="false" customHeight="false" outlineLevel="0" collapsed="false">
      <c r="A10" s="55" t="s">
        <v>4509</v>
      </c>
      <c r="B10" s="55" t="s">
        <v>1357</v>
      </c>
      <c r="C10" s="55" t="s">
        <v>1356</v>
      </c>
      <c r="D10" s="55" t="s">
        <v>45</v>
      </c>
      <c r="E10" s="55" t="s">
        <v>4493</v>
      </c>
      <c r="F10" s="55" t="s">
        <v>4494</v>
      </c>
      <c r="G10" s="55" t="s">
        <v>4510</v>
      </c>
      <c r="H10" s="55" t="s">
        <v>19</v>
      </c>
      <c r="I10" s="55" t="s">
        <v>4511</v>
      </c>
    </row>
    <row r="11" customFormat="false" ht="15" hidden="false" customHeight="false" outlineLevel="0" collapsed="false">
      <c r="A11" s="55" t="s">
        <v>4512</v>
      </c>
      <c r="B11" s="55" t="s">
        <v>71</v>
      </c>
      <c r="C11" s="55" t="s">
        <v>70</v>
      </c>
      <c r="D11" s="55" t="s">
        <v>47</v>
      </c>
      <c r="E11" s="55" t="s">
        <v>4513</v>
      </c>
      <c r="F11" s="55" t="s">
        <v>4514</v>
      </c>
      <c r="G11" s="55" t="s">
        <v>4515</v>
      </c>
      <c r="H11" s="55" t="s">
        <v>4516</v>
      </c>
      <c r="I11" s="55" t="s">
        <v>4517</v>
      </c>
    </row>
    <row r="12" customFormat="false" ht="15" hidden="false" customHeight="false" outlineLevel="0" collapsed="false">
      <c r="A12" s="55" t="s">
        <v>4518</v>
      </c>
      <c r="B12" s="55" t="s">
        <v>938</v>
      </c>
      <c r="C12" s="55" t="s">
        <v>937</v>
      </c>
      <c r="D12" s="55" t="s">
        <v>45</v>
      </c>
      <c r="E12" s="55" t="s">
        <v>4513</v>
      </c>
      <c r="F12" s="55" t="s">
        <v>4514</v>
      </c>
      <c r="G12" s="55" t="s">
        <v>4519</v>
      </c>
      <c r="H12" s="55" t="s">
        <v>126</v>
      </c>
      <c r="I12" s="55" t="s">
        <v>4520</v>
      </c>
    </row>
    <row r="13" customFormat="false" ht="15" hidden="false" customHeight="false" outlineLevel="0" collapsed="false">
      <c r="A13" s="55" t="s">
        <v>4521</v>
      </c>
      <c r="B13" s="55" t="s">
        <v>1277</v>
      </c>
      <c r="C13" s="55" t="s">
        <v>1276</v>
      </c>
      <c r="D13" s="55" t="s">
        <v>45</v>
      </c>
      <c r="E13" s="55" t="s">
        <v>4513</v>
      </c>
      <c r="F13" s="55" t="s">
        <v>4514</v>
      </c>
      <c r="G13" s="55" t="s">
        <v>4522</v>
      </c>
      <c r="H13" s="55" t="s">
        <v>126</v>
      </c>
      <c r="I13" s="55" t="s">
        <v>4523</v>
      </c>
    </row>
    <row r="14" customFormat="false" ht="15" hidden="false" customHeight="false" outlineLevel="0" collapsed="false">
      <c r="A14" s="55" t="s">
        <v>4524</v>
      </c>
      <c r="B14" s="55" t="s">
        <v>258</v>
      </c>
      <c r="C14" s="55" t="s">
        <v>257</v>
      </c>
      <c r="D14" s="55" t="s">
        <v>46</v>
      </c>
      <c r="E14" s="55" t="s">
        <v>4513</v>
      </c>
      <c r="F14" s="55" t="s">
        <v>4514</v>
      </c>
      <c r="G14" s="55" t="s">
        <v>4525</v>
      </c>
      <c r="H14" s="55" t="s">
        <v>126</v>
      </c>
      <c r="I14" s="55" t="s">
        <v>4526</v>
      </c>
    </row>
    <row r="15" customFormat="false" ht="15" hidden="false" customHeight="false" outlineLevel="0" collapsed="false">
      <c r="A15" s="55" t="s">
        <v>4527</v>
      </c>
      <c r="B15" s="55" t="s">
        <v>900</v>
      </c>
      <c r="C15" s="55" t="s">
        <v>899</v>
      </c>
      <c r="D15" s="55" t="s">
        <v>45</v>
      </c>
      <c r="E15" s="55" t="s">
        <v>4513</v>
      </c>
      <c r="F15" s="55" t="s">
        <v>4514</v>
      </c>
      <c r="G15" s="55" t="s">
        <v>4528</v>
      </c>
      <c r="H15" s="55" t="s">
        <v>126</v>
      </c>
      <c r="I15" s="55" t="s">
        <v>4529</v>
      </c>
    </row>
    <row r="16" customFormat="false" ht="15" hidden="false" customHeight="false" outlineLevel="0" collapsed="false">
      <c r="A16" s="55" t="s">
        <v>4530</v>
      </c>
      <c r="B16" s="55" t="s">
        <v>1019</v>
      </c>
      <c r="C16" s="55" t="s">
        <v>1018</v>
      </c>
      <c r="D16" s="55" t="s">
        <v>45</v>
      </c>
      <c r="E16" s="55" t="s">
        <v>4513</v>
      </c>
      <c r="F16" s="55" t="s">
        <v>4514</v>
      </c>
      <c r="G16" s="55" t="s">
        <v>4531</v>
      </c>
      <c r="H16" s="55" t="s">
        <v>126</v>
      </c>
      <c r="I16" s="55" t="s">
        <v>4532</v>
      </c>
    </row>
    <row r="17" customFormat="false" ht="15" hidden="false" customHeight="false" outlineLevel="0" collapsed="false">
      <c r="A17" s="55" t="s">
        <v>4533</v>
      </c>
      <c r="B17" s="55" t="s">
        <v>276</v>
      </c>
      <c r="C17" s="55" t="s">
        <v>275</v>
      </c>
      <c r="D17" s="55" t="s">
        <v>45</v>
      </c>
      <c r="E17" s="55" t="s">
        <v>4513</v>
      </c>
      <c r="F17" s="55" t="s">
        <v>4514</v>
      </c>
      <c r="G17" s="55" t="s">
        <v>4534</v>
      </c>
      <c r="H17" s="55" t="s">
        <v>126</v>
      </c>
      <c r="I17" s="55" t="s">
        <v>4535</v>
      </c>
    </row>
    <row r="18" customFormat="false" ht="15" hidden="false" customHeight="false" outlineLevel="0" collapsed="false">
      <c r="A18" s="55" t="s">
        <v>4536</v>
      </c>
      <c r="B18" s="55" t="s">
        <v>1682</v>
      </c>
      <c r="C18" s="55" t="s">
        <v>1681</v>
      </c>
      <c r="D18" s="55" t="s">
        <v>46</v>
      </c>
      <c r="E18" s="55" t="s">
        <v>4537</v>
      </c>
      <c r="F18" s="55" t="s">
        <v>4494</v>
      </c>
      <c r="G18" s="55" t="s">
        <v>4538</v>
      </c>
      <c r="H18" s="55" t="s">
        <v>21</v>
      </c>
      <c r="I18" s="55" t="s">
        <v>4539</v>
      </c>
    </row>
    <row r="19" customFormat="false" ht="15" hidden="false" customHeight="false" outlineLevel="0" collapsed="false">
      <c r="A19" s="55" t="s">
        <v>4540</v>
      </c>
      <c r="B19" s="55" t="s">
        <v>1871</v>
      </c>
      <c r="C19" s="55" t="s">
        <v>1870</v>
      </c>
      <c r="D19" s="55" t="s">
        <v>46</v>
      </c>
      <c r="E19" s="55" t="s">
        <v>4537</v>
      </c>
      <c r="F19" s="55" t="s">
        <v>4494</v>
      </c>
      <c r="G19" s="55" t="s">
        <v>4541</v>
      </c>
      <c r="H19" s="55" t="s">
        <v>19</v>
      </c>
      <c r="I19" s="55" t="s">
        <v>4542</v>
      </c>
    </row>
    <row r="20" customFormat="false" ht="15" hidden="false" customHeight="false" outlineLevel="0" collapsed="false">
      <c r="A20" s="55" t="s">
        <v>4543</v>
      </c>
      <c r="B20" s="55" t="s">
        <v>1673</v>
      </c>
      <c r="C20" s="55" t="s">
        <v>1672</v>
      </c>
      <c r="D20" s="55" t="s">
        <v>47</v>
      </c>
      <c r="E20" s="55" t="s">
        <v>4537</v>
      </c>
      <c r="F20" s="55" t="s">
        <v>4494</v>
      </c>
      <c r="G20" s="55" t="s">
        <v>4544</v>
      </c>
      <c r="H20" s="55" t="s">
        <v>19</v>
      </c>
      <c r="I20" s="55" t="s">
        <v>4545</v>
      </c>
    </row>
    <row r="21" customFormat="false" ht="15" hidden="false" customHeight="false" outlineLevel="0" collapsed="false">
      <c r="A21" s="55" t="s">
        <v>4546</v>
      </c>
      <c r="B21" s="55" t="s">
        <v>2129</v>
      </c>
      <c r="C21" s="55" t="s">
        <v>2128</v>
      </c>
      <c r="D21" s="55" t="s">
        <v>47</v>
      </c>
      <c r="E21" s="55" t="s">
        <v>4537</v>
      </c>
      <c r="F21" s="55" t="s">
        <v>4494</v>
      </c>
      <c r="G21" s="55" t="s">
        <v>4547</v>
      </c>
      <c r="H21" s="55" t="s">
        <v>21</v>
      </c>
      <c r="I21" s="55" t="s">
        <v>4548</v>
      </c>
    </row>
    <row r="22" customFormat="false" ht="15" hidden="false" customHeight="false" outlineLevel="0" collapsed="false">
      <c r="A22" s="55" t="s">
        <v>4549</v>
      </c>
      <c r="B22" s="55" t="s">
        <v>560</v>
      </c>
      <c r="C22" s="55" t="s">
        <v>559</v>
      </c>
      <c r="D22" s="55" t="s">
        <v>46</v>
      </c>
      <c r="E22" s="55" t="s">
        <v>4537</v>
      </c>
      <c r="F22" s="55" t="s">
        <v>4494</v>
      </c>
      <c r="G22" s="55" t="s">
        <v>4550</v>
      </c>
      <c r="H22" s="55" t="s">
        <v>19</v>
      </c>
      <c r="I22" s="55" t="s">
        <v>4551</v>
      </c>
    </row>
    <row r="23" customFormat="false" ht="15" hidden="false" customHeight="false" outlineLevel="0" collapsed="false">
      <c r="A23" s="55" t="s">
        <v>4552</v>
      </c>
      <c r="B23" s="55" t="s">
        <v>185</v>
      </c>
      <c r="C23" s="55" t="s">
        <v>184</v>
      </c>
      <c r="D23" s="55" t="s">
        <v>46</v>
      </c>
      <c r="E23" s="55" t="s">
        <v>4537</v>
      </c>
      <c r="F23" s="55" t="s">
        <v>4494</v>
      </c>
      <c r="G23" s="55" t="s">
        <v>4553</v>
      </c>
      <c r="H23" s="55" t="s">
        <v>21</v>
      </c>
      <c r="I23" s="55" t="s">
        <v>4554</v>
      </c>
    </row>
    <row r="24" customFormat="false" ht="15" hidden="false" customHeight="false" outlineLevel="0" collapsed="false">
      <c r="A24" s="55" t="s">
        <v>4555</v>
      </c>
      <c r="B24" s="55" t="s">
        <v>1206</v>
      </c>
      <c r="C24" s="55" t="s">
        <v>1205</v>
      </c>
      <c r="D24" s="55" t="s">
        <v>45</v>
      </c>
      <c r="E24" s="55" t="s">
        <v>4556</v>
      </c>
      <c r="F24" s="55" t="s">
        <v>4557</v>
      </c>
      <c r="G24" s="55" t="s">
        <v>4558</v>
      </c>
      <c r="H24" s="55" t="s">
        <v>21</v>
      </c>
      <c r="I24" s="55" t="s">
        <v>4559</v>
      </c>
    </row>
    <row r="25" customFormat="false" ht="15" hidden="false" customHeight="false" outlineLevel="0" collapsed="false">
      <c r="A25" s="55" t="s">
        <v>4560</v>
      </c>
      <c r="B25" s="55" t="s">
        <v>1206</v>
      </c>
      <c r="C25" s="55" t="s">
        <v>1205</v>
      </c>
      <c r="D25" s="55" t="s">
        <v>46</v>
      </c>
      <c r="E25" s="55" t="s">
        <v>4556</v>
      </c>
      <c r="F25" s="55" t="s">
        <v>4561</v>
      </c>
      <c r="G25" s="55" t="s">
        <v>4562</v>
      </c>
      <c r="H25" s="55" t="s">
        <v>17</v>
      </c>
      <c r="I25" s="55" t="s">
        <v>4563</v>
      </c>
    </row>
    <row r="26" customFormat="false" ht="15" hidden="false" customHeight="false" outlineLevel="0" collapsed="false">
      <c r="A26" s="55" t="s">
        <v>4564</v>
      </c>
      <c r="B26" s="55" t="s">
        <v>1998</v>
      </c>
      <c r="C26" s="55" t="s">
        <v>1997</v>
      </c>
      <c r="D26" s="55" t="s">
        <v>46</v>
      </c>
      <c r="E26" s="55" t="s">
        <v>4556</v>
      </c>
      <c r="F26" s="55" t="s">
        <v>4561</v>
      </c>
      <c r="G26" s="55" t="s">
        <v>4565</v>
      </c>
      <c r="H26" s="55" t="s">
        <v>21</v>
      </c>
      <c r="I26" s="55" t="s">
        <v>4566</v>
      </c>
    </row>
    <row r="27" customFormat="false" ht="15" hidden="false" customHeight="false" outlineLevel="0" collapsed="false">
      <c r="A27" s="55" t="s">
        <v>4567</v>
      </c>
      <c r="B27" s="55" t="s">
        <v>1578</v>
      </c>
      <c r="C27" s="55" t="s">
        <v>1577</v>
      </c>
      <c r="D27" s="55" t="s">
        <v>45</v>
      </c>
      <c r="E27" s="55" t="s">
        <v>4556</v>
      </c>
      <c r="F27" s="55" t="s">
        <v>4568</v>
      </c>
      <c r="G27" s="55" t="s">
        <v>4569</v>
      </c>
      <c r="H27" s="55" t="s">
        <v>17</v>
      </c>
      <c r="I27" s="55" t="s">
        <v>4563</v>
      </c>
    </row>
    <row r="28" customFormat="false" ht="15" hidden="false" customHeight="false" outlineLevel="0" collapsed="false">
      <c r="A28" s="55" t="s">
        <v>4570</v>
      </c>
      <c r="B28" s="55" t="s">
        <v>774</v>
      </c>
      <c r="C28" s="55" t="s">
        <v>773</v>
      </c>
      <c r="D28" s="55" t="s">
        <v>46</v>
      </c>
      <c r="E28" s="55" t="s">
        <v>4556</v>
      </c>
      <c r="F28" s="55" t="s">
        <v>4571</v>
      </c>
      <c r="G28" s="55" t="s">
        <v>4572</v>
      </c>
      <c r="H28" s="55" t="s">
        <v>21</v>
      </c>
      <c r="I28" s="55" t="s">
        <v>4566</v>
      </c>
    </row>
    <row r="29" customFormat="false" ht="15" hidden="false" customHeight="false" outlineLevel="0" collapsed="false">
      <c r="A29" s="55" t="s">
        <v>4573</v>
      </c>
      <c r="B29" s="55" t="s">
        <v>1156</v>
      </c>
      <c r="C29" s="55" t="s">
        <v>1155</v>
      </c>
      <c r="D29" s="55" t="s">
        <v>46</v>
      </c>
      <c r="E29" s="55" t="s">
        <v>4556</v>
      </c>
      <c r="F29" s="55" t="s">
        <v>4557</v>
      </c>
      <c r="G29" s="55" t="s">
        <v>4558</v>
      </c>
      <c r="H29" s="55" t="s">
        <v>21</v>
      </c>
      <c r="I29" s="55" t="s">
        <v>4566</v>
      </c>
    </row>
    <row r="30" customFormat="false" ht="15" hidden="false" customHeight="false" outlineLevel="0" collapsed="false">
      <c r="A30" s="55" t="s">
        <v>4574</v>
      </c>
      <c r="B30" s="55" t="s">
        <v>924</v>
      </c>
      <c r="C30" s="55" t="s">
        <v>923</v>
      </c>
      <c r="D30" s="55" t="s">
        <v>45</v>
      </c>
      <c r="E30" s="55" t="s">
        <v>4556</v>
      </c>
      <c r="F30" s="55" t="s">
        <v>4575</v>
      </c>
      <c r="G30" s="55" t="s">
        <v>4576</v>
      </c>
      <c r="H30" s="55" t="s">
        <v>21</v>
      </c>
      <c r="I30" s="55" t="s">
        <v>4577</v>
      </c>
    </row>
    <row r="31" customFormat="false" ht="15" hidden="false" customHeight="false" outlineLevel="0" collapsed="false">
      <c r="A31" s="55" t="s">
        <v>4578</v>
      </c>
      <c r="B31" s="55" t="s">
        <v>924</v>
      </c>
      <c r="C31" s="55" t="s">
        <v>923</v>
      </c>
      <c r="D31" s="55" t="s">
        <v>46</v>
      </c>
      <c r="E31" s="55" t="s">
        <v>4556</v>
      </c>
      <c r="F31" s="55" t="s">
        <v>4197</v>
      </c>
      <c r="G31" s="55" t="s">
        <v>4579</v>
      </c>
      <c r="H31" s="55" t="s">
        <v>17</v>
      </c>
      <c r="I31" s="55" t="s">
        <v>4563</v>
      </c>
    </row>
    <row r="32" customFormat="false" ht="15" hidden="false" customHeight="false" outlineLevel="0" collapsed="false">
      <c r="A32" s="55" t="s">
        <v>4580</v>
      </c>
      <c r="B32" s="55" t="s">
        <v>1297</v>
      </c>
      <c r="C32" s="55" t="s">
        <v>1296</v>
      </c>
      <c r="D32" s="55" t="s">
        <v>46</v>
      </c>
      <c r="E32" s="55" t="s">
        <v>4556</v>
      </c>
      <c r="F32" s="55" t="s">
        <v>4581</v>
      </c>
      <c r="G32" s="55" t="s">
        <v>4582</v>
      </c>
      <c r="H32" s="55" t="s">
        <v>17</v>
      </c>
      <c r="I32" s="55" t="s">
        <v>4563</v>
      </c>
    </row>
    <row r="33" customFormat="false" ht="15" hidden="false" customHeight="false" outlineLevel="0" collapsed="false">
      <c r="A33" s="55" t="s">
        <v>4583</v>
      </c>
      <c r="B33" s="55" t="s">
        <v>1554</v>
      </c>
      <c r="C33" s="55" t="s">
        <v>1553</v>
      </c>
      <c r="D33" s="55" t="s">
        <v>46</v>
      </c>
      <c r="E33" s="55" t="s">
        <v>4556</v>
      </c>
      <c r="F33" s="55" t="s">
        <v>4557</v>
      </c>
      <c r="G33" s="55" t="s">
        <v>4558</v>
      </c>
      <c r="H33" s="55" t="s">
        <v>21</v>
      </c>
      <c r="I33" s="55" t="s">
        <v>4566</v>
      </c>
    </row>
    <row r="34" customFormat="false" ht="15" hidden="false" customHeight="false" outlineLevel="0" collapsed="false">
      <c r="A34" s="55" t="s">
        <v>4584</v>
      </c>
      <c r="B34" s="55" t="s">
        <v>873</v>
      </c>
      <c r="C34" s="55" t="s">
        <v>872</v>
      </c>
      <c r="D34" s="55" t="s">
        <v>45</v>
      </c>
      <c r="E34" s="55" t="s">
        <v>4556</v>
      </c>
      <c r="F34" s="55" t="s">
        <v>4561</v>
      </c>
      <c r="G34" s="55" t="s">
        <v>4565</v>
      </c>
      <c r="H34" s="55" t="s">
        <v>21</v>
      </c>
      <c r="I34" s="55" t="s">
        <v>4566</v>
      </c>
    </row>
    <row r="35" customFormat="false" ht="15" hidden="false" customHeight="false" outlineLevel="0" collapsed="false">
      <c r="A35" s="55" t="s">
        <v>4585</v>
      </c>
      <c r="B35" s="55" t="s">
        <v>935</v>
      </c>
      <c r="C35" s="55" t="s">
        <v>934</v>
      </c>
      <c r="D35" s="55" t="s">
        <v>45</v>
      </c>
      <c r="E35" s="55" t="s">
        <v>4556</v>
      </c>
      <c r="F35" s="55" t="s">
        <v>4557</v>
      </c>
      <c r="G35" s="55" t="s">
        <v>4558</v>
      </c>
      <c r="H35" s="55" t="s">
        <v>21</v>
      </c>
      <c r="I35" s="55" t="s">
        <v>4566</v>
      </c>
    </row>
    <row r="36" customFormat="false" ht="15" hidden="false" customHeight="false" outlineLevel="0" collapsed="false">
      <c r="A36" s="55" t="s">
        <v>4586</v>
      </c>
      <c r="B36" s="55" t="s">
        <v>530</v>
      </c>
      <c r="C36" s="55" t="s">
        <v>529</v>
      </c>
      <c r="D36" s="55" t="s">
        <v>45</v>
      </c>
      <c r="E36" s="55" t="s">
        <v>4556</v>
      </c>
      <c r="F36" s="55" t="s">
        <v>4557</v>
      </c>
      <c r="G36" s="55" t="s">
        <v>4558</v>
      </c>
      <c r="H36" s="55" t="s">
        <v>21</v>
      </c>
      <c r="I36" s="55" t="s">
        <v>4566</v>
      </c>
    </row>
    <row r="37" customFormat="false" ht="15" hidden="false" customHeight="false" outlineLevel="0" collapsed="false">
      <c r="A37" s="55" t="s">
        <v>4587</v>
      </c>
      <c r="B37" s="55" t="s">
        <v>530</v>
      </c>
      <c r="C37" s="55" t="s">
        <v>529</v>
      </c>
      <c r="D37" s="55" t="s">
        <v>46</v>
      </c>
      <c r="E37" s="55" t="s">
        <v>4556</v>
      </c>
      <c r="F37" s="55" t="s">
        <v>4557</v>
      </c>
      <c r="G37" s="55" t="s">
        <v>4558</v>
      </c>
      <c r="H37" s="55" t="s">
        <v>21</v>
      </c>
      <c r="I37" s="55" t="s">
        <v>4566</v>
      </c>
    </row>
    <row r="38" customFormat="false" ht="15" hidden="false" customHeight="false" outlineLevel="0" collapsed="false">
      <c r="A38" s="55" t="s">
        <v>4588</v>
      </c>
      <c r="B38" s="55" t="s">
        <v>1498</v>
      </c>
      <c r="C38" s="55" t="s">
        <v>1497</v>
      </c>
      <c r="D38" s="55" t="s">
        <v>45</v>
      </c>
      <c r="E38" s="55" t="s">
        <v>4556</v>
      </c>
      <c r="F38" s="55" t="s">
        <v>4197</v>
      </c>
      <c r="G38" s="55" t="s">
        <v>4589</v>
      </c>
      <c r="H38" s="55" t="s">
        <v>21</v>
      </c>
      <c r="I38" s="55" t="s">
        <v>4566</v>
      </c>
    </row>
    <row r="39" customFormat="false" ht="15" hidden="false" customHeight="false" outlineLevel="0" collapsed="false">
      <c r="A39" s="55" t="s">
        <v>4590</v>
      </c>
      <c r="B39" s="55" t="s">
        <v>206</v>
      </c>
      <c r="C39" s="55" t="s">
        <v>205</v>
      </c>
      <c r="D39" s="55" t="s">
        <v>46</v>
      </c>
      <c r="E39" s="55" t="s">
        <v>4556</v>
      </c>
      <c r="F39" s="55" t="s">
        <v>4557</v>
      </c>
      <c r="G39" s="55" t="s">
        <v>4558</v>
      </c>
      <c r="H39" s="55" t="s">
        <v>21</v>
      </c>
      <c r="I39" s="55" t="s">
        <v>4566</v>
      </c>
    </row>
    <row r="40" customFormat="false" ht="15" hidden="false" customHeight="false" outlineLevel="0" collapsed="false">
      <c r="A40" s="55" t="s">
        <v>4591</v>
      </c>
      <c r="B40" s="55" t="s">
        <v>1482</v>
      </c>
      <c r="C40" s="55" t="s">
        <v>1481</v>
      </c>
      <c r="D40" s="55" t="s">
        <v>45</v>
      </c>
      <c r="E40" s="55" t="s">
        <v>4556</v>
      </c>
      <c r="F40" s="55" t="s">
        <v>4568</v>
      </c>
      <c r="G40" s="55" t="s">
        <v>4592</v>
      </c>
      <c r="H40" s="55" t="s">
        <v>21</v>
      </c>
      <c r="I40" s="55" t="s">
        <v>4566</v>
      </c>
    </row>
    <row r="41" customFormat="false" ht="15" hidden="false" customHeight="false" outlineLevel="0" collapsed="false">
      <c r="A41" s="55" t="s">
        <v>4593</v>
      </c>
      <c r="B41" s="55" t="s">
        <v>1482</v>
      </c>
      <c r="C41" s="55" t="s">
        <v>1481</v>
      </c>
      <c r="D41" s="55" t="s">
        <v>46</v>
      </c>
      <c r="E41" s="55" t="s">
        <v>4556</v>
      </c>
      <c r="F41" s="55" t="s">
        <v>4557</v>
      </c>
      <c r="G41" s="55" t="s">
        <v>4558</v>
      </c>
      <c r="H41" s="55" t="s">
        <v>21</v>
      </c>
      <c r="I41" s="55" t="s">
        <v>4566</v>
      </c>
    </row>
    <row r="42" customFormat="false" ht="15" hidden="false" customHeight="false" outlineLevel="0" collapsed="false">
      <c r="A42" s="55" t="s">
        <v>4594</v>
      </c>
      <c r="B42" s="55" t="s">
        <v>636</v>
      </c>
      <c r="C42" s="55" t="s">
        <v>635</v>
      </c>
      <c r="D42" s="55" t="s">
        <v>46</v>
      </c>
      <c r="E42" s="55" t="s">
        <v>4556</v>
      </c>
      <c r="F42" s="55" t="s">
        <v>4557</v>
      </c>
      <c r="G42" s="55" t="s">
        <v>4558</v>
      </c>
      <c r="H42" s="55" t="s">
        <v>21</v>
      </c>
      <c r="I42" s="55" t="s">
        <v>4566</v>
      </c>
    </row>
    <row r="43" customFormat="false" ht="15" hidden="false" customHeight="false" outlineLevel="0" collapsed="false">
      <c r="A43" s="55" t="s">
        <v>4595</v>
      </c>
      <c r="B43" s="55" t="s">
        <v>755</v>
      </c>
      <c r="C43" s="55" t="s">
        <v>754</v>
      </c>
      <c r="D43" s="55" t="s">
        <v>45</v>
      </c>
      <c r="E43" s="55" t="s">
        <v>4556</v>
      </c>
      <c r="F43" s="55" t="s">
        <v>4561</v>
      </c>
      <c r="G43" s="55" t="s">
        <v>4596</v>
      </c>
      <c r="H43" s="55" t="s">
        <v>84</v>
      </c>
      <c r="I43" s="55" t="s">
        <v>4597</v>
      </c>
    </row>
    <row r="44" customFormat="false" ht="15" hidden="false" customHeight="false" outlineLevel="0" collapsed="false">
      <c r="A44" s="55" t="s">
        <v>4598</v>
      </c>
      <c r="B44" s="55" t="s">
        <v>755</v>
      </c>
      <c r="C44" s="55" t="s">
        <v>754</v>
      </c>
      <c r="D44" s="55" t="s">
        <v>47</v>
      </c>
      <c r="E44" s="55" t="s">
        <v>4556</v>
      </c>
      <c r="F44" s="55" t="s">
        <v>4599</v>
      </c>
      <c r="G44" s="55" t="s">
        <v>4600</v>
      </c>
      <c r="H44" s="55" t="s">
        <v>17</v>
      </c>
      <c r="I44" s="55" t="s">
        <v>4601</v>
      </c>
    </row>
    <row r="45" customFormat="false" ht="15" hidden="false" customHeight="false" outlineLevel="0" collapsed="false">
      <c r="A45" s="55" t="s">
        <v>4602</v>
      </c>
      <c r="B45" s="55" t="s">
        <v>2434</v>
      </c>
      <c r="C45" s="55" t="s">
        <v>2433</v>
      </c>
      <c r="D45" s="55" t="s">
        <v>45</v>
      </c>
      <c r="E45" s="55" t="s">
        <v>4556</v>
      </c>
      <c r="F45" s="55" t="s">
        <v>4197</v>
      </c>
      <c r="G45" s="55" t="s">
        <v>4579</v>
      </c>
      <c r="H45" s="55" t="s">
        <v>17</v>
      </c>
      <c r="I45" s="55" t="s">
        <v>4563</v>
      </c>
    </row>
    <row r="46" customFormat="false" ht="15" hidden="false" customHeight="false" outlineLevel="0" collapsed="false">
      <c r="A46" s="55" t="s">
        <v>4603</v>
      </c>
      <c r="B46" s="55" t="s">
        <v>1761</v>
      </c>
      <c r="C46" s="55" t="s">
        <v>1760</v>
      </c>
      <c r="D46" s="55" t="s">
        <v>45</v>
      </c>
      <c r="E46" s="55" t="s">
        <v>4556</v>
      </c>
      <c r="F46" s="55" t="s">
        <v>4561</v>
      </c>
      <c r="G46" s="55" t="s">
        <v>4562</v>
      </c>
      <c r="H46" s="55" t="s">
        <v>17</v>
      </c>
      <c r="I46" s="55" t="s">
        <v>4563</v>
      </c>
    </row>
    <row r="47" customFormat="false" ht="15" hidden="false" customHeight="false" outlineLevel="0" collapsed="false">
      <c r="A47" s="55" t="s">
        <v>4604</v>
      </c>
      <c r="B47" s="55" t="s">
        <v>214</v>
      </c>
      <c r="C47" s="55" t="s">
        <v>213</v>
      </c>
      <c r="D47" s="55" t="s">
        <v>47</v>
      </c>
      <c r="E47" s="55" t="s">
        <v>4556</v>
      </c>
      <c r="F47" s="55" t="s">
        <v>4557</v>
      </c>
      <c r="G47" s="55" t="s">
        <v>4558</v>
      </c>
      <c r="H47" s="55" t="s">
        <v>21</v>
      </c>
      <c r="I47" s="55" t="s">
        <v>4566</v>
      </c>
    </row>
    <row r="48" customFormat="false" ht="15" hidden="false" customHeight="false" outlineLevel="0" collapsed="false">
      <c r="A48" s="55" t="s">
        <v>4605</v>
      </c>
      <c r="B48" s="55" t="s">
        <v>626</v>
      </c>
      <c r="C48" s="55" t="s">
        <v>625</v>
      </c>
      <c r="D48" s="55" t="s">
        <v>47</v>
      </c>
      <c r="E48" s="55" t="s">
        <v>4556</v>
      </c>
      <c r="F48" s="55" t="s">
        <v>4557</v>
      </c>
      <c r="G48" s="55" t="s">
        <v>4558</v>
      </c>
      <c r="H48" s="55" t="s">
        <v>21</v>
      </c>
      <c r="I48" s="55" t="s">
        <v>4566</v>
      </c>
    </row>
    <row r="49" customFormat="false" ht="15" hidden="false" customHeight="false" outlineLevel="0" collapsed="false">
      <c r="A49" s="55" t="s">
        <v>4606</v>
      </c>
      <c r="B49" s="55" t="s">
        <v>564</v>
      </c>
      <c r="C49" s="55" t="s">
        <v>563</v>
      </c>
      <c r="D49" s="55" t="s">
        <v>46</v>
      </c>
      <c r="E49" s="55" t="s">
        <v>4556</v>
      </c>
      <c r="F49" s="55" t="s">
        <v>4557</v>
      </c>
      <c r="G49" s="55" t="s">
        <v>4558</v>
      </c>
      <c r="H49" s="55" t="s">
        <v>21</v>
      </c>
      <c r="I49" s="55" t="s">
        <v>4566</v>
      </c>
    </row>
    <row r="50" customFormat="false" ht="15" hidden="false" customHeight="false" outlineLevel="0" collapsed="false">
      <c r="A50" s="55" t="s">
        <v>4607</v>
      </c>
      <c r="B50" s="55" t="s">
        <v>1904</v>
      </c>
      <c r="C50" s="55" t="s">
        <v>1903</v>
      </c>
      <c r="D50" s="55" t="s">
        <v>45</v>
      </c>
      <c r="E50" s="55" t="s">
        <v>4556</v>
      </c>
      <c r="F50" s="55" t="s">
        <v>4571</v>
      </c>
      <c r="G50" s="55" t="s">
        <v>4572</v>
      </c>
      <c r="H50" s="55" t="s">
        <v>21</v>
      </c>
      <c r="I50" s="55" t="s">
        <v>4566</v>
      </c>
    </row>
    <row r="51" customFormat="false" ht="15" hidden="false" customHeight="false" outlineLevel="0" collapsed="false">
      <c r="A51" s="55" t="s">
        <v>4608</v>
      </c>
      <c r="B51" s="55" t="s">
        <v>1904</v>
      </c>
      <c r="C51" s="55" t="s">
        <v>1903</v>
      </c>
      <c r="D51" s="55" t="s">
        <v>46</v>
      </c>
      <c r="E51" s="55" t="s">
        <v>4556</v>
      </c>
      <c r="F51" s="55" t="s">
        <v>4557</v>
      </c>
      <c r="G51" s="55" t="s">
        <v>4558</v>
      </c>
      <c r="H51" s="55" t="s">
        <v>21</v>
      </c>
      <c r="I51" s="55" t="s">
        <v>4566</v>
      </c>
    </row>
    <row r="52" customFormat="false" ht="15" hidden="false" customHeight="false" outlineLevel="0" collapsed="false">
      <c r="A52" s="55" t="s">
        <v>4609</v>
      </c>
      <c r="B52" s="55" t="s">
        <v>1790</v>
      </c>
      <c r="C52" s="55" t="s">
        <v>1789</v>
      </c>
      <c r="D52" s="55" t="s">
        <v>46</v>
      </c>
      <c r="E52" s="55" t="s">
        <v>4556</v>
      </c>
      <c r="F52" s="55" t="s">
        <v>4557</v>
      </c>
      <c r="G52" s="55" t="s">
        <v>4610</v>
      </c>
      <c r="H52" s="55" t="s">
        <v>84</v>
      </c>
      <c r="I52" s="55" t="s">
        <v>4611</v>
      </c>
    </row>
    <row r="53" customFormat="false" ht="15" hidden="false" customHeight="false" outlineLevel="0" collapsed="false">
      <c r="A53" s="55" t="s">
        <v>4612</v>
      </c>
      <c r="B53" s="55" t="s">
        <v>1790</v>
      </c>
      <c r="C53" s="55" t="s">
        <v>1789</v>
      </c>
      <c r="D53" s="55" t="s">
        <v>47</v>
      </c>
      <c r="E53" s="55" t="s">
        <v>4556</v>
      </c>
      <c r="F53" s="55" t="s">
        <v>4197</v>
      </c>
      <c r="G53" s="55" t="s">
        <v>4589</v>
      </c>
      <c r="H53" s="55" t="s">
        <v>21</v>
      </c>
      <c r="I53" s="55" t="s">
        <v>4613</v>
      </c>
    </row>
    <row r="54" customFormat="false" ht="15" hidden="false" customHeight="false" outlineLevel="0" collapsed="false">
      <c r="A54" s="55" t="s">
        <v>4614</v>
      </c>
      <c r="B54" s="55" t="s">
        <v>2338</v>
      </c>
      <c r="C54" s="55" t="s">
        <v>2337</v>
      </c>
      <c r="D54" s="55" t="s">
        <v>45</v>
      </c>
      <c r="E54" s="55" t="s">
        <v>4556</v>
      </c>
      <c r="F54" s="55" t="s">
        <v>4561</v>
      </c>
      <c r="G54" s="55" t="s">
        <v>4565</v>
      </c>
      <c r="H54" s="55" t="s">
        <v>21</v>
      </c>
      <c r="I54" s="55" t="s">
        <v>4566</v>
      </c>
    </row>
    <row r="55" customFormat="false" ht="15" hidden="false" customHeight="false" outlineLevel="0" collapsed="false">
      <c r="A55" s="55" t="s">
        <v>4615</v>
      </c>
      <c r="B55" s="55" t="s">
        <v>2338</v>
      </c>
      <c r="C55" s="55" t="s">
        <v>2337</v>
      </c>
      <c r="D55" s="55" t="s">
        <v>46</v>
      </c>
      <c r="E55" s="55" t="s">
        <v>4556</v>
      </c>
      <c r="F55" s="55" t="s">
        <v>4561</v>
      </c>
      <c r="G55" s="55" t="s">
        <v>4562</v>
      </c>
      <c r="H55" s="55" t="s">
        <v>17</v>
      </c>
      <c r="I55" s="55" t="s">
        <v>4563</v>
      </c>
    </row>
    <row r="56" customFormat="false" ht="15" hidden="false" customHeight="false" outlineLevel="0" collapsed="false">
      <c r="A56" s="55" t="s">
        <v>4616</v>
      </c>
      <c r="B56" s="55" t="s">
        <v>2167</v>
      </c>
      <c r="C56" s="55" t="s">
        <v>2166</v>
      </c>
      <c r="D56" s="55" t="s">
        <v>45</v>
      </c>
      <c r="E56" s="55" t="s">
        <v>4556</v>
      </c>
      <c r="F56" s="55" t="s">
        <v>4568</v>
      </c>
      <c r="G56" s="55" t="s">
        <v>4569</v>
      </c>
      <c r="H56" s="55" t="s">
        <v>17</v>
      </c>
      <c r="I56" s="55" t="s">
        <v>4563</v>
      </c>
    </row>
    <row r="57" customFormat="false" ht="15" hidden="false" customHeight="false" outlineLevel="0" collapsed="false">
      <c r="A57" s="55" t="s">
        <v>4617</v>
      </c>
      <c r="B57" s="55" t="s">
        <v>1117</v>
      </c>
      <c r="C57" s="55" t="s">
        <v>1116</v>
      </c>
      <c r="D57" s="55" t="s">
        <v>46</v>
      </c>
      <c r="E57" s="55" t="s">
        <v>4556</v>
      </c>
      <c r="F57" s="55" t="s">
        <v>4557</v>
      </c>
      <c r="G57" s="55" t="s">
        <v>4558</v>
      </c>
      <c r="H57" s="55" t="s">
        <v>21</v>
      </c>
      <c r="I57" s="55" t="s">
        <v>4566</v>
      </c>
    </row>
    <row r="58" customFormat="false" ht="15" hidden="false" customHeight="false" outlineLevel="0" collapsed="false">
      <c r="A58" s="55" t="s">
        <v>4618</v>
      </c>
      <c r="B58" s="55" t="s">
        <v>2552</v>
      </c>
      <c r="C58" s="55" t="s">
        <v>2551</v>
      </c>
      <c r="D58" s="55" t="s">
        <v>46</v>
      </c>
      <c r="E58" s="55" t="s">
        <v>4556</v>
      </c>
      <c r="F58" s="55" t="s">
        <v>4561</v>
      </c>
      <c r="G58" s="55" t="s">
        <v>4565</v>
      </c>
      <c r="H58" s="55" t="s">
        <v>21</v>
      </c>
      <c r="I58" s="55" t="s">
        <v>4566</v>
      </c>
    </row>
    <row r="59" customFormat="false" ht="15" hidden="false" customHeight="false" outlineLevel="0" collapsed="false">
      <c r="A59" s="55" t="s">
        <v>4619</v>
      </c>
      <c r="B59" s="55" t="s">
        <v>2726</v>
      </c>
      <c r="C59" s="55" t="s">
        <v>3238</v>
      </c>
      <c r="D59" s="55" t="s">
        <v>47</v>
      </c>
      <c r="E59" s="55" t="s">
        <v>4556</v>
      </c>
      <c r="F59" s="55" t="s">
        <v>4568</v>
      </c>
      <c r="G59" s="55" t="s">
        <v>4569</v>
      </c>
      <c r="H59" s="55" t="s">
        <v>17</v>
      </c>
      <c r="I59" s="55" t="s">
        <v>4601</v>
      </c>
    </row>
    <row r="60" customFormat="false" ht="15" hidden="false" customHeight="false" outlineLevel="0" collapsed="false">
      <c r="A60" s="55" t="s">
        <v>4620</v>
      </c>
      <c r="B60" s="55" t="s">
        <v>2728</v>
      </c>
      <c r="C60" s="55" t="s">
        <v>3240</v>
      </c>
      <c r="D60" s="55" t="s">
        <v>45</v>
      </c>
      <c r="E60" s="55" t="s">
        <v>4556</v>
      </c>
      <c r="F60" s="55" t="s">
        <v>4561</v>
      </c>
      <c r="G60" s="55" t="s">
        <v>4565</v>
      </c>
      <c r="H60" s="55" t="s">
        <v>21</v>
      </c>
      <c r="I60" s="55" t="s">
        <v>4566</v>
      </c>
    </row>
    <row r="61" customFormat="false" ht="15" hidden="false" customHeight="false" outlineLevel="0" collapsed="false">
      <c r="A61" s="55" t="s">
        <v>4621</v>
      </c>
      <c r="B61" s="55" t="s">
        <v>1604</v>
      </c>
      <c r="C61" s="55" t="s">
        <v>1603</v>
      </c>
      <c r="D61" s="55" t="s">
        <v>45</v>
      </c>
      <c r="E61" s="55" t="s">
        <v>4556</v>
      </c>
      <c r="F61" s="55" t="s">
        <v>4571</v>
      </c>
      <c r="G61" s="55" t="s">
        <v>4572</v>
      </c>
      <c r="H61" s="55" t="s">
        <v>21</v>
      </c>
      <c r="I61" s="55" t="s">
        <v>4566</v>
      </c>
    </row>
    <row r="62" customFormat="false" ht="15" hidden="false" customHeight="false" outlineLevel="0" collapsed="false">
      <c r="A62" s="55" t="s">
        <v>4622</v>
      </c>
      <c r="B62" s="55" t="s">
        <v>1575</v>
      </c>
      <c r="C62" s="55" t="s">
        <v>1574</v>
      </c>
      <c r="D62" s="55" t="s">
        <v>46</v>
      </c>
      <c r="E62" s="55" t="s">
        <v>4556</v>
      </c>
      <c r="F62" s="55" t="s">
        <v>4557</v>
      </c>
      <c r="G62" s="55" t="s">
        <v>4558</v>
      </c>
      <c r="H62" s="55" t="s">
        <v>21</v>
      </c>
      <c r="I62" s="55" t="s">
        <v>4566</v>
      </c>
    </row>
    <row r="63" customFormat="false" ht="15" hidden="false" customHeight="false" outlineLevel="0" collapsed="false">
      <c r="A63" s="55" t="s">
        <v>4623</v>
      </c>
      <c r="B63" s="55" t="s">
        <v>1423</v>
      </c>
      <c r="C63" s="55" t="s">
        <v>1422</v>
      </c>
      <c r="D63" s="55" t="s">
        <v>45</v>
      </c>
      <c r="E63" s="55" t="s">
        <v>4556</v>
      </c>
      <c r="F63" s="55" t="s">
        <v>4561</v>
      </c>
      <c r="G63" s="55" t="s">
        <v>4562</v>
      </c>
      <c r="H63" s="55" t="s">
        <v>17</v>
      </c>
      <c r="I63" s="55" t="s">
        <v>4563</v>
      </c>
    </row>
    <row r="64" customFormat="false" ht="15" hidden="false" customHeight="false" outlineLevel="0" collapsed="false">
      <c r="A64" s="55" t="s">
        <v>4624</v>
      </c>
      <c r="B64" s="55" t="s">
        <v>1708</v>
      </c>
      <c r="C64" s="55" t="s">
        <v>1707</v>
      </c>
      <c r="D64" s="55" t="s">
        <v>45</v>
      </c>
      <c r="E64" s="55" t="s">
        <v>4556</v>
      </c>
      <c r="F64" s="55" t="s">
        <v>4561</v>
      </c>
      <c r="G64" s="55" t="s">
        <v>4565</v>
      </c>
      <c r="H64" s="55" t="s">
        <v>21</v>
      </c>
      <c r="I64" s="55" t="s">
        <v>4566</v>
      </c>
    </row>
    <row r="65" customFormat="false" ht="15" hidden="false" customHeight="false" outlineLevel="0" collapsed="false">
      <c r="A65" s="55" t="s">
        <v>4625</v>
      </c>
      <c r="B65" s="55" t="s">
        <v>1708</v>
      </c>
      <c r="C65" s="55" t="s">
        <v>1707</v>
      </c>
      <c r="D65" s="55" t="s">
        <v>46</v>
      </c>
      <c r="E65" s="55" t="s">
        <v>4556</v>
      </c>
      <c r="F65" s="55" t="s">
        <v>4626</v>
      </c>
      <c r="G65" s="55" t="s">
        <v>4627</v>
      </c>
      <c r="H65" s="55" t="s">
        <v>21</v>
      </c>
      <c r="I65" s="55" t="s">
        <v>4628</v>
      </c>
    </row>
    <row r="66" customFormat="false" ht="15" hidden="false" customHeight="false" outlineLevel="0" collapsed="false">
      <c r="A66" s="55" t="s">
        <v>4629</v>
      </c>
      <c r="B66" s="55" t="s">
        <v>2736</v>
      </c>
      <c r="C66" s="55" t="s">
        <v>3248</v>
      </c>
      <c r="D66" s="55" t="s">
        <v>45</v>
      </c>
      <c r="E66" s="55" t="s">
        <v>4556</v>
      </c>
      <c r="F66" s="55" t="s">
        <v>4197</v>
      </c>
      <c r="G66" s="55" t="s">
        <v>4579</v>
      </c>
      <c r="H66" s="55" t="s">
        <v>17</v>
      </c>
      <c r="I66" s="55" t="s">
        <v>4563</v>
      </c>
    </row>
    <row r="67" customFormat="false" ht="15" hidden="false" customHeight="false" outlineLevel="0" collapsed="false">
      <c r="A67" s="55" t="s">
        <v>4630</v>
      </c>
      <c r="B67" s="55" t="s">
        <v>2466</v>
      </c>
      <c r="C67" s="55" t="s">
        <v>2465</v>
      </c>
      <c r="D67" s="55" t="s">
        <v>45</v>
      </c>
      <c r="E67" s="55" t="s">
        <v>4556</v>
      </c>
      <c r="F67" s="55" t="s">
        <v>4599</v>
      </c>
      <c r="G67" s="55" t="s">
        <v>4631</v>
      </c>
      <c r="H67" s="55" t="s">
        <v>21</v>
      </c>
      <c r="I67" s="55" t="s">
        <v>4632</v>
      </c>
    </row>
    <row r="68" customFormat="false" ht="15" hidden="false" customHeight="false" outlineLevel="0" collapsed="false">
      <c r="A68" s="55" t="s">
        <v>4633</v>
      </c>
      <c r="B68" s="55" t="s">
        <v>2466</v>
      </c>
      <c r="C68" s="55" t="s">
        <v>2465</v>
      </c>
      <c r="D68" s="55" t="s">
        <v>46</v>
      </c>
      <c r="E68" s="55" t="s">
        <v>4556</v>
      </c>
      <c r="F68" s="55" t="s">
        <v>4571</v>
      </c>
      <c r="G68" s="55" t="s">
        <v>4572</v>
      </c>
      <c r="H68" s="55" t="s">
        <v>21</v>
      </c>
      <c r="I68" s="55" t="s">
        <v>4566</v>
      </c>
    </row>
    <row r="69" customFormat="false" ht="15" hidden="false" customHeight="false" outlineLevel="0" collapsed="false">
      <c r="A69" s="55" t="s">
        <v>4634</v>
      </c>
      <c r="B69" s="55" t="s">
        <v>2109</v>
      </c>
      <c r="C69" s="55" t="s">
        <v>2108</v>
      </c>
      <c r="D69" s="55" t="s">
        <v>46</v>
      </c>
      <c r="E69" s="55" t="s">
        <v>4556</v>
      </c>
      <c r="F69" s="55" t="s">
        <v>4197</v>
      </c>
      <c r="G69" s="55" t="s">
        <v>4579</v>
      </c>
      <c r="H69" s="55" t="s">
        <v>17</v>
      </c>
      <c r="I69" s="55" t="s">
        <v>4601</v>
      </c>
    </row>
    <row r="70" customFormat="false" ht="15" hidden="false" customHeight="false" outlineLevel="0" collapsed="false">
      <c r="A70" s="55" t="s">
        <v>4635</v>
      </c>
      <c r="B70" s="55" t="s">
        <v>2109</v>
      </c>
      <c r="C70" s="55" t="s">
        <v>2108</v>
      </c>
      <c r="D70" s="55" t="s">
        <v>47</v>
      </c>
      <c r="E70" s="55" t="s">
        <v>4556</v>
      </c>
      <c r="F70" s="55" t="s">
        <v>4636</v>
      </c>
      <c r="G70" s="55" t="s">
        <v>4637</v>
      </c>
      <c r="H70" s="55" t="s">
        <v>21</v>
      </c>
      <c r="I70" s="55" t="s">
        <v>4638</v>
      </c>
    </row>
    <row r="71" customFormat="false" ht="15" hidden="false" customHeight="false" outlineLevel="0" collapsed="false">
      <c r="A71" s="55" t="s">
        <v>4639</v>
      </c>
      <c r="B71" s="55" t="s">
        <v>888</v>
      </c>
      <c r="C71" s="55" t="s">
        <v>887</v>
      </c>
      <c r="D71" s="55" t="s">
        <v>45</v>
      </c>
      <c r="E71" s="55" t="s">
        <v>4556</v>
      </c>
      <c r="F71" s="55" t="s">
        <v>4557</v>
      </c>
      <c r="G71" s="55" t="s">
        <v>4558</v>
      </c>
      <c r="H71" s="55" t="s">
        <v>21</v>
      </c>
      <c r="I71" s="55" t="s">
        <v>4566</v>
      </c>
    </row>
    <row r="72" customFormat="false" ht="15" hidden="false" customHeight="false" outlineLevel="0" collapsed="false">
      <c r="A72" s="55" t="s">
        <v>4640</v>
      </c>
      <c r="B72" s="55" t="s">
        <v>888</v>
      </c>
      <c r="C72" s="55" t="s">
        <v>887</v>
      </c>
      <c r="D72" s="55" t="s">
        <v>46</v>
      </c>
      <c r="E72" s="55" t="s">
        <v>4556</v>
      </c>
      <c r="F72" s="55" t="s">
        <v>4561</v>
      </c>
      <c r="G72" s="55" t="s">
        <v>4565</v>
      </c>
      <c r="H72" s="55" t="s">
        <v>21</v>
      </c>
      <c r="I72" s="55" t="s">
        <v>4566</v>
      </c>
    </row>
    <row r="73" customFormat="false" ht="15" hidden="false" customHeight="false" outlineLevel="0" collapsed="false">
      <c r="A73" s="55" t="s">
        <v>4641</v>
      </c>
      <c r="B73" s="55" t="s">
        <v>1045</v>
      </c>
      <c r="C73" s="55" t="s">
        <v>1044</v>
      </c>
      <c r="D73" s="55" t="s">
        <v>46</v>
      </c>
      <c r="E73" s="55" t="s">
        <v>4556</v>
      </c>
      <c r="F73" s="55" t="s">
        <v>4561</v>
      </c>
      <c r="G73" s="55" t="s">
        <v>4562</v>
      </c>
      <c r="H73" s="55" t="s">
        <v>17</v>
      </c>
      <c r="I73" s="55" t="s">
        <v>4563</v>
      </c>
    </row>
    <row r="74" customFormat="false" ht="15" hidden="false" customHeight="false" outlineLevel="0" collapsed="false">
      <c r="A74" s="55" t="s">
        <v>4642</v>
      </c>
      <c r="B74" s="55" t="s">
        <v>280</v>
      </c>
      <c r="C74" s="55" t="s">
        <v>279</v>
      </c>
      <c r="D74" s="55" t="s">
        <v>46</v>
      </c>
      <c r="E74" s="55" t="s">
        <v>4556</v>
      </c>
      <c r="F74" s="55" t="s">
        <v>4557</v>
      </c>
      <c r="G74" s="55" t="s">
        <v>4558</v>
      </c>
      <c r="H74" s="55" t="s">
        <v>21</v>
      </c>
      <c r="I74" s="55" t="s">
        <v>4566</v>
      </c>
    </row>
    <row r="75" customFormat="false" ht="15" hidden="false" customHeight="false" outlineLevel="0" collapsed="false">
      <c r="A75" s="55" t="s">
        <v>4643</v>
      </c>
      <c r="B75" s="55" t="s">
        <v>1341</v>
      </c>
      <c r="C75" s="55" t="s">
        <v>1340</v>
      </c>
      <c r="D75" s="55" t="s">
        <v>46</v>
      </c>
      <c r="E75" s="55" t="s">
        <v>4556</v>
      </c>
      <c r="F75" s="55" t="s">
        <v>4197</v>
      </c>
      <c r="G75" s="55" t="s">
        <v>4589</v>
      </c>
      <c r="H75" s="55" t="s">
        <v>21</v>
      </c>
      <c r="I75" s="55" t="s">
        <v>4613</v>
      </c>
    </row>
    <row r="76" customFormat="false" ht="15" hidden="false" customHeight="false" outlineLevel="0" collapsed="false">
      <c r="A76" s="55" t="s">
        <v>4644</v>
      </c>
      <c r="B76" s="55" t="s">
        <v>1451</v>
      </c>
      <c r="C76" s="55" t="s">
        <v>1450</v>
      </c>
      <c r="D76" s="55" t="s">
        <v>46</v>
      </c>
      <c r="E76" s="55" t="s">
        <v>4556</v>
      </c>
      <c r="F76" s="55" t="s">
        <v>4557</v>
      </c>
      <c r="G76" s="55" t="s">
        <v>4558</v>
      </c>
      <c r="H76" s="55" t="s">
        <v>21</v>
      </c>
      <c r="I76" s="55" t="s">
        <v>4566</v>
      </c>
    </row>
    <row r="77" customFormat="false" ht="15" hidden="false" customHeight="false" outlineLevel="0" collapsed="false">
      <c r="A77" s="55" t="s">
        <v>4645</v>
      </c>
      <c r="B77" s="55" t="s">
        <v>1451</v>
      </c>
      <c r="C77" s="55" t="s">
        <v>1450</v>
      </c>
      <c r="D77" s="55" t="s">
        <v>47</v>
      </c>
      <c r="E77" s="55" t="s">
        <v>4556</v>
      </c>
      <c r="F77" s="55" t="s">
        <v>4571</v>
      </c>
      <c r="G77" s="55" t="s">
        <v>4572</v>
      </c>
      <c r="H77" s="55" t="s">
        <v>21</v>
      </c>
      <c r="I77" s="55" t="s">
        <v>4559</v>
      </c>
    </row>
    <row r="78" customFormat="false" ht="15" hidden="false" customHeight="false" outlineLevel="0" collapsed="false">
      <c r="A78" s="55" t="s">
        <v>4646</v>
      </c>
      <c r="B78" s="55" t="s">
        <v>2745</v>
      </c>
      <c r="C78" s="55" t="s">
        <v>3262</v>
      </c>
      <c r="D78" s="55" t="s">
        <v>46</v>
      </c>
      <c r="E78" s="55" t="s">
        <v>4556</v>
      </c>
      <c r="F78" s="55" t="s">
        <v>4561</v>
      </c>
      <c r="G78" s="55" t="s">
        <v>4565</v>
      </c>
      <c r="H78" s="55" t="s">
        <v>21</v>
      </c>
      <c r="I78" s="55" t="s">
        <v>4566</v>
      </c>
    </row>
    <row r="79" customFormat="false" ht="15" hidden="false" customHeight="false" outlineLevel="0" collapsed="false">
      <c r="A79" s="55" t="s">
        <v>4647</v>
      </c>
      <c r="B79" s="55" t="s">
        <v>86</v>
      </c>
      <c r="C79" s="55" t="s">
        <v>85</v>
      </c>
      <c r="D79" s="55" t="s">
        <v>45</v>
      </c>
      <c r="E79" s="55" t="s">
        <v>4556</v>
      </c>
      <c r="F79" s="55" t="s">
        <v>4557</v>
      </c>
      <c r="G79" s="55" t="s">
        <v>4610</v>
      </c>
      <c r="H79" s="55" t="s">
        <v>84</v>
      </c>
      <c r="I79" s="55" t="s">
        <v>4611</v>
      </c>
    </row>
    <row r="80" customFormat="false" ht="15" hidden="false" customHeight="false" outlineLevel="0" collapsed="false">
      <c r="A80" s="55" t="s">
        <v>4648</v>
      </c>
      <c r="B80" s="55" t="s">
        <v>412</v>
      </c>
      <c r="C80" s="55" t="s">
        <v>411</v>
      </c>
      <c r="D80" s="55" t="s">
        <v>45</v>
      </c>
      <c r="E80" s="55" t="s">
        <v>4556</v>
      </c>
      <c r="F80" s="55" t="s">
        <v>4557</v>
      </c>
      <c r="G80" s="55" t="s">
        <v>4558</v>
      </c>
      <c r="H80" s="55" t="s">
        <v>21</v>
      </c>
      <c r="I80" s="55" t="s">
        <v>4566</v>
      </c>
    </row>
    <row r="81" customFormat="false" ht="15" hidden="false" customHeight="false" outlineLevel="0" collapsed="false">
      <c r="A81" s="55" t="s">
        <v>4649</v>
      </c>
      <c r="B81" s="55" t="s">
        <v>412</v>
      </c>
      <c r="C81" s="55" t="s">
        <v>411</v>
      </c>
      <c r="D81" s="55" t="s">
        <v>47</v>
      </c>
      <c r="E81" s="55" t="s">
        <v>4556</v>
      </c>
      <c r="F81" s="55" t="s">
        <v>4557</v>
      </c>
      <c r="G81" s="55" t="s">
        <v>4650</v>
      </c>
      <c r="H81" s="55" t="s">
        <v>17</v>
      </c>
      <c r="I81" s="55" t="s">
        <v>4601</v>
      </c>
    </row>
    <row r="82" customFormat="false" ht="15" hidden="false" customHeight="false" outlineLevel="0" collapsed="false">
      <c r="A82" s="55" t="s">
        <v>4651</v>
      </c>
      <c r="B82" s="55" t="s">
        <v>2747</v>
      </c>
      <c r="C82" s="55" t="s">
        <v>3268</v>
      </c>
      <c r="D82" s="55" t="s">
        <v>46</v>
      </c>
      <c r="E82" s="55" t="s">
        <v>4556</v>
      </c>
      <c r="F82" s="55" t="s">
        <v>4571</v>
      </c>
      <c r="G82" s="55" t="s">
        <v>4572</v>
      </c>
      <c r="H82" s="55" t="s">
        <v>21</v>
      </c>
      <c r="I82" s="55" t="s">
        <v>4566</v>
      </c>
    </row>
    <row r="83" customFormat="false" ht="15" hidden="false" customHeight="false" outlineLevel="0" collapsed="false">
      <c r="A83" s="55" t="s">
        <v>4652</v>
      </c>
      <c r="B83" s="55" t="s">
        <v>1944</v>
      </c>
      <c r="C83" s="55" t="s">
        <v>1943</v>
      </c>
      <c r="D83" s="55" t="s">
        <v>45</v>
      </c>
      <c r="E83" s="55" t="s">
        <v>4556</v>
      </c>
      <c r="F83" s="55" t="s">
        <v>4653</v>
      </c>
      <c r="G83" s="55" t="s">
        <v>4654</v>
      </c>
      <c r="H83" s="55" t="s">
        <v>21</v>
      </c>
      <c r="I83" s="55" t="s">
        <v>4566</v>
      </c>
    </row>
    <row r="84" customFormat="false" ht="15" hidden="false" customHeight="false" outlineLevel="0" collapsed="false">
      <c r="A84" s="55" t="s">
        <v>4655</v>
      </c>
      <c r="B84" s="55" t="s">
        <v>1944</v>
      </c>
      <c r="C84" s="55" t="s">
        <v>1943</v>
      </c>
      <c r="D84" s="55" t="s">
        <v>46</v>
      </c>
      <c r="E84" s="55" t="s">
        <v>4556</v>
      </c>
      <c r="F84" s="55" t="s">
        <v>4557</v>
      </c>
      <c r="G84" s="55" t="s">
        <v>4558</v>
      </c>
      <c r="H84" s="55" t="s">
        <v>21</v>
      </c>
      <c r="I84" s="55" t="s">
        <v>4566</v>
      </c>
    </row>
    <row r="85" customFormat="false" ht="15" hidden="false" customHeight="false" outlineLevel="0" collapsed="false">
      <c r="A85" s="55" t="s">
        <v>4656</v>
      </c>
      <c r="B85" s="55" t="s">
        <v>956</v>
      </c>
      <c r="C85" s="55" t="s">
        <v>955</v>
      </c>
      <c r="D85" s="55" t="s">
        <v>46</v>
      </c>
      <c r="E85" s="55" t="s">
        <v>4556</v>
      </c>
      <c r="F85" s="55" t="s">
        <v>4561</v>
      </c>
      <c r="G85" s="55" t="s">
        <v>4562</v>
      </c>
      <c r="H85" s="55" t="s">
        <v>17</v>
      </c>
      <c r="I85" s="55" t="s">
        <v>4563</v>
      </c>
    </row>
    <row r="86" customFormat="false" ht="15" hidden="false" customHeight="false" outlineLevel="0" collapsed="false">
      <c r="A86" s="55" t="s">
        <v>4657</v>
      </c>
      <c r="B86" s="55" t="s">
        <v>2286</v>
      </c>
      <c r="C86" s="55" t="s">
        <v>2285</v>
      </c>
      <c r="D86" s="55" t="s">
        <v>45</v>
      </c>
      <c r="E86" s="55" t="s">
        <v>4556</v>
      </c>
      <c r="F86" s="55" t="s">
        <v>4568</v>
      </c>
      <c r="G86" s="55" t="s">
        <v>4592</v>
      </c>
      <c r="H86" s="55" t="s">
        <v>21</v>
      </c>
      <c r="I86" s="55" t="s">
        <v>4566</v>
      </c>
    </row>
    <row r="87" customFormat="false" ht="15" hidden="false" customHeight="false" outlineLevel="0" collapsed="false">
      <c r="A87" s="55" t="s">
        <v>4658</v>
      </c>
      <c r="B87" s="55" t="s">
        <v>2286</v>
      </c>
      <c r="C87" s="55" t="s">
        <v>2285</v>
      </c>
      <c r="D87" s="55" t="s">
        <v>46</v>
      </c>
      <c r="E87" s="55" t="s">
        <v>4556</v>
      </c>
      <c r="F87" s="55" t="s">
        <v>4561</v>
      </c>
      <c r="G87" s="55" t="s">
        <v>4562</v>
      </c>
      <c r="H87" s="55" t="s">
        <v>17</v>
      </c>
      <c r="I87" s="55" t="s">
        <v>4563</v>
      </c>
    </row>
    <row r="88" customFormat="false" ht="15" hidden="false" customHeight="false" outlineLevel="0" collapsed="false">
      <c r="A88" s="55" t="s">
        <v>4659</v>
      </c>
      <c r="B88" s="55" t="s">
        <v>358</v>
      </c>
      <c r="C88" s="55" t="s">
        <v>357</v>
      </c>
      <c r="D88" s="55" t="s">
        <v>45</v>
      </c>
      <c r="E88" s="55" t="s">
        <v>4556</v>
      </c>
      <c r="F88" s="55" t="s">
        <v>4557</v>
      </c>
      <c r="G88" s="55" t="s">
        <v>4558</v>
      </c>
      <c r="H88" s="55" t="s">
        <v>21</v>
      </c>
      <c r="I88" s="55" t="s">
        <v>4566</v>
      </c>
    </row>
    <row r="89" customFormat="false" ht="15" hidden="false" customHeight="false" outlineLevel="0" collapsed="false">
      <c r="A89" s="55" t="s">
        <v>4660</v>
      </c>
      <c r="B89" s="55" t="s">
        <v>1310</v>
      </c>
      <c r="C89" s="55"/>
      <c r="D89" s="55" t="s">
        <v>45</v>
      </c>
      <c r="E89" s="55" t="s">
        <v>4556</v>
      </c>
      <c r="F89" s="55" t="s">
        <v>4557</v>
      </c>
      <c r="G89" s="55" t="s">
        <v>4558</v>
      </c>
      <c r="H89" s="55" t="s">
        <v>21</v>
      </c>
      <c r="I89" s="55" t="s">
        <v>4566</v>
      </c>
    </row>
    <row r="90" customFormat="false" ht="15" hidden="false" customHeight="false" outlineLevel="0" collapsed="false">
      <c r="A90" s="55" t="s">
        <v>4661</v>
      </c>
      <c r="B90" s="55" t="s">
        <v>203</v>
      </c>
      <c r="C90" s="55" t="s">
        <v>202</v>
      </c>
      <c r="D90" s="55" t="s">
        <v>47</v>
      </c>
      <c r="E90" s="55" t="s">
        <v>4556</v>
      </c>
      <c r="F90" s="55" t="s">
        <v>4557</v>
      </c>
      <c r="G90" s="55" t="s">
        <v>4650</v>
      </c>
      <c r="H90" s="55" t="s">
        <v>17</v>
      </c>
      <c r="I90" s="55" t="s">
        <v>4563</v>
      </c>
    </row>
    <row r="91" customFormat="false" ht="15" hidden="false" customHeight="false" outlineLevel="0" collapsed="false">
      <c r="A91" s="55" t="s">
        <v>4662</v>
      </c>
      <c r="B91" s="55" t="s">
        <v>1540</v>
      </c>
      <c r="C91" s="55" t="s">
        <v>1539</v>
      </c>
      <c r="D91" s="55" t="s">
        <v>45</v>
      </c>
      <c r="E91" s="55" t="s">
        <v>4556</v>
      </c>
      <c r="F91" s="55" t="s">
        <v>4561</v>
      </c>
      <c r="G91" s="55" t="s">
        <v>4565</v>
      </c>
      <c r="H91" s="55" t="s">
        <v>21</v>
      </c>
      <c r="I91" s="55" t="s">
        <v>4566</v>
      </c>
    </row>
    <row r="92" customFormat="false" ht="15" hidden="false" customHeight="false" outlineLevel="0" collapsed="false">
      <c r="A92" s="55" t="s">
        <v>4663</v>
      </c>
      <c r="B92" s="55" t="s">
        <v>1540</v>
      </c>
      <c r="C92" s="55" t="s">
        <v>1539</v>
      </c>
      <c r="D92" s="55" t="s">
        <v>46</v>
      </c>
      <c r="E92" s="55" t="s">
        <v>4556</v>
      </c>
      <c r="F92" s="55" t="s">
        <v>4557</v>
      </c>
      <c r="G92" s="55" t="s">
        <v>4558</v>
      </c>
      <c r="H92" s="55" t="s">
        <v>21</v>
      </c>
      <c r="I92" s="55" t="s">
        <v>4566</v>
      </c>
    </row>
    <row r="93" customFormat="false" ht="15" hidden="false" customHeight="false" outlineLevel="0" collapsed="false">
      <c r="A93" s="55" t="s">
        <v>4664</v>
      </c>
      <c r="B93" s="55" t="s">
        <v>1161</v>
      </c>
      <c r="C93" s="55" t="s">
        <v>1160</v>
      </c>
      <c r="D93" s="55" t="s">
        <v>45</v>
      </c>
      <c r="E93" s="55" t="s">
        <v>4556</v>
      </c>
      <c r="F93" s="55" t="s">
        <v>4557</v>
      </c>
      <c r="G93" s="55" t="s">
        <v>4558</v>
      </c>
      <c r="H93" s="55" t="s">
        <v>21</v>
      </c>
      <c r="I93" s="55" t="s">
        <v>4566</v>
      </c>
    </row>
    <row r="94" customFormat="false" ht="15" hidden="false" customHeight="false" outlineLevel="0" collapsed="false">
      <c r="A94" s="55" t="s">
        <v>4665</v>
      </c>
      <c r="B94" s="55" t="s">
        <v>2758</v>
      </c>
      <c r="C94" s="55" t="s">
        <v>3282</v>
      </c>
      <c r="D94" s="55" t="s">
        <v>45</v>
      </c>
      <c r="E94" s="55" t="s">
        <v>4556</v>
      </c>
      <c r="F94" s="55" t="s">
        <v>4561</v>
      </c>
      <c r="G94" s="55" t="s">
        <v>4562</v>
      </c>
      <c r="H94" s="55" t="s">
        <v>17</v>
      </c>
      <c r="I94" s="55" t="s">
        <v>4563</v>
      </c>
    </row>
    <row r="95" customFormat="false" ht="15" hidden="false" customHeight="false" outlineLevel="0" collapsed="false">
      <c r="A95" s="55" t="s">
        <v>4666</v>
      </c>
      <c r="B95" s="55" t="s">
        <v>1217</v>
      </c>
      <c r="C95" s="55" t="s">
        <v>1216</v>
      </c>
      <c r="D95" s="55" t="s">
        <v>45</v>
      </c>
      <c r="E95" s="55" t="s">
        <v>4556</v>
      </c>
      <c r="F95" s="55" t="s">
        <v>4557</v>
      </c>
      <c r="G95" s="55" t="s">
        <v>4558</v>
      </c>
      <c r="H95" s="55" t="s">
        <v>21</v>
      </c>
      <c r="I95" s="55" t="s">
        <v>4566</v>
      </c>
    </row>
    <row r="96" customFormat="false" ht="15" hidden="false" customHeight="false" outlineLevel="0" collapsed="false">
      <c r="A96" s="55" t="s">
        <v>4667</v>
      </c>
      <c r="B96" s="55" t="s">
        <v>588</v>
      </c>
      <c r="C96" s="55" t="s">
        <v>587</v>
      </c>
      <c r="D96" s="55" t="s">
        <v>45</v>
      </c>
      <c r="E96" s="55" t="s">
        <v>4556</v>
      </c>
      <c r="F96" s="55" t="s">
        <v>4557</v>
      </c>
      <c r="G96" s="55" t="s">
        <v>4558</v>
      </c>
      <c r="H96" s="55" t="s">
        <v>21</v>
      </c>
      <c r="I96" s="55" t="s">
        <v>4566</v>
      </c>
    </row>
    <row r="97" customFormat="false" ht="15" hidden="false" customHeight="false" outlineLevel="0" collapsed="false">
      <c r="A97" s="55" t="s">
        <v>4668</v>
      </c>
      <c r="B97" s="55" t="s">
        <v>588</v>
      </c>
      <c r="C97" s="55" t="s">
        <v>587</v>
      </c>
      <c r="D97" s="55" t="s">
        <v>46</v>
      </c>
      <c r="E97" s="55" t="s">
        <v>4556</v>
      </c>
      <c r="F97" s="55" t="s">
        <v>4471</v>
      </c>
      <c r="G97" s="55" t="s">
        <v>4669</v>
      </c>
      <c r="H97" s="55" t="s">
        <v>21</v>
      </c>
      <c r="I97" s="55" t="s">
        <v>4670</v>
      </c>
    </row>
    <row r="98" customFormat="false" ht="15" hidden="false" customHeight="false" outlineLevel="0" collapsed="false">
      <c r="A98" s="55" t="s">
        <v>4671</v>
      </c>
      <c r="B98" s="55" t="s">
        <v>1581</v>
      </c>
      <c r="C98" s="55" t="s">
        <v>1580</v>
      </c>
      <c r="D98" s="55" t="s">
        <v>45</v>
      </c>
      <c r="E98" s="55" t="s">
        <v>4556</v>
      </c>
      <c r="F98" s="55" t="s">
        <v>4561</v>
      </c>
      <c r="G98" s="55" t="s">
        <v>4565</v>
      </c>
      <c r="H98" s="55" t="s">
        <v>21</v>
      </c>
      <c r="I98" s="55" t="s">
        <v>4566</v>
      </c>
    </row>
    <row r="99" customFormat="false" ht="15" hidden="false" customHeight="false" outlineLevel="0" collapsed="false">
      <c r="A99" s="55" t="s">
        <v>4672</v>
      </c>
      <c r="B99" s="55" t="s">
        <v>1581</v>
      </c>
      <c r="C99" s="55" t="s">
        <v>1580</v>
      </c>
      <c r="D99" s="55" t="s">
        <v>46</v>
      </c>
      <c r="E99" s="55" t="s">
        <v>4556</v>
      </c>
      <c r="F99" s="55" t="s">
        <v>4557</v>
      </c>
      <c r="G99" s="55" t="s">
        <v>4558</v>
      </c>
      <c r="H99" s="55" t="s">
        <v>21</v>
      </c>
      <c r="I99" s="55" t="s">
        <v>4566</v>
      </c>
    </row>
    <row r="100" customFormat="false" ht="15" hidden="false" customHeight="false" outlineLevel="0" collapsed="false">
      <c r="A100" s="55" t="s">
        <v>4673</v>
      </c>
      <c r="B100" s="55" t="s">
        <v>1243</v>
      </c>
      <c r="C100" s="55" t="s">
        <v>1242</v>
      </c>
      <c r="D100" s="55" t="s">
        <v>46</v>
      </c>
      <c r="E100" s="55" t="s">
        <v>4556</v>
      </c>
      <c r="F100" s="55" t="s">
        <v>4557</v>
      </c>
      <c r="G100" s="55" t="s">
        <v>4558</v>
      </c>
      <c r="H100" s="55" t="s">
        <v>21</v>
      </c>
      <c r="I100" s="55" t="s">
        <v>4566</v>
      </c>
    </row>
    <row r="101" customFormat="false" ht="15" hidden="false" customHeight="false" outlineLevel="0" collapsed="false">
      <c r="A101" s="55" t="s">
        <v>4674</v>
      </c>
      <c r="B101" s="55" t="s">
        <v>328</v>
      </c>
      <c r="C101" s="55" t="s">
        <v>327</v>
      </c>
      <c r="D101" s="55" t="s">
        <v>46</v>
      </c>
      <c r="E101" s="55" t="s">
        <v>4556</v>
      </c>
      <c r="F101" s="55" t="s">
        <v>4557</v>
      </c>
      <c r="G101" s="55" t="s">
        <v>4558</v>
      </c>
      <c r="H101" s="55" t="s">
        <v>21</v>
      </c>
      <c r="I101" s="55" t="s">
        <v>4566</v>
      </c>
    </row>
    <row r="102" customFormat="false" ht="15" hidden="false" customHeight="false" outlineLevel="0" collapsed="false">
      <c r="A102" s="55" t="s">
        <v>4675</v>
      </c>
      <c r="B102" s="55" t="s">
        <v>1981</v>
      </c>
      <c r="C102" s="55" t="s">
        <v>1980</v>
      </c>
      <c r="D102" s="55" t="s">
        <v>45</v>
      </c>
      <c r="E102" s="55" t="s">
        <v>4556</v>
      </c>
      <c r="F102" s="55" t="s">
        <v>4561</v>
      </c>
      <c r="G102" s="55" t="s">
        <v>4562</v>
      </c>
      <c r="H102" s="55" t="s">
        <v>17</v>
      </c>
      <c r="I102" s="55" t="s">
        <v>4563</v>
      </c>
    </row>
    <row r="103" customFormat="false" ht="15" hidden="false" customHeight="false" outlineLevel="0" collapsed="false">
      <c r="A103" s="55" t="s">
        <v>4676</v>
      </c>
      <c r="B103" s="55" t="s">
        <v>1981</v>
      </c>
      <c r="C103" s="55" t="s">
        <v>1980</v>
      </c>
      <c r="D103" s="55" t="s">
        <v>46</v>
      </c>
      <c r="E103" s="55" t="s">
        <v>4556</v>
      </c>
      <c r="F103" s="55" t="s">
        <v>4561</v>
      </c>
      <c r="G103" s="55" t="s">
        <v>4565</v>
      </c>
      <c r="H103" s="55" t="s">
        <v>21</v>
      </c>
      <c r="I103" s="55" t="s">
        <v>4566</v>
      </c>
    </row>
    <row r="104" customFormat="false" ht="15" hidden="false" customHeight="false" outlineLevel="0" collapsed="false">
      <c r="A104" s="55" t="s">
        <v>4677</v>
      </c>
      <c r="B104" s="55" t="s">
        <v>1981</v>
      </c>
      <c r="C104" s="55" t="s">
        <v>1980</v>
      </c>
      <c r="D104" s="55" t="s">
        <v>47</v>
      </c>
      <c r="E104" s="55" t="s">
        <v>4556</v>
      </c>
      <c r="F104" s="55" t="s">
        <v>4557</v>
      </c>
      <c r="G104" s="55" t="s">
        <v>4558</v>
      </c>
      <c r="H104" s="55" t="s">
        <v>21</v>
      </c>
      <c r="I104" s="55" t="s">
        <v>4559</v>
      </c>
    </row>
    <row r="105" customFormat="false" ht="15" hidden="false" customHeight="false" outlineLevel="0" collapsed="false">
      <c r="A105" s="55" t="s">
        <v>4678</v>
      </c>
      <c r="B105" s="55" t="s">
        <v>426</v>
      </c>
      <c r="C105" s="55" t="s">
        <v>425</v>
      </c>
      <c r="D105" s="55" t="s">
        <v>45</v>
      </c>
      <c r="E105" s="55" t="s">
        <v>4556</v>
      </c>
      <c r="F105" s="55" t="s">
        <v>4557</v>
      </c>
      <c r="G105" s="55" t="s">
        <v>4558</v>
      </c>
      <c r="H105" s="55" t="s">
        <v>21</v>
      </c>
      <c r="I105" s="55" t="s">
        <v>4566</v>
      </c>
    </row>
    <row r="106" customFormat="false" ht="15" hidden="false" customHeight="false" outlineLevel="0" collapsed="false">
      <c r="A106" s="55" t="s">
        <v>4679</v>
      </c>
      <c r="B106" s="55" t="s">
        <v>426</v>
      </c>
      <c r="C106" s="55" t="s">
        <v>425</v>
      </c>
      <c r="D106" s="55" t="s">
        <v>46</v>
      </c>
      <c r="E106" s="55" t="s">
        <v>4556</v>
      </c>
      <c r="F106" s="55" t="s">
        <v>4557</v>
      </c>
      <c r="G106" s="55" t="s">
        <v>4558</v>
      </c>
      <c r="H106" s="55" t="s">
        <v>21</v>
      </c>
      <c r="I106" s="55" t="s">
        <v>4566</v>
      </c>
    </row>
    <row r="107" customFormat="false" ht="15" hidden="false" customHeight="false" outlineLevel="0" collapsed="false">
      <c r="A107" s="55" t="s">
        <v>4680</v>
      </c>
      <c r="B107" s="55" t="s">
        <v>406</v>
      </c>
      <c r="C107" s="55" t="s">
        <v>405</v>
      </c>
      <c r="D107" s="55" t="s">
        <v>45</v>
      </c>
      <c r="E107" s="55" t="s">
        <v>4556</v>
      </c>
      <c r="F107" s="55" t="s">
        <v>4599</v>
      </c>
      <c r="G107" s="55" t="s">
        <v>4631</v>
      </c>
      <c r="H107" s="55" t="s">
        <v>21</v>
      </c>
      <c r="I107" s="55" t="s">
        <v>4632</v>
      </c>
    </row>
    <row r="108" customFormat="false" ht="15" hidden="false" customHeight="false" outlineLevel="0" collapsed="false">
      <c r="A108" s="55" t="s">
        <v>4681</v>
      </c>
      <c r="B108" s="55" t="s">
        <v>1875</v>
      </c>
      <c r="C108" s="55" t="s">
        <v>1874</v>
      </c>
      <c r="D108" s="55" t="s">
        <v>46</v>
      </c>
      <c r="E108" s="55" t="s">
        <v>4556</v>
      </c>
      <c r="F108" s="55" t="s">
        <v>4471</v>
      </c>
      <c r="G108" s="55" t="s">
        <v>4669</v>
      </c>
      <c r="H108" s="55" t="s">
        <v>21</v>
      </c>
      <c r="I108" s="55" t="s">
        <v>4670</v>
      </c>
    </row>
    <row r="109" customFormat="false" ht="15" hidden="false" customHeight="false" outlineLevel="0" collapsed="false">
      <c r="A109" s="55" t="s">
        <v>4682</v>
      </c>
      <c r="B109" s="55" t="s">
        <v>2764</v>
      </c>
      <c r="C109" s="55" t="s">
        <v>3295</v>
      </c>
      <c r="D109" s="55" t="s">
        <v>45</v>
      </c>
      <c r="E109" s="55" t="s">
        <v>4556</v>
      </c>
      <c r="F109" s="55" t="s">
        <v>4561</v>
      </c>
      <c r="G109" s="55" t="s">
        <v>4565</v>
      </c>
      <c r="H109" s="55" t="s">
        <v>21</v>
      </c>
      <c r="I109" s="55" t="s">
        <v>4559</v>
      </c>
    </row>
    <row r="110" customFormat="false" ht="15" hidden="false" customHeight="false" outlineLevel="0" collapsed="false">
      <c r="A110" s="55" t="s">
        <v>4683</v>
      </c>
      <c r="B110" s="55" t="s">
        <v>2764</v>
      </c>
      <c r="C110" s="55" t="s">
        <v>3295</v>
      </c>
      <c r="D110" s="55" t="s">
        <v>46</v>
      </c>
      <c r="E110" s="55" t="s">
        <v>4556</v>
      </c>
      <c r="F110" s="55" t="s">
        <v>4653</v>
      </c>
      <c r="G110" s="55" t="s">
        <v>4654</v>
      </c>
      <c r="H110" s="55" t="s">
        <v>21</v>
      </c>
      <c r="I110" s="55" t="s">
        <v>4566</v>
      </c>
    </row>
    <row r="111" customFormat="false" ht="15" hidden="false" customHeight="false" outlineLevel="0" collapsed="false">
      <c r="A111" s="55" t="s">
        <v>4684</v>
      </c>
      <c r="B111" s="55" t="s">
        <v>578</v>
      </c>
      <c r="C111" s="55" t="s">
        <v>577</v>
      </c>
      <c r="D111" s="55" t="s">
        <v>45</v>
      </c>
      <c r="E111" s="55" t="s">
        <v>4556</v>
      </c>
      <c r="F111" s="55" t="s">
        <v>4557</v>
      </c>
      <c r="G111" s="55" t="s">
        <v>4558</v>
      </c>
      <c r="H111" s="55" t="s">
        <v>21</v>
      </c>
      <c r="I111" s="55" t="s">
        <v>4566</v>
      </c>
    </row>
    <row r="112" customFormat="false" ht="15" hidden="false" customHeight="false" outlineLevel="0" collapsed="false">
      <c r="A112" s="55" t="s">
        <v>4685</v>
      </c>
      <c r="B112" s="55" t="s">
        <v>1413</v>
      </c>
      <c r="C112" s="55" t="s">
        <v>1412</v>
      </c>
      <c r="D112" s="55" t="s">
        <v>45</v>
      </c>
      <c r="E112" s="55" t="s">
        <v>4556</v>
      </c>
      <c r="F112" s="55" t="s">
        <v>4561</v>
      </c>
      <c r="G112" s="55" t="s">
        <v>4565</v>
      </c>
      <c r="H112" s="55" t="s">
        <v>21</v>
      </c>
      <c r="I112" s="55" t="s">
        <v>4566</v>
      </c>
    </row>
    <row r="113" customFormat="false" ht="15" hidden="false" customHeight="false" outlineLevel="0" collapsed="false">
      <c r="A113" s="55" t="s">
        <v>4686</v>
      </c>
      <c r="B113" s="55" t="s">
        <v>1682</v>
      </c>
      <c r="C113" s="55" t="s">
        <v>1681</v>
      </c>
      <c r="D113" s="55" t="s">
        <v>45</v>
      </c>
      <c r="E113" s="55" t="s">
        <v>4556</v>
      </c>
      <c r="F113" s="55" t="s">
        <v>4197</v>
      </c>
      <c r="G113" s="55" t="s">
        <v>4579</v>
      </c>
      <c r="H113" s="55" t="s">
        <v>17</v>
      </c>
      <c r="I113" s="55" t="s">
        <v>4563</v>
      </c>
    </row>
    <row r="114" customFormat="false" ht="15" hidden="false" customHeight="false" outlineLevel="0" collapsed="false">
      <c r="A114" s="55" t="s">
        <v>4687</v>
      </c>
      <c r="B114" s="55" t="s">
        <v>1682</v>
      </c>
      <c r="C114" s="55" t="s">
        <v>1681</v>
      </c>
      <c r="D114" s="55" t="s">
        <v>46</v>
      </c>
      <c r="E114" s="55" t="s">
        <v>4556</v>
      </c>
      <c r="F114" s="55" t="s">
        <v>4636</v>
      </c>
      <c r="G114" s="55" t="s">
        <v>4637</v>
      </c>
      <c r="H114" s="55" t="s">
        <v>21</v>
      </c>
      <c r="I114" s="55" t="s">
        <v>4632</v>
      </c>
    </row>
    <row r="115" customFormat="false" ht="15" hidden="false" customHeight="false" outlineLevel="0" collapsed="false">
      <c r="A115" s="55" t="s">
        <v>4688</v>
      </c>
      <c r="B115" s="55" t="s">
        <v>2770</v>
      </c>
      <c r="C115" s="55" t="s">
        <v>3304</v>
      </c>
      <c r="D115" s="55" t="s">
        <v>46</v>
      </c>
      <c r="E115" s="55" t="s">
        <v>4556</v>
      </c>
      <c r="F115" s="55" t="s">
        <v>4653</v>
      </c>
      <c r="G115" s="55" t="s">
        <v>4654</v>
      </c>
      <c r="H115" s="55" t="s">
        <v>21</v>
      </c>
      <c r="I115" s="55" t="s">
        <v>4566</v>
      </c>
    </row>
    <row r="116" customFormat="false" ht="15" hidden="false" customHeight="false" outlineLevel="0" collapsed="false">
      <c r="A116" s="55" t="s">
        <v>4689</v>
      </c>
      <c r="B116" s="55" t="s">
        <v>2772</v>
      </c>
      <c r="C116" s="55" t="s">
        <v>3305</v>
      </c>
      <c r="D116" s="55" t="s">
        <v>45</v>
      </c>
      <c r="E116" s="55" t="s">
        <v>4556</v>
      </c>
      <c r="F116" s="55" t="s">
        <v>4561</v>
      </c>
      <c r="G116" s="55" t="s">
        <v>4565</v>
      </c>
      <c r="H116" s="55" t="s">
        <v>21</v>
      </c>
      <c r="I116" s="55" t="s">
        <v>4566</v>
      </c>
    </row>
    <row r="117" customFormat="false" ht="15" hidden="false" customHeight="false" outlineLevel="0" collapsed="false">
      <c r="A117" s="55" t="s">
        <v>4690</v>
      </c>
      <c r="B117" s="55" t="s">
        <v>2772</v>
      </c>
      <c r="C117" s="55" t="s">
        <v>3305</v>
      </c>
      <c r="D117" s="55" t="s">
        <v>47</v>
      </c>
      <c r="E117" s="55" t="s">
        <v>4556</v>
      </c>
      <c r="F117" s="55" t="s">
        <v>4571</v>
      </c>
      <c r="G117" s="55" t="s">
        <v>4572</v>
      </c>
      <c r="H117" s="55" t="s">
        <v>21</v>
      </c>
      <c r="I117" s="55" t="s">
        <v>4566</v>
      </c>
    </row>
    <row r="118" customFormat="false" ht="15" hidden="false" customHeight="false" outlineLevel="0" collapsed="false">
      <c r="A118" s="55" t="s">
        <v>4691</v>
      </c>
      <c r="B118" s="55" t="s">
        <v>1289</v>
      </c>
      <c r="C118" s="55" t="s">
        <v>1288</v>
      </c>
      <c r="D118" s="55" t="s">
        <v>45</v>
      </c>
      <c r="E118" s="55" t="s">
        <v>4556</v>
      </c>
      <c r="F118" s="55" t="s">
        <v>4599</v>
      </c>
      <c r="G118" s="55" t="s">
        <v>4631</v>
      </c>
      <c r="H118" s="55" t="s">
        <v>21</v>
      </c>
      <c r="I118" s="55" t="s">
        <v>4632</v>
      </c>
    </row>
    <row r="119" customFormat="false" ht="15" hidden="false" customHeight="false" outlineLevel="0" collapsed="false">
      <c r="A119" s="55" t="s">
        <v>4692</v>
      </c>
      <c r="B119" s="55" t="s">
        <v>2775</v>
      </c>
      <c r="C119" s="55"/>
      <c r="D119" s="55" t="s">
        <v>46</v>
      </c>
      <c r="E119" s="55" t="s">
        <v>4556</v>
      </c>
      <c r="F119" s="55" t="s">
        <v>4568</v>
      </c>
      <c r="G119" s="55" t="s">
        <v>4569</v>
      </c>
      <c r="H119" s="55" t="s">
        <v>17</v>
      </c>
      <c r="I119" s="55" t="s">
        <v>4563</v>
      </c>
    </row>
    <row r="120" customFormat="false" ht="15" hidden="false" customHeight="false" outlineLevel="0" collapsed="false">
      <c r="A120" s="55" t="s">
        <v>4693</v>
      </c>
      <c r="B120" s="55" t="s">
        <v>777</v>
      </c>
      <c r="C120" s="55" t="s">
        <v>776</v>
      </c>
      <c r="D120" s="55" t="s">
        <v>45</v>
      </c>
      <c r="E120" s="55" t="s">
        <v>4556</v>
      </c>
      <c r="F120" s="55" t="s">
        <v>4561</v>
      </c>
      <c r="G120" s="55" t="s">
        <v>4565</v>
      </c>
      <c r="H120" s="55" t="s">
        <v>21</v>
      </c>
      <c r="I120" s="55" t="s">
        <v>4566</v>
      </c>
    </row>
    <row r="121" customFormat="false" ht="15" hidden="false" customHeight="false" outlineLevel="0" collapsed="false">
      <c r="A121" s="55" t="s">
        <v>4694</v>
      </c>
      <c r="B121" s="55" t="s">
        <v>777</v>
      </c>
      <c r="C121" s="55" t="s">
        <v>776</v>
      </c>
      <c r="D121" s="55" t="s">
        <v>46</v>
      </c>
      <c r="E121" s="55" t="s">
        <v>4556</v>
      </c>
      <c r="F121" s="55" t="s">
        <v>4561</v>
      </c>
      <c r="G121" s="55" t="s">
        <v>4562</v>
      </c>
      <c r="H121" s="55" t="s">
        <v>17</v>
      </c>
      <c r="I121" s="55" t="s">
        <v>4563</v>
      </c>
    </row>
    <row r="122" customFormat="false" ht="15" hidden="false" customHeight="false" outlineLevel="0" collapsed="false">
      <c r="A122" s="55" t="s">
        <v>4695</v>
      </c>
      <c r="B122" s="55" t="s">
        <v>710</v>
      </c>
      <c r="C122" s="55" t="s">
        <v>709</v>
      </c>
      <c r="D122" s="55" t="s">
        <v>45</v>
      </c>
      <c r="E122" s="55" t="s">
        <v>4556</v>
      </c>
      <c r="F122" s="55" t="s">
        <v>4557</v>
      </c>
      <c r="G122" s="55" t="s">
        <v>4558</v>
      </c>
      <c r="H122" s="55" t="s">
        <v>21</v>
      </c>
      <c r="I122" s="55" t="s">
        <v>4566</v>
      </c>
    </row>
    <row r="123" customFormat="false" ht="15" hidden="false" customHeight="false" outlineLevel="0" collapsed="false">
      <c r="A123" s="55" t="s">
        <v>4696</v>
      </c>
      <c r="B123" s="55" t="s">
        <v>390</v>
      </c>
      <c r="C123" s="55" t="s">
        <v>389</v>
      </c>
      <c r="D123" s="55" t="s">
        <v>46</v>
      </c>
      <c r="E123" s="55" t="s">
        <v>4556</v>
      </c>
      <c r="F123" s="55" t="s">
        <v>4557</v>
      </c>
      <c r="G123" s="55" t="s">
        <v>4558</v>
      </c>
      <c r="H123" s="55" t="s">
        <v>21</v>
      </c>
      <c r="I123" s="55" t="s">
        <v>4566</v>
      </c>
    </row>
    <row r="124" customFormat="false" ht="15" hidden="false" customHeight="false" outlineLevel="0" collapsed="false">
      <c r="A124" s="55" t="s">
        <v>4697</v>
      </c>
      <c r="B124" s="55" t="s">
        <v>1479</v>
      </c>
      <c r="C124" s="55" t="s">
        <v>1478</v>
      </c>
      <c r="D124" s="55" t="s">
        <v>46</v>
      </c>
      <c r="E124" s="55" t="s">
        <v>4556</v>
      </c>
      <c r="F124" s="55" t="s">
        <v>4557</v>
      </c>
      <c r="G124" s="55" t="s">
        <v>4558</v>
      </c>
      <c r="H124" s="55" t="s">
        <v>21</v>
      </c>
      <c r="I124" s="55" t="s">
        <v>4566</v>
      </c>
    </row>
    <row r="125" customFormat="false" ht="15" hidden="false" customHeight="false" outlineLevel="0" collapsed="false">
      <c r="A125" s="55" t="s">
        <v>4698</v>
      </c>
      <c r="B125" s="55" t="s">
        <v>1479</v>
      </c>
      <c r="C125" s="55" t="s">
        <v>1478</v>
      </c>
      <c r="D125" s="55" t="s">
        <v>47</v>
      </c>
      <c r="E125" s="55" t="s">
        <v>4556</v>
      </c>
      <c r="F125" s="55" t="s">
        <v>4561</v>
      </c>
      <c r="G125" s="55" t="s">
        <v>4562</v>
      </c>
      <c r="H125" s="55" t="s">
        <v>17</v>
      </c>
      <c r="I125" s="55" t="s">
        <v>4563</v>
      </c>
    </row>
    <row r="126" customFormat="false" ht="15" hidden="false" customHeight="false" outlineLevel="0" collapsed="false">
      <c r="A126" s="55" t="s">
        <v>4699</v>
      </c>
      <c r="B126" s="55" t="s">
        <v>1071</v>
      </c>
      <c r="C126" s="55" t="s">
        <v>1070</v>
      </c>
      <c r="D126" s="55" t="s">
        <v>46</v>
      </c>
      <c r="E126" s="55" t="s">
        <v>4556</v>
      </c>
      <c r="F126" s="55" t="s">
        <v>4557</v>
      </c>
      <c r="G126" s="55" t="s">
        <v>4558</v>
      </c>
      <c r="H126" s="55" t="s">
        <v>21</v>
      </c>
      <c r="I126" s="55" t="s">
        <v>4566</v>
      </c>
    </row>
    <row r="127" customFormat="false" ht="15" hidden="false" customHeight="false" outlineLevel="0" collapsed="false">
      <c r="A127" s="55" t="s">
        <v>4700</v>
      </c>
      <c r="B127" s="55" t="s">
        <v>610</v>
      </c>
      <c r="C127" s="55" t="s">
        <v>609</v>
      </c>
      <c r="D127" s="55" t="s">
        <v>46</v>
      </c>
      <c r="E127" s="55" t="s">
        <v>4556</v>
      </c>
      <c r="F127" s="55" t="s">
        <v>4557</v>
      </c>
      <c r="G127" s="55" t="s">
        <v>4558</v>
      </c>
      <c r="H127" s="55" t="s">
        <v>21</v>
      </c>
      <c r="I127" s="55" t="s">
        <v>4566</v>
      </c>
    </row>
    <row r="128" customFormat="false" ht="15" hidden="false" customHeight="false" outlineLevel="0" collapsed="false">
      <c r="A128" s="55" t="s">
        <v>4701</v>
      </c>
      <c r="B128" s="55" t="s">
        <v>1113</v>
      </c>
      <c r="C128" s="55" t="s">
        <v>1112</v>
      </c>
      <c r="D128" s="55" t="s">
        <v>45</v>
      </c>
      <c r="E128" s="55" t="s">
        <v>4556</v>
      </c>
      <c r="F128" s="55" t="s">
        <v>4557</v>
      </c>
      <c r="G128" s="55" t="s">
        <v>4558</v>
      </c>
      <c r="H128" s="55" t="s">
        <v>21</v>
      </c>
      <c r="I128" s="55" t="s">
        <v>4566</v>
      </c>
    </row>
    <row r="129" customFormat="false" ht="15" hidden="false" customHeight="false" outlineLevel="0" collapsed="false">
      <c r="A129" s="55" t="s">
        <v>4702</v>
      </c>
      <c r="B129" s="55" t="s">
        <v>1113</v>
      </c>
      <c r="C129" s="55" t="s">
        <v>1112</v>
      </c>
      <c r="D129" s="55" t="s">
        <v>46</v>
      </c>
      <c r="E129" s="55" t="s">
        <v>4556</v>
      </c>
      <c r="F129" s="55" t="s">
        <v>4703</v>
      </c>
      <c r="G129" s="55" t="s">
        <v>4704</v>
      </c>
      <c r="H129" s="55" t="s">
        <v>21</v>
      </c>
      <c r="I129" s="55" t="s">
        <v>4566</v>
      </c>
    </row>
    <row r="130" customFormat="false" ht="15" hidden="false" customHeight="false" outlineLevel="0" collapsed="false">
      <c r="A130" s="55" t="s">
        <v>4705</v>
      </c>
      <c r="B130" s="55" t="s">
        <v>262</v>
      </c>
      <c r="C130" s="55" t="s">
        <v>261</v>
      </c>
      <c r="D130" s="55" t="s">
        <v>45</v>
      </c>
      <c r="E130" s="55" t="s">
        <v>4556</v>
      </c>
      <c r="F130" s="55" t="s">
        <v>4557</v>
      </c>
      <c r="G130" s="55" t="s">
        <v>4558</v>
      </c>
      <c r="H130" s="55" t="s">
        <v>21</v>
      </c>
      <c r="I130" s="55" t="s">
        <v>4566</v>
      </c>
    </row>
    <row r="131" customFormat="false" ht="15" hidden="false" customHeight="false" outlineLevel="0" collapsed="false">
      <c r="A131" s="55" t="s">
        <v>4706</v>
      </c>
      <c r="B131" s="55" t="s">
        <v>262</v>
      </c>
      <c r="C131" s="55" t="s">
        <v>261</v>
      </c>
      <c r="D131" s="55" t="s">
        <v>46</v>
      </c>
      <c r="E131" s="55" t="s">
        <v>4556</v>
      </c>
      <c r="F131" s="55" t="s">
        <v>4557</v>
      </c>
      <c r="G131" s="55" t="s">
        <v>4558</v>
      </c>
      <c r="H131" s="55" t="s">
        <v>21</v>
      </c>
      <c r="I131" s="55" t="s">
        <v>4566</v>
      </c>
    </row>
    <row r="132" customFormat="false" ht="15" hidden="false" customHeight="false" outlineLevel="0" collapsed="false">
      <c r="A132" s="55" t="s">
        <v>4707</v>
      </c>
      <c r="B132" s="55" t="s">
        <v>2780</v>
      </c>
      <c r="C132" s="55" t="s">
        <v>3319</v>
      </c>
      <c r="D132" s="55" t="s">
        <v>45</v>
      </c>
      <c r="E132" s="55" t="s">
        <v>4556</v>
      </c>
      <c r="F132" s="55" t="s">
        <v>4571</v>
      </c>
      <c r="G132" s="55" t="s">
        <v>4572</v>
      </c>
      <c r="H132" s="55" t="s">
        <v>21</v>
      </c>
      <c r="I132" s="55" t="s">
        <v>4566</v>
      </c>
    </row>
    <row r="133" customFormat="false" ht="15" hidden="false" customHeight="false" outlineLevel="0" collapsed="false">
      <c r="A133" s="55" t="s">
        <v>4708</v>
      </c>
      <c r="B133" s="55" t="s">
        <v>1891</v>
      </c>
      <c r="C133" s="55" t="s">
        <v>1890</v>
      </c>
      <c r="D133" s="55" t="s">
        <v>46</v>
      </c>
      <c r="E133" s="55" t="s">
        <v>4556</v>
      </c>
      <c r="F133" s="55" t="s">
        <v>4557</v>
      </c>
      <c r="G133" s="55" t="s">
        <v>4558</v>
      </c>
      <c r="H133" s="55" t="s">
        <v>21</v>
      </c>
      <c r="I133" s="55" t="s">
        <v>4566</v>
      </c>
    </row>
    <row r="134" customFormat="false" ht="15" hidden="false" customHeight="false" outlineLevel="0" collapsed="false">
      <c r="A134" s="55" t="s">
        <v>4709</v>
      </c>
      <c r="B134" s="55" t="s">
        <v>648</v>
      </c>
      <c r="C134" s="55" t="s">
        <v>647</v>
      </c>
      <c r="D134" s="55" t="s">
        <v>45</v>
      </c>
      <c r="E134" s="55" t="s">
        <v>4556</v>
      </c>
      <c r="F134" s="55" t="s">
        <v>4561</v>
      </c>
      <c r="G134" s="55" t="s">
        <v>4565</v>
      </c>
      <c r="H134" s="55" t="s">
        <v>21</v>
      </c>
      <c r="I134" s="55" t="s">
        <v>4566</v>
      </c>
    </row>
    <row r="135" customFormat="false" ht="15" hidden="false" customHeight="false" outlineLevel="0" collapsed="false">
      <c r="A135" s="55" t="s">
        <v>4710</v>
      </c>
      <c r="B135" s="55" t="s">
        <v>135</v>
      </c>
      <c r="C135" s="55" t="s">
        <v>134</v>
      </c>
      <c r="D135" s="55" t="s">
        <v>47</v>
      </c>
      <c r="E135" s="55" t="s">
        <v>4556</v>
      </c>
      <c r="F135" s="55" t="s">
        <v>4557</v>
      </c>
      <c r="G135" s="55" t="s">
        <v>4558</v>
      </c>
      <c r="H135" s="55" t="s">
        <v>21</v>
      </c>
      <c r="I135" s="55" t="s">
        <v>4566</v>
      </c>
    </row>
    <row r="136" customFormat="false" ht="15" hidden="false" customHeight="false" outlineLevel="0" collapsed="false">
      <c r="A136" s="55" t="s">
        <v>4711</v>
      </c>
      <c r="B136" s="55" t="s">
        <v>1663</v>
      </c>
      <c r="C136" s="55" t="s">
        <v>1662</v>
      </c>
      <c r="D136" s="55" t="s">
        <v>46</v>
      </c>
      <c r="E136" s="55" t="s">
        <v>4556</v>
      </c>
      <c r="F136" s="55" t="s">
        <v>4557</v>
      </c>
      <c r="G136" s="55" t="s">
        <v>4558</v>
      </c>
      <c r="H136" s="55" t="s">
        <v>21</v>
      </c>
      <c r="I136" s="55" t="s">
        <v>4566</v>
      </c>
    </row>
    <row r="137" customFormat="false" ht="15" hidden="false" customHeight="false" outlineLevel="0" collapsed="false">
      <c r="A137" s="55" t="s">
        <v>4712</v>
      </c>
      <c r="B137" s="55" t="s">
        <v>2440</v>
      </c>
      <c r="C137" s="55" t="s">
        <v>2439</v>
      </c>
      <c r="D137" s="55" t="s">
        <v>45</v>
      </c>
      <c r="E137" s="55" t="s">
        <v>4556</v>
      </c>
      <c r="F137" s="55" t="s">
        <v>4571</v>
      </c>
      <c r="G137" s="55" t="s">
        <v>4572</v>
      </c>
      <c r="H137" s="55" t="s">
        <v>21</v>
      </c>
      <c r="I137" s="55" t="s">
        <v>4566</v>
      </c>
    </row>
    <row r="138" customFormat="false" ht="15" hidden="false" customHeight="false" outlineLevel="0" collapsed="false">
      <c r="A138" s="55" t="s">
        <v>4713</v>
      </c>
      <c r="B138" s="55" t="s">
        <v>1871</v>
      </c>
      <c r="C138" s="55" t="s">
        <v>1870</v>
      </c>
      <c r="D138" s="55" t="s">
        <v>45</v>
      </c>
      <c r="E138" s="55" t="s">
        <v>4556</v>
      </c>
      <c r="F138" s="55" t="s">
        <v>4561</v>
      </c>
      <c r="G138" s="55" t="s">
        <v>4565</v>
      </c>
      <c r="H138" s="55" t="s">
        <v>21</v>
      </c>
      <c r="I138" s="55" t="s">
        <v>4566</v>
      </c>
    </row>
    <row r="139" customFormat="false" ht="15" hidden="false" customHeight="false" outlineLevel="0" collapsed="false">
      <c r="A139" s="55" t="s">
        <v>4714</v>
      </c>
      <c r="B139" s="55" t="s">
        <v>1871</v>
      </c>
      <c r="C139" s="55" t="s">
        <v>1870</v>
      </c>
      <c r="D139" s="55" t="s">
        <v>46</v>
      </c>
      <c r="E139" s="55" t="s">
        <v>4556</v>
      </c>
      <c r="F139" s="55" t="s">
        <v>4626</v>
      </c>
      <c r="G139" s="55" t="s">
        <v>4627</v>
      </c>
      <c r="H139" s="55" t="s">
        <v>21</v>
      </c>
      <c r="I139" s="55" t="s">
        <v>4628</v>
      </c>
    </row>
    <row r="140" customFormat="false" ht="15" hidden="false" customHeight="false" outlineLevel="0" collapsed="false">
      <c r="A140" s="55" t="s">
        <v>4715</v>
      </c>
      <c r="B140" s="55" t="s">
        <v>2564</v>
      </c>
      <c r="C140" s="55" t="s">
        <v>2563</v>
      </c>
      <c r="D140" s="55" t="s">
        <v>46</v>
      </c>
      <c r="E140" s="55" t="s">
        <v>4556</v>
      </c>
      <c r="F140" s="55" t="s">
        <v>4561</v>
      </c>
      <c r="G140" s="55" t="s">
        <v>4562</v>
      </c>
      <c r="H140" s="55" t="s">
        <v>17</v>
      </c>
      <c r="I140" s="55" t="s">
        <v>4563</v>
      </c>
    </row>
    <row r="141" customFormat="false" ht="15" hidden="false" customHeight="false" outlineLevel="0" collapsed="false">
      <c r="A141" s="55" t="s">
        <v>4716</v>
      </c>
      <c r="B141" s="55" t="s">
        <v>1859</v>
      </c>
      <c r="C141" s="55" t="s">
        <v>1858</v>
      </c>
      <c r="D141" s="55" t="s">
        <v>45</v>
      </c>
      <c r="E141" s="55" t="s">
        <v>4556</v>
      </c>
      <c r="F141" s="55" t="s">
        <v>4413</v>
      </c>
      <c r="G141" s="55" t="s">
        <v>4717</v>
      </c>
      <c r="H141" s="55" t="s">
        <v>21</v>
      </c>
      <c r="I141" s="55" t="s">
        <v>4566</v>
      </c>
    </row>
    <row r="142" customFormat="false" ht="15" hidden="false" customHeight="false" outlineLevel="0" collapsed="false">
      <c r="A142" s="55" t="s">
        <v>4718</v>
      </c>
      <c r="B142" s="55" t="s">
        <v>891</v>
      </c>
      <c r="C142" s="55" t="s">
        <v>890</v>
      </c>
      <c r="D142" s="55" t="s">
        <v>45</v>
      </c>
      <c r="E142" s="55" t="s">
        <v>4556</v>
      </c>
      <c r="F142" s="55" t="s">
        <v>4557</v>
      </c>
      <c r="G142" s="55" t="s">
        <v>4558</v>
      </c>
      <c r="H142" s="55" t="s">
        <v>21</v>
      </c>
      <c r="I142" s="55" t="s">
        <v>4566</v>
      </c>
    </row>
    <row r="143" customFormat="false" ht="15" hidden="false" customHeight="false" outlineLevel="0" collapsed="false">
      <c r="A143" s="55" t="s">
        <v>4719</v>
      </c>
      <c r="B143" s="55" t="s">
        <v>1191</v>
      </c>
      <c r="C143" s="55" t="s">
        <v>1190</v>
      </c>
      <c r="D143" s="55" t="s">
        <v>45</v>
      </c>
      <c r="E143" s="55" t="s">
        <v>4556</v>
      </c>
      <c r="F143" s="55" t="s">
        <v>4557</v>
      </c>
      <c r="G143" s="55" t="s">
        <v>4558</v>
      </c>
      <c r="H143" s="55" t="s">
        <v>21</v>
      </c>
      <c r="I143" s="55" t="s">
        <v>4566</v>
      </c>
    </row>
    <row r="144" customFormat="false" ht="15" hidden="false" customHeight="false" outlineLevel="0" collapsed="false">
      <c r="A144" s="55" t="s">
        <v>4720</v>
      </c>
      <c r="B144" s="55" t="s">
        <v>1270</v>
      </c>
      <c r="C144" s="55" t="s">
        <v>1269</v>
      </c>
      <c r="D144" s="55" t="s">
        <v>45</v>
      </c>
      <c r="E144" s="55" t="s">
        <v>4556</v>
      </c>
      <c r="F144" s="55" t="s">
        <v>4557</v>
      </c>
      <c r="G144" s="55" t="s">
        <v>4558</v>
      </c>
      <c r="H144" s="55" t="s">
        <v>21</v>
      </c>
      <c r="I144" s="55" t="s">
        <v>4566</v>
      </c>
    </row>
    <row r="145" customFormat="false" ht="15" hidden="false" customHeight="false" outlineLevel="0" collapsed="false">
      <c r="A145" s="55" t="s">
        <v>4721</v>
      </c>
      <c r="B145" s="55" t="s">
        <v>1270</v>
      </c>
      <c r="C145" s="55" t="s">
        <v>1269</v>
      </c>
      <c r="D145" s="55" t="s">
        <v>46</v>
      </c>
      <c r="E145" s="55" t="s">
        <v>4556</v>
      </c>
      <c r="F145" s="55" t="s">
        <v>4557</v>
      </c>
      <c r="G145" s="55" t="s">
        <v>4558</v>
      </c>
      <c r="H145" s="55" t="s">
        <v>21</v>
      </c>
      <c r="I145" s="55" t="s">
        <v>4566</v>
      </c>
    </row>
    <row r="146" customFormat="false" ht="15" hidden="false" customHeight="false" outlineLevel="0" collapsed="false">
      <c r="A146" s="55" t="s">
        <v>4722</v>
      </c>
      <c r="B146" s="55" t="s">
        <v>1835</v>
      </c>
      <c r="C146" s="55" t="s">
        <v>1834</v>
      </c>
      <c r="D146" s="55" t="s">
        <v>45</v>
      </c>
      <c r="E146" s="55" t="s">
        <v>4556</v>
      </c>
      <c r="F146" s="55" t="s">
        <v>4197</v>
      </c>
      <c r="G146" s="55" t="s">
        <v>4579</v>
      </c>
      <c r="H146" s="55" t="s">
        <v>17</v>
      </c>
      <c r="I146" s="55" t="s">
        <v>4563</v>
      </c>
    </row>
    <row r="147" customFormat="false" ht="15" hidden="false" customHeight="false" outlineLevel="0" collapsed="false">
      <c r="A147" s="55" t="s">
        <v>4723</v>
      </c>
      <c r="B147" s="55" t="s">
        <v>1835</v>
      </c>
      <c r="C147" s="55" t="s">
        <v>1834</v>
      </c>
      <c r="D147" s="55" t="s">
        <v>46</v>
      </c>
      <c r="E147" s="55" t="s">
        <v>4556</v>
      </c>
      <c r="F147" s="55" t="s">
        <v>4557</v>
      </c>
      <c r="G147" s="55" t="s">
        <v>4558</v>
      </c>
      <c r="H147" s="55" t="s">
        <v>21</v>
      </c>
      <c r="I147" s="55" t="s">
        <v>4566</v>
      </c>
    </row>
    <row r="148" customFormat="false" ht="15" hidden="false" customHeight="false" outlineLevel="0" collapsed="false">
      <c r="A148" s="55" t="s">
        <v>4724</v>
      </c>
      <c r="B148" s="55" t="s">
        <v>398</v>
      </c>
      <c r="C148" s="55" t="s">
        <v>397</v>
      </c>
      <c r="D148" s="55" t="s">
        <v>46</v>
      </c>
      <c r="E148" s="55" t="s">
        <v>4556</v>
      </c>
      <c r="F148" s="55" t="s">
        <v>4557</v>
      </c>
      <c r="G148" s="55" t="s">
        <v>4558</v>
      </c>
      <c r="H148" s="55" t="s">
        <v>21</v>
      </c>
      <c r="I148" s="55" t="s">
        <v>4566</v>
      </c>
    </row>
    <row r="149" customFormat="false" ht="15" hidden="false" customHeight="false" outlineLevel="0" collapsed="false">
      <c r="A149" s="55" t="s">
        <v>4725</v>
      </c>
      <c r="B149" s="55" t="s">
        <v>650</v>
      </c>
      <c r="C149" s="55" t="s">
        <v>649</v>
      </c>
      <c r="D149" s="55" t="s">
        <v>45</v>
      </c>
      <c r="E149" s="55" t="s">
        <v>4556</v>
      </c>
      <c r="F149" s="55" t="s">
        <v>4557</v>
      </c>
      <c r="G149" s="55" t="s">
        <v>4726</v>
      </c>
      <c r="H149" s="55" t="s">
        <v>84</v>
      </c>
      <c r="I149" s="55" t="s">
        <v>4611</v>
      </c>
    </row>
    <row r="150" customFormat="false" ht="15" hidden="false" customHeight="false" outlineLevel="0" collapsed="false">
      <c r="A150" s="55" t="s">
        <v>4727</v>
      </c>
      <c r="B150" s="55" t="s">
        <v>948</v>
      </c>
      <c r="C150" s="55" t="s">
        <v>947</v>
      </c>
      <c r="D150" s="55" t="s">
        <v>45</v>
      </c>
      <c r="E150" s="55" t="s">
        <v>4556</v>
      </c>
      <c r="F150" s="55" t="s">
        <v>4599</v>
      </c>
      <c r="G150" s="55" t="s">
        <v>4631</v>
      </c>
      <c r="H150" s="55" t="s">
        <v>21</v>
      </c>
      <c r="I150" s="55" t="s">
        <v>4632</v>
      </c>
    </row>
    <row r="151" customFormat="false" ht="15" hidden="false" customHeight="false" outlineLevel="0" collapsed="false">
      <c r="A151" s="55" t="s">
        <v>4728</v>
      </c>
      <c r="B151" s="55" t="s">
        <v>948</v>
      </c>
      <c r="C151" s="55" t="s">
        <v>947</v>
      </c>
      <c r="D151" s="55" t="s">
        <v>46</v>
      </c>
      <c r="E151" s="55" t="s">
        <v>4556</v>
      </c>
      <c r="F151" s="55" t="s">
        <v>4561</v>
      </c>
      <c r="G151" s="55" t="s">
        <v>4562</v>
      </c>
      <c r="H151" s="55" t="s">
        <v>17</v>
      </c>
      <c r="I151" s="55" t="s">
        <v>4563</v>
      </c>
    </row>
    <row r="152" customFormat="false" ht="15" hidden="false" customHeight="false" outlineLevel="0" collapsed="false">
      <c r="A152" s="55" t="s">
        <v>4729</v>
      </c>
      <c r="B152" s="55" t="s">
        <v>350</v>
      </c>
      <c r="C152" s="55" t="s">
        <v>349</v>
      </c>
      <c r="D152" s="55" t="s">
        <v>45</v>
      </c>
      <c r="E152" s="55" t="s">
        <v>4556</v>
      </c>
      <c r="F152" s="55" t="s">
        <v>4413</v>
      </c>
      <c r="G152" s="55" t="s">
        <v>4730</v>
      </c>
      <c r="H152" s="55" t="s">
        <v>17</v>
      </c>
      <c r="I152" s="55" t="s">
        <v>4731</v>
      </c>
    </row>
    <row r="153" customFormat="false" ht="15" hidden="false" customHeight="false" outlineLevel="0" collapsed="false">
      <c r="A153" s="55" t="s">
        <v>4732</v>
      </c>
      <c r="B153" s="55" t="s">
        <v>350</v>
      </c>
      <c r="C153" s="55" t="s">
        <v>349</v>
      </c>
      <c r="D153" s="55" t="s">
        <v>46</v>
      </c>
      <c r="E153" s="55" t="s">
        <v>4556</v>
      </c>
      <c r="F153" s="55" t="s">
        <v>4557</v>
      </c>
      <c r="G153" s="55" t="s">
        <v>4558</v>
      </c>
      <c r="H153" s="55" t="s">
        <v>21</v>
      </c>
      <c r="I153" s="55" t="s">
        <v>4566</v>
      </c>
    </row>
    <row r="154" customFormat="false" ht="15" hidden="false" customHeight="false" outlineLevel="0" collapsed="false">
      <c r="A154" s="55" t="s">
        <v>4733</v>
      </c>
      <c r="B154" s="55" t="s">
        <v>2065</v>
      </c>
      <c r="C154" s="55" t="s">
        <v>2064</v>
      </c>
      <c r="D154" s="55" t="s">
        <v>45</v>
      </c>
      <c r="E154" s="55" t="s">
        <v>4556</v>
      </c>
      <c r="F154" s="55" t="s">
        <v>4581</v>
      </c>
      <c r="G154" s="55" t="s">
        <v>4582</v>
      </c>
      <c r="H154" s="55" t="s">
        <v>17</v>
      </c>
      <c r="I154" s="55" t="s">
        <v>4563</v>
      </c>
    </row>
    <row r="155" customFormat="false" ht="15" hidden="false" customHeight="false" outlineLevel="0" collapsed="false">
      <c r="A155" s="55" t="s">
        <v>4734</v>
      </c>
      <c r="B155" s="55" t="s">
        <v>2792</v>
      </c>
      <c r="C155" s="55" t="s">
        <v>3344</v>
      </c>
      <c r="D155" s="55" t="s">
        <v>45</v>
      </c>
      <c r="E155" s="55" t="s">
        <v>4556</v>
      </c>
      <c r="F155" s="55" t="s">
        <v>4561</v>
      </c>
      <c r="G155" s="55" t="s">
        <v>4565</v>
      </c>
      <c r="H155" s="55" t="s">
        <v>21</v>
      </c>
      <c r="I155" s="55" t="s">
        <v>4566</v>
      </c>
    </row>
    <row r="156" customFormat="false" ht="15" hidden="false" customHeight="false" outlineLevel="0" collapsed="false">
      <c r="A156" s="55" t="s">
        <v>4735</v>
      </c>
      <c r="B156" s="55" t="s">
        <v>608</v>
      </c>
      <c r="C156" s="55" t="s">
        <v>607</v>
      </c>
      <c r="D156" s="55" t="s">
        <v>45</v>
      </c>
      <c r="E156" s="55" t="s">
        <v>4556</v>
      </c>
      <c r="F156" s="55" t="s">
        <v>4557</v>
      </c>
      <c r="G156" s="55" t="s">
        <v>4558</v>
      </c>
      <c r="H156" s="55" t="s">
        <v>21</v>
      </c>
      <c r="I156" s="55" t="s">
        <v>4566</v>
      </c>
    </row>
    <row r="157" customFormat="false" ht="15" hidden="false" customHeight="false" outlineLevel="0" collapsed="false">
      <c r="A157" s="55" t="s">
        <v>4736</v>
      </c>
      <c r="B157" s="55" t="s">
        <v>2273</v>
      </c>
      <c r="C157" s="55" t="s">
        <v>2272</v>
      </c>
      <c r="D157" s="55" t="s">
        <v>46</v>
      </c>
      <c r="E157" s="55" t="s">
        <v>4556</v>
      </c>
      <c r="F157" s="55" t="s">
        <v>4561</v>
      </c>
      <c r="G157" s="55" t="s">
        <v>4562</v>
      </c>
      <c r="H157" s="55" t="s">
        <v>17</v>
      </c>
      <c r="I157" s="55" t="s">
        <v>4563</v>
      </c>
    </row>
    <row r="158" customFormat="false" ht="15" hidden="false" customHeight="false" outlineLevel="0" collapsed="false">
      <c r="A158" s="55" t="s">
        <v>4737</v>
      </c>
      <c r="B158" s="55" t="s">
        <v>841</v>
      </c>
      <c r="C158" s="55" t="s">
        <v>840</v>
      </c>
      <c r="D158" s="55" t="s">
        <v>45</v>
      </c>
      <c r="E158" s="55" t="s">
        <v>4556</v>
      </c>
      <c r="F158" s="55" t="s">
        <v>4557</v>
      </c>
      <c r="G158" s="55" t="s">
        <v>4558</v>
      </c>
      <c r="H158" s="55" t="s">
        <v>21</v>
      </c>
      <c r="I158" s="55" t="s">
        <v>4566</v>
      </c>
    </row>
    <row r="159" customFormat="false" ht="15" hidden="false" customHeight="false" outlineLevel="0" collapsed="false">
      <c r="A159" s="55" t="s">
        <v>4738</v>
      </c>
      <c r="B159" s="55" t="s">
        <v>146</v>
      </c>
      <c r="C159" s="55" t="s">
        <v>145</v>
      </c>
      <c r="D159" s="55" t="s">
        <v>45</v>
      </c>
      <c r="E159" s="55" t="s">
        <v>4556</v>
      </c>
      <c r="F159" s="55" t="s">
        <v>4557</v>
      </c>
      <c r="G159" s="55" t="s">
        <v>4558</v>
      </c>
      <c r="H159" s="55" t="s">
        <v>21</v>
      </c>
      <c r="I159" s="55" t="s">
        <v>4566</v>
      </c>
    </row>
    <row r="160" customFormat="false" ht="15" hidden="false" customHeight="false" outlineLevel="0" collapsed="false">
      <c r="A160" s="55" t="s">
        <v>4739</v>
      </c>
      <c r="B160" s="55" t="s">
        <v>146</v>
      </c>
      <c r="C160" s="55" t="s">
        <v>145</v>
      </c>
      <c r="D160" s="55" t="s">
        <v>46</v>
      </c>
      <c r="E160" s="55" t="s">
        <v>4556</v>
      </c>
      <c r="F160" s="55" t="s">
        <v>4557</v>
      </c>
      <c r="G160" s="55" t="s">
        <v>4558</v>
      </c>
      <c r="H160" s="55" t="s">
        <v>21</v>
      </c>
      <c r="I160" s="55" t="s">
        <v>4566</v>
      </c>
    </row>
    <row r="161" customFormat="false" ht="15" hidden="false" customHeight="false" outlineLevel="0" collapsed="false">
      <c r="A161" s="55" t="s">
        <v>4740</v>
      </c>
      <c r="B161" s="55" t="s">
        <v>146</v>
      </c>
      <c r="C161" s="55" t="s">
        <v>145</v>
      </c>
      <c r="D161" s="55" t="s">
        <v>47</v>
      </c>
      <c r="E161" s="55" t="s">
        <v>4556</v>
      </c>
      <c r="F161" s="55" t="s">
        <v>4557</v>
      </c>
      <c r="G161" s="55" t="s">
        <v>4741</v>
      </c>
      <c r="H161" s="55" t="s">
        <v>84</v>
      </c>
      <c r="I161" s="55" t="s">
        <v>4611</v>
      </c>
    </row>
    <row r="162" customFormat="false" ht="15" hidden="false" customHeight="false" outlineLevel="0" collapsed="false">
      <c r="A162" s="55" t="s">
        <v>4742</v>
      </c>
      <c r="B162" s="55" t="s">
        <v>992</v>
      </c>
      <c r="C162" s="55" t="s">
        <v>991</v>
      </c>
      <c r="D162" s="55" t="s">
        <v>45</v>
      </c>
      <c r="E162" s="55" t="s">
        <v>4556</v>
      </c>
      <c r="F162" s="55" t="s">
        <v>4557</v>
      </c>
      <c r="G162" s="55" t="s">
        <v>4558</v>
      </c>
      <c r="H162" s="55" t="s">
        <v>21</v>
      </c>
      <c r="I162" s="55" t="s">
        <v>4566</v>
      </c>
    </row>
    <row r="163" customFormat="false" ht="15" hidden="false" customHeight="false" outlineLevel="0" collapsed="false">
      <c r="A163" s="55" t="s">
        <v>4743</v>
      </c>
      <c r="B163" s="55" t="s">
        <v>384</v>
      </c>
      <c r="C163" s="55" t="s">
        <v>383</v>
      </c>
      <c r="D163" s="55" t="s">
        <v>46</v>
      </c>
      <c r="E163" s="55" t="s">
        <v>4556</v>
      </c>
      <c r="F163" s="55" t="s">
        <v>4557</v>
      </c>
      <c r="G163" s="55" t="s">
        <v>4558</v>
      </c>
      <c r="H163" s="55" t="s">
        <v>21</v>
      </c>
      <c r="I163" s="55" t="s">
        <v>4559</v>
      </c>
    </row>
    <row r="164" customFormat="false" ht="15" hidden="false" customHeight="false" outlineLevel="0" collapsed="false">
      <c r="A164" s="55" t="s">
        <v>4744</v>
      </c>
      <c r="B164" s="55" t="s">
        <v>796</v>
      </c>
      <c r="C164" s="55" t="s">
        <v>795</v>
      </c>
      <c r="D164" s="55" t="s">
        <v>45</v>
      </c>
      <c r="E164" s="55" t="s">
        <v>4556</v>
      </c>
      <c r="F164" s="55" t="s">
        <v>4557</v>
      </c>
      <c r="G164" s="55" t="s">
        <v>4558</v>
      </c>
      <c r="H164" s="55" t="s">
        <v>21</v>
      </c>
      <c r="I164" s="55" t="s">
        <v>4566</v>
      </c>
    </row>
    <row r="165" customFormat="false" ht="15" hidden="false" customHeight="false" outlineLevel="0" collapsed="false">
      <c r="A165" s="55" t="s">
        <v>4745</v>
      </c>
      <c r="B165" s="55" t="s">
        <v>332</v>
      </c>
      <c r="C165" s="55" t="s">
        <v>331</v>
      </c>
      <c r="D165" s="55" t="s">
        <v>46</v>
      </c>
      <c r="E165" s="55" t="s">
        <v>4556</v>
      </c>
      <c r="F165" s="55" t="s">
        <v>4557</v>
      </c>
      <c r="G165" s="55" t="s">
        <v>4558</v>
      </c>
      <c r="H165" s="55" t="s">
        <v>21</v>
      </c>
      <c r="I165" s="55" t="s">
        <v>4566</v>
      </c>
    </row>
    <row r="166" customFormat="false" ht="15" hidden="false" customHeight="false" outlineLevel="0" collapsed="false">
      <c r="A166" s="55" t="s">
        <v>4746</v>
      </c>
      <c r="B166" s="55" t="s">
        <v>526</v>
      </c>
      <c r="C166" s="55" t="s">
        <v>525</v>
      </c>
      <c r="D166" s="55" t="s">
        <v>45</v>
      </c>
      <c r="E166" s="55" t="s">
        <v>4556</v>
      </c>
      <c r="F166" s="55" t="s">
        <v>4599</v>
      </c>
      <c r="G166" s="55" t="s">
        <v>4631</v>
      </c>
      <c r="H166" s="55" t="s">
        <v>21</v>
      </c>
      <c r="I166" s="55" t="s">
        <v>4632</v>
      </c>
    </row>
    <row r="167" customFormat="false" ht="15" hidden="false" customHeight="false" outlineLevel="0" collapsed="false">
      <c r="A167" s="55" t="s">
        <v>4747</v>
      </c>
      <c r="B167" s="55" t="s">
        <v>761</v>
      </c>
      <c r="C167" s="55" t="s">
        <v>760</v>
      </c>
      <c r="D167" s="55" t="s">
        <v>45</v>
      </c>
      <c r="E167" s="55" t="s">
        <v>4556</v>
      </c>
      <c r="F167" s="55" t="s">
        <v>4561</v>
      </c>
      <c r="G167" s="55" t="s">
        <v>4565</v>
      </c>
      <c r="H167" s="55" t="s">
        <v>21</v>
      </c>
      <c r="I167" s="55" t="s">
        <v>4566</v>
      </c>
    </row>
    <row r="168" customFormat="false" ht="15" hidden="false" customHeight="false" outlineLevel="0" collapsed="false">
      <c r="A168" s="55" t="s">
        <v>4748</v>
      </c>
      <c r="B168" s="55" t="s">
        <v>761</v>
      </c>
      <c r="C168" s="55" t="s">
        <v>760</v>
      </c>
      <c r="D168" s="55" t="s">
        <v>46</v>
      </c>
      <c r="E168" s="55" t="s">
        <v>4556</v>
      </c>
      <c r="F168" s="55" t="s">
        <v>4557</v>
      </c>
      <c r="G168" s="55" t="s">
        <v>4558</v>
      </c>
      <c r="H168" s="55" t="s">
        <v>21</v>
      </c>
      <c r="I168" s="55" t="s">
        <v>4559</v>
      </c>
    </row>
    <row r="169" customFormat="false" ht="15" hidden="false" customHeight="false" outlineLevel="0" collapsed="false">
      <c r="A169" s="55" t="s">
        <v>4749</v>
      </c>
      <c r="B169" s="55" t="s">
        <v>598</v>
      </c>
      <c r="C169" s="55" t="s">
        <v>597</v>
      </c>
      <c r="D169" s="55" t="s">
        <v>45</v>
      </c>
      <c r="E169" s="55" t="s">
        <v>4556</v>
      </c>
      <c r="F169" s="55" t="s">
        <v>4557</v>
      </c>
      <c r="G169" s="55" t="s">
        <v>4558</v>
      </c>
      <c r="H169" s="55" t="s">
        <v>21</v>
      </c>
      <c r="I169" s="55" t="s">
        <v>4566</v>
      </c>
    </row>
    <row r="170" customFormat="false" ht="15" hidden="false" customHeight="false" outlineLevel="0" collapsed="false">
      <c r="A170" s="55" t="s">
        <v>4750</v>
      </c>
      <c r="B170" s="55" t="s">
        <v>2194</v>
      </c>
      <c r="C170" s="55" t="s">
        <v>2193</v>
      </c>
      <c r="D170" s="55" t="s">
        <v>46</v>
      </c>
      <c r="E170" s="55" t="s">
        <v>4556</v>
      </c>
      <c r="F170" s="55" t="s">
        <v>4571</v>
      </c>
      <c r="G170" s="55" t="s">
        <v>4572</v>
      </c>
      <c r="H170" s="55" t="s">
        <v>21</v>
      </c>
      <c r="I170" s="55" t="s">
        <v>4566</v>
      </c>
    </row>
    <row r="171" customFormat="false" ht="15" hidden="false" customHeight="false" outlineLevel="0" collapsed="false">
      <c r="A171" s="55" t="s">
        <v>4751</v>
      </c>
      <c r="B171" s="55" t="s">
        <v>2796</v>
      </c>
      <c r="C171" s="55" t="s">
        <v>3361</v>
      </c>
      <c r="D171" s="55" t="s">
        <v>45</v>
      </c>
      <c r="E171" s="55" t="s">
        <v>4556</v>
      </c>
      <c r="F171" s="55" t="s">
        <v>4571</v>
      </c>
      <c r="G171" s="55" t="s">
        <v>4572</v>
      </c>
      <c r="H171" s="55" t="s">
        <v>21</v>
      </c>
      <c r="I171" s="55" t="s">
        <v>4566</v>
      </c>
    </row>
    <row r="172" customFormat="false" ht="15" hidden="false" customHeight="false" outlineLevel="0" collapsed="false">
      <c r="A172" s="55" t="s">
        <v>4752</v>
      </c>
      <c r="B172" s="55" t="s">
        <v>2796</v>
      </c>
      <c r="C172" s="55" t="s">
        <v>3361</v>
      </c>
      <c r="D172" s="55" t="s">
        <v>46</v>
      </c>
      <c r="E172" s="55" t="s">
        <v>4556</v>
      </c>
      <c r="F172" s="55" t="s">
        <v>4561</v>
      </c>
      <c r="G172" s="55" t="s">
        <v>4565</v>
      </c>
      <c r="H172" s="55" t="s">
        <v>21</v>
      </c>
      <c r="I172" s="55" t="s">
        <v>4566</v>
      </c>
    </row>
    <row r="173" customFormat="false" ht="15" hidden="false" customHeight="false" outlineLevel="0" collapsed="false">
      <c r="A173" s="55" t="s">
        <v>4753</v>
      </c>
      <c r="B173" s="55" t="s">
        <v>1800</v>
      </c>
      <c r="C173" s="55" t="s">
        <v>1799</v>
      </c>
      <c r="D173" s="55" t="s">
        <v>45</v>
      </c>
      <c r="E173" s="55" t="s">
        <v>4556</v>
      </c>
      <c r="F173" s="55" t="s">
        <v>4703</v>
      </c>
      <c r="G173" s="55" t="s">
        <v>4704</v>
      </c>
      <c r="H173" s="55" t="s">
        <v>21</v>
      </c>
      <c r="I173" s="55" t="s">
        <v>4566</v>
      </c>
    </row>
    <row r="174" customFormat="false" ht="15" hidden="false" customHeight="false" outlineLevel="0" collapsed="false">
      <c r="A174" s="55" t="s">
        <v>4754</v>
      </c>
      <c r="B174" s="55" t="s">
        <v>784</v>
      </c>
      <c r="C174" s="55" t="s">
        <v>783</v>
      </c>
      <c r="D174" s="55" t="s">
        <v>46</v>
      </c>
      <c r="E174" s="55" t="s">
        <v>4556</v>
      </c>
      <c r="F174" s="55" t="s">
        <v>4571</v>
      </c>
      <c r="G174" s="55" t="s">
        <v>4572</v>
      </c>
      <c r="H174" s="55" t="s">
        <v>21</v>
      </c>
      <c r="I174" s="55" t="s">
        <v>4566</v>
      </c>
    </row>
    <row r="175" customFormat="false" ht="15" hidden="false" customHeight="false" outlineLevel="0" collapsed="false">
      <c r="A175" s="55" t="s">
        <v>4755</v>
      </c>
      <c r="B175" s="55" t="s">
        <v>1011</v>
      </c>
      <c r="C175" s="55" t="s">
        <v>1010</v>
      </c>
      <c r="D175" s="55" t="s">
        <v>45</v>
      </c>
      <c r="E175" s="55" t="s">
        <v>4556</v>
      </c>
      <c r="F175" s="55" t="s">
        <v>4557</v>
      </c>
      <c r="G175" s="55" t="s">
        <v>4558</v>
      </c>
      <c r="H175" s="55" t="s">
        <v>21</v>
      </c>
      <c r="I175" s="55" t="s">
        <v>4566</v>
      </c>
    </row>
    <row r="176" customFormat="false" ht="15" hidden="false" customHeight="false" outlineLevel="0" collapsed="false">
      <c r="A176" s="55" t="s">
        <v>4756</v>
      </c>
      <c r="B176" s="55" t="s">
        <v>1230</v>
      </c>
      <c r="C176" s="55" t="s">
        <v>1229</v>
      </c>
      <c r="D176" s="55" t="s">
        <v>46</v>
      </c>
      <c r="E176" s="55" t="s">
        <v>4556</v>
      </c>
      <c r="F176" s="55" t="s">
        <v>4561</v>
      </c>
      <c r="G176" s="55" t="s">
        <v>4565</v>
      </c>
      <c r="H176" s="55" t="s">
        <v>21</v>
      </c>
      <c r="I176" s="55" t="s">
        <v>4566</v>
      </c>
    </row>
    <row r="177" customFormat="false" ht="15" hidden="false" customHeight="false" outlineLevel="0" collapsed="false">
      <c r="A177" s="55" t="s">
        <v>4757</v>
      </c>
      <c r="B177" s="55" t="s">
        <v>468</v>
      </c>
      <c r="C177" s="55" t="s">
        <v>467</v>
      </c>
      <c r="D177" s="55" t="s">
        <v>45</v>
      </c>
      <c r="E177" s="55" t="s">
        <v>4556</v>
      </c>
      <c r="F177" s="55" t="s">
        <v>4561</v>
      </c>
      <c r="G177" s="55" t="s">
        <v>4565</v>
      </c>
      <c r="H177" s="55" t="s">
        <v>21</v>
      </c>
      <c r="I177" s="55" t="s">
        <v>4758</v>
      </c>
    </row>
    <row r="178" customFormat="false" ht="15" hidden="false" customHeight="false" outlineLevel="0" collapsed="false">
      <c r="A178" s="55" t="s">
        <v>4759</v>
      </c>
      <c r="B178" s="55" t="s">
        <v>1476</v>
      </c>
      <c r="C178" s="55" t="s">
        <v>1475</v>
      </c>
      <c r="D178" s="55" t="s">
        <v>46</v>
      </c>
      <c r="E178" s="55" t="s">
        <v>4556</v>
      </c>
      <c r="F178" s="55" t="s">
        <v>4626</v>
      </c>
      <c r="G178" s="55" t="s">
        <v>4627</v>
      </c>
      <c r="H178" s="55" t="s">
        <v>21</v>
      </c>
      <c r="I178" s="55" t="s">
        <v>4628</v>
      </c>
    </row>
    <row r="179" customFormat="false" ht="15" hidden="false" customHeight="false" outlineLevel="0" collapsed="false">
      <c r="A179" s="55" t="s">
        <v>4760</v>
      </c>
      <c r="B179" s="55" t="s">
        <v>1476</v>
      </c>
      <c r="C179" s="55" t="s">
        <v>1475</v>
      </c>
      <c r="D179" s="55" t="s">
        <v>47</v>
      </c>
      <c r="E179" s="55" t="s">
        <v>4556</v>
      </c>
      <c r="F179" s="55" t="s">
        <v>4471</v>
      </c>
      <c r="G179" s="55" t="s">
        <v>4761</v>
      </c>
      <c r="H179" s="55" t="s">
        <v>17</v>
      </c>
      <c r="I179" s="55" t="s">
        <v>4762</v>
      </c>
    </row>
    <row r="180" customFormat="false" ht="15" hidden="false" customHeight="false" outlineLevel="0" collapsed="false">
      <c r="A180" s="55" t="s">
        <v>4763</v>
      </c>
      <c r="B180" s="55" t="s">
        <v>1258</v>
      </c>
      <c r="C180" s="55" t="s">
        <v>1257</v>
      </c>
      <c r="D180" s="55" t="s">
        <v>45</v>
      </c>
      <c r="E180" s="55" t="s">
        <v>4556</v>
      </c>
      <c r="F180" s="55" t="s">
        <v>4557</v>
      </c>
      <c r="G180" s="55" t="s">
        <v>4558</v>
      </c>
      <c r="H180" s="55" t="s">
        <v>21</v>
      </c>
      <c r="I180" s="55" t="s">
        <v>4566</v>
      </c>
    </row>
    <row r="181" customFormat="false" ht="15" hidden="false" customHeight="false" outlineLevel="0" collapsed="false">
      <c r="A181" s="55" t="s">
        <v>4764</v>
      </c>
      <c r="B181" s="55" t="s">
        <v>2072</v>
      </c>
      <c r="C181" s="55" t="s">
        <v>2071</v>
      </c>
      <c r="D181" s="55" t="s">
        <v>46</v>
      </c>
      <c r="E181" s="55" t="s">
        <v>4556</v>
      </c>
      <c r="F181" s="55" t="s">
        <v>4197</v>
      </c>
      <c r="G181" s="55" t="s">
        <v>4579</v>
      </c>
      <c r="H181" s="55" t="s">
        <v>17</v>
      </c>
      <c r="I181" s="55" t="s">
        <v>4563</v>
      </c>
    </row>
    <row r="182" customFormat="false" ht="15" hidden="false" customHeight="false" outlineLevel="0" collapsed="false">
      <c r="A182" s="55" t="s">
        <v>4765</v>
      </c>
      <c r="B182" s="55" t="s">
        <v>1177</v>
      </c>
      <c r="C182" s="55" t="s">
        <v>1176</v>
      </c>
      <c r="D182" s="55" t="s">
        <v>46</v>
      </c>
      <c r="E182" s="55" t="s">
        <v>4556</v>
      </c>
      <c r="F182" s="55" t="s">
        <v>4561</v>
      </c>
      <c r="G182" s="55" t="s">
        <v>4562</v>
      </c>
      <c r="H182" s="55" t="s">
        <v>17</v>
      </c>
      <c r="I182" s="55" t="s">
        <v>4563</v>
      </c>
    </row>
    <row r="183" customFormat="false" ht="15" hidden="false" customHeight="false" outlineLevel="0" collapsed="false">
      <c r="A183" s="55" t="s">
        <v>4766</v>
      </c>
      <c r="B183" s="55" t="s">
        <v>1669</v>
      </c>
      <c r="C183" s="55" t="s">
        <v>1668</v>
      </c>
      <c r="D183" s="55" t="s">
        <v>46</v>
      </c>
      <c r="E183" s="55" t="s">
        <v>4556</v>
      </c>
      <c r="F183" s="55" t="s">
        <v>4557</v>
      </c>
      <c r="G183" s="55" t="s">
        <v>4558</v>
      </c>
      <c r="H183" s="55" t="s">
        <v>21</v>
      </c>
      <c r="I183" s="55" t="s">
        <v>4566</v>
      </c>
    </row>
    <row r="184" customFormat="false" ht="15" hidden="false" customHeight="false" outlineLevel="0" collapsed="false">
      <c r="A184" s="55" t="s">
        <v>4767</v>
      </c>
      <c r="B184" s="55" t="s">
        <v>500</v>
      </c>
      <c r="C184" s="55" t="s">
        <v>499</v>
      </c>
      <c r="D184" s="55" t="s">
        <v>46</v>
      </c>
      <c r="E184" s="55" t="s">
        <v>4556</v>
      </c>
      <c r="F184" s="55" t="s">
        <v>4557</v>
      </c>
      <c r="G184" s="55" t="s">
        <v>4558</v>
      </c>
      <c r="H184" s="55" t="s">
        <v>21</v>
      </c>
      <c r="I184" s="55" t="s">
        <v>4566</v>
      </c>
    </row>
    <row r="185" customFormat="false" ht="15" hidden="false" customHeight="false" outlineLevel="0" collapsed="false">
      <c r="A185" s="55" t="s">
        <v>4768</v>
      </c>
      <c r="B185" s="55" t="s">
        <v>1132</v>
      </c>
      <c r="C185" s="55" t="s">
        <v>1131</v>
      </c>
      <c r="D185" s="55" t="s">
        <v>46</v>
      </c>
      <c r="E185" s="55" t="s">
        <v>4556</v>
      </c>
      <c r="F185" s="55" t="s">
        <v>4568</v>
      </c>
      <c r="G185" s="55" t="s">
        <v>4569</v>
      </c>
      <c r="H185" s="55" t="s">
        <v>17</v>
      </c>
      <c r="I185" s="55" t="s">
        <v>4601</v>
      </c>
    </row>
    <row r="186" customFormat="false" ht="15" hidden="false" customHeight="false" outlineLevel="0" collapsed="false">
      <c r="A186" s="55" t="s">
        <v>4769</v>
      </c>
      <c r="B186" s="55" t="s">
        <v>1532</v>
      </c>
      <c r="C186" s="55" t="s">
        <v>1531</v>
      </c>
      <c r="D186" s="55" t="s">
        <v>45</v>
      </c>
      <c r="E186" s="55" t="s">
        <v>4556</v>
      </c>
      <c r="F186" s="55" t="s">
        <v>4561</v>
      </c>
      <c r="G186" s="55" t="s">
        <v>4565</v>
      </c>
      <c r="H186" s="55" t="s">
        <v>21</v>
      </c>
      <c r="I186" s="55" t="s">
        <v>4566</v>
      </c>
    </row>
    <row r="187" customFormat="false" ht="15" hidden="false" customHeight="false" outlineLevel="0" collapsed="false">
      <c r="A187" s="55" t="s">
        <v>4770</v>
      </c>
      <c r="B187" s="55" t="s">
        <v>248</v>
      </c>
      <c r="C187" s="55" t="s">
        <v>247</v>
      </c>
      <c r="D187" s="55" t="s">
        <v>45</v>
      </c>
      <c r="E187" s="55" t="s">
        <v>4556</v>
      </c>
      <c r="F187" s="55" t="s">
        <v>4599</v>
      </c>
      <c r="G187" s="55" t="s">
        <v>4631</v>
      </c>
      <c r="H187" s="55" t="s">
        <v>21</v>
      </c>
      <c r="I187" s="55" t="s">
        <v>4632</v>
      </c>
    </row>
    <row r="188" customFormat="false" ht="15" hidden="false" customHeight="false" outlineLevel="0" collapsed="false">
      <c r="A188" s="55" t="s">
        <v>4771</v>
      </c>
      <c r="B188" s="55" t="s">
        <v>248</v>
      </c>
      <c r="C188" s="55" t="s">
        <v>247</v>
      </c>
      <c r="D188" s="55" t="s">
        <v>47</v>
      </c>
      <c r="E188" s="55" t="s">
        <v>4556</v>
      </c>
      <c r="F188" s="55" t="s">
        <v>4557</v>
      </c>
      <c r="G188" s="55" t="s">
        <v>4558</v>
      </c>
      <c r="H188" s="55" t="s">
        <v>21</v>
      </c>
      <c r="I188" s="55" t="s">
        <v>4559</v>
      </c>
    </row>
    <row r="189" customFormat="false" ht="15" hidden="false" customHeight="false" outlineLevel="0" collapsed="false">
      <c r="A189" s="55" t="s">
        <v>4772</v>
      </c>
      <c r="B189" s="55" t="s">
        <v>518</v>
      </c>
      <c r="C189" s="55" t="s">
        <v>517</v>
      </c>
      <c r="D189" s="55" t="s">
        <v>46</v>
      </c>
      <c r="E189" s="55" t="s">
        <v>4556</v>
      </c>
      <c r="F189" s="55" t="s">
        <v>4557</v>
      </c>
      <c r="G189" s="55" t="s">
        <v>4741</v>
      </c>
      <c r="H189" s="55" t="s">
        <v>84</v>
      </c>
      <c r="I189" s="55" t="s">
        <v>4611</v>
      </c>
    </row>
    <row r="190" customFormat="false" ht="15" hidden="false" customHeight="false" outlineLevel="0" collapsed="false">
      <c r="A190" s="55" t="s">
        <v>4773</v>
      </c>
      <c r="B190" s="55" t="s">
        <v>717</v>
      </c>
      <c r="C190" s="55" t="s">
        <v>716</v>
      </c>
      <c r="D190" s="55" t="s">
        <v>45</v>
      </c>
      <c r="E190" s="55" t="s">
        <v>4556</v>
      </c>
      <c r="F190" s="55" t="s">
        <v>4599</v>
      </c>
      <c r="G190" s="55" t="s">
        <v>4631</v>
      </c>
      <c r="H190" s="55" t="s">
        <v>21</v>
      </c>
      <c r="I190" s="55" t="s">
        <v>4632</v>
      </c>
    </row>
    <row r="191" customFormat="false" ht="15" hidden="false" customHeight="false" outlineLevel="0" collapsed="false">
      <c r="A191" s="55" t="s">
        <v>4774</v>
      </c>
      <c r="B191" s="55" t="s">
        <v>717</v>
      </c>
      <c r="C191" s="55" t="s">
        <v>716</v>
      </c>
      <c r="D191" s="55" t="s">
        <v>46</v>
      </c>
      <c r="E191" s="55" t="s">
        <v>4556</v>
      </c>
      <c r="F191" s="55" t="s">
        <v>4561</v>
      </c>
      <c r="G191" s="55" t="s">
        <v>4565</v>
      </c>
      <c r="H191" s="55" t="s">
        <v>21</v>
      </c>
      <c r="I191" s="55" t="s">
        <v>4566</v>
      </c>
    </row>
    <row r="192" customFormat="false" ht="15" hidden="false" customHeight="false" outlineLevel="0" collapsed="false">
      <c r="A192" s="55" t="s">
        <v>4775</v>
      </c>
      <c r="B192" s="55" t="s">
        <v>308</v>
      </c>
      <c r="C192" s="55" t="s">
        <v>307</v>
      </c>
      <c r="D192" s="55" t="s">
        <v>45</v>
      </c>
      <c r="E192" s="55" t="s">
        <v>4556</v>
      </c>
      <c r="F192" s="55" t="s">
        <v>4557</v>
      </c>
      <c r="G192" s="55" t="s">
        <v>4558</v>
      </c>
      <c r="H192" s="55" t="s">
        <v>21</v>
      </c>
      <c r="I192" s="55" t="s">
        <v>4566</v>
      </c>
    </row>
    <row r="193" customFormat="false" ht="15" hidden="false" customHeight="false" outlineLevel="0" collapsed="false">
      <c r="A193" s="55" t="s">
        <v>4776</v>
      </c>
      <c r="B193" s="55" t="s">
        <v>308</v>
      </c>
      <c r="C193" s="55" t="s">
        <v>307</v>
      </c>
      <c r="D193" s="55" t="s">
        <v>46</v>
      </c>
      <c r="E193" s="55" t="s">
        <v>4556</v>
      </c>
      <c r="F193" s="55" t="s">
        <v>4557</v>
      </c>
      <c r="G193" s="55" t="s">
        <v>4558</v>
      </c>
      <c r="H193" s="55" t="s">
        <v>21</v>
      </c>
      <c r="I193" s="55" t="s">
        <v>4566</v>
      </c>
    </row>
    <row r="194" customFormat="false" ht="15" hidden="false" customHeight="false" outlineLevel="0" collapsed="false">
      <c r="A194" s="55" t="s">
        <v>4777</v>
      </c>
      <c r="B194" s="55" t="s">
        <v>1752</v>
      </c>
      <c r="C194" s="55" t="s">
        <v>1751</v>
      </c>
      <c r="D194" s="55" t="s">
        <v>45</v>
      </c>
      <c r="E194" s="55" t="s">
        <v>4556</v>
      </c>
      <c r="F194" s="55" t="s">
        <v>4571</v>
      </c>
      <c r="G194" s="55" t="s">
        <v>4572</v>
      </c>
      <c r="H194" s="55" t="s">
        <v>21</v>
      </c>
      <c r="I194" s="55" t="s">
        <v>4566</v>
      </c>
    </row>
    <row r="195" customFormat="false" ht="15" hidden="false" customHeight="false" outlineLevel="0" collapsed="false">
      <c r="A195" s="55" t="s">
        <v>4778</v>
      </c>
      <c r="B195" s="55" t="s">
        <v>1752</v>
      </c>
      <c r="C195" s="55" t="s">
        <v>1751</v>
      </c>
      <c r="D195" s="55" t="s">
        <v>46</v>
      </c>
      <c r="E195" s="55" t="s">
        <v>4556</v>
      </c>
      <c r="F195" s="55" t="s">
        <v>4557</v>
      </c>
      <c r="G195" s="55" t="s">
        <v>4558</v>
      </c>
      <c r="H195" s="55" t="s">
        <v>21</v>
      </c>
      <c r="I195" s="55" t="s">
        <v>4566</v>
      </c>
    </row>
    <row r="196" customFormat="false" ht="15" hidden="false" customHeight="false" outlineLevel="0" collapsed="false">
      <c r="A196" s="55" t="s">
        <v>4779</v>
      </c>
      <c r="B196" s="55" t="s">
        <v>855</v>
      </c>
      <c r="C196" s="55" t="s">
        <v>854</v>
      </c>
      <c r="D196" s="55" t="s">
        <v>45</v>
      </c>
      <c r="E196" s="55" t="s">
        <v>4556</v>
      </c>
      <c r="F196" s="55" t="s">
        <v>4557</v>
      </c>
      <c r="G196" s="55" t="s">
        <v>4558</v>
      </c>
      <c r="H196" s="55" t="s">
        <v>21</v>
      </c>
      <c r="I196" s="55" t="s">
        <v>4566</v>
      </c>
    </row>
    <row r="197" customFormat="false" ht="15" hidden="false" customHeight="false" outlineLevel="0" collapsed="false">
      <c r="A197" s="55" t="s">
        <v>4780</v>
      </c>
      <c r="B197" s="55" t="s">
        <v>392</v>
      </c>
      <c r="C197" s="55" t="s">
        <v>391</v>
      </c>
      <c r="D197" s="55" t="s">
        <v>45</v>
      </c>
      <c r="E197" s="55" t="s">
        <v>4556</v>
      </c>
      <c r="F197" s="55" t="s">
        <v>4413</v>
      </c>
      <c r="G197" s="55" t="s">
        <v>4717</v>
      </c>
      <c r="H197" s="55" t="s">
        <v>21</v>
      </c>
      <c r="I197" s="55" t="s">
        <v>4781</v>
      </c>
    </row>
    <row r="198" customFormat="false" ht="15" hidden="false" customHeight="false" outlineLevel="0" collapsed="false">
      <c r="A198" s="55" t="s">
        <v>4782</v>
      </c>
      <c r="B198" s="55" t="s">
        <v>348</v>
      </c>
      <c r="C198" s="55" t="s">
        <v>347</v>
      </c>
      <c r="D198" s="55" t="s">
        <v>46</v>
      </c>
      <c r="E198" s="55" t="s">
        <v>4556</v>
      </c>
      <c r="F198" s="55" t="s">
        <v>4557</v>
      </c>
      <c r="G198" s="55" t="s">
        <v>4558</v>
      </c>
      <c r="H198" s="55" t="s">
        <v>21</v>
      </c>
      <c r="I198" s="55" t="s">
        <v>4566</v>
      </c>
    </row>
    <row r="199" customFormat="false" ht="15" hidden="false" customHeight="false" outlineLevel="0" collapsed="false">
      <c r="A199" s="55" t="s">
        <v>4783</v>
      </c>
      <c r="B199" s="55" t="s">
        <v>592</v>
      </c>
      <c r="C199" s="55" t="s">
        <v>591</v>
      </c>
      <c r="D199" s="55" t="s">
        <v>46</v>
      </c>
      <c r="E199" s="55" t="s">
        <v>4556</v>
      </c>
      <c r="F199" s="55" t="s">
        <v>4557</v>
      </c>
      <c r="G199" s="55" t="s">
        <v>4741</v>
      </c>
      <c r="H199" s="55" t="s">
        <v>84</v>
      </c>
      <c r="I199" s="55" t="s">
        <v>4611</v>
      </c>
    </row>
    <row r="200" customFormat="false" ht="15" hidden="false" customHeight="false" outlineLevel="0" collapsed="false">
      <c r="A200" s="55" t="s">
        <v>4784</v>
      </c>
      <c r="B200" s="55" t="s">
        <v>592</v>
      </c>
      <c r="C200" s="55" t="s">
        <v>591</v>
      </c>
      <c r="D200" s="55" t="s">
        <v>47</v>
      </c>
      <c r="E200" s="55" t="s">
        <v>4556</v>
      </c>
      <c r="F200" s="55" t="s">
        <v>4557</v>
      </c>
      <c r="G200" s="55" t="s">
        <v>4558</v>
      </c>
      <c r="H200" s="55" t="s">
        <v>21</v>
      </c>
      <c r="I200" s="55" t="s">
        <v>4566</v>
      </c>
    </row>
    <row r="201" customFormat="false" ht="15" hidden="false" customHeight="false" outlineLevel="0" collapsed="false">
      <c r="A201" s="55" t="s">
        <v>4785</v>
      </c>
      <c r="B201" s="55" t="s">
        <v>2812</v>
      </c>
      <c r="C201" s="55" t="s">
        <v>3400</v>
      </c>
      <c r="D201" s="55" t="s">
        <v>45</v>
      </c>
      <c r="E201" s="55" t="s">
        <v>4556</v>
      </c>
      <c r="F201" s="55" t="s">
        <v>4561</v>
      </c>
      <c r="G201" s="55" t="s">
        <v>4565</v>
      </c>
      <c r="H201" s="55" t="s">
        <v>21</v>
      </c>
      <c r="I201" s="55" t="s">
        <v>4566</v>
      </c>
    </row>
    <row r="202" customFormat="false" ht="15" hidden="false" customHeight="false" outlineLevel="0" collapsed="false">
      <c r="A202" s="55" t="s">
        <v>4786</v>
      </c>
      <c r="B202" s="55" t="s">
        <v>502</v>
      </c>
      <c r="C202" s="55" t="s">
        <v>501</v>
      </c>
      <c r="D202" s="55" t="s">
        <v>47</v>
      </c>
      <c r="E202" s="55" t="s">
        <v>4556</v>
      </c>
      <c r="F202" s="55" t="s">
        <v>4197</v>
      </c>
      <c r="G202" s="55" t="s">
        <v>4589</v>
      </c>
      <c r="H202" s="55" t="s">
        <v>21</v>
      </c>
      <c r="I202" s="55" t="s">
        <v>4613</v>
      </c>
    </row>
    <row r="203" customFormat="false" ht="15" hidden="false" customHeight="false" outlineLevel="0" collapsed="false">
      <c r="A203" s="55" t="s">
        <v>4787</v>
      </c>
      <c r="B203" s="55" t="s">
        <v>1808</v>
      </c>
      <c r="C203" s="55" t="s">
        <v>1807</v>
      </c>
      <c r="D203" s="55" t="s">
        <v>46</v>
      </c>
      <c r="E203" s="55" t="s">
        <v>4556</v>
      </c>
      <c r="F203" s="55" t="s">
        <v>4557</v>
      </c>
      <c r="G203" s="55" t="s">
        <v>4558</v>
      </c>
      <c r="H203" s="55" t="s">
        <v>21</v>
      </c>
      <c r="I203" s="55" t="s">
        <v>4566</v>
      </c>
    </row>
    <row r="204" customFormat="false" ht="15" hidden="false" customHeight="false" outlineLevel="0" collapsed="false">
      <c r="A204" s="55" t="s">
        <v>4788</v>
      </c>
      <c r="B204" s="55" t="s">
        <v>945</v>
      </c>
      <c r="C204" s="55" t="s">
        <v>944</v>
      </c>
      <c r="D204" s="55" t="s">
        <v>46</v>
      </c>
      <c r="E204" s="55" t="s">
        <v>4556</v>
      </c>
      <c r="F204" s="55" t="s">
        <v>4557</v>
      </c>
      <c r="G204" s="55" t="s">
        <v>4558</v>
      </c>
      <c r="H204" s="55" t="s">
        <v>21</v>
      </c>
      <c r="I204" s="55" t="s">
        <v>4566</v>
      </c>
    </row>
    <row r="205" customFormat="false" ht="15" hidden="false" customHeight="false" outlineLevel="0" collapsed="false">
      <c r="A205" s="55" t="s">
        <v>4789</v>
      </c>
      <c r="B205" s="55" t="s">
        <v>945</v>
      </c>
      <c r="C205" s="55" t="s">
        <v>944</v>
      </c>
      <c r="D205" s="55" t="s">
        <v>47</v>
      </c>
      <c r="E205" s="55" t="s">
        <v>4556</v>
      </c>
      <c r="F205" s="55" t="s">
        <v>4571</v>
      </c>
      <c r="G205" s="55" t="s">
        <v>4572</v>
      </c>
      <c r="H205" s="55" t="s">
        <v>21</v>
      </c>
      <c r="I205" s="55" t="s">
        <v>4566</v>
      </c>
    </row>
    <row r="206" customFormat="false" ht="15" hidden="false" customHeight="false" outlineLevel="0" collapsed="false">
      <c r="A206" s="55" t="s">
        <v>4790</v>
      </c>
      <c r="B206" s="55" t="s">
        <v>260</v>
      </c>
      <c r="C206" s="55" t="s">
        <v>259</v>
      </c>
      <c r="D206" s="55" t="s">
        <v>46</v>
      </c>
      <c r="E206" s="55" t="s">
        <v>4556</v>
      </c>
      <c r="F206" s="55" t="s">
        <v>4557</v>
      </c>
      <c r="G206" s="55" t="s">
        <v>4558</v>
      </c>
      <c r="H206" s="55" t="s">
        <v>21</v>
      </c>
      <c r="I206" s="55" t="s">
        <v>4566</v>
      </c>
    </row>
    <row r="207" customFormat="false" ht="15" hidden="false" customHeight="false" outlineLevel="0" collapsed="false">
      <c r="A207" s="55" t="s">
        <v>4791</v>
      </c>
      <c r="B207" s="55" t="s">
        <v>260</v>
      </c>
      <c r="C207" s="55" t="s">
        <v>259</v>
      </c>
      <c r="D207" s="55" t="s">
        <v>47</v>
      </c>
      <c r="E207" s="55" t="s">
        <v>4556</v>
      </c>
      <c r="F207" s="55" t="s">
        <v>4557</v>
      </c>
      <c r="G207" s="55" t="s">
        <v>4650</v>
      </c>
      <c r="H207" s="55" t="s">
        <v>17</v>
      </c>
      <c r="I207" s="55" t="s">
        <v>4601</v>
      </c>
    </row>
    <row r="208" customFormat="false" ht="15" hidden="false" customHeight="false" outlineLevel="0" collapsed="false">
      <c r="A208" s="55" t="s">
        <v>4792</v>
      </c>
      <c r="B208" s="55" t="s">
        <v>2242</v>
      </c>
      <c r="C208" s="55" t="s">
        <v>2241</v>
      </c>
      <c r="D208" s="55" t="s">
        <v>46</v>
      </c>
      <c r="E208" s="55" t="s">
        <v>4556</v>
      </c>
      <c r="F208" s="55" t="s">
        <v>4561</v>
      </c>
      <c r="G208" s="55" t="s">
        <v>4565</v>
      </c>
      <c r="H208" s="55" t="s">
        <v>21</v>
      </c>
      <c r="I208" s="55" t="s">
        <v>4566</v>
      </c>
    </row>
    <row r="209" customFormat="false" ht="15" hidden="false" customHeight="false" outlineLevel="0" collapsed="false">
      <c r="A209" s="55" t="s">
        <v>4793</v>
      </c>
      <c r="B209" s="55" t="s">
        <v>2817</v>
      </c>
      <c r="C209" s="55" t="s">
        <v>3410</v>
      </c>
      <c r="D209" s="55" t="s">
        <v>46</v>
      </c>
      <c r="E209" s="55" t="s">
        <v>4556</v>
      </c>
      <c r="F209" s="55" t="s">
        <v>4561</v>
      </c>
      <c r="G209" s="55" t="s">
        <v>4562</v>
      </c>
      <c r="H209" s="55" t="s">
        <v>17</v>
      </c>
      <c r="I209" s="55" t="s">
        <v>4563</v>
      </c>
    </row>
    <row r="210" customFormat="false" ht="15" hidden="false" customHeight="false" outlineLevel="0" collapsed="false">
      <c r="A210" s="55" t="s">
        <v>4794</v>
      </c>
      <c r="B210" s="55" t="s">
        <v>834</v>
      </c>
      <c r="C210" s="55" t="s">
        <v>833</v>
      </c>
      <c r="D210" s="55" t="s">
        <v>45</v>
      </c>
      <c r="E210" s="55" t="s">
        <v>4556</v>
      </c>
      <c r="F210" s="55" t="s">
        <v>4557</v>
      </c>
      <c r="G210" s="55" t="s">
        <v>4558</v>
      </c>
      <c r="H210" s="55" t="s">
        <v>21</v>
      </c>
      <c r="I210" s="55" t="s">
        <v>4566</v>
      </c>
    </row>
    <row r="211" customFormat="false" ht="15" hidden="false" customHeight="false" outlineLevel="0" collapsed="false">
      <c r="A211" s="55" t="s">
        <v>4795</v>
      </c>
      <c r="B211" s="55" t="s">
        <v>834</v>
      </c>
      <c r="C211" s="55" t="s">
        <v>833</v>
      </c>
      <c r="D211" s="55" t="s">
        <v>46</v>
      </c>
      <c r="E211" s="55" t="s">
        <v>4556</v>
      </c>
      <c r="F211" s="55" t="s">
        <v>4561</v>
      </c>
      <c r="G211" s="55" t="s">
        <v>4562</v>
      </c>
      <c r="H211" s="55" t="s">
        <v>17</v>
      </c>
      <c r="I211" s="55" t="s">
        <v>4563</v>
      </c>
    </row>
    <row r="212" customFormat="false" ht="15" hidden="false" customHeight="false" outlineLevel="0" collapsed="false">
      <c r="A212" s="55" t="s">
        <v>4796</v>
      </c>
      <c r="B212" s="55" t="s">
        <v>1062</v>
      </c>
      <c r="C212" s="55" t="s">
        <v>1061</v>
      </c>
      <c r="D212" s="55" t="s">
        <v>45</v>
      </c>
      <c r="E212" s="55" t="s">
        <v>4556</v>
      </c>
      <c r="F212" s="55" t="s">
        <v>4557</v>
      </c>
      <c r="G212" s="55" t="s">
        <v>4558</v>
      </c>
      <c r="H212" s="55" t="s">
        <v>21</v>
      </c>
      <c r="I212" s="55" t="s">
        <v>4566</v>
      </c>
    </row>
    <row r="213" customFormat="false" ht="15" hidden="false" customHeight="false" outlineLevel="0" collapsed="false">
      <c r="A213" s="55" t="s">
        <v>4797</v>
      </c>
      <c r="B213" s="55" t="s">
        <v>1062</v>
      </c>
      <c r="C213" s="55" t="s">
        <v>1061</v>
      </c>
      <c r="D213" s="55" t="s">
        <v>46</v>
      </c>
      <c r="E213" s="55" t="s">
        <v>4556</v>
      </c>
      <c r="F213" s="55" t="s">
        <v>4561</v>
      </c>
      <c r="G213" s="55" t="s">
        <v>4562</v>
      </c>
      <c r="H213" s="55" t="s">
        <v>17</v>
      </c>
      <c r="I213" s="55" t="s">
        <v>4563</v>
      </c>
    </row>
    <row r="214" customFormat="false" ht="15" hidden="false" customHeight="false" outlineLevel="0" collapsed="false">
      <c r="A214" s="55" t="s">
        <v>4798</v>
      </c>
      <c r="B214" s="55" t="s">
        <v>771</v>
      </c>
      <c r="C214" s="55" t="s">
        <v>770</v>
      </c>
      <c r="D214" s="55" t="s">
        <v>45</v>
      </c>
      <c r="E214" s="55" t="s">
        <v>4556</v>
      </c>
      <c r="F214" s="55" t="s">
        <v>4557</v>
      </c>
      <c r="G214" s="55" t="s">
        <v>4558</v>
      </c>
      <c r="H214" s="55" t="s">
        <v>21</v>
      </c>
      <c r="I214" s="55" t="s">
        <v>4566</v>
      </c>
    </row>
    <row r="215" customFormat="false" ht="15" hidden="false" customHeight="false" outlineLevel="0" collapsed="false">
      <c r="A215" s="55" t="s">
        <v>4799</v>
      </c>
      <c r="B215" s="55" t="s">
        <v>771</v>
      </c>
      <c r="C215" s="55" t="s">
        <v>770</v>
      </c>
      <c r="D215" s="55" t="s">
        <v>46</v>
      </c>
      <c r="E215" s="55" t="s">
        <v>4556</v>
      </c>
      <c r="F215" s="55" t="s">
        <v>4571</v>
      </c>
      <c r="G215" s="55" t="s">
        <v>4572</v>
      </c>
      <c r="H215" s="55" t="s">
        <v>21</v>
      </c>
      <c r="I215" s="55" t="s">
        <v>4566</v>
      </c>
    </row>
    <row r="216" customFormat="false" ht="15" hidden="false" customHeight="false" outlineLevel="0" collapsed="false">
      <c r="A216" s="55" t="s">
        <v>4800</v>
      </c>
      <c r="B216" s="55" t="s">
        <v>771</v>
      </c>
      <c r="C216" s="55" t="s">
        <v>770</v>
      </c>
      <c r="D216" s="55" t="s">
        <v>47</v>
      </c>
      <c r="E216" s="55" t="s">
        <v>4556</v>
      </c>
      <c r="F216" s="55" t="s">
        <v>4557</v>
      </c>
      <c r="G216" s="55" t="s">
        <v>4558</v>
      </c>
      <c r="H216" s="55" t="s">
        <v>21</v>
      </c>
      <c r="I216" s="55" t="s">
        <v>4559</v>
      </c>
    </row>
    <row r="217" customFormat="false" ht="15" hidden="false" customHeight="false" outlineLevel="0" collapsed="false">
      <c r="A217" s="55" t="s">
        <v>4801</v>
      </c>
      <c r="B217" s="55" t="s">
        <v>741</v>
      </c>
      <c r="C217" s="55" t="s">
        <v>740</v>
      </c>
      <c r="D217" s="55" t="s">
        <v>45</v>
      </c>
      <c r="E217" s="55" t="s">
        <v>4556</v>
      </c>
      <c r="F217" s="55" t="s">
        <v>4557</v>
      </c>
      <c r="G217" s="55" t="s">
        <v>4558</v>
      </c>
      <c r="H217" s="55" t="s">
        <v>21</v>
      </c>
      <c r="I217" s="55" t="s">
        <v>4566</v>
      </c>
    </row>
    <row r="218" customFormat="false" ht="15" hidden="false" customHeight="false" outlineLevel="0" collapsed="false">
      <c r="A218" s="55" t="s">
        <v>4802</v>
      </c>
      <c r="B218" s="55" t="s">
        <v>741</v>
      </c>
      <c r="C218" s="55" t="s">
        <v>740</v>
      </c>
      <c r="D218" s="55" t="s">
        <v>46</v>
      </c>
      <c r="E218" s="55" t="s">
        <v>4556</v>
      </c>
      <c r="F218" s="55" t="s">
        <v>4557</v>
      </c>
      <c r="G218" s="55" t="s">
        <v>4558</v>
      </c>
      <c r="H218" s="55" t="s">
        <v>21</v>
      </c>
      <c r="I218" s="55" t="s">
        <v>4566</v>
      </c>
    </row>
    <row r="219" customFormat="false" ht="15" hidden="false" customHeight="false" outlineLevel="0" collapsed="false">
      <c r="A219" s="55" t="s">
        <v>4803</v>
      </c>
      <c r="B219" s="55" t="s">
        <v>1173</v>
      </c>
      <c r="C219" s="55" t="s">
        <v>1172</v>
      </c>
      <c r="D219" s="55" t="s">
        <v>46</v>
      </c>
      <c r="E219" s="55" t="s">
        <v>4556</v>
      </c>
      <c r="F219" s="55" t="s">
        <v>4557</v>
      </c>
      <c r="G219" s="55" t="s">
        <v>4558</v>
      </c>
      <c r="H219" s="55" t="s">
        <v>21</v>
      </c>
      <c r="I219" s="55" t="s">
        <v>4566</v>
      </c>
    </row>
    <row r="220" customFormat="false" ht="15" hidden="false" customHeight="false" outlineLevel="0" collapsed="false">
      <c r="A220" s="55" t="s">
        <v>4804</v>
      </c>
      <c r="B220" s="55" t="s">
        <v>230</v>
      </c>
      <c r="C220" s="55" t="s">
        <v>229</v>
      </c>
      <c r="D220" s="55" t="s">
        <v>45</v>
      </c>
      <c r="E220" s="55" t="s">
        <v>4556</v>
      </c>
      <c r="F220" s="55" t="s">
        <v>4557</v>
      </c>
      <c r="G220" s="55" t="s">
        <v>4558</v>
      </c>
      <c r="H220" s="55" t="s">
        <v>21</v>
      </c>
      <c r="I220" s="55" t="s">
        <v>4566</v>
      </c>
    </row>
    <row r="221" customFormat="false" ht="15" hidden="false" customHeight="false" outlineLevel="0" collapsed="false">
      <c r="A221" s="55" t="s">
        <v>4805</v>
      </c>
      <c r="B221" s="55" t="s">
        <v>208</v>
      </c>
      <c r="C221" s="55" t="s">
        <v>207</v>
      </c>
      <c r="D221" s="55" t="s">
        <v>45</v>
      </c>
      <c r="E221" s="55" t="s">
        <v>4556</v>
      </c>
      <c r="F221" s="55" t="s">
        <v>4557</v>
      </c>
      <c r="G221" s="55" t="s">
        <v>4558</v>
      </c>
      <c r="H221" s="55" t="s">
        <v>21</v>
      </c>
      <c r="I221" s="55" t="s">
        <v>4566</v>
      </c>
    </row>
    <row r="222" customFormat="false" ht="15" hidden="false" customHeight="false" outlineLevel="0" collapsed="false">
      <c r="A222" s="55" t="s">
        <v>4806</v>
      </c>
      <c r="B222" s="55" t="s">
        <v>1660</v>
      </c>
      <c r="C222" s="55" t="s">
        <v>1659</v>
      </c>
      <c r="D222" s="55" t="s">
        <v>45</v>
      </c>
      <c r="E222" s="55" t="s">
        <v>4556</v>
      </c>
      <c r="F222" s="55" t="s">
        <v>4703</v>
      </c>
      <c r="G222" s="55" t="s">
        <v>4704</v>
      </c>
      <c r="H222" s="55" t="s">
        <v>21</v>
      </c>
      <c r="I222" s="55" t="s">
        <v>4566</v>
      </c>
    </row>
    <row r="223" customFormat="false" ht="15" hidden="false" customHeight="false" outlineLevel="0" collapsed="false">
      <c r="A223" s="55" t="s">
        <v>4807</v>
      </c>
      <c r="B223" s="55" t="s">
        <v>1660</v>
      </c>
      <c r="C223" s="55" t="s">
        <v>1659</v>
      </c>
      <c r="D223" s="55" t="s">
        <v>46</v>
      </c>
      <c r="E223" s="55" t="s">
        <v>4556</v>
      </c>
      <c r="F223" s="55" t="s">
        <v>4557</v>
      </c>
      <c r="G223" s="55" t="s">
        <v>4558</v>
      </c>
      <c r="H223" s="55" t="s">
        <v>21</v>
      </c>
      <c r="I223" s="55" t="s">
        <v>4566</v>
      </c>
    </row>
    <row r="224" customFormat="false" ht="15" hidden="false" customHeight="false" outlineLevel="0" collapsed="false">
      <c r="A224" s="55" t="s">
        <v>4808</v>
      </c>
      <c r="B224" s="55" t="s">
        <v>728</v>
      </c>
      <c r="C224" s="55" t="s">
        <v>727</v>
      </c>
      <c r="D224" s="55" t="s">
        <v>45</v>
      </c>
      <c r="E224" s="55" t="s">
        <v>4556</v>
      </c>
      <c r="F224" s="55" t="s">
        <v>4626</v>
      </c>
      <c r="G224" s="55" t="s">
        <v>4627</v>
      </c>
      <c r="H224" s="55" t="s">
        <v>21</v>
      </c>
      <c r="I224" s="55" t="s">
        <v>4628</v>
      </c>
    </row>
    <row r="225" customFormat="false" ht="15" hidden="false" customHeight="false" outlineLevel="0" collapsed="false">
      <c r="A225" s="55" t="s">
        <v>4809</v>
      </c>
      <c r="B225" s="55" t="s">
        <v>728</v>
      </c>
      <c r="C225" s="55" t="s">
        <v>727</v>
      </c>
      <c r="D225" s="55" t="s">
        <v>46</v>
      </c>
      <c r="E225" s="55" t="s">
        <v>4556</v>
      </c>
      <c r="F225" s="55" t="s">
        <v>4561</v>
      </c>
      <c r="G225" s="55" t="s">
        <v>4565</v>
      </c>
      <c r="H225" s="55" t="s">
        <v>21</v>
      </c>
      <c r="I225" s="55" t="s">
        <v>4566</v>
      </c>
    </row>
    <row r="226" customFormat="false" ht="15" hidden="false" customHeight="false" outlineLevel="0" collapsed="false">
      <c r="A226" s="55" t="s">
        <v>4810</v>
      </c>
      <c r="B226" s="55" t="s">
        <v>728</v>
      </c>
      <c r="C226" s="55" t="s">
        <v>727</v>
      </c>
      <c r="D226" s="55" t="s">
        <v>47</v>
      </c>
      <c r="E226" s="55" t="s">
        <v>4556</v>
      </c>
      <c r="F226" s="55" t="s">
        <v>4557</v>
      </c>
      <c r="G226" s="55" t="s">
        <v>4650</v>
      </c>
      <c r="H226" s="55" t="s">
        <v>17</v>
      </c>
      <c r="I226" s="55" t="s">
        <v>4601</v>
      </c>
    </row>
    <row r="227" customFormat="false" ht="15" hidden="false" customHeight="false" outlineLevel="0" collapsed="false">
      <c r="A227" s="55" t="s">
        <v>4811</v>
      </c>
      <c r="B227" s="55" t="s">
        <v>124</v>
      </c>
      <c r="C227" s="55" t="s">
        <v>123</v>
      </c>
      <c r="D227" s="55" t="s">
        <v>46</v>
      </c>
      <c r="E227" s="55" t="s">
        <v>4556</v>
      </c>
      <c r="F227" s="55" t="s">
        <v>4557</v>
      </c>
      <c r="G227" s="55" t="s">
        <v>4558</v>
      </c>
      <c r="H227" s="55" t="s">
        <v>21</v>
      </c>
      <c r="I227" s="55" t="s">
        <v>4566</v>
      </c>
    </row>
    <row r="228" customFormat="false" ht="15" hidden="false" customHeight="false" outlineLevel="0" collapsed="false">
      <c r="A228" s="55" t="s">
        <v>4812</v>
      </c>
      <c r="B228" s="55" t="s">
        <v>2581</v>
      </c>
      <c r="C228" s="55" t="s">
        <v>2580</v>
      </c>
      <c r="D228" s="55" t="s">
        <v>46</v>
      </c>
      <c r="E228" s="55" t="s">
        <v>4556</v>
      </c>
      <c r="F228" s="55" t="s">
        <v>4813</v>
      </c>
      <c r="G228" s="55" t="s">
        <v>4814</v>
      </c>
      <c r="H228" s="55" t="s">
        <v>17</v>
      </c>
      <c r="I228" s="55" t="s">
        <v>4563</v>
      </c>
    </row>
    <row r="229" customFormat="false" ht="15" hidden="false" customHeight="false" outlineLevel="0" collapsed="false">
      <c r="A229" s="55" t="s">
        <v>4815</v>
      </c>
      <c r="B229" s="55" t="s">
        <v>1517</v>
      </c>
      <c r="C229" s="55" t="s">
        <v>1516</v>
      </c>
      <c r="D229" s="55" t="s">
        <v>46</v>
      </c>
      <c r="E229" s="55" t="s">
        <v>4556</v>
      </c>
      <c r="F229" s="55" t="s">
        <v>4557</v>
      </c>
      <c r="G229" s="55" t="s">
        <v>4558</v>
      </c>
      <c r="H229" s="55" t="s">
        <v>21</v>
      </c>
      <c r="I229" s="55" t="s">
        <v>4566</v>
      </c>
    </row>
    <row r="230" customFormat="false" ht="15" hidden="false" customHeight="false" outlineLevel="0" collapsed="false">
      <c r="A230" s="55" t="s">
        <v>4816</v>
      </c>
      <c r="B230" s="55" t="s">
        <v>1246</v>
      </c>
      <c r="C230" s="55" t="s">
        <v>1245</v>
      </c>
      <c r="D230" s="55" t="s">
        <v>45</v>
      </c>
      <c r="E230" s="55" t="s">
        <v>4556</v>
      </c>
      <c r="F230" s="55" t="s">
        <v>4557</v>
      </c>
      <c r="G230" s="55" t="s">
        <v>4558</v>
      </c>
      <c r="H230" s="55" t="s">
        <v>21</v>
      </c>
      <c r="I230" s="55" t="s">
        <v>4566</v>
      </c>
    </row>
    <row r="231" customFormat="false" ht="15" hidden="false" customHeight="false" outlineLevel="0" collapsed="false">
      <c r="A231" s="55" t="s">
        <v>4817</v>
      </c>
      <c r="B231" s="55" t="s">
        <v>1246</v>
      </c>
      <c r="C231" s="55" t="s">
        <v>1245</v>
      </c>
      <c r="D231" s="55" t="s">
        <v>46</v>
      </c>
      <c r="E231" s="55" t="s">
        <v>4556</v>
      </c>
      <c r="F231" s="55" t="s">
        <v>4561</v>
      </c>
      <c r="G231" s="55" t="s">
        <v>4565</v>
      </c>
      <c r="H231" s="55" t="s">
        <v>21</v>
      </c>
      <c r="I231" s="55" t="s">
        <v>4566</v>
      </c>
    </row>
    <row r="232" customFormat="false" ht="15" hidden="false" customHeight="false" outlineLevel="0" collapsed="false">
      <c r="A232" s="55" t="s">
        <v>4818</v>
      </c>
      <c r="B232" s="55" t="s">
        <v>1522</v>
      </c>
      <c r="C232" s="55" t="s">
        <v>1521</v>
      </c>
      <c r="D232" s="55" t="s">
        <v>45</v>
      </c>
      <c r="E232" s="55" t="s">
        <v>4556</v>
      </c>
      <c r="F232" s="55" t="s">
        <v>4561</v>
      </c>
      <c r="G232" s="55" t="s">
        <v>4565</v>
      </c>
      <c r="H232" s="55" t="s">
        <v>21</v>
      </c>
      <c r="I232" s="55" t="s">
        <v>4559</v>
      </c>
    </row>
    <row r="233" customFormat="false" ht="15" hidden="false" customHeight="false" outlineLevel="0" collapsed="false">
      <c r="A233" s="55" t="s">
        <v>4819</v>
      </c>
      <c r="B233" s="55" t="s">
        <v>1522</v>
      </c>
      <c r="C233" s="55" t="s">
        <v>1521</v>
      </c>
      <c r="D233" s="55" t="s">
        <v>46</v>
      </c>
      <c r="E233" s="55" t="s">
        <v>4556</v>
      </c>
      <c r="F233" s="55" t="s">
        <v>4557</v>
      </c>
      <c r="G233" s="55" t="s">
        <v>4558</v>
      </c>
      <c r="H233" s="55" t="s">
        <v>21</v>
      </c>
      <c r="I233" s="55" t="s">
        <v>4559</v>
      </c>
    </row>
    <row r="234" customFormat="false" ht="15" hidden="false" customHeight="false" outlineLevel="0" collapsed="false">
      <c r="A234" s="55" t="s">
        <v>4820</v>
      </c>
      <c r="B234" s="55" t="s">
        <v>1657</v>
      </c>
      <c r="C234" s="55" t="s">
        <v>1656</v>
      </c>
      <c r="D234" s="55" t="s">
        <v>46</v>
      </c>
      <c r="E234" s="55" t="s">
        <v>4556</v>
      </c>
      <c r="F234" s="55" t="s">
        <v>4557</v>
      </c>
      <c r="G234" s="55" t="s">
        <v>4558</v>
      </c>
      <c r="H234" s="55" t="s">
        <v>21</v>
      </c>
      <c r="I234" s="55" t="s">
        <v>4566</v>
      </c>
    </row>
    <row r="235" customFormat="false" ht="15" hidden="false" customHeight="false" outlineLevel="0" collapsed="false">
      <c r="A235" s="55" t="s">
        <v>4821</v>
      </c>
      <c r="B235" s="55" t="s">
        <v>846</v>
      </c>
      <c r="C235" s="55" t="s">
        <v>845</v>
      </c>
      <c r="D235" s="55" t="s">
        <v>45</v>
      </c>
      <c r="E235" s="55" t="s">
        <v>4556</v>
      </c>
      <c r="F235" s="55" t="s">
        <v>4557</v>
      </c>
      <c r="G235" s="55" t="s">
        <v>4558</v>
      </c>
      <c r="H235" s="55" t="s">
        <v>21</v>
      </c>
      <c r="I235" s="55" t="s">
        <v>4566</v>
      </c>
    </row>
    <row r="236" customFormat="false" ht="15" hidden="false" customHeight="false" outlineLevel="0" collapsed="false">
      <c r="A236" s="55" t="s">
        <v>4822</v>
      </c>
      <c r="B236" s="55" t="s">
        <v>1796</v>
      </c>
      <c r="C236" s="55" t="s">
        <v>1795</v>
      </c>
      <c r="D236" s="55" t="s">
        <v>46</v>
      </c>
      <c r="E236" s="55" t="s">
        <v>4556</v>
      </c>
      <c r="F236" s="55" t="s">
        <v>4557</v>
      </c>
      <c r="G236" s="55" t="s">
        <v>4558</v>
      </c>
      <c r="H236" s="55" t="s">
        <v>21</v>
      </c>
      <c r="I236" s="55" t="s">
        <v>4566</v>
      </c>
    </row>
    <row r="237" customFormat="false" ht="15" hidden="false" customHeight="false" outlineLevel="0" collapsed="false">
      <c r="A237" s="55" t="s">
        <v>4823</v>
      </c>
      <c r="B237" s="55" t="s">
        <v>915</v>
      </c>
      <c r="C237" s="55" t="s">
        <v>914</v>
      </c>
      <c r="D237" s="55" t="s">
        <v>45</v>
      </c>
      <c r="E237" s="55" t="s">
        <v>4556</v>
      </c>
      <c r="F237" s="55" t="s">
        <v>4471</v>
      </c>
      <c r="G237" s="55" t="s">
        <v>4669</v>
      </c>
      <c r="H237" s="55" t="s">
        <v>21</v>
      </c>
      <c r="I237" s="55" t="s">
        <v>4670</v>
      </c>
    </row>
    <row r="238" customFormat="false" ht="15" hidden="false" customHeight="false" outlineLevel="0" collapsed="false">
      <c r="A238" s="55" t="s">
        <v>4824</v>
      </c>
      <c r="B238" s="55" t="s">
        <v>915</v>
      </c>
      <c r="C238" s="55" t="s">
        <v>914</v>
      </c>
      <c r="D238" s="55" t="s">
        <v>46</v>
      </c>
      <c r="E238" s="55" t="s">
        <v>4556</v>
      </c>
      <c r="F238" s="55" t="s">
        <v>4557</v>
      </c>
      <c r="G238" s="55" t="s">
        <v>4558</v>
      </c>
      <c r="H238" s="55" t="s">
        <v>21</v>
      </c>
      <c r="I238" s="55" t="s">
        <v>4566</v>
      </c>
    </row>
    <row r="239" customFormat="false" ht="15" hidden="false" customHeight="false" outlineLevel="0" collapsed="false">
      <c r="A239" s="55" t="s">
        <v>4825</v>
      </c>
      <c r="B239" s="55" t="s">
        <v>941</v>
      </c>
      <c r="C239" s="55" t="s">
        <v>940</v>
      </c>
      <c r="D239" s="55" t="s">
        <v>45</v>
      </c>
      <c r="E239" s="55" t="s">
        <v>4556</v>
      </c>
      <c r="F239" s="55" t="s">
        <v>4557</v>
      </c>
      <c r="G239" s="55" t="s">
        <v>4558</v>
      </c>
      <c r="H239" s="55" t="s">
        <v>21</v>
      </c>
      <c r="I239" s="55" t="s">
        <v>4566</v>
      </c>
    </row>
    <row r="240" customFormat="false" ht="15" hidden="false" customHeight="false" outlineLevel="0" collapsed="false">
      <c r="A240" s="55" t="s">
        <v>4826</v>
      </c>
      <c r="B240" s="55" t="s">
        <v>1022</v>
      </c>
      <c r="C240" s="55" t="s">
        <v>1021</v>
      </c>
      <c r="D240" s="55" t="s">
        <v>45</v>
      </c>
      <c r="E240" s="55" t="s">
        <v>4556</v>
      </c>
      <c r="F240" s="55" t="s">
        <v>4557</v>
      </c>
      <c r="G240" s="55" t="s">
        <v>4558</v>
      </c>
      <c r="H240" s="55" t="s">
        <v>21</v>
      </c>
      <c r="I240" s="55" t="s">
        <v>4566</v>
      </c>
    </row>
    <row r="241" customFormat="false" ht="15" hidden="false" customHeight="false" outlineLevel="0" collapsed="false">
      <c r="A241" s="55" t="s">
        <v>4827</v>
      </c>
      <c r="B241" s="55" t="s">
        <v>1022</v>
      </c>
      <c r="C241" s="55" t="s">
        <v>1021</v>
      </c>
      <c r="D241" s="55" t="s">
        <v>46</v>
      </c>
      <c r="E241" s="55" t="s">
        <v>4556</v>
      </c>
      <c r="F241" s="55" t="s">
        <v>4561</v>
      </c>
      <c r="G241" s="55" t="s">
        <v>4565</v>
      </c>
      <c r="H241" s="55" t="s">
        <v>21</v>
      </c>
      <c r="I241" s="55" t="s">
        <v>4566</v>
      </c>
    </row>
    <row r="242" customFormat="false" ht="15" hidden="false" customHeight="false" outlineLevel="0" collapsed="false">
      <c r="A242" s="55" t="s">
        <v>4828</v>
      </c>
      <c r="B242" s="55" t="s">
        <v>558</v>
      </c>
      <c r="C242" s="55" t="s">
        <v>557</v>
      </c>
      <c r="D242" s="55" t="s">
        <v>45</v>
      </c>
      <c r="E242" s="55" t="s">
        <v>4556</v>
      </c>
      <c r="F242" s="55" t="s">
        <v>4197</v>
      </c>
      <c r="G242" s="55" t="s">
        <v>4589</v>
      </c>
      <c r="H242" s="55" t="s">
        <v>21</v>
      </c>
      <c r="I242" s="55" t="s">
        <v>4613</v>
      </c>
    </row>
    <row r="243" customFormat="false" ht="15" hidden="false" customHeight="false" outlineLevel="0" collapsed="false">
      <c r="A243" s="55" t="s">
        <v>4829</v>
      </c>
      <c r="B243" s="55" t="s">
        <v>558</v>
      </c>
      <c r="C243" s="55" t="s">
        <v>557</v>
      </c>
      <c r="D243" s="55" t="s">
        <v>46</v>
      </c>
      <c r="E243" s="55" t="s">
        <v>4556</v>
      </c>
      <c r="F243" s="55" t="s">
        <v>4557</v>
      </c>
      <c r="G243" s="55" t="s">
        <v>4558</v>
      </c>
      <c r="H243" s="55" t="s">
        <v>21</v>
      </c>
      <c r="I243" s="55" t="s">
        <v>4566</v>
      </c>
    </row>
    <row r="244" customFormat="false" ht="15" hidden="false" customHeight="false" outlineLevel="0" collapsed="false">
      <c r="A244" s="55" t="s">
        <v>4830</v>
      </c>
      <c r="B244" s="55" t="s">
        <v>665</v>
      </c>
      <c r="C244" s="55" t="s">
        <v>664</v>
      </c>
      <c r="D244" s="55" t="s">
        <v>47</v>
      </c>
      <c r="E244" s="55" t="s">
        <v>4556</v>
      </c>
      <c r="F244" s="55" t="s">
        <v>4561</v>
      </c>
      <c r="G244" s="55" t="s">
        <v>4565</v>
      </c>
      <c r="H244" s="55" t="s">
        <v>21</v>
      </c>
      <c r="I244" s="55" t="s">
        <v>4559</v>
      </c>
    </row>
    <row r="245" customFormat="false" ht="15" hidden="false" customHeight="false" outlineLevel="0" collapsed="false">
      <c r="A245" s="55" t="s">
        <v>4831</v>
      </c>
      <c r="B245" s="55" t="s">
        <v>799</v>
      </c>
      <c r="C245" s="55" t="s">
        <v>798</v>
      </c>
      <c r="D245" s="55" t="s">
        <v>46</v>
      </c>
      <c r="E245" s="55" t="s">
        <v>4556</v>
      </c>
      <c r="F245" s="55" t="s">
        <v>4561</v>
      </c>
      <c r="G245" s="55" t="s">
        <v>4565</v>
      </c>
      <c r="H245" s="55" t="s">
        <v>21</v>
      </c>
      <c r="I245" s="55" t="s">
        <v>4566</v>
      </c>
    </row>
    <row r="246" customFormat="false" ht="15" hidden="false" customHeight="false" outlineLevel="0" collapsed="false">
      <c r="A246" s="55" t="s">
        <v>4832</v>
      </c>
      <c r="B246" s="55" t="s">
        <v>2833</v>
      </c>
      <c r="C246" s="55" t="s">
        <v>3437</v>
      </c>
      <c r="D246" s="55" t="s">
        <v>46</v>
      </c>
      <c r="E246" s="55" t="s">
        <v>4556</v>
      </c>
      <c r="F246" s="55" t="s">
        <v>4197</v>
      </c>
      <c r="G246" s="55" t="s">
        <v>4589</v>
      </c>
      <c r="H246" s="55" t="s">
        <v>21</v>
      </c>
      <c r="I246" s="55" t="s">
        <v>4566</v>
      </c>
    </row>
    <row r="247" customFormat="false" ht="15" hidden="false" customHeight="false" outlineLevel="0" collapsed="false">
      <c r="A247" s="55" t="s">
        <v>4833</v>
      </c>
      <c r="B247" s="55" t="s">
        <v>169</v>
      </c>
      <c r="C247" s="55" t="s">
        <v>168</v>
      </c>
      <c r="D247" s="55" t="s">
        <v>46</v>
      </c>
      <c r="E247" s="55" t="s">
        <v>4556</v>
      </c>
      <c r="F247" s="55" t="s">
        <v>4557</v>
      </c>
      <c r="G247" s="55" t="s">
        <v>4558</v>
      </c>
      <c r="H247" s="55" t="s">
        <v>21</v>
      </c>
      <c r="I247" s="55" t="s">
        <v>4566</v>
      </c>
    </row>
    <row r="248" customFormat="false" ht="15" hidden="false" customHeight="false" outlineLevel="0" collapsed="false">
      <c r="A248" s="55" t="s">
        <v>4834</v>
      </c>
      <c r="B248" s="55" t="s">
        <v>2078</v>
      </c>
      <c r="C248" s="55" t="s">
        <v>2077</v>
      </c>
      <c r="D248" s="55" t="s">
        <v>45</v>
      </c>
      <c r="E248" s="55" t="s">
        <v>4556</v>
      </c>
      <c r="F248" s="55" t="s">
        <v>4703</v>
      </c>
      <c r="G248" s="55" t="s">
        <v>4835</v>
      </c>
      <c r="H248" s="55" t="s">
        <v>17</v>
      </c>
      <c r="I248" s="55" t="s">
        <v>4563</v>
      </c>
    </row>
    <row r="249" customFormat="false" ht="15" hidden="false" customHeight="false" outlineLevel="0" collapsed="false">
      <c r="A249" s="55" t="s">
        <v>4836</v>
      </c>
      <c r="B249" s="55" t="s">
        <v>1463</v>
      </c>
      <c r="C249" s="55" t="s">
        <v>1462</v>
      </c>
      <c r="D249" s="55" t="s">
        <v>45</v>
      </c>
      <c r="E249" s="55" t="s">
        <v>4556</v>
      </c>
      <c r="F249" s="55" t="s">
        <v>4561</v>
      </c>
      <c r="G249" s="55" t="s">
        <v>4562</v>
      </c>
      <c r="H249" s="55" t="s">
        <v>17</v>
      </c>
      <c r="I249" s="55" t="s">
        <v>4563</v>
      </c>
    </row>
    <row r="250" customFormat="false" ht="15" hidden="false" customHeight="false" outlineLevel="0" collapsed="false">
      <c r="A250" s="55" t="s">
        <v>4837</v>
      </c>
      <c r="B250" s="55" t="s">
        <v>556</v>
      </c>
      <c r="C250" s="55" t="s">
        <v>555</v>
      </c>
      <c r="D250" s="55" t="s">
        <v>46</v>
      </c>
      <c r="E250" s="55" t="s">
        <v>4556</v>
      </c>
      <c r="F250" s="55" t="s">
        <v>4557</v>
      </c>
      <c r="G250" s="55" t="s">
        <v>4558</v>
      </c>
      <c r="H250" s="55" t="s">
        <v>21</v>
      </c>
      <c r="I250" s="55" t="s">
        <v>4566</v>
      </c>
    </row>
    <row r="251" customFormat="false" ht="15" hidden="false" customHeight="false" outlineLevel="0" collapsed="false">
      <c r="A251" s="55" t="s">
        <v>4838</v>
      </c>
      <c r="B251" s="55" t="s">
        <v>2561</v>
      </c>
      <c r="C251" s="55" t="s">
        <v>2560</v>
      </c>
      <c r="D251" s="55" t="s">
        <v>47</v>
      </c>
      <c r="E251" s="55" t="s">
        <v>4556</v>
      </c>
      <c r="F251" s="55" t="s">
        <v>4599</v>
      </c>
      <c r="G251" s="55" t="s">
        <v>4600</v>
      </c>
      <c r="H251" s="55" t="s">
        <v>17</v>
      </c>
      <c r="I251" s="55" t="s">
        <v>4839</v>
      </c>
    </row>
    <row r="252" customFormat="false" ht="15" hidden="false" customHeight="false" outlineLevel="0" collapsed="false">
      <c r="A252" s="55" t="s">
        <v>4840</v>
      </c>
      <c r="B252" s="55" t="s">
        <v>388</v>
      </c>
      <c r="C252" s="55" t="s">
        <v>387</v>
      </c>
      <c r="D252" s="55" t="s">
        <v>45</v>
      </c>
      <c r="E252" s="55" t="s">
        <v>4556</v>
      </c>
      <c r="F252" s="55" t="s">
        <v>4557</v>
      </c>
      <c r="G252" s="55" t="s">
        <v>4558</v>
      </c>
      <c r="H252" s="55" t="s">
        <v>21</v>
      </c>
      <c r="I252" s="55" t="s">
        <v>4566</v>
      </c>
    </row>
    <row r="253" customFormat="false" ht="15" hidden="false" customHeight="false" outlineLevel="0" collapsed="false">
      <c r="A253" s="55" t="s">
        <v>4841</v>
      </c>
      <c r="B253" s="55" t="s">
        <v>388</v>
      </c>
      <c r="C253" s="55" t="s">
        <v>387</v>
      </c>
      <c r="D253" s="55" t="s">
        <v>46</v>
      </c>
      <c r="E253" s="55" t="s">
        <v>4556</v>
      </c>
      <c r="F253" s="55" t="s">
        <v>4557</v>
      </c>
      <c r="G253" s="55" t="s">
        <v>4558</v>
      </c>
      <c r="H253" s="55" t="s">
        <v>21</v>
      </c>
      <c r="I253" s="55" t="s">
        <v>4566</v>
      </c>
    </row>
    <row r="254" customFormat="false" ht="15" hidden="false" customHeight="false" outlineLevel="0" collapsed="false">
      <c r="A254" s="55" t="s">
        <v>4842</v>
      </c>
      <c r="B254" s="55" t="s">
        <v>1333</v>
      </c>
      <c r="C254" s="55" t="s">
        <v>1332</v>
      </c>
      <c r="D254" s="55" t="s">
        <v>45</v>
      </c>
      <c r="E254" s="55" t="s">
        <v>4556</v>
      </c>
      <c r="F254" s="55" t="s">
        <v>4557</v>
      </c>
      <c r="G254" s="55" t="s">
        <v>4558</v>
      </c>
      <c r="H254" s="55" t="s">
        <v>21</v>
      </c>
      <c r="I254" s="55" t="s">
        <v>4566</v>
      </c>
    </row>
    <row r="255" customFormat="false" ht="15" hidden="false" customHeight="false" outlineLevel="0" collapsed="false">
      <c r="A255" s="55" t="s">
        <v>4843</v>
      </c>
      <c r="B255" s="55" t="s">
        <v>1333</v>
      </c>
      <c r="C255" s="55" t="s">
        <v>1332</v>
      </c>
      <c r="D255" s="55" t="s">
        <v>46</v>
      </c>
      <c r="E255" s="55" t="s">
        <v>4556</v>
      </c>
      <c r="F255" s="55" t="s">
        <v>4561</v>
      </c>
      <c r="G255" s="55" t="s">
        <v>4565</v>
      </c>
      <c r="H255" s="55" t="s">
        <v>21</v>
      </c>
      <c r="I255" s="55" t="s">
        <v>4566</v>
      </c>
    </row>
    <row r="256" customFormat="false" ht="15" hidden="false" customHeight="false" outlineLevel="0" collapsed="false">
      <c r="A256" s="55" t="s">
        <v>4844</v>
      </c>
      <c r="B256" s="55" t="s">
        <v>600</v>
      </c>
      <c r="C256" s="55" t="s">
        <v>599</v>
      </c>
      <c r="D256" s="55" t="s">
        <v>45</v>
      </c>
      <c r="E256" s="55" t="s">
        <v>4556</v>
      </c>
      <c r="F256" s="55" t="s">
        <v>4557</v>
      </c>
      <c r="G256" s="55" t="s">
        <v>4558</v>
      </c>
      <c r="H256" s="55" t="s">
        <v>21</v>
      </c>
      <c r="I256" s="55" t="s">
        <v>4566</v>
      </c>
    </row>
    <row r="257" customFormat="false" ht="15" hidden="false" customHeight="false" outlineLevel="0" collapsed="false">
      <c r="A257" s="55" t="s">
        <v>4845</v>
      </c>
      <c r="B257" s="55" t="s">
        <v>1164</v>
      </c>
      <c r="C257" s="55" t="s">
        <v>1163</v>
      </c>
      <c r="D257" s="55" t="s">
        <v>45</v>
      </c>
      <c r="E257" s="55" t="s">
        <v>4556</v>
      </c>
      <c r="F257" s="55" t="s">
        <v>4557</v>
      </c>
      <c r="G257" s="55" t="s">
        <v>4558</v>
      </c>
      <c r="H257" s="55" t="s">
        <v>21</v>
      </c>
      <c r="I257" s="55" t="s">
        <v>4566</v>
      </c>
    </row>
    <row r="258" customFormat="false" ht="15" hidden="false" customHeight="false" outlineLevel="0" collapsed="false">
      <c r="A258" s="55" t="s">
        <v>4846</v>
      </c>
      <c r="B258" s="55" t="s">
        <v>1164</v>
      </c>
      <c r="C258" s="55" t="s">
        <v>1163</v>
      </c>
      <c r="D258" s="55" t="s">
        <v>46</v>
      </c>
      <c r="E258" s="55" t="s">
        <v>4556</v>
      </c>
      <c r="F258" s="55" t="s">
        <v>4636</v>
      </c>
      <c r="G258" s="55" t="s">
        <v>4637</v>
      </c>
      <c r="H258" s="55" t="s">
        <v>21</v>
      </c>
      <c r="I258" s="55" t="s">
        <v>4566</v>
      </c>
    </row>
    <row r="259" customFormat="false" ht="15" hidden="false" customHeight="false" outlineLevel="0" collapsed="false">
      <c r="A259" s="55" t="s">
        <v>4847</v>
      </c>
      <c r="B259" s="55" t="s">
        <v>689</v>
      </c>
      <c r="C259" s="55" t="s">
        <v>688</v>
      </c>
      <c r="D259" s="55" t="s">
        <v>46</v>
      </c>
      <c r="E259" s="55" t="s">
        <v>4556</v>
      </c>
      <c r="F259" s="55" t="s">
        <v>4571</v>
      </c>
      <c r="G259" s="55" t="s">
        <v>4572</v>
      </c>
      <c r="H259" s="55" t="s">
        <v>21</v>
      </c>
      <c r="I259" s="55" t="s">
        <v>4566</v>
      </c>
    </row>
    <row r="260" customFormat="false" ht="15" hidden="false" customHeight="false" outlineLevel="0" collapsed="false">
      <c r="A260" s="55" t="s">
        <v>4848</v>
      </c>
      <c r="B260" s="55" t="s">
        <v>2840</v>
      </c>
      <c r="C260" s="55" t="s">
        <v>3451</v>
      </c>
      <c r="D260" s="55" t="s">
        <v>45</v>
      </c>
      <c r="E260" s="55" t="s">
        <v>4556</v>
      </c>
      <c r="F260" s="55" t="s">
        <v>4568</v>
      </c>
      <c r="G260" s="55" t="s">
        <v>4569</v>
      </c>
      <c r="H260" s="55" t="s">
        <v>17</v>
      </c>
      <c r="I260" s="55" t="s">
        <v>4563</v>
      </c>
    </row>
    <row r="261" customFormat="false" ht="15" hidden="false" customHeight="false" outlineLevel="0" collapsed="false">
      <c r="A261" s="55" t="s">
        <v>4849</v>
      </c>
      <c r="B261" s="55" t="s">
        <v>2840</v>
      </c>
      <c r="C261" s="55" t="s">
        <v>3451</v>
      </c>
      <c r="D261" s="55" t="s">
        <v>46</v>
      </c>
      <c r="E261" s="55" t="s">
        <v>4556</v>
      </c>
      <c r="F261" s="55" t="s">
        <v>4599</v>
      </c>
      <c r="G261" s="55" t="s">
        <v>4631</v>
      </c>
      <c r="H261" s="55" t="s">
        <v>21</v>
      </c>
      <c r="I261" s="55" t="s">
        <v>4566</v>
      </c>
    </row>
    <row r="262" customFormat="false" ht="15" hidden="false" customHeight="false" outlineLevel="0" collapsed="false">
      <c r="A262" s="55" t="s">
        <v>4850</v>
      </c>
      <c r="B262" s="55" t="s">
        <v>428</v>
      </c>
      <c r="C262" s="55" t="s">
        <v>427</v>
      </c>
      <c r="D262" s="55" t="s">
        <v>46</v>
      </c>
      <c r="E262" s="55" t="s">
        <v>4556</v>
      </c>
      <c r="F262" s="55" t="s">
        <v>4557</v>
      </c>
      <c r="G262" s="55" t="s">
        <v>4558</v>
      </c>
      <c r="H262" s="55" t="s">
        <v>21</v>
      </c>
      <c r="I262" s="55" t="s">
        <v>4566</v>
      </c>
    </row>
    <row r="263" customFormat="false" ht="15" hidden="false" customHeight="false" outlineLevel="0" collapsed="false">
      <c r="A263" s="55" t="s">
        <v>4851</v>
      </c>
      <c r="B263" s="55" t="s">
        <v>144</v>
      </c>
      <c r="C263" s="55" t="s">
        <v>143</v>
      </c>
      <c r="D263" s="55" t="s">
        <v>45</v>
      </c>
      <c r="E263" s="55" t="s">
        <v>4556</v>
      </c>
      <c r="F263" s="55" t="s">
        <v>4557</v>
      </c>
      <c r="G263" s="55" t="s">
        <v>4558</v>
      </c>
      <c r="H263" s="55" t="s">
        <v>21</v>
      </c>
      <c r="I263" s="55" t="s">
        <v>4566</v>
      </c>
    </row>
    <row r="264" customFormat="false" ht="15" hidden="false" customHeight="false" outlineLevel="0" collapsed="false">
      <c r="A264" s="55" t="s">
        <v>4852</v>
      </c>
      <c r="B264" s="55" t="s">
        <v>2246</v>
      </c>
      <c r="C264" s="55" t="s">
        <v>2245</v>
      </c>
      <c r="D264" s="55" t="s">
        <v>46</v>
      </c>
      <c r="E264" s="55" t="s">
        <v>4556</v>
      </c>
      <c r="F264" s="55" t="s">
        <v>4561</v>
      </c>
      <c r="G264" s="55" t="s">
        <v>4565</v>
      </c>
      <c r="H264" s="55" t="s">
        <v>21</v>
      </c>
      <c r="I264" s="55" t="s">
        <v>4566</v>
      </c>
    </row>
    <row r="265" customFormat="false" ht="15" hidden="false" customHeight="false" outlineLevel="0" collapsed="false">
      <c r="A265" s="55" t="s">
        <v>4853</v>
      </c>
      <c r="B265" s="55" t="s">
        <v>1608</v>
      </c>
      <c r="C265" s="55" t="s">
        <v>1607</v>
      </c>
      <c r="D265" s="55" t="s">
        <v>45</v>
      </c>
      <c r="E265" s="55" t="s">
        <v>4556</v>
      </c>
      <c r="F265" s="55" t="s">
        <v>4561</v>
      </c>
      <c r="G265" s="55" t="s">
        <v>4565</v>
      </c>
      <c r="H265" s="55" t="s">
        <v>21</v>
      </c>
      <c r="I265" s="55" t="s">
        <v>4566</v>
      </c>
    </row>
    <row r="266" customFormat="false" ht="15" hidden="false" customHeight="false" outlineLevel="0" collapsed="false">
      <c r="A266" s="55" t="s">
        <v>4854</v>
      </c>
      <c r="B266" s="55" t="s">
        <v>2845</v>
      </c>
      <c r="C266" s="55" t="s">
        <v>3458</v>
      </c>
      <c r="D266" s="55" t="s">
        <v>47</v>
      </c>
      <c r="E266" s="55" t="s">
        <v>4556</v>
      </c>
      <c r="F266" s="55" t="s">
        <v>4561</v>
      </c>
      <c r="G266" s="55" t="s">
        <v>4562</v>
      </c>
      <c r="H266" s="55" t="s">
        <v>17</v>
      </c>
      <c r="I266" s="55" t="s">
        <v>4601</v>
      </c>
    </row>
    <row r="267" customFormat="false" ht="15" hidden="false" customHeight="false" outlineLevel="0" collapsed="false">
      <c r="A267" s="55" t="s">
        <v>4855</v>
      </c>
      <c r="B267" s="55" t="s">
        <v>912</v>
      </c>
      <c r="C267" s="55" t="s">
        <v>911</v>
      </c>
      <c r="D267" s="55" t="s">
        <v>45</v>
      </c>
      <c r="E267" s="55" t="s">
        <v>4556</v>
      </c>
      <c r="F267" s="55" t="s">
        <v>4561</v>
      </c>
      <c r="G267" s="55" t="s">
        <v>4565</v>
      </c>
      <c r="H267" s="55" t="s">
        <v>21</v>
      </c>
      <c r="I267" s="55" t="s">
        <v>4566</v>
      </c>
    </row>
    <row r="268" customFormat="false" ht="15" hidden="false" customHeight="false" outlineLevel="0" collapsed="false">
      <c r="A268" s="55" t="s">
        <v>4856</v>
      </c>
      <c r="B268" s="55" t="s">
        <v>2047</v>
      </c>
      <c r="C268" s="55" t="s">
        <v>2046</v>
      </c>
      <c r="D268" s="55" t="s">
        <v>47</v>
      </c>
      <c r="E268" s="55" t="s">
        <v>4556</v>
      </c>
      <c r="F268" s="55" t="s">
        <v>4197</v>
      </c>
      <c r="G268" s="55" t="s">
        <v>4579</v>
      </c>
      <c r="H268" s="55" t="s">
        <v>17</v>
      </c>
      <c r="I268" s="55" t="s">
        <v>4857</v>
      </c>
    </row>
    <row r="269" customFormat="false" ht="15" hidden="false" customHeight="false" outlineLevel="0" collapsed="false">
      <c r="A269" s="55" t="s">
        <v>4858</v>
      </c>
      <c r="B269" s="55" t="s">
        <v>612</v>
      </c>
      <c r="C269" s="55" t="s">
        <v>611</v>
      </c>
      <c r="D269" s="55" t="s">
        <v>45</v>
      </c>
      <c r="E269" s="55" t="s">
        <v>4556</v>
      </c>
      <c r="F269" s="55" t="s">
        <v>4557</v>
      </c>
      <c r="G269" s="55" t="s">
        <v>4558</v>
      </c>
      <c r="H269" s="55" t="s">
        <v>21</v>
      </c>
      <c r="I269" s="55" t="s">
        <v>4566</v>
      </c>
    </row>
    <row r="270" customFormat="false" ht="15" hidden="false" customHeight="false" outlineLevel="0" collapsed="false">
      <c r="A270" s="55" t="s">
        <v>4859</v>
      </c>
      <c r="B270" s="55" t="s">
        <v>480</v>
      </c>
      <c r="C270" s="55" t="s">
        <v>479</v>
      </c>
      <c r="D270" s="55" t="s">
        <v>46</v>
      </c>
      <c r="E270" s="55" t="s">
        <v>4556</v>
      </c>
      <c r="F270" s="55" t="s">
        <v>4557</v>
      </c>
      <c r="G270" s="55" t="s">
        <v>4558</v>
      </c>
      <c r="H270" s="55" t="s">
        <v>21</v>
      </c>
      <c r="I270" s="55" t="s">
        <v>4566</v>
      </c>
    </row>
    <row r="271" customFormat="false" ht="15" hidden="false" customHeight="false" outlineLevel="0" collapsed="false">
      <c r="A271" s="55" t="s">
        <v>4860</v>
      </c>
      <c r="B271" s="55" t="s">
        <v>420</v>
      </c>
      <c r="C271" s="55" t="s">
        <v>419</v>
      </c>
      <c r="D271" s="55" t="s">
        <v>47</v>
      </c>
      <c r="E271" s="55" t="s">
        <v>4556</v>
      </c>
      <c r="F271" s="55" t="s">
        <v>4599</v>
      </c>
      <c r="G271" s="55" t="s">
        <v>4631</v>
      </c>
      <c r="H271" s="55" t="s">
        <v>21</v>
      </c>
      <c r="I271" s="55" t="s">
        <v>4632</v>
      </c>
    </row>
    <row r="272" customFormat="false" ht="15" hidden="false" customHeight="false" outlineLevel="0" collapsed="false">
      <c r="A272" s="55" t="s">
        <v>4861</v>
      </c>
      <c r="B272" s="55" t="s">
        <v>400</v>
      </c>
      <c r="C272" s="55" t="s">
        <v>399</v>
      </c>
      <c r="D272" s="55" t="s">
        <v>45</v>
      </c>
      <c r="E272" s="55" t="s">
        <v>4556</v>
      </c>
      <c r="F272" s="55" t="s">
        <v>4561</v>
      </c>
      <c r="G272" s="55" t="s">
        <v>4565</v>
      </c>
      <c r="H272" s="55" t="s">
        <v>21</v>
      </c>
      <c r="I272" s="55" t="s">
        <v>4566</v>
      </c>
    </row>
    <row r="273" customFormat="false" ht="15" hidden="false" customHeight="false" outlineLevel="0" collapsed="false">
      <c r="A273" s="55" t="s">
        <v>4862</v>
      </c>
      <c r="B273" s="55" t="s">
        <v>1028</v>
      </c>
      <c r="C273" s="55" t="s">
        <v>1027</v>
      </c>
      <c r="D273" s="55" t="s">
        <v>45</v>
      </c>
      <c r="E273" s="55" t="s">
        <v>4556</v>
      </c>
      <c r="F273" s="55" t="s">
        <v>4557</v>
      </c>
      <c r="G273" s="55" t="s">
        <v>4558</v>
      </c>
      <c r="H273" s="55" t="s">
        <v>21</v>
      </c>
      <c r="I273" s="55" t="s">
        <v>4566</v>
      </c>
    </row>
    <row r="274" customFormat="false" ht="15" hidden="false" customHeight="false" outlineLevel="0" collapsed="false">
      <c r="A274" s="55" t="s">
        <v>4863</v>
      </c>
      <c r="B274" s="55" t="s">
        <v>1705</v>
      </c>
      <c r="C274" s="55" t="s">
        <v>1704</v>
      </c>
      <c r="D274" s="55" t="s">
        <v>45</v>
      </c>
      <c r="E274" s="55" t="s">
        <v>4556</v>
      </c>
      <c r="F274" s="55" t="s">
        <v>4864</v>
      </c>
      <c r="G274" s="55" t="s">
        <v>4865</v>
      </c>
      <c r="H274" s="55" t="s">
        <v>21</v>
      </c>
      <c r="I274" s="55" t="s">
        <v>4566</v>
      </c>
    </row>
    <row r="275" customFormat="false" ht="15" hidden="false" customHeight="false" outlineLevel="0" collapsed="false">
      <c r="A275" s="55" t="s">
        <v>4866</v>
      </c>
      <c r="B275" s="55" t="s">
        <v>1705</v>
      </c>
      <c r="C275" s="55" t="s">
        <v>1704</v>
      </c>
      <c r="D275" s="55" t="s">
        <v>46</v>
      </c>
      <c r="E275" s="55" t="s">
        <v>4556</v>
      </c>
      <c r="F275" s="55" t="s">
        <v>4557</v>
      </c>
      <c r="G275" s="55" t="s">
        <v>4558</v>
      </c>
      <c r="H275" s="55" t="s">
        <v>21</v>
      </c>
      <c r="I275" s="55" t="s">
        <v>4566</v>
      </c>
    </row>
    <row r="276" customFormat="false" ht="15" hidden="false" customHeight="false" outlineLevel="0" collapsed="false">
      <c r="A276" s="55" t="s">
        <v>4867</v>
      </c>
      <c r="B276" s="55" t="s">
        <v>1793</v>
      </c>
      <c r="C276" s="55" t="s">
        <v>1792</v>
      </c>
      <c r="D276" s="55" t="s">
        <v>46</v>
      </c>
      <c r="E276" s="55" t="s">
        <v>4556</v>
      </c>
      <c r="F276" s="55" t="s">
        <v>4557</v>
      </c>
      <c r="G276" s="55" t="s">
        <v>4558</v>
      </c>
      <c r="H276" s="55" t="s">
        <v>21</v>
      </c>
      <c r="I276" s="55" t="s">
        <v>4566</v>
      </c>
    </row>
    <row r="277" customFormat="false" ht="15" hidden="false" customHeight="false" outlineLevel="0" collapsed="false">
      <c r="A277" s="55" t="s">
        <v>4868</v>
      </c>
      <c r="B277" s="55" t="s">
        <v>880</v>
      </c>
      <c r="C277" s="55" t="s">
        <v>879</v>
      </c>
      <c r="D277" s="55" t="s">
        <v>45</v>
      </c>
      <c r="E277" s="55" t="s">
        <v>4556</v>
      </c>
      <c r="F277" s="55" t="s">
        <v>4557</v>
      </c>
      <c r="G277" s="55" t="s">
        <v>4558</v>
      </c>
      <c r="H277" s="55" t="s">
        <v>21</v>
      </c>
      <c r="I277" s="55" t="s">
        <v>4559</v>
      </c>
    </row>
    <row r="278" customFormat="false" ht="15" hidden="false" customHeight="false" outlineLevel="0" collapsed="false">
      <c r="A278" s="55" t="s">
        <v>4869</v>
      </c>
      <c r="B278" s="55" t="s">
        <v>880</v>
      </c>
      <c r="C278" s="55" t="s">
        <v>879</v>
      </c>
      <c r="D278" s="55" t="s">
        <v>46</v>
      </c>
      <c r="E278" s="55" t="s">
        <v>4556</v>
      </c>
      <c r="F278" s="55" t="s">
        <v>4557</v>
      </c>
      <c r="G278" s="55" t="s">
        <v>4558</v>
      </c>
      <c r="H278" s="55" t="s">
        <v>21</v>
      </c>
      <c r="I278" s="55" t="s">
        <v>4566</v>
      </c>
    </row>
    <row r="279" customFormat="false" ht="15" hidden="false" customHeight="false" outlineLevel="0" collapsed="false">
      <c r="A279" s="55" t="s">
        <v>4870</v>
      </c>
      <c r="B279" s="55" t="s">
        <v>2851</v>
      </c>
      <c r="C279" s="55" t="s">
        <v>3471</v>
      </c>
      <c r="D279" s="55" t="s">
        <v>46</v>
      </c>
      <c r="E279" s="55" t="s">
        <v>4556</v>
      </c>
      <c r="F279" s="55" t="s">
        <v>4571</v>
      </c>
      <c r="G279" s="55" t="s">
        <v>4572</v>
      </c>
      <c r="H279" s="55" t="s">
        <v>21</v>
      </c>
      <c r="I279" s="55" t="s">
        <v>4566</v>
      </c>
    </row>
    <row r="280" customFormat="false" ht="15" hidden="false" customHeight="false" outlineLevel="0" collapsed="false">
      <c r="A280" s="55" t="s">
        <v>4871</v>
      </c>
      <c r="B280" s="55" t="s">
        <v>1448</v>
      </c>
      <c r="C280" s="55" t="s">
        <v>1447</v>
      </c>
      <c r="D280" s="55" t="s">
        <v>45</v>
      </c>
      <c r="E280" s="55" t="s">
        <v>4556</v>
      </c>
      <c r="F280" s="55" t="s">
        <v>4864</v>
      </c>
      <c r="G280" s="55" t="s">
        <v>4865</v>
      </c>
      <c r="H280" s="55" t="s">
        <v>21</v>
      </c>
      <c r="I280" s="55" t="s">
        <v>4559</v>
      </c>
    </row>
    <row r="281" customFormat="false" ht="15" hidden="false" customHeight="false" outlineLevel="0" collapsed="false">
      <c r="A281" s="55" t="s">
        <v>4872</v>
      </c>
      <c r="B281" s="55" t="s">
        <v>1448</v>
      </c>
      <c r="C281" s="55" t="s">
        <v>1447</v>
      </c>
      <c r="D281" s="55" t="s">
        <v>46</v>
      </c>
      <c r="E281" s="55" t="s">
        <v>4556</v>
      </c>
      <c r="F281" s="55" t="s">
        <v>4557</v>
      </c>
      <c r="G281" s="55" t="s">
        <v>4558</v>
      </c>
      <c r="H281" s="55" t="s">
        <v>21</v>
      </c>
      <c r="I281" s="55" t="s">
        <v>4566</v>
      </c>
    </row>
    <row r="282" customFormat="false" ht="15" hidden="false" customHeight="false" outlineLevel="0" collapsed="false">
      <c r="A282" s="55" t="s">
        <v>4873</v>
      </c>
      <c r="B282" s="55" t="s">
        <v>2856</v>
      </c>
      <c r="C282" s="55" t="s">
        <v>3476</v>
      </c>
      <c r="D282" s="55" t="s">
        <v>45</v>
      </c>
      <c r="E282" s="55" t="s">
        <v>4556</v>
      </c>
      <c r="F282" s="55" t="s">
        <v>4571</v>
      </c>
      <c r="G282" s="55" t="s">
        <v>4572</v>
      </c>
      <c r="H282" s="55" t="s">
        <v>21</v>
      </c>
      <c r="I282" s="55" t="s">
        <v>4566</v>
      </c>
    </row>
    <row r="283" customFormat="false" ht="15" hidden="false" customHeight="false" outlineLevel="0" collapsed="false">
      <c r="A283" s="55" t="s">
        <v>4874</v>
      </c>
      <c r="B283" s="55" t="s">
        <v>2856</v>
      </c>
      <c r="C283" s="55" t="s">
        <v>3476</v>
      </c>
      <c r="D283" s="55" t="s">
        <v>46</v>
      </c>
      <c r="E283" s="55" t="s">
        <v>4556</v>
      </c>
      <c r="F283" s="55" t="s">
        <v>4561</v>
      </c>
      <c r="G283" s="55" t="s">
        <v>4565</v>
      </c>
      <c r="H283" s="55" t="s">
        <v>21</v>
      </c>
      <c r="I283" s="55" t="s">
        <v>4566</v>
      </c>
    </row>
    <row r="284" customFormat="false" ht="15" hidden="false" customHeight="false" outlineLevel="0" collapsed="false">
      <c r="A284" s="55" t="s">
        <v>4875</v>
      </c>
      <c r="B284" s="55" t="s">
        <v>346</v>
      </c>
      <c r="C284" s="55" t="s">
        <v>345</v>
      </c>
      <c r="D284" s="55" t="s">
        <v>45</v>
      </c>
      <c r="E284" s="55" t="s">
        <v>4556</v>
      </c>
      <c r="F284" s="55" t="s">
        <v>4557</v>
      </c>
      <c r="G284" s="55" t="s">
        <v>4558</v>
      </c>
      <c r="H284" s="55" t="s">
        <v>21</v>
      </c>
      <c r="I284" s="55" t="s">
        <v>4566</v>
      </c>
    </row>
    <row r="285" customFormat="false" ht="15" hidden="false" customHeight="false" outlineLevel="0" collapsed="false">
      <c r="A285" s="55" t="s">
        <v>4876</v>
      </c>
      <c r="B285" s="55" t="s">
        <v>1327</v>
      </c>
      <c r="C285" s="55" t="s">
        <v>1326</v>
      </c>
      <c r="D285" s="55" t="s">
        <v>45</v>
      </c>
      <c r="E285" s="55" t="s">
        <v>4556</v>
      </c>
      <c r="F285" s="55" t="s">
        <v>4557</v>
      </c>
      <c r="G285" s="55" t="s">
        <v>4558</v>
      </c>
      <c r="H285" s="55" t="s">
        <v>21</v>
      </c>
      <c r="I285" s="55" t="s">
        <v>4566</v>
      </c>
    </row>
    <row r="286" customFormat="false" ht="15" hidden="false" customHeight="false" outlineLevel="0" collapsed="false">
      <c r="A286" s="55" t="s">
        <v>4877</v>
      </c>
      <c r="B286" s="55" t="s">
        <v>1327</v>
      </c>
      <c r="C286" s="55" t="s">
        <v>1326</v>
      </c>
      <c r="D286" s="55" t="s">
        <v>46</v>
      </c>
      <c r="E286" s="55" t="s">
        <v>4556</v>
      </c>
      <c r="F286" s="55" t="s">
        <v>4557</v>
      </c>
      <c r="G286" s="55" t="s">
        <v>4558</v>
      </c>
      <c r="H286" s="55" t="s">
        <v>21</v>
      </c>
      <c r="I286" s="55" t="s">
        <v>4566</v>
      </c>
    </row>
    <row r="287" customFormat="false" ht="15" hidden="false" customHeight="false" outlineLevel="0" collapsed="false">
      <c r="A287" s="55" t="s">
        <v>4878</v>
      </c>
      <c r="B287" s="55" t="s">
        <v>228</v>
      </c>
      <c r="C287" s="55" t="s">
        <v>227</v>
      </c>
      <c r="D287" s="55" t="s">
        <v>45</v>
      </c>
      <c r="E287" s="55" t="s">
        <v>4556</v>
      </c>
      <c r="F287" s="55" t="s">
        <v>4557</v>
      </c>
      <c r="G287" s="55" t="s">
        <v>4558</v>
      </c>
      <c r="H287" s="55" t="s">
        <v>21</v>
      </c>
      <c r="I287" s="55" t="s">
        <v>4566</v>
      </c>
    </row>
    <row r="288" customFormat="false" ht="15" hidden="false" customHeight="false" outlineLevel="0" collapsed="false">
      <c r="A288" s="55" t="s">
        <v>4879</v>
      </c>
      <c r="B288" s="55" t="s">
        <v>697</v>
      </c>
      <c r="C288" s="55" t="s">
        <v>696</v>
      </c>
      <c r="D288" s="55" t="s">
        <v>45</v>
      </c>
      <c r="E288" s="55" t="s">
        <v>4556</v>
      </c>
      <c r="F288" s="55" t="s">
        <v>4557</v>
      </c>
      <c r="G288" s="55" t="s">
        <v>4558</v>
      </c>
      <c r="H288" s="55" t="s">
        <v>21</v>
      </c>
      <c r="I288" s="55" t="s">
        <v>4566</v>
      </c>
    </row>
    <row r="289" customFormat="false" ht="15" hidden="false" customHeight="false" outlineLevel="0" collapsed="false">
      <c r="A289" s="55" t="s">
        <v>4880</v>
      </c>
      <c r="B289" s="55" t="s">
        <v>697</v>
      </c>
      <c r="C289" s="55" t="s">
        <v>696</v>
      </c>
      <c r="D289" s="55" t="s">
        <v>46</v>
      </c>
      <c r="E289" s="55" t="s">
        <v>4556</v>
      </c>
      <c r="F289" s="55" t="s">
        <v>4557</v>
      </c>
      <c r="G289" s="55" t="s">
        <v>4558</v>
      </c>
      <c r="H289" s="55" t="s">
        <v>21</v>
      </c>
      <c r="I289" s="55" t="s">
        <v>4559</v>
      </c>
    </row>
    <row r="290" customFormat="false" ht="15" hidden="false" customHeight="false" outlineLevel="0" collapsed="false">
      <c r="A290" s="55" t="s">
        <v>4881</v>
      </c>
      <c r="B290" s="55" t="s">
        <v>697</v>
      </c>
      <c r="C290" s="55" t="s">
        <v>696</v>
      </c>
      <c r="D290" s="55" t="s">
        <v>47</v>
      </c>
      <c r="E290" s="55" t="s">
        <v>4556</v>
      </c>
      <c r="F290" s="55" t="s">
        <v>4636</v>
      </c>
      <c r="G290" s="55" t="s">
        <v>4882</v>
      </c>
      <c r="H290" s="55" t="s">
        <v>17</v>
      </c>
      <c r="I290" s="55" t="s">
        <v>4601</v>
      </c>
    </row>
    <row r="291" customFormat="false" ht="15" hidden="false" customHeight="false" outlineLevel="0" collapsed="false">
      <c r="A291" s="55" t="s">
        <v>4883</v>
      </c>
      <c r="B291" s="55" t="s">
        <v>2335</v>
      </c>
      <c r="C291" s="55" t="s">
        <v>2334</v>
      </c>
      <c r="D291" s="55" t="s">
        <v>46</v>
      </c>
      <c r="E291" s="55" t="s">
        <v>4556</v>
      </c>
      <c r="F291" s="55" t="s">
        <v>4561</v>
      </c>
      <c r="G291" s="55" t="s">
        <v>4565</v>
      </c>
      <c r="H291" s="55" t="s">
        <v>21</v>
      </c>
      <c r="I291" s="55" t="s">
        <v>4566</v>
      </c>
    </row>
    <row r="292" customFormat="false" ht="15" hidden="false" customHeight="false" outlineLevel="0" collapsed="false">
      <c r="A292" s="55" t="s">
        <v>4884</v>
      </c>
      <c r="B292" s="55" t="s">
        <v>1878</v>
      </c>
      <c r="C292" s="55" t="s">
        <v>1877</v>
      </c>
      <c r="D292" s="55" t="s">
        <v>46</v>
      </c>
      <c r="E292" s="55" t="s">
        <v>4556</v>
      </c>
      <c r="F292" s="55" t="s">
        <v>4557</v>
      </c>
      <c r="G292" s="55" t="s">
        <v>4558</v>
      </c>
      <c r="H292" s="55" t="s">
        <v>21</v>
      </c>
      <c r="I292" s="55" t="s">
        <v>4566</v>
      </c>
    </row>
    <row r="293" customFormat="false" ht="15" hidden="false" customHeight="false" outlineLevel="0" collapsed="false">
      <c r="A293" s="55" t="s">
        <v>4885</v>
      </c>
      <c r="B293" s="55" t="s">
        <v>1878</v>
      </c>
      <c r="C293" s="55" t="s">
        <v>1877</v>
      </c>
      <c r="D293" s="55" t="s">
        <v>47</v>
      </c>
      <c r="E293" s="55" t="s">
        <v>4556</v>
      </c>
      <c r="F293" s="55" t="s">
        <v>4197</v>
      </c>
      <c r="G293" s="55" t="s">
        <v>4589</v>
      </c>
      <c r="H293" s="55" t="s">
        <v>21</v>
      </c>
      <c r="I293" s="55" t="s">
        <v>4613</v>
      </c>
    </row>
    <row r="294" customFormat="false" ht="15" hidden="false" customHeight="false" outlineLevel="0" collapsed="false">
      <c r="A294" s="55" t="s">
        <v>4886</v>
      </c>
      <c r="B294" s="55" t="s">
        <v>2861</v>
      </c>
      <c r="C294" s="55"/>
      <c r="D294" s="55" t="s">
        <v>46</v>
      </c>
      <c r="E294" s="55" t="s">
        <v>4556</v>
      </c>
      <c r="F294" s="55" t="s">
        <v>4561</v>
      </c>
      <c r="G294" s="55" t="s">
        <v>4562</v>
      </c>
      <c r="H294" s="55" t="s">
        <v>17</v>
      </c>
      <c r="I294" s="55" t="s">
        <v>4563</v>
      </c>
    </row>
    <row r="295" customFormat="false" ht="15" hidden="false" customHeight="false" outlineLevel="0" collapsed="false">
      <c r="A295" s="55" t="s">
        <v>4887</v>
      </c>
      <c r="B295" s="55" t="s">
        <v>2609</v>
      </c>
      <c r="C295" s="55" t="s">
        <v>2608</v>
      </c>
      <c r="D295" s="55" t="s">
        <v>45</v>
      </c>
      <c r="E295" s="55" t="s">
        <v>4556</v>
      </c>
      <c r="F295" s="55" t="s">
        <v>4561</v>
      </c>
      <c r="G295" s="55" t="s">
        <v>4565</v>
      </c>
      <c r="H295" s="55" t="s">
        <v>21</v>
      </c>
      <c r="I295" s="55" t="s">
        <v>4566</v>
      </c>
    </row>
    <row r="296" customFormat="false" ht="15" hidden="false" customHeight="false" outlineLevel="0" collapsed="false">
      <c r="A296" s="55" t="s">
        <v>4888</v>
      </c>
      <c r="B296" s="55" t="s">
        <v>2864</v>
      </c>
      <c r="C296" s="55" t="s">
        <v>3491</v>
      </c>
      <c r="D296" s="55" t="s">
        <v>46</v>
      </c>
      <c r="E296" s="55" t="s">
        <v>4556</v>
      </c>
      <c r="F296" s="55" t="s">
        <v>4864</v>
      </c>
      <c r="G296" s="55" t="s">
        <v>4865</v>
      </c>
      <c r="H296" s="55" t="s">
        <v>21</v>
      </c>
      <c r="I296" s="55" t="s">
        <v>4566</v>
      </c>
    </row>
    <row r="297" customFormat="false" ht="15" hidden="false" customHeight="false" outlineLevel="0" collapsed="false">
      <c r="A297" s="55" t="s">
        <v>4889</v>
      </c>
      <c r="B297" s="55" t="s">
        <v>1240</v>
      </c>
      <c r="C297" s="55" t="s">
        <v>1239</v>
      </c>
      <c r="D297" s="55" t="s">
        <v>45</v>
      </c>
      <c r="E297" s="55" t="s">
        <v>4556</v>
      </c>
      <c r="F297" s="55" t="s">
        <v>4561</v>
      </c>
      <c r="G297" s="55" t="s">
        <v>4562</v>
      </c>
      <c r="H297" s="55" t="s">
        <v>17</v>
      </c>
      <c r="I297" s="55" t="s">
        <v>4563</v>
      </c>
    </row>
    <row r="298" customFormat="false" ht="15" hidden="false" customHeight="false" outlineLevel="0" collapsed="false">
      <c r="A298" s="55" t="s">
        <v>4890</v>
      </c>
      <c r="B298" s="55" t="s">
        <v>1240</v>
      </c>
      <c r="C298" s="55" t="s">
        <v>1239</v>
      </c>
      <c r="D298" s="55" t="s">
        <v>46</v>
      </c>
      <c r="E298" s="55" t="s">
        <v>4556</v>
      </c>
      <c r="F298" s="55" t="s">
        <v>4561</v>
      </c>
      <c r="G298" s="55" t="s">
        <v>4562</v>
      </c>
      <c r="H298" s="55" t="s">
        <v>17</v>
      </c>
      <c r="I298" s="55" t="s">
        <v>4563</v>
      </c>
    </row>
    <row r="299" customFormat="false" ht="15" hidden="false" customHeight="false" outlineLevel="0" collapsed="false">
      <c r="A299" s="55" t="s">
        <v>4891</v>
      </c>
      <c r="B299" s="55" t="s">
        <v>724</v>
      </c>
      <c r="C299" s="55" t="s">
        <v>723</v>
      </c>
      <c r="D299" s="55" t="s">
        <v>45</v>
      </c>
      <c r="E299" s="55" t="s">
        <v>4556</v>
      </c>
      <c r="F299" s="55" t="s">
        <v>4561</v>
      </c>
      <c r="G299" s="55" t="s">
        <v>4565</v>
      </c>
      <c r="H299" s="55" t="s">
        <v>21</v>
      </c>
      <c r="I299" s="55" t="s">
        <v>4566</v>
      </c>
    </row>
    <row r="300" customFormat="false" ht="15" hidden="false" customHeight="false" outlineLevel="0" collapsed="false">
      <c r="A300" s="55" t="s">
        <v>4892</v>
      </c>
      <c r="B300" s="55" t="s">
        <v>1277</v>
      </c>
      <c r="C300" s="55" t="s">
        <v>1276</v>
      </c>
      <c r="D300" s="55" t="s">
        <v>46</v>
      </c>
      <c r="E300" s="55" t="s">
        <v>4556</v>
      </c>
      <c r="F300" s="55" t="s">
        <v>4561</v>
      </c>
      <c r="G300" s="55" t="s">
        <v>4562</v>
      </c>
      <c r="H300" s="55" t="s">
        <v>17</v>
      </c>
      <c r="I300" s="55" t="s">
        <v>4563</v>
      </c>
    </row>
    <row r="301" customFormat="false" ht="15" hidden="false" customHeight="false" outlineLevel="0" collapsed="false">
      <c r="A301" s="55" t="s">
        <v>4893</v>
      </c>
      <c r="B301" s="55" t="s">
        <v>378</v>
      </c>
      <c r="C301" s="55" t="s">
        <v>377</v>
      </c>
      <c r="D301" s="55" t="s">
        <v>46</v>
      </c>
      <c r="E301" s="55" t="s">
        <v>4556</v>
      </c>
      <c r="F301" s="55" t="s">
        <v>4557</v>
      </c>
      <c r="G301" s="55" t="s">
        <v>4558</v>
      </c>
      <c r="H301" s="55" t="s">
        <v>21</v>
      </c>
      <c r="I301" s="55" t="s">
        <v>4566</v>
      </c>
    </row>
    <row r="302" customFormat="false" ht="15" hidden="false" customHeight="false" outlineLevel="0" collapsed="false">
      <c r="A302" s="55" t="s">
        <v>4894</v>
      </c>
      <c r="B302" s="55" t="s">
        <v>2437</v>
      </c>
      <c r="C302" s="55" t="s">
        <v>2436</v>
      </c>
      <c r="D302" s="55" t="s">
        <v>46</v>
      </c>
      <c r="E302" s="55" t="s">
        <v>4556</v>
      </c>
      <c r="F302" s="55" t="s">
        <v>4703</v>
      </c>
      <c r="G302" s="55" t="s">
        <v>4704</v>
      </c>
      <c r="H302" s="55" t="s">
        <v>21</v>
      </c>
      <c r="I302" s="55" t="s">
        <v>4566</v>
      </c>
    </row>
    <row r="303" customFormat="false" ht="15" hidden="false" customHeight="false" outlineLevel="0" collapsed="false">
      <c r="A303" s="55" t="s">
        <v>4895</v>
      </c>
      <c r="B303" s="55" t="s">
        <v>1152</v>
      </c>
      <c r="C303" s="55" t="s">
        <v>1151</v>
      </c>
      <c r="D303" s="55" t="s">
        <v>46</v>
      </c>
      <c r="E303" s="55" t="s">
        <v>4556</v>
      </c>
      <c r="F303" s="55" t="s">
        <v>4571</v>
      </c>
      <c r="G303" s="55" t="s">
        <v>4572</v>
      </c>
      <c r="H303" s="55" t="s">
        <v>21</v>
      </c>
      <c r="I303" s="55" t="s">
        <v>4566</v>
      </c>
    </row>
    <row r="304" customFormat="false" ht="15" hidden="false" customHeight="false" outlineLevel="0" collapsed="false">
      <c r="A304" s="55" t="s">
        <v>4896</v>
      </c>
      <c r="B304" s="55" t="s">
        <v>2267</v>
      </c>
      <c r="C304" s="55" t="s">
        <v>2266</v>
      </c>
      <c r="D304" s="55" t="s">
        <v>46</v>
      </c>
      <c r="E304" s="55" t="s">
        <v>4556</v>
      </c>
      <c r="F304" s="55" t="s">
        <v>4413</v>
      </c>
      <c r="G304" s="55" t="s">
        <v>4730</v>
      </c>
      <c r="H304" s="55" t="s">
        <v>17</v>
      </c>
      <c r="I304" s="55" t="s">
        <v>4563</v>
      </c>
    </row>
    <row r="305" customFormat="false" ht="15" hidden="false" customHeight="false" outlineLevel="0" collapsed="false">
      <c r="A305" s="55" t="s">
        <v>4897</v>
      </c>
      <c r="B305" s="55" t="s">
        <v>2267</v>
      </c>
      <c r="C305" s="55" t="s">
        <v>2266</v>
      </c>
      <c r="D305" s="55" t="s">
        <v>47</v>
      </c>
      <c r="E305" s="55" t="s">
        <v>4556</v>
      </c>
      <c r="F305" s="55" t="s">
        <v>4557</v>
      </c>
      <c r="G305" s="55" t="s">
        <v>4558</v>
      </c>
      <c r="H305" s="55" t="s">
        <v>21</v>
      </c>
      <c r="I305" s="55" t="s">
        <v>4559</v>
      </c>
    </row>
    <row r="306" customFormat="false" ht="15" hidden="false" customHeight="false" outlineLevel="0" collapsed="false">
      <c r="A306" s="55" t="s">
        <v>4898</v>
      </c>
      <c r="B306" s="55" t="s">
        <v>1267</v>
      </c>
      <c r="C306" s="55" t="s">
        <v>1266</v>
      </c>
      <c r="D306" s="55" t="s">
        <v>46</v>
      </c>
      <c r="E306" s="55" t="s">
        <v>4556</v>
      </c>
      <c r="F306" s="55" t="s">
        <v>4561</v>
      </c>
      <c r="G306" s="55" t="s">
        <v>4565</v>
      </c>
      <c r="H306" s="55" t="s">
        <v>21</v>
      </c>
      <c r="I306" s="55" t="s">
        <v>4566</v>
      </c>
    </row>
    <row r="307" customFormat="false" ht="15" hidden="false" customHeight="false" outlineLevel="0" collapsed="false">
      <c r="A307" s="55" t="s">
        <v>4899</v>
      </c>
      <c r="B307" s="55" t="s">
        <v>1736</v>
      </c>
      <c r="C307" s="55" t="s">
        <v>1735</v>
      </c>
      <c r="D307" s="55" t="s">
        <v>45</v>
      </c>
      <c r="E307" s="55" t="s">
        <v>4556</v>
      </c>
      <c r="F307" s="55" t="s">
        <v>4636</v>
      </c>
      <c r="G307" s="55" t="s">
        <v>4637</v>
      </c>
      <c r="H307" s="55" t="s">
        <v>21</v>
      </c>
      <c r="I307" s="55" t="s">
        <v>4566</v>
      </c>
    </row>
    <row r="308" customFormat="false" ht="15" hidden="false" customHeight="false" outlineLevel="0" collapsed="false">
      <c r="A308" s="55" t="s">
        <v>4900</v>
      </c>
      <c r="B308" s="55" t="s">
        <v>1736</v>
      </c>
      <c r="C308" s="55" t="s">
        <v>1735</v>
      </c>
      <c r="D308" s="55" t="s">
        <v>46</v>
      </c>
      <c r="E308" s="55" t="s">
        <v>4556</v>
      </c>
      <c r="F308" s="55" t="s">
        <v>4557</v>
      </c>
      <c r="G308" s="55" t="s">
        <v>4558</v>
      </c>
      <c r="H308" s="55" t="s">
        <v>21</v>
      </c>
      <c r="I308" s="55" t="s">
        <v>4566</v>
      </c>
    </row>
    <row r="309" customFormat="false" ht="15" hidden="false" customHeight="false" outlineLevel="0" collapsed="false">
      <c r="A309" s="55" t="s">
        <v>4901</v>
      </c>
      <c r="B309" s="55" t="s">
        <v>452</v>
      </c>
      <c r="C309" s="55" t="s">
        <v>451</v>
      </c>
      <c r="D309" s="55" t="s">
        <v>45</v>
      </c>
      <c r="E309" s="55" t="s">
        <v>4556</v>
      </c>
      <c r="F309" s="55" t="s">
        <v>4557</v>
      </c>
      <c r="G309" s="55" t="s">
        <v>4558</v>
      </c>
      <c r="H309" s="55" t="s">
        <v>21</v>
      </c>
      <c r="I309" s="55" t="s">
        <v>4559</v>
      </c>
    </row>
    <row r="310" customFormat="false" ht="15" hidden="false" customHeight="false" outlineLevel="0" collapsed="false">
      <c r="A310" s="55" t="s">
        <v>4902</v>
      </c>
      <c r="B310" s="55" t="s">
        <v>452</v>
      </c>
      <c r="C310" s="55" t="s">
        <v>451</v>
      </c>
      <c r="D310" s="55" t="s">
        <v>47</v>
      </c>
      <c r="E310" s="55" t="s">
        <v>4556</v>
      </c>
      <c r="F310" s="55" t="s">
        <v>4471</v>
      </c>
      <c r="G310" s="55" t="s">
        <v>4669</v>
      </c>
      <c r="H310" s="55" t="s">
        <v>21</v>
      </c>
      <c r="I310" s="55" t="s">
        <v>4670</v>
      </c>
    </row>
    <row r="311" customFormat="false" ht="15" hidden="false" customHeight="false" outlineLevel="0" collapsed="false">
      <c r="A311" s="55" t="s">
        <v>4903</v>
      </c>
      <c r="B311" s="55" t="s">
        <v>298</v>
      </c>
      <c r="C311" s="55" t="s">
        <v>297</v>
      </c>
      <c r="D311" s="55" t="s">
        <v>45</v>
      </c>
      <c r="E311" s="55" t="s">
        <v>4556</v>
      </c>
      <c r="F311" s="55" t="s">
        <v>4561</v>
      </c>
      <c r="G311" s="55" t="s">
        <v>4565</v>
      </c>
      <c r="H311" s="55" t="s">
        <v>21</v>
      </c>
      <c r="I311" s="55" t="s">
        <v>4559</v>
      </c>
    </row>
    <row r="312" customFormat="false" ht="15" hidden="false" customHeight="false" outlineLevel="0" collapsed="false">
      <c r="A312" s="55" t="s">
        <v>4904</v>
      </c>
      <c r="B312" s="55" t="s">
        <v>298</v>
      </c>
      <c r="C312" s="55" t="s">
        <v>297</v>
      </c>
      <c r="D312" s="55" t="s">
        <v>46</v>
      </c>
      <c r="E312" s="55" t="s">
        <v>4556</v>
      </c>
      <c r="F312" s="55" t="s">
        <v>4557</v>
      </c>
      <c r="G312" s="55" t="s">
        <v>4558</v>
      </c>
      <c r="H312" s="55" t="s">
        <v>21</v>
      </c>
      <c r="I312" s="55" t="s">
        <v>4566</v>
      </c>
    </row>
    <row r="313" customFormat="false" ht="15" hidden="false" customHeight="false" outlineLevel="0" collapsed="false">
      <c r="A313" s="55" t="s">
        <v>4905</v>
      </c>
      <c r="B313" s="55" t="s">
        <v>2685</v>
      </c>
      <c r="C313" s="55" t="s">
        <v>2684</v>
      </c>
      <c r="D313" s="55" t="s">
        <v>46</v>
      </c>
      <c r="E313" s="55" t="s">
        <v>4556</v>
      </c>
      <c r="F313" s="55" t="s">
        <v>4561</v>
      </c>
      <c r="G313" s="55" t="s">
        <v>4596</v>
      </c>
      <c r="H313" s="55" t="s">
        <v>84</v>
      </c>
      <c r="I313" s="55" t="s">
        <v>4611</v>
      </c>
    </row>
    <row r="314" customFormat="false" ht="15" hidden="false" customHeight="false" outlineLevel="0" collapsed="false">
      <c r="A314" s="55" t="s">
        <v>4906</v>
      </c>
      <c r="B314" s="55" t="s">
        <v>482</v>
      </c>
      <c r="C314" s="55" t="s">
        <v>481</v>
      </c>
      <c r="D314" s="55" t="s">
        <v>45</v>
      </c>
      <c r="E314" s="55" t="s">
        <v>4556</v>
      </c>
      <c r="F314" s="55" t="s">
        <v>4557</v>
      </c>
      <c r="G314" s="55" t="s">
        <v>4558</v>
      </c>
      <c r="H314" s="55" t="s">
        <v>21</v>
      </c>
      <c r="I314" s="55" t="s">
        <v>4566</v>
      </c>
    </row>
    <row r="315" customFormat="false" ht="15" hidden="false" customHeight="false" outlineLevel="0" collapsed="false">
      <c r="A315" s="55" t="s">
        <v>4907</v>
      </c>
      <c r="B315" s="55" t="s">
        <v>482</v>
      </c>
      <c r="C315" s="55" t="s">
        <v>481</v>
      </c>
      <c r="D315" s="55" t="s">
        <v>46</v>
      </c>
      <c r="E315" s="55" t="s">
        <v>4556</v>
      </c>
      <c r="F315" s="55" t="s">
        <v>4557</v>
      </c>
      <c r="G315" s="55" t="s">
        <v>4558</v>
      </c>
      <c r="H315" s="55" t="s">
        <v>21</v>
      </c>
      <c r="I315" s="55" t="s">
        <v>4559</v>
      </c>
    </row>
    <row r="316" customFormat="false" ht="15" hidden="false" customHeight="false" outlineLevel="0" collapsed="false">
      <c r="A316" s="55" t="s">
        <v>4908</v>
      </c>
      <c r="B316" s="55" t="s">
        <v>2874</v>
      </c>
      <c r="C316" s="55" t="s">
        <v>3509</v>
      </c>
      <c r="D316" s="55" t="s">
        <v>45</v>
      </c>
      <c r="E316" s="55" t="s">
        <v>4556</v>
      </c>
      <c r="F316" s="55" t="s">
        <v>4636</v>
      </c>
      <c r="G316" s="55" t="s">
        <v>4637</v>
      </c>
      <c r="H316" s="55" t="s">
        <v>21</v>
      </c>
      <c r="I316" s="55" t="s">
        <v>4566</v>
      </c>
    </row>
    <row r="317" customFormat="false" ht="15" hidden="false" customHeight="false" outlineLevel="0" collapsed="false">
      <c r="A317" s="55" t="s">
        <v>4909</v>
      </c>
      <c r="B317" s="55" t="s">
        <v>968</v>
      </c>
      <c r="C317" s="55" t="s">
        <v>967</v>
      </c>
      <c r="D317" s="55" t="s">
        <v>45</v>
      </c>
      <c r="E317" s="55" t="s">
        <v>4556</v>
      </c>
      <c r="F317" s="55" t="s">
        <v>4599</v>
      </c>
      <c r="G317" s="55" t="s">
        <v>4631</v>
      </c>
      <c r="H317" s="55" t="s">
        <v>21</v>
      </c>
      <c r="I317" s="55" t="s">
        <v>4632</v>
      </c>
    </row>
    <row r="318" customFormat="false" ht="15" hidden="false" customHeight="false" outlineLevel="0" collapsed="false">
      <c r="A318" s="55" t="s">
        <v>4910</v>
      </c>
      <c r="B318" s="55" t="s">
        <v>1622</v>
      </c>
      <c r="C318" s="55" t="s">
        <v>1621</v>
      </c>
      <c r="D318" s="55" t="s">
        <v>45</v>
      </c>
      <c r="E318" s="55" t="s">
        <v>4556</v>
      </c>
      <c r="F318" s="55" t="s">
        <v>4703</v>
      </c>
      <c r="G318" s="55" t="s">
        <v>4704</v>
      </c>
      <c r="H318" s="55" t="s">
        <v>21</v>
      </c>
      <c r="I318" s="55" t="s">
        <v>4566</v>
      </c>
    </row>
    <row r="319" customFormat="false" ht="15" hidden="false" customHeight="false" outlineLevel="0" collapsed="false">
      <c r="A319" s="55" t="s">
        <v>4911</v>
      </c>
      <c r="B319" s="55" t="s">
        <v>1622</v>
      </c>
      <c r="C319" s="55" t="s">
        <v>1621</v>
      </c>
      <c r="D319" s="55" t="s">
        <v>47</v>
      </c>
      <c r="E319" s="55" t="s">
        <v>4556</v>
      </c>
      <c r="F319" s="55" t="s">
        <v>4557</v>
      </c>
      <c r="G319" s="55" t="s">
        <v>4558</v>
      </c>
      <c r="H319" s="55" t="s">
        <v>21</v>
      </c>
      <c r="I319" s="55" t="s">
        <v>4566</v>
      </c>
    </row>
    <row r="320" customFormat="false" ht="15" hidden="false" customHeight="false" outlineLevel="0" collapsed="false">
      <c r="A320" s="55" t="s">
        <v>4912</v>
      </c>
      <c r="B320" s="55" t="s">
        <v>448</v>
      </c>
      <c r="C320" s="55" t="s">
        <v>447</v>
      </c>
      <c r="D320" s="55" t="s">
        <v>45</v>
      </c>
      <c r="E320" s="55" t="s">
        <v>4556</v>
      </c>
      <c r="F320" s="55" t="s">
        <v>4561</v>
      </c>
      <c r="G320" s="55" t="s">
        <v>4562</v>
      </c>
      <c r="H320" s="55" t="s">
        <v>17</v>
      </c>
      <c r="I320" s="55" t="s">
        <v>4563</v>
      </c>
    </row>
    <row r="321" customFormat="false" ht="15" hidden="false" customHeight="false" outlineLevel="0" collapsed="false">
      <c r="A321" s="55" t="s">
        <v>4913</v>
      </c>
      <c r="B321" s="55" t="s">
        <v>352</v>
      </c>
      <c r="C321" s="55" t="s">
        <v>351</v>
      </c>
      <c r="D321" s="55" t="s">
        <v>45</v>
      </c>
      <c r="E321" s="55" t="s">
        <v>4556</v>
      </c>
      <c r="F321" s="55" t="s">
        <v>4557</v>
      </c>
      <c r="G321" s="55" t="s">
        <v>4558</v>
      </c>
      <c r="H321" s="55" t="s">
        <v>21</v>
      </c>
      <c r="I321" s="55" t="s">
        <v>4566</v>
      </c>
    </row>
    <row r="322" customFormat="false" ht="15" hidden="false" customHeight="false" outlineLevel="0" collapsed="false">
      <c r="A322" s="55" t="s">
        <v>4914</v>
      </c>
      <c r="B322" s="55" t="s">
        <v>2663</v>
      </c>
      <c r="C322" s="55" t="s">
        <v>2662</v>
      </c>
      <c r="D322" s="55" t="s">
        <v>46</v>
      </c>
      <c r="E322" s="55" t="s">
        <v>4556</v>
      </c>
      <c r="F322" s="55" t="s">
        <v>4561</v>
      </c>
      <c r="G322" s="55" t="s">
        <v>4565</v>
      </c>
      <c r="H322" s="55" t="s">
        <v>21</v>
      </c>
      <c r="I322" s="55" t="s">
        <v>4566</v>
      </c>
    </row>
    <row r="323" customFormat="false" ht="15" hidden="false" customHeight="false" outlineLevel="0" collapsed="false">
      <c r="A323" s="55" t="s">
        <v>4915</v>
      </c>
      <c r="B323" s="55" t="s">
        <v>1466</v>
      </c>
      <c r="C323" s="55" t="s">
        <v>1465</v>
      </c>
      <c r="D323" s="55" t="s">
        <v>45</v>
      </c>
      <c r="E323" s="55" t="s">
        <v>4556</v>
      </c>
      <c r="F323" s="55" t="s">
        <v>4561</v>
      </c>
      <c r="G323" s="55" t="s">
        <v>4565</v>
      </c>
      <c r="H323" s="55" t="s">
        <v>21</v>
      </c>
      <c r="I323" s="55" t="s">
        <v>4566</v>
      </c>
    </row>
    <row r="324" customFormat="false" ht="15" hidden="false" customHeight="false" outlineLevel="0" collapsed="false">
      <c r="A324" s="55" t="s">
        <v>4916</v>
      </c>
      <c r="B324" s="55" t="s">
        <v>1466</v>
      </c>
      <c r="C324" s="55" t="s">
        <v>1465</v>
      </c>
      <c r="D324" s="55" t="s">
        <v>46</v>
      </c>
      <c r="E324" s="55" t="s">
        <v>4556</v>
      </c>
      <c r="F324" s="55" t="s">
        <v>4557</v>
      </c>
      <c r="G324" s="55" t="s">
        <v>4558</v>
      </c>
      <c r="H324" s="55" t="s">
        <v>21</v>
      </c>
      <c r="I324" s="55" t="s">
        <v>4566</v>
      </c>
    </row>
    <row r="325" customFormat="false" ht="15" hidden="false" customHeight="false" outlineLevel="0" collapsed="false">
      <c r="A325" s="55" t="s">
        <v>4917</v>
      </c>
      <c r="B325" s="55" t="s">
        <v>1825</v>
      </c>
      <c r="C325" s="55" t="s">
        <v>1824</v>
      </c>
      <c r="D325" s="55" t="s">
        <v>45</v>
      </c>
      <c r="E325" s="55" t="s">
        <v>4556</v>
      </c>
      <c r="F325" s="55" t="s">
        <v>4561</v>
      </c>
      <c r="G325" s="55" t="s">
        <v>4565</v>
      </c>
      <c r="H325" s="55" t="s">
        <v>21</v>
      </c>
      <c r="I325" s="55" t="s">
        <v>4566</v>
      </c>
    </row>
    <row r="326" customFormat="false" ht="15" hidden="false" customHeight="false" outlineLevel="0" collapsed="false">
      <c r="A326" s="55" t="s">
        <v>4918</v>
      </c>
      <c r="B326" s="55" t="s">
        <v>1825</v>
      </c>
      <c r="C326" s="55" t="s">
        <v>1824</v>
      </c>
      <c r="D326" s="55" t="s">
        <v>46</v>
      </c>
      <c r="E326" s="55" t="s">
        <v>4556</v>
      </c>
      <c r="F326" s="55" t="s">
        <v>4557</v>
      </c>
      <c r="G326" s="55" t="s">
        <v>4558</v>
      </c>
      <c r="H326" s="55" t="s">
        <v>21</v>
      </c>
      <c r="I326" s="55" t="s">
        <v>4566</v>
      </c>
    </row>
    <row r="327" customFormat="false" ht="15" hidden="false" customHeight="false" outlineLevel="0" collapsed="false">
      <c r="A327" s="55" t="s">
        <v>4919</v>
      </c>
      <c r="B327" s="55" t="s">
        <v>918</v>
      </c>
      <c r="C327" s="55" t="s">
        <v>917</v>
      </c>
      <c r="D327" s="55" t="s">
        <v>45</v>
      </c>
      <c r="E327" s="55" t="s">
        <v>4556</v>
      </c>
      <c r="F327" s="55" t="s">
        <v>4557</v>
      </c>
      <c r="G327" s="55" t="s">
        <v>4558</v>
      </c>
      <c r="H327" s="55" t="s">
        <v>21</v>
      </c>
      <c r="I327" s="55" t="s">
        <v>4566</v>
      </c>
    </row>
    <row r="328" customFormat="false" ht="15" hidden="false" customHeight="false" outlineLevel="0" collapsed="false">
      <c r="A328" s="55" t="s">
        <v>4920</v>
      </c>
      <c r="B328" s="55" t="s">
        <v>918</v>
      </c>
      <c r="C328" s="55" t="s">
        <v>917</v>
      </c>
      <c r="D328" s="55" t="s">
        <v>46</v>
      </c>
      <c r="E328" s="55" t="s">
        <v>4556</v>
      </c>
      <c r="F328" s="55" t="s">
        <v>4557</v>
      </c>
      <c r="G328" s="55" t="s">
        <v>4558</v>
      </c>
      <c r="H328" s="55" t="s">
        <v>21</v>
      </c>
      <c r="I328" s="55" t="s">
        <v>4566</v>
      </c>
    </row>
    <row r="329" customFormat="false" ht="15" hidden="false" customHeight="false" outlineLevel="0" collapsed="false">
      <c r="A329" s="55" t="s">
        <v>4921</v>
      </c>
      <c r="B329" s="55" t="s">
        <v>2239</v>
      </c>
      <c r="C329" s="55" t="s">
        <v>2238</v>
      </c>
      <c r="D329" s="55" t="s">
        <v>46</v>
      </c>
      <c r="E329" s="55" t="s">
        <v>4556</v>
      </c>
      <c r="F329" s="55" t="s">
        <v>4561</v>
      </c>
      <c r="G329" s="55" t="s">
        <v>4562</v>
      </c>
      <c r="H329" s="55" t="s">
        <v>17</v>
      </c>
      <c r="I329" s="55" t="s">
        <v>4563</v>
      </c>
    </row>
    <row r="330" customFormat="false" ht="15" hidden="false" customHeight="false" outlineLevel="0" collapsed="false">
      <c r="A330" s="55" t="s">
        <v>4922</v>
      </c>
      <c r="B330" s="55" t="s">
        <v>2161</v>
      </c>
      <c r="C330" s="55" t="s">
        <v>2160</v>
      </c>
      <c r="D330" s="55" t="s">
        <v>46</v>
      </c>
      <c r="E330" s="55" t="s">
        <v>4556</v>
      </c>
      <c r="F330" s="55" t="s">
        <v>4568</v>
      </c>
      <c r="G330" s="55" t="s">
        <v>4592</v>
      </c>
      <c r="H330" s="55" t="s">
        <v>21</v>
      </c>
      <c r="I330" s="55" t="s">
        <v>4566</v>
      </c>
    </row>
    <row r="331" customFormat="false" ht="15" hidden="false" customHeight="false" outlineLevel="0" collapsed="false">
      <c r="A331" s="55" t="s">
        <v>4923</v>
      </c>
      <c r="B331" s="55" t="s">
        <v>1126</v>
      </c>
      <c r="C331" s="55" t="s">
        <v>1125</v>
      </c>
      <c r="D331" s="55" t="s">
        <v>45</v>
      </c>
      <c r="E331" s="55" t="s">
        <v>4556</v>
      </c>
      <c r="F331" s="55" t="s">
        <v>4557</v>
      </c>
      <c r="G331" s="55" t="s">
        <v>4558</v>
      </c>
      <c r="H331" s="55" t="s">
        <v>21</v>
      </c>
      <c r="I331" s="55" t="s">
        <v>4566</v>
      </c>
    </row>
    <row r="332" customFormat="false" ht="15" hidden="false" customHeight="false" outlineLevel="0" collapsed="false">
      <c r="A332" s="55" t="s">
        <v>4924</v>
      </c>
      <c r="B332" s="55" t="s">
        <v>1126</v>
      </c>
      <c r="C332" s="55" t="s">
        <v>1125</v>
      </c>
      <c r="D332" s="55" t="s">
        <v>47</v>
      </c>
      <c r="E332" s="55" t="s">
        <v>4556</v>
      </c>
      <c r="F332" s="55" t="s">
        <v>4557</v>
      </c>
      <c r="G332" s="55" t="s">
        <v>4650</v>
      </c>
      <c r="H332" s="55" t="s">
        <v>17</v>
      </c>
      <c r="I332" s="55" t="s">
        <v>4601</v>
      </c>
    </row>
    <row r="333" customFormat="false" ht="15" hidden="false" customHeight="false" outlineLevel="0" collapsed="false">
      <c r="A333" s="55" t="s">
        <v>4925</v>
      </c>
      <c r="B333" s="55" t="s">
        <v>1849</v>
      </c>
      <c r="C333" s="55" t="s">
        <v>1848</v>
      </c>
      <c r="D333" s="55" t="s">
        <v>45</v>
      </c>
      <c r="E333" s="55" t="s">
        <v>4556</v>
      </c>
      <c r="F333" s="55" t="s">
        <v>4636</v>
      </c>
      <c r="G333" s="55" t="s">
        <v>4637</v>
      </c>
      <c r="H333" s="55" t="s">
        <v>21</v>
      </c>
      <c r="I333" s="55" t="s">
        <v>4566</v>
      </c>
    </row>
    <row r="334" customFormat="false" ht="15" hidden="false" customHeight="false" outlineLevel="0" collapsed="false">
      <c r="A334" s="55" t="s">
        <v>4926</v>
      </c>
      <c r="B334" s="55" t="s">
        <v>258</v>
      </c>
      <c r="C334" s="55" t="s">
        <v>257</v>
      </c>
      <c r="D334" s="55" t="s">
        <v>46</v>
      </c>
      <c r="E334" s="55" t="s">
        <v>4556</v>
      </c>
      <c r="F334" s="55" t="s">
        <v>4557</v>
      </c>
      <c r="G334" s="55" t="s">
        <v>4558</v>
      </c>
      <c r="H334" s="55" t="s">
        <v>21</v>
      </c>
      <c r="I334" s="55" t="s">
        <v>4559</v>
      </c>
    </row>
    <row r="335" customFormat="false" ht="15" hidden="false" customHeight="false" outlineLevel="0" collapsed="false">
      <c r="A335" s="55" t="s">
        <v>4927</v>
      </c>
      <c r="B335" s="55" t="s">
        <v>1075</v>
      </c>
      <c r="C335" s="55" t="s">
        <v>1074</v>
      </c>
      <c r="D335" s="55" t="s">
        <v>45</v>
      </c>
      <c r="E335" s="55" t="s">
        <v>4556</v>
      </c>
      <c r="F335" s="55" t="s">
        <v>4557</v>
      </c>
      <c r="G335" s="55" t="s">
        <v>4558</v>
      </c>
      <c r="H335" s="55" t="s">
        <v>21</v>
      </c>
      <c r="I335" s="55" t="s">
        <v>4566</v>
      </c>
    </row>
    <row r="336" customFormat="false" ht="15" hidden="false" customHeight="false" outlineLevel="0" collapsed="false">
      <c r="A336" s="55" t="s">
        <v>4928</v>
      </c>
      <c r="B336" s="55" t="s">
        <v>1075</v>
      </c>
      <c r="C336" s="55" t="s">
        <v>1074</v>
      </c>
      <c r="D336" s="55" t="s">
        <v>46</v>
      </c>
      <c r="E336" s="55" t="s">
        <v>4556</v>
      </c>
      <c r="F336" s="55" t="s">
        <v>4561</v>
      </c>
      <c r="G336" s="55" t="s">
        <v>4562</v>
      </c>
      <c r="H336" s="55" t="s">
        <v>17</v>
      </c>
      <c r="I336" s="55" t="s">
        <v>4563</v>
      </c>
    </row>
    <row r="337" customFormat="false" ht="15" hidden="false" customHeight="false" outlineLevel="0" collapsed="false">
      <c r="A337" s="55" t="s">
        <v>4929</v>
      </c>
      <c r="B337" s="55" t="s">
        <v>1485</v>
      </c>
      <c r="C337" s="55" t="s">
        <v>1484</v>
      </c>
      <c r="D337" s="55" t="s">
        <v>46</v>
      </c>
      <c r="E337" s="55" t="s">
        <v>4556</v>
      </c>
      <c r="F337" s="55" t="s">
        <v>4557</v>
      </c>
      <c r="G337" s="55" t="s">
        <v>4558</v>
      </c>
      <c r="H337" s="55" t="s">
        <v>21</v>
      </c>
      <c r="I337" s="55" t="s">
        <v>4566</v>
      </c>
    </row>
    <row r="338" customFormat="false" ht="15" hidden="false" customHeight="false" outlineLevel="0" collapsed="false">
      <c r="A338" s="55" t="s">
        <v>4930</v>
      </c>
      <c r="B338" s="55" t="s">
        <v>2430</v>
      </c>
      <c r="C338" s="55" t="s">
        <v>2429</v>
      </c>
      <c r="D338" s="55" t="s">
        <v>46</v>
      </c>
      <c r="E338" s="55" t="s">
        <v>4556</v>
      </c>
      <c r="F338" s="55" t="s">
        <v>4571</v>
      </c>
      <c r="G338" s="55" t="s">
        <v>4572</v>
      </c>
      <c r="H338" s="55" t="s">
        <v>21</v>
      </c>
      <c r="I338" s="55" t="s">
        <v>4566</v>
      </c>
    </row>
    <row r="339" customFormat="false" ht="15" hidden="false" customHeight="false" outlineLevel="0" collapsed="false">
      <c r="A339" s="55" t="s">
        <v>4931</v>
      </c>
      <c r="B339" s="55" t="s">
        <v>2887</v>
      </c>
      <c r="C339" s="55" t="s">
        <v>3531</v>
      </c>
      <c r="D339" s="55" t="s">
        <v>46</v>
      </c>
      <c r="E339" s="55" t="s">
        <v>4556</v>
      </c>
      <c r="F339" s="55" t="s">
        <v>4703</v>
      </c>
      <c r="G339" s="55" t="s">
        <v>4704</v>
      </c>
      <c r="H339" s="55" t="s">
        <v>21</v>
      </c>
      <c r="I339" s="55" t="s">
        <v>4566</v>
      </c>
    </row>
    <row r="340" customFormat="false" ht="15" hidden="false" customHeight="false" outlineLevel="0" collapsed="false">
      <c r="A340" s="55" t="s">
        <v>4932</v>
      </c>
      <c r="B340" s="55" t="s">
        <v>984</v>
      </c>
      <c r="C340" s="55" t="s">
        <v>983</v>
      </c>
      <c r="D340" s="55" t="s">
        <v>46</v>
      </c>
      <c r="E340" s="55" t="s">
        <v>4556</v>
      </c>
      <c r="F340" s="55" t="s">
        <v>4557</v>
      </c>
      <c r="G340" s="55" t="s">
        <v>4558</v>
      </c>
      <c r="H340" s="55" t="s">
        <v>21</v>
      </c>
      <c r="I340" s="55" t="s">
        <v>4566</v>
      </c>
    </row>
    <row r="341" customFormat="false" ht="15" hidden="false" customHeight="false" outlineLevel="0" collapsed="false">
      <c r="A341" s="55" t="s">
        <v>4933</v>
      </c>
      <c r="B341" s="55" t="s">
        <v>735</v>
      </c>
      <c r="C341" s="55" t="s">
        <v>734</v>
      </c>
      <c r="D341" s="55" t="s">
        <v>45</v>
      </c>
      <c r="E341" s="55" t="s">
        <v>4556</v>
      </c>
      <c r="F341" s="55" t="s">
        <v>4413</v>
      </c>
      <c r="G341" s="55" t="s">
        <v>4717</v>
      </c>
      <c r="H341" s="55" t="s">
        <v>21</v>
      </c>
      <c r="I341" s="55" t="s">
        <v>4781</v>
      </c>
    </row>
    <row r="342" customFormat="false" ht="15" hidden="false" customHeight="false" outlineLevel="0" collapsed="false">
      <c r="A342" s="55" t="s">
        <v>4934</v>
      </c>
      <c r="B342" s="55" t="s">
        <v>735</v>
      </c>
      <c r="C342" s="55" t="s">
        <v>734</v>
      </c>
      <c r="D342" s="55" t="s">
        <v>46</v>
      </c>
      <c r="E342" s="55" t="s">
        <v>4556</v>
      </c>
      <c r="F342" s="55" t="s">
        <v>4561</v>
      </c>
      <c r="G342" s="55" t="s">
        <v>4562</v>
      </c>
      <c r="H342" s="55" t="s">
        <v>17</v>
      </c>
      <c r="I342" s="55" t="s">
        <v>4563</v>
      </c>
    </row>
    <row r="343" customFormat="false" ht="15" hidden="false" customHeight="false" outlineLevel="0" collapsed="false">
      <c r="A343" s="55" t="s">
        <v>4935</v>
      </c>
      <c r="B343" s="55" t="s">
        <v>2890</v>
      </c>
      <c r="C343" s="55" t="s">
        <v>3535</v>
      </c>
      <c r="D343" s="55" t="s">
        <v>47</v>
      </c>
      <c r="E343" s="55" t="s">
        <v>4556</v>
      </c>
      <c r="F343" s="55" t="s">
        <v>4561</v>
      </c>
      <c r="G343" s="55" t="s">
        <v>4565</v>
      </c>
      <c r="H343" s="55" t="s">
        <v>21</v>
      </c>
      <c r="I343" s="55" t="s">
        <v>4559</v>
      </c>
    </row>
    <row r="344" customFormat="false" ht="15" hidden="false" customHeight="false" outlineLevel="0" collapsed="false">
      <c r="A344" s="55" t="s">
        <v>4936</v>
      </c>
      <c r="B344" s="55" t="s">
        <v>550</v>
      </c>
      <c r="C344" s="55" t="s">
        <v>549</v>
      </c>
      <c r="D344" s="55" t="s">
        <v>45</v>
      </c>
      <c r="E344" s="55" t="s">
        <v>4556</v>
      </c>
      <c r="F344" s="55" t="s">
        <v>4557</v>
      </c>
      <c r="G344" s="55" t="s">
        <v>4558</v>
      </c>
      <c r="H344" s="55" t="s">
        <v>21</v>
      </c>
      <c r="I344" s="55" t="s">
        <v>4566</v>
      </c>
    </row>
    <row r="345" customFormat="false" ht="15" hidden="false" customHeight="false" outlineLevel="0" collapsed="false">
      <c r="A345" s="55" t="s">
        <v>4937</v>
      </c>
      <c r="B345" s="55" t="s">
        <v>550</v>
      </c>
      <c r="C345" s="55" t="s">
        <v>549</v>
      </c>
      <c r="D345" s="55" t="s">
        <v>46</v>
      </c>
      <c r="E345" s="55" t="s">
        <v>4556</v>
      </c>
      <c r="F345" s="55" t="s">
        <v>4557</v>
      </c>
      <c r="G345" s="55" t="s">
        <v>4558</v>
      </c>
      <c r="H345" s="55" t="s">
        <v>21</v>
      </c>
      <c r="I345" s="55" t="s">
        <v>4566</v>
      </c>
    </row>
    <row r="346" customFormat="false" ht="15" hidden="false" customHeight="false" outlineLevel="0" collapsed="false">
      <c r="A346" s="55" t="s">
        <v>4938</v>
      </c>
      <c r="B346" s="55" t="s">
        <v>979</v>
      </c>
      <c r="C346" s="55" t="s">
        <v>978</v>
      </c>
      <c r="D346" s="55" t="s">
        <v>46</v>
      </c>
      <c r="E346" s="55" t="s">
        <v>4556</v>
      </c>
      <c r="F346" s="55" t="s">
        <v>4197</v>
      </c>
      <c r="G346" s="55" t="s">
        <v>4579</v>
      </c>
      <c r="H346" s="55" t="s">
        <v>17</v>
      </c>
      <c r="I346" s="55" t="s">
        <v>4563</v>
      </c>
    </row>
    <row r="347" customFormat="false" ht="15" hidden="false" customHeight="false" outlineLevel="0" collapsed="false">
      <c r="A347" s="55" t="s">
        <v>4939</v>
      </c>
      <c r="B347" s="55" t="s">
        <v>1846</v>
      </c>
      <c r="C347" s="55" t="s">
        <v>1845</v>
      </c>
      <c r="D347" s="55" t="s">
        <v>45</v>
      </c>
      <c r="E347" s="55" t="s">
        <v>4556</v>
      </c>
      <c r="F347" s="55" t="s">
        <v>4561</v>
      </c>
      <c r="G347" s="55" t="s">
        <v>4565</v>
      </c>
      <c r="H347" s="55" t="s">
        <v>21</v>
      </c>
      <c r="I347" s="55" t="s">
        <v>4566</v>
      </c>
    </row>
    <row r="348" customFormat="false" ht="15" hidden="false" customHeight="false" outlineLevel="0" collapsed="false">
      <c r="A348" s="55" t="s">
        <v>4940</v>
      </c>
      <c r="B348" s="55" t="s">
        <v>1846</v>
      </c>
      <c r="C348" s="55" t="s">
        <v>1845</v>
      </c>
      <c r="D348" s="55" t="s">
        <v>46</v>
      </c>
      <c r="E348" s="55" t="s">
        <v>4556</v>
      </c>
      <c r="F348" s="55" t="s">
        <v>4557</v>
      </c>
      <c r="G348" s="55" t="s">
        <v>4558</v>
      </c>
      <c r="H348" s="55" t="s">
        <v>21</v>
      </c>
      <c r="I348" s="55" t="s">
        <v>4566</v>
      </c>
    </row>
    <row r="349" customFormat="false" ht="15" hidden="false" customHeight="false" outlineLevel="0" collapsed="false">
      <c r="A349" s="55" t="s">
        <v>4941</v>
      </c>
      <c r="B349" s="55" t="s">
        <v>2894</v>
      </c>
      <c r="C349" s="55" t="s">
        <v>3543</v>
      </c>
      <c r="D349" s="55" t="s">
        <v>45</v>
      </c>
      <c r="E349" s="55" t="s">
        <v>4556</v>
      </c>
      <c r="F349" s="55" t="s">
        <v>4703</v>
      </c>
      <c r="G349" s="55" t="s">
        <v>4835</v>
      </c>
      <c r="H349" s="55" t="s">
        <v>17</v>
      </c>
      <c r="I349" s="55" t="s">
        <v>4563</v>
      </c>
    </row>
    <row r="350" customFormat="false" ht="15" hidden="false" customHeight="false" outlineLevel="0" collapsed="false">
      <c r="A350" s="55" t="s">
        <v>4942</v>
      </c>
      <c r="B350" s="55" t="s">
        <v>2894</v>
      </c>
      <c r="C350" s="55" t="s">
        <v>3543</v>
      </c>
      <c r="D350" s="55" t="s">
        <v>46</v>
      </c>
      <c r="E350" s="55" t="s">
        <v>4556</v>
      </c>
      <c r="F350" s="55" t="s">
        <v>4703</v>
      </c>
      <c r="G350" s="55" t="s">
        <v>4704</v>
      </c>
      <c r="H350" s="55" t="s">
        <v>21</v>
      </c>
      <c r="I350" s="55" t="s">
        <v>4566</v>
      </c>
    </row>
    <row r="351" customFormat="false" ht="15" hidden="false" customHeight="false" outlineLevel="0" collapsed="false">
      <c r="A351" s="55" t="s">
        <v>4943</v>
      </c>
      <c r="B351" s="55" t="s">
        <v>1430</v>
      </c>
      <c r="C351" s="55" t="s">
        <v>1429</v>
      </c>
      <c r="D351" s="55" t="s">
        <v>45</v>
      </c>
      <c r="E351" s="55" t="s">
        <v>4556</v>
      </c>
      <c r="F351" s="55" t="s">
        <v>4197</v>
      </c>
      <c r="G351" s="55" t="s">
        <v>4589</v>
      </c>
      <c r="H351" s="55" t="s">
        <v>21</v>
      </c>
      <c r="I351" s="55" t="s">
        <v>4566</v>
      </c>
    </row>
    <row r="352" customFormat="false" ht="15" hidden="false" customHeight="false" outlineLevel="0" collapsed="false">
      <c r="A352" s="55" t="s">
        <v>4944</v>
      </c>
      <c r="B352" s="55" t="s">
        <v>1430</v>
      </c>
      <c r="C352" s="55" t="s">
        <v>1429</v>
      </c>
      <c r="D352" s="55" t="s">
        <v>47</v>
      </c>
      <c r="E352" s="55" t="s">
        <v>4556</v>
      </c>
      <c r="F352" s="55" t="s">
        <v>4864</v>
      </c>
      <c r="G352" s="55" t="s">
        <v>4865</v>
      </c>
      <c r="H352" s="55" t="s">
        <v>21</v>
      </c>
      <c r="I352" s="55" t="s">
        <v>4559</v>
      </c>
    </row>
    <row r="353" customFormat="false" ht="15" hidden="false" customHeight="false" outlineLevel="0" collapsed="false">
      <c r="A353" s="55" t="s">
        <v>4945</v>
      </c>
      <c r="B353" s="55" t="s">
        <v>2900</v>
      </c>
      <c r="C353" s="55" t="s">
        <v>3548</v>
      </c>
      <c r="D353" s="55" t="s">
        <v>46</v>
      </c>
      <c r="E353" s="55" t="s">
        <v>4556</v>
      </c>
      <c r="F353" s="55" t="s">
        <v>4568</v>
      </c>
      <c r="G353" s="55" t="s">
        <v>4592</v>
      </c>
      <c r="H353" s="55" t="s">
        <v>21</v>
      </c>
      <c r="I353" s="55" t="s">
        <v>4566</v>
      </c>
    </row>
    <row r="354" customFormat="false" ht="15" hidden="false" customHeight="false" outlineLevel="0" collapsed="false">
      <c r="A354" s="55" t="s">
        <v>4946</v>
      </c>
      <c r="B354" s="55" t="s">
        <v>2902</v>
      </c>
      <c r="C354" s="55" t="s">
        <v>3551</v>
      </c>
      <c r="D354" s="55" t="s">
        <v>46</v>
      </c>
      <c r="E354" s="55" t="s">
        <v>4556</v>
      </c>
      <c r="F354" s="55" t="s">
        <v>4571</v>
      </c>
      <c r="G354" s="55" t="s">
        <v>4572</v>
      </c>
      <c r="H354" s="55" t="s">
        <v>21</v>
      </c>
      <c r="I354" s="55" t="s">
        <v>4566</v>
      </c>
    </row>
    <row r="355" customFormat="false" ht="15" hidden="false" customHeight="false" outlineLevel="0" collapsed="false">
      <c r="A355" s="55" t="s">
        <v>4947</v>
      </c>
      <c r="B355" s="55" t="s">
        <v>1391</v>
      </c>
      <c r="C355" s="55" t="s">
        <v>1390</v>
      </c>
      <c r="D355" s="55" t="s">
        <v>45</v>
      </c>
      <c r="E355" s="55" t="s">
        <v>4556</v>
      </c>
      <c r="F355" s="55" t="s">
        <v>4653</v>
      </c>
      <c r="G355" s="55" t="s">
        <v>4654</v>
      </c>
      <c r="H355" s="55" t="s">
        <v>21</v>
      </c>
      <c r="I355" s="55" t="s">
        <v>4566</v>
      </c>
    </row>
    <row r="356" customFormat="false" ht="15" hidden="false" customHeight="false" outlineLevel="0" collapsed="false">
      <c r="A356" s="55" t="s">
        <v>4948</v>
      </c>
      <c r="B356" s="55" t="s">
        <v>1391</v>
      </c>
      <c r="C356" s="55" t="s">
        <v>1390</v>
      </c>
      <c r="D356" s="55" t="s">
        <v>46</v>
      </c>
      <c r="E356" s="55" t="s">
        <v>4556</v>
      </c>
      <c r="F356" s="55" t="s">
        <v>4557</v>
      </c>
      <c r="G356" s="55" t="s">
        <v>4558</v>
      </c>
      <c r="H356" s="55" t="s">
        <v>21</v>
      </c>
      <c r="I356" s="55" t="s">
        <v>4566</v>
      </c>
    </row>
    <row r="357" customFormat="false" ht="15" hidden="false" customHeight="false" outlineLevel="0" collapsed="false">
      <c r="A357" s="55" t="s">
        <v>4949</v>
      </c>
      <c r="B357" s="55" t="s">
        <v>396</v>
      </c>
      <c r="C357" s="55" t="s">
        <v>395</v>
      </c>
      <c r="D357" s="55" t="s">
        <v>45</v>
      </c>
      <c r="E357" s="55" t="s">
        <v>4556</v>
      </c>
      <c r="F357" s="55" t="s">
        <v>4557</v>
      </c>
      <c r="G357" s="55" t="s">
        <v>4558</v>
      </c>
      <c r="H357" s="55" t="s">
        <v>21</v>
      </c>
      <c r="I357" s="55" t="s">
        <v>4566</v>
      </c>
    </row>
    <row r="358" customFormat="false" ht="15" hidden="false" customHeight="false" outlineLevel="0" collapsed="false">
      <c r="A358" s="55" t="s">
        <v>4950</v>
      </c>
      <c r="B358" s="55" t="s">
        <v>396</v>
      </c>
      <c r="C358" s="55" t="s">
        <v>395</v>
      </c>
      <c r="D358" s="55" t="s">
        <v>46</v>
      </c>
      <c r="E358" s="55" t="s">
        <v>4556</v>
      </c>
      <c r="F358" s="55" t="s">
        <v>4557</v>
      </c>
      <c r="G358" s="55" t="s">
        <v>4558</v>
      </c>
      <c r="H358" s="55" t="s">
        <v>21</v>
      </c>
      <c r="I358" s="55" t="s">
        <v>4566</v>
      </c>
    </row>
    <row r="359" customFormat="false" ht="15" hidden="false" customHeight="false" outlineLevel="0" collapsed="false">
      <c r="A359" s="55" t="s">
        <v>4951</v>
      </c>
      <c r="B359" s="55" t="s">
        <v>2123</v>
      </c>
      <c r="C359" s="55" t="s">
        <v>2122</v>
      </c>
      <c r="D359" s="55" t="s">
        <v>45</v>
      </c>
      <c r="E359" s="55" t="s">
        <v>4556</v>
      </c>
      <c r="F359" s="55" t="s">
        <v>4561</v>
      </c>
      <c r="G359" s="55" t="s">
        <v>4565</v>
      </c>
      <c r="H359" s="55" t="s">
        <v>21</v>
      </c>
      <c r="I359" s="55" t="s">
        <v>4566</v>
      </c>
    </row>
    <row r="360" customFormat="false" ht="15" hidden="false" customHeight="false" outlineLevel="0" collapsed="false">
      <c r="A360" s="55" t="s">
        <v>4952</v>
      </c>
      <c r="B360" s="55" t="s">
        <v>2123</v>
      </c>
      <c r="C360" s="55" t="s">
        <v>2122</v>
      </c>
      <c r="D360" s="55" t="s">
        <v>46</v>
      </c>
      <c r="E360" s="55" t="s">
        <v>4556</v>
      </c>
      <c r="F360" s="55" t="s">
        <v>4568</v>
      </c>
      <c r="G360" s="55" t="s">
        <v>4569</v>
      </c>
      <c r="H360" s="55" t="s">
        <v>17</v>
      </c>
      <c r="I360" s="55" t="s">
        <v>4601</v>
      </c>
    </row>
    <row r="361" customFormat="false" ht="15" hidden="false" customHeight="false" outlineLevel="0" collapsed="false">
      <c r="A361" s="55" t="s">
        <v>4953</v>
      </c>
      <c r="B361" s="55" t="s">
        <v>498</v>
      </c>
      <c r="C361" s="55" t="s">
        <v>497</v>
      </c>
      <c r="D361" s="55" t="s">
        <v>45</v>
      </c>
      <c r="E361" s="55" t="s">
        <v>4556</v>
      </c>
      <c r="F361" s="55" t="s">
        <v>4557</v>
      </c>
      <c r="G361" s="55" t="s">
        <v>4558</v>
      </c>
      <c r="H361" s="55" t="s">
        <v>21</v>
      </c>
      <c r="I361" s="55" t="s">
        <v>4566</v>
      </c>
    </row>
    <row r="362" customFormat="false" ht="15" hidden="false" customHeight="false" outlineLevel="0" collapsed="false">
      <c r="A362" s="55" t="s">
        <v>4954</v>
      </c>
      <c r="B362" s="55" t="s">
        <v>858</v>
      </c>
      <c r="C362" s="55" t="s">
        <v>857</v>
      </c>
      <c r="D362" s="55" t="s">
        <v>45</v>
      </c>
      <c r="E362" s="55" t="s">
        <v>4556</v>
      </c>
      <c r="F362" s="55" t="s">
        <v>4557</v>
      </c>
      <c r="G362" s="55" t="s">
        <v>4558</v>
      </c>
      <c r="H362" s="55" t="s">
        <v>21</v>
      </c>
      <c r="I362" s="55" t="s">
        <v>4566</v>
      </c>
    </row>
    <row r="363" customFormat="false" ht="15" hidden="false" customHeight="false" outlineLevel="0" collapsed="false">
      <c r="A363" s="55" t="s">
        <v>4955</v>
      </c>
      <c r="B363" s="55" t="s">
        <v>858</v>
      </c>
      <c r="C363" s="55" t="s">
        <v>857</v>
      </c>
      <c r="D363" s="55" t="s">
        <v>46</v>
      </c>
      <c r="E363" s="55" t="s">
        <v>4556</v>
      </c>
      <c r="F363" s="55" t="s">
        <v>4653</v>
      </c>
      <c r="G363" s="55" t="s">
        <v>4654</v>
      </c>
      <c r="H363" s="55" t="s">
        <v>21</v>
      </c>
      <c r="I363" s="55" t="s">
        <v>4566</v>
      </c>
    </row>
    <row r="364" customFormat="false" ht="15" hidden="false" customHeight="false" outlineLevel="0" collapsed="false">
      <c r="A364" s="55" t="s">
        <v>4956</v>
      </c>
      <c r="B364" s="55" t="s">
        <v>2669</v>
      </c>
      <c r="C364" s="55" t="s">
        <v>2668</v>
      </c>
      <c r="D364" s="55" t="s">
        <v>45</v>
      </c>
      <c r="E364" s="55" t="s">
        <v>4556</v>
      </c>
      <c r="F364" s="55" t="s">
        <v>4703</v>
      </c>
      <c r="G364" s="55" t="s">
        <v>4704</v>
      </c>
      <c r="H364" s="55" t="s">
        <v>21</v>
      </c>
      <c r="I364" s="55" t="s">
        <v>4559</v>
      </c>
    </row>
    <row r="365" customFormat="false" ht="15" hidden="false" customHeight="false" outlineLevel="0" collapsed="false">
      <c r="A365" s="55" t="s">
        <v>4957</v>
      </c>
      <c r="B365" s="55" t="s">
        <v>2669</v>
      </c>
      <c r="C365" s="55" t="s">
        <v>2668</v>
      </c>
      <c r="D365" s="55" t="s">
        <v>46</v>
      </c>
      <c r="E365" s="55" t="s">
        <v>4556</v>
      </c>
      <c r="F365" s="55" t="s">
        <v>4561</v>
      </c>
      <c r="G365" s="55" t="s">
        <v>4562</v>
      </c>
      <c r="H365" s="55" t="s">
        <v>17</v>
      </c>
      <c r="I365" s="55" t="s">
        <v>4563</v>
      </c>
    </row>
    <row r="366" customFormat="false" ht="15" hidden="false" customHeight="false" outlineLevel="0" collapsed="false">
      <c r="A366" s="55" t="s">
        <v>4958</v>
      </c>
      <c r="B366" s="55" t="s">
        <v>1666</v>
      </c>
      <c r="C366" s="55" t="s">
        <v>1665</v>
      </c>
      <c r="D366" s="55" t="s">
        <v>45</v>
      </c>
      <c r="E366" s="55" t="s">
        <v>4556</v>
      </c>
      <c r="F366" s="55" t="s">
        <v>4561</v>
      </c>
      <c r="G366" s="55" t="s">
        <v>4959</v>
      </c>
      <c r="H366" s="55" t="s">
        <v>84</v>
      </c>
      <c r="I366" s="55" t="s">
        <v>4611</v>
      </c>
    </row>
    <row r="367" customFormat="false" ht="15" hidden="false" customHeight="false" outlineLevel="0" collapsed="false">
      <c r="A367" s="55" t="s">
        <v>4960</v>
      </c>
      <c r="B367" s="55" t="s">
        <v>1666</v>
      </c>
      <c r="C367" s="55" t="s">
        <v>1665</v>
      </c>
      <c r="D367" s="55" t="s">
        <v>46</v>
      </c>
      <c r="E367" s="55" t="s">
        <v>4556</v>
      </c>
      <c r="F367" s="55" t="s">
        <v>4557</v>
      </c>
      <c r="G367" s="55" t="s">
        <v>4961</v>
      </c>
      <c r="H367" s="55" t="s">
        <v>84</v>
      </c>
      <c r="I367" s="55" t="s">
        <v>4611</v>
      </c>
    </row>
    <row r="368" customFormat="false" ht="15" hidden="false" customHeight="false" outlineLevel="0" collapsed="false">
      <c r="A368" s="55" t="s">
        <v>4962</v>
      </c>
      <c r="B368" s="55" t="s">
        <v>1304</v>
      </c>
      <c r="C368" s="55" t="s">
        <v>1303</v>
      </c>
      <c r="D368" s="55" t="s">
        <v>46</v>
      </c>
      <c r="E368" s="55" t="s">
        <v>4556</v>
      </c>
      <c r="F368" s="55" t="s">
        <v>4561</v>
      </c>
      <c r="G368" s="55" t="s">
        <v>4565</v>
      </c>
      <c r="H368" s="55" t="s">
        <v>21</v>
      </c>
      <c r="I368" s="55" t="s">
        <v>4566</v>
      </c>
    </row>
    <row r="369" customFormat="false" ht="15" hidden="false" customHeight="false" outlineLevel="0" collapsed="false">
      <c r="A369" s="55" t="s">
        <v>4963</v>
      </c>
      <c r="B369" s="55" t="s">
        <v>2155</v>
      </c>
      <c r="C369" s="55" t="s">
        <v>2154</v>
      </c>
      <c r="D369" s="55" t="s">
        <v>45</v>
      </c>
      <c r="E369" s="55" t="s">
        <v>4556</v>
      </c>
      <c r="F369" s="55" t="s">
        <v>4561</v>
      </c>
      <c r="G369" s="55" t="s">
        <v>4562</v>
      </c>
      <c r="H369" s="55" t="s">
        <v>17</v>
      </c>
      <c r="I369" s="55" t="s">
        <v>4563</v>
      </c>
    </row>
    <row r="370" customFormat="false" ht="15" hidden="false" customHeight="false" outlineLevel="0" collapsed="false">
      <c r="A370" s="55" t="s">
        <v>4964</v>
      </c>
      <c r="B370" s="55" t="s">
        <v>2155</v>
      </c>
      <c r="C370" s="55" t="s">
        <v>2154</v>
      </c>
      <c r="D370" s="55" t="s">
        <v>46</v>
      </c>
      <c r="E370" s="55" t="s">
        <v>4556</v>
      </c>
      <c r="F370" s="55" t="s">
        <v>4561</v>
      </c>
      <c r="G370" s="55" t="s">
        <v>4565</v>
      </c>
      <c r="H370" s="55" t="s">
        <v>21</v>
      </c>
      <c r="I370" s="55" t="s">
        <v>4566</v>
      </c>
    </row>
    <row r="371" customFormat="false" ht="15" hidden="false" customHeight="false" outlineLevel="0" collapsed="false">
      <c r="A371" s="55" t="s">
        <v>4965</v>
      </c>
      <c r="B371" s="55" t="s">
        <v>2155</v>
      </c>
      <c r="C371" s="55" t="s">
        <v>2154</v>
      </c>
      <c r="D371" s="55" t="s">
        <v>47</v>
      </c>
      <c r="E371" s="55" t="s">
        <v>4556</v>
      </c>
      <c r="F371" s="55" t="s">
        <v>4599</v>
      </c>
      <c r="G371" s="55" t="s">
        <v>4631</v>
      </c>
      <c r="H371" s="55" t="s">
        <v>21</v>
      </c>
      <c r="I371" s="55" t="s">
        <v>4632</v>
      </c>
    </row>
    <row r="372" customFormat="false" ht="15" hidden="false" customHeight="false" outlineLevel="0" collapsed="false">
      <c r="A372" s="55" t="s">
        <v>4966</v>
      </c>
      <c r="B372" s="55" t="s">
        <v>900</v>
      </c>
      <c r="C372" s="55" t="s">
        <v>899</v>
      </c>
      <c r="D372" s="55" t="s">
        <v>46</v>
      </c>
      <c r="E372" s="55" t="s">
        <v>4556</v>
      </c>
      <c r="F372" s="55" t="s">
        <v>4561</v>
      </c>
      <c r="G372" s="55" t="s">
        <v>4565</v>
      </c>
      <c r="H372" s="55" t="s">
        <v>21</v>
      </c>
      <c r="I372" s="55" t="s">
        <v>4566</v>
      </c>
    </row>
    <row r="373" customFormat="false" ht="15" hidden="false" customHeight="false" outlineLevel="0" collapsed="false">
      <c r="A373" s="55" t="s">
        <v>4967</v>
      </c>
      <c r="B373" s="55" t="s">
        <v>900</v>
      </c>
      <c r="C373" s="55" t="s">
        <v>899</v>
      </c>
      <c r="D373" s="55" t="s">
        <v>47</v>
      </c>
      <c r="E373" s="55" t="s">
        <v>4556</v>
      </c>
      <c r="F373" s="55" t="s">
        <v>4471</v>
      </c>
      <c r="G373" s="55" t="s">
        <v>4669</v>
      </c>
      <c r="H373" s="55" t="s">
        <v>21</v>
      </c>
      <c r="I373" s="55" t="s">
        <v>4670</v>
      </c>
    </row>
    <row r="374" customFormat="false" ht="15" hidden="false" customHeight="false" outlineLevel="0" collapsed="false">
      <c r="A374" s="55" t="s">
        <v>4968</v>
      </c>
      <c r="B374" s="55" t="s">
        <v>193</v>
      </c>
      <c r="C374" s="55" t="s">
        <v>192</v>
      </c>
      <c r="D374" s="55" t="s">
        <v>46</v>
      </c>
      <c r="E374" s="55" t="s">
        <v>4556</v>
      </c>
      <c r="F374" s="55" t="s">
        <v>4557</v>
      </c>
      <c r="G374" s="55" t="s">
        <v>4558</v>
      </c>
      <c r="H374" s="55" t="s">
        <v>21</v>
      </c>
      <c r="I374" s="55" t="s">
        <v>4566</v>
      </c>
    </row>
    <row r="375" customFormat="false" ht="15" hidden="false" customHeight="false" outlineLevel="0" collapsed="false">
      <c r="A375" s="55" t="s">
        <v>4969</v>
      </c>
      <c r="B375" s="55" t="s">
        <v>1645</v>
      </c>
      <c r="C375" s="55" t="s">
        <v>1644</v>
      </c>
      <c r="D375" s="55" t="s">
        <v>46</v>
      </c>
      <c r="E375" s="55" t="s">
        <v>4556</v>
      </c>
      <c r="F375" s="55" t="s">
        <v>4557</v>
      </c>
      <c r="G375" s="55" t="s">
        <v>4558</v>
      </c>
      <c r="H375" s="55" t="s">
        <v>21</v>
      </c>
      <c r="I375" s="55" t="s">
        <v>4566</v>
      </c>
    </row>
    <row r="376" customFormat="false" ht="15" hidden="false" customHeight="false" outlineLevel="0" collapsed="false">
      <c r="A376" s="55" t="s">
        <v>4970</v>
      </c>
      <c r="B376" s="55" t="s">
        <v>1384</v>
      </c>
      <c r="C376" s="55" t="s">
        <v>1383</v>
      </c>
      <c r="D376" s="55" t="s">
        <v>47</v>
      </c>
      <c r="E376" s="55" t="s">
        <v>4556</v>
      </c>
      <c r="F376" s="55" t="s">
        <v>4557</v>
      </c>
      <c r="G376" s="55" t="s">
        <v>4558</v>
      </c>
      <c r="H376" s="55" t="s">
        <v>21</v>
      </c>
      <c r="I376" s="55" t="s">
        <v>4559</v>
      </c>
    </row>
    <row r="377" customFormat="false" ht="15" hidden="false" customHeight="false" outlineLevel="0" collapsed="false">
      <c r="A377" s="55" t="s">
        <v>4971</v>
      </c>
      <c r="B377" s="55" t="s">
        <v>2918</v>
      </c>
      <c r="C377" s="55" t="s">
        <v>3568</v>
      </c>
      <c r="D377" s="55" t="s">
        <v>45</v>
      </c>
      <c r="E377" s="55" t="s">
        <v>4556</v>
      </c>
      <c r="F377" s="55" t="s">
        <v>4703</v>
      </c>
      <c r="G377" s="55" t="s">
        <v>4704</v>
      </c>
      <c r="H377" s="55" t="s">
        <v>21</v>
      </c>
      <c r="I377" s="55" t="s">
        <v>4566</v>
      </c>
    </row>
    <row r="378" customFormat="false" ht="15" hidden="false" customHeight="false" outlineLevel="0" collapsed="false">
      <c r="A378" s="55" t="s">
        <v>4972</v>
      </c>
      <c r="B378" s="55" t="s">
        <v>628</v>
      </c>
      <c r="C378" s="55" t="s">
        <v>627</v>
      </c>
      <c r="D378" s="55" t="s">
        <v>46</v>
      </c>
      <c r="E378" s="55" t="s">
        <v>4556</v>
      </c>
      <c r="F378" s="55" t="s">
        <v>4557</v>
      </c>
      <c r="G378" s="55" t="s">
        <v>4558</v>
      </c>
      <c r="H378" s="55" t="s">
        <v>21</v>
      </c>
      <c r="I378" s="55" t="s">
        <v>4566</v>
      </c>
    </row>
    <row r="379" customFormat="false" ht="15" hidden="false" customHeight="false" outlineLevel="0" collapsed="false">
      <c r="A379" s="55" t="s">
        <v>4973</v>
      </c>
      <c r="B379" s="55" t="s">
        <v>476</v>
      </c>
      <c r="C379" s="55" t="s">
        <v>475</v>
      </c>
      <c r="D379" s="55" t="s">
        <v>46</v>
      </c>
      <c r="E379" s="55" t="s">
        <v>4556</v>
      </c>
      <c r="F379" s="55" t="s">
        <v>4557</v>
      </c>
      <c r="G379" s="55" t="s">
        <v>4558</v>
      </c>
      <c r="H379" s="55" t="s">
        <v>21</v>
      </c>
      <c r="I379" s="55" t="s">
        <v>4566</v>
      </c>
    </row>
    <row r="380" customFormat="false" ht="15" hidden="false" customHeight="false" outlineLevel="0" collapsed="false">
      <c r="A380" s="55" t="s">
        <v>4974</v>
      </c>
      <c r="B380" s="55" t="s">
        <v>2920</v>
      </c>
      <c r="C380" s="55" t="s">
        <v>3573</v>
      </c>
      <c r="D380" s="55" t="s">
        <v>45</v>
      </c>
      <c r="E380" s="55" t="s">
        <v>4556</v>
      </c>
      <c r="F380" s="55" t="s">
        <v>4561</v>
      </c>
      <c r="G380" s="55" t="s">
        <v>4562</v>
      </c>
      <c r="H380" s="55" t="s">
        <v>17</v>
      </c>
      <c r="I380" s="55" t="s">
        <v>4563</v>
      </c>
    </row>
    <row r="381" customFormat="false" ht="15" hidden="false" customHeight="false" outlineLevel="0" collapsed="false">
      <c r="A381" s="55" t="s">
        <v>4975</v>
      </c>
      <c r="B381" s="55" t="s">
        <v>1692</v>
      </c>
      <c r="C381" s="55" t="s">
        <v>1691</v>
      </c>
      <c r="D381" s="55" t="s">
        <v>46</v>
      </c>
      <c r="E381" s="55" t="s">
        <v>4556</v>
      </c>
      <c r="F381" s="55" t="s">
        <v>4557</v>
      </c>
      <c r="G381" s="55" t="s">
        <v>4558</v>
      </c>
      <c r="H381" s="55" t="s">
        <v>21</v>
      </c>
      <c r="I381" s="55" t="s">
        <v>4566</v>
      </c>
    </row>
    <row r="382" customFormat="false" ht="15" hidden="false" customHeight="false" outlineLevel="0" collapsed="false">
      <c r="A382" s="55" t="s">
        <v>4976</v>
      </c>
      <c r="B382" s="55" t="s">
        <v>1409</v>
      </c>
      <c r="C382" s="55" t="s">
        <v>1408</v>
      </c>
      <c r="D382" s="55" t="s">
        <v>45</v>
      </c>
      <c r="E382" s="55" t="s">
        <v>4556</v>
      </c>
      <c r="F382" s="55" t="s">
        <v>4571</v>
      </c>
      <c r="G382" s="55" t="s">
        <v>4572</v>
      </c>
      <c r="H382" s="55" t="s">
        <v>21</v>
      </c>
      <c r="I382" s="55" t="s">
        <v>4566</v>
      </c>
    </row>
    <row r="383" customFormat="false" ht="15" hidden="false" customHeight="false" outlineLevel="0" collapsed="false">
      <c r="A383" s="55" t="s">
        <v>4977</v>
      </c>
      <c r="B383" s="55" t="s">
        <v>1409</v>
      </c>
      <c r="C383" s="55" t="s">
        <v>1408</v>
      </c>
      <c r="D383" s="55" t="s">
        <v>46</v>
      </c>
      <c r="E383" s="55" t="s">
        <v>4556</v>
      </c>
      <c r="F383" s="55" t="s">
        <v>4557</v>
      </c>
      <c r="G383" s="55" t="s">
        <v>4558</v>
      </c>
      <c r="H383" s="55" t="s">
        <v>21</v>
      </c>
      <c r="I383" s="55" t="s">
        <v>4566</v>
      </c>
    </row>
    <row r="384" customFormat="false" ht="15" hidden="false" customHeight="false" outlineLevel="0" collapsed="false">
      <c r="A384" s="55" t="s">
        <v>4978</v>
      </c>
      <c r="B384" s="55" t="s">
        <v>2209</v>
      </c>
      <c r="C384" s="55" t="s">
        <v>2208</v>
      </c>
      <c r="D384" s="55" t="s">
        <v>46</v>
      </c>
      <c r="E384" s="55" t="s">
        <v>4556</v>
      </c>
      <c r="F384" s="55" t="s">
        <v>4197</v>
      </c>
      <c r="G384" s="55" t="s">
        <v>4579</v>
      </c>
      <c r="H384" s="55" t="s">
        <v>17</v>
      </c>
      <c r="I384" s="55" t="s">
        <v>4563</v>
      </c>
    </row>
    <row r="385" customFormat="false" ht="15" hidden="false" customHeight="false" outlineLevel="0" collapsed="false">
      <c r="A385" s="55" t="s">
        <v>4979</v>
      </c>
      <c r="B385" s="55" t="s">
        <v>1940</v>
      </c>
      <c r="C385" s="55" t="s">
        <v>1939</v>
      </c>
      <c r="D385" s="55" t="s">
        <v>46</v>
      </c>
      <c r="E385" s="55" t="s">
        <v>4556</v>
      </c>
      <c r="F385" s="55" t="s">
        <v>4557</v>
      </c>
      <c r="G385" s="55" t="s">
        <v>4558</v>
      </c>
      <c r="H385" s="55" t="s">
        <v>21</v>
      </c>
      <c r="I385" s="55" t="s">
        <v>4566</v>
      </c>
    </row>
    <row r="386" customFormat="false" ht="15" hidden="false" customHeight="false" outlineLevel="0" collapsed="false">
      <c r="A386" s="55" t="s">
        <v>4980</v>
      </c>
      <c r="B386" s="55" t="s">
        <v>2927</v>
      </c>
      <c r="C386" s="55" t="s">
        <v>3582</v>
      </c>
      <c r="D386" s="55" t="s">
        <v>46</v>
      </c>
      <c r="E386" s="55" t="s">
        <v>4556</v>
      </c>
      <c r="F386" s="55" t="s">
        <v>4561</v>
      </c>
      <c r="G386" s="55" t="s">
        <v>4562</v>
      </c>
      <c r="H386" s="55" t="s">
        <v>17</v>
      </c>
      <c r="I386" s="55" t="s">
        <v>4563</v>
      </c>
    </row>
    <row r="387" customFormat="false" ht="15" hidden="false" customHeight="false" outlineLevel="0" collapsed="false">
      <c r="A387" s="55" t="s">
        <v>4981</v>
      </c>
      <c r="B387" s="55" t="s">
        <v>1929</v>
      </c>
      <c r="C387" s="55" t="s">
        <v>1928</v>
      </c>
      <c r="D387" s="55" t="s">
        <v>45</v>
      </c>
      <c r="E387" s="55" t="s">
        <v>4556</v>
      </c>
      <c r="F387" s="55" t="s">
        <v>4561</v>
      </c>
      <c r="G387" s="55" t="s">
        <v>4562</v>
      </c>
      <c r="H387" s="55" t="s">
        <v>17</v>
      </c>
      <c r="I387" s="55" t="s">
        <v>4563</v>
      </c>
    </row>
    <row r="388" customFormat="false" ht="15" hidden="false" customHeight="false" outlineLevel="0" collapsed="false">
      <c r="A388" s="55" t="s">
        <v>4982</v>
      </c>
      <c r="B388" s="55" t="s">
        <v>830</v>
      </c>
      <c r="C388" s="55" t="s">
        <v>829</v>
      </c>
      <c r="D388" s="55" t="s">
        <v>46</v>
      </c>
      <c r="E388" s="55" t="s">
        <v>4556</v>
      </c>
      <c r="F388" s="55" t="s">
        <v>4413</v>
      </c>
      <c r="G388" s="55" t="s">
        <v>4730</v>
      </c>
      <c r="H388" s="55" t="s">
        <v>17</v>
      </c>
      <c r="I388" s="55" t="s">
        <v>4563</v>
      </c>
    </row>
    <row r="389" customFormat="false" ht="15" hidden="false" customHeight="false" outlineLevel="0" collapsed="false">
      <c r="A389" s="55" t="s">
        <v>4983</v>
      </c>
      <c r="B389" s="55" t="s">
        <v>830</v>
      </c>
      <c r="C389" s="55" t="s">
        <v>829</v>
      </c>
      <c r="D389" s="55" t="s">
        <v>47</v>
      </c>
      <c r="E389" s="55" t="s">
        <v>4556</v>
      </c>
      <c r="F389" s="55" t="s">
        <v>4864</v>
      </c>
      <c r="G389" s="55" t="s">
        <v>4984</v>
      </c>
      <c r="H389" s="55" t="s">
        <v>17</v>
      </c>
      <c r="I389" s="55" t="s">
        <v>4563</v>
      </c>
    </row>
    <row r="390" customFormat="false" ht="15" hidden="false" customHeight="false" outlineLevel="0" collapsed="false">
      <c r="A390" s="55" t="s">
        <v>4985</v>
      </c>
      <c r="B390" s="55" t="s">
        <v>508</v>
      </c>
      <c r="C390" s="55" t="s">
        <v>507</v>
      </c>
      <c r="D390" s="55" t="s">
        <v>47</v>
      </c>
      <c r="E390" s="55" t="s">
        <v>4556</v>
      </c>
      <c r="F390" s="55" t="s">
        <v>4413</v>
      </c>
      <c r="G390" s="55" t="s">
        <v>4717</v>
      </c>
      <c r="H390" s="55" t="s">
        <v>21</v>
      </c>
      <c r="I390" s="55" t="s">
        <v>4781</v>
      </c>
    </row>
    <row r="391" customFormat="false" ht="15" hidden="false" customHeight="false" outlineLevel="0" collapsed="false">
      <c r="A391" s="55" t="s">
        <v>4986</v>
      </c>
      <c r="B391" s="55" t="s">
        <v>821</v>
      </c>
      <c r="C391" s="55" t="s">
        <v>820</v>
      </c>
      <c r="D391" s="55" t="s">
        <v>47</v>
      </c>
      <c r="E391" s="55" t="s">
        <v>4556</v>
      </c>
      <c r="F391" s="55" t="s">
        <v>4557</v>
      </c>
      <c r="G391" s="55" t="s">
        <v>4650</v>
      </c>
      <c r="H391" s="55" t="s">
        <v>17</v>
      </c>
      <c r="I391" s="55" t="s">
        <v>4563</v>
      </c>
    </row>
    <row r="392" customFormat="false" ht="15" hidden="false" customHeight="false" outlineLevel="0" collapsed="false">
      <c r="A392" s="55" t="s">
        <v>4987</v>
      </c>
      <c r="B392" s="55" t="s">
        <v>218</v>
      </c>
      <c r="C392" s="55" t="s">
        <v>217</v>
      </c>
      <c r="D392" s="55" t="s">
        <v>46</v>
      </c>
      <c r="E392" s="55" t="s">
        <v>4556</v>
      </c>
      <c r="F392" s="55" t="s">
        <v>4557</v>
      </c>
      <c r="G392" s="55" t="s">
        <v>4558</v>
      </c>
      <c r="H392" s="55" t="s">
        <v>21</v>
      </c>
      <c r="I392" s="55" t="s">
        <v>4566</v>
      </c>
    </row>
    <row r="393" customFormat="false" ht="15" hidden="false" customHeight="false" outlineLevel="0" collapsed="false">
      <c r="A393" s="55" t="s">
        <v>4988</v>
      </c>
      <c r="B393" s="55" t="s">
        <v>218</v>
      </c>
      <c r="C393" s="55" t="s">
        <v>217</v>
      </c>
      <c r="D393" s="55" t="s">
        <v>47</v>
      </c>
      <c r="E393" s="55" t="s">
        <v>4556</v>
      </c>
      <c r="F393" s="55" t="s">
        <v>4557</v>
      </c>
      <c r="G393" s="55" t="s">
        <v>4650</v>
      </c>
      <c r="H393" s="55" t="s">
        <v>17</v>
      </c>
      <c r="I393" s="55" t="s">
        <v>4563</v>
      </c>
    </row>
    <row r="394" customFormat="false" ht="15" hidden="false" customHeight="false" outlineLevel="0" collapsed="false">
      <c r="A394" s="55" t="s">
        <v>4989</v>
      </c>
      <c r="B394" s="55" t="s">
        <v>362</v>
      </c>
      <c r="C394" s="55" t="s">
        <v>361</v>
      </c>
      <c r="D394" s="55" t="s">
        <v>46</v>
      </c>
      <c r="E394" s="55" t="s">
        <v>4556</v>
      </c>
      <c r="F394" s="55" t="s">
        <v>4557</v>
      </c>
      <c r="G394" s="55" t="s">
        <v>4558</v>
      </c>
      <c r="H394" s="55" t="s">
        <v>21</v>
      </c>
      <c r="I394" s="55" t="s">
        <v>4566</v>
      </c>
    </row>
    <row r="395" customFormat="false" ht="15" hidden="false" customHeight="false" outlineLevel="0" collapsed="false">
      <c r="A395" s="55" t="s">
        <v>4990</v>
      </c>
      <c r="B395" s="55" t="s">
        <v>246</v>
      </c>
      <c r="C395" s="55" t="s">
        <v>245</v>
      </c>
      <c r="D395" s="55" t="s">
        <v>46</v>
      </c>
      <c r="E395" s="55" t="s">
        <v>4556</v>
      </c>
      <c r="F395" s="55" t="s">
        <v>4557</v>
      </c>
      <c r="G395" s="55" t="s">
        <v>4558</v>
      </c>
      <c r="H395" s="55" t="s">
        <v>21</v>
      </c>
      <c r="I395" s="55" t="s">
        <v>4566</v>
      </c>
    </row>
    <row r="396" customFormat="false" ht="15" hidden="false" customHeight="false" outlineLevel="0" collapsed="false">
      <c r="A396" s="55" t="s">
        <v>4991</v>
      </c>
      <c r="B396" s="55" t="s">
        <v>865</v>
      </c>
      <c r="C396" s="55" t="s">
        <v>864</v>
      </c>
      <c r="D396" s="55" t="s">
        <v>45</v>
      </c>
      <c r="E396" s="55" t="s">
        <v>4556</v>
      </c>
      <c r="F396" s="55" t="s">
        <v>4197</v>
      </c>
      <c r="G396" s="55" t="s">
        <v>4579</v>
      </c>
      <c r="H396" s="55" t="s">
        <v>17</v>
      </c>
      <c r="I396" s="55" t="s">
        <v>4857</v>
      </c>
    </row>
    <row r="397" customFormat="false" ht="15" hidden="false" customHeight="false" outlineLevel="0" collapsed="false">
      <c r="A397" s="55" t="s">
        <v>4992</v>
      </c>
      <c r="B397" s="55" t="s">
        <v>865</v>
      </c>
      <c r="C397" s="55" t="s">
        <v>864</v>
      </c>
      <c r="D397" s="55" t="s">
        <v>46</v>
      </c>
      <c r="E397" s="55" t="s">
        <v>4556</v>
      </c>
      <c r="F397" s="55" t="s">
        <v>4561</v>
      </c>
      <c r="G397" s="55" t="s">
        <v>4565</v>
      </c>
      <c r="H397" s="55" t="s">
        <v>21</v>
      </c>
      <c r="I397" s="55" t="s">
        <v>4566</v>
      </c>
    </row>
    <row r="398" customFormat="false" ht="15" hidden="false" customHeight="false" outlineLevel="0" collapsed="false">
      <c r="A398" s="55" t="s">
        <v>4993</v>
      </c>
      <c r="B398" s="55" t="s">
        <v>1748</v>
      </c>
      <c r="C398" s="55" t="s">
        <v>1747</v>
      </c>
      <c r="D398" s="55" t="s">
        <v>46</v>
      </c>
      <c r="E398" s="55" t="s">
        <v>4556</v>
      </c>
      <c r="F398" s="55" t="s">
        <v>4557</v>
      </c>
      <c r="G398" s="55" t="s">
        <v>4558</v>
      </c>
      <c r="H398" s="55" t="s">
        <v>21</v>
      </c>
      <c r="I398" s="55" t="s">
        <v>4566</v>
      </c>
    </row>
    <row r="399" customFormat="false" ht="15" hidden="false" customHeight="false" outlineLevel="0" collapsed="false">
      <c r="A399" s="55" t="s">
        <v>4994</v>
      </c>
      <c r="B399" s="55" t="s">
        <v>1234</v>
      </c>
      <c r="C399" s="55" t="s">
        <v>1233</v>
      </c>
      <c r="D399" s="55" t="s">
        <v>45</v>
      </c>
      <c r="E399" s="55" t="s">
        <v>4556</v>
      </c>
      <c r="F399" s="55" t="s">
        <v>4557</v>
      </c>
      <c r="G399" s="55" t="s">
        <v>4558</v>
      </c>
      <c r="H399" s="55" t="s">
        <v>21</v>
      </c>
      <c r="I399" s="55" t="s">
        <v>4566</v>
      </c>
    </row>
    <row r="400" customFormat="false" ht="15" hidden="false" customHeight="false" outlineLevel="0" collapsed="false">
      <c r="A400" s="55" t="s">
        <v>4995</v>
      </c>
      <c r="B400" s="55" t="s">
        <v>1234</v>
      </c>
      <c r="C400" s="55" t="s">
        <v>1233</v>
      </c>
      <c r="D400" s="55" t="s">
        <v>46</v>
      </c>
      <c r="E400" s="55" t="s">
        <v>4556</v>
      </c>
      <c r="F400" s="55" t="s">
        <v>4571</v>
      </c>
      <c r="G400" s="55" t="s">
        <v>4572</v>
      </c>
      <c r="H400" s="55" t="s">
        <v>21</v>
      </c>
      <c r="I400" s="55" t="s">
        <v>4566</v>
      </c>
    </row>
    <row r="401" customFormat="false" ht="15" hidden="false" customHeight="false" outlineLevel="0" collapsed="false">
      <c r="A401" s="55" t="s">
        <v>4996</v>
      </c>
      <c r="B401" s="55" t="s">
        <v>199</v>
      </c>
      <c r="C401" s="55" t="s">
        <v>198</v>
      </c>
      <c r="D401" s="55" t="s">
        <v>46</v>
      </c>
      <c r="E401" s="55" t="s">
        <v>4556</v>
      </c>
      <c r="F401" s="55" t="s">
        <v>4557</v>
      </c>
      <c r="G401" s="55" t="s">
        <v>4558</v>
      </c>
      <c r="H401" s="55" t="s">
        <v>21</v>
      </c>
      <c r="I401" s="55" t="s">
        <v>4566</v>
      </c>
    </row>
    <row r="402" customFormat="false" ht="15" hidden="false" customHeight="false" outlineLevel="0" collapsed="false">
      <c r="A402" s="55" t="s">
        <v>4997</v>
      </c>
      <c r="B402" s="55" t="s">
        <v>2092</v>
      </c>
      <c r="C402" s="55" t="s">
        <v>2091</v>
      </c>
      <c r="D402" s="55" t="s">
        <v>45</v>
      </c>
      <c r="E402" s="55" t="s">
        <v>4556</v>
      </c>
      <c r="F402" s="55" t="s">
        <v>4571</v>
      </c>
      <c r="G402" s="55" t="s">
        <v>4572</v>
      </c>
      <c r="H402" s="55" t="s">
        <v>21</v>
      </c>
      <c r="I402" s="55" t="s">
        <v>4566</v>
      </c>
    </row>
    <row r="403" customFormat="false" ht="15" hidden="false" customHeight="false" outlineLevel="0" collapsed="false">
      <c r="A403" s="55" t="s">
        <v>4998</v>
      </c>
      <c r="B403" s="55" t="s">
        <v>2092</v>
      </c>
      <c r="C403" s="55" t="s">
        <v>2091</v>
      </c>
      <c r="D403" s="55" t="s">
        <v>46</v>
      </c>
      <c r="E403" s="55" t="s">
        <v>4556</v>
      </c>
      <c r="F403" s="55" t="s">
        <v>4197</v>
      </c>
      <c r="G403" s="55" t="s">
        <v>4589</v>
      </c>
      <c r="H403" s="55" t="s">
        <v>21</v>
      </c>
      <c r="I403" s="55" t="s">
        <v>4566</v>
      </c>
    </row>
    <row r="404" customFormat="false" ht="15" hidden="false" customHeight="false" outlineLevel="0" collapsed="false">
      <c r="A404" s="55" t="s">
        <v>4999</v>
      </c>
      <c r="B404" s="55" t="s">
        <v>1739</v>
      </c>
      <c r="C404" s="55" t="s">
        <v>1738</v>
      </c>
      <c r="D404" s="55" t="s">
        <v>45</v>
      </c>
      <c r="E404" s="55" t="s">
        <v>4556</v>
      </c>
      <c r="F404" s="55" t="s">
        <v>4197</v>
      </c>
      <c r="G404" s="55" t="s">
        <v>4579</v>
      </c>
      <c r="H404" s="55" t="s">
        <v>17</v>
      </c>
      <c r="I404" s="55" t="s">
        <v>4563</v>
      </c>
    </row>
    <row r="405" customFormat="false" ht="15" hidden="false" customHeight="false" outlineLevel="0" collapsed="false">
      <c r="A405" s="55" t="s">
        <v>5000</v>
      </c>
      <c r="B405" s="55" t="s">
        <v>2098</v>
      </c>
      <c r="C405" s="55" t="s">
        <v>2097</v>
      </c>
      <c r="D405" s="55" t="s">
        <v>46</v>
      </c>
      <c r="E405" s="55" t="s">
        <v>4556</v>
      </c>
      <c r="F405" s="55" t="s">
        <v>4561</v>
      </c>
      <c r="G405" s="55" t="s">
        <v>4565</v>
      </c>
      <c r="H405" s="55" t="s">
        <v>21</v>
      </c>
      <c r="I405" s="55" t="s">
        <v>4566</v>
      </c>
    </row>
    <row r="406" customFormat="false" ht="15" hidden="false" customHeight="false" outlineLevel="0" collapsed="false">
      <c r="A406" s="55" t="s">
        <v>5001</v>
      </c>
      <c r="B406" s="55" t="s">
        <v>876</v>
      </c>
      <c r="C406" s="55" t="s">
        <v>875</v>
      </c>
      <c r="D406" s="55" t="s">
        <v>45</v>
      </c>
      <c r="E406" s="55" t="s">
        <v>4556</v>
      </c>
      <c r="F406" s="55" t="s">
        <v>4557</v>
      </c>
      <c r="G406" s="55" t="s">
        <v>4558</v>
      </c>
      <c r="H406" s="55" t="s">
        <v>21</v>
      </c>
      <c r="I406" s="55" t="s">
        <v>4559</v>
      </c>
    </row>
    <row r="407" customFormat="false" ht="15" hidden="false" customHeight="false" outlineLevel="0" collapsed="false">
      <c r="A407" s="55" t="s">
        <v>5002</v>
      </c>
      <c r="B407" s="55" t="s">
        <v>876</v>
      </c>
      <c r="C407" s="55" t="s">
        <v>875</v>
      </c>
      <c r="D407" s="55" t="s">
        <v>46</v>
      </c>
      <c r="E407" s="55" t="s">
        <v>4556</v>
      </c>
      <c r="F407" s="55" t="s">
        <v>4557</v>
      </c>
      <c r="G407" s="55" t="s">
        <v>4558</v>
      </c>
      <c r="H407" s="55" t="s">
        <v>21</v>
      </c>
      <c r="I407" s="55" t="s">
        <v>4566</v>
      </c>
    </row>
    <row r="408" customFormat="false" ht="15" hidden="false" customHeight="false" outlineLevel="0" collapsed="false">
      <c r="A408" s="55" t="s">
        <v>5003</v>
      </c>
      <c r="B408" s="55" t="s">
        <v>622</v>
      </c>
      <c r="C408" s="55" t="s">
        <v>621</v>
      </c>
      <c r="D408" s="55" t="s">
        <v>45</v>
      </c>
      <c r="E408" s="55" t="s">
        <v>4556</v>
      </c>
      <c r="F408" s="55" t="s">
        <v>4557</v>
      </c>
      <c r="G408" s="55" t="s">
        <v>4558</v>
      </c>
      <c r="H408" s="55" t="s">
        <v>21</v>
      </c>
      <c r="I408" s="55" t="s">
        <v>4566</v>
      </c>
    </row>
    <row r="409" customFormat="false" ht="15" hidden="false" customHeight="false" outlineLevel="0" collapsed="false">
      <c r="A409" s="55" t="s">
        <v>5004</v>
      </c>
      <c r="B409" s="55" t="s">
        <v>2940</v>
      </c>
      <c r="C409" s="55" t="s">
        <v>3604</v>
      </c>
      <c r="D409" s="55" t="s">
        <v>46</v>
      </c>
      <c r="E409" s="55" t="s">
        <v>4556</v>
      </c>
      <c r="F409" s="55" t="s">
        <v>4561</v>
      </c>
      <c r="G409" s="55" t="s">
        <v>4562</v>
      </c>
      <c r="H409" s="55" t="s">
        <v>17</v>
      </c>
      <c r="I409" s="55" t="s">
        <v>4563</v>
      </c>
    </row>
    <row r="410" customFormat="false" ht="15" hidden="false" customHeight="false" outlineLevel="0" collapsed="false">
      <c r="A410" s="55" t="s">
        <v>5005</v>
      </c>
      <c r="B410" s="55" t="s">
        <v>76</v>
      </c>
      <c r="C410" s="55" t="s">
        <v>75</v>
      </c>
      <c r="D410" s="55" t="s">
        <v>46</v>
      </c>
      <c r="E410" s="55" t="s">
        <v>4556</v>
      </c>
      <c r="F410" s="55" t="s">
        <v>4557</v>
      </c>
      <c r="G410" s="55" t="s">
        <v>4558</v>
      </c>
      <c r="H410" s="55" t="s">
        <v>21</v>
      </c>
      <c r="I410" s="55" t="s">
        <v>4566</v>
      </c>
    </row>
    <row r="411" customFormat="false" ht="15" hidden="false" customHeight="false" outlineLevel="0" collapsed="false">
      <c r="A411" s="55" t="s">
        <v>5006</v>
      </c>
      <c r="B411" s="55" t="s">
        <v>1056</v>
      </c>
      <c r="C411" s="55" t="s">
        <v>1055</v>
      </c>
      <c r="D411" s="55" t="s">
        <v>45</v>
      </c>
      <c r="E411" s="55" t="s">
        <v>4556</v>
      </c>
      <c r="F411" s="55" t="s">
        <v>4557</v>
      </c>
      <c r="G411" s="55" t="s">
        <v>4558</v>
      </c>
      <c r="H411" s="55" t="s">
        <v>21</v>
      </c>
      <c r="I411" s="55" t="s">
        <v>4566</v>
      </c>
    </row>
    <row r="412" customFormat="false" ht="15" hidden="false" customHeight="false" outlineLevel="0" collapsed="false">
      <c r="A412" s="55" t="s">
        <v>5007</v>
      </c>
      <c r="B412" s="55" t="s">
        <v>1056</v>
      </c>
      <c r="C412" s="55" t="s">
        <v>1055</v>
      </c>
      <c r="D412" s="55" t="s">
        <v>46</v>
      </c>
      <c r="E412" s="55" t="s">
        <v>4556</v>
      </c>
      <c r="F412" s="55" t="s">
        <v>4561</v>
      </c>
      <c r="G412" s="55" t="s">
        <v>4565</v>
      </c>
      <c r="H412" s="55" t="s">
        <v>21</v>
      </c>
      <c r="I412" s="55" t="s">
        <v>4566</v>
      </c>
    </row>
    <row r="413" customFormat="false" ht="15" hidden="false" customHeight="false" outlineLevel="0" collapsed="false">
      <c r="A413" s="55" t="s">
        <v>5008</v>
      </c>
      <c r="B413" s="55" t="s">
        <v>1697</v>
      </c>
      <c r="C413" s="55" t="s">
        <v>1696</v>
      </c>
      <c r="D413" s="55" t="s">
        <v>45</v>
      </c>
      <c r="E413" s="55" t="s">
        <v>4556</v>
      </c>
      <c r="F413" s="55" t="s">
        <v>4561</v>
      </c>
      <c r="G413" s="55" t="s">
        <v>4562</v>
      </c>
      <c r="H413" s="55" t="s">
        <v>17</v>
      </c>
      <c r="I413" s="55" t="s">
        <v>4563</v>
      </c>
    </row>
    <row r="414" customFormat="false" ht="15" hidden="false" customHeight="false" outlineLevel="0" collapsed="false">
      <c r="A414" s="55" t="s">
        <v>5009</v>
      </c>
      <c r="B414" s="55" t="s">
        <v>1697</v>
      </c>
      <c r="C414" s="55" t="s">
        <v>1696</v>
      </c>
      <c r="D414" s="55" t="s">
        <v>46</v>
      </c>
      <c r="E414" s="55" t="s">
        <v>4556</v>
      </c>
      <c r="F414" s="55" t="s">
        <v>4557</v>
      </c>
      <c r="G414" s="55" t="s">
        <v>4741</v>
      </c>
      <c r="H414" s="55" t="s">
        <v>84</v>
      </c>
      <c r="I414" s="55" t="s">
        <v>4611</v>
      </c>
    </row>
    <row r="415" customFormat="false" ht="15" hidden="false" customHeight="false" outlineLevel="0" collapsed="false">
      <c r="A415" s="55" t="s">
        <v>5010</v>
      </c>
      <c r="B415" s="55" t="s">
        <v>2594</v>
      </c>
      <c r="C415" s="55" t="s">
        <v>2593</v>
      </c>
      <c r="D415" s="55" t="s">
        <v>46</v>
      </c>
      <c r="E415" s="55" t="s">
        <v>4556</v>
      </c>
      <c r="F415" s="55" t="s">
        <v>4561</v>
      </c>
      <c r="G415" s="55" t="s">
        <v>4596</v>
      </c>
      <c r="H415" s="55" t="s">
        <v>84</v>
      </c>
      <c r="I415" s="55" t="s">
        <v>4611</v>
      </c>
    </row>
    <row r="416" customFormat="false" ht="15" hidden="false" customHeight="false" outlineLevel="0" collapsed="false">
      <c r="A416" s="55" t="s">
        <v>5011</v>
      </c>
      <c r="B416" s="55" t="s">
        <v>965</v>
      </c>
      <c r="C416" s="55" t="s">
        <v>964</v>
      </c>
      <c r="D416" s="55" t="s">
        <v>46</v>
      </c>
      <c r="E416" s="55" t="s">
        <v>4556</v>
      </c>
      <c r="F416" s="55" t="s">
        <v>4653</v>
      </c>
      <c r="G416" s="55" t="s">
        <v>4654</v>
      </c>
      <c r="H416" s="55" t="s">
        <v>21</v>
      </c>
      <c r="I416" s="55" t="s">
        <v>4566</v>
      </c>
    </row>
    <row r="417" customFormat="false" ht="15" hidden="false" customHeight="false" outlineLevel="0" collapsed="false">
      <c r="A417" s="55" t="s">
        <v>5012</v>
      </c>
      <c r="B417" s="55" t="s">
        <v>2352</v>
      </c>
      <c r="C417" s="55" t="s">
        <v>2351</v>
      </c>
      <c r="D417" s="55" t="s">
        <v>45</v>
      </c>
      <c r="E417" s="55" t="s">
        <v>4556</v>
      </c>
      <c r="F417" s="55" t="s">
        <v>4197</v>
      </c>
      <c r="G417" s="55" t="s">
        <v>4579</v>
      </c>
      <c r="H417" s="55" t="s">
        <v>17</v>
      </c>
      <c r="I417" s="55" t="s">
        <v>4563</v>
      </c>
    </row>
    <row r="418" customFormat="false" ht="15" hidden="false" customHeight="false" outlineLevel="0" collapsed="false">
      <c r="A418" s="55" t="s">
        <v>5013</v>
      </c>
      <c r="B418" s="55" t="s">
        <v>792</v>
      </c>
      <c r="C418" s="55" t="s">
        <v>791</v>
      </c>
      <c r="D418" s="55" t="s">
        <v>45</v>
      </c>
      <c r="E418" s="55" t="s">
        <v>4556</v>
      </c>
      <c r="F418" s="55" t="s">
        <v>4561</v>
      </c>
      <c r="G418" s="55" t="s">
        <v>4565</v>
      </c>
      <c r="H418" s="55" t="s">
        <v>21</v>
      </c>
      <c r="I418" s="55" t="s">
        <v>4566</v>
      </c>
    </row>
    <row r="419" customFormat="false" ht="15" hidden="false" customHeight="false" outlineLevel="0" collapsed="false">
      <c r="A419" s="55" t="s">
        <v>5014</v>
      </c>
      <c r="B419" s="55" t="s">
        <v>792</v>
      </c>
      <c r="C419" s="55" t="s">
        <v>791</v>
      </c>
      <c r="D419" s="55" t="s">
        <v>46</v>
      </c>
      <c r="E419" s="55" t="s">
        <v>4556</v>
      </c>
      <c r="F419" s="55" t="s">
        <v>4561</v>
      </c>
      <c r="G419" s="55" t="s">
        <v>4565</v>
      </c>
      <c r="H419" s="55" t="s">
        <v>21</v>
      </c>
      <c r="I419" s="55" t="s">
        <v>4566</v>
      </c>
    </row>
    <row r="420" customFormat="false" ht="15" hidden="false" customHeight="false" outlineLevel="0" collapsed="false">
      <c r="A420" s="55" t="s">
        <v>5015</v>
      </c>
      <c r="B420" s="55" t="s">
        <v>552</v>
      </c>
      <c r="C420" s="55" t="s">
        <v>551</v>
      </c>
      <c r="D420" s="55" t="s">
        <v>45</v>
      </c>
      <c r="E420" s="55" t="s">
        <v>4556</v>
      </c>
      <c r="F420" s="55" t="s">
        <v>4557</v>
      </c>
      <c r="G420" s="55" t="s">
        <v>4558</v>
      </c>
      <c r="H420" s="55" t="s">
        <v>21</v>
      </c>
      <c r="I420" s="55" t="s">
        <v>4566</v>
      </c>
    </row>
    <row r="421" customFormat="false" ht="15" hidden="false" customHeight="false" outlineLevel="0" collapsed="false">
      <c r="A421" s="55" t="s">
        <v>5016</v>
      </c>
      <c r="B421" s="55" t="s">
        <v>1505</v>
      </c>
      <c r="C421" s="55" t="s">
        <v>1504</v>
      </c>
      <c r="D421" s="55" t="s">
        <v>45</v>
      </c>
      <c r="E421" s="55" t="s">
        <v>4556</v>
      </c>
      <c r="F421" s="55" t="s">
        <v>4561</v>
      </c>
      <c r="G421" s="55" t="s">
        <v>4562</v>
      </c>
      <c r="H421" s="55" t="s">
        <v>17</v>
      </c>
      <c r="I421" s="55" t="s">
        <v>4563</v>
      </c>
    </row>
    <row r="422" customFormat="false" ht="15" hidden="false" customHeight="false" outlineLevel="0" collapsed="false">
      <c r="A422" s="55" t="s">
        <v>5017</v>
      </c>
      <c r="B422" s="55" t="s">
        <v>1505</v>
      </c>
      <c r="C422" s="55" t="s">
        <v>1504</v>
      </c>
      <c r="D422" s="55" t="s">
        <v>46</v>
      </c>
      <c r="E422" s="55" t="s">
        <v>4556</v>
      </c>
      <c r="F422" s="55" t="s">
        <v>4557</v>
      </c>
      <c r="G422" s="55" t="s">
        <v>4558</v>
      </c>
      <c r="H422" s="55" t="s">
        <v>21</v>
      </c>
      <c r="I422" s="55" t="s">
        <v>4566</v>
      </c>
    </row>
    <row r="423" customFormat="false" ht="15" hidden="false" customHeight="false" outlineLevel="0" collapsed="false">
      <c r="A423" s="55" t="s">
        <v>5018</v>
      </c>
      <c r="B423" s="55" t="s">
        <v>1505</v>
      </c>
      <c r="C423" s="55" t="s">
        <v>1504</v>
      </c>
      <c r="D423" s="55" t="s">
        <v>47</v>
      </c>
      <c r="E423" s="55" t="s">
        <v>4556</v>
      </c>
      <c r="F423" s="55" t="s">
        <v>4557</v>
      </c>
      <c r="G423" s="55" t="s">
        <v>4558</v>
      </c>
      <c r="H423" s="55" t="s">
        <v>21</v>
      </c>
      <c r="I423" s="55" t="s">
        <v>4559</v>
      </c>
    </row>
    <row r="424" customFormat="false" ht="15" hidden="false" customHeight="false" outlineLevel="0" collapsed="false">
      <c r="A424" s="55" t="s">
        <v>5019</v>
      </c>
      <c r="B424" s="55" t="s">
        <v>316</v>
      </c>
      <c r="C424" s="55" t="s">
        <v>315</v>
      </c>
      <c r="D424" s="55" t="s">
        <v>45</v>
      </c>
      <c r="E424" s="55" t="s">
        <v>4556</v>
      </c>
      <c r="F424" s="55" t="s">
        <v>4557</v>
      </c>
      <c r="G424" s="55" t="s">
        <v>4558</v>
      </c>
      <c r="H424" s="55" t="s">
        <v>21</v>
      </c>
      <c r="I424" s="55" t="s">
        <v>4566</v>
      </c>
    </row>
    <row r="425" customFormat="false" ht="15" hidden="false" customHeight="false" outlineLevel="0" collapsed="false">
      <c r="A425" s="55" t="s">
        <v>5020</v>
      </c>
      <c r="B425" s="55" t="s">
        <v>1947</v>
      </c>
      <c r="C425" s="55" t="s">
        <v>1946</v>
      </c>
      <c r="D425" s="55" t="s">
        <v>45</v>
      </c>
      <c r="E425" s="55" t="s">
        <v>4556</v>
      </c>
      <c r="F425" s="55" t="s">
        <v>4561</v>
      </c>
      <c r="G425" s="55" t="s">
        <v>4565</v>
      </c>
      <c r="H425" s="55" t="s">
        <v>21</v>
      </c>
      <c r="I425" s="55" t="s">
        <v>4566</v>
      </c>
    </row>
    <row r="426" customFormat="false" ht="15" hidden="false" customHeight="false" outlineLevel="0" collapsed="false">
      <c r="A426" s="55" t="s">
        <v>5021</v>
      </c>
      <c r="B426" s="55" t="s">
        <v>1551</v>
      </c>
      <c r="C426" s="55" t="s">
        <v>1550</v>
      </c>
      <c r="D426" s="55" t="s">
        <v>46</v>
      </c>
      <c r="E426" s="55" t="s">
        <v>4556</v>
      </c>
      <c r="F426" s="55" t="s">
        <v>4557</v>
      </c>
      <c r="G426" s="55" t="s">
        <v>4558</v>
      </c>
      <c r="H426" s="55" t="s">
        <v>21</v>
      </c>
      <c r="I426" s="55" t="s">
        <v>4566</v>
      </c>
    </row>
    <row r="427" customFormat="false" ht="15" hidden="false" customHeight="false" outlineLevel="0" collapsed="false">
      <c r="A427" s="55" t="s">
        <v>5022</v>
      </c>
      <c r="B427" s="55" t="s">
        <v>2478</v>
      </c>
      <c r="C427" s="55" t="s">
        <v>2477</v>
      </c>
      <c r="D427" s="55" t="s">
        <v>45</v>
      </c>
      <c r="E427" s="55" t="s">
        <v>4556</v>
      </c>
      <c r="F427" s="55" t="s">
        <v>4703</v>
      </c>
      <c r="G427" s="55" t="s">
        <v>4704</v>
      </c>
      <c r="H427" s="55" t="s">
        <v>21</v>
      </c>
      <c r="I427" s="55" t="s">
        <v>4566</v>
      </c>
    </row>
    <row r="428" customFormat="false" ht="15" hidden="false" customHeight="false" outlineLevel="0" collapsed="false">
      <c r="A428" s="55" t="s">
        <v>5023</v>
      </c>
      <c r="B428" s="55" t="s">
        <v>2478</v>
      </c>
      <c r="C428" s="55" t="s">
        <v>2477</v>
      </c>
      <c r="D428" s="55" t="s">
        <v>46</v>
      </c>
      <c r="E428" s="55" t="s">
        <v>4556</v>
      </c>
      <c r="F428" s="55" t="s">
        <v>4561</v>
      </c>
      <c r="G428" s="55" t="s">
        <v>4565</v>
      </c>
      <c r="H428" s="55" t="s">
        <v>21</v>
      </c>
      <c r="I428" s="55" t="s">
        <v>4566</v>
      </c>
    </row>
    <row r="429" customFormat="false" ht="15" hidden="false" customHeight="false" outlineLevel="0" collapsed="false">
      <c r="A429" s="55" t="s">
        <v>5024</v>
      </c>
      <c r="B429" s="55" t="s">
        <v>2220</v>
      </c>
      <c r="C429" s="55" t="s">
        <v>2219</v>
      </c>
      <c r="D429" s="55" t="s">
        <v>46</v>
      </c>
      <c r="E429" s="55" t="s">
        <v>4556</v>
      </c>
      <c r="F429" s="55" t="s">
        <v>4561</v>
      </c>
      <c r="G429" s="55" t="s">
        <v>4565</v>
      </c>
      <c r="H429" s="55" t="s">
        <v>21</v>
      </c>
      <c r="I429" s="55" t="s">
        <v>4566</v>
      </c>
    </row>
    <row r="430" customFormat="false" ht="15" hidden="false" customHeight="false" outlineLevel="0" collapsed="false">
      <c r="A430" s="55" t="s">
        <v>5025</v>
      </c>
      <c r="B430" s="55" t="s">
        <v>432</v>
      </c>
      <c r="C430" s="55" t="s">
        <v>431</v>
      </c>
      <c r="D430" s="55" t="s">
        <v>45</v>
      </c>
      <c r="E430" s="55" t="s">
        <v>4556</v>
      </c>
      <c r="F430" s="55" t="s">
        <v>4599</v>
      </c>
      <c r="G430" s="55" t="s">
        <v>4631</v>
      </c>
      <c r="H430" s="55" t="s">
        <v>21</v>
      </c>
      <c r="I430" s="55" t="s">
        <v>4632</v>
      </c>
    </row>
    <row r="431" customFormat="false" ht="15" hidden="false" customHeight="false" outlineLevel="0" collapsed="false">
      <c r="A431" s="55" t="s">
        <v>5026</v>
      </c>
      <c r="B431" s="55" t="s">
        <v>432</v>
      </c>
      <c r="C431" s="55" t="s">
        <v>431</v>
      </c>
      <c r="D431" s="55" t="s">
        <v>47</v>
      </c>
      <c r="E431" s="55" t="s">
        <v>4556</v>
      </c>
      <c r="F431" s="55" t="s">
        <v>4557</v>
      </c>
      <c r="G431" s="55" t="s">
        <v>5027</v>
      </c>
      <c r="H431" s="55" t="s">
        <v>84</v>
      </c>
      <c r="I431" s="55" t="s">
        <v>4597</v>
      </c>
    </row>
    <row r="432" customFormat="false" ht="15" hidden="false" customHeight="false" outlineLevel="0" collapsed="false">
      <c r="A432" s="55" t="s">
        <v>5028</v>
      </c>
      <c r="B432" s="55" t="s">
        <v>2527</v>
      </c>
      <c r="C432" s="55" t="s">
        <v>2526</v>
      </c>
      <c r="D432" s="55" t="s">
        <v>45</v>
      </c>
      <c r="E432" s="55" t="s">
        <v>4556</v>
      </c>
      <c r="F432" s="55" t="s">
        <v>4864</v>
      </c>
      <c r="G432" s="55" t="s">
        <v>4865</v>
      </c>
      <c r="H432" s="55" t="s">
        <v>21</v>
      </c>
      <c r="I432" s="55" t="s">
        <v>4566</v>
      </c>
    </row>
    <row r="433" customFormat="false" ht="15" hidden="false" customHeight="false" outlineLevel="0" collapsed="false">
      <c r="A433" s="55" t="s">
        <v>5029</v>
      </c>
      <c r="B433" s="55" t="s">
        <v>568</v>
      </c>
      <c r="C433" s="55" t="s">
        <v>567</v>
      </c>
      <c r="D433" s="55" t="s">
        <v>45</v>
      </c>
      <c r="E433" s="55" t="s">
        <v>4556</v>
      </c>
      <c r="F433" s="55" t="s">
        <v>4557</v>
      </c>
      <c r="G433" s="55" t="s">
        <v>4558</v>
      </c>
      <c r="H433" s="55" t="s">
        <v>21</v>
      </c>
      <c r="I433" s="55" t="s">
        <v>4566</v>
      </c>
    </row>
    <row r="434" customFormat="false" ht="15" hidden="false" customHeight="false" outlineLevel="0" collapsed="false">
      <c r="A434" s="55" t="s">
        <v>5030</v>
      </c>
      <c r="B434" s="55" t="s">
        <v>568</v>
      </c>
      <c r="C434" s="55" t="s">
        <v>567</v>
      </c>
      <c r="D434" s="55" t="s">
        <v>46</v>
      </c>
      <c r="E434" s="55" t="s">
        <v>4556</v>
      </c>
      <c r="F434" s="55" t="s">
        <v>4557</v>
      </c>
      <c r="G434" s="55" t="s">
        <v>4558</v>
      </c>
      <c r="H434" s="55" t="s">
        <v>21</v>
      </c>
      <c r="I434" s="55" t="s">
        <v>4566</v>
      </c>
    </row>
    <row r="435" customFormat="false" ht="15" hidden="false" customHeight="false" outlineLevel="0" collapsed="false">
      <c r="A435" s="55" t="s">
        <v>5031</v>
      </c>
      <c r="B435" s="55" t="s">
        <v>2956</v>
      </c>
      <c r="C435" s="55" t="s">
        <v>3635</v>
      </c>
      <c r="D435" s="55" t="s">
        <v>46</v>
      </c>
      <c r="E435" s="55" t="s">
        <v>4556</v>
      </c>
      <c r="F435" s="55" t="s">
        <v>4653</v>
      </c>
      <c r="G435" s="55" t="s">
        <v>4654</v>
      </c>
      <c r="H435" s="55" t="s">
        <v>21</v>
      </c>
      <c r="I435" s="55" t="s">
        <v>4566</v>
      </c>
    </row>
    <row r="436" customFormat="false" ht="15" hidden="false" customHeight="false" outlineLevel="0" collapsed="false">
      <c r="A436" s="55" t="s">
        <v>5032</v>
      </c>
      <c r="B436" s="55" t="s">
        <v>2672</v>
      </c>
      <c r="C436" s="55" t="s">
        <v>2671</v>
      </c>
      <c r="D436" s="55" t="s">
        <v>46</v>
      </c>
      <c r="E436" s="55" t="s">
        <v>4556</v>
      </c>
      <c r="F436" s="55" t="s">
        <v>4571</v>
      </c>
      <c r="G436" s="55" t="s">
        <v>4572</v>
      </c>
      <c r="H436" s="55" t="s">
        <v>21</v>
      </c>
      <c r="I436" s="55" t="s">
        <v>4566</v>
      </c>
    </row>
    <row r="437" customFormat="false" ht="15" hidden="false" customHeight="false" outlineLevel="0" collapsed="false">
      <c r="A437" s="55" t="s">
        <v>5033</v>
      </c>
      <c r="B437" s="55" t="s">
        <v>2005</v>
      </c>
      <c r="C437" s="55" t="s">
        <v>2004</v>
      </c>
      <c r="D437" s="55" t="s">
        <v>45</v>
      </c>
      <c r="E437" s="55" t="s">
        <v>4556</v>
      </c>
      <c r="F437" s="55" t="s">
        <v>4571</v>
      </c>
      <c r="G437" s="55" t="s">
        <v>4572</v>
      </c>
      <c r="H437" s="55" t="s">
        <v>21</v>
      </c>
      <c r="I437" s="55" t="s">
        <v>4566</v>
      </c>
    </row>
    <row r="438" customFormat="false" ht="15" hidden="false" customHeight="false" outlineLevel="0" collapsed="false">
      <c r="A438" s="55" t="s">
        <v>5034</v>
      </c>
      <c r="B438" s="55" t="s">
        <v>224</v>
      </c>
      <c r="C438" s="55" t="s">
        <v>223</v>
      </c>
      <c r="D438" s="55" t="s">
        <v>45</v>
      </c>
      <c r="E438" s="55" t="s">
        <v>4556</v>
      </c>
      <c r="F438" s="55" t="s">
        <v>4561</v>
      </c>
      <c r="G438" s="55" t="s">
        <v>4565</v>
      </c>
      <c r="H438" s="55" t="s">
        <v>21</v>
      </c>
      <c r="I438" s="55" t="s">
        <v>4566</v>
      </c>
    </row>
    <row r="439" customFormat="false" ht="15" hidden="false" customHeight="false" outlineLevel="0" collapsed="false">
      <c r="A439" s="55" t="s">
        <v>5035</v>
      </c>
      <c r="B439" s="55" t="s">
        <v>224</v>
      </c>
      <c r="C439" s="55" t="s">
        <v>223</v>
      </c>
      <c r="D439" s="55" t="s">
        <v>46</v>
      </c>
      <c r="E439" s="55" t="s">
        <v>4556</v>
      </c>
      <c r="F439" s="55" t="s">
        <v>4557</v>
      </c>
      <c r="G439" s="55" t="s">
        <v>4558</v>
      </c>
      <c r="H439" s="55" t="s">
        <v>21</v>
      </c>
      <c r="I439" s="55" t="s">
        <v>4566</v>
      </c>
    </row>
    <row r="440" customFormat="false" ht="15" hidden="false" customHeight="false" outlineLevel="0" collapsed="false">
      <c r="A440" s="55" t="s">
        <v>5036</v>
      </c>
      <c r="B440" s="55" t="s">
        <v>224</v>
      </c>
      <c r="C440" s="55" t="s">
        <v>223</v>
      </c>
      <c r="D440" s="55" t="s">
        <v>47</v>
      </c>
      <c r="E440" s="55" t="s">
        <v>4556</v>
      </c>
      <c r="F440" s="55" t="s">
        <v>4557</v>
      </c>
      <c r="G440" s="55" t="s">
        <v>4558</v>
      </c>
      <c r="H440" s="55" t="s">
        <v>21</v>
      </c>
      <c r="I440" s="55" t="s">
        <v>4566</v>
      </c>
    </row>
    <row r="441" customFormat="false" ht="15" hidden="false" customHeight="false" outlineLevel="0" collapsed="false">
      <c r="A441" s="55" t="s">
        <v>5037</v>
      </c>
      <c r="B441" s="55" t="s">
        <v>2532</v>
      </c>
      <c r="C441" s="55" t="s">
        <v>2531</v>
      </c>
      <c r="D441" s="55" t="s">
        <v>46</v>
      </c>
      <c r="E441" s="55" t="s">
        <v>4556</v>
      </c>
      <c r="F441" s="55" t="s">
        <v>4571</v>
      </c>
      <c r="G441" s="55" t="s">
        <v>4572</v>
      </c>
      <c r="H441" s="55" t="s">
        <v>21</v>
      </c>
      <c r="I441" s="55" t="s">
        <v>4566</v>
      </c>
    </row>
    <row r="442" customFormat="false" ht="15" hidden="false" customHeight="false" outlineLevel="0" collapsed="false">
      <c r="A442" s="55" t="s">
        <v>5038</v>
      </c>
      <c r="B442" s="55" t="s">
        <v>961</v>
      </c>
      <c r="C442" s="55" t="s">
        <v>960</v>
      </c>
      <c r="D442" s="55" t="s">
        <v>45</v>
      </c>
      <c r="E442" s="55" t="s">
        <v>4556</v>
      </c>
      <c r="F442" s="55" t="s">
        <v>4561</v>
      </c>
      <c r="G442" s="55" t="s">
        <v>4565</v>
      </c>
      <c r="H442" s="55" t="s">
        <v>21</v>
      </c>
      <c r="I442" s="55" t="s">
        <v>4566</v>
      </c>
    </row>
    <row r="443" customFormat="false" ht="15" hidden="false" customHeight="false" outlineLevel="0" collapsed="false">
      <c r="A443" s="55" t="s">
        <v>5039</v>
      </c>
      <c r="B443" s="55" t="s">
        <v>961</v>
      </c>
      <c r="C443" s="55" t="s">
        <v>960</v>
      </c>
      <c r="D443" s="55" t="s">
        <v>47</v>
      </c>
      <c r="E443" s="55" t="s">
        <v>4556</v>
      </c>
      <c r="F443" s="55" t="s">
        <v>4864</v>
      </c>
      <c r="G443" s="55" t="s">
        <v>4984</v>
      </c>
      <c r="H443" s="55" t="s">
        <v>17</v>
      </c>
      <c r="I443" s="55" t="s">
        <v>4563</v>
      </c>
    </row>
    <row r="444" customFormat="false" ht="15" hidden="false" customHeight="false" outlineLevel="0" collapsed="false">
      <c r="A444" s="55" t="s">
        <v>5040</v>
      </c>
      <c r="B444" s="55" t="s">
        <v>1200</v>
      </c>
      <c r="C444" s="55" t="s">
        <v>1199</v>
      </c>
      <c r="D444" s="55" t="s">
        <v>46</v>
      </c>
      <c r="E444" s="55" t="s">
        <v>4556</v>
      </c>
      <c r="F444" s="55" t="s">
        <v>5041</v>
      </c>
      <c r="G444" s="55" t="s">
        <v>5042</v>
      </c>
      <c r="H444" s="55" t="s">
        <v>21</v>
      </c>
      <c r="I444" s="55" t="s">
        <v>4566</v>
      </c>
    </row>
    <row r="445" customFormat="false" ht="15" hidden="false" customHeight="false" outlineLevel="0" collapsed="false">
      <c r="A445" s="55" t="s">
        <v>5043</v>
      </c>
      <c r="B445" s="55" t="s">
        <v>1200</v>
      </c>
      <c r="C445" s="55" t="s">
        <v>1199</v>
      </c>
      <c r="D445" s="55" t="s">
        <v>47</v>
      </c>
      <c r="E445" s="55" t="s">
        <v>4556</v>
      </c>
      <c r="F445" s="55" t="s">
        <v>4599</v>
      </c>
      <c r="G445" s="55" t="s">
        <v>4631</v>
      </c>
      <c r="H445" s="55" t="s">
        <v>21</v>
      </c>
      <c r="I445" s="55" t="s">
        <v>4632</v>
      </c>
    </row>
    <row r="446" customFormat="false" ht="15" hidden="false" customHeight="false" outlineLevel="0" collapsed="false">
      <c r="A446" s="55" t="s">
        <v>5044</v>
      </c>
      <c r="B446" s="55" t="s">
        <v>1840</v>
      </c>
      <c r="C446" s="55" t="s">
        <v>1839</v>
      </c>
      <c r="D446" s="55" t="s">
        <v>45</v>
      </c>
      <c r="E446" s="55" t="s">
        <v>4556</v>
      </c>
      <c r="F446" s="55" t="s">
        <v>4561</v>
      </c>
      <c r="G446" s="55" t="s">
        <v>4565</v>
      </c>
      <c r="H446" s="55" t="s">
        <v>21</v>
      </c>
      <c r="I446" s="55" t="s">
        <v>4566</v>
      </c>
    </row>
    <row r="447" customFormat="false" ht="15" hidden="false" customHeight="false" outlineLevel="0" collapsed="false">
      <c r="A447" s="55" t="s">
        <v>5045</v>
      </c>
      <c r="B447" s="55" t="s">
        <v>1840</v>
      </c>
      <c r="C447" s="55" t="s">
        <v>1839</v>
      </c>
      <c r="D447" s="55" t="s">
        <v>46</v>
      </c>
      <c r="E447" s="55" t="s">
        <v>4556</v>
      </c>
      <c r="F447" s="55" t="s">
        <v>4557</v>
      </c>
      <c r="G447" s="55" t="s">
        <v>4558</v>
      </c>
      <c r="H447" s="55" t="s">
        <v>21</v>
      </c>
      <c r="I447" s="55" t="s">
        <v>4559</v>
      </c>
    </row>
    <row r="448" customFormat="false" ht="15" hidden="false" customHeight="false" outlineLevel="0" collapsed="false">
      <c r="A448" s="55" t="s">
        <v>5046</v>
      </c>
      <c r="B448" s="55" t="s">
        <v>442</v>
      </c>
      <c r="C448" s="55" t="s">
        <v>441</v>
      </c>
      <c r="D448" s="55" t="s">
        <v>45</v>
      </c>
      <c r="E448" s="55" t="s">
        <v>4556</v>
      </c>
      <c r="F448" s="55" t="s">
        <v>4561</v>
      </c>
      <c r="G448" s="55" t="s">
        <v>4565</v>
      </c>
      <c r="H448" s="55" t="s">
        <v>21</v>
      </c>
      <c r="I448" s="55" t="s">
        <v>4566</v>
      </c>
    </row>
    <row r="449" customFormat="false" ht="15" hidden="false" customHeight="false" outlineLevel="0" collapsed="false">
      <c r="A449" s="55" t="s">
        <v>5047</v>
      </c>
      <c r="B449" s="55" t="s">
        <v>1365</v>
      </c>
      <c r="C449" s="55" t="s">
        <v>1364</v>
      </c>
      <c r="D449" s="55" t="s">
        <v>45</v>
      </c>
      <c r="E449" s="55" t="s">
        <v>4556</v>
      </c>
      <c r="F449" s="55" t="s">
        <v>4557</v>
      </c>
      <c r="G449" s="55" t="s">
        <v>4558</v>
      </c>
      <c r="H449" s="55" t="s">
        <v>21</v>
      </c>
      <c r="I449" s="55" t="s">
        <v>4566</v>
      </c>
    </row>
    <row r="450" customFormat="false" ht="15" hidden="false" customHeight="false" outlineLevel="0" collapsed="false">
      <c r="A450" s="55" t="s">
        <v>5048</v>
      </c>
      <c r="B450" s="55" t="s">
        <v>354</v>
      </c>
      <c r="C450" s="55" t="s">
        <v>353</v>
      </c>
      <c r="D450" s="55" t="s">
        <v>45</v>
      </c>
      <c r="E450" s="55" t="s">
        <v>4556</v>
      </c>
      <c r="F450" s="55" t="s">
        <v>4561</v>
      </c>
      <c r="G450" s="55" t="s">
        <v>4565</v>
      </c>
      <c r="H450" s="55" t="s">
        <v>21</v>
      </c>
      <c r="I450" s="55" t="s">
        <v>4566</v>
      </c>
    </row>
    <row r="451" customFormat="false" ht="15" hidden="false" customHeight="false" outlineLevel="0" collapsed="false">
      <c r="A451" s="55" t="s">
        <v>5049</v>
      </c>
      <c r="B451" s="55" t="s">
        <v>354</v>
      </c>
      <c r="C451" s="55" t="s">
        <v>353</v>
      </c>
      <c r="D451" s="55" t="s">
        <v>46</v>
      </c>
      <c r="E451" s="55" t="s">
        <v>4556</v>
      </c>
      <c r="F451" s="55" t="s">
        <v>4557</v>
      </c>
      <c r="G451" s="55" t="s">
        <v>4558</v>
      </c>
      <c r="H451" s="55" t="s">
        <v>21</v>
      </c>
      <c r="I451" s="55" t="s">
        <v>4566</v>
      </c>
    </row>
    <row r="452" customFormat="false" ht="15" hidden="false" customHeight="false" outlineLevel="0" collapsed="false">
      <c r="A452" s="55" t="s">
        <v>5050</v>
      </c>
      <c r="B452" s="55" t="s">
        <v>354</v>
      </c>
      <c r="C452" s="55" t="s">
        <v>353</v>
      </c>
      <c r="D452" s="55" t="s">
        <v>47</v>
      </c>
      <c r="E452" s="55" t="s">
        <v>4556</v>
      </c>
      <c r="F452" s="55" t="s">
        <v>4557</v>
      </c>
      <c r="G452" s="55" t="s">
        <v>4741</v>
      </c>
      <c r="H452" s="55" t="s">
        <v>84</v>
      </c>
      <c r="I452" s="55" t="s">
        <v>4611</v>
      </c>
    </row>
    <row r="453" customFormat="false" ht="15" hidden="false" customHeight="false" outlineLevel="0" collapsed="false">
      <c r="A453" s="55" t="s">
        <v>5051</v>
      </c>
      <c r="B453" s="55" t="s">
        <v>870</v>
      </c>
      <c r="C453" s="55" t="s">
        <v>869</v>
      </c>
      <c r="D453" s="55" t="s">
        <v>45</v>
      </c>
      <c r="E453" s="55" t="s">
        <v>4556</v>
      </c>
      <c r="F453" s="55" t="s">
        <v>4561</v>
      </c>
      <c r="G453" s="55" t="s">
        <v>4565</v>
      </c>
      <c r="H453" s="55" t="s">
        <v>21</v>
      </c>
      <c r="I453" s="55" t="s">
        <v>4566</v>
      </c>
    </row>
    <row r="454" customFormat="false" ht="15" hidden="false" customHeight="false" outlineLevel="0" collapsed="false">
      <c r="A454" s="55" t="s">
        <v>5052</v>
      </c>
      <c r="B454" s="55" t="s">
        <v>1123</v>
      </c>
      <c r="C454" s="55" t="s">
        <v>1122</v>
      </c>
      <c r="D454" s="55" t="s">
        <v>45</v>
      </c>
      <c r="E454" s="55" t="s">
        <v>4556</v>
      </c>
      <c r="F454" s="55" t="s">
        <v>4557</v>
      </c>
      <c r="G454" s="55" t="s">
        <v>4558</v>
      </c>
      <c r="H454" s="55" t="s">
        <v>21</v>
      </c>
      <c r="I454" s="55" t="s">
        <v>4559</v>
      </c>
    </row>
    <row r="455" customFormat="false" ht="15" hidden="false" customHeight="false" outlineLevel="0" collapsed="false">
      <c r="A455" s="55" t="s">
        <v>5053</v>
      </c>
      <c r="B455" s="55" t="s">
        <v>2042</v>
      </c>
      <c r="C455" s="55" t="s">
        <v>2041</v>
      </c>
      <c r="D455" s="55" t="s">
        <v>46</v>
      </c>
      <c r="E455" s="55" t="s">
        <v>4556</v>
      </c>
      <c r="F455" s="55" t="s">
        <v>4568</v>
      </c>
      <c r="G455" s="55" t="s">
        <v>4569</v>
      </c>
      <c r="H455" s="55" t="s">
        <v>17</v>
      </c>
      <c r="I455" s="55" t="s">
        <v>4563</v>
      </c>
    </row>
    <row r="456" customFormat="false" ht="15" hidden="false" customHeight="false" outlineLevel="0" collapsed="false">
      <c r="A456" s="55" t="s">
        <v>5054</v>
      </c>
      <c r="B456" s="55" t="s">
        <v>1187</v>
      </c>
      <c r="C456" s="55" t="s">
        <v>1186</v>
      </c>
      <c r="D456" s="55" t="s">
        <v>45</v>
      </c>
      <c r="E456" s="55" t="s">
        <v>4556</v>
      </c>
      <c r="F456" s="55" t="s">
        <v>4471</v>
      </c>
      <c r="G456" s="55" t="s">
        <v>4761</v>
      </c>
      <c r="H456" s="55" t="s">
        <v>17</v>
      </c>
      <c r="I456" s="55" t="s">
        <v>4762</v>
      </c>
    </row>
    <row r="457" customFormat="false" ht="15" hidden="false" customHeight="false" outlineLevel="0" collapsed="false">
      <c r="A457" s="55" t="s">
        <v>5055</v>
      </c>
      <c r="B457" s="55" t="s">
        <v>1187</v>
      </c>
      <c r="C457" s="55" t="s">
        <v>1186</v>
      </c>
      <c r="D457" s="55" t="s">
        <v>46</v>
      </c>
      <c r="E457" s="55" t="s">
        <v>4556</v>
      </c>
      <c r="F457" s="55" t="s">
        <v>4197</v>
      </c>
      <c r="G457" s="55" t="s">
        <v>4589</v>
      </c>
      <c r="H457" s="55" t="s">
        <v>21</v>
      </c>
      <c r="I457" s="55" t="s">
        <v>4566</v>
      </c>
    </row>
    <row r="458" customFormat="false" ht="15" hidden="false" customHeight="false" outlineLevel="0" collapsed="false">
      <c r="A458" s="55" t="s">
        <v>5056</v>
      </c>
      <c r="B458" s="55" t="s">
        <v>318</v>
      </c>
      <c r="C458" s="55" t="s">
        <v>317</v>
      </c>
      <c r="D458" s="55" t="s">
        <v>45</v>
      </c>
      <c r="E458" s="55" t="s">
        <v>4556</v>
      </c>
      <c r="F458" s="55" t="s">
        <v>4557</v>
      </c>
      <c r="G458" s="55" t="s">
        <v>4558</v>
      </c>
      <c r="H458" s="55" t="s">
        <v>21</v>
      </c>
      <c r="I458" s="55" t="s">
        <v>4566</v>
      </c>
    </row>
    <row r="459" customFormat="false" ht="15" hidden="false" customHeight="false" outlineLevel="0" collapsed="false">
      <c r="A459" s="55" t="s">
        <v>5057</v>
      </c>
      <c r="B459" s="55" t="s">
        <v>324</v>
      </c>
      <c r="C459" s="55" t="s">
        <v>323</v>
      </c>
      <c r="D459" s="55" t="s">
        <v>46</v>
      </c>
      <c r="E459" s="55" t="s">
        <v>4556</v>
      </c>
      <c r="F459" s="55" t="s">
        <v>4557</v>
      </c>
      <c r="G459" s="55" t="s">
        <v>4558</v>
      </c>
      <c r="H459" s="55" t="s">
        <v>21</v>
      </c>
      <c r="I459" s="55" t="s">
        <v>4566</v>
      </c>
    </row>
    <row r="460" customFormat="false" ht="15" hidden="false" customHeight="false" outlineLevel="0" collapsed="false">
      <c r="A460" s="55" t="s">
        <v>5058</v>
      </c>
      <c r="B460" s="55" t="s">
        <v>1654</v>
      </c>
      <c r="C460" s="55" t="s">
        <v>1653</v>
      </c>
      <c r="D460" s="55" t="s">
        <v>46</v>
      </c>
      <c r="E460" s="55" t="s">
        <v>4556</v>
      </c>
      <c r="F460" s="55" t="s">
        <v>4557</v>
      </c>
      <c r="G460" s="55" t="s">
        <v>4558</v>
      </c>
      <c r="H460" s="55" t="s">
        <v>21</v>
      </c>
      <c r="I460" s="55" t="s">
        <v>4566</v>
      </c>
    </row>
    <row r="461" customFormat="false" ht="15" hidden="false" customHeight="false" outlineLevel="0" collapsed="false">
      <c r="A461" s="55" t="s">
        <v>5059</v>
      </c>
      <c r="B461" s="55" t="s">
        <v>240</v>
      </c>
      <c r="C461" s="55" t="s">
        <v>239</v>
      </c>
      <c r="D461" s="55" t="s">
        <v>47</v>
      </c>
      <c r="E461" s="55" t="s">
        <v>4556</v>
      </c>
      <c r="F461" s="55" t="s">
        <v>4471</v>
      </c>
      <c r="G461" s="55" t="s">
        <v>4669</v>
      </c>
      <c r="H461" s="55" t="s">
        <v>21</v>
      </c>
      <c r="I461" s="55" t="s">
        <v>4670</v>
      </c>
    </row>
    <row r="462" customFormat="false" ht="15" hidden="false" customHeight="false" outlineLevel="0" collapsed="false">
      <c r="A462" s="55" t="s">
        <v>5060</v>
      </c>
      <c r="B462" s="55" t="s">
        <v>464</v>
      </c>
      <c r="C462" s="55" t="s">
        <v>463</v>
      </c>
      <c r="D462" s="55" t="s">
        <v>46</v>
      </c>
      <c r="E462" s="55" t="s">
        <v>4556</v>
      </c>
      <c r="F462" s="55" t="s">
        <v>4557</v>
      </c>
      <c r="G462" s="55" t="s">
        <v>4558</v>
      </c>
      <c r="H462" s="55" t="s">
        <v>21</v>
      </c>
      <c r="I462" s="55" t="s">
        <v>4566</v>
      </c>
    </row>
    <row r="463" customFormat="false" ht="15" hidden="false" customHeight="false" outlineLevel="0" collapsed="false">
      <c r="A463" s="55" t="s">
        <v>5061</v>
      </c>
      <c r="B463" s="55" t="s">
        <v>929</v>
      </c>
      <c r="C463" s="55" t="s">
        <v>928</v>
      </c>
      <c r="D463" s="55" t="s">
        <v>46</v>
      </c>
      <c r="E463" s="55" t="s">
        <v>4556</v>
      </c>
      <c r="F463" s="55" t="s">
        <v>4561</v>
      </c>
      <c r="G463" s="55" t="s">
        <v>4565</v>
      </c>
      <c r="H463" s="55" t="s">
        <v>21</v>
      </c>
      <c r="I463" s="55" t="s">
        <v>4559</v>
      </c>
    </row>
    <row r="464" customFormat="false" ht="15" hidden="false" customHeight="false" outlineLevel="0" collapsed="false">
      <c r="A464" s="55" t="s">
        <v>5062</v>
      </c>
      <c r="B464" s="55" t="s">
        <v>1767</v>
      </c>
      <c r="C464" s="55" t="s">
        <v>1766</v>
      </c>
      <c r="D464" s="55" t="s">
        <v>45</v>
      </c>
      <c r="E464" s="55" t="s">
        <v>4556</v>
      </c>
      <c r="F464" s="55" t="s">
        <v>4864</v>
      </c>
      <c r="G464" s="55" t="s">
        <v>4865</v>
      </c>
      <c r="H464" s="55" t="s">
        <v>21</v>
      </c>
      <c r="I464" s="55" t="s">
        <v>4566</v>
      </c>
    </row>
    <row r="465" customFormat="false" ht="15" hidden="false" customHeight="false" outlineLevel="0" collapsed="false">
      <c r="A465" s="55" t="s">
        <v>5063</v>
      </c>
      <c r="B465" s="55" t="s">
        <v>1307</v>
      </c>
      <c r="C465" s="55" t="s">
        <v>1306</v>
      </c>
      <c r="D465" s="55" t="s">
        <v>45</v>
      </c>
      <c r="E465" s="55" t="s">
        <v>4556</v>
      </c>
      <c r="F465" s="55" t="s">
        <v>4557</v>
      </c>
      <c r="G465" s="55" t="s">
        <v>4558</v>
      </c>
      <c r="H465" s="55" t="s">
        <v>21</v>
      </c>
      <c r="I465" s="55" t="s">
        <v>4566</v>
      </c>
    </row>
    <row r="466" customFormat="false" ht="15" hidden="false" customHeight="false" outlineLevel="0" collapsed="false">
      <c r="A466" s="55" t="s">
        <v>5064</v>
      </c>
      <c r="B466" s="55" t="s">
        <v>1403</v>
      </c>
      <c r="C466" s="55" t="s">
        <v>1402</v>
      </c>
      <c r="D466" s="55" t="s">
        <v>47</v>
      </c>
      <c r="E466" s="55" t="s">
        <v>4556</v>
      </c>
      <c r="F466" s="55" t="s">
        <v>4571</v>
      </c>
      <c r="G466" s="55" t="s">
        <v>4572</v>
      </c>
      <c r="H466" s="55" t="s">
        <v>21</v>
      </c>
      <c r="I466" s="55" t="s">
        <v>4559</v>
      </c>
    </row>
    <row r="467" customFormat="false" ht="15" hidden="false" customHeight="false" outlineLevel="0" collapsed="false">
      <c r="A467" s="55" t="s">
        <v>5065</v>
      </c>
      <c r="B467" s="55" t="s">
        <v>1394</v>
      </c>
      <c r="C467" s="55" t="s">
        <v>1393</v>
      </c>
      <c r="D467" s="55" t="s">
        <v>45</v>
      </c>
      <c r="E467" s="55" t="s">
        <v>4556</v>
      </c>
      <c r="F467" s="55" t="s">
        <v>4561</v>
      </c>
      <c r="G467" s="55" t="s">
        <v>4565</v>
      </c>
      <c r="H467" s="55" t="s">
        <v>21</v>
      </c>
      <c r="I467" s="55" t="s">
        <v>4566</v>
      </c>
    </row>
    <row r="468" customFormat="false" ht="15" hidden="false" customHeight="false" outlineLevel="0" collapsed="false">
      <c r="A468" s="55" t="s">
        <v>5066</v>
      </c>
      <c r="B468" s="55" t="s">
        <v>1471</v>
      </c>
      <c r="C468" s="55" t="s">
        <v>1470</v>
      </c>
      <c r="D468" s="55" t="s">
        <v>45</v>
      </c>
      <c r="E468" s="55" t="s">
        <v>4556</v>
      </c>
      <c r="F468" s="55" t="s">
        <v>4571</v>
      </c>
      <c r="G468" s="55" t="s">
        <v>4572</v>
      </c>
      <c r="H468" s="55" t="s">
        <v>21</v>
      </c>
      <c r="I468" s="55" t="s">
        <v>4566</v>
      </c>
    </row>
    <row r="469" customFormat="false" ht="15" hidden="false" customHeight="false" outlineLevel="0" collapsed="false">
      <c r="A469" s="55" t="s">
        <v>5067</v>
      </c>
      <c r="B469" s="55" t="s">
        <v>2974</v>
      </c>
      <c r="C469" s="55" t="s">
        <v>3667</v>
      </c>
      <c r="D469" s="55" t="s">
        <v>46</v>
      </c>
      <c r="E469" s="55" t="s">
        <v>4556</v>
      </c>
      <c r="F469" s="55" t="s">
        <v>4571</v>
      </c>
      <c r="G469" s="55" t="s">
        <v>4572</v>
      </c>
      <c r="H469" s="55" t="s">
        <v>21</v>
      </c>
      <c r="I469" s="55" t="s">
        <v>4566</v>
      </c>
    </row>
    <row r="470" customFormat="false" ht="15" hidden="false" customHeight="false" outlineLevel="0" collapsed="false">
      <c r="A470" s="55" t="s">
        <v>5068</v>
      </c>
      <c r="B470" s="55" t="s">
        <v>1197</v>
      </c>
      <c r="C470" s="55" t="s">
        <v>1196</v>
      </c>
      <c r="D470" s="55" t="s">
        <v>45</v>
      </c>
      <c r="E470" s="55" t="s">
        <v>4556</v>
      </c>
      <c r="F470" s="55" t="s">
        <v>4557</v>
      </c>
      <c r="G470" s="55" t="s">
        <v>4558</v>
      </c>
      <c r="H470" s="55" t="s">
        <v>21</v>
      </c>
      <c r="I470" s="55" t="s">
        <v>4566</v>
      </c>
    </row>
    <row r="471" customFormat="false" ht="15" hidden="false" customHeight="false" outlineLevel="0" collapsed="false">
      <c r="A471" s="55" t="s">
        <v>5069</v>
      </c>
      <c r="B471" s="55" t="s">
        <v>2377</v>
      </c>
      <c r="C471" s="55" t="s">
        <v>2376</v>
      </c>
      <c r="D471" s="55" t="s">
        <v>45</v>
      </c>
      <c r="E471" s="55" t="s">
        <v>4556</v>
      </c>
      <c r="F471" s="55" t="s">
        <v>5070</v>
      </c>
      <c r="G471" s="55" t="s">
        <v>5071</v>
      </c>
      <c r="H471" s="55" t="s">
        <v>17</v>
      </c>
      <c r="I471" s="55" t="s">
        <v>4601</v>
      </c>
    </row>
    <row r="472" customFormat="false" ht="15" hidden="false" customHeight="false" outlineLevel="0" collapsed="false">
      <c r="A472" s="55" t="s">
        <v>5072</v>
      </c>
      <c r="B472" s="55" t="s">
        <v>1501</v>
      </c>
      <c r="C472" s="55" t="s">
        <v>1500</v>
      </c>
      <c r="D472" s="55" t="s">
        <v>46</v>
      </c>
      <c r="E472" s="55" t="s">
        <v>4556</v>
      </c>
      <c r="F472" s="55" t="s">
        <v>4557</v>
      </c>
      <c r="G472" s="55" t="s">
        <v>4558</v>
      </c>
      <c r="H472" s="55" t="s">
        <v>21</v>
      </c>
      <c r="I472" s="55" t="s">
        <v>4566</v>
      </c>
    </row>
    <row r="473" customFormat="false" ht="15" hidden="false" customHeight="false" outlineLevel="0" collapsed="false">
      <c r="A473" s="55" t="s">
        <v>5073</v>
      </c>
      <c r="B473" s="55" t="s">
        <v>222</v>
      </c>
      <c r="C473" s="55" t="s">
        <v>221</v>
      </c>
      <c r="D473" s="55" t="s">
        <v>46</v>
      </c>
      <c r="E473" s="55" t="s">
        <v>4556</v>
      </c>
      <c r="F473" s="55" t="s">
        <v>4557</v>
      </c>
      <c r="G473" s="55" t="s">
        <v>4558</v>
      </c>
      <c r="H473" s="55" t="s">
        <v>21</v>
      </c>
      <c r="I473" s="55" t="s">
        <v>4566</v>
      </c>
    </row>
    <row r="474" customFormat="false" ht="15" hidden="false" customHeight="false" outlineLevel="0" collapsed="false">
      <c r="A474" s="55" t="s">
        <v>5074</v>
      </c>
      <c r="B474" s="55" t="s">
        <v>758</v>
      </c>
      <c r="C474" s="55" t="s">
        <v>757</v>
      </c>
      <c r="D474" s="55" t="s">
        <v>45</v>
      </c>
      <c r="E474" s="55" t="s">
        <v>4556</v>
      </c>
      <c r="F474" s="55" t="s">
        <v>4557</v>
      </c>
      <c r="G474" s="55" t="s">
        <v>4558</v>
      </c>
      <c r="H474" s="55" t="s">
        <v>21</v>
      </c>
      <c r="I474" s="55" t="s">
        <v>4566</v>
      </c>
    </row>
    <row r="475" customFormat="false" ht="15" hidden="false" customHeight="false" outlineLevel="0" collapsed="false">
      <c r="A475" s="55" t="s">
        <v>5075</v>
      </c>
      <c r="B475" s="55" t="s">
        <v>758</v>
      </c>
      <c r="C475" s="55" t="s">
        <v>757</v>
      </c>
      <c r="D475" s="55" t="s">
        <v>46</v>
      </c>
      <c r="E475" s="55" t="s">
        <v>4556</v>
      </c>
      <c r="F475" s="55" t="s">
        <v>4703</v>
      </c>
      <c r="G475" s="55" t="s">
        <v>4704</v>
      </c>
      <c r="H475" s="55" t="s">
        <v>21</v>
      </c>
      <c r="I475" s="55" t="s">
        <v>4566</v>
      </c>
    </row>
    <row r="476" customFormat="false" ht="15" hidden="false" customHeight="false" outlineLevel="0" collapsed="false">
      <c r="A476" s="55" t="s">
        <v>5076</v>
      </c>
      <c r="B476" s="55" t="s">
        <v>1136</v>
      </c>
      <c r="C476" s="55" t="s">
        <v>1135</v>
      </c>
      <c r="D476" s="55" t="s">
        <v>45</v>
      </c>
      <c r="E476" s="55" t="s">
        <v>4556</v>
      </c>
      <c r="F476" s="55" t="s">
        <v>4557</v>
      </c>
      <c r="G476" s="55" t="s">
        <v>4558</v>
      </c>
      <c r="H476" s="55" t="s">
        <v>21</v>
      </c>
      <c r="I476" s="55" t="s">
        <v>4566</v>
      </c>
    </row>
    <row r="477" customFormat="false" ht="15" hidden="false" customHeight="false" outlineLevel="0" collapsed="false">
      <c r="A477" s="55" t="s">
        <v>5077</v>
      </c>
      <c r="B477" s="55" t="s">
        <v>1136</v>
      </c>
      <c r="C477" s="55" t="s">
        <v>1135</v>
      </c>
      <c r="D477" s="55" t="s">
        <v>46</v>
      </c>
      <c r="E477" s="55" t="s">
        <v>4556</v>
      </c>
      <c r="F477" s="55" t="s">
        <v>4571</v>
      </c>
      <c r="G477" s="55" t="s">
        <v>4572</v>
      </c>
      <c r="H477" s="55" t="s">
        <v>21</v>
      </c>
      <c r="I477" s="55" t="s">
        <v>4566</v>
      </c>
    </row>
    <row r="478" customFormat="false" ht="15" hidden="false" customHeight="false" outlineLevel="0" collapsed="false">
      <c r="A478" s="55" t="s">
        <v>5078</v>
      </c>
      <c r="B478" s="55" t="s">
        <v>270</v>
      </c>
      <c r="C478" s="55" t="s">
        <v>269</v>
      </c>
      <c r="D478" s="55" t="s">
        <v>46</v>
      </c>
      <c r="E478" s="55" t="s">
        <v>4556</v>
      </c>
      <c r="F478" s="55" t="s">
        <v>4557</v>
      </c>
      <c r="G478" s="55" t="s">
        <v>4558</v>
      </c>
      <c r="H478" s="55" t="s">
        <v>21</v>
      </c>
      <c r="I478" s="55" t="s">
        <v>4566</v>
      </c>
    </row>
    <row r="479" customFormat="false" ht="15" hidden="false" customHeight="false" outlineLevel="0" collapsed="false">
      <c r="A479" s="55" t="s">
        <v>5079</v>
      </c>
      <c r="B479" s="55" t="s">
        <v>2601</v>
      </c>
      <c r="C479" s="55" t="s">
        <v>2600</v>
      </c>
      <c r="D479" s="55" t="s">
        <v>45</v>
      </c>
      <c r="E479" s="55" t="s">
        <v>4556</v>
      </c>
      <c r="F479" s="55" t="s">
        <v>4568</v>
      </c>
      <c r="G479" s="55" t="s">
        <v>4569</v>
      </c>
      <c r="H479" s="55" t="s">
        <v>17</v>
      </c>
      <c r="I479" s="55" t="s">
        <v>4563</v>
      </c>
    </row>
    <row r="480" customFormat="false" ht="15" hidden="false" customHeight="false" outlineLevel="0" collapsed="false">
      <c r="A480" s="55" t="s">
        <v>5080</v>
      </c>
      <c r="B480" s="55" t="s">
        <v>2601</v>
      </c>
      <c r="C480" s="55" t="s">
        <v>2600</v>
      </c>
      <c r="D480" s="55" t="s">
        <v>46</v>
      </c>
      <c r="E480" s="55" t="s">
        <v>4556</v>
      </c>
      <c r="F480" s="55" t="s">
        <v>4864</v>
      </c>
      <c r="G480" s="55" t="s">
        <v>4865</v>
      </c>
      <c r="H480" s="55" t="s">
        <v>21</v>
      </c>
      <c r="I480" s="55" t="s">
        <v>4566</v>
      </c>
    </row>
    <row r="481" customFormat="false" ht="15" hidden="false" customHeight="false" outlineLevel="0" collapsed="false">
      <c r="A481" s="55" t="s">
        <v>5081</v>
      </c>
      <c r="B481" s="55" t="s">
        <v>404</v>
      </c>
      <c r="C481" s="55" t="s">
        <v>403</v>
      </c>
      <c r="D481" s="55" t="s">
        <v>45</v>
      </c>
      <c r="E481" s="55" t="s">
        <v>4556</v>
      </c>
      <c r="F481" s="55" t="s">
        <v>4557</v>
      </c>
      <c r="G481" s="55" t="s">
        <v>4558</v>
      </c>
      <c r="H481" s="55" t="s">
        <v>21</v>
      </c>
      <c r="I481" s="55" t="s">
        <v>4566</v>
      </c>
    </row>
    <row r="482" customFormat="false" ht="15" hidden="false" customHeight="false" outlineLevel="0" collapsed="false">
      <c r="A482" s="55" t="s">
        <v>5082</v>
      </c>
      <c r="B482" s="55" t="s">
        <v>404</v>
      </c>
      <c r="C482" s="55" t="s">
        <v>403</v>
      </c>
      <c r="D482" s="55" t="s">
        <v>46</v>
      </c>
      <c r="E482" s="55" t="s">
        <v>4556</v>
      </c>
      <c r="F482" s="55" t="s">
        <v>4557</v>
      </c>
      <c r="G482" s="55" t="s">
        <v>4558</v>
      </c>
      <c r="H482" s="55" t="s">
        <v>21</v>
      </c>
      <c r="I482" s="55" t="s">
        <v>4566</v>
      </c>
    </row>
    <row r="483" customFormat="false" ht="15" hidden="false" customHeight="false" outlineLevel="0" collapsed="false">
      <c r="A483" s="55" t="s">
        <v>5083</v>
      </c>
      <c r="B483" s="55" t="s">
        <v>2368</v>
      </c>
      <c r="C483" s="55" t="s">
        <v>2367</v>
      </c>
      <c r="D483" s="55" t="s">
        <v>46</v>
      </c>
      <c r="E483" s="55" t="s">
        <v>4556</v>
      </c>
      <c r="F483" s="55" t="s">
        <v>4571</v>
      </c>
      <c r="G483" s="55" t="s">
        <v>4572</v>
      </c>
      <c r="H483" s="55" t="s">
        <v>21</v>
      </c>
      <c r="I483" s="55" t="s">
        <v>4566</v>
      </c>
    </row>
    <row r="484" customFormat="false" ht="15" hidden="false" customHeight="false" outlineLevel="0" collapsed="false">
      <c r="A484" s="55" t="s">
        <v>5084</v>
      </c>
      <c r="B484" s="55" t="s">
        <v>2368</v>
      </c>
      <c r="C484" s="55" t="s">
        <v>2367</v>
      </c>
      <c r="D484" s="55" t="s">
        <v>47</v>
      </c>
      <c r="E484" s="55" t="s">
        <v>4556</v>
      </c>
      <c r="F484" s="55" t="s">
        <v>4413</v>
      </c>
      <c r="G484" s="55" t="s">
        <v>4717</v>
      </c>
      <c r="H484" s="55" t="s">
        <v>21</v>
      </c>
      <c r="I484" s="55" t="s">
        <v>4781</v>
      </c>
    </row>
    <row r="485" customFormat="false" ht="15" hidden="false" customHeight="false" outlineLevel="0" collapsed="false">
      <c r="A485" s="55" t="s">
        <v>5085</v>
      </c>
      <c r="B485" s="55" t="s">
        <v>594</v>
      </c>
      <c r="C485" s="55" t="s">
        <v>593</v>
      </c>
      <c r="D485" s="55" t="s">
        <v>45</v>
      </c>
      <c r="E485" s="55" t="s">
        <v>4556</v>
      </c>
      <c r="F485" s="55" t="s">
        <v>4557</v>
      </c>
      <c r="G485" s="55" t="s">
        <v>4558</v>
      </c>
      <c r="H485" s="55" t="s">
        <v>21</v>
      </c>
      <c r="I485" s="55" t="s">
        <v>4566</v>
      </c>
    </row>
    <row r="486" customFormat="false" ht="15" hidden="false" customHeight="false" outlineLevel="0" collapsed="false">
      <c r="A486" s="55" t="s">
        <v>5086</v>
      </c>
      <c r="B486" s="55" t="s">
        <v>1724</v>
      </c>
      <c r="C486" s="55" t="s">
        <v>1723</v>
      </c>
      <c r="D486" s="55" t="s">
        <v>45</v>
      </c>
      <c r="E486" s="55" t="s">
        <v>4556</v>
      </c>
      <c r="F486" s="55" t="s">
        <v>4197</v>
      </c>
      <c r="G486" s="55" t="s">
        <v>4589</v>
      </c>
      <c r="H486" s="55" t="s">
        <v>21</v>
      </c>
      <c r="I486" s="55" t="s">
        <v>4566</v>
      </c>
    </row>
    <row r="487" customFormat="false" ht="15" hidden="false" customHeight="false" outlineLevel="0" collapsed="false">
      <c r="A487" s="55" t="s">
        <v>5087</v>
      </c>
      <c r="B487" s="55" t="s">
        <v>1724</v>
      </c>
      <c r="C487" s="55" t="s">
        <v>1723</v>
      </c>
      <c r="D487" s="55" t="s">
        <v>46</v>
      </c>
      <c r="E487" s="55" t="s">
        <v>4556</v>
      </c>
      <c r="F487" s="55" t="s">
        <v>4557</v>
      </c>
      <c r="G487" s="55" t="s">
        <v>4558</v>
      </c>
      <c r="H487" s="55" t="s">
        <v>21</v>
      </c>
      <c r="I487" s="55" t="s">
        <v>4566</v>
      </c>
    </row>
    <row r="488" customFormat="false" ht="15" hidden="false" customHeight="false" outlineLevel="0" collapsed="false">
      <c r="A488" s="55" t="s">
        <v>5088</v>
      </c>
      <c r="B488" s="55" t="s">
        <v>304</v>
      </c>
      <c r="C488" s="55" t="s">
        <v>303</v>
      </c>
      <c r="D488" s="55" t="s">
        <v>45</v>
      </c>
      <c r="E488" s="55" t="s">
        <v>4556</v>
      </c>
      <c r="F488" s="55" t="s">
        <v>4561</v>
      </c>
      <c r="G488" s="55" t="s">
        <v>4565</v>
      </c>
      <c r="H488" s="55" t="s">
        <v>21</v>
      </c>
      <c r="I488" s="55" t="s">
        <v>4566</v>
      </c>
    </row>
    <row r="489" customFormat="false" ht="15" hidden="false" customHeight="false" outlineLevel="0" collapsed="false">
      <c r="A489" s="55" t="s">
        <v>5089</v>
      </c>
      <c r="B489" s="55" t="s">
        <v>1120</v>
      </c>
      <c r="C489" s="55" t="s">
        <v>1119</v>
      </c>
      <c r="D489" s="55" t="s">
        <v>47</v>
      </c>
      <c r="E489" s="55" t="s">
        <v>4556</v>
      </c>
      <c r="F489" s="55" t="s">
        <v>4599</v>
      </c>
      <c r="G489" s="55" t="s">
        <v>4631</v>
      </c>
      <c r="H489" s="55" t="s">
        <v>21</v>
      </c>
      <c r="I489" s="55" t="s">
        <v>4632</v>
      </c>
    </row>
    <row r="490" customFormat="false" ht="15" hidden="false" customHeight="false" outlineLevel="0" collapsed="false">
      <c r="A490" s="55" t="s">
        <v>5090</v>
      </c>
      <c r="B490" s="55" t="s">
        <v>2504</v>
      </c>
      <c r="C490" s="55" t="s">
        <v>2503</v>
      </c>
      <c r="D490" s="55" t="s">
        <v>45</v>
      </c>
      <c r="E490" s="55" t="s">
        <v>4556</v>
      </c>
      <c r="F490" s="55" t="s">
        <v>5041</v>
      </c>
      <c r="G490" s="55" t="s">
        <v>5042</v>
      </c>
      <c r="H490" s="55" t="s">
        <v>21</v>
      </c>
      <c r="I490" s="55" t="s">
        <v>4559</v>
      </c>
    </row>
    <row r="491" customFormat="false" ht="15" hidden="false" customHeight="false" outlineLevel="0" collapsed="false">
      <c r="A491" s="55" t="s">
        <v>5091</v>
      </c>
      <c r="B491" s="55" t="s">
        <v>2504</v>
      </c>
      <c r="C491" s="55" t="s">
        <v>2503</v>
      </c>
      <c r="D491" s="55" t="s">
        <v>46</v>
      </c>
      <c r="E491" s="55" t="s">
        <v>4556</v>
      </c>
      <c r="F491" s="55" t="s">
        <v>4636</v>
      </c>
      <c r="G491" s="55" t="s">
        <v>4637</v>
      </c>
      <c r="H491" s="55" t="s">
        <v>21</v>
      </c>
      <c r="I491" s="55" t="s">
        <v>4566</v>
      </c>
    </row>
    <row r="492" customFormat="false" ht="15" hidden="false" customHeight="false" outlineLevel="0" collapsed="false">
      <c r="A492" s="55" t="s">
        <v>5092</v>
      </c>
      <c r="B492" s="55" t="s">
        <v>2504</v>
      </c>
      <c r="C492" s="55" t="s">
        <v>2503</v>
      </c>
      <c r="D492" s="55" t="s">
        <v>47</v>
      </c>
      <c r="E492" s="55" t="s">
        <v>4556</v>
      </c>
      <c r="F492" s="55" t="s">
        <v>4626</v>
      </c>
      <c r="G492" s="55" t="s">
        <v>5093</v>
      </c>
      <c r="H492" s="55" t="s">
        <v>17</v>
      </c>
      <c r="I492" s="55" t="s">
        <v>5094</v>
      </c>
    </row>
    <row r="493" customFormat="false" ht="15" hidden="false" customHeight="false" outlineLevel="0" collapsed="false">
      <c r="A493" s="55" t="s">
        <v>5095</v>
      </c>
      <c r="B493" s="55" t="s">
        <v>382</v>
      </c>
      <c r="C493" s="55" t="s">
        <v>381</v>
      </c>
      <c r="D493" s="55" t="s">
        <v>45</v>
      </c>
      <c r="E493" s="55" t="s">
        <v>4556</v>
      </c>
      <c r="F493" s="55" t="s">
        <v>4557</v>
      </c>
      <c r="G493" s="55" t="s">
        <v>4558</v>
      </c>
      <c r="H493" s="55" t="s">
        <v>21</v>
      </c>
      <c r="I493" s="55" t="s">
        <v>4566</v>
      </c>
    </row>
    <row r="494" customFormat="false" ht="15" hidden="false" customHeight="false" outlineLevel="0" collapsed="false">
      <c r="A494" s="55" t="s">
        <v>5096</v>
      </c>
      <c r="B494" s="55" t="s">
        <v>440</v>
      </c>
      <c r="C494" s="55" t="s">
        <v>439</v>
      </c>
      <c r="D494" s="55" t="s">
        <v>45</v>
      </c>
      <c r="E494" s="55" t="s">
        <v>4556</v>
      </c>
      <c r="F494" s="55" t="s">
        <v>4557</v>
      </c>
      <c r="G494" s="55" t="s">
        <v>4558</v>
      </c>
      <c r="H494" s="55" t="s">
        <v>21</v>
      </c>
      <c r="I494" s="55" t="s">
        <v>4566</v>
      </c>
    </row>
    <row r="495" customFormat="false" ht="15" hidden="false" customHeight="false" outlineLevel="0" collapsed="false">
      <c r="A495" s="55" t="s">
        <v>5097</v>
      </c>
      <c r="B495" s="55" t="s">
        <v>440</v>
      </c>
      <c r="C495" s="55" t="s">
        <v>439</v>
      </c>
      <c r="D495" s="55" t="s">
        <v>46</v>
      </c>
      <c r="E495" s="55" t="s">
        <v>4556</v>
      </c>
      <c r="F495" s="55" t="s">
        <v>4557</v>
      </c>
      <c r="G495" s="55" t="s">
        <v>4558</v>
      </c>
      <c r="H495" s="55" t="s">
        <v>21</v>
      </c>
      <c r="I495" s="55" t="s">
        <v>4566</v>
      </c>
    </row>
    <row r="496" customFormat="false" ht="15" hidden="false" customHeight="false" outlineLevel="0" collapsed="false">
      <c r="A496" s="55" t="s">
        <v>5098</v>
      </c>
      <c r="B496" s="55" t="s">
        <v>2374</v>
      </c>
      <c r="C496" s="55" t="s">
        <v>2373</v>
      </c>
      <c r="D496" s="55" t="s">
        <v>45</v>
      </c>
      <c r="E496" s="55" t="s">
        <v>4556</v>
      </c>
      <c r="F496" s="55" t="s">
        <v>4561</v>
      </c>
      <c r="G496" s="55" t="s">
        <v>4565</v>
      </c>
      <c r="H496" s="55" t="s">
        <v>21</v>
      </c>
      <c r="I496" s="55" t="s">
        <v>4566</v>
      </c>
    </row>
    <row r="497" customFormat="false" ht="15" hidden="false" customHeight="false" outlineLevel="0" collapsed="false">
      <c r="A497" s="55" t="s">
        <v>5099</v>
      </c>
      <c r="B497" s="55" t="s">
        <v>2374</v>
      </c>
      <c r="C497" s="55" t="s">
        <v>2373</v>
      </c>
      <c r="D497" s="55" t="s">
        <v>46</v>
      </c>
      <c r="E497" s="55" t="s">
        <v>4556</v>
      </c>
      <c r="F497" s="55" t="s">
        <v>4571</v>
      </c>
      <c r="G497" s="55" t="s">
        <v>4572</v>
      </c>
      <c r="H497" s="55" t="s">
        <v>21</v>
      </c>
      <c r="I497" s="55" t="s">
        <v>4566</v>
      </c>
    </row>
    <row r="498" customFormat="false" ht="15" hidden="false" customHeight="false" outlineLevel="0" collapsed="false">
      <c r="A498" s="55" t="s">
        <v>5100</v>
      </c>
      <c r="B498" s="55" t="s">
        <v>1025</v>
      </c>
      <c r="C498" s="55" t="s">
        <v>1024</v>
      </c>
      <c r="D498" s="55" t="s">
        <v>45</v>
      </c>
      <c r="E498" s="55" t="s">
        <v>4556</v>
      </c>
      <c r="F498" s="55" t="s">
        <v>4557</v>
      </c>
      <c r="G498" s="55" t="s">
        <v>4558</v>
      </c>
      <c r="H498" s="55" t="s">
        <v>21</v>
      </c>
      <c r="I498" s="55" t="s">
        <v>4559</v>
      </c>
    </row>
    <row r="499" customFormat="false" ht="15" hidden="false" customHeight="false" outlineLevel="0" collapsed="false">
      <c r="A499" s="55" t="s">
        <v>5101</v>
      </c>
      <c r="B499" s="55" t="s">
        <v>1025</v>
      </c>
      <c r="C499" s="55" t="s">
        <v>1024</v>
      </c>
      <c r="D499" s="55" t="s">
        <v>46</v>
      </c>
      <c r="E499" s="55" t="s">
        <v>4556</v>
      </c>
      <c r="F499" s="55" t="s">
        <v>4561</v>
      </c>
      <c r="G499" s="55" t="s">
        <v>4565</v>
      </c>
      <c r="H499" s="55" t="s">
        <v>21</v>
      </c>
      <c r="I499" s="55" t="s">
        <v>4566</v>
      </c>
    </row>
    <row r="500" customFormat="false" ht="15" hidden="false" customHeight="false" outlineLevel="0" collapsed="false">
      <c r="A500" s="55" t="s">
        <v>5102</v>
      </c>
      <c r="B500" s="55" t="s">
        <v>1843</v>
      </c>
      <c r="C500" s="55" t="s">
        <v>1842</v>
      </c>
      <c r="D500" s="55" t="s">
        <v>46</v>
      </c>
      <c r="E500" s="55" t="s">
        <v>4556</v>
      </c>
      <c r="F500" s="55" t="s">
        <v>4557</v>
      </c>
      <c r="G500" s="55" t="s">
        <v>4558</v>
      </c>
      <c r="H500" s="55" t="s">
        <v>21</v>
      </c>
      <c r="I500" s="55" t="s">
        <v>4566</v>
      </c>
    </row>
    <row r="501" customFormat="false" ht="15" hidden="false" customHeight="false" outlineLevel="0" collapsed="false">
      <c r="A501" s="55" t="s">
        <v>5103</v>
      </c>
      <c r="B501" s="55" t="s">
        <v>2989</v>
      </c>
      <c r="C501" s="55" t="s">
        <v>3700</v>
      </c>
      <c r="D501" s="55" t="s">
        <v>45</v>
      </c>
      <c r="E501" s="55" t="s">
        <v>4556</v>
      </c>
      <c r="F501" s="55" t="s">
        <v>4561</v>
      </c>
      <c r="G501" s="55" t="s">
        <v>4565</v>
      </c>
      <c r="H501" s="55" t="s">
        <v>21</v>
      </c>
      <c r="I501" s="55" t="s">
        <v>4566</v>
      </c>
    </row>
    <row r="502" customFormat="false" ht="15" hidden="false" customHeight="false" outlineLevel="0" collapsed="false">
      <c r="A502" s="55" t="s">
        <v>5104</v>
      </c>
      <c r="B502" s="55" t="s">
        <v>1688</v>
      </c>
      <c r="C502" s="55" t="s">
        <v>1687</v>
      </c>
      <c r="D502" s="55" t="s">
        <v>45</v>
      </c>
      <c r="E502" s="55" t="s">
        <v>4556</v>
      </c>
      <c r="F502" s="55" t="s">
        <v>4653</v>
      </c>
      <c r="G502" s="55" t="s">
        <v>4654</v>
      </c>
      <c r="H502" s="55" t="s">
        <v>21</v>
      </c>
      <c r="I502" s="55" t="s">
        <v>4566</v>
      </c>
    </row>
    <row r="503" customFormat="false" ht="15" hidden="false" customHeight="false" outlineLevel="0" collapsed="false">
      <c r="A503" s="55" t="s">
        <v>5105</v>
      </c>
      <c r="B503" s="55" t="s">
        <v>1129</v>
      </c>
      <c r="C503" s="55" t="s">
        <v>1128</v>
      </c>
      <c r="D503" s="55" t="s">
        <v>45</v>
      </c>
      <c r="E503" s="55" t="s">
        <v>4556</v>
      </c>
      <c r="F503" s="55" t="s">
        <v>4557</v>
      </c>
      <c r="G503" s="55" t="s">
        <v>4558</v>
      </c>
      <c r="H503" s="55" t="s">
        <v>21</v>
      </c>
      <c r="I503" s="55" t="s">
        <v>4566</v>
      </c>
    </row>
    <row r="504" customFormat="false" ht="15" hidden="false" customHeight="false" outlineLevel="0" collapsed="false">
      <c r="A504" s="55" t="s">
        <v>5106</v>
      </c>
      <c r="B504" s="55" t="s">
        <v>1129</v>
      </c>
      <c r="C504" s="55" t="s">
        <v>1128</v>
      </c>
      <c r="D504" s="55" t="s">
        <v>46</v>
      </c>
      <c r="E504" s="55" t="s">
        <v>4556</v>
      </c>
      <c r="F504" s="55" t="s">
        <v>4197</v>
      </c>
      <c r="G504" s="55" t="s">
        <v>4589</v>
      </c>
      <c r="H504" s="55" t="s">
        <v>21</v>
      </c>
      <c r="I504" s="55" t="s">
        <v>4613</v>
      </c>
    </row>
    <row r="505" customFormat="false" ht="15" hidden="false" customHeight="false" outlineLevel="0" collapsed="false">
      <c r="A505" s="55" t="s">
        <v>5107</v>
      </c>
      <c r="B505" s="55" t="s">
        <v>1042</v>
      </c>
      <c r="C505" s="55" t="s">
        <v>1041</v>
      </c>
      <c r="D505" s="55" t="s">
        <v>45</v>
      </c>
      <c r="E505" s="55" t="s">
        <v>4556</v>
      </c>
      <c r="F505" s="55" t="s">
        <v>4557</v>
      </c>
      <c r="G505" s="55" t="s">
        <v>4558</v>
      </c>
      <c r="H505" s="55" t="s">
        <v>21</v>
      </c>
      <c r="I505" s="55" t="s">
        <v>4566</v>
      </c>
    </row>
    <row r="506" customFormat="false" ht="15" hidden="false" customHeight="false" outlineLevel="0" collapsed="false">
      <c r="A506" s="55" t="s">
        <v>5108</v>
      </c>
      <c r="B506" s="55" t="s">
        <v>538</v>
      </c>
      <c r="C506" s="55" t="s">
        <v>537</v>
      </c>
      <c r="D506" s="55" t="s">
        <v>45</v>
      </c>
      <c r="E506" s="55" t="s">
        <v>4556</v>
      </c>
      <c r="F506" s="55" t="s">
        <v>4557</v>
      </c>
      <c r="G506" s="55" t="s">
        <v>4558</v>
      </c>
      <c r="H506" s="55" t="s">
        <v>21</v>
      </c>
      <c r="I506" s="55" t="s">
        <v>4566</v>
      </c>
    </row>
    <row r="507" customFormat="false" ht="15" hidden="false" customHeight="false" outlineLevel="0" collapsed="false">
      <c r="A507" s="55" t="s">
        <v>5109</v>
      </c>
      <c r="B507" s="55" t="s">
        <v>952</v>
      </c>
      <c r="C507" s="55" t="s">
        <v>951</v>
      </c>
      <c r="D507" s="55" t="s">
        <v>45</v>
      </c>
      <c r="E507" s="55" t="s">
        <v>4556</v>
      </c>
      <c r="F507" s="55" t="s">
        <v>4557</v>
      </c>
      <c r="G507" s="55" t="s">
        <v>4558</v>
      </c>
      <c r="H507" s="55" t="s">
        <v>21</v>
      </c>
      <c r="I507" s="55" t="s">
        <v>4566</v>
      </c>
    </row>
    <row r="508" customFormat="false" ht="15" hidden="false" customHeight="false" outlineLevel="0" collapsed="false">
      <c r="A508" s="55" t="s">
        <v>5110</v>
      </c>
      <c r="B508" s="55" t="s">
        <v>952</v>
      </c>
      <c r="C508" s="55" t="s">
        <v>951</v>
      </c>
      <c r="D508" s="55" t="s">
        <v>46</v>
      </c>
      <c r="E508" s="55" t="s">
        <v>4556</v>
      </c>
      <c r="F508" s="55" t="s">
        <v>4561</v>
      </c>
      <c r="G508" s="55" t="s">
        <v>4562</v>
      </c>
      <c r="H508" s="55" t="s">
        <v>17</v>
      </c>
      <c r="I508" s="55" t="s">
        <v>4563</v>
      </c>
    </row>
    <row r="509" customFormat="false" ht="15" hidden="false" customHeight="false" outlineLevel="0" collapsed="false">
      <c r="A509" s="55" t="s">
        <v>5111</v>
      </c>
      <c r="B509" s="55" t="s">
        <v>909</v>
      </c>
      <c r="C509" s="55" t="s">
        <v>908</v>
      </c>
      <c r="D509" s="55" t="s">
        <v>45</v>
      </c>
      <c r="E509" s="55" t="s">
        <v>4556</v>
      </c>
      <c r="F509" s="55" t="s">
        <v>4557</v>
      </c>
      <c r="G509" s="55" t="s">
        <v>4558</v>
      </c>
      <c r="H509" s="55" t="s">
        <v>21</v>
      </c>
      <c r="I509" s="55" t="s">
        <v>4566</v>
      </c>
    </row>
    <row r="510" customFormat="false" ht="15" hidden="false" customHeight="false" outlineLevel="0" collapsed="false">
      <c r="A510" s="55" t="s">
        <v>5112</v>
      </c>
      <c r="B510" s="55" t="s">
        <v>909</v>
      </c>
      <c r="C510" s="55" t="s">
        <v>908</v>
      </c>
      <c r="D510" s="55" t="s">
        <v>46</v>
      </c>
      <c r="E510" s="55" t="s">
        <v>4556</v>
      </c>
      <c r="F510" s="55" t="s">
        <v>4471</v>
      </c>
      <c r="G510" s="55" t="s">
        <v>4669</v>
      </c>
      <c r="H510" s="55" t="s">
        <v>21</v>
      </c>
      <c r="I510" s="55" t="s">
        <v>4670</v>
      </c>
    </row>
    <row r="511" customFormat="false" ht="15" hidden="false" customHeight="false" outlineLevel="0" collapsed="false">
      <c r="A511" s="55" t="s">
        <v>5113</v>
      </c>
      <c r="B511" s="55" t="s">
        <v>707</v>
      </c>
      <c r="C511" s="55" t="s">
        <v>706</v>
      </c>
      <c r="D511" s="55" t="s">
        <v>46</v>
      </c>
      <c r="E511" s="55" t="s">
        <v>4556</v>
      </c>
      <c r="F511" s="55" t="s">
        <v>4557</v>
      </c>
      <c r="G511" s="55" t="s">
        <v>4558</v>
      </c>
      <c r="H511" s="55" t="s">
        <v>21</v>
      </c>
      <c r="I511" s="55" t="s">
        <v>4566</v>
      </c>
    </row>
    <row r="512" customFormat="false" ht="15" hidden="false" customHeight="false" outlineLevel="0" collapsed="false">
      <c r="A512" s="55" t="s">
        <v>5114</v>
      </c>
      <c r="B512" s="55" t="s">
        <v>976</v>
      </c>
      <c r="C512" s="55" t="s">
        <v>975</v>
      </c>
      <c r="D512" s="55" t="s">
        <v>46</v>
      </c>
      <c r="E512" s="55" t="s">
        <v>4556</v>
      </c>
      <c r="F512" s="55" t="s">
        <v>4561</v>
      </c>
      <c r="G512" s="55" t="s">
        <v>4565</v>
      </c>
      <c r="H512" s="55" t="s">
        <v>21</v>
      </c>
      <c r="I512" s="55" t="s">
        <v>4566</v>
      </c>
    </row>
    <row r="513" customFormat="false" ht="15" hidden="false" customHeight="false" outlineLevel="0" collapsed="false">
      <c r="A513" s="55" t="s">
        <v>5115</v>
      </c>
      <c r="B513" s="55" t="s">
        <v>2420</v>
      </c>
      <c r="C513" s="55" t="s">
        <v>2419</v>
      </c>
      <c r="D513" s="55" t="s">
        <v>46</v>
      </c>
      <c r="E513" s="55" t="s">
        <v>4556</v>
      </c>
      <c r="F513" s="55" t="s">
        <v>4581</v>
      </c>
      <c r="G513" s="55" t="s">
        <v>4582</v>
      </c>
      <c r="H513" s="55" t="s">
        <v>17</v>
      </c>
      <c r="I513" s="55" t="s">
        <v>4563</v>
      </c>
    </row>
    <row r="514" customFormat="false" ht="15" hidden="false" customHeight="false" outlineLevel="0" collapsed="false">
      <c r="A514" s="55" t="s">
        <v>5116</v>
      </c>
      <c r="B514" s="55" t="s">
        <v>812</v>
      </c>
      <c r="C514" s="55" t="s">
        <v>811</v>
      </c>
      <c r="D514" s="55" t="s">
        <v>46</v>
      </c>
      <c r="E514" s="55" t="s">
        <v>4556</v>
      </c>
      <c r="F514" s="55" t="s">
        <v>4561</v>
      </c>
      <c r="G514" s="55" t="s">
        <v>4562</v>
      </c>
      <c r="H514" s="55" t="s">
        <v>17</v>
      </c>
      <c r="I514" s="55" t="s">
        <v>4563</v>
      </c>
    </row>
    <row r="515" customFormat="false" ht="15" hidden="false" customHeight="false" outlineLevel="0" collapsed="false">
      <c r="A515" s="55" t="s">
        <v>5117</v>
      </c>
      <c r="B515" s="55" t="s">
        <v>1350</v>
      </c>
      <c r="C515" s="55" t="s">
        <v>1349</v>
      </c>
      <c r="D515" s="55" t="s">
        <v>46</v>
      </c>
      <c r="E515" s="55" t="s">
        <v>4556</v>
      </c>
      <c r="F515" s="55" t="s">
        <v>4571</v>
      </c>
      <c r="G515" s="55" t="s">
        <v>4572</v>
      </c>
      <c r="H515" s="55" t="s">
        <v>21</v>
      </c>
      <c r="I515" s="55" t="s">
        <v>4566</v>
      </c>
    </row>
    <row r="516" customFormat="false" ht="15" hidden="false" customHeight="false" outlineLevel="0" collapsed="false">
      <c r="A516" s="55" t="s">
        <v>5118</v>
      </c>
      <c r="B516" s="55" t="s">
        <v>3001</v>
      </c>
      <c r="C516" s="55" t="s">
        <v>3719</v>
      </c>
      <c r="D516" s="55" t="s">
        <v>45</v>
      </c>
      <c r="E516" s="55" t="s">
        <v>4556</v>
      </c>
      <c r="F516" s="55" t="s">
        <v>4561</v>
      </c>
      <c r="G516" s="55" t="s">
        <v>4562</v>
      </c>
      <c r="H516" s="55" t="s">
        <v>17</v>
      </c>
      <c r="I516" s="55" t="s">
        <v>4563</v>
      </c>
    </row>
    <row r="517" customFormat="false" ht="15" hidden="false" customHeight="false" outlineLevel="0" collapsed="false">
      <c r="A517" s="55" t="s">
        <v>5119</v>
      </c>
      <c r="B517" s="55" t="s">
        <v>2331</v>
      </c>
      <c r="C517" s="55" t="s">
        <v>2330</v>
      </c>
      <c r="D517" s="55" t="s">
        <v>46</v>
      </c>
      <c r="E517" s="55" t="s">
        <v>4556</v>
      </c>
      <c r="F517" s="55" t="s">
        <v>4636</v>
      </c>
      <c r="G517" s="55" t="s">
        <v>4637</v>
      </c>
      <c r="H517" s="55" t="s">
        <v>21</v>
      </c>
      <c r="I517" s="55" t="s">
        <v>4566</v>
      </c>
    </row>
    <row r="518" customFormat="false" ht="15" hidden="false" customHeight="false" outlineLevel="0" collapsed="false">
      <c r="A518" s="55" t="s">
        <v>5120</v>
      </c>
      <c r="B518" s="55" t="s">
        <v>1144</v>
      </c>
      <c r="C518" s="55" t="s">
        <v>1143</v>
      </c>
      <c r="D518" s="55" t="s">
        <v>45</v>
      </c>
      <c r="E518" s="55" t="s">
        <v>4556</v>
      </c>
      <c r="F518" s="55" t="s">
        <v>4557</v>
      </c>
      <c r="G518" s="55" t="s">
        <v>4558</v>
      </c>
      <c r="H518" s="55" t="s">
        <v>21</v>
      </c>
      <c r="I518" s="55" t="s">
        <v>4566</v>
      </c>
    </row>
    <row r="519" customFormat="false" ht="15" hidden="false" customHeight="false" outlineLevel="0" collapsed="false">
      <c r="A519" s="55" t="s">
        <v>5121</v>
      </c>
      <c r="B519" s="55" t="s">
        <v>1144</v>
      </c>
      <c r="C519" s="55" t="s">
        <v>1143</v>
      </c>
      <c r="D519" s="55" t="s">
        <v>46</v>
      </c>
      <c r="E519" s="55" t="s">
        <v>4556</v>
      </c>
      <c r="F519" s="55" t="s">
        <v>4864</v>
      </c>
      <c r="G519" s="55" t="s">
        <v>4865</v>
      </c>
      <c r="H519" s="55" t="s">
        <v>21</v>
      </c>
      <c r="I519" s="55" t="s">
        <v>4566</v>
      </c>
    </row>
    <row r="520" customFormat="false" ht="15" hidden="false" customHeight="false" outlineLevel="0" collapsed="false">
      <c r="A520" s="55" t="s">
        <v>5122</v>
      </c>
      <c r="B520" s="55" t="s">
        <v>3004</v>
      </c>
      <c r="C520" s="55" t="s">
        <v>3722</v>
      </c>
      <c r="D520" s="55" t="s">
        <v>45</v>
      </c>
      <c r="E520" s="55" t="s">
        <v>4556</v>
      </c>
      <c r="F520" s="55" t="s">
        <v>4571</v>
      </c>
      <c r="G520" s="55" t="s">
        <v>4572</v>
      </c>
      <c r="H520" s="55" t="s">
        <v>21</v>
      </c>
      <c r="I520" s="55" t="s">
        <v>4566</v>
      </c>
    </row>
    <row r="521" customFormat="false" ht="15" hidden="false" customHeight="false" outlineLevel="0" collapsed="false">
      <c r="A521" s="55" t="s">
        <v>5123</v>
      </c>
      <c r="B521" s="55" t="s">
        <v>2135</v>
      </c>
      <c r="C521" s="55" t="s">
        <v>2134</v>
      </c>
      <c r="D521" s="55" t="s">
        <v>46</v>
      </c>
      <c r="E521" s="55" t="s">
        <v>4556</v>
      </c>
      <c r="F521" s="55" t="s">
        <v>5070</v>
      </c>
      <c r="G521" s="55" t="s">
        <v>5071</v>
      </c>
      <c r="H521" s="55" t="s">
        <v>17</v>
      </c>
      <c r="I521" s="55" t="s">
        <v>4563</v>
      </c>
    </row>
    <row r="522" customFormat="false" ht="15" hidden="false" customHeight="false" outlineLevel="0" collapsed="false">
      <c r="A522" s="55" t="s">
        <v>5124</v>
      </c>
      <c r="B522" s="55" t="s">
        <v>290</v>
      </c>
      <c r="C522" s="55" t="s">
        <v>289</v>
      </c>
      <c r="D522" s="55" t="s">
        <v>45</v>
      </c>
      <c r="E522" s="55" t="s">
        <v>4556</v>
      </c>
      <c r="F522" s="55" t="s">
        <v>4561</v>
      </c>
      <c r="G522" s="55" t="s">
        <v>4565</v>
      </c>
      <c r="H522" s="55" t="s">
        <v>21</v>
      </c>
      <c r="I522" s="55" t="s">
        <v>4566</v>
      </c>
    </row>
    <row r="523" customFormat="false" ht="15" hidden="false" customHeight="false" outlineLevel="0" collapsed="false">
      <c r="A523" s="55" t="s">
        <v>5125</v>
      </c>
      <c r="B523" s="55" t="s">
        <v>290</v>
      </c>
      <c r="C523" s="55" t="s">
        <v>289</v>
      </c>
      <c r="D523" s="55" t="s">
        <v>46</v>
      </c>
      <c r="E523" s="55" t="s">
        <v>4556</v>
      </c>
      <c r="F523" s="55" t="s">
        <v>4557</v>
      </c>
      <c r="G523" s="55" t="s">
        <v>4741</v>
      </c>
      <c r="H523" s="55" t="s">
        <v>84</v>
      </c>
      <c r="I523" s="55" t="s">
        <v>4611</v>
      </c>
    </row>
    <row r="524" customFormat="false" ht="15" hidden="false" customHeight="false" outlineLevel="0" collapsed="false">
      <c r="A524" s="55" t="s">
        <v>5126</v>
      </c>
      <c r="B524" s="55" t="s">
        <v>290</v>
      </c>
      <c r="C524" s="55" t="s">
        <v>289</v>
      </c>
      <c r="D524" s="55" t="s">
        <v>47</v>
      </c>
      <c r="E524" s="55" t="s">
        <v>4556</v>
      </c>
      <c r="F524" s="55" t="s">
        <v>4471</v>
      </c>
      <c r="G524" s="55" t="s">
        <v>4669</v>
      </c>
      <c r="H524" s="55" t="s">
        <v>21</v>
      </c>
      <c r="I524" s="55" t="s">
        <v>4670</v>
      </c>
    </row>
    <row r="525" customFormat="false" ht="15" hidden="false" customHeight="false" outlineLevel="0" collapsed="false">
      <c r="A525" s="55" t="s">
        <v>5127</v>
      </c>
      <c r="B525" s="55" t="s">
        <v>3006</v>
      </c>
      <c r="C525" s="55" t="s">
        <v>3727</v>
      </c>
      <c r="D525" s="55" t="s">
        <v>45</v>
      </c>
      <c r="E525" s="55" t="s">
        <v>4556</v>
      </c>
      <c r="F525" s="55" t="s">
        <v>4561</v>
      </c>
      <c r="G525" s="55" t="s">
        <v>4565</v>
      </c>
      <c r="H525" s="55" t="s">
        <v>21</v>
      </c>
      <c r="I525" s="55" t="s">
        <v>4559</v>
      </c>
    </row>
    <row r="526" customFormat="false" ht="15" hidden="false" customHeight="false" outlineLevel="0" collapsed="false">
      <c r="A526" s="55" t="s">
        <v>5128</v>
      </c>
      <c r="B526" s="55" t="s">
        <v>3006</v>
      </c>
      <c r="C526" s="55" t="s">
        <v>3727</v>
      </c>
      <c r="D526" s="55" t="s">
        <v>46</v>
      </c>
      <c r="E526" s="55" t="s">
        <v>4556</v>
      </c>
      <c r="F526" s="55" t="s">
        <v>4703</v>
      </c>
      <c r="G526" s="55" t="s">
        <v>4835</v>
      </c>
      <c r="H526" s="55" t="s">
        <v>17</v>
      </c>
      <c r="I526" s="55" t="s">
        <v>4563</v>
      </c>
    </row>
    <row r="527" customFormat="false" ht="15" hidden="false" customHeight="false" outlineLevel="0" collapsed="false">
      <c r="A527" s="55" t="s">
        <v>5129</v>
      </c>
      <c r="B527" s="55" t="s">
        <v>274</v>
      </c>
      <c r="C527" s="55" t="s">
        <v>273</v>
      </c>
      <c r="D527" s="55" t="s">
        <v>45</v>
      </c>
      <c r="E527" s="55" t="s">
        <v>4556</v>
      </c>
      <c r="F527" s="55" t="s">
        <v>4557</v>
      </c>
      <c r="G527" s="55" t="s">
        <v>4741</v>
      </c>
      <c r="H527" s="55" t="s">
        <v>84</v>
      </c>
      <c r="I527" s="55" t="s">
        <v>4611</v>
      </c>
    </row>
    <row r="528" customFormat="false" ht="15" hidden="false" customHeight="false" outlineLevel="0" collapsed="false">
      <c r="A528" s="55" t="s">
        <v>5130</v>
      </c>
      <c r="B528" s="55" t="s">
        <v>999</v>
      </c>
      <c r="C528" s="55" t="s">
        <v>998</v>
      </c>
      <c r="D528" s="55" t="s">
        <v>45</v>
      </c>
      <c r="E528" s="55" t="s">
        <v>4556</v>
      </c>
      <c r="F528" s="55" t="s">
        <v>4557</v>
      </c>
      <c r="G528" s="55" t="s">
        <v>4558</v>
      </c>
      <c r="H528" s="55" t="s">
        <v>21</v>
      </c>
      <c r="I528" s="55" t="s">
        <v>4566</v>
      </c>
    </row>
    <row r="529" customFormat="false" ht="15" hidden="false" customHeight="false" outlineLevel="0" collapsed="false">
      <c r="A529" s="55" t="s">
        <v>5131</v>
      </c>
      <c r="B529" s="55" t="s">
        <v>999</v>
      </c>
      <c r="C529" s="55" t="s">
        <v>998</v>
      </c>
      <c r="D529" s="55" t="s">
        <v>46</v>
      </c>
      <c r="E529" s="55" t="s">
        <v>4556</v>
      </c>
      <c r="F529" s="55" t="s">
        <v>4571</v>
      </c>
      <c r="G529" s="55" t="s">
        <v>4572</v>
      </c>
      <c r="H529" s="55" t="s">
        <v>21</v>
      </c>
      <c r="I529" s="55" t="s">
        <v>4566</v>
      </c>
    </row>
    <row r="530" customFormat="false" ht="15" hidden="false" customHeight="false" outlineLevel="0" collapsed="false">
      <c r="A530" s="55" t="s">
        <v>5132</v>
      </c>
      <c r="B530" s="55" t="s">
        <v>1420</v>
      </c>
      <c r="C530" s="55" t="s">
        <v>1419</v>
      </c>
      <c r="D530" s="55" t="s">
        <v>46</v>
      </c>
      <c r="E530" s="55" t="s">
        <v>4556</v>
      </c>
      <c r="F530" s="55" t="s">
        <v>4557</v>
      </c>
      <c r="G530" s="55" t="s">
        <v>4558</v>
      </c>
      <c r="H530" s="55" t="s">
        <v>21</v>
      </c>
      <c r="I530" s="55" t="s">
        <v>4566</v>
      </c>
    </row>
    <row r="531" customFormat="false" ht="15" hidden="false" customHeight="false" outlineLevel="0" collapsed="false">
      <c r="A531" s="55" t="s">
        <v>5133</v>
      </c>
      <c r="B531" s="55" t="s">
        <v>1420</v>
      </c>
      <c r="C531" s="55" t="s">
        <v>1419</v>
      </c>
      <c r="D531" s="55" t="s">
        <v>47</v>
      </c>
      <c r="E531" s="55" t="s">
        <v>4556</v>
      </c>
      <c r="F531" s="55" t="s">
        <v>5134</v>
      </c>
      <c r="G531" s="55" t="s">
        <v>5135</v>
      </c>
      <c r="H531" s="55" t="s">
        <v>17</v>
      </c>
      <c r="I531" s="55" t="s">
        <v>4601</v>
      </c>
    </row>
    <row r="532" customFormat="false" ht="15" hidden="false" customHeight="false" outlineLevel="0" collapsed="false">
      <c r="A532" s="55" t="s">
        <v>5136</v>
      </c>
      <c r="B532" s="55" t="s">
        <v>906</v>
      </c>
      <c r="C532" s="55" t="s">
        <v>905</v>
      </c>
      <c r="D532" s="55" t="s">
        <v>45</v>
      </c>
      <c r="E532" s="55" t="s">
        <v>4556</v>
      </c>
      <c r="F532" s="55" t="s">
        <v>4557</v>
      </c>
      <c r="G532" s="55" t="s">
        <v>4558</v>
      </c>
      <c r="H532" s="55" t="s">
        <v>21</v>
      </c>
      <c r="I532" s="55" t="s">
        <v>4566</v>
      </c>
    </row>
    <row r="533" customFormat="false" ht="15" hidden="false" customHeight="false" outlineLevel="0" collapsed="false">
      <c r="A533" s="55" t="s">
        <v>5137</v>
      </c>
      <c r="B533" s="55" t="s">
        <v>906</v>
      </c>
      <c r="C533" s="55" t="s">
        <v>905</v>
      </c>
      <c r="D533" s="55" t="s">
        <v>46</v>
      </c>
      <c r="E533" s="55" t="s">
        <v>4556</v>
      </c>
      <c r="F533" s="55" t="s">
        <v>4561</v>
      </c>
      <c r="G533" s="55" t="s">
        <v>4562</v>
      </c>
      <c r="H533" s="55" t="s">
        <v>17</v>
      </c>
      <c r="I533" s="55" t="s">
        <v>4563</v>
      </c>
    </row>
    <row r="534" customFormat="false" ht="15" hidden="false" customHeight="false" outlineLevel="0" collapsed="false">
      <c r="A534" s="55" t="s">
        <v>5138</v>
      </c>
      <c r="B534" s="55" t="s">
        <v>242</v>
      </c>
      <c r="C534" s="55" t="s">
        <v>241</v>
      </c>
      <c r="D534" s="55" t="s">
        <v>46</v>
      </c>
      <c r="E534" s="55" t="s">
        <v>4556</v>
      </c>
      <c r="F534" s="55" t="s">
        <v>4197</v>
      </c>
      <c r="G534" s="55" t="s">
        <v>4589</v>
      </c>
      <c r="H534" s="55" t="s">
        <v>21</v>
      </c>
      <c r="I534" s="55" t="s">
        <v>4613</v>
      </c>
    </row>
    <row r="535" customFormat="false" ht="15" hidden="false" customHeight="false" outlineLevel="0" collapsed="false">
      <c r="A535" s="55" t="s">
        <v>5139</v>
      </c>
      <c r="B535" s="55" t="s">
        <v>3012</v>
      </c>
      <c r="C535" s="55" t="s">
        <v>3739</v>
      </c>
      <c r="D535" s="55" t="s">
        <v>45</v>
      </c>
      <c r="E535" s="55" t="s">
        <v>4556</v>
      </c>
      <c r="F535" s="55" t="s">
        <v>4636</v>
      </c>
      <c r="G535" s="55" t="s">
        <v>4637</v>
      </c>
      <c r="H535" s="55" t="s">
        <v>21</v>
      </c>
      <c r="I535" s="55" t="s">
        <v>4566</v>
      </c>
    </row>
    <row r="536" customFormat="false" ht="15" hidden="false" customHeight="false" outlineLevel="0" collapsed="false">
      <c r="A536" s="55" t="s">
        <v>5140</v>
      </c>
      <c r="B536" s="55" t="s">
        <v>2319</v>
      </c>
      <c r="C536" s="55" t="s">
        <v>2318</v>
      </c>
      <c r="D536" s="55" t="s">
        <v>47</v>
      </c>
      <c r="E536" s="55" t="s">
        <v>4556</v>
      </c>
      <c r="F536" s="55" t="s">
        <v>4599</v>
      </c>
      <c r="G536" s="55" t="s">
        <v>4631</v>
      </c>
      <c r="H536" s="55" t="s">
        <v>21</v>
      </c>
      <c r="I536" s="55" t="s">
        <v>4632</v>
      </c>
    </row>
    <row r="537" customFormat="false" ht="15" hidden="false" customHeight="false" outlineLevel="0" collapsed="false">
      <c r="A537" s="55" t="s">
        <v>5141</v>
      </c>
      <c r="B537" s="55" t="s">
        <v>1926</v>
      </c>
      <c r="C537" s="55" t="s">
        <v>1925</v>
      </c>
      <c r="D537" s="55" t="s">
        <v>46</v>
      </c>
      <c r="E537" s="55" t="s">
        <v>4556</v>
      </c>
      <c r="F537" s="55" t="s">
        <v>4557</v>
      </c>
      <c r="G537" s="55" t="s">
        <v>4558</v>
      </c>
      <c r="H537" s="55" t="s">
        <v>21</v>
      </c>
      <c r="I537" s="55" t="s">
        <v>4566</v>
      </c>
    </row>
    <row r="538" customFormat="false" ht="15" hidden="false" customHeight="false" outlineLevel="0" collapsed="false">
      <c r="A538" s="55" t="s">
        <v>5142</v>
      </c>
      <c r="B538" s="55" t="s">
        <v>1814</v>
      </c>
      <c r="C538" s="55" t="s">
        <v>1813</v>
      </c>
      <c r="D538" s="55" t="s">
        <v>46</v>
      </c>
      <c r="E538" s="55" t="s">
        <v>4556</v>
      </c>
      <c r="F538" s="55" t="s">
        <v>4557</v>
      </c>
      <c r="G538" s="55" t="s">
        <v>4558</v>
      </c>
      <c r="H538" s="55" t="s">
        <v>21</v>
      </c>
      <c r="I538" s="55" t="s">
        <v>4566</v>
      </c>
    </row>
    <row r="539" customFormat="false" ht="15" hidden="false" customHeight="false" outlineLevel="0" collapsed="false">
      <c r="A539" s="55" t="s">
        <v>5143</v>
      </c>
      <c r="B539" s="55" t="s">
        <v>472</v>
      </c>
      <c r="C539" s="55" t="s">
        <v>471</v>
      </c>
      <c r="D539" s="55" t="s">
        <v>45</v>
      </c>
      <c r="E539" s="55" t="s">
        <v>4556</v>
      </c>
      <c r="F539" s="55" t="s">
        <v>4471</v>
      </c>
      <c r="G539" s="55" t="s">
        <v>4669</v>
      </c>
      <c r="H539" s="55" t="s">
        <v>21</v>
      </c>
      <c r="I539" s="55" t="s">
        <v>4670</v>
      </c>
    </row>
    <row r="540" customFormat="false" ht="15" hidden="false" customHeight="false" outlineLevel="0" collapsed="false">
      <c r="A540" s="55" t="s">
        <v>5144</v>
      </c>
      <c r="B540" s="55" t="s">
        <v>472</v>
      </c>
      <c r="C540" s="55" t="s">
        <v>471</v>
      </c>
      <c r="D540" s="55" t="s">
        <v>46</v>
      </c>
      <c r="E540" s="55" t="s">
        <v>4556</v>
      </c>
      <c r="F540" s="55" t="s">
        <v>4557</v>
      </c>
      <c r="G540" s="55" t="s">
        <v>4558</v>
      </c>
      <c r="H540" s="55" t="s">
        <v>21</v>
      </c>
      <c r="I540" s="55" t="s">
        <v>4566</v>
      </c>
    </row>
    <row r="541" customFormat="false" ht="15" hidden="false" customHeight="false" outlineLevel="0" collapsed="false">
      <c r="A541" s="55" t="s">
        <v>5145</v>
      </c>
      <c r="B541" s="55" t="s">
        <v>1359</v>
      </c>
      <c r="C541" s="55"/>
      <c r="D541" s="55" t="s">
        <v>45</v>
      </c>
      <c r="E541" s="55" t="s">
        <v>4556</v>
      </c>
      <c r="F541" s="55" t="s">
        <v>4557</v>
      </c>
      <c r="G541" s="55" t="s">
        <v>4558</v>
      </c>
      <c r="H541" s="55" t="s">
        <v>21</v>
      </c>
      <c r="I541" s="55" t="s">
        <v>4566</v>
      </c>
    </row>
    <row r="542" customFormat="false" ht="15" hidden="false" customHeight="false" outlineLevel="0" collapsed="false">
      <c r="A542" s="55" t="s">
        <v>5146</v>
      </c>
      <c r="B542" s="55" t="s">
        <v>524</v>
      </c>
      <c r="C542" s="55" t="s">
        <v>523</v>
      </c>
      <c r="D542" s="55" t="s">
        <v>45</v>
      </c>
      <c r="E542" s="55" t="s">
        <v>4556</v>
      </c>
      <c r="F542" s="55" t="s">
        <v>4557</v>
      </c>
      <c r="G542" s="55" t="s">
        <v>4558</v>
      </c>
      <c r="H542" s="55" t="s">
        <v>21</v>
      </c>
      <c r="I542" s="55" t="s">
        <v>4566</v>
      </c>
    </row>
    <row r="543" customFormat="false" ht="15" hidden="false" customHeight="false" outlineLevel="0" collapsed="false">
      <c r="A543" s="55" t="s">
        <v>5147</v>
      </c>
      <c r="B543" s="55" t="s">
        <v>524</v>
      </c>
      <c r="C543" s="55" t="s">
        <v>523</v>
      </c>
      <c r="D543" s="55" t="s">
        <v>47</v>
      </c>
      <c r="E543" s="55" t="s">
        <v>4556</v>
      </c>
      <c r="F543" s="55" t="s">
        <v>4599</v>
      </c>
      <c r="G543" s="55" t="s">
        <v>4631</v>
      </c>
      <c r="H543" s="55" t="s">
        <v>21</v>
      </c>
      <c r="I543" s="55" t="s">
        <v>4632</v>
      </c>
    </row>
    <row r="544" customFormat="false" ht="15" hidden="false" customHeight="false" outlineLevel="0" collapsed="false">
      <c r="A544" s="55" t="s">
        <v>5148</v>
      </c>
      <c r="B544" s="55" t="s">
        <v>486</v>
      </c>
      <c r="C544" s="55" t="s">
        <v>485</v>
      </c>
      <c r="D544" s="55" t="s">
        <v>45</v>
      </c>
      <c r="E544" s="55" t="s">
        <v>4556</v>
      </c>
      <c r="F544" s="55" t="s">
        <v>4557</v>
      </c>
      <c r="G544" s="55" t="s">
        <v>4558</v>
      </c>
      <c r="H544" s="55" t="s">
        <v>21</v>
      </c>
      <c r="I544" s="55" t="s">
        <v>4566</v>
      </c>
    </row>
    <row r="545" customFormat="false" ht="15" hidden="false" customHeight="false" outlineLevel="0" collapsed="false">
      <c r="A545" s="55" t="s">
        <v>5149</v>
      </c>
      <c r="B545" s="55" t="s">
        <v>294</v>
      </c>
      <c r="C545" s="55" t="s">
        <v>293</v>
      </c>
      <c r="D545" s="55" t="s">
        <v>46</v>
      </c>
      <c r="E545" s="55" t="s">
        <v>4556</v>
      </c>
      <c r="F545" s="55" t="s">
        <v>4557</v>
      </c>
      <c r="G545" s="55" t="s">
        <v>4558</v>
      </c>
      <c r="H545" s="55" t="s">
        <v>21</v>
      </c>
      <c r="I545" s="55" t="s">
        <v>4566</v>
      </c>
    </row>
    <row r="546" customFormat="false" ht="15" hidden="false" customHeight="false" outlineLevel="0" collapsed="false">
      <c r="A546" s="55" t="s">
        <v>5150</v>
      </c>
      <c r="B546" s="55" t="s">
        <v>510</v>
      </c>
      <c r="C546" s="55" t="s">
        <v>509</v>
      </c>
      <c r="D546" s="55" t="s">
        <v>46</v>
      </c>
      <c r="E546" s="55" t="s">
        <v>4556</v>
      </c>
      <c r="F546" s="55" t="s">
        <v>4557</v>
      </c>
      <c r="G546" s="55" t="s">
        <v>4558</v>
      </c>
      <c r="H546" s="55" t="s">
        <v>21</v>
      </c>
      <c r="I546" s="55" t="s">
        <v>4566</v>
      </c>
    </row>
    <row r="547" customFormat="false" ht="15" hidden="false" customHeight="false" outlineLevel="0" collapsed="false">
      <c r="A547" s="55" t="s">
        <v>5151</v>
      </c>
      <c r="B547" s="55" t="s">
        <v>1567</v>
      </c>
      <c r="C547" s="55" t="s">
        <v>1566</v>
      </c>
      <c r="D547" s="55" t="s">
        <v>45</v>
      </c>
      <c r="E547" s="55" t="s">
        <v>4556</v>
      </c>
      <c r="F547" s="55" t="s">
        <v>4561</v>
      </c>
      <c r="G547" s="55" t="s">
        <v>4565</v>
      </c>
      <c r="H547" s="55" t="s">
        <v>21</v>
      </c>
      <c r="I547" s="55" t="s">
        <v>4566</v>
      </c>
    </row>
    <row r="548" customFormat="false" ht="15" hidden="false" customHeight="false" outlineLevel="0" collapsed="false">
      <c r="A548" s="55" t="s">
        <v>5152</v>
      </c>
      <c r="B548" s="55" t="s">
        <v>2475</v>
      </c>
      <c r="C548" s="55" t="s">
        <v>2474</v>
      </c>
      <c r="D548" s="55" t="s">
        <v>45</v>
      </c>
      <c r="E548" s="55" t="s">
        <v>4556</v>
      </c>
      <c r="F548" s="55" t="s">
        <v>4571</v>
      </c>
      <c r="G548" s="55" t="s">
        <v>4572</v>
      </c>
      <c r="H548" s="55" t="s">
        <v>21</v>
      </c>
      <c r="I548" s="55" t="s">
        <v>4566</v>
      </c>
    </row>
    <row r="549" customFormat="false" ht="15" hidden="false" customHeight="false" outlineLevel="0" collapsed="false">
      <c r="A549" s="55" t="s">
        <v>5153</v>
      </c>
      <c r="B549" s="55" t="s">
        <v>2475</v>
      </c>
      <c r="C549" s="55" t="s">
        <v>2474</v>
      </c>
      <c r="D549" s="55" t="s">
        <v>46</v>
      </c>
      <c r="E549" s="55" t="s">
        <v>4556</v>
      </c>
      <c r="F549" s="55" t="s">
        <v>4561</v>
      </c>
      <c r="G549" s="55" t="s">
        <v>4565</v>
      </c>
      <c r="H549" s="55" t="s">
        <v>21</v>
      </c>
      <c r="I549" s="55" t="s">
        <v>4559</v>
      </c>
    </row>
    <row r="550" customFormat="false" ht="15" hidden="false" customHeight="false" outlineLevel="0" collapsed="false">
      <c r="A550" s="55" t="s">
        <v>5154</v>
      </c>
      <c r="B550" s="55" t="s">
        <v>3016</v>
      </c>
      <c r="C550" s="55" t="s">
        <v>3753</v>
      </c>
      <c r="D550" s="55" t="s">
        <v>46</v>
      </c>
      <c r="E550" s="55" t="s">
        <v>4556</v>
      </c>
      <c r="F550" s="55" t="s">
        <v>4561</v>
      </c>
      <c r="G550" s="55" t="s">
        <v>4565</v>
      </c>
      <c r="H550" s="55" t="s">
        <v>21</v>
      </c>
      <c r="I550" s="55" t="s">
        <v>4566</v>
      </c>
    </row>
    <row r="551" customFormat="false" ht="15" hidden="false" customHeight="false" outlineLevel="0" collapsed="false">
      <c r="A551" s="55" t="s">
        <v>5155</v>
      </c>
      <c r="B551" s="55" t="s">
        <v>731</v>
      </c>
      <c r="C551" s="55" t="s">
        <v>730</v>
      </c>
      <c r="D551" s="55" t="s">
        <v>45</v>
      </c>
      <c r="E551" s="55" t="s">
        <v>4556</v>
      </c>
      <c r="F551" s="55" t="s">
        <v>4557</v>
      </c>
      <c r="G551" s="55" t="s">
        <v>4558</v>
      </c>
      <c r="H551" s="55" t="s">
        <v>21</v>
      </c>
      <c r="I551" s="55" t="s">
        <v>4566</v>
      </c>
    </row>
    <row r="552" customFormat="false" ht="15" hidden="false" customHeight="false" outlineLevel="0" collapsed="false">
      <c r="A552" s="55" t="s">
        <v>5156</v>
      </c>
      <c r="B552" s="55" t="s">
        <v>731</v>
      </c>
      <c r="C552" s="55" t="s">
        <v>730</v>
      </c>
      <c r="D552" s="55" t="s">
        <v>47</v>
      </c>
      <c r="E552" s="55" t="s">
        <v>4556</v>
      </c>
      <c r="F552" s="55" t="s">
        <v>4557</v>
      </c>
      <c r="G552" s="55" t="s">
        <v>4558</v>
      </c>
      <c r="H552" s="55" t="s">
        <v>21</v>
      </c>
      <c r="I552" s="55" t="s">
        <v>4559</v>
      </c>
    </row>
    <row r="553" customFormat="false" ht="15" hidden="false" customHeight="false" outlineLevel="0" collapsed="false">
      <c r="A553" s="55" t="s">
        <v>5157</v>
      </c>
      <c r="B553" s="55" t="s">
        <v>548</v>
      </c>
      <c r="C553" s="55" t="s">
        <v>547</v>
      </c>
      <c r="D553" s="55" t="s">
        <v>45</v>
      </c>
      <c r="E553" s="55" t="s">
        <v>4556</v>
      </c>
      <c r="F553" s="55" t="s">
        <v>4557</v>
      </c>
      <c r="G553" s="55" t="s">
        <v>4558</v>
      </c>
      <c r="H553" s="55" t="s">
        <v>21</v>
      </c>
      <c r="I553" s="55" t="s">
        <v>4566</v>
      </c>
    </row>
    <row r="554" customFormat="false" ht="15" hidden="false" customHeight="false" outlineLevel="0" collapsed="false">
      <c r="A554" s="55" t="s">
        <v>5158</v>
      </c>
      <c r="B554" s="55" t="s">
        <v>548</v>
      </c>
      <c r="C554" s="55" t="s">
        <v>547</v>
      </c>
      <c r="D554" s="55" t="s">
        <v>46</v>
      </c>
      <c r="E554" s="55" t="s">
        <v>4556</v>
      </c>
      <c r="F554" s="55" t="s">
        <v>4557</v>
      </c>
      <c r="G554" s="55" t="s">
        <v>4558</v>
      </c>
      <c r="H554" s="55" t="s">
        <v>21</v>
      </c>
      <c r="I554" s="55" t="s">
        <v>4566</v>
      </c>
    </row>
    <row r="555" customFormat="false" ht="15" hidden="false" customHeight="false" outlineLevel="0" collapsed="false">
      <c r="A555" s="55" t="s">
        <v>5159</v>
      </c>
      <c r="B555" s="55" t="s">
        <v>3018</v>
      </c>
      <c r="C555" s="55" t="s">
        <v>3758</v>
      </c>
      <c r="D555" s="55" t="s">
        <v>47</v>
      </c>
      <c r="E555" s="55" t="s">
        <v>4556</v>
      </c>
      <c r="F555" s="55" t="s">
        <v>4571</v>
      </c>
      <c r="G555" s="55" t="s">
        <v>4572</v>
      </c>
      <c r="H555" s="55" t="s">
        <v>21</v>
      </c>
      <c r="I555" s="55" t="s">
        <v>4566</v>
      </c>
    </row>
    <row r="556" customFormat="false" ht="15" hidden="false" customHeight="false" outlineLevel="0" collapsed="false">
      <c r="A556" s="55" t="s">
        <v>5160</v>
      </c>
      <c r="B556" s="55" t="s">
        <v>2386</v>
      </c>
      <c r="C556" s="55" t="s">
        <v>2385</v>
      </c>
      <c r="D556" s="55" t="s">
        <v>45</v>
      </c>
      <c r="E556" s="55" t="s">
        <v>4556</v>
      </c>
      <c r="F556" s="55" t="s">
        <v>4864</v>
      </c>
      <c r="G556" s="55" t="s">
        <v>4865</v>
      </c>
      <c r="H556" s="55" t="s">
        <v>21</v>
      </c>
      <c r="I556" s="55" t="s">
        <v>4566</v>
      </c>
    </row>
    <row r="557" customFormat="false" ht="15" hidden="false" customHeight="false" outlineLevel="0" collapsed="false">
      <c r="A557" s="55" t="s">
        <v>5161</v>
      </c>
      <c r="B557" s="55" t="s">
        <v>456</v>
      </c>
      <c r="C557" s="55" t="s">
        <v>455</v>
      </c>
      <c r="D557" s="55" t="s">
        <v>45</v>
      </c>
      <c r="E557" s="55" t="s">
        <v>4556</v>
      </c>
      <c r="F557" s="55" t="s">
        <v>4557</v>
      </c>
      <c r="G557" s="55" t="s">
        <v>4558</v>
      </c>
      <c r="H557" s="55" t="s">
        <v>21</v>
      </c>
      <c r="I557" s="55" t="s">
        <v>4559</v>
      </c>
    </row>
    <row r="558" customFormat="false" ht="15" hidden="false" customHeight="false" outlineLevel="0" collapsed="false">
      <c r="A558" s="55" t="s">
        <v>5162</v>
      </c>
      <c r="B558" s="55" t="s">
        <v>2577</v>
      </c>
      <c r="C558" s="55" t="s">
        <v>2576</v>
      </c>
      <c r="D558" s="55" t="s">
        <v>45</v>
      </c>
      <c r="E558" s="55" t="s">
        <v>4556</v>
      </c>
      <c r="F558" s="55" t="s">
        <v>4413</v>
      </c>
      <c r="G558" s="55" t="s">
        <v>4717</v>
      </c>
      <c r="H558" s="55" t="s">
        <v>21</v>
      </c>
      <c r="I558" s="55" t="s">
        <v>4559</v>
      </c>
    </row>
    <row r="559" customFormat="false" ht="15" hidden="false" customHeight="false" outlineLevel="0" collapsed="false">
      <c r="A559" s="55" t="s">
        <v>5163</v>
      </c>
      <c r="B559" s="55" t="s">
        <v>1673</v>
      </c>
      <c r="C559" s="55" t="s">
        <v>1672</v>
      </c>
      <c r="D559" s="55" t="s">
        <v>45</v>
      </c>
      <c r="E559" s="55" t="s">
        <v>4556</v>
      </c>
      <c r="F559" s="55" t="s">
        <v>4561</v>
      </c>
      <c r="G559" s="55" t="s">
        <v>4562</v>
      </c>
      <c r="H559" s="55" t="s">
        <v>17</v>
      </c>
      <c r="I559" s="55" t="s">
        <v>4563</v>
      </c>
    </row>
    <row r="560" customFormat="false" ht="15" hidden="false" customHeight="false" outlineLevel="0" collapsed="false">
      <c r="A560" s="55" t="s">
        <v>5164</v>
      </c>
      <c r="B560" s="55" t="s">
        <v>1673</v>
      </c>
      <c r="C560" s="55" t="s">
        <v>1672</v>
      </c>
      <c r="D560" s="55" t="s">
        <v>46</v>
      </c>
      <c r="E560" s="55" t="s">
        <v>4556</v>
      </c>
      <c r="F560" s="55" t="s">
        <v>4557</v>
      </c>
      <c r="G560" s="55" t="s">
        <v>4558</v>
      </c>
      <c r="H560" s="55" t="s">
        <v>21</v>
      </c>
      <c r="I560" s="55" t="s">
        <v>4566</v>
      </c>
    </row>
    <row r="561" customFormat="false" ht="15" hidden="false" customHeight="false" outlineLevel="0" collapsed="false">
      <c r="A561" s="55" t="s">
        <v>5165</v>
      </c>
      <c r="B561" s="55" t="s">
        <v>738</v>
      </c>
      <c r="C561" s="55" t="s">
        <v>737</v>
      </c>
      <c r="D561" s="55" t="s">
        <v>46</v>
      </c>
      <c r="E561" s="55" t="s">
        <v>4556</v>
      </c>
      <c r="F561" s="55" t="s">
        <v>4571</v>
      </c>
      <c r="G561" s="55" t="s">
        <v>4572</v>
      </c>
      <c r="H561" s="55" t="s">
        <v>21</v>
      </c>
      <c r="I561" s="55" t="s">
        <v>4566</v>
      </c>
    </row>
    <row r="562" customFormat="false" ht="15" hidden="false" customHeight="false" outlineLevel="0" collapsed="false">
      <c r="A562" s="55" t="s">
        <v>5166</v>
      </c>
      <c r="B562" s="55" t="s">
        <v>3024</v>
      </c>
      <c r="C562" s="55" t="s">
        <v>3766</v>
      </c>
      <c r="D562" s="55" t="s">
        <v>45</v>
      </c>
      <c r="E562" s="55" t="s">
        <v>4556</v>
      </c>
      <c r="F562" s="55" t="s">
        <v>4561</v>
      </c>
      <c r="G562" s="55" t="s">
        <v>4562</v>
      </c>
      <c r="H562" s="55" t="s">
        <v>17</v>
      </c>
      <c r="I562" s="55" t="s">
        <v>4563</v>
      </c>
    </row>
    <row r="563" customFormat="false" ht="15" hidden="false" customHeight="false" outlineLevel="0" collapsed="false">
      <c r="A563" s="55" t="s">
        <v>5167</v>
      </c>
      <c r="B563" s="55" t="s">
        <v>414</v>
      </c>
      <c r="C563" s="55" t="s">
        <v>413</v>
      </c>
      <c r="D563" s="55" t="s">
        <v>45</v>
      </c>
      <c r="E563" s="55" t="s">
        <v>4556</v>
      </c>
      <c r="F563" s="55" t="s">
        <v>4557</v>
      </c>
      <c r="G563" s="55" t="s">
        <v>4558</v>
      </c>
      <c r="H563" s="55" t="s">
        <v>21</v>
      </c>
      <c r="I563" s="55" t="s">
        <v>4566</v>
      </c>
    </row>
    <row r="564" customFormat="false" ht="15" hidden="false" customHeight="false" outlineLevel="0" collapsed="false">
      <c r="A564" s="55" t="s">
        <v>5168</v>
      </c>
      <c r="B564" s="55" t="s">
        <v>414</v>
      </c>
      <c r="C564" s="55" t="s">
        <v>413</v>
      </c>
      <c r="D564" s="55" t="s">
        <v>46</v>
      </c>
      <c r="E564" s="55" t="s">
        <v>4556</v>
      </c>
      <c r="F564" s="55" t="s">
        <v>4557</v>
      </c>
      <c r="G564" s="55" t="s">
        <v>4558</v>
      </c>
      <c r="H564" s="55" t="s">
        <v>21</v>
      </c>
      <c r="I564" s="55" t="s">
        <v>4566</v>
      </c>
    </row>
    <row r="565" customFormat="false" ht="15" hidden="false" customHeight="false" outlineLevel="0" collapsed="false">
      <c r="A565" s="55" t="s">
        <v>5169</v>
      </c>
      <c r="B565" s="55" t="s">
        <v>3026</v>
      </c>
      <c r="C565" s="55" t="s">
        <v>3769</v>
      </c>
      <c r="D565" s="55" t="s">
        <v>45</v>
      </c>
      <c r="E565" s="55" t="s">
        <v>4556</v>
      </c>
      <c r="F565" s="55" t="s">
        <v>4568</v>
      </c>
      <c r="G565" s="55" t="s">
        <v>4569</v>
      </c>
      <c r="H565" s="55" t="s">
        <v>17</v>
      </c>
      <c r="I565" s="55" t="s">
        <v>4563</v>
      </c>
    </row>
    <row r="566" customFormat="false" ht="15" hidden="false" customHeight="false" outlineLevel="0" collapsed="false">
      <c r="A566" s="55" t="s">
        <v>5170</v>
      </c>
      <c r="B566" s="55" t="s">
        <v>3026</v>
      </c>
      <c r="C566" s="55" t="s">
        <v>3769</v>
      </c>
      <c r="D566" s="55" t="s">
        <v>46</v>
      </c>
      <c r="E566" s="55" t="s">
        <v>4556</v>
      </c>
      <c r="F566" s="55" t="s">
        <v>4571</v>
      </c>
      <c r="G566" s="55" t="s">
        <v>4572</v>
      </c>
      <c r="H566" s="55" t="s">
        <v>21</v>
      </c>
      <c r="I566" s="55" t="s">
        <v>4566</v>
      </c>
    </row>
    <row r="567" customFormat="false" ht="15" hidden="false" customHeight="false" outlineLevel="0" collapsed="false">
      <c r="A567" s="55" t="s">
        <v>5171</v>
      </c>
      <c r="B567" s="55" t="s">
        <v>3026</v>
      </c>
      <c r="C567" s="55" t="s">
        <v>3769</v>
      </c>
      <c r="D567" s="55" t="s">
        <v>47</v>
      </c>
      <c r="E567" s="55" t="s">
        <v>4556</v>
      </c>
      <c r="F567" s="55" t="s">
        <v>4571</v>
      </c>
      <c r="G567" s="55" t="s">
        <v>4572</v>
      </c>
      <c r="H567" s="55" t="s">
        <v>21</v>
      </c>
      <c r="I567" s="55" t="s">
        <v>4566</v>
      </c>
    </row>
    <row r="568" customFormat="false" ht="15" hidden="false" customHeight="false" outlineLevel="0" collapsed="false">
      <c r="A568" s="55" t="s">
        <v>5172</v>
      </c>
      <c r="B568" s="55" t="s">
        <v>3030</v>
      </c>
      <c r="C568" s="55" t="s">
        <v>3771</v>
      </c>
      <c r="D568" s="55" t="s">
        <v>46</v>
      </c>
      <c r="E568" s="55" t="s">
        <v>4556</v>
      </c>
      <c r="F568" s="55" t="s">
        <v>4197</v>
      </c>
      <c r="G568" s="55" t="s">
        <v>4579</v>
      </c>
      <c r="H568" s="55" t="s">
        <v>17</v>
      </c>
      <c r="I568" s="55" t="s">
        <v>4563</v>
      </c>
    </row>
    <row r="569" customFormat="false" ht="15" hidden="false" customHeight="false" outlineLevel="0" collapsed="false">
      <c r="A569" s="55" t="s">
        <v>5173</v>
      </c>
      <c r="B569" s="55" t="s">
        <v>987</v>
      </c>
      <c r="C569" s="55" t="s">
        <v>986</v>
      </c>
      <c r="D569" s="55" t="s">
        <v>45</v>
      </c>
      <c r="E569" s="55" t="s">
        <v>4556</v>
      </c>
      <c r="F569" s="55" t="s">
        <v>4557</v>
      </c>
      <c r="G569" s="55" t="s">
        <v>4558</v>
      </c>
      <c r="H569" s="55" t="s">
        <v>21</v>
      </c>
      <c r="I569" s="55" t="s">
        <v>4566</v>
      </c>
    </row>
    <row r="570" customFormat="false" ht="15" hidden="false" customHeight="false" outlineLevel="0" collapsed="false">
      <c r="A570" s="55" t="s">
        <v>5174</v>
      </c>
      <c r="B570" s="55" t="s">
        <v>987</v>
      </c>
      <c r="C570" s="55" t="s">
        <v>986</v>
      </c>
      <c r="D570" s="55" t="s">
        <v>46</v>
      </c>
      <c r="E570" s="55" t="s">
        <v>4556</v>
      </c>
      <c r="F570" s="55" t="s">
        <v>4561</v>
      </c>
      <c r="G570" s="55" t="s">
        <v>4565</v>
      </c>
      <c r="H570" s="55" t="s">
        <v>21</v>
      </c>
      <c r="I570" s="55" t="s">
        <v>4566</v>
      </c>
    </row>
    <row r="571" customFormat="false" ht="15" hidden="false" customHeight="false" outlineLevel="0" collapsed="false">
      <c r="A571" s="55" t="s">
        <v>5175</v>
      </c>
      <c r="B571" s="55" t="s">
        <v>3033</v>
      </c>
      <c r="C571" s="55" t="s">
        <v>3775</v>
      </c>
      <c r="D571" s="55" t="s">
        <v>45</v>
      </c>
      <c r="E571" s="55" t="s">
        <v>4556</v>
      </c>
      <c r="F571" s="55" t="s">
        <v>4197</v>
      </c>
      <c r="G571" s="55" t="s">
        <v>4579</v>
      </c>
      <c r="H571" s="55" t="s">
        <v>17</v>
      </c>
      <c r="I571" s="55" t="s">
        <v>4563</v>
      </c>
    </row>
    <row r="572" customFormat="false" ht="15" hidden="false" customHeight="false" outlineLevel="0" collapsed="false">
      <c r="A572" s="55" t="s">
        <v>5176</v>
      </c>
      <c r="B572" s="55" t="s">
        <v>320</v>
      </c>
      <c r="C572" s="55" t="s">
        <v>319</v>
      </c>
      <c r="D572" s="55" t="s">
        <v>45</v>
      </c>
      <c r="E572" s="55" t="s">
        <v>4556</v>
      </c>
      <c r="F572" s="55" t="s">
        <v>4557</v>
      </c>
      <c r="G572" s="55" t="s">
        <v>4558</v>
      </c>
      <c r="H572" s="55" t="s">
        <v>21</v>
      </c>
      <c r="I572" s="55" t="s">
        <v>4566</v>
      </c>
    </row>
    <row r="573" customFormat="false" ht="15" hidden="false" customHeight="false" outlineLevel="0" collapsed="false">
      <c r="A573" s="55" t="s">
        <v>5177</v>
      </c>
      <c r="B573" s="55" t="s">
        <v>320</v>
      </c>
      <c r="C573" s="55" t="s">
        <v>319</v>
      </c>
      <c r="D573" s="55" t="s">
        <v>47</v>
      </c>
      <c r="E573" s="55" t="s">
        <v>4556</v>
      </c>
      <c r="F573" s="55" t="s">
        <v>4471</v>
      </c>
      <c r="G573" s="55" t="s">
        <v>4669</v>
      </c>
      <c r="H573" s="55" t="s">
        <v>21</v>
      </c>
      <c r="I573" s="55" t="s">
        <v>4670</v>
      </c>
    </row>
    <row r="574" customFormat="false" ht="15" hidden="false" customHeight="false" outlineLevel="0" collapsed="false">
      <c r="A574" s="55" t="s">
        <v>5178</v>
      </c>
      <c r="B574" s="55" t="s">
        <v>596</v>
      </c>
      <c r="C574" s="55" t="s">
        <v>595</v>
      </c>
      <c r="D574" s="55" t="s">
        <v>45</v>
      </c>
      <c r="E574" s="55" t="s">
        <v>4556</v>
      </c>
      <c r="F574" s="55" t="s">
        <v>4557</v>
      </c>
      <c r="G574" s="55" t="s">
        <v>4558</v>
      </c>
      <c r="H574" s="55" t="s">
        <v>21</v>
      </c>
      <c r="I574" s="55" t="s">
        <v>4566</v>
      </c>
    </row>
    <row r="575" customFormat="false" ht="15" hidden="false" customHeight="false" outlineLevel="0" collapsed="false">
      <c r="A575" s="55" t="s">
        <v>5179</v>
      </c>
      <c r="B575" s="55" t="s">
        <v>1546</v>
      </c>
      <c r="C575" s="55" t="s">
        <v>1545</v>
      </c>
      <c r="D575" s="55" t="s">
        <v>46</v>
      </c>
      <c r="E575" s="55" t="s">
        <v>4556</v>
      </c>
      <c r="F575" s="55" t="s">
        <v>4557</v>
      </c>
      <c r="G575" s="55" t="s">
        <v>4558</v>
      </c>
      <c r="H575" s="55" t="s">
        <v>21</v>
      </c>
      <c r="I575" s="55" t="s">
        <v>4566</v>
      </c>
    </row>
    <row r="576" customFormat="false" ht="15" hidden="false" customHeight="false" outlineLevel="0" collapsed="false">
      <c r="A576" s="55" t="s">
        <v>5180</v>
      </c>
      <c r="B576" s="55" t="s">
        <v>1488</v>
      </c>
      <c r="C576" s="55" t="s">
        <v>1487</v>
      </c>
      <c r="D576" s="55" t="s">
        <v>45</v>
      </c>
      <c r="E576" s="55" t="s">
        <v>4556</v>
      </c>
      <c r="F576" s="55" t="s">
        <v>4813</v>
      </c>
      <c r="G576" s="55" t="s">
        <v>4814</v>
      </c>
      <c r="H576" s="55" t="s">
        <v>17</v>
      </c>
      <c r="I576" s="55" t="s">
        <v>4563</v>
      </c>
    </row>
    <row r="577" customFormat="false" ht="15" hidden="false" customHeight="false" outlineLevel="0" collapsed="false">
      <c r="A577" s="55" t="s">
        <v>5181</v>
      </c>
      <c r="B577" s="55" t="s">
        <v>1036</v>
      </c>
      <c r="C577" s="55" t="s">
        <v>1035</v>
      </c>
      <c r="D577" s="55" t="s">
        <v>45</v>
      </c>
      <c r="E577" s="55" t="s">
        <v>4556</v>
      </c>
      <c r="F577" s="55" t="s">
        <v>4599</v>
      </c>
      <c r="G577" s="55" t="s">
        <v>4631</v>
      </c>
      <c r="H577" s="55" t="s">
        <v>21</v>
      </c>
      <c r="I577" s="55" t="s">
        <v>4632</v>
      </c>
    </row>
    <row r="578" customFormat="false" ht="15" hidden="false" customHeight="false" outlineLevel="0" collapsed="false">
      <c r="A578" s="55" t="s">
        <v>5182</v>
      </c>
      <c r="B578" s="55" t="s">
        <v>1036</v>
      </c>
      <c r="C578" s="55" t="s">
        <v>1035</v>
      </c>
      <c r="D578" s="55" t="s">
        <v>46</v>
      </c>
      <c r="E578" s="55" t="s">
        <v>4556</v>
      </c>
      <c r="F578" s="55" t="s">
        <v>4636</v>
      </c>
      <c r="G578" s="55" t="s">
        <v>4637</v>
      </c>
      <c r="H578" s="55" t="s">
        <v>21</v>
      </c>
      <c r="I578" s="55" t="s">
        <v>4566</v>
      </c>
    </row>
    <row r="579" customFormat="false" ht="15" hidden="false" customHeight="false" outlineLevel="0" collapsed="false">
      <c r="A579" s="55" t="s">
        <v>5183</v>
      </c>
      <c r="B579" s="55" t="s">
        <v>1969</v>
      </c>
      <c r="C579" s="55" t="s">
        <v>1968</v>
      </c>
      <c r="D579" s="55" t="s">
        <v>45</v>
      </c>
      <c r="E579" s="55" t="s">
        <v>4556</v>
      </c>
      <c r="F579" s="55" t="s">
        <v>4561</v>
      </c>
      <c r="G579" s="55" t="s">
        <v>4565</v>
      </c>
      <c r="H579" s="55" t="s">
        <v>21</v>
      </c>
      <c r="I579" s="55" t="s">
        <v>4566</v>
      </c>
    </row>
    <row r="580" customFormat="false" ht="15" hidden="false" customHeight="false" outlineLevel="0" collapsed="false">
      <c r="A580" s="55" t="s">
        <v>5184</v>
      </c>
      <c r="B580" s="55" t="s">
        <v>410</v>
      </c>
      <c r="C580" s="55" t="s">
        <v>409</v>
      </c>
      <c r="D580" s="55" t="s">
        <v>46</v>
      </c>
      <c r="E580" s="55" t="s">
        <v>4556</v>
      </c>
      <c r="F580" s="55" t="s">
        <v>4557</v>
      </c>
      <c r="G580" s="55" t="s">
        <v>4558</v>
      </c>
      <c r="H580" s="55" t="s">
        <v>21</v>
      </c>
      <c r="I580" s="55" t="s">
        <v>4566</v>
      </c>
    </row>
    <row r="581" customFormat="false" ht="15" hidden="false" customHeight="false" outlineLevel="0" collapsed="false">
      <c r="A581" s="55" t="s">
        <v>5185</v>
      </c>
      <c r="B581" s="55" t="s">
        <v>410</v>
      </c>
      <c r="C581" s="55" t="s">
        <v>409</v>
      </c>
      <c r="D581" s="55" t="s">
        <v>47</v>
      </c>
      <c r="E581" s="55" t="s">
        <v>4556</v>
      </c>
      <c r="F581" s="55" t="s">
        <v>4557</v>
      </c>
      <c r="G581" s="55" t="s">
        <v>4558</v>
      </c>
      <c r="H581" s="55" t="s">
        <v>21</v>
      </c>
      <c r="I581" s="55" t="s">
        <v>4559</v>
      </c>
    </row>
    <row r="582" customFormat="false" ht="15" hidden="false" customHeight="false" outlineLevel="0" collapsed="false">
      <c r="A582" s="55" t="s">
        <v>5186</v>
      </c>
      <c r="B582" s="55" t="s">
        <v>1399</v>
      </c>
      <c r="C582" s="55" t="s">
        <v>1398</v>
      </c>
      <c r="D582" s="55" t="s">
        <v>46</v>
      </c>
      <c r="E582" s="55" t="s">
        <v>4556</v>
      </c>
      <c r="F582" s="55" t="s">
        <v>4557</v>
      </c>
      <c r="G582" s="55" t="s">
        <v>4558</v>
      </c>
      <c r="H582" s="55" t="s">
        <v>21</v>
      </c>
      <c r="I582" s="55" t="s">
        <v>4566</v>
      </c>
    </row>
    <row r="583" customFormat="false" ht="15" hidden="false" customHeight="false" outlineLevel="0" collapsed="false">
      <c r="A583" s="55" t="s">
        <v>5187</v>
      </c>
      <c r="B583" s="55" t="s">
        <v>1651</v>
      </c>
      <c r="C583" s="55" t="s">
        <v>1650</v>
      </c>
      <c r="D583" s="55" t="s">
        <v>45</v>
      </c>
      <c r="E583" s="55" t="s">
        <v>4556</v>
      </c>
      <c r="F583" s="55" t="s">
        <v>4561</v>
      </c>
      <c r="G583" s="55" t="s">
        <v>4562</v>
      </c>
      <c r="H583" s="55" t="s">
        <v>17</v>
      </c>
      <c r="I583" s="55" t="s">
        <v>4563</v>
      </c>
    </row>
    <row r="584" customFormat="false" ht="15" hidden="false" customHeight="false" outlineLevel="0" collapsed="false">
      <c r="A584" s="55" t="s">
        <v>5188</v>
      </c>
      <c r="B584" s="55" t="s">
        <v>1651</v>
      </c>
      <c r="C584" s="55" t="s">
        <v>1650</v>
      </c>
      <c r="D584" s="55" t="s">
        <v>46</v>
      </c>
      <c r="E584" s="55" t="s">
        <v>4556</v>
      </c>
      <c r="F584" s="55" t="s">
        <v>4557</v>
      </c>
      <c r="G584" s="55" t="s">
        <v>4558</v>
      </c>
      <c r="H584" s="55" t="s">
        <v>21</v>
      </c>
      <c r="I584" s="55" t="s">
        <v>4566</v>
      </c>
    </row>
    <row r="585" customFormat="false" ht="15" hidden="false" customHeight="false" outlineLevel="0" collapsed="false">
      <c r="A585" s="55" t="s">
        <v>5189</v>
      </c>
      <c r="B585" s="55" t="s">
        <v>2170</v>
      </c>
      <c r="C585" s="55" t="s">
        <v>2169</v>
      </c>
      <c r="D585" s="55" t="s">
        <v>45</v>
      </c>
      <c r="E585" s="55" t="s">
        <v>4556</v>
      </c>
      <c r="F585" s="55" t="s">
        <v>4561</v>
      </c>
      <c r="G585" s="55" t="s">
        <v>4565</v>
      </c>
      <c r="H585" s="55" t="s">
        <v>21</v>
      </c>
      <c r="I585" s="55" t="s">
        <v>4566</v>
      </c>
    </row>
    <row r="586" customFormat="false" ht="15" hidden="false" customHeight="false" outlineLevel="0" collapsed="false">
      <c r="A586" s="55" t="s">
        <v>5190</v>
      </c>
      <c r="B586" s="55" t="s">
        <v>2170</v>
      </c>
      <c r="C586" s="55" t="s">
        <v>2169</v>
      </c>
      <c r="D586" s="55" t="s">
        <v>46</v>
      </c>
      <c r="E586" s="55" t="s">
        <v>4556</v>
      </c>
      <c r="F586" s="55" t="s">
        <v>4561</v>
      </c>
      <c r="G586" s="55" t="s">
        <v>4959</v>
      </c>
      <c r="H586" s="55" t="s">
        <v>84</v>
      </c>
      <c r="I586" s="55" t="s">
        <v>4611</v>
      </c>
    </row>
    <row r="587" customFormat="false" ht="15" hidden="false" customHeight="false" outlineLevel="0" collapsed="false">
      <c r="A587" s="55" t="s">
        <v>5191</v>
      </c>
      <c r="B587" s="55" t="s">
        <v>1180</v>
      </c>
      <c r="C587" s="55" t="s">
        <v>1179</v>
      </c>
      <c r="D587" s="55" t="s">
        <v>45</v>
      </c>
      <c r="E587" s="55" t="s">
        <v>4556</v>
      </c>
      <c r="F587" s="55" t="s">
        <v>4557</v>
      </c>
      <c r="G587" s="55" t="s">
        <v>4558</v>
      </c>
      <c r="H587" s="55" t="s">
        <v>21</v>
      </c>
      <c r="I587" s="55" t="s">
        <v>4566</v>
      </c>
    </row>
    <row r="588" customFormat="false" ht="15" hidden="false" customHeight="false" outlineLevel="0" collapsed="false">
      <c r="A588" s="55" t="s">
        <v>5192</v>
      </c>
      <c r="B588" s="55" t="s">
        <v>1180</v>
      </c>
      <c r="C588" s="55" t="s">
        <v>1179</v>
      </c>
      <c r="D588" s="55" t="s">
        <v>46</v>
      </c>
      <c r="E588" s="55" t="s">
        <v>4556</v>
      </c>
      <c r="F588" s="55" t="s">
        <v>4561</v>
      </c>
      <c r="G588" s="55" t="s">
        <v>4565</v>
      </c>
      <c r="H588" s="55" t="s">
        <v>21</v>
      </c>
      <c r="I588" s="55" t="s">
        <v>4566</v>
      </c>
    </row>
    <row r="589" customFormat="false" ht="15" hidden="false" customHeight="false" outlineLevel="0" collapsed="false">
      <c r="A589" s="55" t="s">
        <v>5193</v>
      </c>
      <c r="B589" s="55" t="s">
        <v>1107</v>
      </c>
      <c r="C589" s="55" t="s">
        <v>1106</v>
      </c>
      <c r="D589" s="55" t="s">
        <v>45</v>
      </c>
      <c r="E589" s="55" t="s">
        <v>4556</v>
      </c>
      <c r="F589" s="55" t="s">
        <v>4557</v>
      </c>
      <c r="G589" s="55" t="s">
        <v>4558</v>
      </c>
      <c r="H589" s="55" t="s">
        <v>21</v>
      </c>
      <c r="I589" s="55" t="s">
        <v>4566</v>
      </c>
    </row>
    <row r="590" customFormat="false" ht="15" hidden="false" customHeight="false" outlineLevel="0" collapsed="false">
      <c r="A590" s="55" t="s">
        <v>5194</v>
      </c>
      <c r="B590" s="55" t="s">
        <v>1543</v>
      </c>
      <c r="C590" s="55" t="s">
        <v>1542</v>
      </c>
      <c r="D590" s="55" t="s">
        <v>45</v>
      </c>
      <c r="E590" s="55" t="s">
        <v>4556</v>
      </c>
      <c r="F590" s="55" t="s">
        <v>4568</v>
      </c>
      <c r="G590" s="55" t="s">
        <v>4569</v>
      </c>
      <c r="H590" s="55" t="s">
        <v>17</v>
      </c>
      <c r="I590" s="55" t="s">
        <v>4563</v>
      </c>
    </row>
    <row r="591" customFormat="false" ht="15" hidden="false" customHeight="false" outlineLevel="0" collapsed="false">
      <c r="A591" s="55" t="s">
        <v>5195</v>
      </c>
      <c r="B591" s="55" t="s">
        <v>1543</v>
      </c>
      <c r="C591" s="55" t="s">
        <v>1542</v>
      </c>
      <c r="D591" s="55" t="s">
        <v>46</v>
      </c>
      <c r="E591" s="55" t="s">
        <v>4556</v>
      </c>
      <c r="F591" s="55" t="s">
        <v>4557</v>
      </c>
      <c r="G591" s="55" t="s">
        <v>4558</v>
      </c>
      <c r="H591" s="55" t="s">
        <v>21</v>
      </c>
      <c r="I591" s="55" t="s">
        <v>4566</v>
      </c>
    </row>
    <row r="592" customFormat="false" ht="15" hidden="false" customHeight="false" outlineLevel="0" collapsed="false">
      <c r="A592" s="55" t="s">
        <v>5196</v>
      </c>
      <c r="B592" s="55" t="s">
        <v>2394</v>
      </c>
      <c r="C592" s="55" t="s">
        <v>2393</v>
      </c>
      <c r="D592" s="55" t="s">
        <v>47</v>
      </c>
      <c r="E592" s="55" t="s">
        <v>4556</v>
      </c>
      <c r="F592" s="55" t="s">
        <v>4557</v>
      </c>
      <c r="G592" s="55" t="s">
        <v>4610</v>
      </c>
      <c r="H592" s="55" t="s">
        <v>84</v>
      </c>
      <c r="I592" s="55" t="s">
        <v>4597</v>
      </c>
    </row>
    <row r="593" customFormat="false" ht="15" hidden="false" customHeight="false" outlineLevel="0" collapsed="false">
      <c r="A593" s="55" t="s">
        <v>5197</v>
      </c>
      <c r="B593" s="55" t="s">
        <v>652</v>
      </c>
      <c r="C593" s="55" t="s">
        <v>651</v>
      </c>
      <c r="D593" s="55" t="s">
        <v>46</v>
      </c>
      <c r="E593" s="55" t="s">
        <v>4556</v>
      </c>
      <c r="F593" s="55" t="s">
        <v>4557</v>
      </c>
      <c r="G593" s="55" t="s">
        <v>4558</v>
      </c>
      <c r="H593" s="55" t="s">
        <v>21</v>
      </c>
      <c r="I593" s="55" t="s">
        <v>4566</v>
      </c>
    </row>
    <row r="594" customFormat="false" ht="15" hidden="false" customHeight="false" outlineLevel="0" collapsed="false">
      <c r="A594" s="55" t="s">
        <v>5198</v>
      </c>
      <c r="B594" s="55" t="s">
        <v>1595</v>
      </c>
      <c r="C594" s="55" t="s">
        <v>1594</v>
      </c>
      <c r="D594" s="55" t="s">
        <v>45</v>
      </c>
      <c r="E594" s="55" t="s">
        <v>4556</v>
      </c>
      <c r="F594" s="55" t="s">
        <v>4636</v>
      </c>
      <c r="G594" s="55" t="s">
        <v>4637</v>
      </c>
      <c r="H594" s="55" t="s">
        <v>21</v>
      </c>
      <c r="I594" s="55" t="s">
        <v>4566</v>
      </c>
    </row>
    <row r="595" customFormat="false" ht="15" hidden="false" customHeight="false" outlineLevel="0" collapsed="false">
      <c r="A595" s="55" t="s">
        <v>5199</v>
      </c>
      <c r="B595" s="55" t="s">
        <v>1595</v>
      </c>
      <c r="C595" s="55" t="s">
        <v>1594</v>
      </c>
      <c r="D595" s="55" t="s">
        <v>46</v>
      </c>
      <c r="E595" s="55" t="s">
        <v>4556</v>
      </c>
      <c r="F595" s="55" t="s">
        <v>4557</v>
      </c>
      <c r="G595" s="55" t="s">
        <v>4558</v>
      </c>
      <c r="H595" s="55" t="s">
        <v>21</v>
      </c>
      <c r="I595" s="55" t="s">
        <v>4566</v>
      </c>
    </row>
    <row r="596" customFormat="false" ht="15" hidden="false" customHeight="false" outlineLevel="0" collapsed="false">
      <c r="A596" s="55" t="s">
        <v>5200</v>
      </c>
      <c r="B596" s="55" t="s">
        <v>2624</v>
      </c>
      <c r="C596" s="55" t="s">
        <v>2623</v>
      </c>
      <c r="D596" s="55" t="s">
        <v>46</v>
      </c>
      <c r="E596" s="55" t="s">
        <v>4556</v>
      </c>
      <c r="F596" s="55" t="s">
        <v>4561</v>
      </c>
      <c r="G596" s="55" t="s">
        <v>4565</v>
      </c>
      <c r="H596" s="55" t="s">
        <v>21</v>
      </c>
      <c r="I596" s="55" t="s">
        <v>4566</v>
      </c>
    </row>
    <row r="597" customFormat="false" ht="15" hidden="false" customHeight="false" outlineLevel="0" collapsed="false">
      <c r="A597" s="55" t="s">
        <v>5201</v>
      </c>
      <c r="B597" s="55" t="s">
        <v>1781</v>
      </c>
      <c r="C597" s="55" t="s">
        <v>1780</v>
      </c>
      <c r="D597" s="55" t="s">
        <v>45</v>
      </c>
      <c r="E597" s="55" t="s">
        <v>4556</v>
      </c>
      <c r="F597" s="55" t="s">
        <v>4561</v>
      </c>
      <c r="G597" s="55" t="s">
        <v>4565</v>
      </c>
      <c r="H597" s="55" t="s">
        <v>21</v>
      </c>
      <c r="I597" s="55" t="s">
        <v>4566</v>
      </c>
    </row>
    <row r="598" customFormat="false" ht="15" hidden="false" customHeight="false" outlineLevel="0" collapsed="false">
      <c r="A598" s="55" t="s">
        <v>5202</v>
      </c>
      <c r="B598" s="55" t="s">
        <v>3046</v>
      </c>
      <c r="C598" s="55" t="s">
        <v>3800</v>
      </c>
      <c r="D598" s="55" t="s">
        <v>46</v>
      </c>
      <c r="E598" s="55" t="s">
        <v>4556</v>
      </c>
      <c r="F598" s="55" t="s">
        <v>4561</v>
      </c>
      <c r="G598" s="55" t="s">
        <v>4565</v>
      </c>
      <c r="H598" s="55" t="s">
        <v>21</v>
      </c>
      <c r="I598" s="55" t="s">
        <v>4566</v>
      </c>
    </row>
    <row r="599" customFormat="false" ht="15" hidden="false" customHeight="false" outlineLevel="0" collapsed="false">
      <c r="A599" s="55" t="s">
        <v>5203</v>
      </c>
      <c r="B599" s="55" t="s">
        <v>802</v>
      </c>
      <c r="C599" s="55" t="s">
        <v>801</v>
      </c>
      <c r="D599" s="55" t="s">
        <v>46</v>
      </c>
      <c r="E599" s="55" t="s">
        <v>4556</v>
      </c>
      <c r="F599" s="55" t="s">
        <v>4813</v>
      </c>
      <c r="G599" s="55" t="s">
        <v>4814</v>
      </c>
      <c r="H599" s="55" t="s">
        <v>17</v>
      </c>
      <c r="I599" s="55" t="s">
        <v>4563</v>
      </c>
    </row>
    <row r="600" customFormat="false" ht="15" hidden="false" customHeight="false" outlineLevel="0" collapsed="false">
      <c r="A600" s="55" t="s">
        <v>5204</v>
      </c>
      <c r="B600" s="55" t="s">
        <v>268</v>
      </c>
      <c r="C600" s="55" t="s">
        <v>267</v>
      </c>
      <c r="D600" s="55" t="s">
        <v>45</v>
      </c>
      <c r="E600" s="55" t="s">
        <v>4556</v>
      </c>
      <c r="F600" s="55" t="s">
        <v>4561</v>
      </c>
      <c r="G600" s="55" t="s">
        <v>4596</v>
      </c>
      <c r="H600" s="55" t="s">
        <v>84</v>
      </c>
      <c r="I600" s="55" t="s">
        <v>4611</v>
      </c>
    </row>
    <row r="601" customFormat="false" ht="15" hidden="false" customHeight="false" outlineLevel="0" collapsed="false">
      <c r="A601" s="55" t="s">
        <v>5205</v>
      </c>
      <c r="B601" s="55" t="s">
        <v>1002</v>
      </c>
      <c r="C601" s="55" t="s">
        <v>1001</v>
      </c>
      <c r="D601" s="55" t="s">
        <v>46</v>
      </c>
      <c r="E601" s="55" t="s">
        <v>4556</v>
      </c>
      <c r="F601" s="55" t="s">
        <v>4197</v>
      </c>
      <c r="G601" s="55" t="s">
        <v>4579</v>
      </c>
      <c r="H601" s="55" t="s">
        <v>17</v>
      </c>
      <c r="I601" s="55" t="s">
        <v>4563</v>
      </c>
    </row>
    <row r="602" customFormat="false" ht="15" hidden="false" customHeight="false" outlineLevel="0" collapsed="false">
      <c r="A602" s="55" t="s">
        <v>5206</v>
      </c>
      <c r="B602" s="55" t="s">
        <v>2129</v>
      </c>
      <c r="C602" s="55" t="s">
        <v>2128</v>
      </c>
      <c r="D602" s="55" t="s">
        <v>45</v>
      </c>
      <c r="E602" s="55" t="s">
        <v>4556</v>
      </c>
      <c r="F602" s="55" t="s">
        <v>4703</v>
      </c>
      <c r="G602" s="55" t="s">
        <v>4835</v>
      </c>
      <c r="H602" s="55" t="s">
        <v>17</v>
      </c>
      <c r="I602" s="55" t="s">
        <v>4563</v>
      </c>
    </row>
    <row r="603" customFormat="false" ht="15" hidden="false" customHeight="false" outlineLevel="0" collapsed="false">
      <c r="A603" s="55" t="s">
        <v>5207</v>
      </c>
      <c r="B603" s="55" t="s">
        <v>2129</v>
      </c>
      <c r="C603" s="55" t="s">
        <v>2128</v>
      </c>
      <c r="D603" s="55" t="s">
        <v>47</v>
      </c>
      <c r="E603" s="55" t="s">
        <v>4556</v>
      </c>
      <c r="F603" s="55" t="s">
        <v>4413</v>
      </c>
      <c r="G603" s="55" t="s">
        <v>5208</v>
      </c>
      <c r="H603" s="55" t="s">
        <v>84</v>
      </c>
      <c r="I603" s="55" t="s">
        <v>5209</v>
      </c>
    </row>
    <row r="604" customFormat="false" ht="15" hidden="false" customHeight="false" outlineLevel="0" collapsed="false">
      <c r="A604" s="55" t="s">
        <v>5210</v>
      </c>
      <c r="B604" s="55" t="s">
        <v>286</v>
      </c>
      <c r="C604" s="55" t="s">
        <v>285</v>
      </c>
      <c r="D604" s="55" t="s">
        <v>46</v>
      </c>
      <c r="E604" s="55" t="s">
        <v>4556</v>
      </c>
      <c r="F604" s="55" t="s">
        <v>4557</v>
      </c>
      <c r="G604" s="55" t="s">
        <v>4558</v>
      </c>
      <c r="H604" s="55" t="s">
        <v>21</v>
      </c>
      <c r="I604" s="55" t="s">
        <v>4566</v>
      </c>
    </row>
    <row r="605" customFormat="false" ht="15" hidden="false" customHeight="false" outlineLevel="0" collapsed="false">
      <c r="A605" s="55" t="s">
        <v>5211</v>
      </c>
      <c r="B605" s="55" t="s">
        <v>3052</v>
      </c>
      <c r="C605" s="55" t="s">
        <v>3809</v>
      </c>
      <c r="D605" s="55" t="s">
        <v>46</v>
      </c>
      <c r="E605" s="55" t="s">
        <v>4556</v>
      </c>
      <c r="F605" s="55" t="s">
        <v>4571</v>
      </c>
      <c r="G605" s="55" t="s">
        <v>4572</v>
      </c>
      <c r="H605" s="55" t="s">
        <v>21</v>
      </c>
      <c r="I605" s="55" t="s">
        <v>4566</v>
      </c>
    </row>
    <row r="606" customFormat="false" ht="15" hidden="false" customHeight="false" outlineLevel="0" collapsed="false">
      <c r="A606" s="55" t="s">
        <v>5212</v>
      </c>
      <c r="B606" s="55" t="s">
        <v>2444</v>
      </c>
      <c r="C606" s="55" t="s">
        <v>2443</v>
      </c>
      <c r="D606" s="55" t="s">
        <v>47</v>
      </c>
      <c r="E606" s="55" t="s">
        <v>4556</v>
      </c>
      <c r="F606" s="55" t="s">
        <v>4599</v>
      </c>
      <c r="G606" s="55" t="s">
        <v>4631</v>
      </c>
      <c r="H606" s="55" t="s">
        <v>21</v>
      </c>
      <c r="I606" s="55" t="s">
        <v>4632</v>
      </c>
    </row>
    <row r="607" customFormat="false" ht="15" hidden="false" customHeight="false" outlineLevel="0" collapsed="false">
      <c r="A607" s="55" t="s">
        <v>5213</v>
      </c>
      <c r="B607" s="55" t="s">
        <v>314</v>
      </c>
      <c r="C607" s="55" t="s">
        <v>313</v>
      </c>
      <c r="D607" s="55" t="s">
        <v>47</v>
      </c>
      <c r="E607" s="55" t="s">
        <v>4556</v>
      </c>
      <c r="F607" s="55" t="s">
        <v>4599</v>
      </c>
      <c r="G607" s="55" t="s">
        <v>4631</v>
      </c>
      <c r="H607" s="55" t="s">
        <v>21</v>
      </c>
      <c r="I607" s="55" t="s">
        <v>4632</v>
      </c>
    </row>
    <row r="608" customFormat="false" ht="15" hidden="false" customHeight="false" outlineLevel="0" collapsed="false">
      <c r="A608" s="55" t="s">
        <v>5214</v>
      </c>
      <c r="B608" s="55" t="s">
        <v>850</v>
      </c>
      <c r="C608" s="55" t="s">
        <v>849</v>
      </c>
      <c r="D608" s="55" t="s">
        <v>46</v>
      </c>
      <c r="E608" s="55" t="s">
        <v>4556</v>
      </c>
      <c r="F608" s="55" t="s">
        <v>4568</v>
      </c>
      <c r="G608" s="55" t="s">
        <v>4569</v>
      </c>
      <c r="H608" s="55" t="s">
        <v>17</v>
      </c>
      <c r="I608" s="55" t="s">
        <v>4563</v>
      </c>
    </row>
    <row r="609" customFormat="false" ht="15" hidden="false" customHeight="false" outlineLevel="0" collapsed="false">
      <c r="A609" s="55" t="s">
        <v>5215</v>
      </c>
      <c r="B609" s="55" t="s">
        <v>850</v>
      </c>
      <c r="C609" s="55" t="s">
        <v>849</v>
      </c>
      <c r="D609" s="55" t="s">
        <v>47</v>
      </c>
      <c r="E609" s="55" t="s">
        <v>4556</v>
      </c>
      <c r="F609" s="55" t="s">
        <v>4864</v>
      </c>
      <c r="G609" s="55" t="s">
        <v>4984</v>
      </c>
      <c r="H609" s="55" t="s">
        <v>17</v>
      </c>
      <c r="I609" s="55" t="s">
        <v>4563</v>
      </c>
    </row>
    <row r="610" customFormat="false" ht="15" hidden="false" customHeight="false" outlineLevel="0" collapsed="false">
      <c r="A610" s="55" t="s">
        <v>5216</v>
      </c>
      <c r="B610" s="55" t="s">
        <v>1183</v>
      </c>
      <c r="C610" s="55" t="s">
        <v>1182</v>
      </c>
      <c r="D610" s="55" t="s">
        <v>46</v>
      </c>
      <c r="E610" s="55" t="s">
        <v>4556</v>
      </c>
      <c r="F610" s="55" t="s">
        <v>4568</v>
      </c>
      <c r="G610" s="55" t="s">
        <v>4592</v>
      </c>
      <c r="H610" s="55" t="s">
        <v>21</v>
      </c>
      <c r="I610" s="55" t="s">
        <v>4566</v>
      </c>
    </row>
    <row r="611" customFormat="false" ht="15" hidden="false" customHeight="false" outlineLevel="0" collapsed="false">
      <c r="A611" s="55" t="s">
        <v>5217</v>
      </c>
      <c r="B611" s="55" t="s">
        <v>1262</v>
      </c>
      <c r="C611" s="55" t="s">
        <v>1261</v>
      </c>
      <c r="D611" s="55" t="s">
        <v>45</v>
      </c>
      <c r="E611" s="55" t="s">
        <v>4556</v>
      </c>
      <c r="F611" s="55" t="s">
        <v>4557</v>
      </c>
      <c r="G611" s="55" t="s">
        <v>4558</v>
      </c>
      <c r="H611" s="55" t="s">
        <v>21</v>
      </c>
      <c r="I611" s="55" t="s">
        <v>4566</v>
      </c>
    </row>
    <row r="612" customFormat="false" ht="15" hidden="false" customHeight="false" outlineLevel="0" collapsed="false">
      <c r="A612" s="55" t="s">
        <v>5218</v>
      </c>
      <c r="B612" s="55" t="s">
        <v>1110</v>
      </c>
      <c r="C612" s="55" t="s">
        <v>1109</v>
      </c>
      <c r="D612" s="55" t="s">
        <v>45</v>
      </c>
      <c r="E612" s="55" t="s">
        <v>4556</v>
      </c>
      <c r="F612" s="55" t="s">
        <v>4557</v>
      </c>
      <c r="G612" s="55" t="s">
        <v>4558</v>
      </c>
      <c r="H612" s="55" t="s">
        <v>21</v>
      </c>
      <c r="I612" s="55" t="s">
        <v>4566</v>
      </c>
    </row>
    <row r="613" customFormat="false" ht="15" hidden="false" customHeight="false" outlineLevel="0" collapsed="false">
      <c r="A613" s="55" t="s">
        <v>5219</v>
      </c>
      <c r="B613" s="55" t="s">
        <v>1110</v>
      </c>
      <c r="C613" s="55" t="s">
        <v>1109</v>
      </c>
      <c r="D613" s="55" t="s">
        <v>46</v>
      </c>
      <c r="E613" s="55" t="s">
        <v>4556</v>
      </c>
      <c r="F613" s="55" t="s">
        <v>4653</v>
      </c>
      <c r="G613" s="55" t="s">
        <v>4654</v>
      </c>
      <c r="H613" s="55" t="s">
        <v>21</v>
      </c>
      <c r="I613" s="55" t="s">
        <v>4566</v>
      </c>
    </row>
    <row r="614" customFormat="false" ht="15" hidden="false" customHeight="false" outlineLevel="0" collapsed="false">
      <c r="A614" s="55" t="s">
        <v>5220</v>
      </c>
      <c r="B614" s="55" t="s">
        <v>2328</v>
      </c>
      <c r="C614" s="55" t="s">
        <v>2327</v>
      </c>
      <c r="D614" s="55" t="s">
        <v>46</v>
      </c>
      <c r="E614" s="55" t="s">
        <v>4556</v>
      </c>
      <c r="F614" s="55" t="s">
        <v>4413</v>
      </c>
      <c r="G614" s="55" t="s">
        <v>4730</v>
      </c>
      <c r="H614" s="55" t="s">
        <v>17</v>
      </c>
      <c r="I614" s="55" t="s">
        <v>4563</v>
      </c>
    </row>
    <row r="615" customFormat="false" ht="15" hidden="false" customHeight="false" outlineLevel="0" collapsed="false">
      <c r="A615" s="55" t="s">
        <v>5221</v>
      </c>
      <c r="B615" s="55" t="s">
        <v>3058</v>
      </c>
      <c r="C615" s="55" t="s">
        <v>3819</v>
      </c>
      <c r="D615" s="55" t="s">
        <v>46</v>
      </c>
      <c r="E615" s="55" t="s">
        <v>4556</v>
      </c>
      <c r="F615" s="55" t="s">
        <v>4561</v>
      </c>
      <c r="G615" s="55" t="s">
        <v>4565</v>
      </c>
      <c r="H615" s="55" t="s">
        <v>21</v>
      </c>
      <c r="I615" s="55" t="s">
        <v>4566</v>
      </c>
    </row>
    <row r="616" customFormat="false" ht="15" hidden="false" customHeight="false" outlineLevel="0" collapsed="false">
      <c r="A616" s="55" t="s">
        <v>5222</v>
      </c>
      <c r="B616" s="55" t="s">
        <v>366</v>
      </c>
      <c r="C616" s="55" t="s">
        <v>365</v>
      </c>
      <c r="D616" s="55" t="s">
        <v>45</v>
      </c>
      <c r="E616" s="55" t="s">
        <v>4556</v>
      </c>
      <c r="F616" s="55" t="s">
        <v>4557</v>
      </c>
      <c r="G616" s="55" t="s">
        <v>4558</v>
      </c>
      <c r="H616" s="55" t="s">
        <v>21</v>
      </c>
      <c r="I616" s="55" t="s">
        <v>4566</v>
      </c>
    </row>
    <row r="617" customFormat="false" ht="15" hidden="false" customHeight="false" outlineLevel="0" collapsed="false">
      <c r="A617" s="55" t="s">
        <v>5223</v>
      </c>
      <c r="B617" s="55" t="s">
        <v>683</v>
      </c>
      <c r="C617" s="55" t="s">
        <v>682</v>
      </c>
      <c r="D617" s="55" t="s">
        <v>45</v>
      </c>
      <c r="E617" s="55" t="s">
        <v>4556</v>
      </c>
      <c r="F617" s="55" t="s">
        <v>4557</v>
      </c>
      <c r="G617" s="55" t="s">
        <v>4558</v>
      </c>
      <c r="H617" s="55" t="s">
        <v>21</v>
      </c>
      <c r="I617" s="55" t="s">
        <v>4566</v>
      </c>
    </row>
    <row r="618" customFormat="false" ht="15" hidden="false" customHeight="false" outlineLevel="0" collapsed="false">
      <c r="A618" s="55" t="s">
        <v>5224</v>
      </c>
      <c r="B618" s="55" t="s">
        <v>187</v>
      </c>
      <c r="C618" s="55" t="s">
        <v>186</v>
      </c>
      <c r="D618" s="55" t="s">
        <v>45</v>
      </c>
      <c r="E618" s="55" t="s">
        <v>4556</v>
      </c>
      <c r="F618" s="55" t="s">
        <v>4471</v>
      </c>
      <c r="G618" s="55" t="s">
        <v>4669</v>
      </c>
      <c r="H618" s="55" t="s">
        <v>21</v>
      </c>
      <c r="I618" s="55" t="s">
        <v>4670</v>
      </c>
    </row>
    <row r="619" customFormat="false" ht="15" hidden="false" customHeight="false" outlineLevel="0" collapsed="false">
      <c r="A619" s="55" t="s">
        <v>5225</v>
      </c>
      <c r="B619" s="55" t="s">
        <v>187</v>
      </c>
      <c r="C619" s="55" t="s">
        <v>186</v>
      </c>
      <c r="D619" s="55" t="s">
        <v>46</v>
      </c>
      <c r="E619" s="55" t="s">
        <v>4556</v>
      </c>
      <c r="F619" s="55" t="s">
        <v>4599</v>
      </c>
      <c r="G619" s="55" t="s">
        <v>4631</v>
      </c>
      <c r="H619" s="55" t="s">
        <v>21</v>
      </c>
      <c r="I619" s="55" t="s">
        <v>4632</v>
      </c>
    </row>
    <row r="620" customFormat="false" ht="15" hidden="false" customHeight="false" outlineLevel="0" collapsed="false">
      <c r="A620" s="55" t="s">
        <v>5226</v>
      </c>
      <c r="B620" s="55" t="s">
        <v>546</v>
      </c>
      <c r="C620" s="55" t="s">
        <v>545</v>
      </c>
      <c r="D620" s="55" t="s">
        <v>45</v>
      </c>
      <c r="E620" s="55" t="s">
        <v>4556</v>
      </c>
      <c r="F620" s="55" t="s">
        <v>4557</v>
      </c>
      <c r="G620" s="55" t="s">
        <v>4558</v>
      </c>
      <c r="H620" s="55" t="s">
        <v>21</v>
      </c>
      <c r="I620" s="55" t="s">
        <v>4566</v>
      </c>
    </row>
    <row r="621" customFormat="false" ht="15" hidden="false" customHeight="false" outlineLevel="0" collapsed="false">
      <c r="A621" s="55" t="s">
        <v>5227</v>
      </c>
      <c r="B621" s="55" t="s">
        <v>3061</v>
      </c>
      <c r="C621" s="55" t="s">
        <v>3827</v>
      </c>
      <c r="D621" s="55" t="s">
        <v>45</v>
      </c>
      <c r="E621" s="55" t="s">
        <v>4556</v>
      </c>
      <c r="F621" s="55" t="s">
        <v>4568</v>
      </c>
      <c r="G621" s="55" t="s">
        <v>4592</v>
      </c>
      <c r="H621" s="55" t="s">
        <v>21</v>
      </c>
      <c r="I621" s="55" t="s">
        <v>4566</v>
      </c>
    </row>
    <row r="622" customFormat="false" ht="15" hidden="false" customHeight="false" outlineLevel="0" collapsed="false">
      <c r="A622" s="55" t="s">
        <v>5228</v>
      </c>
      <c r="B622" s="55" t="s">
        <v>2264</v>
      </c>
      <c r="C622" s="55" t="s">
        <v>2263</v>
      </c>
      <c r="D622" s="55" t="s">
        <v>45</v>
      </c>
      <c r="E622" s="55" t="s">
        <v>4556</v>
      </c>
      <c r="F622" s="55" t="s">
        <v>4561</v>
      </c>
      <c r="G622" s="55" t="s">
        <v>4562</v>
      </c>
      <c r="H622" s="55" t="s">
        <v>17</v>
      </c>
      <c r="I622" s="55" t="s">
        <v>4563</v>
      </c>
    </row>
    <row r="623" customFormat="false" ht="15" hidden="false" customHeight="false" outlineLevel="0" collapsed="false">
      <c r="A623" s="55" t="s">
        <v>5229</v>
      </c>
      <c r="B623" s="55" t="s">
        <v>1170</v>
      </c>
      <c r="C623" s="55" t="s">
        <v>1169</v>
      </c>
      <c r="D623" s="55" t="s">
        <v>45</v>
      </c>
      <c r="E623" s="55" t="s">
        <v>4556</v>
      </c>
      <c r="F623" s="55" t="s">
        <v>4557</v>
      </c>
      <c r="G623" s="55" t="s">
        <v>4558</v>
      </c>
      <c r="H623" s="55" t="s">
        <v>21</v>
      </c>
      <c r="I623" s="55" t="s">
        <v>4566</v>
      </c>
    </row>
    <row r="624" customFormat="false" ht="15" hidden="false" customHeight="false" outlineLevel="0" collapsed="false">
      <c r="A624" s="55" t="s">
        <v>5230</v>
      </c>
      <c r="B624" s="55" t="s">
        <v>1170</v>
      </c>
      <c r="C624" s="55" t="s">
        <v>1169</v>
      </c>
      <c r="D624" s="55" t="s">
        <v>46</v>
      </c>
      <c r="E624" s="55" t="s">
        <v>4556</v>
      </c>
      <c r="F624" s="55" t="s">
        <v>4626</v>
      </c>
      <c r="G624" s="55" t="s">
        <v>4627</v>
      </c>
      <c r="H624" s="55" t="s">
        <v>21</v>
      </c>
      <c r="I624" s="55" t="s">
        <v>4628</v>
      </c>
    </row>
    <row r="625" customFormat="false" ht="15" hidden="false" customHeight="false" outlineLevel="0" collapsed="false">
      <c r="A625" s="55" t="s">
        <v>5231</v>
      </c>
      <c r="B625" s="55" t="s">
        <v>827</v>
      </c>
      <c r="C625" s="55" t="s">
        <v>826</v>
      </c>
      <c r="D625" s="55" t="s">
        <v>45</v>
      </c>
      <c r="E625" s="55" t="s">
        <v>4556</v>
      </c>
      <c r="F625" s="55" t="s">
        <v>4626</v>
      </c>
      <c r="G625" s="55" t="s">
        <v>4627</v>
      </c>
      <c r="H625" s="55" t="s">
        <v>21</v>
      </c>
      <c r="I625" s="55" t="s">
        <v>4628</v>
      </c>
    </row>
    <row r="626" customFormat="false" ht="15" hidden="false" customHeight="false" outlineLevel="0" collapsed="false">
      <c r="A626" s="55" t="s">
        <v>5232</v>
      </c>
      <c r="B626" s="55" t="s">
        <v>827</v>
      </c>
      <c r="C626" s="55" t="s">
        <v>826</v>
      </c>
      <c r="D626" s="55" t="s">
        <v>46</v>
      </c>
      <c r="E626" s="55" t="s">
        <v>4556</v>
      </c>
      <c r="F626" s="55" t="s">
        <v>4561</v>
      </c>
      <c r="G626" s="55" t="s">
        <v>4565</v>
      </c>
      <c r="H626" s="55" t="s">
        <v>21</v>
      </c>
      <c r="I626" s="55" t="s">
        <v>4559</v>
      </c>
    </row>
    <row r="627" customFormat="false" ht="15" hidden="false" customHeight="false" outlineLevel="0" collapsed="false">
      <c r="A627" s="55" t="s">
        <v>5233</v>
      </c>
      <c r="B627" s="55" t="s">
        <v>189</v>
      </c>
      <c r="C627" s="55" t="s">
        <v>188</v>
      </c>
      <c r="D627" s="55" t="s">
        <v>47</v>
      </c>
      <c r="E627" s="55" t="s">
        <v>4556</v>
      </c>
      <c r="F627" s="55" t="s">
        <v>4557</v>
      </c>
      <c r="G627" s="55" t="s">
        <v>4558</v>
      </c>
      <c r="H627" s="55" t="s">
        <v>21</v>
      </c>
      <c r="I627" s="55" t="s">
        <v>4559</v>
      </c>
    </row>
    <row r="628" customFormat="false" ht="15" hidden="false" customHeight="false" outlineLevel="0" collapsed="false">
      <c r="A628" s="55" t="s">
        <v>5234</v>
      </c>
      <c r="B628" s="55" t="s">
        <v>244</v>
      </c>
      <c r="C628" s="55" t="s">
        <v>243</v>
      </c>
      <c r="D628" s="55" t="s">
        <v>45</v>
      </c>
      <c r="E628" s="55" t="s">
        <v>4556</v>
      </c>
      <c r="F628" s="55" t="s">
        <v>4557</v>
      </c>
      <c r="G628" s="55" t="s">
        <v>4558</v>
      </c>
      <c r="H628" s="55" t="s">
        <v>21</v>
      </c>
      <c r="I628" s="55" t="s">
        <v>4566</v>
      </c>
    </row>
    <row r="629" customFormat="false" ht="15" hidden="false" customHeight="false" outlineLevel="0" collapsed="false">
      <c r="A629" s="55" t="s">
        <v>5235</v>
      </c>
      <c r="B629" s="55" t="s">
        <v>244</v>
      </c>
      <c r="C629" s="55" t="s">
        <v>243</v>
      </c>
      <c r="D629" s="55" t="s">
        <v>46</v>
      </c>
      <c r="E629" s="55" t="s">
        <v>4556</v>
      </c>
      <c r="F629" s="55" t="s">
        <v>4557</v>
      </c>
      <c r="G629" s="55" t="s">
        <v>4558</v>
      </c>
      <c r="H629" s="55" t="s">
        <v>21</v>
      </c>
      <c r="I629" s="55" t="s">
        <v>4566</v>
      </c>
    </row>
    <row r="630" customFormat="false" ht="15" hidden="false" customHeight="false" outlineLevel="0" collapsed="false">
      <c r="A630" s="55" t="s">
        <v>5236</v>
      </c>
      <c r="B630" s="55" t="s">
        <v>137</v>
      </c>
      <c r="C630" s="55" t="s">
        <v>136</v>
      </c>
      <c r="D630" s="55" t="s">
        <v>45</v>
      </c>
      <c r="E630" s="55" t="s">
        <v>4556</v>
      </c>
      <c r="F630" s="55" t="s">
        <v>4557</v>
      </c>
      <c r="G630" s="55" t="s">
        <v>4558</v>
      </c>
      <c r="H630" s="55" t="s">
        <v>21</v>
      </c>
      <c r="I630" s="55" t="s">
        <v>4566</v>
      </c>
    </row>
    <row r="631" customFormat="false" ht="15" hidden="false" customHeight="false" outlineLevel="0" collapsed="false">
      <c r="A631" s="55" t="s">
        <v>5237</v>
      </c>
      <c r="B631" s="55" t="s">
        <v>117</v>
      </c>
      <c r="C631" s="55" t="s">
        <v>116</v>
      </c>
      <c r="D631" s="55" t="s">
        <v>45</v>
      </c>
      <c r="E631" s="55" t="s">
        <v>4556</v>
      </c>
      <c r="F631" s="55" t="s">
        <v>4557</v>
      </c>
      <c r="G631" s="55" t="s">
        <v>4558</v>
      </c>
      <c r="H631" s="55" t="s">
        <v>21</v>
      </c>
      <c r="I631" s="55" t="s">
        <v>4566</v>
      </c>
    </row>
    <row r="632" customFormat="false" ht="15" hidden="false" customHeight="false" outlineLevel="0" collapsed="false">
      <c r="A632" s="55" t="s">
        <v>5238</v>
      </c>
      <c r="B632" s="55" t="s">
        <v>306</v>
      </c>
      <c r="C632" s="55" t="s">
        <v>305</v>
      </c>
      <c r="D632" s="55" t="s">
        <v>45</v>
      </c>
      <c r="E632" s="55" t="s">
        <v>4556</v>
      </c>
      <c r="F632" s="55" t="s">
        <v>4557</v>
      </c>
      <c r="G632" s="55" t="s">
        <v>4558</v>
      </c>
      <c r="H632" s="55" t="s">
        <v>21</v>
      </c>
      <c r="I632" s="55" t="s">
        <v>4566</v>
      </c>
    </row>
    <row r="633" customFormat="false" ht="15" hidden="false" customHeight="false" outlineLevel="0" collapsed="false">
      <c r="A633" s="55" t="s">
        <v>5239</v>
      </c>
      <c r="B633" s="55" t="s">
        <v>306</v>
      </c>
      <c r="C633" s="55" t="s">
        <v>305</v>
      </c>
      <c r="D633" s="55" t="s">
        <v>46</v>
      </c>
      <c r="E633" s="55" t="s">
        <v>4556</v>
      </c>
      <c r="F633" s="55" t="s">
        <v>4557</v>
      </c>
      <c r="G633" s="55" t="s">
        <v>4558</v>
      </c>
      <c r="H633" s="55" t="s">
        <v>21</v>
      </c>
      <c r="I633" s="55" t="s">
        <v>4566</v>
      </c>
    </row>
    <row r="634" customFormat="false" ht="15" hidden="false" customHeight="false" outlineLevel="0" collapsed="false">
      <c r="A634" s="55" t="s">
        <v>5240</v>
      </c>
      <c r="B634" s="55" t="s">
        <v>1324</v>
      </c>
      <c r="C634" s="55" t="s">
        <v>1323</v>
      </c>
      <c r="D634" s="55" t="s">
        <v>47</v>
      </c>
      <c r="E634" s="55" t="s">
        <v>4556</v>
      </c>
      <c r="F634" s="55" t="s">
        <v>4561</v>
      </c>
      <c r="G634" s="55" t="s">
        <v>4565</v>
      </c>
      <c r="H634" s="55" t="s">
        <v>21</v>
      </c>
      <c r="I634" s="55" t="s">
        <v>4559</v>
      </c>
    </row>
    <row r="635" customFormat="false" ht="15" hidden="false" customHeight="false" outlineLevel="0" collapsed="false">
      <c r="A635" s="55" t="s">
        <v>5241</v>
      </c>
      <c r="B635" s="55" t="s">
        <v>3069</v>
      </c>
      <c r="C635" s="55" t="s">
        <v>3843</v>
      </c>
      <c r="D635" s="55" t="s">
        <v>45</v>
      </c>
      <c r="E635" s="55" t="s">
        <v>4556</v>
      </c>
      <c r="F635" s="55" t="s">
        <v>4571</v>
      </c>
      <c r="G635" s="55" t="s">
        <v>4572</v>
      </c>
      <c r="H635" s="55" t="s">
        <v>21</v>
      </c>
      <c r="I635" s="55" t="s">
        <v>4566</v>
      </c>
    </row>
    <row r="636" customFormat="false" ht="15" hidden="false" customHeight="false" outlineLevel="0" collapsed="false">
      <c r="A636" s="55" t="s">
        <v>5242</v>
      </c>
      <c r="B636" s="55" t="s">
        <v>883</v>
      </c>
      <c r="C636" s="55" t="s">
        <v>882</v>
      </c>
      <c r="D636" s="55" t="s">
        <v>45</v>
      </c>
      <c r="E636" s="55" t="s">
        <v>4556</v>
      </c>
      <c r="F636" s="55" t="s">
        <v>4561</v>
      </c>
      <c r="G636" s="55" t="s">
        <v>4562</v>
      </c>
      <c r="H636" s="55" t="s">
        <v>17</v>
      </c>
      <c r="I636" s="55" t="s">
        <v>4563</v>
      </c>
    </row>
    <row r="637" customFormat="false" ht="15" hidden="false" customHeight="false" outlineLevel="0" collapsed="false">
      <c r="A637" s="55" t="s">
        <v>5243</v>
      </c>
      <c r="B637" s="55" t="s">
        <v>883</v>
      </c>
      <c r="C637" s="55" t="s">
        <v>882</v>
      </c>
      <c r="D637" s="55" t="s">
        <v>46</v>
      </c>
      <c r="E637" s="55" t="s">
        <v>4556</v>
      </c>
      <c r="F637" s="55" t="s">
        <v>4557</v>
      </c>
      <c r="G637" s="55" t="s">
        <v>4558</v>
      </c>
      <c r="H637" s="55" t="s">
        <v>21</v>
      </c>
      <c r="I637" s="55" t="s">
        <v>4566</v>
      </c>
    </row>
    <row r="638" customFormat="false" ht="15" hidden="false" customHeight="false" outlineLevel="0" collapsed="false">
      <c r="A638" s="55" t="s">
        <v>5244</v>
      </c>
      <c r="B638" s="55" t="s">
        <v>883</v>
      </c>
      <c r="C638" s="55" t="s">
        <v>882</v>
      </c>
      <c r="D638" s="55" t="s">
        <v>47</v>
      </c>
      <c r="E638" s="55" t="s">
        <v>4556</v>
      </c>
      <c r="F638" s="55" t="s">
        <v>4568</v>
      </c>
      <c r="G638" s="55" t="s">
        <v>4569</v>
      </c>
      <c r="H638" s="55" t="s">
        <v>17</v>
      </c>
      <c r="I638" s="55" t="s">
        <v>4563</v>
      </c>
    </row>
    <row r="639" customFormat="false" ht="15" hidden="false" customHeight="false" outlineLevel="0" collapsed="false">
      <c r="A639" s="55" t="s">
        <v>5245</v>
      </c>
      <c r="B639" s="55" t="s">
        <v>1223</v>
      </c>
      <c r="C639" s="55" t="s">
        <v>1222</v>
      </c>
      <c r="D639" s="55" t="s">
        <v>45</v>
      </c>
      <c r="E639" s="55" t="s">
        <v>4556</v>
      </c>
      <c r="F639" s="55" t="s">
        <v>4557</v>
      </c>
      <c r="G639" s="55" t="s">
        <v>4558</v>
      </c>
      <c r="H639" s="55" t="s">
        <v>21</v>
      </c>
      <c r="I639" s="55" t="s">
        <v>4566</v>
      </c>
    </row>
    <row r="640" customFormat="false" ht="15" hidden="false" customHeight="false" outlineLevel="0" collapsed="false">
      <c r="A640" s="55" t="s">
        <v>5246</v>
      </c>
      <c r="B640" s="55" t="s">
        <v>1223</v>
      </c>
      <c r="C640" s="55" t="s">
        <v>1222</v>
      </c>
      <c r="D640" s="55" t="s">
        <v>46</v>
      </c>
      <c r="E640" s="55" t="s">
        <v>4556</v>
      </c>
      <c r="F640" s="55" t="s">
        <v>4561</v>
      </c>
      <c r="G640" s="55" t="s">
        <v>4565</v>
      </c>
      <c r="H640" s="55" t="s">
        <v>21</v>
      </c>
      <c r="I640" s="55" t="s">
        <v>4566</v>
      </c>
    </row>
    <row r="641" customFormat="false" ht="15" hidden="false" customHeight="false" outlineLevel="0" collapsed="false">
      <c r="A641" s="55" t="s">
        <v>5247</v>
      </c>
      <c r="B641" s="55" t="s">
        <v>1317</v>
      </c>
      <c r="C641" s="55" t="s">
        <v>1316</v>
      </c>
      <c r="D641" s="55" t="s">
        <v>45</v>
      </c>
      <c r="E641" s="55" t="s">
        <v>4556</v>
      </c>
      <c r="F641" s="55" t="s">
        <v>4557</v>
      </c>
      <c r="G641" s="55" t="s">
        <v>4558</v>
      </c>
      <c r="H641" s="55" t="s">
        <v>21</v>
      </c>
      <c r="I641" s="55" t="s">
        <v>4566</v>
      </c>
    </row>
    <row r="642" customFormat="false" ht="15" hidden="false" customHeight="false" outlineLevel="0" collapsed="false">
      <c r="A642" s="55" t="s">
        <v>5248</v>
      </c>
      <c r="B642" s="55" t="s">
        <v>1317</v>
      </c>
      <c r="C642" s="55" t="s">
        <v>1316</v>
      </c>
      <c r="D642" s="55" t="s">
        <v>46</v>
      </c>
      <c r="E642" s="55" t="s">
        <v>4556</v>
      </c>
      <c r="F642" s="55" t="s">
        <v>5041</v>
      </c>
      <c r="G642" s="55" t="s">
        <v>5042</v>
      </c>
      <c r="H642" s="55" t="s">
        <v>21</v>
      </c>
      <c r="I642" s="55" t="s">
        <v>4566</v>
      </c>
    </row>
    <row r="643" customFormat="false" ht="15" hidden="false" customHeight="false" outlineLevel="0" collapsed="false">
      <c r="A643" s="55" t="s">
        <v>5249</v>
      </c>
      <c r="B643" s="55" t="s">
        <v>1317</v>
      </c>
      <c r="C643" s="55" t="s">
        <v>1316</v>
      </c>
      <c r="D643" s="55" t="s">
        <v>47</v>
      </c>
      <c r="E643" s="55" t="s">
        <v>4556</v>
      </c>
      <c r="F643" s="55" t="s">
        <v>4557</v>
      </c>
      <c r="G643" s="55" t="s">
        <v>4558</v>
      </c>
      <c r="H643" s="55" t="s">
        <v>21</v>
      </c>
      <c r="I643" s="55" t="s">
        <v>4566</v>
      </c>
    </row>
    <row r="644" customFormat="false" ht="15" hidden="false" customHeight="false" outlineLevel="0" collapsed="false">
      <c r="A644" s="55" t="s">
        <v>5250</v>
      </c>
      <c r="B644" s="55" t="s">
        <v>3075</v>
      </c>
      <c r="C644" s="55" t="s">
        <v>3851</v>
      </c>
      <c r="D644" s="55" t="s">
        <v>46</v>
      </c>
      <c r="E644" s="55" t="s">
        <v>4556</v>
      </c>
      <c r="F644" s="55" t="s">
        <v>4561</v>
      </c>
      <c r="G644" s="55" t="s">
        <v>4562</v>
      </c>
      <c r="H644" s="55" t="s">
        <v>17</v>
      </c>
      <c r="I644" s="55" t="s">
        <v>4563</v>
      </c>
    </row>
    <row r="645" customFormat="false" ht="15" hidden="false" customHeight="false" outlineLevel="0" collapsed="false">
      <c r="A645" s="55" t="s">
        <v>5251</v>
      </c>
      <c r="B645" s="55" t="s">
        <v>1625</v>
      </c>
      <c r="C645" s="55" t="s">
        <v>1624</v>
      </c>
      <c r="D645" s="55" t="s">
        <v>45</v>
      </c>
      <c r="E645" s="55" t="s">
        <v>4556</v>
      </c>
      <c r="F645" s="55" t="s">
        <v>4561</v>
      </c>
      <c r="G645" s="55" t="s">
        <v>4565</v>
      </c>
      <c r="H645" s="55" t="s">
        <v>21</v>
      </c>
      <c r="I645" s="55" t="s">
        <v>4566</v>
      </c>
    </row>
    <row r="646" customFormat="false" ht="15" hidden="false" customHeight="false" outlineLevel="0" collapsed="false">
      <c r="A646" s="55" t="s">
        <v>5252</v>
      </c>
      <c r="B646" s="55" t="s">
        <v>302</v>
      </c>
      <c r="C646" s="55" t="s">
        <v>301</v>
      </c>
      <c r="D646" s="55" t="s">
        <v>45</v>
      </c>
      <c r="E646" s="55" t="s">
        <v>4556</v>
      </c>
      <c r="F646" s="55" t="s">
        <v>4557</v>
      </c>
      <c r="G646" s="55" t="s">
        <v>4558</v>
      </c>
      <c r="H646" s="55" t="s">
        <v>21</v>
      </c>
      <c r="I646" s="55" t="s">
        <v>4566</v>
      </c>
    </row>
    <row r="647" customFormat="false" ht="15" hidden="false" customHeight="false" outlineLevel="0" collapsed="false">
      <c r="A647" s="55" t="s">
        <v>5253</v>
      </c>
      <c r="B647" s="55" t="s">
        <v>302</v>
      </c>
      <c r="C647" s="55" t="s">
        <v>301</v>
      </c>
      <c r="D647" s="55" t="s">
        <v>46</v>
      </c>
      <c r="E647" s="55" t="s">
        <v>4556</v>
      </c>
      <c r="F647" s="55" t="s">
        <v>4557</v>
      </c>
      <c r="G647" s="55" t="s">
        <v>4741</v>
      </c>
      <c r="H647" s="55" t="s">
        <v>84</v>
      </c>
      <c r="I647" s="55" t="s">
        <v>4611</v>
      </c>
    </row>
    <row r="648" customFormat="false" ht="15" hidden="false" customHeight="false" outlineLevel="0" collapsed="false">
      <c r="A648" s="55" t="s">
        <v>5254</v>
      </c>
      <c r="B648" s="55" t="s">
        <v>2279</v>
      </c>
      <c r="C648" s="55" t="s">
        <v>2278</v>
      </c>
      <c r="D648" s="55" t="s">
        <v>45</v>
      </c>
      <c r="E648" s="55" t="s">
        <v>4556</v>
      </c>
      <c r="F648" s="55" t="s">
        <v>4636</v>
      </c>
      <c r="G648" s="55" t="s">
        <v>4637</v>
      </c>
      <c r="H648" s="55" t="s">
        <v>21</v>
      </c>
      <c r="I648" s="55" t="s">
        <v>4566</v>
      </c>
    </row>
    <row r="649" customFormat="false" ht="15" hidden="false" customHeight="false" outlineLevel="0" collapsed="false">
      <c r="A649" s="55" t="s">
        <v>5255</v>
      </c>
      <c r="B649" s="55" t="s">
        <v>554</v>
      </c>
      <c r="C649" s="55" t="s">
        <v>553</v>
      </c>
      <c r="D649" s="55" t="s">
        <v>46</v>
      </c>
      <c r="E649" s="55" t="s">
        <v>4556</v>
      </c>
      <c r="F649" s="55" t="s">
        <v>4557</v>
      </c>
      <c r="G649" s="55" t="s">
        <v>4558</v>
      </c>
      <c r="H649" s="55" t="s">
        <v>21</v>
      </c>
      <c r="I649" s="55" t="s">
        <v>4566</v>
      </c>
    </row>
    <row r="650" customFormat="false" ht="15" hidden="false" customHeight="false" outlineLevel="0" collapsed="false">
      <c r="A650" s="55" t="s">
        <v>5256</v>
      </c>
      <c r="B650" s="55" t="s">
        <v>460</v>
      </c>
      <c r="C650" s="55" t="s">
        <v>459</v>
      </c>
      <c r="D650" s="55" t="s">
        <v>45</v>
      </c>
      <c r="E650" s="55" t="s">
        <v>4556</v>
      </c>
      <c r="F650" s="55" t="s">
        <v>4557</v>
      </c>
      <c r="G650" s="55" t="s">
        <v>4558</v>
      </c>
      <c r="H650" s="55" t="s">
        <v>21</v>
      </c>
      <c r="I650" s="55" t="s">
        <v>4566</v>
      </c>
    </row>
    <row r="651" customFormat="false" ht="15" hidden="false" customHeight="false" outlineLevel="0" collapsed="false">
      <c r="A651" s="55" t="s">
        <v>5257</v>
      </c>
      <c r="B651" s="55" t="s">
        <v>460</v>
      </c>
      <c r="C651" s="55" t="s">
        <v>459</v>
      </c>
      <c r="D651" s="55" t="s">
        <v>46</v>
      </c>
      <c r="E651" s="55" t="s">
        <v>4556</v>
      </c>
      <c r="F651" s="55" t="s">
        <v>4557</v>
      </c>
      <c r="G651" s="55" t="s">
        <v>4558</v>
      </c>
      <c r="H651" s="55" t="s">
        <v>21</v>
      </c>
      <c r="I651" s="55" t="s">
        <v>4559</v>
      </c>
    </row>
    <row r="652" customFormat="false" ht="15" hidden="false" customHeight="false" outlineLevel="0" collapsed="false">
      <c r="A652" s="55" t="s">
        <v>5258</v>
      </c>
      <c r="B652" s="55" t="s">
        <v>310</v>
      </c>
      <c r="C652" s="55" t="s">
        <v>309</v>
      </c>
      <c r="D652" s="55" t="s">
        <v>45</v>
      </c>
      <c r="E652" s="55" t="s">
        <v>4556</v>
      </c>
      <c r="F652" s="55" t="s">
        <v>4557</v>
      </c>
      <c r="G652" s="55" t="s">
        <v>4558</v>
      </c>
      <c r="H652" s="55" t="s">
        <v>21</v>
      </c>
      <c r="I652" s="55" t="s">
        <v>4566</v>
      </c>
    </row>
    <row r="653" customFormat="false" ht="15" hidden="false" customHeight="false" outlineLevel="0" collapsed="false">
      <c r="A653" s="55" t="s">
        <v>5259</v>
      </c>
      <c r="B653" s="55" t="s">
        <v>220</v>
      </c>
      <c r="C653" s="55" t="s">
        <v>219</v>
      </c>
      <c r="D653" s="55" t="s">
        <v>46</v>
      </c>
      <c r="E653" s="55" t="s">
        <v>4556</v>
      </c>
      <c r="F653" s="55" t="s">
        <v>4557</v>
      </c>
      <c r="G653" s="55" t="s">
        <v>4558</v>
      </c>
      <c r="H653" s="55" t="s">
        <v>21</v>
      </c>
      <c r="I653" s="55" t="s">
        <v>4566</v>
      </c>
    </row>
    <row r="654" customFormat="false" ht="15" hidden="false" customHeight="false" outlineLevel="0" collapsed="false">
      <c r="A654" s="55" t="s">
        <v>5260</v>
      </c>
      <c r="B654" s="55" t="s">
        <v>2488</v>
      </c>
      <c r="C654" s="55" t="s">
        <v>2487</v>
      </c>
      <c r="D654" s="55" t="s">
        <v>46</v>
      </c>
      <c r="E654" s="55" t="s">
        <v>4556</v>
      </c>
      <c r="F654" s="55" t="s">
        <v>4571</v>
      </c>
      <c r="G654" s="55" t="s">
        <v>4572</v>
      </c>
      <c r="H654" s="55" t="s">
        <v>21</v>
      </c>
      <c r="I654" s="55" t="s">
        <v>4566</v>
      </c>
    </row>
    <row r="655" customFormat="false" ht="15" hidden="false" customHeight="false" outlineLevel="0" collapsed="false">
      <c r="A655" s="55" t="s">
        <v>5261</v>
      </c>
      <c r="B655" s="55" t="s">
        <v>2488</v>
      </c>
      <c r="C655" s="55" t="s">
        <v>2487</v>
      </c>
      <c r="D655" s="55" t="s">
        <v>47</v>
      </c>
      <c r="E655" s="55" t="s">
        <v>4556</v>
      </c>
      <c r="F655" s="55" t="s">
        <v>4471</v>
      </c>
      <c r="G655" s="55" t="s">
        <v>4669</v>
      </c>
      <c r="H655" s="55" t="s">
        <v>21</v>
      </c>
      <c r="I655" s="55" t="s">
        <v>4670</v>
      </c>
    </row>
    <row r="656" customFormat="false" ht="15" hidden="false" customHeight="false" outlineLevel="0" collapsed="false">
      <c r="A656" s="55" t="s">
        <v>5262</v>
      </c>
      <c r="B656" s="55" t="s">
        <v>2301</v>
      </c>
      <c r="C656" s="55" t="s">
        <v>2300</v>
      </c>
      <c r="D656" s="55" t="s">
        <v>45</v>
      </c>
      <c r="E656" s="55" t="s">
        <v>4556</v>
      </c>
      <c r="F656" s="55" t="s">
        <v>4813</v>
      </c>
      <c r="G656" s="55" t="s">
        <v>5263</v>
      </c>
      <c r="H656" s="55" t="s">
        <v>21</v>
      </c>
      <c r="I656" s="55" t="s">
        <v>4566</v>
      </c>
    </row>
    <row r="657" customFormat="false" ht="15" hidden="false" customHeight="false" outlineLevel="0" collapsed="false">
      <c r="A657" s="55" t="s">
        <v>5264</v>
      </c>
      <c r="B657" s="55" t="s">
        <v>932</v>
      </c>
      <c r="C657" s="55" t="s">
        <v>931</v>
      </c>
      <c r="D657" s="55" t="s">
        <v>46</v>
      </c>
      <c r="E657" s="55" t="s">
        <v>4556</v>
      </c>
      <c r="F657" s="55" t="s">
        <v>4571</v>
      </c>
      <c r="G657" s="55" t="s">
        <v>4572</v>
      </c>
      <c r="H657" s="55" t="s">
        <v>21</v>
      </c>
      <c r="I657" s="55" t="s">
        <v>4566</v>
      </c>
    </row>
    <row r="658" customFormat="false" ht="15" hidden="false" customHeight="false" outlineLevel="0" collapsed="false">
      <c r="A658" s="55" t="s">
        <v>5265</v>
      </c>
      <c r="B658" s="55" t="s">
        <v>276</v>
      </c>
      <c r="C658" s="55" t="s">
        <v>275</v>
      </c>
      <c r="D658" s="55" t="s">
        <v>46</v>
      </c>
      <c r="E658" s="55" t="s">
        <v>4556</v>
      </c>
      <c r="F658" s="55" t="s">
        <v>4557</v>
      </c>
      <c r="G658" s="55" t="s">
        <v>4558</v>
      </c>
      <c r="H658" s="55" t="s">
        <v>21</v>
      </c>
      <c r="I658" s="55" t="s">
        <v>4566</v>
      </c>
    </row>
    <row r="659" customFormat="false" ht="15" hidden="false" customHeight="false" outlineLevel="0" collapsed="false">
      <c r="A659" s="55" t="s">
        <v>5266</v>
      </c>
      <c r="B659" s="55" t="s">
        <v>179</v>
      </c>
      <c r="C659" s="55" t="s">
        <v>178</v>
      </c>
      <c r="D659" s="55" t="s">
        <v>46</v>
      </c>
      <c r="E659" s="55" t="s">
        <v>4556</v>
      </c>
      <c r="F659" s="55" t="s">
        <v>4557</v>
      </c>
      <c r="G659" s="55" t="s">
        <v>4558</v>
      </c>
      <c r="H659" s="55" t="s">
        <v>21</v>
      </c>
      <c r="I659" s="55" t="s">
        <v>4566</v>
      </c>
    </row>
    <row r="660" customFormat="false" ht="15" hidden="false" customHeight="false" outlineLevel="0" collapsed="false">
      <c r="A660" s="55" t="s">
        <v>5267</v>
      </c>
      <c r="B660" s="55" t="s">
        <v>1512</v>
      </c>
      <c r="C660" s="55" t="s">
        <v>1511</v>
      </c>
      <c r="D660" s="55" t="s">
        <v>46</v>
      </c>
      <c r="E660" s="55" t="s">
        <v>4556</v>
      </c>
      <c r="F660" s="55" t="s">
        <v>4557</v>
      </c>
      <c r="G660" s="55" t="s">
        <v>4558</v>
      </c>
      <c r="H660" s="55" t="s">
        <v>21</v>
      </c>
      <c r="I660" s="55" t="s">
        <v>4566</v>
      </c>
    </row>
    <row r="661" customFormat="false" ht="15" hidden="false" customHeight="false" outlineLevel="0" collapsed="false">
      <c r="A661" s="55" t="s">
        <v>5268</v>
      </c>
      <c r="B661" s="55" t="s">
        <v>1416</v>
      </c>
      <c r="C661" s="55" t="s">
        <v>1415</v>
      </c>
      <c r="D661" s="55" t="s">
        <v>45</v>
      </c>
      <c r="E661" s="55" t="s">
        <v>4556</v>
      </c>
      <c r="F661" s="55" t="s">
        <v>4561</v>
      </c>
      <c r="G661" s="55" t="s">
        <v>4565</v>
      </c>
      <c r="H661" s="55" t="s">
        <v>21</v>
      </c>
      <c r="I661" s="55" t="s">
        <v>4566</v>
      </c>
    </row>
    <row r="662" customFormat="false" ht="15" hidden="false" customHeight="false" outlineLevel="0" collapsed="false">
      <c r="A662" s="55" t="s">
        <v>5269</v>
      </c>
      <c r="B662" s="55" t="s">
        <v>1416</v>
      </c>
      <c r="C662" s="55" t="s">
        <v>1415</v>
      </c>
      <c r="D662" s="55" t="s">
        <v>46</v>
      </c>
      <c r="E662" s="55" t="s">
        <v>4556</v>
      </c>
      <c r="F662" s="55" t="s">
        <v>4557</v>
      </c>
      <c r="G662" s="55" t="s">
        <v>4558</v>
      </c>
      <c r="H662" s="55" t="s">
        <v>21</v>
      </c>
      <c r="I662" s="55" t="s">
        <v>4566</v>
      </c>
    </row>
    <row r="663" customFormat="false" ht="15" hidden="false" customHeight="false" outlineLevel="0" collapsed="false">
      <c r="A663" s="55" t="s">
        <v>5270</v>
      </c>
      <c r="B663" s="55" t="s">
        <v>3083</v>
      </c>
      <c r="C663" s="55" t="s">
        <v>3873</v>
      </c>
      <c r="D663" s="55" t="s">
        <v>45</v>
      </c>
      <c r="E663" s="55" t="s">
        <v>4556</v>
      </c>
      <c r="F663" s="55" t="s">
        <v>4561</v>
      </c>
      <c r="G663" s="55" t="s">
        <v>4562</v>
      </c>
      <c r="H663" s="55" t="s">
        <v>17</v>
      </c>
      <c r="I663" s="55" t="s">
        <v>4563</v>
      </c>
    </row>
    <row r="664" customFormat="false" ht="15" hidden="false" customHeight="false" outlineLevel="0" collapsed="false">
      <c r="A664" s="55" t="s">
        <v>5271</v>
      </c>
      <c r="B664" s="55" t="s">
        <v>402</v>
      </c>
      <c r="C664" s="55" t="s">
        <v>401</v>
      </c>
      <c r="D664" s="55" t="s">
        <v>45</v>
      </c>
      <c r="E664" s="55" t="s">
        <v>4556</v>
      </c>
      <c r="F664" s="55" t="s">
        <v>4557</v>
      </c>
      <c r="G664" s="55" t="s">
        <v>4558</v>
      </c>
      <c r="H664" s="55" t="s">
        <v>21</v>
      </c>
      <c r="I664" s="55" t="s">
        <v>4566</v>
      </c>
    </row>
    <row r="665" customFormat="false" ht="15" hidden="false" customHeight="false" outlineLevel="0" collapsed="false">
      <c r="A665" s="55" t="s">
        <v>5272</v>
      </c>
      <c r="B665" s="55" t="s">
        <v>2484</v>
      </c>
      <c r="C665" s="55" t="s">
        <v>2483</v>
      </c>
      <c r="D665" s="55" t="s">
        <v>46</v>
      </c>
      <c r="E665" s="55" t="s">
        <v>4556</v>
      </c>
      <c r="F665" s="55" t="s">
        <v>4561</v>
      </c>
      <c r="G665" s="55" t="s">
        <v>4562</v>
      </c>
      <c r="H665" s="55" t="s">
        <v>17</v>
      </c>
      <c r="I665" s="55" t="s">
        <v>4601</v>
      </c>
    </row>
    <row r="666" customFormat="false" ht="15" hidden="false" customHeight="false" outlineLevel="0" collapsed="false">
      <c r="A666" s="55" t="s">
        <v>5273</v>
      </c>
      <c r="B666" s="55" t="s">
        <v>606</v>
      </c>
      <c r="C666" s="55" t="s">
        <v>605</v>
      </c>
      <c r="D666" s="55" t="s">
        <v>46</v>
      </c>
      <c r="E666" s="55" t="s">
        <v>4556</v>
      </c>
      <c r="F666" s="55" t="s">
        <v>4557</v>
      </c>
      <c r="G666" s="55" t="s">
        <v>4558</v>
      </c>
      <c r="H666" s="55" t="s">
        <v>21</v>
      </c>
      <c r="I666" s="55" t="s">
        <v>4566</v>
      </c>
    </row>
    <row r="667" customFormat="false" ht="15" hidden="false" customHeight="false" outlineLevel="0" collapsed="false">
      <c r="A667" s="55" t="s">
        <v>5274</v>
      </c>
      <c r="B667" s="55" t="s">
        <v>1338</v>
      </c>
      <c r="C667" s="55" t="s">
        <v>1337</v>
      </c>
      <c r="D667" s="55" t="s">
        <v>45</v>
      </c>
      <c r="E667" s="55" t="s">
        <v>4556</v>
      </c>
      <c r="F667" s="55" t="s">
        <v>4557</v>
      </c>
      <c r="G667" s="55" t="s">
        <v>4558</v>
      </c>
      <c r="H667" s="55" t="s">
        <v>21</v>
      </c>
      <c r="I667" s="55" t="s">
        <v>4559</v>
      </c>
    </row>
    <row r="668" customFormat="false" ht="15" hidden="false" customHeight="false" outlineLevel="0" collapsed="false">
      <c r="A668" s="55" t="s">
        <v>5275</v>
      </c>
      <c r="B668" s="55" t="s">
        <v>1388</v>
      </c>
      <c r="C668" s="55" t="s">
        <v>1387</v>
      </c>
      <c r="D668" s="55" t="s">
        <v>45</v>
      </c>
      <c r="E668" s="55" t="s">
        <v>4556</v>
      </c>
      <c r="F668" s="55" t="s">
        <v>4703</v>
      </c>
      <c r="G668" s="55" t="s">
        <v>4704</v>
      </c>
      <c r="H668" s="55" t="s">
        <v>21</v>
      </c>
      <c r="I668" s="55" t="s">
        <v>4566</v>
      </c>
    </row>
    <row r="669" customFormat="false" ht="15" hidden="false" customHeight="false" outlineLevel="0" collapsed="false">
      <c r="A669" s="55" t="s">
        <v>5276</v>
      </c>
      <c r="B669" s="55" t="s">
        <v>1388</v>
      </c>
      <c r="C669" s="55" t="s">
        <v>1387</v>
      </c>
      <c r="D669" s="55" t="s">
        <v>46</v>
      </c>
      <c r="E669" s="55" t="s">
        <v>4556</v>
      </c>
      <c r="F669" s="55" t="s">
        <v>4557</v>
      </c>
      <c r="G669" s="55" t="s">
        <v>4558</v>
      </c>
      <c r="H669" s="55" t="s">
        <v>21</v>
      </c>
      <c r="I669" s="55" t="s">
        <v>4566</v>
      </c>
    </row>
    <row r="670" customFormat="false" ht="15" hidden="false" customHeight="false" outlineLevel="0" collapsed="false">
      <c r="A670" s="55" t="s">
        <v>5277</v>
      </c>
      <c r="B670" s="55" t="s">
        <v>780</v>
      </c>
      <c r="C670" s="55" t="s">
        <v>779</v>
      </c>
      <c r="D670" s="55" t="s">
        <v>46</v>
      </c>
      <c r="E670" s="55" t="s">
        <v>4556</v>
      </c>
      <c r="F670" s="55" t="s">
        <v>4557</v>
      </c>
      <c r="G670" s="55" t="s">
        <v>4558</v>
      </c>
      <c r="H670" s="55" t="s">
        <v>21</v>
      </c>
      <c r="I670" s="55" t="s">
        <v>4566</v>
      </c>
    </row>
    <row r="671" customFormat="false" ht="15" hidden="false" customHeight="false" outlineLevel="0" collapsed="false">
      <c r="A671" s="55" t="s">
        <v>5278</v>
      </c>
      <c r="B671" s="55" t="s">
        <v>780</v>
      </c>
      <c r="C671" s="55" t="s">
        <v>779</v>
      </c>
      <c r="D671" s="55" t="s">
        <v>47</v>
      </c>
      <c r="E671" s="55" t="s">
        <v>4556</v>
      </c>
      <c r="F671" s="55" t="s">
        <v>5070</v>
      </c>
      <c r="G671" s="55" t="s">
        <v>5071</v>
      </c>
      <c r="H671" s="55" t="s">
        <v>17</v>
      </c>
      <c r="I671" s="55" t="s">
        <v>5279</v>
      </c>
    </row>
    <row r="672" customFormat="false" ht="15" hidden="false" customHeight="false" outlineLevel="0" collapsed="false">
      <c r="A672" s="55" t="s">
        <v>5280</v>
      </c>
      <c r="B672" s="55" t="s">
        <v>1728</v>
      </c>
      <c r="C672" s="55" t="s">
        <v>1727</v>
      </c>
      <c r="D672" s="55" t="s">
        <v>45</v>
      </c>
      <c r="E672" s="55" t="s">
        <v>4556</v>
      </c>
      <c r="F672" s="55" t="s">
        <v>4568</v>
      </c>
      <c r="G672" s="55" t="s">
        <v>5281</v>
      </c>
      <c r="H672" s="55" t="s">
        <v>84</v>
      </c>
      <c r="I672" s="55" t="s">
        <v>4597</v>
      </c>
    </row>
    <row r="673" customFormat="false" ht="15" hidden="false" customHeight="false" outlineLevel="0" collapsed="false">
      <c r="A673" s="55" t="s">
        <v>5282</v>
      </c>
      <c r="B673" s="55" t="s">
        <v>1728</v>
      </c>
      <c r="C673" s="55" t="s">
        <v>1727</v>
      </c>
      <c r="D673" s="55" t="s">
        <v>46</v>
      </c>
      <c r="E673" s="55" t="s">
        <v>4556</v>
      </c>
      <c r="F673" s="55" t="s">
        <v>4557</v>
      </c>
      <c r="G673" s="55" t="s">
        <v>4558</v>
      </c>
      <c r="H673" s="55" t="s">
        <v>21</v>
      </c>
      <c r="I673" s="55" t="s">
        <v>4566</v>
      </c>
    </row>
    <row r="674" customFormat="false" ht="15" hidden="false" customHeight="false" outlineLevel="0" collapsed="false">
      <c r="A674" s="55" t="s">
        <v>5283</v>
      </c>
      <c r="B674" s="55" t="s">
        <v>1728</v>
      </c>
      <c r="C674" s="55" t="s">
        <v>1727</v>
      </c>
      <c r="D674" s="55" t="s">
        <v>47</v>
      </c>
      <c r="E674" s="55" t="s">
        <v>4556</v>
      </c>
      <c r="F674" s="55" t="s">
        <v>5041</v>
      </c>
      <c r="G674" s="55" t="s">
        <v>5284</v>
      </c>
      <c r="H674" s="55" t="s">
        <v>17</v>
      </c>
      <c r="I674" s="55" t="s">
        <v>4563</v>
      </c>
    </row>
    <row r="675" customFormat="false" ht="15" hidden="false" customHeight="false" outlineLevel="0" collapsed="false">
      <c r="A675" s="55" t="s">
        <v>5285</v>
      </c>
      <c r="B675" s="55" t="s">
        <v>446</v>
      </c>
      <c r="C675" s="55" t="s">
        <v>445</v>
      </c>
      <c r="D675" s="55" t="s">
        <v>45</v>
      </c>
      <c r="E675" s="55" t="s">
        <v>4556</v>
      </c>
      <c r="F675" s="55" t="s">
        <v>4557</v>
      </c>
      <c r="G675" s="55" t="s">
        <v>4558</v>
      </c>
      <c r="H675" s="55" t="s">
        <v>21</v>
      </c>
      <c r="I675" s="55" t="s">
        <v>4566</v>
      </c>
    </row>
    <row r="676" customFormat="false" ht="15" hidden="false" customHeight="false" outlineLevel="0" collapsed="false">
      <c r="A676" s="55" t="s">
        <v>5286</v>
      </c>
      <c r="B676" s="55" t="s">
        <v>446</v>
      </c>
      <c r="C676" s="55" t="s">
        <v>445</v>
      </c>
      <c r="D676" s="55" t="s">
        <v>46</v>
      </c>
      <c r="E676" s="55" t="s">
        <v>4556</v>
      </c>
      <c r="F676" s="55" t="s">
        <v>4557</v>
      </c>
      <c r="G676" s="55" t="s">
        <v>4558</v>
      </c>
      <c r="H676" s="55" t="s">
        <v>21</v>
      </c>
      <c r="I676" s="55" t="s">
        <v>4566</v>
      </c>
    </row>
    <row r="677" customFormat="false" ht="15" hidden="false" customHeight="false" outlineLevel="0" collapsed="false">
      <c r="A677" s="55" t="s">
        <v>5287</v>
      </c>
      <c r="B677" s="55" t="s">
        <v>2452</v>
      </c>
      <c r="C677" s="55" t="s">
        <v>2451</v>
      </c>
      <c r="D677" s="55" t="s">
        <v>45</v>
      </c>
      <c r="E677" s="55" t="s">
        <v>4556</v>
      </c>
      <c r="F677" s="55" t="s">
        <v>4197</v>
      </c>
      <c r="G677" s="55" t="s">
        <v>4579</v>
      </c>
      <c r="H677" s="55" t="s">
        <v>17</v>
      </c>
      <c r="I677" s="55" t="s">
        <v>4563</v>
      </c>
    </row>
    <row r="678" customFormat="false" ht="15" hidden="false" customHeight="false" outlineLevel="0" collapsed="false">
      <c r="A678" s="55" t="s">
        <v>5288</v>
      </c>
      <c r="B678" s="55" t="s">
        <v>2452</v>
      </c>
      <c r="C678" s="55" t="s">
        <v>2451</v>
      </c>
      <c r="D678" s="55" t="s">
        <v>46</v>
      </c>
      <c r="E678" s="55" t="s">
        <v>4556</v>
      </c>
      <c r="F678" s="55" t="s">
        <v>4561</v>
      </c>
      <c r="G678" s="55" t="s">
        <v>4562</v>
      </c>
      <c r="H678" s="55" t="s">
        <v>17</v>
      </c>
      <c r="I678" s="55" t="s">
        <v>4563</v>
      </c>
    </row>
    <row r="679" customFormat="false" ht="15" hidden="false" customHeight="false" outlineLevel="0" collapsed="false">
      <c r="A679" s="55" t="s">
        <v>5289</v>
      </c>
      <c r="B679" s="55" t="s">
        <v>3092</v>
      </c>
      <c r="C679" s="55" t="s">
        <v>3886</v>
      </c>
      <c r="D679" s="55" t="s">
        <v>45</v>
      </c>
      <c r="E679" s="55" t="s">
        <v>4556</v>
      </c>
      <c r="F679" s="55" t="s">
        <v>4561</v>
      </c>
      <c r="G679" s="55" t="s">
        <v>4565</v>
      </c>
      <c r="H679" s="55" t="s">
        <v>21</v>
      </c>
      <c r="I679" s="55" t="s">
        <v>4566</v>
      </c>
    </row>
    <row r="680" customFormat="false" ht="15" hidden="false" customHeight="false" outlineLevel="0" collapsed="false">
      <c r="A680" s="55" t="s">
        <v>5290</v>
      </c>
      <c r="B680" s="55" t="s">
        <v>748</v>
      </c>
      <c r="C680" s="55" t="s">
        <v>747</v>
      </c>
      <c r="D680" s="55" t="s">
        <v>46</v>
      </c>
      <c r="E680" s="55" t="s">
        <v>4556</v>
      </c>
      <c r="F680" s="55" t="s">
        <v>4561</v>
      </c>
      <c r="G680" s="55" t="s">
        <v>4565</v>
      </c>
      <c r="H680" s="55" t="s">
        <v>21</v>
      </c>
      <c r="I680" s="55" t="s">
        <v>4566</v>
      </c>
    </row>
    <row r="681" customFormat="false" ht="15" hidden="false" customHeight="false" outlineLevel="0" collapsed="false">
      <c r="A681" s="55" t="s">
        <v>5291</v>
      </c>
      <c r="B681" s="55" t="s">
        <v>506</v>
      </c>
      <c r="C681" s="55" t="s">
        <v>505</v>
      </c>
      <c r="D681" s="55" t="s">
        <v>45</v>
      </c>
      <c r="E681" s="55" t="s">
        <v>4556</v>
      </c>
      <c r="F681" s="55" t="s">
        <v>4557</v>
      </c>
      <c r="G681" s="55" t="s">
        <v>4558</v>
      </c>
      <c r="H681" s="55" t="s">
        <v>21</v>
      </c>
      <c r="I681" s="55" t="s">
        <v>4566</v>
      </c>
    </row>
    <row r="682" customFormat="false" ht="15" hidden="false" customHeight="false" outlineLevel="0" collapsed="false">
      <c r="A682" s="55" t="s">
        <v>5292</v>
      </c>
      <c r="B682" s="55" t="s">
        <v>3095</v>
      </c>
      <c r="C682" s="55" t="s">
        <v>3889</v>
      </c>
      <c r="D682" s="55" t="s">
        <v>47</v>
      </c>
      <c r="E682" s="55" t="s">
        <v>4556</v>
      </c>
      <c r="F682" s="55" t="s">
        <v>4864</v>
      </c>
      <c r="G682" s="55" t="s">
        <v>4984</v>
      </c>
      <c r="H682" s="55" t="s">
        <v>17</v>
      </c>
      <c r="I682" s="55" t="s">
        <v>4601</v>
      </c>
    </row>
    <row r="683" customFormat="false" ht="15" hidden="false" customHeight="false" outlineLevel="0" collapsed="false">
      <c r="A683" s="55" t="s">
        <v>5293</v>
      </c>
      <c r="B683" s="55" t="s">
        <v>2411</v>
      </c>
      <c r="C683" s="55" t="s">
        <v>2410</v>
      </c>
      <c r="D683" s="55" t="s">
        <v>47</v>
      </c>
      <c r="E683" s="55" t="s">
        <v>4556</v>
      </c>
      <c r="F683" s="55" t="s">
        <v>4599</v>
      </c>
      <c r="G683" s="55" t="s">
        <v>4631</v>
      </c>
      <c r="H683" s="55" t="s">
        <v>21</v>
      </c>
      <c r="I683" s="55" t="s">
        <v>4632</v>
      </c>
    </row>
    <row r="684" customFormat="false" ht="15" hidden="false" customHeight="false" outlineLevel="0" collapsed="false">
      <c r="A684" s="55" t="s">
        <v>5294</v>
      </c>
      <c r="B684" s="55" t="s">
        <v>787</v>
      </c>
      <c r="C684" s="55" t="s">
        <v>786</v>
      </c>
      <c r="D684" s="55" t="s">
        <v>45</v>
      </c>
      <c r="E684" s="55" t="s">
        <v>4556</v>
      </c>
      <c r="F684" s="55" t="s">
        <v>4557</v>
      </c>
      <c r="G684" s="55" t="s">
        <v>4558</v>
      </c>
      <c r="H684" s="55" t="s">
        <v>21</v>
      </c>
      <c r="I684" s="55" t="s">
        <v>4566</v>
      </c>
    </row>
    <row r="685" customFormat="false" ht="15" hidden="false" customHeight="false" outlineLevel="0" collapsed="false">
      <c r="A685" s="55" t="s">
        <v>5295</v>
      </c>
      <c r="B685" s="55" t="s">
        <v>1631</v>
      </c>
      <c r="C685" s="55" t="s">
        <v>1630</v>
      </c>
      <c r="D685" s="55" t="s">
        <v>45</v>
      </c>
      <c r="E685" s="55" t="s">
        <v>4556</v>
      </c>
      <c r="F685" s="55" t="s">
        <v>4561</v>
      </c>
      <c r="G685" s="55" t="s">
        <v>4565</v>
      </c>
      <c r="H685" s="55" t="s">
        <v>21</v>
      </c>
      <c r="I685" s="55" t="s">
        <v>4566</v>
      </c>
    </row>
    <row r="686" customFormat="false" ht="15" hidden="false" customHeight="false" outlineLevel="0" collapsed="false">
      <c r="A686" s="55" t="s">
        <v>5296</v>
      </c>
      <c r="B686" s="55" t="s">
        <v>1631</v>
      </c>
      <c r="C686" s="55" t="s">
        <v>1630</v>
      </c>
      <c r="D686" s="55" t="s">
        <v>46</v>
      </c>
      <c r="E686" s="55" t="s">
        <v>4556</v>
      </c>
      <c r="F686" s="55" t="s">
        <v>4197</v>
      </c>
      <c r="G686" s="55" t="s">
        <v>4589</v>
      </c>
      <c r="H686" s="55" t="s">
        <v>21</v>
      </c>
      <c r="I686" s="55" t="s">
        <v>4613</v>
      </c>
    </row>
    <row r="687" customFormat="false" ht="15" hidden="false" customHeight="false" outlineLevel="0" collapsed="false">
      <c r="A687" s="55" t="s">
        <v>5297</v>
      </c>
      <c r="B687" s="55" t="s">
        <v>370</v>
      </c>
      <c r="C687" s="55" t="s">
        <v>369</v>
      </c>
      <c r="D687" s="55" t="s">
        <v>46</v>
      </c>
      <c r="E687" s="55" t="s">
        <v>4556</v>
      </c>
      <c r="F687" s="55" t="s">
        <v>4557</v>
      </c>
      <c r="G687" s="55" t="s">
        <v>4558</v>
      </c>
      <c r="H687" s="55" t="s">
        <v>21</v>
      </c>
      <c r="I687" s="55" t="s">
        <v>4566</v>
      </c>
    </row>
    <row r="688" customFormat="false" ht="15" hidden="false" customHeight="false" outlineLevel="0" collapsed="false">
      <c r="A688" s="55" t="s">
        <v>5298</v>
      </c>
      <c r="B688" s="55" t="s">
        <v>2586</v>
      </c>
      <c r="C688" s="55" t="s">
        <v>2585</v>
      </c>
      <c r="D688" s="55" t="s">
        <v>45</v>
      </c>
      <c r="E688" s="55" t="s">
        <v>4556</v>
      </c>
      <c r="F688" s="55" t="s">
        <v>4581</v>
      </c>
      <c r="G688" s="55" t="s">
        <v>4582</v>
      </c>
      <c r="H688" s="55" t="s">
        <v>17</v>
      </c>
      <c r="I688" s="55" t="s">
        <v>4563</v>
      </c>
    </row>
    <row r="689" customFormat="false" ht="15" hidden="false" customHeight="false" outlineLevel="0" collapsed="false">
      <c r="A689" s="55" t="s">
        <v>5299</v>
      </c>
      <c r="B689" s="55" t="s">
        <v>1102</v>
      </c>
      <c r="C689" s="55" t="s">
        <v>1101</v>
      </c>
      <c r="D689" s="55" t="s">
        <v>46</v>
      </c>
      <c r="E689" s="55" t="s">
        <v>4556</v>
      </c>
      <c r="F689" s="55" t="s">
        <v>4571</v>
      </c>
      <c r="G689" s="55" t="s">
        <v>4572</v>
      </c>
      <c r="H689" s="55" t="s">
        <v>21</v>
      </c>
      <c r="I689" s="55" t="s">
        <v>4566</v>
      </c>
    </row>
    <row r="690" customFormat="false" ht="15" hidden="false" customHeight="false" outlineLevel="0" collapsed="false">
      <c r="A690" s="55" t="s">
        <v>5300</v>
      </c>
      <c r="B690" s="55" t="s">
        <v>1102</v>
      </c>
      <c r="C690" s="55" t="s">
        <v>1101</v>
      </c>
      <c r="D690" s="55" t="s">
        <v>47</v>
      </c>
      <c r="E690" s="55" t="s">
        <v>4556</v>
      </c>
      <c r="F690" s="55" t="s">
        <v>4568</v>
      </c>
      <c r="G690" s="55" t="s">
        <v>4592</v>
      </c>
      <c r="H690" s="55" t="s">
        <v>21</v>
      </c>
      <c r="I690" s="55" t="s">
        <v>4566</v>
      </c>
    </row>
    <row r="691" customFormat="false" ht="15" hidden="false" customHeight="false" outlineLevel="0" collapsed="false">
      <c r="A691" s="55" t="s">
        <v>5301</v>
      </c>
      <c r="B691" s="55" t="s">
        <v>422</v>
      </c>
      <c r="C691" s="55" t="s">
        <v>421</v>
      </c>
      <c r="D691" s="55" t="s">
        <v>45</v>
      </c>
      <c r="E691" s="55" t="s">
        <v>4556</v>
      </c>
      <c r="F691" s="55" t="s">
        <v>4557</v>
      </c>
      <c r="G691" s="55" t="s">
        <v>4558</v>
      </c>
      <c r="H691" s="55" t="s">
        <v>21</v>
      </c>
      <c r="I691" s="55" t="s">
        <v>4566</v>
      </c>
    </row>
    <row r="692" customFormat="false" ht="15" hidden="false" customHeight="false" outlineLevel="0" collapsed="false">
      <c r="A692" s="55" t="s">
        <v>5302</v>
      </c>
      <c r="B692" s="55" t="s">
        <v>422</v>
      </c>
      <c r="C692" s="55" t="s">
        <v>421</v>
      </c>
      <c r="D692" s="55" t="s">
        <v>46</v>
      </c>
      <c r="E692" s="55" t="s">
        <v>4556</v>
      </c>
      <c r="F692" s="55" t="s">
        <v>4557</v>
      </c>
      <c r="G692" s="55" t="s">
        <v>4558</v>
      </c>
      <c r="H692" s="55" t="s">
        <v>21</v>
      </c>
      <c r="I692" s="55" t="s">
        <v>4566</v>
      </c>
    </row>
    <row r="693" customFormat="false" ht="15" hidden="false" customHeight="false" outlineLevel="0" collapsed="false">
      <c r="A693" s="55" t="s">
        <v>5303</v>
      </c>
      <c r="B693" s="55" t="s">
        <v>1014</v>
      </c>
      <c r="C693" s="55" t="s">
        <v>1013</v>
      </c>
      <c r="D693" s="55" t="s">
        <v>45</v>
      </c>
      <c r="E693" s="55" t="s">
        <v>4556</v>
      </c>
      <c r="F693" s="55" t="s">
        <v>4557</v>
      </c>
      <c r="G693" s="55" t="s">
        <v>4558</v>
      </c>
      <c r="H693" s="55" t="s">
        <v>21</v>
      </c>
      <c r="I693" s="55" t="s">
        <v>4566</v>
      </c>
    </row>
    <row r="694" customFormat="false" ht="15" hidden="false" customHeight="false" outlineLevel="0" collapsed="false">
      <c r="A694" s="55" t="s">
        <v>5304</v>
      </c>
      <c r="B694" s="55" t="s">
        <v>1014</v>
      </c>
      <c r="C694" s="55" t="s">
        <v>1013</v>
      </c>
      <c r="D694" s="55" t="s">
        <v>46</v>
      </c>
      <c r="E694" s="55" t="s">
        <v>4556</v>
      </c>
      <c r="F694" s="55" t="s">
        <v>4636</v>
      </c>
      <c r="G694" s="55" t="s">
        <v>4637</v>
      </c>
      <c r="H694" s="55" t="s">
        <v>21</v>
      </c>
      <c r="I694" s="55" t="s">
        <v>4566</v>
      </c>
    </row>
    <row r="695" customFormat="false" ht="15" hidden="false" customHeight="false" outlineLevel="0" collapsed="false">
      <c r="A695" s="55" t="s">
        <v>5305</v>
      </c>
      <c r="B695" s="55" t="s">
        <v>1284</v>
      </c>
      <c r="C695" s="55" t="s">
        <v>1283</v>
      </c>
      <c r="D695" s="55" t="s">
        <v>45</v>
      </c>
      <c r="E695" s="55" t="s">
        <v>4556</v>
      </c>
      <c r="F695" s="55" t="s">
        <v>4557</v>
      </c>
      <c r="G695" s="55" t="s">
        <v>4558</v>
      </c>
      <c r="H695" s="55" t="s">
        <v>21</v>
      </c>
      <c r="I695" s="55" t="s">
        <v>4566</v>
      </c>
    </row>
    <row r="696" customFormat="false" ht="15" hidden="false" customHeight="false" outlineLevel="0" collapsed="false">
      <c r="A696" s="55" t="s">
        <v>5306</v>
      </c>
      <c r="B696" s="55" t="s">
        <v>1284</v>
      </c>
      <c r="C696" s="55" t="s">
        <v>1283</v>
      </c>
      <c r="D696" s="55" t="s">
        <v>46</v>
      </c>
      <c r="E696" s="55" t="s">
        <v>4556</v>
      </c>
      <c r="F696" s="55" t="s">
        <v>4703</v>
      </c>
      <c r="G696" s="55" t="s">
        <v>4704</v>
      </c>
      <c r="H696" s="55" t="s">
        <v>21</v>
      </c>
      <c r="I696" s="55" t="s">
        <v>4566</v>
      </c>
    </row>
    <row r="697" customFormat="false" ht="15" hidden="false" customHeight="false" outlineLevel="0" collapsed="false">
      <c r="A697" s="55" t="s">
        <v>5307</v>
      </c>
      <c r="B697" s="55" t="s">
        <v>1899</v>
      </c>
      <c r="C697" s="55" t="s">
        <v>1898</v>
      </c>
      <c r="D697" s="55" t="s">
        <v>45</v>
      </c>
      <c r="E697" s="55" t="s">
        <v>4556</v>
      </c>
      <c r="F697" s="55" t="s">
        <v>4561</v>
      </c>
      <c r="G697" s="55" t="s">
        <v>4565</v>
      </c>
      <c r="H697" s="55" t="s">
        <v>21</v>
      </c>
      <c r="I697" s="55" t="s">
        <v>4566</v>
      </c>
    </row>
    <row r="698" customFormat="false" ht="15" hidden="false" customHeight="false" outlineLevel="0" collapsed="false">
      <c r="A698" s="55" t="s">
        <v>5308</v>
      </c>
      <c r="B698" s="55" t="s">
        <v>1899</v>
      </c>
      <c r="C698" s="55" t="s">
        <v>1898</v>
      </c>
      <c r="D698" s="55" t="s">
        <v>46</v>
      </c>
      <c r="E698" s="55" t="s">
        <v>4556</v>
      </c>
      <c r="F698" s="55" t="s">
        <v>4557</v>
      </c>
      <c r="G698" s="55" t="s">
        <v>4558</v>
      </c>
      <c r="H698" s="55" t="s">
        <v>21</v>
      </c>
      <c r="I698" s="55" t="s">
        <v>4566</v>
      </c>
    </row>
    <row r="699" customFormat="false" ht="15" hidden="false" customHeight="false" outlineLevel="0" collapsed="false">
      <c r="A699" s="55" t="s">
        <v>5309</v>
      </c>
      <c r="B699" s="55" t="s">
        <v>3105</v>
      </c>
      <c r="C699" s="55" t="s">
        <v>3904</v>
      </c>
      <c r="D699" s="55" t="s">
        <v>46</v>
      </c>
      <c r="E699" s="55" t="s">
        <v>4556</v>
      </c>
      <c r="F699" s="55" t="s">
        <v>4561</v>
      </c>
      <c r="G699" s="55" t="s">
        <v>4565</v>
      </c>
      <c r="H699" s="55" t="s">
        <v>21</v>
      </c>
      <c r="I699" s="55" t="s">
        <v>4566</v>
      </c>
    </row>
    <row r="700" customFormat="false" ht="15" hidden="false" customHeight="false" outlineLevel="0" collapsed="false">
      <c r="A700" s="55" t="s">
        <v>5310</v>
      </c>
      <c r="B700" s="55" t="s">
        <v>1959</v>
      </c>
      <c r="C700" s="55" t="s">
        <v>1958</v>
      </c>
      <c r="D700" s="55" t="s">
        <v>46</v>
      </c>
      <c r="E700" s="55" t="s">
        <v>4556</v>
      </c>
      <c r="F700" s="55" t="s">
        <v>4557</v>
      </c>
      <c r="G700" s="55" t="s">
        <v>4558</v>
      </c>
      <c r="H700" s="55" t="s">
        <v>21</v>
      </c>
      <c r="I700" s="55" t="s">
        <v>4566</v>
      </c>
    </row>
    <row r="701" customFormat="false" ht="15" hidden="false" customHeight="false" outlineLevel="0" collapsed="false">
      <c r="A701" s="55" t="s">
        <v>5311</v>
      </c>
      <c r="B701" s="55" t="s">
        <v>3108</v>
      </c>
      <c r="C701" s="55" t="s">
        <v>3907</v>
      </c>
      <c r="D701" s="55" t="s">
        <v>46</v>
      </c>
      <c r="E701" s="55" t="s">
        <v>4556</v>
      </c>
      <c r="F701" s="55" t="s">
        <v>4571</v>
      </c>
      <c r="G701" s="55" t="s">
        <v>4572</v>
      </c>
      <c r="H701" s="55" t="s">
        <v>21</v>
      </c>
      <c r="I701" s="55" t="s">
        <v>4566</v>
      </c>
    </row>
    <row r="702" customFormat="false" ht="15" hidden="false" customHeight="false" outlineLevel="0" collapsed="false">
      <c r="A702" s="55" t="s">
        <v>5312</v>
      </c>
      <c r="B702" s="55" t="s">
        <v>195</v>
      </c>
      <c r="C702" s="55" t="s">
        <v>194</v>
      </c>
      <c r="D702" s="55" t="s">
        <v>45</v>
      </c>
      <c r="E702" s="55" t="s">
        <v>4556</v>
      </c>
      <c r="F702" s="55" t="s">
        <v>4557</v>
      </c>
      <c r="G702" s="55" t="s">
        <v>4558</v>
      </c>
      <c r="H702" s="55" t="s">
        <v>21</v>
      </c>
      <c r="I702" s="55" t="s">
        <v>4566</v>
      </c>
    </row>
    <row r="703" customFormat="false" ht="15" hidden="false" customHeight="false" outlineLevel="0" collapsed="false">
      <c r="A703" s="55" t="s">
        <v>5313</v>
      </c>
      <c r="B703" s="55" t="s">
        <v>195</v>
      </c>
      <c r="C703" s="55" t="s">
        <v>194</v>
      </c>
      <c r="D703" s="55" t="s">
        <v>46</v>
      </c>
      <c r="E703" s="55" t="s">
        <v>4556</v>
      </c>
      <c r="F703" s="55" t="s">
        <v>4557</v>
      </c>
      <c r="G703" s="55" t="s">
        <v>4558</v>
      </c>
      <c r="H703" s="55" t="s">
        <v>21</v>
      </c>
      <c r="I703" s="55" t="s">
        <v>4566</v>
      </c>
    </row>
    <row r="704" customFormat="false" ht="15" hidden="false" customHeight="false" outlineLevel="0" collapsed="false">
      <c r="A704" s="55" t="s">
        <v>5314</v>
      </c>
      <c r="B704" s="55" t="s">
        <v>197</v>
      </c>
      <c r="C704" s="55" t="s">
        <v>196</v>
      </c>
      <c r="D704" s="55" t="s">
        <v>45</v>
      </c>
      <c r="E704" s="55" t="s">
        <v>4556</v>
      </c>
      <c r="F704" s="55" t="s">
        <v>4557</v>
      </c>
      <c r="G704" s="55" t="s">
        <v>4558</v>
      </c>
      <c r="H704" s="55" t="s">
        <v>21</v>
      </c>
      <c r="I704" s="55" t="s">
        <v>4566</v>
      </c>
    </row>
    <row r="705" customFormat="false" ht="15" hidden="false" customHeight="false" outlineLevel="0" collapsed="false">
      <c r="A705" s="55" t="s">
        <v>5315</v>
      </c>
      <c r="B705" s="55" t="s">
        <v>2233</v>
      </c>
      <c r="C705" s="55" t="s">
        <v>2232</v>
      </c>
      <c r="D705" s="55" t="s">
        <v>46</v>
      </c>
      <c r="E705" s="55" t="s">
        <v>4556</v>
      </c>
      <c r="F705" s="55" t="s">
        <v>4561</v>
      </c>
      <c r="G705" s="55" t="s">
        <v>4562</v>
      </c>
      <c r="H705" s="55" t="s">
        <v>17</v>
      </c>
      <c r="I705" s="55" t="s">
        <v>4563</v>
      </c>
    </row>
    <row r="706" customFormat="false" ht="15" hidden="false" customHeight="false" outlineLevel="0" collapsed="false">
      <c r="A706" s="55" t="s">
        <v>5316</v>
      </c>
      <c r="B706" s="55" t="s">
        <v>1095</v>
      </c>
      <c r="C706" s="55" t="s">
        <v>1094</v>
      </c>
      <c r="D706" s="55" t="s">
        <v>46</v>
      </c>
      <c r="E706" s="55" t="s">
        <v>4556</v>
      </c>
      <c r="F706" s="55" t="s">
        <v>4561</v>
      </c>
      <c r="G706" s="55" t="s">
        <v>4565</v>
      </c>
      <c r="H706" s="55" t="s">
        <v>21</v>
      </c>
      <c r="I706" s="55" t="s">
        <v>4566</v>
      </c>
    </row>
    <row r="707" customFormat="false" ht="15" hidden="false" customHeight="false" outlineLevel="0" collapsed="false">
      <c r="A707" s="55" t="s">
        <v>5317</v>
      </c>
      <c r="B707" s="55" t="s">
        <v>1095</v>
      </c>
      <c r="C707" s="55" t="s">
        <v>1094</v>
      </c>
      <c r="D707" s="55" t="s">
        <v>47</v>
      </c>
      <c r="E707" s="55" t="s">
        <v>4556</v>
      </c>
      <c r="F707" s="55" t="s">
        <v>4571</v>
      </c>
      <c r="G707" s="55" t="s">
        <v>5318</v>
      </c>
      <c r="H707" s="55" t="s">
        <v>17</v>
      </c>
      <c r="I707" s="55" t="s">
        <v>4601</v>
      </c>
    </row>
    <row r="708" customFormat="false" ht="15" hidden="false" customHeight="false" outlineLevel="0" collapsed="false">
      <c r="A708" s="55" t="s">
        <v>5319</v>
      </c>
      <c r="B708" s="55" t="s">
        <v>3114</v>
      </c>
      <c r="C708" s="55" t="s">
        <v>3917</v>
      </c>
      <c r="D708" s="55" t="s">
        <v>47</v>
      </c>
      <c r="E708" s="55" t="s">
        <v>4556</v>
      </c>
      <c r="F708" s="55" t="s">
        <v>4864</v>
      </c>
      <c r="G708" s="55" t="s">
        <v>4865</v>
      </c>
      <c r="H708" s="55" t="s">
        <v>21</v>
      </c>
      <c r="I708" s="55" t="s">
        <v>4566</v>
      </c>
    </row>
    <row r="709" customFormat="false" ht="15" hidden="false" customHeight="false" outlineLevel="0" collapsed="false">
      <c r="A709" s="55" t="s">
        <v>5320</v>
      </c>
      <c r="B709" s="55" t="s">
        <v>201</v>
      </c>
      <c r="C709" s="55" t="s">
        <v>200</v>
      </c>
      <c r="D709" s="55" t="s">
        <v>46</v>
      </c>
      <c r="E709" s="55" t="s">
        <v>4556</v>
      </c>
      <c r="F709" s="55" t="s">
        <v>4557</v>
      </c>
      <c r="G709" s="55" t="s">
        <v>4558</v>
      </c>
      <c r="H709" s="55" t="s">
        <v>21</v>
      </c>
      <c r="I709" s="55" t="s">
        <v>4566</v>
      </c>
    </row>
    <row r="710" customFormat="false" ht="15" hidden="false" customHeight="false" outlineLevel="0" collapsed="false">
      <c r="A710" s="55" t="s">
        <v>5321</v>
      </c>
      <c r="B710" s="55" t="s">
        <v>330</v>
      </c>
      <c r="C710" s="55" t="s">
        <v>329</v>
      </c>
      <c r="D710" s="55" t="s">
        <v>45</v>
      </c>
      <c r="E710" s="55" t="s">
        <v>4556</v>
      </c>
      <c r="F710" s="55" t="s">
        <v>4557</v>
      </c>
      <c r="G710" s="55" t="s">
        <v>4558</v>
      </c>
      <c r="H710" s="55" t="s">
        <v>21</v>
      </c>
      <c r="I710" s="55" t="s">
        <v>4559</v>
      </c>
    </row>
    <row r="711" customFormat="false" ht="15" hidden="false" customHeight="false" outlineLevel="0" collapsed="false">
      <c r="A711" s="55" t="s">
        <v>5322</v>
      </c>
      <c r="B711" s="55" t="s">
        <v>330</v>
      </c>
      <c r="C711" s="55" t="s">
        <v>329</v>
      </c>
      <c r="D711" s="55" t="s">
        <v>46</v>
      </c>
      <c r="E711" s="55" t="s">
        <v>4556</v>
      </c>
      <c r="F711" s="55" t="s">
        <v>4557</v>
      </c>
      <c r="G711" s="55" t="s">
        <v>4558</v>
      </c>
      <c r="H711" s="55" t="s">
        <v>21</v>
      </c>
      <c r="I711" s="55" t="s">
        <v>4566</v>
      </c>
    </row>
    <row r="712" customFormat="false" ht="15" hidden="false" customHeight="false" outlineLevel="0" collapsed="false">
      <c r="A712" s="55" t="s">
        <v>5323</v>
      </c>
      <c r="B712" s="55" t="s">
        <v>1864</v>
      </c>
      <c r="C712" s="55" t="s">
        <v>1863</v>
      </c>
      <c r="D712" s="55" t="s">
        <v>46</v>
      </c>
      <c r="E712" s="55" t="s">
        <v>4556</v>
      </c>
      <c r="F712" s="55" t="s">
        <v>4557</v>
      </c>
      <c r="G712" s="55" t="s">
        <v>4558</v>
      </c>
      <c r="H712" s="55" t="s">
        <v>21</v>
      </c>
      <c r="I712" s="55" t="s">
        <v>4566</v>
      </c>
    </row>
    <row r="713" customFormat="false" ht="15" hidden="false" customHeight="false" outlineLevel="0" collapsed="false">
      <c r="A713" s="55" t="s">
        <v>5324</v>
      </c>
      <c r="B713" s="55" t="s">
        <v>2510</v>
      </c>
      <c r="C713" s="55" t="s">
        <v>2509</v>
      </c>
      <c r="D713" s="55" t="s">
        <v>46</v>
      </c>
      <c r="E713" s="55" t="s">
        <v>4556</v>
      </c>
      <c r="F713" s="55" t="s">
        <v>4561</v>
      </c>
      <c r="G713" s="55" t="s">
        <v>4565</v>
      </c>
      <c r="H713" s="55" t="s">
        <v>21</v>
      </c>
      <c r="I713" s="55" t="s">
        <v>4566</v>
      </c>
    </row>
    <row r="714" customFormat="false" ht="15" hidden="false" customHeight="false" outlineLevel="0" collapsed="false">
      <c r="A714" s="55" t="s">
        <v>5325</v>
      </c>
      <c r="B714" s="55" t="s">
        <v>1098</v>
      </c>
      <c r="C714" s="55" t="s">
        <v>1097</v>
      </c>
      <c r="D714" s="55" t="s">
        <v>45</v>
      </c>
      <c r="E714" s="55" t="s">
        <v>4556</v>
      </c>
      <c r="F714" s="55" t="s">
        <v>4557</v>
      </c>
      <c r="G714" s="55" t="s">
        <v>4558</v>
      </c>
      <c r="H714" s="55" t="s">
        <v>21</v>
      </c>
      <c r="I714" s="55" t="s">
        <v>4566</v>
      </c>
    </row>
    <row r="715" customFormat="false" ht="15" hidden="false" customHeight="false" outlineLevel="0" collapsed="false">
      <c r="A715" s="55" t="s">
        <v>5326</v>
      </c>
      <c r="B715" s="55" t="s">
        <v>185</v>
      </c>
      <c r="C715" s="55" t="s">
        <v>184</v>
      </c>
      <c r="D715" s="55" t="s">
        <v>45</v>
      </c>
      <c r="E715" s="55" t="s">
        <v>4556</v>
      </c>
      <c r="F715" s="55" t="s">
        <v>4557</v>
      </c>
      <c r="G715" s="55" t="s">
        <v>4558</v>
      </c>
      <c r="H715" s="55" t="s">
        <v>21</v>
      </c>
      <c r="I715" s="55" t="s">
        <v>4566</v>
      </c>
    </row>
    <row r="716" customFormat="false" ht="15" hidden="false" customHeight="false" outlineLevel="0" collapsed="false">
      <c r="A716" s="55" t="s">
        <v>5327</v>
      </c>
      <c r="B716" s="55" t="s">
        <v>185</v>
      </c>
      <c r="C716" s="55" t="s">
        <v>184</v>
      </c>
      <c r="D716" s="55" t="s">
        <v>46</v>
      </c>
      <c r="E716" s="55" t="s">
        <v>4556</v>
      </c>
      <c r="F716" s="55" t="s">
        <v>4413</v>
      </c>
      <c r="G716" s="55" t="s">
        <v>4717</v>
      </c>
      <c r="H716" s="55" t="s">
        <v>21</v>
      </c>
      <c r="I716" s="55" t="s">
        <v>5328</v>
      </c>
    </row>
    <row r="717" customFormat="false" ht="15" hidden="false" customHeight="false" outlineLevel="0" collapsed="false">
      <c r="A717" s="55" t="s">
        <v>5329</v>
      </c>
      <c r="B717" s="55" t="s">
        <v>1439</v>
      </c>
      <c r="C717" s="55" t="s">
        <v>1438</v>
      </c>
      <c r="D717" s="55" t="s">
        <v>45</v>
      </c>
      <c r="E717" s="55" t="s">
        <v>4556</v>
      </c>
      <c r="F717" s="55" t="s">
        <v>4653</v>
      </c>
      <c r="G717" s="55" t="s">
        <v>4654</v>
      </c>
      <c r="H717" s="55" t="s">
        <v>21</v>
      </c>
      <c r="I717" s="55" t="s">
        <v>4566</v>
      </c>
    </row>
    <row r="718" customFormat="false" ht="15" hidden="false" customHeight="false" outlineLevel="0" collapsed="false">
      <c r="A718" s="55" t="s">
        <v>5330</v>
      </c>
      <c r="B718" s="55" t="s">
        <v>1439</v>
      </c>
      <c r="C718" s="55" t="s">
        <v>1438</v>
      </c>
      <c r="D718" s="55" t="s">
        <v>47</v>
      </c>
      <c r="E718" s="55" t="s">
        <v>4556</v>
      </c>
      <c r="F718" s="55" t="s">
        <v>4557</v>
      </c>
      <c r="G718" s="55" t="s">
        <v>4650</v>
      </c>
      <c r="H718" s="55" t="s">
        <v>17</v>
      </c>
      <c r="I718" s="55" t="s">
        <v>4563</v>
      </c>
    </row>
    <row r="719" customFormat="false" ht="15" hidden="false" customHeight="false" outlineLevel="0" collapsed="false">
      <c r="A719" s="55" t="s">
        <v>5331</v>
      </c>
      <c r="B719" s="55" t="s">
        <v>1535</v>
      </c>
      <c r="C719" s="55" t="s">
        <v>1534</v>
      </c>
      <c r="D719" s="55" t="s">
        <v>46</v>
      </c>
      <c r="E719" s="55" t="s">
        <v>4556</v>
      </c>
      <c r="F719" s="55" t="s">
        <v>4557</v>
      </c>
      <c r="G719" s="55" t="s">
        <v>4558</v>
      </c>
      <c r="H719" s="55" t="s">
        <v>21</v>
      </c>
      <c r="I719" s="55" t="s">
        <v>4566</v>
      </c>
    </row>
    <row r="720" customFormat="false" ht="15" hidden="false" customHeight="false" outlineLevel="0" collapsed="false">
      <c r="A720" s="55" t="s">
        <v>5332</v>
      </c>
      <c r="B720" s="55" t="s">
        <v>340</v>
      </c>
      <c r="C720" s="55" t="s">
        <v>339</v>
      </c>
      <c r="D720" s="55" t="s">
        <v>45</v>
      </c>
      <c r="E720" s="55" t="s">
        <v>4556</v>
      </c>
      <c r="F720" s="55" t="s">
        <v>4557</v>
      </c>
      <c r="G720" s="55" t="s">
        <v>4558</v>
      </c>
      <c r="H720" s="55" t="s">
        <v>21</v>
      </c>
      <c r="I720" s="55" t="s">
        <v>4566</v>
      </c>
    </row>
    <row r="721" customFormat="false" ht="15" hidden="false" customHeight="false" outlineLevel="0" collapsed="false">
      <c r="A721" s="55" t="s">
        <v>5333</v>
      </c>
      <c r="B721" s="55" t="s">
        <v>3119</v>
      </c>
      <c r="C721" s="55" t="s">
        <v>3929</v>
      </c>
      <c r="D721" s="55" t="s">
        <v>47</v>
      </c>
      <c r="E721" s="55" t="s">
        <v>4556</v>
      </c>
      <c r="F721" s="55" t="s">
        <v>4561</v>
      </c>
      <c r="G721" s="55" t="s">
        <v>4562</v>
      </c>
      <c r="H721" s="55" t="s">
        <v>17</v>
      </c>
      <c r="I721" s="55" t="s">
        <v>4563</v>
      </c>
    </row>
    <row r="722" customFormat="false" ht="15" hidden="false" customHeight="false" outlineLevel="0" collapsed="false">
      <c r="A722" s="55" t="s">
        <v>5334</v>
      </c>
      <c r="B722" s="55" t="s">
        <v>2425</v>
      </c>
      <c r="C722" s="55" t="s">
        <v>2424</v>
      </c>
      <c r="D722" s="55" t="s">
        <v>45</v>
      </c>
      <c r="E722" s="55" t="s">
        <v>4556</v>
      </c>
      <c r="F722" s="55" t="s">
        <v>4561</v>
      </c>
      <c r="G722" s="55" t="s">
        <v>4565</v>
      </c>
      <c r="H722" s="55" t="s">
        <v>21</v>
      </c>
      <c r="I722" s="55" t="s">
        <v>4566</v>
      </c>
    </row>
    <row r="723" customFormat="false" ht="15" hidden="false" customHeight="false" outlineLevel="0" collapsed="false">
      <c r="A723" s="55" t="s">
        <v>5335</v>
      </c>
      <c r="B723" s="55" t="s">
        <v>744</v>
      </c>
      <c r="C723" s="55" t="s">
        <v>743</v>
      </c>
      <c r="D723" s="55" t="s">
        <v>46</v>
      </c>
      <c r="E723" s="55" t="s">
        <v>4556</v>
      </c>
      <c r="F723" s="55" t="s">
        <v>4561</v>
      </c>
      <c r="G723" s="55" t="s">
        <v>4565</v>
      </c>
      <c r="H723" s="55" t="s">
        <v>21</v>
      </c>
      <c r="I723" s="55" t="s">
        <v>4566</v>
      </c>
    </row>
    <row r="724" customFormat="false" ht="15" hidden="false" customHeight="false" outlineLevel="0" collapsed="false">
      <c r="A724" s="55" t="s">
        <v>5336</v>
      </c>
      <c r="B724" s="55" t="s">
        <v>2038</v>
      </c>
      <c r="C724" s="55" t="s">
        <v>2037</v>
      </c>
      <c r="D724" s="55" t="s">
        <v>46</v>
      </c>
      <c r="E724" s="55" t="s">
        <v>4556</v>
      </c>
      <c r="F724" s="55" t="s">
        <v>4561</v>
      </c>
      <c r="G724" s="55" t="s">
        <v>4565</v>
      </c>
      <c r="H724" s="55" t="s">
        <v>21</v>
      </c>
      <c r="I724" s="55" t="s">
        <v>4566</v>
      </c>
    </row>
    <row r="725" customFormat="false" ht="15" hidden="false" customHeight="false" outlineLevel="0" collapsed="false">
      <c r="A725" s="55" t="s">
        <v>5337</v>
      </c>
      <c r="B725" s="55" t="s">
        <v>2021</v>
      </c>
      <c r="C725" s="55" t="s">
        <v>2020</v>
      </c>
      <c r="D725" s="55" t="s">
        <v>46</v>
      </c>
      <c r="E725" s="55" t="s">
        <v>4556</v>
      </c>
      <c r="F725" s="55" t="s">
        <v>4864</v>
      </c>
      <c r="G725" s="55" t="s">
        <v>4865</v>
      </c>
      <c r="H725" s="55" t="s">
        <v>21</v>
      </c>
      <c r="I725" s="55" t="s">
        <v>4566</v>
      </c>
    </row>
    <row r="726" customFormat="false" ht="15" hidden="false" customHeight="false" outlineLevel="0" collapsed="false">
      <c r="A726" s="55" t="s">
        <v>5338</v>
      </c>
      <c r="B726" s="55" t="s">
        <v>1952</v>
      </c>
      <c r="C726" s="55" t="s">
        <v>1951</v>
      </c>
      <c r="D726" s="55" t="s">
        <v>46</v>
      </c>
      <c r="E726" s="55" t="s">
        <v>4556</v>
      </c>
      <c r="F726" s="55" t="s">
        <v>4557</v>
      </c>
      <c r="G726" s="55" t="s">
        <v>4558</v>
      </c>
      <c r="H726" s="55" t="s">
        <v>21</v>
      </c>
      <c r="I726" s="55" t="s">
        <v>4566</v>
      </c>
    </row>
    <row r="727" customFormat="false" ht="15" hidden="false" customHeight="false" outlineLevel="0" collapsed="false">
      <c r="A727" s="55" t="s">
        <v>5339</v>
      </c>
      <c r="B727" s="55" t="s">
        <v>514</v>
      </c>
      <c r="C727" s="55" t="s">
        <v>513</v>
      </c>
      <c r="D727" s="55" t="s">
        <v>46</v>
      </c>
      <c r="E727" s="55" t="s">
        <v>4556</v>
      </c>
      <c r="F727" s="55" t="s">
        <v>4557</v>
      </c>
      <c r="G727" s="55" t="s">
        <v>4558</v>
      </c>
      <c r="H727" s="55" t="s">
        <v>21</v>
      </c>
      <c r="I727" s="55" t="s">
        <v>4566</v>
      </c>
    </row>
    <row r="728" customFormat="false" ht="15" hidden="false" customHeight="false" outlineLevel="0" collapsed="false">
      <c r="A728" s="55" t="s">
        <v>5340</v>
      </c>
      <c r="B728" s="55" t="s">
        <v>1601</v>
      </c>
      <c r="C728" s="55" t="s">
        <v>1600</v>
      </c>
      <c r="D728" s="55" t="s">
        <v>46</v>
      </c>
      <c r="E728" s="55" t="s">
        <v>4556</v>
      </c>
      <c r="F728" s="55" t="s">
        <v>4557</v>
      </c>
      <c r="G728" s="55" t="s">
        <v>4558</v>
      </c>
      <c r="H728" s="55" t="s">
        <v>21</v>
      </c>
      <c r="I728" s="55" t="s">
        <v>4566</v>
      </c>
    </row>
    <row r="729" customFormat="false" ht="15" hidden="false" customHeight="false" outlineLevel="0" collapsed="false">
      <c r="A729" s="55" t="s">
        <v>5341</v>
      </c>
      <c r="B729" s="55" t="s">
        <v>80</v>
      </c>
      <c r="C729" s="55" t="s">
        <v>79</v>
      </c>
      <c r="D729" s="55" t="s">
        <v>45</v>
      </c>
      <c r="E729" s="55" t="s">
        <v>4556</v>
      </c>
      <c r="F729" s="55" t="s">
        <v>4561</v>
      </c>
      <c r="G729" s="55" t="s">
        <v>4596</v>
      </c>
      <c r="H729" s="55" t="s">
        <v>84</v>
      </c>
      <c r="I729" s="55" t="s">
        <v>4611</v>
      </c>
    </row>
    <row r="730" customFormat="false" ht="15" hidden="false" customHeight="false" outlineLevel="0" collapsed="false">
      <c r="A730" s="55" t="s">
        <v>5342</v>
      </c>
      <c r="B730" s="55" t="s">
        <v>2256</v>
      </c>
      <c r="C730" s="55" t="s">
        <v>2255</v>
      </c>
      <c r="D730" s="55" t="s">
        <v>45</v>
      </c>
      <c r="E730" s="55" t="s">
        <v>4556</v>
      </c>
      <c r="F730" s="55" t="s">
        <v>4864</v>
      </c>
      <c r="G730" s="55" t="s">
        <v>4865</v>
      </c>
      <c r="H730" s="55" t="s">
        <v>21</v>
      </c>
      <c r="I730" s="55" t="s">
        <v>4566</v>
      </c>
    </row>
    <row r="731" customFormat="false" ht="15" hidden="false" customHeight="false" outlineLevel="0" collapsed="false">
      <c r="A731" s="55" t="s">
        <v>5343</v>
      </c>
      <c r="B731" s="55" t="s">
        <v>438</v>
      </c>
      <c r="C731" s="55" t="s">
        <v>437</v>
      </c>
      <c r="D731" s="55" t="s">
        <v>46</v>
      </c>
      <c r="E731" s="55" t="s">
        <v>4556</v>
      </c>
      <c r="F731" s="55" t="s">
        <v>4557</v>
      </c>
      <c r="G731" s="55" t="s">
        <v>5344</v>
      </c>
      <c r="H731" s="55" t="s">
        <v>84</v>
      </c>
      <c r="I731" s="55" t="s">
        <v>4611</v>
      </c>
    </row>
    <row r="732" customFormat="false" ht="15" hidden="false" customHeight="false" outlineLevel="0" collapsed="false">
      <c r="A732" s="55" t="s">
        <v>5345</v>
      </c>
      <c r="B732" s="55" t="s">
        <v>2032</v>
      </c>
      <c r="C732" s="55" t="s">
        <v>2031</v>
      </c>
      <c r="D732" s="55" t="s">
        <v>46</v>
      </c>
      <c r="E732" s="55" t="s">
        <v>4556</v>
      </c>
      <c r="F732" s="55" t="s">
        <v>4653</v>
      </c>
      <c r="G732" s="55" t="s">
        <v>4654</v>
      </c>
      <c r="H732" s="55" t="s">
        <v>21</v>
      </c>
      <c r="I732" s="55" t="s">
        <v>4566</v>
      </c>
    </row>
    <row r="733" customFormat="false" ht="15" hidden="false" customHeight="false" outlineLevel="0" collapsed="false">
      <c r="A733" s="55" t="s">
        <v>5346</v>
      </c>
      <c r="B733" s="55" t="s">
        <v>2032</v>
      </c>
      <c r="C733" s="55" t="s">
        <v>2031</v>
      </c>
      <c r="D733" s="55" t="s">
        <v>47</v>
      </c>
      <c r="E733" s="55" t="s">
        <v>4556</v>
      </c>
      <c r="F733" s="55" t="s">
        <v>4557</v>
      </c>
      <c r="G733" s="55" t="s">
        <v>4650</v>
      </c>
      <c r="H733" s="55" t="s">
        <v>17</v>
      </c>
      <c r="I733" s="55" t="s">
        <v>4601</v>
      </c>
    </row>
    <row r="734" customFormat="false" ht="15" hidden="false" customHeight="false" outlineLevel="0" collapsed="false">
      <c r="A734" s="55" t="s">
        <v>5347</v>
      </c>
      <c r="B734" s="55" t="s">
        <v>1758</v>
      </c>
      <c r="C734" s="55" t="s">
        <v>1757</v>
      </c>
      <c r="D734" s="55" t="s">
        <v>45</v>
      </c>
      <c r="E734" s="55" t="s">
        <v>4556</v>
      </c>
      <c r="F734" s="55" t="s">
        <v>4636</v>
      </c>
      <c r="G734" s="55" t="s">
        <v>4637</v>
      </c>
      <c r="H734" s="55" t="s">
        <v>21</v>
      </c>
      <c r="I734" s="55" t="s">
        <v>4566</v>
      </c>
    </row>
    <row r="735" customFormat="false" ht="15" hidden="false" customHeight="false" outlineLevel="0" collapsed="false">
      <c r="A735" s="55" t="s">
        <v>5348</v>
      </c>
      <c r="B735" s="55" t="s">
        <v>226</v>
      </c>
      <c r="C735" s="55" t="s">
        <v>225</v>
      </c>
      <c r="D735" s="55" t="s">
        <v>46</v>
      </c>
      <c r="E735" s="55" t="s">
        <v>4556</v>
      </c>
      <c r="F735" s="55" t="s">
        <v>4557</v>
      </c>
      <c r="G735" s="55" t="s">
        <v>4741</v>
      </c>
      <c r="H735" s="55" t="s">
        <v>84</v>
      </c>
      <c r="I735" s="55" t="s">
        <v>4611</v>
      </c>
    </row>
    <row r="736" customFormat="false" ht="15" hidden="false" customHeight="false" outlineLevel="0" collapsed="false">
      <c r="A736" s="55" t="s">
        <v>5349</v>
      </c>
      <c r="B736" s="55" t="s">
        <v>2501</v>
      </c>
      <c r="C736" s="55" t="s">
        <v>2500</v>
      </c>
      <c r="D736" s="55" t="s">
        <v>45</v>
      </c>
      <c r="E736" s="55" t="s">
        <v>4556</v>
      </c>
      <c r="F736" s="55" t="s">
        <v>4653</v>
      </c>
      <c r="G736" s="55" t="s">
        <v>4654</v>
      </c>
      <c r="H736" s="55" t="s">
        <v>21</v>
      </c>
      <c r="I736" s="55" t="s">
        <v>4566</v>
      </c>
    </row>
    <row r="737" customFormat="false" ht="15" hidden="false" customHeight="false" outlineLevel="0" collapsed="false">
      <c r="A737" s="55" t="s">
        <v>5350</v>
      </c>
      <c r="B737" s="55" t="s">
        <v>2501</v>
      </c>
      <c r="C737" s="55" t="s">
        <v>2500</v>
      </c>
      <c r="D737" s="55" t="s">
        <v>46</v>
      </c>
      <c r="E737" s="55" t="s">
        <v>4556</v>
      </c>
      <c r="F737" s="55" t="s">
        <v>4471</v>
      </c>
      <c r="G737" s="55" t="s">
        <v>4761</v>
      </c>
      <c r="H737" s="55" t="s">
        <v>17</v>
      </c>
      <c r="I737" s="55" t="s">
        <v>4762</v>
      </c>
    </row>
    <row r="738" customFormat="false" ht="15" hidden="false" customHeight="false" outlineLevel="0" collapsed="false">
      <c r="A738" s="55" t="s">
        <v>5351</v>
      </c>
      <c r="B738" s="55" t="s">
        <v>2619</v>
      </c>
      <c r="C738" s="55" t="s">
        <v>2618</v>
      </c>
      <c r="D738" s="55" t="s">
        <v>46</v>
      </c>
      <c r="E738" s="55" t="s">
        <v>4556</v>
      </c>
      <c r="F738" s="55" t="s">
        <v>4197</v>
      </c>
      <c r="G738" s="55" t="s">
        <v>4579</v>
      </c>
      <c r="H738" s="55" t="s">
        <v>17</v>
      </c>
      <c r="I738" s="55" t="s">
        <v>4563</v>
      </c>
    </row>
    <row r="739" customFormat="false" ht="15" hidden="false" customHeight="false" outlineLevel="0" collapsed="false">
      <c r="A739" s="55" t="s">
        <v>5352</v>
      </c>
      <c r="B739" s="55" t="s">
        <v>1381</v>
      </c>
      <c r="C739" s="55" t="s">
        <v>1380</v>
      </c>
      <c r="D739" s="55" t="s">
        <v>45</v>
      </c>
      <c r="E739" s="55" t="s">
        <v>4556</v>
      </c>
      <c r="F739" s="55" t="s">
        <v>4864</v>
      </c>
      <c r="G739" s="55" t="s">
        <v>4865</v>
      </c>
      <c r="H739" s="55" t="s">
        <v>21</v>
      </c>
      <c r="I739" s="55" t="s">
        <v>4566</v>
      </c>
    </row>
    <row r="740" customFormat="false" ht="15" hidden="false" customHeight="false" outlineLevel="0" collapsed="false">
      <c r="A740" s="55" t="s">
        <v>5353</v>
      </c>
      <c r="B740" s="55" t="s">
        <v>254</v>
      </c>
      <c r="C740" s="55" t="s">
        <v>253</v>
      </c>
      <c r="D740" s="55" t="s">
        <v>47</v>
      </c>
      <c r="E740" s="55" t="s">
        <v>4556</v>
      </c>
      <c r="F740" s="55" t="s">
        <v>4557</v>
      </c>
      <c r="G740" s="55" t="s">
        <v>4558</v>
      </c>
      <c r="H740" s="55" t="s">
        <v>21</v>
      </c>
      <c r="I740" s="55" t="s">
        <v>4559</v>
      </c>
    </row>
    <row r="741" customFormat="false" ht="15" hidden="false" customHeight="false" outlineLevel="0" collapsed="false">
      <c r="A741" s="55" t="s">
        <v>5354</v>
      </c>
      <c r="B741" s="55" t="s">
        <v>458</v>
      </c>
      <c r="C741" s="55" t="s">
        <v>457</v>
      </c>
      <c r="D741" s="55" t="s">
        <v>46</v>
      </c>
      <c r="E741" s="55" t="s">
        <v>4556</v>
      </c>
      <c r="F741" s="55" t="s">
        <v>4557</v>
      </c>
      <c r="G741" s="55" t="s">
        <v>4558</v>
      </c>
      <c r="H741" s="55" t="s">
        <v>21</v>
      </c>
      <c r="I741" s="55" t="s">
        <v>4566</v>
      </c>
    </row>
    <row r="742" customFormat="false" ht="15" hidden="false" customHeight="false" outlineLevel="0" collapsed="false">
      <c r="A742" s="55" t="s">
        <v>5355</v>
      </c>
      <c r="B742" s="55" t="s">
        <v>2517</v>
      </c>
      <c r="C742" s="55" t="s">
        <v>2516</v>
      </c>
      <c r="D742" s="55" t="s">
        <v>46</v>
      </c>
      <c r="E742" s="55" t="s">
        <v>4556</v>
      </c>
      <c r="F742" s="55" t="s">
        <v>4561</v>
      </c>
      <c r="G742" s="55" t="s">
        <v>4562</v>
      </c>
      <c r="H742" s="55" t="s">
        <v>17</v>
      </c>
      <c r="I742" s="55" t="s">
        <v>4563</v>
      </c>
    </row>
    <row r="743" customFormat="false" ht="15" hidden="false" customHeight="false" outlineLevel="0" collapsed="false">
      <c r="A743" s="55" t="s">
        <v>5356</v>
      </c>
      <c r="B743" s="55" t="s">
        <v>3135</v>
      </c>
      <c r="C743" s="55" t="s">
        <v>3958</v>
      </c>
      <c r="D743" s="55" t="s">
        <v>46</v>
      </c>
      <c r="E743" s="55" t="s">
        <v>4556</v>
      </c>
      <c r="F743" s="55" t="s">
        <v>4703</v>
      </c>
      <c r="G743" s="55" t="s">
        <v>4704</v>
      </c>
      <c r="H743" s="55" t="s">
        <v>21</v>
      </c>
      <c r="I743" s="55" t="s">
        <v>4566</v>
      </c>
    </row>
    <row r="744" customFormat="false" ht="15" hidden="false" customHeight="false" outlineLevel="0" collapsed="false">
      <c r="A744" s="55" t="s">
        <v>5357</v>
      </c>
      <c r="B744" s="55" t="s">
        <v>1493</v>
      </c>
      <c r="C744" s="55" t="s">
        <v>1492</v>
      </c>
      <c r="D744" s="55" t="s">
        <v>46</v>
      </c>
      <c r="E744" s="55" t="s">
        <v>4556</v>
      </c>
      <c r="F744" s="55" t="s">
        <v>4557</v>
      </c>
      <c r="G744" s="55" t="s">
        <v>4558</v>
      </c>
      <c r="H744" s="55" t="s">
        <v>21</v>
      </c>
      <c r="I744" s="55" t="s">
        <v>4566</v>
      </c>
    </row>
    <row r="745" customFormat="false" ht="15" hidden="false" customHeight="false" outlineLevel="0" collapsed="false">
      <c r="A745" s="55" t="s">
        <v>5358</v>
      </c>
      <c r="B745" s="55" t="s">
        <v>128</v>
      </c>
      <c r="C745" s="55" t="s">
        <v>127</v>
      </c>
      <c r="D745" s="55" t="s">
        <v>45</v>
      </c>
      <c r="E745" s="55" t="s">
        <v>4556</v>
      </c>
      <c r="F745" s="55" t="s">
        <v>4557</v>
      </c>
      <c r="G745" s="55" t="s">
        <v>4741</v>
      </c>
      <c r="H745" s="55" t="s">
        <v>84</v>
      </c>
      <c r="I745" s="55" t="s">
        <v>4611</v>
      </c>
    </row>
    <row r="746" customFormat="false" ht="15" hidden="false" customHeight="false" outlineLevel="0" collapsed="false">
      <c r="A746" s="55" t="s">
        <v>5359</v>
      </c>
      <c r="B746" s="55" t="s">
        <v>128</v>
      </c>
      <c r="C746" s="55" t="s">
        <v>127</v>
      </c>
      <c r="D746" s="55" t="s">
        <v>47</v>
      </c>
      <c r="E746" s="55" t="s">
        <v>4556</v>
      </c>
      <c r="F746" s="55" t="s">
        <v>4557</v>
      </c>
      <c r="G746" s="55" t="s">
        <v>4650</v>
      </c>
      <c r="H746" s="55" t="s">
        <v>17</v>
      </c>
      <c r="I746" s="55" t="s">
        <v>4601</v>
      </c>
    </row>
    <row r="747" customFormat="false" ht="15" hidden="false" customHeight="false" outlineLevel="0" collapsed="false">
      <c r="A747" s="55" t="s">
        <v>5360</v>
      </c>
      <c r="B747" s="55" t="s">
        <v>1956</v>
      </c>
      <c r="C747" s="55" t="s">
        <v>1955</v>
      </c>
      <c r="D747" s="55" t="s">
        <v>45</v>
      </c>
      <c r="E747" s="55" t="s">
        <v>4556</v>
      </c>
      <c r="F747" s="55" t="s">
        <v>4561</v>
      </c>
      <c r="G747" s="55" t="s">
        <v>4562</v>
      </c>
      <c r="H747" s="55" t="s">
        <v>17</v>
      </c>
      <c r="I747" s="55" t="s">
        <v>4563</v>
      </c>
    </row>
    <row r="748" customFormat="false" ht="15" hidden="false" customHeight="false" outlineLevel="0" collapsed="false">
      <c r="A748" s="55" t="s">
        <v>5361</v>
      </c>
      <c r="B748" s="55" t="s">
        <v>1956</v>
      </c>
      <c r="C748" s="55" t="s">
        <v>1955</v>
      </c>
      <c r="D748" s="55" t="s">
        <v>46</v>
      </c>
      <c r="E748" s="55" t="s">
        <v>4556</v>
      </c>
      <c r="F748" s="55" t="s">
        <v>4557</v>
      </c>
      <c r="G748" s="55" t="s">
        <v>4558</v>
      </c>
      <c r="H748" s="55" t="s">
        <v>21</v>
      </c>
      <c r="I748" s="55" t="s">
        <v>4566</v>
      </c>
    </row>
    <row r="749" customFormat="false" ht="15" hidden="false" customHeight="false" outlineLevel="0" collapsed="false">
      <c r="A749" s="55" t="s">
        <v>5362</v>
      </c>
      <c r="B749" s="55" t="s">
        <v>3139</v>
      </c>
      <c r="C749" s="55" t="s">
        <v>3964</v>
      </c>
      <c r="D749" s="55" t="s">
        <v>45</v>
      </c>
      <c r="E749" s="55" t="s">
        <v>4556</v>
      </c>
      <c r="F749" s="55" t="s">
        <v>4561</v>
      </c>
      <c r="G749" s="55" t="s">
        <v>4565</v>
      </c>
      <c r="H749" s="55" t="s">
        <v>21</v>
      </c>
      <c r="I749" s="55" t="s">
        <v>4566</v>
      </c>
    </row>
    <row r="750" customFormat="false" ht="15" hidden="false" customHeight="false" outlineLevel="0" collapsed="false">
      <c r="A750" s="55" t="s">
        <v>5363</v>
      </c>
      <c r="B750" s="55" t="s">
        <v>3139</v>
      </c>
      <c r="C750" s="55" t="s">
        <v>3964</v>
      </c>
      <c r="D750" s="55" t="s">
        <v>46</v>
      </c>
      <c r="E750" s="55" t="s">
        <v>4556</v>
      </c>
      <c r="F750" s="55" t="s">
        <v>4197</v>
      </c>
      <c r="G750" s="55" t="s">
        <v>4579</v>
      </c>
      <c r="H750" s="55" t="s">
        <v>17</v>
      </c>
      <c r="I750" s="55" t="s">
        <v>4563</v>
      </c>
    </row>
    <row r="751" customFormat="false" ht="15" hidden="false" customHeight="false" outlineLevel="0" collapsed="false">
      <c r="A751" s="55" t="s">
        <v>5364</v>
      </c>
      <c r="B751" s="55" t="s">
        <v>1141</v>
      </c>
      <c r="C751" s="55" t="s">
        <v>1140</v>
      </c>
      <c r="D751" s="55" t="s">
        <v>45</v>
      </c>
      <c r="E751" s="55" t="s">
        <v>4556</v>
      </c>
      <c r="F751" s="55" t="s">
        <v>4557</v>
      </c>
      <c r="G751" s="55" t="s">
        <v>4558</v>
      </c>
      <c r="H751" s="55" t="s">
        <v>21</v>
      </c>
      <c r="I751" s="55" t="s">
        <v>4566</v>
      </c>
    </row>
    <row r="752" customFormat="false" ht="15" hidden="false" customHeight="false" outlineLevel="0" collapsed="false">
      <c r="A752" s="55" t="s">
        <v>5365</v>
      </c>
      <c r="B752" s="55" t="s">
        <v>1920</v>
      </c>
      <c r="C752" s="55" t="s">
        <v>1919</v>
      </c>
      <c r="D752" s="55" t="s">
        <v>45</v>
      </c>
      <c r="E752" s="55" t="s">
        <v>4556</v>
      </c>
      <c r="F752" s="55" t="s">
        <v>4561</v>
      </c>
      <c r="G752" s="55" t="s">
        <v>4565</v>
      </c>
      <c r="H752" s="55" t="s">
        <v>21</v>
      </c>
      <c r="I752" s="55" t="s">
        <v>4566</v>
      </c>
    </row>
    <row r="753" customFormat="false" ht="15" hidden="false" customHeight="false" outlineLevel="0" collapsed="false">
      <c r="A753" s="55" t="s">
        <v>5366</v>
      </c>
      <c r="B753" s="55" t="s">
        <v>1920</v>
      </c>
      <c r="C753" s="55" t="s">
        <v>1919</v>
      </c>
      <c r="D753" s="55" t="s">
        <v>46</v>
      </c>
      <c r="E753" s="55" t="s">
        <v>4556</v>
      </c>
      <c r="F753" s="55" t="s">
        <v>4557</v>
      </c>
      <c r="G753" s="55" t="s">
        <v>4558</v>
      </c>
      <c r="H753" s="55" t="s">
        <v>21</v>
      </c>
      <c r="I753" s="55" t="s">
        <v>4566</v>
      </c>
    </row>
    <row r="754" customFormat="false" ht="15" hidden="false" customHeight="false" outlineLevel="0" collapsed="false">
      <c r="A754" s="55" t="s">
        <v>5367</v>
      </c>
      <c r="B754" s="55" t="s">
        <v>1920</v>
      </c>
      <c r="C754" s="55" t="s">
        <v>1919</v>
      </c>
      <c r="D754" s="55" t="s">
        <v>47</v>
      </c>
      <c r="E754" s="55" t="s">
        <v>4556</v>
      </c>
      <c r="F754" s="55" t="s">
        <v>4557</v>
      </c>
      <c r="G754" s="55" t="s">
        <v>4650</v>
      </c>
      <c r="H754" s="55" t="s">
        <v>17</v>
      </c>
      <c r="I754" s="55" t="s">
        <v>4601</v>
      </c>
    </row>
    <row r="755" customFormat="false" ht="15" hidden="false" customHeight="false" outlineLevel="0" collapsed="false">
      <c r="A755" s="55" t="s">
        <v>5368</v>
      </c>
      <c r="B755" s="55" t="s">
        <v>1558</v>
      </c>
      <c r="C755" s="55" t="s">
        <v>1557</v>
      </c>
      <c r="D755" s="55" t="s">
        <v>45</v>
      </c>
      <c r="E755" s="55" t="s">
        <v>4556</v>
      </c>
      <c r="F755" s="55" t="s">
        <v>4197</v>
      </c>
      <c r="G755" s="55" t="s">
        <v>4579</v>
      </c>
      <c r="H755" s="55" t="s">
        <v>17</v>
      </c>
      <c r="I755" s="55" t="s">
        <v>4563</v>
      </c>
    </row>
    <row r="756" customFormat="false" ht="15" hidden="false" customHeight="false" outlineLevel="0" collapsed="false">
      <c r="A756" s="55" t="s">
        <v>5369</v>
      </c>
      <c r="B756" s="55" t="s">
        <v>1558</v>
      </c>
      <c r="C756" s="55" t="s">
        <v>1557</v>
      </c>
      <c r="D756" s="55" t="s">
        <v>46</v>
      </c>
      <c r="E756" s="55" t="s">
        <v>4556</v>
      </c>
      <c r="F756" s="55" t="s">
        <v>4557</v>
      </c>
      <c r="G756" s="55" t="s">
        <v>4558</v>
      </c>
      <c r="H756" s="55" t="s">
        <v>21</v>
      </c>
      <c r="I756" s="55" t="s">
        <v>4566</v>
      </c>
    </row>
    <row r="757" customFormat="false" ht="15" hidden="false" customHeight="false" outlineLevel="0" collapsed="false">
      <c r="A757" s="55" t="s">
        <v>5370</v>
      </c>
      <c r="B757" s="55" t="s">
        <v>1894</v>
      </c>
      <c r="C757" s="55" t="s">
        <v>1893</v>
      </c>
      <c r="D757" s="55" t="s">
        <v>46</v>
      </c>
      <c r="E757" s="55" t="s">
        <v>4556</v>
      </c>
      <c r="F757" s="55" t="s">
        <v>4557</v>
      </c>
      <c r="G757" s="55" t="s">
        <v>4558</v>
      </c>
      <c r="H757" s="55" t="s">
        <v>21</v>
      </c>
      <c r="I757" s="55" t="s">
        <v>4566</v>
      </c>
    </row>
    <row r="758" customFormat="false" ht="15" hidden="false" customHeight="false" outlineLevel="0" collapsed="false">
      <c r="A758" s="55" t="s">
        <v>5371</v>
      </c>
      <c r="B758" s="55" t="s">
        <v>132</v>
      </c>
      <c r="C758" s="55" t="s">
        <v>131</v>
      </c>
      <c r="D758" s="55" t="s">
        <v>45</v>
      </c>
      <c r="E758" s="55" t="s">
        <v>4556</v>
      </c>
      <c r="F758" s="55" t="s">
        <v>4557</v>
      </c>
      <c r="G758" s="55" t="s">
        <v>4558</v>
      </c>
      <c r="H758" s="55" t="s">
        <v>21</v>
      </c>
      <c r="I758" s="55" t="s">
        <v>4566</v>
      </c>
    </row>
    <row r="759" customFormat="false" ht="15" hidden="false" customHeight="false" outlineLevel="0" collapsed="false">
      <c r="A759" s="55" t="s">
        <v>5372</v>
      </c>
      <c r="B759" s="55" t="s">
        <v>808</v>
      </c>
      <c r="C759" s="55" t="s">
        <v>807</v>
      </c>
      <c r="D759" s="55" t="s">
        <v>45</v>
      </c>
      <c r="E759" s="55" t="s">
        <v>4556</v>
      </c>
      <c r="F759" s="55" t="s">
        <v>4557</v>
      </c>
      <c r="G759" s="55" t="s">
        <v>4558</v>
      </c>
      <c r="H759" s="55" t="s">
        <v>21</v>
      </c>
      <c r="I759" s="55" t="s">
        <v>4566</v>
      </c>
    </row>
    <row r="760" customFormat="false" ht="15" hidden="false" customHeight="false" outlineLevel="0" collapsed="false">
      <c r="A760" s="55" t="s">
        <v>5373</v>
      </c>
      <c r="B760" s="55" t="s">
        <v>808</v>
      </c>
      <c r="C760" s="55" t="s">
        <v>807</v>
      </c>
      <c r="D760" s="55" t="s">
        <v>46</v>
      </c>
      <c r="E760" s="55" t="s">
        <v>4556</v>
      </c>
      <c r="F760" s="55" t="s">
        <v>4571</v>
      </c>
      <c r="G760" s="55" t="s">
        <v>4572</v>
      </c>
      <c r="H760" s="55" t="s">
        <v>21</v>
      </c>
      <c r="I760" s="55" t="s">
        <v>4566</v>
      </c>
    </row>
    <row r="761" customFormat="false" ht="15" hidden="false" customHeight="false" outlineLevel="0" collapsed="false">
      <c r="A761" s="55" t="s">
        <v>5374</v>
      </c>
      <c r="B761" s="55" t="s">
        <v>216</v>
      </c>
      <c r="C761" s="55" t="s">
        <v>215</v>
      </c>
      <c r="D761" s="55" t="s">
        <v>46</v>
      </c>
      <c r="E761" s="55" t="s">
        <v>4556</v>
      </c>
      <c r="F761" s="55" t="s">
        <v>4653</v>
      </c>
      <c r="G761" s="55" t="s">
        <v>4654</v>
      </c>
      <c r="H761" s="55" t="s">
        <v>21</v>
      </c>
      <c r="I761" s="55" t="s">
        <v>4566</v>
      </c>
    </row>
    <row r="762" customFormat="false" ht="15" hidden="false" customHeight="false" outlineLevel="0" collapsed="false">
      <c r="A762" s="55" t="s">
        <v>5375</v>
      </c>
      <c r="B762" s="55" t="s">
        <v>492</v>
      </c>
      <c r="C762" s="55" t="s">
        <v>491</v>
      </c>
      <c r="D762" s="55" t="s">
        <v>45</v>
      </c>
      <c r="E762" s="55" t="s">
        <v>4556</v>
      </c>
      <c r="F762" s="55" t="s">
        <v>4557</v>
      </c>
      <c r="G762" s="55" t="s">
        <v>4558</v>
      </c>
      <c r="H762" s="55" t="s">
        <v>21</v>
      </c>
      <c r="I762" s="55" t="s">
        <v>4566</v>
      </c>
    </row>
    <row r="763" customFormat="false" ht="15" hidden="false" customHeight="false" outlineLevel="0" collapsed="false">
      <c r="A763" s="55" t="s">
        <v>5376</v>
      </c>
      <c r="B763" s="55" t="s">
        <v>1856</v>
      </c>
      <c r="C763" s="55" t="s">
        <v>1855</v>
      </c>
      <c r="D763" s="55" t="s">
        <v>45</v>
      </c>
      <c r="E763" s="55" t="s">
        <v>4556</v>
      </c>
      <c r="F763" s="55" t="s">
        <v>4561</v>
      </c>
      <c r="G763" s="55" t="s">
        <v>4562</v>
      </c>
      <c r="H763" s="55" t="s">
        <v>17</v>
      </c>
      <c r="I763" s="55" t="s">
        <v>4601</v>
      </c>
    </row>
    <row r="764" customFormat="false" ht="15" hidden="false" customHeight="false" outlineLevel="0" collapsed="false">
      <c r="A764" s="55" t="s">
        <v>5377</v>
      </c>
      <c r="B764" s="55" t="s">
        <v>1856</v>
      </c>
      <c r="C764" s="55" t="s">
        <v>1855</v>
      </c>
      <c r="D764" s="55" t="s">
        <v>46</v>
      </c>
      <c r="E764" s="55" t="s">
        <v>4556</v>
      </c>
      <c r="F764" s="55" t="s">
        <v>4557</v>
      </c>
      <c r="G764" s="55" t="s">
        <v>4961</v>
      </c>
      <c r="H764" s="55" t="s">
        <v>84</v>
      </c>
      <c r="I764" s="55" t="s">
        <v>4611</v>
      </c>
    </row>
    <row r="765" customFormat="false" ht="15" hidden="false" customHeight="false" outlineLevel="0" collapsed="false">
      <c r="A765" s="55" t="s">
        <v>5378</v>
      </c>
      <c r="B765" s="55" t="s">
        <v>2416</v>
      </c>
      <c r="C765" s="55" t="s">
        <v>2415</v>
      </c>
      <c r="D765" s="55" t="s">
        <v>47</v>
      </c>
      <c r="E765" s="55" t="s">
        <v>4556</v>
      </c>
      <c r="F765" s="55" t="s">
        <v>4557</v>
      </c>
      <c r="G765" s="55" t="s">
        <v>4558</v>
      </c>
      <c r="H765" s="55" t="s">
        <v>21</v>
      </c>
      <c r="I765" s="55" t="s">
        <v>4559</v>
      </c>
    </row>
    <row r="766" customFormat="false" ht="15" hidden="false" customHeight="false" outlineLevel="0" collapsed="false">
      <c r="A766" s="55" t="s">
        <v>5379</v>
      </c>
      <c r="B766" s="55" t="s">
        <v>1829</v>
      </c>
      <c r="C766" s="55" t="s">
        <v>1828</v>
      </c>
      <c r="D766" s="55" t="s">
        <v>45</v>
      </c>
      <c r="E766" s="55" t="s">
        <v>4556</v>
      </c>
      <c r="F766" s="55" t="s">
        <v>4561</v>
      </c>
      <c r="G766" s="55" t="s">
        <v>4565</v>
      </c>
      <c r="H766" s="55" t="s">
        <v>21</v>
      </c>
      <c r="I766" s="55" t="s">
        <v>4566</v>
      </c>
    </row>
    <row r="767" customFormat="false" ht="15" hidden="false" customHeight="false" outlineLevel="0" collapsed="false">
      <c r="A767" s="55" t="s">
        <v>5380</v>
      </c>
      <c r="B767" s="55" t="s">
        <v>1829</v>
      </c>
      <c r="C767" s="55" t="s">
        <v>1828</v>
      </c>
      <c r="D767" s="55" t="s">
        <v>46</v>
      </c>
      <c r="E767" s="55" t="s">
        <v>4556</v>
      </c>
      <c r="F767" s="55" t="s">
        <v>4557</v>
      </c>
      <c r="G767" s="55" t="s">
        <v>4558</v>
      </c>
      <c r="H767" s="55" t="s">
        <v>21</v>
      </c>
      <c r="I767" s="55" t="s">
        <v>4566</v>
      </c>
    </row>
    <row r="768" customFormat="false" ht="15" hidden="false" customHeight="false" outlineLevel="0" collapsed="false">
      <c r="A768" s="55" t="s">
        <v>5381</v>
      </c>
      <c r="B768" s="55" t="s">
        <v>1829</v>
      </c>
      <c r="C768" s="55" t="s">
        <v>1828</v>
      </c>
      <c r="D768" s="55" t="s">
        <v>47</v>
      </c>
      <c r="E768" s="55" t="s">
        <v>4556</v>
      </c>
      <c r="F768" s="55" t="s">
        <v>4557</v>
      </c>
      <c r="G768" s="55" t="s">
        <v>4558</v>
      </c>
      <c r="H768" s="55" t="s">
        <v>21</v>
      </c>
      <c r="I768" s="55" t="s">
        <v>4559</v>
      </c>
    </row>
    <row r="769" customFormat="false" ht="15" hidden="false" customHeight="false" outlineLevel="0" collapsed="false">
      <c r="A769" s="55" t="s">
        <v>5382</v>
      </c>
      <c r="B769" s="55" t="s">
        <v>1370</v>
      </c>
      <c r="C769" s="55" t="s">
        <v>1369</v>
      </c>
      <c r="D769" s="55" t="s">
        <v>45</v>
      </c>
      <c r="E769" s="55" t="s">
        <v>4556</v>
      </c>
      <c r="F769" s="55" t="s">
        <v>4557</v>
      </c>
      <c r="G769" s="55" t="s">
        <v>4558</v>
      </c>
      <c r="H769" s="55" t="s">
        <v>21</v>
      </c>
      <c r="I769" s="55" t="s">
        <v>4566</v>
      </c>
    </row>
    <row r="770" customFormat="false" ht="15" hidden="false" customHeight="false" outlineLevel="0" collapsed="false">
      <c r="A770" s="55" t="s">
        <v>5383</v>
      </c>
      <c r="B770" s="55" t="s">
        <v>1370</v>
      </c>
      <c r="C770" s="55" t="s">
        <v>1369</v>
      </c>
      <c r="D770" s="55" t="s">
        <v>47</v>
      </c>
      <c r="E770" s="55" t="s">
        <v>4556</v>
      </c>
      <c r="F770" s="55" t="s">
        <v>4568</v>
      </c>
      <c r="G770" s="55" t="s">
        <v>4569</v>
      </c>
      <c r="H770" s="55" t="s">
        <v>17</v>
      </c>
      <c r="I770" s="55" t="s">
        <v>4563</v>
      </c>
    </row>
    <row r="771" customFormat="false" ht="15" hidden="false" customHeight="false" outlineLevel="0" collapsed="false">
      <c r="A771" s="55" t="s">
        <v>5384</v>
      </c>
      <c r="B771" s="55" t="s">
        <v>466</v>
      </c>
      <c r="C771" s="55" t="s">
        <v>465</v>
      </c>
      <c r="D771" s="55" t="s">
        <v>45</v>
      </c>
      <c r="E771" s="55" t="s">
        <v>4556</v>
      </c>
      <c r="F771" s="55" t="s">
        <v>4557</v>
      </c>
      <c r="G771" s="55" t="s">
        <v>4558</v>
      </c>
      <c r="H771" s="55" t="s">
        <v>21</v>
      </c>
      <c r="I771" s="55" t="s">
        <v>4566</v>
      </c>
    </row>
    <row r="772" customFormat="false" ht="15" hidden="false" customHeight="false" outlineLevel="0" collapsed="false">
      <c r="A772" s="55" t="s">
        <v>5385</v>
      </c>
      <c r="B772" s="55" t="s">
        <v>466</v>
      </c>
      <c r="C772" s="55" t="s">
        <v>465</v>
      </c>
      <c r="D772" s="55" t="s">
        <v>46</v>
      </c>
      <c r="E772" s="55" t="s">
        <v>4556</v>
      </c>
      <c r="F772" s="55" t="s">
        <v>4557</v>
      </c>
      <c r="G772" s="55" t="s">
        <v>4558</v>
      </c>
      <c r="H772" s="55" t="s">
        <v>21</v>
      </c>
      <c r="I772" s="55" t="s">
        <v>4566</v>
      </c>
    </row>
    <row r="773" customFormat="false" ht="15" hidden="false" customHeight="false" outlineLevel="0" collapsed="false">
      <c r="A773" s="55" t="s">
        <v>5386</v>
      </c>
      <c r="B773" s="55" t="s">
        <v>2469</v>
      </c>
      <c r="C773" s="55" t="s">
        <v>2468</v>
      </c>
      <c r="D773" s="55" t="s">
        <v>46</v>
      </c>
      <c r="E773" s="55" t="s">
        <v>4556</v>
      </c>
      <c r="F773" s="55" t="s">
        <v>4561</v>
      </c>
      <c r="G773" s="55" t="s">
        <v>4562</v>
      </c>
      <c r="H773" s="55" t="s">
        <v>17</v>
      </c>
      <c r="I773" s="55" t="s">
        <v>4563</v>
      </c>
    </row>
    <row r="774" customFormat="false" ht="15" hidden="false" customHeight="false" outlineLevel="0" collapsed="false">
      <c r="A774" s="55" t="s">
        <v>5387</v>
      </c>
      <c r="B774" s="55" t="s">
        <v>338</v>
      </c>
      <c r="C774" s="55" t="s">
        <v>337</v>
      </c>
      <c r="D774" s="55" t="s">
        <v>46</v>
      </c>
      <c r="E774" s="55" t="s">
        <v>4556</v>
      </c>
      <c r="F774" s="55" t="s">
        <v>4557</v>
      </c>
      <c r="G774" s="55" t="s">
        <v>4558</v>
      </c>
      <c r="H774" s="55" t="s">
        <v>21</v>
      </c>
      <c r="I774" s="55" t="s">
        <v>4566</v>
      </c>
    </row>
    <row r="775" customFormat="false" ht="15" hidden="false" customHeight="false" outlineLevel="0" collapsed="false">
      <c r="A775" s="55" t="s">
        <v>5388</v>
      </c>
      <c r="B775" s="55" t="s">
        <v>3152</v>
      </c>
      <c r="C775" s="55" t="s">
        <v>3983</v>
      </c>
      <c r="D775" s="55" t="s">
        <v>46</v>
      </c>
      <c r="E775" s="55" t="s">
        <v>4556</v>
      </c>
      <c r="F775" s="55" t="s">
        <v>4653</v>
      </c>
      <c r="G775" s="55" t="s">
        <v>4654</v>
      </c>
      <c r="H775" s="55" t="s">
        <v>21</v>
      </c>
      <c r="I775" s="55" t="s">
        <v>4559</v>
      </c>
    </row>
    <row r="776" customFormat="false" ht="15" hidden="false" customHeight="false" outlineLevel="0" collapsed="false">
      <c r="A776" s="55" t="s">
        <v>5389</v>
      </c>
      <c r="B776" s="55" t="s">
        <v>768</v>
      </c>
      <c r="C776" s="55" t="s">
        <v>767</v>
      </c>
      <c r="D776" s="55" t="s">
        <v>45</v>
      </c>
      <c r="E776" s="55" t="s">
        <v>4556</v>
      </c>
      <c r="F776" s="55" t="s">
        <v>4557</v>
      </c>
      <c r="G776" s="55" t="s">
        <v>4558</v>
      </c>
      <c r="H776" s="55" t="s">
        <v>21</v>
      </c>
      <c r="I776" s="55" t="s">
        <v>4566</v>
      </c>
    </row>
    <row r="777" customFormat="false" ht="15" hidden="false" customHeight="false" outlineLevel="0" collapsed="false">
      <c r="A777" s="55" t="s">
        <v>5390</v>
      </c>
      <c r="B777" s="55" t="s">
        <v>2507</v>
      </c>
      <c r="C777" s="55" t="s">
        <v>2506</v>
      </c>
      <c r="D777" s="55" t="s">
        <v>45</v>
      </c>
      <c r="E777" s="55" t="s">
        <v>4556</v>
      </c>
      <c r="F777" s="55" t="s">
        <v>4561</v>
      </c>
      <c r="G777" s="55" t="s">
        <v>4562</v>
      </c>
      <c r="H777" s="55" t="s">
        <v>17</v>
      </c>
      <c r="I777" s="55" t="s">
        <v>4563</v>
      </c>
    </row>
    <row r="778" customFormat="false" ht="15" hidden="false" customHeight="false" outlineLevel="0" collapsed="false">
      <c r="A778" s="55" t="s">
        <v>5391</v>
      </c>
      <c r="B778" s="55" t="s">
        <v>2507</v>
      </c>
      <c r="C778" s="55" t="s">
        <v>2506</v>
      </c>
      <c r="D778" s="55" t="s">
        <v>46</v>
      </c>
      <c r="E778" s="55" t="s">
        <v>4556</v>
      </c>
      <c r="F778" s="55" t="s">
        <v>4561</v>
      </c>
      <c r="G778" s="55" t="s">
        <v>4562</v>
      </c>
      <c r="H778" s="55" t="s">
        <v>17</v>
      </c>
      <c r="I778" s="55" t="s">
        <v>4563</v>
      </c>
    </row>
    <row r="779" customFormat="false" ht="15" hidden="false" customHeight="false" outlineLevel="0" collapsed="false">
      <c r="A779" s="55" t="s">
        <v>5392</v>
      </c>
      <c r="B779" s="55" t="s">
        <v>1445</v>
      </c>
      <c r="C779" s="55" t="s">
        <v>1444</v>
      </c>
      <c r="D779" s="55" t="s">
        <v>45</v>
      </c>
      <c r="E779" s="55" t="s">
        <v>4556</v>
      </c>
      <c r="F779" s="55" t="s">
        <v>4703</v>
      </c>
      <c r="G779" s="55" t="s">
        <v>4704</v>
      </c>
      <c r="H779" s="55" t="s">
        <v>21</v>
      </c>
      <c r="I779" s="55" t="s">
        <v>4566</v>
      </c>
    </row>
    <row r="780" customFormat="false" ht="15" hidden="false" customHeight="false" outlineLevel="0" collapsed="false">
      <c r="A780" s="55" t="s">
        <v>5393</v>
      </c>
      <c r="B780" s="55" t="s">
        <v>1445</v>
      </c>
      <c r="C780" s="55" t="s">
        <v>1444</v>
      </c>
      <c r="D780" s="55" t="s">
        <v>46</v>
      </c>
      <c r="E780" s="55" t="s">
        <v>4556</v>
      </c>
      <c r="F780" s="55" t="s">
        <v>4557</v>
      </c>
      <c r="G780" s="55" t="s">
        <v>4558</v>
      </c>
      <c r="H780" s="55" t="s">
        <v>21</v>
      </c>
      <c r="I780" s="55" t="s">
        <v>4566</v>
      </c>
    </row>
    <row r="781" customFormat="false" ht="15" hidden="false" customHeight="false" outlineLevel="0" collapsed="false">
      <c r="A781" s="55" t="s">
        <v>5394</v>
      </c>
      <c r="B781" s="55" t="s">
        <v>3159</v>
      </c>
      <c r="C781" s="55" t="s">
        <v>3990</v>
      </c>
      <c r="D781" s="55" t="s">
        <v>46</v>
      </c>
      <c r="E781" s="55" t="s">
        <v>4556</v>
      </c>
      <c r="F781" s="55" t="s">
        <v>4561</v>
      </c>
      <c r="G781" s="55" t="s">
        <v>4565</v>
      </c>
      <c r="H781" s="55" t="s">
        <v>21</v>
      </c>
      <c r="I781" s="55" t="s">
        <v>4566</v>
      </c>
    </row>
    <row r="782" customFormat="false" ht="15" hidden="false" customHeight="false" outlineLevel="0" collapsed="false">
      <c r="A782" s="55" t="s">
        <v>5395</v>
      </c>
      <c r="B782" s="55" t="s">
        <v>1220</v>
      </c>
      <c r="C782" s="55" t="s">
        <v>1219</v>
      </c>
      <c r="D782" s="55" t="s">
        <v>45</v>
      </c>
      <c r="E782" s="55" t="s">
        <v>4556</v>
      </c>
      <c r="F782" s="55" t="s">
        <v>4557</v>
      </c>
      <c r="G782" s="55" t="s">
        <v>4558</v>
      </c>
      <c r="H782" s="55" t="s">
        <v>21</v>
      </c>
      <c r="I782" s="55" t="s">
        <v>4566</v>
      </c>
    </row>
    <row r="783" customFormat="false" ht="15" hidden="false" customHeight="false" outlineLevel="0" collapsed="false">
      <c r="A783" s="55" t="s">
        <v>5396</v>
      </c>
      <c r="B783" s="55" t="s">
        <v>818</v>
      </c>
      <c r="C783" s="55" t="s">
        <v>817</v>
      </c>
      <c r="D783" s="55" t="s">
        <v>45</v>
      </c>
      <c r="E783" s="55" t="s">
        <v>4556</v>
      </c>
      <c r="F783" s="55" t="s">
        <v>4557</v>
      </c>
      <c r="G783" s="55" t="s">
        <v>4558</v>
      </c>
      <c r="H783" s="55" t="s">
        <v>21</v>
      </c>
      <c r="I783" s="55" t="s">
        <v>4566</v>
      </c>
    </row>
    <row r="784" customFormat="false" ht="15" hidden="false" customHeight="false" outlineLevel="0" collapsed="false">
      <c r="A784" s="55" t="s">
        <v>5397</v>
      </c>
      <c r="B784" s="55" t="s">
        <v>3161</v>
      </c>
      <c r="C784" s="55" t="s">
        <v>3995</v>
      </c>
      <c r="D784" s="55" t="s">
        <v>46</v>
      </c>
      <c r="E784" s="55" t="s">
        <v>4556</v>
      </c>
      <c r="F784" s="55" t="s">
        <v>4561</v>
      </c>
      <c r="G784" s="55" t="s">
        <v>4562</v>
      </c>
      <c r="H784" s="55" t="s">
        <v>17</v>
      </c>
      <c r="I784" s="55" t="s">
        <v>4563</v>
      </c>
    </row>
    <row r="785" customFormat="false" ht="15" hidden="false" customHeight="false" outlineLevel="0" collapsed="false">
      <c r="A785" s="55" t="s">
        <v>5398</v>
      </c>
      <c r="B785" s="55" t="s">
        <v>2052</v>
      </c>
      <c r="C785" s="55" t="s">
        <v>2051</v>
      </c>
      <c r="D785" s="55" t="s">
        <v>45</v>
      </c>
      <c r="E785" s="55" t="s">
        <v>4556</v>
      </c>
      <c r="F785" s="55" t="s">
        <v>4568</v>
      </c>
      <c r="G785" s="55" t="s">
        <v>4569</v>
      </c>
      <c r="H785" s="55" t="s">
        <v>17</v>
      </c>
      <c r="I785" s="55" t="s">
        <v>4563</v>
      </c>
    </row>
    <row r="786" customFormat="false" ht="15" hidden="false" customHeight="false" outlineLevel="0" collapsed="false">
      <c r="A786" s="55" t="s">
        <v>5399</v>
      </c>
      <c r="B786" s="55" t="s">
        <v>2052</v>
      </c>
      <c r="C786" s="55" t="s">
        <v>2051</v>
      </c>
      <c r="D786" s="55" t="s">
        <v>47</v>
      </c>
      <c r="E786" s="55" t="s">
        <v>4556</v>
      </c>
      <c r="F786" s="55" t="s">
        <v>4557</v>
      </c>
      <c r="G786" s="55" t="s">
        <v>4558</v>
      </c>
      <c r="H786" s="55" t="s">
        <v>21</v>
      </c>
      <c r="I786" s="55" t="s">
        <v>4559</v>
      </c>
    </row>
    <row r="787" customFormat="false" ht="15" hidden="false" customHeight="false" outlineLevel="0" collapsed="false">
      <c r="A787" s="55" t="s">
        <v>5400</v>
      </c>
      <c r="B787" s="55" t="s">
        <v>2324</v>
      </c>
      <c r="C787" s="55" t="s">
        <v>2323</v>
      </c>
      <c r="D787" s="55" t="s">
        <v>45</v>
      </c>
      <c r="E787" s="55" t="s">
        <v>4556</v>
      </c>
      <c r="F787" s="55" t="s">
        <v>4571</v>
      </c>
      <c r="G787" s="55" t="s">
        <v>4572</v>
      </c>
      <c r="H787" s="55" t="s">
        <v>21</v>
      </c>
      <c r="I787" s="55" t="s">
        <v>4559</v>
      </c>
    </row>
    <row r="788" customFormat="false" ht="15" hidden="false" customHeight="false" outlineLevel="0" collapsed="false">
      <c r="A788" s="55" t="s">
        <v>5401</v>
      </c>
      <c r="B788" s="55" t="s">
        <v>2324</v>
      </c>
      <c r="C788" s="55" t="s">
        <v>2323</v>
      </c>
      <c r="D788" s="55" t="s">
        <v>46</v>
      </c>
      <c r="E788" s="55" t="s">
        <v>4556</v>
      </c>
      <c r="F788" s="55" t="s">
        <v>4197</v>
      </c>
      <c r="G788" s="55" t="s">
        <v>4579</v>
      </c>
      <c r="H788" s="55" t="s">
        <v>17</v>
      </c>
      <c r="I788" s="55" t="s">
        <v>4563</v>
      </c>
    </row>
    <row r="789" customFormat="false" ht="15" hidden="false" customHeight="false" outlineLevel="0" collapsed="false">
      <c r="A789" s="55" t="s">
        <v>5402</v>
      </c>
      <c r="B789" s="55" t="s">
        <v>1081</v>
      </c>
      <c r="C789" s="55" t="s">
        <v>1080</v>
      </c>
      <c r="D789" s="55" t="s">
        <v>45</v>
      </c>
      <c r="E789" s="55" t="s">
        <v>4556</v>
      </c>
      <c r="F789" s="55" t="s">
        <v>4557</v>
      </c>
      <c r="G789" s="55" t="s">
        <v>4558</v>
      </c>
      <c r="H789" s="55" t="s">
        <v>21</v>
      </c>
      <c r="I789" s="55" t="s">
        <v>4566</v>
      </c>
    </row>
    <row r="790" customFormat="false" ht="15" hidden="false" customHeight="false" outlineLevel="0" collapsed="false">
      <c r="A790" s="55" t="s">
        <v>5403</v>
      </c>
      <c r="B790" s="55" t="s">
        <v>1081</v>
      </c>
      <c r="C790" s="55" t="s">
        <v>1080</v>
      </c>
      <c r="D790" s="55" t="s">
        <v>46</v>
      </c>
      <c r="E790" s="55" t="s">
        <v>4556</v>
      </c>
      <c r="F790" s="55" t="s">
        <v>4568</v>
      </c>
      <c r="G790" s="55" t="s">
        <v>4592</v>
      </c>
      <c r="H790" s="55" t="s">
        <v>21</v>
      </c>
      <c r="I790" s="55" t="s">
        <v>4566</v>
      </c>
    </row>
    <row r="791" customFormat="false" ht="15" hidden="false" customHeight="false" outlineLevel="0" collapsed="false">
      <c r="A791" s="55" t="s">
        <v>5404</v>
      </c>
      <c r="B791" s="55" t="s">
        <v>1081</v>
      </c>
      <c r="C791" s="55" t="s">
        <v>1080</v>
      </c>
      <c r="D791" s="55" t="s">
        <v>47</v>
      </c>
      <c r="E791" s="55" t="s">
        <v>4556</v>
      </c>
      <c r="F791" s="55" t="s">
        <v>4653</v>
      </c>
      <c r="G791" s="55" t="s">
        <v>4654</v>
      </c>
      <c r="H791" s="55" t="s">
        <v>21</v>
      </c>
      <c r="I791" s="55" t="s">
        <v>4566</v>
      </c>
    </row>
    <row r="792" customFormat="false" ht="15" hidden="false" customHeight="false" outlineLevel="0" collapsed="false">
      <c r="A792" s="55" t="s">
        <v>5405</v>
      </c>
      <c r="B792" s="55" t="s">
        <v>1713</v>
      </c>
      <c r="C792" s="55" t="s">
        <v>1712</v>
      </c>
      <c r="D792" s="55" t="s">
        <v>46</v>
      </c>
      <c r="E792" s="55" t="s">
        <v>4556</v>
      </c>
      <c r="F792" s="55" t="s">
        <v>4557</v>
      </c>
      <c r="G792" s="55" t="s">
        <v>4558</v>
      </c>
      <c r="H792" s="55" t="s">
        <v>21</v>
      </c>
      <c r="I792" s="55" t="s">
        <v>4566</v>
      </c>
    </row>
    <row r="793" customFormat="false" ht="15" hidden="false" customHeight="false" outlineLevel="0" collapsed="false">
      <c r="A793" s="55" t="s">
        <v>5406</v>
      </c>
      <c r="B793" s="55" t="s">
        <v>1713</v>
      </c>
      <c r="C793" s="55" t="s">
        <v>1712</v>
      </c>
      <c r="D793" s="55" t="s">
        <v>47</v>
      </c>
      <c r="E793" s="55" t="s">
        <v>4556</v>
      </c>
      <c r="F793" s="55" t="s">
        <v>4557</v>
      </c>
      <c r="G793" s="55" t="s">
        <v>4558</v>
      </c>
      <c r="H793" s="55" t="s">
        <v>21</v>
      </c>
      <c r="I793" s="55" t="s">
        <v>4566</v>
      </c>
    </row>
    <row r="794" customFormat="false" ht="15" hidden="false" customHeight="false" outlineLevel="0" collapsed="false">
      <c r="A794" s="55" t="s">
        <v>5407</v>
      </c>
      <c r="B794" s="55" t="s">
        <v>694</v>
      </c>
      <c r="C794" s="55" t="s">
        <v>693</v>
      </c>
      <c r="D794" s="55" t="s">
        <v>45</v>
      </c>
      <c r="E794" s="55" t="s">
        <v>4556</v>
      </c>
      <c r="F794" s="55" t="s">
        <v>4557</v>
      </c>
      <c r="G794" s="55" t="s">
        <v>4558</v>
      </c>
      <c r="H794" s="55" t="s">
        <v>21</v>
      </c>
      <c r="I794" s="55" t="s">
        <v>4566</v>
      </c>
    </row>
    <row r="795" customFormat="false" ht="15" hidden="false" customHeight="false" outlineLevel="0" collapsed="false">
      <c r="A795" s="55" t="s">
        <v>5408</v>
      </c>
      <c r="B795" s="55" t="s">
        <v>694</v>
      </c>
      <c r="C795" s="55" t="s">
        <v>693</v>
      </c>
      <c r="D795" s="55" t="s">
        <v>46</v>
      </c>
      <c r="E795" s="55" t="s">
        <v>4556</v>
      </c>
      <c r="F795" s="55" t="s">
        <v>4571</v>
      </c>
      <c r="G795" s="55" t="s">
        <v>4572</v>
      </c>
      <c r="H795" s="55" t="s">
        <v>21</v>
      </c>
      <c r="I795" s="55" t="s">
        <v>4566</v>
      </c>
    </row>
    <row r="796" customFormat="false" ht="15" hidden="false" customHeight="false" outlineLevel="0" collapsed="false">
      <c r="A796" s="55" t="s">
        <v>5409</v>
      </c>
      <c r="B796" s="55" t="s">
        <v>1963</v>
      </c>
      <c r="C796" s="55" t="s">
        <v>1962</v>
      </c>
      <c r="D796" s="55" t="s">
        <v>45</v>
      </c>
      <c r="E796" s="55" t="s">
        <v>4556</v>
      </c>
      <c r="F796" s="55" t="s">
        <v>4561</v>
      </c>
      <c r="G796" s="55" t="s">
        <v>4565</v>
      </c>
      <c r="H796" s="55" t="s">
        <v>21</v>
      </c>
      <c r="I796" s="55" t="s">
        <v>4566</v>
      </c>
    </row>
    <row r="797" customFormat="false" ht="15" hidden="false" customHeight="false" outlineLevel="0" collapsed="false">
      <c r="A797" s="55" t="s">
        <v>5410</v>
      </c>
      <c r="B797" s="55" t="s">
        <v>1963</v>
      </c>
      <c r="C797" s="55" t="s">
        <v>1962</v>
      </c>
      <c r="D797" s="55" t="s">
        <v>46</v>
      </c>
      <c r="E797" s="55" t="s">
        <v>4556</v>
      </c>
      <c r="F797" s="55" t="s">
        <v>4561</v>
      </c>
      <c r="G797" s="55" t="s">
        <v>4565</v>
      </c>
      <c r="H797" s="55" t="s">
        <v>21</v>
      </c>
      <c r="I797" s="55" t="s">
        <v>4566</v>
      </c>
    </row>
    <row r="798" customFormat="false" ht="15" hidden="false" customHeight="false" outlineLevel="0" collapsed="false">
      <c r="A798" s="55" t="s">
        <v>5411</v>
      </c>
      <c r="B798" s="55" t="s">
        <v>837</v>
      </c>
      <c r="C798" s="55" t="s">
        <v>836</v>
      </c>
      <c r="D798" s="55" t="s">
        <v>45</v>
      </c>
      <c r="E798" s="55" t="s">
        <v>4556</v>
      </c>
      <c r="F798" s="55" t="s">
        <v>4557</v>
      </c>
      <c r="G798" s="55" t="s">
        <v>4558</v>
      </c>
      <c r="H798" s="55" t="s">
        <v>21</v>
      </c>
      <c r="I798" s="55" t="s">
        <v>4566</v>
      </c>
    </row>
    <row r="799" customFormat="false" ht="15" hidden="false" customHeight="false" outlineLevel="0" collapsed="false">
      <c r="A799" s="55" t="s">
        <v>5412</v>
      </c>
      <c r="B799" s="55" t="s">
        <v>837</v>
      </c>
      <c r="C799" s="55" t="s">
        <v>836</v>
      </c>
      <c r="D799" s="55" t="s">
        <v>46</v>
      </c>
      <c r="E799" s="55" t="s">
        <v>4556</v>
      </c>
      <c r="F799" s="55" t="s">
        <v>4557</v>
      </c>
      <c r="G799" s="55" t="s">
        <v>4558</v>
      </c>
      <c r="H799" s="55" t="s">
        <v>21</v>
      </c>
      <c r="I799" s="55" t="s">
        <v>4566</v>
      </c>
    </row>
    <row r="800" customFormat="false" ht="15" hidden="false" customHeight="false" outlineLevel="0" collapsed="false">
      <c r="A800" s="55" t="s">
        <v>5413</v>
      </c>
      <c r="B800" s="55" t="s">
        <v>837</v>
      </c>
      <c r="C800" s="55" t="s">
        <v>836</v>
      </c>
      <c r="D800" s="55" t="s">
        <v>47</v>
      </c>
      <c r="E800" s="55" t="s">
        <v>4556</v>
      </c>
      <c r="F800" s="55" t="s">
        <v>4571</v>
      </c>
      <c r="G800" s="55" t="s">
        <v>4572</v>
      </c>
      <c r="H800" s="55" t="s">
        <v>21</v>
      </c>
      <c r="I800" s="55" t="s">
        <v>4566</v>
      </c>
    </row>
    <row r="801" customFormat="false" ht="15" hidden="false" customHeight="false" outlineLevel="0" collapsed="false">
      <c r="A801" s="55" t="s">
        <v>5414</v>
      </c>
      <c r="B801" s="55" t="s">
        <v>2203</v>
      </c>
      <c r="C801" s="55" t="s">
        <v>2202</v>
      </c>
      <c r="D801" s="55" t="s">
        <v>45</v>
      </c>
      <c r="E801" s="55" t="s">
        <v>4556</v>
      </c>
      <c r="F801" s="55" t="s">
        <v>4561</v>
      </c>
      <c r="G801" s="55" t="s">
        <v>4562</v>
      </c>
      <c r="H801" s="55" t="s">
        <v>17</v>
      </c>
      <c r="I801" s="55" t="s">
        <v>4563</v>
      </c>
    </row>
    <row r="802" customFormat="false" ht="15" hidden="false" customHeight="false" outlineLevel="0" collapsed="false">
      <c r="A802" s="55" t="s">
        <v>5415</v>
      </c>
      <c r="B802" s="55" t="s">
        <v>1357</v>
      </c>
      <c r="C802" s="55" t="s">
        <v>1356</v>
      </c>
      <c r="D802" s="55" t="s">
        <v>46</v>
      </c>
      <c r="E802" s="55" t="s">
        <v>4556</v>
      </c>
      <c r="F802" s="55" t="s">
        <v>4557</v>
      </c>
      <c r="G802" s="55" t="s">
        <v>4741</v>
      </c>
      <c r="H802" s="55" t="s">
        <v>84</v>
      </c>
      <c r="I802" s="55" t="s">
        <v>4611</v>
      </c>
    </row>
    <row r="803" customFormat="false" ht="15" hidden="false" customHeight="false" outlineLevel="0" collapsed="false">
      <c r="A803" s="55" t="s">
        <v>5416</v>
      </c>
      <c r="B803" s="55" t="s">
        <v>504</v>
      </c>
      <c r="C803" s="55" t="s">
        <v>503</v>
      </c>
      <c r="D803" s="55" t="s">
        <v>46</v>
      </c>
      <c r="E803" s="55" t="s">
        <v>4556</v>
      </c>
      <c r="F803" s="55" t="s">
        <v>4557</v>
      </c>
      <c r="G803" s="55" t="s">
        <v>4558</v>
      </c>
      <c r="H803" s="55" t="s">
        <v>21</v>
      </c>
      <c r="I803" s="55" t="s">
        <v>4559</v>
      </c>
    </row>
    <row r="804" customFormat="false" ht="15" hidden="false" customHeight="false" outlineLevel="0" collapsed="false">
      <c r="A804" s="55" t="s">
        <v>5417</v>
      </c>
      <c r="B804" s="55" t="s">
        <v>91</v>
      </c>
      <c r="C804" s="55" t="s">
        <v>90</v>
      </c>
      <c r="D804" s="55" t="s">
        <v>46</v>
      </c>
      <c r="E804" s="55" t="s">
        <v>4556</v>
      </c>
      <c r="F804" s="55" t="s">
        <v>4557</v>
      </c>
      <c r="G804" s="55" t="s">
        <v>4558</v>
      </c>
      <c r="H804" s="55" t="s">
        <v>21</v>
      </c>
      <c r="I804" s="55" t="s">
        <v>4566</v>
      </c>
    </row>
    <row r="805" customFormat="false" ht="15" hidden="false" customHeight="false" outlineLevel="0" collapsed="false">
      <c r="A805" s="55" t="s">
        <v>5418</v>
      </c>
      <c r="B805" s="55" t="s">
        <v>574</v>
      </c>
      <c r="C805" s="55" t="s">
        <v>573</v>
      </c>
      <c r="D805" s="55" t="s">
        <v>45</v>
      </c>
      <c r="E805" s="55" t="s">
        <v>4556</v>
      </c>
      <c r="F805" s="55" t="s">
        <v>4557</v>
      </c>
      <c r="G805" s="55" t="s">
        <v>4558</v>
      </c>
      <c r="H805" s="55" t="s">
        <v>21</v>
      </c>
      <c r="I805" s="55" t="s">
        <v>4559</v>
      </c>
    </row>
    <row r="806" customFormat="false" ht="15" hidden="false" customHeight="false" outlineLevel="0" collapsed="false">
      <c r="A806" s="55" t="s">
        <v>5419</v>
      </c>
      <c r="B806" s="55" t="s">
        <v>574</v>
      </c>
      <c r="C806" s="55" t="s">
        <v>573</v>
      </c>
      <c r="D806" s="55" t="s">
        <v>46</v>
      </c>
      <c r="E806" s="55" t="s">
        <v>4556</v>
      </c>
      <c r="F806" s="55" t="s">
        <v>4557</v>
      </c>
      <c r="G806" s="55" t="s">
        <v>4558</v>
      </c>
      <c r="H806" s="55" t="s">
        <v>21</v>
      </c>
      <c r="I806" s="55" t="s">
        <v>4566</v>
      </c>
    </row>
    <row r="807" customFormat="false" ht="15" hidden="false" customHeight="false" outlineLevel="0" collapsed="false">
      <c r="A807" s="55" t="s">
        <v>5420</v>
      </c>
      <c r="B807" s="55" t="s">
        <v>1613</v>
      </c>
      <c r="C807" s="55" t="s">
        <v>1612</v>
      </c>
      <c r="D807" s="55" t="s">
        <v>45</v>
      </c>
      <c r="E807" s="55" t="s">
        <v>4556</v>
      </c>
      <c r="F807" s="55" t="s">
        <v>4703</v>
      </c>
      <c r="G807" s="55" t="s">
        <v>4835</v>
      </c>
      <c r="H807" s="55" t="s">
        <v>17</v>
      </c>
      <c r="I807" s="55" t="s">
        <v>4601</v>
      </c>
    </row>
    <row r="808" customFormat="false" ht="15" hidden="false" customHeight="false" outlineLevel="0" collapsed="false">
      <c r="A808" s="55" t="s">
        <v>5421</v>
      </c>
      <c r="B808" s="55" t="s">
        <v>1613</v>
      </c>
      <c r="C808" s="55" t="s">
        <v>1612</v>
      </c>
      <c r="D808" s="55" t="s">
        <v>46</v>
      </c>
      <c r="E808" s="55" t="s">
        <v>4556</v>
      </c>
      <c r="F808" s="55" t="s">
        <v>4557</v>
      </c>
      <c r="G808" s="55" t="s">
        <v>4558</v>
      </c>
      <c r="H808" s="55" t="s">
        <v>21</v>
      </c>
      <c r="I808" s="55" t="s">
        <v>4566</v>
      </c>
    </row>
    <row r="809" customFormat="false" ht="15" hidden="false" customHeight="false" outlineLevel="0" collapsed="false">
      <c r="A809" s="55" t="s">
        <v>5422</v>
      </c>
      <c r="B809" s="55" t="s">
        <v>3173</v>
      </c>
      <c r="C809" s="55" t="s">
        <v>4012</v>
      </c>
      <c r="D809" s="55" t="s">
        <v>45</v>
      </c>
      <c r="E809" s="55" t="s">
        <v>4556</v>
      </c>
      <c r="F809" s="55" t="s">
        <v>4561</v>
      </c>
      <c r="G809" s="55" t="s">
        <v>4562</v>
      </c>
      <c r="H809" s="55" t="s">
        <v>17</v>
      </c>
      <c r="I809" s="55" t="s">
        <v>4563</v>
      </c>
    </row>
    <row r="810" customFormat="false" ht="15" hidden="false" customHeight="false" outlineLevel="0" collapsed="false">
      <c r="A810" s="55" t="s">
        <v>5423</v>
      </c>
      <c r="B810" s="55" t="s">
        <v>3173</v>
      </c>
      <c r="C810" s="55" t="s">
        <v>4012</v>
      </c>
      <c r="D810" s="55" t="s">
        <v>46</v>
      </c>
      <c r="E810" s="55" t="s">
        <v>4556</v>
      </c>
      <c r="F810" s="55" t="s">
        <v>4561</v>
      </c>
      <c r="G810" s="55" t="s">
        <v>4565</v>
      </c>
      <c r="H810" s="55" t="s">
        <v>21</v>
      </c>
      <c r="I810" s="55" t="s">
        <v>4566</v>
      </c>
    </row>
    <row r="811" customFormat="false" ht="15" hidden="false" customHeight="false" outlineLevel="0" collapsed="false">
      <c r="A811" s="55" t="s">
        <v>5424</v>
      </c>
      <c r="B811" s="55" t="s">
        <v>1250</v>
      </c>
      <c r="C811" s="55" t="s">
        <v>1249</v>
      </c>
      <c r="D811" s="55" t="s">
        <v>46</v>
      </c>
      <c r="E811" s="55" t="s">
        <v>4556</v>
      </c>
      <c r="F811" s="55" t="s">
        <v>4197</v>
      </c>
      <c r="G811" s="55" t="s">
        <v>4589</v>
      </c>
      <c r="H811" s="55" t="s">
        <v>21</v>
      </c>
      <c r="I811" s="55" t="s">
        <v>4566</v>
      </c>
    </row>
    <row r="812" customFormat="false" ht="15" hidden="false" customHeight="false" outlineLevel="0" collapsed="false">
      <c r="A812" s="55" t="s">
        <v>5425</v>
      </c>
      <c r="B812" s="55" t="s">
        <v>1321</v>
      </c>
      <c r="C812" s="55" t="s">
        <v>1320</v>
      </c>
      <c r="D812" s="55" t="s">
        <v>45</v>
      </c>
      <c r="E812" s="55" t="s">
        <v>4556</v>
      </c>
      <c r="F812" s="55" t="s">
        <v>4557</v>
      </c>
      <c r="G812" s="55" t="s">
        <v>4558</v>
      </c>
      <c r="H812" s="55" t="s">
        <v>21</v>
      </c>
      <c r="I812" s="55" t="s">
        <v>4566</v>
      </c>
    </row>
    <row r="813" customFormat="false" ht="15" hidden="false" customHeight="false" outlineLevel="0" collapsed="false">
      <c r="A813" s="55" t="s">
        <v>5426</v>
      </c>
      <c r="B813" s="55" t="s">
        <v>1321</v>
      </c>
      <c r="C813" s="55" t="s">
        <v>1320</v>
      </c>
      <c r="D813" s="55" t="s">
        <v>46</v>
      </c>
      <c r="E813" s="55" t="s">
        <v>4556</v>
      </c>
      <c r="F813" s="55" t="s">
        <v>4561</v>
      </c>
      <c r="G813" s="55" t="s">
        <v>4565</v>
      </c>
      <c r="H813" s="55" t="s">
        <v>21</v>
      </c>
      <c r="I813" s="55" t="s">
        <v>4566</v>
      </c>
    </row>
    <row r="814" customFormat="false" ht="15" hidden="false" customHeight="false" outlineLevel="0" collapsed="false">
      <c r="A814" s="55" t="s">
        <v>5427</v>
      </c>
      <c r="B814" s="55" t="s">
        <v>700</v>
      </c>
      <c r="C814" s="55" t="s">
        <v>699</v>
      </c>
      <c r="D814" s="55" t="s">
        <v>46</v>
      </c>
      <c r="E814" s="55" t="s">
        <v>4556</v>
      </c>
      <c r="F814" s="55" t="s">
        <v>4571</v>
      </c>
      <c r="G814" s="55" t="s">
        <v>4572</v>
      </c>
      <c r="H814" s="55" t="s">
        <v>21</v>
      </c>
      <c r="I814" s="55" t="s">
        <v>4566</v>
      </c>
    </row>
    <row r="815" customFormat="false" ht="15" hidden="false" customHeight="false" outlineLevel="0" collapsed="false">
      <c r="A815" s="55" t="s">
        <v>5428</v>
      </c>
      <c r="B815" s="55" t="s">
        <v>418</v>
      </c>
      <c r="C815" s="55" t="s">
        <v>417</v>
      </c>
      <c r="D815" s="55" t="s">
        <v>45</v>
      </c>
      <c r="E815" s="55" t="s">
        <v>4556</v>
      </c>
      <c r="F815" s="55" t="s">
        <v>4557</v>
      </c>
      <c r="G815" s="55" t="s">
        <v>4558</v>
      </c>
      <c r="H815" s="55" t="s">
        <v>21</v>
      </c>
      <c r="I815" s="55" t="s">
        <v>4566</v>
      </c>
    </row>
    <row r="816" customFormat="false" ht="15" hidden="false" customHeight="false" outlineLevel="0" collapsed="false">
      <c r="A816" s="55" t="s">
        <v>5429</v>
      </c>
      <c r="B816" s="55" t="s">
        <v>418</v>
      </c>
      <c r="C816" s="55" t="s">
        <v>417</v>
      </c>
      <c r="D816" s="55" t="s">
        <v>46</v>
      </c>
      <c r="E816" s="55" t="s">
        <v>4556</v>
      </c>
      <c r="F816" s="55" t="s">
        <v>4557</v>
      </c>
      <c r="G816" s="55" t="s">
        <v>4558</v>
      </c>
      <c r="H816" s="55" t="s">
        <v>21</v>
      </c>
      <c r="I816" s="55" t="s">
        <v>4566</v>
      </c>
    </row>
  </sheetData>
  <autoFilter ref="A4:I8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2"/>
    <col collapsed="false" customWidth="true" hidden="false" outlineLevel="0" max="5" min="4" style="0" width="70"/>
  </cols>
  <sheetData>
    <row r="1" customFormat="false" ht="17.35" hidden="false" customHeight="false" outlineLevel="0" collapsed="false">
      <c r="A1" s="56" t="s">
        <v>5430</v>
      </c>
      <c r="B1" s="2"/>
      <c r="C1" s="2"/>
      <c r="D1" s="2"/>
      <c r="E1" s="2"/>
    </row>
    <row r="2" customFormat="false" ht="15" hidden="false" customHeight="false" outlineLevel="0" collapsed="false">
      <c r="A2" s="3" t="s">
        <v>5431</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4351</v>
      </c>
      <c r="B4" s="8" t="s">
        <v>4352</v>
      </c>
      <c r="C4" s="8" t="s">
        <v>5432</v>
      </c>
      <c r="D4" s="8" t="s">
        <v>5433</v>
      </c>
      <c r="E4" s="8" t="s">
        <v>5434</v>
      </c>
    </row>
    <row r="5" customFormat="false" ht="39.55" hidden="false" customHeight="false" outlineLevel="0" collapsed="false">
      <c r="A5" s="60" t="s">
        <v>4369</v>
      </c>
      <c r="B5" s="61" t="s">
        <v>4370</v>
      </c>
      <c r="C5" s="59" t="n">
        <v>11</v>
      </c>
      <c r="D5" s="59" t="s">
        <v>5435</v>
      </c>
      <c r="E5" s="59" t="s">
        <v>4374</v>
      </c>
    </row>
    <row r="6" customFormat="false" ht="26.85" hidden="false" customHeight="false" outlineLevel="0" collapsed="false">
      <c r="A6" s="60" t="s">
        <v>4513</v>
      </c>
      <c r="B6" s="62" t="s">
        <v>5436</v>
      </c>
      <c r="C6" s="59" t="n">
        <v>7</v>
      </c>
      <c r="D6" s="59" t="s">
        <v>5437</v>
      </c>
      <c r="E6" s="59" t="s">
        <v>5438</v>
      </c>
    </row>
    <row r="7" customFormat="false" ht="39.55" hidden="false" customHeight="false" outlineLevel="0" collapsed="false">
      <c r="A7" s="60" t="s">
        <v>4414</v>
      </c>
      <c r="B7" s="61" t="s">
        <v>4370</v>
      </c>
      <c r="C7" s="59" t="n">
        <v>14</v>
      </c>
      <c r="D7" s="59" t="s">
        <v>5439</v>
      </c>
      <c r="E7" s="59" t="s">
        <v>4420</v>
      </c>
    </row>
    <row r="8" customFormat="false" ht="26.85" hidden="false" customHeight="false" outlineLevel="0" collapsed="false">
      <c r="A8" s="60" t="s">
        <v>4537</v>
      </c>
      <c r="B8" s="62" t="s">
        <v>5436</v>
      </c>
      <c r="C8" s="59" t="n">
        <v>6</v>
      </c>
      <c r="D8" s="59" t="s">
        <v>5440</v>
      </c>
      <c r="E8" s="59" t="s">
        <v>5441</v>
      </c>
    </row>
    <row r="9" customFormat="false" ht="26.85" hidden="false" customHeight="false" outlineLevel="0" collapsed="false">
      <c r="A9" s="60" t="s">
        <v>4556</v>
      </c>
      <c r="B9" s="62" t="s">
        <v>5436</v>
      </c>
      <c r="C9" s="59" t="n">
        <v>793</v>
      </c>
      <c r="D9" s="59" t="s">
        <v>5442</v>
      </c>
      <c r="E9" s="59" t="s">
        <v>5443</v>
      </c>
    </row>
    <row r="10" customFormat="false" ht="26.85" hidden="false" customHeight="false" outlineLevel="0" collapsed="false">
      <c r="A10" s="60" t="s">
        <v>4493</v>
      </c>
      <c r="B10" s="62" t="s">
        <v>5436</v>
      </c>
      <c r="C10" s="59" t="n">
        <v>6</v>
      </c>
      <c r="D10" s="59" t="s">
        <v>5444</v>
      </c>
      <c r="E10" s="59" t="s">
        <v>5445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1"/>
    <col collapsed="false" customWidth="true" hidden="false" outlineLevel="0" max="4" min="4" style="0" width="10"/>
    <col collapsed="false" customWidth="true" hidden="false" outlineLevel="0" max="5" min="5" style="0" width="22"/>
    <col collapsed="false" customWidth="true" hidden="false" outlineLevel="0" max="6" min="6" style="0" width="26"/>
    <col collapsed="false" customWidth="true" hidden="false" outlineLevel="0" max="7" min="7" style="0" width="50"/>
    <col collapsed="false" customWidth="true" hidden="false" outlineLevel="0" max="8" min="8" style="0" width="18"/>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16"/>
    <col collapsed="false" customWidth="true" hidden="false" outlineLevel="0" max="13" min="13" style="0" width="30"/>
  </cols>
  <sheetData>
    <row r="1" customFormat="false" ht="17.35" hidden="false" customHeight="false" outlineLevel="0" collapsed="false">
      <c r="A1" s="56" t="s">
        <v>5446</v>
      </c>
      <c r="B1" s="2"/>
      <c r="C1" s="2"/>
      <c r="D1" s="2"/>
      <c r="E1" s="2"/>
      <c r="F1" s="2"/>
      <c r="G1" s="2"/>
      <c r="H1" s="2"/>
      <c r="I1" s="2"/>
      <c r="J1" s="2"/>
      <c r="K1" s="2"/>
      <c r="L1" s="2"/>
      <c r="M1" s="2"/>
    </row>
    <row r="2" customFormat="false" ht="15" hidden="false" customHeight="false" outlineLevel="0" collapsed="false">
      <c r="A2" s="3" t="s">
        <v>5447</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31.5" hidden="false" customHeight="true" outlineLevel="0" collapsed="false">
      <c r="A4" s="8" t="s">
        <v>5448</v>
      </c>
      <c r="B4" s="8" t="s">
        <v>4348</v>
      </c>
      <c r="C4" s="8" t="s">
        <v>56</v>
      </c>
      <c r="D4" s="8" t="s">
        <v>42</v>
      </c>
      <c r="E4" s="8" t="s">
        <v>4489</v>
      </c>
      <c r="F4" s="8" t="s">
        <v>4351</v>
      </c>
      <c r="G4" s="8" t="s">
        <v>5449</v>
      </c>
      <c r="H4" s="8" t="s">
        <v>4293</v>
      </c>
      <c r="I4" s="8" t="s">
        <v>4360</v>
      </c>
      <c r="J4" s="8" t="s">
        <v>4363</v>
      </c>
      <c r="K4" s="8" t="s">
        <v>4364</v>
      </c>
      <c r="L4" s="8" t="s">
        <v>4361</v>
      </c>
      <c r="M4" s="8" t="s">
        <v>4362</v>
      </c>
    </row>
    <row r="5" customFormat="false" ht="15" hidden="false" customHeight="false" outlineLevel="0" collapsed="false">
      <c r="A5" s="55" t="s">
        <v>4378</v>
      </c>
      <c r="B5" s="55" t="s">
        <v>4366</v>
      </c>
      <c r="C5" s="55" t="s">
        <v>1183</v>
      </c>
      <c r="D5" s="55" t="s">
        <v>45</v>
      </c>
      <c r="E5" s="55" t="s">
        <v>4514</v>
      </c>
      <c r="F5" s="55" t="s">
        <v>4369</v>
      </c>
      <c r="G5" s="55" t="s">
        <v>5450</v>
      </c>
      <c r="H5" s="55" t="s">
        <v>4375</v>
      </c>
      <c r="I5" s="55"/>
      <c r="J5" s="55" t="s">
        <v>1184</v>
      </c>
      <c r="K5" s="55" t="s">
        <v>19</v>
      </c>
      <c r="L5" s="55" t="s">
        <v>4376</v>
      </c>
      <c r="M5" s="55" t="s">
        <v>4377</v>
      </c>
    </row>
    <row r="6" customFormat="false" ht="15" hidden="false" customHeight="false" outlineLevel="0" collapsed="false">
      <c r="A6" s="55" t="s">
        <v>4378</v>
      </c>
      <c r="B6" s="55" t="s">
        <v>4379</v>
      </c>
      <c r="C6" s="55" t="s">
        <v>1279</v>
      </c>
      <c r="D6" s="55" t="s">
        <v>45</v>
      </c>
      <c r="E6" s="55" t="s">
        <v>4514</v>
      </c>
      <c r="F6" s="55" t="s">
        <v>4369</v>
      </c>
      <c r="G6" s="55" t="s">
        <v>5451</v>
      </c>
      <c r="H6" s="55" t="s">
        <v>4382</v>
      </c>
      <c r="I6" s="55"/>
      <c r="J6" s="55" t="s">
        <v>4380</v>
      </c>
      <c r="K6" s="55" t="s">
        <v>21</v>
      </c>
      <c r="L6" s="55" t="s">
        <v>4376</v>
      </c>
      <c r="M6" s="55" t="s">
        <v>4377</v>
      </c>
    </row>
    <row r="7" customFormat="false" ht="15" hidden="false" customHeight="false" outlineLevel="0" collapsed="false">
      <c r="A7" s="55" t="s">
        <v>4378</v>
      </c>
      <c r="B7" s="55" t="s">
        <v>4383</v>
      </c>
      <c r="C7" s="55" t="s">
        <v>348</v>
      </c>
      <c r="D7" s="55" t="s">
        <v>45</v>
      </c>
      <c r="E7" s="55" t="s">
        <v>4514</v>
      </c>
      <c r="F7" s="55" t="s">
        <v>4369</v>
      </c>
      <c r="G7" s="55" t="s">
        <v>5452</v>
      </c>
      <c r="H7" s="55" t="s">
        <v>4382</v>
      </c>
      <c r="I7" s="55"/>
      <c r="J7" s="55" t="s">
        <v>1004</v>
      </c>
      <c r="K7" s="55" t="s">
        <v>21</v>
      </c>
      <c r="L7" s="55" t="s">
        <v>4376</v>
      </c>
      <c r="M7" s="55" t="s">
        <v>4377</v>
      </c>
    </row>
    <row r="8" customFormat="false" ht="15" hidden="false" customHeight="false" outlineLevel="0" collapsed="false">
      <c r="A8" s="55" t="s">
        <v>4378</v>
      </c>
      <c r="B8" s="55" t="s">
        <v>4385</v>
      </c>
      <c r="C8" s="55" t="s">
        <v>1512</v>
      </c>
      <c r="D8" s="55" t="s">
        <v>45</v>
      </c>
      <c r="E8" s="55" t="s">
        <v>4514</v>
      </c>
      <c r="F8" s="55" t="s">
        <v>4369</v>
      </c>
      <c r="G8" s="55" t="s">
        <v>5453</v>
      </c>
      <c r="H8" s="55" t="s">
        <v>4382</v>
      </c>
      <c r="I8" s="55"/>
      <c r="J8" s="55" t="s">
        <v>4386</v>
      </c>
      <c r="K8" s="55" t="s">
        <v>21</v>
      </c>
      <c r="L8" s="55" t="s">
        <v>4376</v>
      </c>
      <c r="M8" s="55" t="s">
        <v>4377</v>
      </c>
    </row>
    <row r="9" customFormat="false" ht="15" hidden="false" customHeight="false" outlineLevel="0" collapsed="false">
      <c r="A9" s="55" t="s">
        <v>4378</v>
      </c>
      <c r="B9" s="55" t="s">
        <v>4389</v>
      </c>
      <c r="C9" s="55" t="s">
        <v>1748</v>
      </c>
      <c r="D9" s="55" t="s">
        <v>45</v>
      </c>
      <c r="E9" s="55" t="s">
        <v>4514</v>
      </c>
      <c r="F9" s="55" t="s">
        <v>4369</v>
      </c>
      <c r="G9" s="55" t="s">
        <v>5454</v>
      </c>
      <c r="H9" s="55" t="s">
        <v>4393</v>
      </c>
      <c r="I9" s="55"/>
      <c r="J9" s="55" t="s">
        <v>4391</v>
      </c>
      <c r="K9" s="55" t="s">
        <v>17</v>
      </c>
      <c r="L9" s="55" t="s">
        <v>4376</v>
      </c>
      <c r="M9" s="55" t="s">
        <v>4377</v>
      </c>
    </row>
    <row r="10" customFormat="false" ht="15" hidden="false" customHeight="false" outlineLevel="0" collapsed="false">
      <c r="A10" s="55" t="s">
        <v>4378</v>
      </c>
      <c r="B10" s="55" t="s">
        <v>4394</v>
      </c>
      <c r="C10" s="55" t="s">
        <v>2848</v>
      </c>
      <c r="D10" s="55" t="s">
        <v>45</v>
      </c>
      <c r="E10" s="55" t="s">
        <v>4514</v>
      </c>
      <c r="F10" s="55" t="s">
        <v>4369</v>
      </c>
      <c r="G10" s="55" t="s">
        <v>5455</v>
      </c>
      <c r="H10" s="55" t="s">
        <v>4393</v>
      </c>
      <c r="I10" s="55"/>
      <c r="J10" s="55" t="s">
        <v>4395</v>
      </c>
      <c r="K10" s="55" t="s">
        <v>17</v>
      </c>
      <c r="L10" s="55" t="s">
        <v>4376</v>
      </c>
      <c r="M10" s="55" t="s">
        <v>4377</v>
      </c>
    </row>
    <row r="11" customFormat="false" ht="15" hidden="false" customHeight="false" outlineLevel="0" collapsed="false">
      <c r="A11" s="55" t="s">
        <v>4378</v>
      </c>
      <c r="B11" s="55" t="s">
        <v>4397</v>
      </c>
      <c r="C11" s="55" t="s">
        <v>420</v>
      </c>
      <c r="D11" s="55" t="s">
        <v>46</v>
      </c>
      <c r="E11" s="55" t="s">
        <v>4514</v>
      </c>
      <c r="F11" s="55" t="s">
        <v>4369</v>
      </c>
      <c r="G11" s="55" t="s">
        <v>5456</v>
      </c>
      <c r="H11" s="55" t="s">
        <v>4382</v>
      </c>
      <c r="I11" s="55"/>
      <c r="J11" s="55" t="s">
        <v>4398</v>
      </c>
      <c r="K11" s="55" t="s">
        <v>21</v>
      </c>
      <c r="L11" s="55" t="s">
        <v>4376</v>
      </c>
      <c r="M11" s="55" t="s">
        <v>4377</v>
      </c>
    </row>
    <row r="12" customFormat="false" ht="15" hidden="false" customHeight="false" outlineLevel="0" collapsed="false">
      <c r="A12" s="55" t="s">
        <v>4378</v>
      </c>
      <c r="B12" s="55" t="s">
        <v>4401</v>
      </c>
      <c r="C12" s="55" t="s">
        <v>841</v>
      </c>
      <c r="D12" s="55" t="s">
        <v>46</v>
      </c>
      <c r="E12" s="55" t="s">
        <v>4514</v>
      </c>
      <c r="F12" s="55" t="s">
        <v>4369</v>
      </c>
      <c r="G12" s="55" t="s">
        <v>5457</v>
      </c>
      <c r="H12" s="55" t="s">
        <v>4382</v>
      </c>
      <c r="I12" s="55"/>
      <c r="J12" s="55" t="s">
        <v>4402</v>
      </c>
      <c r="K12" s="55" t="s">
        <v>21</v>
      </c>
      <c r="L12" s="55" t="s">
        <v>4376</v>
      </c>
      <c r="M12" s="55" t="s">
        <v>4377</v>
      </c>
    </row>
    <row r="13" customFormat="false" ht="15" hidden="false" customHeight="false" outlineLevel="0" collapsed="false">
      <c r="A13" s="55" t="s">
        <v>4378</v>
      </c>
      <c r="B13" s="55" t="s">
        <v>4405</v>
      </c>
      <c r="C13" s="55" t="s">
        <v>258</v>
      </c>
      <c r="D13" s="55" t="s">
        <v>47</v>
      </c>
      <c r="E13" s="55" t="s">
        <v>4514</v>
      </c>
      <c r="F13" s="55" t="s">
        <v>4369</v>
      </c>
      <c r="G13" s="55" t="s">
        <v>5458</v>
      </c>
      <c r="H13" s="55" t="s">
        <v>4375</v>
      </c>
      <c r="I13" s="55"/>
      <c r="J13" s="55" t="s">
        <v>2143</v>
      </c>
      <c r="K13" s="55" t="s">
        <v>19</v>
      </c>
      <c r="L13" s="55" t="s">
        <v>4376</v>
      </c>
      <c r="M13" s="55" t="s">
        <v>4377</v>
      </c>
    </row>
    <row r="14" customFormat="false" ht="15" hidden="false" customHeight="false" outlineLevel="0" collapsed="false">
      <c r="A14" s="55" t="s">
        <v>4378</v>
      </c>
      <c r="B14" s="55" t="s">
        <v>4407</v>
      </c>
      <c r="C14" s="55" t="s">
        <v>598</v>
      </c>
      <c r="D14" s="55" t="s">
        <v>47</v>
      </c>
      <c r="E14" s="55" t="s">
        <v>4514</v>
      </c>
      <c r="F14" s="55" t="s">
        <v>4369</v>
      </c>
      <c r="G14" s="55" t="s">
        <v>5459</v>
      </c>
      <c r="H14" s="55" t="s">
        <v>4375</v>
      </c>
      <c r="I14" s="55"/>
      <c r="J14" s="55" t="s">
        <v>2621</v>
      </c>
      <c r="K14" s="55" t="s">
        <v>19</v>
      </c>
      <c r="L14" s="55" t="s">
        <v>4376</v>
      </c>
      <c r="M14" s="55" t="s">
        <v>4377</v>
      </c>
    </row>
    <row r="15" customFormat="false" ht="15" hidden="false" customHeight="false" outlineLevel="0" collapsed="false">
      <c r="A15" s="55" t="s">
        <v>4378</v>
      </c>
      <c r="B15" s="55" t="s">
        <v>4410</v>
      </c>
      <c r="C15" s="55" t="s">
        <v>714</v>
      </c>
      <c r="D15" s="55" t="s">
        <v>46</v>
      </c>
      <c r="E15" s="55" t="s">
        <v>4514</v>
      </c>
      <c r="F15" s="55" t="s">
        <v>4369</v>
      </c>
      <c r="G15" s="55" t="s">
        <v>5460</v>
      </c>
      <c r="H15" s="55" t="s">
        <v>4375</v>
      </c>
      <c r="I15" s="55"/>
      <c r="J15" s="55" t="s">
        <v>2912</v>
      </c>
      <c r="K15" s="55" t="s">
        <v>19</v>
      </c>
      <c r="L15" s="55" t="s">
        <v>4376</v>
      </c>
      <c r="M15" s="55" t="s">
        <v>4377</v>
      </c>
    </row>
    <row r="16" customFormat="false" ht="15" hidden="false" customHeight="false" outlineLevel="0" collapsed="false">
      <c r="A16" s="55" t="s">
        <v>4378</v>
      </c>
      <c r="B16" s="55" t="s">
        <v>4412</v>
      </c>
      <c r="C16" s="55" t="s">
        <v>774</v>
      </c>
      <c r="D16" s="55" t="s">
        <v>45</v>
      </c>
      <c r="E16" s="55" t="s">
        <v>4413</v>
      </c>
      <c r="F16" s="55" t="s">
        <v>4414</v>
      </c>
      <c r="G16" s="55" t="s">
        <v>5461</v>
      </c>
      <c r="H16" s="55" t="s">
        <v>4375</v>
      </c>
      <c r="I16" s="55"/>
      <c r="J16" s="55" t="s">
        <v>5462</v>
      </c>
      <c r="K16" s="55" t="s">
        <v>19</v>
      </c>
      <c r="L16" s="55" t="s">
        <v>4376</v>
      </c>
      <c r="M16" s="55" t="s">
        <v>4377</v>
      </c>
    </row>
    <row r="17" customFormat="false" ht="15" hidden="false" customHeight="false" outlineLevel="0" collapsed="false">
      <c r="A17" s="55" t="s">
        <v>4378</v>
      </c>
      <c r="B17" s="55" t="s">
        <v>4421</v>
      </c>
      <c r="C17" s="55" t="s">
        <v>2833</v>
      </c>
      <c r="D17" s="55" t="s">
        <v>46</v>
      </c>
      <c r="E17" s="55" t="s">
        <v>4413</v>
      </c>
      <c r="F17" s="55" t="s">
        <v>4414</v>
      </c>
      <c r="G17" s="55" t="s">
        <v>5463</v>
      </c>
      <c r="H17" s="55" t="s">
        <v>4393</v>
      </c>
      <c r="I17" s="55"/>
      <c r="J17" s="55" t="s">
        <v>5464</v>
      </c>
      <c r="K17" s="55" t="s">
        <v>17</v>
      </c>
      <c r="L17" s="55" t="s">
        <v>4376</v>
      </c>
      <c r="M17" s="55" t="s">
        <v>4377</v>
      </c>
    </row>
    <row r="18" customFormat="false" ht="15" hidden="false" customHeight="false" outlineLevel="0" collapsed="false">
      <c r="A18" s="55" t="s">
        <v>4378</v>
      </c>
      <c r="B18" s="55" t="s">
        <v>4427</v>
      </c>
      <c r="C18" s="55" t="s">
        <v>1187</v>
      </c>
      <c r="D18" s="55" t="s">
        <v>46</v>
      </c>
      <c r="E18" s="55" t="s">
        <v>4413</v>
      </c>
      <c r="F18" s="55" t="s">
        <v>4414</v>
      </c>
      <c r="G18" s="55" t="s">
        <v>5465</v>
      </c>
      <c r="H18" s="55" t="s">
        <v>4393</v>
      </c>
      <c r="I18" s="55"/>
      <c r="J18" s="55" t="s">
        <v>5466</v>
      </c>
      <c r="K18" s="55" t="s">
        <v>17</v>
      </c>
      <c r="L18" s="55" t="s">
        <v>4376</v>
      </c>
      <c r="M18" s="55" t="s">
        <v>4377</v>
      </c>
    </row>
    <row r="19" customFormat="false" ht="15" hidden="false" customHeight="false" outlineLevel="0" collapsed="false">
      <c r="A19" s="55" t="s">
        <v>4378</v>
      </c>
      <c r="B19" s="55" t="s">
        <v>4432</v>
      </c>
      <c r="C19" s="55" t="s">
        <v>1197</v>
      </c>
      <c r="D19" s="55" t="s">
        <v>47</v>
      </c>
      <c r="E19" s="55" t="s">
        <v>4413</v>
      </c>
      <c r="F19" s="55" t="s">
        <v>4414</v>
      </c>
      <c r="G19" s="55" t="s">
        <v>5467</v>
      </c>
      <c r="H19" s="55" t="s">
        <v>4375</v>
      </c>
      <c r="I19" s="55"/>
      <c r="J19" s="55" t="s">
        <v>5468</v>
      </c>
      <c r="K19" s="55" t="s">
        <v>19</v>
      </c>
      <c r="L19" s="55" t="s">
        <v>4376</v>
      </c>
      <c r="M19" s="55" t="s">
        <v>4377</v>
      </c>
    </row>
    <row r="20" customFormat="false" ht="15" hidden="false" customHeight="false" outlineLevel="0" collapsed="false">
      <c r="A20" s="55" t="s">
        <v>4378</v>
      </c>
      <c r="B20" s="55" t="s">
        <v>4436</v>
      </c>
      <c r="C20" s="55" t="s">
        <v>1488</v>
      </c>
      <c r="D20" s="55" t="s">
        <v>47</v>
      </c>
      <c r="E20" s="55" t="s">
        <v>4413</v>
      </c>
      <c r="F20" s="55" t="s">
        <v>4414</v>
      </c>
      <c r="G20" s="55" t="s">
        <v>5469</v>
      </c>
      <c r="H20" s="55" t="s">
        <v>4382</v>
      </c>
      <c r="I20" s="55"/>
      <c r="J20" s="55" t="s">
        <v>5470</v>
      </c>
      <c r="K20" s="55" t="s">
        <v>21</v>
      </c>
      <c r="L20" s="55" t="s">
        <v>4376</v>
      </c>
      <c r="M20" s="55" t="s">
        <v>4377</v>
      </c>
    </row>
    <row r="21" customFormat="false" ht="15" hidden="false" customHeight="false" outlineLevel="0" collapsed="false">
      <c r="A21" s="55" t="s">
        <v>4378</v>
      </c>
      <c r="B21" s="55" t="s">
        <v>4441</v>
      </c>
      <c r="C21" s="55" t="s">
        <v>2624</v>
      </c>
      <c r="D21" s="55" t="s">
        <v>47</v>
      </c>
      <c r="E21" s="55" t="s">
        <v>4413</v>
      </c>
      <c r="F21" s="55" t="s">
        <v>4414</v>
      </c>
      <c r="G21" s="55" t="s">
        <v>5471</v>
      </c>
      <c r="H21" s="55" t="s">
        <v>4375</v>
      </c>
      <c r="I21" s="55"/>
      <c r="J21" s="55" t="s">
        <v>5472</v>
      </c>
      <c r="K21" s="55" t="s">
        <v>19</v>
      </c>
      <c r="L21" s="55" t="s">
        <v>4376</v>
      </c>
      <c r="M21" s="55" t="s">
        <v>4377</v>
      </c>
    </row>
    <row r="22" customFormat="false" ht="15" hidden="false" customHeight="false" outlineLevel="0" collapsed="false">
      <c r="A22" s="55" t="s">
        <v>4378</v>
      </c>
      <c r="B22" s="55" t="s">
        <v>4446</v>
      </c>
      <c r="C22" s="55" t="s">
        <v>179</v>
      </c>
      <c r="D22" s="55" t="s">
        <v>45</v>
      </c>
      <c r="E22" s="55" t="s">
        <v>4413</v>
      </c>
      <c r="F22" s="55" t="s">
        <v>4414</v>
      </c>
      <c r="G22" s="55" t="s">
        <v>5473</v>
      </c>
      <c r="H22" s="55" t="s">
        <v>4375</v>
      </c>
      <c r="I22" s="55"/>
      <c r="J22" s="55" t="s">
        <v>5474</v>
      </c>
      <c r="K22" s="55" t="s">
        <v>19</v>
      </c>
      <c r="L22" s="55" t="s">
        <v>4376</v>
      </c>
      <c r="M22" s="55" t="s">
        <v>4377</v>
      </c>
    </row>
    <row r="23" customFormat="false" ht="15" hidden="false" customHeight="false" outlineLevel="0" collapsed="false">
      <c r="A23" s="55" t="s">
        <v>4378</v>
      </c>
      <c r="B23" s="55" t="s">
        <v>4451</v>
      </c>
      <c r="C23" s="55" t="s">
        <v>2517</v>
      </c>
      <c r="D23" s="55" t="s">
        <v>47</v>
      </c>
      <c r="E23" s="55" t="s">
        <v>4413</v>
      </c>
      <c r="F23" s="55" t="s">
        <v>4414</v>
      </c>
      <c r="G23" s="55" t="s">
        <v>5475</v>
      </c>
      <c r="H23" s="55" t="s">
        <v>4375</v>
      </c>
      <c r="I23" s="55"/>
      <c r="J23" s="55" t="s">
        <v>5476</v>
      </c>
      <c r="K23" s="55" t="s">
        <v>19</v>
      </c>
      <c r="L23" s="55" t="s">
        <v>4376</v>
      </c>
      <c r="M23" s="55" t="s">
        <v>4377</v>
      </c>
    </row>
    <row r="24" customFormat="false" ht="15" hidden="false" customHeight="false" outlineLevel="0" collapsed="false">
      <c r="A24" s="55" t="s">
        <v>4378</v>
      </c>
      <c r="B24" s="55" t="s">
        <v>4455</v>
      </c>
      <c r="C24" s="55" t="s">
        <v>216</v>
      </c>
      <c r="D24" s="55" t="s">
        <v>46</v>
      </c>
      <c r="E24" s="55" t="s">
        <v>4413</v>
      </c>
      <c r="F24" s="55" t="s">
        <v>4414</v>
      </c>
      <c r="G24" s="55" t="s">
        <v>5477</v>
      </c>
      <c r="H24" s="55" t="s">
        <v>4382</v>
      </c>
      <c r="I24" s="55"/>
      <c r="J24" s="55" t="s">
        <v>5478</v>
      </c>
      <c r="K24" s="55" t="s">
        <v>21</v>
      </c>
      <c r="L24" s="55" t="s">
        <v>4376</v>
      </c>
      <c r="M24" s="55" t="s">
        <v>4377</v>
      </c>
    </row>
    <row r="25" customFormat="false" ht="15" hidden="false" customHeight="false" outlineLevel="0" collapsed="false">
      <c r="A25" s="55" t="s">
        <v>4378</v>
      </c>
      <c r="B25" s="55" t="s">
        <v>4460</v>
      </c>
      <c r="C25" s="55" t="s">
        <v>1433</v>
      </c>
      <c r="D25" s="55" t="s">
        <v>45</v>
      </c>
      <c r="E25" s="55" t="s">
        <v>4413</v>
      </c>
      <c r="F25" s="55" t="s">
        <v>4414</v>
      </c>
      <c r="G25" s="55" t="s">
        <v>5479</v>
      </c>
      <c r="H25" s="55" t="s">
        <v>4393</v>
      </c>
      <c r="I25" s="55"/>
      <c r="J25" s="55" t="s">
        <v>5480</v>
      </c>
      <c r="K25" s="55" t="s">
        <v>17</v>
      </c>
      <c r="L25" s="55" t="s">
        <v>4376</v>
      </c>
      <c r="M25" s="55" t="s">
        <v>4377</v>
      </c>
    </row>
    <row r="26" customFormat="false" ht="15" hidden="false" customHeight="false" outlineLevel="0" collapsed="false">
      <c r="A26" s="55" t="s">
        <v>4378</v>
      </c>
      <c r="B26" s="55" t="s">
        <v>4465</v>
      </c>
      <c r="C26" s="55" t="s">
        <v>1081</v>
      </c>
      <c r="D26" s="55" t="s">
        <v>47</v>
      </c>
      <c r="E26" s="55" t="s">
        <v>4413</v>
      </c>
      <c r="F26" s="55" t="s">
        <v>4414</v>
      </c>
      <c r="G26" s="55" t="s">
        <v>5481</v>
      </c>
      <c r="H26" s="55" t="s">
        <v>4393</v>
      </c>
      <c r="I26" s="55"/>
      <c r="J26" s="55" t="s">
        <v>5482</v>
      </c>
      <c r="K26" s="55" t="s">
        <v>17</v>
      </c>
      <c r="L26" s="55" t="s">
        <v>4376</v>
      </c>
      <c r="M26" s="55" t="s">
        <v>4377</v>
      </c>
    </row>
    <row r="27" customFormat="false" ht="15" hidden="false" customHeight="false" outlineLevel="0" collapsed="false">
      <c r="A27" s="55" t="s">
        <v>4378</v>
      </c>
      <c r="B27" s="55" t="s">
        <v>4470</v>
      </c>
      <c r="C27" s="55" t="s">
        <v>1752</v>
      </c>
      <c r="D27" s="55" t="s">
        <v>47</v>
      </c>
      <c r="E27" s="55" t="s">
        <v>4471</v>
      </c>
      <c r="F27" s="55" t="s">
        <v>4414</v>
      </c>
      <c r="G27" s="55" t="s">
        <v>5483</v>
      </c>
      <c r="H27" s="55" t="s">
        <v>4382</v>
      </c>
      <c r="I27" s="55"/>
      <c r="J27" s="55" t="s">
        <v>5484</v>
      </c>
      <c r="K27" s="55" t="s">
        <v>21</v>
      </c>
      <c r="L27" s="55" t="s">
        <v>4376</v>
      </c>
      <c r="M27" s="55" t="s">
        <v>4377</v>
      </c>
    </row>
    <row r="28" customFormat="false" ht="15" hidden="false" customHeight="false" outlineLevel="0" collapsed="false">
      <c r="A28" s="55" t="s">
        <v>4378</v>
      </c>
      <c r="B28" s="55" t="s">
        <v>4476</v>
      </c>
      <c r="C28" s="55" t="s">
        <v>2209</v>
      </c>
      <c r="D28" s="55" t="s">
        <v>47</v>
      </c>
      <c r="E28" s="55" t="s">
        <v>4471</v>
      </c>
      <c r="F28" s="55" t="s">
        <v>4414</v>
      </c>
      <c r="G28" s="55" t="s">
        <v>5485</v>
      </c>
      <c r="H28" s="55" t="s">
        <v>4375</v>
      </c>
      <c r="I28" s="55"/>
      <c r="J28" s="55" t="s">
        <v>5486</v>
      </c>
      <c r="K28" s="55" t="s">
        <v>19</v>
      </c>
      <c r="L28" s="55" t="s">
        <v>4376</v>
      </c>
      <c r="M28" s="55" t="s">
        <v>4377</v>
      </c>
    </row>
    <row r="29" customFormat="false" ht="15" hidden="false" customHeight="false" outlineLevel="0" collapsed="false">
      <c r="A29" s="55" t="s">
        <v>4378</v>
      </c>
      <c r="B29" s="55" t="s">
        <v>4481</v>
      </c>
      <c r="C29" s="55" t="s">
        <v>1357</v>
      </c>
      <c r="D29" s="55" t="s">
        <v>45</v>
      </c>
      <c r="E29" s="55" t="s">
        <v>4471</v>
      </c>
      <c r="F29" s="55" t="s">
        <v>4414</v>
      </c>
      <c r="G29" s="55" t="s">
        <v>5487</v>
      </c>
      <c r="H29" s="55" t="s">
        <v>4375</v>
      </c>
      <c r="I29" s="55"/>
      <c r="J29" s="55" t="s">
        <v>5488</v>
      </c>
      <c r="K29" s="55" t="s">
        <v>19</v>
      </c>
      <c r="L29" s="55" t="s">
        <v>4376</v>
      </c>
      <c r="M29" s="55" t="s">
        <v>4377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2026-10-01T05:18:03Z</dcterms:created>
  <dc:creator>openpyxl</dc:creator>
  <dc:description/>
  <dc:language>en-US</dc:language>
  <cp:lastModifiedBy/>
  <dcterms:modified xsi:type="dcterms:W3CDTF">2026-10-01T05:18:08Z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